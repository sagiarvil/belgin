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BASLANGIC" sheetId="2" state="visible" r:id="rId2"/>
    <sheet xmlns:r="http://schemas.openxmlformats.org/officeDocument/2006/relationships" name="MUSTERILER" sheetId="3" state="visible" r:id="rId3"/>
    <sheet xmlns:r="http://schemas.openxmlformats.org/officeDocument/2006/relationships" name="UCRETLER" sheetId="4" state="visible" r:id="rId4"/>
    <sheet xmlns:r="http://schemas.openxmlformats.org/officeDocument/2006/relationships" name="TAHSILAT" sheetId="5" state="visible" r:id="rId5"/>
    <sheet xmlns:r="http://schemas.openxmlformats.org/officeDocument/2006/relationships" name="GELIR_GIDER" sheetId="6" state="visible" r:id="rId6"/>
    <sheet xmlns:r="http://schemas.openxmlformats.org/officeDocument/2006/relationships" name="VIRMAN" sheetId="7" state="visible" r:id="rId7"/>
    <sheet xmlns:r="http://schemas.openxmlformats.org/officeDocument/2006/relationships" name="AKTIVITE" sheetId="8" state="visible" r:id="rId8"/>
    <sheet xmlns:r="http://schemas.openxmlformats.org/officeDocument/2006/relationships" name="MUSTERI_360" sheetId="9" state="visible" r:id="rId9"/>
    <sheet xmlns:r="http://schemas.openxmlformats.org/officeDocument/2006/relationships" name="CARI_EKSTRE" sheetId="10" state="visible" r:id="rId10"/>
    <sheet xmlns:r="http://schemas.openxmlformats.org/officeDocument/2006/relationships" name="HESAPLAR" sheetId="11" state="visible" r:id="rId11"/>
    <sheet xmlns:r="http://schemas.openxmlformats.org/officeDocument/2006/relationships" name="AY_SONU" sheetId="12" state="visible" r:id="rId12"/>
    <sheet xmlns:r="http://schemas.openxmlformats.org/officeDocument/2006/relationships" name="SISTEM" sheetId="13" state="visible" r:id="rId13"/>
  </sheets>
  <definedNames>
    <definedName name="LST_MUSTERI_ADI">MUSTERILER!$C$7:$C$106</definedName>
    <definedName name="LST_HESAP">HESAPLAR!$B$7:$B$16</definedName>
    <definedName name="LST_KATEGORI">SISTEM!$K$8:$K$37</definedName>
    <definedName name="CARI_BAKIYE">MUSTERI_360!$J$7:$J$106</definedName>
    <definedName name="GECIKMIS_29">MUSTERI_360!$N$7:$N$106</definedName>
    <definedName name="NAKIT_POZISYON">HESAPLAR!$K$18</definedName>
    <definedName name="SISTEM_SONUC">SISTEM!$F$23:$F$55</definedName>
    <definedName name="EKSTRE_BAKIYE">CARI_EKSTRE!$F$9</definedName>
    <definedName name="EKSTRE">OFFSET(CARI_EKSTRE!$A$1,0,0,15+COUNT(CARI_EKSTRE!$C$12:$C$311)+4,9)</definedName>
    <definedName name="EKSTRE_TABLO">OFFSET(CARI_EKSTRE!$B$11,0,0,1+COUNT(CARI_EKSTRE!$C$12:$C$311),8)</definedName>
    <definedName name="_xlnm.Print_Area" localSheetId="0">'PANO'!$A$1:$O$43</definedName>
    <definedName name="_xlnm.Print_Titles" localSheetId="1">'BASLANGIC'!$1:$2</definedName>
    <definedName name="_xlnm.Print_Area" localSheetId="1">'BASLANGIC'!$A$1:$I$89</definedName>
    <definedName name="_xlnm._FilterDatabase" localSheetId="2" hidden="1">'MUSTERILER'!$B$6:$P$106</definedName>
    <definedName name="_xlnm.Print_Titles" localSheetId="2">'MUSTERILER'!$6:$6</definedName>
    <definedName name="_xlnm.Print_Area" localSheetId="2">'MUSTERILER'!$A$1:$P$106</definedName>
    <definedName name="_xlnm._FilterDatabase" localSheetId="3" hidden="1">'UCRETLER'!$B$6:$P$406</definedName>
    <definedName name="_xlnm.Print_Titles" localSheetId="3">'UCRETLER'!$6:$6</definedName>
    <definedName name="_xlnm.Print_Area" localSheetId="3">'UCRETLER'!$A$1:$P$106</definedName>
    <definedName name="_xlnm._FilterDatabase" localSheetId="4" hidden="1">'TAHSILAT'!$B$6:$N$1506</definedName>
    <definedName name="_xlnm.Print_Titles" localSheetId="4">'TAHSILAT'!$6:$6</definedName>
    <definedName name="_xlnm.Print_Area" localSheetId="4">'TAHSILAT'!$A$1:$N$106</definedName>
    <definedName name="_xlnm._FilterDatabase" localSheetId="5" hidden="1">'GELIR_GIDER'!$B$6:$O$1206</definedName>
    <definedName name="_xlnm.Print_Titles" localSheetId="5">'GELIR_GIDER'!$6:$6</definedName>
    <definedName name="_xlnm.Print_Area" localSheetId="5">'GELIR_GIDER'!$A$1:$O$106</definedName>
    <definedName name="_xlnm._FilterDatabase" localSheetId="6" hidden="1">'VIRMAN'!$B$6:$J$406</definedName>
    <definedName name="_xlnm.Print_Titles" localSheetId="6">'VIRMAN'!$6:$6</definedName>
    <definedName name="_xlnm.Print_Area" localSheetId="6">'VIRMAN'!$A$1:$J$106</definedName>
    <definedName name="_xlnm._FilterDatabase" localSheetId="7" hidden="1">'AKTIVITE'!$B$6:$Q$1006</definedName>
    <definedName name="_xlnm.Print_Titles" localSheetId="7">'AKTIVITE'!$6:$6</definedName>
    <definedName name="_xlnm.Print_Area" localSheetId="7">'AKTIVITE'!$A$1:$Q$106</definedName>
    <definedName name="_xlnm._FilterDatabase" localSheetId="8" hidden="1">'MUSTERI_360'!$B$6:$V$106</definedName>
    <definedName name="_xlnm.Print_Titles" localSheetId="8">'MUSTERI_360'!$6:$6</definedName>
    <definedName name="_xlnm.Print_Area" localSheetId="8">'MUSTERI_360'!$A$1:$V$106</definedName>
    <definedName name="_xlnm.Print_Titles" localSheetId="9">'CARI_EKSTRE'!$5:$11</definedName>
    <definedName name="_xlnm.Print_Area" localSheetId="9">'CARI_EKSTRE'!$A$1:$I$315</definedName>
    <definedName name="_xlnm.Print_Titles" localSheetId="10">'HESAPLAR'!$6:$6</definedName>
    <definedName name="_xlnm.Print_Area" localSheetId="10">'HESAPLAR'!$A$1:$K$18</definedName>
    <definedName name="_xlnm._FilterDatabase" localSheetId="11" hidden="1">'AY_SONU'!$B$6:$T$42</definedName>
    <definedName name="_xlnm.Print_Titles" localSheetId="11">'AY_SONU'!$6:$6</definedName>
    <definedName name="_xlnm.Print_Area" localSheetId="11">'AY_SONU'!$A$1:$T$42</definedName>
    <definedName name="_xlnm.Print_Titles" localSheetId="12">'SISTEM'!$1:$2</definedName>
    <definedName name="_xlnm.Print_Area" localSheetId="12">'SISTEM'!$A$1:$M$55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[Red]-#,##0;&quot;–&quot;"/>
    <numFmt numFmtId="165" formatCode="#,##0\ &quot;₺&quot;;[Red]-#,##0\ &quot;₺&quot;;&quot;–&quot;"/>
    <numFmt numFmtId="166" formatCode="#,##0.00\ &quot;₺&quot;;[Red]-#,##0.00\ &quot;₺&quot;;&quot;–&quot;"/>
    <numFmt numFmtId="167" formatCode="0.0%;[Red]-0.0%;&quot;–&quot;"/>
    <numFmt numFmtId="168" formatCode="dd.mm.yyyy"/>
    <numFmt numFmtId="169" formatCode="#,##0.0"/>
    <numFmt numFmtId="170" formatCode="mmmm yyyy"/>
  </numFmts>
  <fonts count="67">
    <font>
      <name val="Calibri"/>
      <family val="2"/>
      <color theme="1"/>
      <sz val="11"/>
      <scheme val="minor"/>
    </font>
    <font>
      <name val="Segoe UI"/>
      <color rgb="000F172A"/>
      <sz val="10"/>
    </font>
    <font>
      <name val="Segoe UI"/>
      <b val="1"/>
      <color rgb="00FFFFFF"/>
      <sz val="14"/>
    </font>
    <font>
      <name val="Segoe UI"/>
      <color rgb="00C3D6EA"/>
      <sz val="10.5"/>
    </font>
    <font>
      <name val="Segoe UI"/>
      <b val="1"/>
      <color rgb="002563EB"/>
      <sz val="10.5"/>
    </font>
    <font>
      <name val="Segoe UI"/>
      <color rgb="0064748B"/>
      <sz val="10.5"/>
    </font>
    <font>
      <name val="Segoe UI"/>
      <b val="1"/>
      <color rgb="00FFFFFF"/>
      <sz val="10.5"/>
    </font>
    <font>
      <name val="Segoe UI"/>
      <color rgb="001D4ED8"/>
      <sz val="11"/>
    </font>
    <font>
      <name val="Segoe UI"/>
      <color rgb="000F172A"/>
      <sz val="11"/>
    </font>
    <font>
      <name val="Segoe UI"/>
      <b val="1"/>
      <color rgb="0017324D"/>
      <sz val="12"/>
    </font>
    <font>
      <name val="Segoe UI"/>
      <i val="1"/>
      <color rgb="0064748B"/>
      <sz val="10.5"/>
    </font>
    <font>
      <name val="Segoe UI"/>
      <b val="1"/>
      <color rgb="00FFFFFF"/>
      <sz val="11.5"/>
    </font>
    <font>
      <name val="Segoe UI"/>
      <b val="1"/>
      <color rgb="0017324D"/>
      <sz val="13"/>
    </font>
    <font>
      <name val="Segoe UI"/>
      <color rgb="0064748B"/>
      <sz val="10"/>
    </font>
    <font>
      <name val="Segoe UI"/>
      <color rgb="002563EB"/>
      <sz val="10.5"/>
    </font>
    <font>
      <name val="Segoe UI"/>
      <b val="1"/>
      <color rgb="0017324D"/>
      <sz val="11"/>
    </font>
    <font>
      <name val="Segoe UI"/>
      <b val="1"/>
      <color rgb="001D4ED8"/>
      <sz val="12"/>
    </font>
    <font>
      <name val="Segoe UI"/>
      <b val="1"/>
      <color rgb="0064748B"/>
      <sz val="11"/>
    </font>
    <font>
      <name val="Segoe UI"/>
      <b val="1"/>
      <color rgb="0017324D"/>
      <sz val="17"/>
    </font>
    <font>
      <name val="Segoe UI"/>
      <b val="1"/>
      <color rgb="000F172A"/>
      <sz val="14"/>
    </font>
    <font>
      <name val="Segoe UI"/>
      <b val="1"/>
      <color rgb="0064748B"/>
      <sz val="10"/>
    </font>
    <font>
      <name val="Segoe UI"/>
      <b val="1"/>
      <color rgb="0017324D"/>
      <sz val="15"/>
    </font>
    <font>
      <name val="Segoe UI"/>
      <b val="1"/>
      <color rgb="000F6E56"/>
      <sz val="15"/>
    </font>
    <font>
      <name val="Segoe UI"/>
      <b val="1"/>
      <color rgb="00A32D2D"/>
      <sz val="15"/>
    </font>
    <font>
      <name val="Segoe UI"/>
      <b val="1"/>
      <color rgb="00854F0B"/>
      <sz val="15"/>
    </font>
    <font>
      <name val="Segoe UI"/>
      <i val="1"/>
      <color rgb="0064748B"/>
      <sz val="10"/>
    </font>
    <font>
      <name val="Segoe UI"/>
      <b val="1"/>
      <color rgb="0017324D"/>
      <sz val="18"/>
    </font>
    <font>
      <name val="Segoe UI"/>
      <i val="1"/>
      <color rgb="0064748B"/>
      <sz val="11"/>
    </font>
    <font>
      <name val="Segoe UI"/>
      <b val="1"/>
      <color rgb="001D4ED8"/>
      <sz val="14"/>
    </font>
    <font>
      <name val="Segoe UI"/>
      <b val="1"/>
      <color rgb="001D4ED8"/>
      <sz val="11"/>
    </font>
    <font>
      <name val="Segoe UI"/>
      <b val="1"/>
      <color rgb="000F172A"/>
      <sz val="11"/>
    </font>
    <font>
      <name val="Segoe UI"/>
      <b val="1"/>
      <color rgb="0017324D"/>
      <sz val="14"/>
    </font>
    <font>
      <name val="Segoe UI"/>
      <b val="1"/>
      <color rgb="000F6E56"/>
      <sz val="14"/>
    </font>
    <font>
      <name val="Segoe UI"/>
      <b val="1"/>
      <color rgb="000F6E56"/>
      <sz val="11"/>
    </font>
    <font>
      <name val="Segoe UI"/>
      <b val="1"/>
      <color rgb="00854F0B"/>
      <sz val="14"/>
    </font>
    <font>
      <name val="Segoe UI"/>
      <b val="1"/>
      <color rgb="00854F0B"/>
      <sz val="11"/>
    </font>
    <font>
      <name val="Segoe UI"/>
      <b val="1"/>
      <color rgb="00A32D2D"/>
      <sz val="14"/>
    </font>
    <font>
      <name val="Segoe UI"/>
      <b val="1"/>
      <color rgb="00A32D2D"/>
      <sz val="11"/>
    </font>
    <font>
      <name val="Segoe UI"/>
      <b val="1"/>
      <color rgb="0064748B"/>
      <sz val="14"/>
    </font>
    <font>
      <name val="Segoe UI"/>
      <b val="1"/>
      <color rgb="002563EB"/>
      <sz val="11"/>
    </font>
    <font>
      <name val="Segoe UI"/>
      <b val="1"/>
      <color rgb="000F766E"/>
      <sz val="14"/>
    </font>
    <font>
      <name val="Segoe UI"/>
      <b val="1"/>
      <color rgb="006A4C93"/>
      <sz val="14"/>
    </font>
    <font>
      <name val="Segoe UI"/>
      <b val="1"/>
      <color rgb="001565C0"/>
      <sz val="14"/>
    </font>
    <font>
      <name val="Segoe UI"/>
      <b val="1"/>
      <color rgb="00D97706"/>
      <sz val="14"/>
    </font>
    <font>
      <name val="Segoe UI"/>
      <b val="1"/>
      <color rgb="000E7490"/>
      <sz val="14"/>
    </font>
    <font>
      <name val="Segoe UI"/>
      <b val="1"/>
      <color rgb="000369A1"/>
      <sz val="14"/>
    </font>
    <font>
      <name val="Segoe UI"/>
      <b val="1"/>
      <color rgb="0015803D"/>
      <sz val="14"/>
    </font>
    <font>
      <name val="Segoe UI"/>
      <b val="1"/>
      <color rgb="007E22CE"/>
      <sz val="14"/>
    </font>
    <font>
      <name val="Segoe UI"/>
      <b val="1"/>
      <color rgb="00991B1B"/>
      <sz val="14"/>
    </font>
    <font>
      <name val="Segoe UI"/>
      <b val="1"/>
      <color rgb="00C6A15B"/>
      <sz val="13"/>
    </font>
    <font>
      <name val="Segoe UI"/>
      <color rgb="00A32D2D"/>
      <sz val="11"/>
    </font>
    <font>
      <name val="Segoe UI"/>
      <color rgb="00C6A15B"/>
      <sz val="11"/>
    </font>
    <font>
      <name val="Segoe UI"/>
      <b val="1"/>
      <color rgb="00C6A15B"/>
      <sz val="12"/>
    </font>
    <font>
      <name val="Segoe UI"/>
      <b val="1"/>
      <color rgb="00C6A15B"/>
      <sz val="9.5"/>
    </font>
    <font>
      <name val="Segoe UI"/>
      <color rgb="00C3D6EA"/>
      <sz val="11.5"/>
    </font>
    <font>
      <name val="Segoe UI"/>
      <b val="1"/>
      <color rgb="0064748B"/>
      <sz val="10.5"/>
    </font>
    <font>
      <name val="Segoe UI"/>
      <b val="1"/>
      <color rgb="000F172A"/>
      <sz val="16"/>
    </font>
    <font>
      <name val="Segoe UI"/>
      <b val="1"/>
      <color rgb="0017324D"/>
      <sz val="11.5"/>
    </font>
    <font>
      <name val="Segoe UI"/>
      <b val="1"/>
      <color rgb="001D4ED8"/>
      <sz val="12.5"/>
    </font>
    <font>
      <name val="Segoe UI"/>
      <color rgb="0064748B"/>
      <sz val="11"/>
    </font>
    <font>
      <name val="Segoe UI"/>
      <color rgb="000F172A"/>
      <sz val="11.5"/>
    </font>
    <font>
      <name val="Segoe UI"/>
      <b val="1"/>
      <color rgb="000F172A"/>
      <sz val="11.5"/>
    </font>
    <font>
      <name val="Segoe UI"/>
      <b val="1"/>
      <color rgb="00A32D2D"/>
      <sz val="13"/>
    </font>
    <font>
      <name val="Segoe UI"/>
      <b val="1"/>
      <color rgb="00854F0B"/>
      <sz val="13"/>
    </font>
    <font>
      <name val="Segoe UI"/>
      <b val="1"/>
      <color rgb="00185FA5"/>
      <sz val="13"/>
    </font>
    <font>
      <name val="Segoe UI"/>
      <color theme="1"/>
      <sz val="11"/>
    </font>
    <font>
      <name val="Segoe UI"/>
      <b val="1"/>
      <color rgb="00C00000"/>
      <sz val="11"/>
    </font>
  </fonts>
  <fills count="2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F2942"/>
      </patternFill>
    </fill>
    <fill>
      <patternFill patternType="solid">
        <fgColor rgb="00F4F6F9"/>
      </patternFill>
    </fill>
    <fill>
      <patternFill patternType="solid">
        <fgColor rgb="00FFFBEB"/>
      </patternFill>
    </fill>
    <fill>
      <patternFill patternType="solid">
        <fgColor rgb="00FFFFFF"/>
      </patternFill>
    </fill>
    <fill>
      <patternFill patternType="solid">
        <fgColor rgb="00E8F0FA"/>
      </patternFill>
    </fill>
    <fill>
      <patternFill patternType="solid">
        <fgColor rgb="001D3B58"/>
      </patternFill>
    </fill>
    <fill>
      <patternFill patternType="solid">
        <fgColor rgb="000F6E56"/>
      </patternFill>
    </fill>
    <fill>
      <patternFill patternType="solid">
        <fgColor rgb="00E7F5EF"/>
      </patternFill>
    </fill>
    <fill>
      <patternFill patternType="solid">
        <fgColor rgb="00FDF3E3"/>
      </patternFill>
    </fill>
    <fill>
      <patternFill patternType="solid">
        <fgColor rgb="00FBECEC"/>
      </patternFill>
    </fill>
    <fill>
      <patternFill patternType="solid">
        <fgColor rgb="00F1F5F9"/>
      </patternFill>
    </fill>
    <fill>
      <patternFill patternType="solid">
        <fgColor rgb="000F766E"/>
      </patternFill>
    </fill>
    <fill>
      <patternFill patternType="solid">
        <fgColor rgb="006A4C93"/>
      </patternFill>
    </fill>
    <fill>
      <patternFill patternType="solid">
        <fgColor rgb="001565C0"/>
      </patternFill>
    </fill>
    <fill>
      <patternFill patternType="solid">
        <fgColor rgb="00D97706"/>
      </patternFill>
    </fill>
    <fill>
      <patternFill patternType="solid">
        <fgColor rgb="001D4ED8"/>
      </patternFill>
    </fill>
    <fill>
      <patternFill patternType="solid">
        <fgColor rgb="000E7490"/>
      </patternFill>
    </fill>
    <fill>
      <patternFill patternType="solid">
        <fgColor rgb="00A32D2D"/>
      </patternFill>
    </fill>
    <fill>
      <patternFill patternType="solid">
        <fgColor rgb="000369A1"/>
      </patternFill>
    </fill>
    <fill>
      <patternFill patternType="solid">
        <fgColor rgb="0015803D"/>
      </patternFill>
    </fill>
    <fill>
      <patternFill patternType="solid">
        <fgColor rgb="007E22CE"/>
      </patternFill>
    </fill>
    <fill>
      <patternFill patternType="solid">
        <fgColor rgb="00991B1B"/>
      </patternFill>
    </fill>
    <fill>
      <patternFill patternType="solid">
        <fgColor rgb="002563EB"/>
      </patternFill>
    </fill>
    <fill>
      <patternFill patternType="solid">
        <fgColor rgb="00FDE7E7"/>
      </patternFill>
    </fill>
  </fills>
  <borders count="66">
    <border>
      <left/>
      <right/>
      <top/>
      <bottom/>
      <diagonal/>
    </border>
    <border>
      <bottom style="medium">
        <color rgb="00C6A15B"/>
      </bottom>
    </border>
    <border>
      <bottom style="thin">
        <color rgb="00E2E8F0"/>
      </bottom>
    </border>
    <border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medium">
        <color rgb="00C6A15B"/>
      </top>
      <bottom style="thin">
        <color rgb="00E2E8F0"/>
      </bottom>
    </border>
    <border>
      <top style="medium">
        <color rgb="00C6A15B"/>
      </top>
    </border>
    <border>
      <left style="thin">
        <color rgb="00E2E8F0"/>
      </left>
      <right style="thin">
        <color rgb="00E2E8F0"/>
      </right>
      <top style="medium">
        <color rgb="0017324D"/>
      </top>
    </border>
    <border>
      <left style="thin">
        <color rgb="00E2E8F0"/>
      </left>
      <right style="thin">
        <color rgb="00E2E8F0"/>
      </right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0F6E56"/>
      </top>
    </border>
    <border>
      <left style="thin">
        <color rgb="00E2E8F0"/>
      </left>
      <right style="thin">
        <color rgb="00E2E8F0"/>
      </right>
      <top style="medium">
        <color rgb="00A32D2D"/>
      </top>
    </border>
    <border>
      <left style="thin">
        <color rgb="00E2E8F0"/>
      </left>
      <right style="thin">
        <color rgb="00E2E8F0"/>
      </right>
      <top style="medium">
        <color rgb="00854F0B"/>
      </top>
    </border>
    <border>
      <top style="medium">
        <color rgb="00C6A15B"/>
      </top>
      <bottom style="medium">
        <color rgb="00C6A15B"/>
      </bottom>
    </border>
    <border>
      <top style="thin">
        <color rgb="00C6A15B"/>
      </top>
    </border>
    <border>
      <top style="thin">
        <color rgb="00CBD5E1"/>
      </top>
    </border>
    <border>
      <left/>
      <right/>
      <top/>
      <bottom style="thin">
        <color rgb="00E2E8F0"/>
      </bottom>
      <diagonal/>
    </border>
    <border>
      <left style="thin">
        <color rgb="00E2E8F0"/>
      </left>
      <bottom style="thin">
        <color rgb="00E2E8F0"/>
      </bottom>
    </border>
    <border>
      <right style="thin">
        <color rgb="00E2E8F0"/>
      </right>
      <bottom style="thin">
        <color rgb="00E2E8F0"/>
      </bottom>
    </border>
    <border>
      <left style="thick">
        <color rgb="00C6A15B"/>
      </left>
    </border>
    <border>
      <left style="thick">
        <color rgb="001D3B58"/>
      </left>
    </border>
    <border>
      <left style="thin">
        <color rgb="00E2E8F0"/>
      </left>
      <right style="thin">
        <color rgb="00E2E8F0"/>
      </right>
      <top style="medium">
        <color rgb="00185FA5"/>
      </top>
    </border>
    <border>
      <left style="thin">
        <color rgb="00E2E8F0"/>
      </left>
      <right style="thin">
        <color rgb="00E2E8F0"/>
      </right>
    </border>
    <border>
      <left style="thin">
        <color rgb="00E2E8F0"/>
      </left>
      <top style="medium">
        <color rgb="002563EB"/>
      </top>
      <bottom style="thin">
        <color rgb="00E2E8F0"/>
      </bottom>
    </border>
    <border>
      <right style="thin">
        <color rgb="00E2E8F0"/>
      </right>
      <top style="medium">
        <color rgb="002563EB"/>
      </top>
      <bottom style="thin">
        <color rgb="00E2E8F0"/>
      </bottom>
    </border>
    <border/>
    <border>
      <left style="thin">
        <color rgb="00E2E8F0"/>
      </left>
      <top style="medium">
        <color rgb="0017324D"/>
      </top>
      <bottom style="thin">
        <color rgb="00E2E8F0"/>
      </bottom>
    </border>
    <border>
      <right style="thin">
        <color rgb="00E2E8F0"/>
      </right>
      <top style="medium">
        <color rgb="0017324D"/>
      </top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 style="thin">
        <color rgb="00E2E8F0"/>
      </left>
      <right style="thin">
        <color rgb="00E2E8F0"/>
      </right>
      <bottom/>
    </border>
    <border>
      <left style="thin">
        <color rgb="00E2E8F0"/>
      </left>
      <right/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17324D"/>
      </top>
      <bottom/>
    </border>
    <border>
      <left/>
      <right/>
      <top style="medium">
        <color rgb="0017324D"/>
      </top>
      <bottom/>
      <diagonal/>
    </border>
    <border>
      <left/>
      <right style="thin">
        <color rgb="00E2E8F0"/>
      </right>
      <top style="medium">
        <color rgb="0017324D"/>
      </top>
      <bottom/>
      <diagonal/>
    </border>
    <border>
      <left style="thin">
        <color rgb="00E2E8F0"/>
      </left>
      <right/>
      <top style="medium">
        <color rgb="0017324D"/>
      </top>
      <bottom style="thin">
        <color rgb="00E2E8F0"/>
      </bottom>
    </border>
    <border>
      <left/>
      <right/>
      <top style="medium">
        <color rgb="0017324D"/>
      </top>
      <bottom style="thin">
        <color rgb="00E2E8F0"/>
      </bottom>
      <diagonal/>
    </border>
    <border>
      <left style="thin">
        <color rgb="00E2E8F0"/>
      </left>
      <right style="thin">
        <color rgb="00E2E8F0"/>
      </right>
      <top style="medium">
        <color rgb="000F6E56"/>
      </top>
      <bottom/>
    </border>
    <border>
      <left/>
      <right/>
      <top style="medium">
        <color rgb="000F6E56"/>
      </top>
      <bottom/>
      <diagonal/>
    </border>
    <border>
      <left/>
      <right style="thin">
        <color rgb="00E2E8F0"/>
      </right>
      <top style="medium">
        <color rgb="000F6E56"/>
      </top>
      <bottom/>
      <diagonal/>
    </border>
    <border>
      <left style="thin">
        <color rgb="00E2E8F0"/>
      </left>
      <right style="thin">
        <color rgb="00E2E8F0"/>
      </right>
      <top style="medium">
        <color rgb="00185FA5"/>
      </top>
      <bottom/>
    </border>
    <border>
      <left/>
      <right/>
      <top style="medium">
        <color rgb="00185FA5"/>
      </top>
      <bottom/>
      <diagonal/>
    </border>
    <border>
      <left/>
      <right style="thin">
        <color rgb="00E2E8F0"/>
      </right>
      <top style="medium">
        <color rgb="00185FA5"/>
      </top>
      <bottom/>
      <diagonal/>
    </border>
    <border>
      <left/>
      <right/>
      <top style="medium">
        <color rgb="002563EB"/>
      </top>
      <bottom/>
      <diagonal/>
    </border>
    <border>
      <left/>
      <right style="thin">
        <color rgb="00E2E8F0"/>
      </right>
      <top style="medium">
        <color rgb="002563EB"/>
      </top>
      <bottom/>
      <diagonal/>
    </border>
    <border>
      <left/>
      <right/>
      <top style="medium">
        <color rgb="002563EB"/>
      </top>
      <bottom style="thin">
        <color rgb="00E2E8F0"/>
      </bottom>
      <diagonal/>
    </border>
    <border>
      <left/>
      <right style="thin">
        <color rgb="00E2E8F0"/>
      </right>
      <top style="medium">
        <color rgb="002563EB"/>
      </top>
      <bottom style="thin">
        <color rgb="00E2E8F0"/>
      </bottom>
      <diagonal/>
    </border>
    <border>
      <left style="thin">
        <color rgb="00E2E8F0"/>
      </left>
      <right style="thin">
        <color rgb="00E2E8F0"/>
      </right>
      <top style="medium">
        <color rgb="00A32D2D"/>
      </top>
      <bottom/>
    </border>
    <border>
      <left/>
      <right/>
      <top style="medium">
        <color rgb="00A32D2D"/>
      </top>
      <bottom/>
      <diagonal/>
    </border>
    <border>
      <left/>
      <right style="thin">
        <color rgb="00E2E8F0"/>
      </right>
      <top style="medium">
        <color rgb="00A32D2D"/>
      </top>
      <bottom/>
      <diagonal/>
    </border>
    <border>
      <left style="thin">
        <color rgb="00E2E8F0"/>
      </left>
      <right/>
      <top style="medium">
        <color rgb="002563EB"/>
      </top>
      <bottom style="thin">
        <color rgb="00E2E8F0"/>
      </bottom>
    </border>
    <border>
      <left/>
      <right/>
      <top/>
      <bottom style="medium">
        <color rgb="00C6A15B"/>
      </bottom>
      <diagonal/>
    </border>
    <border>
      <left style="thin">
        <color rgb="00E2E8F0"/>
      </left>
      <right style="thin">
        <color rgb="00E2E8F0"/>
      </right>
      <top style="medium">
        <color rgb="00854F0B"/>
      </top>
      <bottom/>
    </border>
    <border>
      <left/>
      <right/>
      <top style="medium">
        <color rgb="00854F0B"/>
      </top>
      <bottom/>
      <diagonal/>
    </border>
    <border>
      <left/>
      <right style="thin">
        <color rgb="00E2E8F0"/>
      </right>
      <top style="medium">
        <color rgb="00854F0B"/>
      </top>
      <bottom/>
      <diagonal/>
    </border>
    <border>
      <right/>
      <bottom style="thin">
        <color rgb="00E2E8F0"/>
      </bottom>
    </border>
    <border>
      <right/>
      <bottom style="medium">
        <color rgb="00C6A15B"/>
      </bottom>
    </border>
    <border>
      <left/>
      <right/>
      <top style="medium">
        <color rgb="00C6A15B"/>
      </top>
      <bottom/>
      <diagonal/>
    </border>
    <border>
      <left/>
      <right/>
      <top style="thin">
        <color rgb="00CBD5E1"/>
      </top>
      <bottom/>
      <diagonal/>
    </border>
    <border>
      <left/>
      <right/>
      <top style="medium">
        <color rgb="00C6A15B"/>
      </top>
      <bottom style="medium">
        <color rgb="00C6A15B"/>
      </bottom>
      <diagonal/>
    </border>
    <border>
      <left/>
      <right/>
      <top style="thin">
        <color rgb="00C6A15B"/>
      </top>
      <bottom/>
      <diagonal/>
    </border>
    <border>
      <left/>
      <right style="thin">
        <color rgb="00E2E8F0"/>
      </right>
      <top style="medium">
        <color rgb="00C6A15B"/>
      </top>
      <bottom/>
      <diagonal/>
    </border>
    <border>
      <left/>
      <right/>
      <top style="medium">
        <color rgb="00C6A15B"/>
      </top>
      <bottom style="thin">
        <color rgb="00E2E8F0"/>
      </bottom>
      <diagonal/>
    </border>
    <border>
      <left/>
      <right style="thin">
        <color rgb="00E2E8F0"/>
      </right>
      <top style="medium">
        <color rgb="00C6A15B"/>
      </top>
      <bottom style="thin">
        <color rgb="00E2E8F0"/>
      </bottom>
      <diagonal/>
    </border>
    <border>
      <right/>
      <top style="medium">
        <color rgb="00C6A15B"/>
      </top>
      <bottom/>
    </border>
    <border>
      <right/>
      <top style="thin">
        <color rgb="00CBD5E1"/>
      </top>
      <bottom/>
    </border>
    <border>
      <right/>
      <top style="medium">
        <color rgb="00C6A15B"/>
      </top>
      <bottom style="medium">
        <color rgb="00C6A15B"/>
      </bottom>
    </border>
    <border>
      <right/>
      <top style="thin">
        <color rgb="00C6A15B"/>
      </top>
      <bottom/>
    </border>
  </borders>
  <cellStyleXfs count="1">
    <xf numFmtId="0" fontId="1" fillId="0" borderId="0"/>
  </cellStyleXfs>
  <cellXfs count="281">
    <xf numFmtId="0" fontId="0" fillId="0" borderId="0" pivotButton="0" quotePrefix="0" xfId="0"/>
    <xf numFmtId="0" fontId="2" fillId="2" borderId="1" applyAlignment="1" pivotButton="0" quotePrefix="0" xfId="0">
      <alignment horizontal="left" vertical="center" indent="2"/>
    </xf>
    <xf numFmtId="0" fontId="2" fillId="2" borderId="1" pivotButton="0" quotePrefix="0" xfId="0"/>
    <xf numFmtId="0" fontId="65" fillId="0" borderId="0" pivotButton="0" quotePrefix="0" xfId="0"/>
    <xf numFmtId="0" fontId="3" fillId="3" borderId="0" applyAlignment="1" pivotButton="0" quotePrefix="0" xfId="0">
      <alignment horizontal="left" vertical="center" indent="2"/>
    </xf>
    <xf numFmtId="0" fontId="3" fillId="3" borderId="0" pivotButton="0" quotePrefix="0" xfId="0"/>
    <xf numFmtId="0" fontId="65" fillId="4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53" fillId="8" borderId="0" applyAlignment="1" pivotButton="0" quotePrefix="0" xfId="0">
      <alignment horizontal="left" vertical="center" indent="1"/>
    </xf>
    <xf numFmtId="0" fontId="55" fillId="6" borderId="19" applyAlignment="1" pivotButton="0" quotePrefix="0" xfId="0">
      <alignment horizontal="left" vertical="center" indent="1"/>
    </xf>
    <xf numFmtId="0" fontId="55" fillId="6" borderId="0" pivotButton="0" quotePrefix="0" xfId="0"/>
    <xf numFmtId="0" fontId="55" fillId="6" borderId="6" applyAlignment="1" pivotButton="0" quotePrefix="0" xfId="0">
      <alignment horizontal="left" vertical="center" indent="1"/>
    </xf>
    <xf numFmtId="0" fontId="55" fillId="6" borderId="9" applyAlignment="1" pivotButton="0" quotePrefix="0" xfId="0">
      <alignment horizontal="left" vertical="center" indent="1"/>
    </xf>
    <xf numFmtId="0" fontId="55" fillId="6" borderId="8" applyAlignment="1" pivotButton="0" quotePrefix="0" xfId="0">
      <alignment horizontal="left" vertical="center" indent="1"/>
    </xf>
    <xf numFmtId="0" fontId="11" fillId="25" borderId="17" applyAlignment="1" pivotButton="0" quotePrefix="0" xfId="0">
      <alignment horizontal="left" vertical="center" indent="1"/>
    </xf>
    <xf numFmtId="164" fontId="56" fillId="6" borderId="20" applyAlignment="1" pivotButton="0" quotePrefix="0" xfId="0">
      <alignment horizontal="left" vertical="center" indent="1"/>
    </xf>
    <xf numFmtId="0" fontId="56" fillId="6" borderId="0" pivotButton="0" quotePrefix="0" xfId="0"/>
    <xf numFmtId="165" fontId="56" fillId="6" borderId="20" applyAlignment="1" pivotButton="0" quotePrefix="0" xfId="0">
      <alignment horizontal="left" vertical="center" indent="1"/>
    </xf>
    <xf numFmtId="0" fontId="54" fillId="8" borderId="18" applyAlignment="1" pivotButton="0" quotePrefix="0" xfId="0">
      <alignment horizontal="left" vertical="center" indent="1"/>
    </xf>
    <xf numFmtId="0" fontId="5" fillId="6" borderId="7" applyAlignment="1" pivotButton="0" quotePrefix="0" xfId="0">
      <alignment horizontal="left" vertical="center" indent="1"/>
    </xf>
    <xf numFmtId="0" fontId="5" fillId="6" borderId="0" pivotButton="0" quotePrefix="0" xfId="0"/>
    <xf numFmtId="0" fontId="55" fillId="6" borderId="10" applyAlignment="1" pivotButton="0" quotePrefix="0" xfId="0">
      <alignment horizontal="left" vertical="center" indent="1"/>
    </xf>
    <xf numFmtId="0" fontId="57" fillId="4" borderId="1" applyAlignment="1" pivotButton="0" quotePrefix="0" xfId="0">
      <alignment horizontal="left" vertical="center"/>
    </xf>
    <xf numFmtId="0" fontId="65" fillId="8" borderId="0" pivotButton="0" quotePrefix="0" xfId="0"/>
    <xf numFmtId="0" fontId="57" fillId="6" borderId="21" applyAlignment="1" pivotButton="0" quotePrefix="0" xfId="0">
      <alignment horizontal="left" vertical="center" indent="1"/>
    </xf>
    <xf numFmtId="0" fontId="57" fillId="6" borderId="0" pivotButton="0" quotePrefix="0" xfId="0"/>
    <xf numFmtId="0" fontId="58" fillId="5" borderId="22" applyAlignment="1" applyProtection="1" pivotButton="0" quotePrefix="0" xfId="0">
      <alignment horizontal="left" vertical="center" indent="1"/>
      <protection locked="0" hidden="0"/>
    </xf>
    <xf numFmtId="0" fontId="58" fillId="5" borderId="0" pivotButton="0" quotePrefix="0" xfId="0"/>
    <xf numFmtId="0" fontId="8" fillId="6" borderId="24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indent="1"/>
    </xf>
    <xf numFmtId="164" fontId="62" fillId="6" borderId="25" applyAlignment="1" pivotButton="0" quotePrefix="0" xfId="0">
      <alignment horizontal="center" vertical="center"/>
    </xf>
    <xf numFmtId="0" fontId="59" fillId="6" borderId="23" applyAlignment="1" pivotButton="0" quotePrefix="0" xfId="0">
      <alignment horizontal="left" vertical="center" indent="1"/>
    </xf>
    <xf numFmtId="0" fontId="60" fillId="6" borderId="23" applyAlignment="1" pivotButton="0" quotePrefix="0" xfId="0">
      <alignment horizontal="left" vertical="center" indent="1"/>
    </xf>
    <xf numFmtId="0" fontId="8" fillId="6" borderId="15" applyAlignment="1" pivotButton="0" quotePrefix="0" xfId="0">
      <alignment horizontal="left" vertical="center" indent="1"/>
    </xf>
    <xf numFmtId="164" fontId="63" fillId="6" borderId="16" applyAlignment="1" pivotButton="0" quotePrefix="0" xfId="0">
      <alignment horizontal="center" vertical="center"/>
    </xf>
    <xf numFmtId="164" fontId="64" fillId="6" borderId="16" applyAlignment="1" pivotButton="0" quotePrefix="0" xfId="0">
      <alignment horizontal="center" vertical="center"/>
    </xf>
    <xf numFmtId="166" fontId="60" fillId="6" borderId="23" applyAlignment="1" pivotButton="0" quotePrefix="0" xfId="0">
      <alignment horizontal="right" vertical="center" indent="1"/>
    </xf>
    <xf numFmtId="0" fontId="60" fillId="6" borderId="23" applyAlignment="1" pivotButton="0" quotePrefix="0" xfId="0">
      <alignment horizontal="right" vertical="center" indent="1"/>
    </xf>
    <xf numFmtId="164" fontId="62" fillId="6" borderId="16" applyAlignment="1" pivotButton="0" quotePrefix="0" xfId="0">
      <alignment horizontal="center" vertical="center"/>
    </xf>
    <xf numFmtId="166" fontId="61" fillId="6" borderId="23" applyAlignment="1" pivotButton="0" quotePrefix="0" xfId="0">
      <alignment horizontal="right" vertical="center" indent="1"/>
    </xf>
    <xf numFmtId="0" fontId="61" fillId="6" borderId="23" applyAlignment="1" pivotButton="0" quotePrefix="0" xfId="0">
      <alignment horizontal="right" vertical="center" indent="1"/>
    </xf>
    <xf numFmtId="167" fontId="60" fillId="6" borderId="23" applyAlignment="1" pivotButton="0" quotePrefix="0" xfId="0">
      <alignment horizontal="right" vertical="center" indent="1"/>
    </xf>
    <xf numFmtId="168" fontId="60" fillId="6" borderId="23" applyAlignment="1" pivotButton="0" quotePrefix="0" xfId="0">
      <alignment horizontal="right" vertical="center" indent="1"/>
    </xf>
    <xf numFmtId="0" fontId="1" fillId="6" borderId="23" applyAlignment="1" pivotButton="0" quotePrefix="0" xfId="0">
      <alignment horizontal="left" vertical="center" wrapText="1" indent="1"/>
    </xf>
    <xf numFmtId="0" fontId="1" fillId="6" borderId="23" applyAlignment="1" pivotButton="0" quotePrefix="0" xfId="0">
      <alignment horizontal="left" vertical="center" indent="1"/>
    </xf>
    <xf numFmtId="0" fontId="65" fillId="2" borderId="0" pivotButton="0" quotePrefix="0" xfId="0"/>
    <xf numFmtId="0" fontId="65" fillId="3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26" fillId="4" borderId="0" applyAlignment="1" pivotButton="0" quotePrefix="0" xfId="0">
      <alignment horizontal="left" vertical="center"/>
    </xf>
    <xf numFmtId="0" fontId="26" fillId="0" borderId="0" pivotButton="0" quotePrefix="0" xfId="0"/>
    <xf numFmtId="0" fontId="27" fillId="4" borderId="0" applyAlignment="1" pivotButton="0" quotePrefix="0" xfId="0">
      <alignment horizontal="left" vertical="center"/>
    </xf>
    <xf numFmtId="0" fontId="27" fillId="0" borderId="0" pivotButton="0" quotePrefix="0" xfId="0"/>
    <xf numFmtId="0" fontId="9" fillId="4" borderId="1" applyAlignment="1" pivotButton="0" quotePrefix="0" xfId="0">
      <alignment horizontal="left" vertical="center"/>
    </xf>
    <xf numFmtId="0" fontId="9" fillId="0" borderId="0" pivotButton="0" quotePrefix="0" xfId="0"/>
    <xf numFmtId="0" fontId="6" fillId="8" borderId="0" applyAlignment="1" pivotButton="0" quotePrefix="0" xfId="0">
      <alignment horizontal="left" vertical="center" indent="1"/>
    </xf>
    <xf numFmtId="0" fontId="15" fillId="6" borderId="15" applyAlignment="1" pivotButton="0" quotePrefix="0" xfId="0">
      <alignment horizontal="left" vertical="center" wrapText="1" indent="1"/>
    </xf>
    <xf numFmtId="0" fontId="15" fillId="0" borderId="14" pivotButton="0" quotePrefix="0" xfId="0"/>
    <xf numFmtId="0" fontId="8" fillId="6" borderId="16" applyAlignment="1" pivotButton="0" quotePrefix="0" xfId="0">
      <alignment horizontal="left" vertical="center" wrapText="1" indent="1"/>
    </xf>
    <xf numFmtId="0" fontId="8" fillId="0" borderId="14" pivotButton="0" quotePrefix="0" xfId="0"/>
    <xf numFmtId="0" fontId="28" fillId="5" borderId="7" applyAlignment="1" pivotButton="0" quotePrefix="0" xfId="0">
      <alignment horizontal="center" vertical="center"/>
    </xf>
    <xf numFmtId="0" fontId="29" fillId="6" borderId="2" applyAlignment="1" pivotButton="0" quotePrefix="0" xfId="0">
      <alignment horizontal="left" vertical="center" wrapText="1" indent="1"/>
    </xf>
    <xf numFmtId="0" fontId="29" fillId="0" borderId="14" pivotButton="0" quotePrefix="0" xfId="0"/>
    <xf numFmtId="0" fontId="8" fillId="6" borderId="2" applyAlignment="1" pivotButton="0" quotePrefix="0" xfId="0">
      <alignment horizontal="left" vertical="center" wrapText="1" indent="1"/>
    </xf>
    <xf numFmtId="0" fontId="19" fillId="6" borderId="7" applyAlignment="1" pivotButton="0" quotePrefix="0" xfId="0">
      <alignment horizontal="center" vertical="center"/>
    </xf>
    <xf numFmtId="0" fontId="30" fillId="6" borderId="2" applyAlignment="1" pivotButton="0" quotePrefix="0" xfId="0">
      <alignment horizontal="left" vertical="center" wrapText="1" indent="1"/>
    </xf>
    <xf numFmtId="0" fontId="30" fillId="0" borderId="14" pivotButton="0" quotePrefix="0" xfId="0"/>
    <xf numFmtId="0" fontId="2" fillId="2" borderId="7" applyAlignment="1" pivotButton="0" quotePrefix="0" xfId="0">
      <alignment horizontal="center" vertical="center"/>
    </xf>
    <xf numFmtId="0" fontId="15" fillId="6" borderId="2" applyAlignment="1" pivotButton="0" quotePrefix="0" xfId="0">
      <alignment horizontal="left" vertical="center" wrapText="1" indent="1"/>
    </xf>
    <xf numFmtId="0" fontId="31" fillId="7" borderId="7" applyAlignment="1" pivotButton="0" quotePrefix="0" xfId="0">
      <alignment horizontal="center" vertical="center"/>
    </xf>
    <xf numFmtId="0" fontId="32" fillId="10" borderId="7" applyAlignment="1" pivotButton="0" quotePrefix="0" xfId="0">
      <alignment horizontal="center" vertical="center"/>
    </xf>
    <xf numFmtId="0" fontId="33" fillId="6" borderId="2" applyAlignment="1" pivotButton="0" quotePrefix="0" xfId="0">
      <alignment horizontal="left" vertical="center" wrapText="1" indent="1"/>
    </xf>
    <xf numFmtId="0" fontId="33" fillId="0" borderId="14" pivotButton="0" quotePrefix="0" xfId="0"/>
    <xf numFmtId="0" fontId="34" fillId="11" borderId="7" applyAlignment="1" pivotButton="0" quotePrefix="0" xfId="0">
      <alignment horizontal="center" vertical="center"/>
    </xf>
    <xf numFmtId="0" fontId="35" fillId="6" borderId="2" applyAlignment="1" pivotButton="0" quotePrefix="0" xfId="0">
      <alignment horizontal="left" vertical="center" wrapText="1" indent="1"/>
    </xf>
    <xf numFmtId="0" fontId="35" fillId="0" borderId="14" pivotButton="0" quotePrefix="0" xfId="0"/>
    <xf numFmtId="0" fontId="36" fillId="12" borderId="7" applyAlignment="1" pivotButton="0" quotePrefix="0" xfId="0">
      <alignment horizontal="center" vertical="center"/>
    </xf>
    <xf numFmtId="0" fontId="37" fillId="6" borderId="2" applyAlignment="1" pivotButton="0" quotePrefix="0" xfId="0">
      <alignment horizontal="left" vertical="center" wrapText="1" indent="1"/>
    </xf>
    <xf numFmtId="0" fontId="37" fillId="0" borderId="14" pivotButton="0" quotePrefix="0" xfId="0"/>
    <xf numFmtId="0" fontId="38" fillId="13" borderId="7" applyAlignment="1" pivotButton="0" quotePrefix="0" xfId="0">
      <alignment horizontal="center" vertical="center"/>
    </xf>
    <xf numFmtId="0" fontId="17" fillId="6" borderId="2" applyAlignment="1" pivotButton="0" quotePrefix="0" xfId="0">
      <alignment horizontal="left" vertical="center" wrapText="1" indent="1"/>
    </xf>
    <xf numFmtId="0" fontId="17" fillId="0" borderId="14" pivotButton="0" quotePrefix="0" xfId="0"/>
    <xf numFmtId="0" fontId="31" fillId="2" borderId="7" applyAlignment="1" pivotButton="0" quotePrefix="0" xfId="0">
      <alignment horizontal="center" vertical="center"/>
    </xf>
    <xf numFmtId="0" fontId="39" fillId="6" borderId="2" applyAlignment="1" pivotButton="0" quotePrefix="0" xfId="0">
      <alignment horizontal="left" vertical="center" indent="1"/>
    </xf>
    <xf numFmtId="0" fontId="40" fillId="14" borderId="7" applyAlignment="1" pivotButton="0" quotePrefix="0" xfId="0">
      <alignment horizontal="center" vertical="center"/>
    </xf>
    <xf numFmtId="0" fontId="32" fillId="9" borderId="7" applyAlignment="1" pivotButton="0" quotePrefix="0" xfId="0">
      <alignment horizontal="center" vertical="center"/>
    </xf>
    <xf numFmtId="0" fontId="41" fillId="15" borderId="7" applyAlignment="1" pivotButton="0" quotePrefix="0" xfId="0">
      <alignment horizontal="center" vertical="center"/>
    </xf>
    <xf numFmtId="0" fontId="42" fillId="16" borderId="7" applyAlignment="1" pivotButton="0" quotePrefix="0" xfId="0">
      <alignment horizontal="center" vertical="center"/>
    </xf>
    <xf numFmtId="0" fontId="43" fillId="17" borderId="7" applyAlignment="1" pivotButton="0" quotePrefix="0" xfId="0">
      <alignment horizontal="center" vertical="center"/>
    </xf>
    <xf numFmtId="0" fontId="28" fillId="18" borderId="7" applyAlignment="1" pivotButton="0" quotePrefix="0" xfId="0">
      <alignment horizontal="center" vertical="center"/>
    </xf>
    <xf numFmtId="0" fontId="44" fillId="19" borderId="7" applyAlignment="1" pivotButton="0" quotePrefix="0" xfId="0">
      <alignment horizontal="center" vertical="center"/>
    </xf>
    <xf numFmtId="0" fontId="36" fillId="20" borderId="7" applyAlignment="1" pivotButton="0" quotePrefix="0" xfId="0">
      <alignment horizontal="center" vertical="center"/>
    </xf>
    <xf numFmtId="0" fontId="45" fillId="21" borderId="7" applyAlignment="1" pivotButton="0" quotePrefix="0" xfId="0">
      <alignment horizontal="center" vertical="center"/>
    </xf>
    <xf numFmtId="0" fontId="46" fillId="22" borderId="7" applyAlignment="1" pivotButton="0" quotePrefix="0" xfId="0">
      <alignment horizontal="center" vertical="center"/>
    </xf>
    <xf numFmtId="0" fontId="47" fillId="23" borderId="7" applyAlignment="1" pivotButton="0" quotePrefix="0" xfId="0">
      <alignment horizontal="center" vertical="center"/>
    </xf>
    <xf numFmtId="0" fontId="48" fillId="24" borderId="7" applyAlignment="1" pivotButton="0" quotePrefix="0" xfId="0">
      <alignment horizontal="center" vertical="center"/>
    </xf>
    <xf numFmtId="0" fontId="49" fillId="6" borderId="15" applyAlignment="1" pivotButton="0" quotePrefix="0" xfId="0">
      <alignment horizontal="center" vertical="center"/>
    </xf>
    <xf numFmtId="0" fontId="50" fillId="6" borderId="16" applyAlignment="1" pivotButton="0" quotePrefix="0" xfId="0">
      <alignment horizontal="left" vertical="center" wrapText="1" indent="1"/>
    </xf>
    <xf numFmtId="0" fontId="50" fillId="0" borderId="14" pivotButton="0" quotePrefix="0" xfId="0"/>
    <xf numFmtId="0" fontId="52" fillId="6" borderId="2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9" fillId="7" borderId="3" applyAlignment="1" pivotButton="0" quotePrefix="0" xfId="0">
      <alignment horizontal="right" vertical="center" indent="1"/>
    </xf>
    <xf numFmtId="0" fontId="9" fillId="7" borderId="3" applyAlignment="1" pivotButton="0" quotePrefix="0" xfId="0">
      <alignment horizontal="left" vertical="center" indent="1"/>
    </xf>
    <xf numFmtId="164" fontId="9" fillId="7" borderId="3" applyAlignment="1" pivotButton="0" quotePrefix="0" xfId="0">
      <alignment horizontal="right" vertical="center" indent="1"/>
    </xf>
    <xf numFmtId="166" fontId="9" fillId="7" borderId="3" applyAlignment="1" pivotButton="0" quotePrefix="0" xfId="0">
      <alignment horizontal="right" vertical="center" inden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right" vertical="center" wrapText="1"/>
    </xf>
    <xf numFmtId="0" fontId="7" fillId="5" borderId="2" applyAlignment="1" applyProtection="1" pivotButton="0" quotePrefix="0" xfId="0">
      <alignment horizontal="center" vertical="center"/>
      <protection locked="0" hidden="0"/>
    </xf>
    <xf numFmtId="0" fontId="7" fillId="5" borderId="2" applyAlignment="1" applyProtection="1" pivotButton="0" quotePrefix="0" xfId="0">
      <alignment horizontal="left" vertical="center" indent="1"/>
      <protection locked="0" hidden="0"/>
    </xf>
    <xf numFmtId="168" fontId="7" fillId="5" borderId="2" applyAlignment="1" applyProtection="1" pivotButton="0" quotePrefix="0" xfId="0">
      <alignment horizontal="right" vertical="center" indent="1"/>
      <protection locked="0" hidden="0"/>
    </xf>
    <xf numFmtId="166" fontId="7" fillId="5" borderId="2" applyAlignment="1" applyProtection="1" pivotButton="0" quotePrefix="0" xfId="0">
      <alignment horizontal="center" vertical="center"/>
      <protection locked="0" hidden="0"/>
    </xf>
    <xf numFmtId="168" fontId="7" fillId="5" borderId="2" applyAlignment="1" applyProtection="1" pivotButton="0" quotePrefix="0" xfId="0">
      <alignment horizontal="left" vertical="center" indent="1"/>
      <protection locked="0" hidden="0"/>
    </xf>
    <xf numFmtId="0" fontId="8" fillId="6" borderId="2" applyAlignment="1" pivotButton="0" quotePrefix="0" xfId="0">
      <alignment horizontal="center" vertical="center"/>
    </xf>
    <xf numFmtId="168" fontId="7" fillId="5" borderId="2" applyAlignment="1" applyProtection="1" pivotButton="0" quotePrefix="0" xfId="0">
      <alignment horizontal="center" vertical="center"/>
      <protection locked="0" hidden="0"/>
    </xf>
    <xf numFmtId="166" fontId="7" fillId="5" borderId="2" applyAlignment="1" applyProtection="1" pivotButton="0" quotePrefix="0" xfId="0">
      <alignment horizontal="right" vertical="center" indent="1"/>
      <protection locked="0" hidden="0"/>
    </xf>
    <xf numFmtId="166" fontId="8" fillId="6" borderId="2" applyAlignment="1" pivotButton="0" quotePrefix="0" xfId="0">
      <alignment horizontal="right" vertical="center" indent="1"/>
    </xf>
    <xf numFmtId="169" fontId="8" fillId="6" borderId="2" applyAlignment="1" pivotButton="0" quotePrefix="0" xfId="0">
      <alignment horizontal="center" vertical="center"/>
    </xf>
    <xf numFmtId="168" fontId="8" fillId="6" borderId="2" applyAlignment="1" pivotButton="0" quotePrefix="0" xfId="0">
      <alignment horizontal="center" vertical="center"/>
    </xf>
    <xf numFmtId="164" fontId="9" fillId="7" borderId="3" applyAlignment="1" pivotButton="0" quotePrefix="0" xfId="0">
      <alignment horizontal="center" vertical="center"/>
    </xf>
    <xf numFmtId="170" fontId="8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left" vertical="center" indent="1"/>
    </xf>
    <xf numFmtId="0" fontId="11" fillId="2" borderId="0" pivotButton="0" quotePrefix="0" xfId="0"/>
    <xf numFmtId="0" fontId="6" fillId="4" borderId="1" applyAlignment="1" pivotButton="0" quotePrefix="0" xfId="0">
      <alignment horizontal="left" vertical="center" wrapText="1" indent="1"/>
    </xf>
    <xf numFmtId="0" fontId="6" fillId="8" borderId="0" applyAlignment="1" pivotButton="0" quotePrefix="0" xfId="0">
      <alignment horizontal="center" vertical="center"/>
    </xf>
    <xf numFmtId="164" fontId="8" fillId="6" borderId="2" applyAlignment="1" pivotButton="0" quotePrefix="0" xfId="0">
      <alignment horizontal="center" vertical="center"/>
    </xf>
    <xf numFmtId="167" fontId="9" fillId="7" borderId="3" applyAlignment="1" pivotButton="0" quotePrefix="0" xfId="0">
      <alignment horizontal="center" vertical="center"/>
    </xf>
    <xf numFmtId="167" fontId="8" fillId="6" borderId="2" applyAlignment="1" pivotButton="0" quotePrefix="0" xfId="0">
      <alignment horizontal="center" vertical="center"/>
    </xf>
    <xf numFmtId="0" fontId="15" fillId="4" borderId="0" applyAlignment="1" pivotButton="0" quotePrefix="0" xfId="0">
      <alignment horizontal="right" vertical="center"/>
    </xf>
    <xf numFmtId="0" fontId="16" fillId="5" borderId="4" applyAlignment="1" applyProtection="1" pivotButton="0" quotePrefix="0" xfId="0">
      <alignment horizontal="left" vertical="center" indent="1"/>
      <protection locked="0" hidden="0"/>
    </xf>
    <xf numFmtId="0" fontId="16" fillId="5" borderId="0" pivotButton="0" quotePrefix="0" xfId="0"/>
    <xf numFmtId="0" fontId="17" fillId="4" borderId="0" applyAlignment="1" pivotButton="0" quotePrefix="0" xfId="0">
      <alignment horizontal="right" vertical="center" indent="1"/>
    </xf>
    <xf numFmtId="0" fontId="17" fillId="0" borderId="0" pivotButton="0" quotePrefix="0" xfId="0"/>
    <xf numFmtId="0" fontId="18" fillId="6" borderId="5" applyAlignment="1" pivotButton="0" quotePrefix="0" xfId="0">
      <alignment horizontal="left" vertical="center" indent="1"/>
    </xf>
    <xf numFmtId="0" fontId="18" fillId="6" borderId="5" pivotButton="0" quotePrefix="0" xfId="0"/>
    <xf numFmtId="0" fontId="19" fillId="6" borderId="5" applyAlignment="1" pivotButton="0" quotePrefix="0" xfId="0">
      <alignment horizontal="right" vertical="center" indent="1"/>
    </xf>
    <xf numFmtId="0" fontId="19" fillId="6" borderId="5" pivotButton="0" quotePrefix="0" xfId="0"/>
    <xf numFmtId="0" fontId="5" fillId="6" borderId="2" applyAlignment="1" pivotButton="0" quotePrefix="0" xfId="0">
      <alignment horizontal="left" vertical="center" indent="1"/>
    </xf>
    <xf numFmtId="0" fontId="5" fillId="6" borderId="2" pivotButton="0" quotePrefix="0" xfId="0"/>
    <xf numFmtId="0" fontId="5" fillId="6" borderId="2" applyAlignment="1" pivotButton="0" quotePrefix="0" xfId="0">
      <alignment horizontal="right" vertical="center" indent="1"/>
    </xf>
    <xf numFmtId="0" fontId="20" fillId="6" borderId="6" applyAlignment="1" pivotButton="0" quotePrefix="0" xfId="0">
      <alignment horizontal="left" vertical="center" indent="1"/>
    </xf>
    <xf numFmtId="0" fontId="20" fillId="6" borderId="0" pivotButton="0" quotePrefix="0" xfId="0"/>
    <xf numFmtId="0" fontId="20" fillId="6" borderId="8" applyAlignment="1" pivotButton="0" quotePrefix="0" xfId="0">
      <alignment horizontal="left" vertical="center" indent="1"/>
    </xf>
    <xf numFmtId="0" fontId="20" fillId="6" borderId="9" applyAlignment="1" pivotButton="0" quotePrefix="0" xfId="0">
      <alignment horizontal="left" vertical="center" indent="1"/>
    </xf>
    <xf numFmtId="0" fontId="20" fillId="6" borderId="10" applyAlignment="1" pivotButton="0" quotePrefix="0" xfId="0">
      <alignment horizontal="left" vertical="center" indent="1"/>
    </xf>
    <xf numFmtId="166" fontId="21" fillId="6" borderId="7" applyAlignment="1" pivotButton="0" quotePrefix="0" xfId="0">
      <alignment horizontal="left" vertical="center" indent="1"/>
    </xf>
    <xf numFmtId="0" fontId="21" fillId="6" borderId="0" pivotButton="0" quotePrefix="0" xfId="0"/>
    <xf numFmtId="166" fontId="22" fillId="6" borderId="7" applyAlignment="1" pivotButton="0" quotePrefix="0" xfId="0">
      <alignment horizontal="left" vertical="center" indent="1"/>
    </xf>
    <xf numFmtId="0" fontId="22" fillId="6" borderId="0" pivotButton="0" quotePrefix="0" xfId="0"/>
    <xf numFmtId="166" fontId="23" fillId="6" borderId="7" applyAlignment="1" pivotButton="0" quotePrefix="0" xfId="0">
      <alignment horizontal="left" vertical="center" indent="1"/>
    </xf>
    <xf numFmtId="0" fontId="23" fillId="6" borderId="0" pivotButton="0" quotePrefix="0" xfId="0"/>
    <xf numFmtId="166" fontId="24" fillId="6" borderId="7" applyAlignment="1" pivotButton="0" quotePrefix="0" xfId="0">
      <alignment horizontal="left" vertical="center" indent="1"/>
    </xf>
    <xf numFmtId="0" fontId="24" fillId="6" borderId="0" pivotButton="0" quotePrefix="0" xfId="0"/>
    <xf numFmtId="0" fontId="6" fillId="2" borderId="11" applyAlignment="1" pivotButton="0" quotePrefix="0" xfId="0">
      <alignment horizontal="left" vertical="center" indent="2"/>
    </xf>
    <xf numFmtId="0" fontId="6" fillId="2" borderId="11" pivotButton="0" quotePrefix="0" xfId="0"/>
    <xf numFmtId="0" fontId="6" fillId="9" borderId="11" applyAlignment="1" pivotButton="0" quotePrefix="0" xfId="0">
      <alignment horizontal="left" vertical="center" indent="2"/>
    </xf>
    <xf numFmtId="0" fontId="6" fillId="9" borderId="11" pivotButton="0" quotePrefix="0" xfId="0"/>
    <xf numFmtId="0" fontId="8" fillId="6" borderId="0" applyAlignment="1" pivotButton="0" quotePrefix="0" xfId="0">
      <alignment horizontal="center" vertical="center"/>
    </xf>
    <xf numFmtId="168" fontId="8" fillId="6" borderId="0" applyAlignment="1" pivotButton="0" quotePrefix="0" xfId="0">
      <alignment horizontal="center" vertical="center"/>
    </xf>
    <xf numFmtId="166" fontId="8" fillId="6" borderId="0" applyAlignment="1" pivotButton="0" quotePrefix="0" xfId="0">
      <alignment horizontal="right" vertical="center" indent="1"/>
    </xf>
    <xf numFmtId="0" fontId="25" fillId="4" borderId="12" applyAlignment="1" pivotButton="0" quotePrefix="0" xfId="0">
      <alignment horizontal="left" vertical="center" wrapText="1" indent="1"/>
    </xf>
    <xf numFmtId="0" fontId="25" fillId="4" borderId="12" pivotButton="0" quotePrefix="0" xfId="0"/>
    <xf numFmtId="0" fontId="20" fillId="4" borderId="13" applyAlignment="1" pivotButton="0" quotePrefix="0" xfId="0">
      <alignment horizontal="center" vertical="bottom"/>
    </xf>
    <xf numFmtId="0" fontId="20" fillId="4" borderId="13" pivotButton="0" quotePrefix="0" xfId="0"/>
    <xf numFmtId="166" fontId="12" fillId="7" borderId="3" applyAlignment="1" pivotButton="0" quotePrefix="0" xfId="0">
      <alignment horizontal="right" vertical="center" indent="1"/>
    </xf>
    <xf numFmtId="166" fontId="8" fillId="6" borderId="2" applyAlignment="1" pivotButton="0" quotePrefix="0" xfId="0">
      <alignment horizontal="left" vertical="center" indent="1"/>
    </xf>
    <xf numFmtId="166" fontId="7" fillId="5" borderId="2" applyAlignment="1" applyProtection="1" pivotButton="0" quotePrefix="0" xfId="0">
      <alignment horizontal="left" vertical="center" indent="1"/>
      <protection locked="0" hidden="0"/>
    </xf>
    <xf numFmtId="164" fontId="13" fillId="0" borderId="0" applyAlignment="1" pivotButton="0" quotePrefix="0" xfId="0">
      <alignment horizontal="center" vertical="center"/>
    </xf>
    <xf numFmtId="167" fontId="7" fillId="5" borderId="2" applyAlignment="1" applyProtection="1" pivotButton="0" quotePrefix="0" xfId="0">
      <alignment horizontal="center" vertical="center"/>
      <protection locked="0" hidden="0"/>
    </xf>
    <xf numFmtId="168" fontId="7" fillId="6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7" fillId="5" borderId="2" applyProtection="1" pivotButton="0" quotePrefix="0" xfId="0">
      <protection locked="0" hidden="0"/>
    </xf>
    <xf numFmtId="166" fontId="8" fillId="6" borderId="2" applyAlignment="1" pivotButton="0" quotePrefix="0" xfId="0">
      <alignment horizontal="center" vertical="center"/>
    </xf>
    <xf numFmtId="0" fontId="0" fillId="0" borderId="49" pivotButton="0" quotePrefix="0" xfId="0"/>
    <xf numFmtId="0" fontId="55" fillId="6" borderId="38" applyAlignment="1" pivotButton="0" quotePrefix="0" xfId="0">
      <alignment horizontal="left" vertical="center" indent="1"/>
    </xf>
    <xf numFmtId="0" fontId="0" fillId="0" borderId="39" pivotButton="0" quotePrefix="0" xfId="0"/>
    <xf numFmtId="0" fontId="0" fillId="0" borderId="40" pivotButton="0" quotePrefix="0" xfId="0"/>
    <xf numFmtId="0" fontId="55" fillId="6" borderId="30" applyAlignment="1" pivotButton="0" quotePrefix="0" xfId="0">
      <alignment horizontal="left" vertical="center" indent="1"/>
    </xf>
    <xf numFmtId="0" fontId="0" fillId="0" borderId="31" pivotButton="0" quotePrefix="0" xfId="0"/>
    <xf numFmtId="0" fontId="0" fillId="0" borderId="32" pivotButton="0" quotePrefix="0" xfId="0"/>
    <xf numFmtId="0" fontId="55" fillId="6" borderId="45" applyAlignment="1" pivotButton="0" quotePrefix="0" xfId="0">
      <alignment horizontal="left" vertical="center" indent="1"/>
    </xf>
    <xf numFmtId="0" fontId="0" fillId="0" borderId="46" pivotButton="0" quotePrefix="0" xfId="0"/>
    <xf numFmtId="0" fontId="0" fillId="0" borderId="47" pivotButton="0" quotePrefix="0" xfId="0"/>
    <xf numFmtId="0" fontId="55" fillId="6" borderId="35" applyAlignment="1" pivotButton="0" quotePrefix="0" xfId="0">
      <alignment horizontal="left" vertical="center" indent="1"/>
    </xf>
    <xf numFmtId="0" fontId="0" fillId="0" borderId="36" pivotButton="0" quotePrefix="0" xfId="0"/>
    <xf numFmtId="0" fontId="0" fillId="0" borderId="37" pivotButton="0" quotePrefix="0" xfId="0"/>
    <xf numFmtId="164" fontId="56" fillId="6" borderId="28" applyAlignment="1" pivotButton="0" quotePrefix="0" xfId="0">
      <alignment horizontal="left" vertical="center" indent="1"/>
    </xf>
    <xf numFmtId="0" fontId="0" fillId="0" borderId="26" pivotButton="0" quotePrefix="0" xfId="0"/>
    <xf numFmtId="165" fontId="56" fillId="6" borderId="28" applyAlignment="1" pivotButton="0" quotePrefix="0" xfId="0">
      <alignment horizontal="left" vertical="center" indent="1"/>
    </xf>
    <xf numFmtId="0" fontId="0" fillId="0" borderId="14" pivotButton="0" quotePrefix="0" xfId="0"/>
    <xf numFmtId="0" fontId="0" fillId="0" borderId="27" pivotButton="0" quotePrefix="0" xfId="0"/>
    <xf numFmtId="0" fontId="55" fillId="6" borderId="50" applyAlignment="1" pivotButton="0" quotePrefix="0" xfId="0">
      <alignment horizontal="left" vertical="center" indent="1"/>
    </xf>
    <xf numFmtId="0" fontId="0" fillId="0" borderId="51" pivotButton="0" quotePrefix="0" xfId="0"/>
    <xf numFmtId="0" fontId="0" fillId="0" borderId="52" pivotButton="0" quotePrefix="0" xfId="0"/>
    <xf numFmtId="0" fontId="57" fillId="6" borderId="48" applyAlignment="1" pivotButton="0" quotePrefix="0" xfId="0">
      <alignment horizontal="left" vertical="center" indent="1"/>
    </xf>
    <xf numFmtId="0" fontId="0" fillId="0" borderId="43" pivotButton="0" quotePrefix="0" xfId="0"/>
    <xf numFmtId="0" fontId="0" fillId="0" borderId="43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0" fontId="8" fillId="6" borderId="33" applyAlignment="1" pivotButton="0" quotePrefix="0" xfId="0">
      <alignment horizontal="left" vertical="center" indent="1"/>
    </xf>
    <xf numFmtId="0" fontId="0" fillId="0" borderId="34" pivotButton="0" quotePrefix="0" xfId="0"/>
    <xf numFmtId="164" fontId="62" fillId="6" borderId="25" applyAlignment="1" pivotButton="0" quotePrefix="0" xfId="0">
      <alignment horizontal="center" vertical="center"/>
    </xf>
    <xf numFmtId="0" fontId="8" fillId="6" borderId="29" applyAlignment="1" pivotButton="0" quotePrefix="0" xfId="0">
      <alignment horizontal="left" vertical="center" indent="1"/>
    </xf>
    <xf numFmtId="164" fontId="63" fillId="6" borderId="16" applyAlignment="1" pivotButton="0" quotePrefix="0" xfId="0">
      <alignment horizontal="center" vertical="center"/>
    </xf>
    <xf numFmtId="164" fontId="64" fillId="6" borderId="16" applyAlignment="1" pivotButton="0" quotePrefix="0" xfId="0">
      <alignment horizontal="center" vertical="center"/>
    </xf>
    <xf numFmtId="166" fontId="60" fillId="6" borderId="23" applyAlignment="1" pivotButton="0" quotePrefix="0" xfId="0">
      <alignment horizontal="right" vertical="center" indent="1"/>
    </xf>
    <xf numFmtId="164" fontId="62" fillId="6" borderId="16" applyAlignment="1" pivotButton="0" quotePrefix="0" xfId="0">
      <alignment horizontal="center" vertical="center"/>
    </xf>
    <xf numFmtId="166" fontId="61" fillId="6" borderId="23" applyAlignment="1" pivotButton="0" quotePrefix="0" xfId="0">
      <alignment horizontal="right" vertical="center" indent="1"/>
    </xf>
    <xf numFmtId="167" fontId="60" fillId="6" borderId="23" applyAlignment="1" pivotButton="0" quotePrefix="0" xfId="0">
      <alignment horizontal="right" vertical="center" indent="1"/>
    </xf>
    <xf numFmtId="168" fontId="60" fillId="6" borderId="23" applyAlignment="1" pivotButton="0" quotePrefix="0" xfId="0">
      <alignment horizontal="right" vertical="center" indent="1"/>
    </xf>
    <xf numFmtId="0" fontId="9" fillId="4" borderId="54" applyAlignment="1" pivotButton="0" quotePrefix="0" xfId="0">
      <alignment horizontal="left" vertical="center"/>
    </xf>
    <xf numFmtId="0" fontId="15" fillId="6" borderId="29" applyAlignment="1" pivotButton="0" quotePrefix="0" xfId="0">
      <alignment horizontal="left" vertical="center" wrapText="1" indent="1"/>
    </xf>
    <xf numFmtId="0" fontId="29" fillId="6" borderId="53" applyAlignment="1" pivotButton="0" quotePrefix="0" xfId="0">
      <alignment horizontal="left" vertical="center" wrapText="1" indent="1"/>
    </xf>
    <xf numFmtId="0" fontId="8" fillId="6" borderId="53" applyAlignment="1" pivotButton="0" quotePrefix="0" xfId="0">
      <alignment horizontal="left" vertical="center" wrapText="1" indent="1"/>
    </xf>
    <xf numFmtId="0" fontId="30" fillId="6" borderId="53" applyAlignment="1" pivotButton="0" quotePrefix="0" xfId="0">
      <alignment horizontal="left" vertical="center" wrapText="1" indent="1"/>
    </xf>
    <xf numFmtId="0" fontId="15" fillId="6" borderId="53" applyAlignment="1" pivotButton="0" quotePrefix="0" xfId="0">
      <alignment horizontal="left" vertical="center" wrapText="1" indent="1"/>
    </xf>
    <xf numFmtId="0" fontId="33" fillId="6" borderId="53" applyAlignment="1" pivotButton="0" quotePrefix="0" xfId="0">
      <alignment horizontal="left" vertical="center" wrapText="1" indent="1"/>
    </xf>
    <xf numFmtId="0" fontId="35" fillId="6" borderId="53" applyAlignment="1" pivotButton="0" quotePrefix="0" xfId="0">
      <alignment horizontal="left" vertical="center" wrapText="1" indent="1"/>
    </xf>
    <xf numFmtId="0" fontId="37" fillId="6" borderId="53" applyAlignment="1" pivotButton="0" quotePrefix="0" xfId="0">
      <alignment horizontal="left" vertical="center" wrapText="1" indent="1"/>
    </xf>
    <xf numFmtId="0" fontId="17" fillId="6" borderId="53" applyAlignment="1" pivotButton="0" quotePrefix="0" xfId="0">
      <alignment horizontal="left" vertical="center" wrapText="1" indent="1"/>
    </xf>
    <xf numFmtId="164" fontId="9" fillId="7" borderId="3" applyAlignment="1" pivotButton="0" quotePrefix="0" xfId="0">
      <alignment horizontal="right" vertical="center" indent="1"/>
    </xf>
    <xf numFmtId="166" fontId="9" fillId="7" borderId="3" applyAlignment="1" pivotButton="0" quotePrefix="0" xfId="0">
      <alignment horizontal="right" vertical="center" indent="1"/>
    </xf>
    <xf numFmtId="168" fontId="7" fillId="5" borderId="2" applyAlignment="1" applyProtection="1" pivotButton="0" quotePrefix="0" xfId="0">
      <alignment horizontal="right" vertical="center" indent="1"/>
      <protection locked="0" hidden="0"/>
    </xf>
    <xf numFmtId="166" fontId="7" fillId="5" borderId="2" applyAlignment="1" applyProtection="1" pivotButton="0" quotePrefix="0" xfId="0">
      <alignment horizontal="center" vertical="center"/>
      <protection locked="0" hidden="0"/>
    </xf>
    <xf numFmtId="168" fontId="7" fillId="5" borderId="2" applyAlignment="1" applyProtection="1" pivotButton="0" quotePrefix="0" xfId="0">
      <alignment horizontal="left" vertical="center" indent="1"/>
      <protection locked="0" hidden="0"/>
    </xf>
    <xf numFmtId="168" fontId="7" fillId="5" borderId="2" applyAlignment="1" applyProtection="1" pivotButton="0" quotePrefix="0" xfId="0">
      <alignment horizontal="center" vertical="center"/>
      <protection locked="0" hidden="0"/>
    </xf>
    <xf numFmtId="166" fontId="7" fillId="5" borderId="2" applyAlignment="1" applyProtection="1" pivotButton="0" quotePrefix="0" xfId="0">
      <alignment horizontal="right" vertical="center" indent="1"/>
      <protection locked="0" hidden="0"/>
    </xf>
    <xf numFmtId="166" fontId="8" fillId="6" borderId="2" applyAlignment="1" pivotButton="0" quotePrefix="0" xfId="0">
      <alignment horizontal="right" vertical="center" indent="1"/>
    </xf>
    <xf numFmtId="169" fontId="8" fillId="6" borderId="2" applyAlignment="1" pivotButton="0" quotePrefix="0" xfId="0">
      <alignment horizontal="center" vertical="center"/>
    </xf>
    <xf numFmtId="168" fontId="8" fillId="6" borderId="2" applyAlignment="1" pivotButton="0" quotePrefix="0" xfId="0">
      <alignment horizontal="center" vertical="center"/>
    </xf>
    <xf numFmtId="164" fontId="9" fillId="7" borderId="3" applyAlignment="1" pivotButton="0" quotePrefix="0" xfId="0">
      <alignment horizontal="center" vertical="center"/>
    </xf>
    <xf numFmtId="170" fontId="8" fillId="6" borderId="2" applyAlignment="1" pivotButton="0" quotePrefix="0" xfId="0">
      <alignment horizontal="center" vertical="center"/>
    </xf>
    <xf numFmtId="164" fontId="8" fillId="6" borderId="2" applyAlignment="1" pivotButton="0" quotePrefix="0" xfId="0">
      <alignment horizontal="center" vertical="center"/>
    </xf>
    <xf numFmtId="167" fontId="9" fillId="7" borderId="3" applyAlignment="1" pivotButton="0" quotePrefix="0" xfId="0">
      <alignment horizontal="center" vertical="center"/>
    </xf>
    <xf numFmtId="167" fontId="8" fillId="6" borderId="2" applyAlignment="1" pivotButton="0" quotePrefix="0" xfId="0">
      <alignment horizontal="center" vertical="center"/>
    </xf>
    <xf numFmtId="0" fontId="0" fillId="0" borderId="60" applyProtection="1" pivotButton="0" quotePrefix="0" xfId="0">
      <protection locked="0" hidden="0"/>
    </xf>
    <xf numFmtId="0" fontId="0" fillId="0" borderId="61" applyProtection="1" pivotButton="0" quotePrefix="0" xfId="0">
      <protection locked="0" hidden="0"/>
    </xf>
    <xf numFmtId="0" fontId="0" fillId="0" borderId="55" pivotButton="0" quotePrefix="0" xfId="0"/>
    <xf numFmtId="0" fontId="20" fillId="6" borderId="30" applyAlignment="1" pivotButton="0" quotePrefix="0" xfId="0">
      <alignment horizontal="left" vertical="center" indent="1"/>
    </xf>
    <xf numFmtId="0" fontId="20" fillId="6" borderId="35" applyAlignment="1" pivotButton="0" quotePrefix="0" xfId="0">
      <alignment horizontal="left" vertical="center" indent="1"/>
    </xf>
    <xf numFmtId="0" fontId="20" fillId="6" borderId="45" applyAlignment="1" pivotButton="0" quotePrefix="0" xfId="0">
      <alignment horizontal="left" vertical="center" indent="1"/>
    </xf>
    <xf numFmtId="0" fontId="20" fillId="6" borderId="50" applyAlignment="1" pivotButton="0" quotePrefix="0" xfId="0">
      <alignment horizontal="left" vertical="center" indent="1"/>
    </xf>
    <xf numFmtId="166" fontId="21" fillId="6" borderId="7" applyAlignment="1" pivotButton="0" quotePrefix="0" xfId="0">
      <alignment horizontal="left" vertical="center" indent="1"/>
    </xf>
    <xf numFmtId="166" fontId="22" fillId="6" borderId="7" applyAlignment="1" pivotButton="0" quotePrefix="0" xfId="0">
      <alignment horizontal="left" vertical="center" indent="1"/>
    </xf>
    <xf numFmtId="166" fontId="23" fillId="6" borderId="7" applyAlignment="1" pivotButton="0" quotePrefix="0" xfId="0">
      <alignment horizontal="left" vertical="center" indent="1"/>
    </xf>
    <xf numFmtId="166" fontId="24" fillId="6" borderId="7" applyAlignment="1" pivotButton="0" quotePrefix="0" xfId="0">
      <alignment horizontal="left" vertical="center" indent="1"/>
    </xf>
    <xf numFmtId="0" fontId="0" fillId="0" borderId="57" pivotButton="0" quotePrefix="0" xfId="0"/>
    <xf numFmtId="168" fontId="8" fillId="6" borderId="0" applyAlignment="1" pivotButton="0" quotePrefix="0" xfId="0">
      <alignment horizontal="center" vertical="center"/>
    </xf>
    <xf numFmtId="166" fontId="8" fillId="6" borderId="0" applyAlignment="1" pivotButton="0" quotePrefix="0" xfId="0">
      <alignment horizontal="right" vertical="center" indent="1"/>
    </xf>
    <xf numFmtId="0" fontId="0" fillId="0" borderId="58" pivotButton="0" quotePrefix="0" xfId="0"/>
    <xf numFmtId="0" fontId="0" fillId="0" borderId="56" pivotButton="0" quotePrefix="0" xfId="0"/>
    <xf numFmtId="166" fontId="12" fillId="7" borderId="3" applyAlignment="1" pivotButton="0" quotePrefix="0" xfId="0">
      <alignment horizontal="right" vertical="center" indent="1"/>
    </xf>
    <xf numFmtId="166" fontId="8" fillId="6" borderId="2" applyAlignment="1" pivotButton="0" quotePrefix="0" xfId="0">
      <alignment horizontal="left" vertical="center" indent="1"/>
    </xf>
    <xf numFmtId="166" fontId="7" fillId="5" borderId="2" applyAlignment="1" applyProtection="1" pivotButton="0" quotePrefix="0" xfId="0">
      <alignment horizontal="left" vertical="center" indent="1"/>
      <protection locked="0" hidden="0"/>
    </xf>
    <xf numFmtId="164" fontId="13" fillId="0" borderId="0" applyAlignment="1" pivotButton="0" quotePrefix="0" xfId="0">
      <alignment horizontal="center" vertical="center"/>
    </xf>
    <xf numFmtId="167" fontId="7" fillId="5" borderId="2" applyAlignment="1" applyProtection="1" pivotButton="0" quotePrefix="0" xfId="0">
      <alignment horizontal="center" vertical="center"/>
      <protection locked="0" hidden="0"/>
    </xf>
    <xf numFmtId="168" fontId="7" fillId="6" borderId="2" applyAlignment="1" pivotButton="0" quotePrefix="0" xfId="0">
      <alignment horizontal="center" vertical="center"/>
    </xf>
    <xf numFmtId="166" fontId="8" fillId="6" borderId="2" applyAlignment="1" pivotButton="0" quotePrefix="0" xfId="0">
      <alignment horizontal="center" vertical="center"/>
    </xf>
    <xf numFmtId="0" fontId="2" fillId="2" borderId="54" applyAlignment="1" pivotButton="0" quotePrefix="0" xfId="0">
      <alignment horizontal="left" vertical="center" indent="2"/>
    </xf>
    <xf numFmtId="0" fontId="66" fillId="26" borderId="2" applyAlignment="1" applyProtection="1" pivotButton="0" quotePrefix="0" xfId="0">
      <alignment horizontal="center" vertical="center"/>
      <protection locked="0" hidden="0"/>
    </xf>
    <xf numFmtId="0" fontId="66" fillId="26" borderId="2" applyAlignment="1" applyProtection="1" pivotButton="0" quotePrefix="0" xfId="0">
      <alignment horizontal="left" vertical="center" indent="1"/>
      <protection locked="0" hidden="0"/>
    </xf>
    <xf numFmtId="168" fontId="66" fillId="26" borderId="2" applyAlignment="1" applyProtection="1" pivotButton="0" quotePrefix="0" xfId="0">
      <alignment horizontal="right" vertical="center" indent="1"/>
      <protection locked="0" hidden="0"/>
    </xf>
    <xf numFmtId="166" fontId="66" fillId="26" borderId="2" applyAlignment="1" applyProtection="1" pivotButton="0" quotePrefix="0" xfId="0">
      <alignment horizontal="center" vertical="center"/>
      <protection locked="0" hidden="0"/>
    </xf>
    <xf numFmtId="168" fontId="66" fillId="26" borderId="2" applyAlignment="1" applyProtection="1" pivotButton="0" quotePrefix="0" xfId="0">
      <alignment horizontal="left" vertical="center" indent="1"/>
      <protection locked="0" hidden="0"/>
    </xf>
    <xf numFmtId="0" fontId="66" fillId="26" borderId="2" applyAlignment="1" pivotButton="0" quotePrefix="0" xfId="0">
      <alignment horizontal="center" vertical="center"/>
    </xf>
    <xf numFmtId="168" fontId="66" fillId="26" borderId="2" applyAlignment="1" applyProtection="1" pivotButton="0" quotePrefix="0" xfId="0">
      <alignment horizontal="center" vertical="center"/>
      <protection locked="0" hidden="0"/>
    </xf>
    <xf numFmtId="166" fontId="66" fillId="26" borderId="2" applyAlignment="1" applyProtection="1" pivotButton="0" quotePrefix="0" xfId="0">
      <alignment horizontal="right" vertical="center" indent="1"/>
      <protection locked="0" hidden="0"/>
    </xf>
    <xf numFmtId="166" fontId="66" fillId="26" borderId="2" applyAlignment="1" pivotButton="0" quotePrefix="0" xfId="0">
      <alignment horizontal="right" vertical="center" indent="1"/>
    </xf>
    <xf numFmtId="169" fontId="66" fillId="26" borderId="2" applyAlignment="1" pivotButton="0" quotePrefix="0" xfId="0">
      <alignment horizontal="center" vertical="center"/>
    </xf>
    <xf numFmtId="168" fontId="66" fillId="26" borderId="2" applyAlignment="1" pivotButton="0" quotePrefix="0" xfId="0">
      <alignment horizontal="center" vertical="center"/>
    </xf>
    <xf numFmtId="170" fontId="66" fillId="26" borderId="2" applyAlignment="1" pivotButton="0" quotePrefix="0" xfId="0">
      <alignment horizontal="center" vertical="center"/>
    </xf>
    <xf numFmtId="0" fontId="66" fillId="26" borderId="2" applyAlignment="1" pivotButton="0" quotePrefix="0" xfId="0">
      <alignment horizontal="left" vertical="center" indent="1"/>
    </xf>
    <xf numFmtId="164" fontId="66" fillId="26" borderId="2" applyAlignment="1" pivotButton="0" quotePrefix="0" xfId="0">
      <alignment horizontal="center" vertical="center"/>
    </xf>
    <xf numFmtId="0" fontId="18" fillId="6" borderId="62" applyAlignment="1" pivotButton="0" quotePrefix="0" xfId="0">
      <alignment horizontal="left" vertical="center" indent="1"/>
    </xf>
    <xf numFmtId="0" fontId="19" fillId="6" borderId="62" applyAlignment="1" pivotButton="0" quotePrefix="0" xfId="0">
      <alignment horizontal="right" vertical="center" indent="1"/>
    </xf>
    <xf numFmtId="0" fontId="5" fillId="6" borderId="53" applyAlignment="1" pivotButton="0" quotePrefix="0" xfId="0">
      <alignment horizontal="left" vertical="center" indent="1"/>
    </xf>
    <xf numFmtId="0" fontId="5" fillId="6" borderId="53" applyAlignment="1" pivotButton="0" quotePrefix="0" xfId="0">
      <alignment horizontal="right" vertical="center" indent="1"/>
    </xf>
    <xf numFmtId="0" fontId="6" fillId="2" borderId="64" applyAlignment="1" pivotButton="0" quotePrefix="0" xfId="0">
      <alignment horizontal="left" vertical="center" indent="2"/>
    </xf>
    <xf numFmtId="0" fontId="6" fillId="9" borderId="64" applyAlignment="1" pivotButton="0" quotePrefix="0" xfId="0">
      <alignment horizontal="left" vertical="center" indent="2"/>
    </xf>
    <xf numFmtId="0" fontId="25" fillId="4" borderId="65" applyAlignment="1" pivotButton="0" quotePrefix="0" xfId="0">
      <alignment horizontal="left" vertical="center" wrapText="1" indent="1"/>
    </xf>
    <xf numFmtId="0" fontId="20" fillId="4" borderId="63" applyAlignment="1" pivotButton="0" quotePrefix="0" xfId="0">
      <alignment horizontal="center" vertical="bottom"/>
    </xf>
  </cellXfs>
  <cellStyles count="1">
    <cellStyle name="Normal" xfId="0" builtinId="0" hidden="0"/>
  </cellStyles>
  <dxfs count="12">
    <dxf>
      <font>
        <name val="Segoe UI"/>
        <b val="1"/>
        <color rgb="00A32D2D"/>
        <sz val="13"/>
      </font>
      <fill>
        <patternFill patternType="solid">
          <fgColor rgb="00FBECEC"/>
        </patternFill>
      </fill>
    </dxf>
    <dxf>
      <font>
        <name val="Segoe UI"/>
        <b val="1"/>
        <color rgb="00854F0B"/>
        <sz val="13"/>
      </font>
      <fill>
        <patternFill patternType="solid">
          <fgColor rgb="00FDF3E3"/>
        </patternFill>
      </fill>
    </dxf>
    <dxf>
      <font>
        <name val="Segoe UI"/>
        <b val="1"/>
        <color rgb="00185FA5"/>
        <sz val="13"/>
      </font>
      <fill>
        <patternFill patternType="solid">
          <fgColor rgb="00FDF3E3"/>
        </patternFill>
      </fill>
    </dxf>
    <dxf>
      <font>
        <name val="Segoe UI"/>
        <b val="1"/>
        <color rgb="000F6E56"/>
        <sz val="10.5"/>
      </font>
      <fill>
        <patternFill patternType="solid">
          <fgColor rgb="00E7F5EF"/>
        </patternFill>
      </fill>
    </dxf>
    <dxf>
      <font>
        <name val="Segoe UI"/>
        <b val="1"/>
        <color rgb="00854F0B"/>
        <sz val="10.5"/>
      </font>
      <fill>
        <patternFill patternType="solid">
          <fgColor rgb="00FDF3E3"/>
        </patternFill>
      </fill>
    </dxf>
    <dxf>
      <font>
        <name val="Segoe UI"/>
        <b val="1"/>
        <color rgb="00A32D2D"/>
        <sz val="10.5"/>
      </font>
      <fill>
        <patternFill patternType="solid">
          <fgColor rgb="00FBECEC"/>
        </patternFill>
      </fill>
    </dxf>
    <dxf>
      <font>
        <name val="Segoe UI"/>
        <b val="1"/>
        <color rgb="0064748B"/>
        <sz val="10.5"/>
      </font>
      <fill>
        <patternFill patternType="solid">
          <fgColor rgb="00F1F5F9"/>
        </patternFill>
      </fill>
    </dxf>
    <dxf>
      <font>
        <name val="Segoe UI"/>
        <b val="1"/>
        <color rgb="00185FA5"/>
        <sz val="10.5"/>
      </font>
      <fill>
        <patternFill patternType="solid">
          <fgColor rgb="00E8F0FA"/>
        </patternFill>
      </fill>
    </dxf>
    <dxf>
      <font>
        <name val="Segoe UI"/>
        <b val="1"/>
        <color rgb="00A32D2D"/>
        <sz val="11"/>
      </font>
    </dxf>
    <dxf>
      <fill>
        <patternFill patternType="solid">
          <fgColor rgb="00F7F9FB"/>
        </patternFill>
      </fill>
    </dxf>
    <dxf>
      <border>
        <bottom style="thin">
          <color rgb="00E2E8F0"/>
        </bottom>
      </border>
    </dxf>
    <dxf>
      <font>
        <name val="Segoe UI"/>
        <b val="1"/>
        <color rgb="00A32D2D"/>
        <sz val="11"/>
      </font>
      <fill>
        <patternFill patternType="solid">
          <fgColor rgb="00FB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900" b="1">
                <a:solidFill>
                  <a:srgbClr val="17324D"/>
                </a:solidFill>
                <a:latin typeface="Segoe UI"/>
              </a:rPr>
              <a:t>Aylık nakit kâr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'AY_SONU'!I6</f>
            </strRef>
          </tx>
          <spPr>
            <a:ln xmlns:a="http://schemas.openxmlformats.org/drawingml/2006/main" w="22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'AY_SONU'!$B$7:$B$18</f>
            </numRef>
          </cat>
          <val>
            <numRef>
              <f>'AY_SONU'!$I$7:$I$18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900" b="1">
                <a:solidFill>
                  <a:srgbClr val="17324D"/>
                </a:solidFill>
                <a:latin typeface="Segoe UI"/>
              </a:rPr>
              <a:t>Tahakkuk ve tahsilat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'AY_SONU'!C6</f>
            </strRef>
          </tx>
          <spPr>
            <a:solidFill xmlns:a="http://schemas.openxmlformats.org/drawingml/2006/main">
              <a:srgbClr val="9FB8D0"/>
            </a:solidFill>
            <a:ln xmlns:a="http://schemas.openxmlformats.org/drawingml/2006/main">
              <a:noFill/>
              <a:prstDash val="solid"/>
            </a:ln>
          </spPr>
          <cat>
            <numRef>
              <f>'AY_SONU'!$B$7:$B$18</f>
            </numRef>
          </cat>
          <val>
            <numRef>
              <f>'AY_SONU'!$C$7:$C$18</f>
            </numRef>
          </val>
        </ser>
        <ser>
          <idx val="1"/>
          <order val="1"/>
          <tx>
            <strRef>
              <f>'AY_SONU'!D6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noFill/>
              <a:prstDash val="solid"/>
            </a:ln>
          </spPr>
          <cat>
            <numRef>
              <f>'AY_SONU'!$B$7:$B$18</f>
            </numRef>
          </cat>
          <val>
            <numRef>
              <f>'AY_SONU'!$D$7:$D$18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750" b="0">
              <a:solidFill>
                <a:srgbClr val="64748B"/>
              </a:solidFill>
              <a:latin typeface="Segoe UI"/>
            </a:defRPr>
          </a:pPr>
          <a:r>
            <a:t>None</a:t>
          </a:r>
          <a:endParaRPr sz="750" b="0">
            <a:solidFill>
              <a:srgbClr val="64748B"/>
            </a:solidFill>
            <a:latin typeface="Segoe UI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900" b="1">
                <a:solidFill>
                  <a:srgbClr val="17324D"/>
                </a:solidFill>
                <a:latin typeface="Segoe UI"/>
              </a:rPr>
              <a:t>Alacak yaşlandırması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5DCAA5"/>
            </a:solidFill>
            <a:ln xmlns:a="http://schemas.openxmlformats.org/drawingml/2006/main">
              <a:noFill/>
              <a:prstDash val="solid"/>
            </a:ln>
          </spPr>
          <cat>
            <numRef>
              <f>'MUSTERI_360'!$K$6:$N$6</f>
            </numRef>
          </cat>
          <val>
            <numRef>
              <f>'MUSTERI_360'!$K$5:$N$5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2664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13</row>
      <rowOff>0</rowOff>
    </from>
    <ext cx="2664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13</row>
      <rowOff>0</rowOff>
    </from>
    <ext cx="2664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Segoe U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Segoe U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Q42"/>
  <sheetViews>
    <sheetView showGridLines="0" tabSelected="1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4" customWidth="1" min="1" max="1"/>
    <col width="21" customWidth="1" min="2" max="2"/>
    <col width="1.4" customWidth="1" min="3" max="3"/>
    <col width="9.6" customWidth="1" min="4" max="4"/>
    <col width="9.6" customWidth="1" min="5" max="5"/>
    <col width="9.6" customWidth="1" min="6" max="6"/>
    <col width="9.6" customWidth="1" min="7" max="7"/>
    <col width="9.6" customWidth="1" min="8" max="8"/>
    <col width="9.6" customWidth="1" min="9" max="9"/>
    <col width="9.6" customWidth="1" min="10" max="10"/>
    <col width="9.6" customWidth="1" min="11" max="11"/>
    <col width="9.6" customWidth="1" min="12" max="12"/>
    <col width="9.6" customWidth="1" min="13" max="13"/>
    <col width="9.6" customWidth="1" min="14" max="14"/>
    <col width="9.6" customWidth="1" min="15" max="15"/>
  </cols>
  <sheetData>
    <row r="1" ht="38" customHeight="1">
      <c r="A1" s="258" t="inlineStr">
        <is>
          <t>KILIÇ MUHASEBE   │   YÖNETİM PANOSU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3" t="n"/>
      <c r="Q1" s="3" t="n"/>
    </row>
    <row r="2" ht="22" customHeight="1">
      <c r="A2" s="4">
        <f>"Bu ekran karar, alarm ve seçim ekranıdır   │   SİSTEM DURUMU:  "&amp;IF(COUNTIFS(SISTEM!$C$23:$C$55,"KRİTİK",SISTEM!$F$23:$F$55,"KALDI")&gt;0,"KRİTİK HATA – AY KAPATILAMAZ",IF(COUNTIF(SISTEM!$F$23:$F$55,"KALDI")=0,"KULLANIMA UYGUN","UYARI VAR – İNCELEYİN"))&amp;"   │   "&amp;COUNTIF(SISTEM!$F$23:$F$55,"GEÇTİ")&amp;" / "&amp;COUNTIF(SISTEM!$F$23:$F$55,"&lt;&gt;BİLGİ")&amp;" kontrol geçti"</f>
        <v/>
      </c>
      <c r="P2" s="3" t="n"/>
      <c r="Q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 ht="20" customHeight="1">
      <c r="A4" s="6" t="n"/>
      <c r="B4" s="7">
        <f>TEXT(TODAY(),"dd.mm.yyyy")&amp;"   │   "&amp;SISTEM!$C$7</f>
        <v/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 ht="22" customHeight="1">
      <c r="A5" s="6" t="n"/>
      <c r="B5" s="8" t="inlineStr">
        <is>
          <t>MENÜ</t>
        </is>
      </c>
      <c r="C5" s="6" t="n"/>
      <c r="D5" s="175" t="inlineStr">
        <is>
          <t>AKTİF MÜŞTERİ</t>
        </is>
      </c>
      <c r="E5" s="176" t="n"/>
      <c r="F5" s="177" t="n"/>
      <c r="G5" s="178" t="inlineStr">
        <is>
          <t>TOPLAM CARİ ALACAK</t>
        </is>
      </c>
      <c r="H5" s="179" t="n"/>
      <c r="I5" s="180" t="n"/>
      <c r="J5" s="181" t="inlineStr">
        <is>
          <t>29+ GÜN GECİKMİŞ</t>
        </is>
      </c>
      <c r="K5" s="182" t="n"/>
      <c r="L5" s="183" t="n"/>
      <c r="M5" s="184" t="inlineStr">
        <is>
          <t>KASA + BANKA</t>
        </is>
      </c>
      <c r="N5" s="185" t="n"/>
      <c r="O5" s="186" t="n"/>
      <c r="P5" s="6" t="n"/>
      <c r="Q5" s="6" t="n"/>
    </row>
    <row r="6" ht="22" customHeight="1">
      <c r="A6" s="6" t="n"/>
      <c r="B6" s="14">
        <f>HYPERLINK("#PANO!A1","    PANO")</f>
        <v/>
      </c>
      <c r="C6" s="6" t="n"/>
      <c r="D6" s="187">
        <f>COUNTIF(MUSTERILER!$D$7:$D$106,"Aktif")</f>
        <v/>
      </c>
      <c r="F6" s="188" t="n"/>
      <c r="G6" s="189">
        <f>SUM(MUSTERI_360!$J$7:$J$106)</f>
        <v/>
      </c>
      <c r="I6" s="188" t="n"/>
      <c r="J6" s="189">
        <f>SUM(MUSTERI_360!$N$7:$N$106)</f>
        <v/>
      </c>
      <c r="L6" s="188" t="n"/>
      <c r="M6" s="189">
        <f>HESAPLAR!$K$18</f>
        <v/>
      </c>
      <c r="O6" s="188" t="n"/>
      <c r="P6" s="6" t="n"/>
      <c r="Q6" s="6" t="n"/>
    </row>
    <row r="7" ht="22" customHeight="1">
      <c r="A7" s="6" t="n"/>
      <c r="B7" s="18">
        <f>HYPERLINK("#MUSTERILER!A1","    Müşteriler")</f>
        <v/>
      </c>
      <c r="C7" s="6" t="n"/>
      <c r="D7" s="19">
        <f>COUNTA(MUSTERILER!$B$7:$B$106)&amp;" kayıtlı müşteri"</f>
        <v/>
      </c>
      <c r="E7" s="190" t="n"/>
      <c r="F7" s="191" t="n"/>
      <c r="G7" s="19">
        <f>COUNTIF(MUSTERI_360!$J$7:$J$106,"&gt;0")&amp;" müşteride açık bakiye"</f>
        <v/>
      </c>
      <c r="H7" s="190" t="n"/>
      <c r="I7" s="191" t="n"/>
      <c r="J7" s="19">
        <f>TEXT(IFERROR(SUM(MUSTERI_360!$N$7:$N$106)/SUM(MUSTERI_360!$J$7:$J$106),0),"0,0%")&amp;" toplam alacağın payı"</f>
        <v/>
      </c>
      <c r="K7" s="190" t="n"/>
      <c r="L7" s="191" t="n"/>
      <c r="M7" s="19">
        <f>COUNTIF(HESAPLAR!$D$7:$D$16,"Aktif")&amp;" aktif hesap"</f>
        <v/>
      </c>
      <c r="N7" s="190" t="n"/>
      <c r="O7" s="191" t="n"/>
      <c r="P7" s="6" t="n"/>
      <c r="Q7" s="6" t="n"/>
    </row>
    <row r="8" ht="22" customHeight="1">
      <c r="A8" s="6" t="n"/>
      <c r="B8" s="18">
        <f>HYPERLINK("#UCRETLER!A1","    Haftalık Ücretler")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 ht="22" customHeight="1">
      <c r="A9" s="6" t="n"/>
      <c r="B9" s="18">
        <f>HYPERLINK("#TAHSILAT!A1","    Tahsilat")</f>
        <v/>
      </c>
      <c r="C9" s="6" t="n"/>
      <c r="D9" s="184" t="inlineStr">
        <is>
          <t>BU AY NAKİT KÂR</t>
        </is>
      </c>
      <c r="E9" s="185" t="n"/>
      <c r="F9" s="186" t="n"/>
      <c r="G9" s="175" t="inlineStr">
        <is>
          <t>BU AY TAHSİLAT</t>
        </is>
      </c>
      <c r="H9" s="176" t="n"/>
      <c r="I9" s="177" t="n"/>
      <c r="J9" s="192" t="inlineStr">
        <is>
          <t>HAFTALIK TAHAKKUK</t>
        </is>
      </c>
      <c r="K9" s="193" t="n"/>
      <c r="L9" s="194" t="n"/>
      <c r="M9" s="181" t="inlineStr">
        <is>
          <t>GECİKMİŞ İŞ</t>
        </is>
      </c>
      <c r="N9" s="182" t="n"/>
      <c r="O9" s="183" t="n"/>
      <c r="P9" s="6" t="n"/>
      <c r="Q9" s="6" t="n"/>
    </row>
    <row r="10" ht="22" customHeight="1">
      <c r="A10" s="6" t="n"/>
      <c r="B10" s="18">
        <f>HYPERLINK("#GELIR_GIDER!A1","    Gelir / Gider")</f>
        <v/>
      </c>
      <c r="C10" s="6" t="n"/>
      <c r="D10" s="189">
        <f>SUMIFS(AY_SONU!$I$7:$I$42,AY_SONU!$B$7:$B$42,"&gt;="&amp;EOMONTH(TODAY(),-1)+1,AY_SONU!$B$7:$B$42,"&lt;="&amp;EOMONTH(TODAY(),0))</f>
        <v/>
      </c>
      <c r="F10" s="188" t="n"/>
      <c r="G10" s="189">
        <f>SUMIFS(AY_SONU!$D$7:$D$42,AY_SONU!$B$7:$B$42,"&gt;="&amp;EOMONTH(TODAY(),-1)+1,AY_SONU!$B$7:$B$42,"&lt;="&amp;EOMONTH(TODAY(),0))</f>
        <v/>
      </c>
      <c r="I10" s="188" t="n"/>
      <c r="J10" s="189">
        <f>SUMIFS(UCRETLER!$G$7:$G$406,UCRETLER!$H$7:$H$406,"Aktif",UCRETLER!$F$7:$F$406,"Haftalık")</f>
        <v/>
      </c>
      <c r="L10" s="188" t="n"/>
      <c r="M10" s="187">
        <f>COUNTIF(AKTIVITE!$Q$7:$Q$1006,"GECİKMİŞ")</f>
        <v/>
      </c>
      <c r="O10" s="188" t="n"/>
      <c r="P10" s="6" t="n"/>
      <c r="Q10" s="6" t="n"/>
    </row>
    <row r="11" ht="22" customHeight="1">
      <c r="A11" s="6" t="n"/>
      <c r="B11" s="18">
        <f>HYPERLINK("#VIRMAN!A1","    Virman")</f>
        <v/>
      </c>
      <c r="C11" s="6" t="n"/>
      <c r="D11" s="19">
        <f>TEXT(TODAY(),"mmmm yyyy")&amp;" dönemi"</f>
        <v/>
      </c>
      <c r="E11" s="190" t="n"/>
      <c r="F11" s="191" t="n"/>
      <c r="G11" s="19">
        <f>"Ay tahakkuku "&amp;TEXT(SUMIFS(AY_SONU!$C$7:$C$42,AY_SONU!$B$7:$B$42,"&gt;="&amp;EOMONTH(TODAY(),-1)+1,AY_SONU!$B$7:$B$42,"&lt;="&amp;EOMONTH(TODAY(),0)),"#,##0")&amp;" ₺"</f>
        <v/>
      </c>
      <c r="H11" s="190" t="n"/>
      <c r="I11" s="191" t="n"/>
      <c r="J11" s="19">
        <f>"Aylık: "&amp;TEXT(SUMIFS(UCRETLER!$G$7:$G$406,UCRETLER!$H$7:$H$406,"Aktif",UCRETLER!$F$7:$F$406,"Aylık"),"#,##0")&amp;" ₺  │  "&amp;COUNTIFS(UCRETLER!$H$7:$H$406,"Aktif")&amp;" aktif dönem"</f>
        <v/>
      </c>
      <c r="K11" s="190" t="n"/>
      <c r="L11" s="191" t="n"/>
      <c r="M11" s="19">
        <f>COUNTIF(AKTIVITE!$Q$7:$Q$1006,"BUGÜN")&amp;" iş bugün teslim"</f>
        <v/>
      </c>
      <c r="N11" s="190" t="n"/>
      <c r="O11" s="191" t="n"/>
      <c r="P11" s="6" t="n"/>
      <c r="Q11" s="6" t="n"/>
    </row>
    <row r="12" ht="22" customHeight="1">
      <c r="A12" s="6" t="n"/>
      <c r="B12" s="18">
        <f>HYPERLINK("#AKTIVITE!A1","    Aktivite")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 ht="22" customHeight="1">
      <c r="A13" s="6" t="n"/>
      <c r="B13" s="18">
        <f>HYPERLINK("#MUSTERI_360!A1","    Müşteri 360")</f>
        <v/>
      </c>
      <c r="C13" s="6" t="n"/>
      <c r="D13" s="22" t="inlineStr">
        <is>
          <t>AYLIK NAKİT KÂR EĞRİSİ</t>
        </is>
      </c>
      <c r="E13" s="6" t="n"/>
      <c r="F13" s="6" t="n"/>
      <c r="G13" s="6" t="n"/>
      <c r="H13" s="22" t="inlineStr">
        <is>
          <t>TAHAKKUK ↔ TAHSİLAT</t>
        </is>
      </c>
      <c r="I13" s="6" t="n"/>
      <c r="J13" s="6" t="n"/>
      <c r="K13" s="6" t="n"/>
      <c r="L13" s="22" t="inlineStr">
        <is>
          <t>ALACAK YAŞLANDIRMASI</t>
        </is>
      </c>
      <c r="M13" s="6" t="n"/>
      <c r="N13" s="6" t="n"/>
      <c r="O13" s="6" t="n"/>
      <c r="P13" s="6" t="n"/>
      <c r="Q13" s="6" t="n"/>
    </row>
    <row r="14" ht="22" customHeight="1">
      <c r="A14" s="6" t="n"/>
      <c r="B14" s="18">
        <f>HYPERLINK("#CARI_EKSTRE!A1","    Cari Ekstre")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 ht="22" customHeight="1">
      <c r="A15" s="6" t="n"/>
      <c r="B15" s="18">
        <f>HYPERLINK("#HESAPLAR!A1","    Hesaplar")</f>
        <v/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 ht="22" customHeight="1">
      <c r="A16" s="6" t="n"/>
      <c r="B16" s="18">
        <f>HYPERLINK("#AY_SONU!A1","    Ay Sonu")</f>
        <v/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 ht="22" customHeight="1">
      <c r="A17" s="6" t="n"/>
      <c r="B17" s="18">
        <f>HYPERLINK("#SISTEM!A1","    Sistem &amp; Kontrol")</f>
        <v/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 ht="22" customHeight="1">
      <c r="A18" s="6" t="n"/>
      <c r="B18" s="18">
        <f>HYPERLINK("#BASLANGIC!A1","    Başlangıç")</f>
        <v/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 ht="22" customHeight="1">
      <c r="A19" s="6" t="n"/>
      <c r="B19" s="23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 ht="22" customHeight="1">
      <c r="A20" s="6" t="n"/>
      <c r="B20" s="23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 ht="22" customHeight="1">
      <c r="A21" s="6" t="n"/>
      <c r="B21" s="23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 ht="22" customHeight="1">
      <c r="A22" s="6" t="n"/>
      <c r="B22" s="23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 ht="22" customHeight="1">
      <c r="A23" s="6" t="n"/>
      <c r="B23" s="23" t="n"/>
      <c r="C23" s="6" t="n"/>
      <c r="D23" s="22" t="inlineStr">
        <is>
          <t>MÜŞTERİ HIZLI KARTI</t>
        </is>
      </c>
      <c r="E23" s="6" t="n"/>
      <c r="F23" s="6" t="n"/>
      <c r="G23" s="6" t="n"/>
      <c r="H23" s="6" t="n"/>
      <c r="I23" s="6" t="n"/>
      <c r="J23" s="22" t="inlineStr">
        <is>
          <t>BUGÜNÜN UYARILARI</t>
        </is>
      </c>
      <c r="K23" s="6" t="n"/>
      <c r="L23" s="6" t="n"/>
      <c r="M23" s="6" t="n"/>
      <c r="N23" s="6" t="n"/>
      <c r="O23" s="6" t="n"/>
      <c r="P23" s="6" t="n"/>
      <c r="Q23" s="6" t="n"/>
    </row>
    <row r="24" ht="22" customHeight="1">
      <c r="A24" s="6" t="n"/>
      <c r="B24" s="23" t="n"/>
      <c r="C24" s="6" t="n"/>
      <c r="D24" s="195" t="inlineStr">
        <is>
          <t>Müşteri seçin</t>
        </is>
      </c>
      <c r="E24" s="196" t="n"/>
      <c r="F24" s="26" t="inlineStr">
        <is>
          <t>ANKARA HAVANA LTD.ŞTİ.</t>
        </is>
      </c>
      <c r="G24" s="197" t="n"/>
      <c r="H24" s="197" t="n"/>
      <c r="I24" s="198" t="n"/>
      <c r="J24" s="199" t="inlineStr">
        <is>
          <t>Gecikmiş müşteri işi</t>
        </is>
      </c>
      <c r="K24" s="200" t="n"/>
      <c r="L24" s="200" t="n"/>
      <c r="M24" s="200" t="n"/>
      <c r="N24" s="200" t="n"/>
      <c r="O24" s="201">
        <f>COUNTIF(AKTIVITE!$Q$7:$Q$1006,"GECİKMİŞ")</f>
        <v/>
      </c>
      <c r="P24" s="6" t="n"/>
      <c r="Q24" s="6" t="n"/>
    </row>
    <row r="25" ht="22" customHeight="1">
      <c r="A25" s="6" t="n"/>
      <c r="B25" s="23" t="n"/>
      <c r="C25" s="6" t="n"/>
      <c r="D25" s="31" t="inlineStr">
        <is>
          <t>Müşteri No</t>
        </is>
      </c>
      <c r="F25" s="32">
        <f>IF($F$24="","",IFERROR(INDEX(MUSTERI_360!$B$7:$B$106,MATCH($F$24,MUSTERI_360!$C$7:$C$106,0)),""))</f>
        <v/>
      </c>
      <c r="J25" s="202" t="inlineStr">
        <is>
          <t>Bugün teslim edilecek iş</t>
        </is>
      </c>
      <c r="K25" s="190" t="n"/>
      <c r="L25" s="190" t="n"/>
      <c r="M25" s="190" t="n"/>
      <c r="N25" s="190" t="n"/>
      <c r="O25" s="203">
        <f>COUNTIF(AKTIVITE!$Q$7:$Q$1006,"BUGÜN")</f>
        <v/>
      </c>
      <c r="P25" s="6" t="n"/>
      <c r="Q25" s="6" t="n"/>
    </row>
    <row r="26" ht="22" customHeight="1">
      <c r="A26" s="6" t="n"/>
      <c r="B26" s="23" t="n"/>
      <c r="C26" s="6" t="n"/>
      <c r="D26" s="31" t="inlineStr">
        <is>
          <t>Borç Durumu</t>
        </is>
      </c>
      <c r="F26" s="32">
        <f>IF($F$24="","",IFERROR(INDEX(MUSTERI_360!$Q$7:$Q$106,MATCH($F$24,MUSTERI_360!$C$7:$C$106,0)),""))</f>
        <v/>
      </c>
      <c r="J26" s="202" t="inlineStr">
        <is>
          <t>7 gün içindeki işler</t>
        </is>
      </c>
      <c r="K26" s="190" t="n"/>
      <c r="L26" s="190" t="n"/>
      <c r="M26" s="190" t="n"/>
      <c r="N26" s="190" t="n"/>
      <c r="O26" s="204">
        <f>COUNTIF(AKTIVITE!$Q$7:$Q$1006,"7 GÜN İÇİNDE")</f>
        <v/>
      </c>
      <c r="P26" s="6" t="n"/>
      <c r="Q26" s="6" t="n"/>
    </row>
    <row r="27" ht="22" customHeight="1">
      <c r="A27" s="6" t="n"/>
      <c r="B27" s="23" t="n"/>
      <c r="C27" s="6" t="n"/>
      <c r="D27" s="31" t="inlineStr">
        <is>
          <t>Haftalık Ücret</t>
        </is>
      </c>
      <c r="F27" s="205">
        <f>IF($F$24="","",IFERROR(INDEX(MUSTERI_360!$D$7:$D$106,MATCH($F$24,MUSTERI_360!$C$7:$C$106,0)),""))</f>
        <v/>
      </c>
      <c r="J27" s="202" t="inlineStr">
        <is>
          <t>Gecikmiş müşteri teması</t>
        </is>
      </c>
      <c r="K27" s="190" t="n"/>
      <c r="L27" s="190" t="n"/>
      <c r="M27" s="190" t="n"/>
      <c r="N27" s="190" t="n"/>
      <c r="O27" s="206">
        <f>COUNTIFS(AKTIVITE!$C$7:$C$1006,"Görüşme",AKTIVITE!$Q$7:$Q$1006,"GECİKMİŞ")</f>
        <v/>
      </c>
      <c r="P27" s="6" t="n"/>
      <c r="Q27" s="6" t="n"/>
    </row>
    <row r="28" ht="22" customHeight="1">
      <c r="A28" s="6" t="n"/>
      <c r="B28" s="23" t="n"/>
      <c r="C28" s="6" t="n"/>
      <c r="D28" s="31" t="inlineStr">
        <is>
          <t>Aylık Ücret</t>
        </is>
      </c>
      <c r="F28" s="205">
        <f>IF($F$24="","",IFERROR(INDEX(MUSTERI_360!$E$7:$E$106,MATCH($F$24,MUSTERI_360!$C$7:$C$106,0)),""))</f>
        <v/>
      </c>
      <c r="J28" s="202" t="inlineStr">
        <is>
          <t>Kritik borç durumundaki müşteri</t>
        </is>
      </c>
      <c r="K28" s="190" t="n"/>
      <c r="L28" s="190" t="n"/>
      <c r="M28" s="190" t="n"/>
      <c r="N28" s="190" t="n"/>
      <c r="O28" s="206">
        <f>COUNTIF(MUSTERI_360!$Q$7:$Q$106,"KRİTİK")</f>
        <v/>
      </c>
      <c r="P28" s="6" t="n"/>
      <c r="Q28" s="6" t="n"/>
    </row>
    <row r="29" ht="22" customHeight="1">
      <c r="A29" s="6" t="n"/>
      <c r="B29" s="23" t="n"/>
      <c r="C29" s="6" t="n"/>
      <c r="D29" s="31" t="inlineStr">
        <is>
          <t>Devir Alacağı</t>
        </is>
      </c>
      <c r="F29" s="205">
        <f>IF($F$24="","",IFERROR(INDEX(MUSTERI_360!$F$7:$F$106,MATCH($F$24,MUSTERI_360!$C$7:$C$106,0)),""))</f>
        <v/>
      </c>
      <c r="J29" s="202" t="inlineStr">
        <is>
          <t>Bilgisi eksik müşteri kaydı</t>
        </is>
      </c>
      <c r="K29" s="190" t="n"/>
      <c r="L29" s="190" t="n"/>
      <c r="M29" s="190" t="n"/>
      <c r="N29" s="190" t="n"/>
      <c r="O29" s="203">
        <f>COUNTIF(MUSTERILER!$P$7:$P$106,"EKSİK")</f>
        <v/>
      </c>
      <c r="P29" s="6" t="n"/>
      <c r="Q29" s="6" t="n"/>
    </row>
    <row r="30" ht="22" customHeight="1">
      <c r="A30" s="6" t="n"/>
      <c r="B30" s="23" t="n"/>
      <c r="C30" s="6" t="n"/>
      <c r="D30" s="31" t="inlineStr">
        <is>
          <t>Yeni Tahakkuk</t>
        </is>
      </c>
      <c r="F30" s="205">
        <f>IF($F$24="","",IFERROR(INDEX(MUSTERI_360!$G$7:$G$106,MATCH($F$24,MUSTERI_360!$C$7:$C$106,0)),""))</f>
        <v/>
      </c>
      <c r="J30" s="202" t="inlineStr">
        <is>
          <t>Aktif ama ücretsiz müşteri</t>
        </is>
      </c>
      <c r="K30" s="190" t="n"/>
      <c r="L30" s="190" t="n"/>
      <c r="M30" s="190" t="n"/>
      <c r="N30" s="190" t="n"/>
      <c r="O30" s="203">
        <f>COUNTIFS(MUSTERILER!$D$7:$D$106,"Aktif",MUSTERILER!$O$7:$O$106,"HAYIR")</f>
        <v/>
      </c>
      <c r="P30" s="6" t="n"/>
      <c r="Q30" s="6" t="n"/>
    </row>
    <row r="31" ht="22" customHeight="1">
      <c r="A31" s="6" t="n"/>
      <c r="B31" s="23" t="n"/>
      <c r="C31" s="6" t="n"/>
      <c r="D31" s="31" t="inlineStr">
        <is>
          <t>Toplam Borç</t>
        </is>
      </c>
      <c r="F31" s="205">
        <f>IF($F$24="","",IFERROR(INDEX(MUSTERI_360!$H$7:$H$106,MATCH($F$24,MUSTERI_360!$C$7:$C$106,0)),""))</f>
        <v/>
      </c>
      <c r="J31" s="202" t="inlineStr">
        <is>
          <t>Eksik tahsilat kaydı</t>
        </is>
      </c>
      <c r="K31" s="190" t="n"/>
      <c r="L31" s="190" t="n"/>
      <c r="M31" s="190" t="n"/>
      <c r="N31" s="190" t="n"/>
      <c r="O31" s="203">
        <f>COUNTIF(TAHSILAT!$M$7:$M$1506,"EKSİK")</f>
        <v/>
      </c>
      <c r="P31" s="6" t="n"/>
      <c r="Q31" s="6" t="n"/>
    </row>
    <row r="32" ht="22" customHeight="1">
      <c r="A32" s="6" t="n"/>
      <c r="B32" s="23" t="n"/>
      <c r="C32" s="6" t="n"/>
      <c r="D32" s="31" t="inlineStr">
        <is>
          <t>Toplam Tahsilat</t>
        </is>
      </c>
      <c r="F32" s="205">
        <f>IF($F$24="","",IFERROR(INDEX(MUSTERI_360!$I$7:$I$106,MATCH($F$24,MUSTERI_360!$C$7:$C$106,0)),""))</f>
        <v/>
      </c>
      <c r="J32" s="202" t="inlineStr">
        <is>
          <t>Eksik gelir/gider kaydı</t>
        </is>
      </c>
      <c r="K32" s="190" t="n"/>
      <c r="L32" s="190" t="n"/>
      <c r="M32" s="190" t="n"/>
      <c r="N32" s="190" t="n"/>
      <c r="O32" s="203">
        <f>COUNTIF(GELIR_GIDER!$O$7:$O$1206,"EKSİK")</f>
        <v/>
      </c>
      <c r="P32" s="6" t="n"/>
      <c r="Q32" s="6" t="n"/>
    </row>
    <row r="33" ht="22" customHeight="1">
      <c r="A33" s="6" t="n"/>
      <c r="B33" s="23" t="n"/>
      <c r="C33" s="6" t="n"/>
      <c r="D33" s="31" t="inlineStr">
        <is>
          <t>Cari Bakiye</t>
        </is>
      </c>
      <c r="F33" s="207">
        <f>IF($F$24="","",IFERROR(INDEX(MUSTERI_360!$J$7:$J$106,MATCH($F$24,MUSTERI_360!$C$7:$C$106,0)),""))</f>
        <v/>
      </c>
      <c r="J33" s="202" t="inlineStr">
        <is>
          <t>Sistem kontrolünde KALDI satırı</t>
        </is>
      </c>
      <c r="K33" s="190" t="n"/>
      <c r="L33" s="190" t="n"/>
      <c r="M33" s="190" t="n"/>
      <c r="N33" s="190" t="n"/>
      <c r="O33" s="206">
        <f>COUNTIF(SISTEM!$F$23:$F$55,"KALDI")</f>
        <v/>
      </c>
      <c r="P33" s="6" t="n"/>
      <c r="Q33" s="6" t="n"/>
    </row>
    <row r="34" ht="22" customHeight="1">
      <c r="A34" s="6" t="n"/>
      <c r="B34" s="23" t="n"/>
      <c r="C34" s="6" t="n"/>
      <c r="D34" s="31" t="inlineStr">
        <is>
          <t>0–7 Gün</t>
        </is>
      </c>
      <c r="F34" s="205">
        <f>IF($F$24="","",IFERROR(INDEX(MUSTERI_360!$K$7:$K$106,MATCH($F$24,MUSTERI_360!$C$7:$C$106,0)),""))</f>
        <v/>
      </c>
      <c r="J34" s="6" t="n"/>
      <c r="K34" s="6" t="n"/>
      <c r="L34" s="6" t="n"/>
      <c r="M34" s="6" t="n"/>
      <c r="N34" s="6" t="n"/>
      <c r="O34" s="6" t="n"/>
      <c r="P34" s="6" t="n"/>
      <c r="Q34" s="6" t="n"/>
    </row>
    <row r="35" ht="22" customHeight="1">
      <c r="A35" s="6" t="n"/>
      <c r="B35" s="23" t="n"/>
      <c r="C35" s="6" t="n"/>
      <c r="D35" s="31" t="inlineStr">
        <is>
          <t>8–14 Gün</t>
        </is>
      </c>
      <c r="F35" s="205">
        <f>IF($F$24="","",IFERROR(INDEX(MUSTERI_360!$L$7:$L$106,MATCH($F$24,MUSTERI_360!$C$7:$C$106,0)),""))</f>
        <v/>
      </c>
      <c r="J35" s="6" t="n"/>
      <c r="K35" s="6" t="n"/>
      <c r="L35" s="6" t="n"/>
      <c r="M35" s="6" t="n"/>
      <c r="N35" s="6" t="n"/>
      <c r="O35" s="6" t="n"/>
      <c r="P35" s="6" t="n"/>
      <c r="Q35" s="6" t="n"/>
    </row>
    <row r="36" ht="22" customHeight="1">
      <c r="A36" s="6" t="n"/>
      <c r="B36" s="23" t="n"/>
      <c r="C36" s="6" t="n"/>
      <c r="D36" s="31" t="inlineStr">
        <is>
          <t>15–28 Gün</t>
        </is>
      </c>
      <c r="F36" s="205">
        <f>IF($F$24="","",IFERROR(INDEX(MUSTERI_360!$M$7:$M$106,MATCH($F$24,MUSTERI_360!$C$7:$C$106,0)),""))</f>
        <v/>
      </c>
      <c r="J36" s="6" t="n"/>
      <c r="K36" s="6" t="n"/>
      <c r="L36" s="6" t="n"/>
      <c r="M36" s="6" t="n"/>
      <c r="N36" s="6" t="n"/>
      <c r="O36" s="6" t="n"/>
      <c r="P36" s="6" t="n"/>
      <c r="Q36" s="6" t="n"/>
    </row>
    <row r="37" ht="22" customHeight="1">
      <c r="A37" s="6" t="n"/>
      <c r="B37" s="23" t="n"/>
      <c r="C37" s="6" t="n"/>
      <c r="D37" s="31" t="inlineStr">
        <is>
          <t>29+ Gün</t>
        </is>
      </c>
      <c r="F37" s="207">
        <f>IF($F$24="","",IFERROR(INDEX(MUSTERI_360!$N$7:$N$106,MATCH($F$24,MUSTERI_360!$C$7:$C$106,0)),""))</f>
        <v/>
      </c>
      <c r="J37" s="6" t="n"/>
      <c r="K37" s="6" t="n"/>
      <c r="L37" s="6" t="n"/>
      <c r="M37" s="6" t="n"/>
      <c r="N37" s="6" t="n"/>
      <c r="O37" s="6" t="n"/>
      <c r="P37" s="6" t="n"/>
      <c r="Q37" s="6" t="n"/>
    </row>
    <row r="38" ht="22" customHeight="1">
      <c r="A38" s="6" t="n"/>
      <c r="B38" s="23" t="n"/>
      <c r="C38" s="6" t="n"/>
      <c r="D38" s="31" t="inlineStr">
        <is>
          <t>Tahsilat Oranı</t>
        </is>
      </c>
      <c r="F38" s="208">
        <f>IF($F$24="","",IFERROR(INDEX(MUSTERI_360!$O$7:$O$106,MATCH($F$24,MUSTERI_360!$C$7:$C$106,0)),""))</f>
        <v/>
      </c>
      <c r="J38" s="6" t="n"/>
      <c r="K38" s="6" t="n"/>
      <c r="L38" s="6" t="n"/>
      <c r="M38" s="6" t="n"/>
      <c r="N38" s="6" t="n"/>
      <c r="O38" s="6" t="n"/>
      <c r="P38" s="6" t="n"/>
      <c r="Q38" s="6" t="n"/>
    </row>
    <row r="39" ht="22" customHeight="1">
      <c r="A39" s="6" t="n"/>
      <c r="B39" s="23" t="n"/>
      <c r="C39" s="6" t="n"/>
      <c r="D39" s="31" t="inlineStr">
        <is>
          <t>Son Tahsilat</t>
        </is>
      </c>
      <c r="F39" s="209">
        <f>IF($F$24="","",IFERROR(INDEX(MUSTERI_360!$P$7:$P$106,MATCH($F$24,MUSTERI_360!$C$7:$C$106,0)),""))</f>
        <v/>
      </c>
      <c r="J39" s="6" t="n"/>
      <c r="K39" s="6" t="n"/>
      <c r="L39" s="6" t="n"/>
      <c r="M39" s="6" t="n"/>
      <c r="N39" s="6" t="n"/>
      <c r="O39" s="6" t="n"/>
      <c r="P39" s="6" t="n"/>
      <c r="Q39" s="6" t="n"/>
    </row>
    <row r="40" ht="36" customHeight="1">
      <c r="A40" s="6" t="n"/>
      <c r="B40" s="23" t="n"/>
      <c r="C40" s="6" t="n"/>
      <c r="D40" s="31" t="inlineStr">
        <is>
          <t>Önerilen İşlem</t>
        </is>
      </c>
      <c r="F40" s="43">
        <f>IF($F$24="","",IFERROR(INDEX(MUSTERI_360!$R$7:$R$106,MATCH($F$24,MUSTERI_360!$C$7:$C$106,0)),""))</f>
        <v/>
      </c>
      <c r="J40" s="6" t="n"/>
      <c r="K40" s="6" t="n"/>
      <c r="L40" s="6" t="n"/>
      <c r="M40" s="6" t="n"/>
      <c r="N40" s="6" t="n"/>
      <c r="O40" s="6" t="n"/>
      <c r="P40" s="6" t="n"/>
      <c r="Q40" s="6" t="n"/>
    </row>
    <row r="41" ht="22" customHeight="1">
      <c r="A41" s="6" t="n"/>
      <c r="B41" s="23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 ht="22" customHeight="1">
      <c r="A42" s="6" t="n"/>
      <c r="B42" s="23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70">
    <mergeCell ref="M11:O11"/>
    <mergeCell ref="J6:L6"/>
    <mergeCell ref="F31:I31"/>
    <mergeCell ref="D11:F11"/>
    <mergeCell ref="G10:I10"/>
    <mergeCell ref="M10:O10"/>
    <mergeCell ref="F27:I27"/>
    <mergeCell ref="G6:I6"/>
    <mergeCell ref="J29:N29"/>
    <mergeCell ref="D34:E34"/>
    <mergeCell ref="F39:I39"/>
    <mergeCell ref="J28:N28"/>
    <mergeCell ref="M7:O7"/>
    <mergeCell ref="F37:I37"/>
    <mergeCell ref="D40:E40"/>
    <mergeCell ref="D7:F7"/>
    <mergeCell ref="D31:E31"/>
    <mergeCell ref="D36:E36"/>
    <mergeCell ref="M6:O6"/>
    <mergeCell ref="J11:L11"/>
    <mergeCell ref="J7:L7"/>
    <mergeCell ref="A2:O2"/>
    <mergeCell ref="J30:N30"/>
    <mergeCell ref="G5:I5"/>
    <mergeCell ref="D27:E27"/>
    <mergeCell ref="J24:N24"/>
    <mergeCell ref="D9:F9"/>
    <mergeCell ref="F29:I29"/>
    <mergeCell ref="D32:E32"/>
    <mergeCell ref="D26:E26"/>
    <mergeCell ref="F25:I25"/>
    <mergeCell ref="F34:I34"/>
    <mergeCell ref="J27:N27"/>
    <mergeCell ref="J26:N26"/>
    <mergeCell ref="F40:I40"/>
    <mergeCell ref="D5:F5"/>
    <mergeCell ref="J25:N25"/>
    <mergeCell ref="D37:E37"/>
    <mergeCell ref="F24:I24"/>
    <mergeCell ref="F30:I30"/>
    <mergeCell ref="G9:I9"/>
    <mergeCell ref="D28:E28"/>
    <mergeCell ref="J32:N32"/>
    <mergeCell ref="J31:N31"/>
    <mergeCell ref="F33:I33"/>
    <mergeCell ref="D39:E39"/>
    <mergeCell ref="D10:F10"/>
    <mergeCell ref="G11:I11"/>
    <mergeCell ref="J5:L5"/>
    <mergeCell ref="D25:E25"/>
    <mergeCell ref="F32:I32"/>
    <mergeCell ref="F26:I26"/>
    <mergeCell ref="F36:I36"/>
    <mergeCell ref="D24:E24"/>
    <mergeCell ref="J10:L10"/>
    <mergeCell ref="D30:E30"/>
    <mergeCell ref="F35:I35"/>
    <mergeCell ref="D33:E33"/>
    <mergeCell ref="M9:O9"/>
    <mergeCell ref="D29:E29"/>
    <mergeCell ref="M5:O5"/>
    <mergeCell ref="D6:F6"/>
    <mergeCell ref="D38:E38"/>
    <mergeCell ref="A1:O1"/>
    <mergeCell ref="F38:I38"/>
    <mergeCell ref="J33:N33"/>
    <mergeCell ref="J9:L9"/>
    <mergeCell ref="G7:I7"/>
    <mergeCell ref="D35:E35"/>
    <mergeCell ref="F28:I28"/>
  </mergeCells>
  <conditionalFormatting sqref="O24">
    <cfRule type="cellIs" priority="1" operator="greaterThan" dxfId="0">
      <formula>0</formula>
    </cfRule>
  </conditionalFormatting>
  <conditionalFormatting sqref="O25">
    <cfRule type="cellIs" priority="2" operator="greaterThan" dxfId="1">
      <formula>0</formula>
    </cfRule>
  </conditionalFormatting>
  <conditionalFormatting sqref="O26">
    <cfRule type="cellIs" priority="3" operator="greaterThan" dxfId="2">
      <formula>0</formula>
    </cfRule>
  </conditionalFormatting>
  <conditionalFormatting sqref="O27">
    <cfRule type="cellIs" priority="4" operator="greaterThan" dxfId="0">
      <formula>0</formula>
    </cfRule>
  </conditionalFormatting>
  <conditionalFormatting sqref="O28">
    <cfRule type="cellIs" priority="5" operator="greaterThan" dxfId="0">
      <formula>0</formula>
    </cfRule>
  </conditionalFormatting>
  <conditionalFormatting sqref="O29">
    <cfRule type="cellIs" priority="6" operator="greaterThan" dxfId="1">
      <formula>0</formula>
    </cfRule>
  </conditionalFormatting>
  <conditionalFormatting sqref="O30">
    <cfRule type="cellIs" priority="7" operator="greaterThan" dxfId="1">
      <formula>0</formula>
    </cfRule>
  </conditionalFormatting>
  <conditionalFormatting sqref="O31">
    <cfRule type="cellIs" priority="8" operator="greaterThan" dxfId="1">
      <formula>0</formula>
    </cfRule>
  </conditionalFormatting>
  <conditionalFormatting sqref="O32">
    <cfRule type="cellIs" priority="9" operator="greaterThan" dxfId="1">
      <formula>0</formula>
    </cfRule>
  </conditionalFormatting>
  <conditionalFormatting sqref="O33">
    <cfRule type="cellIs" priority="10" operator="greaterThan" dxfId="0">
      <formula>0</formula>
    </cfRule>
  </conditionalFormatting>
  <dataValidations count="1">
    <dataValidation sqref="F24" showDropDown="0" showInputMessage="0" showErrorMessage="1" allowBlank="1" errorTitle="Tanımsız müşteri" error="Müşteri listesinden seçin." type="list">
      <formula1>LST_MUSTERI_ADI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K89"/>
  <sheetViews>
    <sheetView showGridLines="0" tabSelected="0" zoomScale="100" workbookViewId="0">
      <pane ySplit="6" topLeftCell="A7" activePane="bottomLeft" state="frozen"/>
      <selection pane="bottomLeft" activeCell="A1" sqref="A1"/>
    </sheetView>
  </sheetViews>
  <sheetFormatPr baseColWidth="8" defaultRowHeight="18"/>
  <cols>
    <col width="2.4" customWidth="1" min="1" max="1"/>
    <col width="10" customWidth="1" min="2" max="2"/>
    <col width="26" customWidth="1" min="3" max="3"/>
    <col width="20" customWidth="1" min="4" max="4"/>
    <col width="20" customWidth="1" min="5" max="5"/>
    <col width="30" customWidth="1" min="6" max="6"/>
    <col width="34" customWidth="1" min="7" max="7"/>
    <col width="26" customWidth="1" min="8" max="8"/>
    <col width="18" customWidth="1" min="9" max="9"/>
    <col width="2.4" customWidth="1" min="10" max="10"/>
    <col width="2.4" customWidth="1" min="11" max="11"/>
  </cols>
  <sheetData>
    <row r="1" ht="38" customHeight="1">
      <c r="A1" s="258" t="inlineStr">
        <is>
          <t>KILIÇ MUHASEBE   │   BAŞLANGIÇ  │  AMAÇ, RENK KİLAVUZU VE KULLANIM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45" t="n"/>
      <c r="K1" s="45" t="n"/>
    </row>
    <row r="2" ht="22" customHeight="1">
      <c r="A2" s="4" t="inlineStr">
        <is>
          <t>Bu ekran sistemin kimlik kartıdır │ İlk kez açıyorsanız baştan sona okuyun</t>
        </is>
      </c>
      <c r="J2" s="46" t="n"/>
      <c r="K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 ht="20" customHeight="1">
      <c r="A4" s="6" t="n"/>
      <c r="B4" s="47">
        <f>HYPERLINK("#PANO!A1","←  PANO")</f>
        <v/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34" customHeight="1">
      <c r="A5" s="6" t="n"/>
      <c r="B5" s="48" t="inlineStr">
        <is>
          <t>KILIÇ MUHASEBE  │  OFİS YÖNETİM SİSTEMİ</t>
        </is>
      </c>
      <c r="J5" s="6" t="n"/>
      <c r="K5" s="6" t="n"/>
    </row>
    <row r="6" ht="22" customHeight="1">
      <c r="A6" s="6" t="n"/>
      <c r="B6" s="50" t="inlineStr">
        <is>
          <t>Enterprise Exclusive sürüm │ Haftalık ücretle çalışan muhasebe ofisleri için müşteri, tahakkuk, tahsilat, cari, kasa ve ortak payı yönetimi</t>
        </is>
      </c>
      <c r="J6" s="6" t="n"/>
      <c r="K6" s="6" t="n"/>
    </row>
    <row r="7" ht="1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28" customHeight="1">
      <c r="A8" s="6" t="n"/>
      <c r="B8" s="210" t="inlineStr">
        <is>
          <t>1.  BU EXCEL NE İÇİN ÜRETİLDİ?</t>
        </is>
      </c>
      <c r="C8" s="174" t="n"/>
      <c r="D8" s="174" t="n"/>
      <c r="E8" s="174" t="n"/>
      <c r="F8" s="174" t="n"/>
      <c r="G8" s="174" t="n"/>
      <c r="H8" s="174" t="n"/>
      <c r="I8" s="174" t="n"/>
      <c r="J8" s="6" t="n"/>
      <c r="K8" s="6" t="n"/>
    </row>
    <row r="9" ht="26" customHeight="1">
      <c r="A9" s="6" t="n"/>
      <c r="B9" s="54" t="inlineStr">
        <is>
          <t>Başlık</t>
        </is>
      </c>
      <c r="D9" s="54" t="inlineStr">
        <is>
          <t>Açıklama</t>
        </is>
      </c>
      <c r="J9" s="6" t="n"/>
      <c r="K9" s="6" t="n"/>
    </row>
    <row r="10" ht="32" customHeight="1">
      <c r="A10" s="6" t="n"/>
      <c r="B10" s="211" t="inlineStr">
        <is>
          <t>Amaç</t>
        </is>
      </c>
      <c r="C10" s="190" t="n"/>
      <c r="D10" s="57" t="inlineStr">
        <is>
          <t>Haftalık ücretle çalışan bir muhasebe ofisinin tüm ticari işleyişini tek dosyada, tek veri girişiyle ve kendi kendini denetleyen bir yapıyla yönetmek.</t>
        </is>
      </c>
      <c r="E10" s="190" t="n"/>
      <c r="F10" s="190" t="n"/>
      <c r="G10" s="190" t="n"/>
      <c r="H10" s="190" t="n"/>
      <c r="I10" s="191" t="n"/>
      <c r="J10" s="6" t="n"/>
      <c r="K10" s="6" t="n"/>
    </row>
    <row r="11" ht="32" customHeight="1">
      <c r="A11" s="6" t="n"/>
      <c r="B11" s="211" t="inlineStr">
        <is>
          <t>Kimin için?</t>
        </is>
      </c>
      <c r="C11" s="190" t="n"/>
      <c r="D11" s="57" t="inlineStr">
        <is>
          <t>Müşterilerinden haftalık / dönemsel ücret tahsil eden, ortaklı veya tek kişilik muhasebe ve mali müşavirlik ofisleri için.</t>
        </is>
      </c>
      <c r="E11" s="190" t="n"/>
      <c r="F11" s="190" t="n"/>
      <c r="G11" s="190" t="n"/>
      <c r="H11" s="190" t="n"/>
      <c r="I11" s="191" t="n"/>
      <c r="J11" s="6" t="n"/>
      <c r="K11" s="6" t="n"/>
    </row>
    <row r="12" ht="32" customHeight="1">
      <c r="A12" s="6" t="n"/>
      <c r="B12" s="211" t="inlineStr">
        <is>
          <t>Neyi çözer?</t>
        </is>
      </c>
      <c r="C12" s="190" t="n"/>
      <c r="D12" s="57" t="inlineStr">
        <is>
          <t>“Kim ne kadar borçlu, bu borç kaç günlük, kasada ne kadar param var, bu ay gerçekten ne kazandım ve ortaklara ne dağıtabilirim” sorularını tahmine dayanmadan cevaplar.</t>
        </is>
      </c>
      <c r="E12" s="190" t="n"/>
      <c r="F12" s="190" t="n"/>
      <c r="G12" s="190" t="n"/>
      <c r="H12" s="190" t="n"/>
      <c r="I12" s="191" t="n"/>
      <c r="J12" s="6" t="n"/>
      <c r="K12" s="6" t="n"/>
    </row>
    <row r="13" ht="32" customHeight="1">
      <c r="A13" s="6" t="n"/>
      <c r="B13" s="211" t="inlineStr">
        <is>
          <t>Nasıl çalışır?</t>
        </is>
      </c>
      <c r="C13" s="190" t="n"/>
      <c r="D13" s="57" t="inlineStr">
        <is>
          <t>Siz yalnızca sarı hücrelere gerçek işlemi girersiniz. Cari hesap, yaşlandırma, kasa bakiyesi, aylık kapanış ve ortak payları otomatik olarak hesaplanır.</t>
        </is>
      </c>
      <c r="E13" s="190" t="n"/>
      <c r="F13" s="190" t="n"/>
      <c r="G13" s="190" t="n"/>
      <c r="H13" s="190" t="n"/>
      <c r="I13" s="191" t="n"/>
      <c r="J13" s="6" t="n"/>
      <c r="K13" s="6" t="n"/>
    </row>
    <row r="14" ht="32" customHeight="1">
      <c r="A14" s="6" t="n"/>
      <c r="B14" s="211" t="inlineStr">
        <is>
          <t>Neden güvenilir?</t>
        </is>
      </c>
      <c r="C14" s="190" t="n"/>
      <c r="D14" s="57" t="inlineStr">
        <is>
          <t>Sistem her açılışta 28 otomatik kontrol çalıştırır. Bir tanesi bile KALDI verirse ay kapatılamaz; hata sessizce geçmez.</t>
        </is>
      </c>
      <c r="E14" s="190" t="n"/>
      <c r="F14" s="190" t="n"/>
      <c r="G14" s="190" t="n"/>
      <c r="H14" s="190" t="n"/>
      <c r="I14" s="191" t="n"/>
      <c r="J14" s="6" t="n"/>
      <c r="K14" s="6" t="n"/>
    </row>
    <row r="15" ht="32" customHeight="1">
      <c r="A15" s="6" t="n"/>
      <c r="B15" s="211" t="inlineStr">
        <is>
          <t>Tahakkuk esası</t>
        </is>
      </c>
      <c r="C15" s="190" t="n"/>
      <c r="D15" s="57" t="inlineStr">
        <is>
          <t>Haftalık ücret her Cumartesi otomatik tahakkuk eder. Ücret değiştiğinde eski dönem kapatılır, yeni dönem açılır; geçmiş hesaplar asla bozulmaz.</t>
        </is>
      </c>
      <c r="E15" s="190" t="n"/>
      <c r="F15" s="190" t="n"/>
      <c r="G15" s="190" t="n"/>
      <c r="H15" s="190" t="n"/>
      <c r="I15" s="191" t="n"/>
      <c r="J15" s="6" t="n"/>
      <c r="K15" s="6" t="n"/>
    </row>
    <row r="16" ht="32" customHeight="1">
      <c r="A16" s="6" t="n"/>
      <c r="B16" s="211" t="inlineStr">
        <is>
          <t>Kâr esası</t>
        </is>
      </c>
      <c r="C16" s="190" t="n"/>
      <c r="D16" s="57" t="inlineStr">
        <is>
          <t>Dağıtım yalnız tahsil edilmiş nakit kârdan yapılır. Tahsil edilmemiş müşteri alacağı kâr sayılmaz ve ortaklara dağıtılmaz.</t>
        </is>
      </c>
      <c r="E16" s="190" t="n"/>
      <c r="F16" s="190" t="n"/>
      <c r="G16" s="190" t="n"/>
      <c r="H16" s="190" t="n"/>
      <c r="I16" s="191" t="n"/>
      <c r="J16" s="6" t="n"/>
      <c r="K16" s="6" t="n"/>
    </row>
    <row r="17" ht="12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 ht="28" customHeight="1">
      <c r="A18" s="6" t="n"/>
      <c r="B18" s="210" t="inlineStr">
        <is>
          <t>2.  RENK KİLAVUZU  │  EKRANDAKİ RENKLER NE ANLAMA GELİR?</t>
        </is>
      </c>
      <c r="C18" s="174" t="n"/>
      <c r="D18" s="174" t="n"/>
      <c r="E18" s="174" t="n"/>
      <c r="F18" s="174" t="n"/>
      <c r="G18" s="174" t="n"/>
      <c r="H18" s="174" t="n"/>
      <c r="I18" s="174" t="n"/>
      <c r="J18" s="6" t="n"/>
      <c r="K18" s="6" t="n"/>
    </row>
    <row r="19" ht="26" customHeight="1">
      <c r="A19" s="6" t="n"/>
      <c r="B19" s="54" t="inlineStr">
        <is>
          <t>Renk</t>
        </is>
      </c>
      <c r="C19" s="54" t="inlineStr">
        <is>
          <t>Ne görünür</t>
        </is>
      </c>
      <c r="E19" s="54" t="inlineStr">
        <is>
          <t>Anlamı</t>
        </is>
      </c>
      <c r="G19" s="54" t="inlineStr">
        <is>
          <t>Ne yapmanız gerekir</t>
        </is>
      </c>
      <c r="J19" s="6" t="n"/>
      <c r="K19" s="6" t="n"/>
    </row>
    <row r="20" ht="30" customHeight="1">
      <c r="A20" s="6" t="n"/>
      <c r="B20" s="59" t="inlineStr">
        <is>
          <t>■</t>
        </is>
      </c>
      <c r="C20" s="212" t="inlineStr">
        <is>
          <t>SARI ZEMİN / MAVİ YAZI</t>
        </is>
      </c>
      <c r="D20" s="190" t="n"/>
      <c r="E20" s="213" t="inlineStr">
        <is>
          <t>Veri giriş alanı</t>
        </is>
      </c>
      <c r="F20" s="190" t="n"/>
      <c r="G20" s="57" t="inlineStr">
        <is>
          <t>Bu hücrelere siz yazarsınız. Sistemin tek besleme kaynağı bu alanlardır.</t>
        </is>
      </c>
      <c r="H20" s="190" t="n"/>
      <c r="I20" s="191" t="n"/>
      <c r="J20" s="6" t="n"/>
      <c r="K20" s="6" t="n"/>
    </row>
    <row r="21" ht="30" customHeight="1">
      <c r="A21" s="6" t="n"/>
      <c r="B21" s="63" t="inlineStr">
        <is>
          <t>■</t>
        </is>
      </c>
      <c r="C21" s="214" t="inlineStr">
        <is>
          <t>BEYAZ ZEMİN / SİYAH YAZI</t>
        </is>
      </c>
      <c r="D21" s="190" t="n"/>
      <c r="E21" s="213" t="inlineStr">
        <is>
          <t>Otomatik hesaplanan alan</t>
        </is>
      </c>
      <c r="F21" s="190" t="n"/>
      <c r="G21" s="57" t="inlineStr">
        <is>
          <t>Sistem hesaplar, kilitlidir. Elle değiştirilemez; değiştirmeye çalışırsanız uyarı alırsınız.</t>
        </is>
      </c>
      <c r="H21" s="190" t="n"/>
      <c r="I21" s="191" t="n"/>
      <c r="J21" s="6" t="n"/>
      <c r="K21" s="6" t="n"/>
    </row>
    <row r="22" ht="30" customHeight="1">
      <c r="A22" s="6" t="n"/>
      <c r="B22" s="66" t="inlineStr">
        <is>
          <t>■</t>
        </is>
      </c>
      <c r="C22" s="215" t="inlineStr">
        <is>
          <t>LACİVERT BANT</t>
        </is>
      </c>
      <c r="D22" s="190" t="n"/>
      <c r="E22" s="213" t="inlineStr">
        <is>
          <t>Başlık ve tablo başlığı</t>
        </is>
      </c>
      <c r="F22" s="190" t="n"/>
      <c r="G22" s="57" t="inlineStr">
        <is>
          <t>Ekran adı ve sütun başlıkları. Altındaki altın çizgi tablonun başladığı yeri gösterir.</t>
        </is>
      </c>
      <c r="H22" s="190" t="n"/>
      <c r="I22" s="191" t="n"/>
      <c r="J22" s="6" t="n"/>
      <c r="K22" s="6" t="n"/>
    </row>
    <row r="23" ht="30" customHeight="1">
      <c r="A23" s="6" t="n"/>
      <c r="B23" s="68" t="inlineStr">
        <is>
          <t>■</t>
        </is>
      </c>
      <c r="C23" s="215" t="inlineStr">
        <is>
          <t>AÇIK MAVİ SATIR</t>
        </is>
      </c>
      <c r="D23" s="190" t="n"/>
      <c r="E23" s="213" t="inlineStr">
        <is>
          <t>TOPLAM satırı</t>
        </is>
      </c>
      <c r="F23" s="190" t="n"/>
      <c r="G23" s="57" t="inlineStr">
        <is>
          <t>Tablo başlığının hemen üstünde durur ve aşağı kaydırsanız da ekranda kalır.</t>
        </is>
      </c>
      <c r="H23" s="190" t="n"/>
      <c r="I23" s="191" t="n"/>
      <c r="J23" s="6" t="n"/>
      <c r="K23" s="6" t="n"/>
    </row>
    <row r="24" ht="30" customHeight="1">
      <c r="A24" s="6" t="n"/>
      <c r="B24" s="69" t="inlineStr">
        <is>
          <t>■</t>
        </is>
      </c>
      <c r="C24" s="216" t="inlineStr">
        <is>
          <t>YEŞİL ROZET</t>
        </is>
      </c>
      <c r="D24" s="190" t="n"/>
      <c r="E24" s="213" t="inlineStr">
        <is>
          <t>UYGUN / GEÇTİ / TEMİZ</t>
        </is>
      </c>
      <c r="F24" s="190" t="n"/>
      <c r="G24" s="57" t="inlineStr">
        <is>
          <t>Kayıt eksiksiz, kontrol başarılı. Herhangi bir işlem gerekmiyor.</t>
        </is>
      </c>
      <c r="H24" s="190" t="n"/>
      <c r="I24" s="191" t="n"/>
      <c r="J24" s="6" t="n"/>
      <c r="K24" s="6" t="n"/>
    </row>
    <row r="25" ht="30" customHeight="1">
      <c r="A25" s="6" t="n"/>
      <c r="B25" s="72" t="inlineStr">
        <is>
          <t>■</t>
        </is>
      </c>
      <c r="C25" s="217" t="inlineStr">
        <is>
          <t>TURUNCU ROZET</t>
        </is>
      </c>
      <c r="D25" s="190" t="n"/>
      <c r="E25" s="213" t="inlineStr">
        <is>
          <t>EKSİK / BUGÜN / ORTA</t>
        </is>
      </c>
      <c r="F25" s="190" t="n"/>
      <c r="G25" s="57" t="inlineStr">
        <is>
          <t>Dikkat gerektirir. Kayıt tamamlanmalı veya iş bugün teslim edilmeli.</t>
        </is>
      </c>
      <c r="H25" s="190" t="n"/>
      <c r="I25" s="191" t="n"/>
      <c r="J25" s="6" t="n"/>
      <c r="K25" s="6" t="n"/>
    </row>
    <row r="26" ht="30" customHeight="1">
      <c r="A26" s="6" t="n"/>
      <c r="B26" s="75" t="inlineStr">
        <is>
          <t>■</t>
        </is>
      </c>
      <c r="C26" s="218" t="inlineStr">
        <is>
          <t>KIRMIZI ROZET</t>
        </is>
      </c>
      <c r="D26" s="190" t="n"/>
      <c r="E26" s="213" t="inlineStr">
        <is>
          <t>HATA / KALDI / KRİTİK / GECİKMİŞ</t>
        </is>
      </c>
      <c r="F26" s="190" t="n"/>
      <c r="G26" s="57" t="inlineStr">
        <is>
          <t>Acil müdahale. Kırmızı satır varken ay sonu kapatılmamalıdır.</t>
        </is>
      </c>
      <c r="H26" s="190" t="n"/>
      <c r="I26" s="191" t="n"/>
      <c r="J26" s="6" t="n"/>
      <c r="K26" s="6" t="n"/>
    </row>
    <row r="27" ht="30" customHeight="1">
      <c r="A27" s="6" t="n"/>
      <c r="B27" s="78" t="inlineStr">
        <is>
          <t>■</t>
        </is>
      </c>
      <c r="C27" s="219" t="inlineStr">
        <is>
          <t>GRİ ROZET</t>
        </is>
      </c>
      <c r="D27" s="190" t="n"/>
      <c r="E27" s="213" t="inlineStr">
        <is>
          <t>PASİF / PLANLI / İZLE</t>
        </is>
      </c>
      <c r="F27" s="190" t="n"/>
      <c r="G27" s="57" t="inlineStr">
        <is>
          <t>Bilgi amaçlıdır, işlem gerektirmez.</t>
        </is>
      </c>
      <c r="H27" s="190" t="n"/>
      <c r="I27" s="191" t="n"/>
      <c r="J27" s="6" t="n"/>
      <c r="K27" s="6" t="n"/>
    </row>
    <row r="28" ht="12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 ht="28" customHeight="1">
      <c r="A29" s="6" t="n"/>
      <c r="B29" s="210" t="inlineStr">
        <is>
          <t>3.  SEKME RENK HARİTASI  │  ALTTAKİ SEKME RENKLERİ NE İŞE YARAR?</t>
        </is>
      </c>
      <c r="C29" s="174" t="n"/>
      <c r="D29" s="174" t="n"/>
      <c r="E29" s="174" t="n"/>
      <c r="F29" s="174" t="n"/>
      <c r="G29" s="174" t="n"/>
      <c r="H29" s="174" t="n"/>
      <c r="I29" s="174" t="n"/>
      <c r="J29" s="6" t="n"/>
      <c r="K29" s="6" t="n"/>
    </row>
    <row r="30" ht="26" customHeight="1">
      <c r="A30" s="6" t="n"/>
      <c r="B30" s="54" t="inlineStr">
        <is>
          <t>Renk</t>
        </is>
      </c>
      <c r="C30" s="54" t="inlineStr">
        <is>
          <t>Sekme</t>
        </is>
      </c>
      <c r="D30" s="54" t="inlineStr">
        <is>
          <t>Ne için?</t>
        </is>
      </c>
      <c r="F30" s="54" t="inlineStr">
        <is>
          <t>Açıklama</t>
        </is>
      </c>
      <c r="J30" s="6" t="n"/>
      <c r="K30" s="6" t="n"/>
    </row>
    <row r="31" ht="26" customHeight="1">
      <c r="A31" s="6" t="n"/>
      <c r="B31" s="81" t="inlineStr">
        <is>
          <t>■</t>
        </is>
      </c>
      <c r="C31" s="82">
        <f>HYPERLINK("#PANO!A1","PANO")</f>
        <v/>
      </c>
      <c r="D31" s="213" t="inlineStr">
        <is>
          <t>Yönetim panosu</t>
        </is>
      </c>
      <c r="E31" s="190" t="n"/>
      <c r="F31" s="57" t="inlineStr">
        <is>
          <t>Günüe buradan başlayın: özet rakamlar, grafikler ve uyarılar.</t>
        </is>
      </c>
      <c r="G31" s="190" t="n"/>
      <c r="H31" s="190" t="n"/>
      <c r="I31" s="191" t="n"/>
      <c r="J31" s="6" t="n"/>
      <c r="K31" s="6" t="n"/>
    </row>
    <row r="32" ht="26" customHeight="1">
      <c r="A32" s="6" t="n"/>
      <c r="B32" s="83" t="inlineStr">
        <is>
          <t>■</t>
        </is>
      </c>
      <c r="C32" s="82">
        <f>HYPERLINK("#BASLANGIC!A1","BASLANGIC")</f>
        <v/>
      </c>
      <c r="D32" s="213" t="inlineStr">
        <is>
          <t>Kullanım kılavuzu</t>
        </is>
      </c>
      <c r="E32" s="190" t="n"/>
      <c r="F32" s="57" t="inlineStr">
        <is>
          <t>Şu an okuduğunuz ekran. Amaç, renk kuralı ve adımlar.</t>
        </is>
      </c>
      <c r="G32" s="190" t="n"/>
      <c r="H32" s="190" t="n"/>
      <c r="I32" s="191" t="n"/>
      <c r="J32" s="6" t="n"/>
      <c r="K32" s="6" t="n"/>
    </row>
    <row r="33" ht="26" customHeight="1">
      <c r="A33" s="6" t="n"/>
      <c r="B33" s="84" t="inlineStr">
        <is>
          <t>■</t>
        </is>
      </c>
      <c r="C33" s="82">
        <f>HYPERLINK("#MUSTERILER!A1","MUSTERILER")</f>
        <v/>
      </c>
      <c r="D33" s="213" t="inlineStr">
        <is>
          <t>Ana müşteri kartı</t>
        </is>
      </c>
      <c r="E33" s="190" t="n"/>
      <c r="F33" s="57" t="inlineStr">
        <is>
          <t>Her müşteri için tek kayıt. Devir alacağı burada tanımlanır.</t>
        </is>
      </c>
      <c r="G33" s="190" t="n"/>
      <c r="H33" s="190" t="n"/>
      <c r="I33" s="191" t="n"/>
      <c r="J33" s="6" t="n"/>
      <c r="K33" s="6" t="n"/>
    </row>
    <row r="34" ht="26" customHeight="1">
      <c r="A34" s="6" t="n"/>
      <c r="B34" s="85" t="inlineStr">
        <is>
          <t>■</t>
        </is>
      </c>
      <c r="C34" s="82">
        <f>HYPERLINK("#UCRETLER!A1","UCRETLER")</f>
        <v/>
      </c>
      <c r="D34" s="213" t="inlineStr">
        <is>
          <t>Haftalık ücret dönemleri</t>
        </is>
      </c>
      <c r="E34" s="190" t="n"/>
      <c r="F34" s="57" t="inlineStr">
        <is>
          <t>Fiyat geçmişi. Tahakkuk motorunun kaynağı.</t>
        </is>
      </c>
      <c r="G34" s="190" t="n"/>
      <c r="H34" s="190" t="n"/>
      <c r="I34" s="191" t="n"/>
      <c r="J34" s="6" t="n"/>
      <c r="K34" s="6" t="n"/>
    </row>
    <row r="35" ht="26" customHeight="1">
      <c r="A35" s="6" t="n"/>
      <c r="B35" s="86" t="inlineStr">
        <is>
          <t>■</t>
        </is>
      </c>
      <c r="C35" s="82">
        <f>HYPERLINK("#TAHSILAT!A1","TAHSILAT")</f>
        <v/>
      </c>
      <c r="D35" s="213" t="inlineStr">
        <is>
          <t>Müşteri tahsilatı</t>
        </is>
      </c>
      <c r="E35" s="190" t="n"/>
      <c r="F35" s="57" t="inlineStr">
        <is>
          <t>Müşteriden gelen her ödeme yalnız buraya girilir.</t>
        </is>
      </c>
      <c r="G35" s="190" t="n"/>
      <c r="H35" s="190" t="n"/>
      <c r="I35" s="191" t="n"/>
      <c r="J35" s="6" t="n"/>
      <c r="K35" s="6" t="n"/>
    </row>
    <row r="36" ht="26" customHeight="1">
      <c r="A36" s="6" t="n"/>
      <c r="B36" s="87" t="inlineStr">
        <is>
          <t>■</t>
        </is>
      </c>
      <c r="C36" s="82">
        <f>HYPERLINK("#GELIR_GIDER!A1","GELIR_GIDER")</f>
        <v/>
      </c>
      <c r="D36" s="213" t="inlineStr">
        <is>
          <t>Ofis gelir ve giderleri</t>
        </is>
      </c>
      <c r="E36" s="190" t="n"/>
      <c r="F36" s="57" t="inlineStr">
        <is>
          <t>Kira, personel, fatura gibi müşteri dışı hareketler.</t>
        </is>
      </c>
      <c r="G36" s="190" t="n"/>
      <c r="H36" s="190" t="n"/>
      <c r="I36" s="191" t="n"/>
      <c r="J36" s="6" t="n"/>
      <c r="K36" s="6" t="n"/>
    </row>
    <row r="37" ht="26" customHeight="1">
      <c r="A37" s="6" t="n"/>
      <c r="B37" s="88" t="inlineStr">
        <is>
          <t>■</t>
        </is>
      </c>
      <c r="C37" s="82">
        <f>HYPERLINK("#VIRMAN!A1","VIRMAN")</f>
        <v/>
      </c>
      <c r="D37" s="213" t="inlineStr">
        <is>
          <t>Hesaplar arası transfer</t>
        </is>
      </c>
      <c r="E37" s="190" t="n"/>
      <c r="F37" s="57" t="inlineStr">
        <is>
          <t>Kasadan bankaya para geçişi. Kârı etkilemez.</t>
        </is>
      </c>
      <c r="G37" s="190" t="n"/>
      <c r="H37" s="190" t="n"/>
      <c r="I37" s="191" t="n"/>
      <c r="J37" s="6" t="n"/>
      <c r="K37" s="6" t="n"/>
    </row>
    <row r="38" ht="26" customHeight="1">
      <c r="A38" s="6" t="n"/>
      <c r="B38" s="89" t="inlineStr">
        <is>
          <t>■</t>
        </is>
      </c>
      <c r="C38" s="82">
        <f>HYPERLINK("#AKTIVITE!A1","AKTIVITE")</f>
        <v/>
      </c>
      <c r="D38" s="213" t="inlineStr">
        <is>
          <t>İşler ve görüşmeler</t>
        </is>
      </c>
      <c r="E38" s="190" t="n"/>
      <c r="F38" s="57" t="inlineStr">
        <is>
          <t>Beyanname, bildirim, telefon, toplantı ve son tarihler.</t>
        </is>
      </c>
      <c r="G38" s="190" t="n"/>
      <c r="H38" s="190" t="n"/>
      <c r="I38" s="191" t="n"/>
      <c r="J38" s="6" t="n"/>
      <c r="K38" s="6" t="n"/>
    </row>
    <row r="39" ht="26" customHeight="1">
      <c r="A39" s="6" t="n"/>
      <c r="B39" s="90" t="inlineStr">
        <is>
          <t>■</t>
        </is>
      </c>
      <c r="C39" s="82">
        <f>HYPERLINK("#MUSTERI_360!A1","MUSTERI_360")</f>
        <v/>
      </c>
      <c r="D39" s="213" t="inlineStr">
        <is>
          <t>Cari ve yaşlandırma</t>
        </is>
      </c>
      <c r="E39" s="190" t="n"/>
      <c r="F39" s="57" t="inlineStr">
        <is>
          <t>Salt okunur karar ekranı. Kimden ne kadar alacaksınız?</t>
        </is>
      </c>
      <c r="G39" s="190" t="n"/>
      <c r="H39" s="190" t="n"/>
      <c r="I39" s="191" t="n"/>
      <c r="J39" s="6" t="n"/>
      <c r="K39" s="6" t="n"/>
    </row>
    <row r="40" ht="26" customHeight="1">
      <c r="A40" s="6" t="n"/>
      <c r="B40" s="91" t="inlineStr">
        <is>
          <t>■</t>
        </is>
      </c>
      <c r="C40" s="82">
        <f>HYPERLINK("#CARI_EKSTRE!A1","CARI_EKSTRE")</f>
        <v/>
      </c>
      <c r="D40" s="213" t="inlineStr">
        <is>
          <t>Müşteri cari ekstresi</t>
        </is>
      </c>
      <c r="E40" s="190" t="n"/>
      <c r="F40" s="57" t="inlineStr">
        <is>
          <t>Seçilen müşterinin borç / alacak / bakiye hareketleri, tarih sırasıyla.</t>
        </is>
      </c>
      <c r="G40" s="190" t="n"/>
      <c r="H40" s="190" t="n"/>
      <c r="I40" s="191" t="n"/>
      <c r="J40" s="6" t="n"/>
      <c r="K40" s="6" t="n"/>
    </row>
    <row r="41" ht="26" customHeight="1">
      <c r="A41" s="6" t="n"/>
      <c r="B41" s="92" t="inlineStr">
        <is>
          <t>■</t>
        </is>
      </c>
      <c r="C41" s="82">
        <f>HYPERLINK("#HESAPLAR!A1","HESAPLAR")</f>
        <v/>
      </c>
      <c r="D41" s="213" t="inlineStr">
        <is>
          <t>Kasa ve banka</t>
        </is>
      </c>
      <c r="E41" s="190" t="n"/>
      <c r="F41" s="57" t="inlineStr">
        <is>
          <t>Her hesabın güncel bakiyesi ve toplam nakit pozisyonu.</t>
        </is>
      </c>
      <c r="G41" s="190" t="n"/>
      <c r="H41" s="190" t="n"/>
      <c r="I41" s="191" t="n"/>
      <c r="J41" s="6" t="n"/>
      <c r="K41" s="6" t="n"/>
    </row>
    <row r="42" ht="26" customHeight="1">
      <c r="A42" s="6" t="n"/>
      <c r="B42" s="93" t="inlineStr">
        <is>
          <t>■</t>
        </is>
      </c>
      <c r="C42" s="82">
        <f>HYPERLINK("#AY_SONU!A1","AY_SONU")</f>
        <v/>
      </c>
      <c r="D42" s="213" t="inlineStr">
        <is>
          <t>Aylık kapanış</t>
        </is>
      </c>
      <c r="E42" s="190" t="n"/>
      <c r="F42" s="57" t="inlineStr">
        <is>
          <t>Nakit kâr, dağıtılabilir kâr ve ortak payları.</t>
        </is>
      </c>
      <c r="G42" s="190" t="n"/>
      <c r="H42" s="190" t="n"/>
      <c r="I42" s="191" t="n"/>
      <c r="J42" s="6" t="n"/>
      <c r="K42" s="6" t="n"/>
    </row>
    <row r="43" ht="26" customHeight="1">
      <c r="A43" s="6" t="n"/>
      <c r="B43" s="94" t="inlineStr">
        <is>
          <t>■</t>
        </is>
      </c>
      <c r="C43" s="82">
        <f>HYPERLINK("#SISTEM!A1","SISTEM")</f>
        <v/>
      </c>
      <c r="D43" s="213" t="inlineStr">
        <is>
          <t>Ayarlar ve kontrol</t>
        </is>
      </c>
      <c r="E43" s="190" t="n"/>
      <c r="F43" s="57" t="inlineStr">
        <is>
          <t>Ortak payları, kategoriler ve 28 otomatik denetim.</t>
        </is>
      </c>
      <c r="G43" s="190" t="n"/>
      <c r="H43" s="190" t="n"/>
      <c r="I43" s="191" t="n"/>
      <c r="J43" s="6" t="n"/>
      <c r="K43" s="6" t="n"/>
    </row>
    <row r="44" ht="12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 ht="28" customHeight="1">
      <c r="A45" s="6" t="n"/>
      <c r="B45" s="210" t="inlineStr">
        <is>
          <t>4.  11 ADIMDA KULLANIM  │  HANGİ EKRANA NE GİRİLİR?</t>
        </is>
      </c>
      <c r="C45" s="174" t="n"/>
      <c r="D45" s="174" t="n"/>
      <c r="E45" s="174" t="n"/>
      <c r="F45" s="174" t="n"/>
      <c r="G45" s="174" t="n"/>
      <c r="H45" s="174" t="n"/>
      <c r="I45" s="174" t="n"/>
      <c r="J45" s="6" t="n"/>
      <c r="K45" s="6" t="n"/>
    </row>
    <row r="46" ht="26" customHeight="1">
      <c r="A46" s="6" t="n"/>
      <c r="B46" s="54" t="inlineStr">
        <is>
          <t>Adım</t>
        </is>
      </c>
      <c r="C46" s="54" t="inlineStr">
        <is>
          <t>Ne yapılacak?</t>
        </is>
      </c>
      <c r="D46" s="54" t="inlineStr">
        <is>
          <t>Hangi ekran?</t>
        </is>
      </c>
      <c r="E46" s="54" t="inlineStr">
        <is>
          <t>Kullanıcı ne girer?</t>
        </is>
      </c>
      <c r="G46" s="54" t="inlineStr">
        <is>
          <t>Sistem ne yapar?</t>
        </is>
      </c>
      <c r="H46" s="54" t="inlineStr">
        <is>
          <t>Kontrol noktası</t>
        </is>
      </c>
      <c r="I46" s="54" t="inlineStr">
        <is>
          <t>Sıklık</t>
        </is>
      </c>
      <c r="J46" s="6" t="n"/>
      <c r="K46" s="6" t="n"/>
    </row>
    <row r="47" ht="32" customHeight="1">
      <c r="A47" s="6" t="n"/>
      <c r="B47" s="95" t="inlineStr">
        <is>
          <t>1</t>
        </is>
      </c>
      <c r="C47" s="62" t="inlineStr">
        <is>
          <t>Müşteri kartı aç</t>
        </is>
      </c>
      <c r="D47" s="82">
        <f>HYPERLINK("#MUSTERILER!A1","MUSTERILER")</f>
        <v/>
      </c>
      <c r="E47" s="213" t="inlineStr">
        <is>
          <t>Müşteri no, unvan, durum ve varsa devir alacağı</t>
        </is>
      </c>
      <c r="F47" s="190" t="n"/>
      <c r="G47" s="62" t="inlineStr">
        <is>
          <t>Müşteri tüm ekranlara tanıtılır</t>
        </is>
      </c>
      <c r="H47" s="62" t="inlineStr">
        <is>
          <t>Kayıt Kontrolü = UYGUN</t>
        </is>
      </c>
      <c r="I47" s="57" t="inlineStr">
        <is>
          <t>Yeni müşteride</t>
        </is>
      </c>
      <c r="J47" s="6" t="n"/>
      <c r="K47" s="6" t="n"/>
    </row>
    <row r="48" ht="32" customHeight="1">
      <c r="A48" s="6" t="n"/>
      <c r="B48" s="95" t="inlineStr">
        <is>
          <t>2</t>
        </is>
      </c>
      <c r="C48" s="62" t="inlineStr">
        <is>
          <t>Haftalık ücreti tanımla</t>
        </is>
      </c>
      <c r="D48" s="82">
        <f>HYPERLINK("#UCRETLER!A1","UCRETLER")</f>
        <v/>
      </c>
      <c r="E48" s="213" t="inlineStr">
        <is>
          <t>Başlangıç Cumartesi tarihi ve haftalık ücret</t>
        </is>
      </c>
      <c r="F48" s="190" t="n"/>
      <c r="G48" s="62" t="inlineStr">
        <is>
          <t>Her Cumartesi otomatik tahakkuk oluşur</t>
        </is>
      </c>
      <c r="H48" s="62" t="inlineStr">
        <is>
          <t>Sistem Kontrolü = UYGUN</t>
        </is>
      </c>
      <c r="I48" s="57" t="inlineStr">
        <is>
          <t>Yeni müşteride</t>
        </is>
      </c>
      <c r="J48" s="6" t="n"/>
      <c r="K48" s="6" t="n"/>
    </row>
    <row r="49" ht="32" customHeight="1">
      <c r="A49" s="6" t="n"/>
      <c r="B49" s="95" t="inlineStr">
        <is>
          <t>3</t>
        </is>
      </c>
      <c r="C49" s="62" t="inlineStr">
        <is>
          <t>Ücret değişikliğini işle</t>
        </is>
      </c>
      <c r="D49" s="82">
        <f>HYPERLINK("#UCRETLER!A1","UCRETLER")</f>
        <v/>
      </c>
      <c r="E49" s="213" t="inlineStr">
        <is>
          <t>Eski satıra bitiş Cumartesi, yeni satıra yeni ücret</t>
        </is>
      </c>
      <c r="F49" s="190" t="n"/>
      <c r="G49" s="62" t="inlineStr">
        <is>
          <t>Geçmiş haftalar bozulmadan yeni fiyat uygulanır</t>
        </is>
      </c>
      <c r="H49" s="62" t="inlineStr">
        <is>
          <t>İki aktif dönem çakışmamalı</t>
        </is>
      </c>
      <c r="I49" s="57" t="inlineStr">
        <is>
          <t>Ücret değişinde</t>
        </is>
      </c>
      <c r="J49" s="6" t="n"/>
      <c r="K49" s="6" t="n"/>
    </row>
    <row r="50" ht="32" customHeight="1">
      <c r="A50" s="6" t="n"/>
      <c r="B50" s="95" t="inlineStr">
        <is>
          <t>4</t>
        </is>
      </c>
      <c r="C50" s="62" t="inlineStr">
        <is>
          <t>Tahsilat gir</t>
        </is>
      </c>
      <c r="D50" s="82">
        <f>HYPERLINK("#TAHSILAT!A1","TAHSILAT")</f>
        <v/>
      </c>
      <c r="E50" s="213" t="inlineStr">
        <is>
          <t>Müşteri no, tarih, tutar, kasa/banka</t>
        </is>
      </c>
      <c r="F50" s="190" t="n"/>
      <c r="G50" s="62" t="inlineStr">
        <is>
          <t>Cari, kasa, aylık kapanış ve nakit kâr güncellenir</t>
        </is>
      </c>
      <c r="H50" s="62" t="inlineStr">
        <is>
          <t>Kayıt Kontrolü = UYGUN</t>
        </is>
      </c>
      <c r="I50" s="57" t="inlineStr">
        <is>
          <t>Ödeme geldikçe</t>
        </is>
      </c>
      <c r="J50" s="6" t="n"/>
      <c r="K50" s="6" t="n"/>
    </row>
    <row r="51" ht="32" customHeight="1">
      <c r="A51" s="6" t="n"/>
      <c r="B51" s="95" t="inlineStr">
        <is>
          <t>5</t>
        </is>
      </c>
      <c r="C51" s="62" t="inlineStr">
        <is>
          <t>Gelir / gider gir</t>
        </is>
      </c>
      <c r="D51" s="82">
        <f>HYPERLINK("#GELIR_GIDER!A1","GELIR_GIDER")</f>
        <v/>
      </c>
      <c r="E51" s="213" t="inlineStr">
        <is>
          <t>Tarih, tür, kategori, tutar, hesap, gerçekleşti</t>
        </is>
      </c>
      <c r="F51" s="190" t="n"/>
      <c r="G51" s="62" t="inlineStr">
        <is>
          <t>Kasa bakiyesi ve nakit kâr güncellenir</t>
        </is>
      </c>
      <c r="H51" s="62" t="inlineStr">
        <is>
          <t>Gerçekleşti = Evet olmalı</t>
        </is>
      </c>
      <c r="I51" s="57" t="inlineStr">
        <is>
          <t>Harcama oldukça</t>
        </is>
      </c>
      <c r="J51" s="6" t="n"/>
      <c r="K51" s="6" t="n"/>
    </row>
    <row r="52" ht="32" customHeight="1">
      <c r="A52" s="6" t="n"/>
      <c r="B52" s="95" t="inlineStr">
        <is>
          <t>6</t>
        </is>
      </c>
      <c r="C52" s="62" t="inlineStr">
        <is>
          <t>Hesaplar arası transfer</t>
        </is>
      </c>
      <c r="D52" s="82">
        <f>HYPERLINK("#VIRMAN!A1","VIRMAN")</f>
        <v/>
      </c>
      <c r="E52" s="213" t="inlineStr">
        <is>
          <t>Çıkan hesap, giren hesap, tutar</t>
        </is>
      </c>
      <c r="F52" s="190" t="n"/>
      <c r="G52" s="62" t="inlineStr">
        <is>
          <t>Yalnız paranın yeri değişir, kâr etkilenmez</t>
        </is>
      </c>
      <c r="H52" s="62" t="inlineStr">
        <is>
          <t>Sistem Kontrolü = UYGUN</t>
        </is>
      </c>
      <c r="I52" s="57" t="inlineStr">
        <is>
          <t>Para taşınınca</t>
        </is>
      </c>
      <c r="J52" s="6" t="n"/>
      <c r="K52" s="6" t="n"/>
    </row>
    <row r="53" ht="32" customHeight="1">
      <c r="A53" s="6" t="n"/>
      <c r="B53" s="95" t="inlineStr">
        <is>
          <t>7</t>
        </is>
      </c>
      <c r="C53" s="62" t="inlineStr">
        <is>
          <t>İş ve görüşme kaydet</t>
        </is>
      </c>
      <c r="D53" s="82">
        <f>HYPERLINK("#AKTIVITE!A1","AKTIVITE")</f>
        <v/>
      </c>
      <c r="E53" s="213" t="inlineStr">
        <is>
          <t>Tür, müşteri, konu, son tarih, sorumlu</t>
        </is>
      </c>
      <c r="F53" s="190" t="n"/>
      <c r="G53" s="62" t="inlineStr">
        <is>
          <t>Gecikme uyarısı ve sonraki adım üretir</t>
        </is>
      </c>
      <c r="H53" s="62" t="inlineStr">
        <is>
          <t>Uyarı = GECİKMİŞ olmamalı</t>
        </is>
      </c>
      <c r="I53" s="57" t="inlineStr">
        <is>
          <t>Her gün</t>
        </is>
      </c>
      <c r="J53" s="6" t="n"/>
      <c r="K53" s="6" t="n"/>
    </row>
    <row r="54" ht="32" customHeight="1">
      <c r="A54" s="6" t="n"/>
      <c r="B54" s="95" t="inlineStr">
        <is>
          <t>8</t>
        </is>
      </c>
      <c r="C54" s="62" t="inlineStr">
        <is>
          <t>Alacağı izle</t>
        </is>
      </c>
      <c r="D54" s="82">
        <f>HYPERLINK("#MUSTERI_360!A1","MUSTERI_360")</f>
        <v/>
      </c>
      <c r="E54" s="213" t="inlineStr">
        <is>
          <t>Veri girilmez, yalnız okunur</t>
        </is>
      </c>
      <c r="F54" s="190" t="n"/>
      <c r="G54" s="62" t="inlineStr">
        <is>
          <t>Cari, yaşlandırma ve önerilen işlem</t>
        </is>
      </c>
      <c r="H54" s="62" t="inlineStr">
        <is>
          <t>Kontrol = UYGUN</t>
        </is>
      </c>
      <c r="I54" s="57" t="inlineStr">
        <is>
          <t>Haftada bir</t>
        </is>
      </c>
      <c r="J54" s="6" t="n"/>
      <c r="K54" s="6" t="n"/>
    </row>
    <row r="55" ht="32" customHeight="1">
      <c r="A55" s="6" t="n"/>
      <c r="B55" s="95" t="inlineStr">
        <is>
          <t>9</t>
        </is>
      </c>
      <c r="C55" s="62" t="inlineStr">
        <is>
          <t>Nakit pozisyonunu gör</t>
        </is>
      </c>
      <c r="D55" s="82">
        <f>HYPERLINK("#HESAPLAR!A1","HESAPLAR")</f>
        <v/>
      </c>
      <c r="E55" s="213" t="inlineStr">
        <is>
          <t>Yeni hesap adı ve açılış bakiyesi</t>
        </is>
      </c>
      <c r="F55" s="190" t="n"/>
      <c r="G55" s="62" t="inlineStr">
        <is>
          <t>Her hesabın güncel bakiyesi hesaplanır</t>
        </is>
      </c>
      <c r="H55" s="62" t="inlineStr">
        <is>
          <t>Toplam nakit pozisyonu</t>
        </is>
      </c>
      <c r="I55" s="57" t="inlineStr">
        <is>
          <t>Her gün</t>
        </is>
      </c>
      <c r="J55" s="6" t="n"/>
      <c r="K55" s="6" t="n"/>
    </row>
    <row r="56" ht="32" customHeight="1">
      <c r="A56" s="6" t="n"/>
      <c r="B56" s="95" t="inlineStr">
        <is>
          <t>10</t>
        </is>
      </c>
      <c r="C56" s="62" t="inlineStr">
        <is>
          <t>Ayı kapat</t>
        </is>
      </c>
      <c r="D56" s="82">
        <f>HYPERLINK("#AY_SONU!A1","AY_SONU")</f>
        <v/>
      </c>
      <c r="E56" s="213" t="inlineStr">
        <is>
          <t>Dağıtıldı mı ve ortak ödemeleri</t>
        </is>
      </c>
      <c r="F56" s="190" t="n"/>
      <c r="G56" s="62" t="inlineStr">
        <is>
          <t>Nakit kâr, dağıtılabilir kâr ve ortak payları</t>
        </is>
      </c>
      <c r="H56" s="62" t="inlineStr">
        <is>
          <t>Dönem Durumu = KAPANABİLİR</t>
        </is>
      </c>
      <c r="I56" s="57" t="inlineStr">
        <is>
          <t>Ay sonunda</t>
        </is>
      </c>
      <c r="J56" s="6" t="n"/>
      <c r="K56" s="6" t="n"/>
    </row>
    <row r="57" ht="32" customHeight="1">
      <c r="A57" s="6" t="n"/>
      <c r="B57" s="95" t="inlineStr">
        <is>
          <t>11</t>
        </is>
      </c>
      <c r="C57" s="62" t="inlineStr">
        <is>
          <t>Sistemi denetle</t>
        </is>
      </c>
      <c r="D57" s="82">
        <f>HYPERLINK("#SISTEM!A1","SISTEM")</f>
        <v/>
      </c>
      <c r="E57" s="213" t="inlineStr">
        <is>
          <t>Ortak payı, kasa tamponu, kategoriler</t>
        </is>
      </c>
      <c r="F57" s="190" t="n"/>
      <c r="G57" s="62" t="inlineStr">
        <is>
          <t>28 otomatik kontrol çalışır</t>
        </is>
      </c>
      <c r="H57" s="62" t="inlineStr">
        <is>
          <t>Tüm satırlar GEÇTİ olmalı</t>
        </is>
      </c>
      <c r="I57" s="57" t="inlineStr">
        <is>
          <t>Ay kapatmadan önce</t>
        </is>
      </c>
      <c r="J57" s="6" t="n"/>
      <c r="K57" s="6" t="n"/>
    </row>
    <row r="58" ht="12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 ht="28" customHeight="1">
      <c r="A59" s="6" t="n"/>
      <c r="B59" s="210" t="inlineStr">
        <is>
          <t>5.  TAHAKKUK MODELLERİ, ZAM VE PARA GİRİŞİ</t>
        </is>
      </c>
      <c r="C59" s="174" t="n"/>
      <c r="D59" s="174" t="n"/>
      <c r="E59" s="174" t="n"/>
      <c r="F59" s="174" t="n"/>
      <c r="G59" s="174" t="n"/>
      <c r="H59" s="174" t="n"/>
      <c r="I59" s="174" t="n"/>
      <c r="J59" s="6" t="n"/>
      <c r="K59" s="6" t="n"/>
    </row>
    <row r="60" ht="26" customHeight="1">
      <c r="A60" s="6" t="n"/>
      <c r="B60" s="54" t="inlineStr">
        <is>
          <t>Konu</t>
        </is>
      </c>
      <c r="D60" s="54" t="inlineStr">
        <is>
          <t>Kural</t>
        </is>
      </c>
      <c r="G60" s="54" t="inlineStr">
        <is>
          <t>Açıklama ve örnek</t>
        </is>
      </c>
      <c r="J60" s="6" t="n"/>
      <c r="K60" s="6" t="n"/>
    </row>
    <row r="61" ht="38" customHeight="1">
      <c r="A61" s="6" t="n"/>
      <c r="B61" s="211" t="inlineStr">
        <is>
          <t>Haftalık model</t>
        </is>
      </c>
      <c r="C61" s="190" t="n"/>
      <c r="D61" s="213" t="inlineStr">
        <is>
          <t>Ücret her Cumartesi tahakkuk eder.</t>
        </is>
      </c>
      <c r="E61" s="190" t="n"/>
      <c r="F61" s="190" t="n"/>
      <c r="G61" s="57" t="inlineStr">
        <is>
          <t>Başlangıç ve bitiş tarihi mutlaka Cumartesi olmalıdır. 4 Cumartesi olan ayda 4, 5 Cumartesi olan ayda 5 kez tahakkuk oluşur.</t>
        </is>
      </c>
      <c r="H61" s="190" t="n"/>
      <c r="I61" s="191" t="n"/>
      <c r="J61" s="6" t="n"/>
      <c r="K61" s="6" t="n"/>
    </row>
    <row r="62" ht="38" customHeight="1">
      <c r="A62" s="6" t="n"/>
      <c r="B62" s="211" t="inlineStr">
        <is>
          <t>Aylık model</t>
        </is>
      </c>
      <c r="C62" s="190" t="n"/>
      <c r="D62" s="213" t="inlineStr">
        <is>
          <t>Ücret her ayın SON GÜNÜ tahakkuk eder.</t>
        </is>
      </c>
      <c r="E62" s="190" t="n"/>
      <c r="F62" s="190" t="n"/>
      <c r="G62" s="57" t="inlineStr">
        <is>
          <t>15.09.2026'da başlasa bile ilk tahakkuk 30.09.2026'da oluşur. Ay içinde başlayan müşteri o ayın tam ücretini tahakkuk ettirir.</t>
        </is>
      </c>
      <c r="H62" s="190" t="n"/>
      <c r="I62" s="191" t="n"/>
      <c r="J62" s="6" t="n"/>
      <c r="K62" s="6" t="n"/>
    </row>
    <row r="63" ht="38" customHeight="1">
      <c r="A63" s="6" t="n"/>
      <c r="B63" s="211" t="inlineStr">
        <is>
          <t>Model seçimi</t>
        </is>
      </c>
      <c r="C63" s="190" t="n"/>
      <c r="D63" s="213" t="inlineStr">
        <is>
          <t>ÜCRET DÖNEMLERİ ▸ Tahakkuk Modeli sütunu</t>
        </is>
      </c>
      <c r="E63" s="190" t="n"/>
      <c r="F63" s="190" t="n"/>
      <c r="G63" s="57" t="inlineStr">
        <is>
          <t>Her müşteri ayrı model kullanabilir. Bir müşterinin aynı anda yalnız bir Aktif dönemi olmalıdır; sistem çakışmayı otomatik yakalar.</t>
        </is>
      </c>
      <c r="H63" s="190" t="n"/>
      <c r="I63" s="191" t="n"/>
      <c r="J63" s="6" t="n"/>
      <c r="K63" s="6" t="n"/>
    </row>
    <row r="64" ht="38" customHeight="1">
      <c r="A64" s="6" t="n"/>
      <c r="B64" s="211" t="inlineStr">
        <is>
          <t>ZAM / ücret değişikliği</t>
        </is>
      </c>
      <c r="C64" s="190" t="n"/>
      <c r="D64" s="213" t="inlineStr">
        <is>
          <t>Eski satırı kapat, yeni satır aç. Satır silme, tutarı değiştirme.</t>
        </is>
      </c>
      <c r="E64" s="190" t="n"/>
      <c r="F64" s="190" t="n"/>
      <c r="G64" s="57" t="inlineStr">
        <is>
          <t>Örnek: Eylül 4.000 ₺ → Ekim 7.000 ₺. Eski satır: 01.09.2026 – 30.09.2026, Aylık, 4.000, Durum = Pasif. Yeni satır: 01.10.2026 – (bitiş boş), Aylık, 7.000, Durum = Aktif.</t>
        </is>
      </c>
      <c r="H64" s="190" t="n"/>
      <c r="I64" s="191" t="n"/>
      <c r="J64" s="6" t="n"/>
      <c r="K64" s="6" t="n"/>
    </row>
    <row r="65" ht="38" customHeight="1">
      <c r="A65" s="6" t="n"/>
      <c r="B65" s="211" t="inlineStr">
        <is>
          <t>Sonuç</t>
        </is>
      </c>
      <c r="C65" s="190" t="n"/>
      <c r="D65" s="213" t="inlineStr">
        <is>
          <t>Geçmiş asla bozulmaz.</t>
        </is>
      </c>
      <c r="E65" s="190" t="n"/>
      <c r="F65" s="190" t="n"/>
      <c r="G65" s="57" t="inlineStr">
        <is>
          <t>Eylül 4.000 ₺, Ekim ve sonrası 7.000 ₺ olarak tahakkuk eder. Kapanmış ayların rakamı değişmez.</t>
        </is>
      </c>
      <c r="H65" s="190" t="n"/>
      <c r="I65" s="191" t="n"/>
      <c r="J65" s="6" t="n"/>
      <c r="K65" s="6" t="n"/>
    </row>
    <row r="66" ht="38" customHeight="1">
      <c r="A66" s="6" t="n"/>
      <c r="B66" s="211" t="inlineStr">
        <is>
          <t>Müşteri seçimi</t>
        </is>
      </c>
      <c r="C66" s="190" t="n"/>
      <c r="D66" s="213" t="inlineStr">
        <is>
          <t>Müşteri adı açılır listeden seçilir.</t>
        </is>
      </c>
      <c r="E66" s="190" t="n"/>
      <c r="F66" s="190" t="n"/>
      <c r="G66" s="57" t="inlineStr">
        <is>
          <t>TAHSİLAT, ÜCRET DÖNEMLERİ ve AKTİVİTE ekranlarında müşteri unvanı listeden seçilir; Müşteri No sütunu otomatik dolar. Elle numara yazılmaz.</t>
        </is>
      </c>
      <c r="H66" s="190" t="n"/>
      <c r="I66" s="191" t="n"/>
      <c r="J66" s="6" t="n"/>
      <c r="K66" s="6" t="n"/>
    </row>
    <row r="67" ht="38" customHeight="1">
      <c r="A67" s="6" t="n"/>
      <c r="B67" s="211" t="inlineStr">
        <is>
          <t>SÖZLEŞME ÜCRETİ TAHSİLATI</t>
        </is>
      </c>
      <c r="C67" s="190" t="n"/>
      <c r="D67" s="213" t="inlineStr">
        <is>
          <t>TAHSİLAT ekranı — başka hiçbir yere girilmez.</t>
        </is>
      </c>
      <c r="E67" s="190" t="n"/>
      <c r="F67" s="190" t="n"/>
      <c r="G67" s="57" t="inlineStr">
        <is>
          <t>Haftalık veya aylık muhasebe ücreti müşteriden tahsil edildiğinde yalnız buraya girilir. Cari bakiye, yaşlandırma, kasa ve nakit kâr otomatik güncellenir.</t>
        </is>
      </c>
      <c r="H67" s="190" t="n"/>
      <c r="I67" s="191" t="n"/>
      <c r="J67" s="6" t="n"/>
      <c r="K67" s="6" t="n"/>
    </row>
    <row r="68" ht="38" customHeight="1">
      <c r="A68" s="6" t="n"/>
      <c r="B68" s="211" t="inlineStr">
        <is>
          <t>EK HİZMET BEDELLERİ</t>
        </is>
      </c>
      <c r="C68" s="190" t="n"/>
      <c r="D68" s="213" t="inlineStr">
        <is>
          <t>GELİR VE GİDER ekranı</t>
        </is>
      </c>
      <c r="E68" s="190" t="n"/>
      <c r="F68" s="190" t="n"/>
      <c r="G68" s="57" t="inlineStr">
        <is>
          <t>Defter tasdik, kontör ücreti, geçici vergi / damga, danışmanlık hizmeti gibi sözleşme dışı gelirler buraya girilir. Bunlar cari borç doğurmaz, doğrudan nakit gelirdir.</t>
        </is>
      </c>
      <c r="H68" s="190" t="n"/>
      <c r="I68" s="191" t="n"/>
      <c r="J68" s="6" t="n"/>
      <c r="K68" s="6" t="n"/>
    </row>
    <row r="69" ht="38" customHeight="1">
      <c r="A69" s="6" t="n"/>
      <c r="B69" s="211" t="inlineStr">
        <is>
          <t>CARİ EKSTRE</t>
        </is>
      </c>
      <c r="C69" s="190" t="n"/>
      <c r="D69" s="213" t="inlineStr">
        <is>
          <t>CARİ EKSTRE ekranı — müşteriyi seçin, geçmiş otomatik gelsin.</t>
        </is>
      </c>
      <c r="E69" s="190" t="n"/>
      <c r="F69" s="190" t="n"/>
      <c r="G69" s="57" t="inlineStr">
        <is>
          <t>Tahakkuk satırları BORÇ, tahsilat satırları ALACAK sütununda listelenir; bakiye satır satır yürür. Örnek: 03.01.2026 1. hafta muhasebe 1.000 borç → bakiye 1.000; aynı gün nakit alınan 1.000 alacak → bakiye 0.</t>
        </is>
      </c>
      <c r="H69" s="190" t="n"/>
      <c r="I69" s="191" t="n"/>
      <c r="J69" s="6" t="n"/>
      <c r="K69" s="6" t="n"/>
    </row>
    <row r="70" ht="12" customHeight="1">
      <c r="A70" s="6" t="n"/>
      <c r="B70" s="211" t="inlineStr">
        <is>
          <t>BORÇLU / ALACAKLI GÖRÜNÜMÜ</t>
        </is>
      </c>
      <c r="C70" s="190" t="n"/>
      <c r="D70" s="213" t="inlineStr">
        <is>
          <t>GELİR VE GİDER ekranının sağındaki panel</t>
        </is>
      </c>
      <c r="E70" s="190" t="n"/>
      <c r="F70" s="190" t="n"/>
      <c r="G70" s="57" t="inlineStr">
        <is>
          <t>Sözleşme ücreti tahakkuk ettiğinde: Müşteri Carisi BORÇLU / Muhasebe Hizmet Geliri ALACAKLI. Panel otomatiktir, elle girilmez; çift kayıt oluşmaz.</t>
        </is>
      </c>
      <c r="H70" s="190" t="n"/>
      <c r="I70" s="191" t="n"/>
      <c r="J70" s="6" t="n"/>
      <c r="K70" s="6" t="n"/>
    </row>
    <row r="71" ht="28" customHeight="1">
      <c r="A71" s="6" t="n"/>
      <c r="B71" s="210" t="inlineStr">
        <is>
          <t>6.  DEĞİŞMEZ KURALLAR  │  BU KURALLAR BOZULURSA SİSTEM YANLIŞ SONUÇ VERİR</t>
        </is>
      </c>
      <c r="C71" s="174" t="n"/>
      <c r="D71" s="174" t="n"/>
      <c r="E71" s="174" t="n"/>
      <c r="F71" s="174" t="n"/>
      <c r="G71" s="174" t="n"/>
      <c r="H71" s="174" t="n"/>
      <c r="I71" s="174" t="n"/>
      <c r="J71" s="6" t="n"/>
      <c r="K71" s="6" t="n"/>
    </row>
    <row r="72" ht="26" customHeight="1">
      <c r="A72" s="6" t="n"/>
      <c r="B72" s="54" t="inlineStr">
        <is>
          <t>Kural</t>
        </is>
      </c>
      <c r="D72" s="54" t="inlineStr">
        <is>
          <t>Uygulama</t>
        </is>
      </c>
      <c r="G72" s="54" t="inlineStr">
        <is>
          <t>Yasak</t>
        </is>
      </c>
      <c r="J72" s="6" t="n"/>
      <c r="K72" s="6" t="n"/>
    </row>
    <row r="73" ht="30" customHeight="1">
      <c r="A73" s="6" t="n"/>
      <c r="B73" s="211" t="inlineStr">
        <is>
          <t>Tek veri girişi</t>
        </is>
      </c>
      <c r="C73" s="190" t="n"/>
      <c r="D73" s="213" t="inlineStr">
        <is>
          <t>Bir gerçek işlem yalnız bir ekrana girilir.</t>
        </is>
      </c>
      <c r="E73" s="190" t="n"/>
      <c r="F73" s="190" t="n"/>
      <c r="G73" s="96" t="inlineStr">
        <is>
          <t>✖  Aynı tahsilatı hem TAHSİLAT hem GELİR/GİDER ekranına yazmak</t>
        </is>
      </c>
      <c r="H73" s="190" t="n"/>
      <c r="I73" s="191" t="n"/>
      <c r="J73" s="6" t="n"/>
      <c r="K73" s="6" t="n"/>
    </row>
    <row r="74" ht="30" customHeight="1">
      <c r="A74" s="6" t="n"/>
      <c r="B74" s="211" t="inlineStr">
        <is>
          <t>Ücret geçmişi</t>
        </is>
      </c>
      <c r="C74" s="190" t="n"/>
      <c r="D74" s="213" t="inlineStr">
        <is>
          <t>Eski dönemi kapat, yeni dönem aç.</t>
        </is>
      </c>
      <c r="E74" s="190" t="n"/>
      <c r="F74" s="190" t="n"/>
      <c r="G74" s="96" t="inlineStr">
        <is>
          <t>✖  Eski ücret tutarını geriye dönük değiştirmek veya satırı silmek</t>
        </is>
      </c>
      <c r="H74" s="190" t="n"/>
      <c r="I74" s="191" t="n"/>
      <c r="J74" s="6" t="n"/>
      <c r="K74" s="6" t="n"/>
    </row>
    <row r="75" ht="30" customHeight="1">
      <c r="A75" s="6" t="n"/>
      <c r="B75" s="211" t="inlineStr">
        <is>
          <t>Kâr dağıtımı</t>
        </is>
      </c>
      <c r="C75" s="190" t="n"/>
      <c r="D75" s="213" t="inlineStr">
        <is>
          <t>Dağıtım yalnız tahsil edilmiş nakit kârdan yapılır.</t>
        </is>
      </c>
      <c r="E75" s="190" t="n"/>
      <c r="F75" s="190" t="n"/>
      <c r="G75" s="96" t="inlineStr">
        <is>
          <t>✖  Tahsil edilmemiş cari alacağı kâr sayarak dağıtmak</t>
        </is>
      </c>
      <c r="H75" s="190" t="n"/>
      <c r="I75" s="191" t="n"/>
      <c r="J75" s="6" t="n"/>
      <c r="K75" s="6" t="n"/>
    </row>
    <row r="76" ht="30" customHeight="1">
      <c r="A76" s="6" t="n"/>
      <c r="B76" s="211" t="inlineStr">
        <is>
          <t>Formül disiplini</t>
        </is>
      </c>
      <c r="C76" s="190" t="n"/>
      <c r="D76" s="213" t="inlineStr">
        <is>
          <t>Her fark ayrı bir işlem satırı olarak girilir.</t>
        </is>
      </c>
      <c r="E76" s="190" t="n"/>
      <c r="F76" s="190" t="n"/>
      <c r="G76" s="96" t="inlineStr">
        <is>
          <t>✖  Formülün içine elle rakam eklemek</t>
        </is>
      </c>
      <c r="H76" s="190" t="n"/>
      <c r="I76" s="191" t="n"/>
      <c r="J76" s="6" t="n"/>
      <c r="K76" s="6" t="n"/>
    </row>
    <row r="77" ht="30" customHeight="1">
      <c r="A77" s="6" t="n"/>
      <c r="B77" s="211" t="inlineStr">
        <is>
          <t>Virman</t>
        </is>
      </c>
      <c r="C77" s="190" t="n"/>
      <c r="D77" s="213" t="inlineStr">
        <is>
          <t>Hesaplar arası transfer VIRMAN ekranına girilir.</t>
        </is>
      </c>
      <c r="E77" s="190" t="n"/>
      <c r="F77" s="190" t="n"/>
      <c r="G77" s="96" t="inlineStr">
        <is>
          <t>✖  Transferi gelir veya gider olarak yazmak</t>
        </is>
      </c>
      <c r="H77" s="190" t="n"/>
      <c r="I77" s="191" t="n"/>
      <c r="J77" s="6" t="n"/>
      <c r="K77" s="6" t="n"/>
    </row>
    <row r="78" ht="30" customHeight="1">
      <c r="A78" s="6" t="n"/>
      <c r="B78" s="211" t="inlineStr">
        <is>
          <t>Devir bakiyesi</t>
        </is>
      </c>
      <c r="C78" s="190" t="n"/>
      <c r="D78" s="213" t="inlineStr">
        <is>
          <t>Eski alacak tek satırda devir olarak taşınır.</t>
        </is>
      </c>
      <c r="E78" s="190" t="n"/>
      <c r="F78" s="190" t="n"/>
      <c r="G78" s="96" t="inlineStr">
        <is>
          <t>✖  Geçmiş tahakkukları uydurarak yeniden üretmek</t>
        </is>
      </c>
      <c r="H78" s="190" t="n"/>
      <c r="I78" s="191" t="n"/>
      <c r="J78" s="6" t="n"/>
      <c r="K78" s="6" t="n"/>
    </row>
    <row r="79" ht="30" customHeight="1">
      <c r="A79" s="6" t="n"/>
      <c r="B79" s="211" t="inlineStr">
        <is>
          <t>Müşteri seçimi</t>
        </is>
      </c>
      <c r="C79" s="190" t="n"/>
      <c r="D79" s="213" t="inlineStr">
        <is>
          <t>Müşteri her ekranda listeden seçilir.</t>
        </is>
      </c>
      <c r="E79" s="190" t="n"/>
      <c r="F79" s="190" t="n"/>
      <c r="G79" s="96" t="inlineStr">
        <is>
          <t>✖  Müşteri numarasını elle yazmak veya unvanı elle değiştirmek</t>
        </is>
      </c>
      <c r="H79" s="190" t="n"/>
      <c r="I79" s="191" t="n"/>
      <c r="J79" s="6" t="n"/>
      <c r="K79" s="6" t="n"/>
    </row>
    <row r="80" ht="12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</row>
    <row r="81" ht="28" customHeight="1">
      <c r="A81" s="6" t="n"/>
      <c r="B81" s="210" t="inlineStr">
        <is>
          <t>7.  KORUMA VE GÜVENLİK</t>
        </is>
      </c>
      <c r="C81" s="174" t="n"/>
      <c r="D81" s="174" t="n"/>
      <c r="E81" s="174" t="n"/>
      <c r="F81" s="174" t="n"/>
      <c r="G81" s="174" t="n"/>
      <c r="H81" s="174" t="n"/>
      <c r="I81" s="174" t="n"/>
      <c r="J81" s="6" t="n"/>
      <c r="K81" s="6" t="n"/>
    </row>
    <row r="82" ht="26" customHeight="1">
      <c r="A82" s="6" t="n"/>
      <c r="B82" s="54" t="inlineStr">
        <is>
          <t>Konu</t>
        </is>
      </c>
      <c r="D82" s="54" t="inlineStr">
        <is>
          <t>Değer</t>
        </is>
      </c>
      <c r="E82" s="54" t="inlineStr">
        <is>
          <t>Açıklama</t>
        </is>
      </c>
      <c r="J82" s="6" t="n"/>
      <c r="K82" s="6" t="n"/>
    </row>
    <row r="83" ht="30" customHeight="1">
      <c r="A83" s="6" t="n"/>
      <c r="B83" s="211" t="inlineStr">
        <is>
          <t>Sayfa şifresi</t>
        </is>
      </c>
      <c r="C83" s="190" t="n"/>
      <c r="D83" s="98" t="inlineStr">
        <is>
          <t>1234</t>
        </is>
      </c>
      <c r="E83" s="57" t="inlineStr">
        <is>
          <t>Otomatik hücreler kilitlidir. Yapıyı değiştirmek gerekirse: Gözden Geçir ▸ Sayfa Korumasını Kaldır ▸ Şifre: 1234</t>
        </is>
      </c>
      <c r="F83" s="190" t="n"/>
      <c r="G83" s="190" t="n"/>
      <c r="H83" s="190" t="n"/>
      <c r="I83" s="191" t="n"/>
      <c r="J83" s="6" t="n"/>
      <c r="K83" s="6" t="n"/>
    </row>
    <row r="84" ht="30" customHeight="1">
      <c r="A84" s="6" t="n"/>
      <c r="B84" s="211" t="inlineStr">
        <is>
          <t>Yedekleme</t>
        </is>
      </c>
      <c r="C84" s="190" t="n"/>
      <c r="D84" s="98" t="inlineStr">
        <is>
          <t>Haftada bir</t>
        </is>
      </c>
      <c r="E84" s="57" t="inlineStr">
        <is>
          <t>Dosyayı hafta sonu tarih ekleyerek kopyalayın (örnek: Ofis_Yonetim_2026-08-29.xlsx).</t>
        </is>
      </c>
      <c r="F84" s="190" t="n"/>
      <c r="G84" s="190" t="n"/>
      <c r="H84" s="190" t="n"/>
      <c r="I84" s="191" t="n"/>
      <c r="J84" s="6" t="n"/>
      <c r="K84" s="6" t="n"/>
    </row>
    <row r="85" ht="30" customHeight="1">
      <c r="A85" s="6" t="n"/>
      <c r="B85" s="211" t="inlineStr">
        <is>
          <t>Uyumluluk</t>
        </is>
      </c>
      <c r="C85" s="190" t="n"/>
      <c r="D85" s="98" t="inlineStr">
        <is>
          <t>Windows Excel</t>
        </is>
      </c>
      <c r="E85" s="57" t="inlineStr">
        <is>
          <t>Windows üzerinde Microsoft Excel 2016 ve üzeri için optimize edilmiştir. Makro içermez, güvenlik uyarısı vermez.</t>
        </is>
      </c>
      <c r="F85" s="190" t="n"/>
      <c r="G85" s="190" t="n"/>
      <c r="H85" s="190" t="n"/>
      <c r="I85" s="191" t="n"/>
      <c r="J85" s="6" t="n"/>
      <c r="K85" s="6" t="n"/>
    </row>
    <row r="86" ht="30" customHeight="1">
      <c r="A86" s="6" t="n"/>
      <c r="B86" s="211" t="inlineStr">
        <is>
          <t>Kapasite</t>
        </is>
      </c>
      <c r="C86" s="190" t="n"/>
      <c r="D86" s="98" t="inlineStr">
        <is>
          <t>Hazır satır</t>
        </is>
      </c>
      <c r="E86" s="57" t="inlineStr">
        <is>
          <t>100 müşteri │ 400 ücret dönemi │ 1.500 tahsilat │ 1.200 gelir-gider │ 400 virman │ 1.000 aktivite │ 36 ay kapanış.</t>
        </is>
      </c>
      <c r="F86" s="190" t="n"/>
      <c r="G86" s="190" t="n"/>
      <c r="H86" s="190" t="n"/>
      <c r="I86" s="191" t="n"/>
      <c r="J86" s="6" t="n"/>
      <c r="K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161">
    <mergeCell ref="D76:F76"/>
    <mergeCell ref="G62:I62"/>
    <mergeCell ref="E23:F23"/>
    <mergeCell ref="D66:F66"/>
    <mergeCell ref="D75:F75"/>
    <mergeCell ref="D36:E36"/>
    <mergeCell ref="D16:I16"/>
    <mergeCell ref="D31:E31"/>
    <mergeCell ref="B12:C12"/>
    <mergeCell ref="B77:C77"/>
    <mergeCell ref="G24:I24"/>
    <mergeCell ref="E51:F51"/>
    <mergeCell ref="B86:C86"/>
    <mergeCell ref="A2:I2"/>
    <mergeCell ref="G65:I65"/>
    <mergeCell ref="B67:C67"/>
    <mergeCell ref="G79:I79"/>
    <mergeCell ref="B61:C61"/>
    <mergeCell ref="G73:I73"/>
    <mergeCell ref="B14:C14"/>
    <mergeCell ref="G26:I26"/>
    <mergeCell ref="B8:I8"/>
    <mergeCell ref="G63:I63"/>
    <mergeCell ref="B13:C13"/>
    <mergeCell ref="B69:C69"/>
    <mergeCell ref="B78:C78"/>
    <mergeCell ref="C27:D27"/>
    <mergeCell ref="E49:F49"/>
    <mergeCell ref="E27:F27"/>
    <mergeCell ref="B64:C64"/>
    <mergeCell ref="D33:E33"/>
    <mergeCell ref="C19:D19"/>
    <mergeCell ref="B5:I5"/>
    <mergeCell ref="E22:F22"/>
    <mergeCell ref="E53:F53"/>
    <mergeCell ref="B63:C63"/>
    <mergeCell ref="B45:I45"/>
    <mergeCell ref="D35:E35"/>
    <mergeCell ref="B16:C16"/>
    <mergeCell ref="E55:F55"/>
    <mergeCell ref="D34:E34"/>
    <mergeCell ref="F43:I43"/>
    <mergeCell ref="G69:I69"/>
    <mergeCell ref="B59:I59"/>
    <mergeCell ref="B66:C66"/>
    <mergeCell ref="F37:I37"/>
    <mergeCell ref="G78:I78"/>
    <mergeCell ref="E48:F48"/>
    <mergeCell ref="E83:I83"/>
    <mergeCell ref="B11:C11"/>
    <mergeCell ref="G64:I64"/>
    <mergeCell ref="D74:F74"/>
    <mergeCell ref="D68:F68"/>
    <mergeCell ref="F34:I34"/>
    <mergeCell ref="E84:I84"/>
    <mergeCell ref="D67:F67"/>
    <mergeCell ref="E86:I86"/>
    <mergeCell ref="D37:E37"/>
    <mergeCell ref="F30:I30"/>
    <mergeCell ref="B84:C84"/>
    <mergeCell ref="D60:F60"/>
    <mergeCell ref="E26:F26"/>
    <mergeCell ref="D69:F69"/>
    <mergeCell ref="F33:I33"/>
    <mergeCell ref="D39:E39"/>
    <mergeCell ref="F42:I42"/>
    <mergeCell ref="B15:C15"/>
    <mergeCell ref="G27:I27"/>
    <mergeCell ref="E25:F25"/>
    <mergeCell ref="A1:I1"/>
    <mergeCell ref="D38:E38"/>
    <mergeCell ref="B79:C79"/>
    <mergeCell ref="D11:I11"/>
    <mergeCell ref="E50:F50"/>
    <mergeCell ref="G66:I66"/>
    <mergeCell ref="D13:I13"/>
    <mergeCell ref="G19:I19"/>
    <mergeCell ref="B72:C72"/>
    <mergeCell ref="F39:I39"/>
    <mergeCell ref="E52:F52"/>
    <mergeCell ref="G74:I74"/>
    <mergeCell ref="G68:I68"/>
    <mergeCell ref="D78:F78"/>
    <mergeCell ref="C20:D20"/>
    <mergeCell ref="E82:I82"/>
    <mergeCell ref="E20:F20"/>
    <mergeCell ref="D9:I9"/>
    <mergeCell ref="B60:C60"/>
    <mergeCell ref="G20:I20"/>
    <mergeCell ref="C22:D22"/>
    <mergeCell ref="B82:C82"/>
    <mergeCell ref="D73:F73"/>
    <mergeCell ref="D15:I15"/>
    <mergeCell ref="C21:D21"/>
    <mergeCell ref="B29:I29"/>
    <mergeCell ref="E46:F46"/>
    <mergeCell ref="G22:I22"/>
    <mergeCell ref="B9:C9"/>
    <mergeCell ref="G72:I72"/>
    <mergeCell ref="G21:I21"/>
    <mergeCell ref="C23:D23"/>
    <mergeCell ref="B83:C83"/>
    <mergeCell ref="F36:I36"/>
    <mergeCell ref="E57:F57"/>
    <mergeCell ref="D10:I10"/>
    <mergeCell ref="D30:E30"/>
    <mergeCell ref="E54:F54"/>
    <mergeCell ref="G70:I70"/>
    <mergeCell ref="B76:C76"/>
    <mergeCell ref="G23:I23"/>
    <mergeCell ref="B85:C85"/>
    <mergeCell ref="E56:F56"/>
    <mergeCell ref="D77:F77"/>
    <mergeCell ref="B75:C75"/>
    <mergeCell ref="F31:I31"/>
    <mergeCell ref="B62:C62"/>
    <mergeCell ref="C24:D24"/>
    <mergeCell ref="E24:F24"/>
    <mergeCell ref="D61:F61"/>
    <mergeCell ref="B81:I81"/>
    <mergeCell ref="D70:F70"/>
    <mergeCell ref="D40:E40"/>
    <mergeCell ref="C26:D26"/>
    <mergeCell ref="B71:I71"/>
    <mergeCell ref="B18:I18"/>
    <mergeCell ref="D72:F72"/>
    <mergeCell ref="B70:C70"/>
    <mergeCell ref="C25:D25"/>
    <mergeCell ref="E19:F19"/>
    <mergeCell ref="D62:F62"/>
    <mergeCell ref="D32:E32"/>
    <mergeCell ref="D12:I12"/>
    <mergeCell ref="D41:E41"/>
    <mergeCell ref="G76:I76"/>
    <mergeCell ref="G25:I25"/>
    <mergeCell ref="B73:C73"/>
    <mergeCell ref="D64:F64"/>
    <mergeCell ref="F40:I40"/>
    <mergeCell ref="D14:I14"/>
    <mergeCell ref="G60:I60"/>
    <mergeCell ref="D43:E43"/>
    <mergeCell ref="D79:F79"/>
    <mergeCell ref="B10:C10"/>
    <mergeCell ref="G75:I75"/>
    <mergeCell ref="B65:C65"/>
    <mergeCell ref="D63:F63"/>
    <mergeCell ref="G77:I77"/>
    <mergeCell ref="B74:C74"/>
    <mergeCell ref="F32:I32"/>
    <mergeCell ref="B68:C68"/>
    <mergeCell ref="F41:I41"/>
    <mergeCell ref="D42:E42"/>
    <mergeCell ref="F35:I35"/>
    <mergeCell ref="E85:I85"/>
    <mergeCell ref="B6:I6"/>
    <mergeCell ref="G67:I67"/>
    <mergeCell ref="D65:F65"/>
    <mergeCell ref="G61:I61"/>
    <mergeCell ref="F38:I38"/>
    <mergeCell ref="E47:F47"/>
    <mergeCell ref="E21:F21"/>
  </mergeCell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F6E56"/>
    <outlinePr summaryBelow="1" summaryRight="1"/>
    <pageSetUpPr fitToPage="1"/>
  </sheetPr>
  <dimension ref="A1:R10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32" customWidth="1" min="3" max="3"/>
    <col width="12" customWidth="1" min="4" max="4"/>
    <col width="18" customWidth="1" min="5" max="5"/>
    <col width="16" customWidth="1" min="6" max="6"/>
    <col width="14" customWidth="1" min="7" max="7"/>
    <col width="15" customWidth="1" min="8" max="8"/>
    <col width="14" customWidth="1" min="9" max="9"/>
    <col width="16" customWidth="1" min="10" max="10"/>
    <col width="15" customWidth="1" min="11" max="11"/>
    <col width="24" customWidth="1" min="12" max="12"/>
    <col width="26" customWidth="1" min="13" max="13"/>
    <col width="15" customWidth="1" min="14" max="14"/>
    <col width="14" customWidth="1" min="15" max="15"/>
    <col width="15" customWidth="1" min="16" max="16"/>
    <col width="2.4" customWidth="1" min="17" max="17"/>
    <col width="2.4" customWidth="1" min="18" max="18"/>
  </cols>
  <sheetData>
    <row r="1" ht="38" customHeight="1">
      <c r="A1" s="258" t="inlineStr">
        <is>
          <t>KILIÇ MUHASEBE   │   MÜŞTERİLER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45" t="n"/>
      <c r="R1" s="45" t="n"/>
    </row>
    <row r="2" ht="22" customHeight="1">
      <c r="A2" s="4" t="inlineStr">
        <is>
          <t>Ana müşteri kartı │ Her müşteri için tek kayıt │ Devir alacağı bu ekranda tanımlanır</t>
        </is>
      </c>
      <c r="Q2" s="46" t="n"/>
      <c r="R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</row>
    <row r="4" ht="20" customHeight="1">
      <c r="A4" s="6" t="n"/>
      <c r="B4" s="47">
        <f>HYPERLINK("#PANO!A1","←  PANO")</f>
        <v/>
      </c>
      <c r="C4" s="6" t="n"/>
      <c r="D4" s="99">
        <f>HYPERLINK("#UCRETLER!A1","Haftalık Ücretler")</f>
        <v/>
      </c>
      <c r="E4" s="6" t="n"/>
      <c r="F4" s="99">
        <f>HYPERLINK("#MUSTERI_360!A1","Müşteri 360")</f>
        <v/>
      </c>
      <c r="G4" s="6" t="n"/>
      <c r="H4" s="100" t="inlineStr">
        <is>
          <t>Sarı hücreler veri girişidir. Beyaz hücreler sistem tarafından hesaplanır ve kilitlidir. Devir Alacak Tarihi yaşlandırmayı belirler — boş bırakılırsa tutar 29+ gün kabul edilir.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 ht="26" customHeight="1">
      <c r="A5" s="6" t="n"/>
      <c r="B5" s="101" t="n"/>
      <c r="C5" s="102" t="inlineStr">
        <is>
          <t>TOPLAM  │  Aktif müşteri ve devir alacağı</t>
        </is>
      </c>
      <c r="D5" s="220">
        <f>COUNTIF($D$7:$D$106,"Aktif")</f>
        <v/>
      </c>
      <c r="E5" s="101" t="n"/>
      <c r="F5" s="101" t="n"/>
      <c r="G5" s="101" t="n"/>
      <c r="H5" s="101" t="n"/>
      <c r="I5" s="101" t="n"/>
      <c r="J5" s="221">
        <f>SUM($J$7:$J$106)</f>
        <v/>
      </c>
      <c r="K5" s="101" t="n"/>
      <c r="L5" s="101" t="n"/>
      <c r="M5" s="101" t="n"/>
      <c r="N5" s="101" t="n"/>
      <c r="O5" s="101" t="n"/>
      <c r="P5" s="101" t="n"/>
      <c r="Q5" s="6" t="n"/>
      <c r="R5" s="6" t="n"/>
    </row>
    <row r="6" ht="40" customHeight="1">
      <c r="A6" s="6" t="n"/>
      <c r="B6" s="105" t="inlineStr">
        <is>
          <t>Müşteri No</t>
        </is>
      </c>
      <c r="C6" s="106" t="inlineStr">
        <is>
          <t>Müşteri / Mükellef Unvanı</t>
        </is>
      </c>
      <c r="D6" s="105" t="inlineStr">
        <is>
          <t>Durum</t>
        </is>
      </c>
      <c r="E6" s="106" t="inlineStr">
        <is>
          <t>Sorumlu Kişi</t>
        </is>
      </c>
      <c r="F6" s="106" t="inlineStr">
        <is>
          <t>Telefon</t>
        </is>
      </c>
      <c r="G6" s="106" t="inlineStr">
        <is>
          <t>Vergi No</t>
        </is>
      </c>
      <c r="H6" s="105" t="inlineStr">
        <is>
          <t>Ödeme Şekli</t>
        </is>
      </c>
      <c r="I6" s="105" t="inlineStr">
        <is>
          <t>Başlangıç Tarihi</t>
        </is>
      </c>
      <c r="J6" s="107" t="inlineStr">
        <is>
          <t>Devir Alacağı</t>
        </is>
      </c>
      <c r="K6" s="105" t="inlineStr">
        <is>
          <t>Devir Alacak Tarihi</t>
        </is>
      </c>
      <c r="L6" s="106" t="inlineStr">
        <is>
          <t>Devir Kaynağı</t>
        </is>
      </c>
      <c r="M6" s="106" t="inlineStr">
        <is>
          <t>Özel Not</t>
        </is>
      </c>
      <c r="N6" s="105" t="inlineStr">
        <is>
          <t>Bilgi Durumu</t>
        </is>
      </c>
      <c r="O6" s="105" t="inlineStr">
        <is>
          <t>Aktif Ücret Tanımı</t>
        </is>
      </c>
      <c r="P6" s="105" t="inlineStr">
        <is>
          <t>Kayıt Kontrolü</t>
        </is>
      </c>
      <c r="Q6" s="6" t="n"/>
      <c r="R6" s="6" t="n"/>
    </row>
    <row r="7">
      <c r="A7" s="6" t="n"/>
      <c r="B7" s="108" t="inlineStr">
        <is>
          <t>M001</t>
        </is>
      </c>
      <c r="C7" s="109" t="inlineStr">
        <is>
          <t>ANKARA HAVANA LTD.ŞTİ.</t>
        </is>
      </c>
      <c r="D7" s="108" t="inlineStr">
        <is>
          <t>Aktif</t>
        </is>
      </c>
      <c r="E7" s="109" t="n"/>
      <c r="F7" s="109" t="n"/>
      <c r="G7" s="109" t="n"/>
      <c r="H7" s="108" t="inlineStr">
        <is>
          <t>Nakit</t>
        </is>
      </c>
      <c r="I7" s="222" t="n">
        <v>46023</v>
      </c>
      <c r="J7" s="223" t="n">
        <v>0</v>
      </c>
      <c r="K7" s="224" t="n"/>
      <c r="L7" s="109" t="n"/>
      <c r="M7" s="109" t="n"/>
      <c r="N7" s="108" t="n"/>
      <c r="O7" s="113">
        <f>IF($C7="","",IF(COUNTIFS(UCRETLER!$B$7:$B$406,$B7,UCRETLER!$H$7:$H$406,"Aktif")&gt;0,"EVET","HAYIR"))</f>
        <v/>
      </c>
      <c r="P7" s="113">
        <f>IF($C7="","",IF($B7="","NO EKSİK",IF(COUNTIF($B$7:$B$106,$B7)&gt;1,"NO TEKRARI",IF(COUNTIF($C$7:$C$106,$C7)&gt;1,"UNVAN TEKRARI",IF($D7="","DURUM EKSİK",IF(AND($J7&gt;0,$K7=""),"DEVİR TARİHİ EKSİK","UYGUN"))))))</f>
        <v/>
      </c>
      <c r="Q7" s="6" t="n"/>
      <c r="R7" s="6" t="n"/>
    </row>
    <row r="8">
      <c r="A8" s="6" t="n"/>
      <c r="B8" s="108" t="inlineStr">
        <is>
          <t>M002</t>
        </is>
      </c>
      <c r="C8" s="109" t="inlineStr">
        <is>
          <t>ESERLİ LTD.ŞTİ.</t>
        </is>
      </c>
      <c r="D8" s="108" t="inlineStr">
        <is>
          <t>Aktif</t>
        </is>
      </c>
      <c r="E8" s="109" t="n"/>
      <c r="F8" s="109" t="n"/>
      <c r="G8" s="109" t="n"/>
      <c r="H8" s="108" t="inlineStr">
        <is>
          <t>Nakit</t>
        </is>
      </c>
      <c r="I8" s="222" t="n">
        <v>46023</v>
      </c>
      <c r="J8" s="223" t="n">
        <v>0</v>
      </c>
      <c r="K8" s="224" t="n"/>
      <c r="L8" s="109" t="n"/>
      <c r="M8" s="109" t="n"/>
      <c r="N8" s="108" t="n"/>
      <c r="O8" s="113">
        <f>IF($C8="","",IF(COUNTIFS(UCRETLER!$B$7:$B$406,$B8,UCRETLER!$H$7:$H$406,"Aktif")&gt;0,"EVET","HAYIR"))</f>
        <v/>
      </c>
      <c r="P8" s="113">
        <f>IF($C8="","",IF($B8="","NO EKSİK",IF(COUNTIF($B$7:$B$106,$B8)&gt;1,"NO TEKRARI",IF(COUNTIF($C$7:$C$106,$C8)&gt;1,"UNVAN TEKRARI",IF($D8="","DURUM EKSİK",IF(AND($J8&gt;0,$K8=""),"DEVİR TARİHİ EKSİK","UYGUN"))))))</f>
        <v/>
      </c>
      <c r="Q8" s="6" t="n"/>
      <c r="R8" s="6" t="n"/>
    </row>
    <row r="9">
      <c r="A9" s="6" t="n"/>
      <c r="B9" s="108" t="inlineStr">
        <is>
          <t>M003</t>
        </is>
      </c>
      <c r="C9" s="109" t="inlineStr">
        <is>
          <t>TYANA LTD.ŞTİ.</t>
        </is>
      </c>
      <c r="D9" s="108" t="inlineStr">
        <is>
          <t>Aktif</t>
        </is>
      </c>
      <c r="E9" s="109" t="n"/>
      <c r="F9" s="109" t="n"/>
      <c r="G9" s="109" t="n"/>
      <c r="H9" s="108" t="inlineStr">
        <is>
          <t>Nakit</t>
        </is>
      </c>
      <c r="I9" s="222" t="n">
        <v>46023</v>
      </c>
      <c r="J9" s="223" t="n">
        <v>0</v>
      </c>
      <c r="K9" s="224" t="n"/>
      <c r="L9" s="109" t="n"/>
      <c r="M9" s="109" t="n"/>
      <c r="N9" s="108" t="n"/>
      <c r="O9" s="113">
        <f>IF($C9="","",IF(COUNTIFS(UCRETLER!$B$7:$B$406,$B9,UCRETLER!$H$7:$H$406,"Aktif")&gt;0,"EVET","HAYIR"))</f>
        <v/>
      </c>
      <c r="P9" s="113">
        <f>IF($C9="","",IF($B9="","NO EKSİK",IF(COUNTIF($B$7:$B$106,$B9)&gt;1,"NO TEKRARI",IF(COUNTIF($C$7:$C$106,$C9)&gt;1,"UNVAN TEKRARI",IF($D9="","DURUM EKSİK",IF(AND($J9&gt;0,$K9=""),"DEVİR TARİHİ EKSİK","UYGUN"))))))</f>
        <v/>
      </c>
      <c r="Q9" s="6" t="n"/>
      <c r="R9" s="6" t="n"/>
    </row>
    <row r="10">
      <c r="A10" s="6" t="n"/>
      <c r="B10" s="108" t="inlineStr">
        <is>
          <t>M004</t>
        </is>
      </c>
      <c r="C10" s="109" t="inlineStr">
        <is>
          <t>ZÜMRÜT EĞLENCE LTD.ŞTİ.</t>
        </is>
      </c>
      <c r="D10" s="108" t="inlineStr">
        <is>
          <t>Aktif</t>
        </is>
      </c>
      <c r="E10" s="109" t="n"/>
      <c r="F10" s="109" t="n"/>
      <c r="G10" s="109" t="n"/>
      <c r="H10" s="108" t="inlineStr">
        <is>
          <t>Nakit</t>
        </is>
      </c>
      <c r="I10" s="222" t="n">
        <v>46023</v>
      </c>
      <c r="J10" s="223" t="n">
        <v>0</v>
      </c>
      <c r="K10" s="224" t="n"/>
      <c r="L10" s="109" t="n"/>
      <c r="M10" s="109" t="n"/>
      <c r="N10" s="108" t="n"/>
      <c r="O10" s="113">
        <f>IF($C10="","",IF(COUNTIFS(UCRETLER!$B$7:$B$406,$B10,UCRETLER!$H$7:$H$406,"Aktif")&gt;0,"EVET","HAYIR"))</f>
        <v/>
      </c>
      <c r="P10" s="113">
        <f>IF($C10="","",IF($B10="","NO EKSİK",IF(COUNTIF($B$7:$B$106,$B10)&gt;1,"NO TEKRARI",IF(COUNTIF($C$7:$C$106,$C10)&gt;1,"UNVAN TEKRARI",IF($D10="","DURUM EKSİK",IF(AND($J10&gt;0,$K10=""),"DEVİR TARİHİ EKSİK","UYGUN"))))))</f>
        <v/>
      </c>
      <c r="Q10" s="6" t="n"/>
      <c r="R10" s="6" t="n"/>
    </row>
    <row r="11">
      <c r="A11" s="6" t="n"/>
      <c r="B11" s="108" t="inlineStr">
        <is>
          <t>M005</t>
        </is>
      </c>
      <c r="C11" s="109" t="inlineStr">
        <is>
          <t>ZÜMRÜT GRUP LTD.ŞTİ.</t>
        </is>
      </c>
      <c r="D11" s="108" t="inlineStr">
        <is>
          <t>Aktif</t>
        </is>
      </c>
      <c r="E11" s="109" t="n"/>
      <c r="F11" s="109" t="n"/>
      <c r="G11" s="109" t="n"/>
      <c r="H11" s="108" t="inlineStr">
        <is>
          <t>Nakit</t>
        </is>
      </c>
      <c r="I11" s="222" t="n">
        <v>46023</v>
      </c>
      <c r="J11" s="223" t="n">
        <v>0</v>
      </c>
      <c r="K11" s="224" t="n"/>
      <c r="L11" s="109" t="n"/>
      <c r="M11" s="109" t="n"/>
      <c r="N11" s="108" t="n"/>
      <c r="O11" s="113">
        <f>IF($C11="","",IF(COUNTIFS(UCRETLER!$B$7:$B$406,$B11,UCRETLER!$H$7:$H$406,"Aktif")&gt;0,"EVET","HAYIR"))</f>
        <v/>
      </c>
      <c r="P11" s="113">
        <f>IF($C11="","",IF($B11="","NO EKSİK",IF(COUNTIF($B$7:$B$106,$B11)&gt;1,"NO TEKRARI",IF(COUNTIF($C$7:$C$106,$C11)&gt;1,"UNVAN TEKRARI",IF($D11="","DURUM EKSİK",IF(AND($J11&gt;0,$K11=""),"DEVİR TARİHİ EKSİK","UYGUN"))))))</f>
        <v/>
      </c>
      <c r="Q11" s="6" t="n"/>
      <c r="R11" s="6" t="n"/>
    </row>
    <row r="12">
      <c r="A12" s="6" t="n"/>
      <c r="B12" s="108" t="inlineStr">
        <is>
          <t>M006</t>
        </is>
      </c>
      <c r="C12" s="109" t="inlineStr">
        <is>
          <t>VOLKAN AÇIK</t>
        </is>
      </c>
      <c r="D12" s="108" t="inlineStr">
        <is>
          <t>Aktif</t>
        </is>
      </c>
      <c r="E12" s="109" t="n"/>
      <c r="F12" s="109" t="n"/>
      <c r="G12" s="109" t="n"/>
      <c r="H12" s="108" t="inlineStr">
        <is>
          <t>Nakit</t>
        </is>
      </c>
      <c r="I12" s="222" t="n">
        <v>46023</v>
      </c>
      <c r="J12" s="223" t="n">
        <v>0</v>
      </c>
      <c r="K12" s="224" t="n"/>
      <c r="L12" s="109" t="n"/>
      <c r="M12" s="109" t="n"/>
      <c r="N12" s="108" t="n"/>
      <c r="O12" s="113">
        <f>IF($C12="","",IF(COUNTIFS(UCRETLER!$B$7:$B$406,$B12,UCRETLER!$H$7:$H$406,"Aktif")&gt;0,"EVET","HAYIR"))</f>
        <v/>
      </c>
      <c r="P12" s="113">
        <f>IF($C12="","",IF($B12="","NO EKSİK",IF(COUNTIF($B$7:$B$106,$B12)&gt;1,"NO TEKRARI",IF(COUNTIF($C$7:$C$106,$C12)&gt;1,"UNVAN TEKRARI",IF($D12="","DURUM EKSİK",IF(AND($J12&gt;0,$K12=""),"DEVİR TARİHİ EKSİK","UYGUN"))))))</f>
        <v/>
      </c>
      <c r="Q12" s="6" t="n"/>
      <c r="R12" s="6" t="n"/>
    </row>
    <row r="13">
      <c r="A13" s="6" t="n"/>
      <c r="B13" s="108" t="inlineStr">
        <is>
          <t>M007</t>
        </is>
      </c>
      <c r="C13" s="109" t="inlineStr">
        <is>
          <t>MONAMOUR LTD.ŞTİ.</t>
        </is>
      </c>
      <c r="D13" s="108" t="inlineStr">
        <is>
          <t>Aktif</t>
        </is>
      </c>
      <c r="E13" s="109" t="n"/>
      <c r="F13" s="109" t="n"/>
      <c r="G13" s="109" t="n"/>
      <c r="H13" s="108" t="inlineStr">
        <is>
          <t>Nakit</t>
        </is>
      </c>
      <c r="I13" s="222" t="n">
        <v>46023</v>
      </c>
      <c r="J13" s="223" t="n">
        <v>0</v>
      </c>
      <c r="K13" s="224" t="n"/>
      <c r="L13" s="109" t="n"/>
      <c r="M13" s="109" t="n"/>
      <c r="N13" s="108" t="n"/>
      <c r="O13" s="113">
        <f>IF($C13="","",IF(COUNTIFS(UCRETLER!$B$7:$B$406,$B13,UCRETLER!$H$7:$H$406,"Aktif")&gt;0,"EVET","HAYIR"))</f>
        <v/>
      </c>
      <c r="P13" s="113">
        <f>IF($C13="","",IF($B13="","NO EKSİK",IF(COUNTIF($B$7:$B$106,$B13)&gt;1,"NO TEKRARI",IF(COUNTIF($C$7:$C$106,$C13)&gt;1,"UNVAN TEKRARI",IF($D13="","DURUM EKSİK",IF(AND($J13&gt;0,$K13=""),"DEVİR TARİHİ EKSİK","UYGUN"))))))</f>
        <v/>
      </c>
      <c r="Q13" s="6" t="n"/>
      <c r="R13" s="6" t="n"/>
    </row>
    <row r="14">
      <c r="A14" s="6" t="n"/>
      <c r="B14" s="108" t="inlineStr">
        <is>
          <t>M008</t>
        </is>
      </c>
      <c r="C14" s="109" t="inlineStr">
        <is>
          <t>KÖŞK YÜKSELEN LTD.ŞTİ.</t>
        </is>
      </c>
      <c r="D14" s="108" t="inlineStr">
        <is>
          <t>Aktif</t>
        </is>
      </c>
      <c r="E14" s="109" t="n"/>
      <c r="F14" s="109" t="n"/>
      <c r="G14" s="109" t="n"/>
      <c r="H14" s="108" t="inlineStr">
        <is>
          <t>Nakit</t>
        </is>
      </c>
      <c r="I14" s="222" t="n">
        <v>46023</v>
      </c>
      <c r="J14" s="223" t="n">
        <v>0</v>
      </c>
      <c r="K14" s="224" t="n"/>
      <c r="L14" s="109" t="n"/>
      <c r="M14" s="109" t="n"/>
      <c r="N14" s="108" t="n"/>
      <c r="O14" s="113">
        <f>IF($C14="","",IF(COUNTIFS(UCRETLER!$B$7:$B$406,$B14,UCRETLER!$H$7:$H$406,"Aktif")&gt;0,"EVET","HAYIR"))</f>
        <v/>
      </c>
      <c r="P14" s="113">
        <f>IF($C14="","",IF($B14="","NO EKSİK",IF(COUNTIF($B$7:$B$106,$B14)&gt;1,"NO TEKRARI",IF(COUNTIF($C$7:$C$106,$C14)&gt;1,"UNVAN TEKRARI",IF($D14="","DURUM EKSİK",IF(AND($J14&gt;0,$K14=""),"DEVİR TARİHİ EKSİK","UYGUN"))))))</f>
        <v/>
      </c>
      <c r="Q14" s="6" t="n"/>
      <c r="R14" s="6" t="n"/>
    </row>
    <row r="15">
      <c r="A15" s="6" t="n"/>
      <c r="B15" s="108" t="inlineStr">
        <is>
          <t>M009</t>
        </is>
      </c>
      <c r="C15" s="109" t="inlineStr">
        <is>
          <t>PAKYILDIZ LTD.ŞTİ.</t>
        </is>
      </c>
      <c r="D15" s="108" t="inlineStr">
        <is>
          <t>Aktif</t>
        </is>
      </c>
      <c r="E15" s="109" t="n"/>
      <c r="F15" s="109" t="n"/>
      <c r="G15" s="109" t="n"/>
      <c r="H15" s="108" t="inlineStr">
        <is>
          <t>Nakit</t>
        </is>
      </c>
      <c r="I15" s="222" t="n">
        <v>46023</v>
      </c>
      <c r="J15" s="223" t="n">
        <v>0</v>
      </c>
      <c r="K15" s="224" t="n"/>
      <c r="L15" s="109" t="n"/>
      <c r="M15" s="109" t="n"/>
      <c r="N15" s="108" t="n"/>
      <c r="O15" s="113">
        <f>IF($C15="","",IF(COUNTIFS(UCRETLER!$B$7:$B$406,$B15,UCRETLER!$H$7:$H$406,"Aktif")&gt;0,"EVET","HAYIR"))</f>
        <v/>
      </c>
      <c r="P15" s="113">
        <f>IF($C15="","",IF($B15="","NO EKSİK",IF(COUNTIF($B$7:$B$106,$B15)&gt;1,"NO TEKRARI",IF(COUNTIF($C$7:$C$106,$C15)&gt;1,"UNVAN TEKRARI",IF($D15="","DURUM EKSİK",IF(AND($J15&gt;0,$K15=""),"DEVİR TARİHİ EKSİK","UYGUN"))))))</f>
        <v/>
      </c>
      <c r="Q15" s="6" t="n"/>
      <c r="R15" s="6" t="n"/>
    </row>
    <row r="16">
      <c r="A16" s="6" t="n"/>
      <c r="B16" s="108" t="inlineStr">
        <is>
          <t>M010</t>
        </is>
      </c>
      <c r="C16" s="109" t="inlineStr">
        <is>
          <t>ÖZFİDANLAR LTD.ŞTİ.</t>
        </is>
      </c>
      <c r="D16" s="108" t="inlineStr">
        <is>
          <t>Aktif</t>
        </is>
      </c>
      <c r="E16" s="109" t="n"/>
      <c r="F16" s="109" t="n"/>
      <c r="G16" s="109" t="n"/>
      <c r="H16" s="108" t="inlineStr">
        <is>
          <t>Nakit</t>
        </is>
      </c>
      <c r="I16" s="222" t="n">
        <v>46023</v>
      </c>
      <c r="J16" s="223" t="n">
        <v>0</v>
      </c>
      <c r="K16" s="224" t="n"/>
      <c r="L16" s="109" t="n"/>
      <c r="M16" s="109" t="n"/>
      <c r="N16" s="108" t="n"/>
      <c r="O16" s="113">
        <f>IF($C16="","",IF(COUNTIFS(UCRETLER!$B$7:$B$406,$B16,UCRETLER!$H$7:$H$406,"Aktif")&gt;0,"EVET","HAYIR"))</f>
        <v/>
      </c>
      <c r="P16" s="113">
        <f>IF($C16="","",IF($B16="","NO EKSİK",IF(COUNTIF($B$7:$B$106,$B16)&gt;1,"NO TEKRARI",IF(COUNTIF($C$7:$C$106,$C16)&gt;1,"UNVAN TEKRARI",IF($D16="","DURUM EKSİK",IF(AND($J16&gt;0,$K16=""),"DEVİR TARİHİ EKSİK","UYGUN"))))))</f>
        <v/>
      </c>
      <c r="Q16" s="6" t="n"/>
      <c r="R16" s="6" t="n"/>
    </row>
    <row r="17">
      <c r="A17" s="6" t="n"/>
      <c r="B17" s="108" t="inlineStr">
        <is>
          <t>M011</t>
        </is>
      </c>
      <c r="C17" s="109" t="inlineStr">
        <is>
          <t>EĞLENGÖR LTD.ŞTİ.</t>
        </is>
      </c>
      <c r="D17" s="108" t="inlineStr">
        <is>
          <t>Aktif</t>
        </is>
      </c>
      <c r="E17" s="109" t="n"/>
      <c r="F17" s="109" t="n"/>
      <c r="G17" s="109" t="n"/>
      <c r="H17" s="108" t="inlineStr">
        <is>
          <t>Nakit</t>
        </is>
      </c>
      <c r="I17" s="222" t="n">
        <v>46023</v>
      </c>
      <c r="J17" s="223" t="n">
        <v>0</v>
      </c>
      <c r="K17" s="224" t="n"/>
      <c r="L17" s="109" t="n"/>
      <c r="M17" s="109" t="n"/>
      <c r="N17" s="108" t="n"/>
      <c r="O17" s="113">
        <f>IF($C17="","",IF(COUNTIFS(UCRETLER!$B$7:$B$406,$B17,UCRETLER!$H$7:$H$406,"Aktif")&gt;0,"EVET","HAYIR"))</f>
        <v/>
      </c>
      <c r="P17" s="113">
        <f>IF($C17="","",IF($B17="","NO EKSİK",IF(COUNTIF($B$7:$B$106,$B17)&gt;1,"NO TEKRARI",IF(COUNTIF($C$7:$C$106,$C17)&gt;1,"UNVAN TEKRARI",IF($D17="","DURUM EKSİK",IF(AND($J17&gt;0,$K17=""),"DEVİR TARİHİ EKSİK","UYGUN"))))))</f>
        <v/>
      </c>
      <c r="Q17" s="6" t="n"/>
      <c r="R17" s="6" t="n"/>
    </row>
    <row r="18">
      <c r="A18" s="6" t="n"/>
      <c r="B18" s="108" t="inlineStr">
        <is>
          <t>M012</t>
        </is>
      </c>
      <c r="C18" s="109" t="inlineStr">
        <is>
          <t>İLDEŞ LTD.ŞTİ.</t>
        </is>
      </c>
      <c r="D18" s="108" t="inlineStr">
        <is>
          <t>Aktif</t>
        </is>
      </c>
      <c r="E18" s="109" t="n"/>
      <c r="F18" s="109" t="n"/>
      <c r="G18" s="109" t="n"/>
      <c r="H18" s="108" t="inlineStr">
        <is>
          <t>Nakit</t>
        </is>
      </c>
      <c r="I18" s="222" t="n">
        <v>46023</v>
      </c>
      <c r="J18" s="223" t="n">
        <v>0</v>
      </c>
      <c r="K18" s="224" t="n"/>
      <c r="L18" s="109" t="n"/>
      <c r="M18" s="109" t="n"/>
      <c r="N18" s="108" t="n"/>
      <c r="O18" s="113">
        <f>IF($C18="","",IF(COUNTIFS(UCRETLER!$B$7:$B$406,$B18,UCRETLER!$H$7:$H$406,"Aktif")&gt;0,"EVET","HAYIR"))</f>
        <v/>
      </c>
      <c r="P18" s="113">
        <f>IF($C18="","",IF($B18="","NO EKSİK",IF(COUNTIF($B$7:$B$106,$B18)&gt;1,"NO TEKRARI",IF(COUNTIF($C$7:$C$106,$C18)&gt;1,"UNVAN TEKRARI",IF($D18="","DURUM EKSİK",IF(AND($J18&gt;0,$K18=""),"DEVİR TARİHİ EKSİK","UYGUN"))))))</f>
        <v/>
      </c>
      <c r="Q18" s="6" t="n"/>
      <c r="R18" s="6" t="n"/>
    </row>
    <row r="19">
      <c r="A19" s="6" t="n"/>
      <c r="B19" s="108" t="inlineStr">
        <is>
          <t>M013</t>
        </is>
      </c>
      <c r="C19" s="109" t="inlineStr">
        <is>
          <t>NAZ 1 GIDA LTD.ŞTİ.</t>
        </is>
      </c>
      <c r="D19" s="108" t="inlineStr">
        <is>
          <t>Aktif</t>
        </is>
      </c>
      <c r="E19" s="109" t="n"/>
      <c r="F19" s="109" t="n"/>
      <c r="G19" s="109" t="n"/>
      <c r="H19" s="108" t="inlineStr">
        <is>
          <t>Nakit</t>
        </is>
      </c>
      <c r="I19" s="222" t="n">
        <v>46023</v>
      </c>
      <c r="J19" s="223" t="n">
        <v>0</v>
      </c>
      <c r="K19" s="224" t="n"/>
      <c r="L19" s="109" t="n"/>
      <c r="M19" s="109" t="n"/>
      <c r="N19" s="108" t="n"/>
      <c r="O19" s="113">
        <f>IF($C19="","",IF(COUNTIFS(UCRETLER!$B$7:$B$406,$B19,UCRETLER!$H$7:$H$406,"Aktif")&gt;0,"EVET","HAYIR"))</f>
        <v/>
      </c>
      <c r="P19" s="113">
        <f>IF($C19="","",IF($B19="","NO EKSİK",IF(COUNTIF($B$7:$B$106,$B19)&gt;1,"NO TEKRARI",IF(COUNTIF($C$7:$C$106,$C19)&gt;1,"UNVAN TEKRARI",IF($D19="","DURUM EKSİK",IF(AND($J19&gt;0,$K19=""),"DEVİR TARİHİ EKSİK","UYGUN"))))))</f>
        <v/>
      </c>
      <c r="Q19" s="6" t="n"/>
      <c r="R19" s="6" t="n"/>
    </row>
    <row r="20">
      <c r="A20" s="6" t="n"/>
      <c r="B20" s="108" t="inlineStr">
        <is>
          <t>M014</t>
        </is>
      </c>
      <c r="C20" s="109" t="inlineStr">
        <is>
          <t>FİNAL SİYAH BEYAZ LTD.ŞTİ.</t>
        </is>
      </c>
      <c r="D20" s="108" t="inlineStr">
        <is>
          <t>Aktif</t>
        </is>
      </c>
      <c r="E20" s="109" t="n"/>
      <c r="F20" s="109" t="n"/>
      <c r="G20" s="109" t="n"/>
      <c r="H20" s="108" t="inlineStr">
        <is>
          <t>Nakit</t>
        </is>
      </c>
      <c r="I20" s="222" t="n">
        <v>46023</v>
      </c>
      <c r="J20" s="223" t="n">
        <v>0</v>
      </c>
      <c r="K20" s="224" t="n"/>
      <c r="L20" s="109" t="n"/>
      <c r="M20" s="109" t="n"/>
      <c r="N20" s="108" t="n"/>
      <c r="O20" s="113">
        <f>IF($C20="","",IF(COUNTIFS(UCRETLER!$B$7:$B$406,$B20,UCRETLER!$H$7:$H$406,"Aktif")&gt;0,"EVET","HAYIR"))</f>
        <v/>
      </c>
      <c r="P20" s="113">
        <f>IF($C20="","",IF($B20="","NO EKSİK",IF(COUNTIF($B$7:$B$106,$B20)&gt;1,"NO TEKRARI",IF(COUNTIF($C$7:$C$106,$C20)&gt;1,"UNVAN TEKRARI",IF($D20="","DURUM EKSİK",IF(AND($J20&gt;0,$K20=""),"DEVİR TARİHİ EKSİK","UYGUN"))))))</f>
        <v/>
      </c>
      <c r="Q20" s="6" t="n"/>
      <c r="R20" s="6" t="n"/>
    </row>
    <row r="21">
      <c r="A21" s="6" t="n"/>
      <c r="B21" s="108" t="inlineStr">
        <is>
          <t>M015</t>
        </is>
      </c>
      <c r="C21" s="109" t="inlineStr">
        <is>
          <t>ÇAYIRALAN LTD.ŞTİ.</t>
        </is>
      </c>
      <c r="D21" s="108" t="inlineStr">
        <is>
          <t>Aktif</t>
        </is>
      </c>
      <c r="E21" s="109" t="n"/>
      <c r="F21" s="109" t="n"/>
      <c r="G21" s="109" t="n"/>
      <c r="H21" s="108" t="inlineStr">
        <is>
          <t>Nakit</t>
        </is>
      </c>
      <c r="I21" s="222" t="n">
        <v>46023</v>
      </c>
      <c r="J21" s="223" t="n">
        <v>0</v>
      </c>
      <c r="K21" s="224" t="n"/>
      <c r="L21" s="109" t="n"/>
      <c r="M21" s="109" t="n"/>
      <c r="N21" s="108" t="n"/>
      <c r="O21" s="113">
        <f>IF($C21="","",IF(COUNTIFS(UCRETLER!$B$7:$B$406,$B21,UCRETLER!$H$7:$H$406,"Aktif")&gt;0,"EVET","HAYIR"))</f>
        <v/>
      </c>
      <c r="P21" s="113">
        <f>IF($C21="","",IF($B21="","NO EKSİK",IF(COUNTIF($B$7:$B$106,$B21)&gt;1,"NO TEKRARI",IF(COUNTIF($C$7:$C$106,$C21)&gt;1,"UNVAN TEKRARI",IF($D21="","DURUM EKSİK",IF(AND($J21&gt;0,$K21=""),"DEVİR TARİHİ EKSİK","UYGUN"))))))</f>
        <v/>
      </c>
      <c r="Q21" s="6" t="n"/>
      <c r="R21" s="6" t="n"/>
    </row>
    <row r="22">
      <c r="A22" s="6" t="n"/>
      <c r="B22" s="108" t="inlineStr">
        <is>
          <t>M016</t>
        </is>
      </c>
      <c r="C22" s="109" t="inlineStr">
        <is>
          <t>RİX ŞOW LTD.ŞTİ.</t>
        </is>
      </c>
      <c r="D22" s="108" t="inlineStr">
        <is>
          <t>Aktif</t>
        </is>
      </c>
      <c r="E22" s="109" t="n"/>
      <c r="F22" s="109" t="n"/>
      <c r="G22" s="109" t="n"/>
      <c r="H22" s="108" t="inlineStr">
        <is>
          <t>Nakit</t>
        </is>
      </c>
      <c r="I22" s="222" t="n">
        <v>46023</v>
      </c>
      <c r="J22" s="223" t="n">
        <v>0</v>
      </c>
      <c r="K22" s="224" t="n"/>
      <c r="L22" s="109" t="n"/>
      <c r="M22" s="109" t="n"/>
      <c r="N22" s="108" t="n"/>
      <c r="O22" s="113">
        <f>IF($C22="","",IF(COUNTIFS(UCRETLER!$B$7:$B$406,$B22,UCRETLER!$H$7:$H$406,"Aktif")&gt;0,"EVET","HAYIR"))</f>
        <v/>
      </c>
      <c r="P22" s="113">
        <f>IF($C22="","",IF($B22="","NO EKSİK",IF(COUNTIF($B$7:$B$106,$B22)&gt;1,"NO TEKRARI",IF(COUNTIF($C$7:$C$106,$C22)&gt;1,"UNVAN TEKRARI",IF($D22="","DURUM EKSİK",IF(AND($J22&gt;0,$K22=""),"DEVİR TARİHİ EKSİK","UYGUN"))))))</f>
        <v/>
      </c>
      <c r="Q22" s="6" t="n"/>
      <c r="R22" s="6" t="n"/>
    </row>
    <row r="23">
      <c r="A23" s="6" t="n"/>
      <c r="B23" s="108" t="inlineStr">
        <is>
          <t>M017</t>
        </is>
      </c>
      <c r="C23" s="109" t="inlineStr">
        <is>
          <t>ASM EĞLENCE LTD.ŞTİ.</t>
        </is>
      </c>
      <c r="D23" s="108" t="inlineStr">
        <is>
          <t>Aktif</t>
        </is>
      </c>
      <c r="E23" s="109" t="n"/>
      <c r="F23" s="109" t="n"/>
      <c r="G23" s="109" t="n"/>
      <c r="H23" s="108" t="inlineStr">
        <is>
          <t>Nakit</t>
        </is>
      </c>
      <c r="I23" s="222" t="n">
        <v>46023</v>
      </c>
      <c r="J23" s="223" t="n">
        <v>0</v>
      </c>
      <c r="K23" s="224" t="n"/>
      <c r="L23" s="109" t="n"/>
      <c r="M23" s="109" t="n"/>
      <c r="N23" s="108" t="n"/>
      <c r="O23" s="113">
        <f>IF($C23="","",IF(COUNTIFS(UCRETLER!$B$7:$B$406,$B23,UCRETLER!$H$7:$H$406,"Aktif")&gt;0,"EVET","HAYIR"))</f>
        <v/>
      </c>
      <c r="P23" s="113">
        <f>IF($C23="","",IF($B23="","NO EKSİK",IF(COUNTIF($B$7:$B$106,$B23)&gt;1,"NO TEKRARI",IF(COUNTIF($C$7:$C$106,$C23)&gt;1,"UNVAN TEKRARI",IF($D23="","DURUM EKSİK",IF(AND($J23&gt;0,$K23=""),"DEVİR TARİHİ EKSİK","UYGUN"))))))</f>
        <v/>
      </c>
      <c r="Q23" s="6" t="n"/>
      <c r="R23" s="6" t="n"/>
    </row>
    <row r="24">
      <c r="A24" s="6" t="n"/>
      <c r="B24" s="108" t="inlineStr">
        <is>
          <t>M018</t>
        </is>
      </c>
      <c r="C24" s="109" t="inlineStr">
        <is>
          <t>ÇINARHAN LTD.ŞTİ.</t>
        </is>
      </c>
      <c r="D24" s="108" t="inlineStr">
        <is>
          <t>Aktif</t>
        </is>
      </c>
      <c r="E24" s="109" t="n"/>
      <c r="F24" s="109" t="n"/>
      <c r="G24" s="109" t="n"/>
      <c r="H24" s="108" t="inlineStr">
        <is>
          <t>Nakit</t>
        </is>
      </c>
      <c r="I24" s="222" t="n">
        <v>46023</v>
      </c>
      <c r="J24" s="223" t="n">
        <v>0</v>
      </c>
      <c r="K24" s="224" t="n"/>
      <c r="L24" s="109" t="n"/>
      <c r="M24" s="109" t="n"/>
      <c r="N24" s="108" t="n"/>
      <c r="O24" s="113">
        <f>IF($C24="","",IF(COUNTIFS(UCRETLER!$B$7:$B$406,$B24,UCRETLER!$H$7:$H$406,"Aktif")&gt;0,"EVET","HAYIR"))</f>
        <v/>
      </c>
      <c r="P24" s="113">
        <f>IF($C24="","",IF($B24="","NO EKSİK",IF(COUNTIF($B$7:$B$106,$B24)&gt;1,"NO TEKRARI",IF(COUNTIF($C$7:$C$106,$C24)&gt;1,"UNVAN TEKRARI",IF($D24="","DURUM EKSİK",IF(AND($J24&gt;0,$K24=""),"DEVİR TARİHİ EKSİK","UYGUN"))))))</f>
        <v/>
      </c>
      <c r="Q24" s="6" t="n"/>
      <c r="R24" s="6" t="n"/>
    </row>
    <row r="25">
      <c r="A25" s="6" t="n"/>
      <c r="B25" s="108" t="inlineStr">
        <is>
          <t>M019</t>
        </is>
      </c>
      <c r="C25" s="109" t="inlineStr">
        <is>
          <t>AC OTEL LTD.ŞTİ.</t>
        </is>
      </c>
      <c r="D25" s="108" t="inlineStr">
        <is>
          <t>Aktif</t>
        </is>
      </c>
      <c r="E25" s="109" t="n"/>
      <c r="F25" s="109" t="n"/>
      <c r="G25" s="109" t="n"/>
      <c r="H25" s="108" t="inlineStr">
        <is>
          <t>Nakit</t>
        </is>
      </c>
      <c r="I25" s="222" t="n">
        <v>46023</v>
      </c>
      <c r="J25" s="223" t="n">
        <v>0</v>
      </c>
      <c r="K25" s="224" t="n"/>
      <c r="L25" s="109" t="n"/>
      <c r="M25" s="109" t="n"/>
      <c r="N25" s="108" t="n"/>
      <c r="O25" s="113">
        <f>IF($C25="","",IF(COUNTIFS(UCRETLER!$B$7:$B$406,$B25,UCRETLER!$H$7:$H$406,"Aktif")&gt;0,"EVET","HAYIR"))</f>
        <v/>
      </c>
      <c r="P25" s="113">
        <f>IF($C25="","",IF($B25="","NO EKSİK",IF(COUNTIF($B$7:$B$106,$B25)&gt;1,"NO TEKRARI",IF(COUNTIF($C$7:$C$106,$C25)&gt;1,"UNVAN TEKRARI",IF($D25="","DURUM EKSİK",IF(AND($J25&gt;0,$K25=""),"DEVİR TARİHİ EKSİK","UYGUN"))))))</f>
        <v/>
      </c>
      <c r="Q25" s="6" t="n"/>
      <c r="R25" s="6" t="n"/>
    </row>
    <row r="26">
      <c r="A26" s="6" t="n"/>
      <c r="B26" s="108" t="inlineStr">
        <is>
          <t>M020</t>
        </is>
      </c>
      <c r="C26" s="109" t="inlineStr">
        <is>
          <t>KRİSTAL LTD.ŞTİ.</t>
        </is>
      </c>
      <c r="D26" s="108" t="inlineStr">
        <is>
          <t>Aktif</t>
        </is>
      </c>
      <c r="E26" s="109" t="n"/>
      <c r="F26" s="109" t="n"/>
      <c r="G26" s="109" t="n"/>
      <c r="H26" s="108" t="inlineStr">
        <is>
          <t>Nakit</t>
        </is>
      </c>
      <c r="I26" s="222" t="n">
        <v>46023</v>
      </c>
      <c r="J26" s="223" t="n">
        <v>0</v>
      </c>
      <c r="K26" s="224" t="n"/>
      <c r="L26" s="109" t="n"/>
      <c r="M26" s="109" t="n"/>
      <c r="N26" s="108" t="n"/>
      <c r="O26" s="113">
        <f>IF($C26="","",IF(COUNTIFS(UCRETLER!$B$7:$B$406,$B26,UCRETLER!$H$7:$H$406,"Aktif")&gt;0,"EVET","HAYIR"))</f>
        <v/>
      </c>
      <c r="P26" s="113">
        <f>IF($C26="","",IF($B26="","NO EKSİK",IF(COUNTIF($B$7:$B$106,$B26)&gt;1,"NO TEKRARI",IF(COUNTIF($C$7:$C$106,$C26)&gt;1,"UNVAN TEKRARI",IF($D26="","DURUM EKSİK",IF(AND($J26&gt;0,$K26=""),"DEVİR TARİHİ EKSİK","UYGUN"))))))</f>
        <v/>
      </c>
      <c r="Q26" s="6" t="n"/>
      <c r="R26" s="6" t="n"/>
    </row>
    <row r="27">
      <c r="A27" s="6" t="n"/>
      <c r="B27" s="108" t="inlineStr">
        <is>
          <t>M021</t>
        </is>
      </c>
      <c r="C27" s="109" t="inlineStr">
        <is>
          <t>ARON TOPTAN LTD.ŞTİ.</t>
        </is>
      </c>
      <c r="D27" s="108" t="inlineStr">
        <is>
          <t>Aktif</t>
        </is>
      </c>
      <c r="E27" s="109" t="n"/>
      <c r="F27" s="109" t="n"/>
      <c r="G27" s="109" t="n"/>
      <c r="H27" s="108" t="inlineStr">
        <is>
          <t>Nakit</t>
        </is>
      </c>
      <c r="I27" s="222" t="n">
        <v>46023</v>
      </c>
      <c r="J27" s="223" t="n">
        <v>0</v>
      </c>
      <c r="K27" s="224" t="n"/>
      <c r="L27" s="109" t="n"/>
      <c r="M27" s="109" t="n"/>
      <c r="N27" s="108" t="n"/>
      <c r="O27" s="113">
        <f>IF($C27="","",IF(COUNTIFS(UCRETLER!$B$7:$B$406,$B27,UCRETLER!$H$7:$H$406,"Aktif")&gt;0,"EVET","HAYIR"))</f>
        <v/>
      </c>
      <c r="P27" s="113">
        <f>IF($C27="","",IF($B27="","NO EKSİK",IF(COUNTIF($B$7:$B$106,$B27)&gt;1,"NO TEKRARI",IF(COUNTIF($C$7:$C$106,$C27)&gt;1,"UNVAN TEKRARI",IF($D27="","DURUM EKSİK",IF(AND($J27&gt;0,$K27=""),"DEVİR TARİHİ EKSİK","UYGUN"))))))</f>
        <v/>
      </c>
      <c r="Q27" s="6" t="n"/>
      <c r="R27" s="6" t="n"/>
    </row>
    <row r="28">
      <c r="A28" s="6" t="n"/>
      <c r="B28" s="108" t="inlineStr">
        <is>
          <t>M022</t>
        </is>
      </c>
      <c r="C28" s="109" t="inlineStr">
        <is>
          <t>ADEM KARABENLİ</t>
        </is>
      </c>
      <c r="D28" s="108" t="inlineStr">
        <is>
          <t>Aktif</t>
        </is>
      </c>
      <c r="E28" s="109" t="n"/>
      <c r="F28" s="109" t="n"/>
      <c r="G28" s="109" t="n"/>
      <c r="H28" s="108" t="inlineStr">
        <is>
          <t>Nakit</t>
        </is>
      </c>
      <c r="I28" s="222" t="n">
        <v>46023</v>
      </c>
      <c r="J28" s="223" t="n">
        <v>0</v>
      </c>
      <c r="K28" s="224" t="n"/>
      <c r="L28" s="109" t="n"/>
      <c r="M28" s="109" t="n"/>
      <c r="N28" s="108" t="n"/>
      <c r="O28" s="113">
        <f>IF($C28="","",IF(COUNTIFS(UCRETLER!$B$7:$B$406,$B28,UCRETLER!$H$7:$H$406,"Aktif")&gt;0,"EVET","HAYIR"))</f>
        <v/>
      </c>
      <c r="P28" s="113">
        <f>IF($C28="","",IF($B28="","NO EKSİK",IF(COUNTIF($B$7:$B$106,$B28)&gt;1,"NO TEKRARI",IF(COUNTIF($C$7:$C$106,$C28)&gt;1,"UNVAN TEKRARI",IF($D28="","DURUM EKSİK",IF(AND($J28&gt;0,$K28=""),"DEVİR TARİHİ EKSİK","UYGUN"))))))</f>
        <v/>
      </c>
      <c r="Q28" s="6" t="n"/>
      <c r="R28" s="6" t="n"/>
    </row>
    <row r="29">
      <c r="A29" s="6" t="n"/>
      <c r="B29" s="108" t="inlineStr">
        <is>
          <t>M023</t>
        </is>
      </c>
      <c r="C29" s="109" t="inlineStr">
        <is>
          <t>ALTINEL LTD.ŞTİ.</t>
        </is>
      </c>
      <c r="D29" s="108" t="inlineStr">
        <is>
          <t>Aktif</t>
        </is>
      </c>
      <c r="E29" s="109" t="n"/>
      <c r="F29" s="109" t="n"/>
      <c r="G29" s="109" t="n"/>
      <c r="H29" s="108" t="inlineStr">
        <is>
          <t>Nakit</t>
        </is>
      </c>
      <c r="I29" s="222" t="n">
        <v>46023</v>
      </c>
      <c r="J29" s="223" t="n">
        <v>0</v>
      </c>
      <c r="K29" s="224" t="n"/>
      <c r="L29" s="109" t="n"/>
      <c r="M29" s="109" t="n"/>
      <c r="N29" s="108" t="n"/>
      <c r="O29" s="113">
        <f>IF($C29="","",IF(COUNTIFS(UCRETLER!$B$7:$B$406,$B29,UCRETLER!$H$7:$H$406,"Aktif")&gt;0,"EVET","HAYIR"))</f>
        <v/>
      </c>
      <c r="P29" s="113">
        <f>IF($C29="","",IF($B29="","NO EKSİK",IF(COUNTIF($B$7:$B$106,$B29)&gt;1,"NO TEKRARI",IF(COUNTIF($C$7:$C$106,$C29)&gt;1,"UNVAN TEKRARI",IF($D29="","DURUM EKSİK",IF(AND($J29&gt;0,$K29=""),"DEVİR TARİHİ EKSİK","UYGUN"))))))</f>
        <v/>
      </c>
      <c r="Q29" s="6" t="n"/>
      <c r="R29" s="6" t="n"/>
    </row>
    <row r="30">
      <c r="A30" s="6" t="n"/>
      <c r="B30" s="108" t="inlineStr">
        <is>
          <t>M024</t>
        </is>
      </c>
      <c r="C30" s="109" t="inlineStr">
        <is>
          <t>ARMAN DİK</t>
        </is>
      </c>
      <c r="D30" s="108" t="inlineStr">
        <is>
          <t>Aktif</t>
        </is>
      </c>
      <c r="E30" s="109" t="n"/>
      <c r="F30" s="109" t="n"/>
      <c r="G30" s="109" t="n"/>
      <c r="H30" s="108" t="inlineStr">
        <is>
          <t>Nakit</t>
        </is>
      </c>
      <c r="I30" s="222" t="n">
        <v>46023</v>
      </c>
      <c r="J30" s="223" t="n">
        <v>0</v>
      </c>
      <c r="K30" s="224" t="n"/>
      <c r="L30" s="109" t="n"/>
      <c r="M30" s="109" t="n"/>
      <c r="N30" s="108" t="n"/>
      <c r="O30" s="113">
        <f>IF($C30="","",IF(COUNTIFS(UCRETLER!$B$7:$B$406,$B30,UCRETLER!$H$7:$H$406,"Aktif")&gt;0,"EVET","HAYIR"))</f>
        <v/>
      </c>
      <c r="P30" s="113">
        <f>IF($C30="","",IF($B30="","NO EKSİK",IF(COUNTIF($B$7:$B$106,$B30)&gt;1,"NO TEKRARI",IF(COUNTIF($C$7:$C$106,$C30)&gt;1,"UNVAN TEKRARI",IF($D30="","DURUM EKSİK",IF(AND($J30&gt;0,$K30=""),"DEVİR TARİHİ EKSİK","UYGUN"))))))</f>
        <v/>
      </c>
      <c r="Q30" s="6" t="n"/>
      <c r="R30" s="6" t="n"/>
    </row>
    <row r="31">
      <c r="A31" s="6" t="n"/>
      <c r="B31" s="108" t="inlineStr">
        <is>
          <t>M025</t>
        </is>
      </c>
      <c r="C31" s="109" t="inlineStr">
        <is>
          <t>ASIM AÇIKGÖZ</t>
        </is>
      </c>
      <c r="D31" s="108" t="inlineStr">
        <is>
          <t>Aktif</t>
        </is>
      </c>
      <c r="E31" s="109" t="n"/>
      <c r="F31" s="109" t="n"/>
      <c r="G31" s="109" t="n"/>
      <c r="H31" s="108" t="inlineStr">
        <is>
          <t>Nakit</t>
        </is>
      </c>
      <c r="I31" s="222" t="n">
        <v>46023</v>
      </c>
      <c r="J31" s="223" t="n">
        <v>0</v>
      </c>
      <c r="K31" s="224" t="n"/>
      <c r="L31" s="109" t="n"/>
      <c r="M31" s="109" t="n"/>
      <c r="N31" s="108" t="n"/>
      <c r="O31" s="113">
        <f>IF($C31="","",IF(COUNTIFS(UCRETLER!$B$7:$B$406,$B31,UCRETLER!$H$7:$H$406,"Aktif")&gt;0,"EVET","HAYIR"))</f>
        <v/>
      </c>
      <c r="P31" s="113">
        <f>IF($C31="","",IF($B31="","NO EKSİK",IF(COUNTIF($B$7:$B$106,$B31)&gt;1,"NO TEKRARI",IF(COUNTIF($C$7:$C$106,$C31)&gt;1,"UNVAN TEKRARI",IF($D31="","DURUM EKSİK",IF(AND($J31&gt;0,$K31=""),"DEVİR TARİHİ EKSİK","UYGUN"))))))</f>
        <v/>
      </c>
      <c r="Q31" s="6" t="n"/>
      <c r="R31" s="6" t="n"/>
    </row>
    <row r="32">
      <c r="A32" s="6" t="n"/>
      <c r="B32" s="108" t="inlineStr">
        <is>
          <t>M026</t>
        </is>
      </c>
      <c r="C32" s="109" t="inlineStr">
        <is>
          <t>AYDES LTD.ŞTİ.</t>
        </is>
      </c>
      <c r="D32" s="108" t="inlineStr">
        <is>
          <t>Aktif</t>
        </is>
      </c>
      <c r="E32" s="109" t="n"/>
      <c r="F32" s="109" t="n"/>
      <c r="G32" s="109" t="n"/>
      <c r="H32" s="108" t="inlineStr">
        <is>
          <t>Nakit</t>
        </is>
      </c>
      <c r="I32" s="222" t="n">
        <v>46023</v>
      </c>
      <c r="J32" s="223" t="n">
        <v>0</v>
      </c>
      <c r="K32" s="224" t="n"/>
      <c r="L32" s="109" t="n"/>
      <c r="M32" s="109" t="n"/>
      <c r="N32" s="108" t="n"/>
      <c r="O32" s="113">
        <f>IF($C32="","",IF(COUNTIFS(UCRETLER!$B$7:$B$406,$B32,UCRETLER!$H$7:$H$406,"Aktif")&gt;0,"EVET","HAYIR"))</f>
        <v/>
      </c>
      <c r="P32" s="113">
        <f>IF($C32="","",IF($B32="","NO EKSİK",IF(COUNTIF($B$7:$B$106,$B32)&gt;1,"NO TEKRARI",IF(COUNTIF($C$7:$C$106,$C32)&gt;1,"UNVAN TEKRARI",IF($D32="","DURUM EKSİK",IF(AND($J32&gt;0,$K32=""),"DEVİR TARİHİ EKSİK","UYGUN"))))))</f>
        <v/>
      </c>
      <c r="Q32" s="6" t="n"/>
      <c r="R32" s="6" t="n"/>
    </row>
    <row r="33">
      <c r="A33" s="6" t="n"/>
      <c r="B33" s="108" t="inlineStr">
        <is>
          <t>M027</t>
        </is>
      </c>
      <c r="C33" s="109" t="inlineStr">
        <is>
          <t>CEREN DEMİRCİ</t>
        </is>
      </c>
      <c r="D33" s="108" t="inlineStr">
        <is>
          <t>Aktif</t>
        </is>
      </c>
      <c r="E33" s="109" t="n"/>
      <c r="F33" s="109" t="n"/>
      <c r="G33" s="109" t="n"/>
      <c r="H33" s="108" t="inlineStr">
        <is>
          <t>Nakit</t>
        </is>
      </c>
      <c r="I33" s="222" t="n">
        <v>46023</v>
      </c>
      <c r="J33" s="223" t="n">
        <v>0</v>
      </c>
      <c r="K33" s="224" t="n"/>
      <c r="L33" s="109" t="n"/>
      <c r="M33" s="109" t="n"/>
      <c r="N33" s="108" t="n"/>
      <c r="O33" s="113">
        <f>IF($C33="","",IF(COUNTIFS(UCRETLER!$B$7:$B$406,$B33,UCRETLER!$H$7:$H$406,"Aktif")&gt;0,"EVET","HAYIR"))</f>
        <v/>
      </c>
      <c r="P33" s="113">
        <f>IF($C33="","",IF($B33="","NO EKSİK",IF(COUNTIF($B$7:$B$106,$B33)&gt;1,"NO TEKRARI",IF(COUNTIF($C$7:$C$106,$C33)&gt;1,"UNVAN TEKRARI",IF($D33="","DURUM EKSİK",IF(AND($J33&gt;0,$K33=""),"DEVİR TARİHİ EKSİK","UYGUN"))))))</f>
        <v/>
      </c>
      <c r="Q33" s="6" t="n"/>
      <c r="R33" s="6" t="n"/>
    </row>
    <row r="34">
      <c r="A34" s="6" t="n"/>
      <c r="B34" s="108" t="inlineStr">
        <is>
          <t>M028</t>
        </is>
      </c>
      <c r="C34" s="109" t="inlineStr">
        <is>
          <t>DERVİŞHAN LTD.ŞTİ.</t>
        </is>
      </c>
      <c r="D34" s="108" t="inlineStr">
        <is>
          <t>Aktif</t>
        </is>
      </c>
      <c r="E34" s="109" t="n"/>
      <c r="F34" s="109" t="n"/>
      <c r="G34" s="109" t="n"/>
      <c r="H34" s="108" t="inlineStr">
        <is>
          <t>Nakit</t>
        </is>
      </c>
      <c r="I34" s="222" t="n">
        <v>46023</v>
      </c>
      <c r="J34" s="223" t="n">
        <v>0</v>
      </c>
      <c r="K34" s="224" t="n"/>
      <c r="L34" s="109" t="n"/>
      <c r="M34" s="109" t="n"/>
      <c r="N34" s="108" t="n"/>
      <c r="O34" s="113">
        <f>IF($C34="","",IF(COUNTIFS(UCRETLER!$B$7:$B$406,$B34,UCRETLER!$H$7:$H$406,"Aktif")&gt;0,"EVET","HAYIR"))</f>
        <v/>
      </c>
      <c r="P34" s="113">
        <f>IF($C34="","",IF($B34="","NO EKSİK",IF(COUNTIF($B$7:$B$106,$B34)&gt;1,"NO TEKRARI",IF(COUNTIF($C$7:$C$106,$C34)&gt;1,"UNVAN TEKRARI",IF($D34="","DURUM EKSİK",IF(AND($J34&gt;0,$K34=""),"DEVİR TARİHİ EKSİK","UYGUN"))))))</f>
        <v/>
      </c>
      <c r="Q34" s="6" t="n"/>
      <c r="R34" s="6" t="n"/>
    </row>
    <row r="35">
      <c r="A35" s="6" t="n"/>
      <c r="B35" s="108" t="inlineStr">
        <is>
          <t>M029</t>
        </is>
      </c>
      <c r="C35" s="109" t="inlineStr">
        <is>
          <t>EMRAH SAVURKAN</t>
        </is>
      </c>
      <c r="D35" s="108" t="inlineStr">
        <is>
          <t>Aktif</t>
        </is>
      </c>
      <c r="E35" s="109" t="n"/>
      <c r="F35" s="109" t="n"/>
      <c r="G35" s="109" t="n"/>
      <c r="H35" s="108" t="inlineStr">
        <is>
          <t>Nakit</t>
        </is>
      </c>
      <c r="I35" s="222" t="n">
        <v>46023</v>
      </c>
      <c r="J35" s="223" t="n">
        <v>0</v>
      </c>
      <c r="K35" s="224" t="n"/>
      <c r="L35" s="109" t="n"/>
      <c r="M35" s="109" t="n"/>
      <c r="N35" s="108" t="n"/>
      <c r="O35" s="113">
        <f>IF($C35="","",IF(COUNTIFS(UCRETLER!$B$7:$B$406,$B35,UCRETLER!$H$7:$H$406,"Aktif")&gt;0,"EVET","HAYIR"))</f>
        <v/>
      </c>
      <c r="P35" s="113">
        <f>IF($C35="","",IF($B35="","NO EKSİK",IF(COUNTIF($B$7:$B$106,$B35)&gt;1,"NO TEKRARI",IF(COUNTIF($C$7:$C$106,$C35)&gt;1,"UNVAN TEKRARI",IF($D35="","DURUM EKSİK",IF(AND($J35&gt;0,$K35=""),"DEVİR TARİHİ EKSİK","UYGUN"))))))</f>
        <v/>
      </c>
      <c r="Q35" s="6" t="n"/>
      <c r="R35" s="6" t="n"/>
    </row>
    <row r="36">
      <c r="A36" s="6" t="n"/>
      <c r="B36" s="108" t="inlineStr">
        <is>
          <t>M030</t>
        </is>
      </c>
      <c r="C36" s="109" t="inlineStr">
        <is>
          <t>FARUK DEMİRCİ</t>
        </is>
      </c>
      <c r="D36" s="108" t="inlineStr">
        <is>
          <t>Aktif</t>
        </is>
      </c>
      <c r="E36" s="109" t="n"/>
      <c r="F36" s="109" t="n"/>
      <c r="G36" s="109" t="n"/>
      <c r="H36" s="108" t="inlineStr">
        <is>
          <t>Nakit</t>
        </is>
      </c>
      <c r="I36" s="222" t="n">
        <v>46023</v>
      </c>
      <c r="J36" s="223" t="n">
        <v>0</v>
      </c>
      <c r="K36" s="224" t="n"/>
      <c r="L36" s="109" t="n"/>
      <c r="M36" s="109" t="n"/>
      <c r="N36" s="108" t="n"/>
      <c r="O36" s="113">
        <f>IF($C36="","",IF(COUNTIFS(UCRETLER!$B$7:$B$406,$B36,UCRETLER!$H$7:$H$406,"Aktif")&gt;0,"EVET","HAYIR"))</f>
        <v/>
      </c>
      <c r="P36" s="113">
        <f>IF($C36="","",IF($B36="","NO EKSİK",IF(COUNTIF($B$7:$B$106,$B36)&gt;1,"NO TEKRARI",IF(COUNTIF($C$7:$C$106,$C36)&gt;1,"UNVAN TEKRARI",IF($D36="","DURUM EKSİK",IF(AND($J36&gt;0,$K36=""),"DEVİR TARİHİ EKSİK","UYGUN"))))))</f>
        <v/>
      </c>
      <c r="Q36" s="6" t="n"/>
      <c r="R36" s="6" t="n"/>
    </row>
    <row r="37">
      <c r="A37" s="6" t="n"/>
      <c r="B37" s="108" t="inlineStr">
        <is>
          <t>M031</t>
        </is>
      </c>
      <c r="C37" s="109" t="inlineStr">
        <is>
          <t>HALİL AVŞAR</t>
        </is>
      </c>
      <c r="D37" s="108" t="inlineStr">
        <is>
          <t>Aktif</t>
        </is>
      </c>
      <c r="E37" s="109" t="n"/>
      <c r="F37" s="109" t="n"/>
      <c r="G37" s="109" t="n"/>
      <c r="H37" s="108" t="inlineStr">
        <is>
          <t>Nakit</t>
        </is>
      </c>
      <c r="I37" s="222" t="n">
        <v>46023</v>
      </c>
      <c r="J37" s="223" t="n">
        <v>0</v>
      </c>
      <c r="K37" s="224" t="n"/>
      <c r="L37" s="109" t="n"/>
      <c r="M37" s="109" t="n"/>
      <c r="N37" s="108" t="n"/>
      <c r="O37" s="113">
        <f>IF($C37="","",IF(COUNTIFS(UCRETLER!$B$7:$B$406,$B37,UCRETLER!$H$7:$H$406,"Aktif")&gt;0,"EVET","HAYIR"))</f>
        <v/>
      </c>
      <c r="P37" s="113">
        <f>IF($C37="","",IF($B37="","NO EKSİK",IF(COUNTIF($B$7:$B$106,$B37)&gt;1,"NO TEKRARI",IF(COUNTIF($C$7:$C$106,$C37)&gt;1,"UNVAN TEKRARI",IF($D37="","DURUM EKSİK",IF(AND($J37&gt;0,$K37=""),"DEVİR TARİHİ EKSİK","UYGUN"))))))</f>
        <v/>
      </c>
      <c r="Q37" s="6" t="n"/>
      <c r="R37" s="6" t="n"/>
    </row>
    <row r="38">
      <c r="A38" s="6" t="n"/>
      <c r="B38" s="108" t="inlineStr">
        <is>
          <t>M032</t>
        </is>
      </c>
      <c r="C38" s="109" t="inlineStr">
        <is>
          <t>HAYDAR KAYA</t>
        </is>
      </c>
      <c r="D38" s="108" t="inlineStr">
        <is>
          <t>Aktif</t>
        </is>
      </c>
      <c r="E38" s="109" t="n"/>
      <c r="F38" s="109" t="n"/>
      <c r="G38" s="109" t="n"/>
      <c r="H38" s="108" t="inlineStr">
        <is>
          <t>Nakit</t>
        </is>
      </c>
      <c r="I38" s="222" t="n">
        <v>46023</v>
      </c>
      <c r="J38" s="223" t="n">
        <v>0</v>
      </c>
      <c r="K38" s="224" t="n"/>
      <c r="L38" s="109" t="n"/>
      <c r="M38" s="109" t="n"/>
      <c r="N38" s="108" t="n"/>
      <c r="O38" s="113">
        <f>IF($C38="","",IF(COUNTIFS(UCRETLER!$B$7:$B$406,$B38,UCRETLER!$H$7:$H$406,"Aktif")&gt;0,"EVET","HAYIR"))</f>
        <v/>
      </c>
      <c r="P38" s="113">
        <f>IF($C38="","",IF($B38="","NO EKSİK",IF(COUNTIF($B$7:$B$106,$B38)&gt;1,"NO TEKRARI",IF(COUNTIF($C$7:$C$106,$C38)&gt;1,"UNVAN TEKRARI",IF($D38="","DURUM EKSİK",IF(AND($J38&gt;0,$K38=""),"DEVİR TARİHİ EKSİK","UYGUN"))))))</f>
        <v/>
      </c>
      <c r="Q38" s="6" t="n"/>
      <c r="R38" s="6" t="n"/>
    </row>
    <row r="39">
      <c r="A39" s="6" t="n"/>
      <c r="B39" s="108" t="inlineStr">
        <is>
          <t>M033</t>
        </is>
      </c>
      <c r="C39" s="109" t="inlineStr">
        <is>
          <t>IŞIL GRUP LTD.ŞTİ.</t>
        </is>
      </c>
      <c r="D39" s="108" t="inlineStr">
        <is>
          <t>Aktif</t>
        </is>
      </c>
      <c r="E39" s="109" t="n"/>
      <c r="F39" s="109" t="n"/>
      <c r="G39" s="109" t="n"/>
      <c r="H39" s="108" t="inlineStr">
        <is>
          <t>Nakit</t>
        </is>
      </c>
      <c r="I39" s="222" t="n">
        <v>46023</v>
      </c>
      <c r="J39" s="223" t="n">
        <v>0</v>
      </c>
      <c r="K39" s="224" t="n"/>
      <c r="L39" s="109" t="n"/>
      <c r="M39" s="109" t="n"/>
      <c r="N39" s="108" t="n"/>
      <c r="O39" s="113">
        <f>IF($C39="","",IF(COUNTIFS(UCRETLER!$B$7:$B$406,$B39,UCRETLER!$H$7:$H$406,"Aktif")&gt;0,"EVET","HAYIR"))</f>
        <v/>
      </c>
      <c r="P39" s="113">
        <f>IF($C39="","",IF($B39="","NO EKSİK",IF(COUNTIF($B$7:$B$106,$B39)&gt;1,"NO TEKRARI",IF(COUNTIF($C$7:$C$106,$C39)&gt;1,"UNVAN TEKRARI",IF($D39="","DURUM EKSİK",IF(AND($J39&gt;0,$K39=""),"DEVİR TARİHİ EKSİK","UYGUN"))))))</f>
        <v/>
      </c>
      <c r="Q39" s="6" t="n"/>
      <c r="R39" s="6" t="n"/>
    </row>
    <row r="40">
      <c r="A40" s="6" t="n"/>
      <c r="B40" s="108" t="inlineStr">
        <is>
          <t>M034</t>
        </is>
      </c>
      <c r="C40" s="109" t="inlineStr">
        <is>
          <t>İBRAHİM MALDAN</t>
        </is>
      </c>
      <c r="D40" s="108" t="inlineStr">
        <is>
          <t>Aktif</t>
        </is>
      </c>
      <c r="E40" s="109" t="n"/>
      <c r="F40" s="109" t="n"/>
      <c r="G40" s="109" t="n"/>
      <c r="H40" s="108" t="inlineStr">
        <is>
          <t>Nakit</t>
        </is>
      </c>
      <c r="I40" s="222" t="n">
        <v>46023</v>
      </c>
      <c r="J40" s="223" t="n">
        <v>0</v>
      </c>
      <c r="K40" s="224" t="n"/>
      <c r="L40" s="109" t="n"/>
      <c r="M40" s="109" t="n"/>
      <c r="N40" s="108" t="n"/>
      <c r="O40" s="113">
        <f>IF($C40="","",IF(COUNTIFS(UCRETLER!$B$7:$B$406,$B40,UCRETLER!$H$7:$H$406,"Aktif")&gt;0,"EVET","HAYIR"))</f>
        <v/>
      </c>
      <c r="P40" s="113">
        <f>IF($C40="","",IF($B40="","NO EKSİK",IF(COUNTIF($B$7:$B$106,$B40)&gt;1,"NO TEKRARI",IF(COUNTIF($C$7:$C$106,$C40)&gt;1,"UNVAN TEKRARI",IF($D40="","DURUM EKSİK",IF(AND($J40&gt;0,$K40=""),"DEVİR TARİHİ EKSİK","UYGUN"))))))</f>
        <v/>
      </c>
      <c r="Q40" s="6" t="n"/>
      <c r="R40" s="6" t="n"/>
    </row>
    <row r="41">
      <c r="A41" s="6" t="n"/>
      <c r="B41" s="108" t="inlineStr">
        <is>
          <t>M035</t>
        </is>
      </c>
      <c r="C41" s="109" t="inlineStr">
        <is>
          <t>İSA DEMİRCİ</t>
        </is>
      </c>
      <c r="D41" s="108" t="inlineStr">
        <is>
          <t>Aktif</t>
        </is>
      </c>
      <c r="E41" s="109" t="n"/>
      <c r="F41" s="109" t="n"/>
      <c r="G41" s="109" t="n"/>
      <c r="H41" s="108" t="inlineStr">
        <is>
          <t>Nakit</t>
        </is>
      </c>
      <c r="I41" s="222" t="n">
        <v>46023</v>
      </c>
      <c r="J41" s="223" t="n">
        <v>0</v>
      </c>
      <c r="K41" s="224" t="n"/>
      <c r="L41" s="109" t="n"/>
      <c r="M41" s="109" t="n"/>
      <c r="N41" s="108" t="n"/>
      <c r="O41" s="113">
        <f>IF($C41="","",IF(COUNTIFS(UCRETLER!$B$7:$B$406,$B41,UCRETLER!$H$7:$H$406,"Aktif")&gt;0,"EVET","HAYIR"))</f>
        <v/>
      </c>
      <c r="P41" s="113">
        <f>IF($C41="","",IF($B41="","NO EKSİK",IF(COUNTIF($B$7:$B$106,$B41)&gt;1,"NO TEKRARI",IF(COUNTIF($C$7:$C$106,$C41)&gt;1,"UNVAN TEKRARI",IF($D41="","DURUM EKSİK",IF(AND($J41&gt;0,$K41=""),"DEVİR TARİHİ EKSİK","UYGUN"))))))</f>
        <v/>
      </c>
      <c r="Q41" s="6" t="n"/>
      <c r="R41" s="6" t="n"/>
    </row>
    <row r="42">
      <c r="A42" s="6" t="n"/>
      <c r="B42" s="108" t="inlineStr">
        <is>
          <t>M036</t>
        </is>
      </c>
      <c r="C42" s="109" t="inlineStr">
        <is>
          <t>İSMAİL AKPINAR</t>
        </is>
      </c>
      <c r="D42" s="108" t="inlineStr">
        <is>
          <t>Aktif</t>
        </is>
      </c>
      <c r="E42" s="109" t="n"/>
      <c r="F42" s="109" t="n"/>
      <c r="G42" s="109" t="n"/>
      <c r="H42" s="108" t="inlineStr">
        <is>
          <t>Nakit</t>
        </is>
      </c>
      <c r="I42" s="222" t="n">
        <v>46023</v>
      </c>
      <c r="J42" s="223" t="n">
        <v>0</v>
      </c>
      <c r="K42" s="224" t="n"/>
      <c r="L42" s="109" t="n"/>
      <c r="M42" s="109" t="n"/>
      <c r="N42" s="108" t="n"/>
      <c r="O42" s="113">
        <f>IF($C42="","",IF(COUNTIFS(UCRETLER!$B$7:$B$406,$B42,UCRETLER!$H$7:$H$406,"Aktif")&gt;0,"EVET","HAYIR"))</f>
        <v/>
      </c>
      <c r="P42" s="113">
        <f>IF($C42="","",IF($B42="","NO EKSİK",IF(COUNTIF($B$7:$B$106,$B42)&gt;1,"NO TEKRARI",IF(COUNTIF($C$7:$C$106,$C42)&gt;1,"UNVAN TEKRARI",IF($D42="","DURUM EKSİK",IF(AND($J42&gt;0,$K42=""),"DEVİR TARİHİ EKSİK","UYGUN"))))))</f>
        <v/>
      </c>
      <c r="Q42" s="6" t="n"/>
      <c r="R42" s="6" t="n"/>
    </row>
    <row r="43">
      <c r="A43" s="6" t="n"/>
      <c r="B43" s="108" t="inlineStr">
        <is>
          <t>M037</t>
        </is>
      </c>
      <c r="C43" s="109" t="inlineStr">
        <is>
          <t>MEHMET EVREN KILINÇ</t>
        </is>
      </c>
      <c r="D43" s="108" t="inlineStr">
        <is>
          <t>Aktif</t>
        </is>
      </c>
      <c r="E43" s="109" t="n"/>
      <c r="F43" s="109" t="n"/>
      <c r="G43" s="109" t="n"/>
      <c r="H43" s="108" t="inlineStr">
        <is>
          <t>Nakit</t>
        </is>
      </c>
      <c r="I43" s="222" t="n">
        <v>46023</v>
      </c>
      <c r="J43" s="223" t="n">
        <v>0</v>
      </c>
      <c r="K43" s="224" t="n"/>
      <c r="L43" s="109" t="n"/>
      <c r="M43" s="109" t="n"/>
      <c r="N43" s="108" t="n"/>
      <c r="O43" s="113">
        <f>IF($C43="","",IF(COUNTIFS(UCRETLER!$B$7:$B$406,$B43,UCRETLER!$H$7:$H$406,"Aktif")&gt;0,"EVET","HAYIR"))</f>
        <v/>
      </c>
      <c r="P43" s="113">
        <f>IF($C43="","",IF($B43="","NO EKSİK",IF(COUNTIF($B$7:$B$106,$B43)&gt;1,"NO TEKRARI",IF(COUNTIF($C$7:$C$106,$C43)&gt;1,"UNVAN TEKRARI",IF($D43="","DURUM EKSİK",IF(AND($J43&gt;0,$K43=""),"DEVİR TARİHİ EKSİK","UYGUN"))))))</f>
        <v/>
      </c>
      <c r="Q43" s="6" t="n"/>
      <c r="R43" s="6" t="n"/>
    </row>
    <row r="44">
      <c r="A44" s="6" t="n"/>
      <c r="B44" s="108" t="inlineStr">
        <is>
          <t>M038</t>
        </is>
      </c>
      <c r="C44" s="109" t="inlineStr">
        <is>
          <t>MELEK GÜLER</t>
        </is>
      </c>
      <c r="D44" s="108" t="inlineStr">
        <is>
          <t>Aktif</t>
        </is>
      </c>
      <c r="E44" s="109" t="n"/>
      <c r="F44" s="109" t="n"/>
      <c r="G44" s="109" t="n"/>
      <c r="H44" s="108" t="inlineStr">
        <is>
          <t>Nakit</t>
        </is>
      </c>
      <c r="I44" s="222" t="n">
        <v>46023</v>
      </c>
      <c r="J44" s="223" t="n">
        <v>0</v>
      </c>
      <c r="K44" s="224" t="n"/>
      <c r="L44" s="109" t="n"/>
      <c r="M44" s="109" t="n"/>
      <c r="N44" s="108" t="n"/>
      <c r="O44" s="113">
        <f>IF($C44="","",IF(COUNTIFS(UCRETLER!$B$7:$B$406,$B44,UCRETLER!$H$7:$H$406,"Aktif")&gt;0,"EVET","HAYIR"))</f>
        <v/>
      </c>
      <c r="P44" s="113">
        <f>IF($C44="","",IF($B44="","NO EKSİK",IF(COUNTIF($B$7:$B$106,$B44)&gt;1,"NO TEKRARI",IF(COUNTIF($C$7:$C$106,$C44)&gt;1,"UNVAN TEKRARI",IF($D44="","DURUM EKSİK",IF(AND($J44&gt;0,$K44=""),"DEVİR TARİHİ EKSİK","UYGUN"))))))</f>
        <v/>
      </c>
      <c r="Q44" s="6" t="n"/>
      <c r="R44" s="6" t="n"/>
    </row>
    <row r="45">
      <c r="A45" s="6" t="n"/>
      <c r="B45" s="108" t="inlineStr">
        <is>
          <t>M039</t>
        </is>
      </c>
      <c r="C45" s="109" t="inlineStr">
        <is>
          <t>MELİSA BEDİR</t>
        </is>
      </c>
      <c r="D45" s="108" t="inlineStr">
        <is>
          <t>Aktif</t>
        </is>
      </c>
      <c r="E45" s="109" t="n"/>
      <c r="F45" s="109" t="n"/>
      <c r="G45" s="109" t="n"/>
      <c r="H45" s="108" t="inlineStr">
        <is>
          <t>Nakit</t>
        </is>
      </c>
      <c r="I45" s="222" t="n">
        <v>46023</v>
      </c>
      <c r="J45" s="223" t="n">
        <v>0</v>
      </c>
      <c r="K45" s="224" t="n"/>
      <c r="L45" s="109" t="n"/>
      <c r="M45" s="109" t="n"/>
      <c r="N45" s="108" t="n"/>
      <c r="O45" s="113">
        <f>IF($C45="","",IF(COUNTIFS(UCRETLER!$B$7:$B$406,$B45,UCRETLER!$H$7:$H$406,"Aktif")&gt;0,"EVET","HAYIR"))</f>
        <v/>
      </c>
      <c r="P45" s="113">
        <f>IF($C45="","",IF($B45="","NO EKSİK",IF(COUNTIF($B$7:$B$106,$B45)&gt;1,"NO TEKRARI",IF(COUNTIF($C$7:$C$106,$C45)&gt;1,"UNVAN TEKRARI",IF($D45="","DURUM EKSİK",IF(AND($J45&gt;0,$K45=""),"DEVİR TARİHİ EKSİK","UYGUN"))))))</f>
        <v/>
      </c>
      <c r="Q45" s="6" t="n"/>
      <c r="R45" s="6" t="n"/>
    </row>
    <row r="46">
      <c r="A46" s="6" t="n"/>
      <c r="B46" s="108" t="inlineStr">
        <is>
          <t>M040</t>
        </is>
      </c>
      <c r="C46" s="109" t="inlineStr">
        <is>
          <t>MENEKŞE AKAN</t>
        </is>
      </c>
      <c r="D46" s="108" t="inlineStr">
        <is>
          <t>Aktif</t>
        </is>
      </c>
      <c r="E46" s="109" t="n"/>
      <c r="F46" s="109" t="n"/>
      <c r="G46" s="109" t="n"/>
      <c r="H46" s="108" t="inlineStr">
        <is>
          <t>Nakit</t>
        </is>
      </c>
      <c r="I46" s="222" t="n">
        <v>46023</v>
      </c>
      <c r="J46" s="223" t="n">
        <v>0</v>
      </c>
      <c r="K46" s="224" t="n"/>
      <c r="L46" s="109" t="n"/>
      <c r="M46" s="109" t="n"/>
      <c r="N46" s="108" t="n"/>
      <c r="O46" s="113">
        <f>IF($C46="","",IF(COUNTIFS(UCRETLER!$B$7:$B$406,$B46,UCRETLER!$H$7:$H$406,"Aktif")&gt;0,"EVET","HAYIR"))</f>
        <v/>
      </c>
      <c r="P46" s="113">
        <f>IF($C46="","",IF($B46="","NO EKSİK",IF(COUNTIF($B$7:$B$106,$B46)&gt;1,"NO TEKRARI",IF(COUNTIF($C$7:$C$106,$C46)&gt;1,"UNVAN TEKRARI",IF($D46="","DURUM EKSİK",IF(AND($J46&gt;0,$K46=""),"DEVİR TARİHİ EKSİK","UYGUN"))))))</f>
        <v/>
      </c>
      <c r="Q46" s="6" t="n"/>
      <c r="R46" s="6" t="n"/>
    </row>
    <row r="47">
      <c r="A47" s="6" t="n"/>
      <c r="B47" s="108" t="inlineStr">
        <is>
          <t>M041</t>
        </is>
      </c>
      <c r="C47" s="109" t="inlineStr">
        <is>
          <t>MESUT KÖKLÜ</t>
        </is>
      </c>
      <c r="D47" s="108" t="inlineStr">
        <is>
          <t>Aktif</t>
        </is>
      </c>
      <c r="E47" s="109" t="n"/>
      <c r="F47" s="109" t="n"/>
      <c r="G47" s="109" t="n"/>
      <c r="H47" s="108" t="inlineStr">
        <is>
          <t>Nakit</t>
        </is>
      </c>
      <c r="I47" s="222" t="n">
        <v>46023</v>
      </c>
      <c r="J47" s="223" t="n">
        <v>0</v>
      </c>
      <c r="K47" s="224" t="n"/>
      <c r="L47" s="109" t="n"/>
      <c r="M47" s="109" t="n"/>
      <c r="N47" s="108" t="n"/>
      <c r="O47" s="113">
        <f>IF($C47="","",IF(COUNTIFS(UCRETLER!$B$7:$B$406,$B47,UCRETLER!$H$7:$H$406,"Aktif")&gt;0,"EVET","HAYIR"))</f>
        <v/>
      </c>
      <c r="P47" s="113">
        <f>IF($C47="","",IF($B47="","NO EKSİK",IF(COUNTIF($B$7:$B$106,$B47)&gt;1,"NO TEKRARI",IF(COUNTIF($C$7:$C$106,$C47)&gt;1,"UNVAN TEKRARI",IF($D47="","DURUM EKSİK",IF(AND($J47&gt;0,$K47=""),"DEVİR TARİHİ EKSİK","UYGUN"))))))</f>
        <v/>
      </c>
      <c r="Q47" s="6" t="n"/>
      <c r="R47" s="6" t="n"/>
    </row>
    <row r="48">
      <c r="A48" s="6" t="n"/>
      <c r="B48" s="108" t="inlineStr">
        <is>
          <t>M042</t>
        </is>
      </c>
      <c r="C48" s="109" t="inlineStr">
        <is>
          <t>MS TOPTAN LTD.ŞTİ.</t>
        </is>
      </c>
      <c r="D48" s="108" t="inlineStr">
        <is>
          <t>Aktif</t>
        </is>
      </c>
      <c r="E48" s="109" t="n"/>
      <c r="F48" s="109" t="n"/>
      <c r="G48" s="109" t="n"/>
      <c r="H48" s="108" t="inlineStr">
        <is>
          <t>Nakit</t>
        </is>
      </c>
      <c r="I48" s="222" t="n">
        <v>46023</v>
      </c>
      <c r="J48" s="223" t="n">
        <v>0</v>
      </c>
      <c r="K48" s="224" t="n"/>
      <c r="L48" s="109" t="n"/>
      <c r="M48" s="109" t="n"/>
      <c r="N48" s="108" t="n"/>
      <c r="O48" s="113">
        <f>IF($C48="","",IF(COUNTIFS(UCRETLER!$B$7:$B$406,$B48,UCRETLER!$H$7:$H$406,"Aktif")&gt;0,"EVET","HAYIR"))</f>
        <v/>
      </c>
      <c r="P48" s="113">
        <f>IF($C48="","",IF($B48="","NO EKSİK",IF(COUNTIF($B$7:$B$106,$B48)&gt;1,"NO TEKRARI",IF(COUNTIF($C$7:$C$106,$C48)&gt;1,"UNVAN TEKRARI",IF($D48="","DURUM EKSİK",IF(AND($J48&gt;0,$K48=""),"DEVİR TARİHİ EKSİK","UYGUN"))))))</f>
        <v/>
      </c>
      <c r="Q48" s="6" t="n"/>
      <c r="R48" s="6" t="n"/>
    </row>
    <row r="49">
      <c r="A49" s="6" t="n"/>
      <c r="B49" s="108" t="inlineStr">
        <is>
          <t>M043</t>
        </is>
      </c>
      <c r="C49" s="109" t="inlineStr">
        <is>
          <t>MUSTAFA UMUT KOYUN</t>
        </is>
      </c>
      <c r="D49" s="108" t="inlineStr">
        <is>
          <t>Aktif</t>
        </is>
      </c>
      <c r="E49" s="109" t="n"/>
      <c r="F49" s="109" t="n"/>
      <c r="G49" s="109" t="n"/>
      <c r="H49" s="108" t="inlineStr">
        <is>
          <t>Nakit</t>
        </is>
      </c>
      <c r="I49" s="222" t="n">
        <v>46023</v>
      </c>
      <c r="J49" s="223" t="n">
        <v>0</v>
      </c>
      <c r="K49" s="224" t="n"/>
      <c r="L49" s="109" t="n"/>
      <c r="M49" s="109" t="n"/>
      <c r="N49" s="108" t="n"/>
      <c r="O49" s="113">
        <f>IF($C49="","",IF(COUNTIFS(UCRETLER!$B$7:$B$406,$B49,UCRETLER!$H$7:$H$406,"Aktif")&gt;0,"EVET","HAYIR"))</f>
        <v/>
      </c>
      <c r="P49" s="113">
        <f>IF($C49="","",IF($B49="","NO EKSİK",IF(COUNTIF($B$7:$B$106,$B49)&gt;1,"NO TEKRARI",IF(COUNTIF($C$7:$C$106,$C49)&gt;1,"UNVAN TEKRARI",IF($D49="","DURUM EKSİK",IF(AND($J49&gt;0,$K49=""),"DEVİR TARİHİ EKSİK","UYGUN"))))))</f>
        <v/>
      </c>
      <c r="Q49" s="6" t="n"/>
      <c r="R49" s="6" t="n"/>
    </row>
    <row r="50">
      <c r="A50" s="6" t="n"/>
      <c r="B50" s="108" t="inlineStr">
        <is>
          <t>M044</t>
        </is>
      </c>
      <c r="C50" s="109" t="inlineStr">
        <is>
          <t>MUSTAFA KOLBAŞI</t>
        </is>
      </c>
      <c r="D50" s="108" t="inlineStr">
        <is>
          <t>Aktif</t>
        </is>
      </c>
      <c r="E50" s="109" t="n"/>
      <c r="F50" s="109" t="n"/>
      <c r="G50" s="109" t="n"/>
      <c r="H50" s="108" t="inlineStr">
        <is>
          <t>Nakit</t>
        </is>
      </c>
      <c r="I50" s="222" t="n">
        <v>46023</v>
      </c>
      <c r="J50" s="223" t="n">
        <v>0</v>
      </c>
      <c r="K50" s="224" t="n"/>
      <c r="L50" s="109" t="n"/>
      <c r="M50" s="109" t="n"/>
      <c r="N50" s="108" t="n"/>
      <c r="O50" s="113">
        <f>IF($C50="","",IF(COUNTIFS(UCRETLER!$B$7:$B$406,$B50,UCRETLER!$H$7:$H$406,"Aktif")&gt;0,"EVET","HAYIR"))</f>
        <v/>
      </c>
      <c r="P50" s="113">
        <f>IF($C50="","",IF($B50="","NO EKSİK",IF(COUNTIF($B$7:$B$106,$B50)&gt;1,"NO TEKRARI",IF(COUNTIF($C$7:$C$106,$C50)&gt;1,"UNVAN TEKRARI",IF($D50="","DURUM EKSİK",IF(AND($J50&gt;0,$K50=""),"DEVİR TARİHİ EKSİK","UYGUN"))))))</f>
        <v/>
      </c>
      <c r="Q50" s="6" t="n"/>
      <c r="R50" s="6" t="n"/>
    </row>
    <row r="51">
      <c r="A51" s="6" t="n"/>
      <c r="B51" s="108" t="inlineStr">
        <is>
          <t>M045</t>
        </is>
      </c>
      <c r="C51" s="109" t="inlineStr">
        <is>
          <t>NERO E TİCARET LTD.ŞTİ.</t>
        </is>
      </c>
      <c r="D51" s="108" t="inlineStr">
        <is>
          <t>Aktif</t>
        </is>
      </c>
      <c r="E51" s="109" t="n"/>
      <c r="F51" s="109" t="n"/>
      <c r="G51" s="109" t="n"/>
      <c r="H51" s="108" t="inlineStr">
        <is>
          <t>Nakit</t>
        </is>
      </c>
      <c r="I51" s="222" t="n">
        <v>46023</v>
      </c>
      <c r="J51" s="223" t="n">
        <v>0</v>
      </c>
      <c r="K51" s="224" t="n"/>
      <c r="L51" s="109" t="n"/>
      <c r="M51" s="109" t="n"/>
      <c r="N51" s="108" t="n"/>
      <c r="O51" s="113">
        <f>IF($C51="","",IF(COUNTIFS(UCRETLER!$B$7:$B$406,$B51,UCRETLER!$H$7:$H$406,"Aktif")&gt;0,"EVET","HAYIR"))</f>
        <v/>
      </c>
      <c r="P51" s="113">
        <f>IF($C51="","",IF($B51="","NO EKSİK",IF(COUNTIF($B$7:$B$106,$B51)&gt;1,"NO TEKRARI",IF(COUNTIF($C$7:$C$106,$C51)&gt;1,"UNVAN TEKRARI",IF($D51="","DURUM EKSİK",IF(AND($J51&gt;0,$K51=""),"DEVİR TARİHİ EKSİK","UYGUN"))))))</f>
        <v/>
      </c>
      <c r="Q51" s="6" t="n"/>
      <c r="R51" s="6" t="n"/>
    </row>
    <row r="52">
      <c r="A52" s="6" t="n"/>
      <c r="B52" s="108" t="inlineStr">
        <is>
          <t>M046</t>
        </is>
      </c>
      <c r="C52" s="109" t="inlineStr">
        <is>
          <t>ÖMER DEMİRCİ</t>
        </is>
      </c>
      <c r="D52" s="108" t="inlineStr">
        <is>
          <t>Aktif</t>
        </is>
      </c>
      <c r="E52" s="109" t="n"/>
      <c r="F52" s="109" t="n"/>
      <c r="G52" s="109" t="n"/>
      <c r="H52" s="108" t="inlineStr">
        <is>
          <t>Nakit</t>
        </is>
      </c>
      <c r="I52" s="222" t="n">
        <v>46023</v>
      </c>
      <c r="J52" s="223" t="n">
        <v>0</v>
      </c>
      <c r="K52" s="224" t="n"/>
      <c r="L52" s="109" t="n"/>
      <c r="M52" s="109" t="n"/>
      <c r="N52" s="108" t="n"/>
      <c r="O52" s="113">
        <f>IF($C52="","",IF(COUNTIFS(UCRETLER!$B$7:$B$406,$B52,UCRETLER!$H$7:$H$406,"Aktif")&gt;0,"EVET","HAYIR"))</f>
        <v/>
      </c>
      <c r="P52" s="113">
        <f>IF($C52="","",IF($B52="","NO EKSİK",IF(COUNTIF($B$7:$B$106,$B52)&gt;1,"NO TEKRARI",IF(COUNTIF($C$7:$C$106,$C52)&gt;1,"UNVAN TEKRARI",IF($D52="","DURUM EKSİK",IF(AND($J52&gt;0,$K52=""),"DEVİR TARİHİ EKSİK","UYGUN"))))))</f>
        <v/>
      </c>
      <c r="Q52" s="6" t="n"/>
      <c r="R52" s="6" t="n"/>
    </row>
    <row r="53">
      <c r="A53" s="6" t="n"/>
      <c r="B53" s="108" t="inlineStr">
        <is>
          <t>M047</t>
        </is>
      </c>
      <c r="C53" s="109" t="inlineStr">
        <is>
          <t>PALAOĞULLARI LTD.ŞTİ.</t>
        </is>
      </c>
      <c r="D53" s="108" t="inlineStr">
        <is>
          <t>Aktif</t>
        </is>
      </c>
      <c r="E53" s="109" t="n"/>
      <c r="F53" s="109" t="n"/>
      <c r="G53" s="109" t="n"/>
      <c r="H53" s="108" t="inlineStr">
        <is>
          <t>Nakit</t>
        </is>
      </c>
      <c r="I53" s="222" t="n">
        <v>46023</v>
      </c>
      <c r="J53" s="223" t="n">
        <v>0</v>
      </c>
      <c r="K53" s="224" t="n"/>
      <c r="L53" s="109" t="n"/>
      <c r="M53" s="109" t="n"/>
      <c r="N53" s="108" t="n"/>
      <c r="O53" s="113">
        <f>IF($C53="","",IF(COUNTIFS(UCRETLER!$B$7:$B$406,$B53,UCRETLER!$H$7:$H$406,"Aktif")&gt;0,"EVET","HAYIR"))</f>
        <v/>
      </c>
      <c r="P53" s="113">
        <f>IF($C53="","",IF($B53="","NO EKSİK",IF(COUNTIF($B$7:$B$106,$B53)&gt;1,"NO TEKRARI",IF(COUNTIF($C$7:$C$106,$C53)&gt;1,"UNVAN TEKRARI",IF($D53="","DURUM EKSİK",IF(AND($J53&gt;0,$K53=""),"DEVİR TARİHİ EKSİK","UYGUN"))))))</f>
        <v/>
      </c>
      <c r="Q53" s="6" t="n"/>
      <c r="R53" s="6" t="n"/>
    </row>
    <row r="54">
      <c r="A54" s="6" t="n"/>
      <c r="B54" s="108" t="inlineStr">
        <is>
          <t>M048</t>
        </is>
      </c>
      <c r="C54" s="109" t="inlineStr">
        <is>
          <t>RASİM DEMİRCİ</t>
        </is>
      </c>
      <c r="D54" s="108" t="inlineStr">
        <is>
          <t>Aktif</t>
        </is>
      </c>
      <c r="E54" s="109" t="n"/>
      <c r="F54" s="109" t="n"/>
      <c r="G54" s="109" t="n"/>
      <c r="H54" s="108" t="inlineStr">
        <is>
          <t>Nakit</t>
        </is>
      </c>
      <c r="I54" s="222" t="n">
        <v>46023</v>
      </c>
      <c r="J54" s="223" t="n">
        <v>0</v>
      </c>
      <c r="K54" s="224" t="n"/>
      <c r="L54" s="109" t="n"/>
      <c r="M54" s="109" t="n"/>
      <c r="N54" s="108" t="n"/>
      <c r="O54" s="113">
        <f>IF($C54="","",IF(COUNTIFS(UCRETLER!$B$7:$B$406,$B54,UCRETLER!$H$7:$H$406,"Aktif")&gt;0,"EVET","HAYIR"))</f>
        <v/>
      </c>
      <c r="P54" s="113">
        <f>IF($C54="","",IF($B54="","NO EKSİK",IF(COUNTIF($B$7:$B$106,$B54)&gt;1,"NO TEKRARI",IF(COUNTIF($C$7:$C$106,$C54)&gt;1,"UNVAN TEKRARI",IF($D54="","DURUM EKSİK",IF(AND($J54&gt;0,$K54=""),"DEVİR TARİHİ EKSİK","UYGUN"))))))</f>
        <v/>
      </c>
      <c r="Q54" s="6" t="n"/>
      <c r="R54" s="6" t="n"/>
    </row>
    <row r="55">
      <c r="A55" s="6" t="n"/>
      <c r="B55" s="108" t="inlineStr">
        <is>
          <t>M049</t>
        </is>
      </c>
      <c r="C55" s="109" t="inlineStr">
        <is>
          <t>STAR ŞOW LTD.ŞTİ.</t>
        </is>
      </c>
      <c r="D55" s="108" t="inlineStr">
        <is>
          <t>Aktif</t>
        </is>
      </c>
      <c r="E55" s="109" t="n"/>
      <c r="F55" s="109" t="n"/>
      <c r="G55" s="109" t="n"/>
      <c r="H55" s="108" t="inlineStr">
        <is>
          <t>Nakit</t>
        </is>
      </c>
      <c r="I55" s="222" t="n">
        <v>46023</v>
      </c>
      <c r="J55" s="223" t="n">
        <v>0</v>
      </c>
      <c r="K55" s="224" t="n"/>
      <c r="L55" s="109" t="n"/>
      <c r="M55" s="109" t="n"/>
      <c r="N55" s="108" t="n"/>
      <c r="O55" s="113">
        <f>IF($C55="","",IF(COUNTIFS(UCRETLER!$B$7:$B$406,$B55,UCRETLER!$H$7:$H$406,"Aktif")&gt;0,"EVET","HAYIR"))</f>
        <v/>
      </c>
      <c r="P55" s="113">
        <f>IF($C55="","",IF($B55="","NO EKSİK",IF(COUNTIF($B$7:$B$106,$B55)&gt;1,"NO TEKRARI",IF(COUNTIF($C$7:$C$106,$C55)&gt;1,"UNVAN TEKRARI",IF($D55="","DURUM EKSİK",IF(AND($J55&gt;0,$K55=""),"DEVİR TARİHİ EKSİK","UYGUN"))))))</f>
        <v/>
      </c>
      <c r="Q55" s="6" t="n"/>
      <c r="R55" s="6" t="n"/>
    </row>
    <row r="56">
      <c r="A56" s="6" t="n"/>
      <c r="B56" s="108" t="inlineStr">
        <is>
          <t>M050</t>
        </is>
      </c>
      <c r="C56" s="109" t="inlineStr">
        <is>
          <t>TANAK LTD.ŞTİ.</t>
        </is>
      </c>
      <c r="D56" s="108" t="inlineStr">
        <is>
          <t>Aktif</t>
        </is>
      </c>
      <c r="E56" s="109" t="n"/>
      <c r="F56" s="109" t="n"/>
      <c r="G56" s="109" t="n"/>
      <c r="H56" s="108" t="inlineStr">
        <is>
          <t>Nakit</t>
        </is>
      </c>
      <c r="I56" s="222" t="n">
        <v>46023</v>
      </c>
      <c r="J56" s="223" t="n">
        <v>0</v>
      </c>
      <c r="K56" s="224" t="n"/>
      <c r="L56" s="109" t="n"/>
      <c r="M56" s="109" t="n"/>
      <c r="N56" s="108" t="n"/>
      <c r="O56" s="113">
        <f>IF($C56="","",IF(COUNTIFS(UCRETLER!$B$7:$B$406,$B56,UCRETLER!$H$7:$H$406,"Aktif")&gt;0,"EVET","HAYIR"))</f>
        <v/>
      </c>
      <c r="P56" s="113">
        <f>IF($C56="","",IF($B56="","NO EKSİK",IF(COUNTIF($B$7:$B$106,$B56)&gt;1,"NO TEKRARI",IF(COUNTIF($C$7:$C$106,$C56)&gt;1,"UNVAN TEKRARI",IF($D56="","DURUM EKSİK",IF(AND($J56&gt;0,$K56=""),"DEVİR TARİHİ EKSİK","UYGUN"))))))</f>
        <v/>
      </c>
      <c r="Q56" s="6" t="n"/>
      <c r="R56" s="6" t="n"/>
    </row>
    <row r="57">
      <c r="A57" s="6" t="n"/>
      <c r="B57" s="108" t="inlineStr">
        <is>
          <t>M051</t>
        </is>
      </c>
      <c r="C57" s="109" t="inlineStr">
        <is>
          <t>UFUK YILMAZ</t>
        </is>
      </c>
      <c r="D57" s="108" t="inlineStr">
        <is>
          <t>Aktif</t>
        </is>
      </c>
      <c r="E57" s="109" t="n"/>
      <c r="F57" s="109" t="n"/>
      <c r="G57" s="109" t="n"/>
      <c r="H57" s="108" t="inlineStr">
        <is>
          <t>Nakit</t>
        </is>
      </c>
      <c r="I57" s="222" t="n">
        <v>46023</v>
      </c>
      <c r="J57" s="223" t="n">
        <v>0</v>
      </c>
      <c r="K57" s="224" t="n"/>
      <c r="L57" s="109" t="n"/>
      <c r="M57" s="109" t="n"/>
      <c r="N57" s="108" t="n"/>
      <c r="O57" s="113">
        <f>IF($C57="","",IF(COUNTIFS(UCRETLER!$B$7:$B$406,$B57,UCRETLER!$H$7:$H$406,"Aktif")&gt;0,"EVET","HAYIR"))</f>
        <v/>
      </c>
      <c r="P57" s="113">
        <f>IF($C57="","",IF($B57="","NO EKSİK",IF(COUNTIF($B$7:$B$106,$B57)&gt;1,"NO TEKRARI",IF(COUNTIF($C$7:$C$106,$C57)&gt;1,"UNVAN TEKRARI",IF($D57="","DURUM EKSİK",IF(AND($J57&gt;0,$K57=""),"DEVİR TARİHİ EKSİK","UYGUN"))))))</f>
        <v/>
      </c>
      <c r="Q57" s="6" t="n"/>
      <c r="R57" s="6" t="n"/>
    </row>
    <row r="58">
      <c r="A58" s="6" t="n"/>
      <c r="B58" s="108" t="inlineStr">
        <is>
          <t>M052</t>
        </is>
      </c>
      <c r="C58" s="109" t="inlineStr">
        <is>
          <t>VANOLYA SU LTD.ŞTİ.</t>
        </is>
      </c>
      <c r="D58" s="108" t="inlineStr">
        <is>
          <t>Aktif</t>
        </is>
      </c>
      <c r="E58" s="109" t="n"/>
      <c r="F58" s="109" t="n"/>
      <c r="G58" s="109" t="n"/>
      <c r="H58" s="108" t="inlineStr">
        <is>
          <t>Nakit</t>
        </is>
      </c>
      <c r="I58" s="222" t="n">
        <v>46023</v>
      </c>
      <c r="J58" s="223" t="n">
        <v>0</v>
      </c>
      <c r="K58" s="224" t="n"/>
      <c r="L58" s="109" t="n"/>
      <c r="M58" s="109" t="n"/>
      <c r="N58" s="108" t="n"/>
      <c r="O58" s="113">
        <f>IF($C58="","",IF(COUNTIFS(UCRETLER!$B$7:$B$406,$B58,UCRETLER!$H$7:$H$406,"Aktif")&gt;0,"EVET","HAYIR"))</f>
        <v/>
      </c>
      <c r="P58" s="113">
        <f>IF($C58="","",IF($B58="","NO EKSİK",IF(COUNTIF($B$7:$B$106,$B58)&gt;1,"NO TEKRARI",IF(COUNTIF($C$7:$C$106,$C58)&gt;1,"UNVAN TEKRARI",IF($D58="","DURUM EKSİK",IF(AND($J58&gt;0,$K58=""),"DEVİR TARİHİ EKSİK","UYGUN"))))))</f>
        <v/>
      </c>
      <c r="Q58" s="6" t="n"/>
      <c r="R58" s="6" t="n"/>
    </row>
    <row r="59">
      <c r="A59" s="6" t="n"/>
      <c r="B59" s="108" t="inlineStr">
        <is>
          <t>M053</t>
        </is>
      </c>
      <c r="C59" s="109" t="inlineStr">
        <is>
          <t>YEDİYİRMİDÖRT LTD.ŞTİ.</t>
        </is>
      </c>
      <c r="D59" s="108" t="inlineStr">
        <is>
          <t>Aktif</t>
        </is>
      </c>
      <c r="E59" s="109" t="n"/>
      <c r="F59" s="109" t="n"/>
      <c r="G59" s="109" t="n"/>
      <c r="H59" s="108" t="inlineStr">
        <is>
          <t>Nakit</t>
        </is>
      </c>
      <c r="I59" s="222" t="n">
        <v>46023</v>
      </c>
      <c r="J59" s="223" t="n">
        <v>0</v>
      </c>
      <c r="K59" s="224" t="n"/>
      <c r="L59" s="109" t="n"/>
      <c r="M59" s="109" t="n"/>
      <c r="N59" s="108" t="n"/>
      <c r="O59" s="113">
        <f>IF($C59="","",IF(COUNTIFS(UCRETLER!$B$7:$B$406,$B59,UCRETLER!$H$7:$H$406,"Aktif")&gt;0,"EVET","HAYIR"))</f>
        <v/>
      </c>
      <c r="P59" s="113">
        <f>IF($C59="","",IF($B59="","NO EKSİK",IF(COUNTIF($B$7:$B$106,$B59)&gt;1,"NO TEKRARI",IF(COUNTIF($C$7:$C$106,$C59)&gt;1,"UNVAN TEKRARI",IF($D59="","DURUM EKSİK",IF(AND($J59&gt;0,$K59=""),"DEVİR TARİHİ EKSİK","UYGUN"))))))</f>
        <v/>
      </c>
      <c r="Q59" s="6" t="n"/>
      <c r="R59" s="6" t="n"/>
    </row>
    <row r="60">
      <c r="A60" s="6" t="n"/>
      <c r="B60" s="259" t="inlineStr">
        <is>
          <t>TST01</t>
        </is>
      </c>
      <c r="C60" s="260" t="inlineStr">
        <is>
          <t>TEST HAFTALIK A.Ş.</t>
        </is>
      </c>
      <c r="D60" s="259" t="inlineStr">
        <is>
          <t>Aktif</t>
        </is>
      </c>
      <c r="E60" s="260" t="n"/>
      <c r="F60" s="260" t="n"/>
      <c r="G60" s="260" t="n"/>
      <c r="H60" s="259" t="n"/>
      <c r="I60" s="261" t="n"/>
      <c r="J60" s="262" t="n">
        <v>5000</v>
      </c>
      <c r="K60" s="263" t="n">
        <v>46006</v>
      </c>
      <c r="L60" s="260" t="inlineStr">
        <is>
          <t>TEST devir</t>
        </is>
      </c>
      <c r="M60" s="260" t="n"/>
      <c r="N60" s="259" t="n"/>
      <c r="O60" s="113">
        <f>IF($C60="","",IF(COUNTIFS(UCRETLER!$B$7:$B$406,$B60,UCRETLER!$H$7:$H$406,"Aktif")&gt;0,"EVET","HAYIR"))</f>
        <v/>
      </c>
      <c r="P60" s="113">
        <f>IF($C60="","",IF($B60="","NO EKSİK",IF(COUNTIF($B$7:$B$106,$B60)&gt;1,"NO TEKRARI",IF(COUNTIF($C$7:$C$106,$C60)&gt;1,"UNVAN TEKRARI",IF($D60="","DURUM EKSİK",IF(AND($J60&gt;0,$K60=""),"DEVİR TARİHİ EKSİK","UYGUN"))))))</f>
        <v/>
      </c>
      <c r="Q60" s="6" t="n"/>
      <c r="R60" s="6" t="n"/>
    </row>
    <row r="61">
      <c r="A61" s="6" t="n"/>
      <c r="B61" s="259" t="inlineStr">
        <is>
          <t>TST02</t>
        </is>
      </c>
      <c r="C61" s="260" t="inlineStr">
        <is>
          <t>TEST AYLIK LTD.</t>
        </is>
      </c>
      <c r="D61" s="259" t="inlineStr">
        <is>
          <t>Aktif</t>
        </is>
      </c>
      <c r="E61" s="260" t="n"/>
      <c r="F61" s="260" t="n"/>
      <c r="G61" s="260" t="n"/>
      <c r="H61" s="259" t="n"/>
      <c r="I61" s="261" t="n"/>
      <c r="J61" s="262" t="n"/>
      <c r="K61" s="263" t="n"/>
      <c r="L61" s="260" t="n"/>
      <c r="M61" s="260" t="n"/>
      <c r="N61" s="259" t="n"/>
      <c r="O61" s="113">
        <f>IF($C61="","",IF(COUNTIFS(UCRETLER!$B$7:$B$406,$B61,UCRETLER!$H$7:$H$406,"Aktif")&gt;0,"EVET","HAYIR"))</f>
        <v/>
      </c>
      <c r="P61" s="113">
        <f>IF($C61="","",IF($B61="","NO EKSİK",IF(COUNTIF($B$7:$B$106,$B61)&gt;1,"NO TEKRARI",IF(COUNTIF($C$7:$C$106,$C61)&gt;1,"UNVAN TEKRARI",IF($D61="","DURUM EKSİK",IF(AND($J61&gt;0,$K61=""),"DEVİR TARİHİ EKSİK","UYGUN"))))))</f>
        <v/>
      </c>
      <c r="Q61" s="6" t="n"/>
      <c r="R61" s="6" t="n"/>
    </row>
    <row r="62">
      <c r="A62" s="6" t="n"/>
      <c r="B62" s="108" t="inlineStr">
        <is>
          <t>M056</t>
        </is>
      </c>
      <c r="C62" s="109" t="n"/>
      <c r="D62" s="108" t="n"/>
      <c r="E62" s="109" t="n"/>
      <c r="F62" s="109" t="n"/>
      <c r="G62" s="109" t="n"/>
      <c r="H62" s="108" t="n"/>
      <c r="I62" s="222" t="n"/>
      <c r="J62" s="223" t="n"/>
      <c r="K62" s="224" t="n"/>
      <c r="L62" s="109" t="n"/>
      <c r="M62" s="109" t="n"/>
      <c r="N62" s="108" t="n"/>
      <c r="O62" s="113">
        <f>IF($C62="","",IF(COUNTIFS(UCRETLER!$B$7:$B$406,$B62,UCRETLER!$H$7:$H$406,"Aktif")&gt;0,"EVET","HAYIR"))</f>
        <v/>
      </c>
      <c r="P62" s="113">
        <f>IF($C62="","",IF($B62="","NO EKSİK",IF(COUNTIF($B$7:$B$106,$B62)&gt;1,"NO TEKRARI",IF(COUNTIF($C$7:$C$106,$C62)&gt;1,"UNVAN TEKRARI",IF($D62="","DURUM EKSİK",IF(AND($J62&gt;0,$K62=""),"DEVİR TARİHİ EKSİK","UYGUN"))))))</f>
        <v/>
      </c>
      <c r="Q62" s="6" t="n"/>
      <c r="R62" s="6" t="n"/>
    </row>
    <row r="63">
      <c r="A63" s="6" t="n"/>
      <c r="B63" s="108" t="inlineStr">
        <is>
          <t>M057</t>
        </is>
      </c>
      <c r="C63" s="109" t="n"/>
      <c r="D63" s="108" t="n"/>
      <c r="E63" s="109" t="n"/>
      <c r="F63" s="109" t="n"/>
      <c r="G63" s="109" t="n"/>
      <c r="H63" s="108" t="n"/>
      <c r="I63" s="222" t="n"/>
      <c r="J63" s="223" t="n"/>
      <c r="K63" s="224" t="n"/>
      <c r="L63" s="109" t="n"/>
      <c r="M63" s="109" t="n"/>
      <c r="N63" s="108" t="n"/>
      <c r="O63" s="113">
        <f>IF($C63="","",IF(COUNTIFS(UCRETLER!$B$7:$B$406,$B63,UCRETLER!$H$7:$H$406,"Aktif")&gt;0,"EVET","HAYIR"))</f>
        <v/>
      </c>
      <c r="P63" s="113">
        <f>IF($C63="","",IF($B63="","NO EKSİK",IF(COUNTIF($B$7:$B$106,$B63)&gt;1,"NO TEKRARI",IF(COUNTIF($C$7:$C$106,$C63)&gt;1,"UNVAN TEKRARI",IF($D63="","DURUM EKSİK",IF(AND($J63&gt;0,$K63=""),"DEVİR TARİHİ EKSİK","UYGUN"))))))</f>
        <v/>
      </c>
      <c r="Q63" s="6" t="n"/>
      <c r="R63" s="6" t="n"/>
    </row>
    <row r="64">
      <c r="A64" s="6" t="n"/>
      <c r="B64" s="108" t="inlineStr">
        <is>
          <t>M058</t>
        </is>
      </c>
      <c r="C64" s="109" t="n"/>
      <c r="D64" s="108" t="n"/>
      <c r="E64" s="109" t="n"/>
      <c r="F64" s="109" t="n"/>
      <c r="G64" s="109" t="n"/>
      <c r="H64" s="108" t="n"/>
      <c r="I64" s="222" t="n"/>
      <c r="J64" s="223" t="n"/>
      <c r="K64" s="224" t="n"/>
      <c r="L64" s="109" t="n"/>
      <c r="M64" s="109" t="n"/>
      <c r="N64" s="108" t="n"/>
      <c r="O64" s="113">
        <f>IF($C64="","",IF(COUNTIFS(UCRETLER!$B$7:$B$406,$B64,UCRETLER!$H$7:$H$406,"Aktif")&gt;0,"EVET","HAYIR"))</f>
        <v/>
      </c>
      <c r="P64" s="113">
        <f>IF($C64="","",IF($B64="","NO EKSİK",IF(COUNTIF($B$7:$B$106,$B64)&gt;1,"NO TEKRARI",IF(COUNTIF($C$7:$C$106,$C64)&gt;1,"UNVAN TEKRARI",IF($D64="","DURUM EKSİK",IF(AND($J64&gt;0,$K64=""),"DEVİR TARİHİ EKSİK","UYGUN"))))))</f>
        <v/>
      </c>
      <c r="Q64" s="6" t="n"/>
      <c r="R64" s="6" t="n"/>
    </row>
    <row r="65">
      <c r="A65" s="6" t="n"/>
      <c r="B65" s="108" t="inlineStr">
        <is>
          <t>M059</t>
        </is>
      </c>
      <c r="C65" s="109" t="n"/>
      <c r="D65" s="108" t="n"/>
      <c r="E65" s="109" t="n"/>
      <c r="F65" s="109" t="n"/>
      <c r="G65" s="109" t="n"/>
      <c r="H65" s="108" t="n"/>
      <c r="I65" s="222" t="n"/>
      <c r="J65" s="223" t="n"/>
      <c r="K65" s="224" t="n"/>
      <c r="L65" s="109" t="n"/>
      <c r="M65" s="109" t="n"/>
      <c r="N65" s="108" t="n"/>
      <c r="O65" s="113">
        <f>IF($C65="","",IF(COUNTIFS(UCRETLER!$B$7:$B$406,$B65,UCRETLER!$H$7:$H$406,"Aktif")&gt;0,"EVET","HAYIR"))</f>
        <v/>
      </c>
      <c r="P65" s="113">
        <f>IF($C65="","",IF($B65="","NO EKSİK",IF(COUNTIF($B$7:$B$106,$B65)&gt;1,"NO TEKRARI",IF(COUNTIF($C$7:$C$106,$C65)&gt;1,"UNVAN TEKRARI",IF($D65="","DURUM EKSİK",IF(AND($J65&gt;0,$K65=""),"DEVİR TARİHİ EKSİK","UYGUN"))))))</f>
        <v/>
      </c>
      <c r="Q65" s="6" t="n"/>
      <c r="R65" s="6" t="n"/>
    </row>
    <row r="66">
      <c r="A66" s="6" t="n"/>
      <c r="B66" s="108" t="inlineStr">
        <is>
          <t>M060</t>
        </is>
      </c>
      <c r="C66" s="109" t="n"/>
      <c r="D66" s="108" t="n"/>
      <c r="E66" s="109" t="n"/>
      <c r="F66" s="109" t="n"/>
      <c r="G66" s="109" t="n"/>
      <c r="H66" s="108" t="n"/>
      <c r="I66" s="222" t="n"/>
      <c r="J66" s="223" t="n"/>
      <c r="K66" s="224" t="n"/>
      <c r="L66" s="109" t="n"/>
      <c r="M66" s="109" t="n"/>
      <c r="N66" s="108" t="n"/>
      <c r="O66" s="113">
        <f>IF($C66="","",IF(COUNTIFS(UCRETLER!$B$7:$B$406,$B66,UCRETLER!$H$7:$H$406,"Aktif")&gt;0,"EVET","HAYIR"))</f>
        <v/>
      </c>
      <c r="P66" s="113">
        <f>IF($C66="","",IF($B66="","NO EKSİK",IF(COUNTIF($B$7:$B$106,$B66)&gt;1,"NO TEKRARI",IF(COUNTIF($C$7:$C$106,$C66)&gt;1,"UNVAN TEKRARI",IF($D66="","DURUM EKSİK",IF(AND($J66&gt;0,$K66=""),"DEVİR TARİHİ EKSİK","UYGUN"))))))</f>
        <v/>
      </c>
      <c r="Q66" s="6" t="n"/>
      <c r="R66" s="6" t="n"/>
    </row>
    <row r="67">
      <c r="A67" s="6" t="n"/>
      <c r="B67" s="108" t="inlineStr">
        <is>
          <t>M061</t>
        </is>
      </c>
      <c r="C67" s="109" t="n"/>
      <c r="D67" s="108" t="n"/>
      <c r="E67" s="109" t="n"/>
      <c r="F67" s="109" t="n"/>
      <c r="G67" s="109" t="n"/>
      <c r="H67" s="108" t="n"/>
      <c r="I67" s="222" t="n"/>
      <c r="J67" s="223" t="n"/>
      <c r="K67" s="224" t="n"/>
      <c r="L67" s="109" t="n"/>
      <c r="M67" s="109" t="n"/>
      <c r="N67" s="108" t="n"/>
      <c r="O67" s="113">
        <f>IF($C67="","",IF(COUNTIFS(UCRETLER!$B$7:$B$406,$B67,UCRETLER!$H$7:$H$406,"Aktif")&gt;0,"EVET","HAYIR"))</f>
        <v/>
      </c>
      <c r="P67" s="113">
        <f>IF($C67="","",IF($B67="","NO EKSİK",IF(COUNTIF($B$7:$B$106,$B67)&gt;1,"NO TEKRARI",IF(COUNTIF($C$7:$C$106,$C67)&gt;1,"UNVAN TEKRARI",IF($D67="","DURUM EKSİK",IF(AND($J67&gt;0,$K67=""),"DEVİR TARİHİ EKSİK","UYGUN"))))))</f>
        <v/>
      </c>
      <c r="Q67" s="6" t="n"/>
      <c r="R67" s="6" t="n"/>
    </row>
    <row r="68">
      <c r="A68" s="6" t="n"/>
      <c r="B68" s="108" t="inlineStr">
        <is>
          <t>M062</t>
        </is>
      </c>
      <c r="C68" s="109" t="n"/>
      <c r="D68" s="108" t="n"/>
      <c r="E68" s="109" t="n"/>
      <c r="F68" s="109" t="n"/>
      <c r="G68" s="109" t="n"/>
      <c r="H68" s="108" t="n"/>
      <c r="I68" s="222" t="n"/>
      <c r="J68" s="223" t="n"/>
      <c r="K68" s="224" t="n"/>
      <c r="L68" s="109" t="n"/>
      <c r="M68" s="109" t="n"/>
      <c r="N68" s="108" t="n"/>
      <c r="O68" s="113">
        <f>IF($C68="","",IF(COUNTIFS(UCRETLER!$B$7:$B$406,$B68,UCRETLER!$H$7:$H$406,"Aktif")&gt;0,"EVET","HAYIR"))</f>
        <v/>
      </c>
      <c r="P68" s="113">
        <f>IF($C68="","",IF($B68="","NO EKSİK",IF(COUNTIF($B$7:$B$106,$B68)&gt;1,"NO TEKRARI",IF(COUNTIF($C$7:$C$106,$C68)&gt;1,"UNVAN TEKRARI",IF($D68="","DURUM EKSİK",IF(AND($J68&gt;0,$K68=""),"DEVİR TARİHİ EKSİK","UYGUN"))))))</f>
        <v/>
      </c>
      <c r="Q68" s="6" t="n"/>
      <c r="R68" s="6" t="n"/>
    </row>
    <row r="69">
      <c r="A69" s="6" t="n"/>
      <c r="B69" s="108" t="inlineStr">
        <is>
          <t>M063</t>
        </is>
      </c>
      <c r="C69" s="109" t="n"/>
      <c r="D69" s="108" t="n"/>
      <c r="E69" s="109" t="n"/>
      <c r="F69" s="109" t="n"/>
      <c r="G69" s="109" t="n"/>
      <c r="H69" s="108" t="n"/>
      <c r="I69" s="222" t="n"/>
      <c r="J69" s="223" t="n"/>
      <c r="K69" s="224" t="n"/>
      <c r="L69" s="109" t="n"/>
      <c r="M69" s="109" t="n"/>
      <c r="N69" s="108" t="n"/>
      <c r="O69" s="113">
        <f>IF($C69="","",IF(COUNTIFS(UCRETLER!$B$7:$B$406,$B69,UCRETLER!$H$7:$H$406,"Aktif")&gt;0,"EVET","HAYIR"))</f>
        <v/>
      </c>
      <c r="P69" s="113">
        <f>IF($C69="","",IF($B69="","NO EKSİK",IF(COUNTIF($B$7:$B$106,$B69)&gt;1,"NO TEKRARI",IF(COUNTIF($C$7:$C$106,$C69)&gt;1,"UNVAN TEKRARI",IF($D69="","DURUM EKSİK",IF(AND($J69&gt;0,$K69=""),"DEVİR TARİHİ EKSİK","UYGUN"))))))</f>
        <v/>
      </c>
      <c r="Q69" s="6" t="n"/>
      <c r="R69" s="6" t="n"/>
    </row>
    <row r="70">
      <c r="A70" s="6" t="n"/>
      <c r="B70" s="108" t="inlineStr">
        <is>
          <t>M064</t>
        </is>
      </c>
      <c r="C70" s="109" t="n"/>
      <c r="D70" s="108" t="n"/>
      <c r="E70" s="109" t="n"/>
      <c r="F70" s="109" t="n"/>
      <c r="G70" s="109" t="n"/>
      <c r="H70" s="108" t="n"/>
      <c r="I70" s="222" t="n"/>
      <c r="J70" s="223" t="n"/>
      <c r="K70" s="224" t="n"/>
      <c r="L70" s="109" t="n"/>
      <c r="M70" s="109" t="n"/>
      <c r="N70" s="108" t="n"/>
      <c r="O70" s="113">
        <f>IF($C70="","",IF(COUNTIFS(UCRETLER!$B$7:$B$406,$B70,UCRETLER!$H$7:$H$406,"Aktif")&gt;0,"EVET","HAYIR"))</f>
        <v/>
      </c>
      <c r="P70" s="113">
        <f>IF($C70="","",IF($B70="","NO EKSİK",IF(COUNTIF($B$7:$B$106,$B70)&gt;1,"NO TEKRARI",IF(COUNTIF($C$7:$C$106,$C70)&gt;1,"UNVAN TEKRARI",IF($D70="","DURUM EKSİK",IF(AND($J70&gt;0,$K70=""),"DEVİR TARİHİ EKSİK","UYGUN"))))))</f>
        <v/>
      </c>
      <c r="Q70" s="6" t="n"/>
      <c r="R70" s="6" t="n"/>
    </row>
    <row r="71">
      <c r="A71" s="6" t="n"/>
      <c r="B71" s="108" t="inlineStr">
        <is>
          <t>M065</t>
        </is>
      </c>
      <c r="C71" s="109" t="n"/>
      <c r="D71" s="108" t="n"/>
      <c r="E71" s="109" t="n"/>
      <c r="F71" s="109" t="n"/>
      <c r="G71" s="109" t="n"/>
      <c r="H71" s="108" t="n"/>
      <c r="I71" s="222" t="n"/>
      <c r="J71" s="223" t="n"/>
      <c r="K71" s="224" t="n"/>
      <c r="L71" s="109" t="n"/>
      <c r="M71" s="109" t="n"/>
      <c r="N71" s="108" t="n"/>
      <c r="O71" s="113">
        <f>IF($C71="","",IF(COUNTIFS(UCRETLER!$B$7:$B$406,$B71,UCRETLER!$H$7:$H$406,"Aktif")&gt;0,"EVET","HAYIR"))</f>
        <v/>
      </c>
      <c r="P71" s="113">
        <f>IF($C71="","",IF($B71="","NO EKSİK",IF(COUNTIF($B$7:$B$106,$B71)&gt;1,"NO TEKRARI",IF(COUNTIF($C$7:$C$106,$C71)&gt;1,"UNVAN TEKRARI",IF($D71="","DURUM EKSİK",IF(AND($J71&gt;0,$K71=""),"DEVİR TARİHİ EKSİK","UYGUN"))))))</f>
        <v/>
      </c>
      <c r="Q71" s="6" t="n"/>
      <c r="R71" s="6" t="n"/>
    </row>
    <row r="72">
      <c r="A72" s="6" t="n"/>
      <c r="B72" s="108" t="inlineStr">
        <is>
          <t>M066</t>
        </is>
      </c>
      <c r="C72" s="109" t="n"/>
      <c r="D72" s="108" t="n"/>
      <c r="E72" s="109" t="n"/>
      <c r="F72" s="109" t="n"/>
      <c r="G72" s="109" t="n"/>
      <c r="H72" s="108" t="n"/>
      <c r="I72" s="222" t="n"/>
      <c r="J72" s="223" t="n"/>
      <c r="K72" s="224" t="n"/>
      <c r="L72" s="109" t="n"/>
      <c r="M72" s="109" t="n"/>
      <c r="N72" s="108" t="n"/>
      <c r="O72" s="113">
        <f>IF($C72="","",IF(COUNTIFS(UCRETLER!$B$7:$B$406,$B72,UCRETLER!$H$7:$H$406,"Aktif")&gt;0,"EVET","HAYIR"))</f>
        <v/>
      </c>
      <c r="P72" s="113">
        <f>IF($C72="","",IF($B72="","NO EKSİK",IF(COUNTIF($B$7:$B$106,$B72)&gt;1,"NO TEKRARI",IF(COUNTIF($C$7:$C$106,$C72)&gt;1,"UNVAN TEKRARI",IF($D72="","DURUM EKSİK",IF(AND($J72&gt;0,$K72=""),"DEVİR TARİHİ EKSİK","UYGUN"))))))</f>
        <v/>
      </c>
      <c r="Q72" s="6" t="n"/>
      <c r="R72" s="6" t="n"/>
    </row>
    <row r="73">
      <c r="A73" s="6" t="n"/>
      <c r="B73" s="108" t="inlineStr">
        <is>
          <t>M067</t>
        </is>
      </c>
      <c r="C73" s="109" t="n"/>
      <c r="D73" s="108" t="n"/>
      <c r="E73" s="109" t="n"/>
      <c r="F73" s="109" t="n"/>
      <c r="G73" s="109" t="n"/>
      <c r="H73" s="108" t="n"/>
      <c r="I73" s="222" t="n"/>
      <c r="J73" s="223" t="n"/>
      <c r="K73" s="224" t="n"/>
      <c r="L73" s="109" t="n"/>
      <c r="M73" s="109" t="n"/>
      <c r="N73" s="108" t="n"/>
      <c r="O73" s="113">
        <f>IF($C73="","",IF(COUNTIFS(UCRETLER!$B$7:$B$406,$B73,UCRETLER!$H$7:$H$406,"Aktif")&gt;0,"EVET","HAYIR"))</f>
        <v/>
      </c>
      <c r="P73" s="113">
        <f>IF($C73="","",IF($B73="","NO EKSİK",IF(COUNTIF($B$7:$B$106,$B73)&gt;1,"NO TEKRARI",IF(COUNTIF($C$7:$C$106,$C73)&gt;1,"UNVAN TEKRARI",IF($D73="","DURUM EKSİK",IF(AND($J73&gt;0,$K73=""),"DEVİR TARİHİ EKSİK","UYGUN"))))))</f>
        <v/>
      </c>
      <c r="Q73" s="6" t="n"/>
      <c r="R73" s="6" t="n"/>
    </row>
    <row r="74">
      <c r="A74" s="6" t="n"/>
      <c r="B74" s="108" t="inlineStr">
        <is>
          <t>M068</t>
        </is>
      </c>
      <c r="C74" s="109" t="n"/>
      <c r="D74" s="108" t="n"/>
      <c r="E74" s="109" t="n"/>
      <c r="F74" s="109" t="n"/>
      <c r="G74" s="109" t="n"/>
      <c r="H74" s="108" t="n"/>
      <c r="I74" s="222" t="n"/>
      <c r="J74" s="223" t="n"/>
      <c r="K74" s="224" t="n"/>
      <c r="L74" s="109" t="n"/>
      <c r="M74" s="109" t="n"/>
      <c r="N74" s="108" t="n"/>
      <c r="O74" s="113">
        <f>IF($C74="","",IF(COUNTIFS(UCRETLER!$B$7:$B$406,$B74,UCRETLER!$H$7:$H$406,"Aktif")&gt;0,"EVET","HAYIR"))</f>
        <v/>
      </c>
      <c r="P74" s="113">
        <f>IF($C74="","",IF($B74="","NO EKSİK",IF(COUNTIF($B$7:$B$106,$B74)&gt;1,"NO TEKRARI",IF(COUNTIF($C$7:$C$106,$C74)&gt;1,"UNVAN TEKRARI",IF($D74="","DURUM EKSİK",IF(AND($J74&gt;0,$K74=""),"DEVİR TARİHİ EKSİK","UYGUN"))))))</f>
        <v/>
      </c>
      <c r="Q74" s="6" t="n"/>
      <c r="R74" s="6" t="n"/>
    </row>
    <row r="75">
      <c r="A75" s="6" t="n"/>
      <c r="B75" s="108" t="inlineStr">
        <is>
          <t>M069</t>
        </is>
      </c>
      <c r="C75" s="109" t="n"/>
      <c r="D75" s="108" t="n"/>
      <c r="E75" s="109" t="n"/>
      <c r="F75" s="109" t="n"/>
      <c r="G75" s="109" t="n"/>
      <c r="H75" s="108" t="n"/>
      <c r="I75" s="222" t="n"/>
      <c r="J75" s="223" t="n"/>
      <c r="K75" s="224" t="n"/>
      <c r="L75" s="109" t="n"/>
      <c r="M75" s="109" t="n"/>
      <c r="N75" s="108" t="n"/>
      <c r="O75" s="113">
        <f>IF($C75="","",IF(COUNTIFS(UCRETLER!$B$7:$B$406,$B75,UCRETLER!$H$7:$H$406,"Aktif")&gt;0,"EVET","HAYIR"))</f>
        <v/>
      </c>
      <c r="P75" s="113">
        <f>IF($C75="","",IF($B75="","NO EKSİK",IF(COUNTIF($B$7:$B$106,$B75)&gt;1,"NO TEKRARI",IF(COUNTIF($C$7:$C$106,$C75)&gt;1,"UNVAN TEKRARI",IF($D75="","DURUM EKSİK",IF(AND($J75&gt;0,$K75=""),"DEVİR TARİHİ EKSİK","UYGUN"))))))</f>
        <v/>
      </c>
      <c r="Q75" s="6" t="n"/>
      <c r="R75" s="6" t="n"/>
    </row>
    <row r="76">
      <c r="A76" s="6" t="n"/>
      <c r="B76" s="108" t="inlineStr">
        <is>
          <t>M070</t>
        </is>
      </c>
      <c r="C76" s="109" t="n"/>
      <c r="D76" s="108" t="n"/>
      <c r="E76" s="109" t="n"/>
      <c r="F76" s="109" t="n"/>
      <c r="G76" s="109" t="n"/>
      <c r="H76" s="108" t="n"/>
      <c r="I76" s="222" t="n"/>
      <c r="J76" s="223" t="n"/>
      <c r="K76" s="224" t="n"/>
      <c r="L76" s="109" t="n"/>
      <c r="M76" s="109" t="n"/>
      <c r="N76" s="108" t="n"/>
      <c r="O76" s="113">
        <f>IF($C76="","",IF(COUNTIFS(UCRETLER!$B$7:$B$406,$B76,UCRETLER!$H$7:$H$406,"Aktif")&gt;0,"EVET","HAYIR"))</f>
        <v/>
      </c>
      <c r="P76" s="113">
        <f>IF($C76="","",IF($B76="","NO EKSİK",IF(COUNTIF($B$7:$B$106,$B76)&gt;1,"NO TEKRARI",IF(COUNTIF($C$7:$C$106,$C76)&gt;1,"UNVAN TEKRARI",IF($D76="","DURUM EKSİK",IF(AND($J76&gt;0,$K76=""),"DEVİR TARİHİ EKSİK","UYGUN"))))))</f>
        <v/>
      </c>
      <c r="Q76" s="6" t="n"/>
      <c r="R76" s="6" t="n"/>
    </row>
    <row r="77">
      <c r="A77" s="6" t="n"/>
      <c r="B77" s="108" t="inlineStr">
        <is>
          <t>M071</t>
        </is>
      </c>
      <c r="C77" s="109" t="n"/>
      <c r="D77" s="108" t="n"/>
      <c r="E77" s="109" t="n"/>
      <c r="F77" s="109" t="n"/>
      <c r="G77" s="109" t="n"/>
      <c r="H77" s="108" t="n"/>
      <c r="I77" s="222" t="n"/>
      <c r="J77" s="223" t="n"/>
      <c r="K77" s="224" t="n"/>
      <c r="L77" s="109" t="n"/>
      <c r="M77" s="109" t="n"/>
      <c r="N77" s="108" t="n"/>
      <c r="O77" s="113">
        <f>IF($C77="","",IF(COUNTIFS(UCRETLER!$B$7:$B$406,$B77,UCRETLER!$H$7:$H$406,"Aktif")&gt;0,"EVET","HAYIR"))</f>
        <v/>
      </c>
      <c r="P77" s="113">
        <f>IF($C77="","",IF($B77="","NO EKSİK",IF(COUNTIF($B$7:$B$106,$B77)&gt;1,"NO TEKRARI",IF(COUNTIF($C$7:$C$106,$C77)&gt;1,"UNVAN TEKRARI",IF($D77="","DURUM EKSİK",IF(AND($J77&gt;0,$K77=""),"DEVİR TARİHİ EKSİK","UYGUN"))))))</f>
        <v/>
      </c>
      <c r="Q77" s="6" t="n"/>
      <c r="R77" s="6" t="n"/>
    </row>
    <row r="78">
      <c r="A78" s="6" t="n"/>
      <c r="B78" s="108" t="inlineStr">
        <is>
          <t>M072</t>
        </is>
      </c>
      <c r="C78" s="109" t="n"/>
      <c r="D78" s="108" t="n"/>
      <c r="E78" s="109" t="n"/>
      <c r="F78" s="109" t="n"/>
      <c r="G78" s="109" t="n"/>
      <c r="H78" s="108" t="n"/>
      <c r="I78" s="222" t="n"/>
      <c r="J78" s="223" t="n"/>
      <c r="K78" s="224" t="n"/>
      <c r="L78" s="109" t="n"/>
      <c r="M78" s="109" t="n"/>
      <c r="N78" s="108" t="n"/>
      <c r="O78" s="113">
        <f>IF($C78="","",IF(COUNTIFS(UCRETLER!$B$7:$B$406,$B78,UCRETLER!$H$7:$H$406,"Aktif")&gt;0,"EVET","HAYIR"))</f>
        <v/>
      </c>
      <c r="P78" s="113">
        <f>IF($C78="","",IF($B78="","NO EKSİK",IF(COUNTIF($B$7:$B$106,$B78)&gt;1,"NO TEKRARI",IF(COUNTIF($C$7:$C$106,$C78)&gt;1,"UNVAN TEKRARI",IF($D78="","DURUM EKSİK",IF(AND($J78&gt;0,$K78=""),"DEVİR TARİHİ EKSİK","UYGUN"))))))</f>
        <v/>
      </c>
      <c r="Q78" s="6" t="n"/>
      <c r="R78" s="6" t="n"/>
    </row>
    <row r="79">
      <c r="A79" s="6" t="n"/>
      <c r="B79" s="108" t="inlineStr">
        <is>
          <t>M073</t>
        </is>
      </c>
      <c r="C79" s="109" t="n"/>
      <c r="D79" s="108" t="n"/>
      <c r="E79" s="109" t="n"/>
      <c r="F79" s="109" t="n"/>
      <c r="G79" s="109" t="n"/>
      <c r="H79" s="108" t="n"/>
      <c r="I79" s="222" t="n"/>
      <c r="J79" s="223" t="n"/>
      <c r="K79" s="224" t="n"/>
      <c r="L79" s="109" t="n"/>
      <c r="M79" s="109" t="n"/>
      <c r="N79" s="108" t="n"/>
      <c r="O79" s="113">
        <f>IF($C79="","",IF(COUNTIFS(UCRETLER!$B$7:$B$406,$B79,UCRETLER!$H$7:$H$406,"Aktif")&gt;0,"EVET","HAYIR"))</f>
        <v/>
      </c>
      <c r="P79" s="113">
        <f>IF($C79="","",IF($B79="","NO EKSİK",IF(COUNTIF($B$7:$B$106,$B79)&gt;1,"NO TEKRARI",IF(COUNTIF($C$7:$C$106,$C79)&gt;1,"UNVAN TEKRARI",IF($D79="","DURUM EKSİK",IF(AND($J79&gt;0,$K79=""),"DEVİR TARİHİ EKSİK","UYGUN"))))))</f>
        <v/>
      </c>
      <c r="Q79" s="6" t="n"/>
      <c r="R79" s="6" t="n"/>
    </row>
    <row r="80">
      <c r="A80" s="6" t="n"/>
      <c r="B80" s="108" t="inlineStr">
        <is>
          <t>M074</t>
        </is>
      </c>
      <c r="C80" s="109" t="n"/>
      <c r="D80" s="108" t="n"/>
      <c r="E80" s="109" t="n"/>
      <c r="F80" s="109" t="n"/>
      <c r="G80" s="109" t="n"/>
      <c r="H80" s="108" t="n"/>
      <c r="I80" s="222" t="n"/>
      <c r="J80" s="223" t="n"/>
      <c r="K80" s="224" t="n"/>
      <c r="L80" s="109" t="n"/>
      <c r="M80" s="109" t="n"/>
      <c r="N80" s="108" t="n"/>
      <c r="O80" s="113">
        <f>IF($C80="","",IF(COUNTIFS(UCRETLER!$B$7:$B$406,$B80,UCRETLER!$H$7:$H$406,"Aktif")&gt;0,"EVET","HAYIR"))</f>
        <v/>
      </c>
      <c r="P80" s="113">
        <f>IF($C80="","",IF($B80="","NO EKSİK",IF(COUNTIF($B$7:$B$106,$B80)&gt;1,"NO TEKRARI",IF(COUNTIF($C$7:$C$106,$C80)&gt;1,"UNVAN TEKRARI",IF($D80="","DURUM EKSİK",IF(AND($J80&gt;0,$K80=""),"DEVİR TARİHİ EKSİK","UYGUN"))))))</f>
        <v/>
      </c>
      <c r="Q80" s="6" t="n"/>
      <c r="R80" s="6" t="n"/>
    </row>
    <row r="81">
      <c r="A81" s="6" t="n"/>
      <c r="B81" s="108" t="inlineStr">
        <is>
          <t>M075</t>
        </is>
      </c>
      <c r="C81" s="109" t="n"/>
      <c r="D81" s="108" t="n"/>
      <c r="E81" s="109" t="n"/>
      <c r="F81" s="109" t="n"/>
      <c r="G81" s="109" t="n"/>
      <c r="H81" s="108" t="n"/>
      <c r="I81" s="222" t="n"/>
      <c r="J81" s="223" t="n"/>
      <c r="K81" s="224" t="n"/>
      <c r="L81" s="109" t="n"/>
      <c r="M81" s="109" t="n"/>
      <c r="N81" s="108" t="n"/>
      <c r="O81" s="113">
        <f>IF($C81="","",IF(COUNTIFS(UCRETLER!$B$7:$B$406,$B81,UCRETLER!$H$7:$H$406,"Aktif")&gt;0,"EVET","HAYIR"))</f>
        <v/>
      </c>
      <c r="P81" s="113">
        <f>IF($C81="","",IF($B81="","NO EKSİK",IF(COUNTIF($B$7:$B$106,$B81)&gt;1,"NO TEKRARI",IF(COUNTIF($C$7:$C$106,$C81)&gt;1,"UNVAN TEKRARI",IF($D81="","DURUM EKSİK",IF(AND($J81&gt;0,$K81=""),"DEVİR TARİHİ EKSİK","UYGUN"))))))</f>
        <v/>
      </c>
      <c r="Q81" s="6" t="n"/>
      <c r="R81" s="6" t="n"/>
    </row>
    <row r="82">
      <c r="A82" s="6" t="n"/>
      <c r="B82" s="108" t="inlineStr">
        <is>
          <t>M076</t>
        </is>
      </c>
      <c r="C82" s="109" t="n"/>
      <c r="D82" s="108" t="n"/>
      <c r="E82" s="109" t="n"/>
      <c r="F82" s="109" t="n"/>
      <c r="G82" s="109" t="n"/>
      <c r="H82" s="108" t="n"/>
      <c r="I82" s="222" t="n"/>
      <c r="J82" s="223" t="n"/>
      <c r="K82" s="224" t="n"/>
      <c r="L82" s="109" t="n"/>
      <c r="M82" s="109" t="n"/>
      <c r="N82" s="108" t="n"/>
      <c r="O82" s="113">
        <f>IF($C82="","",IF(COUNTIFS(UCRETLER!$B$7:$B$406,$B82,UCRETLER!$H$7:$H$406,"Aktif")&gt;0,"EVET","HAYIR"))</f>
        <v/>
      </c>
      <c r="P82" s="113">
        <f>IF($C82="","",IF($B82="","NO EKSİK",IF(COUNTIF($B$7:$B$106,$B82)&gt;1,"NO TEKRARI",IF(COUNTIF($C$7:$C$106,$C82)&gt;1,"UNVAN TEKRARI",IF($D82="","DURUM EKSİK",IF(AND($J82&gt;0,$K82=""),"DEVİR TARİHİ EKSİK","UYGUN"))))))</f>
        <v/>
      </c>
      <c r="Q82" s="6" t="n"/>
      <c r="R82" s="6" t="n"/>
    </row>
    <row r="83">
      <c r="A83" s="6" t="n"/>
      <c r="B83" s="108" t="inlineStr">
        <is>
          <t>M077</t>
        </is>
      </c>
      <c r="C83" s="109" t="n"/>
      <c r="D83" s="108" t="n"/>
      <c r="E83" s="109" t="n"/>
      <c r="F83" s="109" t="n"/>
      <c r="G83" s="109" t="n"/>
      <c r="H83" s="108" t="n"/>
      <c r="I83" s="222" t="n"/>
      <c r="J83" s="223" t="n"/>
      <c r="K83" s="224" t="n"/>
      <c r="L83" s="109" t="n"/>
      <c r="M83" s="109" t="n"/>
      <c r="N83" s="108" t="n"/>
      <c r="O83" s="113">
        <f>IF($C83="","",IF(COUNTIFS(UCRETLER!$B$7:$B$406,$B83,UCRETLER!$H$7:$H$406,"Aktif")&gt;0,"EVET","HAYIR"))</f>
        <v/>
      </c>
      <c r="P83" s="113">
        <f>IF($C83="","",IF($B83="","NO EKSİK",IF(COUNTIF($B$7:$B$106,$B83)&gt;1,"NO TEKRARI",IF(COUNTIF($C$7:$C$106,$C83)&gt;1,"UNVAN TEKRARI",IF($D83="","DURUM EKSİK",IF(AND($J83&gt;0,$K83=""),"DEVİR TARİHİ EKSİK","UYGUN"))))))</f>
        <v/>
      </c>
      <c r="Q83" s="6" t="n"/>
      <c r="R83" s="6" t="n"/>
    </row>
    <row r="84">
      <c r="A84" s="6" t="n"/>
      <c r="B84" s="108" t="inlineStr">
        <is>
          <t>M078</t>
        </is>
      </c>
      <c r="C84" s="109" t="n"/>
      <c r="D84" s="108" t="n"/>
      <c r="E84" s="109" t="n"/>
      <c r="F84" s="109" t="n"/>
      <c r="G84" s="109" t="n"/>
      <c r="H84" s="108" t="n"/>
      <c r="I84" s="222" t="n"/>
      <c r="J84" s="223" t="n"/>
      <c r="K84" s="224" t="n"/>
      <c r="L84" s="109" t="n"/>
      <c r="M84" s="109" t="n"/>
      <c r="N84" s="108" t="n"/>
      <c r="O84" s="113">
        <f>IF($C84="","",IF(COUNTIFS(UCRETLER!$B$7:$B$406,$B84,UCRETLER!$H$7:$H$406,"Aktif")&gt;0,"EVET","HAYIR"))</f>
        <v/>
      </c>
      <c r="P84" s="113">
        <f>IF($C84="","",IF($B84="","NO EKSİK",IF(COUNTIF($B$7:$B$106,$B84)&gt;1,"NO TEKRARI",IF(COUNTIF($C$7:$C$106,$C84)&gt;1,"UNVAN TEKRARI",IF($D84="","DURUM EKSİK",IF(AND($J84&gt;0,$K84=""),"DEVİR TARİHİ EKSİK","UYGUN"))))))</f>
        <v/>
      </c>
      <c r="Q84" s="6" t="n"/>
      <c r="R84" s="6" t="n"/>
    </row>
    <row r="85">
      <c r="A85" s="6" t="n"/>
      <c r="B85" s="108" t="inlineStr">
        <is>
          <t>M079</t>
        </is>
      </c>
      <c r="C85" s="109" t="n"/>
      <c r="D85" s="108" t="n"/>
      <c r="E85" s="109" t="n"/>
      <c r="F85" s="109" t="n"/>
      <c r="G85" s="109" t="n"/>
      <c r="H85" s="108" t="n"/>
      <c r="I85" s="222" t="n"/>
      <c r="J85" s="223" t="n"/>
      <c r="K85" s="224" t="n"/>
      <c r="L85" s="109" t="n"/>
      <c r="M85" s="109" t="n"/>
      <c r="N85" s="108" t="n"/>
      <c r="O85" s="113">
        <f>IF($C85="","",IF(COUNTIFS(UCRETLER!$B$7:$B$406,$B85,UCRETLER!$H$7:$H$406,"Aktif")&gt;0,"EVET","HAYIR"))</f>
        <v/>
      </c>
      <c r="P85" s="113">
        <f>IF($C85="","",IF($B85="","NO EKSİK",IF(COUNTIF($B$7:$B$106,$B85)&gt;1,"NO TEKRARI",IF(COUNTIF($C$7:$C$106,$C85)&gt;1,"UNVAN TEKRARI",IF($D85="","DURUM EKSİK",IF(AND($J85&gt;0,$K85=""),"DEVİR TARİHİ EKSİK","UYGUN"))))))</f>
        <v/>
      </c>
      <c r="Q85" s="6" t="n"/>
      <c r="R85" s="6" t="n"/>
    </row>
    <row r="86">
      <c r="A86" s="6" t="n"/>
      <c r="B86" s="108" t="inlineStr">
        <is>
          <t>M080</t>
        </is>
      </c>
      <c r="C86" s="109" t="n"/>
      <c r="D86" s="108" t="n"/>
      <c r="E86" s="109" t="n"/>
      <c r="F86" s="109" t="n"/>
      <c r="G86" s="109" t="n"/>
      <c r="H86" s="108" t="n"/>
      <c r="I86" s="222" t="n"/>
      <c r="J86" s="223" t="n"/>
      <c r="K86" s="224" t="n"/>
      <c r="L86" s="109" t="n"/>
      <c r="M86" s="109" t="n"/>
      <c r="N86" s="108" t="n"/>
      <c r="O86" s="113">
        <f>IF($C86="","",IF(COUNTIFS(UCRETLER!$B$7:$B$406,$B86,UCRETLER!$H$7:$H$406,"Aktif")&gt;0,"EVET","HAYIR"))</f>
        <v/>
      </c>
      <c r="P86" s="113">
        <f>IF($C86="","",IF($B86="","NO EKSİK",IF(COUNTIF($B$7:$B$106,$B86)&gt;1,"NO TEKRARI",IF(COUNTIF($C$7:$C$106,$C86)&gt;1,"UNVAN TEKRARI",IF($D86="","DURUM EKSİK",IF(AND($J86&gt;0,$K86=""),"DEVİR TARİHİ EKSİK","UYGUN"))))))</f>
        <v/>
      </c>
      <c r="Q86" s="6" t="n"/>
      <c r="R86" s="6" t="n"/>
    </row>
    <row r="87">
      <c r="A87" s="6" t="n"/>
      <c r="B87" s="108" t="inlineStr">
        <is>
          <t>M081</t>
        </is>
      </c>
      <c r="C87" s="109" t="n"/>
      <c r="D87" s="108" t="n"/>
      <c r="E87" s="109" t="n"/>
      <c r="F87" s="109" t="n"/>
      <c r="G87" s="109" t="n"/>
      <c r="H87" s="108" t="n"/>
      <c r="I87" s="222" t="n"/>
      <c r="J87" s="223" t="n"/>
      <c r="K87" s="224" t="n"/>
      <c r="L87" s="109" t="n"/>
      <c r="M87" s="109" t="n"/>
      <c r="N87" s="108" t="n"/>
      <c r="O87" s="113">
        <f>IF($C87="","",IF(COUNTIFS(UCRETLER!$B$7:$B$406,$B87,UCRETLER!$H$7:$H$406,"Aktif")&gt;0,"EVET","HAYIR"))</f>
        <v/>
      </c>
      <c r="P87" s="113">
        <f>IF($C87="","",IF($B87="","NO EKSİK",IF(COUNTIF($B$7:$B$106,$B87)&gt;1,"NO TEKRARI",IF(COUNTIF($C$7:$C$106,$C87)&gt;1,"UNVAN TEKRARI",IF($D87="","DURUM EKSİK",IF(AND($J87&gt;0,$K87=""),"DEVİR TARİHİ EKSİK","UYGUN"))))))</f>
        <v/>
      </c>
      <c r="Q87" s="6" t="n"/>
      <c r="R87" s="6" t="n"/>
    </row>
    <row r="88">
      <c r="A88" s="6" t="n"/>
      <c r="B88" s="108" t="inlineStr">
        <is>
          <t>M082</t>
        </is>
      </c>
      <c r="C88" s="109" t="n"/>
      <c r="D88" s="108" t="n"/>
      <c r="E88" s="109" t="n"/>
      <c r="F88" s="109" t="n"/>
      <c r="G88" s="109" t="n"/>
      <c r="H88" s="108" t="n"/>
      <c r="I88" s="222" t="n"/>
      <c r="J88" s="223" t="n"/>
      <c r="K88" s="224" t="n"/>
      <c r="L88" s="109" t="n"/>
      <c r="M88" s="109" t="n"/>
      <c r="N88" s="108" t="n"/>
      <c r="O88" s="113">
        <f>IF($C88="","",IF(COUNTIFS(UCRETLER!$B$7:$B$406,$B88,UCRETLER!$H$7:$H$406,"Aktif")&gt;0,"EVET","HAYIR"))</f>
        <v/>
      </c>
      <c r="P88" s="113">
        <f>IF($C88="","",IF($B88="","NO EKSİK",IF(COUNTIF($B$7:$B$106,$B88)&gt;1,"NO TEKRARI",IF(COUNTIF($C$7:$C$106,$C88)&gt;1,"UNVAN TEKRARI",IF($D88="","DURUM EKSİK",IF(AND($J88&gt;0,$K88=""),"DEVİR TARİHİ EKSİK","UYGUN"))))))</f>
        <v/>
      </c>
      <c r="Q88" s="6" t="n"/>
      <c r="R88" s="6" t="n"/>
    </row>
    <row r="89">
      <c r="A89" s="6" t="n"/>
      <c r="B89" s="108" t="inlineStr">
        <is>
          <t>M083</t>
        </is>
      </c>
      <c r="C89" s="109" t="n"/>
      <c r="D89" s="108" t="n"/>
      <c r="E89" s="109" t="n"/>
      <c r="F89" s="109" t="n"/>
      <c r="G89" s="109" t="n"/>
      <c r="H89" s="108" t="n"/>
      <c r="I89" s="222" t="n"/>
      <c r="J89" s="223" t="n"/>
      <c r="K89" s="224" t="n"/>
      <c r="L89" s="109" t="n"/>
      <c r="M89" s="109" t="n"/>
      <c r="N89" s="108" t="n"/>
      <c r="O89" s="113">
        <f>IF($C89="","",IF(COUNTIFS(UCRETLER!$B$7:$B$406,$B89,UCRETLER!$H$7:$H$406,"Aktif")&gt;0,"EVET","HAYIR"))</f>
        <v/>
      </c>
      <c r="P89" s="113">
        <f>IF($C89="","",IF($B89="","NO EKSİK",IF(COUNTIF($B$7:$B$106,$B89)&gt;1,"NO TEKRARI",IF(COUNTIF($C$7:$C$106,$C89)&gt;1,"UNVAN TEKRARI",IF($D89="","DURUM EKSİK",IF(AND($J89&gt;0,$K89=""),"DEVİR TARİHİ EKSİK","UYGUN"))))))</f>
        <v/>
      </c>
      <c r="Q89" s="6" t="n"/>
      <c r="R89" s="6" t="n"/>
    </row>
    <row r="90">
      <c r="A90" s="6" t="n"/>
      <c r="B90" s="108" t="inlineStr">
        <is>
          <t>M084</t>
        </is>
      </c>
      <c r="C90" s="109" t="n"/>
      <c r="D90" s="108" t="n"/>
      <c r="E90" s="109" t="n"/>
      <c r="F90" s="109" t="n"/>
      <c r="G90" s="109" t="n"/>
      <c r="H90" s="108" t="n"/>
      <c r="I90" s="222" t="n"/>
      <c r="J90" s="223" t="n"/>
      <c r="K90" s="224" t="n"/>
      <c r="L90" s="109" t="n"/>
      <c r="M90" s="109" t="n"/>
      <c r="N90" s="108" t="n"/>
      <c r="O90" s="113">
        <f>IF($C90="","",IF(COUNTIFS(UCRETLER!$B$7:$B$406,$B90,UCRETLER!$H$7:$H$406,"Aktif")&gt;0,"EVET","HAYIR"))</f>
        <v/>
      </c>
      <c r="P90" s="113">
        <f>IF($C90="","",IF($B90="","NO EKSİK",IF(COUNTIF($B$7:$B$106,$B90)&gt;1,"NO TEKRARI",IF(COUNTIF($C$7:$C$106,$C90)&gt;1,"UNVAN TEKRARI",IF($D90="","DURUM EKSİK",IF(AND($J90&gt;0,$K90=""),"DEVİR TARİHİ EKSİK","UYGUN"))))))</f>
        <v/>
      </c>
      <c r="Q90" s="6" t="n"/>
      <c r="R90" s="6" t="n"/>
    </row>
    <row r="91">
      <c r="A91" s="6" t="n"/>
      <c r="B91" s="108" t="inlineStr">
        <is>
          <t>M085</t>
        </is>
      </c>
      <c r="C91" s="109" t="n"/>
      <c r="D91" s="108" t="n"/>
      <c r="E91" s="109" t="n"/>
      <c r="F91" s="109" t="n"/>
      <c r="G91" s="109" t="n"/>
      <c r="H91" s="108" t="n"/>
      <c r="I91" s="222" t="n"/>
      <c r="J91" s="223" t="n"/>
      <c r="K91" s="224" t="n"/>
      <c r="L91" s="109" t="n"/>
      <c r="M91" s="109" t="n"/>
      <c r="N91" s="108" t="n"/>
      <c r="O91" s="113">
        <f>IF($C91="","",IF(COUNTIFS(UCRETLER!$B$7:$B$406,$B91,UCRETLER!$H$7:$H$406,"Aktif")&gt;0,"EVET","HAYIR"))</f>
        <v/>
      </c>
      <c r="P91" s="113">
        <f>IF($C91="","",IF($B91="","NO EKSİK",IF(COUNTIF($B$7:$B$106,$B91)&gt;1,"NO TEKRARI",IF(COUNTIF($C$7:$C$106,$C91)&gt;1,"UNVAN TEKRARI",IF($D91="","DURUM EKSİK",IF(AND($J91&gt;0,$K91=""),"DEVİR TARİHİ EKSİK","UYGUN"))))))</f>
        <v/>
      </c>
      <c r="Q91" s="6" t="n"/>
      <c r="R91" s="6" t="n"/>
    </row>
    <row r="92">
      <c r="A92" s="6" t="n"/>
      <c r="B92" s="108" t="inlineStr">
        <is>
          <t>M086</t>
        </is>
      </c>
      <c r="C92" s="109" t="n"/>
      <c r="D92" s="108" t="n"/>
      <c r="E92" s="109" t="n"/>
      <c r="F92" s="109" t="n"/>
      <c r="G92" s="109" t="n"/>
      <c r="H92" s="108" t="n"/>
      <c r="I92" s="222" t="n"/>
      <c r="J92" s="223" t="n"/>
      <c r="K92" s="224" t="n"/>
      <c r="L92" s="109" t="n"/>
      <c r="M92" s="109" t="n"/>
      <c r="N92" s="108" t="n"/>
      <c r="O92" s="113">
        <f>IF($C92="","",IF(COUNTIFS(UCRETLER!$B$7:$B$406,$B92,UCRETLER!$H$7:$H$406,"Aktif")&gt;0,"EVET","HAYIR"))</f>
        <v/>
      </c>
      <c r="P92" s="113">
        <f>IF($C92="","",IF($B92="","NO EKSİK",IF(COUNTIF($B$7:$B$106,$B92)&gt;1,"NO TEKRARI",IF(COUNTIF($C$7:$C$106,$C92)&gt;1,"UNVAN TEKRARI",IF($D92="","DURUM EKSİK",IF(AND($J92&gt;0,$K92=""),"DEVİR TARİHİ EKSİK","UYGUN"))))))</f>
        <v/>
      </c>
      <c r="Q92" s="6" t="n"/>
      <c r="R92" s="6" t="n"/>
    </row>
    <row r="93">
      <c r="A93" s="6" t="n"/>
      <c r="B93" s="108" t="inlineStr">
        <is>
          <t>M087</t>
        </is>
      </c>
      <c r="C93" s="109" t="n"/>
      <c r="D93" s="108" t="n"/>
      <c r="E93" s="109" t="n"/>
      <c r="F93" s="109" t="n"/>
      <c r="G93" s="109" t="n"/>
      <c r="H93" s="108" t="n"/>
      <c r="I93" s="222" t="n"/>
      <c r="J93" s="223" t="n"/>
      <c r="K93" s="224" t="n"/>
      <c r="L93" s="109" t="n"/>
      <c r="M93" s="109" t="n"/>
      <c r="N93" s="108" t="n"/>
      <c r="O93" s="113">
        <f>IF($C93="","",IF(COUNTIFS(UCRETLER!$B$7:$B$406,$B93,UCRETLER!$H$7:$H$406,"Aktif")&gt;0,"EVET","HAYIR"))</f>
        <v/>
      </c>
      <c r="P93" s="113">
        <f>IF($C93="","",IF($B93="","NO EKSİK",IF(COUNTIF($B$7:$B$106,$B93)&gt;1,"NO TEKRARI",IF(COUNTIF($C$7:$C$106,$C93)&gt;1,"UNVAN TEKRARI",IF($D93="","DURUM EKSİK",IF(AND($J93&gt;0,$K93=""),"DEVİR TARİHİ EKSİK","UYGUN"))))))</f>
        <v/>
      </c>
      <c r="Q93" s="6" t="n"/>
      <c r="R93" s="6" t="n"/>
    </row>
    <row r="94">
      <c r="A94" s="6" t="n"/>
      <c r="B94" s="108" t="inlineStr">
        <is>
          <t>M088</t>
        </is>
      </c>
      <c r="C94" s="109" t="n"/>
      <c r="D94" s="108" t="n"/>
      <c r="E94" s="109" t="n"/>
      <c r="F94" s="109" t="n"/>
      <c r="G94" s="109" t="n"/>
      <c r="H94" s="108" t="n"/>
      <c r="I94" s="222" t="n"/>
      <c r="J94" s="223" t="n"/>
      <c r="K94" s="224" t="n"/>
      <c r="L94" s="109" t="n"/>
      <c r="M94" s="109" t="n"/>
      <c r="N94" s="108" t="n"/>
      <c r="O94" s="113">
        <f>IF($C94="","",IF(COUNTIFS(UCRETLER!$B$7:$B$406,$B94,UCRETLER!$H$7:$H$406,"Aktif")&gt;0,"EVET","HAYIR"))</f>
        <v/>
      </c>
      <c r="P94" s="113">
        <f>IF($C94="","",IF($B94="","NO EKSİK",IF(COUNTIF($B$7:$B$106,$B94)&gt;1,"NO TEKRARI",IF(COUNTIF($C$7:$C$106,$C94)&gt;1,"UNVAN TEKRARI",IF($D94="","DURUM EKSİK",IF(AND($J94&gt;0,$K94=""),"DEVİR TARİHİ EKSİK","UYGUN"))))))</f>
        <v/>
      </c>
      <c r="Q94" s="6" t="n"/>
      <c r="R94" s="6" t="n"/>
    </row>
    <row r="95">
      <c r="A95" s="6" t="n"/>
      <c r="B95" s="108" t="inlineStr">
        <is>
          <t>M089</t>
        </is>
      </c>
      <c r="C95" s="109" t="n"/>
      <c r="D95" s="108" t="n"/>
      <c r="E95" s="109" t="n"/>
      <c r="F95" s="109" t="n"/>
      <c r="G95" s="109" t="n"/>
      <c r="H95" s="108" t="n"/>
      <c r="I95" s="222" t="n"/>
      <c r="J95" s="223" t="n"/>
      <c r="K95" s="224" t="n"/>
      <c r="L95" s="109" t="n"/>
      <c r="M95" s="109" t="n"/>
      <c r="N95" s="108" t="n"/>
      <c r="O95" s="113">
        <f>IF($C95="","",IF(COUNTIFS(UCRETLER!$B$7:$B$406,$B95,UCRETLER!$H$7:$H$406,"Aktif")&gt;0,"EVET","HAYIR"))</f>
        <v/>
      </c>
      <c r="P95" s="113">
        <f>IF($C95="","",IF($B95="","NO EKSİK",IF(COUNTIF($B$7:$B$106,$B95)&gt;1,"NO TEKRARI",IF(COUNTIF($C$7:$C$106,$C95)&gt;1,"UNVAN TEKRARI",IF($D95="","DURUM EKSİK",IF(AND($J95&gt;0,$K95=""),"DEVİR TARİHİ EKSİK","UYGUN"))))))</f>
        <v/>
      </c>
      <c r="Q95" s="6" t="n"/>
      <c r="R95" s="6" t="n"/>
    </row>
    <row r="96">
      <c r="A96" s="6" t="n"/>
      <c r="B96" s="108" t="inlineStr">
        <is>
          <t>M090</t>
        </is>
      </c>
      <c r="C96" s="109" t="n"/>
      <c r="D96" s="108" t="n"/>
      <c r="E96" s="109" t="n"/>
      <c r="F96" s="109" t="n"/>
      <c r="G96" s="109" t="n"/>
      <c r="H96" s="108" t="n"/>
      <c r="I96" s="222" t="n"/>
      <c r="J96" s="223" t="n"/>
      <c r="K96" s="224" t="n"/>
      <c r="L96" s="109" t="n"/>
      <c r="M96" s="109" t="n"/>
      <c r="N96" s="108" t="n"/>
      <c r="O96" s="113">
        <f>IF($C96="","",IF(COUNTIFS(UCRETLER!$B$7:$B$406,$B96,UCRETLER!$H$7:$H$406,"Aktif")&gt;0,"EVET","HAYIR"))</f>
        <v/>
      </c>
      <c r="P96" s="113">
        <f>IF($C96="","",IF($B96="","NO EKSİK",IF(COUNTIF($B$7:$B$106,$B96)&gt;1,"NO TEKRARI",IF(COUNTIF($C$7:$C$106,$C96)&gt;1,"UNVAN TEKRARI",IF($D96="","DURUM EKSİK",IF(AND($J96&gt;0,$K96=""),"DEVİR TARİHİ EKSİK","UYGUN"))))))</f>
        <v/>
      </c>
      <c r="Q96" s="6" t="n"/>
      <c r="R96" s="6" t="n"/>
    </row>
    <row r="97">
      <c r="A97" s="6" t="n"/>
      <c r="B97" s="108" t="inlineStr">
        <is>
          <t>M091</t>
        </is>
      </c>
      <c r="C97" s="109" t="n"/>
      <c r="D97" s="108" t="n"/>
      <c r="E97" s="109" t="n"/>
      <c r="F97" s="109" t="n"/>
      <c r="G97" s="109" t="n"/>
      <c r="H97" s="108" t="n"/>
      <c r="I97" s="222" t="n"/>
      <c r="J97" s="223" t="n"/>
      <c r="K97" s="224" t="n"/>
      <c r="L97" s="109" t="n"/>
      <c r="M97" s="109" t="n"/>
      <c r="N97" s="108" t="n"/>
      <c r="O97" s="113">
        <f>IF($C97="","",IF(COUNTIFS(UCRETLER!$B$7:$B$406,$B97,UCRETLER!$H$7:$H$406,"Aktif")&gt;0,"EVET","HAYIR"))</f>
        <v/>
      </c>
      <c r="P97" s="113">
        <f>IF($C97="","",IF($B97="","NO EKSİK",IF(COUNTIF($B$7:$B$106,$B97)&gt;1,"NO TEKRARI",IF(COUNTIF($C$7:$C$106,$C97)&gt;1,"UNVAN TEKRARI",IF($D97="","DURUM EKSİK",IF(AND($J97&gt;0,$K97=""),"DEVİR TARİHİ EKSİK","UYGUN"))))))</f>
        <v/>
      </c>
      <c r="Q97" s="6" t="n"/>
      <c r="R97" s="6" t="n"/>
    </row>
    <row r="98">
      <c r="A98" s="6" t="n"/>
      <c r="B98" s="108" t="inlineStr">
        <is>
          <t>M092</t>
        </is>
      </c>
      <c r="C98" s="109" t="n"/>
      <c r="D98" s="108" t="n"/>
      <c r="E98" s="109" t="n"/>
      <c r="F98" s="109" t="n"/>
      <c r="G98" s="109" t="n"/>
      <c r="H98" s="108" t="n"/>
      <c r="I98" s="222" t="n"/>
      <c r="J98" s="223" t="n"/>
      <c r="K98" s="224" t="n"/>
      <c r="L98" s="109" t="n"/>
      <c r="M98" s="109" t="n"/>
      <c r="N98" s="108" t="n"/>
      <c r="O98" s="113">
        <f>IF($C98="","",IF(COUNTIFS(UCRETLER!$B$7:$B$406,$B98,UCRETLER!$H$7:$H$406,"Aktif")&gt;0,"EVET","HAYIR"))</f>
        <v/>
      </c>
      <c r="P98" s="113">
        <f>IF($C98="","",IF($B98="","NO EKSİK",IF(COUNTIF($B$7:$B$106,$B98)&gt;1,"NO TEKRARI",IF(COUNTIF($C$7:$C$106,$C98)&gt;1,"UNVAN TEKRARI",IF($D98="","DURUM EKSİK",IF(AND($J98&gt;0,$K98=""),"DEVİR TARİHİ EKSİK","UYGUN"))))))</f>
        <v/>
      </c>
      <c r="Q98" s="6" t="n"/>
      <c r="R98" s="6" t="n"/>
    </row>
    <row r="99">
      <c r="A99" s="6" t="n"/>
      <c r="B99" s="108" t="inlineStr">
        <is>
          <t>M093</t>
        </is>
      </c>
      <c r="C99" s="109" t="n"/>
      <c r="D99" s="108" t="n"/>
      <c r="E99" s="109" t="n"/>
      <c r="F99" s="109" t="n"/>
      <c r="G99" s="109" t="n"/>
      <c r="H99" s="108" t="n"/>
      <c r="I99" s="222" t="n"/>
      <c r="J99" s="223" t="n"/>
      <c r="K99" s="224" t="n"/>
      <c r="L99" s="109" t="n"/>
      <c r="M99" s="109" t="n"/>
      <c r="N99" s="108" t="n"/>
      <c r="O99" s="113">
        <f>IF($C99="","",IF(COUNTIFS(UCRETLER!$B$7:$B$406,$B99,UCRETLER!$H$7:$H$406,"Aktif")&gt;0,"EVET","HAYIR"))</f>
        <v/>
      </c>
      <c r="P99" s="113">
        <f>IF($C99="","",IF($B99="","NO EKSİK",IF(COUNTIF($B$7:$B$106,$B99)&gt;1,"NO TEKRARI",IF(COUNTIF($C$7:$C$106,$C99)&gt;1,"UNVAN TEKRARI",IF($D99="","DURUM EKSİK",IF(AND($J99&gt;0,$K99=""),"DEVİR TARİHİ EKSİK","UYGUN"))))))</f>
        <v/>
      </c>
      <c r="Q99" s="6" t="n"/>
      <c r="R99" s="6" t="n"/>
    </row>
    <row r="100">
      <c r="A100" s="6" t="n"/>
      <c r="B100" s="108" t="inlineStr">
        <is>
          <t>M094</t>
        </is>
      </c>
      <c r="C100" s="109" t="n"/>
      <c r="D100" s="108" t="n"/>
      <c r="E100" s="109" t="n"/>
      <c r="F100" s="109" t="n"/>
      <c r="G100" s="109" t="n"/>
      <c r="H100" s="108" t="n"/>
      <c r="I100" s="222" t="n"/>
      <c r="J100" s="223" t="n"/>
      <c r="K100" s="224" t="n"/>
      <c r="L100" s="109" t="n"/>
      <c r="M100" s="109" t="n"/>
      <c r="N100" s="108" t="n"/>
      <c r="O100" s="113">
        <f>IF($C100="","",IF(COUNTIFS(UCRETLER!$B$7:$B$406,$B100,UCRETLER!$H$7:$H$406,"Aktif")&gt;0,"EVET","HAYIR"))</f>
        <v/>
      </c>
      <c r="P100" s="113">
        <f>IF($C100="","",IF($B100="","NO EKSİK",IF(COUNTIF($B$7:$B$106,$B100)&gt;1,"NO TEKRARI",IF(COUNTIF($C$7:$C$106,$C100)&gt;1,"UNVAN TEKRARI",IF($D100="","DURUM EKSİK",IF(AND($J100&gt;0,$K100=""),"DEVİR TARİHİ EKSİK","UYGUN"))))))</f>
        <v/>
      </c>
      <c r="Q100" s="6" t="n"/>
      <c r="R100" s="6" t="n"/>
    </row>
    <row r="101">
      <c r="A101" s="6" t="n"/>
      <c r="B101" s="108" t="inlineStr">
        <is>
          <t>M095</t>
        </is>
      </c>
      <c r="C101" s="109" t="n"/>
      <c r="D101" s="108" t="n"/>
      <c r="E101" s="109" t="n"/>
      <c r="F101" s="109" t="n"/>
      <c r="G101" s="109" t="n"/>
      <c r="H101" s="108" t="n"/>
      <c r="I101" s="222" t="n"/>
      <c r="J101" s="223" t="n"/>
      <c r="K101" s="224" t="n"/>
      <c r="L101" s="109" t="n"/>
      <c r="M101" s="109" t="n"/>
      <c r="N101" s="108" t="n"/>
      <c r="O101" s="113">
        <f>IF($C101="","",IF(COUNTIFS(UCRETLER!$B$7:$B$406,$B101,UCRETLER!$H$7:$H$406,"Aktif")&gt;0,"EVET","HAYIR"))</f>
        <v/>
      </c>
      <c r="P101" s="113">
        <f>IF($C101="","",IF($B101="","NO EKSİK",IF(COUNTIF($B$7:$B$106,$B101)&gt;1,"NO TEKRARI",IF(COUNTIF($C$7:$C$106,$C101)&gt;1,"UNVAN TEKRARI",IF($D101="","DURUM EKSİK",IF(AND($J101&gt;0,$K101=""),"DEVİR TARİHİ EKSİK","UYGUN"))))))</f>
        <v/>
      </c>
      <c r="Q101" s="6" t="n"/>
      <c r="R101" s="6" t="n"/>
    </row>
    <row r="102">
      <c r="A102" s="6" t="n"/>
      <c r="B102" s="108" t="inlineStr">
        <is>
          <t>M096</t>
        </is>
      </c>
      <c r="C102" s="109" t="n"/>
      <c r="D102" s="108" t="n"/>
      <c r="E102" s="109" t="n"/>
      <c r="F102" s="109" t="n"/>
      <c r="G102" s="109" t="n"/>
      <c r="H102" s="108" t="n"/>
      <c r="I102" s="222" t="n"/>
      <c r="J102" s="223" t="n"/>
      <c r="K102" s="224" t="n"/>
      <c r="L102" s="109" t="n"/>
      <c r="M102" s="109" t="n"/>
      <c r="N102" s="108" t="n"/>
      <c r="O102" s="113">
        <f>IF($C102="","",IF(COUNTIFS(UCRETLER!$B$7:$B$406,$B102,UCRETLER!$H$7:$H$406,"Aktif")&gt;0,"EVET","HAYIR"))</f>
        <v/>
      </c>
      <c r="P102" s="113">
        <f>IF($C102="","",IF($B102="","NO EKSİK",IF(COUNTIF($B$7:$B$106,$B102)&gt;1,"NO TEKRARI",IF(COUNTIF($C$7:$C$106,$C102)&gt;1,"UNVAN TEKRARI",IF($D102="","DURUM EKSİK",IF(AND($J102&gt;0,$K102=""),"DEVİR TARİHİ EKSİK","UYGUN"))))))</f>
        <v/>
      </c>
      <c r="Q102" s="6" t="n"/>
      <c r="R102" s="6" t="n"/>
    </row>
    <row r="103">
      <c r="A103" s="6" t="n"/>
      <c r="B103" s="108" t="inlineStr">
        <is>
          <t>M097</t>
        </is>
      </c>
      <c r="C103" s="109" t="n"/>
      <c r="D103" s="108" t="n"/>
      <c r="E103" s="109" t="n"/>
      <c r="F103" s="109" t="n"/>
      <c r="G103" s="109" t="n"/>
      <c r="H103" s="108" t="n"/>
      <c r="I103" s="222" t="n"/>
      <c r="J103" s="223" t="n"/>
      <c r="K103" s="224" t="n"/>
      <c r="L103" s="109" t="n"/>
      <c r="M103" s="109" t="n"/>
      <c r="N103" s="108" t="n"/>
      <c r="O103" s="113">
        <f>IF($C103="","",IF(COUNTIFS(UCRETLER!$B$7:$B$406,$B103,UCRETLER!$H$7:$H$406,"Aktif")&gt;0,"EVET","HAYIR"))</f>
        <v/>
      </c>
      <c r="P103" s="113">
        <f>IF($C103="","",IF($B103="","NO EKSİK",IF(COUNTIF($B$7:$B$106,$B103)&gt;1,"NO TEKRARI",IF(COUNTIF($C$7:$C$106,$C103)&gt;1,"UNVAN TEKRARI",IF($D103="","DURUM EKSİK",IF(AND($J103&gt;0,$K103=""),"DEVİR TARİHİ EKSİK","UYGUN"))))))</f>
        <v/>
      </c>
      <c r="Q103" s="6" t="n"/>
      <c r="R103" s="6" t="n"/>
    </row>
    <row r="104">
      <c r="A104" s="6" t="n"/>
      <c r="B104" s="108" t="inlineStr">
        <is>
          <t>M098</t>
        </is>
      </c>
      <c r="C104" s="109" t="n"/>
      <c r="D104" s="108" t="n"/>
      <c r="E104" s="109" t="n"/>
      <c r="F104" s="109" t="n"/>
      <c r="G104" s="109" t="n"/>
      <c r="H104" s="108" t="n"/>
      <c r="I104" s="222" t="n"/>
      <c r="J104" s="223" t="n"/>
      <c r="K104" s="224" t="n"/>
      <c r="L104" s="109" t="n"/>
      <c r="M104" s="109" t="n"/>
      <c r="N104" s="108" t="n"/>
      <c r="O104" s="113">
        <f>IF($C104="","",IF(COUNTIFS(UCRETLER!$B$7:$B$406,$B104,UCRETLER!$H$7:$H$406,"Aktif")&gt;0,"EVET","HAYIR"))</f>
        <v/>
      </c>
      <c r="P104" s="113">
        <f>IF($C104="","",IF($B104="","NO EKSİK",IF(COUNTIF($B$7:$B$106,$B104)&gt;1,"NO TEKRARI",IF(COUNTIF($C$7:$C$106,$C104)&gt;1,"UNVAN TEKRARI",IF($D104="","DURUM EKSİK",IF(AND($J104&gt;0,$K104=""),"DEVİR TARİHİ EKSİK","UYGUN"))))))</f>
        <v/>
      </c>
      <c r="Q104" s="6" t="n"/>
      <c r="R104" s="6" t="n"/>
    </row>
    <row r="105">
      <c r="A105" s="6" t="n"/>
      <c r="B105" s="108" t="inlineStr">
        <is>
          <t>M099</t>
        </is>
      </c>
      <c r="C105" s="109" t="n"/>
      <c r="D105" s="108" t="n"/>
      <c r="E105" s="109" t="n"/>
      <c r="F105" s="109" t="n"/>
      <c r="G105" s="109" t="n"/>
      <c r="H105" s="108" t="n"/>
      <c r="I105" s="222" t="n"/>
      <c r="J105" s="223" t="n"/>
      <c r="K105" s="224" t="n"/>
      <c r="L105" s="109" t="n"/>
      <c r="M105" s="109" t="n"/>
      <c r="N105" s="108" t="n"/>
      <c r="O105" s="113">
        <f>IF($C105="","",IF(COUNTIFS(UCRETLER!$B$7:$B$406,$B105,UCRETLER!$H$7:$H$406,"Aktif")&gt;0,"EVET","HAYIR"))</f>
        <v/>
      </c>
      <c r="P105" s="113">
        <f>IF($C105="","",IF($B105="","NO EKSİK",IF(COUNTIF($B$7:$B$106,$B105)&gt;1,"NO TEKRARI",IF(COUNTIF($C$7:$C$106,$C105)&gt;1,"UNVAN TEKRARI",IF($D105="","DURUM EKSİK",IF(AND($J105&gt;0,$K105=""),"DEVİR TARİHİ EKSİK","UYGUN"))))))</f>
        <v/>
      </c>
      <c r="Q105" s="6" t="n"/>
      <c r="R105" s="6" t="n"/>
    </row>
    <row r="106">
      <c r="A106" s="6" t="n"/>
      <c r="B106" s="108" t="inlineStr">
        <is>
          <t>M100</t>
        </is>
      </c>
      <c r="C106" s="109" t="n"/>
      <c r="D106" s="108" t="n"/>
      <c r="E106" s="109" t="n"/>
      <c r="F106" s="109" t="n"/>
      <c r="G106" s="109" t="n"/>
      <c r="H106" s="108" t="n"/>
      <c r="I106" s="222" t="n"/>
      <c r="J106" s="223" t="n"/>
      <c r="K106" s="224" t="n"/>
      <c r="L106" s="109" t="n"/>
      <c r="M106" s="109" t="n"/>
      <c r="N106" s="108" t="n"/>
      <c r="O106" s="113">
        <f>IF($C106="","",IF(COUNTIFS(UCRETLER!$B$7:$B$406,$B106,UCRETLER!$H$7:$H$406,"Aktif")&gt;0,"EVET","HAYIR"))</f>
        <v/>
      </c>
      <c r="P106" s="113">
        <f>IF($C106="","",IF($B106="","NO EKSİK",IF(COUNTIF($B$7:$B$106,$B106)&gt;1,"NO TEKRARI",IF(COUNTIF($C$7:$C$106,$C106)&gt;1,"UNVAN TEKRARI",IF($D106="","DURUM EKSİK",IF(AND($J106&gt;0,$K106=""),"DEVİR TARİHİ EKSİK","UYGUN"))))))</f>
        <v/>
      </c>
      <c r="Q106" s="6" t="n"/>
      <c r="R106" s="6" t="n"/>
    </row>
    <row r="107">
      <c r="A107" s="6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6" t="n"/>
      <c r="R107" s="6" t="n"/>
    </row>
    <row r="108">
      <c r="A108" s="6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6" t="n"/>
      <c r="R108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P106"/>
  <mergeCells count="2">
    <mergeCell ref="A1:P1"/>
    <mergeCell ref="A2:P2"/>
  </mergeCells>
  <conditionalFormatting sqref="P7:P106">
    <cfRule type="expression" priority="1" dxfId="3" stopIfTrue="1">
      <formula>EXACT($P7,"UYGUN")</formula>
    </cfRule>
    <cfRule type="expression" priority="2" dxfId="4" stopIfTrue="1">
      <formula>EXACT($P7,"DURUM EKSİK")</formula>
    </cfRule>
    <cfRule type="expression" priority="3" dxfId="4" stopIfTrue="1">
      <formula>EXACT($P7,"NO EKSİK")</formula>
    </cfRule>
    <cfRule type="expression" priority="4" dxfId="5" stopIfTrue="1">
      <formula>EXACT($P7,"NO TEKRARI")</formula>
    </cfRule>
    <cfRule type="expression" priority="5" dxfId="5" stopIfTrue="1">
      <formula>EXACT($P7,"UNVAN TEKRARI")</formula>
    </cfRule>
    <cfRule type="expression" priority="6" dxfId="4" stopIfTrue="1">
      <formula>EXACT($P7,"DEVİR TARİHİ EKSİK")</formula>
    </cfRule>
  </conditionalFormatting>
  <conditionalFormatting sqref="O7:O106">
    <cfRule type="expression" priority="7" dxfId="3" stopIfTrue="1">
      <formula>EXACT($O7,"EVET")</formula>
    </cfRule>
    <cfRule type="expression" priority="8" dxfId="4" stopIfTrue="1">
      <formula>EXACT($O7,"HAYIR")</formula>
    </cfRule>
  </conditionalFormatting>
  <dataValidations count="3">
    <dataValidation sqref="D7:D106" showDropDown="0" showInputMessage="0" showErrorMessage="1" allowBlank="1" errorTitle="Geçersiz durum" error="Listeden seçin." promptTitle="Geçersiz durum" prompt="Listeden seçin." type="list">
      <formula1>"Aktif,Beklemede,Pasif"</formula1>
    </dataValidation>
    <dataValidation sqref="H7:H106" showDropDown="0" showInputMessage="0" showErrorMessage="1" allowBlank="1" errorTitle="Geçersiz ödeme şekli" error="Listeden seçin." promptTitle="Geçersiz ödeme şekli" prompt="Listeden seçin." type="list">
      <formula1>"Nakit,Havale/EFT,Kredi Kartı,Çek,Mahsup"</formula1>
    </dataValidation>
    <dataValidation sqref="N7:N106" showDropDown="0" showInputMessage="0" showErrorMessage="1" allowBlank="1" errorTitle="Geçersiz değer" error="Listeden seçin." promptTitle="Geçersiz değer" prompt="Listeden seçin." type="list">
      <formula1>"Doğrulandı,Eksik,Ücret doğrulanmalı"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6A4C93"/>
    <outlinePr summaryBelow="1" summaryRight="1"/>
    <pageSetUpPr fitToPage="1"/>
  </sheetPr>
  <dimension ref="A1:S40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30" customWidth="1" min="3" max="3"/>
    <col width="16" customWidth="1" min="4" max="4"/>
    <col width="16" customWidth="1" min="5" max="5"/>
    <col width="15" customWidth="1" min="6" max="6"/>
    <col width="15" customWidth="1" min="7" max="7"/>
    <col width="13" customWidth="1" min="8" max="8"/>
    <col width="16" customWidth="1" min="9" max="9"/>
    <col width="15" customWidth="1" min="10" max="10"/>
    <col width="15" customWidth="1" min="11" max="11"/>
    <col width="15" customWidth="1" min="12" max="12"/>
    <col width="13" customWidth="1" min="13" max="13"/>
    <col width="17" customWidth="1" min="14" max="14"/>
    <col width="15" customWidth="1" min="15" max="15"/>
    <col width="26" customWidth="1" min="16" max="16"/>
    <col width="2.4" customWidth="1" min="17" max="17"/>
    <col width="2.4" customWidth="1" min="18" max="18"/>
    <col hidden="1" width="13" customWidth="1" min="19" max="19"/>
  </cols>
  <sheetData>
    <row r="1" ht="38" customHeight="1">
      <c r="A1" s="258" t="inlineStr">
        <is>
          <t>KILIÇ MUHASEBE   │   ÜCRET DÖNEMLERİ  │  HAFTALIK VE AYLIK TAHAKKUK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45" t="n"/>
      <c r="R1" s="45" t="n"/>
      <c r="S1" s="3" t="n"/>
    </row>
    <row r="2" ht="22" customHeight="1">
      <c r="A2" s="4" t="inlineStr">
        <is>
          <t>Ücret değişinde eski dönemi kapat, yeni satır aç │ Geçmiş tahakkuk asla bozulmaz</t>
        </is>
      </c>
      <c r="Q2" s="46" t="n"/>
      <c r="R2" s="46" t="n"/>
      <c r="S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3" t="n"/>
    </row>
    <row r="4" ht="20" customHeight="1">
      <c r="A4" s="6" t="n"/>
      <c r="B4" s="47">
        <f>HYPERLINK("#PANO!A1","←  PANO")</f>
        <v/>
      </c>
      <c r="C4" s="6" t="n"/>
      <c r="D4" s="99">
        <f>HYPERLINK("#MUSTERILER!A1","Müşteriler")</f>
        <v/>
      </c>
      <c r="E4" s="6" t="n"/>
      <c r="F4" s="99">
        <f>HYPERLINK("#MUSTERI_360!A1","Müşteri 360")</f>
        <v/>
      </c>
      <c r="G4" s="6" t="n"/>
      <c r="H4" s="100" t="inlineStr">
        <is>
          <t>Sarı hücreler veri girişidir. Beyaz hücreler sistem tarafından hesaplanır ve kilitlidir. Başlangıç tarihi serbesttir: haftalık modelde ilk tahakkuk bu tarihten sonraki ilk tahakkuk gününde, aylık modelde ayın son gününde oluşur.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3" t="n"/>
    </row>
    <row r="5" ht="26" customHeight="1">
      <c r="A5" s="6" t="n"/>
      <c r="B5" s="101" t="n"/>
      <c r="C5" s="102" t="inlineStr">
        <is>
          <t>TOPLAM  │  Aktif haftalık + aylık tahakkuk ve oluşan ücret</t>
        </is>
      </c>
      <c r="D5" s="101" t="n"/>
      <c r="E5" s="101" t="n"/>
      <c r="F5" s="101" t="n"/>
      <c r="G5" s="221">
        <f>SUMIFS($G$7:$G$406,$H$7:$H$406,"Aktif")</f>
        <v/>
      </c>
      <c r="H5" s="101" t="n"/>
      <c r="I5" s="221">
        <f>SUM($I$7:$I$406)</f>
        <v/>
      </c>
      <c r="J5" s="101" t="n"/>
      <c r="K5" s="101" t="n"/>
      <c r="L5" s="101" t="n"/>
      <c r="M5" s="101" t="n"/>
      <c r="N5" s="101" t="n"/>
      <c r="O5" s="101" t="n"/>
      <c r="P5" s="101" t="n"/>
      <c r="Q5" s="6" t="n"/>
      <c r="R5" s="6" t="n"/>
      <c r="S5" s="3" t="n"/>
    </row>
    <row r="6" ht="40" customHeight="1">
      <c r="A6" s="6" t="n"/>
      <c r="B6" s="105" t="inlineStr">
        <is>
          <t>Müşteri No</t>
        </is>
      </c>
      <c r="C6" s="106" t="inlineStr">
        <is>
          <t>Müşteri  (yazın veya seçin)</t>
        </is>
      </c>
      <c r="D6" s="105" t="inlineStr">
        <is>
          <t>Ücret Başlangıç Tarihi</t>
        </is>
      </c>
      <c r="E6" s="105" t="inlineStr">
        <is>
          <t>Ücret Bitiş Tarihi</t>
        </is>
      </c>
      <c r="F6" s="105" t="inlineStr">
        <is>
          <t>Tahakkuk Modeli</t>
        </is>
      </c>
      <c r="G6" s="107" t="inlineStr">
        <is>
          <t>Ücret Tutarı</t>
        </is>
      </c>
      <c r="H6" s="105" t="inlineStr">
        <is>
          <t>Dönem Durumu</t>
        </is>
      </c>
      <c r="I6" s="107" t="inlineStr">
        <is>
          <t>Bugüne Kadar Oluşan</t>
        </is>
      </c>
      <c r="J6" s="107" t="inlineStr">
        <is>
          <t>8 Gün Öncesine Kadar</t>
        </is>
      </c>
      <c r="K6" s="107" t="inlineStr">
        <is>
          <t>15 Gün Öncesine Kadar</t>
        </is>
      </c>
      <c r="L6" s="107" t="inlineStr">
        <is>
          <t>29 Gün Öncesine Kadar</t>
        </is>
      </c>
      <c r="M6" s="105" t="inlineStr">
        <is>
          <t>Oluşan Dönem</t>
        </is>
      </c>
      <c r="N6" s="105" t="inlineStr">
        <is>
          <t>Sistem Kontrolü</t>
        </is>
      </c>
      <c r="O6" s="105" t="inlineStr">
        <is>
          <t>İlk Tahakkuk Tarihi</t>
        </is>
      </c>
      <c r="P6" s="106" t="inlineStr">
        <is>
          <t>Not</t>
        </is>
      </c>
      <c r="Q6" s="6" t="n"/>
      <c r="R6" s="6" t="n"/>
      <c r="S6" s="3" t="n"/>
    </row>
    <row r="7">
      <c r="A7" s="6" t="n"/>
      <c r="B7" s="113">
        <f>IF($C7="","",IFERROR(INDEX(MUSTERILER!$B$7:$B$106,MATCH($C7,MUSTERILER!$C$7:$C$106,0)),IFERROR(INDEX(MUSTERILER!$B$7:$B$106,MATCH($C7,MUSTERILER!$B$7:$B$106,0)),IFERROR(INDEX(MUSTERILER!$B$7:$B$106,MATCH($C7&amp;"*",MUSTERILER!$C$7:$C$106,0)),"TANIMSIZ MÜŞTERİ"))))</f>
        <v/>
      </c>
      <c r="C7" s="109" t="inlineStr">
        <is>
          <t>ANKARA HAVANA LTD.ŞTİ.</t>
        </is>
      </c>
      <c r="D7" s="225" t="n">
        <v>46023</v>
      </c>
      <c r="E7" s="225" t="n"/>
      <c r="F7" s="108" t="inlineStr">
        <is>
          <t>Haftalık</t>
        </is>
      </c>
      <c r="G7" s="226" t="n">
        <v>4000</v>
      </c>
      <c r="H7" s="108" t="inlineStr">
        <is>
          <t>Aktif</t>
        </is>
      </c>
      <c r="I7" s="227">
        <f>IF(OR($C7="",$D7="",$G7="",$F7=""),0,$G7*IF($F7="Aylık",MAX(0,(YEAR(MIN(IF($E7="",TODAY(),$E7),TODAY()))-YEAR($D7))*12+MONTH(MIN(IF($E7="",TODAY(),$E7),TODAY()))-MONTH($D7)+IF(MIN(IF($E7="",TODAY(),$E7),TODAY())&gt;=EOMONTH(MIN(IF($E7="",TODAY(),$E7),TODAY()),0),1,0)),MAX(0,INT((MIN(IF($E7="",TODAY(),$E7),TODAY())-($D7+MOD(SISTEM!$F$8-WEEKDAY($D7,2),7)))/7)+1)))</f>
        <v/>
      </c>
      <c r="J7" s="227">
        <f>IF(OR($C7="",$D7="",$G7="",$F7=""),0,$G7*IF($F7="Aylık",MAX(0,(YEAR(MIN(IF($E7="",TODAY()-8,$E7),TODAY()-8))-YEAR($D7))*12+MONTH(MIN(IF($E7="",TODAY()-8,$E7),TODAY()-8))-MONTH($D7)+IF(MIN(IF($E7="",TODAY()-8,$E7),TODAY()-8)&gt;=EOMONTH(MIN(IF($E7="",TODAY()-8,$E7),TODAY()-8),0),1,0)),MAX(0,INT((MIN(IF($E7="",TODAY()-8,$E7),TODAY()-8)-($D7+MOD(SISTEM!$F$8-WEEKDAY($D7,2),7)))/7)+1)))</f>
        <v/>
      </c>
      <c r="K7" s="227">
        <f>IF(OR($C7="",$D7="",$G7="",$F7=""),0,$G7*IF($F7="Aylık",MAX(0,(YEAR(MIN(IF($E7="",TODAY()-15,$E7),TODAY()-15))-YEAR($D7))*12+MONTH(MIN(IF($E7="",TODAY()-15,$E7),TODAY()-15))-MONTH($D7)+IF(MIN(IF($E7="",TODAY()-15,$E7),TODAY()-15)&gt;=EOMONTH(MIN(IF($E7="",TODAY()-15,$E7),TODAY()-15),0),1,0)),MAX(0,INT((MIN(IF($E7="",TODAY()-15,$E7),TODAY()-15)-($D7+MOD(SISTEM!$F$8-WEEKDAY($D7,2),7)))/7)+1)))</f>
        <v/>
      </c>
      <c r="L7" s="227">
        <f>IF(OR($C7="",$D7="",$G7="",$F7=""),0,$G7*IF($F7="Aylık",MAX(0,(YEAR(MIN(IF($E7="",TODAY()-29,$E7),TODAY()-29))-YEAR($D7))*12+MONTH(MIN(IF($E7="",TODAY()-29,$E7),TODAY()-29))-MONTH($D7)+IF(MIN(IF($E7="",TODAY()-29,$E7),TODAY()-29)&gt;=EOMONTH(MIN(IF($E7="",TODAY()-29,$E7),TODAY()-29),0),1,0)),MAX(0,INT((MIN(IF($E7="",TODAY()-29,$E7),TODAY()-29)-($D7+MOD(SISTEM!$F$8-WEEKDAY($D7,2),7)))/7)+1)))</f>
        <v/>
      </c>
      <c r="M7" s="228">
        <f>IF($G7&gt;0,$I7/$G7,0)</f>
        <v/>
      </c>
      <c r="N7" s="113">
        <f>IF($C7="","",IF($B7="TANIMSIZ MÜŞTERİ","TANIMSIZ MÜŞTERİ",IF($F7="","MODEL SEÇİN",IF(OR($D7="",$G7&lt;=0),"EKSİK",IF(AND($E7&lt;&gt;"",$E7&lt;$D7),"TARİH HATASI",IF($H7="Pasif","KAPALI DÖNEM","UYGUN"))))))</f>
        <v/>
      </c>
      <c r="O7" s="229">
        <f>IF(OR($C7="",$D7="",$F7=""),"",IF($F7="Aylık",EOMONTH($D7,0),($D7+MOD(SISTEM!$F$8-WEEKDAY($D7,2),7))))</f>
        <v/>
      </c>
      <c r="P7" s="109" t="inlineStr">
        <is>
          <t>Mevcut dosyadan aktarıldı</t>
        </is>
      </c>
      <c r="Q7" s="6" t="n"/>
      <c r="R7" s="6" t="n"/>
      <c r="S7" s="3">
        <f>IF($B7="","",$B7&amp;"|"&amp;COUNTIFS($B$7:$B7,$B7))</f>
        <v/>
      </c>
    </row>
    <row r="8">
      <c r="A8" s="6" t="n"/>
      <c r="B8" s="113">
        <f>IF($C8="","",IFERROR(INDEX(MUSTERILER!$B$7:$B$106,MATCH($C8,MUSTERILER!$C$7:$C$106,0)),IFERROR(INDEX(MUSTERILER!$B$7:$B$106,MATCH($C8,MUSTERILER!$B$7:$B$106,0)),IFERROR(INDEX(MUSTERILER!$B$7:$B$106,MATCH($C8&amp;"*",MUSTERILER!$C$7:$C$106,0)),"TANIMSIZ MÜŞTERİ"))))</f>
        <v/>
      </c>
      <c r="C8" s="109" t="inlineStr">
        <is>
          <t>ESERLİ LTD.ŞTİ.</t>
        </is>
      </c>
      <c r="D8" s="225" t="n">
        <v>46023</v>
      </c>
      <c r="E8" s="225" t="n"/>
      <c r="F8" s="108" t="inlineStr">
        <is>
          <t>Haftalık</t>
        </is>
      </c>
      <c r="G8" s="226" t="n">
        <v>3500</v>
      </c>
      <c r="H8" s="108" t="inlineStr">
        <is>
          <t>Aktif</t>
        </is>
      </c>
      <c r="I8" s="227">
        <f>IF(OR($C8="",$D8="",$G8="",$F8=""),0,$G8*IF($F8="Aylık",MAX(0,(YEAR(MIN(IF($E8="",TODAY(),$E8),TODAY()))-YEAR($D8))*12+MONTH(MIN(IF($E8="",TODAY(),$E8),TODAY()))-MONTH($D8)+IF(MIN(IF($E8="",TODAY(),$E8),TODAY())&gt;=EOMONTH(MIN(IF($E8="",TODAY(),$E8),TODAY()),0),1,0)),MAX(0,INT((MIN(IF($E8="",TODAY(),$E8),TODAY())-($D8+MOD(SISTEM!$F$8-WEEKDAY($D8,2),7)))/7)+1)))</f>
        <v/>
      </c>
      <c r="J8" s="227">
        <f>IF(OR($C8="",$D8="",$G8="",$F8=""),0,$G8*IF($F8="Aylık",MAX(0,(YEAR(MIN(IF($E8="",TODAY()-8,$E8),TODAY()-8))-YEAR($D8))*12+MONTH(MIN(IF($E8="",TODAY()-8,$E8),TODAY()-8))-MONTH($D8)+IF(MIN(IF($E8="",TODAY()-8,$E8),TODAY()-8)&gt;=EOMONTH(MIN(IF($E8="",TODAY()-8,$E8),TODAY()-8),0),1,0)),MAX(0,INT((MIN(IF($E8="",TODAY()-8,$E8),TODAY()-8)-($D8+MOD(SISTEM!$F$8-WEEKDAY($D8,2),7)))/7)+1)))</f>
        <v/>
      </c>
      <c r="K8" s="227">
        <f>IF(OR($C8="",$D8="",$G8="",$F8=""),0,$G8*IF($F8="Aylık",MAX(0,(YEAR(MIN(IF($E8="",TODAY()-15,$E8),TODAY()-15))-YEAR($D8))*12+MONTH(MIN(IF($E8="",TODAY()-15,$E8),TODAY()-15))-MONTH($D8)+IF(MIN(IF($E8="",TODAY()-15,$E8),TODAY()-15)&gt;=EOMONTH(MIN(IF($E8="",TODAY()-15,$E8),TODAY()-15),0),1,0)),MAX(0,INT((MIN(IF($E8="",TODAY()-15,$E8),TODAY()-15)-($D8+MOD(SISTEM!$F$8-WEEKDAY($D8,2),7)))/7)+1)))</f>
        <v/>
      </c>
      <c r="L8" s="227">
        <f>IF(OR($C8="",$D8="",$G8="",$F8=""),0,$G8*IF($F8="Aylık",MAX(0,(YEAR(MIN(IF($E8="",TODAY()-29,$E8),TODAY()-29))-YEAR($D8))*12+MONTH(MIN(IF($E8="",TODAY()-29,$E8),TODAY()-29))-MONTH($D8)+IF(MIN(IF($E8="",TODAY()-29,$E8),TODAY()-29)&gt;=EOMONTH(MIN(IF($E8="",TODAY()-29,$E8),TODAY()-29),0),1,0)),MAX(0,INT((MIN(IF($E8="",TODAY()-29,$E8),TODAY()-29)-($D8+MOD(SISTEM!$F$8-WEEKDAY($D8,2),7)))/7)+1)))</f>
        <v/>
      </c>
      <c r="M8" s="228">
        <f>IF($G8&gt;0,$I8/$G8,0)</f>
        <v/>
      </c>
      <c r="N8" s="113">
        <f>IF($C8="","",IF($B8="TANIMSIZ MÜŞTERİ","TANIMSIZ MÜŞTERİ",IF($F8="","MODEL SEÇİN",IF(OR($D8="",$G8&lt;=0),"EKSİK",IF(AND($E8&lt;&gt;"",$E8&lt;$D8),"TARİH HATASI",IF($H8="Pasif","KAPALI DÖNEM","UYGUN"))))))</f>
        <v/>
      </c>
      <c r="O8" s="229">
        <f>IF(OR($C8="",$D8="",$F8=""),"",IF($F8="Aylık",EOMONTH($D8,0),($D8+MOD(SISTEM!$F$8-WEEKDAY($D8,2),7))))</f>
        <v/>
      </c>
      <c r="P8" s="109" t="inlineStr">
        <is>
          <t>Mevcut dosyadan aktarıldı</t>
        </is>
      </c>
      <c r="Q8" s="6" t="n"/>
      <c r="R8" s="6" t="n"/>
      <c r="S8" s="3">
        <f>IF($B8="","",$B8&amp;"|"&amp;COUNTIFS($B$7:$B8,$B8))</f>
        <v/>
      </c>
    </row>
    <row r="9">
      <c r="A9" s="6" t="n"/>
      <c r="B9" s="113">
        <f>IF($C9="","",IFERROR(INDEX(MUSTERILER!$B$7:$B$106,MATCH($C9,MUSTERILER!$C$7:$C$106,0)),IFERROR(INDEX(MUSTERILER!$B$7:$B$106,MATCH($C9,MUSTERILER!$B$7:$B$106,0)),IFERROR(INDEX(MUSTERILER!$B$7:$B$106,MATCH($C9&amp;"*",MUSTERILER!$C$7:$C$106,0)),"TANIMSIZ MÜŞTERİ"))))</f>
        <v/>
      </c>
      <c r="C9" s="109" t="inlineStr">
        <is>
          <t>TYANA LTD.ŞTİ.</t>
        </is>
      </c>
      <c r="D9" s="225" t="n">
        <v>46023</v>
      </c>
      <c r="E9" s="225" t="n"/>
      <c r="F9" s="108" t="inlineStr">
        <is>
          <t>Haftalık</t>
        </is>
      </c>
      <c r="G9" s="226" t="n">
        <v>4000</v>
      </c>
      <c r="H9" s="108" t="inlineStr">
        <is>
          <t>Aktif</t>
        </is>
      </c>
      <c r="I9" s="227">
        <f>IF(OR($C9="",$D9="",$G9="",$F9=""),0,$G9*IF($F9="Aylık",MAX(0,(YEAR(MIN(IF($E9="",TODAY(),$E9),TODAY()))-YEAR($D9))*12+MONTH(MIN(IF($E9="",TODAY(),$E9),TODAY()))-MONTH($D9)+IF(MIN(IF($E9="",TODAY(),$E9),TODAY())&gt;=EOMONTH(MIN(IF($E9="",TODAY(),$E9),TODAY()),0),1,0)),MAX(0,INT((MIN(IF($E9="",TODAY(),$E9),TODAY())-($D9+MOD(SISTEM!$F$8-WEEKDAY($D9,2),7)))/7)+1)))</f>
        <v/>
      </c>
      <c r="J9" s="227">
        <f>IF(OR($C9="",$D9="",$G9="",$F9=""),0,$G9*IF($F9="Aylık",MAX(0,(YEAR(MIN(IF($E9="",TODAY()-8,$E9),TODAY()-8))-YEAR($D9))*12+MONTH(MIN(IF($E9="",TODAY()-8,$E9),TODAY()-8))-MONTH($D9)+IF(MIN(IF($E9="",TODAY()-8,$E9),TODAY()-8)&gt;=EOMONTH(MIN(IF($E9="",TODAY()-8,$E9),TODAY()-8),0),1,0)),MAX(0,INT((MIN(IF($E9="",TODAY()-8,$E9),TODAY()-8)-($D9+MOD(SISTEM!$F$8-WEEKDAY($D9,2),7)))/7)+1)))</f>
        <v/>
      </c>
      <c r="K9" s="227">
        <f>IF(OR($C9="",$D9="",$G9="",$F9=""),0,$G9*IF($F9="Aylık",MAX(0,(YEAR(MIN(IF($E9="",TODAY()-15,$E9),TODAY()-15))-YEAR($D9))*12+MONTH(MIN(IF($E9="",TODAY()-15,$E9),TODAY()-15))-MONTH($D9)+IF(MIN(IF($E9="",TODAY()-15,$E9),TODAY()-15)&gt;=EOMONTH(MIN(IF($E9="",TODAY()-15,$E9),TODAY()-15),0),1,0)),MAX(0,INT((MIN(IF($E9="",TODAY()-15,$E9),TODAY()-15)-($D9+MOD(SISTEM!$F$8-WEEKDAY($D9,2),7)))/7)+1)))</f>
        <v/>
      </c>
      <c r="L9" s="227">
        <f>IF(OR($C9="",$D9="",$G9="",$F9=""),0,$G9*IF($F9="Aylık",MAX(0,(YEAR(MIN(IF($E9="",TODAY()-29,$E9),TODAY()-29))-YEAR($D9))*12+MONTH(MIN(IF($E9="",TODAY()-29,$E9),TODAY()-29))-MONTH($D9)+IF(MIN(IF($E9="",TODAY()-29,$E9),TODAY()-29)&gt;=EOMONTH(MIN(IF($E9="",TODAY()-29,$E9),TODAY()-29),0),1,0)),MAX(0,INT((MIN(IF($E9="",TODAY()-29,$E9),TODAY()-29)-($D9+MOD(SISTEM!$F$8-WEEKDAY($D9,2),7)))/7)+1)))</f>
        <v/>
      </c>
      <c r="M9" s="228">
        <f>IF($G9&gt;0,$I9/$G9,0)</f>
        <v/>
      </c>
      <c r="N9" s="113">
        <f>IF($C9="","",IF($B9="TANIMSIZ MÜŞTERİ","TANIMSIZ MÜŞTERİ",IF($F9="","MODEL SEÇİN",IF(OR($D9="",$G9&lt;=0),"EKSİK",IF(AND($E9&lt;&gt;"",$E9&lt;$D9),"TARİH HATASI",IF($H9="Pasif","KAPALI DÖNEM","UYGUN"))))))</f>
        <v/>
      </c>
      <c r="O9" s="229">
        <f>IF(OR($C9="",$D9="",$F9=""),"",IF($F9="Aylık",EOMONTH($D9,0),($D9+MOD(SISTEM!$F$8-WEEKDAY($D9,2),7))))</f>
        <v/>
      </c>
      <c r="P9" s="109" t="inlineStr">
        <is>
          <t>Mevcut dosyadan aktarıldı</t>
        </is>
      </c>
      <c r="Q9" s="6" t="n"/>
      <c r="R9" s="6" t="n"/>
      <c r="S9" s="3">
        <f>IF($B9="","",$B9&amp;"|"&amp;COUNTIFS($B$7:$B9,$B9))</f>
        <v/>
      </c>
    </row>
    <row r="10">
      <c r="A10" s="6" t="n"/>
      <c r="B10" s="113">
        <f>IF($C10="","",IFERROR(INDEX(MUSTERILER!$B$7:$B$106,MATCH($C10,MUSTERILER!$C$7:$C$106,0)),IFERROR(INDEX(MUSTERILER!$B$7:$B$106,MATCH($C10,MUSTERILER!$B$7:$B$106,0)),IFERROR(INDEX(MUSTERILER!$B$7:$B$106,MATCH($C10&amp;"*",MUSTERILER!$C$7:$C$106,0)),"TANIMSIZ MÜŞTERİ"))))</f>
        <v/>
      </c>
      <c r="C10" s="109" t="inlineStr">
        <is>
          <t>ZÜMRÜT EĞLENCE LTD.ŞTİ.</t>
        </is>
      </c>
      <c r="D10" s="225" t="n">
        <v>46023</v>
      </c>
      <c r="E10" s="225" t="n"/>
      <c r="F10" s="108" t="inlineStr">
        <is>
          <t>Haftalık</t>
        </is>
      </c>
      <c r="G10" s="226" t="n">
        <v>1750</v>
      </c>
      <c r="H10" s="108" t="inlineStr">
        <is>
          <t>Aktif</t>
        </is>
      </c>
      <c r="I10" s="227">
        <f>IF(OR($C10="",$D10="",$G10="",$F10=""),0,$G10*IF($F10="Aylık",MAX(0,(YEAR(MIN(IF($E10="",TODAY(),$E10),TODAY()))-YEAR($D10))*12+MONTH(MIN(IF($E10="",TODAY(),$E10),TODAY()))-MONTH($D10)+IF(MIN(IF($E10="",TODAY(),$E10),TODAY())&gt;=EOMONTH(MIN(IF($E10="",TODAY(),$E10),TODAY()),0),1,0)),MAX(0,INT((MIN(IF($E10="",TODAY(),$E10),TODAY())-($D10+MOD(SISTEM!$F$8-WEEKDAY($D10,2),7)))/7)+1)))</f>
        <v/>
      </c>
      <c r="J10" s="227">
        <f>IF(OR($C10="",$D10="",$G10="",$F10=""),0,$G10*IF($F10="Aylık",MAX(0,(YEAR(MIN(IF($E10="",TODAY()-8,$E10),TODAY()-8))-YEAR($D10))*12+MONTH(MIN(IF($E10="",TODAY()-8,$E10),TODAY()-8))-MONTH($D10)+IF(MIN(IF($E10="",TODAY()-8,$E10),TODAY()-8)&gt;=EOMONTH(MIN(IF($E10="",TODAY()-8,$E10),TODAY()-8),0),1,0)),MAX(0,INT((MIN(IF($E10="",TODAY()-8,$E10),TODAY()-8)-($D10+MOD(SISTEM!$F$8-WEEKDAY($D10,2),7)))/7)+1)))</f>
        <v/>
      </c>
      <c r="K10" s="227">
        <f>IF(OR($C10="",$D10="",$G10="",$F10=""),0,$G10*IF($F10="Aylık",MAX(0,(YEAR(MIN(IF($E10="",TODAY()-15,$E10),TODAY()-15))-YEAR($D10))*12+MONTH(MIN(IF($E10="",TODAY()-15,$E10),TODAY()-15))-MONTH($D10)+IF(MIN(IF($E10="",TODAY()-15,$E10),TODAY()-15)&gt;=EOMONTH(MIN(IF($E10="",TODAY()-15,$E10),TODAY()-15),0),1,0)),MAX(0,INT((MIN(IF($E10="",TODAY()-15,$E10),TODAY()-15)-($D10+MOD(SISTEM!$F$8-WEEKDAY($D10,2),7)))/7)+1)))</f>
        <v/>
      </c>
      <c r="L10" s="227">
        <f>IF(OR($C10="",$D10="",$G10="",$F10=""),0,$G10*IF($F10="Aylık",MAX(0,(YEAR(MIN(IF($E10="",TODAY()-29,$E10),TODAY()-29))-YEAR($D10))*12+MONTH(MIN(IF($E10="",TODAY()-29,$E10),TODAY()-29))-MONTH($D10)+IF(MIN(IF($E10="",TODAY()-29,$E10),TODAY()-29)&gt;=EOMONTH(MIN(IF($E10="",TODAY()-29,$E10),TODAY()-29),0),1,0)),MAX(0,INT((MIN(IF($E10="",TODAY()-29,$E10),TODAY()-29)-($D10+MOD(SISTEM!$F$8-WEEKDAY($D10,2),7)))/7)+1)))</f>
        <v/>
      </c>
      <c r="M10" s="228">
        <f>IF($G10&gt;0,$I10/$G10,0)</f>
        <v/>
      </c>
      <c r="N10" s="113">
        <f>IF($C10="","",IF($B10="TANIMSIZ MÜŞTERİ","TANIMSIZ MÜŞTERİ",IF($F10="","MODEL SEÇİN",IF(OR($D10="",$G10&lt;=0),"EKSİK",IF(AND($E10&lt;&gt;"",$E10&lt;$D10),"TARİH HATASI",IF($H10="Pasif","KAPALI DÖNEM","UYGUN"))))))</f>
        <v/>
      </c>
      <c r="O10" s="229">
        <f>IF(OR($C10="",$D10="",$F10=""),"",IF($F10="Aylık",EOMONTH($D10,0),($D10+MOD(SISTEM!$F$8-WEEKDAY($D10,2),7))))</f>
        <v/>
      </c>
      <c r="P10" s="109" t="inlineStr">
        <is>
          <t>Mevcut dosyadan aktarıldı</t>
        </is>
      </c>
      <c r="Q10" s="6" t="n"/>
      <c r="R10" s="6" t="n"/>
      <c r="S10" s="3">
        <f>IF($B10="","",$B10&amp;"|"&amp;COUNTIFS($B$7:$B10,$B10))</f>
        <v/>
      </c>
    </row>
    <row r="11">
      <c r="A11" s="6" t="n"/>
      <c r="B11" s="113">
        <f>IF($C11="","",IFERROR(INDEX(MUSTERILER!$B$7:$B$106,MATCH($C11,MUSTERILER!$C$7:$C$106,0)),IFERROR(INDEX(MUSTERILER!$B$7:$B$106,MATCH($C11,MUSTERILER!$B$7:$B$106,0)),IFERROR(INDEX(MUSTERILER!$B$7:$B$106,MATCH($C11&amp;"*",MUSTERILER!$C$7:$C$106,0)),"TANIMSIZ MÜŞTERİ"))))</f>
        <v/>
      </c>
      <c r="C11" s="109" t="inlineStr">
        <is>
          <t>ZÜMRÜT GRUP LTD.ŞTİ.</t>
        </is>
      </c>
      <c r="D11" s="225" t="n">
        <v>46023</v>
      </c>
      <c r="E11" s="225" t="n"/>
      <c r="F11" s="108" t="inlineStr">
        <is>
          <t>Haftalık</t>
        </is>
      </c>
      <c r="G11" s="226" t="n">
        <v>1750</v>
      </c>
      <c r="H11" s="108" t="inlineStr">
        <is>
          <t>Aktif</t>
        </is>
      </c>
      <c r="I11" s="227">
        <f>IF(OR($C11="",$D11="",$G11="",$F11=""),0,$G11*IF($F11="Aylık",MAX(0,(YEAR(MIN(IF($E11="",TODAY(),$E11),TODAY()))-YEAR($D11))*12+MONTH(MIN(IF($E11="",TODAY(),$E11),TODAY()))-MONTH($D11)+IF(MIN(IF($E11="",TODAY(),$E11),TODAY())&gt;=EOMONTH(MIN(IF($E11="",TODAY(),$E11),TODAY()),0),1,0)),MAX(0,INT((MIN(IF($E11="",TODAY(),$E11),TODAY())-($D11+MOD(SISTEM!$F$8-WEEKDAY($D11,2),7)))/7)+1)))</f>
        <v/>
      </c>
      <c r="J11" s="227">
        <f>IF(OR($C11="",$D11="",$G11="",$F11=""),0,$G11*IF($F11="Aylık",MAX(0,(YEAR(MIN(IF($E11="",TODAY()-8,$E11),TODAY()-8))-YEAR($D11))*12+MONTH(MIN(IF($E11="",TODAY()-8,$E11),TODAY()-8))-MONTH($D11)+IF(MIN(IF($E11="",TODAY()-8,$E11),TODAY()-8)&gt;=EOMONTH(MIN(IF($E11="",TODAY()-8,$E11),TODAY()-8),0),1,0)),MAX(0,INT((MIN(IF($E11="",TODAY()-8,$E11),TODAY()-8)-($D11+MOD(SISTEM!$F$8-WEEKDAY($D11,2),7)))/7)+1)))</f>
        <v/>
      </c>
      <c r="K11" s="227">
        <f>IF(OR($C11="",$D11="",$G11="",$F11=""),0,$G11*IF($F11="Aylık",MAX(0,(YEAR(MIN(IF($E11="",TODAY()-15,$E11),TODAY()-15))-YEAR($D11))*12+MONTH(MIN(IF($E11="",TODAY()-15,$E11),TODAY()-15))-MONTH($D11)+IF(MIN(IF($E11="",TODAY()-15,$E11),TODAY()-15)&gt;=EOMONTH(MIN(IF($E11="",TODAY()-15,$E11),TODAY()-15),0),1,0)),MAX(0,INT((MIN(IF($E11="",TODAY()-15,$E11),TODAY()-15)-($D11+MOD(SISTEM!$F$8-WEEKDAY($D11,2),7)))/7)+1)))</f>
        <v/>
      </c>
      <c r="L11" s="227">
        <f>IF(OR($C11="",$D11="",$G11="",$F11=""),0,$G11*IF($F11="Aylık",MAX(0,(YEAR(MIN(IF($E11="",TODAY()-29,$E11),TODAY()-29))-YEAR($D11))*12+MONTH(MIN(IF($E11="",TODAY()-29,$E11),TODAY()-29))-MONTH($D11)+IF(MIN(IF($E11="",TODAY()-29,$E11),TODAY()-29)&gt;=EOMONTH(MIN(IF($E11="",TODAY()-29,$E11),TODAY()-29),0),1,0)),MAX(0,INT((MIN(IF($E11="",TODAY()-29,$E11),TODAY()-29)-($D11+MOD(SISTEM!$F$8-WEEKDAY($D11,2),7)))/7)+1)))</f>
        <v/>
      </c>
      <c r="M11" s="228">
        <f>IF($G11&gt;0,$I11/$G11,0)</f>
        <v/>
      </c>
      <c r="N11" s="113">
        <f>IF($C11="","",IF($B11="TANIMSIZ MÜŞTERİ","TANIMSIZ MÜŞTERİ",IF($F11="","MODEL SEÇİN",IF(OR($D11="",$G11&lt;=0),"EKSİK",IF(AND($E11&lt;&gt;"",$E11&lt;$D11),"TARİH HATASI",IF($H11="Pasif","KAPALI DÖNEM","UYGUN"))))))</f>
        <v/>
      </c>
      <c r="O11" s="229">
        <f>IF(OR($C11="",$D11="",$F11=""),"",IF($F11="Aylık",EOMONTH($D11,0),($D11+MOD(SISTEM!$F$8-WEEKDAY($D11,2),7))))</f>
        <v/>
      </c>
      <c r="P11" s="109" t="inlineStr">
        <is>
          <t>Mevcut dosyadan aktarıldı</t>
        </is>
      </c>
      <c r="Q11" s="6" t="n"/>
      <c r="R11" s="6" t="n"/>
      <c r="S11" s="3">
        <f>IF($B11="","",$B11&amp;"|"&amp;COUNTIFS($B$7:$B11,$B11))</f>
        <v/>
      </c>
    </row>
    <row r="12">
      <c r="A12" s="6" t="n"/>
      <c r="B12" s="113">
        <f>IF($C12="","",IFERROR(INDEX(MUSTERILER!$B$7:$B$106,MATCH($C12,MUSTERILER!$C$7:$C$106,0)),IFERROR(INDEX(MUSTERILER!$B$7:$B$106,MATCH($C12,MUSTERILER!$B$7:$B$106,0)),IFERROR(INDEX(MUSTERILER!$B$7:$B$106,MATCH($C12&amp;"*",MUSTERILER!$C$7:$C$106,0)),"TANIMSIZ MÜŞTERİ"))))</f>
        <v/>
      </c>
      <c r="C12" s="109" t="inlineStr">
        <is>
          <t>VOLKAN AÇIK</t>
        </is>
      </c>
      <c r="D12" s="225" t="n">
        <v>46023</v>
      </c>
      <c r="E12" s="225" t="n"/>
      <c r="F12" s="108" t="inlineStr">
        <is>
          <t>Haftalık</t>
        </is>
      </c>
      <c r="G12" s="226" t="n">
        <v>1000</v>
      </c>
      <c r="H12" s="108" t="inlineStr">
        <is>
          <t>Aktif</t>
        </is>
      </c>
      <c r="I12" s="227">
        <f>IF(OR($C12="",$D12="",$G12="",$F12=""),0,$G12*IF($F12="Aylık",MAX(0,(YEAR(MIN(IF($E12="",TODAY(),$E12),TODAY()))-YEAR($D12))*12+MONTH(MIN(IF($E12="",TODAY(),$E12),TODAY()))-MONTH($D12)+IF(MIN(IF($E12="",TODAY(),$E12),TODAY())&gt;=EOMONTH(MIN(IF($E12="",TODAY(),$E12),TODAY()),0),1,0)),MAX(0,INT((MIN(IF($E12="",TODAY(),$E12),TODAY())-($D12+MOD(SISTEM!$F$8-WEEKDAY($D12,2),7)))/7)+1)))</f>
        <v/>
      </c>
      <c r="J12" s="227">
        <f>IF(OR($C12="",$D12="",$G12="",$F12=""),0,$G12*IF($F12="Aylık",MAX(0,(YEAR(MIN(IF($E12="",TODAY()-8,$E12),TODAY()-8))-YEAR($D12))*12+MONTH(MIN(IF($E12="",TODAY()-8,$E12),TODAY()-8))-MONTH($D12)+IF(MIN(IF($E12="",TODAY()-8,$E12),TODAY()-8)&gt;=EOMONTH(MIN(IF($E12="",TODAY()-8,$E12),TODAY()-8),0),1,0)),MAX(0,INT((MIN(IF($E12="",TODAY()-8,$E12),TODAY()-8)-($D12+MOD(SISTEM!$F$8-WEEKDAY($D12,2),7)))/7)+1)))</f>
        <v/>
      </c>
      <c r="K12" s="227">
        <f>IF(OR($C12="",$D12="",$G12="",$F12=""),0,$G12*IF($F12="Aylık",MAX(0,(YEAR(MIN(IF($E12="",TODAY()-15,$E12),TODAY()-15))-YEAR($D12))*12+MONTH(MIN(IF($E12="",TODAY()-15,$E12),TODAY()-15))-MONTH($D12)+IF(MIN(IF($E12="",TODAY()-15,$E12),TODAY()-15)&gt;=EOMONTH(MIN(IF($E12="",TODAY()-15,$E12),TODAY()-15),0),1,0)),MAX(0,INT((MIN(IF($E12="",TODAY()-15,$E12),TODAY()-15)-($D12+MOD(SISTEM!$F$8-WEEKDAY($D12,2),7)))/7)+1)))</f>
        <v/>
      </c>
      <c r="L12" s="227">
        <f>IF(OR($C12="",$D12="",$G12="",$F12=""),0,$G12*IF($F12="Aylık",MAX(0,(YEAR(MIN(IF($E12="",TODAY()-29,$E12),TODAY()-29))-YEAR($D12))*12+MONTH(MIN(IF($E12="",TODAY()-29,$E12),TODAY()-29))-MONTH($D12)+IF(MIN(IF($E12="",TODAY()-29,$E12),TODAY()-29)&gt;=EOMONTH(MIN(IF($E12="",TODAY()-29,$E12),TODAY()-29),0),1,0)),MAX(0,INT((MIN(IF($E12="",TODAY()-29,$E12),TODAY()-29)-($D12+MOD(SISTEM!$F$8-WEEKDAY($D12,2),7)))/7)+1)))</f>
        <v/>
      </c>
      <c r="M12" s="228">
        <f>IF($G12&gt;0,$I12/$G12,0)</f>
        <v/>
      </c>
      <c r="N12" s="113">
        <f>IF($C12="","",IF($B12="TANIMSIZ MÜŞTERİ","TANIMSIZ MÜŞTERİ",IF($F12="","MODEL SEÇİN",IF(OR($D12="",$G12&lt;=0),"EKSİK",IF(AND($E12&lt;&gt;"",$E12&lt;$D12),"TARİH HATASI",IF($H12="Pasif","KAPALI DÖNEM","UYGUN"))))))</f>
        <v/>
      </c>
      <c r="O12" s="229">
        <f>IF(OR($C12="",$D12="",$F12=""),"",IF($F12="Aylık",EOMONTH($D12,0),($D12+MOD(SISTEM!$F$8-WEEKDAY($D12,2),7))))</f>
        <v/>
      </c>
      <c r="P12" s="109" t="inlineStr">
        <is>
          <t>Mevcut dosyadan aktarıldı</t>
        </is>
      </c>
      <c r="Q12" s="6" t="n"/>
      <c r="R12" s="6" t="n"/>
      <c r="S12" s="3">
        <f>IF($B12="","",$B12&amp;"|"&amp;COUNTIFS($B$7:$B12,$B12))</f>
        <v/>
      </c>
    </row>
    <row r="13">
      <c r="A13" s="6" t="n"/>
      <c r="B13" s="113">
        <f>IF($C13="","",IFERROR(INDEX(MUSTERILER!$B$7:$B$106,MATCH($C13,MUSTERILER!$C$7:$C$106,0)),IFERROR(INDEX(MUSTERILER!$B$7:$B$106,MATCH($C13,MUSTERILER!$B$7:$B$106,0)),IFERROR(INDEX(MUSTERILER!$B$7:$B$106,MATCH($C13&amp;"*",MUSTERILER!$C$7:$C$106,0)),"TANIMSIZ MÜŞTERİ"))))</f>
        <v/>
      </c>
      <c r="C13" s="109" t="inlineStr">
        <is>
          <t>MONAMOUR LTD.ŞTİ.</t>
        </is>
      </c>
      <c r="D13" s="225" t="n">
        <v>46023</v>
      </c>
      <c r="E13" s="225" t="n"/>
      <c r="F13" s="108" t="inlineStr">
        <is>
          <t>Haftalık</t>
        </is>
      </c>
      <c r="G13" s="226" t="n">
        <v>3500</v>
      </c>
      <c r="H13" s="108" t="inlineStr">
        <is>
          <t>Aktif</t>
        </is>
      </c>
      <c r="I13" s="227">
        <f>IF(OR($C13="",$D13="",$G13="",$F13=""),0,$G13*IF($F13="Aylık",MAX(0,(YEAR(MIN(IF($E13="",TODAY(),$E13),TODAY()))-YEAR($D13))*12+MONTH(MIN(IF($E13="",TODAY(),$E13),TODAY()))-MONTH($D13)+IF(MIN(IF($E13="",TODAY(),$E13),TODAY())&gt;=EOMONTH(MIN(IF($E13="",TODAY(),$E13),TODAY()),0),1,0)),MAX(0,INT((MIN(IF($E13="",TODAY(),$E13),TODAY())-($D13+MOD(SISTEM!$F$8-WEEKDAY($D13,2),7)))/7)+1)))</f>
        <v/>
      </c>
      <c r="J13" s="227">
        <f>IF(OR($C13="",$D13="",$G13="",$F13=""),0,$G13*IF($F13="Aylık",MAX(0,(YEAR(MIN(IF($E13="",TODAY()-8,$E13),TODAY()-8))-YEAR($D13))*12+MONTH(MIN(IF($E13="",TODAY()-8,$E13),TODAY()-8))-MONTH($D13)+IF(MIN(IF($E13="",TODAY()-8,$E13),TODAY()-8)&gt;=EOMONTH(MIN(IF($E13="",TODAY()-8,$E13),TODAY()-8),0),1,0)),MAX(0,INT((MIN(IF($E13="",TODAY()-8,$E13),TODAY()-8)-($D13+MOD(SISTEM!$F$8-WEEKDAY($D13,2),7)))/7)+1)))</f>
        <v/>
      </c>
      <c r="K13" s="227">
        <f>IF(OR($C13="",$D13="",$G13="",$F13=""),0,$G13*IF($F13="Aylık",MAX(0,(YEAR(MIN(IF($E13="",TODAY()-15,$E13),TODAY()-15))-YEAR($D13))*12+MONTH(MIN(IF($E13="",TODAY()-15,$E13),TODAY()-15))-MONTH($D13)+IF(MIN(IF($E13="",TODAY()-15,$E13),TODAY()-15)&gt;=EOMONTH(MIN(IF($E13="",TODAY()-15,$E13),TODAY()-15),0),1,0)),MAX(0,INT((MIN(IF($E13="",TODAY()-15,$E13),TODAY()-15)-($D13+MOD(SISTEM!$F$8-WEEKDAY($D13,2),7)))/7)+1)))</f>
        <v/>
      </c>
      <c r="L13" s="227">
        <f>IF(OR($C13="",$D13="",$G13="",$F13=""),0,$G13*IF($F13="Aylık",MAX(0,(YEAR(MIN(IF($E13="",TODAY()-29,$E13),TODAY()-29))-YEAR($D13))*12+MONTH(MIN(IF($E13="",TODAY()-29,$E13),TODAY()-29))-MONTH($D13)+IF(MIN(IF($E13="",TODAY()-29,$E13),TODAY()-29)&gt;=EOMONTH(MIN(IF($E13="",TODAY()-29,$E13),TODAY()-29),0),1,0)),MAX(0,INT((MIN(IF($E13="",TODAY()-29,$E13),TODAY()-29)-($D13+MOD(SISTEM!$F$8-WEEKDAY($D13,2),7)))/7)+1)))</f>
        <v/>
      </c>
      <c r="M13" s="228">
        <f>IF($G13&gt;0,$I13/$G13,0)</f>
        <v/>
      </c>
      <c r="N13" s="113">
        <f>IF($C13="","",IF($B13="TANIMSIZ MÜŞTERİ","TANIMSIZ MÜŞTERİ",IF($F13="","MODEL SEÇİN",IF(OR($D13="",$G13&lt;=0),"EKSİK",IF(AND($E13&lt;&gt;"",$E13&lt;$D13),"TARİH HATASI",IF($H13="Pasif","KAPALI DÖNEM","UYGUN"))))))</f>
        <v/>
      </c>
      <c r="O13" s="229">
        <f>IF(OR($C13="",$D13="",$F13=""),"",IF($F13="Aylık",EOMONTH($D13,0),($D13+MOD(SISTEM!$F$8-WEEKDAY($D13,2),7))))</f>
        <v/>
      </c>
      <c r="P13" s="109" t="inlineStr">
        <is>
          <t>Mevcut dosyadan aktarıldı</t>
        </is>
      </c>
      <c r="Q13" s="6" t="n"/>
      <c r="R13" s="6" t="n"/>
      <c r="S13" s="3">
        <f>IF($B13="","",$B13&amp;"|"&amp;COUNTIFS($B$7:$B13,$B13))</f>
        <v/>
      </c>
    </row>
    <row r="14">
      <c r="A14" s="6" t="n"/>
      <c r="B14" s="113">
        <f>IF($C14="","",IFERROR(INDEX(MUSTERILER!$B$7:$B$106,MATCH($C14,MUSTERILER!$C$7:$C$106,0)),IFERROR(INDEX(MUSTERILER!$B$7:$B$106,MATCH($C14,MUSTERILER!$B$7:$B$106,0)),IFERROR(INDEX(MUSTERILER!$B$7:$B$106,MATCH($C14&amp;"*",MUSTERILER!$C$7:$C$106,0)),"TANIMSIZ MÜŞTERİ"))))</f>
        <v/>
      </c>
      <c r="C14" s="109" t="inlineStr">
        <is>
          <t>KÖŞK YÜKSELEN LTD.ŞTİ.</t>
        </is>
      </c>
      <c r="D14" s="225" t="n">
        <v>46023</v>
      </c>
      <c r="E14" s="225" t="n"/>
      <c r="F14" s="108" t="inlineStr">
        <is>
          <t>Haftalık</t>
        </is>
      </c>
      <c r="G14" s="226" t="n">
        <v>3500</v>
      </c>
      <c r="H14" s="108" t="inlineStr">
        <is>
          <t>Aktif</t>
        </is>
      </c>
      <c r="I14" s="227">
        <f>IF(OR($C14="",$D14="",$G14="",$F14=""),0,$G14*IF($F14="Aylık",MAX(0,(YEAR(MIN(IF($E14="",TODAY(),$E14),TODAY()))-YEAR($D14))*12+MONTH(MIN(IF($E14="",TODAY(),$E14),TODAY()))-MONTH($D14)+IF(MIN(IF($E14="",TODAY(),$E14),TODAY())&gt;=EOMONTH(MIN(IF($E14="",TODAY(),$E14),TODAY()),0),1,0)),MAX(0,INT((MIN(IF($E14="",TODAY(),$E14),TODAY())-($D14+MOD(SISTEM!$F$8-WEEKDAY($D14,2),7)))/7)+1)))</f>
        <v/>
      </c>
      <c r="J14" s="227">
        <f>IF(OR($C14="",$D14="",$G14="",$F14=""),0,$G14*IF($F14="Aylık",MAX(0,(YEAR(MIN(IF($E14="",TODAY()-8,$E14),TODAY()-8))-YEAR($D14))*12+MONTH(MIN(IF($E14="",TODAY()-8,$E14),TODAY()-8))-MONTH($D14)+IF(MIN(IF($E14="",TODAY()-8,$E14),TODAY()-8)&gt;=EOMONTH(MIN(IF($E14="",TODAY()-8,$E14),TODAY()-8),0),1,0)),MAX(0,INT((MIN(IF($E14="",TODAY()-8,$E14),TODAY()-8)-($D14+MOD(SISTEM!$F$8-WEEKDAY($D14,2),7)))/7)+1)))</f>
        <v/>
      </c>
      <c r="K14" s="227">
        <f>IF(OR($C14="",$D14="",$G14="",$F14=""),0,$G14*IF($F14="Aylık",MAX(0,(YEAR(MIN(IF($E14="",TODAY()-15,$E14),TODAY()-15))-YEAR($D14))*12+MONTH(MIN(IF($E14="",TODAY()-15,$E14),TODAY()-15))-MONTH($D14)+IF(MIN(IF($E14="",TODAY()-15,$E14),TODAY()-15)&gt;=EOMONTH(MIN(IF($E14="",TODAY()-15,$E14),TODAY()-15),0),1,0)),MAX(0,INT((MIN(IF($E14="",TODAY()-15,$E14),TODAY()-15)-($D14+MOD(SISTEM!$F$8-WEEKDAY($D14,2),7)))/7)+1)))</f>
        <v/>
      </c>
      <c r="L14" s="227">
        <f>IF(OR($C14="",$D14="",$G14="",$F14=""),0,$G14*IF($F14="Aylık",MAX(0,(YEAR(MIN(IF($E14="",TODAY()-29,$E14),TODAY()-29))-YEAR($D14))*12+MONTH(MIN(IF($E14="",TODAY()-29,$E14),TODAY()-29))-MONTH($D14)+IF(MIN(IF($E14="",TODAY()-29,$E14),TODAY()-29)&gt;=EOMONTH(MIN(IF($E14="",TODAY()-29,$E14),TODAY()-29),0),1,0)),MAX(0,INT((MIN(IF($E14="",TODAY()-29,$E14),TODAY()-29)-($D14+MOD(SISTEM!$F$8-WEEKDAY($D14,2),7)))/7)+1)))</f>
        <v/>
      </c>
      <c r="M14" s="228">
        <f>IF($G14&gt;0,$I14/$G14,0)</f>
        <v/>
      </c>
      <c r="N14" s="113">
        <f>IF($C14="","",IF($B14="TANIMSIZ MÜŞTERİ","TANIMSIZ MÜŞTERİ",IF($F14="","MODEL SEÇİN",IF(OR($D14="",$G14&lt;=0),"EKSİK",IF(AND($E14&lt;&gt;"",$E14&lt;$D14),"TARİH HATASI",IF($H14="Pasif","KAPALI DÖNEM","UYGUN"))))))</f>
        <v/>
      </c>
      <c r="O14" s="229">
        <f>IF(OR($C14="",$D14="",$F14=""),"",IF($F14="Aylık",EOMONTH($D14,0),($D14+MOD(SISTEM!$F$8-WEEKDAY($D14,2),7))))</f>
        <v/>
      </c>
      <c r="P14" s="109" t="inlineStr">
        <is>
          <t>Mevcut dosyadan aktarıldı</t>
        </is>
      </c>
      <c r="Q14" s="6" t="n"/>
      <c r="R14" s="6" t="n"/>
      <c r="S14" s="3">
        <f>IF($B14="","",$B14&amp;"|"&amp;COUNTIFS($B$7:$B14,$B14))</f>
        <v/>
      </c>
    </row>
    <row r="15">
      <c r="A15" s="6" t="n"/>
      <c r="B15" s="113">
        <f>IF($C15="","",IFERROR(INDEX(MUSTERILER!$B$7:$B$106,MATCH($C15,MUSTERILER!$C$7:$C$106,0)),IFERROR(INDEX(MUSTERILER!$B$7:$B$106,MATCH($C15,MUSTERILER!$B$7:$B$106,0)),IFERROR(INDEX(MUSTERILER!$B$7:$B$106,MATCH($C15&amp;"*",MUSTERILER!$C$7:$C$106,0)),"TANIMSIZ MÜŞTERİ"))))</f>
        <v/>
      </c>
      <c r="C15" s="109" t="inlineStr">
        <is>
          <t>PAKYILDIZ LTD.ŞTİ.</t>
        </is>
      </c>
      <c r="D15" s="225" t="n">
        <v>46023</v>
      </c>
      <c r="E15" s="225" t="n"/>
      <c r="F15" s="108" t="inlineStr">
        <is>
          <t>Haftalık</t>
        </is>
      </c>
      <c r="G15" s="226" t="n">
        <v>4000</v>
      </c>
      <c r="H15" s="108" t="inlineStr">
        <is>
          <t>Aktif</t>
        </is>
      </c>
      <c r="I15" s="227">
        <f>IF(OR($C15="",$D15="",$G15="",$F15=""),0,$G15*IF($F15="Aylık",MAX(0,(YEAR(MIN(IF($E15="",TODAY(),$E15),TODAY()))-YEAR($D15))*12+MONTH(MIN(IF($E15="",TODAY(),$E15),TODAY()))-MONTH($D15)+IF(MIN(IF($E15="",TODAY(),$E15),TODAY())&gt;=EOMONTH(MIN(IF($E15="",TODAY(),$E15),TODAY()),0),1,0)),MAX(0,INT((MIN(IF($E15="",TODAY(),$E15),TODAY())-($D15+MOD(SISTEM!$F$8-WEEKDAY($D15,2),7)))/7)+1)))</f>
        <v/>
      </c>
      <c r="J15" s="227">
        <f>IF(OR($C15="",$D15="",$G15="",$F15=""),0,$G15*IF($F15="Aylık",MAX(0,(YEAR(MIN(IF($E15="",TODAY()-8,$E15),TODAY()-8))-YEAR($D15))*12+MONTH(MIN(IF($E15="",TODAY()-8,$E15),TODAY()-8))-MONTH($D15)+IF(MIN(IF($E15="",TODAY()-8,$E15),TODAY()-8)&gt;=EOMONTH(MIN(IF($E15="",TODAY()-8,$E15),TODAY()-8),0),1,0)),MAX(0,INT((MIN(IF($E15="",TODAY()-8,$E15),TODAY()-8)-($D15+MOD(SISTEM!$F$8-WEEKDAY($D15,2),7)))/7)+1)))</f>
        <v/>
      </c>
      <c r="K15" s="227">
        <f>IF(OR($C15="",$D15="",$G15="",$F15=""),0,$G15*IF($F15="Aylık",MAX(0,(YEAR(MIN(IF($E15="",TODAY()-15,$E15),TODAY()-15))-YEAR($D15))*12+MONTH(MIN(IF($E15="",TODAY()-15,$E15),TODAY()-15))-MONTH($D15)+IF(MIN(IF($E15="",TODAY()-15,$E15),TODAY()-15)&gt;=EOMONTH(MIN(IF($E15="",TODAY()-15,$E15),TODAY()-15),0),1,0)),MAX(0,INT((MIN(IF($E15="",TODAY()-15,$E15),TODAY()-15)-($D15+MOD(SISTEM!$F$8-WEEKDAY($D15,2),7)))/7)+1)))</f>
        <v/>
      </c>
      <c r="L15" s="227">
        <f>IF(OR($C15="",$D15="",$G15="",$F15=""),0,$G15*IF($F15="Aylık",MAX(0,(YEAR(MIN(IF($E15="",TODAY()-29,$E15),TODAY()-29))-YEAR($D15))*12+MONTH(MIN(IF($E15="",TODAY()-29,$E15),TODAY()-29))-MONTH($D15)+IF(MIN(IF($E15="",TODAY()-29,$E15),TODAY()-29)&gt;=EOMONTH(MIN(IF($E15="",TODAY()-29,$E15),TODAY()-29),0),1,0)),MAX(0,INT((MIN(IF($E15="",TODAY()-29,$E15),TODAY()-29)-($D15+MOD(SISTEM!$F$8-WEEKDAY($D15,2),7)))/7)+1)))</f>
        <v/>
      </c>
      <c r="M15" s="228">
        <f>IF($G15&gt;0,$I15/$G15,0)</f>
        <v/>
      </c>
      <c r="N15" s="113">
        <f>IF($C15="","",IF($B15="TANIMSIZ MÜŞTERİ","TANIMSIZ MÜŞTERİ",IF($F15="","MODEL SEÇİN",IF(OR($D15="",$G15&lt;=0),"EKSİK",IF(AND($E15&lt;&gt;"",$E15&lt;$D15),"TARİH HATASI",IF($H15="Pasif","KAPALI DÖNEM","UYGUN"))))))</f>
        <v/>
      </c>
      <c r="O15" s="229">
        <f>IF(OR($C15="",$D15="",$F15=""),"",IF($F15="Aylık",EOMONTH($D15,0),($D15+MOD(SISTEM!$F$8-WEEKDAY($D15,2),7))))</f>
        <v/>
      </c>
      <c r="P15" s="109" t="inlineStr">
        <is>
          <t>Tahakkuk modeli ve ücret girilmeli</t>
        </is>
      </c>
      <c r="Q15" s="6" t="n"/>
      <c r="R15" s="6" t="n"/>
      <c r="S15" s="3">
        <f>IF($B15="","",$B15&amp;"|"&amp;COUNTIFS($B$7:$B15,$B15))</f>
        <v/>
      </c>
    </row>
    <row r="16">
      <c r="A16" s="6" t="n"/>
      <c r="B16" s="113">
        <f>IF($C16="","",IFERROR(INDEX(MUSTERILER!$B$7:$B$106,MATCH($C16,MUSTERILER!$C$7:$C$106,0)),IFERROR(INDEX(MUSTERILER!$B$7:$B$106,MATCH($C16,MUSTERILER!$B$7:$B$106,0)),IFERROR(INDEX(MUSTERILER!$B$7:$B$106,MATCH($C16&amp;"*",MUSTERILER!$C$7:$C$106,0)),"TANIMSIZ MÜŞTERİ"))))</f>
        <v/>
      </c>
      <c r="C16" s="109" t="inlineStr">
        <is>
          <t>ÖZFİDANLAR LTD.ŞTİ.</t>
        </is>
      </c>
      <c r="D16" s="225" t="n">
        <v>46023</v>
      </c>
      <c r="E16" s="225" t="n"/>
      <c r="F16" s="108" t="inlineStr">
        <is>
          <t>Haftalık</t>
        </is>
      </c>
      <c r="G16" s="226" t="n">
        <v>4000</v>
      </c>
      <c r="H16" s="108" t="inlineStr">
        <is>
          <t>Aktif</t>
        </is>
      </c>
      <c r="I16" s="227">
        <f>IF(OR($C16="",$D16="",$G16="",$F16=""),0,$G16*IF($F16="Aylık",MAX(0,(YEAR(MIN(IF($E16="",TODAY(),$E16),TODAY()))-YEAR($D16))*12+MONTH(MIN(IF($E16="",TODAY(),$E16),TODAY()))-MONTH($D16)+IF(MIN(IF($E16="",TODAY(),$E16),TODAY())&gt;=EOMONTH(MIN(IF($E16="",TODAY(),$E16),TODAY()),0),1,0)),MAX(0,INT((MIN(IF($E16="",TODAY(),$E16),TODAY())-($D16+MOD(SISTEM!$F$8-WEEKDAY($D16,2),7)))/7)+1)))</f>
        <v/>
      </c>
      <c r="J16" s="227">
        <f>IF(OR($C16="",$D16="",$G16="",$F16=""),0,$G16*IF($F16="Aylık",MAX(0,(YEAR(MIN(IF($E16="",TODAY()-8,$E16),TODAY()-8))-YEAR($D16))*12+MONTH(MIN(IF($E16="",TODAY()-8,$E16),TODAY()-8))-MONTH($D16)+IF(MIN(IF($E16="",TODAY()-8,$E16),TODAY()-8)&gt;=EOMONTH(MIN(IF($E16="",TODAY()-8,$E16),TODAY()-8),0),1,0)),MAX(0,INT((MIN(IF($E16="",TODAY()-8,$E16),TODAY()-8)-($D16+MOD(SISTEM!$F$8-WEEKDAY($D16,2),7)))/7)+1)))</f>
        <v/>
      </c>
      <c r="K16" s="227">
        <f>IF(OR($C16="",$D16="",$G16="",$F16=""),0,$G16*IF($F16="Aylık",MAX(0,(YEAR(MIN(IF($E16="",TODAY()-15,$E16),TODAY()-15))-YEAR($D16))*12+MONTH(MIN(IF($E16="",TODAY()-15,$E16),TODAY()-15))-MONTH($D16)+IF(MIN(IF($E16="",TODAY()-15,$E16),TODAY()-15)&gt;=EOMONTH(MIN(IF($E16="",TODAY()-15,$E16),TODAY()-15),0),1,0)),MAX(0,INT((MIN(IF($E16="",TODAY()-15,$E16),TODAY()-15)-($D16+MOD(SISTEM!$F$8-WEEKDAY($D16,2),7)))/7)+1)))</f>
        <v/>
      </c>
      <c r="L16" s="227">
        <f>IF(OR($C16="",$D16="",$G16="",$F16=""),0,$G16*IF($F16="Aylık",MAX(0,(YEAR(MIN(IF($E16="",TODAY()-29,$E16),TODAY()-29))-YEAR($D16))*12+MONTH(MIN(IF($E16="",TODAY()-29,$E16),TODAY()-29))-MONTH($D16)+IF(MIN(IF($E16="",TODAY()-29,$E16),TODAY()-29)&gt;=EOMONTH(MIN(IF($E16="",TODAY()-29,$E16),TODAY()-29),0),1,0)),MAX(0,INT((MIN(IF($E16="",TODAY()-29,$E16),TODAY()-29)-($D16+MOD(SISTEM!$F$8-WEEKDAY($D16,2),7)))/7)+1)))</f>
        <v/>
      </c>
      <c r="M16" s="228">
        <f>IF($G16&gt;0,$I16/$G16,0)</f>
        <v/>
      </c>
      <c r="N16" s="113">
        <f>IF($C16="","",IF($B16="TANIMSIZ MÜŞTERİ","TANIMSIZ MÜŞTERİ",IF($F16="","MODEL SEÇİN",IF(OR($D16="",$G16&lt;=0),"EKSİK",IF(AND($E16&lt;&gt;"",$E16&lt;$D16),"TARİH HATASI",IF($H16="Pasif","KAPALI DÖNEM","UYGUN"))))))</f>
        <v/>
      </c>
      <c r="O16" s="229">
        <f>IF(OR($C16="",$D16="",$F16=""),"",IF($F16="Aylık",EOMONTH($D16,0),($D16+MOD(SISTEM!$F$8-WEEKDAY($D16,2),7))))</f>
        <v/>
      </c>
      <c r="P16" s="109" t="inlineStr">
        <is>
          <t>Tahakkuk modeli ve ücret girilmeli</t>
        </is>
      </c>
      <c r="Q16" s="6" t="n"/>
      <c r="R16" s="6" t="n"/>
      <c r="S16" s="3">
        <f>IF($B16="","",$B16&amp;"|"&amp;COUNTIFS($B$7:$B16,$B16))</f>
        <v/>
      </c>
    </row>
    <row r="17">
      <c r="A17" s="6" t="n"/>
      <c r="B17" s="113">
        <f>IF($C17="","",IFERROR(INDEX(MUSTERILER!$B$7:$B$106,MATCH($C17,MUSTERILER!$C$7:$C$106,0)),IFERROR(INDEX(MUSTERILER!$B$7:$B$106,MATCH($C17,MUSTERILER!$B$7:$B$106,0)),IFERROR(INDEX(MUSTERILER!$B$7:$B$106,MATCH($C17&amp;"*",MUSTERILER!$C$7:$C$106,0)),"TANIMSIZ MÜŞTERİ"))))</f>
        <v/>
      </c>
      <c r="C17" s="109" t="inlineStr">
        <is>
          <t>EĞLENGÖR LTD.ŞTİ.</t>
        </is>
      </c>
      <c r="D17" s="225" t="n">
        <v>46023</v>
      </c>
      <c r="E17" s="225" t="n"/>
      <c r="F17" s="108" t="inlineStr">
        <is>
          <t>Haftalık</t>
        </is>
      </c>
      <c r="G17" s="226" t="n">
        <v>4000</v>
      </c>
      <c r="H17" s="108" t="inlineStr">
        <is>
          <t>Aktif</t>
        </is>
      </c>
      <c r="I17" s="227">
        <f>IF(OR($C17="",$D17="",$G17="",$F17=""),0,$G17*IF($F17="Aylık",MAX(0,(YEAR(MIN(IF($E17="",TODAY(),$E17),TODAY()))-YEAR($D17))*12+MONTH(MIN(IF($E17="",TODAY(),$E17),TODAY()))-MONTH($D17)+IF(MIN(IF($E17="",TODAY(),$E17),TODAY())&gt;=EOMONTH(MIN(IF($E17="",TODAY(),$E17),TODAY()),0),1,0)),MAX(0,INT((MIN(IF($E17="",TODAY(),$E17),TODAY())-($D17+MOD(SISTEM!$F$8-WEEKDAY($D17,2),7)))/7)+1)))</f>
        <v/>
      </c>
      <c r="J17" s="227">
        <f>IF(OR($C17="",$D17="",$G17="",$F17=""),0,$G17*IF($F17="Aylık",MAX(0,(YEAR(MIN(IF($E17="",TODAY()-8,$E17),TODAY()-8))-YEAR($D17))*12+MONTH(MIN(IF($E17="",TODAY()-8,$E17),TODAY()-8))-MONTH($D17)+IF(MIN(IF($E17="",TODAY()-8,$E17),TODAY()-8)&gt;=EOMONTH(MIN(IF($E17="",TODAY()-8,$E17),TODAY()-8),0),1,0)),MAX(0,INT((MIN(IF($E17="",TODAY()-8,$E17),TODAY()-8)-($D17+MOD(SISTEM!$F$8-WEEKDAY($D17,2),7)))/7)+1)))</f>
        <v/>
      </c>
      <c r="K17" s="227">
        <f>IF(OR($C17="",$D17="",$G17="",$F17=""),0,$G17*IF($F17="Aylık",MAX(0,(YEAR(MIN(IF($E17="",TODAY()-15,$E17),TODAY()-15))-YEAR($D17))*12+MONTH(MIN(IF($E17="",TODAY()-15,$E17),TODAY()-15))-MONTH($D17)+IF(MIN(IF($E17="",TODAY()-15,$E17),TODAY()-15)&gt;=EOMONTH(MIN(IF($E17="",TODAY()-15,$E17),TODAY()-15),0),1,0)),MAX(0,INT((MIN(IF($E17="",TODAY()-15,$E17),TODAY()-15)-($D17+MOD(SISTEM!$F$8-WEEKDAY($D17,2),7)))/7)+1)))</f>
        <v/>
      </c>
      <c r="L17" s="227">
        <f>IF(OR($C17="",$D17="",$G17="",$F17=""),0,$G17*IF($F17="Aylık",MAX(0,(YEAR(MIN(IF($E17="",TODAY()-29,$E17),TODAY()-29))-YEAR($D17))*12+MONTH(MIN(IF($E17="",TODAY()-29,$E17),TODAY()-29))-MONTH($D17)+IF(MIN(IF($E17="",TODAY()-29,$E17),TODAY()-29)&gt;=EOMONTH(MIN(IF($E17="",TODAY()-29,$E17),TODAY()-29),0),1,0)),MAX(0,INT((MIN(IF($E17="",TODAY()-29,$E17),TODAY()-29)-($D17+MOD(SISTEM!$F$8-WEEKDAY($D17,2),7)))/7)+1)))</f>
        <v/>
      </c>
      <c r="M17" s="228">
        <f>IF($G17&gt;0,$I17/$G17,0)</f>
        <v/>
      </c>
      <c r="N17" s="113">
        <f>IF($C17="","",IF($B17="TANIMSIZ MÜŞTERİ","TANIMSIZ MÜŞTERİ",IF($F17="","MODEL SEÇİN",IF(OR($D17="",$G17&lt;=0),"EKSİK",IF(AND($E17&lt;&gt;"",$E17&lt;$D17),"TARİH HATASI",IF($H17="Pasif","KAPALI DÖNEM","UYGUN"))))))</f>
        <v/>
      </c>
      <c r="O17" s="229">
        <f>IF(OR($C17="",$D17="",$F17=""),"",IF($F17="Aylık",EOMONTH($D17,0),($D17+MOD(SISTEM!$F$8-WEEKDAY($D17,2),7))))</f>
        <v/>
      </c>
      <c r="P17" s="109" t="inlineStr">
        <is>
          <t>Tahakkuk modeli ve ücret girilmeli</t>
        </is>
      </c>
      <c r="Q17" s="6" t="n"/>
      <c r="R17" s="6" t="n"/>
      <c r="S17" s="3">
        <f>IF($B17="","",$B17&amp;"|"&amp;COUNTIFS($B$7:$B17,$B17))</f>
        <v/>
      </c>
    </row>
    <row r="18">
      <c r="A18" s="6" t="n"/>
      <c r="B18" s="113">
        <f>IF($C18="","",IFERROR(INDEX(MUSTERILER!$B$7:$B$106,MATCH($C18,MUSTERILER!$C$7:$C$106,0)),IFERROR(INDEX(MUSTERILER!$B$7:$B$106,MATCH($C18,MUSTERILER!$B$7:$B$106,0)),IFERROR(INDEX(MUSTERILER!$B$7:$B$106,MATCH($C18&amp;"*",MUSTERILER!$C$7:$C$106,0)),"TANIMSIZ MÜŞTERİ"))))</f>
        <v/>
      </c>
      <c r="C18" s="109" t="inlineStr">
        <is>
          <t>İLDEŞ LTD.ŞTİ.</t>
        </is>
      </c>
      <c r="D18" s="225" t="n">
        <v>46023</v>
      </c>
      <c r="E18" s="225" t="n"/>
      <c r="F18" s="108" t="inlineStr">
        <is>
          <t>Haftalık</t>
        </is>
      </c>
      <c r="G18" s="226" t="n">
        <v>4000</v>
      </c>
      <c r="H18" s="108" t="inlineStr">
        <is>
          <t>Aktif</t>
        </is>
      </c>
      <c r="I18" s="227">
        <f>IF(OR($C18="",$D18="",$G18="",$F18=""),0,$G18*IF($F18="Aylık",MAX(0,(YEAR(MIN(IF($E18="",TODAY(),$E18),TODAY()))-YEAR($D18))*12+MONTH(MIN(IF($E18="",TODAY(),$E18),TODAY()))-MONTH($D18)+IF(MIN(IF($E18="",TODAY(),$E18),TODAY())&gt;=EOMONTH(MIN(IF($E18="",TODAY(),$E18),TODAY()),0),1,0)),MAX(0,INT((MIN(IF($E18="",TODAY(),$E18),TODAY())-($D18+MOD(SISTEM!$F$8-WEEKDAY($D18,2),7)))/7)+1)))</f>
        <v/>
      </c>
      <c r="J18" s="227">
        <f>IF(OR($C18="",$D18="",$G18="",$F18=""),0,$G18*IF($F18="Aylık",MAX(0,(YEAR(MIN(IF($E18="",TODAY()-8,$E18),TODAY()-8))-YEAR($D18))*12+MONTH(MIN(IF($E18="",TODAY()-8,$E18),TODAY()-8))-MONTH($D18)+IF(MIN(IF($E18="",TODAY()-8,$E18),TODAY()-8)&gt;=EOMONTH(MIN(IF($E18="",TODAY()-8,$E18),TODAY()-8),0),1,0)),MAX(0,INT((MIN(IF($E18="",TODAY()-8,$E18),TODAY()-8)-($D18+MOD(SISTEM!$F$8-WEEKDAY($D18,2),7)))/7)+1)))</f>
        <v/>
      </c>
      <c r="K18" s="227">
        <f>IF(OR($C18="",$D18="",$G18="",$F18=""),0,$G18*IF($F18="Aylık",MAX(0,(YEAR(MIN(IF($E18="",TODAY()-15,$E18),TODAY()-15))-YEAR($D18))*12+MONTH(MIN(IF($E18="",TODAY()-15,$E18),TODAY()-15))-MONTH($D18)+IF(MIN(IF($E18="",TODAY()-15,$E18),TODAY()-15)&gt;=EOMONTH(MIN(IF($E18="",TODAY()-15,$E18),TODAY()-15),0),1,0)),MAX(0,INT((MIN(IF($E18="",TODAY()-15,$E18),TODAY()-15)-($D18+MOD(SISTEM!$F$8-WEEKDAY($D18,2),7)))/7)+1)))</f>
        <v/>
      </c>
      <c r="L18" s="227">
        <f>IF(OR($C18="",$D18="",$G18="",$F18=""),0,$G18*IF($F18="Aylık",MAX(0,(YEAR(MIN(IF($E18="",TODAY()-29,$E18),TODAY()-29))-YEAR($D18))*12+MONTH(MIN(IF($E18="",TODAY()-29,$E18),TODAY()-29))-MONTH($D18)+IF(MIN(IF($E18="",TODAY()-29,$E18),TODAY()-29)&gt;=EOMONTH(MIN(IF($E18="",TODAY()-29,$E18),TODAY()-29),0),1,0)),MAX(0,INT((MIN(IF($E18="",TODAY()-29,$E18),TODAY()-29)-($D18+MOD(SISTEM!$F$8-WEEKDAY($D18,2),7)))/7)+1)))</f>
        <v/>
      </c>
      <c r="M18" s="228">
        <f>IF($G18&gt;0,$I18/$G18,0)</f>
        <v/>
      </c>
      <c r="N18" s="113">
        <f>IF($C18="","",IF($B18="TANIMSIZ MÜŞTERİ","TANIMSIZ MÜŞTERİ",IF($F18="","MODEL SEÇİN",IF(OR($D18="",$G18&lt;=0),"EKSİK",IF(AND($E18&lt;&gt;"",$E18&lt;$D18),"TARİH HATASI",IF($H18="Pasif","KAPALI DÖNEM","UYGUN"))))))</f>
        <v/>
      </c>
      <c r="O18" s="229">
        <f>IF(OR($C18="",$D18="",$F18=""),"",IF($F18="Aylık",EOMONTH($D18,0),($D18+MOD(SISTEM!$F$8-WEEKDAY($D18,2),7))))</f>
        <v/>
      </c>
      <c r="P18" s="109" t="inlineStr">
        <is>
          <t>Tahakkuk modeli ve ücret girilmeli</t>
        </is>
      </c>
      <c r="Q18" s="6" t="n"/>
      <c r="R18" s="6" t="n"/>
      <c r="S18" s="3">
        <f>IF($B18="","",$B18&amp;"|"&amp;COUNTIFS($B$7:$B18,$B18))</f>
        <v/>
      </c>
    </row>
    <row r="19">
      <c r="A19" s="6" t="n"/>
      <c r="B19" s="113">
        <f>IF($C19="","",IFERROR(INDEX(MUSTERILER!$B$7:$B$106,MATCH($C19,MUSTERILER!$C$7:$C$106,0)),IFERROR(INDEX(MUSTERILER!$B$7:$B$106,MATCH($C19,MUSTERILER!$B$7:$B$106,0)),IFERROR(INDEX(MUSTERILER!$B$7:$B$106,MATCH($C19&amp;"*",MUSTERILER!$C$7:$C$106,0)),"TANIMSIZ MÜŞTERİ"))))</f>
        <v/>
      </c>
      <c r="C19" s="109" t="inlineStr">
        <is>
          <t>NAZ 1 GIDA LTD.ŞTİ.</t>
        </is>
      </c>
      <c r="D19" s="225" t="n">
        <v>46023</v>
      </c>
      <c r="E19" s="225" t="n"/>
      <c r="F19" s="108" t="inlineStr">
        <is>
          <t>Haftalık</t>
        </is>
      </c>
      <c r="G19" s="226" t="n">
        <v>2000</v>
      </c>
      <c r="H19" s="108" t="inlineStr">
        <is>
          <t>Aktif</t>
        </is>
      </c>
      <c r="I19" s="227">
        <f>IF(OR($C19="",$D19="",$G19="",$F19=""),0,$G19*IF($F19="Aylık",MAX(0,(YEAR(MIN(IF($E19="",TODAY(),$E19),TODAY()))-YEAR($D19))*12+MONTH(MIN(IF($E19="",TODAY(),$E19),TODAY()))-MONTH($D19)+IF(MIN(IF($E19="",TODAY(),$E19),TODAY())&gt;=EOMONTH(MIN(IF($E19="",TODAY(),$E19),TODAY()),0),1,0)),MAX(0,INT((MIN(IF($E19="",TODAY(),$E19),TODAY())-($D19+MOD(SISTEM!$F$8-WEEKDAY($D19,2),7)))/7)+1)))</f>
        <v/>
      </c>
      <c r="J19" s="227">
        <f>IF(OR($C19="",$D19="",$G19="",$F19=""),0,$G19*IF($F19="Aylık",MAX(0,(YEAR(MIN(IF($E19="",TODAY()-8,$E19),TODAY()-8))-YEAR($D19))*12+MONTH(MIN(IF($E19="",TODAY()-8,$E19),TODAY()-8))-MONTH($D19)+IF(MIN(IF($E19="",TODAY()-8,$E19),TODAY()-8)&gt;=EOMONTH(MIN(IF($E19="",TODAY()-8,$E19),TODAY()-8),0),1,0)),MAX(0,INT((MIN(IF($E19="",TODAY()-8,$E19),TODAY()-8)-($D19+MOD(SISTEM!$F$8-WEEKDAY($D19,2),7)))/7)+1)))</f>
        <v/>
      </c>
      <c r="K19" s="227">
        <f>IF(OR($C19="",$D19="",$G19="",$F19=""),0,$G19*IF($F19="Aylık",MAX(0,(YEAR(MIN(IF($E19="",TODAY()-15,$E19),TODAY()-15))-YEAR($D19))*12+MONTH(MIN(IF($E19="",TODAY()-15,$E19),TODAY()-15))-MONTH($D19)+IF(MIN(IF($E19="",TODAY()-15,$E19),TODAY()-15)&gt;=EOMONTH(MIN(IF($E19="",TODAY()-15,$E19),TODAY()-15),0),1,0)),MAX(0,INT((MIN(IF($E19="",TODAY()-15,$E19),TODAY()-15)-($D19+MOD(SISTEM!$F$8-WEEKDAY($D19,2),7)))/7)+1)))</f>
        <v/>
      </c>
      <c r="L19" s="227">
        <f>IF(OR($C19="",$D19="",$G19="",$F19=""),0,$G19*IF($F19="Aylık",MAX(0,(YEAR(MIN(IF($E19="",TODAY()-29,$E19),TODAY()-29))-YEAR($D19))*12+MONTH(MIN(IF($E19="",TODAY()-29,$E19),TODAY()-29))-MONTH($D19)+IF(MIN(IF($E19="",TODAY()-29,$E19),TODAY()-29)&gt;=EOMONTH(MIN(IF($E19="",TODAY()-29,$E19),TODAY()-29),0),1,0)),MAX(0,INT((MIN(IF($E19="",TODAY()-29,$E19),TODAY()-29)-($D19+MOD(SISTEM!$F$8-WEEKDAY($D19,2),7)))/7)+1)))</f>
        <v/>
      </c>
      <c r="M19" s="228">
        <f>IF($G19&gt;0,$I19/$G19,0)</f>
        <v/>
      </c>
      <c r="N19" s="113">
        <f>IF($C19="","",IF($B19="TANIMSIZ MÜŞTERİ","TANIMSIZ MÜŞTERİ",IF($F19="","MODEL SEÇİN",IF(OR($D19="",$G19&lt;=0),"EKSİK",IF(AND($E19&lt;&gt;"",$E19&lt;$D19),"TARİH HATASI",IF($H19="Pasif","KAPALI DÖNEM","UYGUN"))))))</f>
        <v/>
      </c>
      <c r="O19" s="229">
        <f>IF(OR($C19="",$D19="",$F19=""),"",IF($F19="Aylık",EOMONTH($D19,0),($D19+MOD(SISTEM!$F$8-WEEKDAY($D19,2),7))))</f>
        <v/>
      </c>
      <c r="P19" s="109" t="inlineStr">
        <is>
          <t>Tahakkuk modeli ve ücret girilmeli</t>
        </is>
      </c>
      <c r="Q19" s="6" t="n"/>
      <c r="R19" s="6" t="n"/>
      <c r="S19" s="3">
        <f>IF($B19="","",$B19&amp;"|"&amp;COUNTIFS($B$7:$B19,$B19))</f>
        <v/>
      </c>
    </row>
    <row r="20">
      <c r="A20" s="6" t="n"/>
      <c r="B20" s="113">
        <f>IF($C20="","",IFERROR(INDEX(MUSTERILER!$B$7:$B$106,MATCH($C20,MUSTERILER!$C$7:$C$106,0)),IFERROR(INDEX(MUSTERILER!$B$7:$B$106,MATCH($C20,MUSTERILER!$B$7:$B$106,0)),IFERROR(INDEX(MUSTERILER!$B$7:$B$106,MATCH($C20&amp;"*",MUSTERILER!$C$7:$C$106,0)),"TANIMSIZ MÜŞTERİ"))))</f>
        <v/>
      </c>
      <c r="C20" s="109" t="inlineStr">
        <is>
          <t>FİNAL SİYAH BEYAZ LTD.ŞTİ.</t>
        </is>
      </c>
      <c r="D20" s="225" t="n">
        <v>46023</v>
      </c>
      <c r="E20" s="225" t="n"/>
      <c r="F20" s="108" t="inlineStr">
        <is>
          <t>Haftalık</t>
        </is>
      </c>
      <c r="G20" s="226" t="n">
        <v>4000</v>
      </c>
      <c r="H20" s="108" t="inlineStr">
        <is>
          <t>Aktif</t>
        </is>
      </c>
      <c r="I20" s="227">
        <f>IF(OR($C20="",$D20="",$G20="",$F20=""),0,$G20*IF($F20="Aylık",MAX(0,(YEAR(MIN(IF($E20="",TODAY(),$E20),TODAY()))-YEAR($D20))*12+MONTH(MIN(IF($E20="",TODAY(),$E20),TODAY()))-MONTH($D20)+IF(MIN(IF($E20="",TODAY(),$E20),TODAY())&gt;=EOMONTH(MIN(IF($E20="",TODAY(),$E20),TODAY()),0),1,0)),MAX(0,INT((MIN(IF($E20="",TODAY(),$E20),TODAY())-($D20+MOD(SISTEM!$F$8-WEEKDAY($D20,2),7)))/7)+1)))</f>
        <v/>
      </c>
      <c r="J20" s="227">
        <f>IF(OR($C20="",$D20="",$G20="",$F20=""),0,$G20*IF($F20="Aylık",MAX(0,(YEAR(MIN(IF($E20="",TODAY()-8,$E20),TODAY()-8))-YEAR($D20))*12+MONTH(MIN(IF($E20="",TODAY()-8,$E20),TODAY()-8))-MONTH($D20)+IF(MIN(IF($E20="",TODAY()-8,$E20),TODAY()-8)&gt;=EOMONTH(MIN(IF($E20="",TODAY()-8,$E20),TODAY()-8),0),1,0)),MAX(0,INT((MIN(IF($E20="",TODAY()-8,$E20),TODAY()-8)-($D20+MOD(SISTEM!$F$8-WEEKDAY($D20,2),7)))/7)+1)))</f>
        <v/>
      </c>
      <c r="K20" s="227">
        <f>IF(OR($C20="",$D20="",$G20="",$F20=""),0,$G20*IF($F20="Aylık",MAX(0,(YEAR(MIN(IF($E20="",TODAY()-15,$E20),TODAY()-15))-YEAR($D20))*12+MONTH(MIN(IF($E20="",TODAY()-15,$E20),TODAY()-15))-MONTH($D20)+IF(MIN(IF($E20="",TODAY()-15,$E20),TODAY()-15)&gt;=EOMONTH(MIN(IF($E20="",TODAY()-15,$E20),TODAY()-15),0),1,0)),MAX(0,INT((MIN(IF($E20="",TODAY()-15,$E20),TODAY()-15)-($D20+MOD(SISTEM!$F$8-WEEKDAY($D20,2),7)))/7)+1)))</f>
        <v/>
      </c>
      <c r="L20" s="227">
        <f>IF(OR($C20="",$D20="",$G20="",$F20=""),0,$G20*IF($F20="Aylık",MAX(0,(YEAR(MIN(IF($E20="",TODAY()-29,$E20),TODAY()-29))-YEAR($D20))*12+MONTH(MIN(IF($E20="",TODAY()-29,$E20),TODAY()-29))-MONTH($D20)+IF(MIN(IF($E20="",TODAY()-29,$E20),TODAY()-29)&gt;=EOMONTH(MIN(IF($E20="",TODAY()-29,$E20),TODAY()-29),0),1,0)),MAX(0,INT((MIN(IF($E20="",TODAY()-29,$E20),TODAY()-29)-($D20+MOD(SISTEM!$F$8-WEEKDAY($D20,2),7)))/7)+1)))</f>
        <v/>
      </c>
      <c r="M20" s="228">
        <f>IF($G20&gt;0,$I20/$G20,0)</f>
        <v/>
      </c>
      <c r="N20" s="113">
        <f>IF($C20="","",IF($B20="TANIMSIZ MÜŞTERİ","TANIMSIZ MÜŞTERİ",IF($F20="","MODEL SEÇİN",IF(OR($D20="",$G20&lt;=0),"EKSİK",IF(AND($E20&lt;&gt;"",$E20&lt;$D20),"TARİH HATASI",IF($H20="Pasif","KAPALI DÖNEM","UYGUN"))))))</f>
        <v/>
      </c>
      <c r="O20" s="229">
        <f>IF(OR($C20="",$D20="",$F20=""),"",IF($F20="Aylık",EOMONTH($D20,0),($D20+MOD(SISTEM!$F$8-WEEKDAY($D20,2),7))))</f>
        <v/>
      </c>
      <c r="P20" s="109" t="inlineStr">
        <is>
          <t>Tahakkuk modeli ve ücret girilmeli</t>
        </is>
      </c>
      <c r="Q20" s="6" t="n"/>
      <c r="R20" s="6" t="n"/>
      <c r="S20" s="3">
        <f>IF($B20="","",$B20&amp;"|"&amp;COUNTIFS($B$7:$B20,$B20))</f>
        <v/>
      </c>
    </row>
    <row r="21">
      <c r="A21" s="6" t="n"/>
      <c r="B21" s="113">
        <f>IF($C21="","",IFERROR(INDEX(MUSTERILER!$B$7:$B$106,MATCH($C21,MUSTERILER!$C$7:$C$106,0)),IFERROR(INDEX(MUSTERILER!$B$7:$B$106,MATCH($C21,MUSTERILER!$B$7:$B$106,0)),IFERROR(INDEX(MUSTERILER!$B$7:$B$106,MATCH($C21&amp;"*",MUSTERILER!$C$7:$C$106,0)),"TANIMSIZ MÜŞTERİ"))))</f>
        <v/>
      </c>
      <c r="C21" s="109" t="inlineStr">
        <is>
          <t>ÇAYIRALAN LTD.ŞTİ.</t>
        </is>
      </c>
      <c r="D21" s="225" t="n">
        <v>46023</v>
      </c>
      <c r="E21" s="225" t="n"/>
      <c r="F21" s="108" t="inlineStr">
        <is>
          <t>Haftalık</t>
        </is>
      </c>
      <c r="G21" s="226" t="n">
        <v>3000</v>
      </c>
      <c r="H21" s="108" t="inlineStr">
        <is>
          <t>Aktif</t>
        </is>
      </c>
      <c r="I21" s="227">
        <f>IF(OR($C21="",$D21="",$G21="",$F21=""),0,$G21*IF($F21="Aylık",MAX(0,(YEAR(MIN(IF($E21="",TODAY(),$E21),TODAY()))-YEAR($D21))*12+MONTH(MIN(IF($E21="",TODAY(),$E21),TODAY()))-MONTH($D21)+IF(MIN(IF($E21="",TODAY(),$E21),TODAY())&gt;=EOMONTH(MIN(IF($E21="",TODAY(),$E21),TODAY()),0),1,0)),MAX(0,INT((MIN(IF($E21="",TODAY(),$E21),TODAY())-($D21+MOD(SISTEM!$F$8-WEEKDAY($D21,2),7)))/7)+1)))</f>
        <v/>
      </c>
      <c r="J21" s="227">
        <f>IF(OR($C21="",$D21="",$G21="",$F21=""),0,$G21*IF($F21="Aylık",MAX(0,(YEAR(MIN(IF($E21="",TODAY()-8,$E21),TODAY()-8))-YEAR($D21))*12+MONTH(MIN(IF($E21="",TODAY()-8,$E21),TODAY()-8))-MONTH($D21)+IF(MIN(IF($E21="",TODAY()-8,$E21),TODAY()-8)&gt;=EOMONTH(MIN(IF($E21="",TODAY()-8,$E21),TODAY()-8),0),1,0)),MAX(0,INT((MIN(IF($E21="",TODAY()-8,$E21),TODAY()-8)-($D21+MOD(SISTEM!$F$8-WEEKDAY($D21,2),7)))/7)+1)))</f>
        <v/>
      </c>
      <c r="K21" s="227">
        <f>IF(OR($C21="",$D21="",$G21="",$F21=""),0,$G21*IF($F21="Aylık",MAX(0,(YEAR(MIN(IF($E21="",TODAY()-15,$E21),TODAY()-15))-YEAR($D21))*12+MONTH(MIN(IF($E21="",TODAY()-15,$E21),TODAY()-15))-MONTH($D21)+IF(MIN(IF($E21="",TODAY()-15,$E21),TODAY()-15)&gt;=EOMONTH(MIN(IF($E21="",TODAY()-15,$E21),TODAY()-15),0),1,0)),MAX(0,INT((MIN(IF($E21="",TODAY()-15,$E21),TODAY()-15)-($D21+MOD(SISTEM!$F$8-WEEKDAY($D21,2),7)))/7)+1)))</f>
        <v/>
      </c>
      <c r="L21" s="227">
        <f>IF(OR($C21="",$D21="",$G21="",$F21=""),0,$G21*IF($F21="Aylık",MAX(0,(YEAR(MIN(IF($E21="",TODAY()-29,$E21),TODAY()-29))-YEAR($D21))*12+MONTH(MIN(IF($E21="",TODAY()-29,$E21),TODAY()-29))-MONTH($D21)+IF(MIN(IF($E21="",TODAY()-29,$E21),TODAY()-29)&gt;=EOMONTH(MIN(IF($E21="",TODAY()-29,$E21),TODAY()-29),0),1,0)),MAX(0,INT((MIN(IF($E21="",TODAY()-29,$E21),TODAY()-29)-($D21+MOD(SISTEM!$F$8-WEEKDAY($D21,2),7)))/7)+1)))</f>
        <v/>
      </c>
      <c r="M21" s="228">
        <f>IF($G21&gt;0,$I21/$G21,0)</f>
        <v/>
      </c>
      <c r="N21" s="113">
        <f>IF($C21="","",IF($B21="TANIMSIZ MÜŞTERİ","TANIMSIZ MÜŞTERİ",IF($F21="","MODEL SEÇİN",IF(OR($D21="",$G21&lt;=0),"EKSİK",IF(AND($E21&lt;&gt;"",$E21&lt;$D21),"TARİH HATASI",IF($H21="Pasif","KAPALI DÖNEM","UYGUN"))))))</f>
        <v/>
      </c>
      <c r="O21" s="229">
        <f>IF(OR($C21="",$D21="",$F21=""),"",IF($F21="Aylık",EOMONTH($D21,0),($D21+MOD(SISTEM!$F$8-WEEKDAY($D21,2),7))))</f>
        <v/>
      </c>
      <c r="P21" s="109" t="inlineStr">
        <is>
          <t>Tahakkuk modeli ve ücret girilmeli</t>
        </is>
      </c>
      <c r="Q21" s="6" t="n"/>
      <c r="R21" s="6" t="n"/>
      <c r="S21" s="3">
        <f>IF($B21="","",$B21&amp;"|"&amp;COUNTIFS($B$7:$B21,$B21))</f>
        <v/>
      </c>
    </row>
    <row r="22">
      <c r="A22" s="6" t="n"/>
      <c r="B22" s="113">
        <f>IF($C22="","",IFERROR(INDEX(MUSTERILER!$B$7:$B$106,MATCH($C22,MUSTERILER!$C$7:$C$106,0)),IFERROR(INDEX(MUSTERILER!$B$7:$B$106,MATCH($C22,MUSTERILER!$B$7:$B$106,0)),IFERROR(INDEX(MUSTERILER!$B$7:$B$106,MATCH($C22&amp;"*",MUSTERILER!$C$7:$C$106,0)),"TANIMSIZ MÜŞTERİ"))))</f>
        <v/>
      </c>
      <c r="C22" s="109" t="inlineStr">
        <is>
          <t>RİX ŞOW LTD.ŞTİ.</t>
        </is>
      </c>
      <c r="D22" s="225" t="n">
        <v>46023</v>
      </c>
      <c r="E22" s="225" t="n"/>
      <c r="F22" s="108" t="inlineStr">
        <is>
          <t>Haftalık</t>
        </is>
      </c>
      <c r="G22" s="226" t="n">
        <v>3000</v>
      </c>
      <c r="H22" s="108" t="inlineStr">
        <is>
          <t>Aktif</t>
        </is>
      </c>
      <c r="I22" s="227">
        <f>IF(OR($C22="",$D22="",$G22="",$F22=""),0,$G22*IF($F22="Aylık",MAX(0,(YEAR(MIN(IF($E22="",TODAY(),$E22),TODAY()))-YEAR($D22))*12+MONTH(MIN(IF($E22="",TODAY(),$E22),TODAY()))-MONTH($D22)+IF(MIN(IF($E22="",TODAY(),$E22),TODAY())&gt;=EOMONTH(MIN(IF($E22="",TODAY(),$E22),TODAY()),0),1,0)),MAX(0,INT((MIN(IF($E22="",TODAY(),$E22),TODAY())-($D22+MOD(SISTEM!$F$8-WEEKDAY($D22,2),7)))/7)+1)))</f>
        <v/>
      </c>
      <c r="J22" s="227">
        <f>IF(OR($C22="",$D22="",$G22="",$F22=""),0,$G22*IF($F22="Aylık",MAX(0,(YEAR(MIN(IF($E22="",TODAY()-8,$E22),TODAY()-8))-YEAR($D22))*12+MONTH(MIN(IF($E22="",TODAY()-8,$E22),TODAY()-8))-MONTH($D22)+IF(MIN(IF($E22="",TODAY()-8,$E22),TODAY()-8)&gt;=EOMONTH(MIN(IF($E22="",TODAY()-8,$E22),TODAY()-8),0),1,0)),MAX(0,INT((MIN(IF($E22="",TODAY()-8,$E22),TODAY()-8)-($D22+MOD(SISTEM!$F$8-WEEKDAY($D22,2),7)))/7)+1)))</f>
        <v/>
      </c>
      <c r="K22" s="227">
        <f>IF(OR($C22="",$D22="",$G22="",$F22=""),0,$G22*IF($F22="Aylık",MAX(0,(YEAR(MIN(IF($E22="",TODAY()-15,$E22),TODAY()-15))-YEAR($D22))*12+MONTH(MIN(IF($E22="",TODAY()-15,$E22),TODAY()-15))-MONTH($D22)+IF(MIN(IF($E22="",TODAY()-15,$E22),TODAY()-15)&gt;=EOMONTH(MIN(IF($E22="",TODAY()-15,$E22),TODAY()-15),0),1,0)),MAX(0,INT((MIN(IF($E22="",TODAY()-15,$E22),TODAY()-15)-($D22+MOD(SISTEM!$F$8-WEEKDAY($D22,2),7)))/7)+1)))</f>
        <v/>
      </c>
      <c r="L22" s="227">
        <f>IF(OR($C22="",$D22="",$G22="",$F22=""),0,$G22*IF($F22="Aylık",MAX(0,(YEAR(MIN(IF($E22="",TODAY()-29,$E22),TODAY()-29))-YEAR($D22))*12+MONTH(MIN(IF($E22="",TODAY()-29,$E22),TODAY()-29))-MONTH($D22)+IF(MIN(IF($E22="",TODAY()-29,$E22),TODAY()-29)&gt;=EOMONTH(MIN(IF($E22="",TODAY()-29,$E22),TODAY()-29),0),1,0)),MAX(0,INT((MIN(IF($E22="",TODAY()-29,$E22),TODAY()-29)-($D22+MOD(SISTEM!$F$8-WEEKDAY($D22,2),7)))/7)+1)))</f>
        <v/>
      </c>
      <c r="M22" s="228">
        <f>IF($G22&gt;0,$I22/$G22,0)</f>
        <v/>
      </c>
      <c r="N22" s="113">
        <f>IF($C22="","",IF($B22="TANIMSIZ MÜŞTERİ","TANIMSIZ MÜŞTERİ",IF($F22="","MODEL SEÇİN",IF(OR($D22="",$G22&lt;=0),"EKSİK",IF(AND($E22&lt;&gt;"",$E22&lt;$D22),"TARİH HATASI",IF($H22="Pasif","KAPALI DÖNEM","UYGUN"))))))</f>
        <v/>
      </c>
      <c r="O22" s="229">
        <f>IF(OR($C22="",$D22="",$F22=""),"",IF($F22="Aylık",EOMONTH($D22,0),($D22+MOD(SISTEM!$F$8-WEEKDAY($D22,2),7))))</f>
        <v/>
      </c>
      <c r="P22" s="109" t="inlineStr">
        <is>
          <t>Tahakkuk modeli ve ücret girilmeli</t>
        </is>
      </c>
      <c r="Q22" s="6" t="n"/>
      <c r="R22" s="6" t="n"/>
      <c r="S22" s="3">
        <f>IF($B22="","",$B22&amp;"|"&amp;COUNTIFS($B$7:$B22,$B22))</f>
        <v/>
      </c>
    </row>
    <row r="23">
      <c r="A23" s="6" t="n"/>
      <c r="B23" s="113">
        <f>IF($C23="","",IFERROR(INDEX(MUSTERILER!$B$7:$B$106,MATCH($C23,MUSTERILER!$C$7:$C$106,0)),IFERROR(INDEX(MUSTERILER!$B$7:$B$106,MATCH($C23,MUSTERILER!$B$7:$B$106,0)),IFERROR(INDEX(MUSTERILER!$B$7:$B$106,MATCH($C23&amp;"*",MUSTERILER!$C$7:$C$106,0)),"TANIMSIZ MÜŞTERİ"))))</f>
        <v/>
      </c>
      <c r="C23" s="109" t="inlineStr">
        <is>
          <t>ASM EĞLENCE LTD.ŞTİ.</t>
        </is>
      </c>
      <c r="D23" s="225" t="n">
        <v>46023</v>
      </c>
      <c r="E23" s="225" t="n"/>
      <c r="F23" s="108" t="inlineStr">
        <is>
          <t>Haftalık</t>
        </is>
      </c>
      <c r="G23" s="226" t="n">
        <v>2500</v>
      </c>
      <c r="H23" s="108" t="inlineStr">
        <is>
          <t>Aktif</t>
        </is>
      </c>
      <c r="I23" s="227">
        <f>IF(OR($C23="",$D23="",$G23="",$F23=""),0,$G23*IF($F23="Aylık",MAX(0,(YEAR(MIN(IF($E23="",TODAY(),$E23),TODAY()))-YEAR($D23))*12+MONTH(MIN(IF($E23="",TODAY(),$E23),TODAY()))-MONTH($D23)+IF(MIN(IF($E23="",TODAY(),$E23),TODAY())&gt;=EOMONTH(MIN(IF($E23="",TODAY(),$E23),TODAY()),0),1,0)),MAX(0,INT((MIN(IF($E23="",TODAY(),$E23),TODAY())-($D23+MOD(SISTEM!$F$8-WEEKDAY($D23,2),7)))/7)+1)))</f>
        <v/>
      </c>
      <c r="J23" s="227">
        <f>IF(OR($C23="",$D23="",$G23="",$F23=""),0,$G23*IF($F23="Aylık",MAX(0,(YEAR(MIN(IF($E23="",TODAY()-8,$E23),TODAY()-8))-YEAR($D23))*12+MONTH(MIN(IF($E23="",TODAY()-8,$E23),TODAY()-8))-MONTH($D23)+IF(MIN(IF($E23="",TODAY()-8,$E23),TODAY()-8)&gt;=EOMONTH(MIN(IF($E23="",TODAY()-8,$E23),TODAY()-8),0),1,0)),MAX(0,INT((MIN(IF($E23="",TODAY()-8,$E23),TODAY()-8)-($D23+MOD(SISTEM!$F$8-WEEKDAY($D23,2),7)))/7)+1)))</f>
        <v/>
      </c>
      <c r="K23" s="227">
        <f>IF(OR($C23="",$D23="",$G23="",$F23=""),0,$G23*IF($F23="Aylık",MAX(0,(YEAR(MIN(IF($E23="",TODAY()-15,$E23),TODAY()-15))-YEAR($D23))*12+MONTH(MIN(IF($E23="",TODAY()-15,$E23),TODAY()-15))-MONTH($D23)+IF(MIN(IF($E23="",TODAY()-15,$E23),TODAY()-15)&gt;=EOMONTH(MIN(IF($E23="",TODAY()-15,$E23),TODAY()-15),0),1,0)),MAX(0,INT((MIN(IF($E23="",TODAY()-15,$E23),TODAY()-15)-($D23+MOD(SISTEM!$F$8-WEEKDAY($D23,2),7)))/7)+1)))</f>
        <v/>
      </c>
      <c r="L23" s="227">
        <f>IF(OR($C23="",$D23="",$G23="",$F23=""),0,$G23*IF($F23="Aylık",MAX(0,(YEAR(MIN(IF($E23="",TODAY()-29,$E23),TODAY()-29))-YEAR($D23))*12+MONTH(MIN(IF($E23="",TODAY()-29,$E23),TODAY()-29))-MONTH($D23)+IF(MIN(IF($E23="",TODAY()-29,$E23),TODAY()-29)&gt;=EOMONTH(MIN(IF($E23="",TODAY()-29,$E23),TODAY()-29),0),1,0)),MAX(0,INT((MIN(IF($E23="",TODAY()-29,$E23),TODAY()-29)-($D23+MOD(SISTEM!$F$8-WEEKDAY($D23,2),7)))/7)+1)))</f>
        <v/>
      </c>
      <c r="M23" s="228">
        <f>IF($G23&gt;0,$I23/$G23,0)</f>
        <v/>
      </c>
      <c r="N23" s="113">
        <f>IF($C23="","",IF($B23="TANIMSIZ MÜŞTERİ","TANIMSIZ MÜŞTERİ",IF($F23="","MODEL SEÇİN",IF(OR($D23="",$G23&lt;=0),"EKSİK",IF(AND($E23&lt;&gt;"",$E23&lt;$D23),"TARİH HATASI",IF($H23="Pasif","KAPALI DÖNEM","UYGUN"))))))</f>
        <v/>
      </c>
      <c r="O23" s="229">
        <f>IF(OR($C23="",$D23="",$F23=""),"",IF($F23="Aylık",EOMONTH($D23,0),($D23+MOD(SISTEM!$F$8-WEEKDAY($D23,2),7))))</f>
        <v/>
      </c>
      <c r="P23" s="109" t="inlineStr">
        <is>
          <t>Tahakkuk modeli ve ücret girilmeli</t>
        </is>
      </c>
      <c r="Q23" s="6" t="n"/>
      <c r="R23" s="6" t="n"/>
      <c r="S23" s="3">
        <f>IF($B23="","",$B23&amp;"|"&amp;COUNTIFS($B$7:$B23,$B23))</f>
        <v/>
      </c>
    </row>
    <row r="24">
      <c r="A24" s="6" t="n"/>
      <c r="B24" s="113">
        <f>IF($C24="","",IFERROR(INDEX(MUSTERILER!$B$7:$B$106,MATCH($C24,MUSTERILER!$C$7:$C$106,0)),IFERROR(INDEX(MUSTERILER!$B$7:$B$106,MATCH($C24,MUSTERILER!$B$7:$B$106,0)),IFERROR(INDEX(MUSTERILER!$B$7:$B$106,MATCH($C24&amp;"*",MUSTERILER!$C$7:$C$106,0)),"TANIMSIZ MÜŞTERİ"))))</f>
        <v/>
      </c>
      <c r="C24" s="109" t="inlineStr">
        <is>
          <t>ÇINARHAN LTD.ŞTİ.</t>
        </is>
      </c>
      <c r="D24" s="225" t="n">
        <v>46023</v>
      </c>
      <c r="E24" s="225" t="n"/>
      <c r="F24" s="108" t="inlineStr">
        <is>
          <t>Haftalık</t>
        </is>
      </c>
      <c r="G24" s="226" t="n">
        <v>4000</v>
      </c>
      <c r="H24" s="108" t="inlineStr">
        <is>
          <t>Aktif</t>
        </is>
      </c>
      <c r="I24" s="227">
        <f>IF(OR($C24="",$D24="",$G24="",$F24=""),0,$G24*IF($F24="Aylık",MAX(0,(YEAR(MIN(IF($E24="",TODAY(),$E24),TODAY()))-YEAR($D24))*12+MONTH(MIN(IF($E24="",TODAY(),$E24),TODAY()))-MONTH($D24)+IF(MIN(IF($E24="",TODAY(),$E24),TODAY())&gt;=EOMONTH(MIN(IF($E24="",TODAY(),$E24),TODAY()),0),1,0)),MAX(0,INT((MIN(IF($E24="",TODAY(),$E24),TODAY())-($D24+MOD(SISTEM!$F$8-WEEKDAY($D24,2),7)))/7)+1)))</f>
        <v/>
      </c>
      <c r="J24" s="227">
        <f>IF(OR($C24="",$D24="",$G24="",$F24=""),0,$G24*IF($F24="Aylık",MAX(0,(YEAR(MIN(IF($E24="",TODAY()-8,$E24),TODAY()-8))-YEAR($D24))*12+MONTH(MIN(IF($E24="",TODAY()-8,$E24),TODAY()-8))-MONTH($D24)+IF(MIN(IF($E24="",TODAY()-8,$E24),TODAY()-8)&gt;=EOMONTH(MIN(IF($E24="",TODAY()-8,$E24),TODAY()-8),0),1,0)),MAX(0,INT((MIN(IF($E24="",TODAY()-8,$E24),TODAY()-8)-($D24+MOD(SISTEM!$F$8-WEEKDAY($D24,2),7)))/7)+1)))</f>
        <v/>
      </c>
      <c r="K24" s="227">
        <f>IF(OR($C24="",$D24="",$G24="",$F24=""),0,$G24*IF($F24="Aylık",MAX(0,(YEAR(MIN(IF($E24="",TODAY()-15,$E24),TODAY()-15))-YEAR($D24))*12+MONTH(MIN(IF($E24="",TODAY()-15,$E24),TODAY()-15))-MONTH($D24)+IF(MIN(IF($E24="",TODAY()-15,$E24),TODAY()-15)&gt;=EOMONTH(MIN(IF($E24="",TODAY()-15,$E24),TODAY()-15),0),1,0)),MAX(0,INT((MIN(IF($E24="",TODAY()-15,$E24),TODAY()-15)-($D24+MOD(SISTEM!$F$8-WEEKDAY($D24,2),7)))/7)+1)))</f>
        <v/>
      </c>
      <c r="L24" s="227">
        <f>IF(OR($C24="",$D24="",$G24="",$F24=""),0,$G24*IF($F24="Aylık",MAX(0,(YEAR(MIN(IF($E24="",TODAY()-29,$E24),TODAY()-29))-YEAR($D24))*12+MONTH(MIN(IF($E24="",TODAY()-29,$E24),TODAY()-29))-MONTH($D24)+IF(MIN(IF($E24="",TODAY()-29,$E24),TODAY()-29)&gt;=EOMONTH(MIN(IF($E24="",TODAY()-29,$E24),TODAY()-29),0),1,0)),MAX(0,INT((MIN(IF($E24="",TODAY()-29,$E24),TODAY()-29)-($D24+MOD(SISTEM!$F$8-WEEKDAY($D24,2),7)))/7)+1)))</f>
        <v/>
      </c>
      <c r="M24" s="228">
        <f>IF($G24&gt;0,$I24/$G24,0)</f>
        <v/>
      </c>
      <c r="N24" s="113">
        <f>IF($C24="","",IF($B24="TANIMSIZ MÜŞTERİ","TANIMSIZ MÜŞTERİ",IF($F24="","MODEL SEÇİN",IF(OR($D24="",$G24&lt;=0),"EKSİK",IF(AND($E24&lt;&gt;"",$E24&lt;$D24),"TARİH HATASI",IF($H24="Pasif","KAPALI DÖNEM","UYGUN"))))))</f>
        <v/>
      </c>
      <c r="O24" s="229">
        <f>IF(OR($C24="",$D24="",$F24=""),"",IF($F24="Aylık",EOMONTH($D24,0),($D24+MOD(SISTEM!$F$8-WEEKDAY($D24,2),7))))</f>
        <v/>
      </c>
      <c r="P24" s="109" t="inlineStr">
        <is>
          <t>Tahakkuk modeli ve ücret girilmeli</t>
        </is>
      </c>
      <c r="Q24" s="6" t="n"/>
      <c r="R24" s="6" t="n"/>
      <c r="S24" s="3">
        <f>IF($B24="","",$B24&amp;"|"&amp;COUNTIFS($B$7:$B24,$B24))</f>
        <v/>
      </c>
    </row>
    <row r="25">
      <c r="A25" s="6" t="n"/>
      <c r="B25" s="113">
        <f>IF($C25="","",IFERROR(INDEX(MUSTERILER!$B$7:$B$106,MATCH($C25,MUSTERILER!$C$7:$C$106,0)),IFERROR(INDEX(MUSTERILER!$B$7:$B$106,MATCH($C25,MUSTERILER!$B$7:$B$106,0)),IFERROR(INDEX(MUSTERILER!$B$7:$B$106,MATCH($C25&amp;"*",MUSTERILER!$C$7:$C$106,0)),"TANIMSIZ MÜŞTERİ"))))</f>
        <v/>
      </c>
      <c r="C25" s="109" t="inlineStr">
        <is>
          <t>AC OTEL LTD.ŞTİ.</t>
        </is>
      </c>
      <c r="D25" s="225" t="n">
        <v>46023</v>
      </c>
      <c r="E25" s="225" t="n"/>
      <c r="F25" s="108" t="inlineStr">
        <is>
          <t>Aylık</t>
        </is>
      </c>
      <c r="G25" s="226" t="n">
        <v>4000</v>
      </c>
      <c r="H25" s="108" t="inlineStr">
        <is>
          <t>Aktif</t>
        </is>
      </c>
      <c r="I25" s="227">
        <f>IF(OR($C25="",$D25="",$G25="",$F25=""),0,$G25*IF($F25="Aylık",MAX(0,(YEAR(MIN(IF($E25="",TODAY(),$E25),TODAY()))-YEAR($D25))*12+MONTH(MIN(IF($E25="",TODAY(),$E25),TODAY()))-MONTH($D25)+IF(MIN(IF($E25="",TODAY(),$E25),TODAY())&gt;=EOMONTH(MIN(IF($E25="",TODAY(),$E25),TODAY()),0),1,0)),MAX(0,INT((MIN(IF($E25="",TODAY(),$E25),TODAY())-($D25+MOD(SISTEM!$F$8-WEEKDAY($D25,2),7)))/7)+1)))</f>
        <v/>
      </c>
      <c r="J25" s="227">
        <f>IF(OR($C25="",$D25="",$G25="",$F25=""),0,$G25*IF($F25="Aylık",MAX(0,(YEAR(MIN(IF($E25="",TODAY()-8,$E25),TODAY()-8))-YEAR($D25))*12+MONTH(MIN(IF($E25="",TODAY()-8,$E25),TODAY()-8))-MONTH($D25)+IF(MIN(IF($E25="",TODAY()-8,$E25),TODAY()-8)&gt;=EOMONTH(MIN(IF($E25="",TODAY()-8,$E25),TODAY()-8),0),1,0)),MAX(0,INT((MIN(IF($E25="",TODAY()-8,$E25),TODAY()-8)-($D25+MOD(SISTEM!$F$8-WEEKDAY($D25,2),7)))/7)+1)))</f>
        <v/>
      </c>
      <c r="K25" s="227">
        <f>IF(OR($C25="",$D25="",$G25="",$F25=""),0,$G25*IF($F25="Aylık",MAX(0,(YEAR(MIN(IF($E25="",TODAY()-15,$E25),TODAY()-15))-YEAR($D25))*12+MONTH(MIN(IF($E25="",TODAY()-15,$E25),TODAY()-15))-MONTH($D25)+IF(MIN(IF($E25="",TODAY()-15,$E25),TODAY()-15)&gt;=EOMONTH(MIN(IF($E25="",TODAY()-15,$E25),TODAY()-15),0),1,0)),MAX(0,INT((MIN(IF($E25="",TODAY()-15,$E25),TODAY()-15)-($D25+MOD(SISTEM!$F$8-WEEKDAY($D25,2),7)))/7)+1)))</f>
        <v/>
      </c>
      <c r="L25" s="227">
        <f>IF(OR($C25="",$D25="",$G25="",$F25=""),0,$G25*IF($F25="Aylık",MAX(0,(YEAR(MIN(IF($E25="",TODAY()-29,$E25),TODAY()-29))-YEAR($D25))*12+MONTH(MIN(IF($E25="",TODAY()-29,$E25),TODAY()-29))-MONTH($D25)+IF(MIN(IF($E25="",TODAY()-29,$E25),TODAY()-29)&gt;=EOMONTH(MIN(IF($E25="",TODAY()-29,$E25),TODAY()-29),0),1,0)),MAX(0,INT((MIN(IF($E25="",TODAY()-29,$E25),TODAY()-29)-($D25+MOD(SISTEM!$F$8-WEEKDAY($D25,2),7)))/7)+1)))</f>
        <v/>
      </c>
      <c r="M25" s="228">
        <f>IF($G25&gt;0,$I25/$G25,0)</f>
        <v/>
      </c>
      <c r="N25" s="113">
        <f>IF($C25="","",IF($B25="TANIMSIZ MÜŞTERİ","TANIMSIZ MÜŞTERİ",IF($F25="","MODEL SEÇİN",IF(OR($D25="",$G25&lt;=0),"EKSİK",IF(AND($E25&lt;&gt;"",$E25&lt;$D25),"TARİH HATASI",IF($H25="Pasif","KAPALI DÖNEM","UYGUN"))))))</f>
        <v/>
      </c>
      <c r="O25" s="229">
        <f>IF(OR($C25="",$D25="",$F25=""),"",IF($F25="Aylık",EOMONTH($D25,0),($D25+MOD(SISTEM!$F$8-WEEKDAY($D25,2),7))))</f>
        <v/>
      </c>
      <c r="P25" s="109" t="inlineStr">
        <is>
          <t>Tahakkuk modeli ve ücret girilmeli</t>
        </is>
      </c>
      <c r="Q25" s="6" t="n"/>
      <c r="R25" s="6" t="n"/>
      <c r="S25" s="3">
        <f>IF($B25="","",$B25&amp;"|"&amp;COUNTIFS($B$7:$B25,$B25))</f>
        <v/>
      </c>
    </row>
    <row r="26">
      <c r="A26" s="6" t="n"/>
      <c r="B26" s="113">
        <f>IF($C26="","",IFERROR(INDEX(MUSTERILER!$B$7:$B$106,MATCH($C26,MUSTERILER!$C$7:$C$106,0)),IFERROR(INDEX(MUSTERILER!$B$7:$B$106,MATCH($C26,MUSTERILER!$B$7:$B$106,0)),IFERROR(INDEX(MUSTERILER!$B$7:$B$106,MATCH($C26&amp;"*",MUSTERILER!$C$7:$C$106,0)),"TANIMSIZ MÜŞTERİ"))))</f>
        <v/>
      </c>
      <c r="C26" s="109" t="inlineStr">
        <is>
          <t>KRİSTAL LTD.ŞTİ.</t>
        </is>
      </c>
      <c r="D26" s="225" t="n">
        <v>46023</v>
      </c>
      <c r="E26" s="225" t="n"/>
      <c r="F26" s="108" t="inlineStr">
        <is>
          <t>Haftalık</t>
        </is>
      </c>
      <c r="G26" s="226" t="n">
        <v>3000</v>
      </c>
      <c r="H26" s="108" t="inlineStr">
        <is>
          <t>Aktif</t>
        </is>
      </c>
      <c r="I26" s="227">
        <f>IF(OR($C26="",$D26="",$G26="",$F26=""),0,$G26*IF($F26="Aylık",MAX(0,(YEAR(MIN(IF($E26="",TODAY(),$E26),TODAY()))-YEAR($D26))*12+MONTH(MIN(IF($E26="",TODAY(),$E26),TODAY()))-MONTH($D26)+IF(MIN(IF($E26="",TODAY(),$E26),TODAY())&gt;=EOMONTH(MIN(IF($E26="",TODAY(),$E26),TODAY()),0),1,0)),MAX(0,INT((MIN(IF($E26="",TODAY(),$E26),TODAY())-($D26+MOD(SISTEM!$F$8-WEEKDAY($D26,2),7)))/7)+1)))</f>
        <v/>
      </c>
      <c r="J26" s="227">
        <f>IF(OR($C26="",$D26="",$G26="",$F26=""),0,$G26*IF($F26="Aylık",MAX(0,(YEAR(MIN(IF($E26="",TODAY()-8,$E26),TODAY()-8))-YEAR($D26))*12+MONTH(MIN(IF($E26="",TODAY()-8,$E26),TODAY()-8))-MONTH($D26)+IF(MIN(IF($E26="",TODAY()-8,$E26),TODAY()-8)&gt;=EOMONTH(MIN(IF($E26="",TODAY()-8,$E26),TODAY()-8),0),1,0)),MAX(0,INT((MIN(IF($E26="",TODAY()-8,$E26),TODAY()-8)-($D26+MOD(SISTEM!$F$8-WEEKDAY($D26,2),7)))/7)+1)))</f>
        <v/>
      </c>
      <c r="K26" s="227">
        <f>IF(OR($C26="",$D26="",$G26="",$F26=""),0,$G26*IF($F26="Aylık",MAX(0,(YEAR(MIN(IF($E26="",TODAY()-15,$E26),TODAY()-15))-YEAR($D26))*12+MONTH(MIN(IF($E26="",TODAY()-15,$E26),TODAY()-15))-MONTH($D26)+IF(MIN(IF($E26="",TODAY()-15,$E26),TODAY()-15)&gt;=EOMONTH(MIN(IF($E26="",TODAY()-15,$E26),TODAY()-15),0),1,0)),MAX(0,INT((MIN(IF($E26="",TODAY()-15,$E26),TODAY()-15)-($D26+MOD(SISTEM!$F$8-WEEKDAY($D26,2),7)))/7)+1)))</f>
        <v/>
      </c>
      <c r="L26" s="227">
        <f>IF(OR($C26="",$D26="",$G26="",$F26=""),0,$G26*IF($F26="Aylık",MAX(0,(YEAR(MIN(IF($E26="",TODAY()-29,$E26),TODAY()-29))-YEAR($D26))*12+MONTH(MIN(IF($E26="",TODAY()-29,$E26),TODAY()-29))-MONTH($D26)+IF(MIN(IF($E26="",TODAY()-29,$E26),TODAY()-29)&gt;=EOMONTH(MIN(IF($E26="",TODAY()-29,$E26),TODAY()-29),0),1,0)),MAX(0,INT((MIN(IF($E26="",TODAY()-29,$E26),TODAY()-29)-($D26+MOD(SISTEM!$F$8-WEEKDAY($D26,2),7)))/7)+1)))</f>
        <v/>
      </c>
      <c r="M26" s="228">
        <f>IF($G26&gt;0,$I26/$G26,0)</f>
        <v/>
      </c>
      <c r="N26" s="113">
        <f>IF($C26="","",IF($B26="TANIMSIZ MÜŞTERİ","TANIMSIZ MÜŞTERİ",IF($F26="","MODEL SEÇİN",IF(OR($D26="",$G26&lt;=0),"EKSİK",IF(AND($E26&lt;&gt;"",$E26&lt;$D26),"TARİH HATASI",IF($H26="Pasif","KAPALI DÖNEM","UYGUN"))))))</f>
        <v/>
      </c>
      <c r="O26" s="229">
        <f>IF(OR($C26="",$D26="",$F26=""),"",IF($F26="Aylık",EOMONTH($D26,0),($D26+MOD(SISTEM!$F$8-WEEKDAY($D26,2),7))))</f>
        <v/>
      </c>
      <c r="P26" s="109" t="inlineStr">
        <is>
          <t>Tahakkuk modeli ve ücret girilmeli</t>
        </is>
      </c>
      <c r="Q26" s="6" t="n"/>
      <c r="R26" s="6" t="n"/>
      <c r="S26" s="3">
        <f>IF($B26="","",$B26&amp;"|"&amp;COUNTIFS($B$7:$B26,$B26))</f>
        <v/>
      </c>
    </row>
    <row r="27">
      <c r="A27" s="6" t="n"/>
      <c r="B27" s="113">
        <f>IF($C27="","",IFERROR(INDEX(MUSTERILER!$B$7:$B$106,MATCH($C27,MUSTERILER!$C$7:$C$106,0)),IFERROR(INDEX(MUSTERILER!$B$7:$B$106,MATCH($C27,MUSTERILER!$B$7:$B$106,0)),IFERROR(INDEX(MUSTERILER!$B$7:$B$106,MATCH($C27&amp;"*",MUSTERILER!$C$7:$C$106,0)),"TANIMSIZ MÜŞTERİ"))))</f>
        <v/>
      </c>
      <c r="C27" s="109" t="inlineStr">
        <is>
          <t>ARON TOPTAN LTD.ŞTİ.</t>
        </is>
      </c>
      <c r="D27" s="225" t="n">
        <v>46023</v>
      </c>
      <c r="E27" s="225" t="n"/>
      <c r="F27" s="108" t="inlineStr">
        <is>
          <t>Aylık</t>
        </is>
      </c>
      <c r="G27" s="226" t="n">
        <v>10000</v>
      </c>
      <c r="H27" s="108" t="inlineStr">
        <is>
          <t>Aktif</t>
        </is>
      </c>
      <c r="I27" s="227">
        <f>IF(OR($C27="",$D27="",$G27="",$F27=""),0,$G27*IF($F27="Aylık",MAX(0,(YEAR(MIN(IF($E27="",TODAY(),$E27),TODAY()))-YEAR($D27))*12+MONTH(MIN(IF($E27="",TODAY(),$E27),TODAY()))-MONTH($D27)+IF(MIN(IF($E27="",TODAY(),$E27),TODAY())&gt;=EOMONTH(MIN(IF($E27="",TODAY(),$E27),TODAY()),0),1,0)),MAX(0,INT((MIN(IF($E27="",TODAY(),$E27),TODAY())-($D27+MOD(SISTEM!$F$8-WEEKDAY($D27,2),7)))/7)+1)))</f>
        <v/>
      </c>
      <c r="J27" s="227">
        <f>IF(OR($C27="",$D27="",$G27="",$F27=""),0,$G27*IF($F27="Aylık",MAX(0,(YEAR(MIN(IF($E27="",TODAY()-8,$E27),TODAY()-8))-YEAR($D27))*12+MONTH(MIN(IF($E27="",TODAY()-8,$E27),TODAY()-8))-MONTH($D27)+IF(MIN(IF($E27="",TODAY()-8,$E27),TODAY()-8)&gt;=EOMONTH(MIN(IF($E27="",TODAY()-8,$E27),TODAY()-8),0),1,0)),MAX(0,INT((MIN(IF($E27="",TODAY()-8,$E27),TODAY()-8)-($D27+MOD(SISTEM!$F$8-WEEKDAY($D27,2),7)))/7)+1)))</f>
        <v/>
      </c>
      <c r="K27" s="227">
        <f>IF(OR($C27="",$D27="",$G27="",$F27=""),0,$G27*IF($F27="Aylık",MAX(0,(YEAR(MIN(IF($E27="",TODAY()-15,$E27),TODAY()-15))-YEAR($D27))*12+MONTH(MIN(IF($E27="",TODAY()-15,$E27),TODAY()-15))-MONTH($D27)+IF(MIN(IF($E27="",TODAY()-15,$E27),TODAY()-15)&gt;=EOMONTH(MIN(IF($E27="",TODAY()-15,$E27),TODAY()-15),0),1,0)),MAX(0,INT((MIN(IF($E27="",TODAY()-15,$E27),TODAY()-15)-($D27+MOD(SISTEM!$F$8-WEEKDAY($D27,2),7)))/7)+1)))</f>
        <v/>
      </c>
      <c r="L27" s="227">
        <f>IF(OR($C27="",$D27="",$G27="",$F27=""),0,$G27*IF($F27="Aylık",MAX(0,(YEAR(MIN(IF($E27="",TODAY()-29,$E27),TODAY()-29))-YEAR($D27))*12+MONTH(MIN(IF($E27="",TODAY()-29,$E27),TODAY()-29))-MONTH($D27)+IF(MIN(IF($E27="",TODAY()-29,$E27),TODAY()-29)&gt;=EOMONTH(MIN(IF($E27="",TODAY()-29,$E27),TODAY()-29),0),1,0)),MAX(0,INT((MIN(IF($E27="",TODAY()-29,$E27),TODAY()-29)-($D27+MOD(SISTEM!$F$8-WEEKDAY($D27,2),7)))/7)+1)))</f>
        <v/>
      </c>
      <c r="M27" s="228">
        <f>IF($G27&gt;0,$I27/$G27,0)</f>
        <v/>
      </c>
      <c r="N27" s="113">
        <f>IF($C27="","",IF($B27="TANIMSIZ MÜŞTERİ","TANIMSIZ MÜŞTERİ",IF($F27="","MODEL SEÇİN",IF(OR($D27="",$G27&lt;=0),"EKSİK",IF(AND($E27&lt;&gt;"",$E27&lt;$D27),"TARİH HATASI",IF($H27="Pasif","KAPALI DÖNEM","UYGUN"))))))</f>
        <v/>
      </c>
      <c r="O27" s="229">
        <f>IF(OR($C27="",$D27="",$F27=""),"",IF($F27="Aylık",EOMONTH($D27,0),($D27+MOD(SISTEM!$F$8-WEEKDAY($D27,2),7))))</f>
        <v/>
      </c>
      <c r="P27" s="109" t="inlineStr">
        <is>
          <t>Tahakkuk modeli ve ücret girilmeli</t>
        </is>
      </c>
      <c r="Q27" s="6" t="n"/>
      <c r="R27" s="6" t="n"/>
      <c r="S27" s="3">
        <f>IF($B27="","",$B27&amp;"|"&amp;COUNTIFS($B$7:$B27,$B27))</f>
        <v/>
      </c>
    </row>
    <row r="28">
      <c r="A28" s="6" t="n"/>
      <c r="B28" s="113">
        <f>IF($C28="","",IFERROR(INDEX(MUSTERILER!$B$7:$B$106,MATCH($C28,MUSTERILER!$C$7:$C$106,0)),IFERROR(INDEX(MUSTERILER!$B$7:$B$106,MATCH($C28,MUSTERILER!$B$7:$B$106,0)),IFERROR(INDEX(MUSTERILER!$B$7:$B$106,MATCH($C28&amp;"*",MUSTERILER!$C$7:$C$106,0)),"TANIMSIZ MÜŞTERİ"))))</f>
        <v/>
      </c>
      <c r="C28" s="109" t="inlineStr">
        <is>
          <t>ADEM KARABENLİ</t>
        </is>
      </c>
      <c r="D28" s="225" t="n">
        <v>46023</v>
      </c>
      <c r="E28" s="225" t="n"/>
      <c r="F28" s="108" t="inlineStr">
        <is>
          <t>Aylık</t>
        </is>
      </c>
      <c r="G28" s="226" t="n">
        <v>3000</v>
      </c>
      <c r="H28" s="108" t="inlineStr">
        <is>
          <t>Aktif</t>
        </is>
      </c>
      <c r="I28" s="227">
        <f>IF(OR($C28="",$D28="",$G28="",$F28=""),0,$G28*IF($F28="Aylık",MAX(0,(YEAR(MIN(IF($E28="",TODAY(),$E28),TODAY()))-YEAR($D28))*12+MONTH(MIN(IF($E28="",TODAY(),$E28),TODAY()))-MONTH($D28)+IF(MIN(IF($E28="",TODAY(),$E28),TODAY())&gt;=EOMONTH(MIN(IF($E28="",TODAY(),$E28),TODAY()),0),1,0)),MAX(0,INT((MIN(IF($E28="",TODAY(),$E28),TODAY())-($D28+MOD(SISTEM!$F$8-WEEKDAY($D28,2),7)))/7)+1)))</f>
        <v/>
      </c>
      <c r="J28" s="227">
        <f>IF(OR($C28="",$D28="",$G28="",$F28=""),0,$G28*IF($F28="Aylık",MAX(0,(YEAR(MIN(IF($E28="",TODAY()-8,$E28),TODAY()-8))-YEAR($D28))*12+MONTH(MIN(IF($E28="",TODAY()-8,$E28),TODAY()-8))-MONTH($D28)+IF(MIN(IF($E28="",TODAY()-8,$E28),TODAY()-8)&gt;=EOMONTH(MIN(IF($E28="",TODAY()-8,$E28),TODAY()-8),0),1,0)),MAX(0,INT((MIN(IF($E28="",TODAY()-8,$E28),TODAY()-8)-($D28+MOD(SISTEM!$F$8-WEEKDAY($D28,2),7)))/7)+1)))</f>
        <v/>
      </c>
      <c r="K28" s="227">
        <f>IF(OR($C28="",$D28="",$G28="",$F28=""),0,$G28*IF($F28="Aylık",MAX(0,(YEAR(MIN(IF($E28="",TODAY()-15,$E28),TODAY()-15))-YEAR($D28))*12+MONTH(MIN(IF($E28="",TODAY()-15,$E28),TODAY()-15))-MONTH($D28)+IF(MIN(IF($E28="",TODAY()-15,$E28),TODAY()-15)&gt;=EOMONTH(MIN(IF($E28="",TODAY()-15,$E28),TODAY()-15),0),1,0)),MAX(0,INT((MIN(IF($E28="",TODAY()-15,$E28),TODAY()-15)-($D28+MOD(SISTEM!$F$8-WEEKDAY($D28,2),7)))/7)+1)))</f>
        <v/>
      </c>
      <c r="L28" s="227">
        <f>IF(OR($C28="",$D28="",$G28="",$F28=""),0,$G28*IF($F28="Aylık",MAX(0,(YEAR(MIN(IF($E28="",TODAY()-29,$E28),TODAY()-29))-YEAR($D28))*12+MONTH(MIN(IF($E28="",TODAY()-29,$E28),TODAY()-29))-MONTH($D28)+IF(MIN(IF($E28="",TODAY()-29,$E28),TODAY()-29)&gt;=EOMONTH(MIN(IF($E28="",TODAY()-29,$E28),TODAY()-29),0),1,0)),MAX(0,INT((MIN(IF($E28="",TODAY()-29,$E28),TODAY()-29)-($D28+MOD(SISTEM!$F$8-WEEKDAY($D28,2),7)))/7)+1)))</f>
        <v/>
      </c>
      <c r="M28" s="228">
        <f>IF($G28&gt;0,$I28/$G28,0)</f>
        <v/>
      </c>
      <c r="N28" s="113">
        <f>IF($C28="","",IF($B28="TANIMSIZ MÜŞTERİ","TANIMSIZ MÜŞTERİ",IF($F28="","MODEL SEÇİN",IF(OR($D28="",$G28&lt;=0),"EKSİK",IF(AND($E28&lt;&gt;"",$E28&lt;$D28),"TARİH HATASI",IF($H28="Pasif","KAPALI DÖNEM","UYGUN"))))))</f>
        <v/>
      </c>
      <c r="O28" s="229">
        <f>IF(OR($C28="",$D28="",$F28=""),"",IF($F28="Aylık",EOMONTH($D28,0),($D28+MOD(SISTEM!$F$8-WEEKDAY($D28,2),7))))</f>
        <v/>
      </c>
      <c r="P28" s="109" t="n"/>
      <c r="Q28" s="6" t="n"/>
      <c r="R28" s="6" t="n"/>
      <c r="S28" s="3">
        <f>IF($B28="","",$B28&amp;"|"&amp;COUNTIFS($B$7:$B28,$B28))</f>
        <v/>
      </c>
    </row>
    <row r="29">
      <c r="A29" s="6" t="n"/>
      <c r="B29" s="113">
        <f>IF($C29="","",IFERROR(INDEX(MUSTERILER!$B$7:$B$106,MATCH($C29,MUSTERILER!$C$7:$C$106,0)),IFERROR(INDEX(MUSTERILER!$B$7:$B$106,MATCH($C29,MUSTERILER!$B$7:$B$106,0)),IFERROR(INDEX(MUSTERILER!$B$7:$B$106,MATCH($C29&amp;"*",MUSTERILER!$C$7:$C$106,0)),"TANIMSIZ MÜŞTERİ"))))</f>
        <v/>
      </c>
      <c r="C29" s="109" t="inlineStr">
        <is>
          <t>ALTINEL LTD.ŞTİ.</t>
        </is>
      </c>
      <c r="D29" s="225" t="n">
        <v>46266</v>
      </c>
      <c r="E29" s="225" t="n"/>
      <c r="F29" s="108" t="inlineStr">
        <is>
          <t>Aylık</t>
        </is>
      </c>
      <c r="G29" s="226" t="n">
        <v>10000</v>
      </c>
      <c r="H29" s="108" t="inlineStr">
        <is>
          <t>Aktif</t>
        </is>
      </c>
      <c r="I29" s="227">
        <f>IF(OR($C29="",$D29="",$G29="",$F29=""),0,$G29*IF($F29="Aylık",MAX(0,(YEAR(MIN(IF($E29="",TODAY(),$E29),TODAY()))-YEAR($D29))*12+MONTH(MIN(IF($E29="",TODAY(),$E29),TODAY()))-MONTH($D29)+IF(MIN(IF($E29="",TODAY(),$E29),TODAY())&gt;=EOMONTH(MIN(IF($E29="",TODAY(),$E29),TODAY()),0),1,0)),MAX(0,INT((MIN(IF($E29="",TODAY(),$E29),TODAY())-($D29+MOD(SISTEM!$F$8-WEEKDAY($D29,2),7)))/7)+1)))</f>
        <v/>
      </c>
      <c r="J29" s="227">
        <f>IF(OR($C29="",$D29="",$G29="",$F29=""),0,$G29*IF($F29="Aylık",MAX(0,(YEAR(MIN(IF($E29="",TODAY()-8,$E29),TODAY()-8))-YEAR($D29))*12+MONTH(MIN(IF($E29="",TODAY()-8,$E29),TODAY()-8))-MONTH($D29)+IF(MIN(IF($E29="",TODAY()-8,$E29),TODAY()-8)&gt;=EOMONTH(MIN(IF($E29="",TODAY()-8,$E29),TODAY()-8),0),1,0)),MAX(0,INT((MIN(IF($E29="",TODAY()-8,$E29),TODAY()-8)-($D29+MOD(SISTEM!$F$8-WEEKDAY($D29,2),7)))/7)+1)))</f>
        <v/>
      </c>
      <c r="K29" s="227">
        <f>IF(OR($C29="",$D29="",$G29="",$F29=""),0,$G29*IF($F29="Aylık",MAX(0,(YEAR(MIN(IF($E29="",TODAY()-15,$E29),TODAY()-15))-YEAR($D29))*12+MONTH(MIN(IF($E29="",TODAY()-15,$E29),TODAY()-15))-MONTH($D29)+IF(MIN(IF($E29="",TODAY()-15,$E29),TODAY()-15)&gt;=EOMONTH(MIN(IF($E29="",TODAY()-15,$E29),TODAY()-15),0),1,0)),MAX(0,INT((MIN(IF($E29="",TODAY()-15,$E29),TODAY()-15)-($D29+MOD(SISTEM!$F$8-WEEKDAY($D29,2),7)))/7)+1)))</f>
        <v/>
      </c>
      <c r="L29" s="227">
        <f>IF(OR($C29="",$D29="",$G29="",$F29=""),0,$G29*IF($F29="Aylık",MAX(0,(YEAR(MIN(IF($E29="",TODAY()-29,$E29),TODAY()-29))-YEAR($D29))*12+MONTH(MIN(IF($E29="",TODAY()-29,$E29),TODAY()-29))-MONTH($D29)+IF(MIN(IF($E29="",TODAY()-29,$E29),TODAY()-29)&gt;=EOMONTH(MIN(IF($E29="",TODAY()-29,$E29),TODAY()-29),0),1,0)),MAX(0,INT((MIN(IF($E29="",TODAY()-29,$E29),TODAY()-29)-($D29+MOD(SISTEM!$F$8-WEEKDAY($D29,2),7)))/7)+1)))</f>
        <v/>
      </c>
      <c r="M29" s="228">
        <f>IF($G29&gt;0,$I29/$G29,0)</f>
        <v/>
      </c>
      <c r="N29" s="113">
        <f>IF($C29="","",IF($B29="TANIMSIZ MÜŞTERİ","TANIMSIZ MÜŞTERİ",IF($F29="","MODEL SEÇİN",IF(OR($D29="",$G29&lt;=0),"EKSİK",IF(AND($E29&lt;&gt;"",$E29&lt;$D29),"TARİH HATASI",IF($H29="Pasif","KAPALI DÖNEM","UYGUN"))))))</f>
        <v/>
      </c>
      <c r="O29" s="229">
        <f>IF(OR($C29="",$D29="",$F29=""),"",IF($F29="Aylık",EOMONTH($D29,0),($D29+MOD(SISTEM!$F$8-WEEKDAY($D29,2),7))))</f>
        <v/>
      </c>
      <c r="P29" s="109" t="n"/>
      <c r="Q29" s="6" t="n"/>
      <c r="R29" s="6" t="n"/>
      <c r="S29" s="3">
        <f>IF($B29="","",$B29&amp;"|"&amp;COUNTIFS($B$7:$B29,$B29))</f>
        <v/>
      </c>
    </row>
    <row r="30">
      <c r="A30" s="6" t="n"/>
      <c r="B30" s="113">
        <f>IF($C30="","",IFERROR(INDEX(MUSTERILER!$B$7:$B$106,MATCH($C30,MUSTERILER!$C$7:$C$106,0)),IFERROR(INDEX(MUSTERILER!$B$7:$B$106,MATCH($C30,MUSTERILER!$B$7:$B$106,0)),IFERROR(INDEX(MUSTERILER!$B$7:$B$106,MATCH($C30&amp;"*",MUSTERILER!$C$7:$C$106,0)),"TANIMSIZ MÜŞTERİ"))))</f>
        <v/>
      </c>
      <c r="C30" s="109" t="inlineStr">
        <is>
          <t>ARMAN DİK</t>
        </is>
      </c>
      <c r="D30" s="225" t="n">
        <v>46023</v>
      </c>
      <c r="E30" s="225" t="n"/>
      <c r="F30" s="108" t="inlineStr">
        <is>
          <t>Aylık</t>
        </is>
      </c>
      <c r="G30" s="226" t="n">
        <v>3000</v>
      </c>
      <c r="H30" s="108" t="inlineStr">
        <is>
          <t>Aktif</t>
        </is>
      </c>
      <c r="I30" s="227">
        <f>IF(OR($C30="",$D30="",$G30="",$F30=""),0,$G30*IF($F30="Aylık",MAX(0,(YEAR(MIN(IF($E30="",TODAY(),$E30),TODAY()))-YEAR($D30))*12+MONTH(MIN(IF($E30="",TODAY(),$E30),TODAY()))-MONTH($D30)+IF(MIN(IF($E30="",TODAY(),$E30),TODAY())&gt;=EOMONTH(MIN(IF($E30="",TODAY(),$E30),TODAY()),0),1,0)),MAX(0,INT((MIN(IF($E30="",TODAY(),$E30),TODAY())-($D30+MOD(SISTEM!$F$8-WEEKDAY($D30,2),7)))/7)+1)))</f>
        <v/>
      </c>
      <c r="J30" s="227">
        <f>IF(OR($C30="",$D30="",$G30="",$F30=""),0,$G30*IF($F30="Aylık",MAX(0,(YEAR(MIN(IF($E30="",TODAY()-8,$E30),TODAY()-8))-YEAR($D30))*12+MONTH(MIN(IF($E30="",TODAY()-8,$E30),TODAY()-8))-MONTH($D30)+IF(MIN(IF($E30="",TODAY()-8,$E30),TODAY()-8)&gt;=EOMONTH(MIN(IF($E30="",TODAY()-8,$E30),TODAY()-8),0),1,0)),MAX(0,INT((MIN(IF($E30="",TODAY()-8,$E30),TODAY()-8)-($D30+MOD(SISTEM!$F$8-WEEKDAY($D30,2),7)))/7)+1)))</f>
        <v/>
      </c>
      <c r="K30" s="227">
        <f>IF(OR($C30="",$D30="",$G30="",$F30=""),0,$G30*IF($F30="Aylık",MAX(0,(YEAR(MIN(IF($E30="",TODAY()-15,$E30),TODAY()-15))-YEAR($D30))*12+MONTH(MIN(IF($E30="",TODAY()-15,$E30),TODAY()-15))-MONTH($D30)+IF(MIN(IF($E30="",TODAY()-15,$E30),TODAY()-15)&gt;=EOMONTH(MIN(IF($E30="",TODAY()-15,$E30),TODAY()-15),0),1,0)),MAX(0,INT((MIN(IF($E30="",TODAY()-15,$E30),TODAY()-15)-($D30+MOD(SISTEM!$F$8-WEEKDAY($D30,2),7)))/7)+1)))</f>
        <v/>
      </c>
      <c r="L30" s="227">
        <f>IF(OR($C30="",$D30="",$G30="",$F30=""),0,$G30*IF($F30="Aylık",MAX(0,(YEAR(MIN(IF($E30="",TODAY()-29,$E30),TODAY()-29))-YEAR($D30))*12+MONTH(MIN(IF($E30="",TODAY()-29,$E30),TODAY()-29))-MONTH($D30)+IF(MIN(IF($E30="",TODAY()-29,$E30),TODAY()-29)&gt;=EOMONTH(MIN(IF($E30="",TODAY()-29,$E30),TODAY()-29),0),1,0)),MAX(0,INT((MIN(IF($E30="",TODAY()-29,$E30),TODAY()-29)-($D30+MOD(SISTEM!$F$8-WEEKDAY($D30,2),7)))/7)+1)))</f>
        <v/>
      </c>
      <c r="M30" s="228">
        <f>IF($G30&gt;0,$I30/$G30,0)</f>
        <v/>
      </c>
      <c r="N30" s="113">
        <f>IF($C30="","",IF($B30="TANIMSIZ MÜŞTERİ","TANIMSIZ MÜŞTERİ",IF($F30="","MODEL SEÇİN",IF(OR($D30="",$G30&lt;=0),"EKSİK",IF(AND($E30&lt;&gt;"",$E30&lt;$D30),"TARİH HATASI",IF($H30="Pasif","KAPALI DÖNEM","UYGUN"))))))</f>
        <v/>
      </c>
      <c r="O30" s="229">
        <f>IF(OR($C30="",$D30="",$F30=""),"",IF($F30="Aylık",EOMONTH($D30,0),($D30+MOD(SISTEM!$F$8-WEEKDAY($D30,2),7))))</f>
        <v/>
      </c>
      <c r="P30" s="109" t="n"/>
      <c r="Q30" s="6" t="n"/>
      <c r="R30" s="6" t="n"/>
      <c r="S30" s="3">
        <f>IF($B30="","",$B30&amp;"|"&amp;COUNTIFS($B$7:$B30,$B30))</f>
        <v/>
      </c>
    </row>
    <row r="31">
      <c r="A31" s="6" t="n"/>
      <c r="B31" s="113">
        <f>IF($C31="","",IFERROR(INDEX(MUSTERILER!$B$7:$B$106,MATCH($C31,MUSTERILER!$C$7:$C$106,0)),IFERROR(INDEX(MUSTERILER!$B$7:$B$106,MATCH($C31,MUSTERILER!$B$7:$B$106,0)),IFERROR(INDEX(MUSTERILER!$B$7:$B$106,MATCH($C31&amp;"*",MUSTERILER!$C$7:$C$106,0)),"TANIMSIZ MÜŞTERİ"))))</f>
        <v/>
      </c>
      <c r="C31" s="109" t="inlineStr">
        <is>
          <t>ASIM AÇIKGÖZ</t>
        </is>
      </c>
      <c r="D31" s="225" t="n">
        <v>46023</v>
      </c>
      <c r="E31" s="225" t="n"/>
      <c r="F31" s="108" t="inlineStr">
        <is>
          <t>Haftalık</t>
        </is>
      </c>
      <c r="G31" s="226" t="n">
        <v>2000</v>
      </c>
      <c r="H31" s="108" t="inlineStr">
        <is>
          <t>Aktif</t>
        </is>
      </c>
      <c r="I31" s="227">
        <f>IF(OR($C31="",$D31="",$G31="",$F31=""),0,$G31*IF($F31="Aylık",MAX(0,(YEAR(MIN(IF($E31="",TODAY(),$E31),TODAY()))-YEAR($D31))*12+MONTH(MIN(IF($E31="",TODAY(),$E31),TODAY()))-MONTH($D31)+IF(MIN(IF($E31="",TODAY(),$E31),TODAY())&gt;=EOMONTH(MIN(IF($E31="",TODAY(),$E31),TODAY()),0),1,0)),MAX(0,INT((MIN(IF($E31="",TODAY(),$E31),TODAY())-($D31+MOD(SISTEM!$F$8-WEEKDAY($D31,2),7)))/7)+1)))</f>
        <v/>
      </c>
      <c r="J31" s="227">
        <f>IF(OR($C31="",$D31="",$G31="",$F31=""),0,$G31*IF($F31="Aylık",MAX(0,(YEAR(MIN(IF($E31="",TODAY()-8,$E31),TODAY()-8))-YEAR($D31))*12+MONTH(MIN(IF($E31="",TODAY()-8,$E31),TODAY()-8))-MONTH($D31)+IF(MIN(IF($E31="",TODAY()-8,$E31),TODAY()-8)&gt;=EOMONTH(MIN(IF($E31="",TODAY()-8,$E31),TODAY()-8),0),1,0)),MAX(0,INT((MIN(IF($E31="",TODAY()-8,$E31),TODAY()-8)-($D31+MOD(SISTEM!$F$8-WEEKDAY($D31,2),7)))/7)+1)))</f>
        <v/>
      </c>
      <c r="K31" s="227">
        <f>IF(OR($C31="",$D31="",$G31="",$F31=""),0,$G31*IF($F31="Aylık",MAX(0,(YEAR(MIN(IF($E31="",TODAY()-15,$E31),TODAY()-15))-YEAR($D31))*12+MONTH(MIN(IF($E31="",TODAY()-15,$E31),TODAY()-15))-MONTH($D31)+IF(MIN(IF($E31="",TODAY()-15,$E31),TODAY()-15)&gt;=EOMONTH(MIN(IF($E31="",TODAY()-15,$E31),TODAY()-15),0),1,0)),MAX(0,INT((MIN(IF($E31="",TODAY()-15,$E31),TODAY()-15)-($D31+MOD(SISTEM!$F$8-WEEKDAY($D31,2),7)))/7)+1)))</f>
        <v/>
      </c>
      <c r="L31" s="227">
        <f>IF(OR($C31="",$D31="",$G31="",$F31=""),0,$G31*IF($F31="Aylık",MAX(0,(YEAR(MIN(IF($E31="",TODAY()-29,$E31),TODAY()-29))-YEAR($D31))*12+MONTH(MIN(IF($E31="",TODAY()-29,$E31),TODAY()-29))-MONTH($D31)+IF(MIN(IF($E31="",TODAY()-29,$E31),TODAY()-29)&gt;=EOMONTH(MIN(IF($E31="",TODAY()-29,$E31),TODAY()-29),0),1,0)),MAX(0,INT((MIN(IF($E31="",TODAY()-29,$E31),TODAY()-29)-($D31+MOD(SISTEM!$F$8-WEEKDAY($D31,2),7)))/7)+1)))</f>
        <v/>
      </c>
      <c r="M31" s="228">
        <f>IF($G31&gt;0,$I31/$G31,0)</f>
        <v/>
      </c>
      <c r="N31" s="113">
        <f>IF($C31="","",IF($B31="TANIMSIZ MÜŞTERİ","TANIMSIZ MÜŞTERİ",IF($F31="","MODEL SEÇİN",IF(OR($D31="",$G31&lt;=0),"EKSİK",IF(AND($E31&lt;&gt;"",$E31&lt;$D31),"TARİH HATASI",IF($H31="Pasif","KAPALI DÖNEM","UYGUN"))))))</f>
        <v/>
      </c>
      <c r="O31" s="229">
        <f>IF(OR($C31="",$D31="",$F31=""),"",IF($F31="Aylık",EOMONTH($D31,0),($D31+MOD(SISTEM!$F$8-WEEKDAY($D31,2),7))))</f>
        <v/>
      </c>
      <c r="P31" s="109" t="n"/>
      <c r="Q31" s="6" t="n"/>
      <c r="R31" s="6" t="n"/>
      <c r="S31" s="3">
        <f>IF($B31="","",$B31&amp;"|"&amp;COUNTIFS($B$7:$B31,$B31))</f>
        <v/>
      </c>
    </row>
    <row r="32">
      <c r="A32" s="6" t="n"/>
      <c r="B32" s="113">
        <f>IF($C32="","",IFERROR(INDEX(MUSTERILER!$B$7:$B$106,MATCH($C32,MUSTERILER!$C$7:$C$106,0)),IFERROR(INDEX(MUSTERILER!$B$7:$B$106,MATCH($C32,MUSTERILER!$B$7:$B$106,0)),IFERROR(INDEX(MUSTERILER!$B$7:$B$106,MATCH($C32&amp;"*",MUSTERILER!$C$7:$C$106,0)),"TANIMSIZ MÜŞTERİ"))))</f>
        <v/>
      </c>
      <c r="C32" s="109" t="inlineStr">
        <is>
          <t>AYDES LTD.ŞTİ.</t>
        </is>
      </c>
      <c r="D32" s="225" t="n">
        <v>46023</v>
      </c>
      <c r="E32" s="225" t="n"/>
      <c r="F32" s="108" t="inlineStr">
        <is>
          <t>Aylık</t>
        </is>
      </c>
      <c r="G32" s="226" t="n">
        <v>7500</v>
      </c>
      <c r="H32" s="108" t="inlineStr">
        <is>
          <t>Aktif</t>
        </is>
      </c>
      <c r="I32" s="227">
        <f>IF(OR($C32="",$D32="",$G32="",$F32=""),0,$G32*IF($F32="Aylık",MAX(0,(YEAR(MIN(IF($E32="",TODAY(),$E32),TODAY()))-YEAR($D32))*12+MONTH(MIN(IF($E32="",TODAY(),$E32),TODAY()))-MONTH($D32)+IF(MIN(IF($E32="",TODAY(),$E32),TODAY())&gt;=EOMONTH(MIN(IF($E32="",TODAY(),$E32),TODAY()),0),1,0)),MAX(0,INT((MIN(IF($E32="",TODAY(),$E32),TODAY())-($D32+MOD(SISTEM!$F$8-WEEKDAY($D32,2),7)))/7)+1)))</f>
        <v/>
      </c>
      <c r="J32" s="227">
        <f>IF(OR($C32="",$D32="",$G32="",$F32=""),0,$G32*IF($F32="Aylık",MAX(0,(YEAR(MIN(IF($E32="",TODAY()-8,$E32),TODAY()-8))-YEAR($D32))*12+MONTH(MIN(IF($E32="",TODAY()-8,$E32),TODAY()-8))-MONTH($D32)+IF(MIN(IF($E32="",TODAY()-8,$E32),TODAY()-8)&gt;=EOMONTH(MIN(IF($E32="",TODAY()-8,$E32),TODAY()-8),0),1,0)),MAX(0,INT((MIN(IF($E32="",TODAY()-8,$E32),TODAY()-8)-($D32+MOD(SISTEM!$F$8-WEEKDAY($D32,2),7)))/7)+1)))</f>
        <v/>
      </c>
      <c r="K32" s="227">
        <f>IF(OR($C32="",$D32="",$G32="",$F32=""),0,$G32*IF($F32="Aylık",MAX(0,(YEAR(MIN(IF($E32="",TODAY()-15,$E32),TODAY()-15))-YEAR($D32))*12+MONTH(MIN(IF($E32="",TODAY()-15,$E32),TODAY()-15))-MONTH($D32)+IF(MIN(IF($E32="",TODAY()-15,$E32),TODAY()-15)&gt;=EOMONTH(MIN(IF($E32="",TODAY()-15,$E32),TODAY()-15),0),1,0)),MAX(0,INT((MIN(IF($E32="",TODAY()-15,$E32),TODAY()-15)-($D32+MOD(SISTEM!$F$8-WEEKDAY($D32,2),7)))/7)+1)))</f>
        <v/>
      </c>
      <c r="L32" s="227">
        <f>IF(OR($C32="",$D32="",$G32="",$F32=""),0,$G32*IF($F32="Aylık",MAX(0,(YEAR(MIN(IF($E32="",TODAY()-29,$E32),TODAY()-29))-YEAR($D32))*12+MONTH(MIN(IF($E32="",TODAY()-29,$E32),TODAY()-29))-MONTH($D32)+IF(MIN(IF($E32="",TODAY()-29,$E32),TODAY()-29)&gt;=EOMONTH(MIN(IF($E32="",TODAY()-29,$E32),TODAY()-29),0),1,0)),MAX(0,INT((MIN(IF($E32="",TODAY()-29,$E32),TODAY()-29)-($D32+MOD(SISTEM!$F$8-WEEKDAY($D32,2),7)))/7)+1)))</f>
        <v/>
      </c>
      <c r="M32" s="228">
        <f>IF($G32&gt;0,$I32/$G32,0)</f>
        <v/>
      </c>
      <c r="N32" s="113">
        <f>IF($C32="","",IF($B32="TANIMSIZ MÜŞTERİ","TANIMSIZ MÜŞTERİ",IF($F32="","MODEL SEÇİN",IF(OR($D32="",$G32&lt;=0),"EKSİK",IF(AND($E32&lt;&gt;"",$E32&lt;$D32),"TARİH HATASI",IF($H32="Pasif","KAPALI DÖNEM","UYGUN"))))))</f>
        <v/>
      </c>
      <c r="O32" s="229">
        <f>IF(OR($C32="",$D32="",$F32=""),"",IF($F32="Aylık",EOMONTH($D32,0),($D32+MOD(SISTEM!$F$8-WEEKDAY($D32,2),7))))</f>
        <v/>
      </c>
      <c r="P32" s="109" t="n"/>
      <c r="Q32" s="6" t="n"/>
      <c r="R32" s="6" t="n"/>
      <c r="S32" s="3">
        <f>IF($B32="","",$B32&amp;"|"&amp;COUNTIFS($B$7:$B32,$B32))</f>
        <v/>
      </c>
    </row>
    <row r="33">
      <c r="A33" s="6" t="n"/>
      <c r="B33" s="113">
        <f>IF($C33="","",IFERROR(INDEX(MUSTERILER!$B$7:$B$106,MATCH($C33,MUSTERILER!$C$7:$C$106,0)),IFERROR(INDEX(MUSTERILER!$B$7:$B$106,MATCH($C33,MUSTERILER!$B$7:$B$106,0)),IFERROR(INDEX(MUSTERILER!$B$7:$B$106,MATCH($C33&amp;"*",MUSTERILER!$C$7:$C$106,0)),"TANIMSIZ MÜŞTERİ"))))</f>
        <v/>
      </c>
      <c r="C33" s="109" t="inlineStr">
        <is>
          <t>CEREN DEMİRCİ</t>
        </is>
      </c>
      <c r="D33" s="225" t="n">
        <v>46023</v>
      </c>
      <c r="E33" s="225" t="n"/>
      <c r="F33" s="108" t="inlineStr">
        <is>
          <t>Aylık</t>
        </is>
      </c>
      <c r="G33" s="226" t="n">
        <v>4000</v>
      </c>
      <c r="H33" s="108" t="inlineStr">
        <is>
          <t>Aktif</t>
        </is>
      </c>
      <c r="I33" s="227">
        <f>IF(OR($C33="",$D33="",$G33="",$F33=""),0,$G33*IF($F33="Aylık",MAX(0,(YEAR(MIN(IF($E33="",TODAY(),$E33),TODAY()))-YEAR($D33))*12+MONTH(MIN(IF($E33="",TODAY(),$E33),TODAY()))-MONTH($D33)+IF(MIN(IF($E33="",TODAY(),$E33),TODAY())&gt;=EOMONTH(MIN(IF($E33="",TODAY(),$E33),TODAY()),0),1,0)),MAX(0,INT((MIN(IF($E33="",TODAY(),$E33),TODAY())-($D33+MOD(SISTEM!$F$8-WEEKDAY($D33,2),7)))/7)+1)))</f>
        <v/>
      </c>
      <c r="J33" s="227">
        <f>IF(OR($C33="",$D33="",$G33="",$F33=""),0,$G33*IF($F33="Aylık",MAX(0,(YEAR(MIN(IF($E33="",TODAY()-8,$E33),TODAY()-8))-YEAR($D33))*12+MONTH(MIN(IF($E33="",TODAY()-8,$E33),TODAY()-8))-MONTH($D33)+IF(MIN(IF($E33="",TODAY()-8,$E33),TODAY()-8)&gt;=EOMONTH(MIN(IF($E33="",TODAY()-8,$E33),TODAY()-8),0),1,0)),MAX(0,INT((MIN(IF($E33="",TODAY()-8,$E33),TODAY()-8)-($D33+MOD(SISTEM!$F$8-WEEKDAY($D33,2),7)))/7)+1)))</f>
        <v/>
      </c>
      <c r="K33" s="227">
        <f>IF(OR($C33="",$D33="",$G33="",$F33=""),0,$G33*IF($F33="Aylık",MAX(0,(YEAR(MIN(IF($E33="",TODAY()-15,$E33),TODAY()-15))-YEAR($D33))*12+MONTH(MIN(IF($E33="",TODAY()-15,$E33),TODAY()-15))-MONTH($D33)+IF(MIN(IF($E33="",TODAY()-15,$E33),TODAY()-15)&gt;=EOMONTH(MIN(IF($E33="",TODAY()-15,$E33),TODAY()-15),0),1,0)),MAX(0,INT((MIN(IF($E33="",TODAY()-15,$E33),TODAY()-15)-($D33+MOD(SISTEM!$F$8-WEEKDAY($D33,2),7)))/7)+1)))</f>
        <v/>
      </c>
      <c r="L33" s="227">
        <f>IF(OR($C33="",$D33="",$G33="",$F33=""),0,$G33*IF($F33="Aylık",MAX(0,(YEAR(MIN(IF($E33="",TODAY()-29,$E33),TODAY()-29))-YEAR($D33))*12+MONTH(MIN(IF($E33="",TODAY()-29,$E33),TODAY()-29))-MONTH($D33)+IF(MIN(IF($E33="",TODAY()-29,$E33),TODAY()-29)&gt;=EOMONTH(MIN(IF($E33="",TODAY()-29,$E33),TODAY()-29),0),1,0)),MAX(0,INT((MIN(IF($E33="",TODAY()-29,$E33),TODAY()-29)-($D33+MOD(SISTEM!$F$8-WEEKDAY($D33,2),7)))/7)+1)))</f>
        <v/>
      </c>
      <c r="M33" s="228">
        <f>IF($G33&gt;0,$I33/$G33,0)</f>
        <v/>
      </c>
      <c r="N33" s="113">
        <f>IF($C33="","",IF($B33="TANIMSIZ MÜŞTERİ","TANIMSIZ MÜŞTERİ",IF($F33="","MODEL SEÇİN",IF(OR($D33="",$G33&lt;=0),"EKSİK",IF(AND($E33&lt;&gt;"",$E33&lt;$D33),"TARİH HATASI",IF($H33="Pasif","KAPALI DÖNEM","UYGUN"))))))</f>
        <v/>
      </c>
      <c r="O33" s="229">
        <f>IF(OR($C33="",$D33="",$F33=""),"",IF($F33="Aylık",EOMONTH($D33,0),($D33+MOD(SISTEM!$F$8-WEEKDAY($D33,2),7))))</f>
        <v/>
      </c>
      <c r="P33" s="109" t="n"/>
      <c r="Q33" s="6" t="n"/>
      <c r="R33" s="6" t="n"/>
      <c r="S33" s="3">
        <f>IF($B33="","",$B33&amp;"|"&amp;COUNTIFS($B$7:$B33,$B33))</f>
        <v/>
      </c>
    </row>
    <row r="34">
      <c r="A34" s="6" t="n"/>
      <c r="B34" s="113">
        <f>IF($C34="","",IFERROR(INDEX(MUSTERILER!$B$7:$B$106,MATCH($C34,MUSTERILER!$C$7:$C$106,0)),IFERROR(INDEX(MUSTERILER!$B$7:$B$106,MATCH($C34,MUSTERILER!$B$7:$B$106,0)),IFERROR(INDEX(MUSTERILER!$B$7:$B$106,MATCH($C34&amp;"*",MUSTERILER!$C$7:$C$106,0)),"TANIMSIZ MÜŞTERİ"))))</f>
        <v/>
      </c>
      <c r="C34" s="109" t="inlineStr">
        <is>
          <t>DERVİŞHAN LTD.ŞTİ.</t>
        </is>
      </c>
      <c r="D34" s="225" t="n">
        <v>46023</v>
      </c>
      <c r="E34" s="225" t="n"/>
      <c r="F34" s="108" t="inlineStr">
        <is>
          <t>Aylık</t>
        </is>
      </c>
      <c r="G34" s="226" t="n">
        <v>10000</v>
      </c>
      <c r="H34" s="108" t="inlineStr">
        <is>
          <t>Aktif</t>
        </is>
      </c>
      <c r="I34" s="227">
        <f>IF(OR($C34="",$D34="",$G34="",$F34=""),0,$G34*IF($F34="Aylık",MAX(0,(YEAR(MIN(IF($E34="",TODAY(),$E34),TODAY()))-YEAR($D34))*12+MONTH(MIN(IF($E34="",TODAY(),$E34),TODAY()))-MONTH($D34)+IF(MIN(IF($E34="",TODAY(),$E34),TODAY())&gt;=EOMONTH(MIN(IF($E34="",TODAY(),$E34),TODAY()),0),1,0)),MAX(0,INT((MIN(IF($E34="",TODAY(),$E34),TODAY())-($D34+MOD(SISTEM!$F$8-WEEKDAY($D34,2),7)))/7)+1)))</f>
        <v/>
      </c>
      <c r="J34" s="227">
        <f>IF(OR($C34="",$D34="",$G34="",$F34=""),0,$G34*IF($F34="Aylık",MAX(0,(YEAR(MIN(IF($E34="",TODAY()-8,$E34),TODAY()-8))-YEAR($D34))*12+MONTH(MIN(IF($E34="",TODAY()-8,$E34),TODAY()-8))-MONTH($D34)+IF(MIN(IF($E34="",TODAY()-8,$E34),TODAY()-8)&gt;=EOMONTH(MIN(IF($E34="",TODAY()-8,$E34),TODAY()-8),0),1,0)),MAX(0,INT((MIN(IF($E34="",TODAY()-8,$E34),TODAY()-8)-($D34+MOD(SISTEM!$F$8-WEEKDAY($D34,2),7)))/7)+1)))</f>
        <v/>
      </c>
      <c r="K34" s="227">
        <f>IF(OR($C34="",$D34="",$G34="",$F34=""),0,$G34*IF($F34="Aylık",MAX(0,(YEAR(MIN(IF($E34="",TODAY()-15,$E34),TODAY()-15))-YEAR($D34))*12+MONTH(MIN(IF($E34="",TODAY()-15,$E34),TODAY()-15))-MONTH($D34)+IF(MIN(IF($E34="",TODAY()-15,$E34),TODAY()-15)&gt;=EOMONTH(MIN(IF($E34="",TODAY()-15,$E34),TODAY()-15),0),1,0)),MAX(0,INT((MIN(IF($E34="",TODAY()-15,$E34),TODAY()-15)-($D34+MOD(SISTEM!$F$8-WEEKDAY($D34,2),7)))/7)+1)))</f>
        <v/>
      </c>
      <c r="L34" s="227">
        <f>IF(OR($C34="",$D34="",$G34="",$F34=""),0,$G34*IF($F34="Aylık",MAX(0,(YEAR(MIN(IF($E34="",TODAY()-29,$E34),TODAY()-29))-YEAR($D34))*12+MONTH(MIN(IF($E34="",TODAY()-29,$E34),TODAY()-29))-MONTH($D34)+IF(MIN(IF($E34="",TODAY()-29,$E34),TODAY()-29)&gt;=EOMONTH(MIN(IF($E34="",TODAY()-29,$E34),TODAY()-29),0),1,0)),MAX(0,INT((MIN(IF($E34="",TODAY()-29,$E34),TODAY()-29)-($D34+MOD(SISTEM!$F$8-WEEKDAY($D34,2),7)))/7)+1)))</f>
        <v/>
      </c>
      <c r="M34" s="228">
        <f>IF($G34&gt;0,$I34/$G34,0)</f>
        <v/>
      </c>
      <c r="N34" s="113">
        <f>IF($C34="","",IF($B34="TANIMSIZ MÜŞTERİ","TANIMSIZ MÜŞTERİ",IF($F34="","MODEL SEÇİN",IF(OR($D34="",$G34&lt;=0),"EKSİK",IF(AND($E34&lt;&gt;"",$E34&lt;$D34),"TARİH HATASI",IF($H34="Pasif","KAPALI DÖNEM","UYGUN"))))))</f>
        <v/>
      </c>
      <c r="O34" s="229">
        <f>IF(OR($C34="",$D34="",$F34=""),"",IF($F34="Aylık",EOMONTH($D34,0),($D34+MOD(SISTEM!$F$8-WEEKDAY($D34,2),7))))</f>
        <v/>
      </c>
      <c r="P34" s="109" t="n"/>
      <c r="Q34" s="6" t="n"/>
      <c r="R34" s="6" t="n"/>
      <c r="S34" s="3">
        <f>IF($B34="","",$B34&amp;"|"&amp;COUNTIFS($B$7:$B34,$B34))</f>
        <v/>
      </c>
    </row>
    <row r="35">
      <c r="A35" s="6" t="n"/>
      <c r="B35" s="113">
        <f>IF($C35="","",IFERROR(INDEX(MUSTERILER!$B$7:$B$106,MATCH($C35,MUSTERILER!$C$7:$C$106,0)),IFERROR(INDEX(MUSTERILER!$B$7:$B$106,MATCH($C35,MUSTERILER!$B$7:$B$106,0)),IFERROR(INDEX(MUSTERILER!$B$7:$B$106,MATCH($C35&amp;"*",MUSTERILER!$C$7:$C$106,0)),"TANIMSIZ MÜŞTERİ"))))</f>
        <v/>
      </c>
      <c r="C35" s="109" t="inlineStr">
        <is>
          <t>EMRAH SAVURKAN</t>
        </is>
      </c>
      <c r="D35" s="225" t="n">
        <v>46023</v>
      </c>
      <c r="E35" s="225" t="n"/>
      <c r="F35" s="108" t="inlineStr">
        <is>
          <t>Aylık</t>
        </is>
      </c>
      <c r="G35" s="226" t="n">
        <v>2000</v>
      </c>
      <c r="H35" s="108" t="inlineStr">
        <is>
          <t>Aktif</t>
        </is>
      </c>
      <c r="I35" s="227">
        <f>IF(OR($C35="",$D35="",$G35="",$F35=""),0,$G35*IF($F35="Aylık",MAX(0,(YEAR(MIN(IF($E35="",TODAY(),$E35),TODAY()))-YEAR($D35))*12+MONTH(MIN(IF($E35="",TODAY(),$E35),TODAY()))-MONTH($D35)+IF(MIN(IF($E35="",TODAY(),$E35),TODAY())&gt;=EOMONTH(MIN(IF($E35="",TODAY(),$E35),TODAY()),0),1,0)),MAX(0,INT((MIN(IF($E35="",TODAY(),$E35),TODAY())-($D35+MOD(SISTEM!$F$8-WEEKDAY($D35,2),7)))/7)+1)))</f>
        <v/>
      </c>
      <c r="J35" s="227">
        <f>IF(OR($C35="",$D35="",$G35="",$F35=""),0,$G35*IF($F35="Aylık",MAX(0,(YEAR(MIN(IF($E35="",TODAY()-8,$E35),TODAY()-8))-YEAR($D35))*12+MONTH(MIN(IF($E35="",TODAY()-8,$E35),TODAY()-8))-MONTH($D35)+IF(MIN(IF($E35="",TODAY()-8,$E35),TODAY()-8)&gt;=EOMONTH(MIN(IF($E35="",TODAY()-8,$E35),TODAY()-8),0),1,0)),MAX(0,INT((MIN(IF($E35="",TODAY()-8,$E35),TODAY()-8)-($D35+MOD(SISTEM!$F$8-WEEKDAY($D35,2),7)))/7)+1)))</f>
        <v/>
      </c>
      <c r="K35" s="227">
        <f>IF(OR($C35="",$D35="",$G35="",$F35=""),0,$G35*IF($F35="Aylık",MAX(0,(YEAR(MIN(IF($E35="",TODAY()-15,$E35),TODAY()-15))-YEAR($D35))*12+MONTH(MIN(IF($E35="",TODAY()-15,$E35),TODAY()-15))-MONTH($D35)+IF(MIN(IF($E35="",TODAY()-15,$E35),TODAY()-15)&gt;=EOMONTH(MIN(IF($E35="",TODAY()-15,$E35),TODAY()-15),0),1,0)),MAX(0,INT((MIN(IF($E35="",TODAY()-15,$E35),TODAY()-15)-($D35+MOD(SISTEM!$F$8-WEEKDAY($D35,2),7)))/7)+1)))</f>
        <v/>
      </c>
      <c r="L35" s="227">
        <f>IF(OR($C35="",$D35="",$G35="",$F35=""),0,$G35*IF($F35="Aylık",MAX(0,(YEAR(MIN(IF($E35="",TODAY()-29,$E35),TODAY()-29))-YEAR($D35))*12+MONTH(MIN(IF($E35="",TODAY()-29,$E35),TODAY()-29))-MONTH($D35)+IF(MIN(IF($E35="",TODAY()-29,$E35),TODAY()-29)&gt;=EOMONTH(MIN(IF($E35="",TODAY()-29,$E35),TODAY()-29),0),1,0)),MAX(0,INT((MIN(IF($E35="",TODAY()-29,$E35),TODAY()-29)-($D35+MOD(SISTEM!$F$8-WEEKDAY($D35,2),7)))/7)+1)))</f>
        <v/>
      </c>
      <c r="M35" s="228">
        <f>IF($G35&gt;0,$I35/$G35,0)</f>
        <v/>
      </c>
      <c r="N35" s="113">
        <f>IF($C35="","",IF($B35="TANIMSIZ MÜŞTERİ","TANIMSIZ MÜŞTERİ",IF($F35="","MODEL SEÇİN",IF(OR($D35="",$G35&lt;=0),"EKSİK",IF(AND($E35&lt;&gt;"",$E35&lt;$D35),"TARİH HATASI",IF($H35="Pasif","KAPALI DÖNEM","UYGUN"))))))</f>
        <v/>
      </c>
      <c r="O35" s="229">
        <f>IF(OR($C35="",$D35="",$F35=""),"",IF($F35="Aylık",EOMONTH($D35,0),($D35+MOD(SISTEM!$F$8-WEEKDAY($D35,2),7))))</f>
        <v/>
      </c>
      <c r="P35" s="109" t="n"/>
      <c r="Q35" s="6" t="n"/>
      <c r="R35" s="6" t="n"/>
      <c r="S35" s="3">
        <f>IF($B35="","",$B35&amp;"|"&amp;COUNTIFS($B$7:$B35,$B35))</f>
        <v/>
      </c>
    </row>
    <row r="36">
      <c r="A36" s="6" t="n"/>
      <c r="B36" s="113">
        <f>IF($C36="","",IFERROR(INDEX(MUSTERILER!$B$7:$B$106,MATCH($C36,MUSTERILER!$C$7:$C$106,0)),IFERROR(INDEX(MUSTERILER!$B$7:$B$106,MATCH($C36,MUSTERILER!$B$7:$B$106,0)),IFERROR(INDEX(MUSTERILER!$B$7:$B$106,MATCH($C36&amp;"*",MUSTERILER!$C$7:$C$106,0)),"TANIMSIZ MÜŞTERİ"))))</f>
        <v/>
      </c>
      <c r="C36" s="109" t="inlineStr">
        <is>
          <t>FARUK DEMİRCİ</t>
        </is>
      </c>
      <c r="D36" s="225" t="n">
        <v>46023</v>
      </c>
      <c r="E36" s="225" t="n"/>
      <c r="F36" s="108" t="inlineStr">
        <is>
          <t>Aylık</t>
        </is>
      </c>
      <c r="G36" s="226" t="n">
        <v>2000</v>
      </c>
      <c r="H36" s="108" t="inlineStr">
        <is>
          <t>Aktif</t>
        </is>
      </c>
      <c r="I36" s="227">
        <f>IF(OR($C36="",$D36="",$G36="",$F36=""),0,$G36*IF($F36="Aylık",MAX(0,(YEAR(MIN(IF($E36="",TODAY(),$E36),TODAY()))-YEAR($D36))*12+MONTH(MIN(IF($E36="",TODAY(),$E36),TODAY()))-MONTH($D36)+IF(MIN(IF($E36="",TODAY(),$E36),TODAY())&gt;=EOMONTH(MIN(IF($E36="",TODAY(),$E36),TODAY()),0),1,0)),MAX(0,INT((MIN(IF($E36="",TODAY(),$E36),TODAY())-($D36+MOD(SISTEM!$F$8-WEEKDAY($D36,2),7)))/7)+1)))</f>
        <v/>
      </c>
      <c r="J36" s="227">
        <f>IF(OR($C36="",$D36="",$G36="",$F36=""),0,$G36*IF($F36="Aylık",MAX(0,(YEAR(MIN(IF($E36="",TODAY()-8,$E36),TODAY()-8))-YEAR($D36))*12+MONTH(MIN(IF($E36="",TODAY()-8,$E36),TODAY()-8))-MONTH($D36)+IF(MIN(IF($E36="",TODAY()-8,$E36),TODAY()-8)&gt;=EOMONTH(MIN(IF($E36="",TODAY()-8,$E36),TODAY()-8),0),1,0)),MAX(0,INT((MIN(IF($E36="",TODAY()-8,$E36),TODAY()-8)-($D36+MOD(SISTEM!$F$8-WEEKDAY($D36,2),7)))/7)+1)))</f>
        <v/>
      </c>
      <c r="K36" s="227">
        <f>IF(OR($C36="",$D36="",$G36="",$F36=""),0,$G36*IF($F36="Aylık",MAX(0,(YEAR(MIN(IF($E36="",TODAY()-15,$E36),TODAY()-15))-YEAR($D36))*12+MONTH(MIN(IF($E36="",TODAY()-15,$E36),TODAY()-15))-MONTH($D36)+IF(MIN(IF($E36="",TODAY()-15,$E36),TODAY()-15)&gt;=EOMONTH(MIN(IF($E36="",TODAY()-15,$E36),TODAY()-15),0),1,0)),MAX(0,INT((MIN(IF($E36="",TODAY()-15,$E36),TODAY()-15)-($D36+MOD(SISTEM!$F$8-WEEKDAY($D36,2),7)))/7)+1)))</f>
        <v/>
      </c>
      <c r="L36" s="227">
        <f>IF(OR($C36="",$D36="",$G36="",$F36=""),0,$G36*IF($F36="Aylık",MAX(0,(YEAR(MIN(IF($E36="",TODAY()-29,$E36),TODAY()-29))-YEAR($D36))*12+MONTH(MIN(IF($E36="",TODAY()-29,$E36),TODAY()-29))-MONTH($D36)+IF(MIN(IF($E36="",TODAY()-29,$E36),TODAY()-29)&gt;=EOMONTH(MIN(IF($E36="",TODAY()-29,$E36),TODAY()-29),0),1,0)),MAX(0,INT((MIN(IF($E36="",TODAY()-29,$E36),TODAY()-29)-($D36+MOD(SISTEM!$F$8-WEEKDAY($D36,2),7)))/7)+1)))</f>
        <v/>
      </c>
      <c r="M36" s="228">
        <f>IF($G36&gt;0,$I36/$G36,0)</f>
        <v/>
      </c>
      <c r="N36" s="113">
        <f>IF($C36="","",IF($B36="TANIMSIZ MÜŞTERİ","TANIMSIZ MÜŞTERİ",IF($F36="","MODEL SEÇİN",IF(OR($D36="",$G36&lt;=0),"EKSİK",IF(AND($E36&lt;&gt;"",$E36&lt;$D36),"TARİH HATASI",IF($H36="Pasif","KAPALI DÖNEM","UYGUN"))))))</f>
        <v/>
      </c>
      <c r="O36" s="229">
        <f>IF(OR($C36="",$D36="",$F36=""),"",IF($F36="Aylık",EOMONTH($D36,0),($D36+MOD(SISTEM!$F$8-WEEKDAY($D36,2),7))))</f>
        <v/>
      </c>
      <c r="P36" s="109" t="n"/>
      <c r="Q36" s="6" t="n"/>
      <c r="R36" s="6" t="n"/>
      <c r="S36" s="3">
        <f>IF($B36="","",$B36&amp;"|"&amp;COUNTIFS($B$7:$B36,$B36))</f>
        <v/>
      </c>
    </row>
    <row r="37">
      <c r="A37" s="6" t="n"/>
      <c r="B37" s="113">
        <f>IF($C37="","",IFERROR(INDEX(MUSTERILER!$B$7:$B$106,MATCH($C37,MUSTERILER!$C$7:$C$106,0)),IFERROR(INDEX(MUSTERILER!$B$7:$B$106,MATCH($C37,MUSTERILER!$B$7:$B$106,0)),IFERROR(INDEX(MUSTERILER!$B$7:$B$106,MATCH($C37&amp;"*",MUSTERILER!$C$7:$C$106,0)),"TANIMSIZ MÜŞTERİ"))))</f>
        <v/>
      </c>
      <c r="C37" s="109" t="inlineStr">
        <is>
          <t>HALİL AVŞAR</t>
        </is>
      </c>
      <c r="D37" s="225" t="n">
        <v>46023</v>
      </c>
      <c r="E37" s="225" t="n"/>
      <c r="F37" s="108" t="inlineStr">
        <is>
          <t>Aylık</t>
        </is>
      </c>
      <c r="G37" s="226" t="n">
        <v>3000</v>
      </c>
      <c r="H37" s="108" t="inlineStr">
        <is>
          <t>Aktif</t>
        </is>
      </c>
      <c r="I37" s="227">
        <f>IF(OR($C37="",$D37="",$G37="",$F37=""),0,$G37*IF($F37="Aylık",MAX(0,(YEAR(MIN(IF($E37="",TODAY(),$E37),TODAY()))-YEAR($D37))*12+MONTH(MIN(IF($E37="",TODAY(),$E37),TODAY()))-MONTH($D37)+IF(MIN(IF($E37="",TODAY(),$E37),TODAY())&gt;=EOMONTH(MIN(IF($E37="",TODAY(),$E37),TODAY()),0),1,0)),MAX(0,INT((MIN(IF($E37="",TODAY(),$E37),TODAY())-($D37+MOD(SISTEM!$F$8-WEEKDAY($D37,2),7)))/7)+1)))</f>
        <v/>
      </c>
      <c r="J37" s="227">
        <f>IF(OR($C37="",$D37="",$G37="",$F37=""),0,$G37*IF($F37="Aylık",MAX(0,(YEAR(MIN(IF($E37="",TODAY()-8,$E37),TODAY()-8))-YEAR($D37))*12+MONTH(MIN(IF($E37="",TODAY()-8,$E37),TODAY()-8))-MONTH($D37)+IF(MIN(IF($E37="",TODAY()-8,$E37),TODAY()-8)&gt;=EOMONTH(MIN(IF($E37="",TODAY()-8,$E37),TODAY()-8),0),1,0)),MAX(0,INT((MIN(IF($E37="",TODAY()-8,$E37),TODAY()-8)-($D37+MOD(SISTEM!$F$8-WEEKDAY($D37,2),7)))/7)+1)))</f>
        <v/>
      </c>
      <c r="K37" s="227">
        <f>IF(OR($C37="",$D37="",$G37="",$F37=""),0,$G37*IF($F37="Aylık",MAX(0,(YEAR(MIN(IF($E37="",TODAY()-15,$E37),TODAY()-15))-YEAR($D37))*12+MONTH(MIN(IF($E37="",TODAY()-15,$E37),TODAY()-15))-MONTH($D37)+IF(MIN(IF($E37="",TODAY()-15,$E37),TODAY()-15)&gt;=EOMONTH(MIN(IF($E37="",TODAY()-15,$E37),TODAY()-15),0),1,0)),MAX(0,INT((MIN(IF($E37="",TODAY()-15,$E37),TODAY()-15)-($D37+MOD(SISTEM!$F$8-WEEKDAY($D37,2),7)))/7)+1)))</f>
        <v/>
      </c>
      <c r="L37" s="227">
        <f>IF(OR($C37="",$D37="",$G37="",$F37=""),0,$G37*IF($F37="Aylık",MAX(0,(YEAR(MIN(IF($E37="",TODAY()-29,$E37),TODAY()-29))-YEAR($D37))*12+MONTH(MIN(IF($E37="",TODAY()-29,$E37),TODAY()-29))-MONTH($D37)+IF(MIN(IF($E37="",TODAY()-29,$E37),TODAY()-29)&gt;=EOMONTH(MIN(IF($E37="",TODAY()-29,$E37),TODAY()-29),0),1,0)),MAX(0,INT((MIN(IF($E37="",TODAY()-29,$E37),TODAY()-29)-($D37+MOD(SISTEM!$F$8-WEEKDAY($D37,2),7)))/7)+1)))</f>
        <v/>
      </c>
      <c r="M37" s="228">
        <f>IF($G37&gt;0,$I37/$G37,0)</f>
        <v/>
      </c>
      <c r="N37" s="113">
        <f>IF($C37="","",IF($B37="TANIMSIZ MÜŞTERİ","TANIMSIZ MÜŞTERİ",IF($F37="","MODEL SEÇİN",IF(OR($D37="",$G37&lt;=0),"EKSİK",IF(AND($E37&lt;&gt;"",$E37&lt;$D37),"TARİH HATASI",IF($H37="Pasif","KAPALI DÖNEM","UYGUN"))))))</f>
        <v/>
      </c>
      <c r="O37" s="229">
        <f>IF(OR($C37="",$D37="",$F37=""),"",IF($F37="Aylık",EOMONTH($D37,0),($D37+MOD(SISTEM!$F$8-WEEKDAY($D37,2),7))))</f>
        <v/>
      </c>
      <c r="P37" s="109" t="n"/>
      <c r="Q37" s="6" t="n"/>
      <c r="R37" s="6" t="n"/>
      <c r="S37" s="3">
        <f>IF($B37="","",$B37&amp;"|"&amp;COUNTIFS($B$7:$B37,$B37))</f>
        <v/>
      </c>
    </row>
    <row r="38">
      <c r="A38" s="6" t="n"/>
      <c r="B38" s="113">
        <f>IF($C38="","",IFERROR(INDEX(MUSTERILER!$B$7:$B$106,MATCH($C38,MUSTERILER!$C$7:$C$106,0)),IFERROR(INDEX(MUSTERILER!$B$7:$B$106,MATCH($C38,MUSTERILER!$B$7:$B$106,0)),IFERROR(INDEX(MUSTERILER!$B$7:$B$106,MATCH($C38&amp;"*",MUSTERILER!$C$7:$C$106,0)),"TANIMSIZ MÜŞTERİ"))))</f>
        <v/>
      </c>
      <c r="C38" s="109" t="inlineStr">
        <is>
          <t>HAYDAR KAYA</t>
        </is>
      </c>
      <c r="D38" s="225" t="n">
        <v>46023</v>
      </c>
      <c r="E38" s="225" t="n"/>
      <c r="F38" s="108" t="inlineStr">
        <is>
          <t>Aylık</t>
        </is>
      </c>
      <c r="G38" s="226" t="n">
        <v>1000</v>
      </c>
      <c r="H38" s="108" t="inlineStr">
        <is>
          <t>Aktif</t>
        </is>
      </c>
      <c r="I38" s="227">
        <f>IF(OR($C38="",$D38="",$G38="",$F38=""),0,$G38*IF($F38="Aylık",MAX(0,(YEAR(MIN(IF($E38="",TODAY(),$E38),TODAY()))-YEAR($D38))*12+MONTH(MIN(IF($E38="",TODAY(),$E38),TODAY()))-MONTH($D38)+IF(MIN(IF($E38="",TODAY(),$E38),TODAY())&gt;=EOMONTH(MIN(IF($E38="",TODAY(),$E38),TODAY()),0),1,0)),MAX(0,INT((MIN(IF($E38="",TODAY(),$E38),TODAY())-($D38+MOD(SISTEM!$F$8-WEEKDAY($D38,2),7)))/7)+1)))</f>
        <v/>
      </c>
      <c r="J38" s="227">
        <f>IF(OR($C38="",$D38="",$G38="",$F38=""),0,$G38*IF($F38="Aylık",MAX(0,(YEAR(MIN(IF($E38="",TODAY()-8,$E38),TODAY()-8))-YEAR($D38))*12+MONTH(MIN(IF($E38="",TODAY()-8,$E38),TODAY()-8))-MONTH($D38)+IF(MIN(IF($E38="",TODAY()-8,$E38),TODAY()-8)&gt;=EOMONTH(MIN(IF($E38="",TODAY()-8,$E38),TODAY()-8),0),1,0)),MAX(0,INT((MIN(IF($E38="",TODAY()-8,$E38),TODAY()-8)-($D38+MOD(SISTEM!$F$8-WEEKDAY($D38,2),7)))/7)+1)))</f>
        <v/>
      </c>
      <c r="K38" s="227">
        <f>IF(OR($C38="",$D38="",$G38="",$F38=""),0,$G38*IF($F38="Aylık",MAX(0,(YEAR(MIN(IF($E38="",TODAY()-15,$E38),TODAY()-15))-YEAR($D38))*12+MONTH(MIN(IF($E38="",TODAY()-15,$E38),TODAY()-15))-MONTH($D38)+IF(MIN(IF($E38="",TODAY()-15,$E38),TODAY()-15)&gt;=EOMONTH(MIN(IF($E38="",TODAY()-15,$E38),TODAY()-15),0),1,0)),MAX(0,INT((MIN(IF($E38="",TODAY()-15,$E38),TODAY()-15)-($D38+MOD(SISTEM!$F$8-WEEKDAY($D38,2),7)))/7)+1)))</f>
        <v/>
      </c>
      <c r="L38" s="227">
        <f>IF(OR($C38="",$D38="",$G38="",$F38=""),0,$G38*IF($F38="Aylık",MAX(0,(YEAR(MIN(IF($E38="",TODAY()-29,$E38),TODAY()-29))-YEAR($D38))*12+MONTH(MIN(IF($E38="",TODAY()-29,$E38),TODAY()-29))-MONTH($D38)+IF(MIN(IF($E38="",TODAY()-29,$E38),TODAY()-29)&gt;=EOMONTH(MIN(IF($E38="",TODAY()-29,$E38),TODAY()-29),0),1,0)),MAX(0,INT((MIN(IF($E38="",TODAY()-29,$E38),TODAY()-29)-($D38+MOD(SISTEM!$F$8-WEEKDAY($D38,2),7)))/7)+1)))</f>
        <v/>
      </c>
      <c r="M38" s="228">
        <f>IF($G38&gt;0,$I38/$G38,0)</f>
        <v/>
      </c>
      <c r="N38" s="113">
        <f>IF($C38="","",IF($B38="TANIMSIZ MÜŞTERİ","TANIMSIZ MÜŞTERİ",IF($F38="","MODEL SEÇİN",IF(OR($D38="",$G38&lt;=0),"EKSİK",IF(AND($E38&lt;&gt;"",$E38&lt;$D38),"TARİH HATASI",IF($H38="Pasif","KAPALI DÖNEM","UYGUN"))))))</f>
        <v/>
      </c>
      <c r="O38" s="229">
        <f>IF(OR($C38="",$D38="",$F38=""),"",IF($F38="Aylık",EOMONTH($D38,0),($D38+MOD(SISTEM!$F$8-WEEKDAY($D38,2),7))))</f>
        <v/>
      </c>
      <c r="P38" s="109" t="n"/>
      <c r="Q38" s="6" t="n"/>
      <c r="R38" s="6" t="n"/>
      <c r="S38" s="3">
        <f>IF($B38="","",$B38&amp;"|"&amp;COUNTIFS($B$7:$B38,$B38))</f>
        <v/>
      </c>
    </row>
    <row r="39">
      <c r="A39" s="6" t="n"/>
      <c r="B39" s="113">
        <f>IF($C39="","",IFERROR(INDEX(MUSTERILER!$B$7:$B$106,MATCH($C39,MUSTERILER!$C$7:$C$106,0)),IFERROR(INDEX(MUSTERILER!$B$7:$B$106,MATCH($C39,MUSTERILER!$B$7:$B$106,0)),IFERROR(INDEX(MUSTERILER!$B$7:$B$106,MATCH($C39&amp;"*",MUSTERILER!$C$7:$C$106,0)),"TANIMSIZ MÜŞTERİ"))))</f>
        <v/>
      </c>
      <c r="C39" s="109" t="inlineStr">
        <is>
          <t>IŞIL GRUP LTD.ŞTİ.</t>
        </is>
      </c>
      <c r="D39" s="225" t="n">
        <v>46023</v>
      </c>
      <c r="E39" s="225" t="n"/>
      <c r="F39" s="108" t="inlineStr">
        <is>
          <t>Aylık</t>
        </is>
      </c>
      <c r="G39" s="226" t="n">
        <v>7500</v>
      </c>
      <c r="H39" s="108" t="inlineStr">
        <is>
          <t>Aktif</t>
        </is>
      </c>
      <c r="I39" s="227">
        <f>IF(OR($C39="",$D39="",$G39="",$F39=""),0,$G39*IF($F39="Aylık",MAX(0,(YEAR(MIN(IF($E39="",TODAY(),$E39),TODAY()))-YEAR($D39))*12+MONTH(MIN(IF($E39="",TODAY(),$E39),TODAY()))-MONTH($D39)+IF(MIN(IF($E39="",TODAY(),$E39),TODAY())&gt;=EOMONTH(MIN(IF($E39="",TODAY(),$E39),TODAY()),0),1,0)),MAX(0,INT((MIN(IF($E39="",TODAY(),$E39),TODAY())-($D39+MOD(SISTEM!$F$8-WEEKDAY($D39,2),7)))/7)+1)))</f>
        <v/>
      </c>
      <c r="J39" s="227">
        <f>IF(OR($C39="",$D39="",$G39="",$F39=""),0,$G39*IF($F39="Aylık",MAX(0,(YEAR(MIN(IF($E39="",TODAY()-8,$E39),TODAY()-8))-YEAR($D39))*12+MONTH(MIN(IF($E39="",TODAY()-8,$E39),TODAY()-8))-MONTH($D39)+IF(MIN(IF($E39="",TODAY()-8,$E39),TODAY()-8)&gt;=EOMONTH(MIN(IF($E39="",TODAY()-8,$E39),TODAY()-8),0),1,0)),MAX(0,INT((MIN(IF($E39="",TODAY()-8,$E39),TODAY()-8)-($D39+MOD(SISTEM!$F$8-WEEKDAY($D39,2),7)))/7)+1)))</f>
        <v/>
      </c>
      <c r="K39" s="227">
        <f>IF(OR($C39="",$D39="",$G39="",$F39=""),0,$G39*IF($F39="Aylık",MAX(0,(YEAR(MIN(IF($E39="",TODAY()-15,$E39),TODAY()-15))-YEAR($D39))*12+MONTH(MIN(IF($E39="",TODAY()-15,$E39),TODAY()-15))-MONTH($D39)+IF(MIN(IF($E39="",TODAY()-15,$E39),TODAY()-15)&gt;=EOMONTH(MIN(IF($E39="",TODAY()-15,$E39),TODAY()-15),0),1,0)),MAX(0,INT((MIN(IF($E39="",TODAY()-15,$E39),TODAY()-15)-($D39+MOD(SISTEM!$F$8-WEEKDAY($D39,2),7)))/7)+1)))</f>
        <v/>
      </c>
      <c r="L39" s="227">
        <f>IF(OR($C39="",$D39="",$G39="",$F39=""),0,$G39*IF($F39="Aylık",MAX(0,(YEAR(MIN(IF($E39="",TODAY()-29,$E39),TODAY()-29))-YEAR($D39))*12+MONTH(MIN(IF($E39="",TODAY()-29,$E39),TODAY()-29))-MONTH($D39)+IF(MIN(IF($E39="",TODAY()-29,$E39),TODAY()-29)&gt;=EOMONTH(MIN(IF($E39="",TODAY()-29,$E39),TODAY()-29),0),1,0)),MAX(0,INT((MIN(IF($E39="",TODAY()-29,$E39),TODAY()-29)-($D39+MOD(SISTEM!$F$8-WEEKDAY($D39,2),7)))/7)+1)))</f>
        <v/>
      </c>
      <c r="M39" s="228">
        <f>IF($G39&gt;0,$I39/$G39,0)</f>
        <v/>
      </c>
      <c r="N39" s="113">
        <f>IF($C39="","",IF($B39="TANIMSIZ MÜŞTERİ","TANIMSIZ MÜŞTERİ",IF($F39="","MODEL SEÇİN",IF(OR($D39="",$G39&lt;=0),"EKSİK",IF(AND($E39&lt;&gt;"",$E39&lt;$D39),"TARİH HATASI",IF($H39="Pasif","KAPALI DÖNEM","UYGUN"))))))</f>
        <v/>
      </c>
      <c r="O39" s="229">
        <f>IF(OR($C39="",$D39="",$F39=""),"",IF($F39="Aylık",EOMONTH($D39,0),($D39+MOD(SISTEM!$F$8-WEEKDAY($D39,2),7))))</f>
        <v/>
      </c>
      <c r="P39" s="109" t="n"/>
      <c r="Q39" s="6" t="n"/>
      <c r="R39" s="6" t="n"/>
      <c r="S39" s="3">
        <f>IF($B39="","",$B39&amp;"|"&amp;COUNTIFS($B$7:$B39,$B39))</f>
        <v/>
      </c>
    </row>
    <row r="40">
      <c r="A40" s="6" t="n"/>
      <c r="B40" s="113">
        <f>IF($C40="","",IFERROR(INDEX(MUSTERILER!$B$7:$B$106,MATCH($C40,MUSTERILER!$C$7:$C$106,0)),IFERROR(INDEX(MUSTERILER!$B$7:$B$106,MATCH($C40,MUSTERILER!$B$7:$B$106,0)),IFERROR(INDEX(MUSTERILER!$B$7:$B$106,MATCH($C40&amp;"*",MUSTERILER!$C$7:$C$106,0)),"TANIMSIZ MÜŞTERİ"))))</f>
        <v/>
      </c>
      <c r="C40" s="109" t="inlineStr">
        <is>
          <t>İBRAHİM MALDAN</t>
        </is>
      </c>
      <c r="D40" s="225" t="n">
        <v>46023</v>
      </c>
      <c r="E40" s="225" t="n"/>
      <c r="F40" s="108" t="inlineStr">
        <is>
          <t>Haftalık</t>
        </is>
      </c>
      <c r="G40" s="226" t="n">
        <v>4000</v>
      </c>
      <c r="H40" s="108" t="inlineStr">
        <is>
          <t>Aktif</t>
        </is>
      </c>
      <c r="I40" s="227">
        <f>IF(OR($C40="",$D40="",$G40="",$F40=""),0,$G40*IF($F40="Aylık",MAX(0,(YEAR(MIN(IF($E40="",TODAY(),$E40),TODAY()))-YEAR($D40))*12+MONTH(MIN(IF($E40="",TODAY(),$E40),TODAY()))-MONTH($D40)+IF(MIN(IF($E40="",TODAY(),$E40),TODAY())&gt;=EOMONTH(MIN(IF($E40="",TODAY(),$E40),TODAY()),0),1,0)),MAX(0,INT((MIN(IF($E40="",TODAY(),$E40),TODAY())-($D40+MOD(SISTEM!$F$8-WEEKDAY($D40,2),7)))/7)+1)))</f>
        <v/>
      </c>
      <c r="J40" s="227">
        <f>IF(OR($C40="",$D40="",$G40="",$F40=""),0,$G40*IF($F40="Aylık",MAX(0,(YEAR(MIN(IF($E40="",TODAY()-8,$E40),TODAY()-8))-YEAR($D40))*12+MONTH(MIN(IF($E40="",TODAY()-8,$E40),TODAY()-8))-MONTH($D40)+IF(MIN(IF($E40="",TODAY()-8,$E40),TODAY()-8)&gt;=EOMONTH(MIN(IF($E40="",TODAY()-8,$E40),TODAY()-8),0),1,0)),MAX(0,INT((MIN(IF($E40="",TODAY()-8,$E40),TODAY()-8)-($D40+MOD(SISTEM!$F$8-WEEKDAY($D40,2),7)))/7)+1)))</f>
        <v/>
      </c>
      <c r="K40" s="227">
        <f>IF(OR($C40="",$D40="",$G40="",$F40=""),0,$G40*IF($F40="Aylık",MAX(0,(YEAR(MIN(IF($E40="",TODAY()-15,$E40),TODAY()-15))-YEAR($D40))*12+MONTH(MIN(IF($E40="",TODAY()-15,$E40),TODAY()-15))-MONTH($D40)+IF(MIN(IF($E40="",TODAY()-15,$E40),TODAY()-15)&gt;=EOMONTH(MIN(IF($E40="",TODAY()-15,$E40),TODAY()-15),0),1,0)),MAX(0,INT((MIN(IF($E40="",TODAY()-15,$E40),TODAY()-15)-($D40+MOD(SISTEM!$F$8-WEEKDAY($D40,2),7)))/7)+1)))</f>
        <v/>
      </c>
      <c r="L40" s="227">
        <f>IF(OR($C40="",$D40="",$G40="",$F40=""),0,$G40*IF($F40="Aylık",MAX(0,(YEAR(MIN(IF($E40="",TODAY()-29,$E40),TODAY()-29))-YEAR($D40))*12+MONTH(MIN(IF($E40="",TODAY()-29,$E40),TODAY()-29))-MONTH($D40)+IF(MIN(IF($E40="",TODAY()-29,$E40),TODAY()-29)&gt;=EOMONTH(MIN(IF($E40="",TODAY()-29,$E40),TODAY()-29),0),1,0)),MAX(0,INT((MIN(IF($E40="",TODAY()-29,$E40),TODAY()-29)-($D40+MOD(SISTEM!$F$8-WEEKDAY($D40,2),7)))/7)+1)))</f>
        <v/>
      </c>
      <c r="M40" s="228">
        <f>IF($G40&gt;0,$I40/$G40,0)</f>
        <v/>
      </c>
      <c r="N40" s="113">
        <f>IF($C40="","",IF($B40="TANIMSIZ MÜŞTERİ","TANIMSIZ MÜŞTERİ",IF($F40="","MODEL SEÇİN",IF(OR($D40="",$G40&lt;=0),"EKSİK",IF(AND($E40&lt;&gt;"",$E40&lt;$D40),"TARİH HATASI",IF($H40="Pasif","KAPALI DÖNEM","UYGUN"))))))</f>
        <v/>
      </c>
      <c r="O40" s="229">
        <f>IF(OR($C40="",$D40="",$F40=""),"",IF($F40="Aylık",EOMONTH($D40,0),($D40+MOD(SISTEM!$F$8-WEEKDAY($D40,2),7))))</f>
        <v/>
      </c>
      <c r="P40" s="109" t="n"/>
      <c r="Q40" s="6" t="n"/>
      <c r="R40" s="6" t="n"/>
      <c r="S40" s="3">
        <f>IF($B40="","",$B40&amp;"|"&amp;COUNTIFS($B$7:$B40,$B40))</f>
        <v/>
      </c>
    </row>
    <row r="41">
      <c r="A41" s="6" t="n"/>
      <c r="B41" s="113">
        <f>IF($C41="","",IFERROR(INDEX(MUSTERILER!$B$7:$B$106,MATCH($C41,MUSTERILER!$C$7:$C$106,0)),IFERROR(INDEX(MUSTERILER!$B$7:$B$106,MATCH($C41,MUSTERILER!$B$7:$B$106,0)),IFERROR(INDEX(MUSTERILER!$B$7:$B$106,MATCH($C41&amp;"*",MUSTERILER!$C$7:$C$106,0)),"TANIMSIZ MÜŞTERİ"))))</f>
        <v/>
      </c>
      <c r="C41" s="109" t="inlineStr">
        <is>
          <t>İSA DEMİRCİ</t>
        </is>
      </c>
      <c r="D41" s="225" t="n">
        <v>46023</v>
      </c>
      <c r="E41" s="225" t="n"/>
      <c r="F41" s="108" t="inlineStr">
        <is>
          <t>Aylık</t>
        </is>
      </c>
      <c r="G41" s="226" t="n">
        <v>3500</v>
      </c>
      <c r="H41" s="108" t="inlineStr">
        <is>
          <t>Aktif</t>
        </is>
      </c>
      <c r="I41" s="227">
        <f>IF(OR($C41="",$D41="",$G41="",$F41=""),0,$G41*IF($F41="Aylık",MAX(0,(YEAR(MIN(IF($E41="",TODAY(),$E41),TODAY()))-YEAR($D41))*12+MONTH(MIN(IF($E41="",TODAY(),$E41),TODAY()))-MONTH($D41)+IF(MIN(IF($E41="",TODAY(),$E41),TODAY())&gt;=EOMONTH(MIN(IF($E41="",TODAY(),$E41),TODAY()),0),1,0)),MAX(0,INT((MIN(IF($E41="",TODAY(),$E41),TODAY())-($D41+MOD(SISTEM!$F$8-WEEKDAY($D41,2),7)))/7)+1)))</f>
        <v/>
      </c>
      <c r="J41" s="227">
        <f>IF(OR($C41="",$D41="",$G41="",$F41=""),0,$G41*IF($F41="Aylık",MAX(0,(YEAR(MIN(IF($E41="",TODAY()-8,$E41),TODAY()-8))-YEAR($D41))*12+MONTH(MIN(IF($E41="",TODAY()-8,$E41),TODAY()-8))-MONTH($D41)+IF(MIN(IF($E41="",TODAY()-8,$E41),TODAY()-8)&gt;=EOMONTH(MIN(IF($E41="",TODAY()-8,$E41),TODAY()-8),0),1,0)),MAX(0,INT((MIN(IF($E41="",TODAY()-8,$E41),TODAY()-8)-($D41+MOD(SISTEM!$F$8-WEEKDAY($D41,2),7)))/7)+1)))</f>
        <v/>
      </c>
      <c r="K41" s="227">
        <f>IF(OR($C41="",$D41="",$G41="",$F41=""),0,$G41*IF($F41="Aylık",MAX(0,(YEAR(MIN(IF($E41="",TODAY()-15,$E41),TODAY()-15))-YEAR($D41))*12+MONTH(MIN(IF($E41="",TODAY()-15,$E41),TODAY()-15))-MONTH($D41)+IF(MIN(IF($E41="",TODAY()-15,$E41),TODAY()-15)&gt;=EOMONTH(MIN(IF($E41="",TODAY()-15,$E41),TODAY()-15),0),1,0)),MAX(0,INT((MIN(IF($E41="",TODAY()-15,$E41),TODAY()-15)-($D41+MOD(SISTEM!$F$8-WEEKDAY($D41,2),7)))/7)+1)))</f>
        <v/>
      </c>
      <c r="L41" s="227">
        <f>IF(OR($C41="",$D41="",$G41="",$F41=""),0,$G41*IF($F41="Aylık",MAX(0,(YEAR(MIN(IF($E41="",TODAY()-29,$E41),TODAY()-29))-YEAR($D41))*12+MONTH(MIN(IF($E41="",TODAY()-29,$E41),TODAY()-29))-MONTH($D41)+IF(MIN(IF($E41="",TODAY()-29,$E41),TODAY()-29)&gt;=EOMONTH(MIN(IF($E41="",TODAY()-29,$E41),TODAY()-29),0),1,0)),MAX(0,INT((MIN(IF($E41="",TODAY()-29,$E41),TODAY()-29)-($D41+MOD(SISTEM!$F$8-WEEKDAY($D41,2),7)))/7)+1)))</f>
        <v/>
      </c>
      <c r="M41" s="228">
        <f>IF($G41&gt;0,$I41/$G41,0)</f>
        <v/>
      </c>
      <c r="N41" s="113">
        <f>IF($C41="","",IF($B41="TANIMSIZ MÜŞTERİ","TANIMSIZ MÜŞTERİ",IF($F41="","MODEL SEÇİN",IF(OR($D41="",$G41&lt;=0),"EKSİK",IF(AND($E41&lt;&gt;"",$E41&lt;$D41),"TARİH HATASI",IF($H41="Pasif","KAPALI DÖNEM","UYGUN"))))))</f>
        <v/>
      </c>
      <c r="O41" s="229">
        <f>IF(OR($C41="",$D41="",$F41=""),"",IF($F41="Aylık",EOMONTH($D41,0),($D41+MOD(SISTEM!$F$8-WEEKDAY($D41,2),7))))</f>
        <v/>
      </c>
      <c r="P41" s="109" t="n"/>
      <c r="Q41" s="6" t="n"/>
      <c r="R41" s="6" t="n"/>
      <c r="S41" s="3">
        <f>IF($B41="","",$B41&amp;"|"&amp;COUNTIFS($B$7:$B41,$B41))</f>
        <v/>
      </c>
    </row>
    <row r="42">
      <c r="A42" s="6" t="n"/>
      <c r="B42" s="113">
        <f>IF($C42="","",IFERROR(INDEX(MUSTERILER!$B$7:$B$106,MATCH($C42,MUSTERILER!$C$7:$C$106,0)),IFERROR(INDEX(MUSTERILER!$B$7:$B$106,MATCH($C42,MUSTERILER!$B$7:$B$106,0)),IFERROR(INDEX(MUSTERILER!$B$7:$B$106,MATCH($C42&amp;"*",MUSTERILER!$C$7:$C$106,0)),"TANIMSIZ MÜŞTERİ"))))</f>
        <v/>
      </c>
      <c r="C42" s="109" t="inlineStr">
        <is>
          <t>İSMAİL AKPINAR</t>
        </is>
      </c>
      <c r="D42" s="225" t="n">
        <v>46023</v>
      </c>
      <c r="E42" s="225" t="n"/>
      <c r="F42" s="108" t="inlineStr">
        <is>
          <t>Aylık</t>
        </is>
      </c>
      <c r="G42" s="226" t="n">
        <v>4000</v>
      </c>
      <c r="H42" s="108" t="inlineStr">
        <is>
          <t>Aktif</t>
        </is>
      </c>
      <c r="I42" s="227">
        <f>IF(OR($C42="",$D42="",$G42="",$F42=""),0,$G42*IF($F42="Aylık",MAX(0,(YEAR(MIN(IF($E42="",TODAY(),$E42),TODAY()))-YEAR($D42))*12+MONTH(MIN(IF($E42="",TODAY(),$E42),TODAY()))-MONTH($D42)+IF(MIN(IF($E42="",TODAY(),$E42),TODAY())&gt;=EOMONTH(MIN(IF($E42="",TODAY(),$E42),TODAY()),0),1,0)),MAX(0,INT((MIN(IF($E42="",TODAY(),$E42),TODAY())-($D42+MOD(SISTEM!$F$8-WEEKDAY($D42,2),7)))/7)+1)))</f>
        <v/>
      </c>
      <c r="J42" s="227">
        <f>IF(OR($C42="",$D42="",$G42="",$F42=""),0,$G42*IF($F42="Aylık",MAX(0,(YEAR(MIN(IF($E42="",TODAY()-8,$E42),TODAY()-8))-YEAR($D42))*12+MONTH(MIN(IF($E42="",TODAY()-8,$E42),TODAY()-8))-MONTH($D42)+IF(MIN(IF($E42="",TODAY()-8,$E42),TODAY()-8)&gt;=EOMONTH(MIN(IF($E42="",TODAY()-8,$E42),TODAY()-8),0),1,0)),MAX(0,INT((MIN(IF($E42="",TODAY()-8,$E42),TODAY()-8)-($D42+MOD(SISTEM!$F$8-WEEKDAY($D42,2),7)))/7)+1)))</f>
        <v/>
      </c>
      <c r="K42" s="227">
        <f>IF(OR($C42="",$D42="",$G42="",$F42=""),0,$G42*IF($F42="Aylık",MAX(0,(YEAR(MIN(IF($E42="",TODAY()-15,$E42),TODAY()-15))-YEAR($D42))*12+MONTH(MIN(IF($E42="",TODAY()-15,$E42),TODAY()-15))-MONTH($D42)+IF(MIN(IF($E42="",TODAY()-15,$E42),TODAY()-15)&gt;=EOMONTH(MIN(IF($E42="",TODAY()-15,$E42),TODAY()-15),0),1,0)),MAX(0,INT((MIN(IF($E42="",TODAY()-15,$E42),TODAY()-15)-($D42+MOD(SISTEM!$F$8-WEEKDAY($D42,2),7)))/7)+1)))</f>
        <v/>
      </c>
      <c r="L42" s="227">
        <f>IF(OR($C42="",$D42="",$G42="",$F42=""),0,$G42*IF($F42="Aylık",MAX(0,(YEAR(MIN(IF($E42="",TODAY()-29,$E42),TODAY()-29))-YEAR($D42))*12+MONTH(MIN(IF($E42="",TODAY()-29,$E42),TODAY()-29))-MONTH($D42)+IF(MIN(IF($E42="",TODAY()-29,$E42),TODAY()-29)&gt;=EOMONTH(MIN(IF($E42="",TODAY()-29,$E42),TODAY()-29),0),1,0)),MAX(0,INT((MIN(IF($E42="",TODAY()-29,$E42),TODAY()-29)-($D42+MOD(SISTEM!$F$8-WEEKDAY($D42,2),7)))/7)+1)))</f>
        <v/>
      </c>
      <c r="M42" s="228">
        <f>IF($G42&gt;0,$I42/$G42,0)</f>
        <v/>
      </c>
      <c r="N42" s="113">
        <f>IF($C42="","",IF($B42="TANIMSIZ MÜŞTERİ","TANIMSIZ MÜŞTERİ",IF($F42="","MODEL SEÇİN",IF(OR($D42="",$G42&lt;=0),"EKSİK",IF(AND($E42&lt;&gt;"",$E42&lt;$D42),"TARİH HATASI",IF($H42="Pasif","KAPALI DÖNEM","UYGUN"))))))</f>
        <v/>
      </c>
      <c r="O42" s="229">
        <f>IF(OR($C42="",$D42="",$F42=""),"",IF($F42="Aylık",EOMONTH($D42,0),($D42+MOD(SISTEM!$F$8-WEEKDAY($D42,2),7))))</f>
        <v/>
      </c>
      <c r="P42" s="109" t="n"/>
      <c r="Q42" s="6" t="n"/>
      <c r="R42" s="6" t="n"/>
      <c r="S42" s="3">
        <f>IF($B42="","",$B42&amp;"|"&amp;COUNTIFS($B$7:$B42,$B42))</f>
        <v/>
      </c>
    </row>
    <row r="43">
      <c r="A43" s="6" t="n"/>
      <c r="B43" s="113">
        <f>IF($C43="","",IFERROR(INDEX(MUSTERILER!$B$7:$B$106,MATCH($C43,MUSTERILER!$C$7:$C$106,0)),IFERROR(INDEX(MUSTERILER!$B$7:$B$106,MATCH($C43,MUSTERILER!$B$7:$B$106,0)),IFERROR(INDEX(MUSTERILER!$B$7:$B$106,MATCH($C43&amp;"*",MUSTERILER!$C$7:$C$106,0)),"TANIMSIZ MÜŞTERİ"))))</f>
        <v/>
      </c>
      <c r="C43" s="109" t="inlineStr">
        <is>
          <t>MEHMET EVREN KILINÇ</t>
        </is>
      </c>
      <c r="D43" s="225" t="n">
        <v>46023</v>
      </c>
      <c r="E43" s="225" t="n"/>
      <c r="F43" s="108" t="inlineStr">
        <is>
          <t>Aylık</t>
        </is>
      </c>
      <c r="G43" s="226" t="n">
        <v>2000</v>
      </c>
      <c r="H43" s="108" t="inlineStr">
        <is>
          <t>Aktif</t>
        </is>
      </c>
      <c r="I43" s="227">
        <f>IF(OR($C43="",$D43="",$G43="",$F43=""),0,$G43*IF($F43="Aylık",MAX(0,(YEAR(MIN(IF($E43="",TODAY(),$E43),TODAY()))-YEAR($D43))*12+MONTH(MIN(IF($E43="",TODAY(),$E43),TODAY()))-MONTH($D43)+IF(MIN(IF($E43="",TODAY(),$E43),TODAY())&gt;=EOMONTH(MIN(IF($E43="",TODAY(),$E43),TODAY()),0),1,0)),MAX(0,INT((MIN(IF($E43="",TODAY(),$E43),TODAY())-($D43+MOD(SISTEM!$F$8-WEEKDAY($D43,2),7)))/7)+1)))</f>
        <v/>
      </c>
      <c r="J43" s="227">
        <f>IF(OR($C43="",$D43="",$G43="",$F43=""),0,$G43*IF($F43="Aylık",MAX(0,(YEAR(MIN(IF($E43="",TODAY()-8,$E43),TODAY()-8))-YEAR($D43))*12+MONTH(MIN(IF($E43="",TODAY()-8,$E43),TODAY()-8))-MONTH($D43)+IF(MIN(IF($E43="",TODAY()-8,$E43),TODAY()-8)&gt;=EOMONTH(MIN(IF($E43="",TODAY()-8,$E43),TODAY()-8),0),1,0)),MAX(0,INT((MIN(IF($E43="",TODAY()-8,$E43),TODAY()-8)-($D43+MOD(SISTEM!$F$8-WEEKDAY($D43,2),7)))/7)+1)))</f>
        <v/>
      </c>
      <c r="K43" s="227">
        <f>IF(OR($C43="",$D43="",$G43="",$F43=""),0,$G43*IF($F43="Aylık",MAX(0,(YEAR(MIN(IF($E43="",TODAY()-15,$E43),TODAY()-15))-YEAR($D43))*12+MONTH(MIN(IF($E43="",TODAY()-15,$E43),TODAY()-15))-MONTH($D43)+IF(MIN(IF($E43="",TODAY()-15,$E43),TODAY()-15)&gt;=EOMONTH(MIN(IF($E43="",TODAY()-15,$E43),TODAY()-15),0),1,0)),MAX(0,INT((MIN(IF($E43="",TODAY()-15,$E43),TODAY()-15)-($D43+MOD(SISTEM!$F$8-WEEKDAY($D43,2),7)))/7)+1)))</f>
        <v/>
      </c>
      <c r="L43" s="227">
        <f>IF(OR($C43="",$D43="",$G43="",$F43=""),0,$G43*IF($F43="Aylık",MAX(0,(YEAR(MIN(IF($E43="",TODAY()-29,$E43),TODAY()-29))-YEAR($D43))*12+MONTH(MIN(IF($E43="",TODAY()-29,$E43),TODAY()-29))-MONTH($D43)+IF(MIN(IF($E43="",TODAY()-29,$E43),TODAY()-29)&gt;=EOMONTH(MIN(IF($E43="",TODAY()-29,$E43),TODAY()-29),0),1,0)),MAX(0,INT((MIN(IF($E43="",TODAY()-29,$E43),TODAY()-29)-($D43+MOD(SISTEM!$F$8-WEEKDAY($D43,2),7)))/7)+1)))</f>
        <v/>
      </c>
      <c r="M43" s="228">
        <f>IF($G43&gt;0,$I43/$G43,0)</f>
        <v/>
      </c>
      <c r="N43" s="113">
        <f>IF($C43="","",IF($B43="TANIMSIZ MÜŞTERİ","TANIMSIZ MÜŞTERİ",IF($F43="","MODEL SEÇİN",IF(OR($D43="",$G43&lt;=0),"EKSİK",IF(AND($E43&lt;&gt;"",$E43&lt;$D43),"TARİH HATASI",IF($H43="Pasif","KAPALI DÖNEM","UYGUN"))))))</f>
        <v/>
      </c>
      <c r="O43" s="229">
        <f>IF(OR($C43="",$D43="",$F43=""),"",IF($F43="Aylık",EOMONTH($D43,0),($D43+MOD(SISTEM!$F$8-WEEKDAY($D43,2),7))))</f>
        <v/>
      </c>
      <c r="P43" s="109" t="n"/>
      <c r="Q43" s="6" t="n"/>
      <c r="R43" s="6" t="n"/>
      <c r="S43" s="3">
        <f>IF($B43="","",$B43&amp;"|"&amp;COUNTIFS($B$7:$B43,$B43))</f>
        <v/>
      </c>
    </row>
    <row r="44">
      <c r="A44" s="6" t="n"/>
      <c r="B44" s="113">
        <f>IF($C44="","",IFERROR(INDEX(MUSTERILER!$B$7:$B$106,MATCH($C44,MUSTERILER!$C$7:$C$106,0)),IFERROR(INDEX(MUSTERILER!$B$7:$B$106,MATCH($C44,MUSTERILER!$B$7:$B$106,0)),IFERROR(INDEX(MUSTERILER!$B$7:$B$106,MATCH($C44&amp;"*",MUSTERILER!$C$7:$C$106,0)),"TANIMSIZ MÜŞTERİ"))))</f>
        <v/>
      </c>
      <c r="C44" s="109" t="inlineStr">
        <is>
          <t>MELEK GÜLER</t>
        </is>
      </c>
      <c r="D44" s="225" t="n">
        <v>46023</v>
      </c>
      <c r="E44" s="225" t="n"/>
      <c r="F44" s="108" t="inlineStr">
        <is>
          <t>Aylık</t>
        </is>
      </c>
      <c r="G44" s="226" t="n">
        <v>3000</v>
      </c>
      <c r="H44" s="108" t="inlineStr">
        <is>
          <t>Aktif</t>
        </is>
      </c>
      <c r="I44" s="227">
        <f>IF(OR($C44="",$D44="",$G44="",$F44=""),0,$G44*IF($F44="Aylık",MAX(0,(YEAR(MIN(IF($E44="",TODAY(),$E44),TODAY()))-YEAR($D44))*12+MONTH(MIN(IF($E44="",TODAY(),$E44),TODAY()))-MONTH($D44)+IF(MIN(IF($E44="",TODAY(),$E44),TODAY())&gt;=EOMONTH(MIN(IF($E44="",TODAY(),$E44),TODAY()),0),1,0)),MAX(0,INT((MIN(IF($E44="",TODAY(),$E44),TODAY())-($D44+MOD(SISTEM!$F$8-WEEKDAY($D44,2),7)))/7)+1)))</f>
        <v/>
      </c>
      <c r="J44" s="227">
        <f>IF(OR($C44="",$D44="",$G44="",$F44=""),0,$G44*IF($F44="Aylık",MAX(0,(YEAR(MIN(IF($E44="",TODAY()-8,$E44),TODAY()-8))-YEAR($D44))*12+MONTH(MIN(IF($E44="",TODAY()-8,$E44),TODAY()-8))-MONTH($D44)+IF(MIN(IF($E44="",TODAY()-8,$E44),TODAY()-8)&gt;=EOMONTH(MIN(IF($E44="",TODAY()-8,$E44),TODAY()-8),0),1,0)),MAX(0,INT((MIN(IF($E44="",TODAY()-8,$E44),TODAY()-8)-($D44+MOD(SISTEM!$F$8-WEEKDAY($D44,2),7)))/7)+1)))</f>
        <v/>
      </c>
      <c r="K44" s="227">
        <f>IF(OR($C44="",$D44="",$G44="",$F44=""),0,$G44*IF($F44="Aylık",MAX(0,(YEAR(MIN(IF($E44="",TODAY()-15,$E44),TODAY()-15))-YEAR($D44))*12+MONTH(MIN(IF($E44="",TODAY()-15,$E44),TODAY()-15))-MONTH($D44)+IF(MIN(IF($E44="",TODAY()-15,$E44),TODAY()-15)&gt;=EOMONTH(MIN(IF($E44="",TODAY()-15,$E44),TODAY()-15),0),1,0)),MAX(0,INT((MIN(IF($E44="",TODAY()-15,$E44),TODAY()-15)-($D44+MOD(SISTEM!$F$8-WEEKDAY($D44,2),7)))/7)+1)))</f>
        <v/>
      </c>
      <c r="L44" s="227">
        <f>IF(OR($C44="",$D44="",$G44="",$F44=""),0,$G44*IF($F44="Aylık",MAX(0,(YEAR(MIN(IF($E44="",TODAY()-29,$E44),TODAY()-29))-YEAR($D44))*12+MONTH(MIN(IF($E44="",TODAY()-29,$E44),TODAY()-29))-MONTH($D44)+IF(MIN(IF($E44="",TODAY()-29,$E44),TODAY()-29)&gt;=EOMONTH(MIN(IF($E44="",TODAY()-29,$E44),TODAY()-29),0),1,0)),MAX(0,INT((MIN(IF($E44="",TODAY()-29,$E44),TODAY()-29)-($D44+MOD(SISTEM!$F$8-WEEKDAY($D44,2),7)))/7)+1)))</f>
        <v/>
      </c>
      <c r="M44" s="228">
        <f>IF($G44&gt;0,$I44/$G44,0)</f>
        <v/>
      </c>
      <c r="N44" s="113">
        <f>IF($C44="","",IF($B44="TANIMSIZ MÜŞTERİ","TANIMSIZ MÜŞTERİ",IF($F44="","MODEL SEÇİN",IF(OR($D44="",$G44&lt;=0),"EKSİK",IF(AND($E44&lt;&gt;"",$E44&lt;$D44),"TARİH HATASI",IF($H44="Pasif","KAPALI DÖNEM","UYGUN"))))))</f>
        <v/>
      </c>
      <c r="O44" s="229">
        <f>IF(OR($C44="",$D44="",$F44=""),"",IF($F44="Aylık",EOMONTH($D44,0),($D44+MOD(SISTEM!$F$8-WEEKDAY($D44,2),7))))</f>
        <v/>
      </c>
      <c r="P44" s="109" t="n"/>
      <c r="Q44" s="6" t="n"/>
      <c r="R44" s="6" t="n"/>
      <c r="S44" s="3">
        <f>IF($B44="","",$B44&amp;"|"&amp;COUNTIFS($B$7:$B44,$B44))</f>
        <v/>
      </c>
    </row>
    <row r="45">
      <c r="A45" s="6" t="n"/>
      <c r="B45" s="113">
        <f>IF($C45="","",IFERROR(INDEX(MUSTERILER!$B$7:$B$106,MATCH($C45,MUSTERILER!$C$7:$C$106,0)),IFERROR(INDEX(MUSTERILER!$B$7:$B$106,MATCH($C45,MUSTERILER!$B$7:$B$106,0)),IFERROR(INDEX(MUSTERILER!$B$7:$B$106,MATCH($C45&amp;"*",MUSTERILER!$C$7:$C$106,0)),"TANIMSIZ MÜŞTERİ"))))</f>
        <v/>
      </c>
      <c r="C45" s="109" t="inlineStr">
        <is>
          <t>MELİSA BEDİR</t>
        </is>
      </c>
      <c r="D45" s="225" t="n">
        <v>46023</v>
      </c>
      <c r="E45" s="225" t="n"/>
      <c r="F45" s="108" t="inlineStr">
        <is>
          <t>Aylık</t>
        </is>
      </c>
      <c r="G45" s="226" t="n">
        <v>3000</v>
      </c>
      <c r="H45" s="108" t="inlineStr">
        <is>
          <t>Aktif</t>
        </is>
      </c>
      <c r="I45" s="227">
        <f>IF(OR($C45="",$D45="",$G45="",$F45=""),0,$G45*IF($F45="Aylık",MAX(0,(YEAR(MIN(IF($E45="",TODAY(),$E45),TODAY()))-YEAR($D45))*12+MONTH(MIN(IF($E45="",TODAY(),$E45),TODAY()))-MONTH($D45)+IF(MIN(IF($E45="",TODAY(),$E45),TODAY())&gt;=EOMONTH(MIN(IF($E45="",TODAY(),$E45),TODAY()),0),1,0)),MAX(0,INT((MIN(IF($E45="",TODAY(),$E45),TODAY())-($D45+MOD(SISTEM!$F$8-WEEKDAY($D45,2),7)))/7)+1)))</f>
        <v/>
      </c>
      <c r="J45" s="227">
        <f>IF(OR($C45="",$D45="",$G45="",$F45=""),0,$G45*IF($F45="Aylık",MAX(0,(YEAR(MIN(IF($E45="",TODAY()-8,$E45),TODAY()-8))-YEAR($D45))*12+MONTH(MIN(IF($E45="",TODAY()-8,$E45),TODAY()-8))-MONTH($D45)+IF(MIN(IF($E45="",TODAY()-8,$E45),TODAY()-8)&gt;=EOMONTH(MIN(IF($E45="",TODAY()-8,$E45),TODAY()-8),0),1,0)),MAX(0,INT((MIN(IF($E45="",TODAY()-8,$E45),TODAY()-8)-($D45+MOD(SISTEM!$F$8-WEEKDAY($D45,2),7)))/7)+1)))</f>
        <v/>
      </c>
      <c r="K45" s="227">
        <f>IF(OR($C45="",$D45="",$G45="",$F45=""),0,$G45*IF($F45="Aylık",MAX(0,(YEAR(MIN(IF($E45="",TODAY()-15,$E45),TODAY()-15))-YEAR($D45))*12+MONTH(MIN(IF($E45="",TODAY()-15,$E45),TODAY()-15))-MONTH($D45)+IF(MIN(IF($E45="",TODAY()-15,$E45),TODAY()-15)&gt;=EOMONTH(MIN(IF($E45="",TODAY()-15,$E45),TODAY()-15),0),1,0)),MAX(0,INT((MIN(IF($E45="",TODAY()-15,$E45),TODAY()-15)-($D45+MOD(SISTEM!$F$8-WEEKDAY($D45,2),7)))/7)+1)))</f>
        <v/>
      </c>
      <c r="L45" s="227">
        <f>IF(OR($C45="",$D45="",$G45="",$F45=""),0,$G45*IF($F45="Aylık",MAX(0,(YEAR(MIN(IF($E45="",TODAY()-29,$E45),TODAY()-29))-YEAR($D45))*12+MONTH(MIN(IF($E45="",TODAY()-29,$E45),TODAY()-29))-MONTH($D45)+IF(MIN(IF($E45="",TODAY()-29,$E45),TODAY()-29)&gt;=EOMONTH(MIN(IF($E45="",TODAY()-29,$E45),TODAY()-29),0),1,0)),MAX(0,INT((MIN(IF($E45="",TODAY()-29,$E45),TODAY()-29)-($D45+MOD(SISTEM!$F$8-WEEKDAY($D45,2),7)))/7)+1)))</f>
        <v/>
      </c>
      <c r="M45" s="228">
        <f>IF($G45&gt;0,$I45/$G45,0)</f>
        <v/>
      </c>
      <c r="N45" s="113">
        <f>IF($C45="","",IF($B45="TANIMSIZ MÜŞTERİ","TANIMSIZ MÜŞTERİ",IF($F45="","MODEL SEÇİN",IF(OR($D45="",$G45&lt;=0),"EKSİK",IF(AND($E45&lt;&gt;"",$E45&lt;$D45),"TARİH HATASI",IF($H45="Pasif","KAPALI DÖNEM","UYGUN"))))))</f>
        <v/>
      </c>
      <c r="O45" s="229">
        <f>IF(OR($C45="",$D45="",$F45=""),"",IF($F45="Aylık",EOMONTH($D45,0),($D45+MOD(SISTEM!$F$8-WEEKDAY($D45,2),7))))</f>
        <v/>
      </c>
      <c r="P45" s="109" t="n"/>
      <c r="Q45" s="6" t="n"/>
      <c r="R45" s="6" t="n"/>
      <c r="S45" s="3">
        <f>IF($B45="","",$B45&amp;"|"&amp;COUNTIFS($B$7:$B45,$B45))</f>
        <v/>
      </c>
    </row>
    <row r="46">
      <c r="A46" s="6" t="n"/>
      <c r="B46" s="113">
        <f>IF($C46="","",IFERROR(INDEX(MUSTERILER!$B$7:$B$106,MATCH($C46,MUSTERILER!$C$7:$C$106,0)),IFERROR(INDEX(MUSTERILER!$B$7:$B$106,MATCH($C46,MUSTERILER!$B$7:$B$106,0)),IFERROR(INDEX(MUSTERILER!$B$7:$B$106,MATCH($C46&amp;"*",MUSTERILER!$C$7:$C$106,0)),"TANIMSIZ MÜŞTERİ"))))</f>
        <v/>
      </c>
      <c r="C46" s="109" t="inlineStr">
        <is>
          <t>MENEKŞE AKAN</t>
        </is>
      </c>
      <c r="D46" s="225" t="n">
        <v>46023</v>
      </c>
      <c r="E46" s="225" t="n"/>
      <c r="F46" s="108" t="inlineStr">
        <is>
          <t>Aylık</t>
        </is>
      </c>
      <c r="G46" s="226" t="n">
        <v>1500</v>
      </c>
      <c r="H46" s="108" t="inlineStr">
        <is>
          <t>Aktif</t>
        </is>
      </c>
      <c r="I46" s="227">
        <f>IF(OR($C46="",$D46="",$G46="",$F46=""),0,$G46*IF($F46="Aylık",MAX(0,(YEAR(MIN(IF($E46="",TODAY(),$E46),TODAY()))-YEAR($D46))*12+MONTH(MIN(IF($E46="",TODAY(),$E46),TODAY()))-MONTH($D46)+IF(MIN(IF($E46="",TODAY(),$E46),TODAY())&gt;=EOMONTH(MIN(IF($E46="",TODAY(),$E46),TODAY()),0),1,0)),MAX(0,INT((MIN(IF($E46="",TODAY(),$E46),TODAY())-($D46+MOD(SISTEM!$F$8-WEEKDAY($D46,2),7)))/7)+1)))</f>
        <v/>
      </c>
      <c r="J46" s="227">
        <f>IF(OR($C46="",$D46="",$G46="",$F46=""),0,$G46*IF($F46="Aylık",MAX(0,(YEAR(MIN(IF($E46="",TODAY()-8,$E46),TODAY()-8))-YEAR($D46))*12+MONTH(MIN(IF($E46="",TODAY()-8,$E46),TODAY()-8))-MONTH($D46)+IF(MIN(IF($E46="",TODAY()-8,$E46),TODAY()-8)&gt;=EOMONTH(MIN(IF($E46="",TODAY()-8,$E46),TODAY()-8),0),1,0)),MAX(0,INT((MIN(IF($E46="",TODAY()-8,$E46),TODAY()-8)-($D46+MOD(SISTEM!$F$8-WEEKDAY($D46,2),7)))/7)+1)))</f>
        <v/>
      </c>
      <c r="K46" s="227">
        <f>IF(OR($C46="",$D46="",$G46="",$F46=""),0,$G46*IF($F46="Aylık",MAX(0,(YEAR(MIN(IF($E46="",TODAY()-15,$E46),TODAY()-15))-YEAR($D46))*12+MONTH(MIN(IF($E46="",TODAY()-15,$E46),TODAY()-15))-MONTH($D46)+IF(MIN(IF($E46="",TODAY()-15,$E46),TODAY()-15)&gt;=EOMONTH(MIN(IF($E46="",TODAY()-15,$E46),TODAY()-15),0),1,0)),MAX(0,INT((MIN(IF($E46="",TODAY()-15,$E46),TODAY()-15)-($D46+MOD(SISTEM!$F$8-WEEKDAY($D46,2),7)))/7)+1)))</f>
        <v/>
      </c>
      <c r="L46" s="227">
        <f>IF(OR($C46="",$D46="",$G46="",$F46=""),0,$G46*IF($F46="Aylık",MAX(0,(YEAR(MIN(IF($E46="",TODAY()-29,$E46),TODAY()-29))-YEAR($D46))*12+MONTH(MIN(IF($E46="",TODAY()-29,$E46),TODAY()-29))-MONTH($D46)+IF(MIN(IF($E46="",TODAY()-29,$E46),TODAY()-29)&gt;=EOMONTH(MIN(IF($E46="",TODAY()-29,$E46),TODAY()-29),0),1,0)),MAX(0,INT((MIN(IF($E46="",TODAY()-29,$E46),TODAY()-29)-($D46+MOD(SISTEM!$F$8-WEEKDAY($D46,2),7)))/7)+1)))</f>
        <v/>
      </c>
      <c r="M46" s="228">
        <f>IF($G46&gt;0,$I46/$G46,0)</f>
        <v/>
      </c>
      <c r="N46" s="113">
        <f>IF($C46="","",IF($B46="TANIMSIZ MÜŞTERİ","TANIMSIZ MÜŞTERİ",IF($F46="","MODEL SEÇİN",IF(OR($D46="",$G46&lt;=0),"EKSİK",IF(AND($E46&lt;&gt;"",$E46&lt;$D46),"TARİH HATASI",IF($H46="Pasif","KAPALI DÖNEM","UYGUN"))))))</f>
        <v/>
      </c>
      <c r="O46" s="229">
        <f>IF(OR($C46="",$D46="",$F46=""),"",IF($F46="Aylık",EOMONTH($D46,0),($D46+MOD(SISTEM!$F$8-WEEKDAY($D46,2),7))))</f>
        <v/>
      </c>
      <c r="P46" s="109" t="n"/>
      <c r="Q46" s="6" t="n"/>
      <c r="R46" s="6" t="n"/>
      <c r="S46" s="3">
        <f>IF($B46="","",$B46&amp;"|"&amp;COUNTIFS($B$7:$B46,$B46))</f>
        <v/>
      </c>
    </row>
    <row r="47">
      <c r="A47" s="6" t="n"/>
      <c r="B47" s="113">
        <f>IF($C47="","",IFERROR(INDEX(MUSTERILER!$B$7:$B$106,MATCH($C47,MUSTERILER!$C$7:$C$106,0)),IFERROR(INDEX(MUSTERILER!$B$7:$B$106,MATCH($C47,MUSTERILER!$B$7:$B$106,0)),IFERROR(INDEX(MUSTERILER!$B$7:$B$106,MATCH($C47&amp;"*",MUSTERILER!$C$7:$C$106,0)),"TANIMSIZ MÜŞTERİ"))))</f>
        <v/>
      </c>
      <c r="C47" s="109" t="inlineStr">
        <is>
          <t>MESUT KÖKLÜ</t>
        </is>
      </c>
      <c r="D47" s="225" t="n">
        <v>46023</v>
      </c>
      <c r="E47" s="225" t="n"/>
      <c r="F47" s="108" t="inlineStr">
        <is>
          <t>Aylık</t>
        </is>
      </c>
      <c r="G47" s="226" t="n">
        <v>5000</v>
      </c>
      <c r="H47" s="108" t="inlineStr">
        <is>
          <t>Aktif</t>
        </is>
      </c>
      <c r="I47" s="227">
        <f>IF(OR($C47="",$D47="",$G47="",$F47=""),0,$G47*IF($F47="Aylık",MAX(0,(YEAR(MIN(IF($E47="",TODAY(),$E47),TODAY()))-YEAR($D47))*12+MONTH(MIN(IF($E47="",TODAY(),$E47),TODAY()))-MONTH($D47)+IF(MIN(IF($E47="",TODAY(),$E47),TODAY())&gt;=EOMONTH(MIN(IF($E47="",TODAY(),$E47),TODAY()),0),1,0)),MAX(0,INT((MIN(IF($E47="",TODAY(),$E47),TODAY())-($D47+MOD(SISTEM!$F$8-WEEKDAY($D47,2),7)))/7)+1)))</f>
        <v/>
      </c>
      <c r="J47" s="227">
        <f>IF(OR($C47="",$D47="",$G47="",$F47=""),0,$G47*IF($F47="Aylık",MAX(0,(YEAR(MIN(IF($E47="",TODAY()-8,$E47),TODAY()-8))-YEAR($D47))*12+MONTH(MIN(IF($E47="",TODAY()-8,$E47),TODAY()-8))-MONTH($D47)+IF(MIN(IF($E47="",TODAY()-8,$E47),TODAY()-8)&gt;=EOMONTH(MIN(IF($E47="",TODAY()-8,$E47),TODAY()-8),0),1,0)),MAX(0,INT((MIN(IF($E47="",TODAY()-8,$E47),TODAY()-8)-($D47+MOD(SISTEM!$F$8-WEEKDAY($D47,2),7)))/7)+1)))</f>
        <v/>
      </c>
      <c r="K47" s="227">
        <f>IF(OR($C47="",$D47="",$G47="",$F47=""),0,$G47*IF($F47="Aylık",MAX(0,(YEAR(MIN(IF($E47="",TODAY()-15,$E47),TODAY()-15))-YEAR($D47))*12+MONTH(MIN(IF($E47="",TODAY()-15,$E47),TODAY()-15))-MONTH($D47)+IF(MIN(IF($E47="",TODAY()-15,$E47),TODAY()-15)&gt;=EOMONTH(MIN(IF($E47="",TODAY()-15,$E47),TODAY()-15),0),1,0)),MAX(0,INT((MIN(IF($E47="",TODAY()-15,$E47),TODAY()-15)-($D47+MOD(SISTEM!$F$8-WEEKDAY($D47,2),7)))/7)+1)))</f>
        <v/>
      </c>
      <c r="L47" s="227">
        <f>IF(OR($C47="",$D47="",$G47="",$F47=""),0,$G47*IF($F47="Aylık",MAX(0,(YEAR(MIN(IF($E47="",TODAY()-29,$E47),TODAY()-29))-YEAR($D47))*12+MONTH(MIN(IF($E47="",TODAY()-29,$E47),TODAY()-29))-MONTH($D47)+IF(MIN(IF($E47="",TODAY()-29,$E47),TODAY()-29)&gt;=EOMONTH(MIN(IF($E47="",TODAY()-29,$E47),TODAY()-29),0),1,0)),MAX(0,INT((MIN(IF($E47="",TODAY()-29,$E47),TODAY()-29)-($D47+MOD(SISTEM!$F$8-WEEKDAY($D47,2),7)))/7)+1)))</f>
        <v/>
      </c>
      <c r="M47" s="228">
        <f>IF($G47&gt;0,$I47/$G47,0)</f>
        <v/>
      </c>
      <c r="N47" s="113">
        <f>IF($C47="","",IF($B47="TANIMSIZ MÜŞTERİ","TANIMSIZ MÜŞTERİ",IF($F47="","MODEL SEÇİN",IF(OR($D47="",$G47&lt;=0),"EKSİK",IF(AND($E47&lt;&gt;"",$E47&lt;$D47),"TARİH HATASI",IF($H47="Pasif","KAPALI DÖNEM","UYGUN"))))))</f>
        <v/>
      </c>
      <c r="O47" s="229">
        <f>IF(OR($C47="",$D47="",$F47=""),"",IF($F47="Aylık",EOMONTH($D47,0),($D47+MOD(SISTEM!$F$8-WEEKDAY($D47,2),7))))</f>
        <v/>
      </c>
      <c r="P47" s="109" t="n"/>
      <c r="Q47" s="6" t="n"/>
      <c r="R47" s="6" t="n"/>
      <c r="S47" s="3">
        <f>IF($B47="","",$B47&amp;"|"&amp;COUNTIFS($B$7:$B47,$B47))</f>
        <v/>
      </c>
    </row>
    <row r="48">
      <c r="A48" s="6" t="n"/>
      <c r="B48" s="113">
        <f>IF($C48="","",IFERROR(INDEX(MUSTERILER!$B$7:$B$106,MATCH($C48,MUSTERILER!$C$7:$C$106,0)),IFERROR(INDEX(MUSTERILER!$B$7:$B$106,MATCH($C48,MUSTERILER!$B$7:$B$106,0)),IFERROR(INDEX(MUSTERILER!$B$7:$B$106,MATCH($C48&amp;"*",MUSTERILER!$C$7:$C$106,0)),"TANIMSIZ MÜŞTERİ"))))</f>
        <v/>
      </c>
      <c r="C48" s="109" t="inlineStr">
        <is>
          <t>MS TOPTAN LTD.ŞTİ.</t>
        </is>
      </c>
      <c r="D48" s="225" t="n">
        <v>46023</v>
      </c>
      <c r="E48" s="225" t="n"/>
      <c r="F48" s="108" t="inlineStr">
        <is>
          <t>Aylık</t>
        </is>
      </c>
      <c r="G48" s="226" t="n">
        <v>0</v>
      </c>
      <c r="H48" s="108" t="inlineStr">
        <is>
          <t>Aktif</t>
        </is>
      </c>
      <c r="I48" s="227">
        <f>IF(OR($C48="",$D48="",$G48="",$F48=""),0,$G48*IF($F48="Aylık",MAX(0,(YEAR(MIN(IF($E48="",TODAY(),$E48),TODAY()))-YEAR($D48))*12+MONTH(MIN(IF($E48="",TODAY(),$E48),TODAY()))-MONTH($D48)+IF(MIN(IF($E48="",TODAY(),$E48),TODAY())&gt;=EOMONTH(MIN(IF($E48="",TODAY(),$E48),TODAY()),0),1,0)),MAX(0,INT((MIN(IF($E48="",TODAY(),$E48),TODAY())-($D48+MOD(SISTEM!$F$8-WEEKDAY($D48,2),7)))/7)+1)))</f>
        <v/>
      </c>
      <c r="J48" s="227">
        <f>IF(OR($C48="",$D48="",$G48="",$F48=""),0,$G48*IF($F48="Aylık",MAX(0,(YEAR(MIN(IF($E48="",TODAY()-8,$E48),TODAY()-8))-YEAR($D48))*12+MONTH(MIN(IF($E48="",TODAY()-8,$E48),TODAY()-8))-MONTH($D48)+IF(MIN(IF($E48="",TODAY()-8,$E48),TODAY()-8)&gt;=EOMONTH(MIN(IF($E48="",TODAY()-8,$E48),TODAY()-8),0),1,0)),MAX(0,INT((MIN(IF($E48="",TODAY()-8,$E48),TODAY()-8)-($D48+MOD(SISTEM!$F$8-WEEKDAY($D48,2),7)))/7)+1)))</f>
        <v/>
      </c>
      <c r="K48" s="227">
        <f>IF(OR($C48="",$D48="",$G48="",$F48=""),0,$G48*IF($F48="Aylık",MAX(0,(YEAR(MIN(IF($E48="",TODAY()-15,$E48),TODAY()-15))-YEAR($D48))*12+MONTH(MIN(IF($E48="",TODAY()-15,$E48),TODAY()-15))-MONTH($D48)+IF(MIN(IF($E48="",TODAY()-15,$E48),TODAY()-15)&gt;=EOMONTH(MIN(IF($E48="",TODAY()-15,$E48),TODAY()-15),0),1,0)),MAX(0,INT((MIN(IF($E48="",TODAY()-15,$E48),TODAY()-15)-($D48+MOD(SISTEM!$F$8-WEEKDAY($D48,2),7)))/7)+1)))</f>
        <v/>
      </c>
      <c r="L48" s="227">
        <f>IF(OR($C48="",$D48="",$G48="",$F48=""),0,$G48*IF($F48="Aylık",MAX(0,(YEAR(MIN(IF($E48="",TODAY()-29,$E48),TODAY()-29))-YEAR($D48))*12+MONTH(MIN(IF($E48="",TODAY()-29,$E48),TODAY()-29))-MONTH($D48)+IF(MIN(IF($E48="",TODAY()-29,$E48),TODAY()-29)&gt;=EOMONTH(MIN(IF($E48="",TODAY()-29,$E48),TODAY()-29),0),1,0)),MAX(0,INT((MIN(IF($E48="",TODAY()-29,$E48),TODAY()-29)-($D48+MOD(SISTEM!$F$8-WEEKDAY($D48,2),7)))/7)+1)))</f>
        <v/>
      </c>
      <c r="M48" s="228">
        <f>IF($G48&gt;0,$I48/$G48,0)</f>
        <v/>
      </c>
      <c r="N48" s="113">
        <f>IF($C48="","",IF($B48="TANIMSIZ MÜŞTERİ","TANIMSIZ MÜŞTERİ",IF($F48="","MODEL SEÇİN",IF(OR($D48="",$G48&lt;=0),"EKSİK",IF(AND($E48&lt;&gt;"",$E48&lt;$D48),"TARİH HATASI",IF($H48="Pasif","KAPALI DÖNEM","UYGUN"))))))</f>
        <v/>
      </c>
      <c r="O48" s="229">
        <f>IF(OR($C48="",$D48="",$F48=""),"",IF($F48="Aylık",EOMONTH($D48,0),($D48+MOD(SISTEM!$F$8-WEEKDAY($D48,2),7))))</f>
        <v/>
      </c>
      <c r="P48" s="109" t="n"/>
      <c r="Q48" s="6" t="n"/>
      <c r="R48" s="6" t="n"/>
      <c r="S48" s="3">
        <f>IF($B48="","",$B48&amp;"|"&amp;COUNTIFS($B$7:$B48,$B48))</f>
        <v/>
      </c>
    </row>
    <row r="49">
      <c r="A49" s="6" t="n"/>
      <c r="B49" s="113">
        <f>IF($C49="","",IFERROR(INDEX(MUSTERILER!$B$7:$B$106,MATCH($C49,MUSTERILER!$C$7:$C$106,0)),IFERROR(INDEX(MUSTERILER!$B$7:$B$106,MATCH($C49,MUSTERILER!$B$7:$B$106,0)),IFERROR(INDEX(MUSTERILER!$B$7:$B$106,MATCH($C49&amp;"*",MUSTERILER!$C$7:$C$106,0)),"TANIMSIZ MÜŞTERİ"))))</f>
        <v/>
      </c>
      <c r="C49" s="109" t="inlineStr">
        <is>
          <t>MUSTAFA UMUT KOYUN</t>
        </is>
      </c>
      <c r="D49" s="225" t="n">
        <v>46023</v>
      </c>
      <c r="E49" s="225" t="n"/>
      <c r="F49" s="108" t="inlineStr">
        <is>
          <t>Aylık</t>
        </is>
      </c>
      <c r="G49" s="226" t="n">
        <v>2000</v>
      </c>
      <c r="H49" s="108" t="inlineStr">
        <is>
          <t>Aktif</t>
        </is>
      </c>
      <c r="I49" s="227">
        <f>IF(OR($C49="",$D49="",$G49="",$F49=""),0,$G49*IF($F49="Aylık",MAX(0,(YEAR(MIN(IF($E49="",TODAY(),$E49),TODAY()))-YEAR($D49))*12+MONTH(MIN(IF($E49="",TODAY(),$E49),TODAY()))-MONTH($D49)+IF(MIN(IF($E49="",TODAY(),$E49),TODAY())&gt;=EOMONTH(MIN(IF($E49="",TODAY(),$E49),TODAY()),0),1,0)),MAX(0,INT((MIN(IF($E49="",TODAY(),$E49),TODAY())-($D49+MOD(SISTEM!$F$8-WEEKDAY($D49,2),7)))/7)+1)))</f>
        <v/>
      </c>
      <c r="J49" s="227">
        <f>IF(OR($C49="",$D49="",$G49="",$F49=""),0,$G49*IF($F49="Aylık",MAX(0,(YEAR(MIN(IF($E49="",TODAY()-8,$E49),TODAY()-8))-YEAR($D49))*12+MONTH(MIN(IF($E49="",TODAY()-8,$E49),TODAY()-8))-MONTH($D49)+IF(MIN(IF($E49="",TODAY()-8,$E49),TODAY()-8)&gt;=EOMONTH(MIN(IF($E49="",TODAY()-8,$E49),TODAY()-8),0),1,0)),MAX(0,INT((MIN(IF($E49="",TODAY()-8,$E49),TODAY()-8)-($D49+MOD(SISTEM!$F$8-WEEKDAY($D49,2),7)))/7)+1)))</f>
        <v/>
      </c>
      <c r="K49" s="227">
        <f>IF(OR($C49="",$D49="",$G49="",$F49=""),0,$G49*IF($F49="Aylık",MAX(0,(YEAR(MIN(IF($E49="",TODAY()-15,$E49),TODAY()-15))-YEAR($D49))*12+MONTH(MIN(IF($E49="",TODAY()-15,$E49),TODAY()-15))-MONTH($D49)+IF(MIN(IF($E49="",TODAY()-15,$E49),TODAY()-15)&gt;=EOMONTH(MIN(IF($E49="",TODAY()-15,$E49),TODAY()-15),0),1,0)),MAX(0,INT((MIN(IF($E49="",TODAY()-15,$E49),TODAY()-15)-($D49+MOD(SISTEM!$F$8-WEEKDAY($D49,2),7)))/7)+1)))</f>
        <v/>
      </c>
      <c r="L49" s="227">
        <f>IF(OR($C49="",$D49="",$G49="",$F49=""),0,$G49*IF($F49="Aylık",MAX(0,(YEAR(MIN(IF($E49="",TODAY()-29,$E49),TODAY()-29))-YEAR($D49))*12+MONTH(MIN(IF($E49="",TODAY()-29,$E49),TODAY()-29))-MONTH($D49)+IF(MIN(IF($E49="",TODAY()-29,$E49),TODAY()-29)&gt;=EOMONTH(MIN(IF($E49="",TODAY()-29,$E49),TODAY()-29),0),1,0)),MAX(0,INT((MIN(IF($E49="",TODAY()-29,$E49),TODAY()-29)-($D49+MOD(SISTEM!$F$8-WEEKDAY($D49,2),7)))/7)+1)))</f>
        <v/>
      </c>
      <c r="M49" s="228">
        <f>IF($G49&gt;0,$I49/$G49,0)</f>
        <v/>
      </c>
      <c r="N49" s="113">
        <f>IF($C49="","",IF($B49="TANIMSIZ MÜŞTERİ","TANIMSIZ MÜŞTERİ",IF($F49="","MODEL SEÇİN",IF(OR($D49="",$G49&lt;=0),"EKSİK",IF(AND($E49&lt;&gt;"",$E49&lt;$D49),"TARİH HATASI",IF($H49="Pasif","KAPALI DÖNEM","UYGUN"))))))</f>
        <v/>
      </c>
      <c r="O49" s="229">
        <f>IF(OR($C49="",$D49="",$F49=""),"",IF($F49="Aylık",EOMONTH($D49,0),($D49+MOD(SISTEM!$F$8-WEEKDAY($D49,2),7))))</f>
        <v/>
      </c>
      <c r="P49" s="109" t="n"/>
      <c r="Q49" s="6" t="n"/>
      <c r="R49" s="6" t="n"/>
      <c r="S49" s="3">
        <f>IF($B49="","",$B49&amp;"|"&amp;COUNTIFS($B$7:$B49,$B49))</f>
        <v/>
      </c>
    </row>
    <row r="50">
      <c r="A50" s="6" t="n"/>
      <c r="B50" s="113">
        <f>IF($C50="","",IFERROR(INDEX(MUSTERILER!$B$7:$B$106,MATCH($C50,MUSTERILER!$C$7:$C$106,0)),IFERROR(INDEX(MUSTERILER!$B$7:$B$106,MATCH($C50,MUSTERILER!$B$7:$B$106,0)),IFERROR(INDEX(MUSTERILER!$B$7:$B$106,MATCH($C50&amp;"*",MUSTERILER!$C$7:$C$106,0)),"TANIMSIZ MÜŞTERİ"))))</f>
        <v/>
      </c>
      <c r="C50" s="109" t="inlineStr">
        <is>
          <t>MUSTAFA KOLBAŞI</t>
        </is>
      </c>
      <c r="D50" s="225" t="n">
        <v>46023</v>
      </c>
      <c r="E50" s="225" t="n"/>
      <c r="F50" s="108" t="inlineStr">
        <is>
          <t>Aylık</t>
        </is>
      </c>
      <c r="G50" s="226" t="n">
        <v>3000</v>
      </c>
      <c r="H50" s="108" t="inlineStr">
        <is>
          <t>Aktif</t>
        </is>
      </c>
      <c r="I50" s="227">
        <f>IF(OR($C50="",$D50="",$G50="",$F50=""),0,$G50*IF($F50="Aylık",MAX(0,(YEAR(MIN(IF($E50="",TODAY(),$E50),TODAY()))-YEAR($D50))*12+MONTH(MIN(IF($E50="",TODAY(),$E50),TODAY()))-MONTH($D50)+IF(MIN(IF($E50="",TODAY(),$E50),TODAY())&gt;=EOMONTH(MIN(IF($E50="",TODAY(),$E50),TODAY()),0),1,0)),MAX(0,INT((MIN(IF($E50="",TODAY(),$E50),TODAY())-($D50+MOD(SISTEM!$F$8-WEEKDAY($D50,2),7)))/7)+1)))</f>
        <v/>
      </c>
      <c r="J50" s="227">
        <f>IF(OR($C50="",$D50="",$G50="",$F50=""),0,$G50*IF($F50="Aylık",MAX(0,(YEAR(MIN(IF($E50="",TODAY()-8,$E50),TODAY()-8))-YEAR($D50))*12+MONTH(MIN(IF($E50="",TODAY()-8,$E50),TODAY()-8))-MONTH($D50)+IF(MIN(IF($E50="",TODAY()-8,$E50),TODAY()-8)&gt;=EOMONTH(MIN(IF($E50="",TODAY()-8,$E50),TODAY()-8),0),1,0)),MAX(0,INT((MIN(IF($E50="",TODAY()-8,$E50),TODAY()-8)-($D50+MOD(SISTEM!$F$8-WEEKDAY($D50,2),7)))/7)+1)))</f>
        <v/>
      </c>
      <c r="K50" s="227">
        <f>IF(OR($C50="",$D50="",$G50="",$F50=""),0,$G50*IF($F50="Aylık",MAX(0,(YEAR(MIN(IF($E50="",TODAY()-15,$E50),TODAY()-15))-YEAR($D50))*12+MONTH(MIN(IF($E50="",TODAY()-15,$E50),TODAY()-15))-MONTH($D50)+IF(MIN(IF($E50="",TODAY()-15,$E50),TODAY()-15)&gt;=EOMONTH(MIN(IF($E50="",TODAY()-15,$E50),TODAY()-15),0),1,0)),MAX(0,INT((MIN(IF($E50="",TODAY()-15,$E50),TODAY()-15)-($D50+MOD(SISTEM!$F$8-WEEKDAY($D50,2),7)))/7)+1)))</f>
        <v/>
      </c>
      <c r="L50" s="227">
        <f>IF(OR($C50="",$D50="",$G50="",$F50=""),0,$G50*IF($F50="Aylık",MAX(0,(YEAR(MIN(IF($E50="",TODAY()-29,$E50),TODAY()-29))-YEAR($D50))*12+MONTH(MIN(IF($E50="",TODAY()-29,$E50),TODAY()-29))-MONTH($D50)+IF(MIN(IF($E50="",TODAY()-29,$E50),TODAY()-29)&gt;=EOMONTH(MIN(IF($E50="",TODAY()-29,$E50),TODAY()-29),0),1,0)),MAX(0,INT((MIN(IF($E50="",TODAY()-29,$E50),TODAY()-29)-($D50+MOD(SISTEM!$F$8-WEEKDAY($D50,2),7)))/7)+1)))</f>
        <v/>
      </c>
      <c r="M50" s="228">
        <f>IF($G50&gt;0,$I50/$G50,0)</f>
        <v/>
      </c>
      <c r="N50" s="113">
        <f>IF($C50="","",IF($B50="TANIMSIZ MÜŞTERİ","TANIMSIZ MÜŞTERİ",IF($F50="","MODEL SEÇİN",IF(OR($D50="",$G50&lt;=0),"EKSİK",IF(AND($E50&lt;&gt;"",$E50&lt;$D50),"TARİH HATASI",IF($H50="Pasif","KAPALI DÖNEM","UYGUN"))))))</f>
        <v/>
      </c>
      <c r="O50" s="229">
        <f>IF(OR($C50="",$D50="",$F50=""),"",IF($F50="Aylık",EOMONTH($D50,0),($D50+MOD(SISTEM!$F$8-WEEKDAY($D50,2),7))))</f>
        <v/>
      </c>
      <c r="P50" s="109" t="n"/>
      <c r="Q50" s="6" t="n"/>
      <c r="R50" s="6" t="n"/>
      <c r="S50" s="3">
        <f>IF($B50="","",$B50&amp;"|"&amp;COUNTIFS($B$7:$B50,$B50))</f>
        <v/>
      </c>
    </row>
    <row r="51">
      <c r="A51" s="6" t="n"/>
      <c r="B51" s="113">
        <f>IF($C51="","",IFERROR(INDEX(MUSTERILER!$B$7:$B$106,MATCH($C51,MUSTERILER!$C$7:$C$106,0)),IFERROR(INDEX(MUSTERILER!$B$7:$B$106,MATCH($C51,MUSTERILER!$B$7:$B$106,0)),IFERROR(INDEX(MUSTERILER!$B$7:$B$106,MATCH($C51&amp;"*",MUSTERILER!$C$7:$C$106,0)),"TANIMSIZ MÜŞTERİ"))))</f>
        <v/>
      </c>
      <c r="C51" s="109" t="inlineStr">
        <is>
          <t>NERO E TİCARET LTD.ŞTİ.</t>
        </is>
      </c>
      <c r="D51" s="225" t="n">
        <v>46023</v>
      </c>
      <c r="E51" s="225" t="n"/>
      <c r="F51" s="108" t="inlineStr">
        <is>
          <t>Aylık</t>
        </is>
      </c>
      <c r="G51" s="226" t="n">
        <v>7500</v>
      </c>
      <c r="H51" s="108" t="inlineStr">
        <is>
          <t>Aktif</t>
        </is>
      </c>
      <c r="I51" s="227">
        <f>IF(OR($C51="",$D51="",$G51="",$F51=""),0,$G51*IF($F51="Aylık",MAX(0,(YEAR(MIN(IF($E51="",TODAY(),$E51),TODAY()))-YEAR($D51))*12+MONTH(MIN(IF($E51="",TODAY(),$E51),TODAY()))-MONTH($D51)+IF(MIN(IF($E51="",TODAY(),$E51),TODAY())&gt;=EOMONTH(MIN(IF($E51="",TODAY(),$E51),TODAY()),0),1,0)),MAX(0,INT((MIN(IF($E51="",TODAY(),$E51),TODAY())-($D51+MOD(SISTEM!$F$8-WEEKDAY($D51,2),7)))/7)+1)))</f>
        <v/>
      </c>
      <c r="J51" s="227">
        <f>IF(OR($C51="",$D51="",$G51="",$F51=""),0,$G51*IF($F51="Aylık",MAX(0,(YEAR(MIN(IF($E51="",TODAY()-8,$E51),TODAY()-8))-YEAR($D51))*12+MONTH(MIN(IF($E51="",TODAY()-8,$E51),TODAY()-8))-MONTH($D51)+IF(MIN(IF($E51="",TODAY()-8,$E51),TODAY()-8)&gt;=EOMONTH(MIN(IF($E51="",TODAY()-8,$E51),TODAY()-8),0),1,0)),MAX(0,INT((MIN(IF($E51="",TODAY()-8,$E51),TODAY()-8)-($D51+MOD(SISTEM!$F$8-WEEKDAY($D51,2),7)))/7)+1)))</f>
        <v/>
      </c>
      <c r="K51" s="227">
        <f>IF(OR($C51="",$D51="",$G51="",$F51=""),0,$G51*IF($F51="Aylık",MAX(0,(YEAR(MIN(IF($E51="",TODAY()-15,$E51),TODAY()-15))-YEAR($D51))*12+MONTH(MIN(IF($E51="",TODAY()-15,$E51),TODAY()-15))-MONTH($D51)+IF(MIN(IF($E51="",TODAY()-15,$E51),TODAY()-15)&gt;=EOMONTH(MIN(IF($E51="",TODAY()-15,$E51),TODAY()-15),0),1,0)),MAX(0,INT((MIN(IF($E51="",TODAY()-15,$E51),TODAY()-15)-($D51+MOD(SISTEM!$F$8-WEEKDAY($D51,2),7)))/7)+1)))</f>
        <v/>
      </c>
      <c r="L51" s="227">
        <f>IF(OR($C51="",$D51="",$G51="",$F51=""),0,$G51*IF($F51="Aylık",MAX(0,(YEAR(MIN(IF($E51="",TODAY()-29,$E51),TODAY()-29))-YEAR($D51))*12+MONTH(MIN(IF($E51="",TODAY()-29,$E51),TODAY()-29))-MONTH($D51)+IF(MIN(IF($E51="",TODAY()-29,$E51),TODAY()-29)&gt;=EOMONTH(MIN(IF($E51="",TODAY()-29,$E51),TODAY()-29),0),1,0)),MAX(0,INT((MIN(IF($E51="",TODAY()-29,$E51),TODAY()-29)-($D51+MOD(SISTEM!$F$8-WEEKDAY($D51,2),7)))/7)+1)))</f>
        <v/>
      </c>
      <c r="M51" s="228">
        <f>IF($G51&gt;0,$I51/$G51,0)</f>
        <v/>
      </c>
      <c r="N51" s="113">
        <f>IF($C51="","",IF($B51="TANIMSIZ MÜŞTERİ","TANIMSIZ MÜŞTERİ",IF($F51="","MODEL SEÇİN",IF(OR($D51="",$G51&lt;=0),"EKSİK",IF(AND($E51&lt;&gt;"",$E51&lt;$D51),"TARİH HATASI",IF($H51="Pasif","KAPALI DÖNEM","UYGUN"))))))</f>
        <v/>
      </c>
      <c r="O51" s="229">
        <f>IF(OR($C51="",$D51="",$F51=""),"",IF($F51="Aylık",EOMONTH($D51,0),($D51+MOD(SISTEM!$F$8-WEEKDAY($D51,2),7))))</f>
        <v/>
      </c>
      <c r="P51" s="109" t="n"/>
      <c r="Q51" s="6" t="n"/>
      <c r="R51" s="6" t="n"/>
      <c r="S51" s="3">
        <f>IF($B51="","",$B51&amp;"|"&amp;COUNTIFS($B$7:$B51,$B51))</f>
        <v/>
      </c>
    </row>
    <row r="52">
      <c r="A52" s="6" t="n"/>
      <c r="B52" s="113">
        <f>IF($C52="","",IFERROR(INDEX(MUSTERILER!$B$7:$B$106,MATCH($C52,MUSTERILER!$C$7:$C$106,0)),IFERROR(INDEX(MUSTERILER!$B$7:$B$106,MATCH($C52,MUSTERILER!$B$7:$B$106,0)),IFERROR(INDEX(MUSTERILER!$B$7:$B$106,MATCH($C52&amp;"*",MUSTERILER!$C$7:$C$106,0)),"TANIMSIZ MÜŞTERİ"))))</f>
        <v/>
      </c>
      <c r="C52" s="109" t="inlineStr">
        <is>
          <t>ÖMER DEMİRCİ</t>
        </is>
      </c>
      <c r="D52" s="225" t="n">
        <v>46023</v>
      </c>
      <c r="E52" s="225" t="n"/>
      <c r="F52" s="108" t="inlineStr">
        <is>
          <t>Aylık</t>
        </is>
      </c>
      <c r="G52" s="226" t="n">
        <v>3500</v>
      </c>
      <c r="H52" s="108" t="inlineStr">
        <is>
          <t>Aktif</t>
        </is>
      </c>
      <c r="I52" s="227">
        <f>IF(OR($C52="",$D52="",$G52="",$F52=""),0,$G52*IF($F52="Aylık",MAX(0,(YEAR(MIN(IF($E52="",TODAY(),$E52),TODAY()))-YEAR($D52))*12+MONTH(MIN(IF($E52="",TODAY(),$E52),TODAY()))-MONTH($D52)+IF(MIN(IF($E52="",TODAY(),$E52),TODAY())&gt;=EOMONTH(MIN(IF($E52="",TODAY(),$E52),TODAY()),0),1,0)),MAX(0,INT((MIN(IF($E52="",TODAY(),$E52),TODAY())-($D52+MOD(SISTEM!$F$8-WEEKDAY($D52,2),7)))/7)+1)))</f>
        <v/>
      </c>
      <c r="J52" s="227">
        <f>IF(OR($C52="",$D52="",$G52="",$F52=""),0,$G52*IF($F52="Aylık",MAX(0,(YEAR(MIN(IF($E52="",TODAY()-8,$E52),TODAY()-8))-YEAR($D52))*12+MONTH(MIN(IF($E52="",TODAY()-8,$E52),TODAY()-8))-MONTH($D52)+IF(MIN(IF($E52="",TODAY()-8,$E52),TODAY()-8)&gt;=EOMONTH(MIN(IF($E52="",TODAY()-8,$E52),TODAY()-8),0),1,0)),MAX(0,INT((MIN(IF($E52="",TODAY()-8,$E52),TODAY()-8)-($D52+MOD(SISTEM!$F$8-WEEKDAY($D52,2),7)))/7)+1)))</f>
        <v/>
      </c>
      <c r="K52" s="227">
        <f>IF(OR($C52="",$D52="",$G52="",$F52=""),0,$G52*IF($F52="Aylık",MAX(0,(YEAR(MIN(IF($E52="",TODAY()-15,$E52),TODAY()-15))-YEAR($D52))*12+MONTH(MIN(IF($E52="",TODAY()-15,$E52),TODAY()-15))-MONTH($D52)+IF(MIN(IF($E52="",TODAY()-15,$E52),TODAY()-15)&gt;=EOMONTH(MIN(IF($E52="",TODAY()-15,$E52),TODAY()-15),0),1,0)),MAX(0,INT((MIN(IF($E52="",TODAY()-15,$E52),TODAY()-15)-($D52+MOD(SISTEM!$F$8-WEEKDAY($D52,2),7)))/7)+1)))</f>
        <v/>
      </c>
      <c r="L52" s="227">
        <f>IF(OR($C52="",$D52="",$G52="",$F52=""),0,$G52*IF($F52="Aylık",MAX(0,(YEAR(MIN(IF($E52="",TODAY()-29,$E52),TODAY()-29))-YEAR($D52))*12+MONTH(MIN(IF($E52="",TODAY()-29,$E52),TODAY()-29))-MONTH($D52)+IF(MIN(IF($E52="",TODAY()-29,$E52),TODAY()-29)&gt;=EOMONTH(MIN(IF($E52="",TODAY()-29,$E52),TODAY()-29),0),1,0)),MAX(0,INT((MIN(IF($E52="",TODAY()-29,$E52),TODAY()-29)-($D52+MOD(SISTEM!$F$8-WEEKDAY($D52,2),7)))/7)+1)))</f>
        <v/>
      </c>
      <c r="M52" s="228">
        <f>IF($G52&gt;0,$I52/$G52,0)</f>
        <v/>
      </c>
      <c r="N52" s="113">
        <f>IF($C52="","",IF($B52="TANIMSIZ MÜŞTERİ","TANIMSIZ MÜŞTERİ",IF($F52="","MODEL SEÇİN",IF(OR($D52="",$G52&lt;=0),"EKSİK",IF(AND($E52&lt;&gt;"",$E52&lt;$D52),"TARİH HATASI",IF($H52="Pasif","KAPALI DÖNEM","UYGUN"))))))</f>
        <v/>
      </c>
      <c r="O52" s="229">
        <f>IF(OR($C52="",$D52="",$F52=""),"",IF($F52="Aylık",EOMONTH($D52,0),($D52+MOD(SISTEM!$F$8-WEEKDAY($D52,2),7))))</f>
        <v/>
      </c>
      <c r="P52" s="109" t="n"/>
      <c r="Q52" s="6" t="n"/>
      <c r="R52" s="6" t="n"/>
      <c r="S52" s="3">
        <f>IF($B52="","",$B52&amp;"|"&amp;COUNTIFS($B$7:$B52,$B52))</f>
        <v/>
      </c>
    </row>
    <row r="53">
      <c r="A53" s="6" t="n"/>
      <c r="B53" s="113">
        <f>IF($C53="","",IFERROR(INDEX(MUSTERILER!$B$7:$B$106,MATCH($C53,MUSTERILER!$C$7:$C$106,0)),IFERROR(INDEX(MUSTERILER!$B$7:$B$106,MATCH($C53,MUSTERILER!$B$7:$B$106,0)),IFERROR(INDEX(MUSTERILER!$B$7:$B$106,MATCH($C53&amp;"*",MUSTERILER!$C$7:$C$106,0)),"TANIMSIZ MÜŞTERİ"))))</f>
        <v/>
      </c>
      <c r="C53" s="109" t="inlineStr">
        <is>
          <t>PALAOĞULLARI LTD.ŞTİ.</t>
        </is>
      </c>
      <c r="D53" s="225" t="n">
        <v>46023</v>
      </c>
      <c r="E53" s="225" t="n"/>
      <c r="F53" s="108" t="inlineStr">
        <is>
          <t>Haftalık</t>
        </is>
      </c>
      <c r="G53" s="226" t="n">
        <v>4000</v>
      </c>
      <c r="H53" s="108" t="inlineStr">
        <is>
          <t>Aktif</t>
        </is>
      </c>
      <c r="I53" s="227">
        <f>IF(OR($C53="",$D53="",$G53="",$F53=""),0,$G53*IF($F53="Aylık",MAX(0,(YEAR(MIN(IF($E53="",TODAY(),$E53),TODAY()))-YEAR($D53))*12+MONTH(MIN(IF($E53="",TODAY(),$E53),TODAY()))-MONTH($D53)+IF(MIN(IF($E53="",TODAY(),$E53),TODAY())&gt;=EOMONTH(MIN(IF($E53="",TODAY(),$E53),TODAY()),0),1,0)),MAX(0,INT((MIN(IF($E53="",TODAY(),$E53),TODAY())-($D53+MOD(SISTEM!$F$8-WEEKDAY($D53,2),7)))/7)+1)))</f>
        <v/>
      </c>
      <c r="J53" s="227">
        <f>IF(OR($C53="",$D53="",$G53="",$F53=""),0,$G53*IF($F53="Aylık",MAX(0,(YEAR(MIN(IF($E53="",TODAY()-8,$E53),TODAY()-8))-YEAR($D53))*12+MONTH(MIN(IF($E53="",TODAY()-8,$E53),TODAY()-8))-MONTH($D53)+IF(MIN(IF($E53="",TODAY()-8,$E53),TODAY()-8)&gt;=EOMONTH(MIN(IF($E53="",TODAY()-8,$E53),TODAY()-8),0),1,0)),MAX(0,INT((MIN(IF($E53="",TODAY()-8,$E53),TODAY()-8)-($D53+MOD(SISTEM!$F$8-WEEKDAY($D53,2),7)))/7)+1)))</f>
        <v/>
      </c>
      <c r="K53" s="227">
        <f>IF(OR($C53="",$D53="",$G53="",$F53=""),0,$G53*IF($F53="Aylık",MAX(0,(YEAR(MIN(IF($E53="",TODAY()-15,$E53),TODAY()-15))-YEAR($D53))*12+MONTH(MIN(IF($E53="",TODAY()-15,$E53),TODAY()-15))-MONTH($D53)+IF(MIN(IF($E53="",TODAY()-15,$E53),TODAY()-15)&gt;=EOMONTH(MIN(IF($E53="",TODAY()-15,$E53),TODAY()-15),0),1,0)),MAX(0,INT((MIN(IF($E53="",TODAY()-15,$E53),TODAY()-15)-($D53+MOD(SISTEM!$F$8-WEEKDAY($D53,2),7)))/7)+1)))</f>
        <v/>
      </c>
      <c r="L53" s="227">
        <f>IF(OR($C53="",$D53="",$G53="",$F53=""),0,$G53*IF($F53="Aylık",MAX(0,(YEAR(MIN(IF($E53="",TODAY()-29,$E53),TODAY()-29))-YEAR($D53))*12+MONTH(MIN(IF($E53="",TODAY()-29,$E53),TODAY()-29))-MONTH($D53)+IF(MIN(IF($E53="",TODAY()-29,$E53),TODAY()-29)&gt;=EOMONTH(MIN(IF($E53="",TODAY()-29,$E53),TODAY()-29),0),1,0)),MAX(0,INT((MIN(IF($E53="",TODAY()-29,$E53),TODAY()-29)-($D53+MOD(SISTEM!$F$8-WEEKDAY($D53,2),7)))/7)+1)))</f>
        <v/>
      </c>
      <c r="M53" s="228">
        <f>IF($G53&gt;0,$I53/$G53,0)</f>
        <v/>
      </c>
      <c r="N53" s="113">
        <f>IF($C53="","",IF($B53="TANIMSIZ MÜŞTERİ","TANIMSIZ MÜŞTERİ",IF($F53="","MODEL SEÇİN",IF(OR($D53="",$G53&lt;=0),"EKSİK",IF(AND($E53&lt;&gt;"",$E53&lt;$D53),"TARİH HATASI",IF($H53="Pasif","KAPALI DÖNEM","UYGUN"))))))</f>
        <v/>
      </c>
      <c r="O53" s="229">
        <f>IF(OR($C53="",$D53="",$F53=""),"",IF($F53="Aylık",EOMONTH($D53,0),($D53+MOD(SISTEM!$F$8-WEEKDAY($D53,2),7))))</f>
        <v/>
      </c>
      <c r="P53" s="109" t="n"/>
      <c r="Q53" s="6" t="n"/>
      <c r="R53" s="6" t="n"/>
      <c r="S53" s="3">
        <f>IF($B53="","",$B53&amp;"|"&amp;COUNTIFS($B$7:$B53,$B53))</f>
        <v/>
      </c>
    </row>
    <row r="54">
      <c r="A54" s="6" t="n"/>
      <c r="B54" s="113">
        <f>IF($C54="","",IFERROR(INDEX(MUSTERILER!$B$7:$B$106,MATCH($C54,MUSTERILER!$C$7:$C$106,0)),IFERROR(INDEX(MUSTERILER!$B$7:$B$106,MATCH($C54,MUSTERILER!$B$7:$B$106,0)),IFERROR(INDEX(MUSTERILER!$B$7:$B$106,MATCH($C54&amp;"*",MUSTERILER!$C$7:$C$106,0)),"TANIMSIZ MÜŞTERİ"))))</f>
        <v/>
      </c>
      <c r="C54" s="109" t="inlineStr">
        <is>
          <t>RASİM DEMİRCİ</t>
        </is>
      </c>
      <c r="D54" s="225" t="n">
        <v>46023</v>
      </c>
      <c r="E54" s="225" t="n"/>
      <c r="F54" s="108" t="inlineStr">
        <is>
          <t>Aylık</t>
        </is>
      </c>
      <c r="G54" s="226" t="n">
        <v>4000</v>
      </c>
      <c r="H54" s="108" t="inlineStr">
        <is>
          <t>Aktif</t>
        </is>
      </c>
      <c r="I54" s="227">
        <f>IF(OR($C54="",$D54="",$G54="",$F54=""),0,$G54*IF($F54="Aylık",MAX(0,(YEAR(MIN(IF($E54="",TODAY(),$E54),TODAY()))-YEAR($D54))*12+MONTH(MIN(IF($E54="",TODAY(),$E54),TODAY()))-MONTH($D54)+IF(MIN(IF($E54="",TODAY(),$E54),TODAY())&gt;=EOMONTH(MIN(IF($E54="",TODAY(),$E54),TODAY()),0),1,0)),MAX(0,INT((MIN(IF($E54="",TODAY(),$E54),TODAY())-($D54+MOD(SISTEM!$F$8-WEEKDAY($D54,2),7)))/7)+1)))</f>
        <v/>
      </c>
      <c r="J54" s="227">
        <f>IF(OR($C54="",$D54="",$G54="",$F54=""),0,$G54*IF($F54="Aylık",MAX(0,(YEAR(MIN(IF($E54="",TODAY()-8,$E54),TODAY()-8))-YEAR($D54))*12+MONTH(MIN(IF($E54="",TODAY()-8,$E54),TODAY()-8))-MONTH($D54)+IF(MIN(IF($E54="",TODAY()-8,$E54),TODAY()-8)&gt;=EOMONTH(MIN(IF($E54="",TODAY()-8,$E54),TODAY()-8),0),1,0)),MAX(0,INT((MIN(IF($E54="",TODAY()-8,$E54),TODAY()-8)-($D54+MOD(SISTEM!$F$8-WEEKDAY($D54,2),7)))/7)+1)))</f>
        <v/>
      </c>
      <c r="K54" s="227">
        <f>IF(OR($C54="",$D54="",$G54="",$F54=""),0,$G54*IF($F54="Aylık",MAX(0,(YEAR(MIN(IF($E54="",TODAY()-15,$E54),TODAY()-15))-YEAR($D54))*12+MONTH(MIN(IF($E54="",TODAY()-15,$E54),TODAY()-15))-MONTH($D54)+IF(MIN(IF($E54="",TODAY()-15,$E54),TODAY()-15)&gt;=EOMONTH(MIN(IF($E54="",TODAY()-15,$E54),TODAY()-15),0),1,0)),MAX(0,INT((MIN(IF($E54="",TODAY()-15,$E54),TODAY()-15)-($D54+MOD(SISTEM!$F$8-WEEKDAY($D54,2),7)))/7)+1)))</f>
        <v/>
      </c>
      <c r="L54" s="227">
        <f>IF(OR($C54="",$D54="",$G54="",$F54=""),0,$G54*IF($F54="Aylık",MAX(0,(YEAR(MIN(IF($E54="",TODAY()-29,$E54),TODAY()-29))-YEAR($D54))*12+MONTH(MIN(IF($E54="",TODAY()-29,$E54),TODAY()-29))-MONTH($D54)+IF(MIN(IF($E54="",TODAY()-29,$E54),TODAY()-29)&gt;=EOMONTH(MIN(IF($E54="",TODAY()-29,$E54),TODAY()-29),0),1,0)),MAX(0,INT((MIN(IF($E54="",TODAY()-29,$E54),TODAY()-29)-($D54+MOD(SISTEM!$F$8-WEEKDAY($D54,2),7)))/7)+1)))</f>
        <v/>
      </c>
      <c r="M54" s="228">
        <f>IF($G54&gt;0,$I54/$G54,0)</f>
        <v/>
      </c>
      <c r="N54" s="113">
        <f>IF($C54="","",IF($B54="TANIMSIZ MÜŞTERİ","TANIMSIZ MÜŞTERİ",IF($F54="","MODEL SEÇİN",IF(OR($D54="",$G54&lt;=0),"EKSİK",IF(AND($E54&lt;&gt;"",$E54&lt;$D54),"TARİH HATASI",IF($H54="Pasif","KAPALI DÖNEM","UYGUN"))))))</f>
        <v/>
      </c>
      <c r="O54" s="229">
        <f>IF(OR($C54="",$D54="",$F54=""),"",IF($F54="Aylık",EOMONTH($D54,0),($D54+MOD(SISTEM!$F$8-WEEKDAY($D54,2),7))))</f>
        <v/>
      </c>
      <c r="P54" s="109" t="n"/>
      <c r="Q54" s="6" t="n"/>
      <c r="R54" s="6" t="n"/>
      <c r="S54" s="3">
        <f>IF($B54="","",$B54&amp;"|"&amp;COUNTIFS($B$7:$B54,$B54))</f>
        <v/>
      </c>
    </row>
    <row r="55">
      <c r="A55" s="6" t="n"/>
      <c r="B55" s="113">
        <f>IF($C55="","",IFERROR(INDEX(MUSTERILER!$B$7:$B$106,MATCH($C55,MUSTERILER!$C$7:$C$106,0)),IFERROR(INDEX(MUSTERILER!$B$7:$B$106,MATCH($C55,MUSTERILER!$B$7:$B$106,0)),IFERROR(INDEX(MUSTERILER!$B$7:$B$106,MATCH($C55&amp;"*",MUSTERILER!$C$7:$C$106,0)),"TANIMSIZ MÜŞTERİ"))))</f>
        <v/>
      </c>
      <c r="C55" s="109" t="inlineStr">
        <is>
          <t>STAR ŞOW LTD.ŞTİ.</t>
        </is>
      </c>
      <c r="D55" s="225" t="n">
        <v>46023</v>
      </c>
      <c r="E55" s="225" t="n"/>
      <c r="F55" s="108" t="inlineStr">
        <is>
          <t>Haftalık</t>
        </is>
      </c>
      <c r="G55" s="226" t="n">
        <v>3000</v>
      </c>
      <c r="H55" s="108" t="inlineStr">
        <is>
          <t>Aktif</t>
        </is>
      </c>
      <c r="I55" s="227">
        <f>IF(OR($C55="",$D55="",$G55="",$F55=""),0,$G55*IF($F55="Aylık",MAX(0,(YEAR(MIN(IF($E55="",TODAY(),$E55),TODAY()))-YEAR($D55))*12+MONTH(MIN(IF($E55="",TODAY(),$E55),TODAY()))-MONTH($D55)+IF(MIN(IF($E55="",TODAY(),$E55),TODAY())&gt;=EOMONTH(MIN(IF($E55="",TODAY(),$E55),TODAY()),0),1,0)),MAX(0,INT((MIN(IF($E55="",TODAY(),$E55),TODAY())-($D55+MOD(SISTEM!$F$8-WEEKDAY($D55,2),7)))/7)+1)))</f>
        <v/>
      </c>
      <c r="J55" s="227">
        <f>IF(OR($C55="",$D55="",$G55="",$F55=""),0,$G55*IF($F55="Aylık",MAX(0,(YEAR(MIN(IF($E55="",TODAY()-8,$E55),TODAY()-8))-YEAR($D55))*12+MONTH(MIN(IF($E55="",TODAY()-8,$E55),TODAY()-8))-MONTH($D55)+IF(MIN(IF($E55="",TODAY()-8,$E55),TODAY()-8)&gt;=EOMONTH(MIN(IF($E55="",TODAY()-8,$E55),TODAY()-8),0),1,0)),MAX(0,INT((MIN(IF($E55="",TODAY()-8,$E55),TODAY()-8)-($D55+MOD(SISTEM!$F$8-WEEKDAY($D55,2),7)))/7)+1)))</f>
        <v/>
      </c>
      <c r="K55" s="227">
        <f>IF(OR($C55="",$D55="",$G55="",$F55=""),0,$G55*IF($F55="Aylık",MAX(0,(YEAR(MIN(IF($E55="",TODAY()-15,$E55),TODAY()-15))-YEAR($D55))*12+MONTH(MIN(IF($E55="",TODAY()-15,$E55),TODAY()-15))-MONTH($D55)+IF(MIN(IF($E55="",TODAY()-15,$E55),TODAY()-15)&gt;=EOMONTH(MIN(IF($E55="",TODAY()-15,$E55),TODAY()-15),0),1,0)),MAX(0,INT((MIN(IF($E55="",TODAY()-15,$E55),TODAY()-15)-($D55+MOD(SISTEM!$F$8-WEEKDAY($D55,2),7)))/7)+1)))</f>
        <v/>
      </c>
      <c r="L55" s="227">
        <f>IF(OR($C55="",$D55="",$G55="",$F55=""),0,$G55*IF($F55="Aylık",MAX(0,(YEAR(MIN(IF($E55="",TODAY()-29,$E55),TODAY()-29))-YEAR($D55))*12+MONTH(MIN(IF($E55="",TODAY()-29,$E55),TODAY()-29))-MONTH($D55)+IF(MIN(IF($E55="",TODAY()-29,$E55),TODAY()-29)&gt;=EOMONTH(MIN(IF($E55="",TODAY()-29,$E55),TODAY()-29),0),1,0)),MAX(0,INT((MIN(IF($E55="",TODAY()-29,$E55),TODAY()-29)-($D55+MOD(SISTEM!$F$8-WEEKDAY($D55,2),7)))/7)+1)))</f>
        <v/>
      </c>
      <c r="M55" s="228">
        <f>IF($G55&gt;0,$I55/$G55,0)</f>
        <v/>
      </c>
      <c r="N55" s="113">
        <f>IF($C55="","",IF($B55="TANIMSIZ MÜŞTERİ","TANIMSIZ MÜŞTERİ",IF($F55="","MODEL SEÇİN",IF(OR($D55="",$G55&lt;=0),"EKSİK",IF(AND($E55&lt;&gt;"",$E55&lt;$D55),"TARİH HATASI",IF($H55="Pasif","KAPALI DÖNEM","UYGUN"))))))</f>
        <v/>
      </c>
      <c r="O55" s="229">
        <f>IF(OR($C55="",$D55="",$F55=""),"",IF($F55="Aylık",EOMONTH($D55,0),($D55+MOD(SISTEM!$F$8-WEEKDAY($D55,2),7))))</f>
        <v/>
      </c>
      <c r="P55" s="109" t="n"/>
      <c r="Q55" s="6" t="n"/>
      <c r="R55" s="6" t="n"/>
      <c r="S55" s="3">
        <f>IF($B55="","",$B55&amp;"|"&amp;COUNTIFS($B$7:$B55,$B55))</f>
        <v/>
      </c>
    </row>
    <row r="56">
      <c r="A56" s="6" t="n"/>
      <c r="B56" s="113">
        <f>IF($C56="","",IFERROR(INDEX(MUSTERILER!$B$7:$B$106,MATCH($C56,MUSTERILER!$C$7:$C$106,0)),IFERROR(INDEX(MUSTERILER!$B$7:$B$106,MATCH($C56,MUSTERILER!$B$7:$B$106,0)),IFERROR(INDEX(MUSTERILER!$B$7:$B$106,MATCH($C56&amp;"*",MUSTERILER!$C$7:$C$106,0)),"TANIMSIZ MÜŞTERİ"))))</f>
        <v/>
      </c>
      <c r="C56" s="109" t="inlineStr">
        <is>
          <t>TANAK LTD.ŞTİ.</t>
        </is>
      </c>
      <c r="D56" s="225" t="n">
        <v>46023</v>
      </c>
      <c r="E56" s="225" t="n"/>
      <c r="F56" s="108" t="inlineStr">
        <is>
          <t>Haftalık</t>
        </is>
      </c>
      <c r="G56" s="226" t="n">
        <v>4000</v>
      </c>
      <c r="H56" s="108" t="inlineStr">
        <is>
          <t>Aktif</t>
        </is>
      </c>
      <c r="I56" s="227">
        <f>IF(OR($C56="",$D56="",$G56="",$F56=""),0,$G56*IF($F56="Aylık",MAX(0,(YEAR(MIN(IF($E56="",TODAY(),$E56),TODAY()))-YEAR($D56))*12+MONTH(MIN(IF($E56="",TODAY(),$E56),TODAY()))-MONTH($D56)+IF(MIN(IF($E56="",TODAY(),$E56),TODAY())&gt;=EOMONTH(MIN(IF($E56="",TODAY(),$E56),TODAY()),0),1,0)),MAX(0,INT((MIN(IF($E56="",TODAY(),$E56),TODAY())-($D56+MOD(SISTEM!$F$8-WEEKDAY($D56,2),7)))/7)+1)))</f>
        <v/>
      </c>
      <c r="J56" s="227">
        <f>IF(OR($C56="",$D56="",$G56="",$F56=""),0,$G56*IF($F56="Aylık",MAX(0,(YEAR(MIN(IF($E56="",TODAY()-8,$E56),TODAY()-8))-YEAR($D56))*12+MONTH(MIN(IF($E56="",TODAY()-8,$E56),TODAY()-8))-MONTH($D56)+IF(MIN(IF($E56="",TODAY()-8,$E56),TODAY()-8)&gt;=EOMONTH(MIN(IF($E56="",TODAY()-8,$E56),TODAY()-8),0),1,0)),MAX(0,INT((MIN(IF($E56="",TODAY()-8,$E56),TODAY()-8)-($D56+MOD(SISTEM!$F$8-WEEKDAY($D56,2),7)))/7)+1)))</f>
        <v/>
      </c>
      <c r="K56" s="227">
        <f>IF(OR($C56="",$D56="",$G56="",$F56=""),0,$G56*IF($F56="Aylık",MAX(0,(YEAR(MIN(IF($E56="",TODAY()-15,$E56),TODAY()-15))-YEAR($D56))*12+MONTH(MIN(IF($E56="",TODAY()-15,$E56),TODAY()-15))-MONTH($D56)+IF(MIN(IF($E56="",TODAY()-15,$E56),TODAY()-15)&gt;=EOMONTH(MIN(IF($E56="",TODAY()-15,$E56),TODAY()-15),0),1,0)),MAX(0,INT((MIN(IF($E56="",TODAY()-15,$E56),TODAY()-15)-($D56+MOD(SISTEM!$F$8-WEEKDAY($D56,2),7)))/7)+1)))</f>
        <v/>
      </c>
      <c r="L56" s="227">
        <f>IF(OR($C56="",$D56="",$G56="",$F56=""),0,$G56*IF($F56="Aylık",MAX(0,(YEAR(MIN(IF($E56="",TODAY()-29,$E56),TODAY()-29))-YEAR($D56))*12+MONTH(MIN(IF($E56="",TODAY()-29,$E56),TODAY()-29))-MONTH($D56)+IF(MIN(IF($E56="",TODAY()-29,$E56),TODAY()-29)&gt;=EOMONTH(MIN(IF($E56="",TODAY()-29,$E56),TODAY()-29),0),1,0)),MAX(0,INT((MIN(IF($E56="",TODAY()-29,$E56),TODAY()-29)-($D56+MOD(SISTEM!$F$8-WEEKDAY($D56,2),7)))/7)+1)))</f>
        <v/>
      </c>
      <c r="M56" s="228">
        <f>IF($G56&gt;0,$I56/$G56,0)</f>
        <v/>
      </c>
      <c r="N56" s="113">
        <f>IF($C56="","",IF($B56="TANIMSIZ MÜŞTERİ","TANIMSIZ MÜŞTERİ",IF($F56="","MODEL SEÇİN",IF(OR($D56="",$G56&lt;=0),"EKSİK",IF(AND($E56&lt;&gt;"",$E56&lt;$D56),"TARİH HATASI",IF($H56="Pasif","KAPALI DÖNEM","UYGUN"))))))</f>
        <v/>
      </c>
      <c r="O56" s="229">
        <f>IF(OR($C56="",$D56="",$F56=""),"",IF($F56="Aylık",EOMONTH($D56,0),($D56+MOD(SISTEM!$F$8-WEEKDAY($D56,2),7))))</f>
        <v/>
      </c>
      <c r="P56" s="109" t="n"/>
      <c r="Q56" s="6" t="n"/>
      <c r="R56" s="6" t="n"/>
      <c r="S56" s="3">
        <f>IF($B56="","",$B56&amp;"|"&amp;COUNTIFS($B$7:$B56,$B56))</f>
        <v/>
      </c>
    </row>
    <row r="57">
      <c r="A57" s="6" t="n"/>
      <c r="B57" s="113">
        <f>IF($C57="","",IFERROR(INDEX(MUSTERILER!$B$7:$B$106,MATCH($C57,MUSTERILER!$C$7:$C$106,0)),IFERROR(INDEX(MUSTERILER!$B$7:$B$106,MATCH($C57,MUSTERILER!$B$7:$B$106,0)),IFERROR(INDEX(MUSTERILER!$B$7:$B$106,MATCH($C57&amp;"*",MUSTERILER!$C$7:$C$106,0)),"TANIMSIZ MÜŞTERİ"))))</f>
        <v/>
      </c>
      <c r="C57" s="109" t="inlineStr">
        <is>
          <t>UFUK YILMAZ</t>
        </is>
      </c>
      <c r="D57" s="225" t="n">
        <v>46023</v>
      </c>
      <c r="E57" s="225" t="n"/>
      <c r="F57" s="108" t="inlineStr">
        <is>
          <t>Aylık</t>
        </is>
      </c>
      <c r="G57" s="226" t="n">
        <v>3000</v>
      </c>
      <c r="H57" s="108" t="inlineStr">
        <is>
          <t>Aktif</t>
        </is>
      </c>
      <c r="I57" s="227">
        <f>IF(OR($C57="",$D57="",$G57="",$F57=""),0,$G57*IF($F57="Aylık",MAX(0,(YEAR(MIN(IF($E57="",TODAY(),$E57),TODAY()))-YEAR($D57))*12+MONTH(MIN(IF($E57="",TODAY(),$E57),TODAY()))-MONTH($D57)+IF(MIN(IF($E57="",TODAY(),$E57),TODAY())&gt;=EOMONTH(MIN(IF($E57="",TODAY(),$E57),TODAY()),0),1,0)),MAX(0,INT((MIN(IF($E57="",TODAY(),$E57),TODAY())-($D57+MOD(SISTEM!$F$8-WEEKDAY($D57,2),7)))/7)+1)))</f>
        <v/>
      </c>
      <c r="J57" s="227">
        <f>IF(OR($C57="",$D57="",$G57="",$F57=""),0,$G57*IF($F57="Aylık",MAX(0,(YEAR(MIN(IF($E57="",TODAY()-8,$E57),TODAY()-8))-YEAR($D57))*12+MONTH(MIN(IF($E57="",TODAY()-8,$E57),TODAY()-8))-MONTH($D57)+IF(MIN(IF($E57="",TODAY()-8,$E57),TODAY()-8)&gt;=EOMONTH(MIN(IF($E57="",TODAY()-8,$E57),TODAY()-8),0),1,0)),MAX(0,INT((MIN(IF($E57="",TODAY()-8,$E57),TODAY()-8)-($D57+MOD(SISTEM!$F$8-WEEKDAY($D57,2),7)))/7)+1)))</f>
        <v/>
      </c>
      <c r="K57" s="227">
        <f>IF(OR($C57="",$D57="",$G57="",$F57=""),0,$G57*IF($F57="Aylık",MAX(0,(YEAR(MIN(IF($E57="",TODAY()-15,$E57),TODAY()-15))-YEAR($D57))*12+MONTH(MIN(IF($E57="",TODAY()-15,$E57),TODAY()-15))-MONTH($D57)+IF(MIN(IF($E57="",TODAY()-15,$E57),TODAY()-15)&gt;=EOMONTH(MIN(IF($E57="",TODAY()-15,$E57),TODAY()-15),0),1,0)),MAX(0,INT((MIN(IF($E57="",TODAY()-15,$E57),TODAY()-15)-($D57+MOD(SISTEM!$F$8-WEEKDAY($D57,2),7)))/7)+1)))</f>
        <v/>
      </c>
      <c r="L57" s="227">
        <f>IF(OR($C57="",$D57="",$G57="",$F57=""),0,$G57*IF($F57="Aylık",MAX(0,(YEAR(MIN(IF($E57="",TODAY()-29,$E57),TODAY()-29))-YEAR($D57))*12+MONTH(MIN(IF($E57="",TODAY()-29,$E57),TODAY()-29))-MONTH($D57)+IF(MIN(IF($E57="",TODAY()-29,$E57),TODAY()-29)&gt;=EOMONTH(MIN(IF($E57="",TODAY()-29,$E57),TODAY()-29),0),1,0)),MAX(0,INT((MIN(IF($E57="",TODAY()-29,$E57),TODAY()-29)-($D57+MOD(SISTEM!$F$8-WEEKDAY($D57,2),7)))/7)+1)))</f>
        <v/>
      </c>
      <c r="M57" s="228">
        <f>IF($G57&gt;0,$I57/$G57,0)</f>
        <v/>
      </c>
      <c r="N57" s="113">
        <f>IF($C57="","",IF($B57="TANIMSIZ MÜŞTERİ","TANIMSIZ MÜŞTERİ",IF($F57="","MODEL SEÇİN",IF(OR($D57="",$G57&lt;=0),"EKSİK",IF(AND($E57&lt;&gt;"",$E57&lt;$D57),"TARİH HATASI",IF($H57="Pasif","KAPALI DÖNEM","UYGUN"))))))</f>
        <v/>
      </c>
      <c r="O57" s="229">
        <f>IF(OR($C57="",$D57="",$F57=""),"",IF($F57="Aylık",EOMONTH($D57,0),($D57+MOD(SISTEM!$F$8-WEEKDAY($D57,2),7))))</f>
        <v/>
      </c>
      <c r="P57" s="109" t="n"/>
      <c r="Q57" s="6" t="n"/>
      <c r="R57" s="6" t="n"/>
      <c r="S57" s="3">
        <f>IF($B57="","",$B57&amp;"|"&amp;COUNTIFS($B$7:$B57,$B57))</f>
        <v/>
      </c>
    </row>
    <row r="58">
      <c r="A58" s="6" t="n"/>
      <c r="B58" s="113">
        <f>IF($C58="","",IFERROR(INDEX(MUSTERILER!$B$7:$B$106,MATCH($C58,MUSTERILER!$C$7:$C$106,0)),IFERROR(INDEX(MUSTERILER!$B$7:$B$106,MATCH($C58,MUSTERILER!$B$7:$B$106,0)),IFERROR(INDEX(MUSTERILER!$B$7:$B$106,MATCH($C58&amp;"*",MUSTERILER!$C$7:$C$106,0)),"TANIMSIZ MÜŞTERİ"))))</f>
        <v/>
      </c>
      <c r="C58" s="109" t="inlineStr">
        <is>
          <t>VANOLYA SU LTD.ŞTİ.</t>
        </is>
      </c>
      <c r="D58" s="225" t="n">
        <v>46023</v>
      </c>
      <c r="E58" s="225" t="n"/>
      <c r="F58" s="108" t="inlineStr">
        <is>
          <t>Aylık</t>
        </is>
      </c>
      <c r="G58" s="226" t="n">
        <v>10000</v>
      </c>
      <c r="H58" s="108" t="inlineStr">
        <is>
          <t>Aktif</t>
        </is>
      </c>
      <c r="I58" s="227">
        <f>IF(OR($C58="",$D58="",$G58="",$F58=""),0,$G58*IF($F58="Aylık",MAX(0,(YEAR(MIN(IF($E58="",TODAY(),$E58),TODAY()))-YEAR($D58))*12+MONTH(MIN(IF($E58="",TODAY(),$E58),TODAY()))-MONTH($D58)+IF(MIN(IF($E58="",TODAY(),$E58),TODAY())&gt;=EOMONTH(MIN(IF($E58="",TODAY(),$E58),TODAY()),0),1,0)),MAX(0,INT((MIN(IF($E58="",TODAY(),$E58),TODAY())-($D58+MOD(SISTEM!$F$8-WEEKDAY($D58,2),7)))/7)+1)))</f>
        <v/>
      </c>
      <c r="J58" s="227">
        <f>IF(OR($C58="",$D58="",$G58="",$F58=""),0,$G58*IF($F58="Aylık",MAX(0,(YEAR(MIN(IF($E58="",TODAY()-8,$E58),TODAY()-8))-YEAR($D58))*12+MONTH(MIN(IF($E58="",TODAY()-8,$E58),TODAY()-8))-MONTH($D58)+IF(MIN(IF($E58="",TODAY()-8,$E58),TODAY()-8)&gt;=EOMONTH(MIN(IF($E58="",TODAY()-8,$E58),TODAY()-8),0),1,0)),MAX(0,INT((MIN(IF($E58="",TODAY()-8,$E58),TODAY()-8)-($D58+MOD(SISTEM!$F$8-WEEKDAY($D58,2),7)))/7)+1)))</f>
        <v/>
      </c>
      <c r="K58" s="227">
        <f>IF(OR($C58="",$D58="",$G58="",$F58=""),0,$G58*IF($F58="Aylık",MAX(0,(YEAR(MIN(IF($E58="",TODAY()-15,$E58),TODAY()-15))-YEAR($D58))*12+MONTH(MIN(IF($E58="",TODAY()-15,$E58),TODAY()-15))-MONTH($D58)+IF(MIN(IF($E58="",TODAY()-15,$E58),TODAY()-15)&gt;=EOMONTH(MIN(IF($E58="",TODAY()-15,$E58),TODAY()-15),0),1,0)),MAX(0,INT((MIN(IF($E58="",TODAY()-15,$E58),TODAY()-15)-($D58+MOD(SISTEM!$F$8-WEEKDAY($D58,2),7)))/7)+1)))</f>
        <v/>
      </c>
      <c r="L58" s="227">
        <f>IF(OR($C58="",$D58="",$G58="",$F58=""),0,$G58*IF($F58="Aylık",MAX(0,(YEAR(MIN(IF($E58="",TODAY()-29,$E58),TODAY()-29))-YEAR($D58))*12+MONTH(MIN(IF($E58="",TODAY()-29,$E58),TODAY()-29))-MONTH($D58)+IF(MIN(IF($E58="",TODAY()-29,$E58),TODAY()-29)&gt;=EOMONTH(MIN(IF($E58="",TODAY()-29,$E58),TODAY()-29),0),1,0)),MAX(0,INT((MIN(IF($E58="",TODAY()-29,$E58),TODAY()-29)-($D58+MOD(SISTEM!$F$8-WEEKDAY($D58,2),7)))/7)+1)))</f>
        <v/>
      </c>
      <c r="M58" s="228">
        <f>IF($G58&gt;0,$I58/$G58,0)</f>
        <v/>
      </c>
      <c r="N58" s="113">
        <f>IF($C58="","",IF($B58="TANIMSIZ MÜŞTERİ","TANIMSIZ MÜŞTERİ",IF($F58="","MODEL SEÇİN",IF(OR($D58="",$G58&lt;=0),"EKSİK",IF(AND($E58&lt;&gt;"",$E58&lt;$D58),"TARİH HATASI",IF($H58="Pasif","KAPALI DÖNEM","UYGUN"))))))</f>
        <v/>
      </c>
      <c r="O58" s="229">
        <f>IF(OR($C58="",$D58="",$F58=""),"",IF($F58="Aylık",EOMONTH($D58,0),($D58+MOD(SISTEM!$F$8-WEEKDAY($D58,2),7))))</f>
        <v/>
      </c>
      <c r="P58" s="109" t="n"/>
      <c r="Q58" s="6" t="n"/>
      <c r="R58" s="6" t="n"/>
      <c r="S58" s="3">
        <f>IF($B58="","",$B58&amp;"|"&amp;COUNTIFS($B$7:$B58,$B58))</f>
        <v/>
      </c>
    </row>
    <row r="59">
      <c r="A59" s="6" t="n"/>
      <c r="B59" s="113">
        <f>IF($C59="","",IFERROR(INDEX(MUSTERILER!$B$7:$B$106,MATCH($C59,MUSTERILER!$C$7:$C$106,0)),IFERROR(INDEX(MUSTERILER!$B$7:$B$106,MATCH($C59,MUSTERILER!$B$7:$B$106,0)),IFERROR(INDEX(MUSTERILER!$B$7:$B$106,MATCH($C59&amp;"*",MUSTERILER!$C$7:$C$106,0)),"TANIMSIZ MÜŞTERİ"))))</f>
        <v/>
      </c>
      <c r="C59" s="109" t="inlineStr">
        <is>
          <t>YEDİYİRMİDÖRT LTD.ŞTİ.</t>
        </is>
      </c>
      <c r="D59" s="225" t="n">
        <v>46023</v>
      </c>
      <c r="E59" s="225" t="n"/>
      <c r="F59" s="108" t="inlineStr">
        <is>
          <t>Aylık</t>
        </is>
      </c>
      <c r="G59" s="226" t="n">
        <v>10000</v>
      </c>
      <c r="H59" s="108" t="inlineStr">
        <is>
          <t>Aktif</t>
        </is>
      </c>
      <c r="I59" s="227">
        <f>IF(OR($C59="",$D59="",$G59="",$F59=""),0,$G59*IF($F59="Aylık",MAX(0,(YEAR(MIN(IF($E59="",TODAY(),$E59),TODAY()))-YEAR($D59))*12+MONTH(MIN(IF($E59="",TODAY(),$E59),TODAY()))-MONTH($D59)+IF(MIN(IF($E59="",TODAY(),$E59),TODAY())&gt;=EOMONTH(MIN(IF($E59="",TODAY(),$E59),TODAY()),0),1,0)),MAX(0,INT((MIN(IF($E59="",TODAY(),$E59),TODAY())-($D59+MOD(SISTEM!$F$8-WEEKDAY($D59,2),7)))/7)+1)))</f>
        <v/>
      </c>
      <c r="J59" s="227">
        <f>IF(OR($C59="",$D59="",$G59="",$F59=""),0,$G59*IF($F59="Aylık",MAX(0,(YEAR(MIN(IF($E59="",TODAY()-8,$E59),TODAY()-8))-YEAR($D59))*12+MONTH(MIN(IF($E59="",TODAY()-8,$E59),TODAY()-8))-MONTH($D59)+IF(MIN(IF($E59="",TODAY()-8,$E59),TODAY()-8)&gt;=EOMONTH(MIN(IF($E59="",TODAY()-8,$E59),TODAY()-8),0),1,0)),MAX(0,INT((MIN(IF($E59="",TODAY()-8,$E59),TODAY()-8)-($D59+MOD(SISTEM!$F$8-WEEKDAY($D59,2),7)))/7)+1)))</f>
        <v/>
      </c>
      <c r="K59" s="227">
        <f>IF(OR($C59="",$D59="",$G59="",$F59=""),0,$G59*IF($F59="Aylık",MAX(0,(YEAR(MIN(IF($E59="",TODAY()-15,$E59),TODAY()-15))-YEAR($D59))*12+MONTH(MIN(IF($E59="",TODAY()-15,$E59),TODAY()-15))-MONTH($D59)+IF(MIN(IF($E59="",TODAY()-15,$E59),TODAY()-15)&gt;=EOMONTH(MIN(IF($E59="",TODAY()-15,$E59),TODAY()-15),0),1,0)),MAX(0,INT((MIN(IF($E59="",TODAY()-15,$E59),TODAY()-15)-($D59+MOD(SISTEM!$F$8-WEEKDAY($D59,2),7)))/7)+1)))</f>
        <v/>
      </c>
      <c r="L59" s="227">
        <f>IF(OR($C59="",$D59="",$G59="",$F59=""),0,$G59*IF($F59="Aylık",MAX(0,(YEAR(MIN(IF($E59="",TODAY()-29,$E59),TODAY()-29))-YEAR($D59))*12+MONTH(MIN(IF($E59="",TODAY()-29,$E59),TODAY()-29))-MONTH($D59)+IF(MIN(IF($E59="",TODAY()-29,$E59),TODAY()-29)&gt;=EOMONTH(MIN(IF($E59="",TODAY()-29,$E59),TODAY()-29),0),1,0)),MAX(0,INT((MIN(IF($E59="",TODAY()-29,$E59),TODAY()-29)-($D59+MOD(SISTEM!$F$8-WEEKDAY($D59,2),7)))/7)+1)))</f>
        <v/>
      </c>
      <c r="M59" s="228">
        <f>IF($G59&gt;0,$I59/$G59,0)</f>
        <v/>
      </c>
      <c r="N59" s="113">
        <f>IF($C59="","",IF($B59="TANIMSIZ MÜŞTERİ","TANIMSIZ MÜŞTERİ",IF($F59="","MODEL SEÇİN",IF(OR($D59="",$G59&lt;=0),"EKSİK",IF(AND($E59&lt;&gt;"",$E59&lt;$D59),"TARİH HATASI",IF($H59="Pasif","KAPALI DÖNEM","UYGUN"))))))</f>
        <v/>
      </c>
      <c r="O59" s="229">
        <f>IF(OR($C59="",$D59="",$F59=""),"",IF($F59="Aylık",EOMONTH($D59,0),($D59+MOD(SISTEM!$F$8-WEEKDAY($D59,2),7))))</f>
        <v/>
      </c>
      <c r="P59" s="109" t="n"/>
      <c r="Q59" s="6" t="n"/>
      <c r="R59" s="6" t="n"/>
      <c r="S59" s="3">
        <f>IF($B59="","",$B59&amp;"|"&amp;COUNTIFS($B$7:$B59,$B59))</f>
        <v/>
      </c>
    </row>
    <row r="60">
      <c r="A60" s="6" t="n"/>
      <c r="B60" s="264">
        <f>IF($C60="","",IFERROR(INDEX(MUSTERILER!$B$7:$B$106,MATCH($C60,MUSTERILER!$C$7:$C$106,0)),IFERROR(INDEX(MUSTERILER!$B$7:$B$106,MATCH($C60,MUSTERILER!$B$7:$B$106,0)),IFERROR(INDEX(MUSTERILER!$B$7:$B$106,MATCH($C60&amp;"*",MUSTERILER!$C$7:$C$106,0)),"TANIMSIZ MÜŞTERİ"))))</f>
        <v/>
      </c>
      <c r="C60" s="260" t="inlineStr">
        <is>
          <t>TEST HAFTALIK A.Ş.</t>
        </is>
      </c>
      <c r="D60" s="265" t="n">
        <v>46023</v>
      </c>
      <c r="E60" s="265" t="n">
        <v>46060</v>
      </c>
      <c r="F60" s="259" t="inlineStr">
        <is>
          <t>Haftalık</t>
        </is>
      </c>
      <c r="G60" s="266" t="n">
        <v>700</v>
      </c>
      <c r="H60" s="259" t="inlineStr">
        <is>
          <t>Pasif</t>
        </is>
      </c>
      <c r="I60" s="267">
        <f>IF(OR($C60="",$D60="",$G60="",$F60=""),0,$G60*IF($F60="Aylık",MAX(0,(YEAR(MIN(IF($E60="",TODAY(),$E60),TODAY()))-YEAR($D60))*12+MONTH(MIN(IF($E60="",TODAY(),$E60),TODAY()))-MONTH($D60)+IF(MIN(IF($E60="",TODAY(),$E60),TODAY())&gt;=EOMONTH(MIN(IF($E60="",TODAY(),$E60),TODAY()),0),1,0)),MAX(0,INT((MIN(IF($E60="",TODAY(),$E60),TODAY())-($D60+MOD(SISTEM!$F$8-WEEKDAY($D60,2),7)))/7)+1)))</f>
        <v/>
      </c>
      <c r="J60" s="267">
        <f>IF(OR($C60="",$D60="",$G60="",$F60=""),0,$G60*IF($F60="Aylık",MAX(0,(YEAR(MIN(IF($E60="",TODAY()-8,$E60),TODAY()-8))-YEAR($D60))*12+MONTH(MIN(IF($E60="",TODAY()-8,$E60),TODAY()-8))-MONTH($D60)+IF(MIN(IF($E60="",TODAY()-8,$E60),TODAY()-8)&gt;=EOMONTH(MIN(IF($E60="",TODAY()-8,$E60),TODAY()-8),0),1,0)),MAX(0,INT((MIN(IF($E60="",TODAY()-8,$E60),TODAY()-8)-($D60+MOD(SISTEM!$F$8-WEEKDAY($D60,2),7)))/7)+1)))</f>
        <v/>
      </c>
      <c r="K60" s="267">
        <f>IF(OR($C60="",$D60="",$G60="",$F60=""),0,$G60*IF($F60="Aylık",MAX(0,(YEAR(MIN(IF($E60="",TODAY()-15,$E60),TODAY()-15))-YEAR($D60))*12+MONTH(MIN(IF($E60="",TODAY()-15,$E60),TODAY()-15))-MONTH($D60)+IF(MIN(IF($E60="",TODAY()-15,$E60),TODAY()-15)&gt;=EOMONTH(MIN(IF($E60="",TODAY()-15,$E60),TODAY()-15),0),1,0)),MAX(0,INT((MIN(IF($E60="",TODAY()-15,$E60),TODAY()-15)-($D60+MOD(SISTEM!$F$8-WEEKDAY($D60,2),7)))/7)+1)))</f>
        <v/>
      </c>
      <c r="L60" s="267">
        <f>IF(OR($C60="",$D60="",$G60="",$F60=""),0,$G60*IF($F60="Aylık",MAX(0,(YEAR(MIN(IF($E60="",TODAY()-29,$E60),TODAY()-29))-YEAR($D60))*12+MONTH(MIN(IF($E60="",TODAY()-29,$E60),TODAY()-29))-MONTH($D60)+IF(MIN(IF($E60="",TODAY()-29,$E60),TODAY()-29)&gt;=EOMONTH(MIN(IF($E60="",TODAY()-29,$E60),TODAY()-29),0),1,0)),MAX(0,INT((MIN(IF($E60="",TODAY()-29,$E60),TODAY()-29)-($D60+MOD(SISTEM!$F$8-WEEKDAY($D60,2),7)))/7)+1)))</f>
        <v/>
      </c>
      <c r="M60" s="268">
        <f>IF($G60&gt;0,$I60/$G60,0)</f>
        <v/>
      </c>
      <c r="N60" s="264">
        <f>IF($C60="","",IF($B60="TANIMSIZ MÜŞTERİ","TANIMSIZ MÜŞTERİ",IF($F60="","MODEL SEÇİN",IF(OR($D60="",$G60&lt;=0),"EKSİK",IF(AND($E60&lt;&gt;"",$E60&lt;$D60),"TARİH HATASI",IF($H60="Pasif","KAPALI DÖNEM","UYGUN"))))))</f>
        <v/>
      </c>
      <c r="O60" s="269">
        <f>IF(OR($C60="",$D60="",$F60=""),"",IF($F60="Aylık",EOMONTH($D60,0),($D60+MOD(SISTEM!$F$8-WEEKDAY($D60,2),7))))</f>
        <v/>
      </c>
      <c r="P60" s="260" t="inlineStr">
        <is>
          <t>TEST – zam öncesi dönem</t>
        </is>
      </c>
      <c r="Q60" s="6" t="n"/>
      <c r="R60" s="6" t="n"/>
      <c r="S60" s="3">
        <f>IF($B60="","",$B60&amp;"|"&amp;COUNTIFS($B$7:$B60,$B60))</f>
        <v/>
      </c>
    </row>
    <row r="61">
      <c r="A61" s="6" t="n"/>
      <c r="B61" s="264">
        <f>IF($C61="","",IFERROR(INDEX(MUSTERILER!$B$7:$B$106,MATCH($C61,MUSTERILER!$C$7:$C$106,0)),IFERROR(INDEX(MUSTERILER!$B$7:$B$106,MATCH($C61,MUSTERILER!$B$7:$B$106,0)),IFERROR(INDEX(MUSTERILER!$B$7:$B$106,MATCH($C61&amp;"*",MUSTERILER!$C$7:$C$106,0)),"TANIMSIZ MÜŞTERİ"))))</f>
        <v/>
      </c>
      <c r="C61" s="260" t="inlineStr">
        <is>
          <t>TEST HAF</t>
        </is>
      </c>
      <c r="D61" s="265" t="n">
        <v>46061</v>
      </c>
      <c r="E61" s="265" t="n"/>
      <c r="F61" s="259" t="inlineStr">
        <is>
          <t>Haftalık</t>
        </is>
      </c>
      <c r="G61" s="266" t="n">
        <v>1000</v>
      </c>
      <c r="H61" s="259" t="inlineStr">
        <is>
          <t>Aktif</t>
        </is>
      </c>
      <c r="I61" s="267">
        <f>IF(OR($C61="",$D61="",$G61="",$F61=""),0,$G61*IF($F61="Aylık",MAX(0,(YEAR(MIN(IF($E61="",TODAY(),$E61),TODAY()))-YEAR($D61))*12+MONTH(MIN(IF($E61="",TODAY(),$E61),TODAY()))-MONTH($D61)+IF(MIN(IF($E61="",TODAY(),$E61),TODAY())&gt;=EOMONTH(MIN(IF($E61="",TODAY(),$E61),TODAY()),0),1,0)),MAX(0,INT((MIN(IF($E61="",TODAY(),$E61),TODAY())-($D61+MOD(SISTEM!$F$8-WEEKDAY($D61,2),7)))/7)+1)))</f>
        <v/>
      </c>
      <c r="J61" s="267">
        <f>IF(OR($C61="",$D61="",$G61="",$F61=""),0,$G61*IF($F61="Aylık",MAX(0,(YEAR(MIN(IF($E61="",TODAY()-8,$E61),TODAY()-8))-YEAR($D61))*12+MONTH(MIN(IF($E61="",TODAY()-8,$E61),TODAY()-8))-MONTH($D61)+IF(MIN(IF($E61="",TODAY()-8,$E61),TODAY()-8)&gt;=EOMONTH(MIN(IF($E61="",TODAY()-8,$E61),TODAY()-8),0),1,0)),MAX(0,INT((MIN(IF($E61="",TODAY()-8,$E61),TODAY()-8)-($D61+MOD(SISTEM!$F$8-WEEKDAY($D61,2),7)))/7)+1)))</f>
        <v/>
      </c>
      <c r="K61" s="267">
        <f>IF(OR($C61="",$D61="",$G61="",$F61=""),0,$G61*IF($F61="Aylık",MAX(0,(YEAR(MIN(IF($E61="",TODAY()-15,$E61),TODAY()-15))-YEAR($D61))*12+MONTH(MIN(IF($E61="",TODAY()-15,$E61),TODAY()-15))-MONTH($D61)+IF(MIN(IF($E61="",TODAY()-15,$E61),TODAY()-15)&gt;=EOMONTH(MIN(IF($E61="",TODAY()-15,$E61),TODAY()-15),0),1,0)),MAX(0,INT((MIN(IF($E61="",TODAY()-15,$E61),TODAY()-15)-($D61+MOD(SISTEM!$F$8-WEEKDAY($D61,2),7)))/7)+1)))</f>
        <v/>
      </c>
      <c r="L61" s="267">
        <f>IF(OR($C61="",$D61="",$G61="",$F61=""),0,$G61*IF($F61="Aylık",MAX(0,(YEAR(MIN(IF($E61="",TODAY()-29,$E61),TODAY()-29))-YEAR($D61))*12+MONTH(MIN(IF($E61="",TODAY()-29,$E61),TODAY()-29))-MONTH($D61)+IF(MIN(IF($E61="",TODAY()-29,$E61),TODAY()-29)&gt;=EOMONTH(MIN(IF($E61="",TODAY()-29,$E61),TODAY()-29),0),1,0)),MAX(0,INT((MIN(IF($E61="",TODAY()-29,$E61),TODAY()-29)-($D61+MOD(SISTEM!$F$8-WEEKDAY($D61,2),7)))/7)+1)))</f>
        <v/>
      </c>
      <c r="M61" s="268">
        <f>IF($G61&gt;0,$I61/$G61,0)</f>
        <v/>
      </c>
      <c r="N61" s="264">
        <f>IF($C61="","",IF($B61="TANIMSIZ MÜŞTERİ","TANIMSIZ MÜŞTERİ",IF($F61="","MODEL SEÇİN",IF(OR($D61="",$G61&lt;=0),"EKSİK",IF(AND($E61&lt;&gt;"",$E61&lt;$D61),"TARİH HATASI",IF($H61="Pasif","KAPALI DÖNEM","UYGUN"))))))</f>
        <v/>
      </c>
      <c r="O61" s="269">
        <f>IF(OR($C61="",$D61="",$F61=""),"",IF($F61="Aylık",EOMONTH($D61,0),($D61+MOD(SISTEM!$F$8-WEEKDAY($D61,2),7))))</f>
        <v/>
      </c>
      <c r="P61" s="260" t="inlineStr">
        <is>
          <t>TEST – zam sonrası dönem (ön ek ile)</t>
        </is>
      </c>
      <c r="Q61" s="6" t="n"/>
      <c r="R61" s="6" t="n"/>
      <c r="S61" s="3">
        <f>IF($B61="","",$B61&amp;"|"&amp;COUNTIFS($B$7:$B61,$B61))</f>
        <v/>
      </c>
    </row>
    <row r="62">
      <c r="A62" s="6" t="n"/>
      <c r="B62" s="264">
        <f>IF($C62="","",IFERROR(INDEX(MUSTERILER!$B$7:$B$106,MATCH($C62,MUSTERILER!$C$7:$C$106,0)),IFERROR(INDEX(MUSTERILER!$B$7:$B$106,MATCH($C62,MUSTERILER!$B$7:$B$106,0)),IFERROR(INDEX(MUSTERILER!$B$7:$B$106,MATCH($C62&amp;"*",MUSTERILER!$C$7:$C$106,0)),"TANIMSIZ MÜŞTERİ"))))</f>
        <v/>
      </c>
      <c r="C62" s="260" t="inlineStr">
        <is>
          <t>TEST AYLIK LTD.</t>
        </is>
      </c>
      <c r="D62" s="265" t="n">
        <v>46091</v>
      </c>
      <c r="E62" s="265" t="n"/>
      <c r="F62" s="259" t="inlineStr">
        <is>
          <t>Aylık</t>
        </is>
      </c>
      <c r="G62" s="266" t="n">
        <v>2500</v>
      </c>
      <c r="H62" s="259" t="inlineStr">
        <is>
          <t>Aktif</t>
        </is>
      </c>
      <c r="I62" s="267">
        <f>IF(OR($C62="",$D62="",$G62="",$F62=""),0,$G62*IF($F62="Aylık",MAX(0,(YEAR(MIN(IF($E62="",TODAY(),$E62),TODAY()))-YEAR($D62))*12+MONTH(MIN(IF($E62="",TODAY(),$E62),TODAY()))-MONTH($D62)+IF(MIN(IF($E62="",TODAY(),$E62),TODAY())&gt;=EOMONTH(MIN(IF($E62="",TODAY(),$E62),TODAY()),0),1,0)),MAX(0,INT((MIN(IF($E62="",TODAY(),$E62),TODAY())-($D62+MOD(SISTEM!$F$8-WEEKDAY($D62,2),7)))/7)+1)))</f>
        <v/>
      </c>
      <c r="J62" s="267">
        <f>IF(OR($C62="",$D62="",$G62="",$F62=""),0,$G62*IF($F62="Aylık",MAX(0,(YEAR(MIN(IF($E62="",TODAY()-8,$E62),TODAY()-8))-YEAR($D62))*12+MONTH(MIN(IF($E62="",TODAY()-8,$E62),TODAY()-8))-MONTH($D62)+IF(MIN(IF($E62="",TODAY()-8,$E62),TODAY()-8)&gt;=EOMONTH(MIN(IF($E62="",TODAY()-8,$E62),TODAY()-8),0),1,0)),MAX(0,INT((MIN(IF($E62="",TODAY()-8,$E62),TODAY()-8)-($D62+MOD(SISTEM!$F$8-WEEKDAY($D62,2),7)))/7)+1)))</f>
        <v/>
      </c>
      <c r="K62" s="267">
        <f>IF(OR($C62="",$D62="",$G62="",$F62=""),0,$G62*IF($F62="Aylık",MAX(0,(YEAR(MIN(IF($E62="",TODAY()-15,$E62),TODAY()-15))-YEAR($D62))*12+MONTH(MIN(IF($E62="",TODAY()-15,$E62),TODAY()-15))-MONTH($D62)+IF(MIN(IF($E62="",TODAY()-15,$E62),TODAY()-15)&gt;=EOMONTH(MIN(IF($E62="",TODAY()-15,$E62),TODAY()-15),0),1,0)),MAX(0,INT((MIN(IF($E62="",TODAY()-15,$E62),TODAY()-15)-($D62+MOD(SISTEM!$F$8-WEEKDAY($D62,2),7)))/7)+1)))</f>
        <v/>
      </c>
      <c r="L62" s="267">
        <f>IF(OR($C62="",$D62="",$G62="",$F62=""),0,$G62*IF($F62="Aylık",MAX(0,(YEAR(MIN(IF($E62="",TODAY()-29,$E62),TODAY()-29))-YEAR($D62))*12+MONTH(MIN(IF($E62="",TODAY()-29,$E62),TODAY()-29))-MONTH($D62)+IF(MIN(IF($E62="",TODAY()-29,$E62),TODAY()-29)&gt;=EOMONTH(MIN(IF($E62="",TODAY()-29,$E62),TODAY()-29),0),1,0)),MAX(0,INT((MIN(IF($E62="",TODAY()-29,$E62),TODAY()-29)-($D62+MOD(SISTEM!$F$8-WEEKDAY($D62,2),7)))/7)+1)))</f>
        <v/>
      </c>
      <c r="M62" s="268">
        <f>IF($G62&gt;0,$I62/$G62,0)</f>
        <v/>
      </c>
      <c r="N62" s="264">
        <f>IF($C62="","",IF($B62="TANIMSIZ MÜŞTERİ","TANIMSIZ MÜŞTERİ",IF($F62="","MODEL SEÇİN",IF(OR($D62="",$G62&lt;=0),"EKSİK",IF(AND($E62&lt;&gt;"",$E62&lt;$D62),"TARİH HATASI",IF($H62="Pasif","KAPALI DÖNEM","UYGUN"))))))</f>
        <v/>
      </c>
      <c r="O62" s="269">
        <f>IF(OR($C62="",$D62="",$F62=""),"",IF($F62="Aylık",EOMONTH($D62,0),($D62+MOD(SISTEM!$F$8-WEEKDAY($D62,2),7))))</f>
        <v/>
      </c>
      <c r="P62" s="260" t="inlineStr">
        <is>
          <t>TEST – aylık model, ay ortası başlangıç</t>
        </is>
      </c>
      <c r="Q62" s="6" t="n"/>
      <c r="R62" s="6" t="n"/>
      <c r="S62" s="3">
        <f>IF($B62="","",$B62&amp;"|"&amp;COUNTIFS($B$7:$B62,$B62))</f>
        <v/>
      </c>
    </row>
    <row r="63">
      <c r="A63" s="6" t="n"/>
      <c r="B63" s="113">
        <f>IF($C63="","",IFERROR(INDEX(MUSTERILER!$B$7:$B$106,MATCH($C63,MUSTERILER!$C$7:$C$106,0)),IFERROR(INDEX(MUSTERILER!$B$7:$B$106,MATCH($C63,MUSTERILER!$B$7:$B$106,0)),IFERROR(INDEX(MUSTERILER!$B$7:$B$106,MATCH($C63&amp;"*",MUSTERILER!$C$7:$C$106,0)),"TANIMSIZ MÜŞTERİ"))))</f>
        <v/>
      </c>
      <c r="C63" s="109" t="n"/>
      <c r="D63" s="225" t="n"/>
      <c r="E63" s="225" t="n"/>
      <c r="F63" s="108" t="n"/>
      <c r="G63" s="226" t="n"/>
      <c r="H63" s="108" t="n"/>
      <c r="I63" s="227">
        <f>IF(OR($C63="",$D63="",$G63="",$F63=""),0,$G63*IF($F63="Aylık",MAX(0,(YEAR(MIN(IF($E63="",TODAY(),$E63),TODAY()))-YEAR($D63))*12+MONTH(MIN(IF($E63="",TODAY(),$E63),TODAY()))-MONTH($D63)+IF(MIN(IF($E63="",TODAY(),$E63),TODAY())&gt;=EOMONTH(MIN(IF($E63="",TODAY(),$E63),TODAY()),0),1,0)),MAX(0,INT((MIN(IF($E63="",TODAY(),$E63),TODAY())-($D63+MOD(SISTEM!$F$8-WEEKDAY($D63,2),7)))/7)+1)))</f>
        <v/>
      </c>
      <c r="J63" s="227">
        <f>IF(OR($C63="",$D63="",$G63="",$F63=""),0,$G63*IF($F63="Aylık",MAX(0,(YEAR(MIN(IF($E63="",TODAY()-8,$E63),TODAY()-8))-YEAR($D63))*12+MONTH(MIN(IF($E63="",TODAY()-8,$E63),TODAY()-8))-MONTH($D63)+IF(MIN(IF($E63="",TODAY()-8,$E63),TODAY()-8)&gt;=EOMONTH(MIN(IF($E63="",TODAY()-8,$E63),TODAY()-8),0),1,0)),MAX(0,INT((MIN(IF($E63="",TODAY()-8,$E63),TODAY()-8)-($D63+MOD(SISTEM!$F$8-WEEKDAY($D63,2),7)))/7)+1)))</f>
        <v/>
      </c>
      <c r="K63" s="227">
        <f>IF(OR($C63="",$D63="",$G63="",$F63=""),0,$G63*IF($F63="Aylık",MAX(0,(YEAR(MIN(IF($E63="",TODAY()-15,$E63),TODAY()-15))-YEAR($D63))*12+MONTH(MIN(IF($E63="",TODAY()-15,$E63),TODAY()-15))-MONTH($D63)+IF(MIN(IF($E63="",TODAY()-15,$E63),TODAY()-15)&gt;=EOMONTH(MIN(IF($E63="",TODAY()-15,$E63),TODAY()-15),0),1,0)),MAX(0,INT((MIN(IF($E63="",TODAY()-15,$E63),TODAY()-15)-($D63+MOD(SISTEM!$F$8-WEEKDAY($D63,2),7)))/7)+1)))</f>
        <v/>
      </c>
      <c r="L63" s="227">
        <f>IF(OR($C63="",$D63="",$G63="",$F63=""),0,$G63*IF($F63="Aylık",MAX(0,(YEAR(MIN(IF($E63="",TODAY()-29,$E63),TODAY()-29))-YEAR($D63))*12+MONTH(MIN(IF($E63="",TODAY()-29,$E63),TODAY()-29))-MONTH($D63)+IF(MIN(IF($E63="",TODAY()-29,$E63),TODAY()-29)&gt;=EOMONTH(MIN(IF($E63="",TODAY()-29,$E63),TODAY()-29),0),1,0)),MAX(0,INT((MIN(IF($E63="",TODAY()-29,$E63),TODAY()-29)-($D63+MOD(SISTEM!$F$8-WEEKDAY($D63,2),7)))/7)+1)))</f>
        <v/>
      </c>
      <c r="M63" s="228">
        <f>IF($G63&gt;0,$I63/$G63,0)</f>
        <v/>
      </c>
      <c r="N63" s="113">
        <f>IF($C63="","",IF($B63="TANIMSIZ MÜŞTERİ","TANIMSIZ MÜŞTERİ",IF($F63="","MODEL SEÇİN",IF(OR($D63="",$G63&lt;=0),"EKSİK",IF(AND($E63&lt;&gt;"",$E63&lt;$D63),"TARİH HATASI",IF($H63="Pasif","KAPALI DÖNEM","UYGUN"))))))</f>
        <v/>
      </c>
      <c r="O63" s="229">
        <f>IF(OR($C63="",$D63="",$F63=""),"",IF($F63="Aylık",EOMONTH($D63,0),($D63+MOD(SISTEM!$F$8-WEEKDAY($D63,2),7))))</f>
        <v/>
      </c>
      <c r="P63" s="109" t="n"/>
      <c r="Q63" s="6" t="n"/>
      <c r="R63" s="6" t="n"/>
      <c r="S63" s="3">
        <f>IF($B63="","",$B63&amp;"|"&amp;COUNTIFS($B$7:$B63,$B63))</f>
        <v/>
      </c>
    </row>
    <row r="64">
      <c r="A64" s="6" t="n"/>
      <c r="B64" s="113">
        <f>IF($C64="","",IFERROR(INDEX(MUSTERILER!$B$7:$B$106,MATCH($C64,MUSTERILER!$C$7:$C$106,0)),IFERROR(INDEX(MUSTERILER!$B$7:$B$106,MATCH($C64,MUSTERILER!$B$7:$B$106,0)),IFERROR(INDEX(MUSTERILER!$B$7:$B$106,MATCH($C64&amp;"*",MUSTERILER!$C$7:$C$106,0)),"TANIMSIZ MÜŞTERİ"))))</f>
        <v/>
      </c>
      <c r="C64" s="109" t="n"/>
      <c r="D64" s="225" t="n"/>
      <c r="E64" s="225" t="n"/>
      <c r="F64" s="108" t="n"/>
      <c r="G64" s="226" t="n"/>
      <c r="H64" s="108" t="n"/>
      <c r="I64" s="227">
        <f>IF(OR($C64="",$D64="",$G64="",$F64=""),0,$G64*IF($F64="Aylık",MAX(0,(YEAR(MIN(IF($E64="",TODAY(),$E64),TODAY()))-YEAR($D64))*12+MONTH(MIN(IF($E64="",TODAY(),$E64),TODAY()))-MONTH($D64)+IF(MIN(IF($E64="",TODAY(),$E64),TODAY())&gt;=EOMONTH(MIN(IF($E64="",TODAY(),$E64),TODAY()),0),1,0)),MAX(0,INT((MIN(IF($E64="",TODAY(),$E64),TODAY())-($D64+MOD(SISTEM!$F$8-WEEKDAY($D64,2),7)))/7)+1)))</f>
        <v/>
      </c>
      <c r="J64" s="227">
        <f>IF(OR($C64="",$D64="",$G64="",$F64=""),0,$G64*IF($F64="Aylık",MAX(0,(YEAR(MIN(IF($E64="",TODAY()-8,$E64),TODAY()-8))-YEAR($D64))*12+MONTH(MIN(IF($E64="",TODAY()-8,$E64),TODAY()-8))-MONTH($D64)+IF(MIN(IF($E64="",TODAY()-8,$E64),TODAY()-8)&gt;=EOMONTH(MIN(IF($E64="",TODAY()-8,$E64),TODAY()-8),0),1,0)),MAX(0,INT((MIN(IF($E64="",TODAY()-8,$E64),TODAY()-8)-($D64+MOD(SISTEM!$F$8-WEEKDAY($D64,2),7)))/7)+1)))</f>
        <v/>
      </c>
      <c r="K64" s="227">
        <f>IF(OR($C64="",$D64="",$G64="",$F64=""),0,$G64*IF($F64="Aylık",MAX(0,(YEAR(MIN(IF($E64="",TODAY()-15,$E64),TODAY()-15))-YEAR($D64))*12+MONTH(MIN(IF($E64="",TODAY()-15,$E64),TODAY()-15))-MONTH($D64)+IF(MIN(IF($E64="",TODAY()-15,$E64),TODAY()-15)&gt;=EOMONTH(MIN(IF($E64="",TODAY()-15,$E64),TODAY()-15),0),1,0)),MAX(0,INT((MIN(IF($E64="",TODAY()-15,$E64),TODAY()-15)-($D64+MOD(SISTEM!$F$8-WEEKDAY($D64,2),7)))/7)+1)))</f>
        <v/>
      </c>
      <c r="L64" s="227">
        <f>IF(OR($C64="",$D64="",$G64="",$F64=""),0,$G64*IF($F64="Aylık",MAX(0,(YEAR(MIN(IF($E64="",TODAY()-29,$E64),TODAY()-29))-YEAR($D64))*12+MONTH(MIN(IF($E64="",TODAY()-29,$E64),TODAY()-29))-MONTH($D64)+IF(MIN(IF($E64="",TODAY()-29,$E64),TODAY()-29)&gt;=EOMONTH(MIN(IF($E64="",TODAY()-29,$E64),TODAY()-29),0),1,0)),MAX(0,INT((MIN(IF($E64="",TODAY()-29,$E64),TODAY()-29)-($D64+MOD(SISTEM!$F$8-WEEKDAY($D64,2),7)))/7)+1)))</f>
        <v/>
      </c>
      <c r="M64" s="228">
        <f>IF($G64&gt;0,$I64/$G64,0)</f>
        <v/>
      </c>
      <c r="N64" s="113">
        <f>IF($C64="","",IF($B64="TANIMSIZ MÜŞTERİ","TANIMSIZ MÜŞTERİ",IF($F64="","MODEL SEÇİN",IF(OR($D64="",$G64&lt;=0),"EKSİK",IF(AND($E64&lt;&gt;"",$E64&lt;$D64),"TARİH HATASI",IF($H64="Pasif","KAPALI DÖNEM","UYGUN"))))))</f>
        <v/>
      </c>
      <c r="O64" s="229">
        <f>IF(OR($C64="",$D64="",$F64=""),"",IF($F64="Aylık",EOMONTH($D64,0),($D64+MOD(SISTEM!$F$8-WEEKDAY($D64,2),7))))</f>
        <v/>
      </c>
      <c r="P64" s="109" t="n"/>
      <c r="Q64" s="6" t="n"/>
      <c r="R64" s="6" t="n"/>
      <c r="S64" s="3">
        <f>IF($B64="","",$B64&amp;"|"&amp;COUNTIFS($B$7:$B64,$B64))</f>
        <v/>
      </c>
    </row>
    <row r="65">
      <c r="A65" s="6" t="n"/>
      <c r="B65" s="113">
        <f>IF($C65="","",IFERROR(INDEX(MUSTERILER!$B$7:$B$106,MATCH($C65,MUSTERILER!$C$7:$C$106,0)),IFERROR(INDEX(MUSTERILER!$B$7:$B$106,MATCH($C65,MUSTERILER!$B$7:$B$106,0)),IFERROR(INDEX(MUSTERILER!$B$7:$B$106,MATCH($C65&amp;"*",MUSTERILER!$C$7:$C$106,0)),"TANIMSIZ MÜŞTERİ"))))</f>
        <v/>
      </c>
      <c r="C65" s="109" t="n"/>
      <c r="D65" s="225" t="n"/>
      <c r="E65" s="225" t="n"/>
      <c r="F65" s="108" t="n"/>
      <c r="G65" s="226" t="n"/>
      <c r="H65" s="108" t="n"/>
      <c r="I65" s="227">
        <f>IF(OR($C65="",$D65="",$G65="",$F65=""),0,$G65*IF($F65="Aylık",MAX(0,(YEAR(MIN(IF($E65="",TODAY(),$E65),TODAY()))-YEAR($D65))*12+MONTH(MIN(IF($E65="",TODAY(),$E65),TODAY()))-MONTH($D65)+IF(MIN(IF($E65="",TODAY(),$E65),TODAY())&gt;=EOMONTH(MIN(IF($E65="",TODAY(),$E65),TODAY()),0),1,0)),MAX(0,INT((MIN(IF($E65="",TODAY(),$E65),TODAY())-($D65+MOD(SISTEM!$F$8-WEEKDAY($D65,2),7)))/7)+1)))</f>
        <v/>
      </c>
      <c r="J65" s="227">
        <f>IF(OR($C65="",$D65="",$G65="",$F65=""),0,$G65*IF($F65="Aylık",MAX(0,(YEAR(MIN(IF($E65="",TODAY()-8,$E65),TODAY()-8))-YEAR($D65))*12+MONTH(MIN(IF($E65="",TODAY()-8,$E65),TODAY()-8))-MONTH($D65)+IF(MIN(IF($E65="",TODAY()-8,$E65),TODAY()-8)&gt;=EOMONTH(MIN(IF($E65="",TODAY()-8,$E65),TODAY()-8),0),1,0)),MAX(0,INT((MIN(IF($E65="",TODAY()-8,$E65),TODAY()-8)-($D65+MOD(SISTEM!$F$8-WEEKDAY($D65,2),7)))/7)+1)))</f>
        <v/>
      </c>
      <c r="K65" s="227">
        <f>IF(OR($C65="",$D65="",$G65="",$F65=""),0,$G65*IF($F65="Aylık",MAX(0,(YEAR(MIN(IF($E65="",TODAY()-15,$E65),TODAY()-15))-YEAR($D65))*12+MONTH(MIN(IF($E65="",TODAY()-15,$E65),TODAY()-15))-MONTH($D65)+IF(MIN(IF($E65="",TODAY()-15,$E65),TODAY()-15)&gt;=EOMONTH(MIN(IF($E65="",TODAY()-15,$E65),TODAY()-15),0),1,0)),MAX(0,INT((MIN(IF($E65="",TODAY()-15,$E65),TODAY()-15)-($D65+MOD(SISTEM!$F$8-WEEKDAY($D65,2),7)))/7)+1)))</f>
        <v/>
      </c>
      <c r="L65" s="227">
        <f>IF(OR($C65="",$D65="",$G65="",$F65=""),0,$G65*IF($F65="Aylık",MAX(0,(YEAR(MIN(IF($E65="",TODAY()-29,$E65),TODAY()-29))-YEAR($D65))*12+MONTH(MIN(IF($E65="",TODAY()-29,$E65),TODAY()-29))-MONTH($D65)+IF(MIN(IF($E65="",TODAY()-29,$E65),TODAY()-29)&gt;=EOMONTH(MIN(IF($E65="",TODAY()-29,$E65),TODAY()-29),0),1,0)),MAX(0,INT((MIN(IF($E65="",TODAY()-29,$E65),TODAY()-29)-($D65+MOD(SISTEM!$F$8-WEEKDAY($D65,2),7)))/7)+1)))</f>
        <v/>
      </c>
      <c r="M65" s="228">
        <f>IF($G65&gt;0,$I65/$G65,0)</f>
        <v/>
      </c>
      <c r="N65" s="113">
        <f>IF($C65="","",IF($B65="TANIMSIZ MÜŞTERİ","TANIMSIZ MÜŞTERİ",IF($F65="","MODEL SEÇİN",IF(OR($D65="",$G65&lt;=0),"EKSİK",IF(AND($E65&lt;&gt;"",$E65&lt;$D65),"TARİH HATASI",IF($H65="Pasif","KAPALI DÖNEM","UYGUN"))))))</f>
        <v/>
      </c>
      <c r="O65" s="229">
        <f>IF(OR($C65="",$D65="",$F65=""),"",IF($F65="Aylık",EOMONTH($D65,0),($D65+MOD(SISTEM!$F$8-WEEKDAY($D65,2),7))))</f>
        <v/>
      </c>
      <c r="P65" s="109" t="n"/>
      <c r="Q65" s="6" t="n"/>
      <c r="R65" s="6" t="n"/>
      <c r="S65" s="3">
        <f>IF($B65="","",$B65&amp;"|"&amp;COUNTIFS($B$7:$B65,$B65))</f>
        <v/>
      </c>
    </row>
    <row r="66">
      <c r="A66" s="6" t="n"/>
      <c r="B66" s="113">
        <f>IF($C66="","",IFERROR(INDEX(MUSTERILER!$B$7:$B$106,MATCH($C66,MUSTERILER!$C$7:$C$106,0)),IFERROR(INDEX(MUSTERILER!$B$7:$B$106,MATCH($C66,MUSTERILER!$B$7:$B$106,0)),IFERROR(INDEX(MUSTERILER!$B$7:$B$106,MATCH($C66&amp;"*",MUSTERILER!$C$7:$C$106,0)),"TANIMSIZ MÜŞTERİ"))))</f>
        <v/>
      </c>
      <c r="C66" s="109" t="n"/>
      <c r="D66" s="225" t="n"/>
      <c r="E66" s="225" t="n"/>
      <c r="F66" s="108" t="n"/>
      <c r="G66" s="226" t="n"/>
      <c r="H66" s="108" t="n"/>
      <c r="I66" s="227">
        <f>IF(OR($C66="",$D66="",$G66="",$F66=""),0,$G66*IF($F66="Aylık",MAX(0,(YEAR(MIN(IF($E66="",TODAY(),$E66),TODAY()))-YEAR($D66))*12+MONTH(MIN(IF($E66="",TODAY(),$E66),TODAY()))-MONTH($D66)+IF(MIN(IF($E66="",TODAY(),$E66),TODAY())&gt;=EOMONTH(MIN(IF($E66="",TODAY(),$E66),TODAY()),0),1,0)),MAX(0,INT((MIN(IF($E66="",TODAY(),$E66),TODAY())-($D66+MOD(SISTEM!$F$8-WEEKDAY($D66,2),7)))/7)+1)))</f>
        <v/>
      </c>
      <c r="J66" s="227">
        <f>IF(OR($C66="",$D66="",$G66="",$F66=""),0,$G66*IF($F66="Aylık",MAX(0,(YEAR(MIN(IF($E66="",TODAY()-8,$E66),TODAY()-8))-YEAR($D66))*12+MONTH(MIN(IF($E66="",TODAY()-8,$E66),TODAY()-8))-MONTH($D66)+IF(MIN(IF($E66="",TODAY()-8,$E66),TODAY()-8)&gt;=EOMONTH(MIN(IF($E66="",TODAY()-8,$E66),TODAY()-8),0),1,0)),MAX(0,INT((MIN(IF($E66="",TODAY()-8,$E66),TODAY()-8)-($D66+MOD(SISTEM!$F$8-WEEKDAY($D66,2),7)))/7)+1)))</f>
        <v/>
      </c>
      <c r="K66" s="227">
        <f>IF(OR($C66="",$D66="",$G66="",$F66=""),0,$G66*IF($F66="Aylık",MAX(0,(YEAR(MIN(IF($E66="",TODAY()-15,$E66),TODAY()-15))-YEAR($D66))*12+MONTH(MIN(IF($E66="",TODAY()-15,$E66),TODAY()-15))-MONTH($D66)+IF(MIN(IF($E66="",TODAY()-15,$E66),TODAY()-15)&gt;=EOMONTH(MIN(IF($E66="",TODAY()-15,$E66),TODAY()-15),0),1,0)),MAX(0,INT((MIN(IF($E66="",TODAY()-15,$E66),TODAY()-15)-($D66+MOD(SISTEM!$F$8-WEEKDAY($D66,2),7)))/7)+1)))</f>
        <v/>
      </c>
      <c r="L66" s="227">
        <f>IF(OR($C66="",$D66="",$G66="",$F66=""),0,$G66*IF($F66="Aylık",MAX(0,(YEAR(MIN(IF($E66="",TODAY()-29,$E66),TODAY()-29))-YEAR($D66))*12+MONTH(MIN(IF($E66="",TODAY()-29,$E66),TODAY()-29))-MONTH($D66)+IF(MIN(IF($E66="",TODAY()-29,$E66),TODAY()-29)&gt;=EOMONTH(MIN(IF($E66="",TODAY()-29,$E66),TODAY()-29),0),1,0)),MAX(0,INT((MIN(IF($E66="",TODAY()-29,$E66),TODAY()-29)-($D66+MOD(SISTEM!$F$8-WEEKDAY($D66,2),7)))/7)+1)))</f>
        <v/>
      </c>
      <c r="M66" s="228">
        <f>IF($G66&gt;0,$I66/$G66,0)</f>
        <v/>
      </c>
      <c r="N66" s="113">
        <f>IF($C66="","",IF($B66="TANIMSIZ MÜŞTERİ","TANIMSIZ MÜŞTERİ",IF($F66="","MODEL SEÇİN",IF(OR($D66="",$G66&lt;=0),"EKSİK",IF(AND($E66&lt;&gt;"",$E66&lt;$D66),"TARİH HATASI",IF($H66="Pasif","KAPALI DÖNEM","UYGUN"))))))</f>
        <v/>
      </c>
      <c r="O66" s="229">
        <f>IF(OR($C66="",$D66="",$F66=""),"",IF($F66="Aylık",EOMONTH($D66,0),($D66+MOD(SISTEM!$F$8-WEEKDAY($D66,2),7))))</f>
        <v/>
      </c>
      <c r="P66" s="109" t="n"/>
      <c r="Q66" s="6" t="n"/>
      <c r="R66" s="6" t="n"/>
      <c r="S66" s="3">
        <f>IF($B66="","",$B66&amp;"|"&amp;COUNTIFS($B$7:$B66,$B66))</f>
        <v/>
      </c>
    </row>
    <row r="67">
      <c r="A67" s="6" t="n"/>
      <c r="B67" s="113">
        <f>IF($C67="","",IFERROR(INDEX(MUSTERILER!$B$7:$B$106,MATCH($C67,MUSTERILER!$C$7:$C$106,0)),IFERROR(INDEX(MUSTERILER!$B$7:$B$106,MATCH($C67,MUSTERILER!$B$7:$B$106,0)),IFERROR(INDEX(MUSTERILER!$B$7:$B$106,MATCH($C67&amp;"*",MUSTERILER!$C$7:$C$106,0)),"TANIMSIZ MÜŞTERİ"))))</f>
        <v/>
      </c>
      <c r="C67" s="109" t="n"/>
      <c r="D67" s="225" t="n"/>
      <c r="E67" s="225" t="n"/>
      <c r="F67" s="108" t="n"/>
      <c r="G67" s="226" t="n"/>
      <c r="H67" s="108" t="n"/>
      <c r="I67" s="227">
        <f>IF(OR($C67="",$D67="",$G67="",$F67=""),0,$G67*IF($F67="Aylık",MAX(0,(YEAR(MIN(IF($E67="",TODAY(),$E67),TODAY()))-YEAR($D67))*12+MONTH(MIN(IF($E67="",TODAY(),$E67),TODAY()))-MONTH($D67)+IF(MIN(IF($E67="",TODAY(),$E67),TODAY())&gt;=EOMONTH(MIN(IF($E67="",TODAY(),$E67),TODAY()),0),1,0)),MAX(0,INT((MIN(IF($E67="",TODAY(),$E67),TODAY())-($D67+MOD(SISTEM!$F$8-WEEKDAY($D67,2),7)))/7)+1)))</f>
        <v/>
      </c>
      <c r="J67" s="227">
        <f>IF(OR($C67="",$D67="",$G67="",$F67=""),0,$G67*IF($F67="Aylık",MAX(0,(YEAR(MIN(IF($E67="",TODAY()-8,$E67),TODAY()-8))-YEAR($D67))*12+MONTH(MIN(IF($E67="",TODAY()-8,$E67),TODAY()-8))-MONTH($D67)+IF(MIN(IF($E67="",TODAY()-8,$E67),TODAY()-8)&gt;=EOMONTH(MIN(IF($E67="",TODAY()-8,$E67),TODAY()-8),0),1,0)),MAX(0,INT((MIN(IF($E67="",TODAY()-8,$E67),TODAY()-8)-($D67+MOD(SISTEM!$F$8-WEEKDAY($D67,2),7)))/7)+1)))</f>
        <v/>
      </c>
      <c r="K67" s="227">
        <f>IF(OR($C67="",$D67="",$G67="",$F67=""),0,$G67*IF($F67="Aylık",MAX(0,(YEAR(MIN(IF($E67="",TODAY()-15,$E67),TODAY()-15))-YEAR($D67))*12+MONTH(MIN(IF($E67="",TODAY()-15,$E67),TODAY()-15))-MONTH($D67)+IF(MIN(IF($E67="",TODAY()-15,$E67),TODAY()-15)&gt;=EOMONTH(MIN(IF($E67="",TODAY()-15,$E67),TODAY()-15),0),1,0)),MAX(0,INT((MIN(IF($E67="",TODAY()-15,$E67),TODAY()-15)-($D67+MOD(SISTEM!$F$8-WEEKDAY($D67,2),7)))/7)+1)))</f>
        <v/>
      </c>
      <c r="L67" s="227">
        <f>IF(OR($C67="",$D67="",$G67="",$F67=""),0,$G67*IF($F67="Aylık",MAX(0,(YEAR(MIN(IF($E67="",TODAY()-29,$E67),TODAY()-29))-YEAR($D67))*12+MONTH(MIN(IF($E67="",TODAY()-29,$E67),TODAY()-29))-MONTH($D67)+IF(MIN(IF($E67="",TODAY()-29,$E67),TODAY()-29)&gt;=EOMONTH(MIN(IF($E67="",TODAY()-29,$E67),TODAY()-29),0),1,0)),MAX(0,INT((MIN(IF($E67="",TODAY()-29,$E67),TODAY()-29)-($D67+MOD(SISTEM!$F$8-WEEKDAY($D67,2),7)))/7)+1)))</f>
        <v/>
      </c>
      <c r="M67" s="228">
        <f>IF($G67&gt;0,$I67/$G67,0)</f>
        <v/>
      </c>
      <c r="N67" s="113">
        <f>IF($C67="","",IF($B67="TANIMSIZ MÜŞTERİ","TANIMSIZ MÜŞTERİ",IF($F67="","MODEL SEÇİN",IF(OR($D67="",$G67&lt;=0),"EKSİK",IF(AND($E67&lt;&gt;"",$E67&lt;$D67),"TARİH HATASI",IF($H67="Pasif","KAPALI DÖNEM","UYGUN"))))))</f>
        <v/>
      </c>
      <c r="O67" s="229">
        <f>IF(OR($C67="",$D67="",$F67=""),"",IF($F67="Aylık",EOMONTH($D67,0),($D67+MOD(SISTEM!$F$8-WEEKDAY($D67,2),7))))</f>
        <v/>
      </c>
      <c r="P67" s="109" t="n"/>
      <c r="Q67" s="6" t="n"/>
      <c r="R67" s="6" t="n"/>
      <c r="S67" s="3">
        <f>IF($B67="","",$B67&amp;"|"&amp;COUNTIFS($B$7:$B67,$B67))</f>
        <v/>
      </c>
    </row>
    <row r="68">
      <c r="A68" s="6" t="n"/>
      <c r="B68" s="113">
        <f>IF($C68="","",IFERROR(INDEX(MUSTERILER!$B$7:$B$106,MATCH($C68,MUSTERILER!$C$7:$C$106,0)),IFERROR(INDEX(MUSTERILER!$B$7:$B$106,MATCH($C68,MUSTERILER!$B$7:$B$106,0)),IFERROR(INDEX(MUSTERILER!$B$7:$B$106,MATCH($C68&amp;"*",MUSTERILER!$C$7:$C$106,0)),"TANIMSIZ MÜŞTERİ"))))</f>
        <v/>
      </c>
      <c r="C68" s="109" t="n"/>
      <c r="D68" s="225" t="n"/>
      <c r="E68" s="225" t="n"/>
      <c r="F68" s="108" t="n"/>
      <c r="G68" s="226" t="n"/>
      <c r="H68" s="108" t="n"/>
      <c r="I68" s="227">
        <f>IF(OR($C68="",$D68="",$G68="",$F68=""),0,$G68*IF($F68="Aylık",MAX(0,(YEAR(MIN(IF($E68="",TODAY(),$E68),TODAY()))-YEAR($D68))*12+MONTH(MIN(IF($E68="",TODAY(),$E68),TODAY()))-MONTH($D68)+IF(MIN(IF($E68="",TODAY(),$E68),TODAY())&gt;=EOMONTH(MIN(IF($E68="",TODAY(),$E68),TODAY()),0),1,0)),MAX(0,INT((MIN(IF($E68="",TODAY(),$E68),TODAY())-($D68+MOD(SISTEM!$F$8-WEEKDAY($D68,2),7)))/7)+1)))</f>
        <v/>
      </c>
      <c r="J68" s="227">
        <f>IF(OR($C68="",$D68="",$G68="",$F68=""),0,$G68*IF($F68="Aylık",MAX(0,(YEAR(MIN(IF($E68="",TODAY()-8,$E68),TODAY()-8))-YEAR($D68))*12+MONTH(MIN(IF($E68="",TODAY()-8,$E68),TODAY()-8))-MONTH($D68)+IF(MIN(IF($E68="",TODAY()-8,$E68),TODAY()-8)&gt;=EOMONTH(MIN(IF($E68="",TODAY()-8,$E68),TODAY()-8),0),1,0)),MAX(0,INT((MIN(IF($E68="",TODAY()-8,$E68),TODAY()-8)-($D68+MOD(SISTEM!$F$8-WEEKDAY($D68,2),7)))/7)+1)))</f>
        <v/>
      </c>
      <c r="K68" s="227">
        <f>IF(OR($C68="",$D68="",$G68="",$F68=""),0,$G68*IF($F68="Aylık",MAX(0,(YEAR(MIN(IF($E68="",TODAY()-15,$E68),TODAY()-15))-YEAR($D68))*12+MONTH(MIN(IF($E68="",TODAY()-15,$E68),TODAY()-15))-MONTH($D68)+IF(MIN(IF($E68="",TODAY()-15,$E68),TODAY()-15)&gt;=EOMONTH(MIN(IF($E68="",TODAY()-15,$E68),TODAY()-15),0),1,0)),MAX(0,INT((MIN(IF($E68="",TODAY()-15,$E68),TODAY()-15)-($D68+MOD(SISTEM!$F$8-WEEKDAY($D68,2),7)))/7)+1)))</f>
        <v/>
      </c>
      <c r="L68" s="227">
        <f>IF(OR($C68="",$D68="",$G68="",$F68=""),0,$G68*IF($F68="Aylık",MAX(0,(YEAR(MIN(IF($E68="",TODAY()-29,$E68),TODAY()-29))-YEAR($D68))*12+MONTH(MIN(IF($E68="",TODAY()-29,$E68),TODAY()-29))-MONTH($D68)+IF(MIN(IF($E68="",TODAY()-29,$E68),TODAY()-29)&gt;=EOMONTH(MIN(IF($E68="",TODAY()-29,$E68),TODAY()-29),0),1,0)),MAX(0,INT((MIN(IF($E68="",TODAY()-29,$E68),TODAY()-29)-($D68+MOD(SISTEM!$F$8-WEEKDAY($D68,2),7)))/7)+1)))</f>
        <v/>
      </c>
      <c r="M68" s="228">
        <f>IF($G68&gt;0,$I68/$G68,0)</f>
        <v/>
      </c>
      <c r="N68" s="113">
        <f>IF($C68="","",IF($B68="TANIMSIZ MÜŞTERİ","TANIMSIZ MÜŞTERİ",IF($F68="","MODEL SEÇİN",IF(OR($D68="",$G68&lt;=0),"EKSİK",IF(AND($E68&lt;&gt;"",$E68&lt;$D68),"TARİH HATASI",IF($H68="Pasif","KAPALI DÖNEM","UYGUN"))))))</f>
        <v/>
      </c>
      <c r="O68" s="229">
        <f>IF(OR($C68="",$D68="",$F68=""),"",IF($F68="Aylık",EOMONTH($D68,0),($D68+MOD(SISTEM!$F$8-WEEKDAY($D68,2),7))))</f>
        <v/>
      </c>
      <c r="P68" s="109" t="n"/>
      <c r="Q68" s="6" t="n"/>
      <c r="R68" s="6" t="n"/>
      <c r="S68" s="3">
        <f>IF($B68="","",$B68&amp;"|"&amp;COUNTIFS($B$7:$B68,$B68))</f>
        <v/>
      </c>
    </row>
    <row r="69">
      <c r="A69" s="6" t="n"/>
      <c r="B69" s="113">
        <f>IF($C69="","",IFERROR(INDEX(MUSTERILER!$B$7:$B$106,MATCH($C69,MUSTERILER!$C$7:$C$106,0)),IFERROR(INDEX(MUSTERILER!$B$7:$B$106,MATCH($C69,MUSTERILER!$B$7:$B$106,0)),IFERROR(INDEX(MUSTERILER!$B$7:$B$106,MATCH($C69&amp;"*",MUSTERILER!$C$7:$C$106,0)),"TANIMSIZ MÜŞTERİ"))))</f>
        <v/>
      </c>
      <c r="C69" s="109" t="n"/>
      <c r="D69" s="225" t="n"/>
      <c r="E69" s="225" t="n"/>
      <c r="F69" s="108" t="n"/>
      <c r="G69" s="226" t="n"/>
      <c r="H69" s="108" t="n"/>
      <c r="I69" s="227">
        <f>IF(OR($C69="",$D69="",$G69="",$F69=""),0,$G69*IF($F69="Aylık",MAX(0,(YEAR(MIN(IF($E69="",TODAY(),$E69),TODAY()))-YEAR($D69))*12+MONTH(MIN(IF($E69="",TODAY(),$E69),TODAY()))-MONTH($D69)+IF(MIN(IF($E69="",TODAY(),$E69),TODAY())&gt;=EOMONTH(MIN(IF($E69="",TODAY(),$E69),TODAY()),0),1,0)),MAX(0,INT((MIN(IF($E69="",TODAY(),$E69),TODAY())-($D69+MOD(SISTEM!$F$8-WEEKDAY($D69,2),7)))/7)+1)))</f>
        <v/>
      </c>
      <c r="J69" s="227">
        <f>IF(OR($C69="",$D69="",$G69="",$F69=""),0,$G69*IF($F69="Aylık",MAX(0,(YEAR(MIN(IF($E69="",TODAY()-8,$E69),TODAY()-8))-YEAR($D69))*12+MONTH(MIN(IF($E69="",TODAY()-8,$E69),TODAY()-8))-MONTH($D69)+IF(MIN(IF($E69="",TODAY()-8,$E69),TODAY()-8)&gt;=EOMONTH(MIN(IF($E69="",TODAY()-8,$E69),TODAY()-8),0),1,0)),MAX(0,INT((MIN(IF($E69="",TODAY()-8,$E69),TODAY()-8)-($D69+MOD(SISTEM!$F$8-WEEKDAY($D69,2),7)))/7)+1)))</f>
        <v/>
      </c>
      <c r="K69" s="227">
        <f>IF(OR($C69="",$D69="",$G69="",$F69=""),0,$G69*IF($F69="Aylık",MAX(0,(YEAR(MIN(IF($E69="",TODAY()-15,$E69),TODAY()-15))-YEAR($D69))*12+MONTH(MIN(IF($E69="",TODAY()-15,$E69),TODAY()-15))-MONTH($D69)+IF(MIN(IF($E69="",TODAY()-15,$E69),TODAY()-15)&gt;=EOMONTH(MIN(IF($E69="",TODAY()-15,$E69),TODAY()-15),0),1,0)),MAX(0,INT((MIN(IF($E69="",TODAY()-15,$E69),TODAY()-15)-($D69+MOD(SISTEM!$F$8-WEEKDAY($D69,2),7)))/7)+1)))</f>
        <v/>
      </c>
      <c r="L69" s="227">
        <f>IF(OR($C69="",$D69="",$G69="",$F69=""),0,$G69*IF($F69="Aylık",MAX(0,(YEAR(MIN(IF($E69="",TODAY()-29,$E69),TODAY()-29))-YEAR($D69))*12+MONTH(MIN(IF($E69="",TODAY()-29,$E69),TODAY()-29))-MONTH($D69)+IF(MIN(IF($E69="",TODAY()-29,$E69),TODAY()-29)&gt;=EOMONTH(MIN(IF($E69="",TODAY()-29,$E69),TODAY()-29),0),1,0)),MAX(0,INT((MIN(IF($E69="",TODAY()-29,$E69),TODAY()-29)-($D69+MOD(SISTEM!$F$8-WEEKDAY($D69,2),7)))/7)+1)))</f>
        <v/>
      </c>
      <c r="M69" s="228">
        <f>IF($G69&gt;0,$I69/$G69,0)</f>
        <v/>
      </c>
      <c r="N69" s="113">
        <f>IF($C69="","",IF($B69="TANIMSIZ MÜŞTERİ","TANIMSIZ MÜŞTERİ",IF($F69="","MODEL SEÇİN",IF(OR($D69="",$G69&lt;=0),"EKSİK",IF(AND($E69&lt;&gt;"",$E69&lt;$D69),"TARİH HATASI",IF($H69="Pasif","KAPALI DÖNEM","UYGUN"))))))</f>
        <v/>
      </c>
      <c r="O69" s="229">
        <f>IF(OR($C69="",$D69="",$F69=""),"",IF($F69="Aylık",EOMONTH($D69,0),($D69+MOD(SISTEM!$F$8-WEEKDAY($D69,2),7))))</f>
        <v/>
      </c>
      <c r="P69" s="109" t="n"/>
      <c r="Q69" s="6" t="n"/>
      <c r="R69" s="6" t="n"/>
      <c r="S69" s="3">
        <f>IF($B69="","",$B69&amp;"|"&amp;COUNTIFS($B$7:$B69,$B69))</f>
        <v/>
      </c>
    </row>
    <row r="70">
      <c r="A70" s="6" t="n"/>
      <c r="B70" s="113">
        <f>IF($C70="","",IFERROR(INDEX(MUSTERILER!$B$7:$B$106,MATCH($C70,MUSTERILER!$C$7:$C$106,0)),IFERROR(INDEX(MUSTERILER!$B$7:$B$106,MATCH($C70,MUSTERILER!$B$7:$B$106,0)),IFERROR(INDEX(MUSTERILER!$B$7:$B$106,MATCH($C70&amp;"*",MUSTERILER!$C$7:$C$106,0)),"TANIMSIZ MÜŞTERİ"))))</f>
        <v/>
      </c>
      <c r="C70" s="109" t="n"/>
      <c r="D70" s="225" t="n"/>
      <c r="E70" s="225" t="n"/>
      <c r="F70" s="108" t="n"/>
      <c r="G70" s="226" t="n"/>
      <c r="H70" s="108" t="n"/>
      <c r="I70" s="227">
        <f>IF(OR($C70="",$D70="",$G70="",$F70=""),0,$G70*IF($F70="Aylık",MAX(0,(YEAR(MIN(IF($E70="",TODAY(),$E70),TODAY()))-YEAR($D70))*12+MONTH(MIN(IF($E70="",TODAY(),$E70),TODAY()))-MONTH($D70)+IF(MIN(IF($E70="",TODAY(),$E70),TODAY())&gt;=EOMONTH(MIN(IF($E70="",TODAY(),$E70),TODAY()),0),1,0)),MAX(0,INT((MIN(IF($E70="",TODAY(),$E70),TODAY())-($D70+MOD(SISTEM!$F$8-WEEKDAY($D70,2),7)))/7)+1)))</f>
        <v/>
      </c>
      <c r="J70" s="227">
        <f>IF(OR($C70="",$D70="",$G70="",$F70=""),0,$G70*IF($F70="Aylık",MAX(0,(YEAR(MIN(IF($E70="",TODAY()-8,$E70),TODAY()-8))-YEAR($D70))*12+MONTH(MIN(IF($E70="",TODAY()-8,$E70),TODAY()-8))-MONTH($D70)+IF(MIN(IF($E70="",TODAY()-8,$E70),TODAY()-8)&gt;=EOMONTH(MIN(IF($E70="",TODAY()-8,$E70),TODAY()-8),0),1,0)),MAX(0,INT((MIN(IF($E70="",TODAY()-8,$E70),TODAY()-8)-($D70+MOD(SISTEM!$F$8-WEEKDAY($D70,2),7)))/7)+1)))</f>
        <v/>
      </c>
      <c r="K70" s="227">
        <f>IF(OR($C70="",$D70="",$G70="",$F70=""),0,$G70*IF($F70="Aylık",MAX(0,(YEAR(MIN(IF($E70="",TODAY()-15,$E70),TODAY()-15))-YEAR($D70))*12+MONTH(MIN(IF($E70="",TODAY()-15,$E70),TODAY()-15))-MONTH($D70)+IF(MIN(IF($E70="",TODAY()-15,$E70),TODAY()-15)&gt;=EOMONTH(MIN(IF($E70="",TODAY()-15,$E70),TODAY()-15),0),1,0)),MAX(0,INT((MIN(IF($E70="",TODAY()-15,$E70),TODAY()-15)-($D70+MOD(SISTEM!$F$8-WEEKDAY($D70,2),7)))/7)+1)))</f>
        <v/>
      </c>
      <c r="L70" s="227">
        <f>IF(OR($C70="",$D70="",$G70="",$F70=""),0,$G70*IF($F70="Aylık",MAX(0,(YEAR(MIN(IF($E70="",TODAY()-29,$E70),TODAY()-29))-YEAR($D70))*12+MONTH(MIN(IF($E70="",TODAY()-29,$E70),TODAY()-29))-MONTH($D70)+IF(MIN(IF($E70="",TODAY()-29,$E70),TODAY()-29)&gt;=EOMONTH(MIN(IF($E70="",TODAY()-29,$E70),TODAY()-29),0),1,0)),MAX(0,INT((MIN(IF($E70="",TODAY()-29,$E70),TODAY()-29)-($D70+MOD(SISTEM!$F$8-WEEKDAY($D70,2),7)))/7)+1)))</f>
        <v/>
      </c>
      <c r="M70" s="228">
        <f>IF($G70&gt;0,$I70/$G70,0)</f>
        <v/>
      </c>
      <c r="N70" s="113">
        <f>IF($C70="","",IF($B70="TANIMSIZ MÜŞTERİ","TANIMSIZ MÜŞTERİ",IF($F70="","MODEL SEÇİN",IF(OR($D70="",$G70&lt;=0),"EKSİK",IF(AND($E70&lt;&gt;"",$E70&lt;$D70),"TARİH HATASI",IF($H70="Pasif","KAPALI DÖNEM","UYGUN"))))))</f>
        <v/>
      </c>
      <c r="O70" s="229">
        <f>IF(OR($C70="",$D70="",$F70=""),"",IF($F70="Aylık",EOMONTH($D70,0),($D70+MOD(SISTEM!$F$8-WEEKDAY($D70,2),7))))</f>
        <v/>
      </c>
      <c r="P70" s="109" t="n"/>
      <c r="Q70" s="6" t="n"/>
      <c r="R70" s="6" t="n"/>
      <c r="S70" s="3">
        <f>IF($B70="","",$B70&amp;"|"&amp;COUNTIFS($B$7:$B70,$B70))</f>
        <v/>
      </c>
    </row>
    <row r="71">
      <c r="A71" s="6" t="n"/>
      <c r="B71" s="113">
        <f>IF($C71="","",IFERROR(INDEX(MUSTERILER!$B$7:$B$106,MATCH($C71,MUSTERILER!$C$7:$C$106,0)),IFERROR(INDEX(MUSTERILER!$B$7:$B$106,MATCH($C71,MUSTERILER!$B$7:$B$106,0)),IFERROR(INDEX(MUSTERILER!$B$7:$B$106,MATCH($C71&amp;"*",MUSTERILER!$C$7:$C$106,0)),"TANIMSIZ MÜŞTERİ"))))</f>
        <v/>
      </c>
      <c r="C71" s="109" t="n"/>
      <c r="D71" s="225" t="n"/>
      <c r="E71" s="225" t="n"/>
      <c r="F71" s="108" t="n"/>
      <c r="G71" s="226" t="n"/>
      <c r="H71" s="108" t="n"/>
      <c r="I71" s="227">
        <f>IF(OR($C71="",$D71="",$G71="",$F71=""),0,$G71*IF($F71="Aylık",MAX(0,(YEAR(MIN(IF($E71="",TODAY(),$E71),TODAY()))-YEAR($D71))*12+MONTH(MIN(IF($E71="",TODAY(),$E71),TODAY()))-MONTH($D71)+IF(MIN(IF($E71="",TODAY(),$E71),TODAY())&gt;=EOMONTH(MIN(IF($E71="",TODAY(),$E71),TODAY()),0),1,0)),MAX(0,INT((MIN(IF($E71="",TODAY(),$E71),TODAY())-($D71+MOD(SISTEM!$F$8-WEEKDAY($D71,2),7)))/7)+1)))</f>
        <v/>
      </c>
      <c r="J71" s="227">
        <f>IF(OR($C71="",$D71="",$G71="",$F71=""),0,$G71*IF($F71="Aylık",MAX(0,(YEAR(MIN(IF($E71="",TODAY()-8,$E71),TODAY()-8))-YEAR($D71))*12+MONTH(MIN(IF($E71="",TODAY()-8,$E71),TODAY()-8))-MONTH($D71)+IF(MIN(IF($E71="",TODAY()-8,$E71),TODAY()-8)&gt;=EOMONTH(MIN(IF($E71="",TODAY()-8,$E71),TODAY()-8),0),1,0)),MAX(0,INT((MIN(IF($E71="",TODAY()-8,$E71),TODAY()-8)-($D71+MOD(SISTEM!$F$8-WEEKDAY($D71,2),7)))/7)+1)))</f>
        <v/>
      </c>
      <c r="K71" s="227">
        <f>IF(OR($C71="",$D71="",$G71="",$F71=""),0,$G71*IF($F71="Aylık",MAX(0,(YEAR(MIN(IF($E71="",TODAY()-15,$E71),TODAY()-15))-YEAR($D71))*12+MONTH(MIN(IF($E71="",TODAY()-15,$E71),TODAY()-15))-MONTH($D71)+IF(MIN(IF($E71="",TODAY()-15,$E71),TODAY()-15)&gt;=EOMONTH(MIN(IF($E71="",TODAY()-15,$E71),TODAY()-15),0),1,0)),MAX(0,INT((MIN(IF($E71="",TODAY()-15,$E71),TODAY()-15)-($D71+MOD(SISTEM!$F$8-WEEKDAY($D71,2),7)))/7)+1)))</f>
        <v/>
      </c>
      <c r="L71" s="227">
        <f>IF(OR($C71="",$D71="",$G71="",$F71=""),0,$G71*IF($F71="Aylık",MAX(0,(YEAR(MIN(IF($E71="",TODAY()-29,$E71),TODAY()-29))-YEAR($D71))*12+MONTH(MIN(IF($E71="",TODAY()-29,$E71),TODAY()-29))-MONTH($D71)+IF(MIN(IF($E71="",TODAY()-29,$E71),TODAY()-29)&gt;=EOMONTH(MIN(IF($E71="",TODAY()-29,$E71),TODAY()-29),0),1,0)),MAX(0,INT((MIN(IF($E71="",TODAY()-29,$E71),TODAY()-29)-($D71+MOD(SISTEM!$F$8-WEEKDAY($D71,2),7)))/7)+1)))</f>
        <v/>
      </c>
      <c r="M71" s="228">
        <f>IF($G71&gt;0,$I71/$G71,0)</f>
        <v/>
      </c>
      <c r="N71" s="113">
        <f>IF($C71="","",IF($B71="TANIMSIZ MÜŞTERİ","TANIMSIZ MÜŞTERİ",IF($F71="","MODEL SEÇİN",IF(OR($D71="",$G71&lt;=0),"EKSİK",IF(AND($E71&lt;&gt;"",$E71&lt;$D71),"TARİH HATASI",IF($H71="Pasif","KAPALI DÖNEM","UYGUN"))))))</f>
        <v/>
      </c>
      <c r="O71" s="229">
        <f>IF(OR($C71="",$D71="",$F71=""),"",IF($F71="Aylık",EOMONTH($D71,0),($D71+MOD(SISTEM!$F$8-WEEKDAY($D71,2),7))))</f>
        <v/>
      </c>
      <c r="P71" s="109" t="n"/>
      <c r="Q71" s="6" t="n"/>
      <c r="R71" s="6" t="n"/>
      <c r="S71" s="3">
        <f>IF($B71="","",$B71&amp;"|"&amp;COUNTIFS($B$7:$B71,$B71))</f>
        <v/>
      </c>
    </row>
    <row r="72">
      <c r="A72" s="6" t="n"/>
      <c r="B72" s="113">
        <f>IF($C72="","",IFERROR(INDEX(MUSTERILER!$B$7:$B$106,MATCH($C72,MUSTERILER!$C$7:$C$106,0)),IFERROR(INDEX(MUSTERILER!$B$7:$B$106,MATCH($C72,MUSTERILER!$B$7:$B$106,0)),IFERROR(INDEX(MUSTERILER!$B$7:$B$106,MATCH($C72&amp;"*",MUSTERILER!$C$7:$C$106,0)),"TANIMSIZ MÜŞTERİ"))))</f>
        <v/>
      </c>
      <c r="C72" s="109" t="n"/>
      <c r="D72" s="225" t="n"/>
      <c r="E72" s="225" t="n"/>
      <c r="F72" s="108" t="n"/>
      <c r="G72" s="226" t="n"/>
      <c r="H72" s="108" t="n"/>
      <c r="I72" s="227">
        <f>IF(OR($C72="",$D72="",$G72="",$F72=""),0,$G72*IF($F72="Aylık",MAX(0,(YEAR(MIN(IF($E72="",TODAY(),$E72),TODAY()))-YEAR($D72))*12+MONTH(MIN(IF($E72="",TODAY(),$E72),TODAY()))-MONTH($D72)+IF(MIN(IF($E72="",TODAY(),$E72),TODAY())&gt;=EOMONTH(MIN(IF($E72="",TODAY(),$E72),TODAY()),0),1,0)),MAX(0,INT((MIN(IF($E72="",TODAY(),$E72),TODAY())-($D72+MOD(SISTEM!$F$8-WEEKDAY($D72,2),7)))/7)+1)))</f>
        <v/>
      </c>
      <c r="J72" s="227">
        <f>IF(OR($C72="",$D72="",$G72="",$F72=""),0,$G72*IF($F72="Aylık",MAX(0,(YEAR(MIN(IF($E72="",TODAY()-8,$E72),TODAY()-8))-YEAR($D72))*12+MONTH(MIN(IF($E72="",TODAY()-8,$E72),TODAY()-8))-MONTH($D72)+IF(MIN(IF($E72="",TODAY()-8,$E72),TODAY()-8)&gt;=EOMONTH(MIN(IF($E72="",TODAY()-8,$E72),TODAY()-8),0),1,0)),MAX(0,INT((MIN(IF($E72="",TODAY()-8,$E72),TODAY()-8)-($D72+MOD(SISTEM!$F$8-WEEKDAY($D72,2),7)))/7)+1)))</f>
        <v/>
      </c>
      <c r="K72" s="227">
        <f>IF(OR($C72="",$D72="",$G72="",$F72=""),0,$G72*IF($F72="Aylık",MAX(0,(YEAR(MIN(IF($E72="",TODAY()-15,$E72),TODAY()-15))-YEAR($D72))*12+MONTH(MIN(IF($E72="",TODAY()-15,$E72),TODAY()-15))-MONTH($D72)+IF(MIN(IF($E72="",TODAY()-15,$E72),TODAY()-15)&gt;=EOMONTH(MIN(IF($E72="",TODAY()-15,$E72),TODAY()-15),0),1,0)),MAX(0,INT((MIN(IF($E72="",TODAY()-15,$E72),TODAY()-15)-($D72+MOD(SISTEM!$F$8-WEEKDAY($D72,2),7)))/7)+1)))</f>
        <v/>
      </c>
      <c r="L72" s="227">
        <f>IF(OR($C72="",$D72="",$G72="",$F72=""),0,$G72*IF($F72="Aylık",MAX(0,(YEAR(MIN(IF($E72="",TODAY()-29,$E72),TODAY()-29))-YEAR($D72))*12+MONTH(MIN(IF($E72="",TODAY()-29,$E72),TODAY()-29))-MONTH($D72)+IF(MIN(IF($E72="",TODAY()-29,$E72),TODAY()-29)&gt;=EOMONTH(MIN(IF($E72="",TODAY()-29,$E72),TODAY()-29),0),1,0)),MAX(0,INT((MIN(IF($E72="",TODAY()-29,$E72),TODAY()-29)-($D72+MOD(SISTEM!$F$8-WEEKDAY($D72,2),7)))/7)+1)))</f>
        <v/>
      </c>
      <c r="M72" s="228">
        <f>IF($G72&gt;0,$I72/$G72,0)</f>
        <v/>
      </c>
      <c r="N72" s="113">
        <f>IF($C72="","",IF($B72="TANIMSIZ MÜŞTERİ","TANIMSIZ MÜŞTERİ",IF($F72="","MODEL SEÇİN",IF(OR($D72="",$G72&lt;=0),"EKSİK",IF(AND($E72&lt;&gt;"",$E72&lt;$D72),"TARİH HATASI",IF($H72="Pasif","KAPALI DÖNEM","UYGUN"))))))</f>
        <v/>
      </c>
      <c r="O72" s="229">
        <f>IF(OR($C72="",$D72="",$F72=""),"",IF($F72="Aylık",EOMONTH($D72,0),($D72+MOD(SISTEM!$F$8-WEEKDAY($D72,2),7))))</f>
        <v/>
      </c>
      <c r="P72" s="109" t="n"/>
      <c r="Q72" s="6" t="n"/>
      <c r="R72" s="6" t="n"/>
      <c r="S72" s="3">
        <f>IF($B72="","",$B72&amp;"|"&amp;COUNTIFS($B$7:$B72,$B72))</f>
        <v/>
      </c>
    </row>
    <row r="73">
      <c r="A73" s="6" t="n"/>
      <c r="B73" s="113">
        <f>IF($C73="","",IFERROR(INDEX(MUSTERILER!$B$7:$B$106,MATCH($C73,MUSTERILER!$C$7:$C$106,0)),IFERROR(INDEX(MUSTERILER!$B$7:$B$106,MATCH($C73,MUSTERILER!$B$7:$B$106,0)),IFERROR(INDEX(MUSTERILER!$B$7:$B$106,MATCH($C73&amp;"*",MUSTERILER!$C$7:$C$106,0)),"TANIMSIZ MÜŞTERİ"))))</f>
        <v/>
      </c>
      <c r="C73" s="109" t="n"/>
      <c r="D73" s="225" t="n"/>
      <c r="E73" s="225" t="n"/>
      <c r="F73" s="108" t="n"/>
      <c r="G73" s="226" t="n"/>
      <c r="H73" s="108" t="n"/>
      <c r="I73" s="227">
        <f>IF(OR($C73="",$D73="",$G73="",$F73=""),0,$G73*IF($F73="Aylık",MAX(0,(YEAR(MIN(IF($E73="",TODAY(),$E73),TODAY()))-YEAR($D73))*12+MONTH(MIN(IF($E73="",TODAY(),$E73),TODAY()))-MONTH($D73)+IF(MIN(IF($E73="",TODAY(),$E73),TODAY())&gt;=EOMONTH(MIN(IF($E73="",TODAY(),$E73),TODAY()),0),1,0)),MAX(0,INT((MIN(IF($E73="",TODAY(),$E73),TODAY())-($D73+MOD(SISTEM!$F$8-WEEKDAY($D73,2),7)))/7)+1)))</f>
        <v/>
      </c>
      <c r="J73" s="227">
        <f>IF(OR($C73="",$D73="",$G73="",$F73=""),0,$G73*IF($F73="Aylık",MAX(0,(YEAR(MIN(IF($E73="",TODAY()-8,$E73),TODAY()-8))-YEAR($D73))*12+MONTH(MIN(IF($E73="",TODAY()-8,$E73),TODAY()-8))-MONTH($D73)+IF(MIN(IF($E73="",TODAY()-8,$E73),TODAY()-8)&gt;=EOMONTH(MIN(IF($E73="",TODAY()-8,$E73),TODAY()-8),0),1,0)),MAX(0,INT((MIN(IF($E73="",TODAY()-8,$E73),TODAY()-8)-($D73+MOD(SISTEM!$F$8-WEEKDAY($D73,2),7)))/7)+1)))</f>
        <v/>
      </c>
      <c r="K73" s="227">
        <f>IF(OR($C73="",$D73="",$G73="",$F73=""),0,$G73*IF($F73="Aylık",MAX(0,(YEAR(MIN(IF($E73="",TODAY()-15,$E73),TODAY()-15))-YEAR($D73))*12+MONTH(MIN(IF($E73="",TODAY()-15,$E73),TODAY()-15))-MONTH($D73)+IF(MIN(IF($E73="",TODAY()-15,$E73),TODAY()-15)&gt;=EOMONTH(MIN(IF($E73="",TODAY()-15,$E73),TODAY()-15),0),1,0)),MAX(0,INT((MIN(IF($E73="",TODAY()-15,$E73),TODAY()-15)-($D73+MOD(SISTEM!$F$8-WEEKDAY($D73,2),7)))/7)+1)))</f>
        <v/>
      </c>
      <c r="L73" s="227">
        <f>IF(OR($C73="",$D73="",$G73="",$F73=""),0,$G73*IF($F73="Aylık",MAX(0,(YEAR(MIN(IF($E73="",TODAY()-29,$E73),TODAY()-29))-YEAR($D73))*12+MONTH(MIN(IF($E73="",TODAY()-29,$E73),TODAY()-29))-MONTH($D73)+IF(MIN(IF($E73="",TODAY()-29,$E73),TODAY()-29)&gt;=EOMONTH(MIN(IF($E73="",TODAY()-29,$E73),TODAY()-29),0),1,0)),MAX(0,INT((MIN(IF($E73="",TODAY()-29,$E73),TODAY()-29)-($D73+MOD(SISTEM!$F$8-WEEKDAY($D73,2),7)))/7)+1)))</f>
        <v/>
      </c>
      <c r="M73" s="228">
        <f>IF($G73&gt;0,$I73/$G73,0)</f>
        <v/>
      </c>
      <c r="N73" s="113">
        <f>IF($C73="","",IF($B73="TANIMSIZ MÜŞTERİ","TANIMSIZ MÜŞTERİ",IF($F73="","MODEL SEÇİN",IF(OR($D73="",$G73&lt;=0),"EKSİK",IF(AND($E73&lt;&gt;"",$E73&lt;$D73),"TARİH HATASI",IF($H73="Pasif","KAPALI DÖNEM","UYGUN"))))))</f>
        <v/>
      </c>
      <c r="O73" s="229">
        <f>IF(OR($C73="",$D73="",$F73=""),"",IF($F73="Aylık",EOMONTH($D73,0),($D73+MOD(SISTEM!$F$8-WEEKDAY($D73,2),7))))</f>
        <v/>
      </c>
      <c r="P73" s="109" t="n"/>
      <c r="Q73" s="6" t="n"/>
      <c r="R73" s="6" t="n"/>
      <c r="S73" s="3">
        <f>IF($B73="","",$B73&amp;"|"&amp;COUNTIFS($B$7:$B73,$B73))</f>
        <v/>
      </c>
    </row>
    <row r="74">
      <c r="A74" s="6" t="n"/>
      <c r="B74" s="113">
        <f>IF($C74="","",IFERROR(INDEX(MUSTERILER!$B$7:$B$106,MATCH($C74,MUSTERILER!$C$7:$C$106,0)),IFERROR(INDEX(MUSTERILER!$B$7:$B$106,MATCH($C74,MUSTERILER!$B$7:$B$106,0)),IFERROR(INDEX(MUSTERILER!$B$7:$B$106,MATCH($C74&amp;"*",MUSTERILER!$C$7:$C$106,0)),"TANIMSIZ MÜŞTERİ"))))</f>
        <v/>
      </c>
      <c r="C74" s="109" t="n"/>
      <c r="D74" s="225" t="n"/>
      <c r="E74" s="225" t="n"/>
      <c r="F74" s="108" t="n"/>
      <c r="G74" s="226" t="n"/>
      <c r="H74" s="108" t="n"/>
      <c r="I74" s="227">
        <f>IF(OR($C74="",$D74="",$G74="",$F74=""),0,$G74*IF($F74="Aylık",MAX(0,(YEAR(MIN(IF($E74="",TODAY(),$E74),TODAY()))-YEAR($D74))*12+MONTH(MIN(IF($E74="",TODAY(),$E74),TODAY()))-MONTH($D74)+IF(MIN(IF($E74="",TODAY(),$E74),TODAY())&gt;=EOMONTH(MIN(IF($E74="",TODAY(),$E74),TODAY()),0),1,0)),MAX(0,INT((MIN(IF($E74="",TODAY(),$E74),TODAY())-($D74+MOD(SISTEM!$F$8-WEEKDAY($D74,2),7)))/7)+1)))</f>
        <v/>
      </c>
      <c r="J74" s="227">
        <f>IF(OR($C74="",$D74="",$G74="",$F74=""),0,$G74*IF($F74="Aylık",MAX(0,(YEAR(MIN(IF($E74="",TODAY()-8,$E74),TODAY()-8))-YEAR($D74))*12+MONTH(MIN(IF($E74="",TODAY()-8,$E74),TODAY()-8))-MONTH($D74)+IF(MIN(IF($E74="",TODAY()-8,$E74),TODAY()-8)&gt;=EOMONTH(MIN(IF($E74="",TODAY()-8,$E74),TODAY()-8),0),1,0)),MAX(0,INT((MIN(IF($E74="",TODAY()-8,$E74),TODAY()-8)-($D74+MOD(SISTEM!$F$8-WEEKDAY($D74,2),7)))/7)+1)))</f>
        <v/>
      </c>
      <c r="K74" s="227">
        <f>IF(OR($C74="",$D74="",$G74="",$F74=""),0,$G74*IF($F74="Aylık",MAX(0,(YEAR(MIN(IF($E74="",TODAY()-15,$E74),TODAY()-15))-YEAR($D74))*12+MONTH(MIN(IF($E74="",TODAY()-15,$E74),TODAY()-15))-MONTH($D74)+IF(MIN(IF($E74="",TODAY()-15,$E74),TODAY()-15)&gt;=EOMONTH(MIN(IF($E74="",TODAY()-15,$E74),TODAY()-15),0),1,0)),MAX(0,INT((MIN(IF($E74="",TODAY()-15,$E74),TODAY()-15)-($D74+MOD(SISTEM!$F$8-WEEKDAY($D74,2),7)))/7)+1)))</f>
        <v/>
      </c>
      <c r="L74" s="227">
        <f>IF(OR($C74="",$D74="",$G74="",$F74=""),0,$G74*IF($F74="Aylık",MAX(0,(YEAR(MIN(IF($E74="",TODAY()-29,$E74),TODAY()-29))-YEAR($D74))*12+MONTH(MIN(IF($E74="",TODAY()-29,$E74),TODAY()-29))-MONTH($D74)+IF(MIN(IF($E74="",TODAY()-29,$E74),TODAY()-29)&gt;=EOMONTH(MIN(IF($E74="",TODAY()-29,$E74),TODAY()-29),0),1,0)),MAX(0,INT((MIN(IF($E74="",TODAY()-29,$E74),TODAY()-29)-($D74+MOD(SISTEM!$F$8-WEEKDAY($D74,2),7)))/7)+1)))</f>
        <v/>
      </c>
      <c r="M74" s="228">
        <f>IF($G74&gt;0,$I74/$G74,0)</f>
        <v/>
      </c>
      <c r="N74" s="113">
        <f>IF($C74="","",IF($B74="TANIMSIZ MÜŞTERİ","TANIMSIZ MÜŞTERİ",IF($F74="","MODEL SEÇİN",IF(OR($D74="",$G74&lt;=0),"EKSİK",IF(AND($E74&lt;&gt;"",$E74&lt;$D74),"TARİH HATASI",IF($H74="Pasif","KAPALI DÖNEM","UYGUN"))))))</f>
        <v/>
      </c>
      <c r="O74" s="229">
        <f>IF(OR($C74="",$D74="",$F74=""),"",IF($F74="Aylık",EOMONTH($D74,0),($D74+MOD(SISTEM!$F$8-WEEKDAY($D74,2),7))))</f>
        <v/>
      </c>
      <c r="P74" s="109" t="n"/>
      <c r="Q74" s="6" t="n"/>
      <c r="R74" s="6" t="n"/>
      <c r="S74" s="3">
        <f>IF($B74="","",$B74&amp;"|"&amp;COUNTIFS($B$7:$B74,$B74))</f>
        <v/>
      </c>
    </row>
    <row r="75">
      <c r="A75" s="6" t="n"/>
      <c r="B75" s="113">
        <f>IF($C75="","",IFERROR(INDEX(MUSTERILER!$B$7:$B$106,MATCH($C75,MUSTERILER!$C$7:$C$106,0)),IFERROR(INDEX(MUSTERILER!$B$7:$B$106,MATCH($C75,MUSTERILER!$B$7:$B$106,0)),IFERROR(INDEX(MUSTERILER!$B$7:$B$106,MATCH($C75&amp;"*",MUSTERILER!$C$7:$C$106,0)),"TANIMSIZ MÜŞTERİ"))))</f>
        <v/>
      </c>
      <c r="C75" s="109" t="n"/>
      <c r="D75" s="225" t="n"/>
      <c r="E75" s="225" t="n"/>
      <c r="F75" s="108" t="n"/>
      <c r="G75" s="226" t="n"/>
      <c r="H75" s="108" t="n"/>
      <c r="I75" s="227">
        <f>IF(OR($C75="",$D75="",$G75="",$F75=""),0,$G75*IF($F75="Aylık",MAX(0,(YEAR(MIN(IF($E75="",TODAY(),$E75),TODAY()))-YEAR($D75))*12+MONTH(MIN(IF($E75="",TODAY(),$E75),TODAY()))-MONTH($D75)+IF(MIN(IF($E75="",TODAY(),$E75),TODAY())&gt;=EOMONTH(MIN(IF($E75="",TODAY(),$E75),TODAY()),0),1,0)),MAX(0,INT((MIN(IF($E75="",TODAY(),$E75),TODAY())-($D75+MOD(SISTEM!$F$8-WEEKDAY($D75,2),7)))/7)+1)))</f>
        <v/>
      </c>
      <c r="J75" s="227">
        <f>IF(OR($C75="",$D75="",$G75="",$F75=""),0,$G75*IF($F75="Aylık",MAX(0,(YEAR(MIN(IF($E75="",TODAY()-8,$E75),TODAY()-8))-YEAR($D75))*12+MONTH(MIN(IF($E75="",TODAY()-8,$E75),TODAY()-8))-MONTH($D75)+IF(MIN(IF($E75="",TODAY()-8,$E75),TODAY()-8)&gt;=EOMONTH(MIN(IF($E75="",TODAY()-8,$E75),TODAY()-8),0),1,0)),MAX(0,INT((MIN(IF($E75="",TODAY()-8,$E75),TODAY()-8)-($D75+MOD(SISTEM!$F$8-WEEKDAY($D75,2),7)))/7)+1)))</f>
        <v/>
      </c>
      <c r="K75" s="227">
        <f>IF(OR($C75="",$D75="",$G75="",$F75=""),0,$G75*IF($F75="Aylık",MAX(0,(YEAR(MIN(IF($E75="",TODAY()-15,$E75),TODAY()-15))-YEAR($D75))*12+MONTH(MIN(IF($E75="",TODAY()-15,$E75),TODAY()-15))-MONTH($D75)+IF(MIN(IF($E75="",TODAY()-15,$E75),TODAY()-15)&gt;=EOMONTH(MIN(IF($E75="",TODAY()-15,$E75),TODAY()-15),0),1,0)),MAX(0,INT((MIN(IF($E75="",TODAY()-15,$E75),TODAY()-15)-($D75+MOD(SISTEM!$F$8-WEEKDAY($D75,2),7)))/7)+1)))</f>
        <v/>
      </c>
      <c r="L75" s="227">
        <f>IF(OR($C75="",$D75="",$G75="",$F75=""),0,$G75*IF($F75="Aylık",MAX(0,(YEAR(MIN(IF($E75="",TODAY()-29,$E75),TODAY()-29))-YEAR($D75))*12+MONTH(MIN(IF($E75="",TODAY()-29,$E75),TODAY()-29))-MONTH($D75)+IF(MIN(IF($E75="",TODAY()-29,$E75),TODAY()-29)&gt;=EOMONTH(MIN(IF($E75="",TODAY()-29,$E75),TODAY()-29),0),1,0)),MAX(0,INT((MIN(IF($E75="",TODAY()-29,$E75),TODAY()-29)-($D75+MOD(SISTEM!$F$8-WEEKDAY($D75,2),7)))/7)+1)))</f>
        <v/>
      </c>
      <c r="M75" s="228">
        <f>IF($G75&gt;0,$I75/$G75,0)</f>
        <v/>
      </c>
      <c r="N75" s="113">
        <f>IF($C75="","",IF($B75="TANIMSIZ MÜŞTERİ","TANIMSIZ MÜŞTERİ",IF($F75="","MODEL SEÇİN",IF(OR($D75="",$G75&lt;=0),"EKSİK",IF(AND($E75&lt;&gt;"",$E75&lt;$D75),"TARİH HATASI",IF($H75="Pasif","KAPALI DÖNEM","UYGUN"))))))</f>
        <v/>
      </c>
      <c r="O75" s="229">
        <f>IF(OR($C75="",$D75="",$F75=""),"",IF($F75="Aylık",EOMONTH($D75,0),($D75+MOD(SISTEM!$F$8-WEEKDAY($D75,2),7))))</f>
        <v/>
      </c>
      <c r="P75" s="109" t="n"/>
      <c r="Q75" s="6" t="n"/>
      <c r="R75" s="6" t="n"/>
      <c r="S75" s="3">
        <f>IF($B75="","",$B75&amp;"|"&amp;COUNTIFS($B$7:$B75,$B75))</f>
        <v/>
      </c>
    </row>
    <row r="76">
      <c r="A76" s="6" t="n"/>
      <c r="B76" s="113">
        <f>IF($C76="","",IFERROR(INDEX(MUSTERILER!$B$7:$B$106,MATCH($C76,MUSTERILER!$C$7:$C$106,0)),IFERROR(INDEX(MUSTERILER!$B$7:$B$106,MATCH($C76,MUSTERILER!$B$7:$B$106,0)),IFERROR(INDEX(MUSTERILER!$B$7:$B$106,MATCH($C76&amp;"*",MUSTERILER!$C$7:$C$106,0)),"TANIMSIZ MÜŞTERİ"))))</f>
        <v/>
      </c>
      <c r="C76" s="109" t="n"/>
      <c r="D76" s="225" t="n"/>
      <c r="E76" s="225" t="n"/>
      <c r="F76" s="108" t="n"/>
      <c r="G76" s="226" t="n"/>
      <c r="H76" s="108" t="n"/>
      <c r="I76" s="227">
        <f>IF(OR($C76="",$D76="",$G76="",$F76=""),0,$G76*IF($F76="Aylık",MAX(0,(YEAR(MIN(IF($E76="",TODAY(),$E76),TODAY()))-YEAR($D76))*12+MONTH(MIN(IF($E76="",TODAY(),$E76),TODAY()))-MONTH($D76)+IF(MIN(IF($E76="",TODAY(),$E76),TODAY())&gt;=EOMONTH(MIN(IF($E76="",TODAY(),$E76),TODAY()),0),1,0)),MAX(0,INT((MIN(IF($E76="",TODAY(),$E76),TODAY())-($D76+MOD(SISTEM!$F$8-WEEKDAY($D76,2),7)))/7)+1)))</f>
        <v/>
      </c>
      <c r="J76" s="227">
        <f>IF(OR($C76="",$D76="",$G76="",$F76=""),0,$G76*IF($F76="Aylık",MAX(0,(YEAR(MIN(IF($E76="",TODAY()-8,$E76),TODAY()-8))-YEAR($D76))*12+MONTH(MIN(IF($E76="",TODAY()-8,$E76),TODAY()-8))-MONTH($D76)+IF(MIN(IF($E76="",TODAY()-8,$E76),TODAY()-8)&gt;=EOMONTH(MIN(IF($E76="",TODAY()-8,$E76),TODAY()-8),0),1,0)),MAX(0,INT((MIN(IF($E76="",TODAY()-8,$E76),TODAY()-8)-($D76+MOD(SISTEM!$F$8-WEEKDAY($D76,2),7)))/7)+1)))</f>
        <v/>
      </c>
      <c r="K76" s="227">
        <f>IF(OR($C76="",$D76="",$G76="",$F76=""),0,$G76*IF($F76="Aylık",MAX(0,(YEAR(MIN(IF($E76="",TODAY()-15,$E76),TODAY()-15))-YEAR($D76))*12+MONTH(MIN(IF($E76="",TODAY()-15,$E76),TODAY()-15))-MONTH($D76)+IF(MIN(IF($E76="",TODAY()-15,$E76),TODAY()-15)&gt;=EOMONTH(MIN(IF($E76="",TODAY()-15,$E76),TODAY()-15),0),1,0)),MAX(0,INT((MIN(IF($E76="",TODAY()-15,$E76),TODAY()-15)-($D76+MOD(SISTEM!$F$8-WEEKDAY($D76,2),7)))/7)+1)))</f>
        <v/>
      </c>
      <c r="L76" s="227">
        <f>IF(OR($C76="",$D76="",$G76="",$F76=""),0,$G76*IF($F76="Aylık",MAX(0,(YEAR(MIN(IF($E76="",TODAY()-29,$E76),TODAY()-29))-YEAR($D76))*12+MONTH(MIN(IF($E76="",TODAY()-29,$E76),TODAY()-29))-MONTH($D76)+IF(MIN(IF($E76="",TODAY()-29,$E76),TODAY()-29)&gt;=EOMONTH(MIN(IF($E76="",TODAY()-29,$E76),TODAY()-29),0),1,0)),MAX(0,INT((MIN(IF($E76="",TODAY()-29,$E76),TODAY()-29)-($D76+MOD(SISTEM!$F$8-WEEKDAY($D76,2),7)))/7)+1)))</f>
        <v/>
      </c>
      <c r="M76" s="228">
        <f>IF($G76&gt;0,$I76/$G76,0)</f>
        <v/>
      </c>
      <c r="N76" s="113">
        <f>IF($C76="","",IF($B76="TANIMSIZ MÜŞTERİ","TANIMSIZ MÜŞTERİ",IF($F76="","MODEL SEÇİN",IF(OR($D76="",$G76&lt;=0),"EKSİK",IF(AND($E76&lt;&gt;"",$E76&lt;$D76),"TARİH HATASI",IF($H76="Pasif","KAPALI DÖNEM","UYGUN"))))))</f>
        <v/>
      </c>
      <c r="O76" s="229">
        <f>IF(OR($C76="",$D76="",$F76=""),"",IF($F76="Aylık",EOMONTH($D76,0),($D76+MOD(SISTEM!$F$8-WEEKDAY($D76,2),7))))</f>
        <v/>
      </c>
      <c r="P76" s="109" t="n"/>
      <c r="Q76" s="6" t="n"/>
      <c r="R76" s="6" t="n"/>
      <c r="S76" s="3">
        <f>IF($B76="","",$B76&amp;"|"&amp;COUNTIFS($B$7:$B76,$B76))</f>
        <v/>
      </c>
    </row>
    <row r="77">
      <c r="A77" s="6" t="n"/>
      <c r="B77" s="113">
        <f>IF($C77="","",IFERROR(INDEX(MUSTERILER!$B$7:$B$106,MATCH($C77,MUSTERILER!$C$7:$C$106,0)),IFERROR(INDEX(MUSTERILER!$B$7:$B$106,MATCH($C77,MUSTERILER!$B$7:$B$106,0)),IFERROR(INDEX(MUSTERILER!$B$7:$B$106,MATCH($C77&amp;"*",MUSTERILER!$C$7:$C$106,0)),"TANIMSIZ MÜŞTERİ"))))</f>
        <v/>
      </c>
      <c r="C77" s="109" t="n"/>
      <c r="D77" s="225" t="n"/>
      <c r="E77" s="225" t="n"/>
      <c r="F77" s="108" t="n"/>
      <c r="G77" s="226" t="n"/>
      <c r="H77" s="108" t="n"/>
      <c r="I77" s="227">
        <f>IF(OR($C77="",$D77="",$G77="",$F77=""),0,$G77*IF($F77="Aylık",MAX(0,(YEAR(MIN(IF($E77="",TODAY(),$E77),TODAY()))-YEAR($D77))*12+MONTH(MIN(IF($E77="",TODAY(),$E77),TODAY()))-MONTH($D77)+IF(MIN(IF($E77="",TODAY(),$E77),TODAY())&gt;=EOMONTH(MIN(IF($E77="",TODAY(),$E77),TODAY()),0),1,0)),MAX(0,INT((MIN(IF($E77="",TODAY(),$E77),TODAY())-($D77+MOD(SISTEM!$F$8-WEEKDAY($D77,2),7)))/7)+1)))</f>
        <v/>
      </c>
      <c r="J77" s="227">
        <f>IF(OR($C77="",$D77="",$G77="",$F77=""),0,$G77*IF($F77="Aylık",MAX(0,(YEAR(MIN(IF($E77="",TODAY()-8,$E77),TODAY()-8))-YEAR($D77))*12+MONTH(MIN(IF($E77="",TODAY()-8,$E77),TODAY()-8))-MONTH($D77)+IF(MIN(IF($E77="",TODAY()-8,$E77),TODAY()-8)&gt;=EOMONTH(MIN(IF($E77="",TODAY()-8,$E77),TODAY()-8),0),1,0)),MAX(0,INT((MIN(IF($E77="",TODAY()-8,$E77),TODAY()-8)-($D77+MOD(SISTEM!$F$8-WEEKDAY($D77,2),7)))/7)+1)))</f>
        <v/>
      </c>
      <c r="K77" s="227">
        <f>IF(OR($C77="",$D77="",$G77="",$F77=""),0,$G77*IF($F77="Aylık",MAX(0,(YEAR(MIN(IF($E77="",TODAY()-15,$E77),TODAY()-15))-YEAR($D77))*12+MONTH(MIN(IF($E77="",TODAY()-15,$E77),TODAY()-15))-MONTH($D77)+IF(MIN(IF($E77="",TODAY()-15,$E77),TODAY()-15)&gt;=EOMONTH(MIN(IF($E77="",TODAY()-15,$E77),TODAY()-15),0),1,0)),MAX(0,INT((MIN(IF($E77="",TODAY()-15,$E77),TODAY()-15)-($D77+MOD(SISTEM!$F$8-WEEKDAY($D77,2),7)))/7)+1)))</f>
        <v/>
      </c>
      <c r="L77" s="227">
        <f>IF(OR($C77="",$D77="",$G77="",$F77=""),0,$G77*IF($F77="Aylık",MAX(0,(YEAR(MIN(IF($E77="",TODAY()-29,$E77),TODAY()-29))-YEAR($D77))*12+MONTH(MIN(IF($E77="",TODAY()-29,$E77),TODAY()-29))-MONTH($D77)+IF(MIN(IF($E77="",TODAY()-29,$E77),TODAY()-29)&gt;=EOMONTH(MIN(IF($E77="",TODAY()-29,$E77),TODAY()-29),0),1,0)),MAX(0,INT((MIN(IF($E77="",TODAY()-29,$E77),TODAY()-29)-($D77+MOD(SISTEM!$F$8-WEEKDAY($D77,2),7)))/7)+1)))</f>
        <v/>
      </c>
      <c r="M77" s="228">
        <f>IF($G77&gt;0,$I77/$G77,0)</f>
        <v/>
      </c>
      <c r="N77" s="113">
        <f>IF($C77="","",IF($B77="TANIMSIZ MÜŞTERİ","TANIMSIZ MÜŞTERİ",IF($F77="","MODEL SEÇİN",IF(OR($D77="",$G77&lt;=0),"EKSİK",IF(AND($E77&lt;&gt;"",$E77&lt;$D77),"TARİH HATASI",IF($H77="Pasif","KAPALI DÖNEM","UYGUN"))))))</f>
        <v/>
      </c>
      <c r="O77" s="229">
        <f>IF(OR($C77="",$D77="",$F77=""),"",IF($F77="Aylık",EOMONTH($D77,0),($D77+MOD(SISTEM!$F$8-WEEKDAY($D77,2),7))))</f>
        <v/>
      </c>
      <c r="P77" s="109" t="n"/>
      <c r="Q77" s="6" t="n"/>
      <c r="R77" s="6" t="n"/>
      <c r="S77" s="3">
        <f>IF($B77="","",$B77&amp;"|"&amp;COUNTIFS($B$7:$B77,$B77))</f>
        <v/>
      </c>
    </row>
    <row r="78">
      <c r="A78" s="6" t="n"/>
      <c r="B78" s="113">
        <f>IF($C78="","",IFERROR(INDEX(MUSTERILER!$B$7:$B$106,MATCH($C78,MUSTERILER!$C$7:$C$106,0)),IFERROR(INDEX(MUSTERILER!$B$7:$B$106,MATCH($C78,MUSTERILER!$B$7:$B$106,0)),IFERROR(INDEX(MUSTERILER!$B$7:$B$106,MATCH($C78&amp;"*",MUSTERILER!$C$7:$C$106,0)),"TANIMSIZ MÜŞTERİ"))))</f>
        <v/>
      </c>
      <c r="C78" s="109" t="n"/>
      <c r="D78" s="225" t="n"/>
      <c r="E78" s="225" t="n"/>
      <c r="F78" s="108" t="n"/>
      <c r="G78" s="226" t="n"/>
      <c r="H78" s="108" t="n"/>
      <c r="I78" s="227">
        <f>IF(OR($C78="",$D78="",$G78="",$F78=""),0,$G78*IF($F78="Aylık",MAX(0,(YEAR(MIN(IF($E78="",TODAY(),$E78),TODAY()))-YEAR($D78))*12+MONTH(MIN(IF($E78="",TODAY(),$E78),TODAY()))-MONTH($D78)+IF(MIN(IF($E78="",TODAY(),$E78),TODAY())&gt;=EOMONTH(MIN(IF($E78="",TODAY(),$E78),TODAY()),0),1,0)),MAX(0,INT((MIN(IF($E78="",TODAY(),$E78),TODAY())-($D78+MOD(SISTEM!$F$8-WEEKDAY($D78,2),7)))/7)+1)))</f>
        <v/>
      </c>
      <c r="J78" s="227">
        <f>IF(OR($C78="",$D78="",$G78="",$F78=""),0,$G78*IF($F78="Aylık",MAX(0,(YEAR(MIN(IF($E78="",TODAY()-8,$E78),TODAY()-8))-YEAR($D78))*12+MONTH(MIN(IF($E78="",TODAY()-8,$E78),TODAY()-8))-MONTH($D78)+IF(MIN(IF($E78="",TODAY()-8,$E78),TODAY()-8)&gt;=EOMONTH(MIN(IF($E78="",TODAY()-8,$E78),TODAY()-8),0),1,0)),MAX(0,INT((MIN(IF($E78="",TODAY()-8,$E78),TODAY()-8)-($D78+MOD(SISTEM!$F$8-WEEKDAY($D78,2),7)))/7)+1)))</f>
        <v/>
      </c>
      <c r="K78" s="227">
        <f>IF(OR($C78="",$D78="",$G78="",$F78=""),0,$G78*IF($F78="Aylık",MAX(0,(YEAR(MIN(IF($E78="",TODAY()-15,$E78),TODAY()-15))-YEAR($D78))*12+MONTH(MIN(IF($E78="",TODAY()-15,$E78),TODAY()-15))-MONTH($D78)+IF(MIN(IF($E78="",TODAY()-15,$E78),TODAY()-15)&gt;=EOMONTH(MIN(IF($E78="",TODAY()-15,$E78),TODAY()-15),0),1,0)),MAX(0,INT((MIN(IF($E78="",TODAY()-15,$E78),TODAY()-15)-($D78+MOD(SISTEM!$F$8-WEEKDAY($D78,2),7)))/7)+1)))</f>
        <v/>
      </c>
      <c r="L78" s="227">
        <f>IF(OR($C78="",$D78="",$G78="",$F78=""),0,$G78*IF($F78="Aylık",MAX(0,(YEAR(MIN(IF($E78="",TODAY()-29,$E78),TODAY()-29))-YEAR($D78))*12+MONTH(MIN(IF($E78="",TODAY()-29,$E78),TODAY()-29))-MONTH($D78)+IF(MIN(IF($E78="",TODAY()-29,$E78),TODAY()-29)&gt;=EOMONTH(MIN(IF($E78="",TODAY()-29,$E78),TODAY()-29),0),1,0)),MAX(0,INT((MIN(IF($E78="",TODAY()-29,$E78),TODAY()-29)-($D78+MOD(SISTEM!$F$8-WEEKDAY($D78,2),7)))/7)+1)))</f>
        <v/>
      </c>
      <c r="M78" s="228">
        <f>IF($G78&gt;0,$I78/$G78,0)</f>
        <v/>
      </c>
      <c r="N78" s="113">
        <f>IF($C78="","",IF($B78="TANIMSIZ MÜŞTERİ","TANIMSIZ MÜŞTERİ",IF($F78="","MODEL SEÇİN",IF(OR($D78="",$G78&lt;=0),"EKSİK",IF(AND($E78&lt;&gt;"",$E78&lt;$D78),"TARİH HATASI",IF($H78="Pasif","KAPALI DÖNEM","UYGUN"))))))</f>
        <v/>
      </c>
      <c r="O78" s="229">
        <f>IF(OR($C78="",$D78="",$F78=""),"",IF($F78="Aylık",EOMONTH($D78,0),($D78+MOD(SISTEM!$F$8-WEEKDAY($D78,2),7))))</f>
        <v/>
      </c>
      <c r="P78" s="109" t="n"/>
      <c r="Q78" s="6" t="n"/>
      <c r="R78" s="6" t="n"/>
      <c r="S78" s="3">
        <f>IF($B78="","",$B78&amp;"|"&amp;COUNTIFS($B$7:$B78,$B78))</f>
        <v/>
      </c>
    </row>
    <row r="79">
      <c r="A79" s="6" t="n"/>
      <c r="B79" s="113">
        <f>IF($C79="","",IFERROR(INDEX(MUSTERILER!$B$7:$B$106,MATCH($C79,MUSTERILER!$C$7:$C$106,0)),IFERROR(INDEX(MUSTERILER!$B$7:$B$106,MATCH($C79,MUSTERILER!$B$7:$B$106,0)),IFERROR(INDEX(MUSTERILER!$B$7:$B$106,MATCH($C79&amp;"*",MUSTERILER!$C$7:$C$106,0)),"TANIMSIZ MÜŞTERİ"))))</f>
        <v/>
      </c>
      <c r="C79" s="109" t="n"/>
      <c r="D79" s="225" t="n"/>
      <c r="E79" s="225" t="n"/>
      <c r="F79" s="108" t="n"/>
      <c r="G79" s="226" t="n"/>
      <c r="H79" s="108" t="n"/>
      <c r="I79" s="227">
        <f>IF(OR($C79="",$D79="",$G79="",$F79=""),0,$G79*IF($F79="Aylık",MAX(0,(YEAR(MIN(IF($E79="",TODAY(),$E79),TODAY()))-YEAR($D79))*12+MONTH(MIN(IF($E79="",TODAY(),$E79),TODAY()))-MONTH($D79)+IF(MIN(IF($E79="",TODAY(),$E79),TODAY())&gt;=EOMONTH(MIN(IF($E79="",TODAY(),$E79),TODAY()),0),1,0)),MAX(0,INT((MIN(IF($E79="",TODAY(),$E79),TODAY())-($D79+MOD(SISTEM!$F$8-WEEKDAY($D79,2),7)))/7)+1)))</f>
        <v/>
      </c>
      <c r="J79" s="227">
        <f>IF(OR($C79="",$D79="",$G79="",$F79=""),0,$G79*IF($F79="Aylık",MAX(0,(YEAR(MIN(IF($E79="",TODAY()-8,$E79),TODAY()-8))-YEAR($D79))*12+MONTH(MIN(IF($E79="",TODAY()-8,$E79),TODAY()-8))-MONTH($D79)+IF(MIN(IF($E79="",TODAY()-8,$E79),TODAY()-8)&gt;=EOMONTH(MIN(IF($E79="",TODAY()-8,$E79),TODAY()-8),0),1,0)),MAX(0,INT((MIN(IF($E79="",TODAY()-8,$E79),TODAY()-8)-($D79+MOD(SISTEM!$F$8-WEEKDAY($D79,2),7)))/7)+1)))</f>
        <v/>
      </c>
      <c r="K79" s="227">
        <f>IF(OR($C79="",$D79="",$G79="",$F79=""),0,$G79*IF($F79="Aylık",MAX(0,(YEAR(MIN(IF($E79="",TODAY()-15,$E79),TODAY()-15))-YEAR($D79))*12+MONTH(MIN(IF($E79="",TODAY()-15,$E79),TODAY()-15))-MONTH($D79)+IF(MIN(IF($E79="",TODAY()-15,$E79),TODAY()-15)&gt;=EOMONTH(MIN(IF($E79="",TODAY()-15,$E79),TODAY()-15),0),1,0)),MAX(0,INT((MIN(IF($E79="",TODAY()-15,$E79),TODAY()-15)-($D79+MOD(SISTEM!$F$8-WEEKDAY($D79,2),7)))/7)+1)))</f>
        <v/>
      </c>
      <c r="L79" s="227">
        <f>IF(OR($C79="",$D79="",$G79="",$F79=""),0,$G79*IF($F79="Aylık",MAX(0,(YEAR(MIN(IF($E79="",TODAY()-29,$E79),TODAY()-29))-YEAR($D79))*12+MONTH(MIN(IF($E79="",TODAY()-29,$E79),TODAY()-29))-MONTH($D79)+IF(MIN(IF($E79="",TODAY()-29,$E79),TODAY()-29)&gt;=EOMONTH(MIN(IF($E79="",TODAY()-29,$E79),TODAY()-29),0),1,0)),MAX(0,INT((MIN(IF($E79="",TODAY()-29,$E79),TODAY()-29)-($D79+MOD(SISTEM!$F$8-WEEKDAY($D79,2),7)))/7)+1)))</f>
        <v/>
      </c>
      <c r="M79" s="228">
        <f>IF($G79&gt;0,$I79/$G79,0)</f>
        <v/>
      </c>
      <c r="N79" s="113">
        <f>IF($C79="","",IF($B79="TANIMSIZ MÜŞTERİ","TANIMSIZ MÜŞTERİ",IF($F79="","MODEL SEÇİN",IF(OR($D79="",$G79&lt;=0),"EKSİK",IF(AND($E79&lt;&gt;"",$E79&lt;$D79),"TARİH HATASI",IF($H79="Pasif","KAPALI DÖNEM","UYGUN"))))))</f>
        <v/>
      </c>
      <c r="O79" s="229">
        <f>IF(OR($C79="",$D79="",$F79=""),"",IF($F79="Aylık",EOMONTH($D79,0),($D79+MOD(SISTEM!$F$8-WEEKDAY($D79,2),7))))</f>
        <v/>
      </c>
      <c r="P79" s="109" t="n"/>
      <c r="Q79" s="6" t="n"/>
      <c r="R79" s="6" t="n"/>
      <c r="S79" s="3">
        <f>IF($B79="","",$B79&amp;"|"&amp;COUNTIFS($B$7:$B79,$B79))</f>
        <v/>
      </c>
    </row>
    <row r="80">
      <c r="A80" s="6" t="n"/>
      <c r="B80" s="113">
        <f>IF($C80="","",IFERROR(INDEX(MUSTERILER!$B$7:$B$106,MATCH($C80,MUSTERILER!$C$7:$C$106,0)),IFERROR(INDEX(MUSTERILER!$B$7:$B$106,MATCH($C80,MUSTERILER!$B$7:$B$106,0)),IFERROR(INDEX(MUSTERILER!$B$7:$B$106,MATCH($C80&amp;"*",MUSTERILER!$C$7:$C$106,0)),"TANIMSIZ MÜŞTERİ"))))</f>
        <v/>
      </c>
      <c r="C80" s="109" t="n"/>
      <c r="D80" s="225" t="n"/>
      <c r="E80" s="225" t="n"/>
      <c r="F80" s="108" t="n"/>
      <c r="G80" s="226" t="n"/>
      <c r="H80" s="108" t="n"/>
      <c r="I80" s="227">
        <f>IF(OR($C80="",$D80="",$G80="",$F80=""),0,$G80*IF($F80="Aylık",MAX(0,(YEAR(MIN(IF($E80="",TODAY(),$E80),TODAY()))-YEAR($D80))*12+MONTH(MIN(IF($E80="",TODAY(),$E80),TODAY()))-MONTH($D80)+IF(MIN(IF($E80="",TODAY(),$E80),TODAY())&gt;=EOMONTH(MIN(IF($E80="",TODAY(),$E80),TODAY()),0),1,0)),MAX(0,INT((MIN(IF($E80="",TODAY(),$E80),TODAY())-($D80+MOD(SISTEM!$F$8-WEEKDAY($D80,2),7)))/7)+1)))</f>
        <v/>
      </c>
      <c r="J80" s="227">
        <f>IF(OR($C80="",$D80="",$G80="",$F80=""),0,$G80*IF($F80="Aylık",MAX(0,(YEAR(MIN(IF($E80="",TODAY()-8,$E80),TODAY()-8))-YEAR($D80))*12+MONTH(MIN(IF($E80="",TODAY()-8,$E80),TODAY()-8))-MONTH($D80)+IF(MIN(IF($E80="",TODAY()-8,$E80),TODAY()-8)&gt;=EOMONTH(MIN(IF($E80="",TODAY()-8,$E80),TODAY()-8),0),1,0)),MAX(0,INT((MIN(IF($E80="",TODAY()-8,$E80),TODAY()-8)-($D80+MOD(SISTEM!$F$8-WEEKDAY($D80,2),7)))/7)+1)))</f>
        <v/>
      </c>
      <c r="K80" s="227">
        <f>IF(OR($C80="",$D80="",$G80="",$F80=""),0,$G80*IF($F80="Aylık",MAX(0,(YEAR(MIN(IF($E80="",TODAY()-15,$E80),TODAY()-15))-YEAR($D80))*12+MONTH(MIN(IF($E80="",TODAY()-15,$E80),TODAY()-15))-MONTH($D80)+IF(MIN(IF($E80="",TODAY()-15,$E80),TODAY()-15)&gt;=EOMONTH(MIN(IF($E80="",TODAY()-15,$E80),TODAY()-15),0),1,0)),MAX(0,INT((MIN(IF($E80="",TODAY()-15,$E80),TODAY()-15)-($D80+MOD(SISTEM!$F$8-WEEKDAY($D80,2),7)))/7)+1)))</f>
        <v/>
      </c>
      <c r="L80" s="227">
        <f>IF(OR($C80="",$D80="",$G80="",$F80=""),0,$G80*IF($F80="Aylık",MAX(0,(YEAR(MIN(IF($E80="",TODAY()-29,$E80),TODAY()-29))-YEAR($D80))*12+MONTH(MIN(IF($E80="",TODAY()-29,$E80),TODAY()-29))-MONTH($D80)+IF(MIN(IF($E80="",TODAY()-29,$E80),TODAY()-29)&gt;=EOMONTH(MIN(IF($E80="",TODAY()-29,$E80),TODAY()-29),0),1,0)),MAX(0,INT((MIN(IF($E80="",TODAY()-29,$E80),TODAY()-29)-($D80+MOD(SISTEM!$F$8-WEEKDAY($D80,2),7)))/7)+1)))</f>
        <v/>
      </c>
      <c r="M80" s="228">
        <f>IF($G80&gt;0,$I80/$G80,0)</f>
        <v/>
      </c>
      <c r="N80" s="113">
        <f>IF($C80="","",IF($B80="TANIMSIZ MÜŞTERİ","TANIMSIZ MÜŞTERİ",IF($F80="","MODEL SEÇİN",IF(OR($D80="",$G80&lt;=0),"EKSİK",IF(AND($E80&lt;&gt;"",$E80&lt;$D80),"TARİH HATASI",IF($H80="Pasif","KAPALI DÖNEM","UYGUN"))))))</f>
        <v/>
      </c>
      <c r="O80" s="229">
        <f>IF(OR($C80="",$D80="",$F80=""),"",IF($F80="Aylık",EOMONTH($D80,0),($D80+MOD(SISTEM!$F$8-WEEKDAY($D80,2),7))))</f>
        <v/>
      </c>
      <c r="P80" s="109" t="n"/>
      <c r="Q80" s="6" t="n"/>
      <c r="R80" s="6" t="n"/>
      <c r="S80" s="3">
        <f>IF($B80="","",$B80&amp;"|"&amp;COUNTIFS($B$7:$B80,$B80))</f>
        <v/>
      </c>
    </row>
    <row r="81">
      <c r="A81" s="6" t="n"/>
      <c r="B81" s="113">
        <f>IF($C81="","",IFERROR(INDEX(MUSTERILER!$B$7:$B$106,MATCH($C81,MUSTERILER!$C$7:$C$106,0)),IFERROR(INDEX(MUSTERILER!$B$7:$B$106,MATCH($C81,MUSTERILER!$B$7:$B$106,0)),IFERROR(INDEX(MUSTERILER!$B$7:$B$106,MATCH($C81&amp;"*",MUSTERILER!$C$7:$C$106,0)),"TANIMSIZ MÜŞTERİ"))))</f>
        <v/>
      </c>
      <c r="C81" s="109" t="n"/>
      <c r="D81" s="225" t="n"/>
      <c r="E81" s="225" t="n"/>
      <c r="F81" s="108" t="n"/>
      <c r="G81" s="226" t="n"/>
      <c r="H81" s="108" t="n"/>
      <c r="I81" s="227">
        <f>IF(OR($C81="",$D81="",$G81="",$F81=""),0,$G81*IF($F81="Aylık",MAX(0,(YEAR(MIN(IF($E81="",TODAY(),$E81),TODAY()))-YEAR($D81))*12+MONTH(MIN(IF($E81="",TODAY(),$E81),TODAY()))-MONTH($D81)+IF(MIN(IF($E81="",TODAY(),$E81),TODAY())&gt;=EOMONTH(MIN(IF($E81="",TODAY(),$E81),TODAY()),0),1,0)),MAX(0,INT((MIN(IF($E81="",TODAY(),$E81),TODAY())-($D81+MOD(SISTEM!$F$8-WEEKDAY($D81,2),7)))/7)+1)))</f>
        <v/>
      </c>
      <c r="J81" s="227">
        <f>IF(OR($C81="",$D81="",$G81="",$F81=""),0,$G81*IF($F81="Aylık",MAX(0,(YEAR(MIN(IF($E81="",TODAY()-8,$E81),TODAY()-8))-YEAR($D81))*12+MONTH(MIN(IF($E81="",TODAY()-8,$E81),TODAY()-8))-MONTH($D81)+IF(MIN(IF($E81="",TODAY()-8,$E81),TODAY()-8)&gt;=EOMONTH(MIN(IF($E81="",TODAY()-8,$E81),TODAY()-8),0),1,0)),MAX(0,INT((MIN(IF($E81="",TODAY()-8,$E81),TODAY()-8)-($D81+MOD(SISTEM!$F$8-WEEKDAY($D81,2),7)))/7)+1)))</f>
        <v/>
      </c>
      <c r="K81" s="227">
        <f>IF(OR($C81="",$D81="",$G81="",$F81=""),0,$G81*IF($F81="Aylık",MAX(0,(YEAR(MIN(IF($E81="",TODAY()-15,$E81),TODAY()-15))-YEAR($D81))*12+MONTH(MIN(IF($E81="",TODAY()-15,$E81),TODAY()-15))-MONTH($D81)+IF(MIN(IF($E81="",TODAY()-15,$E81),TODAY()-15)&gt;=EOMONTH(MIN(IF($E81="",TODAY()-15,$E81),TODAY()-15),0),1,0)),MAX(0,INT((MIN(IF($E81="",TODAY()-15,$E81),TODAY()-15)-($D81+MOD(SISTEM!$F$8-WEEKDAY($D81,2),7)))/7)+1)))</f>
        <v/>
      </c>
      <c r="L81" s="227">
        <f>IF(OR($C81="",$D81="",$G81="",$F81=""),0,$G81*IF($F81="Aylık",MAX(0,(YEAR(MIN(IF($E81="",TODAY()-29,$E81),TODAY()-29))-YEAR($D81))*12+MONTH(MIN(IF($E81="",TODAY()-29,$E81),TODAY()-29))-MONTH($D81)+IF(MIN(IF($E81="",TODAY()-29,$E81),TODAY()-29)&gt;=EOMONTH(MIN(IF($E81="",TODAY()-29,$E81),TODAY()-29),0),1,0)),MAX(0,INT((MIN(IF($E81="",TODAY()-29,$E81),TODAY()-29)-($D81+MOD(SISTEM!$F$8-WEEKDAY($D81,2),7)))/7)+1)))</f>
        <v/>
      </c>
      <c r="M81" s="228">
        <f>IF($G81&gt;0,$I81/$G81,0)</f>
        <v/>
      </c>
      <c r="N81" s="113">
        <f>IF($C81="","",IF($B81="TANIMSIZ MÜŞTERİ","TANIMSIZ MÜŞTERİ",IF($F81="","MODEL SEÇİN",IF(OR($D81="",$G81&lt;=0),"EKSİK",IF(AND($E81&lt;&gt;"",$E81&lt;$D81),"TARİH HATASI",IF($H81="Pasif","KAPALI DÖNEM","UYGUN"))))))</f>
        <v/>
      </c>
      <c r="O81" s="229">
        <f>IF(OR($C81="",$D81="",$F81=""),"",IF($F81="Aylık",EOMONTH($D81,0),($D81+MOD(SISTEM!$F$8-WEEKDAY($D81,2),7))))</f>
        <v/>
      </c>
      <c r="P81" s="109" t="n"/>
      <c r="Q81" s="6" t="n"/>
      <c r="R81" s="6" t="n"/>
      <c r="S81" s="3">
        <f>IF($B81="","",$B81&amp;"|"&amp;COUNTIFS($B$7:$B81,$B81))</f>
        <v/>
      </c>
    </row>
    <row r="82">
      <c r="A82" s="6" t="n"/>
      <c r="B82" s="113">
        <f>IF($C82="","",IFERROR(INDEX(MUSTERILER!$B$7:$B$106,MATCH($C82,MUSTERILER!$C$7:$C$106,0)),IFERROR(INDEX(MUSTERILER!$B$7:$B$106,MATCH($C82,MUSTERILER!$B$7:$B$106,0)),IFERROR(INDEX(MUSTERILER!$B$7:$B$106,MATCH($C82&amp;"*",MUSTERILER!$C$7:$C$106,0)),"TANIMSIZ MÜŞTERİ"))))</f>
        <v/>
      </c>
      <c r="C82" s="109" t="n"/>
      <c r="D82" s="225" t="n"/>
      <c r="E82" s="225" t="n"/>
      <c r="F82" s="108" t="n"/>
      <c r="G82" s="226" t="n"/>
      <c r="H82" s="108" t="n"/>
      <c r="I82" s="227">
        <f>IF(OR($C82="",$D82="",$G82="",$F82=""),0,$G82*IF($F82="Aylık",MAX(0,(YEAR(MIN(IF($E82="",TODAY(),$E82),TODAY()))-YEAR($D82))*12+MONTH(MIN(IF($E82="",TODAY(),$E82),TODAY()))-MONTH($D82)+IF(MIN(IF($E82="",TODAY(),$E82),TODAY())&gt;=EOMONTH(MIN(IF($E82="",TODAY(),$E82),TODAY()),0),1,0)),MAX(0,INT((MIN(IF($E82="",TODAY(),$E82),TODAY())-($D82+MOD(SISTEM!$F$8-WEEKDAY($D82,2),7)))/7)+1)))</f>
        <v/>
      </c>
      <c r="J82" s="227">
        <f>IF(OR($C82="",$D82="",$G82="",$F82=""),0,$G82*IF($F82="Aylık",MAX(0,(YEAR(MIN(IF($E82="",TODAY()-8,$E82),TODAY()-8))-YEAR($D82))*12+MONTH(MIN(IF($E82="",TODAY()-8,$E82),TODAY()-8))-MONTH($D82)+IF(MIN(IF($E82="",TODAY()-8,$E82),TODAY()-8)&gt;=EOMONTH(MIN(IF($E82="",TODAY()-8,$E82),TODAY()-8),0),1,0)),MAX(0,INT((MIN(IF($E82="",TODAY()-8,$E82),TODAY()-8)-($D82+MOD(SISTEM!$F$8-WEEKDAY($D82,2),7)))/7)+1)))</f>
        <v/>
      </c>
      <c r="K82" s="227">
        <f>IF(OR($C82="",$D82="",$G82="",$F82=""),0,$G82*IF($F82="Aylık",MAX(0,(YEAR(MIN(IF($E82="",TODAY()-15,$E82),TODAY()-15))-YEAR($D82))*12+MONTH(MIN(IF($E82="",TODAY()-15,$E82),TODAY()-15))-MONTH($D82)+IF(MIN(IF($E82="",TODAY()-15,$E82),TODAY()-15)&gt;=EOMONTH(MIN(IF($E82="",TODAY()-15,$E82),TODAY()-15),0),1,0)),MAX(0,INT((MIN(IF($E82="",TODAY()-15,$E82),TODAY()-15)-($D82+MOD(SISTEM!$F$8-WEEKDAY($D82,2),7)))/7)+1)))</f>
        <v/>
      </c>
      <c r="L82" s="227">
        <f>IF(OR($C82="",$D82="",$G82="",$F82=""),0,$G82*IF($F82="Aylık",MAX(0,(YEAR(MIN(IF($E82="",TODAY()-29,$E82),TODAY()-29))-YEAR($D82))*12+MONTH(MIN(IF($E82="",TODAY()-29,$E82),TODAY()-29))-MONTH($D82)+IF(MIN(IF($E82="",TODAY()-29,$E82),TODAY()-29)&gt;=EOMONTH(MIN(IF($E82="",TODAY()-29,$E82),TODAY()-29),0),1,0)),MAX(0,INT((MIN(IF($E82="",TODAY()-29,$E82),TODAY()-29)-($D82+MOD(SISTEM!$F$8-WEEKDAY($D82,2),7)))/7)+1)))</f>
        <v/>
      </c>
      <c r="M82" s="228">
        <f>IF($G82&gt;0,$I82/$G82,0)</f>
        <v/>
      </c>
      <c r="N82" s="113">
        <f>IF($C82="","",IF($B82="TANIMSIZ MÜŞTERİ","TANIMSIZ MÜŞTERİ",IF($F82="","MODEL SEÇİN",IF(OR($D82="",$G82&lt;=0),"EKSİK",IF(AND($E82&lt;&gt;"",$E82&lt;$D82),"TARİH HATASI",IF($H82="Pasif","KAPALI DÖNEM","UYGUN"))))))</f>
        <v/>
      </c>
      <c r="O82" s="229">
        <f>IF(OR($C82="",$D82="",$F82=""),"",IF($F82="Aylık",EOMONTH($D82,0),($D82+MOD(SISTEM!$F$8-WEEKDAY($D82,2),7))))</f>
        <v/>
      </c>
      <c r="P82" s="109" t="n"/>
      <c r="Q82" s="6" t="n"/>
      <c r="R82" s="6" t="n"/>
      <c r="S82" s="3">
        <f>IF($B82="","",$B82&amp;"|"&amp;COUNTIFS($B$7:$B82,$B82))</f>
        <v/>
      </c>
    </row>
    <row r="83">
      <c r="A83" s="6" t="n"/>
      <c r="B83" s="113">
        <f>IF($C83="","",IFERROR(INDEX(MUSTERILER!$B$7:$B$106,MATCH($C83,MUSTERILER!$C$7:$C$106,0)),IFERROR(INDEX(MUSTERILER!$B$7:$B$106,MATCH($C83,MUSTERILER!$B$7:$B$106,0)),IFERROR(INDEX(MUSTERILER!$B$7:$B$106,MATCH($C83&amp;"*",MUSTERILER!$C$7:$C$106,0)),"TANIMSIZ MÜŞTERİ"))))</f>
        <v/>
      </c>
      <c r="C83" s="109" t="n"/>
      <c r="D83" s="225" t="n"/>
      <c r="E83" s="225" t="n"/>
      <c r="F83" s="108" t="n"/>
      <c r="G83" s="226" t="n"/>
      <c r="H83" s="108" t="n"/>
      <c r="I83" s="227">
        <f>IF(OR($C83="",$D83="",$G83="",$F83=""),0,$G83*IF($F83="Aylık",MAX(0,(YEAR(MIN(IF($E83="",TODAY(),$E83),TODAY()))-YEAR($D83))*12+MONTH(MIN(IF($E83="",TODAY(),$E83),TODAY()))-MONTH($D83)+IF(MIN(IF($E83="",TODAY(),$E83),TODAY())&gt;=EOMONTH(MIN(IF($E83="",TODAY(),$E83),TODAY()),0),1,0)),MAX(0,INT((MIN(IF($E83="",TODAY(),$E83),TODAY())-($D83+MOD(SISTEM!$F$8-WEEKDAY($D83,2),7)))/7)+1)))</f>
        <v/>
      </c>
      <c r="J83" s="227">
        <f>IF(OR($C83="",$D83="",$G83="",$F83=""),0,$G83*IF($F83="Aylık",MAX(0,(YEAR(MIN(IF($E83="",TODAY()-8,$E83),TODAY()-8))-YEAR($D83))*12+MONTH(MIN(IF($E83="",TODAY()-8,$E83),TODAY()-8))-MONTH($D83)+IF(MIN(IF($E83="",TODAY()-8,$E83),TODAY()-8)&gt;=EOMONTH(MIN(IF($E83="",TODAY()-8,$E83),TODAY()-8),0),1,0)),MAX(0,INT((MIN(IF($E83="",TODAY()-8,$E83),TODAY()-8)-($D83+MOD(SISTEM!$F$8-WEEKDAY($D83,2),7)))/7)+1)))</f>
        <v/>
      </c>
      <c r="K83" s="227">
        <f>IF(OR($C83="",$D83="",$G83="",$F83=""),0,$G83*IF($F83="Aylık",MAX(0,(YEAR(MIN(IF($E83="",TODAY()-15,$E83),TODAY()-15))-YEAR($D83))*12+MONTH(MIN(IF($E83="",TODAY()-15,$E83),TODAY()-15))-MONTH($D83)+IF(MIN(IF($E83="",TODAY()-15,$E83),TODAY()-15)&gt;=EOMONTH(MIN(IF($E83="",TODAY()-15,$E83),TODAY()-15),0),1,0)),MAX(0,INT((MIN(IF($E83="",TODAY()-15,$E83),TODAY()-15)-($D83+MOD(SISTEM!$F$8-WEEKDAY($D83,2),7)))/7)+1)))</f>
        <v/>
      </c>
      <c r="L83" s="227">
        <f>IF(OR($C83="",$D83="",$G83="",$F83=""),0,$G83*IF($F83="Aylık",MAX(0,(YEAR(MIN(IF($E83="",TODAY()-29,$E83),TODAY()-29))-YEAR($D83))*12+MONTH(MIN(IF($E83="",TODAY()-29,$E83),TODAY()-29))-MONTH($D83)+IF(MIN(IF($E83="",TODAY()-29,$E83),TODAY()-29)&gt;=EOMONTH(MIN(IF($E83="",TODAY()-29,$E83),TODAY()-29),0),1,0)),MAX(0,INT((MIN(IF($E83="",TODAY()-29,$E83),TODAY()-29)-($D83+MOD(SISTEM!$F$8-WEEKDAY($D83,2),7)))/7)+1)))</f>
        <v/>
      </c>
      <c r="M83" s="228">
        <f>IF($G83&gt;0,$I83/$G83,0)</f>
        <v/>
      </c>
      <c r="N83" s="113">
        <f>IF($C83="","",IF($B83="TANIMSIZ MÜŞTERİ","TANIMSIZ MÜŞTERİ",IF($F83="","MODEL SEÇİN",IF(OR($D83="",$G83&lt;=0),"EKSİK",IF(AND($E83&lt;&gt;"",$E83&lt;$D83),"TARİH HATASI",IF($H83="Pasif","KAPALI DÖNEM","UYGUN"))))))</f>
        <v/>
      </c>
      <c r="O83" s="229">
        <f>IF(OR($C83="",$D83="",$F83=""),"",IF($F83="Aylık",EOMONTH($D83,0),($D83+MOD(SISTEM!$F$8-WEEKDAY($D83,2),7))))</f>
        <v/>
      </c>
      <c r="P83" s="109" t="n"/>
      <c r="Q83" s="6" t="n"/>
      <c r="R83" s="6" t="n"/>
      <c r="S83" s="3">
        <f>IF($B83="","",$B83&amp;"|"&amp;COUNTIFS($B$7:$B83,$B83))</f>
        <v/>
      </c>
    </row>
    <row r="84">
      <c r="A84" s="6" t="n"/>
      <c r="B84" s="113">
        <f>IF($C84="","",IFERROR(INDEX(MUSTERILER!$B$7:$B$106,MATCH($C84,MUSTERILER!$C$7:$C$106,0)),IFERROR(INDEX(MUSTERILER!$B$7:$B$106,MATCH($C84,MUSTERILER!$B$7:$B$106,0)),IFERROR(INDEX(MUSTERILER!$B$7:$B$106,MATCH($C84&amp;"*",MUSTERILER!$C$7:$C$106,0)),"TANIMSIZ MÜŞTERİ"))))</f>
        <v/>
      </c>
      <c r="C84" s="109" t="n"/>
      <c r="D84" s="225" t="n"/>
      <c r="E84" s="225" t="n"/>
      <c r="F84" s="108" t="n"/>
      <c r="G84" s="226" t="n"/>
      <c r="H84" s="108" t="n"/>
      <c r="I84" s="227">
        <f>IF(OR($C84="",$D84="",$G84="",$F84=""),0,$G84*IF($F84="Aylık",MAX(0,(YEAR(MIN(IF($E84="",TODAY(),$E84),TODAY()))-YEAR($D84))*12+MONTH(MIN(IF($E84="",TODAY(),$E84),TODAY()))-MONTH($D84)+IF(MIN(IF($E84="",TODAY(),$E84),TODAY())&gt;=EOMONTH(MIN(IF($E84="",TODAY(),$E84),TODAY()),0),1,0)),MAX(0,INT((MIN(IF($E84="",TODAY(),$E84),TODAY())-($D84+MOD(SISTEM!$F$8-WEEKDAY($D84,2),7)))/7)+1)))</f>
        <v/>
      </c>
      <c r="J84" s="227">
        <f>IF(OR($C84="",$D84="",$G84="",$F84=""),0,$G84*IF($F84="Aylık",MAX(0,(YEAR(MIN(IF($E84="",TODAY()-8,$E84),TODAY()-8))-YEAR($D84))*12+MONTH(MIN(IF($E84="",TODAY()-8,$E84),TODAY()-8))-MONTH($D84)+IF(MIN(IF($E84="",TODAY()-8,$E84),TODAY()-8)&gt;=EOMONTH(MIN(IF($E84="",TODAY()-8,$E84),TODAY()-8),0),1,0)),MAX(0,INT((MIN(IF($E84="",TODAY()-8,$E84),TODAY()-8)-($D84+MOD(SISTEM!$F$8-WEEKDAY($D84,2),7)))/7)+1)))</f>
        <v/>
      </c>
      <c r="K84" s="227">
        <f>IF(OR($C84="",$D84="",$G84="",$F84=""),0,$G84*IF($F84="Aylık",MAX(0,(YEAR(MIN(IF($E84="",TODAY()-15,$E84),TODAY()-15))-YEAR($D84))*12+MONTH(MIN(IF($E84="",TODAY()-15,$E84),TODAY()-15))-MONTH($D84)+IF(MIN(IF($E84="",TODAY()-15,$E84),TODAY()-15)&gt;=EOMONTH(MIN(IF($E84="",TODAY()-15,$E84),TODAY()-15),0),1,0)),MAX(0,INT((MIN(IF($E84="",TODAY()-15,$E84),TODAY()-15)-($D84+MOD(SISTEM!$F$8-WEEKDAY($D84,2),7)))/7)+1)))</f>
        <v/>
      </c>
      <c r="L84" s="227">
        <f>IF(OR($C84="",$D84="",$G84="",$F84=""),0,$G84*IF($F84="Aylık",MAX(0,(YEAR(MIN(IF($E84="",TODAY()-29,$E84),TODAY()-29))-YEAR($D84))*12+MONTH(MIN(IF($E84="",TODAY()-29,$E84),TODAY()-29))-MONTH($D84)+IF(MIN(IF($E84="",TODAY()-29,$E84),TODAY()-29)&gt;=EOMONTH(MIN(IF($E84="",TODAY()-29,$E84),TODAY()-29),0),1,0)),MAX(0,INT((MIN(IF($E84="",TODAY()-29,$E84),TODAY()-29)-($D84+MOD(SISTEM!$F$8-WEEKDAY($D84,2),7)))/7)+1)))</f>
        <v/>
      </c>
      <c r="M84" s="228">
        <f>IF($G84&gt;0,$I84/$G84,0)</f>
        <v/>
      </c>
      <c r="N84" s="113">
        <f>IF($C84="","",IF($B84="TANIMSIZ MÜŞTERİ","TANIMSIZ MÜŞTERİ",IF($F84="","MODEL SEÇİN",IF(OR($D84="",$G84&lt;=0),"EKSİK",IF(AND($E84&lt;&gt;"",$E84&lt;$D84),"TARİH HATASI",IF($H84="Pasif","KAPALI DÖNEM","UYGUN"))))))</f>
        <v/>
      </c>
      <c r="O84" s="229">
        <f>IF(OR($C84="",$D84="",$F84=""),"",IF($F84="Aylık",EOMONTH($D84,0),($D84+MOD(SISTEM!$F$8-WEEKDAY($D84,2),7))))</f>
        <v/>
      </c>
      <c r="P84" s="109" t="n"/>
      <c r="Q84" s="6" t="n"/>
      <c r="R84" s="6" t="n"/>
      <c r="S84" s="3">
        <f>IF($B84="","",$B84&amp;"|"&amp;COUNTIFS($B$7:$B84,$B84))</f>
        <v/>
      </c>
    </row>
    <row r="85">
      <c r="A85" s="6" t="n"/>
      <c r="B85" s="113">
        <f>IF($C85="","",IFERROR(INDEX(MUSTERILER!$B$7:$B$106,MATCH($C85,MUSTERILER!$C$7:$C$106,0)),IFERROR(INDEX(MUSTERILER!$B$7:$B$106,MATCH($C85,MUSTERILER!$B$7:$B$106,0)),IFERROR(INDEX(MUSTERILER!$B$7:$B$106,MATCH($C85&amp;"*",MUSTERILER!$C$7:$C$106,0)),"TANIMSIZ MÜŞTERİ"))))</f>
        <v/>
      </c>
      <c r="C85" s="109" t="n"/>
      <c r="D85" s="225" t="n"/>
      <c r="E85" s="225" t="n"/>
      <c r="F85" s="108" t="n"/>
      <c r="G85" s="226" t="n"/>
      <c r="H85" s="108" t="n"/>
      <c r="I85" s="227">
        <f>IF(OR($C85="",$D85="",$G85="",$F85=""),0,$G85*IF($F85="Aylık",MAX(0,(YEAR(MIN(IF($E85="",TODAY(),$E85),TODAY()))-YEAR($D85))*12+MONTH(MIN(IF($E85="",TODAY(),$E85),TODAY()))-MONTH($D85)+IF(MIN(IF($E85="",TODAY(),$E85),TODAY())&gt;=EOMONTH(MIN(IF($E85="",TODAY(),$E85),TODAY()),0),1,0)),MAX(0,INT((MIN(IF($E85="",TODAY(),$E85),TODAY())-($D85+MOD(SISTEM!$F$8-WEEKDAY($D85,2),7)))/7)+1)))</f>
        <v/>
      </c>
      <c r="J85" s="227">
        <f>IF(OR($C85="",$D85="",$G85="",$F85=""),0,$G85*IF($F85="Aylık",MAX(0,(YEAR(MIN(IF($E85="",TODAY()-8,$E85),TODAY()-8))-YEAR($D85))*12+MONTH(MIN(IF($E85="",TODAY()-8,$E85),TODAY()-8))-MONTH($D85)+IF(MIN(IF($E85="",TODAY()-8,$E85),TODAY()-8)&gt;=EOMONTH(MIN(IF($E85="",TODAY()-8,$E85),TODAY()-8),0),1,0)),MAX(0,INT((MIN(IF($E85="",TODAY()-8,$E85),TODAY()-8)-($D85+MOD(SISTEM!$F$8-WEEKDAY($D85,2),7)))/7)+1)))</f>
        <v/>
      </c>
      <c r="K85" s="227">
        <f>IF(OR($C85="",$D85="",$G85="",$F85=""),0,$G85*IF($F85="Aylık",MAX(0,(YEAR(MIN(IF($E85="",TODAY()-15,$E85),TODAY()-15))-YEAR($D85))*12+MONTH(MIN(IF($E85="",TODAY()-15,$E85),TODAY()-15))-MONTH($D85)+IF(MIN(IF($E85="",TODAY()-15,$E85),TODAY()-15)&gt;=EOMONTH(MIN(IF($E85="",TODAY()-15,$E85),TODAY()-15),0),1,0)),MAX(0,INT((MIN(IF($E85="",TODAY()-15,$E85),TODAY()-15)-($D85+MOD(SISTEM!$F$8-WEEKDAY($D85,2),7)))/7)+1)))</f>
        <v/>
      </c>
      <c r="L85" s="227">
        <f>IF(OR($C85="",$D85="",$G85="",$F85=""),0,$G85*IF($F85="Aylık",MAX(0,(YEAR(MIN(IF($E85="",TODAY()-29,$E85),TODAY()-29))-YEAR($D85))*12+MONTH(MIN(IF($E85="",TODAY()-29,$E85),TODAY()-29))-MONTH($D85)+IF(MIN(IF($E85="",TODAY()-29,$E85),TODAY()-29)&gt;=EOMONTH(MIN(IF($E85="",TODAY()-29,$E85),TODAY()-29),0),1,0)),MAX(0,INT((MIN(IF($E85="",TODAY()-29,$E85),TODAY()-29)-($D85+MOD(SISTEM!$F$8-WEEKDAY($D85,2),7)))/7)+1)))</f>
        <v/>
      </c>
      <c r="M85" s="228">
        <f>IF($G85&gt;0,$I85/$G85,0)</f>
        <v/>
      </c>
      <c r="N85" s="113">
        <f>IF($C85="","",IF($B85="TANIMSIZ MÜŞTERİ","TANIMSIZ MÜŞTERİ",IF($F85="","MODEL SEÇİN",IF(OR($D85="",$G85&lt;=0),"EKSİK",IF(AND($E85&lt;&gt;"",$E85&lt;$D85),"TARİH HATASI",IF($H85="Pasif","KAPALI DÖNEM","UYGUN"))))))</f>
        <v/>
      </c>
      <c r="O85" s="229">
        <f>IF(OR($C85="",$D85="",$F85=""),"",IF($F85="Aylık",EOMONTH($D85,0),($D85+MOD(SISTEM!$F$8-WEEKDAY($D85,2),7))))</f>
        <v/>
      </c>
      <c r="P85" s="109" t="n"/>
      <c r="Q85" s="6" t="n"/>
      <c r="R85" s="6" t="n"/>
      <c r="S85" s="3">
        <f>IF($B85="","",$B85&amp;"|"&amp;COUNTIFS($B$7:$B85,$B85))</f>
        <v/>
      </c>
    </row>
    <row r="86">
      <c r="A86" s="6" t="n"/>
      <c r="B86" s="113">
        <f>IF($C86="","",IFERROR(INDEX(MUSTERILER!$B$7:$B$106,MATCH($C86,MUSTERILER!$C$7:$C$106,0)),IFERROR(INDEX(MUSTERILER!$B$7:$B$106,MATCH($C86,MUSTERILER!$B$7:$B$106,0)),IFERROR(INDEX(MUSTERILER!$B$7:$B$106,MATCH($C86&amp;"*",MUSTERILER!$C$7:$C$106,0)),"TANIMSIZ MÜŞTERİ"))))</f>
        <v/>
      </c>
      <c r="C86" s="109" t="n"/>
      <c r="D86" s="225" t="n"/>
      <c r="E86" s="225" t="n"/>
      <c r="F86" s="108" t="n"/>
      <c r="G86" s="226" t="n"/>
      <c r="H86" s="108" t="n"/>
      <c r="I86" s="227">
        <f>IF(OR($C86="",$D86="",$G86="",$F86=""),0,$G86*IF($F86="Aylık",MAX(0,(YEAR(MIN(IF($E86="",TODAY(),$E86),TODAY()))-YEAR($D86))*12+MONTH(MIN(IF($E86="",TODAY(),$E86),TODAY()))-MONTH($D86)+IF(MIN(IF($E86="",TODAY(),$E86),TODAY())&gt;=EOMONTH(MIN(IF($E86="",TODAY(),$E86),TODAY()),0),1,0)),MAX(0,INT((MIN(IF($E86="",TODAY(),$E86),TODAY())-($D86+MOD(SISTEM!$F$8-WEEKDAY($D86,2),7)))/7)+1)))</f>
        <v/>
      </c>
      <c r="J86" s="227">
        <f>IF(OR($C86="",$D86="",$G86="",$F86=""),0,$G86*IF($F86="Aylık",MAX(0,(YEAR(MIN(IF($E86="",TODAY()-8,$E86),TODAY()-8))-YEAR($D86))*12+MONTH(MIN(IF($E86="",TODAY()-8,$E86),TODAY()-8))-MONTH($D86)+IF(MIN(IF($E86="",TODAY()-8,$E86),TODAY()-8)&gt;=EOMONTH(MIN(IF($E86="",TODAY()-8,$E86),TODAY()-8),0),1,0)),MAX(0,INT((MIN(IF($E86="",TODAY()-8,$E86),TODAY()-8)-($D86+MOD(SISTEM!$F$8-WEEKDAY($D86,2),7)))/7)+1)))</f>
        <v/>
      </c>
      <c r="K86" s="227">
        <f>IF(OR($C86="",$D86="",$G86="",$F86=""),0,$G86*IF($F86="Aylık",MAX(0,(YEAR(MIN(IF($E86="",TODAY()-15,$E86),TODAY()-15))-YEAR($D86))*12+MONTH(MIN(IF($E86="",TODAY()-15,$E86),TODAY()-15))-MONTH($D86)+IF(MIN(IF($E86="",TODAY()-15,$E86),TODAY()-15)&gt;=EOMONTH(MIN(IF($E86="",TODAY()-15,$E86),TODAY()-15),0),1,0)),MAX(0,INT((MIN(IF($E86="",TODAY()-15,$E86),TODAY()-15)-($D86+MOD(SISTEM!$F$8-WEEKDAY($D86,2),7)))/7)+1)))</f>
        <v/>
      </c>
      <c r="L86" s="227">
        <f>IF(OR($C86="",$D86="",$G86="",$F86=""),0,$G86*IF($F86="Aylık",MAX(0,(YEAR(MIN(IF($E86="",TODAY()-29,$E86),TODAY()-29))-YEAR($D86))*12+MONTH(MIN(IF($E86="",TODAY()-29,$E86),TODAY()-29))-MONTH($D86)+IF(MIN(IF($E86="",TODAY()-29,$E86),TODAY()-29)&gt;=EOMONTH(MIN(IF($E86="",TODAY()-29,$E86),TODAY()-29),0),1,0)),MAX(0,INT((MIN(IF($E86="",TODAY()-29,$E86),TODAY()-29)-($D86+MOD(SISTEM!$F$8-WEEKDAY($D86,2),7)))/7)+1)))</f>
        <v/>
      </c>
      <c r="M86" s="228">
        <f>IF($G86&gt;0,$I86/$G86,0)</f>
        <v/>
      </c>
      <c r="N86" s="113">
        <f>IF($C86="","",IF($B86="TANIMSIZ MÜŞTERİ","TANIMSIZ MÜŞTERİ",IF($F86="","MODEL SEÇİN",IF(OR($D86="",$G86&lt;=0),"EKSİK",IF(AND($E86&lt;&gt;"",$E86&lt;$D86),"TARİH HATASI",IF($H86="Pasif","KAPALI DÖNEM","UYGUN"))))))</f>
        <v/>
      </c>
      <c r="O86" s="229">
        <f>IF(OR($C86="",$D86="",$F86=""),"",IF($F86="Aylık",EOMONTH($D86,0),($D86+MOD(SISTEM!$F$8-WEEKDAY($D86,2),7))))</f>
        <v/>
      </c>
      <c r="P86" s="109" t="n"/>
      <c r="Q86" s="6" t="n"/>
      <c r="R86" s="6" t="n"/>
      <c r="S86" s="3">
        <f>IF($B86="","",$B86&amp;"|"&amp;COUNTIFS($B$7:$B86,$B86))</f>
        <v/>
      </c>
    </row>
    <row r="87">
      <c r="A87" s="6" t="n"/>
      <c r="B87" s="113">
        <f>IF($C87="","",IFERROR(INDEX(MUSTERILER!$B$7:$B$106,MATCH($C87,MUSTERILER!$C$7:$C$106,0)),IFERROR(INDEX(MUSTERILER!$B$7:$B$106,MATCH($C87,MUSTERILER!$B$7:$B$106,0)),IFERROR(INDEX(MUSTERILER!$B$7:$B$106,MATCH($C87&amp;"*",MUSTERILER!$C$7:$C$106,0)),"TANIMSIZ MÜŞTERİ"))))</f>
        <v/>
      </c>
      <c r="C87" s="109" t="n"/>
      <c r="D87" s="225" t="n"/>
      <c r="E87" s="225" t="n"/>
      <c r="F87" s="108" t="n"/>
      <c r="G87" s="226" t="n"/>
      <c r="H87" s="108" t="n"/>
      <c r="I87" s="227">
        <f>IF(OR($C87="",$D87="",$G87="",$F87=""),0,$G87*IF($F87="Aylık",MAX(0,(YEAR(MIN(IF($E87="",TODAY(),$E87),TODAY()))-YEAR($D87))*12+MONTH(MIN(IF($E87="",TODAY(),$E87),TODAY()))-MONTH($D87)+IF(MIN(IF($E87="",TODAY(),$E87),TODAY())&gt;=EOMONTH(MIN(IF($E87="",TODAY(),$E87),TODAY()),0),1,0)),MAX(0,INT((MIN(IF($E87="",TODAY(),$E87),TODAY())-($D87+MOD(SISTEM!$F$8-WEEKDAY($D87,2),7)))/7)+1)))</f>
        <v/>
      </c>
      <c r="J87" s="227">
        <f>IF(OR($C87="",$D87="",$G87="",$F87=""),0,$G87*IF($F87="Aylık",MAX(0,(YEAR(MIN(IF($E87="",TODAY()-8,$E87),TODAY()-8))-YEAR($D87))*12+MONTH(MIN(IF($E87="",TODAY()-8,$E87),TODAY()-8))-MONTH($D87)+IF(MIN(IF($E87="",TODAY()-8,$E87),TODAY()-8)&gt;=EOMONTH(MIN(IF($E87="",TODAY()-8,$E87),TODAY()-8),0),1,0)),MAX(0,INT((MIN(IF($E87="",TODAY()-8,$E87),TODAY()-8)-($D87+MOD(SISTEM!$F$8-WEEKDAY($D87,2),7)))/7)+1)))</f>
        <v/>
      </c>
      <c r="K87" s="227">
        <f>IF(OR($C87="",$D87="",$G87="",$F87=""),0,$G87*IF($F87="Aylık",MAX(0,(YEAR(MIN(IF($E87="",TODAY()-15,$E87),TODAY()-15))-YEAR($D87))*12+MONTH(MIN(IF($E87="",TODAY()-15,$E87),TODAY()-15))-MONTH($D87)+IF(MIN(IF($E87="",TODAY()-15,$E87),TODAY()-15)&gt;=EOMONTH(MIN(IF($E87="",TODAY()-15,$E87),TODAY()-15),0),1,0)),MAX(0,INT((MIN(IF($E87="",TODAY()-15,$E87),TODAY()-15)-($D87+MOD(SISTEM!$F$8-WEEKDAY($D87,2),7)))/7)+1)))</f>
        <v/>
      </c>
      <c r="L87" s="227">
        <f>IF(OR($C87="",$D87="",$G87="",$F87=""),0,$G87*IF($F87="Aylık",MAX(0,(YEAR(MIN(IF($E87="",TODAY()-29,$E87),TODAY()-29))-YEAR($D87))*12+MONTH(MIN(IF($E87="",TODAY()-29,$E87),TODAY()-29))-MONTH($D87)+IF(MIN(IF($E87="",TODAY()-29,$E87),TODAY()-29)&gt;=EOMONTH(MIN(IF($E87="",TODAY()-29,$E87),TODAY()-29),0),1,0)),MAX(0,INT((MIN(IF($E87="",TODAY()-29,$E87),TODAY()-29)-($D87+MOD(SISTEM!$F$8-WEEKDAY($D87,2),7)))/7)+1)))</f>
        <v/>
      </c>
      <c r="M87" s="228">
        <f>IF($G87&gt;0,$I87/$G87,0)</f>
        <v/>
      </c>
      <c r="N87" s="113">
        <f>IF($C87="","",IF($B87="TANIMSIZ MÜŞTERİ","TANIMSIZ MÜŞTERİ",IF($F87="","MODEL SEÇİN",IF(OR($D87="",$G87&lt;=0),"EKSİK",IF(AND($E87&lt;&gt;"",$E87&lt;$D87),"TARİH HATASI",IF($H87="Pasif","KAPALI DÖNEM","UYGUN"))))))</f>
        <v/>
      </c>
      <c r="O87" s="229">
        <f>IF(OR($C87="",$D87="",$F87=""),"",IF($F87="Aylık",EOMONTH($D87,0),($D87+MOD(SISTEM!$F$8-WEEKDAY($D87,2),7))))</f>
        <v/>
      </c>
      <c r="P87" s="109" t="n"/>
      <c r="Q87" s="6" t="n"/>
      <c r="R87" s="6" t="n"/>
      <c r="S87" s="3">
        <f>IF($B87="","",$B87&amp;"|"&amp;COUNTIFS($B$7:$B87,$B87))</f>
        <v/>
      </c>
    </row>
    <row r="88">
      <c r="A88" s="6" t="n"/>
      <c r="B88" s="113">
        <f>IF($C88="","",IFERROR(INDEX(MUSTERILER!$B$7:$B$106,MATCH($C88,MUSTERILER!$C$7:$C$106,0)),IFERROR(INDEX(MUSTERILER!$B$7:$B$106,MATCH($C88,MUSTERILER!$B$7:$B$106,0)),IFERROR(INDEX(MUSTERILER!$B$7:$B$106,MATCH($C88&amp;"*",MUSTERILER!$C$7:$C$106,0)),"TANIMSIZ MÜŞTERİ"))))</f>
        <v/>
      </c>
      <c r="C88" s="109" t="n"/>
      <c r="D88" s="225" t="n"/>
      <c r="E88" s="225" t="n"/>
      <c r="F88" s="108" t="n"/>
      <c r="G88" s="226" t="n"/>
      <c r="H88" s="108" t="n"/>
      <c r="I88" s="227">
        <f>IF(OR($C88="",$D88="",$G88="",$F88=""),0,$G88*IF($F88="Aylık",MAX(0,(YEAR(MIN(IF($E88="",TODAY(),$E88),TODAY()))-YEAR($D88))*12+MONTH(MIN(IF($E88="",TODAY(),$E88),TODAY()))-MONTH($D88)+IF(MIN(IF($E88="",TODAY(),$E88),TODAY())&gt;=EOMONTH(MIN(IF($E88="",TODAY(),$E88),TODAY()),0),1,0)),MAX(0,INT((MIN(IF($E88="",TODAY(),$E88),TODAY())-($D88+MOD(SISTEM!$F$8-WEEKDAY($D88,2),7)))/7)+1)))</f>
        <v/>
      </c>
      <c r="J88" s="227">
        <f>IF(OR($C88="",$D88="",$G88="",$F88=""),0,$G88*IF($F88="Aylık",MAX(0,(YEAR(MIN(IF($E88="",TODAY()-8,$E88),TODAY()-8))-YEAR($D88))*12+MONTH(MIN(IF($E88="",TODAY()-8,$E88),TODAY()-8))-MONTH($D88)+IF(MIN(IF($E88="",TODAY()-8,$E88),TODAY()-8)&gt;=EOMONTH(MIN(IF($E88="",TODAY()-8,$E88),TODAY()-8),0),1,0)),MAX(0,INT((MIN(IF($E88="",TODAY()-8,$E88),TODAY()-8)-($D88+MOD(SISTEM!$F$8-WEEKDAY($D88,2),7)))/7)+1)))</f>
        <v/>
      </c>
      <c r="K88" s="227">
        <f>IF(OR($C88="",$D88="",$G88="",$F88=""),0,$G88*IF($F88="Aylık",MAX(0,(YEAR(MIN(IF($E88="",TODAY()-15,$E88),TODAY()-15))-YEAR($D88))*12+MONTH(MIN(IF($E88="",TODAY()-15,$E88),TODAY()-15))-MONTH($D88)+IF(MIN(IF($E88="",TODAY()-15,$E88),TODAY()-15)&gt;=EOMONTH(MIN(IF($E88="",TODAY()-15,$E88),TODAY()-15),0),1,0)),MAX(0,INT((MIN(IF($E88="",TODAY()-15,$E88),TODAY()-15)-($D88+MOD(SISTEM!$F$8-WEEKDAY($D88,2),7)))/7)+1)))</f>
        <v/>
      </c>
      <c r="L88" s="227">
        <f>IF(OR($C88="",$D88="",$G88="",$F88=""),0,$G88*IF($F88="Aylık",MAX(0,(YEAR(MIN(IF($E88="",TODAY()-29,$E88),TODAY()-29))-YEAR($D88))*12+MONTH(MIN(IF($E88="",TODAY()-29,$E88),TODAY()-29))-MONTH($D88)+IF(MIN(IF($E88="",TODAY()-29,$E88),TODAY()-29)&gt;=EOMONTH(MIN(IF($E88="",TODAY()-29,$E88),TODAY()-29),0),1,0)),MAX(0,INT((MIN(IF($E88="",TODAY()-29,$E88),TODAY()-29)-($D88+MOD(SISTEM!$F$8-WEEKDAY($D88,2),7)))/7)+1)))</f>
        <v/>
      </c>
      <c r="M88" s="228">
        <f>IF($G88&gt;0,$I88/$G88,0)</f>
        <v/>
      </c>
      <c r="N88" s="113">
        <f>IF($C88="","",IF($B88="TANIMSIZ MÜŞTERİ","TANIMSIZ MÜŞTERİ",IF($F88="","MODEL SEÇİN",IF(OR($D88="",$G88&lt;=0),"EKSİK",IF(AND($E88&lt;&gt;"",$E88&lt;$D88),"TARİH HATASI",IF($H88="Pasif","KAPALI DÖNEM","UYGUN"))))))</f>
        <v/>
      </c>
      <c r="O88" s="229">
        <f>IF(OR($C88="",$D88="",$F88=""),"",IF($F88="Aylık",EOMONTH($D88,0),($D88+MOD(SISTEM!$F$8-WEEKDAY($D88,2),7))))</f>
        <v/>
      </c>
      <c r="P88" s="109" t="n"/>
      <c r="Q88" s="6" t="n"/>
      <c r="R88" s="6" t="n"/>
      <c r="S88" s="3">
        <f>IF($B88="","",$B88&amp;"|"&amp;COUNTIFS($B$7:$B88,$B88))</f>
        <v/>
      </c>
    </row>
    <row r="89">
      <c r="A89" s="6" t="n"/>
      <c r="B89" s="113">
        <f>IF($C89="","",IFERROR(INDEX(MUSTERILER!$B$7:$B$106,MATCH($C89,MUSTERILER!$C$7:$C$106,0)),IFERROR(INDEX(MUSTERILER!$B$7:$B$106,MATCH($C89,MUSTERILER!$B$7:$B$106,0)),IFERROR(INDEX(MUSTERILER!$B$7:$B$106,MATCH($C89&amp;"*",MUSTERILER!$C$7:$C$106,0)),"TANIMSIZ MÜŞTERİ"))))</f>
        <v/>
      </c>
      <c r="C89" s="109" t="n"/>
      <c r="D89" s="225" t="n"/>
      <c r="E89" s="225" t="n"/>
      <c r="F89" s="108" t="n"/>
      <c r="G89" s="226" t="n"/>
      <c r="H89" s="108" t="n"/>
      <c r="I89" s="227">
        <f>IF(OR($C89="",$D89="",$G89="",$F89=""),0,$G89*IF($F89="Aylık",MAX(0,(YEAR(MIN(IF($E89="",TODAY(),$E89),TODAY()))-YEAR($D89))*12+MONTH(MIN(IF($E89="",TODAY(),$E89),TODAY()))-MONTH($D89)+IF(MIN(IF($E89="",TODAY(),$E89),TODAY())&gt;=EOMONTH(MIN(IF($E89="",TODAY(),$E89),TODAY()),0),1,0)),MAX(0,INT((MIN(IF($E89="",TODAY(),$E89),TODAY())-($D89+MOD(SISTEM!$F$8-WEEKDAY($D89,2),7)))/7)+1)))</f>
        <v/>
      </c>
      <c r="J89" s="227">
        <f>IF(OR($C89="",$D89="",$G89="",$F89=""),0,$G89*IF($F89="Aylık",MAX(0,(YEAR(MIN(IF($E89="",TODAY()-8,$E89),TODAY()-8))-YEAR($D89))*12+MONTH(MIN(IF($E89="",TODAY()-8,$E89),TODAY()-8))-MONTH($D89)+IF(MIN(IF($E89="",TODAY()-8,$E89),TODAY()-8)&gt;=EOMONTH(MIN(IF($E89="",TODAY()-8,$E89),TODAY()-8),0),1,0)),MAX(0,INT((MIN(IF($E89="",TODAY()-8,$E89),TODAY()-8)-($D89+MOD(SISTEM!$F$8-WEEKDAY($D89,2),7)))/7)+1)))</f>
        <v/>
      </c>
      <c r="K89" s="227">
        <f>IF(OR($C89="",$D89="",$G89="",$F89=""),0,$G89*IF($F89="Aylık",MAX(0,(YEAR(MIN(IF($E89="",TODAY()-15,$E89),TODAY()-15))-YEAR($D89))*12+MONTH(MIN(IF($E89="",TODAY()-15,$E89),TODAY()-15))-MONTH($D89)+IF(MIN(IF($E89="",TODAY()-15,$E89),TODAY()-15)&gt;=EOMONTH(MIN(IF($E89="",TODAY()-15,$E89),TODAY()-15),0),1,0)),MAX(0,INT((MIN(IF($E89="",TODAY()-15,$E89),TODAY()-15)-($D89+MOD(SISTEM!$F$8-WEEKDAY($D89,2),7)))/7)+1)))</f>
        <v/>
      </c>
      <c r="L89" s="227">
        <f>IF(OR($C89="",$D89="",$G89="",$F89=""),0,$G89*IF($F89="Aylık",MAX(0,(YEAR(MIN(IF($E89="",TODAY()-29,$E89),TODAY()-29))-YEAR($D89))*12+MONTH(MIN(IF($E89="",TODAY()-29,$E89),TODAY()-29))-MONTH($D89)+IF(MIN(IF($E89="",TODAY()-29,$E89),TODAY()-29)&gt;=EOMONTH(MIN(IF($E89="",TODAY()-29,$E89),TODAY()-29),0),1,0)),MAX(0,INT((MIN(IF($E89="",TODAY()-29,$E89),TODAY()-29)-($D89+MOD(SISTEM!$F$8-WEEKDAY($D89,2),7)))/7)+1)))</f>
        <v/>
      </c>
      <c r="M89" s="228">
        <f>IF($G89&gt;0,$I89/$G89,0)</f>
        <v/>
      </c>
      <c r="N89" s="113">
        <f>IF($C89="","",IF($B89="TANIMSIZ MÜŞTERİ","TANIMSIZ MÜŞTERİ",IF($F89="","MODEL SEÇİN",IF(OR($D89="",$G89&lt;=0),"EKSİK",IF(AND($E89&lt;&gt;"",$E89&lt;$D89),"TARİH HATASI",IF($H89="Pasif","KAPALI DÖNEM","UYGUN"))))))</f>
        <v/>
      </c>
      <c r="O89" s="229">
        <f>IF(OR($C89="",$D89="",$F89=""),"",IF($F89="Aylık",EOMONTH($D89,0),($D89+MOD(SISTEM!$F$8-WEEKDAY($D89,2),7))))</f>
        <v/>
      </c>
      <c r="P89" s="109" t="n"/>
      <c r="Q89" s="6" t="n"/>
      <c r="R89" s="6" t="n"/>
      <c r="S89" s="3">
        <f>IF($B89="","",$B89&amp;"|"&amp;COUNTIFS($B$7:$B89,$B89))</f>
        <v/>
      </c>
    </row>
    <row r="90">
      <c r="A90" s="6" t="n"/>
      <c r="B90" s="113">
        <f>IF($C90="","",IFERROR(INDEX(MUSTERILER!$B$7:$B$106,MATCH($C90,MUSTERILER!$C$7:$C$106,0)),IFERROR(INDEX(MUSTERILER!$B$7:$B$106,MATCH($C90,MUSTERILER!$B$7:$B$106,0)),IFERROR(INDEX(MUSTERILER!$B$7:$B$106,MATCH($C90&amp;"*",MUSTERILER!$C$7:$C$106,0)),"TANIMSIZ MÜŞTERİ"))))</f>
        <v/>
      </c>
      <c r="C90" s="109" t="n"/>
      <c r="D90" s="225" t="n"/>
      <c r="E90" s="225" t="n"/>
      <c r="F90" s="108" t="n"/>
      <c r="G90" s="226" t="n"/>
      <c r="H90" s="108" t="n"/>
      <c r="I90" s="227">
        <f>IF(OR($C90="",$D90="",$G90="",$F90=""),0,$G90*IF($F90="Aylık",MAX(0,(YEAR(MIN(IF($E90="",TODAY(),$E90),TODAY()))-YEAR($D90))*12+MONTH(MIN(IF($E90="",TODAY(),$E90),TODAY()))-MONTH($D90)+IF(MIN(IF($E90="",TODAY(),$E90),TODAY())&gt;=EOMONTH(MIN(IF($E90="",TODAY(),$E90),TODAY()),0),1,0)),MAX(0,INT((MIN(IF($E90="",TODAY(),$E90),TODAY())-($D90+MOD(SISTEM!$F$8-WEEKDAY($D90,2),7)))/7)+1)))</f>
        <v/>
      </c>
      <c r="J90" s="227">
        <f>IF(OR($C90="",$D90="",$G90="",$F90=""),0,$G90*IF($F90="Aylık",MAX(0,(YEAR(MIN(IF($E90="",TODAY()-8,$E90),TODAY()-8))-YEAR($D90))*12+MONTH(MIN(IF($E90="",TODAY()-8,$E90),TODAY()-8))-MONTH($D90)+IF(MIN(IF($E90="",TODAY()-8,$E90),TODAY()-8)&gt;=EOMONTH(MIN(IF($E90="",TODAY()-8,$E90),TODAY()-8),0),1,0)),MAX(0,INT((MIN(IF($E90="",TODAY()-8,$E90),TODAY()-8)-($D90+MOD(SISTEM!$F$8-WEEKDAY($D90,2),7)))/7)+1)))</f>
        <v/>
      </c>
      <c r="K90" s="227">
        <f>IF(OR($C90="",$D90="",$G90="",$F90=""),0,$G90*IF($F90="Aylık",MAX(0,(YEAR(MIN(IF($E90="",TODAY()-15,$E90),TODAY()-15))-YEAR($D90))*12+MONTH(MIN(IF($E90="",TODAY()-15,$E90),TODAY()-15))-MONTH($D90)+IF(MIN(IF($E90="",TODAY()-15,$E90),TODAY()-15)&gt;=EOMONTH(MIN(IF($E90="",TODAY()-15,$E90),TODAY()-15),0),1,0)),MAX(0,INT((MIN(IF($E90="",TODAY()-15,$E90),TODAY()-15)-($D90+MOD(SISTEM!$F$8-WEEKDAY($D90,2),7)))/7)+1)))</f>
        <v/>
      </c>
      <c r="L90" s="227">
        <f>IF(OR($C90="",$D90="",$G90="",$F90=""),0,$G90*IF($F90="Aylık",MAX(0,(YEAR(MIN(IF($E90="",TODAY()-29,$E90),TODAY()-29))-YEAR($D90))*12+MONTH(MIN(IF($E90="",TODAY()-29,$E90),TODAY()-29))-MONTH($D90)+IF(MIN(IF($E90="",TODAY()-29,$E90),TODAY()-29)&gt;=EOMONTH(MIN(IF($E90="",TODAY()-29,$E90),TODAY()-29),0),1,0)),MAX(0,INT((MIN(IF($E90="",TODAY()-29,$E90),TODAY()-29)-($D90+MOD(SISTEM!$F$8-WEEKDAY($D90,2),7)))/7)+1)))</f>
        <v/>
      </c>
      <c r="M90" s="228">
        <f>IF($G90&gt;0,$I90/$G90,0)</f>
        <v/>
      </c>
      <c r="N90" s="113">
        <f>IF($C90="","",IF($B90="TANIMSIZ MÜŞTERİ","TANIMSIZ MÜŞTERİ",IF($F90="","MODEL SEÇİN",IF(OR($D90="",$G90&lt;=0),"EKSİK",IF(AND($E90&lt;&gt;"",$E90&lt;$D90),"TARİH HATASI",IF($H90="Pasif","KAPALI DÖNEM","UYGUN"))))))</f>
        <v/>
      </c>
      <c r="O90" s="229">
        <f>IF(OR($C90="",$D90="",$F90=""),"",IF($F90="Aylık",EOMONTH($D90,0),($D90+MOD(SISTEM!$F$8-WEEKDAY($D90,2),7))))</f>
        <v/>
      </c>
      <c r="P90" s="109" t="n"/>
      <c r="Q90" s="6" t="n"/>
      <c r="R90" s="6" t="n"/>
      <c r="S90" s="3">
        <f>IF($B90="","",$B90&amp;"|"&amp;COUNTIFS($B$7:$B90,$B90))</f>
        <v/>
      </c>
    </row>
    <row r="91">
      <c r="A91" s="6" t="n"/>
      <c r="B91" s="113">
        <f>IF($C91="","",IFERROR(INDEX(MUSTERILER!$B$7:$B$106,MATCH($C91,MUSTERILER!$C$7:$C$106,0)),IFERROR(INDEX(MUSTERILER!$B$7:$B$106,MATCH($C91,MUSTERILER!$B$7:$B$106,0)),IFERROR(INDEX(MUSTERILER!$B$7:$B$106,MATCH($C91&amp;"*",MUSTERILER!$C$7:$C$106,0)),"TANIMSIZ MÜŞTERİ"))))</f>
        <v/>
      </c>
      <c r="C91" s="109" t="n"/>
      <c r="D91" s="225" t="n"/>
      <c r="E91" s="225" t="n"/>
      <c r="F91" s="108" t="n"/>
      <c r="G91" s="226" t="n"/>
      <c r="H91" s="108" t="n"/>
      <c r="I91" s="227">
        <f>IF(OR($C91="",$D91="",$G91="",$F91=""),0,$G91*IF($F91="Aylık",MAX(0,(YEAR(MIN(IF($E91="",TODAY(),$E91),TODAY()))-YEAR($D91))*12+MONTH(MIN(IF($E91="",TODAY(),$E91),TODAY()))-MONTH($D91)+IF(MIN(IF($E91="",TODAY(),$E91),TODAY())&gt;=EOMONTH(MIN(IF($E91="",TODAY(),$E91),TODAY()),0),1,0)),MAX(0,INT((MIN(IF($E91="",TODAY(),$E91),TODAY())-($D91+MOD(SISTEM!$F$8-WEEKDAY($D91,2),7)))/7)+1)))</f>
        <v/>
      </c>
      <c r="J91" s="227">
        <f>IF(OR($C91="",$D91="",$G91="",$F91=""),0,$G91*IF($F91="Aylık",MAX(0,(YEAR(MIN(IF($E91="",TODAY()-8,$E91),TODAY()-8))-YEAR($D91))*12+MONTH(MIN(IF($E91="",TODAY()-8,$E91),TODAY()-8))-MONTH($D91)+IF(MIN(IF($E91="",TODAY()-8,$E91),TODAY()-8)&gt;=EOMONTH(MIN(IF($E91="",TODAY()-8,$E91),TODAY()-8),0),1,0)),MAX(0,INT((MIN(IF($E91="",TODAY()-8,$E91),TODAY()-8)-($D91+MOD(SISTEM!$F$8-WEEKDAY($D91,2),7)))/7)+1)))</f>
        <v/>
      </c>
      <c r="K91" s="227">
        <f>IF(OR($C91="",$D91="",$G91="",$F91=""),0,$G91*IF($F91="Aylık",MAX(0,(YEAR(MIN(IF($E91="",TODAY()-15,$E91),TODAY()-15))-YEAR($D91))*12+MONTH(MIN(IF($E91="",TODAY()-15,$E91),TODAY()-15))-MONTH($D91)+IF(MIN(IF($E91="",TODAY()-15,$E91),TODAY()-15)&gt;=EOMONTH(MIN(IF($E91="",TODAY()-15,$E91),TODAY()-15),0),1,0)),MAX(0,INT((MIN(IF($E91="",TODAY()-15,$E91),TODAY()-15)-($D91+MOD(SISTEM!$F$8-WEEKDAY($D91,2),7)))/7)+1)))</f>
        <v/>
      </c>
      <c r="L91" s="227">
        <f>IF(OR($C91="",$D91="",$G91="",$F91=""),0,$G91*IF($F91="Aylık",MAX(0,(YEAR(MIN(IF($E91="",TODAY()-29,$E91),TODAY()-29))-YEAR($D91))*12+MONTH(MIN(IF($E91="",TODAY()-29,$E91),TODAY()-29))-MONTH($D91)+IF(MIN(IF($E91="",TODAY()-29,$E91),TODAY()-29)&gt;=EOMONTH(MIN(IF($E91="",TODAY()-29,$E91),TODAY()-29),0),1,0)),MAX(0,INT((MIN(IF($E91="",TODAY()-29,$E91),TODAY()-29)-($D91+MOD(SISTEM!$F$8-WEEKDAY($D91,2),7)))/7)+1)))</f>
        <v/>
      </c>
      <c r="M91" s="228">
        <f>IF($G91&gt;0,$I91/$G91,0)</f>
        <v/>
      </c>
      <c r="N91" s="113">
        <f>IF($C91="","",IF($B91="TANIMSIZ MÜŞTERİ","TANIMSIZ MÜŞTERİ",IF($F91="","MODEL SEÇİN",IF(OR($D91="",$G91&lt;=0),"EKSİK",IF(AND($E91&lt;&gt;"",$E91&lt;$D91),"TARİH HATASI",IF($H91="Pasif","KAPALI DÖNEM","UYGUN"))))))</f>
        <v/>
      </c>
      <c r="O91" s="229">
        <f>IF(OR($C91="",$D91="",$F91=""),"",IF($F91="Aylık",EOMONTH($D91,0),($D91+MOD(SISTEM!$F$8-WEEKDAY($D91,2),7))))</f>
        <v/>
      </c>
      <c r="P91" s="109" t="n"/>
      <c r="Q91" s="6" t="n"/>
      <c r="R91" s="6" t="n"/>
      <c r="S91" s="3">
        <f>IF($B91="","",$B91&amp;"|"&amp;COUNTIFS($B$7:$B91,$B91))</f>
        <v/>
      </c>
    </row>
    <row r="92">
      <c r="A92" s="6" t="n"/>
      <c r="B92" s="113">
        <f>IF($C92="","",IFERROR(INDEX(MUSTERILER!$B$7:$B$106,MATCH($C92,MUSTERILER!$C$7:$C$106,0)),IFERROR(INDEX(MUSTERILER!$B$7:$B$106,MATCH($C92,MUSTERILER!$B$7:$B$106,0)),IFERROR(INDEX(MUSTERILER!$B$7:$B$106,MATCH($C92&amp;"*",MUSTERILER!$C$7:$C$106,0)),"TANIMSIZ MÜŞTERİ"))))</f>
        <v/>
      </c>
      <c r="C92" s="109" t="n"/>
      <c r="D92" s="225" t="n"/>
      <c r="E92" s="225" t="n"/>
      <c r="F92" s="108" t="n"/>
      <c r="G92" s="226" t="n"/>
      <c r="H92" s="108" t="n"/>
      <c r="I92" s="227">
        <f>IF(OR($C92="",$D92="",$G92="",$F92=""),0,$G92*IF($F92="Aylık",MAX(0,(YEAR(MIN(IF($E92="",TODAY(),$E92),TODAY()))-YEAR($D92))*12+MONTH(MIN(IF($E92="",TODAY(),$E92),TODAY()))-MONTH($D92)+IF(MIN(IF($E92="",TODAY(),$E92),TODAY())&gt;=EOMONTH(MIN(IF($E92="",TODAY(),$E92),TODAY()),0),1,0)),MAX(0,INT((MIN(IF($E92="",TODAY(),$E92),TODAY())-($D92+MOD(SISTEM!$F$8-WEEKDAY($D92,2),7)))/7)+1)))</f>
        <v/>
      </c>
      <c r="J92" s="227">
        <f>IF(OR($C92="",$D92="",$G92="",$F92=""),0,$G92*IF($F92="Aylık",MAX(0,(YEAR(MIN(IF($E92="",TODAY()-8,$E92),TODAY()-8))-YEAR($D92))*12+MONTH(MIN(IF($E92="",TODAY()-8,$E92),TODAY()-8))-MONTH($D92)+IF(MIN(IF($E92="",TODAY()-8,$E92),TODAY()-8)&gt;=EOMONTH(MIN(IF($E92="",TODAY()-8,$E92),TODAY()-8),0),1,0)),MAX(0,INT((MIN(IF($E92="",TODAY()-8,$E92),TODAY()-8)-($D92+MOD(SISTEM!$F$8-WEEKDAY($D92,2),7)))/7)+1)))</f>
        <v/>
      </c>
      <c r="K92" s="227">
        <f>IF(OR($C92="",$D92="",$G92="",$F92=""),0,$G92*IF($F92="Aylık",MAX(0,(YEAR(MIN(IF($E92="",TODAY()-15,$E92),TODAY()-15))-YEAR($D92))*12+MONTH(MIN(IF($E92="",TODAY()-15,$E92),TODAY()-15))-MONTH($D92)+IF(MIN(IF($E92="",TODAY()-15,$E92),TODAY()-15)&gt;=EOMONTH(MIN(IF($E92="",TODAY()-15,$E92),TODAY()-15),0),1,0)),MAX(0,INT((MIN(IF($E92="",TODAY()-15,$E92),TODAY()-15)-($D92+MOD(SISTEM!$F$8-WEEKDAY($D92,2),7)))/7)+1)))</f>
        <v/>
      </c>
      <c r="L92" s="227">
        <f>IF(OR($C92="",$D92="",$G92="",$F92=""),0,$G92*IF($F92="Aylık",MAX(0,(YEAR(MIN(IF($E92="",TODAY()-29,$E92),TODAY()-29))-YEAR($D92))*12+MONTH(MIN(IF($E92="",TODAY()-29,$E92),TODAY()-29))-MONTH($D92)+IF(MIN(IF($E92="",TODAY()-29,$E92),TODAY()-29)&gt;=EOMONTH(MIN(IF($E92="",TODAY()-29,$E92),TODAY()-29),0),1,0)),MAX(0,INT((MIN(IF($E92="",TODAY()-29,$E92),TODAY()-29)-($D92+MOD(SISTEM!$F$8-WEEKDAY($D92,2),7)))/7)+1)))</f>
        <v/>
      </c>
      <c r="M92" s="228">
        <f>IF($G92&gt;0,$I92/$G92,0)</f>
        <v/>
      </c>
      <c r="N92" s="113">
        <f>IF($C92="","",IF($B92="TANIMSIZ MÜŞTERİ","TANIMSIZ MÜŞTERİ",IF($F92="","MODEL SEÇİN",IF(OR($D92="",$G92&lt;=0),"EKSİK",IF(AND($E92&lt;&gt;"",$E92&lt;$D92),"TARİH HATASI",IF($H92="Pasif","KAPALI DÖNEM","UYGUN"))))))</f>
        <v/>
      </c>
      <c r="O92" s="229">
        <f>IF(OR($C92="",$D92="",$F92=""),"",IF($F92="Aylık",EOMONTH($D92,0),($D92+MOD(SISTEM!$F$8-WEEKDAY($D92,2),7))))</f>
        <v/>
      </c>
      <c r="P92" s="109" t="n"/>
      <c r="Q92" s="6" t="n"/>
      <c r="R92" s="6" t="n"/>
      <c r="S92" s="3">
        <f>IF($B92="","",$B92&amp;"|"&amp;COUNTIFS($B$7:$B92,$B92))</f>
        <v/>
      </c>
    </row>
    <row r="93">
      <c r="A93" s="6" t="n"/>
      <c r="B93" s="113">
        <f>IF($C93="","",IFERROR(INDEX(MUSTERILER!$B$7:$B$106,MATCH($C93,MUSTERILER!$C$7:$C$106,0)),IFERROR(INDEX(MUSTERILER!$B$7:$B$106,MATCH($C93,MUSTERILER!$B$7:$B$106,0)),IFERROR(INDEX(MUSTERILER!$B$7:$B$106,MATCH($C93&amp;"*",MUSTERILER!$C$7:$C$106,0)),"TANIMSIZ MÜŞTERİ"))))</f>
        <v/>
      </c>
      <c r="C93" s="109" t="n"/>
      <c r="D93" s="225" t="n"/>
      <c r="E93" s="225" t="n"/>
      <c r="F93" s="108" t="n"/>
      <c r="G93" s="226" t="n"/>
      <c r="H93" s="108" t="n"/>
      <c r="I93" s="227">
        <f>IF(OR($C93="",$D93="",$G93="",$F93=""),0,$G93*IF($F93="Aylık",MAX(0,(YEAR(MIN(IF($E93="",TODAY(),$E93),TODAY()))-YEAR($D93))*12+MONTH(MIN(IF($E93="",TODAY(),$E93),TODAY()))-MONTH($D93)+IF(MIN(IF($E93="",TODAY(),$E93),TODAY())&gt;=EOMONTH(MIN(IF($E93="",TODAY(),$E93),TODAY()),0),1,0)),MAX(0,INT((MIN(IF($E93="",TODAY(),$E93),TODAY())-($D93+MOD(SISTEM!$F$8-WEEKDAY($D93,2),7)))/7)+1)))</f>
        <v/>
      </c>
      <c r="J93" s="227">
        <f>IF(OR($C93="",$D93="",$G93="",$F93=""),0,$G93*IF($F93="Aylık",MAX(0,(YEAR(MIN(IF($E93="",TODAY()-8,$E93),TODAY()-8))-YEAR($D93))*12+MONTH(MIN(IF($E93="",TODAY()-8,$E93),TODAY()-8))-MONTH($D93)+IF(MIN(IF($E93="",TODAY()-8,$E93),TODAY()-8)&gt;=EOMONTH(MIN(IF($E93="",TODAY()-8,$E93),TODAY()-8),0),1,0)),MAX(0,INT((MIN(IF($E93="",TODAY()-8,$E93),TODAY()-8)-($D93+MOD(SISTEM!$F$8-WEEKDAY($D93,2),7)))/7)+1)))</f>
        <v/>
      </c>
      <c r="K93" s="227">
        <f>IF(OR($C93="",$D93="",$G93="",$F93=""),0,$G93*IF($F93="Aylık",MAX(0,(YEAR(MIN(IF($E93="",TODAY()-15,$E93),TODAY()-15))-YEAR($D93))*12+MONTH(MIN(IF($E93="",TODAY()-15,$E93),TODAY()-15))-MONTH($D93)+IF(MIN(IF($E93="",TODAY()-15,$E93),TODAY()-15)&gt;=EOMONTH(MIN(IF($E93="",TODAY()-15,$E93),TODAY()-15),0),1,0)),MAX(0,INT((MIN(IF($E93="",TODAY()-15,$E93),TODAY()-15)-($D93+MOD(SISTEM!$F$8-WEEKDAY($D93,2),7)))/7)+1)))</f>
        <v/>
      </c>
      <c r="L93" s="227">
        <f>IF(OR($C93="",$D93="",$G93="",$F93=""),0,$G93*IF($F93="Aylık",MAX(0,(YEAR(MIN(IF($E93="",TODAY()-29,$E93),TODAY()-29))-YEAR($D93))*12+MONTH(MIN(IF($E93="",TODAY()-29,$E93),TODAY()-29))-MONTH($D93)+IF(MIN(IF($E93="",TODAY()-29,$E93),TODAY()-29)&gt;=EOMONTH(MIN(IF($E93="",TODAY()-29,$E93),TODAY()-29),0),1,0)),MAX(0,INT((MIN(IF($E93="",TODAY()-29,$E93),TODAY()-29)-($D93+MOD(SISTEM!$F$8-WEEKDAY($D93,2),7)))/7)+1)))</f>
        <v/>
      </c>
      <c r="M93" s="228">
        <f>IF($G93&gt;0,$I93/$G93,0)</f>
        <v/>
      </c>
      <c r="N93" s="113">
        <f>IF($C93="","",IF($B93="TANIMSIZ MÜŞTERİ","TANIMSIZ MÜŞTERİ",IF($F93="","MODEL SEÇİN",IF(OR($D93="",$G93&lt;=0),"EKSİK",IF(AND($E93&lt;&gt;"",$E93&lt;$D93),"TARİH HATASI",IF($H93="Pasif","KAPALI DÖNEM","UYGUN"))))))</f>
        <v/>
      </c>
      <c r="O93" s="229">
        <f>IF(OR($C93="",$D93="",$F93=""),"",IF($F93="Aylık",EOMONTH($D93,0),($D93+MOD(SISTEM!$F$8-WEEKDAY($D93,2),7))))</f>
        <v/>
      </c>
      <c r="P93" s="109" t="n"/>
      <c r="Q93" s="6" t="n"/>
      <c r="R93" s="6" t="n"/>
      <c r="S93" s="3">
        <f>IF($B93="","",$B93&amp;"|"&amp;COUNTIFS($B$7:$B93,$B93))</f>
        <v/>
      </c>
    </row>
    <row r="94">
      <c r="A94" s="6" t="n"/>
      <c r="B94" s="113">
        <f>IF($C94="","",IFERROR(INDEX(MUSTERILER!$B$7:$B$106,MATCH($C94,MUSTERILER!$C$7:$C$106,0)),IFERROR(INDEX(MUSTERILER!$B$7:$B$106,MATCH($C94,MUSTERILER!$B$7:$B$106,0)),IFERROR(INDEX(MUSTERILER!$B$7:$B$106,MATCH($C94&amp;"*",MUSTERILER!$C$7:$C$106,0)),"TANIMSIZ MÜŞTERİ"))))</f>
        <v/>
      </c>
      <c r="C94" s="109" t="n"/>
      <c r="D94" s="225" t="n"/>
      <c r="E94" s="225" t="n"/>
      <c r="F94" s="108" t="n"/>
      <c r="G94" s="226" t="n"/>
      <c r="H94" s="108" t="n"/>
      <c r="I94" s="227">
        <f>IF(OR($C94="",$D94="",$G94="",$F94=""),0,$G94*IF($F94="Aylık",MAX(0,(YEAR(MIN(IF($E94="",TODAY(),$E94),TODAY()))-YEAR($D94))*12+MONTH(MIN(IF($E94="",TODAY(),$E94),TODAY()))-MONTH($D94)+IF(MIN(IF($E94="",TODAY(),$E94),TODAY())&gt;=EOMONTH(MIN(IF($E94="",TODAY(),$E94),TODAY()),0),1,0)),MAX(0,INT((MIN(IF($E94="",TODAY(),$E94),TODAY())-($D94+MOD(SISTEM!$F$8-WEEKDAY($D94,2),7)))/7)+1)))</f>
        <v/>
      </c>
      <c r="J94" s="227">
        <f>IF(OR($C94="",$D94="",$G94="",$F94=""),0,$G94*IF($F94="Aylık",MAX(0,(YEAR(MIN(IF($E94="",TODAY()-8,$E94),TODAY()-8))-YEAR($D94))*12+MONTH(MIN(IF($E94="",TODAY()-8,$E94),TODAY()-8))-MONTH($D94)+IF(MIN(IF($E94="",TODAY()-8,$E94),TODAY()-8)&gt;=EOMONTH(MIN(IF($E94="",TODAY()-8,$E94),TODAY()-8),0),1,0)),MAX(0,INT((MIN(IF($E94="",TODAY()-8,$E94),TODAY()-8)-($D94+MOD(SISTEM!$F$8-WEEKDAY($D94,2),7)))/7)+1)))</f>
        <v/>
      </c>
      <c r="K94" s="227">
        <f>IF(OR($C94="",$D94="",$G94="",$F94=""),0,$G94*IF($F94="Aylık",MAX(0,(YEAR(MIN(IF($E94="",TODAY()-15,$E94),TODAY()-15))-YEAR($D94))*12+MONTH(MIN(IF($E94="",TODAY()-15,$E94),TODAY()-15))-MONTH($D94)+IF(MIN(IF($E94="",TODAY()-15,$E94),TODAY()-15)&gt;=EOMONTH(MIN(IF($E94="",TODAY()-15,$E94),TODAY()-15),0),1,0)),MAX(0,INT((MIN(IF($E94="",TODAY()-15,$E94),TODAY()-15)-($D94+MOD(SISTEM!$F$8-WEEKDAY($D94,2),7)))/7)+1)))</f>
        <v/>
      </c>
      <c r="L94" s="227">
        <f>IF(OR($C94="",$D94="",$G94="",$F94=""),0,$G94*IF($F94="Aylık",MAX(0,(YEAR(MIN(IF($E94="",TODAY()-29,$E94),TODAY()-29))-YEAR($D94))*12+MONTH(MIN(IF($E94="",TODAY()-29,$E94),TODAY()-29))-MONTH($D94)+IF(MIN(IF($E94="",TODAY()-29,$E94),TODAY()-29)&gt;=EOMONTH(MIN(IF($E94="",TODAY()-29,$E94),TODAY()-29),0),1,0)),MAX(0,INT((MIN(IF($E94="",TODAY()-29,$E94),TODAY()-29)-($D94+MOD(SISTEM!$F$8-WEEKDAY($D94,2),7)))/7)+1)))</f>
        <v/>
      </c>
      <c r="M94" s="228">
        <f>IF($G94&gt;0,$I94/$G94,0)</f>
        <v/>
      </c>
      <c r="N94" s="113">
        <f>IF($C94="","",IF($B94="TANIMSIZ MÜŞTERİ","TANIMSIZ MÜŞTERİ",IF($F94="","MODEL SEÇİN",IF(OR($D94="",$G94&lt;=0),"EKSİK",IF(AND($E94&lt;&gt;"",$E94&lt;$D94),"TARİH HATASI",IF($H94="Pasif","KAPALI DÖNEM","UYGUN"))))))</f>
        <v/>
      </c>
      <c r="O94" s="229">
        <f>IF(OR($C94="",$D94="",$F94=""),"",IF($F94="Aylık",EOMONTH($D94,0),($D94+MOD(SISTEM!$F$8-WEEKDAY($D94,2),7))))</f>
        <v/>
      </c>
      <c r="P94" s="109" t="n"/>
      <c r="Q94" s="6" t="n"/>
      <c r="R94" s="6" t="n"/>
      <c r="S94" s="3">
        <f>IF($B94="","",$B94&amp;"|"&amp;COUNTIFS($B$7:$B94,$B94))</f>
        <v/>
      </c>
    </row>
    <row r="95">
      <c r="A95" s="6" t="n"/>
      <c r="B95" s="113">
        <f>IF($C95="","",IFERROR(INDEX(MUSTERILER!$B$7:$B$106,MATCH($C95,MUSTERILER!$C$7:$C$106,0)),IFERROR(INDEX(MUSTERILER!$B$7:$B$106,MATCH($C95,MUSTERILER!$B$7:$B$106,0)),IFERROR(INDEX(MUSTERILER!$B$7:$B$106,MATCH($C95&amp;"*",MUSTERILER!$C$7:$C$106,0)),"TANIMSIZ MÜŞTERİ"))))</f>
        <v/>
      </c>
      <c r="C95" s="109" t="n"/>
      <c r="D95" s="225" t="n"/>
      <c r="E95" s="225" t="n"/>
      <c r="F95" s="108" t="n"/>
      <c r="G95" s="226" t="n"/>
      <c r="H95" s="108" t="n"/>
      <c r="I95" s="227">
        <f>IF(OR($C95="",$D95="",$G95="",$F95=""),0,$G95*IF($F95="Aylık",MAX(0,(YEAR(MIN(IF($E95="",TODAY(),$E95),TODAY()))-YEAR($D95))*12+MONTH(MIN(IF($E95="",TODAY(),$E95),TODAY()))-MONTH($D95)+IF(MIN(IF($E95="",TODAY(),$E95),TODAY())&gt;=EOMONTH(MIN(IF($E95="",TODAY(),$E95),TODAY()),0),1,0)),MAX(0,INT((MIN(IF($E95="",TODAY(),$E95),TODAY())-($D95+MOD(SISTEM!$F$8-WEEKDAY($D95,2),7)))/7)+1)))</f>
        <v/>
      </c>
      <c r="J95" s="227">
        <f>IF(OR($C95="",$D95="",$G95="",$F95=""),0,$G95*IF($F95="Aylık",MAX(0,(YEAR(MIN(IF($E95="",TODAY()-8,$E95),TODAY()-8))-YEAR($D95))*12+MONTH(MIN(IF($E95="",TODAY()-8,$E95),TODAY()-8))-MONTH($D95)+IF(MIN(IF($E95="",TODAY()-8,$E95),TODAY()-8)&gt;=EOMONTH(MIN(IF($E95="",TODAY()-8,$E95),TODAY()-8),0),1,0)),MAX(0,INT((MIN(IF($E95="",TODAY()-8,$E95),TODAY()-8)-($D95+MOD(SISTEM!$F$8-WEEKDAY($D95,2),7)))/7)+1)))</f>
        <v/>
      </c>
      <c r="K95" s="227">
        <f>IF(OR($C95="",$D95="",$G95="",$F95=""),0,$G95*IF($F95="Aylık",MAX(0,(YEAR(MIN(IF($E95="",TODAY()-15,$E95),TODAY()-15))-YEAR($D95))*12+MONTH(MIN(IF($E95="",TODAY()-15,$E95),TODAY()-15))-MONTH($D95)+IF(MIN(IF($E95="",TODAY()-15,$E95),TODAY()-15)&gt;=EOMONTH(MIN(IF($E95="",TODAY()-15,$E95),TODAY()-15),0),1,0)),MAX(0,INT((MIN(IF($E95="",TODAY()-15,$E95),TODAY()-15)-($D95+MOD(SISTEM!$F$8-WEEKDAY($D95,2),7)))/7)+1)))</f>
        <v/>
      </c>
      <c r="L95" s="227">
        <f>IF(OR($C95="",$D95="",$G95="",$F95=""),0,$G95*IF($F95="Aylık",MAX(0,(YEAR(MIN(IF($E95="",TODAY()-29,$E95),TODAY()-29))-YEAR($D95))*12+MONTH(MIN(IF($E95="",TODAY()-29,$E95),TODAY()-29))-MONTH($D95)+IF(MIN(IF($E95="",TODAY()-29,$E95),TODAY()-29)&gt;=EOMONTH(MIN(IF($E95="",TODAY()-29,$E95),TODAY()-29),0),1,0)),MAX(0,INT((MIN(IF($E95="",TODAY()-29,$E95),TODAY()-29)-($D95+MOD(SISTEM!$F$8-WEEKDAY($D95,2),7)))/7)+1)))</f>
        <v/>
      </c>
      <c r="M95" s="228">
        <f>IF($G95&gt;0,$I95/$G95,0)</f>
        <v/>
      </c>
      <c r="N95" s="113">
        <f>IF($C95="","",IF($B95="TANIMSIZ MÜŞTERİ","TANIMSIZ MÜŞTERİ",IF($F95="","MODEL SEÇİN",IF(OR($D95="",$G95&lt;=0),"EKSİK",IF(AND($E95&lt;&gt;"",$E95&lt;$D95),"TARİH HATASI",IF($H95="Pasif","KAPALI DÖNEM","UYGUN"))))))</f>
        <v/>
      </c>
      <c r="O95" s="229">
        <f>IF(OR($C95="",$D95="",$F95=""),"",IF($F95="Aylık",EOMONTH($D95,0),($D95+MOD(SISTEM!$F$8-WEEKDAY($D95,2),7))))</f>
        <v/>
      </c>
      <c r="P95" s="109" t="n"/>
      <c r="Q95" s="6" t="n"/>
      <c r="R95" s="6" t="n"/>
      <c r="S95" s="3">
        <f>IF($B95="","",$B95&amp;"|"&amp;COUNTIFS($B$7:$B95,$B95))</f>
        <v/>
      </c>
    </row>
    <row r="96">
      <c r="A96" s="6" t="n"/>
      <c r="B96" s="113">
        <f>IF($C96="","",IFERROR(INDEX(MUSTERILER!$B$7:$B$106,MATCH($C96,MUSTERILER!$C$7:$C$106,0)),IFERROR(INDEX(MUSTERILER!$B$7:$B$106,MATCH($C96,MUSTERILER!$B$7:$B$106,0)),IFERROR(INDEX(MUSTERILER!$B$7:$B$106,MATCH($C96&amp;"*",MUSTERILER!$C$7:$C$106,0)),"TANIMSIZ MÜŞTERİ"))))</f>
        <v/>
      </c>
      <c r="C96" s="109" t="n"/>
      <c r="D96" s="225" t="n"/>
      <c r="E96" s="225" t="n"/>
      <c r="F96" s="108" t="n"/>
      <c r="G96" s="226" t="n"/>
      <c r="H96" s="108" t="n"/>
      <c r="I96" s="227">
        <f>IF(OR($C96="",$D96="",$G96="",$F96=""),0,$G96*IF($F96="Aylık",MAX(0,(YEAR(MIN(IF($E96="",TODAY(),$E96),TODAY()))-YEAR($D96))*12+MONTH(MIN(IF($E96="",TODAY(),$E96),TODAY()))-MONTH($D96)+IF(MIN(IF($E96="",TODAY(),$E96),TODAY())&gt;=EOMONTH(MIN(IF($E96="",TODAY(),$E96),TODAY()),0),1,0)),MAX(0,INT((MIN(IF($E96="",TODAY(),$E96),TODAY())-($D96+MOD(SISTEM!$F$8-WEEKDAY($D96,2),7)))/7)+1)))</f>
        <v/>
      </c>
      <c r="J96" s="227">
        <f>IF(OR($C96="",$D96="",$G96="",$F96=""),0,$G96*IF($F96="Aylık",MAX(0,(YEAR(MIN(IF($E96="",TODAY()-8,$E96),TODAY()-8))-YEAR($D96))*12+MONTH(MIN(IF($E96="",TODAY()-8,$E96),TODAY()-8))-MONTH($D96)+IF(MIN(IF($E96="",TODAY()-8,$E96),TODAY()-8)&gt;=EOMONTH(MIN(IF($E96="",TODAY()-8,$E96),TODAY()-8),0),1,0)),MAX(0,INT((MIN(IF($E96="",TODAY()-8,$E96),TODAY()-8)-($D96+MOD(SISTEM!$F$8-WEEKDAY($D96,2),7)))/7)+1)))</f>
        <v/>
      </c>
      <c r="K96" s="227">
        <f>IF(OR($C96="",$D96="",$G96="",$F96=""),0,$G96*IF($F96="Aylık",MAX(0,(YEAR(MIN(IF($E96="",TODAY()-15,$E96),TODAY()-15))-YEAR($D96))*12+MONTH(MIN(IF($E96="",TODAY()-15,$E96),TODAY()-15))-MONTH($D96)+IF(MIN(IF($E96="",TODAY()-15,$E96),TODAY()-15)&gt;=EOMONTH(MIN(IF($E96="",TODAY()-15,$E96),TODAY()-15),0),1,0)),MAX(0,INT((MIN(IF($E96="",TODAY()-15,$E96),TODAY()-15)-($D96+MOD(SISTEM!$F$8-WEEKDAY($D96,2),7)))/7)+1)))</f>
        <v/>
      </c>
      <c r="L96" s="227">
        <f>IF(OR($C96="",$D96="",$G96="",$F96=""),0,$G96*IF($F96="Aylık",MAX(0,(YEAR(MIN(IF($E96="",TODAY()-29,$E96),TODAY()-29))-YEAR($D96))*12+MONTH(MIN(IF($E96="",TODAY()-29,$E96),TODAY()-29))-MONTH($D96)+IF(MIN(IF($E96="",TODAY()-29,$E96),TODAY()-29)&gt;=EOMONTH(MIN(IF($E96="",TODAY()-29,$E96),TODAY()-29),0),1,0)),MAX(0,INT((MIN(IF($E96="",TODAY()-29,$E96),TODAY()-29)-($D96+MOD(SISTEM!$F$8-WEEKDAY($D96,2),7)))/7)+1)))</f>
        <v/>
      </c>
      <c r="M96" s="228">
        <f>IF($G96&gt;0,$I96/$G96,0)</f>
        <v/>
      </c>
      <c r="N96" s="113">
        <f>IF($C96="","",IF($B96="TANIMSIZ MÜŞTERİ","TANIMSIZ MÜŞTERİ",IF($F96="","MODEL SEÇİN",IF(OR($D96="",$G96&lt;=0),"EKSİK",IF(AND($E96&lt;&gt;"",$E96&lt;$D96),"TARİH HATASI",IF($H96="Pasif","KAPALI DÖNEM","UYGUN"))))))</f>
        <v/>
      </c>
      <c r="O96" s="229">
        <f>IF(OR($C96="",$D96="",$F96=""),"",IF($F96="Aylık",EOMONTH($D96,0),($D96+MOD(SISTEM!$F$8-WEEKDAY($D96,2),7))))</f>
        <v/>
      </c>
      <c r="P96" s="109" t="n"/>
      <c r="Q96" s="6" t="n"/>
      <c r="R96" s="6" t="n"/>
      <c r="S96" s="3">
        <f>IF($B96="","",$B96&amp;"|"&amp;COUNTIFS($B$7:$B96,$B96))</f>
        <v/>
      </c>
    </row>
    <row r="97">
      <c r="A97" s="6" t="n"/>
      <c r="B97" s="113">
        <f>IF($C97="","",IFERROR(INDEX(MUSTERILER!$B$7:$B$106,MATCH($C97,MUSTERILER!$C$7:$C$106,0)),IFERROR(INDEX(MUSTERILER!$B$7:$B$106,MATCH($C97,MUSTERILER!$B$7:$B$106,0)),IFERROR(INDEX(MUSTERILER!$B$7:$B$106,MATCH($C97&amp;"*",MUSTERILER!$C$7:$C$106,0)),"TANIMSIZ MÜŞTERİ"))))</f>
        <v/>
      </c>
      <c r="C97" s="109" t="n"/>
      <c r="D97" s="225" t="n"/>
      <c r="E97" s="225" t="n"/>
      <c r="F97" s="108" t="n"/>
      <c r="G97" s="226" t="n"/>
      <c r="H97" s="108" t="n"/>
      <c r="I97" s="227">
        <f>IF(OR($C97="",$D97="",$G97="",$F97=""),0,$G97*IF($F97="Aylık",MAX(0,(YEAR(MIN(IF($E97="",TODAY(),$E97),TODAY()))-YEAR($D97))*12+MONTH(MIN(IF($E97="",TODAY(),$E97),TODAY()))-MONTH($D97)+IF(MIN(IF($E97="",TODAY(),$E97),TODAY())&gt;=EOMONTH(MIN(IF($E97="",TODAY(),$E97),TODAY()),0),1,0)),MAX(0,INT((MIN(IF($E97="",TODAY(),$E97),TODAY())-($D97+MOD(SISTEM!$F$8-WEEKDAY($D97,2),7)))/7)+1)))</f>
        <v/>
      </c>
      <c r="J97" s="227">
        <f>IF(OR($C97="",$D97="",$G97="",$F97=""),0,$G97*IF($F97="Aylık",MAX(0,(YEAR(MIN(IF($E97="",TODAY()-8,$E97),TODAY()-8))-YEAR($D97))*12+MONTH(MIN(IF($E97="",TODAY()-8,$E97),TODAY()-8))-MONTH($D97)+IF(MIN(IF($E97="",TODAY()-8,$E97),TODAY()-8)&gt;=EOMONTH(MIN(IF($E97="",TODAY()-8,$E97),TODAY()-8),0),1,0)),MAX(0,INT((MIN(IF($E97="",TODAY()-8,$E97),TODAY()-8)-($D97+MOD(SISTEM!$F$8-WEEKDAY($D97,2),7)))/7)+1)))</f>
        <v/>
      </c>
      <c r="K97" s="227">
        <f>IF(OR($C97="",$D97="",$G97="",$F97=""),0,$G97*IF($F97="Aylık",MAX(0,(YEAR(MIN(IF($E97="",TODAY()-15,$E97),TODAY()-15))-YEAR($D97))*12+MONTH(MIN(IF($E97="",TODAY()-15,$E97),TODAY()-15))-MONTH($D97)+IF(MIN(IF($E97="",TODAY()-15,$E97),TODAY()-15)&gt;=EOMONTH(MIN(IF($E97="",TODAY()-15,$E97),TODAY()-15),0),1,0)),MAX(0,INT((MIN(IF($E97="",TODAY()-15,$E97),TODAY()-15)-($D97+MOD(SISTEM!$F$8-WEEKDAY($D97,2),7)))/7)+1)))</f>
        <v/>
      </c>
      <c r="L97" s="227">
        <f>IF(OR($C97="",$D97="",$G97="",$F97=""),0,$G97*IF($F97="Aylık",MAX(0,(YEAR(MIN(IF($E97="",TODAY()-29,$E97),TODAY()-29))-YEAR($D97))*12+MONTH(MIN(IF($E97="",TODAY()-29,$E97),TODAY()-29))-MONTH($D97)+IF(MIN(IF($E97="",TODAY()-29,$E97),TODAY()-29)&gt;=EOMONTH(MIN(IF($E97="",TODAY()-29,$E97),TODAY()-29),0),1,0)),MAX(0,INT((MIN(IF($E97="",TODAY()-29,$E97),TODAY()-29)-($D97+MOD(SISTEM!$F$8-WEEKDAY($D97,2),7)))/7)+1)))</f>
        <v/>
      </c>
      <c r="M97" s="228">
        <f>IF($G97&gt;0,$I97/$G97,0)</f>
        <v/>
      </c>
      <c r="N97" s="113">
        <f>IF($C97="","",IF($B97="TANIMSIZ MÜŞTERİ","TANIMSIZ MÜŞTERİ",IF($F97="","MODEL SEÇİN",IF(OR($D97="",$G97&lt;=0),"EKSİK",IF(AND($E97&lt;&gt;"",$E97&lt;$D97),"TARİH HATASI",IF($H97="Pasif","KAPALI DÖNEM","UYGUN"))))))</f>
        <v/>
      </c>
      <c r="O97" s="229">
        <f>IF(OR($C97="",$D97="",$F97=""),"",IF($F97="Aylık",EOMONTH($D97,0),($D97+MOD(SISTEM!$F$8-WEEKDAY($D97,2),7))))</f>
        <v/>
      </c>
      <c r="P97" s="109" t="n"/>
      <c r="Q97" s="6" t="n"/>
      <c r="R97" s="6" t="n"/>
      <c r="S97" s="3">
        <f>IF($B97="","",$B97&amp;"|"&amp;COUNTIFS($B$7:$B97,$B97))</f>
        <v/>
      </c>
    </row>
    <row r="98">
      <c r="A98" s="6" t="n"/>
      <c r="B98" s="113">
        <f>IF($C98="","",IFERROR(INDEX(MUSTERILER!$B$7:$B$106,MATCH($C98,MUSTERILER!$C$7:$C$106,0)),IFERROR(INDEX(MUSTERILER!$B$7:$B$106,MATCH($C98,MUSTERILER!$B$7:$B$106,0)),IFERROR(INDEX(MUSTERILER!$B$7:$B$106,MATCH($C98&amp;"*",MUSTERILER!$C$7:$C$106,0)),"TANIMSIZ MÜŞTERİ"))))</f>
        <v/>
      </c>
      <c r="C98" s="109" t="n"/>
      <c r="D98" s="225" t="n"/>
      <c r="E98" s="225" t="n"/>
      <c r="F98" s="108" t="n"/>
      <c r="G98" s="226" t="n"/>
      <c r="H98" s="108" t="n"/>
      <c r="I98" s="227">
        <f>IF(OR($C98="",$D98="",$G98="",$F98=""),0,$G98*IF($F98="Aylık",MAX(0,(YEAR(MIN(IF($E98="",TODAY(),$E98),TODAY()))-YEAR($D98))*12+MONTH(MIN(IF($E98="",TODAY(),$E98),TODAY()))-MONTH($D98)+IF(MIN(IF($E98="",TODAY(),$E98),TODAY())&gt;=EOMONTH(MIN(IF($E98="",TODAY(),$E98),TODAY()),0),1,0)),MAX(0,INT((MIN(IF($E98="",TODAY(),$E98),TODAY())-($D98+MOD(SISTEM!$F$8-WEEKDAY($D98,2),7)))/7)+1)))</f>
        <v/>
      </c>
      <c r="J98" s="227">
        <f>IF(OR($C98="",$D98="",$G98="",$F98=""),0,$G98*IF($F98="Aylık",MAX(0,(YEAR(MIN(IF($E98="",TODAY()-8,$E98),TODAY()-8))-YEAR($D98))*12+MONTH(MIN(IF($E98="",TODAY()-8,$E98),TODAY()-8))-MONTH($D98)+IF(MIN(IF($E98="",TODAY()-8,$E98),TODAY()-8)&gt;=EOMONTH(MIN(IF($E98="",TODAY()-8,$E98),TODAY()-8),0),1,0)),MAX(0,INT((MIN(IF($E98="",TODAY()-8,$E98),TODAY()-8)-($D98+MOD(SISTEM!$F$8-WEEKDAY($D98,2),7)))/7)+1)))</f>
        <v/>
      </c>
      <c r="K98" s="227">
        <f>IF(OR($C98="",$D98="",$G98="",$F98=""),0,$G98*IF($F98="Aylık",MAX(0,(YEAR(MIN(IF($E98="",TODAY()-15,$E98),TODAY()-15))-YEAR($D98))*12+MONTH(MIN(IF($E98="",TODAY()-15,$E98),TODAY()-15))-MONTH($D98)+IF(MIN(IF($E98="",TODAY()-15,$E98),TODAY()-15)&gt;=EOMONTH(MIN(IF($E98="",TODAY()-15,$E98),TODAY()-15),0),1,0)),MAX(0,INT((MIN(IF($E98="",TODAY()-15,$E98),TODAY()-15)-($D98+MOD(SISTEM!$F$8-WEEKDAY($D98,2),7)))/7)+1)))</f>
        <v/>
      </c>
      <c r="L98" s="227">
        <f>IF(OR($C98="",$D98="",$G98="",$F98=""),0,$G98*IF($F98="Aylık",MAX(0,(YEAR(MIN(IF($E98="",TODAY()-29,$E98),TODAY()-29))-YEAR($D98))*12+MONTH(MIN(IF($E98="",TODAY()-29,$E98),TODAY()-29))-MONTH($D98)+IF(MIN(IF($E98="",TODAY()-29,$E98),TODAY()-29)&gt;=EOMONTH(MIN(IF($E98="",TODAY()-29,$E98),TODAY()-29),0),1,0)),MAX(0,INT((MIN(IF($E98="",TODAY()-29,$E98),TODAY()-29)-($D98+MOD(SISTEM!$F$8-WEEKDAY($D98,2),7)))/7)+1)))</f>
        <v/>
      </c>
      <c r="M98" s="228">
        <f>IF($G98&gt;0,$I98/$G98,0)</f>
        <v/>
      </c>
      <c r="N98" s="113">
        <f>IF($C98="","",IF($B98="TANIMSIZ MÜŞTERİ","TANIMSIZ MÜŞTERİ",IF($F98="","MODEL SEÇİN",IF(OR($D98="",$G98&lt;=0),"EKSİK",IF(AND($E98&lt;&gt;"",$E98&lt;$D98),"TARİH HATASI",IF($H98="Pasif","KAPALI DÖNEM","UYGUN"))))))</f>
        <v/>
      </c>
      <c r="O98" s="229">
        <f>IF(OR($C98="",$D98="",$F98=""),"",IF($F98="Aylık",EOMONTH($D98,0),($D98+MOD(SISTEM!$F$8-WEEKDAY($D98,2),7))))</f>
        <v/>
      </c>
      <c r="P98" s="109" t="n"/>
      <c r="Q98" s="6" t="n"/>
      <c r="R98" s="6" t="n"/>
      <c r="S98" s="3">
        <f>IF($B98="","",$B98&amp;"|"&amp;COUNTIFS($B$7:$B98,$B98))</f>
        <v/>
      </c>
    </row>
    <row r="99">
      <c r="A99" s="6" t="n"/>
      <c r="B99" s="113">
        <f>IF($C99="","",IFERROR(INDEX(MUSTERILER!$B$7:$B$106,MATCH($C99,MUSTERILER!$C$7:$C$106,0)),IFERROR(INDEX(MUSTERILER!$B$7:$B$106,MATCH($C99,MUSTERILER!$B$7:$B$106,0)),IFERROR(INDEX(MUSTERILER!$B$7:$B$106,MATCH($C99&amp;"*",MUSTERILER!$C$7:$C$106,0)),"TANIMSIZ MÜŞTERİ"))))</f>
        <v/>
      </c>
      <c r="C99" s="109" t="n"/>
      <c r="D99" s="225" t="n"/>
      <c r="E99" s="225" t="n"/>
      <c r="F99" s="108" t="n"/>
      <c r="G99" s="226" t="n"/>
      <c r="H99" s="108" t="n"/>
      <c r="I99" s="227">
        <f>IF(OR($C99="",$D99="",$G99="",$F99=""),0,$G99*IF($F99="Aylık",MAX(0,(YEAR(MIN(IF($E99="",TODAY(),$E99),TODAY()))-YEAR($D99))*12+MONTH(MIN(IF($E99="",TODAY(),$E99),TODAY()))-MONTH($D99)+IF(MIN(IF($E99="",TODAY(),$E99),TODAY())&gt;=EOMONTH(MIN(IF($E99="",TODAY(),$E99),TODAY()),0),1,0)),MAX(0,INT((MIN(IF($E99="",TODAY(),$E99),TODAY())-($D99+MOD(SISTEM!$F$8-WEEKDAY($D99,2),7)))/7)+1)))</f>
        <v/>
      </c>
      <c r="J99" s="227">
        <f>IF(OR($C99="",$D99="",$G99="",$F99=""),0,$G99*IF($F99="Aylık",MAX(0,(YEAR(MIN(IF($E99="",TODAY()-8,$E99),TODAY()-8))-YEAR($D99))*12+MONTH(MIN(IF($E99="",TODAY()-8,$E99),TODAY()-8))-MONTH($D99)+IF(MIN(IF($E99="",TODAY()-8,$E99),TODAY()-8)&gt;=EOMONTH(MIN(IF($E99="",TODAY()-8,$E99),TODAY()-8),0),1,0)),MAX(0,INT((MIN(IF($E99="",TODAY()-8,$E99),TODAY()-8)-($D99+MOD(SISTEM!$F$8-WEEKDAY($D99,2),7)))/7)+1)))</f>
        <v/>
      </c>
      <c r="K99" s="227">
        <f>IF(OR($C99="",$D99="",$G99="",$F99=""),0,$G99*IF($F99="Aylık",MAX(0,(YEAR(MIN(IF($E99="",TODAY()-15,$E99),TODAY()-15))-YEAR($D99))*12+MONTH(MIN(IF($E99="",TODAY()-15,$E99),TODAY()-15))-MONTH($D99)+IF(MIN(IF($E99="",TODAY()-15,$E99),TODAY()-15)&gt;=EOMONTH(MIN(IF($E99="",TODAY()-15,$E99),TODAY()-15),0),1,0)),MAX(0,INT((MIN(IF($E99="",TODAY()-15,$E99),TODAY()-15)-($D99+MOD(SISTEM!$F$8-WEEKDAY($D99,2),7)))/7)+1)))</f>
        <v/>
      </c>
      <c r="L99" s="227">
        <f>IF(OR($C99="",$D99="",$G99="",$F99=""),0,$G99*IF($F99="Aylık",MAX(0,(YEAR(MIN(IF($E99="",TODAY()-29,$E99),TODAY()-29))-YEAR($D99))*12+MONTH(MIN(IF($E99="",TODAY()-29,$E99),TODAY()-29))-MONTH($D99)+IF(MIN(IF($E99="",TODAY()-29,$E99),TODAY()-29)&gt;=EOMONTH(MIN(IF($E99="",TODAY()-29,$E99),TODAY()-29),0),1,0)),MAX(0,INT((MIN(IF($E99="",TODAY()-29,$E99),TODAY()-29)-($D99+MOD(SISTEM!$F$8-WEEKDAY($D99,2),7)))/7)+1)))</f>
        <v/>
      </c>
      <c r="M99" s="228">
        <f>IF($G99&gt;0,$I99/$G99,0)</f>
        <v/>
      </c>
      <c r="N99" s="113">
        <f>IF($C99="","",IF($B99="TANIMSIZ MÜŞTERİ","TANIMSIZ MÜŞTERİ",IF($F99="","MODEL SEÇİN",IF(OR($D99="",$G99&lt;=0),"EKSİK",IF(AND($E99&lt;&gt;"",$E99&lt;$D99),"TARİH HATASI",IF($H99="Pasif","KAPALI DÖNEM","UYGUN"))))))</f>
        <v/>
      </c>
      <c r="O99" s="229">
        <f>IF(OR($C99="",$D99="",$F99=""),"",IF($F99="Aylık",EOMONTH($D99,0),($D99+MOD(SISTEM!$F$8-WEEKDAY($D99,2),7))))</f>
        <v/>
      </c>
      <c r="P99" s="109" t="n"/>
      <c r="Q99" s="6" t="n"/>
      <c r="R99" s="6" t="n"/>
      <c r="S99" s="3">
        <f>IF($B99="","",$B99&amp;"|"&amp;COUNTIFS($B$7:$B99,$B99))</f>
        <v/>
      </c>
    </row>
    <row r="100">
      <c r="A100" s="6" t="n"/>
      <c r="B100" s="113">
        <f>IF($C100="","",IFERROR(INDEX(MUSTERILER!$B$7:$B$106,MATCH($C100,MUSTERILER!$C$7:$C$106,0)),IFERROR(INDEX(MUSTERILER!$B$7:$B$106,MATCH($C100,MUSTERILER!$B$7:$B$106,0)),IFERROR(INDEX(MUSTERILER!$B$7:$B$106,MATCH($C100&amp;"*",MUSTERILER!$C$7:$C$106,0)),"TANIMSIZ MÜŞTERİ"))))</f>
        <v/>
      </c>
      <c r="C100" s="109" t="n"/>
      <c r="D100" s="225" t="n"/>
      <c r="E100" s="225" t="n"/>
      <c r="F100" s="108" t="n"/>
      <c r="G100" s="226" t="n"/>
      <c r="H100" s="108" t="n"/>
      <c r="I100" s="227">
        <f>IF(OR($C100="",$D100="",$G100="",$F100=""),0,$G100*IF($F100="Aylık",MAX(0,(YEAR(MIN(IF($E100="",TODAY(),$E100),TODAY()))-YEAR($D100))*12+MONTH(MIN(IF($E100="",TODAY(),$E100),TODAY()))-MONTH($D100)+IF(MIN(IF($E100="",TODAY(),$E100),TODAY())&gt;=EOMONTH(MIN(IF($E100="",TODAY(),$E100),TODAY()),0),1,0)),MAX(0,INT((MIN(IF($E100="",TODAY(),$E100),TODAY())-($D100+MOD(SISTEM!$F$8-WEEKDAY($D100,2),7)))/7)+1)))</f>
        <v/>
      </c>
      <c r="J100" s="227">
        <f>IF(OR($C100="",$D100="",$G100="",$F100=""),0,$G100*IF($F100="Aylık",MAX(0,(YEAR(MIN(IF($E100="",TODAY()-8,$E100),TODAY()-8))-YEAR($D100))*12+MONTH(MIN(IF($E100="",TODAY()-8,$E100),TODAY()-8))-MONTH($D100)+IF(MIN(IF($E100="",TODAY()-8,$E100),TODAY()-8)&gt;=EOMONTH(MIN(IF($E100="",TODAY()-8,$E100),TODAY()-8),0),1,0)),MAX(0,INT((MIN(IF($E100="",TODAY()-8,$E100),TODAY()-8)-($D100+MOD(SISTEM!$F$8-WEEKDAY($D100,2),7)))/7)+1)))</f>
        <v/>
      </c>
      <c r="K100" s="227">
        <f>IF(OR($C100="",$D100="",$G100="",$F100=""),0,$G100*IF($F100="Aylık",MAX(0,(YEAR(MIN(IF($E100="",TODAY()-15,$E100),TODAY()-15))-YEAR($D100))*12+MONTH(MIN(IF($E100="",TODAY()-15,$E100),TODAY()-15))-MONTH($D100)+IF(MIN(IF($E100="",TODAY()-15,$E100),TODAY()-15)&gt;=EOMONTH(MIN(IF($E100="",TODAY()-15,$E100),TODAY()-15),0),1,0)),MAX(0,INT((MIN(IF($E100="",TODAY()-15,$E100),TODAY()-15)-($D100+MOD(SISTEM!$F$8-WEEKDAY($D100,2),7)))/7)+1)))</f>
        <v/>
      </c>
      <c r="L100" s="227">
        <f>IF(OR($C100="",$D100="",$G100="",$F100=""),0,$G100*IF($F100="Aylık",MAX(0,(YEAR(MIN(IF($E100="",TODAY()-29,$E100),TODAY()-29))-YEAR($D100))*12+MONTH(MIN(IF($E100="",TODAY()-29,$E100),TODAY()-29))-MONTH($D100)+IF(MIN(IF($E100="",TODAY()-29,$E100),TODAY()-29)&gt;=EOMONTH(MIN(IF($E100="",TODAY()-29,$E100),TODAY()-29),0),1,0)),MAX(0,INT((MIN(IF($E100="",TODAY()-29,$E100),TODAY()-29)-($D100+MOD(SISTEM!$F$8-WEEKDAY($D100,2),7)))/7)+1)))</f>
        <v/>
      </c>
      <c r="M100" s="228">
        <f>IF($G100&gt;0,$I100/$G100,0)</f>
        <v/>
      </c>
      <c r="N100" s="113">
        <f>IF($C100="","",IF($B100="TANIMSIZ MÜŞTERİ","TANIMSIZ MÜŞTERİ",IF($F100="","MODEL SEÇİN",IF(OR($D100="",$G100&lt;=0),"EKSİK",IF(AND($E100&lt;&gt;"",$E100&lt;$D100),"TARİH HATASI",IF($H100="Pasif","KAPALI DÖNEM","UYGUN"))))))</f>
        <v/>
      </c>
      <c r="O100" s="229">
        <f>IF(OR($C100="",$D100="",$F100=""),"",IF($F100="Aylık",EOMONTH($D100,0),($D100+MOD(SISTEM!$F$8-WEEKDAY($D100,2),7))))</f>
        <v/>
      </c>
      <c r="P100" s="109" t="n"/>
      <c r="Q100" s="6" t="n"/>
      <c r="R100" s="6" t="n"/>
      <c r="S100" s="3">
        <f>IF($B100="","",$B100&amp;"|"&amp;COUNTIFS($B$7:$B100,$B100))</f>
        <v/>
      </c>
    </row>
    <row r="101">
      <c r="A101" s="6" t="n"/>
      <c r="B101" s="113">
        <f>IF($C101="","",IFERROR(INDEX(MUSTERILER!$B$7:$B$106,MATCH($C101,MUSTERILER!$C$7:$C$106,0)),IFERROR(INDEX(MUSTERILER!$B$7:$B$106,MATCH($C101,MUSTERILER!$B$7:$B$106,0)),IFERROR(INDEX(MUSTERILER!$B$7:$B$106,MATCH($C101&amp;"*",MUSTERILER!$C$7:$C$106,0)),"TANIMSIZ MÜŞTERİ"))))</f>
        <v/>
      </c>
      <c r="C101" s="109" t="n"/>
      <c r="D101" s="225" t="n"/>
      <c r="E101" s="225" t="n"/>
      <c r="F101" s="108" t="n"/>
      <c r="G101" s="226" t="n"/>
      <c r="H101" s="108" t="n"/>
      <c r="I101" s="227">
        <f>IF(OR($C101="",$D101="",$G101="",$F101=""),0,$G101*IF($F101="Aylık",MAX(0,(YEAR(MIN(IF($E101="",TODAY(),$E101),TODAY()))-YEAR($D101))*12+MONTH(MIN(IF($E101="",TODAY(),$E101),TODAY()))-MONTH($D101)+IF(MIN(IF($E101="",TODAY(),$E101),TODAY())&gt;=EOMONTH(MIN(IF($E101="",TODAY(),$E101),TODAY()),0),1,0)),MAX(0,INT((MIN(IF($E101="",TODAY(),$E101),TODAY())-($D101+MOD(SISTEM!$F$8-WEEKDAY($D101,2),7)))/7)+1)))</f>
        <v/>
      </c>
      <c r="J101" s="227">
        <f>IF(OR($C101="",$D101="",$G101="",$F101=""),0,$G101*IF($F101="Aylık",MAX(0,(YEAR(MIN(IF($E101="",TODAY()-8,$E101),TODAY()-8))-YEAR($D101))*12+MONTH(MIN(IF($E101="",TODAY()-8,$E101),TODAY()-8))-MONTH($D101)+IF(MIN(IF($E101="",TODAY()-8,$E101),TODAY()-8)&gt;=EOMONTH(MIN(IF($E101="",TODAY()-8,$E101),TODAY()-8),0),1,0)),MAX(0,INT((MIN(IF($E101="",TODAY()-8,$E101),TODAY()-8)-($D101+MOD(SISTEM!$F$8-WEEKDAY($D101,2),7)))/7)+1)))</f>
        <v/>
      </c>
      <c r="K101" s="227">
        <f>IF(OR($C101="",$D101="",$G101="",$F101=""),0,$G101*IF($F101="Aylık",MAX(0,(YEAR(MIN(IF($E101="",TODAY()-15,$E101),TODAY()-15))-YEAR($D101))*12+MONTH(MIN(IF($E101="",TODAY()-15,$E101),TODAY()-15))-MONTH($D101)+IF(MIN(IF($E101="",TODAY()-15,$E101),TODAY()-15)&gt;=EOMONTH(MIN(IF($E101="",TODAY()-15,$E101),TODAY()-15),0),1,0)),MAX(0,INT((MIN(IF($E101="",TODAY()-15,$E101),TODAY()-15)-($D101+MOD(SISTEM!$F$8-WEEKDAY($D101,2),7)))/7)+1)))</f>
        <v/>
      </c>
      <c r="L101" s="227">
        <f>IF(OR($C101="",$D101="",$G101="",$F101=""),0,$G101*IF($F101="Aylık",MAX(0,(YEAR(MIN(IF($E101="",TODAY()-29,$E101),TODAY()-29))-YEAR($D101))*12+MONTH(MIN(IF($E101="",TODAY()-29,$E101),TODAY()-29))-MONTH($D101)+IF(MIN(IF($E101="",TODAY()-29,$E101),TODAY()-29)&gt;=EOMONTH(MIN(IF($E101="",TODAY()-29,$E101),TODAY()-29),0),1,0)),MAX(0,INT((MIN(IF($E101="",TODAY()-29,$E101),TODAY()-29)-($D101+MOD(SISTEM!$F$8-WEEKDAY($D101,2),7)))/7)+1)))</f>
        <v/>
      </c>
      <c r="M101" s="228">
        <f>IF($G101&gt;0,$I101/$G101,0)</f>
        <v/>
      </c>
      <c r="N101" s="113">
        <f>IF($C101="","",IF($B101="TANIMSIZ MÜŞTERİ","TANIMSIZ MÜŞTERİ",IF($F101="","MODEL SEÇİN",IF(OR($D101="",$G101&lt;=0),"EKSİK",IF(AND($E101&lt;&gt;"",$E101&lt;$D101),"TARİH HATASI",IF($H101="Pasif","KAPALI DÖNEM","UYGUN"))))))</f>
        <v/>
      </c>
      <c r="O101" s="229">
        <f>IF(OR($C101="",$D101="",$F101=""),"",IF($F101="Aylık",EOMONTH($D101,0),($D101+MOD(SISTEM!$F$8-WEEKDAY($D101,2),7))))</f>
        <v/>
      </c>
      <c r="P101" s="109" t="n"/>
      <c r="Q101" s="6" t="n"/>
      <c r="R101" s="6" t="n"/>
      <c r="S101" s="3">
        <f>IF($B101="","",$B101&amp;"|"&amp;COUNTIFS($B$7:$B101,$B101))</f>
        <v/>
      </c>
    </row>
    <row r="102">
      <c r="A102" s="6" t="n"/>
      <c r="B102" s="113">
        <f>IF($C102="","",IFERROR(INDEX(MUSTERILER!$B$7:$B$106,MATCH($C102,MUSTERILER!$C$7:$C$106,0)),IFERROR(INDEX(MUSTERILER!$B$7:$B$106,MATCH($C102,MUSTERILER!$B$7:$B$106,0)),IFERROR(INDEX(MUSTERILER!$B$7:$B$106,MATCH($C102&amp;"*",MUSTERILER!$C$7:$C$106,0)),"TANIMSIZ MÜŞTERİ"))))</f>
        <v/>
      </c>
      <c r="C102" s="109" t="n"/>
      <c r="D102" s="225" t="n"/>
      <c r="E102" s="225" t="n"/>
      <c r="F102" s="108" t="n"/>
      <c r="G102" s="226" t="n"/>
      <c r="H102" s="108" t="n"/>
      <c r="I102" s="227">
        <f>IF(OR($C102="",$D102="",$G102="",$F102=""),0,$G102*IF($F102="Aylık",MAX(0,(YEAR(MIN(IF($E102="",TODAY(),$E102),TODAY()))-YEAR($D102))*12+MONTH(MIN(IF($E102="",TODAY(),$E102),TODAY()))-MONTH($D102)+IF(MIN(IF($E102="",TODAY(),$E102),TODAY())&gt;=EOMONTH(MIN(IF($E102="",TODAY(),$E102),TODAY()),0),1,0)),MAX(0,INT((MIN(IF($E102="",TODAY(),$E102),TODAY())-($D102+MOD(SISTEM!$F$8-WEEKDAY($D102,2),7)))/7)+1)))</f>
        <v/>
      </c>
      <c r="J102" s="227">
        <f>IF(OR($C102="",$D102="",$G102="",$F102=""),0,$G102*IF($F102="Aylık",MAX(0,(YEAR(MIN(IF($E102="",TODAY()-8,$E102),TODAY()-8))-YEAR($D102))*12+MONTH(MIN(IF($E102="",TODAY()-8,$E102),TODAY()-8))-MONTH($D102)+IF(MIN(IF($E102="",TODAY()-8,$E102),TODAY()-8)&gt;=EOMONTH(MIN(IF($E102="",TODAY()-8,$E102),TODAY()-8),0),1,0)),MAX(0,INT((MIN(IF($E102="",TODAY()-8,$E102),TODAY()-8)-($D102+MOD(SISTEM!$F$8-WEEKDAY($D102,2),7)))/7)+1)))</f>
        <v/>
      </c>
      <c r="K102" s="227">
        <f>IF(OR($C102="",$D102="",$G102="",$F102=""),0,$G102*IF($F102="Aylık",MAX(0,(YEAR(MIN(IF($E102="",TODAY()-15,$E102),TODAY()-15))-YEAR($D102))*12+MONTH(MIN(IF($E102="",TODAY()-15,$E102),TODAY()-15))-MONTH($D102)+IF(MIN(IF($E102="",TODAY()-15,$E102),TODAY()-15)&gt;=EOMONTH(MIN(IF($E102="",TODAY()-15,$E102),TODAY()-15),0),1,0)),MAX(0,INT((MIN(IF($E102="",TODAY()-15,$E102),TODAY()-15)-($D102+MOD(SISTEM!$F$8-WEEKDAY($D102,2),7)))/7)+1)))</f>
        <v/>
      </c>
      <c r="L102" s="227">
        <f>IF(OR($C102="",$D102="",$G102="",$F102=""),0,$G102*IF($F102="Aylık",MAX(0,(YEAR(MIN(IF($E102="",TODAY()-29,$E102),TODAY()-29))-YEAR($D102))*12+MONTH(MIN(IF($E102="",TODAY()-29,$E102),TODAY()-29))-MONTH($D102)+IF(MIN(IF($E102="",TODAY()-29,$E102),TODAY()-29)&gt;=EOMONTH(MIN(IF($E102="",TODAY()-29,$E102),TODAY()-29),0),1,0)),MAX(0,INT((MIN(IF($E102="",TODAY()-29,$E102),TODAY()-29)-($D102+MOD(SISTEM!$F$8-WEEKDAY($D102,2),7)))/7)+1)))</f>
        <v/>
      </c>
      <c r="M102" s="228">
        <f>IF($G102&gt;0,$I102/$G102,0)</f>
        <v/>
      </c>
      <c r="N102" s="113">
        <f>IF($C102="","",IF($B102="TANIMSIZ MÜŞTERİ","TANIMSIZ MÜŞTERİ",IF($F102="","MODEL SEÇİN",IF(OR($D102="",$G102&lt;=0),"EKSİK",IF(AND($E102&lt;&gt;"",$E102&lt;$D102),"TARİH HATASI",IF($H102="Pasif","KAPALI DÖNEM","UYGUN"))))))</f>
        <v/>
      </c>
      <c r="O102" s="229">
        <f>IF(OR($C102="",$D102="",$F102=""),"",IF($F102="Aylık",EOMONTH($D102,0),($D102+MOD(SISTEM!$F$8-WEEKDAY($D102,2),7))))</f>
        <v/>
      </c>
      <c r="P102" s="109" t="n"/>
      <c r="Q102" s="6" t="n"/>
      <c r="R102" s="6" t="n"/>
      <c r="S102" s="3">
        <f>IF($B102="","",$B102&amp;"|"&amp;COUNTIFS($B$7:$B102,$B102))</f>
        <v/>
      </c>
    </row>
    <row r="103">
      <c r="A103" s="6" t="n"/>
      <c r="B103" s="113">
        <f>IF($C103="","",IFERROR(INDEX(MUSTERILER!$B$7:$B$106,MATCH($C103,MUSTERILER!$C$7:$C$106,0)),IFERROR(INDEX(MUSTERILER!$B$7:$B$106,MATCH($C103,MUSTERILER!$B$7:$B$106,0)),IFERROR(INDEX(MUSTERILER!$B$7:$B$106,MATCH($C103&amp;"*",MUSTERILER!$C$7:$C$106,0)),"TANIMSIZ MÜŞTERİ"))))</f>
        <v/>
      </c>
      <c r="C103" s="109" t="n"/>
      <c r="D103" s="225" t="n"/>
      <c r="E103" s="225" t="n"/>
      <c r="F103" s="108" t="n"/>
      <c r="G103" s="226" t="n"/>
      <c r="H103" s="108" t="n"/>
      <c r="I103" s="227">
        <f>IF(OR($C103="",$D103="",$G103="",$F103=""),0,$G103*IF($F103="Aylık",MAX(0,(YEAR(MIN(IF($E103="",TODAY(),$E103),TODAY()))-YEAR($D103))*12+MONTH(MIN(IF($E103="",TODAY(),$E103),TODAY()))-MONTH($D103)+IF(MIN(IF($E103="",TODAY(),$E103),TODAY())&gt;=EOMONTH(MIN(IF($E103="",TODAY(),$E103),TODAY()),0),1,0)),MAX(0,INT((MIN(IF($E103="",TODAY(),$E103),TODAY())-($D103+MOD(SISTEM!$F$8-WEEKDAY($D103,2),7)))/7)+1)))</f>
        <v/>
      </c>
      <c r="J103" s="227">
        <f>IF(OR($C103="",$D103="",$G103="",$F103=""),0,$G103*IF($F103="Aylık",MAX(0,(YEAR(MIN(IF($E103="",TODAY()-8,$E103),TODAY()-8))-YEAR($D103))*12+MONTH(MIN(IF($E103="",TODAY()-8,$E103),TODAY()-8))-MONTH($D103)+IF(MIN(IF($E103="",TODAY()-8,$E103),TODAY()-8)&gt;=EOMONTH(MIN(IF($E103="",TODAY()-8,$E103),TODAY()-8),0),1,0)),MAX(0,INT((MIN(IF($E103="",TODAY()-8,$E103),TODAY()-8)-($D103+MOD(SISTEM!$F$8-WEEKDAY($D103,2),7)))/7)+1)))</f>
        <v/>
      </c>
      <c r="K103" s="227">
        <f>IF(OR($C103="",$D103="",$G103="",$F103=""),0,$G103*IF($F103="Aylık",MAX(0,(YEAR(MIN(IF($E103="",TODAY()-15,$E103),TODAY()-15))-YEAR($D103))*12+MONTH(MIN(IF($E103="",TODAY()-15,$E103),TODAY()-15))-MONTH($D103)+IF(MIN(IF($E103="",TODAY()-15,$E103),TODAY()-15)&gt;=EOMONTH(MIN(IF($E103="",TODAY()-15,$E103),TODAY()-15),0),1,0)),MAX(0,INT((MIN(IF($E103="",TODAY()-15,$E103),TODAY()-15)-($D103+MOD(SISTEM!$F$8-WEEKDAY($D103,2),7)))/7)+1)))</f>
        <v/>
      </c>
      <c r="L103" s="227">
        <f>IF(OR($C103="",$D103="",$G103="",$F103=""),0,$G103*IF($F103="Aylık",MAX(0,(YEAR(MIN(IF($E103="",TODAY()-29,$E103),TODAY()-29))-YEAR($D103))*12+MONTH(MIN(IF($E103="",TODAY()-29,$E103),TODAY()-29))-MONTH($D103)+IF(MIN(IF($E103="",TODAY()-29,$E103),TODAY()-29)&gt;=EOMONTH(MIN(IF($E103="",TODAY()-29,$E103),TODAY()-29),0),1,0)),MAX(0,INT((MIN(IF($E103="",TODAY()-29,$E103),TODAY()-29)-($D103+MOD(SISTEM!$F$8-WEEKDAY($D103,2),7)))/7)+1)))</f>
        <v/>
      </c>
      <c r="M103" s="228">
        <f>IF($G103&gt;0,$I103/$G103,0)</f>
        <v/>
      </c>
      <c r="N103" s="113">
        <f>IF($C103="","",IF($B103="TANIMSIZ MÜŞTERİ","TANIMSIZ MÜŞTERİ",IF($F103="","MODEL SEÇİN",IF(OR($D103="",$G103&lt;=0),"EKSİK",IF(AND($E103&lt;&gt;"",$E103&lt;$D103),"TARİH HATASI",IF($H103="Pasif","KAPALI DÖNEM","UYGUN"))))))</f>
        <v/>
      </c>
      <c r="O103" s="229">
        <f>IF(OR($C103="",$D103="",$F103=""),"",IF($F103="Aylık",EOMONTH($D103,0),($D103+MOD(SISTEM!$F$8-WEEKDAY($D103,2),7))))</f>
        <v/>
      </c>
      <c r="P103" s="109" t="n"/>
      <c r="Q103" s="6" t="n"/>
      <c r="R103" s="6" t="n"/>
      <c r="S103" s="3">
        <f>IF($B103="","",$B103&amp;"|"&amp;COUNTIFS($B$7:$B103,$B103))</f>
        <v/>
      </c>
    </row>
    <row r="104">
      <c r="A104" s="6" t="n"/>
      <c r="B104" s="113">
        <f>IF($C104="","",IFERROR(INDEX(MUSTERILER!$B$7:$B$106,MATCH($C104,MUSTERILER!$C$7:$C$106,0)),IFERROR(INDEX(MUSTERILER!$B$7:$B$106,MATCH($C104,MUSTERILER!$B$7:$B$106,0)),IFERROR(INDEX(MUSTERILER!$B$7:$B$106,MATCH($C104&amp;"*",MUSTERILER!$C$7:$C$106,0)),"TANIMSIZ MÜŞTERİ"))))</f>
        <v/>
      </c>
      <c r="C104" s="109" t="n"/>
      <c r="D104" s="225" t="n"/>
      <c r="E104" s="225" t="n"/>
      <c r="F104" s="108" t="n"/>
      <c r="G104" s="226" t="n"/>
      <c r="H104" s="108" t="n"/>
      <c r="I104" s="227">
        <f>IF(OR($C104="",$D104="",$G104="",$F104=""),0,$G104*IF($F104="Aylık",MAX(0,(YEAR(MIN(IF($E104="",TODAY(),$E104),TODAY()))-YEAR($D104))*12+MONTH(MIN(IF($E104="",TODAY(),$E104),TODAY()))-MONTH($D104)+IF(MIN(IF($E104="",TODAY(),$E104),TODAY())&gt;=EOMONTH(MIN(IF($E104="",TODAY(),$E104),TODAY()),0),1,0)),MAX(0,INT((MIN(IF($E104="",TODAY(),$E104),TODAY())-($D104+MOD(SISTEM!$F$8-WEEKDAY($D104,2),7)))/7)+1)))</f>
        <v/>
      </c>
      <c r="J104" s="227">
        <f>IF(OR($C104="",$D104="",$G104="",$F104=""),0,$G104*IF($F104="Aylık",MAX(0,(YEAR(MIN(IF($E104="",TODAY()-8,$E104),TODAY()-8))-YEAR($D104))*12+MONTH(MIN(IF($E104="",TODAY()-8,$E104),TODAY()-8))-MONTH($D104)+IF(MIN(IF($E104="",TODAY()-8,$E104),TODAY()-8)&gt;=EOMONTH(MIN(IF($E104="",TODAY()-8,$E104),TODAY()-8),0),1,0)),MAX(0,INT((MIN(IF($E104="",TODAY()-8,$E104),TODAY()-8)-($D104+MOD(SISTEM!$F$8-WEEKDAY($D104,2),7)))/7)+1)))</f>
        <v/>
      </c>
      <c r="K104" s="227">
        <f>IF(OR($C104="",$D104="",$G104="",$F104=""),0,$G104*IF($F104="Aylık",MAX(0,(YEAR(MIN(IF($E104="",TODAY()-15,$E104),TODAY()-15))-YEAR($D104))*12+MONTH(MIN(IF($E104="",TODAY()-15,$E104),TODAY()-15))-MONTH($D104)+IF(MIN(IF($E104="",TODAY()-15,$E104),TODAY()-15)&gt;=EOMONTH(MIN(IF($E104="",TODAY()-15,$E104),TODAY()-15),0),1,0)),MAX(0,INT((MIN(IF($E104="",TODAY()-15,$E104),TODAY()-15)-($D104+MOD(SISTEM!$F$8-WEEKDAY($D104,2),7)))/7)+1)))</f>
        <v/>
      </c>
      <c r="L104" s="227">
        <f>IF(OR($C104="",$D104="",$G104="",$F104=""),0,$G104*IF($F104="Aylık",MAX(0,(YEAR(MIN(IF($E104="",TODAY()-29,$E104),TODAY()-29))-YEAR($D104))*12+MONTH(MIN(IF($E104="",TODAY()-29,$E104),TODAY()-29))-MONTH($D104)+IF(MIN(IF($E104="",TODAY()-29,$E104),TODAY()-29)&gt;=EOMONTH(MIN(IF($E104="",TODAY()-29,$E104),TODAY()-29),0),1,0)),MAX(0,INT((MIN(IF($E104="",TODAY()-29,$E104),TODAY()-29)-($D104+MOD(SISTEM!$F$8-WEEKDAY($D104,2),7)))/7)+1)))</f>
        <v/>
      </c>
      <c r="M104" s="228">
        <f>IF($G104&gt;0,$I104/$G104,0)</f>
        <v/>
      </c>
      <c r="N104" s="113">
        <f>IF($C104="","",IF($B104="TANIMSIZ MÜŞTERİ","TANIMSIZ MÜŞTERİ",IF($F104="","MODEL SEÇİN",IF(OR($D104="",$G104&lt;=0),"EKSİK",IF(AND($E104&lt;&gt;"",$E104&lt;$D104),"TARİH HATASI",IF($H104="Pasif","KAPALI DÖNEM","UYGUN"))))))</f>
        <v/>
      </c>
      <c r="O104" s="229">
        <f>IF(OR($C104="",$D104="",$F104=""),"",IF($F104="Aylık",EOMONTH($D104,0),($D104+MOD(SISTEM!$F$8-WEEKDAY($D104,2),7))))</f>
        <v/>
      </c>
      <c r="P104" s="109" t="n"/>
      <c r="Q104" s="6" t="n"/>
      <c r="R104" s="6" t="n"/>
      <c r="S104" s="3">
        <f>IF($B104="","",$B104&amp;"|"&amp;COUNTIFS($B$7:$B104,$B104))</f>
        <v/>
      </c>
    </row>
    <row r="105">
      <c r="A105" s="6" t="n"/>
      <c r="B105" s="113">
        <f>IF($C105="","",IFERROR(INDEX(MUSTERILER!$B$7:$B$106,MATCH($C105,MUSTERILER!$C$7:$C$106,0)),IFERROR(INDEX(MUSTERILER!$B$7:$B$106,MATCH($C105,MUSTERILER!$B$7:$B$106,0)),IFERROR(INDEX(MUSTERILER!$B$7:$B$106,MATCH($C105&amp;"*",MUSTERILER!$C$7:$C$106,0)),"TANIMSIZ MÜŞTERİ"))))</f>
        <v/>
      </c>
      <c r="C105" s="109" t="n"/>
      <c r="D105" s="225" t="n"/>
      <c r="E105" s="225" t="n"/>
      <c r="F105" s="108" t="n"/>
      <c r="G105" s="226" t="n"/>
      <c r="H105" s="108" t="n"/>
      <c r="I105" s="227">
        <f>IF(OR($C105="",$D105="",$G105="",$F105=""),0,$G105*IF($F105="Aylık",MAX(0,(YEAR(MIN(IF($E105="",TODAY(),$E105),TODAY()))-YEAR($D105))*12+MONTH(MIN(IF($E105="",TODAY(),$E105),TODAY()))-MONTH($D105)+IF(MIN(IF($E105="",TODAY(),$E105),TODAY())&gt;=EOMONTH(MIN(IF($E105="",TODAY(),$E105),TODAY()),0),1,0)),MAX(0,INT((MIN(IF($E105="",TODAY(),$E105),TODAY())-($D105+MOD(SISTEM!$F$8-WEEKDAY($D105,2),7)))/7)+1)))</f>
        <v/>
      </c>
      <c r="J105" s="227">
        <f>IF(OR($C105="",$D105="",$G105="",$F105=""),0,$G105*IF($F105="Aylık",MAX(0,(YEAR(MIN(IF($E105="",TODAY()-8,$E105),TODAY()-8))-YEAR($D105))*12+MONTH(MIN(IF($E105="",TODAY()-8,$E105),TODAY()-8))-MONTH($D105)+IF(MIN(IF($E105="",TODAY()-8,$E105),TODAY()-8)&gt;=EOMONTH(MIN(IF($E105="",TODAY()-8,$E105),TODAY()-8),0),1,0)),MAX(0,INT((MIN(IF($E105="",TODAY()-8,$E105),TODAY()-8)-($D105+MOD(SISTEM!$F$8-WEEKDAY($D105,2),7)))/7)+1)))</f>
        <v/>
      </c>
      <c r="K105" s="227">
        <f>IF(OR($C105="",$D105="",$G105="",$F105=""),0,$G105*IF($F105="Aylık",MAX(0,(YEAR(MIN(IF($E105="",TODAY()-15,$E105),TODAY()-15))-YEAR($D105))*12+MONTH(MIN(IF($E105="",TODAY()-15,$E105),TODAY()-15))-MONTH($D105)+IF(MIN(IF($E105="",TODAY()-15,$E105),TODAY()-15)&gt;=EOMONTH(MIN(IF($E105="",TODAY()-15,$E105),TODAY()-15),0),1,0)),MAX(0,INT((MIN(IF($E105="",TODAY()-15,$E105),TODAY()-15)-($D105+MOD(SISTEM!$F$8-WEEKDAY($D105,2),7)))/7)+1)))</f>
        <v/>
      </c>
      <c r="L105" s="227">
        <f>IF(OR($C105="",$D105="",$G105="",$F105=""),0,$G105*IF($F105="Aylık",MAX(0,(YEAR(MIN(IF($E105="",TODAY()-29,$E105),TODAY()-29))-YEAR($D105))*12+MONTH(MIN(IF($E105="",TODAY()-29,$E105),TODAY()-29))-MONTH($D105)+IF(MIN(IF($E105="",TODAY()-29,$E105),TODAY()-29)&gt;=EOMONTH(MIN(IF($E105="",TODAY()-29,$E105),TODAY()-29),0),1,0)),MAX(0,INT((MIN(IF($E105="",TODAY()-29,$E105),TODAY()-29)-($D105+MOD(SISTEM!$F$8-WEEKDAY($D105,2),7)))/7)+1)))</f>
        <v/>
      </c>
      <c r="M105" s="228">
        <f>IF($G105&gt;0,$I105/$G105,0)</f>
        <v/>
      </c>
      <c r="N105" s="113">
        <f>IF($C105="","",IF($B105="TANIMSIZ MÜŞTERİ","TANIMSIZ MÜŞTERİ",IF($F105="","MODEL SEÇİN",IF(OR($D105="",$G105&lt;=0),"EKSİK",IF(AND($E105&lt;&gt;"",$E105&lt;$D105),"TARİH HATASI",IF($H105="Pasif","KAPALI DÖNEM","UYGUN"))))))</f>
        <v/>
      </c>
      <c r="O105" s="229">
        <f>IF(OR($C105="",$D105="",$F105=""),"",IF($F105="Aylık",EOMONTH($D105,0),($D105+MOD(SISTEM!$F$8-WEEKDAY($D105,2),7))))</f>
        <v/>
      </c>
      <c r="P105" s="109" t="n"/>
      <c r="Q105" s="6" t="n"/>
      <c r="R105" s="6" t="n"/>
      <c r="S105" s="3">
        <f>IF($B105="","",$B105&amp;"|"&amp;COUNTIFS($B$7:$B105,$B105))</f>
        <v/>
      </c>
    </row>
    <row r="106">
      <c r="A106" s="6" t="n"/>
      <c r="B106" s="113">
        <f>IF($C106="","",IFERROR(INDEX(MUSTERILER!$B$7:$B$106,MATCH($C106,MUSTERILER!$C$7:$C$106,0)),IFERROR(INDEX(MUSTERILER!$B$7:$B$106,MATCH($C106,MUSTERILER!$B$7:$B$106,0)),IFERROR(INDEX(MUSTERILER!$B$7:$B$106,MATCH($C106&amp;"*",MUSTERILER!$C$7:$C$106,0)),"TANIMSIZ MÜŞTERİ"))))</f>
        <v/>
      </c>
      <c r="C106" s="109" t="n"/>
      <c r="D106" s="225" t="n"/>
      <c r="E106" s="225" t="n"/>
      <c r="F106" s="108" t="n"/>
      <c r="G106" s="226" t="n"/>
      <c r="H106" s="108" t="n"/>
      <c r="I106" s="227">
        <f>IF(OR($C106="",$D106="",$G106="",$F106=""),0,$G106*IF($F106="Aylık",MAX(0,(YEAR(MIN(IF($E106="",TODAY(),$E106),TODAY()))-YEAR($D106))*12+MONTH(MIN(IF($E106="",TODAY(),$E106),TODAY()))-MONTH($D106)+IF(MIN(IF($E106="",TODAY(),$E106),TODAY())&gt;=EOMONTH(MIN(IF($E106="",TODAY(),$E106),TODAY()),0),1,0)),MAX(0,INT((MIN(IF($E106="",TODAY(),$E106),TODAY())-($D106+MOD(SISTEM!$F$8-WEEKDAY($D106,2),7)))/7)+1)))</f>
        <v/>
      </c>
      <c r="J106" s="227">
        <f>IF(OR($C106="",$D106="",$G106="",$F106=""),0,$G106*IF($F106="Aylık",MAX(0,(YEAR(MIN(IF($E106="",TODAY()-8,$E106),TODAY()-8))-YEAR($D106))*12+MONTH(MIN(IF($E106="",TODAY()-8,$E106),TODAY()-8))-MONTH($D106)+IF(MIN(IF($E106="",TODAY()-8,$E106),TODAY()-8)&gt;=EOMONTH(MIN(IF($E106="",TODAY()-8,$E106),TODAY()-8),0),1,0)),MAX(0,INT((MIN(IF($E106="",TODAY()-8,$E106),TODAY()-8)-($D106+MOD(SISTEM!$F$8-WEEKDAY($D106,2),7)))/7)+1)))</f>
        <v/>
      </c>
      <c r="K106" s="227">
        <f>IF(OR($C106="",$D106="",$G106="",$F106=""),0,$G106*IF($F106="Aylık",MAX(0,(YEAR(MIN(IF($E106="",TODAY()-15,$E106),TODAY()-15))-YEAR($D106))*12+MONTH(MIN(IF($E106="",TODAY()-15,$E106),TODAY()-15))-MONTH($D106)+IF(MIN(IF($E106="",TODAY()-15,$E106),TODAY()-15)&gt;=EOMONTH(MIN(IF($E106="",TODAY()-15,$E106),TODAY()-15),0),1,0)),MAX(0,INT((MIN(IF($E106="",TODAY()-15,$E106),TODAY()-15)-($D106+MOD(SISTEM!$F$8-WEEKDAY($D106,2),7)))/7)+1)))</f>
        <v/>
      </c>
      <c r="L106" s="227">
        <f>IF(OR($C106="",$D106="",$G106="",$F106=""),0,$G106*IF($F106="Aylık",MAX(0,(YEAR(MIN(IF($E106="",TODAY()-29,$E106),TODAY()-29))-YEAR($D106))*12+MONTH(MIN(IF($E106="",TODAY()-29,$E106),TODAY()-29))-MONTH($D106)+IF(MIN(IF($E106="",TODAY()-29,$E106),TODAY()-29)&gt;=EOMONTH(MIN(IF($E106="",TODAY()-29,$E106),TODAY()-29),0),1,0)),MAX(0,INT((MIN(IF($E106="",TODAY()-29,$E106),TODAY()-29)-($D106+MOD(SISTEM!$F$8-WEEKDAY($D106,2),7)))/7)+1)))</f>
        <v/>
      </c>
      <c r="M106" s="228">
        <f>IF($G106&gt;0,$I106/$G106,0)</f>
        <v/>
      </c>
      <c r="N106" s="113">
        <f>IF($C106="","",IF($B106="TANIMSIZ MÜŞTERİ","TANIMSIZ MÜŞTERİ",IF($F106="","MODEL SEÇİN",IF(OR($D106="",$G106&lt;=0),"EKSİK",IF(AND($E106&lt;&gt;"",$E106&lt;$D106),"TARİH HATASI",IF($H106="Pasif","KAPALI DÖNEM","UYGUN"))))))</f>
        <v/>
      </c>
      <c r="O106" s="229">
        <f>IF(OR($C106="",$D106="",$F106=""),"",IF($F106="Aylık",EOMONTH($D106,0),($D106+MOD(SISTEM!$F$8-WEEKDAY($D106,2),7))))</f>
        <v/>
      </c>
      <c r="P106" s="109" t="n"/>
      <c r="Q106" s="6" t="n"/>
      <c r="R106" s="6" t="n"/>
      <c r="S106" s="3">
        <f>IF($B106="","",$B106&amp;"|"&amp;COUNTIFS($B$7:$B106,$B106))</f>
        <v/>
      </c>
    </row>
    <row r="107">
      <c r="A107" s="6" t="n"/>
      <c r="B107" s="113">
        <f>IF($C107="","",IFERROR(INDEX(MUSTERILER!$B$7:$B$106,MATCH($C107,MUSTERILER!$C$7:$C$106,0)),IFERROR(INDEX(MUSTERILER!$B$7:$B$106,MATCH($C107,MUSTERILER!$B$7:$B$106,0)),IFERROR(INDEX(MUSTERILER!$B$7:$B$106,MATCH($C107&amp;"*",MUSTERILER!$C$7:$C$106,0)),"TANIMSIZ MÜŞTERİ"))))</f>
        <v/>
      </c>
      <c r="C107" s="109" t="n"/>
      <c r="D107" s="225" t="n"/>
      <c r="E107" s="225" t="n"/>
      <c r="F107" s="108" t="n"/>
      <c r="G107" s="226" t="n"/>
      <c r="H107" s="108" t="n"/>
      <c r="I107" s="227">
        <f>IF(OR($C107="",$D107="",$G107="",$F107=""),0,$G107*IF($F107="Aylık",MAX(0,(YEAR(MIN(IF($E107="",TODAY(),$E107),TODAY()))-YEAR($D107))*12+MONTH(MIN(IF($E107="",TODAY(),$E107),TODAY()))-MONTH($D107)+IF(MIN(IF($E107="",TODAY(),$E107),TODAY())&gt;=EOMONTH(MIN(IF($E107="",TODAY(),$E107),TODAY()),0),1,0)),MAX(0,INT((MIN(IF($E107="",TODAY(),$E107),TODAY())-($D107+MOD(SISTEM!$F$8-WEEKDAY($D107,2),7)))/7)+1)))</f>
        <v/>
      </c>
      <c r="J107" s="227">
        <f>IF(OR($C107="",$D107="",$G107="",$F107=""),0,$G107*IF($F107="Aylık",MAX(0,(YEAR(MIN(IF($E107="",TODAY()-8,$E107),TODAY()-8))-YEAR($D107))*12+MONTH(MIN(IF($E107="",TODAY()-8,$E107),TODAY()-8))-MONTH($D107)+IF(MIN(IF($E107="",TODAY()-8,$E107),TODAY()-8)&gt;=EOMONTH(MIN(IF($E107="",TODAY()-8,$E107),TODAY()-8),0),1,0)),MAX(0,INT((MIN(IF($E107="",TODAY()-8,$E107),TODAY()-8)-($D107+MOD(SISTEM!$F$8-WEEKDAY($D107,2),7)))/7)+1)))</f>
        <v/>
      </c>
      <c r="K107" s="227">
        <f>IF(OR($C107="",$D107="",$G107="",$F107=""),0,$G107*IF($F107="Aylık",MAX(0,(YEAR(MIN(IF($E107="",TODAY()-15,$E107),TODAY()-15))-YEAR($D107))*12+MONTH(MIN(IF($E107="",TODAY()-15,$E107),TODAY()-15))-MONTH($D107)+IF(MIN(IF($E107="",TODAY()-15,$E107),TODAY()-15)&gt;=EOMONTH(MIN(IF($E107="",TODAY()-15,$E107),TODAY()-15),0),1,0)),MAX(0,INT((MIN(IF($E107="",TODAY()-15,$E107),TODAY()-15)-($D107+MOD(SISTEM!$F$8-WEEKDAY($D107,2),7)))/7)+1)))</f>
        <v/>
      </c>
      <c r="L107" s="227">
        <f>IF(OR($C107="",$D107="",$G107="",$F107=""),0,$G107*IF($F107="Aylık",MAX(0,(YEAR(MIN(IF($E107="",TODAY()-29,$E107),TODAY()-29))-YEAR($D107))*12+MONTH(MIN(IF($E107="",TODAY()-29,$E107),TODAY()-29))-MONTH($D107)+IF(MIN(IF($E107="",TODAY()-29,$E107),TODAY()-29)&gt;=EOMONTH(MIN(IF($E107="",TODAY()-29,$E107),TODAY()-29),0),1,0)),MAX(0,INT((MIN(IF($E107="",TODAY()-29,$E107),TODAY()-29)-($D107+MOD(SISTEM!$F$8-WEEKDAY($D107,2),7)))/7)+1)))</f>
        <v/>
      </c>
      <c r="M107" s="228">
        <f>IF($G107&gt;0,$I107/$G107,0)</f>
        <v/>
      </c>
      <c r="N107" s="113">
        <f>IF($C107="","",IF($B107="TANIMSIZ MÜŞTERİ","TANIMSIZ MÜŞTERİ",IF($F107="","MODEL SEÇİN",IF(OR($D107="",$G107&lt;=0),"EKSİK",IF(AND($E107&lt;&gt;"",$E107&lt;$D107),"TARİH HATASI",IF($H107="Pasif","KAPALI DÖNEM","UYGUN"))))))</f>
        <v/>
      </c>
      <c r="O107" s="229">
        <f>IF(OR($C107="",$D107="",$F107=""),"",IF($F107="Aylık",EOMONTH($D107,0),($D107+MOD(SISTEM!$F$8-WEEKDAY($D107,2),7))))</f>
        <v/>
      </c>
      <c r="P107" s="109" t="n"/>
      <c r="Q107" s="6" t="n"/>
      <c r="R107" s="6" t="n"/>
      <c r="S107" s="3">
        <f>IF($B107="","",$B107&amp;"|"&amp;COUNTIFS($B$7:$B107,$B107))</f>
        <v/>
      </c>
    </row>
    <row r="108">
      <c r="A108" s="6" t="n"/>
      <c r="B108" s="113">
        <f>IF($C108="","",IFERROR(INDEX(MUSTERILER!$B$7:$B$106,MATCH($C108,MUSTERILER!$C$7:$C$106,0)),IFERROR(INDEX(MUSTERILER!$B$7:$B$106,MATCH($C108,MUSTERILER!$B$7:$B$106,0)),IFERROR(INDEX(MUSTERILER!$B$7:$B$106,MATCH($C108&amp;"*",MUSTERILER!$C$7:$C$106,0)),"TANIMSIZ MÜŞTERİ"))))</f>
        <v/>
      </c>
      <c r="C108" s="109" t="n"/>
      <c r="D108" s="225" t="n"/>
      <c r="E108" s="225" t="n"/>
      <c r="F108" s="108" t="n"/>
      <c r="G108" s="226" t="n"/>
      <c r="H108" s="108" t="n"/>
      <c r="I108" s="227">
        <f>IF(OR($C108="",$D108="",$G108="",$F108=""),0,$G108*IF($F108="Aylık",MAX(0,(YEAR(MIN(IF($E108="",TODAY(),$E108),TODAY()))-YEAR($D108))*12+MONTH(MIN(IF($E108="",TODAY(),$E108),TODAY()))-MONTH($D108)+IF(MIN(IF($E108="",TODAY(),$E108),TODAY())&gt;=EOMONTH(MIN(IF($E108="",TODAY(),$E108),TODAY()),0),1,0)),MAX(0,INT((MIN(IF($E108="",TODAY(),$E108),TODAY())-($D108+MOD(SISTEM!$F$8-WEEKDAY($D108,2),7)))/7)+1)))</f>
        <v/>
      </c>
      <c r="J108" s="227">
        <f>IF(OR($C108="",$D108="",$G108="",$F108=""),0,$G108*IF($F108="Aylık",MAX(0,(YEAR(MIN(IF($E108="",TODAY()-8,$E108),TODAY()-8))-YEAR($D108))*12+MONTH(MIN(IF($E108="",TODAY()-8,$E108),TODAY()-8))-MONTH($D108)+IF(MIN(IF($E108="",TODAY()-8,$E108),TODAY()-8)&gt;=EOMONTH(MIN(IF($E108="",TODAY()-8,$E108),TODAY()-8),0),1,0)),MAX(0,INT((MIN(IF($E108="",TODAY()-8,$E108),TODAY()-8)-($D108+MOD(SISTEM!$F$8-WEEKDAY($D108,2),7)))/7)+1)))</f>
        <v/>
      </c>
      <c r="K108" s="227">
        <f>IF(OR($C108="",$D108="",$G108="",$F108=""),0,$G108*IF($F108="Aylık",MAX(0,(YEAR(MIN(IF($E108="",TODAY()-15,$E108),TODAY()-15))-YEAR($D108))*12+MONTH(MIN(IF($E108="",TODAY()-15,$E108),TODAY()-15))-MONTH($D108)+IF(MIN(IF($E108="",TODAY()-15,$E108),TODAY()-15)&gt;=EOMONTH(MIN(IF($E108="",TODAY()-15,$E108),TODAY()-15),0),1,0)),MAX(0,INT((MIN(IF($E108="",TODAY()-15,$E108),TODAY()-15)-($D108+MOD(SISTEM!$F$8-WEEKDAY($D108,2),7)))/7)+1)))</f>
        <v/>
      </c>
      <c r="L108" s="227">
        <f>IF(OR($C108="",$D108="",$G108="",$F108=""),0,$G108*IF($F108="Aylık",MAX(0,(YEAR(MIN(IF($E108="",TODAY()-29,$E108),TODAY()-29))-YEAR($D108))*12+MONTH(MIN(IF($E108="",TODAY()-29,$E108),TODAY()-29))-MONTH($D108)+IF(MIN(IF($E108="",TODAY()-29,$E108),TODAY()-29)&gt;=EOMONTH(MIN(IF($E108="",TODAY()-29,$E108),TODAY()-29),0),1,0)),MAX(0,INT((MIN(IF($E108="",TODAY()-29,$E108),TODAY()-29)-($D108+MOD(SISTEM!$F$8-WEEKDAY($D108,2),7)))/7)+1)))</f>
        <v/>
      </c>
      <c r="M108" s="228">
        <f>IF($G108&gt;0,$I108/$G108,0)</f>
        <v/>
      </c>
      <c r="N108" s="113">
        <f>IF($C108="","",IF($B108="TANIMSIZ MÜŞTERİ","TANIMSIZ MÜŞTERİ",IF($F108="","MODEL SEÇİN",IF(OR($D108="",$G108&lt;=0),"EKSİK",IF(AND($E108&lt;&gt;"",$E108&lt;$D108),"TARİH HATASI",IF($H108="Pasif","KAPALI DÖNEM","UYGUN"))))))</f>
        <v/>
      </c>
      <c r="O108" s="229">
        <f>IF(OR($C108="",$D108="",$F108=""),"",IF($F108="Aylık",EOMONTH($D108,0),($D108+MOD(SISTEM!$F$8-WEEKDAY($D108,2),7))))</f>
        <v/>
      </c>
      <c r="P108" s="109" t="n"/>
      <c r="Q108" s="6" t="n"/>
      <c r="R108" s="6" t="n"/>
      <c r="S108" s="3">
        <f>IF($B108="","",$B108&amp;"|"&amp;COUNTIFS($B$7:$B108,$B108))</f>
        <v/>
      </c>
    </row>
    <row r="109">
      <c r="A109" s="6" t="n"/>
      <c r="B109" s="113">
        <f>IF($C109="","",IFERROR(INDEX(MUSTERILER!$B$7:$B$106,MATCH($C109,MUSTERILER!$C$7:$C$106,0)),IFERROR(INDEX(MUSTERILER!$B$7:$B$106,MATCH($C109,MUSTERILER!$B$7:$B$106,0)),IFERROR(INDEX(MUSTERILER!$B$7:$B$106,MATCH($C109&amp;"*",MUSTERILER!$C$7:$C$106,0)),"TANIMSIZ MÜŞTERİ"))))</f>
        <v/>
      </c>
      <c r="C109" s="109" t="n"/>
      <c r="D109" s="225" t="n"/>
      <c r="E109" s="225" t="n"/>
      <c r="F109" s="108" t="n"/>
      <c r="G109" s="226" t="n"/>
      <c r="H109" s="108" t="n"/>
      <c r="I109" s="227">
        <f>IF(OR($C109="",$D109="",$G109="",$F109=""),0,$G109*IF($F109="Aylık",MAX(0,(YEAR(MIN(IF($E109="",TODAY(),$E109),TODAY()))-YEAR($D109))*12+MONTH(MIN(IF($E109="",TODAY(),$E109),TODAY()))-MONTH($D109)+IF(MIN(IF($E109="",TODAY(),$E109),TODAY())&gt;=EOMONTH(MIN(IF($E109="",TODAY(),$E109),TODAY()),0),1,0)),MAX(0,INT((MIN(IF($E109="",TODAY(),$E109),TODAY())-($D109+MOD(SISTEM!$F$8-WEEKDAY($D109,2),7)))/7)+1)))</f>
        <v/>
      </c>
      <c r="J109" s="227">
        <f>IF(OR($C109="",$D109="",$G109="",$F109=""),0,$G109*IF($F109="Aylık",MAX(0,(YEAR(MIN(IF($E109="",TODAY()-8,$E109),TODAY()-8))-YEAR($D109))*12+MONTH(MIN(IF($E109="",TODAY()-8,$E109),TODAY()-8))-MONTH($D109)+IF(MIN(IF($E109="",TODAY()-8,$E109),TODAY()-8)&gt;=EOMONTH(MIN(IF($E109="",TODAY()-8,$E109),TODAY()-8),0),1,0)),MAX(0,INT((MIN(IF($E109="",TODAY()-8,$E109),TODAY()-8)-($D109+MOD(SISTEM!$F$8-WEEKDAY($D109,2),7)))/7)+1)))</f>
        <v/>
      </c>
      <c r="K109" s="227">
        <f>IF(OR($C109="",$D109="",$G109="",$F109=""),0,$G109*IF($F109="Aylık",MAX(0,(YEAR(MIN(IF($E109="",TODAY()-15,$E109),TODAY()-15))-YEAR($D109))*12+MONTH(MIN(IF($E109="",TODAY()-15,$E109),TODAY()-15))-MONTH($D109)+IF(MIN(IF($E109="",TODAY()-15,$E109),TODAY()-15)&gt;=EOMONTH(MIN(IF($E109="",TODAY()-15,$E109),TODAY()-15),0),1,0)),MAX(0,INT((MIN(IF($E109="",TODAY()-15,$E109),TODAY()-15)-($D109+MOD(SISTEM!$F$8-WEEKDAY($D109,2),7)))/7)+1)))</f>
        <v/>
      </c>
      <c r="L109" s="227">
        <f>IF(OR($C109="",$D109="",$G109="",$F109=""),0,$G109*IF($F109="Aylık",MAX(0,(YEAR(MIN(IF($E109="",TODAY()-29,$E109),TODAY()-29))-YEAR($D109))*12+MONTH(MIN(IF($E109="",TODAY()-29,$E109),TODAY()-29))-MONTH($D109)+IF(MIN(IF($E109="",TODAY()-29,$E109),TODAY()-29)&gt;=EOMONTH(MIN(IF($E109="",TODAY()-29,$E109),TODAY()-29),0),1,0)),MAX(0,INT((MIN(IF($E109="",TODAY()-29,$E109),TODAY()-29)-($D109+MOD(SISTEM!$F$8-WEEKDAY($D109,2),7)))/7)+1)))</f>
        <v/>
      </c>
      <c r="M109" s="228">
        <f>IF($G109&gt;0,$I109/$G109,0)</f>
        <v/>
      </c>
      <c r="N109" s="113">
        <f>IF($C109="","",IF($B109="TANIMSIZ MÜŞTERİ","TANIMSIZ MÜŞTERİ",IF($F109="","MODEL SEÇİN",IF(OR($D109="",$G109&lt;=0),"EKSİK",IF(AND($E109&lt;&gt;"",$E109&lt;$D109),"TARİH HATASI",IF($H109="Pasif","KAPALI DÖNEM","UYGUN"))))))</f>
        <v/>
      </c>
      <c r="O109" s="229">
        <f>IF(OR($C109="",$D109="",$F109=""),"",IF($F109="Aylık",EOMONTH($D109,0),($D109+MOD(SISTEM!$F$8-WEEKDAY($D109,2),7))))</f>
        <v/>
      </c>
      <c r="P109" s="109" t="n"/>
      <c r="Q109" s="6" t="n"/>
      <c r="R109" s="6" t="n"/>
      <c r="S109" s="3">
        <f>IF($B109="","",$B109&amp;"|"&amp;COUNTIFS($B$7:$B109,$B109))</f>
        <v/>
      </c>
    </row>
    <row r="110">
      <c r="A110" s="6" t="n"/>
      <c r="B110" s="113">
        <f>IF($C110="","",IFERROR(INDEX(MUSTERILER!$B$7:$B$106,MATCH($C110,MUSTERILER!$C$7:$C$106,0)),IFERROR(INDEX(MUSTERILER!$B$7:$B$106,MATCH($C110,MUSTERILER!$B$7:$B$106,0)),IFERROR(INDEX(MUSTERILER!$B$7:$B$106,MATCH($C110&amp;"*",MUSTERILER!$C$7:$C$106,0)),"TANIMSIZ MÜŞTERİ"))))</f>
        <v/>
      </c>
      <c r="C110" s="109" t="n"/>
      <c r="D110" s="225" t="n"/>
      <c r="E110" s="225" t="n"/>
      <c r="F110" s="108" t="n"/>
      <c r="G110" s="226" t="n"/>
      <c r="H110" s="108" t="n"/>
      <c r="I110" s="227">
        <f>IF(OR($C110="",$D110="",$G110="",$F110=""),0,$G110*IF($F110="Aylık",MAX(0,(YEAR(MIN(IF($E110="",TODAY(),$E110),TODAY()))-YEAR($D110))*12+MONTH(MIN(IF($E110="",TODAY(),$E110),TODAY()))-MONTH($D110)+IF(MIN(IF($E110="",TODAY(),$E110),TODAY())&gt;=EOMONTH(MIN(IF($E110="",TODAY(),$E110),TODAY()),0),1,0)),MAX(0,INT((MIN(IF($E110="",TODAY(),$E110),TODAY())-($D110+MOD(SISTEM!$F$8-WEEKDAY($D110,2),7)))/7)+1)))</f>
        <v/>
      </c>
      <c r="J110" s="227">
        <f>IF(OR($C110="",$D110="",$G110="",$F110=""),0,$G110*IF($F110="Aylık",MAX(0,(YEAR(MIN(IF($E110="",TODAY()-8,$E110),TODAY()-8))-YEAR($D110))*12+MONTH(MIN(IF($E110="",TODAY()-8,$E110),TODAY()-8))-MONTH($D110)+IF(MIN(IF($E110="",TODAY()-8,$E110),TODAY()-8)&gt;=EOMONTH(MIN(IF($E110="",TODAY()-8,$E110),TODAY()-8),0),1,0)),MAX(0,INT((MIN(IF($E110="",TODAY()-8,$E110),TODAY()-8)-($D110+MOD(SISTEM!$F$8-WEEKDAY($D110,2),7)))/7)+1)))</f>
        <v/>
      </c>
      <c r="K110" s="227">
        <f>IF(OR($C110="",$D110="",$G110="",$F110=""),0,$G110*IF($F110="Aylık",MAX(0,(YEAR(MIN(IF($E110="",TODAY()-15,$E110),TODAY()-15))-YEAR($D110))*12+MONTH(MIN(IF($E110="",TODAY()-15,$E110),TODAY()-15))-MONTH($D110)+IF(MIN(IF($E110="",TODAY()-15,$E110),TODAY()-15)&gt;=EOMONTH(MIN(IF($E110="",TODAY()-15,$E110),TODAY()-15),0),1,0)),MAX(0,INT((MIN(IF($E110="",TODAY()-15,$E110),TODAY()-15)-($D110+MOD(SISTEM!$F$8-WEEKDAY($D110,2),7)))/7)+1)))</f>
        <v/>
      </c>
      <c r="L110" s="227">
        <f>IF(OR($C110="",$D110="",$G110="",$F110=""),0,$G110*IF($F110="Aylık",MAX(0,(YEAR(MIN(IF($E110="",TODAY()-29,$E110),TODAY()-29))-YEAR($D110))*12+MONTH(MIN(IF($E110="",TODAY()-29,$E110),TODAY()-29))-MONTH($D110)+IF(MIN(IF($E110="",TODAY()-29,$E110),TODAY()-29)&gt;=EOMONTH(MIN(IF($E110="",TODAY()-29,$E110),TODAY()-29),0),1,0)),MAX(0,INT((MIN(IF($E110="",TODAY()-29,$E110),TODAY()-29)-($D110+MOD(SISTEM!$F$8-WEEKDAY($D110,2),7)))/7)+1)))</f>
        <v/>
      </c>
      <c r="M110" s="228">
        <f>IF($G110&gt;0,$I110/$G110,0)</f>
        <v/>
      </c>
      <c r="N110" s="113">
        <f>IF($C110="","",IF($B110="TANIMSIZ MÜŞTERİ","TANIMSIZ MÜŞTERİ",IF($F110="","MODEL SEÇİN",IF(OR($D110="",$G110&lt;=0),"EKSİK",IF(AND($E110&lt;&gt;"",$E110&lt;$D110),"TARİH HATASI",IF($H110="Pasif","KAPALI DÖNEM","UYGUN"))))))</f>
        <v/>
      </c>
      <c r="O110" s="229">
        <f>IF(OR($C110="",$D110="",$F110=""),"",IF($F110="Aylık",EOMONTH($D110,0),($D110+MOD(SISTEM!$F$8-WEEKDAY($D110,2),7))))</f>
        <v/>
      </c>
      <c r="P110" s="109" t="n"/>
      <c r="Q110" s="6" t="n"/>
      <c r="R110" s="6" t="n"/>
      <c r="S110" s="3">
        <f>IF($B110="","",$B110&amp;"|"&amp;COUNTIFS($B$7:$B110,$B110))</f>
        <v/>
      </c>
    </row>
    <row r="111">
      <c r="A111" s="6" t="n"/>
      <c r="B111" s="113">
        <f>IF($C111="","",IFERROR(INDEX(MUSTERILER!$B$7:$B$106,MATCH($C111,MUSTERILER!$C$7:$C$106,0)),IFERROR(INDEX(MUSTERILER!$B$7:$B$106,MATCH($C111,MUSTERILER!$B$7:$B$106,0)),IFERROR(INDEX(MUSTERILER!$B$7:$B$106,MATCH($C111&amp;"*",MUSTERILER!$C$7:$C$106,0)),"TANIMSIZ MÜŞTERİ"))))</f>
        <v/>
      </c>
      <c r="C111" s="109" t="n"/>
      <c r="D111" s="225" t="n"/>
      <c r="E111" s="225" t="n"/>
      <c r="F111" s="108" t="n"/>
      <c r="G111" s="226" t="n"/>
      <c r="H111" s="108" t="n"/>
      <c r="I111" s="227">
        <f>IF(OR($C111="",$D111="",$G111="",$F111=""),0,$G111*IF($F111="Aylık",MAX(0,(YEAR(MIN(IF($E111="",TODAY(),$E111),TODAY()))-YEAR($D111))*12+MONTH(MIN(IF($E111="",TODAY(),$E111),TODAY()))-MONTH($D111)+IF(MIN(IF($E111="",TODAY(),$E111),TODAY())&gt;=EOMONTH(MIN(IF($E111="",TODAY(),$E111),TODAY()),0),1,0)),MAX(0,INT((MIN(IF($E111="",TODAY(),$E111),TODAY())-($D111+MOD(SISTEM!$F$8-WEEKDAY($D111,2),7)))/7)+1)))</f>
        <v/>
      </c>
      <c r="J111" s="227">
        <f>IF(OR($C111="",$D111="",$G111="",$F111=""),0,$G111*IF($F111="Aylık",MAX(0,(YEAR(MIN(IF($E111="",TODAY()-8,$E111),TODAY()-8))-YEAR($D111))*12+MONTH(MIN(IF($E111="",TODAY()-8,$E111),TODAY()-8))-MONTH($D111)+IF(MIN(IF($E111="",TODAY()-8,$E111),TODAY()-8)&gt;=EOMONTH(MIN(IF($E111="",TODAY()-8,$E111),TODAY()-8),0),1,0)),MAX(0,INT((MIN(IF($E111="",TODAY()-8,$E111),TODAY()-8)-($D111+MOD(SISTEM!$F$8-WEEKDAY($D111,2),7)))/7)+1)))</f>
        <v/>
      </c>
      <c r="K111" s="227">
        <f>IF(OR($C111="",$D111="",$G111="",$F111=""),0,$G111*IF($F111="Aylık",MAX(0,(YEAR(MIN(IF($E111="",TODAY()-15,$E111),TODAY()-15))-YEAR($D111))*12+MONTH(MIN(IF($E111="",TODAY()-15,$E111),TODAY()-15))-MONTH($D111)+IF(MIN(IF($E111="",TODAY()-15,$E111),TODAY()-15)&gt;=EOMONTH(MIN(IF($E111="",TODAY()-15,$E111),TODAY()-15),0),1,0)),MAX(0,INT((MIN(IF($E111="",TODAY()-15,$E111),TODAY()-15)-($D111+MOD(SISTEM!$F$8-WEEKDAY($D111,2),7)))/7)+1)))</f>
        <v/>
      </c>
      <c r="L111" s="227">
        <f>IF(OR($C111="",$D111="",$G111="",$F111=""),0,$G111*IF($F111="Aylık",MAX(0,(YEAR(MIN(IF($E111="",TODAY()-29,$E111),TODAY()-29))-YEAR($D111))*12+MONTH(MIN(IF($E111="",TODAY()-29,$E111),TODAY()-29))-MONTH($D111)+IF(MIN(IF($E111="",TODAY()-29,$E111),TODAY()-29)&gt;=EOMONTH(MIN(IF($E111="",TODAY()-29,$E111),TODAY()-29),0),1,0)),MAX(0,INT((MIN(IF($E111="",TODAY()-29,$E111),TODAY()-29)-($D111+MOD(SISTEM!$F$8-WEEKDAY($D111,2),7)))/7)+1)))</f>
        <v/>
      </c>
      <c r="M111" s="228">
        <f>IF($G111&gt;0,$I111/$G111,0)</f>
        <v/>
      </c>
      <c r="N111" s="113">
        <f>IF($C111="","",IF($B111="TANIMSIZ MÜŞTERİ","TANIMSIZ MÜŞTERİ",IF($F111="","MODEL SEÇİN",IF(OR($D111="",$G111&lt;=0),"EKSİK",IF(AND($E111&lt;&gt;"",$E111&lt;$D111),"TARİH HATASI",IF($H111="Pasif","KAPALI DÖNEM","UYGUN"))))))</f>
        <v/>
      </c>
      <c r="O111" s="229">
        <f>IF(OR($C111="",$D111="",$F111=""),"",IF($F111="Aylık",EOMONTH($D111,0),($D111+MOD(SISTEM!$F$8-WEEKDAY($D111,2),7))))</f>
        <v/>
      </c>
      <c r="P111" s="109" t="n"/>
      <c r="Q111" s="6" t="n"/>
      <c r="R111" s="6" t="n"/>
      <c r="S111" s="3">
        <f>IF($B111="","",$B111&amp;"|"&amp;COUNTIFS($B$7:$B111,$B111))</f>
        <v/>
      </c>
    </row>
    <row r="112">
      <c r="A112" s="6" t="n"/>
      <c r="B112" s="113">
        <f>IF($C112="","",IFERROR(INDEX(MUSTERILER!$B$7:$B$106,MATCH($C112,MUSTERILER!$C$7:$C$106,0)),IFERROR(INDEX(MUSTERILER!$B$7:$B$106,MATCH($C112,MUSTERILER!$B$7:$B$106,0)),IFERROR(INDEX(MUSTERILER!$B$7:$B$106,MATCH($C112&amp;"*",MUSTERILER!$C$7:$C$106,0)),"TANIMSIZ MÜŞTERİ"))))</f>
        <v/>
      </c>
      <c r="C112" s="109" t="n"/>
      <c r="D112" s="225" t="n"/>
      <c r="E112" s="225" t="n"/>
      <c r="F112" s="108" t="n"/>
      <c r="G112" s="226" t="n"/>
      <c r="H112" s="108" t="n"/>
      <c r="I112" s="227">
        <f>IF(OR($C112="",$D112="",$G112="",$F112=""),0,$G112*IF($F112="Aylık",MAX(0,(YEAR(MIN(IF($E112="",TODAY(),$E112),TODAY()))-YEAR($D112))*12+MONTH(MIN(IF($E112="",TODAY(),$E112),TODAY()))-MONTH($D112)+IF(MIN(IF($E112="",TODAY(),$E112),TODAY())&gt;=EOMONTH(MIN(IF($E112="",TODAY(),$E112),TODAY()),0),1,0)),MAX(0,INT((MIN(IF($E112="",TODAY(),$E112),TODAY())-($D112+MOD(SISTEM!$F$8-WEEKDAY($D112,2),7)))/7)+1)))</f>
        <v/>
      </c>
      <c r="J112" s="227">
        <f>IF(OR($C112="",$D112="",$G112="",$F112=""),0,$G112*IF($F112="Aylık",MAX(0,(YEAR(MIN(IF($E112="",TODAY()-8,$E112),TODAY()-8))-YEAR($D112))*12+MONTH(MIN(IF($E112="",TODAY()-8,$E112),TODAY()-8))-MONTH($D112)+IF(MIN(IF($E112="",TODAY()-8,$E112),TODAY()-8)&gt;=EOMONTH(MIN(IF($E112="",TODAY()-8,$E112),TODAY()-8),0),1,0)),MAX(0,INT((MIN(IF($E112="",TODAY()-8,$E112),TODAY()-8)-($D112+MOD(SISTEM!$F$8-WEEKDAY($D112,2),7)))/7)+1)))</f>
        <v/>
      </c>
      <c r="K112" s="227">
        <f>IF(OR($C112="",$D112="",$G112="",$F112=""),0,$G112*IF($F112="Aylık",MAX(0,(YEAR(MIN(IF($E112="",TODAY()-15,$E112),TODAY()-15))-YEAR($D112))*12+MONTH(MIN(IF($E112="",TODAY()-15,$E112),TODAY()-15))-MONTH($D112)+IF(MIN(IF($E112="",TODAY()-15,$E112),TODAY()-15)&gt;=EOMONTH(MIN(IF($E112="",TODAY()-15,$E112),TODAY()-15),0),1,0)),MAX(0,INT((MIN(IF($E112="",TODAY()-15,$E112),TODAY()-15)-($D112+MOD(SISTEM!$F$8-WEEKDAY($D112,2),7)))/7)+1)))</f>
        <v/>
      </c>
      <c r="L112" s="227">
        <f>IF(OR($C112="",$D112="",$G112="",$F112=""),0,$G112*IF($F112="Aylık",MAX(0,(YEAR(MIN(IF($E112="",TODAY()-29,$E112),TODAY()-29))-YEAR($D112))*12+MONTH(MIN(IF($E112="",TODAY()-29,$E112),TODAY()-29))-MONTH($D112)+IF(MIN(IF($E112="",TODAY()-29,$E112),TODAY()-29)&gt;=EOMONTH(MIN(IF($E112="",TODAY()-29,$E112),TODAY()-29),0),1,0)),MAX(0,INT((MIN(IF($E112="",TODAY()-29,$E112),TODAY()-29)-($D112+MOD(SISTEM!$F$8-WEEKDAY($D112,2),7)))/7)+1)))</f>
        <v/>
      </c>
      <c r="M112" s="228">
        <f>IF($G112&gt;0,$I112/$G112,0)</f>
        <v/>
      </c>
      <c r="N112" s="113">
        <f>IF($C112="","",IF($B112="TANIMSIZ MÜŞTERİ","TANIMSIZ MÜŞTERİ",IF($F112="","MODEL SEÇİN",IF(OR($D112="",$G112&lt;=0),"EKSİK",IF(AND($E112&lt;&gt;"",$E112&lt;$D112),"TARİH HATASI",IF($H112="Pasif","KAPALI DÖNEM","UYGUN"))))))</f>
        <v/>
      </c>
      <c r="O112" s="229">
        <f>IF(OR($C112="",$D112="",$F112=""),"",IF($F112="Aylık",EOMONTH($D112,0),($D112+MOD(SISTEM!$F$8-WEEKDAY($D112,2),7))))</f>
        <v/>
      </c>
      <c r="P112" s="109" t="n"/>
      <c r="Q112" s="6" t="n"/>
      <c r="R112" s="6" t="n"/>
      <c r="S112" s="3">
        <f>IF($B112="","",$B112&amp;"|"&amp;COUNTIFS($B$7:$B112,$B112))</f>
        <v/>
      </c>
    </row>
    <row r="113">
      <c r="A113" s="6" t="n"/>
      <c r="B113" s="113">
        <f>IF($C113="","",IFERROR(INDEX(MUSTERILER!$B$7:$B$106,MATCH($C113,MUSTERILER!$C$7:$C$106,0)),IFERROR(INDEX(MUSTERILER!$B$7:$B$106,MATCH($C113,MUSTERILER!$B$7:$B$106,0)),IFERROR(INDEX(MUSTERILER!$B$7:$B$106,MATCH($C113&amp;"*",MUSTERILER!$C$7:$C$106,0)),"TANIMSIZ MÜŞTERİ"))))</f>
        <v/>
      </c>
      <c r="C113" s="109" t="n"/>
      <c r="D113" s="225" t="n"/>
      <c r="E113" s="225" t="n"/>
      <c r="F113" s="108" t="n"/>
      <c r="G113" s="226" t="n"/>
      <c r="H113" s="108" t="n"/>
      <c r="I113" s="227">
        <f>IF(OR($C113="",$D113="",$G113="",$F113=""),0,$G113*IF($F113="Aylık",MAX(0,(YEAR(MIN(IF($E113="",TODAY(),$E113),TODAY()))-YEAR($D113))*12+MONTH(MIN(IF($E113="",TODAY(),$E113),TODAY()))-MONTH($D113)+IF(MIN(IF($E113="",TODAY(),$E113),TODAY())&gt;=EOMONTH(MIN(IF($E113="",TODAY(),$E113),TODAY()),0),1,0)),MAX(0,INT((MIN(IF($E113="",TODAY(),$E113),TODAY())-($D113+MOD(SISTEM!$F$8-WEEKDAY($D113,2),7)))/7)+1)))</f>
        <v/>
      </c>
      <c r="J113" s="227">
        <f>IF(OR($C113="",$D113="",$G113="",$F113=""),0,$G113*IF($F113="Aylık",MAX(0,(YEAR(MIN(IF($E113="",TODAY()-8,$E113),TODAY()-8))-YEAR($D113))*12+MONTH(MIN(IF($E113="",TODAY()-8,$E113),TODAY()-8))-MONTH($D113)+IF(MIN(IF($E113="",TODAY()-8,$E113),TODAY()-8)&gt;=EOMONTH(MIN(IF($E113="",TODAY()-8,$E113),TODAY()-8),0),1,0)),MAX(0,INT((MIN(IF($E113="",TODAY()-8,$E113),TODAY()-8)-($D113+MOD(SISTEM!$F$8-WEEKDAY($D113,2),7)))/7)+1)))</f>
        <v/>
      </c>
      <c r="K113" s="227">
        <f>IF(OR($C113="",$D113="",$G113="",$F113=""),0,$G113*IF($F113="Aylık",MAX(0,(YEAR(MIN(IF($E113="",TODAY()-15,$E113),TODAY()-15))-YEAR($D113))*12+MONTH(MIN(IF($E113="",TODAY()-15,$E113),TODAY()-15))-MONTH($D113)+IF(MIN(IF($E113="",TODAY()-15,$E113),TODAY()-15)&gt;=EOMONTH(MIN(IF($E113="",TODAY()-15,$E113),TODAY()-15),0),1,0)),MAX(0,INT((MIN(IF($E113="",TODAY()-15,$E113),TODAY()-15)-($D113+MOD(SISTEM!$F$8-WEEKDAY($D113,2),7)))/7)+1)))</f>
        <v/>
      </c>
      <c r="L113" s="227">
        <f>IF(OR($C113="",$D113="",$G113="",$F113=""),0,$G113*IF($F113="Aylık",MAX(0,(YEAR(MIN(IF($E113="",TODAY()-29,$E113),TODAY()-29))-YEAR($D113))*12+MONTH(MIN(IF($E113="",TODAY()-29,$E113),TODAY()-29))-MONTH($D113)+IF(MIN(IF($E113="",TODAY()-29,$E113),TODAY()-29)&gt;=EOMONTH(MIN(IF($E113="",TODAY()-29,$E113),TODAY()-29),0),1,0)),MAX(0,INT((MIN(IF($E113="",TODAY()-29,$E113),TODAY()-29)-($D113+MOD(SISTEM!$F$8-WEEKDAY($D113,2),7)))/7)+1)))</f>
        <v/>
      </c>
      <c r="M113" s="228">
        <f>IF($G113&gt;0,$I113/$G113,0)</f>
        <v/>
      </c>
      <c r="N113" s="113">
        <f>IF($C113="","",IF($B113="TANIMSIZ MÜŞTERİ","TANIMSIZ MÜŞTERİ",IF($F113="","MODEL SEÇİN",IF(OR($D113="",$G113&lt;=0),"EKSİK",IF(AND($E113&lt;&gt;"",$E113&lt;$D113),"TARİH HATASI",IF($H113="Pasif","KAPALI DÖNEM","UYGUN"))))))</f>
        <v/>
      </c>
      <c r="O113" s="229">
        <f>IF(OR($C113="",$D113="",$F113=""),"",IF($F113="Aylık",EOMONTH($D113,0),($D113+MOD(SISTEM!$F$8-WEEKDAY($D113,2),7))))</f>
        <v/>
      </c>
      <c r="P113" s="109" t="n"/>
      <c r="Q113" s="6" t="n"/>
      <c r="R113" s="6" t="n"/>
      <c r="S113" s="3">
        <f>IF($B113="","",$B113&amp;"|"&amp;COUNTIFS($B$7:$B113,$B113))</f>
        <v/>
      </c>
    </row>
    <row r="114">
      <c r="A114" s="6" t="n"/>
      <c r="B114" s="113">
        <f>IF($C114="","",IFERROR(INDEX(MUSTERILER!$B$7:$B$106,MATCH($C114,MUSTERILER!$C$7:$C$106,0)),IFERROR(INDEX(MUSTERILER!$B$7:$B$106,MATCH($C114,MUSTERILER!$B$7:$B$106,0)),IFERROR(INDEX(MUSTERILER!$B$7:$B$106,MATCH($C114&amp;"*",MUSTERILER!$C$7:$C$106,0)),"TANIMSIZ MÜŞTERİ"))))</f>
        <v/>
      </c>
      <c r="C114" s="109" t="n"/>
      <c r="D114" s="225" t="n"/>
      <c r="E114" s="225" t="n"/>
      <c r="F114" s="108" t="n"/>
      <c r="G114" s="226" t="n"/>
      <c r="H114" s="108" t="n"/>
      <c r="I114" s="227">
        <f>IF(OR($C114="",$D114="",$G114="",$F114=""),0,$G114*IF($F114="Aylık",MAX(0,(YEAR(MIN(IF($E114="",TODAY(),$E114),TODAY()))-YEAR($D114))*12+MONTH(MIN(IF($E114="",TODAY(),$E114),TODAY()))-MONTH($D114)+IF(MIN(IF($E114="",TODAY(),$E114),TODAY())&gt;=EOMONTH(MIN(IF($E114="",TODAY(),$E114),TODAY()),0),1,0)),MAX(0,INT((MIN(IF($E114="",TODAY(),$E114),TODAY())-($D114+MOD(SISTEM!$F$8-WEEKDAY($D114,2),7)))/7)+1)))</f>
        <v/>
      </c>
      <c r="J114" s="227">
        <f>IF(OR($C114="",$D114="",$G114="",$F114=""),0,$G114*IF($F114="Aylık",MAX(0,(YEAR(MIN(IF($E114="",TODAY()-8,$E114),TODAY()-8))-YEAR($D114))*12+MONTH(MIN(IF($E114="",TODAY()-8,$E114),TODAY()-8))-MONTH($D114)+IF(MIN(IF($E114="",TODAY()-8,$E114),TODAY()-8)&gt;=EOMONTH(MIN(IF($E114="",TODAY()-8,$E114),TODAY()-8),0),1,0)),MAX(0,INT((MIN(IF($E114="",TODAY()-8,$E114),TODAY()-8)-($D114+MOD(SISTEM!$F$8-WEEKDAY($D114,2),7)))/7)+1)))</f>
        <v/>
      </c>
      <c r="K114" s="227">
        <f>IF(OR($C114="",$D114="",$G114="",$F114=""),0,$G114*IF($F114="Aylık",MAX(0,(YEAR(MIN(IF($E114="",TODAY()-15,$E114),TODAY()-15))-YEAR($D114))*12+MONTH(MIN(IF($E114="",TODAY()-15,$E114),TODAY()-15))-MONTH($D114)+IF(MIN(IF($E114="",TODAY()-15,$E114),TODAY()-15)&gt;=EOMONTH(MIN(IF($E114="",TODAY()-15,$E114),TODAY()-15),0),1,0)),MAX(0,INT((MIN(IF($E114="",TODAY()-15,$E114),TODAY()-15)-($D114+MOD(SISTEM!$F$8-WEEKDAY($D114,2),7)))/7)+1)))</f>
        <v/>
      </c>
      <c r="L114" s="227">
        <f>IF(OR($C114="",$D114="",$G114="",$F114=""),0,$G114*IF($F114="Aylık",MAX(0,(YEAR(MIN(IF($E114="",TODAY()-29,$E114),TODAY()-29))-YEAR($D114))*12+MONTH(MIN(IF($E114="",TODAY()-29,$E114),TODAY()-29))-MONTH($D114)+IF(MIN(IF($E114="",TODAY()-29,$E114),TODAY()-29)&gt;=EOMONTH(MIN(IF($E114="",TODAY()-29,$E114),TODAY()-29),0),1,0)),MAX(0,INT((MIN(IF($E114="",TODAY()-29,$E114),TODAY()-29)-($D114+MOD(SISTEM!$F$8-WEEKDAY($D114,2),7)))/7)+1)))</f>
        <v/>
      </c>
      <c r="M114" s="228">
        <f>IF($G114&gt;0,$I114/$G114,0)</f>
        <v/>
      </c>
      <c r="N114" s="113">
        <f>IF($C114="","",IF($B114="TANIMSIZ MÜŞTERİ","TANIMSIZ MÜŞTERİ",IF($F114="","MODEL SEÇİN",IF(OR($D114="",$G114&lt;=0),"EKSİK",IF(AND($E114&lt;&gt;"",$E114&lt;$D114),"TARİH HATASI",IF($H114="Pasif","KAPALI DÖNEM","UYGUN"))))))</f>
        <v/>
      </c>
      <c r="O114" s="229">
        <f>IF(OR($C114="",$D114="",$F114=""),"",IF($F114="Aylık",EOMONTH($D114,0),($D114+MOD(SISTEM!$F$8-WEEKDAY($D114,2),7))))</f>
        <v/>
      </c>
      <c r="P114" s="109" t="n"/>
      <c r="Q114" s="6" t="n"/>
      <c r="R114" s="6" t="n"/>
      <c r="S114" s="3">
        <f>IF($B114="","",$B114&amp;"|"&amp;COUNTIFS($B$7:$B114,$B114))</f>
        <v/>
      </c>
    </row>
    <row r="115">
      <c r="A115" s="6" t="n"/>
      <c r="B115" s="113">
        <f>IF($C115="","",IFERROR(INDEX(MUSTERILER!$B$7:$B$106,MATCH($C115,MUSTERILER!$C$7:$C$106,0)),IFERROR(INDEX(MUSTERILER!$B$7:$B$106,MATCH($C115,MUSTERILER!$B$7:$B$106,0)),IFERROR(INDEX(MUSTERILER!$B$7:$B$106,MATCH($C115&amp;"*",MUSTERILER!$C$7:$C$106,0)),"TANIMSIZ MÜŞTERİ"))))</f>
        <v/>
      </c>
      <c r="C115" s="109" t="n"/>
      <c r="D115" s="225" t="n"/>
      <c r="E115" s="225" t="n"/>
      <c r="F115" s="108" t="n"/>
      <c r="G115" s="226" t="n"/>
      <c r="H115" s="108" t="n"/>
      <c r="I115" s="227">
        <f>IF(OR($C115="",$D115="",$G115="",$F115=""),0,$G115*IF($F115="Aylık",MAX(0,(YEAR(MIN(IF($E115="",TODAY(),$E115),TODAY()))-YEAR($D115))*12+MONTH(MIN(IF($E115="",TODAY(),$E115),TODAY()))-MONTH($D115)+IF(MIN(IF($E115="",TODAY(),$E115),TODAY())&gt;=EOMONTH(MIN(IF($E115="",TODAY(),$E115),TODAY()),0),1,0)),MAX(0,INT((MIN(IF($E115="",TODAY(),$E115),TODAY())-($D115+MOD(SISTEM!$F$8-WEEKDAY($D115,2),7)))/7)+1)))</f>
        <v/>
      </c>
      <c r="J115" s="227">
        <f>IF(OR($C115="",$D115="",$G115="",$F115=""),0,$G115*IF($F115="Aylık",MAX(0,(YEAR(MIN(IF($E115="",TODAY()-8,$E115),TODAY()-8))-YEAR($D115))*12+MONTH(MIN(IF($E115="",TODAY()-8,$E115),TODAY()-8))-MONTH($D115)+IF(MIN(IF($E115="",TODAY()-8,$E115),TODAY()-8)&gt;=EOMONTH(MIN(IF($E115="",TODAY()-8,$E115),TODAY()-8),0),1,0)),MAX(0,INT((MIN(IF($E115="",TODAY()-8,$E115),TODAY()-8)-($D115+MOD(SISTEM!$F$8-WEEKDAY($D115,2),7)))/7)+1)))</f>
        <v/>
      </c>
      <c r="K115" s="227">
        <f>IF(OR($C115="",$D115="",$G115="",$F115=""),0,$G115*IF($F115="Aylık",MAX(0,(YEAR(MIN(IF($E115="",TODAY()-15,$E115),TODAY()-15))-YEAR($D115))*12+MONTH(MIN(IF($E115="",TODAY()-15,$E115),TODAY()-15))-MONTH($D115)+IF(MIN(IF($E115="",TODAY()-15,$E115),TODAY()-15)&gt;=EOMONTH(MIN(IF($E115="",TODAY()-15,$E115),TODAY()-15),0),1,0)),MAX(0,INT((MIN(IF($E115="",TODAY()-15,$E115),TODAY()-15)-($D115+MOD(SISTEM!$F$8-WEEKDAY($D115,2),7)))/7)+1)))</f>
        <v/>
      </c>
      <c r="L115" s="227">
        <f>IF(OR($C115="",$D115="",$G115="",$F115=""),0,$G115*IF($F115="Aylık",MAX(0,(YEAR(MIN(IF($E115="",TODAY()-29,$E115),TODAY()-29))-YEAR($D115))*12+MONTH(MIN(IF($E115="",TODAY()-29,$E115),TODAY()-29))-MONTH($D115)+IF(MIN(IF($E115="",TODAY()-29,$E115),TODAY()-29)&gt;=EOMONTH(MIN(IF($E115="",TODAY()-29,$E115),TODAY()-29),0),1,0)),MAX(0,INT((MIN(IF($E115="",TODAY()-29,$E115),TODAY()-29)-($D115+MOD(SISTEM!$F$8-WEEKDAY($D115,2),7)))/7)+1)))</f>
        <v/>
      </c>
      <c r="M115" s="228">
        <f>IF($G115&gt;0,$I115/$G115,0)</f>
        <v/>
      </c>
      <c r="N115" s="113">
        <f>IF($C115="","",IF($B115="TANIMSIZ MÜŞTERİ","TANIMSIZ MÜŞTERİ",IF($F115="","MODEL SEÇİN",IF(OR($D115="",$G115&lt;=0),"EKSİK",IF(AND($E115&lt;&gt;"",$E115&lt;$D115),"TARİH HATASI",IF($H115="Pasif","KAPALI DÖNEM","UYGUN"))))))</f>
        <v/>
      </c>
      <c r="O115" s="229">
        <f>IF(OR($C115="",$D115="",$F115=""),"",IF($F115="Aylık",EOMONTH($D115,0),($D115+MOD(SISTEM!$F$8-WEEKDAY($D115,2),7))))</f>
        <v/>
      </c>
      <c r="P115" s="109" t="n"/>
      <c r="Q115" s="6" t="n"/>
      <c r="R115" s="6" t="n"/>
      <c r="S115" s="3">
        <f>IF($B115="","",$B115&amp;"|"&amp;COUNTIFS($B$7:$B115,$B115))</f>
        <v/>
      </c>
    </row>
    <row r="116">
      <c r="A116" s="6" t="n"/>
      <c r="B116" s="113">
        <f>IF($C116="","",IFERROR(INDEX(MUSTERILER!$B$7:$B$106,MATCH($C116,MUSTERILER!$C$7:$C$106,0)),IFERROR(INDEX(MUSTERILER!$B$7:$B$106,MATCH($C116,MUSTERILER!$B$7:$B$106,0)),IFERROR(INDEX(MUSTERILER!$B$7:$B$106,MATCH($C116&amp;"*",MUSTERILER!$C$7:$C$106,0)),"TANIMSIZ MÜŞTERİ"))))</f>
        <v/>
      </c>
      <c r="C116" s="109" t="n"/>
      <c r="D116" s="225" t="n"/>
      <c r="E116" s="225" t="n"/>
      <c r="F116" s="108" t="n"/>
      <c r="G116" s="226" t="n"/>
      <c r="H116" s="108" t="n"/>
      <c r="I116" s="227">
        <f>IF(OR($C116="",$D116="",$G116="",$F116=""),0,$G116*IF($F116="Aylık",MAX(0,(YEAR(MIN(IF($E116="",TODAY(),$E116),TODAY()))-YEAR($D116))*12+MONTH(MIN(IF($E116="",TODAY(),$E116),TODAY()))-MONTH($D116)+IF(MIN(IF($E116="",TODAY(),$E116),TODAY())&gt;=EOMONTH(MIN(IF($E116="",TODAY(),$E116),TODAY()),0),1,0)),MAX(0,INT((MIN(IF($E116="",TODAY(),$E116),TODAY())-($D116+MOD(SISTEM!$F$8-WEEKDAY($D116,2),7)))/7)+1)))</f>
        <v/>
      </c>
      <c r="J116" s="227">
        <f>IF(OR($C116="",$D116="",$G116="",$F116=""),0,$G116*IF($F116="Aylık",MAX(0,(YEAR(MIN(IF($E116="",TODAY()-8,$E116),TODAY()-8))-YEAR($D116))*12+MONTH(MIN(IF($E116="",TODAY()-8,$E116),TODAY()-8))-MONTH($D116)+IF(MIN(IF($E116="",TODAY()-8,$E116),TODAY()-8)&gt;=EOMONTH(MIN(IF($E116="",TODAY()-8,$E116),TODAY()-8),0),1,0)),MAX(0,INT((MIN(IF($E116="",TODAY()-8,$E116),TODAY()-8)-($D116+MOD(SISTEM!$F$8-WEEKDAY($D116,2),7)))/7)+1)))</f>
        <v/>
      </c>
      <c r="K116" s="227">
        <f>IF(OR($C116="",$D116="",$G116="",$F116=""),0,$G116*IF($F116="Aylık",MAX(0,(YEAR(MIN(IF($E116="",TODAY()-15,$E116),TODAY()-15))-YEAR($D116))*12+MONTH(MIN(IF($E116="",TODAY()-15,$E116),TODAY()-15))-MONTH($D116)+IF(MIN(IF($E116="",TODAY()-15,$E116),TODAY()-15)&gt;=EOMONTH(MIN(IF($E116="",TODAY()-15,$E116),TODAY()-15),0),1,0)),MAX(0,INT((MIN(IF($E116="",TODAY()-15,$E116),TODAY()-15)-($D116+MOD(SISTEM!$F$8-WEEKDAY($D116,2),7)))/7)+1)))</f>
        <v/>
      </c>
      <c r="L116" s="227">
        <f>IF(OR($C116="",$D116="",$G116="",$F116=""),0,$G116*IF($F116="Aylık",MAX(0,(YEAR(MIN(IF($E116="",TODAY()-29,$E116),TODAY()-29))-YEAR($D116))*12+MONTH(MIN(IF($E116="",TODAY()-29,$E116),TODAY()-29))-MONTH($D116)+IF(MIN(IF($E116="",TODAY()-29,$E116),TODAY()-29)&gt;=EOMONTH(MIN(IF($E116="",TODAY()-29,$E116),TODAY()-29),0),1,0)),MAX(0,INT((MIN(IF($E116="",TODAY()-29,$E116),TODAY()-29)-($D116+MOD(SISTEM!$F$8-WEEKDAY($D116,2),7)))/7)+1)))</f>
        <v/>
      </c>
      <c r="M116" s="228">
        <f>IF($G116&gt;0,$I116/$G116,0)</f>
        <v/>
      </c>
      <c r="N116" s="113">
        <f>IF($C116="","",IF($B116="TANIMSIZ MÜŞTERİ","TANIMSIZ MÜŞTERİ",IF($F116="","MODEL SEÇİN",IF(OR($D116="",$G116&lt;=0),"EKSİK",IF(AND($E116&lt;&gt;"",$E116&lt;$D116),"TARİH HATASI",IF($H116="Pasif","KAPALI DÖNEM","UYGUN"))))))</f>
        <v/>
      </c>
      <c r="O116" s="229">
        <f>IF(OR($C116="",$D116="",$F116=""),"",IF($F116="Aylık",EOMONTH($D116,0),($D116+MOD(SISTEM!$F$8-WEEKDAY($D116,2),7))))</f>
        <v/>
      </c>
      <c r="P116" s="109" t="n"/>
      <c r="Q116" s="6" t="n"/>
      <c r="R116" s="6" t="n"/>
      <c r="S116" s="3">
        <f>IF($B116="","",$B116&amp;"|"&amp;COUNTIFS($B$7:$B116,$B116))</f>
        <v/>
      </c>
    </row>
    <row r="117">
      <c r="A117" s="6" t="n"/>
      <c r="B117" s="113">
        <f>IF($C117="","",IFERROR(INDEX(MUSTERILER!$B$7:$B$106,MATCH($C117,MUSTERILER!$C$7:$C$106,0)),IFERROR(INDEX(MUSTERILER!$B$7:$B$106,MATCH($C117,MUSTERILER!$B$7:$B$106,0)),IFERROR(INDEX(MUSTERILER!$B$7:$B$106,MATCH($C117&amp;"*",MUSTERILER!$C$7:$C$106,0)),"TANIMSIZ MÜŞTERİ"))))</f>
        <v/>
      </c>
      <c r="C117" s="109" t="n"/>
      <c r="D117" s="225" t="n"/>
      <c r="E117" s="225" t="n"/>
      <c r="F117" s="108" t="n"/>
      <c r="G117" s="226" t="n"/>
      <c r="H117" s="108" t="n"/>
      <c r="I117" s="227">
        <f>IF(OR($C117="",$D117="",$G117="",$F117=""),0,$G117*IF($F117="Aylık",MAX(0,(YEAR(MIN(IF($E117="",TODAY(),$E117),TODAY()))-YEAR($D117))*12+MONTH(MIN(IF($E117="",TODAY(),$E117),TODAY()))-MONTH($D117)+IF(MIN(IF($E117="",TODAY(),$E117),TODAY())&gt;=EOMONTH(MIN(IF($E117="",TODAY(),$E117),TODAY()),0),1,0)),MAX(0,INT((MIN(IF($E117="",TODAY(),$E117),TODAY())-($D117+MOD(SISTEM!$F$8-WEEKDAY($D117,2),7)))/7)+1)))</f>
        <v/>
      </c>
      <c r="J117" s="227">
        <f>IF(OR($C117="",$D117="",$G117="",$F117=""),0,$G117*IF($F117="Aylık",MAX(0,(YEAR(MIN(IF($E117="",TODAY()-8,$E117),TODAY()-8))-YEAR($D117))*12+MONTH(MIN(IF($E117="",TODAY()-8,$E117),TODAY()-8))-MONTH($D117)+IF(MIN(IF($E117="",TODAY()-8,$E117),TODAY()-8)&gt;=EOMONTH(MIN(IF($E117="",TODAY()-8,$E117),TODAY()-8),0),1,0)),MAX(0,INT((MIN(IF($E117="",TODAY()-8,$E117),TODAY()-8)-($D117+MOD(SISTEM!$F$8-WEEKDAY($D117,2),7)))/7)+1)))</f>
        <v/>
      </c>
      <c r="K117" s="227">
        <f>IF(OR($C117="",$D117="",$G117="",$F117=""),0,$G117*IF($F117="Aylık",MAX(0,(YEAR(MIN(IF($E117="",TODAY()-15,$E117),TODAY()-15))-YEAR($D117))*12+MONTH(MIN(IF($E117="",TODAY()-15,$E117),TODAY()-15))-MONTH($D117)+IF(MIN(IF($E117="",TODAY()-15,$E117),TODAY()-15)&gt;=EOMONTH(MIN(IF($E117="",TODAY()-15,$E117),TODAY()-15),0),1,0)),MAX(0,INT((MIN(IF($E117="",TODAY()-15,$E117),TODAY()-15)-($D117+MOD(SISTEM!$F$8-WEEKDAY($D117,2),7)))/7)+1)))</f>
        <v/>
      </c>
      <c r="L117" s="227">
        <f>IF(OR($C117="",$D117="",$G117="",$F117=""),0,$G117*IF($F117="Aylık",MAX(0,(YEAR(MIN(IF($E117="",TODAY()-29,$E117),TODAY()-29))-YEAR($D117))*12+MONTH(MIN(IF($E117="",TODAY()-29,$E117),TODAY()-29))-MONTH($D117)+IF(MIN(IF($E117="",TODAY()-29,$E117),TODAY()-29)&gt;=EOMONTH(MIN(IF($E117="",TODAY()-29,$E117),TODAY()-29),0),1,0)),MAX(0,INT((MIN(IF($E117="",TODAY()-29,$E117),TODAY()-29)-($D117+MOD(SISTEM!$F$8-WEEKDAY($D117,2),7)))/7)+1)))</f>
        <v/>
      </c>
      <c r="M117" s="228">
        <f>IF($G117&gt;0,$I117/$G117,0)</f>
        <v/>
      </c>
      <c r="N117" s="113">
        <f>IF($C117="","",IF($B117="TANIMSIZ MÜŞTERİ","TANIMSIZ MÜŞTERİ",IF($F117="","MODEL SEÇİN",IF(OR($D117="",$G117&lt;=0),"EKSİK",IF(AND($E117&lt;&gt;"",$E117&lt;$D117),"TARİH HATASI",IF($H117="Pasif","KAPALI DÖNEM","UYGUN"))))))</f>
        <v/>
      </c>
      <c r="O117" s="229">
        <f>IF(OR($C117="",$D117="",$F117=""),"",IF($F117="Aylık",EOMONTH($D117,0),($D117+MOD(SISTEM!$F$8-WEEKDAY($D117,2),7))))</f>
        <v/>
      </c>
      <c r="P117" s="109" t="n"/>
      <c r="Q117" s="6" t="n"/>
      <c r="R117" s="6" t="n"/>
      <c r="S117" s="3">
        <f>IF($B117="","",$B117&amp;"|"&amp;COUNTIFS($B$7:$B117,$B117))</f>
        <v/>
      </c>
    </row>
    <row r="118">
      <c r="A118" s="6" t="n"/>
      <c r="B118" s="113">
        <f>IF($C118="","",IFERROR(INDEX(MUSTERILER!$B$7:$B$106,MATCH($C118,MUSTERILER!$C$7:$C$106,0)),IFERROR(INDEX(MUSTERILER!$B$7:$B$106,MATCH($C118,MUSTERILER!$B$7:$B$106,0)),IFERROR(INDEX(MUSTERILER!$B$7:$B$106,MATCH($C118&amp;"*",MUSTERILER!$C$7:$C$106,0)),"TANIMSIZ MÜŞTERİ"))))</f>
        <v/>
      </c>
      <c r="C118" s="109" t="n"/>
      <c r="D118" s="225" t="n"/>
      <c r="E118" s="225" t="n"/>
      <c r="F118" s="108" t="n"/>
      <c r="G118" s="226" t="n"/>
      <c r="H118" s="108" t="n"/>
      <c r="I118" s="227">
        <f>IF(OR($C118="",$D118="",$G118="",$F118=""),0,$G118*IF($F118="Aylık",MAX(0,(YEAR(MIN(IF($E118="",TODAY(),$E118),TODAY()))-YEAR($D118))*12+MONTH(MIN(IF($E118="",TODAY(),$E118),TODAY()))-MONTH($D118)+IF(MIN(IF($E118="",TODAY(),$E118),TODAY())&gt;=EOMONTH(MIN(IF($E118="",TODAY(),$E118),TODAY()),0),1,0)),MAX(0,INT((MIN(IF($E118="",TODAY(),$E118),TODAY())-($D118+MOD(SISTEM!$F$8-WEEKDAY($D118,2),7)))/7)+1)))</f>
        <v/>
      </c>
      <c r="J118" s="227">
        <f>IF(OR($C118="",$D118="",$G118="",$F118=""),0,$G118*IF($F118="Aylık",MAX(0,(YEAR(MIN(IF($E118="",TODAY()-8,$E118),TODAY()-8))-YEAR($D118))*12+MONTH(MIN(IF($E118="",TODAY()-8,$E118),TODAY()-8))-MONTH($D118)+IF(MIN(IF($E118="",TODAY()-8,$E118),TODAY()-8)&gt;=EOMONTH(MIN(IF($E118="",TODAY()-8,$E118),TODAY()-8),0),1,0)),MAX(0,INT((MIN(IF($E118="",TODAY()-8,$E118),TODAY()-8)-($D118+MOD(SISTEM!$F$8-WEEKDAY($D118,2),7)))/7)+1)))</f>
        <v/>
      </c>
      <c r="K118" s="227">
        <f>IF(OR($C118="",$D118="",$G118="",$F118=""),0,$G118*IF($F118="Aylık",MAX(0,(YEAR(MIN(IF($E118="",TODAY()-15,$E118),TODAY()-15))-YEAR($D118))*12+MONTH(MIN(IF($E118="",TODAY()-15,$E118),TODAY()-15))-MONTH($D118)+IF(MIN(IF($E118="",TODAY()-15,$E118),TODAY()-15)&gt;=EOMONTH(MIN(IF($E118="",TODAY()-15,$E118),TODAY()-15),0),1,0)),MAX(0,INT((MIN(IF($E118="",TODAY()-15,$E118),TODAY()-15)-($D118+MOD(SISTEM!$F$8-WEEKDAY($D118,2),7)))/7)+1)))</f>
        <v/>
      </c>
      <c r="L118" s="227">
        <f>IF(OR($C118="",$D118="",$G118="",$F118=""),0,$G118*IF($F118="Aylık",MAX(0,(YEAR(MIN(IF($E118="",TODAY()-29,$E118),TODAY()-29))-YEAR($D118))*12+MONTH(MIN(IF($E118="",TODAY()-29,$E118),TODAY()-29))-MONTH($D118)+IF(MIN(IF($E118="",TODAY()-29,$E118),TODAY()-29)&gt;=EOMONTH(MIN(IF($E118="",TODAY()-29,$E118),TODAY()-29),0),1,0)),MAX(0,INT((MIN(IF($E118="",TODAY()-29,$E118),TODAY()-29)-($D118+MOD(SISTEM!$F$8-WEEKDAY($D118,2),7)))/7)+1)))</f>
        <v/>
      </c>
      <c r="M118" s="228">
        <f>IF($G118&gt;0,$I118/$G118,0)</f>
        <v/>
      </c>
      <c r="N118" s="113">
        <f>IF($C118="","",IF($B118="TANIMSIZ MÜŞTERİ","TANIMSIZ MÜŞTERİ",IF($F118="","MODEL SEÇİN",IF(OR($D118="",$G118&lt;=0),"EKSİK",IF(AND($E118&lt;&gt;"",$E118&lt;$D118),"TARİH HATASI",IF($H118="Pasif","KAPALI DÖNEM","UYGUN"))))))</f>
        <v/>
      </c>
      <c r="O118" s="229">
        <f>IF(OR($C118="",$D118="",$F118=""),"",IF($F118="Aylık",EOMONTH($D118,0),($D118+MOD(SISTEM!$F$8-WEEKDAY($D118,2),7))))</f>
        <v/>
      </c>
      <c r="P118" s="109" t="n"/>
      <c r="Q118" s="6" t="n"/>
      <c r="R118" s="6" t="n"/>
      <c r="S118" s="3">
        <f>IF($B118="","",$B118&amp;"|"&amp;COUNTIFS($B$7:$B118,$B118))</f>
        <v/>
      </c>
    </row>
    <row r="119">
      <c r="A119" s="6" t="n"/>
      <c r="B119" s="113">
        <f>IF($C119="","",IFERROR(INDEX(MUSTERILER!$B$7:$B$106,MATCH($C119,MUSTERILER!$C$7:$C$106,0)),IFERROR(INDEX(MUSTERILER!$B$7:$B$106,MATCH($C119,MUSTERILER!$B$7:$B$106,0)),IFERROR(INDEX(MUSTERILER!$B$7:$B$106,MATCH($C119&amp;"*",MUSTERILER!$C$7:$C$106,0)),"TANIMSIZ MÜŞTERİ"))))</f>
        <v/>
      </c>
      <c r="C119" s="109" t="n"/>
      <c r="D119" s="225" t="n"/>
      <c r="E119" s="225" t="n"/>
      <c r="F119" s="108" t="n"/>
      <c r="G119" s="226" t="n"/>
      <c r="H119" s="108" t="n"/>
      <c r="I119" s="227">
        <f>IF(OR($C119="",$D119="",$G119="",$F119=""),0,$G119*IF($F119="Aylık",MAX(0,(YEAR(MIN(IF($E119="",TODAY(),$E119),TODAY()))-YEAR($D119))*12+MONTH(MIN(IF($E119="",TODAY(),$E119),TODAY()))-MONTH($D119)+IF(MIN(IF($E119="",TODAY(),$E119),TODAY())&gt;=EOMONTH(MIN(IF($E119="",TODAY(),$E119),TODAY()),0),1,0)),MAX(0,INT((MIN(IF($E119="",TODAY(),$E119),TODAY())-($D119+MOD(SISTEM!$F$8-WEEKDAY($D119,2),7)))/7)+1)))</f>
        <v/>
      </c>
      <c r="J119" s="227">
        <f>IF(OR($C119="",$D119="",$G119="",$F119=""),0,$G119*IF($F119="Aylık",MAX(0,(YEAR(MIN(IF($E119="",TODAY()-8,$E119),TODAY()-8))-YEAR($D119))*12+MONTH(MIN(IF($E119="",TODAY()-8,$E119),TODAY()-8))-MONTH($D119)+IF(MIN(IF($E119="",TODAY()-8,$E119),TODAY()-8)&gt;=EOMONTH(MIN(IF($E119="",TODAY()-8,$E119),TODAY()-8),0),1,0)),MAX(0,INT((MIN(IF($E119="",TODAY()-8,$E119),TODAY()-8)-($D119+MOD(SISTEM!$F$8-WEEKDAY($D119,2),7)))/7)+1)))</f>
        <v/>
      </c>
      <c r="K119" s="227">
        <f>IF(OR($C119="",$D119="",$G119="",$F119=""),0,$G119*IF($F119="Aylık",MAX(0,(YEAR(MIN(IF($E119="",TODAY()-15,$E119),TODAY()-15))-YEAR($D119))*12+MONTH(MIN(IF($E119="",TODAY()-15,$E119),TODAY()-15))-MONTH($D119)+IF(MIN(IF($E119="",TODAY()-15,$E119),TODAY()-15)&gt;=EOMONTH(MIN(IF($E119="",TODAY()-15,$E119),TODAY()-15),0),1,0)),MAX(0,INT((MIN(IF($E119="",TODAY()-15,$E119),TODAY()-15)-($D119+MOD(SISTEM!$F$8-WEEKDAY($D119,2),7)))/7)+1)))</f>
        <v/>
      </c>
      <c r="L119" s="227">
        <f>IF(OR($C119="",$D119="",$G119="",$F119=""),0,$G119*IF($F119="Aylık",MAX(0,(YEAR(MIN(IF($E119="",TODAY()-29,$E119),TODAY()-29))-YEAR($D119))*12+MONTH(MIN(IF($E119="",TODAY()-29,$E119),TODAY()-29))-MONTH($D119)+IF(MIN(IF($E119="",TODAY()-29,$E119),TODAY()-29)&gt;=EOMONTH(MIN(IF($E119="",TODAY()-29,$E119),TODAY()-29),0),1,0)),MAX(0,INT((MIN(IF($E119="",TODAY()-29,$E119),TODAY()-29)-($D119+MOD(SISTEM!$F$8-WEEKDAY($D119,2),7)))/7)+1)))</f>
        <v/>
      </c>
      <c r="M119" s="228">
        <f>IF($G119&gt;0,$I119/$G119,0)</f>
        <v/>
      </c>
      <c r="N119" s="113">
        <f>IF($C119="","",IF($B119="TANIMSIZ MÜŞTERİ","TANIMSIZ MÜŞTERİ",IF($F119="","MODEL SEÇİN",IF(OR($D119="",$G119&lt;=0),"EKSİK",IF(AND($E119&lt;&gt;"",$E119&lt;$D119),"TARİH HATASI",IF($H119="Pasif","KAPALI DÖNEM","UYGUN"))))))</f>
        <v/>
      </c>
      <c r="O119" s="229">
        <f>IF(OR($C119="",$D119="",$F119=""),"",IF($F119="Aylık",EOMONTH($D119,0),($D119+MOD(SISTEM!$F$8-WEEKDAY($D119,2),7))))</f>
        <v/>
      </c>
      <c r="P119" s="109" t="n"/>
      <c r="Q119" s="6" t="n"/>
      <c r="R119" s="6" t="n"/>
      <c r="S119" s="3">
        <f>IF($B119="","",$B119&amp;"|"&amp;COUNTIFS($B$7:$B119,$B119))</f>
        <v/>
      </c>
    </row>
    <row r="120">
      <c r="A120" s="6" t="n"/>
      <c r="B120" s="113">
        <f>IF($C120="","",IFERROR(INDEX(MUSTERILER!$B$7:$B$106,MATCH($C120,MUSTERILER!$C$7:$C$106,0)),IFERROR(INDEX(MUSTERILER!$B$7:$B$106,MATCH($C120,MUSTERILER!$B$7:$B$106,0)),IFERROR(INDEX(MUSTERILER!$B$7:$B$106,MATCH($C120&amp;"*",MUSTERILER!$C$7:$C$106,0)),"TANIMSIZ MÜŞTERİ"))))</f>
        <v/>
      </c>
      <c r="C120" s="109" t="n"/>
      <c r="D120" s="225" t="n"/>
      <c r="E120" s="225" t="n"/>
      <c r="F120" s="108" t="n"/>
      <c r="G120" s="226" t="n"/>
      <c r="H120" s="108" t="n"/>
      <c r="I120" s="227">
        <f>IF(OR($C120="",$D120="",$G120="",$F120=""),0,$G120*IF($F120="Aylık",MAX(0,(YEAR(MIN(IF($E120="",TODAY(),$E120),TODAY()))-YEAR($D120))*12+MONTH(MIN(IF($E120="",TODAY(),$E120),TODAY()))-MONTH($D120)+IF(MIN(IF($E120="",TODAY(),$E120),TODAY())&gt;=EOMONTH(MIN(IF($E120="",TODAY(),$E120),TODAY()),0),1,0)),MAX(0,INT((MIN(IF($E120="",TODAY(),$E120),TODAY())-($D120+MOD(SISTEM!$F$8-WEEKDAY($D120,2),7)))/7)+1)))</f>
        <v/>
      </c>
      <c r="J120" s="227">
        <f>IF(OR($C120="",$D120="",$G120="",$F120=""),0,$G120*IF($F120="Aylık",MAX(0,(YEAR(MIN(IF($E120="",TODAY()-8,$E120),TODAY()-8))-YEAR($D120))*12+MONTH(MIN(IF($E120="",TODAY()-8,$E120),TODAY()-8))-MONTH($D120)+IF(MIN(IF($E120="",TODAY()-8,$E120),TODAY()-8)&gt;=EOMONTH(MIN(IF($E120="",TODAY()-8,$E120),TODAY()-8),0),1,0)),MAX(0,INT((MIN(IF($E120="",TODAY()-8,$E120),TODAY()-8)-($D120+MOD(SISTEM!$F$8-WEEKDAY($D120,2),7)))/7)+1)))</f>
        <v/>
      </c>
      <c r="K120" s="227">
        <f>IF(OR($C120="",$D120="",$G120="",$F120=""),0,$G120*IF($F120="Aylık",MAX(0,(YEAR(MIN(IF($E120="",TODAY()-15,$E120),TODAY()-15))-YEAR($D120))*12+MONTH(MIN(IF($E120="",TODAY()-15,$E120),TODAY()-15))-MONTH($D120)+IF(MIN(IF($E120="",TODAY()-15,$E120),TODAY()-15)&gt;=EOMONTH(MIN(IF($E120="",TODAY()-15,$E120),TODAY()-15),0),1,0)),MAX(0,INT((MIN(IF($E120="",TODAY()-15,$E120),TODAY()-15)-($D120+MOD(SISTEM!$F$8-WEEKDAY($D120,2),7)))/7)+1)))</f>
        <v/>
      </c>
      <c r="L120" s="227">
        <f>IF(OR($C120="",$D120="",$G120="",$F120=""),0,$G120*IF($F120="Aylık",MAX(0,(YEAR(MIN(IF($E120="",TODAY()-29,$E120),TODAY()-29))-YEAR($D120))*12+MONTH(MIN(IF($E120="",TODAY()-29,$E120),TODAY()-29))-MONTH($D120)+IF(MIN(IF($E120="",TODAY()-29,$E120),TODAY()-29)&gt;=EOMONTH(MIN(IF($E120="",TODAY()-29,$E120),TODAY()-29),0),1,0)),MAX(0,INT((MIN(IF($E120="",TODAY()-29,$E120),TODAY()-29)-($D120+MOD(SISTEM!$F$8-WEEKDAY($D120,2),7)))/7)+1)))</f>
        <v/>
      </c>
      <c r="M120" s="228">
        <f>IF($G120&gt;0,$I120/$G120,0)</f>
        <v/>
      </c>
      <c r="N120" s="113">
        <f>IF($C120="","",IF($B120="TANIMSIZ MÜŞTERİ","TANIMSIZ MÜŞTERİ",IF($F120="","MODEL SEÇİN",IF(OR($D120="",$G120&lt;=0),"EKSİK",IF(AND($E120&lt;&gt;"",$E120&lt;$D120),"TARİH HATASI",IF($H120="Pasif","KAPALI DÖNEM","UYGUN"))))))</f>
        <v/>
      </c>
      <c r="O120" s="229">
        <f>IF(OR($C120="",$D120="",$F120=""),"",IF($F120="Aylık",EOMONTH($D120,0),($D120+MOD(SISTEM!$F$8-WEEKDAY($D120,2),7))))</f>
        <v/>
      </c>
      <c r="P120" s="109" t="n"/>
      <c r="Q120" s="6" t="n"/>
      <c r="R120" s="6" t="n"/>
      <c r="S120" s="3">
        <f>IF($B120="","",$B120&amp;"|"&amp;COUNTIFS($B$7:$B120,$B120))</f>
        <v/>
      </c>
    </row>
    <row r="121">
      <c r="A121" s="6" t="n"/>
      <c r="B121" s="113">
        <f>IF($C121="","",IFERROR(INDEX(MUSTERILER!$B$7:$B$106,MATCH($C121,MUSTERILER!$C$7:$C$106,0)),IFERROR(INDEX(MUSTERILER!$B$7:$B$106,MATCH($C121,MUSTERILER!$B$7:$B$106,0)),IFERROR(INDEX(MUSTERILER!$B$7:$B$106,MATCH($C121&amp;"*",MUSTERILER!$C$7:$C$106,0)),"TANIMSIZ MÜŞTERİ"))))</f>
        <v/>
      </c>
      <c r="C121" s="109" t="n"/>
      <c r="D121" s="225" t="n"/>
      <c r="E121" s="225" t="n"/>
      <c r="F121" s="108" t="n"/>
      <c r="G121" s="226" t="n"/>
      <c r="H121" s="108" t="n"/>
      <c r="I121" s="227">
        <f>IF(OR($C121="",$D121="",$G121="",$F121=""),0,$G121*IF($F121="Aylık",MAX(0,(YEAR(MIN(IF($E121="",TODAY(),$E121),TODAY()))-YEAR($D121))*12+MONTH(MIN(IF($E121="",TODAY(),$E121),TODAY()))-MONTH($D121)+IF(MIN(IF($E121="",TODAY(),$E121),TODAY())&gt;=EOMONTH(MIN(IF($E121="",TODAY(),$E121),TODAY()),0),1,0)),MAX(0,INT((MIN(IF($E121="",TODAY(),$E121),TODAY())-($D121+MOD(SISTEM!$F$8-WEEKDAY($D121,2),7)))/7)+1)))</f>
        <v/>
      </c>
      <c r="J121" s="227">
        <f>IF(OR($C121="",$D121="",$G121="",$F121=""),0,$G121*IF($F121="Aylık",MAX(0,(YEAR(MIN(IF($E121="",TODAY()-8,$E121),TODAY()-8))-YEAR($D121))*12+MONTH(MIN(IF($E121="",TODAY()-8,$E121),TODAY()-8))-MONTH($D121)+IF(MIN(IF($E121="",TODAY()-8,$E121),TODAY()-8)&gt;=EOMONTH(MIN(IF($E121="",TODAY()-8,$E121),TODAY()-8),0),1,0)),MAX(0,INT((MIN(IF($E121="",TODAY()-8,$E121),TODAY()-8)-($D121+MOD(SISTEM!$F$8-WEEKDAY($D121,2),7)))/7)+1)))</f>
        <v/>
      </c>
      <c r="K121" s="227">
        <f>IF(OR($C121="",$D121="",$G121="",$F121=""),0,$G121*IF($F121="Aylık",MAX(0,(YEAR(MIN(IF($E121="",TODAY()-15,$E121),TODAY()-15))-YEAR($D121))*12+MONTH(MIN(IF($E121="",TODAY()-15,$E121),TODAY()-15))-MONTH($D121)+IF(MIN(IF($E121="",TODAY()-15,$E121),TODAY()-15)&gt;=EOMONTH(MIN(IF($E121="",TODAY()-15,$E121),TODAY()-15),0),1,0)),MAX(0,INT((MIN(IF($E121="",TODAY()-15,$E121),TODAY()-15)-($D121+MOD(SISTEM!$F$8-WEEKDAY($D121,2),7)))/7)+1)))</f>
        <v/>
      </c>
      <c r="L121" s="227">
        <f>IF(OR($C121="",$D121="",$G121="",$F121=""),0,$G121*IF($F121="Aylık",MAX(0,(YEAR(MIN(IF($E121="",TODAY()-29,$E121),TODAY()-29))-YEAR($D121))*12+MONTH(MIN(IF($E121="",TODAY()-29,$E121),TODAY()-29))-MONTH($D121)+IF(MIN(IF($E121="",TODAY()-29,$E121),TODAY()-29)&gt;=EOMONTH(MIN(IF($E121="",TODAY()-29,$E121),TODAY()-29),0),1,0)),MAX(0,INT((MIN(IF($E121="",TODAY()-29,$E121),TODAY()-29)-($D121+MOD(SISTEM!$F$8-WEEKDAY($D121,2),7)))/7)+1)))</f>
        <v/>
      </c>
      <c r="M121" s="228">
        <f>IF($G121&gt;0,$I121/$G121,0)</f>
        <v/>
      </c>
      <c r="N121" s="113">
        <f>IF($C121="","",IF($B121="TANIMSIZ MÜŞTERİ","TANIMSIZ MÜŞTERİ",IF($F121="","MODEL SEÇİN",IF(OR($D121="",$G121&lt;=0),"EKSİK",IF(AND($E121&lt;&gt;"",$E121&lt;$D121),"TARİH HATASI",IF($H121="Pasif","KAPALI DÖNEM","UYGUN"))))))</f>
        <v/>
      </c>
      <c r="O121" s="229">
        <f>IF(OR($C121="",$D121="",$F121=""),"",IF($F121="Aylık",EOMONTH($D121,0),($D121+MOD(SISTEM!$F$8-WEEKDAY($D121,2),7))))</f>
        <v/>
      </c>
      <c r="P121" s="109" t="n"/>
      <c r="Q121" s="6" t="n"/>
      <c r="R121" s="6" t="n"/>
      <c r="S121" s="3">
        <f>IF($B121="","",$B121&amp;"|"&amp;COUNTIFS($B$7:$B121,$B121))</f>
        <v/>
      </c>
    </row>
    <row r="122">
      <c r="A122" s="6" t="n"/>
      <c r="B122" s="113">
        <f>IF($C122="","",IFERROR(INDEX(MUSTERILER!$B$7:$B$106,MATCH($C122,MUSTERILER!$C$7:$C$106,0)),IFERROR(INDEX(MUSTERILER!$B$7:$B$106,MATCH($C122,MUSTERILER!$B$7:$B$106,0)),IFERROR(INDEX(MUSTERILER!$B$7:$B$106,MATCH($C122&amp;"*",MUSTERILER!$C$7:$C$106,0)),"TANIMSIZ MÜŞTERİ"))))</f>
        <v/>
      </c>
      <c r="C122" s="109" t="n"/>
      <c r="D122" s="225" t="n"/>
      <c r="E122" s="225" t="n"/>
      <c r="F122" s="108" t="n"/>
      <c r="G122" s="226" t="n"/>
      <c r="H122" s="108" t="n"/>
      <c r="I122" s="227">
        <f>IF(OR($C122="",$D122="",$G122="",$F122=""),0,$G122*IF($F122="Aylık",MAX(0,(YEAR(MIN(IF($E122="",TODAY(),$E122),TODAY()))-YEAR($D122))*12+MONTH(MIN(IF($E122="",TODAY(),$E122),TODAY()))-MONTH($D122)+IF(MIN(IF($E122="",TODAY(),$E122),TODAY())&gt;=EOMONTH(MIN(IF($E122="",TODAY(),$E122),TODAY()),0),1,0)),MAX(0,INT((MIN(IF($E122="",TODAY(),$E122),TODAY())-($D122+MOD(SISTEM!$F$8-WEEKDAY($D122,2),7)))/7)+1)))</f>
        <v/>
      </c>
      <c r="J122" s="227">
        <f>IF(OR($C122="",$D122="",$G122="",$F122=""),0,$G122*IF($F122="Aylık",MAX(0,(YEAR(MIN(IF($E122="",TODAY()-8,$E122),TODAY()-8))-YEAR($D122))*12+MONTH(MIN(IF($E122="",TODAY()-8,$E122),TODAY()-8))-MONTH($D122)+IF(MIN(IF($E122="",TODAY()-8,$E122),TODAY()-8)&gt;=EOMONTH(MIN(IF($E122="",TODAY()-8,$E122),TODAY()-8),0),1,0)),MAX(0,INT((MIN(IF($E122="",TODAY()-8,$E122),TODAY()-8)-($D122+MOD(SISTEM!$F$8-WEEKDAY($D122,2),7)))/7)+1)))</f>
        <v/>
      </c>
      <c r="K122" s="227">
        <f>IF(OR($C122="",$D122="",$G122="",$F122=""),0,$G122*IF($F122="Aylık",MAX(0,(YEAR(MIN(IF($E122="",TODAY()-15,$E122),TODAY()-15))-YEAR($D122))*12+MONTH(MIN(IF($E122="",TODAY()-15,$E122),TODAY()-15))-MONTH($D122)+IF(MIN(IF($E122="",TODAY()-15,$E122),TODAY()-15)&gt;=EOMONTH(MIN(IF($E122="",TODAY()-15,$E122),TODAY()-15),0),1,0)),MAX(0,INT((MIN(IF($E122="",TODAY()-15,$E122),TODAY()-15)-($D122+MOD(SISTEM!$F$8-WEEKDAY($D122,2),7)))/7)+1)))</f>
        <v/>
      </c>
      <c r="L122" s="227">
        <f>IF(OR($C122="",$D122="",$G122="",$F122=""),0,$G122*IF($F122="Aylık",MAX(0,(YEAR(MIN(IF($E122="",TODAY()-29,$E122),TODAY()-29))-YEAR($D122))*12+MONTH(MIN(IF($E122="",TODAY()-29,$E122),TODAY()-29))-MONTH($D122)+IF(MIN(IF($E122="",TODAY()-29,$E122),TODAY()-29)&gt;=EOMONTH(MIN(IF($E122="",TODAY()-29,$E122),TODAY()-29),0),1,0)),MAX(0,INT((MIN(IF($E122="",TODAY()-29,$E122),TODAY()-29)-($D122+MOD(SISTEM!$F$8-WEEKDAY($D122,2),7)))/7)+1)))</f>
        <v/>
      </c>
      <c r="M122" s="228">
        <f>IF($G122&gt;0,$I122/$G122,0)</f>
        <v/>
      </c>
      <c r="N122" s="113">
        <f>IF($C122="","",IF($B122="TANIMSIZ MÜŞTERİ","TANIMSIZ MÜŞTERİ",IF($F122="","MODEL SEÇİN",IF(OR($D122="",$G122&lt;=0),"EKSİK",IF(AND($E122&lt;&gt;"",$E122&lt;$D122),"TARİH HATASI",IF($H122="Pasif","KAPALI DÖNEM","UYGUN"))))))</f>
        <v/>
      </c>
      <c r="O122" s="229">
        <f>IF(OR($C122="",$D122="",$F122=""),"",IF($F122="Aylık",EOMONTH($D122,0),($D122+MOD(SISTEM!$F$8-WEEKDAY($D122,2),7))))</f>
        <v/>
      </c>
      <c r="P122" s="109" t="n"/>
      <c r="Q122" s="6" t="n"/>
      <c r="R122" s="6" t="n"/>
      <c r="S122" s="3">
        <f>IF($B122="","",$B122&amp;"|"&amp;COUNTIFS($B$7:$B122,$B122))</f>
        <v/>
      </c>
    </row>
    <row r="123">
      <c r="A123" s="6" t="n"/>
      <c r="B123" s="113">
        <f>IF($C123="","",IFERROR(INDEX(MUSTERILER!$B$7:$B$106,MATCH($C123,MUSTERILER!$C$7:$C$106,0)),IFERROR(INDEX(MUSTERILER!$B$7:$B$106,MATCH($C123,MUSTERILER!$B$7:$B$106,0)),IFERROR(INDEX(MUSTERILER!$B$7:$B$106,MATCH($C123&amp;"*",MUSTERILER!$C$7:$C$106,0)),"TANIMSIZ MÜŞTERİ"))))</f>
        <v/>
      </c>
      <c r="C123" s="109" t="n"/>
      <c r="D123" s="225" t="n"/>
      <c r="E123" s="225" t="n"/>
      <c r="F123" s="108" t="n"/>
      <c r="G123" s="226" t="n"/>
      <c r="H123" s="108" t="n"/>
      <c r="I123" s="227">
        <f>IF(OR($C123="",$D123="",$G123="",$F123=""),0,$G123*IF($F123="Aylık",MAX(0,(YEAR(MIN(IF($E123="",TODAY(),$E123),TODAY()))-YEAR($D123))*12+MONTH(MIN(IF($E123="",TODAY(),$E123),TODAY()))-MONTH($D123)+IF(MIN(IF($E123="",TODAY(),$E123),TODAY())&gt;=EOMONTH(MIN(IF($E123="",TODAY(),$E123),TODAY()),0),1,0)),MAX(0,INT((MIN(IF($E123="",TODAY(),$E123),TODAY())-($D123+MOD(SISTEM!$F$8-WEEKDAY($D123,2),7)))/7)+1)))</f>
        <v/>
      </c>
      <c r="J123" s="227">
        <f>IF(OR($C123="",$D123="",$G123="",$F123=""),0,$G123*IF($F123="Aylık",MAX(0,(YEAR(MIN(IF($E123="",TODAY()-8,$E123),TODAY()-8))-YEAR($D123))*12+MONTH(MIN(IF($E123="",TODAY()-8,$E123),TODAY()-8))-MONTH($D123)+IF(MIN(IF($E123="",TODAY()-8,$E123),TODAY()-8)&gt;=EOMONTH(MIN(IF($E123="",TODAY()-8,$E123),TODAY()-8),0),1,0)),MAX(0,INT((MIN(IF($E123="",TODAY()-8,$E123),TODAY()-8)-($D123+MOD(SISTEM!$F$8-WEEKDAY($D123,2),7)))/7)+1)))</f>
        <v/>
      </c>
      <c r="K123" s="227">
        <f>IF(OR($C123="",$D123="",$G123="",$F123=""),0,$G123*IF($F123="Aylık",MAX(0,(YEAR(MIN(IF($E123="",TODAY()-15,$E123),TODAY()-15))-YEAR($D123))*12+MONTH(MIN(IF($E123="",TODAY()-15,$E123),TODAY()-15))-MONTH($D123)+IF(MIN(IF($E123="",TODAY()-15,$E123),TODAY()-15)&gt;=EOMONTH(MIN(IF($E123="",TODAY()-15,$E123),TODAY()-15),0),1,0)),MAX(0,INT((MIN(IF($E123="",TODAY()-15,$E123),TODAY()-15)-($D123+MOD(SISTEM!$F$8-WEEKDAY($D123,2),7)))/7)+1)))</f>
        <v/>
      </c>
      <c r="L123" s="227">
        <f>IF(OR($C123="",$D123="",$G123="",$F123=""),0,$G123*IF($F123="Aylık",MAX(0,(YEAR(MIN(IF($E123="",TODAY()-29,$E123),TODAY()-29))-YEAR($D123))*12+MONTH(MIN(IF($E123="",TODAY()-29,$E123),TODAY()-29))-MONTH($D123)+IF(MIN(IF($E123="",TODAY()-29,$E123),TODAY()-29)&gt;=EOMONTH(MIN(IF($E123="",TODAY()-29,$E123),TODAY()-29),0),1,0)),MAX(0,INT((MIN(IF($E123="",TODAY()-29,$E123),TODAY()-29)-($D123+MOD(SISTEM!$F$8-WEEKDAY($D123,2),7)))/7)+1)))</f>
        <v/>
      </c>
      <c r="M123" s="228">
        <f>IF($G123&gt;0,$I123/$G123,0)</f>
        <v/>
      </c>
      <c r="N123" s="113">
        <f>IF($C123="","",IF($B123="TANIMSIZ MÜŞTERİ","TANIMSIZ MÜŞTERİ",IF($F123="","MODEL SEÇİN",IF(OR($D123="",$G123&lt;=0),"EKSİK",IF(AND($E123&lt;&gt;"",$E123&lt;$D123),"TARİH HATASI",IF($H123="Pasif","KAPALI DÖNEM","UYGUN"))))))</f>
        <v/>
      </c>
      <c r="O123" s="229">
        <f>IF(OR($C123="",$D123="",$F123=""),"",IF($F123="Aylık",EOMONTH($D123,0),($D123+MOD(SISTEM!$F$8-WEEKDAY($D123,2),7))))</f>
        <v/>
      </c>
      <c r="P123" s="109" t="n"/>
      <c r="Q123" s="6" t="n"/>
      <c r="R123" s="6" t="n"/>
      <c r="S123" s="3">
        <f>IF($B123="","",$B123&amp;"|"&amp;COUNTIFS($B$7:$B123,$B123))</f>
        <v/>
      </c>
    </row>
    <row r="124">
      <c r="A124" s="6" t="n"/>
      <c r="B124" s="113">
        <f>IF($C124="","",IFERROR(INDEX(MUSTERILER!$B$7:$B$106,MATCH($C124,MUSTERILER!$C$7:$C$106,0)),IFERROR(INDEX(MUSTERILER!$B$7:$B$106,MATCH($C124,MUSTERILER!$B$7:$B$106,0)),IFERROR(INDEX(MUSTERILER!$B$7:$B$106,MATCH($C124&amp;"*",MUSTERILER!$C$7:$C$106,0)),"TANIMSIZ MÜŞTERİ"))))</f>
        <v/>
      </c>
      <c r="C124" s="109" t="n"/>
      <c r="D124" s="225" t="n"/>
      <c r="E124" s="225" t="n"/>
      <c r="F124" s="108" t="n"/>
      <c r="G124" s="226" t="n"/>
      <c r="H124" s="108" t="n"/>
      <c r="I124" s="227">
        <f>IF(OR($C124="",$D124="",$G124="",$F124=""),0,$G124*IF($F124="Aylık",MAX(0,(YEAR(MIN(IF($E124="",TODAY(),$E124),TODAY()))-YEAR($D124))*12+MONTH(MIN(IF($E124="",TODAY(),$E124),TODAY()))-MONTH($D124)+IF(MIN(IF($E124="",TODAY(),$E124),TODAY())&gt;=EOMONTH(MIN(IF($E124="",TODAY(),$E124),TODAY()),0),1,0)),MAX(0,INT((MIN(IF($E124="",TODAY(),$E124),TODAY())-($D124+MOD(SISTEM!$F$8-WEEKDAY($D124,2),7)))/7)+1)))</f>
        <v/>
      </c>
      <c r="J124" s="227">
        <f>IF(OR($C124="",$D124="",$G124="",$F124=""),0,$G124*IF($F124="Aylık",MAX(0,(YEAR(MIN(IF($E124="",TODAY()-8,$E124),TODAY()-8))-YEAR($D124))*12+MONTH(MIN(IF($E124="",TODAY()-8,$E124),TODAY()-8))-MONTH($D124)+IF(MIN(IF($E124="",TODAY()-8,$E124),TODAY()-8)&gt;=EOMONTH(MIN(IF($E124="",TODAY()-8,$E124),TODAY()-8),0),1,0)),MAX(0,INT((MIN(IF($E124="",TODAY()-8,$E124),TODAY()-8)-($D124+MOD(SISTEM!$F$8-WEEKDAY($D124,2),7)))/7)+1)))</f>
        <v/>
      </c>
      <c r="K124" s="227">
        <f>IF(OR($C124="",$D124="",$G124="",$F124=""),0,$G124*IF($F124="Aylık",MAX(0,(YEAR(MIN(IF($E124="",TODAY()-15,$E124),TODAY()-15))-YEAR($D124))*12+MONTH(MIN(IF($E124="",TODAY()-15,$E124),TODAY()-15))-MONTH($D124)+IF(MIN(IF($E124="",TODAY()-15,$E124),TODAY()-15)&gt;=EOMONTH(MIN(IF($E124="",TODAY()-15,$E124),TODAY()-15),0),1,0)),MAX(0,INT((MIN(IF($E124="",TODAY()-15,$E124),TODAY()-15)-($D124+MOD(SISTEM!$F$8-WEEKDAY($D124,2),7)))/7)+1)))</f>
        <v/>
      </c>
      <c r="L124" s="227">
        <f>IF(OR($C124="",$D124="",$G124="",$F124=""),0,$G124*IF($F124="Aylık",MAX(0,(YEAR(MIN(IF($E124="",TODAY()-29,$E124),TODAY()-29))-YEAR($D124))*12+MONTH(MIN(IF($E124="",TODAY()-29,$E124),TODAY()-29))-MONTH($D124)+IF(MIN(IF($E124="",TODAY()-29,$E124),TODAY()-29)&gt;=EOMONTH(MIN(IF($E124="",TODAY()-29,$E124),TODAY()-29),0),1,0)),MAX(0,INT((MIN(IF($E124="",TODAY()-29,$E124),TODAY()-29)-($D124+MOD(SISTEM!$F$8-WEEKDAY($D124,2),7)))/7)+1)))</f>
        <v/>
      </c>
      <c r="M124" s="228">
        <f>IF($G124&gt;0,$I124/$G124,0)</f>
        <v/>
      </c>
      <c r="N124" s="113">
        <f>IF($C124="","",IF($B124="TANIMSIZ MÜŞTERİ","TANIMSIZ MÜŞTERİ",IF($F124="","MODEL SEÇİN",IF(OR($D124="",$G124&lt;=0),"EKSİK",IF(AND($E124&lt;&gt;"",$E124&lt;$D124),"TARİH HATASI",IF($H124="Pasif","KAPALI DÖNEM","UYGUN"))))))</f>
        <v/>
      </c>
      <c r="O124" s="229">
        <f>IF(OR($C124="",$D124="",$F124=""),"",IF($F124="Aylık",EOMONTH($D124,0),($D124+MOD(SISTEM!$F$8-WEEKDAY($D124,2),7))))</f>
        <v/>
      </c>
      <c r="P124" s="109" t="n"/>
      <c r="Q124" s="6" t="n"/>
      <c r="R124" s="6" t="n"/>
      <c r="S124" s="3">
        <f>IF($B124="","",$B124&amp;"|"&amp;COUNTIFS($B$7:$B124,$B124))</f>
        <v/>
      </c>
    </row>
    <row r="125">
      <c r="A125" s="6" t="n"/>
      <c r="B125" s="113">
        <f>IF($C125="","",IFERROR(INDEX(MUSTERILER!$B$7:$B$106,MATCH($C125,MUSTERILER!$C$7:$C$106,0)),IFERROR(INDEX(MUSTERILER!$B$7:$B$106,MATCH($C125,MUSTERILER!$B$7:$B$106,0)),IFERROR(INDEX(MUSTERILER!$B$7:$B$106,MATCH($C125&amp;"*",MUSTERILER!$C$7:$C$106,0)),"TANIMSIZ MÜŞTERİ"))))</f>
        <v/>
      </c>
      <c r="C125" s="109" t="n"/>
      <c r="D125" s="225" t="n"/>
      <c r="E125" s="225" t="n"/>
      <c r="F125" s="108" t="n"/>
      <c r="G125" s="226" t="n"/>
      <c r="H125" s="108" t="n"/>
      <c r="I125" s="227">
        <f>IF(OR($C125="",$D125="",$G125="",$F125=""),0,$G125*IF($F125="Aylık",MAX(0,(YEAR(MIN(IF($E125="",TODAY(),$E125),TODAY()))-YEAR($D125))*12+MONTH(MIN(IF($E125="",TODAY(),$E125),TODAY()))-MONTH($D125)+IF(MIN(IF($E125="",TODAY(),$E125),TODAY())&gt;=EOMONTH(MIN(IF($E125="",TODAY(),$E125),TODAY()),0),1,0)),MAX(0,INT((MIN(IF($E125="",TODAY(),$E125),TODAY())-($D125+MOD(SISTEM!$F$8-WEEKDAY($D125,2),7)))/7)+1)))</f>
        <v/>
      </c>
      <c r="J125" s="227">
        <f>IF(OR($C125="",$D125="",$G125="",$F125=""),0,$G125*IF($F125="Aylık",MAX(0,(YEAR(MIN(IF($E125="",TODAY()-8,$E125),TODAY()-8))-YEAR($D125))*12+MONTH(MIN(IF($E125="",TODAY()-8,$E125),TODAY()-8))-MONTH($D125)+IF(MIN(IF($E125="",TODAY()-8,$E125),TODAY()-8)&gt;=EOMONTH(MIN(IF($E125="",TODAY()-8,$E125),TODAY()-8),0),1,0)),MAX(0,INT((MIN(IF($E125="",TODAY()-8,$E125),TODAY()-8)-($D125+MOD(SISTEM!$F$8-WEEKDAY($D125,2),7)))/7)+1)))</f>
        <v/>
      </c>
      <c r="K125" s="227">
        <f>IF(OR($C125="",$D125="",$G125="",$F125=""),0,$G125*IF($F125="Aylık",MAX(0,(YEAR(MIN(IF($E125="",TODAY()-15,$E125),TODAY()-15))-YEAR($D125))*12+MONTH(MIN(IF($E125="",TODAY()-15,$E125),TODAY()-15))-MONTH($D125)+IF(MIN(IF($E125="",TODAY()-15,$E125),TODAY()-15)&gt;=EOMONTH(MIN(IF($E125="",TODAY()-15,$E125),TODAY()-15),0),1,0)),MAX(0,INT((MIN(IF($E125="",TODAY()-15,$E125),TODAY()-15)-($D125+MOD(SISTEM!$F$8-WEEKDAY($D125,2),7)))/7)+1)))</f>
        <v/>
      </c>
      <c r="L125" s="227">
        <f>IF(OR($C125="",$D125="",$G125="",$F125=""),0,$G125*IF($F125="Aylık",MAX(0,(YEAR(MIN(IF($E125="",TODAY()-29,$E125),TODAY()-29))-YEAR($D125))*12+MONTH(MIN(IF($E125="",TODAY()-29,$E125),TODAY()-29))-MONTH($D125)+IF(MIN(IF($E125="",TODAY()-29,$E125),TODAY()-29)&gt;=EOMONTH(MIN(IF($E125="",TODAY()-29,$E125),TODAY()-29),0),1,0)),MAX(0,INT((MIN(IF($E125="",TODAY()-29,$E125),TODAY()-29)-($D125+MOD(SISTEM!$F$8-WEEKDAY($D125,2),7)))/7)+1)))</f>
        <v/>
      </c>
      <c r="M125" s="228">
        <f>IF($G125&gt;0,$I125/$G125,0)</f>
        <v/>
      </c>
      <c r="N125" s="113">
        <f>IF($C125="","",IF($B125="TANIMSIZ MÜŞTERİ","TANIMSIZ MÜŞTERİ",IF($F125="","MODEL SEÇİN",IF(OR($D125="",$G125&lt;=0),"EKSİK",IF(AND($E125&lt;&gt;"",$E125&lt;$D125),"TARİH HATASI",IF($H125="Pasif","KAPALI DÖNEM","UYGUN"))))))</f>
        <v/>
      </c>
      <c r="O125" s="229">
        <f>IF(OR($C125="",$D125="",$F125=""),"",IF($F125="Aylık",EOMONTH($D125,0),($D125+MOD(SISTEM!$F$8-WEEKDAY($D125,2),7))))</f>
        <v/>
      </c>
      <c r="P125" s="109" t="n"/>
      <c r="Q125" s="6" t="n"/>
      <c r="R125" s="6" t="n"/>
      <c r="S125" s="3">
        <f>IF($B125="","",$B125&amp;"|"&amp;COUNTIFS($B$7:$B125,$B125))</f>
        <v/>
      </c>
    </row>
    <row r="126">
      <c r="A126" s="6" t="n"/>
      <c r="B126" s="113">
        <f>IF($C126="","",IFERROR(INDEX(MUSTERILER!$B$7:$B$106,MATCH($C126,MUSTERILER!$C$7:$C$106,0)),IFERROR(INDEX(MUSTERILER!$B$7:$B$106,MATCH($C126,MUSTERILER!$B$7:$B$106,0)),IFERROR(INDEX(MUSTERILER!$B$7:$B$106,MATCH($C126&amp;"*",MUSTERILER!$C$7:$C$106,0)),"TANIMSIZ MÜŞTERİ"))))</f>
        <v/>
      </c>
      <c r="C126" s="109" t="n"/>
      <c r="D126" s="225" t="n"/>
      <c r="E126" s="225" t="n"/>
      <c r="F126" s="108" t="n"/>
      <c r="G126" s="226" t="n"/>
      <c r="H126" s="108" t="n"/>
      <c r="I126" s="227">
        <f>IF(OR($C126="",$D126="",$G126="",$F126=""),0,$G126*IF($F126="Aylık",MAX(0,(YEAR(MIN(IF($E126="",TODAY(),$E126),TODAY()))-YEAR($D126))*12+MONTH(MIN(IF($E126="",TODAY(),$E126),TODAY()))-MONTH($D126)+IF(MIN(IF($E126="",TODAY(),$E126),TODAY())&gt;=EOMONTH(MIN(IF($E126="",TODAY(),$E126),TODAY()),0),1,0)),MAX(0,INT((MIN(IF($E126="",TODAY(),$E126),TODAY())-($D126+MOD(SISTEM!$F$8-WEEKDAY($D126,2),7)))/7)+1)))</f>
        <v/>
      </c>
      <c r="J126" s="227">
        <f>IF(OR($C126="",$D126="",$G126="",$F126=""),0,$G126*IF($F126="Aylık",MAX(0,(YEAR(MIN(IF($E126="",TODAY()-8,$E126),TODAY()-8))-YEAR($D126))*12+MONTH(MIN(IF($E126="",TODAY()-8,$E126),TODAY()-8))-MONTH($D126)+IF(MIN(IF($E126="",TODAY()-8,$E126),TODAY()-8)&gt;=EOMONTH(MIN(IF($E126="",TODAY()-8,$E126),TODAY()-8),0),1,0)),MAX(0,INT((MIN(IF($E126="",TODAY()-8,$E126),TODAY()-8)-($D126+MOD(SISTEM!$F$8-WEEKDAY($D126,2),7)))/7)+1)))</f>
        <v/>
      </c>
      <c r="K126" s="227">
        <f>IF(OR($C126="",$D126="",$G126="",$F126=""),0,$G126*IF($F126="Aylık",MAX(0,(YEAR(MIN(IF($E126="",TODAY()-15,$E126),TODAY()-15))-YEAR($D126))*12+MONTH(MIN(IF($E126="",TODAY()-15,$E126),TODAY()-15))-MONTH($D126)+IF(MIN(IF($E126="",TODAY()-15,$E126),TODAY()-15)&gt;=EOMONTH(MIN(IF($E126="",TODAY()-15,$E126),TODAY()-15),0),1,0)),MAX(0,INT((MIN(IF($E126="",TODAY()-15,$E126),TODAY()-15)-($D126+MOD(SISTEM!$F$8-WEEKDAY($D126,2),7)))/7)+1)))</f>
        <v/>
      </c>
      <c r="L126" s="227">
        <f>IF(OR($C126="",$D126="",$G126="",$F126=""),0,$G126*IF($F126="Aylık",MAX(0,(YEAR(MIN(IF($E126="",TODAY()-29,$E126),TODAY()-29))-YEAR($D126))*12+MONTH(MIN(IF($E126="",TODAY()-29,$E126),TODAY()-29))-MONTH($D126)+IF(MIN(IF($E126="",TODAY()-29,$E126),TODAY()-29)&gt;=EOMONTH(MIN(IF($E126="",TODAY()-29,$E126),TODAY()-29),0),1,0)),MAX(0,INT((MIN(IF($E126="",TODAY()-29,$E126),TODAY()-29)-($D126+MOD(SISTEM!$F$8-WEEKDAY($D126,2),7)))/7)+1)))</f>
        <v/>
      </c>
      <c r="M126" s="228">
        <f>IF($G126&gt;0,$I126/$G126,0)</f>
        <v/>
      </c>
      <c r="N126" s="113">
        <f>IF($C126="","",IF($B126="TANIMSIZ MÜŞTERİ","TANIMSIZ MÜŞTERİ",IF($F126="","MODEL SEÇİN",IF(OR($D126="",$G126&lt;=0),"EKSİK",IF(AND($E126&lt;&gt;"",$E126&lt;$D126),"TARİH HATASI",IF($H126="Pasif","KAPALI DÖNEM","UYGUN"))))))</f>
        <v/>
      </c>
      <c r="O126" s="229">
        <f>IF(OR($C126="",$D126="",$F126=""),"",IF($F126="Aylık",EOMONTH($D126,0),($D126+MOD(SISTEM!$F$8-WEEKDAY($D126,2),7))))</f>
        <v/>
      </c>
      <c r="P126" s="109" t="n"/>
      <c r="Q126" s="6" t="n"/>
      <c r="R126" s="6" t="n"/>
      <c r="S126" s="3">
        <f>IF($B126="","",$B126&amp;"|"&amp;COUNTIFS($B$7:$B126,$B126))</f>
        <v/>
      </c>
    </row>
    <row r="127">
      <c r="A127" s="6" t="n"/>
      <c r="B127" s="113">
        <f>IF($C127="","",IFERROR(INDEX(MUSTERILER!$B$7:$B$106,MATCH($C127,MUSTERILER!$C$7:$C$106,0)),IFERROR(INDEX(MUSTERILER!$B$7:$B$106,MATCH($C127,MUSTERILER!$B$7:$B$106,0)),IFERROR(INDEX(MUSTERILER!$B$7:$B$106,MATCH($C127&amp;"*",MUSTERILER!$C$7:$C$106,0)),"TANIMSIZ MÜŞTERİ"))))</f>
        <v/>
      </c>
      <c r="C127" s="109" t="n"/>
      <c r="D127" s="225" t="n"/>
      <c r="E127" s="225" t="n"/>
      <c r="F127" s="108" t="n"/>
      <c r="G127" s="226" t="n"/>
      <c r="H127" s="108" t="n"/>
      <c r="I127" s="227">
        <f>IF(OR($C127="",$D127="",$G127="",$F127=""),0,$G127*IF($F127="Aylık",MAX(0,(YEAR(MIN(IF($E127="",TODAY(),$E127),TODAY()))-YEAR($D127))*12+MONTH(MIN(IF($E127="",TODAY(),$E127),TODAY()))-MONTH($D127)+IF(MIN(IF($E127="",TODAY(),$E127),TODAY())&gt;=EOMONTH(MIN(IF($E127="",TODAY(),$E127),TODAY()),0),1,0)),MAX(0,INT((MIN(IF($E127="",TODAY(),$E127),TODAY())-($D127+MOD(SISTEM!$F$8-WEEKDAY($D127,2),7)))/7)+1)))</f>
        <v/>
      </c>
      <c r="J127" s="227">
        <f>IF(OR($C127="",$D127="",$G127="",$F127=""),0,$G127*IF($F127="Aylık",MAX(0,(YEAR(MIN(IF($E127="",TODAY()-8,$E127),TODAY()-8))-YEAR($D127))*12+MONTH(MIN(IF($E127="",TODAY()-8,$E127),TODAY()-8))-MONTH($D127)+IF(MIN(IF($E127="",TODAY()-8,$E127),TODAY()-8)&gt;=EOMONTH(MIN(IF($E127="",TODAY()-8,$E127),TODAY()-8),0),1,0)),MAX(0,INT((MIN(IF($E127="",TODAY()-8,$E127),TODAY()-8)-($D127+MOD(SISTEM!$F$8-WEEKDAY($D127,2),7)))/7)+1)))</f>
        <v/>
      </c>
      <c r="K127" s="227">
        <f>IF(OR($C127="",$D127="",$G127="",$F127=""),0,$G127*IF($F127="Aylık",MAX(0,(YEAR(MIN(IF($E127="",TODAY()-15,$E127),TODAY()-15))-YEAR($D127))*12+MONTH(MIN(IF($E127="",TODAY()-15,$E127),TODAY()-15))-MONTH($D127)+IF(MIN(IF($E127="",TODAY()-15,$E127),TODAY()-15)&gt;=EOMONTH(MIN(IF($E127="",TODAY()-15,$E127),TODAY()-15),0),1,0)),MAX(0,INT((MIN(IF($E127="",TODAY()-15,$E127),TODAY()-15)-($D127+MOD(SISTEM!$F$8-WEEKDAY($D127,2),7)))/7)+1)))</f>
        <v/>
      </c>
      <c r="L127" s="227">
        <f>IF(OR($C127="",$D127="",$G127="",$F127=""),0,$G127*IF($F127="Aylık",MAX(0,(YEAR(MIN(IF($E127="",TODAY()-29,$E127),TODAY()-29))-YEAR($D127))*12+MONTH(MIN(IF($E127="",TODAY()-29,$E127),TODAY()-29))-MONTH($D127)+IF(MIN(IF($E127="",TODAY()-29,$E127),TODAY()-29)&gt;=EOMONTH(MIN(IF($E127="",TODAY()-29,$E127),TODAY()-29),0),1,0)),MAX(0,INT((MIN(IF($E127="",TODAY()-29,$E127),TODAY()-29)-($D127+MOD(SISTEM!$F$8-WEEKDAY($D127,2),7)))/7)+1)))</f>
        <v/>
      </c>
      <c r="M127" s="228">
        <f>IF($G127&gt;0,$I127/$G127,0)</f>
        <v/>
      </c>
      <c r="N127" s="113">
        <f>IF($C127="","",IF($B127="TANIMSIZ MÜŞTERİ","TANIMSIZ MÜŞTERİ",IF($F127="","MODEL SEÇİN",IF(OR($D127="",$G127&lt;=0),"EKSİK",IF(AND($E127&lt;&gt;"",$E127&lt;$D127),"TARİH HATASI",IF($H127="Pasif","KAPALI DÖNEM","UYGUN"))))))</f>
        <v/>
      </c>
      <c r="O127" s="229">
        <f>IF(OR($C127="",$D127="",$F127=""),"",IF($F127="Aylık",EOMONTH($D127,0),($D127+MOD(SISTEM!$F$8-WEEKDAY($D127,2),7))))</f>
        <v/>
      </c>
      <c r="P127" s="109" t="n"/>
      <c r="Q127" s="6" t="n"/>
      <c r="R127" s="6" t="n"/>
      <c r="S127" s="3">
        <f>IF($B127="","",$B127&amp;"|"&amp;COUNTIFS($B$7:$B127,$B127))</f>
        <v/>
      </c>
    </row>
    <row r="128">
      <c r="A128" s="6" t="n"/>
      <c r="B128" s="113">
        <f>IF($C128="","",IFERROR(INDEX(MUSTERILER!$B$7:$B$106,MATCH($C128,MUSTERILER!$C$7:$C$106,0)),IFERROR(INDEX(MUSTERILER!$B$7:$B$106,MATCH($C128,MUSTERILER!$B$7:$B$106,0)),IFERROR(INDEX(MUSTERILER!$B$7:$B$106,MATCH($C128&amp;"*",MUSTERILER!$C$7:$C$106,0)),"TANIMSIZ MÜŞTERİ"))))</f>
        <v/>
      </c>
      <c r="C128" s="109" t="n"/>
      <c r="D128" s="225" t="n"/>
      <c r="E128" s="225" t="n"/>
      <c r="F128" s="108" t="n"/>
      <c r="G128" s="226" t="n"/>
      <c r="H128" s="108" t="n"/>
      <c r="I128" s="227">
        <f>IF(OR($C128="",$D128="",$G128="",$F128=""),0,$G128*IF($F128="Aylık",MAX(0,(YEAR(MIN(IF($E128="",TODAY(),$E128),TODAY()))-YEAR($D128))*12+MONTH(MIN(IF($E128="",TODAY(),$E128),TODAY()))-MONTH($D128)+IF(MIN(IF($E128="",TODAY(),$E128),TODAY())&gt;=EOMONTH(MIN(IF($E128="",TODAY(),$E128),TODAY()),0),1,0)),MAX(0,INT((MIN(IF($E128="",TODAY(),$E128),TODAY())-($D128+MOD(SISTEM!$F$8-WEEKDAY($D128,2),7)))/7)+1)))</f>
        <v/>
      </c>
      <c r="J128" s="227">
        <f>IF(OR($C128="",$D128="",$G128="",$F128=""),0,$G128*IF($F128="Aylık",MAX(0,(YEAR(MIN(IF($E128="",TODAY()-8,$E128),TODAY()-8))-YEAR($D128))*12+MONTH(MIN(IF($E128="",TODAY()-8,$E128),TODAY()-8))-MONTH($D128)+IF(MIN(IF($E128="",TODAY()-8,$E128),TODAY()-8)&gt;=EOMONTH(MIN(IF($E128="",TODAY()-8,$E128),TODAY()-8),0),1,0)),MAX(0,INT((MIN(IF($E128="",TODAY()-8,$E128),TODAY()-8)-($D128+MOD(SISTEM!$F$8-WEEKDAY($D128,2),7)))/7)+1)))</f>
        <v/>
      </c>
      <c r="K128" s="227">
        <f>IF(OR($C128="",$D128="",$G128="",$F128=""),0,$G128*IF($F128="Aylık",MAX(0,(YEAR(MIN(IF($E128="",TODAY()-15,$E128),TODAY()-15))-YEAR($D128))*12+MONTH(MIN(IF($E128="",TODAY()-15,$E128),TODAY()-15))-MONTH($D128)+IF(MIN(IF($E128="",TODAY()-15,$E128),TODAY()-15)&gt;=EOMONTH(MIN(IF($E128="",TODAY()-15,$E128),TODAY()-15),0),1,0)),MAX(0,INT((MIN(IF($E128="",TODAY()-15,$E128),TODAY()-15)-($D128+MOD(SISTEM!$F$8-WEEKDAY($D128,2),7)))/7)+1)))</f>
        <v/>
      </c>
      <c r="L128" s="227">
        <f>IF(OR($C128="",$D128="",$G128="",$F128=""),0,$G128*IF($F128="Aylık",MAX(0,(YEAR(MIN(IF($E128="",TODAY()-29,$E128),TODAY()-29))-YEAR($D128))*12+MONTH(MIN(IF($E128="",TODAY()-29,$E128),TODAY()-29))-MONTH($D128)+IF(MIN(IF($E128="",TODAY()-29,$E128),TODAY()-29)&gt;=EOMONTH(MIN(IF($E128="",TODAY()-29,$E128),TODAY()-29),0),1,0)),MAX(0,INT((MIN(IF($E128="",TODAY()-29,$E128),TODAY()-29)-($D128+MOD(SISTEM!$F$8-WEEKDAY($D128,2),7)))/7)+1)))</f>
        <v/>
      </c>
      <c r="M128" s="228">
        <f>IF($G128&gt;0,$I128/$G128,0)</f>
        <v/>
      </c>
      <c r="N128" s="113">
        <f>IF($C128="","",IF($B128="TANIMSIZ MÜŞTERİ","TANIMSIZ MÜŞTERİ",IF($F128="","MODEL SEÇİN",IF(OR($D128="",$G128&lt;=0),"EKSİK",IF(AND($E128&lt;&gt;"",$E128&lt;$D128),"TARİH HATASI",IF($H128="Pasif","KAPALI DÖNEM","UYGUN"))))))</f>
        <v/>
      </c>
      <c r="O128" s="229">
        <f>IF(OR($C128="",$D128="",$F128=""),"",IF($F128="Aylık",EOMONTH($D128,0),($D128+MOD(SISTEM!$F$8-WEEKDAY($D128,2),7))))</f>
        <v/>
      </c>
      <c r="P128" s="109" t="n"/>
      <c r="Q128" s="6" t="n"/>
      <c r="R128" s="6" t="n"/>
      <c r="S128" s="3">
        <f>IF($B128="","",$B128&amp;"|"&amp;COUNTIFS($B$7:$B128,$B128))</f>
        <v/>
      </c>
    </row>
    <row r="129">
      <c r="A129" s="6" t="n"/>
      <c r="B129" s="113">
        <f>IF($C129="","",IFERROR(INDEX(MUSTERILER!$B$7:$B$106,MATCH($C129,MUSTERILER!$C$7:$C$106,0)),IFERROR(INDEX(MUSTERILER!$B$7:$B$106,MATCH($C129,MUSTERILER!$B$7:$B$106,0)),IFERROR(INDEX(MUSTERILER!$B$7:$B$106,MATCH($C129&amp;"*",MUSTERILER!$C$7:$C$106,0)),"TANIMSIZ MÜŞTERİ"))))</f>
        <v/>
      </c>
      <c r="C129" s="109" t="n"/>
      <c r="D129" s="225" t="n"/>
      <c r="E129" s="225" t="n"/>
      <c r="F129" s="108" t="n"/>
      <c r="G129" s="226" t="n"/>
      <c r="H129" s="108" t="n"/>
      <c r="I129" s="227">
        <f>IF(OR($C129="",$D129="",$G129="",$F129=""),0,$G129*IF($F129="Aylık",MAX(0,(YEAR(MIN(IF($E129="",TODAY(),$E129),TODAY()))-YEAR($D129))*12+MONTH(MIN(IF($E129="",TODAY(),$E129),TODAY()))-MONTH($D129)+IF(MIN(IF($E129="",TODAY(),$E129),TODAY())&gt;=EOMONTH(MIN(IF($E129="",TODAY(),$E129),TODAY()),0),1,0)),MAX(0,INT((MIN(IF($E129="",TODAY(),$E129),TODAY())-($D129+MOD(SISTEM!$F$8-WEEKDAY($D129,2),7)))/7)+1)))</f>
        <v/>
      </c>
      <c r="J129" s="227">
        <f>IF(OR($C129="",$D129="",$G129="",$F129=""),0,$G129*IF($F129="Aylık",MAX(0,(YEAR(MIN(IF($E129="",TODAY()-8,$E129),TODAY()-8))-YEAR($D129))*12+MONTH(MIN(IF($E129="",TODAY()-8,$E129),TODAY()-8))-MONTH($D129)+IF(MIN(IF($E129="",TODAY()-8,$E129),TODAY()-8)&gt;=EOMONTH(MIN(IF($E129="",TODAY()-8,$E129),TODAY()-8),0),1,0)),MAX(0,INT((MIN(IF($E129="",TODAY()-8,$E129),TODAY()-8)-($D129+MOD(SISTEM!$F$8-WEEKDAY($D129,2),7)))/7)+1)))</f>
        <v/>
      </c>
      <c r="K129" s="227">
        <f>IF(OR($C129="",$D129="",$G129="",$F129=""),0,$G129*IF($F129="Aylık",MAX(0,(YEAR(MIN(IF($E129="",TODAY()-15,$E129),TODAY()-15))-YEAR($D129))*12+MONTH(MIN(IF($E129="",TODAY()-15,$E129),TODAY()-15))-MONTH($D129)+IF(MIN(IF($E129="",TODAY()-15,$E129),TODAY()-15)&gt;=EOMONTH(MIN(IF($E129="",TODAY()-15,$E129),TODAY()-15),0),1,0)),MAX(0,INT((MIN(IF($E129="",TODAY()-15,$E129),TODAY()-15)-($D129+MOD(SISTEM!$F$8-WEEKDAY($D129,2),7)))/7)+1)))</f>
        <v/>
      </c>
      <c r="L129" s="227">
        <f>IF(OR($C129="",$D129="",$G129="",$F129=""),0,$G129*IF($F129="Aylık",MAX(0,(YEAR(MIN(IF($E129="",TODAY()-29,$E129),TODAY()-29))-YEAR($D129))*12+MONTH(MIN(IF($E129="",TODAY()-29,$E129),TODAY()-29))-MONTH($D129)+IF(MIN(IF($E129="",TODAY()-29,$E129),TODAY()-29)&gt;=EOMONTH(MIN(IF($E129="",TODAY()-29,$E129),TODAY()-29),0),1,0)),MAX(0,INT((MIN(IF($E129="",TODAY()-29,$E129),TODAY()-29)-($D129+MOD(SISTEM!$F$8-WEEKDAY($D129,2),7)))/7)+1)))</f>
        <v/>
      </c>
      <c r="M129" s="228">
        <f>IF($G129&gt;0,$I129/$G129,0)</f>
        <v/>
      </c>
      <c r="N129" s="113">
        <f>IF($C129="","",IF($B129="TANIMSIZ MÜŞTERİ","TANIMSIZ MÜŞTERİ",IF($F129="","MODEL SEÇİN",IF(OR($D129="",$G129&lt;=0),"EKSİK",IF(AND($E129&lt;&gt;"",$E129&lt;$D129),"TARİH HATASI",IF($H129="Pasif","KAPALI DÖNEM","UYGUN"))))))</f>
        <v/>
      </c>
      <c r="O129" s="229">
        <f>IF(OR($C129="",$D129="",$F129=""),"",IF($F129="Aylık",EOMONTH($D129,0),($D129+MOD(SISTEM!$F$8-WEEKDAY($D129,2),7))))</f>
        <v/>
      </c>
      <c r="P129" s="109" t="n"/>
      <c r="Q129" s="6" t="n"/>
      <c r="R129" s="6" t="n"/>
      <c r="S129" s="3">
        <f>IF($B129="","",$B129&amp;"|"&amp;COUNTIFS($B$7:$B129,$B129))</f>
        <v/>
      </c>
    </row>
    <row r="130">
      <c r="A130" s="6" t="n"/>
      <c r="B130" s="113">
        <f>IF($C130="","",IFERROR(INDEX(MUSTERILER!$B$7:$B$106,MATCH($C130,MUSTERILER!$C$7:$C$106,0)),IFERROR(INDEX(MUSTERILER!$B$7:$B$106,MATCH($C130,MUSTERILER!$B$7:$B$106,0)),IFERROR(INDEX(MUSTERILER!$B$7:$B$106,MATCH($C130&amp;"*",MUSTERILER!$C$7:$C$106,0)),"TANIMSIZ MÜŞTERİ"))))</f>
        <v/>
      </c>
      <c r="C130" s="109" t="n"/>
      <c r="D130" s="225" t="n"/>
      <c r="E130" s="225" t="n"/>
      <c r="F130" s="108" t="n"/>
      <c r="G130" s="226" t="n"/>
      <c r="H130" s="108" t="n"/>
      <c r="I130" s="227">
        <f>IF(OR($C130="",$D130="",$G130="",$F130=""),0,$G130*IF($F130="Aylık",MAX(0,(YEAR(MIN(IF($E130="",TODAY(),$E130),TODAY()))-YEAR($D130))*12+MONTH(MIN(IF($E130="",TODAY(),$E130),TODAY()))-MONTH($D130)+IF(MIN(IF($E130="",TODAY(),$E130),TODAY())&gt;=EOMONTH(MIN(IF($E130="",TODAY(),$E130),TODAY()),0),1,0)),MAX(0,INT((MIN(IF($E130="",TODAY(),$E130),TODAY())-($D130+MOD(SISTEM!$F$8-WEEKDAY($D130,2),7)))/7)+1)))</f>
        <v/>
      </c>
      <c r="J130" s="227">
        <f>IF(OR($C130="",$D130="",$G130="",$F130=""),0,$G130*IF($F130="Aylık",MAX(0,(YEAR(MIN(IF($E130="",TODAY()-8,$E130),TODAY()-8))-YEAR($D130))*12+MONTH(MIN(IF($E130="",TODAY()-8,$E130),TODAY()-8))-MONTH($D130)+IF(MIN(IF($E130="",TODAY()-8,$E130),TODAY()-8)&gt;=EOMONTH(MIN(IF($E130="",TODAY()-8,$E130),TODAY()-8),0),1,0)),MAX(0,INT((MIN(IF($E130="",TODAY()-8,$E130),TODAY()-8)-($D130+MOD(SISTEM!$F$8-WEEKDAY($D130,2),7)))/7)+1)))</f>
        <v/>
      </c>
      <c r="K130" s="227">
        <f>IF(OR($C130="",$D130="",$G130="",$F130=""),0,$G130*IF($F130="Aylık",MAX(0,(YEAR(MIN(IF($E130="",TODAY()-15,$E130),TODAY()-15))-YEAR($D130))*12+MONTH(MIN(IF($E130="",TODAY()-15,$E130),TODAY()-15))-MONTH($D130)+IF(MIN(IF($E130="",TODAY()-15,$E130),TODAY()-15)&gt;=EOMONTH(MIN(IF($E130="",TODAY()-15,$E130),TODAY()-15),0),1,0)),MAX(0,INT((MIN(IF($E130="",TODAY()-15,$E130),TODAY()-15)-($D130+MOD(SISTEM!$F$8-WEEKDAY($D130,2),7)))/7)+1)))</f>
        <v/>
      </c>
      <c r="L130" s="227">
        <f>IF(OR($C130="",$D130="",$G130="",$F130=""),0,$G130*IF($F130="Aylık",MAX(0,(YEAR(MIN(IF($E130="",TODAY()-29,$E130),TODAY()-29))-YEAR($D130))*12+MONTH(MIN(IF($E130="",TODAY()-29,$E130),TODAY()-29))-MONTH($D130)+IF(MIN(IF($E130="",TODAY()-29,$E130),TODAY()-29)&gt;=EOMONTH(MIN(IF($E130="",TODAY()-29,$E130),TODAY()-29),0),1,0)),MAX(0,INT((MIN(IF($E130="",TODAY()-29,$E130),TODAY()-29)-($D130+MOD(SISTEM!$F$8-WEEKDAY($D130,2),7)))/7)+1)))</f>
        <v/>
      </c>
      <c r="M130" s="228">
        <f>IF($G130&gt;0,$I130/$G130,0)</f>
        <v/>
      </c>
      <c r="N130" s="113">
        <f>IF($C130="","",IF($B130="TANIMSIZ MÜŞTERİ","TANIMSIZ MÜŞTERİ",IF($F130="","MODEL SEÇİN",IF(OR($D130="",$G130&lt;=0),"EKSİK",IF(AND($E130&lt;&gt;"",$E130&lt;$D130),"TARİH HATASI",IF($H130="Pasif","KAPALI DÖNEM","UYGUN"))))))</f>
        <v/>
      </c>
      <c r="O130" s="229">
        <f>IF(OR($C130="",$D130="",$F130=""),"",IF($F130="Aylık",EOMONTH($D130,0),($D130+MOD(SISTEM!$F$8-WEEKDAY($D130,2),7))))</f>
        <v/>
      </c>
      <c r="P130" s="109" t="n"/>
      <c r="Q130" s="6" t="n"/>
      <c r="R130" s="6" t="n"/>
      <c r="S130" s="3">
        <f>IF($B130="","",$B130&amp;"|"&amp;COUNTIFS($B$7:$B130,$B130))</f>
        <v/>
      </c>
    </row>
    <row r="131">
      <c r="A131" s="6" t="n"/>
      <c r="B131" s="113">
        <f>IF($C131="","",IFERROR(INDEX(MUSTERILER!$B$7:$B$106,MATCH($C131,MUSTERILER!$C$7:$C$106,0)),IFERROR(INDEX(MUSTERILER!$B$7:$B$106,MATCH($C131,MUSTERILER!$B$7:$B$106,0)),IFERROR(INDEX(MUSTERILER!$B$7:$B$106,MATCH($C131&amp;"*",MUSTERILER!$C$7:$C$106,0)),"TANIMSIZ MÜŞTERİ"))))</f>
        <v/>
      </c>
      <c r="C131" s="109" t="n"/>
      <c r="D131" s="225" t="n"/>
      <c r="E131" s="225" t="n"/>
      <c r="F131" s="108" t="n"/>
      <c r="G131" s="226" t="n"/>
      <c r="H131" s="108" t="n"/>
      <c r="I131" s="227">
        <f>IF(OR($C131="",$D131="",$G131="",$F131=""),0,$G131*IF($F131="Aylık",MAX(0,(YEAR(MIN(IF($E131="",TODAY(),$E131),TODAY()))-YEAR($D131))*12+MONTH(MIN(IF($E131="",TODAY(),$E131),TODAY()))-MONTH($D131)+IF(MIN(IF($E131="",TODAY(),$E131),TODAY())&gt;=EOMONTH(MIN(IF($E131="",TODAY(),$E131),TODAY()),0),1,0)),MAX(0,INT((MIN(IF($E131="",TODAY(),$E131),TODAY())-($D131+MOD(SISTEM!$F$8-WEEKDAY($D131,2),7)))/7)+1)))</f>
        <v/>
      </c>
      <c r="J131" s="227">
        <f>IF(OR($C131="",$D131="",$G131="",$F131=""),0,$G131*IF($F131="Aylık",MAX(0,(YEAR(MIN(IF($E131="",TODAY()-8,$E131),TODAY()-8))-YEAR($D131))*12+MONTH(MIN(IF($E131="",TODAY()-8,$E131),TODAY()-8))-MONTH($D131)+IF(MIN(IF($E131="",TODAY()-8,$E131),TODAY()-8)&gt;=EOMONTH(MIN(IF($E131="",TODAY()-8,$E131),TODAY()-8),0),1,0)),MAX(0,INT((MIN(IF($E131="",TODAY()-8,$E131),TODAY()-8)-($D131+MOD(SISTEM!$F$8-WEEKDAY($D131,2),7)))/7)+1)))</f>
        <v/>
      </c>
      <c r="K131" s="227">
        <f>IF(OR($C131="",$D131="",$G131="",$F131=""),0,$G131*IF($F131="Aylık",MAX(0,(YEAR(MIN(IF($E131="",TODAY()-15,$E131),TODAY()-15))-YEAR($D131))*12+MONTH(MIN(IF($E131="",TODAY()-15,$E131),TODAY()-15))-MONTH($D131)+IF(MIN(IF($E131="",TODAY()-15,$E131),TODAY()-15)&gt;=EOMONTH(MIN(IF($E131="",TODAY()-15,$E131),TODAY()-15),0),1,0)),MAX(0,INT((MIN(IF($E131="",TODAY()-15,$E131),TODAY()-15)-($D131+MOD(SISTEM!$F$8-WEEKDAY($D131,2),7)))/7)+1)))</f>
        <v/>
      </c>
      <c r="L131" s="227">
        <f>IF(OR($C131="",$D131="",$G131="",$F131=""),0,$G131*IF($F131="Aylık",MAX(0,(YEAR(MIN(IF($E131="",TODAY()-29,$E131),TODAY()-29))-YEAR($D131))*12+MONTH(MIN(IF($E131="",TODAY()-29,$E131),TODAY()-29))-MONTH($D131)+IF(MIN(IF($E131="",TODAY()-29,$E131),TODAY()-29)&gt;=EOMONTH(MIN(IF($E131="",TODAY()-29,$E131),TODAY()-29),0),1,0)),MAX(0,INT((MIN(IF($E131="",TODAY()-29,$E131),TODAY()-29)-($D131+MOD(SISTEM!$F$8-WEEKDAY($D131,2),7)))/7)+1)))</f>
        <v/>
      </c>
      <c r="M131" s="228">
        <f>IF($G131&gt;0,$I131/$G131,0)</f>
        <v/>
      </c>
      <c r="N131" s="113">
        <f>IF($C131="","",IF($B131="TANIMSIZ MÜŞTERİ","TANIMSIZ MÜŞTERİ",IF($F131="","MODEL SEÇİN",IF(OR($D131="",$G131&lt;=0),"EKSİK",IF(AND($E131&lt;&gt;"",$E131&lt;$D131),"TARİH HATASI",IF($H131="Pasif","KAPALI DÖNEM","UYGUN"))))))</f>
        <v/>
      </c>
      <c r="O131" s="229">
        <f>IF(OR($C131="",$D131="",$F131=""),"",IF($F131="Aylık",EOMONTH($D131,0),($D131+MOD(SISTEM!$F$8-WEEKDAY($D131,2),7))))</f>
        <v/>
      </c>
      <c r="P131" s="109" t="n"/>
      <c r="Q131" s="6" t="n"/>
      <c r="R131" s="6" t="n"/>
      <c r="S131" s="3">
        <f>IF($B131="","",$B131&amp;"|"&amp;COUNTIFS($B$7:$B131,$B131))</f>
        <v/>
      </c>
    </row>
    <row r="132">
      <c r="A132" s="6" t="n"/>
      <c r="B132" s="113">
        <f>IF($C132="","",IFERROR(INDEX(MUSTERILER!$B$7:$B$106,MATCH($C132,MUSTERILER!$C$7:$C$106,0)),IFERROR(INDEX(MUSTERILER!$B$7:$B$106,MATCH($C132,MUSTERILER!$B$7:$B$106,0)),IFERROR(INDEX(MUSTERILER!$B$7:$B$106,MATCH($C132&amp;"*",MUSTERILER!$C$7:$C$106,0)),"TANIMSIZ MÜŞTERİ"))))</f>
        <v/>
      </c>
      <c r="C132" s="109" t="n"/>
      <c r="D132" s="225" t="n"/>
      <c r="E132" s="225" t="n"/>
      <c r="F132" s="108" t="n"/>
      <c r="G132" s="226" t="n"/>
      <c r="H132" s="108" t="n"/>
      <c r="I132" s="227">
        <f>IF(OR($C132="",$D132="",$G132="",$F132=""),0,$G132*IF($F132="Aylık",MAX(0,(YEAR(MIN(IF($E132="",TODAY(),$E132),TODAY()))-YEAR($D132))*12+MONTH(MIN(IF($E132="",TODAY(),$E132),TODAY()))-MONTH($D132)+IF(MIN(IF($E132="",TODAY(),$E132),TODAY())&gt;=EOMONTH(MIN(IF($E132="",TODAY(),$E132),TODAY()),0),1,0)),MAX(0,INT((MIN(IF($E132="",TODAY(),$E132),TODAY())-($D132+MOD(SISTEM!$F$8-WEEKDAY($D132,2),7)))/7)+1)))</f>
        <v/>
      </c>
      <c r="J132" s="227">
        <f>IF(OR($C132="",$D132="",$G132="",$F132=""),0,$G132*IF($F132="Aylık",MAX(0,(YEAR(MIN(IF($E132="",TODAY()-8,$E132),TODAY()-8))-YEAR($D132))*12+MONTH(MIN(IF($E132="",TODAY()-8,$E132),TODAY()-8))-MONTH($D132)+IF(MIN(IF($E132="",TODAY()-8,$E132),TODAY()-8)&gt;=EOMONTH(MIN(IF($E132="",TODAY()-8,$E132),TODAY()-8),0),1,0)),MAX(0,INT((MIN(IF($E132="",TODAY()-8,$E132),TODAY()-8)-($D132+MOD(SISTEM!$F$8-WEEKDAY($D132,2),7)))/7)+1)))</f>
        <v/>
      </c>
      <c r="K132" s="227">
        <f>IF(OR($C132="",$D132="",$G132="",$F132=""),0,$G132*IF($F132="Aylık",MAX(0,(YEAR(MIN(IF($E132="",TODAY()-15,$E132),TODAY()-15))-YEAR($D132))*12+MONTH(MIN(IF($E132="",TODAY()-15,$E132),TODAY()-15))-MONTH($D132)+IF(MIN(IF($E132="",TODAY()-15,$E132),TODAY()-15)&gt;=EOMONTH(MIN(IF($E132="",TODAY()-15,$E132),TODAY()-15),0),1,0)),MAX(0,INT((MIN(IF($E132="",TODAY()-15,$E132),TODAY()-15)-($D132+MOD(SISTEM!$F$8-WEEKDAY($D132,2),7)))/7)+1)))</f>
        <v/>
      </c>
      <c r="L132" s="227">
        <f>IF(OR($C132="",$D132="",$G132="",$F132=""),0,$G132*IF($F132="Aylık",MAX(0,(YEAR(MIN(IF($E132="",TODAY()-29,$E132),TODAY()-29))-YEAR($D132))*12+MONTH(MIN(IF($E132="",TODAY()-29,$E132),TODAY()-29))-MONTH($D132)+IF(MIN(IF($E132="",TODAY()-29,$E132),TODAY()-29)&gt;=EOMONTH(MIN(IF($E132="",TODAY()-29,$E132),TODAY()-29),0),1,0)),MAX(0,INT((MIN(IF($E132="",TODAY()-29,$E132),TODAY()-29)-($D132+MOD(SISTEM!$F$8-WEEKDAY($D132,2),7)))/7)+1)))</f>
        <v/>
      </c>
      <c r="M132" s="228">
        <f>IF($G132&gt;0,$I132/$G132,0)</f>
        <v/>
      </c>
      <c r="N132" s="113">
        <f>IF($C132="","",IF($B132="TANIMSIZ MÜŞTERİ","TANIMSIZ MÜŞTERİ",IF($F132="","MODEL SEÇİN",IF(OR($D132="",$G132&lt;=0),"EKSİK",IF(AND($E132&lt;&gt;"",$E132&lt;$D132),"TARİH HATASI",IF($H132="Pasif","KAPALI DÖNEM","UYGUN"))))))</f>
        <v/>
      </c>
      <c r="O132" s="229">
        <f>IF(OR($C132="",$D132="",$F132=""),"",IF($F132="Aylık",EOMONTH($D132,0),($D132+MOD(SISTEM!$F$8-WEEKDAY($D132,2),7))))</f>
        <v/>
      </c>
      <c r="P132" s="109" t="n"/>
      <c r="Q132" s="6" t="n"/>
      <c r="R132" s="6" t="n"/>
      <c r="S132" s="3">
        <f>IF($B132="","",$B132&amp;"|"&amp;COUNTIFS($B$7:$B132,$B132))</f>
        <v/>
      </c>
    </row>
    <row r="133">
      <c r="A133" s="6" t="n"/>
      <c r="B133" s="113">
        <f>IF($C133="","",IFERROR(INDEX(MUSTERILER!$B$7:$B$106,MATCH($C133,MUSTERILER!$C$7:$C$106,0)),IFERROR(INDEX(MUSTERILER!$B$7:$B$106,MATCH($C133,MUSTERILER!$B$7:$B$106,0)),IFERROR(INDEX(MUSTERILER!$B$7:$B$106,MATCH($C133&amp;"*",MUSTERILER!$C$7:$C$106,0)),"TANIMSIZ MÜŞTERİ"))))</f>
        <v/>
      </c>
      <c r="C133" s="109" t="n"/>
      <c r="D133" s="225" t="n"/>
      <c r="E133" s="225" t="n"/>
      <c r="F133" s="108" t="n"/>
      <c r="G133" s="226" t="n"/>
      <c r="H133" s="108" t="n"/>
      <c r="I133" s="227">
        <f>IF(OR($C133="",$D133="",$G133="",$F133=""),0,$G133*IF($F133="Aylık",MAX(0,(YEAR(MIN(IF($E133="",TODAY(),$E133),TODAY()))-YEAR($D133))*12+MONTH(MIN(IF($E133="",TODAY(),$E133),TODAY()))-MONTH($D133)+IF(MIN(IF($E133="",TODAY(),$E133),TODAY())&gt;=EOMONTH(MIN(IF($E133="",TODAY(),$E133),TODAY()),0),1,0)),MAX(0,INT((MIN(IF($E133="",TODAY(),$E133),TODAY())-($D133+MOD(SISTEM!$F$8-WEEKDAY($D133,2),7)))/7)+1)))</f>
        <v/>
      </c>
      <c r="J133" s="227">
        <f>IF(OR($C133="",$D133="",$G133="",$F133=""),0,$G133*IF($F133="Aylık",MAX(0,(YEAR(MIN(IF($E133="",TODAY()-8,$E133),TODAY()-8))-YEAR($D133))*12+MONTH(MIN(IF($E133="",TODAY()-8,$E133),TODAY()-8))-MONTH($D133)+IF(MIN(IF($E133="",TODAY()-8,$E133),TODAY()-8)&gt;=EOMONTH(MIN(IF($E133="",TODAY()-8,$E133),TODAY()-8),0),1,0)),MAX(0,INT((MIN(IF($E133="",TODAY()-8,$E133),TODAY()-8)-($D133+MOD(SISTEM!$F$8-WEEKDAY($D133,2),7)))/7)+1)))</f>
        <v/>
      </c>
      <c r="K133" s="227">
        <f>IF(OR($C133="",$D133="",$G133="",$F133=""),0,$G133*IF($F133="Aylık",MAX(0,(YEAR(MIN(IF($E133="",TODAY()-15,$E133),TODAY()-15))-YEAR($D133))*12+MONTH(MIN(IF($E133="",TODAY()-15,$E133),TODAY()-15))-MONTH($D133)+IF(MIN(IF($E133="",TODAY()-15,$E133),TODAY()-15)&gt;=EOMONTH(MIN(IF($E133="",TODAY()-15,$E133),TODAY()-15),0),1,0)),MAX(0,INT((MIN(IF($E133="",TODAY()-15,$E133),TODAY()-15)-($D133+MOD(SISTEM!$F$8-WEEKDAY($D133,2),7)))/7)+1)))</f>
        <v/>
      </c>
      <c r="L133" s="227">
        <f>IF(OR($C133="",$D133="",$G133="",$F133=""),0,$G133*IF($F133="Aylık",MAX(0,(YEAR(MIN(IF($E133="",TODAY()-29,$E133),TODAY()-29))-YEAR($D133))*12+MONTH(MIN(IF($E133="",TODAY()-29,$E133),TODAY()-29))-MONTH($D133)+IF(MIN(IF($E133="",TODAY()-29,$E133),TODAY()-29)&gt;=EOMONTH(MIN(IF($E133="",TODAY()-29,$E133),TODAY()-29),0),1,0)),MAX(0,INT((MIN(IF($E133="",TODAY()-29,$E133),TODAY()-29)-($D133+MOD(SISTEM!$F$8-WEEKDAY($D133,2),7)))/7)+1)))</f>
        <v/>
      </c>
      <c r="M133" s="228">
        <f>IF($G133&gt;0,$I133/$G133,0)</f>
        <v/>
      </c>
      <c r="N133" s="113">
        <f>IF($C133="","",IF($B133="TANIMSIZ MÜŞTERİ","TANIMSIZ MÜŞTERİ",IF($F133="","MODEL SEÇİN",IF(OR($D133="",$G133&lt;=0),"EKSİK",IF(AND($E133&lt;&gt;"",$E133&lt;$D133),"TARİH HATASI",IF($H133="Pasif","KAPALI DÖNEM","UYGUN"))))))</f>
        <v/>
      </c>
      <c r="O133" s="229">
        <f>IF(OR($C133="",$D133="",$F133=""),"",IF($F133="Aylık",EOMONTH($D133,0),($D133+MOD(SISTEM!$F$8-WEEKDAY($D133,2),7))))</f>
        <v/>
      </c>
      <c r="P133" s="109" t="n"/>
      <c r="Q133" s="6" t="n"/>
      <c r="R133" s="6" t="n"/>
      <c r="S133" s="3">
        <f>IF($B133="","",$B133&amp;"|"&amp;COUNTIFS($B$7:$B133,$B133))</f>
        <v/>
      </c>
    </row>
    <row r="134">
      <c r="A134" s="6" t="n"/>
      <c r="B134" s="113">
        <f>IF($C134="","",IFERROR(INDEX(MUSTERILER!$B$7:$B$106,MATCH($C134,MUSTERILER!$C$7:$C$106,0)),IFERROR(INDEX(MUSTERILER!$B$7:$B$106,MATCH($C134,MUSTERILER!$B$7:$B$106,0)),IFERROR(INDEX(MUSTERILER!$B$7:$B$106,MATCH($C134&amp;"*",MUSTERILER!$C$7:$C$106,0)),"TANIMSIZ MÜŞTERİ"))))</f>
        <v/>
      </c>
      <c r="C134" s="109" t="n"/>
      <c r="D134" s="225" t="n"/>
      <c r="E134" s="225" t="n"/>
      <c r="F134" s="108" t="n"/>
      <c r="G134" s="226" t="n"/>
      <c r="H134" s="108" t="n"/>
      <c r="I134" s="227">
        <f>IF(OR($C134="",$D134="",$G134="",$F134=""),0,$G134*IF($F134="Aylık",MAX(0,(YEAR(MIN(IF($E134="",TODAY(),$E134),TODAY()))-YEAR($D134))*12+MONTH(MIN(IF($E134="",TODAY(),$E134),TODAY()))-MONTH($D134)+IF(MIN(IF($E134="",TODAY(),$E134),TODAY())&gt;=EOMONTH(MIN(IF($E134="",TODAY(),$E134),TODAY()),0),1,0)),MAX(0,INT((MIN(IF($E134="",TODAY(),$E134),TODAY())-($D134+MOD(SISTEM!$F$8-WEEKDAY($D134,2),7)))/7)+1)))</f>
        <v/>
      </c>
      <c r="J134" s="227">
        <f>IF(OR($C134="",$D134="",$G134="",$F134=""),0,$G134*IF($F134="Aylık",MAX(0,(YEAR(MIN(IF($E134="",TODAY()-8,$E134),TODAY()-8))-YEAR($D134))*12+MONTH(MIN(IF($E134="",TODAY()-8,$E134),TODAY()-8))-MONTH($D134)+IF(MIN(IF($E134="",TODAY()-8,$E134),TODAY()-8)&gt;=EOMONTH(MIN(IF($E134="",TODAY()-8,$E134),TODAY()-8),0),1,0)),MAX(0,INT((MIN(IF($E134="",TODAY()-8,$E134),TODAY()-8)-($D134+MOD(SISTEM!$F$8-WEEKDAY($D134,2),7)))/7)+1)))</f>
        <v/>
      </c>
      <c r="K134" s="227">
        <f>IF(OR($C134="",$D134="",$G134="",$F134=""),0,$G134*IF($F134="Aylık",MAX(0,(YEAR(MIN(IF($E134="",TODAY()-15,$E134),TODAY()-15))-YEAR($D134))*12+MONTH(MIN(IF($E134="",TODAY()-15,$E134),TODAY()-15))-MONTH($D134)+IF(MIN(IF($E134="",TODAY()-15,$E134),TODAY()-15)&gt;=EOMONTH(MIN(IF($E134="",TODAY()-15,$E134),TODAY()-15),0),1,0)),MAX(0,INT((MIN(IF($E134="",TODAY()-15,$E134),TODAY()-15)-($D134+MOD(SISTEM!$F$8-WEEKDAY($D134,2),7)))/7)+1)))</f>
        <v/>
      </c>
      <c r="L134" s="227">
        <f>IF(OR($C134="",$D134="",$G134="",$F134=""),0,$G134*IF($F134="Aylık",MAX(0,(YEAR(MIN(IF($E134="",TODAY()-29,$E134),TODAY()-29))-YEAR($D134))*12+MONTH(MIN(IF($E134="",TODAY()-29,$E134),TODAY()-29))-MONTH($D134)+IF(MIN(IF($E134="",TODAY()-29,$E134),TODAY()-29)&gt;=EOMONTH(MIN(IF($E134="",TODAY()-29,$E134),TODAY()-29),0),1,0)),MAX(0,INT((MIN(IF($E134="",TODAY()-29,$E134),TODAY()-29)-($D134+MOD(SISTEM!$F$8-WEEKDAY($D134,2),7)))/7)+1)))</f>
        <v/>
      </c>
      <c r="M134" s="228">
        <f>IF($G134&gt;0,$I134/$G134,0)</f>
        <v/>
      </c>
      <c r="N134" s="113">
        <f>IF($C134="","",IF($B134="TANIMSIZ MÜŞTERİ","TANIMSIZ MÜŞTERİ",IF($F134="","MODEL SEÇİN",IF(OR($D134="",$G134&lt;=0),"EKSİK",IF(AND($E134&lt;&gt;"",$E134&lt;$D134),"TARİH HATASI",IF($H134="Pasif","KAPALI DÖNEM","UYGUN"))))))</f>
        <v/>
      </c>
      <c r="O134" s="229">
        <f>IF(OR($C134="",$D134="",$F134=""),"",IF($F134="Aylık",EOMONTH($D134,0),($D134+MOD(SISTEM!$F$8-WEEKDAY($D134,2),7))))</f>
        <v/>
      </c>
      <c r="P134" s="109" t="n"/>
      <c r="Q134" s="6" t="n"/>
      <c r="R134" s="6" t="n"/>
      <c r="S134" s="3">
        <f>IF($B134="","",$B134&amp;"|"&amp;COUNTIFS($B$7:$B134,$B134))</f>
        <v/>
      </c>
    </row>
    <row r="135">
      <c r="A135" s="6" t="n"/>
      <c r="B135" s="113">
        <f>IF($C135="","",IFERROR(INDEX(MUSTERILER!$B$7:$B$106,MATCH($C135,MUSTERILER!$C$7:$C$106,0)),IFERROR(INDEX(MUSTERILER!$B$7:$B$106,MATCH($C135,MUSTERILER!$B$7:$B$106,0)),IFERROR(INDEX(MUSTERILER!$B$7:$B$106,MATCH($C135&amp;"*",MUSTERILER!$C$7:$C$106,0)),"TANIMSIZ MÜŞTERİ"))))</f>
        <v/>
      </c>
      <c r="C135" s="109" t="n"/>
      <c r="D135" s="225" t="n"/>
      <c r="E135" s="225" t="n"/>
      <c r="F135" s="108" t="n"/>
      <c r="G135" s="226" t="n"/>
      <c r="H135" s="108" t="n"/>
      <c r="I135" s="227">
        <f>IF(OR($C135="",$D135="",$G135="",$F135=""),0,$G135*IF($F135="Aylık",MAX(0,(YEAR(MIN(IF($E135="",TODAY(),$E135),TODAY()))-YEAR($D135))*12+MONTH(MIN(IF($E135="",TODAY(),$E135),TODAY()))-MONTH($D135)+IF(MIN(IF($E135="",TODAY(),$E135),TODAY())&gt;=EOMONTH(MIN(IF($E135="",TODAY(),$E135),TODAY()),0),1,0)),MAX(0,INT((MIN(IF($E135="",TODAY(),$E135),TODAY())-($D135+MOD(SISTEM!$F$8-WEEKDAY($D135,2),7)))/7)+1)))</f>
        <v/>
      </c>
      <c r="J135" s="227">
        <f>IF(OR($C135="",$D135="",$G135="",$F135=""),0,$G135*IF($F135="Aylık",MAX(0,(YEAR(MIN(IF($E135="",TODAY()-8,$E135),TODAY()-8))-YEAR($D135))*12+MONTH(MIN(IF($E135="",TODAY()-8,$E135),TODAY()-8))-MONTH($D135)+IF(MIN(IF($E135="",TODAY()-8,$E135),TODAY()-8)&gt;=EOMONTH(MIN(IF($E135="",TODAY()-8,$E135),TODAY()-8),0),1,0)),MAX(0,INT((MIN(IF($E135="",TODAY()-8,$E135),TODAY()-8)-($D135+MOD(SISTEM!$F$8-WEEKDAY($D135,2),7)))/7)+1)))</f>
        <v/>
      </c>
      <c r="K135" s="227">
        <f>IF(OR($C135="",$D135="",$G135="",$F135=""),0,$G135*IF($F135="Aylık",MAX(0,(YEAR(MIN(IF($E135="",TODAY()-15,$E135),TODAY()-15))-YEAR($D135))*12+MONTH(MIN(IF($E135="",TODAY()-15,$E135),TODAY()-15))-MONTH($D135)+IF(MIN(IF($E135="",TODAY()-15,$E135),TODAY()-15)&gt;=EOMONTH(MIN(IF($E135="",TODAY()-15,$E135),TODAY()-15),0),1,0)),MAX(0,INT((MIN(IF($E135="",TODAY()-15,$E135),TODAY()-15)-($D135+MOD(SISTEM!$F$8-WEEKDAY($D135,2),7)))/7)+1)))</f>
        <v/>
      </c>
      <c r="L135" s="227">
        <f>IF(OR($C135="",$D135="",$G135="",$F135=""),0,$G135*IF($F135="Aylık",MAX(0,(YEAR(MIN(IF($E135="",TODAY()-29,$E135),TODAY()-29))-YEAR($D135))*12+MONTH(MIN(IF($E135="",TODAY()-29,$E135),TODAY()-29))-MONTH($D135)+IF(MIN(IF($E135="",TODAY()-29,$E135),TODAY()-29)&gt;=EOMONTH(MIN(IF($E135="",TODAY()-29,$E135),TODAY()-29),0),1,0)),MAX(0,INT((MIN(IF($E135="",TODAY()-29,$E135),TODAY()-29)-($D135+MOD(SISTEM!$F$8-WEEKDAY($D135,2),7)))/7)+1)))</f>
        <v/>
      </c>
      <c r="M135" s="228">
        <f>IF($G135&gt;0,$I135/$G135,0)</f>
        <v/>
      </c>
      <c r="N135" s="113">
        <f>IF($C135="","",IF($B135="TANIMSIZ MÜŞTERİ","TANIMSIZ MÜŞTERİ",IF($F135="","MODEL SEÇİN",IF(OR($D135="",$G135&lt;=0),"EKSİK",IF(AND($E135&lt;&gt;"",$E135&lt;$D135),"TARİH HATASI",IF($H135="Pasif","KAPALI DÖNEM","UYGUN"))))))</f>
        <v/>
      </c>
      <c r="O135" s="229">
        <f>IF(OR($C135="",$D135="",$F135=""),"",IF($F135="Aylık",EOMONTH($D135,0),($D135+MOD(SISTEM!$F$8-WEEKDAY($D135,2),7))))</f>
        <v/>
      </c>
      <c r="P135" s="109" t="n"/>
      <c r="Q135" s="6" t="n"/>
      <c r="R135" s="6" t="n"/>
      <c r="S135" s="3">
        <f>IF($B135="","",$B135&amp;"|"&amp;COUNTIFS($B$7:$B135,$B135))</f>
        <v/>
      </c>
    </row>
    <row r="136">
      <c r="A136" s="6" t="n"/>
      <c r="B136" s="113">
        <f>IF($C136="","",IFERROR(INDEX(MUSTERILER!$B$7:$B$106,MATCH($C136,MUSTERILER!$C$7:$C$106,0)),IFERROR(INDEX(MUSTERILER!$B$7:$B$106,MATCH($C136,MUSTERILER!$B$7:$B$106,0)),IFERROR(INDEX(MUSTERILER!$B$7:$B$106,MATCH($C136&amp;"*",MUSTERILER!$C$7:$C$106,0)),"TANIMSIZ MÜŞTERİ"))))</f>
        <v/>
      </c>
      <c r="C136" s="109" t="n"/>
      <c r="D136" s="225" t="n"/>
      <c r="E136" s="225" t="n"/>
      <c r="F136" s="108" t="n"/>
      <c r="G136" s="226" t="n"/>
      <c r="H136" s="108" t="n"/>
      <c r="I136" s="227">
        <f>IF(OR($C136="",$D136="",$G136="",$F136=""),0,$G136*IF($F136="Aylık",MAX(0,(YEAR(MIN(IF($E136="",TODAY(),$E136),TODAY()))-YEAR($D136))*12+MONTH(MIN(IF($E136="",TODAY(),$E136),TODAY()))-MONTH($D136)+IF(MIN(IF($E136="",TODAY(),$E136),TODAY())&gt;=EOMONTH(MIN(IF($E136="",TODAY(),$E136),TODAY()),0),1,0)),MAX(0,INT((MIN(IF($E136="",TODAY(),$E136),TODAY())-($D136+MOD(SISTEM!$F$8-WEEKDAY($D136,2),7)))/7)+1)))</f>
        <v/>
      </c>
      <c r="J136" s="227">
        <f>IF(OR($C136="",$D136="",$G136="",$F136=""),0,$G136*IF($F136="Aylık",MAX(0,(YEAR(MIN(IF($E136="",TODAY()-8,$E136),TODAY()-8))-YEAR($D136))*12+MONTH(MIN(IF($E136="",TODAY()-8,$E136),TODAY()-8))-MONTH($D136)+IF(MIN(IF($E136="",TODAY()-8,$E136),TODAY()-8)&gt;=EOMONTH(MIN(IF($E136="",TODAY()-8,$E136),TODAY()-8),0),1,0)),MAX(0,INT((MIN(IF($E136="",TODAY()-8,$E136),TODAY()-8)-($D136+MOD(SISTEM!$F$8-WEEKDAY($D136,2),7)))/7)+1)))</f>
        <v/>
      </c>
      <c r="K136" s="227">
        <f>IF(OR($C136="",$D136="",$G136="",$F136=""),0,$G136*IF($F136="Aylık",MAX(0,(YEAR(MIN(IF($E136="",TODAY()-15,$E136),TODAY()-15))-YEAR($D136))*12+MONTH(MIN(IF($E136="",TODAY()-15,$E136),TODAY()-15))-MONTH($D136)+IF(MIN(IF($E136="",TODAY()-15,$E136),TODAY()-15)&gt;=EOMONTH(MIN(IF($E136="",TODAY()-15,$E136),TODAY()-15),0),1,0)),MAX(0,INT((MIN(IF($E136="",TODAY()-15,$E136),TODAY()-15)-($D136+MOD(SISTEM!$F$8-WEEKDAY($D136,2),7)))/7)+1)))</f>
        <v/>
      </c>
      <c r="L136" s="227">
        <f>IF(OR($C136="",$D136="",$G136="",$F136=""),0,$G136*IF($F136="Aylık",MAX(0,(YEAR(MIN(IF($E136="",TODAY()-29,$E136),TODAY()-29))-YEAR($D136))*12+MONTH(MIN(IF($E136="",TODAY()-29,$E136),TODAY()-29))-MONTH($D136)+IF(MIN(IF($E136="",TODAY()-29,$E136),TODAY()-29)&gt;=EOMONTH(MIN(IF($E136="",TODAY()-29,$E136),TODAY()-29),0),1,0)),MAX(0,INT((MIN(IF($E136="",TODAY()-29,$E136),TODAY()-29)-($D136+MOD(SISTEM!$F$8-WEEKDAY($D136,2),7)))/7)+1)))</f>
        <v/>
      </c>
      <c r="M136" s="228">
        <f>IF($G136&gt;0,$I136/$G136,0)</f>
        <v/>
      </c>
      <c r="N136" s="113">
        <f>IF($C136="","",IF($B136="TANIMSIZ MÜŞTERİ","TANIMSIZ MÜŞTERİ",IF($F136="","MODEL SEÇİN",IF(OR($D136="",$G136&lt;=0),"EKSİK",IF(AND($E136&lt;&gt;"",$E136&lt;$D136),"TARİH HATASI",IF($H136="Pasif","KAPALI DÖNEM","UYGUN"))))))</f>
        <v/>
      </c>
      <c r="O136" s="229">
        <f>IF(OR($C136="",$D136="",$F136=""),"",IF($F136="Aylık",EOMONTH($D136,0),($D136+MOD(SISTEM!$F$8-WEEKDAY($D136,2),7))))</f>
        <v/>
      </c>
      <c r="P136" s="109" t="n"/>
      <c r="Q136" s="6" t="n"/>
      <c r="R136" s="6" t="n"/>
      <c r="S136" s="3">
        <f>IF($B136="","",$B136&amp;"|"&amp;COUNTIFS($B$7:$B136,$B136))</f>
        <v/>
      </c>
    </row>
    <row r="137">
      <c r="A137" s="6" t="n"/>
      <c r="B137" s="113">
        <f>IF($C137="","",IFERROR(INDEX(MUSTERILER!$B$7:$B$106,MATCH($C137,MUSTERILER!$C$7:$C$106,0)),IFERROR(INDEX(MUSTERILER!$B$7:$B$106,MATCH($C137,MUSTERILER!$B$7:$B$106,0)),IFERROR(INDEX(MUSTERILER!$B$7:$B$106,MATCH($C137&amp;"*",MUSTERILER!$C$7:$C$106,0)),"TANIMSIZ MÜŞTERİ"))))</f>
        <v/>
      </c>
      <c r="C137" s="109" t="n"/>
      <c r="D137" s="225" t="n"/>
      <c r="E137" s="225" t="n"/>
      <c r="F137" s="108" t="n"/>
      <c r="G137" s="226" t="n"/>
      <c r="H137" s="108" t="n"/>
      <c r="I137" s="227">
        <f>IF(OR($C137="",$D137="",$G137="",$F137=""),0,$G137*IF($F137="Aylık",MAX(0,(YEAR(MIN(IF($E137="",TODAY(),$E137),TODAY()))-YEAR($D137))*12+MONTH(MIN(IF($E137="",TODAY(),$E137),TODAY()))-MONTH($D137)+IF(MIN(IF($E137="",TODAY(),$E137),TODAY())&gt;=EOMONTH(MIN(IF($E137="",TODAY(),$E137),TODAY()),0),1,0)),MAX(0,INT((MIN(IF($E137="",TODAY(),$E137),TODAY())-($D137+MOD(SISTEM!$F$8-WEEKDAY($D137,2),7)))/7)+1)))</f>
        <v/>
      </c>
      <c r="J137" s="227">
        <f>IF(OR($C137="",$D137="",$G137="",$F137=""),0,$G137*IF($F137="Aylık",MAX(0,(YEAR(MIN(IF($E137="",TODAY()-8,$E137),TODAY()-8))-YEAR($D137))*12+MONTH(MIN(IF($E137="",TODAY()-8,$E137),TODAY()-8))-MONTH($D137)+IF(MIN(IF($E137="",TODAY()-8,$E137),TODAY()-8)&gt;=EOMONTH(MIN(IF($E137="",TODAY()-8,$E137),TODAY()-8),0),1,0)),MAX(0,INT((MIN(IF($E137="",TODAY()-8,$E137),TODAY()-8)-($D137+MOD(SISTEM!$F$8-WEEKDAY($D137,2),7)))/7)+1)))</f>
        <v/>
      </c>
      <c r="K137" s="227">
        <f>IF(OR($C137="",$D137="",$G137="",$F137=""),0,$G137*IF($F137="Aylık",MAX(0,(YEAR(MIN(IF($E137="",TODAY()-15,$E137),TODAY()-15))-YEAR($D137))*12+MONTH(MIN(IF($E137="",TODAY()-15,$E137),TODAY()-15))-MONTH($D137)+IF(MIN(IF($E137="",TODAY()-15,$E137),TODAY()-15)&gt;=EOMONTH(MIN(IF($E137="",TODAY()-15,$E137),TODAY()-15),0),1,0)),MAX(0,INT((MIN(IF($E137="",TODAY()-15,$E137),TODAY()-15)-($D137+MOD(SISTEM!$F$8-WEEKDAY($D137,2),7)))/7)+1)))</f>
        <v/>
      </c>
      <c r="L137" s="227">
        <f>IF(OR($C137="",$D137="",$G137="",$F137=""),0,$G137*IF($F137="Aylık",MAX(0,(YEAR(MIN(IF($E137="",TODAY()-29,$E137),TODAY()-29))-YEAR($D137))*12+MONTH(MIN(IF($E137="",TODAY()-29,$E137),TODAY()-29))-MONTH($D137)+IF(MIN(IF($E137="",TODAY()-29,$E137),TODAY()-29)&gt;=EOMONTH(MIN(IF($E137="",TODAY()-29,$E137),TODAY()-29),0),1,0)),MAX(0,INT((MIN(IF($E137="",TODAY()-29,$E137),TODAY()-29)-($D137+MOD(SISTEM!$F$8-WEEKDAY($D137,2),7)))/7)+1)))</f>
        <v/>
      </c>
      <c r="M137" s="228">
        <f>IF($G137&gt;0,$I137/$G137,0)</f>
        <v/>
      </c>
      <c r="N137" s="113">
        <f>IF($C137="","",IF($B137="TANIMSIZ MÜŞTERİ","TANIMSIZ MÜŞTERİ",IF($F137="","MODEL SEÇİN",IF(OR($D137="",$G137&lt;=0),"EKSİK",IF(AND($E137&lt;&gt;"",$E137&lt;$D137),"TARİH HATASI",IF($H137="Pasif","KAPALI DÖNEM","UYGUN"))))))</f>
        <v/>
      </c>
      <c r="O137" s="229">
        <f>IF(OR($C137="",$D137="",$F137=""),"",IF($F137="Aylık",EOMONTH($D137,0),($D137+MOD(SISTEM!$F$8-WEEKDAY($D137,2),7))))</f>
        <v/>
      </c>
      <c r="P137" s="109" t="n"/>
      <c r="Q137" s="6" t="n"/>
      <c r="R137" s="6" t="n"/>
      <c r="S137" s="3">
        <f>IF($B137="","",$B137&amp;"|"&amp;COUNTIFS($B$7:$B137,$B137))</f>
        <v/>
      </c>
    </row>
    <row r="138">
      <c r="A138" s="6" t="n"/>
      <c r="B138" s="113">
        <f>IF($C138="","",IFERROR(INDEX(MUSTERILER!$B$7:$B$106,MATCH($C138,MUSTERILER!$C$7:$C$106,0)),IFERROR(INDEX(MUSTERILER!$B$7:$B$106,MATCH($C138,MUSTERILER!$B$7:$B$106,0)),IFERROR(INDEX(MUSTERILER!$B$7:$B$106,MATCH($C138&amp;"*",MUSTERILER!$C$7:$C$106,0)),"TANIMSIZ MÜŞTERİ"))))</f>
        <v/>
      </c>
      <c r="C138" s="109" t="n"/>
      <c r="D138" s="225" t="n"/>
      <c r="E138" s="225" t="n"/>
      <c r="F138" s="108" t="n"/>
      <c r="G138" s="226" t="n"/>
      <c r="H138" s="108" t="n"/>
      <c r="I138" s="227">
        <f>IF(OR($C138="",$D138="",$G138="",$F138=""),0,$G138*IF($F138="Aylık",MAX(0,(YEAR(MIN(IF($E138="",TODAY(),$E138),TODAY()))-YEAR($D138))*12+MONTH(MIN(IF($E138="",TODAY(),$E138),TODAY()))-MONTH($D138)+IF(MIN(IF($E138="",TODAY(),$E138),TODAY())&gt;=EOMONTH(MIN(IF($E138="",TODAY(),$E138),TODAY()),0),1,0)),MAX(0,INT((MIN(IF($E138="",TODAY(),$E138),TODAY())-($D138+MOD(SISTEM!$F$8-WEEKDAY($D138,2),7)))/7)+1)))</f>
        <v/>
      </c>
      <c r="J138" s="227">
        <f>IF(OR($C138="",$D138="",$G138="",$F138=""),0,$G138*IF($F138="Aylık",MAX(0,(YEAR(MIN(IF($E138="",TODAY()-8,$E138),TODAY()-8))-YEAR($D138))*12+MONTH(MIN(IF($E138="",TODAY()-8,$E138),TODAY()-8))-MONTH($D138)+IF(MIN(IF($E138="",TODAY()-8,$E138),TODAY()-8)&gt;=EOMONTH(MIN(IF($E138="",TODAY()-8,$E138),TODAY()-8),0),1,0)),MAX(0,INT((MIN(IF($E138="",TODAY()-8,$E138),TODAY()-8)-($D138+MOD(SISTEM!$F$8-WEEKDAY($D138,2),7)))/7)+1)))</f>
        <v/>
      </c>
      <c r="K138" s="227">
        <f>IF(OR($C138="",$D138="",$G138="",$F138=""),0,$G138*IF($F138="Aylık",MAX(0,(YEAR(MIN(IF($E138="",TODAY()-15,$E138),TODAY()-15))-YEAR($D138))*12+MONTH(MIN(IF($E138="",TODAY()-15,$E138),TODAY()-15))-MONTH($D138)+IF(MIN(IF($E138="",TODAY()-15,$E138),TODAY()-15)&gt;=EOMONTH(MIN(IF($E138="",TODAY()-15,$E138),TODAY()-15),0),1,0)),MAX(0,INT((MIN(IF($E138="",TODAY()-15,$E138),TODAY()-15)-($D138+MOD(SISTEM!$F$8-WEEKDAY($D138,2),7)))/7)+1)))</f>
        <v/>
      </c>
      <c r="L138" s="227">
        <f>IF(OR($C138="",$D138="",$G138="",$F138=""),0,$G138*IF($F138="Aylık",MAX(0,(YEAR(MIN(IF($E138="",TODAY()-29,$E138),TODAY()-29))-YEAR($D138))*12+MONTH(MIN(IF($E138="",TODAY()-29,$E138),TODAY()-29))-MONTH($D138)+IF(MIN(IF($E138="",TODAY()-29,$E138),TODAY()-29)&gt;=EOMONTH(MIN(IF($E138="",TODAY()-29,$E138),TODAY()-29),0),1,0)),MAX(0,INT((MIN(IF($E138="",TODAY()-29,$E138),TODAY()-29)-($D138+MOD(SISTEM!$F$8-WEEKDAY($D138,2),7)))/7)+1)))</f>
        <v/>
      </c>
      <c r="M138" s="228">
        <f>IF($G138&gt;0,$I138/$G138,0)</f>
        <v/>
      </c>
      <c r="N138" s="113">
        <f>IF($C138="","",IF($B138="TANIMSIZ MÜŞTERİ","TANIMSIZ MÜŞTERİ",IF($F138="","MODEL SEÇİN",IF(OR($D138="",$G138&lt;=0),"EKSİK",IF(AND($E138&lt;&gt;"",$E138&lt;$D138),"TARİH HATASI",IF($H138="Pasif","KAPALI DÖNEM","UYGUN"))))))</f>
        <v/>
      </c>
      <c r="O138" s="229">
        <f>IF(OR($C138="",$D138="",$F138=""),"",IF($F138="Aylık",EOMONTH($D138,0),($D138+MOD(SISTEM!$F$8-WEEKDAY($D138,2),7))))</f>
        <v/>
      </c>
      <c r="P138" s="109" t="n"/>
      <c r="Q138" s="6" t="n"/>
      <c r="R138" s="6" t="n"/>
      <c r="S138" s="3">
        <f>IF($B138="","",$B138&amp;"|"&amp;COUNTIFS($B$7:$B138,$B138))</f>
        <v/>
      </c>
    </row>
    <row r="139">
      <c r="A139" s="6" t="n"/>
      <c r="B139" s="113">
        <f>IF($C139="","",IFERROR(INDEX(MUSTERILER!$B$7:$B$106,MATCH($C139,MUSTERILER!$C$7:$C$106,0)),IFERROR(INDEX(MUSTERILER!$B$7:$B$106,MATCH($C139,MUSTERILER!$B$7:$B$106,0)),IFERROR(INDEX(MUSTERILER!$B$7:$B$106,MATCH($C139&amp;"*",MUSTERILER!$C$7:$C$106,0)),"TANIMSIZ MÜŞTERİ"))))</f>
        <v/>
      </c>
      <c r="C139" s="109" t="n"/>
      <c r="D139" s="225" t="n"/>
      <c r="E139" s="225" t="n"/>
      <c r="F139" s="108" t="n"/>
      <c r="G139" s="226" t="n"/>
      <c r="H139" s="108" t="n"/>
      <c r="I139" s="227">
        <f>IF(OR($C139="",$D139="",$G139="",$F139=""),0,$G139*IF($F139="Aylık",MAX(0,(YEAR(MIN(IF($E139="",TODAY(),$E139),TODAY()))-YEAR($D139))*12+MONTH(MIN(IF($E139="",TODAY(),$E139),TODAY()))-MONTH($D139)+IF(MIN(IF($E139="",TODAY(),$E139),TODAY())&gt;=EOMONTH(MIN(IF($E139="",TODAY(),$E139),TODAY()),0),1,0)),MAX(0,INT((MIN(IF($E139="",TODAY(),$E139),TODAY())-($D139+MOD(SISTEM!$F$8-WEEKDAY($D139,2),7)))/7)+1)))</f>
        <v/>
      </c>
      <c r="J139" s="227">
        <f>IF(OR($C139="",$D139="",$G139="",$F139=""),0,$G139*IF($F139="Aylık",MAX(0,(YEAR(MIN(IF($E139="",TODAY()-8,$E139),TODAY()-8))-YEAR($D139))*12+MONTH(MIN(IF($E139="",TODAY()-8,$E139),TODAY()-8))-MONTH($D139)+IF(MIN(IF($E139="",TODAY()-8,$E139),TODAY()-8)&gt;=EOMONTH(MIN(IF($E139="",TODAY()-8,$E139),TODAY()-8),0),1,0)),MAX(0,INT((MIN(IF($E139="",TODAY()-8,$E139),TODAY()-8)-($D139+MOD(SISTEM!$F$8-WEEKDAY($D139,2),7)))/7)+1)))</f>
        <v/>
      </c>
      <c r="K139" s="227">
        <f>IF(OR($C139="",$D139="",$G139="",$F139=""),0,$G139*IF($F139="Aylık",MAX(0,(YEAR(MIN(IF($E139="",TODAY()-15,$E139),TODAY()-15))-YEAR($D139))*12+MONTH(MIN(IF($E139="",TODAY()-15,$E139),TODAY()-15))-MONTH($D139)+IF(MIN(IF($E139="",TODAY()-15,$E139),TODAY()-15)&gt;=EOMONTH(MIN(IF($E139="",TODAY()-15,$E139),TODAY()-15),0),1,0)),MAX(0,INT((MIN(IF($E139="",TODAY()-15,$E139),TODAY()-15)-($D139+MOD(SISTEM!$F$8-WEEKDAY($D139,2),7)))/7)+1)))</f>
        <v/>
      </c>
      <c r="L139" s="227">
        <f>IF(OR($C139="",$D139="",$G139="",$F139=""),0,$G139*IF($F139="Aylık",MAX(0,(YEAR(MIN(IF($E139="",TODAY()-29,$E139),TODAY()-29))-YEAR($D139))*12+MONTH(MIN(IF($E139="",TODAY()-29,$E139),TODAY()-29))-MONTH($D139)+IF(MIN(IF($E139="",TODAY()-29,$E139),TODAY()-29)&gt;=EOMONTH(MIN(IF($E139="",TODAY()-29,$E139),TODAY()-29),0),1,0)),MAX(0,INT((MIN(IF($E139="",TODAY()-29,$E139),TODAY()-29)-($D139+MOD(SISTEM!$F$8-WEEKDAY($D139,2),7)))/7)+1)))</f>
        <v/>
      </c>
      <c r="M139" s="228">
        <f>IF($G139&gt;0,$I139/$G139,0)</f>
        <v/>
      </c>
      <c r="N139" s="113">
        <f>IF($C139="","",IF($B139="TANIMSIZ MÜŞTERİ","TANIMSIZ MÜŞTERİ",IF($F139="","MODEL SEÇİN",IF(OR($D139="",$G139&lt;=0),"EKSİK",IF(AND($E139&lt;&gt;"",$E139&lt;$D139),"TARİH HATASI",IF($H139="Pasif","KAPALI DÖNEM","UYGUN"))))))</f>
        <v/>
      </c>
      <c r="O139" s="229">
        <f>IF(OR($C139="",$D139="",$F139=""),"",IF($F139="Aylık",EOMONTH($D139,0),($D139+MOD(SISTEM!$F$8-WEEKDAY($D139,2),7))))</f>
        <v/>
      </c>
      <c r="P139" s="109" t="n"/>
      <c r="Q139" s="6" t="n"/>
      <c r="R139" s="6" t="n"/>
      <c r="S139" s="3">
        <f>IF($B139="","",$B139&amp;"|"&amp;COUNTIFS($B$7:$B139,$B139))</f>
        <v/>
      </c>
    </row>
    <row r="140">
      <c r="A140" s="6" t="n"/>
      <c r="B140" s="113">
        <f>IF($C140="","",IFERROR(INDEX(MUSTERILER!$B$7:$B$106,MATCH($C140,MUSTERILER!$C$7:$C$106,0)),IFERROR(INDEX(MUSTERILER!$B$7:$B$106,MATCH($C140,MUSTERILER!$B$7:$B$106,0)),IFERROR(INDEX(MUSTERILER!$B$7:$B$106,MATCH($C140&amp;"*",MUSTERILER!$C$7:$C$106,0)),"TANIMSIZ MÜŞTERİ"))))</f>
        <v/>
      </c>
      <c r="C140" s="109" t="n"/>
      <c r="D140" s="225" t="n"/>
      <c r="E140" s="225" t="n"/>
      <c r="F140" s="108" t="n"/>
      <c r="G140" s="226" t="n"/>
      <c r="H140" s="108" t="n"/>
      <c r="I140" s="227">
        <f>IF(OR($C140="",$D140="",$G140="",$F140=""),0,$G140*IF($F140="Aylık",MAX(0,(YEAR(MIN(IF($E140="",TODAY(),$E140),TODAY()))-YEAR($D140))*12+MONTH(MIN(IF($E140="",TODAY(),$E140),TODAY()))-MONTH($D140)+IF(MIN(IF($E140="",TODAY(),$E140),TODAY())&gt;=EOMONTH(MIN(IF($E140="",TODAY(),$E140),TODAY()),0),1,0)),MAX(0,INT((MIN(IF($E140="",TODAY(),$E140),TODAY())-($D140+MOD(SISTEM!$F$8-WEEKDAY($D140,2),7)))/7)+1)))</f>
        <v/>
      </c>
      <c r="J140" s="227">
        <f>IF(OR($C140="",$D140="",$G140="",$F140=""),0,$G140*IF($F140="Aylık",MAX(0,(YEAR(MIN(IF($E140="",TODAY()-8,$E140),TODAY()-8))-YEAR($D140))*12+MONTH(MIN(IF($E140="",TODAY()-8,$E140),TODAY()-8))-MONTH($D140)+IF(MIN(IF($E140="",TODAY()-8,$E140),TODAY()-8)&gt;=EOMONTH(MIN(IF($E140="",TODAY()-8,$E140),TODAY()-8),0),1,0)),MAX(0,INT((MIN(IF($E140="",TODAY()-8,$E140),TODAY()-8)-($D140+MOD(SISTEM!$F$8-WEEKDAY($D140,2),7)))/7)+1)))</f>
        <v/>
      </c>
      <c r="K140" s="227">
        <f>IF(OR($C140="",$D140="",$G140="",$F140=""),0,$G140*IF($F140="Aylık",MAX(0,(YEAR(MIN(IF($E140="",TODAY()-15,$E140),TODAY()-15))-YEAR($D140))*12+MONTH(MIN(IF($E140="",TODAY()-15,$E140),TODAY()-15))-MONTH($D140)+IF(MIN(IF($E140="",TODAY()-15,$E140),TODAY()-15)&gt;=EOMONTH(MIN(IF($E140="",TODAY()-15,$E140),TODAY()-15),0),1,0)),MAX(0,INT((MIN(IF($E140="",TODAY()-15,$E140),TODAY()-15)-($D140+MOD(SISTEM!$F$8-WEEKDAY($D140,2),7)))/7)+1)))</f>
        <v/>
      </c>
      <c r="L140" s="227">
        <f>IF(OR($C140="",$D140="",$G140="",$F140=""),0,$G140*IF($F140="Aylık",MAX(0,(YEAR(MIN(IF($E140="",TODAY()-29,$E140),TODAY()-29))-YEAR($D140))*12+MONTH(MIN(IF($E140="",TODAY()-29,$E140),TODAY()-29))-MONTH($D140)+IF(MIN(IF($E140="",TODAY()-29,$E140),TODAY()-29)&gt;=EOMONTH(MIN(IF($E140="",TODAY()-29,$E140),TODAY()-29),0),1,0)),MAX(0,INT((MIN(IF($E140="",TODAY()-29,$E140),TODAY()-29)-($D140+MOD(SISTEM!$F$8-WEEKDAY($D140,2),7)))/7)+1)))</f>
        <v/>
      </c>
      <c r="M140" s="228">
        <f>IF($G140&gt;0,$I140/$G140,0)</f>
        <v/>
      </c>
      <c r="N140" s="113">
        <f>IF($C140="","",IF($B140="TANIMSIZ MÜŞTERİ","TANIMSIZ MÜŞTERİ",IF($F140="","MODEL SEÇİN",IF(OR($D140="",$G140&lt;=0),"EKSİK",IF(AND($E140&lt;&gt;"",$E140&lt;$D140),"TARİH HATASI",IF($H140="Pasif","KAPALI DÖNEM","UYGUN"))))))</f>
        <v/>
      </c>
      <c r="O140" s="229">
        <f>IF(OR($C140="",$D140="",$F140=""),"",IF($F140="Aylık",EOMONTH($D140,0),($D140+MOD(SISTEM!$F$8-WEEKDAY($D140,2),7))))</f>
        <v/>
      </c>
      <c r="P140" s="109" t="n"/>
      <c r="Q140" s="6" t="n"/>
      <c r="R140" s="6" t="n"/>
      <c r="S140" s="3">
        <f>IF($B140="","",$B140&amp;"|"&amp;COUNTIFS($B$7:$B140,$B140))</f>
        <v/>
      </c>
    </row>
    <row r="141">
      <c r="A141" s="6" t="n"/>
      <c r="B141" s="113">
        <f>IF($C141="","",IFERROR(INDEX(MUSTERILER!$B$7:$B$106,MATCH($C141,MUSTERILER!$C$7:$C$106,0)),IFERROR(INDEX(MUSTERILER!$B$7:$B$106,MATCH($C141,MUSTERILER!$B$7:$B$106,0)),IFERROR(INDEX(MUSTERILER!$B$7:$B$106,MATCH($C141&amp;"*",MUSTERILER!$C$7:$C$106,0)),"TANIMSIZ MÜŞTERİ"))))</f>
        <v/>
      </c>
      <c r="C141" s="109" t="n"/>
      <c r="D141" s="225" t="n"/>
      <c r="E141" s="225" t="n"/>
      <c r="F141" s="108" t="n"/>
      <c r="G141" s="226" t="n"/>
      <c r="H141" s="108" t="n"/>
      <c r="I141" s="227">
        <f>IF(OR($C141="",$D141="",$G141="",$F141=""),0,$G141*IF($F141="Aylık",MAX(0,(YEAR(MIN(IF($E141="",TODAY(),$E141),TODAY()))-YEAR($D141))*12+MONTH(MIN(IF($E141="",TODAY(),$E141),TODAY()))-MONTH($D141)+IF(MIN(IF($E141="",TODAY(),$E141),TODAY())&gt;=EOMONTH(MIN(IF($E141="",TODAY(),$E141),TODAY()),0),1,0)),MAX(0,INT((MIN(IF($E141="",TODAY(),$E141),TODAY())-($D141+MOD(SISTEM!$F$8-WEEKDAY($D141,2),7)))/7)+1)))</f>
        <v/>
      </c>
      <c r="J141" s="227">
        <f>IF(OR($C141="",$D141="",$G141="",$F141=""),0,$G141*IF($F141="Aylık",MAX(0,(YEAR(MIN(IF($E141="",TODAY()-8,$E141),TODAY()-8))-YEAR($D141))*12+MONTH(MIN(IF($E141="",TODAY()-8,$E141),TODAY()-8))-MONTH($D141)+IF(MIN(IF($E141="",TODAY()-8,$E141),TODAY()-8)&gt;=EOMONTH(MIN(IF($E141="",TODAY()-8,$E141),TODAY()-8),0),1,0)),MAX(0,INT((MIN(IF($E141="",TODAY()-8,$E141),TODAY()-8)-($D141+MOD(SISTEM!$F$8-WEEKDAY($D141,2),7)))/7)+1)))</f>
        <v/>
      </c>
      <c r="K141" s="227">
        <f>IF(OR($C141="",$D141="",$G141="",$F141=""),0,$G141*IF($F141="Aylık",MAX(0,(YEAR(MIN(IF($E141="",TODAY()-15,$E141),TODAY()-15))-YEAR($D141))*12+MONTH(MIN(IF($E141="",TODAY()-15,$E141),TODAY()-15))-MONTH($D141)+IF(MIN(IF($E141="",TODAY()-15,$E141),TODAY()-15)&gt;=EOMONTH(MIN(IF($E141="",TODAY()-15,$E141),TODAY()-15),0),1,0)),MAX(0,INT((MIN(IF($E141="",TODAY()-15,$E141),TODAY()-15)-($D141+MOD(SISTEM!$F$8-WEEKDAY($D141,2),7)))/7)+1)))</f>
        <v/>
      </c>
      <c r="L141" s="227">
        <f>IF(OR($C141="",$D141="",$G141="",$F141=""),0,$G141*IF($F141="Aylık",MAX(0,(YEAR(MIN(IF($E141="",TODAY()-29,$E141),TODAY()-29))-YEAR($D141))*12+MONTH(MIN(IF($E141="",TODAY()-29,$E141),TODAY()-29))-MONTH($D141)+IF(MIN(IF($E141="",TODAY()-29,$E141),TODAY()-29)&gt;=EOMONTH(MIN(IF($E141="",TODAY()-29,$E141),TODAY()-29),0),1,0)),MAX(0,INT((MIN(IF($E141="",TODAY()-29,$E141),TODAY()-29)-($D141+MOD(SISTEM!$F$8-WEEKDAY($D141,2),7)))/7)+1)))</f>
        <v/>
      </c>
      <c r="M141" s="228">
        <f>IF($G141&gt;0,$I141/$G141,0)</f>
        <v/>
      </c>
      <c r="N141" s="113">
        <f>IF($C141="","",IF($B141="TANIMSIZ MÜŞTERİ","TANIMSIZ MÜŞTERİ",IF($F141="","MODEL SEÇİN",IF(OR($D141="",$G141&lt;=0),"EKSİK",IF(AND($E141&lt;&gt;"",$E141&lt;$D141),"TARİH HATASI",IF($H141="Pasif","KAPALI DÖNEM","UYGUN"))))))</f>
        <v/>
      </c>
      <c r="O141" s="229">
        <f>IF(OR($C141="",$D141="",$F141=""),"",IF($F141="Aylık",EOMONTH($D141,0),($D141+MOD(SISTEM!$F$8-WEEKDAY($D141,2),7))))</f>
        <v/>
      </c>
      <c r="P141" s="109" t="n"/>
      <c r="Q141" s="6" t="n"/>
      <c r="R141" s="6" t="n"/>
      <c r="S141" s="3">
        <f>IF($B141="","",$B141&amp;"|"&amp;COUNTIFS($B$7:$B141,$B141))</f>
        <v/>
      </c>
    </row>
    <row r="142">
      <c r="A142" s="6" t="n"/>
      <c r="B142" s="113">
        <f>IF($C142="","",IFERROR(INDEX(MUSTERILER!$B$7:$B$106,MATCH($C142,MUSTERILER!$C$7:$C$106,0)),IFERROR(INDEX(MUSTERILER!$B$7:$B$106,MATCH($C142,MUSTERILER!$B$7:$B$106,0)),IFERROR(INDEX(MUSTERILER!$B$7:$B$106,MATCH($C142&amp;"*",MUSTERILER!$C$7:$C$106,0)),"TANIMSIZ MÜŞTERİ"))))</f>
        <v/>
      </c>
      <c r="C142" s="109" t="n"/>
      <c r="D142" s="225" t="n"/>
      <c r="E142" s="225" t="n"/>
      <c r="F142" s="108" t="n"/>
      <c r="G142" s="226" t="n"/>
      <c r="H142" s="108" t="n"/>
      <c r="I142" s="227">
        <f>IF(OR($C142="",$D142="",$G142="",$F142=""),0,$G142*IF($F142="Aylık",MAX(0,(YEAR(MIN(IF($E142="",TODAY(),$E142),TODAY()))-YEAR($D142))*12+MONTH(MIN(IF($E142="",TODAY(),$E142),TODAY()))-MONTH($D142)+IF(MIN(IF($E142="",TODAY(),$E142),TODAY())&gt;=EOMONTH(MIN(IF($E142="",TODAY(),$E142),TODAY()),0),1,0)),MAX(0,INT((MIN(IF($E142="",TODAY(),$E142),TODAY())-($D142+MOD(SISTEM!$F$8-WEEKDAY($D142,2),7)))/7)+1)))</f>
        <v/>
      </c>
      <c r="J142" s="227">
        <f>IF(OR($C142="",$D142="",$G142="",$F142=""),0,$G142*IF($F142="Aylık",MAX(0,(YEAR(MIN(IF($E142="",TODAY()-8,$E142),TODAY()-8))-YEAR($D142))*12+MONTH(MIN(IF($E142="",TODAY()-8,$E142),TODAY()-8))-MONTH($D142)+IF(MIN(IF($E142="",TODAY()-8,$E142),TODAY()-8)&gt;=EOMONTH(MIN(IF($E142="",TODAY()-8,$E142),TODAY()-8),0),1,0)),MAX(0,INT((MIN(IF($E142="",TODAY()-8,$E142),TODAY()-8)-($D142+MOD(SISTEM!$F$8-WEEKDAY($D142,2),7)))/7)+1)))</f>
        <v/>
      </c>
      <c r="K142" s="227">
        <f>IF(OR($C142="",$D142="",$G142="",$F142=""),0,$G142*IF($F142="Aylık",MAX(0,(YEAR(MIN(IF($E142="",TODAY()-15,$E142),TODAY()-15))-YEAR($D142))*12+MONTH(MIN(IF($E142="",TODAY()-15,$E142),TODAY()-15))-MONTH($D142)+IF(MIN(IF($E142="",TODAY()-15,$E142),TODAY()-15)&gt;=EOMONTH(MIN(IF($E142="",TODAY()-15,$E142),TODAY()-15),0),1,0)),MAX(0,INT((MIN(IF($E142="",TODAY()-15,$E142),TODAY()-15)-($D142+MOD(SISTEM!$F$8-WEEKDAY($D142,2),7)))/7)+1)))</f>
        <v/>
      </c>
      <c r="L142" s="227">
        <f>IF(OR($C142="",$D142="",$G142="",$F142=""),0,$G142*IF($F142="Aylık",MAX(0,(YEAR(MIN(IF($E142="",TODAY()-29,$E142),TODAY()-29))-YEAR($D142))*12+MONTH(MIN(IF($E142="",TODAY()-29,$E142),TODAY()-29))-MONTH($D142)+IF(MIN(IF($E142="",TODAY()-29,$E142),TODAY()-29)&gt;=EOMONTH(MIN(IF($E142="",TODAY()-29,$E142),TODAY()-29),0),1,0)),MAX(0,INT((MIN(IF($E142="",TODAY()-29,$E142),TODAY()-29)-($D142+MOD(SISTEM!$F$8-WEEKDAY($D142,2),7)))/7)+1)))</f>
        <v/>
      </c>
      <c r="M142" s="228">
        <f>IF($G142&gt;0,$I142/$G142,0)</f>
        <v/>
      </c>
      <c r="N142" s="113">
        <f>IF($C142="","",IF($B142="TANIMSIZ MÜŞTERİ","TANIMSIZ MÜŞTERİ",IF($F142="","MODEL SEÇİN",IF(OR($D142="",$G142&lt;=0),"EKSİK",IF(AND($E142&lt;&gt;"",$E142&lt;$D142),"TARİH HATASI",IF($H142="Pasif","KAPALI DÖNEM","UYGUN"))))))</f>
        <v/>
      </c>
      <c r="O142" s="229">
        <f>IF(OR($C142="",$D142="",$F142=""),"",IF($F142="Aylık",EOMONTH($D142,0),($D142+MOD(SISTEM!$F$8-WEEKDAY($D142,2),7))))</f>
        <v/>
      </c>
      <c r="P142" s="109" t="n"/>
      <c r="Q142" s="6" t="n"/>
      <c r="R142" s="6" t="n"/>
      <c r="S142" s="3">
        <f>IF($B142="","",$B142&amp;"|"&amp;COUNTIFS($B$7:$B142,$B142))</f>
        <v/>
      </c>
    </row>
    <row r="143">
      <c r="A143" s="6" t="n"/>
      <c r="B143" s="113">
        <f>IF($C143="","",IFERROR(INDEX(MUSTERILER!$B$7:$B$106,MATCH($C143,MUSTERILER!$C$7:$C$106,0)),IFERROR(INDEX(MUSTERILER!$B$7:$B$106,MATCH($C143,MUSTERILER!$B$7:$B$106,0)),IFERROR(INDEX(MUSTERILER!$B$7:$B$106,MATCH($C143&amp;"*",MUSTERILER!$C$7:$C$106,0)),"TANIMSIZ MÜŞTERİ"))))</f>
        <v/>
      </c>
      <c r="C143" s="109" t="n"/>
      <c r="D143" s="225" t="n"/>
      <c r="E143" s="225" t="n"/>
      <c r="F143" s="108" t="n"/>
      <c r="G143" s="226" t="n"/>
      <c r="H143" s="108" t="n"/>
      <c r="I143" s="227">
        <f>IF(OR($C143="",$D143="",$G143="",$F143=""),0,$G143*IF($F143="Aylık",MAX(0,(YEAR(MIN(IF($E143="",TODAY(),$E143),TODAY()))-YEAR($D143))*12+MONTH(MIN(IF($E143="",TODAY(),$E143),TODAY()))-MONTH($D143)+IF(MIN(IF($E143="",TODAY(),$E143),TODAY())&gt;=EOMONTH(MIN(IF($E143="",TODAY(),$E143),TODAY()),0),1,0)),MAX(0,INT((MIN(IF($E143="",TODAY(),$E143),TODAY())-($D143+MOD(SISTEM!$F$8-WEEKDAY($D143,2),7)))/7)+1)))</f>
        <v/>
      </c>
      <c r="J143" s="227">
        <f>IF(OR($C143="",$D143="",$G143="",$F143=""),0,$G143*IF($F143="Aylık",MAX(0,(YEAR(MIN(IF($E143="",TODAY()-8,$E143),TODAY()-8))-YEAR($D143))*12+MONTH(MIN(IF($E143="",TODAY()-8,$E143),TODAY()-8))-MONTH($D143)+IF(MIN(IF($E143="",TODAY()-8,$E143),TODAY()-8)&gt;=EOMONTH(MIN(IF($E143="",TODAY()-8,$E143),TODAY()-8),0),1,0)),MAX(0,INT((MIN(IF($E143="",TODAY()-8,$E143),TODAY()-8)-($D143+MOD(SISTEM!$F$8-WEEKDAY($D143,2),7)))/7)+1)))</f>
        <v/>
      </c>
      <c r="K143" s="227">
        <f>IF(OR($C143="",$D143="",$G143="",$F143=""),0,$G143*IF($F143="Aylık",MAX(0,(YEAR(MIN(IF($E143="",TODAY()-15,$E143),TODAY()-15))-YEAR($D143))*12+MONTH(MIN(IF($E143="",TODAY()-15,$E143),TODAY()-15))-MONTH($D143)+IF(MIN(IF($E143="",TODAY()-15,$E143),TODAY()-15)&gt;=EOMONTH(MIN(IF($E143="",TODAY()-15,$E143),TODAY()-15),0),1,0)),MAX(0,INT((MIN(IF($E143="",TODAY()-15,$E143),TODAY()-15)-($D143+MOD(SISTEM!$F$8-WEEKDAY($D143,2),7)))/7)+1)))</f>
        <v/>
      </c>
      <c r="L143" s="227">
        <f>IF(OR($C143="",$D143="",$G143="",$F143=""),0,$G143*IF($F143="Aylık",MAX(0,(YEAR(MIN(IF($E143="",TODAY()-29,$E143),TODAY()-29))-YEAR($D143))*12+MONTH(MIN(IF($E143="",TODAY()-29,$E143),TODAY()-29))-MONTH($D143)+IF(MIN(IF($E143="",TODAY()-29,$E143),TODAY()-29)&gt;=EOMONTH(MIN(IF($E143="",TODAY()-29,$E143),TODAY()-29),0),1,0)),MAX(0,INT((MIN(IF($E143="",TODAY()-29,$E143),TODAY()-29)-($D143+MOD(SISTEM!$F$8-WEEKDAY($D143,2),7)))/7)+1)))</f>
        <v/>
      </c>
      <c r="M143" s="228">
        <f>IF($G143&gt;0,$I143/$G143,0)</f>
        <v/>
      </c>
      <c r="N143" s="113">
        <f>IF($C143="","",IF($B143="TANIMSIZ MÜŞTERİ","TANIMSIZ MÜŞTERİ",IF($F143="","MODEL SEÇİN",IF(OR($D143="",$G143&lt;=0),"EKSİK",IF(AND($E143&lt;&gt;"",$E143&lt;$D143),"TARİH HATASI",IF($H143="Pasif","KAPALI DÖNEM","UYGUN"))))))</f>
        <v/>
      </c>
      <c r="O143" s="229">
        <f>IF(OR($C143="",$D143="",$F143=""),"",IF($F143="Aylık",EOMONTH($D143,0),($D143+MOD(SISTEM!$F$8-WEEKDAY($D143,2),7))))</f>
        <v/>
      </c>
      <c r="P143" s="109" t="n"/>
      <c r="Q143" s="6" t="n"/>
      <c r="R143" s="6" t="n"/>
      <c r="S143" s="3">
        <f>IF($B143="","",$B143&amp;"|"&amp;COUNTIFS($B$7:$B143,$B143))</f>
        <v/>
      </c>
    </row>
    <row r="144">
      <c r="A144" s="6" t="n"/>
      <c r="B144" s="113">
        <f>IF($C144="","",IFERROR(INDEX(MUSTERILER!$B$7:$B$106,MATCH($C144,MUSTERILER!$C$7:$C$106,0)),IFERROR(INDEX(MUSTERILER!$B$7:$B$106,MATCH($C144,MUSTERILER!$B$7:$B$106,0)),IFERROR(INDEX(MUSTERILER!$B$7:$B$106,MATCH($C144&amp;"*",MUSTERILER!$C$7:$C$106,0)),"TANIMSIZ MÜŞTERİ"))))</f>
        <v/>
      </c>
      <c r="C144" s="109" t="n"/>
      <c r="D144" s="225" t="n"/>
      <c r="E144" s="225" t="n"/>
      <c r="F144" s="108" t="n"/>
      <c r="G144" s="226" t="n"/>
      <c r="H144" s="108" t="n"/>
      <c r="I144" s="227">
        <f>IF(OR($C144="",$D144="",$G144="",$F144=""),0,$G144*IF($F144="Aylık",MAX(0,(YEAR(MIN(IF($E144="",TODAY(),$E144),TODAY()))-YEAR($D144))*12+MONTH(MIN(IF($E144="",TODAY(),$E144),TODAY()))-MONTH($D144)+IF(MIN(IF($E144="",TODAY(),$E144),TODAY())&gt;=EOMONTH(MIN(IF($E144="",TODAY(),$E144),TODAY()),0),1,0)),MAX(0,INT((MIN(IF($E144="",TODAY(),$E144),TODAY())-($D144+MOD(SISTEM!$F$8-WEEKDAY($D144,2),7)))/7)+1)))</f>
        <v/>
      </c>
      <c r="J144" s="227">
        <f>IF(OR($C144="",$D144="",$G144="",$F144=""),0,$G144*IF($F144="Aylık",MAX(0,(YEAR(MIN(IF($E144="",TODAY()-8,$E144),TODAY()-8))-YEAR($D144))*12+MONTH(MIN(IF($E144="",TODAY()-8,$E144),TODAY()-8))-MONTH($D144)+IF(MIN(IF($E144="",TODAY()-8,$E144),TODAY()-8)&gt;=EOMONTH(MIN(IF($E144="",TODAY()-8,$E144),TODAY()-8),0),1,0)),MAX(0,INT((MIN(IF($E144="",TODAY()-8,$E144),TODAY()-8)-($D144+MOD(SISTEM!$F$8-WEEKDAY($D144,2),7)))/7)+1)))</f>
        <v/>
      </c>
      <c r="K144" s="227">
        <f>IF(OR($C144="",$D144="",$G144="",$F144=""),0,$G144*IF($F144="Aylık",MAX(0,(YEAR(MIN(IF($E144="",TODAY()-15,$E144),TODAY()-15))-YEAR($D144))*12+MONTH(MIN(IF($E144="",TODAY()-15,$E144),TODAY()-15))-MONTH($D144)+IF(MIN(IF($E144="",TODAY()-15,$E144),TODAY()-15)&gt;=EOMONTH(MIN(IF($E144="",TODAY()-15,$E144),TODAY()-15),0),1,0)),MAX(0,INT((MIN(IF($E144="",TODAY()-15,$E144),TODAY()-15)-($D144+MOD(SISTEM!$F$8-WEEKDAY($D144,2),7)))/7)+1)))</f>
        <v/>
      </c>
      <c r="L144" s="227">
        <f>IF(OR($C144="",$D144="",$G144="",$F144=""),0,$G144*IF($F144="Aylık",MAX(0,(YEAR(MIN(IF($E144="",TODAY()-29,$E144),TODAY()-29))-YEAR($D144))*12+MONTH(MIN(IF($E144="",TODAY()-29,$E144),TODAY()-29))-MONTH($D144)+IF(MIN(IF($E144="",TODAY()-29,$E144),TODAY()-29)&gt;=EOMONTH(MIN(IF($E144="",TODAY()-29,$E144),TODAY()-29),0),1,0)),MAX(0,INT((MIN(IF($E144="",TODAY()-29,$E144),TODAY()-29)-($D144+MOD(SISTEM!$F$8-WEEKDAY($D144,2),7)))/7)+1)))</f>
        <v/>
      </c>
      <c r="M144" s="228">
        <f>IF($G144&gt;0,$I144/$G144,0)</f>
        <v/>
      </c>
      <c r="N144" s="113">
        <f>IF($C144="","",IF($B144="TANIMSIZ MÜŞTERİ","TANIMSIZ MÜŞTERİ",IF($F144="","MODEL SEÇİN",IF(OR($D144="",$G144&lt;=0),"EKSİK",IF(AND($E144&lt;&gt;"",$E144&lt;$D144),"TARİH HATASI",IF($H144="Pasif","KAPALI DÖNEM","UYGUN"))))))</f>
        <v/>
      </c>
      <c r="O144" s="229">
        <f>IF(OR($C144="",$D144="",$F144=""),"",IF($F144="Aylık",EOMONTH($D144,0),($D144+MOD(SISTEM!$F$8-WEEKDAY($D144,2),7))))</f>
        <v/>
      </c>
      <c r="P144" s="109" t="n"/>
      <c r="Q144" s="6" t="n"/>
      <c r="R144" s="6" t="n"/>
      <c r="S144" s="3">
        <f>IF($B144="","",$B144&amp;"|"&amp;COUNTIFS($B$7:$B144,$B144))</f>
        <v/>
      </c>
    </row>
    <row r="145">
      <c r="A145" s="6" t="n"/>
      <c r="B145" s="113">
        <f>IF($C145="","",IFERROR(INDEX(MUSTERILER!$B$7:$B$106,MATCH($C145,MUSTERILER!$C$7:$C$106,0)),IFERROR(INDEX(MUSTERILER!$B$7:$B$106,MATCH($C145,MUSTERILER!$B$7:$B$106,0)),IFERROR(INDEX(MUSTERILER!$B$7:$B$106,MATCH($C145&amp;"*",MUSTERILER!$C$7:$C$106,0)),"TANIMSIZ MÜŞTERİ"))))</f>
        <v/>
      </c>
      <c r="C145" s="109" t="n"/>
      <c r="D145" s="225" t="n"/>
      <c r="E145" s="225" t="n"/>
      <c r="F145" s="108" t="n"/>
      <c r="G145" s="226" t="n"/>
      <c r="H145" s="108" t="n"/>
      <c r="I145" s="227">
        <f>IF(OR($C145="",$D145="",$G145="",$F145=""),0,$G145*IF($F145="Aylık",MAX(0,(YEAR(MIN(IF($E145="",TODAY(),$E145),TODAY()))-YEAR($D145))*12+MONTH(MIN(IF($E145="",TODAY(),$E145),TODAY()))-MONTH($D145)+IF(MIN(IF($E145="",TODAY(),$E145),TODAY())&gt;=EOMONTH(MIN(IF($E145="",TODAY(),$E145),TODAY()),0),1,0)),MAX(0,INT((MIN(IF($E145="",TODAY(),$E145),TODAY())-($D145+MOD(SISTEM!$F$8-WEEKDAY($D145,2),7)))/7)+1)))</f>
        <v/>
      </c>
      <c r="J145" s="227">
        <f>IF(OR($C145="",$D145="",$G145="",$F145=""),0,$G145*IF($F145="Aylık",MAX(0,(YEAR(MIN(IF($E145="",TODAY()-8,$E145),TODAY()-8))-YEAR($D145))*12+MONTH(MIN(IF($E145="",TODAY()-8,$E145),TODAY()-8))-MONTH($D145)+IF(MIN(IF($E145="",TODAY()-8,$E145),TODAY()-8)&gt;=EOMONTH(MIN(IF($E145="",TODAY()-8,$E145),TODAY()-8),0),1,0)),MAX(0,INT((MIN(IF($E145="",TODAY()-8,$E145),TODAY()-8)-($D145+MOD(SISTEM!$F$8-WEEKDAY($D145,2),7)))/7)+1)))</f>
        <v/>
      </c>
      <c r="K145" s="227">
        <f>IF(OR($C145="",$D145="",$G145="",$F145=""),0,$G145*IF($F145="Aylık",MAX(0,(YEAR(MIN(IF($E145="",TODAY()-15,$E145),TODAY()-15))-YEAR($D145))*12+MONTH(MIN(IF($E145="",TODAY()-15,$E145),TODAY()-15))-MONTH($D145)+IF(MIN(IF($E145="",TODAY()-15,$E145),TODAY()-15)&gt;=EOMONTH(MIN(IF($E145="",TODAY()-15,$E145),TODAY()-15),0),1,0)),MAX(0,INT((MIN(IF($E145="",TODAY()-15,$E145),TODAY()-15)-($D145+MOD(SISTEM!$F$8-WEEKDAY($D145,2),7)))/7)+1)))</f>
        <v/>
      </c>
      <c r="L145" s="227">
        <f>IF(OR($C145="",$D145="",$G145="",$F145=""),0,$G145*IF($F145="Aylık",MAX(0,(YEAR(MIN(IF($E145="",TODAY()-29,$E145),TODAY()-29))-YEAR($D145))*12+MONTH(MIN(IF($E145="",TODAY()-29,$E145),TODAY()-29))-MONTH($D145)+IF(MIN(IF($E145="",TODAY()-29,$E145),TODAY()-29)&gt;=EOMONTH(MIN(IF($E145="",TODAY()-29,$E145),TODAY()-29),0),1,0)),MAX(0,INT((MIN(IF($E145="",TODAY()-29,$E145),TODAY()-29)-($D145+MOD(SISTEM!$F$8-WEEKDAY($D145,2),7)))/7)+1)))</f>
        <v/>
      </c>
      <c r="M145" s="228">
        <f>IF($G145&gt;0,$I145/$G145,0)</f>
        <v/>
      </c>
      <c r="N145" s="113">
        <f>IF($C145="","",IF($B145="TANIMSIZ MÜŞTERİ","TANIMSIZ MÜŞTERİ",IF($F145="","MODEL SEÇİN",IF(OR($D145="",$G145&lt;=0),"EKSİK",IF(AND($E145&lt;&gt;"",$E145&lt;$D145),"TARİH HATASI",IF($H145="Pasif","KAPALI DÖNEM","UYGUN"))))))</f>
        <v/>
      </c>
      <c r="O145" s="229">
        <f>IF(OR($C145="",$D145="",$F145=""),"",IF($F145="Aylık",EOMONTH($D145,0),($D145+MOD(SISTEM!$F$8-WEEKDAY($D145,2),7))))</f>
        <v/>
      </c>
      <c r="P145" s="109" t="n"/>
      <c r="Q145" s="6" t="n"/>
      <c r="R145" s="6" t="n"/>
      <c r="S145" s="3">
        <f>IF($B145="","",$B145&amp;"|"&amp;COUNTIFS($B$7:$B145,$B145))</f>
        <v/>
      </c>
    </row>
    <row r="146">
      <c r="A146" s="6" t="n"/>
      <c r="B146" s="113">
        <f>IF($C146="","",IFERROR(INDEX(MUSTERILER!$B$7:$B$106,MATCH($C146,MUSTERILER!$C$7:$C$106,0)),IFERROR(INDEX(MUSTERILER!$B$7:$B$106,MATCH($C146,MUSTERILER!$B$7:$B$106,0)),IFERROR(INDEX(MUSTERILER!$B$7:$B$106,MATCH($C146&amp;"*",MUSTERILER!$C$7:$C$106,0)),"TANIMSIZ MÜŞTERİ"))))</f>
        <v/>
      </c>
      <c r="C146" s="109" t="n"/>
      <c r="D146" s="225" t="n"/>
      <c r="E146" s="225" t="n"/>
      <c r="F146" s="108" t="n"/>
      <c r="G146" s="226" t="n"/>
      <c r="H146" s="108" t="n"/>
      <c r="I146" s="227">
        <f>IF(OR($C146="",$D146="",$G146="",$F146=""),0,$G146*IF($F146="Aylık",MAX(0,(YEAR(MIN(IF($E146="",TODAY(),$E146),TODAY()))-YEAR($D146))*12+MONTH(MIN(IF($E146="",TODAY(),$E146),TODAY()))-MONTH($D146)+IF(MIN(IF($E146="",TODAY(),$E146),TODAY())&gt;=EOMONTH(MIN(IF($E146="",TODAY(),$E146),TODAY()),0),1,0)),MAX(0,INT((MIN(IF($E146="",TODAY(),$E146),TODAY())-($D146+MOD(SISTEM!$F$8-WEEKDAY($D146,2),7)))/7)+1)))</f>
        <v/>
      </c>
      <c r="J146" s="227">
        <f>IF(OR($C146="",$D146="",$G146="",$F146=""),0,$G146*IF($F146="Aylık",MAX(0,(YEAR(MIN(IF($E146="",TODAY()-8,$E146),TODAY()-8))-YEAR($D146))*12+MONTH(MIN(IF($E146="",TODAY()-8,$E146),TODAY()-8))-MONTH($D146)+IF(MIN(IF($E146="",TODAY()-8,$E146),TODAY()-8)&gt;=EOMONTH(MIN(IF($E146="",TODAY()-8,$E146),TODAY()-8),0),1,0)),MAX(0,INT((MIN(IF($E146="",TODAY()-8,$E146),TODAY()-8)-($D146+MOD(SISTEM!$F$8-WEEKDAY($D146,2),7)))/7)+1)))</f>
        <v/>
      </c>
      <c r="K146" s="227">
        <f>IF(OR($C146="",$D146="",$G146="",$F146=""),0,$G146*IF($F146="Aylık",MAX(0,(YEAR(MIN(IF($E146="",TODAY()-15,$E146),TODAY()-15))-YEAR($D146))*12+MONTH(MIN(IF($E146="",TODAY()-15,$E146),TODAY()-15))-MONTH($D146)+IF(MIN(IF($E146="",TODAY()-15,$E146),TODAY()-15)&gt;=EOMONTH(MIN(IF($E146="",TODAY()-15,$E146),TODAY()-15),0),1,0)),MAX(0,INT((MIN(IF($E146="",TODAY()-15,$E146),TODAY()-15)-($D146+MOD(SISTEM!$F$8-WEEKDAY($D146,2),7)))/7)+1)))</f>
        <v/>
      </c>
      <c r="L146" s="227">
        <f>IF(OR($C146="",$D146="",$G146="",$F146=""),0,$G146*IF($F146="Aylık",MAX(0,(YEAR(MIN(IF($E146="",TODAY()-29,$E146),TODAY()-29))-YEAR($D146))*12+MONTH(MIN(IF($E146="",TODAY()-29,$E146),TODAY()-29))-MONTH($D146)+IF(MIN(IF($E146="",TODAY()-29,$E146),TODAY()-29)&gt;=EOMONTH(MIN(IF($E146="",TODAY()-29,$E146),TODAY()-29),0),1,0)),MAX(0,INT((MIN(IF($E146="",TODAY()-29,$E146),TODAY()-29)-($D146+MOD(SISTEM!$F$8-WEEKDAY($D146,2),7)))/7)+1)))</f>
        <v/>
      </c>
      <c r="M146" s="228">
        <f>IF($G146&gt;0,$I146/$G146,0)</f>
        <v/>
      </c>
      <c r="N146" s="113">
        <f>IF($C146="","",IF($B146="TANIMSIZ MÜŞTERİ","TANIMSIZ MÜŞTERİ",IF($F146="","MODEL SEÇİN",IF(OR($D146="",$G146&lt;=0),"EKSİK",IF(AND($E146&lt;&gt;"",$E146&lt;$D146),"TARİH HATASI",IF($H146="Pasif","KAPALI DÖNEM","UYGUN"))))))</f>
        <v/>
      </c>
      <c r="O146" s="229">
        <f>IF(OR($C146="",$D146="",$F146=""),"",IF($F146="Aylık",EOMONTH($D146,0),($D146+MOD(SISTEM!$F$8-WEEKDAY($D146,2),7))))</f>
        <v/>
      </c>
      <c r="P146" s="109" t="n"/>
      <c r="Q146" s="6" t="n"/>
      <c r="R146" s="6" t="n"/>
      <c r="S146" s="3">
        <f>IF($B146="","",$B146&amp;"|"&amp;COUNTIFS($B$7:$B146,$B146))</f>
        <v/>
      </c>
    </row>
    <row r="147">
      <c r="A147" s="6" t="n"/>
      <c r="B147" s="113">
        <f>IF($C147="","",IFERROR(INDEX(MUSTERILER!$B$7:$B$106,MATCH($C147,MUSTERILER!$C$7:$C$106,0)),IFERROR(INDEX(MUSTERILER!$B$7:$B$106,MATCH($C147,MUSTERILER!$B$7:$B$106,0)),IFERROR(INDEX(MUSTERILER!$B$7:$B$106,MATCH($C147&amp;"*",MUSTERILER!$C$7:$C$106,0)),"TANIMSIZ MÜŞTERİ"))))</f>
        <v/>
      </c>
      <c r="C147" s="109" t="n"/>
      <c r="D147" s="225" t="n"/>
      <c r="E147" s="225" t="n"/>
      <c r="F147" s="108" t="n"/>
      <c r="G147" s="226" t="n"/>
      <c r="H147" s="108" t="n"/>
      <c r="I147" s="227">
        <f>IF(OR($C147="",$D147="",$G147="",$F147=""),0,$G147*IF($F147="Aylık",MAX(0,(YEAR(MIN(IF($E147="",TODAY(),$E147),TODAY()))-YEAR($D147))*12+MONTH(MIN(IF($E147="",TODAY(),$E147),TODAY()))-MONTH($D147)+IF(MIN(IF($E147="",TODAY(),$E147),TODAY())&gt;=EOMONTH(MIN(IF($E147="",TODAY(),$E147),TODAY()),0),1,0)),MAX(0,INT((MIN(IF($E147="",TODAY(),$E147),TODAY())-($D147+MOD(SISTEM!$F$8-WEEKDAY($D147,2),7)))/7)+1)))</f>
        <v/>
      </c>
      <c r="J147" s="227">
        <f>IF(OR($C147="",$D147="",$G147="",$F147=""),0,$G147*IF($F147="Aylık",MAX(0,(YEAR(MIN(IF($E147="",TODAY()-8,$E147),TODAY()-8))-YEAR($D147))*12+MONTH(MIN(IF($E147="",TODAY()-8,$E147),TODAY()-8))-MONTH($D147)+IF(MIN(IF($E147="",TODAY()-8,$E147),TODAY()-8)&gt;=EOMONTH(MIN(IF($E147="",TODAY()-8,$E147),TODAY()-8),0),1,0)),MAX(0,INT((MIN(IF($E147="",TODAY()-8,$E147),TODAY()-8)-($D147+MOD(SISTEM!$F$8-WEEKDAY($D147,2),7)))/7)+1)))</f>
        <v/>
      </c>
      <c r="K147" s="227">
        <f>IF(OR($C147="",$D147="",$G147="",$F147=""),0,$G147*IF($F147="Aylık",MAX(0,(YEAR(MIN(IF($E147="",TODAY()-15,$E147),TODAY()-15))-YEAR($D147))*12+MONTH(MIN(IF($E147="",TODAY()-15,$E147),TODAY()-15))-MONTH($D147)+IF(MIN(IF($E147="",TODAY()-15,$E147),TODAY()-15)&gt;=EOMONTH(MIN(IF($E147="",TODAY()-15,$E147),TODAY()-15),0),1,0)),MAX(0,INT((MIN(IF($E147="",TODAY()-15,$E147),TODAY()-15)-($D147+MOD(SISTEM!$F$8-WEEKDAY($D147,2),7)))/7)+1)))</f>
        <v/>
      </c>
      <c r="L147" s="227">
        <f>IF(OR($C147="",$D147="",$G147="",$F147=""),0,$G147*IF($F147="Aylık",MAX(0,(YEAR(MIN(IF($E147="",TODAY()-29,$E147),TODAY()-29))-YEAR($D147))*12+MONTH(MIN(IF($E147="",TODAY()-29,$E147),TODAY()-29))-MONTH($D147)+IF(MIN(IF($E147="",TODAY()-29,$E147),TODAY()-29)&gt;=EOMONTH(MIN(IF($E147="",TODAY()-29,$E147),TODAY()-29),0),1,0)),MAX(0,INT((MIN(IF($E147="",TODAY()-29,$E147),TODAY()-29)-($D147+MOD(SISTEM!$F$8-WEEKDAY($D147,2),7)))/7)+1)))</f>
        <v/>
      </c>
      <c r="M147" s="228">
        <f>IF($G147&gt;0,$I147/$G147,0)</f>
        <v/>
      </c>
      <c r="N147" s="113">
        <f>IF($C147="","",IF($B147="TANIMSIZ MÜŞTERİ","TANIMSIZ MÜŞTERİ",IF($F147="","MODEL SEÇİN",IF(OR($D147="",$G147&lt;=0),"EKSİK",IF(AND($E147&lt;&gt;"",$E147&lt;$D147),"TARİH HATASI",IF($H147="Pasif","KAPALI DÖNEM","UYGUN"))))))</f>
        <v/>
      </c>
      <c r="O147" s="229">
        <f>IF(OR($C147="",$D147="",$F147=""),"",IF($F147="Aylık",EOMONTH($D147,0),($D147+MOD(SISTEM!$F$8-WEEKDAY($D147,2),7))))</f>
        <v/>
      </c>
      <c r="P147" s="109" t="n"/>
      <c r="Q147" s="6" t="n"/>
      <c r="R147" s="6" t="n"/>
      <c r="S147" s="3">
        <f>IF($B147="","",$B147&amp;"|"&amp;COUNTIFS($B$7:$B147,$B147))</f>
        <v/>
      </c>
    </row>
    <row r="148">
      <c r="A148" s="6" t="n"/>
      <c r="B148" s="113">
        <f>IF($C148="","",IFERROR(INDEX(MUSTERILER!$B$7:$B$106,MATCH($C148,MUSTERILER!$C$7:$C$106,0)),IFERROR(INDEX(MUSTERILER!$B$7:$B$106,MATCH($C148,MUSTERILER!$B$7:$B$106,0)),IFERROR(INDEX(MUSTERILER!$B$7:$B$106,MATCH($C148&amp;"*",MUSTERILER!$C$7:$C$106,0)),"TANIMSIZ MÜŞTERİ"))))</f>
        <v/>
      </c>
      <c r="C148" s="109" t="n"/>
      <c r="D148" s="225" t="n"/>
      <c r="E148" s="225" t="n"/>
      <c r="F148" s="108" t="n"/>
      <c r="G148" s="226" t="n"/>
      <c r="H148" s="108" t="n"/>
      <c r="I148" s="227">
        <f>IF(OR($C148="",$D148="",$G148="",$F148=""),0,$G148*IF($F148="Aylık",MAX(0,(YEAR(MIN(IF($E148="",TODAY(),$E148),TODAY()))-YEAR($D148))*12+MONTH(MIN(IF($E148="",TODAY(),$E148),TODAY()))-MONTH($D148)+IF(MIN(IF($E148="",TODAY(),$E148),TODAY())&gt;=EOMONTH(MIN(IF($E148="",TODAY(),$E148),TODAY()),0),1,0)),MAX(0,INT((MIN(IF($E148="",TODAY(),$E148),TODAY())-($D148+MOD(SISTEM!$F$8-WEEKDAY($D148,2),7)))/7)+1)))</f>
        <v/>
      </c>
      <c r="J148" s="227">
        <f>IF(OR($C148="",$D148="",$G148="",$F148=""),0,$G148*IF($F148="Aylık",MAX(0,(YEAR(MIN(IF($E148="",TODAY()-8,$E148),TODAY()-8))-YEAR($D148))*12+MONTH(MIN(IF($E148="",TODAY()-8,$E148),TODAY()-8))-MONTH($D148)+IF(MIN(IF($E148="",TODAY()-8,$E148),TODAY()-8)&gt;=EOMONTH(MIN(IF($E148="",TODAY()-8,$E148),TODAY()-8),0),1,0)),MAX(0,INT((MIN(IF($E148="",TODAY()-8,$E148),TODAY()-8)-($D148+MOD(SISTEM!$F$8-WEEKDAY($D148,2),7)))/7)+1)))</f>
        <v/>
      </c>
      <c r="K148" s="227">
        <f>IF(OR($C148="",$D148="",$G148="",$F148=""),0,$G148*IF($F148="Aylık",MAX(0,(YEAR(MIN(IF($E148="",TODAY()-15,$E148),TODAY()-15))-YEAR($D148))*12+MONTH(MIN(IF($E148="",TODAY()-15,$E148),TODAY()-15))-MONTH($D148)+IF(MIN(IF($E148="",TODAY()-15,$E148),TODAY()-15)&gt;=EOMONTH(MIN(IF($E148="",TODAY()-15,$E148),TODAY()-15),0),1,0)),MAX(0,INT((MIN(IF($E148="",TODAY()-15,$E148),TODAY()-15)-($D148+MOD(SISTEM!$F$8-WEEKDAY($D148,2),7)))/7)+1)))</f>
        <v/>
      </c>
      <c r="L148" s="227">
        <f>IF(OR($C148="",$D148="",$G148="",$F148=""),0,$G148*IF($F148="Aylık",MAX(0,(YEAR(MIN(IF($E148="",TODAY()-29,$E148),TODAY()-29))-YEAR($D148))*12+MONTH(MIN(IF($E148="",TODAY()-29,$E148),TODAY()-29))-MONTH($D148)+IF(MIN(IF($E148="",TODAY()-29,$E148),TODAY()-29)&gt;=EOMONTH(MIN(IF($E148="",TODAY()-29,$E148),TODAY()-29),0),1,0)),MAX(0,INT((MIN(IF($E148="",TODAY()-29,$E148),TODAY()-29)-($D148+MOD(SISTEM!$F$8-WEEKDAY($D148,2),7)))/7)+1)))</f>
        <v/>
      </c>
      <c r="M148" s="228">
        <f>IF($G148&gt;0,$I148/$G148,0)</f>
        <v/>
      </c>
      <c r="N148" s="113">
        <f>IF($C148="","",IF($B148="TANIMSIZ MÜŞTERİ","TANIMSIZ MÜŞTERİ",IF($F148="","MODEL SEÇİN",IF(OR($D148="",$G148&lt;=0),"EKSİK",IF(AND($E148&lt;&gt;"",$E148&lt;$D148),"TARİH HATASI",IF($H148="Pasif","KAPALI DÖNEM","UYGUN"))))))</f>
        <v/>
      </c>
      <c r="O148" s="229">
        <f>IF(OR($C148="",$D148="",$F148=""),"",IF($F148="Aylık",EOMONTH($D148,0),($D148+MOD(SISTEM!$F$8-WEEKDAY($D148,2),7))))</f>
        <v/>
      </c>
      <c r="P148" s="109" t="n"/>
      <c r="Q148" s="6" t="n"/>
      <c r="R148" s="6" t="n"/>
      <c r="S148" s="3">
        <f>IF($B148="","",$B148&amp;"|"&amp;COUNTIFS($B$7:$B148,$B148))</f>
        <v/>
      </c>
    </row>
    <row r="149">
      <c r="A149" s="6" t="n"/>
      <c r="B149" s="113">
        <f>IF($C149="","",IFERROR(INDEX(MUSTERILER!$B$7:$B$106,MATCH($C149,MUSTERILER!$C$7:$C$106,0)),IFERROR(INDEX(MUSTERILER!$B$7:$B$106,MATCH($C149,MUSTERILER!$B$7:$B$106,0)),IFERROR(INDEX(MUSTERILER!$B$7:$B$106,MATCH($C149&amp;"*",MUSTERILER!$C$7:$C$106,0)),"TANIMSIZ MÜŞTERİ"))))</f>
        <v/>
      </c>
      <c r="C149" s="109" t="n"/>
      <c r="D149" s="225" t="n"/>
      <c r="E149" s="225" t="n"/>
      <c r="F149" s="108" t="n"/>
      <c r="G149" s="226" t="n"/>
      <c r="H149" s="108" t="n"/>
      <c r="I149" s="227">
        <f>IF(OR($C149="",$D149="",$G149="",$F149=""),0,$G149*IF($F149="Aylık",MAX(0,(YEAR(MIN(IF($E149="",TODAY(),$E149),TODAY()))-YEAR($D149))*12+MONTH(MIN(IF($E149="",TODAY(),$E149),TODAY()))-MONTH($D149)+IF(MIN(IF($E149="",TODAY(),$E149),TODAY())&gt;=EOMONTH(MIN(IF($E149="",TODAY(),$E149),TODAY()),0),1,0)),MAX(0,INT((MIN(IF($E149="",TODAY(),$E149),TODAY())-($D149+MOD(SISTEM!$F$8-WEEKDAY($D149,2),7)))/7)+1)))</f>
        <v/>
      </c>
      <c r="J149" s="227">
        <f>IF(OR($C149="",$D149="",$G149="",$F149=""),0,$G149*IF($F149="Aylık",MAX(0,(YEAR(MIN(IF($E149="",TODAY()-8,$E149),TODAY()-8))-YEAR($D149))*12+MONTH(MIN(IF($E149="",TODAY()-8,$E149),TODAY()-8))-MONTH($D149)+IF(MIN(IF($E149="",TODAY()-8,$E149),TODAY()-8)&gt;=EOMONTH(MIN(IF($E149="",TODAY()-8,$E149),TODAY()-8),0),1,0)),MAX(0,INT((MIN(IF($E149="",TODAY()-8,$E149),TODAY()-8)-($D149+MOD(SISTEM!$F$8-WEEKDAY($D149,2),7)))/7)+1)))</f>
        <v/>
      </c>
      <c r="K149" s="227">
        <f>IF(OR($C149="",$D149="",$G149="",$F149=""),0,$G149*IF($F149="Aylık",MAX(0,(YEAR(MIN(IF($E149="",TODAY()-15,$E149),TODAY()-15))-YEAR($D149))*12+MONTH(MIN(IF($E149="",TODAY()-15,$E149),TODAY()-15))-MONTH($D149)+IF(MIN(IF($E149="",TODAY()-15,$E149),TODAY()-15)&gt;=EOMONTH(MIN(IF($E149="",TODAY()-15,$E149),TODAY()-15),0),1,0)),MAX(0,INT((MIN(IF($E149="",TODAY()-15,$E149),TODAY()-15)-($D149+MOD(SISTEM!$F$8-WEEKDAY($D149,2),7)))/7)+1)))</f>
        <v/>
      </c>
      <c r="L149" s="227">
        <f>IF(OR($C149="",$D149="",$G149="",$F149=""),0,$G149*IF($F149="Aylık",MAX(0,(YEAR(MIN(IF($E149="",TODAY()-29,$E149),TODAY()-29))-YEAR($D149))*12+MONTH(MIN(IF($E149="",TODAY()-29,$E149),TODAY()-29))-MONTH($D149)+IF(MIN(IF($E149="",TODAY()-29,$E149),TODAY()-29)&gt;=EOMONTH(MIN(IF($E149="",TODAY()-29,$E149),TODAY()-29),0),1,0)),MAX(0,INT((MIN(IF($E149="",TODAY()-29,$E149),TODAY()-29)-($D149+MOD(SISTEM!$F$8-WEEKDAY($D149,2),7)))/7)+1)))</f>
        <v/>
      </c>
      <c r="M149" s="228">
        <f>IF($G149&gt;0,$I149/$G149,0)</f>
        <v/>
      </c>
      <c r="N149" s="113">
        <f>IF($C149="","",IF($B149="TANIMSIZ MÜŞTERİ","TANIMSIZ MÜŞTERİ",IF($F149="","MODEL SEÇİN",IF(OR($D149="",$G149&lt;=0),"EKSİK",IF(AND($E149&lt;&gt;"",$E149&lt;$D149),"TARİH HATASI",IF($H149="Pasif","KAPALI DÖNEM","UYGUN"))))))</f>
        <v/>
      </c>
      <c r="O149" s="229">
        <f>IF(OR($C149="",$D149="",$F149=""),"",IF($F149="Aylık",EOMONTH($D149,0),($D149+MOD(SISTEM!$F$8-WEEKDAY($D149,2),7))))</f>
        <v/>
      </c>
      <c r="P149" s="109" t="n"/>
      <c r="Q149" s="6" t="n"/>
      <c r="R149" s="6" t="n"/>
      <c r="S149" s="3">
        <f>IF($B149="","",$B149&amp;"|"&amp;COUNTIFS($B$7:$B149,$B149))</f>
        <v/>
      </c>
    </row>
    <row r="150">
      <c r="A150" s="6" t="n"/>
      <c r="B150" s="113">
        <f>IF($C150="","",IFERROR(INDEX(MUSTERILER!$B$7:$B$106,MATCH($C150,MUSTERILER!$C$7:$C$106,0)),IFERROR(INDEX(MUSTERILER!$B$7:$B$106,MATCH($C150,MUSTERILER!$B$7:$B$106,0)),IFERROR(INDEX(MUSTERILER!$B$7:$B$106,MATCH($C150&amp;"*",MUSTERILER!$C$7:$C$106,0)),"TANIMSIZ MÜŞTERİ"))))</f>
        <v/>
      </c>
      <c r="C150" s="109" t="n"/>
      <c r="D150" s="225" t="n"/>
      <c r="E150" s="225" t="n"/>
      <c r="F150" s="108" t="n"/>
      <c r="G150" s="226" t="n"/>
      <c r="H150" s="108" t="n"/>
      <c r="I150" s="227">
        <f>IF(OR($C150="",$D150="",$G150="",$F150=""),0,$G150*IF($F150="Aylık",MAX(0,(YEAR(MIN(IF($E150="",TODAY(),$E150),TODAY()))-YEAR($D150))*12+MONTH(MIN(IF($E150="",TODAY(),$E150),TODAY()))-MONTH($D150)+IF(MIN(IF($E150="",TODAY(),$E150),TODAY())&gt;=EOMONTH(MIN(IF($E150="",TODAY(),$E150),TODAY()),0),1,0)),MAX(0,INT((MIN(IF($E150="",TODAY(),$E150),TODAY())-($D150+MOD(SISTEM!$F$8-WEEKDAY($D150,2),7)))/7)+1)))</f>
        <v/>
      </c>
      <c r="J150" s="227">
        <f>IF(OR($C150="",$D150="",$G150="",$F150=""),0,$G150*IF($F150="Aylık",MAX(0,(YEAR(MIN(IF($E150="",TODAY()-8,$E150),TODAY()-8))-YEAR($D150))*12+MONTH(MIN(IF($E150="",TODAY()-8,$E150),TODAY()-8))-MONTH($D150)+IF(MIN(IF($E150="",TODAY()-8,$E150),TODAY()-8)&gt;=EOMONTH(MIN(IF($E150="",TODAY()-8,$E150),TODAY()-8),0),1,0)),MAX(0,INT((MIN(IF($E150="",TODAY()-8,$E150),TODAY()-8)-($D150+MOD(SISTEM!$F$8-WEEKDAY($D150,2),7)))/7)+1)))</f>
        <v/>
      </c>
      <c r="K150" s="227">
        <f>IF(OR($C150="",$D150="",$G150="",$F150=""),0,$G150*IF($F150="Aylık",MAX(0,(YEAR(MIN(IF($E150="",TODAY()-15,$E150),TODAY()-15))-YEAR($D150))*12+MONTH(MIN(IF($E150="",TODAY()-15,$E150),TODAY()-15))-MONTH($D150)+IF(MIN(IF($E150="",TODAY()-15,$E150),TODAY()-15)&gt;=EOMONTH(MIN(IF($E150="",TODAY()-15,$E150),TODAY()-15),0),1,0)),MAX(0,INT((MIN(IF($E150="",TODAY()-15,$E150),TODAY()-15)-($D150+MOD(SISTEM!$F$8-WEEKDAY($D150,2),7)))/7)+1)))</f>
        <v/>
      </c>
      <c r="L150" s="227">
        <f>IF(OR($C150="",$D150="",$G150="",$F150=""),0,$G150*IF($F150="Aylık",MAX(0,(YEAR(MIN(IF($E150="",TODAY()-29,$E150),TODAY()-29))-YEAR($D150))*12+MONTH(MIN(IF($E150="",TODAY()-29,$E150),TODAY()-29))-MONTH($D150)+IF(MIN(IF($E150="",TODAY()-29,$E150),TODAY()-29)&gt;=EOMONTH(MIN(IF($E150="",TODAY()-29,$E150),TODAY()-29),0),1,0)),MAX(0,INT((MIN(IF($E150="",TODAY()-29,$E150),TODAY()-29)-($D150+MOD(SISTEM!$F$8-WEEKDAY($D150,2),7)))/7)+1)))</f>
        <v/>
      </c>
      <c r="M150" s="228">
        <f>IF($G150&gt;0,$I150/$G150,0)</f>
        <v/>
      </c>
      <c r="N150" s="113">
        <f>IF($C150="","",IF($B150="TANIMSIZ MÜŞTERİ","TANIMSIZ MÜŞTERİ",IF($F150="","MODEL SEÇİN",IF(OR($D150="",$G150&lt;=0),"EKSİK",IF(AND($E150&lt;&gt;"",$E150&lt;$D150),"TARİH HATASI",IF($H150="Pasif","KAPALI DÖNEM","UYGUN"))))))</f>
        <v/>
      </c>
      <c r="O150" s="229">
        <f>IF(OR($C150="",$D150="",$F150=""),"",IF($F150="Aylık",EOMONTH($D150,0),($D150+MOD(SISTEM!$F$8-WEEKDAY($D150,2),7))))</f>
        <v/>
      </c>
      <c r="P150" s="109" t="n"/>
      <c r="Q150" s="6" t="n"/>
      <c r="R150" s="6" t="n"/>
      <c r="S150" s="3">
        <f>IF($B150="","",$B150&amp;"|"&amp;COUNTIFS($B$7:$B150,$B150))</f>
        <v/>
      </c>
    </row>
    <row r="151">
      <c r="A151" s="6" t="n"/>
      <c r="B151" s="113">
        <f>IF($C151="","",IFERROR(INDEX(MUSTERILER!$B$7:$B$106,MATCH($C151,MUSTERILER!$C$7:$C$106,0)),IFERROR(INDEX(MUSTERILER!$B$7:$B$106,MATCH($C151,MUSTERILER!$B$7:$B$106,0)),IFERROR(INDEX(MUSTERILER!$B$7:$B$106,MATCH($C151&amp;"*",MUSTERILER!$C$7:$C$106,0)),"TANIMSIZ MÜŞTERİ"))))</f>
        <v/>
      </c>
      <c r="C151" s="109" t="n"/>
      <c r="D151" s="225" t="n"/>
      <c r="E151" s="225" t="n"/>
      <c r="F151" s="108" t="n"/>
      <c r="G151" s="226" t="n"/>
      <c r="H151" s="108" t="n"/>
      <c r="I151" s="227">
        <f>IF(OR($C151="",$D151="",$G151="",$F151=""),0,$G151*IF($F151="Aylık",MAX(0,(YEAR(MIN(IF($E151="",TODAY(),$E151),TODAY()))-YEAR($D151))*12+MONTH(MIN(IF($E151="",TODAY(),$E151),TODAY()))-MONTH($D151)+IF(MIN(IF($E151="",TODAY(),$E151),TODAY())&gt;=EOMONTH(MIN(IF($E151="",TODAY(),$E151),TODAY()),0),1,0)),MAX(0,INT((MIN(IF($E151="",TODAY(),$E151),TODAY())-($D151+MOD(SISTEM!$F$8-WEEKDAY($D151,2),7)))/7)+1)))</f>
        <v/>
      </c>
      <c r="J151" s="227">
        <f>IF(OR($C151="",$D151="",$G151="",$F151=""),0,$G151*IF($F151="Aylık",MAX(0,(YEAR(MIN(IF($E151="",TODAY()-8,$E151),TODAY()-8))-YEAR($D151))*12+MONTH(MIN(IF($E151="",TODAY()-8,$E151),TODAY()-8))-MONTH($D151)+IF(MIN(IF($E151="",TODAY()-8,$E151),TODAY()-8)&gt;=EOMONTH(MIN(IF($E151="",TODAY()-8,$E151),TODAY()-8),0),1,0)),MAX(0,INT((MIN(IF($E151="",TODAY()-8,$E151),TODAY()-8)-($D151+MOD(SISTEM!$F$8-WEEKDAY($D151,2),7)))/7)+1)))</f>
        <v/>
      </c>
      <c r="K151" s="227">
        <f>IF(OR($C151="",$D151="",$G151="",$F151=""),0,$G151*IF($F151="Aylık",MAX(0,(YEAR(MIN(IF($E151="",TODAY()-15,$E151),TODAY()-15))-YEAR($D151))*12+MONTH(MIN(IF($E151="",TODAY()-15,$E151),TODAY()-15))-MONTH($D151)+IF(MIN(IF($E151="",TODAY()-15,$E151),TODAY()-15)&gt;=EOMONTH(MIN(IF($E151="",TODAY()-15,$E151),TODAY()-15),0),1,0)),MAX(0,INT((MIN(IF($E151="",TODAY()-15,$E151),TODAY()-15)-($D151+MOD(SISTEM!$F$8-WEEKDAY($D151,2),7)))/7)+1)))</f>
        <v/>
      </c>
      <c r="L151" s="227">
        <f>IF(OR($C151="",$D151="",$G151="",$F151=""),0,$G151*IF($F151="Aylık",MAX(0,(YEAR(MIN(IF($E151="",TODAY()-29,$E151),TODAY()-29))-YEAR($D151))*12+MONTH(MIN(IF($E151="",TODAY()-29,$E151),TODAY()-29))-MONTH($D151)+IF(MIN(IF($E151="",TODAY()-29,$E151),TODAY()-29)&gt;=EOMONTH(MIN(IF($E151="",TODAY()-29,$E151),TODAY()-29),0),1,0)),MAX(0,INT((MIN(IF($E151="",TODAY()-29,$E151),TODAY()-29)-($D151+MOD(SISTEM!$F$8-WEEKDAY($D151,2),7)))/7)+1)))</f>
        <v/>
      </c>
      <c r="M151" s="228">
        <f>IF($G151&gt;0,$I151/$G151,0)</f>
        <v/>
      </c>
      <c r="N151" s="113">
        <f>IF($C151="","",IF($B151="TANIMSIZ MÜŞTERİ","TANIMSIZ MÜŞTERİ",IF($F151="","MODEL SEÇİN",IF(OR($D151="",$G151&lt;=0),"EKSİK",IF(AND($E151&lt;&gt;"",$E151&lt;$D151),"TARİH HATASI",IF($H151="Pasif","KAPALI DÖNEM","UYGUN"))))))</f>
        <v/>
      </c>
      <c r="O151" s="229">
        <f>IF(OR($C151="",$D151="",$F151=""),"",IF($F151="Aylık",EOMONTH($D151,0),($D151+MOD(SISTEM!$F$8-WEEKDAY($D151,2),7))))</f>
        <v/>
      </c>
      <c r="P151" s="109" t="n"/>
      <c r="Q151" s="6" t="n"/>
      <c r="R151" s="6" t="n"/>
      <c r="S151" s="3">
        <f>IF($B151="","",$B151&amp;"|"&amp;COUNTIFS($B$7:$B151,$B151))</f>
        <v/>
      </c>
    </row>
    <row r="152">
      <c r="A152" s="6" t="n"/>
      <c r="B152" s="113">
        <f>IF($C152="","",IFERROR(INDEX(MUSTERILER!$B$7:$B$106,MATCH($C152,MUSTERILER!$C$7:$C$106,0)),IFERROR(INDEX(MUSTERILER!$B$7:$B$106,MATCH($C152,MUSTERILER!$B$7:$B$106,0)),IFERROR(INDEX(MUSTERILER!$B$7:$B$106,MATCH($C152&amp;"*",MUSTERILER!$C$7:$C$106,0)),"TANIMSIZ MÜŞTERİ"))))</f>
        <v/>
      </c>
      <c r="C152" s="109" t="n"/>
      <c r="D152" s="225" t="n"/>
      <c r="E152" s="225" t="n"/>
      <c r="F152" s="108" t="n"/>
      <c r="G152" s="226" t="n"/>
      <c r="H152" s="108" t="n"/>
      <c r="I152" s="227">
        <f>IF(OR($C152="",$D152="",$G152="",$F152=""),0,$G152*IF($F152="Aylık",MAX(0,(YEAR(MIN(IF($E152="",TODAY(),$E152),TODAY()))-YEAR($D152))*12+MONTH(MIN(IF($E152="",TODAY(),$E152),TODAY()))-MONTH($D152)+IF(MIN(IF($E152="",TODAY(),$E152),TODAY())&gt;=EOMONTH(MIN(IF($E152="",TODAY(),$E152),TODAY()),0),1,0)),MAX(0,INT((MIN(IF($E152="",TODAY(),$E152),TODAY())-($D152+MOD(SISTEM!$F$8-WEEKDAY($D152,2),7)))/7)+1)))</f>
        <v/>
      </c>
      <c r="J152" s="227">
        <f>IF(OR($C152="",$D152="",$G152="",$F152=""),0,$G152*IF($F152="Aylık",MAX(0,(YEAR(MIN(IF($E152="",TODAY()-8,$E152),TODAY()-8))-YEAR($D152))*12+MONTH(MIN(IF($E152="",TODAY()-8,$E152),TODAY()-8))-MONTH($D152)+IF(MIN(IF($E152="",TODAY()-8,$E152),TODAY()-8)&gt;=EOMONTH(MIN(IF($E152="",TODAY()-8,$E152),TODAY()-8),0),1,0)),MAX(0,INT((MIN(IF($E152="",TODAY()-8,$E152),TODAY()-8)-($D152+MOD(SISTEM!$F$8-WEEKDAY($D152,2),7)))/7)+1)))</f>
        <v/>
      </c>
      <c r="K152" s="227">
        <f>IF(OR($C152="",$D152="",$G152="",$F152=""),0,$G152*IF($F152="Aylık",MAX(0,(YEAR(MIN(IF($E152="",TODAY()-15,$E152),TODAY()-15))-YEAR($D152))*12+MONTH(MIN(IF($E152="",TODAY()-15,$E152),TODAY()-15))-MONTH($D152)+IF(MIN(IF($E152="",TODAY()-15,$E152),TODAY()-15)&gt;=EOMONTH(MIN(IF($E152="",TODAY()-15,$E152),TODAY()-15),0),1,0)),MAX(0,INT((MIN(IF($E152="",TODAY()-15,$E152),TODAY()-15)-($D152+MOD(SISTEM!$F$8-WEEKDAY($D152,2),7)))/7)+1)))</f>
        <v/>
      </c>
      <c r="L152" s="227">
        <f>IF(OR($C152="",$D152="",$G152="",$F152=""),0,$G152*IF($F152="Aylık",MAX(0,(YEAR(MIN(IF($E152="",TODAY()-29,$E152),TODAY()-29))-YEAR($D152))*12+MONTH(MIN(IF($E152="",TODAY()-29,$E152),TODAY()-29))-MONTH($D152)+IF(MIN(IF($E152="",TODAY()-29,$E152),TODAY()-29)&gt;=EOMONTH(MIN(IF($E152="",TODAY()-29,$E152),TODAY()-29),0),1,0)),MAX(0,INT((MIN(IF($E152="",TODAY()-29,$E152),TODAY()-29)-($D152+MOD(SISTEM!$F$8-WEEKDAY($D152,2),7)))/7)+1)))</f>
        <v/>
      </c>
      <c r="M152" s="228">
        <f>IF($G152&gt;0,$I152/$G152,0)</f>
        <v/>
      </c>
      <c r="N152" s="113">
        <f>IF($C152="","",IF($B152="TANIMSIZ MÜŞTERİ","TANIMSIZ MÜŞTERİ",IF($F152="","MODEL SEÇİN",IF(OR($D152="",$G152&lt;=0),"EKSİK",IF(AND($E152&lt;&gt;"",$E152&lt;$D152),"TARİH HATASI",IF($H152="Pasif","KAPALI DÖNEM","UYGUN"))))))</f>
        <v/>
      </c>
      <c r="O152" s="229">
        <f>IF(OR($C152="",$D152="",$F152=""),"",IF($F152="Aylık",EOMONTH($D152,0),($D152+MOD(SISTEM!$F$8-WEEKDAY($D152,2),7))))</f>
        <v/>
      </c>
      <c r="P152" s="109" t="n"/>
      <c r="Q152" s="6" t="n"/>
      <c r="R152" s="6" t="n"/>
      <c r="S152" s="3">
        <f>IF($B152="","",$B152&amp;"|"&amp;COUNTIFS($B$7:$B152,$B152))</f>
        <v/>
      </c>
    </row>
    <row r="153">
      <c r="A153" s="6" t="n"/>
      <c r="B153" s="113">
        <f>IF($C153="","",IFERROR(INDEX(MUSTERILER!$B$7:$B$106,MATCH($C153,MUSTERILER!$C$7:$C$106,0)),IFERROR(INDEX(MUSTERILER!$B$7:$B$106,MATCH($C153,MUSTERILER!$B$7:$B$106,0)),IFERROR(INDEX(MUSTERILER!$B$7:$B$106,MATCH($C153&amp;"*",MUSTERILER!$C$7:$C$106,0)),"TANIMSIZ MÜŞTERİ"))))</f>
        <v/>
      </c>
      <c r="C153" s="109" t="n"/>
      <c r="D153" s="225" t="n"/>
      <c r="E153" s="225" t="n"/>
      <c r="F153" s="108" t="n"/>
      <c r="G153" s="226" t="n"/>
      <c r="H153" s="108" t="n"/>
      <c r="I153" s="227">
        <f>IF(OR($C153="",$D153="",$G153="",$F153=""),0,$G153*IF($F153="Aylık",MAX(0,(YEAR(MIN(IF($E153="",TODAY(),$E153),TODAY()))-YEAR($D153))*12+MONTH(MIN(IF($E153="",TODAY(),$E153),TODAY()))-MONTH($D153)+IF(MIN(IF($E153="",TODAY(),$E153),TODAY())&gt;=EOMONTH(MIN(IF($E153="",TODAY(),$E153),TODAY()),0),1,0)),MAX(0,INT((MIN(IF($E153="",TODAY(),$E153),TODAY())-($D153+MOD(SISTEM!$F$8-WEEKDAY($D153,2),7)))/7)+1)))</f>
        <v/>
      </c>
      <c r="J153" s="227">
        <f>IF(OR($C153="",$D153="",$G153="",$F153=""),0,$G153*IF($F153="Aylık",MAX(0,(YEAR(MIN(IF($E153="",TODAY()-8,$E153),TODAY()-8))-YEAR($D153))*12+MONTH(MIN(IF($E153="",TODAY()-8,$E153),TODAY()-8))-MONTH($D153)+IF(MIN(IF($E153="",TODAY()-8,$E153),TODAY()-8)&gt;=EOMONTH(MIN(IF($E153="",TODAY()-8,$E153),TODAY()-8),0),1,0)),MAX(0,INT((MIN(IF($E153="",TODAY()-8,$E153),TODAY()-8)-($D153+MOD(SISTEM!$F$8-WEEKDAY($D153,2),7)))/7)+1)))</f>
        <v/>
      </c>
      <c r="K153" s="227">
        <f>IF(OR($C153="",$D153="",$G153="",$F153=""),0,$G153*IF($F153="Aylık",MAX(0,(YEAR(MIN(IF($E153="",TODAY()-15,$E153),TODAY()-15))-YEAR($D153))*12+MONTH(MIN(IF($E153="",TODAY()-15,$E153),TODAY()-15))-MONTH($D153)+IF(MIN(IF($E153="",TODAY()-15,$E153),TODAY()-15)&gt;=EOMONTH(MIN(IF($E153="",TODAY()-15,$E153),TODAY()-15),0),1,0)),MAX(0,INT((MIN(IF($E153="",TODAY()-15,$E153),TODAY()-15)-($D153+MOD(SISTEM!$F$8-WEEKDAY($D153,2),7)))/7)+1)))</f>
        <v/>
      </c>
      <c r="L153" s="227">
        <f>IF(OR($C153="",$D153="",$G153="",$F153=""),0,$G153*IF($F153="Aylık",MAX(0,(YEAR(MIN(IF($E153="",TODAY()-29,$E153),TODAY()-29))-YEAR($D153))*12+MONTH(MIN(IF($E153="",TODAY()-29,$E153),TODAY()-29))-MONTH($D153)+IF(MIN(IF($E153="",TODAY()-29,$E153),TODAY()-29)&gt;=EOMONTH(MIN(IF($E153="",TODAY()-29,$E153),TODAY()-29),0),1,0)),MAX(0,INT((MIN(IF($E153="",TODAY()-29,$E153),TODAY()-29)-($D153+MOD(SISTEM!$F$8-WEEKDAY($D153,2),7)))/7)+1)))</f>
        <v/>
      </c>
      <c r="M153" s="228">
        <f>IF($G153&gt;0,$I153/$G153,0)</f>
        <v/>
      </c>
      <c r="N153" s="113">
        <f>IF($C153="","",IF($B153="TANIMSIZ MÜŞTERİ","TANIMSIZ MÜŞTERİ",IF($F153="","MODEL SEÇİN",IF(OR($D153="",$G153&lt;=0),"EKSİK",IF(AND($E153&lt;&gt;"",$E153&lt;$D153),"TARİH HATASI",IF($H153="Pasif","KAPALI DÖNEM","UYGUN"))))))</f>
        <v/>
      </c>
      <c r="O153" s="229">
        <f>IF(OR($C153="",$D153="",$F153=""),"",IF($F153="Aylık",EOMONTH($D153,0),($D153+MOD(SISTEM!$F$8-WEEKDAY($D153,2),7))))</f>
        <v/>
      </c>
      <c r="P153" s="109" t="n"/>
      <c r="Q153" s="6" t="n"/>
      <c r="R153" s="6" t="n"/>
      <c r="S153" s="3">
        <f>IF($B153="","",$B153&amp;"|"&amp;COUNTIFS($B$7:$B153,$B153))</f>
        <v/>
      </c>
    </row>
    <row r="154">
      <c r="A154" s="6" t="n"/>
      <c r="B154" s="113">
        <f>IF($C154="","",IFERROR(INDEX(MUSTERILER!$B$7:$B$106,MATCH($C154,MUSTERILER!$C$7:$C$106,0)),IFERROR(INDEX(MUSTERILER!$B$7:$B$106,MATCH($C154,MUSTERILER!$B$7:$B$106,0)),IFERROR(INDEX(MUSTERILER!$B$7:$B$106,MATCH($C154&amp;"*",MUSTERILER!$C$7:$C$106,0)),"TANIMSIZ MÜŞTERİ"))))</f>
        <v/>
      </c>
      <c r="C154" s="109" t="n"/>
      <c r="D154" s="225" t="n"/>
      <c r="E154" s="225" t="n"/>
      <c r="F154" s="108" t="n"/>
      <c r="G154" s="226" t="n"/>
      <c r="H154" s="108" t="n"/>
      <c r="I154" s="227">
        <f>IF(OR($C154="",$D154="",$G154="",$F154=""),0,$G154*IF($F154="Aylık",MAX(0,(YEAR(MIN(IF($E154="",TODAY(),$E154),TODAY()))-YEAR($D154))*12+MONTH(MIN(IF($E154="",TODAY(),$E154),TODAY()))-MONTH($D154)+IF(MIN(IF($E154="",TODAY(),$E154),TODAY())&gt;=EOMONTH(MIN(IF($E154="",TODAY(),$E154),TODAY()),0),1,0)),MAX(0,INT((MIN(IF($E154="",TODAY(),$E154),TODAY())-($D154+MOD(SISTEM!$F$8-WEEKDAY($D154,2),7)))/7)+1)))</f>
        <v/>
      </c>
      <c r="J154" s="227">
        <f>IF(OR($C154="",$D154="",$G154="",$F154=""),0,$G154*IF($F154="Aylık",MAX(0,(YEAR(MIN(IF($E154="",TODAY()-8,$E154),TODAY()-8))-YEAR($D154))*12+MONTH(MIN(IF($E154="",TODAY()-8,$E154),TODAY()-8))-MONTH($D154)+IF(MIN(IF($E154="",TODAY()-8,$E154),TODAY()-8)&gt;=EOMONTH(MIN(IF($E154="",TODAY()-8,$E154),TODAY()-8),0),1,0)),MAX(0,INT((MIN(IF($E154="",TODAY()-8,$E154),TODAY()-8)-($D154+MOD(SISTEM!$F$8-WEEKDAY($D154,2),7)))/7)+1)))</f>
        <v/>
      </c>
      <c r="K154" s="227">
        <f>IF(OR($C154="",$D154="",$G154="",$F154=""),0,$G154*IF($F154="Aylık",MAX(0,(YEAR(MIN(IF($E154="",TODAY()-15,$E154),TODAY()-15))-YEAR($D154))*12+MONTH(MIN(IF($E154="",TODAY()-15,$E154),TODAY()-15))-MONTH($D154)+IF(MIN(IF($E154="",TODAY()-15,$E154),TODAY()-15)&gt;=EOMONTH(MIN(IF($E154="",TODAY()-15,$E154),TODAY()-15),0),1,0)),MAX(0,INT((MIN(IF($E154="",TODAY()-15,$E154),TODAY()-15)-($D154+MOD(SISTEM!$F$8-WEEKDAY($D154,2),7)))/7)+1)))</f>
        <v/>
      </c>
      <c r="L154" s="227">
        <f>IF(OR($C154="",$D154="",$G154="",$F154=""),0,$G154*IF($F154="Aylık",MAX(0,(YEAR(MIN(IF($E154="",TODAY()-29,$E154),TODAY()-29))-YEAR($D154))*12+MONTH(MIN(IF($E154="",TODAY()-29,$E154),TODAY()-29))-MONTH($D154)+IF(MIN(IF($E154="",TODAY()-29,$E154),TODAY()-29)&gt;=EOMONTH(MIN(IF($E154="",TODAY()-29,$E154),TODAY()-29),0),1,0)),MAX(0,INT((MIN(IF($E154="",TODAY()-29,$E154),TODAY()-29)-($D154+MOD(SISTEM!$F$8-WEEKDAY($D154,2),7)))/7)+1)))</f>
        <v/>
      </c>
      <c r="M154" s="228">
        <f>IF($G154&gt;0,$I154/$G154,0)</f>
        <v/>
      </c>
      <c r="N154" s="113">
        <f>IF($C154="","",IF($B154="TANIMSIZ MÜŞTERİ","TANIMSIZ MÜŞTERİ",IF($F154="","MODEL SEÇİN",IF(OR($D154="",$G154&lt;=0),"EKSİK",IF(AND($E154&lt;&gt;"",$E154&lt;$D154),"TARİH HATASI",IF($H154="Pasif","KAPALI DÖNEM","UYGUN"))))))</f>
        <v/>
      </c>
      <c r="O154" s="229">
        <f>IF(OR($C154="",$D154="",$F154=""),"",IF($F154="Aylık",EOMONTH($D154,0),($D154+MOD(SISTEM!$F$8-WEEKDAY($D154,2),7))))</f>
        <v/>
      </c>
      <c r="P154" s="109" t="n"/>
      <c r="Q154" s="6" t="n"/>
      <c r="R154" s="6" t="n"/>
      <c r="S154" s="3">
        <f>IF($B154="","",$B154&amp;"|"&amp;COUNTIFS($B$7:$B154,$B154))</f>
        <v/>
      </c>
    </row>
    <row r="155">
      <c r="A155" s="6" t="n"/>
      <c r="B155" s="113">
        <f>IF($C155="","",IFERROR(INDEX(MUSTERILER!$B$7:$B$106,MATCH($C155,MUSTERILER!$C$7:$C$106,0)),IFERROR(INDEX(MUSTERILER!$B$7:$B$106,MATCH($C155,MUSTERILER!$B$7:$B$106,0)),IFERROR(INDEX(MUSTERILER!$B$7:$B$106,MATCH($C155&amp;"*",MUSTERILER!$C$7:$C$106,0)),"TANIMSIZ MÜŞTERİ"))))</f>
        <v/>
      </c>
      <c r="C155" s="109" t="n"/>
      <c r="D155" s="225" t="n"/>
      <c r="E155" s="225" t="n"/>
      <c r="F155" s="108" t="n"/>
      <c r="G155" s="226" t="n"/>
      <c r="H155" s="108" t="n"/>
      <c r="I155" s="227">
        <f>IF(OR($C155="",$D155="",$G155="",$F155=""),0,$G155*IF($F155="Aylık",MAX(0,(YEAR(MIN(IF($E155="",TODAY(),$E155),TODAY()))-YEAR($D155))*12+MONTH(MIN(IF($E155="",TODAY(),$E155),TODAY()))-MONTH($D155)+IF(MIN(IF($E155="",TODAY(),$E155),TODAY())&gt;=EOMONTH(MIN(IF($E155="",TODAY(),$E155),TODAY()),0),1,0)),MAX(0,INT((MIN(IF($E155="",TODAY(),$E155),TODAY())-($D155+MOD(SISTEM!$F$8-WEEKDAY($D155,2),7)))/7)+1)))</f>
        <v/>
      </c>
      <c r="J155" s="227">
        <f>IF(OR($C155="",$D155="",$G155="",$F155=""),0,$G155*IF($F155="Aylık",MAX(0,(YEAR(MIN(IF($E155="",TODAY()-8,$E155),TODAY()-8))-YEAR($D155))*12+MONTH(MIN(IF($E155="",TODAY()-8,$E155),TODAY()-8))-MONTH($D155)+IF(MIN(IF($E155="",TODAY()-8,$E155),TODAY()-8)&gt;=EOMONTH(MIN(IF($E155="",TODAY()-8,$E155),TODAY()-8),0),1,0)),MAX(0,INT((MIN(IF($E155="",TODAY()-8,$E155),TODAY()-8)-($D155+MOD(SISTEM!$F$8-WEEKDAY($D155,2),7)))/7)+1)))</f>
        <v/>
      </c>
      <c r="K155" s="227">
        <f>IF(OR($C155="",$D155="",$G155="",$F155=""),0,$G155*IF($F155="Aylık",MAX(0,(YEAR(MIN(IF($E155="",TODAY()-15,$E155),TODAY()-15))-YEAR($D155))*12+MONTH(MIN(IF($E155="",TODAY()-15,$E155),TODAY()-15))-MONTH($D155)+IF(MIN(IF($E155="",TODAY()-15,$E155),TODAY()-15)&gt;=EOMONTH(MIN(IF($E155="",TODAY()-15,$E155),TODAY()-15),0),1,0)),MAX(0,INT((MIN(IF($E155="",TODAY()-15,$E155),TODAY()-15)-($D155+MOD(SISTEM!$F$8-WEEKDAY($D155,2),7)))/7)+1)))</f>
        <v/>
      </c>
      <c r="L155" s="227">
        <f>IF(OR($C155="",$D155="",$G155="",$F155=""),0,$G155*IF($F155="Aylık",MAX(0,(YEAR(MIN(IF($E155="",TODAY()-29,$E155),TODAY()-29))-YEAR($D155))*12+MONTH(MIN(IF($E155="",TODAY()-29,$E155),TODAY()-29))-MONTH($D155)+IF(MIN(IF($E155="",TODAY()-29,$E155),TODAY()-29)&gt;=EOMONTH(MIN(IF($E155="",TODAY()-29,$E155),TODAY()-29),0),1,0)),MAX(0,INT((MIN(IF($E155="",TODAY()-29,$E155),TODAY()-29)-($D155+MOD(SISTEM!$F$8-WEEKDAY($D155,2),7)))/7)+1)))</f>
        <v/>
      </c>
      <c r="M155" s="228">
        <f>IF($G155&gt;0,$I155/$G155,0)</f>
        <v/>
      </c>
      <c r="N155" s="113">
        <f>IF($C155="","",IF($B155="TANIMSIZ MÜŞTERİ","TANIMSIZ MÜŞTERİ",IF($F155="","MODEL SEÇİN",IF(OR($D155="",$G155&lt;=0),"EKSİK",IF(AND($E155&lt;&gt;"",$E155&lt;$D155),"TARİH HATASI",IF($H155="Pasif","KAPALI DÖNEM","UYGUN"))))))</f>
        <v/>
      </c>
      <c r="O155" s="229">
        <f>IF(OR($C155="",$D155="",$F155=""),"",IF($F155="Aylık",EOMONTH($D155,0),($D155+MOD(SISTEM!$F$8-WEEKDAY($D155,2),7))))</f>
        <v/>
      </c>
      <c r="P155" s="109" t="n"/>
      <c r="Q155" s="6" t="n"/>
      <c r="R155" s="6" t="n"/>
      <c r="S155" s="3">
        <f>IF($B155="","",$B155&amp;"|"&amp;COUNTIFS($B$7:$B155,$B155))</f>
        <v/>
      </c>
    </row>
    <row r="156">
      <c r="A156" s="6" t="n"/>
      <c r="B156" s="113">
        <f>IF($C156="","",IFERROR(INDEX(MUSTERILER!$B$7:$B$106,MATCH($C156,MUSTERILER!$C$7:$C$106,0)),IFERROR(INDEX(MUSTERILER!$B$7:$B$106,MATCH($C156,MUSTERILER!$B$7:$B$106,0)),IFERROR(INDEX(MUSTERILER!$B$7:$B$106,MATCH($C156&amp;"*",MUSTERILER!$C$7:$C$106,0)),"TANIMSIZ MÜŞTERİ"))))</f>
        <v/>
      </c>
      <c r="C156" s="109" t="n"/>
      <c r="D156" s="225" t="n"/>
      <c r="E156" s="225" t="n"/>
      <c r="F156" s="108" t="n"/>
      <c r="G156" s="226" t="n"/>
      <c r="H156" s="108" t="n"/>
      <c r="I156" s="227">
        <f>IF(OR($C156="",$D156="",$G156="",$F156=""),0,$G156*IF($F156="Aylık",MAX(0,(YEAR(MIN(IF($E156="",TODAY(),$E156),TODAY()))-YEAR($D156))*12+MONTH(MIN(IF($E156="",TODAY(),$E156),TODAY()))-MONTH($D156)+IF(MIN(IF($E156="",TODAY(),$E156),TODAY())&gt;=EOMONTH(MIN(IF($E156="",TODAY(),$E156),TODAY()),0),1,0)),MAX(0,INT((MIN(IF($E156="",TODAY(),$E156),TODAY())-($D156+MOD(SISTEM!$F$8-WEEKDAY($D156,2),7)))/7)+1)))</f>
        <v/>
      </c>
      <c r="J156" s="227">
        <f>IF(OR($C156="",$D156="",$G156="",$F156=""),0,$G156*IF($F156="Aylık",MAX(0,(YEAR(MIN(IF($E156="",TODAY()-8,$E156),TODAY()-8))-YEAR($D156))*12+MONTH(MIN(IF($E156="",TODAY()-8,$E156),TODAY()-8))-MONTH($D156)+IF(MIN(IF($E156="",TODAY()-8,$E156),TODAY()-8)&gt;=EOMONTH(MIN(IF($E156="",TODAY()-8,$E156),TODAY()-8),0),1,0)),MAX(0,INT((MIN(IF($E156="",TODAY()-8,$E156),TODAY()-8)-($D156+MOD(SISTEM!$F$8-WEEKDAY($D156,2),7)))/7)+1)))</f>
        <v/>
      </c>
      <c r="K156" s="227">
        <f>IF(OR($C156="",$D156="",$G156="",$F156=""),0,$G156*IF($F156="Aylık",MAX(0,(YEAR(MIN(IF($E156="",TODAY()-15,$E156),TODAY()-15))-YEAR($D156))*12+MONTH(MIN(IF($E156="",TODAY()-15,$E156),TODAY()-15))-MONTH($D156)+IF(MIN(IF($E156="",TODAY()-15,$E156),TODAY()-15)&gt;=EOMONTH(MIN(IF($E156="",TODAY()-15,$E156),TODAY()-15),0),1,0)),MAX(0,INT((MIN(IF($E156="",TODAY()-15,$E156),TODAY()-15)-($D156+MOD(SISTEM!$F$8-WEEKDAY($D156,2),7)))/7)+1)))</f>
        <v/>
      </c>
      <c r="L156" s="227">
        <f>IF(OR($C156="",$D156="",$G156="",$F156=""),0,$G156*IF($F156="Aylık",MAX(0,(YEAR(MIN(IF($E156="",TODAY()-29,$E156),TODAY()-29))-YEAR($D156))*12+MONTH(MIN(IF($E156="",TODAY()-29,$E156),TODAY()-29))-MONTH($D156)+IF(MIN(IF($E156="",TODAY()-29,$E156),TODAY()-29)&gt;=EOMONTH(MIN(IF($E156="",TODAY()-29,$E156),TODAY()-29),0),1,0)),MAX(0,INT((MIN(IF($E156="",TODAY()-29,$E156),TODAY()-29)-($D156+MOD(SISTEM!$F$8-WEEKDAY($D156,2),7)))/7)+1)))</f>
        <v/>
      </c>
      <c r="M156" s="228">
        <f>IF($G156&gt;0,$I156/$G156,0)</f>
        <v/>
      </c>
      <c r="N156" s="113">
        <f>IF($C156="","",IF($B156="TANIMSIZ MÜŞTERİ","TANIMSIZ MÜŞTERİ",IF($F156="","MODEL SEÇİN",IF(OR($D156="",$G156&lt;=0),"EKSİK",IF(AND($E156&lt;&gt;"",$E156&lt;$D156),"TARİH HATASI",IF($H156="Pasif","KAPALI DÖNEM","UYGUN"))))))</f>
        <v/>
      </c>
      <c r="O156" s="229">
        <f>IF(OR($C156="",$D156="",$F156=""),"",IF($F156="Aylık",EOMONTH($D156,0),($D156+MOD(SISTEM!$F$8-WEEKDAY($D156,2),7))))</f>
        <v/>
      </c>
      <c r="P156" s="109" t="n"/>
      <c r="Q156" s="6" t="n"/>
      <c r="R156" s="6" t="n"/>
      <c r="S156" s="3">
        <f>IF($B156="","",$B156&amp;"|"&amp;COUNTIFS($B$7:$B156,$B156))</f>
        <v/>
      </c>
    </row>
    <row r="157">
      <c r="A157" s="6" t="n"/>
      <c r="B157" s="113">
        <f>IF($C157="","",IFERROR(INDEX(MUSTERILER!$B$7:$B$106,MATCH($C157,MUSTERILER!$C$7:$C$106,0)),IFERROR(INDEX(MUSTERILER!$B$7:$B$106,MATCH($C157,MUSTERILER!$B$7:$B$106,0)),IFERROR(INDEX(MUSTERILER!$B$7:$B$106,MATCH($C157&amp;"*",MUSTERILER!$C$7:$C$106,0)),"TANIMSIZ MÜŞTERİ"))))</f>
        <v/>
      </c>
      <c r="C157" s="109" t="n"/>
      <c r="D157" s="225" t="n"/>
      <c r="E157" s="225" t="n"/>
      <c r="F157" s="108" t="n"/>
      <c r="G157" s="226" t="n"/>
      <c r="H157" s="108" t="n"/>
      <c r="I157" s="227">
        <f>IF(OR($C157="",$D157="",$G157="",$F157=""),0,$G157*IF($F157="Aylık",MAX(0,(YEAR(MIN(IF($E157="",TODAY(),$E157),TODAY()))-YEAR($D157))*12+MONTH(MIN(IF($E157="",TODAY(),$E157),TODAY()))-MONTH($D157)+IF(MIN(IF($E157="",TODAY(),$E157),TODAY())&gt;=EOMONTH(MIN(IF($E157="",TODAY(),$E157),TODAY()),0),1,0)),MAX(0,INT((MIN(IF($E157="",TODAY(),$E157),TODAY())-($D157+MOD(SISTEM!$F$8-WEEKDAY($D157,2),7)))/7)+1)))</f>
        <v/>
      </c>
      <c r="J157" s="227">
        <f>IF(OR($C157="",$D157="",$G157="",$F157=""),0,$G157*IF($F157="Aylık",MAX(0,(YEAR(MIN(IF($E157="",TODAY()-8,$E157),TODAY()-8))-YEAR($D157))*12+MONTH(MIN(IF($E157="",TODAY()-8,$E157),TODAY()-8))-MONTH($D157)+IF(MIN(IF($E157="",TODAY()-8,$E157),TODAY()-8)&gt;=EOMONTH(MIN(IF($E157="",TODAY()-8,$E157),TODAY()-8),0),1,0)),MAX(0,INT((MIN(IF($E157="",TODAY()-8,$E157),TODAY()-8)-($D157+MOD(SISTEM!$F$8-WEEKDAY($D157,2),7)))/7)+1)))</f>
        <v/>
      </c>
      <c r="K157" s="227">
        <f>IF(OR($C157="",$D157="",$G157="",$F157=""),0,$G157*IF($F157="Aylık",MAX(0,(YEAR(MIN(IF($E157="",TODAY()-15,$E157),TODAY()-15))-YEAR($D157))*12+MONTH(MIN(IF($E157="",TODAY()-15,$E157),TODAY()-15))-MONTH($D157)+IF(MIN(IF($E157="",TODAY()-15,$E157),TODAY()-15)&gt;=EOMONTH(MIN(IF($E157="",TODAY()-15,$E157),TODAY()-15),0),1,0)),MAX(0,INT((MIN(IF($E157="",TODAY()-15,$E157),TODAY()-15)-($D157+MOD(SISTEM!$F$8-WEEKDAY($D157,2),7)))/7)+1)))</f>
        <v/>
      </c>
      <c r="L157" s="227">
        <f>IF(OR($C157="",$D157="",$G157="",$F157=""),0,$G157*IF($F157="Aylık",MAX(0,(YEAR(MIN(IF($E157="",TODAY()-29,$E157),TODAY()-29))-YEAR($D157))*12+MONTH(MIN(IF($E157="",TODAY()-29,$E157),TODAY()-29))-MONTH($D157)+IF(MIN(IF($E157="",TODAY()-29,$E157),TODAY()-29)&gt;=EOMONTH(MIN(IF($E157="",TODAY()-29,$E157),TODAY()-29),0),1,0)),MAX(0,INT((MIN(IF($E157="",TODAY()-29,$E157),TODAY()-29)-($D157+MOD(SISTEM!$F$8-WEEKDAY($D157,2),7)))/7)+1)))</f>
        <v/>
      </c>
      <c r="M157" s="228">
        <f>IF($G157&gt;0,$I157/$G157,0)</f>
        <v/>
      </c>
      <c r="N157" s="113">
        <f>IF($C157="","",IF($B157="TANIMSIZ MÜŞTERİ","TANIMSIZ MÜŞTERİ",IF($F157="","MODEL SEÇİN",IF(OR($D157="",$G157&lt;=0),"EKSİK",IF(AND($E157&lt;&gt;"",$E157&lt;$D157),"TARİH HATASI",IF($H157="Pasif","KAPALI DÖNEM","UYGUN"))))))</f>
        <v/>
      </c>
      <c r="O157" s="229">
        <f>IF(OR($C157="",$D157="",$F157=""),"",IF($F157="Aylık",EOMONTH($D157,0),($D157+MOD(SISTEM!$F$8-WEEKDAY($D157,2),7))))</f>
        <v/>
      </c>
      <c r="P157" s="109" t="n"/>
      <c r="Q157" s="6" t="n"/>
      <c r="R157" s="6" t="n"/>
      <c r="S157" s="3">
        <f>IF($B157="","",$B157&amp;"|"&amp;COUNTIFS($B$7:$B157,$B157))</f>
        <v/>
      </c>
    </row>
    <row r="158">
      <c r="A158" s="6" t="n"/>
      <c r="B158" s="113">
        <f>IF($C158="","",IFERROR(INDEX(MUSTERILER!$B$7:$B$106,MATCH($C158,MUSTERILER!$C$7:$C$106,0)),IFERROR(INDEX(MUSTERILER!$B$7:$B$106,MATCH($C158,MUSTERILER!$B$7:$B$106,0)),IFERROR(INDEX(MUSTERILER!$B$7:$B$106,MATCH($C158&amp;"*",MUSTERILER!$C$7:$C$106,0)),"TANIMSIZ MÜŞTERİ"))))</f>
        <v/>
      </c>
      <c r="C158" s="109" t="n"/>
      <c r="D158" s="225" t="n"/>
      <c r="E158" s="225" t="n"/>
      <c r="F158" s="108" t="n"/>
      <c r="G158" s="226" t="n"/>
      <c r="H158" s="108" t="n"/>
      <c r="I158" s="227">
        <f>IF(OR($C158="",$D158="",$G158="",$F158=""),0,$G158*IF($F158="Aylık",MAX(0,(YEAR(MIN(IF($E158="",TODAY(),$E158),TODAY()))-YEAR($D158))*12+MONTH(MIN(IF($E158="",TODAY(),$E158),TODAY()))-MONTH($D158)+IF(MIN(IF($E158="",TODAY(),$E158),TODAY())&gt;=EOMONTH(MIN(IF($E158="",TODAY(),$E158),TODAY()),0),1,0)),MAX(0,INT((MIN(IF($E158="",TODAY(),$E158),TODAY())-($D158+MOD(SISTEM!$F$8-WEEKDAY($D158,2),7)))/7)+1)))</f>
        <v/>
      </c>
      <c r="J158" s="227">
        <f>IF(OR($C158="",$D158="",$G158="",$F158=""),0,$G158*IF($F158="Aylık",MAX(0,(YEAR(MIN(IF($E158="",TODAY()-8,$E158),TODAY()-8))-YEAR($D158))*12+MONTH(MIN(IF($E158="",TODAY()-8,$E158),TODAY()-8))-MONTH($D158)+IF(MIN(IF($E158="",TODAY()-8,$E158),TODAY()-8)&gt;=EOMONTH(MIN(IF($E158="",TODAY()-8,$E158),TODAY()-8),0),1,0)),MAX(0,INT((MIN(IF($E158="",TODAY()-8,$E158),TODAY()-8)-($D158+MOD(SISTEM!$F$8-WEEKDAY($D158,2),7)))/7)+1)))</f>
        <v/>
      </c>
      <c r="K158" s="227">
        <f>IF(OR($C158="",$D158="",$G158="",$F158=""),0,$G158*IF($F158="Aylık",MAX(0,(YEAR(MIN(IF($E158="",TODAY()-15,$E158),TODAY()-15))-YEAR($D158))*12+MONTH(MIN(IF($E158="",TODAY()-15,$E158),TODAY()-15))-MONTH($D158)+IF(MIN(IF($E158="",TODAY()-15,$E158),TODAY()-15)&gt;=EOMONTH(MIN(IF($E158="",TODAY()-15,$E158),TODAY()-15),0),1,0)),MAX(0,INT((MIN(IF($E158="",TODAY()-15,$E158),TODAY()-15)-($D158+MOD(SISTEM!$F$8-WEEKDAY($D158,2),7)))/7)+1)))</f>
        <v/>
      </c>
      <c r="L158" s="227">
        <f>IF(OR($C158="",$D158="",$G158="",$F158=""),0,$G158*IF($F158="Aylık",MAX(0,(YEAR(MIN(IF($E158="",TODAY()-29,$E158),TODAY()-29))-YEAR($D158))*12+MONTH(MIN(IF($E158="",TODAY()-29,$E158),TODAY()-29))-MONTH($D158)+IF(MIN(IF($E158="",TODAY()-29,$E158),TODAY()-29)&gt;=EOMONTH(MIN(IF($E158="",TODAY()-29,$E158),TODAY()-29),0),1,0)),MAX(0,INT((MIN(IF($E158="",TODAY()-29,$E158),TODAY()-29)-($D158+MOD(SISTEM!$F$8-WEEKDAY($D158,2),7)))/7)+1)))</f>
        <v/>
      </c>
      <c r="M158" s="228">
        <f>IF($G158&gt;0,$I158/$G158,0)</f>
        <v/>
      </c>
      <c r="N158" s="113">
        <f>IF($C158="","",IF($B158="TANIMSIZ MÜŞTERİ","TANIMSIZ MÜŞTERİ",IF($F158="","MODEL SEÇİN",IF(OR($D158="",$G158&lt;=0),"EKSİK",IF(AND($E158&lt;&gt;"",$E158&lt;$D158),"TARİH HATASI",IF($H158="Pasif","KAPALI DÖNEM","UYGUN"))))))</f>
        <v/>
      </c>
      <c r="O158" s="229">
        <f>IF(OR($C158="",$D158="",$F158=""),"",IF($F158="Aylık",EOMONTH($D158,0),($D158+MOD(SISTEM!$F$8-WEEKDAY($D158,2),7))))</f>
        <v/>
      </c>
      <c r="P158" s="109" t="n"/>
      <c r="Q158" s="6" t="n"/>
      <c r="R158" s="6" t="n"/>
      <c r="S158" s="3">
        <f>IF($B158="","",$B158&amp;"|"&amp;COUNTIFS($B$7:$B158,$B158))</f>
        <v/>
      </c>
    </row>
    <row r="159">
      <c r="A159" s="6" t="n"/>
      <c r="B159" s="113">
        <f>IF($C159="","",IFERROR(INDEX(MUSTERILER!$B$7:$B$106,MATCH($C159,MUSTERILER!$C$7:$C$106,0)),IFERROR(INDEX(MUSTERILER!$B$7:$B$106,MATCH($C159,MUSTERILER!$B$7:$B$106,0)),IFERROR(INDEX(MUSTERILER!$B$7:$B$106,MATCH($C159&amp;"*",MUSTERILER!$C$7:$C$106,0)),"TANIMSIZ MÜŞTERİ"))))</f>
        <v/>
      </c>
      <c r="C159" s="109" t="n"/>
      <c r="D159" s="225" t="n"/>
      <c r="E159" s="225" t="n"/>
      <c r="F159" s="108" t="n"/>
      <c r="G159" s="226" t="n"/>
      <c r="H159" s="108" t="n"/>
      <c r="I159" s="227">
        <f>IF(OR($C159="",$D159="",$G159="",$F159=""),0,$G159*IF($F159="Aylık",MAX(0,(YEAR(MIN(IF($E159="",TODAY(),$E159),TODAY()))-YEAR($D159))*12+MONTH(MIN(IF($E159="",TODAY(),$E159),TODAY()))-MONTH($D159)+IF(MIN(IF($E159="",TODAY(),$E159),TODAY())&gt;=EOMONTH(MIN(IF($E159="",TODAY(),$E159),TODAY()),0),1,0)),MAX(0,INT((MIN(IF($E159="",TODAY(),$E159),TODAY())-($D159+MOD(SISTEM!$F$8-WEEKDAY($D159,2),7)))/7)+1)))</f>
        <v/>
      </c>
      <c r="J159" s="227">
        <f>IF(OR($C159="",$D159="",$G159="",$F159=""),0,$G159*IF($F159="Aylık",MAX(0,(YEAR(MIN(IF($E159="",TODAY()-8,$E159),TODAY()-8))-YEAR($D159))*12+MONTH(MIN(IF($E159="",TODAY()-8,$E159),TODAY()-8))-MONTH($D159)+IF(MIN(IF($E159="",TODAY()-8,$E159),TODAY()-8)&gt;=EOMONTH(MIN(IF($E159="",TODAY()-8,$E159),TODAY()-8),0),1,0)),MAX(0,INT((MIN(IF($E159="",TODAY()-8,$E159),TODAY()-8)-($D159+MOD(SISTEM!$F$8-WEEKDAY($D159,2),7)))/7)+1)))</f>
        <v/>
      </c>
      <c r="K159" s="227">
        <f>IF(OR($C159="",$D159="",$G159="",$F159=""),0,$G159*IF($F159="Aylık",MAX(0,(YEAR(MIN(IF($E159="",TODAY()-15,$E159),TODAY()-15))-YEAR($D159))*12+MONTH(MIN(IF($E159="",TODAY()-15,$E159),TODAY()-15))-MONTH($D159)+IF(MIN(IF($E159="",TODAY()-15,$E159),TODAY()-15)&gt;=EOMONTH(MIN(IF($E159="",TODAY()-15,$E159),TODAY()-15),0),1,0)),MAX(0,INT((MIN(IF($E159="",TODAY()-15,$E159),TODAY()-15)-($D159+MOD(SISTEM!$F$8-WEEKDAY($D159,2),7)))/7)+1)))</f>
        <v/>
      </c>
      <c r="L159" s="227">
        <f>IF(OR($C159="",$D159="",$G159="",$F159=""),0,$G159*IF($F159="Aylık",MAX(0,(YEAR(MIN(IF($E159="",TODAY()-29,$E159),TODAY()-29))-YEAR($D159))*12+MONTH(MIN(IF($E159="",TODAY()-29,$E159),TODAY()-29))-MONTH($D159)+IF(MIN(IF($E159="",TODAY()-29,$E159),TODAY()-29)&gt;=EOMONTH(MIN(IF($E159="",TODAY()-29,$E159),TODAY()-29),0),1,0)),MAX(0,INT((MIN(IF($E159="",TODAY()-29,$E159),TODAY()-29)-($D159+MOD(SISTEM!$F$8-WEEKDAY($D159,2),7)))/7)+1)))</f>
        <v/>
      </c>
      <c r="M159" s="228">
        <f>IF($G159&gt;0,$I159/$G159,0)</f>
        <v/>
      </c>
      <c r="N159" s="113">
        <f>IF($C159="","",IF($B159="TANIMSIZ MÜŞTERİ","TANIMSIZ MÜŞTERİ",IF($F159="","MODEL SEÇİN",IF(OR($D159="",$G159&lt;=0),"EKSİK",IF(AND($E159&lt;&gt;"",$E159&lt;$D159),"TARİH HATASI",IF($H159="Pasif","KAPALI DÖNEM","UYGUN"))))))</f>
        <v/>
      </c>
      <c r="O159" s="229">
        <f>IF(OR($C159="",$D159="",$F159=""),"",IF($F159="Aylık",EOMONTH($D159,0),($D159+MOD(SISTEM!$F$8-WEEKDAY($D159,2),7))))</f>
        <v/>
      </c>
      <c r="P159" s="109" t="n"/>
      <c r="Q159" s="6" t="n"/>
      <c r="R159" s="6" t="n"/>
      <c r="S159" s="3">
        <f>IF($B159="","",$B159&amp;"|"&amp;COUNTIFS($B$7:$B159,$B159))</f>
        <v/>
      </c>
    </row>
    <row r="160">
      <c r="A160" s="6" t="n"/>
      <c r="B160" s="113">
        <f>IF($C160="","",IFERROR(INDEX(MUSTERILER!$B$7:$B$106,MATCH($C160,MUSTERILER!$C$7:$C$106,0)),IFERROR(INDEX(MUSTERILER!$B$7:$B$106,MATCH($C160,MUSTERILER!$B$7:$B$106,0)),IFERROR(INDEX(MUSTERILER!$B$7:$B$106,MATCH($C160&amp;"*",MUSTERILER!$C$7:$C$106,0)),"TANIMSIZ MÜŞTERİ"))))</f>
        <v/>
      </c>
      <c r="C160" s="109" t="n"/>
      <c r="D160" s="225" t="n"/>
      <c r="E160" s="225" t="n"/>
      <c r="F160" s="108" t="n"/>
      <c r="G160" s="226" t="n"/>
      <c r="H160" s="108" t="n"/>
      <c r="I160" s="227">
        <f>IF(OR($C160="",$D160="",$G160="",$F160=""),0,$G160*IF($F160="Aylık",MAX(0,(YEAR(MIN(IF($E160="",TODAY(),$E160),TODAY()))-YEAR($D160))*12+MONTH(MIN(IF($E160="",TODAY(),$E160),TODAY()))-MONTH($D160)+IF(MIN(IF($E160="",TODAY(),$E160),TODAY())&gt;=EOMONTH(MIN(IF($E160="",TODAY(),$E160),TODAY()),0),1,0)),MAX(0,INT((MIN(IF($E160="",TODAY(),$E160),TODAY())-($D160+MOD(SISTEM!$F$8-WEEKDAY($D160,2),7)))/7)+1)))</f>
        <v/>
      </c>
      <c r="J160" s="227">
        <f>IF(OR($C160="",$D160="",$G160="",$F160=""),0,$G160*IF($F160="Aylık",MAX(0,(YEAR(MIN(IF($E160="",TODAY()-8,$E160),TODAY()-8))-YEAR($D160))*12+MONTH(MIN(IF($E160="",TODAY()-8,$E160),TODAY()-8))-MONTH($D160)+IF(MIN(IF($E160="",TODAY()-8,$E160),TODAY()-8)&gt;=EOMONTH(MIN(IF($E160="",TODAY()-8,$E160),TODAY()-8),0),1,0)),MAX(0,INT((MIN(IF($E160="",TODAY()-8,$E160),TODAY()-8)-($D160+MOD(SISTEM!$F$8-WEEKDAY($D160,2),7)))/7)+1)))</f>
        <v/>
      </c>
      <c r="K160" s="227">
        <f>IF(OR($C160="",$D160="",$G160="",$F160=""),0,$G160*IF($F160="Aylık",MAX(0,(YEAR(MIN(IF($E160="",TODAY()-15,$E160),TODAY()-15))-YEAR($D160))*12+MONTH(MIN(IF($E160="",TODAY()-15,$E160),TODAY()-15))-MONTH($D160)+IF(MIN(IF($E160="",TODAY()-15,$E160),TODAY()-15)&gt;=EOMONTH(MIN(IF($E160="",TODAY()-15,$E160),TODAY()-15),0),1,0)),MAX(0,INT((MIN(IF($E160="",TODAY()-15,$E160),TODAY()-15)-($D160+MOD(SISTEM!$F$8-WEEKDAY($D160,2),7)))/7)+1)))</f>
        <v/>
      </c>
      <c r="L160" s="227">
        <f>IF(OR($C160="",$D160="",$G160="",$F160=""),0,$G160*IF($F160="Aylık",MAX(0,(YEAR(MIN(IF($E160="",TODAY()-29,$E160),TODAY()-29))-YEAR($D160))*12+MONTH(MIN(IF($E160="",TODAY()-29,$E160),TODAY()-29))-MONTH($D160)+IF(MIN(IF($E160="",TODAY()-29,$E160),TODAY()-29)&gt;=EOMONTH(MIN(IF($E160="",TODAY()-29,$E160),TODAY()-29),0),1,0)),MAX(0,INT((MIN(IF($E160="",TODAY()-29,$E160),TODAY()-29)-($D160+MOD(SISTEM!$F$8-WEEKDAY($D160,2),7)))/7)+1)))</f>
        <v/>
      </c>
      <c r="M160" s="228">
        <f>IF($G160&gt;0,$I160/$G160,0)</f>
        <v/>
      </c>
      <c r="N160" s="113">
        <f>IF($C160="","",IF($B160="TANIMSIZ MÜŞTERİ","TANIMSIZ MÜŞTERİ",IF($F160="","MODEL SEÇİN",IF(OR($D160="",$G160&lt;=0),"EKSİK",IF(AND($E160&lt;&gt;"",$E160&lt;$D160),"TARİH HATASI",IF($H160="Pasif","KAPALI DÖNEM","UYGUN"))))))</f>
        <v/>
      </c>
      <c r="O160" s="229">
        <f>IF(OR($C160="",$D160="",$F160=""),"",IF($F160="Aylık",EOMONTH($D160,0),($D160+MOD(SISTEM!$F$8-WEEKDAY($D160,2),7))))</f>
        <v/>
      </c>
      <c r="P160" s="109" t="n"/>
      <c r="Q160" s="6" t="n"/>
      <c r="R160" s="6" t="n"/>
      <c r="S160" s="3">
        <f>IF($B160="","",$B160&amp;"|"&amp;COUNTIFS($B$7:$B160,$B160))</f>
        <v/>
      </c>
    </row>
    <row r="161">
      <c r="A161" s="6" t="n"/>
      <c r="B161" s="113">
        <f>IF($C161="","",IFERROR(INDEX(MUSTERILER!$B$7:$B$106,MATCH($C161,MUSTERILER!$C$7:$C$106,0)),IFERROR(INDEX(MUSTERILER!$B$7:$B$106,MATCH($C161,MUSTERILER!$B$7:$B$106,0)),IFERROR(INDEX(MUSTERILER!$B$7:$B$106,MATCH($C161&amp;"*",MUSTERILER!$C$7:$C$106,0)),"TANIMSIZ MÜŞTERİ"))))</f>
        <v/>
      </c>
      <c r="C161" s="109" t="n"/>
      <c r="D161" s="225" t="n"/>
      <c r="E161" s="225" t="n"/>
      <c r="F161" s="108" t="n"/>
      <c r="G161" s="226" t="n"/>
      <c r="H161" s="108" t="n"/>
      <c r="I161" s="227">
        <f>IF(OR($C161="",$D161="",$G161="",$F161=""),0,$G161*IF($F161="Aylık",MAX(0,(YEAR(MIN(IF($E161="",TODAY(),$E161),TODAY()))-YEAR($D161))*12+MONTH(MIN(IF($E161="",TODAY(),$E161),TODAY()))-MONTH($D161)+IF(MIN(IF($E161="",TODAY(),$E161),TODAY())&gt;=EOMONTH(MIN(IF($E161="",TODAY(),$E161),TODAY()),0),1,0)),MAX(0,INT((MIN(IF($E161="",TODAY(),$E161),TODAY())-($D161+MOD(SISTEM!$F$8-WEEKDAY($D161,2),7)))/7)+1)))</f>
        <v/>
      </c>
      <c r="J161" s="227">
        <f>IF(OR($C161="",$D161="",$G161="",$F161=""),0,$G161*IF($F161="Aylık",MAX(0,(YEAR(MIN(IF($E161="",TODAY()-8,$E161),TODAY()-8))-YEAR($D161))*12+MONTH(MIN(IF($E161="",TODAY()-8,$E161),TODAY()-8))-MONTH($D161)+IF(MIN(IF($E161="",TODAY()-8,$E161),TODAY()-8)&gt;=EOMONTH(MIN(IF($E161="",TODAY()-8,$E161),TODAY()-8),0),1,0)),MAX(0,INT((MIN(IF($E161="",TODAY()-8,$E161),TODAY()-8)-($D161+MOD(SISTEM!$F$8-WEEKDAY($D161,2),7)))/7)+1)))</f>
        <v/>
      </c>
      <c r="K161" s="227">
        <f>IF(OR($C161="",$D161="",$G161="",$F161=""),0,$G161*IF($F161="Aylık",MAX(0,(YEAR(MIN(IF($E161="",TODAY()-15,$E161),TODAY()-15))-YEAR($D161))*12+MONTH(MIN(IF($E161="",TODAY()-15,$E161),TODAY()-15))-MONTH($D161)+IF(MIN(IF($E161="",TODAY()-15,$E161),TODAY()-15)&gt;=EOMONTH(MIN(IF($E161="",TODAY()-15,$E161),TODAY()-15),0),1,0)),MAX(0,INT((MIN(IF($E161="",TODAY()-15,$E161),TODAY()-15)-($D161+MOD(SISTEM!$F$8-WEEKDAY($D161,2),7)))/7)+1)))</f>
        <v/>
      </c>
      <c r="L161" s="227">
        <f>IF(OR($C161="",$D161="",$G161="",$F161=""),0,$G161*IF($F161="Aylık",MAX(0,(YEAR(MIN(IF($E161="",TODAY()-29,$E161),TODAY()-29))-YEAR($D161))*12+MONTH(MIN(IF($E161="",TODAY()-29,$E161),TODAY()-29))-MONTH($D161)+IF(MIN(IF($E161="",TODAY()-29,$E161),TODAY()-29)&gt;=EOMONTH(MIN(IF($E161="",TODAY()-29,$E161),TODAY()-29),0),1,0)),MAX(0,INT((MIN(IF($E161="",TODAY()-29,$E161),TODAY()-29)-($D161+MOD(SISTEM!$F$8-WEEKDAY($D161,2),7)))/7)+1)))</f>
        <v/>
      </c>
      <c r="M161" s="228">
        <f>IF($G161&gt;0,$I161/$G161,0)</f>
        <v/>
      </c>
      <c r="N161" s="113">
        <f>IF($C161="","",IF($B161="TANIMSIZ MÜŞTERİ","TANIMSIZ MÜŞTERİ",IF($F161="","MODEL SEÇİN",IF(OR($D161="",$G161&lt;=0),"EKSİK",IF(AND($E161&lt;&gt;"",$E161&lt;$D161),"TARİH HATASI",IF($H161="Pasif","KAPALI DÖNEM","UYGUN"))))))</f>
        <v/>
      </c>
      <c r="O161" s="229">
        <f>IF(OR($C161="",$D161="",$F161=""),"",IF($F161="Aylık",EOMONTH($D161,0),($D161+MOD(SISTEM!$F$8-WEEKDAY($D161,2),7))))</f>
        <v/>
      </c>
      <c r="P161" s="109" t="n"/>
      <c r="Q161" s="6" t="n"/>
      <c r="R161" s="6" t="n"/>
      <c r="S161" s="3">
        <f>IF($B161="","",$B161&amp;"|"&amp;COUNTIFS($B$7:$B161,$B161))</f>
        <v/>
      </c>
    </row>
    <row r="162">
      <c r="A162" s="6" t="n"/>
      <c r="B162" s="113">
        <f>IF($C162="","",IFERROR(INDEX(MUSTERILER!$B$7:$B$106,MATCH($C162,MUSTERILER!$C$7:$C$106,0)),IFERROR(INDEX(MUSTERILER!$B$7:$B$106,MATCH($C162,MUSTERILER!$B$7:$B$106,0)),IFERROR(INDEX(MUSTERILER!$B$7:$B$106,MATCH($C162&amp;"*",MUSTERILER!$C$7:$C$106,0)),"TANIMSIZ MÜŞTERİ"))))</f>
        <v/>
      </c>
      <c r="C162" s="109" t="n"/>
      <c r="D162" s="225" t="n"/>
      <c r="E162" s="225" t="n"/>
      <c r="F162" s="108" t="n"/>
      <c r="G162" s="226" t="n"/>
      <c r="H162" s="108" t="n"/>
      <c r="I162" s="227">
        <f>IF(OR($C162="",$D162="",$G162="",$F162=""),0,$G162*IF($F162="Aylık",MAX(0,(YEAR(MIN(IF($E162="",TODAY(),$E162),TODAY()))-YEAR($D162))*12+MONTH(MIN(IF($E162="",TODAY(),$E162),TODAY()))-MONTH($D162)+IF(MIN(IF($E162="",TODAY(),$E162),TODAY())&gt;=EOMONTH(MIN(IF($E162="",TODAY(),$E162),TODAY()),0),1,0)),MAX(0,INT((MIN(IF($E162="",TODAY(),$E162),TODAY())-($D162+MOD(SISTEM!$F$8-WEEKDAY($D162,2),7)))/7)+1)))</f>
        <v/>
      </c>
      <c r="J162" s="227">
        <f>IF(OR($C162="",$D162="",$G162="",$F162=""),0,$G162*IF($F162="Aylık",MAX(0,(YEAR(MIN(IF($E162="",TODAY()-8,$E162),TODAY()-8))-YEAR($D162))*12+MONTH(MIN(IF($E162="",TODAY()-8,$E162),TODAY()-8))-MONTH($D162)+IF(MIN(IF($E162="",TODAY()-8,$E162),TODAY()-8)&gt;=EOMONTH(MIN(IF($E162="",TODAY()-8,$E162),TODAY()-8),0),1,0)),MAX(0,INT((MIN(IF($E162="",TODAY()-8,$E162),TODAY()-8)-($D162+MOD(SISTEM!$F$8-WEEKDAY($D162,2),7)))/7)+1)))</f>
        <v/>
      </c>
      <c r="K162" s="227">
        <f>IF(OR($C162="",$D162="",$G162="",$F162=""),0,$G162*IF($F162="Aylık",MAX(0,(YEAR(MIN(IF($E162="",TODAY()-15,$E162),TODAY()-15))-YEAR($D162))*12+MONTH(MIN(IF($E162="",TODAY()-15,$E162),TODAY()-15))-MONTH($D162)+IF(MIN(IF($E162="",TODAY()-15,$E162),TODAY()-15)&gt;=EOMONTH(MIN(IF($E162="",TODAY()-15,$E162),TODAY()-15),0),1,0)),MAX(0,INT((MIN(IF($E162="",TODAY()-15,$E162),TODAY()-15)-($D162+MOD(SISTEM!$F$8-WEEKDAY($D162,2),7)))/7)+1)))</f>
        <v/>
      </c>
      <c r="L162" s="227">
        <f>IF(OR($C162="",$D162="",$G162="",$F162=""),0,$G162*IF($F162="Aylık",MAX(0,(YEAR(MIN(IF($E162="",TODAY()-29,$E162),TODAY()-29))-YEAR($D162))*12+MONTH(MIN(IF($E162="",TODAY()-29,$E162),TODAY()-29))-MONTH($D162)+IF(MIN(IF($E162="",TODAY()-29,$E162),TODAY()-29)&gt;=EOMONTH(MIN(IF($E162="",TODAY()-29,$E162),TODAY()-29),0),1,0)),MAX(0,INT((MIN(IF($E162="",TODAY()-29,$E162),TODAY()-29)-($D162+MOD(SISTEM!$F$8-WEEKDAY($D162,2),7)))/7)+1)))</f>
        <v/>
      </c>
      <c r="M162" s="228">
        <f>IF($G162&gt;0,$I162/$G162,0)</f>
        <v/>
      </c>
      <c r="N162" s="113">
        <f>IF($C162="","",IF($B162="TANIMSIZ MÜŞTERİ","TANIMSIZ MÜŞTERİ",IF($F162="","MODEL SEÇİN",IF(OR($D162="",$G162&lt;=0),"EKSİK",IF(AND($E162&lt;&gt;"",$E162&lt;$D162),"TARİH HATASI",IF($H162="Pasif","KAPALI DÖNEM","UYGUN"))))))</f>
        <v/>
      </c>
      <c r="O162" s="229">
        <f>IF(OR($C162="",$D162="",$F162=""),"",IF($F162="Aylık",EOMONTH($D162,0),($D162+MOD(SISTEM!$F$8-WEEKDAY($D162,2),7))))</f>
        <v/>
      </c>
      <c r="P162" s="109" t="n"/>
      <c r="Q162" s="6" t="n"/>
      <c r="R162" s="6" t="n"/>
      <c r="S162" s="3">
        <f>IF($B162="","",$B162&amp;"|"&amp;COUNTIFS($B$7:$B162,$B162))</f>
        <v/>
      </c>
    </row>
    <row r="163">
      <c r="A163" s="6" t="n"/>
      <c r="B163" s="113">
        <f>IF($C163="","",IFERROR(INDEX(MUSTERILER!$B$7:$B$106,MATCH($C163,MUSTERILER!$C$7:$C$106,0)),IFERROR(INDEX(MUSTERILER!$B$7:$B$106,MATCH($C163,MUSTERILER!$B$7:$B$106,0)),IFERROR(INDEX(MUSTERILER!$B$7:$B$106,MATCH($C163&amp;"*",MUSTERILER!$C$7:$C$106,0)),"TANIMSIZ MÜŞTERİ"))))</f>
        <v/>
      </c>
      <c r="C163" s="109" t="n"/>
      <c r="D163" s="225" t="n"/>
      <c r="E163" s="225" t="n"/>
      <c r="F163" s="108" t="n"/>
      <c r="G163" s="226" t="n"/>
      <c r="H163" s="108" t="n"/>
      <c r="I163" s="227">
        <f>IF(OR($C163="",$D163="",$G163="",$F163=""),0,$G163*IF($F163="Aylık",MAX(0,(YEAR(MIN(IF($E163="",TODAY(),$E163),TODAY()))-YEAR($D163))*12+MONTH(MIN(IF($E163="",TODAY(),$E163),TODAY()))-MONTH($D163)+IF(MIN(IF($E163="",TODAY(),$E163),TODAY())&gt;=EOMONTH(MIN(IF($E163="",TODAY(),$E163),TODAY()),0),1,0)),MAX(0,INT((MIN(IF($E163="",TODAY(),$E163),TODAY())-($D163+MOD(SISTEM!$F$8-WEEKDAY($D163,2),7)))/7)+1)))</f>
        <v/>
      </c>
      <c r="J163" s="227">
        <f>IF(OR($C163="",$D163="",$G163="",$F163=""),0,$G163*IF($F163="Aylık",MAX(0,(YEAR(MIN(IF($E163="",TODAY()-8,$E163),TODAY()-8))-YEAR($D163))*12+MONTH(MIN(IF($E163="",TODAY()-8,$E163),TODAY()-8))-MONTH($D163)+IF(MIN(IF($E163="",TODAY()-8,$E163),TODAY()-8)&gt;=EOMONTH(MIN(IF($E163="",TODAY()-8,$E163),TODAY()-8),0),1,0)),MAX(0,INT((MIN(IF($E163="",TODAY()-8,$E163),TODAY()-8)-($D163+MOD(SISTEM!$F$8-WEEKDAY($D163,2),7)))/7)+1)))</f>
        <v/>
      </c>
      <c r="K163" s="227">
        <f>IF(OR($C163="",$D163="",$G163="",$F163=""),0,$G163*IF($F163="Aylık",MAX(0,(YEAR(MIN(IF($E163="",TODAY()-15,$E163),TODAY()-15))-YEAR($D163))*12+MONTH(MIN(IF($E163="",TODAY()-15,$E163),TODAY()-15))-MONTH($D163)+IF(MIN(IF($E163="",TODAY()-15,$E163),TODAY()-15)&gt;=EOMONTH(MIN(IF($E163="",TODAY()-15,$E163),TODAY()-15),0),1,0)),MAX(0,INT((MIN(IF($E163="",TODAY()-15,$E163),TODAY()-15)-($D163+MOD(SISTEM!$F$8-WEEKDAY($D163,2),7)))/7)+1)))</f>
        <v/>
      </c>
      <c r="L163" s="227">
        <f>IF(OR($C163="",$D163="",$G163="",$F163=""),0,$G163*IF($F163="Aylık",MAX(0,(YEAR(MIN(IF($E163="",TODAY()-29,$E163),TODAY()-29))-YEAR($D163))*12+MONTH(MIN(IF($E163="",TODAY()-29,$E163),TODAY()-29))-MONTH($D163)+IF(MIN(IF($E163="",TODAY()-29,$E163),TODAY()-29)&gt;=EOMONTH(MIN(IF($E163="",TODAY()-29,$E163),TODAY()-29),0),1,0)),MAX(0,INT((MIN(IF($E163="",TODAY()-29,$E163),TODAY()-29)-($D163+MOD(SISTEM!$F$8-WEEKDAY($D163,2),7)))/7)+1)))</f>
        <v/>
      </c>
      <c r="M163" s="228">
        <f>IF($G163&gt;0,$I163/$G163,0)</f>
        <v/>
      </c>
      <c r="N163" s="113">
        <f>IF($C163="","",IF($B163="TANIMSIZ MÜŞTERİ","TANIMSIZ MÜŞTERİ",IF($F163="","MODEL SEÇİN",IF(OR($D163="",$G163&lt;=0),"EKSİK",IF(AND($E163&lt;&gt;"",$E163&lt;$D163),"TARİH HATASI",IF($H163="Pasif","KAPALI DÖNEM","UYGUN"))))))</f>
        <v/>
      </c>
      <c r="O163" s="229">
        <f>IF(OR($C163="",$D163="",$F163=""),"",IF($F163="Aylık",EOMONTH($D163,0),($D163+MOD(SISTEM!$F$8-WEEKDAY($D163,2),7))))</f>
        <v/>
      </c>
      <c r="P163" s="109" t="n"/>
      <c r="Q163" s="6" t="n"/>
      <c r="R163" s="6" t="n"/>
      <c r="S163" s="3">
        <f>IF($B163="","",$B163&amp;"|"&amp;COUNTIFS($B$7:$B163,$B163))</f>
        <v/>
      </c>
    </row>
    <row r="164">
      <c r="A164" s="6" t="n"/>
      <c r="B164" s="113">
        <f>IF($C164="","",IFERROR(INDEX(MUSTERILER!$B$7:$B$106,MATCH($C164,MUSTERILER!$C$7:$C$106,0)),IFERROR(INDEX(MUSTERILER!$B$7:$B$106,MATCH($C164,MUSTERILER!$B$7:$B$106,0)),IFERROR(INDEX(MUSTERILER!$B$7:$B$106,MATCH($C164&amp;"*",MUSTERILER!$C$7:$C$106,0)),"TANIMSIZ MÜŞTERİ"))))</f>
        <v/>
      </c>
      <c r="C164" s="109" t="n"/>
      <c r="D164" s="225" t="n"/>
      <c r="E164" s="225" t="n"/>
      <c r="F164" s="108" t="n"/>
      <c r="G164" s="226" t="n"/>
      <c r="H164" s="108" t="n"/>
      <c r="I164" s="227">
        <f>IF(OR($C164="",$D164="",$G164="",$F164=""),0,$G164*IF($F164="Aylık",MAX(0,(YEAR(MIN(IF($E164="",TODAY(),$E164),TODAY()))-YEAR($D164))*12+MONTH(MIN(IF($E164="",TODAY(),$E164),TODAY()))-MONTH($D164)+IF(MIN(IF($E164="",TODAY(),$E164),TODAY())&gt;=EOMONTH(MIN(IF($E164="",TODAY(),$E164),TODAY()),0),1,0)),MAX(0,INT((MIN(IF($E164="",TODAY(),$E164),TODAY())-($D164+MOD(SISTEM!$F$8-WEEKDAY($D164,2),7)))/7)+1)))</f>
        <v/>
      </c>
      <c r="J164" s="227">
        <f>IF(OR($C164="",$D164="",$G164="",$F164=""),0,$G164*IF($F164="Aylık",MAX(0,(YEAR(MIN(IF($E164="",TODAY()-8,$E164),TODAY()-8))-YEAR($D164))*12+MONTH(MIN(IF($E164="",TODAY()-8,$E164),TODAY()-8))-MONTH($D164)+IF(MIN(IF($E164="",TODAY()-8,$E164),TODAY()-8)&gt;=EOMONTH(MIN(IF($E164="",TODAY()-8,$E164),TODAY()-8),0),1,0)),MAX(0,INT((MIN(IF($E164="",TODAY()-8,$E164),TODAY()-8)-($D164+MOD(SISTEM!$F$8-WEEKDAY($D164,2),7)))/7)+1)))</f>
        <v/>
      </c>
      <c r="K164" s="227">
        <f>IF(OR($C164="",$D164="",$G164="",$F164=""),0,$G164*IF($F164="Aylık",MAX(0,(YEAR(MIN(IF($E164="",TODAY()-15,$E164),TODAY()-15))-YEAR($D164))*12+MONTH(MIN(IF($E164="",TODAY()-15,$E164),TODAY()-15))-MONTH($D164)+IF(MIN(IF($E164="",TODAY()-15,$E164),TODAY()-15)&gt;=EOMONTH(MIN(IF($E164="",TODAY()-15,$E164),TODAY()-15),0),1,0)),MAX(0,INT((MIN(IF($E164="",TODAY()-15,$E164),TODAY()-15)-($D164+MOD(SISTEM!$F$8-WEEKDAY($D164,2),7)))/7)+1)))</f>
        <v/>
      </c>
      <c r="L164" s="227">
        <f>IF(OR($C164="",$D164="",$G164="",$F164=""),0,$G164*IF($F164="Aylık",MAX(0,(YEAR(MIN(IF($E164="",TODAY()-29,$E164),TODAY()-29))-YEAR($D164))*12+MONTH(MIN(IF($E164="",TODAY()-29,$E164),TODAY()-29))-MONTH($D164)+IF(MIN(IF($E164="",TODAY()-29,$E164),TODAY()-29)&gt;=EOMONTH(MIN(IF($E164="",TODAY()-29,$E164),TODAY()-29),0),1,0)),MAX(0,INT((MIN(IF($E164="",TODAY()-29,$E164),TODAY()-29)-($D164+MOD(SISTEM!$F$8-WEEKDAY($D164,2),7)))/7)+1)))</f>
        <v/>
      </c>
      <c r="M164" s="228">
        <f>IF($G164&gt;0,$I164/$G164,0)</f>
        <v/>
      </c>
      <c r="N164" s="113">
        <f>IF($C164="","",IF($B164="TANIMSIZ MÜŞTERİ","TANIMSIZ MÜŞTERİ",IF($F164="","MODEL SEÇİN",IF(OR($D164="",$G164&lt;=0),"EKSİK",IF(AND($E164&lt;&gt;"",$E164&lt;$D164),"TARİH HATASI",IF($H164="Pasif","KAPALI DÖNEM","UYGUN"))))))</f>
        <v/>
      </c>
      <c r="O164" s="229">
        <f>IF(OR($C164="",$D164="",$F164=""),"",IF($F164="Aylık",EOMONTH($D164,0),($D164+MOD(SISTEM!$F$8-WEEKDAY($D164,2),7))))</f>
        <v/>
      </c>
      <c r="P164" s="109" t="n"/>
      <c r="Q164" s="6" t="n"/>
      <c r="R164" s="6" t="n"/>
      <c r="S164" s="3">
        <f>IF($B164="","",$B164&amp;"|"&amp;COUNTIFS($B$7:$B164,$B164))</f>
        <v/>
      </c>
    </row>
    <row r="165">
      <c r="A165" s="6" t="n"/>
      <c r="B165" s="113">
        <f>IF($C165="","",IFERROR(INDEX(MUSTERILER!$B$7:$B$106,MATCH($C165,MUSTERILER!$C$7:$C$106,0)),IFERROR(INDEX(MUSTERILER!$B$7:$B$106,MATCH($C165,MUSTERILER!$B$7:$B$106,0)),IFERROR(INDEX(MUSTERILER!$B$7:$B$106,MATCH($C165&amp;"*",MUSTERILER!$C$7:$C$106,0)),"TANIMSIZ MÜŞTERİ"))))</f>
        <v/>
      </c>
      <c r="C165" s="109" t="n"/>
      <c r="D165" s="225" t="n"/>
      <c r="E165" s="225" t="n"/>
      <c r="F165" s="108" t="n"/>
      <c r="G165" s="226" t="n"/>
      <c r="H165" s="108" t="n"/>
      <c r="I165" s="227">
        <f>IF(OR($C165="",$D165="",$G165="",$F165=""),0,$G165*IF($F165="Aylık",MAX(0,(YEAR(MIN(IF($E165="",TODAY(),$E165),TODAY()))-YEAR($D165))*12+MONTH(MIN(IF($E165="",TODAY(),$E165),TODAY()))-MONTH($D165)+IF(MIN(IF($E165="",TODAY(),$E165),TODAY())&gt;=EOMONTH(MIN(IF($E165="",TODAY(),$E165),TODAY()),0),1,0)),MAX(0,INT((MIN(IF($E165="",TODAY(),$E165),TODAY())-($D165+MOD(SISTEM!$F$8-WEEKDAY($D165,2),7)))/7)+1)))</f>
        <v/>
      </c>
      <c r="J165" s="227">
        <f>IF(OR($C165="",$D165="",$G165="",$F165=""),0,$G165*IF($F165="Aylık",MAX(0,(YEAR(MIN(IF($E165="",TODAY()-8,$E165),TODAY()-8))-YEAR($D165))*12+MONTH(MIN(IF($E165="",TODAY()-8,$E165),TODAY()-8))-MONTH($D165)+IF(MIN(IF($E165="",TODAY()-8,$E165),TODAY()-8)&gt;=EOMONTH(MIN(IF($E165="",TODAY()-8,$E165),TODAY()-8),0),1,0)),MAX(0,INT((MIN(IF($E165="",TODAY()-8,$E165),TODAY()-8)-($D165+MOD(SISTEM!$F$8-WEEKDAY($D165,2),7)))/7)+1)))</f>
        <v/>
      </c>
      <c r="K165" s="227">
        <f>IF(OR($C165="",$D165="",$G165="",$F165=""),0,$G165*IF($F165="Aylık",MAX(0,(YEAR(MIN(IF($E165="",TODAY()-15,$E165),TODAY()-15))-YEAR($D165))*12+MONTH(MIN(IF($E165="",TODAY()-15,$E165),TODAY()-15))-MONTH($D165)+IF(MIN(IF($E165="",TODAY()-15,$E165),TODAY()-15)&gt;=EOMONTH(MIN(IF($E165="",TODAY()-15,$E165),TODAY()-15),0),1,0)),MAX(0,INT((MIN(IF($E165="",TODAY()-15,$E165),TODAY()-15)-($D165+MOD(SISTEM!$F$8-WEEKDAY($D165,2),7)))/7)+1)))</f>
        <v/>
      </c>
      <c r="L165" s="227">
        <f>IF(OR($C165="",$D165="",$G165="",$F165=""),0,$G165*IF($F165="Aylık",MAX(0,(YEAR(MIN(IF($E165="",TODAY()-29,$E165),TODAY()-29))-YEAR($D165))*12+MONTH(MIN(IF($E165="",TODAY()-29,$E165),TODAY()-29))-MONTH($D165)+IF(MIN(IF($E165="",TODAY()-29,$E165),TODAY()-29)&gt;=EOMONTH(MIN(IF($E165="",TODAY()-29,$E165),TODAY()-29),0),1,0)),MAX(0,INT((MIN(IF($E165="",TODAY()-29,$E165),TODAY()-29)-($D165+MOD(SISTEM!$F$8-WEEKDAY($D165,2),7)))/7)+1)))</f>
        <v/>
      </c>
      <c r="M165" s="228">
        <f>IF($G165&gt;0,$I165/$G165,0)</f>
        <v/>
      </c>
      <c r="N165" s="113">
        <f>IF($C165="","",IF($B165="TANIMSIZ MÜŞTERİ","TANIMSIZ MÜŞTERİ",IF($F165="","MODEL SEÇİN",IF(OR($D165="",$G165&lt;=0),"EKSİK",IF(AND($E165&lt;&gt;"",$E165&lt;$D165),"TARİH HATASI",IF($H165="Pasif","KAPALI DÖNEM","UYGUN"))))))</f>
        <v/>
      </c>
      <c r="O165" s="229">
        <f>IF(OR($C165="",$D165="",$F165=""),"",IF($F165="Aylık",EOMONTH($D165,0),($D165+MOD(SISTEM!$F$8-WEEKDAY($D165,2),7))))</f>
        <v/>
      </c>
      <c r="P165" s="109" t="n"/>
      <c r="Q165" s="6" t="n"/>
      <c r="R165" s="6" t="n"/>
      <c r="S165" s="3">
        <f>IF($B165="","",$B165&amp;"|"&amp;COUNTIFS($B$7:$B165,$B165))</f>
        <v/>
      </c>
    </row>
    <row r="166">
      <c r="A166" s="6" t="n"/>
      <c r="B166" s="113">
        <f>IF($C166="","",IFERROR(INDEX(MUSTERILER!$B$7:$B$106,MATCH($C166,MUSTERILER!$C$7:$C$106,0)),IFERROR(INDEX(MUSTERILER!$B$7:$B$106,MATCH($C166,MUSTERILER!$B$7:$B$106,0)),IFERROR(INDEX(MUSTERILER!$B$7:$B$106,MATCH($C166&amp;"*",MUSTERILER!$C$7:$C$106,0)),"TANIMSIZ MÜŞTERİ"))))</f>
        <v/>
      </c>
      <c r="C166" s="109" t="n"/>
      <c r="D166" s="225" t="n"/>
      <c r="E166" s="225" t="n"/>
      <c r="F166" s="108" t="n"/>
      <c r="G166" s="226" t="n"/>
      <c r="H166" s="108" t="n"/>
      <c r="I166" s="227">
        <f>IF(OR($C166="",$D166="",$G166="",$F166=""),0,$G166*IF($F166="Aylık",MAX(0,(YEAR(MIN(IF($E166="",TODAY(),$E166),TODAY()))-YEAR($D166))*12+MONTH(MIN(IF($E166="",TODAY(),$E166),TODAY()))-MONTH($D166)+IF(MIN(IF($E166="",TODAY(),$E166),TODAY())&gt;=EOMONTH(MIN(IF($E166="",TODAY(),$E166),TODAY()),0),1,0)),MAX(0,INT((MIN(IF($E166="",TODAY(),$E166),TODAY())-($D166+MOD(SISTEM!$F$8-WEEKDAY($D166,2),7)))/7)+1)))</f>
        <v/>
      </c>
      <c r="J166" s="227">
        <f>IF(OR($C166="",$D166="",$G166="",$F166=""),0,$G166*IF($F166="Aylık",MAX(0,(YEAR(MIN(IF($E166="",TODAY()-8,$E166),TODAY()-8))-YEAR($D166))*12+MONTH(MIN(IF($E166="",TODAY()-8,$E166),TODAY()-8))-MONTH($D166)+IF(MIN(IF($E166="",TODAY()-8,$E166),TODAY()-8)&gt;=EOMONTH(MIN(IF($E166="",TODAY()-8,$E166),TODAY()-8),0),1,0)),MAX(0,INT((MIN(IF($E166="",TODAY()-8,$E166),TODAY()-8)-($D166+MOD(SISTEM!$F$8-WEEKDAY($D166,2),7)))/7)+1)))</f>
        <v/>
      </c>
      <c r="K166" s="227">
        <f>IF(OR($C166="",$D166="",$G166="",$F166=""),0,$G166*IF($F166="Aylık",MAX(0,(YEAR(MIN(IF($E166="",TODAY()-15,$E166),TODAY()-15))-YEAR($D166))*12+MONTH(MIN(IF($E166="",TODAY()-15,$E166),TODAY()-15))-MONTH($D166)+IF(MIN(IF($E166="",TODAY()-15,$E166),TODAY()-15)&gt;=EOMONTH(MIN(IF($E166="",TODAY()-15,$E166),TODAY()-15),0),1,0)),MAX(0,INT((MIN(IF($E166="",TODAY()-15,$E166),TODAY()-15)-($D166+MOD(SISTEM!$F$8-WEEKDAY($D166,2),7)))/7)+1)))</f>
        <v/>
      </c>
      <c r="L166" s="227">
        <f>IF(OR($C166="",$D166="",$G166="",$F166=""),0,$G166*IF($F166="Aylık",MAX(0,(YEAR(MIN(IF($E166="",TODAY()-29,$E166),TODAY()-29))-YEAR($D166))*12+MONTH(MIN(IF($E166="",TODAY()-29,$E166),TODAY()-29))-MONTH($D166)+IF(MIN(IF($E166="",TODAY()-29,$E166),TODAY()-29)&gt;=EOMONTH(MIN(IF($E166="",TODAY()-29,$E166),TODAY()-29),0),1,0)),MAX(0,INT((MIN(IF($E166="",TODAY()-29,$E166),TODAY()-29)-($D166+MOD(SISTEM!$F$8-WEEKDAY($D166,2),7)))/7)+1)))</f>
        <v/>
      </c>
      <c r="M166" s="228">
        <f>IF($G166&gt;0,$I166/$G166,0)</f>
        <v/>
      </c>
      <c r="N166" s="113">
        <f>IF($C166="","",IF($B166="TANIMSIZ MÜŞTERİ","TANIMSIZ MÜŞTERİ",IF($F166="","MODEL SEÇİN",IF(OR($D166="",$G166&lt;=0),"EKSİK",IF(AND($E166&lt;&gt;"",$E166&lt;$D166),"TARİH HATASI",IF($H166="Pasif","KAPALI DÖNEM","UYGUN"))))))</f>
        <v/>
      </c>
      <c r="O166" s="229">
        <f>IF(OR($C166="",$D166="",$F166=""),"",IF($F166="Aylık",EOMONTH($D166,0),($D166+MOD(SISTEM!$F$8-WEEKDAY($D166,2),7))))</f>
        <v/>
      </c>
      <c r="P166" s="109" t="n"/>
      <c r="Q166" s="6" t="n"/>
      <c r="R166" s="6" t="n"/>
      <c r="S166" s="3">
        <f>IF($B166="","",$B166&amp;"|"&amp;COUNTIFS($B$7:$B166,$B166))</f>
        <v/>
      </c>
    </row>
    <row r="167">
      <c r="A167" s="6" t="n"/>
      <c r="B167" s="113">
        <f>IF($C167="","",IFERROR(INDEX(MUSTERILER!$B$7:$B$106,MATCH($C167,MUSTERILER!$C$7:$C$106,0)),IFERROR(INDEX(MUSTERILER!$B$7:$B$106,MATCH($C167,MUSTERILER!$B$7:$B$106,0)),IFERROR(INDEX(MUSTERILER!$B$7:$B$106,MATCH($C167&amp;"*",MUSTERILER!$C$7:$C$106,0)),"TANIMSIZ MÜŞTERİ"))))</f>
        <v/>
      </c>
      <c r="C167" s="109" t="n"/>
      <c r="D167" s="225" t="n"/>
      <c r="E167" s="225" t="n"/>
      <c r="F167" s="108" t="n"/>
      <c r="G167" s="226" t="n"/>
      <c r="H167" s="108" t="n"/>
      <c r="I167" s="227">
        <f>IF(OR($C167="",$D167="",$G167="",$F167=""),0,$G167*IF($F167="Aylık",MAX(0,(YEAR(MIN(IF($E167="",TODAY(),$E167),TODAY()))-YEAR($D167))*12+MONTH(MIN(IF($E167="",TODAY(),$E167),TODAY()))-MONTH($D167)+IF(MIN(IF($E167="",TODAY(),$E167),TODAY())&gt;=EOMONTH(MIN(IF($E167="",TODAY(),$E167),TODAY()),0),1,0)),MAX(0,INT((MIN(IF($E167="",TODAY(),$E167),TODAY())-($D167+MOD(SISTEM!$F$8-WEEKDAY($D167,2),7)))/7)+1)))</f>
        <v/>
      </c>
      <c r="J167" s="227">
        <f>IF(OR($C167="",$D167="",$G167="",$F167=""),0,$G167*IF($F167="Aylık",MAX(0,(YEAR(MIN(IF($E167="",TODAY()-8,$E167),TODAY()-8))-YEAR($D167))*12+MONTH(MIN(IF($E167="",TODAY()-8,$E167),TODAY()-8))-MONTH($D167)+IF(MIN(IF($E167="",TODAY()-8,$E167),TODAY()-8)&gt;=EOMONTH(MIN(IF($E167="",TODAY()-8,$E167),TODAY()-8),0),1,0)),MAX(0,INT((MIN(IF($E167="",TODAY()-8,$E167),TODAY()-8)-($D167+MOD(SISTEM!$F$8-WEEKDAY($D167,2),7)))/7)+1)))</f>
        <v/>
      </c>
      <c r="K167" s="227">
        <f>IF(OR($C167="",$D167="",$G167="",$F167=""),0,$G167*IF($F167="Aylık",MAX(0,(YEAR(MIN(IF($E167="",TODAY()-15,$E167),TODAY()-15))-YEAR($D167))*12+MONTH(MIN(IF($E167="",TODAY()-15,$E167),TODAY()-15))-MONTH($D167)+IF(MIN(IF($E167="",TODAY()-15,$E167),TODAY()-15)&gt;=EOMONTH(MIN(IF($E167="",TODAY()-15,$E167),TODAY()-15),0),1,0)),MAX(0,INT((MIN(IF($E167="",TODAY()-15,$E167),TODAY()-15)-($D167+MOD(SISTEM!$F$8-WEEKDAY($D167,2),7)))/7)+1)))</f>
        <v/>
      </c>
      <c r="L167" s="227">
        <f>IF(OR($C167="",$D167="",$G167="",$F167=""),0,$G167*IF($F167="Aylık",MAX(0,(YEAR(MIN(IF($E167="",TODAY()-29,$E167),TODAY()-29))-YEAR($D167))*12+MONTH(MIN(IF($E167="",TODAY()-29,$E167),TODAY()-29))-MONTH($D167)+IF(MIN(IF($E167="",TODAY()-29,$E167),TODAY()-29)&gt;=EOMONTH(MIN(IF($E167="",TODAY()-29,$E167),TODAY()-29),0),1,0)),MAX(0,INT((MIN(IF($E167="",TODAY()-29,$E167),TODAY()-29)-($D167+MOD(SISTEM!$F$8-WEEKDAY($D167,2),7)))/7)+1)))</f>
        <v/>
      </c>
      <c r="M167" s="228">
        <f>IF($G167&gt;0,$I167/$G167,0)</f>
        <v/>
      </c>
      <c r="N167" s="113">
        <f>IF($C167="","",IF($B167="TANIMSIZ MÜŞTERİ","TANIMSIZ MÜŞTERİ",IF($F167="","MODEL SEÇİN",IF(OR($D167="",$G167&lt;=0),"EKSİK",IF(AND($E167&lt;&gt;"",$E167&lt;$D167),"TARİH HATASI",IF($H167="Pasif","KAPALI DÖNEM","UYGUN"))))))</f>
        <v/>
      </c>
      <c r="O167" s="229">
        <f>IF(OR($C167="",$D167="",$F167=""),"",IF($F167="Aylık",EOMONTH($D167,0),($D167+MOD(SISTEM!$F$8-WEEKDAY($D167,2),7))))</f>
        <v/>
      </c>
      <c r="P167" s="109" t="n"/>
      <c r="Q167" s="6" t="n"/>
      <c r="R167" s="6" t="n"/>
      <c r="S167" s="3">
        <f>IF($B167="","",$B167&amp;"|"&amp;COUNTIFS($B$7:$B167,$B167))</f>
        <v/>
      </c>
    </row>
    <row r="168">
      <c r="A168" s="6" t="n"/>
      <c r="B168" s="113">
        <f>IF($C168="","",IFERROR(INDEX(MUSTERILER!$B$7:$B$106,MATCH($C168,MUSTERILER!$C$7:$C$106,0)),IFERROR(INDEX(MUSTERILER!$B$7:$B$106,MATCH($C168,MUSTERILER!$B$7:$B$106,0)),IFERROR(INDEX(MUSTERILER!$B$7:$B$106,MATCH($C168&amp;"*",MUSTERILER!$C$7:$C$106,0)),"TANIMSIZ MÜŞTERİ"))))</f>
        <v/>
      </c>
      <c r="C168" s="109" t="n"/>
      <c r="D168" s="225" t="n"/>
      <c r="E168" s="225" t="n"/>
      <c r="F168" s="108" t="n"/>
      <c r="G168" s="226" t="n"/>
      <c r="H168" s="108" t="n"/>
      <c r="I168" s="227">
        <f>IF(OR($C168="",$D168="",$G168="",$F168=""),0,$G168*IF($F168="Aylık",MAX(0,(YEAR(MIN(IF($E168="",TODAY(),$E168),TODAY()))-YEAR($D168))*12+MONTH(MIN(IF($E168="",TODAY(),$E168),TODAY()))-MONTH($D168)+IF(MIN(IF($E168="",TODAY(),$E168),TODAY())&gt;=EOMONTH(MIN(IF($E168="",TODAY(),$E168),TODAY()),0),1,0)),MAX(0,INT((MIN(IF($E168="",TODAY(),$E168),TODAY())-($D168+MOD(SISTEM!$F$8-WEEKDAY($D168,2),7)))/7)+1)))</f>
        <v/>
      </c>
      <c r="J168" s="227">
        <f>IF(OR($C168="",$D168="",$G168="",$F168=""),0,$G168*IF($F168="Aylık",MAX(0,(YEAR(MIN(IF($E168="",TODAY()-8,$E168),TODAY()-8))-YEAR($D168))*12+MONTH(MIN(IF($E168="",TODAY()-8,$E168),TODAY()-8))-MONTH($D168)+IF(MIN(IF($E168="",TODAY()-8,$E168),TODAY()-8)&gt;=EOMONTH(MIN(IF($E168="",TODAY()-8,$E168),TODAY()-8),0),1,0)),MAX(0,INT((MIN(IF($E168="",TODAY()-8,$E168),TODAY()-8)-($D168+MOD(SISTEM!$F$8-WEEKDAY($D168,2),7)))/7)+1)))</f>
        <v/>
      </c>
      <c r="K168" s="227">
        <f>IF(OR($C168="",$D168="",$G168="",$F168=""),0,$G168*IF($F168="Aylık",MAX(0,(YEAR(MIN(IF($E168="",TODAY()-15,$E168),TODAY()-15))-YEAR($D168))*12+MONTH(MIN(IF($E168="",TODAY()-15,$E168),TODAY()-15))-MONTH($D168)+IF(MIN(IF($E168="",TODAY()-15,$E168),TODAY()-15)&gt;=EOMONTH(MIN(IF($E168="",TODAY()-15,$E168),TODAY()-15),0),1,0)),MAX(0,INT((MIN(IF($E168="",TODAY()-15,$E168),TODAY()-15)-($D168+MOD(SISTEM!$F$8-WEEKDAY($D168,2),7)))/7)+1)))</f>
        <v/>
      </c>
      <c r="L168" s="227">
        <f>IF(OR($C168="",$D168="",$G168="",$F168=""),0,$G168*IF($F168="Aylık",MAX(0,(YEAR(MIN(IF($E168="",TODAY()-29,$E168),TODAY()-29))-YEAR($D168))*12+MONTH(MIN(IF($E168="",TODAY()-29,$E168),TODAY()-29))-MONTH($D168)+IF(MIN(IF($E168="",TODAY()-29,$E168),TODAY()-29)&gt;=EOMONTH(MIN(IF($E168="",TODAY()-29,$E168),TODAY()-29),0),1,0)),MAX(0,INT((MIN(IF($E168="",TODAY()-29,$E168),TODAY()-29)-($D168+MOD(SISTEM!$F$8-WEEKDAY($D168,2),7)))/7)+1)))</f>
        <v/>
      </c>
      <c r="M168" s="228">
        <f>IF($G168&gt;0,$I168/$G168,0)</f>
        <v/>
      </c>
      <c r="N168" s="113">
        <f>IF($C168="","",IF($B168="TANIMSIZ MÜŞTERİ","TANIMSIZ MÜŞTERİ",IF($F168="","MODEL SEÇİN",IF(OR($D168="",$G168&lt;=0),"EKSİK",IF(AND($E168&lt;&gt;"",$E168&lt;$D168),"TARİH HATASI",IF($H168="Pasif","KAPALI DÖNEM","UYGUN"))))))</f>
        <v/>
      </c>
      <c r="O168" s="229">
        <f>IF(OR($C168="",$D168="",$F168=""),"",IF($F168="Aylık",EOMONTH($D168,0),($D168+MOD(SISTEM!$F$8-WEEKDAY($D168,2),7))))</f>
        <v/>
      </c>
      <c r="P168" s="109" t="n"/>
      <c r="Q168" s="6" t="n"/>
      <c r="R168" s="6" t="n"/>
      <c r="S168" s="3">
        <f>IF($B168="","",$B168&amp;"|"&amp;COUNTIFS($B$7:$B168,$B168))</f>
        <v/>
      </c>
    </row>
    <row r="169">
      <c r="A169" s="6" t="n"/>
      <c r="B169" s="113">
        <f>IF($C169="","",IFERROR(INDEX(MUSTERILER!$B$7:$B$106,MATCH($C169,MUSTERILER!$C$7:$C$106,0)),IFERROR(INDEX(MUSTERILER!$B$7:$B$106,MATCH($C169,MUSTERILER!$B$7:$B$106,0)),IFERROR(INDEX(MUSTERILER!$B$7:$B$106,MATCH($C169&amp;"*",MUSTERILER!$C$7:$C$106,0)),"TANIMSIZ MÜŞTERİ"))))</f>
        <v/>
      </c>
      <c r="C169" s="109" t="n"/>
      <c r="D169" s="225" t="n"/>
      <c r="E169" s="225" t="n"/>
      <c r="F169" s="108" t="n"/>
      <c r="G169" s="226" t="n"/>
      <c r="H169" s="108" t="n"/>
      <c r="I169" s="227">
        <f>IF(OR($C169="",$D169="",$G169="",$F169=""),0,$G169*IF($F169="Aylık",MAX(0,(YEAR(MIN(IF($E169="",TODAY(),$E169),TODAY()))-YEAR($D169))*12+MONTH(MIN(IF($E169="",TODAY(),$E169),TODAY()))-MONTH($D169)+IF(MIN(IF($E169="",TODAY(),$E169),TODAY())&gt;=EOMONTH(MIN(IF($E169="",TODAY(),$E169),TODAY()),0),1,0)),MAX(0,INT((MIN(IF($E169="",TODAY(),$E169),TODAY())-($D169+MOD(SISTEM!$F$8-WEEKDAY($D169,2),7)))/7)+1)))</f>
        <v/>
      </c>
      <c r="J169" s="227">
        <f>IF(OR($C169="",$D169="",$G169="",$F169=""),0,$G169*IF($F169="Aylık",MAX(0,(YEAR(MIN(IF($E169="",TODAY()-8,$E169),TODAY()-8))-YEAR($D169))*12+MONTH(MIN(IF($E169="",TODAY()-8,$E169),TODAY()-8))-MONTH($D169)+IF(MIN(IF($E169="",TODAY()-8,$E169),TODAY()-8)&gt;=EOMONTH(MIN(IF($E169="",TODAY()-8,$E169),TODAY()-8),0),1,0)),MAX(0,INT((MIN(IF($E169="",TODAY()-8,$E169),TODAY()-8)-($D169+MOD(SISTEM!$F$8-WEEKDAY($D169,2),7)))/7)+1)))</f>
        <v/>
      </c>
      <c r="K169" s="227">
        <f>IF(OR($C169="",$D169="",$G169="",$F169=""),0,$G169*IF($F169="Aylık",MAX(0,(YEAR(MIN(IF($E169="",TODAY()-15,$E169),TODAY()-15))-YEAR($D169))*12+MONTH(MIN(IF($E169="",TODAY()-15,$E169),TODAY()-15))-MONTH($D169)+IF(MIN(IF($E169="",TODAY()-15,$E169),TODAY()-15)&gt;=EOMONTH(MIN(IF($E169="",TODAY()-15,$E169),TODAY()-15),0),1,0)),MAX(0,INT((MIN(IF($E169="",TODAY()-15,$E169),TODAY()-15)-($D169+MOD(SISTEM!$F$8-WEEKDAY($D169,2),7)))/7)+1)))</f>
        <v/>
      </c>
      <c r="L169" s="227">
        <f>IF(OR($C169="",$D169="",$G169="",$F169=""),0,$G169*IF($F169="Aylık",MAX(0,(YEAR(MIN(IF($E169="",TODAY()-29,$E169),TODAY()-29))-YEAR($D169))*12+MONTH(MIN(IF($E169="",TODAY()-29,$E169),TODAY()-29))-MONTH($D169)+IF(MIN(IF($E169="",TODAY()-29,$E169),TODAY()-29)&gt;=EOMONTH(MIN(IF($E169="",TODAY()-29,$E169),TODAY()-29),0),1,0)),MAX(0,INT((MIN(IF($E169="",TODAY()-29,$E169),TODAY()-29)-($D169+MOD(SISTEM!$F$8-WEEKDAY($D169,2),7)))/7)+1)))</f>
        <v/>
      </c>
      <c r="M169" s="228">
        <f>IF($G169&gt;0,$I169/$G169,0)</f>
        <v/>
      </c>
      <c r="N169" s="113">
        <f>IF($C169="","",IF($B169="TANIMSIZ MÜŞTERİ","TANIMSIZ MÜŞTERİ",IF($F169="","MODEL SEÇİN",IF(OR($D169="",$G169&lt;=0),"EKSİK",IF(AND($E169&lt;&gt;"",$E169&lt;$D169),"TARİH HATASI",IF($H169="Pasif","KAPALI DÖNEM","UYGUN"))))))</f>
        <v/>
      </c>
      <c r="O169" s="229">
        <f>IF(OR($C169="",$D169="",$F169=""),"",IF($F169="Aylık",EOMONTH($D169,0),($D169+MOD(SISTEM!$F$8-WEEKDAY($D169,2),7))))</f>
        <v/>
      </c>
      <c r="P169" s="109" t="n"/>
      <c r="Q169" s="6" t="n"/>
      <c r="R169" s="6" t="n"/>
      <c r="S169" s="3">
        <f>IF($B169="","",$B169&amp;"|"&amp;COUNTIFS($B$7:$B169,$B169))</f>
        <v/>
      </c>
    </row>
    <row r="170">
      <c r="A170" s="6" t="n"/>
      <c r="B170" s="113">
        <f>IF($C170="","",IFERROR(INDEX(MUSTERILER!$B$7:$B$106,MATCH($C170,MUSTERILER!$C$7:$C$106,0)),IFERROR(INDEX(MUSTERILER!$B$7:$B$106,MATCH($C170,MUSTERILER!$B$7:$B$106,0)),IFERROR(INDEX(MUSTERILER!$B$7:$B$106,MATCH($C170&amp;"*",MUSTERILER!$C$7:$C$106,0)),"TANIMSIZ MÜŞTERİ"))))</f>
        <v/>
      </c>
      <c r="C170" s="109" t="n"/>
      <c r="D170" s="225" t="n"/>
      <c r="E170" s="225" t="n"/>
      <c r="F170" s="108" t="n"/>
      <c r="G170" s="226" t="n"/>
      <c r="H170" s="108" t="n"/>
      <c r="I170" s="227">
        <f>IF(OR($C170="",$D170="",$G170="",$F170=""),0,$G170*IF($F170="Aylık",MAX(0,(YEAR(MIN(IF($E170="",TODAY(),$E170),TODAY()))-YEAR($D170))*12+MONTH(MIN(IF($E170="",TODAY(),$E170),TODAY()))-MONTH($D170)+IF(MIN(IF($E170="",TODAY(),$E170),TODAY())&gt;=EOMONTH(MIN(IF($E170="",TODAY(),$E170),TODAY()),0),1,0)),MAX(0,INT((MIN(IF($E170="",TODAY(),$E170),TODAY())-($D170+MOD(SISTEM!$F$8-WEEKDAY($D170,2),7)))/7)+1)))</f>
        <v/>
      </c>
      <c r="J170" s="227">
        <f>IF(OR($C170="",$D170="",$G170="",$F170=""),0,$G170*IF($F170="Aylık",MAX(0,(YEAR(MIN(IF($E170="",TODAY()-8,$E170),TODAY()-8))-YEAR($D170))*12+MONTH(MIN(IF($E170="",TODAY()-8,$E170),TODAY()-8))-MONTH($D170)+IF(MIN(IF($E170="",TODAY()-8,$E170),TODAY()-8)&gt;=EOMONTH(MIN(IF($E170="",TODAY()-8,$E170),TODAY()-8),0),1,0)),MAX(0,INT((MIN(IF($E170="",TODAY()-8,$E170),TODAY()-8)-($D170+MOD(SISTEM!$F$8-WEEKDAY($D170,2),7)))/7)+1)))</f>
        <v/>
      </c>
      <c r="K170" s="227">
        <f>IF(OR($C170="",$D170="",$G170="",$F170=""),0,$G170*IF($F170="Aylık",MAX(0,(YEAR(MIN(IF($E170="",TODAY()-15,$E170),TODAY()-15))-YEAR($D170))*12+MONTH(MIN(IF($E170="",TODAY()-15,$E170),TODAY()-15))-MONTH($D170)+IF(MIN(IF($E170="",TODAY()-15,$E170),TODAY()-15)&gt;=EOMONTH(MIN(IF($E170="",TODAY()-15,$E170),TODAY()-15),0),1,0)),MAX(0,INT((MIN(IF($E170="",TODAY()-15,$E170),TODAY()-15)-($D170+MOD(SISTEM!$F$8-WEEKDAY($D170,2),7)))/7)+1)))</f>
        <v/>
      </c>
      <c r="L170" s="227">
        <f>IF(OR($C170="",$D170="",$G170="",$F170=""),0,$G170*IF($F170="Aylık",MAX(0,(YEAR(MIN(IF($E170="",TODAY()-29,$E170),TODAY()-29))-YEAR($D170))*12+MONTH(MIN(IF($E170="",TODAY()-29,$E170),TODAY()-29))-MONTH($D170)+IF(MIN(IF($E170="",TODAY()-29,$E170),TODAY()-29)&gt;=EOMONTH(MIN(IF($E170="",TODAY()-29,$E170),TODAY()-29),0),1,0)),MAX(0,INT((MIN(IF($E170="",TODAY()-29,$E170),TODAY()-29)-($D170+MOD(SISTEM!$F$8-WEEKDAY($D170,2),7)))/7)+1)))</f>
        <v/>
      </c>
      <c r="M170" s="228">
        <f>IF($G170&gt;0,$I170/$G170,0)</f>
        <v/>
      </c>
      <c r="N170" s="113">
        <f>IF($C170="","",IF($B170="TANIMSIZ MÜŞTERİ","TANIMSIZ MÜŞTERİ",IF($F170="","MODEL SEÇİN",IF(OR($D170="",$G170&lt;=0),"EKSİK",IF(AND($E170&lt;&gt;"",$E170&lt;$D170),"TARİH HATASI",IF($H170="Pasif","KAPALI DÖNEM","UYGUN"))))))</f>
        <v/>
      </c>
      <c r="O170" s="229">
        <f>IF(OR($C170="",$D170="",$F170=""),"",IF($F170="Aylık",EOMONTH($D170,0),($D170+MOD(SISTEM!$F$8-WEEKDAY($D170,2),7))))</f>
        <v/>
      </c>
      <c r="P170" s="109" t="n"/>
      <c r="Q170" s="6" t="n"/>
      <c r="R170" s="6" t="n"/>
      <c r="S170" s="3">
        <f>IF($B170="","",$B170&amp;"|"&amp;COUNTIFS($B$7:$B170,$B170))</f>
        <v/>
      </c>
    </row>
    <row r="171">
      <c r="A171" s="6" t="n"/>
      <c r="B171" s="113">
        <f>IF($C171="","",IFERROR(INDEX(MUSTERILER!$B$7:$B$106,MATCH($C171,MUSTERILER!$C$7:$C$106,0)),IFERROR(INDEX(MUSTERILER!$B$7:$B$106,MATCH($C171,MUSTERILER!$B$7:$B$106,0)),IFERROR(INDEX(MUSTERILER!$B$7:$B$106,MATCH($C171&amp;"*",MUSTERILER!$C$7:$C$106,0)),"TANIMSIZ MÜŞTERİ"))))</f>
        <v/>
      </c>
      <c r="C171" s="109" t="n"/>
      <c r="D171" s="225" t="n"/>
      <c r="E171" s="225" t="n"/>
      <c r="F171" s="108" t="n"/>
      <c r="G171" s="226" t="n"/>
      <c r="H171" s="108" t="n"/>
      <c r="I171" s="227">
        <f>IF(OR($C171="",$D171="",$G171="",$F171=""),0,$G171*IF($F171="Aylık",MAX(0,(YEAR(MIN(IF($E171="",TODAY(),$E171),TODAY()))-YEAR($D171))*12+MONTH(MIN(IF($E171="",TODAY(),$E171),TODAY()))-MONTH($D171)+IF(MIN(IF($E171="",TODAY(),$E171),TODAY())&gt;=EOMONTH(MIN(IF($E171="",TODAY(),$E171),TODAY()),0),1,0)),MAX(0,INT((MIN(IF($E171="",TODAY(),$E171),TODAY())-($D171+MOD(SISTEM!$F$8-WEEKDAY($D171,2),7)))/7)+1)))</f>
        <v/>
      </c>
      <c r="J171" s="227">
        <f>IF(OR($C171="",$D171="",$G171="",$F171=""),0,$G171*IF($F171="Aylık",MAX(0,(YEAR(MIN(IF($E171="",TODAY()-8,$E171),TODAY()-8))-YEAR($D171))*12+MONTH(MIN(IF($E171="",TODAY()-8,$E171),TODAY()-8))-MONTH($D171)+IF(MIN(IF($E171="",TODAY()-8,$E171),TODAY()-8)&gt;=EOMONTH(MIN(IF($E171="",TODAY()-8,$E171),TODAY()-8),0),1,0)),MAX(0,INT((MIN(IF($E171="",TODAY()-8,$E171),TODAY()-8)-($D171+MOD(SISTEM!$F$8-WEEKDAY($D171,2),7)))/7)+1)))</f>
        <v/>
      </c>
      <c r="K171" s="227">
        <f>IF(OR($C171="",$D171="",$G171="",$F171=""),0,$G171*IF($F171="Aylık",MAX(0,(YEAR(MIN(IF($E171="",TODAY()-15,$E171),TODAY()-15))-YEAR($D171))*12+MONTH(MIN(IF($E171="",TODAY()-15,$E171),TODAY()-15))-MONTH($D171)+IF(MIN(IF($E171="",TODAY()-15,$E171),TODAY()-15)&gt;=EOMONTH(MIN(IF($E171="",TODAY()-15,$E171),TODAY()-15),0),1,0)),MAX(0,INT((MIN(IF($E171="",TODAY()-15,$E171),TODAY()-15)-($D171+MOD(SISTEM!$F$8-WEEKDAY($D171,2),7)))/7)+1)))</f>
        <v/>
      </c>
      <c r="L171" s="227">
        <f>IF(OR($C171="",$D171="",$G171="",$F171=""),0,$G171*IF($F171="Aylık",MAX(0,(YEAR(MIN(IF($E171="",TODAY()-29,$E171),TODAY()-29))-YEAR($D171))*12+MONTH(MIN(IF($E171="",TODAY()-29,$E171),TODAY()-29))-MONTH($D171)+IF(MIN(IF($E171="",TODAY()-29,$E171),TODAY()-29)&gt;=EOMONTH(MIN(IF($E171="",TODAY()-29,$E171),TODAY()-29),0),1,0)),MAX(0,INT((MIN(IF($E171="",TODAY()-29,$E171),TODAY()-29)-($D171+MOD(SISTEM!$F$8-WEEKDAY($D171,2),7)))/7)+1)))</f>
        <v/>
      </c>
      <c r="M171" s="228">
        <f>IF($G171&gt;0,$I171/$G171,0)</f>
        <v/>
      </c>
      <c r="N171" s="113">
        <f>IF($C171="","",IF($B171="TANIMSIZ MÜŞTERİ","TANIMSIZ MÜŞTERİ",IF($F171="","MODEL SEÇİN",IF(OR($D171="",$G171&lt;=0),"EKSİK",IF(AND($E171&lt;&gt;"",$E171&lt;$D171),"TARİH HATASI",IF($H171="Pasif","KAPALI DÖNEM","UYGUN"))))))</f>
        <v/>
      </c>
      <c r="O171" s="229">
        <f>IF(OR($C171="",$D171="",$F171=""),"",IF($F171="Aylık",EOMONTH($D171,0),($D171+MOD(SISTEM!$F$8-WEEKDAY($D171,2),7))))</f>
        <v/>
      </c>
      <c r="P171" s="109" t="n"/>
      <c r="Q171" s="6" t="n"/>
      <c r="R171" s="6" t="n"/>
      <c r="S171" s="3">
        <f>IF($B171="","",$B171&amp;"|"&amp;COUNTIFS($B$7:$B171,$B171))</f>
        <v/>
      </c>
    </row>
    <row r="172">
      <c r="A172" s="6" t="n"/>
      <c r="B172" s="113">
        <f>IF($C172="","",IFERROR(INDEX(MUSTERILER!$B$7:$B$106,MATCH($C172,MUSTERILER!$C$7:$C$106,0)),IFERROR(INDEX(MUSTERILER!$B$7:$B$106,MATCH($C172,MUSTERILER!$B$7:$B$106,0)),IFERROR(INDEX(MUSTERILER!$B$7:$B$106,MATCH($C172&amp;"*",MUSTERILER!$C$7:$C$106,0)),"TANIMSIZ MÜŞTERİ"))))</f>
        <v/>
      </c>
      <c r="C172" s="109" t="n"/>
      <c r="D172" s="225" t="n"/>
      <c r="E172" s="225" t="n"/>
      <c r="F172" s="108" t="n"/>
      <c r="G172" s="226" t="n"/>
      <c r="H172" s="108" t="n"/>
      <c r="I172" s="227">
        <f>IF(OR($C172="",$D172="",$G172="",$F172=""),0,$G172*IF($F172="Aylık",MAX(0,(YEAR(MIN(IF($E172="",TODAY(),$E172),TODAY()))-YEAR($D172))*12+MONTH(MIN(IF($E172="",TODAY(),$E172),TODAY()))-MONTH($D172)+IF(MIN(IF($E172="",TODAY(),$E172),TODAY())&gt;=EOMONTH(MIN(IF($E172="",TODAY(),$E172),TODAY()),0),1,0)),MAX(0,INT((MIN(IF($E172="",TODAY(),$E172),TODAY())-($D172+MOD(SISTEM!$F$8-WEEKDAY($D172,2),7)))/7)+1)))</f>
        <v/>
      </c>
      <c r="J172" s="227">
        <f>IF(OR($C172="",$D172="",$G172="",$F172=""),0,$G172*IF($F172="Aylık",MAX(0,(YEAR(MIN(IF($E172="",TODAY()-8,$E172),TODAY()-8))-YEAR($D172))*12+MONTH(MIN(IF($E172="",TODAY()-8,$E172),TODAY()-8))-MONTH($D172)+IF(MIN(IF($E172="",TODAY()-8,$E172),TODAY()-8)&gt;=EOMONTH(MIN(IF($E172="",TODAY()-8,$E172),TODAY()-8),0),1,0)),MAX(0,INT((MIN(IF($E172="",TODAY()-8,$E172),TODAY()-8)-($D172+MOD(SISTEM!$F$8-WEEKDAY($D172,2),7)))/7)+1)))</f>
        <v/>
      </c>
      <c r="K172" s="227">
        <f>IF(OR($C172="",$D172="",$G172="",$F172=""),0,$G172*IF($F172="Aylık",MAX(0,(YEAR(MIN(IF($E172="",TODAY()-15,$E172),TODAY()-15))-YEAR($D172))*12+MONTH(MIN(IF($E172="",TODAY()-15,$E172),TODAY()-15))-MONTH($D172)+IF(MIN(IF($E172="",TODAY()-15,$E172),TODAY()-15)&gt;=EOMONTH(MIN(IF($E172="",TODAY()-15,$E172),TODAY()-15),0),1,0)),MAX(0,INT((MIN(IF($E172="",TODAY()-15,$E172),TODAY()-15)-($D172+MOD(SISTEM!$F$8-WEEKDAY($D172,2),7)))/7)+1)))</f>
        <v/>
      </c>
      <c r="L172" s="227">
        <f>IF(OR($C172="",$D172="",$G172="",$F172=""),0,$G172*IF($F172="Aylık",MAX(0,(YEAR(MIN(IF($E172="",TODAY()-29,$E172),TODAY()-29))-YEAR($D172))*12+MONTH(MIN(IF($E172="",TODAY()-29,$E172),TODAY()-29))-MONTH($D172)+IF(MIN(IF($E172="",TODAY()-29,$E172),TODAY()-29)&gt;=EOMONTH(MIN(IF($E172="",TODAY()-29,$E172),TODAY()-29),0),1,0)),MAX(0,INT((MIN(IF($E172="",TODAY()-29,$E172),TODAY()-29)-($D172+MOD(SISTEM!$F$8-WEEKDAY($D172,2),7)))/7)+1)))</f>
        <v/>
      </c>
      <c r="M172" s="228">
        <f>IF($G172&gt;0,$I172/$G172,0)</f>
        <v/>
      </c>
      <c r="N172" s="113">
        <f>IF($C172="","",IF($B172="TANIMSIZ MÜŞTERİ","TANIMSIZ MÜŞTERİ",IF($F172="","MODEL SEÇİN",IF(OR($D172="",$G172&lt;=0),"EKSİK",IF(AND($E172&lt;&gt;"",$E172&lt;$D172),"TARİH HATASI",IF($H172="Pasif","KAPALI DÖNEM","UYGUN"))))))</f>
        <v/>
      </c>
      <c r="O172" s="229">
        <f>IF(OR($C172="",$D172="",$F172=""),"",IF($F172="Aylık",EOMONTH($D172,0),($D172+MOD(SISTEM!$F$8-WEEKDAY($D172,2),7))))</f>
        <v/>
      </c>
      <c r="P172" s="109" t="n"/>
      <c r="Q172" s="6" t="n"/>
      <c r="R172" s="6" t="n"/>
      <c r="S172" s="3">
        <f>IF($B172="","",$B172&amp;"|"&amp;COUNTIFS($B$7:$B172,$B172))</f>
        <v/>
      </c>
    </row>
    <row r="173">
      <c r="A173" s="6" t="n"/>
      <c r="B173" s="113">
        <f>IF($C173="","",IFERROR(INDEX(MUSTERILER!$B$7:$B$106,MATCH($C173,MUSTERILER!$C$7:$C$106,0)),IFERROR(INDEX(MUSTERILER!$B$7:$B$106,MATCH($C173,MUSTERILER!$B$7:$B$106,0)),IFERROR(INDEX(MUSTERILER!$B$7:$B$106,MATCH($C173&amp;"*",MUSTERILER!$C$7:$C$106,0)),"TANIMSIZ MÜŞTERİ"))))</f>
        <v/>
      </c>
      <c r="C173" s="109" t="n"/>
      <c r="D173" s="225" t="n"/>
      <c r="E173" s="225" t="n"/>
      <c r="F173" s="108" t="n"/>
      <c r="G173" s="226" t="n"/>
      <c r="H173" s="108" t="n"/>
      <c r="I173" s="227">
        <f>IF(OR($C173="",$D173="",$G173="",$F173=""),0,$G173*IF($F173="Aylık",MAX(0,(YEAR(MIN(IF($E173="",TODAY(),$E173),TODAY()))-YEAR($D173))*12+MONTH(MIN(IF($E173="",TODAY(),$E173),TODAY()))-MONTH($D173)+IF(MIN(IF($E173="",TODAY(),$E173),TODAY())&gt;=EOMONTH(MIN(IF($E173="",TODAY(),$E173),TODAY()),0),1,0)),MAX(0,INT((MIN(IF($E173="",TODAY(),$E173),TODAY())-($D173+MOD(SISTEM!$F$8-WEEKDAY($D173,2),7)))/7)+1)))</f>
        <v/>
      </c>
      <c r="J173" s="227">
        <f>IF(OR($C173="",$D173="",$G173="",$F173=""),0,$G173*IF($F173="Aylık",MAX(0,(YEAR(MIN(IF($E173="",TODAY()-8,$E173),TODAY()-8))-YEAR($D173))*12+MONTH(MIN(IF($E173="",TODAY()-8,$E173),TODAY()-8))-MONTH($D173)+IF(MIN(IF($E173="",TODAY()-8,$E173),TODAY()-8)&gt;=EOMONTH(MIN(IF($E173="",TODAY()-8,$E173),TODAY()-8),0),1,0)),MAX(0,INT((MIN(IF($E173="",TODAY()-8,$E173),TODAY()-8)-($D173+MOD(SISTEM!$F$8-WEEKDAY($D173,2),7)))/7)+1)))</f>
        <v/>
      </c>
      <c r="K173" s="227">
        <f>IF(OR($C173="",$D173="",$G173="",$F173=""),0,$G173*IF($F173="Aylık",MAX(0,(YEAR(MIN(IF($E173="",TODAY()-15,$E173),TODAY()-15))-YEAR($D173))*12+MONTH(MIN(IF($E173="",TODAY()-15,$E173),TODAY()-15))-MONTH($D173)+IF(MIN(IF($E173="",TODAY()-15,$E173),TODAY()-15)&gt;=EOMONTH(MIN(IF($E173="",TODAY()-15,$E173),TODAY()-15),0),1,0)),MAX(0,INT((MIN(IF($E173="",TODAY()-15,$E173),TODAY()-15)-($D173+MOD(SISTEM!$F$8-WEEKDAY($D173,2),7)))/7)+1)))</f>
        <v/>
      </c>
      <c r="L173" s="227">
        <f>IF(OR($C173="",$D173="",$G173="",$F173=""),0,$G173*IF($F173="Aylık",MAX(0,(YEAR(MIN(IF($E173="",TODAY()-29,$E173),TODAY()-29))-YEAR($D173))*12+MONTH(MIN(IF($E173="",TODAY()-29,$E173),TODAY()-29))-MONTH($D173)+IF(MIN(IF($E173="",TODAY()-29,$E173),TODAY()-29)&gt;=EOMONTH(MIN(IF($E173="",TODAY()-29,$E173),TODAY()-29),0),1,0)),MAX(0,INT((MIN(IF($E173="",TODAY()-29,$E173),TODAY()-29)-($D173+MOD(SISTEM!$F$8-WEEKDAY($D173,2),7)))/7)+1)))</f>
        <v/>
      </c>
      <c r="M173" s="228">
        <f>IF($G173&gt;0,$I173/$G173,0)</f>
        <v/>
      </c>
      <c r="N173" s="113">
        <f>IF($C173="","",IF($B173="TANIMSIZ MÜŞTERİ","TANIMSIZ MÜŞTERİ",IF($F173="","MODEL SEÇİN",IF(OR($D173="",$G173&lt;=0),"EKSİK",IF(AND($E173&lt;&gt;"",$E173&lt;$D173),"TARİH HATASI",IF($H173="Pasif","KAPALI DÖNEM","UYGUN"))))))</f>
        <v/>
      </c>
      <c r="O173" s="229">
        <f>IF(OR($C173="",$D173="",$F173=""),"",IF($F173="Aylık",EOMONTH($D173,0),($D173+MOD(SISTEM!$F$8-WEEKDAY($D173,2),7))))</f>
        <v/>
      </c>
      <c r="P173" s="109" t="n"/>
      <c r="Q173" s="6" t="n"/>
      <c r="R173" s="6" t="n"/>
      <c r="S173" s="3">
        <f>IF($B173="","",$B173&amp;"|"&amp;COUNTIFS($B$7:$B173,$B173))</f>
        <v/>
      </c>
    </row>
    <row r="174">
      <c r="A174" s="6" t="n"/>
      <c r="B174" s="113">
        <f>IF($C174="","",IFERROR(INDEX(MUSTERILER!$B$7:$B$106,MATCH($C174,MUSTERILER!$C$7:$C$106,0)),IFERROR(INDEX(MUSTERILER!$B$7:$B$106,MATCH($C174,MUSTERILER!$B$7:$B$106,0)),IFERROR(INDEX(MUSTERILER!$B$7:$B$106,MATCH($C174&amp;"*",MUSTERILER!$C$7:$C$106,0)),"TANIMSIZ MÜŞTERİ"))))</f>
        <v/>
      </c>
      <c r="C174" s="109" t="n"/>
      <c r="D174" s="225" t="n"/>
      <c r="E174" s="225" t="n"/>
      <c r="F174" s="108" t="n"/>
      <c r="G174" s="226" t="n"/>
      <c r="H174" s="108" t="n"/>
      <c r="I174" s="227">
        <f>IF(OR($C174="",$D174="",$G174="",$F174=""),0,$G174*IF($F174="Aylık",MAX(0,(YEAR(MIN(IF($E174="",TODAY(),$E174),TODAY()))-YEAR($D174))*12+MONTH(MIN(IF($E174="",TODAY(),$E174),TODAY()))-MONTH($D174)+IF(MIN(IF($E174="",TODAY(),$E174),TODAY())&gt;=EOMONTH(MIN(IF($E174="",TODAY(),$E174),TODAY()),0),1,0)),MAX(0,INT((MIN(IF($E174="",TODAY(),$E174),TODAY())-($D174+MOD(SISTEM!$F$8-WEEKDAY($D174,2),7)))/7)+1)))</f>
        <v/>
      </c>
      <c r="J174" s="227">
        <f>IF(OR($C174="",$D174="",$G174="",$F174=""),0,$G174*IF($F174="Aylık",MAX(0,(YEAR(MIN(IF($E174="",TODAY()-8,$E174),TODAY()-8))-YEAR($D174))*12+MONTH(MIN(IF($E174="",TODAY()-8,$E174),TODAY()-8))-MONTH($D174)+IF(MIN(IF($E174="",TODAY()-8,$E174),TODAY()-8)&gt;=EOMONTH(MIN(IF($E174="",TODAY()-8,$E174),TODAY()-8),0),1,0)),MAX(0,INT((MIN(IF($E174="",TODAY()-8,$E174),TODAY()-8)-($D174+MOD(SISTEM!$F$8-WEEKDAY($D174,2),7)))/7)+1)))</f>
        <v/>
      </c>
      <c r="K174" s="227">
        <f>IF(OR($C174="",$D174="",$G174="",$F174=""),0,$G174*IF($F174="Aylık",MAX(0,(YEAR(MIN(IF($E174="",TODAY()-15,$E174),TODAY()-15))-YEAR($D174))*12+MONTH(MIN(IF($E174="",TODAY()-15,$E174),TODAY()-15))-MONTH($D174)+IF(MIN(IF($E174="",TODAY()-15,$E174),TODAY()-15)&gt;=EOMONTH(MIN(IF($E174="",TODAY()-15,$E174),TODAY()-15),0),1,0)),MAX(0,INT((MIN(IF($E174="",TODAY()-15,$E174),TODAY()-15)-($D174+MOD(SISTEM!$F$8-WEEKDAY($D174,2),7)))/7)+1)))</f>
        <v/>
      </c>
      <c r="L174" s="227">
        <f>IF(OR($C174="",$D174="",$G174="",$F174=""),0,$G174*IF($F174="Aylık",MAX(0,(YEAR(MIN(IF($E174="",TODAY()-29,$E174),TODAY()-29))-YEAR($D174))*12+MONTH(MIN(IF($E174="",TODAY()-29,$E174),TODAY()-29))-MONTH($D174)+IF(MIN(IF($E174="",TODAY()-29,$E174),TODAY()-29)&gt;=EOMONTH(MIN(IF($E174="",TODAY()-29,$E174),TODAY()-29),0),1,0)),MAX(0,INT((MIN(IF($E174="",TODAY()-29,$E174),TODAY()-29)-($D174+MOD(SISTEM!$F$8-WEEKDAY($D174,2),7)))/7)+1)))</f>
        <v/>
      </c>
      <c r="M174" s="228">
        <f>IF($G174&gt;0,$I174/$G174,0)</f>
        <v/>
      </c>
      <c r="N174" s="113">
        <f>IF($C174="","",IF($B174="TANIMSIZ MÜŞTERİ","TANIMSIZ MÜŞTERİ",IF($F174="","MODEL SEÇİN",IF(OR($D174="",$G174&lt;=0),"EKSİK",IF(AND($E174&lt;&gt;"",$E174&lt;$D174),"TARİH HATASI",IF($H174="Pasif","KAPALI DÖNEM","UYGUN"))))))</f>
        <v/>
      </c>
      <c r="O174" s="229">
        <f>IF(OR($C174="",$D174="",$F174=""),"",IF($F174="Aylık",EOMONTH($D174,0),($D174+MOD(SISTEM!$F$8-WEEKDAY($D174,2),7))))</f>
        <v/>
      </c>
      <c r="P174" s="109" t="n"/>
      <c r="Q174" s="6" t="n"/>
      <c r="R174" s="6" t="n"/>
      <c r="S174" s="3">
        <f>IF($B174="","",$B174&amp;"|"&amp;COUNTIFS($B$7:$B174,$B174))</f>
        <v/>
      </c>
    </row>
    <row r="175">
      <c r="A175" s="6" t="n"/>
      <c r="B175" s="113">
        <f>IF($C175="","",IFERROR(INDEX(MUSTERILER!$B$7:$B$106,MATCH($C175,MUSTERILER!$C$7:$C$106,0)),IFERROR(INDEX(MUSTERILER!$B$7:$B$106,MATCH($C175,MUSTERILER!$B$7:$B$106,0)),IFERROR(INDEX(MUSTERILER!$B$7:$B$106,MATCH($C175&amp;"*",MUSTERILER!$C$7:$C$106,0)),"TANIMSIZ MÜŞTERİ"))))</f>
        <v/>
      </c>
      <c r="C175" s="109" t="n"/>
      <c r="D175" s="225" t="n"/>
      <c r="E175" s="225" t="n"/>
      <c r="F175" s="108" t="n"/>
      <c r="G175" s="226" t="n"/>
      <c r="H175" s="108" t="n"/>
      <c r="I175" s="227">
        <f>IF(OR($C175="",$D175="",$G175="",$F175=""),0,$G175*IF($F175="Aylık",MAX(0,(YEAR(MIN(IF($E175="",TODAY(),$E175),TODAY()))-YEAR($D175))*12+MONTH(MIN(IF($E175="",TODAY(),$E175),TODAY()))-MONTH($D175)+IF(MIN(IF($E175="",TODAY(),$E175),TODAY())&gt;=EOMONTH(MIN(IF($E175="",TODAY(),$E175),TODAY()),0),1,0)),MAX(0,INT((MIN(IF($E175="",TODAY(),$E175),TODAY())-($D175+MOD(SISTEM!$F$8-WEEKDAY($D175,2),7)))/7)+1)))</f>
        <v/>
      </c>
      <c r="J175" s="227">
        <f>IF(OR($C175="",$D175="",$G175="",$F175=""),0,$G175*IF($F175="Aylık",MAX(0,(YEAR(MIN(IF($E175="",TODAY()-8,$E175),TODAY()-8))-YEAR($D175))*12+MONTH(MIN(IF($E175="",TODAY()-8,$E175),TODAY()-8))-MONTH($D175)+IF(MIN(IF($E175="",TODAY()-8,$E175),TODAY()-8)&gt;=EOMONTH(MIN(IF($E175="",TODAY()-8,$E175),TODAY()-8),0),1,0)),MAX(0,INT((MIN(IF($E175="",TODAY()-8,$E175),TODAY()-8)-($D175+MOD(SISTEM!$F$8-WEEKDAY($D175,2),7)))/7)+1)))</f>
        <v/>
      </c>
      <c r="K175" s="227">
        <f>IF(OR($C175="",$D175="",$G175="",$F175=""),0,$G175*IF($F175="Aylık",MAX(0,(YEAR(MIN(IF($E175="",TODAY()-15,$E175),TODAY()-15))-YEAR($D175))*12+MONTH(MIN(IF($E175="",TODAY()-15,$E175),TODAY()-15))-MONTH($D175)+IF(MIN(IF($E175="",TODAY()-15,$E175),TODAY()-15)&gt;=EOMONTH(MIN(IF($E175="",TODAY()-15,$E175),TODAY()-15),0),1,0)),MAX(0,INT((MIN(IF($E175="",TODAY()-15,$E175),TODAY()-15)-($D175+MOD(SISTEM!$F$8-WEEKDAY($D175,2),7)))/7)+1)))</f>
        <v/>
      </c>
      <c r="L175" s="227">
        <f>IF(OR($C175="",$D175="",$G175="",$F175=""),0,$G175*IF($F175="Aylık",MAX(0,(YEAR(MIN(IF($E175="",TODAY()-29,$E175),TODAY()-29))-YEAR($D175))*12+MONTH(MIN(IF($E175="",TODAY()-29,$E175),TODAY()-29))-MONTH($D175)+IF(MIN(IF($E175="",TODAY()-29,$E175),TODAY()-29)&gt;=EOMONTH(MIN(IF($E175="",TODAY()-29,$E175),TODAY()-29),0),1,0)),MAX(0,INT((MIN(IF($E175="",TODAY()-29,$E175),TODAY()-29)-($D175+MOD(SISTEM!$F$8-WEEKDAY($D175,2),7)))/7)+1)))</f>
        <v/>
      </c>
      <c r="M175" s="228">
        <f>IF($G175&gt;0,$I175/$G175,0)</f>
        <v/>
      </c>
      <c r="N175" s="113">
        <f>IF($C175="","",IF($B175="TANIMSIZ MÜŞTERİ","TANIMSIZ MÜŞTERİ",IF($F175="","MODEL SEÇİN",IF(OR($D175="",$G175&lt;=0),"EKSİK",IF(AND($E175&lt;&gt;"",$E175&lt;$D175),"TARİH HATASI",IF($H175="Pasif","KAPALI DÖNEM","UYGUN"))))))</f>
        <v/>
      </c>
      <c r="O175" s="229">
        <f>IF(OR($C175="",$D175="",$F175=""),"",IF($F175="Aylık",EOMONTH($D175,0),($D175+MOD(SISTEM!$F$8-WEEKDAY($D175,2),7))))</f>
        <v/>
      </c>
      <c r="P175" s="109" t="n"/>
      <c r="Q175" s="6" t="n"/>
      <c r="R175" s="6" t="n"/>
      <c r="S175" s="3">
        <f>IF($B175="","",$B175&amp;"|"&amp;COUNTIFS($B$7:$B175,$B175))</f>
        <v/>
      </c>
    </row>
    <row r="176">
      <c r="A176" s="6" t="n"/>
      <c r="B176" s="113">
        <f>IF($C176="","",IFERROR(INDEX(MUSTERILER!$B$7:$B$106,MATCH($C176,MUSTERILER!$C$7:$C$106,0)),IFERROR(INDEX(MUSTERILER!$B$7:$B$106,MATCH($C176,MUSTERILER!$B$7:$B$106,0)),IFERROR(INDEX(MUSTERILER!$B$7:$B$106,MATCH($C176&amp;"*",MUSTERILER!$C$7:$C$106,0)),"TANIMSIZ MÜŞTERİ"))))</f>
        <v/>
      </c>
      <c r="C176" s="109" t="n"/>
      <c r="D176" s="225" t="n"/>
      <c r="E176" s="225" t="n"/>
      <c r="F176" s="108" t="n"/>
      <c r="G176" s="226" t="n"/>
      <c r="H176" s="108" t="n"/>
      <c r="I176" s="227">
        <f>IF(OR($C176="",$D176="",$G176="",$F176=""),0,$G176*IF($F176="Aylık",MAX(0,(YEAR(MIN(IF($E176="",TODAY(),$E176),TODAY()))-YEAR($D176))*12+MONTH(MIN(IF($E176="",TODAY(),$E176),TODAY()))-MONTH($D176)+IF(MIN(IF($E176="",TODAY(),$E176),TODAY())&gt;=EOMONTH(MIN(IF($E176="",TODAY(),$E176),TODAY()),0),1,0)),MAX(0,INT((MIN(IF($E176="",TODAY(),$E176),TODAY())-($D176+MOD(SISTEM!$F$8-WEEKDAY($D176,2),7)))/7)+1)))</f>
        <v/>
      </c>
      <c r="J176" s="227">
        <f>IF(OR($C176="",$D176="",$G176="",$F176=""),0,$G176*IF($F176="Aylık",MAX(0,(YEAR(MIN(IF($E176="",TODAY()-8,$E176),TODAY()-8))-YEAR($D176))*12+MONTH(MIN(IF($E176="",TODAY()-8,$E176),TODAY()-8))-MONTH($D176)+IF(MIN(IF($E176="",TODAY()-8,$E176),TODAY()-8)&gt;=EOMONTH(MIN(IF($E176="",TODAY()-8,$E176),TODAY()-8),0),1,0)),MAX(0,INT((MIN(IF($E176="",TODAY()-8,$E176),TODAY()-8)-($D176+MOD(SISTEM!$F$8-WEEKDAY($D176,2),7)))/7)+1)))</f>
        <v/>
      </c>
      <c r="K176" s="227">
        <f>IF(OR($C176="",$D176="",$G176="",$F176=""),0,$G176*IF($F176="Aylık",MAX(0,(YEAR(MIN(IF($E176="",TODAY()-15,$E176),TODAY()-15))-YEAR($D176))*12+MONTH(MIN(IF($E176="",TODAY()-15,$E176),TODAY()-15))-MONTH($D176)+IF(MIN(IF($E176="",TODAY()-15,$E176),TODAY()-15)&gt;=EOMONTH(MIN(IF($E176="",TODAY()-15,$E176),TODAY()-15),0),1,0)),MAX(0,INT((MIN(IF($E176="",TODAY()-15,$E176),TODAY()-15)-($D176+MOD(SISTEM!$F$8-WEEKDAY($D176,2),7)))/7)+1)))</f>
        <v/>
      </c>
      <c r="L176" s="227">
        <f>IF(OR($C176="",$D176="",$G176="",$F176=""),0,$G176*IF($F176="Aylık",MAX(0,(YEAR(MIN(IF($E176="",TODAY()-29,$E176),TODAY()-29))-YEAR($D176))*12+MONTH(MIN(IF($E176="",TODAY()-29,$E176),TODAY()-29))-MONTH($D176)+IF(MIN(IF($E176="",TODAY()-29,$E176),TODAY()-29)&gt;=EOMONTH(MIN(IF($E176="",TODAY()-29,$E176),TODAY()-29),0),1,0)),MAX(0,INT((MIN(IF($E176="",TODAY()-29,$E176),TODAY()-29)-($D176+MOD(SISTEM!$F$8-WEEKDAY($D176,2),7)))/7)+1)))</f>
        <v/>
      </c>
      <c r="M176" s="228">
        <f>IF($G176&gt;0,$I176/$G176,0)</f>
        <v/>
      </c>
      <c r="N176" s="113">
        <f>IF($C176="","",IF($B176="TANIMSIZ MÜŞTERİ","TANIMSIZ MÜŞTERİ",IF($F176="","MODEL SEÇİN",IF(OR($D176="",$G176&lt;=0),"EKSİK",IF(AND($E176&lt;&gt;"",$E176&lt;$D176),"TARİH HATASI",IF($H176="Pasif","KAPALI DÖNEM","UYGUN"))))))</f>
        <v/>
      </c>
      <c r="O176" s="229">
        <f>IF(OR($C176="",$D176="",$F176=""),"",IF($F176="Aylık",EOMONTH($D176,0),($D176+MOD(SISTEM!$F$8-WEEKDAY($D176,2),7))))</f>
        <v/>
      </c>
      <c r="P176" s="109" t="n"/>
      <c r="Q176" s="6" t="n"/>
      <c r="R176" s="6" t="n"/>
      <c r="S176" s="3">
        <f>IF($B176="","",$B176&amp;"|"&amp;COUNTIFS($B$7:$B176,$B176))</f>
        <v/>
      </c>
    </row>
    <row r="177">
      <c r="A177" s="6" t="n"/>
      <c r="B177" s="113">
        <f>IF($C177="","",IFERROR(INDEX(MUSTERILER!$B$7:$B$106,MATCH($C177,MUSTERILER!$C$7:$C$106,0)),IFERROR(INDEX(MUSTERILER!$B$7:$B$106,MATCH($C177,MUSTERILER!$B$7:$B$106,0)),IFERROR(INDEX(MUSTERILER!$B$7:$B$106,MATCH($C177&amp;"*",MUSTERILER!$C$7:$C$106,0)),"TANIMSIZ MÜŞTERİ"))))</f>
        <v/>
      </c>
      <c r="C177" s="109" t="n"/>
      <c r="D177" s="225" t="n"/>
      <c r="E177" s="225" t="n"/>
      <c r="F177" s="108" t="n"/>
      <c r="G177" s="226" t="n"/>
      <c r="H177" s="108" t="n"/>
      <c r="I177" s="227">
        <f>IF(OR($C177="",$D177="",$G177="",$F177=""),0,$G177*IF($F177="Aylık",MAX(0,(YEAR(MIN(IF($E177="",TODAY(),$E177),TODAY()))-YEAR($D177))*12+MONTH(MIN(IF($E177="",TODAY(),$E177),TODAY()))-MONTH($D177)+IF(MIN(IF($E177="",TODAY(),$E177),TODAY())&gt;=EOMONTH(MIN(IF($E177="",TODAY(),$E177),TODAY()),0),1,0)),MAX(0,INT((MIN(IF($E177="",TODAY(),$E177),TODAY())-($D177+MOD(SISTEM!$F$8-WEEKDAY($D177,2),7)))/7)+1)))</f>
        <v/>
      </c>
      <c r="J177" s="227">
        <f>IF(OR($C177="",$D177="",$G177="",$F177=""),0,$G177*IF($F177="Aylık",MAX(0,(YEAR(MIN(IF($E177="",TODAY()-8,$E177),TODAY()-8))-YEAR($D177))*12+MONTH(MIN(IF($E177="",TODAY()-8,$E177),TODAY()-8))-MONTH($D177)+IF(MIN(IF($E177="",TODAY()-8,$E177),TODAY()-8)&gt;=EOMONTH(MIN(IF($E177="",TODAY()-8,$E177),TODAY()-8),0),1,0)),MAX(0,INT((MIN(IF($E177="",TODAY()-8,$E177),TODAY()-8)-($D177+MOD(SISTEM!$F$8-WEEKDAY($D177,2),7)))/7)+1)))</f>
        <v/>
      </c>
      <c r="K177" s="227">
        <f>IF(OR($C177="",$D177="",$G177="",$F177=""),0,$G177*IF($F177="Aylık",MAX(0,(YEAR(MIN(IF($E177="",TODAY()-15,$E177),TODAY()-15))-YEAR($D177))*12+MONTH(MIN(IF($E177="",TODAY()-15,$E177),TODAY()-15))-MONTH($D177)+IF(MIN(IF($E177="",TODAY()-15,$E177),TODAY()-15)&gt;=EOMONTH(MIN(IF($E177="",TODAY()-15,$E177),TODAY()-15),0),1,0)),MAX(0,INT((MIN(IF($E177="",TODAY()-15,$E177),TODAY()-15)-($D177+MOD(SISTEM!$F$8-WEEKDAY($D177,2),7)))/7)+1)))</f>
        <v/>
      </c>
      <c r="L177" s="227">
        <f>IF(OR($C177="",$D177="",$G177="",$F177=""),0,$G177*IF($F177="Aylık",MAX(0,(YEAR(MIN(IF($E177="",TODAY()-29,$E177),TODAY()-29))-YEAR($D177))*12+MONTH(MIN(IF($E177="",TODAY()-29,$E177),TODAY()-29))-MONTH($D177)+IF(MIN(IF($E177="",TODAY()-29,$E177),TODAY()-29)&gt;=EOMONTH(MIN(IF($E177="",TODAY()-29,$E177),TODAY()-29),0),1,0)),MAX(0,INT((MIN(IF($E177="",TODAY()-29,$E177),TODAY()-29)-($D177+MOD(SISTEM!$F$8-WEEKDAY($D177,2),7)))/7)+1)))</f>
        <v/>
      </c>
      <c r="M177" s="228">
        <f>IF($G177&gt;0,$I177/$G177,0)</f>
        <v/>
      </c>
      <c r="N177" s="113">
        <f>IF($C177="","",IF($B177="TANIMSIZ MÜŞTERİ","TANIMSIZ MÜŞTERİ",IF($F177="","MODEL SEÇİN",IF(OR($D177="",$G177&lt;=0),"EKSİK",IF(AND($E177&lt;&gt;"",$E177&lt;$D177),"TARİH HATASI",IF($H177="Pasif","KAPALI DÖNEM","UYGUN"))))))</f>
        <v/>
      </c>
      <c r="O177" s="229">
        <f>IF(OR($C177="",$D177="",$F177=""),"",IF($F177="Aylık",EOMONTH($D177,0),($D177+MOD(SISTEM!$F$8-WEEKDAY($D177,2),7))))</f>
        <v/>
      </c>
      <c r="P177" s="109" t="n"/>
      <c r="Q177" s="6" t="n"/>
      <c r="R177" s="6" t="n"/>
      <c r="S177" s="3">
        <f>IF($B177="","",$B177&amp;"|"&amp;COUNTIFS($B$7:$B177,$B177))</f>
        <v/>
      </c>
    </row>
    <row r="178">
      <c r="A178" s="6" t="n"/>
      <c r="B178" s="113">
        <f>IF($C178="","",IFERROR(INDEX(MUSTERILER!$B$7:$B$106,MATCH($C178,MUSTERILER!$C$7:$C$106,0)),IFERROR(INDEX(MUSTERILER!$B$7:$B$106,MATCH($C178,MUSTERILER!$B$7:$B$106,0)),IFERROR(INDEX(MUSTERILER!$B$7:$B$106,MATCH($C178&amp;"*",MUSTERILER!$C$7:$C$106,0)),"TANIMSIZ MÜŞTERİ"))))</f>
        <v/>
      </c>
      <c r="C178" s="109" t="n"/>
      <c r="D178" s="225" t="n"/>
      <c r="E178" s="225" t="n"/>
      <c r="F178" s="108" t="n"/>
      <c r="G178" s="226" t="n"/>
      <c r="H178" s="108" t="n"/>
      <c r="I178" s="227">
        <f>IF(OR($C178="",$D178="",$G178="",$F178=""),0,$G178*IF($F178="Aylık",MAX(0,(YEAR(MIN(IF($E178="",TODAY(),$E178),TODAY()))-YEAR($D178))*12+MONTH(MIN(IF($E178="",TODAY(),$E178),TODAY()))-MONTH($D178)+IF(MIN(IF($E178="",TODAY(),$E178),TODAY())&gt;=EOMONTH(MIN(IF($E178="",TODAY(),$E178),TODAY()),0),1,0)),MAX(0,INT((MIN(IF($E178="",TODAY(),$E178),TODAY())-($D178+MOD(SISTEM!$F$8-WEEKDAY($D178,2),7)))/7)+1)))</f>
        <v/>
      </c>
      <c r="J178" s="227">
        <f>IF(OR($C178="",$D178="",$G178="",$F178=""),0,$G178*IF($F178="Aylık",MAX(0,(YEAR(MIN(IF($E178="",TODAY()-8,$E178),TODAY()-8))-YEAR($D178))*12+MONTH(MIN(IF($E178="",TODAY()-8,$E178),TODAY()-8))-MONTH($D178)+IF(MIN(IF($E178="",TODAY()-8,$E178),TODAY()-8)&gt;=EOMONTH(MIN(IF($E178="",TODAY()-8,$E178),TODAY()-8),0),1,0)),MAX(0,INT((MIN(IF($E178="",TODAY()-8,$E178),TODAY()-8)-($D178+MOD(SISTEM!$F$8-WEEKDAY($D178,2),7)))/7)+1)))</f>
        <v/>
      </c>
      <c r="K178" s="227">
        <f>IF(OR($C178="",$D178="",$G178="",$F178=""),0,$G178*IF($F178="Aylık",MAX(0,(YEAR(MIN(IF($E178="",TODAY()-15,$E178),TODAY()-15))-YEAR($D178))*12+MONTH(MIN(IF($E178="",TODAY()-15,$E178),TODAY()-15))-MONTH($D178)+IF(MIN(IF($E178="",TODAY()-15,$E178),TODAY()-15)&gt;=EOMONTH(MIN(IF($E178="",TODAY()-15,$E178),TODAY()-15),0),1,0)),MAX(0,INT((MIN(IF($E178="",TODAY()-15,$E178),TODAY()-15)-($D178+MOD(SISTEM!$F$8-WEEKDAY($D178,2),7)))/7)+1)))</f>
        <v/>
      </c>
      <c r="L178" s="227">
        <f>IF(OR($C178="",$D178="",$G178="",$F178=""),0,$G178*IF($F178="Aylık",MAX(0,(YEAR(MIN(IF($E178="",TODAY()-29,$E178),TODAY()-29))-YEAR($D178))*12+MONTH(MIN(IF($E178="",TODAY()-29,$E178),TODAY()-29))-MONTH($D178)+IF(MIN(IF($E178="",TODAY()-29,$E178),TODAY()-29)&gt;=EOMONTH(MIN(IF($E178="",TODAY()-29,$E178),TODAY()-29),0),1,0)),MAX(0,INT((MIN(IF($E178="",TODAY()-29,$E178),TODAY()-29)-($D178+MOD(SISTEM!$F$8-WEEKDAY($D178,2),7)))/7)+1)))</f>
        <v/>
      </c>
      <c r="M178" s="228">
        <f>IF($G178&gt;0,$I178/$G178,0)</f>
        <v/>
      </c>
      <c r="N178" s="113">
        <f>IF($C178="","",IF($B178="TANIMSIZ MÜŞTERİ","TANIMSIZ MÜŞTERİ",IF($F178="","MODEL SEÇİN",IF(OR($D178="",$G178&lt;=0),"EKSİK",IF(AND($E178&lt;&gt;"",$E178&lt;$D178),"TARİH HATASI",IF($H178="Pasif","KAPALI DÖNEM","UYGUN"))))))</f>
        <v/>
      </c>
      <c r="O178" s="229">
        <f>IF(OR($C178="",$D178="",$F178=""),"",IF($F178="Aylık",EOMONTH($D178,0),($D178+MOD(SISTEM!$F$8-WEEKDAY($D178,2),7))))</f>
        <v/>
      </c>
      <c r="P178" s="109" t="n"/>
      <c r="Q178" s="6" t="n"/>
      <c r="R178" s="6" t="n"/>
      <c r="S178" s="3">
        <f>IF($B178="","",$B178&amp;"|"&amp;COUNTIFS($B$7:$B178,$B178))</f>
        <v/>
      </c>
    </row>
    <row r="179">
      <c r="A179" s="6" t="n"/>
      <c r="B179" s="113">
        <f>IF($C179="","",IFERROR(INDEX(MUSTERILER!$B$7:$B$106,MATCH($C179,MUSTERILER!$C$7:$C$106,0)),IFERROR(INDEX(MUSTERILER!$B$7:$B$106,MATCH($C179,MUSTERILER!$B$7:$B$106,0)),IFERROR(INDEX(MUSTERILER!$B$7:$B$106,MATCH($C179&amp;"*",MUSTERILER!$C$7:$C$106,0)),"TANIMSIZ MÜŞTERİ"))))</f>
        <v/>
      </c>
      <c r="C179" s="109" t="n"/>
      <c r="D179" s="225" t="n"/>
      <c r="E179" s="225" t="n"/>
      <c r="F179" s="108" t="n"/>
      <c r="G179" s="226" t="n"/>
      <c r="H179" s="108" t="n"/>
      <c r="I179" s="227">
        <f>IF(OR($C179="",$D179="",$G179="",$F179=""),0,$G179*IF($F179="Aylık",MAX(0,(YEAR(MIN(IF($E179="",TODAY(),$E179),TODAY()))-YEAR($D179))*12+MONTH(MIN(IF($E179="",TODAY(),$E179),TODAY()))-MONTH($D179)+IF(MIN(IF($E179="",TODAY(),$E179),TODAY())&gt;=EOMONTH(MIN(IF($E179="",TODAY(),$E179),TODAY()),0),1,0)),MAX(0,INT((MIN(IF($E179="",TODAY(),$E179),TODAY())-($D179+MOD(SISTEM!$F$8-WEEKDAY($D179,2),7)))/7)+1)))</f>
        <v/>
      </c>
      <c r="J179" s="227">
        <f>IF(OR($C179="",$D179="",$G179="",$F179=""),0,$G179*IF($F179="Aylık",MAX(0,(YEAR(MIN(IF($E179="",TODAY()-8,$E179),TODAY()-8))-YEAR($D179))*12+MONTH(MIN(IF($E179="",TODAY()-8,$E179),TODAY()-8))-MONTH($D179)+IF(MIN(IF($E179="",TODAY()-8,$E179),TODAY()-8)&gt;=EOMONTH(MIN(IF($E179="",TODAY()-8,$E179),TODAY()-8),0),1,0)),MAX(0,INT((MIN(IF($E179="",TODAY()-8,$E179),TODAY()-8)-($D179+MOD(SISTEM!$F$8-WEEKDAY($D179,2),7)))/7)+1)))</f>
        <v/>
      </c>
      <c r="K179" s="227">
        <f>IF(OR($C179="",$D179="",$G179="",$F179=""),0,$G179*IF($F179="Aylık",MAX(0,(YEAR(MIN(IF($E179="",TODAY()-15,$E179),TODAY()-15))-YEAR($D179))*12+MONTH(MIN(IF($E179="",TODAY()-15,$E179),TODAY()-15))-MONTH($D179)+IF(MIN(IF($E179="",TODAY()-15,$E179),TODAY()-15)&gt;=EOMONTH(MIN(IF($E179="",TODAY()-15,$E179),TODAY()-15),0),1,0)),MAX(0,INT((MIN(IF($E179="",TODAY()-15,$E179),TODAY()-15)-($D179+MOD(SISTEM!$F$8-WEEKDAY($D179,2),7)))/7)+1)))</f>
        <v/>
      </c>
      <c r="L179" s="227">
        <f>IF(OR($C179="",$D179="",$G179="",$F179=""),0,$G179*IF($F179="Aylık",MAX(0,(YEAR(MIN(IF($E179="",TODAY()-29,$E179),TODAY()-29))-YEAR($D179))*12+MONTH(MIN(IF($E179="",TODAY()-29,$E179),TODAY()-29))-MONTH($D179)+IF(MIN(IF($E179="",TODAY()-29,$E179),TODAY()-29)&gt;=EOMONTH(MIN(IF($E179="",TODAY()-29,$E179),TODAY()-29),0),1,0)),MAX(0,INT((MIN(IF($E179="",TODAY()-29,$E179),TODAY()-29)-($D179+MOD(SISTEM!$F$8-WEEKDAY($D179,2),7)))/7)+1)))</f>
        <v/>
      </c>
      <c r="M179" s="228">
        <f>IF($G179&gt;0,$I179/$G179,0)</f>
        <v/>
      </c>
      <c r="N179" s="113">
        <f>IF($C179="","",IF($B179="TANIMSIZ MÜŞTERİ","TANIMSIZ MÜŞTERİ",IF($F179="","MODEL SEÇİN",IF(OR($D179="",$G179&lt;=0),"EKSİK",IF(AND($E179&lt;&gt;"",$E179&lt;$D179),"TARİH HATASI",IF($H179="Pasif","KAPALI DÖNEM","UYGUN"))))))</f>
        <v/>
      </c>
      <c r="O179" s="229">
        <f>IF(OR($C179="",$D179="",$F179=""),"",IF($F179="Aylık",EOMONTH($D179,0),($D179+MOD(SISTEM!$F$8-WEEKDAY($D179,2),7))))</f>
        <v/>
      </c>
      <c r="P179" s="109" t="n"/>
      <c r="Q179" s="6" t="n"/>
      <c r="R179" s="6" t="n"/>
      <c r="S179" s="3">
        <f>IF($B179="","",$B179&amp;"|"&amp;COUNTIFS($B$7:$B179,$B179))</f>
        <v/>
      </c>
    </row>
    <row r="180">
      <c r="A180" s="6" t="n"/>
      <c r="B180" s="113">
        <f>IF($C180="","",IFERROR(INDEX(MUSTERILER!$B$7:$B$106,MATCH($C180,MUSTERILER!$C$7:$C$106,0)),IFERROR(INDEX(MUSTERILER!$B$7:$B$106,MATCH($C180,MUSTERILER!$B$7:$B$106,0)),IFERROR(INDEX(MUSTERILER!$B$7:$B$106,MATCH($C180&amp;"*",MUSTERILER!$C$7:$C$106,0)),"TANIMSIZ MÜŞTERİ"))))</f>
        <v/>
      </c>
      <c r="C180" s="109" t="n"/>
      <c r="D180" s="225" t="n"/>
      <c r="E180" s="225" t="n"/>
      <c r="F180" s="108" t="n"/>
      <c r="G180" s="226" t="n"/>
      <c r="H180" s="108" t="n"/>
      <c r="I180" s="227">
        <f>IF(OR($C180="",$D180="",$G180="",$F180=""),0,$G180*IF($F180="Aylık",MAX(0,(YEAR(MIN(IF($E180="",TODAY(),$E180),TODAY()))-YEAR($D180))*12+MONTH(MIN(IF($E180="",TODAY(),$E180),TODAY()))-MONTH($D180)+IF(MIN(IF($E180="",TODAY(),$E180),TODAY())&gt;=EOMONTH(MIN(IF($E180="",TODAY(),$E180),TODAY()),0),1,0)),MAX(0,INT((MIN(IF($E180="",TODAY(),$E180),TODAY())-($D180+MOD(SISTEM!$F$8-WEEKDAY($D180,2),7)))/7)+1)))</f>
        <v/>
      </c>
      <c r="J180" s="227">
        <f>IF(OR($C180="",$D180="",$G180="",$F180=""),0,$G180*IF($F180="Aylık",MAX(0,(YEAR(MIN(IF($E180="",TODAY()-8,$E180),TODAY()-8))-YEAR($D180))*12+MONTH(MIN(IF($E180="",TODAY()-8,$E180),TODAY()-8))-MONTH($D180)+IF(MIN(IF($E180="",TODAY()-8,$E180),TODAY()-8)&gt;=EOMONTH(MIN(IF($E180="",TODAY()-8,$E180),TODAY()-8),0),1,0)),MAX(0,INT((MIN(IF($E180="",TODAY()-8,$E180),TODAY()-8)-($D180+MOD(SISTEM!$F$8-WEEKDAY($D180,2),7)))/7)+1)))</f>
        <v/>
      </c>
      <c r="K180" s="227">
        <f>IF(OR($C180="",$D180="",$G180="",$F180=""),0,$G180*IF($F180="Aylık",MAX(0,(YEAR(MIN(IF($E180="",TODAY()-15,$E180),TODAY()-15))-YEAR($D180))*12+MONTH(MIN(IF($E180="",TODAY()-15,$E180),TODAY()-15))-MONTH($D180)+IF(MIN(IF($E180="",TODAY()-15,$E180),TODAY()-15)&gt;=EOMONTH(MIN(IF($E180="",TODAY()-15,$E180),TODAY()-15),0),1,0)),MAX(0,INT((MIN(IF($E180="",TODAY()-15,$E180),TODAY()-15)-($D180+MOD(SISTEM!$F$8-WEEKDAY($D180,2),7)))/7)+1)))</f>
        <v/>
      </c>
      <c r="L180" s="227">
        <f>IF(OR($C180="",$D180="",$G180="",$F180=""),0,$G180*IF($F180="Aylık",MAX(0,(YEAR(MIN(IF($E180="",TODAY()-29,$E180),TODAY()-29))-YEAR($D180))*12+MONTH(MIN(IF($E180="",TODAY()-29,$E180),TODAY()-29))-MONTH($D180)+IF(MIN(IF($E180="",TODAY()-29,$E180),TODAY()-29)&gt;=EOMONTH(MIN(IF($E180="",TODAY()-29,$E180),TODAY()-29),0),1,0)),MAX(0,INT((MIN(IF($E180="",TODAY()-29,$E180),TODAY()-29)-($D180+MOD(SISTEM!$F$8-WEEKDAY($D180,2),7)))/7)+1)))</f>
        <v/>
      </c>
      <c r="M180" s="228">
        <f>IF($G180&gt;0,$I180/$G180,0)</f>
        <v/>
      </c>
      <c r="N180" s="113">
        <f>IF($C180="","",IF($B180="TANIMSIZ MÜŞTERİ","TANIMSIZ MÜŞTERİ",IF($F180="","MODEL SEÇİN",IF(OR($D180="",$G180&lt;=0),"EKSİK",IF(AND($E180&lt;&gt;"",$E180&lt;$D180),"TARİH HATASI",IF($H180="Pasif","KAPALI DÖNEM","UYGUN"))))))</f>
        <v/>
      </c>
      <c r="O180" s="229">
        <f>IF(OR($C180="",$D180="",$F180=""),"",IF($F180="Aylık",EOMONTH($D180,0),($D180+MOD(SISTEM!$F$8-WEEKDAY($D180,2),7))))</f>
        <v/>
      </c>
      <c r="P180" s="109" t="n"/>
      <c r="Q180" s="6" t="n"/>
      <c r="R180" s="6" t="n"/>
      <c r="S180" s="3">
        <f>IF($B180="","",$B180&amp;"|"&amp;COUNTIFS($B$7:$B180,$B180))</f>
        <v/>
      </c>
    </row>
    <row r="181">
      <c r="A181" s="6" t="n"/>
      <c r="B181" s="113">
        <f>IF($C181="","",IFERROR(INDEX(MUSTERILER!$B$7:$B$106,MATCH($C181,MUSTERILER!$C$7:$C$106,0)),IFERROR(INDEX(MUSTERILER!$B$7:$B$106,MATCH($C181,MUSTERILER!$B$7:$B$106,0)),IFERROR(INDEX(MUSTERILER!$B$7:$B$106,MATCH($C181&amp;"*",MUSTERILER!$C$7:$C$106,0)),"TANIMSIZ MÜŞTERİ"))))</f>
        <v/>
      </c>
      <c r="C181" s="109" t="n"/>
      <c r="D181" s="225" t="n"/>
      <c r="E181" s="225" t="n"/>
      <c r="F181" s="108" t="n"/>
      <c r="G181" s="226" t="n"/>
      <c r="H181" s="108" t="n"/>
      <c r="I181" s="227">
        <f>IF(OR($C181="",$D181="",$G181="",$F181=""),0,$G181*IF($F181="Aylık",MAX(0,(YEAR(MIN(IF($E181="",TODAY(),$E181),TODAY()))-YEAR($D181))*12+MONTH(MIN(IF($E181="",TODAY(),$E181),TODAY()))-MONTH($D181)+IF(MIN(IF($E181="",TODAY(),$E181),TODAY())&gt;=EOMONTH(MIN(IF($E181="",TODAY(),$E181),TODAY()),0),1,0)),MAX(0,INT((MIN(IF($E181="",TODAY(),$E181),TODAY())-($D181+MOD(SISTEM!$F$8-WEEKDAY($D181,2),7)))/7)+1)))</f>
        <v/>
      </c>
      <c r="J181" s="227">
        <f>IF(OR($C181="",$D181="",$G181="",$F181=""),0,$G181*IF($F181="Aylık",MAX(0,(YEAR(MIN(IF($E181="",TODAY()-8,$E181),TODAY()-8))-YEAR($D181))*12+MONTH(MIN(IF($E181="",TODAY()-8,$E181),TODAY()-8))-MONTH($D181)+IF(MIN(IF($E181="",TODAY()-8,$E181),TODAY()-8)&gt;=EOMONTH(MIN(IF($E181="",TODAY()-8,$E181),TODAY()-8),0),1,0)),MAX(0,INT((MIN(IF($E181="",TODAY()-8,$E181),TODAY()-8)-($D181+MOD(SISTEM!$F$8-WEEKDAY($D181,2),7)))/7)+1)))</f>
        <v/>
      </c>
      <c r="K181" s="227">
        <f>IF(OR($C181="",$D181="",$G181="",$F181=""),0,$G181*IF($F181="Aylık",MAX(0,(YEAR(MIN(IF($E181="",TODAY()-15,$E181),TODAY()-15))-YEAR($D181))*12+MONTH(MIN(IF($E181="",TODAY()-15,$E181),TODAY()-15))-MONTH($D181)+IF(MIN(IF($E181="",TODAY()-15,$E181),TODAY()-15)&gt;=EOMONTH(MIN(IF($E181="",TODAY()-15,$E181),TODAY()-15),0),1,0)),MAX(0,INT((MIN(IF($E181="",TODAY()-15,$E181),TODAY()-15)-($D181+MOD(SISTEM!$F$8-WEEKDAY($D181,2),7)))/7)+1)))</f>
        <v/>
      </c>
      <c r="L181" s="227">
        <f>IF(OR($C181="",$D181="",$G181="",$F181=""),0,$G181*IF($F181="Aylık",MAX(0,(YEAR(MIN(IF($E181="",TODAY()-29,$E181),TODAY()-29))-YEAR($D181))*12+MONTH(MIN(IF($E181="",TODAY()-29,$E181),TODAY()-29))-MONTH($D181)+IF(MIN(IF($E181="",TODAY()-29,$E181),TODAY()-29)&gt;=EOMONTH(MIN(IF($E181="",TODAY()-29,$E181),TODAY()-29),0),1,0)),MAX(0,INT((MIN(IF($E181="",TODAY()-29,$E181),TODAY()-29)-($D181+MOD(SISTEM!$F$8-WEEKDAY($D181,2),7)))/7)+1)))</f>
        <v/>
      </c>
      <c r="M181" s="228">
        <f>IF($G181&gt;0,$I181/$G181,0)</f>
        <v/>
      </c>
      <c r="N181" s="113">
        <f>IF($C181="","",IF($B181="TANIMSIZ MÜŞTERİ","TANIMSIZ MÜŞTERİ",IF($F181="","MODEL SEÇİN",IF(OR($D181="",$G181&lt;=0),"EKSİK",IF(AND($E181&lt;&gt;"",$E181&lt;$D181),"TARİH HATASI",IF($H181="Pasif","KAPALI DÖNEM","UYGUN"))))))</f>
        <v/>
      </c>
      <c r="O181" s="229">
        <f>IF(OR($C181="",$D181="",$F181=""),"",IF($F181="Aylık",EOMONTH($D181,0),($D181+MOD(SISTEM!$F$8-WEEKDAY($D181,2),7))))</f>
        <v/>
      </c>
      <c r="P181" s="109" t="n"/>
      <c r="Q181" s="6" t="n"/>
      <c r="R181" s="6" t="n"/>
      <c r="S181" s="3">
        <f>IF($B181="","",$B181&amp;"|"&amp;COUNTIFS($B$7:$B181,$B181))</f>
        <v/>
      </c>
    </row>
    <row r="182">
      <c r="A182" s="6" t="n"/>
      <c r="B182" s="113">
        <f>IF($C182="","",IFERROR(INDEX(MUSTERILER!$B$7:$B$106,MATCH($C182,MUSTERILER!$C$7:$C$106,0)),IFERROR(INDEX(MUSTERILER!$B$7:$B$106,MATCH($C182,MUSTERILER!$B$7:$B$106,0)),IFERROR(INDEX(MUSTERILER!$B$7:$B$106,MATCH($C182&amp;"*",MUSTERILER!$C$7:$C$106,0)),"TANIMSIZ MÜŞTERİ"))))</f>
        <v/>
      </c>
      <c r="C182" s="109" t="n"/>
      <c r="D182" s="225" t="n"/>
      <c r="E182" s="225" t="n"/>
      <c r="F182" s="108" t="n"/>
      <c r="G182" s="226" t="n"/>
      <c r="H182" s="108" t="n"/>
      <c r="I182" s="227">
        <f>IF(OR($C182="",$D182="",$G182="",$F182=""),0,$G182*IF($F182="Aylık",MAX(0,(YEAR(MIN(IF($E182="",TODAY(),$E182),TODAY()))-YEAR($D182))*12+MONTH(MIN(IF($E182="",TODAY(),$E182),TODAY()))-MONTH($D182)+IF(MIN(IF($E182="",TODAY(),$E182),TODAY())&gt;=EOMONTH(MIN(IF($E182="",TODAY(),$E182),TODAY()),0),1,0)),MAX(0,INT((MIN(IF($E182="",TODAY(),$E182),TODAY())-($D182+MOD(SISTEM!$F$8-WEEKDAY($D182,2),7)))/7)+1)))</f>
        <v/>
      </c>
      <c r="J182" s="227">
        <f>IF(OR($C182="",$D182="",$G182="",$F182=""),0,$G182*IF($F182="Aylık",MAX(0,(YEAR(MIN(IF($E182="",TODAY()-8,$E182),TODAY()-8))-YEAR($D182))*12+MONTH(MIN(IF($E182="",TODAY()-8,$E182),TODAY()-8))-MONTH($D182)+IF(MIN(IF($E182="",TODAY()-8,$E182),TODAY()-8)&gt;=EOMONTH(MIN(IF($E182="",TODAY()-8,$E182),TODAY()-8),0),1,0)),MAX(0,INT((MIN(IF($E182="",TODAY()-8,$E182),TODAY()-8)-($D182+MOD(SISTEM!$F$8-WEEKDAY($D182,2),7)))/7)+1)))</f>
        <v/>
      </c>
      <c r="K182" s="227">
        <f>IF(OR($C182="",$D182="",$G182="",$F182=""),0,$G182*IF($F182="Aylık",MAX(0,(YEAR(MIN(IF($E182="",TODAY()-15,$E182),TODAY()-15))-YEAR($D182))*12+MONTH(MIN(IF($E182="",TODAY()-15,$E182),TODAY()-15))-MONTH($D182)+IF(MIN(IF($E182="",TODAY()-15,$E182),TODAY()-15)&gt;=EOMONTH(MIN(IF($E182="",TODAY()-15,$E182),TODAY()-15),0),1,0)),MAX(0,INT((MIN(IF($E182="",TODAY()-15,$E182),TODAY()-15)-($D182+MOD(SISTEM!$F$8-WEEKDAY($D182,2),7)))/7)+1)))</f>
        <v/>
      </c>
      <c r="L182" s="227">
        <f>IF(OR($C182="",$D182="",$G182="",$F182=""),0,$G182*IF($F182="Aylık",MAX(0,(YEAR(MIN(IF($E182="",TODAY()-29,$E182),TODAY()-29))-YEAR($D182))*12+MONTH(MIN(IF($E182="",TODAY()-29,$E182),TODAY()-29))-MONTH($D182)+IF(MIN(IF($E182="",TODAY()-29,$E182),TODAY()-29)&gt;=EOMONTH(MIN(IF($E182="",TODAY()-29,$E182),TODAY()-29),0),1,0)),MAX(0,INT((MIN(IF($E182="",TODAY()-29,$E182),TODAY()-29)-($D182+MOD(SISTEM!$F$8-WEEKDAY($D182,2),7)))/7)+1)))</f>
        <v/>
      </c>
      <c r="M182" s="228">
        <f>IF($G182&gt;0,$I182/$G182,0)</f>
        <v/>
      </c>
      <c r="N182" s="113">
        <f>IF($C182="","",IF($B182="TANIMSIZ MÜŞTERİ","TANIMSIZ MÜŞTERİ",IF($F182="","MODEL SEÇİN",IF(OR($D182="",$G182&lt;=0),"EKSİK",IF(AND($E182&lt;&gt;"",$E182&lt;$D182),"TARİH HATASI",IF($H182="Pasif","KAPALI DÖNEM","UYGUN"))))))</f>
        <v/>
      </c>
      <c r="O182" s="229">
        <f>IF(OR($C182="",$D182="",$F182=""),"",IF($F182="Aylık",EOMONTH($D182,0),($D182+MOD(SISTEM!$F$8-WEEKDAY($D182,2),7))))</f>
        <v/>
      </c>
      <c r="P182" s="109" t="n"/>
      <c r="Q182" s="6" t="n"/>
      <c r="R182" s="6" t="n"/>
      <c r="S182" s="3">
        <f>IF($B182="","",$B182&amp;"|"&amp;COUNTIFS($B$7:$B182,$B182))</f>
        <v/>
      </c>
    </row>
    <row r="183">
      <c r="A183" s="6" t="n"/>
      <c r="B183" s="113">
        <f>IF($C183="","",IFERROR(INDEX(MUSTERILER!$B$7:$B$106,MATCH($C183,MUSTERILER!$C$7:$C$106,0)),IFERROR(INDEX(MUSTERILER!$B$7:$B$106,MATCH($C183,MUSTERILER!$B$7:$B$106,0)),IFERROR(INDEX(MUSTERILER!$B$7:$B$106,MATCH($C183&amp;"*",MUSTERILER!$C$7:$C$106,0)),"TANIMSIZ MÜŞTERİ"))))</f>
        <v/>
      </c>
      <c r="C183" s="109" t="n"/>
      <c r="D183" s="225" t="n"/>
      <c r="E183" s="225" t="n"/>
      <c r="F183" s="108" t="n"/>
      <c r="G183" s="226" t="n"/>
      <c r="H183" s="108" t="n"/>
      <c r="I183" s="227">
        <f>IF(OR($C183="",$D183="",$G183="",$F183=""),0,$G183*IF($F183="Aylık",MAX(0,(YEAR(MIN(IF($E183="",TODAY(),$E183),TODAY()))-YEAR($D183))*12+MONTH(MIN(IF($E183="",TODAY(),$E183),TODAY()))-MONTH($D183)+IF(MIN(IF($E183="",TODAY(),$E183),TODAY())&gt;=EOMONTH(MIN(IF($E183="",TODAY(),$E183),TODAY()),0),1,0)),MAX(0,INT((MIN(IF($E183="",TODAY(),$E183),TODAY())-($D183+MOD(SISTEM!$F$8-WEEKDAY($D183,2),7)))/7)+1)))</f>
        <v/>
      </c>
      <c r="J183" s="227">
        <f>IF(OR($C183="",$D183="",$G183="",$F183=""),0,$G183*IF($F183="Aylık",MAX(0,(YEAR(MIN(IF($E183="",TODAY()-8,$E183),TODAY()-8))-YEAR($D183))*12+MONTH(MIN(IF($E183="",TODAY()-8,$E183),TODAY()-8))-MONTH($D183)+IF(MIN(IF($E183="",TODAY()-8,$E183),TODAY()-8)&gt;=EOMONTH(MIN(IF($E183="",TODAY()-8,$E183),TODAY()-8),0),1,0)),MAX(0,INT((MIN(IF($E183="",TODAY()-8,$E183),TODAY()-8)-($D183+MOD(SISTEM!$F$8-WEEKDAY($D183,2),7)))/7)+1)))</f>
        <v/>
      </c>
      <c r="K183" s="227">
        <f>IF(OR($C183="",$D183="",$G183="",$F183=""),0,$G183*IF($F183="Aylık",MAX(0,(YEAR(MIN(IF($E183="",TODAY()-15,$E183),TODAY()-15))-YEAR($D183))*12+MONTH(MIN(IF($E183="",TODAY()-15,$E183),TODAY()-15))-MONTH($D183)+IF(MIN(IF($E183="",TODAY()-15,$E183),TODAY()-15)&gt;=EOMONTH(MIN(IF($E183="",TODAY()-15,$E183),TODAY()-15),0),1,0)),MAX(0,INT((MIN(IF($E183="",TODAY()-15,$E183),TODAY()-15)-($D183+MOD(SISTEM!$F$8-WEEKDAY($D183,2),7)))/7)+1)))</f>
        <v/>
      </c>
      <c r="L183" s="227">
        <f>IF(OR($C183="",$D183="",$G183="",$F183=""),0,$G183*IF($F183="Aylık",MAX(0,(YEAR(MIN(IF($E183="",TODAY()-29,$E183),TODAY()-29))-YEAR($D183))*12+MONTH(MIN(IF($E183="",TODAY()-29,$E183),TODAY()-29))-MONTH($D183)+IF(MIN(IF($E183="",TODAY()-29,$E183),TODAY()-29)&gt;=EOMONTH(MIN(IF($E183="",TODAY()-29,$E183),TODAY()-29),0),1,0)),MAX(0,INT((MIN(IF($E183="",TODAY()-29,$E183),TODAY()-29)-($D183+MOD(SISTEM!$F$8-WEEKDAY($D183,2),7)))/7)+1)))</f>
        <v/>
      </c>
      <c r="M183" s="228">
        <f>IF($G183&gt;0,$I183/$G183,0)</f>
        <v/>
      </c>
      <c r="N183" s="113">
        <f>IF($C183="","",IF($B183="TANIMSIZ MÜŞTERİ","TANIMSIZ MÜŞTERİ",IF($F183="","MODEL SEÇİN",IF(OR($D183="",$G183&lt;=0),"EKSİK",IF(AND($E183&lt;&gt;"",$E183&lt;$D183),"TARİH HATASI",IF($H183="Pasif","KAPALI DÖNEM","UYGUN"))))))</f>
        <v/>
      </c>
      <c r="O183" s="229">
        <f>IF(OR($C183="",$D183="",$F183=""),"",IF($F183="Aylık",EOMONTH($D183,0),($D183+MOD(SISTEM!$F$8-WEEKDAY($D183,2),7))))</f>
        <v/>
      </c>
      <c r="P183" s="109" t="n"/>
      <c r="Q183" s="6" t="n"/>
      <c r="R183" s="6" t="n"/>
      <c r="S183" s="3">
        <f>IF($B183="","",$B183&amp;"|"&amp;COUNTIFS($B$7:$B183,$B183))</f>
        <v/>
      </c>
    </row>
    <row r="184">
      <c r="A184" s="6" t="n"/>
      <c r="B184" s="113">
        <f>IF($C184="","",IFERROR(INDEX(MUSTERILER!$B$7:$B$106,MATCH($C184,MUSTERILER!$C$7:$C$106,0)),IFERROR(INDEX(MUSTERILER!$B$7:$B$106,MATCH($C184,MUSTERILER!$B$7:$B$106,0)),IFERROR(INDEX(MUSTERILER!$B$7:$B$106,MATCH($C184&amp;"*",MUSTERILER!$C$7:$C$106,0)),"TANIMSIZ MÜŞTERİ"))))</f>
        <v/>
      </c>
      <c r="C184" s="109" t="n"/>
      <c r="D184" s="225" t="n"/>
      <c r="E184" s="225" t="n"/>
      <c r="F184" s="108" t="n"/>
      <c r="G184" s="226" t="n"/>
      <c r="H184" s="108" t="n"/>
      <c r="I184" s="227">
        <f>IF(OR($C184="",$D184="",$G184="",$F184=""),0,$G184*IF($F184="Aylık",MAX(0,(YEAR(MIN(IF($E184="",TODAY(),$E184),TODAY()))-YEAR($D184))*12+MONTH(MIN(IF($E184="",TODAY(),$E184),TODAY()))-MONTH($D184)+IF(MIN(IF($E184="",TODAY(),$E184),TODAY())&gt;=EOMONTH(MIN(IF($E184="",TODAY(),$E184),TODAY()),0),1,0)),MAX(0,INT((MIN(IF($E184="",TODAY(),$E184),TODAY())-($D184+MOD(SISTEM!$F$8-WEEKDAY($D184,2),7)))/7)+1)))</f>
        <v/>
      </c>
      <c r="J184" s="227">
        <f>IF(OR($C184="",$D184="",$G184="",$F184=""),0,$G184*IF($F184="Aylık",MAX(0,(YEAR(MIN(IF($E184="",TODAY()-8,$E184),TODAY()-8))-YEAR($D184))*12+MONTH(MIN(IF($E184="",TODAY()-8,$E184),TODAY()-8))-MONTH($D184)+IF(MIN(IF($E184="",TODAY()-8,$E184),TODAY()-8)&gt;=EOMONTH(MIN(IF($E184="",TODAY()-8,$E184),TODAY()-8),0),1,0)),MAX(0,INT((MIN(IF($E184="",TODAY()-8,$E184),TODAY()-8)-($D184+MOD(SISTEM!$F$8-WEEKDAY($D184,2),7)))/7)+1)))</f>
        <v/>
      </c>
      <c r="K184" s="227">
        <f>IF(OR($C184="",$D184="",$G184="",$F184=""),0,$G184*IF($F184="Aylık",MAX(0,(YEAR(MIN(IF($E184="",TODAY()-15,$E184),TODAY()-15))-YEAR($D184))*12+MONTH(MIN(IF($E184="",TODAY()-15,$E184),TODAY()-15))-MONTH($D184)+IF(MIN(IF($E184="",TODAY()-15,$E184),TODAY()-15)&gt;=EOMONTH(MIN(IF($E184="",TODAY()-15,$E184),TODAY()-15),0),1,0)),MAX(0,INT((MIN(IF($E184="",TODAY()-15,$E184),TODAY()-15)-($D184+MOD(SISTEM!$F$8-WEEKDAY($D184,2),7)))/7)+1)))</f>
        <v/>
      </c>
      <c r="L184" s="227">
        <f>IF(OR($C184="",$D184="",$G184="",$F184=""),0,$G184*IF($F184="Aylık",MAX(0,(YEAR(MIN(IF($E184="",TODAY()-29,$E184),TODAY()-29))-YEAR($D184))*12+MONTH(MIN(IF($E184="",TODAY()-29,$E184),TODAY()-29))-MONTH($D184)+IF(MIN(IF($E184="",TODAY()-29,$E184),TODAY()-29)&gt;=EOMONTH(MIN(IF($E184="",TODAY()-29,$E184),TODAY()-29),0),1,0)),MAX(0,INT((MIN(IF($E184="",TODAY()-29,$E184),TODAY()-29)-($D184+MOD(SISTEM!$F$8-WEEKDAY($D184,2),7)))/7)+1)))</f>
        <v/>
      </c>
      <c r="M184" s="228">
        <f>IF($G184&gt;0,$I184/$G184,0)</f>
        <v/>
      </c>
      <c r="N184" s="113">
        <f>IF($C184="","",IF($B184="TANIMSIZ MÜŞTERİ","TANIMSIZ MÜŞTERİ",IF($F184="","MODEL SEÇİN",IF(OR($D184="",$G184&lt;=0),"EKSİK",IF(AND($E184&lt;&gt;"",$E184&lt;$D184),"TARİH HATASI",IF($H184="Pasif","KAPALI DÖNEM","UYGUN"))))))</f>
        <v/>
      </c>
      <c r="O184" s="229">
        <f>IF(OR($C184="",$D184="",$F184=""),"",IF($F184="Aylık",EOMONTH($D184,0),($D184+MOD(SISTEM!$F$8-WEEKDAY($D184,2),7))))</f>
        <v/>
      </c>
      <c r="P184" s="109" t="n"/>
      <c r="Q184" s="6" t="n"/>
      <c r="R184" s="6" t="n"/>
      <c r="S184" s="3">
        <f>IF($B184="","",$B184&amp;"|"&amp;COUNTIFS($B$7:$B184,$B184))</f>
        <v/>
      </c>
    </row>
    <row r="185">
      <c r="A185" s="6" t="n"/>
      <c r="B185" s="113">
        <f>IF($C185="","",IFERROR(INDEX(MUSTERILER!$B$7:$B$106,MATCH($C185,MUSTERILER!$C$7:$C$106,0)),IFERROR(INDEX(MUSTERILER!$B$7:$B$106,MATCH($C185,MUSTERILER!$B$7:$B$106,0)),IFERROR(INDEX(MUSTERILER!$B$7:$B$106,MATCH($C185&amp;"*",MUSTERILER!$C$7:$C$106,0)),"TANIMSIZ MÜŞTERİ"))))</f>
        <v/>
      </c>
      <c r="C185" s="109" t="n"/>
      <c r="D185" s="225" t="n"/>
      <c r="E185" s="225" t="n"/>
      <c r="F185" s="108" t="n"/>
      <c r="G185" s="226" t="n"/>
      <c r="H185" s="108" t="n"/>
      <c r="I185" s="227">
        <f>IF(OR($C185="",$D185="",$G185="",$F185=""),0,$G185*IF($F185="Aylık",MAX(0,(YEAR(MIN(IF($E185="",TODAY(),$E185),TODAY()))-YEAR($D185))*12+MONTH(MIN(IF($E185="",TODAY(),$E185),TODAY()))-MONTH($D185)+IF(MIN(IF($E185="",TODAY(),$E185),TODAY())&gt;=EOMONTH(MIN(IF($E185="",TODAY(),$E185),TODAY()),0),1,0)),MAX(0,INT((MIN(IF($E185="",TODAY(),$E185),TODAY())-($D185+MOD(SISTEM!$F$8-WEEKDAY($D185,2),7)))/7)+1)))</f>
        <v/>
      </c>
      <c r="J185" s="227">
        <f>IF(OR($C185="",$D185="",$G185="",$F185=""),0,$G185*IF($F185="Aylık",MAX(0,(YEAR(MIN(IF($E185="",TODAY()-8,$E185),TODAY()-8))-YEAR($D185))*12+MONTH(MIN(IF($E185="",TODAY()-8,$E185),TODAY()-8))-MONTH($D185)+IF(MIN(IF($E185="",TODAY()-8,$E185),TODAY()-8)&gt;=EOMONTH(MIN(IF($E185="",TODAY()-8,$E185),TODAY()-8),0),1,0)),MAX(0,INT((MIN(IF($E185="",TODAY()-8,$E185),TODAY()-8)-($D185+MOD(SISTEM!$F$8-WEEKDAY($D185,2),7)))/7)+1)))</f>
        <v/>
      </c>
      <c r="K185" s="227">
        <f>IF(OR($C185="",$D185="",$G185="",$F185=""),0,$G185*IF($F185="Aylık",MAX(0,(YEAR(MIN(IF($E185="",TODAY()-15,$E185),TODAY()-15))-YEAR($D185))*12+MONTH(MIN(IF($E185="",TODAY()-15,$E185),TODAY()-15))-MONTH($D185)+IF(MIN(IF($E185="",TODAY()-15,$E185),TODAY()-15)&gt;=EOMONTH(MIN(IF($E185="",TODAY()-15,$E185),TODAY()-15),0),1,0)),MAX(0,INT((MIN(IF($E185="",TODAY()-15,$E185),TODAY()-15)-($D185+MOD(SISTEM!$F$8-WEEKDAY($D185,2),7)))/7)+1)))</f>
        <v/>
      </c>
      <c r="L185" s="227">
        <f>IF(OR($C185="",$D185="",$G185="",$F185=""),0,$G185*IF($F185="Aylık",MAX(0,(YEAR(MIN(IF($E185="",TODAY()-29,$E185),TODAY()-29))-YEAR($D185))*12+MONTH(MIN(IF($E185="",TODAY()-29,$E185),TODAY()-29))-MONTH($D185)+IF(MIN(IF($E185="",TODAY()-29,$E185),TODAY()-29)&gt;=EOMONTH(MIN(IF($E185="",TODAY()-29,$E185),TODAY()-29),0),1,0)),MAX(0,INT((MIN(IF($E185="",TODAY()-29,$E185),TODAY()-29)-($D185+MOD(SISTEM!$F$8-WEEKDAY($D185,2),7)))/7)+1)))</f>
        <v/>
      </c>
      <c r="M185" s="228">
        <f>IF($G185&gt;0,$I185/$G185,0)</f>
        <v/>
      </c>
      <c r="N185" s="113">
        <f>IF($C185="","",IF($B185="TANIMSIZ MÜŞTERİ","TANIMSIZ MÜŞTERİ",IF($F185="","MODEL SEÇİN",IF(OR($D185="",$G185&lt;=0),"EKSİK",IF(AND($E185&lt;&gt;"",$E185&lt;$D185),"TARİH HATASI",IF($H185="Pasif","KAPALI DÖNEM","UYGUN"))))))</f>
        <v/>
      </c>
      <c r="O185" s="229">
        <f>IF(OR($C185="",$D185="",$F185=""),"",IF($F185="Aylık",EOMONTH($D185,0),($D185+MOD(SISTEM!$F$8-WEEKDAY($D185,2),7))))</f>
        <v/>
      </c>
      <c r="P185" s="109" t="n"/>
      <c r="Q185" s="6" t="n"/>
      <c r="R185" s="6" t="n"/>
      <c r="S185" s="3">
        <f>IF($B185="","",$B185&amp;"|"&amp;COUNTIFS($B$7:$B185,$B185))</f>
        <v/>
      </c>
    </row>
    <row r="186">
      <c r="A186" s="6" t="n"/>
      <c r="B186" s="113">
        <f>IF($C186="","",IFERROR(INDEX(MUSTERILER!$B$7:$B$106,MATCH($C186,MUSTERILER!$C$7:$C$106,0)),IFERROR(INDEX(MUSTERILER!$B$7:$B$106,MATCH($C186,MUSTERILER!$B$7:$B$106,0)),IFERROR(INDEX(MUSTERILER!$B$7:$B$106,MATCH($C186&amp;"*",MUSTERILER!$C$7:$C$106,0)),"TANIMSIZ MÜŞTERİ"))))</f>
        <v/>
      </c>
      <c r="C186" s="109" t="n"/>
      <c r="D186" s="225" t="n"/>
      <c r="E186" s="225" t="n"/>
      <c r="F186" s="108" t="n"/>
      <c r="G186" s="226" t="n"/>
      <c r="H186" s="108" t="n"/>
      <c r="I186" s="227">
        <f>IF(OR($C186="",$D186="",$G186="",$F186=""),0,$G186*IF($F186="Aylık",MAX(0,(YEAR(MIN(IF($E186="",TODAY(),$E186),TODAY()))-YEAR($D186))*12+MONTH(MIN(IF($E186="",TODAY(),$E186),TODAY()))-MONTH($D186)+IF(MIN(IF($E186="",TODAY(),$E186),TODAY())&gt;=EOMONTH(MIN(IF($E186="",TODAY(),$E186),TODAY()),0),1,0)),MAX(0,INT((MIN(IF($E186="",TODAY(),$E186),TODAY())-($D186+MOD(SISTEM!$F$8-WEEKDAY($D186,2),7)))/7)+1)))</f>
        <v/>
      </c>
      <c r="J186" s="227">
        <f>IF(OR($C186="",$D186="",$G186="",$F186=""),0,$G186*IF($F186="Aylık",MAX(0,(YEAR(MIN(IF($E186="",TODAY()-8,$E186),TODAY()-8))-YEAR($D186))*12+MONTH(MIN(IF($E186="",TODAY()-8,$E186),TODAY()-8))-MONTH($D186)+IF(MIN(IF($E186="",TODAY()-8,$E186),TODAY()-8)&gt;=EOMONTH(MIN(IF($E186="",TODAY()-8,$E186),TODAY()-8),0),1,0)),MAX(0,INT((MIN(IF($E186="",TODAY()-8,$E186),TODAY()-8)-($D186+MOD(SISTEM!$F$8-WEEKDAY($D186,2),7)))/7)+1)))</f>
        <v/>
      </c>
      <c r="K186" s="227">
        <f>IF(OR($C186="",$D186="",$G186="",$F186=""),0,$G186*IF($F186="Aylık",MAX(0,(YEAR(MIN(IF($E186="",TODAY()-15,$E186),TODAY()-15))-YEAR($D186))*12+MONTH(MIN(IF($E186="",TODAY()-15,$E186),TODAY()-15))-MONTH($D186)+IF(MIN(IF($E186="",TODAY()-15,$E186),TODAY()-15)&gt;=EOMONTH(MIN(IF($E186="",TODAY()-15,$E186),TODAY()-15),0),1,0)),MAX(0,INT((MIN(IF($E186="",TODAY()-15,$E186),TODAY()-15)-($D186+MOD(SISTEM!$F$8-WEEKDAY($D186,2),7)))/7)+1)))</f>
        <v/>
      </c>
      <c r="L186" s="227">
        <f>IF(OR($C186="",$D186="",$G186="",$F186=""),0,$G186*IF($F186="Aylık",MAX(0,(YEAR(MIN(IF($E186="",TODAY()-29,$E186),TODAY()-29))-YEAR($D186))*12+MONTH(MIN(IF($E186="",TODAY()-29,$E186),TODAY()-29))-MONTH($D186)+IF(MIN(IF($E186="",TODAY()-29,$E186),TODAY()-29)&gt;=EOMONTH(MIN(IF($E186="",TODAY()-29,$E186),TODAY()-29),0),1,0)),MAX(0,INT((MIN(IF($E186="",TODAY()-29,$E186),TODAY()-29)-($D186+MOD(SISTEM!$F$8-WEEKDAY($D186,2),7)))/7)+1)))</f>
        <v/>
      </c>
      <c r="M186" s="228">
        <f>IF($G186&gt;0,$I186/$G186,0)</f>
        <v/>
      </c>
      <c r="N186" s="113">
        <f>IF($C186="","",IF($B186="TANIMSIZ MÜŞTERİ","TANIMSIZ MÜŞTERİ",IF($F186="","MODEL SEÇİN",IF(OR($D186="",$G186&lt;=0),"EKSİK",IF(AND($E186&lt;&gt;"",$E186&lt;$D186),"TARİH HATASI",IF($H186="Pasif","KAPALI DÖNEM","UYGUN"))))))</f>
        <v/>
      </c>
      <c r="O186" s="229">
        <f>IF(OR($C186="",$D186="",$F186=""),"",IF($F186="Aylık",EOMONTH($D186,0),($D186+MOD(SISTEM!$F$8-WEEKDAY($D186,2),7))))</f>
        <v/>
      </c>
      <c r="P186" s="109" t="n"/>
      <c r="Q186" s="6" t="n"/>
      <c r="R186" s="6" t="n"/>
      <c r="S186" s="3">
        <f>IF($B186="","",$B186&amp;"|"&amp;COUNTIFS($B$7:$B186,$B186))</f>
        <v/>
      </c>
    </row>
    <row r="187">
      <c r="A187" s="6" t="n"/>
      <c r="B187" s="113">
        <f>IF($C187="","",IFERROR(INDEX(MUSTERILER!$B$7:$B$106,MATCH($C187,MUSTERILER!$C$7:$C$106,0)),IFERROR(INDEX(MUSTERILER!$B$7:$B$106,MATCH($C187,MUSTERILER!$B$7:$B$106,0)),IFERROR(INDEX(MUSTERILER!$B$7:$B$106,MATCH($C187&amp;"*",MUSTERILER!$C$7:$C$106,0)),"TANIMSIZ MÜŞTERİ"))))</f>
        <v/>
      </c>
      <c r="C187" s="109" t="n"/>
      <c r="D187" s="225" t="n"/>
      <c r="E187" s="225" t="n"/>
      <c r="F187" s="108" t="n"/>
      <c r="G187" s="226" t="n"/>
      <c r="H187" s="108" t="n"/>
      <c r="I187" s="227">
        <f>IF(OR($C187="",$D187="",$G187="",$F187=""),0,$G187*IF($F187="Aylık",MAX(0,(YEAR(MIN(IF($E187="",TODAY(),$E187),TODAY()))-YEAR($D187))*12+MONTH(MIN(IF($E187="",TODAY(),$E187),TODAY()))-MONTH($D187)+IF(MIN(IF($E187="",TODAY(),$E187),TODAY())&gt;=EOMONTH(MIN(IF($E187="",TODAY(),$E187),TODAY()),0),1,0)),MAX(0,INT((MIN(IF($E187="",TODAY(),$E187),TODAY())-($D187+MOD(SISTEM!$F$8-WEEKDAY($D187,2),7)))/7)+1)))</f>
        <v/>
      </c>
      <c r="J187" s="227">
        <f>IF(OR($C187="",$D187="",$G187="",$F187=""),0,$G187*IF($F187="Aylık",MAX(0,(YEAR(MIN(IF($E187="",TODAY()-8,$E187),TODAY()-8))-YEAR($D187))*12+MONTH(MIN(IF($E187="",TODAY()-8,$E187),TODAY()-8))-MONTH($D187)+IF(MIN(IF($E187="",TODAY()-8,$E187),TODAY()-8)&gt;=EOMONTH(MIN(IF($E187="",TODAY()-8,$E187),TODAY()-8),0),1,0)),MAX(0,INT((MIN(IF($E187="",TODAY()-8,$E187),TODAY()-8)-($D187+MOD(SISTEM!$F$8-WEEKDAY($D187,2),7)))/7)+1)))</f>
        <v/>
      </c>
      <c r="K187" s="227">
        <f>IF(OR($C187="",$D187="",$G187="",$F187=""),0,$G187*IF($F187="Aylık",MAX(0,(YEAR(MIN(IF($E187="",TODAY()-15,$E187),TODAY()-15))-YEAR($D187))*12+MONTH(MIN(IF($E187="",TODAY()-15,$E187),TODAY()-15))-MONTH($D187)+IF(MIN(IF($E187="",TODAY()-15,$E187),TODAY()-15)&gt;=EOMONTH(MIN(IF($E187="",TODAY()-15,$E187),TODAY()-15),0),1,0)),MAX(0,INT((MIN(IF($E187="",TODAY()-15,$E187),TODAY()-15)-($D187+MOD(SISTEM!$F$8-WEEKDAY($D187,2),7)))/7)+1)))</f>
        <v/>
      </c>
      <c r="L187" s="227">
        <f>IF(OR($C187="",$D187="",$G187="",$F187=""),0,$G187*IF($F187="Aylık",MAX(0,(YEAR(MIN(IF($E187="",TODAY()-29,$E187),TODAY()-29))-YEAR($D187))*12+MONTH(MIN(IF($E187="",TODAY()-29,$E187),TODAY()-29))-MONTH($D187)+IF(MIN(IF($E187="",TODAY()-29,$E187),TODAY()-29)&gt;=EOMONTH(MIN(IF($E187="",TODAY()-29,$E187),TODAY()-29),0),1,0)),MAX(0,INT((MIN(IF($E187="",TODAY()-29,$E187),TODAY()-29)-($D187+MOD(SISTEM!$F$8-WEEKDAY($D187,2),7)))/7)+1)))</f>
        <v/>
      </c>
      <c r="M187" s="228">
        <f>IF($G187&gt;0,$I187/$G187,0)</f>
        <v/>
      </c>
      <c r="N187" s="113">
        <f>IF($C187="","",IF($B187="TANIMSIZ MÜŞTERİ","TANIMSIZ MÜŞTERİ",IF($F187="","MODEL SEÇİN",IF(OR($D187="",$G187&lt;=0),"EKSİK",IF(AND($E187&lt;&gt;"",$E187&lt;$D187),"TARİH HATASI",IF($H187="Pasif","KAPALI DÖNEM","UYGUN"))))))</f>
        <v/>
      </c>
      <c r="O187" s="229">
        <f>IF(OR($C187="",$D187="",$F187=""),"",IF($F187="Aylık",EOMONTH($D187,0),($D187+MOD(SISTEM!$F$8-WEEKDAY($D187,2),7))))</f>
        <v/>
      </c>
      <c r="P187" s="109" t="n"/>
      <c r="Q187" s="6" t="n"/>
      <c r="R187" s="6" t="n"/>
      <c r="S187" s="3">
        <f>IF($B187="","",$B187&amp;"|"&amp;COUNTIFS($B$7:$B187,$B187))</f>
        <v/>
      </c>
    </row>
    <row r="188">
      <c r="A188" s="6" t="n"/>
      <c r="B188" s="113">
        <f>IF($C188="","",IFERROR(INDEX(MUSTERILER!$B$7:$B$106,MATCH($C188,MUSTERILER!$C$7:$C$106,0)),IFERROR(INDEX(MUSTERILER!$B$7:$B$106,MATCH($C188,MUSTERILER!$B$7:$B$106,0)),IFERROR(INDEX(MUSTERILER!$B$7:$B$106,MATCH($C188&amp;"*",MUSTERILER!$C$7:$C$106,0)),"TANIMSIZ MÜŞTERİ"))))</f>
        <v/>
      </c>
      <c r="C188" s="109" t="n"/>
      <c r="D188" s="225" t="n"/>
      <c r="E188" s="225" t="n"/>
      <c r="F188" s="108" t="n"/>
      <c r="G188" s="226" t="n"/>
      <c r="H188" s="108" t="n"/>
      <c r="I188" s="227">
        <f>IF(OR($C188="",$D188="",$G188="",$F188=""),0,$G188*IF($F188="Aylık",MAX(0,(YEAR(MIN(IF($E188="",TODAY(),$E188),TODAY()))-YEAR($D188))*12+MONTH(MIN(IF($E188="",TODAY(),$E188),TODAY()))-MONTH($D188)+IF(MIN(IF($E188="",TODAY(),$E188),TODAY())&gt;=EOMONTH(MIN(IF($E188="",TODAY(),$E188),TODAY()),0),1,0)),MAX(0,INT((MIN(IF($E188="",TODAY(),$E188),TODAY())-($D188+MOD(SISTEM!$F$8-WEEKDAY($D188,2),7)))/7)+1)))</f>
        <v/>
      </c>
      <c r="J188" s="227">
        <f>IF(OR($C188="",$D188="",$G188="",$F188=""),0,$G188*IF($F188="Aylık",MAX(0,(YEAR(MIN(IF($E188="",TODAY()-8,$E188),TODAY()-8))-YEAR($D188))*12+MONTH(MIN(IF($E188="",TODAY()-8,$E188),TODAY()-8))-MONTH($D188)+IF(MIN(IF($E188="",TODAY()-8,$E188),TODAY()-8)&gt;=EOMONTH(MIN(IF($E188="",TODAY()-8,$E188),TODAY()-8),0),1,0)),MAX(0,INT((MIN(IF($E188="",TODAY()-8,$E188),TODAY()-8)-($D188+MOD(SISTEM!$F$8-WEEKDAY($D188,2),7)))/7)+1)))</f>
        <v/>
      </c>
      <c r="K188" s="227">
        <f>IF(OR($C188="",$D188="",$G188="",$F188=""),0,$G188*IF($F188="Aylık",MAX(0,(YEAR(MIN(IF($E188="",TODAY()-15,$E188),TODAY()-15))-YEAR($D188))*12+MONTH(MIN(IF($E188="",TODAY()-15,$E188),TODAY()-15))-MONTH($D188)+IF(MIN(IF($E188="",TODAY()-15,$E188),TODAY()-15)&gt;=EOMONTH(MIN(IF($E188="",TODAY()-15,$E188),TODAY()-15),0),1,0)),MAX(0,INT((MIN(IF($E188="",TODAY()-15,$E188),TODAY()-15)-($D188+MOD(SISTEM!$F$8-WEEKDAY($D188,2),7)))/7)+1)))</f>
        <v/>
      </c>
      <c r="L188" s="227">
        <f>IF(OR($C188="",$D188="",$G188="",$F188=""),0,$G188*IF($F188="Aylık",MAX(0,(YEAR(MIN(IF($E188="",TODAY()-29,$E188),TODAY()-29))-YEAR($D188))*12+MONTH(MIN(IF($E188="",TODAY()-29,$E188),TODAY()-29))-MONTH($D188)+IF(MIN(IF($E188="",TODAY()-29,$E188),TODAY()-29)&gt;=EOMONTH(MIN(IF($E188="",TODAY()-29,$E188),TODAY()-29),0),1,0)),MAX(0,INT((MIN(IF($E188="",TODAY()-29,$E188),TODAY()-29)-($D188+MOD(SISTEM!$F$8-WEEKDAY($D188,2),7)))/7)+1)))</f>
        <v/>
      </c>
      <c r="M188" s="228">
        <f>IF($G188&gt;0,$I188/$G188,0)</f>
        <v/>
      </c>
      <c r="N188" s="113">
        <f>IF($C188="","",IF($B188="TANIMSIZ MÜŞTERİ","TANIMSIZ MÜŞTERİ",IF($F188="","MODEL SEÇİN",IF(OR($D188="",$G188&lt;=0),"EKSİK",IF(AND($E188&lt;&gt;"",$E188&lt;$D188),"TARİH HATASI",IF($H188="Pasif","KAPALI DÖNEM","UYGUN"))))))</f>
        <v/>
      </c>
      <c r="O188" s="229">
        <f>IF(OR($C188="",$D188="",$F188=""),"",IF($F188="Aylık",EOMONTH($D188,0),($D188+MOD(SISTEM!$F$8-WEEKDAY($D188,2),7))))</f>
        <v/>
      </c>
      <c r="P188" s="109" t="n"/>
      <c r="Q188" s="6" t="n"/>
      <c r="R188" s="6" t="n"/>
      <c r="S188" s="3">
        <f>IF($B188="","",$B188&amp;"|"&amp;COUNTIFS($B$7:$B188,$B188))</f>
        <v/>
      </c>
    </row>
    <row r="189">
      <c r="A189" s="6" t="n"/>
      <c r="B189" s="113">
        <f>IF($C189="","",IFERROR(INDEX(MUSTERILER!$B$7:$B$106,MATCH($C189,MUSTERILER!$C$7:$C$106,0)),IFERROR(INDEX(MUSTERILER!$B$7:$B$106,MATCH($C189,MUSTERILER!$B$7:$B$106,0)),IFERROR(INDEX(MUSTERILER!$B$7:$B$106,MATCH($C189&amp;"*",MUSTERILER!$C$7:$C$106,0)),"TANIMSIZ MÜŞTERİ"))))</f>
        <v/>
      </c>
      <c r="C189" s="109" t="n"/>
      <c r="D189" s="225" t="n"/>
      <c r="E189" s="225" t="n"/>
      <c r="F189" s="108" t="n"/>
      <c r="G189" s="226" t="n"/>
      <c r="H189" s="108" t="n"/>
      <c r="I189" s="227">
        <f>IF(OR($C189="",$D189="",$G189="",$F189=""),0,$G189*IF($F189="Aylık",MAX(0,(YEAR(MIN(IF($E189="",TODAY(),$E189),TODAY()))-YEAR($D189))*12+MONTH(MIN(IF($E189="",TODAY(),$E189),TODAY()))-MONTH($D189)+IF(MIN(IF($E189="",TODAY(),$E189),TODAY())&gt;=EOMONTH(MIN(IF($E189="",TODAY(),$E189),TODAY()),0),1,0)),MAX(0,INT((MIN(IF($E189="",TODAY(),$E189),TODAY())-($D189+MOD(SISTEM!$F$8-WEEKDAY($D189,2),7)))/7)+1)))</f>
        <v/>
      </c>
      <c r="J189" s="227">
        <f>IF(OR($C189="",$D189="",$G189="",$F189=""),0,$G189*IF($F189="Aylık",MAX(0,(YEAR(MIN(IF($E189="",TODAY()-8,$E189),TODAY()-8))-YEAR($D189))*12+MONTH(MIN(IF($E189="",TODAY()-8,$E189),TODAY()-8))-MONTH($D189)+IF(MIN(IF($E189="",TODAY()-8,$E189),TODAY()-8)&gt;=EOMONTH(MIN(IF($E189="",TODAY()-8,$E189),TODAY()-8),0),1,0)),MAX(0,INT((MIN(IF($E189="",TODAY()-8,$E189),TODAY()-8)-($D189+MOD(SISTEM!$F$8-WEEKDAY($D189,2),7)))/7)+1)))</f>
        <v/>
      </c>
      <c r="K189" s="227">
        <f>IF(OR($C189="",$D189="",$G189="",$F189=""),0,$G189*IF($F189="Aylık",MAX(0,(YEAR(MIN(IF($E189="",TODAY()-15,$E189),TODAY()-15))-YEAR($D189))*12+MONTH(MIN(IF($E189="",TODAY()-15,$E189),TODAY()-15))-MONTH($D189)+IF(MIN(IF($E189="",TODAY()-15,$E189),TODAY()-15)&gt;=EOMONTH(MIN(IF($E189="",TODAY()-15,$E189),TODAY()-15),0),1,0)),MAX(0,INT((MIN(IF($E189="",TODAY()-15,$E189),TODAY()-15)-($D189+MOD(SISTEM!$F$8-WEEKDAY($D189,2),7)))/7)+1)))</f>
        <v/>
      </c>
      <c r="L189" s="227">
        <f>IF(OR($C189="",$D189="",$G189="",$F189=""),0,$G189*IF($F189="Aylık",MAX(0,(YEAR(MIN(IF($E189="",TODAY()-29,$E189),TODAY()-29))-YEAR($D189))*12+MONTH(MIN(IF($E189="",TODAY()-29,$E189),TODAY()-29))-MONTH($D189)+IF(MIN(IF($E189="",TODAY()-29,$E189),TODAY()-29)&gt;=EOMONTH(MIN(IF($E189="",TODAY()-29,$E189),TODAY()-29),0),1,0)),MAX(0,INT((MIN(IF($E189="",TODAY()-29,$E189),TODAY()-29)-($D189+MOD(SISTEM!$F$8-WEEKDAY($D189,2),7)))/7)+1)))</f>
        <v/>
      </c>
      <c r="M189" s="228">
        <f>IF($G189&gt;0,$I189/$G189,0)</f>
        <v/>
      </c>
      <c r="N189" s="113">
        <f>IF($C189="","",IF($B189="TANIMSIZ MÜŞTERİ","TANIMSIZ MÜŞTERİ",IF($F189="","MODEL SEÇİN",IF(OR($D189="",$G189&lt;=0),"EKSİK",IF(AND($E189&lt;&gt;"",$E189&lt;$D189),"TARİH HATASI",IF($H189="Pasif","KAPALI DÖNEM","UYGUN"))))))</f>
        <v/>
      </c>
      <c r="O189" s="229">
        <f>IF(OR($C189="",$D189="",$F189=""),"",IF($F189="Aylık",EOMONTH($D189,0),($D189+MOD(SISTEM!$F$8-WEEKDAY($D189,2),7))))</f>
        <v/>
      </c>
      <c r="P189" s="109" t="n"/>
      <c r="Q189" s="6" t="n"/>
      <c r="R189" s="6" t="n"/>
      <c r="S189" s="3">
        <f>IF($B189="","",$B189&amp;"|"&amp;COUNTIFS($B$7:$B189,$B189))</f>
        <v/>
      </c>
    </row>
    <row r="190">
      <c r="A190" s="6" t="n"/>
      <c r="B190" s="113">
        <f>IF($C190="","",IFERROR(INDEX(MUSTERILER!$B$7:$B$106,MATCH($C190,MUSTERILER!$C$7:$C$106,0)),IFERROR(INDEX(MUSTERILER!$B$7:$B$106,MATCH($C190,MUSTERILER!$B$7:$B$106,0)),IFERROR(INDEX(MUSTERILER!$B$7:$B$106,MATCH($C190&amp;"*",MUSTERILER!$C$7:$C$106,0)),"TANIMSIZ MÜŞTERİ"))))</f>
        <v/>
      </c>
      <c r="C190" s="109" t="n"/>
      <c r="D190" s="225" t="n"/>
      <c r="E190" s="225" t="n"/>
      <c r="F190" s="108" t="n"/>
      <c r="G190" s="226" t="n"/>
      <c r="H190" s="108" t="n"/>
      <c r="I190" s="227">
        <f>IF(OR($C190="",$D190="",$G190="",$F190=""),0,$G190*IF($F190="Aylık",MAX(0,(YEAR(MIN(IF($E190="",TODAY(),$E190),TODAY()))-YEAR($D190))*12+MONTH(MIN(IF($E190="",TODAY(),$E190),TODAY()))-MONTH($D190)+IF(MIN(IF($E190="",TODAY(),$E190),TODAY())&gt;=EOMONTH(MIN(IF($E190="",TODAY(),$E190),TODAY()),0),1,0)),MAX(0,INT((MIN(IF($E190="",TODAY(),$E190),TODAY())-($D190+MOD(SISTEM!$F$8-WEEKDAY($D190,2),7)))/7)+1)))</f>
        <v/>
      </c>
      <c r="J190" s="227">
        <f>IF(OR($C190="",$D190="",$G190="",$F190=""),0,$G190*IF($F190="Aylık",MAX(0,(YEAR(MIN(IF($E190="",TODAY()-8,$E190),TODAY()-8))-YEAR($D190))*12+MONTH(MIN(IF($E190="",TODAY()-8,$E190),TODAY()-8))-MONTH($D190)+IF(MIN(IF($E190="",TODAY()-8,$E190),TODAY()-8)&gt;=EOMONTH(MIN(IF($E190="",TODAY()-8,$E190),TODAY()-8),0),1,0)),MAX(0,INT((MIN(IF($E190="",TODAY()-8,$E190),TODAY()-8)-($D190+MOD(SISTEM!$F$8-WEEKDAY($D190,2),7)))/7)+1)))</f>
        <v/>
      </c>
      <c r="K190" s="227">
        <f>IF(OR($C190="",$D190="",$G190="",$F190=""),0,$G190*IF($F190="Aylık",MAX(0,(YEAR(MIN(IF($E190="",TODAY()-15,$E190),TODAY()-15))-YEAR($D190))*12+MONTH(MIN(IF($E190="",TODAY()-15,$E190),TODAY()-15))-MONTH($D190)+IF(MIN(IF($E190="",TODAY()-15,$E190),TODAY()-15)&gt;=EOMONTH(MIN(IF($E190="",TODAY()-15,$E190),TODAY()-15),0),1,0)),MAX(0,INT((MIN(IF($E190="",TODAY()-15,$E190),TODAY()-15)-($D190+MOD(SISTEM!$F$8-WEEKDAY($D190,2),7)))/7)+1)))</f>
        <v/>
      </c>
      <c r="L190" s="227">
        <f>IF(OR($C190="",$D190="",$G190="",$F190=""),0,$G190*IF($F190="Aylık",MAX(0,(YEAR(MIN(IF($E190="",TODAY()-29,$E190),TODAY()-29))-YEAR($D190))*12+MONTH(MIN(IF($E190="",TODAY()-29,$E190),TODAY()-29))-MONTH($D190)+IF(MIN(IF($E190="",TODAY()-29,$E190),TODAY()-29)&gt;=EOMONTH(MIN(IF($E190="",TODAY()-29,$E190),TODAY()-29),0),1,0)),MAX(0,INT((MIN(IF($E190="",TODAY()-29,$E190),TODAY()-29)-($D190+MOD(SISTEM!$F$8-WEEKDAY($D190,2),7)))/7)+1)))</f>
        <v/>
      </c>
      <c r="M190" s="228">
        <f>IF($G190&gt;0,$I190/$G190,0)</f>
        <v/>
      </c>
      <c r="N190" s="113">
        <f>IF($C190="","",IF($B190="TANIMSIZ MÜŞTERİ","TANIMSIZ MÜŞTERİ",IF($F190="","MODEL SEÇİN",IF(OR($D190="",$G190&lt;=0),"EKSİK",IF(AND($E190&lt;&gt;"",$E190&lt;$D190),"TARİH HATASI",IF($H190="Pasif","KAPALI DÖNEM","UYGUN"))))))</f>
        <v/>
      </c>
      <c r="O190" s="229">
        <f>IF(OR($C190="",$D190="",$F190=""),"",IF($F190="Aylık",EOMONTH($D190,0),($D190+MOD(SISTEM!$F$8-WEEKDAY($D190,2),7))))</f>
        <v/>
      </c>
      <c r="P190" s="109" t="n"/>
      <c r="Q190" s="6" t="n"/>
      <c r="R190" s="6" t="n"/>
      <c r="S190" s="3">
        <f>IF($B190="","",$B190&amp;"|"&amp;COUNTIFS($B$7:$B190,$B190))</f>
        <v/>
      </c>
    </row>
    <row r="191">
      <c r="A191" s="6" t="n"/>
      <c r="B191" s="113">
        <f>IF($C191="","",IFERROR(INDEX(MUSTERILER!$B$7:$B$106,MATCH($C191,MUSTERILER!$C$7:$C$106,0)),IFERROR(INDEX(MUSTERILER!$B$7:$B$106,MATCH($C191,MUSTERILER!$B$7:$B$106,0)),IFERROR(INDEX(MUSTERILER!$B$7:$B$106,MATCH($C191&amp;"*",MUSTERILER!$C$7:$C$106,0)),"TANIMSIZ MÜŞTERİ"))))</f>
        <v/>
      </c>
      <c r="C191" s="109" t="n"/>
      <c r="D191" s="225" t="n"/>
      <c r="E191" s="225" t="n"/>
      <c r="F191" s="108" t="n"/>
      <c r="G191" s="226" t="n"/>
      <c r="H191" s="108" t="n"/>
      <c r="I191" s="227">
        <f>IF(OR($C191="",$D191="",$G191="",$F191=""),0,$G191*IF($F191="Aylık",MAX(0,(YEAR(MIN(IF($E191="",TODAY(),$E191),TODAY()))-YEAR($D191))*12+MONTH(MIN(IF($E191="",TODAY(),$E191),TODAY()))-MONTH($D191)+IF(MIN(IF($E191="",TODAY(),$E191),TODAY())&gt;=EOMONTH(MIN(IF($E191="",TODAY(),$E191),TODAY()),0),1,0)),MAX(0,INT((MIN(IF($E191="",TODAY(),$E191),TODAY())-($D191+MOD(SISTEM!$F$8-WEEKDAY($D191,2),7)))/7)+1)))</f>
        <v/>
      </c>
      <c r="J191" s="227">
        <f>IF(OR($C191="",$D191="",$G191="",$F191=""),0,$G191*IF($F191="Aylık",MAX(0,(YEAR(MIN(IF($E191="",TODAY()-8,$E191),TODAY()-8))-YEAR($D191))*12+MONTH(MIN(IF($E191="",TODAY()-8,$E191),TODAY()-8))-MONTH($D191)+IF(MIN(IF($E191="",TODAY()-8,$E191),TODAY()-8)&gt;=EOMONTH(MIN(IF($E191="",TODAY()-8,$E191),TODAY()-8),0),1,0)),MAX(0,INT((MIN(IF($E191="",TODAY()-8,$E191),TODAY()-8)-($D191+MOD(SISTEM!$F$8-WEEKDAY($D191,2),7)))/7)+1)))</f>
        <v/>
      </c>
      <c r="K191" s="227">
        <f>IF(OR($C191="",$D191="",$G191="",$F191=""),0,$G191*IF($F191="Aylık",MAX(0,(YEAR(MIN(IF($E191="",TODAY()-15,$E191),TODAY()-15))-YEAR($D191))*12+MONTH(MIN(IF($E191="",TODAY()-15,$E191),TODAY()-15))-MONTH($D191)+IF(MIN(IF($E191="",TODAY()-15,$E191),TODAY()-15)&gt;=EOMONTH(MIN(IF($E191="",TODAY()-15,$E191),TODAY()-15),0),1,0)),MAX(0,INT((MIN(IF($E191="",TODAY()-15,$E191),TODAY()-15)-($D191+MOD(SISTEM!$F$8-WEEKDAY($D191,2),7)))/7)+1)))</f>
        <v/>
      </c>
      <c r="L191" s="227">
        <f>IF(OR($C191="",$D191="",$G191="",$F191=""),0,$G191*IF($F191="Aylık",MAX(0,(YEAR(MIN(IF($E191="",TODAY()-29,$E191),TODAY()-29))-YEAR($D191))*12+MONTH(MIN(IF($E191="",TODAY()-29,$E191),TODAY()-29))-MONTH($D191)+IF(MIN(IF($E191="",TODAY()-29,$E191),TODAY()-29)&gt;=EOMONTH(MIN(IF($E191="",TODAY()-29,$E191),TODAY()-29),0),1,0)),MAX(0,INT((MIN(IF($E191="",TODAY()-29,$E191),TODAY()-29)-($D191+MOD(SISTEM!$F$8-WEEKDAY($D191,2),7)))/7)+1)))</f>
        <v/>
      </c>
      <c r="M191" s="228">
        <f>IF($G191&gt;0,$I191/$G191,0)</f>
        <v/>
      </c>
      <c r="N191" s="113">
        <f>IF($C191="","",IF($B191="TANIMSIZ MÜŞTERİ","TANIMSIZ MÜŞTERİ",IF($F191="","MODEL SEÇİN",IF(OR($D191="",$G191&lt;=0),"EKSİK",IF(AND($E191&lt;&gt;"",$E191&lt;$D191),"TARİH HATASI",IF($H191="Pasif","KAPALI DÖNEM","UYGUN"))))))</f>
        <v/>
      </c>
      <c r="O191" s="229">
        <f>IF(OR($C191="",$D191="",$F191=""),"",IF($F191="Aylık",EOMONTH($D191,0),($D191+MOD(SISTEM!$F$8-WEEKDAY($D191,2),7))))</f>
        <v/>
      </c>
      <c r="P191" s="109" t="n"/>
      <c r="Q191" s="6" t="n"/>
      <c r="R191" s="6" t="n"/>
      <c r="S191" s="3">
        <f>IF($B191="","",$B191&amp;"|"&amp;COUNTIFS($B$7:$B191,$B191))</f>
        <v/>
      </c>
    </row>
    <row r="192">
      <c r="A192" s="6" t="n"/>
      <c r="B192" s="113">
        <f>IF($C192="","",IFERROR(INDEX(MUSTERILER!$B$7:$B$106,MATCH($C192,MUSTERILER!$C$7:$C$106,0)),IFERROR(INDEX(MUSTERILER!$B$7:$B$106,MATCH($C192,MUSTERILER!$B$7:$B$106,0)),IFERROR(INDEX(MUSTERILER!$B$7:$B$106,MATCH($C192&amp;"*",MUSTERILER!$C$7:$C$106,0)),"TANIMSIZ MÜŞTERİ"))))</f>
        <v/>
      </c>
      <c r="C192" s="109" t="n"/>
      <c r="D192" s="225" t="n"/>
      <c r="E192" s="225" t="n"/>
      <c r="F192" s="108" t="n"/>
      <c r="G192" s="226" t="n"/>
      <c r="H192" s="108" t="n"/>
      <c r="I192" s="227">
        <f>IF(OR($C192="",$D192="",$G192="",$F192=""),0,$G192*IF($F192="Aylık",MAX(0,(YEAR(MIN(IF($E192="",TODAY(),$E192),TODAY()))-YEAR($D192))*12+MONTH(MIN(IF($E192="",TODAY(),$E192),TODAY()))-MONTH($D192)+IF(MIN(IF($E192="",TODAY(),$E192),TODAY())&gt;=EOMONTH(MIN(IF($E192="",TODAY(),$E192),TODAY()),0),1,0)),MAX(0,INT((MIN(IF($E192="",TODAY(),$E192),TODAY())-($D192+MOD(SISTEM!$F$8-WEEKDAY($D192,2),7)))/7)+1)))</f>
        <v/>
      </c>
      <c r="J192" s="227">
        <f>IF(OR($C192="",$D192="",$G192="",$F192=""),0,$G192*IF($F192="Aylık",MAX(0,(YEAR(MIN(IF($E192="",TODAY()-8,$E192),TODAY()-8))-YEAR($D192))*12+MONTH(MIN(IF($E192="",TODAY()-8,$E192),TODAY()-8))-MONTH($D192)+IF(MIN(IF($E192="",TODAY()-8,$E192),TODAY()-8)&gt;=EOMONTH(MIN(IF($E192="",TODAY()-8,$E192),TODAY()-8),0),1,0)),MAX(0,INT((MIN(IF($E192="",TODAY()-8,$E192),TODAY()-8)-($D192+MOD(SISTEM!$F$8-WEEKDAY($D192,2),7)))/7)+1)))</f>
        <v/>
      </c>
      <c r="K192" s="227">
        <f>IF(OR($C192="",$D192="",$G192="",$F192=""),0,$G192*IF($F192="Aylık",MAX(0,(YEAR(MIN(IF($E192="",TODAY()-15,$E192),TODAY()-15))-YEAR($D192))*12+MONTH(MIN(IF($E192="",TODAY()-15,$E192),TODAY()-15))-MONTH($D192)+IF(MIN(IF($E192="",TODAY()-15,$E192),TODAY()-15)&gt;=EOMONTH(MIN(IF($E192="",TODAY()-15,$E192),TODAY()-15),0),1,0)),MAX(0,INT((MIN(IF($E192="",TODAY()-15,$E192),TODAY()-15)-($D192+MOD(SISTEM!$F$8-WEEKDAY($D192,2),7)))/7)+1)))</f>
        <v/>
      </c>
      <c r="L192" s="227">
        <f>IF(OR($C192="",$D192="",$G192="",$F192=""),0,$G192*IF($F192="Aylık",MAX(0,(YEAR(MIN(IF($E192="",TODAY()-29,$E192),TODAY()-29))-YEAR($D192))*12+MONTH(MIN(IF($E192="",TODAY()-29,$E192),TODAY()-29))-MONTH($D192)+IF(MIN(IF($E192="",TODAY()-29,$E192),TODAY()-29)&gt;=EOMONTH(MIN(IF($E192="",TODAY()-29,$E192),TODAY()-29),0),1,0)),MAX(0,INT((MIN(IF($E192="",TODAY()-29,$E192),TODAY()-29)-($D192+MOD(SISTEM!$F$8-WEEKDAY($D192,2),7)))/7)+1)))</f>
        <v/>
      </c>
      <c r="M192" s="228">
        <f>IF($G192&gt;0,$I192/$G192,0)</f>
        <v/>
      </c>
      <c r="N192" s="113">
        <f>IF($C192="","",IF($B192="TANIMSIZ MÜŞTERİ","TANIMSIZ MÜŞTERİ",IF($F192="","MODEL SEÇİN",IF(OR($D192="",$G192&lt;=0),"EKSİK",IF(AND($E192&lt;&gt;"",$E192&lt;$D192),"TARİH HATASI",IF($H192="Pasif","KAPALI DÖNEM","UYGUN"))))))</f>
        <v/>
      </c>
      <c r="O192" s="229">
        <f>IF(OR($C192="",$D192="",$F192=""),"",IF($F192="Aylık",EOMONTH($D192,0),($D192+MOD(SISTEM!$F$8-WEEKDAY($D192,2),7))))</f>
        <v/>
      </c>
      <c r="P192" s="109" t="n"/>
      <c r="Q192" s="6" t="n"/>
      <c r="R192" s="6" t="n"/>
      <c r="S192" s="3">
        <f>IF($B192="","",$B192&amp;"|"&amp;COUNTIFS($B$7:$B192,$B192))</f>
        <v/>
      </c>
    </row>
    <row r="193">
      <c r="A193" s="6" t="n"/>
      <c r="B193" s="113">
        <f>IF($C193="","",IFERROR(INDEX(MUSTERILER!$B$7:$B$106,MATCH($C193,MUSTERILER!$C$7:$C$106,0)),IFERROR(INDEX(MUSTERILER!$B$7:$B$106,MATCH($C193,MUSTERILER!$B$7:$B$106,0)),IFERROR(INDEX(MUSTERILER!$B$7:$B$106,MATCH($C193&amp;"*",MUSTERILER!$C$7:$C$106,0)),"TANIMSIZ MÜŞTERİ"))))</f>
        <v/>
      </c>
      <c r="C193" s="109" t="n"/>
      <c r="D193" s="225" t="n"/>
      <c r="E193" s="225" t="n"/>
      <c r="F193" s="108" t="n"/>
      <c r="G193" s="226" t="n"/>
      <c r="H193" s="108" t="n"/>
      <c r="I193" s="227">
        <f>IF(OR($C193="",$D193="",$G193="",$F193=""),0,$G193*IF($F193="Aylık",MAX(0,(YEAR(MIN(IF($E193="",TODAY(),$E193),TODAY()))-YEAR($D193))*12+MONTH(MIN(IF($E193="",TODAY(),$E193),TODAY()))-MONTH($D193)+IF(MIN(IF($E193="",TODAY(),$E193),TODAY())&gt;=EOMONTH(MIN(IF($E193="",TODAY(),$E193),TODAY()),0),1,0)),MAX(0,INT((MIN(IF($E193="",TODAY(),$E193),TODAY())-($D193+MOD(SISTEM!$F$8-WEEKDAY($D193,2),7)))/7)+1)))</f>
        <v/>
      </c>
      <c r="J193" s="227">
        <f>IF(OR($C193="",$D193="",$G193="",$F193=""),0,$G193*IF($F193="Aylık",MAX(0,(YEAR(MIN(IF($E193="",TODAY()-8,$E193),TODAY()-8))-YEAR($D193))*12+MONTH(MIN(IF($E193="",TODAY()-8,$E193),TODAY()-8))-MONTH($D193)+IF(MIN(IF($E193="",TODAY()-8,$E193),TODAY()-8)&gt;=EOMONTH(MIN(IF($E193="",TODAY()-8,$E193),TODAY()-8),0),1,0)),MAX(0,INT((MIN(IF($E193="",TODAY()-8,$E193),TODAY()-8)-($D193+MOD(SISTEM!$F$8-WEEKDAY($D193,2),7)))/7)+1)))</f>
        <v/>
      </c>
      <c r="K193" s="227">
        <f>IF(OR($C193="",$D193="",$G193="",$F193=""),0,$G193*IF($F193="Aylık",MAX(0,(YEAR(MIN(IF($E193="",TODAY()-15,$E193),TODAY()-15))-YEAR($D193))*12+MONTH(MIN(IF($E193="",TODAY()-15,$E193),TODAY()-15))-MONTH($D193)+IF(MIN(IF($E193="",TODAY()-15,$E193),TODAY()-15)&gt;=EOMONTH(MIN(IF($E193="",TODAY()-15,$E193),TODAY()-15),0),1,0)),MAX(0,INT((MIN(IF($E193="",TODAY()-15,$E193),TODAY()-15)-($D193+MOD(SISTEM!$F$8-WEEKDAY($D193,2),7)))/7)+1)))</f>
        <v/>
      </c>
      <c r="L193" s="227">
        <f>IF(OR($C193="",$D193="",$G193="",$F193=""),0,$G193*IF($F193="Aylık",MAX(0,(YEAR(MIN(IF($E193="",TODAY()-29,$E193),TODAY()-29))-YEAR($D193))*12+MONTH(MIN(IF($E193="",TODAY()-29,$E193),TODAY()-29))-MONTH($D193)+IF(MIN(IF($E193="",TODAY()-29,$E193),TODAY()-29)&gt;=EOMONTH(MIN(IF($E193="",TODAY()-29,$E193),TODAY()-29),0),1,0)),MAX(0,INT((MIN(IF($E193="",TODAY()-29,$E193),TODAY()-29)-($D193+MOD(SISTEM!$F$8-WEEKDAY($D193,2),7)))/7)+1)))</f>
        <v/>
      </c>
      <c r="M193" s="228">
        <f>IF($G193&gt;0,$I193/$G193,0)</f>
        <v/>
      </c>
      <c r="N193" s="113">
        <f>IF($C193="","",IF($B193="TANIMSIZ MÜŞTERİ","TANIMSIZ MÜŞTERİ",IF($F193="","MODEL SEÇİN",IF(OR($D193="",$G193&lt;=0),"EKSİK",IF(AND($E193&lt;&gt;"",$E193&lt;$D193),"TARİH HATASI",IF($H193="Pasif","KAPALI DÖNEM","UYGUN"))))))</f>
        <v/>
      </c>
      <c r="O193" s="229">
        <f>IF(OR($C193="",$D193="",$F193=""),"",IF($F193="Aylık",EOMONTH($D193,0),($D193+MOD(SISTEM!$F$8-WEEKDAY($D193,2),7))))</f>
        <v/>
      </c>
      <c r="P193" s="109" t="n"/>
      <c r="Q193" s="6" t="n"/>
      <c r="R193" s="6" t="n"/>
      <c r="S193" s="3">
        <f>IF($B193="","",$B193&amp;"|"&amp;COUNTIFS($B$7:$B193,$B193))</f>
        <v/>
      </c>
    </row>
    <row r="194">
      <c r="A194" s="6" t="n"/>
      <c r="B194" s="113">
        <f>IF($C194="","",IFERROR(INDEX(MUSTERILER!$B$7:$B$106,MATCH($C194,MUSTERILER!$C$7:$C$106,0)),IFERROR(INDEX(MUSTERILER!$B$7:$B$106,MATCH($C194,MUSTERILER!$B$7:$B$106,0)),IFERROR(INDEX(MUSTERILER!$B$7:$B$106,MATCH($C194&amp;"*",MUSTERILER!$C$7:$C$106,0)),"TANIMSIZ MÜŞTERİ"))))</f>
        <v/>
      </c>
      <c r="C194" s="109" t="n"/>
      <c r="D194" s="225" t="n"/>
      <c r="E194" s="225" t="n"/>
      <c r="F194" s="108" t="n"/>
      <c r="G194" s="226" t="n"/>
      <c r="H194" s="108" t="n"/>
      <c r="I194" s="227">
        <f>IF(OR($C194="",$D194="",$G194="",$F194=""),0,$G194*IF($F194="Aylık",MAX(0,(YEAR(MIN(IF($E194="",TODAY(),$E194),TODAY()))-YEAR($D194))*12+MONTH(MIN(IF($E194="",TODAY(),$E194),TODAY()))-MONTH($D194)+IF(MIN(IF($E194="",TODAY(),$E194),TODAY())&gt;=EOMONTH(MIN(IF($E194="",TODAY(),$E194),TODAY()),0),1,0)),MAX(0,INT((MIN(IF($E194="",TODAY(),$E194),TODAY())-($D194+MOD(SISTEM!$F$8-WEEKDAY($D194,2),7)))/7)+1)))</f>
        <v/>
      </c>
      <c r="J194" s="227">
        <f>IF(OR($C194="",$D194="",$G194="",$F194=""),0,$G194*IF($F194="Aylık",MAX(0,(YEAR(MIN(IF($E194="",TODAY()-8,$E194),TODAY()-8))-YEAR($D194))*12+MONTH(MIN(IF($E194="",TODAY()-8,$E194),TODAY()-8))-MONTH($D194)+IF(MIN(IF($E194="",TODAY()-8,$E194),TODAY()-8)&gt;=EOMONTH(MIN(IF($E194="",TODAY()-8,$E194),TODAY()-8),0),1,0)),MAX(0,INT((MIN(IF($E194="",TODAY()-8,$E194),TODAY()-8)-($D194+MOD(SISTEM!$F$8-WEEKDAY($D194,2),7)))/7)+1)))</f>
        <v/>
      </c>
      <c r="K194" s="227">
        <f>IF(OR($C194="",$D194="",$G194="",$F194=""),0,$G194*IF($F194="Aylık",MAX(0,(YEAR(MIN(IF($E194="",TODAY()-15,$E194),TODAY()-15))-YEAR($D194))*12+MONTH(MIN(IF($E194="",TODAY()-15,$E194),TODAY()-15))-MONTH($D194)+IF(MIN(IF($E194="",TODAY()-15,$E194),TODAY()-15)&gt;=EOMONTH(MIN(IF($E194="",TODAY()-15,$E194),TODAY()-15),0),1,0)),MAX(0,INT((MIN(IF($E194="",TODAY()-15,$E194),TODAY()-15)-($D194+MOD(SISTEM!$F$8-WEEKDAY($D194,2),7)))/7)+1)))</f>
        <v/>
      </c>
      <c r="L194" s="227">
        <f>IF(OR($C194="",$D194="",$G194="",$F194=""),0,$G194*IF($F194="Aylık",MAX(0,(YEAR(MIN(IF($E194="",TODAY()-29,$E194),TODAY()-29))-YEAR($D194))*12+MONTH(MIN(IF($E194="",TODAY()-29,$E194),TODAY()-29))-MONTH($D194)+IF(MIN(IF($E194="",TODAY()-29,$E194),TODAY()-29)&gt;=EOMONTH(MIN(IF($E194="",TODAY()-29,$E194),TODAY()-29),0),1,0)),MAX(0,INT((MIN(IF($E194="",TODAY()-29,$E194),TODAY()-29)-($D194+MOD(SISTEM!$F$8-WEEKDAY($D194,2),7)))/7)+1)))</f>
        <v/>
      </c>
      <c r="M194" s="228">
        <f>IF($G194&gt;0,$I194/$G194,0)</f>
        <v/>
      </c>
      <c r="N194" s="113">
        <f>IF($C194="","",IF($B194="TANIMSIZ MÜŞTERİ","TANIMSIZ MÜŞTERİ",IF($F194="","MODEL SEÇİN",IF(OR($D194="",$G194&lt;=0),"EKSİK",IF(AND($E194&lt;&gt;"",$E194&lt;$D194),"TARİH HATASI",IF($H194="Pasif","KAPALI DÖNEM","UYGUN"))))))</f>
        <v/>
      </c>
      <c r="O194" s="229">
        <f>IF(OR($C194="",$D194="",$F194=""),"",IF($F194="Aylık",EOMONTH($D194,0),($D194+MOD(SISTEM!$F$8-WEEKDAY($D194,2),7))))</f>
        <v/>
      </c>
      <c r="P194" s="109" t="n"/>
      <c r="Q194" s="6" t="n"/>
      <c r="R194" s="6" t="n"/>
      <c r="S194" s="3">
        <f>IF($B194="","",$B194&amp;"|"&amp;COUNTIFS($B$7:$B194,$B194))</f>
        <v/>
      </c>
    </row>
    <row r="195">
      <c r="A195" s="6" t="n"/>
      <c r="B195" s="113">
        <f>IF($C195="","",IFERROR(INDEX(MUSTERILER!$B$7:$B$106,MATCH($C195,MUSTERILER!$C$7:$C$106,0)),IFERROR(INDEX(MUSTERILER!$B$7:$B$106,MATCH($C195,MUSTERILER!$B$7:$B$106,0)),IFERROR(INDEX(MUSTERILER!$B$7:$B$106,MATCH($C195&amp;"*",MUSTERILER!$C$7:$C$106,0)),"TANIMSIZ MÜŞTERİ"))))</f>
        <v/>
      </c>
      <c r="C195" s="109" t="n"/>
      <c r="D195" s="225" t="n"/>
      <c r="E195" s="225" t="n"/>
      <c r="F195" s="108" t="n"/>
      <c r="G195" s="226" t="n"/>
      <c r="H195" s="108" t="n"/>
      <c r="I195" s="227">
        <f>IF(OR($C195="",$D195="",$G195="",$F195=""),0,$G195*IF($F195="Aylık",MAX(0,(YEAR(MIN(IF($E195="",TODAY(),$E195),TODAY()))-YEAR($D195))*12+MONTH(MIN(IF($E195="",TODAY(),$E195),TODAY()))-MONTH($D195)+IF(MIN(IF($E195="",TODAY(),$E195),TODAY())&gt;=EOMONTH(MIN(IF($E195="",TODAY(),$E195),TODAY()),0),1,0)),MAX(0,INT((MIN(IF($E195="",TODAY(),$E195),TODAY())-($D195+MOD(SISTEM!$F$8-WEEKDAY($D195,2),7)))/7)+1)))</f>
        <v/>
      </c>
      <c r="J195" s="227">
        <f>IF(OR($C195="",$D195="",$G195="",$F195=""),0,$G195*IF($F195="Aylık",MAX(0,(YEAR(MIN(IF($E195="",TODAY()-8,$E195),TODAY()-8))-YEAR($D195))*12+MONTH(MIN(IF($E195="",TODAY()-8,$E195),TODAY()-8))-MONTH($D195)+IF(MIN(IF($E195="",TODAY()-8,$E195),TODAY()-8)&gt;=EOMONTH(MIN(IF($E195="",TODAY()-8,$E195),TODAY()-8),0),1,0)),MAX(0,INT((MIN(IF($E195="",TODAY()-8,$E195),TODAY()-8)-($D195+MOD(SISTEM!$F$8-WEEKDAY($D195,2),7)))/7)+1)))</f>
        <v/>
      </c>
      <c r="K195" s="227">
        <f>IF(OR($C195="",$D195="",$G195="",$F195=""),0,$G195*IF($F195="Aylık",MAX(0,(YEAR(MIN(IF($E195="",TODAY()-15,$E195),TODAY()-15))-YEAR($D195))*12+MONTH(MIN(IF($E195="",TODAY()-15,$E195),TODAY()-15))-MONTH($D195)+IF(MIN(IF($E195="",TODAY()-15,$E195),TODAY()-15)&gt;=EOMONTH(MIN(IF($E195="",TODAY()-15,$E195),TODAY()-15),0),1,0)),MAX(0,INT((MIN(IF($E195="",TODAY()-15,$E195),TODAY()-15)-($D195+MOD(SISTEM!$F$8-WEEKDAY($D195,2),7)))/7)+1)))</f>
        <v/>
      </c>
      <c r="L195" s="227">
        <f>IF(OR($C195="",$D195="",$G195="",$F195=""),0,$G195*IF($F195="Aylık",MAX(0,(YEAR(MIN(IF($E195="",TODAY()-29,$E195),TODAY()-29))-YEAR($D195))*12+MONTH(MIN(IF($E195="",TODAY()-29,$E195),TODAY()-29))-MONTH($D195)+IF(MIN(IF($E195="",TODAY()-29,$E195),TODAY()-29)&gt;=EOMONTH(MIN(IF($E195="",TODAY()-29,$E195),TODAY()-29),0),1,0)),MAX(0,INT((MIN(IF($E195="",TODAY()-29,$E195),TODAY()-29)-($D195+MOD(SISTEM!$F$8-WEEKDAY($D195,2),7)))/7)+1)))</f>
        <v/>
      </c>
      <c r="M195" s="228">
        <f>IF($G195&gt;0,$I195/$G195,0)</f>
        <v/>
      </c>
      <c r="N195" s="113">
        <f>IF($C195="","",IF($B195="TANIMSIZ MÜŞTERİ","TANIMSIZ MÜŞTERİ",IF($F195="","MODEL SEÇİN",IF(OR($D195="",$G195&lt;=0),"EKSİK",IF(AND($E195&lt;&gt;"",$E195&lt;$D195),"TARİH HATASI",IF($H195="Pasif","KAPALI DÖNEM","UYGUN"))))))</f>
        <v/>
      </c>
      <c r="O195" s="229">
        <f>IF(OR($C195="",$D195="",$F195=""),"",IF($F195="Aylık",EOMONTH($D195,0),($D195+MOD(SISTEM!$F$8-WEEKDAY($D195,2),7))))</f>
        <v/>
      </c>
      <c r="P195" s="109" t="n"/>
      <c r="Q195" s="6" t="n"/>
      <c r="R195" s="6" t="n"/>
      <c r="S195" s="3">
        <f>IF($B195="","",$B195&amp;"|"&amp;COUNTIFS($B$7:$B195,$B195))</f>
        <v/>
      </c>
    </row>
    <row r="196">
      <c r="A196" s="6" t="n"/>
      <c r="B196" s="113">
        <f>IF($C196="","",IFERROR(INDEX(MUSTERILER!$B$7:$B$106,MATCH($C196,MUSTERILER!$C$7:$C$106,0)),IFERROR(INDEX(MUSTERILER!$B$7:$B$106,MATCH($C196,MUSTERILER!$B$7:$B$106,0)),IFERROR(INDEX(MUSTERILER!$B$7:$B$106,MATCH($C196&amp;"*",MUSTERILER!$C$7:$C$106,0)),"TANIMSIZ MÜŞTERİ"))))</f>
        <v/>
      </c>
      <c r="C196" s="109" t="n"/>
      <c r="D196" s="225" t="n"/>
      <c r="E196" s="225" t="n"/>
      <c r="F196" s="108" t="n"/>
      <c r="G196" s="226" t="n"/>
      <c r="H196" s="108" t="n"/>
      <c r="I196" s="227">
        <f>IF(OR($C196="",$D196="",$G196="",$F196=""),0,$G196*IF($F196="Aylık",MAX(0,(YEAR(MIN(IF($E196="",TODAY(),$E196),TODAY()))-YEAR($D196))*12+MONTH(MIN(IF($E196="",TODAY(),$E196),TODAY()))-MONTH($D196)+IF(MIN(IF($E196="",TODAY(),$E196),TODAY())&gt;=EOMONTH(MIN(IF($E196="",TODAY(),$E196),TODAY()),0),1,0)),MAX(0,INT((MIN(IF($E196="",TODAY(),$E196),TODAY())-($D196+MOD(SISTEM!$F$8-WEEKDAY($D196,2),7)))/7)+1)))</f>
        <v/>
      </c>
      <c r="J196" s="227">
        <f>IF(OR($C196="",$D196="",$G196="",$F196=""),0,$G196*IF($F196="Aylık",MAX(0,(YEAR(MIN(IF($E196="",TODAY()-8,$E196),TODAY()-8))-YEAR($D196))*12+MONTH(MIN(IF($E196="",TODAY()-8,$E196),TODAY()-8))-MONTH($D196)+IF(MIN(IF($E196="",TODAY()-8,$E196),TODAY()-8)&gt;=EOMONTH(MIN(IF($E196="",TODAY()-8,$E196),TODAY()-8),0),1,0)),MAX(0,INT((MIN(IF($E196="",TODAY()-8,$E196),TODAY()-8)-($D196+MOD(SISTEM!$F$8-WEEKDAY($D196,2),7)))/7)+1)))</f>
        <v/>
      </c>
      <c r="K196" s="227">
        <f>IF(OR($C196="",$D196="",$G196="",$F196=""),0,$G196*IF($F196="Aylık",MAX(0,(YEAR(MIN(IF($E196="",TODAY()-15,$E196),TODAY()-15))-YEAR($D196))*12+MONTH(MIN(IF($E196="",TODAY()-15,$E196),TODAY()-15))-MONTH($D196)+IF(MIN(IF($E196="",TODAY()-15,$E196),TODAY()-15)&gt;=EOMONTH(MIN(IF($E196="",TODAY()-15,$E196),TODAY()-15),0),1,0)),MAX(0,INT((MIN(IF($E196="",TODAY()-15,$E196),TODAY()-15)-($D196+MOD(SISTEM!$F$8-WEEKDAY($D196,2),7)))/7)+1)))</f>
        <v/>
      </c>
      <c r="L196" s="227">
        <f>IF(OR($C196="",$D196="",$G196="",$F196=""),0,$G196*IF($F196="Aylık",MAX(0,(YEAR(MIN(IF($E196="",TODAY()-29,$E196),TODAY()-29))-YEAR($D196))*12+MONTH(MIN(IF($E196="",TODAY()-29,$E196),TODAY()-29))-MONTH($D196)+IF(MIN(IF($E196="",TODAY()-29,$E196),TODAY()-29)&gt;=EOMONTH(MIN(IF($E196="",TODAY()-29,$E196),TODAY()-29),0),1,0)),MAX(0,INT((MIN(IF($E196="",TODAY()-29,$E196),TODAY()-29)-($D196+MOD(SISTEM!$F$8-WEEKDAY($D196,2),7)))/7)+1)))</f>
        <v/>
      </c>
      <c r="M196" s="228">
        <f>IF($G196&gt;0,$I196/$G196,0)</f>
        <v/>
      </c>
      <c r="N196" s="113">
        <f>IF($C196="","",IF($B196="TANIMSIZ MÜŞTERİ","TANIMSIZ MÜŞTERİ",IF($F196="","MODEL SEÇİN",IF(OR($D196="",$G196&lt;=0),"EKSİK",IF(AND($E196&lt;&gt;"",$E196&lt;$D196),"TARİH HATASI",IF($H196="Pasif","KAPALI DÖNEM","UYGUN"))))))</f>
        <v/>
      </c>
      <c r="O196" s="229">
        <f>IF(OR($C196="",$D196="",$F196=""),"",IF($F196="Aylık",EOMONTH($D196,0),($D196+MOD(SISTEM!$F$8-WEEKDAY($D196,2),7))))</f>
        <v/>
      </c>
      <c r="P196" s="109" t="n"/>
      <c r="Q196" s="6" t="n"/>
      <c r="R196" s="6" t="n"/>
      <c r="S196" s="3">
        <f>IF($B196="","",$B196&amp;"|"&amp;COUNTIFS($B$7:$B196,$B196))</f>
        <v/>
      </c>
    </row>
    <row r="197">
      <c r="A197" s="6" t="n"/>
      <c r="B197" s="113">
        <f>IF($C197="","",IFERROR(INDEX(MUSTERILER!$B$7:$B$106,MATCH($C197,MUSTERILER!$C$7:$C$106,0)),IFERROR(INDEX(MUSTERILER!$B$7:$B$106,MATCH($C197,MUSTERILER!$B$7:$B$106,0)),IFERROR(INDEX(MUSTERILER!$B$7:$B$106,MATCH($C197&amp;"*",MUSTERILER!$C$7:$C$106,0)),"TANIMSIZ MÜŞTERİ"))))</f>
        <v/>
      </c>
      <c r="C197" s="109" t="n"/>
      <c r="D197" s="225" t="n"/>
      <c r="E197" s="225" t="n"/>
      <c r="F197" s="108" t="n"/>
      <c r="G197" s="226" t="n"/>
      <c r="H197" s="108" t="n"/>
      <c r="I197" s="227">
        <f>IF(OR($C197="",$D197="",$G197="",$F197=""),0,$G197*IF($F197="Aylık",MAX(0,(YEAR(MIN(IF($E197="",TODAY(),$E197),TODAY()))-YEAR($D197))*12+MONTH(MIN(IF($E197="",TODAY(),$E197),TODAY()))-MONTH($D197)+IF(MIN(IF($E197="",TODAY(),$E197),TODAY())&gt;=EOMONTH(MIN(IF($E197="",TODAY(),$E197),TODAY()),0),1,0)),MAX(0,INT((MIN(IF($E197="",TODAY(),$E197),TODAY())-($D197+MOD(SISTEM!$F$8-WEEKDAY($D197,2),7)))/7)+1)))</f>
        <v/>
      </c>
      <c r="J197" s="227">
        <f>IF(OR($C197="",$D197="",$G197="",$F197=""),0,$G197*IF($F197="Aylık",MAX(0,(YEAR(MIN(IF($E197="",TODAY()-8,$E197),TODAY()-8))-YEAR($D197))*12+MONTH(MIN(IF($E197="",TODAY()-8,$E197),TODAY()-8))-MONTH($D197)+IF(MIN(IF($E197="",TODAY()-8,$E197),TODAY()-8)&gt;=EOMONTH(MIN(IF($E197="",TODAY()-8,$E197),TODAY()-8),0),1,0)),MAX(0,INT((MIN(IF($E197="",TODAY()-8,$E197),TODAY()-8)-($D197+MOD(SISTEM!$F$8-WEEKDAY($D197,2),7)))/7)+1)))</f>
        <v/>
      </c>
      <c r="K197" s="227">
        <f>IF(OR($C197="",$D197="",$G197="",$F197=""),0,$G197*IF($F197="Aylık",MAX(0,(YEAR(MIN(IF($E197="",TODAY()-15,$E197),TODAY()-15))-YEAR($D197))*12+MONTH(MIN(IF($E197="",TODAY()-15,$E197),TODAY()-15))-MONTH($D197)+IF(MIN(IF($E197="",TODAY()-15,$E197),TODAY()-15)&gt;=EOMONTH(MIN(IF($E197="",TODAY()-15,$E197),TODAY()-15),0),1,0)),MAX(0,INT((MIN(IF($E197="",TODAY()-15,$E197),TODAY()-15)-($D197+MOD(SISTEM!$F$8-WEEKDAY($D197,2),7)))/7)+1)))</f>
        <v/>
      </c>
      <c r="L197" s="227">
        <f>IF(OR($C197="",$D197="",$G197="",$F197=""),0,$G197*IF($F197="Aylık",MAX(0,(YEAR(MIN(IF($E197="",TODAY()-29,$E197),TODAY()-29))-YEAR($D197))*12+MONTH(MIN(IF($E197="",TODAY()-29,$E197),TODAY()-29))-MONTH($D197)+IF(MIN(IF($E197="",TODAY()-29,$E197),TODAY()-29)&gt;=EOMONTH(MIN(IF($E197="",TODAY()-29,$E197),TODAY()-29),0),1,0)),MAX(0,INT((MIN(IF($E197="",TODAY()-29,$E197),TODAY()-29)-($D197+MOD(SISTEM!$F$8-WEEKDAY($D197,2),7)))/7)+1)))</f>
        <v/>
      </c>
      <c r="M197" s="228">
        <f>IF($G197&gt;0,$I197/$G197,0)</f>
        <v/>
      </c>
      <c r="N197" s="113">
        <f>IF($C197="","",IF($B197="TANIMSIZ MÜŞTERİ","TANIMSIZ MÜŞTERİ",IF($F197="","MODEL SEÇİN",IF(OR($D197="",$G197&lt;=0),"EKSİK",IF(AND($E197&lt;&gt;"",$E197&lt;$D197),"TARİH HATASI",IF($H197="Pasif","KAPALI DÖNEM","UYGUN"))))))</f>
        <v/>
      </c>
      <c r="O197" s="229">
        <f>IF(OR($C197="",$D197="",$F197=""),"",IF($F197="Aylık",EOMONTH($D197,0),($D197+MOD(SISTEM!$F$8-WEEKDAY($D197,2),7))))</f>
        <v/>
      </c>
      <c r="P197" s="109" t="n"/>
      <c r="Q197" s="6" t="n"/>
      <c r="R197" s="6" t="n"/>
      <c r="S197" s="3">
        <f>IF($B197="","",$B197&amp;"|"&amp;COUNTIFS($B$7:$B197,$B197))</f>
        <v/>
      </c>
    </row>
    <row r="198">
      <c r="A198" s="6" t="n"/>
      <c r="B198" s="113">
        <f>IF($C198="","",IFERROR(INDEX(MUSTERILER!$B$7:$B$106,MATCH($C198,MUSTERILER!$C$7:$C$106,0)),IFERROR(INDEX(MUSTERILER!$B$7:$B$106,MATCH($C198,MUSTERILER!$B$7:$B$106,0)),IFERROR(INDEX(MUSTERILER!$B$7:$B$106,MATCH($C198&amp;"*",MUSTERILER!$C$7:$C$106,0)),"TANIMSIZ MÜŞTERİ"))))</f>
        <v/>
      </c>
      <c r="C198" s="109" t="n"/>
      <c r="D198" s="225" t="n"/>
      <c r="E198" s="225" t="n"/>
      <c r="F198" s="108" t="n"/>
      <c r="G198" s="226" t="n"/>
      <c r="H198" s="108" t="n"/>
      <c r="I198" s="227">
        <f>IF(OR($C198="",$D198="",$G198="",$F198=""),0,$G198*IF($F198="Aylık",MAX(0,(YEAR(MIN(IF($E198="",TODAY(),$E198),TODAY()))-YEAR($D198))*12+MONTH(MIN(IF($E198="",TODAY(),$E198),TODAY()))-MONTH($D198)+IF(MIN(IF($E198="",TODAY(),$E198),TODAY())&gt;=EOMONTH(MIN(IF($E198="",TODAY(),$E198),TODAY()),0),1,0)),MAX(0,INT((MIN(IF($E198="",TODAY(),$E198),TODAY())-($D198+MOD(SISTEM!$F$8-WEEKDAY($D198,2),7)))/7)+1)))</f>
        <v/>
      </c>
      <c r="J198" s="227">
        <f>IF(OR($C198="",$D198="",$G198="",$F198=""),0,$G198*IF($F198="Aylık",MAX(0,(YEAR(MIN(IF($E198="",TODAY()-8,$E198),TODAY()-8))-YEAR($D198))*12+MONTH(MIN(IF($E198="",TODAY()-8,$E198),TODAY()-8))-MONTH($D198)+IF(MIN(IF($E198="",TODAY()-8,$E198),TODAY()-8)&gt;=EOMONTH(MIN(IF($E198="",TODAY()-8,$E198),TODAY()-8),0),1,0)),MAX(0,INT((MIN(IF($E198="",TODAY()-8,$E198),TODAY()-8)-($D198+MOD(SISTEM!$F$8-WEEKDAY($D198,2),7)))/7)+1)))</f>
        <v/>
      </c>
      <c r="K198" s="227">
        <f>IF(OR($C198="",$D198="",$G198="",$F198=""),0,$G198*IF($F198="Aylık",MAX(0,(YEAR(MIN(IF($E198="",TODAY()-15,$E198),TODAY()-15))-YEAR($D198))*12+MONTH(MIN(IF($E198="",TODAY()-15,$E198),TODAY()-15))-MONTH($D198)+IF(MIN(IF($E198="",TODAY()-15,$E198),TODAY()-15)&gt;=EOMONTH(MIN(IF($E198="",TODAY()-15,$E198),TODAY()-15),0),1,0)),MAX(0,INT((MIN(IF($E198="",TODAY()-15,$E198),TODAY()-15)-($D198+MOD(SISTEM!$F$8-WEEKDAY($D198,2),7)))/7)+1)))</f>
        <v/>
      </c>
      <c r="L198" s="227">
        <f>IF(OR($C198="",$D198="",$G198="",$F198=""),0,$G198*IF($F198="Aylık",MAX(0,(YEAR(MIN(IF($E198="",TODAY()-29,$E198),TODAY()-29))-YEAR($D198))*12+MONTH(MIN(IF($E198="",TODAY()-29,$E198),TODAY()-29))-MONTH($D198)+IF(MIN(IF($E198="",TODAY()-29,$E198),TODAY()-29)&gt;=EOMONTH(MIN(IF($E198="",TODAY()-29,$E198),TODAY()-29),0),1,0)),MAX(0,INT((MIN(IF($E198="",TODAY()-29,$E198),TODAY()-29)-($D198+MOD(SISTEM!$F$8-WEEKDAY($D198,2),7)))/7)+1)))</f>
        <v/>
      </c>
      <c r="M198" s="228">
        <f>IF($G198&gt;0,$I198/$G198,0)</f>
        <v/>
      </c>
      <c r="N198" s="113">
        <f>IF($C198="","",IF($B198="TANIMSIZ MÜŞTERİ","TANIMSIZ MÜŞTERİ",IF($F198="","MODEL SEÇİN",IF(OR($D198="",$G198&lt;=0),"EKSİK",IF(AND($E198&lt;&gt;"",$E198&lt;$D198),"TARİH HATASI",IF($H198="Pasif","KAPALI DÖNEM","UYGUN"))))))</f>
        <v/>
      </c>
      <c r="O198" s="229">
        <f>IF(OR($C198="",$D198="",$F198=""),"",IF($F198="Aylık",EOMONTH($D198,0),($D198+MOD(SISTEM!$F$8-WEEKDAY($D198,2),7))))</f>
        <v/>
      </c>
      <c r="P198" s="109" t="n"/>
      <c r="Q198" s="6" t="n"/>
      <c r="R198" s="6" t="n"/>
      <c r="S198" s="3">
        <f>IF($B198="","",$B198&amp;"|"&amp;COUNTIFS($B$7:$B198,$B198))</f>
        <v/>
      </c>
    </row>
    <row r="199">
      <c r="A199" s="6" t="n"/>
      <c r="B199" s="113">
        <f>IF($C199="","",IFERROR(INDEX(MUSTERILER!$B$7:$B$106,MATCH($C199,MUSTERILER!$C$7:$C$106,0)),IFERROR(INDEX(MUSTERILER!$B$7:$B$106,MATCH($C199,MUSTERILER!$B$7:$B$106,0)),IFERROR(INDEX(MUSTERILER!$B$7:$B$106,MATCH($C199&amp;"*",MUSTERILER!$C$7:$C$106,0)),"TANIMSIZ MÜŞTERİ"))))</f>
        <v/>
      </c>
      <c r="C199" s="109" t="n"/>
      <c r="D199" s="225" t="n"/>
      <c r="E199" s="225" t="n"/>
      <c r="F199" s="108" t="n"/>
      <c r="G199" s="226" t="n"/>
      <c r="H199" s="108" t="n"/>
      <c r="I199" s="227">
        <f>IF(OR($C199="",$D199="",$G199="",$F199=""),0,$G199*IF($F199="Aylık",MAX(0,(YEAR(MIN(IF($E199="",TODAY(),$E199),TODAY()))-YEAR($D199))*12+MONTH(MIN(IF($E199="",TODAY(),$E199),TODAY()))-MONTH($D199)+IF(MIN(IF($E199="",TODAY(),$E199),TODAY())&gt;=EOMONTH(MIN(IF($E199="",TODAY(),$E199),TODAY()),0),1,0)),MAX(0,INT((MIN(IF($E199="",TODAY(),$E199),TODAY())-($D199+MOD(SISTEM!$F$8-WEEKDAY($D199,2),7)))/7)+1)))</f>
        <v/>
      </c>
      <c r="J199" s="227">
        <f>IF(OR($C199="",$D199="",$G199="",$F199=""),0,$G199*IF($F199="Aylık",MAX(0,(YEAR(MIN(IF($E199="",TODAY()-8,$E199),TODAY()-8))-YEAR($D199))*12+MONTH(MIN(IF($E199="",TODAY()-8,$E199),TODAY()-8))-MONTH($D199)+IF(MIN(IF($E199="",TODAY()-8,$E199),TODAY()-8)&gt;=EOMONTH(MIN(IF($E199="",TODAY()-8,$E199),TODAY()-8),0),1,0)),MAX(0,INT((MIN(IF($E199="",TODAY()-8,$E199),TODAY()-8)-($D199+MOD(SISTEM!$F$8-WEEKDAY($D199,2),7)))/7)+1)))</f>
        <v/>
      </c>
      <c r="K199" s="227">
        <f>IF(OR($C199="",$D199="",$G199="",$F199=""),0,$G199*IF($F199="Aylık",MAX(0,(YEAR(MIN(IF($E199="",TODAY()-15,$E199),TODAY()-15))-YEAR($D199))*12+MONTH(MIN(IF($E199="",TODAY()-15,$E199),TODAY()-15))-MONTH($D199)+IF(MIN(IF($E199="",TODAY()-15,$E199),TODAY()-15)&gt;=EOMONTH(MIN(IF($E199="",TODAY()-15,$E199),TODAY()-15),0),1,0)),MAX(0,INT((MIN(IF($E199="",TODAY()-15,$E199),TODAY()-15)-($D199+MOD(SISTEM!$F$8-WEEKDAY($D199,2),7)))/7)+1)))</f>
        <v/>
      </c>
      <c r="L199" s="227">
        <f>IF(OR($C199="",$D199="",$G199="",$F199=""),0,$G199*IF($F199="Aylık",MAX(0,(YEAR(MIN(IF($E199="",TODAY()-29,$E199),TODAY()-29))-YEAR($D199))*12+MONTH(MIN(IF($E199="",TODAY()-29,$E199),TODAY()-29))-MONTH($D199)+IF(MIN(IF($E199="",TODAY()-29,$E199),TODAY()-29)&gt;=EOMONTH(MIN(IF($E199="",TODAY()-29,$E199),TODAY()-29),0),1,0)),MAX(0,INT((MIN(IF($E199="",TODAY()-29,$E199),TODAY()-29)-($D199+MOD(SISTEM!$F$8-WEEKDAY($D199,2),7)))/7)+1)))</f>
        <v/>
      </c>
      <c r="M199" s="228">
        <f>IF($G199&gt;0,$I199/$G199,0)</f>
        <v/>
      </c>
      <c r="N199" s="113">
        <f>IF($C199="","",IF($B199="TANIMSIZ MÜŞTERİ","TANIMSIZ MÜŞTERİ",IF($F199="","MODEL SEÇİN",IF(OR($D199="",$G199&lt;=0),"EKSİK",IF(AND($E199&lt;&gt;"",$E199&lt;$D199),"TARİH HATASI",IF($H199="Pasif","KAPALI DÖNEM","UYGUN"))))))</f>
        <v/>
      </c>
      <c r="O199" s="229">
        <f>IF(OR($C199="",$D199="",$F199=""),"",IF($F199="Aylık",EOMONTH($D199,0),($D199+MOD(SISTEM!$F$8-WEEKDAY($D199,2),7))))</f>
        <v/>
      </c>
      <c r="P199" s="109" t="n"/>
      <c r="Q199" s="6" t="n"/>
      <c r="R199" s="6" t="n"/>
      <c r="S199" s="3">
        <f>IF($B199="","",$B199&amp;"|"&amp;COUNTIFS($B$7:$B199,$B199))</f>
        <v/>
      </c>
    </row>
    <row r="200">
      <c r="A200" s="6" t="n"/>
      <c r="B200" s="113">
        <f>IF($C200="","",IFERROR(INDEX(MUSTERILER!$B$7:$B$106,MATCH($C200,MUSTERILER!$C$7:$C$106,0)),IFERROR(INDEX(MUSTERILER!$B$7:$B$106,MATCH($C200,MUSTERILER!$B$7:$B$106,0)),IFERROR(INDEX(MUSTERILER!$B$7:$B$106,MATCH($C200&amp;"*",MUSTERILER!$C$7:$C$106,0)),"TANIMSIZ MÜŞTERİ"))))</f>
        <v/>
      </c>
      <c r="C200" s="109" t="n"/>
      <c r="D200" s="225" t="n"/>
      <c r="E200" s="225" t="n"/>
      <c r="F200" s="108" t="n"/>
      <c r="G200" s="226" t="n"/>
      <c r="H200" s="108" t="n"/>
      <c r="I200" s="227">
        <f>IF(OR($C200="",$D200="",$G200="",$F200=""),0,$G200*IF($F200="Aylık",MAX(0,(YEAR(MIN(IF($E200="",TODAY(),$E200),TODAY()))-YEAR($D200))*12+MONTH(MIN(IF($E200="",TODAY(),$E200),TODAY()))-MONTH($D200)+IF(MIN(IF($E200="",TODAY(),$E200),TODAY())&gt;=EOMONTH(MIN(IF($E200="",TODAY(),$E200),TODAY()),0),1,0)),MAX(0,INT((MIN(IF($E200="",TODAY(),$E200),TODAY())-($D200+MOD(SISTEM!$F$8-WEEKDAY($D200,2),7)))/7)+1)))</f>
        <v/>
      </c>
      <c r="J200" s="227">
        <f>IF(OR($C200="",$D200="",$G200="",$F200=""),0,$G200*IF($F200="Aylık",MAX(0,(YEAR(MIN(IF($E200="",TODAY()-8,$E200),TODAY()-8))-YEAR($D200))*12+MONTH(MIN(IF($E200="",TODAY()-8,$E200),TODAY()-8))-MONTH($D200)+IF(MIN(IF($E200="",TODAY()-8,$E200),TODAY()-8)&gt;=EOMONTH(MIN(IF($E200="",TODAY()-8,$E200),TODAY()-8),0),1,0)),MAX(0,INT((MIN(IF($E200="",TODAY()-8,$E200),TODAY()-8)-($D200+MOD(SISTEM!$F$8-WEEKDAY($D200,2),7)))/7)+1)))</f>
        <v/>
      </c>
      <c r="K200" s="227">
        <f>IF(OR($C200="",$D200="",$G200="",$F200=""),0,$G200*IF($F200="Aylık",MAX(0,(YEAR(MIN(IF($E200="",TODAY()-15,$E200),TODAY()-15))-YEAR($D200))*12+MONTH(MIN(IF($E200="",TODAY()-15,$E200),TODAY()-15))-MONTH($D200)+IF(MIN(IF($E200="",TODAY()-15,$E200),TODAY()-15)&gt;=EOMONTH(MIN(IF($E200="",TODAY()-15,$E200),TODAY()-15),0),1,0)),MAX(0,INT((MIN(IF($E200="",TODAY()-15,$E200),TODAY()-15)-($D200+MOD(SISTEM!$F$8-WEEKDAY($D200,2),7)))/7)+1)))</f>
        <v/>
      </c>
      <c r="L200" s="227">
        <f>IF(OR($C200="",$D200="",$G200="",$F200=""),0,$G200*IF($F200="Aylık",MAX(0,(YEAR(MIN(IF($E200="",TODAY()-29,$E200),TODAY()-29))-YEAR($D200))*12+MONTH(MIN(IF($E200="",TODAY()-29,$E200),TODAY()-29))-MONTH($D200)+IF(MIN(IF($E200="",TODAY()-29,$E200),TODAY()-29)&gt;=EOMONTH(MIN(IF($E200="",TODAY()-29,$E200),TODAY()-29),0),1,0)),MAX(0,INT((MIN(IF($E200="",TODAY()-29,$E200),TODAY()-29)-($D200+MOD(SISTEM!$F$8-WEEKDAY($D200,2),7)))/7)+1)))</f>
        <v/>
      </c>
      <c r="M200" s="228">
        <f>IF($G200&gt;0,$I200/$G200,0)</f>
        <v/>
      </c>
      <c r="N200" s="113">
        <f>IF($C200="","",IF($B200="TANIMSIZ MÜŞTERİ","TANIMSIZ MÜŞTERİ",IF($F200="","MODEL SEÇİN",IF(OR($D200="",$G200&lt;=0),"EKSİK",IF(AND($E200&lt;&gt;"",$E200&lt;$D200),"TARİH HATASI",IF($H200="Pasif","KAPALI DÖNEM","UYGUN"))))))</f>
        <v/>
      </c>
      <c r="O200" s="229">
        <f>IF(OR($C200="",$D200="",$F200=""),"",IF($F200="Aylık",EOMONTH($D200,0),($D200+MOD(SISTEM!$F$8-WEEKDAY($D200,2),7))))</f>
        <v/>
      </c>
      <c r="P200" s="109" t="n"/>
      <c r="Q200" s="6" t="n"/>
      <c r="R200" s="6" t="n"/>
      <c r="S200" s="3">
        <f>IF($B200="","",$B200&amp;"|"&amp;COUNTIFS($B$7:$B200,$B200))</f>
        <v/>
      </c>
    </row>
    <row r="201">
      <c r="A201" s="6" t="n"/>
      <c r="B201" s="113">
        <f>IF($C201="","",IFERROR(INDEX(MUSTERILER!$B$7:$B$106,MATCH($C201,MUSTERILER!$C$7:$C$106,0)),IFERROR(INDEX(MUSTERILER!$B$7:$B$106,MATCH($C201,MUSTERILER!$B$7:$B$106,0)),IFERROR(INDEX(MUSTERILER!$B$7:$B$106,MATCH($C201&amp;"*",MUSTERILER!$C$7:$C$106,0)),"TANIMSIZ MÜŞTERİ"))))</f>
        <v/>
      </c>
      <c r="C201" s="109" t="n"/>
      <c r="D201" s="225" t="n"/>
      <c r="E201" s="225" t="n"/>
      <c r="F201" s="108" t="n"/>
      <c r="G201" s="226" t="n"/>
      <c r="H201" s="108" t="n"/>
      <c r="I201" s="227">
        <f>IF(OR($C201="",$D201="",$G201="",$F201=""),0,$G201*IF($F201="Aylık",MAX(0,(YEAR(MIN(IF($E201="",TODAY(),$E201),TODAY()))-YEAR($D201))*12+MONTH(MIN(IF($E201="",TODAY(),$E201),TODAY()))-MONTH($D201)+IF(MIN(IF($E201="",TODAY(),$E201),TODAY())&gt;=EOMONTH(MIN(IF($E201="",TODAY(),$E201),TODAY()),0),1,0)),MAX(0,INT((MIN(IF($E201="",TODAY(),$E201),TODAY())-($D201+MOD(SISTEM!$F$8-WEEKDAY($D201,2),7)))/7)+1)))</f>
        <v/>
      </c>
      <c r="J201" s="227">
        <f>IF(OR($C201="",$D201="",$G201="",$F201=""),0,$G201*IF($F201="Aylık",MAX(0,(YEAR(MIN(IF($E201="",TODAY()-8,$E201),TODAY()-8))-YEAR($D201))*12+MONTH(MIN(IF($E201="",TODAY()-8,$E201),TODAY()-8))-MONTH($D201)+IF(MIN(IF($E201="",TODAY()-8,$E201),TODAY()-8)&gt;=EOMONTH(MIN(IF($E201="",TODAY()-8,$E201),TODAY()-8),0),1,0)),MAX(0,INT((MIN(IF($E201="",TODAY()-8,$E201),TODAY()-8)-($D201+MOD(SISTEM!$F$8-WEEKDAY($D201,2),7)))/7)+1)))</f>
        <v/>
      </c>
      <c r="K201" s="227">
        <f>IF(OR($C201="",$D201="",$G201="",$F201=""),0,$G201*IF($F201="Aylık",MAX(0,(YEAR(MIN(IF($E201="",TODAY()-15,$E201),TODAY()-15))-YEAR($D201))*12+MONTH(MIN(IF($E201="",TODAY()-15,$E201),TODAY()-15))-MONTH($D201)+IF(MIN(IF($E201="",TODAY()-15,$E201),TODAY()-15)&gt;=EOMONTH(MIN(IF($E201="",TODAY()-15,$E201),TODAY()-15),0),1,0)),MAX(0,INT((MIN(IF($E201="",TODAY()-15,$E201),TODAY()-15)-($D201+MOD(SISTEM!$F$8-WEEKDAY($D201,2),7)))/7)+1)))</f>
        <v/>
      </c>
      <c r="L201" s="227">
        <f>IF(OR($C201="",$D201="",$G201="",$F201=""),0,$G201*IF($F201="Aylık",MAX(0,(YEAR(MIN(IF($E201="",TODAY()-29,$E201),TODAY()-29))-YEAR($D201))*12+MONTH(MIN(IF($E201="",TODAY()-29,$E201),TODAY()-29))-MONTH($D201)+IF(MIN(IF($E201="",TODAY()-29,$E201),TODAY()-29)&gt;=EOMONTH(MIN(IF($E201="",TODAY()-29,$E201),TODAY()-29),0),1,0)),MAX(0,INT((MIN(IF($E201="",TODAY()-29,$E201),TODAY()-29)-($D201+MOD(SISTEM!$F$8-WEEKDAY($D201,2),7)))/7)+1)))</f>
        <v/>
      </c>
      <c r="M201" s="228">
        <f>IF($G201&gt;0,$I201/$G201,0)</f>
        <v/>
      </c>
      <c r="N201" s="113">
        <f>IF($C201="","",IF($B201="TANIMSIZ MÜŞTERİ","TANIMSIZ MÜŞTERİ",IF($F201="","MODEL SEÇİN",IF(OR($D201="",$G201&lt;=0),"EKSİK",IF(AND($E201&lt;&gt;"",$E201&lt;$D201),"TARİH HATASI",IF($H201="Pasif","KAPALI DÖNEM","UYGUN"))))))</f>
        <v/>
      </c>
      <c r="O201" s="229">
        <f>IF(OR($C201="",$D201="",$F201=""),"",IF($F201="Aylık",EOMONTH($D201,0),($D201+MOD(SISTEM!$F$8-WEEKDAY($D201,2),7))))</f>
        <v/>
      </c>
      <c r="P201" s="109" t="n"/>
      <c r="Q201" s="6" t="n"/>
      <c r="R201" s="6" t="n"/>
      <c r="S201" s="3">
        <f>IF($B201="","",$B201&amp;"|"&amp;COUNTIFS($B$7:$B201,$B201))</f>
        <v/>
      </c>
    </row>
    <row r="202">
      <c r="A202" s="6" t="n"/>
      <c r="B202" s="113">
        <f>IF($C202="","",IFERROR(INDEX(MUSTERILER!$B$7:$B$106,MATCH($C202,MUSTERILER!$C$7:$C$106,0)),IFERROR(INDEX(MUSTERILER!$B$7:$B$106,MATCH($C202,MUSTERILER!$B$7:$B$106,0)),IFERROR(INDEX(MUSTERILER!$B$7:$B$106,MATCH($C202&amp;"*",MUSTERILER!$C$7:$C$106,0)),"TANIMSIZ MÜŞTERİ"))))</f>
        <v/>
      </c>
      <c r="C202" s="109" t="n"/>
      <c r="D202" s="225" t="n"/>
      <c r="E202" s="225" t="n"/>
      <c r="F202" s="108" t="n"/>
      <c r="G202" s="226" t="n"/>
      <c r="H202" s="108" t="n"/>
      <c r="I202" s="227">
        <f>IF(OR($C202="",$D202="",$G202="",$F202=""),0,$G202*IF($F202="Aylık",MAX(0,(YEAR(MIN(IF($E202="",TODAY(),$E202),TODAY()))-YEAR($D202))*12+MONTH(MIN(IF($E202="",TODAY(),$E202),TODAY()))-MONTH($D202)+IF(MIN(IF($E202="",TODAY(),$E202),TODAY())&gt;=EOMONTH(MIN(IF($E202="",TODAY(),$E202),TODAY()),0),1,0)),MAX(0,INT((MIN(IF($E202="",TODAY(),$E202),TODAY())-($D202+MOD(SISTEM!$F$8-WEEKDAY($D202,2),7)))/7)+1)))</f>
        <v/>
      </c>
      <c r="J202" s="227">
        <f>IF(OR($C202="",$D202="",$G202="",$F202=""),0,$G202*IF($F202="Aylık",MAX(0,(YEAR(MIN(IF($E202="",TODAY()-8,$E202),TODAY()-8))-YEAR($D202))*12+MONTH(MIN(IF($E202="",TODAY()-8,$E202),TODAY()-8))-MONTH($D202)+IF(MIN(IF($E202="",TODAY()-8,$E202),TODAY()-8)&gt;=EOMONTH(MIN(IF($E202="",TODAY()-8,$E202),TODAY()-8),0),1,0)),MAX(0,INT((MIN(IF($E202="",TODAY()-8,$E202),TODAY()-8)-($D202+MOD(SISTEM!$F$8-WEEKDAY($D202,2),7)))/7)+1)))</f>
        <v/>
      </c>
      <c r="K202" s="227">
        <f>IF(OR($C202="",$D202="",$G202="",$F202=""),0,$G202*IF($F202="Aylık",MAX(0,(YEAR(MIN(IF($E202="",TODAY()-15,$E202),TODAY()-15))-YEAR($D202))*12+MONTH(MIN(IF($E202="",TODAY()-15,$E202),TODAY()-15))-MONTH($D202)+IF(MIN(IF($E202="",TODAY()-15,$E202),TODAY()-15)&gt;=EOMONTH(MIN(IF($E202="",TODAY()-15,$E202),TODAY()-15),0),1,0)),MAX(0,INT((MIN(IF($E202="",TODAY()-15,$E202),TODAY()-15)-($D202+MOD(SISTEM!$F$8-WEEKDAY($D202,2),7)))/7)+1)))</f>
        <v/>
      </c>
      <c r="L202" s="227">
        <f>IF(OR($C202="",$D202="",$G202="",$F202=""),0,$G202*IF($F202="Aylık",MAX(0,(YEAR(MIN(IF($E202="",TODAY()-29,$E202),TODAY()-29))-YEAR($D202))*12+MONTH(MIN(IF($E202="",TODAY()-29,$E202),TODAY()-29))-MONTH($D202)+IF(MIN(IF($E202="",TODAY()-29,$E202),TODAY()-29)&gt;=EOMONTH(MIN(IF($E202="",TODAY()-29,$E202),TODAY()-29),0),1,0)),MAX(0,INT((MIN(IF($E202="",TODAY()-29,$E202),TODAY()-29)-($D202+MOD(SISTEM!$F$8-WEEKDAY($D202,2),7)))/7)+1)))</f>
        <v/>
      </c>
      <c r="M202" s="228">
        <f>IF($G202&gt;0,$I202/$G202,0)</f>
        <v/>
      </c>
      <c r="N202" s="113">
        <f>IF($C202="","",IF($B202="TANIMSIZ MÜŞTERİ","TANIMSIZ MÜŞTERİ",IF($F202="","MODEL SEÇİN",IF(OR($D202="",$G202&lt;=0),"EKSİK",IF(AND($E202&lt;&gt;"",$E202&lt;$D202),"TARİH HATASI",IF($H202="Pasif","KAPALI DÖNEM","UYGUN"))))))</f>
        <v/>
      </c>
      <c r="O202" s="229">
        <f>IF(OR($C202="",$D202="",$F202=""),"",IF($F202="Aylık",EOMONTH($D202,0),($D202+MOD(SISTEM!$F$8-WEEKDAY($D202,2),7))))</f>
        <v/>
      </c>
      <c r="P202" s="109" t="n"/>
      <c r="Q202" s="6" t="n"/>
      <c r="R202" s="6" t="n"/>
      <c r="S202" s="3">
        <f>IF($B202="","",$B202&amp;"|"&amp;COUNTIFS($B$7:$B202,$B202))</f>
        <v/>
      </c>
    </row>
    <row r="203">
      <c r="A203" s="6" t="n"/>
      <c r="B203" s="113">
        <f>IF($C203="","",IFERROR(INDEX(MUSTERILER!$B$7:$B$106,MATCH($C203,MUSTERILER!$C$7:$C$106,0)),IFERROR(INDEX(MUSTERILER!$B$7:$B$106,MATCH($C203,MUSTERILER!$B$7:$B$106,0)),IFERROR(INDEX(MUSTERILER!$B$7:$B$106,MATCH($C203&amp;"*",MUSTERILER!$C$7:$C$106,0)),"TANIMSIZ MÜŞTERİ"))))</f>
        <v/>
      </c>
      <c r="C203" s="109" t="n"/>
      <c r="D203" s="225" t="n"/>
      <c r="E203" s="225" t="n"/>
      <c r="F203" s="108" t="n"/>
      <c r="G203" s="226" t="n"/>
      <c r="H203" s="108" t="n"/>
      <c r="I203" s="227">
        <f>IF(OR($C203="",$D203="",$G203="",$F203=""),0,$G203*IF($F203="Aylık",MAX(0,(YEAR(MIN(IF($E203="",TODAY(),$E203),TODAY()))-YEAR($D203))*12+MONTH(MIN(IF($E203="",TODAY(),$E203),TODAY()))-MONTH($D203)+IF(MIN(IF($E203="",TODAY(),$E203),TODAY())&gt;=EOMONTH(MIN(IF($E203="",TODAY(),$E203),TODAY()),0),1,0)),MAX(0,INT((MIN(IF($E203="",TODAY(),$E203),TODAY())-($D203+MOD(SISTEM!$F$8-WEEKDAY($D203,2),7)))/7)+1)))</f>
        <v/>
      </c>
      <c r="J203" s="227">
        <f>IF(OR($C203="",$D203="",$G203="",$F203=""),0,$G203*IF($F203="Aylık",MAX(0,(YEAR(MIN(IF($E203="",TODAY()-8,$E203),TODAY()-8))-YEAR($D203))*12+MONTH(MIN(IF($E203="",TODAY()-8,$E203),TODAY()-8))-MONTH($D203)+IF(MIN(IF($E203="",TODAY()-8,$E203),TODAY()-8)&gt;=EOMONTH(MIN(IF($E203="",TODAY()-8,$E203),TODAY()-8),0),1,0)),MAX(0,INT((MIN(IF($E203="",TODAY()-8,$E203),TODAY()-8)-($D203+MOD(SISTEM!$F$8-WEEKDAY($D203,2),7)))/7)+1)))</f>
        <v/>
      </c>
      <c r="K203" s="227">
        <f>IF(OR($C203="",$D203="",$G203="",$F203=""),0,$G203*IF($F203="Aylık",MAX(0,(YEAR(MIN(IF($E203="",TODAY()-15,$E203),TODAY()-15))-YEAR($D203))*12+MONTH(MIN(IF($E203="",TODAY()-15,$E203),TODAY()-15))-MONTH($D203)+IF(MIN(IF($E203="",TODAY()-15,$E203),TODAY()-15)&gt;=EOMONTH(MIN(IF($E203="",TODAY()-15,$E203),TODAY()-15),0),1,0)),MAX(0,INT((MIN(IF($E203="",TODAY()-15,$E203),TODAY()-15)-($D203+MOD(SISTEM!$F$8-WEEKDAY($D203,2),7)))/7)+1)))</f>
        <v/>
      </c>
      <c r="L203" s="227">
        <f>IF(OR($C203="",$D203="",$G203="",$F203=""),0,$G203*IF($F203="Aylık",MAX(0,(YEAR(MIN(IF($E203="",TODAY()-29,$E203),TODAY()-29))-YEAR($D203))*12+MONTH(MIN(IF($E203="",TODAY()-29,$E203),TODAY()-29))-MONTH($D203)+IF(MIN(IF($E203="",TODAY()-29,$E203),TODAY()-29)&gt;=EOMONTH(MIN(IF($E203="",TODAY()-29,$E203),TODAY()-29),0),1,0)),MAX(0,INT((MIN(IF($E203="",TODAY()-29,$E203),TODAY()-29)-($D203+MOD(SISTEM!$F$8-WEEKDAY($D203,2),7)))/7)+1)))</f>
        <v/>
      </c>
      <c r="M203" s="228">
        <f>IF($G203&gt;0,$I203/$G203,0)</f>
        <v/>
      </c>
      <c r="N203" s="113">
        <f>IF($C203="","",IF($B203="TANIMSIZ MÜŞTERİ","TANIMSIZ MÜŞTERİ",IF($F203="","MODEL SEÇİN",IF(OR($D203="",$G203&lt;=0),"EKSİK",IF(AND($E203&lt;&gt;"",$E203&lt;$D203),"TARİH HATASI",IF($H203="Pasif","KAPALI DÖNEM","UYGUN"))))))</f>
        <v/>
      </c>
      <c r="O203" s="229">
        <f>IF(OR($C203="",$D203="",$F203=""),"",IF($F203="Aylık",EOMONTH($D203,0),($D203+MOD(SISTEM!$F$8-WEEKDAY($D203,2),7))))</f>
        <v/>
      </c>
      <c r="P203" s="109" t="n"/>
      <c r="Q203" s="6" t="n"/>
      <c r="R203" s="6" t="n"/>
      <c r="S203" s="3">
        <f>IF($B203="","",$B203&amp;"|"&amp;COUNTIFS($B$7:$B203,$B203))</f>
        <v/>
      </c>
    </row>
    <row r="204">
      <c r="A204" s="6" t="n"/>
      <c r="B204" s="113">
        <f>IF($C204="","",IFERROR(INDEX(MUSTERILER!$B$7:$B$106,MATCH($C204,MUSTERILER!$C$7:$C$106,0)),IFERROR(INDEX(MUSTERILER!$B$7:$B$106,MATCH($C204,MUSTERILER!$B$7:$B$106,0)),IFERROR(INDEX(MUSTERILER!$B$7:$B$106,MATCH($C204&amp;"*",MUSTERILER!$C$7:$C$106,0)),"TANIMSIZ MÜŞTERİ"))))</f>
        <v/>
      </c>
      <c r="C204" s="109" t="n"/>
      <c r="D204" s="225" t="n"/>
      <c r="E204" s="225" t="n"/>
      <c r="F204" s="108" t="n"/>
      <c r="G204" s="226" t="n"/>
      <c r="H204" s="108" t="n"/>
      <c r="I204" s="227">
        <f>IF(OR($C204="",$D204="",$G204="",$F204=""),0,$G204*IF($F204="Aylık",MAX(0,(YEAR(MIN(IF($E204="",TODAY(),$E204),TODAY()))-YEAR($D204))*12+MONTH(MIN(IF($E204="",TODAY(),$E204),TODAY()))-MONTH($D204)+IF(MIN(IF($E204="",TODAY(),$E204),TODAY())&gt;=EOMONTH(MIN(IF($E204="",TODAY(),$E204),TODAY()),0),1,0)),MAX(0,INT((MIN(IF($E204="",TODAY(),$E204),TODAY())-($D204+MOD(SISTEM!$F$8-WEEKDAY($D204,2),7)))/7)+1)))</f>
        <v/>
      </c>
      <c r="J204" s="227">
        <f>IF(OR($C204="",$D204="",$G204="",$F204=""),0,$G204*IF($F204="Aylık",MAX(0,(YEAR(MIN(IF($E204="",TODAY()-8,$E204),TODAY()-8))-YEAR($D204))*12+MONTH(MIN(IF($E204="",TODAY()-8,$E204),TODAY()-8))-MONTH($D204)+IF(MIN(IF($E204="",TODAY()-8,$E204),TODAY()-8)&gt;=EOMONTH(MIN(IF($E204="",TODAY()-8,$E204),TODAY()-8),0),1,0)),MAX(0,INT((MIN(IF($E204="",TODAY()-8,$E204),TODAY()-8)-($D204+MOD(SISTEM!$F$8-WEEKDAY($D204,2),7)))/7)+1)))</f>
        <v/>
      </c>
      <c r="K204" s="227">
        <f>IF(OR($C204="",$D204="",$G204="",$F204=""),0,$G204*IF($F204="Aylık",MAX(0,(YEAR(MIN(IF($E204="",TODAY()-15,$E204),TODAY()-15))-YEAR($D204))*12+MONTH(MIN(IF($E204="",TODAY()-15,$E204),TODAY()-15))-MONTH($D204)+IF(MIN(IF($E204="",TODAY()-15,$E204),TODAY()-15)&gt;=EOMONTH(MIN(IF($E204="",TODAY()-15,$E204),TODAY()-15),0),1,0)),MAX(0,INT((MIN(IF($E204="",TODAY()-15,$E204),TODAY()-15)-($D204+MOD(SISTEM!$F$8-WEEKDAY($D204,2),7)))/7)+1)))</f>
        <v/>
      </c>
      <c r="L204" s="227">
        <f>IF(OR($C204="",$D204="",$G204="",$F204=""),0,$G204*IF($F204="Aylık",MAX(0,(YEAR(MIN(IF($E204="",TODAY()-29,$E204),TODAY()-29))-YEAR($D204))*12+MONTH(MIN(IF($E204="",TODAY()-29,$E204),TODAY()-29))-MONTH($D204)+IF(MIN(IF($E204="",TODAY()-29,$E204),TODAY()-29)&gt;=EOMONTH(MIN(IF($E204="",TODAY()-29,$E204),TODAY()-29),0),1,0)),MAX(0,INT((MIN(IF($E204="",TODAY()-29,$E204),TODAY()-29)-($D204+MOD(SISTEM!$F$8-WEEKDAY($D204,2),7)))/7)+1)))</f>
        <v/>
      </c>
      <c r="M204" s="228">
        <f>IF($G204&gt;0,$I204/$G204,0)</f>
        <v/>
      </c>
      <c r="N204" s="113">
        <f>IF($C204="","",IF($B204="TANIMSIZ MÜŞTERİ","TANIMSIZ MÜŞTERİ",IF($F204="","MODEL SEÇİN",IF(OR($D204="",$G204&lt;=0),"EKSİK",IF(AND($E204&lt;&gt;"",$E204&lt;$D204),"TARİH HATASI",IF($H204="Pasif","KAPALI DÖNEM","UYGUN"))))))</f>
        <v/>
      </c>
      <c r="O204" s="229">
        <f>IF(OR($C204="",$D204="",$F204=""),"",IF($F204="Aylık",EOMONTH($D204,0),($D204+MOD(SISTEM!$F$8-WEEKDAY($D204,2),7))))</f>
        <v/>
      </c>
      <c r="P204" s="109" t="n"/>
      <c r="Q204" s="6" t="n"/>
      <c r="R204" s="6" t="n"/>
      <c r="S204" s="3">
        <f>IF($B204="","",$B204&amp;"|"&amp;COUNTIFS($B$7:$B204,$B204))</f>
        <v/>
      </c>
    </row>
    <row r="205">
      <c r="A205" s="6" t="n"/>
      <c r="B205" s="113">
        <f>IF($C205="","",IFERROR(INDEX(MUSTERILER!$B$7:$B$106,MATCH($C205,MUSTERILER!$C$7:$C$106,0)),IFERROR(INDEX(MUSTERILER!$B$7:$B$106,MATCH($C205,MUSTERILER!$B$7:$B$106,0)),IFERROR(INDEX(MUSTERILER!$B$7:$B$106,MATCH($C205&amp;"*",MUSTERILER!$C$7:$C$106,0)),"TANIMSIZ MÜŞTERİ"))))</f>
        <v/>
      </c>
      <c r="C205" s="109" t="n"/>
      <c r="D205" s="225" t="n"/>
      <c r="E205" s="225" t="n"/>
      <c r="F205" s="108" t="n"/>
      <c r="G205" s="226" t="n"/>
      <c r="H205" s="108" t="n"/>
      <c r="I205" s="227">
        <f>IF(OR($C205="",$D205="",$G205="",$F205=""),0,$G205*IF($F205="Aylık",MAX(0,(YEAR(MIN(IF($E205="",TODAY(),$E205),TODAY()))-YEAR($D205))*12+MONTH(MIN(IF($E205="",TODAY(),$E205),TODAY()))-MONTH($D205)+IF(MIN(IF($E205="",TODAY(),$E205),TODAY())&gt;=EOMONTH(MIN(IF($E205="",TODAY(),$E205),TODAY()),0),1,0)),MAX(0,INT((MIN(IF($E205="",TODAY(),$E205),TODAY())-($D205+MOD(SISTEM!$F$8-WEEKDAY($D205,2),7)))/7)+1)))</f>
        <v/>
      </c>
      <c r="J205" s="227">
        <f>IF(OR($C205="",$D205="",$G205="",$F205=""),0,$G205*IF($F205="Aylık",MAX(0,(YEAR(MIN(IF($E205="",TODAY()-8,$E205),TODAY()-8))-YEAR($D205))*12+MONTH(MIN(IF($E205="",TODAY()-8,$E205),TODAY()-8))-MONTH($D205)+IF(MIN(IF($E205="",TODAY()-8,$E205),TODAY()-8)&gt;=EOMONTH(MIN(IF($E205="",TODAY()-8,$E205),TODAY()-8),0),1,0)),MAX(0,INT((MIN(IF($E205="",TODAY()-8,$E205),TODAY()-8)-($D205+MOD(SISTEM!$F$8-WEEKDAY($D205,2),7)))/7)+1)))</f>
        <v/>
      </c>
      <c r="K205" s="227">
        <f>IF(OR($C205="",$D205="",$G205="",$F205=""),0,$G205*IF($F205="Aylık",MAX(0,(YEAR(MIN(IF($E205="",TODAY()-15,$E205),TODAY()-15))-YEAR($D205))*12+MONTH(MIN(IF($E205="",TODAY()-15,$E205),TODAY()-15))-MONTH($D205)+IF(MIN(IF($E205="",TODAY()-15,$E205),TODAY()-15)&gt;=EOMONTH(MIN(IF($E205="",TODAY()-15,$E205),TODAY()-15),0),1,0)),MAX(0,INT((MIN(IF($E205="",TODAY()-15,$E205),TODAY()-15)-($D205+MOD(SISTEM!$F$8-WEEKDAY($D205,2),7)))/7)+1)))</f>
        <v/>
      </c>
      <c r="L205" s="227">
        <f>IF(OR($C205="",$D205="",$G205="",$F205=""),0,$G205*IF($F205="Aylık",MAX(0,(YEAR(MIN(IF($E205="",TODAY()-29,$E205),TODAY()-29))-YEAR($D205))*12+MONTH(MIN(IF($E205="",TODAY()-29,$E205),TODAY()-29))-MONTH($D205)+IF(MIN(IF($E205="",TODAY()-29,$E205),TODAY()-29)&gt;=EOMONTH(MIN(IF($E205="",TODAY()-29,$E205),TODAY()-29),0),1,0)),MAX(0,INT((MIN(IF($E205="",TODAY()-29,$E205),TODAY()-29)-($D205+MOD(SISTEM!$F$8-WEEKDAY($D205,2),7)))/7)+1)))</f>
        <v/>
      </c>
      <c r="M205" s="228">
        <f>IF($G205&gt;0,$I205/$G205,0)</f>
        <v/>
      </c>
      <c r="N205" s="113">
        <f>IF($C205="","",IF($B205="TANIMSIZ MÜŞTERİ","TANIMSIZ MÜŞTERİ",IF($F205="","MODEL SEÇİN",IF(OR($D205="",$G205&lt;=0),"EKSİK",IF(AND($E205&lt;&gt;"",$E205&lt;$D205),"TARİH HATASI",IF($H205="Pasif","KAPALI DÖNEM","UYGUN"))))))</f>
        <v/>
      </c>
      <c r="O205" s="229">
        <f>IF(OR($C205="",$D205="",$F205=""),"",IF($F205="Aylık",EOMONTH($D205,0),($D205+MOD(SISTEM!$F$8-WEEKDAY($D205,2),7))))</f>
        <v/>
      </c>
      <c r="P205" s="109" t="n"/>
      <c r="Q205" s="6" t="n"/>
      <c r="R205" s="6" t="n"/>
      <c r="S205" s="3">
        <f>IF($B205="","",$B205&amp;"|"&amp;COUNTIFS($B$7:$B205,$B205))</f>
        <v/>
      </c>
    </row>
    <row r="206">
      <c r="A206" s="6" t="n"/>
      <c r="B206" s="113">
        <f>IF($C206="","",IFERROR(INDEX(MUSTERILER!$B$7:$B$106,MATCH($C206,MUSTERILER!$C$7:$C$106,0)),IFERROR(INDEX(MUSTERILER!$B$7:$B$106,MATCH($C206,MUSTERILER!$B$7:$B$106,0)),IFERROR(INDEX(MUSTERILER!$B$7:$B$106,MATCH($C206&amp;"*",MUSTERILER!$C$7:$C$106,0)),"TANIMSIZ MÜŞTERİ"))))</f>
        <v/>
      </c>
      <c r="C206" s="109" t="n"/>
      <c r="D206" s="225" t="n"/>
      <c r="E206" s="225" t="n"/>
      <c r="F206" s="108" t="n"/>
      <c r="G206" s="226" t="n"/>
      <c r="H206" s="108" t="n"/>
      <c r="I206" s="227">
        <f>IF(OR($C206="",$D206="",$G206="",$F206=""),0,$G206*IF($F206="Aylık",MAX(0,(YEAR(MIN(IF($E206="",TODAY(),$E206),TODAY()))-YEAR($D206))*12+MONTH(MIN(IF($E206="",TODAY(),$E206),TODAY()))-MONTH($D206)+IF(MIN(IF($E206="",TODAY(),$E206),TODAY())&gt;=EOMONTH(MIN(IF($E206="",TODAY(),$E206),TODAY()),0),1,0)),MAX(0,INT((MIN(IF($E206="",TODAY(),$E206),TODAY())-($D206+MOD(SISTEM!$F$8-WEEKDAY($D206,2),7)))/7)+1)))</f>
        <v/>
      </c>
      <c r="J206" s="227">
        <f>IF(OR($C206="",$D206="",$G206="",$F206=""),0,$G206*IF($F206="Aylık",MAX(0,(YEAR(MIN(IF($E206="",TODAY()-8,$E206),TODAY()-8))-YEAR($D206))*12+MONTH(MIN(IF($E206="",TODAY()-8,$E206),TODAY()-8))-MONTH($D206)+IF(MIN(IF($E206="",TODAY()-8,$E206),TODAY()-8)&gt;=EOMONTH(MIN(IF($E206="",TODAY()-8,$E206),TODAY()-8),0),1,0)),MAX(0,INT((MIN(IF($E206="",TODAY()-8,$E206),TODAY()-8)-($D206+MOD(SISTEM!$F$8-WEEKDAY($D206,2),7)))/7)+1)))</f>
        <v/>
      </c>
      <c r="K206" s="227">
        <f>IF(OR($C206="",$D206="",$G206="",$F206=""),0,$G206*IF($F206="Aylık",MAX(0,(YEAR(MIN(IF($E206="",TODAY()-15,$E206),TODAY()-15))-YEAR($D206))*12+MONTH(MIN(IF($E206="",TODAY()-15,$E206),TODAY()-15))-MONTH($D206)+IF(MIN(IF($E206="",TODAY()-15,$E206),TODAY()-15)&gt;=EOMONTH(MIN(IF($E206="",TODAY()-15,$E206),TODAY()-15),0),1,0)),MAX(0,INT((MIN(IF($E206="",TODAY()-15,$E206),TODAY()-15)-($D206+MOD(SISTEM!$F$8-WEEKDAY($D206,2),7)))/7)+1)))</f>
        <v/>
      </c>
      <c r="L206" s="227">
        <f>IF(OR($C206="",$D206="",$G206="",$F206=""),0,$G206*IF($F206="Aylık",MAX(0,(YEAR(MIN(IF($E206="",TODAY()-29,$E206),TODAY()-29))-YEAR($D206))*12+MONTH(MIN(IF($E206="",TODAY()-29,$E206),TODAY()-29))-MONTH($D206)+IF(MIN(IF($E206="",TODAY()-29,$E206),TODAY()-29)&gt;=EOMONTH(MIN(IF($E206="",TODAY()-29,$E206),TODAY()-29),0),1,0)),MAX(0,INT((MIN(IF($E206="",TODAY()-29,$E206),TODAY()-29)-($D206+MOD(SISTEM!$F$8-WEEKDAY($D206,2),7)))/7)+1)))</f>
        <v/>
      </c>
      <c r="M206" s="228">
        <f>IF($G206&gt;0,$I206/$G206,0)</f>
        <v/>
      </c>
      <c r="N206" s="113">
        <f>IF($C206="","",IF($B206="TANIMSIZ MÜŞTERİ","TANIMSIZ MÜŞTERİ",IF($F206="","MODEL SEÇİN",IF(OR($D206="",$G206&lt;=0),"EKSİK",IF(AND($E206&lt;&gt;"",$E206&lt;$D206),"TARİH HATASI",IF($H206="Pasif","KAPALI DÖNEM","UYGUN"))))))</f>
        <v/>
      </c>
      <c r="O206" s="229">
        <f>IF(OR($C206="",$D206="",$F206=""),"",IF($F206="Aylık",EOMONTH($D206,0),($D206+MOD(SISTEM!$F$8-WEEKDAY($D206,2),7))))</f>
        <v/>
      </c>
      <c r="P206" s="109" t="n"/>
      <c r="Q206" s="6" t="n"/>
      <c r="R206" s="6" t="n"/>
      <c r="S206" s="3">
        <f>IF($B206="","",$B206&amp;"|"&amp;COUNTIFS($B$7:$B206,$B206))</f>
        <v/>
      </c>
    </row>
    <row r="207">
      <c r="A207" s="6" t="n"/>
      <c r="B207" s="113">
        <f>IF($C207="","",IFERROR(INDEX(MUSTERILER!$B$7:$B$106,MATCH($C207,MUSTERILER!$C$7:$C$106,0)),IFERROR(INDEX(MUSTERILER!$B$7:$B$106,MATCH($C207,MUSTERILER!$B$7:$B$106,0)),IFERROR(INDEX(MUSTERILER!$B$7:$B$106,MATCH($C207&amp;"*",MUSTERILER!$C$7:$C$106,0)),"TANIMSIZ MÜŞTERİ"))))</f>
        <v/>
      </c>
      <c r="C207" s="109" t="n"/>
      <c r="D207" s="225" t="n"/>
      <c r="E207" s="225" t="n"/>
      <c r="F207" s="108" t="n"/>
      <c r="G207" s="226" t="n"/>
      <c r="H207" s="108" t="n"/>
      <c r="I207" s="227">
        <f>IF(OR($C207="",$D207="",$G207="",$F207=""),0,$G207*IF($F207="Aylık",MAX(0,(YEAR(MIN(IF($E207="",TODAY(),$E207),TODAY()))-YEAR($D207))*12+MONTH(MIN(IF($E207="",TODAY(),$E207),TODAY()))-MONTH($D207)+IF(MIN(IF($E207="",TODAY(),$E207),TODAY())&gt;=EOMONTH(MIN(IF($E207="",TODAY(),$E207),TODAY()),0),1,0)),MAX(0,INT((MIN(IF($E207="",TODAY(),$E207),TODAY())-($D207+MOD(SISTEM!$F$8-WEEKDAY($D207,2),7)))/7)+1)))</f>
        <v/>
      </c>
      <c r="J207" s="227">
        <f>IF(OR($C207="",$D207="",$G207="",$F207=""),0,$G207*IF($F207="Aylık",MAX(0,(YEAR(MIN(IF($E207="",TODAY()-8,$E207),TODAY()-8))-YEAR($D207))*12+MONTH(MIN(IF($E207="",TODAY()-8,$E207),TODAY()-8))-MONTH($D207)+IF(MIN(IF($E207="",TODAY()-8,$E207),TODAY()-8)&gt;=EOMONTH(MIN(IF($E207="",TODAY()-8,$E207),TODAY()-8),0),1,0)),MAX(0,INT((MIN(IF($E207="",TODAY()-8,$E207),TODAY()-8)-($D207+MOD(SISTEM!$F$8-WEEKDAY($D207,2),7)))/7)+1)))</f>
        <v/>
      </c>
      <c r="K207" s="227">
        <f>IF(OR($C207="",$D207="",$G207="",$F207=""),0,$G207*IF($F207="Aylık",MAX(0,(YEAR(MIN(IF($E207="",TODAY()-15,$E207),TODAY()-15))-YEAR($D207))*12+MONTH(MIN(IF($E207="",TODAY()-15,$E207),TODAY()-15))-MONTH($D207)+IF(MIN(IF($E207="",TODAY()-15,$E207),TODAY()-15)&gt;=EOMONTH(MIN(IF($E207="",TODAY()-15,$E207),TODAY()-15),0),1,0)),MAX(0,INT((MIN(IF($E207="",TODAY()-15,$E207),TODAY()-15)-($D207+MOD(SISTEM!$F$8-WEEKDAY($D207,2),7)))/7)+1)))</f>
        <v/>
      </c>
      <c r="L207" s="227">
        <f>IF(OR($C207="",$D207="",$G207="",$F207=""),0,$G207*IF($F207="Aylık",MAX(0,(YEAR(MIN(IF($E207="",TODAY()-29,$E207),TODAY()-29))-YEAR($D207))*12+MONTH(MIN(IF($E207="",TODAY()-29,$E207),TODAY()-29))-MONTH($D207)+IF(MIN(IF($E207="",TODAY()-29,$E207),TODAY()-29)&gt;=EOMONTH(MIN(IF($E207="",TODAY()-29,$E207),TODAY()-29),0),1,0)),MAX(0,INT((MIN(IF($E207="",TODAY()-29,$E207),TODAY()-29)-($D207+MOD(SISTEM!$F$8-WEEKDAY($D207,2),7)))/7)+1)))</f>
        <v/>
      </c>
      <c r="M207" s="228">
        <f>IF($G207&gt;0,$I207/$G207,0)</f>
        <v/>
      </c>
      <c r="N207" s="113">
        <f>IF($C207="","",IF($B207="TANIMSIZ MÜŞTERİ","TANIMSIZ MÜŞTERİ",IF($F207="","MODEL SEÇİN",IF(OR($D207="",$G207&lt;=0),"EKSİK",IF(AND($E207&lt;&gt;"",$E207&lt;$D207),"TARİH HATASI",IF($H207="Pasif","KAPALI DÖNEM","UYGUN"))))))</f>
        <v/>
      </c>
      <c r="O207" s="229">
        <f>IF(OR($C207="",$D207="",$F207=""),"",IF($F207="Aylık",EOMONTH($D207,0),($D207+MOD(SISTEM!$F$8-WEEKDAY($D207,2),7))))</f>
        <v/>
      </c>
      <c r="P207" s="109" t="n"/>
      <c r="Q207" s="6" t="n"/>
      <c r="R207" s="6" t="n"/>
      <c r="S207" s="3">
        <f>IF($B207="","",$B207&amp;"|"&amp;COUNTIFS($B$7:$B207,$B207))</f>
        <v/>
      </c>
    </row>
    <row r="208">
      <c r="A208" s="6" t="n"/>
      <c r="B208" s="113">
        <f>IF($C208="","",IFERROR(INDEX(MUSTERILER!$B$7:$B$106,MATCH($C208,MUSTERILER!$C$7:$C$106,0)),IFERROR(INDEX(MUSTERILER!$B$7:$B$106,MATCH($C208,MUSTERILER!$B$7:$B$106,0)),IFERROR(INDEX(MUSTERILER!$B$7:$B$106,MATCH($C208&amp;"*",MUSTERILER!$C$7:$C$106,0)),"TANIMSIZ MÜŞTERİ"))))</f>
        <v/>
      </c>
      <c r="C208" s="109" t="n"/>
      <c r="D208" s="225" t="n"/>
      <c r="E208" s="225" t="n"/>
      <c r="F208" s="108" t="n"/>
      <c r="G208" s="226" t="n"/>
      <c r="H208" s="108" t="n"/>
      <c r="I208" s="227">
        <f>IF(OR($C208="",$D208="",$G208="",$F208=""),0,$G208*IF($F208="Aylık",MAX(0,(YEAR(MIN(IF($E208="",TODAY(),$E208),TODAY()))-YEAR($D208))*12+MONTH(MIN(IF($E208="",TODAY(),$E208),TODAY()))-MONTH($D208)+IF(MIN(IF($E208="",TODAY(),$E208),TODAY())&gt;=EOMONTH(MIN(IF($E208="",TODAY(),$E208),TODAY()),0),1,0)),MAX(0,INT((MIN(IF($E208="",TODAY(),$E208),TODAY())-($D208+MOD(SISTEM!$F$8-WEEKDAY($D208,2),7)))/7)+1)))</f>
        <v/>
      </c>
      <c r="J208" s="227">
        <f>IF(OR($C208="",$D208="",$G208="",$F208=""),0,$G208*IF($F208="Aylık",MAX(0,(YEAR(MIN(IF($E208="",TODAY()-8,$E208),TODAY()-8))-YEAR($D208))*12+MONTH(MIN(IF($E208="",TODAY()-8,$E208),TODAY()-8))-MONTH($D208)+IF(MIN(IF($E208="",TODAY()-8,$E208),TODAY()-8)&gt;=EOMONTH(MIN(IF($E208="",TODAY()-8,$E208),TODAY()-8),0),1,0)),MAX(0,INT((MIN(IF($E208="",TODAY()-8,$E208),TODAY()-8)-($D208+MOD(SISTEM!$F$8-WEEKDAY($D208,2),7)))/7)+1)))</f>
        <v/>
      </c>
      <c r="K208" s="227">
        <f>IF(OR($C208="",$D208="",$G208="",$F208=""),0,$G208*IF($F208="Aylık",MAX(0,(YEAR(MIN(IF($E208="",TODAY()-15,$E208),TODAY()-15))-YEAR($D208))*12+MONTH(MIN(IF($E208="",TODAY()-15,$E208),TODAY()-15))-MONTH($D208)+IF(MIN(IF($E208="",TODAY()-15,$E208),TODAY()-15)&gt;=EOMONTH(MIN(IF($E208="",TODAY()-15,$E208),TODAY()-15),0),1,0)),MAX(0,INT((MIN(IF($E208="",TODAY()-15,$E208),TODAY()-15)-($D208+MOD(SISTEM!$F$8-WEEKDAY($D208,2),7)))/7)+1)))</f>
        <v/>
      </c>
      <c r="L208" s="227">
        <f>IF(OR($C208="",$D208="",$G208="",$F208=""),0,$G208*IF($F208="Aylık",MAX(0,(YEAR(MIN(IF($E208="",TODAY()-29,$E208),TODAY()-29))-YEAR($D208))*12+MONTH(MIN(IF($E208="",TODAY()-29,$E208),TODAY()-29))-MONTH($D208)+IF(MIN(IF($E208="",TODAY()-29,$E208),TODAY()-29)&gt;=EOMONTH(MIN(IF($E208="",TODAY()-29,$E208),TODAY()-29),0),1,0)),MAX(0,INT((MIN(IF($E208="",TODAY()-29,$E208),TODAY()-29)-($D208+MOD(SISTEM!$F$8-WEEKDAY($D208,2),7)))/7)+1)))</f>
        <v/>
      </c>
      <c r="M208" s="228">
        <f>IF($G208&gt;0,$I208/$G208,0)</f>
        <v/>
      </c>
      <c r="N208" s="113">
        <f>IF($C208="","",IF($B208="TANIMSIZ MÜŞTERİ","TANIMSIZ MÜŞTERİ",IF($F208="","MODEL SEÇİN",IF(OR($D208="",$G208&lt;=0),"EKSİK",IF(AND($E208&lt;&gt;"",$E208&lt;$D208),"TARİH HATASI",IF($H208="Pasif","KAPALI DÖNEM","UYGUN"))))))</f>
        <v/>
      </c>
      <c r="O208" s="229">
        <f>IF(OR($C208="",$D208="",$F208=""),"",IF($F208="Aylık",EOMONTH($D208,0),($D208+MOD(SISTEM!$F$8-WEEKDAY($D208,2),7))))</f>
        <v/>
      </c>
      <c r="P208" s="109" t="n"/>
      <c r="Q208" s="6" t="n"/>
      <c r="R208" s="6" t="n"/>
      <c r="S208" s="3">
        <f>IF($B208="","",$B208&amp;"|"&amp;COUNTIFS($B$7:$B208,$B208))</f>
        <v/>
      </c>
    </row>
    <row r="209">
      <c r="A209" s="6" t="n"/>
      <c r="B209" s="113">
        <f>IF($C209="","",IFERROR(INDEX(MUSTERILER!$B$7:$B$106,MATCH($C209,MUSTERILER!$C$7:$C$106,0)),IFERROR(INDEX(MUSTERILER!$B$7:$B$106,MATCH($C209,MUSTERILER!$B$7:$B$106,0)),IFERROR(INDEX(MUSTERILER!$B$7:$B$106,MATCH($C209&amp;"*",MUSTERILER!$C$7:$C$106,0)),"TANIMSIZ MÜŞTERİ"))))</f>
        <v/>
      </c>
      <c r="C209" s="109" t="n"/>
      <c r="D209" s="225" t="n"/>
      <c r="E209" s="225" t="n"/>
      <c r="F209" s="108" t="n"/>
      <c r="G209" s="226" t="n"/>
      <c r="H209" s="108" t="n"/>
      <c r="I209" s="227">
        <f>IF(OR($C209="",$D209="",$G209="",$F209=""),0,$G209*IF($F209="Aylık",MAX(0,(YEAR(MIN(IF($E209="",TODAY(),$E209),TODAY()))-YEAR($D209))*12+MONTH(MIN(IF($E209="",TODAY(),$E209),TODAY()))-MONTH($D209)+IF(MIN(IF($E209="",TODAY(),$E209),TODAY())&gt;=EOMONTH(MIN(IF($E209="",TODAY(),$E209),TODAY()),0),1,0)),MAX(0,INT((MIN(IF($E209="",TODAY(),$E209),TODAY())-($D209+MOD(SISTEM!$F$8-WEEKDAY($D209,2),7)))/7)+1)))</f>
        <v/>
      </c>
      <c r="J209" s="227">
        <f>IF(OR($C209="",$D209="",$G209="",$F209=""),0,$G209*IF($F209="Aylık",MAX(0,(YEAR(MIN(IF($E209="",TODAY()-8,$E209),TODAY()-8))-YEAR($D209))*12+MONTH(MIN(IF($E209="",TODAY()-8,$E209),TODAY()-8))-MONTH($D209)+IF(MIN(IF($E209="",TODAY()-8,$E209),TODAY()-8)&gt;=EOMONTH(MIN(IF($E209="",TODAY()-8,$E209),TODAY()-8),0),1,0)),MAX(0,INT((MIN(IF($E209="",TODAY()-8,$E209),TODAY()-8)-($D209+MOD(SISTEM!$F$8-WEEKDAY($D209,2),7)))/7)+1)))</f>
        <v/>
      </c>
      <c r="K209" s="227">
        <f>IF(OR($C209="",$D209="",$G209="",$F209=""),0,$G209*IF($F209="Aylık",MAX(0,(YEAR(MIN(IF($E209="",TODAY()-15,$E209),TODAY()-15))-YEAR($D209))*12+MONTH(MIN(IF($E209="",TODAY()-15,$E209),TODAY()-15))-MONTH($D209)+IF(MIN(IF($E209="",TODAY()-15,$E209),TODAY()-15)&gt;=EOMONTH(MIN(IF($E209="",TODAY()-15,$E209),TODAY()-15),0),1,0)),MAX(0,INT((MIN(IF($E209="",TODAY()-15,$E209),TODAY()-15)-($D209+MOD(SISTEM!$F$8-WEEKDAY($D209,2),7)))/7)+1)))</f>
        <v/>
      </c>
      <c r="L209" s="227">
        <f>IF(OR($C209="",$D209="",$G209="",$F209=""),0,$G209*IF($F209="Aylık",MAX(0,(YEAR(MIN(IF($E209="",TODAY()-29,$E209),TODAY()-29))-YEAR($D209))*12+MONTH(MIN(IF($E209="",TODAY()-29,$E209),TODAY()-29))-MONTH($D209)+IF(MIN(IF($E209="",TODAY()-29,$E209),TODAY()-29)&gt;=EOMONTH(MIN(IF($E209="",TODAY()-29,$E209),TODAY()-29),0),1,0)),MAX(0,INT((MIN(IF($E209="",TODAY()-29,$E209),TODAY()-29)-($D209+MOD(SISTEM!$F$8-WEEKDAY($D209,2),7)))/7)+1)))</f>
        <v/>
      </c>
      <c r="M209" s="228">
        <f>IF($G209&gt;0,$I209/$G209,0)</f>
        <v/>
      </c>
      <c r="N209" s="113">
        <f>IF($C209="","",IF($B209="TANIMSIZ MÜŞTERİ","TANIMSIZ MÜŞTERİ",IF($F209="","MODEL SEÇİN",IF(OR($D209="",$G209&lt;=0),"EKSİK",IF(AND($E209&lt;&gt;"",$E209&lt;$D209),"TARİH HATASI",IF($H209="Pasif","KAPALI DÖNEM","UYGUN"))))))</f>
        <v/>
      </c>
      <c r="O209" s="229">
        <f>IF(OR($C209="",$D209="",$F209=""),"",IF($F209="Aylık",EOMONTH($D209,0),($D209+MOD(SISTEM!$F$8-WEEKDAY($D209,2),7))))</f>
        <v/>
      </c>
      <c r="P209" s="109" t="n"/>
      <c r="Q209" s="6" t="n"/>
      <c r="R209" s="6" t="n"/>
      <c r="S209" s="3">
        <f>IF($B209="","",$B209&amp;"|"&amp;COUNTIFS($B$7:$B209,$B209))</f>
        <v/>
      </c>
    </row>
    <row r="210">
      <c r="A210" s="6" t="n"/>
      <c r="B210" s="113">
        <f>IF($C210="","",IFERROR(INDEX(MUSTERILER!$B$7:$B$106,MATCH($C210,MUSTERILER!$C$7:$C$106,0)),IFERROR(INDEX(MUSTERILER!$B$7:$B$106,MATCH($C210,MUSTERILER!$B$7:$B$106,0)),IFERROR(INDEX(MUSTERILER!$B$7:$B$106,MATCH($C210&amp;"*",MUSTERILER!$C$7:$C$106,0)),"TANIMSIZ MÜŞTERİ"))))</f>
        <v/>
      </c>
      <c r="C210" s="109" t="n"/>
      <c r="D210" s="225" t="n"/>
      <c r="E210" s="225" t="n"/>
      <c r="F210" s="108" t="n"/>
      <c r="G210" s="226" t="n"/>
      <c r="H210" s="108" t="n"/>
      <c r="I210" s="227">
        <f>IF(OR($C210="",$D210="",$G210="",$F210=""),0,$G210*IF($F210="Aylık",MAX(0,(YEAR(MIN(IF($E210="",TODAY(),$E210),TODAY()))-YEAR($D210))*12+MONTH(MIN(IF($E210="",TODAY(),$E210),TODAY()))-MONTH($D210)+IF(MIN(IF($E210="",TODAY(),$E210),TODAY())&gt;=EOMONTH(MIN(IF($E210="",TODAY(),$E210),TODAY()),0),1,0)),MAX(0,INT((MIN(IF($E210="",TODAY(),$E210),TODAY())-($D210+MOD(SISTEM!$F$8-WEEKDAY($D210,2),7)))/7)+1)))</f>
        <v/>
      </c>
      <c r="J210" s="227">
        <f>IF(OR($C210="",$D210="",$G210="",$F210=""),0,$G210*IF($F210="Aylık",MAX(0,(YEAR(MIN(IF($E210="",TODAY()-8,$E210),TODAY()-8))-YEAR($D210))*12+MONTH(MIN(IF($E210="",TODAY()-8,$E210),TODAY()-8))-MONTH($D210)+IF(MIN(IF($E210="",TODAY()-8,$E210),TODAY()-8)&gt;=EOMONTH(MIN(IF($E210="",TODAY()-8,$E210),TODAY()-8),0),1,0)),MAX(0,INT((MIN(IF($E210="",TODAY()-8,$E210),TODAY()-8)-($D210+MOD(SISTEM!$F$8-WEEKDAY($D210,2),7)))/7)+1)))</f>
        <v/>
      </c>
      <c r="K210" s="227">
        <f>IF(OR($C210="",$D210="",$G210="",$F210=""),0,$G210*IF($F210="Aylık",MAX(0,(YEAR(MIN(IF($E210="",TODAY()-15,$E210),TODAY()-15))-YEAR($D210))*12+MONTH(MIN(IF($E210="",TODAY()-15,$E210),TODAY()-15))-MONTH($D210)+IF(MIN(IF($E210="",TODAY()-15,$E210),TODAY()-15)&gt;=EOMONTH(MIN(IF($E210="",TODAY()-15,$E210),TODAY()-15),0),1,0)),MAX(0,INT((MIN(IF($E210="",TODAY()-15,$E210),TODAY()-15)-($D210+MOD(SISTEM!$F$8-WEEKDAY($D210,2),7)))/7)+1)))</f>
        <v/>
      </c>
      <c r="L210" s="227">
        <f>IF(OR($C210="",$D210="",$G210="",$F210=""),0,$G210*IF($F210="Aylık",MAX(0,(YEAR(MIN(IF($E210="",TODAY()-29,$E210),TODAY()-29))-YEAR($D210))*12+MONTH(MIN(IF($E210="",TODAY()-29,$E210),TODAY()-29))-MONTH($D210)+IF(MIN(IF($E210="",TODAY()-29,$E210),TODAY()-29)&gt;=EOMONTH(MIN(IF($E210="",TODAY()-29,$E210),TODAY()-29),0),1,0)),MAX(0,INT((MIN(IF($E210="",TODAY()-29,$E210),TODAY()-29)-($D210+MOD(SISTEM!$F$8-WEEKDAY($D210,2),7)))/7)+1)))</f>
        <v/>
      </c>
      <c r="M210" s="228">
        <f>IF($G210&gt;0,$I210/$G210,0)</f>
        <v/>
      </c>
      <c r="N210" s="113">
        <f>IF($C210="","",IF($B210="TANIMSIZ MÜŞTERİ","TANIMSIZ MÜŞTERİ",IF($F210="","MODEL SEÇİN",IF(OR($D210="",$G210&lt;=0),"EKSİK",IF(AND($E210&lt;&gt;"",$E210&lt;$D210),"TARİH HATASI",IF($H210="Pasif","KAPALI DÖNEM","UYGUN"))))))</f>
        <v/>
      </c>
      <c r="O210" s="229">
        <f>IF(OR($C210="",$D210="",$F210=""),"",IF($F210="Aylık",EOMONTH($D210,0),($D210+MOD(SISTEM!$F$8-WEEKDAY($D210,2),7))))</f>
        <v/>
      </c>
      <c r="P210" s="109" t="n"/>
      <c r="Q210" s="6" t="n"/>
      <c r="R210" s="6" t="n"/>
      <c r="S210" s="3">
        <f>IF($B210="","",$B210&amp;"|"&amp;COUNTIFS($B$7:$B210,$B210))</f>
        <v/>
      </c>
    </row>
    <row r="211">
      <c r="A211" s="6" t="n"/>
      <c r="B211" s="113">
        <f>IF($C211="","",IFERROR(INDEX(MUSTERILER!$B$7:$B$106,MATCH($C211,MUSTERILER!$C$7:$C$106,0)),IFERROR(INDEX(MUSTERILER!$B$7:$B$106,MATCH($C211,MUSTERILER!$B$7:$B$106,0)),IFERROR(INDEX(MUSTERILER!$B$7:$B$106,MATCH($C211&amp;"*",MUSTERILER!$C$7:$C$106,0)),"TANIMSIZ MÜŞTERİ"))))</f>
        <v/>
      </c>
      <c r="C211" s="109" t="n"/>
      <c r="D211" s="225" t="n"/>
      <c r="E211" s="225" t="n"/>
      <c r="F211" s="108" t="n"/>
      <c r="G211" s="226" t="n"/>
      <c r="H211" s="108" t="n"/>
      <c r="I211" s="227">
        <f>IF(OR($C211="",$D211="",$G211="",$F211=""),0,$G211*IF($F211="Aylık",MAX(0,(YEAR(MIN(IF($E211="",TODAY(),$E211),TODAY()))-YEAR($D211))*12+MONTH(MIN(IF($E211="",TODAY(),$E211),TODAY()))-MONTH($D211)+IF(MIN(IF($E211="",TODAY(),$E211),TODAY())&gt;=EOMONTH(MIN(IF($E211="",TODAY(),$E211),TODAY()),0),1,0)),MAX(0,INT((MIN(IF($E211="",TODAY(),$E211),TODAY())-($D211+MOD(SISTEM!$F$8-WEEKDAY($D211,2),7)))/7)+1)))</f>
        <v/>
      </c>
      <c r="J211" s="227">
        <f>IF(OR($C211="",$D211="",$G211="",$F211=""),0,$G211*IF($F211="Aylık",MAX(0,(YEAR(MIN(IF($E211="",TODAY()-8,$E211),TODAY()-8))-YEAR($D211))*12+MONTH(MIN(IF($E211="",TODAY()-8,$E211),TODAY()-8))-MONTH($D211)+IF(MIN(IF($E211="",TODAY()-8,$E211),TODAY()-8)&gt;=EOMONTH(MIN(IF($E211="",TODAY()-8,$E211),TODAY()-8),0),1,0)),MAX(0,INT((MIN(IF($E211="",TODAY()-8,$E211),TODAY()-8)-($D211+MOD(SISTEM!$F$8-WEEKDAY($D211,2),7)))/7)+1)))</f>
        <v/>
      </c>
      <c r="K211" s="227">
        <f>IF(OR($C211="",$D211="",$G211="",$F211=""),0,$G211*IF($F211="Aylık",MAX(0,(YEAR(MIN(IF($E211="",TODAY()-15,$E211),TODAY()-15))-YEAR($D211))*12+MONTH(MIN(IF($E211="",TODAY()-15,$E211),TODAY()-15))-MONTH($D211)+IF(MIN(IF($E211="",TODAY()-15,$E211),TODAY()-15)&gt;=EOMONTH(MIN(IF($E211="",TODAY()-15,$E211),TODAY()-15),0),1,0)),MAX(0,INT((MIN(IF($E211="",TODAY()-15,$E211),TODAY()-15)-($D211+MOD(SISTEM!$F$8-WEEKDAY($D211,2),7)))/7)+1)))</f>
        <v/>
      </c>
      <c r="L211" s="227">
        <f>IF(OR($C211="",$D211="",$G211="",$F211=""),0,$G211*IF($F211="Aylık",MAX(0,(YEAR(MIN(IF($E211="",TODAY()-29,$E211),TODAY()-29))-YEAR($D211))*12+MONTH(MIN(IF($E211="",TODAY()-29,$E211),TODAY()-29))-MONTH($D211)+IF(MIN(IF($E211="",TODAY()-29,$E211),TODAY()-29)&gt;=EOMONTH(MIN(IF($E211="",TODAY()-29,$E211),TODAY()-29),0),1,0)),MAX(0,INT((MIN(IF($E211="",TODAY()-29,$E211),TODAY()-29)-($D211+MOD(SISTEM!$F$8-WEEKDAY($D211,2),7)))/7)+1)))</f>
        <v/>
      </c>
      <c r="M211" s="228">
        <f>IF($G211&gt;0,$I211/$G211,0)</f>
        <v/>
      </c>
      <c r="N211" s="113">
        <f>IF($C211="","",IF($B211="TANIMSIZ MÜŞTERİ","TANIMSIZ MÜŞTERİ",IF($F211="","MODEL SEÇİN",IF(OR($D211="",$G211&lt;=0),"EKSİK",IF(AND($E211&lt;&gt;"",$E211&lt;$D211),"TARİH HATASI",IF($H211="Pasif","KAPALI DÖNEM","UYGUN"))))))</f>
        <v/>
      </c>
      <c r="O211" s="229">
        <f>IF(OR($C211="",$D211="",$F211=""),"",IF($F211="Aylık",EOMONTH($D211,0),($D211+MOD(SISTEM!$F$8-WEEKDAY($D211,2),7))))</f>
        <v/>
      </c>
      <c r="P211" s="109" t="n"/>
      <c r="Q211" s="6" t="n"/>
      <c r="R211" s="6" t="n"/>
      <c r="S211" s="3">
        <f>IF($B211="","",$B211&amp;"|"&amp;COUNTIFS($B$7:$B211,$B211))</f>
        <v/>
      </c>
    </row>
    <row r="212">
      <c r="A212" s="6" t="n"/>
      <c r="B212" s="113">
        <f>IF($C212="","",IFERROR(INDEX(MUSTERILER!$B$7:$B$106,MATCH($C212,MUSTERILER!$C$7:$C$106,0)),IFERROR(INDEX(MUSTERILER!$B$7:$B$106,MATCH($C212,MUSTERILER!$B$7:$B$106,0)),IFERROR(INDEX(MUSTERILER!$B$7:$B$106,MATCH($C212&amp;"*",MUSTERILER!$C$7:$C$106,0)),"TANIMSIZ MÜŞTERİ"))))</f>
        <v/>
      </c>
      <c r="C212" s="109" t="n"/>
      <c r="D212" s="225" t="n"/>
      <c r="E212" s="225" t="n"/>
      <c r="F212" s="108" t="n"/>
      <c r="G212" s="226" t="n"/>
      <c r="H212" s="108" t="n"/>
      <c r="I212" s="227">
        <f>IF(OR($C212="",$D212="",$G212="",$F212=""),0,$G212*IF($F212="Aylık",MAX(0,(YEAR(MIN(IF($E212="",TODAY(),$E212),TODAY()))-YEAR($D212))*12+MONTH(MIN(IF($E212="",TODAY(),$E212),TODAY()))-MONTH($D212)+IF(MIN(IF($E212="",TODAY(),$E212),TODAY())&gt;=EOMONTH(MIN(IF($E212="",TODAY(),$E212),TODAY()),0),1,0)),MAX(0,INT((MIN(IF($E212="",TODAY(),$E212),TODAY())-($D212+MOD(SISTEM!$F$8-WEEKDAY($D212,2),7)))/7)+1)))</f>
        <v/>
      </c>
      <c r="J212" s="227">
        <f>IF(OR($C212="",$D212="",$G212="",$F212=""),0,$G212*IF($F212="Aylık",MAX(0,(YEAR(MIN(IF($E212="",TODAY()-8,$E212),TODAY()-8))-YEAR($D212))*12+MONTH(MIN(IF($E212="",TODAY()-8,$E212),TODAY()-8))-MONTH($D212)+IF(MIN(IF($E212="",TODAY()-8,$E212),TODAY()-8)&gt;=EOMONTH(MIN(IF($E212="",TODAY()-8,$E212),TODAY()-8),0),1,0)),MAX(0,INT((MIN(IF($E212="",TODAY()-8,$E212),TODAY()-8)-($D212+MOD(SISTEM!$F$8-WEEKDAY($D212,2),7)))/7)+1)))</f>
        <v/>
      </c>
      <c r="K212" s="227">
        <f>IF(OR($C212="",$D212="",$G212="",$F212=""),0,$G212*IF($F212="Aylık",MAX(0,(YEAR(MIN(IF($E212="",TODAY()-15,$E212),TODAY()-15))-YEAR($D212))*12+MONTH(MIN(IF($E212="",TODAY()-15,$E212),TODAY()-15))-MONTH($D212)+IF(MIN(IF($E212="",TODAY()-15,$E212),TODAY()-15)&gt;=EOMONTH(MIN(IF($E212="",TODAY()-15,$E212),TODAY()-15),0),1,0)),MAX(0,INT((MIN(IF($E212="",TODAY()-15,$E212),TODAY()-15)-($D212+MOD(SISTEM!$F$8-WEEKDAY($D212,2),7)))/7)+1)))</f>
        <v/>
      </c>
      <c r="L212" s="227">
        <f>IF(OR($C212="",$D212="",$G212="",$F212=""),0,$G212*IF($F212="Aylık",MAX(0,(YEAR(MIN(IF($E212="",TODAY()-29,$E212),TODAY()-29))-YEAR($D212))*12+MONTH(MIN(IF($E212="",TODAY()-29,$E212),TODAY()-29))-MONTH($D212)+IF(MIN(IF($E212="",TODAY()-29,$E212),TODAY()-29)&gt;=EOMONTH(MIN(IF($E212="",TODAY()-29,$E212),TODAY()-29),0),1,0)),MAX(0,INT((MIN(IF($E212="",TODAY()-29,$E212),TODAY()-29)-($D212+MOD(SISTEM!$F$8-WEEKDAY($D212,2),7)))/7)+1)))</f>
        <v/>
      </c>
      <c r="M212" s="228">
        <f>IF($G212&gt;0,$I212/$G212,0)</f>
        <v/>
      </c>
      <c r="N212" s="113">
        <f>IF($C212="","",IF($B212="TANIMSIZ MÜŞTERİ","TANIMSIZ MÜŞTERİ",IF($F212="","MODEL SEÇİN",IF(OR($D212="",$G212&lt;=0),"EKSİK",IF(AND($E212&lt;&gt;"",$E212&lt;$D212),"TARİH HATASI",IF($H212="Pasif","KAPALI DÖNEM","UYGUN"))))))</f>
        <v/>
      </c>
      <c r="O212" s="229">
        <f>IF(OR($C212="",$D212="",$F212=""),"",IF($F212="Aylık",EOMONTH($D212,0),($D212+MOD(SISTEM!$F$8-WEEKDAY($D212,2),7))))</f>
        <v/>
      </c>
      <c r="P212" s="109" t="n"/>
      <c r="Q212" s="6" t="n"/>
      <c r="R212" s="6" t="n"/>
      <c r="S212" s="3">
        <f>IF($B212="","",$B212&amp;"|"&amp;COUNTIFS($B$7:$B212,$B212))</f>
        <v/>
      </c>
    </row>
    <row r="213">
      <c r="A213" s="6" t="n"/>
      <c r="B213" s="113">
        <f>IF($C213="","",IFERROR(INDEX(MUSTERILER!$B$7:$B$106,MATCH($C213,MUSTERILER!$C$7:$C$106,0)),IFERROR(INDEX(MUSTERILER!$B$7:$B$106,MATCH($C213,MUSTERILER!$B$7:$B$106,0)),IFERROR(INDEX(MUSTERILER!$B$7:$B$106,MATCH($C213&amp;"*",MUSTERILER!$C$7:$C$106,0)),"TANIMSIZ MÜŞTERİ"))))</f>
        <v/>
      </c>
      <c r="C213" s="109" t="n"/>
      <c r="D213" s="225" t="n"/>
      <c r="E213" s="225" t="n"/>
      <c r="F213" s="108" t="n"/>
      <c r="G213" s="226" t="n"/>
      <c r="H213" s="108" t="n"/>
      <c r="I213" s="227">
        <f>IF(OR($C213="",$D213="",$G213="",$F213=""),0,$G213*IF($F213="Aylık",MAX(0,(YEAR(MIN(IF($E213="",TODAY(),$E213),TODAY()))-YEAR($D213))*12+MONTH(MIN(IF($E213="",TODAY(),$E213),TODAY()))-MONTH($D213)+IF(MIN(IF($E213="",TODAY(),$E213),TODAY())&gt;=EOMONTH(MIN(IF($E213="",TODAY(),$E213),TODAY()),0),1,0)),MAX(0,INT((MIN(IF($E213="",TODAY(),$E213),TODAY())-($D213+MOD(SISTEM!$F$8-WEEKDAY($D213,2),7)))/7)+1)))</f>
        <v/>
      </c>
      <c r="J213" s="227">
        <f>IF(OR($C213="",$D213="",$G213="",$F213=""),0,$G213*IF($F213="Aylık",MAX(0,(YEAR(MIN(IF($E213="",TODAY()-8,$E213),TODAY()-8))-YEAR($D213))*12+MONTH(MIN(IF($E213="",TODAY()-8,$E213),TODAY()-8))-MONTH($D213)+IF(MIN(IF($E213="",TODAY()-8,$E213),TODAY()-8)&gt;=EOMONTH(MIN(IF($E213="",TODAY()-8,$E213),TODAY()-8),0),1,0)),MAX(0,INT((MIN(IF($E213="",TODAY()-8,$E213),TODAY()-8)-($D213+MOD(SISTEM!$F$8-WEEKDAY($D213,2),7)))/7)+1)))</f>
        <v/>
      </c>
      <c r="K213" s="227">
        <f>IF(OR($C213="",$D213="",$G213="",$F213=""),0,$G213*IF($F213="Aylık",MAX(0,(YEAR(MIN(IF($E213="",TODAY()-15,$E213),TODAY()-15))-YEAR($D213))*12+MONTH(MIN(IF($E213="",TODAY()-15,$E213),TODAY()-15))-MONTH($D213)+IF(MIN(IF($E213="",TODAY()-15,$E213),TODAY()-15)&gt;=EOMONTH(MIN(IF($E213="",TODAY()-15,$E213),TODAY()-15),0),1,0)),MAX(0,INT((MIN(IF($E213="",TODAY()-15,$E213),TODAY()-15)-($D213+MOD(SISTEM!$F$8-WEEKDAY($D213,2),7)))/7)+1)))</f>
        <v/>
      </c>
      <c r="L213" s="227">
        <f>IF(OR($C213="",$D213="",$G213="",$F213=""),0,$G213*IF($F213="Aylık",MAX(0,(YEAR(MIN(IF($E213="",TODAY()-29,$E213),TODAY()-29))-YEAR($D213))*12+MONTH(MIN(IF($E213="",TODAY()-29,$E213),TODAY()-29))-MONTH($D213)+IF(MIN(IF($E213="",TODAY()-29,$E213),TODAY()-29)&gt;=EOMONTH(MIN(IF($E213="",TODAY()-29,$E213),TODAY()-29),0),1,0)),MAX(0,INT((MIN(IF($E213="",TODAY()-29,$E213),TODAY()-29)-($D213+MOD(SISTEM!$F$8-WEEKDAY($D213,2),7)))/7)+1)))</f>
        <v/>
      </c>
      <c r="M213" s="228">
        <f>IF($G213&gt;0,$I213/$G213,0)</f>
        <v/>
      </c>
      <c r="N213" s="113">
        <f>IF($C213="","",IF($B213="TANIMSIZ MÜŞTERİ","TANIMSIZ MÜŞTERİ",IF($F213="","MODEL SEÇİN",IF(OR($D213="",$G213&lt;=0),"EKSİK",IF(AND($E213&lt;&gt;"",$E213&lt;$D213),"TARİH HATASI",IF($H213="Pasif","KAPALI DÖNEM","UYGUN"))))))</f>
        <v/>
      </c>
      <c r="O213" s="229">
        <f>IF(OR($C213="",$D213="",$F213=""),"",IF($F213="Aylık",EOMONTH($D213,0),($D213+MOD(SISTEM!$F$8-WEEKDAY($D213,2),7))))</f>
        <v/>
      </c>
      <c r="P213" s="109" t="n"/>
      <c r="Q213" s="6" t="n"/>
      <c r="R213" s="6" t="n"/>
      <c r="S213" s="3">
        <f>IF($B213="","",$B213&amp;"|"&amp;COUNTIFS($B$7:$B213,$B213))</f>
        <v/>
      </c>
    </row>
    <row r="214">
      <c r="A214" s="6" t="n"/>
      <c r="B214" s="113">
        <f>IF($C214="","",IFERROR(INDEX(MUSTERILER!$B$7:$B$106,MATCH($C214,MUSTERILER!$C$7:$C$106,0)),IFERROR(INDEX(MUSTERILER!$B$7:$B$106,MATCH($C214,MUSTERILER!$B$7:$B$106,0)),IFERROR(INDEX(MUSTERILER!$B$7:$B$106,MATCH($C214&amp;"*",MUSTERILER!$C$7:$C$106,0)),"TANIMSIZ MÜŞTERİ"))))</f>
        <v/>
      </c>
      <c r="C214" s="109" t="n"/>
      <c r="D214" s="225" t="n"/>
      <c r="E214" s="225" t="n"/>
      <c r="F214" s="108" t="n"/>
      <c r="G214" s="226" t="n"/>
      <c r="H214" s="108" t="n"/>
      <c r="I214" s="227">
        <f>IF(OR($C214="",$D214="",$G214="",$F214=""),0,$G214*IF($F214="Aylık",MAX(0,(YEAR(MIN(IF($E214="",TODAY(),$E214),TODAY()))-YEAR($D214))*12+MONTH(MIN(IF($E214="",TODAY(),$E214),TODAY()))-MONTH($D214)+IF(MIN(IF($E214="",TODAY(),$E214),TODAY())&gt;=EOMONTH(MIN(IF($E214="",TODAY(),$E214),TODAY()),0),1,0)),MAX(0,INT((MIN(IF($E214="",TODAY(),$E214),TODAY())-($D214+MOD(SISTEM!$F$8-WEEKDAY($D214,2),7)))/7)+1)))</f>
        <v/>
      </c>
      <c r="J214" s="227">
        <f>IF(OR($C214="",$D214="",$G214="",$F214=""),0,$G214*IF($F214="Aylık",MAX(0,(YEAR(MIN(IF($E214="",TODAY()-8,$E214),TODAY()-8))-YEAR($D214))*12+MONTH(MIN(IF($E214="",TODAY()-8,$E214),TODAY()-8))-MONTH($D214)+IF(MIN(IF($E214="",TODAY()-8,$E214),TODAY()-8)&gt;=EOMONTH(MIN(IF($E214="",TODAY()-8,$E214),TODAY()-8),0),1,0)),MAX(0,INT((MIN(IF($E214="",TODAY()-8,$E214),TODAY()-8)-($D214+MOD(SISTEM!$F$8-WEEKDAY($D214,2),7)))/7)+1)))</f>
        <v/>
      </c>
      <c r="K214" s="227">
        <f>IF(OR($C214="",$D214="",$G214="",$F214=""),0,$G214*IF($F214="Aylık",MAX(0,(YEAR(MIN(IF($E214="",TODAY()-15,$E214),TODAY()-15))-YEAR($D214))*12+MONTH(MIN(IF($E214="",TODAY()-15,$E214),TODAY()-15))-MONTH($D214)+IF(MIN(IF($E214="",TODAY()-15,$E214),TODAY()-15)&gt;=EOMONTH(MIN(IF($E214="",TODAY()-15,$E214),TODAY()-15),0),1,0)),MAX(0,INT((MIN(IF($E214="",TODAY()-15,$E214),TODAY()-15)-($D214+MOD(SISTEM!$F$8-WEEKDAY($D214,2),7)))/7)+1)))</f>
        <v/>
      </c>
      <c r="L214" s="227">
        <f>IF(OR($C214="",$D214="",$G214="",$F214=""),0,$G214*IF($F214="Aylık",MAX(0,(YEAR(MIN(IF($E214="",TODAY()-29,$E214),TODAY()-29))-YEAR($D214))*12+MONTH(MIN(IF($E214="",TODAY()-29,$E214),TODAY()-29))-MONTH($D214)+IF(MIN(IF($E214="",TODAY()-29,$E214),TODAY()-29)&gt;=EOMONTH(MIN(IF($E214="",TODAY()-29,$E214),TODAY()-29),0),1,0)),MAX(0,INT((MIN(IF($E214="",TODAY()-29,$E214),TODAY()-29)-($D214+MOD(SISTEM!$F$8-WEEKDAY($D214,2),7)))/7)+1)))</f>
        <v/>
      </c>
      <c r="M214" s="228">
        <f>IF($G214&gt;0,$I214/$G214,0)</f>
        <v/>
      </c>
      <c r="N214" s="113">
        <f>IF($C214="","",IF($B214="TANIMSIZ MÜŞTERİ","TANIMSIZ MÜŞTERİ",IF($F214="","MODEL SEÇİN",IF(OR($D214="",$G214&lt;=0),"EKSİK",IF(AND($E214&lt;&gt;"",$E214&lt;$D214),"TARİH HATASI",IF($H214="Pasif","KAPALI DÖNEM","UYGUN"))))))</f>
        <v/>
      </c>
      <c r="O214" s="229">
        <f>IF(OR($C214="",$D214="",$F214=""),"",IF($F214="Aylık",EOMONTH($D214,0),($D214+MOD(SISTEM!$F$8-WEEKDAY($D214,2),7))))</f>
        <v/>
      </c>
      <c r="P214" s="109" t="n"/>
      <c r="Q214" s="6" t="n"/>
      <c r="R214" s="6" t="n"/>
      <c r="S214" s="3">
        <f>IF($B214="","",$B214&amp;"|"&amp;COUNTIFS($B$7:$B214,$B214))</f>
        <v/>
      </c>
    </row>
    <row r="215">
      <c r="A215" s="6" t="n"/>
      <c r="B215" s="113">
        <f>IF($C215="","",IFERROR(INDEX(MUSTERILER!$B$7:$B$106,MATCH($C215,MUSTERILER!$C$7:$C$106,0)),IFERROR(INDEX(MUSTERILER!$B$7:$B$106,MATCH($C215,MUSTERILER!$B$7:$B$106,0)),IFERROR(INDEX(MUSTERILER!$B$7:$B$106,MATCH($C215&amp;"*",MUSTERILER!$C$7:$C$106,0)),"TANIMSIZ MÜŞTERİ"))))</f>
        <v/>
      </c>
      <c r="C215" s="109" t="n"/>
      <c r="D215" s="225" t="n"/>
      <c r="E215" s="225" t="n"/>
      <c r="F215" s="108" t="n"/>
      <c r="G215" s="226" t="n"/>
      <c r="H215" s="108" t="n"/>
      <c r="I215" s="227">
        <f>IF(OR($C215="",$D215="",$G215="",$F215=""),0,$G215*IF($F215="Aylık",MAX(0,(YEAR(MIN(IF($E215="",TODAY(),$E215),TODAY()))-YEAR($D215))*12+MONTH(MIN(IF($E215="",TODAY(),$E215),TODAY()))-MONTH($D215)+IF(MIN(IF($E215="",TODAY(),$E215),TODAY())&gt;=EOMONTH(MIN(IF($E215="",TODAY(),$E215),TODAY()),0),1,0)),MAX(0,INT((MIN(IF($E215="",TODAY(),$E215),TODAY())-($D215+MOD(SISTEM!$F$8-WEEKDAY($D215,2),7)))/7)+1)))</f>
        <v/>
      </c>
      <c r="J215" s="227">
        <f>IF(OR($C215="",$D215="",$G215="",$F215=""),0,$G215*IF($F215="Aylık",MAX(0,(YEAR(MIN(IF($E215="",TODAY()-8,$E215),TODAY()-8))-YEAR($D215))*12+MONTH(MIN(IF($E215="",TODAY()-8,$E215),TODAY()-8))-MONTH($D215)+IF(MIN(IF($E215="",TODAY()-8,$E215),TODAY()-8)&gt;=EOMONTH(MIN(IF($E215="",TODAY()-8,$E215),TODAY()-8),0),1,0)),MAX(0,INT((MIN(IF($E215="",TODAY()-8,$E215),TODAY()-8)-($D215+MOD(SISTEM!$F$8-WEEKDAY($D215,2),7)))/7)+1)))</f>
        <v/>
      </c>
      <c r="K215" s="227">
        <f>IF(OR($C215="",$D215="",$G215="",$F215=""),0,$G215*IF($F215="Aylık",MAX(0,(YEAR(MIN(IF($E215="",TODAY()-15,$E215),TODAY()-15))-YEAR($D215))*12+MONTH(MIN(IF($E215="",TODAY()-15,$E215),TODAY()-15))-MONTH($D215)+IF(MIN(IF($E215="",TODAY()-15,$E215),TODAY()-15)&gt;=EOMONTH(MIN(IF($E215="",TODAY()-15,$E215),TODAY()-15),0),1,0)),MAX(0,INT((MIN(IF($E215="",TODAY()-15,$E215),TODAY()-15)-($D215+MOD(SISTEM!$F$8-WEEKDAY($D215,2),7)))/7)+1)))</f>
        <v/>
      </c>
      <c r="L215" s="227">
        <f>IF(OR($C215="",$D215="",$G215="",$F215=""),0,$G215*IF($F215="Aylık",MAX(0,(YEAR(MIN(IF($E215="",TODAY()-29,$E215),TODAY()-29))-YEAR($D215))*12+MONTH(MIN(IF($E215="",TODAY()-29,$E215),TODAY()-29))-MONTH($D215)+IF(MIN(IF($E215="",TODAY()-29,$E215),TODAY()-29)&gt;=EOMONTH(MIN(IF($E215="",TODAY()-29,$E215),TODAY()-29),0),1,0)),MAX(0,INT((MIN(IF($E215="",TODAY()-29,$E215),TODAY()-29)-($D215+MOD(SISTEM!$F$8-WEEKDAY($D215,2),7)))/7)+1)))</f>
        <v/>
      </c>
      <c r="M215" s="228">
        <f>IF($G215&gt;0,$I215/$G215,0)</f>
        <v/>
      </c>
      <c r="N215" s="113">
        <f>IF($C215="","",IF($B215="TANIMSIZ MÜŞTERİ","TANIMSIZ MÜŞTERİ",IF($F215="","MODEL SEÇİN",IF(OR($D215="",$G215&lt;=0),"EKSİK",IF(AND($E215&lt;&gt;"",$E215&lt;$D215),"TARİH HATASI",IF($H215="Pasif","KAPALI DÖNEM","UYGUN"))))))</f>
        <v/>
      </c>
      <c r="O215" s="229">
        <f>IF(OR($C215="",$D215="",$F215=""),"",IF($F215="Aylık",EOMONTH($D215,0),($D215+MOD(SISTEM!$F$8-WEEKDAY($D215,2),7))))</f>
        <v/>
      </c>
      <c r="P215" s="109" t="n"/>
      <c r="Q215" s="6" t="n"/>
      <c r="R215" s="6" t="n"/>
      <c r="S215" s="3">
        <f>IF($B215="","",$B215&amp;"|"&amp;COUNTIFS($B$7:$B215,$B215))</f>
        <v/>
      </c>
    </row>
    <row r="216">
      <c r="A216" s="6" t="n"/>
      <c r="B216" s="113">
        <f>IF($C216="","",IFERROR(INDEX(MUSTERILER!$B$7:$B$106,MATCH($C216,MUSTERILER!$C$7:$C$106,0)),IFERROR(INDEX(MUSTERILER!$B$7:$B$106,MATCH($C216,MUSTERILER!$B$7:$B$106,0)),IFERROR(INDEX(MUSTERILER!$B$7:$B$106,MATCH($C216&amp;"*",MUSTERILER!$C$7:$C$106,0)),"TANIMSIZ MÜŞTERİ"))))</f>
        <v/>
      </c>
      <c r="C216" s="109" t="n"/>
      <c r="D216" s="225" t="n"/>
      <c r="E216" s="225" t="n"/>
      <c r="F216" s="108" t="n"/>
      <c r="G216" s="226" t="n"/>
      <c r="H216" s="108" t="n"/>
      <c r="I216" s="227">
        <f>IF(OR($C216="",$D216="",$G216="",$F216=""),0,$G216*IF($F216="Aylık",MAX(0,(YEAR(MIN(IF($E216="",TODAY(),$E216),TODAY()))-YEAR($D216))*12+MONTH(MIN(IF($E216="",TODAY(),$E216),TODAY()))-MONTH($D216)+IF(MIN(IF($E216="",TODAY(),$E216),TODAY())&gt;=EOMONTH(MIN(IF($E216="",TODAY(),$E216),TODAY()),0),1,0)),MAX(0,INT((MIN(IF($E216="",TODAY(),$E216),TODAY())-($D216+MOD(SISTEM!$F$8-WEEKDAY($D216,2),7)))/7)+1)))</f>
        <v/>
      </c>
      <c r="J216" s="227">
        <f>IF(OR($C216="",$D216="",$G216="",$F216=""),0,$G216*IF($F216="Aylık",MAX(0,(YEAR(MIN(IF($E216="",TODAY()-8,$E216),TODAY()-8))-YEAR($D216))*12+MONTH(MIN(IF($E216="",TODAY()-8,$E216),TODAY()-8))-MONTH($D216)+IF(MIN(IF($E216="",TODAY()-8,$E216),TODAY()-8)&gt;=EOMONTH(MIN(IF($E216="",TODAY()-8,$E216),TODAY()-8),0),1,0)),MAX(0,INT((MIN(IF($E216="",TODAY()-8,$E216),TODAY()-8)-($D216+MOD(SISTEM!$F$8-WEEKDAY($D216,2),7)))/7)+1)))</f>
        <v/>
      </c>
      <c r="K216" s="227">
        <f>IF(OR($C216="",$D216="",$G216="",$F216=""),0,$G216*IF($F216="Aylık",MAX(0,(YEAR(MIN(IF($E216="",TODAY()-15,$E216),TODAY()-15))-YEAR($D216))*12+MONTH(MIN(IF($E216="",TODAY()-15,$E216),TODAY()-15))-MONTH($D216)+IF(MIN(IF($E216="",TODAY()-15,$E216),TODAY()-15)&gt;=EOMONTH(MIN(IF($E216="",TODAY()-15,$E216),TODAY()-15),0),1,0)),MAX(0,INT((MIN(IF($E216="",TODAY()-15,$E216),TODAY()-15)-($D216+MOD(SISTEM!$F$8-WEEKDAY($D216,2),7)))/7)+1)))</f>
        <v/>
      </c>
      <c r="L216" s="227">
        <f>IF(OR($C216="",$D216="",$G216="",$F216=""),0,$G216*IF($F216="Aylık",MAX(0,(YEAR(MIN(IF($E216="",TODAY()-29,$E216),TODAY()-29))-YEAR($D216))*12+MONTH(MIN(IF($E216="",TODAY()-29,$E216),TODAY()-29))-MONTH($D216)+IF(MIN(IF($E216="",TODAY()-29,$E216),TODAY()-29)&gt;=EOMONTH(MIN(IF($E216="",TODAY()-29,$E216),TODAY()-29),0),1,0)),MAX(0,INT((MIN(IF($E216="",TODAY()-29,$E216),TODAY()-29)-($D216+MOD(SISTEM!$F$8-WEEKDAY($D216,2),7)))/7)+1)))</f>
        <v/>
      </c>
      <c r="M216" s="228">
        <f>IF($G216&gt;0,$I216/$G216,0)</f>
        <v/>
      </c>
      <c r="N216" s="113">
        <f>IF($C216="","",IF($B216="TANIMSIZ MÜŞTERİ","TANIMSIZ MÜŞTERİ",IF($F216="","MODEL SEÇİN",IF(OR($D216="",$G216&lt;=0),"EKSİK",IF(AND($E216&lt;&gt;"",$E216&lt;$D216),"TARİH HATASI",IF($H216="Pasif","KAPALI DÖNEM","UYGUN"))))))</f>
        <v/>
      </c>
      <c r="O216" s="229">
        <f>IF(OR($C216="",$D216="",$F216=""),"",IF($F216="Aylık",EOMONTH($D216,0),($D216+MOD(SISTEM!$F$8-WEEKDAY($D216,2),7))))</f>
        <v/>
      </c>
      <c r="P216" s="109" t="n"/>
      <c r="Q216" s="6" t="n"/>
      <c r="R216" s="6" t="n"/>
      <c r="S216" s="3">
        <f>IF($B216="","",$B216&amp;"|"&amp;COUNTIFS($B$7:$B216,$B216))</f>
        <v/>
      </c>
    </row>
    <row r="217">
      <c r="A217" s="6" t="n"/>
      <c r="B217" s="113">
        <f>IF($C217="","",IFERROR(INDEX(MUSTERILER!$B$7:$B$106,MATCH($C217,MUSTERILER!$C$7:$C$106,0)),IFERROR(INDEX(MUSTERILER!$B$7:$B$106,MATCH($C217,MUSTERILER!$B$7:$B$106,0)),IFERROR(INDEX(MUSTERILER!$B$7:$B$106,MATCH($C217&amp;"*",MUSTERILER!$C$7:$C$106,0)),"TANIMSIZ MÜŞTERİ"))))</f>
        <v/>
      </c>
      <c r="C217" s="109" t="n"/>
      <c r="D217" s="225" t="n"/>
      <c r="E217" s="225" t="n"/>
      <c r="F217" s="108" t="n"/>
      <c r="G217" s="226" t="n"/>
      <c r="H217" s="108" t="n"/>
      <c r="I217" s="227">
        <f>IF(OR($C217="",$D217="",$G217="",$F217=""),0,$G217*IF($F217="Aylık",MAX(0,(YEAR(MIN(IF($E217="",TODAY(),$E217),TODAY()))-YEAR($D217))*12+MONTH(MIN(IF($E217="",TODAY(),$E217),TODAY()))-MONTH($D217)+IF(MIN(IF($E217="",TODAY(),$E217),TODAY())&gt;=EOMONTH(MIN(IF($E217="",TODAY(),$E217),TODAY()),0),1,0)),MAX(0,INT((MIN(IF($E217="",TODAY(),$E217),TODAY())-($D217+MOD(SISTEM!$F$8-WEEKDAY($D217,2),7)))/7)+1)))</f>
        <v/>
      </c>
      <c r="J217" s="227">
        <f>IF(OR($C217="",$D217="",$G217="",$F217=""),0,$G217*IF($F217="Aylık",MAX(0,(YEAR(MIN(IF($E217="",TODAY()-8,$E217),TODAY()-8))-YEAR($D217))*12+MONTH(MIN(IF($E217="",TODAY()-8,$E217),TODAY()-8))-MONTH($D217)+IF(MIN(IF($E217="",TODAY()-8,$E217),TODAY()-8)&gt;=EOMONTH(MIN(IF($E217="",TODAY()-8,$E217),TODAY()-8),0),1,0)),MAX(0,INT((MIN(IF($E217="",TODAY()-8,$E217),TODAY()-8)-($D217+MOD(SISTEM!$F$8-WEEKDAY($D217,2),7)))/7)+1)))</f>
        <v/>
      </c>
      <c r="K217" s="227">
        <f>IF(OR($C217="",$D217="",$G217="",$F217=""),0,$G217*IF($F217="Aylık",MAX(0,(YEAR(MIN(IF($E217="",TODAY()-15,$E217),TODAY()-15))-YEAR($D217))*12+MONTH(MIN(IF($E217="",TODAY()-15,$E217),TODAY()-15))-MONTH($D217)+IF(MIN(IF($E217="",TODAY()-15,$E217),TODAY()-15)&gt;=EOMONTH(MIN(IF($E217="",TODAY()-15,$E217),TODAY()-15),0),1,0)),MAX(0,INT((MIN(IF($E217="",TODAY()-15,$E217),TODAY()-15)-($D217+MOD(SISTEM!$F$8-WEEKDAY($D217,2),7)))/7)+1)))</f>
        <v/>
      </c>
      <c r="L217" s="227">
        <f>IF(OR($C217="",$D217="",$G217="",$F217=""),0,$G217*IF($F217="Aylık",MAX(0,(YEAR(MIN(IF($E217="",TODAY()-29,$E217),TODAY()-29))-YEAR($D217))*12+MONTH(MIN(IF($E217="",TODAY()-29,$E217),TODAY()-29))-MONTH($D217)+IF(MIN(IF($E217="",TODAY()-29,$E217),TODAY()-29)&gt;=EOMONTH(MIN(IF($E217="",TODAY()-29,$E217),TODAY()-29),0),1,0)),MAX(0,INT((MIN(IF($E217="",TODAY()-29,$E217),TODAY()-29)-($D217+MOD(SISTEM!$F$8-WEEKDAY($D217,2),7)))/7)+1)))</f>
        <v/>
      </c>
      <c r="M217" s="228">
        <f>IF($G217&gt;0,$I217/$G217,0)</f>
        <v/>
      </c>
      <c r="N217" s="113">
        <f>IF($C217="","",IF($B217="TANIMSIZ MÜŞTERİ","TANIMSIZ MÜŞTERİ",IF($F217="","MODEL SEÇİN",IF(OR($D217="",$G217&lt;=0),"EKSİK",IF(AND($E217&lt;&gt;"",$E217&lt;$D217),"TARİH HATASI",IF($H217="Pasif","KAPALI DÖNEM","UYGUN"))))))</f>
        <v/>
      </c>
      <c r="O217" s="229">
        <f>IF(OR($C217="",$D217="",$F217=""),"",IF($F217="Aylık",EOMONTH($D217,0),($D217+MOD(SISTEM!$F$8-WEEKDAY($D217,2),7))))</f>
        <v/>
      </c>
      <c r="P217" s="109" t="n"/>
      <c r="Q217" s="6" t="n"/>
      <c r="R217" s="6" t="n"/>
      <c r="S217" s="3">
        <f>IF($B217="","",$B217&amp;"|"&amp;COUNTIFS($B$7:$B217,$B217))</f>
        <v/>
      </c>
    </row>
    <row r="218">
      <c r="A218" s="6" t="n"/>
      <c r="B218" s="113">
        <f>IF($C218="","",IFERROR(INDEX(MUSTERILER!$B$7:$B$106,MATCH($C218,MUSTERILER!$C$7:$C$106,0)),IFERROR(INDEX(MUSTERILER!$B$7:$B$106,MATCH($C218,MUSTERILER!$B$7:$B$106,0)),IFERROR(INDEX(MUSTERILER!$B$7:$B$106,MATCH($C218&amp;"*",MUSTERILER!$C$7:$C$106,0)),"TANIMSIZ MÜŞTERİ"))))</f>
        <v/>
      </c>
      <c r="C218" s="109" t="n"/>
      <c r="D218" s="225" t="n"/>
      <c r="E218" s="225" t="n"/>
      <c r="F218" s="108" t="n"/>
      <c r="G218" s="226" t="n"/>
      <c r="H218" s="108" t="n"/>
      <c r="I218" s="227">
        <f>IF(OR($C218="",$D218="",$G218="",$F218=""),0,$G218*IF($F218="Aylık",MAX(0,(YEAR(MIN(IF($E218="",TODAY(),$E218),TODAY()))-YEAR($D218))*12+MONTH(MIN(IF($E218="",TODAY(),$E218),TODAY()))-MONTH($D218)+IF(MIN(IF($E218="",TODAY(),$E218),TODAY())&gt;=EOMONTH(MIN(IF($E218="",TODAY(),$E218),TODAY()),0),1,0)),MAX(0,INT((MIN(IF($E218="",TODAY(),$E218),TODAY())-($D218+MOD(SISTEM!$F$8-WEEKDAY($D218,2),7)))/7)+1)))</f>
        <v/>
      </c>
      <c r="J218" s="227">
        <f>IF(OR($C218="",$D218="",$G218="",$F218=""),0,$G218*IF($F218="Aylık",MAX(0,(YEAR(MIN(IF($E218="",TODAY()-8,$E218),TODAY()-8))-YEAR($D218))*12+MONTH(MIN(IF($E218="",TODAY()-8,$E218),TODAY()-8))-MONTH($D218)+IF(MIN(IF($E218="",TODAY()-8,$E218),TODAY()-8)&gt;=EOMONTH(MIN(IF($E218="",TODAY()-8,$E218),TODAY()-8),0),1,0)),MAX(0,INT((MIN(IF($E218="",TODAY()-8,$E218),TODAY()-8)-($D218+MOD(SISTEM!$F$8-WEEKDAY($D218,2),7)))/7)+1)))</f>
        <v/>
      </c>
      <c r="K218" s="227">
        <f>IF(OR($C218="",$D218="",$G218="",$F218=""),0,$G218*IF($F218="Aylık",MAX(0,(YEAR(MIN(IF($E218="",TODAY()-15,$E218),TODAY()-15))-YEAR($D218))*12+MONTH(MIN(IF($E218="",TODAY()-15,$E218),TODAY()-15))-MONTH($D218)+IF(MIN(IF($E218="",TODAY()-15,$E218),TODAY()-15)&gt;=EOMONTH(MIN(IF($E218="",TODAY()-15,$E218),TODAY()-15),0),1,0)),MAX(0,INT((MIN(IF($E218="",TODAY()-15,$E218),TODAY()-15)-($D218+MOD(SISTEM!$F$8-WEEKDAY($D218,2),7)))/7)+1)))</f>
        <v/>
      </c>
      <c r="L218" s="227">
        <f>IF(OR($C218="",$D218="",$G218="",$F218=""),0,$G218*IF($F218="Aylık",MAX(0,(YEAR(MIN(IF($E218="",TODAY()-29,$E218),TODAY()-29))-YEAR($D218))*12+MONTH(MIN(IF($E218="",TODAY()-29,$E218),TODAY()-29))-MONTH($D218)+IF(MIN(IF($E218="",TODAY()-29,$E218),TODAY()-29)&gt;=EOMONTH(MIN(IF($E218="",TODAY()-29,$E218),TODAY()-29),0),1,0)),MAX(0,INT((MIN(IF($E218="",TODAY()-29,$E218),TODAY()-29)-($D218+MOD(SISTEM!$F$8-WEEKDAY($D218,2),7)))/7)+1)))</f>
        <v/>
      </c>
      <c r="M218" s="228">
        <f>IF($G218&gt;0,$I218/$G218,0)</f>
        <v/>
      </c>
      <c r="N218" s="113">
        <f>IF($C218="","",IF($B218="TANIMSIZ MÜŞTERİ","TANIMSIZ MÜŞTERİ",IF($F218="","MODEL SEÇİN",IF(OR($D218="",$G218&lt;=0),"EKSİK",IF(AND($E218&lt;&gt;"",$E218&lt;$D218),"TARİH HATASI",IF($H218="Pasif","KAPALI DÖNEM","UYGUN"))))))</f>
        <v/>
      </c>
      <c r="O218" s="229">
        <f>IF(OR($C218="",$D218="",$F218=""),"",IF($F218="Aylık",EOMONTH($D218,0),($D218+MOD(SISTEM!$F$8-WEEKDAY($D218,2),7))))</f>
        <v/>
      </c>
      <c r="P218" s="109" t="n"/>
      <c r="Q218" s="6" t="n"/>
      <c r="R218" s="6" t="n"/>
      <c r="S218" s="3">
        <f>IF($B218="","",$B218&amp;"|"&amp;COUNTIFS($B$7:$B218,$B218))</f>
        <v/>
      </c>
    </row>
    <row r="219">
      <c r="A219" s="6" t="n"/>
      <c r="B219" s="113">
        <f>IF($C219="","",IFERROR(INDEX(MUSTERILER!$B$7:$B$106,MATCH($C219,MUSTERILER!$C$7:$C$106,0)),IFERROR(INDEX(MUSTERILER!$B$7:$B$106,MATCH($C219,MUSTERILER!$B$7:$B$106,0)),IFERROR(INDEX(MUSTERILER!$B$7:$B$106,MATCH($C219&amp;"*",MUSTERILER!$C$7:$C$106,0)),"TANIMSIZ MÜŞTERİ"))))</f>
        <v/>
      </c>
      <c r="C219" s="109" t="n"/>
      <c r="D219" s="225" t="n"/>
      <c r="E219" s="225" t="n"/>
      <c r="F219" s="108" t="n"/>
      <c r="G219" s="226" t="n"/>
      <c r="H219" s="108" t="n"/>
      <c r="I219" s="227">
        <f>IF(OR($C219="",$D219="",$G219="",$F219=""),0,$G219*IF($F219="Aylık",MAX(0,(YEAR(MIN(IF($E219="",TODAY(),$E219),TODAY()))-YEAR($D219))*12+MONTH(MIN(IF($E219="",TODAY(),$E219),TODAY()))-MONTH($D219)+IF(MIN(IF($E219="",TODAY(),$E219),TODAY())&gt;=EOMONTH(MIN(IF($E219="",TODAY(),$E219),TODAY()),0),1,0)),MAX(0,INT((MIN(IF($E219="",TODAY(),$E219),TODAY())-($D219+MOD(SISTEM!$F$8-WEEKDAY($D219,2),7)))/7)+1)))</f>
        <v/>
      </c>
      <c r="J219" s="227">
        <f>IF(OR($C219="",$D219="",$G219="",$F219=""),0,$G219*IF($F219="Aylık",MAX(0,(YEAR(MIN(IF($E219="",TODAY()-8,$E219),TODAY()-8))-YEAR($D219))*12+MONTH(MIN(IF($E219="",TODAY()-8,$E219),TODAY()-8))-MONTH($D219)+IF(MIN(IF($E219="",TODAY()-8,$E219),TODAY()-8)&gt;=EOMONTH(MIN(IF($E219="",TODAY()-8,$E219),TODAY()-8),0),1,0)),MAX(0,INT((MIN(IF($E219="",TODAY()-8,$E219),TODAY()-8)-($D219+MOD(SISTEM!$F$8-WEEKDAY($D219,2),7)))/7)+1)))</f>
        <v/>
      </c>
      <c r="K219" s="227">
        <f>IF(OR($C219="",$D219="",$G219="",$F219=""),0,$G219*IF($F219="Aylık",MAX(0,(YEAR(MIN(IF($E219="",TODAY()-15,$E219),TODAY()-15))-YEAR($D219))*12+MONTH(MIN(IF($E219="",TODAY()-15,$E219),TODAY()-15))-MONTH($D219)+IF(MIN(IF($E219="",TODAY()-15,$E219),TODAY()-15)&gt;=EOMONTH(MIN(IF($E219="",TODAY()-15,$E219),TODAY()-15),0),1,0)),MAX(0,INT((MIN(IF($E219="",TODAY()-15,$E219),TODAY()-15)-($D219+MOD(SISTEM!$F$8-WEEKDAY($D219,2),7)))/7)+1)))</f>
        <v/>
      </c>
      <c r="L219" s="227">
        <f>IF(OR($C219="",$D219="",$G219="",$F219=""),0,$G219*IF($F219="Aylık",MAX(0,(YEAR(MIN(IF($E219="",TODAY()-29,$E219),TODAY()-29))-YEAR($D219))*12+MONTH(MIN(IF($E219="",TODAY()-29,$E219),TODAY()-29))-MONTH($D219)+IF(MIN(IF($E219="",TODAY()-29,$E219),TODAY()-29)&gt;=EOMONTH(MIN(IF($E219="",TODAY()-29,$E219),TODAY()-29),0),1,0)),MAX(0,INT((MIN(IF($E219="",TODAY()-29,$E219),TODAY()-29)-($D219+MOD(SISTEM!$F$8-WEEKDAY($D219,2),7)))/7)+1)))</f>
        <v/>
      </c>
      <c r="M219" s="228">
        <f>IF($G219&gt;0,$I219/$G219,0)</f>
        <v/>
      </c>
      <c r="N219" s="113">
        <f>IF($C219="","",IF($B219="TANIMSIZ MÜŞTERİ","TANIMSIZ MÜŞTERİ",IF($F219="","MODEL SEÇİN",IF(OR($D219="",$G219&lt;=0),"EKSİK",IF(AND($E219&lt;&gt;"",$E219&lt;$D219),"TARİH HATASI",IF($H219="Pasif","KAPALI DÖNEM","UYGUN"))))))</f>
        <v/>
      </c>
      <c r="O219" s="229">
        <f>IF(OR($C219="",$D219="",$F219=""),"",IF($F219="Aylık",EOMONTH($D219,0),($D219+MOD(SISTEM!$F$8-WEEKDAY($D219,2),7))))</f>
        <v/>
      </c>
      <c r="P219" s="109" t="n"/>
      <c r="Q219" s="6" t="n"/>
      <c r="R219" s="6" t="n"/>
      <c r="S219" s="3">
        <f>IF($B219="","",$B219&amp;"|"&amp;COUNTIFS($B$7:$B219,$B219))</f>
        <v/>
      </c>
    </row>
    <row r="220">
      <c r="A220" s="6" t="n"/>
      <c r="B220" s="113">
        <f>IF($C220="","",IFERROR(INDEX(MUSTERILER!$B$7:$B$106,MATCH($C220,MUSTERILER!$C$7:$C$106,0)),IFERROR(INDEX(MUSTERILER!$B$7:$B$106,MATCH($C220,MUSTERILER!$B$7:$B$106,0)),IFERROR(INDEX(MUSTERILER!$B$7:$B$106,MATCH($C220&amp;"*",MUSTERILER!$C$7:$C$106,0)),"TANIMSIZ MÜŞTERİ"))))</f>
        <v/>
      </c>
      <c r="C220" s="109" t="n"/>
      <c r="D220" s="225" t="n"/>
      <c r="E220" s="225" t="n"/>
      <c r="F220" s="108" t="n"/>
      <c r="G220" s="226" t="n"/>
      <c r="H220" s="108" t="n"/>
      <c r="I220" s="227">
        <f>IF(OR($C220="",$D220="",$G220="",$F220=""),0,$G220*IF($F220="Aylık",MAX(0,(YEAR(MIN(IF($E220="",TODAY(),$E220),TODAY()))-YEAR($D220))*12+MONTH(MIN(IF($E220="",TODAY(),$E220),TODAY()))-MONTH($D220)+IF(MIN(IF($E220="",TODAY(),$E220),TODAY())&gt;=EOMONTH(MIN(IF($E220="",TODAY(),$E220),TODAY()),0),1,0)),MAX(0,INT((MIN(IF($E220="",TODAY(),$E220),TODAY())-($D220+MOD(SISTEM!$F$8-WEEKDAY($D220,2),7)))/7)+1)))</f>
        <v/>
      </c>
      <c r="J220" s="227">
        <f>IF(OR($C220="",$D220="",$G220="",$F220=""),0,$G220*IF($F220="Aylık",MAX(0,(YEAR(MIN(IF($E220="",TODAY()-8,$E220),TODAY()-8))-YEAR($D220))*12+MONTH(MIN(IF($E220="",TODAY()-8,$E220),TODAY()-8))-MONTH($D220)+IF(MIN(IF($E220="",TODAY()-8,$E220),TODAY()-8)&gt;=EOMONTH(MIN(IF($E220="",TODAY()-8,$E220),TODAY()-8),0),1,0)),MAX(0,INT((MIN(IF($E220="",TODAY()-8,$E220),TODAY()-8)-($D220+MOD(SISTEM!$F$8-WEEKDAY($D220,2),7)))/7)+1)))</f>
        <v/>
      </c>
      <c r="K220" s="227">
        <f>IF(OR($C220="",$D220="",$G220="",$F220=""),0,$G220*IF($F220="Aylık",MAX(0,(YEAR(MIN(IF($E220="",TODAY()-15,$E220),TODAY()-15))-YEAR($D220))*12+MONTH(MIN(IF($E220="",TODAY()-15,$E220),TODAY()-15))-MONTH($D220)+IF(MIN(IF($E220="",TODAY()-15,$E220),TODAY()-15)&gt;=EOMONTH(MIN(IF($E220="",TODAY()-15,$E220),TODAY()-15),0),1,0)),MAX(0,INT((MIN(IF($E220="",TODAY()-15,$E220),TODAY()-15)-($D220+MOD(SISTEM!$F$8-WEEKDAY($D220,2),7)))/7)+1)))</f>
        <v/>
      </c>
      <c r="L220" s="227">
        <f>IF(OR($C220="",$D220="",$G220="",$F220=""),0,$G220*IF($F220="Aylık",MAX(0,(YEAR(MIN(IF($E220="",TODAY()-29,$E220),TODAY()-29))-YEAR($D220))*12+MONTH(MIN(IF($E220="",TODAY()-29,$E220),TODAY()-29))-MONTH($D220)+IF(MIN(IF($E220="",TODAY()-29,$E220),TODAY()-29)&gt;=EOMONTH(MIN(IF($E220="",TODAY()-29,$E220),TODAY()-29),0),1,0)),MAX(0,INT((MIN(IF($E220="",TODAY()-29,$E220),TODAY()-29)-($D220+MOD(SISTEM!$F$8-WEEKDAY($D220,2),7)))/7)+1)))</f>
        <v/>
      </c>
      <c r="M220" s="228">
        <f>IF($G220&gt;0,$I220/$G220,0)</f>
        <v/>
      </c>
      <c r="N220" s="113">
        <f>IF($C220="","",IF($B220="TANIMSIZ MÜŞTERİ","TANIMSIZ MÜŞTERİ",IF($F220="","MODEL SEÇİN",IF(OR($D220="",$G220&lt;=0),"EKSİK",IF(AND($E220&lt;&gt;"",$E220&lt;$D220),"TARİH HATASI",IF($H220="Pasif","KAPALI DÖNEM","UYGUN"))))))</f>
        <v/>
      </c>
      <c r="O220" s="229">
        <f>IF(OR($C220="",$D220="",$F220=""),"",IF($F220="Aylık",EOMONTH($D220,0),($D220+MOD(SISTEM!$F$8-WEEKDAY($D220,2),7))))</f>
        <v/>
      </c>
      <c r="P220" s="109" t="n"/>
      <c r="Q220" s="6" t="n"/>
      <c r="R220" s="6" t="n"/>
      <c r="S220" s="3">
        <f>IF($B220="","",$B220&amp;"|"&amp;COUNTIFS($B$7:$B220,$B220))</f>
        <v/>
      </c>
    </row>
    <row r="221">
      <c r="A221" s="6" t="n"/>
      <c r="B221" s="113">
        <f>IF($C221="","",IFERROR(INDEX(MUSTERILER!$B$7:$B$106,MATCH($C221,MUSTERILER!$C$7:$C$106,0)),IFERROR(INDEX(MUSTERILER!$B$7:$B$106,MATCH($C221,MUSTERILER!$B$7:$B$106,0)),IFERROR(INDEX(MUSTERILER!$B$7:$B$106,MATCH($C221&amp;"*",MUSTERILER!$C$7:$C$106,0)),"TANIMSIZ MÜŞTERİ"))))</f>
        <v/>
      </c>
      <c r="C221" s="109" t="n"/>
      <c r="D221" s="225" t="n"/>
      <c r="E221" s="225" t="n"/>
      <c r="F221" s="108" t="n"/>
      <c r="G221" s="226" t="n"/>
      <c r="H221" s="108" t="n"/>
      <c r="I221" s="227">
        <f>IF(OR($C221="",$D221="",$G221="",$F221=""),0,$G221*IF($F221="Aylık",MAX(0,(YEAR(MIN(IF($E221="",TODAY(),$E221),TODAY()))-YEAR($D221))*12+MONTH(MIN(IF($E221="",TODAY(),$E221),TODAY()))-MONTH($D221)+IF(MIN(IF($E221="",TODAY(),$E221),TODAY())&gt;=EOMONTH(MIN(IF($E221="",TODAY(),$E221),TODAY()),0),1,0)),MAX(0,INT((MIN(IF($E221="",TODAY(),$E221),TODAY())-($D221+MOD(SISTEM!$F$8-WEEKDAY($D221,2),7)))/7)+1)))</f>
        <v/>
      </c>
      <c r="J221" s="227">
        <f>IF(OR($C221="",$D221="",$G221="",$F221=""),0,$G221*IF($F221="Aylık",MAX(0,(YEAR(MIN(IF($E221="",TODAY()-8,$E221),TODAY()-8))-YEAR($D221))*12+MONTH(MIN(IF($E221="",TODAY()-8,$E221),TODAY()-8))-MONTH($D221)+IF(MIN(IF($E221="",TODAY()-8,$E221),TODAY()-8)&gt;=EOMONTH(MIN(IF($E221="",TODAY()-8,$E221),TODAY()-8),0),1,0)),MAX(0,INT((MIN(IF($E221="",TODAY()-8,$E221),TODAY()-8)-($D221+MOD(SISTEM!$F$8-WEEKDAY($D221,2),7)))/7)+1)))</f>
        <v/>
      </c>
      <c r="K221" s="227">
        <f>IF(OR($C221="",$D221="",$G221="",$F221=""),0,$G221*IF($F221="Aylık",MAX(0,(YEAR(MIN(IF($E221="",TODAY()-15,$E221),TODAY()-15))-YEAR($D221))*12+MONTH(MIN(IF($E221="",TODAY()-15,$E221),TODAY()-15))-MONTH($D221)+IF(MIN(IF($E221="",TODAY()-15,$E221),TODAY()-15)&gt;=EOMONTH(MIN(IF($E221="",TODAY()-15,$E221),TODAY()-15),0),1,0)),MAX(0,INT((MIN(IF($E221="",TODAY()-15,$E221),TODAY()-15)-($D221+MOD(SISTEM!$F$8-WEEKDAY($D221,2),7)))/7)+1)))</f>
        <v/>
      </c>
      <c r="L221" s="227">
        <f>IF(OR($C221="",$D221="",$G221="",$F221=""),0,$G221*IF($F221="Aylık",MAX(0,(YEAR(MIN(IF($E221="",TODAY()-29,$E221),TODAY()-29))-YEAR($D221))*12+MONTH(MIN(IF($E221="",TODAY()-29,$E221),TODAY()-29))-MONTH($D221)+IF(MIN(IF($E221="",TODAY()-29,$E221),TODAY()-29)&gt;=EOMONTH(MIN(IF($E221="",TODAY()-29,$E221),TODAY()-29),0),1,0)),MAX(0,INT((MIN(IF($E221="",TODAY()-29,$E221),TODAY()-29)-($D221+MOD(SISTEM!$F$8-WEEKDAY($D221,2),7)))/7)+1)))</f>
        <v/>
      </c>
      <c r="M221" s="228">
        <f>IF($G221&gt;0,$I221/$G221,0)</f>
        <v/>
      </c>
      <c r="N221" s="113">
        <f>IF($C221="","",IF($B221="TANIMSIZ MÜŞTERİ","TANIMSIZ MÜŞTERİ",IF($F221="","MODEL SEÇİN",IF(OR($D221="",$G221&lt;=0),"EKSİK",IF(AND($E221&lt;&gt;"",$E221&lt;$D221),"TARİH HATASI",IF($H221="Pasif","KAPALI DÖNEM","UYGUN"))))))</f>
        <v/>
      </c>
      <c r="O221" s="229">
        <f>IF(OR($C221="",$D221="",$F221=""),"",IF($F221="Aylık",EOMONTH($D221,0),($D221+MOD(SISTEM!$F$8-WEEKDAY($D221,2),7))))</f>
        <v/>
      </c>
      <c r="P221" s="109" t="n"/>
      <c r="Q221" s="6" t="n"/>
      <c r="R221" s="6" t="n"/>
      <c r="S221" s="3">
        <f>IF($B221="","",$B221&amp;"|"&amp;COUNTIFS($B$7:$B221,$B221))</f>
        <v/>
      </c>
    </row>
    <row r="222">
      <c r="A222" s="6" t="n"/>
      <c r="B222" s="113">
        <f>IF($C222="","",IFERROR(INDEX(MUSTERILER!$B$7:$B$106,MATCH($C222,MUSTERILER!$C$7:$C$106,0)),IFERROR(INDEX(MUSTERILER!$B$7:$B$106,MATCH($C222,MUSTERILER!$B$7:$B$106,0)),IFERROR(INDEX(MUSTERILER!$B$7:$B$106,MATCH($C222&amp;"*",MUSTERILER!$C$7:$C$106,0)),"TANIMSIZ MÜŞTERİ"))))</f>
        <v/>
      </c>
      <c r="C222" s="109" t="n"/>
      <c r="D222" s="225" t="n"/>
      <c r="E222" s="225" t="n"/>
      <c r="F222" s="108" t="n"/>
      <c r="G222" s="226" t="n"/>
      <c r="H222" s="108" t="n"/>
      <c r="I222" s="227">
        <f>IF(OR($C222="",$D222="",$G222="",$F222=""),0,$G222*IF($F222="Aylık",MAX(0,(YEAR(MIN(IF($E222="",TODAY(),$E222),TODAY()))-YEAR($D222))*12+MONTH(MIN(IF($E222="",TODAY(),$E222),TODAY()))-MONTH($D222)+IF(MIN(IF($E222="",TODAY(),$E222),TODAY())&gt;=EOMONTH(MIN(IF($E222="",TODAY(),$E222),TODAY()),0),1,0)),MAX(0,INT((MIN(IF($E222="",TODAY(),$E222),TODAY())-($D222+MOD(SISTEM!$F$8-WEEKDAY($D222,2),7)))/7)+1)))</f>
        <v/>
      </c>
      <c r="J222" s="227">
        <f>IF(OR($C222="",$D222="",$G222="",$F222=""),0,$G222*IF($F222="Aylık",MAX(0,(YEAR(MIN(IF($E222="",TODAY()-8,$E222),TODAY()-8))-YEAR($D222))*12+MONTH(MIN(IF($E222="",TODAY()-8,$E222),TODAY()-8))-MONTH($D222)+IF(MIN(IF($E222="",TODAY()-8,$E222),TODAY()-8)&gt;=EOMONTH(MIN(IF($E222="",TODAY()-8,$E222),TODAY()-8),0),1,0)),MAX(0,INT((MIN(IF($E222="",TODAY()-8,$E222),TODAY()-8)-($D222+MOD(SISTEM!$F$8-WEEKDAY($D222,2),7)))/7)+1)))</f>
        <v/>
      </c>
      <c r="K222" s="227">
        <f>IF(OR($C222="",$D222="",$G222="",$F222=""),0,$G222*IF($F222="Aylık",MAX(0,(YEAR(MIN(IF($E222="",TODAY()-15,$E222),TODAY()-15))-YEAR($D222))*12+MONTH(MIN(IF($E222="",TODAY()-15,$E222),TODAY()-15))-MONTH($D222)+IF(MIN(IF($E222="",TODAY()-15,$E222),TODAY()-15)&gt;=EOMONTH(MIN(IF($E222="",TODAY()-15,$E222),TODAY()-15),0),1,0)),MAX(0,INT((MIN(IF($E222="",TODAY()-15,$E222),TODAY()-15)-($D222+MOD(SISTEM!$F$8-WEEKDAY($D222,2),7)))/7)+1)))</f>
        <v/>
      </c>
      <c r="L222" s="227">
        <f>IF(OR($C222="",$D222="",$G222="",$F222=""),0,$G222*IF($F222="Aylık",MAX(0,(YEAR(MIN(IF($E222="",TODAY()-29,$E222),TODAY()-29))-YEAR($D222))*12+MONTH(MIN(IF($E222="",TODAY()-29,$E222),TODAY()-29))-MONTH($D222)+IF(MIN(IF($E222="",TODAY()-29,$E222),TODAY()-29)&gt;=EOMONTH(MIN(IF($E222="",TODAY()-29,$E222),TODAY()-29),0),1,0)),MAX(0,INT((MIN(IF($E222="",TODAY()-29,$E222),TODAY()-29)-($D222+MOD(SISTEM!$F$8-WEEKDAY($D222,2),7)))/7)+1)))</f>
        <v/>
      </c>
      <c r="M222" s="228">
        <f>IF($G222&gt;0,$I222/$G222,0)</f>
        <v/>
      </c>
      <c r="N222" s="113">
        <f>IF($C222="","",IF($B222="TANIMSIZ MÜŞTERİ","TANIMSIZ MÜŞTERİ",IF($F222="","MODEL SEÇİN",IF(OR($D222="",$G222&lt;=0),"EKSİK",IF(AND($E222&lt;&gt;"",$E222&lt;$D222),"TARİH HATASI",IF($H222="Pasif","KAPALI DÖNEM","UYGUN"))))))</f>
        <v/>
      </c>
      <c r="O222" s="229">
        <f>IF(OR($C222="",$D222="",$F222=""),"",IF($F222="Aylık",EOMONTH($D222,0),($D222+MOD(SISTEM!$F$8-WEEKDAY($D222,2),7))))</f>
        <v/>
      </c>
      <c r="P222" s="109" t="n"/>
      <c r="Q222" s="6" t="n"/>
      <c r="R222" s="6" t="n"/>
      <c r="S222" s="3">
        <f>IF($B222="","",$B222&amp;"|"&amp;COUNTIFS($B$7:$B222,$B222))</f>
        <v/>
      </c>
    </row>
    <row r="223">
      <c r="A223" s="6" t="n"/>
      <c r="B223" s="113">
        <f>IF($C223="","",IFERROR(INDEX(MUSTERILER!$B$7:$B$106,MATCH($C223,MUSTERILER!$C$7:$C$106,0)),IFERROR(INDEX(MUSTERILER!$B$7:$B$106,MATCH($C223,MUSTERILER!$B$7:$B$106,0)),IFERROR(INDEX(MUSTERILER!$B$7:$B$106,MATCH($C223&amp;"*",MUSTERILER!$C$7:$C$106,0)),"TANIMSIZ MÜŞTERİ"))))</f>
        <v/>
      </c>
      <c r="C223" s="109" t="n"/>
      <c r="D223" s="225" t="n"/>
      <c r="E223" s="225" t="n"/>
      <c r="F223" s="108" t="n"/>
      <c r="G223" s="226" t="n"/>
      <c r="H223" s="108" t="n"/>
      <c r="I223" s="227">
        <f>IF(OR($C223="",$D223="",$G223="",$F223=""),0,$G223*IF($F223="Aylık",MAX(0,(YEAR(MIN(IF($E223="",TODAY(),$E223),TODAY()))-YEAR($D223))*12+MONTH(MIN(IF($E223="",TODAY(),$E223),TODAY()))-MONTH($D223)+IF(MIN(IF($E223="",TODAY(),$E223),TODAY())&gt;=EOMONTH(MIN(IF($E223="",TODAY(),$E223),TODAY()),0),1,0)),MAX(0,INT((MIN(IF($E223="",TODAY(),$E223),TODAY())-($D223+MOD(SISTEM!$F$8-WEEKDAY($D223,2),7)))/7)+1)))</f>
        <v/>
      </c>
      <c r="J223" s="227">
        <f>IF(OR($C223="",$D223="",$G223="",$F223=""),0,$G223*IF($F223="Aylık",MAX(0,(YEAR(MIN(IF($E223="",TODAY()-8,$E223),TODAY()-8))-YEAR($D223))*12+MONTH(MIN(IF($E223="",TODAY()-8,$E223),TODAY()-8))-MONTH($D223)+IF(MIN(IF($E223="",TODAY()-8,$E223),TODAY()-8)&gt;=EOMONTH(MIN(IF($E223="",TODAY()-8,$E223),TODAY()-8),0),1,0)),MAX(0,INT((MIN(IF($E223="",TODAY()-8,$E223),TODAY()-8)-($D223+MOD(SISTEM!$F$8-WEEKDAY($D223,2),7)))/7)+1)))</f>
        <v/>
      </c>
      <c r="K223" s="227">
        <f>IF(OR($C223="",$D223="",$G223="",$F223=""),0,$G223*IF($F223="Aylık",MAX(0,(YEAR(MIN(IF($E223="",TODAY()-15,$E223),TODAY()-15))-YEAR($D223))*12+MONTH(MIN(IF($E223="",TODAY()-15,$E223),TODAY()-15))-MONTH($D223)+IF(MIN(IF($E223="",TODAY()-15,$E223),TODAY()-15)&gt;=EOMONTH(MIN(IF($E223="",TODAY()-15,$E223),TODAY()-15),0),1,0)),MAX(0,INT((MIN(IF($E223="",TODAY()-15,$E223),TODAY()-15)-($D223+MOD(SISTEM!$F$8-WEEKDAY($D223,2),7)))/7)+1)))</f>
        <v/>
      </c>
      <c r="L223" s="227">
        <f>IF(OR($C223="",$D223="",$G223="",$F223=""),0,$G223*IF($F223="Aylık",MAX(0,(YEAR(MIN(IF($E223="",TODAY()-29,$E223),TODAY()-29))-YEAR($D223))*12+MONTH(MIN(IF($E223="",TODAY()-29,$E223),TODAY()-29))-MONTH($D223)+IF(MIN(IF($E223="",TODAY()-29,$E223),TODAY()-29)&gt;=EOMONTH(MIN(IF($E223="",TODAY()-29,$E223),TODAY()-29),0),1,0)),MAX(0,INT((MIN(IF($E223="",TODAY()-29,$E223),TODAY()-29)-($D223+MOD(SISTEM!$F$8-WEEKDAY($D223,2),7)))/7)+1)))</f>
        <v/>
      </c>
      <c r="M223" s="228">
        <f>IF($G223&gt;0,$I223/$G223,0)</f>
        <v/>
      </c>
      <c r="N223" s="113">
        <f>IF($C223="","",IF($B223="TANIMSIZ MÜŞTERİ","TANIMSIZ MÜŞTERİ",IF($F223="","MODEL SEÇİN",IF(OR($D223="",$G223&lt;=0),"EKSİK",IF(AND($E223&lt;&gt;"",$E223&lt;$D223),"TARİH HATASI",IF($H223="Pasif","KAPALI DÖNEM","UYGUN"))))))</f>
        <v/>
      </c>
      <c r="O223" s="229">
        <f>IF(OR($C223="",$D223="",$F223=""),"",IF($F223="Aylık",EOMONTH($D223,0),($D223+MOD(SISTEM!$F$8-WEEKDAY($D223,2),7))))</f>
        <v/>
      </c>
      <c r="P223" s="109" t="n"/>
      <c r="Q223" s="6" t="n"/>
      <c r="R223" s="6" t="n"/>
      <c r="S223" s="3">
        <f>IF($B223="","",$B223&amp;"|"&amp;COUNTIFS($B$7:$B223,$B223))</f>
        <v/>
      </c>
    </row>
    <row r="224">
      <c r="A224" s="6" t="n"/>
      <c r="B224" s="113">
        <f>IF($C224="","",IFERROR(INDEX(MUSTERILER!$B$7:$B$106,MATCH($C224,MUSTERILER!$C$7:$C$106,0)),IFERROR(INDEX(MUSTERILER!$B$7:$B$106,MATCH($C224,MUSTERILER!$B$7:$B$106,0)),IFERROR(INDEX(MUSTERILER!$B$7:$B$106,MATCH($C224&amp;"*",MUSTERILER!$C$7:$C$106,0)),"TANIMSIZ MÜŞTERİ"))))</f>
        <v/>
      </c>
      <c r="C224" s="109" t="n"/>
      <c r="D224" s="225" t="n"/>
      <c r="E224" s="225" t="n"/>
      <c r="F224" s="108" t="n"/>
      <c r="G224" s="226" t="n"/>
      <c r="H224" s="108" t="n"/>
      <c r="I224" s="227">
        <f>IF(OR($C224="",$D224="",$G224="",$F224=""),0,$G224*IF($F224="Aylık",MAX(0,(YEAR(MIN(IF($E224="",TODAY(),$E224),TODAY()))-YEAR($D224))*12+MONTH(MIN(IF($E224="",TODAY(),$E224),TODAY()))-MONTH($D224)+IF(MIN(IF($E224="",TODAY(),$E224),TODAY())&gt;=EOMONTH(MIN(IF($E224="",TODAY(),$E224),TODAY()),0),1,0)),MAX(0,INT((MIN(IF($E224="",TODAY(),$E224),TODAY())-($D224+MOD(SISTEM!$F$8-WEEKDAY($D224,2),7)))/7)+1)))</f>
        <v/>
      </c>
      <c r="J224" s="227">
        <f>IF(OR($C224="",$D224="",$G224="",$F224=""),0,$G224*IF($F224="Aylık",MAX(0,(YEAR(MIN(IF($E224="",TODAY()-8,$E224),TODAY()-8))-YEAR($D224))*12+MONTH(MIN(IF($E224="",TODAY()-8,$E224),TODAY()-8))-MONTH($D224)+IF(MIN(IF($E224="",TODAY()-8,$E224),TODAY()-8)&gt;=EOMONTH(MIN(IF($E224="",TODAY()-8,$E224),TODAY()-8),0),1,0)),MAX(0,INT((MIN(IF($E224="",TODAY()-8,$E224),TODAY()-8)-($D224+MOD(SISTEM!$F$8-WEEKDAY($D224,2),7)))/7)+1)))</f>
        <v/>
      </c>
      <c r="K224" s="227">
        <f>IF(OR($C224="",$D224="",$G224="",$F224=""),0,$G224*IF($F224="Aylık",MAX(0,(YEAR(MIN(IF($E224="",TODAY()-15,$E224),TODAY()-15))-YEAR($D224))*12+MONTH(MIN(IF($E224="",TODAY()-15,$E224),TODAY()-15))-MONTH($D224)+IF(MIN(IF($E224="",TODAY()-15,$E224),TODAY()-15)&gt;=EOMONTH(MIN(IF($E224="",TODAY()-15,$E224),TODAY()-15),0),1,0)),MAX(0,INT((MIN(IF($E224="",TODAY()-15,$E224),TODAY()-15)-($D224+MOD(SISTEM!$F$8-WEEKDAY($D224,2),7)))/7)+1)))</f>
        <v/>
      </c>
      <c r="L224" s="227">
        <f>IF(OR($C224="",$D224="",$G224="",$F224=""),0,$G224*IF($F224="Aylık",MAX(0,(YEAR(MIN(IF($E224="",TODAY()-29,$E224),TODAY()-29))-YEAR($D224))*12+MONTH(MIN(IF($E224="",TODAY()-29,$E224),TODAY()-29))-MONTH($D224)+IF(MIN(IF($E224="",TODAY()-29,$E224),TODAY()-29)&gt;=EOMONTH(MIN(IF($E224="",TODAY()-29,$E224),TODAY()-29),0),1,0)),MAX(0,INT((MIN(IF($E224="",TODAY()-29,$E224),TODAY()-29)-($D224+MOD(SISTEM!$F$8-WEEKDAY($D224,2),7)))/7)+1)))</f>
        <v/>
      </c>
      <c r="M224" s="228">
        <f>IF($G224&gt;0,$I224/$G224,0)</f>
        <v/>
      </c>
      <c r="N224" s="113">
        <f>IF($C224="","",IF($B224="TANIMSIZ MÜŞTERİ","TANIMSIZ MÜŞTERİ",IF($F224="","MODEL SEÇİN",IF(OR($D224="",$G224&lt;=0),"EKSİK",IF(AND($E224&lt;&gt;"",$E224&lt;$D224),"TARİH HATASI",IF($H224="Pasif","KAPALI DÖNEM","UYGUN"))))))</f>
        <v/>
      </c>
      <c r="O224" s="229">
        <f>IF(OR($C224="",$D224="",$F224=""),"",IF($F224="Aylık",EOMONTH($D224,0),($D224+MOD(SISTEM!$F$8-WEEKDAY($D224,2),7))))</f>
        <v/>
      </c>
      <c r="P224" s="109" t="n"/>
      <c r="Q224" s="6" t="n"/>
      <c r="R224" s="6" t="n"/>
      <c r="S224" s="3">
        <f>IF($B224="","",$B224&amp;"|"&amp;COUNTIFS($B$7:$B224,$B224))</f>
        <v/>
      </c>
    </row>
    <row r="225">
      <c r="A225" s="6" t="n"/>
      <c r="B225" s="113">
        <f>IF($C225="","",IFERROR(INDEX(MUSTERILER!$B$7:$B$106,MATCH($C225,MUSTERILER!$C$7:$C$106,0)),IFERROR(INDEX(MUSTERILER!$B$7:$B$106,MATCH($C225,MUSTERILER!$B$7:$B$106,0)),IFERROR(INDEX(MUSTERILER!$B$7:$B$106,MATCH($C225&amp;"*",MUSTERILER!$C$7:$C$106,0)),"TANIMSIZ MÜŞTERİ"))))</f>
        <v/>
      </c>
      <c r="C225" s="109" t="n"/>
      <c r="D225" s="225" t="n"/>
      <c r="E225" s="225" t="n"/>
      <c r="F225" s="108" t="n"/>
      <c r="G225" s="226" t="n"/>
      <c r="H225" s="108" t="n"/>
      <c r="I225" s="227">
        <f>IF(OR($C225="",$D225="",$G225="",$F225=""),0,$G225*IF($F225="Aylık",MAX(0,(YEAR(MIN(IF($E225="",TODAY(),$E225),TODAY()))-YEAR($D225))*12+MONTH(MIN(IF($E225="",TODAY(),$E225),TODAY()))-MONTH($D225)+IF(MIN(IF($E225="",TODAY(),$E225),TODAY())&gt;=EOMONTH(MIN(IF($E225="",TODAY(),$E225),TODAY()),0),1,0)),MAX(0,INT((MIN(IF($E225="",TODAY(),$E225),TODAY())-($D225+MOD(SISTEM!$F$8-WEEKDAY($D225,2),7)))/7)+1)))</f>
        <v/>
      </c>
      <c r="J225" s="227">
        <f>IF(OR($C225="",$D225="",$G225="",$F225=""),0,$G225*IF($F225="Aylık",MAX(0,(YEAR(MIN(IF($E225="",TODAY()-8,$E225),TODAY()-8))-YEAR($D225))*12+MONTH(MIN(IF($E225="",TODAY()-8,$E225),TODAY()-8))-MONTH($D225)+IF(MIN(IF($E225="",TODAY()-8,$E225),TODAY()-8)&gt;=EOMONTH(MIN(IF($E225="",TODAY()-8,$E225),TODAY()-8),0),1,0)),MAX(0,INT((MIN(IF($E225="",TODAY()-8,$E225),TODAY()-8)-($D225+MOD(SISTEM!$F$8-WEEKDAY($D225,2),7)))/7)+1)))</f>
        <v/>
      </c>
      <c r="K225" s="227">
        <f>IF(OR($C225="",$D225="",$G225="",$F225=""),0,$G225*IF($F225="Aylık",MAX(0,(YEAR(MIN(IF($E225="",TODAY()-15,$E225),TODAY()-15))-YEAR($D225))*12+MONTH(MIN(IF($E225="",TODAY()-15,$E225),TODAY()-15))-MONTH($D225)+IF(MIN(IF($E225="",TODAY()-15,$E225),TODAY()-15)&gt;=EOMONTH(MIN(IF($E225="",TODAY()-15,$E225),TODAY()-15),0),1,0)),MAX(0,INT((MIN(IF($E225="",TODAY()-15,$E225),TODAY()-15)-($D225+MOD(SISTEM!$F$8-WEEKDAY($D225,2),7)))/7)+1)))</f>
        <v/>
      </c>
      <c r="L225" s="227">
        <f>IF(OR($C225="",$D225="",$G225="",$F225=""),0,$G225*IF($F225="Aylık",MAX(0,(YEAR(MIN(IF($E225="",TODAY()-29,$E225),TODAY()-29))-YEAR($D225))*12+MONTH(MIN(IF($E225="",TODAY()-29,$E225),TODAY()-29))-MONTH($D225)+IF(MIN(IF($E225="",TODAY()-29,$E225),TODAY()-29)&gt;=EOMONTH(MIN(IF($E225="",TODAY()-29,$E225),TODAY()-29),0),1,0)),MAX(0,INT((MIN(IF($E225="",TODAY()-29,$E225),TODAY()-29)-($D225+MOD(SISTEM!$F$8-WEEKDAY($D225,2),7)))/7)+1)))</f>
        <v/>
      </c>
      <c r="M225" s="228">
        <f>IF($G225&gt;0,$I225/$G225,0)</f>
        <v/>
      </c>
      <c r="N225" s="113">
        <f>IF($C225="","",IF($B225="TANIMSIZ MÜŞTERİ","TANIMSIZ MÜŞTERİ",IF($F225="","MODEL SEÇİN",IF(OR($D225="",$G225&lt;=0),"EKSİK",IF(AND($E225&lt;&gt;"",$E225&lt;$D225),"TARİH HATASI",IF($H225="Pasif","KAPALI DÖNEM","UYGUN"))))))</f>
        <v/>
      </c>
      <c r="O225" s="229">
        <f>IF(OR($C225="",$D225="",$F225=""),"",IF($F225="Aylık",EOMONTH($D225,0),($D225+MOD(SISTEM!$F$8-WEEKDAY($D225,2),7))))</f>
        <v/>
      </c>
      <c r="P225" s="109" t="n"/>
      <c r="Q225" s="6" t="n"/>
      <c r="R225" s="6" t="n"/>
      <c r="S225" s="3">
        <f>IF($B225="","",$B225&amp;"|"&amp;COUNTIFS($B$7:$B225,$B225))</f>
        <v/>
      </c>
    </row>
    <row r="226">
      <c r="A226" s="6" t="n"/>
      <c r="B226" s="113">
        <f>IF($C226="","",IFERROR(INDEX(MUSTERILER!$B$7:$B$106,MATCH($C226,MUSTERILER!$C$7:$C$106,0)),IFERROR(INDEX(MUSTERILER!$B$7:$B$106,MATCH($C226,MUSTERILER!$B$7:$B$106,0)),IFERROR(INDEX(MUSTERILER!$B$7:$B$106,MATCH($C226&amp;"*",MUSTERILER!$C$7:$C$106,0)),"TANIMSIZ MÜŞTERİ"))))</f>
        <v/>
      </c>
      <c r="C226" s="109" t="n"/>
      <c r="D226" s="225" t="n"/>
      <c r="E226" s="225" t="n"/>
      <c r="F226" s="108" t="n"/>
      <c r="G226" s="226" t="n"/>
      <c r="H226" s="108" t="n"/>
      <c r="I226" s="227">
        <f>IF(OR($C226="",$D226="",$G226="",$F226=""),0,$G226*IF($F226="Aylık",MAX(0,(YEAR(MIN(IF($E226="",TODAY(),$E226),TODAY()))-YEAR($D226))*12+MONTH(MIN(IF($E226="",TODAY(),$E226),TODAY()))-MONTH($D226)+IF(MIN(IF($E226="",TODAY(),$E226),TODAY())&gt;=EOMONTH(MIN(IF($E226="",TODAY(),$E226),TODAY()),0),1,0)),MAX(0,INT((MIN(IF($E226="",TODAY(),$E226),TODAY())-($D226+MOD(SISTEM!$F$8-WEEKDAY($D226,2),7)))/7)+1)))</f>
        <v/>
      </c>
      <c r="J226" s="227">
        <f>IF(OR($C226="",$D226="",$G226="",$F226=""),0,$G226*IF($F226="Aylık",MAX(0,(YEAR(MIN(IF($E226="",TODAY()-8,$E226),TODAY()-8))-YEAR($D226))*12+MONTH(MIN(IF($E226="",TODAY()-8,$E226),TODAY()-8))-MONTH($D226)+IF(MIN(IF($E226="",TODAY()-8,$E226),TODAY()-8)&gt;=EOMONTH(MIN(IF($E226="",TODAY()-8,$E226),TODAY()-8),0),1,0)),MAX(0,INT((MIN(IF($E226="",TODAY()-8,$E226),TODAY()-8)-($D226+MOD(SISTEM!$F$8-WEEKDAY($D226,2),7)))/7)+1)))</f>
        <v/>
      </c>
      <c r="K226" s="227">
        <f>IF(OR($C226="",$D226="",$G226="",$F226=""),0,$G226*IF($F226="Aylık",MAX(0,(YEAR(MIN(IF($E226="",TODAY()-15,$E226),TODAY()-15))-YEAR($D226))*12+MONTH(MIN(IF($E226="",TODAY()-15,$E226),TODAY()-15))-MONTH($D226)+IF(MIN(IF($E226="",TODAY()-15,$E226),TODAY()-15)&gt;=EOMONTH(MIN(IF($E226="",TODAY()-15,$E226),TODAY()-15),0),1,0)),MAX(0,INT((MIN(IF($E226="",TODAY()-15,$E226),TODAY()-15)-($D226+MOD(SISTEM!$F$8-WEEKDAY($D226,2),7)))/7)+1)))</f>
        <v/>
      </c>
      <c r="L226" s="227">
        <f>IF(OR($C226="",$D226="",$G226="",$F226=""),0,$G226*IF($F226="Aylık",MAX(0,(YEAR(MIN(IF($E226="",TODAY()-29,$E226),TODAY()-29))-YEAR($D226))*12+MONTH(MIN(IF($E226="",TODAY()-29,$E226),TODAY()-29))-MONTH($D226)+IF(MIN(IF($E226="",TODAY()-29,$E226),TODAY()-29)&gt;=EOMONTH(MIN(IF($E226="",TODAY()-29,$E226),TODAY()-29),0),1,0)),MAX(0,INT((MIN(IF($E226="",TODAY()-29,$E226),TODAY()-29)-($D226+MOD(SISTEM!$F$8-WEEKDAY($D226,2),7)))/7)+1)))</f>
        <v/>
      </c>
      <c r="M226" s="228">
        <f>IF($G226&gt;0,$I226/$G226,0)</f>
        <v/>
      </c>
      <c r="N226" s="113">
        <f>IF($C226="","",IF($B226="TANIMSIZ MÜŞTERİ","TANIMSIZ MÜŞTERİ",IF($F226="","MODEL SEÇİN",IF(OR($D226="",$G226&lt;=0),"EKSİK",IF(AND($E226&lt;&gt;"",$E226&lt;$D226),"TARİH HATASI",IF($H226="Pasif","KAPALI DÖNEM","UYGUN"))))))</f>
        <v/>
      </c>
      <c r="O226" s="229">
        <f>IF(OR($C226="",$D226="",$F226=""),"",IF($F226="Aylık",EOMONTH($D226,0),($D226+MOD(SISTEM!$F$8-WEEKDAY($D226,2),7))))</f>
        <v/>
      </c>
      <c r="P226" s="109" t="n"/>
      <c r="Q226" s="6" t="n"/>
      <c r="R226" s="6" t="n"/>
      <c r="S226" s="3">
        <f>IF($B226="","",$B226&amp;"|"&amp;COUNTIFS($B$7:$B226,$B226))</f>
        <v/>
      </c>
    </row>
    <row r="227">
      <c r="A227" s="6" t="n"/>
      <c r="B227" s="113">
        <f>IF($C227="","",IFERROR(INDEX(MUSTERILER!$B$7:$B$106,MATCH($C227,MUSTERILER!$C$7:$C$106,0)),IFERROR(INDEX(MUSTERILER!$B$7:$B$106,MATCH($C227,MUSTERILER!$B$7:$B$106,0)),IFERROR(INDEX(MUSTERILER!$B$7:$B$106,MATCH($C227&amp;"*",MUSTERILER!$C$7:$C$106,0)),"TANIMSIZ MÜŞTERİ"))))</f>
        <v/>
      </c>
      <c r="C227" s="109" t="n"/>
      <c r="D227" s="225" t="n"/>
      <c r="E227" s="225" t="n"/>
      <c r="F227" s="108" t="n"/>
      <c r="G227" s="226" t="n"/>
      <c r="H227" s="108" t="n"/>
      <c r="I227" s="227">
        <f>IF(OR($C227="",$D227="",$G227="",$F227=""),0,$G227*IF($F227="Aylık",MAX(0,(YEAR(MIN(IF($E227="",TODAY(),$E227),TODAY()))-YEAR($D227))*12+MONTH(MIN(IF($E227="",TODAY(),$E227),TODAY()))-MONTH($D227)+IF(MIN(IF($E227="",TODAY(),$E227),TODAY())&gt;=EOMONTH(MIN(IF($E227="",TODAY(),$E227),TODAY()),0),1,0)),MAX(0,INT((MIN(IF($E227="",TODAY(),$E227),TODAY())-($D227+MOD(SISTEM!$F$8-WEEKDAY($D227,2),7)))/7)+1)))</f>
        <v/>
      </c>
      <c r="J227" s="227">
        <f>IF(OR($C227="",$D227="",$G227="",$F227=""),0,$G227*IF($F227="Aylık",MAX(0,(YEAR(MIN(IF($E227="",TODAY()-8,$E227),TODAY()-8))-YEAR($D227))*12+MONTH(MIN(IF($E227="",TODAY()-8,$E227),TODAY()-8))-MONTH($D227)+IF(MIN(IF($E227="",TODAY()-8,$E227),TODAY()-8)&gt;=EOMONTH(MIN(IF($E227="",TODAY()-8,$E227),TODAY()-8),0),1,0)),MAX(0,INT((MIN(IF($E227="",TODAY()-8,$E227),TODAY()-8)-($D227+MOD(SISTEM!$F$8-WEEKDAY($D227,2),7)))/7)+1)))</f>
        <v/>
      </c>
      <c r="K227" s="227">
        <f>IF(OR($C227="",$D227="",$G227="",$F227=""),0,$G227*IF($F227="Aylık",MAX(0,(YEAR(MIN(IF($E227="",TODAY()-15,$E227),TODAY()-15))-YEAR($D227))*12+MONTH(MIN(IF($E227="",TODAY()-15,$E227),TODAY()-15))-MONTH($D227)+IF(MIN(IF($E227="",TODAY()-15,$E227),TODAY()-15)&gt;=EOMONTH(MIN(IF($E227="",TODAY()-15,$E227),TODAY()-15),0),1,0)),MAX(0,INT((MIN(IF($E227="",TODAY()-15,$E227),TODAY()-15)-($D227+MOD(SISTEM!$F$8-WEEKDAY($D227,2),7)))/7)+1)))</f>
        <v/>
      </c>
      <c r="L227" s="227">
        <f>IF(OR($C227="",$D227="",$G227="",$F227=""),0,$G227*IF($F227="Aylık",MAX(0,(YEAR(MIN(IF($E227="",TODAY()-29,$E227),TODAY()-29))-YEAR($D227))*12+MONTH(MIN(IF($E227="",TODAY()-29,$E227),TODAY()-29))-MONTH($D227)+IF(MIN(IF($E227="",TODAY()-29,$E227),TODAY()-29)&gt;=EOMONTH(MIN(IF($E227="",TODAY()-29,$E227),TODAY()-29),0),1,0)),MAX(0,INT((MIN(IF($E227="",TODAY()-29,$E227),TODAY()-29)-($D227+MOD(SISTEM!$F$8-WEEKDAY($D227,2),7)))/7)+1)))</f>
        <v/>
      </c>
      <c r="M227" s="228">
        <f>IF($G227&gt;0,$I227/$G227,0)</f>
        <v/>
      </c>
      <c r="N227" s="113">
        <f>IF($C227="","",IF($B227="TANIMSIZ MÜŞTERİ","TANIMSIZ MÜŞTERİ",IF($F227="","MODEL SEÇİN",IF(OR($D227="",$G227&lt;=0),"EKSİK",IF(AND($E227&lt;&gt;"",$E227&lt;$D227),"TARİH HATASI",IF($H227="Pasif","KAPALI DÖNEM","UYGUN"))))))</f>
        <v/>
      </c>
      <c r="O227" s="229">
        <f>IF(OR($C227="",$D227="",$F227=""),"",IF($F227="Aylık",EOMONTH($D227,0),($D227+MOD(SISTEM!$F$8-WEEKDAY($D227,2),7))))</f>
        <v/>
      </c>
      <c r="P227" s="109" t="n"/>
      <c r="Q227" s="6" t="n"/>
      <c r="R227" s="6" t="n"/>
      <c r="S227" s="3">
        <f>IF($B227="","",$B227&amp;"|"&amp;COUNTIFS($B$7:$B227,$B227))</f>
        <v/>
      </c>
    </row>
    <row r="228">
      <c r="A228" s="6" t="n"/>
      <c r="B228" s="113">
        <f>IF($C228="","",IFERROR(INDEX(MUSTERILER!$B$7:$B$106,MATCH($C228,MUSTERILER!$C$7:$C$106,0)),IFERROR(INDEX(MUSTERILER!$B$7:$B$106,MATCH($C228,MUSTERILER!$B$7:$B$106,0)),IFERROR(INDEX(MUSTERILER!$B$7:$B$106,MATCH($C228&amp;"*",MUSTERILER!$C$7:$C$106,0)),"TANIMSIZ MÜŞTERİ"))))</f>
        <v/>
      </c>
      <c r="C228" s="109" t="n"/>
      <c r="D228" s="225" t="n"/>
      <c r="E228" s="225" t="n"/>
      <c r="F228" s="108" t="n"/>
      <c r="G228" s="226" t="n"/>
      <c r="H228" s="108" t="n"/>
      <c r="I228" s="227">
        <f>IF(OR($C228="",$D228="",$G228="",$F228=""),0,$G228*IF($F228="Aylık",MAX(0,(YEAR(MIN(IF($E228="",TODAY(),$E228),TODAY()))-YEAR($D228))*12+MONTH(MIN(IF($E228="",TODAY(),$E228),TODAY()))-MONTH($D228)+IF(MIN(IF($E228="",TODAY(),$E228),TODAY())&gt;=EOMONTH(MIN(IF($E228="",TODAY(),$E228),TODAY()),0),1,0)),MAX(0,INT((MIN(IF($E228="",TODAY(),$E228),TODAY())-($D228+MOD(SISTEM!$F$8-WEEKDAY($D228,2),7)))/7)+1)))</f>
        <v/>
      </c>
      <c r="J228" s="227">
        <f>IF(OR($C228="",$D228="",$G228="",$F228=""),0,$G228*IF($F228="Aylık",MAX(0,(YEAR(MIN(IF($E228="",TODAY()-8,$E228),TODAY()-8))-YEAR($D228))*12+MONTH(MIN(IF($E228="",TODAY()-8,$E228),TODAY()-8))-MONTH($D228)+IF(MIN(IF($E228="",TODAY()-8,$E228),TODAY()-8)&gt;=EOMONTH(MIN(IF($E228="",TODAY()-8,$E228),TODAY()-8),0),1,0)),MAX(0,INT((MIN(IF($E228="",TODAY()-8,$E228),TODAY()-8)-($D228+MOD(SISTEM!$F$8-WEEKDAY($D228,2),7)))/7)+1)))</f>
        <v/>
      </c>
      <c r="K228" s="227">
        <f>IF(OR($C228="",$D228="",$G228="",$F228=""),0,$G228*IF($F228="Aylık",MAX(0,(YEAR(MIN(IF($E228="",TODAY()-15,$E228),TODAY()-15))-YEAR($D228))*12+MONTH(MIN(IF($E228="",TODAY()-15,$E228),TODAY()-15))-MONTH($D228)+IF(MIN(IF($E228="",TODAY()-15,$E228),TODAY()-15)&gt;=EOMONTH(MIN(IF($E228="",TODAY()-15,$E228),TODAY()-15),0),1,0)),MAX(0,INT((MIN(IF($E228="",TODAY()-15,$E228),TODAY()-15)-($D228+MOD(SISTEM!$F$8-WEEKDAY($D228,2),7)))/7)+1)))</f>
        <v/>
      </c>
      <c r="L228" s="227">
        <f>IF(OR($C228="",$D228="",$G228="",$F228=""),0,$G228*IF($F228="Aylık",MAX(0,(YEAR(MIN(IF($E228="",TODAY()-29,$E228),TODAY()-29))-YEAR($D228))*12+MONTH(MIN(IF($E228="",TODAY()-29,$E228),TODAY()-29))-MONTH($D228)+IF(MIN(IF($E228="",TODAY()-29,$E228),TODAY()-29)&gt;=EOMONTH(MIN(IF($E228="",TODAY()-29,$E228),TODAY()-29),0),1,0)),MAX(0,INT((MIN(IF($E228="",TODAY()-29,$E228),TODAY()-29)-($D228+MOD(SISTEM!$F$8-WEEKDAY($D228,2),7)))/7)+1)))</f>
        <v/>
      </c>
      <c r="M228" s="228">
        <f>IF($G228&gt;0,$I228/$G228,0)</f>
        <v/>
      </c>
      <c r="N228" s="113">
        <f>IF($C228="","",IF($B228="TANIMSIZ MÜŞTERİ","TANIMSIZ MÜŞTERİ",IF($F228="","MODEL SEÇİN",IF(OR($D228="",$G228&lt;=0),"EKSİK",IF(AND($E228&lt;&gt;"",$E228&lt;$D228),"TARİH HATASI",IF($H228="Pasif","KAPALI DÖNEM","UYGUN"))))))</f>
        <v/>
      </c>
      <c r="O228" s="229">
        <f>IF(OR($C228="",$D228="",$F228=""),"",IF($F228="Aylık",EOMONTH($D228,0),($D228+MOD(SISTEM!$F$8-WEEKDAY($D228,2),7))))</f>
        <v/>
      </c>
      <c r="P228" s="109" t="n"/>
      <c r="Q228" s="6" t="n"/>
      <c r="R228" s="6" t="n"/>
      <c r="S228" s="3">
        <f>IF($B228="","",$B228&amp;"|"&amp;COUNTIFS($B$7:$B228,$B228))</f>
        <v/>
      </c>
    </row>
    <row r="229">
      <c r="A229" s="6" t="n"/>
      <c r="B229" s="113">
        <f>IF($C229="","",IFERROR(INDEX(MUSTERILER!$B$7:$B$106,MATCH($C229,MUSTERILER!$C$7:$C$106,0)),IFERROR(INDEX(MUSTERILER!$B$7:$B$106,MATCH($C229,MUSTERILER!$B$7:$B$106,0)),IFERROR(INDEX(MUSTERILER!$B$7:$B$106,MATCH($C229&amp;"*",MUSTERILER!$C$7:$C$106,0)),"TANIMSIZ MÜŞTERİ"))))</f>
        <v/>
      </c>
      <c r="C229" s="109" t="n"/>
      <c r="D229" s="225" t="n"/>
      <c r="E229" s="225" t="n"/>
      <c r="F229" s="108" t="n"/>
      <c r="G229" s="226" t="n"/>
      <c r="H229" s="108" t="n"/>
      <c r="I229" s="227">
        <f>IF(OR($C229="",$D229="",$G229="",$F229=""),0,$G229*IF($F229="Aylık",MAX(0,(YEAR(MIN(IF($E229="",TODAY(),$E229),TODAY()))-YEAR($D229))*12+MONTH(MIN(IF($E229="",TODAY(),$E229),TODAY()))-MONTH($D229)+IF(MIN(IF($E229="",TODAY(),$E229),TODAY())&gt;=EOMONTH(MIN(IF($E229="",TODAY(),$E229),TODAY()),0),1,0)),MAX(0,INT((MIN(IF($E229="",TODAY(),$E229),TODAY())-($D229+MOD(SISTEM!$F$8-WEEKDAY($D229,2),7)))/7)+1)))</f>
        <v/>
      </c>
      <c r="J229" s="227">
        <f>IF(OR($C229="",$D229="",$G229="",$F229=""),0,$G229*IF($F229="Aylık",MAX(0,(YEAR(MIN(IF($E229="",TODAY()-8,$E229),TODAY()-8))-YEAR($D229))*12+MONTH(MIN(IF($E229="",TODAY()-8,$E229),TODAY()-8))-MONTH($D229)+IF(MIN(IF($E229="",TODAY()-8,$E229),TODAY()-8)&gt;=EOMONTH(MIN(IF($E229="",TODAY()-8,$E229),TODAY()-8),0),1,0)),MAX(0,INT((MIN(IF($E229="",TODAY()-8,$E229),TODAY()-8)-($D229+MOD(SISTEM!$F$8-WEEKDAY($D229,2),7)))/7)+1)))</f>
        <v/>
      </c>
      <c r="K229" s="227">
        <f>IF(OR($C229="",$D229="",$G229="",$F229=""),0,$G229*IF($F229="Aylık",MAX(0,(YEAR(MIN(IF($E229="",TODAY()-15,$E229),TODAY()-15))-YEAR($D229))*12+MONTH(MIN(IF($E229="",TODAY()-15,$E229),TODAY()-15))-MONTH($D229)+IF(MIN(IF($E229="",TODAY()-15,$E229),TODAY()-15)&gt;=EOMONTH(MIN(IF($E229="",TODAY()-15,$E229),TODAY()-15),0),1,0)),MAX(0,INT((MIN(IF($E229="",TODAY()-15,$E229),TODAY()-15)-($D229+MOD(SISTEM!$F$8-WEEKDAY($D229,2),7)))/7)+1)))</f>
        <v/>
      </c>
      <c r="L229" s="227">
        <f>IF(OR($C229="",$D229="",$G229="",$F229=""),0,$G229*IF($F229="Aylık",MAX(0,(YEAR(MIN(IF($E229="",TODAY()-29,$E229),TODAY()-29))-YEAR($D229))*12+MONTH(MIN(IF($E229="",TODAY()-29,$E229),TODAY()-29))-MONTH($D229)+IF(MIN(IF($E229="",TODAY()-29,$E229),TODAY()-29)&gt;=EOMONTH(MIN(IF($E229="",TODAY()-29,$E229),TODAY()-29),0),1,0)),MAX(0,INT((MIN(IF($E229="",TODAY()-29,$E229),TODAY()-29)-($D229+MOD(SISTEM!$F$8-WEEKDAY($D229,2),7)))/7)+1)))</f>
        <v/>
      </c>
      <c r="M229" s="228">
        <f>IF($G229&gt;0,$I229/$G229,0)</f>
        <v/>
      </c>
      <c r="N229" s="113">
        <f>IF($C229="","",IF($B229="TANIMSIZ MÜŞTERİ","TANIMSIZ MÜŞTERİ",IF($F229="","MODEL SEÇİN",IF(OR($D229="",$G229&lt;=0),"EKSİK",IF(AND($E229&lt;&gt;"",$E229&lt;$D229),"TARİH HATASI",IF($H229="Pasif","KAPALI DÖNEM","UYGUN"))))))</f>
        <v/>
      </c>
      <c r="O229" s="229">
        <f>IF(OR($C229="",$D229="",$F229=""),"",IF($F229="Aylık",EOMONTH($D229,0),($D229+MOD(SISTEM!$F$8-WEEKDAY($D229,2),7))))</f>
        <v/>
      </c>
      <c r="P229" s="109" t="n"/>
      <c r="Q229" s="6" t="n"/>
      <c r="R229" s="6" t="n"/>
      <c r="S229" s="3">
        <f>IF($B229="","",$B229&amp;"|"&amp;COUNTIFS($B$7:$B229,$B229))</f>
        <v/>
      </c>
    </row>
    <row r="230">
      <c r="A230" s="6" t="n"/>
      <c r="B230" s="113">
        <f>IF($C230="","",IFERROR(INDEX(MUSTERILER!$B$7:$B$106,MATCH($C230,MUSTERILER!$C$7:$C$106,0)),IFERROR(INDEX(MUSTERILER!$B$7:$B$106,MATCH($C230,MUSTERILER!$B$7:$B$106,0)),IFERROR(INDEX(MUSTERILER!$B$7:$B$106,MATCH($C230&amp;"*",MUSTERILER!$C$7:$C$106,0)),"TANIMSIZ MÜŞTERİ"))))</f>
        <v/>
      </c>
      <c r="C230" s="109" t="n"/>
      <c r="D230" s="225" t="n"/>
      <c r="E230" s="225" t="n"/>
      <c r="F230" s="108" t="n"/>
      <c r="G230" s="226" t="n"/>
      <c r="H230" s="108" t="n"/>
      <c r="I230" s="227">
        <f>IF(OR($C230="",$D230="",$G230="",$F230=""),0,$G230*IF($F230="Aylık",MAX(0,(YEAR(MIN(IF($E230="",TODAY(),$E230),TODAY()))-YEAR($D230))*12+MONTH(MIN(IF($E230="",TODAY(),$E230),TODAY()))-MONTH($D230)+IF(MIN(IF($E230="",TODAY(),$E230),TODAY())&gt;=EOMONTH(MIN(IF($E230="",TODAY(),$E230),TODAY()),0),1,0)),MAX(0,INT((MIN(IF($E230="",TODAY(),$E230),TODAY())-($D230+MOD(SISTEM!$F$8-WEEKDAY($D230,2),7)))/7)+1)))</f>
        <v/>
      </c>
      <c r="J230" s="227">
        <f>IF(OR($C230="",$D230="",$G230="",$F230=""),0,$G230*IF($F230="Aylık",MAX(0,(YEAR(MIN(IF($E230="",TODAY()-8,$E230),TODAY()-8))-YEAR($D230))*12+MONTH(MIN(IF($E230="",TODAY()-8,$E230),TODAY()-8))-MONTH($D230)+IF(MIN(IF($E230="",TODAY()-8,$E230),TODAY()-8)&gt;=EOMONTH(MIN(IF($E230="",TODAY()-8,$E230),TODAY()-8),0),1,0)),MAX(0,INT((MIN(IF($E230="",TODAY()-8,$E230),TODAY()-8)-($D230+MOD(SISTEM!$F$8-WEEKDAY($D230,2),7)))/7)+1)))</f>
        <v/>
      </c>
      <c r="K230" s="227">
        <f>IF(OR($C230="",$D230="",$G230="",$F230=""),0,$G230*IF($F230="Aylık",MAX(0,(YEAR(MIN(IF($E230="",TODAY()-15,$E230),TODAY()-15))-YEAR($D230))*12+MONTH(MIN(IF($E230="",TODAY()-15,$E230),TODAY()-15))-MONTH($D230)+IF(MIN(IF($E230="",TODAY()-15,$E230),TODAY()-15)&gt;=EOMONTH(MIN(IF($E230="",TODAY()-15,$E230),TODAY()-15),0),1,0)),MAX(0,INT((MIN(IF($E230="",TODAY()-15,$E230),TODAY()-15)-($D230+MOD(SISTEM!$F$8-WEEKDAY($D230,2),7)))/7)+1)))</f>
        <v/>
      </c>
      <c r="L230" s="227">
        <f>IF(OR($C230="",$D230="",$G230="",$F230=""),0,$G230*IF($F230="Aylık",MAX(0,(YEAR(MIN(IF($E230="",TODAY()-29,$E230),TODAY()-29))-YEAR($D230))*12+MONTH(MIN(IF($E230="",TODAY()-29,$E230),TODAY()-29))-MONTH($D230)+IF(MIN(IF($E230="",TODAY()-29,$E230),TODAY()-29)&gt;=EOMONTH(MIN(IF($E230="",TODAY()-29,$E230),TODAY()-29),0),1,0)),MAX(0,INT((MIN(IF($E230="",TODAY()-29,$E230),TODAY()-29)-($D230+MOD(SISTEM!$F$8-WEEKDAY($D230,2),7)))/7)+1)))</f>
        <v/>
      </c>
      <c r="M230" s="228">
        <f>IF($G230&gt;0,$I230/$G230,0)</f>
        <v/>
      </c>
      <c r="N230" s="113">
        <f>IF($C230="","",IF($B230="TANIMSIZ MÜŞTERİ","TANIMSIZ MÜŞTERİ",IF($F230="","MODEL SEÇİN",IF(OR($D230="",$G230&lt;=0),"EKSİK",IF(AND($E230&lt;&gt;"",$E230&lt;$D230),"TARİH HATASI",IF($H230="Pasif","KAPALI DÖNEM","UYGUN"))))))</f>
        <v/>
      </c>
      <c r="O230" s="229">
        <f>IF(OR($C230="",$D230="",$F230=""),"",IF($F230="Aylık",EOMONTH($D230,0),($D230+MOD(SISTEM!$F$8-WEEKDAY($D230,2),7))))</f>
        <v/>
      </c>
      <c r="P230" s="109" t="n"/>
      <c r="Q230" s="6" t="n"/>
      <c r="R230" s="6" t="n"/>
      <c r="S230" s="3">
        <f>IF($B230="","",$B230&amp;"|"&amp;COUNTIFS($B$7:$B230,$B230))</f>
        <v/>
      </c>
    </row>
    <row r="231">
      <c r="A231" s="6" t="n"/>
      <c r="B231" s="113">
        <f>IF($C231="","",IFERROR(INDEX(MUSTERILER!$B$7:$B$106,MATCH($C231,MUSTERILER!$C$7:$C$106,0)),IFERROR(INDEX(MUSTERILER!$B$7:$B$106,MATCH($C231,MUSTERILER!$B$7:$B$106,0)),IFERROR(INDEX(MUSTERILER!$B$7:$B$106,MATCH($C231&amp;"*",MUSTERILER!$C$7:$C$106,0)),"TANIMSIZ MÜŞTERİ"))))</f>
        <v/>
      </c>
      <c r="C231" s="109" t="n"/>
      <c r="D231" s="225" t="n"/>
      <c r="E231" s="225" t="n"/>
      <c r="F231" s="108" t="n"/>
      <c r="G231" s="226" t="n"/>
      <c r="H231" s="108" t="n"/>
      <c r="I231" s="227">
        <f>IF(OR($C231="",$D231="",$G231="",$F231=""),0,$G231*IF($F231="Aylık",MAX(0,(YEAR(MIN(IF($E231="",TODAY(),$E231),TODAY()))-YEAR($D231))*12+MONTH(MIN(IF($E231="",TODAY(),$E231),TODAY()))-MONTH($D231)+IF(MIN(IF($E231="",TODAY(),$E231),TODAY())&gt;=EOMONTH(MIN(IF($E231="",TODAY(),$E231),TODAY()),0),1,0)),MAX(0,INT((MIN(IF($E231="",TODAY(),$E231),TODAY())-($D231+MOD(SISTEM!$F$8-WEEKDAY($D231,2),7)))/7)+1)))</f>
        <v/>
      </c>
      <c r="J231" s="227">
        <f>IF(OR($C231="",$D231="",$G231="",$F231=""),0,$G231*IF($F231="Aylık",MAX(0,(YEAR(MIN(IF($E231="",TODAY()-8,$E231),TODAY()-8))-YEAR($D231))*12+MONTH(MIN(IF($E231="",TODAY()-8,$E231),TODAY()-8))-MONTH($D231)+IF(MIN(IF($E231="",TODAY()-8,$E231),TODAY()-8)&gt;=EOMONTH(MIN(IF($E231="",TODAY()-8,$E231),TODAY()-8),0),1,0)),MAX(0,INT((MIN(IF($E231="",TODAY()-8,$E231),TODAY()-8)-($D231+MOD(SISTEM!$F$8-WEEKDAY($D231,2),7)))/7)+1)))</f>
        <v/>
      </c>
      <c r="K231" s="227">
        <f>IF(OR($C231="",$D231="",$G231="",$F231=""),0,$G231*IF($F231="Aylık",MAX(0,(YEAR(MIN(IF($E231="",TODAY()-15,$E231),TODAY()-15))-YEAR($D231))*12+MONTH(MIN(IF($E231="",TODAY()-15,$E231),TODAY()-15))-MONTH($D231)+IF(MIN(IF($E231="",TODAY()-15,$E231),TODAY()-15)&gt;=EOMONTH(MIN(IF($E231="",TODAY()-15,$E231),TODAY()-15),0),1,0)),MAX(0,INT((MIN(IF($E231="",TODAY()-15,$E231),TODAY()-15)-($D231+MOD(SISTEM!$F$8-WEEKDAY($D231,2),7)))/7)+1)))</f>
        <v/>
      </c>
      <c r="L231" s="227">
        <f>IF(OR($C231="",$D231="",$G231="",$F231=""),0,$G231*IF($F231="Aylık",MAX(0,(YEAR(MIN(IF($E231="",TODAY()-29,$E231),TODAY()-29))-YEAR($D231))*12+MONTH(MIN(IF($E231="",TODAY()-29,$E231),TODAY()-29))-MONTH($D231)+IF(MIN(IF($E231="",TODAY()-29,$E231),TODAY()-29)&gt;=EOMONTH(MIN(IF($E231="",TODAY()-29,$E231),TODAY()-29),0),1,0)),MAX(0,INT((MIN(IF($E231="",TODAY()-29,$E231),TODAY()-29)-($D231+MOD(SISTEM!$F$8-WEEKDAY($D231,2),7)))/7)+1)))</f>
        <v/>
      </c>
      <c r="M231" s="228">
        <f>IF($G231&gt;0,$I231/$G231,0)</f>
        <v/>
      </c>
      <c r="N231" s="113">
        <f>IF($C231="","",IF($B231="TANIMSIZ MÜŞTERİ","TANIMSIZ MÜŞTERİ",IF($F231="","MODEL SEÇİN",IF(OR($D231="",$G231&lt;=0),"EKSİK",IF(AND($E231&lt;&gt;"",$E231&lt;$D231),"TARİH HATASI",IF($H231="Pasif","KAPALI DÖNEM","UYGUN"))))))</f>
        <v/>
      </c>
      <c r="O231" s="229">
        <f>IF(OR($C231="",$D231="",$F231=""),"",IF($F231="Aylık",EOMONTH($D231,0),($D231+MOD(SISTEM!$F$8-WEEKDAY($D231,2),7))))</f>
        <v/>
      </c>
      <c r="P231" s="109" t="n"/>
      <c r="Q231" s="6" t="n"/>
      <c r="R231" s="6" t="n"/>
      <c r="S231" s="3">
        <f>IF($B231="","",$B231&amp;"|"&amp;COUNTIFS($B$7:$B231,$B231))</f>
        <v/>
      </c>
    </row>
    <row r="232">
      <c r="A232" s="6" t="n"/>
      <c r="B232" s="113">
        <f>IF($C232="","",IFERROR(INDEX(MUSTERILER!$B$7:$B$106,MATCH($C232,MUSTERILER!$C$7:$C$106,0)),IFERROR(INDEX(MUSTERILER!$B$7:$B$106,MATCH($C232,MUSTERILER!$B$7:$B$106,0)),IFERROR(INDEX(MUSTERILER!$B$7:$B$106,MATCH($C232&amp;"*",MUSTERILER!$C$7:$C$106,0)),"TANIMSIZ MÜŞTERİ"))))</f>
        <v/>
      </c>
      <c r="C232" s="109" t="n"/>
      <c r="D232" s="225" t="n"/>
      <c r="E232" s="225" t="n"/>
      <c r="F232" s="108" t="n"/>
      <c r="G232" s="226" t="n"/>
      <c r="H232" s="108" t="n"/>
      <c r="I232" s="227">
        <f>IF(OR($C232="",$D232="",$G232="",$F232=""),0,$G232*IF($F232="Aylık",MAX(0,(YEAR(MIN(IF($E232="",TODAY(),$E232),TODAY()))-YEAR($D232))*12+MONTH(MIN(IF($E232="",TODAY(),$E232),TODAY()))-MONTH($D232)+IF(MIN(IF($E232="",TODAY(),$E232),TODAY())&gt;=EOMONTH(MIN(IF($E232="",TODAY(),$E232),TODAY()),0),1,0)),MAX(0,INT((MIN(IF($E232="",TODAY(),$E232),TODAY())-($D232+MOD(SISTEM!$F$8-WEEKDAY($D232,2),7)))/7)+1)))</f>
        <v/>
      </c>
      <c r="J232" s="227">
        <f>IF(OR($C232="",$D232="",$G232="",$F232=""),0,$G232*IF($F232="Aylık",MAX(0,(YEAR(MIN(IF($E232="",TODAY()-8,$E232),TODAY()-8))-YEAR($D232))*12+MONTH(MIN(IF($E232="",TODAY()-8,$E232),TODAY()-8))-MONTH($D232)+IF(MIN(IF($E232="",TODAY()-8,$E232),TODAY()-8)&gt;=EOMONTH(MIN(IF($E232="",TODAY()-8,$E232),TODAY()-8),0),1,0)),MAX(0,INT((MIN(IF($E232="",TODAY()-8,$E232),TODAY()-8)-($D232+MOD(SISTEM!$F$8-WEEKDAY($D232,2),7)))/7)+1)))</f>
        <v/>
      </c>
      <c r="K232" s="227">
        <f>IF(OR($C232="",$D232="",$G232="",$F232=""),0,$G232*IF($F232="Aylık",MAX(0,(YEAR(MIN(IF($E232="",TODAY()-15,$E232),TODAY()-15))-YEAR($D232))*12+MONTH(MIN(IF($E232="",TODAY()-15,$E232),TODAY()-15))-MONTH($D232)+IF(MIN(IF($E232="",TODAY()-15,$E232),TODAY()-15)&gt;=EOMONTH(MIN(IF($E232="",TODAY()-15,$E232),TODAY()-15),0),1,0)),MAX(0,INT((MIN(IF($E232="",TODAY()-15,$E232),TODAY()-15)-($D232+MOD(SISTEM!$F$8-WEEKDAY($D232,2),7)))/7)+1)))</f>
        <v/>
      </c>
      <c r="L232" s="227">
        <f>IF(OR($C232="",$D232="",$G232="",$F232=""),0,$G232*IF($F232="Aylık",MAX(0,(YEAR(MIN(IF($E232="",TODAY()-29,$E232),TODAY()-29))-YEAR($D232))*12+MONTH(MIN(IF($E232="",TODAY()-29,$E232),TODAY()-29))-MONTH($D232)+IF(MIN(IF($E232="",TODAY()-29,$E232),TODAY()-29)&gt;=EOMONTH(MIN(IF($E232="",TODAY()-29,$E232),TODAY()-29),0),1,0)),MAX(0,INT((MIN(IF($E232="",TODAY()-29,$E232),TODAY()-29)-($D232+MOD(SISTEM!$F$8-WEEKDAY($D232,2),7)))/7)+1)))</f>
        <v/>
      </c>
      <c r="M232" s="228">
        <f>IF($G232&gt;0,$I232/$G232,0)</f>
        <v/>
      </c>
      <c r="N232" s="113">
        <f>IF($C232="","",IF($B232="TANIMSIZ MÜŞTERİ","TANIMSIZ MÜŞTERİ",IF($F232="","MODEL SEÇİN",IF(OR($D232="",$G232&lt;=0),"EKSİK",IF(AND($E232&lt;&gt;"",$E232&lt;$D232),"TARİH HATASI",IF($H232="Pasif","KAPALI DÖNEM","UYGUN"))))))</f>
        <v/>
      </c>
      <c r="O232" s="229">
        <f>IF(OR($C232="",$D232="",$F232=""),"",IF($F232="Aylık",EOMONTH($D232,0),($D232+MOD(SISTEM!$F$8-WEEKDAY($D232,2),7))))</f>
        <v/>
      </c>
      <c r="P232" s="109" t="n"/>
      <c r="Q232" s="6" t="n"/>
      <c r="R232" s="6" t="n"/>
      <c r="S232" s="3">
        <f>IF($B232="","",$B232&amp;"|"&amp;COUNTIFS($B$7:$B232,$B232))</f>
        <v/>
      </c>
    </row>
    <row r="233">
      <c r="A233" s="6" t="n"/>
      <c r="B233" s="113">
        <f>IF($C233="","",IFERROR(INDEX(MUSTERILER!$B$7:$B$106,MATCH($C233,MUSTERILER!$C$7:$C$106,0)),IFERROR(INDEX(MUSTERILER!$B$7:$B$106,MATCH($C233,MUSTERILER!$B$7:$B$106,0)),IFERROR(INDEX(MUSTERILER!$B$7:$B$106,MATCH($C233&amp;"*",MUSTERILER!$C$7:$C$106,0)),"TANIMSIZ MÜŞTERİ"))))</f>
        <v/>
      </c>
      <c r="C233" s="109" t="n"/>
      <c r="D233" s="225" t="n"/>
      <c r="E233" s="225" t="n"/>
      <c r="F233" s="108" t="n"/>
      <c r="G233" s="226" t="n"/>
      <c r="H233" s="108" t="n"/>
      <c r="I233" s="227">
        <f>IF(OR($C233="",$D233="",$G233="",$F233=""),0,$G233*IF($F233="Aylık",MAX(0,(YEAR(MIN(IF($E233="",TODAY(),$E233),TODAY()))-YEAR($D233))*12+MONTH(MIN(IF($E233="",TODAY(),$E233),TODAY()))-MONTH($D233)+IF(MIN(IF($E233="",TODAY(),$E233),TODAY())&gt;=EOMONTH(MIN(IF($E233="",TODAY(),$E233),TODAY()),0),1,0)),MAX(0,INT((MIN(IF($E233="",TODAY(),$E233),TODAY())-($D233+MOD(SISTEM!$F$8-WEEKDAY($D233,2),7)))/7)+1)))</f>
        <v/>
      </c>
      <c r="J233" s="227">
        <f>IF(OR($C233="",$D233="",$G233="",$F233=""),0,$G233*IF($F233="Aylık",MAX(0,(YEAR(MIN(IF($E233="",TODAY()-8,$E233),TODAY()-8))-YEAR($D233))*12+MONTH(MIN(IF($E233="",TODAY()-8,$E233),TODAY()-8))-MONTH($D233)+IF(MIN(IF($E233="",TODAY()-8,$E233),TODAY()-8)&gt;=EOMONTH(MIN(IF($E233="",TODAY()-8,$E233),TODAY()-8),0),1,0)),MAX(0,INT((MIN(IF($E233="",TODAY()-8,$E233),TODAY()-8)-($D233+MOD(SISTEM!$F$8-WEEKDAY($D233,2),7)))/7)+1)))</f>
        <v/>
      </c>
      <c r="K233" s="227">
        <f>IF(OR($C233="",$D233="",$G233="",$F233=""),0,$G233*IF($F233="Aylık",MAX(0,(YEAR(MIN(IF($E233="",TODAY()-15,$E233),TODAY()-15))-YEAR($D233))*12+MONTH(MIN(IF($E233="",TODAY()-15,$E233),TODAY()-15))-MONTH($D233)+IF(MIN(IF($E233="",TODAY()-15,$E233),TODAY()-15)&gt;=EOMONTH(MIN(IF($E233="",TODAY()-15,$E233),TODAY()-15),0),1,0)),MAX(0,INT((MIN(IF($E233="",TODAY()-15,$E233),TODAY()-15)-($D233+MOD(SISTEM!$F$8-WEEKDAY($D233,2),7)))/7)+1)))</f>
        <v/>
      </c>
      <c r="L233" s="227">
        <f>IF(OR($C233="",$D233="",$G233="",$F233=""),0,$G233*IF($F233="Aylık",MAX(0,(YEAR(MIN(IF($E233="",TODAY()-29,$E233),TODAY()-29))-YEAR($D233))*12+MONTH(MIN(IF($E233="",TODAY()-29,$E233),TODAY()-29))-MONTH($D233)+IF(MIN(IF($E233="",TODAY()-29,$E233),TODAY()-29)&gt;=EOMONTH(MIN(IF($E233="",TODAY()-29,$E233),TODAY()-29),0),1,0)),MAX(0,INT((MIN(IF($E233="",TODAY()-29,$E233),TODAY()-29)-($D233+MOD(SISTEM!$F$8-WEEKDAY($D233,2),7)))/7)+1)))</f>
        <v/>
      </c>
      <c r="M233" s="228">
        <f>IF($G233&gt;0,$I233/$G233,0)</f>
        <v/>
      </c>
      <c r="N233" s="113">
        <f>IF($C233="","",IF($B233="TANIMSIZ MÜŞTERİ","TANIMSIZ MÜŞTERİ",IF($F233="","MODEL SEÇİN",IF(OR($D233="",$G233&lt;=0),"EKSİK",IF(AND($E233&lt;&gt;"",$E233&lt;$D233),"TARİH HATASI",IF($H233="Pasif","KAPALI DÖNEM","UYGUN"))))))</f>
        <v/>
      </c>
      <c r="O233" s="229">
        <f>IF(OR($C233="",$D233="",$F233=""),"",IF($F233="Aylık",EOMONTH($D233,0),($D233+MOD(SISTEM!$F$8-WEEKDAY($D233,2),7))))</f>
        <v/>
      </c>
      <c r="P233" s="109" t="n"/>
      <c r="Q233" s="6" t="n"/>
      <c r="R233" s="6" t="n"/>
      <c r="S233" s="3">
        <f>IF($B233="","",$B233&amp;"|"&amp;COUNTIFS($B$7:$B233,$B233))</f>
        <v/>
      </c>
    </row>
    <row r="234">
      <c r="A234" s="6" t="n"/>
      <c r="B234" s="113">
        <f>IF($C234="","",IFERROR(INDEX(MUSTERILER!$B$7:$B$106,MATCH($C234,MUSTERILER!$C$7:$C$106,0)),IFERROR(INDEX(MUSTERILER!$B$7:$B$106,MATCH($C234,MUSTERILER!$B$7:$B$106,0)),IFERROR(INDEX(MUSTERILER!$B$7:$B$106,MATCH($C234&amp;"*",MUSTERILER!$C$7:$C$106,0)),"TANIMSIZ MÜŞTERİ"))))</f>
        <v/>
      </c>
      <c r="C234" s="109" t="n"/>
      <c r="D234" s="225" t="n"/>
      <c r="E234" s="225" t="n"/>
      <c r="F234" s="108" t="n"/>
      <c r="G234" s="226" t="n"/>
      <c r="H234" s="108" t="n"/>
      <c r="I234" s="227">
        <f>IF(OR($C234="",$D234="",$G234="",$F234=""),0,$G234*IF($F234="Aylık",MAX(0,(YEAR(MIN(IF($E234="",TODAY(),$E234),TODAY()))-YEAR($D234))*12+MONTH(MIN(IF($E234="",TODAY(),$E234),TODAY()))-MONTH($D234)+IF(MIN(IF($E234="",TODAY(),$E234),TODAY())&gt;=EOMONTH(MIN(IF($E234="",TODAY(),$E234),TODAY()),0),1,0)),MAX(0,INT((MIN(IF($E234="",TODAY(),$E234),TODAY())-($D234+MOD(SISTEM!$F$8-WEEKDAY($D234,2),7)))/7)+1)))</f>
        <v/>
      </c>
      <c r="J234" s="227">
        <f>IF(OR($C234="",$D234="",$G234="",$F234=""),0,$G234*IF($F234="Aylık",MAX(0,(YEAR(MIN(IF($E234="",TODAY()-8,$E234),TODAY()-8))-YEAR($D234))*12+MONTH(MIN(IF($E234="",TODAY()-8,$E234),TODAY()-8))-MONTH($D234)+IF(MIN(IF($E234="",TODAY()-8,$E234),TODAY()-8)&gt;=EOMONTH(MIN(IF($E234="",TODAY()-8,$E234),TODAY()-8),0),1,0)),MAX(0,INT((MIN(IF($E234="",TODAY()-8,$E234),TODAY()-8)-($D234+MOD(SISTEM!$F$8-WEEKDAY($D234,2),7)))/7)+1)))</f>
        <v/>
      </c>
      <c r="K234" s="227">
        <f>IF(OR($C234="",$D234="",$G234="",$F234=""),0,$G234*IF($F234="Aylık",MAX(0,(YEAR(MIN(IF($E234="",TODAY()-15,$E234),TODAY()-15))-YEAR($D234))*12+MONTH(MIN(IF($E234="",TODAY()-15,$E234),TODAY()-15))-MONTH($D234)+IF(MIN(IF($E234="",TODAY()-15,$E234),TODAY()-15)&gt;=EOMONTH(MIN(IF($E234="",TODAY()-15,$E234),TODAY()-15),0),1,0)),MAX(0,INT((MIN(IF($E234="",TODAY()-15,$E234),TODAY()-15)-($D234+MOD(SISTEM!$F$8-WEEKDAY($D234,2),7)))/7)+1)))</f>
        <v/>
      </c>
      <c r="L234" s="227">
        <f>IF(OR($C234="",$D234="",$G234="",$F234=""),0,$G234*IF($F234="Aylık",MAX(0,(YEAR(MIN(IF($E234="",TODAY()-29,$E234),TODAY()-29))-YEAR($D234))*12+MONTH(MIN(IF($E234="",TODAY()-29,$E234),TODAY()-29))-MONTH($D234)+IF(MIN(IF($E234="",TODAY()-29,$E234),TODAY()-29)&gt;=EOMONTH(MIN(IF($E234="",TODAY()-29,$E234),TODAY()-29),0),1,0)),MAX(0,INT((MIN(IF($E234="",TODAY()-29,$E234),TODAY()-29)-($D234+MOD(SISTEM!$F$8-WEEKDAY($D234,2),7)))/7)+1)))</f>
        <v/>
      </c>
      <c r="M234" s="228">
        <f>IF($G234&gt;0,$I234/$G234,0)</f>
        <v/>
      </c>
      <c r="N234" s="113">
        <f>IF($C234="","",IF($B234="TANIMSIZ MÜŞTERİ","TANIMSIZ MÜŞTERİ",IF($F234="","MODEL SEÇİN",IF(OR($D234="",$G234&lt;=0),"EKSİK",IF(AND($E234&lt;&gt;"",$E234&lt;$D234),"TARİH HATASI",IF($H234="Pasif","KAPALI DÖNEM","UYGUN"))))))</f>
        <v/>
      </c>
      <c r="O234" s="229">
        <f>IF(OR($C234="",$D234="",$F234=""),"",IF($F234="Aylık",EOMONTH($D234,0),($D234+MOD(SISTEM!$F$8-WEEKDAY($D234,2),7))))</f>
        <v/>
      </c>
      <c r="P234" s="109" t="n"/>
      <c r="Q234" s="6" t="n"/>
      <c r="R234" s="6" t="n"/>
      <c r="S234" s="3">
        <f>IF($B234="","",$B234&amp;"|"&amp;COUNTIFS($B$7:$B234,$B234))</f>
        <v/>
      </c>
    </row>
    <row r="235">
      <c r="A235" s="6" t="n"/>
      <c r="B235" s="113">
        <f>IF($C235="","",IFERROR(INDEX(MUSTERILER!$B$7:$B$106,MATCH($C235,MUSTERILER!$C$7:$C$106,0)),IFERROR(INDEX(MUSTERILER!$B$7:$B$106,MATCH($C235,MUSTERILER!$B$7:$B$106,0)),IFERROR(INDEX(MUSTERILER!$B$7:$B$106,MATCH($C235&amp;"*",MUSTERILER!$C$7:$C$106,0)),"TANIMSIZ MÜŞTERİ"))))</f>
        <v/>
      </c>
      <c r="C235" s="109" t="n"/>
      <c r="D235" s="225" t="n"/>
      <c r="E235" s="225" t="n"/>
      <c r="F235" s="108" t="n"/>
      <c r="G235" s="226" t="n"/>
      <c r="H235" s="108" t="n"/>
      <c r="I235" s="227">
        <f>IF(OR($C235="",$D235="",$G235="",$F235=""),0,$G235*IF($F235="Aylık",MAX(0,(YEAR(MIN(IF($E235="",TODAY(),$E235),TODAY()))-YEAR($D235))*12+MONTH(MIN(IF($E235="",TODAY(),$E235),TODAY()))-MONTH($D235)+IF(MIN(IF($E235="",TODAY(),$E235),TODAY())&gt;=EOMONTH(MIN(IF($E235="",TODAY(),$E235),TODAY()),0),1,0)),MAX(0,INT((MIN(IF($E235="",TODAY(),$E235),TODAY())-($D235+MOD(SISTEM!$F$8-WEEKDAY($D235,2),7)))/7)+1)))</f>
        <v/>
      </c>
      <c r="J235" s="227">
        <f>IF(OR($C235="",$D235="",$G235="",$F235=""),0,$G235*IF($F235="Aylık",MAX(0,(YEAR(MIN(IF($E235="",TODAY()-8,$E235),TODAY()-8))-YEAR($D235))*12+MONTH(MIN(IF($E235="",TODAY()-8,$E235),TODAY()-8))-MONTH($D235)+IF(MIN(IF($E235="",TODAY()-8,$E235),TODAY()-8)&gt;=EOMONTH(MIN(IF($E235="",TODAY()-8,$E235),TODAY()-8),0),1,0)),MAX(0,INT((MIN(IF($E235="",TODAY()-8,$E235),TODAY()-8)-($D235+MOD(SISTEM!$F$8-WEEKDAY($D235,2),7)))/7)+1)))</f>
        <v/>
      </c>
      <c r="K235" s="227">
        <f>IF(OR($C235="",$D235="",$G235="",$F235=""),0,$G235*IF($F235="Aylık",MAX(0,(YEAR(MIN(IF($E235="",TODAY()-15,$E235),TODAY()-15))-YEAR($D235))*12+MONTH(MIN(IF($E235="",TODAY()-15,$E235),TODAY()-15))-MONTH($D235)+IF(MIN(IF($E235="",TODAY()-15,$E235),TODAY()-15)&gt;=EOMONTH(MIN(IF($E235="",TODAY()-15,$E235),TODAY()-15),0),1,0)),MAX(0,INT((MIN(IF($E235="",TODAY()-15,$E235),TODAY()-15)-($D235+MOD(SISTEM!$F$8-WEEKDAY($D235,2),7)))/7)+1)))</f>
        <v/>
      </c>
      <c r="L235" s="227">
        <f>IF(OR($C235="",$D235="",$G235="",$F235=""),0,$G235*IF($F235="Aylık",MAX(0,(YEAR(MIN(IF($E235="",TODAY()-29,$E235),TODAY()-29))-YEAR($D235))*12+MONTH(MIN(IF($E235="",TODAY()-29,$E235),TODAY()-29))-MONTH($D235)+IF(MIN(IF($E235="",TODAY()-29,$E235),TODAY()-29)&gt;=EOMONTH(MIN(IF($E235="",TODAY()-29,$E235),TODAY()-29),0),1,0)),MAX(0,INT((MIN(IF($E235="",TODAY()-29,$E235),TODAY()-29)-($D235+MOD(SISTEM!$F$8-WEEKDAY($D235,2),7)))/7)+1)))</f>
        <v/>
      </c>
      <c r="M235" s="228">
        <f>IF($G235&gt;0,$I235/$G235,0)</f>
        <v/>
      </c>
      <c r="N235" s="113">
        <f>IF($C235="","",IF($B235="TANIMSIZ MÜŞTERİ","TANIMSIZ MÜŞTERİ",IF($F235="","MODEL SEÇİN",IF(OR($D235="",$G235&lt;=0),"EKSİK",IF(AND($E235&lt;&gt;"",$E235&lt;$D235),"TARİH HATASI",IF($H235="Pasif","KAPALI DÖNEM","UYGUN"))))))</f>
        <v/>
      </c>
      <c r="O235" s="229">
        <f>IF(OR($C235="",$D235="",$F235=""),"",IF($F235="Aylık",EOMONTH($D235,0),($D235+MOD(SISTEM!$F$8-WEEKDAY($D235,2),7))))</f>
        <v/>
      </c>
      <c r="P235" s="109" t="n"/>
      <c r="Q235" s="6" t="n"/>
      <c r="R235" s="6" t="n"/>
      <c r="S235" s="3">
        <f>IF($B235="","",$B235&amp;"|"&amp;COUNTIFS($B$7:$B235,$B235))</f>
        <v/>
      </c>
    </row>
    <row r="236">
      <c r="A236" s="6" t="n"/>
      <c r="B236" s="113">
        <f>IF($C236="","",IFERROR(INDEX(MUSTERILER!$B$7:$B$106,MATCH($C236,MUSTERILER!$C$7:$C$106,0)),IFERROR(INDEX(MUSTERILER!$B$7:$B$106,MATCH($C236,MUSTERILER!$B$7:$B$106,0)),IFERROR(INDEX(MUSTERILER!$B$7:$B$106,MATCH($C236&amp;"*",MUSTERILER!$C$7:$C$106,0)),"TANIMSIZ MÜŞTERİ"))))</f>
        <v/>
      </c>
      <c r="C236" s="109" t="n"/>
      <c r="D236" s="225" t="n"/>
      <c r="E236" s="225" t="n"/>
      <c r="F236" s="108" t="n"/>
      <c r="G236" s="226" t="n"/>
      <c r="H236" s="108" t="n"/>
      <c r="I236" s="227">
        <f>IF(OR($C236="",$D236="",$G236="",$F236=""),0,$G236*IF($F236="Aylık",MAX(0,(YEAR(MIN(IF($E236="",TODAY(),$E236),TODAY()))-YEAR($D236))*12+MONTH(MIN(IF($E236="",TODAY(),$E236),TODAY()))-MONTH($D236)+IF(MIN(IF($E236="",TODAY(),$E236),TODAY())&gt;=EOMONTH(MIN(IF($E236="",TODAY(),$E236),TODAY()),0),1,0)),MAX(0,INT((MIN(IF($E236="",TODAY(),$E236),TODAY())-($D236+MOD(SISTEM!$F$8-WEEKDAY($D236,2),7)))/7)+1)))</f>
        <v/>
      </c>
      <c r="J236" s="227">
        <f>IF(OR($C236="",$D236="",$G236="",$F236=""),0,$G236*IF($F236="Aylık",MAX(0,(YEAR(MIN(IF($E236="",TODAY()-8,$E236),TODAY()-8))-YEAR($D236))*12+MONTH(MIN(IF($E236="",TODAY()-8,$E236),TODAY()-8))-MONTH($D236)+IF(MIN(IF($E236="",TODAY()-8,$E236),TODAY()-8)&gt;=EOMONTH(MIN(IF($E236="",TODAY()-8,$E236),TODAY()-8),0),1,0)),MAX(0,INT((MIN(IF($E236="",TODAY()-8,$E236),TODAY()-8)-($D236+MOD(SISTEM!$F$8-WEEKDAY($D236,2),7)))/7)+1)))</f>
        <v/>
      </c>
      <c r="K236" s="227">
        <f>IF(OR($C236="",$D236="",$G236="",$F236=""),0,$G236*IF($F236="Aylık",MAX(0,(YEAR(MIN(IF($E236="",TODAY()-15,$E236),TODAY()-15))-YEAR($D236))*12+MONTH(MIN(IF($E236="",TODAY()-15,$E236),TODAY()-15))-MONTH($D236)+IF(MIN(IF($E236="",TODAY()-15,$E236),TODAY()-15)&gt;=EOMONTH(MIN(IF($E236="",TODAY()-15,$E236),TODAY()-15),0),1,0)),MAX(0,INT((MIN(IF($E236="",TODAY()-15,$E236),TODAY()-15)-($D236+MOD(SISTEM!$F$8-WEEKDAY($D236,2),7)))/7)+1)))</f>
        <v/>
      </c>
      <c r="L236" s="227">
        <f>IF(OR($C236="",$D236="",$G236="",$F236=""),0,$G236*IF($F236="Aylık",MAX(0,(YEAR(MIN(IF($E236="",TODAY()-29,$E236),TODAY()-29))-YEAR($D236))*12+MONTH(MIN(IF($E236="",TODAY()-29,$E236),TODAY()-29))-MONTH($D236)+IF(MIN(IF($E236="",TODAY()-29,$E236),TODAY()-29)&gt;=EOMONTH(MIN(IF($E236="",TODAY()-29,$E236),TODAY()-29),0),1,0)),MAX(0,INT((MIN(IF($E236="",TODAY()-29,$E236),TODAY()-29)-($D236+MOD(SISTEM!$F$8-WEEKDAY($D236,2),7)))/7)+1)))</f>
        <v/>
      </c>
      <c r="M236" s="228">
        <f>IF($G236&gt;0,$I236/$G236,0)</f>
        <v/>
      </c>
      <c r="N236" s="113">
        <f>IF($C236="","",IF($B236="TANIMSIZ MÜŞTERİ","TANIMSIZ MÜŞTERİ",IF($F236="","MODEL SEÇİN",IF(OR($D236="",$G236&lt;=0),"EKSİK",IF(AND($E236&lt;&gt;"",$E236&lt;$D236),"TARİH HATASI",IF($H236="Pasif","KAPALI DÖNEM","UYGUN"))))))</f>
        <v/>
      </c>
      <c r="O236" s="229">
        <f>IF(OR($C236="",$D236="",$F236=""),"",IF($F236="Aylık",EOMONTH($D236,0),($D236+MOD(SISTEM!$F$8-WEEKDAY($D236,2),7))))</f>
        <v/>
      </c>
      <c r="P236" s="109" t="n"/>
      <c r="Q236" s="6" t="n"/>
      <c r="R236" s="6" t="n"/>
      <c r="S236" s="3">
        <f>IF($B236="","",$B236&amp;"|"&amp;COUNTIFS($B$7:$B236,$B236))</f>
        <v/>
      </c>
    </row>
    <row r="237">
      <c r="A237" s="6" t="n"/>
      <c r="B237" s="113">
        <f>IF($C237="","",IFERROR(INDEX(MUSTERILER!$B$7:$B$106,MATCH($C237,MUSTERILER!$C$7:$C$106,0)),IFERROR(INDEX(MUSTERILER!$B$7:$B$106,MATCH($C237,MUSTERILER!$B$7:$B$106,0)),IFERROR(INDEX(MUSTERILER!$B$7:$B$106,MATCH($C237&amp;"*",MUSTERILER!$C$7:$C$106,0)),"TANIMSIZ MÜŞTERİ"))))</f>
        <v/>
      </c>
      <c r="C237" s="109" t="n"/>
      <c r="D237" s="225" t="n"/>
      <c r="E237" s="225" t="n"/>
      <c r="F237" s="108" t="n"/>
      <c r="G237" s="226" t="n"/>
      <c r="H237" s="108" t="n"/>
      <c r="I237" s="227">
        <f>IF(OR($C237="",$D237="",$G237="",$F237=""),0,$G237*IF($F237="Aylık",MAX(0,(YEAR(MIN(IF($E237="",TODAY(),$E237),TODAY()))-YEAR($D237))*12+MONTH(MIN(IF($E237="",TODAY(),$E237),TODAY()))-MONTH($D237)+IF(MIN(IF($E237="",TODAY(),$E237),TODAY())&gt;=EOMONTH(MIN(IF($E237="",TODAY(),$E237),TODAY()),0),1,0)),MAX(0,INT((MIN(IF($E237="",TODAY(),$E237),TODAY())-($D237+MOD(SISTEM!$F$8-WEEKDAY($D237,2),7)))/7)+1)))</f>
        <v/>
      </c>
      <c r="J237" s="227">
        <f>IF(OR($C237="",$D237="",$G237="",$F237=""),0,$G237*IF($F237="Aylık",MAX(0,(YEAR(MIN(IF($E237="",TODAY()-8,$E237),TODAY()-8))-YEAR($D237))*12+MONTH(MIN(IF($E237="",TODAY()-8,$E237),TODAY()-8))-MONTH($D237)+IF(MIN(IF($E237="",TODAY()-8,$E237),TODAY()-8)&gt;=EOMONTH(MIN(IF($E237="",TODAY()-8,$E237),TODAY()-8),0),1,0)),MAX(0,INT((MIN(IF($E237="",TODAY()-8,$E237),TODAY()-8)-($D237+MOD(SISTEM!$F$8-WEEKDAY($D237,2),7)))/7)+1)))</f>
        <v/>
      </c>
      <c r="K237" s="227">
        <f>IF(OR($C237="",$D237="",$G237="",$F237=""),0,$G237*IF($F237="Aylık",MAX(0,(YEAR(MIN(IF($E237="",TODAY()-15,$E237),TODAY()-15))-YEAR($D237))*12+MONTH(MIN(IF($E237="",TODAY()-15,$E237),TODAY()-15))-MONTH($D237)+IF(MIN(IF($E237="",TODAY()-15,$E237),TODAY()-15)&gt;=EOMONTH(MIN(IF($E237="",TODAY()-15,$E237),TODAY()-15),0),1,0)),MAX(0,INT((MIN(IF($E237="",TODAY()-15,$E237),TODAY()-15)-($D237+MOD(SISTEM!$F$8-WEEKDAY($D237,2),7)))/7)+1)))</f>
        <v/>
      </c>
      <c r="L237" s="227">
        <f>IF(OR($C237="",$D237="",$G237="",$F237=""),0,$G237*IF($F237="Aylık",MAX(0,(YEAR(MIN(IF($E237="",TODAY()-29,$E237),TODAY()-29))-YEAR($D237))*12+MONTH(MIN(IF($E237="",TODAY()-29,$E237),TODAY()-29))-MONTH($D237)+IF(MIN(IF($E237="",TODAY()-29,$E237),TODAY()-29)&gt;=EOMONTH(MIN(IF($E237="",TODAY()-29,$E237),TODAY()-29),0),1,0)),MAX(0,INT((MIN(IF($E237="",TODAY()-29,$E237),TODAY()-29)-($D237+MOD(SISTEM!$F$8-WEEKDAY($D237,2),7)))/7)+1)))</f>
        <v/>
      </c>
      <c r="M237" s="228">
        <f>IF($G237&gt;0,$I237/$G237,0)</f>
        <v/>
      </c>
      <c r="N237" s="113">
        <f>IF($C237="","",IF($B237="TANIMSIZ MÜŞTERİ","TANIMSIZ MÜŞTERİ",IF($F237="","MODEL SEÇİN",IF(OR($D237="",$G237&lt;=0),"EKSİK",IF(AND($E237&lt;&gt;"",$E237&lt;$D237),"TARİH HATASI",IF($H237="Pasif","KAPALI DÖNEM","UYGUN"))))))</f>
        <v/>
      </c>
      <c r="O237" s="229">
        <f>IF(OR($C237="",$D237="",$F237=""),"",IF($F237="Aylık",EOMONTH($D237,0),($D237+MOD(SISTEM!$F$8-WEEKDAY($D237,2),7))))</f>
        <v/>
      </c>
      <c r="P237" s="109" t="n"/>
      <c r="Q237" s="6" t="n"/>
      <c r="R237" s="6" t="n"/>
      <c r="S237" s="3">
        <f>IF($B237="","",$B237&amp;"|"&amp;COUNTIFS($B$7:$B237,$B237))</f>
        <v/>
      </c>
    </row>
    <row r="238">
      <c r="A238" s="6" t="n"/>
      <c r="B238" s="113">
        <f>IF($C238="","",IFERROR(INDEX(MUSTERILER!$B$7:$B$106,MATCH($C238,MUSTERILER!$C$7:$C$106,0)),IFERROR(INDEX(MUSTERILER!$B$7:$B$106,MATCH($C238,MUSTERILER!$B$7:$B$106,0)),IFERROR(INDEX(MUSTERILER!$B$7:$B$106,MATCH($C238&amp;"*",MUSTERILER!$C$7:$C$106,0)),"TANIMSIZ MÜŞTERİ"))))</f>
        <v/>
      </c>
      <c r="C238" s="109" t="n"/>
      <c r="D238" s="225" t="n"/>
      <c r="E238" s="225" t="n"/>
      <c r="F238" s="108" t="n"/>
      <c r="G238" s="226" t="n"/>
      <c r="H238" s="108" t="n"/>
      <c r="I238" s="227">
        <f>IF(OR($C238="",$D238="",$G238="",$F238=""),0,$G238*IF($F238="Aylık",MAX(0,(YEAR(MIN(IF($E238="",TODAY(),$E238),TODAY()))-YEAR($D238))*12+MONTH(MIN(IF($E238="",TODAY(),$E238),TODAY()))-MONTH($D238)+IF(MIN(IF($E238="",TODAY(),$E238),TODAY())&gt;=EOMONTH(MIN(IF($E238="",TODAY(),$E238),TODAY()),0),1,0)),MAX(0,INT((MIN(IF($E238="",TODAY(),$E238),TODAY())-($D238+MOD(SISTEM!$F$8-WEEKDAY($D238,2),7)))/7)+1)))</f>
        <v/>
      </c>
      <c r="J238" s="227">
        <f>IF(OR($C238="",$D238="",$G238="",$F238=""),0,$G238*IF($F238="Aylık",MAX(0,(YEAR(MIN(IF($E238="",TODAY()-8,$E238),TODAY()-8))-YEAR($D238))*12+MONTH(MIN(IF($E238="",TODAY()-8,$E238),TODAY()-8))-MONTH($D238)+IF(MIN(IF($E238="",TODAY()-8,$E238),TODAY()-8)&gt;=EOMONTH(MIN(IF($E238="",TODAY()-8,$E238),TODAY()-8),0),1,0)),MAX(0,INT((MIN(IF($E238="",TODAY()-8,$E238),TODAY()-8)-($D238+MOD(SISTEM!$F$8-WEEKDAY($D238,2),7)))/7)+1)))</f>
        <v/>
      </c>
      <c r="K238" s="227">
        <f>IF(OR($C238="",$D238="",$G238="",$F238=""),0,$G238*IF($F238="Aylık",MAX(0,(YEAR(MIN(IF($E238="",TODAY()-15,$E238),TODAY()-15))-YEAR($D238))*12+MONTH(MIN(IF($E238="",TODAY()-15,$E238),TODAY()-15))-MONTH($D238)+IF(MIN(IF($E238="",TODAY()-15,$E238),TODAY()-15)&gt;=EOMONTH(MIN(IF($E238="",TODAY()-15,$E238),TODAY()-15),0),1,0)),MAX(0,INT((MIN(IF($E238="",TODAY()-15,$E238),TODAY()-15)-($D238+MOD(SISTEM!$F$8-WEEKDAY($D238,2),7)))/7)+1)))</f>
        <v/>
      </c>
      <c r="L238" s="227">
        <f>IF(OR($C238="",$D238="",$G238="",$F238=""),0,$G238*IF($F238="Aylık",MAX(0,(YEAR(MIN(IF($E238="",TODAY()-29,$E238),TODAY()-29))-YEAR($D238))*12+MONTH(MIN(IF($E238="",TODAY()-29,$E238),TODAY()-29))-MONTH($D238)+IF(MIN(IF($E238="",TODAY()-29,$E238),TODAY()-29)&gt;=EOMONTH(MIN(IF($E238="",TODAY()-29,$E238),TODAY()-29),0),1,0)),MAX(0,INT((MIN(IF($E238="",TODAY()-29,$E238),TODAY()-29)-($D238+MOD(SISTEM!$F$8-WEEKDAY($D238,2),7)))/7)+1)))</f>
        <v/>
      </c>
      <c r="M238" s="228">
        <f>IF($G238&gt;0,$I238/$G238,0)</f>
        <v/>
      </c>
      <c r="N238" s="113">
        <f>IF($C238="","",IF($B238="TANIMSIZ MÜŞTERİ","TANIMSIZ MÜŞTERİ",IF($F238="","MODEL SEÇİN",IF(OR($D238="",$G238&lt;=0),"EKSİK",IF(AND($E238&lt;&gt;"",$E238&lt;$D238),"TARİH HATASI",IF($H238="Pasif","KAPALI DÖNEM","UYGUN"))))))</f>
        <v/>
      </c>
      <c r="O238" s="229">
        <f>IF(OR($C238="",$D238="",$F238=""),"",IF($F238="Aylık",EOMONTH($D238,0),($D238+MOD(SISTEM!$F$8-WEEKDAY($D238,2),7))))</f>
        <v/>
      </c>
      <c r="P238" s="109" t="n"/>
      <c r="Q238" s="6" t="n"/>
      <c r="R238" s="6" t="n"/>
      <c r="S238" s="3">
        <f>IF($B238="","",$B238&amp;"|"&amp;COUNTIFS($B$7:$B238,$B238))</f>
        <v/>
      </c>
    </row>
    <row r="239">
      <c r="A239" s="6" t="n"/>
      <c r="B239" s="113">
        <f>IF($C239="","",IFERROR(INDEX(MUSTERILER!$B$7:$B$106,MATCH($C239,MUSTERILER!$C$7:$C$106,0)),IFERROR(INDEX(MUSTERILER!$B$7:$B$106,MATCH($C239,MUSTERILER!$B$7:$B$106,0)),IFERROR(INDEX(MUSTERILER!$B$7:$B$106,MATCH($C239&amp;"*",MUSTERILER!$C$7:$C$106,0)),"TANIMSIZ MÜŞTERİ"))))</f>
        <v/>
      </c>
      <c r="C239" s="109" t="n"/>
      <c r="D239" s="225" t="n"/>
      <c r="E239" s="225" t="n"/>
      <c r="F239" s="108" t="n"/>
      <c r="G239" s="226" t="n"/>
      <c r="H239" s="108" t="n"/>
      <c r="I239" s="227">
        <f>IF(OR($C239="",$D239="",$G239="",$F239=""),0,$G239*IF($F239="Aylık",MAX(0,(YEAR(MIN(IF($E239="",TODAY(),$E239),TODAY()))-YEAR($D239))*12+MONTH(MIN(IF($E239="",TODAY(),$E239),TODAY()))-MONTH($D239)+IF(MIN(IF($E239="",TODAY(),$E239),TODAY())&gt;=EOMONTH(MIN(IF($E239="",TODAY(),$E239),TODAY()),0),1,0)),MAX(0,INT((MIN(IF($E239="",TODAY(),$E239),TODAY())-($D239+MOD(SISTEM!$F$8-WEEKDAY($D239,2),7)))/7)+1)))</f>
        <v/>
      </c>
      <c r="J239" s="227">
        <f>IF(OR($C239="",$D239="",$G239="",$F239=""),0,$G239*IF($F239="Aylık",MAX(0,(YEAR(MIN(IF($E239="",TODAY()-8,$E239),TODAY()-8))-YEAR($D239))*12+MONTH(MIN(IF($E239="",TODAY()-8,$E239),TODAY()-8))-MONTH($D239)+IF(MIN(IF($E239="",TODAY()-8,$E239),TODAY()-8)&gt;=EOMONTH(MIN(IF($E239="",TODAY()-8,$E239),TODAY()-8),0),1,0)),MAX(0,INT((MIN(IF($E239="",TODAY()-8,$E239),TODAY()-8)-($D239+MOD(SISTEM!$F$8-WEEKDAY($D239,2),7)))/7)+1)))</f>
        <v/>
      </c>
      <c r="K239" s="227">
        <f>IF(OR($C239="",$D239="",$G239="",$F239=""),0,$G239*IF($F239="Aylık",MAX(0,(YEAR(MIN(IF($E239="",TODAY()-15,$E239),TODAY()-15))-YEAR($D239))*12+MONTH(MIN(IF($E239="",TODAY()-15,$E239),TODAY()-15))-MONTH($D239)+IF(MIN(IF($E239="",TODAY()-15,$E239),TODAY()-15)&gt;=EOMONTH(MIN(IF($E239="",TODAY()-15,$E239),TODAY()-15),0),1,0)),MAX(0,INT((MIN(IF($E239="",TODAY()-15,$E239),TODAY()-15)-($D239+MOD(SISTEM!$F$8-WEEKDAY($D239,2),7)))/7)+1)))</f>
        <v/>
      </c>
      <c r="L239" s="227">
        <f>IF(OR($C239="",$D239="",$G239="",$F239=""),0,$G239*IF($F239="Aylık",MAX(0,(YEAR(MIN(IF($E239="",TODAY()-29,$E239),TODAY()-29))-YEAR($D239))*12+MONTH(MIN(IF($E239="",TODAY()-29,$E239),TODAY()-29))-MONTH($D239)+IF(MIN(IF($E239="",TODAY()-29,$E239),TODAY()-29)&gt;=EOMONTH(MIN(IF($E239="",TODAY()-29,$E239),TODAY()-29),0),1,0)),MAX(0,INT((MIN(IF($E239="",TODAY()-29,$E239),TODAY()-29)-($D239+MOD(SISTEM!$F$8-WEEKDAY($D239,2),7)))/7)+1)))</f>
        <v/>
      </c>
      <c r="M239" s="228">
        <f>IF($G239&gt;0,$I239/$G239,0)</f>
        <v/>
      </c>
      <c r="N239" s="113">
        <f>IF($C239="","",IF($B239="TANIMSIZ MÜŞTERİ","TANIMSIZ MÜŞTERİ",IF($F239="","MODEL SEÇİN",IF(OR($D239="",$G239&lt;=0),"EKSİK",IF(AND($E239&lt;&gt;"",$E239&lt;$D239),"TARİH HATASI",IF($H239="Pasif","KAPALI DÖNEM","UYGUN"))))))</f>
        <v/>
      </c>
      <c r="O239" s="229">
        <f>IF(OR($C239="",$D239="",$F239=""),"",IF($F239="Aylık",EOMONTH($D239,0),($D239+MOD(SISTEM!$F$8-WEEKDAY($D239,2),7))))</f>
        <v/>
      </c>
      <c r="P239" s="109" t="n"/>
      <c r="Q239" s="6" t="n"/>
      <c r="R239" s="6" t="n"/>
      <c r="S239" s="3">
        <f>IF($B239="","",$B239&amp;"|"&amp;COUNTIFS($B$7:$B239,$B239))</f>
        <v/>
      </c>
    </row>
    <row r="240">
      <c r="A240" s="6" t="n"/>
      <c r="B240" s="113">
        <f>IF($C240="","",IFERROR(INDEX(MUSTERILER!$B$7:$B$106,MATCH($C240,MUSTERILER!$C$7:$C$106,0)),IFERROR(INDEX(MUSTERILER!$B$7:$B$106,MATCH($C240,MUSTERILER!$B$7:$B$106,0)),IFERROR(INDEX(MUSTERILER!$B$7:$B$106,MATCH($C240&amp;"*",MUSTERILER!$C$7:$C$106,0)),"TANIMSIZ MÜŞTERİ"))))</f>
        <v/>
      </c>
      <c r="C240" s="109" t="n"/>
      <c r="D240" s="225" t="n"/>
      <c r="E240" s="225" t="n"/>
      <c r="F240" s="108" t="n"/>
      <c r="G240" s="226" t="n"/>
      <c r="H240" s="108" t="n"/>
      <c r="I240" s="227">
        <f>IF(OR($C240="",$D240="",$G240="",$F240=""),0,$G240*IF($F240="Aylık",MAX(0,(YEAR(MIN(IF($E240="",TODAY(),$E240),TODAY()))-YEAR($D240))*12+MONTH(MIN(IF($E240="",TODAY(),$E240),TODAY()))-MONTH($D240)+IF(MIN(IF($E240="",TODAY(),$E240),TODAY())&gt;=EOMONTH(MIN(IF($E240="",TODAY(),$E240),TODAY()),0),1,0)),MAX(0,INT((MIN(IF($E240="",TODAY(),$E240),TODAY())-($D240+MOD(SISTEM!$F$8-WEEKDAY($D240,2),7)))/7)+1)))</f>
        <v/>
      </c>
      <c r="J240" s="227">
        <f>IF(OR($C240="",$D240="",$G240="",$F240=""),0,$G240*IF($F240="Aylık",MAX(0,(YEAR(MIN(IF($E240="",TODAY()-8,$E240),TODAY()-8))-YEAR($D240))*12+MONTH(MIN(IF($E240="",TODAY()-8,$E240),TODAY()-8))-MONTH($D240)+IF(MIN(IF($E240="",TODAY()-8,$E240),TODAY()-8)&gt;=EOMONTH(MIN(IF($E240="",TODAY()-8,$E240),TODAY()-8),0),1,0)),MAX(0,INT((MIN(IF($E240="",TODAY()-8,$E240),TODAY()-8)-($D240+MOD(SISTEM!$F$8-WEEKDAY($D240,2),7)))/7)+1)))</f>
        <v/>
      </c>
      <c r="K240" s="227">
        <f>IF(OR($C240="",$D240="",$G240="",$F240=""),0,$G240*IF($F240="Aylık",MAX(0,(YEAR(MIN(IF($E240="",TODAY()-15,$E240),TODAY()-15))-YEAR($D240))*12+MONTH(MIN(IF($E240="",TODAY()-15,$E240),TODAY()-15))-MONTH($D240)+IF(MIN(IF($E240="",TODAY()-15,$E240),TODAY()-15)&gt;=EOMONTH(MIN(IF($E240="",TODAY()-15,$E240),TODAY()-15),0),1,0)),MAX(0,INT((MIN(IF($E240="",TODAY()-15,$E240),TODAY()-15)-($D240+MOD(SISTEM!$F$8-WEEKDAY($D240,2),7)))/7)+1)))</f>
        <v/>
      </c>
      <c r="L240" s="227">
        <f>IF(OR($C240="",$D240="",$G240="",$F240=""),0,$G240*IF($F240="Aylık",MAX(0,(YEAR(MIN(IF($E240="",TODAY()-29,$E240),TODAY()-29))-YEAR($D240))*12+MONTH(MIN(IF($E240="",TODAY()-29,$E240),TODAY()-29))-MONTH($D240)+IF(MIN(IF($E240="",TODAY()-29,$E240),TODAY()-29)&gt;=EOMONTH(MIN(IF($E240="",TODAY()-29,$E240),TODAY()-29),0),1,0)),MAX(0,INT((MIN(IF($E240="",TODAY()-29,$E240),TODAY()-29)-($D240+MOD(SISTEM!$F$8-WEEKDAY($D240,2),7)))/7)+1)))</f>
        <v/>
      </c>
      <c r="M240" s="228">
        <f>IF($G240&gt;0,$I240/$G240,0)</f>
        <v/>
      </c>
      <c r="N240" s="113">
        <f>IF($C240="","",IF($B240="TANIMSIZ MÜŞTERİ","TANIMSIZ MÜŞTERİ",IF($F240="","MODEL SEÇİN",IF(OR($D240="",$G240&lt;=0),"EKSİK",IF(AND($E240&lt;&gt;"",$E240&lt;$D240),"TARİH HATASI",IF($H240="Pasif","KAPALI DÖNEM","UYGUN"))))))</f>
        <v/>
      </c>
      <c r="O240" s="229">
        <f>IF(OR($C240="",$D240="",$F240=""),"",IF($F240="Aylık",EOMONTH($D240,0),($D240+MOD(SISTEM!$F$8-WEEKDAY($D240,2),7))))</f>
        <v/>
      </c>
      <c r="P240" s="109" t="n"/>
      <c r="Q240" s="6" t="n"/>
      <c r="R240" s="6" t="n"/>
      <c r="S240" s="3">
        <f>IF($B240="","",$B240&amp;"|"&amp;COUNTIFS($B$7:$B240,$B240))</f>
        <v/>
      </c>
    </row>
    <row r="241">
      <c r="A241" s="6" t="n"/>
      <c r="B241" s="113">
        <f>IF($C241="","",IFERROR(INDEX(MUSTERILER!$B$7:$B$106,MATCH($C241,MUSTERILER!$C$7:$C$106,0)),IFERROR(INDEX(MUSTERILER!$B$7:$B$106,MATCH($C241,MUSTERILER!$B$7:$B$106,0)),IFERROR(INDEX(MUSTERILER!$B$7:$B$106,MATCH($C241&amp;"*",MUSTERILER!$C$7:$C$106,0)),"TANIMSIZ MÜŞTERİ"))))</f>
        <v/>
      </c>
      <c r="C241" s="109" t="n"/>
      <c r="D241" s="225" t="n"/>
      <c r="E241" s="225" t="n"/>
      <c r="F241" s="108" t="n"/>
      <c r="G241" s="226" t="n"/>
      <c r="H241" s="108" t="n"/>
      <c r="I241" s="227">
        <f>IF(OR($C241="",$D241="",$G241="",$F241=""),0,$G241*IF($F241="Aylık",MAX(0,(YEAR(MIN(IF($E241="",TODAY(),$E241),TODAY()))-YEAR($D241))*12+MONTH(MIN(IF($E241="",TODAY(),$E241),TODAY()))-MONTH($D241)+IF(MIN(IF($E241="",TODAY(),$E241),TODAY())&gt;=EOMONTH(MIN(IF($E241="",TODAY(),$E241),TODAY()),0),1,0)),MAX(0,INT((MIN(IF($E241="",TODAY(),$E241),TODAY())-($D241+MOD(SISTEM!$F$8-WEEKDAY($D241,2),7)))/7)+1)))</f>
        <v/>
      </c>
      <c r="J241" s="227">
        <f>IF(OR($C241="",$D241="",$G241="",$F241=""),0,$G241*IF($F241="Aylık",MAX(0,(YEAR(MIN(IF($E241="",TODAY()-8,$E241),TODAY()-8))-YEAR($D241))*12+MONTH(MIN(IF($E241="",TODAY()-8,$E241),TODAY()-8))-MONTH($D241)+IF(MIN(IF($E241="",TODAY()-8,$E241),TODAY()-8)&gt;=EOMONTH(MIN(IF($E241="",TODAY()-8,$E241),TODAY()-8),0),1,0)),MAX(0,INT((MIN(IF($E241="",TODAY()-8,$E241),TODAY()-8)-($D241+MOD(SISTEM!$F$8-WEEKDAY($D241,2),7)))/7)+1)))</f>
        <v/>
      </c>
      <c r="K241" s="227">
        <f>IF(OR($C241="",$D241="",$G241="",$F241=""),0,$G241*IF($F241="Aylık",MAX(0,(YEAR(MIN(IF($E241="",TODAY()-15,$E241),TODAY()-15))-YEAR($D241))*12+MONTH(MIN(IF($E241="",TODAY()-15,$E241),TODAY()-15))-MONTH($D241)+IF(MIN(IF($E241="",TODAY()-15,$E241),TODAY()-15)&gt;=EOMONTH(MIN(IF($E241="",TODAY()-15,$E241),TODAY()-15),0),1,0)),MAX(0,INT((MIN(IF($E241="",TODAY()-15,$E241),TODAY()-15)-($D241+MOD(SISTEM!$F$8-WEEKDAY($D241,2),7)))/7)+1)))</f>
        <v/>
      </c>
      <c r="L241" s="227">
        <f>IF(OR($C241="",$D241="",$G241="",$F241=""),0,$G241*IF($F241="Aylık",MAX(0,(YEAR(MIN(IF($E241="",TODAY()-29,$E241),TODAY()-29))-YEAR($D241))*12+MONTH(MIN(IF($E241="",TODAY()-29,$E241),TODAY()-29))-MONTH($D241)+IF(MIN(IF($E241="",TODAY()-29,$E241),TODAY()-29)&gt;=EOMONTH(MIN(IF($E241="",TODAY()-29,$E241),TODAY()-29),0),1,0)),MAX(0,INT((MIN(IF($E241="",TODAY()-29,$E241),TODAY()-29)-($D241+MOD(SISTEM!$F$8-WEEKDAY($D241,2),7)))/7)+1)))</f>
        <v/>
      </c>
      <c r="M241" s="228">
        <f>IF($G241&gt;0,$I241/$G241,0)</f>
        <v/>
      </c>
      <c r="N241" s="113">
        <f>IF($C241="","",IF($B241="TANIMSIZ MÜŞTERİ","TANIMSIZ MÜŞTERİ",IF($F241="","MODEL SEÇİN",IF(OR($D241="",$G241&lt;=0),"EKSİK",IF(AND($E241&lt;&gt;"",$E241&lt;$D241),"TARİH HATASI",IF($H241="Pasif","KAPALI DÖNEM","UYGUN"))))))</f>
        <v/>
      </c>
      <c r="O241" s="229">
        <f>IF(OR($C241="",$D241="",$F241=""),"",IF($F241="Aylık",EOMONTH($D241,0),($D241+MOD(SISTEM!$F$8-WEEKDAY($D241,2),7))))</f>
        <v/>
      </c>
      <c r="P241" s="109" t="n"/>
      <c r="Q241" s="6" t="n"/>
      <c r="R241" s="6" t="n"/>
      <c r="S241" s="3">
        <f>IF($B241="","",$B241&amp;"|"&amp;COUNTIFS($B$7:$B241,$B241))</f>
        <v/>
      </c>
    </row>
    <row r="242">
      <c r="A242" s="6" t="n"/>
      <c r="B242" s="113">
        <f>IF($C242="","",IFERROR(INDEX(MUSTERILER!$B$7:$B$106,MATCH($C242,MUSTERILER!$C$7:$C$106,0)),IFERROR(INDEX(MUSTERILER!$B$7:$B$106,MATCH($C242,MUSTERILER!$B$7:$B$106,0)),IFERROR(INDEX(MUSTERILER!$B$7:$B$106,MATCH($C242&amp;"*",MUSTERILER!$C$7:$C$106,0)),"TANIMSIZ MÜŞTERİ"))))</f>
        <v/>
      </c>
      <c r="C242" s="109" t="n"/>
      <c r="D242" s="225" t="n"/>
      <c r="E242" s="225" t="n"/>
      <c r="F242" s="108" t="n"/>
      <c r="G242" s="226" t="n"/>
      <c r="H242" s="108" t="n"/>
      <c r="I242" s="227">
        <f>IF(OR($C242="",$D242="",$G242="",$F242=""),0,$G242*IF($F242="Aylık",MAX(0,(YEAR(MIN(IF($E242="",TODAY(),$E242),TODAY()))-YEAR($D242))*12+MONTH(MIN(IF($E242="",TODAY(),$E242),TODAY()))-MONTH($D242)+IF(MIN(IF($E242="",TODAY(),$E242),TODAY())&gt;=EOMONTH(MIN(IF($E242="",TODAY(),$E242),TODAY()),0),1,0)),MAX(0,INT((MIN(IF($E242="",TODAY(),$E242),TODAY())-($D242+MOD(SISTEM!$F$8-WEEKDAY($D242,2),7)))/7)+1)))</f>
        <v/>
      </c>
      <c r="J242" s="227">
        <f>IF(OR($C242="",$D242="",$G242="",$F242=""),0,$G242*IF($F242="Aylık",MAX(0,(YEAR(MIN(IF($E242="",TODAY()-8,$E242),TODAY()-8))-YEAR($D242))*12+MONTH(MIN(IF($E242="",TODAY()-8,$E242),TODAY()-8))-MONTH($D242)+IF(MIN(IF($E242="",TODAY()-8,$E242),TODAY()-8)&gt;=EOMONTH(MIN(IF($E242="",TODAY()-8,$E242),TODAY()-8),0),1,0)),MAX(0,INT((MIN(IF($E242="",TODAY()-8,$E242),TODAY()-8)-($D242+MOD(SISTEM!$F$8-WEEKDAY($D242,2),7)))/7)+1)))</f>
        <v/>
      </c>
      <c r="K242" s="227">
        <f>IF(OR($C242="",$D242="",$G242="",$F242=""),0,$G242*IF($F242="Aylık",MAX(0,(YEAR(MIN(IF($E242="",TODAY()-15,$E242),TODAY()-15))-YEAR($D242))*12+MONTH(MIN(IF($E242="",TODAY()-15,$E242),TODAY()-15))-MONTH($D242)+IF(MIN(IF($E242="",TODAY()-15,$E242),TODAY()-15)&gt;=EOMONTH(MIN(IF($E242="",TODAY()-15,$E242),TODAY()-15),0),1,0)),MAX(0,INT((MIN(IF($E242="",TODAY()-15,$E242),TODAY()-15)-($D242+MOD(SISTEM!$F$8-WEEKDAY($D242,2),7)))/7)+1)))</f>
        <v/>
      </c>
      <c r="L242" s="227">
        <f>IF(OR($C242="",$D242="",$G242="",$F242=""),0,$G242*IF($F242="Aylık",MAX(0,(YEAR(MIN(IF($E242="",TODAY()-29,$E242),TODAY()-29))-YEAR($D242))*12+MONTH(MIN(IF($E242="",TODAY()-29,$E242),TODAY()-29))-MONTH($D242)+IF(MIN(IF($E242="",TODAY()-29,$E242),TODAY()-29)&gt;=EOMONTH(MIN(IF($E242="",TODAY()-29,$E242),TODAY()-29),0),1,0)),MAX(0,INT((MIN(IF($E242="",TODAY()-29,$E242),TODAY()-29)-($D242+MOD(SISTEM!$F$8-WEEKDAY($D242,2),7)))/7)+1)))</f>
        <v/>
      </c>
      <c r="M242" s="228">
        <f>IF($G242&gt;0,$I242/$G242,0)</f>
        <v/>
      </c>
      <c r="N242" s="113">
        <f>IF($C242="","",IF($B242="TANIMSIZ MÜŞTERİ","TANIMSIZ MÜŞTERİ",IF($F242="","MODEL SEÇİN",IF(OR($D242="",$G242&lt;=0),"EKSİK",IF(AND($E242&lt;&gt;"",$E242&lt;$D242),"TARİH HATASI",IF($H242="Pasif","KAPALI DÖNEM","UYGUN"))))))</f>
        <v/>
      </c>
      <c r="O242" s="229">
        <f>IF(OR($C242="",$D242="",$F242=""),"",IF($F242="Aylık",EOMONTH($D242,0),($D242+MOD(SISTEM!$F$8-WEEKDAY($D242,2),7))))</f>
        <v/>
      </c>
      <c r="P242" s="109" t="n"/>
      <c r="Q242" s="6" t="n"/>
      <c r="R242" s="6" t="n"/>
      <c r="S242" s="3">
        <f>IF($B242="","",$B242&amp;"|"&amp;COUNTIFS($B$7:$B242,$B242))</f>
        <v/>
      </c>
    </row>
    <row r="243">
      <c r="A243" s="6" t="n"/>
      <c r="B243" s="113">
        <f>IF($C243="","",IFERROR(INDEX(MUSTERILER!$B$7:$B$106,MATCH($C243,MUSTERILER!$C$7:$C$106,0)),IFERROR(INDEX(MUSTERILER!$B$7:$B$106,MATCH($C243,MUSTERILER!$B$7:$B$106,0)),IFERROR(INDEX(MUSTERILER!$B$7:$B$106,MATCH($C243&amp;"*",MUSTERILER!$C$7:$C$106,0)),"TANIMSIZ MÜŞTERİ"))))</f>
        <v/>
      </c>
      <c r="C243" s="109" t="n"/>
      <c r="D243" s="225" t="n"/>
      <c r="E243" s="225" t="n"/>
      <c r="F243" s="108" t="n"/>
      <c r="G243" s="226" t="n"/>
      <c r="H243" s="108" t="n"/>
      <c r="I243" s="227">
        <f>IF(OR($C243="",$D243="",$G243="",$F243=""),0,$G243*IF($F243="Aylık",MAX(0,(YEAR(MIN(IF($E243="",TODAY(),$E243),TODAY()))-YEAR($D243))*12+MONTH(MIN(IF($E243="",TODAY(),$E243),TODAY()))-MONTH($D243)+IF(MIN(IF($E243="",TODAY(),$E243),TODAY())&gt;=EOMONTH(MIN(IF($E243="",TODAY(),$E243),TODAY()),0),1,0)),MAX(0,INT((MIN(IF($E243="",TODAY(),$E243),TODAY())-($D243+MOD(SISTEM!$F$8-WEEKDAY($D243,2),7)))/7)+1)))</f>
        <v/>
      </c>
      <c r="J243" s="227">
        <f>IF(OR($C243="",$D243="",$G243="",$F243=""),0,$G243*IF($F243="Aylık",MAX(0,(YEAR(MIN(IF($E243="",TODAY()-8,$E243),TODAY()-8))-YEAR($D243))*12+MONTH(MIN(IF($E243="",TODAY()-8,$E243),TODAY()-8))-MONTH($D243)+IF(MIN(IF($E243="",TODAY()-8,$E243),TODAY()-8)&gt;=EOMONTH(MIN(IF($E243="",TODAY()-8,$E243),TODAY()-8),0),1,0)),MAX(0,INT((MIN(IF($E243="",TODAY()-8,$E243),TODAY()-8)-($D243+MOD(SISTEM!$F$8-WEEKDAY($D243,2),7)))/7)+1)))</f>
        <v/>
      </c>
      <c r="K243" s="227">
        <f>IF(OR($C243="",$D243="",$G243="",$F243=""),0,$G243*IF($F243="Aylık",MAX(0,(YEAR(MIN(IF($E243="",TODAY()-15,$E243),TODAY()-15))-YEAR($D243))*12+MONTH(MIN(IF($E243="",TODAY()-15,$E243),TODAY()-15))-MONTH($D243)+IF(MIN(IF($E243="",TODAY()-15,$E243),TODAY()-15)&gt;=EOMONTH(MIN(IF($E243="",TODAY()-15,$E243),TODAY()-15),0),1,0)),MAX(0,INT((MIN(IF($E243="",TODAY()-15,$E243),TODAY()-15)-($D243+MOD(SISTEM!$F$8-WEEKDAY($D243,2),7)))/7)+1)))</f>
        <v/>
      </c>
      <c r="L243" s="227">
        <f>IF(OR($C243="",$D243="",$G243="",$F243=""),0,$G243*IF($F243="Aylık",MAX(0,(YEAR(MIN(IF($E243="",TODAY()-29,$E243),TODAY()-29))-YEAR($D243))*12+MONTH(MIN(IF($E243="",TODAY()-29,$E243),TODAY()-29))-MONTH($D243)+IF(MIN(IF($E243="",TODAY()-29,$E243),TODAY()-29)&gt;=EOMONTH(MIN(IF($E243="",TODAY()-29,$E243),TODAY()-29),0),1,0)),MAX(0,INT((MIN(IF($E243="",TODAY()-29,$E243),TODAY()-29)-($D243+MOD(SISTEM!$F$8-WEEKDAY($D243,2),7)))/7)+1)))</f>
        <v/>
      </c>
      <c r="M243" s="228">
        <f>IF($G243&gt;0,$I243/$G243,0)</f>
        <v/>
      </c>
      <c r="N243" s="113">
        <f>IF($C243="","",IF($B243="TANIMSIZ MÜŞTERİ","TANIMSIZ MÜŞTERİ",IF($F243="","MODEL SEÇİN",IF(OR($D243="",$G243&lt;=0),"EKSİK",IF(AND($E243&lt;&gt;"",$E243&lt;$D243),"TARİH HATASI",IF($H243="Pasif","KAPALI DÖNEM","UYGUN"))))))</f>
        <v/>
      </c>
      <c r="O243" s="229">
        <f>IF(OR($C243="",$D243="",$F243=""),"",IF($F243="Aylık",EOMONTH($D243,0),($D243+MOD(SISTEM!$F$8-WEEKDAY($D243,2),7))))</f>
        <v/>
      </c>
      <c r="P243" s="109" t="n"/>
      <c r="Q243" s="6" t="n"/>
      <c r="R243" s="6" t="n"/>
      <c r="S243" s="3">
        <f>IF($B243="","",$B243&amp;"|"&amp;COUNTIFS($B$7:$B243,$B243))</f>
        <v/>
      </c>
    </row>
    <row r="244">
      <c r="A244" s="6" t="n"/>
      <c r="B244" s="113">
        <f>IF($C244="","",IFERROR(INDEX(MUSTERILER!$B$7:$B$106,MATCH($C244,MUSTERILER!$C$7:$C$106,0)),IFERROR(INDEX(MUSTERILER!$B$7:$B$106,MATCH($C244,MUSTERILER!$B$7:$B$106,0)),IFERROR(INDEX(MUSTERILER!$B$7:$B$106,MATCH($C244&amp;"*",MUSTERILER!$C$7:$C$106,0)),"TANIMSIZ MÜŞTERİ"))))</f>
        <v/>
      </c>
      <c r="C244" s="109" t="n"/>
      <c r="D244" s="225" t="n"/>
      <c r="E244" s="225" t="n"/>
      <c r="F244" s="108" t="n"/>
      <c r="G244" s="226" t="n"/>
      <c r="H244" s="108" t="n"/>
      <c r="I244" s="227">
        <f>IF(OR($C244="",$D244="",$G244="",$F244=""),0,$G244*IF($F244="Aylık",MAX(0,(YEAR(MIN(IF($E244="",TODAY(),$E244),TODAY()))-YEAR($D244))*12+MONTH(MIN(IF($E244="",TODAY(),$E244),TODAY()))-MONTH($D244)+IF(MIN(IF($E244="",TODAY(),$E244),TODAY())&gt;=EOMONTH(MIN(IF($E244="",TODAY(),$E244),TODAY()),0),1,0)),MAX(0,INT((MIN(IF($E244="",TODAY(),$E244),TODAY())-($D244+MOD(SISTEM!$F$8-WEEKDAY($D244,2),7)))/7)+1)))</f>
        <v/>
      </c>
      <c r="J244" s="227">
        <f>IF(OR($C244="",$D244="",$G244="",$F244=""),0,$G244*IF($F244="Aylık",MAX(0,(YEAR(MIN(IF($E244="",TODAY()-8,$E244),TODAY()-8))-YEAR($D244))*12+MONTH(MIN(IF($E244="",TODAY()-8,$E244),TODAY()-8))-MONTH($D244)+IF(MIN(IF($E244="",TODAY()-8,$E244),TODAY()-8)&gt;=EOMONTH(MIN(IF($E244="",TODAY()-8,$E244),TODAY()-8),0),1,0)),MAX(0,INT((MIN(IF($E244="",TODAY()-8,$E244),TODAY()-8)-($D244+MOD(SISTEM!$F$8-WEEKDAY($D244,2),7)))/7)+1)))</f>
        <v/>
      </c>
      <c r="K244" s="227">
        <f>IF(OR($C244="",$D244="",$G244="",$F244=""),0,$G244*IF($F244="Aylık",MAX(0,(YEAR(MIN(IF($E244="",TODAY()-15,$E244),TODAY()-15))-YEAR($D244))*12+MONTH(MIN(IF($E244="",TODAY()-15,$E244),TODAY()-15))-MONTH($D244)+IF(MIN(IF($E244="",TODAY()-15,$E244),TODAY()-15)&gt;=EOMONTH(MIN(IF($E244="",TODAY()-15,$E244),TODAY()-15),0),1,0)),MAX(0,INT((MIN(IF($E244="",TODAY()-15,$E244),TODAY()-15)-($D244+MOD(SISTEM!$F$8-WEEKDAY($D244,2),7)))/7)+1)))</f>
        <v/>
      </c>
      <c r="L244" s="227">
        <f>IF(OR($C244="",$D244="",$G244="",$F244=""),0,$G244*IF($F244="Aylık",MAX(0,(YEAR(MIN(IF($E244="",TODAY()-29,$E244),TODAY()-29))-YEAR($D244))*12+MONTH(MIN(IF($E244="",TODAY()-29,$E244),TODAY()-29))-MONTH($D244)+IF(MIN(IF($E244="",TODAY()-29,$E244),TODAY()-29)&gt;=EOMONTH(MIN(IF($E244="",TODAY()-29,$E244),TODAY()-29),0),1,0)),MAX(0,INT((MIN(IF($E244="",TODAY()-29,$E244),TODAY()-29)-($D244+MOD(SISTEM!$F$8-WEEKDAY($D244,2),7)))/7)+1)))</f>
        <v/>
      </c>
      <c r="M244" s="228">
        <f>IF($G244&gt;0,$I244/$G244,0)</f>
        <v/>
      </c>
      <c r="N244" s="113">
        <f>IF($C244="","",IF($B244="TANIMSIZ MÜŞTERİ","TANIMSIZ MÜŞTERİ",IF($F244="","MODEL SEÇİN",IF(OR($D244="",$G244&lt;=0),"EKSİK",IF(AND($E244&lt;&gt;"",$E244&lt;$D244),"TARİH HATASI",IF($H244="Pasif","KAPALI DÖNEM","UYGUN"))))))</f>
        <v/>
      </c>
      <c r="O244" s="229">
        <f>IF(OR($C244="",$D244="",$F244=""),"",IF($F244="Aylık",EOMONTH($D244,0),($D244+MOD(SISTEM!$F$8-WEEKDAY($D244,2),7))))</f>
        <v/>
      </c>
      <c r="P244" s="109" t="n"/>
      <c r="Q244" s="6" t="n"/>
      <c r="R244" s="6" t="n"/>
      <c r="S244" s="3">
        <f>IF($B244="","",$B244&amp;"|"&amp;COUNTIFS($B$7:$B244,$B244))</f>
        <v/>
      </c>
    </row>
    <row r="245">
      <c r="A245" s="6" t="n"/>
      <c r="B245" s="113">
        <f>IF($C245="","",IFERROR(INDEX(MUSTERILER!$B$7:$B$106,MATCH($C245,MUSTERILER!$C$7:$C$106,0)),IFERROR(INDEX(MUSTERILER!$B$7:$B$106,MATCH($C245,MUSTERILER!$B$7:$B$106,0)),IFERROR(INDEX(MUSTERILER!$B$7:$B$106,MATCH($C245&amp;"*",MUSTERILER!$C$7:$C$106,0)),"TANIMSIZ MÜŞTERİ"))))</f>
        <v/>
      </c>
      <c r="C245" s="109" t="n"/>
      <c r="D245" s="225" t="n"/>
      <c r="E245" s="225" t="n"/>
      <c r="F245" s="108" t="n"/>
      <c r="G245" s="226" t="n"/>
      <c r="H245" s="108" t="n"/>
      <c r="I245" s="227">
        <f>IF(OR($C245="",$D245="",$G245="",$F245=""),0,$G245*IF($F245="Aylık",MAX(0,(YEAR(MIN(IF($E245="",TODAY(),$E245),TODAY()))-YEAR($D245))*12+MONTH(MIN(IF($E245="",TODAY(),$E245),TODAY()))-MONTH($D245)+IF(MIN(IF($E245="",TODAY(),$E245),TODAY())&gt;=EOMONTH(MIN(IF($E245="",TODAY(),$E245),TODAY()),0),1,0)),MAX(0,INT((MIN(IF($E245="",TODAY(),$E245),TODAY())-($D245+MOD(SISTEM!$F$8-WEEKDAY($D245,2),7)))/7)+1)))</f>
        <v/>
      </c>
      <c r="J245" s="227">
        <f>IF(OR($C245="",$D245="",$G245="",$F245=""),0,$G245*IF($F245="Aylık",MAX(0,(YEAR(MIN(IF($E245="",TODAY()-8,$E245),TODAY()-8))-YEAR($D245))*12+MONTH(MIN(IF($E245="",TODAY()-8,$E245),TODAY()-8))-MONTH($D245)+IF(MIN(IF($E245="",TODAY()-8,$E245),TODAY()-8)&gt;=EOMONTH(MIN(IF($E245="",TODAY()-8,$E245),TODAY()-8),0),1,0)),MAX(0,INT((MIN(IF($E245="",TODAY()-8,$E245),TODAY()-8)-($D245+MOD(SISTEM!$F$8-WEEKDAY($D245,2),7)))/7)+1)))</f>
        <v/>
      </c>
      <c r="K245" s="227">
        <f>IF(OR($C245="",$D245="",$G245="",$F245=""),0,$G245*IF($F245="Aylık",MAX(0,(YEAR(MIN(IF($E245="",TODAY()-15,$E245),TODAY()-15))-YEAR($D245))*12+MONTH(MIN(IF($E245="",TODAY()-15,$E245),TODAY()-15))-MONTH($D245)+IF(MIN(IF($E245="",TODAY()-15,$E245),TODAY()-15)&gt;=EOMONTH(MIN(IF($E245="",TODAY()-15,$E245),TODAY()-15),0),1,0)),MAX(0,INT((MIN(IF($E245="",TODAY()-15,$E245),TODAY()-15)-($D245+MOD(SISTEM!$F$8-WEEKDAY($D245,2),7)))/7)+1)))</f>
        <v/>
      </c>
      <c r="L245" s="227">
        <f>IF(OR($C245="",$D245="",$G245="",$F245=""),0,$G245*IF($F245="Aylık",MAX(0,(YEAR(MIN(IF($E245="",TODAY()-29,$E245),TODAY()-29))-YEAR($D245))*12+MONTH(MIN(IF($E245="",TODAY()-29,$E245),TODAY()-29))-MONTH($D245)+IF(MIN(IF($E245="",TODAY()-29,$E245),TODAY()-29)&gt;=EOMONTH(MIN(IF($E245="",TODAY()-29,$E245),TODAY()-29),0),1,0)),MAX(0,INT((MIN(IF($E245="",TODAY()-29,$E245),TODAY()-29)-($D245+MOD(SISTEM!$F$8-WEEKDAY($D245,2),7)))/7)+1)))</f>
        <v/>
      </c>
      <c r="M245" s="228">
        <f>IF($G245&gt;0,$I245/$G245,0)</f>
        <v/>
      </c>
      <c r="N245" s="113">
        <f>IF($C245="","",IF($B245="TANIMSIZ MÜŞTERİ","TANIMSIZ MÜŞTERİ",IF($F245="","MODEL SEÇİN",IF(OR($D245="",$G245&lt;=0),"EKSİK",IF(AND($E245&lt;&gt;"",$E245&lt;$D245),"TARİH HATASI",IF($H245="Pasif","KAPALI DÖNEM","UYGUN"))))))</f>
        <v/>
      </c>
      <c r="O245" s="229">
        <f>IF(OR($C245="",$D245="",$F245=""),"",IF($F245="Aylık",EOMONTH($D245,0),($D245+MOD(SISTEM!$F$8-WEEKDAY($D245,2),7))))</f>
        <v/>
      </c>
      <c r="P245" s="109" t="n"/>
      <c r="Q245" s="6" t="n"/>
      <c r="R245" s="6" t="n"/>
      <c r="S245" s="3">
        <f>IF($B245="","",$B245&amp;"|"&amp;COUNTIFS($B$7:$B245,$B245))</f>
        <v/>
      </c>
    </row>
    <row r="246">
      <c r="A246" s="6" t="n"/>
      <c r="B246" s="113">
        <f>IF($C246="","",IFERROR(INDEX(MUSTERILER!$B$7:$B$106,MATCH($C246,MUSTERILER!$C$7:$C$106,0)),IFERROR(INDEX(MUSTERILER!$B$7:$B$106,MATCH($C246,MUSTERILER!$B$7:$B$106,0)),IFERROR(INDEX(MUSTERILER!$B$7:$B$106,MATCH($C246&amp;"*",MUSTERILER!$C$7:$C$106,0)),"TANIMSIZ MÜŞTERİ"))))</f>
        <v/>
      </c>
      <c r="C246" s="109" t="n"/>
      <c r="D246" s="225" t="n"/>
      <c r="E246" s="225" t="n"/>
      <c r="F246" s="108" t="n"/>
      <c r="G246" s="226" t="n"/>
      <c r="H246" s="108" t="n"/>
      <c r="I246" s="227">
        <f>IF(OR($C246="",$D246="",$G246="",$F246=""),0,$G246*IF($F246="Aylık",MAX(0,(YEAR(MIN(IF($E246="",TODAY(),$E246),TODAY()))-YEAR($D246))*12+MONTH(MIN(IF($E246="",TODAY(),$E246),TODAY()))-MONTH($D246)+IF(MIN(IF($E246="",TODAY(),$E246),TODAY())&gt;=EOMONTH(MIN(IF($E246="",TODAY(),$E246),TODAY()),0),1,0)),MAX(0,INT((MIN(IF($E246="",TODAY(),$E246),TODAY())-($D246+MOD(SISTEM!$F$8-WEEKDAY($D246,2),7)))/7)+1)))</f>
        <v/>
      </c>
      <c r="J246" s="227">
        <f>IF(OR($C246="",$D246="",$G246="",$F246=""),0,$G246*IF($F246="Aylık",MAX(0,(YEAR(MIN(IF($E246="",TODAY()-8,$E246),TODAY()-8))-YEAR($D246))*12+MONTH(MIN(IF($E246="",TODAY()-8,$E246),TODAY()-8))-MONTH($D246)+IF(MIN(IF($E246="",TODAY()-8,$E246),TODAY()-8)&gt;=EOMONTH(MIN(IF($E246="",TODAY()-8,$E246),TODAY()-8),0),1,0)),MAX(0,INT((MIN(IF($E246="",TODAY()-8,$E246),TODAY()-8)-($D246+MOD(SISTEM!$F$8-WEEKDAY($D246,2),7)))/7)+1)))</f>
        <v/>
      </c>
      <c r="K246" s="227">
        <f>IF(OR($C246="",$D246="",$G246="",$F246=""),0,$G246*IF($F246="Aylık",MAX(0,(YEAR(MIN(IF($E246="",TODAY()-15,$E246),TODAY()-15))-YEAR($D246))*12+MONTH(MIN(IF($E246="",TODAY()-15,$E246),TODAY()-15))-MONTH($D246)+IF(MIN(IF($E246="",TODAY()-15,$E246),TODAY()-15)&gt;=EOMONTH(MIN(IF($E246="",TODAY()-15,$E246),TODAY()-15),0),1,0)),MAX(0,INT((MIN(IF($E246="",TODAY()-15,$E246),TODAY()-15)-($D246+MOD(SISTEM!$F$8-WEEKDAY($D246,2),7)))/7)+1)))</f>
        <v/>
      </c>
      <c r="L246" s="227">
        <f>IF(OR($C246="",$D246="",$G246="",$F246=""),0,$G246*IF($F246="Aylık",MAX(0,(YEAR(MIN(IF($E246="",TODAY()-29,$E246),TODAY()-29))-YEAR($D246))*12+MONTH(MIN(IF($E246="",TODAY()-29,$E246),TODAY()-29))-MONTH($D246)+IF(MIN(IF($E246="",TODAY()-29,$E246),TODAY()-29)&gt;=EOMONTH(MIN(IF($E246="",TODAY()-29,$E246),TODAY()-29),0),1,0)),MAX(0,INT((MIN(IF($E246="",TODAY()-29,$E246),TODAY()-29)-($D246+MOD(SISTEM!$F$8-WEEKDAY($D246,2),7)))/7)+1)))</f>
        <v/>
      </c>
      <c r="M246" s="228">
        <f>IF($G246&gt;0,$I246/$G246,0)</f>
        <v/>
      </c>
      <c r="N246" s="113">
        <f>IF($C246="","",IF($B246="TANIMSIZ MÜŞTERİ","TANIMSIZ MÜŞTERİ",IF($F246="","MODEL SEÇİN",IF(OR($D246="",$G246&lt;=0),"EKSİK",IF(AND($E246&lt;&gt;"",$E246&lt;$D246),"TARİH HATASI",IF($H246="Pasif","KAPALI DÖNEM","UYGUN"))))))</f>
        <v/>
      </c>
      <c r="O246" s="229">
        <f>IF(OR($C246="",$D246="",$F246=""),"",IF($F246="Aylık",EOMONTH($D246,0),($D246+MOD(SISTEM!$F$8-WEEKDAY($D246,2),7))))</f>
        <v/>
      </c>
      <c r="P246" s="109" t="n"/>
      <c r="Q246" s="6" t="n"/>
      <c r="R246" s="6" t="n"/>
      <c r="S246" s="3">
        <f>IF($B246="","",$B246&amp;"|"&amp;COUNTIFS($B$7:$B246,$B246))</f>
        <v/>
      </c>
    </row>
    <row r="247">
      <c r="A247" s="6" t="n"/>
      <c r="B247" s="113">
        <f>IF($C247="","",IFERROR(INDEX(MUSTERILER!$B$7:$B$106,MATCH($C247,MUSTERILER!$C$7:$C$106,0)),IFERROR(INDEX(MUSTERILER!$B$7:$B$106,MATCH($C247,MUSTERILER!$B$7:$B$106,0)),IFERROR(INDEX(MUSTERILER!$B$7:$B$106,MATCH($C247&amp;"*",MUSTERILER!$C$7:$C$106,0)),"TANIMSIZ MÜŞTERİ"))))</f>
        <v/>
      </c>
      <c r="C247" s="109" t="n"/>
      <c r="D247" s="225" t="n"/>
      <c r="E247" s="225" t="n"/>
      <c r="F247" s="108" t="n"/>
      <c r="G247" s="226" t="n"/>
      <c r="H247" s="108" t="n"/>
      <c r="I247" s="227">
        <f>IF(OR($C247="",$D247="",$G247="",$F247=""),0,$G247*IF($F247="Aylık",MAX(0,(YEAR(MIN(IF($E247="",TODAY(),$E247),TODAY()))-YEAR($D247))*12+MONTH(MIN(IF($E247="",TODAY(),$E247),TODAY()))-MONTH($D247)+IF(MIN(IF($E247="",TODAY(),$E247),TODAY())&gt;=EOMONTH(MIN(IF($E247="",TODAY(),$E247),TODAY()),0),1,0)),MAX(0,INT((MIN(IF($E247="",TODAY(),$E247),TODAY())-($D247+MOD(SISTEM!$F$8-WEEKDAY($D247,2),7)))/7)+1)))</f>
        <v/>
      </c>
      <c r="J247" s="227">
        <f>IF(OR($C247="",$D247="",$G247="",$F247=""),0,$G247*IF($F247="Aylık",MAX(0,(YEAR(MIN(IF($E247="",TODAY()-8,$E247),TODAY()-8))-YEAR($D247))*12+MONTH(MIN(IF($E247="",TODAY()-8,$E247),TODAY()-8))-MONTH($D247)+IF(MIN(IF($E247="",TODAY()-8,$E247),TODAY()-8)&gt;=EOMONTH(MIN(IF($E247="",TODAY()-8,$E247),TODAY()-8),0),1,0)),MAX(0,INT((MIN(IF($E247="",TODAY()-8,$E247),TODAY()-8)-($D247+MOD(SISTEM!$F$8-WEEKDAY($D247,2),7)))/7)+1)))</f>
        <v/>
      </c>
      <c r="K247" s="227">
        <f>IF(OR($C247="",$D247="",$G247="",$F247=""),0,$G247*IF($F247="Aylık",MAX(0,(YEAR(MIN(IF($E247="",TODAY()-15,$E247),TODAY()-15))-YEAR($D247))*12+MONTH(MIN(IF($E247="",TODAY()-15,$E247),TODAY()-15))-MONTH($D247)+IF(MIN(IF($E247="",TODAY()-15,$E247),TODAY()-15)&gt;=EOMONTH(MIN(IF($E247="",TODAY()-15,$E247),TODAY()-15),0),1,0)),MAX(0,INT((MIN(IF($E247="",TODAY()-15,$E247),TODAY()-15)-($D247+MOD(SISTEM!$F$8-WEEKDAY($D247,2),7)))/7)+1)))</f>
        <v/>
      </c>
      <c r="L247" s="227">
        <f>IF(OR($C247="",$D247="",$G247="",$F247=""),0,$G247*IF($F247="Aylık",MAX(0,(YEAR(MIN(IF($E247="",TODAY()-29,$E247),TODAY()-29))-YEAR($D247))*12+MONTH(MIN(IF($E247="",TODAY()-29,$E247),TODAY()-29))-MONTH($D247)+IF(MIN(IF($E247="",TODAY()-29,$E247),TODAY()-29)&gt;=EOMONTH(MIN(IF($E247="",TODAY()-29,$E247),TODAY()-29),0),1,0)),MAX(0,INT((MIN(IF($E247="",TODAY()-29,$E247),TODAY()-29)-($D247+MOD(SISTEM!$F$8-WEEKDAY($D247,2),7)))/7)+1)))</f>
        <v/>
      </c>
      <c r="M247" s="228">
        <f>IF($G247&gt;0,$I247/$G247,0)</f>
        <v/>
      </c>
      <c r="N247" s="113">
        <f>IF($C247="","",IF($B247="TANIMSIZ MÜŞTERİ","TANIMSIZ MÜŞTERİ",IF($F247="","MODEL SEÇİN",IF(OR($D247="",$G247&lt;=0),"EKSİK",IF(AND($E247&lt;&gt;"",$E247&lt;$D247),"TARİH HATASI",IF($H247="Pasif","KAPALI DÖNEM","UYGUN"))))))</f>
        <v/>
      </c>
      <c r="O247" s="229">
        <f>IF(OR($C247="",$D247="",$F247=""),"",IF($F247="Aylık",EOMONTH($D247,0),($D247+MOD(SISTEM!$F$8-WEEKDAY($D247,2),7))))</f>
        <v/>
      </c>
      <c r="P247" s="109" t="n"/>
      <c r="Q247" s="6" t="n"/>
      <c r="R247" s="6" t="n"/>
      <c r="S247" s="3">
        <f>IF($B247="","",$B247&amp;"|"&amp;COUNTIFS($B$7:$B247,$B247))</f>
        <v/>
      </c>
    </row>
    <row r="248">
      <c r="A248" s="6" t="n"/>
      <c r="B248" s="113">
        <f>IF($C248="","",IFERROR(INDEX(MUSTERILER!$B$7:$B$106,MATCH($C248,MUSTERILER!$C$7:$C$106,0)),IFERROR(INDEX(MUSTERILER!$B$7:$B$106,MATCH($C248,MUSTERILER!$B$7:$B$106,0)),IFERROR(INDEX(MUSTERILER!$B$7:$B$106,MATCH($C248&amp;"*",MUSTERILER!$C$7:$C$106,0)),"TANIMSIZ MÜŞTERİ"))))</f>
        <v/>
      </c>
      <c r="C248" s="109" t="n"/>
      <c r="D248" s="225" t="n"/>
      <c r="E248" s="225" t="n"/>
      <c r="F248" s="108" t="n"/>
      <c r="G248" s="226" t="n"/>
      <c r="H248" s="108" t="n"/>
      <c r="I248" s="227">
        <f>IF(OR($C248="",$D248="",$G248="",$F248=""),0,$G248*IF($F248="Aylık",MAX(0,(YEAR(MIN(IF($E248="",TODAY(),$E248),TODAY()))-YEAR($D248))*12+MONTH(MIN(IF($E248="",TODAY(),$E248),TODAY()))-MONTH($D248)+IF(MIN(IF($E248="",TODAY(),$E248),TODAY())&gt;=EOMONTH(MIN(IF($E248="",TODAY(),$E248),TODAY()),0),1,0)),MAX(0,INT((MIN(IF($E248="",TODAY(),$E248),TODAY())-($D248+MOD(SISTEM!$F$8-WEEKDAY($D248,2),7)))/7)+1)))</f>
        <v/>
      </c>
      <c r="J248" s="227">
        <f>IF(OR($C248="",$D248="",$G248="",$F248=""),0,$G248*IF($F248="Aylık",MAX(0,(YEAR(MIN(IF($E248="",TODAY()-8,$E248),TODAY()-8))-YEAR($D248))*12+MONTH(MIN(IF($E248="",TODAY()-8,$E248),TODAY()-8))-MONTH($D248)+IF(MIN(IF($E248="",TODAY()-8,$E248),TODAY()-8)&gt;=EOMONTH(MIN(IF($E248="",TODAY()-8,$E248),TODAY()-8),0),1,0)),MAX(0,INT((MIN(IF($E248="",TODAY()-8,$E248),TODAY()-8)-($D248+MOD(SISTEM!$F$8-WEEKDAY($D248,2),7)))/7)+1)))</f>
        <v/>
      </c>
      <c r="K248" s="227">
        <f>IF(OR($C248="",$D248="",$G248="",$F248=""),0,$G248*IF($F248="Aylık",MAX(0,(YEAR(MIN(IF($E248="",TODAY()-15,$E248),TODAY()-15))-YEAR($D248))*12+MONTH(MIN(IF($E248="",TODAY()-15,$E248),TODAY()-15))-MONTH($D248)+IF(MIN(IF($E248="",TODAY()-15,$E248),TODAY()-15)&gt;=EOMONTH(MIN(IF($E248="",TODAY()-15,$E248),TODAY()-15),0),1,0)),MAX(0,INT((MIN(IF($E248="",TODAY()-15,$E248),TODAY()-15)-($D248+MOD(SISTEM!$F$8-WEEKDAY($D248,2),7)))/7)+1)))</f>
        <v/>
      </c>
      <c r="L248" s="227">
        <f>IF(OR($C248="",$D248="",$G248="",$F248=""),0,$G248*IF($F248="Aylık",MAX(0,(YEAR(MIN(IF($E248="",TODAY()-29,$E248),TODAY()-29))-YEAR($D248))*12+MONTH(MIN(IF($E248="",TODAY()-29,$E248),TODAY()-29))-MONTH($D248)+IF(MIN(IF($E248="",TODAY()-29,$E248),TODAY()-29)&gt;=EOMONTH(MIN(IF($E248="",TODAY()-29,$E248),TODAY()-29),0),1,0)),MAX(0,INT((MIN(IF($E248="",TODAY()-29,$E248),TODAY()-29)-($D248+MOD(SISTEM!$F$8-WEEKDAY($D248,2),7)))/7)+1)))</f>
        <v/>
      </c>
      <c r="M248" s="228">
        <f>IF($G248&gt;0,$I248/$G248,0)</f>
        <v/>
      </c>
      <c r="N248" s="113">
        <f>IF($C248="","",IF($B248="TANIMSIZ MÜŞTERİ","TANIMSIZ MÜŞTERİ",IF($F248="","MODEL SEÇİN",IF(OR($D248="",$G248&lt;=0),"EKSİK",IF(AND($E248&lt;&gt;"",$E248&lt;$D248),"TARİH HATASI",IF($H248="Pasif","KAPALI DÖNEM","UYGUN"))))))</f>
        <v/>
      </c>
      <c r="O248" s="229">
        <f>IF(OR($C248="",$D248="",$F248=""),"",IF($F248="Aylık",EOMONTH($D248,0),($D248+MOD(SISTEM!$F$8-WEEKDAY($D248,2),7))))</f>
        <v/>
      </c>
      <c r="P248" s="109" t="n"/>
      <c r="Q248" s="6" t="n"/>
      <c r="R248" s="6" t="n"/>
      <c r="S248" s="3">
        <f>IF($B248="","",$B248&amp;"|"&amp;COUNTIFS($B$7:$B248,$B248))</f>
        <v/>
      </c>
    </row>
    <row r="249">
      <c r="A249" s="6" t="n"/>
      <c r="B249" s="113">
        <f>IF($C249="","",IFERROR(INDEX(MUSTERILER!$B$7:$B$106,MATCH($C249,MUSTERILER!$C$7:$C$106,0)),IFERROR(INDEX(MUSTERILER!$B$7:$B$106,MATCH($C249,MUSTERILER!$B$7:$B$106,0)),IFERROR(INDEX(MUSTERILER!$B$7:$B$106,MATCH($C249&amp;"*",MUSTERILER!$C$7:$C$106,0)),"TANIMSIZ MÜŞTERİ"))))</f>
        <v/>
      </c>
      <c r="C249" s="109" t="n"/>
      <c r="D249" s="225" t="n"/>
      <c r="E249" s="225" t="n"/>
      <c r="F249" s="108" t="n"/>
      <c r="G249" s="226" t="n"/>
      <c r="H249" s="108" t="n"/>
      <c r="I249" s="227">
        <f>IF(OR($C249="",$D249="",$G249="",$F249=""),0,$G249*IF($F249="Aylık",MAX(0,(YEAR(MIN(IF($E249="",TODAY(),$E249),TODAY()))-YEAR($D249))*12+MONTH(MIN(IF($E249="",TODAY(),$E249),TODAY()))-MONTH($D249)+IF(MIN(IF($E249="",TODAY(),$E249),TODAY())&gt;=EOMONTH(MIN(IF($E249="",TODAY(),$E249),TODAY()),0),1,0)),MAX(0,INT((MIN(IF($E249="",TODAY(),$E249),TODAY())-($D249+MOD(SISTEM!$F$8-WEEKDAY($D249,2),7)))/7)+1)))</f>
        <v/>
      </c>
      <c r="J249" s="227">
        <f>IF(OR($C249="",$D249="",$G249="",$F249=""),0,$G249*IF($F249="Aylık",MAX(0,(YEAR(MIN(IF($E249="",TODAY()-8,$E249),TODAY()-8))-YEAR($D249))*12+MONTH(MIN(IF($E249="",TODAY()-8,$E249),TODAY()-8))-MONTH($D249)+IF(MIN(IF($E249="",TODAY()-8,$E249),TODAY()-8)&gt;=EOMONTH(MIN(IF($E249="",TODAY()-8,$E249),TODAY()-8),0),1,0)),MAX(0,INT((MIN(IF($E249="",TODAY()-8,$E249),TODAY()-8)-($D249+MOD(SISTEM!$F$8-WEEKDAY($D249,2),7)))/7)+1)))</f>
        <v/>
      </c>
      <c r="K249" s="227">
        <f>IF(OR($C249="",$D249="",$G249="",$F249=""),0,$G249*IF($F249="Aylık",MAX(0,(YEAR(MIN(IF($E249="",TODAY()-15,$E249),TODAY()-15))-YEAR($D249))*12+MONTH(MIN(IF($E249="",TODAY()-15,$E249),TODAY()-15))-MONTH($D249)+IF(MIN(IF($E249="",TODAY()-15,$E249),TODAY()-15)&gt;=EOMONTH(MIN(IF($E249="",TODAY()-15,$E249),TODAY()-15),0),1,0)),MAX(0,INT((MIN(IF($E249="",TODAY()-15,$E249),TODAY()-15)-($D249+MOD(SISTEM!$F$8-WEEKDAY($D249,2),7)))/7)+1)))</f>
        <v/>
      </c>
      <c r="L249" s="227">
        <f>IF(OR($C249="",$D249="",$G249="",$F249=""),0,$G249*IF($F249="Aylık",MAX(0,(YEAR(MIN(IF($E249="",TODAY()-29,$E249),TODAY()-29))-YEAR($D249))*12+MONTH(MIN(IF($E249="",TODAY()-29,$E249),TODAY()-29))-MONTH($D249)+IF(MIN(IF($E249="",TODAY()-29,$E249),TODAY()-29)&gt;=EOMONTH(MIN(IF($E249="",TODAY()-29,$E249),TODAY()-29),0),1,0)),MAX(0,INT((MIN(IF($E249="",TODAY()-29,$E249),TODAY()-29)-($D249+MOD(SISTEM!$F$8-WEEKDAY($D249,2),7)))/7)+1)))</f>
        <v/>
      </c>
      <c r="M249" s="228">
        <f>IF($G249&gt;0,$I249/$G249,0)</f>
        <v/>
      </c>
      <c r="N249" s="113">
        <f>IF($C249="","",IF($B249="TANIMSIZ MÜŞTERİ","TANIMSIZ MÜŞTERİ",IF($F249="","MODEL SEÇİN",IF(OR($D249="",$G249&lt;=0),"EKSİK",IF(AND($E249&lt;&gt;"",$E249&lt;$D249),"TARİH HATASI",IF($H249="Pasif","KAPALI DÖNEM","UYGUN"))))))</f>
        <v/>
      </c>
      <c r="O249" s="229">
        <f>IF(OR($C249="",$D249="",$F249=""),"",IF($F249="Aylık",EOMONTH($D249,0),($D249+MOD(SISTEM!$F$8-WEEKDAY($D249,2),7))))</f>
        <v/>
      </c>
      <c r="P249" s="109" t="n"/>
      <c r="Q249" s="6" t="n"/>
      <c r="R249" s="6" t="n"/>
      <c r="S249" s="3">
        <f>IF($B249="","",$B249&amp;"|"&amp;COUNTIFS($B$7:$B249,$B249))</f>
        <v/>
      </c>
    </row>
    <row r="250">
      <c r="A250" s="6" t="n"/>
      <c r="B250" s="113">
        <f>IF($C250="","",IFERROR(INDEX(MUSTERILER!$B$7:$B$106,MATCH($C250,MUSTERILER!$C$7:$C$106,0)),IFERROR(INDEX(MUSTERILER!$B$7:$B$106,MATCH($C250,MUSTERILER!$B$7:$B$106,0)),IFERROR(INDEX(MUSTERILER!$B$7:$B$106,MATCH($C250&amp;"*",MUSTERILER!$C$7:$C$106,0)),"TANIMSIZ MÜŞTERİ"))))</f>
        <v/>
      </c>
      <c r="C250" s="109" t="n"/>
      <c r="D250" s="225" t="n"/>
      <c r="E250" s="225" t="n"/>
      <c r="F250" s="108" t="n"/>
      <c r="G250" s="226" t="n"/>
      <c r="H250" s="108" t="n"/>
      <c r="I250" s="227">
        <f>IF(OR($C250="",$D250="",$G250="",$F250=""),0,$G250*IF($F250="Aylık",MAX(0,(YEAR(MIN(IF($E250="",TODAY(),$E250),TODAY()))-YEAR($D250))*12+MONTH(MIN(IF($E250="",TODAY(),$E250),TODAY()))-MONTH($D250)+IF(MIN(IF($E250="",TODAY(),$E250),TODAY())&gt;=EOMONTH(MIN(IF($E250="",TODAY(),$E250),TODAY()),0),1,0)),MAX(0,INT((MIN(IF($E250="",TODAY(),$E250),TODAY())-($D250+MOD(SISTEM!$F$8-WEEKDAY($D250,2),7)))/7)+1)))</f>
        <v/>
      </c>
      <c r="J250" s="227">
        <f>IF(OR($C250="",$D250="",$G250="",$F250=""),0,$G250*IF($F250="Aylık",MAX(0,(YEAR(MIN(IF($E250="",TODAY()-8,$E250),TODAY()-8))-YEAR($D250))*12+MONTH(MIN(IF($E250="",TODAY()-8,$E250),TODAY()-8))-MONTH($D250)+IF(MIN(IF($E250="",TODAY()-8,$E250),TODAY()-8)&gt;=EOMONTH(MIN(IF($E250="",TODAY()-8,$E250),TODAY()-8),0),1,0)),MAX(0,INT((MIN(IF($E250="",TODAY()-8,$E250),TODAY()-8)-($D250+MOD(SISTEM!$F$8-WEEKDAY($D250,2),7)))/7)+1)))</f>
        <v/>
      </c>
      <c r="K250" s="227">
        <f>IF(OR($C250="",$D250="",$G250="",$F250=""),0,$G250*IF($F250="Aylık",MAX(0,(YEAR(MIN(IF($E250="",TODAY()-15,$E250),TODAY()-15))-YEAR($D250))*12+MONTH(MIN(IF($E250="",TODAY()-15,$E250),TODAY()-15))-MONTH($D250)+IF(MIN(IF($E250="",TODAY()-15,$E250),TODAY()-15)&gt;=EOMONTH(MIN(IF($E250="",TODAY()-15,$E250),TODAY()-15),0),1,0)),MAX(0,INT((MIN(IF($E250="",TODAY()-15,$E250),TODAY()-15)-($D250+MOD(SISTEM!$F$8-WEEKDAY($D250,2),7)))/7)+1)))</f>
        <v/>
      </c>
      <c r="L250" s="227">
        <f>IF(OR($C250="",$D250="",$G250="",$F250=""),0,$G250*IF($F250="Aylık",MAX(0,(YEAR(MIN(IF($E250="",TODAY()-29,$E250),TODAY()-29))-YEAR($D250))*12+MONTH(MIN(IF($E250="",TODAY()-29,$E250),TODAY()-29))-MONTH($D250)+IF(MIN(IF($E250="",TODAY()-29,$E250),TODAY()-29)&gt;=EOMONTH(MIN(IF($E250="",TODAY()-29,$E250),TODAY()-29),0),1,0)),MAX(0,INT((MIN(IF($E250="",TODAY()-29,$E250),TODAY()-29)-($D250+MOD(SISTEM!$F$8-WEEKDAY($D250,2),7)))/7)+1)))</f>
        <v/>
      </c>
      <c r="M250" s="228">
        <f>IF($G250&gt;0,$I250/$G250,0)</f>
        <v/>
      </c>
      <c r="N250" s="113">
        <f>IF($C250="","",IF($B250="TANIMSIZ MÜŞTERİ","TANIMSIZ MÜŞTERİ",IF($F250="","MODEL SEÇİN",IF(OR($D250="",$G250&lt;=0),"EKSİK",IF(AND($E250&lt;&gt;"",$E250&lt;$D250),"TARİH HATASI",IF($H250="Pasif","KAPALI DÖNEM","UYGUN"))))))</f>
        <v/>
      </c>
      <c r="O250" s="229">
        <f>IF(OR($C250="",$D250="",$F250=""),"",IF($F250="Aylık",EOMONTH($D250,0),($D250+MOD(SISTEM!$F$8-WEEKDAY($D250,2),7))))</f>
        <v/>
      </c>
      <c r="P250" s="109" t="n"/>
      <c r="Q250" s="6" t="n"/>
      <c r="R250" s="6" t="n"/>
      <c r="S250" s="3">
        <f>IF($B250="","",$B250&amp;"|"&amp;COUNTIFS($B$7:$B250,$B250))</f>
        <v/>
      </c>
    </row>
    <row r="251">
      <c r="A251" s="6" t="n"/>
      <c r="B251" s="113">
        <f>IF($C251="","",IFERROR(INDEX(MUSTERILER!$B$7:$B$106,MATCH($C251,MUSTERILER!$C$7:$C$106,0)),IFERROR(INDEX(MUSTERILER!$B$7:$B$106,MATCH($C251,MUSTERILER!$B$7:$B$106,0)),IFERROR(INDEX(MUSTERILER!$B$7:$B$106,MATCH($C251&amp;"*",MUSTERILER!$C$7:$C$106,0)),"TANIMSIZ MÜŞTERİ"))))</f>
        <v/>
      </c>
      <c r="C251" s="109" t="n"/>
      <c r="D251" s="225" t="n"/>
      <c r="E251" s="225" t="n"/>
      <c r="F251" s="108" t="n"/>
      <c r="G251" s="226" t="n"/>
      <c r="H251" s="108" t="n"/>
      <c r="I251" s="227">
        <f>IF(OR($C251="",$D251="",$G251="",$F251=""),0,$G251*IF($F251="Aylık",MAX(0,(YEAR(MIN(IF($E251="",TODAY(),$E251),TODAY()))-YEAR($D251))*12+MONTH(MIN(IF($E251="",TODAY(),$E251),TODAY()))-MONTH($D251)+IF(MIN(IF($E251="",TODAY(),$E251),TODAY())&gt;=EOMONTH(MIN(IF($E251="",TODAY(),$E251),TODAY()),0),1,0)),MAX(0,INT((MIN(IF($E251="",TODAY(),$E251),TODAY())-($D251+MOD(SISTEM!$F$8-WEEKDAY($D251,2),7)))/7)+1)))</f>
        <v/>
      </c>
      <c r="J251" s="227">
        <f>IF(OR($C251="",$D251="",$G251="",$F251=""),0,$G251*IF($F251="Aylık",MAX(0,(YEAR(MIN(IF($E251="",TODAY()-8,$E251),TODAY()-8))-YEAR($D251))*12+MONTH(MIN(IF($E251="",TODAY()-8,$E251),TODAY()-8))-MONTH($D251)+IF(MIN(IF($E251="",TODAY()-8,$E251),TODAY()-8)&gt;=EOMONTH(MIN(IF($E251="",TODAY()-8,$E251),TODAY()-8),0),1,0)),MAX(0,INT((MIN(IF($E251="",TODAY()-8,$E251),TODAY()-8)-($D251+MOD(SISTEM!$F$8-WEEKDAY($D251,2),7)))/7)+1)))</f>
        <v/>
      </c>
      <c r="K251" s="227">
        <f>IF(OR($C251="",$D251="",$G251="",$F251=""),0,$G251*IF($F251="Aylık",MAX(0,(YEAR(MIN(IF($E251="",TODAY()-15,$E251),TODAY()-15))-YEAR($D251))*12+MONTH(MIN(IF($E251="",TODAY()-15,$E251),TODAY()-15))-MONTH($D251)+IF(MIN(IF($E251="",TODAY()-15,$E251),TODAY()-15)&gt;=EOMONTH(MIN(IF($E251="",TODAY()-15,$E251),TODAY()-15),0),1,0)),MAX(0,INT((MIN(IF($E251="",TODAY()-15,$E251),TODAY()-15)-($D251+MOD(SISTEM!$F$8-WEEKDAY($D251,2),7)))/7)+1)))</f>
        <v/>
      </c>
      <c r="L251" s="227">
        <f>IF(OR($C251="",$D251="",$G251="",$F251=""),0,$G251*IF($F251="Aylık",MAX(0,(YEAR(MIN(IF($E251="",TODAY()-29,$E251),TODAY()-29))-YEAR($D251))*12+MONTH(MIN(IF($E251="",TODAY()-29,$E251),TODAY()-29))-MONTH($D251)+IF(MIN(IF($E251="",TODAY()-29,$E251),TODAY()-29)&gt;=EOMONTH(MIN(IF($E251="",TODAY()-29,$E251),TODAY()-29),0),1,0)),MAX(0,INT((MIN(IF($E251="",TODAY()-29,$E251),TODAY()-29)-($D251+MOD(SISTEM!$F$8-WEEKDAY($D251,2),7)))/7)+1)))</f>
        <v/>
      </c>
      <c r="M251" s="228">
        <f>IF($G251&gt;0,$I251/$G251,0)</f>
        <v/>
      </c>
      <c r="N251" s="113">
        <f>IF($C251="","",IF($B251="TANIMSIZ MÜŞTERİ","TANIMSIZ MÜŞTERİ",IF($F251="","MODEL SEÇİN",IF(OR($D251="",$G251&lt;=0),"EKSİK",IF(AND($E251&lt;&gt;"",$E251&lt;$D251),"TARİH HATASI",IF($H251="Pasif","KAPALI DÖNEM","UYGUN"))))))</f>
        <v/>
      </c>
      <c r="O251" s="229">
        <f>IF(OR($C251="",$D251="",$F251=""),"",IF($F251="Aylık",EOMONTH($D251,0),($D251+MOD(SISTEM!$F$8-WEEKDAY($D251,2),7))))</f>
        <v/>
      </c>
      <c r="P251" s="109" t="n"/>
      <c r="Q251" s="6" t="n"/>
      <c r="R251" s="6" t="n"/>
      <c r="S251" s="3">
        <f>IF($B251="","",$B251&amp;"|"&amp;COUNTIFS($B$7:$B251,$B251))</f>
        <v/>
      </c>
    </row>
    <row r="252">
      <c r="A252" s="6" t="n"/>
      <c r="B252" s="113">
        <f>IF($C252="","",IFERROR(INDEX(MUSTERILER!$B$7:$B$106,MATCH($C252,MUSTERILER!$C$7:$C$106,0)),IFERROR(INDEX(MUSTERILER!$B$7:$B$106,MATCH($C252,MUSTERILER!$B$7:$B$106,0)),IFERROR(INDEX(MUSTERILER!$B$7:$B$106,MATCH($C252&amp;"*",MUSTERILER!$C$7:$C$106,0)),"TANIMSIZ MÜŞTERİ"))))</f>
        <v/>
      </c>
      <c r="C252" s="109" t="n"/>
      <c r="D252" s="225" t="n"/>
      <c r="E252" s="225" t="n"/>
      <c r="F252" s="108" t="n"/>
      <c r="G252" s="226" t="n"/>
      <c r="H252" s="108" t="n"/>
      <c r="I252" s="227">
        <f>IF(OR($C252="",$D252="",$G252="",$F252=""),0,$G252*IF($F252="Aylık",MAX(0,(YEAR(MIN(IF($E252="",TODAY(),$E252),TODAY()))-YEAR($D252))*12+MONTH(MIN(IF($E252="",TODAY(),$E252),TODAY()))-MONTH($D252)+IF(MIN(IF($E252="",TODAY(),$E252),TODAY())&gt;=EOMONTH(MIN(IF($E252="",TODAY(),$E252),TODAY()),0),1,0)),MAX(0,INT((MIN(IF($E252="",TODAY(),$E252),TODAY())-($D252+MOD(SISTEM!$F$8-WEEKDAY($D252,2),7)))/7)+1)))</f>
        <v/>
      </c>
      <c r="J252" s="227">
        <f>IF(OR($C252="",$D252="",$G252="",$F252=""),0,$G252*IF($F252="Aylık",MAX(0,(YEAR(MIN(IF($E252="",TODAY()-8,$E252),TODAY()-8))-YEAR($D252))*12+MONTH(MIN(IF($E252="",TODAY()-8,$E252),TODAY()-8))-MONTH($D252)+IF(MIN(IF($E252="",TODAY()-8,$E252),TODAY()-8)&gt;=EOMONTH(MIN(IF($E252="",TODAY()-8,$E252),TODAY()-8),0),1,0)),MAX(0,INT((MIN(IF($E252="",TODAY()-8,$E252),TODAY()-8)-($D252+MOD(SISTEM!$F$8-WEEKDAY($D252,2),7)))/7)+1)))</f>
        <v/>
      </c>
      <c r="K252" s="227">
        <f>IF(OR($C252="",$D252="",$G252="",$F252=""),0,$G252*IF($F252="Aylık",MAX(0,(YEAR(MIN(IF($E252="",TODAY()-15,$E252),TODAY()-15))-YEAR($D252))*12+MONTH(MIN(IF($E252="",TODAY()-15,$E252),TODAY()-15))-MONTH($D252)+IF(MIN(IF($E252="",TODAY()-15,$E252),TODAY()-15)&gt;=EOMONTH(MIN(IF($E252="",TODAY()-15,$E252),TODAY()-15),0),1,0)),MAX(0,INT((MIN(IF($E252="",TODAY()-15,$E252),TODAY()-15)-($D252+MOD(SISTEM!$F$8-WEEKDAY($D252,2),7)))/7)+1)))</f>
        <v/>
      </c>
      <c r="L252" s="227">
        <f>IF(OR($C252="",$D252="",$G252="",$F252=""),0,$G252*IF($F252="Aylık",MAX(0,(YEAR(MIN(IF($E252="",TODAY()-29,$E252),TODAY()-29))-YEAR($D252))*12+MONTH(MIN(IF($E252="",TODAY()-29,$E252),TODAY()-29))-MONTH($D252)+IF(MIN(IF($E252="",TODAY()-29,$E252),TODAY()-29)&gt;=EOMONTH(MIN(IF($E252="",TODAY()-29,$E252),TODAY()-29),0),1,0)),MAX(0,INT((MIN(IF($E252="",TODAY()-29,$E252),TODAY()-29)-($D252+MOD(SISTEM!$F$8-WEEKDAY($D252,2),7)))/7)+1)))</f>
        <v/>
      </c>
      <c r="M252" s="228">
        <f>IF($G252&gt;0,$I252/$G252,0)</f>
        <v/>
      </c>
      <c r="N252" s="113">
        <f>IF($C252="","",IF($B252="TANIMSIZ MÜŞTERİ","TANIMSIZ MÜŞTERİ",IF($F252="","MODEL SEÇİN",IF(OR($D252="",$G252&lt;=0),"EKSİK",IF(AND($E252&lt;&gt;"",$E252&lt;$D252),"TARİH HATASI",IF($H252="Pasif","KAPALI DÖNEM","UYGUN"))))))</f>
        <v/>
      </c>
      <c r="O252" s="229">
        <f>IF(OR($C252="",$D252="",$F252=""),"",IF($F252="Aylık",EOMONTH($D252,0),($D252+MOD(SISTEM!$F$8-WEEKDAY($D252,2),7))))</f>
        <v/>
      </c>
      <c r="P252" s="109" t="n"/>
      <c r="Q252" s="6" t="n"/>
      <c r="R252" s="6" t="n"/>
      <c r="S252" s="3">
        <f>IF($B252="","",$B252&amp;"|"&amp;COUNTIFS($B$7:$B252,$B252))</f>
        <v/>
      </c>
    </row>
    <row r="253">
      <c r="A253" s="6" t="n"/>
      <c r="B253" s="113">
        <f>IF($C253="","",IFERROR(INDEX(MUSTERILER!$B$7:$B$106,MATCH($C253,MUSTERILER!$C$7:$C$106,0)),IFERROR(INDEX(MUSTERILER!$B$7:$B$106,MATCH($C253,MUSTERILER!$B$7:$B$106,0)),IFERROR(INDEX(MUSTERILER!$B$7:$B$106,MATCH($C253&amp;"*",MUSTERILER!$C$7:$C$106,0)),"TANIMSIZ MÜŞTERİ"))))</f>
        <v/>
      </c>
      <c r="C253" s="109" t="n"/>
      <c r="D253" s="225" t="n"/>
      <c r="E253" s="225" t="n"/>
      <c r="F253" s="108" t="n"/>
      <c r="G253" s="226" t="n"/>
      <c r="H253" s="108" t="n"/>
      <c r="I253" s="227">
        <f>IF(OR($C253="",$D253="",$G253="",$F253=""),0,$G253*IF($F253="Aylık",MAX(0,(YEAR(MIN(IF($E253="",TODAY(),$E253),TODAY()))-YEAR($D253))*12+MONTH(MIN(IF($E253="",TODAY(),$E253),TODAY()))-MONTH($D253)+IF(MIN(IF($E253="",TODAY(),$E253),TODAY())&gt;=EOMONTH(MIN(IF($E253="",TODAY(),$E253),TODAY()),0),1,0)),MAX(0,INT((MIN(IF($E253="",TODAY(),$E253),TODAY())-($D253+MOD(SISTEM!$F$8-WEEKDAY($D253,2),7)))/7)+1)))</f>
        <v/>
      </c>
      <c r="J253" s="227">
        <f>IF(OR($C253="",$D253="",$G253="",$F253=""),0,$G253*IF($F253="Aylık",MAX(0,(YEAR(MIN(IF($E253="",TODAY()-8,$E253),TODAY()-8))-YEAR($D253))*12+MONTH(MIN(IF($E253="",TODAY()-8,$E253),TODAY()-8))-MONTH($D253)+IF(MIN(IF($E253="",TODAY()-8,$E253),TODAY()-8)&gt;=EOMONTH(MIN(IF($E253="",TODAY()-8,$E253),TODAY()-8),0),1,0)),MAX(0,INT((MIN(IF($E253="",TODAY()-8,$E253),TODAY()-8)-($D253+MOD(SISTEM!$F$8-WEEKDAY($D253,2),7)))/7)+1)))</f>
        <v/>
      </c>
      <c r="K253" s="227">
        <f>IF(OR($C253="",$D253="",$G253="",$F253=""),0,$G253*IF($F253="Aylık",MAX(0,(YEAR(MIN(IF($E253="",TODAY()-15,$E253),TODAY()-15))-YEAR($D253))*12+MONTH(MIN(IF($E253="",TODAY()-15,$E253),TODAY()-15))-MONTH($D253)+IF(MIN(IF($E253="",TODAY()-15,$E253),TODAY()-15)&gt;=EOMONTH(MIN(IF($E253="",TODAY()-15,$E253),TODAY()-15),0),1,0)),MAX(0,INT((MIN(IF($E253="",TODAY()-15,$E253),TODAY()-15)-($D253+MOD(SISTEM!$F$8-WEEKDAY($D253,2),7)))/7)+1)))</f>
        <v/>
      </c>
      <c r="L253" s="227">
        <f>IF(OR($C253="",$D253="",$G253="",$F253=""),0,$G253*IF($F253="Aylık",MAX(0,(YEAR(MIN(IF($E253="",TODAY()-29,$E253),TODAY()-29))-YEAR($D253))*12+MONTH(MIN(IF($E253="",TODAY()-29,$E253),TODAY()-29))-MONTH($D253)+IF(MIN(IF($E253="",TODAY()-29,$E253),TODAY()-29)&gt;=EOMONTH(MIN(IF($E253="",TODAY()-29,$E253),TODAY()-29),0),1,0)),MAX(0,INT((MIN(IF($E253="",TODAY()-29,$E253),TODAY()-29)-($D253+MOD(SISTEM!$F$8-WEEKDAY($D253,2),7)))/7)+1)))</f>
        <v/>
      </c>
      <c r="M253" s="228">
        <f>IF($G253&gt;0,$I253/$G253,0)</f>
        <v/>
      </c>
      <c r="N253" s="113">
        <f>IF($C253="","",IF($B253="TANIMSIZ MÜŞTERİ","TANIMSIZ MÜŞTERİ",IF($F253="","MODEL SEÇİN",IF(OR($D253="",$G253&lt;=0),"EKSİK",IF(AND($E253&lt;&gt;"",$E253&lt;$D253),"TARİH HATASI",IF($H253="Pasif","KAPALI DÖNEM","UYGUN"))))))</f>
        <v/>
      </c>
      <c r="O253" s="229">
        <f>IF(OR($C253="",$D253="",$F253=""),"",IF($F253="Aylık",EOMONTH($D253,0),($D253+MOD(SISTEM!$F$8-WEEKDAY($D253,2),7))))</f>
        <v/>
      </c>
      <c r="P253" s="109" t="n"/>
      <c r="Q253" s="6" t="n"/>
      <c r="R253" s="6" t="n"/>
      <c r="S253" s="3">
        <f>IF($B253="","",$B253&amp;"|"&amp;COUNTIFS($B$7:$B253,$B253))</f>
        <v/>
      </c>
    </row>
    <row r="254">
      <c r="A254" s="6" t="n"/>
      <c r="B254" s="113">
        <f>IF($C254="","",IFERROR(INDEX(MUSTERILER!$B$7:$B$106,MATCH($C254,MUSTERILER!$C$7:$C$106,0)),IFERROR(INDEX(MUSTERILER!$B$7:$B$106,MATCH($C254,MUSTERILER!$B$7:$B$106,0)),IFERROR(INDEX(MUSTERILER!$B$7:$B$106,MATCH($C254&amp;"*",MUSTERILER!$C$7:$C$106,0)),"TANIMSIZ MÜŞTERİ"))))</f>
        <v/>
      </c>
      <c r="C254" s="109" t="n"/>
      <c r="D254" s="225" t="n"/>
      <c r="E254" s="225" t="n"/>
      <c r="F254" s="108" t="n"/>
      <c r="G254" s="226" t="n"/>
      <c r="H254" s="108" t="n"/>
      <c r="I254" s="227">
        <f>IF(OR($C254="",$D254="",$G254="",$F254=""),0,$G254*IF($F254="Aylık",MAX(0,(YEAR(MIN(IF($E254="",TODAY(),$E254),TODAY()))-YEAR($D254))*12+MONTH(MIN(IF($E254="",TODAY(),$E254),TODAY()))-MONTH($D254)+IF(MIN(IF($E254="",TODAY(),$E254),TODAY())&gt;=EOMONTH(MIN(IF($E254="",TODAY(),$E254),TODAY()),0),1,0)),MAX(0,INT((MIN(IF($E254="",TODAY(),$E254),TODAY())-($D254+MOD(SISTEM!$F$8-WEEKDAY($D254,2),7)))/7)+1)))</f>
        <v/>
      </c>
      <c r="J254" s="227">
        <f>IF(OR($C254="",$D254="",$G254="",$F254=""),0,$G254*IF($F254="Aylık",MAX(0,(YEAR(MIN(IF($E254="",TODAY()-8,$E254),TODAY()-8))-YEAR($D254))*12+MONTH(MIN(IF($E254="",TODAY()-8,$E254),TODAY()-8))-MONTH($D254)+IF(MIN(IF($E254="",TODAY()-8,$E254),TODAY()-8)&gt;=EOMONTH(MIN(IF($E254="",TODAY()-8,$E254),TODAY()-8),0),1,0)),MAX(0,INT((MIN(IF($E254="",TODAY()-8,$E254),TODAY()-8)-($D254+MOD(SISTEM!$F$8-WEEKDAY($D254,2),7)))/7)+1)))</f>
        <v/>
      </c>
      <c r="K254" s="227">
        <f>IF(OR($C254="",$D254="",$G254="",$F254=""),0,$G254*IF($F254="Aylık",MAX(0,(YEAR(MIN(IF($E254="",TODAY()-15,$E254),TODAY()-15))-YEAR($D254))*12+MONTH(MIN(IF($E254="",TODAY()-15,$E254),TODAY()-15))-MONTH($D254)+IF(MIN(IF($E254="",TODAY()-15,$E254),TODAY()-15)&gt;=EOMONTH(MIN(IF($E254="",TODAY()-15,$E254),TODAY()-15),0),1,0)),MAX(0,INT((MIN(IF($E254="",TODAY()-15,$E254),TODAY()-15)-($D254+MOD(SISTEM!$F$8-WEEKDAY($D254,2),7)))/7)+1)))</f>
        <v/>
      </c>
      <c r="L254" s="227">
        <f>IF(OR($C254="",$D254="",$G254="",$F254=""),0,$G254*IF($F254="Aylık",MAX(0,(YEAR(MIN(IF($E254="",TODAY()-29,$E254),TODAY()-29))-YEAR($D254))*12+MONTH(MIN(IF($E254="",TODAY()-29,$E254),TODAY()-29))-MONTH($D254)+IF(MIN(IF($E254="",TODAY()-29,$E254),TODAY()-29)&gt;=EOMONTH(MIN(IF($E254="",TODAY()-29,$E254),TODAY()-29),0),1,0)),MAX(0,INT((MIN(IF($E254="",TODAY()-29,$E254),TODAY()-29)-($D254+MOD(SISTEM!$F$8-WEEKDAY($D254,2),7)))/7)+1)))</f>
        <v/>
      </c>
      <c r="M254" s="228">
        <f>IF($G254&gt;0,$I254/$G254,0)</f>
        <v/>
      </c>
      <c r="N254" s="113">
        <f>IF($C254="","",IF($B254="TANIMSIZ MÜŞTERİ","TANIMSIZ MÜŞTERİ",IF($F254="","MODEL SEÇİN",IF(OR($D254="",$G254&lt;=0),"EKSİK",IF(AND($E254&lt;&gt;"",$E254&lt;$D254),"TARİH HATASI",IF($H254="Pasif","KAPALI DÖNEM","UYGUN"))))))</f>
        <v/>
      </c>
      <c r="O254" s="229">
        <f>IF(OR($C254="",$D254="",$F254=""),"",IF($F254="Aylık",EOMONTH($D254,0),($D254+MOD(SISTEM!$F$8-WEEKDAY($D254,2),7))))</f>
        <v/>
      </c>
      <c r="P254" s="109" t="n"/>
      <c r="Q254" s="6" t="n"/>
      <c r="R254" s="6" t="n"/>
      <c r="S254" s="3">
        <f>IF($B254="","",$B254&amp;"|"&amp;COUNTIFS($B$7:$B254,$B254))</f>
        <v/>
      </c>
    </row>
    <row r="255">
      <c r="A255" s="6" t="n"/>
      <c r="B255" s="113">
        <f>IF($C255="","",IFERROR(INDEX(MUSTERILER!$B$7:$B$106,MATCH($C255,MUSTERILER!$C$7:$C$106,0)),IFERROR(INDEX(MUSTERILER!$B$7:$B$106,MATCH($C255,MUSTERILER!$B$7:$B$106,0)),IFERROR(INDEX(MUSTERILER!$B$7:$B$106,MATCH($C255&amp;"*",MUSTERILER!$C$7:$C$106,0)),"TANIMSIZ MÜŞTERİ"))))</f>
        <v/>
      </c>
      <c r="C255" s="109" t="n"/>
      <c r="D255" s="225" t="n"/>
      <c r="E255" s="225" t="n"/>
      <c r="F255" s="108" t="n"/>
      <c r="G255" s="226" t="n"/>
      <c r="H255" s="108" t="n"/>
      <c r="I255" s="227">
        <f>IF(OR($C255="",$D255="",$G255="",$F255=""),0,$G255*IF($F255="Aylık",MAX(0,(YEAR(MIN(IF($E255="",TODAY(),$E255),TODAY()))-YEAR($D255))*12+MONTH(MIN(IF($E255="",TODAY(),$E255),TODAY()))-MONTH($D255)+IF(MIN(IF($E255="",TODAY(),$E255),TODAY())&gt;=EOMONTH(MIN(IF($E255="",TODAY(),$E255),TODAY()),0),1,0)),MAX(0,INT((MIN(IF($E255="",TODAY(),$E255),TODAY())-($D255+MOD(SISTEM!$F$8-WEEKDAY($D255,2),7)))/7)+1)))</f>
        <v/>
      </c>
      <c r="J255" s="227">
        <f>IF(OR($C255="",$D255="",$G255="",$F255=""),0,$G255*IF($F255="Aylık",MAX(0,(YEAR(MIN(IF($E255="",TODAY()-8,$E255),TODAY()-8))-YEAR($D255))*12+MONTH(MIN(IF($E255="",TODAY()-8,$E255),TODAY()-8))-MONTH($D255)+IF(MIN(IF($E255="",TODAY()-8,$E255),TODAY()-8)&gt;=EOMONTH(MIN(IF($E255="",TODAY()-8,$E255),TODAY()-8),0),1,0)),MAX(0,INT((MIN(IF($E255="",TODAY()-8,$E255),TODAY()-8)-($D255+MOD(SISTEM!$F$8-WEEKDAY($D255,2),7)))/7)+1)))</f>
        <v/>
      </c>
      <c r="K255" s="227">
        <f>IF(OR($C255="",$D255="",$G255="",$F255=""),0,$G255*IF($F255="Aylık",MAX(0,(YEAR(MIN(IF($E255="",TODAY()-15,$E255),TODAY()-15))-YEAR($D255))*12+MONTH(MIN(IF($E255="",TODAY()-15,$E255),TODAY()-15))-MONTH($D255)+IF(MIN(IF($E255="",TODAY()-15,$E255),TODAY()-15)&gt;=EOMONTH(MIN(IF($E255="",TODAY()-15,$E255),TODAY()-15),0),1,0)),MAX(0,INT((MIN(IF($E255="",TODAY()-15,$E255),TODAY()-15)-($D255+MOD(SISTEM!$F$8-WEEKDAY($D255,2),7)))/7)+1)))</f>
        <v/>
      </c>
      <c r="L255" s="227">
        <f>IF(OR($C255="",$D255="",$G255="",$F255=""),0,$G255*IF($F255="Aylık",MAX(0,(YEAR(MIN(IF($E255="",TODAY()-29,$E255),TODAY()-29))-YEAR($D255))*12+MONTH(MIN(IF($E255="",TODAY()-29,$E255),TODAY()-29))-MONTH($D255)+IF(MIN(IF($E255="",TODAY()-29,$E255),TODAY()-29)&gt;=EOMONTH(MIN(IF($E255="",TODAY()-29,$E255),TODAY()-29),0),1,0)),MAX(0,INT((MIN(IF($E255="",TODAY()-29,$E255),TODAY()-29)-($D255+MOD(SISTEM!$F$8-WEEKDAY($D255,2),7)))/7)+1)))</f>
        <v/>
      </c>
      <c r="M255" s="228">
        <f>IF($G255&gt;0,$I255/$G255,0)</f>
        <v/>
      </c>
      <c r="N255" s="113">
        <f>IF($C255="","",IF($B255="TANIMSIZ MÜŞTERİ","TANIMSIZ MÜŞTERİ",IF($F255="","MODEL SEÇİN",IF(OR($D255="",$G255&lt;=0),"EKSİK",IF(AND($E255&lt;&gt;"",$E255&lt;$D255),"TARİH HATASI",IF($H255="Pasif","KAPALI DÖNEM","UYGUN"))))))</f>
        <v/>
      </c>
      <c r="O255" s="229">
        <f>IF(OR($C255="",$D255="",$F255=""),"",IF($F255="Aylık",EOMONTH($D255,0),($D255+MOD(SISTEM!$F$8-WEEKDAY($D255,2),7))))</f>
        <v/>
      </c>
      <c r="P255" s="109" t="n"/>
      <c r="Q255" s="6" t="n"/>
      <c r="R255" s="6" t="n"/>
      <c r="S255" s="3">
        <f>IF($B255="","",$B255&amp;"|"&amp;COUNTIFS($B$7:$B255,$B255))</f>
        <v/>
      </c>
    </row>
    <row r="256">
      <c r="A256" s="6" t="n"/>
      <c r="B256" s="113">
        <f>IF($C256="","",IFERROR(INDEX(MUSTERILER!$B$7:$B$106,MATCH($C256,MUSTERILER!$C$7:$C$106,0)),IFERROR(INDEX(MUSTERILER!$B$7:$B$106,MATCH($C256,MUSTERILER!$B$7:$B$106,0)),IFERROR(INDEX(MUSTERILER!$B$7:$B$106,MATCH($C256&amp;"*",MUSTERILER!$C$7:$C$106,0)),"TANIMSIZ MÜŞTERİ"))))</f>
        <v/>
      </c>
      <c r="C256" s="109" t="n"/>
      <c r="D256" s="225" t="n"/>
      <c r="E256" s="225" t="n"/>
      <c r="F256" s="108" t="n"/>
      <c r="G256" s="226" t="n"/>
      <c r="H256" s="108" t="n"/>
      <c r="I256" s="227">
        <f>IF(OR($C256="",$D256="",$G256="",$F256=""),0,$G256*IF($F256="Aylık",MAX(0,(YEAR(MIN(IF($E256="",TODAY(),$E256),TODAY()))-YEAR($D256))*12+MONTH(MIN(IF($E256="",TODAY(),$E256),TODAY()))-MONTH($D256)+IF(MIN(IF($E256="",TODAY(),$E256),TODAY())&gt;=EOMONTH(MIN(IF($E256="",TODAY(),$E256),TODAY()),0),1,0)),MAX(0,INT((MIN(IF($E256="",TODAY(),$E256),TODAY())-($D256+MOD(SISTEM!$F$8-WEEKDAY($D256,2),7)))/7)+1)))</f>
        <v/>
      </c>
      <c r="J256" s="227">
        <f>IF(OR($C256="",$D256="",$G256="",$F256=""),0,$G256*IF($F256="Aylık",MAX(0,(YEAR(MIN(IF($E256="",TODAY()-8,$E256),TODAY()-8))-YEAR($D256))*12+MONTH(MIN(IF($E256="",TODAY()-8,$E256),TODAY()-8))-MONTH($D256)+IF(MIN(IF($E256="",TODAY()-8,$E256),TODAY()-8)&gt;=EOMONTH(MIN(IF($E256="",TODAY()-8,$E256),TODAY()-8),0),1,0)),MAX(0,INT((MIN(IF($E256="",TODAY()-8,$E256),TODAY()-8)-($D256+MOD(SISTEM!$F$8-WEEKDAY($D256,2),7)))/7)+1)))</f>
        <v/>
      </c>
      <c r="K256" s="227">
        <f>IF(OR($C256="",$D256="",$G256="",$F256=""),0,$G256*IF($F256="Aylık",MAX(0,(YEAR(MIN(IF($E256="",TODAY()-15,$E256),TODAY()-15))-YEAR($D256))*12+MONTH(MIN(IF($E256="",TODAY()-15,$E256),TODAY()-15))-MONTH($D256)+IF(MIN(IF($E256="",TODAY()-15,$E256),TODAY()-15)&gt;=EOMONTH(MIN(IF($E256="",TODAY()-15,$E256),TODAY()-15),0),1,0)),MAX(0,INT((MIN(IF($E256="",TODAY()-15,$E256),TODAY()-15)-($D256+MOD(SISTEM!$F$8-WEEKDAY($D256,2),7)))/7)+1)))</f>
        <v/>
      </c>
      <c r="L256" s="227">
        <f>IF(OR($C256="",$D256="",$G256="",$F256=""),0,$G256*IF($F256="Aylık",MAX(0,(YEAR(MIN(IF($E256="",TODAY()-29,$E256),TODAY()-29))-YEAR($D256))*12+MONTH(MIN(IF($E256="",TODAY()-29,$E256),TODAY()-29))-MONTH($D256)+IF(MIN(IF($E256="",TODAY()-29,$E256),TODAY()-29)&gt;=EOMONTH(MIN(IF($E256="",TODAY()-29,$E256),TODAY()-29),0),1,0)),MAX(0,INT((MIN(IF($E256="",TODAY()-29,$E256),TODAY()-29)-($D256+MOD(SISTEM!$F$8-WEEKDAY($D256,2),7)))/7)+1)))</f>
        <v/>
      </c>
      <c r="M256" s="228">
        <f>IF($G256&gt;0,$I256/$G256,0)</f>
        <v/>
      </c>
      <c r="N256" s="113">
        <f>IF($C256="","",IF($B256="TANIMSIZ MÜŞTERİ","TANIMSIZ MÜŞTERİ",IF($F256="","MODEL SEÇİN",IF(OR($D256="",$G256&lt;=0),"EKSİK",IF(AND($E256&lt;&gt;"",$E256&lt;$D256),"TARİH HATASI",IF($H256="Pasif","KAPALI DÖNEM","UYGUN"))))))</f>
        <v/>
      </c>
      <c r="O256" s="229">
        <f>IF(OR($C256="",$D256="",$F256=""),"",IF($F256="Aylık",EOMONTH($D256,0),($D256+MOD(SISTEM!$F$8-WEEKDAY($D256,2),7))))</f>
        <v/>
      </c>
      <c r="P256" s="109" t="n"/>
      <c r="Q256" s="6" t="n"/>
      <c r="R256" s="6" t="n"/>
      <c r="S256" s="3">
        <f>IF($B256="","",$B256&amp;"|"&amp;COUNTIFS($B$7:$B256,$B256))</f>
        <v/>
      </c>
    </row>
    <row r="257">
      <c r="A257" s="6" t="n"/>
      <c r="B257" s="113">
        <f>IF($C257="","",IFERROR(INDEX(MUSTERILER!$B$7:$B$106,MATCH($C257,MUSTERILER!$C$7:$C$106,0)),IFERROR(INDEX(MUSTERILER!$B$7:$B$106,MATCH($C257,MUSTERILER!$B$7:$B$106,0)),IFERROR(INDEX(MUSTERILER!$B$7:$B$106,MATCH($C257&amp;"*",MUSTERILER!$C$7:$C$106,0)),"TANIMSIZ MÜŞTERİ"))))</f>
        <v/>
      </c>
      <c r="C257" s="109" t="n"/>
      <c r="D257" s="225" t="n"/>
      <c r="E257" s="225" t="n"/>
      <c r="F257" s="108" t="n"/>
      <c r="G257" s="226" t="n"/>
      <c r="H257" s="108" t="n"/>
      <c r="I257" s="227">
        <f>IF(OR($C257="",$D257="",$G257="",$F257=""),0,$G257*IF($F257="Aylık",MAX(0,(YEAR(MIN(IF($E257="",TODAY(),$E257),TODAY()))-YEAR($D257))*12+MONTH(MIN(IF($E257="",TODAY(),$E257),TODAY()))-MONTH($D257)+IF(MIN(IF($E257="",TODAY(),$E257),TODAY())&gt;=EOMONTH(MIN(IF($E257="",TODAY(),$E257),TODAY()),0),1,0)),MAX(0,INT((MIN(IF($E257="",TODAY(),$E257),TODAY())-($D257+MOD(SISTEM!$F$8-WEEKDAY($D257,2),7)))/7)+1)))</f>
        <v/>
      </c>
      <c r="J257" s="227">
        <f>IF(OR($C257="",$D257="",$G257="",$F257=""),0,$G257*IF($F257="Aylık",MAX(0,(YEAR(MIN(IF($E257="",TODAY()-8,$E257),TODAY()-8))-YEAR($D257))*12+MONTH(MIN(IF($E257="",TODAY()-8,$E257),TODAY()-8))-MONTH($D257)+IF(MIN(IF($E257="",TODAY()-8,$E257),TODAY()-8)&gt;=EOMONTH(MIN(IF($E257="",TODAY()-8,$E257),TODAY()-8),0),1,0)),MAX(0,INT((MIN(IF($E257="",TODAY()-8,$E257),TODAY()-8)-($D257+MOD(SISTEM!$F$8-WEEKDAY($D257,2),7)))/7)+1)))</f>
        <v/>
      </c>
      <c r="K257" s="227">
        <f>IF(OR($C257="",$D257="",$G257="",$F257=""),0,$G257*IF($F257="Aylık",MAX(0,(YEAR(MIN(IF($E257="",TODAY()-15,$E257),TODAY()-15))-YEAR($D257))*12+MONTH(MIN(IF($E257="",TODAY()-15,$E257),TODAY()-15))-MONTH($D257)+IF(MIN(IF($E257="",TODAY()-15,$E257),TODAY()-15)&gt;=EOMONTH(MIN(IF($E257="",TODAY()-15,$E257),TODAY()-15),0),1,0)),MAX(0,INT((MIN(IF($E257="",TODAY()-15,$E257),TODAY()-15)-($D257+MOD(SISTEM!$F$8-WEEKDAY($D257,2),7)))/7)+1)))</f>
        <v/>
      </c>
      <c r="L257" s="227">
        <f>IF(OR($C257="",$D257="",$G257="",$F257=""),0,$G257*IF($F257="Aylık",MAX(0,(YEAR(MIN(IF($E257="",TODAY()-29,$E257),TODAY()-29))-YEAR($D257))*12+MONTH(MIN(IF($E257="",TODAY()-29,$E257),TODAY()-29))-MONTH($D257)+IF(MIN(IF($E257="",TODAY()-29,$E257),TODAY()-29)&gt;=EOMONTH(MIN(IF($E257="",TODAY()-29,$E257),TODAY()-29),0),1,0)),MAX(0,INT((MIN(IF($E257="",TODAY()-29,$E257),TODAY()-29)-($D257+MOD(SISTEM!$F$8-WEEKDAY($D257,2),7)))/7)+1)))</f>
        <v/>
      </c>
      <c r="M257" s="228">
        <f>IF($G257&gt;0,$I257/$G257,0)</f>
        <v/>
      </c>
      <c r="N257" s="113">
        <f>IF($C257="","",IF($B257="TANIMSIZ MÜŞTERİ","TANIMSIZ MÜŞTERİ",IF($F257="","MODEL SEÇİN",IF(OR($D257="",$G257&lt;=0),"EKSİK",IF(AND($E257&lt;&gt;"",$E257&lt;$D257),"TARİH HATASI",IF($H257="Pasif","KAPALI DÖNEM","UYGUN"))))))</f>
        <v/>
      </c>
      <c r="O257" s="229">
        <f>IF(OR($C257="",$D257="",$F257=""),"",IF($F257="Aylık",EOMONTH($D257,0),($D257+MOD(SISTEM!$F$8-WEEKDAY($D257,2),7))))</f>
        <v/>
      </c>
      <c r="P257" s="109" t="n"/>
      <c r="Q257" s="6" t="n"/>
      <c r="R257" s="6" t="n"/>
      <c r="S257" s="3">
        <f>IF($B257="","",$B257&amp;"|"&amp;COUNTIFS($B$7:$B257,$B257))</f>
        <v/>
      </c>
    </row>
    <row r="258">
      <c r="A258" s="6" t="n"/>
      <c r="B258" s="113">
        <f>IF($C258="","",IFERROR(INDEX(MUSTERILER!$B$7:$B$106,MATCH($C258,MUSTERILER!$C$7:$C$106,0)),IFERROR(INDEX(MUSTERILER!$B$7:$B$106,MATCH($C258,MUSTERILER!$B$7:$B$106,0)),IFERROR(INDEX(MUSTERILER!$B$7:$B$106,MATCH($C258&amp;"*",MUSTERILER!$C$7:$C$106,0)),"TANIMSIZ MÜŞTERİ"))))</f>
        <v/>
      </c>
      <c r="C258" s="109" t="n"/>
      <c r="D258" s="225" t="n"/>
      <c r="E258" s="225" t="n"/>
      <c r="F258" s="108" t="n"/>
      <c r="G258" s="226" t="n"/>
      <c r="H258" s="108" t="n"/>
      <c r="I258" s="227">
        <f>IF(OR($C258="",$D258="",$G258="",$F258=""),0,$G258*IF($F258="Aylık",MAX(0,(YEAR(MIN(IF($E258="",TODAY(),$E258),TODAY()))-YEAR($D258))*12+MONTH(MIN(IF($E258="",TODAY(),$E258),TODAY()))-MONTH($D258)+IF(MIN(IF($E258="",TODAY(),$E258),TODAY())&gt;=EOMONTH(MIN(IF($E258="",TODAY(),$E258),TODAY()),0),1,0)),MAX(0,INT((MIN(IF($E258="",TODAY(),$E258),TODAY())-($D258+MOD(SISTEM!$F$8-WEEKDAY($D258,2),7)))/7)+1)))</f>
        <v/>
      </c>
      <c r="J258" s="227">
        <f>IF(OR($C258="",$D258="",$G258="",$F258=""),0,$G258*IF($F258="Aylık",MAX(0,(YEAR(MIN(IF($E258="",TODAY()-8,$E258),TODAY()-8))-YEAR($D258))*12+MONTH(MIN(IF($E258="",TODAY()-8,$E258),TODAY()-8))-MONTH($D258)+IF(MIN(IF($E258="",TODAY()-8,$E258),TODAY()-8)&gt;=EOMONTH(MIN(IF($E258="",TODAY()-8,$E258),TODAY()-8),0),1,0)),MAX(0,INT((MIN(IF($E258="",TODAY()-8,$E258),TODAY()-8)-($D258+MOD(SISTEM!$F$8-WEEKDAY($D258,2),7)))/7)+1)))</f>
        <v/>
      </c>
      <c r="K258" s="227">
        <f>IF(OR($C258="",$D258="",$G258="",$F258=""),0,$G258*IF($F258="Aylık",MAX(0,(YEAR(MIN(IF($E258="",TODAY()-15,$E258),TODAY()-15))-YEAR($D258))*12+MONTH(MIN(IF($E258="",TODAY()-15,$E258),TODAY()-15))-MONTH($D258)+IF(MIN(IF($E258="",TODAY()-15,$E258),TODAY()-15)&gt;=EOMONTH(MIN(IF($E258="",TODAY()-15,$E258),TODAY()-15),0),1,0)),MAX(0,INT((MIN(IF($E258="",TODAY()-15,$E258),TODAY()-15)-($D258+MOD(SISTEM!$F$8-WEEKDAY($D258,2),7)))/7)+1)))</f>
        <v/>
      </c>
      <c r="L258" s="227">
        <f>IF(OR($C258="",$D258="",$G258="",$F258=""),0,$G258*IF($F258="Aylık",MAX(0,(YEAR(MIN(IF($E258="",TODAY()-29,$E258),TODAY()-29))-YEAR($D258))*12+MONTH(MIN(IF($E258="",TODAY()-29,$E258),TODAY()-29))-MONTH($D258)+IF(MIN(IF($E258="",TODAY()-29,$E258),TODAY()-29)&gt;=EOMONTH(MIN(IF($E258="",TODAY()-29,$E258),TODAY()-29),0),1,0)),MAX(0,INT((MIN(IF($E258="",TODAY()-29,$E258),TODAY()-29)-($D258+MOD(SISTEM!$F$8-WEEKDAY($D258,2),7)))/7)+1)))</f>
        <v/>
      </c>
      <c r="M258" s="228">
        <f>IF($G258&gt;0,$I258/$G258,0)</f>
        <v/>
      </c>
      <c r="N258" s="113">
        <f>IF($C258="","",IF($B258="TANIMSIZ MÜŞTERİ","TANIMSIZ MÜŞTERİ",IF($F258="","MODEL SEÇİN",IF(OR($D258="",$G258&lt;=0),"EKSİK",IF(AND($E258&lt;&gt;"",$E258&lt;$D258),"TARİH HATASI",IF($H258="Pasif","KAPALI DÖNEM","UYGUN"))))))</f>
        <v/>
      </c>
      <c r="O258" s="229">
        <f>IF(OR($C258="",$D258="",$F258=""),"",IF($F258="Aylık",EOMONTH($D258,0),($D258+MOD(SISTEM!$F$8-WEEKDAY($D258,2),7))))</f>
        <v/>
      </c>
      <c r="P258" s="109" t="n"/>
      <c r="Q258" s="6" t="n"/>
      <c r="R258" s="6" t="n"/>
      <c r="S258" s="3">
        <f>IF($B258="","",$B258&amp;"|"&amp;COUNTIFS($B$7:$B258,$B258))</f>
        <v/>
      </c>
    </row>
    <row r="259">
      <c r="A259" s="6" t="n"/>
      <c r="B259" s="113">
        <f>IF($C259="","",IFERROR(INDEX(MUSTERILER!$B$7:$B$106,MATCH($C259,MUSTERILER!$C$7:$C$106,0)),IFERROR(INDEX(MUSTERILER!$B$7:$B$106,MATCH($C259,MUSTERILER!$B$7:$B$106,0)),IFERROR(INDEX(MUSTERILER!$B$7:$B$106,MATCH($C259&amp;"*",MUSTERILER!$C$7:$C$106,0)),"TANIMSIZ MÜŞTERİ"))))</f>
        <v/>
      </c>
      <c r="C259" s="109" t="n"/>
      <c r="D259" s="225" t="n"/>
      <c r="E259" s="225" t="n"/>
      <c r="F259" s="108" t="n"/>
      <c r="G259" s="226" t="n"/>
      <c r="H259" s="108" t="n"/>
      <c r="I259" s="227">
        <f>IF(OR($C259="",$D259="",$G259="",$F259=""),0,$G259*IF($F259="Aylık",MAX(0,(YEAR(MIN(IF($E259="",TODAY(),$E259),TODAY()))-YEAR($D259))*12+MONTH(MIN(IF($E259="",TODAY(),$E259),TODAY()))-MONTH($D259)+IF(MIN(IF($E259="",TODAY(),$E259),TODAY())&gt;=EOMONTH(MIN(IF($E259="",TODAY(),$E259),TODAY()),0),1,0)),MAX(0,INT((MIN(IF($E259="",TODAY(),$E259),TODAY())-($D259+MOD(SISTEM!$F$8-WEEKDAY($D259,2),7)))/7)+1)))</f>
        <v/>
      </c>
      <c r="J259" s="227">
        <f>IF(OR($C259="",$D259="",$G259="",$F259=""),0,$G259*IF($F259="Aylık",MAX(0,(YEAR(MIN(IF($E259="",TODAY()-8,$E259),TODAY()-8))-YEAR($D259))*12+MONTH(MIN(IF($E259="",TODAY()-8,$E259),TODAY()-8))-MONTH($D259)+IF(MIN(IF($E259="",TODAY()-8,$E259),TODAY()-8)&gt;=EOMONTH(MIN(IF($E259="",TODAY()-8,$E259),TODAY()-8),0),1,0)),MAX(0,INT((MIN(IF($E259="",TODAY()-8,$E259),TODAY()-8)-($D259+MOD(SISTEM!$F$8-WEEKDAY($D259,2),7)))/7)+1)))</f>
        <v/>
      </c>
      <c r="K259" s="227">
        <f>IF(OR($C259="",$D259="",$G259="",$F259=""),0,$G259*IF($F259="Aylık",MAX(0,(YEAR(MIN(IF($E259="",TODAY()-15,$E259),TODAY()-15))-YEAR($D259))*12+MONTH(MIN(IF($E259="",TODAY()-15,$E259),TODAY()-15))-MONTH($D259)+IF(MIN(IF($E259="",TODAY()-15,$E259),TODAY()-15)&gt;=EOMONTH(MIN(IF($E259="",TODAY()-15,$E259),TODAY()-15),0),1,0)),MAX(0,INT((MIN(IF($E259="",TODAY()-15,$E259),TODAY()-15)-($D259+MOD(SISTEM!$F$8-WEEKDAY($D259,2),7)))/7)+1)))</f>
        <v/>
      </c>
      <c r="L259" s="227">
        <f>IF(OR($C259="",$D259="",$G259="",$F259=""),0,$G259*IF($F259="Aylık",MAX(0,(YEAR(MIN(IF($E259="",TODAY()-29,$E259),TODAY()-29))-YEAR($D259))*12+MONTH(MIN(IF($E259="",TODAY()-29,$E259),TODAY()-29))-MONTH($D259)+IF(MIN(IF($E259="",TODAY()-29,$E259),TODAY()-29)&gt;=EOMONTH(MIN(IF($E259="",TODAY()-29,$E259),TODAY()-29),0),1,0)),MAX(0,INT((MIN(IF($E259="",TODAY()-29,$E259),TODAY()-29)-($D259+MOD(SISTEM!$F$8-WEEKDAY($D259,2),7)))/7)+1)))</f>
        <v/>
      </c>
      <c r="M259" s="228">
        <f>IF($G259&gt;0,$I259/$G259,0)</f>
        <v/>
      </c>
      <c r="N259" s="113">
        <f>IF($C259="","",IF($B259="TANIMSIZ MÜŞTERİ","TANIMSIZ MÜŞTERİ",IF($F259="","MODEL SEÇİN",IF(OR($D259="",$G259&lt;=0),"EKSİK",IF(AND($E259&lt;&gt;"",$E259&lt;$D259),"TARİH HATASI",IF($H259="Pasif","KAPALI DÖNEM","UYGUN"))))))</f>
        <v/>
      </c>
      <c r="O259" s="229">
        <f>IF(OR($C259="",$D259="",$F259=""),"",IF($F259="Aylık",EOMONTH($D259,0),($D259+MOD(SISTEM!$F$8-WEEKDAY($D259,2),7))))</f>
        <v/>
      </c>
      <c r="P259" s="109" t="n"/>
      <c r="Q259" s="6" t="n"/>
      <c r="R259" s="6" t="n"/>
      <c r="S259" s="3">
        <f>IF($B259="","",$B259&amp;"|"&amp;COUNTIFS($B$7:$B259,$B259))</f>
        <v/>
      </c>
    </row>
    <row r="260">
      <c r="A260" s="6" t="n"/>
      <c r="B260" s="113">
        <f>IF($C260="","",IFERROR(INDEX(MUSTERILER!$B$7:$B$106,MATCH($C260,MUSTERILER!$C$7:$C$106,0)),IFERROR(INDEX(MUSTERILER!$B$7:$B$106,MATCH($C260,MUSTERILER!$B$7:$B$106,0)),IFERROR(INDEX(MUSTERILER!$B$7:$B$106,MATCH($C260&amp;"*",MUSTERILER!$C$7:$C$106,0)),"TANIMSIZ MÜŞTERİ"))))</f>
        <v/>
      </c>
      <c r="C260" s="109" t="n"/>
      <c r="D260" s="225" t="n"/>
      <c r="E260" s="225" t="n"/>
      <c r="F260" s="108" t="n"/>
      <c r="G260" s="226" t="n"/>
      <c r="H260" s="108" t="n"/>
      <c r="I260" s="227">
        <f>IF(OR($C260="",$D260="",$G260="",$F260=""),0,$G260*IF($F260="Aylık",MAX(0,(YEAR(MIN(IF($E260="",TODAY(),$E260),TODAY()))-YEAR($D260))*12+MONTH(MIN(IF($E260="",TODAY(),$E260),TODAY()))-MONTH($D260)+IF(MIN(IF($E260="",TODAY(),$E260),TODAY())&gt;=EOMONTH(MIN(IF($E260="",TODAY(),$E260),TODAY()),0),1,0)),MAX(0,INT((MIN(IF($E260="",TODAY(),$E260),TODAY())-($D260+MOD(SISTEM!$F$8-WEEKDAY($D260,2),7)))/7)+1)))</f>
        <v/>
      </c>
      <c r="J260" s="227">
        <f>IF(OR($C260="",$D260="",$G260="",$F260=""),0,$G260*IF($F260="Aylık",MAX(0,(YEAR(MIN(IF($E260="",TODAY()-8,$E260),TODAY()-8))-YEAR($D260))*12+MONTH(MIN(IF($E260="",TODAY()-8,$E260),TODAY()-8))-MONTH($D260)+IF(MIN(IF($E260="",TODAY()-8,$E260),TODAY()-8)&gt;=EOMONTH(MIN(IF($E260="",TODAY()-8,$E260),TODAY()-8),0),1,0)),MAX(0,INT((MIN(IF($E260="",TODAY()-8,$E260),TODAY()-8)-($D260+MOD(SISTEM!$F$8-WEEKDAY($D260,2),7)))/7)+1)))</f>
        <v/>
      </c>
      <c r="K260" s="227">
        <f>IF(OR($C260="",$D260="",$G260="",$F260=""),0,$G260*IF($F260="Aylık",MAX(0,(YEAR(MIN(IF($E260="",TODAY()-15,$E260),TODAY()-15))-YEAR($D260))*12+MONTH(MIN(IF($E260="",TODAY()-15,$E260),TODAY()-15))-MONTH($D260)+IF(MIN(IF($E260="",TODAY()-15,$E260),TODAY()-15)&gt;=EOMONTH(MIN(IF($E260="",TODAY()-15,$E260),TODAY()-15),0),1,0)),MAX(0,INT((MIN(IF($E260="",TODAY()-15,$E260),TODAY()-15)-($D260+MOD(SISTEM!$F$8-WEEKDAY($D260,2),7)))/7)+1)))</f>
        <v/>
      </c>
      <c r="L260" s="227">
        <f>IF(OR($C260="",$D260="",$G260="",$F260=""),0,$G260*IF($F260="Aylık",MAX(0,(YEAR(MIN(IF($E260="",TODAY()-29,$E260),TODAY()-29))-YEAR($D260))*12+MONTH(MIN(IF($E260="",TODAY()-29,$E260),TODAY()-29))-MONTH($D260)+IF(MIN(IF($E260="",TODAY()-29,$E260),TODAY()-29)&gt;=EOMONTH(MIN(IF($E260="",TODAY()-29,$E260),TODAY()-29),0),1,0)),MAX(0,INT((MIN(IF($E260="",TODAY()-29,$E260),TODAY()-29)-($D260+MOD(SISTEM!$F$8-WEEKDAY($D260,2),7)))/7)+1)))</f>
        <v/>
      </c>
      <c r="M260" s="228">
        <f>IF($G260&gt;0,$I260/$G260,0)</f>
        <v/>
      </c>
      <c r="N260" s="113">
        <f>IF($C260="","",IF($B260="TANIMSIZ MÜŞTERİ","TANIMSIZ MÜŞTERİ",IF($F260="","MODEL SEÇİN",IF(OR($D260="",$G260&lt;=0),"EKSİK",IF(AND($E260&lt;&gt;"",$E260&lt;$D260),"TARİH HATASI",IF($H260="Pasif","KAPALI DÖNEM","UYGUN"))))))</f>
        <v/>
      </c>
      <c r="O260" s="229">
        <f>IF(OR($C260="",$D260="",$F260=""),"",IF($F260="Aylık",EOMONTH($D260,0),($D260+MOD(SISTEM!$F$8-WEEKDAY($D260,2),7))))</f>
        <v/>
      </c>
      <c r="P260" s="109" t="n"/>
      <c r="Q260" s="6" t="n"/>
      <c r="R260" s="6" t="n"/>
      <c r="S260" s="3">
        <f>IF($B260="","",$B260&amp;"|"&amp;COUNTIFS($B$7:$B260,$B260))</f>
        <v/>
      </c>
    </row>
    <row r="261">
      <c r="A261" s="6" t="n"/>
      <c r="B261" s="113">
        <f>IF($C261="","",IFERROR(INDEX(MUSTERILER!$B$7:$B$106,MATCH($C261,MUSTERILER!$C$7:$C$106,0)),IFERROR(INDEX(MUSTERILER!$B$7:$B$106,MATCH($C261,MUSTERILER!$B$7:$B$106,0)),IFERROR(INDEX(MUSTERILER!$B$7:$B$106,MATCH($C261&amp;"*",MUSTERILER!$C$7:$C$106,0)),"TANIMSIZ MÜŞTERİ"))))</f>
        <v/>
      </c>
      <c r="C261" s="109" t="n"/>
      <c r="D261" s="225" t="n"/>
      <c r="E261" s="225" t="n"/>
      <c r="F261" s="108" t="n"/>
      <c r="G261" s="226" t="n"/>
      <c r="H261" s="108" t="n"/>
      <c r="I261" s="227">
        <f>IF(OR($C261="",$D261="",$G261="",$F261=""),0,$G261*IF($F261="Aylık",MAX(0,(YEAR(MIN(IF($E261="",TODAY(),$E261),TODAY()))-YEAR($D261))*12+MONTH(MIN(IF($E261="",TODAY(),$E261),TODAY()))-MONTH($D261)+IF(MIN(IF($E261="",TODAY(),$E261),TODAY())&gt;=EOMONTH(MIN(IF($E261="",TODAY(),$E261),TODAY()),0),1,0)),MAX(0,INT((MIN(IF($E261="",TODAY(),$E261),TODAY())-($D261+MOD(SISTEM!$F$8-WEEKDAY($D261,2),7)))/7)+1)))</f>
        <v/>
      </c>
      <c r="J261" s="227">
        <f>IF(OR($C261="",$D261="",$G261="",$F261=""),0,$G261*IF($F261="Aylık",MAX(0,(YEAR(MIN(IF($E261="",TODAY()-8,$E261),TODAY()-8))-YEAR($D261))*12+MONTH(MIN(IF($E261="",TODAY()-8,$E261),TODAY()-8))-MONTH($D261)+IF(MIN(IF($E261="",TODAY()-8,$E261),TODAY()-8)&gt;=EOMONTH(MIN(IF($E261="",TODAY()-8,$E261),TODAY()-8),0),1,0)),MAX(0,INT((MIN(IF($E261="",TODAY()-8,$E261),TODAY()-8)-($D261+MOD(SISTEM!$F$8-WEEKDAY($D261,2),7)))/7)+1)))</f>
        <v/>
      </c>
      <c r="K261" s="227">
        <f>IF(OR($C261="",$D261="",$G261="",$F261=""),0,$G261*IF($F261="Aylık",MAX(0,(YEAR(MIN(IF($E261="",TODAY()-15,$E261),TODAY()-15))-YEAR($D261))*12+MONTH(MIN(IF($E261="",TODAY()-15,$E261),TODAY()-15))-MONTH($D261)+IF(MIN(IF($E261="",TODAY()-15,$E261),TODAY()-15)&gt;=EOMONTH(MIN(IF($E261="",TODAY()-15,$E261),TODAY()-15),0),1,0)),MAX(0,INT((MIN(IF($E261="",TODAY()-15,$E261),TODAY()-15)-($D261+MOD(SISTEM!$F$8-WEEKDAY($D261,2),7)))/7)+1)))</f>
        <v/>
      </c>
      <c r="L261" s="227">
        <f>IF(OR($C261="",$D261="",$G261="",$F261=""),0,$G261*IF($F261="Aylık",MAX(0,(YEAR(MIN(IF($E261="",TODAY()-29,$E261),TODAY()-29))-YEAR($D261))*12+MONTH(MIN(IF($E261="",TODAY()-29,$E261),TODAY()-29))-MONTH($D261)+IF(MIN(IF($E261="",TODAY()-29,$E261),TODAY()-29)&gt;=EOMONTH(MIN(IF($E261="",TODAY()-29,$E261),TODAY()-29),0),1,0)),MAX(0,INT((MIN(IF($E261="",TODAY()-29,$E261),TODAY()-29)-($D261+MOD(SISTEM!$F$8-WEEKDAY($D261,2),7)))/7)+1)))</f>
        <v/>
      </c>
      <c r="M261" s="228">
        <f>IF($G261&gt;0,$I261/$G261,0)</f>
        <v/>
      </c>
      <c r="N261" s="113">
        <f>IF($C261="","",IF($B261="TANIMSIZ MÜŞTERİ","TANIMSIZ MÜŞTERİ",IF($F261="","MODEL SEÇİN",IF(OR($D261="",$G261&lt;=0),"EKSİK",IF(AND($E261&lt;&gt;"",$E261&lt;$D261),"TARİH HATASI",IF($H261="Pasif","KAPALI DÖNEM","UYGUN"))))))</f>
        <v/>
      </c>
      <c r="O261" s="229">
        <f>IF(OR($C261="",$D261="",$F261=""),"",IF($F261="Aylık",EOMONTH($D261,0),($D261+MOD(SISTEM!$F$8-WEEKDAY($D261,2),7))))</f>
        <v/>
      </c>
      <c r="P261" s="109" t="n"/>
      <c r="Q261" s="6" t="n"/>
      <c r="R261" s="6" t="n"/>
      <c r="S261" s="3">
        <f>IF($B261="","",$B261&amp;"|"&amp;COUNTIFS($B$7:$B261,$B261))</f>
        <v/>
      </c>
    </row>
    <row r="262">
      <c r="A262" s="6" t="n"/>
      <c r="B262" s="113">
        <f>IF($C262="","",IFERROR(INDEX(MUSTERILER!$B$7:$B$106,MATCH($C262,MUSTERILER!$C$7:$C$106,0)),IFERROR(INDEX(MUSTERILER!$B$7:$B$106,MATCH($C262,MUSTERILER!$B$7:$B$106,0)),IFERROR(INDEX(MUSTERILER!$B$7:$B$106,MATCH($C262&amp;"*",MUSTERILER!$C$7:$C$106,0)),"TANIMSIZ MÜŞTERİ"))))</f>
        <v/>
      </c>
      <c r="C262" s="109" t="n"/>
      <c r="D262" s="225" t="n"/>
      <c r="E262" s="225" t="n"/>
      <c r="F262" s="108" t="n"/>
      <c r="G262" s="226" t="n"/>
      <c r="H262" s="108" t="n"/>
      <c r="I262" s="227">
        <f>IF(OR($C262="",$D262="",$G262="",$F262=""),0,$G262*IF($F262="Aylık",MAX(0,(YEAR(MIN(IF($E262="",TODAY(),$E262),TODAY()))-YEAR($D262))*12+MONTH(MIN(IF($E262="",TODAY(),$E262),TODAY()))-MONTH($D262)+IF(MIN(IF($E262="",TODAY(),$E262),TODAY())&gt;=EOMONTH(MIN(IF($E262="",TODAY(),$E262),TODAY()),0),1,0)),MAX(0,INT((MIN(IF($E262="",TODAY(),$E262),TODAY())-($D262+MOD(SISTEM!$F$8-WEEKDAY($D262,2),7)))/7)+1)))</f>
        <v/>
      </c>
      <c r="J262" s="227">
        <f>IF(OR($C262="",$D262="",$G262="",$F262=""),0,$G262*IF($F262="Aylık",MAX(0,(YEAR(MIN(IF($E262="",TODAY()-8,$E262),TODAY()-8))-YEAR($D262))*12+MONTH(MIN(IF($E262="",TODAY()-8,$E262),TODAY()-8))-MONTH($D262)+IF(MIN(IF($E262="",TODAY()-8,$E262),TODAY()-8)&gt;=EOMONTH(MIN(IF($E262="",TODAY()-8,$E262),TODAY()-8),0),1,0)),MAX(0,INT((MIN(IF($E262="",TODAY()-8,$E262),TODAY()-8)-($D262+MOD(SISTEM!$F$8-WEEKDAY($D262,2),7)))/7)+1)))</f>
        <v/>
      </c>
      <c r="K262" s="227">
        <f>IF(OR($C262="",$D262="",$G262="",$F262=""),0,$G262*IF($F262="Aylık",MAX(0,(YEAR(MIN(IF($E262="",TODAY()-15,$E262),TODAY()-15))-YEAR($D262))*12+MONTH(MIN(IF($E262="",TODAY()-15,$E262),TODAY()-15))-MONTH($D262)+IF(MIN(IF($E262="",TODAY()-15,$E262),TODAY()-15)&gt;=EOMONTH(MIN(IF($E262="",TODAY()-15,$E262),TODAY()-15),0),1,0)),MAX(0,INT((MIN(IF($E262="",TODAY()-15,$E262),TODAY()-15)-($D262+MOD(SISTEM!$F$8-WEEKDAY($D262,2),7)))/7)+1)))</f>
        <v/>
      </c>
      <c r="L262" s="227">
        <f>IF(OR($C262="",$D262="",$G262="",$F262=""),0,$G262*IF($F262="Aylık",MAX(0,(YEAR(MIN(IF($E262="",TODAY()-29,$E262),TODAY()-29))-YEAR($D262))*12+MONTH(MIN(IF($E262="",TODAY()-29,$E262),TODAY()-29))-MONTH($D262)+IF(MIN(IF($E262="",TODAY()-29,$E262),TODAY()-29)&gt;=EOMONTH(MIN(IF($E262="",TODAY()-29,$E262),TODAY()-29),0),1,0)),MAX(0,INT((MIN(IF($E262="",TODAY()-29,$E262),TODAY()-29)-($D262+MOD(SISTEM!$F$8-WEEKDAY($D262,2),7)))/7)+1)))</f>
        <v/>
      </c>
      <c r="M262" s="228">
        <f>IF($G262&gt;0,$I262/$G262,0)</f>
        <v/>
      </c>
      <c r="N262" s="113">
        <f>IF($C262="","",IF($B262="TANIMSIZ MÜŞTERİ","TANIMSIZ MÜŞTERİ",IF($F262="","MODEL SEÇİN",IF(OR($D262="",$G262&lt;=0),"EKSİK",IF(AND($E262&lt;&gt;"",$E262&lt;$D262),"TARİH HATASI",IF($H262="Pasif","KAPALI DÖNEM","UYGUN"))))))</f>
        <v/>
      </c>
      <c r="O262" s="229">
        <f>IF(OR($C262="",$D262="",$F262=""),"",IF($F262="Aylık",EOMONTH($D262,0),($D262+MOD(SISTEM!$F$8-WEEKDAY($D262,2),7))))</f>
        <v/>
      </c>
      <c r="P262" s="109" t="n"/>
      <c r="Q262" s="6" t="n"/>
      <c r="R262" s="6" t="n"/>
      <c r="S262" s="3">
        <f>IF($B262="","",$B262&amp;"|"&amp;COUNTIFS($B$7:$B262,$B262))</f>
        <v/>
      </c>
    </row>
    <row r="263">
      <c r="A263" s="6" t="n"/>
      <c r="B263" s="113">
        <f>IF($C263="","",IFERROR(INDEX(MUSTERILER!$B$7:$B$106,MATCH($C263,MUSTERILER!$C$7:$C$106,0)),IFERROR(INDEX(MUSTERILER!$B$7:$B$106,MATCH($C263,MUSTERILER!$B$7:$B$106,0)),IFERROR(INDEX(MUSTERILER!$B$7:$B$106,MATCH($C263&amp;"*",MUSTERILER!$C$7:$C$106,0)),"TANIMSIZ MÜŞTERİ"))))</f>
        <v/>
      </c>
      <c r="C263" s="109" t="n"/>
      <c r="D263" s="225" t="n"/>
      <c r="E263" s="225" t="n"/>
      <c r="F263" s="108" t="n"/>
      <c r="G263" s="226" t="n"/>
      <c r="H263" s="108" t="n"/>
      <c r="I263" s="227">
        <f>IF(OR($C263="",$D263="",$G263="",$F263=""),0,$G263*IF($F263="Aylık",MAX(0,(YEAR(MIN(IF($E263="",TODAY(),$E263),TODAY()))-YEAR($D263))*12+MONTH(MIN(IF($E263="",TODAY(),$E263),TODAY()))-MONTH($D263)+IF(MIN(IF($E263="",TODAY(),$E263),TODAY())&gt;=EOMONTH(MIN(IF($E263="",TODAY(),$E263),TODAY()),0),1,0)),MAX(0,INT((MIN(IF($E263="",TODAY(),$E263),TODAY())-($D263+MOD(SISTEM!$F$8-WEEKDAY($D263,2),7)))/7)+1)))</f>
        <v/>
      </c>
      <c r="J263" s="227">
        <f>IF(OR($C263="",$D263="",$G263="",$F263=""),0,$G263*IF($F263="Aylık",MAX(0,(YEAR(MIN(IF($E263="",TODAY()-8,$E263),TODAY()-8))-YEAR($D263))*12+MONTH(MIN(IF($E263="",TODAY()-8,$E263),TODAY()-8))-MONTH($D263)+IF(MIN(IF($E263="",TODAY()-8,$E263),TODAY()-8)&gt;=EOMONTH(MIN(IF($E263="",TODAY()-8,$E263),TODAY()-8),0),1,0)),MAX(0,INT((MIN(IF($E263="",TODAY()-8,$E263),TODAY()-8)-($D263+MOD(SISTEM!$F$8-WEEKDAY($D263,2),7)))/7)+1)))</f>
        <v/>
      </c>
      <c r="K263" s="227">
        <f>IF(OR($C263="",$D263="",$G263="",$F263=""),0,$G263*IF($F263="Aylık",MAX(0,(YEAR(MIN(IF($E263="",TODAY()-15,$E263),TODAY()-15))-YEAR($D263))*12+MONTH(MIN(IF($E263="",TODAY()-15,$E263),TODAY()-15))-MONTH($D263)+IF(MIN(IF($E263="",TODAY()-15,$E263),TODAY()-15)&gt;=EOMONTH(MIN(IF($E263="",TODAY()-15,$E263),TODAY()-15),0),1,0)),MAX(0,INT((MIN(IF($E263="",TODAY()-15,$E263),TODAY()-15)-($D263+MOD(SISTEM!$F$8-WEEKDAY($D263,2),7)))/7)+1)))</f>
        <v/>
      </c>
      <c r="L263" s="227">
        <f>IF(OR($C263="",$D263="",$G263="",$F263=""),0,$G263*IF($F263="Aylık",MAX(0,(YEAR(MIN(IF($E263="",TODAY()-29,$E263),TODAY()-29))-YEAR($D263))*12+MONTH(MIN(IF($E263="",TODAY()-29,$E263),TODAY()-29))-MONTH($D263)+IF(MIN(IF($E263="",TODAY()-29,$E263),TODAY()-29)&gt;=EOMONTH(MIN(IF($E263="",TODAY()-29,$E263),TODAY()-29),0),1,0)),MAX(0,INT((MIN(IF($E263="",TODAY()-29,$E263),TODAY()-29)-($D263+MOD(SISTEM!$F$8-WEEKDAY($D263,2),7)))/7)+1)))</f>
        <v/>
      </c>
      <c r="M263" s="228">
        <f>IF($G263&gt;0,$I263/$G263,0)</f>
        <v/>
      </c>
      <c r="N263" s="113">
        <f>IF($C263="","",IF($B263="TANIMSIZ MÜŞTERİ","TANIMSIZ MÜŞTERİ",IF($F263="","MODEL SEÇİN",IF(OR($D263="",$G263&lt;=0),"EKSİK",IF(AND($E263&lt;&gt;"",$E263&lt;$D263),"TARİH HATASI",IF($H263="Pasif","KAPALI DÖNEM","UYGUN"))))))</f>
        <v/>
      </c>
      <c r="O263" s="229">
        <f>IF(OR($C263="",$D263="",$F263=""),"",IF($F263="Aylık",EOMONTH($D263,0),($D263+MOD(SISTEM!$F$8-WEEKDAY($D263,2),7))))</f>
        <v/>
      </c>
      <c r="P263" s="109" t="n"/>
      <c r="Q263" s="6" t="n"/>
      <c r="R263" s="6" t="n"/>
      <c r="S263" s="3">
        <f>IF($B263="","",$B263&amp;"|"&amp;COUNTIFS($B$7:$B263,$B263))</f>
        <v/>
      </c>
    </row>
    <row r="264">
      <c r="A264" s="6" t="n"/>
      <c r="B264" s="113">
        <f>IF($C264="","",IFERROR(INDEX(MUSTERILER!$B$7:$B$106,MATCH($C264,MUSTERILER!$C$7:$C$106,0)),IFERROR(INDEX(MUSTERILER!$B$7:$B$106,MATCH($C264,MUSTERILER!$B$7:$B$106,0)),IFERROR(INDEX(MUSTERILER!$B$7:$B$106,MATCH($C264&amp;"*",MUSTERILER!$C$7:$C$106,0)),"TANIMSIZ MÜŞTERİ"))))</f>
        <v/>
      </c>
      <c r="C264" s="109" t="n"/>
      <c r="D264" s="225" t="n"/>
      <c r="E264" s="225" t="n"/>
      <c r="F264" s="108" t="n"/>
      <c r="G264" s="226" t="n"/>
      <c r="H264" s="108" t="n"/>
      <c r="I264" s="227">
        <f>IF(OR($C264="",$D264="",$G264="",$F264=""),0,$G264*IF($F264="Aylık",MAX(0,(YEAR(MIN(IF($E264="",TODAY(),$E264),TODAY()))-YEAR($D264))*12+MONTH(MIN(IF($E264="",TODAY(),$E264),TODAY()))-MONTH($D264)+IF(MIN(IF($E264="",TODAY(),$E264),TODAY())&gt;=EOMONTH(MIN(IF($E264="",TODAY(),$E264),TODAY()),0),1,0)),MAX(0,INT((MIN(IF($E264="",TODAY(),$E264),TODAY())-($D264+MOD(SISTEM!$F$8-WEEKDAY($D264,2),7)))/7)+1)))</f>
        <v/>
      </c>
      <c r="J264" s="227">
        <f>IF(OR($C264="",$D264="",$G264="",$F264=""),0,$G264*IF($F264="Aylık",MAX(0,(YEAR(MIN(IF($E264="",TODAY()-8,$E264),TODAY()-8))-YEAR($D264))*12+MONTH(MIN(IF($E264="",TODAY()-8,$E264),TODAY()-8))-MONTH($D264)+IF(MIN(IF($E264="",TODAY()-8,$E264),TODAY()-8)&gt;=EOMONTH(MIN(IF($E264="",TODAY()-8,$E264),TODAY()-8),0),1,0)),MAX(0,INT((MIN(IF($E264="",TODAY()-8,$E264),TODAY()-8)-($D264+MOD(SISTEM!$F$8-WEEKDAY($D264,2),7)))/7)+1)))</f>
        <v/>
      </c>
      <c r="K264" s="227">
        <f>IF(OR($C264="",$D264="",$G264="",$F264=""),0,$G264*IF($F264="Aylık",MAX(0,(YEAR(MIN(IF($E264="",TODAY()-15,$E264),TODAY()-15))-YEAR($D264))*12+MONTH(MIN(IF($E264="",TODAY()-15,$E264),TODAY()-15))-MONTH($D264)+IF(MIN(IF($E264="",TODAY()-15,$E264),TODAY()-15)&gt;=EOMONTH(MIN(IF($E264="",TODAY()-15,$E264),TODAY()-15),0),1,0)),MAX(0,INT((MIN(IF($E264="",TODAY()-15,$E264),TODAY()-15)-($D264+MOD(SISTEM!$F$8-WEEKDAY($D264,2),7)))/7)+1)))</f>
        <v/>
      </c>
      <c r="L264" s="227">
        <f>IF(OR($C264="",$D264="",$G264="",$F264=""),0,$G264*IF($F264="Aylık",MAX(0,(YEAR(MIN(IF($E264="",TODAY()-29,$E264),TODAY()-29))-YEAR($D264))*12+MONTH(MIN(IF($E264="",TODAY()-29,$E264),TODAY()-29))-MONTH($D264)+IF(MIN(IF($E264="",TODAY()-29,$E264),TODAY()-29)&gt;=EOMONTH(MIN(IF($E264="",TODAY()-29,$E264),TODAY()-29),0),1,0)),MAX(0,INT((MIN(IF($E264="",TODAY()-29,$E264),TODAY()-29)-($D264+MOD(SISTEM!$F$8-WEEKDAY($D264,2),7)))/7)+1)))</f>
        <v/>
      </c>
      <c r="M264" s="228">
        <f>IF($G264&gt;0,$I264/$G264,0)</f>
        <v/>
      </c>
      <c r="N264" s="113">
        <f>IF($C264="","",IF($B264="TANIMSIZ MÜŞTERİ","TANIMSIZ MÜŞTERİ",IF($F264="","MODEL SEÇİN",IF(OR($D264="",$G264&lt;=0),"EKSİK",IF(AND($E264&lt;&gt;"",$E264&lt;$D264),"TARİH HATASI",IF($H264="Pasif","KAPALI DÖNEM","UYGUN"))))))</f>
        <v/>
      </c>
      <c r="O264" s="229">
        <f>IF(OR($C264="",$D264="",$F264=""),"",IF($F264="Aylık",EOMONTH($D264,0),($D264+MOD(SISTEM!$F$8-WEEKDAY($D264,2),7))))</f>
        <v/>
      </c>
      <c r="P264" s="109" t="n"/>
      <c r="Q264" s="6" t="n"/>
      <c r="R264" s="6" t="n"/>
      <c r="S264" s="3">
        <f>IF($B264="","",$B264&amp;"|"&amp;COUNTIFS($B$7:$B264,$B264))</f>
        <v/>
      </c>
    </row>
    <row r="265">
      <c r="A265" s="6" t="n"/>
      <c r="B265" s="113">
        <f>IF($C265="","",IFERROR(INDEX(MUSTERILER!$B$7:$B$106,MATCH($C265,MUSTERILER!$C$7:$C$106,0)),IFERROR(INDEX(MUSTERILER!$B$7:$B$106,MATCH($C265,MUSTERILER!$B$7:$B$106,0)),IFERROR(INDEX(MUSTERILER!$B$7:$B$106,MATCH($C265&amp;"*",MUSTERILER!$C$7:$C$106,0)),"TANIMSIZ MÜŞTERİ"))))</f>
        <v/>
      </c>
      <c r="C265" s="109" t="n"/>
      <c r="D265" s="225" t="n"/>
      <c r="E265" s="225" t="n"/>
      <c r="F265" s="108" t="n"/>
      <c r="G265" s="226" t="n"/>
      <c r="H265" s="108" t="n"/>
      <c r="I265" s="227">
        <f>IF(OR($C265="",$D265="",$G265="",$F265=""),0,$G265*IF($F265="Aylık",MAX(0,(YEAR(MIN(IF($E265="",TODAY(),$E265),TODAY()))-YEAR($D265))*12+MONTH(MIN(IF($E265="",TODAY(),$E265),TODAY()))-MONTH($D265)+IF(MIN(IF($E265="",TODAY(),$E265),TODAY())&gt;=EOMONTH(MIN(IF($E265="",TODAY(),$E265),TODAY()),0),1,0)),MAX(0,INT((MIN(IF($E265="",TODAY(),$E265),TODAY())-($D265+MOD(SISTEM!$F$8-WEEKDAY($D265,2),7)))/7)+1)))</f>
        <v/>
      </c>
      <c r="J265" s="227">
        <f>IF(OR($C265="",$D265="",$G265="",$F265=""),0,$G265*IF($F265="Aylık",MAX(0,(YEAR(MIN(IF($E265="",TODAY()-8,$E265),TODAY()-8))-YEAR($D265))*12+MONTH(MIN(IF($E265="",TODAY()-8,$E265),TODAY()-8))-MONTH($D265)+IF(MIN(IF($E265="",TODAY()-8,$E265),TODAY()-8)&gt;=EOMONTH(MIN(IF($E265="",TODAY()-8,$E265),TODAY()-8),0),1,0)),MAX(0,INT((MIN(IF($E265="",TODAY()-8,$E265),TODAY()-8)-($D265+MOD(SISTEM!$F$8-WEEKDAY($D265,2),7)))/7)+1)))</f>
        <v/>
      </c>
      <c r="K265" s="227">
        <f>IF(OR($C265="",$D265="",$G265="",$F265=""),0,$G265*IF($F265="Aylık",MAX(0,(YEAR(MIN(IF($E265="",TODAY()-15,$E265),TODAY()-15))-YEAR($D265))*12+MONTH(MIN(IF($E265="",TODAY()-15,$E265),TODAY()-15))-MONTH($D265)+IF(MIN(IF($E265="",TODAY()-15,$E265),TODAY()-15)&gt;=EOMONTH(MIN(IF($E265="",TODAY()-15,$E265),TODAY()-15),0),1,0)),MAX(0,INT((MIN(IF($E265="",TODAY()-15,$E265),TODAY()-15)-($D265+MOD(SISTEM!$F$8-WEEKDAY($D265,2),7)))/7)+1)))</f>
        <v/>
      </c>
      <c r="L265" s="227">
        <f>IF(OR($C265="",$D265="",$G265="",$F265=""),0,$G265*IF($F265="Aylık",MAX(0,(YEAR(MIN(IF($E265="",TODAY()-29,$E265),TODAY()-29))-YEAR($D265))*12+MONTH(MIN(IF($E265="",TODAY()-29,$E265),TODAY()-29))-MONTH($D265)+IF(MIN(IF($E265="",TODAY()-29,$E265),TODAY()-29)&gt;=EOMONTH(MIN(IF($E265="",TODAY()-29,$E265),TODAY()-29),0),1,0)),MAX(0,INT((MIN(IF($E265="",TODAY()-29,$E265),TODAY()-29)-($D265+MOD(SISTEM!$F$8-WEEKDAY($D265,2),7)))/7)+1)))</f>
        <v/>
      </c>
      <c r="M265" s="228">
        <f>IF($G265&gt;0,$I265/$G265,0)</f>
        <v/>
      </c>
      <c r="N265" s="113">
        <f>IF($C265="","",IF($B265="TANIMSIZ MÜŞTERİ","TANIMSIZ MÜŞTERİ",IF($F265="","MODEL SEÇİN",IF(OR($D265="",$G265&lt;=0),"EKSİK",IF(AND($E265&lt;&gt;"",$E265&lt;$D265),"TARİH HATASI",IF($H265="Pasif","KAPALI DÖNEM","UYGUN"))))))</f>
        <v/>
      </c>
      <c r="O265" s="229">
        <f>IF(OR($C265="",$D265="",$F265=""),"",IF($F265="Aylık",EOMONTH($D265,0),($D265+MOD(SISTEM!$F$8-WEEKDAY($D265,2),7))))</f>
        <v/>
      </c>
      <c r="P265" s="109" t="n"/>
      <c r="Q265" s="6" t="n"/>
      <c r="R265" s="6" t="n"/>
      <c r="S265" s="3">
        <f>IF($B265="","",$B265&amp;"|"&amp;COUNTIFS($B$7:$B265,$B265))</f>
        <v/>
      </c>
    </row>
    <row r="266">
      <c r="A266" s="6" t="n"/>
      <c r="B266" s="113">
        <f>IF($C266="","",IFERROR(INDEX(MUSTERILER!$B$7:$B$106,MATCH($C266,MUSTERILER!$C$7:$C$106,0)),IFERROR(INDEX(MUSTERILER!$B$7:$B$106,MATCH($C266,MUSTERILER!$B$7:$B$106,0)),IFERROR(INDEX(MUSTERILER!$B$7:$B$106,MATCH($C266&amp;"*",MUSTERILER!$C$7:$C$106,0)),"TANIMSIZ MÜŞTERİ"))))</f>
        <v/>
      </c>
      <c r="C266" s="109" t="n"/>
      <c r="D266" s="225" t="n"/>
      <c r="E266" s="225" t="n"/>
      <c r="F266" s="108" t="n"/>
      <c r="G266" s="226" t="n"/>
      <c r="H266" s="108" t="n"/>
      <c r="I266" s="227">
        <f>IF(OR($C266="",$D266="",$G266="",$F266=""),0,$G266*IF($F266="Aylık",MAX(0,(YEAR(MIN(IF($E266="",TODAY(),$E266),TODAY()))-YEAR($D266))*12+MONTH(MIN(IF($E266="",TODAY(),$E266),TODAY()))-MONTH($D266)+IF(MIN(IF($E266="",TODAY(),$E266),TODAY())&gt;=EOMONTH(MIN(IF($E266="",TODAY(),$E266),TODAY()),0),1,0)),MAX(0,INT((MIN(IF($E266="",TODAY(),$E266),TODAY())-($D266+MOD(SISTEM!$F$8-WEEKDAY($D266,2),7)))/7)+1)))</f>
        <v/>
      </c>
      <c r="J266" s="227">
        <f>IF(OR($C266="",$D266="",$G266="",$F266=""),0,$G266*IF($F266="Aylık",MAX(0,(YEAR(MIN(IF($E266="",TODAY()-8,$E266),TODAY()-8))-YEAR($D266))*12+MONTH(MIN(IF($E266="",TODAY()-8,$E266),TODAY()-8))-MONTH($D266)+IF(MIN(IF($E266="",TODAY()-8,$E266),TODAY()-8)&gt;=EOMONTH(MIN(IF($E266="",TODAY()-8,$E266),TODAY()-8),0),1,0)),MAX(0,INT((MIN(IF($E266="",TODAY()-8,$E266),TODAY()-8)-($D266+MOD(SISTEM!$F$8-WEEKDAY($D266,2),7)))/7)+1)))</f>
        <v/>
      </c>
      <c r="K266" s="227">
        <f>IF(OR($C266="",$D266="",$G266="",$F266=""),0,$G266*IF($F266="Aylık",MAX(0,(YEAR(MIN(IF($E266="",TODAY()-15,$E266),TODAY()-15))-YEAR($D266))*12+MONTH(MIN(IF($E266="",TODAY()-15,$E266),TODAY()-15))-MONTH($D266)+IF(MIN(IF($E266="",TODAY()-15,$E266),TODAY()-15)&gt;=EOMONTH(MIN(IF($E266="",TODAY()-15,$E266),TODAY()-15),0),1,0)),MAX(0,INT((MIN(IF($E266="",TODAY()-15,$E266),TODAY()-15)-($D266+MOD(SISTEM!$F$8-WEEKDAY($D266,2),7)))/7)+1)))</f>
        <v/>
      </c>
      <c r="L266" s="227">
        <f>IF(OR($C266="",$D266="",$G266="",$F266=""),0,$G266*IF($F266="Aylık",MAX(0,(YEAR(MIN(IF($E266="",TODAY()-29,$E266),TODAY()-29))-YEAR($D266))*12+MONTH(MIN(IF($E266="",TODAY()-29,$E266),TODAY()-29))-MONTH($D266)+IF(MIN(IF($E266="",TODAY()-29,$E266),TODAY()-29)&gt;=EOMONTH(MIN(IF($E266="",TODAY()-29,$E266),TODAY()-29),0),1,0)),MAX(0,INT((MIN(IF($E266="",TODAY()-29,$E266),TODAY()-29)-($D266+MOD(SISTEM!$F$8-WEEKDAY($D266,2),7)))/7)+1)))</f>
        <v/>
      </c>
      <c r="M266" s="228">
        <f>IF($G266&gt;0,$I266/$G266,0)</f>
        <v/>
      </c>
      <c r="N266" s="113">
        <f>IF($C266="","",IF($B266="TANIMSIZ MÜŞTERİ","TANIMSIZ MÜŞTERİ",IF($F266="","MODEL SEÇİN",IF(OR($D266="",$G266&lt;=0),"EKSİK",IF(AND($E266&lt;&gt;"",$E266&lt;$D266),"TARİH HATASI",IF($H266="Pasif","KAPALI DÖNEM","UYGUN"))))))</f>
        <v/>
      </c>
      <c r="O266" s="229">
        <f>IF(OR($C266="",$D266="",$F266=""),"",IF($F266="Aylık",EOMONTH($D266,0),($D266+MOD(SISTEM!$F$8-WEEKDAY($D266,2),7))))</f>
        <v/>
      </c>
      <c r="P266" s="109" t="n"/>
      <c r="Q266" s="6" t="n"/>
      <c r="R266" s="6" t="n"/>
      <c r="S266" s="3">
        <f>IF($B266="","",$B266&amp;"|"&amp;COUNTIFS($B$7:$B266,$B266))</f>
        <v/>
      </c>
    </row>
    <row r="267">
      <c r="A267" s="6" t="n"/>
      <c r="B267" s="113">
        <f>IF($C267="","",IFERROR(INDEX(MUSTERILER!$B$7:$B$106,MATCH($C267,MUSTERILER!$C$7:$C$106,0)),IFERROR(INDEX(MUSTERILER!$B$7:$B$106,MATCH($C267,MUSTERILER!$B$7:$B$106,0)),IFERROR(INDEX(MUSTERILER!$B$7:$B$106,MATCH($C267&amp;"*",MUSTERILER!$C$7:$C$106,0)),"TANIMSIZ MÜŞTERİ"))))</f>
        <v/>
      </c>
      <c r="C267" s="109" t="n"/>
      <c r="D267" s="225" t="n"/>
      <c r="E267" s="225" t="n"/>
      <c r="F267" s="108" t="n"/>
      <c r="G267" s="226" t="n"/>
      <c r="H267" s="108" t="n"/>
      <c r="I267" s="227">
        <f>IF(OR($C267="",$D267="",$G267="",$F267=""),0,$G267*IF($F267="Aylık",MAX(0,(YEAR(MIN(IF($E267="",TODAY(),$E267),TODAY()))-YEAR($D267))*12+MONTH(MIN(IF($E267="",TODAY(),$E267),TODAY()))-MONTH($D267)+IF(MIN(IF($E267="",TODAY(),$E267),TODAY())&gt;=EOMONTH(MIN(IF($E267="",TODAY(),$E267),TODAY()),0),1,0)),MAX(0,INT((MIN(IF($E267="",TODAY(),$E267),TODAY())-($D267+MOD(SISTEM!$F$8-WEEKDAY($D267,2),7)))/7)+1)))</f>
        <v/>
      </c>
      <c r="J267" s="227">
        <f>IF(OR($C267="",$D267="",$G267="",$F267=""),0,$G267*IF($F267="Aylık",MAX(0,(YEAR(MIN(IF($E267="",TODAY()-8,$E267),TODAY()-8))-YEAR($D267))*12+MONTH(MIN(IF($E267="",TODAY()-8,$E267),TODAY()-8))-MONTH($D267)+IF(MIN(IF($E267="",TODAY()-8,$E267),TODAY()-8)&gt;=EOMONTH(MIN(IF($E267="",TODAY()-8,$E267),TODAY()-8),0),1,0)),MAX(0,INT((MIN(IF($E267="",TODAY()-8,$E267),TODAY()-8)-($D267+MOD(SISTEM!$F$8-WEEKDAY($D267,2),7)))/7)+1)))</f>
        <v/>
      </c>
      <c r="K267" s="227">
        <f>IF(OR($C267="",$D267="",$G267="",$F267=""),0,$G267*IF($F267="Aylık",MAX(0,(YEAR(MIN(IF($E267="",TODAY()-15,$E267),TODAY()-15))-YEAR($D267))*12+MONTH(MIN(IF($E267="",TODAY()-15,$E267),TODAY()-15))-MONTH($D267)+IF(MIN(IF($E267="",TODAY()-15,$E267),TODAY()-15)&gt;=EOMONTH(MIN(IF($E267="",TODAY()-15,$E267),TODAY()-15),0),1,0)),MAX(0,INT((MIN(IF($E267="",TODAY()-15,$E267),TODAY()-15)-($D267+MOD(SISTEM!$F$8-WEEKDAY($D267,2),7)))/7)+1)))</f>
        <v/>
      </c>
      <c r="L267" s="227">
        <f>IF(OR($C267="",$D267="",$G267="",$F267=""),0,$G267*IF($F267="Aylık",MAX(0,(YEAR(MIN(IF($E267="",TODAY()-29,$E267),TODAY()-29))-YEAR($D267))*12+MONTH(MIN(IF($E267="",TODAY()-29,$E267),TODAY()-29))-MONTH($D267)+IF(MIN(IF($E267="",TODAY()-29,$E267),TODAY()-29)&gt;=EOMONTH(MIN(IF($E267="",TODAY()-29,$E267),TODAY()-29),0),1,0)),MAX(0,INT((MIN(IF($E267="",TODAY()-29,$E267),TODAY()-29)-($D267+MOD(SISTEM!$F$8-WEEKDAY($D267,2),7)))/7)+1)))</f>
        <v/>
      </c>
      <c r="M267" s="228">
        <f>IF($G267&gt;0,$I267/$G267,0)</f>
        <v/>
      </c>
      <c r="N267" s="113">
        <f>IF($C267="","",IF($B267="TANIMSIZ MÜŞTERİ","TANIMSIZ MÜŞTERİ",IF($F267="","MODEL SEÇİN",IF(OR($D267="",$G267&lt;=0),"EKSİK",IF(AND($E267&lt;&gt;"",$E267&lt;$D267),"TARİH HATASI",IF($H267="Pasif","KAPALI DÖNEM","UYGUN"))))))</f>
        <v/>
      </c>
      <c r="O267" s="229">
        <f>IF(OR($C267="",$D267="",$F267=""),"",IF($F267="Aylık",EOMONTH($D267,0),($D267+MOD(SISTEM!$F$8-WEEKDAY($D267,2),7))))</f>
        <v/>
      </c>
      <c r="P267" s="109" t="n"/>
      <c r="Q267" s="6" t="n"/>
      <c r="R267" s="6" t="n"/>
      <c r="S267" s="3">
        <f>IF($B267="","",$B267&amp;"|"&amp;COUNTIFS($B$7:$B267,$B267))</f>
        <v/>
      </c>
    </row>
    <row r="268">
      <c r="A268" s="6" t="n"/>
      <c r="B268" s="113">
        <f>IF($C268="","",IFERROR(INDEX(MUSTERILER!$B$7:$B$106,MATCH($C268,MUSTERILER!$C$7:$C$106,0)),IFERROR(INDEX(MUSTERILER!$B$7:$B$106,MATCH($C268,MUSTERILER!$B$7:$B$106,0)),IFERROR(INDEX(MUSTERILER!$B$7:$B$106,MATCH($C268&amp;"*",MUSTERILER!$C$7:$C$106,0)),"TANIMSIZ MÜŞTERİ"))))</f>
        <v/>
      </c>
      <c r="C268" s="109" t="n"/>
      <c r="D268" s="225" t="n"/>
      <c r="E268" s="225" t="n"/>
      <c r="F268" s="108" t="n"/>
      <c r="G268" s="226" t="n"/>
      <c r="H268" s="108" t="n"/>
      <c r="I268" s="227">
        <f>IF(OR($C268="",$D268="",$G268="",$F268=""),0,$G268*IF($F268="Aylık",MAX(0,(YEAR(MIN(IF($E268="",TODAY(),$E268),TODAY()))-YEAR($D268))*12+MONTH(MIN(IF($E268="",TODAY(),$E268),TODAY()))-MONTH($D268)+IF(MIN(IF($E268="",TODAY(),$E268),TODAY())&gt;=EOMONTH(MIN(IF($E268="",TODAY(),$E268),TODAY()),0),1,0)),MAX(0,INT((MIN(IF($E268="",TODAY(),$E268),TODAY())-($D268+MOD(SISTEM!$F$8-WEEKDAY($D268,2),7)))/7)+1)))</f>
        <v/>
      </c>
      <c r="J268" s="227">
        <f>IF(OR($C268="",$D268="",$G268="",$F268=""),0,$G268*IF($F268="Aylık",MAX(0,(YEAR(MIN(IF($E268="",TODAY()-8,$E268),TODAY()-8))-YEAR($D268))*12+MONTH(MIN(IF($E268="",TODAY()-8,$E268),TODAY()-8))-MONTH($D268)+IF(MIN(IF($E268="",TODAY()-8,$E268),TODAY()-8)&gt;=EOMONTH(MIN(IF($E268="",TODAY()-8,$E268),TODAY()-8),0),1,0)),MAX(0,INT((MIN(IF($E268="",TODAY()-8,$E268),TODAY()-8)-($D268+MOD(SISTEM!$F$8-WEEKDAY($D268,2),7)))/7)+1)))</f>
        <v/>
      </c>
      <c r="K268" s="227">
        <f>IF(OR($C268="",$D268="",$G268="",$F268=""),0,$G268*IF($F268="Aylık",MAX(0,(YEAR(MIN(IF($E268="",TODAY()-15,$E268),TODAY()-15))-YEAR($D268))*12+MONTH(MIN(IF($E268="",TODAY()-15,$E268),TODAY()-15))-MONTH($D268)+IF(MIN(IF($E268="",TODAY()-15,$E268),TODAY()-15)&gt;=EOMONTH(MIN(IF($E268="",TODAY()-15,$E268),TODAY()-15),0),1,0)),MAX(0,INT((MIN(IF($E268="",TODAY()-15,$E268),TODAY()-15)-($D268+MOD(SISTEM!$F$8-WEEKDAY($D268,2),7)))/7)+1)))</f>
        <v/>
      </c>
      <c r="L268" s="227">
        <f>IF(OR($C268="",$D268="",$G268="",$F268=""),0,$G268*IF($F268="Aylık",MAX(0,(YEAR(MIN(IF($E268="",TODAY()-29,$E268),TODAY()-29))-YEAR($D268))*12+MONTH(MIN(IF($E268="",TODAY()-29,$E268),TODAY()-29))-MONTH($D268)+IF(MIN(IF($E268="",TODAY()-29,$E268),TODAY()-29)&gt;=EOMONTH(MIN(IF($E268="",TODAY()-29,$E268),TODAY()-29),0),1,0)),MAX(0,INT((MIN(IF($E268="",TODAY()-29,$E268),TODAY()-29)-($D268+MOD(SISTEM!$F$8-WEEKDAY($D268,2),7)))/7)+1)))</f>
        <v/>
      </c>
      <c r="M268" s="228">
        <f>IF($G268&gt;0,$I268/$G268,0)</f>
        <v/>
      </c>
      <c r="N268" s="113">
        <f>IF($C268="","",IF($B268="TANIMSIZ MÜŞTERİ","TANIMSIZ MÜŞTERİ",IF($F268="","MODEL SEÇİN",IF(OR($D268="",$G268&lt;=0),"EKSİK",IF(AND($E268&lt;&gt;"",$E268&lt;$D268),"TARİH HATASI",IF($H268="Pasif","KAPALI DÖNEM","UYGUN"))))))</f>
        <v/>
      </c>
      <c r="O268" s="229">
        <f>IF(OR($C268="",$D268="",$F268=""),"",IF($F268="Aylık",EOMONTH($D268,0),($D268+MOD(SISTEM!$F$8-WEEKDAY($D268,2),7))))</f>
        <v/>
      </c>
      <c r="P268" s="109" t="n"/>
      <c r="Q268" s="6" t="n"/>
      <c r="R268" s="6" t="n"/>
      <c r="S268" s="3">
        <f>IF($B268="","",$B268&amp;"|"&amp;COUNTIFS($B$7:$B268,$B268))</f>
        <v/>
      </c>
    </row>
    <row r="269">
      <c r="A269" s="6" t="n"/>
      <c r="B269" s="113">
        <f>IF($C269="","",IFERROR(INDEX(MUSTERILER!$B$7:$B$106,MATCH($C269,MUSTERILER!$C$7:$C$106,0)),IFERROR(INDEX(MUSTERILER!$B$7:$B$106,MATCH($C269,MUSTERILER!$B$7:$B$106,0)),IFERROR(INDEX(MUSTERILER!$B$7:$B$106,MATCH($C269&amp;"*",MUSTERILER!$C$7:$C$106,0)),"TANIMSIZ MÜŞTERİ"))))</f>
        <v/>
      </c>
      <c r="C269" s="109" t="n"/>
      <c r="D269" s="225" t="n"/>
      <c r="E269" s="225" t="n"/>
      <c r="F269" s="108" t="n"/>
      <c r="G269" s="226" t="n"/>
      <c r="H269" s="108" t="n"/>
      <c r="I269" s="227">
        <f>IF(OR($C269="",$D269="",$G269="",$F269=""),0,$G269*IF($F269="Aylık",MAX(0,(YEAR(MIN(IF($E269="",TODAY(),$E269),TODAY()))-YEAR($D269))*12+MONTH(MIN(IF($E269="",TODAY(),$E269),TODAY()))-MONTH($D269)+IF(MIN(IF($E269="",TODAY(),$E269),TODAY())&gt;=EOMONTH(MIN(IF($E269="",TODAY(),$E269),TODAY()),0),1,0)),MAX(0,INT((MIN(IF($E269="",TODAY(),$E269),TODAY())-($D269+MOD(SISTEM!$F$8-WEEKDAY($D269,2),7)))/7)+1)))</f>
        <v/>
      </c>
      <c r="J269" s="227">
        <f>IF(OR($C269="",$D269="",$G269="",$F269=""),0,$G269*IF($F269="Aylık",MAX(0,(YEAR(MIN(IF($E269="",TODAY()-8,$E269),TODAY()-8))-YEAR($D269))*12+MONTH(MIN(IF($E269="",TODAY()-8,$E269),TODAY()-8))-MONTH($D269)+IF(MIN(IF($E269="",TODAY()-8,$E269),TODAY()-8)&gt;=EOMONTH(MIN(IF($E269="",TODAY()-8,$E269),TODAY()-8),0),1,0)),MAX(0,INT((MIN(IF($E269="",TODAY()-8,$E269),TODAY()-8)-($D269+MOD(SISTEM!$F$8-WEEKDAY($D269,2),7)))/7)+1)))</f>
        <v/>
      </c>
      <c r="K269" s="227">
        <f>IF(OR($C269="",$D269="",$G269="",$F269=""),0,$G269*IF($F269="Aylık",MAX(0,(YEAR(MIN(IF($E269="",TODAY()-15,$E269),TODAY()-15))-YEAR($D269))*12+MONTH(MIN(IF($E269="",TODAY()-15,$E269),TODAY()-15))-MONTH($D269)+IF(MIN(IF($E269="",TODAY()-15,$E269),TODAY()-15)&gt;=EOMONTH(MIN(IF($E269="",TODAY()-15,$E269),TODAY()-15),0),1,0)),MAX(0,INT((MIN(IF($E269="",TODAY()-15,$E269),TODAY()-15)-($D269+MOD(SISTEM!$F$8-WEEKDAY($D269,2),7)))/7)+1)))</f>
        <v/>
      </c>
      <c r="L269" s="227">
        <f>IF(OR($C269="",$D269="",$G269="",$F269=""),0,$G269*IF($F269="Aylık",MAX(0,(YEAR(MIN(IF($E269="",TODAY()-29,$E269),TODAY()-29))-YEAR($D269))*12+MONTH(MIN(IF($E269="",TODAY()-29,$E269),TODAY()-29))-MONTH($D269)+IF(MIN(IF($E269="",TODAY()-29,$E269),TODAY()-29)&gt;=EOMONTH(MIN(IF($E269="",TODAY()-29,$E269),TODAY()-29),0),1,0)),MAX(0,INT((MIN(IF($E269="",TODAY()-29,$E269),TODAY()-29)-($D269+MOD(SISTEM!$F$8-WEEKDAY($D269,2),7)))/7)+1)))</f>
        <v/>
      </c>
      <c r="M269" s="228">
        <f>IF($G269&gt;0,$I269/$G269,0)</f>
        <v/>
      </c>
      <c r="N269" s="113">
        <f>IF($C269="","",IF($B269="TANIMSIZ MÜŞTERİ","TANIMSIZ MÜŞTERİ",IF($F269="","MODEL SEÇİN",IF(OR($D269="",$G269&lt;=0),"EKSİK",IF(AND($E269&lt;&gt;"",$E269&lt;$D269),"TARİH HATASI",IF($H269="Pasif","KAPALI DÖNEM","UYGUN"))))))</f>
        <v/>
      </c>
      <c r="O269" s="229">
        <f>IF(OR($C269="",$D269="",$F269=""),"",IF($F269="Aylık",EOMONTH($D269,0),($D269+MOD(SISTEM!$F$8-WEEKDAY($D269,2),7))))</f>
        <v/>
      </c>
      <c r="P269" s="109" t="n"/>
      <c r="Q269" s="6" t="n"/>
      <c r="R269" s="6" t="n"/>
      <c r="S269" s="3">
        <f>IF($B269="","",$B269&amp;"|"&amp;COUNTIFS($B$7:$B269,$B269))</f>
        <v/>
      </c>
    </row>
    <row r="270">
      <c r="A270" s="6" t="n"/>
      <c r="B270" s="113">
        <f>IF($C270="","",IFERROR(INDEX(MUSTERILER!$B$7:$B$106,MATCH($C270,MUSTERILER!$C$7:$C$106,0)),IFERROR(INDEX(MUSTERILER!$B$7:$B$106,MATCH($C270,MUSTERILER!$B$7:$B$106,0)),IFERROR(INDEX(MUSTERILER!$B$7:$B$106,MATCH($C270&amp;"*",MUSTERILER!$C$7:$C$106,0)),"TANIMSIZ MÜŞTERİ"))))</f>
        <v/>
      </c>
      <c r="C270" s="109" t="n"/>
      <c r="D270" s="225" t="n"/>
      <c r="E270" s="225" t="n"/>
      <c r="F270" s="108" t="n"/>
      <c r="G270" s="226" t="n"/>
      <c r="H270" s="108" t="n"/>
      <c r="I270" s="227">
        <f>IF(OR($C270="",$D270="",$G270="",$F270=""),0,$G270*IF($F270="Aylık",MAX(0,(YEAR(MIN(IF($E270="",TODAY(),$E270),TODAY()))-YEAR($D270))*12+MONTH(MIN(IF($E270="",TODAY(),$E270),TODAY()))-MONTH($D270)+IF(MIN(IF($E270="",TODAY(),$E270),TODAY())&gt;=EOMONTH(MIN(IF($E270="",TODAY(),$E270),TODAY()),0),1,0)),MAX(0,INT((MIN(IF($E270="",TODAY(),$E270),TODAY())-($D270+MOD(SISTEM!$F$8-WEEKDAY($D270,2),7)))/7)+1)))</f>
        <v/>
      </c>
      <c r="J270" s="227">
        <f>IF(OR($C270="",$D270="",$G270="",$F270=""),0,$G270*IF($F270="Aylık",MAX(0,(YEAR(MIN(IF($E270="",TODAY()-8,$E270),TODAY()-8))-YEAR($D270))*12+MONTH(MIN(IF($E270="",TODAY()-8,$E270),TODAY()-8))-MONTH($D270)+IF(MIN(IF($E270="",TODAY()-8,$E270),TODAY()-8)&gt;=EOMONTH(MIN(IF($E270="",TODAY()-8,$E270),TODAY()-8),0),1,0)),MAX(0,INT((MIN(IF($E270="",TODAY()-8,$E270),TODAY()-8)-($D270+MOD(SISTEM!$F$8-WEEKDAY($D270,2),7)))/7)+1)))</f>
        <v/>
      </c>
      <c r="K270" s="227">
        <f>IF(OR($C270="",$D270="",$G270="",$F270=""),0,$G270*IF($F270="Aylık",MAX(0,(YEAR(MIN(IF($E270="",TODAY()-15,$E270),TODAY()-15))-YEAR($D270))*12+MONTH(MIN(IF($E270="",TODAY()-15,$E270),TODAY()-15))-MONTH($D270)+IF(MIN(IF($E270="",TODAY()-15,$E270),TODAY()-15)&gt;=EOMONTH(MIN(IF($E270="",TODAY()-15,$E270),TODAY()-15),0),1,0)),MAX(0,INT((MIN(IF($E270="",TODAY()-15,$E270),TODAY()-15)-($D270+MOD(SISTEM!$F$8-WEEKDAY($D270,2),7)))/7)+1)))</f>
        <v/>
      </c>
      <c r="L270" s="227">
        <f>IF(OR($C270="",$D270="",$G270="",$F270=""),0,$G270*IF($F270="Aylık",MAX(0,(YEAR(MIN(IF($E270="",TODAY()-29,$E270),TODAY()-29))-YEAR($D270))*12+MONTH(MIN(IF($E270="",TODAY()-29,$E270),TODAY()-29))-MONTH($D270)+IF(MIN(IF($E270="",TODAY()-29,$E270),TODAY()-29)&gt;=EOMONTH(MIN(IF($E270="",TODAY()-29,$E270),TODAY()-29),0),1,0)),MAX(0,INT((MIN(IF($E270="",TODAY()-29,$E270),TODAY()-29)-($D270+MOD(SISTEM!$F$8-WEEKDAY($D270,2),7)))/7)+1)))</f>
        <v/>
      </c>
      <c r="M270" s="228">
        <f>IF($G270&gt;0,$I270/$G270,0)</f>
        <v/>
      </c>
      <c r="N270" s="113">
        <f>IF($C270="","",IF($B270="TANIMSIZ MÜŞTERİ","TANIMSIZ MÜŞTERİ",IF($F270="","MODEL SEÇİN",IF(OR($D270="",$G270&lt;=0),"EKSİK",IF(AND($E270&lt;&gt;"",$E270&lt;$D270),"TARİH HATASI",IF($H270="Pasif","KAPALI DÖNEM","UYGUN"))))))</f>
        <v/>
      </c>
      <c r="O270" s="229">
        <f>IF(OR($C270="",$D270="",$F270=""),"",IF($F270="Aylık",EOMONTH($D270,0),($D270+MOD(SISTEM!$F$8-WEEKDAY($D270,2),7))))</f>
        <v/>
      </c>
      <c r="P270" s="109" t="n"/>
      <c r="Q270" s="6" t="n"/>
      <c r="R270" s="6" t="n"/>
      <c r="S270" s="3">
        <f>IF($B270="","",$B270&amp;"|"&amp;COUNTIFS($B$7:$B270,$B270))</f>
        <v/>
      </c>
    </row>
    <row r="271">
      <c r="A271" s="6" t="n"/>
      <c r="B271" s="113">
        <f>IF($C271="","",IFERROR(INDEX(MUSTERILER!$B$7:$B$106,MATCH($C271,MUSTERILER!$C$7:$C$106,0)),IFERROR(INDEX(MUSTERILER!$B$7:$B$106,MATCH($C271,MUSTERILER!$B$7:$B$106,0)),IFERROR(INDEX(MUSTERILER!$B$7:$B$106,MATCH($C271&amp;"*",MUSTERILER!$C$7:$C$106,0)),"TANIMSIZ MÜŞTERİ"))))</f>
        <v/>
      </c>
      <c r="C271" s="109" t="n"/>
      <c r="D271" s="225" t="n"/>
      <c r="E271" s="225" t="n"/>
      <c r="F271" s="108" t="n"/>
      <c r="G271" s="226" t="n"/>
      <c r="H271" s="108" t="n"/>
      <c r="I271" s="227">
        <f>IF(OR($C271="",$D271="",$G271="",$F271=""),0,$G271*IF($F271="Aylık",MAX(0,(YEAR(MIN(IF($E271="",TODAY(),$E271),TODAY()))-YEAR($D271))*12+MONTH(MIN(IF($E271="",TODAY(),$E271),TODAY()))-MONTH($D271)+IF(MIN(IF($E271="",TODAY(),$E271),TODAY())&gt;=EOMONTH(MIN(IF($E271="",TODAY(),$E271),TODAY()),0),1,0)),MAX(0,INT((MIN(IF($E271="",TODAY(),$E271),TODAY())-($D271+MOD(SISTEM!$F$8-WEEKDAY($D271,2),7)))/7)+1)))</f>
        <v/>
      </c>
      <c r="J271" s="227">
        <f>IF(OR($C271="",$D271="",$G271="",$F271=""),0,$G271*IF($F271="Aylık",MAX(0,(YEAR(MIN(IF($E271="",TODAY()-8,$E271),TODAY()-8))-YEAR($D271))*12+MONTH(MIN(IF($E271="",TODAY()-8,$E271),TODAY()-8))-MONTH($D271)+IF(MIN(IF($E271="",TODAY()-8,$E271),TODAY()-8)&gt;=EOMONTH(MIN(IF($E271="",TODAY()-8,$E271),TODAY()-8),0),1,0)),MAX(0,INT((MIN(IF($E271="",TODAY()-8,$E271),TODAY()-8)-($D271+MOD(SISTEM!$F$8-WEEKDAY($D271,2),7)))/7)+1)))</f>
        <v/>
      </c>
      <c r="K271" s="227">
        <f>IF(OR($C271="",$D271="",$G271="",$F271=""),0,$G271*IF($F271="Aylık",MAX(0,(YEAR(MIN(IF($E271="",TODAY()-15,$E271),TODAY()-15))-YEAR($D271))*12+MONTH(MIN(IF($E271="",TODAY()-15,$E271),TODAY()-15))-MONTH($D271)+IF(MIN(IF($E271="",TODAY()-15,$E271),TODAY()-15)&gt;=EOMONTH(MIN(IF($E271="",TODAY()-15,$E271),TODAY()-15),0),1,0)),MAX(0,INT((MIN(IF($E271="",TODAY()-15,$E271),TODAY()-15)-($D271+MOD(SISTEM!$F$8-WEEKDAY($D271,2),7)))/7)+1)))</f>
        <v/>
      </c>
      <c r="L271" s="227">
        <f>IF(OR($C271="",$D271="",$G271="",$F271=""),0,$G271*IF($F271="Aylık",MAX(0,(YEAR(MIN(IF($E271="",TODAY()-29,$E271),TODAY()-29))-YEAR($D271))*12+MONTH(MIN(IF($E271="",TODAY()-29,$E271),TODAY()-29))-MONTH($D271)+IF(MIN(IF($E271="",TODAY()-29,$E271),TODAY()-29)&gt;=EOMONTH(MIN(IF($E271="",TODAY()-29,$E271),TODAY()-29),0),1,0)),MAX(0,INT((MIN(IF($E271="",TODAY()-29,$E271),TODAY()-29)-($D271+MOD(SISTEM!$F$8-WEEKDAY($D271,2),7)))/7)+1)))</f>
        <v/>
      </c>
      <c r="M271" s="228">
        <f>IF($G271&gt;0,$I271/$G271,0)</f>
        <v/>
      </c>
      <c r="N271" s="113">
        <f>IF($C271="","",IF($B271="TANIMSIZ MÜŞTERİ","TANIMSIZ MÜŞTERİ",IF($F271="","MODEL SEÇİN",IF(OR($D271="",$G271&lt;=0),"EKSİK",IF(AND($E271&lt;&gt;"",$E271&lt;$D271),"TARİH HATASI",IF($H271="Pasif","KAPALI DÖNEM","UYGUN"))))))</f>
        <v/>
      </c>
      <c r="O271" s="229">
        <f>IF(OR($C271="",$D271="",$F271=""),"",IF($F271="Aylık",EOMONTH($D271,0),($D271+MOD(SISTEM!$F$8-WEEKDAY($D271,2),7))))</f>
        <v/>
      </c>
      <c r="P271" s="109" t="n"/>
      <c r="Q271" s="6" t="n"/>
      <c r="R271" s="6" t="n"/>
      <c r="S271" s="3">
        <f>IF($B271="","",$B271&amp;"|"&amp;COUNTIFS($B$7:$B271,$B271))</f>
        <v/>
      </c>
    </row>
    <row r="272">
      <c r="A272" s="6" t="n"/>
      <c r="B272" s="113">
        <f>IF($C272="","",IFERROR(INDEX(MUSTERILER!$B$7:$B$106,MATCH($C272,MUSTERILER!$C$7:$C$106,0)),IFERROR(INDEX(MUSTERILER!$B$7:$B$106,MATCH($C272,MUSTERILER!$B$7:$B$106,0)),IFERROR(INDEX(MUSTERILER!$B$7:$B$106,MATCH($C272&amp;"*",MUSTERILER!$C$7:$C$106,0)),"TANIMSIZ MÜŞTERİ"))))</f>
        <v/>
      </c>
      <c r="C272" s="109" t="n"/>
      <c r="D272" s="225" t="n"/>
      <c r="E272" s="225" t="n"/>
      <c r="F272" s="108" t="n"/>
      <c r="G272" s="226" t="n"/>
      <c r="H272" s="108" t="n"/>
      <c r="I272" s="227">
        <f>IF(OR($C272="",$D272="",$G272="",$F272=""),0,$G272*IF($F272="Aylık",MAX(0,(YEAR(MIN(IF($E272="",TODAY(),$E272),TODAY()))-YEAR($D272))*12+MONTH(MIN(IF($E272="",TODAY(),$E272),TODAY()))-MONTH($D272)+IF(MIN(IF($E272="",TODAY(),$E272),TODAY())&gt;=EOMONTH(MIN(IF($E272="",TODAY(),$E272),TODAY()),0),1,0)),MAX(0,INT((MIN(IF($E272="",TODAY(),$E272),TODAY())-($D272+MOD(SISTEM!$F$8-WEEKDAY($D272,2),7)))/7)+1)))</f>
        <v/>
      </c>
      <c r="J272" s="227">
        <f>IF(OR($C272="",$D272="",$G272="",$F272=""),0,$G272*IF($F272="Aylık",MAX(0,(YEAR(MIN(IF($E272="",TODAY()-8,$E272),TODAY()-8))-YEAR($D272))*12+MONTH(MIN(IF($E272="",TODAY()-8,$E272),TODAY()-8))-MONTH($D272)+IF(MIN(IF($E272="",TODAY()-8,$E272),TODAY()-8)&gt;=EOMONTH(MIN(IF($E272="",TODAY()-8,$E272),TODAY()-8),0),1,0)),MAX(0,INT((MIN(IF($E272="",TODAY()-8,$E272),TODAY()-8)-($D272+MOD(SISTEM!$F$8-WEEKDAY($D272,2),7)))/7)+1)))</f>
        <v/>
      </c>
      <c r="K272" s="227">
        <f>IF(OR($C272="",$D272="",$G272="",$F272=""),0,$G272*IF($F272="Aylık",MAX(0,(YEAR(MIN(IF($E272="",TODAY()-15,$E272),TODAY()-15))-YEAR($D272))*12+MONTH(MIN(IF($E272="",TODAY()-15,$E272),TODAY()-15))-MONTH($D272)+IF(MIN(IF($E272="",TODAY()-15,$E272),TODAY()-15)&gt;=EOMONTH(MIN(IF($E272="",TODAY()-15,$E272),TODAY()-15),0),1,0)),MAX(0,INT((MIN(IF($E272="",TODAY()-15,$E272),TODAY()-15)-($D272+MOD(SISTEM!$F$8-WEEKDAY($D272,2),7)))/7)+1)))</f>
        <v/>
      </c>
      <c r="L272" s="227">
        <f>IF(OR($C272="",$D272="",$G272="",$F272=""),0,$G272*IF($F272="Aylık",MAX(0,(YEAR(MIN(IF($E272="",TODAY()-29,$E272),TODAY()-29))-YEAR($D272))*12+MONTH(MIN(IF($E272="",TODAY()-29,$E272),TODAY()-29))-MONTH($D272)+IF(MIN(IF($E272="",TODAY()-29,$E272),TODAY()-29)&gt;=EOMONTH(MIN(IF($E272="",TODAY()-29,$E272),TODAY()-29),0),1,0)),MAX(0,INT((MIN(IF($E272="",TODAY()-29,$E272),TODAY()-29)-($D272+MOD(SISTEM!$F$8-WEEKDAY($D272,2),7)))/7)+1)))</f>
        <v/>
      </c>
      <c r="M272" s="228">
        <f>IF($G272&gt;0,$I272/$G272,0)</f>
        <v/>
      </c>
      <c r="N272" s="113">
        <f>IF($C272="","",IF($B272="TANIMSIZ MÜŞTERİ","TANIMSIZ MÜŞTERİ",IF($F272="","MODEL SEÇİN",IF(OR($D272="",$G272&lt;=0),"EKSİK",IF(AND($E272&lt;&gt;"",$E272&lt;$D272),"TARİH HATASI",IF($H272="Pasif","KAPALI DÖNEM","UYGUN"))))))</f>
        <v/>
      </c>
      <c r="O272" s="229">
        <f>IF(OR($C272="",$D272="",$F272=""),"",IF($F272="Aylık",EOMONTH($D272,0),($D272+MOD(SISTEM!$F$8-WEEKDAY($D272,2),7))))</f>
        <v/>
      </c>
      <c r="P272" s="109" t="n"/>
      <c r="Q272" s="6" t="n"/>
      <c r="R272" s="6" t="n"/>
      <c r="S272" s="3">
        <f>IF($B272="","",$B272&amp;"|"&amp;COUNTIFS($B$7:$B272,$B272))</f>
        <v/>
      </c>
    </row>
    <row r="273">
      <c r="A273" s="6" t="n"/>
      <c r="B273" s="113">
        <f>IF($C273="","",IFERROR(INDEX(MUSTERILER!$B$7:$B$106,MATCH($C273,MUSTERILER!$C$7:$C$106,0)),IFERROR(INDEX(MUSTERILER!$B$7:$B$106,MATCH($C273,MUSTERILER!$B$7:$B$106,0)),IFERROR(INDEX(MUSTERILER!$B$7:$B$106,MATCH($C273&amp;"*",MUSTERILER!$C$7:$C$106,0)),"TANIMSIZ MÜŞTERİ"))))</f>
        <v/>
      </c>
      <c r="C273" s="109" t="n"/>
      <c r="D273" s="225" t="n"/>
      <c r="E273" s="225" t="n"/>
      <c r="F273" s="108" t="n"/>
      <c r="G273" s="226" t="n"/>
      <c r="H273" s="108" t="n"/>
      <c r="I273" s="227">
        <f>IF(OR($C273="",$D273="",$G273="",$F273=""),0,$G273*IF($F273="Aylık",MAX(0,(YEAR(MIN(IF($E273="",TODAY(),$E273),TODAY()))-YEAR($D273))*12+MONTH(MIN(IF($E273="",TODAY(),$E273),TODAY()))-MONTH($D273)+IF(MIN(IF($E273="",TODAY(),$E273),TODAY())&gt;=EOMONTH(MIN(IF($E273="",TODAY(),$E273),TODAY()),0),1,0)),MAX(0,INT((MIN(IF($E273="",TODAY(),$E273),TODAY())-($D273+MOD(SISTEM!$F$8-WEEKDAY($D273,2),7)))/7)+1)))</f>
        <v/>
      </c>
      <c r="J273" s="227">
        <f>IF(OR($C273="",$D273="",$G273="",$F273=""),0,$G273*IF($F273="Aylık",MAX(0,(YEAR(MIN(IF($E273="",TODAY()-8,$E273),TODAY()-8))-YEAR($D273))*12+MONTH(MIN(IF($E273="",TODAY()-8,$E273),TODAY()-8))-MONTH($D273)+IF(MIN(IF($E273="",TODAY()-8,$E273),TODAY()-8)&gt;=EOMONTH(MIN(IF($E273="",TODAY()-8,$E273),TODAY()-8),0),1,0)),MAX(0,INT((MIN(IF($E273="",TODAY()-8,$E273),TODAY()-8)-($D273+MOD(SISTEM!$F$8-WEEKDAY($D273,2),7)))/7)+1)))</f>
        <v/>
      </c>
      <c r="K273" s="227">
        <f>IF(OR($C273="",$D273="",$G273="",$F273=""),0,$G273*IF($F273="Aylık",MAX(0,(YEAR(MIN(IF($E273="",TODAY()-15,$E273),TODAY()-15))-YEAR($D273))*12+MONTH(MIN(IF($E273="",TODAY()-15,$E273),TODAY()-15))-MONTH($D273)+IF(MIN(IF($E273="",TODAY()-15,$E273),TODAY()-15)&gt;=EOMONTH(MIN(IF($E273="",TODAY()-15,$E273),TODAY()-15),0),1,0)),MAX(0,INT((MIN(IF($E273="",TODAY()-15,$E273),TODAY()-15)-($D273+MOD(SISTEM!$F$8-WEEKDAY($D273,2),7)))/7)+1)))</f>
        <v/>
      </c>
      <c r="L273" s="227">
        <f>IF(OR($C273="",$D273="",$G273="",$F273=""),0,$G273*IF($F273="Aylık",MAX(0,(YEAR(MIN(IF($E273="",TODAY()-29,$E273),TODAY()-29))-YEAR($D273))*12+MONTH(MIN(IF($E273="",TODAY()-29,$E273),TODAY()-29))-MONTH($D273)+IF(MIN(IF($E273="",TODAY()-29,$E273),TODAY()-29)&gt;=EOMONTH(MIN(IF($E273="",TODAY()-29,$E273),TODAY()-29),0),1,0)),MAX(0,INT((MIN(IF($E273="",TODAY()-29,$E273),TODAY()-29)-($D273+MOD(SISTEM!$F$8-WEEKDAY($D273,2),7)))/7)+1)))</f>
        <v/>
      </c>
      <c r="M273" s="228">
        <f>IF($G273&gt;0,$I273/$G273,0)</f>
        <v/>
      </c>
      <c r="N273" s="113">
        <f>IF($C273="","",IF($B273="TANIMSIZ MÜŞTERİ","TANIMSIZ MÜŞTERİ",IF($F273="","MODEL SEÇİN",IF(OR($D273="",$G273&lt;=0),"EKSİK",IF(AND($E273&lt;&gt;"",$E273&lt;$D273),"TARİH HATASI",IF($H273="Pasif","KAPALI DÖNEM","UYGUN"))))))</f>
        <v/>
      </c>
      <c r="O273" s="229">
        <f>IF(OR($C273="",$D273="",$F273=""),"",IF($F273="Aylık",EOMONTH($D273,0),($D273+MOD(SISTEM!$F$8-WEEKDAY($D273,2),7))))</f>
        <v/>
      </c>
      <c r="P273" s="109" t="n"/>
      <c r="Q273" s="6" t="n"/>
      <c r="R273" s="6" t="n"/>
      <c r="S273" s="3">
        <f>IF($B273="","",$B273&amp;"|"&amp;COUNTIFS($B$7:$B273,$B273))</f>
        <v/>
      </c>
    </row>
    <row r="274">
      <c r="A274" s="6" t="n"/>
      <c r="B274" s="113">
        <f>IF($C274="","",IFERROR(INDEX(MUSTERILER!$B$7:$B$106,MATCH($C274,MUSTERILER!$C$7:$C$106,0)),IFERROR(INDEX(MUSTERILER!$B$7:$B$106,MATCH($C274,MUSTERILER!$B$7:$B$106,0)),IFERROR(INDEX(MUSTERILER!$B$7:$B$106,MATCH($C274&amp;"*",MUSTERILER!$C$7:$C$106,0)),"TANIMSIZ MÜŞTERİ"))))</f>
        <v/>
      </c>
      <c r="C274" s="109" t="n"/>
      <c r="D274" s="225" t="n"/>
      <c r="E274" s="225" t="n"/>
      <c r="F274" s="108" t="n"/>
      <c r="G274" s="226" t="n"/>
      <c r="H274" s="108" t="n"/>
      <c r="I274" s="227">
        <f>IF(OR($C274="",$D274="",$G274="",$F274=""),0,$G274*IF($F274="Aylık",MAX(0,(YEAR(MIN(IF($E274="",TODAY(),$E274),TODAY()))-YEAR($D274))*12+MONTH(MIN(IF($E274="",TODAY(),$E274),TODAY()))-MONTH($D274)+IF(MIN(IF($E274="",TODAY(),$E274),TODAY())&gt;=EOMONTH(MIN(IF($E274="",TODAY(),$E274),TODAY()),0),1,0)),MAX(0,INT((MIN(IF($E274="",TODAY(),$E274),TODAY())-($D274+MOD(SISTEM!$F$8-WEEKDAY($D274,2),7)))/7)+1)))</f>
        <v/>
      </c>
      <c r="J274" s="227">
        <f>IF(OR($C274="",$D274="",$G274="",$F274=""),0,$G274*IF($F274="Aylık",MAX(0,(YEAR(MIN(IF($E274="",TODAY()-8,$E274),TODAY()-8))-YEAR($D274))*12+MONTH(MIN(IF($E274="",TODAY()-8,$E274),TODAY()-8))-MONTH($D274)+IF(MIN(IF($E274="",TODAY()-8,$E274),TODAY()-8)&gt;=EOMONTH(MIN(IF($E274="",TODAY()-8,$E274),TODAY()-8),0),1,0)),MAX(0,INT((MIN(IF($E274="",TODAY()-8,$E274),TODAY()-8)-($D274+MOD(SISTEM!$F$8-WEEKDAY($D274,2),7)))/7)+1)))</f>
        <v/>
      </c>
      <c r="K274" s="227">
        <f>IF(OR($C274="",$D274="",$G274="",$F274=""),0,$G274*IF($F274="Aylık",MAX(0,(YEAR(MIN(IF($E274="",TODAY()-15,$E274),TODAY()-15))-YEAR($D274))*12+MONTH(MIN(IF($E274="",TODAY()-15,$E274),TODAY()-15))-MONTH($D274)+IF(MIN(IF($E274="",TODAY()-15,$E274),TODAY()-15)&gt;=EOMONTH(MIN(IF($E274="",TODAY()-15,$E274),TODAY()-15),0),1,0)),MAX(0,INT((MIN(IF($E274="",TODAY()-15,$E274),TODAY()-15)-($D274+MOD(SISTEM!$F$8-WEEKDAY($D274,2),7)))/7)+1)))</f>
        <v/>
      </c>
      <c r="L274" s="227">
        <f>IF(OR($C274="",$D274="",$G274="",$F274=""),0,$G274*IF($F274="Aylık",MAX(0,(YEAR(MIN(IF($E274="",TODAY()-29,$E274),TODAY()-29))-YEAR($D274))*12+MONTH(MIN(IF($E274="",TODAY()-29,$E274),TODAY()-29))-MONTH($D274)+IF(MIN(IF($E274="",TODAY()-29,$E274),TODAY()-29)&gt;=EOMONTH(MIN(IF($E274="",TODAY()-29,$E274),TODAY()-29),0),1,0)),MAX(0,INT((MIN(IF($E274="",TODAY()-29,$E274),TODAY()-29)-($D274+MOD(SISTEM!$F$8-WEEKDAY($D274,2),7)))/7)+1)))</f>
        <v/>
      </c>
      <c r="M274" s="228">
        <f>IF($G274&gt;0,$I274/$G274,0)</f>
        <v/>
      </c>
      <c r="N274" s="113">
        <f>IF($C274="","",IF($B274="TANIMSIZ MÜŞTERİ","TANIMSIZ MÜŞTERİ",IF($F274="","MODEL SEÇİN",IF(OR($D274="",$G274&lt;=0),"EKSİK",IF(AND($E274&lt;&gt;"",$E274&lt;$D274),"TARİH HATASI",IF($H274="Pasif","KAPALI DÖNEM","UYGUN"))))))</f>
        <v/>
      </c>
      <c r="O274" s="229">
        <f>IF(OR($C274="",$D274="",$F274=""),"",IF($F274="Aylık",EOMONTH($D274,0),($D274+MOD(SISTEM!$F$8-WEEKDAY($D274,2),7))))</f>
        <v/>
      </c>
      <c r="P274" s="109" t="n"/>
      <c r="Q274" s="6" t="n"/>
      <c r="R274" s="6" t="n"/>
      <c r="S274" s="3">
        <f>IF($B274="","",$B274&amp;"|"&amp;COUNTIFS($B$7:$B274,$B274))</f>
        <v/>
      </c>
    </row>
    <row r="275">
      <c r="A275" s="6" t="n"/>
      <c r="B275" s="113">
        <f>IF($C275="","",IFERROR(INDEX(MUSTERILER!$B$7:$B$106,MATCH($C275,MUSTERILER!$C$7:$C$106,0)),IFERROR(INDEX(MUSTERILER!$B$7:$B$106,MATCH($C275,MUSTERILER!$B$7:$B$106,0)),IFERROR(INDEX(MUSTERILER!$B$7:$B$106,MATCH($C275&amp;"*",MUSTERILER!$C$7:$C$106,0)),"TANIMSIZ MÜŞTERİ"))))</f>
        <v/>
      </c>
      <c r="C275" s="109" t="n"/>
      <c r="D275" s="225" t="n"/>
      <c r="E275" s="225" t="n"/>
      <c r="F275" s="108" t="n"/>
      <c r="G275" s="226" t="n"/>
      <c r="H275" s="108" t="n"/>
      <c r="I275" s="227">
        <f>IF(OR($C275="",$D275="",$G275="",$F275=""),0,$G275*IF($F275="Aylık",MAX(0,(YEAR(MIN(IF($E275="",TODAY(),$E275),TODAY()))-YEAR($D275))*12+MONTH(MIN(IF($E275="",TODAY(),$E275),TODAY()))-MONTH($D275)+IF(MIN(IF($E275="",TODAY(),$E275),TODAY())&gt;=EOMONTH(MIN(IF($E275="",TODAY(),$E275),TODAY()),0),1,0)),MAX(0,INT((MIN(IF($E275="",TODAY(),$E275),TODAY())-($D275+MOD(SISTEM!$F$8-WEEKDAY($D275,2),7)))/7)+1)))</f>
        <v/>
      </c>
      <c r="J275" s="227">
        <f>IF(OR($C275="",$D275="",$G275="",$F275=""),0,$G275*IF($F275="Aylık",MAX(0,(YEAR(MIN(IF($E275="",TODAY()-8,$E275),TODAY()-8))-YEAR($D275))*12+MONTH(MIN(IF($E275="",TODAY()-8,$E275),TODAY()-8))-MONTH($D275)+IF(MIN(IF($E275="",TODAY()-8,$E275),TODAY()-8)&gt;=EOMONTH(MIN(IF($E275="",TODAY()-8,$E275),TODAY()-8),0),1,0)),MAX(0,INT((MIN(IF($E275="",TODAY()-8,$E275),TODAY()-8)-($D275+MOD(SISTEM!$F$8-WEEKDAY($D275,2),7)))/7)+1)))</f>
        <v/>
      </c>
      <c r="K275" s="227">
        <f>IF(OR($C275="",$D275="",$G275="",$F275=""),0,$G275*IF($F275="Aylık",MAX(0,(YEAR(MIN(IF($E275="",TODAY()-15,$E275),TODAY()-15))-YEAR($D275))*12+MONTH(MIN(IF($E275="",TODAY()-15,$E275),TODAY()-15))-MONTH($D275)+IF(MIN(IF($E275="",TODAY()-15,$E275),TODAY()-15)&gt;=EOMONTH(MIN(IF($E275="",TODAY()-15,$E275),TODAY()-15),0),1,0)),MAX(0,INT((MIN(IF($E275="",TODAY()-15,$E275),TODAY()-15)-($D275+MOD(SISTEM!$F$8-WEEKDAY($D275,2),7)))/7)+1)))</f>
        <v/>
      </c>
      <c r="L275" s="227">
        <f>IF(OR($C275="",$D275="",$G275="",$F275=""),0,$G275*IF($F275="Aylık",MAX(0,(YEAR(MIN(IF($E275="",TODAY()-29,$E275),TODAY()-29))-YEAR($D275))*12+MONTH(MIN(IF($E275="",TODAY()-29,$E275),TODAY()-29))-MONTH($D275)+IF(MIN(IF($E275="",TODAY()-29,$E275),TODAY()-29)&gt;=EOMONTH(MIN(IF($E275="",TODAY()-29,$E275),TODAY()-29),0),1,0)),MAX(0,INT((MIN(IF($E275="",TODAY()-29,$E275),TODAY()-29)-($D275+MOD(SISTEM!$F$8-WEEKDAY($D275,2),7)))/7)+1)))</f>
        <v/>
      </c>
      <c r="M275" s="228">
        <f>IF($G275&gt;0,$I275/$G275,0)</f>
        <v/>
      </c>
      <c r="N275" s="113">
        <f>IF($C275="","",IF($B275="TANIMSIZ MÜŞTERİ","TANIMSIZ MÜŞTERİ",IF($F275="","MODEL SEÇİN",IF(OR($D275="",$G275&lt;=0),"EKSİK",IF(AND($E275&lt;&gt;"",$E275&lt;$D275),"TARİH HATASI",IF($H275="Pasif","KAPALI DÖNEM","UYGUN"))))))</f>
        <v/>
      </c>
      <c r="O275" s="229">
        <f>IF(OR($C275="",$D275="",$F275=""),"",IF($F275="Aylık",EOMONTH($D275,0),($D275+MOD(SISTEM!$F$8-WEEKDAY($D275,2),7))))</f>
        <v/>
      </c>
      <c r="P275" s="109" t="n"/>
      <c r="Q275" s="6" t="n"/>
      <c r="R275" s="6" t="n"/>
      <c r="S275" s="3">
        <f>IF($B275="","",$B275&amp;"|"&amp;COUNTIFS($B$7:$B275,$B275))</f>
        <v/>
      </c>
    </row>
    <row r="276">
      <c r="A276" s="6" t="n"/>
      <c r="B276" s="113">
        <f>IF($C276="","",IFERROR(INDEX(MUSTERILER!$B$7:$B$106,MATCH($C276,MUSTERILER!$C$7:$C$106,0)),IFERROR(INDEX(MUSTERILER!$B$7:$B$106,MATCH($C276,MUSTERILER!$B$7:$B$106,0)),IFERROR(INDEX(MUSTERILER!$B$7:$B$106,MATCH($C276&amp;"*",MUSTERILER!$C$7:$C$106,0)),"TANIMSIZ MÜŞTERİ"))))</f>
        <v/>
      </c>
      <c r="C276" s="109" t="n"/>
      <c r="D276" s="225" t="n"/>
      <c r="E276" s="225" t="n"/>
      <c r="F276" s="108" t="n"/>
      <c r="G276" s="226" t="n"/>
      <c r="H276" s="108" t="n"/>
      <c r="I276" s="227">
        <f>IF(OR($C276="",$D276="",$G276="",$F276=""),0,$G276*IF($F276="Aylık",MAX(0,(YEAR(MIN(IF($E276="",TODAY(),$E276),TODAY()))-YEAR($D276))*12+MONTH(MIN(IF($E276="",TODAY(),$E276),TODAY()))-MONTH($D276)+IF(MIN(IF($E276="",TODAY(),$E276),TODAY())&gt;=EOMONTH(MIN(IF($E276="",TODAY(),$E276),TODAY()),0),1,0)),MAX(0,INT((MIN(IF($E276="",TODAY(),$E276),TODAY())-($D276+MOD(SISTEM!$F$8-WEEKDAY($D276,2),7)))/7)+1)))</f>
        <v/>
      </c>
      <c r="J276" s="227">
        <f>IF(OR($C276="",$D276="",$G276="",$F276=""),0,$G276*IF($F276="Aylık",MAX(0,(YEAR(MIN(IF($E276="",TODAY()-8,$E276),TODAY()-8))-YEAR($D276))*12+MONTH(MIN(IF($E276="",TODAY()-8,$E276),TODAY()-8))-MONTH($D276)+IF(MIN(IF($E276="",TODAY()-8,$E276),TODAY()-8)&gt;=EOMONTH(MIN(IF($E276="",TODAY()-8,$E276),TODAY()-8),0),1,0)),MAX(0,INT((MIN(IF($E276="",TODAY()-8,$E276),TODAY()-8)-($D276+MOD(SISTEM!$F$8-WEEKDAY($D276,2),7)))/7)+1)))</f>
        <v/>
      </c>
      <c r="K276" s="227">
        <f>IF(OR($C276="",$D276="",$G276="",$F276=""),0,$G276*IF($F276="Aylık",MAX(0,(YEAR(MIN(IF($E276="",TODAY()-15,$E276),TODAY()-15))-YEAR($D276))*12+MONTH(MIN(IF($E276="",TODAY()-15,$E276),TODAY()-15))-MONTH($D276)+IF(MIN(IF($E276="",TODAY()-15,$E276),TODAY()-15)&gt;=EOMONTH(MIN(IF($E276="",TODAY()-15,$E276),TODAY()-15),0),1,0)),MAX(0,INT((MIN(IF($E276="",TODAY()-15,$E276),TODAY()-15)-($D276+MOD(SISTEM!$F$8-WEEKDAY($D276,2),7)))/7)+1)))</f>
        <v/>
      </c>
      <c r="L276" s="227">
        <f>IF(OR($C276="",$D276="",$G276="",$F276=""),0,$G276*IF($F276="Aylık",MAX(0,(YEAR(MIN(IF($E276="",TODAY()-29,$E276),TODAY()-29))-YEAR($D276))*12+MONTH(MIN(IF($E276="",TODAY()-29,$E276),TODAY()-29))-MONTH($D276)+IF(MIN(IF($E276="",TODAY()-29,$E276),TODAY()-29)&gt;=EOMONTH(MIN(IF($E276="",TODAY()-29,$E276),TODAY()-29),0),1,0)),MAX(0,INT((MIN(IF($E276="",TODAY()-29,$E276),TODAY()-29)-($D276+MOD(SISTEM!$F$8-WEEKDAY($D276,2),7)))/7)+1)))</f>
        <v/>
      </c>
      <c r="M276" s="228">
        <f>IF($G276&gt;0,$I276/$G276,0)</f>
        <v/>
      </c>
      <c r="N276" s="113">
        <f>IF($C276="","",IF($B276="TANIMSIZ MÜŞTERİ","TANIMSIZ MÜŞTERİ",IF($F276="","MODEL SEÇİN",IF(OR($D276="",$G276&lt;=0),"EKSİK",IF(AND($E276&lt;&gt;"",$E276&lt;$D276),"TARİH HATASI",IF($H276="Pasif","KAPALI DÖNEM","UYGUN"))))))</f>
        <v/>
      </c>
      <c r="O276" s="229">
        <f>IF(OR($C276="",$D276="",$F276=""),"",IF($F276="Aylık",EOMONTH($D276,0),($D276+MOD(SISTEM!$F$8-WEEKDAY($D276,2),7))))</f>
        <v/>
      </c>
      <c r="P276" s="109" t="n"/>
      <c r="Q276" s="6" t="n"/>
      <c r="R276" s="6" t="n"/>
      <c r="S276" s="3">
        <f>IF($B276="","",$B276&amp;"|"&amp;COUNTIFS($B$7:$B276,$B276))</f>
        <v/>
      </c>
    </row>
    <row r="277">
      <c r="A277" s="6" t="n"/>
      <c r="B277" s="113">
        <f>IF($C277="","",IFERROR(INDEX(MUSTERILER!$B$7:$B$106,MATCH($C277,MUSTERILER!$C$7:$C$106,0)),IFERROR(INDEX(MUSTERILER!$B$7:$B$106,MATCH($C277,MUSTERILER!$B$7:$B$106,0)),IFERROR(INDEX(MUSTERILER!$B$7:$B$106,MATCH($C277&amp;"*",MUSTERILER!$C$7:$C$106,0)),"TANIMSIZ MÜŞTERİ"))))</f>
        <v/>
      </c>
      <c r="C277" s="109" t="n"/>
      <c r="D277" s="225" t="n"/>
      <c r="E277" s="225" t="n"/>
      <c r="F277" s="108" t="n"/>
      <c r="G277" s="226" t="n"/>
      <c r="H277" s="108" t="n"/>
      <c r="I277" s="227">
        <f>IF(OR($C277="",$D277="",$G277="",$F277=""),0,$G277*IF($F277="Aylık",MAX(0,(YEAR(MIN(IF($E277="",TODAY(),$E277),TODAY()))-YEAR($D277))*12+MONTH(MIN(IF($E277="",TODAY(),$E277),TODAY()))-MONTH($D277)+IF(MIN(IF($E277="",TODAY(),$E277),TODAY())&gt;=EOMONTH(MIN(IF($E277="",TODAY(),$E277),TODAY()),0),1,0)),MAX(0,INT((MIN(IF($E277="",TODAY(),$E277),TODAY())-($D277+MOD(SISTEM!$F$8-WEEKDAY($D277,2),7)))/7)+1)))</f>
        <v/>
      </c>
      <c r="J277" s="227">
        <f>IF(OR($C277="",$D277="",$G277="",$F277=""),0,$G277*IF($F277="Aylık",MAX(0,(YEAR(MIN(IF($E277="",TODAY()-8,$E277),TODAY()-8))-YEAR($D277))*12+MONTH(MIN(IF($E277="",TODAY()-8,$E277),TODAY()-8))-MONTH($D277)+IF(MIN(IF($E277="",TODAY()-8,$E277),TODAY()-8)&gt;=EOMONTH(MIN(IF($E277="",TODAY()-8,$E277),TODAY()-8),0),1,0)),MAX(0,INT((MIN(IF($E277="",TODAY()-8,$E277),TODAY()-8)-($D277+MOD(SISTEM!$F$8-WEEKDAY($D277,2),7)))/7)+1)))</f>
        <v/>
      </c>
      <c r="K277" s="227">
        <f>IF(OR($C277="",$D277="",$G277="",$F277=""),0,$G277*IF($F277="Aylık",MAX(0,(YEAR(MIN(IF($E277="",TODAY()-15,$E277),TODAY()-15))-YEAR($D277))*12+MONTH(MIN(IF($E277="",TODAY()-15,$E277),TODAY()-15))-MONTH($D277)+IF(MIN(IF($E277="",TODAY()-15,$E277),TODAY()-15)&gt;=EOMONTH(MIN(IF($E277="",TODAY()-15,$E277),TODAY()-15),0),1,0)),MAX(0,INT((MIN(IF($E277="",TODAY()-15,$E277),TODAY()-15)-($D277+MOD(SISTEM!$F$8-WEEKDAY($D277,2),7)))/7)+1)))</f>
        <v/>
      </c>
      <c r="L277" s="227">
        <f>IF(OR($C277="",$D277="",$G277="",$F277=""),0,$G277*IF($F277="Aylık",MAX(0,(YEAR(MIN(IF($E277="",TODAY()-29,$E277),TODAY()-29))-YEAR($D277))*12+MONTH(MIN(IF($E277="",TODAY()-29,$E277),TODAY()-29))-MONTH($D277)+IF(MIN(IF($E277="",TODAY()-29,$E277),TODAY()-29)&gt;=EOMONTH(MIN(IF($E277="",TODAY()-29,$E277),TODAY()-29),0),1,0)),MAX(0,INT((MIN(IF($E277="",TODAY()-29,$E277),TODAY()-29)-($D277+MOD(SISTEM!$F$8-WEEKDAY($D277,2),7)))/7)+1)))</f>
        <v/>
      </c>
      <c r="M277" s="228">
        <f>IF($G277&gt;0,$I277/$G277,0)</f>
        <v/>
      </c>
      <c r="N277" s="113">
        <f>IF($C277="","",IF($B277="TANIMSIZ MÜŞTERİ","TANIMSIZ MÜŞTERİ",IF($F277="","MODEL SEÇİN",IF(OR($D277="",$G277&lt;=0),"EKSİK",IF(AND($E277&lt;&gt;"",$E277&lt;$D277),"TARİH HATASI",IF($H277="Pasif","KAPALI DÖNEM","UYGUN"))))))</f>
        <v/>
      </c>
      <c r="O277" s="229">
        <f>IF(OR($C277="",$D277="",$F277=""),"",IF($F277="Aylık",EOMONTH($D277,0),($D277+MOD(SISTEM!$F$8-WEEKDAY($D277,2),7))))</f>
        <v/>
      </c>
      <c r="P277" s="109" t="n"/>
      <c r="Q277" s="6" t="n"/>
      <c r="R277" s="6" t="n"/>
      <c r="S277" s="3">
        <f>IF($B277="","",$B277&amp;"|"&amp;COUNTIFS($B$7:$B277,$B277))</f>
        <v/>
      </c>
    </row>
    <row r="278">
      <c r="A278" s="6" t="n"/>
      <c r="B278" s="113">
        <f>IF($C278="","",IFERROR(INDEX(MUSTERILER!$B$7:$B$106,MATCH($C278,MUSTERILER!$C$7:$C$106,0)),IFERROR(INDEX(MUSTERILER!$B$7:$B$106,MATCH($C278,MUSTERILER!$B$7:$B$106,0)),IFERROR(INDEX(MUSTERILER!$B$7:$B$106,MATCH($C278&amp;"*",MUSTERILER!$C$7:$C$106,0)),"TANIMSIZ MÜŞTERİ"))))</f>
        <v/>
      </c>
      <c r="C278" s="109" t="n"/>
      <c r="D278" s="225" t="n"/>
      <c r="E278" s="225" t="n"/>
      <c r="F278" s="108" t="n"/>
      <c r="G278" s="226" t="n"/>
      <c r="H278" s="108" t="n"/>
      <c r="I278" s="227">
        <f>IF(OR($C278="",$D278="",$G278="",$F278=""),0,$G278*IF($F278="Aylık",MAX(0,(YEAR(MIN(IF($E278="",TODAY(),$E278),TODAY()))-YEAR($D278))*12+MONTH(MIN(IF($E278="",TODAY(),$E278),TODAY()))-MONTH($D278)+IF(MIN(IF($E278="",TODAY(),$E278),TODAY())&gt;=EOMONTH(MIN(IF($E278="",TODAY(),$E278),TODAY()),0),1,0)),MAX(0,INT((MIN(IF($E278="",TODAY(),$E278),TODAY())-($D278+MOD(SISTEM!$F$8-WEEKDAY($D278,2),7)))/7)+1)))</f>
        <v/>
      </c>
      <c r="J278" s="227">
        <f>IF(OR($C278="",$D278="",$G278="",$F278=""),0,$G278*IF($F278="Aylık",MAX(0,(YEAR(MIN(IF($E278="",TODAY()-8,$E278),TODAY()-8))-YEAR($D278))*12+MONTH(MIN(IF($E278="",TODAY()-8,$E278),TODAY()-8))-MONTH($D278)+IF(MIN(IF($E278="",TODAY()-8,$E278),TODAY()-8)&gt;=EOMONTH(MIN(IF($E278="",TODAY()-8,$E278),TODAY()-8),0),1,0)),MAX(0,INT((MIN(IF($E278="",TODAY()-8,$E278),TODAY()-8)-($D278+MOD(SISTEM!$F$8-WEEKDAY($D278,2),7)))/7)+1)))</f>
        <v/>
      </c>
      <c r="K278" s="227">
        <f>IF(OR($C278="",$D278="",$G278="",$F278=""),0,$G278*IF($F278="Aylık",MAX(0,(YEAR(MIN(IF($E278="",TODAY()-15,$E278),TODAY()-15))-YEAR($D278))*12+MONTH(MIN(IF($E278="",TODAY()-15,$E278),TODAY()-15))-MONTH($D278)+IF(MIN(IF($E278="",TODAY()-15,$E278),TODAY()-15)&gt;=EOMONTH(MIN(IF($E278="",TODAY()-15,$E278),TODAY()-15),0),1,0)),MAX(0,INT((MIN(IF($E278="",TODAY()-15,$E278),TODAY()-15)-($D278+MOD(SISTEM!$F$8-WEEKDAY($D278,2),7)))/7)+1)))</f>
        <v/>
      </c>
      <c r="L278" s="227">
        <f>IF(OR($C278="",$D278="",$G278="",$F278=""),0,$G278*IF($F278="Aylık",MAX(0,(YEAR(MIN(IF($E278="",TODAY()-29,$E278),TODAY()-29))-YEAR($D278))*12+MONTH(MIN(IF($E278="",TODAY()-29,$E278),TODAY()-29))-MONTH($D278)+IF(MIN(IF($E278="",TODAY()-29,$E278),TODAY()-29)&gt;=EOMONTH(MIN(IF($E278="",TODAY()-29,$E278),TODAY()-29),0),1,0)),MAX(0,INT((MIN(IF($E278="",TODAY()-29,$E278),TODAY()-29)-($D278+MOD(SISTEM!$F$8-WEEKDAY($D278,2),7)))/7)+1)))</f>
        <v/>
      </c>
      <c r="M278" s="228">
        <f>IF($G278&gt;0,$I278/$G278,0)</f>
        <v/>
      </c>
      <c r="N278" s="113">
        <f>IF($C278="","",IF($B278="TANIMSIZ MÜŞTERİ","TANIMSIZ MÜŞTERİ",IF($F278="","MODEL SEÇİN",IF(OR($D278="",$G278&lt;=0),"EKSİK",IF(AND($E278&lt;&gt;"",$E278&lt;$D278),"TARİH HATASI",IF($H278="Pasif","KAPALI DÖNEM","UYGUN"))))))</f>
        <v/>
      </c>
      <c r="O278" s="229">
        <f>IF(OR($C278="",$D278="",$F278=""),"",IF($F278="Aylık",EOMONTH($D278,0),($D278+MOD(SISTEM!$F$8-WEEKDAY($D278,2),7))))</f>
        <v/>
      </c>
      <c r="P278" s="109" t="n"/>
      <c r="Q278" s="6" t="n"/>
      <c r="R278" s="6" t="n"/>
      <c r="S278" s="3">
        <f>IF($B278="","",$B278&amp;"|"&amp;COUNTIFS($B$7:$B278,$B278))</f>
        <v/>
      </c>
    </row>
    <row r="279">
      <c r="A279" s="6" t="n"/>
      <c r="B279" s="113">
        <f>IF($C279="","",IFERROR(INDEX(MUSTERILER!$B$7:$B$106,MATCH($C279,MUSTERILER!$C$7:$C$106,0)),IFERROR(INDEX(MUSTERILER!$B$7:$B$106,MATCH($C279,MUSTERILER!$B$7:$B$106,0)),IFERROR(INDEX(MUSTERILER!$B$7:$B$106,MATCH($C279&amp;"*",MUSTERILER!$C$7:$C$106,0)),"TANIMSIZ MÜŞTERİ"))))</f>
        <v/>
      </c>
      <c r="C279" s="109" t="n"/>
      <c r="D279" s="225" t="n"/>
      <c r="E279" s="225" t="n"/>
      <c r="F279" s="108" t="n"/>
      <c r="G279" s="226" t="n"/>
      <c r="H279" s="108" t="n"/>
      <c r="I279" s="227">
        <f>IF(OR($C279="",$D279="",$G279="",$F279=""),0,$G279*IF($F279="Aylık",MAX(0,(YEAR(MIN(IF($E279="",TODAY(),$E279),TODAY()))-YEAR($D279))*12+MONTH(MIN(IF($E279="",TODAY(),$E279),TODAY()))-MONTH($D279)+IF(MIN(IF($E279="",TODAY(),$E279),TODAY())&gt;=EOMONTH(MIN(IF($E279="",TODAY(),$E279),TODAY()),0),1,0)),MAX(0,INT((MIN(IF($E279="",TODAY(),$E279),TODAY())-($D279+MOD(SISTEM!$F$8-WEEKDAY($D279,2),7)))/7)+1)))</f>
        <v/>
      </c>
      <c r="J279" s="227">
        <f>IF(OR($C279="",$D279="",$G279="",$F279=""),0,$G279*IF($F279="Aylık",MAX(0,(YEAR(MIN(IF($E279="",TODAY()-8,$E279),TODAY()-8))-YEAR($D279))*12+MONTH(MIN(IF($E279="",TODAY()-8,$E279),TODAY()-8))-MONTH($D279)+IF(MIN(IF($E279="",TODAY()-8,$E279),TODAY()-8)&gt;=EOMONTH(MIN(IF($E279="",TODAY()-8,$E279),TODAY()-8),0),1,0)),MAX(0,INT((MIN(IF($E279="",TODAY()-8,$E279),TODAY()-8)-($D279+MOD(SISTEM!$F$8-WEEKDAY($D279,2),7)))/7)+1)))</f>
        <v/>
      </c>
      <c r="K279" s="227">
        <f>IF(OR($C279="",$D279="",$G279="",$F279=""),0,$G279*IF($F279="Aylık",MAX(0,(YEAR(MIN(IF($E279="",TODAY()-15,$E279),TODAY()-15))-YEAR($D279))*12+MONTH(MIN(IF($E279="",TODAY()-15,$E279),TODAY()-15))-MONTH($D279)+IF(MIN(IF($E279="",TODAY()-15,$E279),TODAY()-15)&gt;=EOMONTH(MIN(IF($E279="",TODAY()-15,$E279),TODAY()-15),0),1,0)),MAX(0,INT((MIN(IF($E279="",TODAY()-15,$E279),TODAY()-15)-($D279+MOD(SISTEM!$F$8-WEEKDAY($D279,2),7)))/7)+1)))</f>
        <v/>
      </c>
      <c r="L279" s="227">
        <f>IF(OR($C279="",$D279="",$G279="",$F279=""),0,$G279*IF($F279="Aylık",MAX(0,(YEAR(MIN(IF($E279="",TODAY()-29,$E279),TODAY()-29))-YEAR($D279))*12+MONTH(MIN(IF($E279="",TODAY()-29,$E279),TODAY()-29))-MONTH($D279)+IF(MIN(IF($E279="",TODAY()-29,$E279),TODAY()-29)&gt;=EOMONTH(MIN(IF($E279="",TODAY()-29,$E279),TODAY()-29),0),1,0)),MAX(0,INT((MIN(IF($E279="",TODAY()-29,$E279),TODAY()-29)-($D279+MOD(SISTEM!$F$8-WEEKDAY($D279,2),7)))/7)+1)))</f>
        <v/>
      </c>
      <c r="M279" s="228">
        <f>IF($G279&gt;0,$I279/$G279,0)</f>
        <v/>
      </c>
      <c r="N279" s="113">
        <f>IF($C279="","",IF($B279="TANIMSIZ MÜŞTERİ","TANIMSIZ MÜŞTERİ",IF($F279="","MODEL SEÇİN",IF(OR($D279="",$G279&lt;=0),"EKSİK",IF(AND($E279&lt;&gt;"",$E279&lt;$D279),"TARİH HATASI",IF($H279="Pasif","KAPALI DÖNEM","UYGUN"))))))</f>
        <v/>
      </c>
      <c r="O279" s="229">
        <f>IF(OR($C279="",$D279="",$F279=""),"",IF($F279="Aylık",EOMONTH($D279,0),($D279+MOD(SISTEM!$F$8-WEEKDAY($D279,2),7))))</f>
        <v/>
      </c>
      <c r="P279" s="109" t="n"/>
      <c r="Q279" s="6" t="n"/>
      <c r="R279" s="6" t="n"/>
      <c r="S279" s="3">
        <f>IF($B279="","",$B279&amp;"|"&amp;COUNTIFS($B$7:$B279,$B279))</f>
        <v/>
      </c>
    </row>
    <row r="280">
      <c r="A280" s="6" t="n"/>
      <c r="B280" s="113">
        <f>IF($C280="","",IFERROR(INDEX(MUSTERILER!$B$7:$B$106,MATCH($C280,MUSTERILER!$C$7:$C$106,0)),IFERROR(INDEX(MUSTERILER!$B$7:$B$106,MATCH($C280,MUSTERILER!$B$7:$B$106,0)),IFERROR(INDEX(MUSTERILER!$B$7:$B$106,MATCH($C280&amp;"*",MUSTERILER!$C$7:$C$106,0)),"TANIMSIZ MÜŞTERİ"))))</f>
        <v/>
      </c>
      <c r="C280" s="109" t="n"/>
      <c r="D280" s="225" t="n"/>
      <c r="E280" s="225" t="n"/>
      <c r="F280" s="108" t="n"/>
      <c r="G280" s="226" t="n"/>
      <c r="H280" s="108" t="n"/>
      <c r="I280" s="227">
        <f>IF(OR($C280="",$D280="",$G280="",$F280=""),0,$G280*IF($F280="Aylık",MAX(0,(YEAR(MIN(IF($E280="",TODAY(),$E280),TODAY()))-YEAR($D280))*12+MONTH(MIN(IF($E280="",TODAY(),$E280),TODAY()))-MONTH($D280)+IF(MIN(IF($E280="",TODAY(),$E280),TODAY())&gt;=EOMONTH(MIN(IF($E280="",TODAY(),$E280),TODAY()),0),1,0)),MAX(0,INT((MIN(IF($E280="",TODAY(),$E280),TODAY())-($D280+MOD(SISTEM!$F$8-WEEKDAY($D280,2),7)))/7)+1)))</f>
        <v/>
      </c>
      <c r="J280" s="227">
        <f>IF(OR($C280="",$D280="",$G280="",$F280=""),0,$G280*IF($F280="Aylık",MAX(0,(YEAR(MIN(IF($E280="",TODAY()-8,$E280),TODAY()-8))-YEAR($D280))*12+MONTH(MIN(IF($E280="",TODAY()-8,$E280),TODAY()-8))-MONTH($D280)+IF(MIN(IF($E280="",TODAY()-8,$E280),TODAY()-8)&gt;=EOMONTH(MIN(IF($E280="",TODAY()-8,$E280),TODAY()-8),0),1,0)),MAX(0,INT((MIN(IF($E280="",TODAY()-8,$E280),TODAY()-8)-($D280+MOD(SISTEM!$F$8-WEEKDAY($D280,2),7)))/7)+1)))</f>
        <v/>
      </c>
      <c r="K280" s="227">
        <f>IF(OR($C280="",$D280="",$G280="",$F280=""),0,$G280*IF($F280="Aylık",MAX(0,(YEAR(MIN(IF($E280="",TODAY()-15,$E280),TODAY()-15))-YEAR($D280))*12+MONTH(MIN(IF($E280="",TODAY()-15,$E280),TODAY()-15))-MONTH($D280)+IF(MIN(IF($E280="",TODAY()-15,$E280),TODAY()-15)&gt;=EOMONTH(MIN(IF($E280="",TODAY()-15,$E280),TODAY()-15),0),1,0)),MAX(0,INT((MIN(IF($E280="",TODAY()-15,$E280),TODAY()-15)-($D280+MOD(SISTEM!$F$8-WEEKDAY($D280,2),7)))/7)+1)))</f>
        <v/>
      </c>
      <c r="L280" s="227">
        <f>IF(OR($C280="",$D280="",$G280="",$F280=""),0,$G280*IF($F280="Aylık",MAX(0,(YEAR(MIN(IF($E280="",TODAY()-29,$E280),TODAY()-29))-YEAR($D280))*12+MONTH(MIN(IF($E280="",TODAY()-29,$E280),TODAY()-29))-MONTH($D280)+IF(MIN(IF($E280="",TODAY()-29,$E280),TODAY()-29)&gt;=EOMONTH(MIN(IF($E280="",TODAY()-29,$E280),TODAY()-29),0),1,0)),MAX(0,INT((MIN(IF($E280="",TODAY()-29,$E280),TODAY()-29)-($D280+MOD(SISTEM!$F$8-WEEKDAY($D280,2),7)))/7)+1)))</f>
        <v/>
      </c>
      <c r="M280" s="228">
        <f>IF($G280&gt;0,$I280/$G280,0)</f>
        <v/>
      </c>
      <c r="N280" s="113">
        <f>IF($C280="","",IF($B280="TANIMSIZ MÜŞTERİ","TANIMSIZ MÜŞTERİ",IF($F280="","MODEL SEÇİN",IF(OR($D280="",$G280&lt;=0),"EKSİK",IF(AND($E280&lt;&gt;"",$E280&lt;$D280),"TARİH HATASI",IF($H280="Pasif","KAPALI DÖNEM","UYGUN"))))))</f>
        <v/>
      </c>
      <c r="O280" s="229">
        <f>IF(OR($C280="",$D280="",$F280=""),"",IF($F280="Aylık",EOMONTH($D280,0),($D280+MOD(SISTEM!$F$8-WEEKDAY($D280,2),7))))</f>
        <v/>
      </c>
      <c r="P280" s="109" t="n"/>
      <c r="Q280" s="6" t="n"/>
      <c r="R280" s="6" t="n"/>
      <c r="S280" s="3">
        <f>IF($B280="","",$B280&amp;"|"&amp;COUNTIFS($B$7:$B280,$B280))</f>
        <v/>
      </c>
    </row>
    <row r="281">
      <c r="A281" s="6" t="n"/>
      <c r="B281" s="113">
        <f>IF($C281="","",IFERROR(INDEX(MUSTERILER!$B$7:$B$106,MATCH($C281,MUSTERILER!$C$7:$C$106,0)),IFERROR(INDEX(MUSTERILER!$B$7:$B$106,MATCH($C281,MUSTERILER!$B$7:$B$106,0)),IFERROR(INDEX(MUSTERILER!$B$7:$B$106,MATCH($C281&amp;"*",MUSTERILER!$C$7:$C$106,0)),"TANIMSIZ MÜŞTERİ"))))</f>
        <v/>
      </c>
      <c r="C281" s="109" t="n"/>
      <c r="D281" s="225" t="n"/>
      <c r="E281" s="225" t="n"/>
      <c r="F281" s="108" t="n"/>
      <c r="G281" s="226" t="n"/>
      <c r="H281" s="108" t="n"/>
      <c r="I281" s="227">
        <f>IF(OR($C281="",$D281="",$G281="",$F281=""),0,$G281*IF($F281="Aylık",MAX(0,(YEAR(MIN(IF($E281="",TODAY(),$E281),TODAY()))-YEAR($D281))*12+MONTH(MIN(IF($E281="",TODAY(),$E281),TODAY()))-MONTH($D281)+IF(MIN(IF($E281="",TODAY(),$E281),TODAY())&gt;=EOMONTH(MIN(IF($E281="",TODAY(),$E281),TODAY()),0),1,0)),MAX(0,INT((MIN(IF($E281="",TODAY(),$E281),TODAY())-($D281+MOD(SISTEM!$F$8-WEEKDAY($D281,2),7)))/7)+1)))</f>
        <v/>
      </c>
      <c r="J281" s="227">
        <f>IF(OR($C281="",$D281="",$G281="",$F281=""),0,$G281*IF($F281="Aylık",MAX(0,(YEAR(MIN(IF($E281="",TODAY()-8,$E281),TODAY()-8))-YEAR($D281))*12+MONTH(MIN(IF($E281="",TODAY()-8,$E281),TODAY()-8))-MONTH($D281)+IF(MIN(IF($E281="",TODAY()-8,$E281),TODAY()-8)&gt;=EOMONTH(MIN(IF($E281="",TODAY()-8,$E281),TODAY()-8),0),1,0)),MAX(0,INT((MIN(IF($E281="",TODAY()-8,$E281),TODAY()-8)-($D281+MOD(SISTEM!$F$8-WEEKDAY($D281,2),7)))/7)+1)))</f>
        <v/>
      </c>
      <c r="K281" s="227">
        <f>IF(OR($C281="",$D281="",$G281="",$F281=""),0,$G281*IF($F281="Aylık",MAX(0,(YEAR(MIN(IF($E281="",TODAY()-15,$E281),TODAY()-15))-YEAR($D281))*12+MONTH(MIN(IF($E281="",TODAY()-15,$E281),TODAY()-15))-MONTH($D281)+IF(MIN(IF($E281="",TODAY()-15,$E281),TODAY()-15)&gt;=EOMONTH(MIN(IF($E281="",TODAY()-15,$E281),TODAY()-15),0),1,0)),MAX(0,INT((MIN(IF($E281="",TODAY()-15,$E281),TODAY()-15)-($D281+MOD(SISTEM!$F$8-WEEKDAY($D281,2),7)))/7)+1)))</f>
        <v/>
      </c>
      <c r="L281" s="227">
        <f>IF(OR($C281="",$D281="",$G281="",$F281=""),0,$G281*IF($F281="Aylık",MAX(0,(YEAR(MIN(IF($E281="",TODAY()-29,$E281),TODAY()-29))-YEAR($D281))*12+MONTH(MIN(IF($E281="",TODAY()-29,$E281),TODAY()-29))-MONTH($D281)+IF(MIN(IF($E281="",TODAY()-29,$E281),TODAY()-29)&gt;=EOMONTH(MIN(IF($E281="",TODAY()-29,$E281),TODAY()-29),0),1,0)),MAX(0,INT((MIN(IF($E281="",TODAY()-29,$E281),TODAY()-29)-($D281+MOD(SISTEM!$F$8-WEEKDAY($D281,2),7)))/7)+1)))</f>
        <v/>
      </c>
      <c r="M281" s="228">
        <f>IF($G281&gt;0,$I281/$G281,0)</f>
        <v/>
      </c>
      <c r="N281" s="113">
        <f>IF($C281="","",IF($B281="TANIMSIZ MÜŞTERİ","TANIMSIZ MÜŞTERİ",IF($F281="","MODEL SEÇİN",IF(OR($D281="",$G281&lt;=0),"EKSİK",IF(AND($E281&lt;&gt;"",$E281&lt;$D281),"TARİH HATASI",IF($H281="Pasif","KAPALI DÖNEM","UYGUN"))))))</f>
        <v/>
      </c>
      <c r="O281" s="229">
        <f>IF(OR($C281="",$D281="",$F281=""),"",IF($F281="Aylık",EOMONTH($D281,0),($D281+MOD(SISTEM!$F$8-WEEKDAY($D281,2),7))))</f>
        <v/>
      </c>
      <c r="P281" s="109" t="n"/>
      <c r="Q281" s="6" t="n"/>
      <c r="R281" s="6" t="n"/>
      <c r="S281" s="3">
        <f>IF($B281="","",$B281&amp;"|"&amp;COUNTIFS($B$7:$B281,$B281))</f>
        <v/>
      </c>
    </row>
    <row r="282">
      <c r="A282" s="6" t="n"/>
      <c r="B282" s="113">
        <f>IF($C282="","",IFERROR(INDEX(MUSTERILER!$B$7:$B$106,MATCH($C282,MUSTERILER!$C$7:$C$106,0)),IFERROR(INDEX(MUSTERILER!$B$7:$B$106,MATCH($C282,MUSTERILER!$B$7:$B$106,0)),IFERROR(INDEX(MUSTERILER!$B$7:$B$106,MATCH($C282&amp;"*",MUSTERILER!$C$7:$C$106,0)),"TANIMSIZ MÜŞTERİ"))))</f>
        <v/>
      </c>
      <c r="C282" s="109" t="n"/>
      <c r="D282" s="225" t="n"/>
      <c r="E282" s="225" t="n"/>
      <c r="F282" s="108" t="n"/>
      <c r="G282" s="226" t="n"/>
      <c r="H282" s="108" t="n"/>
      <c r="I282" s="227">
        <f>IF(OR($C282="",$D282="",$G282="",$F282=""),0,$G282*IF($F282="Aylık",MAX(0,(YEAR(MIN(IF($E282="",TODAY(),$E282),TODAY()))-YEAR($D282))*12+MONTH(MIN(IF($E282="",TODAY(),$E282),TODAY()))-MONTH($D282)+IF(MIN(IF($E282="",TODAY(),$E282),TODAY())&gt;=EOMONTH(MIN(IF($E282="",TODAY(),$E282),TODAY()),0),1,0)),MAX(0,INT((MIN(IF($E282="",TODAY(),$E282),TODAY())-($D282+MOD(SISTEM!$F$8-WEEKDAY($D282,2),7)))/7)+1)))</f>
        <v/>
      </c>
      <c r="J282" s="227">
        <f>IF(OR($C282="",$D282="",$G282="",$F282=""),0,$G282*IF($F282="Aylık",MAX(0,(YEAR(MIN(IF($E282="",TODAY()-8,$E282),TODAY()-8))-YEAR($D282))*12+MONTH(MIN(IF($E282="",TODAY()-8,$E282),TODAY()-8))-MONTH($D282)+IF(MIN(IF($E282="",TODAY()-8,$E282),TODAY()-8)&gt;=EOMONTH(MIN(IF($E282="",TODAY()-8,$E282),TODAY()-8),0),1,0)),MAX(0,INT((MIN(IF($E282="",TODAY()-8,$E282),TODAY()-8)-($D282+MOD(SISTEM!$F$8-WEEKDAY($D282,2),7)))/7)+1)))</f>
        <v/>
      </c>
      <c r="K282" s="227">
        <f>IF(OR($C282="",$D282="",$G282="",$F282=""),0,$G282*IF($F282="Aylık",MAX(0,(YEAR(MIN(IF($E282="",TODAY()-15,$E282),TODAY()-15))-YEAR($D282))*12+MONTH(MIN(IF($E282="",TODAY()-15,$E282),TODAY()-15))-MONTH($D282)+IF(MIN(IF($E282="",TODAY()-15,$E282),TODAY()-15)&gt;=EOMONTH(MIN(IF($E282="",TODAY()-15,$E282),TODAY()-15),0),1,0)),MAX(0,INT((MIN(IF($E282="",TODAY()-15,$E282),TODAY()-15)-($D282+MOD(SISTEM!$F$8-WEEKDAY($D282,2),7)))/7)+1)))</f>
        <v/>
      </c>
      <c r="L282" s="227">
        <f>IF(OR($C282="",$D282="",$G282="",$F282=""),0,$G282*IF($F282="Aylık",MAX(0,(YEAR(MIN(IF($E282="",TODAY()-29,$E282),TODAY()-29))-YEAR($D282))*12+MONTH(MIN(IF($E282="",TODAY()-29,$E282),TODAY()-29))-MONTH($D282)+IF(MIN(IF($E282="",TODAY()-29,$E282),TODAY()-29)&gt;=EOMONTH(MIN(IF($E282="",TODAY()-29,$E282),TODAY()-29),0),1,0)),MAX(0,INT((MIN(IF($E282="",TODAY()-29,$E282),TODAY()-29)-($D282+MOD(SISTEM!$F$8-WEEKDAY($D282,2),7)))/7)+1)))</f>
        <v/>
      </c>
      <c r="M282" s="228">
        <f>IF($G282&gt;0,$I282/$G282,0)</f>
        <v/>
      </c>
      <c r="N282" s="113">
        <f>IF($C282="","",IF($B282="TANIMSIZ MÜŞTERİ","TANIMSIZ MÜŞTERİ",IF($F282="","MODEL SEÇİN",IF(OR($D282="",$G282&lt;=0),"EKSİK",IF(AND($E282&lt;&gt;"",$E282&lt;$D282),"TARİH HATASI",IF($H282="Pasif","KAPALI DÖNEM","UYGUN"))))))</f>
        <v/>
      </c>
      <c r="O282" s="229">
        <f>IF(OR($C282="",$D282="",$F282=""),"",IF($F282="Aylık",EOMONTH($D282,0),($D282+MOD(SISTEM!$F$8-WEEKDAY($D282,2),7))))</f>
        <v/>
      </c>
      <c r="P282" s="109" t="n"/>
      <c r="Q282" s="6" t="n"/>
      <c r="R282" s="6" t="n"/>
      <c r="S282" s="3">
        <f>IF($B282="","",$B282&amp;"|"&amp;COUNTIFS($B$7:$B282,$B282))</f>
        <v/>
      </c>
    </row>
    <row r="283">
      <c r="A283" s="6" t="n"/>
      <c r="B283" s="113">
        <f>IF($C283="","",IFERROR(INDEX(MUSTERILER!$B$7:$B$106,MATCH($C283,MUSTERILER!$C$7:$C$106,0)),IFERROR(INDEX(MUSTERILER!$B$7:$B$106,MATCH($C283,MUSTERILER!$B$7:$B$106,0)),IFERROR(INDEX(MUSTERILER!$B$7:$B$106,MATCH($C283&amp;"*",MUSTERILER!$C$7:$C$106,0)),"TANIMSIZ MÜŞTERİ"))))</f>
        <v/>
      </c>
      <c r="C283" s="109" t="n"/>
      <c r="D283" s="225" t="n"/>
      <c r="E283" s="225" t="n"/>
      <c r="F283" s="108" t="n"/>
      <c r="G283" s="226" t="n"/>
      <c r="H283" s="108" t="n"/>
      <c r="I283" s="227">
        <f>IF(OR($C283="",$D283="",$G283="",$F283=""),0,$G283*IF($F283="Aylık",MAX(0,(YEAR(MIN(IF($E283="",TODAY(),$E283),TODAY()))-YEAR($D283))*12+MONTH(MIN(IF($E283="",TODAY(),$E283),TODAY()))-MONTH($D283)+IF(MIN(IF($E283="",TODAY(),$E283),TODAY())&gt;=EOMONTH(MIN(IF($E283="",TODAY(),$E283),TODAY()),0),1,0)),MAX(0,INT((MIN(IF($E283="",TODAY(),$E283),TODAY())-($D283+MOD(SISTEM!$F$8-WEEKDAY($D283,2),7)))/7)+1)))</f>
        <v/>
      </c>
      <c r="J283" s="227">
        <f>IF(OR($C283="",$D283="",$G283="",$F283=""),0,$G283*IF($F283="Aylık",MAX(0,(YEAR(MIN(IF($E283="",TODAY()-8,$E283),TODAY()-8))-YEAR($D283))*12+MONTH(MIN(IF($E283="",TODAY()-8,$E283),TODAY()-8))-MONTH($D283)+IF(MIN(IF($E283="",TODAY()-8,$E283),TODAY()-8)&gt;=EOMONTH(MIN(IF($E283="",TODAY()-8,$E283),TODAY()-8),0),1,0)),MAX(0,INT((MIN(IF($E283="",TODAY()-8,$E283),TODAY()-8)-($D283+MOD(SISTEM!$F$8-WEEKDAY($D283,2),7)))/7)+1)))</f>
        <v/>
      </c>
      <c r="K283" s="227">
        <f>IF(OR($C283="",$D283="",$G283="",$F283=""),0,$G283*IF($F283="Aylık",MAX(0,(YEAR(MIN(IF($E283="",TODAY()-15,$E283),TODAY()-15))-YEAR($D283))*12+MONTH(MIN(IF($E283="",TODAY()-15,$E283),TODAY()-15))-MONTH($D283)+IF(MIN(IF($E283="",TODAY()-15,$E283),TODAY()-15)&gt;=EOMONTH(MIN(IF($E283="",TODAY()-15,$E283),TODAY()-15),0),1,0)),MAX(0,INT((MIN(IF($E283="",TODAY()-15,$E283),TODAY()-15)-($D283+MOD(SISTEM!$F$8-WEEKDAY($D283,2),7)))/7)+1)))</f>
        <v/>
      </c>
      <c r="L283" s="227">
        <f>IF(OR($C283="",$D283="",$G283="",$F283=""),0,$G283*IF($F283="Aylık",MAX(0,(YEAR(MIN(IF($E283="",TODAY()-29,$E283),TODAY()-29))-YEAR($D283))*12+MONTH(MIN(IF($E283="",TODAY()-29,$E283),TODAY()-29))-MONTH($D283)+IF(MIN(IF($E283="",TODAY()-29,$E283),TODAY()-29)&gt;=EOMONTH(MIN(IF($E283="",TODAY()-29,$E283),TODAY()-29),0),1,0)),MAX(0,INT((MIN(IF($E283="",TODAY()-29,$E283),TODAY()-29)-($D283+MOD(SISTEM!$F$8-WEEKDAY($D283,2),7)))/7)+1)))</f>
        <v/>
      </c>
      <c r="M283" s="228">
        <f>IF($G283&gt;0,$I283/$G283,0)</f>
        <v/>
      </c>
      <c r="N283" s="113">
        <f>IF($C283="","",IF($B283="TANIMSIZ MÜŞTERİ","TANIMSIZ MÜŞTERİ",IF($F283="","MODEL SEÇİN",IF(OR($D283="",$G283&lt;=0),"EKSİK",IF(AND($E283&lt;&gt;"",$E283&lt;$D283),"TARİH HATASI",IF($H283="Pasif","KAPALI DÖNEM","UYGUN"))))))</f>
        <v/>
      </c>
      <c r="O283" s="229">
        <f>IF(OR($C283="",$D283="",$F283=""),"",IF($F283="Aylık",EOMONTH($D283,0),($D283+MOD(SISTEM!$F$8-WEEKDAY($D283,2),7))))</f>
        <v/>
      </c>
      <c r="P283" s="109" t="n"/>
      <c r="Q283" s="6" t="n"/>
      <c r="R283" s="6" t="n"/>
      <c r="S283" s="3">
        <f>IF($B283="","",$B283&amp;"|"&amp;COUNTIFS($B$7:$B283,$B283))</f>
        <v/>
      </c>
    </row>
    <row r="284">
      <c r="A284" s="6" t="n"/>
      <c r="B284" s="113">
        <f>IF($C284="","",IFERROR(INDEX(MUSTERILER!$B$7:$B$106,MATCH($C284,MUSTERILER!$C$7:$C$106,0)),IFERROR(INDEX(MUSTERILER!$B$7:$B$106,MATCH($C284,MUSTERILER!$B$7:$B$106,0)),IFERROR(INDEX(MUSTERILER!$B$7:$B$106,MATCH($C284&amp;"*",MUSTERILER!$C$7:$C$106,0)),"TANIMSIZ MÜŞTERİ"))))</f>
        <v/>
      </c>
      <c r="C284" s="109" t="n"/>
      <c r="D284" s="225" t="n"/>
      <c r="E284" s="225" t="n"/>
      <c r="F284" s="108" t="n"/>
      <c r="G284" s="226" t="n"/>
      <c r="H284" s="108" t="n"/>
      <c r="I284" s="227">
        <f>IF(OR($C284="",$D284="",$G284="",$F284=""),0,$G284*IF($F284="Aylık",MAX(0,(YEAR(MIN(IF($E284="",TODAY(),$E284),TODAY()))-YEAR($D284))*12+MONTH(MIN(IF($E284="",TODAY(),$E284),TODAY()))-MONTH($D284)+IF(MIN(IF($E284="",TODAY(),$E284),TODAY())&gt;=EOMONTH(MIN(IF($E284="",TODAY(),$E284),TODAY()),0),1,0)),MAX(0,INT((MIN(IF($E284="",TODAY(),$E284),TODAY())-($D284+MOD(SISTEM!$F$8-WEEKDAY($D284,2),7)))/7)+1)))</f>
        <v/>
      </c>
      <c r="J284" s="227">
        <f>IF(OR($C284="",$D284="",$G284="",$F284=""),0,$G284*IF($F284="Aylık",MAX(0,(YEAR(MIN(IF($E284="",TODAY()-8,$E284),TODAY()-8))-YEAR($D284))*12+MONTH(MIN(IF($E284="",TODAY()-8,$E284),TODAY()-8))-MONTH($D284)+IF(MIN(IF($E284="",TODAY()-8,$E284),TODAY()-8)&gt;=EOMONTH(MIN(IF($E284="",TODAY()-8,$E284),TODAY()-8),0),1,0)),MAX(0,INT((MIN(IF($E284="",TODAY()-8,$E284),TODAY()-8)-($D284+MOD(SISTEM!$F$8-WEEKDAY($D284,2),7)))/7)+1)))</f>
        <v/>
      </c>
      <c r="K284" s="227">
        <f>IF(OR($C284="",$D284="",$G284="",$F284=""),0,$G284*IF($F284="Aylık",MAX(0,(YEAR(MIN(IF($E284="",TODAY()-15,$E284),TODAY()-15))-YEAR($D284))*12+MONTH(MIN(IF($E284="",TODAY()-15,$E284),TODAY()-15))-MONTH($D284)+IF(MIN(IF($E284="",TODAY()-15,$E284),TODAY()-15)&gt;=EOMONTH(MIN(IF($E284="",TODAY()-15,$E284),TODAY()-15),0),1,0)),MAX(0,INT((MIN(IF($E284="",TODAY()-15,$E284),TODAY()-15)-($D284+MOD(SISTEM!$F$8-WEEKDAY($D284,2),7)))/7)+1)))</f>
        <v/>
      </c>
      <c r="L284" s="227">
        <f>IF(OR($C284="",$D284="",$G284="",$F284=""),0,$G284*IF($F284="Aylık",MAX(0,(YEAR(MIN(IF($E284="",TODAY()-29,$E284),TODAY()-29))-YEAR($D284))*12+MONTH(MIN(IF($E284="",TODAY()-29,$E284),TODAY()-29))-MONTH($D284)+IF(MIN(IF($E284="",TODAY()-29,$E284),TODAY()-29)&gt;=EOMONTH(MIN(IF($E284="",TODAY()-29,$E284),TODAY()-29),0),1,0)),MAX(0,INT((MIN(IF($E284="",TODAY()-29,$E284),TODAY()-29)-($D284+MOD(SISTEM!$F$8-WEEKDAY($D284,2),7)))/7)+1)))</f>
        <v/>
      </c>
      <c r="M284" s="228">
        <f>IF($G284&gt;0,$I284/$G284,0)</f>
        <v/>
      </c>
      <c r="N284" s="113">
        <f>IF($C284="","",IF($B284="TANIMSIZ MÜŞTERİ","TANIMSIZ MÜŞTERİ",IF($F284="","MODEL SEÇİN",IF(OR($D284="",$G284&lt;=0),"EKSİK",IF(AND($E284&lt;&gt;"",$E284&lt;$D284),"TARİH HATASI",IF($H284="Pasif","KAPALI DÖNEM","UYGUN"))))))</f>
        <v/>
      </c>
      <c r="O284" s="229">
        <f>IF(OR($C284="",$D284="",$F284=""),"",IF($F284="Aylık",EOMONTH($D284,0),($D284+MOD(SISTEM!$F$8-WEEKDAY($D284,2),7))))</f>
        <v/>
      </c>
      <c r="P284" s="109" t="n"/>
      <c r="Q284" s="6" t="n"/>
      <c r="R284" s="6" t="n"/>
      <c r="S284" s="3">
        <f>IF($B284="","",$B284&amp;"|"&amp;COUNTIFS($B$7:$B284,$B284))</f>
        <v/>
      </c>
    </row>
    <row r="285">
      <c r="A285" s="6" t="n"/>
      <c r="B285" s="113">
        <f>IF($C285="","",IFERROR(INDEX(MUSTERILER!$B$7:$B$106,MATCH($C285,MUSTERILER!$C$7:$C$106,0)),IFERROR(INDEX(MUSTERILER!$B$7:$B$106,MATCH($C285,MUSTERILER!$B$7:$B$106,0)),IFERROR(INDEX(MUSTERILER!$B$7:$B$106,MATCH($C285&amp;"*",MUSTERILER!$C$7:$C$106,0)),"TANIMSIZ MÜŞTERİ"))))</f>
        <v/>
      </c>
      <c r="C285" s="109" t="n"/>
      <c r="D285" s="225" t="n"/>
      <c r="E285" s="225" t="n"/>
      <c r="F285" s="108" t="n"/>
      <c r="G285" s="226" t="n"/>
      <c r="H285" s="108" t="n"/>
      <c r="I285" s="227">
        <f>IF(OR($C285="",$D285="",$G285="",$F285=""),0,$G285*IF($F285="Aylık",MAX(0,(YEAR(MIN(IF($E285="",TODAY(),$E285),TODAY()))-YEAR($D285))*12+MONTH(MIN(IF($E285="",TODAY(),$E285),TODAY()))-MONTH($D285)+IF(MIN(IF($E285="",TODAY(),$E285),TODAY())&gt;=EOMONTH(MIN(IF($E285="",TODAY(),$E285),TODAY()),0),1,0)),MAX(0,INT((MIN(IF($E285="",TODAY(),$E285),TODAY())-($D285+MOD(SISTEM!$F$8-WEEKDAY($D285,2),7)))/7)+1)))</f>
        <v/>
      </c>
      <c r="J285" s="227">
        <f>IF(OR($C285="",$D285="",$G285="",$F285=""),0,$G285*IF($F285="Aylık",MAX(0,(YEAR(MIN(IF($E285="",TODAY()-8,$E285),TODAY()-8))-YEAR($D285))*12+MONTH(MIN(IF($E285="",TODAY()-8,$E285),TODAY()-8))-MONTH($D285)+IF(MIN(IF($E285="",TODAY()-8,$E285),TODAY()-8)&gt;=EOMONTH(MIN(IF($E285="",TODAY()-8,$E285),TODAY()-8),0),1,0)),MAX(0,INT((MIN(IF($E285="",TODAY()-8,$E285),TODAY()-8)-($D285+MOD(SISTEM!$F$8-WEEKDAY($D285,2),7)))/7)+1)))</f>
        <v/>
      </c>
      <c r="K285" s="227">
        <f>IF(OR($C285="",$D285="",$G285="",$F285=""),0,$G285*IF($F285="Aylık",MAX(0,(YEAR(MIN(IF($E285="",TODAY()-15,$E285),TODAY()-15))-YEAR($D285))*12+MONTH(MIN(IF($E285="",TODAY()-15,$E285),TODAY()-15))-MONTH($D285)+IF(MIN(IF($E285="",TODAY()-15,$E285),TODAY()-15)&gt;=EOMONTH(MIN(IF($E285="",TODAY()-15,$E285),TODAY()-15),0),1,0)),MAX(0,INT((MIN(IF($E285="",TODAY()-15,$E285),TODAY()-15)-($D285+MOD(SISTEM!$F$8-WEEKDAY($D285,2),7)))/7)+1)))</f>
        <v/>
      </c>
      <c r="L285" s="227">
        <f>IF(OR($C285="",$D285="",$G285="",$F285=""),0,$G285*IF($F285="Aylık",MAX(0,(YEAR(MIN(IF($E285="",TODAY()-29,$E285),TODAY()-29))-YEAR($D285))*12+MONTH(MIN(IF($E285="",TODAY()-29,$E285),TODAY()-29))-MONTH($D285)+IF(MIN(IF($E285="",TODAY()-29,$E285),TODAY()-29)&gt;=EOMONTH(MIN(IF($E285="",TODAY()-29,$E285),TODAY()-29),0),1,0)),MAX(0,INT((MIN(IF($E285="",TODAY()-29,$E285),TODAY()-29)-($D285+MOD(SISTEM!$F$8-WEEKDAY($D285,2),7)))/7)+1)))</f>
        <v/>
      </c>
      <c r="M285" s="228">
        <f>IF($G285&gt;0,$I285/$G285,0)</f>
        <v/>
      </c>
      <c r="N285" s="113">
        <f>IF($C285="","",IF($B285="TANIMSIZ MÜŞTERİ","TANIMSIZ MÜŞTERİ",IF($F285="","MODEL SEÇİN",IF(OR($D285="",$G285&lt;=0),"EKSİK",IF(AND($E285&lt;&gt;"",$E285&lt;$D285),"TARİH HATASI",IF($H285="Pasif","KAPALI DÖNEM","UYGUN"))))))</f>
        <v/>
      </c>
      <c r="O285" s="229">
        <f>IF(OR($C285="",$D285="",$F285=""),"",IF($F285="Aylık",EOMONTH($D285,0),($D285+MOD(SISTEM!$F$8-WEEKDAY($D285,2),7))))</f>
        <v/>
      </c>
      <c r="P285" s="109" t="n"/>
      <c r="Q285" s="6" t="n"/>
      <c r="R285" s="6" t="n"/>
      <c r="S285" s="3">
        <f>IF($B285="","",$B285&amp;"|"&amp;COUNTIFS($B$7:$B285,$B285))</f>
        <v/>
      </c>
    </row>
    <row r="286">
      <c r="A286" s="6" t="n"/>
      <c r="B286" s="113">
        <f>IF($C286="","",IFERROR(INDEX(MUSTERILER!$B$7:$B$106,MATCH($C286,MUSTERILER!$C$7:$C$106,0)),IFERROR(INDEX(MUSTERILER!$B$7:$B$106,MATCH($C286,MUSTERILER!$B$7:$B$106,0)),IFERROR(INDEX(MUSTERILER!$B$7:$B$106,MATCH($C286&amp;"*",MUSTERILER!$C$7:$C$106,0)),"TANIMSIZ MÜŞTERİ"))))</f>
        <v/>
      </c>
      <c r="C286" s="109" t="n"/>
      <c r="D286" s="225" t="n"/>
      <c r="E286" s="225" t="n"/>
      <c r="F286" s="108" t="n"/>
      <c r="G286" s="226" t="n"/>
      <c r="H286" s="108" t="n"/>
      <c r="I286" s="227">
        <f>IF(OR($C286="",$D286="",$G286="",$F286=""),0,$G286*IF($F286="Aylık",MAX(0,(YEAR(MIN(IF($E286="",TODAY(),$E286),TODAY()))-YEAR($D286))*12+MONTH(MIN(IF($E286="",TODAY(),$E286),TODAY()))-MONTH($D286)+IF(MIN(IF($E286="",TODAY(),$E286),TODAY())&gt;=EOMONTH(MIN(IF($E286="",TODAY(),$E286),TODAY()),0),1,0)),MAX(0,INT((MIN(IF($E286="",TODAY(),$E286),TODAY())-($D286+MOD(SISTEM!$F$8-WEEKDAY($D286,2),7)))/7)+1)))</f>
        <v/>
      </c>
      <c r="J286" s="227">
        <f>IF(OR($C286="",$D286="",$G286="",$F286=""),0,$G286*IF($F286="Aylık",MAX(0,(YEAR(MIN(IF($E286="",TODAY()-8,$E286),TODAY()-8))-YEAR($D286))*12+MONTH(MIN(IF($E286="",TODAY()-8,$E286),TODAY()-8))-MONTH($D286)+IF(MIN(IF($E286="",TODAY()-8,$E286),TODAY()-8)&gt;=EOMONTH(MIN(IF($E286="",TODAY()-8,$E286),TODAY()-8),0),1,0)),MAX(0,INT((MIN(IF($E286="",TODAY()-8,$E286),TODAY()-8)-($D286+MOD(SISTEM!$F$8-WEEKDAY($D286,2),7)))/7)+1)))</f>
        <v/>
      </c>
      <c r="K286" s="227">
        <f>IF(OR($C286="",$D286="",$G286="",$F286=""),0,$G286*IF($F286="Aylık",MAX(0,(YEAR(MIN(IF($E286="",TODAY()-15,$E286),TODAY()-15))-YEAR($D286))*12+MONTH(MIN(IF($E286="",TODAY()-15,$E286),TODAY()-15))-MONTH($D286)+IF(MIN(IF($E286="",TODAY()-15,$E286),TODAY()-15)&gt;=EOMONTH(MIN(IF($E286="",TODAY()-15,$E286),TODAY()-15),0),1,0)),MAX(0,INT((MIN(IF($E286="",TODAY()-15,$E286),TODAY()-15)-($D286+MOD(SISTEM!$F$8-WEEKDAY($D286,2),7)))/7)+1)))</f>
        <v/>
      </c>
      <c r="L286" s="227">
        <f>IF(OR($C286="",$D286="",$G286="",$F286=""),0,$G286*IF($F286="Aylık",MAX(0,(YEAR(MIN(IF($E286="",TODAY()-29,$E286),TODAY()-29))-YEAR($D286))*12+MONTH(MIN(IF($E286="",TODAY()-29,$E286),TODAY()-29))-MONTH($D286)+IF(MIN(IF($E286="",TODAY()-29,$E286),TODAY()-29)&gt;=EOMONTH(MIN(IF($E286="",TODAY()-29,$E286),TODAY()-29),0),1,0)),MAX(0,INT((MIN(IF($E286="",TODAY()-29,$E286),TODAY()-29)-($D286+MOD(SISTEM!$F$8-WEEKDAY($D286,2),7)))/7)+1)))</f>
        <v/>
      </c>
      <c r="M286" s="228">
        <f>IF($G286&gt;0,$I286/$G286,0)</f>
        <v/>
      </c>
      <c r="N286" s="113">
        <f>IF($C286="","",IF($B286="TANIMSIZ MÜŞTERİ","TANIMSIZ MÜŞTERİ",IF($F286="","MODEL SEÇİN",IF(OR($D286="",$G286&lt;=0),"EKSİK",IF(AND($E286&lt;&gt;"",$E286&lt;$D286),"TARİH HATASI",IF($H286="Pasif","KAPALI DÖNEM","UYGUN"))))))</f>
        <v/>
      </c>
      <c r="O286" s="229">
        <f>IF(OR($C286="",$D286="",$F286=""),"",IF($F286="Aylık",EOMONTH($D286,0),($D286+MOD(SISTEM!$F$8-WEEKDAY($D286,2),7))))</f>
        <v/>
      </c>
      <c r="P286" s="109" t="n"/>
      <c r="Q286" s="6" t="n"/>
      <c r="R286" s="6" t="n"/>
      <c r="S286" s="3">
        <f>IF($B286="","",$B286&amp;"|"&amp;COUNTIFS($B$7:$B286,$B286))</f>
        <v/>
      </c>
    </row>
    <row r="287">
      <c r="A287" s="6" t="n"/>
      <c r="B287" s="113">
        <f>IF($C287="","",IFERROR(INDEX(MUSTERILER!$B$7:$B$106,MATCH($C287,MUSTERILER!$C$7:$C$106,0)),IFERROR(INDEX(MUSTERILER!$B$7:$B$106,MATCH($C287,MUSTERILER!$B$7:$B$106,0)),IFERROR(INDEX(MUSTERILER!$B$7:$B$106,MATCH($C287&amp;"*",MUSTERILER!$C$7:$C$106,0)),"TANIMSIZ MÜŞTERİ"))))</f>
        <v/>
      </c>
      <c r="C287" s="109" t="n"/>
      <c r="D287" s="225" t="n"/>
      <c r="E287" s="225" t="n"/>
      <c r="F287" s="108" t="n"/>
      <c r="G287" s="226" t="n"/>
      <c r="H287" s="108" t="n"/>
      <c r="I287" s="227">
        <f>IF(OR($C287="",$D287="",$G287="",$F287=""),0,$G287*IF($F287="Aylık",MAX(0,(YEAR(MIN(IF($E287="",TODAY(),$E287),TODAY()))-YEAR($D287))*12+MONTH(MIN(IF($E287="",TODAY(),$E287),TODAY()))-MONTH($D287)+IF(MIN(IF($E287="",TODAY(),$E287),TODAY())&gt;=EOMONTH(MIN(IF($E287="",TODAY(),$E287),TODAY()),0),1,0)),MAX(0,INT((MIN(IF($E287="",TODAY(),$E287),TODAY())-($D287+MOD(SISTEM!$F$8-WEEKDAY($D287,2),7)))/7)+1)))</f>
        <v/>
      </c>
      <c r="J287" s="227">
        <f>IF(OR($C287="",$D287="",$G287="",$F287=""),0,$G287*IF($F287="Aylık",MAX(0,(YEAR(MIN(IF($E287="",TODAY()-8,$E287),TODAY()-8))-YEAR($D287))*12+MONTH(MIN(IF($E287="",TODAY()-8,$E287),TODAY()-8))-MONTH($D287)+IF(MIN(IF($E287="",TODAY()-8,$E287),TODAY()-8)&gt;=EOMONTH(MIN(IF($E287="",TODAY()-8,$E287),TODAY()-8),0),1,0)),MAX(0,INT((MIN(IF($E287="",TODAY()-8,$E287),TODAY()-8)-($D287+MOD(SISTEM!$F$8-WEEKDAY($D287,2),7)))/7)+1)))</f>
        <v/>
      </c>
      <c r="K287" s="227">
        <f>IF(OR($C287="",$D287="",$G287="",$F287=""),0,$G287*IF($F287="Aylık",MAX(0,(YEAR(MIN(IF($E287="",TODAY()-15,$E287),TODAY()-15))-YEAR($D287))*12+MONTH(MIN(IF($E287="",TODAY()-15,$E287),TODAY()-15))-MONTH($D287)+IF(MIN(IF($E287="",TODAY()-15,$E287),TODAY()-15)&gt;=EOMONTH(MIN(IF($E287="",TODAY()-15,$E287),TODAY()-15),0),1,0)),MAX(0,INT((MIN(IF($E287="",TODAY()-15,$E287),TODAY()-15)-($D287+MOD(SISTEM!$F$8-WEEKDAY($D287,2),7)))/7)+1)))</f>
        <v/>
      </c>
      <c r="L287" s="227">
        <f>IF(OR($C287="",$D287="",$G287="",$F287=""),0,$G287*IF($F287="Aylık",MAX(0,(YEAR(MIN(IF($E287="",TODAY()-29,$E287),TODAY()-29))-YEAR($D287))*12+MONTH(MIN(IF($E287="",TODAY()-29,$E287),TODAY()-29))-MONTH($D287)+IF(MIN(IF($E287="",TODAY()-29,$E287),TODAY()-29)&gt;=EOMONTH(MIN(IF($E287="",TODAY()-29,$E287),TODAY()-29),0),1,0)),MAX(0,INT((MIN(IF($E287="",TODAY()-29,$E287),TODAY()-29)-($D287+MOD(SISTEM!$F$8-WEEKDAY($D287,2),7)))/7)+1)))</f>
        <v/>
      </c>
      <c r="M287" s="228">
        <f>IF($G287&gt;0,$I287/$G287,0)</f>
        <v/>
      </c>
      <c r="N287" s="113">
        <f>IF($C287="","",IF($B287="TANIMSIZ MÜŞTERİ","TANIMSIZ MÜŞTERİ",IF($F287="","MODEL SEÇİN",IF(OR($D287="",$G287&lt;=0),"EKSİK",IF(AND($E287&lt;&gt;"",$E287&lt;$D287),"TARİH HATASI",IF($H287="Pasif","KAPALI DÖNEM","UYGUN"))))))</f>
        <v/>
      </c>
      <c r="O287" s="229">
        <f>IF(OR($C287="",$D287="",$F287=""),"",IF($F287="Aylık",EOMONTH($D287,0),($D287+MOD(SISTEM!$F$8-WEEKDAY($D287,2),7))))</f>
        <v/>
      </c>
      <c r="P287" s="109" t="n"/>
      <c r="Q287" s="6" t="n"/>
      <c r="R287" s="6" t="n"/>
      <c r="S287" s="3">
        <f>IF($B287="","",$B287&amp;"|"&amp;COUNTIFS($B$7:$B287,$B287))</f>
        <v/>
      </c>
    </row>
    <row r="288">
      <c r="A288" s="6" t="n"/>
      <c r="B288" s="113">
        <f>IF($C288="","",IFERROR(INDEX(MUSTERILER!$B$7:$B$106,MATCH($C288,MUSTERILER!$C$7:$C$106,0)),IFERROR(INDEX(MUSTERILER!$B$7:$B$106,MATCH($C288,MUSTERILER!$B$7:$B$106,0)),IFERROR(INDEX(MUSTERILER!$B$7:$B$106,MATCH($C288&amp;"*",MUSTERILER!$C$7:$C$106,0)),"TANIMSIZ MÜŞTERİ"))))</f>
        <v/>
      </c>
      <c r="C288" s="109" t="n"/>
      <c r="D288" s="225" t="n"/>
      <c r="E288" s="225" t="n"/>
      <c r="F288" s="108" t="n"/>
      <c r="G288" s="226" t="n"/>
      <c r="H288" s="108" t="n"/>
      <c r="I288" s="227">
        <f>IF(OR($C288="",$D288="",$G288="",$F288=""),0,$G288*IF($F288="Aylık",MAX(0,(YEAR(MIN(IF($E288="",TODAY(),$E288),TODAY()))-YEAR($D288))*12+MONTH(MIN(IF($E288="",TODAY(),$E288),TODAY()))-MONTH($D288)+IF(MIN(IF($E288="",TODAY(),$E288),TODAY())&gt;=EOMONTH(MIN(IF($E288="",TODAY(),$E288),TODAY()),0),1,0)),MAX(0,INT((MIN(IF($E288="",TODAY(),$E288),TODAY())-($D288+MOD(SISTEM!$F$8-WEEKDAY($D288,2),7)))/7)+1)))</f>
        <v/>
      </c>
      <c r="J288" s="227">
        <f>IF(OR($C288="",$D288="",$G288="",$F288=""),0,$G288*IF($F288="Aylık",MAX(0,(YEAR(MIN(IF($E288="",TODAY()-8,$E288),TODAY()-8))-YEAR($D288))*12+MONTH(MIN(IF($E288="",TODAY()-8,$E288),TODAY()-8))-MONTH($D288)+IF(MIN(IF($E288="",TODAY()-8,$E288),TODAY()-8)&gt;=EOMONTH(MIN(IF($E288="",TODAY()-8,$E288),TODAY()-8),0),1,0)),MAX(0,INT((MIN(IF($E288="",TODAY()-8,$E288),TODAY()-8)-($D288+MOD(SISTEM!$F$8-WEEKDAY($D288,2),7)))/7)+1)))</f>
        <v/>
      </c>
      <c r="K288" s="227">
        <f>IF(OR($C288="",$D288="",$G288="",$F288=""),0,$G288*IF($F288="Aylık",MAX(0,(YEAR(MIN(IF($E288="",TODAY()-15,$E288),TODAY()-15))-YEAR($D288))*12+MONTH(MIN(IF($E288="",TODAY()-15,$E288),TODAY()-15))-MONTH($D288)+IF(MIN(IF($E288="",TODAY()-15,$E288),TODAY()-15)&gt;=EOMONTH(MIN(IF($E288="",TODAY()-15,$E288),TODAY()-15),0),1,0)),MAX(0,INT((MIN(IF($E288="",TODAY()-15,$E288),TODAY()-15)-($D288+MOD(SISTEM!$F$8-WEEKDAY($D288,2),7)))/7)+1)))</f>
        <v/>
      </c>
      <c r="L288" s="227">
        <f>IF(OR($C288="",$D288="",$G288="",$F288=""),0,$G288*IF($F288="Aylık",MAX(0,(YEAR(MIN(IF($E288="",TODAY()-29,$E288),TODAY()-29))-YEAR($D288))*12+MONTH(MIN(IF($E288="",TODAY()-29,$E288),TODAY()-29))-MONTH($D288)+IF(MIN(IF($E288="",TODAY()-29,$E288),TODAY()-29)&gt;=EOMONTH(MIN(IF($E288="",TODAY()-29,$E288),TODAY()-29),0),1,0)),MAX(0,INT((MIN(IF($E288="",TODAY()-29,$E288),TODAY()-29)-($D288+MOD(SISTEM!$F$8-WEEKDAY($D288,2),7)))/7)+1)))</f>
        <v/>
      </c>
      <c r="M288" s="228">
        <f>IF($G288&gt;0,$I288/$G288,0)</f>
        <v/>
      </c>
      <c r="N288" s="113">
        <f>IF($C288="","",IF($B288="TANIMSIZ MÜŞTERİ","TANIMSIZ MÜŞTERİ",IF($F288="","MODEL SEÇİN",IF(OR($D288="",$G288&lt;=0),"EKSİK",IF(AND($E288&lt;&gt;"",$E288&lt;$D288),"TARİH HATASI",IF($H288="Pasif","KAPALI DÖNEM","UYGUN"))))))</f>
        <v/>
      </c>
      <c r="O288" s="229">
        <f>IF(OR($C288="",$D288="",$F288=""),"",IF($F288="Aylık",EOMONTH($D288,0),($D288+MOD(SISTEM!$F$8-WEEKDAY($D288,2),7))))</f>
        <v/>
      </c>
      <c r="P288" s="109" t="n"/>
      <c r="Q288" s="6" t="n"/>
      <c r="R288" s="6" t="n"/>
      <c r="S288" s="3">
        <f>IF($B288="","",$B288&amp;"|"&amp;COUNTIFS($B$7:$B288,$B288))</f>
        <v/>
      </c>
    </row>
    <row r="289">
      <c r="A289" s="6" t="n"/>
      <c r="B289" s="113">
        <f>IF($C289="","",IFERROR(INDEX(MUSTERILER!$B$7:$B$106,MATCH($C289,MUSTERILER!$C$7:$C$106,0)),IFERROR(INDEX(MUSTERILER!$B$7:$B$106,MATCH($C289,MUSTERILER!$B$7:$B$106,0)),IFERROR(INDEX(MUSTERILER!$B$7:$B$106,MATCH($C289&amp;"*",MUSTERILER!$C$7:$C$106,0)),"TANIMSIZ MÜŞTERİ"))))</f>
        <v/>
      </c>
      <c r="C289" s="109" t="n"/>
      <c r="D289" s="225" t="n"/>
      <c r="E289" s="225" t="n"/>
      <c r="F289" s="108" t="n"/>
      <c r="G289" s="226" t="n"/>
      <c r="H289" s="108" t="n"/>
      <c r="I289" s="227">
        <f>IF(OR($C289="",$D289="",$G289="",$F289=""),0,$G289*IF($F289="Aylık",MAX(0,(YEAR(MIN(IF($E289="",TODAY(),$E289),TODAY()))-YEAR($D289))*12+MONTH(MIN(IF($E289="",TODAY(),$E289),TODAY()))-MONTH($D289)+IF(MIN(IF($E289="",TODAY(),$E289),TODAY())&gt;=EOMONTH(MIN(IF($E289="",TODAY(),$E289),TODAY()),0),1,0)),MAX(0,INT((MIN(IF($E289="",TODAY(),$E289),TODAY())-($D289+MOD(SISTEM!$F$8-WEEKDAY($D289,2),7)))/7)+1)))</f>
        <v/>
      </c>
      <c r="J289" s="227">
        <f>IF(OR($C289="",$D289="",$G289="",$F289=""),0,$G289*IF($F289="Aylık",MAX(0,(YEAR(MIN(IF($E289="",TODAY()-8,$E289),TODAY()-8))-YEAR($D289))*12+MONTH(MIN(IF($E289="",TODAY()-8,$E289),TODAY()-8))-MONTH($D289)+IF(MIN(IF($E289="",TODAY()-8,$E289),TODAY()-8)&gt;=EOMONTH(MIN(IF($E289="",TODAY()-8,$E289),TODAY()-8),0),1,0)),MAX(0,INT((MIN(IF($E289="",TODAY()-8,$E289),TODAY()-8)-($D289+MOD(SISTEM!$F$8-WEEKDAY($D289,2),7)))/7)+1)))</f>
        <v/>
      </c>
      <c r="K289" s="227">
        <f>IF(OR($C289="",$D289="",$G289="",$F289=""),0,$G289*IF($F289="Aylık",MAX(0,(YEAR(MIN(IF($E289="",TODAY()-15,$E289),TODAY()-15))-YEAR($D289))*12+MONTH(MIN(IF($E289="",TODAY()-15,$E289),TODAY()-15))-MONTH($D289)+IF(MIN(IF($E289="",TODAY()-15,$E289),TODAY()-15)&gt;=EOMONTH(MIN(IF($E289="",TODAY()-15,$E289),TODAY()-15),0),1,0)),MAX(0,INT((MIN(IF($E289="",TODAY()-15,$E289),TODAY()-15)-($D289+MOD(SISTEM!$F$8-WEEKDAY($D289,2),7)))/7)+1)))</f>
        <v/>
      </c>
      <c r="L289" s="227">
        <f>IF(OR($C289="",$D289="",$G289="",$F289=""),0,$G289*IF($F289="Aylık",MAX(0,(YEAR(MIN(IF($E289="",TODAY()-29,$E289),TODAY()-29))-YEAR($D289))*12+MONTH(MIN(IF($E289="",TODAY()-29,$E289),TODAY()-29))-MONTH($D289)+IF(MIN(IF($E289="",TODAY()-29,$E289),TODAY()-29)&gt;=EOMONTH(MIN(IF($E289="",TODAY()-29,$E289),TODAY()-29),0),1,0)),MAX(0,INT((MIN(IF($E289="",TODAY()-29,$E289),TODAY()-29)-($D289+MOD(SISTEM!$F$8-WEEKDAY($D289,2),7)))/7)+1)))</f>
        <v/>
      </c>
      <c r="M289" s="228">
        <f>IF($G289&gt;0,$I289/$G289,0)</f>
        <v/>
      </c>
      <c r="N289" s="113">
        <f>IF($C289="","",IF($B289="TANIMSIZ MÜŞTERİ","TANIMSIZ MÜŞTERİ",IF($F289="","MODEL SEÇİN",IF(OR($D289="",$G289&lt;=0),"EKSİK",IF(AND($E289&lt;&gt;"",$E289&lt;$D289),"TARİH HATASI",IF($H289="Pasif","KAPALI DÖNEM","UYGUN"))))))</f>
        <v/>
      </c>
      <c r="O289" s="229">
        <f>IF(OR($C289="",$D289="",$F289=""),"",IF($F289="Aylık",EOMONTH($D289,0),($D289+MOD(SISTEM!$F$8-WEEKDAY($D289,2),7))))</f>
        <v/>
      </c>
      <c r="P289" s="109" t="n"/>
      <c r="Q289" s="6" t="n"/>
      <c r="R289" s="6" t="n"/>
      <c r="S289" s="3">
        <f>IF($B289="","",$B289&amp;"|"&amp;COUNTIFS($B$7:$B289,$B289))</f>
        <v/>
      </c>
    </row>
    <row r="290">
      <c r="A290" s="6" t="n"/>
      <c r="B290" s="113">
        <f>IF($C290="","",IFERROR(INDEX(MUSTERILER!$B$7:$B$106,MATCH($C290,MUSTERILER!$C$7:$C$106,0)),IFERROR(INDEX(MUSTERILER!$B$7:$B$106,MATCH($C290,MUSTERILER!$B$7:$B$106,0)),IFERROR(INDEX(MUSTERILER!$B$7:$B$106,MATCH($C290&amp;"*",MUSTERILER!$C$7:$C$106,0)),"TANIMSIZ MÜŞTERİ"))))</f>
        <v/>
      </c>
      <c r="C290" s="109" t="n"/>
      <c r="D290" s="225" t="n"/>
      <c r="E290" s="225" t="n"/>
      <c r="F290" s="108" t="n"/>
      <c r="G290" s="226" t="n"/>
      <c r="H290" s="108" t="n"/>
      <c r="I290" s="227">
        <f>IF(OR($C290="",$D290="",$G290="",$F290=""),0,$G290*IF($F290="Aylık",MAX(0,(YEAR(MIN(IF($E290="",TODAY(),$E290),TODAY()))-YEAR($D290))*12+MONTH(MIN(IF($E290="",TODAY(),$E290),TODAY()))-MONTH($D290)+IF(MIN(IF($E290="",TODAY(),$E290),TODAY())&gt;=EOMONTH(MIN(IF($E290="",TODAY(),$E290),TODAY()),0),1,0)),MAX(0,INT((MIN(IF($E290="",TODAY(),$E290),TODAY())-($D290+MOD(SISTEM!$F$8-WEEKDAY($D290,2),7)))/7)+1)))</f>
        <v/>
      </c>
      <c r="J290" s="227">
        <f>IF(OR($C290="",$D290="",$G290="",$F290=""),0,$G290*IF($F290="Aylık",MAX(0,(YEAR(MIN(IF($E290="",TODAY()-8,$E290),TODAY()-8))-YEAR($D290))*12+MONTH(MIN(IF($E290="",TODAY()-8,$E290),TODAY()-8))-MONTH($D290)+IF(MIN(IF($E290="",TODAY()-8,$E290),TODAY()-8)&gt;=EOMONTH(MIN(IF($E290="",TODAY()-8,$E290),TODAY()-8),0),1,0)),MAX(0,INT((MIN(IF($E290="",TODAY()-8,$E290),TODAY()-8)-($D290+MOD(SISTEM!$F$8-WEEKDAY($D290,2),7)))/7)+1)))</f>
        <v/>
      </c>
      <c r="K290" s="227">
        <f>IF(OR($C290="",$D290="",$G290="",$F290=""),0,$G290*IF($F290="Aylık",MAX(0,(YEAR(MIN(IF($E290="",TODAY()-15,$E290),TODAY()-15))-YEAR($D290))*12+MONTH(MIN(IF($E290="",TODAY()-15,$E290),TODAY()-15))-MONTH($D290)+IF(MIN(IF($E290="",TODAY()-15,$E290),TODAY()-15)&gt;=EOMONTH(MIN(IF($E290="",TODAY()-15,$E290),TODAY()-15),0),1,0)),MAX(0,INT((MIN(IF($E290="",TODAY()-15,$E290),TODAY()-15)-($D290+MOD(SISTEM!$F$8-WEEKDAY($D290,2),7)))/7)+1)))</f>
        <v/>
      </c>
      <c r="L290" s="227">
        <f>IF(OR($C290="",$D290="",$G290="",$F290=""),0,$G290*IF($F290="Aylık",MAX(0,(YEAR(MIN(IF($E290="",TODAY()-29,$E290),TODAY()-29))-YEAR($D290))*12+MONTH(MIN(IF($E290="",TODAY()-29,$E290),TODAY()-29))-MONTH($D290)+IF(MIN(IF($E290="",TODAY()-29,$E290),TODAY()-29)&gt;=EOMONTH(MIN(IF($E290="",TODAY()-29,$E290),TODAY()-29),0),1,0)),MAX(0,INT((MIN(IF($E290="",TODAY()-29,$E290),TODAY()-29)-($D290+MOD(SISTEM!$F$8-WEEKDAY($D290,2),7)))/7)+1)))</f>
        <v/>
      </c>
      <c r="M290" s="228">
        <f>IF($G290&gt;0,$I290/$G290,0)</f>
        <v/>
      </c>
      <c r="N290" s="113">
        <f>IF($C290="","",IF($B290="TANIMSIZ MÜŞTERİ","TANIMSIZ MÜŞTERİ",IF($F290="","MODEL SEÇİN",IF(OR($D290="",$G290&lt;=0),"EKSİK",IF(AND($E290&lt;&gt;"",$E290&lt;$D290),"TARİH HATASI",IF($H290="Pasif","KAPALI DÖNEM","UYGUN"))))))</f>
        <v/>
      </c>
      <c r="O290" s="229">
        <f>IF(OR($C290="",$D290="",$F290=""),"",IF($F290="Aylık",EOMONTH($D290,0),($D290+MOD(SISTEM!$F$8-WEEKDAY($D290,2),7))))</f>
        <v/>
      </c>
      <c r="P290" s="109" t="n"/>
      <c r="Q290" s="6" t="n"/>
      <c r="R290" s="6" t="n"/>
      <c r="S290" s="3">
        <f>IF($B290="","",$B290&amp;"|"&amp;COUNTIFS($B$7:$B290,$B290))</f>
        <v/>
      </c>
    </row>
    <row r="291">
      <c r="A291" s="6" t="n"/>
      <c r="B291" s="113">
        <f>IF($C291="","",IFERROR(INDEX(MUSTERILER!$B$7:$B$106,MATCH($C291,MUSTERILER!$C$7:$C$106,0)),IFERROR(INDEX(MUSTERILER!$B$7:$B$106,MATCH($C291,MUSTERILER!$B$7:$B$106,0)),IFERROR(INDEX(MUSTERILER!$B$7:$B$106,MATCH($C291&amp;"*",MUSTERILER!$C$7:$C$106,0)),"TANIMSIZ MÜŞTERİ"))))</f>
        <v/>
      </c>
      <c r="C291" s="109" t="n"/>
      <c r="D291" s="225" t="n"/>
      <c r="E291" s="225" t="n"/>
      <c r="F291" s="108" t="n"/>
      <c r="G291" s="226" t="n"/>
      <c r="H291" s="108" t="n"/>
      <c r="I291" s="227">
        <f>IF(OR($C291="",$D291="",$G291="",$F291=""),0,$G291*IF($F291="Aylık",MAX(0,(YEAR(MIN(IF($E291="",TODAY(),$E291),TODAY()))-YEAR($D291))*12+MONTH(MIN(IF($E291="",TODAY(),$E291),TODAY()))-MONTH($D291)+IF(MIN(IF($E291="",TODAY(),$E291),TODAY())&gt;=EOMONTH(MIN(IF($E291="",TODAY(),$E291),TODAY()),0),1,0)),MAX(0,INT((MIN(IF($E291="",TODAY(),$E291),TODAY())-($D291+MOD(SISTEM!$F$8-WEEKDAY($D291,2),7)))/7)+1)))</f>
        <v/>
      </c>
      <c r="J291" s="227">
        <f>IF(OR($C291="",$D291="",$G291="",$F291=""),0,$G291*IF($F291="Aylık",MAX(0,(YEAR(MIN(IF($E291="",TODAY()-8,$E291),TODAY()-8))-YEAR($D291))*12+MONTH(MIN(IF($E291="",TODAY()-8,$E291),TODAY()-8))-MONTH($D291)+IF(MIN(IF($E291="",TODAY()-8,$E291),TODAY()-8)&gt;=EOMONTH(MIN(IF($E291="",TODAY()-8,$E291),TODAY()-8),0),1,0)),MAX(0,INT((MIN(IF($E291="",TODAY()-8,$E291),TODAY()-8)-($D291+MOD(SISTEM!$F$8-WEEKDAY($D291,2),7)))/7)+1)))</f>
        <v/>
      </c>
      <c r="K291" s="227">
        <f>IF(OR($C291="",$D291="",$G291="",$F291=""),0,$G291*IF($F291="Aylık",MAX(0,(YEAR(MIN(IF($E291="",TODAY()-15,$E291),TODAY()-15))-YEAR($D291))*12+MONTH(MIN(IF($E291="",TODAY()-15,$E291),TODAY()-15))-MONTH($D291)+IF(MIN(IF($E291="",TODAY()-15,$E291),TODAY()-15)&gt;=EOMONTH(MIN(IF($E291="",TODAY()-15,$E291),TODAY()-15),0),1,0)),MAX(0,INT((MIN(IF($E291="",TODAY()-15,$E291),TODAY()-15)-($D291+MOD(SISTEM!$F$8-WEEKDAY($D291,2),7)))/7)+1)))</f>
        <v/>
      </c>
      <c r="L291" s="227">
        <f>IF(OR($C291="",$D291="",$G291="",$F291=""),0,$G291*IF($F291="Aylık",MAX(0,(YEAR(MIN(IF($E291="",TODAY()-29,$E291),TODAY()-29))-YEAR($D291))*12+MONTH(MIN(IF($E291="",TODAY()-29,$E291),TODAY()-29))-MONTH($D291)+IF(MIN(IF($E291="",TODAY()-29,$E291),TODAY()-29)&gt;=EOMONTH(MIN(IF($E291="",TODAY()-29,$E291),TODAY()-29),0),1,0)),MAX(0,INT((MIN(IF($E291="",TODAY()-29,$E291),TODAY()-29)-($D291+MOD(SISTEM!$F$8-WEEKDAY($D291,2),7)))/7)+1)))</f>
        <v/>
      </c>
      <c r="M291" s="228">
        <f>IF($G291&gt;0,$I291/$G291,0)</f>
        <v/>
      </c>
      <c r="N291" s="113">
        <f>IF($C291="","",IF($B291="TANIMSIZ MÜŞTERİ","TANIMSIZ MÜŞTERİ",IF($F291="","MODEL SEÇİN",IF(OR($D291="",$G291&lt;=0),"EKSİK",IF(AND($E291&lt;&gt;"",$E291&lt;$D291),"TARİH HATASI",IF($H291="Pasif","KAPALI DÖNEM","UYGUN"))))))</f>
        <v/>
      </c>
      <c r="O291" s="229">
        <f>IF(OR($C291="",$D291="",$F291=""),"",IF($F291="Aylık",EOMONTH($D291,0),($D291+MOD(SISTEM!$F$8-WEEKDAY($D291,2),7))))</f>
        <v/>
      </c>
      <c r="P291" s="109" t="n"/>
      <c r="Q291" s="6" t="n"/>
      <c r="R291" s="6" t="n"/>
      <c r="S291" s="3">
        <f>IF($B291="","",$B291&amp;"|"&amp;COUNTIFS($B$7:$B291,$B291))</f>
        <v/>
      </c>
    </row>
    <row r="292">
      <c r="A292" s="6" t="n"/>
      <c r="B292" s="113">
        <f>IF($C292="","",IFERROR(INDEX(MUSTERILER!$B$7:$B$106,MATCH($C292,MUSTERILER!$C$7:$C$106,0)),IFERROR(INDEX(MUSTERILER!$B$7:$B$106,MATCH($C292,MUSTERILER!$B$7:$B$106,0)),IFERROR(INDEX(MUSTERILER!$B$7:$B$106,MATCH($C292&amp;"*",MUSTERILER!$C$7:$C$106,0)),"TANIMSIZ MÜŞTERİ"))))</f>
        <v/>
      </c>
      <c r="C292" s="109" t="n"/>
      <c r="D292" s="225" t="n"/>
      <c r="E292" s="225" t="n"/>
      <c r="F292" s="108" t="n"/>
      <c r="G292" s="226" t="n"/>
      <c r="H292" s="108" t="n"/>
      <c r="I292" s="227">
        <f>IF(OR($C292="",$D292="",$G292="",$F292=""),0,$G292*IF($F292="Aylık",MAX(0,(YEAR(MIN(IF($E292="",TODAY(),$E292),TODAY()))-YEAR($D292))*12+MONTH(MIN(IF($E292="",TODAY(),$E292),TODAY()))-MONTH($D292)+IF(MIN(IF($E292="",TODAY(),$E292),TODAY())&gt;=EOMONTH(MIN(IF($E292="",TODAY(),$E292),TODAY()),0),1,0)),MAX(0,INT((MIN(IF($E292="",TODAY(),$E292),TODAY())-($D292+MOD(SISTEM!$F$8-WEEKDAY($D292,2),7)))/7)+1)))</f>
        <v/>
      </c>
      <c r="J292" s="227">
        <f>IF(OR($C292="",$D292="",$G292="",$F292=""),0,$G292*IF($F292="Aylık",MAX(0,(YEAR(MIN(IF($E292="",TODAY()-8,$E292),TODAY()-8))-YEAR($D292))*12+MONTH(MIN(IF($E292="",TODAY()-8,$E292),TODAY()-8))-MONTH($D292)+IF(MIN(IF($E292="",TODAY()-8,$E292),TODAY()-8)&gt;=EOMONTH(MIN(IF($E292="",TODAY()-8,$E292),TODAY()-8),0),1,0)),MAX(0,INT((MIN(IF($E292="",TODAY()-8,$E292),TODAY()-8)-($D292+MOD(SISTEM!$F$8-WEEKDAY($D292,2),7)))/7)+1)))</f>
        <v/>
      </c>
      <c r="K292" s="227">
        <f>IF(OR($C292="",$D292="",$G292="",$F292=""),0,$G292*IF($F292="Aylık",MAX(0,(YEAR(MIN(IF($E292="",TODAY()-15,$E292),TODAY()-15))-YEAR($D292))*12+MONTH(MIN(IF($E292="",TODAY()-15,$E292),TODAY()-15))-MONTH($D292)+IF(MIN(IF($E292="",TODAY()-15,$E292),TODAY()-15)&gt;=EOMONTH(MIN(IF($E292="",TODAY()-15,$E292),TODAY()-15),0),1,0)),MAX(0,INT((MIN(IF($E292="",TODAY()-15,$E292),TODAY()-15)-($D292+MOD(SISTEM!$F$8-WEEKDAY($D292,2),7)))/7)+1)))</f>
        <v/>
      </c>
      <c r="L292" s="227">
        <f>IF(OR($C292="",$D292="",$G292="",$F292=""),0,$G292*IF($F292="Aylık",MAX(0,(YEAR(MIN(IF($E292="",TODAY()-29,$E292),TODAY()-29))-YEAR($D292))*12+MONTH(MIN(IF($E292="",TODAY()-29,$E292),TODAY()-29))-MONTH($D292)+IF(MIN(IF($E292="",TODAY()-29,$E292),TODAY()-29)&gt;=EOMONTH(MIN(IF($E292="",TODAY()-29,$E292),TODAY()-29),0),1,0)),MAX(0,INT((MIN(IF($E292="",TODAY()-29,$E292),TODAY()-29)-($D292+MOD(SISTEM!$F$8-WEEKDAY($D292,2),7)))/7)+1)))</f>
        <v/>
      </c>
      <c r="M292" s="228">
        <f>IF($G292&gt;0,$I292/$G292,0)</f>
        <v/>
      </c>
      <c r="N292" s="113">
        <f>IF($C292="","",IF($B292="TANIMSIZ MÜŞTERİ","TANIMSIZ MÜŞTERİ",IF($F292="","MODEL SEÇİN",IF(OR($D292="",$G292&lt;=0),"EKSİK",IF(AND($E292&lt;&gt;"",$E292&lt;$D292),"TARİH HATASI",IF($H292="Pasif","KAPALI DÖNEM","UYGUN"))))))</f>
        <v/>
      </c>
      <c r="O292" s="229">
        <f>IF(OR($C292="",$D292="",$F292=""),"",IF($F292="Aylık",EOMONTH($D292,0),($D292+MOD(SISTEM!$F$8-WEEKDAY($D292,2),7))))</f>
        <v/>
      </c>
      <c r="P292" s="109" t="n"/>
      <c r="Q292" s="6" t="n"/>
      <c r="R292" s="6" t="n"/>
      <c r="S292" s="3">
        <f>IF($B292="","",$B292&amp;"|"&amp;COUNTIFS($B$7:$B292,$B292))</f>
        <v/>
      </c>
    </row>
    <row r="293">
      <c r="A293" s="6" t="n"/>
      <c r="B293" s="113">
        <f>IF($C293="","",IFERROR(INDEX(MUSTERILER!$B$7:$B$106,MATCH($C293,MUSTERILER!$C$7:$C$106,0)),IFERROR(INDEX(MUSTERILER!$B$7:$B$106,MATCH($C293,MUSTERILER!$B$7:$B$106,0)),IFERROR(INDEX(MUSTERILER!$B$7:$B$106,MATCH($C293&amp;"*",MUSTERILER!$C$7:$C$106,0)),"TANIMSIZ MÜŞTERİ"))))</f>
        <v/>
      </c>
      <c r="C293" s="109" t="n"/>
      <c r="D293" s="225" t="n"/>
      <c r="E293" s="225" t="n"/>
      <c r="F293" s="108" t="n"/>
      <c r="G293" s="226" t="n"/>
      <c r="H293" s="108" t="n"/>
      <c r="I293" s="227">
        <f>IF(OR($C293="",$D293="",$G293="",$F293=""),0,$G293*IF($F293="Aylık",MAX(0,(YEAR(MIN(IF($E293="",TODAY(),$E293),TODAY()))-YEAR($D293))*12+MONTH(MIN(IF($E293="",TODAY(),$E293),TODAY()))-MONTH($D293)+IF(MIN(IF($E293="",TODAY(),$E293),TODAY())&gt;=EOMONTH(MIN(IF($E293="",TODAY(),$E293),TODAY()),0),1,0)),MAX(0,INT((MIN(IF($E293="",TODAY(),$E293),TODAY())-($D293+MOD(SISTEM!$F$8-WEEKDAY($D293,2),7)))/7)+1)))</f>
        <v/>
      </c>
      <c r="J293" s="227">
        <f>IF(OR($C293="",$D293="",$G293="",$F293=""),0,$G293*IF($F293="Aylık",MAX(0,(YEAR(MIN(IF($E293="",TODAY()-8,$E293),TODAY()-8))-YEAR($D293))*12+MONTH(MIN(IF($E293="",TODAY()-8,$E293),TODAY()-8))-MONTH($D293)+IF(MIN(IF($E293="",TODAY()-8,$E293),TODAY()-8)&gt;=EOMONTH(MIN(IF($E293="",TODAY()-8,$E293),TODAY()-8),0),1,0)),MAX(0,INT((MIN(IF($E293="",TODAY()-8,$E293),TODAY()-8)-($D293+MOD(SISTEM!$F$8-WEEKDAY($D293,2),7)))/7)+1)))</f>
        <v/>
      </c>
      <c r="K293" s="227">
        <f>IF(OR($C293="",$D293="",$G293="",$F293=""),0,$G293*IF($F293="Aylık",MAX(0,(YEAR(MIN(IF($E293="",TODAY()-15,$E293),TODAY()-15))-YEAR($D293))*12+MONTH(MIN(IF($E293="",TODAY()-15,$E293),TODAY()-15))-MONTH($D293)+IF(MIN(IF($E293="",TODAY()-15,$E293),TODAY()-15)&gt;=EOMONTH(MIN(IF($E293="",TODAY()-15,$E293),TODAY()-15),0),1,0)),MAX(0,INT((MIN(IF($E293="",TODAY()-15,$E293),TODAY()-15)-($D293+MOD(SISTEM!$F$8-WEEKDAY($D293,2),7)))/7)+1)))</f>
        <v/>
      </c>
      <c r="L293" s="227">
        <f>IF(OR($C293="",$D293="",$G293="",$F293=""),0,$G293*IF($F293="Aylık",MAX(0,(YEAR(MIN(IF($E293="",TODAY()-29,$E293),TODAY()-29))-YEAR($D293))*12+MONTH(MIN(IF($E293="",TODAY()-29,$E293),TODAY()-29))-MONTH($D293)+IF(MIN(IF($E293="",TODAY()-29,$E293),TODAY()-29)&gt;=EOMONTH(MIN(IF($E293="",TODAY()-29,$E293),TODAY()-29),0),1,0)),MAX(0,INT((MIN(IF($E293="",TODAY()-29,$E293),TODAY()-29)-($D293+MOD(SISTEM!$F$8-WEEKDAY($D293,2),7)))/7)+1)))</f>
        <v/>
      </c>
      <c r="M293" s="228">
        <f>IF($G293&gt;0,$I293/$G293,0)</f>
        <v/>
      </c>
      <c r="N293" s="113">
        <f>IF($C293="","",IF($B293="TANIMSIZ MÜŞTERİ","TANIMSIZ MÜŞTERİ",IF($F293="","MODEL SEÇİN",IF(OR($D293="",$G293&lt;=0),"EKSİK",IF(AND($E293&lt;&gt;"",$E293&lt;$D293),"TARİH HATASI",IF($H293="Pasif","KAPALI DÖNEM","UYGUN"))))))</f>
        <v/>
      </c>
      <c r="O293" s="229">
        <f>IF(OR($C293="",$D293="",$F293=""),"",IF($F293="Aylık",EOMONTH($D293,0),($D293+MOD(SISTEM!$F$8-WEEKDAY($D293,2),7))))</f>
        <v/>
      </c>
      <c r="P293" s="109" t="n"/>
      <c r="Q293" s="6" t="n"/>
      <c r="R293" s="6" t="n"/>
      <c r="S293" s="3">
        <f>IF($B293="","",$B293&amp;"|"&amp;COUNTIFS($B$7:$B293,$B293))</f>
        <v/>
      </c>
    </row>
    <row r="294">
      <c r="A294" s="6" t="n"/>
      <c r="B294" s="113">
        <f>IF($C294="","",IFERROR(INDEX(MUSTERILER!$B$7:$B$106,MATCH($C294,MUSTERILER!$C$7:$C$106,0)),IFERROR(INDEX(MUSTERILER!$B$7:$B$106,MATCH($C294,MUSTERILER!$B$7:$B$106,0)),IFERROR(INDEX(MUSTERILER!$B$7:$B$106,MATCH($C294&amp;"*",MUSTERILER!$C$7:$C$106,0)),"TANIMSIZ MÜŞTERİ"))))</f>
        <v/>
      </c>
      <c r="C294" s="109" t="n"/>
      <c r="D294" s="225" t="n"/>
      <c r="E294" s="225" t="n"/>
      <c r="F294" s="108" t="n"/>
      <c r="G294" s="226" t="n"/>
      <c r="H294" s="108" t="n"/>
      <c r="I294" s="227">
        <f>IF(OR($C294="",$D294="",$G294="",$F294=""),0,$G294*IF($F294="Aylık",MAX(0,(YEAR(MIN(IF($E294="",TODAY(),$E294),TODAY()))-YEAR($D294))*12+MONTH(MIN(IF($E294="",TODAY(),$E294),TODAY()))-MONTH($D294)+IF(MIN(IF($E294="",TODAY(),$E294),TODAY())&gt;=EOMONTH(MIN(IF($E294="",TODAY(),$E294),TODAY()),0),1,0)),MAX(0,INT((MIN(IF($E294="",TODAY(),$E294),TODAY())-($D294+MOD(SISTEM!$F$8-WEEKDAY($D294,2),7)))/7)+1)))</f>
        <v/>
      </c>
      <c r="J294" s="227">
        <f>IF(OR($C294="",$D294="",$G294="",$F294=""),0,$G294*IF($F294="Aylık",MAX(0,(YEAR(MIN(IF($E294="",TODAY()-8,$E294),TODAY()-8))-YEAR($D294))*12+MONTH(MIN(IF($E294="",TODAY()-8,$E294),TODAY()-8))-MONTH($D294)+IF(MIN(IF($E294="",TODAY()-8,$E294),TODAY()-8)&gt;=EOMONTH(MIN(IF($E294="",TODAY()-8,$E294),TODAY()-8),0),1,0)),MAX(0,INT((MIN(IF($E294="",TODAY()-8,$E294),TODAY()-8)-($D294+MOD(SISTEM!$F$8-WEEKDAY($D294,2),7)))/7)+1)))</f>
        <v/>
      </c>
      <c r="K294" s="227">
        <f>IF(OR($C294="",$D294="",$G294="",$F294=""),0,$G294*IF($F294="Aylık",MAX(0,(YEAR(MIN(IF($E294="",TODAY()-15,$E294),TODAY()-15))-YEAR($D294))*12+MONTH(MIN(IF($E294="",TODAY()-15,$E294),TODAY()-15))-MONTH($D294)+IF(MIN(IF($E294="",TODAY()-15,$E294),TODAY()-15)&gt;=EOMONTH(MIN(IF($E294="",TODAY()-15,$E294),TODAY()-15),0),1,0)),MAX(0,INT((MIN(IF($E294="",TODAY()-15,$E294),TODAY()-15)-($D294+MOD(SISTEM!$F$8-WEEKDAY($D294,2),7)))/7)+1)))</f>
        <v/>
      </c>
      <c r="L294" s="227">
        <f>IF(OR($C294="",$D294="",$G294="",$F294=""),0,$G294*IF($F294="Aylık",MAX(0,(YEAR(MIN(IF($E294="",TODAY()-29,$E294),TODAY()-29))-YEAR($D294))*12+MONTH(MIN(IF($E294="",TODAY()-29,$E294),TODAY()-29))-MONTH($D294)+IF(MIN(IF($E294="",TODAY()-29,$E294),TODAY()-29)&gt;=EOMONTH(MIN(IF($E294="",TODAY()-29,$E294),TODAY()-29),0),1,0)),MAX(0,INT((MIN(IF($E294="",TODAY()-29,$E294),TODAY()-29)-($D294+MOD(SISTEM!$F$8-WEEKDAY($D294,2),7)))/7)+1)))</f>
        <v/>
      </c>
      <c r="M294" s="228">
        <f>IF($G294&gt;0,$I294/$G294,0)</f>
        <v/>
      </c>
      <c r="N294" s="113">
        <f>IF($C294="","",IF($B294="TANIMSIZ MÜŞTERİ","TANIMSIZ MÜŞTERİ",IF($F294="","MODEL SEÇİN",IF(OR($D294="",$G294&lt;=0),"EKSİK",IF(AND($E294&lt;&gt;"",$E294&lt;$D294),"TARİH HATASI",IF($H294="Pasif","KAPALI DÖNEM","UYGUN"))))))</f>
        <v/>
      </c>
      <c r="O294" s="229">
        <f>IF(OR($C294="",$D294="",$F294=""),"",IF($F294="Aylık",EOMONTH($D294,0),($D294+MOD(SISTEM!$F$8-WEEKDAY($D294,2),7))))</f>
        <v/>
      </c>
      <c r="P294" s="109" t="n"/>
      <c r="Q294" s="6" t="n"/>
      <c r="R294" s="6" t="n"/>
      <c r="S294" s="3">
        <f>IF($B294="","",$B294&amp;"|"&amp;COUNTIFS($B$7:$B294,$B294))</f>
        <v/>
      </c>
    </row>
    <row r="295">
      <c r="A295" s="6" t="n"/>
      <c r="B295" s="113">
        <f>IF($C295="","",IFERROR(INDEX(MUSTERILER!$B$7:$B$106,MATCH($C295,MUSTERILER!$C$7:$C$106,0)),IFERROR(INDEX(MUSTERILER!$B$7:$B$106,MATCH($C295,MUSTERILER!$B$7:$B$106,0)),IFERROR(INDEX(MUSTERILER!$B$7:$B$106,MATCH($C295&amp;"*",MUSTERILER!$C$7:$C$106,0)),"TANIMSIZ MÜŞTERİ"))))</f>
        <v/>
      </c>
      <c r="C295" s="109" t="n"/>
      <c r="D295" s="225" t="n"/>
      <c r="E295" s="225" t="n"/>
      <c r="F295" s="108" t="n"/>
      <c r="G295" s="226" t="n"/>
      <c r="H295" s="108" t="n"/>
      <c r="I295" s="227">
        <f>IF(OR($C295="",$D295="",$G295="",$F295=""),0,$G295*IF($F295="Aylık",MAX(0,(YEAR(MIN(IF($E295="",TODAY(),$E295),TODAY()))-YEAR($D295))*12+MONTH(MIN(IF($E295="",TODAY(),$E295),TODAY()))-MONTH($D295)+IF(MIN(IF($E295="",TODAY(),$E295),TODAY())&gt;=EOMONTH(MIN(IF($E295="",TODAY(),$E295),TODAY()),0),1,0)),MAX(0,INT((MIN(IF($E295="",TODAY(),$E295),TODAY())-($D295+MOD(SISTEM!$F$8-WEEKDAY($D295,2),7)))/7)+1)))</f>
        <v/>
      </c>
      <c r="J295" s="227">
        <f>IF(OR($C295="",$D295="",$G295="",$F295=""),0,$G295*IF($F295="Aylık",MAX(0,(YEAR(MIN(IF($E295="",TODAY()-8,$E295),TODAY()-8))-YEAR($D295))*12+MONTH(MIN(IF($E295="",TODAY()-8,$E295),TODAY()-8))-MONTH($D295)+IF(MIN(IF($E295="",TODAY()-8,$E295),TODAY()-8)&gt;=EOMONTH(MIN(IF($E295="",TODAY()-8,$E295),TODAY()-8),0),1,0)),MAX(0,INT((MIN(IF($E295="",TODAY()-8,$E295),TODAY()-8)-($D295+MOD(SISTEM!$F$8-WEEKDAY($D295,2),7)))/7)+1)))</f>
        <v/>
      </c>
      <c r="K295" s="227">
        <f>IF(OR($C295="",$D295="",$G295="",$F295=""),0,$G295*IF($F295="Aylık",MAX(0,(YEAR(MIN(IF($E295="",TODAY()-15,$E295),TODAY()-15))-YEAR($D295))*12+MONTH(MIN(IF($E295="",TODAY()-15,$E295),TODAY()-15))-MONTH($D295)+IF(MIN(IF($E295="",TODAY()-15,$E295),TODAY()-15)&gt;=EOMONTH(MIN(IF($E295="",TODAY()-15,$E295),TODAY()-15),0),1,0)),MAX(0,INT((MIN(IF($E295="",TODAY()-15,$E295),TODAY()-15)-($D295+MOD(SISTEM!$F$8-WEEKDAY($D295,2),7)))/7)+1)))</f>
        <v/>
      </c>
      <c r="L295" s="227">
        <f>IF(OR($C295="",$D295="",$G295="",$F295=""),0,$G295*IF($F295="Aylık",MAX(0,(YEAR(MIN(IF($E295="",TODAY()-29,$E295),TODAY()-29))-YEAR($D295))*12+MONTH(MIN(IF($E295="",TODAY()-29,$E295),TODAY()-29))-MONTH($D295)+IF(MIN(IF($E295="",TODAY()-29,$E295),TODAY()-29)&gt;=EOMONTH(MIN(IF($E295="",TODAY()-29,$E295),TODAY()-29),0),1,0)),MAX(0,INT((MIN(IF($E295="",TODAY()-29,$E295),TODAY()-29)-($D295+MOD(SISTEM!$F$8-WEEKDAY($D295,2),7)))/7)+1)))</f>
        <v/>
      </c>
      <c r="M295" s="228">
        <f>IF($G295&gt;0,$I295/$G295,0)</f>
        <v/>
      </c>
      <c r="N295" s="113">
        <f>IF($C295="","",IF($B295="TANIMSIZ MÜŞTERİ","TANIMSIZ MÜŞTERİ",IF($F295="","MODEL SEÇİN",IF(OR($D295="",$G295&lt;=0),"EKSİK",IF(AND($E295&lt;&gt;"",$E295&lt;$D295),"TARİH HATASI",IF($H295="Pasif","KAPALI DÖNEM","UYGUN"))))))</f>
        <v/>
      </c>
      <c r="O295" s="229">
        <f>IF(OR($C295="",$D295="",$F295=""),"",IF($F295="Aylık",EOMONTH($D295,0),($D295+MOD(SISTEM!$F$8-WEEKDAY($D295,2),7))))</f>
        <v/>
      </c>
      <c r="P295" s="109" t="n"/>
      <c r="Q295" s="6" t="n"/>
      <c r="R295" s="6" t="n"/>
      <c r="S295" s="3">
        <f>IF($B295="","",$B295&amp;"|"&amp;COUNTIFS($B$7:$B295,$B295))</f>
        <v/>
      </c>
    </row>
    <row r="296">
      <c r="A296" s="6" t="n"/>
      <c r="B296" s="113">
        <f>IF($C296="","",IFERROR(INDEX(MUSTERILER!$B$7:$B$106,MATCH($C296,MUSTERILER!$C$7:$C$106,0)),IFERROR(INDEX(MUSTERILER!$B$7:$B$106,MATCH($C296,MUSTERILER!$B$7:$B$106,0)),IFERROR(INDEX(MUSTERILER!$B$7:$B$106,MATCH($C296&amp;"*",MUSTERILER!$C$7:$C$106,0)),"TANIMSIZ MÜŞTERİ"))))</f>
        <v/>
      </c>
      <c r="C296" s="109" t="n"/>
      <c r="D296" s="225" t="n"/>
      <c r="E296" s="225" t="n"/>
      <c r="F296" s="108" t="n"/>
      <c r="G296" s="226" t="n"/>
      <c r="H296" s="108" t="n"/>
      <c r="I296" s="227">
        <f>IF(OR($C296="",$D296="",$G296="",$F296=""),0,$G296*IF($F296="Aylık",MAX(0,(YEAR(MIN(IF($E296="",TODAY(),$E296),TODAY()))-YEAR($D296))*12+MONTH(MIN(IF($E296="",TODAY(),$E296),TODAY()))-MONTH($D296)+IF(MIN(IF($E296="",TODAY(),$E296),TODAY())&gt;=EOMONTH(MIN(IF($E296="",TODAY(),$E296),TODAY()),0),1,0)),MAX(0,INT((MIN(IF($E296="",TODAY(),$E296),TODAY())-($D296+MOD(SISTEM!$F$8-WEEKDAY($D296,2),7)))/7)+1)))</f>
        <v/>
      </c>
      <c r="J296" s="227">
        <f>IF(OR($C296="",$D296="",$G296="",$F296=""),0,$G296*IF($F296="Aylık",MAX(0,(YEAR(MIN(IF($E296="",TODAY()-8,$E296),TODAY()-8))-YEAR($D296))*12+MONTH(MIN(IF($E296="",TODAY()-8,$E296),TODAY()-8))-MONTH($D296)+IF(MIN(IF($E296="",TODAY()-8,$E296),TODAY()-8)&gt;=EOMONTH(MIN(IF($E296="",TODAY()-8,$E296),TODAY()-8),0),1,0)),MAX(0,INT((MIN(IF($E296="",TODAY()-8,$E296),TODAY()-8)-($D296+MOD(SISTEM!$F$8-WEEKDAY($D296,2),7)))/7)+1)))</f>
        <v/>
      </c>
      <c r="K296" s="227">
        <f>IF(OR($C296="",$D296="",$G296="",$F296=""),0,$G296*IF($F296="Aylık",MAX(0,(YEAR(MIN(IF($E296="",TODAY()-15,$E296),TODAY()-15))-YEAR($D296))*12+MONTH(MIN(IF($E296="",TODAY()-15,$E296),TODAY()-15))-MONTH($D296)+IF(MIN(IF($E296="",TODAY()-15,$E296),TODAY()-15)&gt;=EOMONTH(MIN(IF($E296="",TODAY()-15,$E296),TODAY()-15),0),1,0)),MAX(0,INT((MIN(IF($E296="",TODAY()-15,$E296),TODAY()-15)-($D296+MOD(SISTEM!$F$8-WEEKDAY($D296,2),7)))/7)+1)))</f>
        <v/>
      </c>
      <c r="L296" s="227">
        <f>IF(OR($C296="",$D296="",$G296="",$F296=""),0,$G296*IF($F296="Aylık",MAX(0,(YEAR(MIN(IF($E296="",TODAY()-29,$E296),TODAY()-29))-YEAR($D296))*12+MONTH(MIN(IF($E296="",TODAY()-29,$E296),TODAY()-29))-MONTH($D296)+IF(MIN(IF($E296="",TODAY()-29,$E296),TODAY()-29)&gt;=EOMONTH(MIN(IF($E296="",TODAY()-29,$E296),TODAY()-29),0),1,0)),MAX(0,INT((MIN(IF($E296="",TODAY()-29,$E296),TODAY()-29)-($D296+MOD(SISTEM!$F$8-WEEKDAY($D296,2),7)))/7)+1)))</f>
        <v/>
      </c>
      <c r="M296" s="228">
        <f>IF($G296&gt;0,$I296/$G296,0)</f>
        <v/>
      </c>
      <c r="N296" s="113">
        <f>IF($C296="","",IF($B296="TANIMSIZ MÜŞTERİ","TANIMSIZ MÜŞTERİ",IF($F296="","MODEL SEÇİN",IF(OR($D296="",$G296&lt;=0),"EKSİK",IF(AND($E296&lt;&gt;"",$E296&lt;$D296),"TARİH HATASI",IF($H296="Pasif","KAPALI DÖNEM","UYGUN"))))))</f>
        <v/>
      </c>
      <c r="O296" s="229">
        <f>IF(OR($C296="",$D296="",$F296=""),"",IF($F296="Aylık",EOMONTH($D296,0),($D296+MOD(SISTEM!$F$8-WEEKDAY($D296,2),7))))</f>
        <v/>
      </c>
      <c r="P296" s="109" t="n"/>
      <c r="Q296" s="6" t="n"/>
      <c r="R296" s="6" t="n"/>
      <c r="S296" s="3">
        <f>IF($B296="","",$B296&amp;"|"&amp;COUNTIFS($B$7:$B296,$B296))</f>
        <v/>
      </c>
    </row>
    <row r="297">
      <c r="A297" s="6" t="n"/>
      <c r="B297" s="113">
        <f>IF($C297="","",IFERROR(INDEX(MUSTERILER!$B$7:$B$106,MATCH($C297,MUSTERILER!$C$7:$C$106,0)),IFERROR(INDEX(MUSTERILER!$B$7:$B$106,MATCH($C297,MUSTERILER!$B$7:$B$106,0)),IFERROR(INDEX(MUSTERILER!$B$7:$B$106,MATCH($C297&amp;"*",MUSTERILER!$C$7:$C$106,0)),"TANIMSIZ MÜŞTERİ"))))</f>
        <v/>
      </c>
      <c r="C297" s="109" t="n"/>
      <c r="D297" s="225" t="n"/>
      <c r="E297" s="225" t="n"/>
      <c r="F297" s="108" t="n"/>
      <c r="G297" s="226" t="n"/>
      <c r="H297" s="108" t="n"/>
      <c r="I297" s="227">
        <f>IF(OR($C297="",$D297="",$G297="",$F297=""),0,$G297*IF($F297="Aylık",MAX(0,(YEAR(MIN(IF($E297="",TODAY(),$E297),TODAY()))-YEAR($D297))*12+MONTH(MIN(IF($E297="",TODAY(),$E297),TODAY()))-MONTH($D297)+IF(MIN(IF($E297="",TODAY(),$E297),TODAY())&gt;=EOMONTH(MIN(IF($E297="",TODAY(),$E297),TODAY()),0),1,0)),MAX(0,INT((MIN(IF($E297="",TODAY(),$E297),TODAY())-($D297+MOD(SISTEM!$F$8-WEEKDAY($D297,2),7)))/7)+1)))</f>
        <v/>
      </c>
      <c r="J297" s="227">
        <f>IF(OR($C297="",$D297="",$G297="",$F297=""),0,$G297*IF($F297="Aylık",MAX(0,(YEAR(MIN(IF($E297="",TODAY()-8,$E297),TODAY()-8))-YEAR($D297))*12+MONTH(MIN(IF($E297="",TODAY()-8,$E297),TODAY()-8))-MONTH($D297)+IF(MIN(IF($E297="",TODAY()-8,$E297),TODAY()-8)&gt;=EOMONTH(MIN(IF($E297="",TODAY()-8,$E297),TODAY()-8),0),1,0)),MAX(0,INT((MIN(IF($E297="",TODAY()-8,$E297),TODAY()-8)-($D297+MOD(SISTEM!$F$8-WEEKDAY($D297,2),7)))/7)+1)))</f>
        <v/>
      </c>
      <c r="K297" s="227">
        <f>IF(OR($C297="",$D297="",$G297="",$F297=""),0,$G297*IF($F297="Aylık",MAX(0,(YEAR(MIN(IF($E297="",TODAY()-15,$E297),TODAY()-15))-YEAR($D297))*12+MONTH(MIN(IF($E297="",TODAY()-15,$E297),TODAY()-15))-MONTH($D297)+IF(MIN(IF($E297="",TODAY()-15,$E297),TODAY()-15)&gt;=EOMONTH(MIN(IF($E297="",TODAY()-15,$E297),TODAY()-15),0),1,0)),MAX(0,INT((MIN(IF($E297="",TODAY()-15,$E297),TODAY()-15)-($D297+MOD(SISTEM!$F$8-WEEKDAY($D297,2),7)))/7)+1)))</f>
        <v/>
      </c>
      <c r="L297" s="227">
        <f>IF(OR($C297="",$D297="",$G297="",$F297=""),0,$G297*IF($F297="Aylık",MAX(0,(YEAR(MIN(IF($E297="",TODAY()-29,$E297),TODAY()-29))-YEAR($D297))*12+MONTH(MIN(IF($E297="",TODAY()-29,$E297),TODAY()-29))-MONTH($D297)+IF(MIN(IF($E297="",TODAY()-29,$E297),TODAY()-29)&gt;=EOMONTH(MIN(IF($E297="",TODAY()-29,$E297),TODAY()-29),0),1,0)),MAX(0,INT((MIN(IF($E297="",TODAY()-29,$E297),TODAY()-29)-($D297+MOD(SISTEM!$F$8-WEEKDAY($D297,2),7)))/7)+1)))</f>
        <v/>
      </c>
      <c r="M297" s="228">
        <f>IF($G297&gt;0,$I297/$G297,0)</f>
        <v/>
      </c>
      <c r="N297" s="113">
        <f>IF($C297="","",IF($B297="TANIMSIZ MÜŞTERİ","TANIMSIZ MÜŞTERİ",IF($F297="","MODEL SEÇİN",IF(OR($D297="",$G297&lt;=0),"EKSİK",IF(AND($E297&lt;&gt;"",$E297&lt;$D297),"TARİH HATASI",IF($H297="Pasif","KAPALI DÖNEM","UYGUN"))))))</f>
        <v/>
      </c>
      <c r="O297" s="229">
        <f>IF(OR($C297="",$D297="",$F297=""),"",IF($F297="Aylık",EOMONTH($D297,0),($D297+MOD(SISTEM!$F$8-WEEKDAY($D297,2),7))))</f>
        <v/>
      </c>
      <c r="P297" s="109" t="n"/>
      <c r="Q297" s="6" t="n"/>
      <c r="R297" s="6" t="n"/>
      <c r="S297" s="3">
        <f>IF($B297="","",$B297&amp;"|"&amp;COUNTIFS($B$7:$B297,$B297))</f>
        <v/>
      </c>
    </row>
    <row r="298">
      <c r="A298" s="6" t="n"/>
      <c r="B298" s="113">
        <f>IF($C298="","",IFERROR(INDEX(MUSTERILER!$B$7:$B$106,MATCH($C298,MUSTERILER!$C$7:$C$106,0)),IFERROR(INDEX(MUSTERILER!$B$7:$B$106,MATCH($C298,MUSTERILER!$B$7:$B$106,0)),IFERROR(INDEX(MUSTERILER!$B$7:$B$106,MATCH($C298&amp;"*",MUSTERILER!$C$7:$C$106,0)),"TANIMSIZ MÜŞTERİ"))))</f>
        <v/>
      </c>
      <c r="C298" s="109" t="n"/>
      <c r="D298" s="225" t="n"/>
      <c r="E298" s="225" t="n"/>
      <c r="F298" s="108" t="n"/>
      <c r="G298" s="226" t="n"/>
      <c r="H298" s="108" t="n"/>
      <c r="I298" s="227">
        <f>IF(OR($C298="",$D298="",$G298="",$F298=""),0,$G298*IF($F298="Aylık",MAX(0,(YEAR(MIN(IF($E298="",TODAY(),$E298),TODAY()))-YEAR($D298))*12+MONTH(MIN(IF($E298="",TODAY(),$E298),TODAY()))-MONTH($D298)+IF(MIN(IF($E298="",TODAY(),$E298),TODAY())&gt;=EOMONTH(MIN(IF($E298="",TODAY(),$E298),TODAY()),0),1,0)),MAX(0,INT((MIN(IF($E298="",TODAY(),$E298),TODAY())-($D298+MOD(SISTEM!$F$8-WEEKDAY($D298,2),7)))/7)+1)))</f>
        <v/>
      </c>
      <c r="J298" s="227">
        <f>IF(OR($C298="",$D298="",$G298="",$F298=""),0,$G298*IF($F298="Aylık",MAX(0,(YEAR(MIN(IF($E298="",TODAY()-8,$E298),TODAY()-8))-YEAR($D298))*12+MONTH(MIN(IF($E298="",TODAY()-8,$E298),TODAY()-8))-MONTH($D298)+IF(MIN(IF($E298="",TODAY()-8,$E298),TODAY()-8)&gt;=EOMONTH(MIN(IF($E298="",TODAY()-8,$E298),TODAY()-8),0),1,0)),MAX(0,INT((MIN(IF($E298="",TODAY()-8,$E298),TODAY()-8)-($D298+MOD(SISTEM!$F$8-WEEKDAY($D298,2),7)))/7)+1)))</f>
        <v/>
      </c>
      <c r="K298" s="227">
        <f>IF(OR($C298="",$D298="",$G298="",$F298=""),0,$G298*IF($F298="Aylık",MAX(0,(YEAR(MIN(IF($E298="",TODAY()-15,$E298),TODAY()-15))-YEAR($D298))*12+MONTH(MIN(IF($E298="",TODAY()-15,$E298),TODAY()-15))-MONTH($D298)+IF(MIN(IF($E298="",TODAY()-15,$E298),TODAY()-15)&gt;=EOMONTH(MIN(IF($E298="",TODAY()-15,$E298),TODAY()-15),0),1,0)),MAX(0,INT((MIN(IF($E298="",TODAY()-15,$E298),TODAY()-15)-($D298+MOD(SISTEM!$F$8-WEEKDAY($D298,2),7)))/7)+1)))</f>
        <v/>
      </c>
      <c r="L298" s="227">
        <f>IF(OR($C298="",$D298="",$G298="",$F298=""),0,$G298*IF($F298="Aylık",MAX(0,(YEAR(MIN(IF($E298="",TODAY()-29,$E298),TODAY()-29))-YEAR($D298))*12+MONTH(MIN(IF($E298="",TODAY()-29,$E298),TODAY()-29))-MONTH($D298)+IF(MIN(IF($E298="",TODAY()-29,$E298),TODAY()-29)&gt;=EOMONTH(MIN(IF($E298="",TODAY()-29,$E298),TODAY()-29),0),1,0)),MAX(0,INT((MIN(IF($E298="",TODAY()-29,$E298),TODAY()-29)-($D298+MOD(SISTEM!$F$8-WEEKDAY($D298,2),7)))/7)+1)))</f>
        <v/>
      </c>
      <c r="M298" s="228">
        <f>IF($G298&gt;0,$I298/$G298,0)</f>
        <v/>
      </c>
      <c r="N298" s="113">
        <f>IF($C298="","",IF($B298="TANIMSIZ MÜŞTERİ","TANIMSIZ MÜŞTERİ",IF($F298="","MODEL SEÇİN",IF(OR($D298="",$G298&lt;=0),"EKSİK",IF(AND($E298&lt;&gt;"",$E298&lt;$D298),"TARİH HATASI",IF($H298="Pasif","KAPALI DÖNEM","UYGUN"))))))</f>
        <v/>
      </c>
      <c r="O298" s="229">
        <f>IF(OR($C298="",$D298="",$F298=""),"",IF($F298="Aylık",EOMONTH($D298,0),($D298+MOD(SISTEM!$F$8-WEEKDAY($D298,2),7))))</f>
        <v/>
      </c>
      <c r="P298" s="109" t="n"/>
      <c r="Q298" s="6" t="n"/>
      <c r="R298" s="6" t="n"/>
      <c r="S298" s="3">
        <f>IF($B298="","",$B298&amp;"|"&amp;COUNTIFS($B$7:$B298,$B298))</f>
        <v/>
      </c>
    </row>
    <row r="299">
      <c r="A299" s="6" t="n"/>
      <c r="B299" s="113">
        <f>IF($C299="","",IFERROR(INDEX(MUSTERILER!$B$7:$B$106,MATCH($C299,MUSTERILER!$C$7:$C$106,0)),IFERROR(INDEX(MUSTERILER!$B$7:$B$106,MATCH($C299,MUSTERILER!$B$7:$B$106,0)),IFERROR(INDEX(MUSTERILER!$B$7:$B$106,MATCH($C299&amp;"*",MUSTERILER!$C$7:$C$106,0)),"TANIMSIZ MÜŞTERİ"))))</f>
        <v/>
      </c>
      <c r="C299" s="109" t="n"/>
      <c r="D299" s="225" t="n"/>
      <c r="E299" s="225" t="n"/>
      <c r="F299" s="108" t="n"/>
      <c r="G299" s="226" t="n"/>
      <c r="H299" s="108" t="n"/>
      <c r="I299" s="227">
        <f>IF(OR($C299="",$D299="",$G299="",$F299=""),0,$G299*IF($F299="Aylık",MAX(0,(YEAR(MIN(IF($E299="",TODAY(),$E299),TODAY()))-YEAR($D299))*12+MONTH(MIN(IF($E299="",TODAY(),$E299),TODAY()))-MONTH($D299)+IF(MIN(IF($E299="",TODAY(),$E299),TODAY())&gt;=EOMONTH(MIN(IF($E299="",TODAY(),$E299),TODAY()),0),1,0)),MAX(0,INT((MIN(IF($E299="",TODAY(),$E299),TODAY())-($D299+MOD(SISTEM!$F$8-WEEKDAY($D299,2),7)))/7)+1)))</f>
        <v/>
      </c>
      <c r="J299" s="227">
        <f>IF(OR($C299="",$D299="",$G299="",$F299=""),0,$G299*IF($F299="Aylık",MAX(0,(YEAR(MIN(IF($E299="",TODAY()-8,$E299),TODAY()-8))-YEAR($D299))*12+MONTH(MIN(IF($E299="",TODAY()-8,$E299),TODAY()-8))-MONTH($D299)+IF(MIN(IF($E299="",TODAY()-8,$E299),TODAY()-8)&gt;=EOMONTH(MIN(IF($E299="",TODAY()-8,$E299),TODAY()-8),0),1,0)),MAX(0,INT((MIN(IF($E299="",TODAY()-8,$E299),TODAY()-8)-($D299+MOD(SISTEM!$F$8-WEEKDAY($D299,2),7)))/7)+1)))</f>
        <v/>
      </c>
      <c r="K299" s="227">
        <f>IF(OR($C299="",$D299="",$G299="",$F299=""),0,$G299*IF($F299="Aylık",MAX(0,(YEAR(MIN(IF($E299="",TODAY()-15,$E299),TODAY()-15))-YEAR($D299))*12+MONTH(MIN(IF($E299="",TODAY()-15,$E299),TODAY()-15))-MONTH($D299)+IF(MIN(IF($E299="",TODAY()-15,$E299),TODAY()-15)&gt;=EOMONTH(MIN(IF($E299="",TODAY()-15,$E299),TODAY()-15),0),1,0)),MAX(0,INT((MIN(IF($E299="",TODAY()-15,$E299),TODAY()-15)-($D299+MOD(SISTEM!$F$8-WEEKDAY($D299,2),7)))/7)+1)))</f>
        <v/>
      </c>
      <c r="L299" s="227">
        <f>IF(OR($C299="",$D299="",$G299="",$F299=""),0,$G299*IF($F299="Aylık",MAX(0,(YEAR(MIN(IF($E299="",TODAY()-29,$E299),TODAY()-29))-YEAR($D299))*12+MONTH(MIN(IF($E299="",TODAY()-29,$E299),TODAY()-29))-MONTH($D299)+IF(MIN(IF($E299="",TODAY()-29,$E299),TODAY()-29)&gt;=EOMONTH(MIN(IF($E299="",TODAY()-29,$E299),TODAY()-29),0),1,0)),MAX(0,INT((MIN(IF($E299="",TODAY()-29,$E299),TODAY()-29)-($D299+MOD(SISTEM!$F$8-WEEKDAY($D299,2),7)))/7)+1)))</f>
        <v/>
      </c>
      <c r="M299" s="228">
        <f>IF($G299&gt;0,$I299/$G299,0)</f>
        <v/>
      </c>
      <c r="N299" s="113">
        <f>IF($C299="","",IF($B299="TANIMSIZ MÜŞTERİ","TANIMSIZ MÜŞTERİ",IF($F299="","MODEL SEÇİN",IF(OR($D299="",$G299&lt;=0),"EKSİK",IF(AND($E299&lt;&gt;"",$E299&lt;$D299),"TARİH HATASI",IF($H299="Pasif","KAPALI DÖNEM","UYGUN"))))))</f>
        <v/>
      </c>
      <c r="O299" s="229">
        <f>IF(OR($C299="",$D299="",$F299=""),"",IF($F299="Aylık",EOMONTH($D299,0),($D299+MOD(SISTEM!$F$8-WEEKDAY($D299,2),7))))</f>
        <v/>
      </c>
      <c r="P299" s="109" t="n"/>
      <c r="Q299" s="6" t="n"/>
      <c r="R299" s="6" t="n"/>
      <c r="S299" s="3">
        <f>IF($B299="","",$B299&amp;"|"&amp;COUNTIFS($B$7:$B299,$B299))</f>
        <v/>
      </c>
    </row>
    <row r="300">
      <c r="A300" s="6" t="n"/>
      <c r="B300" s="113">
        <f>IF($C300="","",IFERROR(INDEX(MUSTERILER!$B$7:$B$106,MATCH($C300,MUSTERILER!$C$7:$C$106,0)),IFERROR(INDEX(MUSTERILER!$B$7:$B$106,MATCH($C300,MUSTERILER!$B$7:$B$106,0)),IFERROR(INDEX(MUSTERILER!$B$7:$B$106,MATCH($C300&amp;"*",MUSTERILER!$C$7:$C$106,0)),"TANIMSIZ MÜŞTERİ"))))</f>
        <v/>
      </c>
      <c r="C300" s="109" t="n"/>
      <c r="D300" s="225" t="n"/>
      <c r="E300" s="225" t="n"/>
      <c r="F300" s="108" t="n"/>
      <c r="G300" s="226" t="n"/>
      <c r="H300" s="108" t="n"/>
      <c r="I300" s="227">
        <f>IF(OR($C300="",$D300="",$G300="",$F300=""),0,$G300*IF($F300="Aylık",MAX(0,(YEAR(MIN(IF($E300="",TODAY(),$E300),TODAY()))-YEAR($D300))*12+MONTH(MIN(IF($E300="",TODAY(),$E300),TODAY()))-MONTH($D300)+IF(MIN(IF($E300="",TODAY(),$E300),TODAY())&gt;=EOMONTH(MIN(IF($E300="",TODAY(),$E300),TODAY()),0),1,0)),MAX(0,INT((MIN(IF($E300="",TODAY(),$E300),TODAY())-($D300+MOD(SISTEM!$F$8-WEEKDAY($D300,2),7)))/7)+1)))</f>
        <v/>
      </c>
      <c r="J300" s="227">
        <f>IF(OR($C300="",$D300="",$G300="",$F300=""),0,$G300*IF($F300="Aylık",MAX(0,(YEAR(MIN(IF($E300="",TODAY()-8,$E300),TODAY()-8))-YEAR($D300))*12+MONTH(MIN(IF($E300="",TODAY()-8,$E300),TODAY()-8))-MONTH($D300)+IF(MIN(IF($E300="",TODAY()-8,$E300),TODAY()-8)&gt;=EOMONTH(MIN(IF($E300="",TODAY()-8,$E300),TODAY()-8),0),1,0)),MAX(0,INT((MIN(IF($E300="",TODAY()-8,$E300),TODAY()-8)-($D300+MOD(SISTEM!$F$8-WEEKDAY($D300,2),7)))/7)+1)))</f>
        <v/>
      </c>
      <c r="K300" s="227">
        <f>IF(OR($C300="",$D300="",$G300="",$F300=""),0,$G300*IF($F300="Aylık",MAX(0,(YEAR(MIN(IF($E300="",TODAY()-15,$E300),TODAY()-15))-YEAR($D300))*12+MONTH(MIN(IF($E300="",TODAY()-15,$E300),TODAY()-15))-MONTH($D300)+IF(MIN(IF($E300="",TODAY()-15,$E300),TODAY()-15)&gt;=EOMONTH(MIN(IF($E300="",TODAY()-15,$E300),TODAY()-15),0),1,0)),MAX(0,INT((MIN(IF($E300="",TODAY()-15,$E300),TODAY()-15)-($D300+MOD(SISTEM!$F$8-WEEKDAY($D300,2),7)))/7)+1)))</f>
        <v/>
      </c>
      <c r="L300" s="227">
        <f>IF(OR($C300="",$D300="",$G300="",$F300=""),0,$G300*IF($F300="Aylık",MAX(0,(YEAR(MIN(IF($E300="",TODAY()-29,$E300),TODAY()-29))-YEAR($D300))*12+MONTH(MIN(IF($E300="",TODAY()-29,$E300),TODAY()-29))-MONTH($D300)+IF(MIN(IF($E300="",TODAY()-29,$E300),TODAY()-29)&gt;=EOMONTH(MIN(IF($E300="",TODAY()-29,$E300),TODAY()-29),0),1,0)),MAX(0,INT((MIN(IF($E300="",TODAY()-29,$E300),TODAY()-29)-($D300+MOD(SISTEM!$F$8-WEEKDAY($D300,2),7)))/7)+1)))</f>
        <v/>
      </c>
      <c r="M300" s="228">
        <f>IF($G300&gt;0,$I300/$G300,0)</f>
        <v/>
      </c>
      <c r="N300" s="113">
        <f>IF($C300="","",IF($B300="TANIMSIZ MÜŞTERİ","TANIMSIZ MÜŞTERİ",IF($F300="","MODEL SEÇİN",IF(OR($D300="",$G300&lt;=0),"EKSİK",IF(AND($E300&lt;&gt;"",$E300&lt;$D300),"TARİH HATASI",IF($H300="Pasif","KAPALI DÖNEM","UYGUN"))))))</f>
        <v/>
      </c>
      <c r="O300" s="229">
        <f>IF(OR($C300="",$D300="",$F300=""),"",IF($F300="Aylık",EOMONTH($D300,0),($D300+MOD(SISTEM!$F$8-WEEKDAY($D300,2),7))))</f>
        <v/>
      </c>
      <c r="P300" s="109" t="n"/>
      <c r="Q300" s="6" t="n"/>
      <c r="R300" s="6" t="n"/>
      <c r="S300" s="3">
        <f>IF($B300="","",$B300&amp;"|"&amp;COUNTIFS($B$7:$B300,$B300))</f>
        <v/>
      </c>
    </row>
    <row r="301">
      <c r="A301" s="6" t="n"/>
      <c r="B301" s="113">
        <f>IF($C301="","",IFERROR(INDEX(MUSTERILER!$B$7:$B$106,MATCH($C301,MUSTERILER!$C$7:$C$106,0)),IFERROR(INDEX(MUSTERILER!$B$7:$B$106,MATCH($C301,MUSTERILER!$B$7:$B$106,0)),IFERROR(INDEX(MUSTERILER!$B$7:$B$106,MATCH($C301&amp;"*",MUSTERILER!$C$7:$C$106,0)),"TANIMSIZ MÜŞTERİ"))))</f>
        <v/>
      </c>
      <c r="C301" s="109" t="n"/>
      <c r="D301" s="225" t="n"/>
      <c r="E301" s="225" t="n"/>
      <c r="F301" s="108" t="n"/>
      <c r="G301" s="226" t="n"/>
      <c r="H301" s="108" t="n"/>
      <c r="I301" s="227">
        <f>IF(OR($C301="",$D301="",$G301="",$F301=""),0,$G301*IF($F301="Aylık",MAX(0,(YEAR(MIN(IF($E301="",TODAY(),$E301),TODAY()))-YEAR($D301))*12+MONTH(MIN(IF($E301="",TODAY(),$E301),TODAY()))-MONTH($D301)+IF(MIN(IF($E301="",TODAY(),$E301),TODAY())&gt;=EOMONTH(MIN(IF($E301="",TODAY(),$E301),TODAY()),0),1,0)),MAX(0,INT((MIN(IF($E301="",TODAY(),$E301),TODAY())-($D301+MOD(SISTEM!$F$8-WEEKDAY($D301,2),7)))/7)+1)))</f>
        <v/>
      </c>
      <c r="J301" s="227">
        <f>IF(OR($C301="",$D301="",$G301="",$F301=""),0,$G301*IF($F301="Aylık",MAX(0,(YEAR(MIN(IF($E301="",TODAY()-8,$E301),TODAY()-8))-YEAR($D301))*12+MONTH(MIN(IF($E301="",TODAY()-8,$E301),TODAY()-8))-MONTH($D301)+IF(MIN(IF($E301="",TODAY()-8,$E301),TODAY()-8)&gt;=EOMONTH(MIN(IF($E301="",TODAY()-8,$E301),TODAY()-8),0),1,0)),MAX(0,INT((MIN(IF($E301="",TODAY()-8,$E301),TODAY()-8)-($D301+MOD(SISTEM!$F$8-WEEKDAY($D301,2),7)))/7)+1)))</f>
        <v/>
      </c>
      <c r="K301" s="227">
        <f>IF(OR($C301="",$D301="",$G301="",$F301=""),0,$G301*IF($F301="Aylık",MAX(0,(YEAR(MIN(IF($E301="",TODAY()-15,$E301),TODAY()-15))-YEAR($D301))*12+MONTH(MIN(IF($E301="",TODAY()-15,$E301),TODAY()-15))-MONTH($D301)+IF(MIN(IF($E301="",TODAY()-15,$E301),TODAY()-15)&gt;=EOMONTH(MIN(IF($E301="",TODAY()-15,$E301),TODAY()-15),0),1,0)),MAX(0,INT((MIN(IF($E301="",TODAY()-15,$E301),TODAY()-15)-($D301+MOD(SISTEM!$F$8-WEEKDAY($D301,2),7)))/7)+1)))</f>
        <v/>
      </c>
      <c r="L301" s="227">
        <f>IF(OR($C301="",$D301="",$G301="",$F301=""),0,$G301*IF($F301="Aylık",MAX(0,(YEAR(MIN(IF($E301="",TODAY()-29,$E301),TODAY()-29))-YEAR($D301))*12+MONTH(MIN(IF($E301="",TODAY()-29,$E301),TODAY()-29))-MONTH($D301)+IF(MIN(IF($E301="",TODAY()-29,$E301),TODAY()-29)&gt;=EOMONTH(MIN(IF($E301="",TODAY()-29,$E301),TODAY()-29),0),1,0)),MAX(0,INT((MIN(IF($E301="",TODAY()-29,$E301),TODAY()-29)-($D301+MOD(SISTEM!$F$8-WEEKDAY($D301,2),7)))/7)+1)))</f>
        <v/>
      </c>
      <c r="M301" s="228">
        <f>IF($G301&gt;0,$I301/$G301,0)</f>
        <v/>
      </c>
      <c r="N301" s="113">
        <f>IF($C301="","",IF($B301="TANIMSIZ MÜŞTERİ","TANIMSIZ MÜŞTERİ",IF($F301="","MODEL SEÇİN",IF(OR($D301="",$G301&lt;=0),"EKSİK",IF(AND($E301&lt;&gt;"",$E301&lt;$D301),"TARİH HATASI",IF($H301="Pasif","KAPALI DÖNEM","UYGUN"))))))</f>
        <v/>
      </c>
      <c r="O301" s="229">
        <f>IF(OR($C301="",$D301="",$F301=""),"",IF($F301="Aylık",EOMONTH($D301,0),($D301+MOD(SISTEM!$F$8-WEEKDAY($D301,2),7))))</f>
        <v/>
      </c>
      <c r="P301" s="109" t="n"/>
      <c r="Q301" s="6" t="n"/>
      <c r="R301" s="6" t="n"/>
      <c r="S301" s="3">
        <f>IF($B301="","",$B301&amp;"|"&amp;COUNTIFS($B$7:$B301,$B301))</f>
        <v/>
      </c>
    </row>
    <row r="302">
      <c r="A302" s="6" t="n"/>
      <c r="B302" s="113">
        <f>IF($C302="","",IFERROR(INDEX(MUSTERILER!$B$7:$B$106,MATCH($C302,MUSTERILER!$C$7:$C$106,0)),IFERROR(INDEX(MUSTERILER!$B$7:$B$106,MATCH($C302,MUSTERILER!$B$7:$B$106,0)),IFERROR(INDEX(MUSTERILER!$B$7:$B$106,MATCH($C302&amp;"*",MUSTERILER!$C$7:$C$106,0)),"TANIMSIZ MÜŞTERİ"))))</f>
        <v/>
      </c>
      <c r="C302" s="109" t="n"/>
      <c r="D302" s="225" t="n"/>
      <c r="E302" s="225" t="n"/>
      <c r="F302" s="108" t="n"/>
      <c r="G302" s="226" t="n"/>
      <c r="H302" s="108" t="n"/>
      <c r="I302" s="227">
        <f>IF(OR($C302="",$D302="",$G302="",$F302=""),0,$G302*IF($F302="Aylık",MAX(0,(YEAR(MIN(IF($E302="",TODAY(),$E302),TODAY()))-YEAR($D302))*12+MONTH(MIN(IF($E302="",TODAY(),$E302),TODAY()))-MONTH($D302)+IF(MIN(IF($E302="",TODAY(),$E302),TODAY())&gt;=EOMONTH(MIN(IF($E302="",TODAY(),$E302),TODAY()),0),1,0)),MAX(0,INT((MIN(IF($E302="",TODAY(),$E302),TODAY())-($D302+MOD(SISTEM!$F$8-WEEKDAY($D302,2),7)))/7)+1)))</f>
        <v/>
      </c>
      <c r="J302" s="227">
        <f>IF(OR($C302="",$D302="",$G302="",$F302=""),0,$G302*IF($F302="Aylık",MAX(0,(YEAR(MIN(IF($E302="",TODAY()-8,$E302),TODAY()-8))-YEAR($D302))*12+MONTH(MIN(IF($E302="",TODAY()-8,$E302),TODAY()-8))-MONTH($D302)+IF(MIN(IF($E302="",TODAY()-8,$E302),TODAY()-8)&gt;=EOMONTH(MIN(IF($E302="",TODAY()-8,$E302),TODAY()-8),0),1,0)),MAX(0,INT((MIN(IF($E302="",TODAY()-8,$E302),TODAY()-8)-($D302+MOD(SISTEM!$F$8-WEEKDAY($D302,2),7)))/7)+1)))</f>
        <v/>
      </c>
      <c r="K302" s="227">
        <f>IF(OR($C302="",$D302="",$G302="",$F302=""),0,$G302*IF($F302="Aylık",MAX(0,(YEAR(MIN(IF($E302="",TODAY()-15,$E302),TODAY()-15))-YEAR($D302))*12+MONTH(MIN(IF($E302="",TODAY()-15,$E302),TODAY()-15))-MONTH($D302)+IF(MIN(IF($E302="",TODAY()-15,$E302),TODAY()-15)&gt;=EOMONTH(MIN(IF($E302="",TODAY()-15,$E302),TODAY()-15),0),1,0)),MAX(0,INT((MIN(IF($E302="",TODAY()-15,$E302),TODAY()-15)-($D302+MOD(SISTEM!$F$8-WEEKDAY($D302,2),7)))/7)+1)))</f>
        <v/>
      </c>
      <c r="L302" s="227">
        <f>IF(OR($C302="",$D302="",$G302="",$F302=""),0,$G302*IF($F302="Aylık",MAX(0,(YEAR(MIN(IF($E302="",TODAY()-29,$E302),TODAY()-29))-YEAR($D302))*12+MONTH(MIN(IF($E302="",TODAY()-29,$E302),TODAY()-29))-MONTH($D302)+IF(MIN(IF($E302="",TODAY()-29,$E302),TODAY()-29)&gt;=EOMONTH(MIN(IF($E302="",TODAY()-29,$E302),TODAY()-29),0),1,0)),MAX(0,INT((MIN(IF($E302="",TODAY()-29,$E302),TODAY()-29)-($D302+MOD(SISTEM!$F$8-WEEKDAY($D302,2),7)))/7)+1)))</f>
        <v/>
      </c>
      <c r="M302" s="228">
        <f>IF($G302&gt;0,$I302/$G302,0)</f>
        <v/>
      </c>
      <c r="N302" s="113">
        <f>IF($C302="","",IF($B302="TANIMSIZ MÜŞTERİ","TANIMSIZ MÜŞTERİ",IF($F302="","MODEL SEÇİN",IF(OR($D302="",$G302&lt;=0),"EKSİK",IF(AND($E302&lt;&gt;"",$E302&lt;$D302),"TARİH HATASI",IF($H302="Pasif","KAPALI DÖNEM","UYGUN"))))))</f>
        <v/>
      </c>
      <c r="O302" s="229">
        <f>IF(OR($C302="",$D302="",$F302=""),"",IF($F302="Aylık",EOMONTH($D302,0),($D302+MOD(SISTEM!$F$8-WEEKDAY($D302,2),7))))</f>
        <v/>
      </c>
      <c r="P302" s="109" t="n"/>
      <c r="Q302" s="6" t="n"/>
      <c r="R302" s="6" t="n"/>
      <c r="S302" s="3">
        <f>IF($B302="","",$B302&amp;"|"&amp;COUNTIFS($B$7:$B302,$B302))</f>
        <v/>
      </c>
    </row>
    <row r="303">
      <c r="A303" s="6" t="n"/>
      <c r="B303" s="113">
        <f>IF($C303="","",IFERROR(INDEX(MUSTERILER!$B$7:$B$106,MATCH($C303,MUSTERILER!$C$7:$C$106,0)),IFERROR(INDEX(MUSTERILER!$B$7:$B$106,MATCH($C303,MUSTERILER!$B$7:$B$106,0)),IFERROR(INDEX(MUSTERILER!$B$7:$B$106,MATCH($C303&amp;"*",MUSTERILER!$C$7:$C$106,0)),"TANIMSIZ MÜŞTERİ"))))</f>
        <v/>
      </c>
      <c r="C303" s="109" t="n"/>
      <c r="D303" s="225" t="n"/>
      <c r="E303" s="225" t="n"/>
      <c r="F303" s="108" t="n"/>
      <c r="G303" s="226" t="n"/>
      <c r="H303" s="108" t="n"/>
      <c r="I303" s="227">
        <f>IF(OR($C303="",$D303="",$G303="",$F303=""),0,$G303*IF($F303="Aylık",MAX(0,(YEAR(MIN(IF($E303="",TODAY(),$E303),TODAY()))-YEAR($D303))*12+MONTH(MIN(IF($E303="",TODAY(),$E303),TODAY()))-MONTH($D303)+IF(MIN(IF($E303="",TODAY(),$E303),TODAY())&gt;=EOMONTH(MIN(IF($E303="",TODAY(),$E303),TODAY()),0),1,0)),MAX(0,INT((MIN(IF($E303="",TODAY(),$E303),TODAY())-($D303+MOD(SISTEM!$F$8-WEEKDAY($D303,2),7)))/7)+1)))</f>
        <v/>
      </c>
      <c r="J303" s="227">
        <f>IF(OR($C303="",$D303="",$G303="",$F303=""),0,$G303*IF($F303="Aylık",MAX(0,(YEAR(MIN(IF($E303="",TODAY()-8,$E303),TODAY()-8))-YEAR($D303))*12+MONTH(MIN(IF($E303="",TODAY()-8,$E303),TODAY()-8))-MONTH($D303)+IF(MIN(IF($E303="",TODAY()-8,$E303),TODAY()-8)&gt;=EOMONTH(MIN(IF($E303="",TODAY()-8,$E303),TODAY()-8),0),1,0)),MAX(0,INT((MIN(IF($E303="",TODAY()-8,$E303),TODAY()-8)-($D303+MOD(SISTEM!$F$8-WEEKDAY($D303,2),7)))/7)+1)))</f>
        <v/>
      </c>
      <c r="K303" s="227">
        <f>IF(OR($C303="",$D303="",$G303="",$F303=""),0,$G303*IF($F303="Aylık",MAX(0,(YEAR(MIN(IF($E303="",TODAY()-15,$E303),TODAY()-15))-YEAR($D303))*12+MONTH(MIN(IF($E303="",TODAY()-15,$E303),TODAY()-15))-MONTH($D303)+IF(MIN(IF($E303="",TODAY()-15,$E303),TODAY()-15)&gt;=EOMONTH(MIN(IF($E303="",TODAY()-15,$E303),TODAY()-15),0),1,0)),MAX(0,INT((MIN(IF($E303="",TODAY()-15,$E303),TODAY()-15)-($D303+MOD(SISTEM!$F$8-WEEKDAY($D303,2),7)))/7)+1)))</f>
        <v/>
      </c>
      <c r="L303" s="227">
        <f>IF(OR($C303="",$D303="",$G303="",$F303=""),0,$G303*IF($F303="Aylık",MAX(0,(YEAR(MIN(IF($E303="",TODAY()-29,$E303),TODAY()-29))-YEAR($D303))*12+MONTH(MIN(IF($E303="",TODAY()-29,$E303),TODAY()-29))-MONTH($D303)+IF(MIN(IF($E303="",TODAY()-29,$E303),TODAY()-29)&gt;=EOMONTH(MIN(IF($E303="",TODAY()-29,$E303),TODAY()-29),0),1,0)),MAX(0,INT((MIN(IF($E303="",TODAY()-29,$E303),TODAY()-29)-($D303+MOD(SISTEM!$F$8-WEEKDAY($D303,2),7)))/7)+1)))</f>
        <v/>
      </c>
      <c r="M303" s="228">
        <f>IF($G303&gt;0,$I303/$G303,0)</f>
        <v/>
      </c>
      <c r="N303" s="113">
        <f>IF($C303="","",IF($B303="TANIMSIZ MÜŞTERİ","TANIMSIZ MÜŞTERİ",IF($F303="","MODEL SEÇİN",IF(OR($D303="",$G303&lt;=0),"EKSİK",IF(AND($E303&lt;&gt;"",$E303&lt;$D303),"TARİH HATASI",IF($H303="Pasif","KAPALI DÖNEM","UYGUN"))))))</f>
        <v/>
      </c>
      <c r="O303" s="229">
        <f>IF(OR($C303="",$D303="",$F303=""),"",IF($F303="Aylık",EOMONTH($D303,0),($D303+MOD(SISTEM!$F$8-WEEKDAY($D303,2),7))))</f>
        <v/>
      </c>
      <c r="P303" s="109" t="n"/>
      <c r="Q303" s="6" t="n"/>
      <c r="R303" s="6" t="n"/>
      <c r="S303" s="3">
        <f>IF($B303="","",$B303&amp;"|"&amp;COUNTIFS($B$7:$B303,$B303))</f>
        <v/>
      </c>
    </row>
    <row r="304">
      <c r="A304" s="6" t="n"/>
      <c r="B304" s="113">
        <f>IF($C304="","",IFERROR(INDEX(MUSTERILER!$B$7:$B$106,MATCH($C304,MUSTERILER!$C$7:$C$106,0)),IFERROR(INDEX(MUSTERILER!$B$7:$B$106,MATCH($C304,MUSTERILER!$B$7:$B$106,0)),IFERROR(INDEX(MUSTERILER!$B$7:$B$106,MATCH($C304&amp;"*",MUSTERILER!$C$7:$C$106,0)),"TANIMSIZ MÜŞTERİ"))))</f>
        <v/>
      </c>
      <c r="C304" s="109" t="n"/>
      <c r="D304" s="225" t="n"/>
      <c r="E304" s="225" t="n"/>
      <c r="F304" s="108" t="n"/>
      <c r="G304" s="226" t="n"/>
      <c r="H304" s="108" t="n"/>
      <c r="I304" s="227">
        <f>IF(OR($C304="",$D304="",$G304="",$F304=""),0,$G304*IF($F304="Aylık",MAX(0,(YEAR(MIN(IF($E304="",TODAY(),$E304),TODAY()))-YEAR($D304))*12+MONTH(MIN(IF($E304="",TODAY(),$E304),TODAY()))-MONTH($D304)+IF(MIN(IF($E304="",TODAY(),$E304),TODAY())&gt;=EOMONTH(MIN(IF($E304="",TODAY(),$E304),TODAY()),0),1,0)),MAX(0,INT((MIN(IF($E304="",TODAY(),$E304),TODAY())-($D304+MOD(SISTEM!$F$8-WEEKDAY($D304,2),7)))/7)+1)))</f>
        <v/>
      </c>
      <c r="J304" s="227">
        <f>IF(OR($C304="",$D304="",$G304="",$F304=""),0,$G304*IF($F304="Aylık",MAX(0,(YEAR(MIN(IF($E304="",TODAY()-8,$E304),TODAY()-8))-YEAR($D304))*12+MONTH(MIN(IF($E304="",TODAY()-8,$E304),TODAY()-8))-MONTH($D304)+IF(MIN(IF($E304="",TODAY()-8,$E304),TODAY()-8)&gt;=EOMONTH(MIN(IF($E304="",TODAY()-8,$E304),TODAY()-8),0),1,0)),MAX(0,INT((MIN(IF($E304="",TODAY()-8,$E304),TODAY()-8)-($D304+MOD(SISTEM!$F$8-WEEKDAY($D304,2),7)))/7)+1)))</f>
        <v/>
      </c>
      <c r="K304" s="227">
        <f>IF(OR($C304="",$D304="",$G304="",$F304=""),0,$G304*IF($F304="Aylık",MAX(0,(YEAR(MIN(IF($E304="",TODAY()-15,$E304),TODAY()-15))-YEAR($D304))*12+MONTH(MIN(IF($E304="",TODAY()-15,$E304),TODAY()-15))-MONTH($D304)+IF(MIN(IF($E304="",TODAY()-15,$E304),TODAY()-15)&gt;=EOMONTH(MIN(IF($E304="",TODAY()-15,$E304),TODAY()-15),0),1,0)),MAX(0,INT((MIN(IF($E304="",TODAY()-15,$E304),TODAY()-15)-($D304+MOD(SISTEM!$F$8-WEEKDAY($D304,2),7)))/7)+1)))</f>
        <v/>
      </c>
      <c r="L304" s="227">
        <f>IF(OR($C304="",$D304="",$G304="",$F304=""),0,$G304*IF($F304="Aylık",MAX(0,(YEAR(MIN(IF($E304="",TODAY()-29,$E304),TODAY()-29))-YEAR($D304))*12+MONTH(MIN(IF($E304="",TODAY()-29,$E304),TODAY()-29))-MONTH($D304)+IF(MIN(IF($E304="",TODAY()-29,$E304),TODAY()-29)&gt;=EOMONTH(MIN(IF($E304="",TODAY()-29,$E304),TODAY()-29),0),1,0)),MAX(0,INT((MIN(IF($E304="",TODAY()-29,$E304),TODAY()-29)-($D304+MOD(SISTEM!$F$8-WEEKDAY($D304,2),7)))/7)+1)))</f>
        <v/>
      </c>
      <c r="M304" s="228">
        <f>IF($G304&gt;0,$I304/$G304,0)</f>
        <v/>
      </c>
      <c r="N304" s="113">
        <f>IF($C304="","",IF($B304="TANIMSIZ MÜŞTERİ","TANIMSIZ MÜŞTERİ",IF($F304="","MODEL SEÇİN",IF(OR($D304="",$G304&lt;=0),"EKSİK",IF(AND($E304&lt;&gt;"",$E304&lt;$D304),"TARİH HATASI",IF($H304="Pasif","KAPALI DÖNEM","UYGUN"))))))</f>
        <v/>
      </c>
      <c r="O304" s="229">
        <f>IF(OR($C304="",$D304="",$F304=""),"",IF($F304="Aylık",EOMONTH($D304,0),($D304+MOD(SISTEM!$F$8-WEEKDAY($D304,2),7))))</f>
        <v/>
      </c>
      <c r="P304" s="109" t="n"/>
      <c r="Q304" s="6" t="n"/>
      <c r="R304" s="6" t="n"/>
      <c r="S304" s="3">
        <f>IF($B304="","",$B304&amp;"|"&amp;COUNTIFS($B$7:$B304,$B304))</f>
        <v/>
      </c>
    </row>
    <row r="305">
      <c r="A305" s="6" t="n"/>
      <c r="B305" s="113">
        <f>IF($C305="","",IFERROR(INDEX(MUSTERILER!$B$7:$B$106,MATCH($C305,MUSTERILER!$C$7:$C$106,0)),IFERROR(INDEX(MUSTERILER!$B$7:$B$106,MATCH($C305,MUSTERILER!$B$7:$B$106,0)),IFERROR(INDEX(MUSTERILER!$B$7:$B$106,MATCH($C305&amp;"*",MUSTERILER!$C$7:$C$106,0)),"TANIMSIZ MÜŞTERİ"))))</f>
        <v/>
      </c>
      <c r="C305" s="109" t="n"/>
      <c r="D305" s="225" t="n"/>
      <c r="E305" s="225" t="n"/>
      <c r="F305" s="108" t="n"/>
      <c r="G305" s="226" t="n"/>
      <c r="H305" s="108" t="n"/>
      <c r="I305" s="227">
        <f>IF(OR($C305="",$D305="",$G305="",$F305=""),0,$G305*IF($F305="Aylık",MAX(0,(YEAR(MIN(IF($E305="",TODAY(),$E305),TODAY()))-YEAR($D305))*12+MONTH(MIN(IF($E305="",TODAY(),$E305),TODAY()))-MONTH($D305)+IF(MIN(IF($E305="",TODAY(),$E305),TODAY())&gt;=EOMONTH(MIN(IF($E305="",TODAY(),$E305),TODAY()),0),1,0)),MAX(0,INT((MIN(IF($E305="",TODAY(),$E305),TODAY())-($D305+MOD(SISTEM!$F$8-WEEKDAY($D305,2),7)))/7)+1)))</f>
        <v/>
      </c>
      <c r="J305" s="227">
        <f>IF(OR($C305="",$D305="",$G305="",$F305=""),0,$G305*IF($F305="Aylık",MAX(0,(YEAR(MIN(IF($E305="",TODAY()-8,$E305),TODAY()-8))-YEAR($D305))*12+MONTH(MIN(IF($E305="",TODAY()-8,$E305),TODAY()-8))-MONTH($D305)+IF(MIN(IF($E305="",TODAY()-8,$E305),TODAY()-8)&gt;=EOMONTH(MIN(IF($E305="",TODAY()-8,$E305),TODAY()-8),0),1,0)),MAX(0,INT((MIN(IF($E305="",TODAY()-8,$E305),TODAY()-8)-($D305+MOD(SISTEM!$F$8-WEEKDAY($D305,2),7)))/7)+1)))</f>
        <v/>
      </c>
      <c r="K305" s="227">
        <f>IF(OR($C305="",$D305="",$G305="",$F305=""),0,$G305*IF($F305="Aylık",MAX(0,(YEAR(MIN(IF($E305="",TODAY()-15,$E305),TODAY()-15))-YEAR($D305))*12+MONTH(MIN(IF($E305="",TODAY()-15,$E305),TODAY()-15))-MONTH($D305)+IF(MIN(IF($E305="",TODAY()-15,$E305),TODAY()-15)&gt;=EOMONTH(MIN(IF($E305="",TODAY()-15,$E305),TODAY()-15),0),1,0)),MAX(0,INT((MIN(IF($E305="",TODAY()-15,$E305),TODAY()-15)-($D305+MOD(SISTEM!$F$8-WEEKDAY($D305,2),7)))/7)+1)))</f>
        <v/>
      </c>
      <c r="L305" s="227">
        <f>IF(OR($C305="",$D305="",$G305="",$F305=""),0,$G305*IF($F305="Aylık",MAX(0,(YEAR(MIN(IF($E305="",TODAY()-29,$E305),TODAY()-29))-YEAR($D305))*12+MONTH(MIN(IF($E305="",TODAY()-29,$E305),TODAY()-29))-MONTH($D305)+IF(MIN(IF($E305="",TODAY()-29,$E305),TODAY()-29)&gt;=EOMONTH(MIN(IF($E305="",TODAY()-29,$E305),TODAY()-29),0),1,0)),MAX(0,INT((MIN(IF($E305="",TODAY()-29,$E305),TODAY()-29)-($D305+MOD(SISTEM!$F$8-WEEKDAY($D305,2),7)))/7)+1)))</f>
        <v/>
      </c>
      <c r="M305" s="228">
        <f>IF($G305&gt;0,$I305/$G305,0)</f>
        <v/>
      </c>
      <c r="N305" s="113">
        <f>IF($C305="","",IF($B305="TANIMSIZ MÜŞTERİ","TANIMSIZ MÜŞTERİ",IF($F305="","MODEL SEÇİN",IF(OR($D305="",$G305&lt;=0),"EKSİK",IF(AND($E305&lt;&gt;"",$E305&lt;$D305),"TARİH HATASI",IF($H305="Pasif","KAPALI DÖNEM","UYGUN"))))))</f>
        <v/>
      </c>
      <c r="O305" s="229">
        <f>IF(OR($C305="",$D305="",$F305=""),"",IF($F305="Aylık",EOMONTH($D305,0),($D305+MOD(SISTEM!$F$8-WEEKDAY($D305,2),7))))</f>
        <v/>
      </c>
      <c r="P305" s="109" t="n"/>
      <c r="Q305" s="6" t="n"/>
      <c r="R305" s="6" t="n"/>
      <c r="S305" s="3">
        <f>IF($B305="","",$B305&amp;"|"&amp;COUNTIFS($B$7:$B305,$B305))</f>
        <v/>
      </c>
    </row>
    <row r="306">
      <c r="A306" s="6" t="n"/>
      <c r="B306" s="113">
        <f>IF($C306="","",IFERROR(INDEX(MUSTERILER!$B$7:$B$106,MATCH($C306,MUSTERILER!$C$7:$C$106,0)),IFERROR(INDEX(MUSTERILER!$B$7:$B$106,MATCH($C306,MUSTERILER!$B$7:$B$106,0)),IFERROR(INDEX(MUSTERILER!$B$7:$B$106,MATCH($C306&amp;"*",MUSTERILER!$C$7:$C$106,0)),"TANIMSIZ MÜŞTERİ"))))</f>
        <v/>
      </c>
      <c r="C306" s="109" t="n"/>
      <c r="D306" s="225" t="n"/>
      <c r="E306" s="225" t="n"/>
      <c r="F306" s="108" t="n"/>
      <c r="G306" s="226" t="n"/>
      <c r="H306" s="108" t="n"/>
      <c r="I306" s="227">
        <f>IF(OR($C306="",$D306="",$G306="",$F306=""),0,$G306*IF($F306="Aylık",MAX(0,(YEAR(MIN(IF($E306="",TODAY(),$E306),TODAY()))-YEAR($D306))*12+MONTH(MIN(IF($E306="",TODAY(),$E306),TODAY()))-MONTH($D306)+IF(MIN(IF($E306="",TODAY(),$E306),TODAY())&gt;=EOMONTH(MIN(IF($E306="",TODAY(),$E306),TODAY()),0),1,0)),MAX(0,INT((MIN(IF($E306="",TODAY(),$E306),TODAY())-($D306+MOD(SISTEM!$F$8-WEEKDAY($D306,2),7)))/7)+1)))</f>
        <v/>
      </c>
      <c r="J306" s="227">
        <f>IF(OR($C306="",$D306="",$G306="",$F306=""),0,$G306*IF($F306="Aylık",MAX(0,(YEAR(MIN(IF($E306="",TODAY()-8,$E306),TODAY()-8))-YEAR($D306))*12+MONTH(MIN(IF($E306="",TODAY()-8,$E306),TODAY()-8))-MONTH($D306)+IF(MIN(IF($E306="",TODAY()-8,$E306),TODAY()-8)&gt;=EOMONTH(MIN(IF($E306="",TODAY()-8,$E306),TODAY()-8),0),1,0)),MAX(0,INT((MIN(IF($E306="",TODAY()-8,$E306),TODAY()-8)-($D306+MOD(SISTEM!$F$8-WEEKDAY($D306,2),7)))/7)+1)))</f>
        <v/>
      </c>
      <c r="K306" s="227">
        <f>IF(OR($C306="",$D306="",$G306="",$F306=""),0,$G306*IF($F306="Aylık",MAX(0,(YEAR(MIN(IF($E306="",TODAY()-15,$E306),TODAY()-15))-YEAR($D306))*12+MONTH(MIN(IF($E306="",TODAY()-15,$E306),TODAY()-15))-MONTH($D306)+IF(MIN(IF($E306="",TODAY()-15,$E306),TODAY()-15)&gt;=EOMONTH(MIN(IF($E306="",TODAY()-15,$E306),TODAY()-15),0),1,0)),MAX(0,INT((MIN(IF($E306="",TODAY()-15,$E306),TODAY()-15)-($D306+MOD(SISTEM!$F$8-WEEKDAY($D306,2),7)))/7)+1)))</f>
        <v/>
      </c>
      <c r="L306" s="227">
        <f>IF(OR($C306="",$D306="",$G306="",$F306=""),0,$G306*IF($F306="Aylık",MAX(0,(YEAR(MIN(IF($E306="",TODAY()-29,$E306),TODAY()-29))-YEAR($D306))*12+MONTH(MIN(IF($E306="",TODAY()-29,$E306),TODAY()-29))-MONTH($D306)+IF(MIN(IF($E306="",TODAY()-29,$E306),TODAY()-29)&gt;=EOMONTH(MIN(IF($E306="",TODAY()-29,$E306),TODAY()-29),0),1,0)),MAX(0,INT((MIN(IF($E306="",TODAY()-29,$E306),TODAY()-29)-($D306+MOD(SISTEM!$F$8-WEEKDAY($D306,2),7)))/7)+1)))</f>
        <v/>
      </c>
      <c r="M306" s="228">
        <f>IF($G306&gt;0,$I306/$G306,0)</f>
        <v/>
      </c>
      <c r="N306" s="113">
        <f>IF($C306="","",IF($B306="TANIMSIZ MÜŞTERİ","TANIMSIZ MÜŞTERİ",IF($F306="","MODEL SEÇİN",IF(OR($D306="",$G306&lt;=0),"EKSİK",IF(AND($E306&lt;&gt;"",$E306&lt;$D306),"TARİH HATASI",IF($H306="Pasif","KAPALI DÖNEM","UYGUN"))))))</f>
        <v/>
      </c>
      <c r="O306" s="229">
        <f>IF(OR($C306="",$D306="",$F306=""),"",IF($F306="Aylık",EOMONTH($D306,0),($D306+MOD(SISTEM!$F$8-WEEKDAY($D306,2),7))))</f>
        <v/>
      </c>
      <c r="P306" s="109" t="n"/>
      <c r="Q306" s="6" t="n"/>
      <c r="R306" s="6" t="n"/>
      <c r="S306" s="3">
        <f>IF($B306="","",$B306&amp;"|"&amp;COUNTIFS($B$7:$B306,$B306))</f>
        <v/>
      </c>
    </row>
    <row r="307">
      <c r="A307" s="6" t="n"/>
      <c r="B307" s="113">
        <f>IF($C307="","",IFERROR(INDEX(MUSTERILER!$B$7:$B$106,MATCH($C307,MUSTERILER!$C$7:$C$106,0)),IFERROR(INDEX(MUSTERILER!$B$7:$B$106,MATCH($C307,MUSTERILER!$B$7:$B$106,0)),IFERROR(INDEX(MUSTERILER!$B$7:$B$106,MATCH($C307&amp;"*",MUSTERILER!$C$7:$C$106,0)),"TANIMSIZ MÜŞTERİ"))))</f>
        <v/>
      </c>
      <c r="C307" s="109" t="n"/>
      <c r="D307" s="225" t="n"/>
      <c r="E307" s="225" t="n"/>
      <c r="F307" s="108" t="n"/>
      <c r="G307" s="226" t="n"/>
      <c r="H307" s="108" t="n"/>
      <c r="I307" s="227">
        <f>IF(OR($C307="",$D307="",$G307="",$F307=""),0,$G307*IF($F307="Aylık",MAX(0,(YEAR(MIN(IF($E307="",TODAY(),$E307),TODAY()))-YEAR($D307))*12+MONTH(MIN(IF($E307="",TODAY(),$E307),TODAY()))-MONTH($D307)+IF(MIN(IF($E307="",TODAY(),$E307),TODAY())&gt;=EOMONTH(MIN(IF($E307="",TODAY(),$E307),TODAY()),0),1,0)),MAX(0,INT((MIN(IF($E307="",TODAY(),$E307),TODAY())-($D307+MOD(SISTEM!$F$8-WEEKDAY($D307,2),7)))/7)+1)))</f>
        <v/>
      </c>
      <c r="J307" s="227">
        <f>IF(OR($C307="",$D307="",$G307="",$F307=""),0,$G307*IF($F307="Aylık",MAX(0,(YEAR(MIN(IF($E307="",TODAY()-8,$E307),TODAY()-8))-YEAR($D307))*12+MONTH(MIN(IF($E307="",TODAY()-8,$E307),TODAY()-8))-MONTH($D307)+IF(MIN(IF($E307="",TODAY()-8,$E307),TODAY()-8)&gt;=EOMONTH(MIN(IF($E307="",TODAY()-8,$E307),TODAY()-8),0),1,0)),MAX(0,INT((MIN(IF($E307="",TODAY()-8,$E307),TODAY()-8)-($D307+MOD(SISTEM!$F$8-WEEKDAY($D307,2),7)))/7)+1)))</f>
        <v/>
      </c>
      <c r="K307" s="227">
        <f>IF(OR($C307="",$D307="",$G307="",$F307=""),0,$G307*IF($F307="Aylık",MAX(0,(YEAR(MIN(IF($E307="",TODAY()-15,$E307),TODAY()-15))-YEAR($D307))*12+MONTH(MIN(IF($E307="",TODAY()-15,$E307),TODAY()-15))-MONTH($D307)+IF(MIN(IF($E307="",TODAY()-15,$E307),TODAY()-15)&gt;=EOMONTH(MIN(IF($E307="",TODAY()-15,$E307),TODAY()-15),0),1,0)),MAX(0,INT((MIN(IF($E307="",TODAY()-15,$E307),TODAY()-15)-($D307+MOD(SISTEM!$F$8-WEEKDAY($D307,2),7)))/7)+1)))</f>
        <v/>
      </c>
      <c r="L307" s="227">
        <f>IF(OR($C307="",$D307="",$G307="",$F307=""),0,$G307*IF($F307="Aylık",MAX(0,(YEAR(MIN(IF($E307="",TODAY()-29,$E307),TODAY()-29))-YEAR($D307))*12+MONTH(MIN(IF($E307="",TODAY()-29,$E307),TODAY()-29))-MONTH($D307)+IF(MIN(IF($E307="",TODAY()-29,$E307),TODAY()-29)&gt;=EOMONTH(MIN(IF($E307="",TODAY()-29,$E307),TODAY()-29),0),1,0)),MAX(0,INT((MIN(IF($E307="",TODAY()-29,$E307),TODAY()-29)-($D307+MOD(SISTEM!$F$8-WEEKDAY($D307,2),7)))/7)+1)))</f>
        <v/>
      </c>
      <c r="M307" s="228">
        <f>IF($G307&gt;0,$I307/$G307,0)</f>
        <v/>
      </c>
      <c r="N307" s="113">
        <f>IF($C307="","",IF($B307="TANIMSIZ MÜŞTERİ","TANIMSIZ MÜŞTERİ",IF($F307="","MODEL SEÇİN",IF(OR($D307="",$G307&lt;=0),"EKSİK",IF(AND($E307&lt;&gt;"",$E307&lt;$D307),"TARİH HATASI",IF($H307="Pasif","KAPALI DÖNEM","UYGUN"))))))</f>
        <v/>
      </c>
      <c r="O307" s="229">
        <f>IF(OR($C307="",$D307="",$F307=""),"",IF($F307="Aylık",EOMONTH($D307,0),($D307+MOD(SISTEM!$F$8-WEEKDAY($D307,2),7))))</f>
        <v/>
      </c>
      <c r="P307" s="109" t="n"/>
      <c r="Q307" s="6" t="n"/>
      <c r="R307" s="6" t="n"/>
      <c r="S307" s="3">
        <f>IF($B307="","",$B307&amp;"|"&amp;COUNTIFS($B$7:$B307,$B307))</f>
        <v/>
      </c>
    </row>
    <row r="308">
      <c r="A308" s="6" t="n"/>
      <c r="B308" s="113">
        <f>IF($C308="","",IFERROR(INDEX(MUSTERILER!$B$7:$B$106,MATCH($C308,MUSTERILER!$C$7:$C$106,0)),IFERROR(INDEX(MUSTERILER!$B$7:$B$106,MATCH($C308,MUSTERILER!$B$7:$B$106,0)),IFERROR(INDEX(MUSTERILER!$B$7:$B$106,MATCH($C308&amp;"*",MUSTERILER!$C$7:$C$106,0)),"TANIMSIZ MÜŞTERİ"))))</f>
        <v/>
      </c>
      <c r="C308" s="109" t="n"/>
      <c r="D308" s="225" t="n"/>
      <c r="E308" s="225" t="n"/>
      <c r="F308" s="108" t="n"/>
      <c r="G308" s="226" t="n"/>
      <c r="H308" s="108" t="n"/>
      <c r="I308" s="227">
        <f>IF(OR($C308="",$D308="",$G308="",$F308=""),0,$G308*IF($F308="Aylık",MAX(0,(YEAR(MIN(IF($E308="",TODAY(),$E308),TODAY()))-YEAR($D308))*12+MONTH(MIN(IF($E308="",TODAY(),$E308),TODAY()))-MONTH($D308)+IF(MIN(IF($E308="",TODAY(),$E308),TODAY())&gt;=EOMONTH(MIN(IF($E308="",TODAY(),$E308),TODAY()),0),1,0)),MAX(0,INT((MIN(IF($E308="",TODAY(),$E308),TODAY())-($D308+MOD(SISTEM!$F$8-WEEKDAY($D308,2),7)))/7)+1)))</f>
        <v/>
      </c>
      <c r="J308" s="227">
        <f>IF(OR($C308="",$D308="",$G308="",$F308=""),0,$G308*IF($F308="Aylık",MAX(0,(YEAR(MIN(IF($E308="",TODAY()-8,$E308),TODAY()-8))-YEAR($D308))*12+MONTH(MIN(IF($E308="",TODAY()-8,$E308),TODAY()-8))-MONTH($D308)+IF(MIN(IF($E308="",TODAY()-8,$E308),TODAY()-8)&gt;=EOMONTH(MIN(IF($E308="",TODAY()-8,$E308),TODAY()-8),0),1,0)),MAX(0,INT((MIN(IF($E308="",TODAY()-8,$E308),TODAY()-8)-($D308+MOD(SISTEM!$F$8-WEEKDAY($D308,2),7)))/7)+1)))</f>
        <v/>
      </c>
      <c r="K308" s="227">
        <f>IF(OR($C308="",$D308="",$G308="",$F308=""),0,$G308*IF($F308="Aylık",MAX(0,(YEAR(MIN(IF($E308="",TODAY()-15,$E308),TODAY()-15))-YEAR($D308))*12+MONTH(MIN(IF($E308="",TODAY()-15,$E308),TODAY()-15))-MONTH($D308)+IF(MIN(IF($E308="",TODAY()-15,$E308),TODAY()-15)&gt;=EOMONTH(MIN(IF($E308="",TODAY()-15,$E308),TODAY()-15),0),1,0)),MAX(0,INT((MIN(IF($E308="",TODAY()-15,$E308),TODAY()-15)-($D308+MOD(SISTEM!$F$8-WEEKDAY($D308,2),7)))/7)+1)))</f>
        <v/>
      </c>
      <c r="L308" s="227">
        <f>IF(OR($C308="",$D308="",$G308="",$F308=""),0,$G308*IF($F308="Aylık",MAX(0,(YEAR(MIN(IF($E308="",TODAY()-29,$E308),TODAY()-29))-YEAR($D308))*12+MONTH(MIN(IF($E308="",TODAY()-29,$E308),TODAY()-29))-MONTH($D308)+IF(MIN(IF($E308="",TODAY()-29,$E308),TODAY()-29)&gt;=EOMONTH(MIN(IF($E308="",TODAY()-29,$E308),TODAY()-29),0),1,0)),MAX(0,INT((MIN(IF($E308="",TODAY()-29,$E308),TODAY()-29)-($D308+MOD(SISTEM!$F$8-WEEKDAY($D308,2),7)))/7)+1)))</f>
        <v/>
      </c>
      <c r="M308" s="228">
        <f>IF($G308&gt;0,$I308/$G308,0)</f>
        <v/>
      </c>
      <c r="N308" s="113">
        <f>IF($C308="","",IF($B308="TANIMSIZ MÜŞTERİ","TANIMSIZ MÜŞTERİ",IF($F308="","MODEL SEÇİN",IF(OR($D308="",$G308&lt;=0),"EKSİK",IF(AND($E308&lt;&gt;"",$E308&lt;$D308),"TARİH HATASI",IF($H308="Pasif","KAPALI DÖNEM","UYGUN"))))))</f>
        <v/>
      </c>
      <c r="O308" s="229">
        <f>IF(OR($C308="",$D308="",$F308=""),"",IF($F308="Aylık",EOMONTH($D308,0),($D308+MOD(SISTEM!$F$8-WEEKDAY($D308,2),7))))</f>
        <v/>
      </c>
      <c r="P308" s="109" t="n"/>
      <c r="Q308" s="6" t="n"/>
      <c r="R308" s="6" t="n"/>
      <c r="S308" s="3">
        <f>IF($B308="","",$B308&amp;"|"&amp;COUNTIFS($B$7:$B308,$B308))</f>
        <v/>
      </c>
    </row>
    <row r="309">
      <c r="A309" s="6" t="n"/>
      <c r="B309" s="113">
        <f>IF($C309="","",IFERROR(INDEX(MUSTERILER!$B$7:$B$106,MATCH($C309,MUSTERILER!$C$7:$C$106,0)),IFERROR(INDEX(MUSTERILER!$B$7:$B$106,MATCH($C309,MUSTERILER!$B$7:$B$106,0)),IFERROR(INDEX(MUSTERILER!$B$7:$B$106,MATCH($C309&amp;"*",MUSTERILER!$C$7:$C$106,0)),"TANIMSIZ MÜŞTERİ"))))</f>
        <v/>
      </c>
      <c r="C309" s="109" t="n"/>
      <c r="D309" s="225" t="n"/>
      <c r="E309" s="225" t="n"/>
      <c r="F309" s="108" t="n"/>
      <c r="G309" s="226" t="n"/>
      <c r="H309" s="108" t="n"/>
      <c r="I309" s="227">
        <f>IF(OR($C309="",$D309="",$G309="",$F309=""),0,$G309*IF($F309="Aylık",MAX(0,(YEAR(MIN(IF($E309="",TODAY(),$E309),TODAY()))-YEAR($D309))*12+MONTH(MIN(IF($E309="",TODAY(),$E309),TODAY()))-MONTH($D309)+IF(MIN(IF($E309="",TODAY(),$E309),TODAY())&gt;=EOMONTH(MIN(IF($E309="",TODAY(),$E309),TODAY()),0),1,0)),MAX(0,INT((MIN(IF($E309="",TODAY(),$E309),TODAY())-($D309+MOD(SISTEM!$F$8-WEEKDAY($D309,2),7)))/7)+1)))</f>
        <v/>
      </c>
      <c r="J309" s="227">
        <f>IF(OR($C309="",$D309="",$G309="",$F309=""),0,$G309*IF($F309="Aylık",MAX(0,(YEAR(MIN(IF($E309="",TODAY()-8,$E309),TODAY()-8))-YEAR($D309))*12+MONTH(MIN(IF($E309="",TODAY()-8,$E309),TODAY()-8))-MONTH($D309)+IF(MIN(IF($E309="",TODAY()-8,$E309),TODAY()-8)&gt;=EOMONTH(MIN(IF($E309="",TODAY()-8,$E309),TODAY()-8),0),1,0)),MAX(0,INT((MIN(IF($E309="",TODAY()-8,$E309),TODAY()-8)-($D309+MOD(SISTEM!$F$8-WEEKDAY($D309,2),7)))/7)+1)))</f>
        <v/>
      </c>
      <c r="K309" s="227">
        <f>IF(OR($C309="",$D309="",$G309="",$F309=""),0,$G309*IF($F309="Aylık",MAX(0,(YEAR(MIN(IF($E309="",TODAY()-15,$E309),TODAY()-15))-YEAR($D309))*12+MONTH(MIN(IF($E309="",TODAY()-15,$E309),TODAY()-15))-MONTH($D309)+IF(MIN(IF($E309="",TODAY()-15,$E309),TODAY()-15)&gt;=EOMONTH(MIN(IF($E309="",TODAY()-15,$E309),TODAY()-15),0),1,0)),MAX(0,INT((MIN(IF($E309="",TODAY()-15,$E309),TODAY()-15)-($D309+MOD(SISTEM!$F$8-WEEKDAY($D309,2),7)))/7)+1)))</f>
        <v/>
      </c>
      <c r="L309" s="227">
        <f>IF(OR($C309="",$D309="",$G309="",$F309=""),0,$G309*IF($F309="Aylık",MAX(0,(YEAR(MIN(IF($E309="",TODAY()-29,$E309),TODAY()-29))-YEAR($D309))*12+MONTH(MIN(IF($E309="",TODAY()-29,$E309),TODAY()-29))-MONTH($D309)+IF(MIN(IF($E309="",TODAY()-29,$E309),TODAY()-29)&gt;=EOMONTH(MIN(IF($E309="",TODAY()-29,$E309),TODAY()-29),0),1,0)),MAX(0,INT((MIN(IF($E309="",TODAY()-29,$E309),TODAY()-29)-($D309+MOD(SISTEM!$F$8-WEEKDAY($D309,2),7)))/7)+1)))</f>
        <v/>
      </c>
      <c r="M309" s="228">
        <f>IF($G309&gt;0,$I309/$G309,0)</f>
        <v/>
      </c>
      <c r="N309" s="113">
        <f>IF($C309="","",IF($B309="TANIMSIZ MÜŞTERİ","TANIMSIZ MÜŞTERİ",IF($F309="","MODEL SEÇİN",IF(OR($D309="",$G309&lt;=0),"EKSİK",IF(AND($E309&lt;&gt;"",$E309&lt;$D309),"TARİH HATASI",IF($H309="Pasif","KAPALI DÖNEM","UYGUN"))))))</f>
        <v/>
      </c>
      <c r="O309" s="229">
        <f>IF(OR($C309="",$D309="",$F309=""),"",IF($F309="Aylık",EOMONTH($D309,0),($D309+MOD(SISTEM!$F$8-WEEKDAY($D309,2),7))))</f>
        <v/>
      </c>
      <c r="P309" s="109" t="n"/>
      <c r="Q309" s="6" t="n"/>
      <c r="R309" s="6" t="n"/>
      <c r="S309" s="3">
        <f>IF($B309="","",$B309&amp;"|"&amp;COUNTIFS($B$7:$B309,$B309))</f>
        <v/>
      </c>
    </row>
    <row r="310">
      <c r="A310" s="6" t="n"/>
      <c r="B310" s="113">
        <f>IF($C310="","",IFERROR(INDEX(MUSTERILER!$B$7:$B$106,MATCH($C310,MUSTERILER!$C$7:$C$106,0)),IFERROR(INDEX(MUSTERILER!$B$7:$B$106,MATCH($C310,MUSTERILER!$B$7:$B$106,0)),IFERROR(INDEX(MUSTERILER!$B$7:$B$106,MATCH($C310&amp;"*",MUSTERILER!$C$7:$C$106,0)),"TANIMSIZ MÜŞTERİ"))))</f>
        <v/>
      </c>
      <c r="C310" s="109" t="n"/>
      <c r="D310" s="225" t="n"/>
      <c r="E310" s="225" t="n"/>
      <c r="F310" s="108" t="n"/>
      <c r="G310" s="226" t="n"/>
      <c r="H310" s="108" t="n"/>
      <c r="I310" s="227">
        <f>IF(OR($C310="",$D310="",$G310="",$F310=""),0,$G310*IF($F310="Aylık",MAX(0,(YEAR(MIN(IF($E310="",TODAY(),$E310),TODAY()))-YEAR($D310))*12+MONTH(MIN(IF($E310="",TODAY(),$E310),TODAY()))-MONTH($D310)+IF(MIN(IF($E310="",TODAY(),$E310),TODAY())&gt;=EOMONTH(MIN(IF($E310="",TODAY(),$E310),TODAY()),0),1,0)),MAX(0,INT((MIN(IF($E310="",TODAY(),$E310),TODAY())-($D310+MOD(SISTEM!$F$8-WEEKDAY($D310,2),7)))/7)+1)))</f>
        <v/>
      </c>
      <c r="J310" s="227">
        <f>IF(OR($C310="",$D310="",$G310="",$F310=""),0,$G310*IF($F310="Aylık",MAX(0,(YEAR(MIN(IF($E310="",TODAY()-8,$E310),TODAY()-8))-YEAR($D310))*12+MONTH(MIN(IF($E310="",TODAY()-8,$E310),TODAY()-8))-MONTH($D310)+IF(MIN(IF($E310="",TODAY()-8,$E310),TODAY()-8)&gt;=EOMONTH(MIN(IF($E310="",TODAY()-8,$E310),TODAY()-8),0),1,0)),MAX(0,INT((MIN(IF($E310="",TODAY()-8,$E310),TODAY()-8)-($D310+MOD(SISTEM!$F$8-WEEKDAY($D310,2),7)))/7)+1)))</f>
        <v/>
      </c>
      <c r="K310" s="227">
        <f>IF(OR($C310="",$D310="",$G310="",$F310=""),0,$G310*IF($F310="Aylık",MAX(0,(YEAR(MIN(IF($E310="",TODAY()-15,$E310),TODAY()-15))-YEAR($D310))*12+MONTH(MIN(IF($E310="",TODAY()-15,$E310),TODAY()-15))-MONTH($D310)+IF(MIN(IF($E310="",TODAY()-15,$E310),TODAY()-15)&gt;=EOMONTH(MIN(IF($E310="",TODAY()-15,$E310),TODAY()-15),0),1,0)),MAX(0,INT((MIN(IF($E310="",TODAY()-15,$E310),TODAY()-15)-($D310+MOD(SISTEM!$F$8-WEEKDAY($D310,2),7)))/7)+1)))</f>
        <v/>
      </c>
      <c r="L310" s="227">
        <f>IF(OR($C310="",$D310="",$G310="",$F310=""),0,$G310*IF($F310="Aylık",MAX(0,(YEAR(MIN(IF($E310="",TODAY()-29,$E310),TODAY()-29))-YEAR($D310))*12+MONTH(MIN(IF($E310="",TODAY()-29,$E310),TODAY()-29))-MONTH($D310)+IF(MIN(IF($E310="",TODAY()-29,$E310),TODAY()-29)&gt;=EOMONTH(MIN(IF($E310="",TODAY()-29,$E310),TODAY()-29),0),1,0)),MAX(0,INT((MIN(IF($E310="",TODAY()-29,$E310),TODAY()-29)-($D310+MOD(SISTEM!$F$8-WEEKDAY($D310,2),7)))/7)+1)))</f>
        <v/>
      </c>
      <c r="M310" s="228">
        <f>IF($G310&gt;0,$I310/$G310,0)</f>
        <v/>
      </c>
      <c r="N310" s="113">
        <f>IF($C310="","",IF($B310="TANIMSIZ MÜŞTERİ","TANIMSIZ MÜŞTERİ",IF($F310="","MODEL SEÇİN",IF(OR($D310="",$G310&lt;=0),"EKSİK",IF(AND($E310&lt;&gt;"",$E310&lt;$D310),"TARİH HATASI",IF($H310="Pasif","KAPALI DÖNEM","UYGUN"))))))</f>
        <v/>
      </c>
      <c r="O310" s="229">
        <f>IF(OR($C310="",$D310="",$F310=""),"",IF($F310="Aylık",EOMONTH($D310,0),($D310+MOD(SISTEM!$F$8-WEEKDAY($D310,2),7))))</f>
        <v/>
      </c>
      <c r="P310" s="109" t="n"/>
      <c r="Q310" s="6" t="n"/>
      <c r="R310" s="6" t="n"/>
      <c r="S310" s="3">
        <f>IF($B310="","",$B310&amp;"|"&amp;COUNTIFS($B$7:$B310,$B310))</f>
        <v/>
      </c>
    </row>
    <row r="311">
      <c r="A311" s="6" t="n"/>
      <c r="B311" s="113">
        <f>IF($C311="","",IFERROR(INDEX(MUSTERILER!$B$7:$B$106,MATCH($C311,MUSTERILER!$C$7:$C$106,0)),IFERROR(INDEX(MUSTERILER!$B$7:$B$106,MATCH($C311,MUSTERILER!$B$7:$B$106,0)),IFERROR(INDEX(MUSTERILER!$B$7:$B$106,MATCH($C311&amp;"*",MUSTERILER!$C$7:$C$106,0)),"TANIMSIZ MÜŞTERİ"))))</f>
        <v/>
      </c>
      <c r="C311" s="109" t="n"/>
      <c r="D311" s="225" t="n"/>
      <c r="E311" s="225" t="n"/>
      <c r="F311" s="108" t="n"/>
      <c r="G311" s="226" t="n"/>
      <c r="H311" s="108" t="n"/>
      <c r="I311" s="227">
        <f>IF(OR($C311="",$D311="",$G311="",$F311=""),0,$G311*IF($F311="Aylık",MAX(0,(YEAR(MIN(IF($E311="",TODAY(),$E311),TODAY()))-YEAR($D311))*12+MONTH(MIN(IF($E311="",TODAY(),$E311),TODAY()))-MONTH($D311)+IF(MIN(IF($E311="",TODAY(),$E311),TODAY())&gt;=EOMONTH(MIN(IF($E311="",TODAY(),$E311),TODAY()),0),1,0)),MAX(0,INT((MIN(IF($E311="",TODAY(),$E311),TODAY())-($D311+MOD(SISTEM!$F$8-WEEKDAY($D311,2),7)))/7)+1)))</f>
        <v/>
      </c>
      <c r="J311" s="227">
        <f>IF(OR($C311="",$D311="",$G311="",$F311=""),0,$G311*IF($F311="Aylık",MAX(0,(YEAR(MIN(IF($E311="",TODAY()-8,$E311),TODAY()-8))-YEAR($D311))*12+MONTH(MIN(IF($E311="",TODAY()-8,$E311),TODAY()-8))-MONTH($D311)+IF(MIN(IF($E311="",TODAY()-8,$E311),TODAY()-8)&gt;=EOMONTH(MIN(IF($E311="",TODAY()-8,$E311),TODAY()-8),0),1,0)),MAX(0,INT((MIN(IF($E311="",TODAY()-8,$E311),TODAY()-8)-($D311+MOD(SISTEM!$F$8-WEEKDAY($D311,2),7)))/7)+1)))</f>
        <v/>
      </c>
      <c r="K311" s="227">
        <f>IF(OR($C311="",$D311="",$G311="",$F311=""),0,$G311*IF($F311="Aylık",MAX(0,(YEAR(MIN(IF($E311="",TODAY()-15,$E311),TODAY()-15))-YEAR($D311))*12+MONTH(MIN(IF($E311="",TODAY()-15,$E311),TODAY()-15))-MONTH($D311)+IF(MIN(IF($E311="",TODAY()-15,$E311),TODAY()-15)&gt;=EOMONTH(MIN(IF($E311="",TODAY()-15,$E311),TODAY()-15),0),1,0)),MAX(0,INT((MIN(IF($E311="",TODAY()-15,$E311),TODAY()-15)-($D311+MOD(SISTEM!$F$8-WEEKDAY($D311,2),7)))/7)+1)))</f>
        <v/>
      </c>
      <c r="L311" s="227">
        <f>IF(OR($C311="",$D311="",$G311="",$F311=""),0,$G311*IF($F311="Aylık",MAX(0,(YEAR(MIN(IF($E311="",TODAY()-29,$E311),TODAY()-29))-YEAR($D311))*12+MONTH(MIN(IF($E311="",TODAY()-29,$E311),TODAY()-29))-MONTH($D311)+IF(MIN(IF($E311="",TODAY()-29,$E311),TODAY()-29)&gt;=EOMONTH(MIN(IF($E311="",TODAY()-29,$E311),TODAY()-29),0),1,0)),MAX(0,INT((MIN(IF($E311="",TODAY()-29,$E311),TODAY()-29)-($D311+MOD(SISTEM!$F$8-WEEKDAY($D311,2),7)))/7)+1)))</f>
        <v/>
      </c>
      <c r="M311" s="228">
        <f>IF($G311&gt;0,$I311/$G311,0)</f>
        <v/>
      </c>
      <c r="N311" s="113">
        <f>IF($C311="","",IF($B311="TANIMSIZ MÜŞTERİ","TANIMSIZ MÜŞTERİ",IF($F311="","MODEL SEÇİN",IF(OR($D311="",$G311&lt;=0),"EKSİK",IF(AND($E311&lt;&gt;"",$E311&lt;$D311),"TARİH HATASI",IF($H311="Pasif","KAPALI DÖNEM","UYGUN"))))))</f>
        <v/>
      </c>
      <c r="O311" s="229">
        <f>IF(OR($C311="",$D311="",$F311=""),"",IF($F311="Aylık",EOMONTH($D311,0),($D311+MOD(SISTEM!$F$8-WEEKDAY($D311,2),7))))</f>
        <v/>
      </c>
      <c r="P311" s="109" t="n"/>
      <c r="Q311" s="6" t="n"/>
      <c r="R311" s="6" t="n"/>
      <c r="S311" s="3">
        <f>IF($B311="","",$B311&amp;"|"&amp;COUNTIFS($B$7:$B311,$B311))</f>
        <v/>
      </c>
    </row>
    <row r="312">
      <c r="A312" s="6" t="n"/>
      <c r="B312" s="113">
        <f>IF($C312="","",IFERROR(INDEX(MUSTERILER!$B$7:$B$106,MATCH($C312,MUSTERILER!$C$7:$C$106,0)),IFERROR(INDEX(MUSTERILER!$B$7:$B$106,MATCH($C312,MUSTERILER!$B$7:$B$106,0)),IFERROR(INDEX(MUSTERILER!$B$7:$B$106,MATCH($C312&amp;"*",MUSTERILER!$C$7:$C$106,0)),"TANIMSIZ MÜŞTERİ"))))</f>
        <v/>
      </c>
      <c r="C312" s="109" t="n"/>
      <c r="D312" s="225" t="n"/>
      <c r="E312" s="225" t="n"/>
      <c r="F312" s="108" t="n"/>
      <c r="G312" s="226" t="n"/>
      <c r="H312" s="108" t="n"/>
      <c r="I312" s="227">
        <f>IF(OR($C312="",$D312="",$G312="",$F312=""),0,$G312*IF($F312="Aylık",MAX(0,(YEAR(MIN(IF($E312="",TODAY(),$E312),TODAY()))-YEAR($D312))*12+MONTH(MIN(IF($E312="",TODAY(),$E312),TODAY()))-MONTH($D312)+IF(MIN(IF($E312="",TODAY(),$E312),TODAY())&gt;=EOMONTH(MIN(IF($E312="",TODAY(),$E312),TODAY()),0),1,0)),MAX(0,INT((MIN(IF($E312="",TODAY(),$E312),TODAY())-($D312+MOD(SISTEM!$F$8-WEEKDAY($D312,2),7)))/7)+1)))</f>
        <v/>
      </c>
      <c r="J312" s="227">
        <f>IF(OR($C312="",$D312="",$G312="",$F312=""),0,$G312*IF($F312="Aylık",MAX(0,(YEAR(MIN(IF($E312="",TODAY()-8,$E312),TODAY()-8))-YEAR($D312))*12+MONTH(MIN(IF($E312="",TODAY()-8,$E312),TODAY()-8))-MONTH($D312)+IF(MIN(IF($E312="",TODAY()-8,$E312),TODAY()-8)&gt;=EOMONTH(MIN(IF($E312="",TODAY()-8,$E312),TODAY()-8),0),1,0)),MAX(0,INT((MIN(IF($E312="",TODAY()-8,$E312),TODAY()-8)-($D312+MOD(SISTEM!$F$8-WEEKDAY($D312,2),7)))/7)+1)))</f>
        <v/>
      </c>
      <c r="K312" s="227">
        <f>IF(OR($C312="",$D312="",$G312="",$F312=""),0,$G312*IF($F312="Aylık",MAX(0,(YEAR(MIN(IF($E312="",TODAY()-15,$E312),TODAY()-15))-YEAR($D312))*12+MONTH(MIN(IF($E312="",TODAY()-15,$E312),TODAY()-15))-MONTH($D312)+IF(MIN(IF($E312="",TODAY()-15,$E312),TODAY()-15)&gt;=EOMONTH(MIN(IF($E312="",TODAY()-15,$E312),TODAY()-15),0),1,0)),MAX(0,INT((MIN(IF($E312="",TODAY()-15,$E312),TODAY()-15)-($D312+MOD(SISTEM!$F$8-WEEKDAY($D312,2),7)))/7)+1)))</f>
        <v/>
      </c>
      <c r="L312" s="227">
        <f>IF(OR($C312="",$D312="",$G312="",$F312=""),0,$G312*IF($F312="Aylık",MAX(0,(YEAR(MIN(IF($E312="",TODAY()-29,$E312),TODAY()-29))-YEAR($D312))*12+MONTH(MIN(IF($E312="",TODAY()-29,$E312),TODAY()-29))-MONTH($D312)+IF(MIN(IF($E312="",TODAY()-29,$E312),TODAY()-29)&gt;=EOMONTH(MIN(IF($E312="",TODAY()-29,$E312),TODAY()-29),0),1,0)),MAX(0,INT((MIN(IF($E312="",TODAY()-29,$E312),TODAY()-29)-($D312+MOD(SISTEM!$F$8-WEEKDAY($D312,2),7)))/7)+1)))</f>
        <v/>
      </c>
      <c r="M312" s="228">
        <f>IF($G312&gt;0,$I312/$G312,0)</f>
        <v/>
      </c>
      <c r="N312" s="113">
        <f>IF($C312="","",IF($B312="TANIMSIZ MÜŞTERİ","TANIMSIZ MÜŞTERİ",IF($F312="","MODEL SEÇİN",IF(OR($D312="",$G312&lt;=0),"EKSİK",IF(AND($E312&lt;&gt;"",$E312&lt;$D312),"TARİH HATASI",IF($H312="Pasif","KAPALI DÖNEM","UYGUN"))))))</f>
        <v/>
      </c>
      <c r="O312" s="229">
        <f>IF(OR($C312="",$D312="",$F312=""),"",IF($F312="Aylık",EOMONTH($D312,0),($D312+MOD(SISTEM!$F$8-WEEKDAY($D312,2),7))))</f>
        <v/>
      </c>
      <c r="P312" s="109" t="n"/>
      <c r="Q312" s="6" t="n"/>
      <c r="R312" s="6" t="n"/>
      <c r="S312" s="3">
        <f>IF($B312="","",$B312&amp;"|"&amp;COUNTIFS($B$7:$B312,$B312))</f>
        <v/>
      </c>
    </row>
    <row r="313">
      <c r="A313" s="6" t="n"/>
      <c r="B313" s="113">
        <f>IF($C313="","",IFERROR(INDEX(MUSTERILER!$B$7:$B$106,MATCH($C313,MUSTERILER!$C$7:$C$106,0)),IFERROR(INDEX(MUSTERILER!$B$7:$B$106,MATCH($C313,MUSTERILER!$B$7:$B$106,0)),IFERROR(INDEX(MUSTERILER!$B$7:$B$106,MATCH($C313&amp;"*",MUSTERILER!$C$7:$C$106,0)),"TANIMSIZ MÜŞTERİ"))))</f>
        <v/>
      </c>
      <c r="C313" s="109" t="n"/>
      <c r="D313" s="225" t="n"/>
      <c r="E313" s="225" t="n"/>
      <c r="F313" s="108" t="n"/>
      <c r="G313" s="226" t="n"/>
      <c r="H313" s="108" t="n"/>
      <c r="I313" s="227">
        <f>IF(OR($C313="",$D313="",$G313="",$F313=""),0,$G313*IF($F313="Aylık",MAX(0,(YEAR(MIN(IF($E313="",TODAY(),$E313),TODAY()))-YEAR($D313))*12+MONTH(MIN(IF($E313="",TODAY(),$E313),TODAY()))-MONTH($D313)+IF(MIN(IF($E313="",TODAY(),$E313),TODAY())&gt;=EOMONTH(MIN(IF($E313="",TODAY(),$E313),TODAY()),0),1,0)),MAX(0,INT((MIN(IF($E313="",TODAY(),$E313),TODAY())-($D313+MOD(SISTEM!$F$8-WEEKDAY($D313,2),7)))/7)+1)))</f>
        <v/>
      </c>
      <c r="J313" s="227">
        <f>IF(OR($C313="",$D313="",$G313="",$F313=""),0,$G313*IF($F313="Aylık",MAX(0,(YEAR(MIN(IF($E313="",TODAY()-8,$E313),TODAY()-8))-YEAR($D313))*12+MONTH(MIN(IF($E313="",TODAY()-8,$E313),TODAY()-8))-MONTH($D313)+IF(MIN(IF($E313="",TODAY()-8,$E313),TODAY()-8)&gt;=EOMONTH(MIN(IF($E313="",TODAY()-8,$E313),TODAY()-8),0),1,0)),MAX(0,INT((MIN(IF($E313="",TODAY()-8,$E313),TODAY()-8)-($D313+MOD(SISTEM!$F$8-WEEKDAY($D313,2),7)))/7)+1)))</f>
        <v/>
      </c>
      <c r="K313" s="227">
        <f>IF(OR($C313="",$D313="",$G313="",$F313=""),0,$G313*IF($F313="Aylık",MAX(0,(YEAR(MIN(IF($E313="",TODAY()-15,$E313),TODAY()-15))-YEAR($D313))*12+MONTH(MIN(IF($E313="",TODAY()-15,$E313),TODAY()-15))-MONTH($D313)+IF(MIN(IF($E313="",TODAY()-15,$E313),TODAY()-15)&gt;=EOMONTH(MIN(IF($E313="",TODAY()-15,$E313),TODAY()-15),0),1,0)),MAX(0,INT((MIN(IF($E313="",TODAY()-15,$E313),TODAY()-15)-($D313+MOD(SISTEM!$F$8-WEEKDAY($D313,2),7)))/7)+1)))</f>
        <v/>
      </c>
      <c r="L313" s="227">
        <f>IF(OR($C313="",$D313="",$G313="",$F313=""),0,$G313*IF($F313="Aylık",MAX(0,(YEAR(MIN(IF($E313="",TODAY()-29,$E313),TODAY()-29))-YEAR($D313))*12+MONTH(MIN(IF($E313="",TODAY()-29,$E313),TODAY()-29))-MONTH($D313)+IF(MIN(IF($E313="",TODAY()-29,$E313),TODAY()-29)&gt;=EOMONTH(MIN(IF($E313="",TODAY()-29,$E313),TODAY()-29),0),1,0)),MAX(0,INT((MIN(IF($E313="",TODAY()-29,$E313),TODAY()-29)-($D313+MOD(SISTEM!$F$8-WEEKDAY($D313,2),7)))/7)+1)))</f>
        <v/>
      </c>
      <c r="M313" s="228">
        <f>IF($G313&gt;0,$I313/$G313,0)</f>
        <v/>
      </c>
      <c r="N313" s="113">
        <f>IF($C313="","",IF($B313="TANIMSIZ MÜŞTERİ","TANIMSIZ MÜŞTERİ",IF($F313="","MODEL SEÇİN",IF(OR($D313="",$G313&lt;=0),"EKSİK",IF(AND($E313&lt;&gt;"",$E313&lt;$D313),"TARİH HATASI",IF($H313="Pasif","KAPALI DÖNEM","UYGUN"))))))</f>
        <v/>
      </c>
      <c r="O313" s="229">
        <f>IF(OR($C313="",$D313="",$F313=""),"",IF($F313="Aylık",EOMONTH($D313,0),($D313+MOD(SISTEM!$F$8-WEEKDAY($D313,2),7))))</f>
        <v/>
      </c>
      <c r="P313" s="109" t="n"/>
      <c r="Q313" s="6" t="n"/>
      <c r="R313" s="6" t="n"/>
      <c r="S313" s="3">
        <f>IF($B313="","",$B313&amp;"|"&amp;COUNTIFS($B$7:$B313,$B313))</f>
        <v/>
      </c>
    </row>
    <row r="314">
      <c r="A314" s="6" t="n"/>
      <c r="B314" s="113">
        <f>IF($C314="","",IFERROR(INDEX(MUSTERILER!$B$7:$B$106,MATCH($C314,MUSTERILER!$C$7:$C$106,0)),IFERROR(INDEX(MUSTERILER!$B$7:$B$106,MATCH($C314,MUSTERILER!$B$7:$B$106,0)),IFERROR(INDEX(MUSTERILER!$B$7:$B$106,MATCH($C314&amp;"*",MUSTERILER!$C$7:$C$106,0)),"TANIMSIZ MÜŞTERİ"))))</f>
        <v/>
      </c>
      <c r="C314" s="109" t="n"/>
      <c r="D314" s="225" t="n"/>
      <c r="E314" s="225" t="n"/>
      <c r="F314" s="108" t="n"/>
      <c r="G314" s="226" t="n"/>
      <c r="H314" s="108" t="n"/>
      <c r="I314" s="227">
        <f>IF(OR($C314="",$D314="",$G314="",$F314=""),0,$G314*IF($F314="Aylık",MAX(0,(YEAR(MIN(IF($E314="",TODAY(),$E314),TODAY()))-YEAR($D314))*12+MONTH(MIN(IF($E314="",TODAY(),$E314),TODAY()))-MONTH($D314)+IF(MIN(IF($E314="",TODAY(),$E314),TODAY())&gt;=EOMONTH(MIN(IF($E314="",TODAY(),$E314),TODAY()),0),1,0)),MAX(0,INT((MIN(IF($E314="",TODAY(),$E314),TODAY())-($D314+MOD(SISTEM!$F$8-WEEKDAY($D314,2),7)))/7)+1)))</f>
        <v/>
      </c>
      <c r="J314" s="227">
        <f>IF(OR($C314="",$D314="",$G314="",$F314=""),0,$G314*IF($F314="Aylık",MAX(0,(YEAR(MIN(IF($E314="",TODAY()-8,$E314),TODAY()-8))-YEAR($D314))*12+MONTH(MIN(IF($E314="",TODAY()-8,$E314),TODAY()-8))-MONTH($D314)+IF(MIN(IF($E314="",TODAY()-8,$E314),TODAY()-8)&gt;=EOMONTH(MIN(IF($E314="",TODAY()-8,$E314),TODAY()-8),0),1,0)),MAX(0,INT((MIN(IF($E314="",TODAY()-8,$E314),TODAY()-8)-($D314+MOD(SISTEM!$F$8-WEEKDAY($D314,2),7)))/7)+1)))</f>
        <v/>
      </c>
      <c r="K314" s="227">
        <f>IF(OR($C314="",$D314="",$G314="",$F314=""),0,$G314*IF($F314="Aylık",MAX(0,(YEAR(MIN(IF($E314="",TODAY()-15,$E314),TODAY()-15))-YEAR($D314))*12+MONTH(MIN(IF($E314="",TODAY()-15,$E314),TODAY()-15))-MONTH($D314)+IF(MIN(IF($E314="",TODAY()-15,$E314),TODAY()-15)&gt;=EOMONTH(MIN(IF($E314="",TODAY()-15,$E314),TODAY()-15),0),1,0)),MAX(0,INT((MIN(IF($E314="",TODAY()-15,$E314),TODAY()-15)-($D314+MOD(SISTEM!$F$8-WEEKDAY($D314,2),7)))/7)+1)))</f>
        <v/>
      </c>
      <c r="L314" s="227">
        <f>IF(OR($C314="",$D314="",$G314="",$F314=""),0,$G314*IF($F314="Aylık",MAX(0,(YEAR(MIN(IF($E314="",TODAY()-29,$E314),TODAY()-29))-YEAR($D314))*12+MONTH(MIN(IF($E314="",TODAY()-29,$E314),TODAY()-29))-MONTH($D314)+IF(MIN(IF($E314="",TODAY()-29,$E314),TODAY()-29)&gt;=EOMONTH(MIN(IF($E314="",TODAY()-29,$E314),TODAY()-29),0),1,0)),MAX(0,INT((MIN(IF($E314="",TODAY()-29,$E314),TODAY()-29)-($D314+MOD(SISTEM!$F$8-WEEKDAY($D314,2),7)))/7)+1)))</f>
        <v/>
      </c>
      <c r="M314" s="228">
        <f>IF($G314&gt;0,$I314/$G314,0)</f>
        <v/>
      </c>
      <c r="N314" s="113">
        <f>IF($C314="","",IF($B314="TANIMSIZ MÜŞTERİ","TANIMSIZ MÜŞTERİ",IF($F314="","MODEL SEÇİN",IF(OR($D314="",$G314&lt;=0),"EKSİK",IF(AND($E314&lt;&gt;"",$E314&lt;$D314),"TARİH HATASI",IF($H314="Pasif","KAPALI DÖNEM","UYGUN"))))))</f>
        <v/>
      </c>
      <c r="O314" s="229">
        <f>IF(OR($C314="",$D314="",$F314=""),"",IF($F314="Aylık",EOMONTH($D314,0),($D314+MOD(SISTEM!$F$8-WEEKDAY($D314,2),7))))</f>
        <v/>
      </c>
      <c r="P314" s="109" t="n"/>
      <c r="Q314" s="6" t="n"/>
      <c r="R314" s="6" t="n"/>
      <c r="S314" s="3">
        <f>IF($B314="","",$B314&amp;"|"&amp;COUNTIFS($B$7:$B314,$B314))</f>
        <v/>
      </c>
    </row>
    <row r="315">
      <c r="A315" s="6" t="n"/>
      <c r="B315" s="113">
        <f>IF($C315="","",IFERROR(INDEX(MUSTERILER!$B$7:$B$106,MATCH($C315,MUSTERILER!$C$7:$C$106,0)),IFERROR(INDEX(MUSTERILER!$B$7:$B$106,MATCH($C315,MUSTERILER!$B$7:$B$106,0)),IFERROR(INDEX(MUSTERILER!$B$7:$B$106,MATCH($C315&amp;"*",MUSTERILER!$C$7:$C$106,0)),"TANIMSIZ MÜŞTERİ"))))</f>
        <v/>
      </c>
      <c r="C315" s="109" t="n"/>
      <c r="D315" s="225" t="n"/>
      <c r="E315" s="225" t="n"/>
      <c r="F315" s="108" t="n"/>
      <c r="G315" s="226" t="n"/>
      <c r="H315" s="108" t="n"/>
      <c r="I315" s="227">
        <f>IF(OR($C315="",$D315="",$G315="",$F315=""),0,$G315*IF($F315="Aylık",MAX(0,(YEAR(MIN(IF($E315="",TODAY(),$E315),TODAY()))-YEAR($D315))*12+MONTH(MIN(IF($E315="",TODAY(),$E315),TODAY()))-MONTH($D315)+IF(MIN(IF($E315="",TODAY(),$E315),TODAY())&gt;=EOMONTH(MIN(IF($E315="",TODAY(),$E315),TODAY()),0),1,0)),MAX(0,INT((MIN(IF($E315="",TODAY(),$E315),TODAY())-($D315+MOD(SISTEM!$F$8-WEEKDAY($D315,2),7)))/7)+1)))</f>
        <v/>
      </c>
      <c r="J315" s="227">
        <f>IF(OR($C315="",$D315="",$G315="",$F315=""),0,$G315*IF($F315="Aylık",MAX(0,(YEAR(MIN(IF($E315="",TODAY()-8,$E315),TODAY()-8))-YEAR($D315))*12+MONTH(MIN(IF($E315="",TODAY()-8,$E315),TODAY()-8))-MONTH($D315)+IF(MIN(IF($E315="",TODAY()-8,$E315),TODAY()-8)&gt;=EOMONTH(MIN(IF($E315="",TODAY()-8,$E315),TODAY()-8),0),1,0)),MAX(0,INT((MIN(IF($E315="",TODAY()-8,$E315),TODAY()-8)-($D315+MOD(SISTEM!$F$8-WEEKDAY($D315,2),7)))/7)+1)))</f>
        <v/>
      </c>
      <c r="K315" s="227">
        <f>IF(OR($C315="",$D315="",$G315="",$F315=""),0,$G315*IF($F315="Aylık",MAX(0,(YEAR(MIN(IF($E315="",TODAY()-15,$E315),TODAY()-15))-YEAR($D315))*12+MONTH(MIN(IF($E315="",TODAY()-15,$E315),TODAY()-15))-MONTH($D315)+IF(MIN(IF($E315="",TODAY()-15,$E315),TODAY()-15)&gt;=EOMONTH(MIN(IF($E315="",TODAY()-15,$E315),TODAY()-15),0),1,0)),MAX(0,INT((MIN(IF($E315="",TODAY()-15,$E315),TODAY()-15)-($D315+MOD(SISTEM!$F$8-WEEKDAY($D315,2),7)))/7)+1)))</f>
        <v/>
      </c>
      <c r="L315" s="227">
        <f>IF(OR($C315="",$D315="",$G315="",$F315=""),0,$G315*IF($F315="Aylık",MAX(0,(YEAR(MIN(IF($E315="",TODAY()-29,$E315),TODAY()-29))-YEAR($D315))*12+MONTH(MIN(IF($E315="",TODAY()-29,$E315),TODAY()-29))-MONTH($D315)+IF(MIN(IF($E315="",TODAY()-29,$E315),TODAY()-29)&gt;=EOMONTH(MIN(IF($E315="",TODAY()-29,$E315),TODAY()-29),0),1,0)),MAX(0,INT((MIN(IF($E315="",TODAY()-29,$E315),TODAY()-29)-($D315+MOD(SISTEM!$F$8-WEEKDAY($D315,2),7)))/7)+1)))</f>
        <v/>
      </c>
      <c r="M315" s="228">
        <f>IF($G315&gt;0,$I315/$G315,0)</f>
        <v/>
      </c>
      <c r="N315" s="113">
        <f>IF($C315="","",IF($B315="TANIMSIZ MÜŞTERİ","TANIMSIZ MÜŞTERİ",IF($F315="","MODEL SEÇİN",IF(OR($D315="",$G315&lt;=0),"EKSİK",IF(AND($E315&lt;&gt;"",$E315&lt;$D315),"TARİH HATASI",IF($H315="Pasif","KAPALI DÖNEM","UYGUN"))))))</f>
        <v/>
      </c>
      <c r="O315" s="229">
        <f>IF(OR($C315="",$D315="",$F315=""),"",IF($F315="Aylık",EOMONTH($D315,0),($D315+MOD(SISTEM!$F$8-WEEKDAY($D315,2),7))))</f>
        <v/>
      </c>
      <c r="P315" s="109" t="n"/>
      <c r="Q315" s="6" t="n"/>
      <c r="R315" s="6" t="n"/>
      <c r="S315" s="3">
        <f>IF($B315="","",$B315&amp;"|"&amp;COUNTIFS($B$7:$B315,$B315))</f>
        <v/>
      </c>
    </row>
    <row r="316">
      <c r="A316" s="6" t="n"/>
      <c r="B316" s="113">
        <f>IF($C316="","",IFERROR(INDEX(MUSTERILER!$B$7:$B$106,MATCH($C316,MUSTERILER!$C$7:$C$106,0)),IFERROR(INDEX(MUSTERILER!$B$7:$B$106,MATCH($C316,MUSTERILER!$B$7:$B$106,0)),IFERROR(INDEX(MUSTERILER!$B$7:$B$106,MATCH($C316&amp;"*",MUSTERILER!$C$7:$C$106,0)),"TANIMSIZ MÜŞTERİ"))))</f>
        <v/>
      </c>
      <c r="C316" s="109" t="n"/>
      <c r="D316" s="225" t="n"/>
      <c r="E316" s="225" t="n"/>
      <c r="F316" s="108" t="n"/>
      <c r="G316" s="226" t="n"/>
      <c r="H316" s="108" t="n"/>
      <c r="I316" s="227">
        <f>IF(OR($C316="",$D316="",$G316="",$F316=""),0,$G316*IF($F316="Aylık",MAX(0,(YEAR(MIN(IF($E316="",TODAY(),$E316),TODAY()))-YEAR($D316))*12+MONTH(MIN(IF($E316="",TODAY(),$E316),TODAY()))-MONTH($D316)+IF(MIN(IF($E316="",TODAY(),$E316),TODAY())&gt;=EOMONTH(MIN(IF($E316="",TODAY(),$E316),TODAY()),0),1,0)),MAX(0,INT((MIN(IF($E316="",TODAY(),$E316),TODAY())-($D316+MOD(SISTEM!$F$8-WEEKDAY($D316,2),7)))/7)+1)))</f>
        <v/>
      </c>
      <c r="J316" s="227">
        <f>IF(OR($C316="",$D316="",$G316="",$F316=""),0,$G316*IF($F316="Aylık",MAX(0,(YEAR(MIN(IF($E316="",TODAY()-8,$E316),TODAY()-8))-YEAR($D316))*12+MONTH(MIN(IF($E316="",TODAY()-8,$E316),TODAY()-8))-MONTH($D316)+IF(MIN(IF($E316="",TODAY()-8,$E316),TODAY()-8)&gt;=EOMONTH(MIN(IF($E316="",TODAY()-8,$E316),TODAY()-8),0),1,0)),MAX(0,INT((MIN(IF($E316="",TODAY()-8,$E316),TODAY()-8)-($D316+MOD(SISTEM!$F$8-WEEKDAY($D316,2),7)))/7)+1)))</f>
        <v/>
      </c>
      <c r="K316" s="227">
        <f>IF(OR($C316="",$D316="",$G316="",$F316=""),0,$G316*IF($F316="Aylık",MAX(0,(YEAR(MIN(IF($E316="",TODAY()-15,$E316),TODAY()-15))-YEAR($D316))*12+MONTH(MIN(IF($E316="",TODAY()-15,$E316),TODAY()-15))-MONTH($D316)+IF(MIN(IF($E316="",TODAY()-15,$E316),TODAY()-15)&gt;=EOMONTH(MIN(IF($E316="",TODAY()-15,$E316),TODAY()-15),0),1,0)),MAX(0,INT((MIN(IF($E316="",TODAY()-15,$E316),TODAY()-15)-($D316+MOD(SISTEM!$F$8-WEEKDAY($D316,2),7)))/7)+1)))</f>
        <v/>
      </c>
      <c r="L316" s="227">
        <f>IF(OR($C316="",$D316="",$G316="",$F316=""),0,$G316*IF($F316="Aylık",MAX(0,(YEAR(MIN(IF($E316="",TODAY()-29,$E316),TODAY()-29))-YEAR($D316))*12+MONTH(MIN(IF($E316="",TODAY()-29,$E316),TODAY()-29))-MONTH($D316)+IF(MIN(IF($E316="",TODAY()-29,$E316),TODAY()-29)&gt;=EOMONTH(MIN(IF($E316="",TODAY()-29,$E316),TODAY()-29),0),1,0)),MAX(0,INT((MIN(IF($E316="",TODAY()-29,$E316),TODAY()-29)-($D316+MOD(SISTEM!$F$8-WEEKDAY($D316,2),7)))/7)+1)))</f>
        <v/>
      </c>
      <c r="M316" s="228">
        <f>IF($G316&gt;0,$I316/$G316,0)</f>
        <v/>
      </c>
      <c r="N316" s="113">
        <f>IF($C316="","",IF($B316="TANIMSIZ MÜŞTERİ","TANIMSIZ MÜŞTERİ",IF($F316="","MODEL SEÇİN",IF(OR($D316="",$G316&lt;=0),"EKSİK",IF(AND($E316&lt;&gt;"",$E316&lt;$D316),"TARİH HATASI",IF($H316="Pasif","KAPALI DÖNEM","UYGUN"))))))</f>
        <v/>
      </c>
      <c r="O316" s="229">
        <f>IF(OR($C316="",$D316="",$F316=""),"",IF($F316="Aylık",EOMONTH($D316,0),($D316+MOD(SISTEM!$F$8-WEEKDAY($D316,2),7))))</f>
        <v/>
      </c>
      <c r="P316" s="109" t="n"/>
      <c r="Q316" s="6" t="n"/>
      <c r="R316" s="6" t="n"/>
      <c r="S316" s="3">
        <f>IF($B316="","",$B316&amp;"|"&amp;COUNTIFS($B$7:$B316,$B316))</f>
        <v/>
      </c>
    </row>
    <row r="317">
      <c r="A317" s="6" t="n"/>
      <c r="B317" s="113">
        <f>IF($C317="","",IFERROR(INDEX(MUSTERILER!$B$7:$B$106,MATCH($C317,MUSTERILER!$C$7:$C$106,0)),IFERROR(INDEX(MUSTERILER!$B$7:$B$106,MATCH($C317,MUSTERILER!$B$7:$B$106,0)),IFERROR(INDEX(MUSTERILER!$B$7:$B$106,MATCH($C317&amp;"*",MUSTERILER!$C$7:$C$106,0)),"TANIMSIZ MÜŞTERİ"))))</f>
        <v/>
      </c>
      <c r="C317" s="109" t="n"/>
      <c r="D317" s="225" t="n"/>
      <c r="E317" s="225" t="n"/>
      <c r="F317" s="108" t="n"/>
      <c r="G317" s="226" t="n"/>
      <c r="H317" s="108" t="n"/>
      <c r="I317" s="227">
        <f>IF(OR($C317="",$D317="",$G317="",$F317=""),0,$G317*IF($F317="Aylık",MAX(0,(YEAR(MIN(IF($E317="",TODAY(),$E317),TODAY()))-YEAR($D317))*12+MONTH(MIN(IF($E317="",TODAY(),$E317),TODAY()))-MONTH($D317)+IF(MIN(IF($E317="",TODAY(),$E317),TODAY())&gt;=EOMONTH(MIN(IF($E317="",TODAY(),$E317),TODAY()),0),1,0)),MAX(0,INT((MIN(IF($E317="",TODAY(),$E317),TODAY())-($D317+MOD(SISTEM!$F$8-WEEKDAY($D317,2),7)))/7)+1)))</f>
        <v/>
      </c>
      <c r="J317" s="227">
        <f>IF(OR($C317="",$D317="",$G317="",$F317=""),0,$G317*IF($F317="Aylık",MAX(0,(YEAR(MIN(IF($E317="",TODAY()-8,$E317),TODAY()-8))-YEAR($D317))*12+MONTH(MIN(IF($E317="",TODAY()-8,$E317),TODAY()-8))-MONTH($D317)+IF(MIN(IF($E317="",TODAY()-8,$E317),TODAY()-8)&gt;=EOMONTH(MIN(IF($E317="",TODAY()-8,$E317),TODAY()-8),0),1,0)),MAX(0,INT((MIN(IF($E317="",TODAY()-8,$E317),TODAY()-8)-($D317+MOD(SISTEM!$F$8-WEEKDAY($D317,2),7)))/7)+1)))</f>
        <v/>
      </c>
      <c r="K317" s="227">
        <f>IF(OR($C317="",$D317="",$G317="",$F317=""),0,$G317*IF($F317="Aylık",MAX(0,(YEAR(MIN(IF($E317="",TODAY()-15,$E317),TODAY()-15))-YEAR($D317))*12+MONTH(MIN(IF($E317="",TODAY()-15,$E317),TODAY()-15))-MONTH($D317)+IF(MIN(IF($E317="",TODAY()-15,$E317),TODAY()-15)&gt;=EOMONTH(MIN(IF($E317="",TODAY()-15,$E317),TODAY()-15),0),1,0)),MAX(0,INT((MIN(IF($E317="",TODAY()-15,$E317),TODAY()-15)-($D317+MOD(SISTEM!$F$8-WEEKDAY($D317,2),7)))/7)+1)))</f>
        <v/>
      </c>
      <c r="L317" s="227">
        <f>IF(OR($C317="",$D317="",$G317="",$F317=""),0,$G317*IF($F317="Aylık",MAX(0,(YEAR(MIN(IF($E317="",TODAY()-29,$E317),TODAY()-29))-YEAR($D317))*12+MONTH(MIN(IF($E317="",TODAY()-29,$E317),TODAY()-29))-MONTH($D317)+IF(MIN(IF($E317="",TODAY()-29,$E317),TODAY()-29)&gt;=EOMONTH(MIN(IF($E317="",TODAY()-29,$E317),TODAY()-29),0),1,0)),MAX(0,INT((MIN(IF($E317="",TODAY()-29,$E317),TODAY()-29)-($D317+MOD(SISTEM!$F$8-WEEKDAY($D317,2),7)))/7)+1)))</f>
        <v/>
      </c>
      <c r="M317" s="228">
        <f>IF($G317&gt;0,$I317/$G317,0)</f>
        <v/>
      </c>
      <c r="N317" s="113">
        <f>IF($C317="","",IF($B317="TANIMSIZ MÜŞTERİ","TANIMSIZ MÜŞTERİ",IF($F317="","MODEL SEÇİN",IF(OR($D317="",$G317&lt;=0),"EKSİK",IF(AND($E317&lt;&gt;"",$E317&lt;$D317),"TARİH HATASI",IF($H317="Pasif","KAPALI DÖNEM","UYGUN"))))))</f>
        <v/>
      </c>
      <c r="O317" s="229">
        <f>IF(OR($C317="",$D317="",$F317=""),"",IF($F317="Aylık",EOMONTH($D317,0),($D317+MOD(SISTEM!$F$8-WEEKDAY($D317,2),7))))</f>
        <v/>
      </c>
      <c r="P317" s="109" t="n"/>
      <c r="Q317" s="6" t="n"/>
      <c r="R317" s="6" t="n"/>
      <c r="S317" s="3">
        <f>IF($B317="","",$B317&amp;"|"&amp;COUNTIFS($B$7:$B317,$B317))</f>
        <v/>
      </c>
    </row>
    <row r="318">
      <c r="A318" s="6" t="n"/>
      <c r="B318" s="113">
        <f>IF($C318="","",IFERROR(INDEX(MUSTERILER!$B$7:$B$106,MATCH($C318,MUSTERILER!$C$7:$C$106,0)),IFERROR(INDEX(MUSTERILER!$B$7:$B$106,MATCH($C318,MUSTERILER!$B$7:$B$106,0)),IFERROR(INDEX(MUSTERILER!$B$7:$B$106,MATCH($C318&amp;"*",MUSTERILER!$C$7:$C$106,0)),"TANIMSIZ MÜŞTERİ"))))</f>
        <v/>
      </c>
      <c r="C318" s="109" t="n"/>
      <c r="D318" s="225" t="n"/>
      <c r="E318" s="225" t="n"/>
      <c r="F318" s="108" t="n"/>
      <c r="G318" s="226" t="n"/>
      <c r="H318" s="108" t="n"/>
      <c r="I318" s="227">
        <f>IF(OR($C318="",$D318="",$G318="",$F318=""),0,$G318*IF($F318="Aylık",MAX(0,(YEAR(MIN(IF($E318="",TODAY(),$E318),TODAY()))-YEAR($D318))*12+MONTH(MIN(IF($E318="",TODAY(),$E318),TODAY()))-MONTH($D318)+IF(MIN(IF($E318="",TODAY(),$E318),TODAY())&gt;=EOMONTH(MIN(IF($E318="",TODAY(),$E318),TODAY()),0),1,0)),MAX(0,INT((MIN(IF($E318="",TODAY(),$E318),TODAY())-($D318+MOD(SISTEM!$F$8-WEEKDAY($D318,2),7)))/7)+1)))</f>
        <v/>
      </c>
      <c r="J318" s="227">
        <f>IF(OR($C318="",$D318="",$G318="",$F318=""),0,$G318*IF($F318="Aylık",MAX(0,(YEAR(MIN(IF($E318="",TODAY()-8,$E318),TODAY()-8))-YEAR($D318))*12+MONTH(MIN(IF($E318="",TODAY()-8,$E318),TODAY()-8))-MONTH($D318)+IF(MIN(IF($E318="",TODAY()-8,$E318),TODAY()-8)&gt;=EOMONTH(MIN(IF($E318="",TODAY()-8,$E318),TODAY()-8),0),1,0)),MAX(0,INT((MIN(IF($E318="",TODAY()-8,$E318),TODAY()-8)-($D318+MOD(SISTEM!$F$8-WEEKDAY($D318,2),7)))/7)+1)))</f>
        <v/>
      </c>
      <c r="K318" s="227">
        <f>IF(OR($C318="",$D318="",$G318="",$F318=""),0,$G318*IF($F318="Aylık",MAX(0,(YEAR(MIN(IF($E318="",TODAY()-15,$E318),TODAY()-15))-YEAR($D318))*12+MONTH(MIN(IF($E318="",TODAY()-15,$E318),TODAY()-15))-MONTH($D318)+IF(MIN(IF($E318="",TODAY()-15,$E318),TODAY()-15)&gt;=EOMONTH(MIN(IF($E318="",TODAY()-15,$E318),TODAY()-15),0),1,0)),MAX(0,INT((MIN(IF($E318="",TODAY()-15,$E318),TODAY()-15)-($D318+MOD(SISTEM!$F$8-WEEKDAY($D318,2),7)))/7)+1)))</f>
        <v/>
      </c>
      <c r="L318" s="227">
        <f>IF(OR($C318="",$D318="",$G318="",$F318=""),0,$G318*IF($F318="Aylık",MAX(0,(YEAR(MIN(IF($E318="",TODAY()-29,$E318),TODAY()-29))-YEAR($D318))*12+MONTH(MIN(IF($E318="",TODAY()-29,$E318),TODAY()-29))-MONTH($D318)+IF(MIN(IF($E318="",TODAY()-29,$E318),TODAY()-29)&gt;=EOMONTH(MIN(IF($E318="",TODAY()-29,$E318),TODAY()-29),0),1,0)),MAX(0,INT((MIN(IF($E318="",TODAY()-29,$E318),TODAY()-29)-($D318+MOD(SISTEM!$F$8-WEEKDAY($D318,2),7)))/7)+1)))</f>
        <v/>
      </c>
      <c r="M318" s="228">
        <f>IF($G318&gt;0,$I318/$G318,0)</f>
        <v/>
      </c>
      <c r="N318" s="113">
        <f>IF($C318="","",IF($B318="TANIMSIZ MÜŞTERİ","TANIMSIZ MÜŞTERİ",IF($F318="","MODEL SEÇİN",IF(OR($D318="",$G318&lt;=0),"EKSİK",IF(AND($E318&lt;&gt;"",$E318&lt;$D318),"TARİH HATASI",IF($H318="Pasif","KAPALI DÖNEM","UYGUN"))))))</f>
        <v/>
      </c>
      <c r="O318" s="229">
        <f>IF(OR($C318="",$D318="",$F318=""),"",IF($F318="Aylık",EOMONTH($D318,0),($D318+MOD(SISTEM!$F$8-WEEKDAY($D318,2),7))))</f>
        <v/>
      </c>
      <c r="P318" s="109" t="n"/>
      <c r="Q318" s="6" t="n"/>
      <c r="R318" s="6" t="n"/>
      <c r="S318" s="3">
        <f>IF($B318="","",$B318&amp;"|"&amp;COUNTIFS($B$7:$B318,$B318))</f>
        <v/>
      </c>
    </row>
    <row r="319">
      <c r="A319" s="6" t="n"/>
      <c r="B319" s="113">
        <f>IF($C319="","",IFERROR(INDEX(MUSTERILER!$B$7:$B$106,MATCH($C319,MUSTERILER!$C$7:$C$106,0)),IFERROR(INDEX(MUSTERILER!$B$7:$B$106,MATCH($C319,MUSTERILER!$B$7:$B$106,0)),IFERROR(INDEX(MUSTERILER!$B$7:$B$106,MATCH($C319&amp;"*",MUSTERILER!$C$7:$C$106,0)),"TANIMSIZ MÜŞTERİ"))))</f>
        <v/>
      </c>
      <c r="C319" s="109" t="n"/>
      <c r="D319" s="225" t="n"/>
      <c r="E319" s="225" t="n"/>
      <c r="F319" s="108" t="n"/>
      <c r="G319" s="226" t="n"/>
      <c r="H319" s="108" t="n"/>
      <c r="I319" s="227">
        <f>IF(OR($C319="",$D319="",$G319="",$F319=""),0,$G319*IF($F319="Aylık",MAX(0,(YEAR(MIN(IF($E319="",TODAY(),$E319),TODAY()))-YEAR($D319))*12+MONTH(MIN(IF($E319="",TODAY(),$E319),TODAY()))-MONTH($D319)+IF(MIN(IF($E319="",TODAY(),$E319),TODAY())&gt;=EOMONTH(MIN(IF($E319="",TODAY(),$E319),TODAY()),0),1,0)),MAX(0,INT((MIN(IF($E319="",TODAY(),$E319),TODAY())-($D319+MOD(SISTEM!$F$8-WEEKDAY($D319,2),7)))/7)+1)))</f>
        <v/>
      </c>
      <c r="J319" s="227">
        <f>IF(OR($C319="",$D319="",$G319="",$F319=""),0,$G319*IF($F319="Aylık",MAX(0,(YEAR(MIN(IF($E319="",TODAY()-8,$E319),TODAY()-8))-YEAR($D319))*12+MONTH(MIN(IF($E319="",TODAY()-8,$E319),TODAY()-8))-MONTH($D319)+IF(MIN(IF($E319="",TODAY()-8,$E319),TODAY()-8)&gt;=EOMONTH(MIN(IF($E319="",TODAY()-8,$E319),TODAY()-8),0),1,0)),MAX(0,INT((MIN(IF($E319="",TODAY()-8,$E319),TODAY()-8)-($D319+MOD(SISTEM!$F$8-WEEKDAY($D319,2),7)))/7)+1)))</f>
        <v/>
      </c>
      <c r="K319" s="227">
        <f>IF(OR($C319="",$D319="",$G319="",$F319=""),0,$G319*IF($F319="Aylık",MAX(0,(YEAR(MIN(IF($E319="",TODAY()-15,$E319),TODAY()-15))-YEAR($D319))*12+MONTH(MIN(IF($E319="",TODAY()-15,$E319),TODAY()-15))-MONTH($D319)+IF(MIN(IF($E319="",TODAY()-15,$E319),TODAY()-15)&gt;=EOMONTH(MIN(IF($E319="",TODAY()-15,$E319),TODAY()-15),0),1,0)),MAX(0,INT((MIN(IF($E319="",TODAY()-15,$E319),TODAY()-15)-($D319+MOD(SISTEM!$F$8-WEEKDAY($D319,2),7)))/7)+1)))</f>
        <v/>
      </c>
      <c r="L319" s="227">
        <f>IF(OR($C319="",$D319="",$G319="",$F319=""),0,$G319*IF($F319="Aylık",MAX(0,(YEAR(MIN(IF($E319="",TODAY()-29,$E319),TODAY()-29))-YEAR($D319))*12+MONTH(MIN(IF($E319="",TODAY()-29,$E319),TODAY()-29))-MONTH($D319)+IF(MIN(IF($E319="",TODAY()-29,$E319),TODAY()-29)&gt;=EOMONTH(MIN(IF($E319="",TODAY()-29,$E319),TODAY()-29),0),1,0)),MAX(0,INT((MIN(IF($E319="",TODAY()-29,$E319),TODAY()-29)-($D319+MOD(SISTEM!$F$8-WEEKDAY($D319,2),7)))/7)+1)))</f>
        <v/>
      </c>
      <c r="M319" s="228">
        <f>IF($G319&gt;0,$I319/$G319,0)</f>
        <v/>
      </c>
      <c r="N319" s="113">
        <f>IF($C319="","",IF($B319="TANIMSIZ MÜŞTERİ","TANIMSIZ MÜŞTERİ",IF($F319="","MODEL SEÇİN",IF(OR($D319="",$G319&lt;=0),"EKSİK",IF(AND($E319&lt;&gt;"",$E319&lt;$D319),"TARİH HATASI",IF($H319="Pasif","KAPALI DÖNEM","UYGUN"))))))</f>
        <v/>
      </c>
      <c r="O319" s="229">
        <f>IF(OR($C319="",$D319="",$F319=""),"",IF($F319="Aylık",EOMONTH($D319,0),($D319+MOD(SISTEM!$F$8-WEEKDAY($D319,2),7))))</f>
        <v/>
      </c>
      <c r="P319" s="109" t="n"/>
      <c r="Q319" s="6" t="n"/>
      <c r="R319" s="6" t="n"/>
      <c r="S319" s="3">
        <f>IF($B319="","",$B319&amp;"|"&amp;COUNTIFS($B$7:$B319,$B319))</f>
        <v/>
      </c>
    </row>
    <row r="320">
      <c r="A320" s="6" t="n"/>
      <c r="B320" s="113">
        <f>IF($C320="","",IFERROR(INDEX(MUSTERILER!$B$7:$B$106,MATCH($C320,MUSTERILER!$C$7:$C$106,0)),IFERROR(INDEX(MUSTERILER!$B$7:$B$106,MATCH($C320,MUSTERILER!$B$7:$B$106,0)),IFERROR(INDEX(MUSTERILER!$B$7:$B$106,MATCH($C320&amp;"*",MUSTERILER!$C$7:$C$106,0)),"TANIMSIZ MÜŞTERİ"))))</f>
        <v/>
      </c>
      <c r="C320" s="109" t="n"/>
      <c r="D320" s="225" t="n"/>
      <c r="E320" s="225" t="n"/>
      <c r="F320" s="108" t="n"/>
      <c r="G320" s="226" t="n"/>
      <c r="H320" s="108" t="n"/>
      <c r="I320" s="227">
        <f>IF(OR($C320="",$D320="",$G320="",$F320=""),0,$G320*IF($F320="Aylık",MAX(0,(YEAR(MIN(IF($E320="",TODAY(),$E320),TODAY()))-YEAR($D320))*12+MONTH(MIN(IF($E320="",TODAY(),$E320),TODAY()))-MONTH($D320)+IF(MIN(IF($E320="",TODAY(),$E320),TODAY())&gt;=EOMONTH(MIN(IF($E320="",TODAY(),$E320),TODAY()),0),1,0)),MAX(0,INT((MIN(IF($E320="",TODAY(),$E320),TODAY())-($D320+MOD(SISTEM!$F$8-WEEKDAY($D320,2),7)))/7)+1)))</f>
        <v/>
      </c>
      <c r="J320" s="227">
        <f>IF(OR($C320="",$D320="",$G320="",$F320=""),0,$G320*IF($F320="Aylık",MAX(0,(YEAR(MIN(IF($E320="",TODAY()-8,$E320),TODAY()-8))-YEAR($D320))*12+MONTH(MIN(IF($E320="",TODAY()-8,$E320),TODAY()-8))-MONTH($D320)+IF(MIN(IF($E320="",TODAY()-8,$E320),TODAY()-8)&gt;=EOMONTH(MIN(IF($E320="",TODAY()-8,$E320),TODAY()-8),0),1,0)),MAX(0,INT((MIN(IF($E320="",TODAY()-8,$E320),TODAY()-8)-($D320+MOD(SISTEM!$F$8-WEEKDAY($D320,2),7)))/7)+1)))</f>
        <v/>
      </c>
      <c r="K320" s="227">
        <f>IF(OR($C320="",$D320="",$G320="",$F320=""),0,$G320*IF($F320="Aylık",MAX(0,(YEAR(MIN(IF($E320="",TODAY()-15,$E320),TODAY()-15))-YEAR($D320))*12+MONTH(MIN(IF($E320="",TODAY()-15,$E320),TODAY()-15))-MONTH($D320)+IF(MIN(IF($E320="",TODAY()-15,$E320),TODAY()-15)&gt;=EOMONTH(MIN(IF($E320="",TODAY()-15,$E320),TODAY()-15),0),1,0)),MAX(0,INT((MIN(IF($E320="",TODAY()-15,$E320),TODAY()-15)-($D320+MOD(SISTEM!$F$8-WEEKDAY($D320,2),7)))/7)+1)))</f>
        <v/>
      </c>
      <c r="L320" s="227">
        <f>IF(OR($C320="",$D320="",$G320="",$F320=""),0,$G320*IF($F320="Aylık",MAX(0,(YEAR(MIN(IF($E320="",TODAY()-29,$E320),TODAY()-29))-YEAR($D320))*12+MONTH(MIN(IF($E320="",TODAY()-29,$E320),TODAY()-29))-MONTH($D320)+IF(MIN(IF($E320="",TODAY()-29,$E320),TODAY()-29)&gt;=EOMONTH(MIN(IF($E320="",TODAY()-29,$E320),TODAY()-29),0),1,0)),MAX(0,INT((MIN(IF($E320="",TODAY()-29,$E320),TODAY()-29)-($D320+MOD(SISTEM!$F$8-WEEKDAY($D320,2),7)))/7)+1)))</f>
        <v/>
      </c>
      <c r="M320" s="228">
        <f>IF($G320&gt;0,$I320/$G320,0)</f>
        <v/>
      </c>
      <c r="N320" s="113">
        <f>IF($C320="","",IF($B320="TANIMSIZ MÜŞTERİ","TANIMSIZ MÜŞTERİ",IF($F320="","MODEL SEÇİN",IF(OR($D320="",$G320&lt;=0),"EKSİK",IF(AND($E320&lt;&gt;"",$E320&lt;$D320),"TARİH HATASI",IF($H320="Pasif","KAPALI DÖNEM","UYGUN"))))))</f>
        <v/>
      </c>
      <c r="O320" s="229">
        <f>IF(OR($C320="",$D320="",$F320=""),"",IF($F320="Aylık",EOMONTH($D320,0),($D320+MOD(SISTEM!$F$8-WEEKDAY($D320,2),7))))</f>
        <v/>
      </c>
      <c r="P320" s="109" t="n"/>
      <c r="Q320" s="6" t="n"/>
      <c r="R320" s="6" t="n"/>
      <c r="S320" s="3">
        <f>IF($B320="","",$B320&amp;"|"&amp;COUNTIFS($B$7:$B320,$B320))</f>
        <v/>
      </c>
    </row>
    <row r="321">
      <c r="A321" s="6" t="n"/>
      <c r="B321" s="113">
        <f>IF($C321="","",IFERROR(INDEX(MUSTERILER!$B$7:$B$106,MATCH($C321,MUSTERILER!$C$7:$C$106,0)),IFERROR(INDEX(MUSTERILER!$B$7:$B$106,MATCH($C321,MUSTERILER!$B$7:$B$106,0)),IFERROR(INDEX(MUSTERILER!$B$7:$B$106,MATCH($C321&amp;"*",MUSTERILER!$C$7:$C$106,0)),"TANIMSIZ MÜŞTERİ"))))</f>
        <v/>
      </c>
      <c r="C321" s="109" t="n"/>
      <c r="D321" s="225" t="n"/>
      <c r="E321" s="225" t="n"/>
      <c r="F321" s="108" t="n"/>
      <c r="G321" s="226" t="n"/>
      <c r="H321" s="108" t="n"/>
      <c r="I321" s="227">
        <f>IF(OR($C321="",$D321="",$G321="",$F321=""),0,$G321*IF($F321="Aylık",MAX(0,(YEAR(MIN(IF($E321="",TODAY(),$E321),TODAY()))-YEAR($D321))*12+MONTH(MIN(IF($E321="",TODAY(),$E321),TODAY()))-MONTH($D321)+IF(MIN(IF($E321="",TODAY(),$E321),TODAY())&gt;=EOMONTH(MIN(IF($E321="",TODAY(),$E321),TODAY()),0),1,0)),MAX(0,INT((MIN(IF($E321="",TODAY(),$E321),TODAY())-($D321+MOD(SISTEM!$F$8-WEEKDAY($D321,2),7)))/7)+1)))</f>
        <v/>
      </c>
      <c r="J321" s="227">
        <f>IF(OR($C321="",$D321="",$G321="",$F321=""),0,$G321*IF($F321="Aylık",MAX(0,(YEAR(MIN(IF($E321="",TODAY()-8,$E321),TODAY()-8))-YEAR($D321))*12+MONTH(MIN(IF($E321="",TODAY()-8,$E321),TODAY()-8))-MONTH($D321)+IF(MIN(IF($E321="",TODAY()-8,$E321),TODAY()-8)&gt;=EOMONTH(MIN(IF($E321="",TODAY()-8,$E321),TODAY()-8),0),1,0)),MAX(0,INT((MIN(IF($E321="",TODAY()-8,$E321),TODAY()-8)-($D321+MOD(SISTEM!$F$8-WEEKDAY($D321,2),7)))/7)+1)))</f>
        <v/>
      </c>
      <c r="K321" s="227">
        <f>IF(OR($C321="",$D321="",$G321="",$F321=""),0,$G321*IF($F321="Aylık",MAX(0,(YEAR(MIN(IF($E321="",TODAY()-15,$E321),TODAY()-15))-YEAR($D321))*12+MONTH(MIN(IF($E321="",TODAY()-15,$E321),TODAY()-15))-MONTH($D321)+IF(MIN(IF($E321="",TODAY()-15,$E321),TODAY()-15)&gt;=EOMONTH(MIN(IF($E321="",TODAY()-15,$E321),TODAY()-15),0),1,0)),MAX(0,INT((MIN(IF($E321="",TODAY()-15,$E321),TODAY()-15)-($D321+MOD(SISTEM!$F$8-WEEKDAY($D321,2),7)))/7)+1)))</f>
        <v/>
      </c>
      <c r="L321" s="227">
        <f>IF(OR($C321="",$D321="",$G321="",$F321=""),0,$G321*IF($F321="Aylık",MAX(0,(YEAR(MIN(IF($E321="",TODAY()-29,$E321),TODAY()-29))-YEAR($D321))*12+MONTH(MIN(IF($E321="",TODAY()-29,$E321),TODAY()-29))-MONTH($D321)+IF(MIN(IF($E321="",TODAY()-29,$E321),TODAY()-29)&gt;=EOMONTH(MIN(IF($E321="",TODAY()-29,$E321),TODAY()-29),0),1,0)),MAX(0,INT((MIN(IF($E321="",TODAY()-29,$E321),TODAY()-29)-($D321+MOD(SISTEM!$F$8-WEEKDAY($D321,2),7)))/7)+1)))</f>
        <v/>
      </c>
      <c r="M321" s="228">
        <f>IF($G321&gt;0,$I321/$G321,0)</f>
        <v/>
      </c>
      <c r="N321" s="113">
        <f>IF($C321="","",IF($B321="TANIMSIZ MÜŞTERİ","TANIMSIZ MÜŞTERİ",IF($F321="","MODEL SEÇİN",IF(OR($D321="",$G321&lt;=0),"EKSİK",IF(AND($E321&lt;&gt;"",$E321&lt;$D321),"TARİH HATASI",IF($H321="Pasif","KAPALI DÖNEM","UYGUN"))))))</f>
        <v/>
      </c>
      <c r="O321" s="229">
        <f>IF(OR($C321="",$D321="",$F321=""),"",IF($F321="Aylık",EOMONTH($D321,0),($D321+MOD(SISTEM!$F$8-WEEKDAY($D321,2),7))))</f>
        <v/>
      </c>
      <c r="P321" s="109" t="n"/>
      <c r="Q321" s="6" t="n"/>
      <c r="R321" s="6" t="n"/>
      <c r="S321" s="3">
        <f>IF($B321="","",$B321&amp;"|"&amp;COUNTIFS($B$7:$B321,$B321))</f>
        <v/>
      </c>
    </row>
    <row r="322">
      <c r="A322" s="6" t="n"/>
      <c r="B322" s="113">
        <f>IF($C322="","",IFERROR(INDEX(MUSTERILER!$B$7:$B$106,MATCH($C322,MUSTERILER!$C$7:$C$106,0)),IFERROR(INDEX(MUSTERILER!$B$7:$B$106,MATCH($C322,MUSTERILER!$B$7:$B$106,0)),IFERROR(INDEX(MUSTERILER!$B$7:$B$106,MATCH($C322&amp;"*",MUSTERILER!$C$7:$C$106,0)),"TANIMSIZ MÜŞTERİ"))))</f>
        <v/>
      </c>
      <c r="C322" s="109" t="n"/>
      <c r="D322" s="225" t="n"/>
      <c r="E322" s="225" t="n"/>
      <c r="F322" s="108" t="n"/>
      <c r="G322" s="226" t="n"/>
      <c r="H322" s="108" t="n"/>
      <c r="I322" s="227">
        <f>IF(OR($C322="",$D322="",$G322="",$F322=""),0,$G322*IF($F322="Aylık",MAX(0,(YEAR(MIN(IF($E322="",TODAY(),$E322),TODAY()))-YEAR($D322))*12+MONTH(MIN(IF($E322="",TODAY(),$E322),TODAY()))-MONTH($D322)+IF(MIN(IF($E322="",TODAY(),$E322),TODAY())&gt;=EOMONTH(MIN(IF($E322="",TODAY(),$E322),TODAY()),0),1,0)),MAX(0,INT((MIN(IF($E322="",TODAY(),$E322),TODAY())-($D322+MOD(SISTEM!$F$8-WEEKDAY($D322,2),7)))/7)+1)))</f>
        <v/>
      </c>
      <c r="J322" s="227">
        <f>IF(OR($C322="",$D322="",$G322="",$F322=""),0,$G322*IF($F322="Aylık",MAX(0,(YEAR(MIN(IF($E322="",TODAY()-8,$E322),TODAY()-8))-YEAR($D322))*12+MONTH(MIN(IF($E322="",TODAY()-8,$E322),TODAY()-8))-MONTH($D322)+IF(MIN(IF($E322="",TODAY()-8,$E322),TODAY()-8)&gt;=EOMONTH(MIN(IF($E322="",TODAY()-8,$E322),TODAY()-8),0),1,0)),MAX(0,INT((MIN(IF($E322="",TODAY()-8,$E322),TODAY()-8)-($D322+MOD(SISTEM!$F$8-WEEKDAY($D322,2),7)))/7)+1)))</f>
        <v/>
      </c>
      <c r="K322" s="227">
        <f>IF(OR($C322="",$D322="",$G322="",$F322=""),0,$G322*IF($F322="Aylık",MAX(0,(YEAR(MIN(IF($E322="",TODAY()-15,$E322),TODAY()-15))-YEAR($D322))*12+MONTH(MIN(IF($E322="",TODAY()-15,$E322),TODAY()-15))-MONTH($D322)+IF(MIN(IF($E322="",TODAY()-15,$E322),TODAY()-15)&gt;=EOMONTH(MIN(IF($E322="",TODAY()-15,$E322),TODAY()-15),0),1,0)),MAX(0,INT((MIN(IF($E322="",TODAY()-15,$E322),TODAY()-15)-($D322+MOD(SISTEM!$F$8-WEEKDAY($D322,2),7)))/7)+1)))</f>
        <v/>
      </c>
      <c r="L322" s="227">
        <f>IF(OR($C322="",$D322="",$G322="",$F322=""),0,$G322*IF($F322="Aylık",MAX(0,(YEAR(MIN(IF($E322="",TODAY()-29,$E322),TODAY()-29))-YEAR($D322))*12+MONTH(MIN(IF($E322="",TODAY()-29,$E322),TODAY()-29))-MONTH($D322)+IF(MIN(IF($E322="",TODAY()-29,$E322),TODAY()-29)&gt;=EOMONTH(MIN(IF($E322="",TODAY()-29,$E322),TODAY()-29),0),1,0)),MAX(0,INT((MIN(IF($E322="",TODAY()-29,$E322),TODAY()-29)-($D322+MOD(SISTEM!$F$8-WEEKDAY($D322,2),7)))/7)+1)))</f>
        <v/>
      </c>
      <c r="M322" s="228">
        <f>IF($G322&gt;0,$I322/$G322,0)</f>
        <v/>
      </c>
      <c r="N322" s="113">
        <f>IF($C322="","",IF($B322="TANIMSIZ MÜŞTERİ","TANIMSIZ MÜŞTERİ",IF($F322="","MODEL SEÇİN",IF(OR($D322="",$G322&lt;=0),"EKSİK",IF(AND($E322&lt;&gt;"",$E322&lt;$D322),"TARİH HATASI",IF($H322="Pasif","KAPALI DÖNEM","UYGUN"))))))</f>
        <v/>
      </c>
      <c r="O322" s="229">
        <f>IF(OR($C322="",$D322="",$F322=""),"",IF($F322="Aylık",EOMONTH($D322,0),($D322+MOD(SISTEM!$F$8-WEEKDAY($D322,2),7))))</f>
        <v/>
      </c>
      <c r="P322" s="109" t="n"/>
      <c r="Q322" s="6" t="n"/>
      <c r="R322" s="6" t="n"/>
      <c r="S322" s="3">
        <f>IF($B322="","",$B322&amp;"|"&amp;COUNTIFS($B$7:$B322,$B322))</f>
        <v/>
      </c>
    </row>
    <row r="323">
      <c r="A323" s="6" t="n"/>
      <c r="B323" s="113">
        <f>IF($C323="","",IFERROR(INDEX(MUSTERILER!$B$7:$B$106,MATCH($C323,MUSTERILER!$C$7:$C$106,0)),IFERROR(INDEX(MUSTERILER!$B$7:$B$106,MATCH($C323,MUSTERILER!$B$7:$B$106,0)),IFERROR(INDEX(MUSTERILER!$B$7:$B$106,MATCH($C323&amp;"*",MUSTERILER!$C$7:$C$106,0)),"TANIMSIZ MÜŞTERİ"))))</f>
        <v/>
      </c>
      <c r="C323" s="109" t="n"/>
      <c r="D323" s="225" t="n"/>
      <c r="E323" s="225" t="n"/>
      <c r="F323" s="108" t="n"/>
      <c r="G323" s="226" t="n"/>
      <c r="H323" s="108" t="n"/>
      <c r="I323" s="227">
        <f>IF(OR($C323="",$D323="",$G323="",$F323=""),0,$G323*IF($F323="Aylık",MAX(0,(YEAR(MIN(IF($E323="",TODAY(),$E323),TODAY()))-YEAR($D323))*12+MONTH(MIN(IF($E323="",TODAY(),$E323),TODAY()))-MONTH($D323)+IF(MIN(IF($E323="",TODAY(),$E323),TODAY())&gt;=EOMONTH(MIN(IF($E323="",TODAY(),$E323),TODAY()),0),1,0)),MAX(0,INT((MIN(IF($E323="",TODAY(),$E323),TODAY())-($D323+MOD(SISTEM!$F$8-WEEKDAY($D323,2),7)))/7)+1)))</f>
        <v/>
      </c>
      <c r="J323" s="227">
        <f>IF(OR($C323="",$D323="",$G323="",$F323=""),0,$G323*IF($F323="Aylık",MAX(0,(YEAR(MIN(IF($E323="",TODAY()-8,$E323),TODAY()-8))-YEAR($D323))*12+MONTH(MIN(IF($E323="",TODAY()-8,$E323),TODAY()-8))-MONTH($D323)+IF(MIN(IF($E323="",TODAY()-8,$E323),TODAY()-8)&gt;=EOMONTH(MIN(IF($E323="",TODAY()-8,$E323),TODAY()-8),0),1,0)),MAX(0,INT((MIN(IF($E323="",TODAY()-8,$E323),TODAY()-8)-($D323+MOD(SISTEM!$F$8-WEEKDAY($D323,2),7)))/7)+1)))</f>
        <v/>
      </c>
      <c r="K323" s="227">
        <f>IF(OR($C323="",$D323="",$G323="",$F323=""),0,$G323*IF($F323="Aylık",MAX(0,(YEAR(MIN(IF($E323="",TODAY()-15,$E323),TODAY()-15))-YEAR($D323))*12+MONTH(MIN(IF($E323="",TODAY()-15,$E323),TODAY()-15))-MONTH($D323)+IF(MIN(IF($E323="",TODAY()-15,$E323),TODAY()-15)&gt;=EOMONTH(MIN(IF($E323="",TODAY()-15,$E323),TODAY()-15),0),1,0)),MAX(0,INT((MIN(IF($E323="",TODAY()-15,$E323),TODAY()-15)-($D323+MOD(SISTEM!$F$8-WEEKDAY($D323,2),7)))/7)+1)))</f>
        <v/>
      </c>
      <c r="L323" s="227">
        <f>IF(OR($C323="",$D323="",$G323="",$F323=""),0,$G323*IF($F323="Aylık",MAX(0,(YEAR(MIN(IF($E323="",TODAY()-29,$E323),TODAY()-29))-YEAR($D323))*12+MONTH(MIN(IF($E323="",TODAY()-29,$E323),TODAY()-29))-MONTH($D323)+IF(MIN(IF($E323="",TODAY()-29,$E323),TODAY()-29)&gt;=EOMONTH(MIN(IF($E323="",TODAY()-29,$E323),TODAY()-29),0),1,0)),MAX(0,INT((MIN(IF($E323="",TODAY()-29,$E323),TODAY()-29)-($D323+MOD(SISTEM!$F$8-WEEKDAY($D323,2),7)))/7)+1)))</f>
        <v/>
      </c>
      <c r="M323" s="228">
        <f>IF($G323&gt;0,$I323/$G323,0)</f>
        <v/>
      </c>
      <c r="N323" s="113">
        <f>IF($C323="","",IF($B323="TANIMSIZ MÜŞTERİ","TANIMSIZ MÜŞTERİ",IF($F323="","MODEL SEÇİN",IF(OR($D323="",$G323&lt;=0),"EKSİK",IF(AND($E323&lt;&gt;"",$E323&lt;$D323),"TARİH HATASI",IF($H323="Pasif","KAPALI DÖNEM","UYGUN"))))))</f>
        <v/>
      </c>
      <c r="O323" s="229">
        <f>IF(OR($C323="",$D323="",$F323=""),"",IF($F323="Aylık",EOMONTH($D323,0),($D323+MOD(SISTEM!$F$8-WEEKDAY($D323,2),7))))</f>
        <v/>
      </c>
      <c r="P323" s="109" t="n"/>
      <c r="Q323" s="6" t="n"/>
      <c r="R323" s="6" t="n"/>
      <c r="S323" s="3">
        <f>IF($B323="","",$B323&amp;"|"&amp;COUNTIFS($B$7:$B323,$B323))</f>
        <v/>
      </c>
    </row>
    <row r="324">
      <c r="A324" s="6" t="n"/>
      <c r="B324" s="113">
        <f>IF($C324="","",IFERROR(INDEX(MUSTERILER!$B$7:$B$106,MATCH($C324,MUSTERILER!$C$7:$C$106,0)),IFERROR(INDEX(MUSTERILER!$B$7:$B$106,MATCH($C324,MUSTERILER!$B$7:$B$106,0)),IFERROR(INDEX(MUSTERILER!$B$7:$B$106,MATCH($C324&amp;"*",MUSTERILER!$C$7:$C$106,0)),"TANIMSIZ MÜŞTERİ"))))</f>
        <v/>
      </c>
      <c r="C324" s="109" t="n"/>
      <c r="D324" s="225" t="n"/>
      <c r="E324" s="225" t="n"/>
      <c r="F324" s="108" t="n"/>
      <c r="G324" s="226" t="n"/>
      <c r="H324" s="108" t="n"/>
      <c r="I324" s="227">
        <f>IF(OR($C324="",$D324="",$G324="",$F324=""),0,$G324*IF($F324="Aylık",MAX(0,(YEAR(MIN(IF($E324="",TODAY(),$E324),TODAY()))-YEAR($D324))*12+MONTH(MIN(IF($E324="",TODAY(),$E324),TODAY()))-MONTH($D324)+IF(MIN(IF($E324="",TODAY(),$E324),TODAY())&gt;=EOMONTH(MIN(IF($E324="",TODAY(),$E324),TODAY()),0),1,0)),MAX(0,INT((MIN(IF($E324="",TODAY(),$E324),TODAY())-($D324+MOD(SISTEM!$F$8-WEEKDAY($D324,2),7)))/7)+1)))</f>
        <v/>
      </c>
      <c r="J324" s="227">
        <f>IF(OR($C324="",$D324="",$G324="",$F324=""),0,$G324*IF($F324="Aylık",MAX(0,(YEAR(MIN(IF($E324="",TODAY()-8,$E324),TODAY()-8))-YEAR($D324))*12+MONTH(MIN(IF($E324="",TODAY()-8,$E324),TODAY()-8))-MONTH($D324)+IF(MIN(IF($E324="",TODAY()-8,$E324),TODAY()-8)&gt;=EOMONTH(MIN(IF($E324="",TODAY()-8,$E324),TODAY()-8),0),1,0)),MAX(0,INT((MIN(IF($E324="",TODAY()-8,$E324),TODAY()-8)-($D324+MOD(SISTEM!$F$8-WEEKDAY($D324,2),7)))/7)+1)))</f>
        <v/>
      </c>
      <c r="K324" s="227">
        <f>IF(OR($C324="",$D324="",$G324="",$F324=""),0,$G324*IF($F324="Aylık",MAX(0,(YEAR(MIN(IF($E324="",TODAY()-15,$E324),TODAY()-15))-YEAR($D324))*12+MONTH(MIN(IF($E324="",TODAY()-15,$E324),TODAY()-15))-MONTH($D324)+IF(MIN(IF($E324="",TODAY()-15,$E324),TODAY()-15)&gt;=EOMONTH(MIN(IF($E324="",TODAY()-15,$E324),TODAY()-15),0),1,0)),MAX(0,INT((MIN(IF($E324="",TODAY()-15,$E324),TODAY()-15)-($D324+MOD(SISTEM!$F$8-WEEKDAY($D324,2),7)))/7)+1)))</f>
        <v/>
      </c>
      <c r="L324" s="227">
        <f>IF(OR($C324="",$D324="",$G324="",$F324=""),0,$G324*IF($F324="Aylık",MAX(0,(YEAR(MIN(IF($E324="",TODAY()-29,$E324),TODAY()-29))-YEAR($D324))*12+MONTH(MIN(IF($E324="",TODAY()-29,$E324),TODAY()-29))-MONTH($D324)+IF(MIN(IF($E324="",TODAY()-29,$E324),TODAY()-29)&gt;=EOMONTH(MIN(IF($E324="",TODAY()-29,$E324),TODAY()-29),0),1,0)),MAX(0,INT((MIN(IF($E324="",TODAY()-29,$E324),TODAY()-29)-($D324+MOD(SISTEM!$F$8-WEEKDAY($D324,2),7)))/7)+1)))</f>
        <v/>
      </c>
      <c r="M324" s="228">
        <f>IF($G324&gt;0,$I324/$G324,0)</f>
        <v/>
      </c>
      <c r="N324" s="113">
        <f>IF($C324="","",IF($B324="TANIMSIZ MÜŞTERİ","TANIMSIZ MÜŞTERİ",IF($F324="","MODEL SEÇİN",IF(OR($D324="",$G324&lt;=0),"EKSİK",IF(AND($E324&lt;&gt;"",$E324&lt;$D324),"TARİH HATASI",IF($H324="Pasif","KAPALI DÖNEM","UYGUN"))))))</f>
        <v/>
      </c>
      <c r="O324" s="229">
        <f>IF(OR($C324="",$D324="",$F324=""),"",IF($F324="Aylık",EOMONTH($D324,0),($D324+MOD(SISTEM!$F$8-WEEKDAY($D324,2),7))))</f>
        <v/>
      </c>
      <c r="P324" s="109" t="n"/>
      <c r="Q324" s="6" t="n"/>
      <c r="R324" s="6" t="n"/>
      <c r="S324" s="3">
        <f>IF($B324="","",$B324&amp;"|"&amp;COUNTIFS($B$7:$B324,$B324))</f>
        <v/>
      </c>
    </row>
    <row r="325">
      <c r="A325" s="6" t="n"/>
      <c r="B325" s="113">
        <f>IF($C325="","",IFERROR(INDEX(MUSTERILER!$B$7:$B$106,MATCH($C325,MUSTERILER!$C$7:$C$106,0)),IFERROR(INDEX(MUSTERILER!$B$7:$B$106,MATCH($C325,MUSTERILER!$B$7:$B$106,0)),IFERROR(INDEX(MUSTERILER!$B$7:$B$106,MATCH($C325&amp;"*",MUSTERILER!$C$7:$C$106,0)),"TANIMSIZ MÜŞTERİ"))))</f>
        <v/>
      </c>
      <c r="C325" s="109" t="n"/>
      <c r="D325" s="225" t="n"/>
      <c r="E325" s="225" t="n"/>
      <c r="F325" s="108" t="n"/>
      <c r="G325" s="226" t="n"/>
      <c r="H325" s="108" t="n"/>
      <c r="I325" s="227">
        <f>IF(OR($C325="",$D325="",$G325="",$F325=""),0,$G325*IF($F325="Aylık",MAX(0,(YEAR(MIN(IF($E325="",TODAY(),$E325),TODAY()))-YEAR($D325))*12+MONTH(MIN(IF($E325="",TODAY(),$E325),TODAY()))-MONTH($D325)+IF(MIN(IF($E325="",TODAY(),$E325),TODAY())&gt;=EOMONTH(MIN(IF($E325="",TODAY(),$E325),TODAY()),0),1,0)),MAX(0,INT((MIN(IF($E325="",TODAY(),$E325),TODAY())-($D325+MOD(SISTEM!$F$8-WEEKDAY($D325,2),7)))/7)+1)))</f>
        <v/>
      </c>
      <c r="J325" s="227">
        <f>IF(OR($C325="",$D325="",$G325="",$F325=""),0,$G325*IF($F325="Aylık",MAX(0,(YEAR(MIN(IF($E325="",TODAY()-8,$E325),TODAY()-8))-YEAR($D325))*12+MONTH(MIN(IF($E325="",TODAY()-8,$E325),TODAY()-8))-MONTH($D325)+IF(MIN(IF($E325="",TODAY()-8,$E325),TODAY()-8)&gt;=EOMONTH(MIN(IF($E325="",TODAY()-8,$E325),TODAY()-8),0),1,0)),MAX(0,INT((MIN(IF($E325="",TODAY()-8,$E325),TODAY()-8)-($D325+MOD(SISTEM!$F$8-WEEKDAY($D325,2),7)))/7)+1)))</f>
        <v/>
      </c>
      <c r="K325" s="227">
        <f>IF(OR($C325="",$D325="",$G325="",$F325=""),0,$G325*IF($F325="Aylık",MAX(0,(YEAR(MIN(IF($E325="",TODAY()-15,$E325),TODAY()-15))-YEAR($D325))*12+MONTH(MIN(IF($E325="",TODAY()-15,$E325),TODAY()-15))-MONTH($D325)+IF(MIN(IF($E325="",TODAY()-15,$E325),TODAY()-15)&gt;=EOMONTH(MIN(IF($E325="",TODAY()-15,$E325),TODAY()-15),0),1,0)),MAX(0,INT((MIN(IF($E325="",TODAY()-15,$E325),TODAY()-15)-($D325+MOD(SISTEM!$F$8-WEEKDAY($D325,2),7)))/7)+1)))</f>
        <v/>
      </c>
      <c r="L325" s="227">
        <f>IF(OR($C325="",$D325="",$G325="",$F325=""),0,$G325*IF($F325="Aylık",MAX(0,(YEAR(MIN(IF($E325="",TODAY()-29,$E325),TODAY()-29))-YEAR($D325))*12+MONTH(MIN(IF($E325="",TODAY()-29,$E325),TODAY()-29))-MONTH($D325)+IF(MIN(IF($E325="",TODAY()-29,$E325),TODAY()-29)&gt;=EOMONTH(MIN(IF($E325="",TODAY()-29,$E325),TODAY()-29),0),1,0)),MAX(0,INT((MIN(IF($E325="",TODAY()-29,$E325),TODAY()-29)-($D325+MOD(SISTEM!$F$8-WEEKDAY($D325,2),7)))/7)+1)))</f>
        <v/>
      </c>
      <c r="M325" s="228">
        <f>IF($G325&gt;0,$I325/$G325,0)</f>
        <v/>
      </c>
      <c r="N325" s="113">
        <f>IF($C325="","",IF($B325="TANIMSIZ MÜŞTERİ","TANIMSIZ MÜŞTERİ",IF($F325="","MODEL SEÇİN",IF(OR($D325="",$G325&lt;=0),"EKSİK",IF(AND($E325&lt;&gt;"",$E325&lt;$D325),"TARİH HATASI",IF($H325="Pasif","KAPALI DÖNEM","UYGUN"))))))</f>
        <v/>
      </c>
      <c r="O325" s="229">
        <f>IF(OR($C325="",$D325="",$F325=""),"",IF($F325="Aylık",EOMONTH($D325,0),($D325+MOD(SISTEM!$F$8-WEEKDAY($D325,2),7))))</f>
        <v/>
      </c>
      <c r="P325" s="109" t="n"/>
      <c r="Q325" s="6" t="n"/>
      <c r="R325" s="6" t="n"/>
      <c r="S325" s="3">
        <f>IF($B325="","",$B325&amp;"|"&amp;COUNTIFS($B$7:$B325,$B325))</f>
        <v/>
      </c>
    </row>
    <row r="326">
      <c r="A326" s="6" t="n"/>
      <c r="B326" s="113">
        <f>IF($C326="","",IFERROR(INDEX(MUSTERILER!$B$7:$B$106,MATCH($C326,MUSTERILER!$C$7:$C$106,0)),IFERROR(INDEX(MUSTERILER!$B$7:$B$106,MATCH($C326,MUSTERILER!$B$7:$B$106,0)),IFERROR(INDEX(MUSTERILER!$B$7:$B$106,MATCH($C326&amp;"*",MUSTERILER!$C$7:$C$106,0)),"TANIMSIZ MÜŞTERİ"))))</f>
        <v/>
      </c>
      <c r="C326" s="109" t="n"/>
      <c r="D326" s="225" t="n"/>
      <c r="E326" s="225" t="n"/>
      <c r="F326" s="108" t="n"/>
      <c r="G326" s="226" t="n"/>
      <c r="H326" s="108" t="n"/>
      <c r="I326" s="227">
        <f>IF(OR($C326="",$D326="",$G326="",$F326=""),0,$G326*IF($F326="Aylık",MAX(0,(YEAR(MIN(IF($E326="",TODAY(),$E326),TODAY()))-YEAR($D326))*12+MONTH(MIN(IF($E326="",TODAY(),$E326),TODAY()))-MONTH($D326)+IF(MIN(IF($E326="",TODAY(),$E326),TODAY())&gt;=EOMONTH(MIN(IF($E326="",TODAY(),$E326),TODAY()),0),1,0)),MAX(0,INT((MIN(IF($E326="",TODAY(),$E326),TODAY())-($D326+MOD(SISTEM!$F$8-WEEKDAY($D326,2),7)))/7)+1)))</f>
        <v/>
      </c>
      <c r="J326" s="227">
        <f>IF(OR($C326="",$D326="",$G326="",$F326=""),0,$G326*IF($F326="Aylık",MAX(0,(YEAR(MIN(IF($E326="",TODAY()-8,$E326),TODAY()-8))-YEAR($D326))*12+MONTH(MIN(IF($E326="",TODAY()-8,$E326),TODAY()-8))-MONTH($D326)+IF(MIN(IF($E326="",TODAY()-8,$E326),TODAY()-8)&gt;=EOMONTH(MIN(IF($E326="",TODAY()-8,$E326),TODAY()-8),0),1,0)),MAX(0,INT((MIN(IF($E326="",TODAY()-8,$E326),TODAY()-8)-($D326+MOD(SISTEM!$F$8-WEEKDAY($D326,2),7)))/7)+1)))</f>
        <v/>
      </c>
      <c r="K326" s="227">
        <f>IF(OR($C326="",$D326="",$G326="",$F326=""),0,$G326*IF($F326="Aylık",MAX(0,(YEAR(MIN(IF($E326="",TODAY()-15,$E326),TODAY()-15))-YEAR($D326))*12+MONTH(MIN(IF($E326="",TODAY()-15,$E326),TODAY()-15))-MONTH($D326)+IF(MIN(IF($E326="",TODAY()-15,$E326),TODAY()-15)&gt;=EOMONTH(MIN(IF($E326="",TODAY()-15,$E326),TODAY()-15),0),1,0)),MAX(0,INT((MIN(IF($E326="",TODAY()-15,$E326),TODAY()-15)-($D326+MOD(SISTEM!$F$8-WEEKDAY($D326,2),7)))/7)+1)))</f>
        <v/>
      </c>
      <c r="L326" s="227">
        <f>IF(OR($C326="",$D326="",$G326="",$F326=""),0,$G326*IF($F326="Aylık",MAX(0,(YEAR(MIN(IF($E326="",TODAY()-29,$E326),TODAY()-29))-YEAR($D326))*12+MONTH(MIN(IF($E326="",TODAY()-29,$E326),TODAY()-29))-MONTH($D326)+IF(MIN(IF($E326="",TODAY()-29,$E326),TODAY()-29)&gt;=EOMONTH(MIN(IF($E326="",TODAY()-29,$E326),TODAY()-29),0),1,0)),MAX(0,INT((MIN(IF($E326="",TODAY()-29,$E326),TODAY()-29)-($D326+MOD(SISTEM!$F$8-WEEKDAY($D326,2),7)))/7)+1)))</f>
        <v/>
      </c>
      <c r="M326" s="228">
        <f>IF($G326&gt;0,$I326/$G326,0)</f>
        <v/>
      </c>
      <c r="N326" s="113">
        <f>IF($C326="","",IF($B326="TANIMSIZ MÜŞTERİ","TANIMSIZ MÜŞTERİ",IF($F326="","MODEL SEÇİN",IF(OR($D326="",$G326&lt;=0),"EKSİK",IF(AND($E326&lt;&gt;"",$E326&lt;$D326),"TARİH HATASI",IF($H326="Pasif","KAPALI DÖNEM","UYGUN"))))))</f>
        <v/>
      </c>
      <c r="O326" s="229">
        <f>IF(OR($C326="",$D326="",$F326=""),"",IF($F326="Aylık",EOMONTH($D326,0),($D326+MOD(SISTEM!$F$8-WEEKDAY($D326,2),7))))</f>
        <v/>
      </c>
      <c r="P326" s="109" t="n"/>
      <c r="Q326" s="6" t="n"/>
      <c r="R326" s="6" t="n"/>
      <c r="S326" s="3">
        <f>IF($B326="","",$B326&amp;"|"&amp;COUNTIFS($B$7:$B326,$B326))</f>
        <v/>
      </c>
    </row>
    <row r="327">
      <c r="A327" s="6" t="n"/>
      <c r="B327" s="113">
        <f>IF($C327="","",IFERROR(INDEX(MUSTERILER!$B$7:$B$106,MATCH($C327,MUSTERILER!$C$7:$C$106,0)),IFERROR(INDEX(MUSTERILER!$B$7:$B$106,MATCH($C327,MUSTERILER!$B$7:$B$106,0)),IFERROR(INDEX(MUSTERILER!$B$7:$B$106,MATCH($C327&amp;"*",MUSTERILER!$C$7:$C$106,0)),"TANIMSIZ MÜŞTERİ"))))</f>
        <v/>
      </c>
      <c r="C327" s="109" t="n"/>
      <c r="D327" s="225" t="n"/>
      <c r="E327" s="225" t="n"/>
      <c r="F327" s="108" t="n"/>
      <c r="G327" s="226" t="n"/>
      <c r="H327" s="108" t="n"/>
      <c r="I327" s="227">
        <f>IF(OR($C327="",$D327="",$G327="",$F327=""),0,$G327*IF($F327="Aylık",MAX(0,(YEAR(MIN(IF($E327="",TODAY(),$E327),TODAY()))-YEAR($D327))*12+MONTH(MIN(IF($E327="",TODAY(),$E327),TODAY()))-MONTH($D327)+IF(MIN(IF($E327="",TODAY(),$E327),TODAY())&gt;=EOMONTH(MIN(IF($E327="",TODAY(),$E327),TODAY()),0),1,0)),MAX(0,INT((MIN(IF($E327="",TODAY(),$E327),TODAY())-($D327+MOD(SISTEM!$F$8-WEEKDAY($D327,2),7)))/7)+1)))</f>
        <v/>
      </c>
      <c r="J327" s="227">
        <f>IF(OR($C327="",$D327="",$G327="",$F327=""),0,$G327*IF($F327="Aylık",MAX(0,(YEAR(MIN(IF($E327="",TODAY()-8,$E327),TODAY()-8))-YEAR($D327))*12+MONTH(MIN(IF($E327="",TODAY()-8,$E327),TODAY()-8))-MONTH($D327)+IF(MIN(IF($E327="",TODAY()-8,$E327),TODAY()-8)&gt;=EOMONTH(MIN(IF($E327="",TODAY()-8,$E327),TODAY()-8),0),1,0)),MAX(0,INT((MIN(IF($E327="",TODAY()-8,$E327),TODAY()-8)-($D327+MOD(SISTEM!$F$8-WEEKDAY($D327,2),7)))/7)+1)))</f>
        <v/>
      </c>
      <c r="K327" s="227">
        <f>IF(OR($C327="",$D327="",$G327="",$F327=""),0,$G327*IF($F327="Aylık",MAX(0,(YEAR(MIN(IF($E327="",TODAY()-15,$E327),TODAY()-15))-YEAR($D327))*12+MONTH(MIN(IF($E327="",TODAY()-15,$E327),TODAY()-15))-MONTH($D327)+IF(MIN(IF($E327="",TODAY()-15,$E327),TODAY()-15)&gt;=EOMONTH(MIN(IF($E327="",TODAY()-15,$E327),TODAY()-15),0),1,0)),MAX(0,INT((MIN(IF($E327="",TODAY()-15,$E327),TODAY()-15)-($D327+MOD(SISTEM!$F$8-WEEKDAY($D327,2),7)))/7)+1)))</f>
        <v/>
      </c>
      <c r="L327" s="227">
        <f>IF(OR($C327="",$D327="",$G327="",$F327=""),0,$G327*IF($F327="Aylık",MAX(0,(YEAR(MIN(IF($E327="",TODAY()-29,$E327),TODAY()-29))-YEAR($D327))*12+MONTH(MIN(IF($E327="",TODAY()-29,$E327),TODAY()-29))-MONTH($D327)+IF(MIN(IF($E327="",TODAY()-29,$E327),TODAY()-29)&gt;=EOMONTH(MIN(IF($E327="",TODAY()-29,$E327),TODAY()-29),0),1,0)),MAX(0,INT((MIN(IF($E327="",TODAY()-29,$E327),TODAY()-29)-($D327+MOD(SISTEM!$F$8-WEEKDAY($D327,2),7)))/7)+1)))</f>
        <v/>
      </c>
      <c r="M327" s="228">
        <f>IF($G327&gt;0,$I327/$G327,0)</f>
        <v/>
      </c>
      <c r="N327" s="113">
        <f>IF($C327="","",IF($B327="TANIMSIZ MÜŞTERİ","TANIMSIZ MÜŞTERİ",IF($F327="","MODEL SEÇİN",IF(OR($D327="",$G327&lt;=0),"EKSİK",IF(AND($E327&lt;&gt;"",$E327&lt;$D327),"TARİH HATASI",IF($H327="Pasif","KAPALI DÖNEM","UYGUN"))))))</f>
        <v/>
      </c>
      <c r="O327" s="229">
        <f>IF(OR($C327="",$D327="",$F327=""),"",IF($F327="Aylık",EOMONTH($D327,0),($D327+MOD(SISTEM!$F$8-WEEKDAY($D327,2),7))))</f>
        <v/>
      </c>
      <c r="P327" s="109" t="n"/>
      <c r="Q327" s="6" t="n"/>
      <c r="R327" s="6" t="n"/>
      <c r="S327" s="3">
        <f>IF($B327="","",$B327&amp;"|"&amp;COUNTIFS($B$7:$B327,$B327))</f>
        <v/>
      </c>
    </row>
    <row r="328">
      <c r="A328" s="6" t="n"/>
      <c r="B328" s="113">
        <f>IF($C328="","",IFERROR(INDEX(MUSTERILER!$B$7:$B$106,MATCH($C328,MUSTERILER!$C$7:$C$106,0)),IFERROR(INDEX(MUSTERILER!$B$7:$B$106,MATCH($C328,MUSTERILER!$B$7:$B$106,0)),IFERROR(INDEX(MUSTERILER!$B$7:$B$106,MATCH($C328&amp;"*",MUSTERILER!$C$7:$C$106,0)),"TANIMSIZ MÜŞTERİ"))))</f>
        <v/>
      </c>
      <c r="C328" s="109" t="n"/>
      <c r="D328" s="225" t="n"/>
      <c r="E328" s="225" t="n"/>
      <c r="F328" s="108" t="n"/>
      <c r="G328" s="226" t="n"/>
      <c r="H328" s="108" t="n"/>
      <c r="I328" s="227">
        <f>IF(OR($C328="",$D328="",$G328="",$F328=""),0,$G328*IF($F328="Aylık",MAX(0,(YEAR(MIN(IF($E328="",TODAY(),$E328),TODAY()))-YEAR($D328))*12+MONTH(MIN(IF($E328="",TODAY(),$E328),TODAY()))-MONTH($D328)+IF(MIN(IF($E328="",TODAY(),$E328),TODAY())&gt;=EOMONTH(MIN(IF($E328="",TODAY(),$E328),TODAY()),0),1,0)),MAX(0,INT((MIN(IF($E328="",TODAY(),$E328),TODAY())-($D328+MOD(SISTEM!$F$8-WEEKDAY($D328,2),7)))/7)+1)))</f>
        <v/>
      </c>
      <c r="J328" s="227">
        <f>IF(OR($C328="",$D328="",$G328="",$F328=""),0,$G328*IF($F328="Aylık",MAX(0,(YEAR(MIN(IF($E328="",TODAY()-8,$E328),TODAY()-8))-YEAR($D328))*12+MONTH(MIN(IF($E328="",TODAY()-8,$E328),TODAY()-8))-MONTH($D328)+IF(MIN(IF($E328="",TODAY()-8,$E328),TODAY()-8)&gt;=EOMONTH(MIN(IF($E328="",TODAY()-8,$E328),TODAY()-8),0),1,0)),MAX(0,INT((MIN(IF($E328="",TODAY()-8,$E328),TODAY()-8)-($D328+MOD(SISTEM!$F$8-WEEKDAY($D328,2),7)))/7)+1)))</f>
        <v/>
      </c>
      <c r="K328" s="227">
        <f>IF(OR($C328="",$D328="",$G328="",$F328=""),0,$G328*IF($F328="Aylık",MAX(0,(YEAR(MIN(IF($E328="",TODAY()-15,$E328),TODAY()-15))-YEAR($D328))*12+MONTH(MIN(IF($E328="",TODAY()-15,$E328),TODAY()-15))-MONTH($D328)+IF(MIN(IF($E328="",TODAY()-15,$E328),TODAY()-15)&gt;=EOMONTH(MIN(IF($E328="",TODAY()-15,$E328),TODAY()-15),0),1,0)),MAX(0,INT((MIN(IF($E328="",TODAY()-15,$E328),TODAY()-15)-($D328+MOD(SISTEM!$F$8-WEEKDAY($D328,2),7)))/7)+1)))</f>
        <v/>
      </c>
      <c r="L328" s="227">
        <f>IF(OR($C328="",$D328="",$G328="",$F328=""),0,$G328*IF($F328="Aylık",MAX(0,(YEAR(MIN(IF($E328="",TODAY()-29,$E328),TODAY()-29))-YEAR($D328))*12+MONTH(MIN(IF($E328="",TODAY()-29,$E328),TODAY()-29))-MONTH($D328)+IF(MIN(IF($E328="",TODAY()-29,$E328),TODAY()-29)&gt;=EOMONTH(MIN(IF($E328="",TODAY()-29,$E328),TODAY()-29),0),1,0)),MAX(0,INT((MIN(IF($E328="",TODAY()-29,$E328),TODAY()-29)-($D328+MOD(SISTEM!$F$8-WEEKDAY($D328,2),7)))/7)+1)))</f>
        <v/>
      </c>
      <c r="M328" s="228">
        <f>IF($G328&gt;0,$I328/$G328,0)</f>
        <v/>
      </c>
      <c r="N328" s="113">
        <f>IF($C328="","",IF($B328="TANIMSIZ MÜŞTERİ","TANIMSIZ MÜŞTERİ",IF($F328="","MODEL SEÇİN",IF(OR($D328="",$G328&lt;=0),"EKSİK",IF(AND($E328&lt;&gt;"",$E328&lt;$D328),"TARİH HATASI",IF($H328="Pasif","KAPALI DÖNEM","UYGUN"))))))</f>
        <v/>
      </c>
      <c r="O328" s="229">
        <f>IF(OR($C328="",$D328="",$F328=""),"",IF($F328="Aylık",EOMONTH($D328,0),($D328+MOD(SISTEM!$F$8-WEEKDAY($D328,2),7))))</f>
        <v/>
      </c>
      <c r="P328" s="109" t="n"/>
      <c r="Q328" s="6" t="n"/>
      <c r="R328" s="6" t="n"/>
      <c r="S328" s="3">
        <f>IF($B328="","",$B328&amp;"|"&amp;COUNTIFS($B$7:$B328,$B328))</f>
        <v/>
      </c>
    </row>
    <row r="329">
      <c r="A329" s="6" t="n"/>
      <c r="B329" s="113">
        <f>IF($C329="","",IFERROR(INDEX(MUSTERILER!$B$7:$B$106,MATCH($C329,MUSTERILER!$C$7:$C$106,0)),IFERROR(INDEX(MUSTERILER!$B$7:$B$106,MATCH($C329,MUSTERILER!$B$7:$B$106,0)),IFERROR(INDEX(MUSTERILER!$B$7:$B$106,MATCH($C329&amp;"*",MUSTERILER!$C$7:$C$106,0)),"TANIMSIZ MÜŞTERİ"))))</f>
        <v/>
      </c>
      <c r="C329" s="109" t="n"/>
      <c r="D329" s="225" t="n"/>
      <c r="E329" s="225" t="n"/>
      <c r="F329" s="108" t="n"/>
      <c r="G329" s="226" t="n"/>
      <c r="H329" s="108" t="n"/>
      <c r="I329" s="227">
        <f>IF(OR($C329="",$D329="",$G329="",$F329=""),0,$G329*IF($F329="Aylık",MAX(0,(YEAR(MIN(IF($E329="",TODAY(),$E329),TODAY()))-YEAR($D329))*12+MONTH(MIN(IF($E329="",TODAY(),$E329),TODAY()))-MONTH($D329)+IF(MIN(IF($E329="",TODAY(),$E329),TODAY())&gt;=EOMONTH(MIN(IF($E329="",TODAY(),$E329),TODAY()),0),1,0)),MAX(0,INT((MIN(IF($E329="",TODAY(),$E329),TODAY())-($D329+MOD(SISTEM!$F$8-WEEKDAY($D329,2),7)))/7)+1)))</f>
        <v/>
      </c>
      <c r="J329" s="227">
        <f>IF(OR($C329="",$D329="",$G329="",$F329=""),0,$G329*IF($F329="Aylık",MAX(0,(YEAR(MIN(IF($E329="",TODAY()-8,$E329),TODAY()-8))-YEAR($D329))*12+MONTH(MIN(IF($E329="",TODAY()-8,$E329),TODAY()-8))-MONTH($D329)+IF(MIN(IF($E329="",TODAY()-8,$E329),TODAY()-8)&gt;=EOMONTH(MIN(IF($E329="",TODAY()-8,$E329),TODAY()-8),0),1,0)),MAX(0,INT((MIN(IF($E329="",TODAY()-8,$E329),TODAY()-8)-($D329+MOD(SISTEM!$F$8-WEEKDAY($D329,2),7)))/7)+1)))</f>
        <v/>
      </c>
      <c r="K329" s="227">
        <f>IF(OR($C329="",$D329="",$G329="",$F329=""),0,$G329*IF($F329="Aylık",MAX(0,(YEAR(MIN(IF($E329="",TODAY()-15,$E329),TODAY()-15))-YEAR($D329))*12+MONTH(MIN(IF($E329="",TODAY()-15,$E329),TODAY()-15))-MONTH($D329)+IF(MIN(IF($E329="",TODAY()-15,$E329),TODAY()-15)&gt;=EOMONTH(MIN(IF($E329="",TODAY()-15,$E329),TODAY()-15),0),1,0)),MAX(0,INT((MIN(IF($E329="",TODAY()-15,$E329),TODAY()-15)-($D329+MOD(SISTEM!$F$8-WEEKDAY($D329,2),7)))/7)+1)))</f>
        <v/>
      </c>
      <c r="L329" s="227">
        <f>IF(OR($C329="",$D329="",$G329="",$F329=""),0,$G329*IF($F329="Aylık",MAX(0,(YEAR(MIN(IF($E329="",TODAY()-29,$E329),TODAY()-29))-YEAR($D329))*12+MONTH(MIN(IF($E329="",TODAY()-29,$E329),TODAY()-29))-MONTH($D329)+IF(MIN(IF($E329="",TODAY()-29,$E329),TODAY()-29)&gt;=EOMONTH(MIN(IF($E329="",TODAY()-29,$E329),TODAY()-29),0),1,0)),MAX(0,INT((MIN(IF($E329="",TODAY()-29,$E329),TODAY()-29)-($D329+MOD(SISTEM!$F$8-WEEKDAY($D329,2),7)))/7)+1)))</f>
        <v/>
      </c>
      <c r="M329" s="228">
        <f>IF($G329&gt;0,$I329/$G329,0)</f>
        <v/>
      </c>
      <c r="N329" s="113">
        <f>IF($C329="","",IF($B329="TANIMSIZ MÜŞTERİ","TANIMSIZ MÜŞTERİ",IF($F329="","MODEL SEÇİN",IF(OR($D329="",$G329&lt;=0),"EKSİK",IF(AND($E329&lt;&gt;"",$E329&lt;$D329),"TARİH HATASI",IF($H329="Pasif","KAPALI DÖNEM","UYGUN"))))))</f>
        <v/>
      </c>
      <c r="O329" s="229">
        <f>IF(OR($C329="",$D329="",$F329=""),"",IF($F329="Aylık",EOMONTH($D329,0),($D329+MOD(SISTEM!$F$8-WEEKDAY($D329,2),7))))</f>
        <v/>
      </c>
      <c r="P329" s="109" t="n"/>
      <c r="Q329" s="6" t="n"/>
      <c r="R329" s="6" t="n"/>
      <c r="S329" s="3">
        <f>IF($B329="","",$B329&amp;"|"&amp;COUNTIFS($B$7:$B329,$B329))</f>
        <v/>
      </c>
    </row>
    <row r="330">
      <c r="A330" s="6" t="n"/>
      <c r="B330" s="113">
        <f>IF($C330="","",IFERROR(INDEX(MUSTERILER!$B$7:$B$106,MATCH($C330,MUSTERILER!$C$7:$C$106,0)),IFERROR(INDEX(MUSTERILER!$B$7:$B$106,MATCH($C330,MUSTERILER!$B$7:$B$106,0)),IFERROR(INDEX(MUSTERILER!$B$7:$B$106,MATCH($C330&amp;"*",MUSTERILER!$C$7:$C$106,0)),"TANIMSIZ MÜŞTERİ"))))</f>
        <v/>
      </c>
      <c r="C330" s="109" t="n"/>
      <c r="D330" s="225" t="n"/>
      <c r="E330" s="225" t="n"/>
      <c r="F330" s="108" t="n"/>
      <c r="G330" s="226" t="n"/>
      <c r="H330" s="108" t="n"/>
      <c r="I330" s="227">
        <f>IF(OR($C330="",$D330="",$G330="",$F330=""),0,$G330*IF($F330="Aylık",MAX(0,(YEAR(MIN(IF($E330="",TODAY(),$E330),TODAY()))-YEAR($D330))*12+MONTH(MIN(IF($E330="",TODAY(),$E330),TODAY()))-MONTH($D330)+IF(MIN(IF($E330="",TODAY(),$E330),TODAY())&gt;=EOMONTH(MIN(IF($E330="",TODAY(),$E330),TODAY()),0),1,0)),MAX(0,INT((MIN(IF($E330="",TODAY(),$E330),TODAY())-($D330+MOD(SISTEM!$F$8-WEEKDAY($D330,2),7)))/7)+1)))</f>
        <v/>
      </c>
      <c r="J330" s="227">
        <f>IF(OR($C330="",$D330="",$G330="",$F330=""),0,$G330*IF($F330="Aylık",MAX(0,(YEAR(MIN(IF($E330="",TODAY()-8,$E330),TODAY()-8))-YEAR($D330))*12+MONTH(MIN(IF($E330="",TODAY()-8,$E330),TODAY()-8))-MONTH($D330)+IF(MIN(IF($E330="",TODAY()-8,$E330),TODAY()-8)&gt;=EOMONTH(MIN(IF($E330="",TODAY()-8,$E330),TODAY()-8),0),1,0)),MAX(0,INT((MIN(IF($E330="",TODAY()-8,$E330),TODAY()-8)-($D330+MOD(SISTEM!$F$8-WEEKDAY($D330,2),7)))/7)+1)))</f>
        <v/>
      </c>
      <c r="K330" s="227">
        <f>IF(OR($C330="",$D330="",$G330="",$F330=""),0,$G330*IF($F330="Aylık",MAX(0,(YEAR(MIN(IF($E330="",TODAY()-15,$E330),TODAY()-15))-YEAR($D330))*12+MONTH(MIN(IF($E330="",TODAY()-15,$E330),TODAY()-15))-MONTH($D330)+IF(MIN(IF($E330="",TODAY()-15,$E330),TODAY()-15)&gt;=EOMONTH(MIN(IF($E330="",TODAY()-15,$E330),TODAY()-15),0),1,0)),MAX(0,INT((MIN(IF($E330="",TODAY()-15,$E330),TODAY()-15)-($D330+MOD(SISTEM!$F$8-WEEKDAY($D330,2),7)))/7)+1)))</f>
        <v/>
      </c>
      <c r="L330" s="227">
        <f>IF(OR($C330="",$D330="",$G330="",$F330=""),0,$G330*IF($F330="Aylık",MAX(0,(YEAR(MIN(IF($E330="",TODAY()-29,$E330),TODAY()-29))-YEAR($D330))*12+MONTH(MIN(IF($E330="",TODAY()-29,$E330),TODAY()-29))-MONTH($D330)+IF(MIN(IF($E330="",TODAY()-29,$E330),TODAY()-29)&gt;=EOMONTH(MIN(IF($E330="",TODAY()-29,$E330),TODAY()-29),0),1,0)),MAX(0,INT((MIN(IF($E330="",TODAY()-29,$E330),TODAY()-29)-($D330+MOD(SISTEM!$F$8-WEEKDAY($D330,2),7)))/7)+1)))</f>
        <v/>
      </c>
      <c r="M330" s="228">
        <f>IF($G330&gt;0,$I330/$G330,0)</f>
        <v/>
      </c>
      <c r="N330" s="113">
        <f>IF($C330="","",IF($B330="TANIMSIZ MÜŞTERİ","TANIMSIZ MÜŞTERİ",IF($F330="","MODEL SEÇİN",IF(OR($D330="",$G330&lt;=0),"EKSİK",IF(AND($E330&lt;&gt;"",$E330&lt;$D330),"TARİH HATASI",IF($H330="Pasif","KAPALI DÖNEM","UYGUN"))))))</f>
        <v/>
      </c>
      <c r="O330" s="229">
        <f>IF(OR($C330="",$D330="",$F330=""),"",IF($F330="Aylık",EOMONTH($D330,0),($D330+MOD(SISTEM!$F$8-WEEKDAY($D330,2),7))))</f>
        <v/>
      </c>
      <c r="P330" s="109" t="n"/>
      <c r="Q330" s="6" t="n"/>
      <c r="R330" s="6" t="n"/>
      <c r="S330" s="3">
        <f>IF($B330="","",$B330&amp;"|"&amp;COUNTIFS($B$7:$B330,$B330))</f>
        <v/>
      </c>
    </row>
    <row r="331">
      <c r="A331" s="6" t="n"/>
      <c r="B331" s="113">
        <f>IF($C331="","",IFERROR(INDEX(MUSTERILER!$B$7:$B$106,MATCH($C331,MUSTERILER!$C$7:$C$106,0)),IFERROR(INDEX(MUSTERILER!$B$7:$B$106,MATCH($C331,MUSTERILER!$B$7:$B$106,0)),IFERROR(INDEX(MUSTERILER!$B$7:$B$106,MATCH($C331&amp;"*",MUSTERILER!$C$7:$C$106,0)),"TANIMSIZ MÜŞTERİ"))))</f>
        <v/>
      </c>
      <c r="C331" s="109" t="n"/>
      <c r="D331" s="225" t="n"/>
      <c r="E331" s="225" t="n"/>
      <c r="F331" s="108" t="n"/>
      <c r="G331" s="226" t="n"/>
      <c r="H331" s="108" t="n"/>
      <c r="I331" s="227">
        <f>IF(OR($C331="",$D331="",$G331="",$F331=""),0,$G331*IF($F331="Aylık",MAX(0,(YEAR(MIN(IF($E331="",TODAY(),$E331),TODAY()))-YEAR($D331))*12+MONTH(MIN(IF($E331="",TODAY(),$E331),TODAY()))-MONTH($D331)+IF(MIN(IF($E331="",TODAY(),$E331),TODAY())&gt;=EOMONTH(MIN(IF($E331="",TODAY(),$E331),TODAY()),0),1,0)),MAX(0,INT((MIN(IF($E331="",TODAY(),$E331),TODAY())-($D331+MOD(SISTEM!$F$8-WEEKDAY($D331,2),7)))/7)+1)))</f>
        <v/>
      </c>
      <c r="J331" s="227">
        <f>IF(OR($C331="",$D331="",$G331="",$F331=""),0,$G331*IF($F331="Aylık",MAX(0,(YEAR(MIN(IF($E331="",TODAY()-8,$E331),TODAY()-8))-YEAR($D331))*12+MONTH(MIN(IF($E331="",TODAY()-8,$E331),TODAY()-8))-MONTH($D331)+IF(MIN(IF($E331="",TODAY()-8,$E331),TODAY()-8)&gt;=EOMONTH(MIN(IF($E331="",TODAY()-8,$E331),TODAY()-8),0),1,0)),MAX(0,INT((MIN(IF($E331="",TODAY()-8,$E331),TODAY()-8)-($D331+MOD(SISTEM!$F$8-WEEKDAY($D331,2),7)))/7)+1)))</f>
        <v/>
      </c>
      <c r="K331" s="227">
        <f>IF(OR($C331="",$D331="",$G331="",$F331=""),0,$G331*IF($F331="Aylık",MAX(0,(YEAR(MIN(IF($E331="",TODAY()-15,$E331),TODAY()-15))-YEAR($D331))*12+MONTH(MIN(IF($E331="",TODAY()-15,$E331),TODAY()-15))-MONTH($D331)+IF(MIN(IF($E331="",TODAY()-15,$E331),TODAY()-15)&gt;=EOMONTH(MIN(IF($E331="",TODAY()-15,$E331),TODAY()-15),0),1,0)),MAX(0,INT((MIN(IF($E331="",TODAY()-15,$E331),TODAY()-15)-($D331+MOD(SISTEM!$F$8-WEEKDAY($D331,2),7)))/7)+1)))</f>
        <v/>
      </c>
      <c r="L331" s="227">
        <f>IF(OR($C331="",$D331="",$G331="",$F331=""),0,$G331*IF($F331="Aylık",MAX(0,(YEAR(MIN(IF($E331="",TODAY()-29,$E331),TODAY()-29))-YEAR($D331))*12+MONTH(MIN(IF($E331="",TODAY()-29,$E331),TODAY()-29))-MONTH($D331)+IF(MIN(IF($E331="",TODAY()-29,$E331),TODAY()-29)&gt;=EOMONTH(MIN(IF($E331="",TODAY()-29,$E331),TODAY()-29),0),1,0)),MAX(0,INT((MIN(IF($E331="",TODAY()-29,$E331),TODAY()-29)-($D331+MOD(SISTEM!$F$8-WEEKDAY($D331,2),7)))/7)+1)))</f>
        <v/>
      </c>
      <c r="M331" s="228">
        <f>IF($G331&gt;0,$I331/$G331,0)</f>
        <v/>
      </c>
      <c r="N331" s="113">
        <f>IF($C331="","",IF($B331="TANIMSIZ MÜŞTERİ","TANIMSIZ MÜŞTERİ",IF($F331="","MODEL SEÇİN",IF(OR($D331="",$G331&lt;=0),"EKSİK",IF(AND($E331&lt;&gt;"",$E331&lt;$D331),"TARİH HATASI",IF($H331="Pasif","KAPALI DÖNEM","UYGUN"))))))</f>
        <v/>
      </c>
      <c r="O331" s="229">
        <f>IF(OR($C331="",$D331="",$F331=""),"",IF($F331="Aylık",EOMONTH($D331,0),($D331+MOD(SISTEM!$F$8-WEEKDAY($D331,2),7))))</f>
        <v/>
      </c>
      <c r="P331" s="109" t="n"/>
      <c r="Q331" s="6" t="n"/>
      <c r="R331" s="6" t="n"/>
      <c r="S331" s="3">
        <f>IF($B331="","",$B331&amp;"|"&amp;COUNTIFS($B$7:$B331,$B331))</f>
        <v/>
      </c>
    </row>
    <row r="332">
      <c r="A332" s="6" t="n"/>
      <c r="B332" s="113">
        <f>IF($C332="","",IFERROR(INDEX(MUSTERILER!$B$7:$B$106,MATCH($C332,MUSTERILER!$C$7:$C$106,0)),IFERROR(INDEX(MUSTERILER!$B$7:$B$106,MATCH($C332,MUSTERILER!$B$7:$B$106,0)),IFERROR(INDEX(MUSTERILER!$B$7:$B$106,MATCH($C332&amp;"*",MUSTERILER!$C$7:$C$106,0)),"TANIMSIZ MÜŞTERİ"))))</f>
        <v/>
      </c>
      <c r="C332" s="109" t="n"/>
      <c r="D332" s="225" t="n"/>
      <c r="E332" s="225" t="n"/>
      <c r="F332" s="108" t="n"/>
      <c r="G332" s="226" t="n"/>
      <c r="H332" s="108" t="n"/>
      <c r="I332" s="227">
        <f>IF(OR($C332="",$D332="",$G332="",$F332=""),0,$G332*IF($F332="Aylık",MAX(0,(YEAR(MIN(IF($E332="",TODAY(),$E332),TODAY()))-YEAR($D332))*12+MONTH(MIN(IF($E332="",TODAY(),$E332),TODAY()))-MONTH($D332)+IF(MIN(IF($E332="",TODAY(),$E332),TODAY())&gt;=EOMONTH(MIN(IF($E332="",TODAY(),$E332),TODAY()),0),1,0)),MAX(0,INT((MIN(IF($E332="",TODAY(),$E332),TODAY())-($D332+MOD(SISTEM!$F$8-WEEKDAY($D332,2),7)))/7)+1)))</f>
        <v/>
      </c>
      <c r="J332" s="227">
        <f>IF(OR($C332="",$D332="",$G332="",$F332=""),0,$G332*IF($F332="Aylık",MAX(0,(YEAR(MIN(IF($E332="",TODAY()-8,$E332),TODAY()-8))-YEAR($D332))*12+MONTH(MIN(IF($E332="",TODAY()-8,$E332),TODAY()-8))-MONTH($D332)+IF(MIN(IF($E332="",TODAY()-8,$E332),TODAY()-8)&gt;=EOMONTH(MIN(IF($E332="",TODAY()-8,$E332),TODAY()-8),0),1,0)),MAX(0,INT((MIN(IF($E332="",TODAY()-8,$E332),TODAY()-8)-($D332+MOD(SISTEM!$F$8-WEEKDAY($D332,2),7)))/7)+1)))</f>
        <v/>
      </c>
      <c r="K332" s="227">
        <f>IF(OR($C332="",$D332="",$G332="",$F332=""),0,$G332*IF($F332="Aylık",MAX(0,(YEAR(MIN(IF($E332="",TODAY()-15,$E332),TODAY()-15))-YEAR($D332))*12+MONTH(MIN(IF($E332="",TODAY()-15,$E332),TODAY()-15))-MONTH($D332)+IF(MIN(IF($E332="",TODAY()-15,$E332),TODAY()-15)&gt;=EOMONTH(MIN(IF($E332="",TODAY()-15,$E332),TODAY()-15),0),1,0)),MAX(0,INT((MIN(IF($E332="",TODAY()-15,$E332),TODAY()-15)-($D332+MOD(SISTEM!$F$8-WEEKDAY($D332,2),7)))/7)+1)))</f>
        <v/>
      </c>
      <c r="L332" s="227">
        <f>IF(OR($C332="",$D332="",$G332="",$F332=""),0,$G332*IF($F332="Aylık",MAX(0,(YEAR(MIN(IF($E332="",TODAY()-29,$E332),TODAY()-29))-YEAR($D332))*12+MONTH(MIN(IF($E332="",TODAY()-29,$E332),TODAY()-29))-MONTH($D332)+IF(MIN(IF($E332="",TODAY()-29,$E332),TODAY()-29)&gt;=EOMONTH(MIN(IF($E332="",TODAY()-29,$E332),TODAY()-29),0),1,0)),MAX(0,INT((MIN(IF($E332="",TODAY()-29,$E332),TODAY()-29)-($D332+MOD(SISTEM!$F$8-WEEKDAY($D332,2),7)))/7)+1)))</f>
        <v/>
      </c>
      <c r="M332" s="228">
        <f>IF($G332&gt;0,$I332/$G332,0)</f>
        <v/>
      </c>
      <c r="N332" s="113">
        <f>IF($C332="","",IF($B332="TANIMSIZ MÜŞTERİ","TANIMSIZ MÜŞTERİ",IF($F332="","MODEL SEÇİN",IF(OR($D332="",$G332&lt;=0),"EKSİK",IF(AND($E332&lt;&gt;"",$E332&lt;$D332),"TARİH HATASI",IF($H332="Pasif","KAPALI DÖNEM","UYGUN"))))))</f>
        <v/>
      </c>
      <c r="O332" s="229">
        <f>IF(OR($C332="",$D332="",$F332=""),"",IF($F332="Aylık",EOMONTH($D332,0),($D332+MOD(SISTEM!$F$8-WEEKDAY($D332,2),7))))</f>
        <v/>
      </c>
      <c r="P332" s="109" t="n"/>
      <c r="Q332" s="6" t="n"/>
      <c r="R332" s="6" t="n"/>
      <c r="S332" s="3">
        <f>IF($B332="","",$B332&amp;"|"&amp;COUNTIFS($B$7:$B332,$B332))</f>
        <v/>
      </c>
    </row>
    <row r="333">
      <c r="A333" s="6" t="n"/>
      <c r="B333" s="113">
        <f>IF($C333="","",IFERROR(INDEX(MUSTERILER!$B$7:$B$106,MATCH($C333,MUSTERILER!$C$7:$C$106,0)),IFERROR(INDEX(MUSTERILER!$B$7:$B$106,MATCH($C333,MUSTERILER!$B$7:$B$106,0)),IFERROR(INDEX(MUSTERILER!$B$7:$B$106,MATCH($C333&amp;"*",MUSTERILER!$C$7:$C$106,0)),"TANIMSIZ MÜŞTERİ"))))</f>
        <v/>
      </c>
      <c r="C333" s="109" t="n"/>
      <c r="D333" s="225" t="n"/>
      <c r="E333" s="225" t="n"/>
      <c r="F333" s="108" t="n"/>
      <c r="G333" s="226" t="n"/>
      <c r="H333" s="108" t="n"/>
      <c r="I333" s="227">
        <f>IF(OR($C333="",$D333="",$G333="",$F333=""),0,$G333*IF($F333="Aylık",MAX(0,(YEAR(MIN(IF($E333="",TODAY(),$E333),TODAY()))-YEAR($D333))*12+MONTH(MIN(IF($E333="",TODAY(),$E333),TODAY()))-MONTH($D333)+IF(MIN(IF($E333="",TODAY(),$E333),TODAY())&gt;=EOMONTH(MIN(IF($E333="",TODAY(),$E333),TODAY()),0),1,0)),MAX(0,INT((MIN(IF($E333="",TODAY(),$E333),TODAY())-($D333+MOD(SISTEM!$F$8-WEEKDAY($D333,2),7)))/7)+1)))</f>
        <v/>
      </c>
      <c r="J333" s="227">
        <f>IF(OR($C333="",$D333="",$G333="",$F333=""),0,$G333*IF($F333="Aylık",MAX(0,(YEAR(MIN(IF($E333="",TODAY()-8,$E333),TODAY()-8))-YEAR($D333))*12+MONTH(MIN(IF($E333="",TODAY()-8,$E333),TODAY()-8))-MONTH($D333)+IF(MIN(IF($E333="",TODAY()-8,$E333),TODAY()-8)&gt;=EOMONTH(MIN(IF($E333="",TODAY()-8,$E333),TODAY()-8),0),1,0)),MAX(0,INT((MIN(IF($E333="",TODAY()-8,$E333),TODAY()-8)-($D333+MOD(SISTEM!$F$8-WEEKDAY($D333,2),7)))/7)+1)))</f>
        <v/>
      </c>
      <c r="K333" s="227">
        <f>IF(OR($C333="",$D333="",$G333="",$F333=""),0,$G333*IF($F333="Aylık",MAX(0,(YEAR(MIN(IF($E333="",TODAY()-15,$E333),TODAY()-15))-YEAR($D333))*12+MONTH(MIN(IF($E333="",TODAY()-15,$E333),TODAY()-15))-MONTH($D333)+IF(MIN(IF($E333="",TODAY()-15,$E333),TODAY()-15)&gt;=EOMONTH(MIN(IF($E333="",TODAY()-15,$E333),TODAY()-15),0),1,0)),MAX(0,INT((MIN(IF($E333="",TODAY()-15,$E333),TODAY()-15)-($D333+MOD(SISTEM!$F$8-WEEKDAY($D333,2),7)))/7)+1)))</f>
        <v/>
      </c>
      <c r="L333" s="227">
        <f>IF(OR($C333="",$D333="",$G333="",$F333=""),0,$G333*IF($F333="Aylık",MAX(0,(YEAR(MIN(IF($E333="",TODAY()-29,$E333),TODAY()-29))-YEAR($D333))*12+MONTH(MIN(IF($E333="",TODAY()-29,$E333),TODAY()-29))-MONTH($D333)+IF(MIN(IF($E333="",TODAY()-29,$E333),TODAY()-29)&gt;=EOMONTH(MIN(IF($E333="",TODAY()-29,$E333),TODAY()-29),0),1,0)),MAX(0,INT((MIN(IF($E333="",TODAY()-29,$E333),TODAY()-29)-($D333+MOD(SISTEM!$F$8-WEEKDAY($D333,2),7)))/7)+1)))</f>
        <v/>
      </c>
      <c r="M333" s="228">
        <f>IF($G333&gt;0,$I333/$G333,0)</f>
        <v/>
      </c>
      <c r="N333" s="113">
        <f>IF($C333="","",IF($B333="TANIMSIZ MÜŞTERİ","TANIMSIZ MÜŞTERİ",IF($F333="","MODEL SEÇİN",IF(OR($D333="",$G333&lt;=0),"EKSİK",IF(AND($E333&lt;&gt;"",$E333&lt;$D333),"TARİH HATASI",IF($H333="Pasif","KAPALI DÖNEM","UYGUN"))))))</f>
        <v/>
      </c>
      <c r="O333" s="229">
        <f>IF(OR($C333="",$D333="",$F333=""),"",IF($F333="Aylık",EOMONTH($D333,0),($D333+MOD(SISTEM!$F$8-WEEKDAY($D333,2),7))))</f>
        <v/>
      </c>
      <c r="P333" s="109" t="n"/>
      <c r="Q333" s="6" t="n"/>
      <c r="R333" s="6" t="n"/>
      <c r="S333" s="3">
        <f>IF($B333="","",$B333&amp;"|"&amp;COUNTIFS($B$7:$B333,$B333))</f>
        <v/>
      </c>
    </row>
    <row r="334">
      <c r="A334" s="6" t="n"/>
      <c r="B334" s="113">
        <f>IF($C334="","",IFERROR(INDEX(MUSTERILER!$B$7:$B$106,MATCH($C334,MUSTERILER!$C$7:$C$106,0)),IFERROR(INDEX(MUSTERILER!$B$7:$B$106,MATCH($C334,MUSTERILER!$B$7:$B$106,0)),IFERROR(INDEX(MUSTERILER!$B$7:$B$106,MATCH($C334&amp;"*",MUSTERILER!$C$7:$C$106,0)),"TANIMSIZ MÜŞTERİ"))))</f>
        <v/>
      </c>
      <c r="C334" s="109" t="n"/>
      <c r="D334" s="225" t="n"/>
      <c r="E334" s="225" t="n"/>
      <c r="F334" s="108" t="n"/>
      <c r="G334" s="226" t="n"/>
      <c r="H334" s="108" t="n"/>
      <c r="I334" s="227">
        <f>IF(OR($C334="",$D334="",$G334="",$F334=""),0,$G334*IF($F334="Aylık",MAX(0,(YEAR(MIN(IF($E334="",TODAY(),$E334),TODAY()))-YEAR($D334))*12+MONTH(MIN(IF($E334="",TODAY(),$E334),TODAY()))-MONTH($D334)+IF(MIN(IF($E334="",TODAY(),$E334),TODAY())&gt;=EOMONTH(MIN(IF($E334="",TODAY(),$E334),TODAY()),0),1,0)),MAX(0,INT((MIN(IF($E334="",TODAY(),$E334),TODAY())-($D334+MOD(SISTEM!$F$8-WEEKDAY($D334,2),7)))/7)+1)))</f>
        <v/>
      </c>
      <c r="J334" s="227">
        <f>IF(OR($C334="",$D334="",$G334="",$F334=""),0,$G334*IF($F334="Aylık",MAX(0,(YEAR(MIN(IF($E334="",TODAY()-8,$E334),TODAY()-8))-YEAR($D334))*12+MONTH(MIN(IF($E334="",TODAY()-8,$E334),TODAY()-8))-MONTH($D334)+IF(MIN(IF($E334="",TODAY()-8,$E334),TODAY()-8)&gt;=EOMONTH(MIN(IF($E334="",TODAY()-8,$E334),TODAY()-8),0),1,0)),MAX(0,INT((MIN(IF($E334="",TODAY()-8,$E334),TODAY()-8)-($D334+MOD(SISTEM!$F$8-WEEKDAY($D334,2),7)))/7)+1)))</f>
        <v/>
      </c>
      <c r="K334" s="227">
        <f>IF(OR($C334="",$D334="",$G334="",$F334=""),0,$G334*IF($F334="Aylık",MAX(0,(YEAR(MIN(IF($E334="",TODAY()-15,$E334),TODAY()-15))-YEAR($D334))*12+MONTH(MIN(IF($E334="",TODAY()-15,$E334),TODAY()-15))-MONTH($D334)+IF(MIN(IF($E334="",TODAY()-15,$E334),TODAY()-15)&gt;=EOMONTH(MIN(IF($E334="",TODAY()-15,$E334),TODAY()-15),0),1,0)),MAX(0,INT((MIN(IF($E334="",TODAY()-15,$E334),TODAY()-15)-($D334+MOD(SISTEM!$F$8-WEEKDAY($D334,2),7)))/7)+1)))</f>
        <v/>
      </c>
      <c r="L334" s="227">
        <f>IF(OR($C334="",$D334="",$G334="",$F334=""),0,$G334*IF($F334="Aylık",MAX(0,(YEAR(MIN(IF($E334="",TODAY()-29,$E334),TODAY()-29))-YEAR($D334))*12+MONTH(MIN(IF($E334="",TODAY()-29,$E334),TODAY()-29))-MONTH($D334)+IF(MIN(IF($E334="",TODAY()-29,$E334),TODAY()-29)&gt;=EOMONTH(MIN(IF($E334="",TODAY()-29,$E334),TODAY()-29),0),1,0)),MAX(0,INT((MIN(IF($E334="",TODAY()-29,$E334),TODAY()-29)-($D334+MOD(SISTEM!$F$8-WEEKDAY($D334,2),7)))/7)+1)))</f>
        <v/>
      </c>
      <c r="M334" s="228">
        <f>IF($G334&gt;0,$I334/$G334,0)</f>
        <v/>
      </c>
      <c r="N334" s="113">
        <f>IF($C334="","",IF($B334="TANIMSIZ MÜŞTERİ","TANIMSIZ MÜŞTERİ",IF($F334="","MODEL SEÇİN",IF(OR($D334="",$G334&lt;=0),"EKSİK",IF(AND($E334&lt;&gt;"",$E334&lt;$D334),"TARİH HATASI",IF($H334="Pasif","KAPALI DÖNEM","UYGUN"))))))</f>
        <v/>
      </c>
      <c r="O334" s="229">
        <f>IF(OR($C334="",$D334="",$F334=""),"",IF($F334="Aylık",EOMONTH($D334,0),($D334+MOD(SISTEM!$F$8-WEEKDAY($D334,2),7))))</f>
        <v/>
      </c>
      <c r="P334" s="109" t="n"/>
      <c r="Q334" s="6" t="n"/>
      <c r="R334" s="6" t="n"/>
      <c r="S334" s="3">
        <f>IF($B334="","",$B334&amp;"|"&amp;COUNTIFS($B$7:$B334,$B334))</f>
        <v/>
      </c>
    </row>
    <row r="335">
      <c r="A335" s="6" t="n"/>
      <c r="B335" s="113">
        <f>IF($C335="","",IFERROR(INDEX(MUSTERILER!$B$7:$B$106,MATCH($C335,MUSTERILER!$C$7:$C$106,0)),IFERROR(INDEX(MUSTERILER!$B$7:$B$106,MATCH($C335,MUSTERILER!$B$7:$B$106,0)),IFERROR(INDEX(MUSTERILER!$B$7:$B$106,MATCH($C335&amp;"*",MUSTERILER!$C$7:$C$106,0)),"TANIMSIZ MÜŞTERİ"))))</f>
        <v/>
      </c>
      <c r="C335" s="109" t="n"/>
      <c r="D335" s="225" t="n"/>
      <c r="E335" s="225" t="n"/>
      <c r="F335" s="108" t="n"/>
      <c r="G335" s="226" t="n"/>
      <c r="H335" s="108" t="n"/>
      <c r="I335" s="227">
        <f>IF(OR($C335="",$D335="",$G335="",$F335=""),0,$G335*IF($F335="Aylık",MAX(0,(YEAR(MIN(IF($E335="",TODAY(),$E335),TODAY()))-YEAR($D335))*12+MONTH(MIN(IF($E335="",TODAY(),$E335),TODAY()))-MONTH($D335)+IF(MIN(IF($E335="",TODAY(),$E335),TODAY())&gt;=EOMONTH(MIN(IF($E335="",TODAY(),$E335),TODAY()),0),1,0)),MAX(0,INT((MIN(IF($E335="",TODAY(),$E335),TODAY())-($D335+MOD(SISTEM!$F$8-WEEKDAY($D335,2),7)))/7)+1)))</f>
        <v/>
      </c>
      <c r="J335" s="227">
        <f>IF(OR($C335="",$D335="",$G335="",$F335=""),0,$G335*IF($F335="Aylık",MAX(0,(YEAR(MIN(IF($E335="",TODAY()-8,$E335),TODAY()-8))-YEAR($D335))*12+MONTH(MIN(IF($E335="",TODAY()-8,$E335),TODAY()-8))-MONTH($D335)+IF(MIN(IF($E335="",TODAY()-8,$E335),TODAY()-8)&gt;=EOMONTH(MIN(IF($E335="",TODAY()-8,$E335),TODAY()-8),0),1,0)),MAX(0,INT((MIN(IF($E335="",TODAY()-8,$E335),TODAY()-8)-($D335+MOD(SISTEM!$F$8-WEEKDAY($D335,2),7)))/7)+1)))</f>
        <v/>
      </c>
      <c r="K335" s="227">
        <f>IF(OR($C335="",$D335="",$G335="",$F335=""),0,$G335*IF($F335="Aylık",MAX(0,(YEAR(MIN(IF($E335="",TODAY()-15,$E335),TODAY()-15))-YEAR($D335))*12+MONTH(MIN(IF($E335="",TODAY()-15,$E335),TODAY()-15))-MONTH($D335)+IF(MIN(IF($E335="",TODAY()-15,$E335),TODAY()-15)&gt;=EOMONTH(MIN(IF($E335="",TODAY()-15,$E335),TODAY()-15),0),1,0)),MAX(0,INT((MIN(IF($E335="",TODAY()-15,$E335),TODAY()-15)-($D335+MOD(SISTEM!$F$8-WEEKDAY($D335,2),7)))/7)+1)))</f>
        <v/>
      </c>
      <c r="L335" s="227">
        <f>IF(OR($C335="",$D335="",$G335="",$F335=""),0,$G335*IF($F335="Aylık",MAX(0,(YEAR(MIN(IF($E335="",TODAY()-29,$E335),TODAY()-29))-YEAR($D335))*12+MONTH(MIN(IF($E335="",TODAY()-29,$E335),TODAY()-29))-MONTH($D335)+IF(MIN(IF($E335="",TODAY()-29,$E335),TODAY()-29)&gt;=EOMONTH(MIN(IF($E335="",TODAY()-29,$E335),TODAY()-29),0),1,0)),MAX(0,INT((MIN(IF($E335="",TODAY()-29,$E335),TODAY()-29)-($D335+MOD(SISTEM!$F$8-WEEKDAY($D335,2),7)))/7)+1)))</f>
        <v/>
      </c>
      <c r="M335" s="228">
        <f>IF($G335&gt;0,$I335/$G335,0)</f>
        <v/>
      </c>
      <c r="N335" s="113">
        <f>IF($C335="","",IF($B335="TANIMSIZ MÜŞTERİ","TANIMSIZ MÜŞTERİ",IF($F335="","MODEL SEÇİN",IF(OR($D335="",$G335&lt;=0),"EKSİK",IF(AND($E335&lt;&gt;"",$E335&lt;$D335),"TARİH HATASI",IF($H335="Pasif","KAPALI DÖNEM","UYGUN"))))))</f>
        <v/>
      </c>
      <c r="O335" s="229">
        <f>IF(OR($C335="",$D335="",$F335=""),"",IF($F335="Aylık",EOMONTH($D335,0),($D335+MOD(SISTEM!$F$8-WEEKDAY($D335,2),7))))</f>
        <v/>
      </c>
      <c r="P335" s="109" t="n"/>
      <c r="Q335" s="6" t="n"/>
      <c r="R335" s="6" t="n"/>
      <c r="S335" s="3">
        <f>IF($B335="","",$B335&amp;"|"&amp;COUNTIFS($B$7:$B335,$B335))</f>
        <v/>
      </c>
    </row>
    <row r="336">
      <c r="A336" s="6" t="n"/>
      <c r="B336" s="113">
        <f>IF($C336="","",IFERROR(INDEX(MUSTERILER!$B$7:$B$106,MATCH($C336,MUSTERILER!$C$7:$C$106,0)),IFERROR(INDEX(MUSTERILER!$B$7:$B$106,MATCH($C336,MUSTERILER!$B$7:$B$106,0)),IFERROR(INDEX(MUSTERILER!$B$7:$B$106,MATCH($C336&amp;"*",MUSTERILER!$C$7:$C$106,0)),"TANIMSIZ MÜŞTERİ"))))</f>
        <v/>
      </c>
      <c r="C336" s="109" t="n"/>
      <c r="D336" s="225" t="n"/>
      <c r="E336" s="225" t="n"/>
      <c r="F336" s="108" t="n"/>
      <c r="G336" s="226" t="n"/>
      <c r="H336" s="108" t="n"/>
      <c r="I336" s="227">
        <f>IF(OR($C336="",$D336="",$G336="",$F336=""),0,$G336*IF($F336="Aylık",MAX(0,(YEAR(MIN(IF($E336="",TODAY(),$E336),TODAY()))-YEAR($D336))*12+MONTH(MIN(IF($E336="",TODAY(),$E336),TODAY()))-MONTH($D336)+IF(MIN(IF($E336="",TODAY(),$E336),TODAY())&gt;=EOMONTH(MIN(IF($E336="",TODAY(),$E336),TODAY()),0),1,0)),MAX(0,INT((MIN(IF($E336="",TODAY(),$E336),TODAY())-($D336+MOD(SISTEM!$F$8-WEEKDAY($D336,2),7)))/7)+1)))</f>
        <v/>
      </c>
      <c r="J336" s="227">
        <f>IF(OR($C336="",$D336="",$G336="",$F336=""),0,$G336*IF($F336="Aylık",MAX(0,(YEAR(MIN(IF($E336="",TODAY()-8,$E336),TODAY()-8))-YEAR($D336))*12+MONTH(MIN(IF($E336="",TODAY()-8,$E336),TODAY()-8))-MONTH($D336)+IF(MIN(IF($E336="",TODAY()-8,$E336),TODAY()-8)&gt;=EOMONTH(MIN(IF($E336="",TODAY()-8,$E336),TODAY()-8),0),1,0)),MAX(0,INT((MIN(IF($E336="",TODAY()-8,$E336),TODAY()-8)-($D336+MOD(SISTEM!$F$8-WEEKDAY($D336,2),7)))/7)+1)))</f>
        <v/>
      </c>
      <c r="K336" s="227">
        <f>IF(OR($C336="",$D336="",$G336="",$F336=""),0,$G336*IF($F336="Aylık",MAX(0,(YEAR(MIN(IF($E336="",TODAY()-15,$E336),TODAY()-15))-YEAR($D336))*12+MONTH(MIN(IF($E336="",TODAY()-15,$E336),TODAY()-15))-MONTH($D336)+IF(MIN(IF($E336="",TODAY()-15,$E336),TODAY()-15)&gt;=EOMONTH(MIN(IF($E336="",TODAY()-15,$E336),TODAY()-15),0),1,0)),MAX(0,INT((MIN(IF($E336="",TODAY()-15,$E336),TODAY()-15)-($D336+MOD(SISTEM!$F$8-WEEKDAY($D336,2),7)))/7)+1)))</f>
        <v/>
      </c>
      <c r="L336" s="227">
        <f>IF(OR($C336="",$D336="",$G336="",$F336=""),0,$G336*IF($F336="Aylık",MAX(0,(YEAR(MIN(IF($E336="",TODAY()-29,$E336),TODAY()-29))-YEAR($D336))*12+MONTH(MIN(IF($E336="",TODAY()-29,$E336),TODAY()-29))-MONTH($D336)+IF(MIN(IF($E336="",TODAY()-29,$E336),TODAY()-29)&gt;=EOMONTH(MIN(IF($E336="",TODAY()-29,$E336),TODAY()-29),0),1,0)),MAX(0,INT((MIN(IF($E336="",TODAY()-29,$E336),TODAY()-29)-($D336+MOD(SISTEM!$F$8-WEEKDAY($D336,2),7)))/7)+1)))</f>
        <v/>
      </c>
      <c r="M336" s="228">
        <f>IF($G336&gt;0,$I336/$G336,0)</f>
        <v/>
      </c>
      <c r="N336" s="113">
        <f>IF($C336="","",IF($B336="TANIMSIZ MÜŞTERİ","TANIMSIZ MÜŞTERİ",IF($F336="","MODEL SEÇİN",IF(OR($D336="",$G336&lt;=0),"EKSİK",IF(AND($E336&lt;&gt;"",$E336&lt;$D336),"TARİH HATASI",IF($H336="Pasif","KAPALI DÖNEM","UYGUN"))))))</f>
        <v/>
      </c>
      <c r="O336" s="229">
        <f>IF(OR($C336="",$D336="",$F336=""),"",IF($F336="Aylık",EOMONTH($D336,0),($D336+MOD(SISTEM!$F$8-WEEKDAY($D336,2),7))))</f>
        <v/>
      </c>
      <c r="P336" s="109" t="n"/>
      <c r="Q336" s="6" t="n"/>
      <c r="R336" s="6" t="n"/>
      <c r="S336" s="3">
        <f>IF($B336="","",$B336&amp;"|"&amp;COUNTIFS($B$7:$B336,$B336))</f>
        <v/>
      </c>
    </row>
    <row r="337">
      <c r="A337" s="6" t="n"/>
      <c r="B337" s="113">
        <f>IF($C337="","",IFERROR(INDEX(MUSTERILER!$B$7:$B$106,MATCH($C337,MUSTERILER!$C$7:$C$106,0)),IFERROR(INDEX(MUSTERILER!$B$7:$B$106,MATCH($C337,MUSTERILER!$B$7:$B$106,0)),IFERROR(INDEX(MUSTERILER!$B$7:$B$106,MATCH($C337&amp;"*",MUSTERILER!$C$7:$C$106,0)),"TANIMSIZ MÜŞTERİ"))))</f>
        <v/>
      </c>
      <c r="C337" s="109" t="n"/>
      <c r="D337" s="225" t="n"/>
      <c r="E337" s="225" t="n"/>
      <c r="F337" s="108" t="n"/>
      <c r="G337" s="226" t="n"/>
      <c r="H337" s="108" t="n"/>
      <c r="I337" s="227">
        <f>IF(OR($C337="",$D337="",$G337="",$F337=""),0,$G337*IF($F337="Aylık",MAX(0,(YEAR(MIN(IF($E337="",TODAY(),$E337),TODAY()))-YEAR($D337))*12+MONTH(MIN(IF($E337="",TODAY(),$E337),TODAY()))-MONTH($D337)+IF(MIN(IF($E337="",TODAY(),$E337),TODAY())&gt;=EOMONTH(MIN(IF($E337="",TODAY(),$E337),TODAY()),0),1,0)),MAX(0,INT((MIN(IF($E337="",TODAY(),$E337),TODAY())-($D337+MOD(SISTEM!$F$8-WEEKDAY($D337,2),7)))/7)+1)))</f>
        <v/>
      </c>
      <c r="J337" s="227">
        <f>IF(OR($C337="",$D337="",$G337="",$F337=""),0,$G337*IF($F337="Aylık",MAX(0,(YEAR(MIN(IF($E337="",TODAY()-8,$E337),TODAY()-8))-YEAR($D337))*12+MONTH(MIN(IF($E337="",TODAY()-8,$E337),TODAY()-8))-MONTH($D337)+IF(MIN(IF($E337="",TODAY()-8,$E337),TODAY()-8)&gt;=EOMONTH(MIN(IF($E337="",TODAY()-8,$E337),TODAY()-8),0),1,0)),MAX(0,INT((MIN(IF($E337="",TODAY()-8,$E337),TODAY()-8)-($D337+MOD(SISTEM!$F$8-WEEKDAY($D337,2),7)))/7)+1)))</f>
        <v/>
      </c>
      <c r="K337" s="227">
        <f>IF(OR($C337="",$D337="",$G337="",$F337=""),0,$G337*IF($F337="Aylık",MAX(0,(YEAR(MIN(IF($E337="",TODAY()-15,$E337),TODAY()-15))-YEAR($D337))*12+MONTH(MIN(IF($E337="",TODAY()-15,$E337),TODAY()-15))-MONTH($D337)+IF(MIN(IF($E337="",TODAY()-15,$E337),TODAY()-15)&gt;=EOMONTH(MIN(IF($E337="",TODAY()-15,$E337),TODAY()-15),0),1,0)),MAX(0,INT((MIN(IF($E337="",TODAY()-15,$E337),TODAY()-15)-($D337+MOD(SISTEM!$F$8-WEEKDAY($D337,2),7)))/7)+1)))</f>
        <v/>
      </c>
      <c r="L337" s="227">
        <f>IF(OR($C337="",$D337="",$G337="",$F337=""),0,$G337*IF($F337="Aylık",MAX(0,(YEAR(MIN(IF($E337="",TODAY()-29,$E337),TODAY()-29))-YEAR($D337))*12+MONTH(MIN(IF($E337="",TODAY()-29,$E337),TODAY()-29))-MONTH($D337)+IF(MIN(IF($E337="",TODAY()-29,$E337),TODAY()-29)&gt;=EOMONTH(MIN(IF($E337="",TODAY()-29,$E337),TODAY()-29),0),1,0)),MAX(0,INT((MIN(IF($E337="",TODAY()-29,$E337),TODAY()-29)-($D337+MOD(SISTEM!$F$8-WEEKDAY($D337,2),7)))/7)+1)))</f>
        <v/>
      </c>
      <c r="M337" s="228">
        <f>IF($G337&gt;0,$I337/$G337,0)</f>
        <v/>
      </c>
      <c r="N337" s="113">
        <f>IF($C337="","",IF($B337="TANIMSIZ MÜŞTERİ","TANIMSIZ MÜŞTERİ",IF($F337="","MODEL SEÇİN",IF(OR($D337="",$G337&lt;=0),"EKSİK",IF(AND($E337&lt;&gt;"",$E337&lt;$D337),"TARİH HATASI",IF($H337="Pasif","KAPALI DÖNEM","UYGUN"))))))</f>
        <v/>
      </c>
      <c r="O337" s="229">
        <f>IF(OR($C337="",$D337="",$F337=""),"",IF($F337="Aylık",EOMONTH($D337,0),($D337+MOD(SISTEM!$F$8-WEEKDAY($D337,2),7))))</f>
        <v/>
      </c>
      <c r="P337" s="109" t="n"/>
      <c r="Q337" s="6" t="n"/>
      <c r="R337" s="6" t="n"/>
      <c r="S337" s="3">
        <f>IF($B337="","",$B337&amp;"|"&amp;COUNTIFS($B$7:$B337,$B337))</f>
        <v/>
      </c>
    </row>
    <row r="338">
      <c r="A338" s="6" t="n"/>
      <c r="B338" s="113">
        <f>IF($C338="","",IFERROR(INDEX(MUSTERILER!$B$7:$B$106,MATCH($C338,MUSTERILER!$C$7:$C$106,0)),IFERROR(INDEX(MUSTERILER!$B$7:$B$106,MATCH($C338,MUSTERILER!$B$7:$B$106,0)),IFERROR(INDEX(MUSTERILER!$B$7:$B$106,MATCH($C338&amp;"*",MUSTERILER!$C$7:$C$106,0)),"TANIMSIZ MÜŞTERİ"))))</f>
        <v/>
      </c>
      <c r="C338" s="109" t="n"/>
      <c r="D338" s="225" t="n"/>
      <c r="E338" s="225" t="n"/>
      <c r="F338" s="108" t="n"/>
      <c r="G338" s="226" t="n"/>
      <c r="H338" s="108" t="n"/>
      <c r="I338" s="227">
        <f>IF(OR($C338="",$D338="",$G338="",$F338=""),0,$G338*IF($F338="Aylık",MAX(0,(YEAR(MIN(IF($E338="",TODAY(),$E338),TODAY()))-YEAR($D338))*12+MONTH(MIN(IF($E338="",TODAY(),$E338),TODAY()))-MONTH($D338)+IF(MIN(IF($E338="",TODAY(),$E338),TODAY())&gt;=EOMONTH(MIN(IF($E338="",TODAY(),$E338),TODAY()),0),1,0)),MAX(0,INT((MIN(IF($E338="",TODAY(),$E338),TODAY())-($D338+MOD(SISTEM!$F$8-WEEKDAY($D338,2),7)))/7)+1)))</f>
        <v/>
      </c>
      <c r="J338" s="227">
        <f>IF(OR($C338="",$D338="",$G338="",$F338=""),0,$G338*IF($F338="Aylık",MAX(0,(YEAR(MIN(IF($E338="",TODAY()-8,$E338),TODAY()-8))-YEAR($D338))*12+MONTH(MIN(IF($E338="",TODAY()-8,$E338),TODAY()-8))-MONTH($D338)+IF(MIN(IF($E338="",TODAY()-8,$E338),TODAY()-8)&gt;=EOMONTH(MIN(IF($E338="",TODAY()-8,$E338),TODAY()-8),0),1,0)),MAX(0,INT((MIN(IF($E338="",TODAY()-8,$E338),TODAY()-8)-($D338+MOD(SISTEM!$F$8-WEEKDAY($D338,2),7)))/7)+1)))</f>
        <v/>
      </c>
      <c r="K338" s="227">
        <f>IF(OR($C338="",$D338="",$G338="",$F338=""),0,$G338*IF($F338="Aylık",MAX(0,(YEAR(MIN(IF($E338="",TODAY()-15,$E338),TODAY()-15))-YEAR($D338))*12+MONTH(MIN(IF($E338="",TODAY()-15,$E338),TODAY()-15))-MONTH($D338)+IF(MIN(IF($E338="",TODAY()-15,$E338),TODAY()-15)&gt;=EOMONTH(MIN(IF($E338="",TODAY()-15,$E338),TODAY()-15),0),1,0)),MAX(0,INT((MIN(IF($E338="",TODAY()-15,$E338),TODAY()-15)-($D338+MOD(SISTEM!$F$8-WEEKDAY($D338,2),7)))/7)+1)))</f>
        <v/>
      </c>
      <c r="L338" s="227">
        <f>IF(OR($C338="",$D338="",$G338="",$F338=""),0,$G338*IF($F338="Aylık",MAX(0,(YEAR(MIN(IF($E338="",TODAY()-29,$E338),TODAY()-29))-YEAR($D338))*12+MONTH(MIN(IF($E338="",TODAY()-29,$E338),TODAY()-29))-MONTH($D338)+IF(MIN(IF($E338="",TODAY()-29,$E338),TODAY()-29)&gt;=EOMONTH(MIN(IF($E338="",TODAY()-29,$E338),TODAY()-29),0),1,0)),MAX(0,INT((MIN(IF($E338="",TODAY()-29,$E338),TODAY()-29)-($D338+MOD(SISTEM!$F$8-WEEKDAY($D338,2),7)))/7)+1)))</f>
        <v/>
      </c>
      <c r="M338" s="228">
        <f>IF($G338&gt;0,$I338/$G338,0)</f>
        <v/>
      </c>
      <c r="N338" s="113">
        <f>IF($C338="","",IF($B338="TANIMSIZ MÜŞTERİ","TANIMSIZ MÜŞTERİ",IF($F338="","MODEL SEÇİN",IF(OR($D338="",$G338&lt;=0),"EKSİK",IF(AND($E338&lt;&gt;"",$E338&lt;$D338),"TARİH HATASI",IF($H338="Pasif","KAPALI DÖNEM","UYGUN"))))))</f>
        <v/>
      </c>
      <c r="O338" s="229">
        <f>IF(OR($C338="",$D338="",$F338=""),"",IF($F338="Aylık",EOMONTH($D338,0),($D338+MOD(SISTEM!$F$8-WEEKDAY($D338,2),7))))</f>
        <v/>
      </c>
      <c r="P338" s="109" t="n"/>
      <c r="Q338" s="6" t="n"/>
      <c r="R338" s="6" t="n"/>
      <c r="S338" s="3">
        <f>IF($B338="","",$B338&amp;"|"&amp;COUNTIFS($B$7:$B338,$B338))</f>
        <v/>
      </c>
    </row>
    <row r="339">
      <c r="A339" s="6" t="n"/>
      <c r="B339" s="113">
        <f>IF($C339="","",IFERROR(INDEX(MUSTERILER!$B$7:$B$106,MATCH($C339,MUSTERILER!$C$7:$C$106,0)),IFERROR(INDEX(MUSTERILER!$B$7:$B$106,MATCH($C339,MUSTERILER!$B$7:$B$106,0)),IFERROR(INDEX(MUSTERILER!$B$7:$B$106,MATCH($C339&amp;"*",MUSTERILER!$C$7:$C$106,0)),"TANIMSIZ MÜŞTERİ"))))</f>
        <v/>
      </c>
      <c r="C339" s="109" t="n"/>
      <c r="D339" s="225" t="n"/>
      <c r="E339" s="225" t="n"/>
      <c r="F339" s="108" t="n"/>
      <c r="G339" s="226" t="n"/>
      <c r="H339" s="108" t="n"/>
      <c r="I339" s="227">
        <f>IF(OR($C339="",$D339="",$G339="",$F339=""),0,$G339*IF($F339="Aylık",MAX(0,(YEAR(MIN(IF($E339="",TODAY(),$E339),TODAY()))-YEAR($D339))*12+MONTH(MIN(IF($E339="",TODAY(),$E339),TODAY()))-MONTH($D339)+IF(MIN(IF($E339="",TODAY(),$E339),TODAY())&gt;=EOMONTH(MIN(IF($E339="",TODAY(),$E339),TODAY()),0),1,0)),MAX(0,INT((MIN(IF($E339="",TODAY(),$E339),TODAY())-($D339+MOD(SISTEM!$F$8-WEEKDAY($D339,2),7)))/7)+1)))</f>
        <v/>
      </c>
      <c r="J339" s="227">
        <f>IF(OR($C339="",$D339="",$G339="",$F339=""),0,$G339*IF($F339="Aylık",MAX(0,(YEAR(MIN(IF($E339="",TODAY()-8,$E339),TODAY()-8))-YEAR($D339))*12+MONTH(MIN(IF($E339="",TODAY()-8,$E339),TODAY()-8))-MONTH($D339)+IF(MIN(IF($E339="",TODAY()-8,$E339),TODAY()-8)&gt;=EOMONTH(MIN(IF($E339="",TODAY()-8,$E339),TODAY()-8),0),1,0)),MAX(0,INT((MIN(IF($E339="",TODAY()-8,$E339),TODAY()-8)-($D339+MOD(SISTEM!$F$8-WEEKDAY($D339,2),7)))/7)+1)))</f>
        <v/>
      </c>
      <c r="K339" s="227">
        <f>IF(OR($C339="",$D339="",$G339="",$F339=""),0,$G339*IF($F339="Aylık",MAX(0,(YEAR(MIN(IF($E339="",TODAY()-15,$E339),TODAY()-15))-YEAR($D339))*12+MONTH(MIN(IF($E339="",TODAY()-15,$E339),TODAY()-15))-MONTH($D339)+IF(MIN(IF($E339="",TODAY()-15,$E339),TODAY()-15)&gt;=EOMONTH(MIN(IF($E339="",TODAY()-15,$E339),TODAY()-15),0),1,0)),MAX(0,INT((MIN(IF($E339="",TODAY()-15,$E339),TODAY()-15)-($D339+MOD(SISTEM!$F$8-WEEKDAY($D339,2),7)))/7)+1)))</f>
        <v/>
      </c>
      <c r="L339" s="227">
        <f>IF(OR($C339="",$D339="",$G339="",$F339=""),0,$G339*IF($F339="Aylık",MAX(0,(YEAR(MIN(IF($E339="",TODAY()-29,$E339),TODAY()-29))-YEAR($D339))*12+MONTH(MIN(IF($E339="",TODAY()-29,$E339),TODAY()-29))-MONTH($D339)+IF(MIN(IF($E339="",TODAY()-29,$E339),TODAY()-29)&gt;=EOMONTH(MIN(IF($E339="",TODAY()-29,$E339),TODAY()-29),0),1,0)),MAX(0,INT((MIN(IF($E339="",TODAY()-29,$E339),TODAY()-29)-($D339+MOD(SISTEM!$F$8-WEEKDAY($D339,2),7)))/7)+1)))</f>
        <v/>
      </c>
      <c r="M339" s="228">
        <f>IF($G339&gt;0,$I339/$G339,0)</f>
        <v/>
      </c>
      <c r="N339" s="113">
        <f>IF($C339="","",IF($B339="TANIMSIZ MÜŞTERİ","TANIMSIZ MÜŞTERİ",IF($F339="","MODEL SEÇİN",IF(OR($D339="",$G339&lt;=0),"EKSİK",IF(AND($E339&lt;&gt;"",$E339&lt;$D339),"TARİH HATASI",IF($H339="Pasif","KAPALI DÖNEM","UYGUN"))))))</f>
        <v/>
      </c>
      <c r="O339" s="229">
        <f>IF(OR($C339="",$D339="",$F339=""),"",IF($F339="Aylık",EOMONTH($D339,0),($D339+MOD(SISTEM!$F$8-WEEKDAY($D339,2),7))))</f>
        <v/>
      </c>
      <c r="P339" s="109" t="n"/>
      <c r="Q339" s="6" t="n"/>
      <c r="R339" s="6" t="n"/>
      <c r="S339" s="3">
        <f>IF($B339="","",$B339&amp;"|"&amp;COUNTIFS($B$7:$B339,$B339))</f>
        <v/>
      </c>
    </row>
    <row r="340">
      <c r="A340" s="6" t="n"/>
      <c r="B340" s="113">
        <f>IF($C340="","",IFERROR(INDEX(MUSTERILER!$B$7:$B$106,MATCH($C340,MUSTERILER!$C$7:$C$106,0)),IFERROR(INDEX(MUSTERILER!$B$7:$B$106,MATCH($C340,MUSTERILER!$B$7:$B$106,0)),IFERROR(INDEX(MUSTERILER!$B$7:$B$106,MATCH($C340&amp;"*",MUSTERILER!$C$7:$C$106,0)),"TANIMSIZ MÜŞTERİ"))))</f>
        <v/>
      </c>
      <c r="C340" s="109" t="n"/>
      <c r="D340" s="225" t="n"/>
      <c r="E340" s="225" t="n"/>
      <c r="F340" s="108" t="n"/>
      <c r="G340" s="226" t="n"/>
      <c r="H340" s="108" t="n"/>
      <c r="I340" s="227">
        <f>IF(OR($C340="",$D340="",$G340="",$F340=""),0,$G340*IF($F340="Aylık",MAX(0,(YEAR(MIN(IF($E340="",TODAY(),$E340),TODAY()))-YEAR($D340))*12+MONTH(MIN(IF($E340="",TODAY(),$E340),TODAY()))-MONTH($D340)+IF(MIN(IF($E340="",TODAY(),$E340),TODAY())&gt;=EOMONTH(MIN(IF($E340="",TODAY(),$E340),TODAY()),0),1,0)),MAX(0,INT((MIN(IF($E340="",TODAY(),$E340),TODAY())-($D340+MOD(SISTEM!$F$8-WEEKDAY($D340,2),7)))/7)+1)))</f>
        <v/>
      </c>
      <c r="J340" s="227">
        <f>IF(OR($C340="",$D340="",$G340="",$F340=""),0,$G340*IF($F340="Aylık",MAX(0,(YEAR(MIN(IF($E340="",TODAY()-8,$E340),TODAY()-8))-YEAR($D340))*12+MONTH(MIN(IF($E340="",TODAY()-8,$E340),TODAY()-8))-MONTH($D340)+IF(MIN(IF($E340="",TODAY()-8,$E340),TODAY()-8)&gt;=EOMONTH(MIN(IF($E340="",TODAY()-8,$E340),TODAY()-8),0),1,0)),MAX(0,INT((MIN(IF($E340="",TODAY()-8,$E340),TODAY()-8)-($D340+MOD(SISTEM!$F$8-WEEKDAY($D340,2),7)))/7)+1)))</f>
        <v/>
      </c>
      <c r="K340" s="227">
        <f>IF(OR($C340="",$D340="",$G340="",$F340=""),0,$G340*IF($F340="Aylık",MAX(0,(YEAR(MIN(IF($E340="",TODAY()-15,$E340),TODAY()-15))-YEAR($D340))*12+MONTH(MIN(IF($E340="",TODAY()-15,$E340),TODAY()-15))-MONTH($D340)+IF(MIN(IF($E340="",TODAY()-15,$E340),TODAY()-15)&gt;=EOMONTH(MIN(IF($E340="",TODAY()-15,$E340),TODAY()-15),0),1,0)),MAX(0,INT((MIN(IF($E340="",TODAY()-15,$E340),TODAY()-15)-($D340+MOD(SISTEM!$F$8-WEEKDAY($D340,2),7)))/7)+1)))</f>
        <v/>
      </c>
      <c r="L340" s="227">
        <f>IF(OR($C340="",$D340="",$G340="",$F340=""),0,$G340*IF($F340="Aylık",MAX(0,(YEAR(MIN(IF($E340="",TODAY()-29,$E340),TODAY()-29))-YEAR($D340))*12+MONTH(MIN(IF($E340="",TODAY()-29,$E340),TODAY()-29))-MONTH($D340)+IF(MIN(IF($E340="",TODAY()-29,$E340),TODAY()-29)&gt;=EOMONTH(MIN(IF($E340="",TODAY()-29,$E340),TODAY()-29),0),1,0)),MAX(0,INT((MIN(IF($E340="",TODAY()-29,$E340),TODAY()-29)-($D340+MOD(SISTEM!$F$8-WEEKDAY($D340,2),7)))/7)+1)))</f>
        <v/>
      </c>
      <c r="M340" s="228">
        <f>IF($G340&gt;0,$I340/$G340,0)</f>
        <v/>
      </c>
      <c r="N340" s="113">
        <f>IF($C340="","",IF($B340="TANIMSIZ MÜŞTERİ","TANIMSIZ MÜŞTERİ",IF($F340="","MODEL SEÇİN",IF(OR($D340="",$G340&lt;=0),"EKSİK",IF(AND($E340&lt;&gt;"",$E340&lt;$D340),"TARİH HATASI",IF($H340="Pasif","KAPALI DÖNEM","UYGUN"))))))</f>
        <v/>
      </c>
      <c r="O340" s="229">
        <f>IF(OR($C340="",$D340="",$F340=""),"",IF($F340="Aylık",EOMONTH($D340,0),($D340+MOD(SISTEM!$F$8-WEEKDAY($D340,2),7))))</f>
        <v/>
      </c>
      <c r="P340" s="109" t="n"/>
      <c r="Q340" s="6" t="n"/>
      <c r="R340" s="6" t="n"/>
      <c r="S340" s="3">
        <f>IF($B340="","",$B340&amp;"|"&amp;COUNTIFS($B$7:$B340,$B340))</f>
        <v/>
      </c>
    </row>
    <row r="341">
      <c r="A341" s="6" t="n"/>
      <c r="B341" s="113">
        <f>IF($C341="","",IFERROR(INDEX(MUSTERILER!$B$7:$B$106,MATCH($C341,MUSTERILER!$C$7:$C$106,0)),IFERROR(INDEX(MUSTERILER!$B$7:$B$106,MATCH($C341,MUSTERILER!$B$7:$B$106,0)),IFERROR(INDEX(MUSTERILER!$B$7:$B$106,MATCH($C341&amp;"*",MUSTERILER!$C$7:$C$106,0)),"TANIMSIZ MÜŞTERİ"))))</f>
        <v/>
      </c>
      <c r="C341" s="109" t="n"/>
      <c r="D341" s="225" t="n"/>
      <c r="E341" s="225" t="n"/>
      <c r="F341" s="108" t="n"/>
      <c r="G341" s="226" t="n"/>
      <c r="H341" s="108" t="n"/>
      <c r="I341" s="227">
        <f>IF(OR($C341="",$D341="",$G341="",$F341=""),0,$G341*IF($F341="Aylık",MAX(0,(YEAR(MIN(IF($E341="",TODAY(),$E341),TODAY()))-YEAR($D341))*12+MONTH(MIN(IF($E341="",TODAY(),$E341),TODAY()))-MONTH($D341)+IF(MIN(IF($E341="",TODAY(),$E341),TODAY())&gt;=EOMONTH(MIN(IF($E341="",TODAY(),$E341),TODAY()),0),1,0)),MAX(0,INT((MIN(IF($E341="",TODAY(),$E341),TODAY())-($D341+MOD(SISTEM!$F$8-WEEKDAY($D341,2),7)))/7)+1)))</f>
        <v/>
      </c>
      <c r="J341" s="227">
        <f>IF(OR($C341="",$D341="",$G341="",$F341=""),0,$G341*IF($F341="Aylık",MAX(0,(YEAR(MIN(IF($E341="",TODAY()-8,$E341),TODAY()-8))-YEAR($D341))*12+MONTH(MIN(IF($E341="",TODAY()-8,$E341),TODAY()-8))-MONTH($D341)+IF(MIN(IF($E341="",TODAY()-8,$E341),TODAY()-8)&gt;=EOMONTH(MIN(IF($E341="",TODAY()-8,$E341),TODAY()-8),0),1,0)),MAX(0,INT((MIN(IF($E341="",TODAY()-8,$E341),TODAY()-8)-($D341+MOD(SISTEM!$F$8-WEEKDAY($D341,2),7)))/7)+1)))</f>
        <v/>
      </c>
      <c r="K341" s="227">
        <f>IF(OR($C341="",$D341="",$G341="",$F341=""),0,$G341*IF($F341="Aylık",MAX(0,(YEAR(MIN(IF($E341="",TODAY()-15,$E341),TODAY()-15))-YEAR($D341))*12+MONTH(MIN(IF($E341="",TODAY()-15,$E341),TODAY()-15))-MONTH($D341)+IF(MIN(IF($E341="",TODAY()-15,$E341),TODAY()-15)&gt;=EOMONTH(MIN(IF($E341="",TODAY()-15,$E341),TODAY()-15),0),1,0)),MAX(0,INT((MIN(IF($E341="",TODAY()-15,$E341),TODAY()-15)-($D341+MOD(SISTEM!$F$8-WEEKDAY($D341,2),7)))/7)+1)))</f>
        <v/>
      </c>
      <c r="L341" s="227">
        <f>IF(OR($C341="",$D341="",$G341="",$F341=""),0,$G341*IF($F341="Aylık",MAX(0,(YEAR(MIN(IF($E341="",TODAY()-29,$E341),TODAY()-29))-YEAR($D341))*12+MONTH(MIN(IF($E341="",TODAY()-29,$E341),TODAY()-29))-MONTH($D341)+IF(MIN(IF($E341="",TODAY()-29,$E341),TODAY()-29)&gt;=EOMONTH(MIN(IF($E341="",TODAY()-29,$E341),TODAY()-29),0),1,0)),MAX(0,INT((MIN(IF($E341="",TODAY()-29,$E341),TODAY()-29)-($D341+MOD(SISTEM!$F$8-WEEKDAY($D341,2),7)))/7)+1)))</f>
        <v/>
      </c>
      <c r="M341" s="228">
        <f>IF($G341&gt;0,$I341/$G341,0)</f>
        <v/>
      </c>
      <c r="N341" s="113">
        <f>IF($C341="","",IF($B341="TANIMSIZ MÜŞTERİ","TANIMSIZ MÜŞTERİ",IF($F341="","MODEL SEÇİN",IF(OR($D341="",$G341&lt;=0),"EKSİK",IF(AND($E341&lt;&gt;"",$E341&lt;$D341),"TARİH HATASI",IF($H341="Pasif","KAPALI DÖNEM","UYGUN"))))))</f>
        <v/>
      </c>
      <c r="O341" s="229">
        <f>IF(OR($C341="",$D341="",$F341=""),"",IF($F341="Aylık",EOMONTH($D341,0),($D341+MOD(SISTEM!$F$8-WEEKDAY($D341,2),7))))</f>
        <v/>
      </c>
      <c r="P341" s="109" t="n"/>
      <c r="Q341" s="6" t="n"/>
      <c r="R341" s="6" t="n"/>
      <c r="S341" s="3">
        <f>IF($B341="","",$B341&amp;"|"&amp;COUNTIFS($B$7:$B341,$B341))</f>
        <v/>
      </c>
    </row>
    <row r="342">
      <c r="A342" s="6" t="n"/>
      <c r="B342" s="113">
        <f>IF($C342="","",IFERROR(INDEX(MUSTERILER!$B$7:$B$106,MATCH($C342,MUSTERILER!$C$7:$C$106,0)),IFERROR(INDEX(MUSTERILER!$B$7:$B$106,MATCH($C342,MUSTERILER!$B$7:$B$106,0)),IFERROR(INDEX(MUSTERILER!$B$7:$B$106,MATCH($C342&amp;"*",MUSTERILER!$C$7:$C$106,0)),"TANIMSIZ MÜŞTERİ"))))</f>
        <v/>
      </c>
      <c r="C342" s="109" t="n"/>
      <c r="D342" s="225" t="n"/>
      <c r="E342" s="225" t="n"/>
      <c r="F342" s="108" t="n"/>
      <c r="G342" s="226" t="n"/>
      <c r="H342" s="108" t="n"/>
      <c r="I342" s="227">
        <f>IF(OR($C342="",$D342="",$G342="",$F342=""),0,$G342*IF($F342="Aylık",MAX(0,(YEAR(MIN(IF($E342="",TODAY(),$E342),TODAY()))-YEAR($D342))*12+MONTH(MIN(IF($E342="",TODAY(),$E342),TODAY()))-MONTH($D342)+IF(MIN(IF($E342="",TODAY(),$E342),TODAY())&gt;=EOMONTH(MIN(IF($E342="",TODAY(),$E342),TODAY()),0),1,0)),MAX(0,INT((MIN(IF($E342="",TODAY(),$E342),TODAY())-($D342+MOD(SISTEM!$F$8-WEEKDAY($D342,2),7)))/7)+1)))</f>
        <v/>
      </c>
      <c r="J342" s="227">
        <f>IF(OR($C342="",$D342="",$G342="",$F342=""),0,$G342*IF($F342="Aylık",MAX(0,(YEAR(MIN(IF($E342="",TODAY()-8,$E342),TODAY()-8))-YEAR($D342))*12+MONTH(MIN(IF($E342="",TODAY()-8,$E342),TODAY()-8))-MONTH($D342)+IF(MIN(IF($E342="",TODAY()-8,$E342),TODAY()-8)&gt;=EOMONTH(MIN(IF($E342="",TODAY()-8,$E342),TODAY()-8),0),1,0)),MAX(0,INT((MIN(IF($E342="",TODAY()-8,$E342),TODAY()-8)-($D342+MOD(SISTEM!$F$8-WEEKDAY($D342,2),7)))/7)+1)))</f>
        <v/>
      </c>
      <c r="K342" s="227">
        <f>IF(OR($C342="",$D342="",$G342="",$F342=""),0,$G342*IF($F342="Aylık",MAX(0,(YEAR(MIN(IF($E342="",TODAY()-15,$E342),TODAY()-15))-YEAR($D342))*12+MONTH(MIN(IF($E342="",TODAY()-15,$E342),TODAY()-15))-MONTH($D342)+IF(MIN(IF($E342="",TODAY()-15,$E342),TODAY()-15)&gt;=EOMONTH(MIN(IF($E342="",TODAY()-15,$E342),TODAY()-15),0),1,0)),MAX(0,INT((MIN(IF($E342="",TODAY()-15,$E342),TODAY()-15)-($D342+MOD(SISTEM!$F$8-WEEKDAY($D342,2),7)))/7)+1)))</f>
        <v/>
      </c>
      <c r="L342" s="227">
        <f>IF(OR($C342="",$D342="",$G342="",$F342=""),0,$G342*IF($F342="Aylık",MAX(0,(YEAR(MIN(IF($E342="",TODAY()-29,$E342),TODAY()-29))-YEAR($D342))*12+MONTH(MIN(IF($E342="",TODAY()-29,$E342),TODAY()-29))-MONTH($D342)+IF(MIN(IF($E342="",TODAY()-29,$E342),TODAY()-29)&gt;=EOMONTH(MIN(IF($E342="",TODAY()-29,$E342),TODAY()-29),0),1,0)),MAX(0,INT((MIN(IF($E342="",TODAY()-29,$E342),TODAY()-29)-($D342+MOD(SISTEM!$F$8-WEEKDAY($D342,2),7)))/7)+1)))</f>
        <v/>
      </c>
      <c r="M342" s="228">
        <f>IF($G342&gt;0,$I342/$G342,0)</f>
        <v/>
      </c>
      <c r="N342" s="113">
        <f>IF($C342="","",IF($B342="TANIMSIZ MÜŞTERİ","TANIMSIZ MÜŞTERİ",IF($F342="","MODEL SEÇİN",IF(OR($D342="",$G342&lt;=0),"EKSİK",IF(AND($E342&lt;&gt;"",$E342&lt;$D342),"TARİH HATASI",IF($H342="Pasif","KAPALI DÖNEM","UYGUN"))))))</f>
        <v/>
      </c>
      <c r="O342" s="229">
        <f>IF(OR($C342="",$D342="",$F342=""),"",IF($F342="Aylık",EOMONTH($D342,0),($D342+MOD(SISTEM!$F$8-WEEKDAY($D342,2),7))))</f>
        <v/>
      </c>
      <c r="P342" s="109" t="n"/>
      <c r="Q342" s="6" t="n"/>
      <c r="R342" s="6" t="n"/>
      <c r="S342" s="3">
        <f>IF($B342="","",$B342&amp;"|"&amp;COUNTIFS($B$7:$B342,$B342))</f>
        <v/>
      </c>
    </row>
    <row r="343">
      <c r="A343" s="6" t="n"/>
      <c r="B343" s="113">
        <f>IF($C343="","",IFERROR(INDEX(MUSTERILER!$B$7:$B$106,MATCH($C343,MUSTERILER!$C$7:$C$106,0)),IFERROR(INDEX(MUSTERILER!$B$7:$B$106,MATCH($C343,MUSTERILER!$B$7:$B$106,0)),IFERROR(INDEX(MUSTERILER!$B$7:$B$106,MATCH($C343&amp;"*",MUSTERILER!$C$7:$C$106,0)),"TANIMSIZ MÜŞTERİ"))))</f>
        <v/>
      </c>
      <c r="C343" s="109" t="n"/>
      <c r="D343" s="225" t="n"/>
      <c r="E343" s="225" t="n"/>
      <c r="F343" s="108" t="n"/>
      <c r="G343" s="226" t="n"/>
      <c r="H343" s="108" t="n"/>
      <c r="I343" s="227">
        <f>IF(OR($C343="",$D343="",$G343="",$F343=""),0,$G343*IF($F343="Aylık",MAX(0,(YEAR(MIN(IF($E343="",TODAY(),$E343),TODAY()))-YEAR($D343))*12+MONTH(MIN(IF($E343="",TODAY(),$E343),TODAY()))-MONTH($D343)+IF(MIN(IF($E343="",TODAY(),$E343),TODAY())&gt;=EOMONTH(MIN(IF($E343="",TODAY(),$E343),TODAY()),0),1,0)),MAX(0,INT((MIN(IF($E343="",TODAY(),$E343),TODAY())-($D343+MOD(SISTEM!$F$8-WEEKDAY($D343,2),7)))/7)+1)))</f>
        <v/>
      </c>
      <c r="J343" s="227">
        <f>IF(OR($C343="",$D343="",$G343="",$F343=""),0,$G343*IF($F343="Aylık",MAX(0,(YEAR(MIN(IF($E343="",TODAY()-8,$E343),TODAY()-8))-YEAR($D343))*12+MONTH(MIN(IF($E343="",TODAY()-8,$E343),TODAY()-8))-MONTH($D343)+IF(MIN(IF($E343="",TODAY()-8,$E343),TODAY()-8)&gt;=EOMONTH(MIN(IF($E343="",TODAY()-8,$E343),TODAY()-8),0),1,0)),MAX(0,INT((MIN(IF($E343="",TODAY()-8,$E343),TODAY()-8)-($D343+MOD(SISTEM!$F$8-WEEKDAY($D343,2),7)))/7)+1)))</f>
        <v/>
      </c>
      <c r="K343" s="227">
        <f>IF(OR($C343="",$D343="",$G343="",$F343=""),0,$G343*IF($F343="Aylık",MAX(0,(YEAR(MIN(IF($E343="",TODAY()-15,$E343),TODAY()-15))-YEAR($D343))*12+MONTH(MIN(IF($E343="",TODAY()-15,$E343),TODAY()-15))-MONTH($D343)+IF(MIN(IF($E343="",TODAY()-15,$E343),TODAY()-15)&gt;=EOMONTH(MIN(IF($E343="",TODAY()-15,$E343),TODAY()-15),0),1,0)),MAX(0,INT((MIN(IF($E343="",TODAY()-15,$E343),TODAY()-15)-($D343+MOD(SISTEM!$F$8-WEEKDAY($D343,2),7)))/7)+1)))</f>
        <v/>
      </c>
      <c r="L343" s="227">
        <f>IF(OR($C343="",$D343="",$G343="",$F343=""),0,$G343*IF($F343="Aylık",MAX(0,(YEAR(MIN(IF($E343="",TODAY()-29,$E343),TODAY()-29))-YEAR($D343))*12+MONTH(MIN(IF($E343="",TODAY()-29,$E343),TODAY()-29))-MONTH($D343)+IF(MIN(IF($E343="",TODAY()-29,$E343),TODAY()-29)&gt;=EOMONTH(MIN(IF($E343="",TODAY()-29,$E343),TODAY()-29),0),1,0)),MAX(0,INT((MIN(IF($E343="",TODAY()-29,$E343),TODAY()-29)-($D343+MOD(SISTEM!$F$8-WEEKDAY($D343,2),7)))/7)+1)))</f>
        <v/>
      </c>
      <c r="M343" s="228">
        <f>IF($G343&gt;0,$I343/$G343,0)</f>
        <v/>
      </c>
      <c r="N343" s="113">
        <f>IF($C343="","",IF($B343="TANIMSIZ MÜŞTERİ","TANIMSIZ MÜŞTERİ",IF($F343="","MODEL SEÇİN",IF(OR($D343="",$G343&lt;=0),"EKSİK",IF(AND($E343&lt;&gt;"",$E343&lt;$D343),"TARİH HATASI",IF($H343="Pasif","KAPALI DÖNEM","UYGUN"))))))</f>
        <v/>
      </c>
      <c r="O343" s="229">
        <f>IF(OR($C343="",$D343="",$F343=""),"",IF($F343="Aylık",EOMONTH($D343,0),($D343+MOD(SISTEM!$F$8-WEEKDAY($D343,2),7))))</f>
        <v/>
      </c>
      <c r="P343" s="109" t="n"/>
      <c r="Q343" s="6" t="n"/>
      <c r="R343" s="6" t="n"/>
      <c r="S343" s="3">
        <f>IF($B343="","",$B343&amp;"|"&amp;COUNTIFS($B$7:$B343,$B343))</f>
        <v/>
      </c>
    </row>
    <row r="344">
      <c r="A344" s="6" t="n"/>
      <c r="B344" s="113">
        <f>IF($C344="","",IFERROR(INDEX(MUSTERILER!$B$7:$B$106,MATCH($C344,MUSTERILER!$C$7:$C$106,0)),IFERROR(INDEX(MUSTERILER!$B$7:$B$106,MATCH($C344,MUSTERILER!$B$7:$B$106,0)),IFERROR(INDEX(MUSTERILER!$B$7:$B$106,MATCH($C344&amp;"*",MUSTERILER!$C$7:$C$106,0)),"TANIMSIZ MÜŞTERİ"))))</f>
        <v/>
      </c>
      <c r="C344" s="109" t="n"/>
      <c r="D344" s="225" t="n"/>
      <c r="E344" s="225" t="n"/>
      <c r="F344" s="108" t="n"/>
      <c r="G344" s="226" t="n"/>
      <c r="H344" s="108" t="n"/>
      <c r="I344" s="227">
        <f>IF(OR($C344="",$D344="",$G344="",$F344=""),0,$G344*IF($F344="Aylık",MAX(0,(YEAR(MIN(IF($E344="",TODAY(),$E344),TODAY()))-YEAR($D344))*12+MONTH(MIN(IF($E344="",TODAY(),$E344),TODAY()))-MONTH($D344)+IF(MIN(IF($E344="",TODAY(),$E344),TODAY())&gt;=EOMONTH(MIN(IF($E344="",TODAY(),$E344),TODAY()),0),1,0)),MAX(0,INT((MIN(IF($E344="",TODAY(),$E344),TODAY())-($D344+MOD(SISTEM!$F$8-WEEKDAY($D344,2),7)))/7)+1)))</f>
        <v/>
      </c>
      <c r="J344" s="227">
        <f>IF(OR($C344="",$D344="",$G344="",$F344=""),0,$G344*IF($F344="Aylık",MAX(0,(YEAR(MIN(IF($E344="",TODAY()-8,$E344),TODAY()-8))-YEAR($D344))*12+MONTH(MIN(IF($E344="",TODAY()-8,$E344),TODAY()-8))-MONTH($D344)+IF(MIN(IF($E344="",TODAY()-8,$E344),TODAY()-8)&gt;=EOMONTH(MIN(IF($E344="",TODAY()-8,$E344),TODAY()-8),0),1,0)),MAX(0,INT((MIN(IF($E344="",TODAY()-8,$E344),TODAY()-8)-($D344+MOD(SISTEM!$F$8-WEEKDAY($D344,2),7)))/7)+1)))</f>
        <v/>
      </c>
      <c r="K344" s="227">
        <f>IF(OR($C344="",$D344="",$G344="",$F344=""),0,$G344*IF($F344="Aylık",MAX(0,(YEAR(MIN(IF($E344="",TODAY()-15,$E344),TODAY()-15))-YEAR($D344))*12+MONTH(MIN(IF($E344="",TODAY()-15,$E344),TODAY()-15))-MONTH($D344)+IF(MIN(IF($E344="",TODAY()-15,$E344),TODAY()-15)&gt;=EOMONTH(MIN(IF($E344="",TODAY()-15,$E344),TODAY()-15),0),1,0)),MAX(0,INT((MIN(IF($E344="",TODAY()-15,$E344),TODAY()-15)-($D344+MOD(SISTEM!$F$8-WEEKDAY($D344,2),7)))/7)+1)))</f>
        <v/>
      </c>
      <c r="L344" s="227">
        <f>IF(OR($C344="",$D344="",$G344="",$F344=""),0,$G344*IF($F344="Aylık",MAX(0,(YEAR(MIN(IF($E344="",TODAY()-29,$E344),TODAY()-29))-YEAR($D344))*12+MONTH(MIN(IF($E344="",TODAY()-29,$E344),TODAY()-29))-MONTH($D344)+IF(MIN(IF($E344="",TODAY()-29,$E344),TODAY()-29)&gt;=EOMONTH(MIN(IF($E344="",TODAY()-29,$E344),TODAY()-29),0),1,0)),MAX(0,INT((MIN(IF($E344="",TODAY()-29,$E344),TODAY()-29)-($D344+MOD(SISTEM!$F$8-WEEKDAY($D344,2),7)))/7)+1)))</f>
        <v/>
      </c>
      <c r="M344" s="228">
        <f>IF($G344&gt;0,$I344/$G344,0)</f>
        <v/>
      </c>
      <c r="N344" s="113">
        <f>IF($C344="","",IF($B344="TANIMSIZ MÜŞTERİ","TANIMSIZ MÜŞTERİ",IF($F344="","MODEL SEÇİN",IF(OR($D344="",$G344&lt;=0),"EKSİK",IF(AND($E344&lt;&gt;"",$E344&lt;$D344),"TARİH HATASI",IF($H344="Pasif","KAPALI DÖNEM","UYGUN"))))))</f>
        <v/>
      </c>
      <c r="O344" s="229">
        <f>IF(OR($C344="",$D344="",$F344=""),"",IF($F344="Aylık",EOMONTH($D344,0),($D344+MOD(SISTEM!$F$8-WEEKDAY($D344,2),7))))</f>
        <v/>
      </c>
      <c r="P344" s="109" t="n"/>
      <c r="Q344" s="6" t="n"/>
      <c r="R344" s="6" t="n"/>
      <c r="S344" s="3">
        <f>IF($B344="","",$B344&amp;"|"&amp;COUNTIFS($B$7:$B344,$B344))</f>
        <v/>
      </c>
    </row>
    <row r="345">
      <c r="A345" s="6" t="n"/>
      <c r="B345" s="113">
        <f>IF($C345="","",IFERROR(INDEX(MUSTERILER!$B$7:$B$106,MATCH($C345,MUSTERILER!$C$7:$C$106,0)),IFERROR(INDEX(MUSTERILER!$B$7:$B$106,MATCH($C345,MUSTERILER!$B$7:$B$106,0)),IFERROR(INDEX(MUSTERILER!$B$7:$B$106,MATCH($C345&amp;"*",MUSTERILER!$C$7:$C$106,0)),"TANIMSIZ MÜŞTERİ"))))</f>
        <v/>
      </c>
      <c r="C345" s="109" t="n"/>
      <c r="D345" s="225" t="n"/>
      <c r="E345" s="225" t="n"/>
      <c r="F345" s="108" t="n"/>
      <c r="G345" s="226" t="n"/>
      <c r="H345" s="108" t="n"/>
      <c r="I345" s="227">
        <f>IF(OR($C345="",$D345="",$G345="",$F345=""),0,$G345*IF($F345="Aylık",MAX(0,(YEAR(MIN(IF($E345="",TODAY(),$E345),TODAY()))-YEAR($D345))*12+MONTH(MIN(IF($E345="",TODAY(),$E345),TODAY()))-MONTH($D345)+IF(MIN(IF($E345="",TODAY(),$E345),TODAY())&gt;=EOMONTH(MIN(IF($E345="",TODAY(),$E345),TODAY()),0),1,0)),MAX(0,INT((MIN(IF($E345="",TODAY(),$E345),TODAY())-($D345+MOD(SISTEM!$F$8-WEEKDAY($D345,2),7)))/7)+1)))</f>
        <v/>
      </c>
      <c r="J345" s="227">
        <f>IF(OR($C345="",$D345="",$G345="",$F345=""),0,$G345*IF($F345="Aylık",MAX(0,(YEAR(MIN(IF($E345="",TODAY()-8,$E345),TODAY()-8))-YEAR($D345))*12+MONTH(MIN(IF($E345="",TODAY()-8,$E345),TODAY()-8))-MONTH($D345)+IF(MIN(IF($E345="",TODAY()-8,$E345),TODAY()-8)&gt;=EOMONTH(MIN(IF($E345="",TODAY()-8,$E345),TODAY()-8),0),1,0)),MAX(0,INT((MIN(IF($E345="",TODAY()-8,$E345),TODAY()-8)-($D345+MOD(SISTEM!$F$8-WEEKDAY($D345,2),7)))/7)+1)))</f>
        <v/>
      </c>
      <c r="K345" s="227">
        <f>IF(OR($C345="",$D345="",$G345="",$F345=""),0,$G345*IF($F345="Aylık",MAX(0,(YEAR(MIN(IF($E345="",TODAY()-15,$E345),TODAY()-15))-YEAR($D345))*12+MONTH(MIN(IF($E345="",TODAY()-15,$E345),TODAY()-15))-MONTH($D345)+IF(MIN(IF($E345="",TODAY()-15,$E345),TODAY()-15)&gt;=EOMONTH(MIN(IF($E345="",TODAY()-15,$E345),TODAY()-15),0),1,0)),MAX(0,INT((MIN(IF($E345="",TODAY()-15,$E345),TODAY()-15)-($D345+MOD(SISTEM!$F$8-WEEKDAY($D345,2),7)))/7)+1)))</f>
        <v/>
      </c>
      <c r="L345" s="227">
        <f>IF(OR($C345="",$D345="",$G345="",$F345=""),0,$G345*IF($F345="Aylık",MAX(0,(YEAR(MIN(IF($E345="",TODAY()-29,$E345),TODAY()-29))-YEAR($D345))*12+MONTH(MIN(IF($E345="",TODAY()-29,$E345),TODAY()-29))-MONTH($D345)+IF(MIN(IF($E345="",TODAY()-29,$E345),TODAY()-29)&gt;=EOMONTH(MIN(IF($E345="",TODAY()-29,$E345),TODAY()-29),0),1,0)),MAX(0,INT((MIN(IF($E345="",TODAY()-29,$E345),TODAY()-29)-($D345+MOD(SISTEM!$F$8-WEEKDAY($D345,2),7)))/7)+1)))</f>
        <v/>
      </c>
      <c r="M345" s="228">
        <f>IF($G345&gt;0,$I345/$G345,0)</f>
        <v/>
      </c>
      <c r="N345" s="113">
        <f>IF($C345="","",IF($B345="TANIMSIZ MÜŞTERİ","TANIMSIZ MÜŞTERİ",IF($F345="","MODEL SEÇİN",IF(OR($D345="",$G345&lt;=0),"EKSİK",IF(AND($E345&lt;&gt;"",$E345&lt;$D345),"TARİH HATASI",IF($H345="Pasif","KAPALI DÖNEM","UYGUN"))))))</f>
        <v/>
      </c>
      <c r="O345" s="229">
        <f>IF(OR($C345="",$D345="",$F345=""),"",IF($F345="Aylık",EOMONTH($D345,0),($D345+MOD(SISTEM!$F$8-WEEKDAY($D345,2),7))))</f>
        <v/>
      </c>
      <c r="P345" s="109" t="n"/>
      <c r="Q345" s="6" t="n"/>
      <c r="R345" s="6" t="n"/>
      <c r="S345" s="3">
        <f>IF($B345="","",$B345&amp;"|"&amp;COUNTIFS($B$7:$B345,$B345))</f>
        <v/>
      </c>
    </row>
    <row r="346">
      <c r="A346" s="6" t="n"/>
      <c r="B346" s="113">
        <f>IF($C346="","",IFERROR(INDEX(MUSTERILER!$B$7:$B$106,MATCH($C346,MUSTERILER!$C$7:$C$106,0)),IFERROR(INDEX(MUSTERILER!$B$7:$B$106,MATCH($C346,MUSTERILER!$B$7:$B$106,0)),IFERROR(INDEX(MUSTERILER!$B$7:$B$106,MATCH($C346&amp;"*",MUSTERILER!$C$7:$C$106,0)),"TANIMSIZ MÜŞTERİ"))))</f>
        <v/>
      </c>
      <c r="C346" s="109" t="n"/>
      <c r="D346" s="225" t="n"/>
      <c r="E346" s="225" t="n"/>
      <c r="F346" s="108" t="n"/>
      <c r="G346" s="226" t="n"/>
      <c r="H346" s="108" t="n"/>
      <c r="I346" s="227">
        <f>IF(OR($C346="",$D346="",$G346="",$F346=""),0,$G346*IF($F346="Aylık",MAX(0,(YEAR(MIN(IF($E346="",TODAY(),$E346),TODAY()))-YEAR($D346))*12+MONTH(MIN(IF($E346="",TODAY(),$E346),TODAY()))-MONTH($D346)+IF(MIN(IF($E346="",TODAY(),$E346),TODAY())&gt;=EOMONTH(MIN(IF($E346="",TODAY(),$E346),TODAY()),0),1,0)),MAX(0,INT((MIN(IF($E346="",TODAY(),$E346),TODAY())-($D346+MOD(SISTEM!$F$8-WEEKDAY($D346,2),7)))/7)+1)))</f>
        <v/>
      </c>
      <c r="J346" s="227">
        <f>IF(OR($C346="",$D346="",$G346="",$F346=""),0,$G346*IF($F346="Aylık",MAX(0,(YEAR(MIN(IF($E346="",TODAY()-8,$E346),TODAY()-8))-YEAR($D346))*12+MONTH(MIN(IF($E346="",TODAY()-8,$E346),TODAY()-8))-MONTH($D346)+IF(MIN(IF($E346="",TODAY()-8,$E346),TODAY()-8)&gt;=EOMONTH(MIN(IF($E346="",TODAY()-8,$E346),TODAY()-8),0),1,0)),MAX(0,INT((MIN(IF($E346="",TODAY()-8,$E346),TODAY()-8)-($D346+MOD(SISTEM!$F$8-WEEKDAY($D346,2),7)))/7)+1)))</f>
        <v/>
      </c>
      <c r="K346" s="227">
        <f>IF(OR($C346="",$D346="",$G346="",$F346=""),0,$G346*IF($F346="Aylık",MAX(0,(YEAR(MIN(IF($E346="",TODAY()-15,$E346),TODAY()-15))-YEAR($D346))*12+MONTH(MIN(IF($E346="",TODAY()-15,$E346),TODAY()-15))-MONTH($D346)+IF(MIN(IF($E346="",TODAY()-15,$E346),TODAY()-15)&gt;=EOMONTH(MIN(IF($E346="",TODAY()-15,$E346),TODAY()-15),0),1,0)),MAX(0,INT((MIN(IF($E346="",TODAY()-15,$E346),TODAY()-15)-($D346+MOD(SISTEM!$F$8-WEEKDAY($D346,2),7)))/7)+1)))</f>
        <v/>
      </c>
      <c r="L346" s="227">
        <f>IF(OR($C346="",$D346="",$G346="",$F346=""),0,$G346*IF($F346="Aylık",MAX(0,(YEAR(MIN(IF($E346="",TODAY()-29,$E346),TODAY()-29))-YEAR($D346))*12+MONTH(MIN(IF($E346="",TODAY()-29,$E346),TODAY()-29))-MONTH($D346)+IF(MIN(IF($E346="",TODAY()-29,$E346),TODAY()-29)&gt;=EOMONTH(MIN(IF($E346="",TODAY()-29,$E346),TODAY()-29),0),1,0)),MAX(0,INT((MIN(IF($E346="",TODAY()-29,$E346),TODAY()-29)-($D346+MOD(SISTEM!$F$8-WEEKDAY($D346,2),7)))/7)+1)))</f>
        <v/>
      </c>
      <c r="M346" s="228">
        <f>IF($G346&gt;0,$I346/$G346,0)</f>
        <v/>
      </c>
      <c r="N346" s="113">
        <f>IF($C346="","",IF($B346="TANIMSIZ MÜŞTERİ","TANIMSIZ MÜŞTERİ",IF($F346="","MODEL SEÇİN",IF(OR($D346="",$G346&lt;=0),"EKSİK",IF(AND($E346&lt;&gt;"",$E346&lt;$D346),"TARİH HATASI",IF($H346="Pasif","KAPALI DÖNEM","UYGUN"))))))</f>
        <v/>
      </c>
      <c r="O346" s="229">
        <f>IF(OR($C346="",$D346="",$F346=""),"",IF($F346="Aylık",EOMONTH($D346,0),($D346+MOD(SISTEM!$F$8-WEEKDAY($D346,2),7))))</f>
        <v/>
      </c>
      <c r="P346" s="109" t="n"/>
      <c r="Q346" s="6" t="n"/>
      <c r="R346" s="6" t="n"/>
      <c r="S346" s="3">
        <f>IF($B346="","",$B346&amp;"|"&amp;COUNTIFS($B$7:$B346,$B346))</f>
        <v/>
      </c>
    </row>
    <row r="347">
      <c r="A347" s="6" t="n"/>
      <c r="B347" s="113">
        <f>IF($C347="","",IFERROR(INDEX(MUSTERILER!$B$7:$B$106,MATCH($C347,MUSTERILER!$C$7:$C$106,0)),IFERROR(INDEX(MUSTERILER!$B$7:$B$106,MATCH($C347,MUSTERILER!$B$7:$B$106,0)),IFERROR(INDEX(MUSTERILER!$B$7:$B$106,MATCH($C347&amp;"*",MUSTERILER!$C$7:$C$106,0)),"TANIMSIZ MÜŞTERİ"))))</f>
        <v/>
      </c>
      <c r="C347" s="109" t="n"/>
      <c r="D347" s="225" t="n"/>
      <c r="E347" s="225" t="n"/>
      <c r="F347" s="108" t="n"/>
      <c r="G347" s="226" t="n"/>
      <c r="H347" s="108" t="n"/>
      <c r="I347" s="227">
        <f>IF(OR($C347="",$D347="",$G347="",$F347=""),0,$G347*IF($F347="Aylık",MAX(0,(YEAR(MIN(IF($E347="",TODAY(),$E347),TODAY()))-YEAR($D347))*12+MONTH(MIN(IF($E347="",TODAY(),$E347),TODAY()))-MONTH($D347)+IF(MIN(IF($E347="",TODAY(),$E347),TODAY())&gt;=EOMONTH(MIN(IF($E347="",TODAY(),$E347),TODAY()),0),1,0)),MAX(0,INT((MIN(IF($E347="",TODAY(),$E347),TODAY())-($D347+MOD(SISTEM!$F$8-WEEKDAY($D347,2),7)))/7)+1)))</f>
        <v/>
      </c>
      <c r="J347" s="227">
        <f>IF(OR($C347="",$D347="",$G347="",$F347=""),0,$G347*IF($F347="Aylık",MAX(0,(YEAR(MIN(IF($E347="",TODAY()-8,$E347),TODAY()-8))-YEAR($D347))*12+MONTH(MIN(IF($E347="",TODAY()-8,$E347),TODAY()-8))-MONTH($D347)+IF(MIN(IF($E347="",TODAY()-8,$E347),TODAY()-8)&gt;=EOMONTH(MIN(IF($E347="",TODAY()-8,$E347),TODAY()-8),0),1,0)),MAX(0,INT((MIN(IF($E347="",TODAY()-8,$E347),TODAY()-8)-($D347+MOD(SISTEM!$F$8-WEEKDAY($D347,2),7)))/7)+1)))</f>
        <v/>
      </c>
      <c r="K347" s="227">
        <f>IF(OR($C347="",$D347="",$G347="",$F347=""),0,$G347*IF($F347="Aylık",MAX(0,(YEAR(MIN(IF($E347="",TODAY()-15,$E347),TODAY()-15))-YEAR($D347))*12+MONTH(MIN(IF($E347="",TODAY()-15,$E347),TODAY()-15))-MONTH($D347)+IF(MIN(IF($E347="",TODAY()-15,$E347),TODAY()-15)&gt;=EOMONTH(MIN(IF($E347="",TODAY()-15,$E347),TODAY()-15),0),1,0)),MAX(0,INT((MIN(IF($E347="",TODAY()-15,$E347),TODAY()-15)-($D347+MOD(SISTEM!$F$8-WEEKDAY($D347,2),7)))/7)+1)))</f>
        <v/>
      </c>
      <c r="L347" s="227">
        <f>IF(OR($C347="",$D347="",$G347="",$F347=""),0,$G347*IF($F347="Aylık",MAX(0,(YEAR(MIN(IF($E347="",TODAY()-29,$E347),TODAY()-29))-YEAR($D347))*12+MONTH(MIN(IF($E347="",TODAY()-29,$E347),TODAY()-29))-MONTH($D347)+IF(MIN(IF($E347="",TODAY()-29,$E347),TODAY()-29)&gt;=EOMONTH(MIN(IF($E347="",TODAY()-29,$E347),TODAY()-29),0),1,0)),MAX(0,INT((MIN(IF($E347="",TODAY()-29,$E347),TODAY()-29)-($D347+MOD(SISTEM!$F$8-WEEKDAY($D347,2),7)))/7)+1)))</f>
        <v/>
      </c>
      <c r="M347" s="228">
        <f>IF($G347&gt;0,$I347/$G347,0)</f>
        <v/>
      </c>
      <c r="N347" s="113">
        <f>IF($C347="","",IF($B347="TANIMSIZ MÜŞTERİ","TANIMSIZ MÜŞTERİ",IF($F347="","MODEL SEÇİN",IF(OR($D347="",$G347&lt;=0),"EKSİK",IF(AND($E347&lt;&gt;"",$E347&lt;$D347),"TARİH HATASI",IF($H347="Pasif","KAPALI DÖNEM","UYGUN"))))))</f>
        <v/>
      </c>
      <c r="O347" s="229">
        <f>IF(OR($C347="",$D347="",$F347=""),"",IF($F347="Aylık",EOMONTH($D347,0),($D347+MOD(SISTEM!$F$8-WEEKDAY($D347,2),7))))</f>
        <v/>
      </c>
      <c r="P347" s="109" t="n"/>
      <c r="Q347" s="6" t="n"/>
      <c r="R347" s="6" t="n"/>
      <c r="S347" s="3">
        <f>IF($B347="","",$B347&amp;"|"&amp;COUNTIFS($B$7:$B347,$B347))</f>
        <v/>
      </c>
    </row>
    <row r="348">
      <c r="A348" s="6" t="n"/>
      <c r="B348" s="113">
        <f>IF($C348="","",IFERROR(INDEX(MUSTERILER!$B$7:$B$106,MATCH($C348,MUSTERILER!$C$7:$C$106,0)),IFERROR(INDEX(MUSTERILER!$B$7:$B$106,MATCH($C348,MUSTERILER!$B$7:$B$106,0)),IFERROR(INDEX(MUSTERILER!$B$7:$B$106,MATCH($C348&amp;"*",MUSTERILER!$C$7:$C$106,0)),"TANIMSIZ MÜŞTERİ"))))</f>
        <v/>
      </c>
      <c r="C348" s="109" t="n"/>
      <c r="D348" s="225" t="n"/>
      <c r="E348" s="225" t="n"/>
      <c r="F348" s="108" t="n"/>
      <c r="G348" s="226" t="n"/>
      <c r="H348" s="108" t="n"/>
      <c r="I348" s="227">
        <f>IF(OR($C348="",$D348="",$G348="",$F348=""),0,$G348*IF($F348="Aylık",MAX(0,(YEAR(MIN(IF($E348="",TODAY(),$E348),TODAY()))-YEAR($D348))*12+MONTH(MIN(IF($E348="",TODAY(),$E348),TODAY()))-MONTH($D348)+IF(MIN(IF($E348="",TODAY(),$E348),TODAY())&gt;=EOMONTH(MIN(IF($E348="",TODAY(),$E348),TODAY()),0),1,0)),MAX(0,INT((MIN(IF($E348="",TODAY(),$E348),TODAY())-($D348+MOD(SISTEM!$F$8-WEEKDAY($D348,2),7)))/7)+1)))</f>
        <v/>
      </c>
      <c r="J348" s="227">
        <f>IF(OR($C348="",$D348="",$G348="",$F348=""),0,$G348*IF($F348="Aylık",MAX(0,(YEAR(MIN(IF($E348="",TODAY()-8,$E348),TODAY()-8))-YEAR($D348))*12+MONTH(MIN(IF($E348="",TODAY()-8,$E348),TODAY()-8))-MONTH($D348)+IF(MIN(IF($E348="",TODAY()-8,$E348),TODAY()-8)&gt;=EOMONTH(MIN(IF($E348="",TODAY()-8,$E348),TODAY()-8),0),1,0)),MAX(0,INT((MIN(IF($E348="",TODAY()-8,$E348),TODAY()-8)-($D348+MOD(SISTEM!$F$8-WEEKDAY($D348,2),7)))/7)+1)))</f>
        <v/>
      </c>
      <c r="K348" s="227">
        <f>IF(OR($C348="",$D348="",$G348="",$F348=""),0,$G348*IF($F348="Aylık",MAX(0,(YEAR(MIN(IF($E348="",TODAY()-15,$E348),TODAY()-15))-YEAR($D348))*12+MONTH(MIN(IF($E348="",TODAY()-15,$E348),TODAY()-15))-MONTH($D348)+IF(MIN(IF($E348="",TODAY()-15,$E348),TODAY()-15)&gt;=EOMONTH(MIN(IF($E348="",TODAY()-15,$E348),TODAY()-15),0),1,0)),MAX(0,INT((MIN(IF($E348="",TODAY()-15,$E348),TODAY()-15)-($D348+MOD(SISTEM!$F$8-WEEKDAY($D348,2),7)))/7)+1)))</f>
        <v/>
      </c>
      <c r="L348" s="227">
        <f>IF(OR($C348="",$D348="",$G348="",$F348=""),0,$G348*IF($F348="Aylık",MAX(0,(YEAR(MIN(IF($E348="",TODAY()-29,$E348),TODAY()-29))-YEAR($D348))*12+MONTH(MIN(IF($E348="",TODAY()-29,$E348),TODAY()-29))-MONTH($D348)+IF(MIN(IF($E348="",TODAY()-29,$E348),TODAY()-29)&gt;=EOMONTH(MIN(IF($E348="",TODAY()-29,$E348),TODAY()-29),0),1,0)),MAX(0,INT((MIN(IF($E348="",TODAY()-29,$E348),TODAY()-29)-($D348+MOD(SISTEM!$F$8-WEEKDAY($D348,2),7)))/7)+1)))</f>
        <v/>
      </c>
      <c r="M348" s="228">
        <f>IF($G348&gt;0,$I348/$G348,0)</f>
        <v/>
      </c>
      <c r="N348" s="113">
        <f>IF($C348="","",IF($B348="TANIMSIZ MÜŞTERİ","TANIMSIZ MÜŞTERİ",IF($F348="","MODEL SEÇİN",IF(OR($D348="",$G348&lt;=0),"EKSİK",IF(AND($E348&lt;&gt;"",$E348&lt;$D348),"TARİH HATASI",IF($H348="Pasif","KAPALI DÖNEM","UYGUN"))))))</f>
        <v/>
      </c>
      <c r="O348" s="229">
        <f>IF(OR($C348="",$D348="",$F348=""),"",IF($F348="Aylık",EOMONTH($D348,0),($D348+MOD(SISTEM!$F$8-WEEKDAY($D348,2),7))))</f>
        <v/>
      </c>
      <c r="P348" s="109" t="n"/>
      <c r="Q348" s="6" t="n"/>
      <c r="R348" s="6" t="n"/>
      <c r="S348" s="3">
        <f>IF($B348="","",$B348&amp;"|"&amp;COUNTIFS($B$7:$B348,$B348))</f>
        <v/>
      </c>
    </row>
    <row r="349">
      <c r="A349" s="6" t="n"/>
      <c r="B349" s="113">
        <f>IF($C349="","",IFERROR(INDEX(MUSTERILER!$B$7:$B$106,MATCH($C349,MUSTERILER!$C$7:$C$106,0)),IFERROR(INDEX(MUSTERILER!$B$7:$B$106,MATCH($C349,MUSTERILER!$B$7:$B$106,0)),IFERROR(INDEX(MUSTERILER!$B$7:$B$106,MATCH($C349&amp;"*",MUSTERILER!$C$7:$C$106,0)),"TANIMSIZ MÜŞTERİ"))))</f>
        <v/>
      </c>
      <c r="C349" s="109" t="n"/>
      <c r="D349" s="225" t="n"/>
      <c r="E349" s="225" t="n"/>
      <c r="F349" s="108" t="n"/>
      <c r="G349" s="226" t="n"/>
      <c r="H349" s="108" t="n"/>
      <c r="I349" s="227">
        <f>IF(OR($C349="",$D349="",$G349="",$F349=""),0,$G349*IF($F349="Aylık",MAX(0,(YEAR(MIN(IF($E349="",TODAY(),$E349),TODAY()))-YEAR($D349))*12+MONTH(MIN(IF($E349="",TODAY(),$E349),TODAY()))-MONTH($D349)+IF(MIN(IF($E349="",TODAY(),$E349),TODAY())&gt;=EOMONTH(MIN(IF($E349="",TODAY(),$E349),TODAY()),0),1,0)),MAX(0,INT((MIN(IF($E349="",TODAY(),$E349),TODAY())-($D349+MOD(SISTEM!$F$8-WEEKDAY($D349,2),7)))/7)+1)))</f>
        <v/>
      </c>
      <c r="J349" s="227">
        <f>IF(OR($C349="",$D349="",$G349="",$F349=""),0,$G349*IF($F349="Aylık",MAX(0,(YEAR(MIN(IF($E349="",TODAY()-8,$E349),TODAY()-8))-YEAR($D349))*12+MONTH(MIN(IF($E349="",TODAY()-8,$E349),TODAY()-8))-MONTH($D349)+IF(MIN(IF($E349="",TODAY()-8,$E349),TODAY()-8)&gt;=EOMONTH(MIN(IF($E349="",TODAY()-8,$E349),TODAY()-8),0),1,0)),MAX(0,INT((MIN(IF($E349="",TODAY()-8,$E349),TODAY()-8)-($D349+MOD(SISTEM!$F$8-WEEKDAY($D349,2),7)))/7)+1)))</f>
        <v/>
      </c>
      <c r="K349" s="227">
        <f>IF(OR($C349="",$D349="",$G349="",$F349=""),0,$G349*IF($F349="Aylık",MAX(0,(YEAR(MIN(IF($E349="",TODAY()-15,$E349),TODAY()-15))-YEAR($D349))*12+MONTH(MIN(IF($E349="",TODAY()-15,$E349),TODAY()-15))-MONTH($D349)+IF(MIN(IF($E349="",TODAY()-15,$E349),TODAY()-15)&gt;=EOMONTH(MIN(IF($E349="",TODAY()-15,$E349),TODAY()-15),0),1,0)),MAX(0,INT((MIN(IF($E349="",TODAY()-15,$E349),TODAY()-15)-($D349+MOD(SISTEM!$F$8-WEEKDAY($D349,2),7)))/7)+1)))</f>
        <v/>
      </c>
      <c r="L349" s="227">
        <f>IF(OR($C349="",$D349="",$G349="",$F349=""),0,$G349*IF($F349="Aylık",MAX(0,(YEAR(MIN(IF($E349="",TODAY()-29,$E349),TODAY()-29))-YEAR($D349))*12+MONTH(MIN(IF($E349="",TODAY()-29,$E349),TODAY()-29))-MONTH($D349)+IF(MIN(IF($E349="",TODAY()-29,$E349),TODAY()-29)&gt;=EOMONTH(MIN(IF($E349="",TODAY()-29,$E349),TODAY()-29),0),1,0)),MAX(0,INT((MIN(IF($E349="",TODAY()-29,$E349),TODAY()-29)-($D349+MOD(SISTEM!$F$8-WEEKDAY($D349,2),7)))/7)+1)))</f>
        <v/>
      </c>
      <c r="M349" s="228">
        <f>IF($G349&gt;0,$I349/$G349,0)</f>
        <v/>
      </c>
      <c r="N349" s="113">
        <f>IF($C349="","",IF($B349="TANIMSIZ MÜŞTERİ","TANIMSIZ MÜŞTERİ",IF($F349="","MODEL SEÇİN",IF(OR($D349="",$G349&lt;=0),"EKSİK",IF(AND($E349&lt;&gt;"",$E349&lt;$D349),"TARİH HATASI",IF($H349="Pasif","KAPALI DÖNEM","UYGUN"))))))</f>
        <v/>
      </c>
      <c r="O349" s="229">
        <f>IF(OR($C349="",$D349="",$F349=""),"",IF($F349="Aylık",EOMONTH($D349,0),($D349+MOD(SISTEM!$F$8-WEEKDAY($D349,2),7))))</f>
        <v/>
      </c>
      <c r="P349" s="109" t="n"/>
      <c r="Q349" s="6" t="n"/>
      <c r="R349" s="6" t="n"/>
      <c r="S349" s="3">
        <f>IF($B349="","",$B349&amp;"|"&amp;COUNTIFS($B$7:$B349,$B349))</f>
        <v/>
      </c>
    </row>
    <row r="350">
      <c r="A350" s="6" t="n"/>
      <c r="B350" s="113">
        <f>IF($C350="","",IFERROR(INDEX(MUSTERILER!$B$7:$B$106,MATCH($C350,MUSTERILER!$C$7:$C$106,0)),IFERROR(INDEX(MUSTERILER!$B$7:$B$106,MATCH($C350,MUSTERILER!$B$7:$B$106,0)),IFERROR(INDEX(MUSTERILER!$B$7:$B$106,MATCH($C350&amp;"*",MUSTERILER!$C$7:$C$106,0)),"TANIMSIZ MÜŞTERİ"))))</f>
        <v/>
      </c>
      <c r="C350" s="109" t="n"/>
      <c r="D350" s="225" t="n"/>
      <c r="E350" s="225" t="n"/>
      <c r="F350" s="108" t="n"/>
      <c r="G350" s="226" t="n"/>
      <c r="H350" s="108" t="n"/>
      <c r="I350" s="227">
        <f>IF(OR($C350="",$D350="",$G350="",$F350=""),0,$G350*IF($F350="Aylık",MAX(0,(YEAR(MIN(IF($E350="",TODAY(),$E350),TODAY()))-YEAR($D350))*12+MONTH(MIN(IF($E350="",TODAY(),$E350),TODAY()))-MONTH($D350)+IF(MIN(IF($E350="",TODAY(),$E350),TODAY())&gt;=EOMONTH(MIN(IF($E350="",TODAY(),$E350),TODAY()),0),1,0)),MAX(0,INT((MIN(IF($E350="",TODAY(),$E350),TODAY())-($D350+MOD(SISTEM!$F$8-WEEKDAY($D350,2),7)))/7)+1)))</f>
        <v/>
      </c>
      <c r="J350" s="227">
        <f>IF(OR($C350="",$D350="",$G350="",$F350=""),0,$G350*IF($F350="Aylık",MAX(0,(YEAR(MIN(IF($E350="",TODAY()-8,$E350),TODAY()-8))-YEAR($D350))*12+MONTH(MIN(IF($E350="",TODAY()-8,$E350),TODAY()-8))-MONTH($D350)+IF(MIN(IF($E350="",TODAY()-8,$E350),TODAY()-8)&gt;=EOMONTH(MIN(IF($E350="",TODAY()-8,$E350),TODAY()-8),0),1,0)),MAX(0,INT((MIN(IF($E350="",TODAY()-8,$E350),TODAY()-8)-($D350+MOD(SISTEM!$F$8-WEEKDAY($D350,2),7)))/7)+1)))</f>
        <v/>
      </c>
      <c r="K350" s="227">
        <f>IF(OR($C350="",$D350="",$G350="",$F350=""),0,$G350*IF($F350="Aylık",MAX(0,(YEAR(MIN(IF($E350="",TODAY()-15,$E350),TODAY()-15))-YEAR($D350))*12+MONTH(MIN(IF($E350="",TODAY()-15,$E350),TODAY()-15))-MONTH($D350)+IF(MIN(IF($E350="",TODAY()-15,$E350),TODAY()-15)&gt;=EOMONTH(MIN(IF($E350="",TODAY()-15,$E350),TODAY()-15),0),1,0)),MAX(0,INT((MIN(IF($E350="",TODAY()-15,$E350),TODAY()-15)-($D350+MOD(SISTEM!$F$8-WEEKDAY($D350,2),7)))/7)+1)))</f>
        <v/>
      </c>
      <c r="L350" s="227">
        <f>IF(OR($C350="",$D350="",$G350="",$F350=""),0,$G350*IF($F350="Aylık",MAX(0,(YEAR(MIN(IF($E350="",TODAY()-29,$E350),TODAY()-29))-YEAR($D350))*12+MONTH(MIN(IF($E350="",TODAY()-29,$E350),TODAY()-29))-MONTH($D350)+IF(MIN(IF($E350="",TODAY()-29,$E350),TODAY()-29)&gt;=EOMONTH(MIN(IF($E350="",TODAY()-29,$E350),TODAY()-29),0),1,0)),MAX(0,INT((MIN(IF($E350="",TODAY()-29,$E350),TODAY()-29)-($D350+MOD(SISTEM!$F$8-WEEKDAY($D350,2),7)))/7)+1)))</f>
        <v/>
      </c>
      <c r="M350" s="228">
        <f>IF($G350&gt;0,$I350/$G350,0)</f>
        <v/>
      </c>
      <c r="N350" s="113">
        <f>IF($C350="","",IF($B350="TANIMSIZ MÜŞTERİ","TANIMSIZ MÜŞTERİ",IF($F350="","MODEL SEÇİN",IF(OR($D350="",$G350&lt;=0),"EKSİK",IF(AND($E350&lt;&gt;"",$E350&lt;$D350),"TARİH HATASI",IF($H350="Pasif","KAPALI DÖNEM","UYGUN"))))))</f>
        <v/>
      </c>
      <c r="O350" s="229">
        <f>IF(OR($C350="",$D350="",$F350=""),"",IF($F350="Aylık",EOMONTH($D350,0),($D350+MOD(SISTEM!$F$8-WEEKDAY($D350,2),7))))</f>
        <v/>
      </c>
      <c r="P350" s="109" t="n"/>
      <c r="Q350" s="6" t="n"/>
      <c r="R350" s="6" t="n"/>
      <c r="S350" s="3">
        <f>IF($B350="","",$B350&amp;"|"&amp;COUNTIFS($B$7:$B350,$B350))</f>
        <v/>
      </c>
    </row>
    <row r="351">
      <c r="A351" s="6" t="n"/>
      <c r="B351" s="113">
        <f>IF($C351="","",IFERROR(INDEX(MUSTERILER!$B$7:$B$106,MATCH($C351,MUSTERILER!$C$7:$C$106,0)),IFERROR(INDEX(MUSTERILER!$B$7:$B$106,MATCH($C351,MUSTERILER!$B$7:$B$106,0)),IFERROR(INDEX(MUSTERILER!$B$7:$B$106,MATCH($C351&amp;"*",MUSTERILER!$C$7:$C$106,0)),"TANIMSIZ MÜŞTERİ"))))</f>
        <v/>
      </c>
      <c r="C351" s="109" t="n"/>
      <c r="D351" s="225" t="n"/>
      <c r="E351" s="225" t="n"/>
      <c r="F351" s="108" t="n"/>
      <c r="G351" s="226" t="n"/>
      <c r="H351" s="108" t="n"/>
      <c r="I351" s="227">
        <f>IF(OR($C351="",$D351="",$G351="",$F351=""),0,$G351*IF($F351="Aylık",MAX(0,(YEAR(MIN(IF($E351="",TODAY(),$E351),TODAY()))-YEAR($D351))*12+MONTH(MIN(IF($E351="",TODAY(),$E351),TODAY()))-MONTH($D351)+IF(MIN(IF($E351="",TODAY(),$E351),TODAY())&gt;=EOMONTH(MIN(IF($E351="",TODAY(),$E351),TODAY()),0),1,0)),MAX(0,INT((MIN(IF($E351="",TODAY(),$E351),TODAY())-($D351+MOD(SISTEM!$F$8-WEEKDAY($D351,2),7)))/7)+1)))</f>
        <v/>
      </c>
      <c r="J351" s="227">
        <f>IF(OR($C351="",$D351="",$G351="",$F351=""),0,$G351*IF($F351="Aylık",MAX(0,(YEAR(MIN(IF($E351="",TODAY()-8,$E351),TODAY()-8))-YEAR($D351))*12+MONTH(MIN(IF($E351="",TODAY()-8,$E351),TODAY()-8))-MONTH($D351)+IF(MIN(IF($E351="",TODAY()-8,$E351),TODAY()-8)&gt;=EOMONTH(MIN(IF($E351="",TODAY()-8,$E351),TODAY()-8),0),1,0)),MAX(0,INT((MIN(IF($E351="",TODAY()-8,$E351),TODAY()-8)-($D351+MOD(SISTEM!$F$8-WEEKDAY($D351,2),7)))/7)+1)))</f>
        <v/>
      </c>
      <c r="K351" s="227">
        <f>IF(OR($C351="",$D351="",$G351="",$F351=""),0,$G351*IF($F351="Aylık",MAX(0,(YEAR(MIN(IF($E351="",TODAY()-15,$E351),TODAY()-15))-YEAR($D351))*12+MONTH(MIN(IF($E351="",TODAY()-15,$E351),TODAY()-15))-MONTH($D351)+IF(MIN(IF($E351="",TODAY()-15,$E351),TODAY()-15)&gt;=EOMONTH(MIN(IF($E351="",TODAY()-15,$E351),TODAY()-15),0),1,0)),MAX(0,INT((MIN(IF($E351="",TODAY()-15,$E351),TODAY()-15)-($D351+MOD(SISTEM!$F$8-WEEKDAY($D351,2),7)))/7)+1)))</f>
        <v/>
      </c>
      <c r="L351" s="227">
        <f>IF(OR($C351="",$D351="",$G351="",$F351=""),0,$G351*IF($F351="Aylık",MAX(0,(YEAR(MIN(IF($E351="",TODAY()-29,$E351),TODAY()-29))-YEAR($D351))*12+MONTH(MIN(IF($E351="",TODAY()-29,$E351),TODAY()-29))-MONTH($D351)+IF(MIN(IF($E351="",TODAY()-29,$E351),TODAY()-29)&gt;=EOMONTH(MIN(IF($E351="",TODAY()-29,$E351),TODAY()-29),0),1,0)),MAX(0,INT((MIN(IF($E351="",TODAY()-29,$E351),TODAY()-29)-($D351+MOD(SISTEM!$F$8-WEEKDAY($D351,2),7)))/7)+1)))</f>
        <v/>
      </c>
      <c r="M351" s="228">
        <f>IF($G351&gt;0,$I351/$G351,0)</f>
        <v/>
      </c>
      <c r="N351" s="113">
        <f>IF($C351="","",IF($B351="TANIMSIZ MÜŞTERİ","TANIMSIZ MÜŞTERİ",IF($F351="","MODEL SEÇİN",IF(OR($D351="",$G351&lt;=0),"EKSİK",IF(AND($E351&lt;&gt;"",$E351&lt;$D351),"TARİH HATASI",IF($H351="Pasif","KAPALI DÖNEM","UYGUN"))))))</f>
        <v/>
      </c>
      <c r="O351" s="229">
        <f>IF(OR($C351="",$D351="",$F351=""),"",IF($F351="Aylık",EOMONTH($D351,0),($D351+MOD(SISTEM!$F$8-WEEKDAY($D351,2),7))))</f>
        <v/>
      </c>
      <c r="P351" s="109" t="n"/>
      <c r="Q351" s="6" t="n"/>
      <c r="R351" s="6" t="n"/>
      <c r="S351" s="3">
        <f>IF($B351="","",$B351&amp;"|"&amp;COUNTIFS($B$7:$B351,$B351))</f>
        <v/>
      </c>
    </row>
    <row r="352">
      <c r="A352" s="6" t="n"/>
      <c r="B352" s="113">
        <f>IF($C352="","",IFERROR(INDEX(MUSTERILER!$B$7:$B$106,MATCH($C352,MUSTERILER!$C$7:$C$106,0)),IFERROR(INDEX(MUSTERILER!$B$7:$B$106,MATCH($C352,MUSTERILER!$B$7:$B$106,0)),IFERROR(INDEX(MUSTERILER!$B$7:$B$106,MATCH($C352&amp;"*",MUSTERILER!$C$7:$C$106,0)),"TANIMSIZ MÜŞTERİ"))))</f>
        <v/>
      </c>
      <c r="C352" s="109" t="n"/>
      <c r="D352" s="225" t="n"/>
      <c r="E352" s="225" t="n"/>
      <c r="F352" s="108" t="n"/>
      <c r="G352" s="226" t="n"/>
      <c r="H352" s="108" t="n"/>
      <c r="I352" s="227">
        <f>IF(OR($C352="",$D352="",$G352="",$F352=""),0,$G352*IF($F352="Aylık",MAX(0,(YEAR(MIN(IF($E352="",TODAY(),$E352),TODAY()))-YEAR($D352))*12+MONTH(MIN(IF($E352="",TODAY(),$E352),TODAY()))-MONTH($D352)+IF(MIN(IF($E352="",TODAY(),$E352),TODAY())&gt;=EOMONTH(MIN(IF($E352="",TODAY(),$E352),TODAY()),0),1,0)),MAX(0,INT((MIN(IF($E352="",TODAY(),$E352),TODAY())-($D352+MOD(SISTEM!$F$8-WEEKDAY($D352,2),7)))/7)+1)))</f>
        <v/>
      </c>
      <c r="J352" s="227">
        <f>IF(OR($C352="",$D352="",$G352="",$F352=""),0,$G352*IF($F352="Aylık",MAX(0,(YEAR(MIN(IF($E352="",TODAY()-8,$E352),TODAY()-8))-YEAR($D352))*12+MONTH(MIN(IF($E352="",TODAY()-8,$E352),TODAY()-8))-MONTH($D352)+IF(MIN(IF($E352="",TODAY()-8,$E352),TODAY()-8)&gt;=EOMONTH(MIN(IF($E352="",TODAY()-8,$E352),TODAY()-8),0),1,0)),MAX(0,INT((MIN(IF($E352="",TODAY()-8,$E352),TODAY()-8)-($D352+MOD(SISTEM!$F$8-WEEKDAY($D352,2),7)))/7)+1)))</f>
        <v/>
      </c>
      <c r="K352" s="227">
        <f>IF(OR($C352="",$D352="",$G352="",$F352=""),0,$G352*IF($F352="Aylık",MAX(0,(YEAR(MIN(IF($E352="",TODAY()-15,$E352),TODAY()-15))-YEAR($D352))*12+MONTH(MIN(IF($E352="",TODAY()-15,$E352),TODAY()-15))-MONTH($D352)+IF(MIN(IF($E352="",TODAY()-15,$E352),TODAY()-15)&gt;=EOMONTH(MIN(IF($E352="",TODAY()-15,$E352),TODAY()-15),0),1,0)),MAX(0,INT((MIN(IF($E352="",TODAY()-15,$E352),TODAY()-15)-($D352+MOD(SISTEM!$F$8-WEEKDAY($D352,2),7)))/7)+1)))</f>
        <v/>
      </c>
      <c r="L352" s="227">
        <f>IF(OR($C352="",$D352="",$G352="",$F352=""),0,$G352*IF($F352="Aylık",MAX(0,(YEAR(MIN(IF($E352="",TODAY()-29,$E352),TODAY()-29))-YEAR($D352))*12+MONTH(MIN(IF($E352="",TODAY()-29,$E352),TODAY()-29))-MONTH($D352)+IF(MIN(IF($E352="",TODAY()-29,$E352),TODAY()-29)&gt;=EOMONTH(MIN(IF($E352="",TODAY()-29,$E352),TODAY()-29),0),1,0)),MAX(0,INT((MIN(IF($E352="",TODAY()-29,$E352),TODAY()-29)-($D352+MOD(SISTEM!$F$8-WEEKDAY($D352,2),7)))/7)+1)))</f>
        <v/>
      </c>
      <c r="M352" s="228">
        <f>IF($G352&gt;0,$I352/$G352,0)</f>
        <v/>
      </c>
      <c r="N352" s="113">
        <f>IF($C352="","",IF($B352="TANIMSIZ MÜŞTERİ","TANIMSIZ MÜŞTERİ",IF($F352="","MODEL SEÇİN",IF(OR($D352="",$G352&lt;=0),"EKSİK",IF(AND($E352&lt;&gt;"",$E352&lt;$D352),"TARİH HATASI",IF($H352="Pasif","KAPALI DÖNEM","UYGUN"))))))</f>
        <v/>
      </c>
      <c r="O352" s="229">
        <f>IF(OR($C352="",$D352="",$F352=""),"",IF($F352="Aylık",EOMONTH($D352,0),($D352+MOD(SISTEM!$F$8-WEEKDAY($D352,2),7))))</f>
        <v/>
      </c>
      <c r="P352" s="109" t="n"/>
      <c r="Q352" s="6" t="n"/>
      <c r="R352" s="6" t="n"/>
      <c r="S352" s="3">
        <f>IF($B352="","",$B352&amp;"|"&amp;COUNTIFS($B$7:$B352,$B352))</f>
        <v/>
      </c>
    </row>
    <row r="353">
      <c r="A353" s="6" t="n"/>
      <c r="B353" s="113">
        <f>IF($C353="","",IFERROR(INDEX(MUSTERILER!$B$7:$B$106,MATCH($C353,MUSTERILER!$C$7:$C$106,0)),IFERROR(INDEX(MUSTERILER!$B$7:$B$106,MATCH($C353,MUSTERILER!$B$7:$B$106,0)),IFERROR(INDEX(MUSTERILER!$B$7:$B$106,MATCH($C353&amp;"*",MUSTERILER!$C$7:$C$106,0)),"TANIMSIZ MÜŞTERİ"))))</f>
        <v/>
      </c>
      <c r="C353" s="109" t="n"/>
      <c r="D353" s="225" t="n"/>
      <c r="E353" s="225" t="n"/>
      <c r="F353" s="108" t="n"/>
      <c r="G353" s="226" t="n"/>
      <c r="H353" s="108" t="n"/>
      <c r="I353" s="227">
        <f>IF(OR($C353="",$D353="",$G353="",$F353=""),0,$G353*IF($F353="Aylık",MAX(0,(YEAR(MIN(IF($E353="",TODAY(),$E353),TODAY()))-YEAR($D353))*12+MONTH(MIN(IF($E353="",TODAY(),$E353),TODAY()))-MONTH($D353)+IF(MIN(IF($E353="",TODAY(),$E353),TODAY())&gt;=EOMONTH(MIN(IF($E353="",TODAY(),$E353),TODAY()),0),1,0)),MAX(0,INT((MIN(IF($E353="",TODAY(),$E353),TODAY())-($D353+MOD(SISTEM!$F$8-WEEKDAY($D353,2),7)))/7)+1)))</f>
        <v/>
      </c>
      <c r="J353" s="227">
        <f>IF(OR($C353="",$D353="",$G353="",$F353=""),0,$G353*IF($F353="Aylık",MAX(0,(YEAR(MIN(IF($E353="",TODAY()-8,$E353),TODAY()-8))-YEAR($D353))*12+MONTH(MIN(IF($E353="",TODAY()-8,$E353),TODAY()-8))-MONTH($D353)+IF(MIN(IF($E353="",TODAY()-8,$E353),TODAY()-8)&gt;=EOMONTH(MIN(IF($E353="",TODAY()-8,$E353),TODAY()-8),0),1,0)),MAX(0,INT((MIN(IF($E353="",TODAY()-8,$E353),TODAY()-8)-($D353+MOD(SISTEM!$F$8-WEEKDAY($D353,2),7)))/7)+1)))</f>
        <v/>
      </c>
      <c r="K353" s="227">
        <f>IF(OR($C353="",$D353="",$G353="",$F353=""),0,$G353*IF($F353="Aylık",MAX(0,(YEAR(MIN(IF($E353="",TODAY()-15,$E353),TODAY()-15))-YEAR($D353))*12+MONTH(MIN(IF($E353="",TODAY()-15,$E353),TODAY()-15))-MONTH($D353)+IF(MIN(IF($E353="",TODAY()-15,$E353),TODAY()-15)&gt;=EOMONTH(MIN(IF($E353="",TODAY()-15,$E353),TODAY()-15),0),1,0)),MAX(0,INT((MIN(IF($E353="",TODAY()-15,$E353),TODAY()-15)-($D353+MOD(SISTEM!$F$8-WEEKDAY($D353,2),7)))/7)+1)))</f>
        <v/>
      </c>
      <c r="L353" s="227">
        <f>IF(OR($C353="",$D353="",$G353="",$F353=""),0,$G353*IF($F353="Aylık",MAX(0,(YEAR(MIN(IF($E353="",TODAY()-29,$E353),TODAY()-29))-YEAR($D353))*12+MONTH(MIN(IF($E353="",TODAY()-29,$E353),TODAY()-29))-MONTH($D353)+IF(MIN(IF($E353="",TODAY()-29,$E353),TODAY()-29)&gt;=EOMONTH(MIN(IF($E353="",TODAY()-29,$E353),TODAY()-29),0),1,0)),MAX(0,INT((MIN(IF($E353="",TODAY()-29,$E353),TODAY()-29)-($D353+MOD(SISTEM!$F$8-WEEKDAY($D353,2),7)))/7)+1)))</f>
        <v/>
      </c>
      <c r="M353" s="228">
        <f>IF($G353&gt;0,$I353/$G353,0)</f>
        <v/>
      </c>
      <c r="N353" s="113">
        <f>IF($C353="","",IF($B353="TANIMSIZ MÜŞTERİ","TANIMSIZ MÜŞTERİ",IF($F353="","MODEL SEÇİN",IF(OR($D353="",$G353&lt;=0),"EKSİK",IF(AND($E353&lt;&gt;"",$E353&lt;$D353),"TARİH HATASI",IF($H353="Pasif","KAPALI DÖNEM","UYGUN"))))))</f>
        <v/>
      </c>
      <c r="O353" s="229">
        <f>IF(OR($C353="",$D353="",$F353=""),"",IF($F353="Aylık",EOMONTH($D353,0),($D353+MOD(SISTEM!$F$8-WEEKDAY($D353,2),7))))</f>
        <v/>
      </c>
      <c r="P353" s="109" t="n"/>
      <c r="Q353" s="6" t="n"/>
      <c r="R353" s="6" t="n"/>
      <c r="S353" s="3">
        <f>IF($B353="","",$B353&amp;"|"&amp;COUNTIFS($B$7:$B353,$B353))</f>
        <v/>
      </c>
    </row>
    <row r="354">
      <c r="A354" s="6" t="n"/>
      <c r="B354" s="113">
        <f>IF($C354="","",IFERROR(INDEX(MUSTERILER!$B$7:$B$106,MATCH($C354,MUSTERILER!$C$7:$C$106,0)),IFERROR(INDEX(MUSTERILER!$B$7:$B$106,MATCH($C354,MUSTERILER!$B$7:$B$106,0)),IFERROR(INDEX(MUSTERILER!$B$7:$B$106,MATCH($C354&amp;"*",MUSTERILER!$C$7:$C$106,0)),"TANIMSIZ MÜŞTERİ"))))</f>
        <v/>
      </c>
      <c r="C354" s="109" t="n"/>
      <c r="D354" s="225" t="n"/>
      <c r="E354" s="225" t="n"/>
      <c r="F354" s="108" t="n"/>
      <c r="G354" s="226" t="n"/>
      <c r="H354" s="108" t="n"/>
      <c r="I354" s="227">
        <f>IF(OR($C354="",$D354="",$G354="",$F354=""),0,$G354*IF($F354="Aylık",MAX(0,(YEAR(MIN(IF($E354="",TODAY(),$E354),TODAY()))-YEAR($D354))*12+MONTH(MIN(IF($E354="",TODAY(),$E354),TODAY()))-MONTH($D354)+IF(MIN(IF($E354="",TODAY(),$E354),TODAY())&gt;=EOMONTH(MIN(IF($E354="",TODAY(),$E354),TODAY()),0),1,0)),MAX(0,INT((MIN(IF($E354="",TODAY(),$E354),TODAY())-($D354+MOD(SISTEM!$F$8-WEEKDAY($D354,2),7)))/7)+1)))</f>
        <v/>
      </c>
      <c r="J354" s="227">
        <f>IF(OR($C354="",$D354="",$G354="",$F354=""),0,$G354*IF($F354="Aylık",MAX(0,(YEAR(MIN(IF($E354="",TODAY()-8,$E354),TODAY()-8))-YEAR($D354))*12+MONTH(MIN(IF($E354="",TODAY()-8,$E354),TODAY()-8))-MONTH($D354)+IF(MIN(IF($E354="",TODAY()-8,$E354),TODAY()-8)&gt;=EOMONTH(MIN(IF($E354="",TODAY()-8,$E354),TODAY()-8),0),1,0)),MAX(0,INT((MIN(IF($E354="",TODAY()-8,$E354),TODAY()-8)-($D354+MOD(SISTEM!$F$8-WEEKDAY($D354,2),7)))/7)+1)))</f>
        <v/>
      </c>
      <c r="K354" s="227">
        <f>IF(OR($C354="",$D354="",$G354="",$F354=""),0,$G354*IF($F354="Aylık",MAX(0,(YEAR(MIN(IF($E354="",TODAY()-15,$E354),TODAY()-15))-YEAR($D354))*12+MONTH(MIN(IF($E354="",TODAY()-15,$E354),TODAY()-15))-MONTH($D354)+IF(MIN(IF($E354="",TODAY()-15,$E354),TODAY()-15)&gt;=EOMONTH(MIN(IF($E354="",TODAY()-15,$E354),TODAY()-15),0),1,0)),MAX(0,INT((MIN(IF($E354="",TODAY()-15,$E354),TODAY()-15)-($D354+MOD(SISTEM!$F$8-WEEKDAY($D354,2),7)))/7)+1)))</f>
        <v/>
      </c>
      <c r="L354" s="227">
        <f>IF(OR($C354="",$D354="",$G354="",$F354=""),0,$G354*IF($F354="Aylık",MAX(0,(YEAR(MIN(IF($E354="",TODAY()-29,$E354),TODAY()-29))-YEAR($D354))*12+MONTH(MIN(IF($E354="",TODAY()-29,$E354),TODAY()-29))-MONTH($D354)+IF(MIN(IF($E354="",TODAY()-29,$E354),TODAY()-29)&gt;=EOMONTH(MIN(IF($E354="",TODAY()-29,$E354),TODAY()-29),0),1,0)),MAX(0,INT((MIN(IF($E354="",TODAY()-29,$E354),TODAY()-29)-($D354+MOD(SISTEM!$F$8-WEEKDAY($D354,2),7)))/7)+1)))</f>
        <v/>
      </c>
      <c r="M354" s="228">
        <f>IF($G354&gt;0,$I354/$G354,0)</f>
        <v/>
      </c>
      <c r="N354" s="113">
        <f>IF($C354="","",IF($B354="TANIMSIZ MÜŞTERİ","TANIMSIZ MÜŞTERİ",IF($F354="","MODEL SEÇİN",IF(OR($D354="",$G354&lt;=0),"EKSİK",IF(AND($E354&lt;&gt;"",$E354&lt;$D354),"TARİH HATASI",IF($H354="Pasif","KAPALI DÖNEM","UYGUN"))))))</f>
        <v/>
      </c>
      <c r="O354" s="229">
        <f>IF(OR($C354="",$D354="",$F354=""),"",IF($F354="Aylık",EOMONTH($D354,0),($D354+MOD(SISTEM!$F$8-WEEKDAY($D354,2),7))))</f>
        <v/>
      </c>
      <c r="P354" s="109" t="n"/>
      <c r="Q354" s="6" t="n"/>
      <c r="R354" s="6" t="n"/>
      <c r="S354" s="3">
        <f>IF($B354="","",$B354&amp;"|"&amp;COUNTIFS($B$7:$B354,$B354))</f>
        <v/>
      </c>
    </row>
    <row r="355">
      <c r="A355" s="6" t="n"/>
      <c r="B355" s="113">
        <f>IF($C355="","",IFERROR(INDEX(MUSTERILER!$B$7:$B$106,MATCH($C355,MUSTERILER!$C$7:$C$106,0)),IFERROR(INDEX(MUSTERILER!$B$7:$B$106,MATCH($C355,MUSTERILER!$B$7:$B$106,0)),IFERROR(INDEX(MUSTERILER!$B$7:$B$106,MATCH($C355&amp;"*",MUSTERILER!$C$7:$C$106,0)),"TANIMSIZ MÜŞTERİ"))))</f>
        <v/>
      </c>
      <c r="C355" s="109" t="n"/>
      <c r="D355" s="225" t="n"/>
      <c r="E355" s="225" t="n"/>
      <c r="F355" s="108" t="n"/>
      <c r="G355" s="226" t="n"/>
      <c r="H355" s="108" t="n"/>
      <c r="I355" s="227">
        <f>IF(OR($C355="",$D355="",$G355="",$F355=""),0,$G355*IF($F355="Aylık",MAX(0,(YEAR(MIN(IF($E355="",TODAY(),$E355),TODAY()))-YEAR($D355))*12+MONTH(MIN(IF($E355="",TODAY(),$E355),TODAY()))-MONTH($D355)+IF(MIN(IF($E355="",TODAY(),$E355),TODAY())&gt;=EOMONTH(MIN(IF($E355="",TODAY(),$E355),TODAY()),0),1,0)),MAX(0,INT((MIN(IF($E355="",TODAY(),$E355),TODAY())-($D355+MOD(SISTEM!$F$8-WEEKDAY($D355,2),7)))/7)+1)))</f>
        <v/>
      </c>
      <c r="J355" s="227">
        <f>IF(OR($C355="",$D355="",$G355="",$F355=""),0,$G355*IF($F355="Aylık",MAX(0,(YEAR(MIN(IF($E355="",TODAY()-8,$E355),TODAY()-8))-YEAR($D355))*12+MONTH(MIN(IF($E355="",TODAY()-8,$E355),TODAY()-8))-MONTH($D355)+IF(MIN(IF($E355="",TODAY()-8,$E355),TODAY()-8)&gt;=EOMONTH(MIN(IF($E355="",TODAY()-8,$E355),TODAY()-8),0),1,0)),MAX(0,INT((MIN(IF($E355="",TODAY()-8,$E355),TODAY()-8)-($D355+MOD(SISTEM!$F$8-WEEKDAY($D355,2),7)))/7)+1)))</f>
        <v/>
      </c>
      <c r="K355" s="227">
        <f>IF(OR($C355="",$D355="",$G355="",$F355=""),0,$G355*IF($F355="Aylık",MAX(0,(YEAR(MIN(IF($E355="",TODAY()-15,$E355),TODAY()-15))-YEAR($D355))*12+MONTH(MIN(IF($E355="",TODAY()-15,$E355),TODAY()-15))-MONTH($D355)+IF(MIN(IF($E355="",TODAY()-15,$E355),TODAY()-15)&gt;=EOMONTH(MIN(IF($E355="",TODAY()-15,$E355),TODAY()-15),0),1,0)),MAX(0,INT((MIN(IF($E355="",TODAY()-15,$E355),TODAY()-15)-($D355+MOD(SISTEM!$F$8-WEEKDAY($D355,2),7)))/7)+1)))</f>
        <v/>
      </c>
      <c r="L355" s="227">
        <f>IF(OR($C355="",$D355="",$G355="",$F355=""),0,$G355*IF($F355="Aylık",MAX(0,(YEAR(MIN(IF($E355="",TODAY()-29,$E355),TODAY()-29))-YEAR($D355))*12+MONTH(MIN(IF($E355="",TODAY()-29,$E355),TODAY()-29))-MONTH($D355)+IF(MIN(IF($E355="",TODAY()-29,$E355),TODAY()-29)&gt;=EOMONTH(MIN(IF($E355="",TODAY()-29,$E355),TODAY()-29),0),1,0)),MAX(0,INT((MIN(IF($E355="",TODAY()-29,$E355),TODAY()-29)-($D355+MOD(SISTEM!$F$8-WEEKDAY($D355,2),7)))/7)+1)))</f>
        <v/>
      </c>
      <c r="M355" s="228">
        <f>IF($G355&gt;0,$I355/$G355,0)</f>
        <v/>
      </c>
      <c r="N355" s="113">
        <f>IF($C355="","",IF($B355="TANIMSIZ MÜŞTERİ","TANIMSIZ MÜŞTERİ",IF($F355="","MODEL SEÇİN",IF(OR($D355="",$G355&lt;=0),"EKSİK",IF(AND($E355&lt;&gt;"",$E355&lt;$D355),"TARİH HATASI",IF($H355="Pasif","KAPALI DÖNEM","UYGUN"))))))</f>
        <v/>
      </c>
      <c r="O355" s="229">
        <f>IF(OR($C355="",$D355="",$F355=""),"",IF($F355="Aylık",EOMONTH($D355,0),($D355+MOD(SISTEM!$F$8-WEEKDAY($D355,2),7))))</f>
        <v/>
      </c>
      <c r="P355" s="109" t="n"/>
      <c r="Q355" s="6" t="n"/>
      <c r="R355" s="6" t="n"/>
      <c r="S355" s="3">
        <f>IF($B355="","",$B355&amp;"|"&amp;COUNTIFS($B$7:$B355,$B355))</f>
        <v/>
      </c>
    </row>
    <row r="356">
      <c r="A356" s="6" t="n"/>
      <c r="B356" s="113">
        <f>IF($C356="","",IFERROR(INDEX(MUSTERILER!$B$7:$B$106,MATCH($C356,MUSTERILER!$C$7:$C$106,0)),IFERROR(INDEX(MUSTERILER!$B$7:$B$106,MATCH($C356,MUSTERILER!$B$7:$B$106,0)),IFERROR(INDEX(MUSTERILER!$B$7:$B$106,MATCH($C356&amp;"*",MUSTERILER!$C$7:$C$106,0)),"TANIMSIZ MÜŞTERİ"))))</f>
        <v/>
      </c>
      <c r="C356" s="109" t="n"/>
      <c r="D356" s="225" t="n"/>
      <c r="E356" s="225" t="n"/>
      <c r="F356" s="108" t="n"/>
      <c r="G356" s="226" t="n"/>
      <c r="H356" s="108" t="n"/>
      <c r="I356" s="227">
        <f>IF(OR($C356="",$D356="",$G356="",$F356=""),0,$G356*IF($F356="Aylık",MAX(0,(YEAR(MIN(IF($E356="",TODAY(),$E356),TODAY()))-YEAR($D356))*12+MONTH(MIN(IF($E356="",TODAY(),$E356),TODAY()))-MONTH($D356)+IF(MIN(IF($E356="",TODAY(),$E356),TODAY())&gt;=EOMONTH(MIN(IF($E356="",TODAY(),$E356),TODAY()),0),1,0)),MAX(0,INT((MIN(IF($E356="",TODAY(),$E356),TODAY())-($D356+MOD(SISTEM!$F$8-WEEKDAY($D356,2),7)))/7)+1)))</f>
        <v/>
      </c>
      <c r="J356" s="227">
        <f>IF(OR($C356="",$D356="",$G356="",$F356=""),0,$G356*IF($F356="Aylık",MAX(0,(YEAR(MIN(IF($E356="",TODAY()-8,$E356),TODAY()-8))-YEAR($D356))*12+MONTH(MIN(IF($E356="",TODAY()-8,$E356),TODAY()-8))-MONTH($D356)+IF(MIN(IF($E356="",TODAY()-8,$E356),TODAY()-8)&gt;=EOMONTH(MIN(IF($E356="",TODAY()-8,$E356),TODAY()-8),0),1,0)),MAX(0,INT((MIN(IF($E356="",TODAY()-8,$E356),TODAY()-8)-($D356+MOD(SISTEM!$F$8-WEEKDAY($D356,2),7)))/7)+1)))</f>
        <v/>
      </c>
      <c r="K356" s="227">
        <f>IF(OR($C356="",$D356="",$G356="",$F356=""),0,$G356*IF($F356="Aylık",MAX(0,(YEAR(MIN(IF($E356="",TODAY()-15,$E356),TODAY()-15))-YEAR($D356))*12+MONTH(MIN(IF($E356="",TODAY()-15,$E356),TODAY()-15))-MONTH($D356)+IF(MIN(IF($E356="",TODAY()-15,$E356),TODAY()-15)&gt;=EOMONTH(MIN(IF($E356="",TODAY()-15,$E356),TODAY()-15),0),1,0)),MAX(0,INT((MIN(IF($E356="",TODAY()-15,$E356),TODAY()-15)-($D356+MOD(SISTEM!$F$8-WEEKDAY($D356,2),7)))/7)+1)))</f>
        <v/>
      </c>
      <c r="L356" s="227">
        <f>IF(OR($C356="",$D356="",$G356="",$F356=""),0,$G356*IF($F356="Aylık",MAX(0,(YEAR(MIN(IF($E356="",TODAY()-29,$E356),TODAY()-29))-YEAR($D356))*12+MONTH(MIN(IF($E356="",TODAY()-29,$E356),TODAY()-29))-MONTH($D356)+IF(MIN(IF($E356="",TODAY()-29,$E356),TODAY()-29)&gt;=EOMONTH(MIN(IF($E356="",TODAY()-29,$E356),TODAY()-29),0),1,0)),MAX(0,INT((MIN(IF($E356="",TODAY()-29,$E356),TODAY()-29)-($D356+MOD(SISTEM!$F$8-WEEKDAY($D356,2),7)))/7)+1)))</f>
        <v/>
      </c>
      <c r="M356" s="228">
        <f>IF($G356&gt;0,$I356/$G356,0)</f>
        <v/>
      </c>
      <c r="N356" s="113">
        <f>IF($C356="","",IF($B356="TANIMSIZ MÜŞTERİ","TANIMSIZ MÜŞTERİ",IF($F356="","MODEL SEÇİN",IF(OR($D356="",$G356&lt;=0),"EKSİK",IF(AND($E356&lt;&gt;"",$E356&lt;$D356),"TARİH HATASI",IF($H356="Pasif","KAPALI DÖNEM","UYGUN"))))))</f>
        <v/>
      </c>
      <c r="O356" s="229">
        <f>IF(OR($C356="",$D356="",$F356=""),"",IF($F356="Aylık",EOMONTH($D356,0),($D356+MOD(SISTEM!$F$8-WEEKDAY($D356,2),7))))</f>
        <v/>
      </c>
      <c r="P356" s="109" t="n"/>
      <c r="Q356" s="6" t="n"/>
      <c r="R356" s="6" t="n"/>
      <c r="S356" s="3">
        <f>IF($B356="","",$B356&amp;"|"&amp;COUNTIFS($B$7:$B356,$B356))</f>
        <v/>
      </c>
    </row>
    <row r="357">
      <c r="A357" s="6" t="n"/>
      <c r="B357" s="113">
        <f>IF($C357="","",IFERROR(INDEX(MUSTERILER!$B$7:$B$106,MATCH($C357,MUSTERILER!$C$7:$C$106,0)),IFERROR(INDEX(MUSTERILER!$B$7:$B$106,MATCH($C357,MUSTERILER!$B$7:$B$106,0)),IFERROR(INDEX(MUSTERILER!$B$7:$B$106,MATCH($C357&amp;"*",MUSTERILER!$C$7:$C$106,0)),"TANIMSIZ MÜŞTERİ"))))</f>
        <v/>
      </c>
      <c r="C357" s="109" t="n"/>
      <c r="D357" s="225" t="n"/>
      <c r="E357" s="225" t="n"/>
      <c r="F357" s="108" t="n"/>
      <c r="G357" s="226" t="n"/>
      <c r="H357" s="108" t="n"/>
      <c r="I357" s="227">
        <f>IF(OR($C357="",$D357="",$G357="",$F357=""),0,$G357*IF($F357="Aylık",MAX(0,(YEAR(MIN(IF($E357="",TODAY(),$E357),TODAY()))-YEAR($D357))*12+MONTH(MIN(IF($E357="",TODAY(),$E357),TODAY()))-MONTH($D357)+IF(MIN(IF($E357="",TODAY(),$E357),TODAY())&gt;=EOMONTH(MIN(IF($E357="",TODAY(),$E357),TODAY()),0),1,0)),MAX(0,INT((MIN(IF($E357="",TODAY(),$E357),TODAY())-($D357+MOD(SISTEM!$F$8-WEEKDAY($D357,2),7)))/7)+1)))</f>
        <v/>
      </c>
      <c r="J357" s="227">
        <f>IF(OR($C357="",$D357="",$G357="",$F357=""),0,$G357*IF($F357="Aylık",MAX(0,(YEAR(MIN(IF($E357="",TODAY()-8,$E357),TODAY()-8))-YEAR($D357))*12+MONTH(MIN(IF($E357="",TODAY()-8,$E357),TODAY()-8))-MONTH($D357)+IF(MIN(IF($E357="",TODAY()-8,$E357),TODAY()-8)&gt;=EOMONTH(MIN(IF($E357="",TODAY()-8,$E357),TODAY()-8),0),1,0)),MAX(0,INT((MIN(IF($E357="",TODAY()-8,$E357),TODAY()-8)-($D357+MOD(SISTEM!$F$8-WEEKDAY($D357,2),7)))/7)+1)))</f>
        <v/>
      </c>
      <c r="K357" s="227">
        <f>IF(OR($C357="",$D357="",$G357="",$F357=""),0,$G357*IF($F357="Aylık",MAX(0,(YEAR(MIN(IF($E357="",TODAY()-15,$E357),TODAY()-15))-YEAR($D357))*12+MONTH(MIN(IF($E357="",TODAY()-15,$E357),TODAY()-15))-MONTH($D357)+IF(MIN(IF($E357="",TODAY()-15,$E357),TODAY()-15)&gt;=EOMONTH(MIN(IF($E357="",TODAY()-15,$E357),TODAY()-15),0),1,0)),MAX(0,INT((MIN(IF($E357="",TODAY()-15,$E357),TODAY()-15)-($D357+MOD(SISTEM!$F$8-WEEKDAY($D357,2),7)))/7)+1)))</f>
        <v/>
      </c>
      <c r="L357" s="227">
        <f>IF(OR($C357="",$D357="",$G357="",$F357=""),0,$G357*IF($F357="Aylık",MAX(0,(YEAR(MIN(IF($E357="",TODAY()-29,$E357),TODAY()-29))-YEAR($D357))*12+MONTH(MIN(IF($E357="",TODAY()-29,$E357),TODAY()-29))-MONTH($D357)+IF(MIN(IF($E357="",TODAY()-29,$E357),TODAY()-29)&gt;=EOMONTH(MIN(IF($E357="",TODAY()-29,$E357),TODAY()-29),0),1,0)),MAX(0,INT((MIN(IF($E357="",TODAY()-29,$E357),TODAY()-29)-($D357+MOD(SISTEM!$F$8-WEEKDAY($D357,2),7)))/7)+1)))</f>
        <v/>
      </c>
      <c r="M357" s="228">
        <f>IF($G357&gt;0,$I357/$G357,0)</f>
        <v/>
      </c>
      <c r="N357" s="113">
        <f>IF($C357="","",IF($B357="TANIMSIZ MÜŞTERİ","TANIMSIZ MÜŞTERİ",IF($F357="","MODEL SEÇİN",IF(OR($D357="",$G357&lt;=0),"EKSİK",IF(AND($E357&lt;&gt;"",$E357&lt;$D357),"TARİH HATASI",IF($H357="Pasif","KAPALI DÖNEM","UYGUN"))))))</f>
        <v/>
      </c>
      <c r="O357" s="229">
        <f>IF(OR($C357="",$D357="",$F357=""),"",IF($F357="Aylık",EOMONTH($D357,0),($D357+MOD(SISTEM!$F$8-WEEKDAY($D357,2),7))))</f>
        <v/>
      </c>
      <c r="P357" s="109" t="n"/>
      <c r="Q357" s="6" t="n"/>
      <c r="R357" s="6" t="n"/>
      <c r="S357" s="3">
        <f>IF($B357="","",$B357&amp;"|"&amp;COUNTIFS($B$7:$B357,$B357))</f>
        <v/>
      </c>
    </row>
    <row r="358">
      <c r="A358" s="6" t="n"/>
      <c r="B358" s="113">
        <f>IF($C358="","",IFERROR(INDEX(MUSTERILER!$B$7:$B$106,MATCH($C358,MUSTERILER!$C$7:$C$106,0)),IFERROR(INDEX(MUSTERILER!$B$7:$B$106,MATCH($C358,MUSTERILER!$B$7:$B$106,0)),IFERROR(INDEX(MUSTERILER!$B$7:$B$106,MATCH($C358&amp;"*",MUSTERILER!$C$7:$C$106,0)),"TANIMSIZ MÜŞTERİ"))))</f>
        <v/>
      </c>
      <c r="C358" s="109" t="n"/>
      <c r="D358" s="225" t="n"/>
      <c r="E358" s="225" t="n"/>
      <c r="F358" s="108" t="n"/>
      <c r="G358" s="226" t="n"/>
      <c r="H358" s="108" t="n"/>
      <c r="I358" s="227">
        <f>IF(OR($C358="",$D358="",$G358="",$F358=""),0,$G358*IF($F358="Aylık",MAX(0,(YEAR(MIN(IF($E358="",TODAY(),$E358),TODAY()))-YEAR($D358))*12+MONTH(MIN(IF($E358="",TODAY(),$E358),TODAY()))-MONTH($D358)+IF(MIN(IF($E358="",TODAY(),$E358),TODAY())&gt;=EOMONTH(MIN(IF($E358="",TODAY(),$E358),TODAY()),0),1,0)),MAX(0,INT((MIN(IF($E358="",TODAY(),$E358),TODAY())-($D358+MOD(SISTEM!$F$8-WEEKDAY($D358,2),7)))/7)+1)))</f>
        <v/>
      </c>
      <c r="J358" s="227">
        <f>IF(OR($C358="",$D358="",$G358="",$F358=""),0,$G358*IF($F358="Aylık",MAX(0,(YEAR(MIN(IF($E358="",TODAY()-8,$E358),TODAY()-8))-YEAR($D358))*12+MONTH(MIN(IF($E358="",TODAY()-8,$E358),TODAY()-8))-MONTH($D358)+IF(MIN(IF($E358="",TODAY()-8,$E358),TODAY()-8)&gt;=EOMONTH(MIN(IF($E358="",TODAY()-8,$E358),TODAY()-8),0),1,0)),MAX(0,INT((MIN(IF($E358="",TODAY()-8,$E358),TODAY()-8)-($D358+MOD(SISTEM!$F$8-WEEKDAY($D358,2),7)))/7)+1)))</f>
        <v/>
      </c>
      <c r="K358" s="227">
        <f>IF(OR($C358="",$D358="",$G358="",$F358=""),0,$G358*IF($F358="Aylık",MAX(0,(YEAR(MIN(IF($E358="",TODAY()-15,$E358),TODAY()-15))-YEAR($D358))*12+MONTH(MIN(IF($E358="",TODAY()-15,$E358),TODAY()-15))-MONTH($D358)+IF(MIN(IF($E358="",TODAY()-15,$E358),TODAY()-15)&gt;=EOMONTH(MIN(IF($E358="",TODAY()-15,$E358),TODAY()-15),0),1,0)),MAX(0,INT((MIN(IF($E358="",TODAY()-15,$E358),TODAY()-15)-($D358+MOD(SISTEM!$F$8-WEEKDAY($D358,2),7)))/7)+1)))</f>
        <v/>
      </c>
      <c r="L358" s="227">
        <f>IF(OR($C358="",$D358="",$G358="",$F358=""),0,$G358*IF($F358="Aylık",MAX(0,(YEAR(MIN(IF($E358="",TODAY()-29,$E358),TODAY()-29))-YEAR($D358))*12+MONTH(MIN(IF($E358="",TODAY()-29,$E358),TODAY()-29))-MONTH($D358)+IF(MIN(IF($E358="",TODAY()-29,$E358),TODAY()-29)&gt;=EOMONTH(MIN(IF($E358="",TODAY()-29,$E358),TODAY()-29),0),1,0)),MAX(0,INT((MIN(IF($E358="",TODAY()-29,$E358),TODAY()-29)-($D358+MOD(SISTEM!$F$8-WEEKDAY($D358,2),7)))/7)+1)))</f>
        <v/>
      </c>
      <c r="M358" s="228">
        <f>IF($G358&gt;0,$I358/$G358,0)</f>
        <v/>
      </c>
      <c r="N358" s="113">
        <f>IF($C358="","",IF($B358="TANIMSIZ MÜŞTERİ","TANIMSIZ MÜŞTERİ",IF($F358="","MODEL SEÇİN",IF(OR($D358="",$G358&lt;=0),"EKSİK",IF(AND($E358&lt;&gt;"",$E358&lt;$D358),"TARİH HATASI",IF($H358="Pasif","KAPALI DÖNEM","UYGUN"))))))</f>
        <v/>
      </c>
      <c r="O358" s="229">
        <f>IF(OR($C358="",$D358="",$F358=""),"",IF($F358="Aylık",EOMONTH($D358,0),($D358+MOD(SISTEM!$F$8-WEEKDAY($D358,2),7))))</f>
        <v/>
      </c>
      <c r="P358" s="109" t="n"/>
      <c r="Q358" s="6" t="n"/>
      <c r="R358" s="6" t="n"/>
      <c r="S358" s="3">
        <f>IF($B358="","",$B358&amp;"|"&amp;COUNTIFS($B$7:$B358,$B358))</f>
        <v/>
      </c>
    </row>
    <row r="359">
      <c r="A359" s="6" t="n"/>
      <c r="B359" s="113">
        <f>IF($C359="","",IFERROR(INDEX(MUSTERILER!$B$7:$B$106,MATCH($C359,MUSTERILER!$C$7:$C$106,0)),IFERROR(INDEX(MUSTERILER!$B$7:$B$106,MATCH($C359,MUSTERILER!$B$7:$B$106,0)),IFERROR(INDEX(MUSTERILER!$B$7:$B$106,MATCH($C359&amp;"*",MUSTERILER!$C$7:$C$106,0)),"TANIMSIZ MÜŞTERİ"))))</f>
        <v/>
      </c>
      <c r="C359" s="109" t="n"/>
      <c r="D359" s="225" t="n"/>
      <c r="E359" s="225" t="n"/>
      <c r="F359" s="108" t="n"/>
      <c r="G359" s="226" t="n"/>
      <c r="H359" s="108" t="n"/>
      <c r="I359" s="227">
        <f>IF(OR($C359="",$D359="",$G359="",$F359=""),0,$G359*IF($F359="Aylık",MAX(0,(YEAR(MIN(IF($E359="",TODAY(),$E359),TODAY()))-YEAR($D359))*12+MONTH(MIN(IF($E359="",TODAY(),$E359),TODAY()))-MONTH($D359)+IF(MIN(IF($E359="",TODAY(),$E359),TODAY())&gt;=EOMONTH(MIN(IF($E359="",TODAY(),$E359),TODAY()),0),1,0)),MAX(0,INT((MIN(IF($E359="",TODAY(),$E359),TODAY())-($D359+MOD(SISTEM!$F$8-WEEKDAY($D359,2),7)))/7)+1)))</f>
        <v/>
      </c>
      <c r="J359" s="227">
        <f>IF(OR($C359="",$D359="",$G359="",$F359=""),0,$G359*IF($F359="Aylık",MAX(0,(YEAR(MIN(IF($E359="",TODAY()-8,$E359),TODAY()-8))-YEAR($D359))*12+MONTH(MIN(IF($E359="",TODAY()-8,$E359),TODAY()-8))-MONTH($D359)+IF(MIN(IF($E359="",TODAY()-8,$E359),TODAY()-8)&gt;=EOMONTH(MIN(IF($E359="",TODAY()-8,$E359),TODAY()-8),0),1,0)),MAX(0,INT((MIN(IF($E359="",TODAY()-8,$E359),TODAY()-8)-($D359+MOD(SISTEM!$F$8-WEEKDAY($D359,2),7)))/7)+1)))</f>
        <v/>
      </c>
      <c r="K359" s="227">
        <f>IF(OR($C359="",$D359="",$G359="",$F359=""),0,$G359*IF($F359="Aylık",MAX(0,(YEAR(MIN(IF($E359="",TODAY()-15,$E359),TODAY()-15))-YEAR($D359))*12+MONTH(MIN(IF($E359="",TODAY()-15,$E359),TODAY()-15))-MONTH($D359)+IF(MIN(IF($E359="",TODAY()-15,$E359),TODAY()-15)&gt;=EOMONTH(MIN(IF($E359="",TODAY()-15,$E359),TODAY()-15),0),1,0)),MAX(0,INT((MIN(IF($E359="",TODAY()-15,$E359),TODAY()-15)-($D359+MOD(SISTEM!$F$8-WEEKDAY($D359,2),7)))/7)+1)))</f>
        <v/>
      </c>
      <c r="L359" s="227">
        <f>IF(OR($C359="",$D359="",$G359="",$F359=""),0,$G359*IF($F359="Aylık",MAX(0,(YEAR(MIN(IF($E359="",TODAY()-29,$E359),TODAY()-29))-YEAR($D359))*12+MONTH(MIN(IF($E359="",TODAY()-29,$E359),TODAY()-29))-MONTH($D359)+IF(MIN(IF($E359="",TODAY()-29,$E359),TODAY()-29)&gt;=EOMONTH(MIN(IF($E359="",TODAY()-29,$E359),TODAY()-29),0),1,0)),MAX(0,INT((MIN(IF($E359="",TODAY()-29,$E359),TODAY()-29)-($D359+MOD(SISTEM!$F$8-WEEKDAY($D359,2),7)))/7)+1)))</f>
        <v/>
      </c>
      <c r="M359" s="228">
        <f>IF($G359&gt;0,$I359/$G359,0)</f>
        <v/>
      </c>
      <c r="N359" s="113">
        <f>IF($C359="","",IF($B359="TANIMSIZ MÜŞTERİ","TANIMSIZ MÜŞTERİ",IF($F359="","MODEL SEÇİN",IF(OR($D359="",$G359&lt;=0),"EKSİK",IF(AND($E359&lt;&gt;"",$E359&lt;$D359),"TARİH HATASI",IF($H359="Pasif","KAPALI DÖNEM","UYGUN"))))))</f>
        <v/>
      </c>
      <c r="O359" s="229">
        <f>IF(OR($C359="",$D359="",$F359=""),"",IF($F359="Aylık",EOMONTH($D359,0),($D359+MOD(SISTEM!$F$8-WEEKDAY($D359,2),7))))</f>
        <v/>
      </c>
      <c r="P359" s="109" t="n"/>
      <c r="Q359" s="6" t="n"/>
      <c r="R359" s="6" t="n"/>
      <c r="S359" s="3">
        <f>IF($B359="","",$B359&amp;"|"&amp;COUNTIFS($B$7:$B359,$B359))</f>
        <v/>
      </c>
    </row>
    <row r="360">
      <c r="A360" s="6" t="n"/>
      <c r="B360" s="113">
        <f>IF($C360="","",IFERROR(INDEX(MUSTERILER!$B$7:$B$106,MATCH($C360,MUSTERILER!$C$7:$C$106,0)),IFERROR(INDEX(MUSTERILER!$B$7:$B$106,MATCH($C360,MUSTERILER!$B$7:$B$106,0)),IFERROR(INDEX(MUSTERILER!$B$7:$B$106,MATCH($C360&amp;"*",MUSTERILER!$C$7:$C$106,0)),"TANIMSIZ MÜŞTERİ"))))</f>
        <v/>
      </c>
      <c r="C360" s="109" t="n"/>
      <c r="D360" s="225" t="n"/>
      <c r="E360" s="225" t="n"/>
      <c r="F360" s="108" t="n"/>
      <c r="G360" s="226" t="n"/>
      <c r="H360" s="108" t="n"/>
      <c r="I360" s="227">
        <f>IF(OR($C360="",$D360="",$G360="",$F360=""),0,$G360*IF($F360="Aylık",MAX(0,(YEAR(MIN(IF($E360="",TODAY(),$E360),TODAY()))-YEAR($D360))*12+MONTH(MIN(IF($E360="",TODAY(),$E360),TODAY()))-MONTH($D360)+IF(MIN(IF($E360="",TODAY(),$E360),TODAY())&gt;=EOMONTH(MIN(IF($E360="",TODAY(),$E360),TODAY()),0),1,0)),MAX(0,INT((MIN(IF($E360="",TODAY(),$E360),TODAY())-($D360+MOD(SISTEM!$F$8-WEEKDAY($D360,2),7)))/7)+1)))</f>
        <v/>
      </c>
      <c r="J360" s="227">
        <f>IF(OR($C360="",$D360="",$G360="",$F360=""),0,$G360*IF($F360="Aylık",MAX(0,(YEAR(MIN(IF($E360="",TODAY()-8,$E360),TODAY()-8))-YEAR($D360))*12+MONTH(MIN(IF($E360="",TODAY()-8,$E360),TODAY()-8))-MONTH($D360)+IF(MIN(IF($E360="",TODAY()-8,$E360),TODAY()-8)&gt;=EOMONTH(MIN(IF($E360="",TODAY()-8,$E360),TODAY()-8),0),1,0)),MAX(0,INT((MIN(IF($E360="",TODAY()-8,$E360),TODAY()-8)-($D360+MOD(SISTEM!$F$8-WEEKDAY($D360,2),7)))/7)+1)))</f>
        <v/>
      </c>
      <c r="K360" s="227">
        <f>IF(OR($C360="",$D360="",$G360="",$F360=""),0,$G360*IF($F360="Aylık",MAX(0,(YEAR(MIN(IF($E360="",TODAY()-15,$E360),TODAY()-15))-YEAR($D360))*12+MONTH(MIN(IF($E360="",TODAY()-15,$E360),TODAY()-15))-MONTH($D360)+IF(MIN(IF($E360="",TODAY()-15,$E360),TODAY()-15)&gt;=EOMONTH(MIN(IF($E360="",TODAY()-15,$E360),TODAY()-15),0),1,0)),MAX(0,INT((MIN(IF($E360="",TODAY()-15,$E360),TODAY()-15)-($D360+MOD(SISTEM!$F$8-WEEKDAY($D360,2),7)))/7)+1)))</f>
        <v/>
      </c>
      <c r="L360" s="227">
        <f>IF(OR($C360="",$D360="",$G360="",$F360=""),0,$G360*IF($F360="Aylık",MAX(0,(YEAR(MIN(IF($E360="",TODAY()-29,$E360),TODAY()-29))-YEAR($D360))*12+MONTH(MIN(IF($E360="",TODAY()-29,$E360),TODAY()-29))-MONTH($D360)+IF(MIN(IF($E360="",TODAY()-29,$E360),TODAY()-29)&gt;=EOMONTH(MIN(IF($E360="",TODAY()-29,$E360),TODAY()-29),0),1,0)),MAX(0,INT((MIN(IF($E360="",TODAY()-29,$E360),TODAY()-29)-($D360+MOD(SISTEM!$F$8-WEEKDAY($D360,2),7)))/7)+1)))</f>
        <v/>
      </c>
      <c r="M360" s="228">
        <f>IF($G360&gt;0,$I360/$G360,0)</f>
        <v/>
      </c>
      <c r="N360" s="113">
        <f>IF($C360="","",IF($B360="TANIMSIZ MÜŞTERİ","TANIMSIZ MÜŞTERİ",IF($F360="","MODEL SEÇİN",IF(OR($D360="",$G360&lt;=0),"EKSİK",IF(AND($E360&lt;&gt;"",$E360&lt;$D360),"TARİH HATASI",IF($H360="Pasif","KAPALI DÖNEM","UYGUN"))))))</f>
        <v/>
      </c>
      <c r="O360" s="229">
        <f>IF(OR($C360="",$D360="",$F360=""),"",IF($F360="Aylık",EOMONTH($D360,0),($D360+MOD(SISTEM!$F$8-WEEKDAY($D360,2),7))))</f>
        <v/>
      </c>
      <c r="P360" s="109" t="n"/>
      <c r="Q360" s="6" t="n"/>
      <c r="R360" s="6" t="n"/>
      <c r="S360" s="3">
        <f>IF($B360="","",$B360&amp;"|"&amp;COUNTIFS($B$7:$B360,$B360))</f>
        <v/>
      </c>
    </row>
    <row r="361">
      <c r="A361" s="6" t="n"/>
      <c r="B361" s="113">
        <f>IF($C361="","",IFERROR(INDEX(MUSTERILER!$B$7:$B$106,MATCH($C361,MUSTERILER!$C$7:$C$106,0)),IFERROR(INDEX(MUSTERILER!$B$7:$B$106,MATCH($C361,MUSTERILER!$B$7:$B$106,0)),IFERROR(INDEX(MUSTERILER!$B$7:$B$106,MATCH($C361&amp;"*",MUSTERILER!$C$7:$C$106,0)),"TANIMSIZ MÜŞTERİ"))))</f>
        <v/>
      </c>
      <c r="C361" s="109" t="n"/>
      <c r="D361" s="225" t="n"/>
      <c r="E361" s="225" t="n"/>
      <c r="F361" s="108" t="n"/>
      <c r="G361" s="226" t="n"/>
      <c r="H361" s="108" t="n"/>
      <c r="I361" s="227">
        <f>IF(OR($C361="",$D361="",$G361="",$F361=""),0,$G361*IF($F361="Aylık",MAX(0,(YEAR(MIN(IF($E361="",TODAY(),$E361),TODAY()))-YEAR($D361))*12+MONTH(MIN(IF($E361="",TODAY(),$E361),TODAY()))-MONTH($D361)+IF(MIN(IF($E361="",TODAY(),$E361),TODAY())&gt;=EOMONTH(MIN(IF($E361="",TODAY(),$E361),TODAY()),0),1,0)),MAX(0,INT((MIN(IF($E361="",TODAY(),$E361),TODAY())-($D361+MOD(SISTEM!$F$8-WEEKDAY($D361,2),7)))/7)+1)))</f>
        <v/>
      </c>
      <c r="J361" s="227">
        <f>IF(OR($C361="",$D361="",$G361="",$F361=""),0,$G361*IF($F361="Aylık",MAX(0,(YEAR(MIN(IF($E361="",TODAY()-8,$E361),TODAY()-8))-YEAR($D361))*12+MONTH(MIN(IF($E361="",TODAY()-8,$E361),TODAY()-8))-MONTH($D361)+IF(MIN(IF($E361="",TODAY()-8,$E361),TODAY()-8)&gt;=EOMONTH(MIN(IF($E361="",TODAY()-8,$E361),TODAY()-8),0),1,0)),MAX(0,INT((MIN(IF($E361="",TODAY()-8,$E361),TODAY()-8)-($D361+MOD(SISTEM!$F$8-WEEKDAY($D361,2),7)))/7)+1)))</f>
        <v/>
      </c>
      <c r="K361" s="227">
        <f>IF(OR($C361="",$D361="",$G361="",$F361=""),0,$G361*IF($F361="Aylık",MAX(0,(YEAR(MIN(IF($E361="",TODAY()-15,$E361),TODAY()-15))-YEAR($D361))*12+MONTH(MIN(IF($E361="",TODAY()-15,$E361),TODAY()-15))-MONTH($D361)+IF(MIN(IF($E361="",TODAY()-15,$E361),TODAY()-15)&gt;=EOMONTH(MIN(IF($E361="",TODAY()-15,$E361),TODAY()-15),0),1,0)),MAX(0,INT((MIN(IF($E361="",TODAY()-15,$E361),TODAY()-15)-($D361+MOD(SISTEM!$F$8-WEEKDAY($D361,2),7)))/7)+1)))</f>
        <v/>
      </c>
      <c r="L361" s="227">
        <f>IF(OR($C361="",$D361="",$G361="",$F361=""),0,$G361*IF($F361="Aylık",MAX(0,(YEAR(MIN(IF($E361="",TODAY()-29,$E361),TODAY()-29))-YEAR($D361))*12+MONTH(MIN(IF($E361="",TODAY()-29,$E361),TODAY()-29))-MONTH($D361)+IF(MIN(IF($E361="",TODAY()-29,$E361),TODAY()-29)&gt;=EOMONTH(MIN(IF($E361="",TODAY()-29,$E361),TODAY()-29),0),1,0)),MAX(0,INT((MIN(IF($E361="",TODAY()-29,$E361),TODAY()-29)-($D361+MOD(SISTEM!$F$8-WEEKDAY($D361,2),7)))/7)+1)))</f>
        <v/>
      </c>
      <c r="M361" s="228">
        <f>IF($G361&gt;0,$I361/$G361,0)</f>
        <v/>
      </c>
      <c r="N361" s="113">
        <f>IF($C361="","",IF($B361="TANIMSIZ MÜŞTERİ","TANIMSIZ MÜŞTERİ",IF($F361="","MODEL SEÇİN",IF(OR($D361="",$G361&lt;=0),"EKSİK",IF(AND($E361&lt;&gt;"",$E361&lt;$D361),"TARİH HATASI",IF($H361="Pasif","KAPALI DÖNEM","UYGUN"))))))</f>
        <v/>
      </c>
      <c r="O361" s="229">
        <f>IF(OR($C361="",$D361="",$F361=""),"",IF($F361="Aylık",EOMONTH($D361,0),($D361+MOD(SISTEM!$F$8-WEEKDAY($D361,2),7))))</f>
        <v/>
      </c>
      <c r="P361" s="109" t="n"/>
      <c r="Q361" s="6" t="n"/>
      <c r="R361" s="6" t="n"/>
      <c r="S361" s="3">
        <f>IF($B361="","",$B361&amp;"|"&amp;COUNTIFS($B$7:$B361,$B361))</f>
        <v/>
      </c>
    </row>
    <row r="362">
      <c r="A362" s="6" t="n"/>
      <c r="B362" s="113">
        <f>IF($C362="","",IFERROR(INDEX(MUSTERILER!$B$7:$B$106,MATCH($C362,MUSTERILER!$C$7:$C$106,0)),IFERROR(INDEX(MUSTERILER!$B$7:$B$106,MATCH($C362,MUSTERILER!$B$7:$B$106,0)),IFERROR(INDEX(MUSTERILER!$B$7:$B$106,MATCH($C362&amp;"*",MUSTERILER!$C$7:$C$106,0)),"TANIMSIZ MÜŞTERİ"))))</f>
        <v/>
      </c>
      <c r="C362" s="109" t="n"/>
      <c r="D362" s="225" t="n"/>
      <c r="E362" s="225" t="n"/>
      <c r="F362" s="108" t="n"/>
      <c r="G362" s="226" t="n"/>
      <c r="H362" s="108" t="n"/>
      <c r="I362" s="227">
        <f>IF(OR($C362="",$D362="",$G362="",$F362=""),0,$G362*IF($F362="Aylık",MAX(0,(YEAR(MIN(IF($E362="",TODAY(),$E362),TODAY()))-YEAR($D362))*12+MONTH(MIN(IF($E362="",TODAY(),$E362),TODAY()))-MONTH($D362)+IF(MIN(IF($E362="",TODAY(),$E362),TODAY())&gt;=EOMONTH(MIN(IF($E362="",TODAY(),$E362),TODAY()),0),1,0)),MAX(0,INT((MIN(IF($E362="",TODAY(),$E362),TODAY())-($D362+MOD(SISTEM!$F$8-WEEKDAY($D362,2),7)))/7)+1)))</f>
        <v/>
      </c>
      <c r="J362" s="227">
        <f>IF(OR($C362="",$D362="",$G362="",$F362=""),0,$G362*IF($F362="Aylık",MAX(0,(YEAR(MIN(IF($E362="",TODAY()-8,$E362),TODAY()-8))-YEAR($D362))*12+MONTH(MIN(IF($E362="",TODAY()-8,$E362),TODAY()-8))-MONTH($D362)+IF(MIN(IF($E362="",TODAY()-8,$E362),TODAY()-8)&gt;=EOMONTH(MIN(IF($E362="",TODAY()-8,$E362),TODAY()-8),0),1,0)),MAX(0,INT((MIN(IF($E362="",TODAY()-8,$E362),TODAY()-8)-($D362+MOD(SISTEM!$F$8-WEEKDAY($D362,2),7)))/7)+1)))</f>
        <v/>
      </c>
      <c r="K362" s="227">
        <f>IF(OR($C362="",$D362="",$G362="",$F362=""),0,$G362*IF($F362="Aylık",MAX(0,(YEAR(MIN(IF($E362="",TODAY()-15,$E362),TODAY()-15))-YEAR($D362))*12+MONTH(MIN(IF($E362="",TODAY()-15,$E362),TODAY()-15))-MONTH($D362)+IF(MIN(IF($E362="",TODAY()-15,$E362),TODAY()-15)&gt;=EOMONTH(MIN(IF($E362="",TODAY()-15,$E362),TODAY()-15),0),1,0)),MAX(0,INT((MIN(IF($E362="",TODAY()-15,$E362),TODAY()-15)-($D362+MOD(SISTEM!$F$8-WEEKDAY($D362,2),7)))/7)+1)))</f>
        <v/>
      </c>
      <c r="L362" s="227">
        <f>IF(OR($C362="",$D362="",$G362="",$F362=""),0,$G362*IF($F362="Aylık",MAX(0,(YEAR(MIN(IF($E362="",TODAY()-29,$E362),TODAY()-29))-YEAR($D362))*12+MONTH(MIN(IF($E362="",TODAY()-29,$E362),TODAY()-29))-MONTH($D362)+IF(MIN(IF($E362="",TODAY()-29,$E362),TODAY()-29)&gt;=EOMONTH(MIN(IF($E362="",TODAY()-29,$E362),TODAY()-29),0),1,0)),MAX(0,INT((MIN(IF($E362="",TODAY()-29,$E362),TODAY()-29)-($D362+MOD(SISTEM!$F$8-WEEKDAY($D362,2),7)))/7)+1)))</f>
        <v/>
      </c>
      <c r="M362" s="228">
        <f>IF($G362&gt;0,$I362/$G362,0)</f>
        <v/>
      </c>
      <c r="N362" s="113">
        <f>IF($C362="","",IF($B362="TANIMSIZ MÜŞTERİ","TANIMSIZ MÜŞTERİ",IF($F362="","MODEL SEÇİN",IF(OR($D362="",$G362&lt;=0),"EKSİK",IF(AND($E362&lt;&gt;"",$E362&lt;$D362),"TARİH HATASI",IF($H362="Pasif","KAPALI DÖNEM","UYGUN"))))))</f>
        <v/>
      </c>
      <c r="O362" s="229">
        <f>IF(OR($C362="",$D362="",$F362=""),"",IF($F362="Aylık",EOMONTH($D362,0),($D362+MOD(SISTEM!$F$8-WEEKDAY($D362,2),7))))</f>
        <v/>
      </c>
      <c r="P362" s="109" t="n"/>
      <c r="Q362" s="6" t="n"/>
      <c r="R362" s="6" t="n"/>
      <c r="S362" s="3">
        <f>IF($B362="","",$B362&amp;"|"&amp;COUNTIFS($B$7:$B362,$B362))</f>
        <v/>
      </c>
    </row>
    <row r="363">
      <c r="A363" s="6" t="n"/>
      <c r="B363" s="113">
        <f>IF($C363="","",IFERROR(INDEX(MUSTERILER!$B$7:$B$106,MATCH($C363,MUSTERILER!$C$7:$C$106,0)),IFERROR(INDEX(MUSTERILER!$B$7:$B$106,MATCH($C363,MUSTERILER!$B$7:$B$106,0)),IFERROR(INDEX(MUSTERILER!$B$7:$B$106,MATCH($C363&amp;"*",MUSTERILER!$C$7:$C$106,0)),"TANIMSIZ MÜŞTERİ"))))</f>
        <v/>
      </c>
      <c r="C363" s="109" t="n"/>
      <c r="D363" s="225" t="n"/>
      <c r="E363" s="225" t="n"/>
      <c r="F363" s="108" t="n"/>
      <c r="G363" s="226" t="n"/>
      <c r="H363" s="108" t="n"/>
      <c r="I363" s="227">
        <f>IF(OR($C363="",$D363="",$G363="",$F363=""),0,$G363*IF($F363="Aylık",MAX(0,(YEAR(MIN(IF($E363="",TODAY(),$E363),TODAY()))-YEAR($D363))*12+MONTH(MIN(IF($E363="",TODAY(),$E363),TODAY()))-MONTH($D363)+IF(MIN(IF($E363="",TODAY(),$E363),TODAY())&gt;=EOMONTH(MIN(IF($E363="",TODAY(),$E363),TODAY()),0),1,0)),MAX(0,INT((MIN(IF($E363="",TODAY(),$E363),TODAY())-($D363+MOD(SISTEM!$F$8-WEEKDAY($D363,2),7)))/7)+1)))</f>
        <v/>
      </c>
      <c r="J363" s="227">
        <f>IF(OR($C363="",$D363="",$G363="",$F363=""),0,$G363*IF($F363="Aylık",MAX(0,(YEAR(MIN(IF($E363="",TODAY()-8,$E363),TODAY()-8))-YEAR($D363))*12+MONTH(MIN(IF($E363="",TODAY()-8,$E363),TODAY()-8))-MONTH($D363)+IF(MIN(IF($E363="",TODAY()-8,$E363),TODAY()-8)&gt;=EOMONTH(MIN(IF($E363="",TODAY()-8,$E363),TODAY()-8),0),1,0)),MAX(0,INT((MIN(IF($E363="",TODAY()-8,$E363),TODAY()-8)-($D363+MOD(SISTEM!$F$8-WEEKDAY($D363,2),7)))/7)+1)))</f>
        <v/>
      </c>
      <c r="K363" s="227">
        <f>IF(OR($C363="",$D363="",$G363="",$F363=""),0,$G363*IF($F363="Aylık",MAX(0,(YEAR(MIN(IF($E363="",TODAY()-15,$E363),TODAY()-15))-YEAR($D363))*12+MONTH(MIN(IF($E363="",TODAY()-15,$E363),TODAY()-15))-MONTH($D363)+IF(MIN(IF($E363="",TODAY()-15,$E363),TODAY()-15)&gt;=EOMONTH(MIN(IF($E363="",TODAY()-15,$E363),TODAY()-15),0),1,0)),MAX(0,INT((MIN(IF($E363="",TODAY()-15,$E363),TODAY()-15)-($D363+MOD(SISTEM!$F$8-WEEKDAY($D363,2),7)))/7)+1)))</f>
        <v/>
      </c>
      <c r="L363" s="227">
        <f>IF(OR($C363="",$D363="",$G363="",$F363=""),0,$G363*IF($F363="Aylık",MAX(0,(YEAR(MIN(IF($E363="",TODAY()-29,$E363),TODAY()-29))-YEAR($D363))*12+MONTH(MIN(IF($E363="",TODAY()-29,$E363),TODAY()-29))-MONTH($D363)+IF(MIN(IF($E363="",TODAY()-29,$E363),TODAY()-29)&gt;=EOMONTH(MIN(IF($E363="",TODAY()-29,$E363),TODAY()-29),0),1,0)),MAX(0,INT((MIN(IF($E363="",TODAY()-29,$E363),TODAY()-29)-($D363+MOD(SISTEM!$F$8-WEEKDAY($D363,2),7)))/7)+1)))</f>
        <v/>
      </c>
      <c r="M363" s="228">
        <f>IF($G363&gt;0,$I363/$G363,0)</f>
        <v/>
      </c>
      <c r="N363" s="113">
        <f>IF($C363="","",IF($B363="TANIMSIZ MÜŞTERİ","TANIMSIZ MÜŞTERİ",IF($F363="","MODEL SEÇİN",IF(OR($D363="",$G363&lt;=0),"EKSİK",IF(AND($E363&lt;&gt;"",$E363&lt;$D363),"TARİH HATASI",IF($H363="Pasif","KAPALI DÖNEM","UYGUN"))))))</f>
        <v/>
      </c>
      <c r="O363" s="229">
        <f>IF(OR($C363="",$D363="",$F363=""),"",IF($F363="Aylık",EOMONTH($D363,0),($D363+MOD(SISTEM!$F$8-WEEKDAY($D363,2),7))))</f>
        <v/>
      </c>
      <c r="P363" s="109" t="n"/>
      <c r="Q363" s="6" t="n"/>
      <c r="R363" s="6" t="n"/>
      <c r="S363" s="3">
        <f>IF($B363="","",$B363&amp;"|"&amp;COUNTIFS($B$7:$B363,$B363))</f>
        <v/>
      </c>
    </row>
    <row r="364">
      <c r="A364" s="6" t="n"/>
      <c r="B364" s="113">
        <f>IF($C364="","",IFERROR(INDEX(MUSTERILER!$B$7:$B$106,MATCH($C364,MUSTERILER!$C$7:$C$106,0)),IFERROR(INDEX(MUSTERILER!$B$7:$B$106,MATCH($C364,MUSTERILER!$B$7:$B$106,0)),IFERROR(INDEX(MUSTERILER!$B$7:$B$106,MATCH($C364&amp;"*",MUSTERILER!$C$7:$C$106,0)),"TANIMSIZ MÜŞTERİ"))))</f>
        <v/>
      </c>
      <c r="C364" s="109" t="n"/>
      <c r="D364" s="225" t="n"/>
      <c r="E364" s="225" t="n"/>
      <c r="F364" s="108" t="n"/>
      <c r="G364" s="226" t="n"/>
      <c r="H364" s="108" t="n"/>
      <c r="I364" s="227">
        <f>IF(OR($C364="",$D364="",$G364="",$F364=""),0,$G364*IF($F364="Aylık",MAX(0,(YEAR(MIN(IF($E364="",TODAY(),$E364),TODAY()))-YEAR($D364))*12+MONTH(MIN(IF($E364="",TODAY(),$E364),TODAY()))-MONTH($D364)+IF(MIN(IF($E364="",TODAY(),$E364),TODAY())&gt;=EOMONTH(MIN(IF($E364="",TODAY(),$E364),TODAY()),0),1,0)),MAX(0,INT((MIN(IF($E364="",TODAY(),$E364),TODAY())-($D364+MOD(SISTEM!$F$8-WEEKDAY($D364,2),7)))/7)+1)))</f>
        <v/>
      </c>
      <c r="J364" s="227">
        <f>IF(OR($C364="",$D364="",$G364="",$F364=""),0,$G364*IF($F364="Aylık",MAX(0,(YEAR(MIN(IF($E364="",TODAY()-8,$E364),TODAY()-8))-YEAR($D364))*12+MONTH(MIN(IF($E364="",TODAY()-8,$E364),TODAY()-8))-MONTH($D364)+IF(MIN(IF($E364="",TODAY()-8,$E364),TODAY()-8)&gt;=EOMONTH(MIN(IF($E364="",TODAY()-8,$E364),TODAY()-8),0),1,0)),MAX(0,INT((MIN(IF($E364="",TODAY()-8,$E364),TODAY()-8)-($D364+MOD(SISTEM!$F$8-WEEKDAY($D364,2),7)))/7)+1)))</f>
        <v/>
      </c>
      <c r="K364" s="227">
        <f>IF(OR($C364="",$D364="",$G364="",$F364=""),0,$G364*IF($F364="Aylık",MAX(0,(YEAR(MIN(IF($E364="",TODAY()-15,$E364),TODAY()-15))-YEAR($D364))*12+MONTH(MIN(IF($E364="",TODAY()-15,$E364),TODAY()-15))-MONTH($D364)+IF(MIN(IF($E364="",TODAY()-15,$E364),TODAY()-15)&gt;=EOMONTH(MIN(IF($E364="",TODAY()-15,$E364),TODAY()-15),0),1,0)),MAX(0,INT((MIN(IF($E364="",TODAY()-15,$E364),TODAY()-15)-($D364+MOD(SISTEM!$F$8-WEEKDAY($D364,2),7)))/7)+1)))</f>
        <v/>
      </c>
      <c r="L364" s="227">
        <f>IF(OR($C364="",$D364="",$G364="",$F364=""),0,$G364*IF($F364="Aylık",MAX(0,(YEAR(MIN(IF($E364="",TODAY()-29,$E364),TODAY()-29))-YEAR($D364))*12+MONTH(MIN(IF($E364="",TODAY()-29,$E364),TODAY()-29))-MONTH($D364)+IF(MIN(IF($E364="",TODAY()-29,$E364),TODAY()-29)&gt;=EOMONTH(MIN(IF($E364="",TODAY()-29,$E364),TODAY()-29),0),1,0)),MAX(0,INT((MIN(IF($E364="",TODAY()-29,$E364),TODAY()-29)-($D364+MOD(SISTEM!$F$8-WEEKDAY($D364,2),7)))/7)+1)))</f>
        <v/>
      </c>
      <c r="M364" s="228">
        <f>IF($G364&gt;0,$I364/$G364,0)</f>
        <v/>
      </c>
      <c r="N364" s="113">
        <f>IF($C364="","",IF($B364="TANIMSIZ MÜŞTERİ","TANIMSIZ MÜŞTERİ",IF($F364="","MODEL SEÇİN",IF(OR($D364="",$G364&lt;=0),"EKSİK",IF(AND($E364&lt;&gt;"",$E364&lt;$D364),"TARİH HATASI",IF($H364="Pasif","KAPALI DÖNEM","UYGUN"))))))</f>
        <v/>
      </c>
      <c r="O364" s="229">
        <f>IF(OR($C364="",$D364="",$F364=""),"",IF($F364="Aylık",EOMONTH($D364,0),($D364+MOD(SISTEM!$F$8-WEEKDAY($D364,2),7))))</f>
        <v/>
      </c>
      <c r="P364" s="109" t="n"/>
      <c r="Q364" s="6" t="n"/>
      <c r="R364" s="6" t="n"/>
      <c r="S364" s="3">
        <f>IF($B364="","",$B364&amp;"|"&amp;COUNTIFS($B$7:$B364,$B364))</f>
        <v/>
      </c>
    </row>
    <row r="365">
      <c r="A365" s="6" t="n"/>
      <c r="B365" s="113">
        <f>IF($C365="","",IFERROR(INDEX(MUSTERILER!$B$7:$B$106,MATCH($C365,MUSTERILER!$C$7:$C$106,0)),IFERROR(INDEX(MUSTERILER!$B$7:$B$106,MATCH($C365,MUSTERILER!$B$7:$B$106,0)),IFERROR(INDEX(MUSTERILER!$B$7:$B$106,MATCH($C365&amp;"*",MUSTERILER!$C$7:$C$106,0)),"TANIMSIZ MÜŞTERİ"))))</f>
        <v/>
      </c>
      <c r="C365" s="109" t="n"/>
      <c r="D365" s="225" t="n"/>
      <c r="E365" s="225" t="n"/>
      <c r="F365" s="108" t="n"/>
      <c r="G365" s="226" t="n"/>
      <c r="H365" s="108" t="n"/>
      <c r="I365" s="227">
        <f>IF(OR($C365="",$D365="",$G365="",$F365=""),0,$G365*IF($F365="Aylık",MAX(0,(YEAR(MIN(IF($E365="",TODAY(),$E365),TODAY()))-YEAR($D365))*12+MONTH(MIN(IF($E365="",TODAY(),$E365),TODAY()))-MONTH($D365)+IF(MIN(IF($E365="",TODAY(),$E365),TODAY())&gt;=EOMONTH(MIN(IF($E365="",TODAY(),$E365),TODAY()),0),1,0)),MAX(0,INT((MIN(IF($E365="",TODAY(),$E365),TODAY())-($D365+MOD(SISTEM!$F$8-WEEKDAY($D365,2),7)))/7)+1)))</f>
        <v/>
      </c>
      <c r="J365" s="227">
        <f>IF(OR($C365="",$D365="",$G365="",$F365=""),0,$G365*IF($F365="Aylık",MAX(0,(YEAR(MIN(IF($E365="",TODAY()-8,$E365),TODAY()-8))-YEAR($D365))*12+MONTH(MIN(IF($E365="",TODAY()-8,$E365),TODAY()-8))-MONTH($D365)+IF(MIN(IF($E365="",TODAY()-8,$E365),TODAY()-8)&gt;=EOMONTH(MIN(IF($E365="",TODAY()-8,$E365),TODAY()-8),0),1,0)),MAX(0,INT((MIN(IF($E365="",TODAY()-8,$E365),TODAY()-8)-($D365+MOD(SISTEM!$F$8-WEEKDAY($D365,2),7)))/7)+1)))</f>
        <v/>
      </c>
      <c r="K365" s="227">
        <f>IF(OR($C365="",$D365="",$G365="",$F365=""),0,$G365*IF($F365="Aylık",MAX(0,(YEAR(MIN(IF($E365="",TODAY()-15,$E365),TODAY()-15))-YEAR($D365))*12+MONTH(MIN(IF($E365="",TODAY()-15,$E365),TODAY()-15))-MONTH($D365)+IF(MIN(IF($E365="",TODAY()-15,$E365),TODAY()-15)&gt;=EOMONTH(MIN(IF($E365="",TODAY()-15,$E365),TODAY()-15),0),1,0)),MAX(0,INT((MIN(IF($E365="",TODAY()-15,$E365),TODAY()-15)-($D365+MOD(SISTEM!$F$8-WEEKDAY($D365,2),7)))/7)+1)))</f>
        <v/>
      </c>
      <c r="L365" s="227">
        <f>IF(OR($C365="",$D365="",$G365="",$F365=""),0,$G365*IF($F365="Aylık",MAX(0,(YEAR(MIN(IF($E365="",TODAY()-29,$E365),TODAY()-29))-YEAR($D365))*12+MONTH(MIN(IF($E365="",TODAY()-29,$E365),TODAY()-29))-MONTH($D365)+IF(MIN(IF($E365="",TODAY()-29,$E365),TODAY()-29)&gt;=EOMONTH(MIN(IF($E365="",TODAY()-29,$E365),TODAY()-29),0),1,0)),MAX(0,INT((MIN(IF($E365="",TODAY()-29,$E365),TODAY()-29)-($D365+MOD(SISTEM!$F$8-WEEKDAY($D365,2),7)))/7)+1)))</f>
        <v/>
      </c>
      <c r="M365" s="228">
        <f>IF($G365&gt;0,$I365/$G365,0)</f>
        <v/>
      </c>
      <c r="N365" s="113">
        <f>IF($C365="","",IF($B365="TANIMSIZ MÜŞTERİ","TANIMSIZ MÜŞTERİ",IF($F365="","MODEL SEÇİN",IF(OR($D365="",$G365&lt;=0),"EKSİK",IF(AND($E365&lt;&gt;"",$E365&lt;$D365),"TARİH HATASI",IF($H365="Pasif","KAPALI DÖNEM","UYGUN"))))))</f>
        <v/>
      </c>
      <c r="O365" s="229">
        <f>IF(OR($C365="",$D365="",$F365=""),"",IF($F365="Aylık",EOMONTH($D365,0),($D365+MOD(SISTEM!$F$8-WEEKDAY($D365,2),7))))</f>
        <v/>
      </c>
      <c r="P365" s="109" t="n"/>
      <c r="Q365" s="6" t="n"/>
      <c r="R365" s="6" t="n"/>
      <c r="S365" s="3">
        <f>IF($B365="","",$B365&amp;"|"&amp;COUNTIFS($B$7:$B365,$B365))</f>
        <v/>
      </c>
    </row>
    <row r="366">
      <c r="A366" s="6" t="n"/>
      <c r="B366" s="113">
        <f>IF($C366="","",IFERROR(INDEX(MUSTERILER!$B$7:$B$106,MATCH($C366,MUSTERILER!$C$7:$C$106,0)),IFERROR(INDEX(MUSTERILER!$B$7:$B$106,MATCH($C366,MUSTERILER!$B$7:$B$106,0)),IFERROR(INDEX(MUSTERILER!$B$7:$B$106,MATCH($C366&amp;"*",MUSTERILER!$C$7:$C$106,0)),"TANIMSIZ MÜŞTERİ"))))</f>
        <v/>
      </c>
      <c r="C366" s="109" t="n"/>
      <c r="D366" s="225" t="n"/>
      <c r="E366" s="225" t="n"/>
      <c r="F366" s="108" t="n"/>
      <c r="G366" s="226" t="n"/>
      <c r="H366" s="108" t="n"/>
      <c r="I366" s="227">
        <f>IF(OR($C366="",$D366="",$G366="",$F366=""),0,$G366*IF($F366="Aylık",MAX(0,(YEAR(MIN(IF($E366="",TODAY(),$E366),TODAY()))-YEAR($D366))*12+MONTH(MIN(IF($E366="",TODAY(),$E366),TODAY()))-MONTH($D366)+IF(MIN(IF($E366="",TODAY(),$E366),TODAY())&gt;=EOMONTH(MIN(IF($E366="",TODAY(),$E366),TODAY()),0),1,0)),MAX(0,INT((MIN(IF($E366="",TODAY(),$E366),TODAY())-($D366+MOD(SISTEM!$F$8-WEEKDAY($D366,2),7)))/7)+1)))</f>
        <v/>
      </c>
      <c r="J366" s="227">
        <f>IF(OR($C366="",$D366="",$G366="",$F366=""),0,$G366*IF($F366="Aylık",MAX(0,(YEAR(MIN(IF($E366="",TODAY()-8,$E366),TODAY()-8))-YEAR($D366))*12+MONTH(MIN(IF($E366="",TODAY()-8,$E366),TODAY()-8))-MONTH($D366)+IF(MIN(IF($E366="",TODAY()-8,$E366),TODAY()-8)&gt;=EOMONTH(MIN(IF($E366="",TODAY()-8,$E366),TODAY()-8),0),1,0)),MAX(0,INT((MIN(IF($E366="",TODAY()-8,$E366),TODAY()-8)-($D366+MOD(SISTEM!$F$8-WEEKDAY($D366,2),7)))/7)+1)))</f>
        <v/>
      </c>
      <c r="K366" s="227">
        <f>IF(OR($C366="",$D366="",$G366="",$F366=""),0,$G366*IF($F366="Aylık",MAX(0,(YEAR(MIN(IF($E366="",TODAY()-15,$E366),TODAY()-15))-YEAR($D366))*12+MONTH(MIN(IF($E366="",TODAY()-15,$E366),TODAY()-15))-MONTH($D366)+IF(MIN(IF($E366="",TODAY()-15,$E366),TODAY()-15)&gt;=EOMONTH(MIN(IF($E366="",TODAY()-15,$E366),TODAY()-15),0),1,0)),MAX(0,INT((MIN(IF($E366="",TODAY()-15,$E366),TODAY()-15)-($D366+MOD(SISTEM!$F$8-WEEKDAY($D366,2),7)))/7)+1)))</f>
        <v/>
      </c>
      <c r="L366" s="227">
        <f>IF(OR($C366="",$D366="",$G366="",$F366=""),0,$G366*IF($F366="Aylık",MAX(0,(YEAR(MIN(IF($E366="",TODAY()-29,$E366),TODAY()-29))-YEAR($D366))*12+MONTH(MIN(IF($E366="",TODAY()-29,$E366),TODAY()-29))-MONTH($D366)+IF(MIN(IF($E366="",TODAY()-29,$E366),TODAY()-29)&gt;=EOMONTH(MIN(IF($E366="",TODAY()-29,$E366),TODAY()-29),0),1,0)),MAX(0,INT((MIN(IF($E366="",TODAY()-29,$E366),TODAY()-29)-($D366+MOD(SISTEM!$F$8-WEEKDAY($D366,2),7)))/7)+1)))</f>
        <v/>
      </c>
      <c r="M366" s="228">
        <f>IF($G366&gt;0,$I366/$G366,0)</f>
        <v/>
      </c>
      <c r="N366" s="113">
        <f>IF($C366="","",IF($B366="TANIMSIZ MÜŞTERİ","TANIMSIZ MÜŞTERİ",IF($F366="","MODEL SEÇİN",IF(OR($D366="",$G366&lt;=0),"EKSİK",IF(AND($E366&lt;&gt;"",$E366&lt;$D366),"TARİH HATASI",IF($H366="Pasif","KAPALI DÖNEM","UYGUN"))))))</f>
        <v/>
      </c>
      <c r="O366" s="229">
        <f>IF(OR($C366="",$D366="",$F366=""),"",IF($F366="Aylık",EOMONTH($D366,0),($D366+MOD(SISTEM!$F$8-WEEKDAY($D366,2),7))))</f>
        <v/>
      </c>
      <c r="P366" s="109" t="n"/>
      <c r="Q366" s="6" t="n"/>
      <c r="R366" s="6" t="n"/>
      <c r="S366" s="3">
        <f>IF($B366="","",$B366&amp;"|"&amp;COUNTIFS($B$7:$B366,$B366))</f>
        <v/>
      </c>
    </row>
    <row r="367">
      <c r="A367" s="6" t="n"/>
      <c r="B367" s="113">
        <f>IF($C367="","",IFERROR(INDEX(MUSTERILER!$B$7:$B$106,MATCH($C367,MUSTERILER!$C$7:$C$106,0)),IFERROR(INDEX(MUSTERILER!$B$7:$B$106,MATCH($C367,MUSTERILER!$B$7:$B$106,0)),IFERROR(INDEX(MUSTERILER!$B$7:$B$106,MATCH($C367&amp;"*",MUSTERILER!$C$7:$C$106,0)),"TANIMSIZ MÜŞTERİ"))))</f>
        <v/>
      </c>
      <c r="C367" s="109" t="n"/>
      <c r="D367" s="225" t="n"/>
      <c r="E367" s="225" t="n"/>
      <c r="F367" s="108" t="n"/>
      <c r="G367" s="226" t="n"/>
      <c r="H367" s="108" t="n"/>
      <c r="I367" s="227">
        <f>IF(OR($C367="",$D367="",$G367="",$F367=""),0,$G367*IF($F367="Aylık",MAX(0,(YEAR(MIN(IF($E367="",TODAY(),$E367),TODAY()))-YEAR($D367))*12+MONTH(MIN(IF($E367="",TODAY(),$E367),TODAY()))-MONTH($D367)+IF(MIN(IF($E367="",TODAY(),$E367),TODAY())&gt;=EOMONTH(MIN(IF($E367="",TODAY(),$E367),TODAY()),0),1,0)),MAX(0,INT((MIN(IF($E367="",TODAY(),$E367),TODAY())-($D367+MOD(SISTEM!$F$8-WEEKDAY($D367,2),7)))/7)+1)))</f>
        <v/>
      </c>
      <c r="J367" s="227">
        <f>IF(OR($C367="",$D367="",$G367="",$F367=""),0,$G367*IF($F367="Aylık",MAX(0,(YEAR(MIN(IF($E367="",TODAY()-8,$E367),TODAY()-8))-YEAR($D367))*12+MONTH(MIN(IF($E367="",TODAY()-8,$E367),TODAY()-8))-MONTH($D367)+IF(MIN(IF($E367="",TODAY()-8,$E367),TODAY()-8)&gt;=EOMONTH(MIN(IF($E367="",TODAY()-8,$E367),TODAY()-8),0),1,0)),MAX(0,INT((MIN(IF($E367="",TODAY()-8,$E367),TODAY()-8)-($D367+MOD(SISTEM!$F$8-WEEKDAY($D367,2),7)))/7)+1)))</f>
        <v/>
      </c>
      <c r="K367" s="227">
        <f>IF(OR($C367="",$D367="",$G367="",$F367=""),0,$G367*IF($F367="Aylık",MAX(0,(YEAR(MIN(IF($E367="",TODAY()-15,$E367),TODAY()-15))-YEAR($D367))*12+MONTH(MIN(IF($E367="",TODAY()-15,$E367),TODAY()-15))-MONTH($D367)+IF(MIN(IF($E367="",TODAY()-15,$E367),TODAY()-15)&gt;=EOMONTH(MIN(IF($E367="",TODAY()-15,$E367),TODAY()-15),0),1,0)),MAX(0,INT((MIN(IF($E367="",TODAY()-15,$E367),TODAY()-15)-($D367+MOD(SISTEM!$F$8-WEEKDAY($D367,2),7)))/7)+1)))</f>
        <v/>
      </c>
      <c r="L367" s="227">
        <f>IF(OR($C367="",$D367="",$G367="",$F367=""),0,$G367*IF($F367="Aylık",MAX(0,(YEAR(MIN(IF($E367="",TODAY()-29,$E367),TODAY()-29))-YEAR($D367))*12+MONTH(MIN(IF($E367="",TODAY()-29,$E367),TODAY()-29))-MONTH($D367)+IF(MIN(IF($E367="",TODAY()-29,$E367),TODAY()-29)&gt;=EOMONTH(MIN(IF($E367="",TODAY()-29,$E367),TODAY()-29),0),1,0)),MAX(0,INT((MIN(IF($E367="",TODAY()-29,$E367),TODAY()-29)-($D367+MOD(SISTEM!$F$8-WEEKDAY($D367,2),7)))/7)+1)))</f>
        <v/>
      </c>
      <c r="M367" s="228">
        <f>IF($G367&gt;0,$I367/$G367,0)</f>
        <v/>
      </c>
      <c r="N367" s="113">
        <f>IF($C367="","",IF($B367="TANIMSIZ MÜŞTERİ","TANIMSIZ MÜŞTERİ",IF($F367="","MODEL SEÇİN",IF(OR($D367="",$G367&lt;=0),"EKSİK",IF(AND($E367&lt;&gt;"",$E367&lt;$D367),"TARİH HATASI",IF($H367="Pasif","KAPALI DÖNEM","UYGUN"))))))</f>
        <v/>
      </c>
      <c r="O367" s="229">
        <f>IF(OR($C367="",$D367="",$F367=""),"",IF($F367="Aylık",EOMONTH($D367,0),($D367+MOD(SISTEM!$F$8-WEEKDAY($D367,2),7))))</f>
        <v/>
      </c>
      <c r="P367" s="109" t="n"/>
      <c r="Q367" s="6" t="n"/>
      <c r="R367" s="6" t="n"/>
      <c r="S367" s="3">
        <f>IF($B367="","",$B367&amp;"|"&amp;COUNTIFS($B$7:$B367,$B367))</f>
        <v/>
      </c>
    </row>
    <row r="368">
      <c r="A368" s="6" t="n"/>
      <c r="B368" s="113">
        <f>IF($C368="","",IFERROR(INDEX(MUSTERILER!$B$7:$B$106,MATCH($C368,MUSTERILER!$C$7:$C$106,0)),IFERROR(INDEX(MUSTERILER!$B$7:$B$106,MATCH($C368,MUSTERILER!$B$7:$B$106,0)),IFERROR(INDEX(MUSTERILER!$B$7:$B$106,MATCH($C368&amp;"*",MUSTERILER!$C$7:$C$106,0)),"TANIMSIZ MÜŞTERİ"))))</f>
        <v/>
      </c>
      <c r="C368" s="109" t="n"/>
      <c r="D368" s="225" t="n"/>
      <c r="E368" s="225" t="n"/>
      <c r="F368" s="108" t="n"/>
      <c r="G368" s="226" t="n"/>
      <c r="H368" s="108" t="n"/>
      <c r="I368" s="227">
        <f>IF(OR($C368="",$D368="",$G368="",$F368=""),0,$G368*IF($F368="Aylık",MAX(0,(YEAR(MIN(IF($E368="",TODAY(),$E368),TODAY()))-YEAR($D368))*12+MONTH(MIN(IF($E368="",TODAY(),$E368),TODAY()))-MONTH($D368)+IF(MIN(IF($E368="",TODAY(),$E368),TODAY())&gt;=EOMONTH(MIN(IF($E368="",TODAY(),$E368),TODAY()),0),1,0)),MAX(0,INT((MIN(IF($E368="",TODAY(),$E368),TODAY())-($D368+MOD(SISTEM!$F$8-WEEKDAY($D368,2),7)))/7)+1)))</f>
        <v/>
      </c>
      <c r="J368" s="227">
        <f>IF(OR($C368="",$D368="",$G368="",$F368=""),0,$G368*IF($F368="Aylık",MAX(0,(YEAR(MIN(IF($E368="",TODAY()-8,$E368),TODAY()-8))-YEAR($D368))*12+MONTH(MIN(IF($E368="",TODAY()-8,$E368),TODAY()-8))-MONTH($D368)+IF(MIN(IF($E368="",TODAY()-8,$E368),TODAY()-8)&gt;=EOMONTH(MIN(IF($E368="",TODAY()-8,$E368),TODAY()-8),0),1,0)),MAX(0,INT((MIN(IF($E368="",TODAY()-8,$E368),TODAY()-8)-($D368+MOD(SISTEM!$F$8-WEEKDAY($D368,2),7)))/7)+1)))</f>
        <v/>
      </c>
      <c r="K368" s="227">
        <f>IF(OR($C368="",$D368="",$G368="",$F368=""),0,$G368*IF($F368="Aylık",MAX(0,(YEAR(MIN(IF($E368="",TODAY()-15,$E368),TODAY()-15))-YEAR($D368))*12+MONTH(MIN(IF($E368="",TODAY()-15,$E368),TODAY()-15))-MONTH($D368)+IF(MIN(IF($E368="",TODAY()-15,$E368),TODAY()-15)&gt;=EOMONTH(MIN(IF($E368="",TODAY()-15,$E368),TODAY()-15),0),1,0)),MAX(0,INT((MIN(IF($E368="",TODAY()-15,$E368),TODAY()-15)-($D368+MOD(SISTEM!$F$8-WEEKDAY($D368,2),7)))/7)+1)))</f>
        <v/>
      </c>
      <c r="L368" s="227">
        <f>IF(OR($C368="",$D368="",$G368="",$F368=""),0,$G368*IF($F368="Aylık",MAX(0,(YEAR(MIN(IF($E368="",TODAY()-29,$E368),TODAY()-29))-YEAR($D368))*12+MONTH(MIN(IF($E368="",TODAY()-29,$E368),TODAY()-29))-MONTH($D368)+IF(MIN(IF($E368="",TODAY()-29,$E368),TODAY()-29)&gt;=EOMONTH(MIN(IF($E368="",TODAY()-29,$E368),TODAY()-29),0),1,0)),MAX(0,INT((MIN(IF($E368="",TODAY()-29,$E368),TODAY()-29)-($D368+MOD(SISTEM!$F$8-WEEKDAY($D368,2),7)))/7)+1)))</f>
        <v/>
      </c>
      <c r="M368" s="228">
        <f>IF($G368&gt;0,$I368/$G368,0)</f>
        <v/>
      </c>
      <c r="N368" s="113">
        <f>IF($C368="","",IF($B368="TANIMSIZ MÜŞTERİ","TANIMSIZ MÜŞTERİ",IF($F368="","MODEL SEÇİN",IF(OR($D368="",$G368&lt;=0),"EKSİK",IF(AND($E368&lt;&gt;"",$E368&lt;$D368),"TARİH HATASI",IF($H368="Pasif","KAPALI DÖNEM","UYGUN"))))))</f>
        <v/>
      </c>
      <c r="O368" s="229">
        <f>IF(OR($C368="",$D368="",$F368=""),"",IF($F368="Aylık",EOMONTH($D368,0),($D368+MOD(SISTEM!$F$8-WEEKDAY($D368,2),7))))</f>
        <v/>
      </c>
      <c r="P368" s="109" t="n"/>
      <c r="Q368" s="6" t="n"/>
      <c r="R368" s="6" t="n"/>
      <c r="S368" s="3">
        <f>IF($B368="","",$B368&amp;"|"&amp;COUNTIFS($B$7:$B368,$B368))</f>
        <v/>
      </c>
    </row>
    <row r="369">
      <c r="A369" s="6" t="n"/>
      <c r="B369" s="113">
        <f>IF($C369="","",IFERROR(INDEX(MUSTERILER!$B$7:$B$106,MATCH($C369,MUSTERILER!$C$7:$C$106,0)),IFERROR(INDEX(MUSTERILER!$B$7:$B$106,MATCH($C369,MUSTERILER!$B$7:$B$106,0)),IFERROR(INDEX(MUSTERILER!$B$7:$B$106,MATCH($C369&amp;"*",MUSTERILER!$C$7:$C$106,0)),"TANIMSIZ MÜŞTERİ"))))</f>
        <v/>
      </c>
      <c r="C369" s="109" t="n"/>
      <c r="D369" s="225" t="n"/>
      <c r="E369" s="225" t="n"/>
      <c r="F369" s="108" t="n"/>
      <c r="G369" s="226" t="n"/>
      <c r="H369" s="108" t="n"/>
      <c r="I369" s="227">
        <f>IF(OR($C369="",$D369="",$G369="",$F369=""),0,$G369*IF($F369="Aylık",MAX(0,(YEAR(MIN(IF($E369="",TODAY(),$E369),TODAY()))-YEAR($D369))*12+MONTH(MIN(IF($E369="",TODAY(),$E369),TODAY()))-MONTH($D369)+IF(MIN(IF($E369="",TODAY(),$E369),TODAY())&gt;=EOMONTH(MIN(IF($E369="",TODAY(),$E369),TODAY()),0),1,0)),MAX(0,INT((MIN(IF($E369="",TODAY(),$E369),TODAY())-($D369+MOD(SISTEM!$F$8-WEEKDAY($D369,2),7)))/7)+1)))</f>
        <v/>
      </c>
      <c r="J369" s="227">
        <f>IF(OR($C369="",$D369="",$G369="",$F369=""),0,$G369*IF($F369="Aylık",MAX(0,(YEAR(MIN(IF($E369="",TODAY()-8,$E369),TODAY()-8))-YEAR($D369))*12+MONTH(MIN(IF($E369="",TODAY()-8,$E369),TODAY()-8))-MONTH($D369)+IF(MIN(IF($E369="",TODAY()-8,$E369),TODAY()-8)&gt;=EOMONTH(MIN(IF($E369="",TODAY()-8,$E369),TODAY()-8),0),1,0)),MAX(0,INT((MIN(IF($E369="",TODAY()-8,$E369),TODAY()-8)-($D369+MOD(SISTEM!$F$8-WEEKDAY($D369,2),7)))/7)+1)))</f>
        <v/>
      </c>
      <c r="K369" s="227">
        <f>IF(OR($C369="",$D369="",$G369="",$F369=""),0,$G369*IF($F369="Aylık",MAX(0,(YEAR(MIN(IF($E369="",TODAY()-15,$E369),TODAY()-15))-YEAR($D369))*12+MONTH(MIN(IF($E369="",TODAY()-15,$E369),TODAY()-15))-MONTH($D369)+IF(MIN(IF($E369="",TODAY()-15,$E369),TODAY()-15)&gt;=EOMONTH(MIN(IF($E369="",TODAY()-15,$E369),TODAY()-15),0),1,0)),MAX(0,INT((MIN(IF($E369="",TODAY()-15,$E369),TODAY()-15)-($D369+MOD(SISTEM!$F$8-WEEKDAY($D369,2),7)))/7)+1)))</f>
        <v/>
      </c>
      <c r="L369" s="227">
        <f>IF(OR($C369="",$D369="",$G369="",$F369=""),0,$G369*IF($F369="Aylık",MAX(0,(YEAR(MIN(IF($E369="",TODAY()-29,$E369),TODAY()-29))-YEAR($D369))*12+MONTH(MIN(IF($E369="",TODAY()-29,$E369),TODAY()-29))-MONTH($D369)+IF(MIN(IF($E369="",TODAY()-29,$E369),TODAY()-29)&gt;=EOMONTH(MIN(IF($E369="",TODAY()-29,$E369),TODAY()-29),0),1,0)),MAX(0,INT((MIN(IF($E369="",TODAY()-29,$E369),TODAY()-29)-($D369+MOD(SISTEM!$F$8-WEEKDAY($D369,2),7)))/7)+1)))</f>
        <v/>
      </c>
      <c r="M369" s="228">
        <f>IF($G369&gt;0,$I369/$G369,0)</f>
        <v/>
      </c>
      <c r="N369" s="113">
        <f>IF($C369="","",IF($B369="TANIMSIZ MÜŞTERİ","TANIMSIZ MÜŞTERİ",IF($F369="","MODEL SEÇİN",IF(OR($D369="",$G369&lt;=0),"EKSİK",IF(AND($E369&lt;&gt;"",$E369&lt;$D369),"TARİH HATASI",IF($H369="Pasif","KAPALI DÖNEM","UYGUN"))))))</f>
        <v/>
      </c>
      <c r="O369" s="229">
        <f>IF(OR($C369="",$D369="",$F369=""),"",IF($F369="Aylık",EOMONTH($D369,0),($D369+MOD(SISTEM!$F$8-WEEKDAY($D369,2),7))))</f>
        <v/>
      </c>
      <c r="P369" s="109" t="n"/>
      <c r="Q369" s="6" t="n"/>
      <c r="R369" s="6" t="n"/>
      <c r="S369" s="3">
        <f>IF($B369="","",$B369&amp;"|"&amp;COUNTIFS($B$7:$B369,$B369))</f>
        <v/>
      </c>
    </row>
    <row r="370">
      <c r="A370" s="6" t="n"/>
      <c r="B370" s="113">
        <f>IF($C370="","",IFERROR(INDEX(MUSTERILER!$B$7:$B$106,MATCH($C370,MUSTERILER!$C$7:$C$106,0)),IFERROR(INDEX(MUSTERILER!$B$7:$B$106,MATCH($C370,MUSTERILER!$B$7:$B$106,0)),IFERROR(INDEX(MUSTERILER!$B$7:$B$106,MATCH($C370&amp;"*",MUSTERILER!$C$7:$C$106,0)),"TANIMSIZ MÜŞTERİ"))))</f>
        <v/>
      </c>
      <c r="C370" s="109" t="n"/>
      <c r="D370" s="225" t="n"/>
      <c r="E370" s="225" t="n"/>
      <c r="F370" s="108" t="n"/>
      <c r="G370" s="226" t="n"/>
      <c r="H370" s="108" t="n"/>
      <c r="I370" s="227">
        <f>IF(OR($C370="",$D370="",$G370="",$F370=""),0,$G370*IF($F370="Aylık",MAX(0,(YEAR(MIN(IF($E370="",TODAY(),$E370),TODAY()))-YEAR($D370))*12+MONTH(MIN(IF($E370="",TODAY(),$E370),TODAY()))-MONTH($D370)+IF(MIN(IF($E370="",TODAY(),$E370),TODAY())&gt;=EOMONTH(MIN(IF($E370="",TODAY(),$E370),TODAY()),0),1,0)),MAX(0,INT((MIN(IF($E370="",TODAY(),$E370),TODAY())-($D370+MOD(SISTEM!$F$8-WEEKDAY($D370,2),7)))/7)+1)))</f>
        <v/>
      </c>
      <c r="J370" s="227">
        <f>IF(OR($C370="",$D370="",$G370="",$F370=""),0,$G370*IF($F370="Aylık",MAX(0,(YEAR(MIN(IF($E370="",TODAY()-8,$E370),TODAY()-8))-YEAR($D370))*12+MONTH(MIN(IF($E370="",TODAY()-8,$E370),TODAY()-8))-MONTH($D370)+IF(MIN(IF($E370="",TODAY()-8,$E370),TODAY()-8)&gt;=EOMONTH(MIN(IF($E370="",TODAY()-8,$E370),TODAY()-8),0),1,0)),MAX(0,INT((MIN(IF($E370="",TODAY()-8,$E370),TODAY()-8)-($D370+MOD(SISTEM!$F$8-WEEKDAY($D370,2),7)))/7)+1)))</f>
        <v/>
      </c>
      <c r="K370" s="227">
        <f>IF(OR($C370="",$D370="",$G370="",$F370=""),0,$G370*IF($F370="Aylık",MAX(0,(YEAR(MIN(IF($E370="",TODAY()-15,$E370),TODAY()-15))-YEAR($D370))*12+MONTH(MIN(IF($E370="",TODAY()-15,$E370),TODAY()-15))-MONTH($D370)+IF(MIN(IF($E370="",TODAY()-15,$E370),TODAY()-15)&gt;=EOMONTH(MIN(IF($E370="",TODAY()-15,$E370),TODAY()-15),0),1,0)),MAX(0,INT((MIN(IF($E370="",TODAY()-15,$E370),TODAY()-15)-($D370+MOD(SISTEM!$F$8-WEEKDAY($D370,2),7)))/7)+1)))</f>
        <v/>
      </c>
      <c r="L370" s="227">
        <f>IF(OR($C370="",$D370="",$G370="",$F370=""),0,$G370*IF($F370="Aylık",MAX(0,(YEAR(MIN(IF($E370="",TODAY()-29,$E370),TODAY()-29))-YEAR($D370))*12+MONTH(MIN(IF($E370="",TODAY()-29,$E370),TODAY()-29))-MONTH($D370)+IF(MIN(IF($E370="",TODAY()-29,$E370),TODAY()-29)&gt;=EOMONTH(MIN(IF($E370="",TODAY()-29,$E370),TODAY()-29),0),1,0)),MAX(0,INT((MIN(IF($E370="",TODAY()-29,$E370),TODAY()-29)-($D370+MOD(SISTEM!$F$8-WEEKDAY($D370,2),7)))/7)+1)))</f>
        <v/>
      </c>
      <c r="M370" s="228">
        <f>IF($G370&gt;0,$I370/$G370,0)</f>
        <v/>
      </c>
      <c r="N370" s="113">
        <f>IF($C370="","",IF($B370="TANIMSIZ MÜŞTERİ","TANIMSIZ MÜŞTERİ",IF($F370="","MODEL SEÇİN",IF(OR($D370="",$G370&lt;=0),"EKSİK",IF(AND($E370&lt;&gt;"",$E370&lt;$D370),"TARİH HATASI",IF($H370="Pasif","KAPALI DÖNEM","UYGUN"))))))</f>
        <v/>
      </c>
      <c r="O370" s="229">
        <f>IF(OR($C370="",$D370="",$F370=""),"",IF($F370="Aylık",EOMONTH($D370,0),($D370+MOD(SISTEM!$F$8-WEEKDAY($D370,2),7))))</f>
        <v/>
      </c>
      <c r="P370" s="109" t="n"/>
      <c r="Q370" s="6" t="n"/>
      <c r="R370" s="6" t="n"/>
      <c r="S370" s="3">
        <f>IF($B370="","",$B370&amp;"|"&amp;COUNTIFS($B$7:$B370,$B370))</f>
        <v/>
      </c>
    </row>
    <row r="371">
      <c r="A371" s="6" t="n"/>
      <c r="B371" s="113">
        <f>IF($C371="","",IFERROR(INDEX(MUSTERILER!$B$7:$B$106,MATCH($C371,MUSTERILER!$C$7:$C$106,0)),IFERROR(INDEX(MUSTERILER!$B$7:$B$106,MATCH($C371,MUSTERILER!$B$7:$B$106,0)),IFERROR(INDEX(MUSTERILER!$B$7:$B$106,MATCH($C371&amp;"*",MUSTERILER!$C$7:$C$106,0)),"TANIMSIZ MÜŞTERİ"))))</f>
        <v/>
      </c>
      <c r="C371" s="109" t="n"/>
      <c r="D371" s="225" t="n"/>
      <c r="E371" s="225" t="n"/>
      <c r="F371" s="108" t="n"/>
      <c r="G371" s="226" t="n"/>
      <c r="H371" s="108" t="n"/>
      <c r="I371" s="227">
        <f>IF(OR($C371="",$D371="",$G371="",$F371=""),0,$G371*IF($F371="Aylık",MAX(0,(YEAR(MIN(IF($E371="",TODAY(),$E371),TODAY()))-YEAR($D371))*12+MONTH(MIN(IF($E371="",TODAY(),$E371),TODAY()))-MONTH($D371)+IF(MIN(IF($E371="",TODAY(),$E371),TODAY())&gt;=EOMONTH(MIN(IF($E371="",TODAY(),$E371),TODAY()),0),1,0)),MAX(0,INT((MIN(IF($E371="",TODAY(),$E371),TODAY())-($D371+MOD(SISTEM!$F$8-WEEKDAY($D371,2),7)))/7)+1)))</f>
        <v/>
      </c>
      <c r="J371" s="227">
        <f>IF(OR($C371="",$D371="",$G371="",$F371=""),0,$G371*IF($F371="Aylık",MAX(0,(YEAR(MIN(IF($E371="",TODAY()-8,$E371),TODAY()-8))-YEAR($D371))*12+MONTH(MIN(IF($E371="",TODAY()-8,$E371),TODAY()-8))-MONTH($D371)+IF(MIN(IF($E371="",TODAY()-8,$E371),TODAY()-8)&gt;=EOMONTH(MIN(IF($E371="",TODAY()-8,$E371),TODAY()-8),0),1,0)),MAX(0,INT((MIN(IF($E371="",TODAY()-8,$E371),TODAY()-8)-($D371+MOD(SISTEM!$F$8-WEEKDAY($D371,2),7)))/7)+1)))</f>
        <v/>
      </c>
      <c r="K371" s="227">
        <f>IF(OR($C371="",$D371="",$G371="",$F371=""),0,$G371*IF($F371="Aylık",MAX(0,(YEAR(MIN(IF($E371="",TODAY()-15,$E371),TODAY()-15))-YEAR($D371))*12+MONTH(MIN(IF($E371="",TODAY()-15,$E371),TODAY()-15))-MONTH($D371)+IF(MIN(IF($E371="",TODAY()-15,$E371),TODAY()-15)&gt;=EOMONTH(MIN(IF($E371="",TODAY()-15,$E371),TODAY()-15),0),1,0)),MAX(0,INT((MIN(IF($E371="",TODAY()-15,$E371),TODAY()-15)-($D371+MOD(SISTEM!$F$8-WEEKDAY($D371,2),7)))/7)+1)))</f>
        <v/>
      </c>
      <c r="L371" s="227">
        <f>IF(OR($C371="",$D371="",$G371="",$F371=""),0,$G371*IF($F371="Aylık",MAX(0,(YEAR(MIN(IF($E371="",TODAY()-29,$E371),TODAY()-29))-YEAR($D371))*12+MONTH(MIN(IF($E371="",TODAY()-29,$E371),TODAY()-29))-MONTH($D371)+IF(MIN(IF($E371="",TODAY()-29,$E371),TODAY()-29)&gt;=EOMONTH(MIN(IF($E371="",TODAY()-29,$E371),TODAY()-29),0),1,0)),MAX(0,INT((MIN(IF($E371="",TODAY()-29,$E371),TODAY()-29)-($D371+MOD(SISTEM!$F$8-WEEKDAY($D371,2),7)))/7)+1)))</f>
        <v/>
      </c>
      <c r="M371" s="228">
        <f>IF($G371&gt;0,$I371/$G371,0)</f>
        <v/>
      </c>
      <c r="N371" s="113">
        <f>IF($C371="","",IF($B371="TANIMSIZ MÜŞTERİ","TANIMSIZ MÜŞTERİ",IF($F371="","MODEL SEÇİN",IF(OR($D371="",$G371&lt;=0),"EKSİK",IF(AND($E371&lt;&gt;"",$E371&lt;$D371),"TARİH HATASI",IF($H371="Pasif","KAPALI DÖNEM","UYGUN"))))))</f>
        <v/>
      </c>
      <c r="O371" s="229">
        <f>IF(OR($C371="",$D371="",$F371=""),"",IF($F371="Aylık",EOMONTH($D371,0),($D371+MOD(SISTEM!$F$8-WEEKDAY($D371,2),7))))</f>
        <v/>
      </c>
      <c r="P371" s="109" t="n"/>
      <c r="Q371" s="6" t="n"/>
      <c r="R371" s="6" t="n"/>
      <c r="S371" s="3">
        <f>IF($B371="","",$B371&amp;"|"&amp;COUNTIFS($B$7:$B371,$B371))</f>
        <v/>
      </c>
    </row>
    <row r="372">
      <c r="A372" s="6" t="n"/>
      <c r="B372" s="113">
        <f>IF($C372="","",IFERROR(INDEX(MUSTERILER!$B$7:$B$106,MATCH($C372,MUSTERILER!$C$7:$C$106,0)),IFERROR(INDEX(MUSTERILER!$B$7:$B$106,MATCH($C372,MUSTERILER!$B$7:$B$106,0)),IFERROR(INDEX(MUSTERILER!$B$7:$B$106,MATCH($C372&amp;"*",MUSTERILER!$C$7:$C$106,0)),"TANIMSIZ MÜŞTERİ"))))</f>
        <v/>
      </c>
      <c r="C372" s="109" t="n"/>
      <c r="D372" s="225" t="n"/>
      <c r="E372" s="225" t="n"/>
      <c r="F372" s="108" t="n"/>
      <c r="G372" s="226" t="n"/>
      <c r="H372" s="108" t="n"/>
      <c r="I372" s="227">
        <f>IF(OR($C372="",$D372="",$G372="",$F372=""),0,$G372*IF($F372="Aylık",MAX(0,(YEAR(MIN(IF($E372="",TODAY(),$E372),TODAY()))-YEAR($D372))*12+MONTH(MIN(IF($E372="",TODAY(),$E372),TODAY()))-MONTH($D372)+IF(MIN(IF($E372="",TODAY(),$E372),TODAY())&gt;=EOMONTH(MIN(IF($E372="",TODAY(),$E372),TODAY()),0),1,0)),MAX(0,INT((MIN(IF($E372="",TODAY(),$E372),TODAY())-($D372+MOD(SISTEM!$F$8-WEEKDAY($D372,2),7)))/7)+1)))</f>
        <v/>
      </c>
      <c r="J372" s="227">
        <f>IF(OR($C372="",$D372="",$G372="",$F372=""),0,$G372*IF($F372="Aylık",MAX(0,(YEAR(MIN(IF($E372="",TODAY()-8,$E372),TODAY()-8))-YEAR($D372))*12+MONTH(MIN(IF($E372="",TODAY()-8,$E372),TODAY()-8))-MONTH($D372)+IF(MIN(IF($E372="",TODAY()-8,$E372),TODAY()-8)&gt;=EOMONTH(MIN(IF($E372="",TODAY()-8,$E372),TODAY()-8),0),1,0)),MAX(0,INT((MIN(IF($E372="",TODAY()-8,$E372),TODAY()-8)-($D372+MOD(SISTEM!$F$8-WEEKDAY($D372,2),7)))/7)+1)))</f>
        <v/>
      </c>
      <c r="K372" s="227">
        <f>IF(OR($C372="",$D372="",$G372="",$F372=""),0,$G372*IF($F372="Aylık",MAX(0,(YEAR(MIN(IF($E372="",TODAY()-15,$E372),TODAY()-15))-YEAR($D372))*12+MONTH(MIN(IF($E372="",TODAY()-15,$E372),TODAY()-15))-MONTH($D372)+IF(MIN(IF($E372="",TODAY()-15,$E372),TODAY()-15)&gt;=EOMONTH(MIN(IF($E372="",TODAY()-15,$E372),TODAY()-15),0),1,0)),MAX(0,INT((MIN(IF($E372="",TODAY()-15,$E372),TODAY()-15)-($D372+MOD(SISTEM!$F$8-WEEKDAY($D372,2),7)))/7)+1)))</f>
        <v/>
      </c>
      <c r="L372" s="227">
        <f>IF(OR($C372="",$D372="",$G372="",$F372=""),0,$G372*IF($F372="Aylık",MAX(0,(YEAR(MIN(IF($E372="",TODAY()-29,$E372),TODAY()-29))-YEAR($D372))*12+MONTH(MIN(IF($E372="",TODAY()-29,$E372),TODAY()-29))-MONTH($D372)+IF(MIN(IF($E372="",TODAY()-29,$E372),TODAY()-29)&gt;=EOMONTH(MIN(IF($E372="",TODAY()-29,$E372),TODAY()-29),0),1,0)),MAX(0,INT((MIN(IF($E372="",TODAY()-29,$E372),TODAY()-29)-($D372+MOD(SISTEM!$F$8-WEEKDAY($D372,2),7)))/7)+1)))</f>
        <v/>
      </c>
      <c r="M372" s="228">
        <f>IF($G372&gt;0,$I372/$G372,0)</f>
        <v/>
      </c>
      <c r="N372" s="113">
        <f>IF($C372="","",IF($B372="TANIMSIZ MÜŞTERİ","TANIMSIZ MÜŞTERİ",IF($F372="","MODEL SEÇİN",IF(OR($D372="",$G372&lt;=0),"EKSİK",IF(AND($E372&lt;&gt;"",$E372&lt;$D372),"TARİH HATASI",IF($H372="Pasif","KAPALI DÖNEM","UYGUN"))))))</f>
        <v/>
      </c>
      <c r="O372" s="229">
        <f>IF(OR($C372="",$D372="",$F372=""),"",IF($F372="Aylık",EOMONTH($D372,0),($D372+MOD(SISTEM!$F$8-WEEKDAY($D372,2),7))))</f>
        <v/>
      </c>
      <c r="P372" s="109" t="n"/>
      <c r="Q372" s="6" t="n"/>
      <c r="R372" s="6" t="n"/>
      <c r="S372" s="3">
        <f>IF($B372="","",$B372&amp;"|"&amp;COUNTIFS($B$7:$B372,$B372))</f>
        <v/>
      </c>
    </row>
    <row r="373">
      <c r="A373" s="6" t="n"/>
      <c r="B373" s="113">
        <f>IF($C373="","",IFERROR(INDEX(MUSTERILER!$B$7:$B$106,MATCH($C373,MUSTERILER!$C$7:$C$106,0)),IFERROR(INDEX(MUSTERILER!$B$7:$B$106,MATCH($C373,MUSTERILER!$B$7:$B$106,0)),IFERROR(INDEX(MUSTERILER!$B$7:$B$106,MATCH($C373&amp;"*",MUSTERILER!$C$7:$C$106,0)),"TANIMSIZ MÜŞTERİ"))))</f>
        <v/>
      </c>
      <c r="C373" s="109" t="n"/>
      <c r="D373" s="225" t="n"/>
      <c r="E373" s="225" t="n"/>
      <c r="F373" s="108" t="n"/>
      <c r="G373" s="226" t="n"/>
      <c r="H373" s="108" t="n"/>
      <c r="I373" s="227">
        <f>IF(OR($C373="",$D373="",$G373="",$F373=""),0,$G373*IF($F373="Aylık",MAX(0,(YEAR(MIN(IF($E373="",TODAY(),$E373),TODAY()))-YEAR($D373))*12+MONTH(MIN(IF($E373="",TODAY(),$E373),TODAY()))-MONTH($D373)+IF(MIN(IF($E373="",TODAY(),$E373),TODAY())&gt;=EOMONTH(MIN(IF($E373="",TODAY(),$E373),TODAY()),0),1,0)),MAX(0,INT((MIN(IF($E373="",TODAY(),$E373),TODAY())-($D373+MOD(SISTEM!$F$8-WEEKDAY($D373,2),7)))/7)+1)))</f>
        <v/>
      </c>
      <c r="J373" s="227">
        <f>IF(OR($C373="",$D373="",$G373="",$F373=""),0,$G373*IF($F373="Aylık",MAX(0,(YEAR(MIN(IF($E373="",TODAY()-8,$E373),TODAY()-8))-YEAR($D373))*12+MONTH(MIN(IF($E373="",TODAY()-8,$E373),TODAY()-8))-MONTH($D373)+IF(MIN(IF($E373="",TODAY()-8,$E373),TODAY()-8)&gt;=EOMONTH(MIN(IF($E373="",TODAY()-8,$E373),TODAY()-8),0),1,0)),MAX(0,INT((MIN(IF($E373="",TODAY()-8,$E373),TODAY()-8)-($D373+MOD(SISTEM!$F$8-WEEKDAY($D373,2),7)))/7)+1)))</f>
        <v/>
      </c>
      <c r="K373" s="227">
        <f>IF(OR($C373="",$D373="",$G373="",$F373=""),0,$G373*IF($F373="Aylık",MAX(0,(YEAR(MIN(IF($E373="",TODAY()-15,$E373),TODAY()-15))-YEAR($D373))*12+MONTH(MIN(IF($E373="",TODAY()-15,$E373),TODAY()-15))-MONTH($D373)+IF(MIN(IF($E373="",TODAY()-15,$E373),TODAY()-15)&gt;=EOMONTH(MIN(IF($E373="",TODAY()-15,$E373),TODAY()-15),0),1,0)),MAX(0,INT((MIN(IF($E373="",TODAY()-15,$E373),TODAY()-15)-($D373+MOD(SISTEM!$F$8-WEEKDAY($D373,2),7)))/7)+1)))</f>
        <v/>
      </c>
      <c r="L373" s="227">
        <f>IF(OR($C373="",$D373="",$G373="",$F373=""),0,$G373*IF($F373="Aylık",MAX(0,(YEAR(MIN(IF($E373="",TODAY()-29,$E373),TODAY()-29))-YEAR($D373))*12+MONTH(MIN(IF($E373="",TODAY()-29,$E373),TODAY()-29))-MONTH($D373)+IF(MIN(IF($E373="",TODAY()-29,$E373),TODAY()-29)&gt;=EOMONTH(MIN(IF($E373="",TODAY()-29,$E373),TODAY()-29),0),1,0)),MAX(0,INT((MIN(IF($E373="",TODAY()-29,$E373),TODAY()-29)-($D373+MOD(SISTEM!$F$8-WEEKDAY($D373,2),7)))/7)+1)))</f>
        <v/>
      </c>
      <c r="M373" s="228">
        <f>IF($G373&gt;0,$I373/$G373,0)</f>
        <v/>
      </c>
      <c r="N373" s="113">
        <f>IF($C373="","",IF($B373="TANIMSIZ MÜŞTERİ","TANIMSIZ MÜŞTERİ",IF($F373="","MODEL SEÇİN",IF(OR($D373="",$G373&lt;=0),"EKSİK",IF(AND($E373&lt;&gt;"",$E373&lt;$D373),"TARİH HATASI",IF($H373="Pasif","KAPALI DÖNEM","UYGUN"))))))</f>
        <v/>
      </c>
      <c r="O373" s="229">
        <f>IF(OR($C373="",$D373="",$F373=""),"",IF($F373="Aylık",EOMONTH($D373,0),($D373+MOD(SISTEM!$F$8-WEEKDAY($D373,2),7))))</f>
        <v/>
      </c>
      <c r="P373" s="109" t="n"/>
      <c r="Q373" s="6" t="n"/>
      <c r="R373" s="6" t="n"/>
      <c r="S373" s="3">
        <f>IF($B373="","",$B373&amp;"|"&amp;COUNTIFS($B$7:$B373,$B373))</f>
        <v/>
      </c>
    </row>
    <row r="374">
      <c r="A374" s="6" t="n"/>
      <c r="B374" s="113">
        <f>IF($C374="","",IFERROR(INDEX(MUSTERILER!$B$7:$B$106,MATCH($C374,MUSTERILER!$C$7:$C$106,0)),IFERROR(INDEX(MUSTERILER!$B$7:$B$106,MATCH($C374,MUSTERILER!$B$7:$B$106,0)),IFERROR(INDEX(MUSTERILER!$B$7:$B$106,MATCH($C374&amp;"*",MUSTERILER!$C$7:$C$106,0)),"TANIMSIZ MÜŞTERİ"))))</f>
        <v/>
      </c>
      <c r="C374" s="109" t="n"/>
      <c r="D374" s="225" t="n"/>
      <c r="E374" s="225" t="n"/>
      <c r="F374" s="108" t="n"/>
      <c r="G374" s="226" t="n"/>
      <c r="H374" s="108" t="n"/>
      <c r="I374" s="227">
        <f>IF(OR($C374="",$D374="",$G374="",$F374=""),0,$G374*IF($F374="Aylık",MAX(0,(YEAR(MIN(IF($E374="",TODAY(),$E374),TODAY()))-YEAR($D374))*12+MONTH(MIN(IF($E374="",TODAY(),$E374),TODAY()))-MONTH($D374)+IF(MIN(IF($E374="",TODAY(),$E374),TODAY())&gt;=EOMONTH(MIN(IF($E374="",TODAY(),$E374),TODAY()),0),1,0)),MAX(0,INT((MIN(IF($E374="",TODAY(),$E374),TODAY())-($D374+MOD(SISTEM!$F$8-WEEKDAY($D374,2),7)))/7)+1)))</f>
        <v/>
      </c>
      <c r="J374" s="227">
        <f>IF(OR($C374="",$D374="",$G374="",$F374=""),0,$G374*IF($F374="Aylık",MAX(0,(YEAR(MIN(IF($E374="",TODAY()-8,$E374),TODAY()-8))-YEAR($D374))*12+MONTH(MIN(IF($E374="",TODAY()-8,$E374),TODAY()-8))-MONTH($D374)+IF(MIN(IF($E374="",TODAY()-8,$E374),TODAY()-8)&gt;=EOMONTH(MIN(IF($E374="",TODAY()-8,$E374),TODAY()-8),0),1,0)),MAX(0,INT((MIN(IF($E374="",TODAY()-8,$E374),TODAY()-8)-($D374+MOD(SISTEM!$F$8-WEEKDAY($D374,2),7)))/7)+1)))</f>
        <v/>
      </c>
      <c r="K374" s="227">
        <f>IF(OR($C374="",$D374="",$G374="",$F374=""),0,$G374*IF($F374="Aylık",MAX(0,(YEAR(MIN(IF($E374="",TODAY()-15,$E374),TODAY()-15))-YEAR($D374))*12+MONTH(MIN(IF($E374="",TODAY()-15,$E374),TODAY()-15))-MONTH($D374)+IF(MIN(IF($E374="",TODAY()-15,$E374),TODAY()-15)&gt;=EOMONTH(MIN(IF($E374="",TODAY()-15,$E374),TODAY()-15),0),1,0)),MAX(0,INT((MIN(IF($E374="",TODAY()-15,$E374),TODAY()-15)-($D374+MOD(SISTEM!$F$8-WEEKDAY($D374,2),7)))/7)+1)))</f>
        <v/>
      </c>
      <c r="L374" s="227">
        <f>IF(OR($C374="",$D374="",$G374="",$F374=""),0,$G374*IF($F374="Aylık",MAX(0,(YEAR(MIN(IF($E374="",TODAY()-29,$E374),TODAY()-29))-YEAR($D374))*12+MONTH(MIN(IF($E374="",TODAY()-29,$E374),TODAY()-29))-MONTH($D374)+IF(MIN(IF($E374="",TODAY()-29,$E374),TODAY()-29)&gt;=EOMONTH(MIN(IF($E374="",TODAY()-29,$E374),TODAY()-29),0),1,0)),MAX(0,INT((MIN(IF($E374="",TODAY()-29,$E374),TODAY()-29)-($D374+MOD(SISTEM!$F$8-WEEKDAY($D374,2),7)))/7)+1)))</f>
        <v/>
      </c>
      <c r="M374" s="228">
        <f>IF($G374&gt;0,$I374/$G374,0)</f>
        <v/>
      </c>
      <c r="N374" s="113">
        <f>IF($C374="","",IF($B374="TANIMSIZ MÜŞTERİ","TANIMSIZ MÜŞTERİ",IF($F374="","MODEL SEÇİN",IF(OR($D374="",$G374&lt;=0),"EKSİK",IF(AND($E374&lt;&gt;"",$E374&lt;$D374),"TARİH HATASI",IF($H374="Pasif","KAPALI DÖNEM","UYGUN"))))))</f>
        <v/>
      </c>
      <c r="O374" s="229">
        <f>IF(OR($C374="",$D374="",$F374=""),"",IF($F374="Aylık",EOMONTH($D374,0),($D374+MOD(SISTEM!$F$8-WEEKDAY($D374,2),7))))</f>
        <v/>
      </c>
      <c r="P374" s="109" t="n"/>
      <c r="Q374" s="6" t="n"/>
      <c r="R374" s="6" t="n"/>
      <c r="S374" s="3">
        <f>IF($B374="","",$B374&amp;"|"&amp;COUNTIFS($B$7:$B374,$B374))</f>
        <v/>
      </c>
    </row>
    <row r="375">
      <c r="A375" s="6" t="n"/>
      <c r="B375" s="113">
        <f>IF($C375="","",IFERROR(INDEX(MUSTERILER!$B$7:$B$106,MATCH($C375,MUSTERILER!$C$7:$C$106,0)),IFERROR(INDEX(MUSTERILER!$B$7:$B$106,MATCH($C375,MUSTERILER!$B$7:$B$106,0)),IFERROR(INDEX(MUSTERILER!$B$7:$B$106,MATCH($C375&amp;"*",MUSTERILER!$C$7:$C$106,0)),"TANIMSIZ MÜŞTERİ"))))</f>
        <v/>
      </c>
      <c r="C375" s="109" t="n"/>
      <c r="D375" s="225" t="n"/>
      <c r="E375" s="225" t="n"/>
      <c r="F375" s="108" t="n"/>
      <c r="G375" s="226" t="n"/>
      <c r="H375" s="108" t="n"/>
      <c r="I375" s="227">
        <f>IF(OR($C375="",$D375="",$G375="",$F375=""),0,$G375*IF($F375="Aylık",MAX(0,(YEAR(MIN(IF($E375="",TODAY(),$E375),TODAY()))-YEAR($D375))*12+MONTH(MIN(IF($E375="",TODAY(),$E375),TODAY()))-MONTH($D375)+IF(MIN(IF($E375="",TODAY(),$E375),TODAY())&gt;=EOMONTH(MIN(IF($E375="",TODAY(),$E375),TODAY()),0),1,0)),MAX(0,INT((MIN(IF($E375="",TODAY(),$E375),TODAY())-($D375+MOD(SISTEM!$F$8-WEEKDAY($D375,2),7)))/7)+1)))</f>
        <v/>
      </c>
      <c r="J375" s="227">
        <f>IF(OR($C375="",$D375="",$G375="",$F375=""),0,$G375*IF($F375="Aylık",MAX(0,(YEAR(MIN(IF($E375="",TODAY()-8,$E375),TODAY()-8))-YEAR($D375))*12+MONTH(MIN(IF($E375="",TODAY()-8,$E375),TODAY()-8))-MONTH($D375)+IF(MIN(IF($E375="",TODAY()-8,$E375),TODAY()-8)&gt;=EOMONTH(MIN(IF($E375="",TODAY()-8,$E375),TODAY()-8),0),1,0)),MAX(0,INT((MIN(IF($E375="",TODAY()-8,$E375),TODAY()-8)-($D375+MOD(SISTEM!$F$8-WEEKDAY($D375,2),7)))/7)+1)))</f>
        <v/>
      </c>
      <c r="K375" s="227">
        <f>IF(OR($C375="",$D375="",$G375="",$F375=""),0,$G375*IF($F375="Aylık",MAX(0,(YEAR(MIN(IF($E375="",TODAY()-15,$E375),TODAY()-15))-YEAR($D375))*12+MONTH(MIN(IF($E375="",TODAY()-15,$E375),TODAY()-15))-MONTH($D375)+IF(MIN(IF($E375="",TODAY()-15,$E375),TODAY()-15)&gt;=EOMONTH(MIN(IF($E375="",TODAY()-15,$E375),TODAY()-15),0),1,0)),MAX(0,INT((MIN(IF($E375="",TODAY()-15,$E375),TODAY()-15)-($D375+MOD(SISTEM!$F$8-WEEKDAY($D375,2),7)))/7)+1)))</f>
        <v/>
      </c>
      <c r="L375" s="227">
        <f>IF(OR($C375="",$D375="",$G375="",$F375=""),0,$G375*IF($F375="Aylık",MAX(0,(YEAR(MIN(IF($E375="",TODAY()-29,$E375),TODAY()-29))-YEAR($D375))*12+MONTH(MIN(IF($E375="",TODAY()-29,$E375),TODAY()-29))-MONTH($D375)+IF(MIN(IF($E375="",TODAY()-29,$E375),TODAY()-29)&gt;=EOMONTH(MIN(IF($E375="",TODAY()-29,$E375),TODAY()-29),0),1,0)),MAX(0,INT((MIN(IF($E375="",TODAY()-29,$E375),TODAY()-29)-($D375+MOD(SISTEM!$F$8-WEEKDAY($D375,2),7)))/7)+1)))</f>
        <v/>
      </c>
      <c r="M375" s="228">
        <f>IF($G375&gt;0,$I375/$G375,0)</f>
        <v/>
      </c>
      <c r="N375" s="113">
        <f>IF($C375="","",IF($B375="TANIMSIZ MÜŞTERİ","TANIMSIZ MÜŞTERİ",IF($F375="","MODEL SEÇİN",IF(OR($D375="",$G375&lt;=0),"EKSİK",IF(AND($E375&lt;&gt;"",$E375&lt;$D375),"TARİH HATASI",IF($H375="Pasif","KAPALI DÖNEM","UYGUN"))))))</f>
        <v/>
      </c>
      <c r="O375" s="229">
        <f>IF(OR($C375="",$D375="",$F375=""),"",IF($F375="Aylık",EOMONTH($D375,0),($D375+MOD(SISTEM!$F$8-WEEKDAY($D375,2),7))))</f>
        <v/>
      </c>
      <c r="P375" s="109" t="n"/>
      <c r="Q375" s="6" t="n"/>
      <c r="R375" s="6" t="n"/>
      <c r="S375" s="3">
        <f>IF($B375="","",$B375&amp;"|"&amp;COUNTIFS($B$7:$B375,$B375))</f>
        <v/>
      </c>
    </row>
    <row r="376">
      <c r="A376" s="6" t="n"/>
      <c r="B376" s="113">
        <f>IF($C376="","",IFERROR(INDEX(MUSTERILER!$B$7:$B$106,MATCH($C376,MUSTERILER!$C$7:$C$106,0)),IFERROR(INDEX(MUSTERILER!$B$7:$B$106,MATCH($C376,MUSTERILER!$B$7:$B$106,0)),IFERROR(INDEX(MUSTERILER!$B$7:$B$106,MATCH($C376&amp;"*",MUSTERILER!$C$7:$C$106,0)),"TANIMSIZ MÜŞTERİ"))))</f>
        <v/>
      </c>
      <c r="C376" s="109" t="n"/>
      <c r="D376" s="225" t="n"/>
      <c r="E376" s="225" t="n"/>
      <c r="F376" s="108" t="n"/>
      <c r="G376" s="226" t="n"/>
      <c r="H376" s="108" t="n"/>
      <c r="I376" s="227">
        <f>IF(OR($C376="",$D376="",$G376="",$F376=""),0,$G376*IF($F376="Aylık",MAX(0,(YEAR(MIN(IF($E376="",TODAY(),$E376),TODAY()))-YEAR($D376))*12+MONTH(MIN(IF($E376="",TODAY(),$E376),TODAY()))-MONTH($D376)+IF(MIN(IF($E376="",TODAY(),$E376),TODAY())&gt;=EOMONTH(MIN(IF($E376="",TODAY(),$E376),TODAY()),0),1,0)),MAX(0,INT((MIN(IF($E376="",TODAY(),$E376),TODAY())-($D376+MOD(SISTEM!$F$8-WEEKDAY($D376,2),7)))/7)+1)))</f>
        <v/>
      </c>
      <c r="J376" s="227">
        <f>IF(OR($C376="",$D376="",$G376="",$F376=""),0,$G376*IF($F376="Aylık",MAX(0,(YEAR(MIN(IF($E376="",TODAY()-8,$E376),TODAY()-8))-YEAR($D376))*12+MONTH(MIN(IF($E376="",TODAY()-8,$E376),TODAY()-8))-MONTH($D376)+IF(MIN(IF($E376="",TODAY()-8,$E376),TODAY()-8)&gt;=EOMONTH(MIN(IF($E376="",TODAY()-8,$E376),TODAY()-8),0),1,0)),MAX(0,INT((MIN(IF($E376="",TODAY()-8,$E376),TODAY()-8)-($D376+MOD(SISTEM!$F$8-WEEKDAY($D376,2),7)))/7)+1)))</f>
        <v/>
      </c>
      <c r="K376" s="227">
        <f>IF(OR($C376="",$D376="",$G376="",$F376=""),0,$G376*IF($F376="Aylık",MAX(0,(YEAR(MIN(IF($E376="",TODAY()-15,$E376),TODAY()-15))-YEAR($D376))*12+MONTH(MIN(IF($E376="",TODAY()-15,$E376),TODAY()-15))-MONTH($D376)+IF(MIN(IF($E376="",TODAY()-15,$E376),TODAY()-15)&gt;=EOMONTH(MIN(IF($E376="",TODAY()-15,$E376),TODAY()-15),0),1,0)),MAX(0,INT((MIN(IF($E376="",TODAY()-15,$E376),TODAY()-15)-($D376+MOD(SISTEM!$F$8-WEEKDAY($D376,2),7)))/7)+1)))</f>
        <v/>
      </c>
      <c r="L376" s="227">
        <f>IF(OR($C376="",$D376="",$G376="",$F376=""),0,$G376*IF($F376="Aylık",MAX(0,(YEAR(MIN(IF($E376="",TODAY()-29,$E376),TODAY()-29))-YEAR($D376))*12+MONTH(MIN(IF($E376="",TODAY()-29,$E376),TODAY()-29))-MONTH($D376)+IF(MIN(IF($E376="",TODAY()-29,$E376),TODAY()-29)&gt;=EOMONTH(MIN(IF($E376="",TODAY()-29,$E376),TODAY()-29),0),1,0)),MAX(0,INT((MIN(IF($E376="",TODAY()-29,$E376),TODAY()-29)-($D376+MOD(SISTEM!$F$8-WEEKDAY($D376,2),7)))/7)+1)))</f>
        <v/>
      </c>
      <c r="M376" s="228">
        <f>IF($G376&gt;0,$I376/$G376,0)</f>
        <v/>
      </c>
      <c r="N376" s="113">
        <f>IF($C376="","",IF($B376="TANIMSIZ MÜŞTERİ","TANIMSIZ MÜŞTERİ",IF($F376="","MODEL SEÇİN",IF(OR($D376="",$G376&lt;=0),"EKSİK",IF(AND($E376&lt;&gt;"",$E376&lt;$D376),"TARİH HATASI",IF($H376="Pasif","KAPALI DÖNEM","UYGUN"))))))</f>
        <v/>
      </c>
      <c r="O376" s="229">
        <f>IF(OR($C376="",$D376="",$F376=""),"",IF($F376="Aylık",EOMONTH($D376,0),($D376+MOD(SISTEM!$F$8-WEEKDAY($D376,2),7))))</f>
        <v/>
      </c>
      <c r="P376" s="109" t="n"/>
      <c r="Q376" s="6" t="n"/>
      <c r="R376" s="6" t="n"/>
      <c r="S376" s="3">
        <f>IF($B376="","",$B376&amp;"|"&amp;COUNTIFS($B$7:$B376,$B376))</f>
        <v/>
      </c>
    </row>
    <row r="377">
      <c r="A377" s="6" t="n"/>
      <c r="B377" s="113">
        <f>IF($C377="","",IFERROR(INDEX(MUSTERILER!$B$7:$B$106,MATCH($C377,MUSTERILER!$C$7:$C$106,0)),IFERROR(INDEX(MUSTERILER!$B$7:$B$106,MATCH($C377,MUSTERILER!$B$7:$B$106,0)),IFERROR(INDEX(MUSTERILER!$B$7:$B$106,MATCH($C377&amp;"*",MUSTERILER!$C$7:$C$106,0)),"TANIMSIZ MÜŞTERİ"))))</f>
        <v/>
      </c>
      <c r="C377" s="109" t="n"/>
      <c r="D377" s="225" t="n"/>
      <c r="E377" s="225" t="n"/>
      <c r="F377" s="108" t="n"/>
      <c r="G377" s="226" t="n"/>
      <c r="H377" s="108" t="n"/>
      <c r="I377" s="227">
        <f>IF(OR($C377="",$D377="",$G377="",$F377=""),0,$G377*IF($F377="Aylık",MAX(0,(YEAR(MIN(IF($E377="",TODAY(),$E377),TODAY()))-YEAR($D377))*12+MONTH(MIN(IF($E377="",TODAY(),$E377),TODAY()))-MONTH($D377)+IF(MIN(IF($E377="",TODAY(),$E377),TODAY())&gt;=EOMONTH(MIN(IF($E377="",TODAY(),$E377),TODAY()),0),1,0)),MAX(0,INT((MIN(IF($E377="",TODAY(),$E377),TODAY())-($D377+MOD(SISTEM!$F$8-WEEKDAY($D377,2),7)))/7)+1)))</f>
        <v/>
      </c>
      <c r="J377" s="227">
        <f>IF(OR($C377="",$D377="",$G377="",$F377=""),0,$G377*IF($F377="Aylık",MAX(0,(YEAR(MIN(IF($E377="",TODAY()-8,$E377),TODAY()-8))-YEAR($D377))*12+MONTH(MIN(IF($E377="",TODAY()-8,$E377),TODAY()-8))-MONTH($D377)+IF(MIN(IF($E377="",TODAY()-8,$E377),TODAY()-8)&gt;=EOMONTH(MIN(IF($E377="",TODAY()-8,$E377),TODAY()-8),0),1,0)),MAX(0,INT((MIN(IF($E377="",TODAY()-8,$E377),TODAY()-8)-($D377+MOD(SISTEM!$F$8-WEEKDAY($D377,2),7)))/7)+1)))</f>
        <v/>
      </c>
      <c r="K377" s="227">
        <f>IF(OR($C377="",$D377="",$G377="",$F377=""),0,$G377*IF($F377="Aylık",MAX(0,(YEAR(MIN(IF($E377="",TODAY()-15,$E377),TODAY()-15))-YEAR($D377))*12+MONTH(MIN(IF($E377="",TODAY()-15,$E377),TODAY()-15))-MONTH($D377)+IF(MIN(IF($E377="",TODAY()-15,$E377),TODAY()-15)&gt;=EOMONTH(MIN(IF($E377="",TODAY()-15,$E377),TODAY()-15),0),1,0)),MAX(0,INT((MIN(IF($E377="",TODAY()-15,$E377),TODAY()-15)-($D377+MOD(SISTEM!$F$8-WEEKDAY($D377,2),7)))/7)+1)))</f>
        <v/>
      </c>
      <c r="L377" s="227">
        <f>IF(OR($C377="",$D377="",$G377="",$F377=""),0,$G377*IF($F377="Aylık",MAX(0,(YEAR(MIN(IF($E377="",TODAY()-29,$E377),TODAY()-29))-YEAR($D377))*12+MONTH(MIN(IF($E377="",TODAY()-29,$E377),TODAY()-29))-MONTH($D377)+IF(MIN(IF($E377="",TODAY()-29,$E377),TODAY()-29)&gt;=EOMONTH(MIN(IF($E377="",TODAY()-29,$E377),TODAY()-29),0),1,0)),MAX(0,INT((MIN(IF($E377="",TODAY()-29,$E377),TODAY()-29)-($D377+MOD(SISTEM!$F$8-WEEKDAY($D377,2),7)))/7)+1)))</f>
        <v/>
      </c>
      <c r="M377" s="228">
        <f>IF($G377&gt;0,$I377/$G377,0)</f>
        <v/>
      </c>
      <c r="N377" s="113">
        <f>IF($C377="","",IF($B377="TANIMSIZ MÜŞTERİ","TANIMSIZ MÜŞTERİ",IF($F377="","MODEL SEÇİN",IF(OR($D377="",$G377&lt;=0),"EKSİK",IF(AND($E377&lt;&gt;"",$E377&lt;$D377),"TARİH HATASI",IF($H377="Pasif","KAPALI DÖNEM","UYGUN"))))))</f>
        <v/>
      </c>
      <c r="O377" s="229">
        <f>IF(OR($C377="",$D377="",$F377=""),"",IF($F377="Aylık",EOMONTH($D377,0),($D377+MOD(SISTEM!$F$8-WEEKDAY($D377,2),7))))</f>
        <v/>
      </c>
      <c r="P377" s="109" t="n"/>
      <c r="Q377" s="6" t="n"/>
      <c r="R377" s="6" t="n"/>
      <c r="S377" s="3">
        <f>IF($B377="","",$B377&amp;"|"&amp;COUNTIFS($B$7:$B377,$B377))</f>
        <v/>
      </c>
    </row>
    <row r="378">
      <c r="A378" s="6" t="n"/>
      <c r="B378" s="113">
        <f>IF($C378="","",IFERROR(INDEX(MUSTERILER!$B$7:$B$106,MATCH($C378,MUSTERILER!$C$7:$C$106,0)),IFERROR(INDEX(MUSTERILER!$B$7:$B$106,MATCH($C378,MUSTERILER!$B$7:$B$106,0)),IFERROR(INDEX(MUSTERILER!$B$7:$B$106,MATCH($C378&amp;"*",MUSTERILER!$C$7:$C$106,0)),"TANIMSIZ MÜŞTERİ"))))</f>
        <v/>
      </c>
      <c r="C378" s="109" t="n"/>
      <c r="D378" s="225" t="n"/>
      <c r="E378" s="225" t="n"/>
      <c r="F378" s="108" t="n"/>
      <c r="G378" s="226" t="n"/>
      <c r="H378" s="108" t="n"/>
      <c r="I378" s="227">
        <f>IF(OR($C378="",$D378="",$G378="",$F378=""),0,$G378*IF($F378="Aylık",MAX(0,(YEAR(MIN(IF($E378="",TODAY(),$E378),TODAY()))-YEAR($D378))*12+MONTH(MIN(IF($E378="",TODAY(),$E378),TODAY()))-MONTH($D378)+IF(MIN(IF($E378="",TODAY(),$E378),TODAY())&gt;=EOMONTH(MIN(IF($E378="",TODAY(),$E378),TODAY()),0),1,0)),MAX(0,INT((MIN(IF($E378="",TODAY(),$E378),TODAY())-($D378+MOD(SISTEM!$F$8-WEEKDAY($D378,2),7)))/7)+1)))</f>
        <v/>
      </c>
      <c r="J378" s="227">
        <f>IF(OR($C378="",$D378="",$G378="",$F378=""),0,$G378*IF($F378="Aylık",MAX(0,(YEAR(MIN(IF($E378="",TODAY()-8,$E378),TODAY()-8))-YEAR($D378))*12+MONTH(MIN(IF($E378="",TODAY()-8,$E378),TODAY()-8))-MONTH($D378)+IF(MIN(IF($E378="",TODAY()-8,$E378),TODAY()-8)&gt;=EOMONTH(MIN(IF($E378="",TODAY()-8,$E378),TODAY()-8),0),1,0)),MAX(0,INT((MIN(IF($E378="",TODAY()-8,$E378),TODAY()-8)-($D378+MOD(SISTEM!$F$8-WEEKDAY($D378,2),7)))/7)+1)))</f>
        <v/>
      </c>
      <c r="K378" s="227">
        <f>IF(OR($C378="",$D378="",$G378="",$F378=""),0,$G378*IF($F378="Aylık",MAX(0,(YEAR(MIN(IF($E378="",TODAY()-15,$E378),TODAY()-15))-YEAR($D378))*12+MONTH(MIN(IF($E378="",TODAY()-15,$E378),TODAY()-15))-MONTH($D378)+IF(MIN(IF($E378="",TODAY()-15,$E378),TODAY()-15)&gt;=EOMONTH(MIN(IF($E378="",TODAY()-15,$E378),TODAY()-15),0),1,0)),MAX(0,INT((MIN(IF($E378="",TODAY()-15,$E378),TODAY()-15)-($D378+MOD(SISTEM!$F$8-WEEKDAY($D378,2),7)))/7)+1)))</f>
        <v/>
      </c>
      <c r="L378" s="227">
        <f>IF(OR($C378="",$D378="",$G378="",$F378=""),0,$G378*IF($F378="Aylık",MAX(0,(YEAR(MIN(IF($E378="",TODAY()-29,$E378),TODAY()-29))-YEAR($D378))*12+MONTH(MIN(IF($E378="",TODAY()-29,$E378),TODAY()-29))-MONTH($D378)+IF(MIN(IF($E378="",TODAY()-29,$E378),TODAY()-29)&gt;=EOMONTH(MIN(IF($E378="",TODAY()-29,$E378),TODAY()-29),0),1,0)),MAX(0,INT((MIN(IF($E378="",TODAY()-29,$E378),TODAY()-29)-($D378+MOD(SISTEM!$F$8-WEEKDAY($D378,2),7)))/7)+1)))</f>
        <v/>
      </c>
      <c r="M378" s="228">
        <f>IF($G378&gt;0,$I378/$G378,0)</f>
        <v/>
      </c>
      <c r="N378" s="113">
        <f>IF($C378="","",IF($B378="TANIMSIZ MÜŞTERİ","TANIMSIZ MÜŞTERİ",IF($F378="","MODEL SEÇİN",IF(OR($D378="",$G378&lt;=0),"EKSİK",IF(AND($E378&lt;&gt;"",$E378&lt;$D378),"TARİH HATASI",IF($H378="Pasif","KAPALI DÖNEM","UYGUN"))))))</f>
        <v/>
      </c>
      <c r="O378" s="229">
        <f>IF(OR($C378="",$D378="",$F378=""),"",IF($F378="Aylık",EOMONTH($D378,0),($D378+MOD(SISTEM!$F$8-WEEKDAY($D378,2),7))))</f>
        <v/>
      </c>
      <c r="P378" s="109" t="n"/>
      <c r="Q378" s="6" t="n"/>
      <c r="R378" s="6" t="n"/>
      <c r="S378" s="3">
        <f>IF($B378="","",$B378&amp;"|"&amp;COUNTIFS($B$7:$B378,$B378))</f>
        <v/>
      </c>
    </row>
    <row r="379">
      <c r="A379" s="6" t="n"/>
      <c r="B379" s="113">
        <f>IF($C379="","",IFERROR(INDEX(MUSTERILER!$B$7:$B$106,MATCH($C379,MUSTERILER!$C$7:$C$106,0)),IFERROR(INDEX(MUSTERILER!$B$7:$B$106,MATCH($C379,MUSTERILER!$B$7:$B$106,0)),IFERROR(INDEX(MUSTERILER!$B$7:$B$106,MATCH($C379&amp;"*",MUSTERILER!$C$7:$C$106,0)),"TANIMSIZ MÜŞTERİ"))))</f>
        <v/>
      </c>
      <c r="C379" s="109" t="n"/>
      <c r="D379" s="225" t="n"/>
      <c r="E379" s="225" t="n"/>
      <c r="F379" s="108" t="n"/>
      <c r="G379" s="226" t="n"/>
      <c r="H379" s="108" t="n"/>
      <c r="I379" s="227">
        <f>IF(OR($C379="",$D379="",$G379="",$F379=""),0,$G379*IF($F379="Aylık",MAX(0,(YEAR(MIN(IF($E379="",TODAY(),$E379),TODAY()))-YEAR($D379))*12+MONTH(MIN(IF($E379="",TODAY(),$E379),TODAY()))-MONTH($D379)+IF(MIN(IF($E379="",TODAY(),$E379),TODAY())&gt;=EOMONTH(MIN(IF($E379="",TODAY(),$E379),TODAY()),0),1,0)),MAX(0,INT((MIN(IF($E379="",TODAY(),$E379),TODAY())-($D379+MOD(SISTEM!$F$8-WEEKDAY($D379,2),7)))/7)+1)))</f>
        <v/>
      </c>
      <c r="J379" s="227">
        <f>IF(OR($C379="",$D379="",$G379="",$F379=""),0,$G379*IF($F379="Aylık",MAX(0,(YEAR(MIN(IF($E379="",TODAY()-8,$E379),TODAY()-8))-YEAR($D379))*12+MONTH(MIN(IF($E379="",TODAY()-8,$E379),TODAY()-8))-MONTH($D379)+IF(MIN(IF($E379="",TODAY()-8,$E379),TODAY()-8)&gt;=EOMONTH(MIN(IF($E379="",TODAY()-8,$E379),TODAY()-8),0),1,0)),MAX(0,INT((MIN(IF($E379="",TODAY()-8,$E379),TODAY()-8)-($D379+MOD(SISTEM!$F$8-WEEKDAY($D379,2),7)))/7)+1)))</f>
        <v/>
      </c>
      <c r="K379" s="227">
        <f>IF(OR($C379="",$D379="",$G379="",$F379=""),0,$G379*IF($F379="Aylık",MAX(0,(YEAR(MIN(IF($E379="",TODAY()-15,$E379),TODAY()-15))-YEAR($D379))*12+MONTH(MIN(IF($E379="",TODAY()-15,$E379),TODAY()-15))-MONTH($D379)+IF(MIN(IF($E379="",TODAY()-15,$E379),TODAY()-15)&gt;=EOMONTH(MIN(IF($E379="",TODAY()-15,$E379),TODAY()-15),0),1,0)),MAX(0,INT((MIN(IF($E379="",TODAY()-15,$E379),TODAY()-15)-($D379+MOD(SISTEM!$F$8-WEEKDAY($D379,2),7)))/7)+1)))</f>
        <v/>
      </c>
      <c r="L379" s="227">
        <f>IF(OR($C379="",$D379="",$G379="",$F379=""),0,$G379*IF($F379="Aylık",MAX(0,(YEAR(MIN(IF($E379="",TODAY()-29,$E379),TODAY()-29))-YEAR($D379))*12+MONTH(MIN(IF($E379="",TODAY()-29,$E379),TODAY()-29))-MONTH($D379)+IF(MIN(IF($E379="",TODAY()-29,$E379),TODAY()-29)&gt;=EOMONTH(MIN(IF($E379="",TODAY()-29,$E379),TODAY()-29),0),1,0)),MAX(0,INT((MIN(IF($E379="",TODAY()-29,$E379),TODAY()-29)-($D379+MOD(SISTEM!$F$8-WEEKDAY($D379,2),7)))/7)+1)))</f>
        <v/>
      </c>
      <c r="M379" s="228">
        <f>IF($G379&gt;0,$I379/$G379,0)</f>
        <v/>
      </c>
      <c r="N379" s="113">
        <f>IF($C379="","",IF($B379="TANIMSIZ MÜŞTERİ","TANIMSIZ MÜŞTERİ",IF($F379="","MODEL SEÇİN",IF(OR($D379="",$G379&lt;=0),"EKSİK",IF(AND($E379&lt;&gt;"",$E379&lt;$D379),"TARİH HATASI",IF($H379="Pasif","KAPALI DÖNEM","UYGUN"))))))</f>
        <v/>
      </c>
      <c r="O379" s="229">
        <f>IF(OR($C379="",$D379="",$F379=""),"",IF($F379="Aylık",EOMONTH($D379,0),($D379+MOD(SISTEM!$F$8-WEEKDAY($D379,2),7))))</f>
        <v/>
      </c>
      <c r="P379" s="109" t="n"/>
      <c r="Q379" s="6" t="n"/>
      <c r="R379" s="6" t="n"/>
      <c r="S379" s="3">
        <f>IF($B379="","",$B379&amp;"|"&amp;COUNTIFS($B$7:$B379,$B379))</f>
        <v/>
      </c>
    </row>
    <row r="380">
      <c r="A380" s="6" t="n"/>
      <c r="B380" s="113">
        <f>IF($C380="","",IFERROR(INDEX(MUSTERILER!$B$7:$B$106,MATCH($C380,MUSTERILER!$C$7:$C$106,0)),IFERROR(INDEX(MUSTERILER!$B$7:$B$106,MATCH($C380,MUSTERILER!$B$7:$B$106,0)),IFERROR(INDEX(MUSTERILER!$B$7:$B$106,MATCH($C380&amp;"*",MUSTERILER!$C$7:$C$106,0)),"TANIMSIZ MÜŞTERİ"))))</f>
        <v/>
      </c>
      <c r="C380" s="109" t="n"/>
      <c r="D380" s="225" t="n"/>
      <c r="E380" s="225" t="n"/>
      <c r="F380" s="108" t="n"/>
      <c r="G380" s="226" t="n"/>
      <c r="H380" s="108" t="n"/>
      <c r="I380" s="227">
        <f>IF(OR($C380="",$D380="",$G380="",$F380=""),0,$G380*IF($F380="Aylık",MAX(0,(YEAR(MIN(IF($E380="",TODAY(),$E380),TODAY()))-YEAR($D380))*12+MONTH(MIN(IF($E380="",TODAY(),$E380),TODAY()))-MONTH($D380)+IF(MIN(IF($E380="",TODAY(),$E380),TODAY())&gt;=EOMONTH(MIN(IF($E380="",TODAY(),$E380),TODAY()),0),1,0)),MAX(0,INT((MIN(IF($E380="",TODAY(),$E380),TODAY())-($D380+MOD(SISTEM!$F$8-WEEKDAY($D380,2),7)))/7)+1)))</f>
        <v/>
      </c>
      <c r="J380" s="227">
        <f>IF(OR($C380="",$D380="",$G380="",$F380=""),0,$G380*IF($F380="Aylık",MAX(0,(YEAR(MIN(IF($E380="",TODAY()-8,$E380),TODAY()-8))-YEAR($D380))*12+MONTH(MIN(IF($E380="",TODAY()-8,$E380),TODAY()-8))-MONTH($D380)+IF(MIN(IF($E380="",TODAY()-8,$E380),TODAY()-8)&gt;=EOMONTH(MIN(IF($E380="",TODAY()-8,$E380),TODAY()-8),0),1,0)),MAX(0,INT((MIN(IF($E380="",TODAY()-8,$E380),TODAY()-8)-($D380+MOD(SISTEM!$F$8-WEEKDAY($D380,2),7)))/7)+1)))</f>
        <v/>
      </c>
      <c r="K380" s="227">
        <f>IF(OR($C380="",$D380="",$G380="",$F380=""),0,$G380*IF($F380="Aylık",MAX(0,(YEAR(MIN(IF($E380="",TODAY()-15,$E380),TODAY()-15))-YEAR($D380))*12+MONTH(MIN(IF($E380="",TODAY()-15,$E380),TODAY()-15))-MONTH($D380)+IF(MIN(IF($E380="",TODAY()-15,$E380),TODAY()-15)&gt;=EOMONTH(MIN(IF($E380="",TODAY()-15,$E380),TODAY()-15),0),1,0)),MAX(0,INT((MIN(IF($E380="",TODAY()-15,$E380),TODAY()-15)-($D380+MOD(SISTEM!$F$8-WEEKDAY($D380,2),7)))/7)+1)))</f>
        <v/>
      </c>
      <c r="L380" s="227">
        <f>IF(OR($C380="",$D380="",$G380="",$F380=""),0,$G380*IF($F380="Aylık",MAX(0,(YEAR(MIN(IF($E380="",TODAY()-29,$E380),TODAY()-29))-YEAR($D380))*12+MONTH(MIN(IF($E380="",TODAY()-29,$E380),TODAY()-29))-MONTH($D380)+IF(MIN(IF($E380="",TODAY()-29,$E380),TODAY()-29)&gt;=EOMONTH(MIN(IF($E380="",TODAY()-29,$E380),TODAY()-29),0),1,0)),MAX(0,INT((MIN(IF($E380="",TODAY()-29,$E380),TODAY()-29)-($D380+MOD(SISTEM!$F$8-WEEKDAY($D380,2),7)))/7)+1)))</f>
        <v/>
      </c>
      <c r="M380" s="228">
        <f>IF($G380&gt;0,$I380/$G380,0)</f>
        <v/>
      </c>
      <c r="N380" s="113">
        <f>IF($C380="","",IF($B380="TANIMSIZ MÜŞTERİ","TANIMSIZ MÜŞTERİ",IF($F380="","MODEL SEÇİN",IF(OR($D380="",$G380&lt;=0),"EKSİK",IF(AND($E380&lt;&gt;"",$E380&lt;$D380),"TARİH HATASI",IF($H380="Pasif","KAPALI DÖNEM","UYGUN"))))))</f>
        <v/>
      </c>
      <c r="O380" s="229">
        <f>IF(OR($C380="",$D380="",$F380=""),"",IF($F380="Aylık",EOMONTH($D380,0),($D380+MOD(SISTEM!$F$8-WEEKDAY($D380,2),7))))</f>
        <v/>
      </c>
      <c r="P380" s="109" t="n"/>
      <c r="Q380" s="6" t="n"/>
      <c r="R380" s="6" t="n"/>
      <c r="S380" s="3">
        <f>IF($B380="","",$B380&amp;"|"&amp;COUNTIFS($B$7:$B380,$B380))</f>
        <v/>
      </c>
    </row>
    <row r="381">
      <c r="A381" s="6" t="n"/>
      <c r="B381" s="113">
        <f>IF($C381="","",IFERROR(INDEX(MUSTERILER!$B$7:$B$106,MATCH($C381,MUSTERILER!$C$7:$C$106,0)),IFERROR(INDEX(MUSTERILER!$B$7:$B$106,MATCH($C381,MUSTERILER!$B$7:$B$106,0)),IFERROR(INDEX(MUSTERILER!$B$7:$B$106,MATCH($C381&amp;"*",MUSTERILER!$C$7:$C$106,0)),"TANIMSIZ MÜŞTERİ"))))</f>
        <v/>
      </c>
      <c r="C381" s="109" t="n"/>
      <c r="D381" s="225" t="n"/>
      <c r="E381" s="225" t="n"/>
      <c r="F381" s="108" t="n"/>
      <c r="G381" s="226" t="n"/>
      <c r="H381" s="108" t="n"/>
      <c r="I381" s="227">
        <f>IF(OR($C381="",$D381="",$G381="",$F381=""),0,$G381*IF($F381="Aylık",MAX(0,(YEAR(MIN(IF($E381="",TODAY(),$E381),TODAY()))-YEAR($D381))*12+MONTH(MIN(IF($E381="",TODAY(),$E381),TODAY()))-MONTH($D381)+IF(MIN(IF($E381="",TODAY(),$E381),TODAY())&gt;=EOMONTH(MIN(IF($E381="",TODAY(),$E381),TODAY()),0),1,0)),MAX(0,INT((MIN(IF($E381="",TODAY(),$E381),TODAY())-($D381+MOD(SISTEM!$F$8-WEEKDAY($D381,2),7)))/7)+1)))</f>
        <v/>
      </c>
      <c r="J381" s="227">
        <f>IF(OR($C381="",$D381="",$G381="",$F381=""),0,$G381*IF($F381="Aylık",MAX(0,(YEAR(MIN(IF($E381="",TODAY()-8,$E381),TODAY()-8))-YEAR($D381))*12+MONTH(MIN(IF($E381="",TODAY()-8,$E381),TODAY()-8))-MONTH($D381)+IF(MIN(IF($E381="",TODAY()-8,$E381),TODAY()-8)&gt;=EOMONTH(MIN(IF($E381="",TODAY()-8,$E381),TODAY()-8),0),1,0)),MAX(0,INT((MIN(IF($E381="",TODAY()-8,$E381),TODAY()-8)-($D381+MOD(SISTEM!$F$8-WEEKDAY($D381,2),7)))/7)+1)))</f>
        <v/>
      </c>
      <c r="K381" s="227">
        <f>IF(OR($C381="",$D381="",$G381="",$F381=""),0,$G381*IF($F381="Aylık",MAX(0,(YEAR(MIN(IF($E381="",TODAY()-15,$E381),TODAY()-15))-YEAR($D381))*12+MONTH(MIN(IF($E381="",TODAY()-15,$E381),TODAY()-15))-MONTH($D381)+IF(MIN(IF($E381="",TODAY()-15,$E381),TODAY()-15)&gt;=EOMONTH(MIN(IF($E381="",TODAY()-15,$E381),TODAY()-15),0),1,0)),MAX(0,INT((MIN(IF($E381="",TODAY()-15,$E381),TODAY()-15)-($D381+MOD(SISTEM!$F$8-WEEKDAY($D381,2),7)))/7)+1)))</f>
        <v/>
      </c>
      <c r="L381" s="227">
        <f>IF(OR($C381="",$D381="",$G381="",$F381=""),0,$G381*IF($F381="Aylık",MAX(0,(YEAR(MIN(IF($E381="",TODAY()-29,$E381),TODAY()-29))-YEAR($D381))*12+MONTH(MIN(IF($E381="",TODAY()-29,$E381),TODAY()-29))-MONTH($D381)+IF(MIN(IF($E381="",TODAY()-29,$E381),TODAY()-29)&gt;=EOMONTH(MIN(IF($E381="",TODAY()-29,$E381),TODAY()-29),0),1,0)),MAX(0,INT((MIN(IF($E381="",TODAY()-29,$E381),TODAY()-29)-($D381+MOD(SISTEM!$F$8-WEEKDAY($D381,2),7)))/7)+1)))</f>
        <v/>
      </c>
      <c r="M381" s="228">
        <f>IF($G381&gt;0,$I381/$G381,0)</f>
        <v/>
      </c>
      <c r="N381" s="113">
        <f>IF($C381="","",IF($B381="TANIMSIZ MÜŞTERİ","TANIMSIZ MÜŞTERİ",IF($F381="","MODEL SEÇİN",IF(OR($D381="",$G381&lt;=0),"EKSİK",IF(AND($E381&lt;&gt;"",$E381&lt;$D381),"TARİH HATASI",IF($H381="Pasif","KAPALI DÖNEM","UYGUN"))))))</f>
        <v/>
      </c>
      <c r="O381" s="229">
        <f>IF(OR($C381="",$D381="",$F381=""),"",IF($F381="Aylık",EOMONTH($D381,0),($D381+MOD(SISTEM!$F$8-WEEKDAY($D381,2),7))))</f>
        <v/>
      </c>
      <c r="P381" s="109" t="n"/>
      <c r="Q381" s="6" t="n"/>
      <c r="R381" s="6" t="n"/>
      <c r="S381" s="3">
        <f>IF($B381="","",$B381&amp;"|"&amp;COUNTIFS($B$7:$B381,$B381))</f>
        <v/>
      </c>
    </row>
    <row r="382">
      <c r="A382" s="6" t="n"/>
      <c r="B382" s="113">
        <f>IF($C382="","",IFERROR(INDEX(MUSTERILER!$B$7:$B$106,MATCH($C382,MUSTERILER!$C$7:$C$106,0)),IFERROR(INDEX(MUSTERILER!$B$7:$B$106,MATCH($C382,MUSTERILER!$B$7:$B$106,0)),IFERROR(INDEX(MUSTERILER!$B$7:$B$106,MATCH($C382&amp;"*",MUSTERILER!$C$7:$C$106,0)),"TANIMSIZ MÜŞTERİ"))))</f>
        <v/>
      </c>
      <c r="C382" s="109" t="n"/>
      <c r="D382" s="225" t="n"/>
      <c r="E382" s="225" t="n"/>
      <c r="F382" s="108" t="n"/>
      <c r="G382" s="226" t="n"/>
      <c r="H382" s="108" t="n"/>
      <c r="I382" s="227">
        <f>IF(OR($C382="",$D382="",$G382="",$F382=""),0,$G382*IF($F382="Aylık",MAX(0,(YEAR(MIN(IF($E382="",TODAY(),$E382),TODAY()))-YEAR($D382))*12+MONTH(MIN(IF($E382="",TODAY(),$E382),TODAY()))-MONTH($D382)+IF(MIN(IF($E382="",TODAY(),$E382),TODAY())&gt;=EOMONTH(MIN(IF($E382="",TODAY(),$E382),TODAY()),0),1,0)),MAX(0,INT((MIN(IF($E382="",TODAY(),$E382),TODAY())-($D382+MOD(SISTEM!$F$8-WEEKDAY($D382,2),7)))/7)+1)))</f>
        <v/>
      </c>
      <c r="J382" s="227">
        <f>IF(OR($C382="",$D382="",$G382="",$F382=""),0,$G382*IF($F382="Aylık",MAX(0,(YEAR(MIN(IF($E382="",TODAY()-8,$E382),TODAY()-8))-YEAR($D382))*12+MONTH(MIN(IF($E382="",TODAY()-8,$E382),TODAY()-8))-MONTH($D382)+IF(MIN(IF($E382="",TODAY()-8,$E382),TODAY()-8)&gt;=EOMONTH(MIN(IF($E382="",TODAY()-8,$E382),TODAY()-8),0),1,0)),MAX(0,INT((MIN(IF($E382="",TODAY()-8,$E382),TODAY()-8)-($D382+MOD(SISTEM!$F$8-WEEKDAY($D382,2),7)))/7)+1)))</f>
        <v/>
      </c>
      <c r="K382" s="227">
        <f>IF(OR($C382="",$D382="",$G382="",$F382=""),0,$G382*IF($F382="Aylık",MAX(0,(YEAR(MIN(IF($E382="",TODAY()-15,$E382),TODAY()-15))-YEAR($D382))*12+MONTH(MIN(IF($E382="",TODAY()-15,$E382),TODAY()-15))-MONTH($D382)+IF(MIN(IF($E382="",TODAY()-15,$E382),TODAY()-15)&gt;=EOMONTH(MIN(IF($E382="",TODAY()-15,$E382),TODAY()-15),0),1,0)),MAX(0,INT((MIN(IF($E382="",TODAY()-15,$E382),TODAY()-15)-($D382+MOD(SISTEM!$F$8-WEEKDAY($D382,2),7)))/7)+1)))</f>
        <v/>
      </c>
      <c r="L382" s="227">
        <f>IF(OR($C382="",$D382="",$G382="",$F382=""),0,$G382*IF($F382="Aylık",MAX(0,(YEAR(MIN(IF($E382="",TODAY()-29,$E382),TODAY()-29))-YEAR($D382))*12+MONTH(MIN(IF($E382="",TODAY()-29,$E382),TODAY()-29))-MONTH($D382)+IF(MIN(IF($E382="",TODAY()-29,$E382),TODAY()-29)&gt;=EOMONTH(MIN(IF($E382="",TODAY()-29,$E382),TODAY()-29),0),1,0)),MAX(0,INT((MIN(IF($E382="",TODAY()-29,$E382),TODAY()-29)-($D382+MOD(SISTEM!$F$8-WEEKDAY($D382,2),7)))/7)+1)))</f>
        <v/>
      </c>
      <c r="M382" s="228">
        <f>IF($G382&gt;0,$I382/$G382,0)</f>
        <v/>
      </c>
      <c r="N382" s="113">
        <f>IF($C382="","",IF($B382="TANIMSIZ MÜŞTERİ","TANIMSIZ MÜŞTERİ",IF($F382="","MODEL SEÇİN",IF(OR($D382="",$G382&lt;=0),"EKSİK",IF(AND($E382&lt;&gt;"",$E382&lt;$D382),"TARİH HATASI",IF($H382="Pasif","KAPALI DÖNEM","UYGUN"))))))</f>
        <v/>
      </c>
      <c r="O382" s="229">
        <f>IF(OR($C382="",$D382="",$F382=""),"",IF($F382="Aylık",EOMONTH($D382,0),($D382+MOD(SISTEM!$F$8-WEEKDAY($D382,2),7))))</f>
        <v/>
      </c>
      <c r="P382" s="109" t="n"/>
      <c r="Q382" s="6" t="n"/>
      <c r="R382" s="6" t="n"/>
      <c r="S382" s="3">
        <f>IF($B382="","",$B382&amp;"|"&amp;COUNTIFS($B$7:$B382,$B382))</f>
        <v/>
      </c>
    </row>
    <row r="383">
      <c r="A383" s="6" t="n"/>
      <c r="B383" s="113">
        <f>IF($C383="","",IFERROR(INDEX(MUSTERILER!$B$7:$B$106,MATCH($C383,MUSTERILER!$C$7:$C$106,0)),IFERROR(INDEX(MUSTERILER!$B$7:$B$106,MATCH($C383,MUSTERILER!$B$7:$B$106,0)),IFERROR(INDEX(MUSTERILER!$B$7:$B$106,MATCH($C383&amp;"*",MUSTERILER!$C$7:$C$106,0)),"TANIMSIZ MÜŞTERİ"))))</f>
        <v/>
      </c>
      <c r="C383" s="109" t="n"/>
      <c r="D383" s="225" t="n"/>
      <c r="E383" s="225" t="n"/>
      <c r="F383" s="108" t="n"/>
      <c r="G383" s="226" t="n"/>
      <c r="H383" s="108" t="n"/>
      <c r="I383" s="227">
        <f>IF(OR($C383="",$D383="",$G383="",$F383=""),0,$G383*IF($F383="Aylık",MAX(0,(YEAR(MIN(IF($E383="",TODAY(),$E383),TODAY()))-YEAR($D383))*12+MONTH(MIN(IF($E383="",TODAY(),$E383),TODAY()))-MONTH($D383)+IF(MIN(IF($E383="",TODAY(),$E383),TODAY())&gt;=EOMONTH(MIN(IF($E383="",TODAY(),$E383),TODAY()),0),1,0)),MAX(0,INT((MIN(IF($E383="",TODAY(),$E383),TODAY())-($D383+MOD(SISTEM!$F$8-WEEKDAY($D383,2),7)))/7)+1)))</f>
        <v/>
      </c>
      <c r="J383" s="227">
        <f>IF(OR($C383="",$D383="",$G383="",$F383=""),0,$G383*IF($F383="Aylık",MAX(0,(YEAR(MIN(IF($E383="",TODAY()-8,$E383),TODAY()-8))-YEAR($D383))*12+MONTH(MIN(IF($E383="",TODAY()-8,$E383),TODAY()-8))-MONTH($D383)+IF(MIN(IF($E383="",TODAY()-8,$E383),TODAY()-8)&gt;=EOMONTH(MIN(IF($E383="",TODAY()-8,$E383),TODAY()-8),0),1,0)),MAX(0,INT((MIN(IF($E383="",TODAY()-8,$E383),TODAY()-8)-($D383+MOD(SISTEM!$F$8-WEEKDAY($D383,2),7)))/7)+1)))</f>
        <v/>
      </c>
      <c r="K383" s="227">
        <f>IF(OR($C383="",$D383="",$G383="",$F383=""),0,$G383*IF($F383="Aylık",MAX(0,(YEAR(MIN(IF($E383="",TODAY()-15,$E383),TODAY()-15))-YEAR($D383))*12+MONTH(MIN(IF($E383="",TODAY()-15,$E383),TODAY()-15))-MONTH($D383)+IF(MIN(IF($E383="",TODAY()-15,$E383),TODAY()-15)&gt;=EOMONTH(MIN(IF($E383="",TODAY()-15,$E383),TODAY()-15),0),1,0)),MAX(0,INT((MIN(IF($E383="",TODAY()-15,$E383),TODAY()-15)-($D383+MOD(SISTEM!$F$8-WEEKDAY($D383,2),7)))/7)+1)))</f>
        <v/>
      </c>
      <c r="L383" s="227">
        <f>IF(OR($C383="",$D383="",$G383="",$F383=""),0,$G383*IF($F383="Aylık",MAX(0,(YEAR(MIN(IF($E383="",TODAY()-29,$E383),TODAY()-29))-YEAR($D383))*12+MONTH(MIN(IF($E383="",TODAY()-29,$E383),TODAY()-29))-MONTH($D383)+IF(MIN(IF($E383="",TODAY()-29,$E383),TODAY()-29)&gt;=EOMONTH(MIN(IF($E383="",TODAY()-29,$E383),TODAY()-29),0),1,0)),MAX(0,INT((MIN(IF($E383="",TODAY()-29,$E383),TODAY()-29)-($D383+MOD(SISTEM!$F$8-WEEKDAY($D383,2),7)))/7)+1)))</f>
        <v/>
      </c>
      <c r="M383" s="228">
        <f>IF($G383&gt;0,$I383/$G383,0)</f>
        <v/>
      </c>
      <c r="N383" s="113">
        <f>IF($C383="","",IF($B383="TANIMSIZ MÜŞTERİ","TANIMSIZ MÜŞTERİ",IF($F383="","MODEL SEÇİN",IF(OR($D383="",$G383&lt;=0),"EKSİK",IF(AND($E383&lt;&gt;"",$E383&lt;$D383),"TARİH HATASI",IF($H383="Pasif","KAPALI DÖNEM","UYGUN"))))))</f>
        <v/>
      </c>
      <c r="O383" s="229">
        <f>IF(OR($C383="",$D383="",$F383=""),"",IF($F383="Aylık",EOMONTH($D383,0),($D383+MOD(SISTEM!$F$8-WEEKDAY($D383,2),7))))</f>
        <v/>
      </c>
      <c r="P383" s="109" t="n"/>
      <c r="Q383" s="6" t="n"/>
      <c r="R383" s="6" t="n"/>
      <c r="S383" s="3">
        <f>IF($B383="","",$B383&amp;"|"&amp;COUNTIFS($B$7:$B383,$B383))</f>
        <v/>
      </c>
    </row>
    <row r="384">
      <c r="A384" s="6" t="n"/>
      <c r="B384" s="113">
        <f>IF($C384="","",IFERROR(INDEX(MUSTERILER!$B$7:$B$106,MATCH($C384,MUSTERILER!$C$7:$C$106,0)),IFERROR(INDEX(MUSTERILER!$B$7:$B$106,MATCH($C384,MUSTERILER!$B$7:$B$106,0)),IFERROR(INDEX(MUSTERILER!$B$7:$B$106,MATCH($C384&amp;"*",MUSTERILER!$C$7:$C$106,0)),"TANIMSIZ MÜŞTERİ"))))</f>
        <v/>
      </c>
      <c r="C384" s="109" t="n"/>
      <c r="D384" s="225" t="n"/>
      <c r="E384" s="225" t="n"/>
      <c r="F384" s="108" t="n"/>
      <c r="G384" s="226" t="n"/>
      <c r="H384" s="108" t="n"/>
      <c r="I384" s="227">
        <f>IF(OR($C384="",$D384="",$G384="",$F384=""),0,$G384*IF($F384="Aylık",MAX(0,(YEAR(MIN(IF($E384="",TODAY(),$E384),TODAY()))-YEAR($D384))*12+MONTH(MIN(IF($E384="",TODAY(),$E384),TODAY()))-MONTH($D384)+IF(MIN(IF($E384="",TODAY(),$E384),TODAY())&gt;=EOMONTH(MIN(IF($E384="",TODAY(),$E384),TODAY()),0),1,0)),MAX(0,INT((MIN(IF($E384="",TODAY(),$E384),TODAY())-($D384+MOD(SISTEM!$F$8-WEEKDAY($D384,2),7)))/7)+1)))</f>
        <v/>
      </c>
      <c r="J384" s="227">
        <f>IF(OR($C384="",$D384="",$G384="",$F384=""),0,$G384*IF($F384="Aylık",MAX(0,(YEAR(MIN(IF($E384="",TODAY()-8,$E384),TODAY()-8))-YEAR($D384))*12+MONTH(MIN(IF($E384="",TODAY()-8,$E384),TODAY()-8))-MONTH($D384)+IF(MIN(IF($E384="",TODAY()-8,$E384),TODAY()-8)&gt;=EOMONTH(MIN(IF($E384="",TODAY()-8,$E384),TODAY()-8),0),1,0)),MAX(0,INT((MIN(IF($E384="",TODAY()-8,$E384),TODAY()-8)-($D384+MOD(SISTEM!$F$8-WEEKDAY($D384,2),7)))/7)+1)))</f>
        <v/>
      </c>
      <c r="K384" s="227">
        <f>IF(OR($C384="",$D384="",$G384="",$F384=""),0,$G384*IF($F384="Aylık",MAX(0,(YEAR(MIN(IF($E384="",TODAY()-15,$E384),TODAY()-15))-YEAR($D384))*12+MONTH(MIN(IF($E384="",TODAY()-15,$E384),TODAY()-15))-MONTH($D384)+IF(MIN(IF($E384="",TODAY()-15,$E384),TODAY()-15)&gt;=EOMONTH(MIN(IF($E384="",TODAY()-15,$E384),TODAY()-15),0),1,0)),MAX(0,INT((MIN(IF($E384="",TODAY()-15,$E384),TODAY()-15)-($D384+MOD(SISTEM!$F$8-WEEKDAY($D384,2),7)))/7)+1)))</f>
        <v/>
      </c>
      <c r="L384" s="227">
        <f>IF(OR($C384="",$D384="",$G384="",$F384=""),0,$G384*IF($F384="Aylık",MAX(0,(YEAR(MIN(IF($E384="",TODAY()-29,$E384),TODAY()-29))-YEAR($D384))*12+MONTH(MIN(IF($E384="",TODAY()-29,$E384),TODAY()-29))-MONTH($D384)+IF(MIN(IF($E384="",TODAY()-29,$E384),TODAY()-29)&gt;=EOMONTH(MIN(IF($E384="",TODAY()-29,$E384),TODAY()-29),0),1,0)),MAX(0,INT((MIN(IF($E384="",TODAY()-29,$E384),TODAY()-29)-($D384+MOD(SISTEM!$F$8-WEEKDAY($D384,2),7)))/7)+1)))</f>
        <v/>
      </c>
      <c r="M384" s="228">
        <f>IF($G384&gt;0,$I384/$G384,0)</f>
        <v/>
      </c>
      <c r="N384" s="113">
        <f>IF($C384="","",IF($B384="TANIMSIZ MÜŞTERİ","TANIMSIZ MÜŞTERİ",IF($F384="","MODEL SEÇİN",IF(OR($D384="",$G384&lt;=0),"EKSİK",IF(AND($E384&lt;&gt;"",$E384&lt;$D384),"TARİH HATASI",IF($H384="Pasif","KAPALI DÖNEM","UYGUN"))))))</f>
        <v/>
      </c>
      <c r="O384" s="229">
        <f>IF(OR($C384="",$D384="",$F384=""),"",IF($F384="Aylık",EOMONTH($D384,0),($D384+MOD(SISTEM!$F$8-WEEKDAY($D384,2),7))))</f>
        <v/>
      </c>
      <c r="P384" s="109" t="n"/>
      <c r="Q384" s="6" t="n"/>
      <c r="R384" s="6" t="n"/>
      <c r="S384" s="3">
        <f>IF($B384="","",$B384&amp;"|"&amp;COUNTIFS($B$7:$B384,$B384))</f>
        <v/>
      </c>
    </row>
    <row r="385">
      <c r="A385" s="6" t="n"/>
      <c r="B385" s="113">
        <f>IF($C385="","",IFERROR(INDEX(MUSTERILER!$B$7:$B$106,MATCH($C385,MUSTERILER!$C$7:$C$106,0)),IFERROR(INDEX(MUSTERILER!$B$7:$B$106,MATCH($C385,MUSTERILER!$B$7:$B$106,0)),IFERROR(INDEX(MUSTERILER!$B$7:$B$106,MATCH($C385&amp;"*",MUSTERILER!$C$7:$C$106,0)),"TANIMSIZ MÜŞTERİ"))))</f>
        <v/>
      </c>
      <c r="C385" s="109" t="n"/>
      <c r="D385" s="225" t="n"/>
      <c r="E385" s="225" t="n"/>
      <c r="F385" s="108" t="n"/>
      <c r="G385" s="226" t="n"/>
      <c r="H385" s="108" t="n"/>
      <c r="I385" s="227">
        <f>IF(OR($C385="",$D385="",$G385="",$F385=""),0,$G385*IF($F385="Aylık",MAX(0,(YEAR(MIN(IF($E385="",TODAY(),$E385),TODAY()))-YEAR($D385))*12+MONTH(MIN(IF($E385="",TODAY(),$E385),TODAY()))-MONTH($D385)+IF(MIN(IF($E385="",TODAY(),$E385),TODAY())&gt;=EOMONTH(MIN(IF($E385="",TODAY(),$E385),TODAY()),0),1,0)),MAX(0,INT((MIN(IF($E385="",TODAY(),$E385),TODAY())-($D385+MOD(SISTEM!$F$8-WEEKDAY($D385,2),7)))/7)+1)))</f>
        <v/>
      </c>
      <c r="J385" s="227">
        <f>IF(OR($C385="",$D385="",$G385="",$F385=""),0,$G385*IF($F385="Aylık",MAX(0,(YEAR(MIN(IF($E385="",TODAY()-8,$E385),TODAY()-8))-YEAR($D385))*12+MONTH(MIN(IF($E385="",TODAY()-8,$E385),TODAY()-8))-MONTH($D385)+IF(MIN(IF($E385="",TODAY()-8,$E385),TODAY()-8)&gt;=EOMONTH(MIN(IF($E385="",TODAY()-8,$E385),TODAY()-8),0),1,0)),MAX(0,INT((MIN(IF($E385="",TODAY()-8,$E385),TODAY()-8)-($D385+MOD(SISTEM!$F$8-WEEKDAY($D385,2),7)))/7)+1)))</f>
        <v/>
      </c>
      <c r="K385" s="227">
        <f>IF(OR($C385="",$D385="",$G385="",$F385=""),0,$G385*IF($F385="Aylık",MAX(0,(YEAR(MIN(IF($E385="",TODAY()-15,$E385),TODAY()-15))-YEAR($D385))*12+MONTH(MIN(IF($E385="",TODAY()-15,$E385),TODAY()-15))-MONTH($D385)+IF(MIN(IF($E385="",TODAY()-15,$E385),TODAY()-15)&gt;=EOMONTH(MIN(IF($E385="",TODAY()-15,$E385),TODAY()-15),0),1,0)),MAX(0,INT((MIN(IF($E385="",TODAY()-15,$E385),TODAY()-15)-($D385+MOD(SISTEM!$F$8-WEEKDAY($D385,2),7)))/7)+1)))</f>
        <v/>
      </c>
      <c r="L385" s="227">
        <f>IF(OR($C385="",$D385="",$G385="",$F385=""),0,$G385*IF($F385="Aylık",MAX(0,(YEAR(MIN(IF($E385="",TODAY()-29,$E385),TODAY()-29))-YEAR($D385))*12+MONTH(MIN(IF($E385="",TODAY()-29,$E385),TODAY()-29))-MONTH($D385)+IF(MIN(IF($E385="",TODAY()-29,$E385),TODAY()-29)&gt;=EOMONTH(MIN(IF($E385="",TODAY()-29,$E385),TODAY()-29),0),1,0)),MAX(0,INT((MIN(IF($E385="",TODAY()-29,$E385),TODAY()-29)-($D385+MOD(SISTEM!$F$8-WEEKDAY($D385,2),7)))/7)+1)))</f>
        <v/>
      </c>
      <c r="M385" s="228">
        <f>IF($G385&gt;0,$I385/$G385,0)</f>
        <v/>
      </c>
      <c r="N385" s="113">
        <f>IF($C385="","",IF($B385="TANIMSIZ MÜŞTERİ","TANIMSIZ MÜŞTERİ",IF($F385="","MODEL SEÇİN",IF(OR($D385="",$G385&lt;=0),"EKSİK",IF(AND($E385&lt;&gt;"",$E385&lt;$D385),"TARİH HATASI",IF($H385="Pasif","KAPALI DÖNEM","UYGUN"))))))</f>
        <v/>
      </c>
      <c r="O385" s="229">
        <f>IF(OR($C385="",$D385="",$F385=""),"",IF($F385="Aylık",EOMONTH($D385,0),($D385+MOD(SISTEM!$F$8-WEEKDAY($D385,2),7))))</f>
        <v/>
      </c>
      <c r="P385" s="109" t="n"/>
      <c r="Q385" s="6" t="n"/>
      <c r="R385" s="6" t="n"/>
      <c r="S385" s="3">
        <f>IF($B385="","",$B385&amp;"|"&amp;COUNTIFS($B$7:$B385,$B385))</f>
        <v/>
      </c>
    </row>
    <row r="386">
      <c r="A386" s="6" t="n"/>
      <c r="B386" s="113">
        <f>IF($C386="","",IFERROR(INDEX(MUSTERILER!$B$7:$B$106,MATCH($C386,MUSTERILER!$C$7:$C$106,0)),IFERROR(INDEX(MUSTERILER!$B$7:$B$106,MATCH($C386,MUSTERILER!$B$7:$B$106,0)),IFERROR(INDEX(MUSTERILER!$B$7:$B$106,MATCH($C386&amp;"*",MUSTERILER!$C$7:$C$106,0)),"TANIMSIZ MÜŞTERİ"))))</f>
        <v/>
      </c>
      <c r="C386" s="109" t="n"/>
      <c r="D386" s="225" t="n"/>
      <c r="E386" s="225" t="n"/>
      <c r="F386" s="108" t="n"/>
      <c r="G386" s="226" t="n"/>
      <c r="H386" s="108" t="n"/>
      <c r="I386" s="227">
        <f>IF(OR($C386="",$D386="",$G386="",$F386=""),0,$G386*IF($F386="Aylık",MAX(0,(YEAR(MIN(IF($E386="",TODAY(),$E386),TODAY()))-YEAR($D386))*12+MONTH(MIN(IF($E386="",TODAY(),$E386),TODAY()))-MONTH($D386)+IF(MIN(IF($E386="",TODAY(),$E386),TODAY())&gt;=EOMONTH(MIN(IF($E386="",TODAY(),$E386),TODAY()),0),1,0)),MAX(0,INT((MIN(IF($E386="",TODAY(),$E386),TODAY())-($D386+MOD(SISTEM!$F$8-WEEKDAY($D386,2),7)))/7)+1)))</f>
        <v/>
      </c>
      <c r="J386" s="227">
        <f>IF(OR($C386="",$D386="",$G386="",$F386=""),0,$G386*IF($F386="Aylık",MAX(0,(YEAR(MIN(IF($E386="",TODAY()-8,$E386),TODAY()-8))-YEAR($D386))*12+MONTH(MIN(IF($E386="",TODAY()-8,$E386),TODAY()-8))-MONTH($D386)+IF(MIN(IF($E386="",TODAY()-8,$E386),TODAY()-8)&gt;=EOMONTH(MIN(IF($E386="",TODAY()-8,$E386),TODAY()-8),0),1,0)),MAX(0,INT((MIN(IF($E386="",TODAY()-8,$E386),TODAY()-8)-($D386+MOD(SISTEM!$F$8-WEEKDAY($D386,2),7)))/7)+1)))</f>
        <v/>
      </c>
      <c r="K386" s="227">
        <f>IF(OR($C386="",$D386="",$G386="",$F386=""),0,$G386*IF($F386="Aylık",MAX(0,(YEAR(MIN(IF($E386="",TODAY()-15,$E386),TODAY()-15))-YEAR($D386))*12+MONTH(MIN(IF($E386="",TODAY()-15,$E386),TODAY()-15))-MONTH($D386)+IF(MIN(IF($E386="",TODAY()-15,$E386),TODAY()-15)&gt;=EOMONTH(MIN(IF($E386="",TODAY()-15,$E386),TODAY()-15),0),1,0)),MAX(0,INT((MIN(IF($E386="",TODAY()-15,$E386),TODAY()-15)-($D386+MOD(SISTEM!$F$8-WEEKDAY($D386,2),7)))/7)+1)))</f>
        <v/>
      </c>
      <c r="L386" s="227">
        <f>IF(OR($C386="",$D386="",$G386="",$F386=""),0,$G386*IF($F386="Aylık",MAX(0,(YEAR(MIN(IF($E386="",TODAY()-29,$E386),TODAY()-29))-YEAR($D386))*12+MONTH(MIN(IF($E386="",TODAY()-29,$E386),TODAY()-29))-MONTH($D386)+IF(MIN(IF($E386="",TODAY()-29,$E386),TODAY()-29)&gt;=EOMONTH(MIN(IF($E386="",TODAY()-29,$E386),TODAY()-29),0),1,0)),MAX(0,INT((MIN(IF($E386="",TODAY()-29,$E386),TODAY()-29)-($D386+MOD(SISTEM!$F$8-WEEKDAY($D386,2),7)))/7)+1)))</f>
        <v/>
      </c>
      <c r="M386" s="228">
        <f>IF($G386&gt;0,$I386/$G386,0)</f>
        <v/>
      </c>
      <c r="N386" s="113">
        <f>IF($C386="","",IF($B386="TANIMSIZ MÜŞTERİ","TANIMSIZ MÜŞTERİ",IF($F386="","MODEL SEÇİN",IF(OR($D386="",$G386&lt;=0),"EKSİK",IF(AND($E386&lt;&gt;"",$E386&lt;$D386),"TARİH HATASI",IF($H386="Pasif","KAPALI DÖNEM","UYGUN"))))))</f>
        <v/>
      </c>
      <c r="O386" s="229">
        <f>IF(OR($C386="",$D386="",$F386=""),"",IF($F386="Aylık",EOMONTH($D386,0),($D386+MOD(SISTEM!$F$8-WEEKDAY($D386,2),7))))</f>
        <v/>
      </c>
      <c r="P386" s="109" t="n"/>
      <c r="Q386" s="6" t="n"/>
      <c r="R386" s="6" t="n"/>
      <c r="S386" s="3">
        <f>IF($B386="","",$B386&amp;"|"&amp;COUNTIFS($B$7:$B386,$B386))</f>
        <v/>
      </c>
    </row>
    <row r="387">
      <c r="A387" s="6" t="n"/>
      <c r="B387" s="113">
        <f>IF($C387="","",IFERROR(INDEX(MUSTERILER!$B$7:$B$106,MATCH($C387,MUSTERILER!$C$7:$C$106,0)),IFERROR(INDEX(MUSTERILER!$B$7:$B$106,MATCH($C387,MUSTERILER!$B$7:$B$106,0)),IFERROR(INDEX(MUSTERILER!$B$7:$B$106,MATCH($C387&amp;"*",MUSTERILER!$C$7:$C$106,0)),"TANIMSIZ MÜŞTERİ"))))</f>
        <v/>
      </c>
      <c r="C387" s="109" t="n"/>
      <c r="D387" s="225" t="n"/>
      <c r="E387" s="225" t="n"/>
      <c r="F387" s="108" t="n"/>
      <c r="G387" s="226" t="n"/>
      <c r="H387" s="108" t="n"/>
      <c r="I387" s="227">
        <f>IF(OR($C387="",$D387="",$G387="",$F387=""),0,$G387*IF($F387="Aylık",MAX(0,(YEAR(MIN(IF($E387="",TODAY(),$E387),TODAY()))-YEAR($D387))*12+MONTH(MIN(IF($E387="",TODAY(),$E387),TODAY()))-MONTH($D387)+IF(MIN(IF($E387="",TODAY(),$E387),TODAY())&gt;=EOMONTH(MIN(IF($E387="",TODAY(),$E387),TODAY()),0),1,0)),MAX(0,INT((MIN(IF($E387="",TODAY(),$E387),TODAY())-($D387+MOD(SISTEM!$F$8-WEEKDAY($D387,2),7)))/7)+1)))</f>
        <v/>
      </c>
      <c r="J387" s="227">
        <f>IF(OR($C387="",$D387="",$G387="",$F387=""),0,$G387*IF($F387="Aylık",MAX(0,(YEAR(MIN(IF($E387="",TODAY()-8,$E387),TODAY()-8))-YEAR($D387))*12+MONTH(MIN(IF($E387="",TODAY()-8,$E387),TODAY()-8))-MONTH($D387)+IF(MIN(IF($E387="",TODAY()-8,$E387),TODAY()-8)&gt;=EOMONTH(MIN(IF($E387="",TODAY()-8,$E387),TODAY()-8),0),1,0)),MAX(0,INT((MIN(IF($E387="",TODAY()-8,$E387),TODAY()-8)-($D387+MOD(SISTEM!$F$8-WEEKDAY($D387,2),7)))/7)+1)))</f>
        <v/>
      </c>
      <c r="K387" s="227">
        <f>IF(OR($C387="",$D387="",$G387="",$F387=""),0,$G387*IF($F387="Aylık",MAX(0,(YEAR(MIN(IF($E387="",TODAY()-15,$E387),TODAY()-15))-YEAR($D387))*12+MONTH(MIN(IF($E387="",TODAY()-15,$E387),TODAY()-15))-MONTH($D387)+IF(MIN(IF($E387="",TODAY()-15,$E387),TODAY()-15)&gt;=EOMONTH(MIN(IF($E387="",TODAY()-15,$E387),TODAY()-15),0),1,0)),MAX(0,INT((MIN(IF($E387="",TODAY()-15,$E387),TODAY()-15)-($D387+MOD(SISTEM!$F$8-WEEKDAY($D387,2),7)))/7)+1)))</f>
        <v/>
      </c>
      <c r="L387" s="227">
        <f>IF(OR($C387="",$D387="",$G387="",$F387=""),0,$G387*IF($F387="Aylık",MAX(0,(YEAR(MIN(IF($E387="",TODAY()-29,$E387),TODAY()-29))-YEAR($D387))*12+MONTH(MIN(IF($E387="",TODAY()-29,$E387),TODAY()-29))-MONTH($D387)+IF(MIN(IF($E387="",TODAY()-29,$E387),TODAY()-29)&gt;=EOMONTH(MIN(IF($E387="",TODAY()-29,$E387),TODAY()-29),0),1,0)),MAX(0,INT((MIN(IF($E387="",TODAY()-29,$E387),TODAY()-29)-($D387+MOD(SISTEM!$F$8-WEEKDAY($D387,2),7)))/7)+1)))</f>
        <v/>
      </c>
      <c r="M387" s="228">
        <f>IF($G387&gt;0,$I387/$G387,0)</f>
        <v/>
      </c>
      <c r="N387" s="113">
        <f>IF($C387="","",IF($B387="TANIMSIZ MÜŞTERİ","TANIMSIZ MÜŞTERİ",IF($F387="","MODEL SEÇİN",IF(OR($D387="",$G387&lt;=0),"EKSİK",IF(AND($E387&lt;&gt;"",$E387&lt;$D387),"TARİH HATASI",IF($H387="Pasif","KAPALI DÖNEM","UYGUN"))))))</f>
        <v/>
      </c>
      <c r="O387" s="229">
        <f>IF(OR($C387="",$D387="",$F387=""),"",IF($F387="Aylık",EOMONTH($D387,0),($D387+MOD(SISTEM!$F$8-WEEKDAY($D387,2),7))))</f>
        <v/>
      </c>
      <c r="P387" s="109" t="n"/>
      <c r="Q387" s="6" t="n"/>
      <c r="R387" s="6" t="n"/>
      <c r="S387" s="3">
        <f>IF($B387="","",$B387&amp;"|"&amp;COUNTIFS($B$7:$B387,$B387))</f>
        <v/>
      </c>
    </row>
    <row r="388">
      <c r="A388" s="6" t="n"/>
      <c r="B388" s="113">
        <f>IF($C388="","",IFERROR(INDEX(MUSTERILER!$B$7:$B$106,MATCH($C388,MUSTERILER!$C$7:$C$106,0)),IFERROR(INDEX(MUSTERILER!$B$7:$B$106,MATCH($C388,MUSTERILER!$B$7:$B$106,0)),IFERROR(INDEX(MUSTERILER!$B$7:$B$106,MATCH($C388&amp;"*",MUSTERILER!$C$7:$C$106,0)),"TANIMSIZ MÜŞTERİ"))))</f>
        <v/>
      </c>
      <c r="C388" s="109" t="n"/>
      <c r="D388" s="225" t="n"/>
      <c r="E388" s="225" t="n"/>
      <c r="F388" s="108" t="n"/>
      <c r="G388" s="226" t="n"/>
      <c r="H388" s="108" t="n"/>
      <c r="I388" s="227">
        <f>IF(OR($C388="",$D388="",$G388="",$F388=""),0,$G388*IF($F388="Aylık",MAX(0,(YEAR(MIN(IF($E388="",TODAY(),$E388),TODAY()))-YEAR($D388))*12+MONTH(MIN(IF($E388="",TODAY(),$E388),TODAY()))-MONTH($D388)+IF(MIN(IF($E388="",TODAY(),$E388),TODAY())&gt;=EOMONTH(MIN(IF($E388="",TODAY(),$E388),TODAY()),0),1,0)),MAX(0,INT((MIN(IF($E388="",TODAY(),$E388),TODAY())-($D388+MOD(SISTEM!$F$8-WEEKDAY($D388,2),7)))/7)+1)))</f>
        <v/>
      </c>
      <c r="J388" s="227">
        <f>IF(OR($C388="",$D388="",$G388="",$F388=""),0,$G388*IF($F388="Aylık",MAX(0,(YEAR(MIN(IF($E388="",TODAY()-8,$E388),TODAY()-8))-YEAR($D388))*12+MONTH(MIN(IF($E388="",TODAY()-8,$E388),TODAY()-8))-MONTH($D388)+IF(MIN(IF($E388="",TODAY()-8,$E388),TODAY()-8)&gt;=EOMONTH(MIN(IF($E388="",TODAY()-8,$E388),TODAY()-8),0),1,0)),MAX(0,INT((MIN(IF($E388="",TODAY()-8,$E388),TODAY()-8)-($D388+MOD(SISTEM!$F$8-WEEKDAY($D388,2),7)))/7)+1)))</f>
        <v/>
      </c>
      <c r="K388" s="227">
        <f>IF(OR($C388="",$D388="",$G388="",$F388=""),0,$G388*IF($F388="Aylık",MAX(0,(YEAR(MIN(IF($E388="",TODAY()-15,$E388),TODAY()-15))-YEAR($D388))*12+MONTH(MIN(IF($E388="",TODAY()-15,$E388),TODAY()-15))-MONTH($D388)+IF(MIN(IF($E388="",TODAY()-15,$E388),TODAY()-15)&gt;=EOMONTH(MIN(IF($E388="",TODAY()-15,$E388),TODAY()-15),0),1,0)),MAX(0,INT((MIN(IF($E388="",TODAY()-15,$E388),TODAY()-15)-($D388+MOD(SISTEM!$F$8-WEEKDAY($D388,2),7)))/7)+1)))</f>
        <v/>
      </c>
      <c r="L388" s="227">
        <f>IF(OR($C388="",$D388="",$G388="",$F388=""),0,$G388*IF($F388="Aylık",MAX(0,(YEAR(MIN(IF($E388="",TODAY()-29,$E388),TODAY()-29))-YEAR($D388))*12+MONTH(MIN(IF($E388="",TODAY()-29,$E388),TODAY()-29))-MONTH($D388)+IF(MIN(IF($E388="",TODAY()-29,$E388),TODAY()-29)&gt;=EOMONTH(MIN(IF($E388="",TODAY()-29,$E388),TODAY()-29),0),1,0)),MAX(0,INT((MIN(IF($E388="",TODAY()-29,$E388),TODAY()-29)-($D388+MOD(SISTEM!$F$8-WEEKDAY($D388,2),7)))/7)+1)))</f>
        <v/>
      </c>
      <c r="M388" s="228">
        <f>IF($G388&gt;0,$I388/$G388,0)</f>
        <v/>
      </c>
      <c r="N388" s="113">
        <f>IF($C388="","",IF($B388="TANIMSIZ MÜŞTERİ","TANIMSIZ MÜŞTERİ",IF($F388="","MODEL SEÇİN",IF(OR($D388="",$G388&lt;=0),"EKSİK",IF(AND($E388&lt;&gt;"",$E388&lt;$D388),"TARİH HATASI",IF($H388="Pasif","KAPALI DÖNEM","UYGUN"))))))</f>
        <v/>
      </c>
      <c r="O388" s="229">
        <f>IF(OR($C388="",$D388="",$F388=""),"",IF($F388="Aylık",EOMONTH($D388,0),($D388+MOD(SISTEM!$F$8-WEEKDAY($D388,2),7))))</f>
        <v/>
      </c>
      <c r="P388" s="109" t="n"/>
      <c r="Q388" s="6" t="n"/>
      <c r="R388" s="6" t="n"/>
      <c r="S388" s="3">
        <f>IF($B388="","",$B388&amp;"|"&amp;COUNTIFS($B$7:$B388,$B388))</f>
        <v/>
      </c>
    </row>
    <row r="389">
      <c r="A389" s="6" t="n"/>
      <c r="B389" s="113">
        <f>IF($C389="","",IFERROR(INDEX(MUSTERILER!$B$7:$B$106,MATCH($C389,MUSTERILER!$C$7:$C$106,0)),IFERROR(INDEX(MUSTERILER!$B$7:$B$106,MATCH($C389,MUSTERILER!$B$7:$B$106,0)),IFERROR(INDEX(MUSTERILER!$B$7:$B$106,MATCH($C389&amp;"*",MUSTERILER!$C$7:$C$106,0)),"TANIMSIZ MÜŞTERİ"))))</f>
        <v/>
      </c>
      <c r="C389" s="109" t="n"/>
      <c r="D389" s="225" t="n"/>
      <c r="E389" s="225" t="n"/>
      <c r="F389" s="108" t="n"/>
      <c r="G389" s="226" t="n"/>
      <c r="H389" s="108" t="n"/>
      <c r="I389" s="227">
        <f>IF(OR($C389="",$D389="",$G389="",$F389=""),0,$G389*IF($F389="Aylık",MAX(0,(YEAR(MIN(IF($E389="",TODAY(),$E389),TODAY()))-YEAR($D389))*12+MONTH(MIN(IF($E389="",TODAY(),$E389),TODAY()))-MONTH($D389)+IF(MIN(IF($E389="",TODAY(),$E389),TODAY())&gt;=EOMONTH(MIN(IF($E389="",TODAY(),$E389),TODAY()),0),1,0)),MAX(0,INT((MIN(IF($E389="",TODAY(),$E389),TODAY())-($D389+MOD(SISTEM!$F$8-WEEKDAY($D389,2),7)))/7)+1)))</f>
        <v/>
      </c>
      <c r="J389" s="227">
        <f>IF(OR($C389="",$D389="",$G389="",$F389=""),0,$G389*IF($F389="Aylık",MAX(0,(YEAR(MIN(IF($E389="",TODAY()-8,$E389),TODAY()-8))-YEAR($D389))*12+MONTH(MIN(IF($E389="",TODAY()-8,$E389),TODAY()-8))-MONTH($D389)+IF(MIN(IF($E389="",TODAY()-8,$E389),TODAY()-8)&gt;=EOMONTH(MIN(IF($E389="",TODAY()-8,$E389),TODAY()-8),0),1,0)),MAX(0,INT((MIN(IF($E389="",TODAY()-8,$E389),TODAY()-8)-($D389+MOD(SISTEM!$F$8-WEEKDAY($D389,2),7)))/7)+1)))</f>
        <v/>
      </c>
      <c r="K389" s="227">
        <f>IF(OR($C389="",$D389="",$G389="",$F389=""),0,$G389*IF($F389="Aylık",MAX(0,(YEAR(MIN(IF($E389="",TODAY()-15,$E389),TODAY()-15))-YEAR($D389))*12+MONTH(MIN(IF($E389="",TODAY()-15,$E389),TODAY()-15))-MONTH($D389)+IF(MIN(IF($E389="",TODAY()-15,$E389),TODAY()-15)&gt;=EOMONTH(MIN(IF($E389="",TODAY()-15,$E389),TODAY()-15),0),1,0)),MAX(0,INT((MIN(IF($E389="",TODAY()-15,$E389),TODAY()-15)-($D389+MOD(SISTEM!$F$8-WEEKDAY($D389,2),7)))/7)+1)))</f>
        <v/>
      </c>
      <c r="L389" s="227">
        <f>IF(OR($C389="",$D389="",$G389="",$F389=""),0,$G389*IF($F389="Aylık",MAX(0,(YEAR(MIN(IF($E389="",TODAY()-29,$E389),TODAY()-29))-YEAR($D389))*12+MONTH(MIN(IF($E389="",TODAY()-29,$E389),TODAY()-29))-MONTH($D389)+IF(MIN(IF($E389="",TODAY()-29,$E389),TODAY()-29)&gt;=EOMONTH(MIN(IF($E389="",TODAY()-29,$E389),TODAY()-29),0),1,0)),MAX(0,INT((MIN(IF($E389="",TODAY()-29,$E389),TODAY()-29)-($D389+MOD(SISTEM!$F$8-WEEKDAY($D389,2),7)))/7)+1)))</f>
        <v/>
      </c>
      <c r="M389" s="228">
        <f>IF($G389&gt;0,$I389/$G389,0)</f>
        <v/>
      </c>
      <c r="N389" s="113">
        <f>IF($C389="","",IF($B389="TANIMSIZ MÜŞTERİ","TANIMSIZ MÜŞTERİ",IF($F389="","MODEL SEÇİN",IF(OR($D389="",$G389&lt;=0),"EKSİK",IF(AND($E389&lt;&gt;"",$E389&lt;$D389),"TARİH HATASI",IF($H389="Pasif","KAPALI DÖNEM","UYGUN"))))))</f>
        <v/>
      </c>
      <c r="O389" s="229">
        <f>IF(OR($C389="",$D389="",$F389=""),"",IF($F389="Aylık",EOMONTH($D389,0),($D389+MOD(SISTEM!$F$8-WEEKDAY($D389,2),7))))</f>
        <v/>
      </c>
      <c r="P389" s="109" t="n"/>
      <c r="Q389" s="6" t="n"/>
      <c r="R389" s="6" t="n"/>
      <c r="S389" s="3">
        <f>IF($B389="","",$B389&amp;"|"&amp;COUNTIFS($B$7:$B389,$B389))</f>
        <v/>
      </c>
    </row>
    <row r="390">
      <c r="A390" s="6" t="n"/>
      <c r="B390" s="113">
        <f>IF($C390="","",IFERROR(INDEX(MUSTERILER!$B$7:$B$106,MATCH($C390,MUSTERILER!$C$7:$C$106,0)),IFERROR(INDEX(MUSTERILER!$B$7:$B$106,MATCH($C390,MUSTERILER!$B$7:$B$106,0)),IFERROR(INDEX(MUSTERILER!$B$7:$B$106,MATCH($C390&amp;"*",MUSTERILER!$C$7:$C$106,0)),"TANIMSIZ MÜŞTERİ"))))</f>
        <v/>
      </c>
      <c r="C390" s="109" t="n"/>
      <c r="D390" s="225" t="n"/>
      <c r="E390" s="225" t="n"/>
      <c r="F390" s="108" t="n"/>
      <c r="G390" s="226" t="n"/>
      <c r="H390" s="108" t="n"/>
      <c r="I390" s="227">
        <f>IF(OR($C390="",$D390="",$G390="",$F390=""),0,$G390*IF($F390="Aylık",MAX(0,(YEAR(MIN(IF($E390="",TODAY(),$E390),TODAY()))-YEAR($D390))*12+MONTH(MIN(IF($E390="",TODAY(),$E390),TODAY()))-MONTH($D390)+IF(MIN(IF($E390="",TODAY(),$E390),TODAY())&gt;=EOMONTH(MIN(IF($E390="",TODAY(),$E390),TODAY()),0),1,0)),MAX(0,INT((MIN(IF($E390="",TODAY(),$E390),TODAY())-($D390+MOD(SISTEM!$F$8-WEEKDAY($D390,2),7)))/7)+1)))</f>
        <v/>
      </c>
      <c r="J390" s="227">
        <f>IF(OR($C390="",$D390="",$G390="",$F390=""),0,$G390*IF($F390="Aylık",MAX(0,(YEAR(MIN(IF($E390="",TODAY()-8,$E390),TODAY()-8))-YEAR($D390))*12+MONTH(MIN(IF($E390="",TODAY()-8,$E390),TODAY()-8))-MONTH($D390)+IF(MIN(IF($E390="",TODAY()-8,$E390),TODAY()-8)&gt;=EOMONTH(MIN(IF($E390="",TODAY()-8,$E390),TODAY()-8),0),1,0)),MAX(0,INT((MIN(IF($E390="",TODAY()-8,$E390),TODAY()-8)-($D390+MOD(SISTEM!$F$8-WEEKDAY($D390,2),7)))/7)+1)))</f>
        <v/>
      </c>
      <c r="K390" s="227">
        <f>IF(OR($C390="",$D390="",$G390="",$F390=""),0,$G390*IF($F390="Aylık",MAX(0,(YEAR(MIN(IF($E390="",TODAY()-15,$E390),TODAY()-15))-YEAR($D390))*12+MONTH(MIN(IF($E390="",TODAY()-15,$E390),TODAY()-15))-MONTH($D390)+IF(MIN(IF($E390="",TODAY()-15,$E390),TODAY()-15)&gt;=EOMONTH(MIN(IF($E390="",TODAY()-15,$E390),TODAY()-15),0),1,0)),MAX(0,INT((MIN(IF($E390="",TODAY()-15,$E390),TODAY()-15)-($D390+MOD(SISTEM!$F$8-WEEKDAY($D390,2),7)))/7)+1)))</f>
        <v/>
      </c>
      <c r="L390" s="227">
        <f>IF(OR($C390="",$D390="",$G390="",$F390=""),0,$G390*IF($F390="Aylık",MAX(0,(YEAR(MIN(IF($E390="",TODAY()-29,$E390),TODAY()-29))-YEAR($D390))*12+MONTH(MIN(IF($E390="",TODAY()-29,$E390),TODAY()-29))-MONTH($D390)+IF(MIN(IF($E390="",TODAY()-29,$E390),TODAY()-29)&gt;=EOMONTH(MIN(IF($E390="",TODAY()-29,$E390),TODAY()-29),0),1,0)),MAX(0,INT((MIN(IF($E390="",TODAY()-29,$E390),TODAY()-29)-($D390+MOD(SISTEM!$F$8-WEEKDAY($D390,2),7)))/7)+1)))</f>
        <v/>
      </c>
      <c r="M390" s="228">
        <f>IF($G390&gt;0,$I390/$G390,0)</f>
        <v/>
      </c>
      <c r="N390" s="113">
        <f>IF($C390="","",IF($B390="TANIMSIZ MÜŞTERİ","TANIMSIZ MÜŞTERİ",IF($F390="","MODEL SEÇİN",IF(OR($D390="",$G390&lt;=0),"EKSİK",IF(AND($E390&lt;&gt;"",$E390&lt;$D390),"TARİH HATASI",IF($H390="Pasif","KAPALI DÖNEM","UYGUN"))))))</f>
        <v/>
      </c>
      <c r="O390" s="229">
        <f>IF(OR($C390="",$D390="",$F390=""),"",IF($F390="Aylık",EOMONTH($D390,0),($D390+MOD(SISTEM!$F$8-WEEKDAY($D390,2),7))))</f>
        <v/>
      </c>
      <c r="P390" s="109" t="n"/>
      <c r="Q390" s="6" t="n"/>
      <c r="R390" s="6" t="n"/>
      <c r="S390" s="3">
        <f>IF($B390="","",$B390&amp;"|"&amp;COUNTIFS($B$7:$B390,$B390))</f>
        <v/>
      </c>
    </row>
    <row r="391">
      <c r="A391" s="6" t="n"/>
      <c r="B391" s="113">
        <f>IF($C391="","",IFERROR(INDEX(MUSTERILER!$B$7:$B$106,MATCH($C391,MUSTERILER!$C$7:$C$106,0)),IFERROR(INDEX(MUSTERILER!$B$7:$B$106,MATCH($C391,MUSTERILER!$B$7:$B$106,0)),IFERROR(INDEX(MUSTERILER!$B$7:$B$106,MATCH($C391&amp;"*",MUSTERILER!$C$7:$C$106,0)),"TANIMSIZ MÜŞTERİ"))))</f>
        <v/>
      </c>
      <c r="C391" s="109" t="n"/>
      <c r="D391" s="225" t="n"/>
      <c r="E391" s="225" t="n"/>
      <c r="F391" s="108" t="n"/>
      <c r="G391" s="226" t="n"/>
      <c r="H391" s="108" t="n"/>
      <c r="I391" s="227">
        <f>IF(OR($C391="",$D391="",$G391="",$F391=""),0,$G391*IF($F391="Aylık",MAX(0,(YEAR(MIN(IF($E391="",TODAY(),$E391),TODAY()))-YEAR($D391))*12+MONTH(MIN(IF($E391="",TODAY(),$E391),TODAY()))-MONTH($D391)+IF(MIN(IF($E391="",TODAY(),$E391),TODAY())&gt;=EOMONTH(MIN(IF($E391="",TODAY(),$E391),TODAY()),0),1,0)),MAX(0,INT((MIN(IF($E391="",TODAY(),$E391),TODAY())-($D391+MOD(SISTEM!$F$8-WEEKDAY($D391,2),7)))/7)+1)))</f>
        <v/>
      </c>
      <c r="J391" s="227">
        <f>IF(OR($C391="",$D391="",$G391="",$F391=""),0,$G391*IF($F391="Aylık",MAX(0,(YEAR(MIN(IF($E391="",TODAY()-8,$E391),TODAY()-8))-YEAR($D391))*12+MONTH(MIN(IF($E391="",TODAY()-8,$E391),TODAY()-8))-MONTH($D391)+IF(MIN(IF($E391="",TODAY()-8,$E391),TODAY()-8)&gt;=EOMONTH(MIN(IF($E391="",TODAY()-8,$E391),TODAY()-8),0),1,0)),MAX(0,INT((MIN(IF($E391="",TODAY()-8,$E391),TODAY()-8)-($D391+MOD(SISTEM!$F$8-WEEKDAY($D391,2),7)))/7)+1)))</f>
        <v/>
      </c>
      <c r="K391" s="227">
        <f>IF(OR($C391="",$D391="",$G391="",$F391=""),0,$G391*IF($F391="Aylık",MAX(0,(YEAR(MIN(IF($E391="",TODAY()-15,$E391),TODAY()-15))-YEAR($D391))*12+MONTH(MIN(IF($E391="",TODAY()-15,$E391),TODAY()-15))-MONTH($D391)+IF(MIN(IF($E391="",TODAY()-15,$E391),TODAY()-15)&gt;=EOMONTH(MIN(IF($E391="",TODAY()-15,$E391),TODAY()-15),0),1,0)),MAX(0,INT((MIN(IF($E391="",TODAY()-15,$E391),TODAY()-15)-($D391+MOD(SISTEM!$F$8-WEEKDAY($D391,2),7)))/7)+1)))</f>
        <v/>
      </c>
      <c r="L391" s="227">
        <f>IF(OR($C391="",$D391="",$G391="",$F391=""),0,$G391*IF($F391="Aylık",MAX(0,(YEAR(MIN(IF($E391="",TODAY()-29,$E391),TODAY()-29))-YEAR($D391))*12+MONTH(MIN(IF($E391="",TODAY()-29,$E391),TODAY()-29))-MONTH($D391)+IF(MIN(IF($E391="",TODAY()-29,$E391),TODAY()-29)&gt;=EOMONTH(MIN(IF($E391="",TODAY()-29,$E391),TODAY()-29),0),1,0)),MAX(0,INT((MIN(IF($E391="",TODAY()-29,$E391),TODAY()-29)-($D391+MOD(SISTEM!$F$8-WEEKDAY($D391,2),7)))/7)+1)))</f>
        <v/>
      </c>
      <c r="M391" s="228">
        <f>IF($G391&gt;0,$I391/$G391,0)</f>
        <v/>
      </c>
      <c r="N391" s="113">
        <f>IF($C391="","",IF($B391="TANIMSIZ MÜŞTERİ","TANIMSIZ MÜŞTERİ",IF($F391="","MODEL SEÇİN",IF(OR($D391="",$G391&lt;=0),"EKSİK",IF(AND($E391&lt;&gt;"",$E391&lt;$D391),"TARİH HATASI",IF($H391="Pasif","KAPALI DÖNEM","UYGUN"))))))</f>
        <v/>
      </c>
      <c r="O391" s="229">
        <f>IF(OR($C391="",$D391="",$F391=""),"",IF($F391="Aylık",EOMONTH($D391,0),($D391+MOD(SISTEM!$F$8-WEEKDAY($D391,2),7))))</f>
        <v/>
      </c>
      <c r="P391" s="109" t="n"/>
      <c r="Q391" s="6" t="n"/>
      <c r="R391" s="6" t="n"/>
      <c r="S391" s="3">
        <f>IF($B391="","",$B391&amp;"|"&amp;COUNTIFS($B$7:$B391,$B391))</f>
        <v/>
      </c>
    </row>
    <row r="392">
      <c r="A392" s="6" t="n"/>
      <c r="B392" s="113">
        <f>IF($C392="","",IFERROR(INDEX(MUSTERILER!$B$7:$B$106,MATCH($C392,MUSTERILER!$C$7:$C$106,0)),IFERROR(INDEX(MUSTERILER!$B$7:$B$106,MATCH($C392,MUSTERILER!$B$7:$B$106,0)),IFERROR(INDEX(MUSTERILER!$B$7:$B$106,MATCH($C392&amp;"*",MUSTERILER!$C$7:$C$106,0)),"TANIMSIZ MÜŞTERİ"))))</f>
        <v/>
      </c>
      <c r="C392" s="109" t="n"/>
      <c r="D392" s="225" t="n"/>
      <c r="E392" s="225" t="n"/>
      <c r="F392" s="108" t="n"/>
      <c r="G392" s="226" t="n"/>
      <c r="H392" s="108" t="n"/>
      <c r="I392" s="227">
        <f>IF(OR($C392="",$D392="",$G392="",$F392=""),0,$G392*IF($F392="Aylık",MAX(0,(YEAR(MIN(IF($E392="",TODAY(),$E392),TODAY()))-YEAR($D392))*12+MONTH(MIN(IF($E392="",TODAY(),$E392),TODAY()))-MONTH($D392)+IF(MIN(IF($E392="",TODAY(),$E392),TODAY())&gt;=EOMONTH(MIN(IF($E392="",TODAY(),$E392),TODAY()),0),1,0)),MAX(0,INT((MIN(IF($E392="",TODAY(),$E392),TODAY())-($D392+MOD(SISTEM!$F$8-WEEKDAY($D392,2),7)))/7)+1)))</f>
        <v/>
      </c>
      <c r="J392" s="227">
        <f>IF(OR($C392="",$D392="",$G392="",$F392=""),0,$G392*IF($F392="Aylık",MAX(0,(YEAR(MIN(IF($E392="",TODAY()-8,$E392),TODAY()-8))-YEAR($D392))*12+MONTH(MIN(IF($E392="",TODAY()-8,$E392),TODAY()-8))-MONTH($D392)+IF(MIN(IF($E392="",TODAY()-8,$E392),TODAY()-8)&gt;=EOMONTH(MIN(IF($E392="",TODAY()-8,$E392),TODAY()-8),0),1,0)),MAX(0,INT((MIN(IF($E392="",TODAY()-8,$E392),TODAY()-8)-($D392+MOD(SISTEM!$F$8-WEEKDAY($D392,2),7)))/7)+1)))</f>
        <v/>
      </c>
      <c r="K392" s="227">
        <f>IF(OR($C392="",$D392="",$G392="",$F392=""),0,$G392*IF($F392="Aylık",MAX(0,(YEAR(MIN(IF($E392="",TODAY()-15,$E392),TODAY()-15))-YEAR($D392))*12+MONTH(MIN(IF($E392="",TODAY()-15,$E392),TODAY()-15))-MONTH($D392)+IF(MIN(IF($E392="",TODAY()-15,$E392),TODAY()-15)&gt;=EOMONTH(MIN(IF($E392="",TODAY()-15,$E392),TODAY()-15),0),1,0)),MAX(0,INT((MIN(IF($E392="",TODAY()-15,$E392),TODAY()-15)-($D392+MOD(SISTEM!$F$8-WEEKDAY($D392,2),7)))/7)+1)))</f>
        <v/>
      </c>
      <c r="L392" s="227">
        <f>IF(OR($C392="",$D392="",$G392="",$F392=""),0,$G392*IF($F392="Aylık",MAX(0,(YEAR(MIN(IF($E392="",TODAY()-29,$E392),TODAY()-29))-YEAR($D392))*12+MONTH(MIN(IF($E392="",TODAY()-29,$E392),TODAY()-29))-MONTH($D392)+IF(MIN(IF($E392="",TODAY()-29,$E392),TODAY()-29)&gt;=EOMONTH(MIN(IF($E392="",TODAY()-29,$E392),TODAY()-29),0),1,0)),MAX(0,INT((MIN(IF($E392="",TODAY()-29,$E392),TODAY()-29)-($D392+MOD(SISTEM!$F$8-WEEKDAY($D392,2),7)))/7)+1)))</f>
        <v/>
      </c>
      <c r="M392" s="228">
        <f>IF($G392&gt;0,$I392/$G392,0)</f>
        <v/>
      </c>
      <c r="N392" s="113">
        <f>IF($C392="","",IF($B392="TANIMSIZ MÜŞTERİ","TANIMSIZ MÜŞTERİ",IF($F392="","MODEL SEÇİN",IF(OR($D392="",$G392&lt;=0),"EKSİK",IF(AND($E392&lt;&gt;"",$E392&lt;$D392),"TARİH HATASI",IF($H392="Pasif","KAPALI DÖNEM","UYGUN"))))))</f>
        <v/>
      </c>
      <c r="O392" s="229">
        <f>IF(OR($C392="",$D392="",$F392=""),"",IF($F392="Aylık",EOMONTH($D392,0),($D392+MOD(SISTEM!$F$8-WEEKDAY($D392,2),7))))</f>
        <v/>
      </c>
      <c r="P392" s="109" t="n"/>
      <c r="Q392" s="6" t="n"/>
      <c r="R392" s="6" t="n"/>
      <c r="S392" s="3">
        <f>IF($B392="","",$B392&amp;"|"&amp;COUNTIFS($B$7:$B392,$B392))</f>
        <v/>
      </c>
    </row>
    <row r="393">
      <c r="A393" s="6" t="n"/>
      <c r="B393" s="113">
        <f>IF($C393="","",IFERROR(INDEX(MUSTERILER!$B$7:$B$106,MATCH($C393,MUSTERILER!$C$7:$C$106,0)),IFERROR(INDEX(MUSTERILER!$B$7:$B$106,MATCH($C393,MUSTERILER!$B$7:$B$106,0)),IFERROR(INDEX(MUSTERILER!$B$7:$B$106,MATCH($C393&amp;"*",MUSTERILER!$C$7:$C$106,0)),"TANIMSIZ MÜŞTERİ"))))</f>
        <v/>
      </c>
      <c r="C393" s="109" t="n"/>
      <c r="D393" s="225" t="n"/>
      <c r="E393" s="225" t="n"/>
      <c r="F393" s="108" t="n"/>
      <c r="G393" s="226" t="n"/>
      <c r="H393" s="108" t="n"/>
      <c r="I393" s="227">
        <f>IF(OR($C393="",$D393="",$G393="",$F393=""),0,$G393*IF($F393="Aylık",MAX(0,(YEAR(MIN(IF($E393="",TODAY(),$E393),TODAY()))-YEAR($D393))*12+MONTH(MIN(IF($E393="",TODAY(),$E393),TODAY()))-MONTH($D393)+IF(MIN(IF($E393="",TODAY(),$E393),TODAY())&gt;=EOMONTH(MIN(IF($E393="",TODAY(),$E393),TODAY()),0),1,0)),MAX(0,INT((MIN(IF($E393="",TODAY(),$E393),TODAY())-($D393+MOD(SISTEM!$F$8-WEEKDAY($D393,2),7)))/7)+1)))</f>
        <v/>
      </c>
      <c r="J393" s="227">
        <f>IF(OR($C393="",$D393="",$G393="",$F393=""),0,$G393*IF($F393="Aylık",MAX(0,(YEAR(MIN(IF($E393="",TODAY()-8,$E393),TODAY()-8))-YEAR($D393))*12+MONTH(MIN(IF($E393="",TODAY()-8,$E393),TODAY()-8))-MONTH($D393)+IF(MIN(IF($E393="",TODAY()-8,$E393),TODAY()-8)&gt;=EOMONTH(MIN(IF($E393="",TODAY()-8,$E393),TODAY()-8),0),1,0)),MAX(0,INT((MIN(IF($E393="",TODAY()-8,$E393),TODAY()-8)-($D393+MOD(SISTEM!$F$8-WEEKDAY($D393,2),7)))/7)+1)))</f>
        <v/>
      </c>
      <c r="K393" s="227">
        <f>IF(OR($C393="",$D393="",$G393="",$F393=""),0,$G393*IF($F393="Aylık",MAX(0,(YEAR(MIN(IF($E393="",TODAY()-15,$E393),TODAY()-15))-YEAR($D393))*12+MONTH(MIN(IF($E393="",TODAY()-15,$E393),TODAY()-15))-MONTH($D393)+IF(MIN(IF($E393="",TODAY()-15,$E393),TODAY()-15)&gt;=EOMONTH(MIN(IF($E393="",TODAY()-15,$E393),TODAY()-15),0),1,0)),MAX(0,INT((MIN(IF($E393="",TODAY()-15,$E393),TODAY()-15)-($D393+MOD(SISTEM!$F$8-WEEKDAY($D393,2),7)))/7)+1)))</f>
        <v/>
      </c>
      <c r="L393" s="227">
        <f>IF(OR($C393="",$D393="",$G393="",$F393=""),0,$G393*IF($F393="Aylık",MAX(0,(YEAR(MIN(IF($E393="",TODAY()-29,$E393),TODAY()-29))-YEAR($D393))*12+MONTH(MIN(IF($E393="",TODAY()-29,$E393),TODAY()-29))-MONTH($D393)+IF(MIN(IF($E393="",TODAY()-29,$E393),TODAY()-29)&gt;=EOMONTH(MIN(IF($E393="",TODAY()-29,$E393),TODAY()-29),0),1,0)),MAX(0,INT((MIN(IF($E393="",TODAY()-29,$E393),TODAY()-29)-($D393+MOD(SISTEM!$F$8-WEEKDAY($D393,2),7)))/7)+1)))</f>
        <v/>
      </c>
      <c r="M393" s="228">
        <f>IF($G393&gt;0,$I393/$G393,0)</f>
        <v/>
      </c>
      <c r="N393" s="113">
        <f>IF($C393="","",IF($B393="TANIMSIZ MÜŞTERİ","TANIMSIZ MÜŞTERİ",IF($F393="","MODEL SEÇİN",IF(OR($D393="",$G393&lt;=0),"EKSİK",IF(AND($E393&lt;&gt;"",$E393&lt;$D393),"TARİH HATASI",IF($H393="Pasif","KAPALI DÖNEM","UYGUN"))))))</f>
        <v/>
      </c>
      <c r="O393" s="229">
        <f>IF(OR($C393="",$D393="",$F393=""),"",IF($F393="Aylık",EOMONTH($D393,0),($D393+MOD(SISTEM!$F$8-WEEKDAY($D393,2),7))))</f>
        <v/>
      </c>
      <c r="P393" s="109" t="n"/>
      <c r="Q393" s="6" t="n"/>
      <c r="R393" s="6" t="n"/>
      <c r="S393" s="3">
        <f>IF($B393="","",$B393&amp;"|"&amp;COUNTIFS($B$7:$B393,$B393))</f>
        <v/>
      </c>
    </row>
    <row r="394">
      <c r="A394" s="6" t="n"/>
      <c r="B394" s="113">
        <f>IF($C394="","",IFERROR(INDEX(MUSTERILER!$B$7:$B$106,MATCH($C394,MUSTERILER!$C$7:$C$106,0)),IFERROR(INDEX(MUSTERILER!$B$7:$B$106,MATCH($C394,MUSTERILER!$B$7:$B$106,0)),IFERROR(INDEX(MUSTERILER!$B$7:$B$106,MATCH($C394&amp;"*",MUSTERILER!$C$7:$C$106,0)),"TANIMSIZ MÜŞTERİ"))))</f>
        <v/>
      </c>
      <c r="C394" s="109" t="n"/>
      <c r="D394" s="225" t="n"/>
      <c r="E394" s="225" t="n"/>
      <c r="F394" s="108" t="n"/>
      <c r="G394" s="226" t="n"/>
      <c r="H394" s="108" t="n"/>
      <c r="I394" s="227">
        <f>IF(OR($C394="",$D394="",$G394="",$F394=""),0,$G394*IF($F394="Aylık",MAX(0,(YEAR(MIN(IF($E394="",TODAY(),$E394),TODAY()))-YEAR($D394))*12+MONTH(MIN(IF($E394="",TODAY(),$E394),TODAY()))-MONTH($D394)+IF(MIN(IF($E394="",TODAY(),$E394),TODAY())&gt;=EOMONTH(MIN(IF($E394="",TODAY(),$E394),TODAY()),0),1,0)),MAX(0,INT((MIN(IF($E394="",TODAY(),$E394),TODAY())-($D394+MOD(SISTEM!$F$8-WEEKDAY($D394,2),7)))/7)+1)))</f>
        <v/>
      </c>
      <c r="J394" s="227">
        <f>IF(OR($C394="",$D394="",$G394="",$F394=""),0,$G394*IF($F394="Aylık",MAX(0,(YEAR(MIN(IF($E394="",TODAY()-8,$E394),TODAY()-8))-YEAR($D394))*12+MONTH(MIN(IF($E394="",TODAY()-8,$E394),TODAY()-8))-MONTH($D394)+IF(MIN(IF($E394="",TODAY()-8,$E394),TODAY()-8)&gt;=EOMONTH(MIN(IF($E394="",TODAY()-8,$E394),TODAY()-8),0),1,0)),MAX(0,INT((MIN(IF($E394="",TODAY()-8,$E394),TODAY()-8)-($D394+MOD(SISTEM!$F$8-WEEKDAY($D394,2),7)))/7)+1)))</f>
        <v/>
      </c>
      <c r="K394" s="227">
        <f>IF(OR($C394="",$D394="",$G394="",$F394=""),0,$G394*IF($F394="Aylık",MAX(0,(YEAR(MIN(IF($E394="",TODAY()-15,$E394),TODAY()-15))-YEAR($D394))*12+MONTH(MIN(IF($E394="",TODAY()-15,$E394),TODAY()-15))-MONTH($D394)+IF(MIN(IF($E394="",TODAY()-15,$E394),TODAY()-15)&gt;=EOMONTH(MIN(IF($E394="",TODAY()-15,$E394),TODAY()-15),0),1,0)),MAX(0,INT((MIN(IF($E394="",TODAY()-15,$E394),TODAY()-15)-($D394+MOD(SISTEM!$F$8-WEEKDAY($D394,2),7)))/7)+1)))</f>
        <v/>
      </c>
      <c r="L394" s="227">
        <f>IF(OR($C394="",$D394="",$G394="",$F394=""),0,$G394*IF($F394="Aylık",MAX(0,(YEAR(MIN(IF($E394="",TODAY()-29,$E394),TODAY()-29))-YEAR($D394))*12+MONTH(MIN(IF($E394="",TODAY()-29,$E394),TODAY()-29))-MONTH($D394)+IF(MIN(IF($E394="",TODAY()-29,$E394),TODAY()-29)&gt;=EOMONTH(MIN(IF($E394="",TODAY()-29,$E394),TODAY()-29),0),1,0)),MAX(0,INT((MIN(IF($E394="",TODAY()-29,$E394),TODAY()-29)-($D394+MOD(SISTEM!$F$8-WEEKDAY($D394,2),7)))/7)+1)))</f>
        <v/>
      </c>
      <c r="M394" s="228">
        <f>IF($G394&gt;0,$I394/$G394,0)</f>
        <v/>
      </c>
      <c r="N394" s="113">
        <f>IF($C394="","",IF($B394="TANIMSIZ MÜŞTERİ","TANIMSIZ MÜŞTERİ",IF($F394="","MODEL SEÇİN",IF(OR($D394="",$G394&lt;=0),"EKSİK",IF(AND($E394&lt;&gt;"",$E394&lt;$D394),"TARİH HATASI",IF($H394="Pasif","KAPALI DÖNEM","UYGUN"))))))</f>
        <v/>
      </c>
      <c r="O394" s="229">
        <f>IF(OR($C394="",$D394="",$F394=""),"",IF($F394="Aylık",EOMONTH($D394,0),($D394+MOD(SISTEM!$F$8-WEEKDAY($D394,2),7))))</f>
        <v/>
      </c>
      <c r="P394" s="109" t="n"/>
      <c r="Q394" s="6" t="n"/>
      <c r="R394" s="6" t="n"/>
      <c r="S394" s="3">
        <f>IF($B394="","",$B394&amp;"|"&amp;COUNTIFS($B$7:$B394,$B394))</f>
        <v/>
      </c>
    </row>
    <row r="395">
      <c r="A395" s="6" t="n"/>
      <c r="B395" s="113">
        <f>IF($C395="","",IFERROR(INDEX(MUSTERILER!$B$7:$B$106,MATCH($C395,MUSTERILER!$C$7:$C$106,0)),IFERROR(INDEX(MUSTERILER!$B$7:$B$106,MATCH($C395,MUSTERILER!$B$7:$B$106,0)),IFERROR(INDEX(MUSTERILER!$B$7:$B$106,MATCH($C395&amp;"*",MUSTERILER!$C$7:$C$106,0)),"TANIMSIZ MÜŞTERİ"))))</f>
        <v/>
      </c>
      <c r="C395" s="109" t="n"/>
      <c r="D395" s="225" t="n"/>
      <c r="E395" s="225" t="n"/>
      <c r="F395" s="108" t="n"/>
      <c r="G395" s="226" t="n"/>
      <c r="H395" s="108" t="n"/>
      <c r="I395" s="227">
        <f>IF(OR($C395="",$D395="",$G395="",$F395=""),0,$G395*IF($F395="Aylık",MAX(0,(YEAR(MIN(IF($E395="",TODAY(),$E395),TODAY()))-YEAR($D395))*12+MONTH(MIN(IF($E395="",TODAY(),$E395),TODAY()))-MONTH($D395)+IF(MIN(IF($E395="",TODAY(),$E395),TODAY())&gt;=EOMONTH(MIN(IF($E395="",TODAY(),$E395),TODAY()),0),1,0)),MAX(0,INT((MIN(IF($E395="",TODAY(),$E395),TODAY())-($D395+MOD(SISTEM!$F$8-WEEKDAY($D395,2),7)))/7)+1)))</f>
        <v/>
      </c>
      <c r="J395" s="227">
        <f>IF(OR($C395="",$D395="",$G395="",$F395=""),0,$G395*IF($F395="Aylık",MAX(0,(YEAR(MIN(IF($E395="",TODAY()-8,$E395),TODAY()-8))-YEAR($D395))*12+MONTH(MIN(IF($E395="",TODAY()-8,$E395),TODAY()-8))-MONTH($D395)+IF(MIN(IF($E395="",TODAY()-8,$E395),TODAY()-8)&gt;=EOMONTH(MIN(IF($E395="",TODAY()-8,$E395),TODAY()-8),0),1,0)),MAX(0,INT((MIN(IF($E395="",TODAY()-8,$E395),TODAY()-8)-($D395+MOD(SISTEM!$F$8-WEEKDAY($D395,2),7)))/7)+1)))</f>
        <v/>
      </c>
      <c r="K395" s="227">
        <f>IF(OR($C395="",$D395="",$G395="",$F395=""),0,$G395*IF($F395="Aylık",MAX(0,(YEAR(MIN(IF($E395="",TODAY()-15,$E395),TODAY()-15))-YEAR($D395))*12+MONTH(MIN(IF($E395="",TODAY()-15,$E395),TODAY()-15))-MONTH($D395)+IF(MIN(IF($E395="",TODAY()-15,$E395),TODAY()-15)&gt;=EOMONTH(MIN(IF($E395="",TODAY()-15,$E395),TODAY()-15),0),1,0)),MAX(0,INT((MIN(IF($E395="",TODAY()-15,$E395),TODAY()-15)-($D395+MOD(SISTEM!$F$8-WEEKDAY($D395,2),7)))/7)+1)))</f>
        <v/>
      </c>
      <c r="L395" s="227">
        <f>IF(OR($C395="",$D395="",$G395="",$F395=""),0,$G395*IF($F395="Aylık",MAX(0,(YEAR(MIN(IF($E395="",TODAY()-29,$E395),TODAY()-29))-YEAR($D395))*12+MONTH(MIN(IF($E395="",TODAY()-29,$E395),TODAY()-29))-MONTH($D395)+IF(MIN(IF($E395="",TODAY()-29,$E395),TODAY()-29)&gt;=EOMONTH(MIN(IF($E395="",TODAY()-29,$E395),TODAY()-29),0),1,0)),MAX(0,INT((MIN(IF($E395="",TODAY()-29,$E395),TODAY()-29)-($D395+MOD(SISTEM!$F$8-WEEKDAY($D395,2),7)))/7)+1)))</f>
        <v/>
      </c>
      <c r="M395" s="228">
        <f>IF($G395&gt;0,$I395/$G395,0)</f>
        <v/>
      </c>
      <c r="N395" s="113">
        <f>IF($C395="","",IF($B395="TANIMSIZ MÜŞTERİ","TANIMSIZ MÜŞTERİ",IF($F395="","MODEL SEÇİN",IF(OR($D395="",$G395&lt;=0),"EKSİK",IF(AND($E395&lt;&gt;"",$E395&lt;$D395),"TARİH HATASI",IF($H395="Pasif","KAPALI DÖNEM","UYGUN"))))))</f>
        <v/>
      </c>
      <c r="O395" s="229">
        <f>IF(OR($C395="",$D395="",$F395=""),"",IF($F395="Aylık",EOMONTH($D395,0),($D395+MOD(SISTEM!$F$8-WEEKDAY($D395,2),7))))</f>
        <v/>
      </c>
      <c r="P395" s="109" t="n"/>
      <c r="Q395" s="6" t="n"/>
      <c r="R395" s="6" t="n"/>
      <c r="S395" s="3">
        <f>IF($B395="","",$B395&amp;"|"&amp;COUNTIFS($B$7:$B395,$B395))</f>
        <v/>
      </c>
    </row>
    <row r="396">
      <c r="A396" s="6" t="n"/>
      <c r="B396" s="113">
        <f>IF($C396="","",IFERROR(INDEX(MUSTERILER!$B$7:$B$106,MATCH($C396,MUSTERILER!$C$7:$C$106,0)),IFERROR(INDEX(MUSTERILER!$B$7:$B$106,MATCH($C396,MUSTERILER!$B$7:$B$106,0)),IFERROR(INDEX(MUSTERILER!$B$7:$B$106,MATCH($C396&amp;"*",MUSTERILER!$C$7:$C$106,0)),"TANIMSIZ MÜŞTERİ"))))</f>
        <v/>
      </c>
      <c r="C396" s="109" t="n"/>
      <c r="D396" s="225" t="n"/>
      <c r="E396" s="225" t="n"/>
      <c r="F396" s="108" t="n"/>
      <c r="G396" s="226" t="n"/>
      <c r="H396" s="108" t="n"/>
      <c r="I396" s="227">
        <f>IF(OR($C396="",$D396="",$G396="",$F396=""),0,$G396*IF($F396="Aylık",MAX(0,(YEAR(MIN(IF($E396="",TODAY(),$E396),TODAY()))-YEAR($D396))*12+MONTH(MIN(IF($E396="",TODAY(),$E396),TODAY()))-MONTH($D396)+IF(MIN(IF($E396="",TODAY(),$E396),TODAY())&gt;=EOMONTH(MIN(IF($E396="",TODAY(),$E396),TODAY()),0),1,0)),MAX(0,INT((MIN(IF($E396="",TODAY(),$E396),TODAY())-($D396+MOD(SISTEM!$F$8-WEEKDAY($D396,2),7)))/7)+1)))</f>
        <v/>
      </c>
      <c r="J396" s="227">
        <f>IF(OR($C396="",$D396="",$G396="",$F396=""),0,$G396*IF($F396="Aylık",MAX(0,(YEAR(MIN(IF($E396="",TODAY()-8,$E396),TODAY()-8))-YEAR($D396))*12+MONTH(MIN(IF($E396="",TODAY()-8,$E396),TODAY()-8))-MONTH($D396)+IF(MIN(IF($E396="",TODAY()-8,$E396),TODAY()-8)&gt;=EOMONTH(MIN(IF($E396="",TODAY()-8,$E396),TODAY()-8),0),1,0)),MAX(0,INT((MIN(IF($E396="",TODAY()-8,$E396),TODAY()-8)-($D396+MOD(SISTEM!$F$8-WEEKDAY($D396,2),7)))/7)+1)))</f>
        <v/>
      </c>
      <c r="K396" s="227">
        <f>IF(OR($C396="",$D396="",$G396="",$F396=""),0,$G396*IF($F396="Aylık",MAX(0,(YEAR(MIN(IF($E396="",TODAY()-15,$E396),TODAY()-15))-YEAR($D396))*12+MONTH(MIN(IF($E396="",TODAY()-15,$E396),TODAY()-15))-MONTH($D396)+IF(MIN(IF($E396="",TODAY()-15,$E396),TODAY()-15)&gt;=EOMONTH(MIN(IF($E396="",TODAY()-15,$E396),TODAY()-15),0),1,0)),MAX(0,INT((MIN(IF($E396="",TODAY()-15,$E396),TODAY()-15)-($D396+MOD(SISTEM!$F$8-WEEKDAY($D396,2),7)))/7)+1)))</f>
        <v/>
      </c>
      <c r="L396" s="227">
        <f>IF(OR($C396="",$D396="",$G396="",$F396=""),0,$G396*IF($F396="Aylık",MAX(0,(YEAR(MIN(IF($E396="",TODAY()-29,$E396),TODAY()-29))-YEAR($D396))*12+MONTH(MIN(IF($E396="",TODAY()-29,$E396),TODAY()-29))-MONTH($D396)+IF(MIN(IF($E396="",TODAY()-29,$E396),TODAY()-29)&gt;=EOMONTH(MIN(IF($E396="",TODAY()-29,$E396),TODAY()-29),0),1,0)),MAX(0,INT((MIN(IF($E396="",TODAY()-29,$E396),TODAY()-29)-($D396+MOD(SISTEM!$F$8-WEEKDAY($D396,2),7)))/7)+1)))</f>
        <v/>
      </c>
      <c r="M396" s="228">
        <f>IF($G396&gt;0,$I396/$G396,0)</f>
        <v/>
      </c>
      <c r="N396" s="113">
        <f>IF($C396="","",IF($B396="TANIMSIZ MÜŞTERİ","TANIMSIZ MÜŞTERİ",IF($F396="","MODEL SEÇİN",IF(OR($D396="",$G396&lt;=0),"EKSİK",IF(AND($E396&lt;&gt;"",$E396&lt;$D396),"TARİH HATASI",IF($H396="Pasif","KAPALI DÖNEM","UYGUN"))))))</f>
        <v/>
      </c>
      <c r="O396" s="229">
        <f>IF(OR($C396="",$D396="",$F396=""),"",IF($F396="Aylık",EOMONTH($D396,0),($D396+MOD(SISTEM!$F$8-WEEKDAY($D396,2),7))))</f>
        <v/>
      </c>
      <c r="P396" s="109" t="n"/>
      <c r="Q396" s="6" t="n"/>
      <c r="R396" s="6" t="n"/>
      <c r="S396" s="3">
        <f>IF($B396="","",$B396&amp;"|"&amp;COUNTIFS($B$7:$B396,$B396))</f>
        <v/>
      </c>
    </row>
    <row r="397">
      <c r="A397" s="6" t="n"/>
      <c r="B397" s="113">
        <f>IF($C397="","",IFERROR(INDEX(MUSTERILER!$B$7:$B$106,MATCH($C397,MUSTERILER!$C$7:$C$106,0)),IFERROR(INDEX(MUSTERILER!$B$7:$B$106,MATCH($C397,MUSTERILER!$B$7:$B$106,0)),IFERROR(INDEX(MUSTERILER!$B$7:$B$106,MATCH($C397&amp;"*",MUSTERILER!$C$7:$C$106,0)),"TANIMSIZ MÜŞTERİ"))))</f>
        <v/>
      </c>
      <c r="C397" s="109" t="n"/>
      <c r="D397" s="225" t="n"/>
      <c r="E397" s="225" t="n"/>
      <c r="F397" s="108" t="n"/>
      <c r="G397" s="226" t="n"/>
      <c r="H397" s="108" t="n"/>
      <c r="I397" s="227">
        <f>IF(OR($C397="",$D397="",$G397="",$F397=""),0,$G397*IF($F397="Aylık",MAX(0,(YEAR(MIN(IF($E397="",TODAY(),$E397),TODAY()))-YEAR($D397))*12+MONTH(MIN(IF($E397="",TODAY(),$E397),TODAY()))-MONTH($D397)+IF(MIN(IF($E397="",TODAY(),$E397),TODAY())&gt;=EOMONTH(MIN(IF($E397="",TODAY(),$E397),TODAY()),0),1,0)),MAX(0,INT((MIN(IF($E397="",TODAY(),$E397),TODAY())-($D397+MOD(SISTEM!$F$8-WEEKDAY($D397,2),7)))/7)+1)))</f>
        <v/>
      </c>
      <c r="J397" s="227">
        <f>IF(OR($C397="",$D397="",$G397="",$F397=""),0,$G397*IF($F397="Aylık",MAX(0,(YEAR(MIN(IF($E397="",TODAY()-8,$E397),TODAY()-8))-YEAR($D397))*12+MONTH(MIN(IF($E397="",TODAY()-8,$E397),TODAY()-8))-MONTH($D397)+IF(MIN(IF($E397="",TODAY()-8,$E397),TODAY()-8)&gt;=EOMONTH(MIN(IF($E397="",TODAY()-8,$E397),TODAY()-8),0),1,0)),MAX(0,INT((MIN(IF($E397="",TODAY()-8,$E397),TODAY()-8)-($D397+MOD(SISTEM!$F$8-WEEKDAY($D397,2),7)))/7)+1)))</f>
        <v/>
      </c>
      <c r="K397" s="227">
        <f>IF(OR($C397="",$D397="",$G397="",$F397=""),0,$G397*IF($F397="Aylık",MAX(0,(YEAR(MIN(IF($E397="",TODAY()-15,$E397),TODAY()-15))-YEAR($D397))*12+MONTH(MIN(IF($E397="",TODAY()-15,$E397),TODAY()-15))-MONTH($D397)+IF(MIN(IF($E397="",TODAY()-15,$E397),TODAY()-15)&gt;=EOMONTH(MIN(IF($E397="",TODAY()-15,$E397),TODAY()-15),0),1,0)),MAX(0,INT((MIN(IF($E397="",TODAY()-15,$E397),TODAY()-15)-($D397+MOD(SISTEM!$F$8-WEEKDAY($D397,2),7)))/7)+1)))</f>
        <v/>
      </c>
      <c r="L397" s="227">
        <f>IF(OR($C397="",$D397="",$G397="",$F397=""),0,$G397*IF($F397="Aylık",MAX(0,(YEAR(MIN(IF($E397="",TODAY()-29,$E397),TODAY()-29))-YEAR($D397))*12+MONTH(MIN(IF($E397="",TODAY()-29,$E397),TODAY()-29))-MONTH($D397)+IF(MIN(IF($E397="",TODAY()-29,$E397),TODAY()-29)&gt;=EOMONTH(MIN(IF($E397="",TODAY()-29,$E397),TODAY()-29),0),1,0)),MAX(0,INT((MIN(IF($E397="",TODAY()-29,$E397),TODAY()-29)-($D397+MOD(SISTEM!$F$8-WEEKDAY($D397,2),7)))/7)+1)))</f>
        <v/>
      </c>
      <c r="M397" s="228">
        <f>IF($G397&gt;0,$I397/$G397,0)</f>
        <v/>
      </c>
      <c r="N397" s="113">
        <f>IF($C397="","",IF($B397="TANIMSIZ MÜŞTERİ","TANIMSIZ MÜŞTERİ",IF($F397="","MODEL SEÇİN",IF(OR($D397="",$G397&lt;=0),"EKSİK",IF(AND($E397&lt;&gt;"",$E397&lt;$D397),"TARİH HATASI",IF($H397="Pasif","KAPALI DÖNEM","UYGUN"))))))</f>
        <v/>
      </c>
      <c r="O397" s="229">
        <f>IF(OR($C397="",$D397="",$F397=""),"",IF($F397="Aylık",EOMONTH($D397,0),($D397+MOD(SISTEM!$F$8-WEEKDAY($D397,2),7))))</f>
        <v/>
      </c>
      <c r="P397" s="109" t="n"/>
      <c r="Q397" s="6" t="n"/>
      <c r="R397" s="6" t="n"/>
      <c r="S397" s="3">
        <f>IF($B397="","",$B397&amp;"|"&amp;COUNTIFS($B$7:$B397,$B397))</f>
        <v/>
      </c>
    </row>
    <row r="398">
      <c r="A398" s="6" t="n"/>
      <c r="B398" s="113">
        <f>IF($C398="","",IFERROR(INDEX(MUSTERILER!$B$7:$B$106,MATCH($C398,MUSTERILER!$C$7:$C$106,0)),IFERROR(INDEX(MUSTERILER!$B$7:$B$106,MATCH($C398,MUSTERILER!$B$7:$B$106,0)),IFERROR(INDEX(MUSTERILER!$B$7:$B$106,MATCH($C398&amp;"*",MUSTERILER!$C$7:$C$106,0)),"TANIMSIZ MÜŞTERİ"))))</f>
        <v/>
      </c>
      <c r="C398" s="109" t="n"/>
      <c r="D398" s="225" t="n"/>
      <c r="E398" s="225" t="n"/>
      <c r="F398" s="108" t="n"/>
      <c r="G398" s="226" t="n"/>
      <c r="H398" s="108" t="n"/>
      <c r="I398" s="227">
        <f>IF(OR($C398="",$D398="",$G398="",$F398=""),0,$G398*IF($F398="Aylık",MAX(0,(YEAR(MIN(IF($E398="",TODAY(),$E398),TODAY()))-YEAR($D398))*12+MONTH(MIN(IF($E398="",TODAY(),$E398),TODAY()))-MONTH($D398)+IF(MIN(IF($E398="",TODAY(),$E398),TODAY())&gt;=EOMONTH(MIN(IF($E398="",TODAY(),$E398),TODAY()),0),1,0)),MAX(0,INT((MIN(IF($E398="",TODAY(),$E398),TODAY())-($D398+MOD(SISTEM!$F$8-WEEKDAY($D398,2),7)))/7)+1)))</f>
        <v/>
      </c>
      <c r="J398" s="227">
        <f>IF(OR($C398="",$D398="",$G398="",$F398=""),0,$G398*IF($F398="Aylık",MAX(0,(YEAR(MIN(IF($E398="",TODAY()-8,$E398),TODAY()-8))-YEAR($D398))*12+MONTH(MIN(IF($E398="",TODAY()-8,$E398),TODAY()-8))-MONTH($D398)+IF(MIN(IF($E398="",TODAY()-8,$E398),TODAY()-8)&gt;=EOMONTH(MIN(IF($E398="",TODAY()-8,$E398),TODAY()-8),0),1,0)),MAX(0,INT((MIN(IF($E398="",TODAY()-8,$E398),TODAY()-8)-($D398+MOD(SISTEM!$F$8-WEEKDAY($D398,2),7)))/7)+1)))</f>
        <v/>
      </c>
      <c r="K398" s="227">
        <f>IF(OR($C398="",$D398="",$G398="",$F398=""),0,$G398*IF($F398="Aylık",MAX(0,(YEAR(MIN(IF($E398="",TODAY()-15,$E398),TODAY()-15))-YEAR($D398))*12+MONTH(MIN(IF($E398="",TODAY()-15,$E398),TODAY()-15))-MONTH($D398)+IF(MIN(IF($E398="",TODAY()-15,$E398),TODAY()-15)&gt;=EOMONTH(MIN(IF($E398="",TODAY()-15,$E398),TODAY()-15),0),1,0)),MAX(0,INT((MIN(IF($E398="",TODAY()-15,$E398),TODAY()-15)-($D398+MOD(SISTEM!$F$8-WEEKDAY($D398,2),7)))/7)+1)))</f>
        <v/>
      </c>
      <c r="L398" s="227">
        <f>IF(OR($C398="",$D398="",$G398="",$F398=""),0,$G398*IF($F398="Aylık",MAX(0,(YEAR(MIN(IF($E398="",TODAY()-29,$E398),TODAY()-29))-YEAR($D398))*12+MONTH(MIN(IF($E398="",TODAY()-29,$E398),TODAY()-29))-MONTH($D398)+IF(MIN(IF($E398="",TODAY()-29,$E398),TODAY()-29)&gt;=EOMONTH(MIN(IF($E398="",TODAY()-29,$E398),TODAY()-29),0),1,0)),MAX(0,INT((MIN(IF($E398="",TODAY()-29,$E398),TODAY()-29)-($D398+MOD(SISTEM!$F$8-WEEKDAY($D398,2),7)))/7)+1)))</f>
        <v/>
      </c>
      <c r="M398" s="228">
        <f>IF($G398&gt;0,$I398/$G398,0)</f>
        <v/>
      </c>
      <c r="N398" s="113">
        <f>IF($C398="","",IF($B398="TANIMSIZ MÜŞTERİ","TANIMSIZ MÜŞTERİ",IF($F398="","MODEL SEÇİN",IF(OR($D398="",$G398&lt;=0),"EKSİK",IF(AND($E398&lt;&gt;"",$E398&lt;$D398),"TARİH HATASI",IF($H398="Pasif","KAPALI DÖNEM","UYGUN"))))))</f>
        <v/>
      </c>
      <c r="O398" s="229">
        <f>IF(OR($C398="",$D398="",$F398=""),"",IF($F398="Aylık",EOMONTH($D398,0),($D398+MOD(SISTEM!$F$8-WEEKDAY($D398,2),7))))</f>
        <v/>
      </c>
      <c r="P398" s="109" t="n"/>
      <c r="Q398" s="6" t="n"/>
      <c r="R398" s="6" t="n"/>
      <c r="S398" s="3">
        <f>IF($B398="","",$B398&amp;"|"&amp;COUNTIFS($B$7:$B398,$B398))</f>
        <v/>
      </c>
    </row>
    <row r="399">
      <c r="A399" s="6" t="n"/>
      <c r="B399" s="113">
        <f>IF($C399="","",IFERROR(INDEX(MUSTERILER!$B$7:$B$106,MATCH($C399,MUSTERILER!$C$7:$C$106,0)),IFERROR(INDEX(MUSTERILER!$B$7:$B$106,MATCH($C399,MUSTERILER!$B$7:$B$106,0)),IFERROR(INDEX(MUSTERILER!$B$7:$B$106,MATCH($C399&amp;"*",MUSTERILER!$C$7:$C$106,0)),"TANIMSIZ MÜŞTERİ"))))</f>
        <v/>
      </c>
      <c r="C399" s="109" t="n"/>
      <c r="D399" s="225" t="n"/>
      <c r="E399" s="225" t="n"/>
      <c r="F399" s="108" t="n"/>
      <c r="G399" s="226" t="n"/>
      <c r="H399" s="108" t="n"/>
      <c r="I399" s="227">
        <f>IF(OR($C399="",$D399="",$G399="",$F399=""),0,$G399*IF($F399="Aylık",MAX(0,(YEAR(MIN(IF($E399="",TODAY(),$E399),TODAY()))-YEAR($D399))*12+MONTH(MIN(IF($E399="",TODAY(),$E399),TODAY()))-MONTH($D399)+IF(MIN(IF($E399="",TODAY(),$E399),TODAY())&gt;=EOMONTH(MIN(IF($E399="",TODAY(),$E399),TODAY()),0),1,0)),MAX(0,INT((MIN(IF($E399="",TODAY(),$E399),TODAY())-($D399+MOD(SISTEM!$F$8-WEEKDAY($D399,2),7)))/7)+1)))</f>
        <v/>
      </c>
      <c r="J399" s="227">
        <f>IF(OR($C399="",$D399="",$G399="",$F399=""),0,$G399*IF($F399="Aylık",MAX(0,(YEAR(MIN(IF($E399="",TODAY()-8,$E399),TODAY()-8))-YEAR($D399))*12+MONTH(MIN(IF($E399="",TODAY()-8,$E399),TODAY()-8))-MONTH($D399)+IF(MIN(IF($E399="",TODAY()-8,$E399),TODAY()-8)&gt;=EOMONTH(MIN(IF($E399="",TODAY()-8,$E399),TODAY()-8),0),1,0)),MAX(0,INT((MIN(IF($E399="",TODAY()-8,$E399),TODAY()-8)-($D399+MOD(SISTEM!$F$8-WEEKDAY($D399,2),7)))/7)+1)))</f>
        <v/>
      </c>
      <c r="K399" s="227">
        <f>IF(OR($C399="",$D399="",$G399="",$F399=""),0,$G399*IF($F399="Aylık",MAX(0,(YEAR(MIN(IF($E399="",TODAY()-15,$E399),TODAY()-15))-YEAR($D399))*12+MONTH(MIN(IF($E399="",TODAY()-15,$E399),TODAY()-15))-MONTH($D399)+IF(MIN(IF($E399="",TODAY()-15,$E399),TODAY()-15)&gt;=EOMONTH(MIN(IF($E399="",TODAY()-15,$E399),TODAY()-15),0),1,0)),MAX(0,INT((MIN(IF($E399="",TODAY()-15,$E399),TODAY()-15)-($D399+MOD(SISTEM!$F$8-WEEKDAY($D399,2),7)))/7)+1)))</f>
        <v/>
      </c>
      <c r="L399" s="227">
        <f>IF(OR($C399="",$D399="",$G399="",$F399=""),0,$G399*IF($F399="Aylık",MAX(0,(YEAR(MIN(IF($E399="",TODAY()-29,$E399),TODAY()-29))-YEAR($D399))*12+MONTH(MIN(IF($E399="",TODAY()-29,$E399),TODAY()-29))-MONTH($D399)+IF(MIN(IF($E399="",TODAY()-29,$E399),TODAY()-29)&gt;=EOMONTH(MIN(IF($E399="",TODAY()-29,$E399),TODAY()-29),0),1,0)),MAX(0,INT((MIN(IF($E399="",TODAY()-29,$E399),TODAY()-29)-($D399+MOD(SISTEM!$F$8-WEEKDAY($D399,2),7)))/7)+1)))</f>
        <v/>
      </c>
      <c r="M399" s="228">
        <f>IF($G399&gt;0,$I399/$G399,0)</f>
        <v/>
      </c>
      <c r="N399" s="113">
        <f>IF($C399="","",IF($B399="TANIMSIZ MÜŞTERİ","TANIMSIZ MÜŞTERİ",IF($F399="","MODEL SEÇİN",IF(OR($D399="",$G399&lt;=0),"EKSİK",IF(AND($E399&lt;&gt;"",$E399&lt;$D399),"TARİH HATASI",IF($H399="Pasif","KAPALI DÖNEM","UYGUN"))))))</f>
        <v/>
      </c>
      <c r="O399" s="229">
        <f>IF(OR($C399="",$D399="",$F399=""),"",IF($F399="Aylık",EOMONTH($D399,0),($D399+MOD(SISTEM!$F$8-WEEKDAY($D399,2),7))))</f>
        <v/>
      </c>
      <c r="P399" s="109" t="n"/>
      <c r="Q399" s="6" t="n"/>
      <c r="R399" s="6" t="n"/>
      <c r="S399" s="3">
        <f>IF($B399="","",$B399&amp;"|"&amp;COUNTIFS($B$7:$B399,$B399))</f>
        <v/>
      </c>
    </row>
    <row r="400">
      <c r="A400" s="6" t="n"/>
      <c r="B400" s="113">
        <f>IF($C400="","",IFERROR(INDEX(MUSTERILER!$B$7:$B$106,MATCH($C400,MUSTERILER!$C$7:$C$106,0)),IFERROR(INDEX(MUSTERILER!$B$7:$B$106,MATCH($C400,MUSTERILER!$B$7:$B$106,0)),IFERROR(INDEX(MUSTERILER!$B$7:$B$106,MATCH($C400&amp;"*",MUSTERILER!$C$7:$C$106,0)),"TANIMSIZ MÜŞTERİ"))))</f>
        <v/>
      </c>
      <c r="C400" s="109" t="n"/>
      <c r="D400" s="225" t="n"/>
      <c r="E400" s="225" t="n"/>
      <c r="F400" s="108" t="n"/>
      <c r="G400" s="226" t="n"/>
      <c r="H400" s="108" t="n"/>
      <c r="I400" s="227">
        <f>IF(OR($C400="",$D400="",$G400="",$F400=""),0,$G400*IF($F400="Aylık",MAX(0,(YEAR(MIN(IF($E400="",TODAY(),$E400),TODAY()))-YEAR($D400))*12+MONTH(MIN(IF($E400="",TODAY(),$E400),TODAY()))-MONTH($D400)+IF(MIN(IF($E400="",TODAY(),$E400),TODAY())&gt;=EOMONTH(MIN(IF($E400="",TODAY(),$E400),TODAY()),0),1,0)),MAX(0,INT((MIN(IF($E400="",TODAY(),$E400),TODAY())-($D400+MOD(SISTEM!$F$8-WEEKDAY($D400,2),7)))/7)+1)))</f>
        <v/>
      </c>
      <c r="J400" s="227">
        <f>IF(OR($C400="",$D400="",$G400="",$F400=""),0,$G400*IF($F400="Aylık",MAX(0,(YEAR(MIN(IF($E400="",TODAY()-8,$E400),TODAY()-8))-YEAR($D400))*12+MONTH(MIN(IF($E400="",TODAY()-8,$E400),TODAY()-8))-MONTH($D400)+IF(MIN(IF($E400="",TODAY()-8,$E400),TODAY()-8)&gt;=EOMONTH(MIN(IF($E400="",TODAY()-8,$E400),TODAY()-8),0),1,0)),MAX(0,INT((MIN(IF($E400="",TODAY()-8,$E400),TODAY()-8)-($D400+MOD(SISTEM!$F$8-WEEKDAY($D400,2),7)))/7)+1)))</f>
        <v/>
      </c>
      <c r="K400" s="227">
        <f>IF(OR($C400="",$D400="",$G400="",$F400=""),0,$G400*IF($F400="Aylık",MAX(0,(YEAR(MIN(IF($E400="",TODAY()-15,$E400),TODAY()-15))-YEAR($D400))*12+MONTH(MIN(IF($E400="",TODAY()-15,$E400),TODAY()-15))-MONTH($D400)+IF(MIN(IF($E400="",TODAY()-15,$E400),TODAY()-15)&gt;=EOMONTH(MIN(IF($E400="",TODAY()-15,$E400),TODAY()-15),0),1,0)),MAX(0,INT((MIN(IF($E400="",TODAY()-15,$E400),TODAY()-15)-($D400+MOD(SISTEM!$F$8-WEEKDAY($D400,2),7)))/7)+1)))</f>
        <v/>
      </c>
      <c r="L400" s="227">
        <f>IF(OR($C400="",$D400="",$G400="",$F400=""),0,$G400*IF($F400="Aylık",MAX(0,(YEAR(MIN(IF($E400="",TODAY()-29,$E400),TODAY()-29))-YEAR($D400))*12+MONTH(MIN(IF($E400="",TODAY()-29,$E400),TODAY()-29))-MONTH($D400)+IF(MIN(IF($E400="",TODAY()-29,$E400),TODAY()-29)&gt;=EOMONTH(MIN(IF($E400="",TODAY()-29,$E400),TODAY()-29),0),1,0)),MAX(0,INT((MIN(IF($E400="",TODAY()-29,$E400),TODAY()-29)-($D400+MOD(SISTEM!$F$8-WEEKDAY($D400,2),7)))/7)+1)))</f>
        <v/>
      </c>
      <c r="M400" s="228">
        <f>IF($G400&gt;0,$I400/$G400,0)</f>
        <v/>
      </c>
      <c r="N400" s="113">
        <f>IF($C400="","",IF($B400="TANIMSIZ MÜŞTERİ","TANIMSIZ MÜŞTERİ",IF($F400="","MODEL SEÇİN",IF(OR($D400="",$G400&lt;=0),"EKSİK",IF(AND($E400&lt;&gt;"",$E400&lt;$D400),"TARİH HATASI",IF($H400="Pasif","KAPALI DÖNEM","UYGUN"))))))</f>
        <v/>
      </c>
      <c r="O400" s="229">
        <f>IF(OR($C400="",$D400="",$F400=""),"",IF($F400="Aylık",EOMONTH($D400,0),($D400+MOD(SISTEM!$F$8-WEEKDAY($D400,2),7))))</f>
        <v/>
      </c>
      <c r="P400" s="109" t="n"/>
      <c r="Q400" s="6" t="n"/>
      <c r="R400" s="6" t="n"/>
      <c r="S400" s="3">
        <f>IF($B400="","",$B400&amp;"|"&amp;COUNTIFS($B$7:$B400,$B400))</f>
        <v/>
      </c>
    </row>
    <row r="401">
      <c r="A401" s="6" t="n"/>
      <c r="B401" s="113">
        <f>IF($C401="","",IFERROR(INDEX(MUSTERILER!$B$7:$B$106,MATCH($C401,MUSTERILER!$C$7:$C$106,0)),IFERROR(INDEX(MUSTERILER!$B$7:$B$106,MATCH($C401,MUSTERILER!$B$7:$B$106,0)),IFERROR(INDEX(MUSTERILER!$B$7:$B$106,MATCH($C401&amp;"*",MUSTERILER!$C$7:$C$106,0)),"TANIMSIZ MÜŞTERİ"))))</f>
        <v/>
      </c>
      <c r="C401" s="109" t="n"/>
      <c r="D401" s="225" t="n"/>
      <c r="E401" s="225" t="n"/>
      <c r="F401" s="108" t="n"/>
      <c r="G401" s="226" t="n"/>
      <c r="H401" s="108" t="n"/>
      <c r="I401" s="227">
        <f>IF(OR($C401="",$D401="",$G401="",$F401=""),0,$G401*IF($F401="Aylık",MAX(0,(YEAR(MIN(IF($E401="",TODAY(),$E401),TODAY()))-YEAR($D401))*12+MONTH(MIN(IF($E401="",TODAY(),$E401),TODAY()))-MONTH($D401)+IF(MIN(IF($E401="",TODAY(),$E401),TODAY())&gt;=EOMONTH(MIN(IF($E401="",TODAY(),$E401),TODAY()),0),1,0)),MAX(0,INT((MIN(IF($E401="",TODAY(),$E401),TODAY())-($D401+MOD(SISTEM!$F$8-WEEKDAY($D401,2),7)))/7)+1)))</f>
        <v/>
      </c>
      <c r="J401" s="227">
        <f>IF(OR($C401="",$D401="",$G401="",$F401=""),0,$G401*IF($F401="Aylık",MAX(0,(YEAR(MIN(IF($E401="",TODAY()-8,$E401),TODAY()-8))-YEAR($D401))*12+MONTH(MIN(IF($E401="",TODAY()-8,$E401),TODAY()-8))-MONTH($D401)+IF(MIN(IF($E401="",TODAY()-8,$E401),TODAY()-8)&gt;=EOMONTH(MIN(IF($E401="",TODAY()-8,$E401),TODAY()-8),0),1,0)),MAX(0,INT((MIN(IF($E401="",TODAY()-8,$E401),TODAY()-8)-($D401+MOD(SISTEM!$F$8-WEEKDAY($D401,2),7)))/7)+1)))</f>
        <v/>
      </c>
      <c r="K401" s="227">
        <f>IF(OR($C401="",$D401="",$G401="",$F401=""),0,$G401*IF($F401="Aylık",MAX(0,(YEAR(MIN(IF($E401="",TODAY()-15,$E401),TODAY()-15))-YEAR($D401))*12+MONTH(MIN(IF($E401="",TODAY()-15,$E401),TODAY()-15))-MONTH($D401)+IF(MIN(IF($E401="",TODAY()-15,$E401),TODAY()-15)&gt;=EOMONTH(MIN(IF($E401="",TODAY()-15,$E401),TODAY()-15),0),1,0)),MAX(0,INT((MIN(IF($E401="",TODAY()-15,$E401),TODAY()-15)-($D401+MOD(SISTEM!$F$8-WEEKDAY($D401,2),7)))/7)+1)))</f>
        <v/>
      </c>
      <c r="L401" s="227">
        <f>IF(OR($C401="",$D401="",$G401="",$F401=""),0,$G401*IF($F401="Aylık",MAX(0,(YEAR(MIN(IF($E401="",TODAY()-29,$E401),TODAY()-29))-YEAR($D401))*12+MONTH(MIN(IF($E401="",TODAY()-29,$E401),TODAY()-29))-MONTH($D401)+IF(MIN(IF($E401="",TODAY()-29,$E401),TODAY()-29)&gt;=EOMONTH(MIN(IF($E401="",TODAY()-29,$E401),TODAY()-29),0),1,0)),MAX(0,INT((MIN(IF($E401="",TODAY()-29,$E401),TODAY()-29)-($D401+MOD(SISTEM!$F$8-WEEKDAY($D401,2),7)))/7)+1)))</f>
        <v/>
      </c>
      <c r="M401" s="228">
        <f>IF($G401&gt;0,$I401/$G401,0)</f>
        <v/>
      </c>
      <c r="N401" s="113">
        <f>IF($C401="","",IF($B401="TANIMSIZ MÜŞTERİ","TANIMSIZ MÜŞTERİ",IF($F401="","MODEL SEÇİN",IF(OR($D401="",$G401&lt;=0),"EKSİK",IF(AND($E401&lt;&gt;"",$E401&lt;$D401),"TARİH HATASI",IF($H401="Pasif","KAPALI DÖNEM","UYGUN"))))))</f>
        <v/>
      </c>
      <c r="O401" s="229">
        <f>IF(OR($C401="",$D401="",$F401=""),"",IF($F401="Aylık",EOMONTH($D401,0),($D401+MOD(SISTEM!$F$8-WEEKDAY($D401,2),7))))</f>
        <v/>
      </c>
      <c r="P401" s="109" t="n"/>
      <c r="Q401" s="6" t="n"/>
      <c r="R401" s="6" t="n"/>
      <c r="S401" s="3">
        <f>IF($B401="","",$B401&amp;"|"&amp;COUNTIFS($B$7:$B401,$B401))</f>
        <v/>
      </c>
    </row>
    <row r="402">
      <c r="A402" s="6" t="n"/>
      <c r="B402" s="113">
        <f>IF($C402="","",IFERROR(INDEX(MUSTERILER!$B$7:$B$106,MATCH($C402,MUSTERILER!$C$7:$C$106,0)),IFERROR(INDEX(MUSTERILER!$B$7:$B$106,MATCH($C402,MUSTERILER!$B$7:$B$106,0)),IFERROR(INDEX(MUSTERILER!$B$7:$B$106,MATCH($C402&amp;"*",MUSTERILER!$C$7:$C$106,0)),"TANIMSIZ MÜŞTERİ"))))</f>
        <v/>
      </c>
      <c r="C402" s="109" t="n"/>
      <c r="D402" s="225" t="n"/>
      <c r="E402" s="225" t="n"/>
      <c r="F402" s="108" t="n"/>
      <c r="G402" s="226" t="n"/>
      <c r="H402" s="108" t="n"/>
      <c r="I402" s="227">
        <f>IF(OR($C402="",$D402="",$G402="",$F402=""),0,$G402*IF($F402="Aylık",MAX(0,(YEAR(MIN(IF($E402="",TODAY(),$E402),TODAY()))-YEAR($D402))*12+MONTH(MIN(IF($E402="",TODAY(),$E402),TODAY()))-MONTH($D402)+IF(MIN(IF($E402="",TODAY(),$E402),TODAY())&gt;=EOMONTH(MIN(IF($E402="",TODAY(),$E402),TODAY()),0),1,0)),MAX(0,INT((MIN(IF($E402="",TODAY(),$E402),TODAY())-($D402+MOD(SISTEM!$F$8-WEEKDAY($D402,2),7)))/7)+1)))</f>
        <v/>
      </c>
      <c r="J402" s="227">
        <f>IF(OR($C402="",$D402="",$G402="",$F402=""),0,$G402*IF($F402="Aylık",MAX(0,(YEAR(MIN(IF($E402="",TODAY()-8,$E402),TODAY()-8))-YEAR($D402))*12+MONTH(MIN(IF($E402="",TODAY()-8,$E402),TODAY()-8))-MONTH($D402)+IF(MIN(IF($E402="",TODAY()-8,$E402),TODAY()-8)&gt;=EOMONTH(MIN(IF($E402="",TODAY()-8,$E402),TODAY()-8),0),1,0)),MAX(0,INT((MIN(IF($E402="",TODAY()-8,$E402),TODAY()-8)-($D402+MOD(SISTEM!$F$8-WEEKDAY($D402,2),7)))/7)+1)))</f>
        <v/>
      </c>
      <c r="K402" s="227">
        <f>IF(OR($C402="",$D402="",$G402="",$F402=""),0,$G402*IF($F402="Aylık",MAX(0,(YEAR(MIN(IF($E402="",TODAY()-15,$E402),TODAY()-15))-YEAR($D402))*12+MONTH(MIN(IF($E402="",TODAY()-15,$E402),TODAY()-15))-MONTH($D402)+IF(MIN(IF($E402="",TODAY()-15,$E402),TODAY()-15)&gt;=EOMONTH(MIN(IF($E402="",TODAY()-15,$E402),TODAY()-15),0),1,0)),MAX(0,INT((MIN(IF($E402="",TODAY()-15,$E402),TODAY()-15)-($D402+MOD(SISTEM!$F$8-WEEKDAY($D402,2),7)))/7)+1)))</f>
        <v/>
      </c>
      <c r="L402" s="227">
        <f>IF(OR($C402="",$D402="",$G402="",$F402=""),0,$G402*IF($F402="Aylık",MAX(0,(YEAR(MIN(IF($E402="",TODAY()-29,$E402),TODAY()-29))-YEAR($D402))*12+MONTH(MIN(IF($E402="",TODAY()-29,$E402),TODAY()-29))-MONTH($D402)+IF(MIN(IF($E402="",TODAY()-29,$E402),TODAY()-29)&gt;=EOMONTH(MIN(IF($E402="",TODAY()-29,$E402),TODAY()-29),0),1,0)),MAX(0,INT((MIN(IF($E402="",TODAY()-29,$E402),TODAY()-29)-($D402+MOD(SISTEM!$F$8-WEEKDAY($D402,2),7)))/7)+1)))</f>
        <v/>
      </c>
      <c r="M402" s="228">
        <f>IF($G402&gt;0,$I402/$G402,0)</f>
        <v/>
      </c>
      <c r="N402" s="113">
        <f>IF($C402="","",IF($B402="TANIMSIZ MÜŞTERİ","TANIMSIZ MÜŞTERİ",IF($F402="","MODEL SEÇİN",IF(OR($D402="",$G402&lt;=0),"EKSİK",IF(AND($E402&lt;&gt;"",$E402&lt;$D402),"TARİH HATASI",IF($H402="Pasif","KAPALI DÖNEM","UYGUN"))))))</f>
        <v/>
      </c>
      <c r="O402" s="229">
        <f>IF(OR($C402="",$D402="",$F402=""),"",IF($F402="Aylık",EOMONTH($D402,0),($D402+MOD(SISTEM!$F$8-WEEKDAY($D402,2),7))))</f>
        <v/>
      </c>
      <c r="P402" s="109" t="n"/>
      <c r="Q402" s="6" t="n"/>
      <c r="R402" s="6" t="n"/>
      <c r="S402" s="3">
        <f>IF($B402="","",$B402&amp;"|"&amp;COUNTIFS($B$7:$B402,$B402))</f>
        <v/>
      </c>
    </row>
    <row r="403">
      <c r="A403" s="6" t="n"/>
      <c r="B403" s="113">
        <f>IF($C403="","",IFERROR(INDEX(MUSTERILER!$B$7:$B$106,MATCH($C403,MUSTERILER!$C$7:$C$106,0)),IFERROR(INDEX(MUSTERILER!$B$7:$B$106,MATCH($C403,MUSTERILER!$B$7:$B$106,0)),IFERROR(INDEX(MUSTERILER!$B$7:$B$106,MATCH($C403&amp;"*",MUSTERILER!$C$7:$C$106,0)),"TANIMSIZ MÜŞTERİ"))))</f>
        <v/>
      </c>
      <c r="C403" s="109" t="n"/>
      <c r="D403" s="225" t="n"/>
      <c r="E403" s="225" t="n"/>
      <c r="F403" s="108" t="n"/>
      <c r="G403" s="226" t="n"/>
      <c r="H403" s="108" t="n"/>
      <c r="I403" s="227">
        <f>IF(OR($C403="",$D403="",$G403="",$F403=""),0,$G403*IF($F403="Aylık",MAX(0,(YEAR(MIN(IF($E403="",TODAY(),$E403),TODAY()))-YEAR($D403))*12+MONTH(MIN(IF($E403="",TODAY(),$E403),TODAY()))-MONTH($D403)+IF(MIN(IF($E403="",TODAY(),$E403),TODAY())&gt;=EOMONTH(MIN(IF($E403="",TODAY(),$E403),TODAY()),0),1,0)),MAX(0,INT((MIN(IF($E403="",TODAY(),$E403),TODAY())-($D403+MOD(SISTEM!$F$8-WEEKDAY($D403,2),7)))/7)+1)))</f>
        <v/>
      </c>
      <c r="J403" s="227">
        <f>IF(OR($C403="",$D403="",$G403="",$F403=""),0,$G403*IF($F403="Aylık",MAX(0,(YEAR(MIN(IF($E403="",TODAY()-8,$E403),TODAY()-8))-YEAR($D403))*12+MONTH(MIN(IF($E403="",TODAY()-8,$E403),TODAY()-8))-MONTH($D403)+IF(MIN(IF($E403="",TODAY()-8,$E403),TODAY()-8)&gt;=EOMONTH(MIN(IF($E403="",TODAY()-8,$E403),TODAY()-8),0),1,0)),MAX(0,INT((MIN(IF($E403="",TODAY()-8,$E403),TODAY()-8)-($D403+MOD(SISTEM!$F$8-WEEKDAY($D403,2),7)))/7)+1)))</f>
        <v/>
      </c>
      <c r="K403" s="227">
        <f>IF(OR($C403="",$D403="",$G403="",$F403=""),0,$G403*IF($F403="Aylık",MAX(0,(YEAR(MIN(IF($E403="",TODAY()-15,$E403),TODAY()-15))-YEAR($D403))*12+MONTH(MIN(IF($E403="",TODAY()-15,$E403),TODAY()-15))-MONTH($D403)+IF(MIN(IF($E403="",TODAY()-15,$E403),TODAY()-15)&gt;=EOMONTH(MIN(IF($E403="",TODAY()-15,$E403),TODAY()-15),0),1,0)),MAX(0,INT((MIN(IF($E403="",TODAY()-15,$E403),TODAY()-15)-($D403+MOD(SISTEM!$F$8-WEEKDAY($D403,2),7)))/7)+1)))</f>
        <v/>
      </c>
      <c r="L403" s="227">
        <f>IF(OR($C403="",$D403="",$G403="",$F403=""),0,$G403*IF($F403="Aylık",MAX(0,(YEAR(MIN(IF($E403="",TODAY()-29,$E403),TODAY()-29))-YEAR($D403))*12+MONTH(MIN(IF($E403="",TODAY()-29,$E403),TODAY()-29))-MONTH($D403)+IF(MIN(IF($E403="",TODAY()-29,$E403),TODAY()-29)&gt;=EOMONTH(MIN(IF($E403="",TODAY()-29,$E403),TODAY()-29),0),1,0)),MAX(0,INT((MIN(IF($E403="",TODAY()-29,$E403),TODAY()-29)-($D403+MOD(SISTEM!$F$8-WEEKDAY($D403,2),7)))/7)+1)))</f>
        <v/>
      </c>
      <c r="M403" s="228">
        <f>IF($G403&gt;0,$I403/$G403,0)</f>
        <v/>
      </c>
      <c r="N403" s="113">
        <f>IF($C403="","",IF($B403="TANIMSIZ MÜŞTERİ","TANIMSIZ MÜŞTERİ",IF($F403="","MODEL SEÇİN",IF(OR($D403="",$G403&lt;=0),"EKSİK",IF(AND($E403&lt;&gt;"",$E403&lt;$D403),"TARİH HATASI",IF($H403="Pasif","KAPALI DÖNEM","UYGUN"))))))</f>
        <v/>
      </c>
      <c r="O403" s="229">
        <f>IF(OR($C403="",$D403="",$F403=""),"",IF($F403="Aylık",EOMONTH($D403,0),($D403+MOD(SISTEM!$F$8-WEEKDAY($D403,2),7))))</f>
        <v/>
      </c>
      <c r="P403" s="109" t="n"/>
      <c r="Q403" s="6" t="n"/>
      <c r="R403" s="6" t="n"/>
      <c r="S403" s="3">
        <f>IF($B403="","",$B403&amp;"|"&amp;COUNTIFS($B$7:$B403,$B403))</f>
        <v/>
      </c>
    </row>
    <row r="404">
      <c r="A404" s="6" t="n"/>
      <c r="B404" s="113">
        <f>IF($C404="","",IFERROR(INDEX(MUSTERILER!$B$7:$B$106,MATCH($C404,MUSTERILER!$C$7:$C$106,0)),IFERROR(INDEX(MUSTERILER!$B$7:$B$106,MATCH($C404,MUSTERILER!$B$7:$B$106,0)),IFERROR(INDEX(MUSTERILER!$B$7:$B$106,MATCH($C404&amp;"*",MUSTERILER!$C$7:$C$106,0)),"TANIMSIZ MÜŞTERİ"))))</f>
        <v/>
      </c>
      <c r="C404" s="109" t="n"/>
      <c r="D404" s="225" t="n"/>
      <c r="E404" s="225" t="n"/>
      <c r="F404" s="108" t="n"/>
      <c r="G404" s="226" t="n"/>
      <c r="H404" s="108" t="n"/>
      <c r="I404" s="227">
        <f>IF(OR($C404="",$D404="",$G404="",$F404=""),0,$G404*IF($F404="Aylık",MAX(0,(YEAR(MIN(IF($E404="",TODAY(),$E404),TODAY()))-YEAR($D404))*12+MONTH(MIN(IF($E404="",TODAY(),$E404),TODAY()))-MONTH($D404)+IF(MIN(IF($E404="",TODAY(),$E404),TODAY())&gt;=EOMONTH(MIN(IF($E404="",TODAY(),$E404),TODAY()),0),1,0)),MAX(0,INT((MIN(IF($E404="",TODAY(),$E404),TODAY())-($D404+MOD(SISTEM!$F$8-WEEKDAY($D404,2),7)))/7)+1)))</f>
        <v/>
      </c>
      <c r="J404" s="227">
        <f>IF(OR($C404="",$D404="",$G404="",$F404=""),0,$G404*IF($F404="Aylık",MAX(0,(YEAR(MIN(IF($E404="",TODAY()-8,$E404),TODAY()-8))-YEAR($D404))*12+MONTH(MIN(IF($E404="",TODAY()-8,$E404),TODAY()-8))-MONTH($D404)+IF(MIN(IF($E404="",TODAY()-8,$E404),TODAY()-8)&gt;=EOMONTH(MIN(IF($E404="",TODAY()-8,$E404),TODAY()-8),0),1,0)),MAX(0,INT((MIN(IF($E404="",TODAY()-8,$E404),TODAY()-8)-($D404+MOD(SISTEM!$F$8-WEEKDAY($D404,2),7)))/7)+1)))</f>
        <v/>
      </c>
      <c r="K404" s="227">
        <f>IF(OR($C404="",$D404="",$G404="",$F404=""),0,$G404*IF($F404="Aylık",MAX(0,(YEAR(MIN(IF($E404="",TODAY()-15,$E404),TODAY()-15))-YEAR($D404))*12+MONTH(MIN(IF($E404="",TODAY()-15,$E404),TODAY()-15))-MONTH($D404)+IF(MIN(IF($E404="",TODAY()-15,$E404),TODAY()-15)&gt;=EOMONTH(MIN(IF($E404="",TODAY()-15,$E404),TODAY()-15),0),1,0)),MAX(0,INT((MIN(IF($E404="",TODAY()-15,$E404),TODAY()-15)-($D404+MOD(SISTEM!$F$8-WEEKDAY($D404,2),7)))/7)+1)))</f>
        <v/>
      </c>
      <c r="L404" s="227">
        <f>IF(OR($C404="",$D404="",$G404="",$F404=""),0,$G404*IF($F404="Aylık",MAX(0,(YEAR(MIN(IF($E404="",TODAY()-29,$E404),TODAY()-29))-YEAR($D404))*12+MONTH(MIN(IF($E404="",TODAY()-29,$E404),TODAY()-29))-MONTH($D404)+IF(MIN(IF($E404="",TODAY()-29,$E404),TODAY()-29)&gt;=EOMONTH(MIN(IF($E404="",TODAY()-29,$E404),TODAY()-29),0),1,0)),MAX(0,INT((MIN(IF($E404="",TODAY()-29,$E404),TODAY()-29)-($D404+MOD(SISTEM!$F$8-WEEKDAY($D404,2),7)))/7)+1)))</f>
        <v/>
      </c>
      <c r="M404" s="228">
        <f>IF($G404&gt;0,$I404/$G404,0)</f>
        <v/>
      </c>
      <c r="N404" s="113">
        <f>IF($C404="","",IF($B404="TANIMSIZ MÜŞTERİ","TANIMSIZ MÜŞTERİ",IF($F404="","MODEL SEÇİN",IF(OR($D404="",$G404&lt;=0),"EKSİK",IF(AND($E404&lt;&gt;"",$E404&lt;$D404),"TARİH HATASI",IF($H404="Pasif","KAPALI DÖNEM","UYGUN"))))))</f>
        <v/>
      </c>
      <c r="O404" s="229">
        <f>IF(OR($C404="",$D404="",$F404=""),"",IF($F404="Aylık",EOMONTH($D404,0),($D404+MOD(SISTEM!$F$8-WEEKDAY($D404,2),7))))</f>
        <v/>
      </c>
      <c r="P404" s="109" t="n"/>
      <c r="Q404" s="6" t="n"/>
      <c r="R404" s="6" t="n"/>
      <c r="S404" s="3">
        <f>IF($B404="","",$B404&amp;"|"&amp;COUNTIFS($B$7:$B404,$B404))</f>
        <v/>
      </c>
    </row>
    <row r="405">
      <c r="A405" s="6" t="n"/>
      <c r="B405" s="113">
        <f>IF($C405="","",IFERROR(INDEX(MUSTERILER!$B$7:$B$106,MATCH($C405,MUSTERILER!$C$7:$C$106,0)),IFERROR(INDEX(MUSTERILER!$B$7:$B$106,MATCH($C405,MUSTERILER!$B$7:$B$106,0)),IFERROR(INDEX(MUSTERILER!$B$7:$B$106,MATCH($C405&amp;"*",MUSTERILER!$C$7:$C$106,0)),"TANIMSIZ MÜŞTERİ"))))</f>
        <v/>
      </c>
      <c r="C405" s="109" t="n"/>
      <c r="D405" s="225" t="n"/>
      <c r="E405" s="225" t="n"/>
      <c r="F405" s="108" t="n"/>
      <c r="G405" s="226" t="n"/>
      <c r="H405" s="108" t="n"/>
      <c r="I405" s="227">
        <f>IF(OR($C405="",$D405="",$G405="",$F405=""),0,$G405*IF($F405="Aylık",MAX(0,(YEAR(MIN(IF($E405="",TODAY(),$E405),TODAY()))-YEAR($D405))*12+MONTH(MIN(IF($E405="",TODAY(),$E405),TODAY()))-MONTH($D405)+IF(MIN(IF($E405="",TODAY(),$E405),TODAY())&gt;=EOMONTH(MIN(IF($E405="",TODAY(),$E405),TODAY()),0),1,0)),MAX(0,INT((MIN(IF($E405="",TODAY(),$E405),TODAY())-($D405+MOD(SISTEM!$F$8-WEEKDAY($D405,2),7)))/7)+1)))</f>
        <v/>
      </c>
      <c r="J405" s="227">
        <f>IF(OR($C405="",$D405="",$G405="",$F405=""),0,$G405*IF($F405="Aylık",MAX(0,(YEAR(MIN(IF($E405="",TODAY()-8,$E405),TODAY()-8))-YEAR($D405))*12+MONTH(MIN(IF($E405="",TODAY()-8,$E405),TODAY()-8))-MONTH($D405)+IF(MIN(IF($E405="",TODAY()-8,$E405),TODAY()-8)&gt;=EOMONTH(MIN(IF($E405="",TODAY()-8,$E405),TODAY()-8),0),1,0)),MAX(0,INT((MIN(IF($E405="",TODAY()-8,$E405),TODAY()-8)-($D405+MOD(SISTEM!$F$8-WEEKDAY($D405,2),7)))/7)+1)))</f>
        <v/>
      </c>
      <c r="K405" s="227">
        <f>IF(OR($C405="",$D405="",$G405="",$F405=""),0,$G405*IF($F405="Aylık",MAX(0,(YEAR(MIN(IF($E405="",TODAY()-15,$E405),TODAY()-15))-YEAR($D405))*12+MONTH(MIN(IF($E405="",TODAY()-15,$E405),TODAY()-15))-MONTH($D405)+IF(MIN(IF($E405="",TODAY()-15,$E405),TODAY()-15)&gt;=EOMONTH(MIN(IF($E405="",TODAY()-15,$E405),TODAY()-15),0),1,0)),MAX(0,INT((MIN(IF($E405="",TODAY()-15,$E405),TODAY()-15)-($D405+MOD(SISTEM!$F$8-WEEKDAY($D405,2),7)))/7)+1)))</f>
        <v/>
      </c>
      <c r="L405" s="227">
        <f>IF(OR($C405="",$D405="",$G405="",$F405=""),0,$G405*IF($F405="Aylık",MAX(0,(YEAR(MIN(IF($E405="",TODAY()-29,$E405),TODAY()-29))-YEAR($D405))*12+MONTH(MIN(IF($E405="",TODAY()-29,$E405),TODAY()-29))-MONTH($D405)+IF(MIN(IF($E405="",TODAY()-29,$E405),TODAY()-29)&gt;=EOMONTH(MIN(IF($E405="",TODAY()-29,$E405),TODAY()-29),0),1,0)),MAX(0,INT((MIN(IF($E405="",TODAY()-29,$E405),TODAY()-29)-($D405+MOD(SISTEM!$F$8-WEEKDAY($D405,2),7)))/7)+1)))</f>
        <v/>
      </c>
      <c r="M405" s="228">
        <f>IF($G405&gt;0,$I405/$G405,0)</f>
        <v/>
      </c>
      <c r="N405" s="113">
        <f>IF($C405="","",IF($B405="TANIMSIZ MÜŞTERİ","TANIMSIZ MÜŞTERİ",IF($F405="","MODEL SEÇİN",IF(OR($D405="",$G405&lt;=0),"EKSİK",IF(AND($E405&lt;&gt;"",$E405&lt;$D405),"TARİH HATASI",IF($H405="Pasif","KAPALI DÖNEM","UYGUN"))))))</f>
        <v/>
      </c>
      <c r="O405" s="229">
        <f>IF(OR($C405="",$D405="",$F405=""),"",IF($F405="Aylık",EOMONTH($D405,0),($D405+MOD(SISTEM!$F$8-WEEKDAY($D405,2),7))))</f>
        <v/>
      </c>
      <c r="P405" s="109" t="n"/>
      <c r="Q405" s="6" t="n"/>
      <c r="R405" s="6" t="n"/>
      <c r="S405" s="3">
        <f>IF($B405="","",$B405&amp;"|"&amp;COUNTIFS($B$7:$B405,$B405))</f>
        <v/>
      </c>
    </row>
    <row r="406">
      <c r="A406" s="6" t="n"/>
      <c r="B406" s="113">
        <f>IF($C406="","",IFERROR(INDEX(MUSTERILER!$B$7:$B$106,MATCH($C406,MUSTERILER!$C$7:$C$106,0)),IFERROR(INDEX(MUSTERILER!$B$7:$B$106,MATCH($C406,MUSTERILER!$B$7:$B$106,0)),IFERROR(INDEX(MUSTERILER!$B$7:$B$106,MATCH($C406&amp;"*",MUSTERILER!$C$7:$C$106,0)),"TANIMSIZ MÜŞTERİ"))))</f>
        <v/>
      </c>
      <c r="C406" s="109" t="n"/>
      <c r="D406" s="225" t="n"/>
      <c r="E406" s="225" t="n"/>
      <c r="F406" s="108" t="n"/>
      <c r="G406" s="226" t="n"/>
      <c r="H406" s="108" t="n"/>
      <c r="I406" s="227">
        <f>IF(OR($C406="",$D406="",$G406="",$F406=""),0,$G406*IF($F406="Aylık",MAX(0,(YEAR(MIN(IF($E406="",TODAY(),$E406),TODAY()))-YEAR($D406))*12+MONTH(MIN(IF($E406="",TODAY(),$E406),TODAY()))-MONTH($D406)+IF(MIN(IF($E406="",TODAY(),$E406),TODAY())&gt;=EOMONTH(MIN(IF($E406="",TODAY(),$E406),TODAY()),0),1,0)),MAX(0,INT((MIN(IF($E406="",TODAY(),$E406),TODAY())-($D406+MOD(SISTEM!$F$8-WEEKDAY($D406,2),7)))/7)+1)))</f>
        <v/>
      </c>
      <c r="J406" s="227">
        <f>IF(OR($C406="",$D406="",$G406="",$F406=""),0,$G406*IF($F406="Aylık",MAX(0,(YEAR(MIN(IF($E406="",TODAY()-8,$E406),TODAY()-8))-YEAR($D406))*12+MONTH(MIN(IF($E406="",TODAY()-8,$E406),TODAY()-8))-MONTH($D406)+IF(MIN(IF($E406="",TODAY()-8,$E406),TODAY()-8)&gt;=EOMONTH(MIN(IF($E406="",TODAY()-8,$E406),TODAY()-8),0),1,0)),MAX(0,INT((MIN(IF($E406="",TODAY()-8,$E406),TODAY()-8)-($D406+MOD(SISTEM!$F$8-WEEKDAY($D406,2),7)))/7)+1)))</f>
        <v/>
      </c>
      <c r="K406" s="227">
        <f>IF(OR($C406="",$D406="",$G406="",$F406=""),0,$G406*IF($F406="Aylık",MAX(0,(YEAR(MIN(IF($E406="",TODAY()-15,$E406),TODAY()-15))-YEAR($D406))*12+MONTH(MIN(IF($E406="",TODAY()-15,$E406),TODAY()-15))-MONTH($D406)+IF(MIN(IF($E406="",TODAY()-15,$E406),TODAY()-15)&gt;=EOMONTH(MIN(IF($E406="",TODAY()-15,$E406),TODAY()-15),0),1,0)),MAX(0,INT((MIN(IF($E406="",TODAY()-15,$E406),TODAY()-15)-($D406+MOD(SISTEM!$F$8-WEEKDAY($D406,2),7)))/7)+1)))</f>
        <v/>
      </c>
      <c r="L406" s="227">
        <f>IF(OR($C406="",$D406="",$G406="",$F406=""),0,$G406*IF($F406="Aylık",MAX(0,(YEAR(MIN(IF($E406="",TODAY()-29,$E406),TODAY()-29))-YEAR($D406))*12+MONTH(MIN(IF($E406="",TODAY()-29,$E406),TODAY()-29))-MONTH($D406)+IF(MIN(IF($E406="",TODAY()-29,$E406),TODAY()-29)&gt;=EOMONTH(MIN(IF($E406="",TODAY()-29,$E406),TODAY()-29),0),1,0)),MAX(0,INT((MIN(IF($E406="",TODAY()-29,$E406),TODAY()-29)-($D406+MOD(SISTEM!$F$8-WEEKDAY($D406,2),7)))/7)+1)))</f>
        <v/>
      </c>
      <c r="M406" s="228">
        <f>IF($G406&gt;0,$I406/$G406,0)</f>
        <v/>
      </c>
      <c r="N406" s="113">
        <f>IF($C406="","",IF($B406="TANIMSIZ MÜŞTERİ","TANIMSIZ MÜŞTERİ",IF($F406="","MODEL SEÇİN",IF(OR($D406="",$G406&lt;=0),"EKSİK",IF(AND($E406&lt;&gt;"",$E406&lt;$D406),"TARİH HATASI",IF($H406="Pasif","KAPALI DÖNEM","UYGUN"))))))</f>
        <v/>
      </c>
      <c r="O406" s="229">
        <f>IF(OR($C406="",$D406="",$F406=""),"",IF($F406="Aylık",EOMONTH($D406,0),($D406+MOD(SISTEM!$F$8-WEEKDAY($D406,2),7))))</f>
        <v/>
      </c>
      <c r="P406" s="109" t="n"/>
      <c r="Q406" s="6" t="n"/>
      <c r="R406" s="6" t="n"/>
      <c r="S406" s="3">
        <f>IF($B406="","",$B406&amp;"|"&amp;COUNTIFS($B$7:$B406,$B406))</f>
        <v/>
      </c>
    </row>
    <row r="407">
      <c r="A407" s="6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6" t="n"/>
      <c r="R407" s="6" t="n"/>
      <c r="S407" s="3" t="n"/>
    </row>
    <row r="408">
      <c r="A408" s="6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6" t="n"/>
      <c r="R408" s="6" t="n"/>
      <c r="S40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P406"/>
  <mergeCells count="2">
    <mergeCell ref="A1:P1"/>
    <mergeCell ref="A2:P2"/>
  </mergeCells>
  <conditionalFormatting sqref="N7:N406">
    <cfRule type="expression" priority="1" dxfId="3" stopIfTrue="1">
      <formula>EXACT($N7,"UYGUN")</formula>
    </cfRule>
    <cfRule type="expression" priority="2" dxfId="4" stopIfTrue="1">
      <formula>EXACT($N7,"EKSİK")</formula>
    </cfRule>
    <cfRule type="expression" priority="3" dxfId="4" stopIfTrue="1">
      <formula>EXACT($N7,"MODEL SEÇİN")</formula>
    </cfRule>
    <cfRule type="expression" priority="4" dxfId="5" stopIfTrue="1">
      <formula>EXACT($N7,"TANIMSIZ MÜŞTERİ")</formula>
    </cfRule>
    <cfRule type="expression" priority="5" dxfId="5" stopIfTrue="1">
      <formula>EXACT($N7,"TARİH HATASI")</formula>
    </cfRule>
    <cfRule type="expression" priority="6" dxfId="6" stopIfTrue="1">
      <formula>EXACT($N7,"KAPALI DÖNEM")</formula>
    </cfRule>
  </conditionalFormatting>
  <dataValidations count="3">
    <dataValidation sqref="C7:C406" showDropDown="0" showInputMessage="1" showErrorMessage="0" allowBlank="1" errorTitle="Müşteri seçimi" error="Listeden seçebilir veya unvanın ilk harflerini (örn. PAK) yazabilirsiniz." promptTitle="Müşteri seçimi" prompt="Listeden seçebilir veya unvanın ilk harflerini (örn. PAK) yazabilirsiniz." type="list">
      <formula1>LST_MUSTERI_ADI</formula1>
    </dataValidation>
    <dataValidation sqref="F7:F406" showDropDown="0" showInputMessage="0" showErrorMessage="1" allowBlank="1" errorTitle="Geçersiz tahakkuk modeli" error="Haftalık veya Aylık seçin." promptTitle="Geçersiz tahakkuk modeli" prompt="Haftalık veya Aylık seçin." type="list">
      <formula1>"Haftalık,Aylık"</formula1>
    </dataValidation>
    <dataValidation sqref="H7:H406" showDropDown="0" showInputMessage="0" showErrorMessage="1" allowBlank="1" errorTitle="Geçersiz dönem durumu" error="Aktif veya Pasif seçin." promptTitle="Geçersiz dönem durumu" prompt="Aktif veya Pasif seçin." type="list">
      <formula1>"Aktif,Pasif"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Q1508"/>
  <sheetViews>
    <sheetView showGridLines="0" tabSelected="0" zoomScale="100" workbookViewId="0">
      <pane xSplit="4" ySplit="6" topLeftCell="E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12" customWidth="1" min="3" max="3"/>
    <col width="32" customWidth="1" min="4" max="4"/>
    <col width="13" customWidth="1" min="5" max="5"/>
    <col width="16" customWidth="1" min="6" max="6"/>
    <col width="18" customWidth="1" min="7" max="7"/>
    <col width="15" customWidth="1" min="8" max="8"/>
    <col width="14" customWidth="1" min="9" max="9"/>
    <col width="30" customWidth="1" min="10" max="10"/>
    <col width="16" customWidth="1" min="11" max="11"/>
    <col width="14" customWidth="1" min="12" max="12"/>
    <col width="15" customWidth="1" min="13" max="13"/>
    <col width="30" customWidth="1" min="14" max="14"/>
    <col width="2.4" customWidth="1" min="15" max="15"/>
    <col width="2.4" customWidth="1" min="16" max="16"/>
    <col hidden="1" width="13" customWidth="1" min="17" max="17"/>
  </cols>
  <sheetData>
    <row r="1" ht="38" customHeight="1">
      <c r="A1" s="258" t="inlineStr">
        <is>
          <t>KILIÇ MUHASEBE   │   MÜŞTERİ TAHSİLATI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45" t="n"/>
      <c r="Q1" s="3" t="n"/>
    </row>
    <row r="2" ht="22" customHeight="1">
      <c r="A2" s="4" t="inlineStr">
        <is>
          <t>Bir ödeme yalnız buraya girilir │ Cari, kasa, aylık kapanış ve nakit kâr otomatik güncellenir</t>
        </is>
      </c>
      <c r="P2" s="46" t="n"/>
      <c r="Q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3" t="n"/>
    </row>
    <row r="4" ht="20" customHeight="1">
      <c r="A4" s="6" t="n"/>
      <c r="B4" s="47">
        <f>HYPERLINK("#PANO!A1","←  PANO")</f>
        <v/>
      </c>
      <c r="C4" s="6" t="n"/>
      <c r="D4" s="99">
        <f>HYPERLINK("#MUSTERI_360!A1","Müşteri 360")</f>
        <v/>
      </c>
      <c r="E4" s="6" t="n"/>
      <c r="F4" s="99">
        <f>HYPERLINK("#HESAPLAR!A1","Hesaplar")</f>
        <v/>
      </c>
      <c r="G4" s="6" t="n"/>
      <c r="H4" s="100" t="inlineStr">
        <is>
          <t>Sarı hücreler veri girişidir. Beyaz hücreler sistem tarafından hesaplanır ve kilitlidir. Aynı ödemeyi başka bir ekrana tekrar girmeyin.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3" t="n"/>
    </row>
    <row r="5" ht="26" customHeight="1">
      <c r="A5" s="6" t="n"/>
      <c r="B5" s="230">
        <f>COUNTIF($D$7:$D$1506,"&lt;&gt;")</f>
        <v/>
      </c>
      <c r="C5" s="102" t="inlineStr">
        <is>
          <t>TOPLAM  │  Kayıtlı tahsilat</t>
        </is>
      </c>
      <c r="D5" s="101" t="n"/>
      <c r="E5" s="101" t="n"/>
      <c r="F5" s="221">
        <f>SUM($F$7:$F$1506)</f>
        <v/>
      </c>
      <c r="G5" s="101" t="n"/>
      <c r="H5" s="101" t="n"/>
      <c r="I5" s="101" t="n"/>
      <c r="J5" s="101" t="n"/>
      <c r="K5" s="101" t="n"/>
      <c r="L5" s="101" t="n"/>
      <c r="M5" s="101" t="n"/>
      <c r="N5" s="101" t="n"/>
      <c r="O5" s="6" t="n"/>
      <c r="P5" s="6" t="n"/>
      <c r="Q5" s="3" t="n"/>
    </row>
    <row r="6" ht="40" customHeight="1">
      <c r="A6" s="6" t="n"/>
      <c r="B6" s="105" t="inlineStr">
        <is>
          <t>Tahsilat No</t>
        </is>
      </c>
      <c r="C6" s="105" t="inlineStr">
        <is>
          <t>Müşteri No</t>
        </is>
      </c>
      <c r="D6" s="106" t="inlineStr">
        <is>
          <t>Müşteri  (listeden seçin)</t>
        </is>
      </c>
      <c r="E6" s="105" t="inlineStr">
        <is>
          <t>Tarih</t>
        </is>
      </c>
      <c r="F6" s="107" t="inlineStr">
        <is>
          <t>Tutar</t>
        </is>
      </c>
      <c r="G6" s="105" t="inlineStr">
        <is>
          <t>Kasa / Banka</t>
        </is>
      </c>
      <c r="H6" s="105" t="inlineStr">
        <is>
          <t>Ödeme Türü</t>
        </is>
      </c>
      <c r="I6" s="106" t="inlineStr">
        <is>
          <t>Belge No</t>
        </is>
      </c>
      <c r="J6" s="106" t="inlineStr">
        <is>
          <t>Açıklama</t>
        </is>
      </c>
      <c r="K6" s="106" t="inlineStr">
        <is>
          <t>İşlemi Giren</t>
        </is>
      </c>
      <c r="L6" s="105" t="inlineStr">
        <is>
          <t>Ay</t>
        </is>
      </c>
      <c r="M6" s="105" t="inlineStr">
        <is>
          <t>Kayıt Kontrolü</t>
        </is>
      </c>
      <c r="N6" s="106" t="inlineStr">
        <is>
          <t>Kayda Alınan Müşteri</t>
        </is>
      </c>
      <c r="O6" s="6" t="n"/>
      <c r="P6" s="6" t="n"/>
      <c r="Q6" s="3" t="n"/>
    </row>
    <row r="7">
      <c r="A7" s="6" t="n"/>
      <c r="B7" s="264">
        <f>IF($D7="","","T"&amp;TEXT(ROW()-6,"00000"))</f>
        <v/>
      </c>
      <c r="C7" s="264">
        <f>IF($D7="","",IFERROR(INDEX(MUSTERILER!$B$7:$B$106,MATCH($D7,MUSTERILER!$C$7:$C$106,0)),IFERROR(INDEX(MUSTERILER!$B$7:$B$106,MATCH($D7,MUSTERILER!$B$7:$B$106,0)),IFERROR(INDEX(MUSTERILER!$B$7:$B$106,MATCH($D7&amp;"*",MUSTERILER!$C$7:$C$106,0)),"TANIMSIZ MÜŞTERİ"))))</f>
        <v/>
      </c>
      <c r="D7" s="260" t="inlineStr">
        <is>
          <t>TEST HAFTALIK A.Ş.</t>
        </is>
      </c>
      <c r="E7" s="265" t="n">
        <v>46083</v>
      </c>
      <c r="F7" s="266" t="n">
        <v>5000</v>
      </c>
      <c r="G7" s="259" t="inlineStr">
        <is>
          <t>MERKEZ KASA</t>
        </is>
      </c>
      <c r="H7" s="259" t="inlineStr">
        <is>
          <t>Nakit</t>
        </is>
      </c>
      <c r="I7" s="260" t="n"/>
      <c r="J7" s="260" t="n"/>
      <c r="K7" s="260" t="inlineStr">
        <is>
          <t>TEST</t>
        </is>
      </c>
      <c r="L7" s="270">
        <f>IF($E7="","",DATE(YEAR($E7),MONTH($E7),1))</f>
        <v/>
      </c>
      <c r="M7" s="264">
        <f>IF($D7="","",IF($C7="TANIMSIZ MÜŞTERİ","HATA",IF(OR($E7="",$F7&lt;=0,$G7=""),"EKSİK",IF($E7&gt;TODAY(),"İLERİ TARİH","UYGUN"))))</f>
        <v/>
      </c>
      <c r="N7" s="271">
        <f>IF($C7="","",IF($C7="TANIMSIZ MÜŞTERİ","—",INDEX(MUSTERILER!$C$7:$C$106,MATCH($C7,MUSTERILER!$B$7:$B$106,0))))</f>
        <v/>
      </c>
      <c r="O7" s="6" t="n"/>
      <c r="P7" s="6" t="n"/>
      <c r="Q7" s="3">
        <f>IF($D7="","",$C7&amp;"|"&amp;COUNTIFS($C$7:$C7,$C7))</f>
        <v/>
      </c>
    </row>
    <row r="8">
      <c r="A8" s="6" t="n"/>
      <c r="B8" s="264">
        <f>IF($D8="","","T"&amp;TEXT(ROW()-6,"00000"))</f>
        <v/>
      </c>
      <c r="C8" s="264">
        <f>IF($D8="","",IFERROR(INDEX(MUSTERILER!$B$7:$B$106,MATCH($D8,MUSTERILER!$C$7:$C$106,0)),IFERROR(INDEX(MUSTERILER!$B$7:$B$106,MATCH($D8,MUSTERILER!$B$7:$B$106,0)),IFERROR(INDEX(MUSTERILER!$B$7:$B$106,MATCH($D8&amp;"*",MUSTERILER!$C$7:$C$106,0)),"TANIMSIZ MÜŞTERİ"))))</f>
        <v/>
      </c>
      <c r="D8" s="260" t="inlineStr">
        <is>
          <t>TST01</t>
        </is>
      </c>
      <c r="E8" s="265" t="n">
        <v>46188</v>
      </c>
      <c r="F8" s="266" t="n">
        <v>12000</v>
      </c>
      <c r="G8" s="259" t="inlineStr">
        <is>
          <t>Banka Ortak 1</t>
        </is>
      </c>
      <c r="H8" s="259" t="inlineStr">
        <is>
          <t>Havale/EFT</t>
        </is>
      </c>
      <c r="I8" s="260" t="n"/>
      <c r="J8" s="260" t="n"/>
      <c r="K8" s="260" t="inlineStr">
        <is>
          <t>TEST</t>
        </is>
      </c>
      <c r="L8" s="270">
        <f>IF($E8="","",DATE(YEAR($E8),MONTH($E8),1))</f>
        <v/>
      </c>
      <c r="M8" s="264">
        <f>IF($D8="","",IF($C8="TANIMSIZ MÜŞTERİ","HATA",IF(OR($E8="",$F8&lt;=0,$G8=""),"EKSİK",IF($E8&gt;TODAY(),"İLERİ TARİH","UYGUN"))))</f>
        <v/>
      </c>
      <c r="N8" s="271">
        <f>IF($C8="","",IF($C8="TANIMSIZ MÜŞTERİ","—",INDEX(MUSTERILER!$C$7:$C$106,MATCH($C8,MUSTERILER!$B$7:$B$106,0))))</f>
        <v/>
      </c>
      <c r="O8" s="6" t="n"/>
      <c r="P8" s="6" t="n"/>
      <c r="Q8" s="3">
        <f>IF($D8="","",$C8&amp;"|"&amp;COUNTIFS($C$7:$C8,$C8))</f>
        <v/>
      </c>
    </row>
    <row r="9">
      <c r="A9" s="6" t="n"/>
      <c r="B9" s="264">
        <f>IF($D9="","","T"&amp;TEXT(ROW()-6,"00000"))</f>
        <v/>
      </c>
      <c r="C9" s="264">
        <f>IF($D9="","",IFERROR(INDEX(MUSTERILER!$B$7:$B$106,MATCH($D9,MUSTERILER!$C$7:$C$106,0)),IFERROR(INDEX(MUSTERILER!$B$7:$B$106,MATCH($D9,MUSTERILER!$B$7:$B$106,0)),IFERROR(INDEX(MUSTERILER!$B$7:$B$106,MATCH($D9&amp;"*",MUSTERILER!$C$7:$C$106,0)),"TANIMSIZ MÜŞTERİ"))))</f>
        <v/>
      </c>
      <c r="D9" s="260" t="inlineStr">
        <is>
          <t>TEST AY</t>
        </is>
      </c>
      <c r="E9" s="265" t="n">
        <v>46235</v>
      </c>
      <c r="F9" s="266" t="n">
        <v>7500</v>
      </c>
      <c r="G9" s="259" t="inlineStr">
        <is>
          <t>MERKEZ KASA</t>
        </is>
      </c>
      <c r="H9" s="259" t="inlineStr">
        <is>
          <t>Nakit</t>
        </is>
      </c>
      <c r="I9" s="260" t="n"/>
      <c r="J9" s="260" t="n"/>
      <c r="K9" s="260" t="inlineStr">
        <is>
          <t>TEST</t>
        </is>
      </c>
      <c r="L9" s="270">
        <f>IF($E9="","",DATE(YEAR($E9),MONTH($E9),1))</f>
        <v/>
      </c>
      <c r="M9" s="264">
        <f>IF($D9="","",IF($C9="TANIMSIZ MÜŞTERİ","HATA",IF(OR($E9="",$F9&lt;=0,$G9=""),"EKSİK",IF($E9&gt;TODAY(),"İLERİ TARİH","UYGUN"))))</f>
        <v/>
      </c>
      <c r="N9" s="271">
        <f>IF($C9="","",IF($C9="TANIMSIZ MÜŞTERİ","—",INDEX(MUSTERILER!$C$7:$C$106,MATCH($C9,MUSTERILER!$B$7:$B$106,0))))</f>
        <v/>
      </c>
      <c r="O9" s="6" t="n"/>
      <c r="P9" s="6" t="n"/>
      <c r="Q9" s="3">
        <f>IF($D9="","",$C9&amp;"|"&amp;COUNTIFS($C$7:$C9,$C9))</f>
        <v/>
      </c>
    </row>
    <row r="10">
      <c r="A10" s="6" t="n"/>
      <c r="B10" s="113">
        <f>IF($D10="","","T"&amp;TEXT(ROW()-6,"00000"))</f>
        <v/>
      </c>
      <c r="C10" s="113">
        <f>IF($D10="","",IFERROR(INDEX(MUSTERILER!$B$7:$B$106,MATCH($D10,MUSTERILER!$C$7:$C$106,0)),IFERROR(INDEX(MUSTERILER!$B$7:$B$106,MATCH($D10,MUSTERILER!$B$7:$B$106,0)),IFERROR(INDEX(MUSTERILER!$B$7:$B$106,MATCH($D10&amp;"*",MUSTERILER!$C$7:$C$106,0)),"TANIMSIZ MÜŞTERİ"))))</f>
        <v/>
      </c>
      <c r="D10" s="109" t="n"/>
      <c r="E10" s="225" t="n"/>
      <c r="F10" s="226" t="n"/>
      <c r="G10" s="108" t="n"/>
      <c r="H10" s="108" t="n"/>
      <c r="I10" s="109" t="n"/>
      <c r="J10" s="109" t="n"/>
      <c r="K10" s="109" t="n"/>
      <c r="L10" s="231">
        <f>IF($E10="","",DATE(YEAR($E10),MONTH($E10),1))</f>
        <v/>
      </c>
      <c r="M10" s="113">
        <f>IF($D10="","",IF($C10="TANIMSIZ MÜŞTERİ","HATA",IF(OR($E10="",$F10&lt;=0,$G10=""),"EKSİK",IF($E10&gt;TODAY(),"İLERİ TARİH","UYGUN"))))</f>
        <v/>
      </c>
      <c r="N10" s="121">
        <f>IF($C10="","",IF($C10="TANIMSIZ MÜŞTERİ","—",INDEX(MUSTERILER!$C$7:$C$106,MATCH($C10,MUSTERILER!$B$7:$B$106,0))))</f>
        <v/>
      </c>
      <c r="O10" s="6" t="n"/>
      <c r="P10" s="6" t="n"/>
      <c r="Q10" s="3">
        <f>IF($D10="","",$C10&amp;"|"&amp;COUNTIFS($C$7:$C10,$C10))</f>
        <v/>
      </c>
    </row>
    <row r="11">
      <c r="A11" s="6" t="n"/>
      <c r="B11" s="113">
        <f>IF($D11="","","T"&amp;TEXT(ROW()-6,"00000"))</f>
        <v/>
      </c>
      <c r="C11" s="113">
        <f>IF($D11="","",IFERROR(INDEX(MUSTERILER!$B$7:$B$106,MATCH($D11,MUSTERILER!$C$7:$C$106,0)),IFERROR(INDEX(MUSTERILER!$B$7:$B$106,MATCH($D11,MUSTERILER!$B$7:$B$106,0)),IFERROR(INDEX(MUSTERILER!$B$7:$B$106,MATCH($D11&amp;"*",MUSTERILER!$C$7:$C$106,0)),"TANIMSIZ MÜŞTERİ"))))</f>
        <v/>
      </c>
      <c r="D11" s="109" t="n"/>
      <c r="E11" s="225" t="n"/>
      <c r="F11" s="226" t="n"/>
      <c r="G11" s="108" t="n"/>
      <c r="H11" s="108" t="n"/>
      <c r="I11" s="109" t="n"/>
      <c r="J11" s="109" t="n"/>
      <c r="K11" s="109" t="n"/>
      <c r="L11" s="231">
        <f>IF($E11="","",DATE(YEAR($E11),MONTH($E11),1))</f>
        <v/>
      </c>
      <c r="M11" s="113">
        <f>IF($D11="","",IF($C11="TANIMSIZ MÜŞTERİ","HATA",IF(OR($E11="",$F11&lt;=0,$G11=""),"EKSİK",IF($E11&gt;TODAY(),"İLERİ TARİH","UYGUN"))))</f>
        <v/>
      </c>
      <c r="N11" s="121">
        <f>IF($C11="","",IF($C11="TANIMSIZ MÜŞTERİ","—",INDEX(MUSTERILER!$C$7:$C$106,MATCH($C11,MUSTERILER!$B$7:$B$106,0))))</f>
        <v/>
      </c>
      <c r="O11" s="6" t="n"/>
      <c r="P11" s="6" t="n"/>
      <c r="Q11" s="3">
        <f>IF($D11="","",$C11&amp;"|"&amp;COUNTIFS($C$7:$C11,$C11))</f>
        <v/>
      </c>
    </row>
    <row r="12">
      <c r="A12" s="6" t="n"/>
      <c r="B12" s="113">
        <f>IF($D12="","","T"&amp;TEXT(ROW()-6,"00000"))</f>
        <v/>
      </c>
      <c r="C12" s="113">
        <f>IF($D12="","",IFERROR(INDEX(MUSTERILER!$B$7:$B$106,MATCH($D12,MUSTERILER!$C$7:$C$106,0)),IFERROR(INDEX(MUSTERILER!$B$7:$B$106,MATCH($D12,MUSTERILER!$B$7:$B$106,0)),IFERROR(INDEX(MUSTERILER!$B$7:$B$106,MATCH($D12&amp;"*",MUSTERILER!$C$7:$C$106,0)),"TANIMSIZ MÜŞTERİ"))))</f>
        <v/>
      </c>
      <c r="D12" s="109" t="n"/>
      <c r="E12" s="225" t="n"/>
      <c r="F12" s="226" t="n"/>
      <c r="G12" s="108" t="n"/>
      <c r="H12" s="108" t="n"/>
      <c r="I12" s="109" t="n"/>
      <c r="J12" s="109" t="n"/>
      <c r="K12" s="109" t="n"/>
      <c r="L12" s="231">
        <f>IF($E12="","",DATE(YEAR($E12),MONTH($E12),1))</f>
        <v/>
      </c>
      <c r="M12" s="113">
        <f>IF($D12="","",IF($C12="TANIMSIZ MÜŞTERİ","HATA",IF(OR($E12="",$F12&lt;=0,$G12=""),"EKSİK",IF($E12&gt;TODAY(),"İLERİ TARİH","UYGUN"))))</f>
        <v/>
      </c>
      <c r="N12" s="121">
        <f>IF($C12="","",IF($C12="TANIMSIZ MÜŞTERİ","—",INDEX(MUSTERILER!$C$7:$C$106,MATCH($C12,MUSTERILER!$B$7:$B$106,0))))</f>
        <v/>
      </c>
      <c r="O12" s="6" t="n"/>
      <c r="P12" s="6" t="n"/>
      <c r="Q12" s="3">
        <f>IF($D12="","",$C12&amp;"|"&amp;COUNTIFS($C$7:$C12,$C12))</f>
        <v/>
      </c>
    </row>
    <row r="13">
      <c r="A13" s="6" t="n"/>
      <c r="B13" s="113">
        <f>IF($D13="","","T"&amp;TEXT(ROW()-6,"00000"))</f>
        <v/>
      </c>
      <c r="C13" s="113">
        <f>IF($D13="","",IFERROR(INDEX(MUSTERILER!$B$7:$B$106,MATCH($D13,MUSTERILER!$C$7:$C$106,0)),IFERROR(INDEX(MUSTERILER!$B$7:$B$106,MATCH($D13,MUSTERILER!$B$7:$B$106,0)),IFERROR(INDEX(MUSTERILER!$B$7:$B$106,MATCH($D13&amp;"*",MUSTERILER!$C$7:$C$106,0)),"TANIMSIZ MÜŞTERİ"))))</f>
        <v/>
      </c>
      <c r="D13" s="109" t="n"/>
      <c r="E13" s="225" t="n"/>
      <c r="F13" s="226" t="n"/>
      <c r="G13" s="108" t="n"/>
      <c r="H13" s="108" t="n"/>
      <c r="I13" s="109" t="n"/>
      <c r="J13" s="109" t="n"/>
      <c r="K13" s="109" t="n"/>
      <c r="L13" s="231">
        <f>IF($E13="","",DATE(YEAR($E13),MONTH($E13),1))</f>
        <v/>
      </c>
      <c r="M13" s="113">
        <f>IF($D13="","",IF($C13="TANIMSIZ MÜŞTERİ","HATA",IF(OR($E13="",$F13&lt;=0,$G13=""),"EKSİK",IF($E13&gt;TODAY(),"İLERİ TARİH","UYGUN"))))</f>
        <v/>
      </c>
      <c r="N13" s="121">
        <f>IF($C13="","",IF($C13="TANIMSIZ MÜŞTERİ","—",INDEX(MUSTERILER!$C$7:$C$106,MATCH($C13,MUSTERILER!$B$7:$B$106,0))))</f>
        <v/>
      </c>
      <c r="O13" s="6" t="n"/>
      <c r="P13" s="6" t="n"/>
      <c r="Q13" s="3">
        <f>IF($D13="","",$C13&amp;"|"&amp;COUNTIFS($C$7:$C13,$C13))</f>
        <v/>
      </c>
    </row>
    <row r="14">
      <c r="A14" s="6" t="n"/>
      <c r="B14" s="113">
        <f>IF($D14="","","T"&amp;TEXT(ROW()-6,"00000"))</f>
        <v/>
      </c>
      <c r="C14" s="113">
        <f>IF($D14="","",IFERROR(INDEX(MUSTERILER!$B$7:$B$106,MATCH($D14,MUSTERILER!$C$7:$C$106,0)),IFERROR(INDEX(MUSTERILER!$B$7:$B$106,MATCH($D14,MUSTERILER!$B$7:$B$106,0)),IFERROR(INDEX(MUSTERILER!$B$7:$B$106,MATCH($D14&amp;"*",MUSTERILER!$C$7:$C$106,0)),"TANIMSIZ MÜŞTERİ"))))</f>
        <v/>
      </c>
      <c r="D14" s="109" t="n"/>
      <c r="E14" s="225" t="n"/>
      <c r="F14" s="226" t="n"/>
      <c r="G14" s="108" t="n"/>
      <c r="H14" s="108" t="n"/>
      <c r="I14" s="109" t="n"/>
      <c r="J14" s="109" t="n"/>
      <c r="K14" s="109" t="n"/>
      <c r="L14" s="231">
        <f>IF($E14="","",DATE(YEAR($E14),MONTH($E14),1))</f>
        <v/>
      </c>
      <c r="M14" s="113">
        <f>IF($D14="","",IF($C14="TANIMSIZ MÜŞTERİ","HATA",IF(OR($E14="",$F14&lt;=0,$G14=""),"EKSİK",IF($E14&gt;TODAY(),"İLERİ TARİH","UYGUN"))))</f>
        <v/>
      </c>
      <c r="N14" s="121">
        <f>IF($C14="","",IF($C14="TANIMSIZ MÜŞTERİ","—",INDEX(MUSTERILER!$C$7:$C$106,MATCH($C14,MUSTERILER!$B$7:$B$106,0))))</f>
        <v/>
      </c>
      <c r="O14" s="6" t="n"/>
      <c r="P14" s="6" t="n"/>
      <c r="Q14" s="3">
        <f>IF($D14="","",$C14&amp;"|"&amp;COUNTIFS($C$7:$C14,$C14))</f>
        <v/>
      </c>
    </row>
    <row r="15">
      <c r="A15" s="6" t="n"/>
      <c r="B15" s="113">
        <f>IF($D15="","","T"&amp;TEXT(ROW()-6,"00000"))</f>
        <v/>
      </c>
      <c r="C15" s="113">
        <f>IF($D15="","",IFERROR(INDEX(MUSTERILER!$B$7:$B$106,MATCH($D15,MUSTERILER!$C$7:$C$106,0)),IFERROR(INDEX(MUSTERILER!$B$7:$B$106,MATCH($D15,MUSTERILER!$B$7:$B$106,0)),IFERROR(INDEX(MUSTERILER!$B$7:$B$106,MATCH($D15&amp;"*",MUSTERILER!$C$7:$C$106,0)),"TANIMSIZ MÜŞTERİ"))))</f>
        <v/>
      </c>
      <c r="D15" s="109" t="n"/>
      <c r="E15" s="225" t="n"/>
      <c r="F15" s="226" t="n"/>
      <c r="G15" s="108" t="n"/>
      <c r="H15" s="108" t="n"/>
      <c r="I15" s="109" t="n"/>
      <c r="J15" s="109" t="n"/>
      <c r="K15" s="109" t="n"/>
      <c r="L15" s="231">
        <f>IF($E15="","",DATE(YEAR($E15),MONTH($E15),1))</f>
        <v/>
      </c>
      <c r="M15" s="113">
        <f>IF($D15="","",IF($C15="TANIMSIZ MÜŞTERİ","HATA",IF(OR($E15="",$F15&lt;=0,$G15=""),"EKSİK",IF($E15&gt;TODAY(),"İLERİ TARİH","UYGUN"))))</f>
        <v/>
      </c>
      <c r="N15" s="121">
        <f>IF($C15="","",IF($C15="TANIMSIZ MÜŞTERİ","—",INDEX(MUSTERILER!$C$7:$C$106,MATCH($C15,MUSTERILER!$B$7:$B$106,0))))</f>
        <v/>
      </c>
      <c r="O15" s="6" t="n"/>
      <c r="P15" s="6" t="n"/>
      <c r="Q15" s="3">
        <f>IF($D15="","",$C15&amp;"|"&amp;COUNTIFS($C$7:$C15,$C15))</f>
        <v/>
      </c>
    </row>
    <row r="16">
      <c r="A16" s="6" t="n"/>
      <c r="B16" s="113">
        <f>IF($D16="","","T"&amp;TEXT(ROW()-6,"00000"))</f>
        <v/>
      </c>
      <c r="C16" s="113">
        <f>IF($D16="","",IFERROR(INDEX(MUSTERILER!$B$7:$B$106,MATCH($D16,MUSTERILER!$C$7:$C$106,0)),IFERROR(INDEX(MUSTERILER!$B$7:$B$106,MATCH($D16,MUSTERILER!$B$7:$B$106,0)),IFERROR(INDEX(MUSTERILER!$B$7:$B$106,MATCH($D16&amp;"*",MUSTERILER!$C$7:$C$106,0)),"TANIMSIZ MÜŞTERİ"))))</f>
        <v/>
      </c>
      <c r="D16" s="109" t="n"/>
      <c r="E16" s="225" t="n"/>
      <c r="F16" s="226" t="n"/>
      <c r="G16" s="108" t="n"/>
      <c r="H16" s="108" t="n"/>
      <c r="I16" s="109" t="n"/>
      <c r="J16" s="109" t="n"/>
      <c r="K16" s="109" t="n"/>
      <c r="L16" s="231">
        <f>IF($E16="","",DATE(YEAR($E16),MONTH($E16),1))</f>
        <v/>
      </c>
      <c r="M16" s="113">
        <f>IF($D16="","",IF($C16="TANIMSIZ MÜŞTERİ","HATA",IF(OR($E16="",$F16&lt;=0,$G16=""),"EKSİK",IF($E16&gt;TODAY(),"İLERİ TARİH","UYGUN"))))</f>
        <v/>
      </c>
      <c r="N16" s="121">
        <f>IF($C16="","",IF($C16="TANIMSIZ MÜŞTERİ","—",INDEX(MUSTERILER!$C$7:$C$106,MATCH($C16,MUSTERILER!$B$7:$B$106,0))))</f>
        <v/>
      </c>
      <c r="O16" s="6" t="n"/>
      <c r="P16" s="6" t="n"/>
      <c r="Q16" s="3">
        <f>IF($D16="","",$C16&amp;"|"&amp;COUNTIFS($C$7:$C16,$C16))</f>
        <v/>
      </c>
    </row>
    <row r="17">
      <c r="A17" s="6" t="n"/>
      <c r="B17" s="113">
        <f>IF($D17="","","T"&amp;TEXT(ROW()-6,"00000"))</f>
        <v/>
      </c>
      <c r="C17" s="113">
        <f>IF($D17="","",IFERROR(INDEX(MUSTERILER!$B$7:$B$106,MATCH($D17,MUSTERILER!$C$7:$C$106,0)),IFERROR(INDEX(MUSTERILER!$B$7:$B$106,MATCH($D17,MUSTERILER!$B$7:$B$106,0)),IFERROR(INDEX(MUSTERILER!$B$7:$B$106,MATCH($D17&amp;"*",MUSTERILER!$C$7:$C$106,0)),"TANIMSIZ MÜŞTERİ"))))</f>
        <v/>
      </c>
      <c r="D17" s="109" t="n"/>
      <c r="E17" s="225" t="n"/>
      <c r="F17" s="226" t="n"/>
      <c r="G17" s="108" t="n"/>
      <c r="H17" s="108" t="n"/>
      <c r="I17" s="109" t="n"/>
      <c r="J17" s="109" t="n"/>
      <c r="K17" s="109" t="n"/>
      <c r="L17" s="231">
        <f>IF($E17="","",DATE(YEAR($E17),MONTH($E17),1))</f>
        <v/>
      </c>
      <c r="M17" s="113">
        <f>IF($D17="","",IF($C17="TANIMSIZ MÜŞTERİ","HATA",IF(OR($E17="",$F17&lt;=0,$G17=""),"EKSİK",IF($E17&gt;TODAY(),"İLERİ TARİH","UYGUN"))))</f>
        <v/>
      </c>
      <c r="N17" s="121">
        <f>IF($C17="","",IF($C17="TANIMSIZ MÜŞTERİ","—",INDEX(MUSTERILER!$C$7:$C$106,MATCH($C17,MUSTERILER!$B$7:$B$106,0))))</f>
        <v/>
      </c>
      <c r="O17" s="6" t="n"/>
      <c r="P17" s="6" t="n"/>
      <c r="Q17" s="3">
        <f>IF($D17="","",$C17&amp;"|"&amp;COUNTIFS($C$7:$C17,$C17))</f>
        <v/>
      </c>
    </row>
    <row r="18">
      <c r="A18" s="6" t="n"/>
      <c r="B18" s="113">
        <f>IF($D18="","","T"&amp;TEXT(ROW()-6,"00000"))</f>
        <v/>
      </c>
      <c r="C18" s="113">
        <f>IF($D18="","",IFERROR(INDEX(MUSTERILER!$B$7:$B$106,MATCH($D18,MUSTERILER!$C$7:$C$106,0)),IFERROR(INDEX(MUSTERILER!$B$7:$B$106,MATCH($D18,MUSTERILER!$B$7:$B$106,0)),IFERROR(INDEX(MUSTERILER!$B$7:$B$106,MATCH($D18&amp;"*",MUSTERILER!$C$7:$C$106,0)),"TANIMSIZ MÜŞTERİ"))))</f>
        <v/>
      </c>
      <c r="D18" s="109" t="n"/>
      <c r="E18" s="225" t="n"/>
      <c r="F18" s="226" t="n"/>
      <c r="G18" s="108" t="n"/>
      <c r="H18" s="108" t="n"/>
      <c r="I18" s="109" t="n"/>
      <c r="J18" s="109" t="n"/>
      <c r="K18" s="109" t="n"/>
      <c r="L18" s="231">
        <f>IF($E18="","",DATE(YEAR($E18),MONTH($E18),1))</f>
        <v/>
      </c>
      <c r="M18" s="113">
        <f>IF($D18="","",IF($C18="TANIMSIZ MÜŞTERİ","HATA",IF(OR($E18="",$F18&lt;=0,$G18=""),"EKSİK",IF($E18&gt;TODAY(),"İLERİ TARİH","UYGUN"))))</f>
        <v/>
      </c>
      <c r="N18" s="121">
        <f>IF($C18="","",IF($C18="TANIMSIZ MÜŞTERİ","—",INDEX(MUSTERILER!$C$7:$C$106,MATCH($C18,MUSTERILER!$B$7:$B$106,0))))</f>
        <v/>
      </c>
      <c r="O18" s="6" t="n"/>
      <c r="P18" s="6" t="n"/>
      <c r="Q18" s="3">
        <f>IF($D18="","",$C18&amp;"|"&amp;COUNTIFS($C$7:$C18,$C18))</f>
        <v/>
      </c>
    </row>
    <row r="19">
      <c r="A19" s="6" t="n"/>
      <c r="B19" s="113">
        <f>IF($D19="","","T"&amp;TEXT(ROW()-6,"00000"))</f>
        <v/>
      </c>
      <c r="C19" s="113">
        <f>IF($D19="","",IFERROR(INDEX(MUSTERILER!$B$7:$B$106,MATCH($D19,MUSTERILER!$C$7:$C$106,0)),IFERROR(INDEX(MUSTERILER!$B$7:$B$106,MATCH($D19,MUSTERILER!$B$7:$B$106,0)),IFERROR(INDEX(MUSTERILER!$B$7:$B$106,MATCH($D19&amp;"*",MUSTERILER!$C$7:$C$106,0)),"TANIMSIZ MÜŞTERİ"))))</f>
        <v/>
      </c>
      <c r="D19" s="109" t="n"/>
      <c r="E19" s="225" t="n"/>
      <c r="F19" s="226" t="n"/>
      <c r="G19" s="108" t="n"/>
      <c r="H19" s="108" t="n"/>
      <c r="I19" s="109" t="n"/>
      <c r="J19" s="109" t="n"/>
      <c r="K19" s="109" t="n"/>
      <c r="L19" s="231">
        <f>IF($E19="","",DATE(YEAR($E19),MONTH($E19),1))</f>
        <v/>
      </c>
      <c r="M19" s="113">
        <f>IF($D19="","",IF($C19="TANIMSIZ MÜŞTERİ","HATA",IF(OR($E19="",$F19&lt;=0,$G19=""),"EKSİK",IF($E19&gt;TODAY(),"İLERİ TARİH","UYGUN"))))</f>
        <v/>
      </c>
      <c r="N19" s="121">
        <f>IF($C19="","",IF($C19="TANIMSIZ MÜŞTERİ","—",INDEX(MUSTERILER!$C$7:$C$106,MATCH($C19,MUSTERILER!$B$7:$B$106,0))))</f>
        <v/>
      </c>
      <c r="O19" s="6" t="n"/>
      <c r="P19" s="6" t="n"/>
      <c r="Q19" s="3">
        <f>IF($D19="","",$C19&amp;"|"&amp;COUNTIFS($C$7:$C19,$C19))</f>
        <v/>
      </c>
    </row>
    <row r="20">
      <c r="A20" s="6" t="n"/>
      <c r="B20" s="113">
        <f>IF($D20="","","T"&amp;TEXT(ROW()-6,"00000"))</f>
        <v/>
      </c>
      <c r="C20" s="113">
        <f>IF($D20="","",IFERROR(INDEX(MUSTERILER!$B$7:$B$106,MATCH($D20,MUSTERILER!$C$7:$C$106,0)),IFERROR(INDEX(MUSTERILER!$B$7:$B$106,MATCH($D20,MUSTERILER!$B$7:$B$106,0)),IFERROR(INDEX(MUSTERILER!$B$7:$B$106,MATCH($D20&amp;"*",MUSTERILER!$C$7:$C$106,0)),"TANIMSIZ MÜŞTERİ"))))</f>
        <v/>
      </c>
      <c r="D20" s="109" t="n"/>
      <c r="E20" s="225" t="n"/>
      <c r="F20" s="226" t="n"/>
      <c r="G20" s="108" t="n"/>
      <c r="H20" s="108" t="n"/>
      <c r="I20" s="109" t="n"/>
      <c r="J20" s="109" t="n"/>
      <c r="K20" s="109" t="n"/>
      <c r="L20" s="231">
        <f>IF($E20="","",DATE(YEAR($E20),MONTH($E20),1))</f>
        <v/>
      </c>
      <c r="M20" s="113">
        <f>IF($D20="","",IF($C20="TANIMSIZ MÜŞTERİ","HATA",IF(OR($E20="",$F20&lt;=0,$G20=""),"EKSİK",IF($E20&gt;TODAY(),"İLERİ TARİH","UYGUN"))))</f>
        <v/>
      </c>
      <c r="N20" s="121">
        <f>IF($C20="","",IF($C20="TANIMSIZ MÜŞTERİ","—",INDEX(MUSTERILER!$C$7:$C$106,MATCH($C20,MUSTERILER!$B$7:$B$106,0))))</f>
        <v/>
      </c>
      <c r="O20" s="6" t="n"/>
      <c r="P20" s="6" t="n"/>
      <c r="Q20" s="3">
        <f>IF($D20="","",$C20&amp;"|"&amp;COUNTIFS($C$7:$C20,$C20))</f>
        <v/>
      </c>
    </row>
    <row r="21">
      <c r="A21" s="6" t="n"/>
      <c r="B21" s="113">
        <f>IF($D21="","","T"&amp;TEXT(ROW()-6,"00000"))</f>
        <v/>
      </c>
      <c r="C21" s="113">
        <f>IF($D21="","",IFERROR(INDEX(MUSTERILER!$B$7:$B$106,MATCH($D21,MUSTERILER!$C$7:$C$106,0)),IFERROR(INDEX(MUSTERILER!$B$7:$B$106,MATCH($D21,MUSTERILER!$B$7:$B$106,0)),IFERROR(INDEX(MUSTERILER!$B$7:$B$106,MATCH($D21&amp;"*",MUSTERILER!$C$7:$C$106,0)),"TANIMSIZ MÜŞTERİ"))))</f>
        <v/>
      </c>
      <c r="D21" s="109" t="n"/>
      <c r="E21" s="225" t="n"/>
      <c r="F21" s="226" t="n"/>
      <c r="G21" s="108" t="n"/>
      <c r="H21" s="108" t="n"/>
      <c r="I21" s="109" t="n"/>
      <c r="J21" s="109" t="n"/>
      <c r="K21" s="109" t="n"/>
      <c r="L21" s="231">
        <f>IF($E21="","",DATE(YEAR($E21),MONTH($E21),1))</f>
        <v/>
      </c>
      <c r="M21" s="113">
        <f>IF($D21="","",IF($C21="TANIMSIZ MÜŞTERİ","HATA",IF(OR($E21="",$F21&lt;=0,$G21=""),"EKSİK",IF($E21&gt;TODAY(),"İLERİ TARİH","UYGUN"))))</f>
        <v/>
      </c>
      <c r="N21" s="121">
        <f>IF($C21="","",IF($C21="TANIMSIZ MÜŞTERİ","—",INDEX(MUSTERILER!$C$7:$C$106,MATCH($C21,MUSTERILER!$B$7:$B$106,0))))</f>
        <v/>
      </c>
      <c r="O21" s="6" t="n"/>
      <c r="P21" s="6" t="n"/>
      <c r="Q21" s="3">
        <f>IF($D21="","",$C21&amp;"|"&amp;COUNTIFS($C$7:$C21,$C21))</f>
        <v/>
      </c>
    </row>
    <row r="22">
      <c r="A22" s="6" t="n"/>
      <c r="B22" s="113">
        <f>IF($D22="","","T"&amp;TEXT(ROW()-6,"00000"))</f>
        <v/>
      </c>
      <c r="C22" s="113">
        <f>IF($D22="","",IFERROR(INDEX(MUSTERILER!$B$7:$B$106,MATCH($D22,MUSTERILER!$C$7:$C$106,0)),IFERROR(INDEX(MUSTERILER!$B$7:$B$106,MATCH($D22,MUSTERILER!$B$7:$B$106,0)),IFERROR(INDEX(MUSTERILER!$B$7:$B$106,MATCH($D22&amp;"*",MUSTERILER!$C$7:$C$106,0)),"TANIMSIZ MÜŞTERİ"))))</f>
        <v/>
      </c>
      <c r="D22" s="109" t="n"/>
      <c r="E22" s="225" t="n"/>
      <c r="F22" s="226" t="n"/>
      <c r="G22" s="108" t="n"/>
      <c r="H22" s="108" t="n"/>
      <c r="I22" s="109" t="n"/>
      <c r="J22" s="109" t="n"/>
      <c r="K22" s="109" t="n"/>
      <c r="L22" s="231">
        <f>IF($E22="","",DATE(YEAR($E22),MONTH($E22),1))</f>
        <v/>
      </c>
      <c r="M22" s="113">
        <f>IF($D22="","",IF($C22="TANIMSIZ MÜŞTERİ","HATA",IF(OR($E22="",$F22&lt;=0,$G22=""),"EKSİK",IF($E22&gt;TODAY(),"İLERİ TARİH","UYGUN"))))</f>
        <v/>
      </c>
      <c r="N22" s="121">
        <f>IF($C22="","",IF($C22="TANIMSIZ MÜŞTERİ","—",INDEX(MUSTERILER!$C$7:$C$106,MATCH($C22,MUSTERILER!$B$7:$B$106,0))))</f>
        <v/>
      </c>
      <c r="O22" s="6" t="n"/>
      <c r="P22" s="6" t="n"/>
      <c r="Q22" s="3">
        <f>IF($D22="","",$C22&amp;"|"&amp;COUNTIFS($C$7:$C22,$C22))</f>
        <v/>
      </c>
    </row>
    <row r="23">
      <c r="A23" s="6" t="n"/>
      <c r="B23" s="113">
        <f>IF($D23="","","T"&amp;TEXT(ROW()-6,"00000"))</f>
        <v/>
      </c>
      <c r="C23" s="113">
        <f>IF($D23="","",IFERROR(INDEX(MUSTERILER!$B$7:$B$106,MATCH($D23,MUSTERILER!$C$7:$C$106,0)),IFERROR(INDEX(MUSTERILER!$B$7:$B$106,MATCH($D23,MUSTERILER!$B$7:$B$106,0)),IFERROR(INDEX(MUSTERILER!$B$7:$B$106,MATCH($D23&amp;"*",MUSTERILER!$C$7:$C$106,0)),"TANIMSIZ MÜŞTERİ"))))</f>
        <v/>
      </c>
      <c r="D23" s="109" t="n"/>
      <c r="E23" s="225" t="n"/>
      <c r="F23" s="226" t="n"/>
      <c r="G23" s="108" t="n"/>
      <c r="H23" s="108" t="n"/>
      <c r="I23" s="109" t="n"/>
      <c r="J23" s="109" t="n"/>
      <c r="K23" s="109" t="n"/>
      <c r="L23" s="231">
        <f>IF($E23="","",DATE(YEAR($E23),MONTH($E23),1))</f>
        <v/>
      </c>
      <c r="M23" s="113">
        <f>IF($D23="","",IF($C23="TANIMSIZ MÜŞTERİ","HATA",IF(OR($E23="",$F23&lt;=0,$G23=""),"EKSİK",IF($E23&gt;TODAY(),"İLERİ TARİH","UYGUN"))))</f>
        <v/>
      </c>
      <c r="N23" s="121">
        <f>IF($C23="","",IF($C23="TANIMSIZ MÜŞTERİ","—",INDEX(MUSTERILER!$C$7:$C$106,MATCH($C23,MUSTERILER!$B$7:$B$106,0))))</f>
        <v/>
      </c>
      <c r="O23" s="6" t="n"/>
      <c r="P23" s="6" t="n"/>
      <c r="Q23" s="3">
        <f>IF($D23="","",$C23&amp;"|"&amp;COUNTIFS($C$7:$C23,$C23))</f>
        <v/>
      </c>
    </row>
    <row r="24">
      <c r="A24" s="6" t="n"/>
      <c r="B24" s="113">
        <f>IF($D24="","","T"&amp;TEXT(ROW()-6,"00000"))</f>
        <v/>
      </c>
      <c r="C24" s="113">
        <f>IF($D24="","",IFERROR(INDEX(MUSTERILER!$B$7:$B$106,MATCH($D24,MUSTERILER!$C$7:$C$106,0)),IFERROR(INDEX(MUSTERILER!$B$7:$B$106,MATCH($D24,MUSTERILER!$B$7:$B$106,0)),IFERROR(INDEX(MUSTERILER!$B$7:$B$106,MATCH($D24&amp;"*",MUSTERILER!$C$7:$C$106,0)),"TANIMSIZ MÜŞTERİ"))))</f>
        <v/>
      </c>
      <c r="D24" s="109" t="n"/>
      <c r="E24" s="225" t="n"/>
      <c r="F24" s="226" t="n"/>
      <c r="G24" s="108" t="n"/>
      <c r="H24" s="108" t="n"/>
      <c r="I24" s="109" t="n"/>
      <c r="J24" s="109" t="n"/>
      <c r="K24" s="109" t="n"/>
      <c r="L24" s="231">
        <f>IF($E24="","",DATE(YEAR($E24),MONTH($E24),1))</f>
        <v/>
      </c>
      <c r="M24" s="113">
        <f>IF($D24="","",IF($C24="TANIMSIZ MÜŞTERİ","HATA",IF(OR($E24="",$F24&lt;=0,$G24=""),"EKSİK",IF($E24&gt;TODAY(),"İLERİ TARİH","UYGUN"))))</f>
        <v/>
      </c>
      <c r="N24" s="121">
        <f>IF($C24="","",IF($C24="TANIMSIZ MÜŞTERİ","—",INDEX(MUSTERILER!$C$7:$C$106,MATCH($C24,MUSTERILER!$B$7:$B$106,0))))</f>
        <v/>
      </c>
      <c r="O24" s="6" t="n"/>
      <c r="P24" s="6" t="n"/>
      <c r="Q24" s="3">
        <f>IF($D24="","",$C24&amp;"|"&amp;COUNTIFS($C$7:$C24,$C24))</f>
        <v/>
      </c>
    </row>
    <row r="25">
      <c r="A25" s="6" t="n"/>
      <c r="B25" s="113">
        <f>IF($D25="","","T"&amp;TEXT(ROW()-6,"00000"))</f>
        <v/>
      </c>
      <c r="C25" s="113">
        <f>IF($D25="","",IFERROR(INDEX(MUSTERILER!$B$7:$B$106,MATCH($D25,MUSTERILER!$C$7:$C$106,0)),IFERROR(INDEX(MUSTERILER!$B$7:$B$106,MATCH($D25,MUSTERILER!$B$7:$B$106,0)),IFERROR(INDEX(MUSTERILER!$B$7:$B$106,MATCH($D25&amp;"*",MUSTERILER!$C$7:$C$106,0)),"TANIMSIZ MÜŞTERİ"))))</f>
        <v/>
      </c>
      <c r="D25" s="109" t="n"/>
      <c r="E25" s="225" t="n"/>
      <c r="F25" s="226" t="n"/>
      <c r="G25" s="108" t="n"/>
      <c r="H25" s="108" t="n"/>
      <c r="I25" s="109" t="n"/>
      <c r="J25" s="109" t="n"/>
      <c r="K25" s="109" t="n"/>
      <c r="L25" s="231">
        <f>IF($E25="","",DATE(YEAR($E25),MONTH($E25),1))</f>
        <v/>
      </c>
      <c r="M25" s="113">
        <f>IF($D25="","",IF($C25="TANIMSIZ MÜŞTERİ","HATA",IF(OR($E25="",$F25&lt;=0,$G25=""),"EKSİK",IF($E25&gt;TODAY(),"İLERİ TARİH","UYGUN"))))</f>
        <v/>
      </c>
      <c r="N25" s="121">
        <f>IF($C25="","",IF($C25="TANIMSIZ MÜŞTERİ","—",INDEX(MUSTERILER!$C$7:$C$106,MATCH($C25,MUSTERILER!$B$7:$B$106,0))))</f>
        <v/>
      </c>
      <c r="O25" s="6" t="n"/>
      <c r="P25" s="6" t="n"/>
      <c r="Q25" s="3">
        <f>IF($D25="","",$C25&amp;"|"&amp;COUNTIFS($C$7:$C25,$C25))</f>
        <v/>
      </c>
    </row>
    <row r="26">
      <c r="A26" s="6" t="n"/>
      <c r="B26" s="113">
        <f>IF($D26="","","T"&amp;TEXT(ROW()-6,"00000"))</f>
        <v/>
      </c>
      <c r="C26" s="113">
        <f>IF($D26="","",IFERROR(INDEX(MUSTERILER!$B$7:$B$106,MATCH($D26,MUSTERILER!$C$7:$C$106,0)),IFERROR(INDEX(MUSTERILER!$B$7:$B$106,MATCH($D26,MUSTERILER!$B$7:$B$106,0)),IFERROR(INDEX(MUSTERILER!$B$7:$B$106,MATCH($D26&amp;"*",MUSTERILER!$C$7:$C$106,0)),"TANIMSIZ MÜŞTERİ"))))</f>
        <v/>
      </c>
      <c r="D26" s="109" t="n"/>
      <c r="E26" s="225" t="n"/>
      <c r="F26" s="226" t="n"/>
      <c r="G26" s="108" t="n"/>
      <c r="H26" s="108" t="n"/>
      <c r="I26" s="109" t="n"/>
      <c r="J26" s="109" t="n"/>
      <c r="K26" s="109" t="n"/>
      <c r="L26" s="231">
        <f>IF($E26="","",DATE(YEAR($E26),MONTH($E26),1))</f>
        <v/>
      </c>
      <c r="M26" s="113">
        <f>IF($D26="","",IF($C26="TANIMSIZ MÜŞTERİ","HATA",IF(OR($E26="",$F26&lt;=0,$G26=""),"EKSİK",IF($E26&gt;TODAY(),"İLERİ TARİH","UYGUN"))))</f>
        <v/>
      </c>
      <c r="N26" s="121">
        <f>IF($C26="","",IF($C26="TANIMSIZ MÜŞTERİ","—",INDEX(MUSTERILER!$C$7:$C$106,MATCH($C26,MUSTERILER!$B$7:$B$106,0))))</f>
        <v/>
      </c>
      <c r="O26" s="6" t="n"/>
      <c r="P26" s="6" t="n"/>
      <c r="Q26" s="3">
        <f>IF($D26="","",$C26&amp;"|"&amp;COUNTIFS($C$7:$C26,$C26))</f>
        <v/>
      </c>
    </row>
    <row r="27">
      <c r="A27" s="6" t="n"/>
      <c r="B27" s="113">
        <f>IF($D27="","","T"&amp;TEXT(ROW()-6,"00000"))</f>
        <v/>
      </c>
      <c r="C27" s="113">
        <f>IF($D27="","",IFERROR(INDEX(MUSTERILER!$B$7:$B$106,MATCH($D27,MUSTERILER!$C$7:$C$106,0)),IFERROR(INDEX(MUSTERILER!$B$7:$B$106,MATCH($D27,MUSTERILER!$B$7:$B$106,0)),IFERROR(INDEX(MUSTERILER!$B$7:$B$106,MATCH($D27&amp;"*",MUSTERILER!$C$7:$C$106,0)),"TANIMSIZ MÜŞTERİ"))))</f>
        <v/>
      </c>
      <c r="D27" s="109" t="n"/>
      <c r="E27" s="225" t="n"/>
      <c r="F27" s="226" t="n"/>
      <c r="G27" s="108" t="n"/>
      <c r="H27" s="108" t="n"/>
      <c r="I27" s="109" t="n"/>
      <c r="J27" s="109" t="n"/>
      <c r="K27" s="109" t="n"/>
      <c r="L27" s="231">
        <f>IF($E27="","",DATE(YEAR($E27),MONTH($E27),1))</f>
        <v/>
      </c>
      <c r="M27" s="113">
        <f>IF($D27="","",IF($C27="TANIMSIZ MÜŞTERİ","HATA",IF(OR($E27="",$F27&lt;=0,$G27=""),"EKSİK",IF($E27&gt;TODAY(),"İLERİ TARİH","UYGUN"))))</f>
        <v/>
      </c>
      <c r="N27" s="121">
        <f>IF($C27="","",IF($C27="TANIMSIZ MÜŞTERİ","—",INDEX(MUSTERILER!$C$7:$C$106,MATCH($C27,MUSTERILER!$B$7:$B$106,0))))</f>
        <v/>
      </c>
      <c r="O27" s="6" t="n"/>
      <c r="P27" s="6" t="n"/>
      <c r="Q27" s="3">
        <f>IF($D27="","",$C27&amp;"|"&amp;COUNTIFS($C$7:$C27,$C27))</f>
        <v/>
      </c>
    </row>
    <row r="28">
      <c r="A28" s="6" t="n"/>
      <c r="B28" s="113">
        <f>IF($D28="","","T"&amp;TEXT(ROW()-6,"00000"))</f>
        <v/>
      </c>
      <c r="C28" s="113">
        <f>IF($D28="","",IFERROR(INDEX(MUSTERILER!$B$7:$B$106,MATCH($D28,MUSTERILER!$C$7:$C$106,0)),IFERROR(INDEX(MUSTERILER!$B$7:$B$106,MATCH($D28,MUSTERILER!$B$7:$B$106,0)),IFERROR(INDEX(MUSTERILER!$B$7:$B$106,MATCH($D28&amp;"*",MUSTERILER!$C$7:$C$106,0)),"TANIMSIZ MÜŞTERİ"))))</f>
        <v/>
      </c>
      <c r="D28" s="109" t="n"/>
      <c r="E28" s="225" t="n"/>
      <c r="F28" s="226" t="n"/>
      <c r="G28" s="108" t="n"/>
      <c r="H28" s="108" t="n"/>
      <c r="I28" s="109" t="n"/>
      <c r="J28" s="109" t="n"/>
      <c r="K28" s="109" t="n"/>
      <c r="L28" s="231">
        <f>IF($E28="","",DATE(YEAR($E28),MONTH($E28),1))</f>
        <v/>
      </c>
      <c r="M28" s="113">
        <f>IF($D28="","",IF($C28="TANIMSIZ MÜŞTERİ","HATA",IF(OR($E28="",$F28&lt;=0,$G28=""),"EKSİK",IF($E28&gt;TODAY(),"İLERİ TARİH","UYGUN"))))</f>
        <v/>
      </c>
      <c r="N28" s="121">
        <f>IF($C28="","",IF($C28="TANIMSIZ MÜŞTERİ","—",INDEX(MUSTERILER!$C$7:$C$106,MATCH($C28,MUSTERILER!$B$7:$B$106,0))))</f>
        <v/>
      </c>
      <c r="O28" s="6" t="n"/>
      <c r="P28" s="6" t="n"/>
      <c r="Q28" s="3">
        <f>IF($D28="","",$C28&amp;"|"&amp;COUNTIFS($C$7:$C28,$C28))</f>
        <v/>
      </c>
    </row>
    <row r="29">
      <c r="A29" s="6" t="n"/>
      <c r="B29" s="113">
        <f>IF($D29="","","T"&amp;TEXT(ROW()-6,"00000"))</f>
        <v/>
      </c>
      <c r="C29" s="113">
        <f>IF($D29="","",IFERROR(INDEX(MUSTERILER!$B$7:$B$106,MATCH($D29,MUSTERILER!$C$7:$C$106,0)),IFERROR(INDEX(MUSTERILER!$B$7:$B$106,MATCH($D29,MUSTERILER!$B$7:$B$106,0)),IFERROR(INDEX(MUSTERILER!$B$7:$B$106,MATCH($D29&amp;"*",MUSTERILER!$C$7:$C$106,0)),"TANIMSIZ MÜŞTERİ"))))</f>
        <v/>
      </c>
      <c r="D29" s="109" t="n"/>
      <c r="E29" s="225" t="n"/>
      <c r="F29" s="226" t="n"/>
      <c r="G29" s="108" t="n"/>
      <c r="H29" s="108" t="n"/>
      <c r="I29" s="109" t="n"/>
      <c r="J29" s="109" t="n"/>
      <c r="K29" s="109" t="n"/>
      <c r="L29" s="231">
        <f>IF($E29="","",DATE(YEAR($E29),MONTH($E29),1))</f>
        <v/>
      </c>
      <c r="M29" s="113">
        <f>IF($D29="","",IF($C29="TANIMSIZ MÜŞTERİ","HATA",IF(OR($E29="",$F29&lt;=0,$G29=""),"EKSİK",IF($E29&gt;TODAY(),"İLERİ TARİH","UYGUN"))))</f>
        <v/>
      </c>
      <c r="N29" s="121">
        <f>IF($C29="","",IF($C29="TANIMSIZ MÜŞTERİ","—",INDEX(MUSTERILER!$C$7:$C$106,MATCH($C29,MUSTERILER!$B$7:$B$106,0))))</f>
        <v/>
      </c>
      <c r="O29" s="6" t="n"/>
      <c r="P29" s="6" t="n"/>
      <c r="Q29" s="3">
        <f>IF($D29="","",$C29&amp;"|"&amp;COUNTIFS($C$7:$C29,$C29))</f>
        <v/>
      </c>
    </row>
    <row r="30">
      <c r="A30" s="6" t="n"/>
      <c r="B30" s="113">
        <f>IF($D30="","","T"&amp;TEXT(ROW()-6,"00000"))</f>
        <v/>
      </c>
      <c r="C30" s="113">
        <f>IF($D30="","",IFERROR(INDEX(MUSTERILER!$B$7:$B$106,MATCH($D30,MUSTERILER!$C$7:$C$106,0)),IFERROR(INDEX(MUSTERILER!$B$7:$B$106,MATCH($D30,MUSTERILER!$B$7:$B$106,0)),IFERROR(INDEX(MUSTERILER!$B$7:$B$106,MATCH($D30&amp;"*",MUSTERILER!$C$7:$C$106,0)),"TANIMSIZ MÜŞTERİ"))))</f>
        <v/>
      </c>
      <c r="D30" s="109" t="n"/>
      <c r="E30" s="225" t="n"/>
      <c r="F30" s="226" t="n"/>
      <c r="G30" s="108" t="n"/>
      <c r="H30" s="108" t="n"/>
      <c r="I30" s="109" t="n"/>
      <c r="J30" s="109" t="n"/>
      <c r="K30" s="109" t="n"/>
      <c r="L30" s="231">
        <f>IF($E30="","",DATE(YEAR($E30),MONTH($E30),1))</f>
        <v/>
      </c>
      <c r="M30" s="113">
        <f>IF($D30="","",IF($C30="TANIMSIZ MÜŞTERİ","HATA",IF(OR($E30="",$F30&lt;=0,$G30=""),"EKSİK",IF($E30&gt;TODAY(),"İLERİ TARİH","UYGUN"))))</f>
        <v/>
      </c>
      <c r="N30" s="121">
        <f>IF($C30="","",IF($C30="TANIMSIZ MÜŞTERİ","—",INDEX(MUSTERILER!$C$7:$C$106,MATCH($C30,MUSTERILER!$B$7:$B$106,0))))</f>
        <v/>
      </c>
      <c r="O30" s="6" t="n"/>
      <c r="P30" s="6" t="n"/>
      <c r="Q30" s="3">
        <f>IF($D30="","",$C30&amp;"|"&amp;COUNTIFS($C$7:$C30,$C30))</f>
        <v/>
      </c>
    </row>
    <row r="31">
      <c r="A31" s="6" t="n"/>
      <c r="B31" s="113">
        <f>IF($D31="","","T"&amp;TEXT(ROW()-6,"00000"))</f>
        <v/>
      </c>
      <c r="C31" s="113">
        <f>IF($D31="","",IFERROR(INDEX(MUSTERILER!$B$7:$B$106,MATCH($D31,MUSTERILER!$C$7:$C$106,0)),IFERROR(INDEX(MUSTERILER!$B$7:$B$106,MATCH($D31,MUSTERILER!$B$7:$B$106,0)),IFERROR(INDEX(MUSTERILER!$B$7:$B$106,MATCH($D31&amp;"*",MUSTERILER!$C$7:$C$106,0)),"TANIMSIZ MÜŞTERİ"))))</f>
        <v/>
      </c>
      <c r="D31" s="109" t="n"/>
      <c r="E31" s="225" t="n"/>
      <c r="F31" s="226" t="n"/>
      <c r="G31" s="108" t="n"/>
      <c r="H31" s="108" t="n"/>
      <c r="I31" s="109" t="n"/>
      <c r="J31" s="109" t="n"/>
      <c r="K31" s="109" t="n"/>
      <c r="L31" s="231">
        <f>IF($E31="","",DATE(YEAR($E31),MONTH($E31),1))</f>
        <v/>
      </c>
      <c r="M31" s="113">
        <f>IF($D31="","",IF($C31="TANIMSIZ MÜŞTERİ","HATA",IF(OR($E31="",$F31&lt;=0,$G31=""),"EKSİK",IF($E31&gt;TODAY(),"İLERİ TARİH","UYGUN"))))</f>
        <v/>
      </c>
      <c r="N31" s="121">
        <f>IF($C31="","",IF($C31="TANIMSIZ MÜŞTERİ","—",INDEX(MUSTERILER!$C$7:$C$106,MATCH($C31,MUSTERILER!$B$7:$B$106,0))))</f>
        <v/>
      </c>
      <c r="O31" s="6" t="n"/>
      <c r="P31" s="6" t="n"/>
      <c r="Q31" s="3">
        <f>IF($D31="","",$C31&amp;"|"&amp;COUNTIFS($C$7:$C31,$C31))</f>
        <v/>
      </c>
    </row>
    <row r="32">
      <c r="A32" s="6" t="n"/>
      <c r="B32" s="113">
        <f>IF($D32="","","T"&amp;TEXT(ROW()-6,"00000"))</f>
        <v/>
      </c>
      <c r="C32" s="113">
        <f>IF($D32="","",IFERROR(INDEX(MUSTERILER!$B$7:$B$106,MATCH($D32,MUSTERILER!$C$7:$C$106,0)),IFERROR(INDEX(MUSTERILER!$B$7:$B$106,MATCH($D32,MUSTERILER!$B$7:$B$106,0)),IFERROR(INDEX(MUSTERILER!$B$7:$B$106,MATCH($D32&amp;"*",MUSTERILER!$C$7:$C$106,0)),"TANIMSIZ MÜŞTERİ"))))</f>
        <v/>
      </c>
      <c r="D32" s="109" t="n"/>
      <c r="E32" s="225" t="n"/>
      <c r="F32" s="226" t="n"/>
      <c r="G32" s="108" t="n"/>
      <c r="H32" s="108" t="n"/>
      <c r="I32" s="109" t="n"/>
      <c r="J32" s="109" t="n"/>
      <c r="K32" s="109" t="n"/>
      <c r="L32" s="231">
        <f>IF($E32="","",DATE(YEAR($E32),MONTH($E32),1))</f>
        <v/>
      </c>
      <c r="M32" s="113">
        <f>IF($D32="","",IF($C32="TANIMSIZ MÜŞTERİ","HATA",IF(OR($E32="",$F32&lt;=0,$G32=""),"EKSİK",IF($E32&gt;TODAY(),"İLERİ TARİH","UYGUN"))))</f>
        <v/>
      </c>
      <c r="N32" s="121">
        <f>IF($C32="","",IF($C32="TANIMSIZ MÜŞTERİ","—",INDEX(MUSTERILER!$C$7:$C$106,MATCH($C32,MUSTERILER!$B$7:$B$106,0))))</f>
        <v/>
      </c>
      <c r="O32" s="6" t="n"/>
      <c r="P32" s="6" t="n"/>
      <c r="Q32" s="3">
        <f>IF($D32="","",$C32&amp;"|"&amp;COUNTIFS($C$7:$C32,$C32))</f>
        <v/>
      </c>
    </row>
    <row r="33">
      <c r="A33" s="6" t="n"/>
      <c r="B33" s="113">
        <f>IF($D33="","","T"&amp;TEXT(ROW()-6,"00000"))</f>
        <v/>
      </c>
      <c r="C33" s="113">
        <f>IF($D33="","",IFERROR(INDEX(MUSTERILER!$B$7:$B$106,MATCH($D33,MUSTERILER!$C$7:$C$106,0)),IFERROR(INDEX(MUSTERILER!$B$7:$B$106,MATCH($D33,MUSTERILER!$B$7:$B$106,0)),IFERROR(INDEX(MUSTERILER!$B$7:$B$106,MATCH($D33&amp;"*",MUSTERILER!$C$7:$C$106,0)),"TANIMSIZ MÜŞTERİ"))))</f>
        <v/>
      </c>
      <c r="D33" s="109" t="n"/>
      <c r="E33" s="225" t="n"/>
      <c r="F33" s="226" t="n"/>
      <c r="G33" s="108" t="n"/>
      <c r="H33" s="108" t="n"/>
      <c r="I33" s="109" t="n"/>
      <c r="J33" s="109" t="n"/>
      <c r="K33" s="109" t="n"/>
      <c r="L33" s="231">
        <f>IF($E33="","",DATE(YEAR($E33),MONTH($E33),1))</f>
        <v/>
      </c>
      <c r="M33" s="113">
        <f>IF($D33="","",IF($C33="TANIMSIZ MÜŞTERİ","HATA",IF(OR($E33="",$F33&lt;=0,$G33=""),"EKSİK",IF($E33&gt;TODAY(),"İLERİ TARİH","UYGUN"))))</f>
        <v/>
      </c>
      <c r="N33" s="121">
        <f>IF($C33="","",IF($C33="TANIMSIZ MÜŞTERİ","—",INDEX(MUSTERILER!$C$7:$C$106,MATCH($C33,MUSTERILER!$B$7:$B$106,0))))</f>
        <v/>
      </c>
      <c r="O33" s="6" t="n"/>
      <c r="P33" s="6" t="n"/>
      <c r="Q33" s="3">
        <f>IF($D33="","",$C33&amp;"|"&amp;COUNTIFS($C$7:$C33,$C33))</f>
        <v/>
      </c>
    </row>
    <row r="34">
      <c r="A34" s="6" t="n"/>
      <c r="B34" s="113">
        <f>IF($D34="","","T"&amp;TEXT(ROW()-6,"00000"))</f>
        <v/>
      </c>
      <c r="C34" s="113">
        <f>IF($D34="","",IFERROR(INDEX(MUSTERILER!$B$7:$B$106,MATCH($D34,MUSTERILER!$C$7:$C$106,0)),IFERROR(INDEX(MUSTERILER!$B$7:$B$106,MATCH($D34,MUSTERILER!$B$7:$B$106,0)),IFERROR(INDEX(MUSTERILER!$B$7:$B$106,MATCH($D34&amp;"*",MUSTERILER!$C$7:$C$106,0)),"TANIMSIZ MÜŞTERİ"))))</f>
        <v/>
      </c>
      <c r="D34" s="109" t="n"/>
      <c r="E34" s="225" t="n"/>
      <c r="F34" s="226" t="n"/>
      <c r="G34" s="108" t="n"/>
      <c r="H34" s="108" t="n"/>
      <c r="I34" s="109" t="n"/>
      <c r="J34" s="109" t="n"/>
      <c r="K34" s="109" t="n"/>
      <c r="L34" s="231">
        <f>IF($E34="","",DATE(YEAR($E34),MONTH($E34),1))</f>
        <v/>
      </c>
      <c r="M34" s="113">
        <f>IF($D34="","",IF($C34="TANIMSIZ MÜŞTERİ","HATA",IF(OR($E34="",$F34&lt;=0,$G34=""),"EKSİK",IF($E34&gt;TODAY(),"İLERİ TARİH","UYGUN"))))</f>
        <v/>
      </c>
      <c r="N34" s="121">
        <f>IF($C34="","",IF($C34="TANIMSIZ MÜŞTERİ","—",INDEX(MUSTERILER!$C$7:$C$106,MATCH($C34,MUSTERILER!$B$7:$B$106,0))))</f>
        <v/>
      </c>
      <c r="O34" s="6" t="n"/>
      <c r="P34" s="6" t="n"/>
      <c r="Q34" s="3">
        <f>IF($D34="","",$C34&amp;"|"&amp;COUNTIFS($C$7:$C34,$C34))</f>
        <v/>
      </c>
    </row>
    <row r="35">
      <c r="A35" s="6" t="n"/>
      <c r="B35" s="113">
        <f>IF($D35="","","T"&amp;TEXT(ROW()-6,"00000"))</f>
        <v/>
      </c>
      <c r="C35" s="113">
        <f>IF($D35="","",IFERROR(INDEX(MUSTERILER!$B$7:$B$106,MATCH($D35,MUSTERILER!$C$7:$C$106,0)),IFERROR(INDEX(MUSTERILER!$B$7:$B$106,MATCH($D35,MUSTERILER!$B$7:$B$106,0)),IFERROR(INDEX(MUSTERILER!$B$7:$B$106,MATCH($D35&amp;"*",MUSTERILER!$C$7:$C$106,0)),"TANIMSIZ MÜŞTERİ"))))</f>
        <v/>
      </c>
      <c r="D35" s="109" t="n"/>
      <c r="E35" s="225" t="n"/>
      <c r="F35" s="226" t="n"/>
      <c r="G35" s="108" t="n"/>
      <c r="H35" s="108" t="n"/>
      <c r="I35" s="109" t="n"/>
      <c r="J35" s="109" t="n"/>
      <c r="K35" s="109" t="n"/>
      <c r="L35" s="231">
        <f>IF($E35="","",DATE(YEAR($E35),MONTH($E35),1))</f>
        <v/>
      </c>
      <c r="M35" s="113">
        <f>IF($D35="","",IF($C35="TANIMSIZ MÜŞTERİ","HATA",IF(OR($E35="",$F35&lt;=0,$G35=""),"EKSİK",IF($E35&gt;TODAY(),"İLERİ TARİH","UYGUN"))))</f>
        <v/>
      </c>
      <c r="N35" s="121">
        <f>IF($C35="","",IF($C35="TANIMSIZ MÜŞTERİ","—",INDEX(MUSTERILER!$C$7:$C$106,MATCH($C35,MUSTERILER!$B$7:$B$106,0))))</f>
        <v/>
      </c>
      <c r="O35" s="6" t="n"/>
      <c r="P35" s="6" t="n"/>
      <c r="Q35" s="3">
        <f>IF($D35="","",$C35&amp;"|"&amp;COUNTIFS($C$7:$C35,$C35))</f>
        <v/>
      </c>
    </row>
    <row r="36">
      <c r="A36" s="6" t="n"/>
      <c r="B36" s="113">
        <f>IF($D36="","","T"&amp;TEXT(ROW()-6,"00000"))</f>
        <v/>
      </c>
      <c r="C36" s="113">
        <f>IF($D36="","",IFERROR(INDEX(MUSTERILER!$B$7:$B$106,MATCH($D36,MUSTERILER!$C$7:$C$106,0)),IFERROR(INDEX(MUSTERILER!$B$7:$B$106,MATCH($D36,MUSTERILER!$B$7:$B$106,0)),IFERROR(INDEX(MUSTERILER!$B$7:$B$106,MATCH($D36&amp;"*",MUSTERILER!$C$7:$C$106,0)),"TANIMSIZ MÜŞTERİ"))))</f>
        <v/>
      </c>
      <c r="D36" s="109" t="n"/>
      <c r="E36" s="225" t="n"/>
      <c r="F36" s="226" t="n"/>
      <c r="G36" s="108" t="n"/>
      <c r="H36" s="108" t="n"/>
      <c r="I36" s="109" t="n"/>
      <c r="J36" s="109" t="n"/>
      <c r="K36" s="109" t="n"/>
      <c r="L36" s="231">
        <f>IF($E36="","",DATE(YEAR($E36),MONTH($E36),1))</f>
        <v/>
      </c>
      <c r="M36" s="113">
        <f>IF($D36="","",IF($C36="TANIMSIZ MÜŞTERİ","HATA",IF(OR($E36="",$F36&lt;=0,$G36=""),"EKSİK",IF($E36&gt;TODAY(),"İLERİ TARİH","UYGUN"))))</f>
        <v/>
      </c>
      <c r="N36" s="121">
        <f>IF($C36="","",IF($C36="TANIMSIZ MÜŞTERİ","—",INDEX(MUSTERILER!$C$7:$C$106,MATCH($C36,MUSTERILER!$B$7:$B$106,0))))</f>
        <v/>
      </c>
      <c r="O36" s="6" t="n"/>
      <c r="P36" s="6" t="n"/>
      <c r="Q36" s="3">
        <f>IF($D36="","",$C36&amp;"|"&amp;COUNTIFS($C$7:$C36,$C36))</f>
        <v/>
      </c>
    </row>
    <row r="37">
      <c r="A37" s="6" t="n"/>
      <c r="B37" s="113">
        <f>IF($D37="","","T"&amp;TEXT(ROW()-6,"00000"))</f>
        <v/>
      </c>
      <c r="C37" s="113">
        <f>IF($D37="","",IFERROR(INDEX(MUSTERILER!$B$7:$B$106,MATCH($D37,MUSTERILER!$C$7:$C$106,0)),IFERROR(INDEX(MUSTERILER!$B$7:$B$106,MATCH($D37,MUSTERILER!$B$7:$B$106,0)),IFERROR(INDEX(MUSTERILER!$B$7:$B$106,MATCH($D37&amp;"*",MUSTERILER!$C$7:$C$106,0)),"TANIMSIZ MÜŞTERİ"))))</f>
        <v/>
      </c>
      <c r="D37" s="109" t="n"/>
      <c r="E37" s="225" t="n"/>
      <c r="F37" s="226" t="n"/>
      <c r="G37" s="108" t="n"/>
      <c r="H37" s="108" t="n"/>
      <c r="I37" s="109" t="n"/>
      <c r="J37" s="109" t="n"/>
      <c r="K37" s="109" t="n"/>
      <c r="L37" s="231">
        <f>IF($E37="","",DATE(YEAR($E37),MONTH($E37),1))</f>
        <v/>
      </c>
      <c r="M37" s="113">
        <f>IF($D37="","",IF($C37="TANIMSIZ MÜŞTERİ","HATA",IF(OR($E37="",$F37&lt;=0,$G37=""),"EKSİK",IF($E37&gt;TODAY(),"İLERİ TARİH","UYGUN"))))</f>
        <v/>
      </c>
      <c r="N37" s="121">
        <f>IF($C37="","",IF($C37="TANIMSIZ MÜŞTERİ","—",INDEX(MUSTERILER!$C$7:$C$106,MATCH($C37,MUSTERILER!$B$7:$B$106,0))))</f>
        <v/>
      </c>
      <c r="O37" s="6" t="n"/>
      <c r="P37" s="6" t="n"/>
      <c r="Q37" s="3">
        <f>IF($D37="","",$C37&amp;"|"&amp;COUNTIFS($C$7:$C37,$C37))</f>
        <v/>
      </c>
    </row>
    <row r="38">
      <c r="A38" s="6" t="n"/>
      <c r="B38" s="113">
        <f>IF($D38="","","T"&amp;TEXT(ROW()-6,"00000"))</f>
        <v/>
      </c>
      <c r="C38" s="113">
        <f>IF($D38="","",IFERROR(INDEX(MUSTERILER!$B$7:$B$106,MATCH($D38,MUSTERILER!$C$7:$C$106,0)),IFERROR(INDEX(MUSTERILER!$B$7:$B$106,MATCH($D38,MUSTERILER!$B$7:$B$106,0)),IFERROR(INDEX(MUSTERILER!$B$7:$B$106,MATCH($D38&amp;"*",MUSTERILER!$C$7:$C$106,0)),"TANIMSIZ MÜŞTERİ"))))</f>
        <v/>
      </c>
      <c r="D38" s="109" t="n"/>
      <c r="E38" s="225" t="n"/>
      <c r="F38" s="226" t="n"/>
      <c r="G38" s="108" t="n"/>
      <c r="H38" s="108" t="n"/>
      <c r="I38" s="109" t="n"/>
      <c r="J38" s="109" t="n"/>
      <c r="K38" s="109" t="n"/>
      <c r="L38" s="231">
        <f>IF($E38="","",DATE(YEAR($E38),MONTH($E38),1))</f>
        <v/>
      </c>
      <c r="M38" s="113">
        <f>IF($D38="","",IF($C38="TANIMSIZ MÜŞTERİ","HATA",IF(OR($E38="",$F38&lt;=0,$G38=""),"EKSİK",IF($E38&gt;TODAY(),"İLERİ TARİH","UYGUN"))))</f>
        <v/>
      </c>
      <c r="N38" s="121">
        <f>IF($C38="","",IF($C38="TANIMSIZ MÜŞTERİ","—",INDEX(MUSTERILER!$C$7:$C$106,MATCH($C38,MUSTERILER!$B$7:$B$106,0))))</f>
        <v/>
      </c>
      <c r="O38" s="6" t="n"/>
      <c r="P38" s="6" t="n"/>
      <c r="Q38" s="3">
        <f>IF($D38="","",$C38&amp;"|"&amp;COUNTIFS($C$7:$C38,$C38))</f>
        <v/>
      </c>
    </row>
    <row r="39">
      <c r="A39" s="6" t="n"/>
      <c r="B39" s="113">
        <f>IF($D39="","","T"&amp;TEXT(ROW()-6,"00000"))</f>
        <v/>
      </c>
      <c r="C39" s="113">
        <f>IF($D39="","",IFERROR(INDEX(MUSTERILER!$B$7:$B$106,MATCH($D39,MUSTERILER!$C$7:$C$106,0)),IFERROR(INDEX(MUSTERILER!$B$7:$B$106,MATCH($D39,MUSTERILER!$B$7:$B$106,0)),IFERROR(INDEX(MUSTERILER!$B$7:$B$106,MATCH($D39&amp;"*",MUSTERILER!$C$7:$C$106,0)),"TANIMSIZ MÜŞTERİ"))))</f>
        <v/>
      </c>
      <c r="D39" s="109" t="n"/>
      <c r="E39" s="225" t="n"/>
      <c r="F39" s="226" t="n"/>
      <c r="G39" s="108" t="n"/>
      <c r="H39" s="108" t="n"/>
      <c r="I39" s="109" t="n"/>
      <c r="J39" s="109" t="n"/>
      <c r="K39" s="109" t="n"/>
      <c r="L39" s="231">
        <f>IF($E39="","",DATE(YEAR($E39),MONTH($E39),1))</f>
        <v/>
      </c>
      <c r="M39" s="113">
        <f>IF($D39="","",IF($C39="TANIMSIZ MÜŞTERİ","HATA",IF(OR($E39="",$F39&lt;=0,$G39=""),"EKSİK",IF($E39&gt;TODAY(),"İLERİ TARİH","UYGUN"))))</f>
        <v/>
      </c>
      <c r="N39" s="121">
        <f>IF($C39="","",IF($C39="TANIMSIZ MÜŞTERİ","—",INDEX(MUSTERILER!$C$7:$C$106,MATCH($C39,MUSTERILER!$B$7:$B$106,0))))</f>
        <v/>
      </c>
      <c r="O39" s="6" t="n"/>
      <c r="P39" s="6" t="n"/>
      <c r="Q39" s="3">
        <f>IF($D39="","",$C39&amp;"|"&amp;COUNTIFS($C$7:$C39,$C39))</f>
        <v/>
      </c>
    </row>
    <row r="40">
      <c r="A40" s="6" t="n"/>
      <c r="B40" s="113">
        <f>IF($D40="","","T"&amp;TEXT(ROW()-6,"00000"))</f>
        <v/>
      </c>
      <c r="C40" s="113">
        <f>IF($D40="","",IFERROR(INDEX(MUSTERILER!$B$7:$B$106,MATCH($D40,MUSTERILER!$C$7:$C$106,0)),IFERROR(INDEX(MUSTERILER!$B$7:$B$106,MATCH($D40,MUSTERILER!$B$7:$B$106,0)),IFERROR(INDEX(MUSTERILER!$B$7:$B$106,MATCH($D40&amp;"*",MUSTERILER!$C$7:$C$106,0)),"TANIMSIZ MÜŞTERİ"))))</f>
        <v/>
      </c>
      <c r="D40" s="109" t="n"/>
      <c r="E40" s="225" t="n"/>
      <c r="F40" s="226" t="n"/>
      <c r="G40" s="108" t="n"/>
      <c r="H40" s="108" t="n"/>
      <c r="I40" s="109" t="n"/>
      <c r="J40" s="109" t="n"/>
      <c r="K40" s="109" t="n"/>
      <c r="L40" s="231">
        <f>IF($E40="","",DATE(YEAR($E40),MONTH($E40),1))</f>
        <v/>
      </c>
      <c r="M40" s="113">
        <f>IF($D40="","",IF($C40="TANIMSIZ MÜŞTERİ","HATA",IF(OR($E40="",$F40&lt;=0,$G40=""),"EKSİK",IF($E40&gt;TODAY(),"İLERİ TARİH","UYGUN"))))</f>
        <v/>
      </c>
      <c r="N40" s="121">
        <f>IF($C40="","",IF($C40="TANIMSIZ MÜŞTERİ","—",INDEX(MUSTERILER!$C$7:$C$106,MATCH($C40,MUSTERILER!$B$7:$B$106,0))))</f>
        <v/>
      </c>
      <c r="O40" s="6" t="n"/>
      <c r="P40" s="6" t="n"/>
      <c r="Q40" s="3">
        <f>IF($D40="","",$C40&amp;"|"&amp;COUNTIFS($C$7:$C40,$C40))</f>
        <v/>
      </c>
    </row>
    <row r="41">
      <c r="A41" s="6" t="n"/>
      <c r="B41" s="113">
        <f>IF($D41="","","T"&amp;TEXT(ROW()-6,"00000"))</f>
        <v/>
      </c>
      <c r="C41" s="113">
        <f>IF($D41="","",IFERROR(INDEX(MUSTERILER!$B$7:$B$106,MATCH($D41,MUSTERILER!$C$7:$C$106,0)),IFERROR(INDEX(MUSTERILER!$B$7:$B$106,MATCH($D41,MUSTERILER!$B$7:$B$106,0)),IFERROR(INDEX(MUSTERILER!$B$7:$B$106,MATCH($D41&amp;"*",MUSTERILER!$C$7:$C$106,0)),"TANIMSIZ MÜŞTERİ"))))</f>
        <v/>
      </c>
      <c r="D41" s="109" t="n"/>
      <c r="E41" s="225" t="n"/>
      <c r="F41" s="226" t="n"/>
      <c r="G41" s="108" t="n"/>
      <c r="H41" s="108" t="n"/>
      <c r="I41" s="109" t="n"/>
      <c r="J41" s="109" t="n"/>
      <c r="K41" s="109" t="n"/>
      <c r="L41" s="231">
        <f>IF($E41="","",DATE(YEAR($E41),MONTH($E41),1))</f>
        <v/>
      </c>
      <c r="M41" s="113">
        <f>IF($D41="","",IF($C41="TANIMSIZ MÜŞTERİ","HATA",IF(OR($E41="",$F41&lt;=0,$G41=""),"EKSİK",IF($E41&gt;TODAY(),"İLERİ TARİH","UYGUN"))))</f>
        <v/>
      </c>
      <c r="N41" s="121">
        <f>IF($C41="","",IF($C41="TANIMSIZ MÜŞTERİ","—",INDEX(MUSTERILER!$C$7:$C$106,MATCH($C41,MUSTERILER!$B$7:$B$106,0))))</f>
        <v/>
      </c>
      <c r="O41" s="6" t="n"/>
      <c r="P41" s="6" t="n"/>
      <c r="Q41" s="3">
        <f>IF($D41="","",$C41&amp;"|"&amp;COUNTIFS($C$7:$C41,$C41))</f>
        <v/>
      </c>
    </row>
    <row r="42">
      <c r="A42" s="6" t="n"/>
      <c r="B42" s="113">
        <f>IF($D42="","","T"&amp;TEXT(ROW()-6,"00000"))</f>
        <v/>
      </c>
      <c r="C42" s="113">
        <f>IF($D42="","",IFERROR(INDEX(MUSTERILER!$B$7:$B$106,MATCH($D42,MUSTERILER!$C$7:$C$106,0)),IFERROR(INDEX(MUSTERILER!$B$7:$B$106,MATCH($D42,MUSTERILER!$B$7:$B$106,0)),IFERROR(INDEX(MUSTERILER!$B$7:$B$106,MATCH($D42&amp;"*",MUSTERILER!$C$7:$C$106,0)),"TANIMSIZ MÜŞTERİ"))))</f>
        <v/>
      </c>
      <c r="D42" s="109" t="n"/>
      <c r="E42" s="225" t="n"/>
      <c r="F42" s="226" t="n"/>
      <c r="G42" s="108" t="n"/>
      <c r="H42" s="108" t="n"/>
      <c r="I42" s="109" t="n"/>
      <c r="J42" s="109" t="n"/>
      <c r="K42" s="109" t="n"/>
      <c r="L42" s="231">
        <f>IF($E42="","",DATE(YEAR($E42),MONTH($E42),1))</f>
        <v/>
      </c>
      <c r="M42" s="113">
        <f>IF($D42="","",IF($C42="TANIMSIZ MÜŞTERİ","HATA",IF(OR($E42="",$F42&lt;=0,$G42=""),"EKSİK",IF($E42&gt;TODAY(),"İLERİ TARİH","UYGUN"))))</f>
        <v/>
      </c>
      <c r="N42" s="121">
        <f>IF($C42="","",IF($C42="TANIMSIZ MÜŞTERİ","—",INDEX(MUSTERILER!$C$7:$C$106,MATCH($C42,MUSTERILER!$B$7:$B$106,0))))</f>
        <v/>
      </c>
      <c r="O42" s="6" t="n"/>
      <c r="P42" s="6" t="n"/>
      <c r="Q42" s="3">
        <f>IF($D42="","",$C42&amp;"|"&amp;COUNTIFS($C$7:$C42,$C42))</f>
        <v/>
      </c>
    </row>
    <row r="43">
      <c r="A43" s="6" t="n"/>
      <c r="B43" s="113">
        <f>IF($D43="","","T"&amp;TEXT(ROW()-6,"00000"))</f>
        <v/>
      </c>
      <c r="C43" s="113">
        <f>IF($D43="","",IFERROR(INDEX(MUSTERILER!$B$7:$B$106,MATCH($D43,MUSTERILER!$C$7:$C$106,0)),IFERROR(INDEX(MUSTERILER!$B$7:$B$106,MATCH($D43,MUSTERILER!$B$7:$B$106,0)),IFERROR(INDEX(MUSTERILER!$B$7:$B$106,MATCH($D43&amp;"*",MUSTERILER!$C$7:$C$106,0)),"TANIMSIZ MÜŞTERİ"))))</f>
        <v/>
      </c>
      <c r="D43" s="109" t="n"/>
      <c r="E43" s="225" t="n"/>
      <c r="F43" s="226" t="n"/>
      <c r="G43" s="108" t="n"/>
      <c r="H43" s="108" t="n"/>
      <c r="I43" s="109" t="n"/>
      <c r="J43" s="109" t="n"/>
      <c r="K43" s="109" t="n"/>
      <c r="L43" s="231">
        <f>IF($E43="","",DATE(YEAR($E43),MONTH($E43),1))</f>
        <v/>
      </c>
      <c r="M43" s="113">
        <f>IF($D43="","",IF($C43="TANIMSIZ MÜŞTERİ","HATA",IF(OR($E43="",$F43&lt;=0,$G43=""),"EKSİK",IF($E43&gt;TODAY(),"İLERİ TARİH","UYGUN"))))</f>
        <v/>
      </c>
      <c r="N43" s="121">
        <f>IF($C43="","",IF($C43="TANIMSIZ MÜŞTERİ","—",INDEX(MUSTERILER!$C$7:$C$106,MATCH($C43,MUSTERILER!$B$7:$B$106,0))))</f>
        <v/>
      </c>
      <c r="O43" s="6" t="n"/>
      <c r="P43" s="6" t="n"/>
      <c r="Q43" s="3">
        <f>IF($D43="","",$C43&amp;"|"&amp;COUNTIFS($C$7:$C43,$C43))</f>
        <v/>
      </c>
    </row>
    <row r="44">
      <c r="A44" s="6" t="n"/>
      <c r="B44" s="113">
        <f>IF($D44="","","T"&amp;TEXT(ROW()-6,"00000"))</f>
        <v/>
      </c>
      <c r="C44" s="113">
        <f>IF($D44="","",IFERROR(INDEX(MUSTERILER!$B$7:$B$106,MATCH($D44,MUSTERILER!$C$7:$C$106,0)),IFERROR(INDEX(MUSTERILER!$B$7:$B$106,MATCH($D44,MUSTERILER!$B$7:$B$106,0)),IFERROR(INDEX(MUSTERILER!$B$7:$B$106,MATCH($D44&amp;"*",MUSTERILER!$C$7:$C$106,0)),"TANIMSIZ MÜŞTERİ"))))</f>
        <v/>
      </c>
      <c r="D44" s="109" t="n"/>
      <c r="E44" s="225" t="n"/>
      <c r="F44" s="226" t="n"/>
      <c r="G44" s="108" t="n"/>
      <c r="H44" s="108" t="n"/>
      <c r="I44" s="109" t="n"/>
      <c r="J44" s="109" t="n"/>
      <c r="K44" s="109" t="n"/>
      <c r="L44" s="231">
        <f>IF($E44="","",DATE(YEAR($E44),MONTH($E44),1))</f>
        <v/>
      </c>
      <c r="M44" s="113">
        <f>IF($D44="","",IF($C44="TANIMSIZ MÜŞTERİ","HATA",IF(OR($E44="",$F44&lt;=0,$G44=""),"EKSİK",IF($E44&gt;TODAY(),"İLERİ TARİH","UYGUN"))))</f>
        <v/>
      </c>
      <c r="N44" s="121">
        <f>IF($C44="","",IF($C44="TANIMSIZ MÜŞTERİ","—",INDEX(MUSTERILER!$C$7:$C$106,MATCH($C44,MUSTERILER!$B$7:$B$106,0))))</f>
        <v/>
      </c>
      <c r="O44" s="6" t="n"/>
      <c r="P44" s="6" t="n"/>
      <c r="Q44" s="3">
        <f>IF($D44="","",$C44&amp;"|"&amp;COUNTIFS($C$7:$C44,$C44))</f>
        <v/>
      </c>
    </row>
    <row r="45">
      <c r="A45" s="6" t="n"/>
      <c r="B45" s="113">
        <f>IF($D45="","","T"&amp;TEXT(ROW()-6,"00000"))</f>
        <v/>
      </c>
      <c r="C45" s="113">
        <f>IF($D45="","",IFERROR(INDEX(MUSTERILER!$B$7:$B$106,MATCH($D45,MUSTERILER!$C$7:$C$106,0)),IFERROR(INDEX(MUSTERILER!$B$7:$B$106,MATCH($D45,MUSTERILER!$B$7:$B$106,0)),IFERROR(INDEX(MUSTERILER!$B$7:$B$106,MATCH($D45&amp;"*",MUSTERILER!$C$7:$C$106,0)),"TANIMSIZ MÜŞTERİ"))))</f>
        <v/>
      </c>
      <c r="D45" s="109" t="n"/>
      <c r="E45" s="225" t="n"/>
      <c r="F45" s="226" t="n"/>
      <c r="G45" s="108" t="n"/>
      <c r="H45" s="108" t="n"/>
      <c r="I45" s="109" t="n"/>
      <c r="J45" s="109" t="n"/>
      <c r="K45" s="109" t="n"/>
      <c r="L45" s="231">
        <f>IF($E45="","",DATE(YEAR($E45),MONTH($E45),1))</f>
        <v/>
      </c>
      <c r="M45" s="113">
        <f>IF($D45="","",IF($C45="TANIMSIZ MÜŞTERİ","HATA",IF(OR($E45="",$F45&lt;=0,$G45=""),"EKSİK",IF($E45&gt;TODAY(),"İLERİ TARİH","UYGUN"))))</f>
        <v/>
      </c>
      <c r="N45" s="121">
        <f>IF($C45="","",IF($C45="TANIMSIZ MÜŞTERİ","—",INDEX(MUSTERILER!$C$7:$C$106,MATCH($C45,MUSTERILER!$B$7:$B$106,0))))</f>
        <v/>
      </c>
      <c r="O45" s="6" t="n"/>
      <c r="P45" s="6" t="n"/>
      <c r="Q45" s="3">
        <f>IF($D45="","",$C45&amp;"|"&amp;COUNTIFS($C$7:$C45,$C45))</f>
        <v/>
      </c>
    </row>
    <row r="46">
      <c r="A46" s="6" t="n"/>
      <c r="B46" s="113">
        <f>IF($D46="","","T"&amp;TEXT(ROW()-6,"00000"))</f>
        <v/>
      </c>
      <c r="C46" s="113">
        <f>IF($D46="","",IFERROR(INDEX(MUSTERILER!$B$7:$B$106,MATCH($D46,MUSTERILER!$C$7:$C$106,0)),IFERROR(INDEX(MUSTERILER!$B$7:$B$106,MATCH($D46,MUSTERILER!$B$7:$B$106,0)),IFERROR(INDEX(MUSTERILER!$B$7:$B$106,MATCH($D46&amp;"*",MUSTERILER!$C$7:$C$106,0)),"TANIMSIZ MÜŞTERİ"))))</f>
        <v/>
      </c>
      <c r="D46" s="109" t="n"/>
      <c r="E46" s="225" t="n"/>
      <c r="F46" s="226" t="n"/>
      <c r="G46" s="108" t="n"/>
      <c r="H46" s="108" t="n"/>
      <c r="I46" s="109" t="n"/>
      <c r="J46" s="109" t="n"/>
      <c r="K46" s="109" t="n"/>
      <c r="L46" s="231">
        <f>IF($E46="","",DATE(YEAR($E46),MONTH($E46),1))</f>
        <v/>
      </c>
      <c r="M46" s="113">
        <f>IF($D46="","",IF($C46="TANIMSIZ MÜŞTERİ","HATA",IF(OR($E46="",$F46&lt;=0,$G46=""),"EKSİK",IF($E46&gt;TODAY(),"İLERİ TARİH","UYGUN"))))</f>
        <v/>
      </c>
      <c r="N46" s="121">
        <f>IF($C46="","",IF($C46="TANIMSIZ MÜŞTERİ","—",INDEX(MUSTERILER!$C$7:$C$106,MATCH($C46,MUSTERILER!$B$7:$B$106,0))))</f>
        <v/>
      </c>
      <c r="O46" s="6" t="n"/>
      <c r="P46" s="6" t="n"/>
      <c r="Q46" s="3">
        <f>IF($D46="","",$C46&amp;"|"&amp;COUNTIFS($C$7:$C46,$C46))</f>
        <v/>
      </c>
    </row>
    <row r="47">
      <c r="A47" s="6" t="n"/>
      <c r="B47" s="113">
        <f>IF($D47="","","T"&amp;TEXT(ROW()-6,"00000"))</f>
        <v/>
      </c>
      <c r="C47" s="113">
        <f>IF($D47="","",IFERROR(INDEX(MUSTERILER!$B$7:$B$106,MATCH($D47,MUSTERILER!$C$7:$C$106,0)),IFERROR(INDEX(MUSTERILER!$B$7:$B$106,MATCH($D47,MUSTERILER!$B$7:$B$106,0)),IFERROR(INDEX(MUSTERILER!$B$7:$B$106,MATCH($D47&amp;"*",MUSTERILER!$C$7:$C$106,0)),"TANIMSIZ MÜŞTERİ"))))</f>
        <v/>
      </c>
      <c r="D47" s="109" t="n"/>
      <c r="E47" s="225" t="n"/>
      <c r="F47" s="226" t="n"/>
      <c r="G47" s="108" t="n"/>
      <c r="H47" s="108" t="n"/>
      <c r="I47" s="109" t="n"/>
      <c r="J47" s="109" t="n"/>
      <c r="K47" s="109" t="n"/>
      <c r="L47" s="231">
        <f>IF($E47="","",DATE(YEAR($E47),MONTH($E47),1))</f>
        <v/>
      </c>
      <c r="M47" s="113">
        <f>IF($D47="","",IF($C47="TANIMSIZ MÜŞTERİ","HATA",IF(OR($E47="",$F47&lt;=0,$G47=""),"EKSİK",IF($E47&gt;TODAY(),"İLERİ TARİH","UYGUN"))))</f>
        <v/>
      </c>
      <c r="N47" s="121">
        <f>IF($C47="","",IF($C47="TANIMSIZ MÜŞTERİ","—",INDEX(MUSTERILER!$C$7:$C$106,MATCH($C47,MUSTERILER!$B$7:$B$106,0))))</f>
        <v/>
      </c>
      <c r="O47" s="6" t="n"/>
      <c r="P47" s="6" t="n"/>
      <c r="Q47" s="3">
        <f>IF($D47="","",$C47&amp;"|"&amp;COUNTIFS($C$7:$C47,$C47))</f>
        <v/>
      </c>
    </row>
    <row r="48">
      <c r="A48" s="6" t="n"/>
      <c r="B48" s="113">
        <f>IF($D48="","","T"&amp;TEXT(ROW()-6,"00000"))</f>
        <v/>
      </c>
      <c r="C48" s="113">
        <f>IF($D48="","",IFERROR(INDEX(MUSTERILER!$B$7:$B$106,MATCH($D48,MUSTERILER!$C$7:$C$106,0)),IFERROR(INDEX(MUSTERILER!$B$7:$B$106,MATCH($D48,MUSTERILER!$B$7:$B$106,0)),IFERROR(INDEX(MUSTERILER!$B$7:$B$106,MATCH($D48&amp;"*",MUSTERILER!$C$7:$C$106,0)),"TANIMSIZ MÜŞTERİ"))))</f>
        <v/>
      </c>
      <c r="D48" s="109" t="n"/>
      <c r="E48" s="225" t="n"/>
      <c r="F48" s="226" t="n"/>
      <c r="G48" s="108" t="n"/>
      <c r="H48" s="108" t="n"/>
      <c r="I48" s="109" t="n"/>
      <c r="J48" s="109" t="n"/>
      <c r="K48" s="109" t="n"/>
      <c r="L48" s="231">
        <f>IF($E48="","",DATE(YEAR($E48),MONTH($E48),1))</f>
        <v/>
      </c>
      <c r="M48" s="113">
        <f>IF($D48="","",IF($C48="TANIMSIZ MÜŞTERİ","HATA",IF(OR($E48="",$F48&lt;=0,$G48=""),"EKSİK",IF($E48&gt;TODAY(),"İLERİ TARİH","UYGUN"))))</f>
        <v/>
      </c>
      <c r="N48" s="121">
        <f>IF($C48="","",IF($C48="TANIMSIZ MÜŞTERİ","—",INDEX(MUSTERILER!$C$7:$C$106,MATCH($C48,MUSTERILER!$B$7:$B$106,0))))</f>
        <v/>
      </c>
      <c r="O48" s="6" t="n"/>
      <c r="P48" s="6" t="n"/>
      <c r="Q48" s="3">
        <f>IF($D48="","",$C48&amp;"|"&amp;COUNTIFS($C$7:$C48,$C48))</f>
        <v/>
      </c>
    </row>
    <row r="49">
      <c r="A49" s="6" t="n"/>
      <c r="B49" s="113">
        <f>IF($D49="","","T"&amp;TEXT(ROW()-6,"00000"))</f>
        <v/>
      </c>
      <c r="C49" s="113">
        <f>IF($D49="","",IFERROR(INDEX(MUSTERILER!$B$7:$B$106,MATCH($D49,MUSTERILER!$C$7:$C$106,0)),IFERROR(INDEX(MUSTERILER!$B$7:$B$106,MATCH($D49,MUSTERILER!$B$7:$B$106,0)),IFERROR(INDEX(MUSTERILER!$B$7:$B$106,MATCH($D49&amp;"*",MUSTERILER!$C$7:$C$106,0)),"TANIMSIZ MÜŞTERİ"))))</f>
        <v/>
      </c>
      <c r="D49" s="109" t="n"/>
      <c r="E49" s="225" t="n"/>
      <c r="F49" s="226" t="n"/>
      <c r="G49" s="108" t="n"/>
      <c r="H49" s="108" t="n"/>
      <c r="I49" s="109" t="n"/>
      <c r="J49" s="109" t="n"/>
      <c r="K49" s="109" t="n"/>
      <c r="L49" s="231">
        <f>IF($E49="","",DATE(YEAR($E49),MONTH($E49),1))</f>
        <v/>
      </c>
      <c r="M49" s="113">
        <f>IF($D49="","",IF($C49="TANIMSIZ MÜŞTERİ","HATA",IF(OR($E49="",$F49&lt;=0,$G49=""),"EKSİK",IF($E49&gt;TODAY(),"İLERİ TARİH","UYGUN"))))</f>
        <v/>
      </c>
      <c r="N49" s="121">
        <f>IF($C49="","",IF($C49="TANIMSIZ MÜŞTERİ","—",INDEX(MUSTERILER!$C$7:$C$106,MATCH($C49,MUSTERILER!$B$7:$B$106,0))))</f>
        <v/>
      </c>
      <c r="O49" s="6" t="n"/>
      <c r="P49" s="6" t="n"/>
      <c r="Q49" s="3">
        <f>IF($D49="","",$C49&amp;"|"&amp;COUNTIFS($C$7:$C49,$C49))</f>
        <v/>
      </c>
    </row>
    <row r="50">
      <c r="A50" s="6" t="n"/>
      <c r="B50" s="113">
        <f>IF($D50="","","T"&amp;TEXT(ROW()-6,"00000"))</f>
        <v/>
      </c>
      <c r="C50" s="113">
        <f>IF($D50="","",IFERROR(INDEX(MUSTERILER!$B$7:$B$106,MATCH($D50,MUSTERILER!$C$7:$C$106,0)),IFERROR(INDEX(MUSTERILER!$B$7:$B$106,MATCH($D50,MUSTERILER!$B$7:$B$106,0)),IFERROR(INDEX(MUSTERILER!$B$7:$B$106,MATCH($D50&amp;"*",MUSTERILER!$C$7:$C$106,0)),"TANIMSIZ MÜŞTERİ"))))</f>
        <v/>
      </c>
      <c r="D50" s="109" t="n"/>
      <c r="E50" s="225" t="n"/>
      <c r="F50" s="226" t="n"/>
      <c r="G50" s="108" t="n"/>
      <c r="H50" s="108" t="n"/>
      <c r="I50" s="109" t="n"/>
      <c r="J50" s="109" t="n"/>
      <c r="K50" s="109" t="n"/>
      <c r="L50" s="231">
        <f>IF($E50="","",DATE(YEAR($E50),MONTH($E50),1))</f>
        <v/>
      </c>
      <c r="M50" s="113">
        <f>IF($D50="","",IF($C50="TANIMSIZ MÜŞTERİ","HATA",IF(OR($E50="",$F50&lt;=0,$G50=""),"EKSİK",IF($E50&gt;TODAY(),"İLERİ TARİH","UYGUN"))))</f>
        <v/>
      </c>
      <c r="N50" s="121">
        <f>IF($C50="","",IF($C50="TANIMSIZ MÜŞTERİ","—",INDEX(MUSTERILER!$C$7:$C$106,MATCH($C50,MUSTERILER!$B$7:$B$106,0))))</f>
        <v/>
      </c>
      <c r="O50" s="6" t="n"/>
      <c r="P50" s="6" t="n"/>
      <c r="Q50" s="3">
        <f>IF($D50="","",$C50&amp;"|"&amp;COUNTIFS($C$7:$C50,$C50))</f>
        <v/>
      </c>
    </row>
    <row r="51">
      <c r="A51" s="6" t="n"/>
      <c r="B51" s="113">
        <f>IF($D51="","","T"&amp;TEXT(ROW()-6,"00000"))</f>
        <v/>
      </c>
      <c r="C51" s="113">
        <f>IF($D51="","",IFERROR(INDEX(MUSTERILER!$B$7:$B$106,MATCH($D51,MUSTERILER!$C$7:$C$106,0)),IFERROR(INDEX(MUSTERILER!$B$7:$B$106,MATCH($D51,MUSTERILER!$B$7:$B$106,0)),IFERROR(INDEX(MUSTERILER!$B$7:$B$106,MATCH($D51&amp;"*",MUSTERILER!$C$7:$C$106,0)),"TANIMSIZ MÜŞTERİ"))))</f>
        <v/>
      </c>
      <c r="D51" s="109" t="n"/>
      <c r="E51" s="225" t="n"/>
      <c r="F51" s="226" t="n"/>
      <c r="G51" s="108" t="n"/>
      <c r="H51" s="108" t="n"/>
      <c r="I51" s="109" t="n"/>
      <c r="J51" s="109" t="n"/>
      <c r="K51" s="109" t="n"/>
      <c r="L51" s="231">
        <f>IF($E51="","",DATE(YEAR($E51),MONTH($E51),1))</f>
        <v/>
      </c>
      <c r="M51" s="113">
        <f>IF($D51="","",IF($C51="TANIMSIZ MÜŞTERİ","HATA",IF(OR($E51="",$F51&lt;=0,$G51=""),"EKSİK",IF($E51&gt;TODAY(),"İLERİ TARİH","UYGUN"))))</f>
        <v/>
      </c>
      <c r="N51" s="121">
        <f>IF($C51="","",IF($C51="TANIMSIZ MÜŞTERİ","—",INDEX(MUSTERILER!$C$7:$C$106,MATCH($C51,MUSTERILER!$B$7:$B$106,0))))</f>
        <v/>
      </c>
      <c r="O51" s="6" t="n"/>
      <c r="P51" s="6" t="n"/>
      <c r="Q51" s="3">
        <f>IF($D51="","",$C51&amp;"|"&amp;COUNTIFS($C$7:$C51,$C51))</f>
        <v/>
      </c>
    </row>
    <row r="52">
      <c r="A52" s="6" t="n"/>
      <c r="B52" s="113">
        <f>IF($D52="","","T"&amp;TEXT(ROW()-6,"00000"))</f>
        <v/>
      </c>
      <c r="C52" s="113">
        <f>IF($D52="","",IFERROR(INDEX(MUSTERILER!$B$7:$B$106,MATCH($D52,MUSTERILER!$C$7:$C$106,0)),IFERROR(INDEX(MUSTERILER!$B$7:$B$106,MATCH($D52,MUSTERILER!$B$7:$B$106,0)),IFERROR(INDEX(MUSTERILER!$B$7:$B$106,MATCH($D52&amp;"*",MUSTERILER!$C$7:$C$106,0)),"TANIMSIZ MÜŞTERİ"))))</f>
        <v/>
      </c>
      <c r="D52" s="109" t="n"/>
      <c r="E52" s="225" t="n"/>
      <c r="F52" s="226" t="n"/>
      <c r="G52" s="108" t="n"/>
      <c r="H52" s="108" t="n"/>
      <c r="I52" s="109" t="n"/>
      <c r="J52" s="109" t="n"/>
      <c r="K52" s="109" t="n"/>
      <c r="L52" s="231">
        <f>IF($E52="","",DATE(YEAR($E52),MONTH($E52),1))</f>
        <v/>
      </c>
      <c r="M52" s="113">
        <f>IF($D52="","",IF($C52="TANIMSIZ MÜŞTERİ","HATA",IF(OR($E52="",$F52&lt;=0,$G52=""),"EKSİK",IF($E52&gt;TODAY(),"İLERİ TARİH","UYGUN"))))</f>
        <v/>
      </c>
      <c r="N52" s="121">
        <f>IF($C52="","",IF($C52="TANIMSIZ MÜŞTERİ","—",INDEX(MUSTERILER!$C$7:$C$106,MATCH($C52,MUSTERILER!$B$7:$B$106,0))))</f>
        <v/>
      </c>
      <c r="O52" s="6" t="n"/>
      <c r="P52" s="6" t="n"/>
      <c r="Q52" s="3">
        <f>IF($D52="","",$C52&amp;"|"&amp;COUNTIFS($C$7:$C52,$C52))</f>
        <v/>
      </c>
    </row>
    <row r="53">
      <c r="A53" s="6" t="n"/>
      <c r="B53" s="113">
        <f>IF($D53="","","T"&amp;TEXT(ROW()-6,"00000"))</f>
        <v/>
      </c>
      <c r="C53" s="113">
        <f>IF($D53="","",IFERROR(INDEX(MUSTERILER!$B$7:$B$106,MATCH($D53,MUSTERILER!$C$7:$C$106,0)),IFERROR(INDEX(MUSTERILER!$B$7:$B$106,MATCH($D53,MUSTERILER!$B$7:$B$106,0)),IFERROR(INDEX(MUSTERILER!$B$7:$B$106,MATCH($D53&amp;"*",MUSTERILER!$C$7:$C$106,0)),"TANIMSIZ MÜŞTERİ"))))</f>
        <v/>
      </c>
      <c r="D53" s="109" t="n"/>
      <c r="E53" s="225" t="n"/>
      <c r="F53" s="226" t="n"/>
      <c r="G53" s="108" t="n"/>
      <c r="H53" s="108" t="n"/>
      <c r="I53" s="109" t="n"/>
      <c r="J53" s="109" t="n"/>
      <c r="K53" s="109" t="n"/>
      <c r="L53" s="231">
        <f>IF($E53="","",DATE(YEAR($E53),MONTH($E53),1))</f>
        <v/>
      </c>
      <c r="M53" s="113">
        <f>IF($D53="","",IF($C53="TANIMSIZ MÜŞTERİ","HATA",IF(OR($E53="",$F53&lt;=0,$G53=""),"EKSİK",IF($E53&gt;TODAY(),"İLERİ TARİH","UYGUN"))))</f>
        <v/>
      </c>
      <c r="N53" s="121">
        <f>IF($C53="","",IF($C53="TANIMSIZ MÜŞTERİ","—",INDEX(MUSTERILER!$C$7:$C$106,MATCH($C53,MUSTERILER!$B$7:$B$106,0))))</f>
        <v/>
      </c>
      <c r="O53" s="6" t="n"/>
      <c r="P53" s="6" t="n"/>
      <c r="Q53" s="3">
        <f>IF($D53="","",$C53&amp;"|"&amp;COUNTIFS($C$7:$C53,$C53))</f>
        <v/>
      </c>
    </row>
    <row r="54">
      <c r="A54" s="6" t="n"/>
      <c r="B54" s="113">
        <f>IF($D54="","","T"&amp;TEXT(ROW()-6,"00000"))</f>
        <v/>
      </c>
      <c r="C54" s="113">
        <f>IF($D54="","",IFERROR(INDEX(MUSTERILER!$B$7:$B$106,MATCH($D54,MUSTERILER!$C$7:$C$106,0)),IFERROR(INDEX(MUSTERILER!$B$7:$B$106,MATCH($D54,MUSTERILER!$B$7:$B$106,0)),IFERROR(INDEX(MUSTERILER!$B$7:$B$106,MATCH($D54&amp;"*",MUSTERILER!$C$7:$C$106,0)),"TANIMSIZ MÜŞTERİ"))))</f>
        <v/>
      </c>
      <c r="D54" s="109" t="n"/>
      <c r="E54" s="225" t="n"/>
      <c r="F54" s="226" t="n"/>
      <c r="G54" s="108" t="n"/>
      <c r="H54" s="108" t="n"/>
      <c r="I54" s="109" t="n"/>
      <c r="J54" s="109" t="n"/>
      <c r="K54" s="109" t="n"/>
      <c r="L54" s="231">
        <f>IF($E54="","",DATE(YEAR($E54),MONTH($E54),1))</f>
        <v/>
      </c>
      <c r="M54" s="113">
        <f>IF($D54="","",IF($C54="TANIMSIZ MÜŞTERİ","HATA",IF(OR($E54="",$F54&lt;=0,$G54=""),"EKSİK",IF($E54&gt;TODAY(),"İLERİ TARİH","UYGUN"))))</f>
        <v/>
      </c>
      <c r="N54" s="121">
        <f>IF($C54="","",IF($C54="TANIMSIZ MÜŞTERİ","—",INDEX(MUSTERILER!$C$7:$C$106,MATCH($C54,MUSTERILER!$B$7:$B$106,0))))</f>
        <v/>
      </c>
      <c r="O54" s="6" t="n"/>
      <c r="P54" s="6" t="n"/>
      <c r="Q54" s="3">
        <f>IF($D54="","",$C54&amp;"|"&amp;COUNTIFS($C$7:$C54,$C54))</f>
        <v/>
      </c>
    </row>
    <row r="55">
      <c r="A55" s="6" t="n"/>
      <c r="B55" s="113">
        <f>IF($D55="","","T"&amp;TEXT(ROW()-6,"00000"))</f>
        <v/>
      </c>
      <c r="C55" s="113">
        <f>IF($D55="","",IFERROR(INDEX(MUSTERILER!$B$7:$B$106,MATCH($D55,MUSTERILER!$C$7:$C$106,0)),IFERROR(INDEX(MUSTERILER!$B$7:$B$106,MATCH($D55,MUSTERILER!$B$7:$B$106,0)),IFERROR(INDEX(MUSTERILER!$B$7:$B$106,MATCH($D55&amp;"*",MUSTERILER!$C$7:$C$106,0)),"TANIMSIZ MÜŞTERİ"))))</f>
        <v/>
      </c>
      <c r="D55" s="109" t="n"/>
      <c r="E55" s="225" t="n"/>
      <c r="F55" s="226" t="n"/>
      <c r="G55" s="108" t="n"/>
      <c r="H55" s="108" t="n"/>
      <c r="I55" s="109" t="n"/>
      <c r="J55" s="109" t="n"/>
      <c r="K55" s="109" t="n"/>
      <c r="L55" s="231">
        <f>IF($E55="","",DATE(YEAR($E55),MONTH($E55),1))</f>
        <v/>
      </c>
      <c r="M55" s="113">
        <f>IF($D55="","",IF($C55="TANIMSIZ MÜŞTERİ","HATA",IF(OR($E55="",$F55&lt;=0,$G55=""),"EKSİK",IF($E55&gt;TODAY(),"İLERİ TARİH","UYGUN"))))</f>
        <v/>
      </c>
      <c r="N55" s="121">
        <f>IF($C55="","",IF($C55="TANIMSIZ MÜŞTERİ","—",INDEX(MUSTERILER!$C$7:$C$106,MATCH($C55,MUSTERILER!$B$7:$B$106,0))))</f>
        <v/>
      </c>
      <c r="O55" s="6" t="n"/>
      <c r="P55" s="6" t="n"/>
      <c r="Q55" s="3">
        <f>IF($D55="","",$C55&amp;"|"&amp;COUNTIFS($C$7:$C55,$C55))</f>
        <v/>
      </c>
    </row>
    <row r="56">
      <c r="A56" s="6" t="n"/>
      <c r="B56" s="113">
        <f>IF($D56="","","T"&amp;TEXT(ROW()-6,"00000"))</f>
        <v/>
      </c>
      <c r="C56" s="113">
        <f>IF($D56="","",IFERROR(INDEX(MUSTERILER!$B$7:$B$106,MATCH($D56,MUSTERILER!$C$7:$C$106,0)),IFERROR(INDEX(MUSTERILER!$B$7:$B$106,MATCH($D56,MUSTERILER!$B$7:$B$106,0)),IFERROR(INDEX(MUSTERILER!$B$7:$B$106,MATCH($D56&amp;"*",MUSTERILER!$C$7:$C$106,0)),"TANIMSIZ MÜŞTERİ"))))</f>
        <v/>
      </c>
      <c r="D56" s="109" t="n"/>
      <c r="E56" s="225" t="n"/>
      <c r="F56" s="226" t="n"/>
      <c r="G56" s="108" t="n"/>
      <c r="H56" s="108" t="n"/>
      <c r="I56" s="109" t="n"/>
      <c r="J56" s="109" t="n"/>
      <c r="K56" s="109" t="n"/>
      <c r="L56" s="231">
        <f>IF($E56="","",DATE(YEAR($E56),MONTH($E56),1))</f>
        <v/>
      </c>
      <c r="M56" s="113">
        <f>IF($D56="","",IF($C56="TANIMSIZ MÜŞTERİ","HATA",IF(OR($E56="",$F56&lt;=0,$G56=""),"EKSİK",IF($E56&gt;TODAY(),"İLERİ TARİH","UYGUN"))))</f>
        <v/>
      </c>
      <c r="N56" s="121">
        <f>IF($C56="","",IF($C56="TANIMSIZ MÜŞTERİ","—",INDEX(MUSTERILER!$C$7:$C$106,MATCH($C56,MUSTERILER!$B$7:$B$106,0))))</f>
        <v/>
      </c>
      <c r="O56" s="6" t="n"/>
      <c r="P56" s="6" t="n"/>
      <c r="Q56" s="3">
        <f>IF($D56="","",$C56&amp;"|"&amp;COUNTIFS($C$7:$C56,$C56))</f>
        <v/>
      </c>
    </row>
    <row r="57">
      <c r="A57" s="6" t="n"/>
      <c r="B57" s="113">
        <f>IF($D57="","","T"&amp;TEXT(ROW()-6,"00000"))</f>
        <v/>
      </c>
      <c r="C57" s="113">
        <f>IF($D57="","",IFERROR(INDEX(MUSTERILER!$B$7:$B$106,MATCH($D57,MUSTERILER!$C$7:$C$106,0)),IFERROR(INDEX(MUSTERILER!$B$7:$B$106,MATCH($D57,MUSTERILER!$B$7:$B$106,0)),IFERROR(INDEX(MUSTERILER!$B$7:$B$106,MATCH($D57&amp;"*",MUSTERILER!$C$7:$C$106,0)),"TANIMSIZ MÜŞTERİ"))))</f>
        <v/>
      </c>
      <c r="D57" s="109" t="n"/>
      <c r="E57" s="225" t="n"/>
      <c r="F57" s="226" t="n"/>
      <c r="G57" s="108" t="n"/>
      <c r="H57" s="108" t="n"/>
      <c r="I57" s="109" t="n"/>
      <c r="J57" s="109" t="n"/>
      <c r="K57" s="109" t="n"/>
      <c r="L57" s="231">
        <f>IF($E57="","",DATE(YEAR($E57),MONTH($E57),1))</f>
        <v/>
      </c>
      <c r="M57" s="113">
        <f>IF($D57="","",IF($C57="TANIMSIZ MÜŞTERİ","HATA",IF(OR($E57="",$F57&lt;=0,$G57=""),"EKSİK",IF($E57&gt;TODAY(),"İLERİ TARİH","UYGUN"))))</f>
        <v/>
      </c>
      <c r="N57" s="121">
        <f>IF($C57="","",IF($C57="TANIMSIZ MÜŞTERİ","—",INDEX(MUSTERILER!$C$7:$C$106,MATCH($C57,MUSTERILER!$B$7:$B$106,0))))</f>
        <v/>
      </c>
      <c r="O57" s="6" t="n"/>
      <c r="P57" s="6" t="n"/>
      <c r="Q57" s="3">
        <f>IF($D57="","",$C57&amp;"|"&amp;COUNTIFS($C$7:$C57,$C57))</f>
        <v/>
      </c>
    </row>
    <row r="58">
      <c r="A58" s="6" t="n"/>
      <c r="B58" s="113">
        <f>IF($D58="","","T"&amp;TEXT(ROW()-6,"00000"))</f>
        <v/>
      </c>
      <c r="C58" s="113">
        <f>IF($D58="","",IFERROR(INDEX(MUSTERILER!$B$7:$B$106,MATCH($D58,MUSTERILER!$C$7:$C$106,0)),IFERROR(INDEX(MUSTERILER!$B$7:$B$106,MATCH($D58,MUSTERILER!$B$7:$B$106,0)),IFERROR(INDEX(MUSTERILER!$B$7:$B$106,MATCH($D58&amp;"*",MUSTERILER!$C$7:$C$106,0)),"TANIMSIZ MÜŞTERİ"))))</f>
        <v/>
      </c>
      <c r="D58" s="109" t="n"/>
      <c r="E58" s="225" t="n"/>
      <c r="F58" s="226" t="n"/>
      <c r="G58" s="108" t="n"/>
      <c r="H58" s="108" t="n"/>
      <c r="I58" s="109" t="n"/>
      <c r="J58" s="109" t="n"/>
      <c r="K58" s="109" t="n"/>
      <c r="L58" s="231">
        <f>IF($E58="","",DATE(YEAR($E58),MONTH($E58),1))</f>
        <v/>
      </c>
      <c r="M58" s="113">
        <f>IF($D58="","",IF($C58="TANIMSIZ MÜŞTERİ","HATA",IF(OR($E58="",$F58&lt;=0,$G58=""),"EKSİK",IF($E58&gt;TODAY(),"İLERİ TARİH","UYGUN"))))</f>
        <v/>
      </c>
      <c r="N58" s="121">
        <f>IF($C58="","",IF($C58="TANIMSIZ MÜŞTERİ","—",INDEX(MUSTERILER!$C$7:$C$106,MATCH($C58,MUSTERILER!$B$7:$B$106,0))))</f>
        <v/>
      </c>
      <c r="O58" s="6" t="n"/>
      <c r="P58" s="6" t="n"/>
      <c r="Q58" s="3">
        <f>IF($D58="","",$C58&amp;"|"&amp;COUNTIFS($C$7:$C58,$C58))</f>
        <v/>
      </c>
    </row>
    <row r="59">
      <c r="A59" s="6" t="n"/>
      <c r="B59" s="113">
        <f>IF($D59="","","T"&amp;TEXT(ROW()-6,"00000"))</f>
        <v/>
      </c>
      <c r="C59" s="113">
        <f>IF($D59="","",IFERROR(INDEX(MUSTERILER!$B$7:$B$106,MATCH($D59,MUSTERILER!$C$7:$C$106,0)),IFERROR(INDEX(MUSTERILER!$B$7:$B$106,MATCH($D59,MUSTERILER!$B$7:$B$106,0)),IFERROR(INDEX(MUSTERILER!$B$7:$B$106,MATCH($D59&amp;"*",MUSTERILER!$C$7:$C$106,0)),"TANIMSIZ MÜŞTERİ"))))</f>
        <v/>
      </c>
      <c r="D59" s="109" t="n"/>
      <c r="E59" s="225" t="n"/>
      <c r="F59" s="226" t="n"/>
      <c r="G59" s="108" t="n"/>
      <c r="H59" s="108" t="n"/>
      <c r="I59" s="109" t="n"/>
      <c r="J59" s="109" t="n"/>
      <c r="K59" s="109" t="n"/>
      <c r="L59" s="231">
        <f>IF($E59="","",DATE(YEAR($E59),MONTH($E59),1))</f>
        <v/>
      </c>
      <c r="M59" s="113">
        <f>IF($D59="","",IF($C59="TANIMSIZ MÜŞTERİ","HATA",IF(OR($E59="",$F59&lt;=0,$G59=""),"EKSİK",IF($E59&gt;TODAY(),"İLERİ TARİH","UYGUN"))))</f>
        <v/>
      </c>
      <c r="N59" s="121">
        <f>IF($C59="","",IF($C59="TANIMSIZ MÜŞTERİ","—",INDEX(MUSTERILER!$C$7:$C$106,MATCH($C59,MUSTERILER!$B$7:$B$106,0))))</f>
        <v/>
      </c>
      <c r="O59" s="6" t="n"/>
      <c r="P59" s="6" t="n"/>
      <c r="Q59" s="3">
        <f>IF($D59="","",$C59&amp;"|"&amp;COUNTIFS($C$7:$C59,$C59))</f>
        <v/>
      </c>
    </row>
    <row r="60">
      <c r="A60" s="6" t="n"/>
      <c r="B60" s="113">
        <f>IF($D60="","","T"&amp;TEXT(ROW()-6,"00000"))</f>
        <v/>
      </c>
      <c r="C60" s="113">
        <f>IF($D60="","",IFERROR(INDEX(MUSTERILER!$B$7:$B$106,MATCH($D60,MUSTERILER!$C$7:$C$106,0)),IFERROR(INDEX(MUSTERILER!$B$7:$B$106,MATCH($D60,MUSTERILER!$B$7:$B$106,0)),IFERROR(INDEX(MUSTERILER!$B$7:$B$106,MATCH($D60&amp;"*",MUSTERILER!$C$7:$C$106,0)),"TANIMSIZ MÜŞTERİ"))))</f>
        <v/>
      </c>
      <c r="D60" s="109" t="n"/>
      <c r="E60" s="225" t="n"/>
      <c r="F60" s="226" t="n"/>
      <c r="G60" s="108" t="n"/>
      <c r="H60" s="108" t="n"/>
      <c r="I60" s="109" t="n"/>
      <c r="J60" s="109" t="n"/>
      <c r="K60" s="109" t="n"/>
      <c r="L60" s="231">
        <f>IF($E60="","",DATE(YEAR($E60),MONTH($E60),1))</f>
        <v/>
      </c>
      <c r="M60" s="113">
        <f>IF($D60="","",IF($C60="TANIMSIZ MÜŞTERİ","HATA",IF(OR($E60="",$F60&lt;=0,$G60=""),"EKSİK",IF($E60&gt;TODAY(),"İLERİ TARİH","UYGUN"))))</f>
        <v/>
      </c>
      <c r="N60" s="121">
        <f>IF($C60="","",IF($C60="TANIMSIZ MÜŞTERİ","—",INDEX(MUSTERILER!$C$7:$C$106,MATCH($C60,MUSTERILER!$B$7:$B$106,0))))</f>
        <v/>
      </c>
      <c r="O60" s="6" t="n"/>
      <c r="P60" s="6" t="n"/>
      <c r="Q60" s="3">
        <f>IF($D60="","",$C60&amp;"|"&amp;COUNTIFS($C$7:$C60,$C60))</f>
        <v/>
      </c>
    </row>
    <row r="61">
      <c r="A61" s="6" t="n"/>
      <c r="B61" s="113">
        <f>IF($D61="","","T"&amp;TEXT(ROW()-6,"00000"))</f>
        <v/>
      </c>
      <c r="C61" s="113">
        <f>IF($D61="","",IFERROR(INDEX(MUSTERILER!$B$7:$B$106,MATCH($D61,MUSTERILER!$C$7:$C$106,0)),IFERROR(INDEX(MUSTERILER!$B$7:$B$106,MATCH($D61,MUSTERILER!$B$7:$B$106,0)),IFERROR(INDEX(MUSTERILER!$B$7:$B$106,MATCH($D61&amp;"*",MUSTERILER!$C$7:$C$106,0)),"TANIMSIZ MÜŞTERİ"))))</f>
        <v/>
      </c>
      <c r="D61" s="109" t="n"/>
      <c r="E61" s="225" t="n"/>
      <c r="F61" s="226" t="n"/>
      <c r="G61" s="108" t="n"/>
      <c r="H61" s="108" t="n"/>
      <c r="I61" s="109" t="n"/>
      <c r="J61" s="109" t="n"/>
      <c r="K61" s="109" t="n"/>
      <c r="L61" s="231">
        <f>IF($E61="","",DATE(YEAR($E61),MONTH($E61),1))</f>
        <v/>
      </c>
      <c r="M61" s="113">
        <f>IF($D61="","",IF($C61="TANIMSIZ MÜŞTERİ","HATA",IF(OR($E61="",$F61&lt;=0,$G61=""),"EKSİK",IF($E61&gt;TODAY(),"İLERİ TARİH","UYGUN"))))</f>
        <v/>
      </c>
      <c r="N61" s="121">
        <f>IF($C61="","",IF($C61="TANIMSIZ MÜŞTERİ","—",INDEX(MUSTERILER!$C$7:$C$106,MATCH($C61,MUSTERILER!$B$7:$B$106,0))))</f>
        <v/>
      </c>
      <c r="O61" s="6" t="n"/>
      <c r="P61" s="6" t="n"/>
      <c r="Q61" s="3">
        <f>IF($D61="","",$C61&amp;"|"&amp;COUNTIFS($C$7:$C61,$C61))</f>
        <v/>
      </c>
    </row>
    <row r="62">
      <c r="A62" s="6" t="n"/>
      <c r="B62" s="113">
        <f>IF($D62="","","T"&amp;TEXT(ROW()-6,"00000"))</f>
        <v/>
      </c>
      <c r="C62" s="113">
        <f>IF($D62="","",IFERROR(INDEX(MUSTERILER!$B$7:$B$106,MATCH($D62,MUSTERILER!$C$7:$C$106,0)),IFERROR(INDEX(MUSTERILER!$B$7:$B$106,MATCH($D62,MUSTERILER!$B$7:$B$106,0)),IFERROR(INDEX(MUSTERILER!$B$7:$B$106,MATCH($D62&amp;"*",MUSTERILER!$C$7:$C$106,0)),"TANIMSIZ MÜŞTERİ"))))</f>
        <v/>
      </c>
      <c r="D62" s="109" t="n"/>
      <c r="E62" s="225" t="n"/>
      <c r="F62" s="226" t="n"/>
      <c r="G62" s="108" t="n"/>
      <c r="H62" s="108" t="n"/>
      <c r="I62" s="109" t="n"/>
      <c r="J62" s="109" t="n"/>
      <c r="K62" s="109" t="n"/>
      <c r="L62" s="231">
        <f>IF($E62="","",DATE(YEAR($E62),MONTH($E62),1))</f>
        <v/>
      </c>
      <c r="M62" s="113">
        <f>IF($D62="","",IF($C62="TANIMSIZ MÜŞTERİ","HATA",IF(OR($E62="",$F62&lt;=0,$G62=""),"EKSİK",IF($E62&gt;TODAY(),"İLERİ TARİH","UYGUN"))))</f>
        <v/>
      </c>
      <c r="N62" s="121">
        <f>IF($C62="","",IF($C62="TANIMSIZ MÜŞTERİ","—",INDEX(MUSTERILER!$C$7:$C$106,MATCH($C62,MUSTERILER!$B$7:$B$106,0))))</f>
        <v/>
      </c>
      <c r="O62" s="6" t="n"/>
      <c r="P62" s="6" t="n"/>
      <c r="Q62" s="3">
        <f>IF($D62="","",$C62&amp;"|"&amp;COUNTIFS($C$7:$C62,$C62))</f>
        <v/>
      </c>
    </row>
    <row r="63">
      <c r="A63" s="6" t="n"/>
      <c r="B63" s="113">
        <f>IF($D63="","","T"&amp;TEXT(ROW()-6,"00000"))</f>
        <v/>
      </c>
      <c r="C63" s="113">
        <f>IF($D63="","",IFERROR(INDEX(MUSTERILER!$B$7:$B$106,MATCH($D63,MUSTERILER!$C$7:$C$106,0)),IFERROR(INDEX(MUSTERILER!$B$7:$B$106,MATCH($D63,MUSTERILER!$B$7:$B$106,0)),IFERROR(INDEX(MUSTERILER!$B$7:$B$106,MATCH($D63&amp;"*",MUSTERILER!$C$7:$C$106,0)),"TANIMSIZ MÜŞTERİ"))))</f>
        <v/>
      </c>
      <c r="D63" s="109" t="n"/>
      <c r="E63" s="225" t="n"/>
      <c r="F63" s="226" t="n"/>
      <c r="G63" s="108" t="n"/>
      <c r="H63" s="108" t="n"/>
      <c r="I63" s="109" t="n"/>
      <c r="J63" s="109" t="n"/>
      <c r="K63" s="109" t="n"/>
      <c r="L63" s="231">
        <f>IF($E63="","",DATE(YEAR($E63),MONTH($E63),1))</f>
        <v/>
      </c>
      <c r="M63" s="113">
        <f>IF($D63="","",IF($C63="TANIMSIZ MÜŞTERİ","HATA",IF(OR($E63="",$F63&lt;=0,$G63=""),"EKSİK",IF($E63&gt;TODAY(),"İLERİ TARİH","UYGUN"))))</f>
        <v/>
      </c>
      <c r="N63" s="121">
        <f>IF($C63="","",IF($C63="TANIMSIZ MÜŞTERİ","—",INDEX(MUSTERILER!$C$7:$C$106,MATCH($C63,MUSTERILER!$B$7:$B$106,0))))</f>
        <v/>
      </c>
      <c r="O63" s="6" t="n"/>
      <c r="P63" s="6" t="n"/>
      <c r="Q63" s="3">
        <f>IF($D63="","",$C63&amp;"|"&amp;COUNTIFS($C$7:$C63,$C63))</f>
        <v/>
      </c>
    </row>
    <row r="64">
      <c r="A64" s="6" t="n"/>
      <c r="B64" s="113">
        <f>IF($D64="","","T"&amp;TEXT(ROW()-6,"00000"))</f>
        <v/>
      </c>
      <c r="C64" s="113">
        <f>IF($D64="","",IFERROR(INDEX(MUSTERILER!$B$7:$B$106,MATCH($D64,MUSTERILER!$C$7:$C$106,0)),IFERROR(INDEX(MUSTERILER!$B$7:$B$106,MATCH($D64,MUSTERILER!$B$7:$B$106,0)),IFERROR(INDEX(MUSTERILER!$B$7:$B$106,MATCH($D64&amp;"*",MUSTERILER!$C$7:$C$106,0)),"TANIMSIZ MÜŞTERİ"))))</f>
        <v/>
      </c>
      <c r="D64" s="109" t="n"/>
      <c r="E64" s="225" t="n"/>
      <c r="F64" s="226" t="n"/>
      <c r="G64" s="108" t="n"/>
      <c r="H64" s="108" t="n"/>
      <c r="I64" s="109" t="n"/>
      <c r="J64" s="109" t="n"/>
      <c r="K64" s="109" t="n"/>
      <c r="L64" s="231">
        <f>IF($E64="","",DATE(YEAR($E64),MONTH($E64),1))</f>
        <v/>
      </c>
      <c r="M64" s="113">
        <f>IF($D64="","",IF($C64="TANIMSIZ MÜŞTERİ","HATA",IF(OR($E64="",$F64&lt;=0,$G64=""),"EKSİK",IF($E64&gt;TODAY(),"İLERİ TARİH","UYGUN"))))</f>
        <v/>
      </c>
      <c r="N64" s="121">
        <f>IF($C64="","",IF($C64="TANIMSIZ MÜŞTERİ","—",INDEX(MUSTERILER!$C$7:$C$106,MATCH($C64,MUSTERILER!$B$7:$B$106,0))))</f>
        <v/>
      </c>
      <c r="O64" s="6" t="n"/>
      <c r="P64" s="6" t="n"/>
      <c r="Q64" s="3">
        <f>IF($D64="","",$C64&amp;"|"&amp;COUNTIFS($C$7:$C64,$C64))</f>
        <v/>
      </c>
    </row>
    <row r="65">
      <c r="A65" s="6" t="n"/>
      <c r="B65" s="113">
        <f>IF($D65="","","T"&amp;TEXT(ROW()-6,"00000"))</f>
        <v/>
      </c>
      <c r="C65" s="113">
        <f>IF($D65="","",IFERROR(INDEX(MUSTERILER!$B$7:$B$106,MATCH($D65,MUSTERILER!$C$7:$C$106,0)),IFERROR(INDEX(MUSTERILER!$B$7:$B$106,MATCH($D65,MUSTERILER!$B$7:$B$106,0)),IFERROR(INDEX(MUSTERILER!$B$7:$B$106,MATCH($D65&amp;"*",MUSTERILER!$C$7:$C$106,0)),"TANIMSIZ MÜŞTERİ"))))</f>
        <v/>
      </c>
      <c r="D65" s="109" t="n"/>
      <c r="E65" s="225" t="n"/>
      <c r="F65" s="226" t="n"/>
      <c r="G65" s="108" t="n"/>
      <c r="H65" s="108" t="n"/>
      <c r="I65" s="109" t="n"/>
      <c r="J65" s="109" t="n"/>
      <c r="K65" s="109" t="n"/>
      <c r="L65" s="231">
        <f>IF($E65="","",DATE(YEAR($E65),MONTH($E65),1))</f>
        <v/>
      </c>
      <c r="M65" s="113">
        <f>IF($D65="","",IF($C65="TANIMSIZ MÜŞTERİ","HATA",IF(OR($E65="",$F65&lt;=0,$G65=""),"EKSİK",IF($E65&gt;TODAY(),"İLERİ TARİH","UYGUN"))))</f>
        <v/>
      </c>
      <c r="N65" s="121">
        <f>IF($C65="","",IF($C65="TANIMSIZ MÜŞTERİ","—",INDEX(MUSTERILER!$C$7:$C$106,MATCH($C65,MUSTERILER!$B$7:$B$106,0))))</f>
        <v/>
      </c>
      <c r="O65" s="6" t="n"/>
      <c r="P65" s="6" t="n"/>
      <c r="Q65" s="3">
        <f>IF($D65="","",$C65&amp;"|"&amp;COUNTIFS($C$7:$C65,$C65))</f>
        <v/>
      </c>
    </row>
    <row r="66">
      <c r="A66" s="6" t="n"/>
      <c r="B66" s="113">
        <f>IF($D66="","","T"&amp;TEXT(ROW()-6,"00000"))</f>
        <v/>
      </c>
      <c r="C66" s="113">
        <f>IF($D66="","",IFERROR(INDEX(MUSTERILER!$B$7:$B$106,MATCH($D66,MUSTERILER!$C$7:$C$106,0)),IFERROR(INDEX(MUSTERILER!$B$7:$B$106,MATCH($D66,MUSTERILER!$B$7:$B$106,0)),IFERROR(INDEX(MUSTERILER!$B$7:$B$106,MATCH($D66&amp;"*",MUSTERILER!$C$7:$C$106,0)),"TANIMSIZ MÜŞTERİ"))))</f>
        <v/>
      </c>
      <c r="D66" s="109" t="n"/>
      <c r="E66" s="225" t="n"/>
      <c r="F66" s="226" t="n"/>
      <c r="G66" s="108" t="n"/>
      <c r="H66" s="108" t="n"/>
      <c r="I66" s="109" t="n"/>
      <c r="J66" s="109" t="n"/>
      <c r="K66" s="109" t="n"/>
      <c r="L66" s="231">
        <f>IF($E66="","",DATE(YEAR($E66),MONTH($E66),1))</f>
        <v/>
      </c>
      <c r="M66" s="113">
        <f>IF($D66="","",IF($C66="TANIMSIZ MÜŞTERİ","HATA",IF(OR($E66="",$F66&lt;=0,$G66=""),"EKSİK",IF($E66&gt;TODAY(),"İLERİ TARİH","UYGUN"))))</f>
        <v/>
      </c>
      <c r="N66" s="121">
        <f>IF($C66="","",IF($C66="TANIMSIZ MÜŞTERİ","—",INDEX(MUSTERILER!$C$7:$C$106,MATCH($C66,MUSTERILER!$B$7:$B$106,0))))</f>
        <v/>
      </c>
      <c r="O66" s="6" t="n"/>
      <c r="P66" s="6" t="n"/>
      <c r="Q66" s="3">
        <f>IF($D66="","",$C66&amp;"|"&amp;COUNTIFS($C$7:$C66,$C66))</f>
        <v/>
      </c>
    </row>
    <row r="67">
      <c r="A67" s="6" t="n"/>
      <c r="B67" s="113">
        <f>IF($D67="","","T"&amp;TEXT(ROW()-6,"00000"))</f>
        <v/>
      </c>
      <c r="C67" s="113">
        <f>IF($D67="","",IFERROR(INDEX(MUSTERILER!$B$7:$B$106,MATCH($D67,MUSTERILER!$C$7:$C$106,0)),IFERROR(INDEX(MUSTERILER!$B$7:$B$106,MATCH($D67,MUSTERILER!$B$7:$B$106,0)),IFERROR(INDEX(MUSTERILER!$B$7:$B$106,MATCH($D67&amp;"*",MUSTERILER!$C$7:$C$106,0)),"TANIMSIZ MÜŞTERİ"))))</f>
        <v/>
      </c>
      <c r="D67" s="109" t="n"/>
      <c r="E67" s="225" t="n"/>
      <c r="F67" s="226" t="n"/>
      <c r="G67" s="108" t="n"/>
      <c r="H67" s="108" t="n"/>
      <c r="I67" s="109" t="n"/>
      <c r="J67" s="109" t="n"/>
      <c r="K67" s="109" t="n"/>
      <c r="L67" s="231">
        <f>IF($E67="","",DATE(YEAR($E67),MONTH($E67),1))</f>
        <v/>
      </c>
      <c r="M67" s="113">
        <f>IF($D67="","",IF($C67="TANIMSIZ MÜŞTERİ","HATA",IF(OR($E67="",$F67&lt;=0,$G67=""),"EKSİK",IF($E67&gt;TODAY(),"İLERİ TARİH","UYGUN"))))</f>
        <v/>
      </c>
      <c r="N67" s="121">
        <f>IF($C67="","",IF($C67="TANIMSIZ MÜŞTERİ","—",INDEX(MUSTERILER!$C$7:$C$106,MATCH($C67,MUSTERILER!$B$7:$B$106,0))))</f>
        <v/>
      </c>
      <c r="O67" s="6" t="n"/>
      <c r="P67" s="6" t="n"/>
      <c r="Q67" s="3">
        <f>IF($D67="","",$C67&amp;"|"&amp;COUNTIFS($C$7:$C67,$C67))</f>
        <v/>
      </c>
    </row>
    <row r="68">
      <c r="A68" s="6" t="n"/>
      <c r="B68" s="113">
        <f>IF($D68="","","T"&amp;TEXT(ROW()-6,"00000"))</f>
        <v/>
      </c>
      <c r="C68" s="113">
        <f>IF($D68="","",IFERROR(INDEX(MUSTERILER!$B$7:$B$106,MATCH($D68,MUSTERILER!$C$7:$C$106,0)),IFERROR(INDEX(MUSTERILER!$B$7:$B$106,MATCH($D68,MUSTERILER!$B$7:$B$106,0)),IFERROR(INDEX(MUSTERILER!$B$7:$B$106,MATCH($D68&amp;"*",MUSTERILER!$C$7:$C$106,0)),"TANIMSIZ MÜŞTERİ"))))</f>
        <v/>
      </c>
      <c r="D68" s="109" t="n"/>
      <c r="E68" s="225" t="n"/>
      <c r="F68" s="226" t="n"/>
      <c r="G68" s="108" t="n"/>
      <c r="H68" s="108" t="n"/>
      <c r="I68" s="109" t="n"/>
      <c r="J68" s="109" t="n"/>
      <c r="K68" s="109" t="n"/>
      <c r="L68" s="231">
        <f>IF($E68="","",DATE(YEAR($E68),MONTH($E68),1))</f>
        <v/>
      </c>
      <c r="M68" s="113">
        <f>IF($D68="","",IF($C68="TANIMSIZ MÜŞTERİ","HATA",IF(OR($E68="",$F68&lt;=0,$G68=""),"EKSİK",IF($E68&gt;TODAY(),"İLERİ TARİH","UYGUN"))))</f>
        <v/>
      </c>
      <c r="N68" s="121">
        <f>IF($C68="","",IF($C68="TANIMSIZ MÜŞTERİ","—",INDEX(MUSTERILER!$C$7:$C$106,MATCH($C68,MUSTERILER!$B$7:$B$106,0))))</f>
        <v/>
      </c>
      <c r="O68" s="6" t="n"/>
      <c r="P68" s="6" t="n"/>
      <c r="Q68" s="3">
        <f>IF($D68="","",$C68&amp;"|"&amp;COUNTIFS($C$7:$C68,$C68))</f>
        <v/>
      </c>
    </row>
    <row r="69">
      <c r="A69" s="6" t="n"/>
      <c r="B69" s="113">
        <f>IF($D69="","","T"&amp;TEXT(ROW()-6,"00000"))</f>
        <v/>
      </c>
      <c r="C69" s="113">
        <f>IF($D69="","",IFERROR(INDEX(MUSTERILER!$B$7:$B$106,MATCH($D69,MUSTERILER!$C$7:$C$106,0)),IFERROR(INDEX(MUSTERILER!$B$7:$B$106,MATCH($D69,MUSTERILER!$B$7:$B$106,0)),IFERROR(INDEX(MUSTERILER!$B$7:$B$106,MATCH($D69&amp;"*",MUSTERILER!$C$7:$C$106,0)),"TANIMSIZ MÜŞTERİ"))))</f>
        <v/>
      </c>
      <c r="D69" s="109" t="n"/>
      <c r="E69" s="225" t="n"/>
      <c r="F69" s="226" t="n"/>
      <c r="G69" s="108" t="n"/>
      <c r="H69" s="108" t="n"/>
      <c r="I69" s="109" t="n"/>
      <c r="J69" s="109" t="n"/>
      <c r="K69" s="109" t="n"/>
      <c r="L69" s="231">
        <f>IF($E69="","",DATE(YEAR($E69),MONTH($E69),1))</f>
        <v/>
      </c>
      <c r="M69" s="113">
        <f>IF($D69="","",IF($C69="TANIMSIZ MÜŞTERİ","HATA",IF(OR($E69="",$F69&lt;=0,$G69=""),"EKSİK",IF($E69&gt;TODAY(),"İLERİ TARİH","UYGUN"))))</f>
        <v/>
      </c>
      <c r="N69" s="121">
        <f>IF($C69="","",IF($C69="TANIMSIZ MÜŞTERİ","—",INDEX(MUSTERILER!$C$7:$C$106,MATCH($C69,MUSTERILER!$B$7:$B$106,0))))</f>
        <v/>
      </c>
      <c r="O69" s="6" t="n"/>
      <c r="P69" s="6" t="n"/>
      <c r="Q69" s="3">
        <f>IF($D69="","",$C69&amp;"|"&amp;COUNTIFS($C$7:$C69,$C69))</f>
        <v/>
      </c>
    </row>
    <row r="70">
      <c r="A70" s="6" t="n"/>
      <c r="B70" s="113">
        <f>IF($D70="","","T"&amp;TEXT(ROW()-6,"00000"))</f>
        <v/>
      </c>
      <c r="C70" s="113">
        <f>IF($D70="","",IFERROR(INDEX(MUSTERILER!$B$7:$B$106,MATCH($D70,MUSTERILER!$C$7:$C$106,0)),IFERROR(INDEX(MUSTERILER!$B$7:$B$106,MATCH($D70,MUSTERILER!$B$7:$B$106,0)),IFERROR(INDEX(MUSTERILER!$B$7:$B$106,MATCH($D70&amp;"*",MUSTERILER!$C$7:$C$106,0)),"TANIMSIZ MÜŞTERİ"))))</f>
        <v/>
      </c>
      <c r="D70" s="109" t="n"/>
      <c r="E70" s="225" t="n"/>
      <c r="F70" s="226" t="n"/>
      <c r="G70" s="108" t="n"/>
      <c r="H70" s="108" t="n"/>
      <c r="I70" s="109" t="n"/>
      <c r="J70" s="109" t="n"/>
      <c r="K70" s="109" t="n"/>
      <c r="L70" s="231">
        <f>IF($E70="","",DATE(YEAR($E70),MONTH($E70),1))</f>
        <v/>
      </c>
      <c r="M70" s="113">
        <f>IF($D70="","",IF($C70="TANIMSIZ MÜŞTERİ","HATA",IF(OR($E70="",$F70&lt;=0,$G70=""),"EKSİK",IF($E70&gt;TODAY(),"İLERİ TARİH","UYGUN"))))</f>
        <v/>
      </c>
      <c r="N70" s="121">
        <f>IF($C70="","",IF($C70="TANIMSIZ MÜŞTERİ","—",INDEX(MUSTERILER!$C$7:$C$106,MATCH($C70,MUSTERILER!$B$7:$B$106,0))))</f>
        <v/>
      </c>
      <c r="O70" s="6" t="n"/>
      <c r="P70" s="6" t="n"/>
      <c r="Q70" s="3">
        <f>IF($D70="","",$C70&amp;"|"&amp;COUNTIFS($C$7:$C70,$C70))</f>
        <v/>
      </c>
    </row>
    <row r="71">
      <c r="A71" s="6" t="n"/>
      <c r="B71" s="113">
        <f>IF($D71="","","T"&amp;TEXT(ROW()-6,"00000"))</f>
        <v/>
      </c>
      <c r="C71" s="113">
        <f>IF($D71="","",IFERROR(INDEX(MUSTERILER!$B$7:$B$106,MATCH($D71,MUSTERILER!$C$7:$C$106,0)),IFERROR(INDEX(MUSTERILER!$B$7:$B$106,MATCH($D71,MUSTERILER!$B$7:$B$106,0)),IFERROR(INDEX(MUSTERILER!$B$7:$B$106,MATCH($D71&amp;"*",MUSTERILER!$C$7:$C$106,0)),"TANIMSIZ MÜŞTERİ"))))</f>
        <v/>
      </c>
      <c r="D71" s="109" t="n"/>
      <c r="E71" s="225" t="n"/>
      <c r="F71" s="226" t="n"/>
      <c r="G71" s="108" t="n"/>
      <c r="H71" s="108" t="n"/>
      <c r="I71" s="109" t="n"/>
      <c r="J71" s="109" t="n"/>
      <c r="K71" s="109" t="n"/>
      <c r="L71" s="231">
        <f>IF($E71="","",DATE(YEAR($E71),MONTH($E71),1))</f>
        <v/>
      </c>
      <c r="M71" s="113">
        <f>IF($D71="","",IF($C71="TANIMSIZ MÜŞTERİ","HATA",IF(OR($E71="",$F71&lt;=0,$G71=""),"EKSİK",IF($E71&gt;TODAY(),"İLERİ TARİH","UYGUN"))))</f>
        <v/>
      </c>
      <c r="N71" s="121">
        <f>IF($C71="","",IF($C71="TANIMSIZ MÜŞTERİ","—",INDEX(MUSTERILER!$C$7:$C$106,MATCH($C71,MUSTERILER!$B$7:$B$106,0))))</f>
        <v/>
      </c>
      <c r="O71" s="6" t="n"/>
      <c r="P71" s="6" t="n"/>
      <c r="Q71" s="3">
        <f>IF($D71="","",$C71&amp;"|"&amp;COUNTIFS($C$7:$C71,$C71))</f>
        <v/>
      </c>
    </row>
    <row r="72">
      <c r="A72" s="6" t="n"/>
      <c r="B72" s="113">
        <f>IF($D72="","","T"&amp;TEXT(ROW()-6,"00000"))</f>
        <v/>
      </c>
      <c r="C72" s="113">
        <f>IF($D72="","",IFERROR(INDEX(MUSTERILER!$B$7:$B$106,MATCH($D72,MUSTERILER!$C$7:$C$106,0)),IFERROR(INDEX(MUSTERILER!$B$7:$B$106,MATCH($D72,MUSTERILER!$B$7:$B$106,0)),IFERROR(INDEX(MUSTERILER!$B$7:$B$106,MATCH($D72&amp;"*",MUSTERILER!$C$7:$C$106,0)),"TANIMSIZ MÜŞTERİ"))))</f>
        <v/>
      </c>
      <c r="D72" s="109" t="n"/>
      <c r="E72" s="225" t="n"/>
      <c r="F72" s="226" t="n"/>
      <c r="G72" s="108" t="n"/>
      <c r="H72" s="108" t="n"/>
      <c r="I72" s="109" t="n"/>
      <c r="J72" s="109" t="n"/>
      <c r="K72" s="109" t="n"/>
      <c r="L72" s="231">
        <f>IF($E72="","",DATE(YEAR($E72),MONTH($E72),1))</f>
        <v/>
      </c>
      <c r="M72" s="113">
        <f>IF($D72="","",IF($C72="TANIMSIZ MÜŞTERİ","HATA",IF(OR($E72="",$F72&lt;=0,$G72=""),"EKSİK",IF($E72&gt;TODAY(),"İLERİ TARİH","UYGUN"))))</f>
        <v/>
      </c>
      <c r="N72" s="121">
        <f>IF($C72="","",IF($C72="TANIMSIZ MÜŞTERİ","—",INDEX(MUSTERILER!$C$7:$C$106,MATCH($C72,MUSTERILER!$B$7:$B$106,0))))</f>
        <v/>
      </c>
      <c r="O72" s="6" t="n"/>
      <c r="P72" s="6" t="n"/>
      <c r="Q72" s="3">
        <f>IF($D72="","",$C72&amp;"|"&amp;COUNTIFS($C$7:$C72,$C72))</f>
        <v/>
      </c>
    </row>
    <row r="73">
      <c r="A73" s="6" t="n"/>
      <c r="B73" s="113">
        <f>IF($D73="","","T"&amp;TEXT(ROW()-6,"00000"))</f>
        <v/>
      </c>
      <c r="C73" s="113">
        <f>IF($D73="","",IFERROR(INDEX(MUSTERILER!$B$7:$B$106,MATCH($D73,MUSTERILER!$C$7:$C$106,0)),IFERROR(INDEX(MUSTERILER!$B$7:$B$106,MATCH($D73,MUSTERILER!$B$7:$B$106,0)),IFERROR(INDEX(MUSTERILER!$B$7:$B$106,MATCH($D73&amp;"*",MUSTERILER!$C$7:$C$106,0)),"TANIMSIZ MÜŞTERİ"))))</f>
        <v/>
      </c>
      <c r="D73" s="109" t="n"/>
      <c r="E73" s="225" t="n"/>
      <c r="F73" s="226" t="n"/>
      <c r="G73" s="108" t="n"/>
      <c r="H73" s="108" t="n"/>
      <c r="I73" s="109" t="n"/>
      <c r="J73" s="109" t="n"/>
      <c r="K73" s="109" t="n"/>
      <c r="L73" s="231">
        <f>IF($E73="","",DATE(YEAR($E73),MONTH($E73),1))</f>
        <v/>
      </c>
      <c r="M73" s="113">
        <f>IF($D73="","",IF($C73="TANIMSIZ MÜŞTERİ","HATA",IF(OR($E73="",$F73&lt;=0,$G73=""),"EKSİK",IF($E73&gt;TODAY(),"İLERİ TARİH","UYGUN"))))</f>
        <v/>
      </c>
      <c r="N73" s="121">
        <f>IF($C73="","",IF($C73="TANIMSIZ MÜŞTERİ","—",INDEX(MUSTERILER!$C$7:$C$106,MATCH($C73,MUSTERILER!$B$7:$B$106,0))))</f>
        <v/>
      </c>
      <c r="O73" s="6" t="n"/>
      <c r="P73" s="6" t="n"/>
      <c r="Q73" s="3">
        <f>IF($D73="","",$C73&amp;"|"&amp;COUNTIFS($C$7:$C73,$C73))</f>
        <v/>
      </c>
    </row>
    <row r="74">
      <c r="A74" s="6" t="n"/>
      <c r="B74" s="113">
        <f>IF($D74="","","T"&amp;TEXT(ROW()-6,"00000"))</f>
        <v/>
      </c>
      <c r="C74" s="113">
        <f>IF($D74="","",IFERROR(INDEX(MUSTERILER!$B$7:$B$106,MATCH($D74,MUSTERILER!$C$7:$C$106,0)),IFERROR(INDEX(MUSTERILER!$B$7:$B$106,MATCH($D74,MUSTERILER!$B$7:$B$106,0)),IFERROR(INDEX(MUSTERILER!$B$7:$B$106,MATCH($D74&amp;"*",MUSTERILER!$C$7:$C$106,0)),"TANIMSIZ MÜŞTERİ"))))</f>
        <v/>
      </c>
      <c r="D74" s="109" t="n"/>
      <c r="E74" s="225" t="n"/>
      <c r="F74" s="226" t="n"/>
      <c r="G74" s="108" t="n"/>
      <c r="H74" s="108" t="n"/>
      <c r="I74" s="109" t="n"/>
      <c r="J74" s="109" t="n"/>
      <c r="K74" s="109" t="n"/>
      <c r="L74" s="231">
        <f>IF($E74="","",DATE(YEAR($E74),MONTH($E74),1))</f>
        <v/>
      </c>
      <c r="M74" s="113">
        <f>IF($D74="","",IF($C74="TANIMSIZ MÜŞTERİ","HATA",IF(OR($E74="",$F74&lt;=0,$G74=""),"EKSİK",IF($E74&gt;TODAY(),"İLERİ TARİH","UYGUN"))))</f>
        <v/>
      </c>
      <c r="N74" s="121">
        <f>IF($C74="","",IF($C74="TANIMSIZ MÜŞTERİ","—",INDEX(MUSTERILER!$C$7:$C$106,MATCH($C74,MUSTERILER!$B$7:$B$106,0))))</f>
        <v/>
      </c>
      <c r="O74" s="6" t="n"/>
      <c r="P74" s="6" t="n"/>
      <c r="Q74" s="3">
        <f>IF($D74="","",$C74&amp;"|"&amp;COUNTIFS($C$7:$C74,$C74))</f>
        <v/>
      </c>
    </row>
    <row r="75">
      <c r="A75" s="6" t="n"/>
      <c r="B75" s="113">
        <f>IF($D75="","","T"&amp;TEXT(ROW()-6,"00000"))</f>
        <v/>
      </c>
      <c r="C75" s="113">
        <f>IF($D75="","",IFERROR(INDEX(MUSTERILER!$B$7:$B$106,MATCH($D75,MUSTERILER!$C$7:$C$106,0)),IFERROR(INDEX(MUSTERILER!$B$7:$B$106,MATCH($D75,MUSTERILER!$B$7:$B$106,0)),IFERROR(INDEX(MUSTERILER!$B$7:$B$106,MATCH($D75&amp;"*",MUSTERILER!$C$7:$C$106,0)),"TANIMSIZ MÜŞTERİ"))))</f>
        <v/>
      </c>
      <c r="D75" s="109" t="n"/>
      <c r="E75" s="225" t="n"/>
      <c r="F75" s="226" t="n"/>
      <c r="G75" s="108" t="n"/>
      <c r="H75" s="108" t="n"/>
      <c r="I75" s="109" t="n"/>
      <c r="J75" s="109" t="n"/>
      <c r="K75" s="109" t="n"/>
      <c r="L75" s="231">
        <f>IF($E75="","",DATE(YEAR($E75),MONTH($E75),1))</f>
        <v/>
      </c>
      <c r="M75" s="113">
        <f>IF($D75="","",IF($C75="TANIMSIZ MÜŞTERİ","HATA",IF(OR($E75="",$F75&lt;=0,$G75=""),"EKSİK",IF($E75&gt;TODAY(),"İLERİ TARİH","UYGUN"))))</f>
        <v/>
      </c>
      <c r="N75" s="121">
        <f>IF($C75="","",IF($C75="TANIMSIZ MÜŞTERİ","—",INDEX(MUSTERILER!$C$7:$C$106,MATCH($C75,MUSTERILER!$B$7:$B$106,0))))</f>
        <v/>
      </c>
      <c r="O75" s="6" t="n"/>
      <c r="P75" s="6" t="n"/>
      <c r="Q75" s="3">
        <f>IF($D75="","",$C75&amp;"|"&amp;COUNTIFS($C$7:$C75,$C75))</f>
        <v/>
      </c>
    </row>
    <row r="76">
      <c r="A76" s="6" t="n"/>
      <c r="B76" s="113">
        <f>IF($D76="","","T"&amp;TEXT(ROW()-6,"00000"))</f>
        <v/>
      </c>
      <c r="C76" s="113">
        <f>IF($D76="","",IFERROR(INDEX(MUSTERILER!$B$7:$B$106,MATCH($D76,MUSTERILER!$C$7:$C$106,0)),IFERROR(INDEX(MUSTERILER!$B$7:$B$106,MATCH($D76,MUSTERILER!$B$7:$B$106,0)),IFERROR(INDEX(MUSTERILER!$B$7:$B$106,MATCH($D76&amp;"*",MUSTERILER!$C$7:$C$106,0)),"TANIMSIZ MÜŞTERİ"))))</f>
        <v/>
      </c>
      <c r="D76" s="109" t="n"/>
      <c r="E76" s="225" t="n"/>
      <c r="F76" s="226" t="n"/>
      <c r="G76" s="108" t="n"/>
      <c r="H76" s="108" t="n"/>
      <c r="I76" s="109" t="n"/>
      <c r="J76" s="109" t="n"/>
      <c r="K76" s="109" t="n"/>
      <c r="L76" s="231">
        <f>IF($E76="","",DATE(YEAR($E76),MONTH($E76),1))</f>
        <v/>
      </c>
      <c r="M76" s="113">
        <f>IF($D76="","",IF($C76="TANIMSIZ MÜŞTERİ","HATA",IF(OR($E76="",$F76&lt;=0,$G76=""),"EKSİK",IF($E76&gt;TODAY(),"İLERİ TARİH","UYGUN"))))</f>
        <v/>
      </c>
      <c r="N76" s="121">
        <f>IF($C76="","",IF($C76="TANIMSIZ MÜŞTERİ","—",INDEX(MUSTERILER!$C$7:$C$106,MATCH($C76,MUSTERILER!$B$7:$B$106,0))))</f>
        <v/>
      </c>
      <c r="O76" s="6" t="n"/>
      <c r="P76" s="6" t="n"/>
      <c r="Q76" s="3">
        <f>IF($D76="","",$C76&amp;"|"&amp;COUNTIFS($C$7:$C76,$C76))</f>
        <v/>
      </c>
    </row>
    <row r="77">
      <c r="A77" s="6" t="n"/>
      <c r="B77" s="113">
        <f>IF($D77="","","T"&amp;TEXT(ROW()-6,"00000"))</f>
        <v/>
      </c>
      <c r="C77" s="113">
        <f>IF($D77="","",IFERROR(INDEX(MUSTERILER!$B$7:$B$106,MATCH($D77,MUSTERILER!$C$7:$C$106,0)),IFERROR(INDEX(MUSTERILER!$B$7:$B$106,MATCH($D77,MUSTERILER!$B$7:$B$106,0)),IFERROR(INDEX(MUSTERILER!$B$7:$B$106,MATCH($D77&amp;"*",MUSTERILER!$C$7:$C$106,0)),"TANIMSIZ MÜŞTERİ"))))</f>
        <v/>
      </c>
      <c r="D77" s="109" t="n"/>
      <c r="E77" s="225" t="n"/>
      <c r="F77" s="226" t="n"/>
      <c r="G77" s="108" t="n"/>
      <c r="H77" s="108" t="n"/>
      <c r="I77" s="109" t="n"/>
      <c r="J77" s="109" t="n"/>
      <c r="K77" s="109" t="n"/>
      <c r="L77" s="231">
        <f>IF($E77="","",DATE(YEAR($E77),MONTH($E77),1))</f>
        <v/>
      </c>
      <c r="M77" s="113">
        <f>IF($D77="","",IF($C77="TANIMSIZ MÜŞTERİ","HATA",IF(OR($E77="",$F77&lt;=0,$G77=""),"EKSİK",IF($E77&gt;TODAY(),"İLERİ TARİH","UYGUN"))))</f>
        <v/>
      </c>
      <c r="N77" s="121">
        <f>IF($C77="","",IF($C77="TANIMSIZ MÜŞTERİ","—",INDEX(MUSTERILER!$C$7:$C$106,MATCH($C77,MUSTERILER!$B$7:$B$106,0))))</f>
        <v/>
      </c>
      <c r="O77" s="6" t="n"/>
      <c r="P77" s="6" t="n"/>
      <c r="Q77" s="3">
        <f>IF($D77="","",$C77&amp;"|"&amp;COUNTIFS($C$7:$C77,$C77))</f>
        <v/>
      </c>
    </row>
    <row r="78">
      <c r="A78" s="6" t="n"/>
      <c r="B78" s="113">
        <f>IF($D78="","","T"&amp;TEXT(ROW()-6,"00000"))</f>
        <v/>
      </c>
      <c r="C78" s="113">
        <f>IF($D78="","",IFERROR(INDEX(MUSTERILER!$B$7:$B$106,MATCH($D78,MUSTERILER!$C$7:$C$106,0)),IFERROR(INDEX(MUSTERILER!$B$7:$B$106,MATCH($D78,MUSTERILER!$B$7:$B$106,0)),IFERROR(INDEX(MUSTERILER!$B$7:$B$106,MATCH($D78&amp;"*",MUSTERILER!$C$7:$C$106,0)),"TANIMSIZ MÜŞTERİ"))))</f>
        <v/>
      </c>
      <c r="D78" s="109" t="n"/>
      <c r="E78" s="225" t="n"/>
      <c r="F78" s="226" t="n"/>
      <c r="G78" s="108" t="n"/>
      <c r="H78" s="108" t="n"/>
      <c r="I78" s="109" t="n"/>
      <c r="J78" s="109" t="n"/>
      <c r="K78" s="109" t="n"/>
      <c r="L78" s="231">
        <f>IF($E78="","",DATE(YEAR($E78),MONTH($E78),1))</f>
        <v/>
      </c>
      <c r="M78" s="113">
        <f>IF($D78="","",IF($C78="TANIMSIZ MÜŞTERİ","HATA",IF(OR($E78="",$F78&lt;=0,$G78=""),"EKSİK",IF($E78&gt;TODAY(),"İLERİ TARİH","UYGUN"))))</f>
        <v/>
      </c>
      <c r="N78" s="121">
        <f>IF($C78="","",IF($C78="TANIMSIZ MÜŞTERİ","—",INDEX(MUSTERILER!$C$7:$C$106,MATCH($C78,MUSTERILER!$B$7:$B$106,0))))</f>
        <v/>
      </c>
      <c r="O78" s="6" t="n"/>
      <c r="P78" s="6" t="n"/>
      <c r="Q78" s="3">
        <f>IF($D78="","",$C78&amp;"|"&amp;COUNTIFS($C$7:$C78,$C78))</f>
        <v/>
      </c>
    </row>
    <row r="79">
      <c r="A79" s="6" t="n"/>
      <c r="B79" s="113">
        <f>IF($D79="","","T"&amp;TEXT(ROW()-6,"00000"))</f>
        <v/>
      </c>
      <c r="C79" s="113">
        <f>IF($D79="","",IFERROR(INDEX(MUSTERILER!$B$7:$B$106,MATCH($D79,MUSTERILER!$C$7:$C$106,0)),IFERROR(INDEX(MUSTERILER!$B$7:$B$106,MATCH($D79,MUSTERILER!$B$7:$B$106,0)),IFERROR(INDEX(MUSTERILER!$B$7:$B$106,MATCH($D79&amp;"*",MUSTERILER!$C$7:$C$106,0)),"TANIMSIZ MÜŞTERİ"))))</f>
        <v/>
      </c>
      <c r="D79" s="109" t="n"/>
      <c r="E79" s="225" t="n"/>
      <c r="F79" s="226" t="n"/>
      <c r="G79" s="108" t="n"/>
      <c r="H79" s="108" t="n"/>
      <c r="I79" s="109" t="n"/>
      <c r="J79" s="109" t="n"/>
      <c r="K79" s="109" t="n"/>
      <c r="L79" s="231">
        <f>IF($E79="","",DATE(YEAR($E79),MONTH($E79),1))</f>
        <v/>
      </c>
      <c r="M79" s="113">
        <f>IF($D79="","",IF($C79="TANIMSIZ MÜŞTERİ","HATA",IF(OR($E79="",$F79&lt;=0,$G79=""),"EKSİK",IF($E79&gt;TODAY(),"İLERİ TARİH","UYGUN"))))</f>
        <v/>
      </c>
      <c r="N79" s="121">
        <f>IF($C79="","",IF($C79="TANIMSIZ MÜŞTERİ","—",INDEX(MUSTERILER!$C$7:$C$106,MATCH($C79,MUSTERILER!$B$7:$B$106,0))))</f>
        <v/>
      </c>
      <c r="O79" s="6" t="n"/>
      <c r="P79" s="6" t="n"/>
      <c r="Q79" s="3">
        <f>IF($D79="","",$C79&amp;"|"&amp;COUNTIFS($C$7:$C79,$C79))</f>
        <v/>
      </c>
    </row>
    <row r="80">
      <c r="A80" s="6" t="n"/>
      <c r="B80" s="113">
        <f>IF($D80="","","T"&amp;TEXT(ROW()-6,"00000"))</f>
        <v/>
      </c>
      <c r="C80" s="113">
        <f>IF($D80="","",IFERROR(INDEX(MUSTERILER!$B$7:$B$106,MATCH($D80,MUSTERILER!$C$7:$C$106,0)),IFERROR(INDEX(MUSTERILER!$B$7:$B$106,MATCH($D80,MUSTERILER!$B$7:$B$106,0)),IFERROR(INDEX(MUSTERILER!$B$7:$B$106,MATCH($D80&amp;"*",MUSTERILER!$C$7:$C$106,0)),"TANIMSIZ MÜŞTERİ"))))</f>
        <v/>
      </c>
      <c r="D80" s="109" t="n"/>
      <c r="E80" s="225" t="n"/>
      <c r="F80" s="226" t="n"/>
      <c r="G80" s="108" t="n"/>
      <c r="H80" s="108" t="n"/>
      <c r="I80" s="109" t="n"/>
      <c r="J80" s="109" t="n"/>
      <c r="K80" s="109" t="n"/>
      <c r="L80" s="231">
        <f>IF($E80="","",DATE(YEAR($E80),MONTH($E80),1))</f>
        <v/>
      </c>
      <c r="M80" s="113">
        <f>IF($D80="","",IF($C80="TANIMSIZ MÜŞTERİ","HATA",IF(OR($E80="",$F80&lt;=0,$G80=""),"EKSİK",IF($E80&gt;TODAY(),"İLERİ TARİH","UYGUN"))))</f>
        <v/>
      </c>
      <c r="N80" s="121">
        <f>IF($C80="","",IF($C80="TANIMSIZ MÜŞTERİ","—",INDEX(MUSTERILER!$C$7:$C$106,MATCH($C80,MUSTERILER!$B$7:$B$106,0))))</f>
        <v/>
      </c>
      <c r="O80" s="6" t="n"/>
      <c r="P80" s="6" t="n"/>
      <c r="Q80" s="3">
        <f>IF($D80="","",$C80&amp;"|"&amp;COUNTIFS($C$7:$C80,$C80))</f>
        <v/>
      </c>
    </row>
    <row r="81">
      <c r="A81" s="6" t="n"/>
      <c r="B81" s="113">
        <f>IF($D81="","","T"&amp;TEXT(ROW()-6,"00000"))</f>
        <v/>
      </c>
      <c r="C81" s="113">
        <f>IF($D81="","",IFERROR(INDEX(MUSTERILER!$B$7:$B$106,MATCH($D81,MUSTERILER!$C$7:$C$106,0)),IFERROR(INDEX(MUSTERILER!$B$7:$B$106,MATCH($D81,MUSTERILER!$B$7:$B$106,0)),IFERROR(INDEX(MUSTERILER!$B$7:$B$106,MATCH($D81&amp;"*",MUSTERILER!$C$7:$C$106,0)),"TANIMSIZ MÜŞTERİ"))))</f>
        <v/>
      </c>
      <c r="D81" s="109" t="n"/>
      <c r="E81" s="225" t="n"/>
      <c r="F81" s="226" t="n"/>
      <c r="G81" s="108" t="n"/>
      <c r="H81" s="108" t="n"/>
      <c r="I81" s="109" t="n"/>
      <c r="J81" s="109" t="n"/>
      <c r="K81" s="109" t="n"/>
      <c r="L81" s="231">
        <f>IF($E81="","",DATE(YEAR($E81),MONTH($E81),1))</f>
        <v/>
      </c>
      <c r="M81" s="113">
        <f>IF($D81="","",IF($C81="TANIMSIZ MÜŞTERİ","HATA",IF(OR($E81="",$F81&lt;=0,$G81=""),"EKSİK",IF($E81&gt;TODAY(),"İLERİ TARİH","UYGUN"))))</f>
        <v/>
      </c>
      <c r="N81" s="121">
        <f>IF($C81="","",IF($C81="TANIMSIZ MÜŞTERİ","—",INDEX(MUSTERILER!$C$7:$C$106,MATCH($C81,MUSTERILER!$B$7:$B$106,0))))</f>
        <v/>
      </c>
      <c r="O81" s="6" t="n"/>
      <c r="P81" s="6" t="n"/>
      <c r="Q81" s="3">
        <f>IF($D81="","",$C81&amp;"|"&amp;COUNTIFS($C$7:$C81,$C81))</f>
        <v/>
      </c>
    </row>
    <row r="82">
      <c r="A82" s="6" t="n"/>
      <c r="B82" s="113">
        <f>IF($D82="","","T"&amp;TEXT(ROW()-6,"00000"))</f>
        <v/>
      </c>
      <c r="C82" s="113">
        <f>IF($D82="","",IFERROR(INDEX(MUSTERILER!$B$7:$B$106,MATCH($D82,MUSTERILER!$C$7:$C$106,0)),IFERROR(INDEX(MUSTERILER!$B$7:$B$106,MATCH($D82,MUSTERILER!$B$7:$B$106,0)),IFERROR(INDEX(MUSTERILER!$B$7:$B$106,MATCH($D82&amp;"*",MUSTERILER!$C$7:$C$106,0)),"TANIMSIZ MÜŞTERİ"))))</f>
        <v/>
      </c>
      <c r="D82" s="109" t="n"/>
      <c r="E82" s="225" t="n"/>
      <c r="F82" s="226" t="n"/>
      <c r="G82" s="108" t="n"/>
      <c r="H82" s="108" t="n"/>
      <c r="I82" s="109" t="n"/>
      <c r="J82" s="109" t="n"/>
      <c r="K82" s="109" t="n"/>
      <c r="L82" s="231">
        <f>IF($E82="","",DATE(YEAR($E82),MONTH($E82),1))</f>
        <v/>
      </c>
      <c r="M82" s="113">
        <f>IF($D82="","",IF($C82="TANIMSIZ MÜŞTERİ","HATA",IF(OR($E82="",$F82&lt;=0,$G82=""),"EKSİK",IF($E82&gt;TODAY(),"İLERİ TARİH","UYGUN"))))</f>
        <v/>
      </c>
      <c r="N82" s="121">
        <f>IF($C82="","",IF($C82="TANIMSIZ MÜŞTERİ","—",INDEX(MUSTERILER!$C$7:$C$106,MATCH($C82,MUSTERILER!$B$7:$B$106,0))))</f>
        <v/>
      </c>
      <c r="O82" s="6" t="n"/>
      <c r="P82" s="6" t="n"/>
      <c r="Q82" s="3">
        <f>IF($D82="","",$C82&amp;"|"&amp;COUNTIFS($C$7:$C82,$C82))</f>
        <v/>
      </c>
    </row>
    <row r="83">
      <c r="A83" s="6" t="n"/>
      <c r="B83" s="113">
        <f>IF($D83="","","T"&amp;TEXT(ROW()-6,"00000"))</f>
        <v/>
      </c>
      <c r="C83" s="113">
        <f>IF($D83="","",IFERROR(INDEX(MUSTERILER!$B$7:$B$106,MATCH($D83,MUSTERILER!$C$7:$C$106,0)),IFERROR(INDEX(MUSTERILER!$B$7:$B$106,MATCH($D83,MUSTERILER!$B$7:$B$106,0)),IFERROR(INDEX(MUSTERILER!$B$7:$B$106,MATCH($D83&amp;"*",MUSTERILER!$C$7:$C$106,0)),"TANIMSIZ MÜŞTERİ"))))</f>
        <v/>
      </c>
      <c r="D83" s="109" t="n"/>
      <c r="E83" s="225" t="n"/>
      <c r="F83" s="226" t="n"/>
      <c r="G83" s="108" t="n"/>
      <c r="H83" s="108" t="n"/>
      <c r="I83" s="109" t="n"/>
      <c r="J83" s="109" t="n"/>
      <c r="K83" s="109" t="n"/>
      <c r="L83" s="231">
        <f>IF($E83="","",DATE(YEAR($E83),MONTH($E83),1))</f>
        <v/>
      </c>
      <c r="M83" s="113">
        <f>IF($D83="","",IF($C83="TANIMSIZ MÜŞTERİ","HATA",IF(OR($E83="",$F83&lt;=0,$G83=""),"EKSİK",IF($E83&gt;TODAY(),"İLERİ TARİH","UYGUN"))))</f>
        <v/>
      </c>
      <c r="N83" s="121">
        <f>IF($C83="","",IF($C83="TANIMSIZ MÜŞTERİ","—",INDEX(MUSTERILER!$C$7:$C$106,MATCH($C83,MUSTERILER!$B$7:$B$106,0))))</f>
        <v/>
      </c>
      <c r="O83" s="6" t="n"/>
      <c r="P83" s="6" t="n"/>
      <c r="Q83" s="3">
        <f>IF($D83="","",$C83&amp;"|"&amp;COUNTIFS($C$7:$C83,$C83))</f>
        <v/>
      </c>
    </row>
    <row r="84">
      <c r="A84" s="6" t="n"/>
      <c r="B84" s="113">
        <f>IF($D84="","","T"&amp;TEXT(ROW()-6,"00000"))</f>
        <v/>
      </c>
      <c r="C84" s="113">
        <f>IF($D84="","",IFERROR(INDEX(MUSTERILER!$B$7:$B$106,MATCH($D84,MUSTERILER!$C$7:$C$106,0)),IFERROR(INDEX(MUSTERILER!$B$7:$B$106,MATCH($D84,MUSTERILER!$B$7:$B$106,0)),IFERROR(INDEX(MUSTERILER!$B$7:$B$106,MATCH($D84&amp;"*",MUSTERILER!$C$7:$C$106,0)),"TANIMSIZ MÜŞTERİ"))))</f>
        <v/>
      </c>
      <c r="D84" s="109" t="n"/>
      <c r="E84" s="225" t="n"/>
      <c r="F84" s="226" t="n"/>
      <c r="G84" s="108" t="n"/>
      <c r="H84" s="108" t="n"/>
      <c r="I84" s="109" t="n"/>
      <c r="J84" s="109" t="n"/>
      <c r="K84" s="109" t="n"/>
      <c r="L84" s="231">
        <f>IF($E84="","",DATE(YEAR($E84),MONTH($E84),1))</f>
        <v/>
      </c>
      <c r="M84" s="113">
        <f>IF($D84="","",IF($C84="TANIMSIZ MÜŞTERİ","HATA",IF(OR($E84="",$F84&lt;=0,$G84=""),"EKSİK",IF($E84&gt;TODAY(),"İLERİ TARİH","UYGUN"))))</f>
        <v/>
      </c>
      <c r="N84" s="121">
        <f>IF($C84="","",IF($C84="TANIMSIZ MÜŞTERİ","—",INDEX(MUSTERILER!$C$7:$C$106,MATCH($C84,MUSTERILER!$B$7:$B$106,0))))</f>
        <v/>
      </c>
      <c r="O84" s="6" t="n"/>
      <c r="P84" s="6" t="n"/>
      <c r="Q84" s="3">
        <f>IF($D84="","",$C84&amp;"|"&amp;COUNTIFS($C$7:$C84,$C84))</f>
        <v/>
      </c>
    </row>
    <row r="85">
      <c r="A85" s="6" t="n"/>
      <c r="B85" s="113">
        <f>IF($D85="","","T"&amp;TEXT(ROW()-6,"00000"))</f>
        <v/>
      </c>
      <c r="C85" s="113">
        <f>IF($D85="","",IFERROR(INDEX(MUSTERILER!$B$7:$B$106,MATCH($D85,MUSTERILER!$C$7:$C$106,0)),IFERROR(INDEX(MUSTERILER!$B$7:$B$106,MATCH($D85,MUSTERILER!$B$7:$B$106,0)),IFERROR(INDEX(MUSTERILER!$B$7:$B$106,MATCH($D85&amp;"*",MUSTERILER!$C$7:$C$106,0)),"TANIMSIZ MÜŞTERİ"))))</f>
        <v/>
      </c>
      <c r="D85" s="109" t="n"/>
      <c r="E85" s="225" t="n"/>
      <c r="F85" s="226" t="n"/>
      <c r="G85" s="108" t="n"/>
      <c r="H85" s="108" t="n"/>
      <c r="I85" s="109" t="n"/>
      <c r="J85" s="109" t="n"/>
      <c r="K85" s="109" t="n"/>
      <c r="L85" s="231">
        <f>IF($E85="","",DATE(YEAR($E85),MONTH($E85),1))</f>
        <v/>
      </c>
      <c r="M85" s="113">
        <f>IF($D85="","",IF($C85="TANIMSIZ MÜŞTERİ","HATA",IF(OR($E85="",$F85&lt;=0,$G85=""),"EKSİK",IF($E85&gt;TODAY(),"İLERİ TARİH","UYGUN"))))</f>
        <v/>
      </c>
      <c r="N85" s="121">
        <f>IF($C85="","",IF($C85="TANIMSIZ MÜŞTERİ","—",INDEX(MUSTERILER!$C$7:$C$106,MATCH($C85,MUSTERILER!$B$7:$B$106,0))))</f>
        <v/>
      </c>
      <c r="O85" s="6" t="n"/>
      <c r="P85" s="6" t="n"/>
      <c r="Q85" s="3">
        <f>IF($D85="","",$C85&amp;"|"&amp;COUNTIFS($C$7:$C85,$C85))</f>
        <v/>
      </c>
    </row>
    <row r="86">
      <c r="A86" s="6" t="n"/>
      <c r="B86" s="113">
        <f>IF($D86="","","T"&amp;TEXT(ROW()-6,"00000"))</f>
        <v/>
      </c>
      <c r="C86" s="113">
        <f>IF($D86="","",IFERROR(INDEX(MUSTERILER!$B$7:$B$106,MATCH($D86,MUSTERILER!$C$7:$C$106,0)),IFERROR(INDEX(MUSTERILER!$B$7:$B$106,MATCH($D86,MUSTERILER!$B$7:$B$106,0)),IFERROR(INDEX(MUSTERILER!$B$7:$B$106,MATCH($D86&amp;"*",MUSTERILER!$C$7:$C$106,0)),"TANIMSIZ MÜŞTERİ"))))</f>
        <v/>
      </c>
      <c r="D86" s="109" t="n"/>
      <c r="E86" s="225" t="n"/>
      <c r="F86" s="226" t="n"/>
      <c r="G86" s="108" t="n"/>
      <c r="H86" s="108" t="n"/>
      <c r="I86" s="109" t="n"/>
      <c r="J86" s="109" t="n"/>
      <c r="K86" s="109" t="n"/>
      <c r="L86" s="231">
        <f>IF($E86="","",DATE(YEAR($E86),MONTH($E86),1))</f>
        <v/>
      </c>
      <c r="M86" s="113">
        <f>IF($D86="","",IF($C86="TANIMSIZ MÜŞTERİ","HATA",IF(OR($E86="",$F86&lt;=0,$G86=""),"EKSİK",IF($E86&gt;TODAY(),"İLERİ TARİH","UYGUN"))))</f>
        <v/>
      </c>
      <c r="N86" s="121">
        <f>IF($C86="","",IF($C86="TANIMSIZ MÜŞTERİ","—",INDEX(MUSTERILER!$C$7:$C$106,MATCH($C86,MUSTERILER!$B$7:$B$106,0))))</f>
        <v/>
      </c>
      <c r="O86" s="6" t="n"/>
      <c r="P86" s="6" t="n"/>
      <c r="Q86" s="3">
        <f>IF($D86="","",$C86&amp;"|"&amp;COUNTIFS($C$7:$C86,$C86))</f>
        <v/>
      </c>
    </row>
    <row r="87">
      <c r="A87" s="6" t="n"/>
      <c r="B87" s="113">
        <f>IF($D87="","","T"&amp;TEXT(ROW()-6,"00000"))</f>
        <v/>
      </c>
      <c r="C87" s="113">
        <f>IF($D87="","",IFERROR(INDEX(MUSTERILER!$B$7:$B$106,MATCH($D87,MUSTERILER!$C$7:$C$106,0)),IFERROR(INDEX(MUSTERILER!$B$7:$B$106,MATCH($D87,MUSTERILER!$B$7:$B$106,0)),IFERROR(INDEX(MUSTERILER!$B$7:$B$106,MATCH($D87&amp;"*",MUSTERILER!$C$7:$C$106,0)),"TANIMSIZ MÜŞTERİ"))))</f>
        <v/>
      </c>
      <c r="D87" s="109" t="n"/>
      <c r="E87" s="225" t="n"/>
      <c r="F87" s="226" t="n"/>
      <c r="G87" s="108" t="n"/>
      <c r="H87" s="108" t="n"/>
      <c r="I87" s="109" t="n"/>
      <c r="J87" s="109" t="n"/>
      <c r="K87" s="109" t="n"/>
      <c r="L87" s="231">
        <f>IF($E87="","",DATE(YEAR($E87),MONTH($E87),1))</f>
        <v/>
      </c>
      <c r="M87" s="113">
        <f>IF($D87="","",IF($C87="TANIMSIZ MÜŞTERİ","HATA",IF(OR($E87="",$F87&lt;=0,$G87=""),"EKSİK",IF($E87&gt;TODAY(),"İLERİ TARİH","UYGUN"))))</f>
        <v/>
      </c>
      <c r="N87" s="121">
        <f>IF($C87="","",IF($C87="TANIMSIZ MÜŞTERİ","—",INDEX(MUSTERILER!$C$7:$C$106,MATCH($C87,MUSTERILER!$B$7:$B$106,0))))</f>
        <v/>
      </c>
      <c r="O87" s="6" t="n"/>
      <c r="P87" s="6" t="n"/>
      <c r="Q87" s="3">
        <f>IF($D87="","",$C87&amp;"|"&amp;COUNTIFS($C$7:$C87,$C87))</f>
        <v/>
      </c>
    </row>
    <row r="88">
      <c r="A88" s="6" t="n"/>
      <c r="B88" s="113">
        <f>IF($D88="","","T"&amp;TEXT(ROW()-6,"00000"))</f>
        <v/>
      </c>
      <c r="C88" s="113">
        <f>IF($D88="","",IFERROR(INDEX(MUSTERILER!$B$7:$B$106,MATCH($D88,MUSTERILER!$C$7:$C$106,0)),IFERROR(INDEX(MUSTERILER!$B$7:$B$106,MATCH($D88,MUSTERILER!$B$7:$B$106,0)),IFERROR(INDEX(MUSTERILER!$B$7:$B$106,MATCH($D88&amp;"*",MUSTERILER!$C$7:$C$106,0)),"TANIMSIZ MÜŞTERİ"))))</f>
        <v/>
      </c>
      <c r="D88" s="109" t="n"/>
      <c r="E88" s="225" t="n"/>
      <c r="F88" s="226" t="n"/>
      <c r="G88" s="108" t="n"/>
      <c r="H88" s="108" t="n"/>
      <c r="I88" s="109" t="n"/>
      <c r="J88" s="109" t="n"/>
      <c r="K88" s="109" t="n"/>
      <c r="L88" s="231">
        <f>IF($E88="","",DATE(YEAR($E88),MONTH($E88),1))</f>
        <v/>
      </c>
      <c r="M88" s="113">
        <f>IF($D88="","",IF($C88="TANIMSIZ MÜŞTERİ","HATA",IF(OR($E88="",$F88&lt;=0,$G88=""),"EKSİK",IF($E88&gt;TODAY(),"İLERİ TARİH","UYGUN"))))</f>
        <v/>
      </c>
      <c r="N88" s="121">
        <f>IF($C88="","",IF($C88="TANIMSIZ MÜŞTERİ","—",INDEX(MUSTERILER!$C$7:$C$106,MATCH($C88,MUSTERILER!$B$7:$B$106,0))))</f>
        <v/>
      </c>
      <c r="O88" s="6" t="n"/>
      <c r="P88" s="6" t="n"/>
      <c r="Q88" s="3">
        <f>IF($D88="","",$C88&amp;"|"&amp;COUNTIFS($C$7:$C88,$C88))</f>
        <v/>
      </c>
    </row>
    <row r="89">
      <c r="A89" s="6" t="n"/>
      <c r="B89" s="113">
        <f>IF($D89="","","T"&amp;TEXT(ROW()-6,"00000"))</f>
        <v/>
      </c>
      <c r="C89" s="113">
        <f>IF($D89="","",IFERROR(INDEX(MUSTERILER!$B$7:$B$106,MATCH($D89,MUSTERILER!$C$7:$C$106,0)),IFERROR(INDEX(MUSTERILER!$B$7:$B$106,MATCH($D89,MUSTERILER!$B$7:$B$106,0)),IFERROR(INDEX(MUSTERILER!$B$7:$B$106,MATCH($D89&amp;"*",MUSTERILER!$C$7:$C$106,0)),"TANIMSIZ MÜŞTERİ"))))</f>
        <v/>
      </c>
      <c r="D89" s="109" t="n"/>
      <c r="E89" s="225" t="n"/>
      <c r="F89" s="226" t="n"/>
      <c r="G89" s="108" t="n"/>
      <c r="H89" s="108" t="n"/>
      <c r="I89" s="109" t="n"/>
      <c r="J89" s="109" t="n"/>
      <c r="K89" s="109" t="n"/>
      <c r="L89" s="231">
        <f>IF($E89="","",DATE(YEAR($E89),MONTH($E89),1))</f>
        <v/>
      </c>
      <c r="M89" s="113">
        <f>IF($D89="","",IF($C89="TANIMSIZ MÜŞTERİ","HATA",IF(OR($E89="",$F89&lt;=0,$G89=""),"EKSİK",IF($E89&gt;TODAY(),"İLERİ TARİH","UYGUN"))))</f>
        <v/>
      </c>
      <c r="N89" s="121">
        <f>IF($C89="","",IF($C89="TANIMSIZ MÜŞTERİ","—",INDEX(MUSTERILER!$C$7:$C$106,MATCH($C89,MUSTERILER!$B$7:$B$106,0))))</f>
        <v/>
      </c>
      <c r="O89" s="6" t="n"/>
      <c r="P89" s="6" t="n"/>
      <c r="Q89" s="3">
        <f>IF($D89="","",$C89&amp;"|"&amp;COUNTIFS($C$7:$C89,$C89))</f>
        <v/>
      </c>
    </row>
    <row r="90">
      <c r="A90" s="6" t="n"/>
      <c r="B90" s="113">
        <f>IF($D90="","","T"&amp;TEXT(ROW()-6,"00000"))</f>
        <v/>
      </c>
      <c r="C90" s="113">
        <f>IF($D90="","",IFERROR(INDEX(MUSTERILER!$B$7:$B$106,MATCH($D90,MUSTERILER!$C$7:$C$106,0)),IFERROR(INDEX(MUSTERILER!$B$7:$B$106,MATCH($D90,MUSTERILER!$B$7:$B$106,0)),IFERROR(INDEX(MUSTERILER!$B$7:$B$106,MATCH($D90&amp;"*",MUSTERILER!$C$7:$C$106,0)),"TANIMSIZ MÜŞTERİ"))))</f>
        <v/>
      </c>
      <c r="D90" s="109" t="n"/>
      <c r="E90" s="225" t="n"/>
      <c r="F90" s="226" t="n"/>
      <c r="G90" s="108" t="n"/>
      <c r="H90" s="108" t="n"/>
      <c r="I90" s="109" t="n"/>
      <c r="J90" s="109" t="n"/>
      <c r="K90" s="109" t="n"/>
      <c r="L90" s="231">
        <f>IF($E90="","",DATE(YEAR($E90),MONTH($E90),1))</f>
        <v/>
      </c>
      <c r="M90" s="113">
        <f>IF($D90="","",IF($C90="TANIMSIZ MÜŞTERİ","HATA",IF(OR($E90="",$F90&lt;=0,$G90=""),"EKSİK",IF($E90&gt;TODAY(),"İLERİ TARİH","UYGUN"))))</f>
        <v/>
      </c>
      <c r="N90" s="121">
        <f>IF($C90="","",IF($C90="TANIMSIZ MÜŞTERİ","—",INDEX(MUSTERILER!$C$7:$C$106,MATCH($C90,MUSTERILER!$B$7:$B$106,0))))</f>
        <v/>
      </c>
      <c r="O90" s="6" t="n"/>
      <c r="P90" s="6" t="n"/>
      <c r="Q90" s="3">
        <f>IF($D90="","",$C90&amp;"|"&amp;COUNTIFS($C$7:$C90,$C90))</f>
        <v/>
      </c>
    </row>
    <row r="91">
      <c r="A91" s="6" t="n"/>
      <c r="B91" s="113">
        <f>IF($D91="","","T"&amp;TEXT(ROW()-6,"00000"))</f>
        <v/>
      </c>
      <c r="C91" s="113">
        <f>IF($D91="","",IFERROR(INDEX(MUSTERILER!$B$7:$B$106,MATCH($D91,MUSTERILER!$C$7:$C$106,0)),IFERROR(INDEX(MUSTERILER!$B$7:$B$106,MATCH($D91,MUSTERILER!$B$7:$B$106,0)),IFERROR(INDEX(MUSTERILER!$B$7:$B$106,MATCH($D91&amp;"*",MUSTERILER!$C$7:$C$106,0)),"TANIMSIZ MÜŞTERİ"))))</f>
        <v/>
      </c>
      <c r="D91" s="109" t="n"/>
      <c r="E91" s="225" t="n"/>
      <c r="F91" s="226" t="n"/>
      <c r="G91" s="108" t="n"/>
      <c r="H91" s="108" t="n"/>
      <c r="I91" s="109" t="n"/>
      <c r="J91" s="109" t="n"/>
      <c r="K91" s="109" t="n"/>
      <c r="L91" s="231">
        <f>IF($E91="","",DATE(YEAR($E91),MONTH($E91),1))</f>
        <v/>
      </c>
      <c r="M91" s="113">
        <f>IF($D91="","",IF($C91="TANIMSIZ MÜŞTERİ","HATA",IF(OR($E91="",$F91&lt;=0,$G91=""),"EKSİK",IF($E91&gt;TODAY(),"İLERİ TARİH","UYGUN"))))</f>
        <v/>
      </c>
      <c r="N91" s="121">
        <f>IF($C91="","",IF($C91="TANIMSIZ MÜŞTERİ","—",INDEX(MUSTERILER!$C$7:$C$106,MATCH($C91,MUSTERILER!$B$7:$B$106,0))))</f>
        <v/>
      </c>
      <c r="O91" s="6" t="n"/>
      <c r="P91" s="6" t="n"/>
      <c r="Q91" s="3">
        <f>IF($D91="","",$C91&amp;"|"&amp;COUNTIFS($C$7:$C91,$C91))</f>
        <v/>
      </c>
    </row>
    <row r="92">
      <c r="A92" s="6" t="n"/>
      <c r="B92" s="113">
        <f>IF($D92="","","T"&amp;TEXT(ROW()-6,"00000"))</f>
        <v/>
      </c>
      <c r="C92" s="113">
        <f>IF($D92="","",IFERROR(INDEX(MUSTERILER!$B$7:$B$106,MATCH($D92,MUSTERILER!$C$7:$C$106,0)),IFERROR(INDEX(MUSTERILER!$B$7:$B$106,MATCH($D92,MUSTERILER!$B$7:$B$106,0)),IFERROR(INDEX(MUSTERILER!$B$7:$B$106,MATCH($D92&amp;"*",MUSTERILER!$C$7:$C$106,0)),"TANIMSIZ MÜŞTERİ"))))</f>
        <v/>
      </c>
      <c r="D92" s="109" t="n"/>
      <c r="E92" s="225" t="n"/>
      <c r="F92" s="226" t="n"/>
      <c r="G92" s="108" t="n"/>
      <c r="H92" s="108" t="n"/>
      <c r="I92" s="109" t="n"/>
      <c r="J92" s="109" t="n"/>
      <c r="K92" s="109" t="n"/>
      <c r="L92" s="231">
        <f>IF($E92="","",DATE(YEAR($E92),MONTH($E92),1))</f>
        <v/>
      </c>
      <c r="M92" s="113">
        <f>IF($D92="","",IF($C92="TANIMSIZ MÜŞTERİ","HATA",IF(OR($E92="",$F92&lt;=0,$G92=""),"EKSİK",IF($E92&gt;TODAY(),"İLERİ TARİH","UYGUN"))))</f>
        <v/>
      </c>
      <c r="N92" s="121">
        <f>IF($C92="","",IF($C92="TANIMSIZ MÜŞTERİ","—",INDEX(MUSTERILER!$C$7:$C$106,MATCH($C92,MUSTERILER!$B$7:$B$106,0))))</f>
        <v/>
      </c>
      <c r="O92" s="6" t="n"/>
      <c r="P92" s="6" t="n"/>
      <c r="Q92" s="3">
        <f>IF($D92="","",$C92&amp;"|"&amp;COUNTIFS($C$7:$C92,$C92))</f>
        <v/>
      </c>
    </row>
    <row r="93">
      <c r="A93" s="6" t="n"/>
      <c r="B93" s="113">
        <f>IF($D93="","","T"&amp;TEXT(ROW()-6,"00000"))</f>
        <v/>
      </c>
      <c r="C93" s="113">
        <f>IF($D93="","",IFERROR(INDEX(MUSTERILER!$B$7:$B$106,MATCH($D93,MUSTERILER!$C$7:$C$106,0)),IFERROR(INDEX(MUSTERILER!$B$7:$B$106,MATCH($D93,MUSTERILER!$B$7:$B$106,0)),IFERROR(INDEX(MUSTERILER!$B$7:$B$106,MATCH($D93&amp;"*",MUSTERILER!$C$7:$C$106,0)),"TANIMSIZ MÜŞTERİ"))))</f>
        <v/>
      </c>
      <c r="D93" s="109" t="n"/>
      <c r="E93" s="225" t="n"/>
      <c r="F93" s="226" t="n"/>
      <c r="G93" s="108" t="n"/>
      <c r="H93" s="108" t="n"/>
      <c r="I93" s="109" t="n"/>
      <c r="J93" s="109" t="n"/>
      <c r="K93" s="109" t="n"/>
      <c r="L93" s="231">
        <f>IF($E93="","",DATE(YEAR($E93),MONTH($E93),1))</f>
        <v/>
      </c>
      <c r="M93" s="113">
        <f>IF($D93="","",IF($C93="TANIMSIZ MÜŞTERİ","HATA",IF(OR($E93="",$F93&lt;=0,$G93=""),"EKSİK",IF($E93&gt;TODAY(),"İLERİ TARİH","UYGUN"))))</f>
        <v/>
      </c>
      <c r="N93" s="121">
        <f>IF($C93="","",IF($C93="TANIMSIZ MÜŞTERİ","—",INDEX(MUSTERILER!$C$7:$C$106,MATCH($C93,MUSTERILER!$B$7:$B$106,0))))</f>
        <v/>
      </c>
      <c r="O93" s="6" t="n"/>
      <c r="P93" s="6" t="n"/>
      <c r="Q93" s="3">
        <f>IF($D93="","",$C93&amp;"|"&amp;COUNTIFS($C$7:$C93,$C93))</f>
        <v/>
      </c>
    </row>
    <row r="94">
      <c r="A94" s="6" t="n"/>
      <c r="B94" s="113">
        <f>IF($D94="","","T"&amp;TEXT(ROW()-6,"00000"))</f>
        <v/>
      </c>
      <c r="C94" s="113">
        <f>IF($D94="","",IFERROR(INDEX(MUSTERILER!$B$7:$B$106,MATCH($D94,MUSTERILER!$C$7:$C$106,0)),IFERROR(INDEX(MUSTERILER!$B$7:$B$106,MATCH($D94,MUSTERILER!$B$7:$B$106,0)),IFERROR(INDEX(MUSTERILER!$B$7:$B$106,MATCH($D94&amp;"*",MUSTERILER!$C$7:$C$106,0)),"TANIMSIZ MÜŞTERİ"))))</f>
        <v/>
      </c>
      <c r="D94" s="109" t="n"/>
      <c r="E94" s="225" t="n"/>
      <c r="F94" s="226" t="n"/>
      <c r="G94" s="108" t="n"/>
      <c r="H94" s="108" t="n"/>
      <c r="I94" s="109" t="n"/>
      <c r="J94" s="109" t="n"/>
      <c r="K94" s="109" t="n"/>
      <c r="L94" s="231">
        <f>IF($E94="","",DATE(YEAR($E94),MONTH($E94),1))</f>
        <v/>
      </c>
      <c r="M94" s="113">
        <f>IF($D94="","",IF($C94="TANIMSIZ MÜŞTERİ","HATA",IF(OR($E94="",$F94&lt;=0,$G94=""),"EKSİK",IF($E94&gt;TODAY(),"İLERİ TARİH","UYGUN"))))</f>
        <v/>
      </c>
      <c r="N94" s="121">
        <f>IF($C94="","",IF($C94="TANIMSIZ MÜŞTERİ","—",INDEX(MUSTERILER!$C$7:$C$106,MATCH($C94,MUSTERILER!$B$7:$B$106,0))))</f>
        <v/>
      </c>
      <c r="O94" s="6" t="n"/>
      <c r="P94" s="6" t="n"/>
      <c r="Q94" s="3">
        <f>IF($D94="","",$C94&amp;"|"&amp;COUNTIFS($C$7:$C94,$C94))</f>
        <v/>
      </c>
    </row>
    <row r="95">
      <c r="A95" s="6" t="n"/>
      <c r="B95" s="113">
        <f>IF($D95="","","T"&amp;TEXT(ROW()-6,"00000"))</f>
        <v/>
      </c>
      <c r="C95" s="113">
        <f>IF($D95="","",IFERROR(INDEX(MUSTERILER!$B$7:$B$106,MATCH($D95,MUSTERILER!$C$7:$C$106,0)),IFERROR(INDEX(MUSTERILER!$B$7:$B$106,MATCH($D95,MUSTERILER!$B$7:$B$106,0)),IFERROR(INDEX(MUSTERILER!$B$7:$B$106,MATCH($D95&amp;"*",MUSTERILER!$C$7:$C$106,0)),"TANIMSIZ MÜŞTERİ"))))</f>
        <v/>
      </c>
      <c r="D95" s="109" t="n"/>
      <c r="E95" s="225" t="n"/>
      <c r="F95" s="226" t="n"/>
      <c r="G95" s="108" t="n"/>
      <c r="H95" s="108" t="n"/>
      <c r="I95" s="109" t="n"/>
      <c r="J95" s="109" t="n"/>
      <c r="K95" s="109" t="n"/>
      <c r="L95" s="231">
        <f>IF($E95="","",DATE(YEAR($E95),MONTH($E95),1))</f>
        <v/>
      </c>
      <c r="M95" s="113">
        <f>IF($D95="","",IF($C95="TANIMSIZ MÜŞTERİ","HATA",IF(OR($E95="",$F95&lt;=0,$G95=""),"EKSİK",IF($E95&gt;TODAY(),"İLERİ TARİH","UYGUN"))))</f>
        <v/>
      </c>
      <c r="N95" s="121">
        <f>IF($C95="","",IF($C95="TANIMSIZ MÜŞTERİ","—",INDEX(MUSTERILER!$C$7:$C$106,MATCH($C95,MUSTERILER!$B$7:$B$106,0))))</f>
        <v/>
      </c>
      <c r="O95" s="6" t="n"/>
      <c r="P95" s="6" t="n"/>
      <c r="Q95" s="3">
        <f>IF($D95="","",$C95&amp;"|"&amp;COUNTIFS($C$7:$C95,$C95))</f>
        <v/>
      </c>
    </row>
    <row r="96">
      <c r="A96" s="6" t="n"/>
      <c r="B96" s="113">
        <f>IF($D96="","","T"&amp;TEXT(ROW()-6,"00000"))</f>
        <v/>
      </c>
      <c r="C96" s="113">
        <f>IF($D96="","",IFERROR(INDEX(MUSTERILER!$B$7:$B$106,MATCH($D96,MUSTERILER!$C$7:$C$106,0)),IFERROR(INDEX(MUSTERILER!$B$7:$B$106,MATCH($D96,MUSTERILER!$B$7:$B$106,0)),IFERROR(INDEX(MUSTERILER!$B$7:$B$106,MATCH($D96&amp;"*",MUSTERILER!$C$7:$C$106,0)),"TANIMSIZ MÜŞTERİ"))))</f>
        <v/>
      </c>
      <c r="D96" s="109" t="n"/>
      <c r="E96" s="225" t="n"/>
      <c r="F96" s="226" t="n"/>
      <c r="G96" s="108" t="n"/>
      <c r="H96" s="108" t="n"/>
      <c r="I96" s="109" t="n"/>
      <c r="J96" s="109" t="n"/>
      <c r="K96" s="109" t="n"/>
      <c r="L96" s="231">
        <f>IF($E96="","",DATE(YEAR($E96),MONTH($E96),1))</f>
        <v/>
      </c>
      <c r="M96" s="113">
        <f>IF($D96="","",IF($C96="TANIMSIZ MÜŞTERİ","HATA",IF(OR($E96="",$F96&lt;=0,$G96=""),"EKSİK",IF($E96&gt;TODAY(),"İLERİ TARİH","UYGUN"))))</f>
        <v/>
      </c>
      <c r="N96" s="121">
        <f>IF($C96="","",IF($C96="TANIMSIZ MÜŞTERİ","—",INDEX(MUSTERILER!$C$7:$C$106,MATCH($C96,MUSTERILER!$B$7:$B$106,0))))</f>
        <v/>
      </c>
      <c r="O96" s="6" t="n"/>
      <c r="P96" s="6" t="n"/>
      <c r="Q96" s="3">
        <f>IF($D96="","",$C96&amp;"|"&amp;COUNTIFS($C$7:$C96,$C96))</f>
        <v/>
      </c>
    </row>
    <row r="97">
      <c r="A97" s="6" t="n"/>
      <c r="B97" s="113">
        <f>IF($D97="","","T"&amp;TEXT(ROW()-6,"00000"))</f>
        <v/>
      </c>
      <c r="C97" s="113">
        <f>IF($D97="","",IFERROR(INDEX(MUSTERILER!$B$7:$B$106,MATCH($D97,MUSTERILER!$C$7:$C$106,0)),IFERROR(INDEX(MUSTERILER!$B$7:$B$106,MATCH($D97,MUSTERILER!$B$7:$B$106,0)),IFERROR(INDEX(MUSTERILER!$B$7:$B$106,MATCH($D97&amp;"*",MUSTERILER!$C$7:$C$106,0)),"TANIMSIZ MÜŞTERİ"))))</f>
        <v/>
      </c>
      <c r="D97" s="109" t="n"/>
      <c r="E97" s="225" t="n"/>
      <c r="F97" s="226" t="n"/>
      <c r="G97" s="108" t="n"/>
      <c r="H97" s="108" t="n"/>
      <c r="I97" s="109" t="n"/>
      <c r="J97" s="109" t="n"/>
      <c r="K97" s="109" t="n"/>
      <c r="L97" s="231">
        <f>IF($E97="","",DATE(YEAR($E97),MONTH($E97),1))</f>
        <v/>
      </c>
      <c r="M97" s="113">
        <f>IF($D97="","",IF($C97="TANIMSIZ MÜŞTERİ","HATA",IF(OR($E97="",$F97&lt;=0,$G97=""),"EKSİK",IF($E97&gt;TODAY(),"İLERİ TARİH","UYGUN"))))</f>
        <v/>
      </c>
      <c r="N97" s="121">
        <f>IF($C97="","",IF($C97="TANIMSIZ MÜŞTERİ","—",INDEX(MUSTERILER!$C$7:$C$106,MATCH($C97,MUSTERILER!$B$7:$B$106,0))))</f>
        <v/>
      </c>
      <c r="O97" s="6" t="n"/>
      <c r="P97" s="6" t="n"/>
      <c r="Q97" s="3">
        <f>IF($D97="","",$C97&amp;"|"&amp;COUNTIFS($C$7:$C97,$C97))</f>
        <v/>
      </c>
    </row>
    <row r="98">
      <c r="A98" s="6" t="n"/>
      <c r="B98" s="113">
        <f>IF($D98="","","T"&amp;TEXT(ROW()-6,"00000"))</f>
        <v/>
      </c>
      <c r="C98" s="113">
        <f>IF($D98="","",IFERROR(INDEX(MUSTERILER!$B$7:$B$106,MATCH($D98,MUSTERILER!$C$7:$C$106,0)),IFERROR(INDEX(MUSTERILER!$B$7:$B$106,MATCH($D98,MUSTERILER!$B$7:$B$106,0)),IFERROR(INDEX(MUSTERILER!$B$7:$B$106,MATCH($D98&amp;"*",MUSTERILER!$C$7:$C$106,0)),"TANIMSIZ MÜŞTERİ"))))</f>
        <v/>
      </c>
      <c r="D98" s="109" t="n"/>
      <c r="E98" s="225" t="n"/>
      <c r="F98" s="226" t="n"/>
      <c r="G98" s="108" t="n"/>
      <c r="H98" s="108" t="n"/>
      <c r="I98" s="109" t="n"/>
      <c r="J98" s="109" t="n"/>
      <c r="K98" s="109" t="n"/>
      <c r="L98" s="231">
        <f>IF($E98="","",DATE(YEAR($E98),MONTH($E98),1))</f>
        <v/>
      </c>
      <c r="M98" s="113">
        <f>IF($D98="","",IF($C98="TANIMSIZ MÜŞTERİ","HATA",IF(OR($E98="",$F98&lt;=0,$G98=""),"EKSİK",IF($E98&gt;TODAY(),"İLERİ TARİH","UYGUN"))))</f>
        <v/>
      </c>
      <c r="N98" s="121">
        <f>IF($C98="","",IF($C98="TANIMSIZ MÜŞTERİ","—",INDEX(MUSTERILER!$C$7:$C$106,MATCH($C98,MUSTERILER!$B$7:$B$106,0))))</f>
        <v/>
      </c>
      <c r="O98" s="6" t="n"/>
      <c r="P98" s="6" t="n"/>
      <c r="Q98" s="3">
        <f>IF($D98="","",$C98&amp;"|"&amp;COUNTIFS($C$7:$C98,$C98))</f>
        <v/>
      </c>
    </row>
    <row r="99">
      <c r="A99" s="6" t="n"/>
      <c r="B99" s="113">
        <f>IF($D99="","","T"&amp;TEXT(ROW()-6,"00000"))</f>
        <v/>
      </c>
      <c r="C99" s="113">
        <f>IF($D99="","",IFERROR(INDEX(MUSTERILER!$B$7:$B$106,MATCH($D99,MUSTERILER!$C$7:$C$106,0)),IFERROR(INDEX(MUSTERILER!$B$7:$B$106,MATCH($D99,MUSTERILER!$B$7:$B$106,0)),IFERROR(INDEX(MUSTERILER!$B$7:$B$106,MATCH($D99&amp;"*",MUSTERILER!$C$7:$C$106,0)),"TANIMSIZ MÜŞTERİ"))))</f>
        <v/>
      </c>
      <c r="D99" s="109" t="n"/>
      <c r="E99" s="225" t="n"/>
      <c r="F99" s="226" t="n"/>
      <c r="G99" s="108" t="n"/>
      <c r="H99" s="108" t="n"/>
      <c r="I99" s="109" t="n"/>
      <c r="J99" s="109" t="n"/>
      <c r="K99" s="109" t="n"/>
      <c r="L99" s="231">
        <f>IF($E99="","",DATE(YEAR($E99),MONTH($E99),1))</f>
        <v/>
      </c>
      <c r="M99" s="113">
        <f>IF($D99="","",IF($C99="TANIMSIZ MÜŞTERİ","HATA",IF(OR($E99="",$F99&lt;=0,$G99=""),"EKSİK",IF($E99&gt;TODAY(),"İLERİ TARİH","UYGUN"))))</f>
        <v/>
      </c>
      <c r="N99" s="121">
        <f>IF($C99="","",IF($C99="TANIMSIZ MÜŞTERİ","—",INDEX(MUSTERILER!$C$7:$C$106,MATCH($C99,MUSTERILER!$B$7:$B$106,0))))</f>
        <v/>
      </c>
      <c r="O99" s="6" t="n"/>
      <c r="P99" s="6" t="n"/>
      <c r="Q99" s="3">
        <f>IF($D99="","",$C99&amp;"|"&amp;COUNTIFS($C$7:$C99,$C99))</f>
        <v/>
      </c>
    </row>
    <row r="100">
      <c r="A100" s="6" t="n"/>
      <c r="B100" s="113">
        <f>IF($D100="","","T"&amp;TEXT(ROW()-6,"00000"))</f>
        <v/>
      </c>
      <c r="C100" s="113">
        <f>IF($D100="","",IFERROR(INDEX(MUSTERILER!$B$7:$B$106,MATCH($D100,MUSTERILER!$C$7:$C$106,0)),IFERROR(INDEX(MUSTERILER!$B$7:$B$106,MATCH($D100,MUSTERILER!$B$7:$B$106,0)),IFERROR(INDEX(MUSTERILER!$B$7:$B$106,MATCH($D100&amp;"*",MUSTERILER!$C$7:$C$106,0)),"TANIMSIZ MÜŞTERİ"))))</f>
        <v/>
      </c>
      <c r="D100" s="109" t="n"/>
      <c r="E100" s="225" t="n"/>
      <c r="F100" s="226" t="n"/>
      <c r="G100" s="108" t="n"/>
      <c r="H100" s="108" t="n"/>
      <c r="I100" s="109" t="n"/>
      <c r="J100" s="109" t="n"/>
      <c r="K100" s="109" t="n"/>
      <c r="L100" s="231">
        <f>IF($E100="","",DATE(YEAR($E100),MONTH($E100),1))</f>
        <v/>
      </c>
      <c r="M100" s="113">
        <f>IF($D100="","",IF($C100="TANIMSIZ MÜŞTERİ","HATA",IF(OR($E100="",$F100&lt;=0,$G100=""),"EKSİK",IF($E100&gt;TODAY(),"İLERİ TARİH","UYGUN"))))</f>
        <v/>
      </c>
      <c r="N100" s="121">
        <f>IF($C100="","",IF($C100="TANIMSIZ MÜŞTERİ","—",INDEX(MUSTERILER!$C$7:$C$106,MATCH($C100,MUSTERILER!$B$7:$B$106,0))))</f>
        <v/>
      </c>
      <c r="O100" s="6" t="n"/>
      <c r="P100" s="6" t="n"/>
      <c r="Q100" s="3">
        <f>IF($D100="","",$C100&amp;"|"&amp;COUNTIFS($C$7:$C100,$C100))</f>
        <v/>
      </c>
    </row>
    <row r="101">
      <c r="A101" s="6" t="n"/>
      <c r="B101" s="113">
        <f>IF($D101="","","T"&amp;TEXT(ROW()-6,"00000"))</f>
        <v/>
      </c>
      <c r="C101" s="113">
        <f>IF($D101="","",IFERROR(INDEX(MUSTERILER!$B$7:$B$106,MATCH($D101,MUSTERILER!$C$7:$C$106,0)),IFERROR(INDEX(MUSTERILER!$B$7:$B$106,MATCH($D101,MUSTERILER!$B$7:$B$106,0)),IFERROR(INDEX(MUSTERILER!$B$7:$B$106,MATCH($D101&amp;"*",MUSTERILER!$C$7:$C$106,0)),"TANIMSIZ MÜŞTERİ"))))</f>
        <v/>
      </c>
      <c r="D101" s="109" t="n"/>
      <c r="E101" s="225" t="n"/>
      <c r="F101" s="226" t="n"/>
      <c r="G101" s="108" t="n"/>
      <c r="H101" s="108" t="n"/>
      <c r="I101" s="109" t="n"/>
      <c r="J101" s="109" t="n"/>
      <c r="K101" s="109" t="n"/>
      <c r="L101" s="231">
        <f>IF($E101="","",DATE(YEAR($E101),MONTH($E101),1))</f>
        <v/>
      </c>
      <c r="M101" s="113">
        <f>IF($D101="","",IF($C101="TANIMSIZ MÜŞTERİ","HATA",IF(OR($E101="",$F101&lt;=0,$G101=""),"EKSİK",IF($E101&gt;TODAY(),"İLERİ TARİH","UYGUN"))))</f>
        <v/>
      </c>
      <c r="N101" s="121">
        <f>IF($C101="","",IF($C101="TANIMSIZ MÜŞTERİ","—",INDEX(MUSTERILER!$C$7:$C$106,MATCH($C101,MUSTERILER!$B$7:$B$106,0))))</f>
        <v/>
      </c>
      <c r="O101" s="6" t="n"/>
      <c r="P101" s="6" t="n"/>
      <c r="Q101" s="3">
        <f>IF($D101="","",$C101&amp;"|"&amp;COUNTIFS($C$7:$C101,$C101))</f>
        <v/>
      </c>
    </row>
    <row r="102">
      <c r="A102" s="6" t="n"/>
      <c r="B102" s="113">
        <f>IF($D102="","","T"&amp;TEXT(ROW()-6,"00000"))</f>
        <v/>
      </c>
      <c r="C102" s="113">
        <f>IF($D102="","",IFERROR(INDEX(MUSTERILER!$B$7:$B$106,MATCH($D102,MUSTERILER!$C$7:$C$106,0)),IFERROR(INDEX(MUSTERILER!$B$7:$B$106,MATCH($D102,MUSTERILER!$B$7:$B$106,0)),IFERROR(INDEX(MUSTERILER!$B$7:$B$106,MATCH($D102&amp;"*",MUSTERILER!$C$7:$C$106,0)),"TANIMSIZ MÜŞTERİ"))))</f>
        <v/>
      </c>
      <c r="D102" s="109" t="n"/>
      <c r="E102" s="225" t="n"/>
      <c r="F102" s="226" t="n"/>
      <c r="G102" s="108" t="n"/>
      <c r="H102" s="108" t="n"/>
      <c r="I102" s="109" t="n"/>
      <c r="J102" s="109" t="n"/>
      <c r="K102" s="109" t="n"/>
      <c r="L102" s="231">
        <f>IF($E102="","",DATE(YEAR($E102),MONTH($E102),1))</f>
        <v/>
      </c>
      <c r="M102" s="113">
        <f>IF($D102="","",IF($C102="TANIMSIZ MÜŞTERİ","HATA",IF(OR($E102="",$F102&lt;=0,$G102=""),"EKSİK",IF($E102&gt;TODAY(),"İLERİ TARİH","UYGUN"))))</f>
        <v/>
      </c>
      <c r="N102" s="121">
        <f>IF($C102="","",IF($C102="TANIMSIZ MÜŞTERİ","—",INDEX(MUSTERILER!$C$7:$C$106,MATCH($C102,MUSTERILER!$B$7:$B$106,0))))</f>
        <v/>
      </c>
      <c r="O102" s="6" t="n"/>
      <c r="P102" s="6" t="n"/>
      <c r="Q102" s="3">
        <f>IF($D102="","",$C102&amp;"|"&amp;COUNTIFS($C$7:$C102,$C102))</f>
        <v/>
      </c>
    </row>
    <row r="103">
      <c r="A103" s="6" t="n"/>
      <c r="B103" s="113">
        <f>IF($D103="","","T"&amp;TEXT(ROW()-6,"00000"))</f>
        <v/>
      </c>
      <c r="C103" s="113">
        <f>IF($D103="","",IFERROR(INDEX(MUSTERILER!$B$7:$B$106,MATCH($D103,MUSTERILER!$C$7:$C$106,0)),IFERROR(INDEX(MUSTERILER!$B$7:$B$106,MATCH($D103,MUSTERILER!$B$7:$B$106,0)),IFERROR(INDEX(MUSTERILER!$B$7:$B$106,MATCH($D103&amp;"*",MUSTERILER!$C$7:$C$106,0)),"TANIMSIZ MÜŞTERİ"))))</f>
        <v/>
      </c>
      <c r="D103" s="109" t="n"/>
      <c r="E103" s="225" t="n"/>
      <c r="F103" s="226" t="n"/>
      <c r="G103" s="108" t="n"/>
      <c r="H103" s="108" t="n"/>
      <c r="I103" s="109" t="n"/>
      <c r="J103" s="109" t="n"/>
      <c r="K103" s="109" t="n"/>
      <c r="L103" s="231">
        <f>IF($E103="","",DATE(YEAR($E103),MONTH($E103),1))</f>
        <v/>
      </c>
      <c r="M103" s="113">
        <f>IF($D103="","",IF($C103="TANIMSIZ MÜŞTERİ","HATA",IF(OR($E103="",$F103&lt;=0,$G103=""),"EKSİK",IF($E103&gt;TODAY(),"İLERİ TARİH","UYGUN"))))</f>
        <v/>
      </c>
      <c r="N103" s="121">
        <f>IF($C103="","",IF($C103="TANIMSIZ MÜŞTERİ","—",INDEX(MUSTERILER!$C$7:$C$106,MATCH($C103,MUSTERILER!$B$7:$B$106,0))))</f>
        <v/>
      </c>
      <c r="O103" s="6" t="n"/>
      <c r="P103" s="6" t="n"/>
      <c r="Q103" s="3">
        <f>IF($D103="","",$C103&amp;"|"&amp;COUNTIFS($C$7:$C103,$C103))</f>
        <v/>
      </c>
    </row>
    <row r="104">
      <c r="A104" s="6" t="n"/>
      <c r="B104" s="113">
        <f>IF($D104="","","T"&amp;TEXT(ROW()-6,"00000"))</f>
        <v/>
      </c>
      <c r="C104" s="113">
        <f>IF($D104="","",IFERROR(INDEX(MUSTERILER!$B$7:$B$106,MATCH($D104,MUSTERILER!$C$7:$C$106,0)),IFERROR(INDEX(MUSTERILER!$B$7:$B$106,MATCH($D104,MUSTERILER!$B$7:$B$106,0)),IFERROR(INDEX(MUSTERILER!$B$7:$B$106,MATCH($D104&amp;"*",MUSTERILER!$C$7:$C$106,0)),"TANIMSIZ MÜŞTERİ"))))</f>
        <v/>
      </c>
      <c r="D104" s="109" t="n"/>
      <c r="E104" s="225" t="n"/>
      <c r="F104" s="226" t="n"/>
      <c r="G104" s="108" t="n"/>
      <c r="H104" s="108" t="n"/>
      <c r="I104" s="109" t="n"/>
      <c r="J104" s="109" t="n"/>
      <c r="K104" s="109" t="n"/>
      <c r="L104" s="231">
        <f>IF($E104="","",DATE(YEAR($E104),MONTH($E104),1))</f>
        <v/>
      </c>
      <c r="M104" s="113">
        <f>IF($D104="","",IF($C104="TANIMSIZ MÜŞTERİ","HATA",IF(OR($E104="",$F104&lt;=0,$G104=""),"EKSİK",IF($E104&gt;TODAY(),"İLERİ TARİH","UYGUN"))))</f>
        <v/>
      </c>
      <c r="N104" s="121">
        <f>IF($C104="","",IF($C104="TANIMSIZ MÜŞTERİ","—",INDEX(MUSTERILER!$C$7:$C$106,MATCH($C104,MUSTERILER!$B$7:$B$106,0))))</f>
        <v/>
      </c>
      <c r="O104" s="6" t="n"/>
      <c r="P104" s="6" t="n"/>
      <c r="Q104" s="3">
        <f>IF($D104="","",$C104&amp;"|"&amp;COUNTIFS($C$7:$C104,$C104))</f>
        <v/>
      </c>
    </row>
    <row r="105">
      <c r="A105" s="6" t="n"/>
      <c r="B105" s="113">
        <f>IF($D105="","","T"&amp;TEXT(ROW()-6,"00000"))</f>
        <v/>
      </c>
      <c r="C105" s="113">
        <f>IF($D105="","",IFERROR(INDEX(MUSTERILER!$B$7:$B$106,MATCH($D105,MUSTERILER!$C$7:$C$106,0)),IFERROR(INDEX(MUSTERILER!$B$7:$B$106,MATCH($D105,MUSTERILER!$B$7:$B$106,0)),IFERROR(INDEX(MUSTERILER!$B$7:$B$106,MATCH($D105&amp;"*",MUSTERILER!$C$7:$C$106,0)),"TANIMSIZ MÜŞTERİ"))))</f>
        <v/>
      </c>
      <c r="D105" s="109" t="n"/>
      <c r="E105" s="225" t="n"/>
      <c r="F105" s="226" t="n"/>
      <c r="G105" s="108" t="n"/>
      <c r="H105" s="108" t="n"/>
      <c r="I105" s="109" t="n"/>
      <c r="J105" s="109" t="n"/>
      <c r="K105" s="109" t="n"/>
      <c r="L105" s="231">
        <f>IF($E105="","",DATE(YEAR($E105),MONTH($E105),1))</f>
        <v/>
      </c>
      <c r="M105" s="113">
        <f>IF($D105="","",IF($C105="TANIMSIZ MÜŞTERİ","HATA",IF(OR($E105="",$F105&lt;=0,$G105=""),"EKSİK",IF($E105&gt;TODAY(),"İLERİ TARİH","UYGUN"))))</f>
        <v/>
      </c>
      <c r="N105" s="121">
        <f>IF($C105="","",IF($C105="TANIMSIZ MÜŞTERİ","—",INDEX(MUSTERILER!$C$7:$C$106,MATCH($C105,MUSTERILER!$B$7:$B$106,0))))</f>
        <v/>
      </c>
      <c r="O105" s="6" t="n"/>
      <c r="P105" s="6" t="n"/>
      <c r="Q105" s="3">
        <f>IF($D105="","",$C105&amp;"|"&amp;COUNTIFS($C$7:$C105,$C105))</f>
        <v/>
      </c>
    </row>
    <row r="106">
      <c r="A106" s="6" t="n"/>
      <c r="B106" s="113">
        <f>IF($D106="","","T"&amp;TEXT(ROW()-6,"00000"))</f>
        <v/>
      </c>
      <c r="C106" s="113">
        <f>IF($D106="","",IFERROR(INDEX(MUSTERILER!$B$7:$B$106,MATCH($D106,MUSTERILER!$C$7:$C$106,0)),IFERROR(INDEX(MUSTERILER!$B$7:$B$106,MATCH($D106,MUSTERILER!$B$7:$B$106,0)),IFERROR(INDEX(MUSTERILER!$B$7:$B$106,MATCH($D106&amp;"*",MUSTERILER!$C$7:$C$106,0)),"TANIMSIZ MÜŞTERİ"))))</f>
        <v/>
      </c>
      <c r="D106" s="109" t="n"/>
      <c r="E106" s="225" t="n"/>
      <c r="F106" s="226" t="n"/>
      <c r="G106" s="108" t="n"/>
      <c r="H106" s="108" t="n"/>
      <c r="I106" s="109" t="n"/>
      <c r="J106" s="109" t="n"/>
      <c r="K106" s="109" t="n"/>
      <c r="L106" s="231">
        <f>IF($E106="","",DATE(YEAR($E106),MONTH($E106),1))</f>
        <v/>
      </c>
      <c r="M106" s="113">
        <f>IF($D106="","",IF($C106="TANIMSIZ MÜŞTERİ","HATA",IF(OR($E106="",$F106&lt;=0,$G106=""),"EKSİK",IF($E106&gt;TODAY(),"İLERİ TARİH","UYGUN"))))</f>
        <v/>
      </c>
      <c r="N106" s="121">
        <f>IF($C106="","",IF($C106="TANIMSIZ MÜŞTERİ","—",INDEX(MUSTERILER!$C$7:$C$106,MATCH($C106,MUSTERILER!$B$7:$B$106,0))))</f>
        <v/>
      </c>
      <c r="O106" s="6" t="n"/>
      <c r="P106" s="6" t="n"/>
      <c r="Q106" s="3">
        <f>IF($D106="","",$C106&amp;"|"&amp;COUNTIFS($C$7:$C106,$C106))</f>
        <v/>
      </c>
    </row>
    <row r="107">
      <c r="A107" s="6" t="n"/>
      <c r="B107" s="113">
        <f>IF($D107="","","T"&amp;TEXT(ROW()-6,"00000"))</f>
        <v/>
      </c>
      <c r="C107" s="113">
        <f>IF($D107="","",IFERROR(INDEX(MUSTERILER!$B$7:$B$106,MATCH($D107,MUSTERILER!$C$7:$C$106,0)),IFERROR(INDEX(MUSTERILER!$B$7:$B$106,MATCH($D107,MUSTERILER!$B$7:$B$106,0)),IFERROR(INDEX(MUSTERILER!$B$7:$B$106,MATCH($D107&amp;"*",MUSTERILER!$C$7:$C$106,0)),"TANIMSIZ MÜŞTERİ"))))</f>
        <v/>
      </c>
      <c r="D107" s="109" t="n"/>
      <c r="E107" s="225" t="n"/>
      <c r="F107" s="226" t="n"/>
      <c r="G107" s="108" t="n"/>
      <c r="H107" s="108" t="n"/>
      <c r="I107" s="109" t="n"/>
      <c r="J107" s="109" t="n"/>
      <c r="K107" s="109" t="n"/>
      <c r="L107" s="231">
        <f>IF($E107="","",DATE(YEAR($E107),MONTH($E107),1))</f>
        <v/>
      </c>
      <c r="M107" s="113">
        <f>IF($D107="","",IF($C107="TANIMSIZ MÜŞTERİ","HATA",IF(OR($E107="",$F107&lt;=0,$G107=""),"EKSİK",IF($E107&gt;TODAY(),"İLERİ TARİH","UYGUN"))))</f>
        <v/>
      </c>
      <c r="N107" s="121">
        <f>IF($C107="","",IF($C107="TANIMSIZ MÜŞTERİ","—",INDEX(MUSTERILER!$C$7:$C$106,MATCH($C107,MUSTERILER!$B$7:$B$106,0))))</f>
        <v/>
      </c>
      <c r="O107" s="6" t="n"/>
      <c r="P107" s="6" t="n"/>
      <c r="Q107" s="3">
        <f>IF($D107="","",$C107&amp;"|"&amp;COUNTIFS($C$7:$C107,$C107))</f>
        <v/>
      </c>
    </row>
    <row r="108">
      <c r="A108" s="6" t="n"/>
      <c r="B108" s="113">
        <f>IF($D108="","","T"&amp;TEXT(ROW()-6,"00000"))</f>
        <v/>
      </c>
      <c r="C108" s="113">
        <f>IF($D108="","",IFERROR(INDEX(MUSTERILER!$B$7:$B$106,MATCH($D108,MUSTERILER!$C$7:$C$106,0)),IFERROR(INDEX(MUSTERILER!$B$7:$B$106,MATCH($D108,MUSTERILER!$B$7:$B$106,0)),IFERROR(INDEX(MUSTERILER!$B$7:$B$106,MATCH($D108&amp;"*",MUSTERILER!$C$7:$C$106,0)),"TANIMSIZ MÜŞTERİ"))))</f>
        <v/>
      </c>
      <c r="D108" s="109" t="n"/>
      <c r="E108" s="225" t="n"/>
      <c r="F108" s="226" t="n"/>
      <c r="G108" s="108" t="n"/>
      <c r="H108" s="108" t="n"/>
      <c r="I108" s="109" t="n"/>
      <c r="J108" s="109" t="n"/>
      <c r="K108" s="109" t="n"/>
      <c r="L108" s="231">
        <f>IF($E108="","",DATE(YEAR($E108),MONTH($E108),1))</f>
        <v/>
      </c>
      <c r="M108" s="113">
        <f>IF($D108="","",IF($C108="TANIMSIZ MÜŞTERİ","HATA",IF(OR($E108="",$F108&lt;=0,$G108=""),"EKSİK",IF($E108&gt;TODAY(),"İLERİ TARİH","UYGUN"))))</f>
        <v/>
      </c>
      <c r="N108" s="121">
        <f>IF($C108="","",IF($C108="TANIMSIZ MÜŞTERİ","—",INDEX(MUSTERILER!$C$7:$C$106,MATCH($C108,MUSTERILER!$B$7:$B$106,0))))</f>
        <v/>
      </c>
      <c r="O108" s="6" t="n"/>
      <c r="P108" s="6" t="n"/>
      <c r="Q108" s="3">
        <f>IF($D108="","",$C108&amp;"|"&amp;COUNTIFS($C$7:$C108,$C108))</f>
        <v/>
      </c>
    </row>
    <row r="109">
      <c r="A109" s="6" t="n"/>
      <c r="B109" s="113">
        <f>IF($D109="","","T"&amp;TEXT(ROW()-6,"00000"))</f>
        <v/>
      </c>
      <c r="C109" s="113">
        <f>IF($D109="","",IFERROR(INDEX(MUSTERILER!$B$7:$B$106,MATCH($D109,MUSTERILER!$C$7:$C$106,0)),IFERROR(INDEX(MUSTERILER!$B$7:$B$106,MATCH($D109,MUSTERILER!$B$7:$B$106,0)),IFERROR(INDEX(MUSTERILER!$B$7:$B$106,MATCH($D109&amp;"*",MUSTERILER!$C$7:$C$106,0)),"TANIMSIZ MÜŞTERİ"))))</f>
        <v/>
      </c>
      <c r="D109" s="109" t="n"/>
      <c r="E109" s="225" t="n"/>
      <c r="F109" s="226" t="n"/>
      <c r="G109" s="108" t="n"/>
      <c r="H109" s="108" t="n"/>
      <c r="I109" s="109" t="n"/>
      <c r="J109" s="109" t="n"/>
      <c r="K109" s="109" t="n"/>
      <c r="L109" s="231">
        <f>IF($E109="","",DATE(YEAR($E109),MONTH($E109),1))</f>
        <v/>
      </c>
      <c r="M109" s="113">
        <f>IF($D109="","",IF($C109="TANIMSIZ MÜŞTERİ","HATA",IF(OR($E109="",$F109&lt;=0,$G109=""),"EKSİK",IF($E109&gt;TODAY(),"İLERİ TARİH","UYGUN"))))</f>
        <v/>
      </c>
      <c r="N109" s="121">
        <f>IF($C109="","",IF($C109="TANIMSIZ MÜŞTERİ","—",INDEX(MUSTERILER!$C$7:$C$106,MATCH($C109,MUSTERILER!$B$7:$B$106,0))))</f>
        <v/>
      </c>
      <c r="O109" s="6" t="n"/>
      <c r="P109" s="6" t="n"/>
      <c r="Q109" s="3">
        <f>IF($D109="","",$C109&amp;"|"&amp;COUNTIFS($C$7:$C109,$C109))</f>
        <v/>
      </c>
    </row>
    <row r="110">
      <c r="A110" s="6" t="n"/>
      <c r="B110" s="113">
        <f>IF($D110="","","T"&amp;TEXT(ROW()-6,"00000"))</f>
        <v/>
      </c>
      <c r="C110" s="113">
        <f>IF($D110="","",IFERROR(INDEX(MUSTERILER!$B$7:$B$106,MATCH($D110,MUSTERILER!$C$7:$C$106,0)),IFERROR(INDEX(MUSTERILER!$B$7:$B$106,MATCH($D110,MUSTERILER!$B$7:$B$106,0)),IFERROR(INDEX(MUSTERILER!$B$7:$B$106,MATCH($D110&amp;"*",MUSTERILER!$C$7:$C$106,0)),"TANIMSIZ MÜŞTERİ"))))</f>
        <v/>
      </c>
      <c r="D110" s="109" t="n"/>
      <c r="E110" s="225" t="n"/>
      <c r="F110" s="226" t="n"/>
      <c r="G110" s="108" t="n"/>
      <c r="H110" s="108" t="n"/>
      <c r="I110" s="109" t="n"/>
      <c r="J110" s="109" t="n"/>
      <c r="K110" s="109" t="n"/>
      <c r="L110" s="231">
        <f>IF($E110="","",DATE(YEAR($E110),MONTH($E110),1))</f>
        <v/>
      </c>
      <c r="M110" s="113">
        <f>IF($D110="","",IF($C110="TANIMSIZ MÜŞTERİ","HATA",IF(OR($E110="",$F110&lt;=0,$G110=""),"EKSİK",IF($E110&gt;TODAY(),"İLERİ TARİH","UYGUN"))))</f>
        <v/>
      </c>
      <c r="N110" s="121">
        <f>IF($C110="","",IF($C110="TANIMSIZ MÜŞTERİ","—",INDEX(MUSTERILER!$C$7:$C$106,MATCH($C110,MUSTERILER!$B$7:$B$106,0))))</f>
        <v/>
      </c>
      <c r="O110" s="6" t="n"/>
      <c r="P110" s="6" t="n"/>
      <c r="Q110" s="3">
        <f>IF($D110="","",$C110&amp;"|"&amp;COUNTIFS($C$7:$C110,$C110))</f>
        <v/>
      </c>
    </row>
    <row r="111">
      <c r="A111" s="6" t="n"/>
      <c r="B111" s="113">
        <f>IF($D111="","","T"&amp;TEXT(ROW()-6,"00000"))</f>
        <v/>
      </c>
      <c r="C111" s="113">
        <f>IF($D111="","",IFERROR(INDEX(MUSTERILER!$B$7:$B$106,MATCH($D111,MUSTERILER!$C$7:$C$106,0)),IFERROR(INDEX(MUSTERILER!$B$7:$B$106,MATCH($D111,MUSTERILER!$B$7:$B$106,0)),IFERROR(INDEX(MUSTERILER!$B$7:$B$106,MATCH($D111&amp;"*",MUSTERILER!$C$7:$C$106,0)),"TANIMSIZ MÜŞTERİ"))))</f>
        <v/>
      </c>
      <c r="D111" s="109" t="n"/>
      <c r="E111" s="225" t="n"/>
      <c r="F111" s="226" t="n"/>
      <c r="G111" s="108" t="n"/>
      <c r="H111" s="108" t="n"/>
      <c r="I111" s="109" t="n"/>
      <c r="J111" s="109" t="n"/>
      <c r="K111" s="109" t="n"/>
      <c r="L111" s="231">
        <f>IF($E111="","",DATE(YEAR($E111),MONTH($E111),1))</f>
        <v/>
      </c>
      <c r="M111" s="113">
        <f>IF($D111="","",IF($C111="TANIMSIZ MÜŞTERİ","HATA",IF(OR($E111="",$F111&lt;=0,$G111=""),"EKSİK",IF($E111&gt;TODAY(),"İLERİ TARİH","UYGUN"))))</f>
        <v/>
      </c>
      <c r="N111" s="121">
        <f>IF($C111="","",IF($C111="TANIMSIZ MÜŞTERİ","—",INDEX(MUSTERILER!$C$7:$C$106,MATCH($C111,MUSTERILER!$B$7:$B$106,0))))</f>
        <v/>
      </c>
      <c r="O111" s="6" t="n"/>
      <c r="P111" s="6" t="n"/>
      <c r="Q111" s="3">
        <f>IF($D111="","",$C111&amp;"|"&amp;COUNTIFS($C$7:$C111,$C111))</f>
        <v/>
      </c>
    </row>
    <row r="112">
      <c r="A112" s="6" t="n"/>
      <c r="B112" s="113">
        <f>IF($D112="","","T"&amp;TEXT(ROW()-6,"00000"))</f>
        <v/>
      </c>
      <c r="C112" s="113">
        <f>IF($D112="","",IFERROR(INDEX(MUSTERILER!$B$7:$B$106,MATCH($D112,MUSTERILER!$C$7:$C$106,0)),IFERROR(INDEX(MUSTERILER!$B$7:$B$106,MATCH($D112,MUSTERILER!$B$7:$B$106,0)),IFERROR(INDEX(MUSTERILER!$B$7:$B$106,MATCH($D112&amp;"*",MUSTERILER!$C$7:$C$106,0)),"TANIMSIZ MÜŞTERİ"))))</f>
        <v/>
      </c>
      <c r="D112" s="109" t="n"/>
      <c r="E112" s="225" t="n"/>
      <c r="F112" s="226" t="n"/>
      <c r="G112" s="108" t="n"/>
      <c r="H112" s="108" t="n"/>
      <c r="I112" s="109" t="n"/>
      <c r="J112" s="109" t="n"/>
      <c r="K112" s="109" t="n"/>
      <c r="L112" s="231">
        <f>IF($E112="","",DATE(YEAR($E112),MONTH($E112),1))</f>
        <v/>
      </c>
      <c r="M112" s="113">
        <f>IF($D112="","",IF($C112="TANIMSIZ MÜŞTERİ","HATA",IF(OR($E112="",$F112&lt;=0,$G112=""),"EKSİK",IF($E112&gt;TODAY(),"İLERİ TARİH","UYGUN"))))</f>
        <v/>
      </c>
      <c r="N112" s="121">
        <f>IF($C112="","",IF($C112="TANIMSIZ MÜŞTERİ","—",INDEX(MUSTERILER!$C$7:$C$106,MATCH($C112,MUSTERILER!$B$7:$B$106,0))))</f>
        <v/>
      </c>
      <c r="O112" s="6" t="n"/>
      <c r="P112" s="6" t="n"/>
      <c r="Q112" s="3">
        <f>IF($D112="","",$C112&amp;"|"&amp;COUNTIFS($C$7:$C112,$C112))</f>
        <v/>
      </c>
    </row>
    <row r="113">
      <c r="A113" s="6" t="n"/>
      <c r="B113" s="113">
        <f>IF($D113="","","T"&amp;TEXT(ROW()-6,"00000"))</f>
        <v/>
      </c>
      <c r="C113" s="113">
        <f>IF($D113="","",IFERROR(INDEX(MUSTERILER!$B$7:$B$106,MATCH($D113,MUSTERILER!$C$7:$C$106,0)),IFERROR(INDEX(MUSTERILER!$B$7:$B$106,MATCH($D113,MUSTERILER!$B$7:$B$106,0)),IFERROR(INDEX(MUSTERILER!$B$7:$B$106,MATCH($D113&amp;"*",MUSTERILER!$C$7:$C$106,0)),"TANIMSIZ MÜŞTERİ"))))</f>
        <v/>
      </c>
      <c r="D113" s="109" t="n"/>
      <c r="E113" s="225" t="n"/>
      <c r="F113" s="226" t="n"/>
      <c r="G113" s="108" t="n"/>
      <c r="H113" s="108" t="n"/>
      <c r="I113" s="109" t="n"/>
      <c r="J113" s="109" t="n"/>
      <c r="K113" s="109" t="n"/>
      <c r="L113" s="231">
        <f>IF($E113="","",DATE(YEAR($E113),MONTH($E113),1))</f>
        <v/>
      </c>
      <c r="M113" s="113">
        <f>IF($D113="","",IF($C113="TANIMSIZ MÜŞTERİ","HATA",IF(OR($E113="",$F113&lt;=0,$G113=""),"EKSİK",IF($E113&gt;TODAY(),"İLERİ TARİH","UYGUN"))))</f>
        <v/>
      </c>
      <c r="N113" s="121">
        <f>IF($C113="","",IF($C113="TANIMSIZ MÜŞTERİ","—",INDEX(MUSTERILER!$C$7:$C$106,MATCH($C113,MUSTERILER!$B$7:$B$106,0))))</f>
        <v/>
      </c>
      <c r="O113" s="6" t="n"/>
      <c r="P113" s="6" t="n"/>
      <c r="Q113" s="3">
        <f>IF($D113="","",$C113&amp;"|"&amp;COUNTIFS($C$7:$C113,$C113))</f>
        <v/>
      </c>
    </row>
    <row r="114">
      <c r="A114" s="6" t="n"/>
      <c r="B114" s="113">
        <f>IF($D114="","","T"&amp;TEXT(ROW()-6,"00000"))</f>
        <v/>
      </c>
      <c r="C114" s="113">
        <f>IF($D114="","",IFERROR(INDEX(MUSTERILER!$B$7:$B$106,MATCH($D114,MUSTERILER!$C$7:$C$106,0)),IFERROR(INDEX(MUSTERILER!$B$7:$B$106,MATCH($D114,MUSTERILER!$B$7:$B$106,0)),IFERROR(INDEX(MUSTERILER!$B$7:$B$106,MATCH($D114&amp;"*",MUSTERILER!$C$7:$C$106,0)),"TANIMSIZ MÜŞTERİ"))))</f>
        <v/>
      </c>
      <c r="D114" s="109" t="n"/>
      <c r="E114" s="225" t="n"/>
      <c r="F114" s="226" t="n"/>
      <c r="G114" s="108" t="n"/>
      <c r="H114" s="108" t="n"/>
      <c r="I114" s="109" t="n"/>
      <c r="J114" s="109" t="n"/>
      <c r="K114" s="109" t="n"/>
      <c r="L114" s="231">
        <f>IF($E114="","",DATE(YEAR($E114),MONTH($E114),1))</f>
        <v/>
      </c>
      <c r="M114" s="113">
        <f>IF($D114="","",IF($C114="TANIMSIZ MÜŞTERİ","HATA",IF(OR($E114="",$F114&lt;=0,$G114=""),"EKSİK",IF($E114&gt;TODAY(),"İLERİ TARİH","UYGUN"))))</f>
        <v/>
      </c>
      <c r="N114" s="121">
        <f>IF($C114="","",IF($C114="TANIMSIZ MÜŞTERİ","—",INDEX(MUSTERILER!$C$7:$C$106,MATCH($C114,MUSTERILER!$B$7:$B$106,0))))</f>
        <v/>
      </c>
      <c r="O114" s="6" t="n"/>
      <c r="P114" s="6" t="n"/>
      <c r="Q114" s="3">
        <f>IF($D114="","",$C114&amp;"|"&amp;COUNTIFS($C$7:$C114,$C114))</f>
        <v/>
      </c>
    </row>
    <row r="115">
      <c r="A115" s="6" t="n"/>
      <c r="B115" s="113">
        <f>IF($D115="","","T"&amp;TEXT(ROW()-6,"00000"))</f>
        <v/>
      </c>
      <c r="C115" s="113">
        <f>IF($D115="","",IFERROR(INDEX(MUSTERILER!$B$7:$B$106,MATCH($D115,MUSTERILER!$C$7:$C$106,0)),IFERROR(INDEX(MUSTERILER!$B$7:$B$106,MATCH($D115,MUSTERILER!$B$7:$B$106,0)),IFERROR(INDEX(MUSTERILER!$B$7:$B$106,MATCH($D115&amp;"*",MUSTERILER!$C$7:$C$106,0)),"TANIMSIZ MÜŞTERİ"))))</f>
        <v/>
      </c>
      <c r="D115" s="109" t="n"/>
      <c r="E115" s="225" t="n"/>
      <c r="F115" s="226" t="n"/>
      <c r="G115" s="108" t="n"/>
      <c r="H115" s="108" t="n"/>
      <c r="I115" s="109" t="n"/>
      <c r="J115" s="109" t="n"/>
      <c r="K115" s="109" t="n"/>
      <c r="L115" s="231">
        <f>IF($E115="","",DATE(YEAR($E115),MONTH($E115),1))</f>
        <v/>
      </c>
      <c r="M115" s="113">
        <f>IF($D115="","",IF($C115="TANIMSIZ MÜŞTERİ","HATA",IF(OR($E115="",$F115&lt;=0,$G115=""),"EKSİK",IF($E115&gt;TODAY(),"İLERİ TARİH","UYGUN"))))</f>
        <v/>
      </c>
      <c r="N115" s="121">
        <f>IF($C115="","",IF($C115="TANIMSIZ MÜŞTERİ","—",INDEX(MUSTERILER!$C$7:$C$106,MATCH($C115,MUSTERILER!$B$7:$B$106,0))))</f>
        <v/>
      </c>
      <c r="O115" s="6" t="n"/>
      <c r="P115" s="6" t="n"/>
      <c r="Q115" s="3">
        <f>IF($D115="","",$C115&amp;"|"&amp;COUNTIFS($C$7:$C115,$C115))</f>
        <v/>
      </c>
    </row>
    <row r="116">
      <c r="A116" s="6" t="n"/>
      <c r="B116" s="113">
        <f>IF($D116="","","T"&amp;TEXT(ROW()-6,"00000"))</f>
        <v/>
      </c>
      <c r="C116" s="113">
        <f>IF($D116="","",IFERROR(INDEX(MUSTERILER!$B$7:$B$106,MATCH($D116,MUSTERILER!$C$7:$C$106,0)),IFERROR(INDEX(MUSTERILER!$B$7:$B$106,MATCH($D116,MUSTERILER!$B$7:$B$106,0)),IFERROR(INDEX(MUSTERILER!$B$7:$B$106,MATCH($D116&amp;"*",MUSTERILER!$C$7:$C$106,0)),"TANIMSIZ MÜŞTERİ"))))</f>
        <v/>
      </c>
      <c r="D116" s="109" t="n"/>
      <c r="E116" s="225" t="n"/>
      <c r="F116" s="226" t="n"/>
      <c r="G116" s="108" t="n"/>
      <c r="H116" s="108" t="n"/>
      <c r="I116" s="109" t="n"/>
      <c r="J116" s="109" t="n"/>
      <c r="K116" s="109" t="n"/>
      <c r="L116" s="231">
        <f>IF($E116="","",DATE(YEAR($E116),MONTH($E116),1))</f>
        <v/>
      </c>
      <c r="M116" s="113">
        <f>IF($D116="","",IF($C116="TANIMSIZ MÜŞTERİ","HATA",IF(OR($E116="",$F116&lt;=0,$G116=""),"EKSİK",IF($E116&gt;TODAY(),"İLERİ TARİH","UYGUN"))))</f>
        <v/>
      </c>
      <c r="N116" s="121">
        <f>IF($C116="","",IF($C116="TANIMSIZ MÜŞTERİ","—",INDEX(MUSTERILER!$C$7:$C$106,MATCH($C116,MUSTERILER!$B$7:$B$106,0))))</f>
        <v/>
      </c>
      <c r="O116" s="6" t="n"/>
      <c r="P116" s="6" t="n"/>
      <c r="Q116" s="3">
        <f>IF($D116="","",$C116&amp;"|"&amp;COUNTIFS($C$7:$C116,$C116))</f>
        <v/>
      </c>
    </row>
    <row r="117">
      <c r="A117" s="6" t="n"/>
      <c r="B117" s="113">
        <f>IF($D117="","","T"&amp;TEXT(ROW()-6,"00000"))</f>
        <v/>
      </c>
      <c r="C117" s="113">
        <f>IF($D117="","",IFERROR(INDEX(MUSTERILER!$B$7:$B$106,MATCH($D117,MUSTERILER!$C$7:$C$106,0)),IFERROR(INDEX(MUSTERILER!$B$7:$B$106,MATCH($D117,MUSTERILER!$B$7:$B$106,0)),IFERROR(INDEX(MUSTERILER!$B$7:$B$106,MATCH($D117&amp;"*",MUSTERILER!$C$7:$C$106,0)),"TANIMSIZ MÜŞTERİ"))))</f>
        <v/>
      </c>
      <c r="D117" s="109" t="n"/>
      <c r="E117" s="225" t="n"/>
      <c r="F117" s="226" t="n"/>
      <c r="G117" s="108" t="n"/>
      <c r="H117" s="108" t="n"/>
      <c r="I117" s="109" t="n"/>
      <c r="J117" s="109" t="n"/>
      <c r="K117" s="109" t="n"/>
      <c r="L117" s="231">
        <f>IF($E117="","",DATE(YEAR($E117),MONTH($E117),1))</f>
        <v/>
      </c>
      <c r="M117" s="113">
        <f>IF($D117="","",IF($C117="TANIMSIZ MÜŞTERİ","HATA",IF(OR($E117="",$F117&lt;=0,$G117=""),"EKSİK",IF($E117&gt;TODAY(),"İLERİ TARİH","UYGUN"))))</f>
        <v/>
      </c>
      <c r="N117" s="121">
        <f>IF($C117="","",IF($C117="TANIMSIZ MÜŞTERİ","—",INDEX(MUSTERILER!$C$7:$C$106,MATCH($C117,MUSTERILER!$B$7:$B$106,0))))</f>
        <v/>
      </c>
      <c r="O117" s="6" t="n"/>
      <c r="P117" s="6" t="n"/>
      <c r="Q117" s="3">
        <f>IF($D117="","",$C117&amp;"|"&amp;COUNTIFS($C$7:$C117,$C117))</f>
        <v/>
      </c>
    </row>
    <row r="118">
      <c r="A118" s="6" t="n"/>
      <c r="B118" s="113">
        <f>IF($D118="","","T"&amp;TEXT(ROW()-6,"00000"))</f>
        <v/>
      </c>
      <c r="C118" s="113">
        <f>IF($D118="","",IFERROR(INDEX(MUSTERILER!$B$7:$B$106,MATCH($D118,MUSTERILER!$C$7:$C$106,0)),IFERROR(INDEX(MUSTERILER!$B$7:$B$106,MATCH($D118,MUSTERILER!$B$7:$B$106,0)),IFERROR(INDEX(MUSTERILER!$B$7:$B$106,MATCH($D118&amp;"*",MUSTERILER!$C$7:$C$106,0)),"TANIMSIZ MÜŞTERİ"))))</f>
        <v/>
      </c>
      <c r="D118" s="109" t="n"/>
      <c r="E118" s="225" t="n"/>
      <c r="F118" s="226" t="n"/>
      <c r="G118" s="108" t="n"/>
      <c r="H118" s="108" t="n"/>
      <c r="I118" s="109" t="n"/>
      <c r="J118" s="109" t="n"/>
      <c r="K118" s="109" t="n"/>
      <c r="L118" s="231">
        <f>IF($E118="","",DATE(YEAR($E118),MONTH($E118),1))</f>
        <v/>
      </c>
      <c r="M118" s="113">
        <f>IF($D118="","",IF($C118="TANIMSIZ MÜŞTERİ","HATA",IF(OR($E118="",$F118&lt;=0,$G118=""),"EKSİK",IF($E118&gt;TODAY(),"İLERİ TARİH","UYGUN"))))</f>
        <v/>
      </c>
      <c r="N118" s="121">
        <f>IF($C118="","",IF($C118="TANIMSIZ MÜŞTERİ","—",INDEX(MUSTERILER!$C$7:$C$106,MATCH($C118,MUSTERILER!$B$7:$B$106,0))))</f>
        <v/>
      </c>
      <c r="O118" s="6" t="n"/>
      <c r="P118" s="6" t="n"/>
      <c r="Q118" s="3">
        <f>IF($D118="","",$C118&amp;"|"&amp;COUNTIFS($C$7:$C118,$C118))</f>
        <v/>
      </c>
    </row>
    <row r="119">
      <c r="A119" s="6" t="n"/>
      <c r="B119" s="113">
        <f>IF($D119="","","T"&amp;TEXT(ROW()-6,"00000"))</f>
        <v/>
      </c>
      <c r="C119" s="113">
        <f>IF($D119="","",IFERROR(INDEX(MUSTERILER!$B$7:$B$106,MATCH($D119,MUSTERILER!$C$7:$C$106,0)),IFERROR(INDEX(MUSTERILER!$B$7:$B$106,MATCH($D119,MUSTERILER!$B$7:$B$106,0)),IFERROR(INDEX(MUSTERILER!$B$7:$B$106,MATCH($D119&amp;"*",MUSTERILER!$C$7:$C$106,0)),"TANIMSIZ MÜŞTERİ"))))</f>
        <v/>
      </c>
      <c r="D119" s="109" t="n"/>
      <c r="E119" s="225" t="n"/>
      <c r="F119" s="226" t="n"/>
      <c r="G119" s="108" t="n"/>
      <c r="H119" s="108" t="n"/>
      <c r="I119" s="109" t="n"/>
      <c r="J119" s="109" t="n"/>
      <c r="K119" s="109" t="n"/>
      <c r="L119" s="231">
        <f>IF($E119="","",DATE(YEAR($E119),MONTH($E119),1))</f>
        <v/>
      </c>
      <c r="M119" s="113">
        <f>IF($D119="","",IF($C119="TANIMSIZ MÜŞTERİ","HATA",IF(OR($E119="",$F119&lt;=0,$G119=""),"EKSİK",IF($E119&gt;TODAY(),"İLERİ TARİH","UYGUN"))))</f>
        <v/>
      </c>
      <c r="N119" s="121">
        <f>IF($C119="","",IF($C119="TANIMSIZ MÜŞTERİ","—",INDEX(MUSTERILER!$C$7:$C$106,MATCH($C119,MUSTERILER!$B$7:$B$106,0))))</f>
        <v/>
      </c>
      <c r="O119" s="6" t="n"/>
      <c r="P119" s="6" t="n"/>
      <c r="Q119" s="3">
        <f>IF($D119="","",$C119&amp;"|"&amp;COUNTIFS($C$7:$C119,$C119))</f>
        <v/>
      </c>
    </row>
    <row r="120">
      <c r="A120" s="6" t="n"/>
      <c r="B120" s="113">
        <f>IF($D120="","","T"&amp;TEXT(ROW()-6,"00000"))</f>
        <v/>
      </c>
      <c r="C120" s="113">
        <f>IF($D120="","",IFERROR(INDEX(MUSTERILER!$B$7:$B$106,MATCH($D120,MUSTERILER!$C$7:$C$106,0)),IFERROR(INDEX(MUSTERILER!$B$7:$B$106,MATCH($D120,MUSTERILER!$B$7:$B$106,0)),IFERROR(INDEX(MUSTERILER!$B$7:$B$106,MATCH($D120&amp;"*",MUSTERILER!$C$7:$C$106,0)),"TANIMSIZ MÜŞTERİ"))))</f>
        <v/>
      </c>
      <c r="D120" s="109" t="n"/>
      <c r="E120" s="225" t="n"/>
      <c r="F120" s="226" t="n"/>
      <c r="G120" s="108" t="n"/>
      <c r="H120" s="108" t="n"/>
      <c r="I120" s="109" t="n"/>
      <c r="J120" s="109" t="n"/>
      <c r="K120" s="109" t="n"/>
      <c r="L120" s="231">
        <f>IF($E120="","",DATE(YEAR($E120),MONTH($E120),1))</f>
        <v/>
      </c>
      <c r="M120" s="113">
        <f>IF($D120="","",IF($C120="TANIMSIZ MÜŞTERİ","HATA",IF(OR($E120="",$F120&lt;=0,$G120=""),"EKSİK",IF($E120&gt;TODAY(),"İLERİ TARİH","UYGUN"))))</f>
        <v/>
      </c>
      <c r="N120" s="121">
        <f>IF($C120="","",IF($C120="TANIMSIZ MÜŞTERİ","—",INDEX(MUSTERILER!$C$7:$C$106,MATCH($C120,MUSTERILER!$B$7:$B$106,0))))</f>
        <v/>
      </c>
      <c r="O120" s="6" t="n"/>
      <c r="P120" s="6" t="n"/>
      <c r="Q120" s="3">
        <f>IF($D120="","",$C120&amp;"|"&amp;COUNTIFS($C$7:$C120,$C120))</f>
        <v/>
      </c>
    </row>
    <row r="121">
      <c r="A121" s="6" t="n"/>
      <c r="B121" s="113">
        <f>IF($D121="","","T"&amp;TEXT(ROW()-6,"00000"))</f>
        <v/>
      </c>
      <c r="C121" s="113">
        <f>IF($D121="","",IFERROR(INDEX(MUSTERILER!$B$7:$B$106,MATCH($D121,MUSTERILER!$C$7:$C$106,0)),IFERROR(INDEX(MUSTERILER!$B$7:$B$106,MATCH($D121,MUSTERILER!$B$7:$B$106,0)),IFERROR(INDEX(MUSTERILER!$B$7:$B$106,MATCH($D121&amp;"*",MUSTERILER!$C$7:$C$106,0)),"TANIMSIZ MÜŞTERİ"))))</f>
        <v/>
      </c>
      <c r="D121" s="109" t="n"/>
      <c r="E121" s="225" t="n"/>
      <c r="F121" s="226" t="n"/>
      <c r="G121" s="108" t="n"/>
      <c r="H121" s="108" t="n"/>
      <c r="I121" s="109" t="n"/>
      <c r="J121" s="109" t="n"/>
      <c r="K121" s="109" t="n"/>
      <c r="L121" s="231">
        <f>IF($E121="","",DATE(YEAR($E121),MONTH($E121),1))</f>
        <v/>
      </c>
      <c r="M121" s="113">
        <f>IF($D121="","",IF($C121="TANIMSIZ MÜŞTERİ","HATA",IF(OR($E121="",$F121&lt;=0,$G121=""),"EKSİK",IF($E121&gt;TODAY(),"İLERİ TARİH","UYGUN"))))</f>
        <v/>
      </c>
      <c r="N121" s="121">
        <f>IF($C121="","",IF($C121="TANIMSIZ MÜŞTERİ","—",INDEX(MUSTERILER!$C$7:$C$106,MATCH($C121,MUSTERILER!$B$7:$B$106,0))))</f>
        <v/>
      </c>
      <c r="O121" s="6" t="n"/>
      <c r="P121" s="6" t="n"/>
      <c r="Q121" s="3">
        <f>IF($D121="","",$C121&amp;"|"&amp;COUNTIFS($C$7:$C121,$C121))</f>
        <v/>
      </c>
    </row>
    <row r="122">
      <c r="A122" s="6" t="n"/>
      <c r="B122" s="113">
        <f>IF($D122="","","T"&amp;TEXT(ROW()-6,"00000"))</f>
        <v/>
      </c>
      <c r="C122" s="113">
        <f>IF($D122="","",IFERROR(INDEX(MUSTERILER!$B$7:$B$106,MATCH($D122,MUSTERILER!$C$7:$C$106,0)),IFERROR(INDEX(MUSTERILER!$B$7:$B$106,MATCH($D122,MUSTERILER!$B$7:$B$106,0)),IFERROR(INDEX(MUSTERILER!$B$7:$B$106,MATCH($D122&amp;"*",MUSTERILER!$C$7:$C$106,0)),"TANIMSIZ MÜŞTERİ"))))</f>
        <v/>
      </c>
      <c r="D122" s="109" t="n"/>
      <c r="E122" s="225" t="n"/>
      <c r="F122" s="226" t="n"/>
      <c r="G122" s="108" t="n"/>
      <c r="H122" s="108" t="n"/>
      <c r="I122" s="109" t="n"/>
      <c r="J122" s="109" t="n"/>
      <c r="K122" s="109" t="n"/>
      <c r="L122" s="231">
        <f>IF($E122="","",DATE(YEAR($E122),MONTH($E122),1))</f>
        <v/>
      </c>
      <c r="M122" s="113">
        <f>IF($D122="","",IF($C122="TANIMSIZ MÜŞTERİ","HATA",IF(OR($E122="",$F122&lt;=0,$G122=""),"EKSİK",IF($E122&gt;TODAY(),"İLERİ TARİH","UYGUN"))))</f>
        <v/>
      </c>
      <c r="N122" s="121">
        <f>IF($C122="","",IF($C122="TANIMSIZ MÜŞTERİ","—",INDEX(MUSTERILER!$C$7:$C$106,MATCH($C122,MUSTERILER!$B$7:$B$106,0))))</f>
        <v/>
      </c>
      <c r="O122" s="6" t="n"/>
      <c r="P122" s="6" t="n"/>
      <c r="Q122" s="3">
        <f>IF($D122="","",$C122&amp;"|"&amp;COUNTIFS($C$7:$C122,$C122))</f>
        <v/>
      </c>
    </row>
    <row r="123">
      <c r="A123" s="6" t="n"/>
      <c r="B123" s="113">
        <f>IF($D123="","","T"&amp;TEXT(ROW()-6,"00000"))</f>
        <v/>
      </c>
      <c r="C123" s="113">
        <f>IF($D123="","",IFERROR(INDEX(MUSTERILER!$B$7:$B$106,MATCH($D123,MUSTERILER!$C$7:$C$106,0)),IFERROR(INDEX(MUSTERILER!$B$7:$B$106,MATCH($D123,MUSTERILER!$B$7:$B$106,0)),IFERROR(INDEX(MUSTERILER!$B$7:$B$106,MATCH($D123&amp;"*",MUSTERILER!$C$7:$C$106,0)),"TANIMSIZ MÜŞTERİ"))))</f>
        <v/>
      </c>
      <c r="D123" s="109" t="n"/>
      <c r="E123" s="225" t="n"/>
      <c r="F123" s="226" t="n"/>
      <c r="G123" s="108" t="n"/>
      <c r="H123" s="108" t="n"/>
      <c r="I123" s="109" t="n"/>
      <c r="J123" s="109" t="n"/>
      <c r="K123" s="109" t="n"/>
      <c r="L123" s="231">
        <f>IF($E123="","",DATE(YEAR($E123),MONTH($E123),1))</f>
        <v/>
      </c>
      <c r="M123" s="113">
        <f>IF($D123="","",IF($C123="TANIMSIZ MÜŞTERİ","HATA",IF(OR($E123="",$F123&lt;=0,$G123=""),"EKSİK",IF($E123&gt;TODAY(),"İLERİ TARİH","UYGUN"))))</f>
        <v/>
      </c>
      <c r="N123" s="121">
        <f>IF($C123="","",IF($C123="TANIMSIZ MÜŞTERİ","—",INDEX(MUSTERILER!$C$7:$C$106,MATCH($C123,MUSTERILER!$B$7:$B$106,0))))</f>
        <v/>
      </c>
      <c r="O123" s="6" t="n"/>
      <c r="P123" s="6" t="n"/>
      <c r="Q123" s="3">
        <f>IF($D123="","",$C123&amp;"|"&amp;COUNTIFS($C$7:$C123,$C123))</f>
        <v/>
      </c>
    </row>
    <row r="124">
      <c r="A124" s="6" t="n"/>
      <c r="B124" s="113">
        <f>IF($D124="","","T"&amp;TEXT(ROW()-6,"00000"))</f>
        <v/>
      </c>
      <c r="C124" s="113">
        <f>IF($D124="","",IFERROR(INDEX(MUSTERILER!$B$7:$B$106,MATCH($D124,MUSTERILER!$C$7:$C$106,0)),IFERROR(INDEX(MUSTERILER!$B$7:$B$106,MATCH($D124,MUSTERILER!$B$7:$B$106,0)),IFERROR(INDEX(MUSTERILER!$B$7:$B$106,MATCH($D124&amp;"*",MUSTERILER!$C$7:$C$106,0)),"TANIMSIZ MÜŞTERİ"))))</f>
        <v/>
      </c>
      <c r="D124" s="109" t="n"/>
      <c r="E124" s="225" t="n"/>
      <c r="F124" s="226" t="n"/>
      <c r="G124" s="108" t="n"/>
      <c r="H124" s="108" t="n"/>
      <c r="I124" s="109" t="n"/>
      <c r="J124" s="109" t="n"/>
      <c r="K124" s="109" t="n"/>
      <c r="L124" s="231">
        <f>IF($E124="","",DATE(YEAR($E124),MONTH($E124),1))</f>
        <v/>
      </c>
      <c r="M124" s="113">
        <f>IF($D124="","",IF($C124="TANIMSIZ MÜŞTERİ","HATA",IF(OR($E124="",$F124&lt;=0,$G124=""),"EKSİK",IF($E124&gt;TODAY(),"İLERİ TARİH","UYGUN"))))</f>
        <v/>
      </c>
      <c r="N124" s="121">
        <f>IF($C124="","",IF($C124="TANIMSIZ MÜŞTERİ","—",INDEX(MUSTERILER!$C$7:$C$106,MATCH($C124,MUSTERILER!$B$7:$B$106,0))))</f>
        <v/>
      </c>
      <c r="O124" s="6" t="n"/>
      <c r="P124" s="6" t="n"/>
      <c r="Q124" s="3">
        <f>IF($D124="","",$C124&amp;"|"&amp;COUNTIFS($C$7:$C124,$C124))</f>
        <v/>
      </c>
    </row>
    <row r="125">
      <c r="A125" s="6" t="n"/>
      <c r="B125" s="113">
        <f>IF($D125="","","T"&amp;TEXT(ROW()-6,"00000"))</f>
        <v/>
      </c>
      <c r="C125" s="113">
        <f>IF($D125="","",IFERROR(INDEX(MUSTERILER!$B$7:$B$106,MATCH($D125,MUSTERILER!$C$7:$C$106,0)),IFERROR(INDEX(MUSTERILER!$B$7:$B$106,MATCH($D125,MUSTERILER!$B$7:$B$106,0)),IFERROR(INDEX(MUSTERILER!$B$7:$B$106,MATCH($D125&amp;"*",MUSTERILER!$C$7:$C$106,0)),"TANIMSIZ MÜŞTERİ"))))</f>
        <v/>
      </c>
      <c r="D125" s="109" t="n"/>
      <c r="E125" s="225" t="n"/>
      <c r="F125" s="226" t="n"/>
      <c r="G125" s="108" t="n"/>
      <c r="H125" s="108" t="n"/>
      <c r="I125" s="109" t="n"/>
      <c r="J125" s="109" t="n"/>
      <c r="K125" s="109" t="n"/>
      <c r="L125" s="231">
        <f>IF($E125="","",DATE(YEAR($E125),MONTH($E125),1))</f>
        <v/>
      </c>
      <c r="M125" s="113">
        <f>IF($D125="","",IF($C125="TANIMSIZ MÜŞTERİ","HATA",IF(OR($E125="",$F125&lt;=0,$G125=""),"EKSİK",IF($E125&gt;TODAY(),"İLERİ TARİH","UYGUN"))))</f>
        <v/>
      </c>
      <c r="N125" s="121">
        <f>IF($C125="","",IF($C125="TANIMSIZ MÜŞTERİ","—",INDEX(MUSTERILER!$C$7:$C$106,MATCH($C125,MUSTERILER!$B$7:$B$106,0))))</f>
        <v/>
      </c>
      <c r="O125" s="6" t="n"/>
      <c r="P125" s="6" t="n"/>
      <c r="Q125" s="3">
        <f>IF($D125="","",$C125&amp;"|"&amp;COUNTIFS($C$7:$C125,$C125))</f>
        <v/>
      </c>
    </row>
    <row r="126">
      <c r="A126" s="6" t="n"/>
      <c r="B126" s="113">
        <f>IF($D126="","","T"&amp;TEXT(ROW()-6,"00000"))</f>
        <v/>
      </c>
      <c r="C126" s="113">
        <f>IF($D126="","",IFERROR(INDEX(MUSTERILER!$B$7:$B$106,MATCH($D126,MUSTERILER!$C$7:$C$106,0)),IFERROR(INDEX(MUSTERILER!$B$7:$B$106,MATCH($D126,MUSTERILER!$B$7:$B$106,0)),IFERROR(INDEX(MUSTERILER!$B$7:$B$106,MATCH($D126&amp;"*",MUSTERILER!$C$7:$C$106,0)),"TANIMSIZ MÜŞTERİ"))))</f>
        <v/>
      </c>
      <c r="D126" s="109" t="n"/>
      <c r="E126" s="225" t="n"/>
      <c r="F126" s="226" t="n"/>
      <c r="G126" s="108" t="n"/>
      <c r="H126" s="108" t="n"/>
      <c r="I126" s="109" t="n"/>
      <c r="J126" s="109" t="n"/>
      <c r="K126" s="109" t="n"/>
      <c r="L126" s="231">
        <f>IF($E126="","",DATE(YEAR($E126),MONTH($E126),1))</f>
        <v/>
      </c>
      <c r="M126" s="113">
        <f>IF($D126="","",IF($C126="TANIMSIZ MÜŞTERİ","HATA",IF(OR($E126="",$F126&lt;=0,$G126=""),"EKSİK",IF($E126&gt;TODAY(),"İLERİ TARİH","UYGUN"))))</f>
        <v/>
      </c>
      <c r="N126" s="121">
        <f>IF($C126="","",IF($C126="TANIMSIZ MÜŞTERİ","—",INDEX(MUSTERILER!$C$7:$C$106,MATCH($C126,MUSTERILER!$B$7:$B$106,0))))</f>
        <v/>
      </c>
      <c r="O126" s="6" t="n"/>
      <c r="P126" s="6" t="n"/>
      <c r="Q126" s="3">
        <f>IF($D126="","",$C126&amp;"|"&amp;COUNTIFS($C$7:$C126,$C126))</f>
        <v/>
      </c>
    </row>
    <row r="127">
      <c r="A127" s="6" t="n"/>
      <c r="B127" s="113">
        <f>IF($D127="","","T"&amp;TEXT(ROW()-6,"00000"))</f>
        <v/>
      </c>
      <c r="C127" s="113">
        <f>IF($D127="","",IFERROR(INDEX(MUSTERILER!$B$7:$B$106,MATCH($D127,MUSTERILER!$C$7:$C$106,0)),IFERROR(INDEX(MUSTERILER!$B$7:$B$106,MATCH($D127,MUSTERILER!$B$7:$B$106,0)),IFERROR(INDEX(MUSTERILER!$B$7:$B$106,MATCH($D127&amp;"*",MUSTERILER!$C$7:$C$106,0)),"TANIMSIZ MÜŞTERİ"))))</f>
        <v/>
      </c>
      <c r="D127" s="109" t="n"/>
      <c r="E127" s="225" t="n"/>
      <c r="F127" s="226" t="n"/>
      <c r="G127" s="108" t="n"/>
      <c r="H127" s="108" t="n"/>
      <c r="I127" s="109" t="n"/>
      <c r="J127" s="109" t="n"/>
      <c r="K127" s="109" t="n"/>
      <c r="L127" s="231">
        <f>IF($E127="","",DATE(YEAR($E127),MONTH($E127),1))</f>
        <v/>
      </c>
      <c r="M127" s="113">
        <f>IF($D127="","",IF($C127="TANIMSIZ MÜŞTERİ","HATA",IF(OR($E127="",$F127&lt;=0,$G127=""),"EKSİK",IF($E127&gt;TODAY(),"İLERİ TARİH","UYGUN"))))</f>
        <v/>
      </c>
      <c r="N127" s="121">
        <f>IF($C127="","",IF($C127="TANIMSIZ MÜŞTERİ","—",INDEX(MUSTERILER!$C$7:$C$106,MATCH($C127,MUSTERILER!$B$7:$B$106,0))))</f>
        <v/>
      </c>
      <c r="O127" s="6" t="n"/>
      <c r="P127" s="6" t="n"/>
      <c r="Q127" s="3">
        <f>IF($D127="","",$C127&amp;"|"&amp;COUNTIFS($C$7:$C127,$C127))</f>
        <v/>
      </c>
    </row>
    <row r="128">
      <c r="A128" s="6" t="n"/>
      <c r="B128" s="113">
        <f>IF($D128="","","T"&amp;TEXT(ROW()-6,"00000"))</f>
        <v/>
      </c>
      <c r="C128" s="113">
        <f>IF($D128="","",IFERROR(INDEX(MUSTERILER!$B$7:$B$106,MATCH($D128,MUSTERILER!$C$7:$C$106,0)),IFERROR(INDEX(MUSTERILER!$B$7:$B$106,MATCH($D128,MUSTERILER!$B$7:$B$106,0)),IFERROR(INDEX(MUSTERILER!$B$7:$B$106,MATCH($D128&amp;"*",MUSTERILER!$C$7:$C$106,0)),"TANIMSIZ MÜŞTERİ"))))</f>
        <v/>
      </c>
      <c r="D128" s="109" t="n"/>
      <c r="E128" s="225" t="n"/>
      <c r="F128" s="226" t="n"/>
      <c r="G128" s="108" t="n"/>
      <c r="H128" s="108" t="n"/>
      <c r="I128" s="109" t="n"/>
      <c r="J128" s="109" t="n"/>
      <c r="K128" s="109" t="n"/>
      <c r="L128" s="231">
        <f>IF($E128="","",DATE(YEAR($E128),MONTH($E128),1))</f>
        <v/>
      </c>
      <c r="M128" s="113">
        <f>IF($D128="","",IF($C128="TANIMSIZ MÜŞTERİ","HATA",IF(OR($E128="",$F128&lt;=0,$G128=""),"EKSİK",IF($E128&gt;TODAY(),"İLERİ TARİH","UYGUN"))))</f>
        <v/>
      </c>
      <c r="N128" s="121">
        <f>IF($C128="","",IF($C128="TANIMSIZ MÜŞTERİ","—",INDEX(MUSTERILER!$C$7:$C$106,MATCH($C128,MUSTERILER!$B$7:$B$106,0))))</f>
        <v/>
      </c>
      <c r="O128" s="6" t="n"/>
      <c r="P128" s="6" t="n"/>
      <c r="Q128" s="3">
        <f>IF($D128="","",$C128&amp;"|"&amp;COUNTIFS($C$7:$C128,$C128))</f>
        <v/>
      </c>
    </row>
    <row r="129">
      <c r="A129" s="6" t="n"/>
      <c r="B129" s="113">
        <f>IF($D129="","","T"&amp;TEXT(ROW()-6,"00000"))</f>
        <v/>
      </c>
      <c r="C129" s="113">
        <f>IF($D129="","",IFERROR(INDEX(MUSTERILER!$B$7:$B$106,MATCH($D129,MUSTERILER!$C$7:$C$106,0)),IFERROR(INDEX(MUSTERILER!$B$7:$B$106,MATCH($D129,MUSTERILER!$B$7:$B$106,0)),IFERROR(INDEX(MUSTERILER!$B$7:$B$106,MATCH($D129&amp;"*",MUSTERILER!$C$7:$C$106,0)),"TANIMSIZ MÜŞTERİ"))))</f>
        <v/>
      </c>
      <c r="D129" s="109" t="n"/>
      <c r="E129" s="225" t="n"/>
      <c r="F129" s="226" t="n"/>
      <c r="G129" s="108" t="n"/>
      <c r="H129" s="108" t="n"/>
      <c r="I129" s="109" t="n"/>
      <c r="J129" s="109" t="n"/>
      <c r="K129" s="109" t="n"/>
      <c r="L129" s="231">
        <f>IF($E129="","",DATE(YEAR($E129),MONTH($E129),1))</f>
        <v/>
      </c>
      <c r="M129" s="113">
        <f>IF($D129="","",IF($C129="TANIMSIZ MÜŞTERİ","HATA",IF(OR($E129="",$F129&lt;=0,$G129=""),"EKSİK",IF($E129&gt;TODAY(),"İLERİ TARİH","UYGUN"))))</f>
        <v/>
      </c>
      <c r="N129" s="121">
        <f>IF($C129="","",IF($C129="TANIMSIZ MÜŞTERİ","—",INDEX(MUSTERILER!$C$7:$C$106,MATCH($C129,MUSTERILER!$B$7:$B$106,0))))</f>
        <v/>
      </c>
      <c r="O129" s="6" t="n"/>
      <c r="P129" s="6" t="n"/>
      <c r="Q129" s="3">
        <f>IF($D129="","",$C129&amp;"|"&amp;COUNTIFS($C$7:$C129,$C129))</f>
        <v/>
      </c>
    </row>
    <row r="130">
      <c r="A130" s="6" t="n"/>
      <c r="B130" s="113">
        <f>IF($D130="","","T"&amp;TEXT(ROW()-6,"00000"))</f>
        <v/>
      </c>
      <c r="C130" s="113">
        <f>IF($D130="","",IFERROR(INDEX(MUSTERILER!$B$7:$B$106,MATCH($D130,MUSTERILER!$C$7:$C$106,0)),IFERROR(INDEX(MUSTERILER!$B$7:$B$106,MATCH($D130,MUSTERILER!$B$7:$B$106,0)),IFERROR(INDEX(MUSTERILER!$B$7:$B$106,MATCH($D130&amp;"*",MUSTERILER!$C$7:$C$106,0)),"TANIMSIZ MÜŞTERİ"))))</f>
        <v/>
      </c>
      <c r="D130" s="109" t="n"/>
      <c r="E130" s="225" t="n"/>
      <c r="F130" s="226" t="n"/>
      <c r="G130" s="108" t="n"/>
      <c r="H130" s="108" t="n"/>
      <c r="I130" s="109" t="n"/>
      <c r="J130" s="109" t="n"/>
      <c r="K130" s="109" t="n"/>
      <c r="L130" s="231">
        <f>IF($E130="","",DATE(YEAR($E130),MONTH($E130),1))</f>
        <v/>
      </c>
      <c r="M130" s="113">
        <f>IF($D130="","",IF($C130="TANIMSIZ MÜŞTERİ","HATA",IF(OR($E130="",$F130&lt;=0,$G130=""),"EKSİK",IF($E130&gt;TODAY(),"İLERİ TARİH","UYGUN"))))</f>
        <v/>
      </c>
      <c r="N130" s="121">
        <f>IF($C130="","",IF($C130="TANIMSIZ MÜŞTERİ","—",INDEX(MUSTERILER!$C$7:$C$106,MATCH($C130,MUSTERILER!$B$7:$B$106,0))))</f>
        <v/>
      </c>
      <c r="O130" s="6" t="n"/>
      <c r="P130" s="6" t="n"/>
      <c r="Q130" s="3">
        <f>IF($D130="","",$C130&amp;"|"&amp;COUNTIFS($C$7:$C130,$C130))</f>
        <v/>
      </c>
    </row>
    <row r="131">
      <c r="A131" s="6" t="n"/>
      <c r="B131" s="113">
        <f>IF($D131="","","T"&amp;TEXT(ROW()-6,"00000"))</f>
        <v/>
      </c>
      <c r="C131" s="113">
        <f>IF($D131="","",IFERROR(INDEX(MUSTERILER!$B$7:$B$106,MATCH($D131,MUSTERILER!$C$7:$C$106,0)),IFERROR(INDEX(MUSTERILER!$B$7:$B$106,MATCH($D131,MUSTERILER!$B$7:$B$106,0)),IFERROR(INDEX(MUSTERILER!$B$7:$B$106,MATCH($D131&amp;"*",MUSTERILER!$C$7:$C$106,0)),"TANIMSIZ MÜŞTERİ"))))</f>
        <v/>
      </c>
      <c r="D131" s="109" t="n"/>
      <c r="E131" s="225" t="n"/>
      <c r="F131" s="226" t="n"/>
      <c r="G131" s="108" t="n"/>
      <c r="H131" s="108" t="n"/>
      <c r="I131" s="109" t="n"/>
      <c r="J131" s="109" t="n"/>
      <c r="K131" s="109" t="n"/>
      <c r="L131" s="231">
        <f>IF($E131="","",DATE(YEAR($E131),MONTH($E131),1))</f>
        <v/>
      </c>
      <c r="M131" s="113">
        <f>IF($D131="","",IF($C131="TANIMSIZ MÜŞTERİ","HATA",IF(OR($E131="",$F131&lt;=0,$G131=""),"EKSİK",IF($E131&gt;TODAY(),"İLERİ TARİH","UYGUN"))))</f>
        <v/>
      </c>
      <c r="N131" s="121">
        <f>IF($C131="","",IF($C131="TANIMSIZ MÜŞTERİ","—",INDEX(MUSTERILER!$C$7:$C$106,MATCH($C131,MUSTERILER!$B$7:$B$106,0))))</f>
        <v/>
      </c>
      <c r="O131" s="6" t="n"/>
      <c r="P131" s="6" t="n"/>
      <c r="Q131" s="3">
        <f>IF($D131="","",$C131&amp;"|"&amp;COUNTIFS($C$7:$C131,$C131))</f>
        <v/>
      </c>
    </row>
    <row r="132">
      <c r="A132" s="6" t="n"/>
      <c r="B132" s="113">
        <f>IF($D132="","","T"&amp;TEXT(ROW()-6,"00000"))</f>
        <v/>
      </c>
      <c r="C132" s="113">
        <f>IF($D132="","",IFERROR(INDEX(MUSTERILER!$B$7:$B$106,MATCH($D132,MUSTERILER!$C$7:$C$106,0)),IFERROR(INDEX(MUSTERILER!$B$7:$B$106,MATCH($D132,MUSTERILER!$B$7:$B$106,0)),IFERROR(INDEX(MUSTERILER!$B$7:$B$106,MATCH($D132&amp;"*",MUSTERILER!$C$7:$C$106,0)),"TANIMSIZ MÜŞTERİ"))))</f>
        <v/>
      </c>
      <c r="D132" s="109" t="n"/>
      <c r="E132" s="225" t="n"/>
      <c r="F132" s="226" t="n"/>
      <c r="G132" s="108" t="n"/>
      <c r="H132" s="108" t="n"/>
      <c r="I132" s="109" t="n"/>
      <c r="J132" s="109" t="n"/>
      <c r="K132" s="109" t="n"/>
      <c r="L132" s="231">
        <f>IF($E132="","",DATE(YEAR($E132),MONTH($E132),1))</f>
        <v/>
      </c>
      <c r="M132" s="113">
        <f>IF($D132="","",IF($C132="TANIMSIZ MÜŞTERİ","HATA",IF(OR($E132="",$F132&lt;=0,$G132=""),"EKSİK",IF($E132&gt;TODAY(),"İLERİ TARİH","UYGUN"))))</f>
        <v/>
      </c>
      <c r="N132" s="121">
        <f>IF($C132="","",IF($C132="TANIMSIZ MÜŞTERİ","—",INDEX(MUSTERILER!$C$7:$C$106,MATCH($C132,MUSTERILER!$B$7:$B$106,0))))</f>
        <v/>
      </c>
      <c r="O132" s="6" t="n"/>
      <c r="P132" s="6" t="n"/>
      <c r="Q132" s="3">
        <f>IF($D132="","",$C132&amp;"|"&amp;COUNTIFS($C$7:$C132,$C132))</f>
        <v/>
      </c>
    </row>
    <row r="133">
      <c r="A133" s="6" t="n"/>
      <c r="B133" s="113">
        <f>IF($D133="","","T"&amp;TEXT(ROW()-6,"00000"))</f>
        <v/>
      </c>
      <c r="C133" s="113">
        <f>IF($D133="","",IFERROR(INDEX(MUSTERILER!$B$7:$B$106,MATCH($D133,MUSTERILER!$C$7:$C$106,0)),IFERROR(INDEX(MUSTERILER!$B$7:$B$106,MATCH($D133,MUSTERILER!$B$7:$B$106,0)),IFERROR(INDEX(MUSTERILER!$B$7:$B$106,MATCH($D133&amp;"*",MUSTERILER!$C$7:$C$106,0)),"TANIMSIZ MÜŞTERİ"))))</f>
        <v/>
      </c>
      <c r="D133" s="109" t="n"/>
      <c r="E133" s="225" t="n"/>
      <c r="F133" s="226" t="n"/>
      <c r="G133" s="108" t="n"/>
      <c r="H133" s="108" t="n"/>
      <c r="I133" s="109" t="n"/>
      <c r="J133" s="109" t="n"/>
      <c r="K133" s="109" t="n"/>
      <c r="L133" s="231">
        <f>IF($E133="","",DATE(YEAR($E133),MONTH($E133),1))</f>
        <v/>
      </c>
      <c r="M133" s="113">
        <f>IF($D133="","",IF($C133="TANIMSIZ MÜŞTERİ","HATA",IF(OR($E133="",$F133&lt;=0,$G133=""),"EKSİK",IF($E133&gt;TODAY(),"İLERİ TARİH","UYGUN"))))</f>
        <v/>
      </c>
      <c r="N133" s="121">
        <f>IF($C133="","",IF($C133="TANIMSIZ MÜŞTERİ","—",INDEX(MUSTERILER!$C$7:$C$106,MATCH($C133,MUSTERILER!$B$7:$B$106,0))))</f>
        <v/>
      </c>
      <c r="O133" s="6" t="n"/>
      <c r="P133" s="6" t="n"/>
      <c r="Q133" s="3">
        <f>IF($D133="","",$C133&amp;"|"&amp;COUNTIFS($C$7:$C133,$C133))</f>
        <v/>
      </c>
    </row>
    <row r="134">
      <c r="A134" s="6" t="n"/>
      <c r="B134" s="113">
        <f>IF($D134="","","T"&amp;TEXT(ROW()-6,"00000"))</f>
        <v/>
      </c>
      <c r="C134" s="113">
        <f>IF($D134="","",IFERROR(INDEX(MUSTERILER!$B$7:$B$106,MATCH($D134,MUSTERILER!$C$7:$C$106,0)),IFERROR(INDEX(MUSTERILER!$B$7:$B$106,MATCH($D134,MUSTERILER!$B$7:$B$106,0)),IFERROR(INDEX(MUSTERILER!$B$7:$B$106,MATCH($D134&amp;"*",MUSTERILER!$C$7:$C$106,0)),"TANIMSIZ MÜŞTERİ"))))</f>
        <v/>
      </c>
      <c r="D134" s="109" t="n"/>
      <c r="E134" s="225" t="n"/>
      <c r="F134" s="226" t="n"/>
      <c r="G134" s="108" t="n"/>
      <c r="H134" s="108" t="n"/>
      <c r="I134" s="109" t="n"/>
      <c r="J134" s="109" t="n"/>
      <c r="K134" s="109" t="n"/>
      <c r="L134" s="231">
        <f>IF($E134="","",DATE(YEAR($E134),MONTH($E134),1))</f>
        <v/>
      </c>
      <c r="M134" s="113">
        <f>IF($D134="","",IF($C134="TANIMSIZ MÜŞTERİ","HATA",IF(OR($E134="",$F134&lt;=0,$G134=""),"EKSİK",IF($E134&gt;TODAY(),"İLERİ TARİH","UYGUN"))))</f>
        <v/>
      </c>
      <c r="N134" s="121">
        <f>IF($C134="","",IF($C134="TANIMSIZ MÜŞTERİ","—",INDEX(MUSTERILER!$C$7:$C$106,MATCH($C134,MUSTERILER!$B$7:$B$106,0))))</f>
        <v/>
      </c>
      <c r="O134" s="6" t="n"/>
      <c r="P134" s="6" t="n"/>
      <c r="Q134" s="3">
        <f>IF($D134="","",$C134&amp;"|"&amp;COUNTIFS($C$7:$C134,$C134))</f>
        <v/>
      </c>
    </row>
    <row r="135">
      <c r="A135" s="6" t="n"/>
      <c r="B135" s="113">
        <f>IF($D135="","","T"&amp;TEXT(ROW()-6,"00000"))</f>
        <v/>
      </c>
      <c r="C135" s="113">
        <f>IF($D135="","",IFERROR(INDEX(MUSTERILER!$B$7:$B$106,MATCH($D135,MUSTERILER!$C$7:$C$106,0)),IFERROR(INDEX(MUSTERILER!$B$7:$B$106,MATCH($D135,MUSTERILER!$B$7:$B$106,0)),IFERROR(INDEX(MUSTERILER!$B$7:$B$106,MATCH($D135&amp;"*",MUSTERILER!$C$7:$C$106,0)),"TANIMSIZ MÜŞTERİ"))))</f>
        <v/>
      </c>
      <c r="D135" s="109" t="n"/>
      <c r="E135" s="225" t="n"/>
      <c r="F135" s="226" t="n"/>
      <c r="G135" s="108" t="n"/>
      <c r="H135" s="108" t="n"/>
      <c r="I135" s="109" t="n"/>
      <c r="J135" s="109" t="n"/>
      <c r="K135" s="109" t="n"/>
      <c r="L135" s="231">
        <f>IF($E135="","",DATE(YEAR($E135),MONTH($E135),1))</f>
        <v/>
      </c>
      <c r="M135" s="113">
        <f>IF($D135="","",IF($C135="TANIMSIZ MÜŞTERİ","HATA",IF(OR($E135="",$F135&lt;=0,$G135=""),"EKSİK",IF($E135&gt;TODAY(),"İLERİ TARİH","UYGUN"))))</f>
        <v/>
      </c>
      <c r="N135" s="121">
        <f>IF($C135="","",IF($C135="TANIMSIZ MÜŞTERİ","—",INDEX(MUSTERILER!$C$7:$C$106,MATCH($C135,MUSTERILER!$B$7:$B$106,0))))</f>
        <v/>
      </c>
      <c r="O135" s="6" t="n"/>
      <c r="P135" s="6" t="n"/>
      <c r="Q135" s="3">
        <f>IF($D135="","",$C135&amp;"|"&amp;COUNTIFS($C$7:$C135,$C135))</f>
        <v/>
      </c>
    </row>
    <row r="136">
      <c r="A136" s="6" t="n"/>
      <c r="B136" s="113">
        <f>IF($D136="","","T"&amp;TEXT(ROW()-6,"00000"))</f>
        <v/>
      </c>
      <c r="C136" s="113">
        <f>IF($D136="","",IFERROR(INDEX(MUSTERILER!$B$7:$B$106,MATCH($D136,MUSTERILER!$C$7:$C$106,0)),IFERROR(INDEX(MUSTERILER!$B$7:$B$106,MATCH($D136,MUSTERILER!$B$7:$B$106,0)),IFERROR(INDEX(MUSTERILER!$B$7:$B$106,MATCH($D136&amp;"*",MUSTERILER!$C$7:$C$106,0)),"TANIMSIZ MÜŞTERİ"))))</f>
        <v/>
      </c>
      <c r="D136" s="109" t="n"/>
      <c r="E136" s="225" t="n"/>
      <c r="F136" s="226" t="n"/>
      <c r="G136" s="108" t="n"/>
      <c r="H136" s="108" t="n"/>
      <c r="I136" s="109" t="n"/>
      <c r="J136" s="109" t="n"/>
      <c r="K136" s="109" t="n"/>
      <c r="L136" s="231">
        <f>IF($E136="","",DATE(YEAR($E136),MONTH($E136),1))</f>
        <v/>
      </c>
      <c r="M136" s="113">
        <f>IF($D136="","",IF($C136="TANIMSIZ MÜŞTERİ","HATA",IF(OR($E136="",$F136&lt;=0,$G136=""),"EKSİK",IF($E136&gt;TODAY(),"İLERİ TARİH","UYGUN"))))</f>
        <v/>
      </c>
      <c r="N136" s="121">
        <f>IF($C136="","",IF($C136="TANIMSIZ MÜŞTERİ","—",INDEX(MUSTERILER!$C$7:$C$106,MATCH($C136,MUSTERILER!$B$7:$B$106,0))))</f>
        <v/>
      </c>
      <c r="O136" s="6" t="n"/>
      <c r="P136" s="6" t="n"/>
      <c r="Q136" s="3">
        <f>IF($D136="","",$C136&amp;"|"&amp;COUNTIFS($C$7:$C136,$C136))</f>
        <v/>
      </c>
    </row>
    <row r="137">
      <c r="A137" s="6" t="n"/>
      <c r="B137" s="113">
        <f>IF($D137="","","T"&amp;TEXT(ROW()-6,"00000"))</f>
        <v/>
      </c>
      <c r="C137" s="113">
        <f>IF($D137="","",IFERROR(INDEX(MUSTERILER!$B$7:$B$106,MATCH($D137,MUSTERILER!$C$7:$C$106,0)),IFERROR(INDEX(MUSTERILER!$B$7:$B$106,MATCH($D137,MUSTERILER!$B$7:$B$106,0)),IFERROR(INDEX(MUSTERILER!$B$7:$B$106,MATCH($D137&amp;"*",MUSTERILER!$C$7:$C$106,0)),"TANIMSIZ MÜŞTERİ"))))</f>
        <v/>
      </c>
      <c r="D137" s="109" t="n"/>
      <c r="E137" s="225" t="n"/>
      <c r="F137" s="226" t="n"/>
      <c r="G137" s="108" t="n"/>
      <c r="H137" s="108" t="n"/>
      <c r="I137" s="109" t="n"/>
      <c r="J137" s="109" t="n"/>
      <c r="K137" s="109" t="n"/>
      <c r="L137" s="231">
        <f>IF($E137="","",DATE(YEAR($E137),MONTH($E137),1))</f>
        <v/>
      </c>
      <c r="M137" s="113">
        <f>IF($D137="","",IF($C137="TANIMSIZ MÜŞTERİ","HATA",IF(OR($E137="",$F137&lt;=0,$G137=""),"EKSİK",IF($E137&gt;TODAY(),"İLERİ TARİH","UYGUN"))))</f>
        <v/>
      </c>
      <c r="N137" s="121">
        <f>IF($C137="","",IF($C137="TANIMSIZ MÜŞTERİ","—",INDEX(MUSTERILER!$C$7:$C$106,MATCH($C137,MUSTERILER!$B$7:$B$106,0))))</f>
        <v/>
      </c>
      <c r="O137" s="6" t="n"/>
      <c r="P137" s="6" t="n"/>
      <c r="Q137" s="3">
        <f>IF($D137="","",$C137&amp;"|"&amp;COUNTIFS($C$7:$C137,$C137))</f>
        <v/>
      </c>
    </row>
    <row r="138">
      <c r="A138" s="6" t="n"/>
      <c r="B138" s="113">
        <f>IF($D138="","","T"&amp;TEXT(ROW()-6,"00000"))</f>
        <v/>
      </c>
      <c r="C138" s="113">
        <f>IF($D138="","",IFERROR(INDEX(MUSTERILER!$B$7:$B$106,MATCH($D138,MUSTERILER!$C$7:$C$106,0)),IFERROR(INDEX(MUSTERILER!$B$7:$B$106,MATCH($D138,MUSTERILER!$B$7:$B$106,0)),IFERROR(INDEX(MUSTERILER!$B$7:$B$106,MATCH($D138&amp;"*",MUSTERILER!$C$7:$C$106,0)),"TANIMSIZ MÜŞTERİ"))))</f>
        <v/>
      </c>
      <c r="D138" s="109" t="n"/>
      <c r="E138" s="225" t="n"/>
      <c r="F138" s="226" t="n"/>
      <c r="G138" s="108" t="n"/>
      <c r="H138" s="108" t="n"/>
      <c r="I138" s="109" t="n"/>
      <c r="J138" s="109" t="n"/>
      <c r="K138" s="109" t="n"/>
      <c r="L138" s="231">
        <f>IF($E138="","",DATE(YEAR($E138),MONTH($E138),1))</f>
        <v/>
      </c>
      <c r="M138" s="113">
        <f>IF($D138="","",IF($C138="TANIMSIZ MÜŞTERİ","HATA",IF(OR($E138="",$F138&lt;=0,$G138=""),"EKSİK",IF($E138&gt;TODAY(),"İLERİ TARİH","UYGUN"))))</f>
        <v/>
      </c>
      <c r="N138" s="121">
        <f>IF($C138="","",IF($C138="TANIMSIZ MÜŞTERİ","—",INDEX(MUSTERILER!$C$7:$C$106,MATCH($C138,MUSTERILER!$B$7:$B$106,0))))</f>
        <v/>
      </c>
      <c r="O138" s="6" t="n"/>
      <c r="P138" s="6" t="n"/>
      <c r="Q138" s="3">
        <f>IF($D138="","",$C138&amp;"|"&amp;COUNTIFS($C$7:$C138,$C138))</f>
        <v/>
      </c>
    </row>
    <row r="139">
      <c r="A139" s="6" t="n"/>
      <c r="B139" s="113">
        <f>IF($D139="","","T"&amp;TEXT(ROW()-6,"00000"))</f>
        <v/>
      </c>
      <c r="C139" s="113">
        <f>IF($D139="","",IFERROR(INDEX(MUSTERILER!$B$7:$B$106,MATCH($D139,MUSTERILER!$C$7:$C$106,0)),IFERROR(INDEX(MUSTERILER!$B$7:$B$106,MATCH($D139,MUSTERILER!$B$7:$B$106,0)),IFERROR(INDEX(MUSTERILER!$B$7:$B$106,MATCH($D139&amp;"*",MUSTERILER!$C$7:$C$106,0)),"TANIMSIZ MÜŞTERİ"))))</f>
        <v/>
      </c>
      <c r="D139" s="109" t="n"/>
      <c r="E139" s="225" t="n"/>
      <c r="F139" s="226" t="n"/>
      <c r="G139" s="108" t="n"/>
      <c r="H139" s="108" t="n"/>
      <c r="I139" s="109" t="n"/>
      <c r="J139" s="109" t="n"/>
      <c r="K139" s="109" t="n"/>
      <c r="L139" s="231">
        <f>IF($E139="","",DATE(YEAR($E139),MONTH($E139),1))</f>
        <v/>
      </c>
      <c r="M139" s="113">
        <f>IF($D139="","",IF($C139="TANIMSIZ MÜŞTERİ","HATA",IF(OR($E139="",$F139&lt;=0,$G139=""),"EKSİK",IF($E139&gt;TODAY(),"İLERİ TARİH","UYGUN"))))</f>
        <v/>
      </c>
      <c r="N139" s="121">
        <f>IF($C139="","",IF($C139="TANIMSIZ MÜŞTERİ","—",INDEX(MUSTERILER!$C$7:$C$106,MATCH($C139,MUSTERILER!$B$7:$B$106,0))))</f>
        <v/>
      </c>
      <c r="O139" s="6" t="n"/>
      <c r="P139" s="6" t="n"/>
      <c r="Q139" s="3">
        <f>IF($D139="","",$C139&amp;"|"&amp;COUNTIFS($C$7:$C139,$C139))</f>
        <v/>
      </c>
    </row>
    <row r="140">
      <c r="A140" s="6" t="n"/>
      <c r="B140" s="113">
        <f>IF($D140="","","T"&amp;TEXT(ROW()-6,"00000"))</f>
        <v/>
      </c>
      <c r="C140" s="113">
        <f>IF($D140="","",IFERROR(INDEX(MUSTERILER!$B$7:$B$106,MATCH($D140,MUSTERILER!$C$7:$C$106,0)),IFERROR(INDEX(MUSTERILER!$B$7:$B$106,MATCH($D140,MUSTERILER!$B$7:$B$106,0)),IFERROR(INDEX(MUSTERILER!$B$7:$B$106,MATCH($D140&amp;"*",MUSTERILER!$C$7:$C$106,0)),"TANIMSIZ MÜŞTERİ"))))</f>
        <v/>
      </c>
      <c r="D140" s="109" t="n"/>
      <c r="E140" s="225" t="n"/>
      <c r="F140" s="226" t="n"/>
      <c r="G140" s="108" t="n"/>
      <c r="H140" s="108" t="n"/>
      <c r="I140" s="109" t="n"/>
      <c r="J140" s="109" t="n"/>
      <c r="K140" s="109" t="n"/>
      <c r="L140" s="231">
        <f>IF($E140="","",DATE(YEAR($E140),MONTH($E140),1))</f>
        <v/>
      </c>
      <c r="M140" s="113">
        <f>IF($D140="","",IF($C140="TANIMSIZ MÜŞTERİ","HATA",IF(OR($E140="",$F140&lt;=0,$G140=""),"EKSİK",IF($E140&gt;TODAY(),"İLERİ TARİH","UYGUN"))))</f>
        <v/>
      </c>
      <c r="N140" s="121">
        <f>IF($C140="","",IF($C140="TANIMSIZ MÜŞTERİ","—",INDEX(MUSTERILER!$C$7:$C$106,MATCH($C140,MUSTERILER!$B$7:$B$106,0))))</f>
        <v/>
      </c>
      <c r="O140" s="6" t="n"/>
      <c r="P140" s="6" t="n"/>
      <c r="Q140" s="3">
        <f>IF($D140="","",$C140&amp;"|"&amp;COUNTIFS($C$7:$C140,$C140))</f>
        <v/>
      </c>
    </row>
    <row r="141">
      <c r="A141" s="6" t="n"/>
      <c r="B141" s="113">
        <f>IF($D141="","","T"&amp;TEXT(ROW()-6,"00000"))</f>
        <v/>
      </c>
      <c r="C141" s="113">
        <f>IF($D141="","",IFERROR(INDEX(MUSTERILER!$B$7:$B$106,MATCH($D141,MUSTERILER!$C$7:$C$106,0)),IFERROR(INDEX(MUSTERILER!$B$7:$B$106,MATCH($D141,MUSTERILER!$B$7:$B$106,0)),IFERROR(INDEX(MUSTERILER!$B$7:$B$106,MATCH($D141&amp;"*",MUSTERILER!$C$7:$C$106,0)),"TANIMSIZ MÜŞTERİ"))))</f>
        <v/>
      </c>
      <c r="D141" s="109" t="n"/>
      <c r="E141" s="225" t="n"/>
      <c r="F141" s="226" t="n"/>
      <c r="G141" s="108" t="n"/>
      <c r="H141" s="108" t="n"/>
      <c r="I141" s="109" t="n"/>
      <c r="J141" s="109" t="n"/>
      <c r="K141" s="109" t="n"/>
      <c r="L141" s="231">
        <f>IF($E141="","",DATE(YEAR($E141),MONTH($E141),1))</f>
        <v/>
      </c>
      <c r="M141" s="113">
        <f>IF($D141="","",IF($C141="TANIMSIZ MÜŞTERİ","HATA",IF(OR($E141="",$F141&lt;=0,$G141=""),"EKSİK",IF($E141&gt;TODAY(),"İLERİ TARİH","UYGUN"))))</f>
        <v/>
      </c>
      <c r="N141" s="121">
        <f>IF($C141="","",IF($C141="TANIMSIZ MÜŞTERİ","—",INDEX(MUSTERILER!$C$7:$C$106,MATCH($C141,MUSTERILER!$B$7:$B$106,0))))</f>
        <v/>
      </c>
      <c r="O141" s="6" t="n"/>
      <c r="P141" s="6" t="n"/>
      <c r="Q141" s="3">
        <f>IF($D141="","",$C141&amp;"|"&amp;COUNTIFS($C$7:$C141,$C141))</f>
        <v/>
      </c>
    </row>
    <row r="142">
      <c r="A142" s="6" t="n"/>
      <c r="B142" s="113">
        <f>IF($D142="","","T"&amp;TEXT(ROW()-6,"00000"))</f>
        <v/>
      </c>
      <c r="C142" s="113">
        <f>IF($D142="","",IFERROR(INDEX(MUSTERILER!$B$7:$B$106,MATCH($D142,MUSTERILER!$C$7:$C$106,0)),IFERROR(INDEX(MUSTERILER!$B$7:$B$106,MATCH($D142,MUSTERILER!$B$7:$B$106,0)),IFERROR(INDEX(MUSTERILER!$B$7:$B$106,MATCH($D142&amp;"*",MUSTERILER!$C$7:$C$106,0)),"TANIMSIZ MÜŞTERİ"))))</f>
        <v/>
      </c>
      <c r="D142" s="109" t="n"/>
      <c r="E142" s="225" t="n"/>
      <c r="F142" s="226" t="n"/>
      <c r="G142" s="108" t="n"/>
      <c r="H142" s="108" t="n"/>
      <c r="I142" s="109" t="n"/>
      <c r="J142" s="109" t="n"/>
      <c r="K142" s="109" t="n"/>
      <c r="L142" s="231">
        <f>IF($E142="","",DATE(YEAR($E142),MONTH($E142),1))</f>
        <v/>
      </c>
      <c r="M142" s="113">
        <f>IF($D142="","",IF($C142="TANIMSIZ MÜŞTERİ","HATA",IF(OR($E142="",$F142&lt;=0,$G142=""),"EKSİK",IF($E142&gt;TODAY(),"İLERİ TARİH","UYGUN"))))</f>
        <v/>
      </c>
      <c r="N142" s="121">
        <f>IF($C142="","",IF($C142="TANIMSIZ MÜŞTERİ","—",INDEX(MUSTERILER!$C$7:$C$106,MATCH($C142,MUSTERILER!$B$7:$B$106,0))))</f>
        <v/>
      </c>
      <c r="O142" s="6" t="n"/>
      <c r="P142" s="6" t="n"/>
      <c r="Q142" s="3">
        <f>IF($D142="","",$C142&amp;"|"&amp;COUNTIFS($C$7:$C142,$C142))</f>
        <v/>
      </c>
    </row>
    <row r="143">
      <c r="A143" s="6" t="n"/>
      <c r="B143" s="113">
        <f>IF($D143="","","T"&amp;TEXT(ROW()-6,"00000"))</f>
        <v/>
      </c>
      <c r="C143" s="113">
        <f>IF($D143="","",IFERROR(INDEX(MUSTERILER!$B$7:$B$106,MATCH($D143,MUSTERILER!$C$7:$C$106,0)),IFERROR(INDEX(MUSTERILER!$B$7:$B$106,MATCH($D143,MUSTERILER!$B$7:$B$106,0)),IFERROR(INDEX(MUSTERILER!$B$7:$B$106,MATCH($D143&amp;"*",MUSTERILER!$C$7:$C$106,0)),"TANIMSIZ MÜŞTERİ"))))</f>
        <v/>
      </c>
      <c r="D143" s="109" t="n"/>
      <c r="E143" s="225" t="n"/>
      <c r="F143" s="226" t="n"/>
      <c r="G143" s="108" t="n"/>
      <c r="H143" s="108" t="n"/>
      <c r="I143" s="109" t="n"/>
      <c r="J143" s="109" t="n"/>
      <c r="K143" s="109" t="n"/>
      <c r="L143" s="231">
        <f>IF($E143="","",DATE(YEAR($E143),MONTH($E143),1))</f>
        <v/>
      </c>
      <c r="M143" s="113">
        <f>IF($D143="","",IF($C143="TANIMSIZ MÜŞTERİ","HATA",IF(OR($E143="",$F143&lt;=0,$G143=""),"EKSİK",IF($E143&gt;TODAY(),"İLERİ TARİH","UYGUN"))))</f>
        <v/>
      </c>
      <c r="N143" s="121">
        <f>IF($C143="","",IF($C143="TANIMSIZ MÜŞTERİ","—",INDEX(MUSTERILER!$C$7:$C$106,MATCH($C143,MUSTERILER!$B$7:$B$106,0))))</f>
        <v/>
      </c>
      <c r="O143" s="6" t="n"/>
      <c r="P143" s="6" t="n"/>
      <c r="Q143" s="3">
        <f>IF($D143="","",$C143&amp;"|"&amp;COUNTIFS($C$7:$C143,$C143))</f>
        <v/>
      </c>
    </row>
    <row r="144">
      <c r="A144" s="6" t="n"/>
      <c r="B144" s="113">
        <f>IF($D144="","","T"&amp;TEXT(ROW()-6,"00000"))</f>
        <v/>
      </c>
      <c r="C144" s="113">
        <f>IF($D144="","",IFERROR(INDEX(MUSTERILER!$B$7:$B$106,MATCH($D144,MUSTERILER!$C$7:$C$106,0)),IFERROR(INDEX(MUSTERILER!$B$7:$B$106,MATCH($D144,MUSTERILER!$B$7:$B$106,0)),IFERROR(INDEX(MUSTERILER!$B$7:$B$106,MATCH($D144&amp;"*",MUSTERILER!$C$7:$C$106,0)),"TANIMSIZ MÜŞTERİ"))))</f>
        <v/>
      </c>
      <c r="D144" s="109" t="n"/>
      <c r="E144" s="225" t="n"/>
      <c r="F144" s="226" t="n"/>
      <c r="G144" s="108" t="n"/>
      <c r="H144" s="108" t="n"/>
      <c r="I144" s="109" t="n"/>
      <c r="J144" s="109" t="n"/>
      <c r="K144" s="109" t="n"/>
      <c r="L144" s="231">
        <f>IF($E144="","",DATE(YEAR($E144),MONTH($E144),1))</f>
        <v/>
      </c>
      <c r="M144" s="113">
        <f>IF($D144="","",IF($C144="TANIMSIZ MÜŞTERİ","HATA",IF(OR($E144="",$F144&lt;=0,$G144=""),"EKSİK",IF($E144&gt;TODAY(),"İLERİ TARİH","UYGUN"))))</f>
        <v/>
      </c>
      <c r="N144" s="121">
        <f>IF($C144="","",IF($C144="TANIMSIZ MÜŞTERİ","—",INDEX(MUSTERILER!$C$7:$C$106,MATCH($C144,MUSTERILER!$B$7:$B$106,0))))</f>
        <v/>
      </c>
      <c r="O144" s="6" t="n"/>
      <c r="P144" s="6" t="n"/>
      <c r="Q144" s="3">
        <f>IF($D144="","",$C144&amp;"|"&amp;COUNTIFS($C$7:$C144,$C144))</f>
        <v/>
      </c>
    </row>
    <row r="145">
      <c r="A145" s="6" t="n"/>
      <c r="B145" s="113">
        <f>IF($D145="","","T"&amp;TEXT(ROW()-6,"00000"))</f>
        <v/>
      </c>
      <c r="C145" s="113">
        <f>IF($D145="","",IFERROR(INDEX(MUSTERILER!$B$7:$B$106,MATCH($D145,MUSTERILER!$C$7:$C$106,0)),IFERROR(INDEX(MUSTERILER!$B$7:$B$106,MATCH($D145,MUSTERILER!$B$7:$B$106,0)),IFERROR(INDEX(MUSTERILER!$B$7:$B$106,MATCH($D145&amp;"*",MUSTERILER!$C$7:$C$106,0)),"TANIMSIZ MÜŞTERİ"))))</f>
        <v/>
      </c>
      <c r="D145" s="109" t="n"/>
      <c r="E145" s="225" t="n"/>
      <c r="F145" s="226" t="n"/>
      <c r="G145" s="108" t="n"/>
      <c r="H145" s="108" t="n"/>
      <c r="I145" s="109" t="n"/>
      <c r="J145" s="109" t="n"/>
      <c r="K145" s="109" t="n"/>
      <c r="L145" s="231">
        <f>IF($E145="","",DATE(YEAR($E145),MONTH($E145),1))</f>
        <v/>
      </c>
      <c r="M145" s="113">
        <f>IF($D145="","",IF($C145="TANIMSIZ MÜŞTERİ","HATA",IF(OR($E145="",$F145&lt;=0,$G145=""),"EKSİK",IF($E145&gt;TODAY(),"İLERİ TARİH","UYGUN"))))</f>
        <v/>
      </c>
      <c r="N145" s="121">
        <f>IF($C145="","",IF($C145="TANIMSIZ MÜŞTERİ","—",INDEX(MUSTERILER!$C$7:$C$106,MATCH($C145,MUSTERILER!$B$7:$B$106,0))))</f>
        <v/>
      </c>
      <c r="O145" s="6" t="n"/>
      <c r="P145" s="6" t="n"/>
      <c r="Q145" s="3">
        <f>IF($D145="","",$C145&amp;"|"&amp;COUNTIFS($C$7:$C145,$C145))</f>
        <v/>
      </c>
    </row>
    <row r="146">
      <c r="A146" s="6" t="n"/>
      <c r="B146" s="113">
        <f>IF($D146="","","T"&amp;TEXT(ROW()-6,"00000"))</f>
        <v/>
      </c>
      <c r="C146" s="113">
        <f>IF($D146="","",IFERROR(INDEX(MUSTERILER!$B$7:$B$106,MATCH($D146,MUSTERILER!$C$7:$C$106,0)),IFERROR(INDEX(MUSTERILER!$B$7:$B$106,MATCH($D146,MUSTERILER!$B$7:$B$106,0)),IFERROR(INDEX(MUSTERILER!$B$7:$B$106,MATCH($D146&amp;"*",MUSTERILER!$C$7:$C$106,0)),"TANIMSIZ MÜŞTERİ"))))</f>
        <v/>
      </c>
      <c r="D146" s="109" t="n"/>
      <c r="E146" s="225" t="n"/>
      <c r="F146" s="226" t="n"/>
      <c r="G146" s="108" t="n"/>
      <c r="H146" s="108" t="n"/>
      <c r="I146" s="109" t="n"/>
      <c r="J146" s="109" t="n"/>
      <c r="K146" s="109" t="n"/>
      <c r="L146" s="231">
        <f>IF($E146="","",DATE(YEAR($E146),MONTH($E146),1))</f>
        <v/>
      </c>
      <c r="M146" s="113">
        <f>IF($D146="","",IF($C146="TANIMSIZ MÜŞTERİ","HATA",IF(OR($E146="",$F146&lt;=0,$G146=""),"EKSİK",IF($E146&gt;TODAY(),"İLERİ TARİH","UYGUN"))))</f>
        <v/>
      </c>
      <c r="N146" s="121">
        <f>IF($C146="","",IF($C146="TANIMSIZ MÜŞTERİ","—",INDEX(MUSTERILER!$C$7:$C$106,MATCH($C146,MUSTERILER!$B$7:$B$106,0))))</f>
        <v/>
      </c>
      <c r="O146" s="6" t="n"/>
      <c r="P146" s="6" t="n"/>
      <c r="Q146" s="3">
        <f>IF($D146="","",$C146&amp;"|"&amp;COUNTIFS($C$7:$C146,$C146))</f>
        <v/>
      </c>
    </row>
    <row r="147">
      <c r="A147" s="6" t="n"/>
      <c r="B147" s="113">
        <f>IF($D147="","","T"&amp;TEXT(ROW()-6,"00000"))</f>
        <v/>
      </c>
      <c r="C147" s="113">
        <f>IF($D147="","",IFERROR(INDEX(MUSTERILER!$B$7:$B$106,MATCH($D147,MUSTERILER!$C$7:$C$106,0)),IFERROR(INDEX(MUSTERILER!$B$7:$B$106,MATCH($D147,MUSTERILER!$B$7:$B$106,0)),IFERROR(INDEX(MUSTERILER!$B$7:$B$106,MATCH($D147&amp;"*",MUSTERILER!$C$7:$C$106,0)),"TANIMSIZ MÜŞTERİ"))))</f>
        <v/>
      </c>
      <c r="D147" s="109" t="n"/>
      <c r="E147" s="225" t="n"/>
      <c r="F147" s="226" t="n"/>
      <c r="G147" s="108" t="n"/>
      <c r="H147" s="108" t="n"/>
      <c r="I147" s="109" t="n"/>
      <c r="J147" s="109" t="n"/>
      <c r="K147" s="109" t="n"/>
      <c r="L147" s="231">
        <f>IF($E147="","",DATE(YEAR($E147),MONTH($E147),1))</f>
        <v/>
      </c>
      <c r="M147" s="113">
        <f>IF($D147="","",IF($C147="TANIMSIZ MÜŞTERİ","HATA",IF(OR($E147="",$F147&lt;=0,$G147=""),"EKSİK",IF($E147&gt;TODAY(),"İLERİ TARİH","UYGUN"))))</f>
        <v/>
      </c>
      <c r="N147" s="121">
        <f>IF($C147="","",IF($C147="TANIMSIZ MÜŞTERİ","—",INDEX(MUSTERILER!$C$7:$C$106,MATCH($C147,MUSTERILER!$B$7:$B$106,0))))</f>
        <v/>
      </c>
      <c r="O147" s="6" t="n"/>
      <c r="P147" s="6" t="n"/>
      <c r="Q147" s="3">
        <f>IF($D147="","",$C147&amp;"|"&amp;COUNTIFS($C$7:$C147,$C147))</f>
        <v/>
      </c>
    </row>
    <row r="148">
      <c r="A148" s="6" t="n"/>
      <c r="B148" s="113">
        <f>IF($D148="","","T"&amp;TEXT(ROW()-6,"00000"))</f>
        <v/>
      </c>
      <c r="C148" s="113">
        <f>IF($D148="","",IFERROR(INDEX(MUSTERILER!$B$7:$B$106,MATCH($D148,MUSTERILER!$C$7:$C$106,0)),IFERROR(INDEX(MUSTERILER!$B$7:$B$106,MATCH($D148,MUSTERILER!$B$7:$B$106,0)),IFERROR(INDEX(MUSTERILER!$B$7:$B$106,MATCH($D148&amp;"*",MUSTERILER!$C$7:$C$106,0)),"TANIMSIZ MÜŞTERİ"))))</f>
        <v/>
      </c>
      <c r="D148" s="109" t="n"/>
      <c r="E148" s="225" t="n"/>
      <c r="F148" s="226" t="n"/>
      <c r="G148" s="108" t="n"/>
      <c r="H148" s="108" t="n"/>
      <c r="I148" s="109" t="n"/>
      <c r="J148" s="109" t="n"/>
      <c r="K148" s="109" t="n"/>
      <c r="L148" s="231">
        <f>IF($E148="","",DATE(YEAR($E148),MONTH($E148),1))</f>
        <v/>
      </c>
      <c r="M148" s="113">
        <f>IF($D148="","",IF($C148="TANIMSIZ MÜŞTERİ","HATA",IF(OR($E148="",$F148&lt;=0,$G148=""),"EKSİK",IF($E148&gt;TODAY(),"İLERİ TARİH","UYGUN"))))</f>
        <v/>
      </c>
      <c r="N148" s="121">
        <f>IF($C148="","",IF($C148="TANIMSIZ MÜŞTERİ","—",INDEX(MUSTERILER!$C$7:$C$106,MATCH($C148,MUSTERILER!$B$7:$B$106,0))))</f>
        <v/>
      </c>
      <c r="O148" s="6" t="n"/>
      <c r="P148" s="6" t="n"/>
      <c r="Q148" s="3">
        <f>IF($D148="","",$C148&amp;"|"&amp;COUNTIFS($C$7:$C148,$C148))</f>
        <v/>
      </c>
    </row>
    <row r="149">
      <c r="A149" s="6" t="n"/>
      <c r="B149" s="113">
        <f>IF($D149="","","T"&amp;TEXT(ROW()-6,"00000"))</f>
        <v/>
      </c>
      <c r="C149" s="113">
        <f>IF($D149="","",IFERROR(INDEX(MUSTERILER!$B$7:$B$106,MATCH($D149,MUSTERILER!$C$7:$C$106,0)),IFERROR(INDEX(MUSTERILER!$B$7:$B$106,MATCH($D149,MUSTERILER!$B$7:$B$106,0)),IFERROR(INDEX(MUSTERILER!$B$7:$B$106,MATCH($D149&amp;"*",MUSTERILER!$C$7:$C$106,0)),"TANIMSIZ MÜŞTERİ"))))</f>
        <v/>
      </c>
      <c r="D149" s="109" t="n"/>
      <c r="E149" s="225" t="n"/>
      <c r="F149" s="226" t="n"/>
      <c r="G149" s="108" t="n"/>
      <c r="H149" s="108" t="n"/>
      <c r="I149" s="109" t="n"/>
      <c r="J149" s="109" t="n"/>
      <c r="K149" s="109" t="n"/>
      <c r="L149" s="231">
        <f>IF($E149="","",DATE(YEAR($E149),MONTH($E149),1))</f>
        <v/>
      </c>
      <c r="M149" s="113">
        <f>IF($D149="","",IF($C149="TANIMSIZ MÜŞTERİ","HATA",IF(OR($E149="",$F149&lt;=0,$G149=""),"EKSİK",IF($E149&gt;TODAY(),"İLERİ TARİH","UYGUN"))))</f>
        <v/>
      </c>
      <c r="N149" s="121">
        <f>IF($C149="","",IF($C149="TANIMSIZ MÜŞTERİ","—",INDEX(MUSTERILER!$C$7:$C$106,MATCH($C149,MUSTERILER!$B$7:$B$106,0))))</f>
        <v/>
      </c>
      <c r="O149" s="6" t="n"/>
      <c r="P149" s="6" t="n"/>
      <c r="Q149" s="3">
        <f>IF($D149="","",$C149&amp;"|"&amp;COUNTIFS($C$7:$C149,$C149))</f>
        <v/>
      </c>
    </row>
    <row r="150">
      <c r="A150" s="6" t="n"/>
      <c r="B150" s="113">
        <f>IF($D150="","","T"&amp;TEXT(ROW()-6,"00000"))</f>
        <v/>
      </c>
      <c r="C150" s="113">
        <f>IF($D150="","",IFERROR(INDEX(MUSTERILER!$B$7:$B$106,MATCH($D150,MUSTERILER!$C$7:$C$106,0)),IFERROR(INDEX(MUSTERILER!$B$7:$B$106,MATCH($D150,MUSTERILER!$B$7:$B$106,0)),IFERROR(INDEX(MUSTERILER!$B$7:$B$106,MATCH($D150&amp;"*",MUSTERILER!$C$7:$C$106,0)),"TANIMSIZ MÜŞTERİ"))))</f>
        <v/>
      </c>
      <c r="D150" s="109" t="n"/>
      <c r="E150" s="225" t="n"/>
      <c r="F150" s="226" t="n"/>
      <c r="G150" s="108" t="n"/>
      <c r="H150" s="108" t="n"/>
      <c r="I150" s="109" t="n"/>
      <c r="J150" s="109" t="n"/>
      <c r="K150" s="109" t="n"/>
      <c r="L150" s="231">
        <f>IF($E150="","",DATE(YEAR($E150),MONTH($E150),1))</f>
        <v/>
      </c>
      <c r="M150" s="113">
        <f>IF($D150="","",IF($C150="TANIMSIZ MÜŞTERİ","HATA",IF(OR($E150="",$F150&lt;=0,$G150=""),"EKSİK",IF($E150&gt;TODAY(),"İLERİ TARİH","UYGUN"))))</f>
        <v/>
      </c>
      <c r="N150" s="121">
        <f>IF($C150="","",IF($C150="TANIMSIZ MÜŞTERİ","—",INDEX(MUSTERILER!$C$7:$C$106,MATCH($C150,MUSTERILER!$B$7:$B$106,0))))</f>
        <v/>
      </c>
      <c r="O150" s="6" t="n"/>
      <c r="P150" s="6" t="n"/>
      <c r="Q150" s="3">
        <f>IF($D150="","",$C150&amp;"|"&amp;COUNTIFS($C$7:$C150,$C150))</f>
        <v/>
      </c>
    </row>
    <row r="151">
      <c r="A151" s="6" t="n"/>
      <c r="B151" s="113">
        <f>IF($D151="","","T"&amp;TEXT(ROW()-6,"00000"))</f>
        <v/>
      </c>
      <c r="C151" s="113">
        <f>IF($D151="","",IFERROR(INDEX(MUSTERILER!$B$7:$B$106,MATCH($D151,MUSTERILER!$C$7:$C$106,0)),IFERROR(INDEX(MUSTERILER!$B$7:$B$106,MATCH($D151,MUSTERILER!$B$7:$B$106,0)),IFERROR(INDEX(MUSTERILER!$B$7:$B$106,MATCH($D151&amp;"*",MUSTERILER!$C$7:$C$106,0)),"TANIMSIZ MÜŞTERİ"))))</f>
        <v/>
      </c>
      <c r="D151" s="109" t="n"/>
      <c r="E151" s="225" t="n"/>
      <c r="F151" s="226" t="n"/>
      <c r="G151" s="108" t="n"/>
      <c r="H151" s="108" t="n"/>
      <c r="I151" s="109" t="n"/>
      <c r="J151" s="109" t="n"/>
      <c r="K151" s="109" t="n"/>
      <c r="L151" s="231">
        <f>IF($E151="","",DATE(YEAR($E151),MONTH($E151),1))</f>
        <v/>
      </c>
      <c r="M151" s="113">
        <f>IF($D151="","",IF($C151="TANIMSIZ MÜŞTERİ","HATA",IF(OR($E151="",$F151&lt;=0,$G151=""),"EKSİK",IF($E151&gt;TODAY(),"İLERİ TARİH","UYGUN"))))</f>
        <v/>
      </c>
      <c r="N151" s="121">
        <f>IF($C151="","",IF($C151="TANIMSIZ MÜŞTERİ","—",INDEX(MUSTERILER!$C$7:$C$106,MATCH($C151,MUSTERILER!$B$7:$B$106,0))))</f>
        <v/>
      </c>
      <c r="O151" s="6" t="n"/>
      <c r="P151" s="6" t="n"/>
      <c r="Q151" s="3">
        <f>IF($D151="","",$C151&amp;"|"&amp;COUNTIFS($C$7:$C151,$C151))</f>
        <v/>
      </c>
    </row>
    <row r="152">
      <c r="A152" s="6" t="n"/>
      <c r="B152" s="113">
        <f>IF($D152="","","T"&amp;TEXT(ROW()-6,"00000"))</f>
        <v/>
      </c>
      <c r="C152" s="113">
        <f>IF($D152="","",IFERROR(INDEX(MUSTERILER!$B$7:$B$106,MATCH($D152,MUSTERILER!$C$7:$C$106,0)),IFERROR(INDEX(MUSTERILER!$B$7:$B$106,MATCH($D152,MUSTERILER!$B$7:$B$106,0)),IFERROR(INDEX(MUSTERILER!$B$7:$B$106,MATCH($D152&amp;"*",MUSTERILER!$C$7:$C$106,0)),"TANIMSIZ MÜŞTERİ"))))</f>
        <v/>
      </c>
      <c r="D152" s="109" t="n"/>
      <c r="E152" s="225" t="n"/>
      <c r="F152" s="226" t="n"/>
      <c r="G152" s="108" t="n"/>
      <c r="H152" s="108" t="n"/>
      <c r="I152" s="109" t="n"/>
      <c r="J152" s="109" t="n"/>
      <c r="K152" s="109" t="n"/>
      <c r="L152" s="231">
        <f>IF($E152="","",DATE(YEAR($E152),MONTH($E152),1))</f>
        <v/>
      </c>
      <c r="M152" s="113">
        <f>IF($D152="","",IF($C152="TANIMSIZ MÜŞTERİ","HATA",IF(OR($E152="",$F152&lt;=0,$G152=""),"EKSİK",IF($E152&gt;TODAY(),"İLERİ TARİH","UYGUN"))))</f>
        <v/>
      </c>
      <c r="N152" s="121">
        <f>IF($C152="","",IF($C152="TANIMSIZ MÜŞTERİ","—",INDEX(MUSTERILER!$C$7:$C$106,MATCH($C152,MUSTERILER!$B$7:$B$106,0))))</f>
        <v/>
      </c>
      <c r="O152" s="6" t="n"/>
      <c r="P152" s="6" t="n"/>
      <c r="Q152" s="3">
        <f>IF($D152="","",$C152&amp;"|"&amp;COUNTIFS($C$7:$C152,$C152))</f>
        <v/>
      </c>
    </row>
    <row r="153">
      <c r="A153" s="6" t="n"/>
      <c r="B153" s="113">
        <f>IF($D153="","","T"&amp;TEXT(ROW()-6,"00000"))</f>
        <v/>
      </c>
      <c r="C153" s="113">
        <f>IF($D153="","",IFERROR(INDEX(MUSTERILER!$B$7:$B$106,MATCH($D153,MUSTERILER!$C$7:$C$106,0)),IFERROR(INDEX(MUSTERILER!$B$7:$B$106,MATCH($D153,MUSTERILER!$B$7:$B$106,0)),IFERROR(INDEX(MUSTERILER!$B$7:$B$106,MATCH($D153&amp;"*",MUSTERILER!$C$7:$C$106,0)),"TANIMSIZ MÜŞTERİ"))))</f>
        <v/>
      </c>
      <c r="D153" s="109" t="n"/>
      <c r="E153" s="225" t="n"/>
      <c r="F153" s="226" t="n"/>
      <c r="G153" s="108" t="n"/>
      <c r="H153" s="108" t="n"/>
      <c r="I153" s="109" t="n"/>
      <c r="J153" s="109" t="n"/>
      <c r="K153" s="109" t="n"/>
      <c r="L153" s="231">
        <f>IF($E153="","",DATE(YEAR($E153),MONTH($E153),1))</f>
        <v/>
      </c>
      <c r="M153" s="113">
        <f>IF($D153="","",IF($C153="TANIMSIZ MÜŞTERİ","HATA",IF(OR($E153="",$F153&lt;=0,$G153=""),"EKSİK",IF($E153&gt;TODAY(),"İLERİ TARİH","UYGUN"))))</f>
        <v/>
      </c>
      <c r="N153" s="121">
        <f>IF($C153="","",IF($C153="TANIMSIZ MÜŞTERİ","—",INDEX(MUSTERILER!$C$7:$C$106,MATCH($C153,MUSTERILER!$B$7:$B$106,0))))</f>
        <v/>
      </c>
      <c r="O153" s="6" t="n"/>
      <c r="P153" s="6" t="n"/>
      <c r="Q153" s="3">
        <f>IF($D153="","",$C153&amp;"|"&amp;COUNTIFS($C$7:$C153,$C153))</f>
        <v/>
      </c>
    </row>
    <row r="154">
      <c r="A154" s="6" t="n"/>
      <c r="B154" s="113">
        <f>IF($D154="","","T"&amp;TEXT(ROW()-6,"00000"))</f>
        <v/>
      </c>
      <c r="C154" s="113">
        <f>IF($D154="","",IFERROR(INDEX(MUSTERILER!$B$7:$B$106,MATCH($D154,MUSTERILER!$C$7:$C$106,0)),IFERROR(INDEX(MUSTERILER!$B$7:$B$106,MATCH($D154,MUSTERILER!$B$7:$B$106,0)),IFERROR(INDEX(MUSTERILER!$B$7:$B$106,MATCH($D154&amp;"*",MUSTERILER!$C$7:$C$106,0)),"TANIMSIZ MÜŞTERİ"))))</f>
        <v/>
      </c>
      <c r="D154" s="109" t="n"/>
      <c r="E154" s="225" t="n"/>
      <c r="F154" s="226" t="n"/>
      <c r="G154" s="108" t="n"/>
      <c r="H154" s="108" t="n"/>
      <c r="I154" s="109" t="n"/>
      <c r="J154" s="109" t="n"/>
      <c r="K154" s="109" t="n"/>
      <c r="L154" s="231">
        <f>IF($E154="","",DATE(YEAR($E154),MONTH($E154),1))</f>
        <v/>
      </c>
      <c r="M154" s="113">
        <f>IF($D154="","",IF($C154="TANIMSIZ MÜŞTERİ","HATA",IF(OR($E154="",$F154&lt;=0,$G154=""),"EKSİK",IF($E154&gt;TODAY(),"İLERİ TARİH","UYGUN"))))</f>
        <v/>
      </c>
      <c r="N154" s="121">
        <f>IF($C154="","",IF($C154="TANIMSIZ MÜŞTERİ","—",INDEX(MUSTERILER!$C$7:$C$106,MATCH($C154,MUSTERILER!$B$7:$B$106,0))))</f>
        <v/>
      </c>
      <c r="O154" s="6" t="n"/>
      <c r="P154" s="6" t="n"/>
      <c r="Q154" s="3">
        <f>IF($D154="","",$C154&amp;"|"&amp;COUNTIFS($C$7:$C154,$C154))</f>
        <v/>
      </c>
    </row>
    <row r="155">
      <c r="A155" s="6" t="n"/>
      <c r="B155" s="113">
        <f>IF($D155="","","T"&amp;TEXT(ROW()-6,"00000"))</f>
        <v/>
      </c>
      <c r="C155" s="113">
        <f>IF($D155="","",IFERROR(INDEX(MUSTERILER!$B$7:$B$106,MATCH($D155,MUSTERILER!$C$7:$C$106,0)),IFERROR(INDEX(MUSTERILER!$B$7:$B$106,MATCH($D155,MUSTERILER!$B$7:$B$106,0)),IFERROR(INDEX(MUSTERILER!$B$7:$B$106,MATCH($D155&amp;"*",MUSTERILER!$C$7:$C$106,0)),"TANIMSIZ MÜŞTERİ"))))</f>
        <v/>
      </c>
      <c r="D155" s="109" t="n"/>
      <c r="E155" s="225" t="n"/>
      <c r="F155" s="226" t="n"/>
      <c r="G155" s="108" t="n"/>
      <c r="H155" s="108" t="n"/>
      <c r="I155" s="109" t="n"/>
      <c r="J155" s="109" t="n"/>
      <c r="K155" s="109" t="n"/>
      <c r="L155" s="231">
        <f>IF($E155="","",DATE(YEAR($E155),MONTH($E155),1))</f>
        <v/>
      </c>
      <c r="M155" s="113">
        <f>IF($D155="","",IF($C155="TANIMSIZ MÜŞTERİ","HATA",IF(OR($E155="",$F155&lt;=0,$G155=""),"EKSİK",IF($E155&gt;TODAY(),"İLERİ TARİH","UYGUN"))))</f>
        <v/>
      </c>
      <c r="N155" s="121">
        <f>IF($C155="","",IF($C155="TANIMSIZ MÜŞTERİ","—",INDEX(MUSTERILER!$C$7:$C$106,MATCH($C155,MUSTERILER!$B$7:$B$106,0))))</f>
        <v/>
      </c>
      <c r="O155" s="6" t="n"/>
      <c r="P155" s="6" t="n"/>
      <c r="Q155" s="3">
        <f>IF($D155="","",$C155&amp;"|"&amp;COUNTIFS($C$7:$C155,$C155))</f>
        <v/>
      </c>
    </row>
    <row r="156">
      <c r="A156" s="6" t="n"/>
      <c r="B156" s="113">
        <f>IF($D156="","","T"&amp;TEXT(ROW()-6,"00000"))</f>
        <v/>
      </c>
      <c r="C156" s="113">
        <f>IF($D156="","",IFERROR(INDEX(MUSTERILER!$B$7:$B$106,MATCH($D156,MUSTERILER!$C$7:$C$106,0)),IFERROR(INDEX(MUSTERILER!$B$7:$B$106,MATCH($D156,MUSTERILER!$B$7:$B$106,0)),IFERROR(INDEX(MUSTERILER!$B$7:$B$106,MATCH($D156&amp;"*",MUSTERILER!$C$7:$C$106,0)),"TANIMSIZ MÜŞTERİ"))))</f>
        <v/>
      </c>
      <c r="D156" s="109" t="n"/>
      <c r="E156" s="225" t="n"/>
      <c r="F156" s="226" t="n"/>
      <c r="G156" s="108" t="n"/>
      <c r="H156" s="108" t="n"/>
      <c r="I156" s="109" t="n"/>
      <c r="J156" s="109" t="n"/>
      <c r="K156" s="109" t="n"/>
      <c r="L156" s="231">
        <f>IF($E156="","",DATE(YEAR($E156),MONTH($E156),1))</f>
        <v/>
      </c>
      <c r="M156" s="113">
        <f>IF($D156="","",IF($C156="TANIMSIZ MÜŞTERİ","HATA",IF(OR($E156="",$F156&lt;=0,$G156=""),"EKSİK",IF($E156&gt;TODAY(),"İLERİ TARİH","UYGUN"))))</f>
        <v/>
      </c>
      <c r="N156" s="121">
        <f>IF($C156="","",IF($C156="TANIMSIZ MÜŞTERİ","—",INDEX(MUSTERILER!$C$7:$C$106,MATCH($C156,MUSTERILER!$B$7:$B$106,0))))</f>
        <v/>
      </c>
      <c r="O156" s="6" t="n"/>
      <c r="P156" s="6" t="n"/>
      <c r="Q156" s="3">
        <f>IF($D156="","",$C156&amp;"|"&amp;COUNTIFS($C$7:$C156,$C156))</f>
        <v/>
      </c>
    </row>
    <row r="157">
      <c r="A157" s="6" t="n"/>
      <c r="B157" s="113">
        <f>IF($D157="","","T"&amp;TEXT(ROW()-6,"00000"))</f>
        <v/>
      </c>
      <c r="C157" s="113">
        <f>IF($D157="","",IFERROR(INDEX(MUSTERILER!$B$7:$B$106,MATCH($D157,MUSTERILER!$C$7:$C$106,0)),IFERROR(INDEX(MUSTERILER!$B$7:$B$106,MATCH($D157,MUSTERILER!$B$7:$B$106,0)),IFERROR(INDEX(MUSTERILER!$B$7:$B$106,MATCH($D157&amp;"*",MUSTERILER!$C$7:$C$106,0)),"TANIMSIZ MÜŞTERİ"))))</f>
        <v/>
      </c>
      <c r="D157" s="109" t="n"/>
      <c r="E157" s="225" t="n"/>
      <c r="F157" s="226" t="n"/>
      <c r="G157" s="108" t="n"/>
      <c r="H157" s="108" t="n"/>
      <c r="I157" s="109" t="n"/>
      <c r="J157" s="109" t="n"/>
      <c r="K157" s="109" t="n"/>
      <c r="L157" s="231">
        <f>IF($E157="","",DATE(YEAR($E157),MONTH($E157),1))</f>
        <v/>
      </c>
      <c r="M157" s="113">
        <f>IF($D157="","",IF($C157="TANIMSIZ MÜŞTERİ","HATA",IF(OR($E157="",$F157&lt;=0,$G157=""),"EKSİK",IF($E157&gt;TODAY(),"İLERİ TARİH","UYGUN"))))</f>
        <v/>
      </c>
      <c r="N157" s="121">
        <f>IF($C157="","",IF($C157="TANIMSIZ MÜŞTERİ","—",INDEX(MUSTERILER!$C$7:$C$106,MATCH($C157,MUSTERILER!$B$7:$B$106,0))))</f>
        <v/>
      </c>
      <c r="O157" s="6" t="n"/>
      <c r="P157" s="6" t="n"/>
      <c r="Q157" s="3">
        <f>IF($D157="","",$C157&amp;"|"&amp;COUNTIFS($C$7:$C157,$C157))</f>
        <v/>
      </c>
    </row>
    <row r="158">
      <c r="A158" s="6" t="n"/>
      <c r="B158" s="113">
        <f>IF($D158="","","T"&amp;TEXT(ROW()-6,"00000"))</f>
        <v/>
      </c>
      <c r="C158" s="113">
        <f>IF($D158="","",IFERROR(INDEX(MUSTERILER!$B$7:$B$106,MATCH($D158,MUSTERILER!$C$7:$C$106,0)),IFERROR(INDEX(MUSTERILER!$B$7:$B$106,MATCH($D158,MUSTERILER!$B$7:$B$106,0)),IFERROR(INDEX(MUSTERILER!$B$7:$B$106,MATCH($D158&amp;"*",MUSTERILER!$C$7:$C$106,0)),"TANIMSIZ MÜŞTERİ"))))</f>
        <v/>
      </c>
      <c r="D158" s="109" t="n"/>
      <c r="E158" s="225" t="n"/>
      <c r="F158" s="226" t="n"/>
      <c r="G158" s="108" t="n"/>
      <c r="H158" s="108" t="n"/>
      <c r="I158" s="109" t="n"/>
      <c r="J158" s="109" t="n"/>
      <c r="K158" s="109" t="n"/>
      <c r="L158" s="231">
        <f>IF($E158="","",DATE(YEAR($E158),MONTH($E158),1))</f>
        <v/>
      </c>
      <c r="M158" s="113">
        <f>IF($D158="","",IF($C158="TANIMSIZ MÜŞTERİ","HATA",IF(OR($E158="",$F158&lt;=0,$G158=""),"EKSİK",IF($E158&gt;TODAY(),"İLERİ TARİH","UYGUN"))))</f>
        <v/>
      </c>
      <c r="N158" s="121">
        <f>IF($C158="","",IF($C158="TANIMSIZ MÜŞTERİ","—",INDEX(MUSTERILER!$C$7:$C$106,MATCH($C158,MUSTERILER!$B$7:$B$106,0))))</f>
        <v/>
      </c>
      <c r="O158" s="6" t="n"/>
      <c r="P158" s="6" t="n"/>
      <c r="Q158" s="3">
        <f>IF($D158="","",$C158&amp;"|"&amp;COUNTIFS($C$7:$C158,$C158))</f>
        <v/>
      </c>
    </row>
    <row r="159">
      <c r="A159" s="6" t="n"/>
      <c r="B159" s="113">
        <f>IF($D159="","","T"&amp;TEXT(ROW()-6,"00000"))</f>
        <v/>
      </c>
      <c r="C159" s="113">
        <f>IF($D159="","",IFERROR(INDEX(MUSTERILER!$B$7:$B$106,MATCH($D159,MUSTERILER!$C$7:$C$106,0)),IFERROR(INDEX(MUSTERILER!$B$7:$B$106,MATCH($D159,MUSTERILER!$B$7:$B$106,0)),IFERROR(INDEX(MUSTERILER!$B$7:$B$106,MATCH($D159&amp;"*",MUSTERILER!$C$7:$C$106,0)),"TANIMSIZ MÜŞTERİ"))))</f>
        <v/>
      </c>
      <c r="D159" s="109" t="n"/>
      <c r="E159" s="225" t="n"/>
      <c r="F159" s="226" t="n"/>
      <c r="G159" s="108" t="n"/>
      <c r="H159" s="108" t="n"/>
      <c r="I159" s="109" t="n"/>
      <c r="J159" s="109" t="n"/>
      <c r="K159" s="109" t="n"/>
      <c r="L159" s="231">
        <f>IF($E159="","",DATE(YEAR($E159),MONTH($E159),1))</f>
        <v/>
      </c>
      <c r="M159" s="113">
        <f>IF($D159="","",IF($C159="TANIMSIZ MÜŞTERİ","HATA",IF(OR($E159="",$F159&lt;=0,$G159=""),"EKSİK",IF($E159&gt;TODAY(),"İLERİ TARİH","UYGUN"))))</f>
        <v/>
      </c>
      <c r="N159" s="121">
        <f>IF($C159="","",IF($C159="TANIMSIZ MÜŞTERİ","—",INDEX(MUSTERILER!$C$7:$C$106,MATCH($C159,MUSTERILER!$B$7:$B$106,0))))</f>
        <v/>
      </c>
      <c r="O159" s="6" t="n"/>
      <c r="P159" s="6" t="n"/>
      <c r="Q159" s="3">
        <f>IF($D159="","",$C159&amp;"|"&amp;COUNTIFS($C$7:$C159,$C159))</f>
        <v/>
      </c>
    </row>
    <row r="160">
      <c r="A160" s="6" t="n"/>
      <c r="B160" s="113">
        <f>IF($D160="","","T"&amp;TEXT(ROW()-6,"00000"))</f>
        <v/>
      </c>
      <c r="C160" s="113">
        <f>IF($D160="","",IFERROR(INDEX(MUSTERILER!$B$7:$B$106,MATCH($D160,MUSTERILER!$C$7:$C$106,0)),IFERROR(INDEX(MUSTERILER!$B$7:$B$106,MATCH($D160,MUSTERILER!$B$7:$B$106,0)),IFERROR(INDEX(MUSTERILER!$B$7:$B$106,MATCH($D160&amp;"*",MUSTERILER!$C$7:$C$106,0)),"TANIMSIZ MÜŞTERİ"))))</f>
        <v/>
      </c>
      <c r="D160" s="109" t="n"/>
      <c r="E160" s="225" t="n"/>
      <c r="F160" s="226" t="n"/>
      <c r="G160" s="108" t="n"/>
      <c r="H160" s="108" t="n"/>
      <c r="I160" s="109" t="n"/>
      <c r="J160" s="109" t="n"/>
      <c r="K160" s="109" t="n"/>
      <c r="L160" s="231">
        <f>IF($E160="","",DATE(YEAR($E160),MONTH($E160),1))</f>
        <v/>
      </c>
      <c r="M160" s="113">
        <f>IF($D160="","",IF($C160="TANIMSIZ MÜŞTERİ","HATA",IF(OR($E160="",$F160&lt;=0,$G160=""),"EKSİK",IF($E160&gt;TODAY(),"İLERİ TARİH","UYGUN"))))</f>
        <v/>
      </c>
      <c r="N160" s="121">
        <f>IF($C160="","",IF($C160="TANIMSIZ MÜŞTERİ","—",INDEX(MUSTERILER!$C$7:$C$106,MATCH($C160,MUSTERILER!$B$7:$B$106,0))))</f>
        <v/>
      </c>
      <c r="O160" s="6" t="n"/>
      <c r="P160" s="6" t="n"/>
      <c r="Q160" s="3">
        <f>IF($D160="","",$C160&amp;"|"&amp;COUNTIFS($C$7:$C160,$C160))</f>
        <v/>
      </c>
    </row>
    <row r="161">
      <c r="A161" s="6" t="n"/>
      <c r="B161" s="113">
        <f>IF($D161="","","T"&amp;TEXT(ROW()-6,"00000"))</f>
        <v/>
      </c>
      <c r="C161" s="113">
        <f>IF($D161="","",IFERROR(INDEX(MUSTERILER!$B$7:$B$106,MATCH($D161,MUSTERILER!$C$7:$C$106,0)),IFERROR(INDEX(MUSTERILER!$B$7:$B$106,MATCH($D161,MUSTERILER!$B$7:$B$106,0)),IFERROR(INDEX(MUSTERILER!$B$7:$B$106,MATCH($D161&amp;"*",MUSTERILER!$C$7:$C$106,0)),"TANIMSIZ MÜŞTERİ"))))</f>
        <v/>
      </c>
      <c r="D161" s="109" t="n"/>
      <c r="E161" s="225" t="n"/>
      <c r="F161" s="226" t="n"/>
      <c r="G161" s="108" t="n"/>
      <c r="H161" s="108" t="n"/>
      <c r="I161" s="109" t="n"/>
      <c r="J161" s="109" t="n"/>
      <c r="K161" s="109" t="n"/>
      <c r="L161" s="231">
        <f>IF($E161="","",DATE(YEAR($E161),MONTH($E161),1))</f>
        <v/>
      </c>
      <c r="M161" s="113">
        <f>IF($D161="","",IF($C161="TANIMSIZ MÜŞTERİ","HATA",IF(OR($E161="",$F161&lt;=0,$G161=""),"EKSİK",IF($E161&gt;TODAY(),"İLERİ TARİH","UYGUN"))))</f>
        <v/>
      </c>
      <c r="N161" s="121">
        <f>IF($C161="","",IF($C161="TANIMSIZ MÜŞTERİ","—",INDEX(MUSTERILER!$C$7:$C$106,MATCH($C161,MUSTERILER!$B$7:$B$106,0))))</f>
        <v/>
      </c>
      <c r="O161" s="6" t="n"/>
      <c r="P161" s="6" t="n"/>
      <c r="Q161" s="3">
        <f>IF($D161="","",$C161&amp;"|"&amp;COUNTIFS($C$7:$C161,$C161))</f>
        <v/>
      </c>
    </row>
    <row r="162">
      <c r="A162" s="6" t="n"/>
      <c r="B162" s="113">
        <f>IF($D162="","","T"&amp;TEXT(ROW()-6,"00000"))</f>
        <v/>
      </c>
      <c r="C162" s="113">
        <f>IF($D162="","",IFERROR(INDEX(MUSTERILER!$B$7:$B$106,MATCH($D162,MUSTERILER!$C$7:$C$106,0)),IFERROR(INDEX(MUSTERILER!$B$7:$B$106,MATCH($D162,MUSTERILER!$B$7:$B$106,0)),IFERROR(INDEX(MUSTERILER!$B$7:$B$106,MATCH($D162&amp;"*",MUSTERILER!$C$7:$C$106,0)),"TANIMSIZ MÜŞTERİ"))))</f>
        <v/>
      </c>
      <c r="D162" s="109" t="n"/>
      <c r="E162" s="225" t="n"/>
      <c r="F162" s="226" t="n"/>
      <c r="G162" s="108" t="n"/>
      <c r="H162" s="108" t="n"/>
      <c r="I162" s="109" t="n"/>
      <c r="J162" s="109" t="n"/>
      <c r="K162" s="109" t="n"/>
      <c r="L162" s="231">
        <f>IF($E162="","",DATE(YEAR($E162),MONTH($E162),1))</f>
        <v/>
      </c>
      <c r="M162" s="113">
        <f>IF($D162="","",IF($C162="TANIMSIZ MÜŞTERİ","HATA",IF(OR($E162="",$F162&lt;=0,$G162=""),"EKSİK",IF($E162&gt;TODAY(),"İLERİ TARİH","UYGUN"))))</f>
        <v/>
      </c>
      <c r="N162" s="121">
        <f>IF($C162="","",IF($C162="TANIMSIZ MÜŞTERİ","—",INDEX(MUSTERILER!$C$7:$C$106,MATCH($C162,MUSTERILER!$B$7:$B$106,0))))</f>
        <v/>
      </c>
      <c r="O162" s="6" t="n"/>
      <c r="P162" s="6" t="n"/>
      <c r="Q162" s="3">
        <f>IF($D162="","",$C162&amp;"|"&amp;COUNTIFS($C$7:$C162,$C162))</f>
        <v/>
      </c>
    </row>
    <row r="163">
      <c r="A163" s="6" t="n"/>
      <c r="B163" s="113">
        <f>IF($D163="","","T"&amp;TEXT(ROW()-6,"00000"))</f>
        <v/>
      </c>
      <c r="C163" s="113">
        <f>IF($D163="","",IFERROR(INDEX(MUSTERILER!$B$7:$B$106,MATCH($D163,MUSTERILER!$C$7:$C$106,0)),IFERROR(INDEX(MUSTERILER!$B$7:$B$106,MATCH($D163,MUSTERILER!$B$7:$B$106,0)),IFERROR(INDEX(MUSTERILER!$B$7:$B$106,MATCH($D163&amp;"*",MUSTERILER!$C$7:$C$106,0)),"TANIMSIZ MÜŞTERİ"))))</f>
        <v/>
      </c>
      <c r="D163" s="109" t="n"/>
      <c r="E163" s="225" t="n"/>
      <c r="F163" s="226" t="n"/>
      <c r="G163" s="108" t="n"/>
      <c r="H163" s="108" t="n"/>
      <c r="I163" s="109" t="n"/>
      <c r="J163" s="109" t="n"/>
      <c r="K163" s="109" t="n"/>
      <c r="L163" s="231">
        <f>IF($E163="","",DATE(YEAR($E163),MONTH($E163),1))</f>
        <v/>
      </c>
      <c r="M163" s="113">
        <f>IF($D163="","",IF($C163="TANIMSIZ MÜŞTERİ","HATA",IF(OR($E163="",$F163&lt;=0,$G163=""),"EKSİK",IF($E163&gt;TODAY(),"İLERİ TARİH","UYGUN"))))</f>
        <v/>
      </c>
      <c r="N163" s="121">
        <f>IF($C163="","",IF($C163="TANIMSIZ MÜŞTERİ","—",INDEX(MUSTERILER!$C$7:$C$106,MATCH($C163,MUSTERILER!$B$7:$B$106,0))))</f>
        <v/>
      </c>
      <c r="O163" s="6" t="n"/>
      <c r="P163" s="6" t="n"/>
      <c r="Q163" s="3">
        <f>IF($D163="","",$C163&amp;"|"&amp;COUNTIFS($C$7:$C163,$C163))</f>
        <v/>
      </c>
    </row>
    <row r="164">
      <c r="A164" s="6" t="n"/>
      <c r="B164" s="113">
        <f>IF($D164="","","T"&amp;TEXT(ROW()-6,"00000"))</f>
        <v/>
      </c>
      <c r="C164" s="113">
        <f>IF($D164="","",IFERROR(INDEX(MUSTERILER!$B$7:$B$106,MATCH($D164,MUSTERILER!$C$7:$C$106,0)),IFERROR(INDEX(MUSTERILER!$B$7:$B$106,MATCH($D164,MUSTERILER!$B$7:$B$106,0)),IFERROR(INDEX(MUSTERILER!$B$7:$B$106,MATCH($D164&amp;"*",MUSTERILER!$C$7:$C$106,0)),"TANIMSIZ MÜŞTERİ"))))</f>
        <v/>
      </c>
      <c r="D164" s="109" t="n"/>
      <c r="E164" s="225" t="n"/>
      <c r="F164" s="226" t="n"/>
      <c r="G164" s="108" t="n"/>
      <c r="H164" s="108" t="n"/>
      <c r="I164" s="109" t="n"/>
      <c r="J164" s="109" t="n"/>
      <c r="K164" s="109" t="n"/>
      <c r="L164" s="231">
        <f>IF($E164="","",DATE(YEAR($E164),MONTH($E164),1))</f>
        <v/>
      </c>
      <c r="M164" s="113">
        <f>IF($D164="","",IF($C164="TANIMSIZ MÜŞTERİ","HATA",IF(OR($E164="",$F164&lt;=0,$G164=""),"EKSİK",IF($E164&gt;TODAY(),"İLERİ TARİH","UYGUN"))))</f>
        <v/>
      </c>
      <c r="N164" s="121">
        <f>IF($C164="","",IF($C164="TANIMSIZ MÜŞTERİ","—",INDEX(MUSTERILER!$C$7:$C$106,MATCH($C164,MUSTERILER!$B$7:$B$106,0))))</f>
        <v/>
      </c>
      <c r="O164" s="6" t="n"/>
      <c r="P164" s="6" t="n"/>
      <c r="Q164" s="3">
        <f>IF($D164="","",$C164&amp;"|"&amp;COUNTIFS($C$7:$C164,$C164))</f>
        <v/>
      </c>
    </row>
    <row r="165">
      <c r="A165" s="6" t="n"/>
      <c r="B165" s="113">
        <f>IF($D165="","","T"&amp;TEXT(ROW()-6,"00000"))</f>
        <v/>
      </c>
      <c r="C165" s="113">
        <f>IF($D165="","",IFERROR(INDEX(MUSTERILER!$B$7:$B$106,MATCH($D165,MUSTERILER!$C$7:$C$106,0)),IFERROR(INDEX(MUSTERILER!$B$7:$B$106,MATCH($D165,MUSTERILER!$B$7:$B$106,0)),IFERROR(INDEX(MUSTERILER!$B$7:$B$106,MATCH($D165&amp;"*",MUSTERILER!$C$7:$C$106,0)),"TANIMSIZ MÜŞTERİ"))))</f>
        <v/>
      </c>
      <c r="D165" s="109" t="n"/>
      <c r="E165" s="225" t="n"/>
      <c r="F165" s="226" t="n"/>
      <c r="G165" s="108" t="n"/>
      <c r="H165" s="108" t="n"/>
      <c r="I165" s="109" t="n"/>
      <c r="J165" s="109" t="n"/>
      <c r="K165" s="109" t="n"/>
      <c r="L165" s="231">
        <f>IF($E165="","",DATE(YEAR($E165),MONTH($E165),1))</f>
        <v/>
      </c>
      <c r="M165" s="113">
        <f>IF($D165="","",IF($C165="TANIMSIZ MÜŞTERİ","HATA",IF(OR($E165="",$F165&lt;=0,$G165=""),"EKSİK",IF($E165&gt;TODAY(),"İLERİ TARİH","UYGUN"))))</f>
        <v/>
      </c>
      <c r="N165" s="121">
        <f>IF($C165="","",IF($C165="TANIMSIZ MÜŞTERİ","—",INDEX(MUSTERILER!$C$7:$C$106,MATCH($C165,MUSTERILER!$B$7:$B$106,0))))</f>
        <v/>
      </c>
      <c r="O165" s="6" t="n"/>
      <c r="P165" s="6" t="n"/>
      <c r="Q165" s="3">
        <f>IF($D165="","",$C165&amp;"|"&amp;COUNTIFS($C$7:$C165,$C165))</f>
        <v/>
      </c>
    </row>
    <row r="166">
      <c r="A166" s="6" t="n"/>
      <c r="B166" s="113">
        <f>IF($D166="","","T"&amp;TEXT(ROW()-6,"00000"))</f>
        <v/>
      </c>
      <c r="C166" s="113">
        <f>IF($D166="","",IFERROR(INDEX(MUSTERILER!$B$7:$B$106,MATCH($D166,MUSTERILER!$C$7:$C$106,0)),IFERROR(INDEX(MUSTERILER!$B$7:$B$106,MATCH($D166,MUSTERILER!$B$7:$B$106,0)),IFERROR(INDEX(MUSTERILER!$B$7:$B$106,MATCH($D166&amp;"*",MUSTERILER!$C$7:$C$106,0)),"TANIMSIZ MÜŞTERİ"))))</f>
        <v/>
      </c>
      <c r="D166" s="109" t="n"/>
      <c r="E166" s="225" t="n"/>
      <c r="F166" s="226" t="n"/>
      <c r="G166" s="108" t="n"/>
      <c r="H166" s="108" t="n"/>
      <c r="I166" s="109" t="n"/>
      <c r="J166" s="109" t="n"/>
      <c r="K166" s="109" t="n"/>
      <c r="L166" s="231">
        <f>IF($E166="","",DATE(YEAR($E166),MONTH($E166),1))</f>
        <v/>
      </c>
      <c r="M166" s="113">
        <f>IF($D166="","",IF($C166="TANIMSIZ MÜŞTERİ","HATA",IF(OR($E166="",$F166&lt;=0,$G166=""),"EKSİK",IF($E166&gt;TODAY(),"İLERİ TARİH","UYGUN"))))</f>
        <v/>
      </c>
      <c r="N166" s="121">
        <f>IF($C166="","",IF($C166="TANIMSIZ MÜŞTERİ","—",INDEX(MUSTERILER!$C$7:$C$106,MATCH($C166,MUSTERILER!$B$7:$B$106,0))))</f>
        <v/>
      </c>
      <c r="O166" s="6" t="n"/>
      <c r="P166" s="6" t="n"/>
      <c r="Q166" s="3">
        <f>IF($D166="","",$C166&amp;"|"&amp;COUNTIFS($C$7:$C166,$C166))</f>
        <v/>
      </c>
    </row>
    <row r="167">
      <c r="A167" s="6" t="n"/>
      <c r="B167" s="113">
        <f>IF($D167="","","T"&amp;TEXT(ROW()-6,"00000"))</f>
        <v/>
      </c>
      <c r="C167" s="113">
        <f>IF($D167="","",IFERROR(INDEX(MUSTERILER!$B$7:$B$106,MATCH($D167,MUSTERILER!$C$7:$C$106,0)),IFERROR(INDEX(MUSTERILER!$B$7:$B$106,MATCH($D167,MUSTERILER!$B$7:$B$106,0)),IFERROR(INDEX(MUSTERILER!$B$7:$B$106,MATCH($D167&amp;"*",MUSTERILER!$C$7:$C$106,0)),"TANIMSIZ MÜŞTERİ"))))</f>
        <v/>
      </c>
      <c r="D167" s="109" t="n"/>
      <c r="E167" s="225" t="n"/>
      <c r="F167" s="226" t="n"/>
      <c r="G167" s="108" t="n"/>
      <c r="H167" s="108" t="n"/>
      <c r="I167" s="109" t="n"/>
      <c r="J167" s="109" t="n"/>
      <c r="K167" s="109" t="n"/>
      <c r="L167" s="231">
        <f>IF($E167="","",DATE(YEAR($E167),MONTH($E167),1))</f>
        <v/>
      </c>
      <c r="M167" s="113">
        <f>IF($D167="","",IF($C167="TANIMSIZ MÜŞTERİ","HATA",IF(OR($E167="",$F167&lt;=0,$G167=""),"EKSİK",IF($E167&gt;TODAY(),"İLERİ TARİH","UYGUN"))))</f>
        <v/>
      </c>
      <c r="N167" s="121">
        <f>IF($C167="","",IF($C167="TANIMSIZ MÜŞTERİ","—",INDEX(MUSTERILER!$C$7:$C$106,MATCH($C167,MUSTERILER!$B$7:$B$106,0))))</f>
        <v/>
      </c>
      <c r="O167" s="6" t="n"/>
      <c r="P167" s="6" t="n"/>
      <c r="Q167" s="3">
        <f>IF($D167="","",$C167&amp;"|"&amp;COUNTIFS($C$7:$C167,$C167))</f>
        <v/>
      </c>
    </row>
    <row r="168">
      <c r="A168" s="6" t="n"/>
      <c r="B168" s="113">
        <f>IF($D168="","","T"&amp;TEXT(ROW()-6,"00000"))</f>
        <v/>
      </c>
      <c r="C168" s="113">
        <f>IF($D168="","",IFERROR(INDEX(MUSTERILER!$B$7:$B$106,MATCH($D168,MUSTERILER!$C$7:$C$106,0)),IFERROR(INDEX(MUSTERILER!$B$7:$B$106,MATCH($D168,MUSTERILER!$B$7:$B$106,0)),IFERROR(INDEX(MUSTERILER!$B$7:$B$106,MATCH($D168&amp;"*",MUSTERILER!$C$7:$C$106,0)),"TANIMSIZ MÜŞTERİ"))))</f>
        <v/>
      </c>
      <c r="D168" s="109" t="n"/>
      <c r="E168" s="225" t="n"/>
      <c r="F168" s="226" t="n"/>
      <c r="G168" s="108" t="n"/>
      <c r="H168" s="108" t="n"/>
      <c r="I168" s="109" t="n"/>
      <c r="J168" s="109" t="n"/>
      <c r="K168" s="109" t="n"/>
      <c r="L168" s="231">
        <f>IF($E168="","",DATE(YEAR($E168),MONTH($E168),1))</f>
        <v/>
      </c>
      <c r="M168" s="113">
        <f>IF($D168="","",IF($C168="TANIMSIZ MÜŞTERİ","HATA",IF(OR($E168="",$F168&lt;=0,$G168=""),"EKSİK",IF($E168&gt;TODAY(),"İLERİ TARİH","UYGUN"))))</f>
        <v/>
      </c>
      <c r="N168" s="121">
        <f>IF($C168="","",IF($C168="TANIMSIZ MÜŞTERİ","—",INDEX(MUSTERILER!$C$7:$C$106,MATCH($C168,MUSTERILER!$B$7:$B$106,0))))</f>
        <v/>
      </c>
      <c r="O168" s="6" t="n"/>
      <c r="P168" s="6" t="n"/>
      <c r="Q168" s="3">
        <f>IF($D168="","",$C168&amp;"|"&amp;COUNTIFS($C$7:$C168,$C168))</f>
        <v/>
      </c>
    </row>
    <row r="169">
      <c r="A169" s="6" t="n"/>
      <c r="B169" s="113">
        <f>IF($D169="","","T"&amp;TEXT(ROW()-6,"00000"))</f>
        <v/>
      </c>
      <c r="C169" s="113">
        <f>IF($D169="","",IFERROR(INDEX(MUSTERILER!$B$7:$B$106,MATCH($D169,MUSTERILER!$C$7:$C$106,0)),IFERROR(INDEX(MUSTERILER!$B$7:$B$106,MATCH($D169,MUSTERILER!$B$7:$B$106,0)),IFERROR(INDEX(MUSTERILER!$B$7:$B$106,MATCH($D169&amp;"*",MUSTERILER!$C$7:$C$106,0)),"TANIMSIZ MÜŞTERİ"))))</f>
        <v/>
      </c>
      <c r="D169" s="109" t="n"/>
      <c r="E169" s="225" t="n"/>
      <c r="F169" s="226" t="n"/>
      <c r="G169" s="108" t="n"/>
      <c r="H169" s="108" t="n"/>
      <c r="I169" s="109" t="n"/>
      <c r="J169" s="109" t="n"/>
      <c r="K169" s="109" t="n"/>
      <c r="L169" s="231">
        <f>IF($E169="","",DATE(YEAR($E169),MONTH($E169),1))</f>
        <v/>
      </c>
      <c r="M169" s="113">
        <f>IF($D169="","",IF($C169="TANIMSIZ MÜŞTERİ","HATA",IF(OR($E169="",$F169&lt;=0,$G169=""),"EKSİK",IF($E169&gt;TODAY(),"İLERİ TARİH","UYGUN"))))</f>
        <v/>
      </c>
      <c r="N169" s="121">
        <f>IF($C169="","",IF($C169="TANIMSIZ MÜŞTERİ","—",INDEX(MUSTERILER!$C$7:$C$106,MATCH($C169,MUSTERILER!$B$7:$B$106,0))))</f>
        <v/>
      </c>
      <c r="O169" s="6" t="n"/>
      <c r="P169" s="6" t="n"/>
      <c r="Q169" s="3">
        <f>IF($D169="","",$C169&amp;"|"&amp;COUNTIFS($C$7:$C169,$C169))</f>
        <v/>
      </c>
    </row>
    <row r="170">
      <c r="A170" s="6" t="n"/>
      <c r="B170" s="113">
        <f>IF($D170="","","T"&amp;TEXT(ROW()-6,"00000"))</f>
        <v/>
      </c>
      <c r="C170" s="113">
        <f>IF($D170="","",IFERROR(INDEX(MUSTERILER!$B$7:$B$106,MATCH($D170,MUSTERILER!$C$7:$C$106,0)),IFERROR(INDEX(MUSTERILER!$B$7:$B$106,MATCH($D170,MUSTERILER!$B$7:$B$106,0)),IFERROR(INDEX(MUSTERILER!$B$7:$B$106,MATCH($D170&amp;"*",MUSTERILER!$C$7:$C$106,0)),"TANIMSIZ MÜŞTERİ"))))</f>
        <v/>
      </c>
      <c r="D170" s="109" t="n"/>
      <c r="E170" s="225" t="n"/>
      <c r="F170" s="226" t="n"/>
      <c r="G170" s="108" t="n"/>
      <c r="H170" s="108" t="n"/>
      <c r="I170" s="109" t="n"/>
      <c r="J170" s="109" t="n"/>
      <c r="K170" s="109" t="n"/>
      <c r="L170" s="231">
        <f>IF($E170="","",DATE(YEAR($E170),MONTH($E170),1))</f>
        <v/>
      </c>
      <c r="M170" s="113">
        <f>IF($D170="","",IF($C170="TANIMSIZ MÜŞTERİ","HATA",IF(OR($E170="",$F170&lt;=0,$G170=""),"EKSİK",IF($E170&gt;TODAY(),"İLERİ TARİH","UYGUN"))))</f>
        <v/>
      </c>
      <c r="N170" s="121">
        <f>IF($C170="","",IF($C170="TANIMSIZ MÜŞTERİ","—",INDEX(MUSTERILER!$C$7:$C$106,MATCH($C170,MUSTERILER!$B$7:$B$106,0))))</f>
        <v/>
      </c>
      <c r="O170" s="6" t="n"/>
      <c r="P170" s="6" t="n"/>
      <c r="Q170" s="3">
        <f>IF($D170="","",$C170&amp;"|"&amp;COUNTIFS($C$7:$C170,$C170))</f>
        <v/>
      </c>
    </row>
    <row r="171">
      <c r="A171" s="6" t="n"/>
      <c r="B171" s="113">
        <f>IF($D171="","","T"&amp;TEXT(ROW()-6,"00000"))</f>
        <v/>
      </c>
      <c r="C171" s="113">
        <f>IF($D171="","",IFERROR(INDEX(MUSTERILER!$B$7:$B$106,MATCH($D171,MUSTERILER!$C$7:$C$106,0)),IFERROR(INDEX(MUSTERILER!$B$7:$B$106,MATCH($D171,MUSTERILER!$B$7:$B$106,0)),IFERROR(INDEX(MUSTERILER!$B$7:$B$106,MATCH($D171&amp;"*",MUSTERILER!$C$7:$C$106,0)),"TANIMSIZ MÜŞTERİ"))))</f>
        <v/>
      </c>
      <c r="D171" s="109" t="n"/>
      <c r="E171" s="225" t="n"/>
      <c r="F171" s="226" t="n"/>
      <c r="G171" s="108" t="n"/>
      <c r="H171" s="108" t="n"/>
      <c r="I171" s="109" t="n"/>
      <c r="J171" s="109" t="n"/>
      <c r="K171" s="109" t="n"/>
      <c r="L171" s="231">
        <f>IF($E171="","",DATE(YEAR($E171),MONTH($E171),1))</f>
        <v/>
      </c>
      <c r="M171" s="113">
        <f>IF($D171="","",IF($C171="TANIMSIZ MÜŞTERİ","HATA",IF(OR($E171="",$F171&lt;=0,$G171=""),"EKSİK",IF($E171&gt;TODAY(),"İLERİ TARİH","UYGUN"))))</f>
        <v/>
      </c>
      <c r="N171" s="121">
        <f>IF($C171="","",IF($C171="TANIMSIZ MÜŞTERİ","—",INDEX(MUSTERILER!$C$7:$C$106,MATCH($C171,MUSTERILER!$B$7:$B$106,0))))</f>
        <v/>
      </c>
      <c r="O171" s="6" t="n"/>
      <c r="P171" s="6" t="n"/>
      <c r="Q171" s="3">
        <f>IF($D171="","",$C171&amp;"|"&amp;COUNTIFS($C$7:$C171,$C171))</f>
        <v/>
      </c>
    </row>
    <row r="172">
      <c r="A172" s="6" t="n"/>
      <c r="B172" s="113">
        <f>IF($D172="","","T"&amp;TEXT(ROW()-6,"00000"))</f>
        <v/>
      </c>
      <c r="C172" s="113">
        <f>IF($D172="","",IFERROR(INDEX(MUSTERILER!$B$7:$B$106,MATCH($D172,MUSTERILER!$C$7:$C$106,0)),IFERROR(INDEX(MUSTERILER!$B$7:$B$106,MATCH($D172,MUSTERILER!$B$7:$B$106,0)),IFERROR(INDEX(MUSTERILER!$B$7:$B$106,MATCH($D172&amp;"*",MUSTERILER!$C$7:$C$106,0)),"TANIMSIZ MÜŞTERİ"))))</f>
        <v/>
      </c>
      <c r="D172" s="109" t="n"/>
      <c r="E172" s="225" t="n"/>
      <c r="F172" s="226" t="n"/>
      <c r="G172" s="108" t="n"/>
      <c r="H172" s="108" t="n"/>
      <c r="I172" s="109" t="n"/>
      <c r="J172" s="109" t="n"/>
      <c r="K172" s="109" t="n"/>
      <c r="L172" s="231">
        <f>IF($E172="","",DATE(YEAR($E172),MONTH($E172),1))</f>
        <v/>
      </c>
      <c r="M172" s="113">
        <f>IF($D172="","",IF($C172="TANIMSIZ MÜŞTERİ","HATA",IF(OR($E172="",$F172&lt;=0,$G172=""),"EKSİK",IF($E172&gt;TODAY(),"İLERİ TARİH","UYGUN"))))</f>
        <v/>
      </c>
      <c r="N172" s="121">
        <f>IF($C172="","",IF($C172="TANIMSIZ MÜŞTERİ","—",INDEX(MUSTERILER!$C$7:$C$106,MATCH($C172,MUSTERILER!$B$7:$B$106,0))))</f>
        <v/>
      </c>
      <c r="O172" s="6" t="n"/>
      <c r="P172" s="6" t="n"/>
      <c r="Q172" s="3">
        <f>IF($D172="","",$C172&amp;"|"&amp;COUNTIFS($C$7:$C172,$C172))</f>
        <v/>
      </c>
    </row>
    <row r="173">
      <c r="A173" s="6" t="n"/>
      <c r="B173" s="113">
        <f>IF($D173="","","T"&amp;TEXT(ROW()-6,"00000"))</f>
        <v/>
      </c>
      <c r="C173" s="113">
        <f>IF($D173="","",IFERROR(INDEX(MUSTERILER!$B$7:$B$106,MATCH($D173,MUSTERILER!$C$7:$C$106,0)),IFERROR(INDEX(MUSTERILER!$B$7:$B$106,MATCH($D173,MUSTERILER!$B$7:$B$106,0)),IFERROR(INDEX(MUSTERILER!$B$7:$B$106,MATCH($D173&amp;"*",MUSTERILER!$C$7:$C$106,0)),"TANIMSIZ MÜŞTERİ"))))</f>
        <v/>
      </c>
      <c r="D173" s="109" t="n"/>
      <c r="E173" s="225" t="n"/>
      <c r="F173" s="226" t="n"/>
      <c r="G173" s="108" t="n"/>
      <c r="H173" s="108" t="n"/>
      <c r="I173" s="109" t="n"/>
      <c r="J173" s="109" t="n"/>
      <c r="K173" s="109" t="n"/>
      <c r="L173" s="231">
        <f>IF($E173="","",DATE(YEAR($E173),MONTH($E173),1))</f>
        <v/>
      </c>
      <c r="M173" s="113">
        <f>IF($D173="","",IF($C173="TANIMSIZ MÜŞTERİ","HATA",IF(OR($E173="",$F173&lt;=0,$G173=""),"EKSİK",IF($E173&gt;TODAY(),"İLERİ TARİH","UYGUN"))))</f>
        <v/>
      </c>
      <c r="N173" s="121">
        <f>IF($C173="","",IF($C173="TANIMSIZ MÜŞTERİ","—",INDEX(MUSTERILER!$C$7:$C$106,MATCH($C173,MUSTERILER!$B$7:$B$106,0))))</f>
        <v/>
      </c>
      <c r="O173" s="6" t="n"/>
      <c r="P173" s="6" t="n"/>
      <c r="Q173" s="3">
        <f>IF($D173="","",$C173&amp;"|"&amp;COUNTIFS($C$7:$C173,$C173))</f>
        <v/>
      </c>
    </row>
    <row r="174">
      <c r="A174" s="6" t="n"/>
      <c r="B174" s="113">
        <f>IF($D174="","","T"&amp;TEXT(ROW()-6,"00000"))</f>
        <v/>
      </c>
      <c r="C174" s="113">
        <f>IF($D174="","",IFERROR(INDEX(MUSTERILER!$B$7:$B$106,MATCH($D174,MUSTERILER!$C$7:$C$106,0)),IFERROR(INDEX(MUSTERILER!$B$7:$B$106,MATCH($D174,MUSTERILER!$B$7:$B$106,0)),IFERROR(INDEX(MUSTERILER!$B$7:$B$106,MATCH($D174&amp;"*",MUSTERILER!$C$7:$C$106,0)),"TANIMSIZ MÜŞTERİ"))))</f>
        <v/>
      </c>
      <c r="D174" s="109" t="n"/>
      <c r="E174" s="225" t="n"/>
      <c r="F174" s="226" t="n"/>
      <c r="G174" s="108" t="n"/>
      <c r="H174" s="108" t="n"/>
      <c r="I174" s="109" t="n"/>
      <c r="J174" s="109" t="n"/>
      <c r="K174" s="109" t="n"/>
      <c r="L174" s="231">
        <f>IF($E174="","",DATE(YEAR($E174),MONTH($E174),1))</f>
        <v/>
      </c>
      <c r="M174" s="113">
        <f>IF($D174="","",IF($C174="TANIMSIZ MÜŞTERİ","HATA",IF(OR($E174="",$F174&lt;=0,$G174=""),"EKSİK",IF($E174&gt;TODAY(),"İLERİ TARİH","UYGUN"))))</f>
        <v/>
      </c>
      <c r="N174" s="121">
        <f>IF($C174="","",IF($C174="TANIMSIZ MÜŞTERİ","—",INDEX(MUSTERILER!$C$7:$C$106,MATCH($C174,MUSTERILER!$B$7:$B$106,0))))</f>
        <v/>
      </c>
      <c r="O174" s="6" t="n"/>
      <c r="P174" s="6" t="n"/>
      <c r="Q174" s="3">
        <f>IF($D174="","",$C174&amp;"|"&amp;COUNTIFS($C$7:$C174,$C174))</f>
        <v/>
      </c>
    </row>
    <row r="175">
      <c r="A175" s="6" t="n"/>
      <c r="B175" s="113">
        <f>IF($D175="","","T"&amp;TEXT(ROW()-6,"00000"))</f>
        <v/>
      </c>
      <c r="C175" s="113">
        <f>IF($D175="","",IFERROR(INDEX(MUSTERILER!$B$7:$B$106,MATCH($D175,MUSTERILER!$C$7:$C$106,0)),IFERROR(INDEX(MUSTERILER!$B$7:$B$106,MATCH($D175,MUSTERILER!$B$7:$B$106,0)),IFERROR(INDEX(MUSTERILER!$B$7:$B$106,MATCH($D175&amp;"*",MUSTERILER!$C$7:$C$106,0)),"TANIMSIZ MÜŞTERİ"))))</f>
        <v/>
      </c>
      <c r="D175" s="109" t="n"/>
      <c r="E175" s="225" t="n"/>
      <c r="F175" s="226" t="n"/>
      <c r="G175" s="108" t="n"/>
      <c r="H175" s="108" t="n"/>
      <c r="I175" s="109" t="n"/>
      <c r="J175" s="109" t="n"/>
      <c r="K175" s="109" t="n"/>
      <c r="L175" s="231">
        <f>IF($E175="","",DATE(YEAR($E175),MONTH($E175),1))</f>
        <v/>
      </c>
      <c r="M175" s="113">
        <f>IF($D175="","",IF($C175="TANIMSIZ MÜŞTERİ","HATA",IF(OR($E175="",$F175&lt;=0,$G175=""),"EKSİK",IF($E175&gt;TODAY(),"İLERİ TARİH","UYGUN"))))</f>
        <v/>
      </c>
      <c r="N175" s="121">
        <f>IF($C175="","",IF($C175="TANIMSIZ MÜŞTERİ","—",INDEX(MUSTERILER!$C$7:$C$106,MATCH($C175,MUSTERILER!$B$7:$B$106,0))))</f>
        <v/>
      </c>
      <c r="O175" s="6" t="n"/>
      <c r="P175" s="6" t="n"/>
      <c r="Q175" s="3">
        <f>IF($D175="","",$C175&amp;"|"&amp;COUNTIFS($C$7:$C175,$C175))</f>
        <v/>
      </c>
    </row>
    <row r="176">
      <c r="A176" s="6" t="n"/>
      <c r="B176" s="113">
        <f>IF($D176="","","T"&amp;TEXT(ROW()-6,"00000"))</f>
        <v/>
      </c>
      <c r="C176" s="113">
        <f>IF($D176="","",IFERROR(INDEX(MUSTERILER!$B$7:$B$106,MATCH($D176,MUSTERILER!$C$7:$C$106,0)),IFERROR(INDEX(MUSTERILER!$B$7:$B$106,MATCH($D176,MUSTERILER!$B$7:$B$106,0)),IFERROR(INDEX(MUSTERILER!$B$7:$B$106,MATCH($D176&amp;"*",MUSTERILER!$C$7:$C$106,0)),"TANIMSIZ MÜŞTERİ"))))</f>
        <v/>
      </c>
      <c r="D176" s="109" t="n"/>
      <c r="E176" s="225" t="n"/>
      <c r="F176" s="226" t="n"/>
      <c r="G176" s="108" t="n"/>
      <c r="H176" s="108" t="n"/>
      <c r="I176" s="109" t="n"/>
      <c r="J176" s="109" t="n"/>
      <c r="K176" s="109" t="n"/>
      <c r="L176" s="231">
        <f>IF($E176="","",DATE(YEAR($E176),MONTH($E176),1))</f>
        <v/>
      </c>
      <c r="M176" s="113">
        <f>IF($D176="","",IF($C176="TANIMSIZ MÜŞTERİ","HATA",IF(OR($E176="",$F176&lt;=0,$G176=""),"EKSİK",IF($E176&gt;TODAY(),"İLERİ TARİH","UYGUN"))))</f>
        <v/>
      </c>
      <c r="N176" s="121">
        <f>IF($C176="","",IF($C176="TANIMSIZ MÜŞTERİ","—",INDEX(MUSTERILER!$C$7:$C$106,MATCH($C176,MUSTERILER!$B$7:$B$106,0))))</f>
        <v/>
      </c>
      <c r="O176" s="6" t="n"/>
      <c r="P176" s="6" t="n"/>
      <c r="Q176" s="3">
        <f>IF($D176="","",$C176&amp;"|"&amp;COUNTIFS($C$7:$C176,$C176))</f>
        <v/>
      </c>
    </row>
    <row r="177">
      <c r="A177" s="6" t="n"/>
      <c r="B177" s="113">
        <f>IF($D177="","","T"&amp;TEXT(ROW()-6,"00000"))</f>
        <v/>
      </c>
      <c r="C177" s="113">
        <f>IF($D177="","",IFERROR(INDEX(MUSTERILER!$B$7:$B$106,MATCH($D177,MUSTERILER!$C$7:$C$106,0)),IFERROR(INDEX(MUSTERILER!$B$7:$B$106,MATCH($D177,MUSTERILER!$B$7:$B$106,0)),IFERROR(INDEX(MUSTERILER!$B$7:$B$106,MATCH($D177&amp;"*",MUSTERILER!$C$7:$C$106,0)),"TANIMSIZ MÜŞTERİ"))))</f>
        <v/>
      </c>
      <c r="D177" s="109" t="n"/>
      <c r="E177" s="225" t="n"/>
      <c r="F177" s="226" t="n"/>
      <c r="G177" s="108" t="n"/>
      <c r="H177" s="108" t="n"/>
      <c r="I177" s="109" t="n"/>
      <c r="J177" s="109" t="n"/>
      <c r="K177" s="109" t="n"/>
      <c r="L177" s="231">
        <f>IF($E177="","",DATE(YEAR($E177),MONTH($E177),1))</f>
        <v/>
      </c>
      <c r="M177" s="113">
        <f>IF($D177="","",IF($C177="TANIMSIZ MÜŞTERİ","HATA",IF(OR($E177="",$F177&lt;=0,$G177=""),"EKSİK",IF($E177&gt;TODAY(),"İLERİ TARİH","UYGUN"))))</f>
        <v/>
      </c>
      <c r="N177" s="121">
        <f>IF($C177="","",IF($C177="TANIMSIZ MÜŞTERİ","—",INDEX(MUSTERILER!$C$7:$C$106,MATCH($C177,MUSTERILER!$B$7:$B$106,0))))</f>
        <v/>
      </c>
      <c r="O177" s="6" t="n"/>
      <c r="P177" s="6" t="n"/>
      <c r="Q177" s="3">
        <f>IF($D177="","",$C177&amp;"|"&amp;COUNTIFS($C$7:$C177,$C177))</f>
        <v/>
      </c>
    </row>
    <row r="178">
      <c r="A178" s="6" t="n"/>
      <c r="B178" s="113">
        <f>IF($D178="","","T"&amp;TEXT(ROW()-6,"00000"))</f>
        <v/>
      </c>
      <c r="C178" s="113">
        <f>IF($D178="","",IFERROR(INDEX(MUSTERILER!$B$7:$B$106,MATCH($D178,MUSTERILER!$C$7:$C$106,0)),IFERROR(INDEX(MUSTERILER!$B$7:$B$106,MATCH($D178,MUSTERILER!$B$7:$B$106,0)),IFERROR(INDEX(MUSTERILER!$B$7:$B$106,MATCH($D178&amp;"*",MUSTERILER!$C$7:$C$106,0)),"TANIMSIZ MÜŞTERİ"))))</f>
        <v/>
      </c>
      <c r="D178" s="109" t="n"/>
      <c r="E178" s="225" t="n"/>
      <c r="F178" s="226" t="n"/>
      <c r="G178" s="108" t="n"/>
      <c r="H178" s="108" t="n"/>
      <c r="I178" s="109" t="n"/>
      <c r="J178" s="109" t="n"/>
      <c r="K178" s="109" t="n"/>
      <c r="L178" s="231">
        <f>IF($E178="","",DATE(YEAR($E178),MONTH($E178),1))</f>
        <v/>
      </c>
      <c r="M178" s="113">
        <f>IF($D178="","",IF($C178="TANIMSIZ MÜŞTERİ","HATA",IF(OR($E178="",$F178&lt;=0,$G178=""),"EKSİK",IF($E178&gt;TODAY(),"İLERİ TARİH","UYGUN"))))</f>
        <v/>
      </c>
      <c r="N178" s="121">
        <f>IF($C178="","",IF($C178="TANIMSIZ MÜŞTERİ","—",INDEX(MUSTERILER!$C$7:$C$106,MATCH($C178,MUSTERILER!$B$7:$B$106,0))))</f>
        <v/>
      </c>
      <c r="O178" s="6" t="n"/>
      <c r="P178" s="6" t="n"/>
      <c r="Q178" s="3">
        <f>IF($D178="","",$C178&amp;"|"&amp;COUNTIFS($C$7:$C178,$C178))</f>
        <v/>
      </c>
    </row>
    <row r="179">
      <c r="A179" s="6" t="n"/>
      <c r="B179" s="113">
        <f>IF($D179="","","T"&amp;TEXT(ROW()-6,"00000"))</f>
        <v/>
      </c>
      <c r="C179" s="113">
        <f>IF($D179="","",IFERROR(INDEX(MUSTERILER!$B$7:$B$106,MATCH($D179,MUSTERILER!$C$7:$C$106,0)),IFERROR(INDEX(MUSTERILER!$B$7:$B$106,MATCH($D179,MUSTERILER!$B$7:$B$106,0)),IFERROR(INDEX(MUSTERILER!$B$7:$B$106,MATCH($D179&amp;"*",MUSTERILER!$C$7:$C$106,0)),"TANIMSIZ MÜŞTERİ"))))</f>
        <v/>
      </c>
      <c r="D179" s="109" t="n"/>
      <c r="E179" s="225" t="n"/>
      <c r="F179" s="226" t="n"/>
      <c r="G179" s="108" t="n"/>
      <c r="H179" s="108" t="n"/>
      <c r="I179" s="109" t="n"/>
      <c r="J179" s="109" t="n"/>
      <c r="K179" s="109" t="n"/>
      <c r="L179" s="231">
        <f>IF($E179="","",DATE(YEAR($E179),MONTH($E179),1))</f>
        <v/>
      </c>
      <c r="M179" s="113">
        <f>IF($D179="","",IF($C179="TANIMSIZ MÜŞTERİ","HATA",IF(OR($E179="",$F179&lt;=0,$G179=""),"EKSİK",IF($E179&gt;TODAY(),"İLERİ TARİH","UYGUN"))))</f>
        <v/>
      </c>
      <c r="N179" s="121">
        <f>IF($C179="","",IF($C179="TANIMSIZ MÜŞTERİ","—",INDEX(MUSTERILER!$C$7:$C$106,MATCH($C179,MUSTERILER!$B$7:$B$106,0))))</f>
        <v/>
      </c>
      <c r="O179" s="6" t="n"/>
      <c r="P179" s="6" t="n"/>
      <c r="Q179" s="3">
        <f>IF($D179="","",$C179&amp;"|"&amp;COUNTIFS($C$7:$C179,$C179))</f>
        <v/>
      </c>
    </row>
    <row r="180">
      <c r="A180" s="6" t="n"/>
      <c r="B180" s="113">
        <f>IF($D180="","","T"&amp;TEXT(ROW()-6,"00000"))</f>
        <v/>
      </c>
      <c r="C180" s="113">
        <f>IF($D180="","",IFERROR(INDEX(MUSTERILER!$B$7:$B$106,MATCH($D180,MUSTERILER!$C$7:$C$106,0)),IFERROR(INDEX(MUSTERILER!$B$7:$B$106,MATCH($D180,MUSTERILER!$B$7:$B$106,0)),IFERROR(INDEX(MUSTERILER!$B$7:$B$106,MATCH($D180&amp;"*",MUSTERILER!$C$7:$C$106,0)),"TANIMSIZ MÜŞTERİ"))))</f>
        <v/>
      </c>
      <c r="D180" s="109" t="n"/>
      <c r="E180" s="225" t="n"/>
      <c r="F180" s="226" t="n"/>
      <c r="G180" s="108" t="n"/>
      <c r="H180" s="108" t="n"/>
      <c r="I180" s="109" t="n"/>
      <c r="J180" s="109" t="n"/>
      <c r="K180" s="109" t="n"/>
      <c r="L180" s="231">
        <f>IF($E180="","",DATE(YEAR($E180),MONTH($E180),1))</f>
        <v/>
      </c>
      <c r="M180" s="113">
        <f>IF($D180="","",IF($C180="TANIMSIZ MÜŞTERİ","HATA",IF(OR($E180="",$F180&lt;=0,$G180=""),"EKSİK",IF($E180&gt;TODAY(),"İLERİ TARİH","UYGUN"))))</f>
        <v/>
      </c>
      <c r="N180" s="121">
        <f>IF($C180="","",IF($C180="TANIMSIZ MÜŞTERİ","—",INDEX(MUSTERILER!$C$7:$C$106,MATCH($C180,MUSTERILER!$B$7:$B$106,0))))</f>
        <v/>
      </c>
      <c r="O180" s="6" t="n"/>
      <c r="P180" s="6" t="n"/>
      <c r="Q180" s="3">
        <f>IF($D180="","",$C180&amp;"|"&amp;COUNTIFS($C$7:$C180,$C180))</f>
        <v/>
      </c>
    </row>
    <row r="181">
      <c r="A181" s="6" t="n"/>
      <c r="B181" s="113">
        <f>IF($D181="","","T"&amp;TEXT(ROW()-6,"00000"))</f>
        <v/>
      </c>
      <c r="C181" s="113">
        <f>IF($D181="","",IFERROR(INDEX(MUSTERILER!$B$7:$B$106,MATCH($D181,MUSTERILER!$C$7:$C$106,0)),IFERROR(INDEX(MUSTERILER!$B$7:$B$106,MATCH($D181,MUSTERILER!$B$7:$B$106,0)),IFERROR(INDEX(MUSTERILER!$B$7:$B$106,MATCH($D181&amp;"*",MUSTERILER!$C$7:$C$106,0)),"TANIMSIZ MÜŞTERİ"))))</f>
        <v/>
      </c>
      <c r="D181" s="109" t="n"/>
      <c r="E181" s="225" t="n"/>
      <c r="F181" s="226" t="n"/>
      <c r="G181" s="108" t="n"/>
      <c r="H181" s="108" t="n"/>
      <c r="I181" s="109" t="n"/>
      <c r="J181" s="109" t="n"/>
      <c r="K181" s="109" t="n"/>
      <c r="L181" s="231">
        <f>IF($E181="","",DATE(YEAR($E181),MONTH($E181),1))</f>
        <v/>
      </c>
      <c r="M181" s="113">
        <f>IF($D181="","",IF($C181="TANIMSIZ MÜŞTERİ","HATA",IF(OR($E181="",$F181&lt;=0,$G181=""),"EKSİK",IF($E181&gt;TODAY(),"İLERİ TARİH","UYGUN"))))</f>
        <v/>
      </c>
      <c r="N181" s="121">
        <f>IF($C181="","",IF($C181="TANIMSIZ MÜŞTERİ","—",INDEX(MUSTERILER!$C$7:$C$106,MATCH($C181,MUSTERILER!$B$7:$B$106,0))))</f>
        <v/>
      </c>
      <c r="O181" s="6" t="n"/>
      <c r="P181" s="6" t="n"/>
      <c r="Q181" s="3">
        <f>IF($D181="","",$C181&amp;"|"&amp;COUNTIFS($C$7:$C181,$C181))</f>
        <v/>
      </c>
    </row>
    <row r="182">
      <c r="A182" s="6" t="n"/>
      <c r="B182" s="113">
        <f>IF($D182="","","T"&amp;TEXT(ROW()-6,"00000"))</f>
        <v/>
      </c>
      <c r="C182" s="113">
        <f>IF($D182="","",IFERROR(INDEX(MUSTERILER!$B$7:$B$106,MATCH($D182,MUSTERILER!$C$7:$C$106,0)),IFERROR(INDEX(MUSTERILER!$B$7:$B$106,MATCH($D182,MUSTERILER!$B$7:$B$106,0)),IFERROR(INDEX(MUSTERILER!$B$7:$B$106,MATCH($D182&amp;"*",MUSTERILER!$C$7:$C$106,0)),"TANIMSIZ MÜŞTERİ"))))</f>
        <v/>
      </c>
      <c r="D182" s="109" t="n"/>
      <c r="E182" s="225" t="n"/>
      <c r="F182" s="226" t="n"/>
      <c r="G182" s="108" t="n"/>
      <c r="H182" s="108" t="n"/>
      <c r="I182" s="109" t="n"/>
      <c r="J182" s="109" t="n"/>
      <c r="K182" s="109" t="n"/>
      <c r="L182" s="231">
        <f>IF($E182="","",DATE(YEAR($E182),MONTH($E182),1))</f>
        <v/>
      </c>
      <c r="M182" s="113">
        <f>IF($D182="","",IF($C182="TANIMSIZ MÜŞTERİ","HATA",IF(OR($E182="",$F182&lt;=0,$G182=""),"EKSİK",IF($E182&gt;TODAY(),"İLERİ TARİH","UYGUN"))))</f>
        <v/>
      </c>
      <c r="N182" s="121">
        <f>IF($C182="","",IF($C182="TANIMSIZ MÜŞTERİ","—",INDEX(MUSTERILER!$C$7:$C$106,MATCH($C182,MUSTERILER!$B$7:$B$106,0))))</f>
        <v/>
      </c>
      <c r="O182" s="6" t="n"/>
      <c r="P182" s="6" t="n"/>
      <c r="Q182" s="3">
        <f>IF($D182="","",$C182&amp;"|"&amp;COUNTIFS($C$7:$C182,$C182))</f>
        <v/>
      </c>
    </row>
    <row r="183">
      <c r="A183" s="6" t="n"/>
      <c r="B183" s="113">
        <f>IF($D183="","","T"&amp;TEXT(ROW()-6,"00000"))</f>
        <v/>
      </c>
      <c r="C183" s="113">
        <f>IF($D183="","",IFERROR(INDEX(MUSTERILER!$B$7:$B$106,MATCH($D183,MUSTERILER!$C$7:$C$106,0)),IFERROR(INDEX(MUSTERILER!$B$7:$B$106,MATCH($D183,MUSTERILER!$B$7:$B$106,0)),IFERROR(INDEX(MUSTERILER!$B$7:$B$106,MATCH($D183&amp;"*",MUSTERILER!$C$7:$C$106,0)),"TANIMSIZ MÜŞTERİ"))))</f>
        <v/>
      </c>
      <c r="D183" s="109" t="n"/>
      <c r="E183" s="225" t="n"/>
      <c r="F183" s="226" t="n"/>
      <c r="G183" s="108" t="n"/>
      <c r="H183" s="108" t="n"/>
      <c r="I183" s="109" t="n"/>
      <c r="J183" s="109" t="n"/>
      <c r="K183" s="109" t="n"/>
      <c r="L183" s="231">
        <f>IF($E183="","",DATE(YEAR($E183),MONTH($E183),1))</f>
        <v/>
      </c>
      <c r="M183" s="113">
        <f>IF($D183="","",IF($C183="TANIMSIZ MÜŞTERİ","HATA",IF(OR($E183="",$F183&lt;=0,$G183=""),"EKSİK",IF($E183&gt;TODAY(),"İLERİ TARİH","UYGUN"))))</f>
        <v/>
      </c>
      <c r="N183" s="121">
        <f>IF($C183="","",IF($C183="TANIMSIZ MÜŞTERİ","—",INDEX(MUSTERILER!$C$7:$C$106,MATCH($C183,MUSTERILER!$B$7:$B$106,0))))</f>
        <v/>
      </c>
      <c r="O183" s="6" t="n"/>
      <c r="P183" s="6" t="n"/>
      <c r="Q183" s="3">
        <f>IF($D183="","",$C183&amp;"|"&amp;COUNTIFS($C$7:$C183,$C183))</f>
        <v/>
      </c>
    </row>
    <row r="184">
      <c r="A184" s="6" t="n"/>
      <c r="B184" s="113">
        <f>IF($D184="","","T"&amp;TEXT(ROW()-6,"00000"))</f>
        <v/>
      </c>
      <c r="C184" s="113">
        <f>IF($D184="","",IFERROR(INDEX(MUSTERILER!$B$7:$B$106,MATCH($D184,MUSTERILER!$C$7:$C$106,0)),IFERROR(INDEX(MUSTERILER!$B$7:$B$106,MATCH($D184,MUSTERILER!$B$7:$B$106,0)),IFERROR(INDEX(MUSTERILER!$B$7:$B$106,MATCH($D184&amp;"*",MUSTERILER!$C$7:$C$106,0)),"TANIMSIZ MÜŞTERİ"))))</f>
        <v/>
      </c>
      <c r="D184" s="109" t="n"/>
      <c r="E184" s="225" t="n"/>
      <c r="F184" s="226" t="n"/>
      <c r="G184" s="108" t="n"/>
      <c r="H184" s="108" t="n"/>
      <c r="I184" s="109" t="n"/>
      <c r="J184" s="109" t="n"/>
      <c r="K184" s="109" t="n"/>
      <c r="L184" s="231">
        <f>IF($E184="","",DATE(YEAR($E184),MONTH($E184),1))</f>
        <v/>
      </c>
      <c r="M184" s="113">
        <f>IF($D184="","",IF($C184="TANIMSIZ MÜŞTERİ","HATA",IF(OR($E184="",$F184&lt;=0,$G184=""),"EKSİK",IF($E184&gt;TODAY(),"İLERİ TARİH","UYGUN"))))</f>
        <v/>
      </c>
      <c r="N184" s="121">
        <f>IF($C184="","",IF($C184="TANIMSIZ MÜŞTERİ","—",INDEX(MUSTERILER!$C$7:$C$106,MATCH($C184,MUSTERILER!$B$7:$B$106,0))))</f>
        <v/>
      </c>
      <c r="O184" s="6" t="n"/>
      <c r="P184" s="6" t="n"/>
      <c r="Q184" s="3">
        <f>IF($D184="","",$C184&amp;"|"&amp;COUNTIFS($C$7:$C184,$C184))</f>
        <v/>
      </c>
    </row>
    <row r="185">
      <c r="A185" s="6" t="n"/>
      <c r="B185" s="113">
        <f>IF($D185="","","T"&amp;TEXT(ROW()-6,"00000"))</f>
        <v/>
      </c>
      <c r="C185" s="113">
        <f>IF($D185="","",IFERROR(INDEX(MUSTERILER!$B$7:$B$106,MATCH($D185,MUSTERILER!$C$7:$C$106,0)),IFERROR(INDEX(MUSTERILER!$B$7:$B$106,MATCH($D185,MUSTERILER!$B$7:$B$106,0)),IFERROR(INDEX(MUSTERILER!$B$7:$B$106,MATCH($D185&amp;"*",MUSTERILER!$C$7:$C$106,0)),"TANIMSIZ MÜŞTERİ"))))</f>
        <v/>
      </c>
      <c r="D185" s="109" t="n"/>
      <c r="E185" s="225" t="n"/>
      <c r="F185" s="226" t="n"/>
      <c r="G185" s="108" t="n"/>
      <c r="H185" s="108" t="n"/>
      <c r="I185" s="109" t="n"/>
      <c r="J185" s="109" t="n"/>
      <c r="K185" s="109" t="n"/>
      <c r="L185" s="231">
        <f>IF($E185="","",DATE(YEAR($E185),MONTH($E185),1))</f>
        <v/>
      </c>
      <c r="M185" s="113">
        <f>IF($D185="","",IF($C185="TANIMSIZ MÜŞTERİ","HATA",IF(OR($E185="",$F185&lt;=0,$G185=""),"EKSİK",IF($E185&gt;TODAY(),"İLERİ TARİH","UYGUN"))))</f>
        <v/>
      </c>
      <c r="N185" s="121">
        <f>IF($C185="","",IF($C185="TANIMSIZ MÜŞTERİ","—",INDEX(MUSTERILER!$C$7:$C$106,MATCH($C185,MUSTERILER!$B$7:$B$106,0))))</f>
        <v/>
      </c>
      <c r="O185" s="6" t="n"/>
      <c r="P185" s="6" t="n"/>
      <c r="Q185" s="3">
        <f>IF($D185="","",$C185&amp;"|"&amp;COUNTIFS($C$7:$C185,$C185))</f>
        <v/>
      </c>
    </row>
    <row r="186">
      <c r="A186" s="6" t="n"/>
      <c r="B186" s="113">
        <f>IF($D186="","","T"&amp;TEXT(ROW()-6,"00000"))</f>
        <v/>
      </c>
      <c r="C186" s="113">
        <f>IF($D186="","",IFERROR(INDEX(MUSTERILER!$B$7:$B$106,MATCH($D186,MUSTERILER!$C$7:$C$106,0)),IFERROR(INDEX(MUSTERILER!$B$7:$B$106,MATCH($D186,MUSTERILER!$B$7:$B$106,0)),IFERROR(INDEX(MUSTERILER!$B$7:$B$106,MATCH($D186&amp;"*",MUSTERILER!$C$7:$C$106,0)),"TANIMSIZ MÜŞTERİ"))))</f>
        <v/>
      </c>
      <c r="D186" s="109" t="n"/>
      <c r="E186" s="225" t="n"/>
      <c r="F186" s="226" t="n"/>
      <c r="G186" s="108" t="n"/>
      <c r="H186" s="108" t="n"/>
      <c r="I186" s="109" t="n"/>
      <c r="J186" s="109" t="n"/>
      <c r="K186" s="109" t="n"/>
      <c r="L186" s="231">
        <f>IF($E186="","",DATE(YEAR($E186),MONTH($E186),1))</f>
        <v/>
      </c>
      <c r="M186" s="113">
        <f>IF($D186="","",IF($C186="TANIMSIZ MÜŞTERİ","HATA",IF(OR($E186="",$F186&lt;=0,$G186=""),"EKSİK",IF($E186&gt;TODAY(),"İLERİ TARİH","UYGUN"))))</f>
        <v/>
      </c>
      <c r="N186" s="121">
        <f>IF($C186="","",IF($C186="TANIMSIZ MÜŞTERİ","—",INDEX(MUSTERILER!$C$7:$C$106,MATCH($C186,MUSTERILER!$B$7:$B$106,0))))</f>
        <v/>
      </c>
      <c r="O186" s="6" t="n"/>
      <c r="P186" s="6" t="n"/>
      <c r="Q186" s="3">
        <f>IF($D186="","",$C186&amp;"|"&amp;COUNTIFS($C$7:$C186,$C186))</f>
        <v/>
      </c>
    </row>
    <row r="187">
      <c r="A187" s="6" t="n"/>
      <c r="B187" s="113">
        <f>IF($D187="","","T"&amp;TEXT(ROW()-6,"00000"))</f>
        <v/>
      </c>
      <c r="C187" s="113">
        <f>IF($D187="","",IFERROR(INDEX(MUSTERILER!$B$7:$B$106,MATCH($D187,MUSTERILER!$C$7:$C$106,0)),IFERROR(INDEX(MUSTERILER!$B$7:$B$106,MATCH($D187,MUSTERILER!$B$7:$B$106,0)),IFERROR(INDEX(MUSTERILER!$B$7:$B$106,MATCH($D187&amp;"*",MUSTERILER!$C$7:$C$106,0)),"TANIMSIZ MÜŞTERİ"))))</f>
        <v/>
      </c>
      <c r="D187" s="109" t="n"/>
      <c r="E187" s="225" t="n"/>
      <c r="F187" s="226" t="n"/>
      <c r="G187" s="108" t="n"/>
      <c r="H187" s="108" t="n"/>
      <c r="I187" s="109" t="n"/>
      <c r="J187" s="109" t="n"/>
      <c r="K187" s="109" t="n"/>
      <c r="L187" s="231">
        <f>IF($E187="","",DATE(YEAR($E187),MONTH($E187),1))</f>
        <v/>
      </c>
      <c r="M187" s="113">
        <f>IF($D187="","",IF($C187="TANIMSIZ MÜŞTERİ","HATA",IF(OR($E187="",$F187&lt;=0,$G187=""),"EKSİK",IF($E187&gt;TODAY(),"İLERİ TARİH","UYGUN"))))</f>
        <v/>
      </c>
      <c r="N187" s="121">
        <f>IF($C187="","",IF($C187="TANIMSIZ MÜŞTERİ","—",INDEX(MUSTERILER!$C$7:$C$106,MATCH($C187,MUSTERILER!$B$7:$B$106,0))))</f>
        <v/>
      </c>
      <c r="O187" s="6" t="n"/>
      <c r="P187" s="6" t="n"/>
      <c r="Q187" s="3">
        <f>IF($D187="","",$C187&amp;"|"&amp;COUNTIFS($C$7:$C187,$C187))</f>
        <v/>
      </c>
    </row>
    <row r="188">
      <c r="A188" s="6" t="n"/>
      <c r="B188" s="113">
        <f>IF($D188="","","T"&amp;TEXT(ROW()-6,"00000"))</f>
        <v/>
      </c>
      <c r="C188" s="113">
        <f>IF($D188="","",IFERROR(INDEX(MUSTERILER!$B$7:$B$106,MATCH($D188,MUSTERILER!$C$7:$C$106,0)),IFERROR(INDEX(MUSTERILER!$B$7:$B$106,MATCH($D188,MUSTERILER!$B$7:$B$106,0)),IFERROR(INDEX(MUSTERILER!$B$7:$B$106,MATCH($D188&amp;"*",MUSTERILER!$C$7:$C$106,0)),"TANIMSIZ MÜŞTERİ"))))</f>
        <v/>
      </c>
      <c r="D188" s="109" t="n"/>
      <c r="E188" s="225" t="n"/>
      <c r="F188" s="226" t="n"/>
      <c r="G188" s="108" t="n"/>
      <c r="H188" s="108" t="n"/>
      <c r="I188" s="109" t="n"/>
      <c r="J188" s="109" t="n"/>
      <c r="K188" s="109" t="n"/>
      <c r="L188" s="231">
        <f>IF($E188="","",DATE(YEAR($E188),MONTH($E188),1))</f>
        <v/>
      </c>
      <c r="M188" s="113">
        <f>IF($D188="","",IF($C188="TANIMSIZ MÜŞTERİ","HATA",IF(OR($E188="",$F188&lt;=0,$G188=""),"EKSİK",IF($E188&gt;TODAY(),"İLERİ TARİH","UYGUN"))))</f>
        <v/>
      </c>
      <c r="N188" s="121">
        <f>IF($C188="","",IF($C188="TANIMSIZ MÜŞTERİ","—",INDEX(MUSTERILER!$C$7:$C$106,MATCH($C188,MUSTERILER!$B$7:$B$106,0))))</f>
        <v/>
      </c>
      <c r="O188" s="6" t="n"/>
      <c r="P188" s="6" t="n"/>
      <c r="Q188" s="3">
        <f>IF($D188="","",$C188&amp;"|"&amp;COUNTIFS($C$7:$C188,$C188))</f>
        <v/>
      </c>
    </row>
    <row r="189">
      <c r="A189" s="6" t="n"/>
      <c r="B189" s="113">
        <f>IF($D189="","","T"&amp;TEXT(ROW()-6,"00000"))</f>
        <v/>
      </c>
      <c r="C189" s="113">
        <f>IF($D189="","",IFERROR(INDEX(MUSTERILER!$B$7:$B$106,MATCH($D189,MUSTERILER!$C$7:$C$106,0)),IFERROR(INDEX(MUSTERILER!$B$7:$B$106,MATCH($D189,MUSTERILER!$B$7:$B$106,0)),IFERROR(INDEX(MUSTERILER!$B$7:$B$106,MATCH($D189&amp;"*",MUSTERILER!$C$7:$C$106,0)),"TANIMSIZ MÜŞTERİ"))))</f>
        <v/>
      </c>
      <c r="D189" s="109" t="n"/>
      <c r="E189" s="225" t="n"/>
      <c r="F189" s="226" t="n"/>
      <c r="G189" s="108" t="n"/>
      <c r="H189" s="108" t="n"/>
      <c r="I189" s="109" t="n"/>
      <c r="J189" s="109" t="n"/>
      <c r="K189" s="109" t="n"/>
      <c r="L189" s="231">
        <f>IF($E189="","",DATE(YEAR($E189),MONTH($E189),1))</f>
        <v/>
      </c>
      <c r="M189" s="113">
        <f>IF($D189="","",IF($C189="TANIMSIZ MÜŞTERİ","HATA",IF(OR($E189="",$F189&lt;=0,$G189=""),"EKSİK",IF($E189&gt;TODAY(),"İLERİ TARİH","UYGUN"))))</f>
        <v/>
      </c>
      <c r="N189" s="121">
        <f>IF($C189="","",IF($C189="TANIMSIZ MÜŞTERİ","—",INDEX(MUSTERILER!$C$7:$C$106,MATCH($C189,MUSTERILER!$B$7:$B$106,0))))</f>
        <v/>
      </c>
      <c r="O189" s="6" t="n"/>
      <c r="P189" s="6" t="n"/>
      <c r="Q189" s="3">
        <f>IF($D189="","",$C189&amp;"|"&amp;COUNTIFS($C$7:$C189,$C189))</f>
        <v/>
      </c>
    </row>
    <row r="190">
      <c r="A190" s="6" t="n"/>
      <c r="B190" s="113">
        <f>IF($D190="","","T"&amp;TEXT(ROW()-6,"00000"))</f>
        <v/>
      </c>
      <c r="C190" s="113">
        <f>IF($D190="","",IFERROR(INDEX(MUSTERILER!$B$7:$B$106,MATCH($D190,MUSTERILER!$C$7:$C$106,0)),IFERROR(INDEX(MUSTERILER!$B$7:$B$106,MATCH($D190,MUSTERILER!$B$7:$B$106,0)),IFERROR(INDEX(MUSTERILER!$B$7:$B$106,MATCH($D190&amp;"*",MUSTERILER!$C$7:$C$106,0)),"TANIMSIZ MÜŞTERİ"))))</f>
        <v/>
      </c>
      <c r="D190" s="109" t="n"/>
      <c r="E190" s="225" t="n"/>
      <c r="F190" s="226" t="n"/>
      <c r="G190" s="108" t="n"/>
      <c r="H190" s="108" t="n"/>
      <c r="I190" s="109" t="n"/>
      <c r="J190" s="109" t="n"/>
      <c r="K190" s="109" t="n"/>
      <c r="L190" s="231">
        <f>IF($E190="","",DATE(YEAR($E190),MONTH($E190),1))</f>
        <v/>
      </c>
      <c r="M190" s="113">
        <f>IF($D190="","",IF($C190="TANIMSIZ MÜŞTERİ","HATA",IF(OR($E190="",$F190&lt;=0,$G190=""),"EKSİK",IF($E190&gt;TODAY(),"İLERİ TARİH","UYGUN"))))</f>
        <v/>
      </c>
      <c r="N190" s="121">
        <f>IF($C190="","",IF($C190="TANIMSIZ MÜŞTERİ","—",INDEX(MUSTERILER!$C$7:$C$106,MATCH($C190,MUSTERILER!$B$7:$B$106,0))))</f>
        <v/>
      </c>
      <c r="O190" s="6" t="n"/>
      <c r="P190" s="6" t="n"/>
      <c r="Q190" s="3">
        <f>IF($D190="","",$C190&amp;"|"&amp;COUNTIFS($C$7:$C190,$C190))</f>
        <v/>
      </c>
    </row>
    <row r="191">
      <c r="A191" s="6" t="n"/>
      <c r="B191" s="113">
        <f>IF($D191="","","T"&amp;TEXT(ROW()-6,"00000"))</f>
        <v/>
      </c>
      <c r="C191" s="113">
        <f>IF($D191="","",IFERROR(INDEX(MUSTERILER!$B$7:$B$106,MATCH($D191,MUSTERILER!$C$7:$C$106,0)),IFERROR(INDEX(MUSTERILER!$B$7:$B$106,MATCH($D191,MUSTERILER!$B$7:$B$106,0)),IFERROR(INDEX(MUSTERILER!$B$7:$B$106,MATCH($D191&amp;"*",MUSTERILER!$C$7:$C$106,0)),"TANIMSIZ MÜŞTERİ"))))</f>
        <v/>
      </c>
      <c r="D191" s="109" t="n"/>
      <c r="E191" s="225" t="n"/>
      <c r="F191" s="226" t="n"/>
      <c r="G191" s="108" t="n"/>
      <c r="H191" s="108" t="n"/>
      <c r="I191" s="109" t="n"/>
      <c r="J191" s="109" t="n"/>
      <c r="K191" s="109" t="n"/>
      <c r="L191" s="231">
        <f>IF($E191="","",DATE(YEAR($E191),MONTH($E191),1))</f>
        <v/>
      </c>
      <c r="M191" s="113">
        <f>IF($D191="","",IF($C191="TANIMSIZ MÜŞTERİ","HATA",IF(OR($E191="",$F191&lt;=0,$G191=""),"EKSİK",IF($E191&gt;TODAY(),"İLERİ TARİH","UYGUN"))))</f>
        <v/>
      </c>
      <c r="N191" s="121">
        <f>IF($C191="","",IF($C191="TANIMSIZ MÜŞTERİ","—",INDEX(MUSTERILER!$C$7:$C$106,MATCH($C191,MUSTERILER!$B$7:$B$106,0))))</f>
        <v/>
      </c>
      <c r="O191" s="6" t="n"/>
      <c r="P191" s="6" t="n"/>
      <c r="Q191" s="3">
        <f>IF($D191="","",$C191&amp;"|"&amp;COUNTIFS($C$7:$C191,$C191))</f>
        <v/>
      </c>
    </row>
    <row r="192">
      <c r="A192" s="6" t="n"/>
      <c r="B192" s="113">
        <f>IF($D192="","","T"&amp;TEXT(ROW()-6,"00000"))</f>
        <v/>
      </c>
      <c r="C192" s="113">
        <f>IF($D192="","",IFERROR(INDEX(MUSTERILER!$B$7:$B$106,MATCH($D192,MUSTERILER!$C$7:$C$106,0)),IFERROR(INDEX(MUSTERILER!$B$7:$B$106,MATCH($D192,MUSTERILER!$B$7:$B$106,0)),IFERROR(INDEX(MUSTERILER!$B$7:$B$106,MATCH($D192&amp;"*",MUSTERILER!$C$7:$C$106,0)),"TANIMSIZ MÜŞTERİ"))))</f>
        <v/>
      </c>
      <c r="D192" s="109" t="n"/>
      <c r="E192" s="225" t="n"/>
      <c r="F192" s="226" t="n"/>
      <c r="G192" s="108" t="n"/>
      <c r="H192" s="108" t="n"/>
      <c r="I192" s="109" t="n"/>
      <c r="J192" s="109" t="n"/>
      <c r="K192" s="109" t="n"/>
      <c r="L192" s="231">
        <f>IF($E192="","",DATE(YEAR($E192),MONTH($E192),1))</f>
        <v/>
      </c>
      <c r="M192" s="113">
        <f>IF($D192="","",IF($C192="TANIMSIZ MÜŞTERİ","HATA",IF(OR($E192="",$F192&lt;=0,$G192=""),"EKSİK",IF($E192&gt;TODAY(),"İLERİ TARİH","UYGUN"))))</f>
        <v/>
      </c>
      <c r="N192" s="121">
        <f>IF($C192="","",IF($C192="TANIMSIZ MÜŞTERİ","—",INDEX(MUSTERILER!$C$7:$C$106,MATCH($C192,MUSTERILER!$B$7:$B$106,0))))</f>
        <v/>
      </c>
      <c r="O192" s="6" t="n"/>
      <c r="P192" s="6" t="n"/>
      <c r="Q192" s="3">
        <f>IF($D192="","",$C192&amp;"|"&amp;COUNTIFS($C$7:$C192,$C192))</f>
        <v/>
      </c>
    </row>
    <row r="193">
      <c r="A193" s="6" t="n"/>
      <c r="B193" s="113">
        <f>IF($D193="","","T"&amp;TEXT(ROW()-6,"00000"))</f>
        <v/>
      </c>
      <c r="C193" s="113">
        <f>IF($D193="","",IFERROR(INDEX(MUSTERILER!$B$7:$B$106,MATCH($D193,MUSTERILER!$C$7:$C$106,0)),IFERROR(INDEX(MUSTERILER!$B$7:$B$106,MATCH($D193,MUSTERILER!$B$7:$B$106,0)),IFERROR(INDEX(MUSTERILER!$B$7:$B$106,MATCH($D193&amp;"*",MUSTERILER!$C$7:$C$106,0)),"TANIMSIZ MÜŞTERİ"))))</f>
        <v/>
      </c>
      <c r="D193" s="109" t="n"/>
      <c r="E193" s="225" t="n"/>
      <c r="F193" s="226" t="n"/>
      <c r="G193" s="108" t="n"/>
      <c r="H193" s="108" t="n"/>
      <c r="I193" s="109" t="n"/>
      <c r="J193" s="109" t="n"/>
      <c r="K193" s="109" t="n"/>
      <c r="L193" s="231">
        <f>IF($E193="","",DATE(YEAR($E193),MONTH($E193),1))</f>
        <v/>
      </c>
      <c r="M193" s="113">
        <f>IF($D193="","",IF($C193="TANIMSIZ MÜŞTERİ","HATA",IF(OR($E193="",$F193&lt;=0,$G193=""),"EKSİK",IF($E193&gt;TODAY(),"İLERİ TARİH","UYGUN"))))</f>
        <v/>
      </c>
      <c r="N193" s="121">
        <f>IF($C193="","",IF($C193="TANIMSIZ MÜŞTERİ","—",INDEX(MUSTERILER!$C$7:$C$106,MATCH($C193,MUSTERILER!$B$7:$B$106,0))))</f>
        <v/>
      </c>
      <c r="O193" s="6" t="n"/>
      <c r="P193" s="6" t="n"/>
      <c r="Q193" s="3">
        <f>IF($D193="","",$C193&amp;"|"&amp;COUNTIFS($C$7:$C193,$C193))</f>
        <v/>
      </c>
    </row>
    <row r="194">
      <c r="A194" s="6" t="n"/>
      <c r="B194" s="113">
        <f>IF($D194="","","T"&amp;TEXT(ROW()-6,"00000"))</f>
        <v/>
      </c>
      <c r="C194" s="113">
        <f>IF($D194="","",IFERROR(INDEX(MUSTERILER!$B$7:$B$106,MATCH($D194,MUSTERILER!$C$7:$C$106,0)),IFERROR(INDEX(MUSTERILER!$B$7:$B$106,MATCH($D194,MUSTERILER!$B$7:$B$106,0)),IFERROR(INDEX(MUSTERILER!$B$7:$B$106,MATCH($D194&amp;"*",MUSTERILER!$C$7:$C$106,0)),"TANIMSIZ MÜŞTERİ"))))</f>
        <v/>
      </c>
      <c r="D194" s="109" t="n"/>
      <c r="E194" s="225" t="n"/>
      <c r="F194" s="226" t="n"/>
      <c r="G194" s="108" t="n"/>
      <c r="H194" s="108" t="n"/>
      <c r="I194" s="109" t="n"/>
      <c r="J194" s="109" t="n"/>
      <c r="K194" s="109" t="n"/>
      <c r="L194" s="231">
        <f>IF($E194="","",DATE(YEAR($E194),MONTH($E194),1))</f>
        <v/>
      </c>
      <c r="M194" s="113">
        <f>IF($D194="","",IF($C194="TANIMSIZ MÜŞTERİ","HATA",IF(OR($E194="",$F194&lt;=0,$G194=""),"EKSİK",IF($E194&gt;TODAY(),"İLERİ TARİH","UYGUN"))))</f>
        <v/>
      </c>
      <c r="N194" s="121">
        <f>IF($C194="","",IF($C194="TANIMSIZ MÜŞTERİ","—",INDEX(MUSTERILER!$C$7:$C$106,MATCH($C194,MUSTERILER!$B$7:$B$106,0))))</f>
        <v/>
      </c>
      <c r="O194" s="6" t="n"/>
      <c r="P194" s="6" t="n"/>
      <c r="Q194" s="3">
        <f>IF($D194="","",$C194&amp;"|"&amp;COUNTIFS($C$7:$C194,$C194))</f>
        <v/>
      </c>
    </row>
    <row r="195">
      <c r="A195" s="6" t="n"/>
      <c r="B195" s="113">
        <f>IF($D195="","","T"&amp;TEXT(ROW()-6,"00000"))</f>
        <v/>
      </c>
      <c r="C195" s="113">
        <f>IF($D195="","",IFERROR(INDEX(MUSTERILER!$B$7:$B$106,MATCH($D195,MUSTERILER!$C$7:$C$106,0)),IFERROR(INDEX(MUSTERILER!$B$7:$B$106,MATCH($D195,MUSTERILER!$B$7:$B$106,0)),IFERROR(INDEX(MUSTERILER!$B$7:$B$106,MATCH($D195&amp;"*",MUSTERILER!$C$7:$C$106,0)),"TANIMSIZ MÜŞTERİ"))))</f>
        <v/>
      </c>
      <c r="D195" s="109" t="n"/>
      <c r="E195" s="225" t="n"/>
      <c r="F195" s="226" t="n"/>
      <c r="G195" s="108" t="n"/>
      <c r="H195" s="108" t="n"/>
      <c r="I195" s="109" t="n"/>
      <c r="J195" s="109" t="n"/>
      <c r="K195" s="109" t="n"/>
      <c r="L195" s="231">
        <f>IF($E195="","",DATE(YEAR($E195),MONTH($E195),1))</f>
        <v/>
      </c>
      <c r="M195" s="113">
        <f>IF($D195="","",IF($C195="TANIMSIZ MÜŞTERİ","HATA",IF(OR($E195="",$F195&lt;=0,$G195=""),"EKSİK",IF($E195&gt;TODAY(),"İLERİ TARİH","UYGUN"))))</f>
        <v/>
      </c>
      <c r="N195" s="121">
        <f>IF($C195="","",IF($C195="TANIMSIZ MÜŞTERİ","—",INDEX(MUSTERILER!$C$7:$C$106,MATCH($C195,MUSTERILER!$B$7:$B$106,0))))</f>
        <v/>
      </c>
      <c r="O195" s="6" t="n"/>
      <c r="P195" s="6" t="n"/>
      <c r="Q195" s="3">
        <f>IF($D195="","",$C195&amp;"|"&amp;COUNTIFS($C$7:$C195,$C195))</f>
        <v/>
      </c>
    </row>
    <row r="196">
      <c r="A196" s="6" t="n"/>
      <c r="B196" s="113">
        <f>IF($D196="","","T"&amp;TEXT(ROW()-6,"00000"))</f>
        <v/>
      </c>
      <c r="C196" s="113">
        <f>IF($D196="","",IFERROR(INDEX(MUSTERILER!$B$7:$B$106,MATCH($D196,MUSTERILER!$C$7:$C$106,0)),IFERROR(INDEX(MUSTERILER!$B$7:$B$106,MATCH($D196,MUSTERILER!$B$7:$B$106,0)),IFERROR(INDEX(MUSTERILER!$B$7:$B$106,MATCH($D196&amp;"*",MUSTERILER!$C$7:$C$106,0)),"TANIMSIZ MÜŞTERİ"))))</f>
        <v/>
      </c>
      <c r="D196" s="109" t="n"/>
      <c r="E196" s="225" t="n"/>
      <c r="F196" s="226" t="n"/>
      <c r="G196" s="108" t="n"/>
      <c r="H196" s="108" t="n"/>
      <c r="I196" s="109" t="n"/>
      <c r="J196" s="109" t="n"/>
      <c r="K196" s="109" t="n"/>
      <c r="L196" s="231">
        <f>IF($E196="","",DATE(YEAR($E196),MONTH($E196),1))</f>
        <v/>
      </c>
      <c r="M196" s="113">
        <f>IF($D196="","",IF($C196="TANIMSIZ MÜŞTERİ","HATA",IF(OR($E196="",$F196&lt;=0,$G196=""),"EKSİK",IF($E196&gt;TODAY(),"İLERİ TARİH","UYGUN"))))</f>
        <v/>
      </c>
      <c r="N196" s="121">
        <f>IF($C196="","",IF($C196="TANIMSIZ MÜŞTERİ","—",INDEX(MUSTERILER!$C$7:$C$106,MATCH($C196,MUSTERILER!$B$7:$B$106,0))))</f>
        <v/>
      </c>
      <c r="O196" s="6" t="n"/>
      <c r="P196" s="6" t="n"/>
      <c r="Q196" s="3">
        <f>IF($D196="","",$C196&amp;"|"&amp;COUNTIFS($C$7:$C196,$C196))</f>
        <v/>
      </c>
    </row>
    <row r="197">
      <c r="A197" s="6" t="n"/>
      <c r="B197" s="113">
        <f>IF($D197="","","T"&amp;TEXT(ROW()-6,"00000"))</f>
        <v/>
      </c>
      <c r="C197" s="113">
        <f>IF($D197="","",IFERROR(INDEX(MUSTERILER!$B$7:$B$106,MATCH($D197,MUSTERILER!$C$7:$C$106,0)),IFERROR(INDEX(MUSTERILER!$B$7:$B$106,MATCH($D197,MUSTERILER!$B$7:$B$106,0)),IFERROR(INDEX(MUSTERILER!$B$7:$B$106,MATCH($D197&amp;"*",MUSTERILER!$C$7:$C$106,0)),"TANIMSIZ MÜŞTERİ"))))</f>
        <v/>
      </c>
      <c r="D197" s="109" t="n"/>
      <c r="E197" s="225" t="n"/>
      <c r="F197" s="226" t="n"/>
      <c r="G197" s="108" t="n"/>
      <c r="H197" s="108" t="n"/>
      <c r="I197" s="109" t="n"/>
      <c r="J197" s="109" t="n"/>
      <c r="K197" s="109" t="n"/>
      <c r="L197" s="231">
        <f>IF($E197="","",DATE(YEAR($E197),MONTH($E197),1))</f>
        <v/>
      </c>
      <c r="M197" s="113">
        <f>IF($D197="","",IF($C197="TANIMSIZ MÜŞTERİ","HATA",IF(OR($E197="",$F197&lt;=0,$G197=""),"EKSİK",IF($E197&gt;TODAY(),"İLERİ TARİH","UYGUN"))))</f>
        <v/>
      </c>
      <c r="N197" s="121">
        <f>IF($C197="","",IF($C197="TANIMSIZ MÜŞTERİ","—",INDEX(MUSTERILER!$C$7:$C$106,MATCH($C197,MUSTERILER!$B$7:$B$106,0))))</f>
        <v/>
      </c>
      <c r="O197" s="6" t="n"/>
      <c r="P197" s="6" t="n"/>
      <c r="Q197" s="3">
        <f>IF($D197="","",$C197&amp;"|"&amp;COUNTIFS($C$7:$C197,$C197))</f>
        <v/>
      </c>
    </row>
    <row r="198">
      <c r="A198" s="6" t="n"/>
      <c r="B198" s="113">
        <f>IF($D198="","","T"&amp;TEXT(ROW()-6,"00000"))</f>
        <v/>
      </c>
      <c r="C198" s="113">
        <f>IF($D198="","",IFERROR(INDEX(MUSTERILER!$B$7:$B$106,MATCH($D198,MUSTERILER!$C$7:$C$106,0)),IFERROR(INDEX(MUSTERILER!$B$7:$B$106,MATCH($D198,MUSTERILER!$B$7:$B$106,0)),IFERROR(INDEX(MUSTERILER!$B$7:$B$106,MATCH($D198&amp;"*",MUSTERILER!$C$7:$C$106,0)),"TANIMSIZ MÜŞTERİ"))))</f>
        <v/>
      </c>
      <c r="D198" s="109" t="n"/>
      <c r="E198" s="225" t="n"/>
      <c r="F198" s="226" t="n"/>
      <c r="G198" s="108" t="n"/>
      <c r="H198" s="108" t="n"/>
      <c r="I198" s="109" t="n"/>
      <c r="J198" s="109" t="n"/>
      <c r="K198" s="109" t="n"/>
      <c r="L198" s="231">
        <f>IF($E198="","",DATE(YEAR($E198),MONTH($E198),1))</f>
        <v/>
      </c>
      <c r="M198" s="113">
        <f>IF($D198="","",IF($C198="TANIMSIZ MÜŞTERİ","HATA",IF(OR($E198="",$F198&lt;=0,$G198=""),"EKSİK",IF($E198&gt;TODAY(),"İLERİ TARİH","UYGUN"))))</f>
        <v/>
      </c>
      <c r="N198" s="121">
        <f>IF($C198="","",IF($C198="TANIMSIZ MÜŞTERİ","—",INDEX(MUSTERILER!$C$7:$C$106,MATCH($C198,MUSTERILER!$B$7:$B$106,0))))</f>
        <v/>
      </c>
      <c r="O198" s="6" t="n"/>
      <c r="P198" s="6" t="n"/>
      <c r="Q198" s="3">
        <f>IF($D198="","",$C198&amp;"|"&amp;COUNTIFS($C$7:$C198,$C198))</f>
        <v/>
      </c>
    </row>
    <row r="199">
      <c r="A199" s="6" t="n"/>
      <c r="B199" s="113">
        <f>IF($D199="","","T"&amp;TEXT(ROW()-6,"00000"))</f>
        <v/>
      </c>
      <c r="C199" s="113">
        <f>IF($D199="","",IFERROR(INDEX(MUSTERILER!$B$7:$B$106,MATCH($D199,MUSTERILER!$C$7:$C$106,0)),IFERROR(INDEX(MUSTERILER!$B$7:$B$106,MATCH($D199,MUSTERILER!$B$7:$B$106,0)),IFERROR(INDEX(MUSTERILER!$B$7:$B$106,MATCH($D199&amp;"*",MUSTERILER!$C$7:$C$106,0)),"TANIMSIZ MÜŞTERİ"))))</f>
        <v/>
      </c>
      <c r="D199" s="109" t="n"/>
      <c r="E199" s="225" t="n"/>
      <c r="F199" s="226" t="n"/>
      <c r="G199" s="108" t="n"/>
      <c r="H199" s="108" t="n"/>
      <c r="I199" s="109" t="n"/>
      <c r="J199" s="109" t="n"/>
      <c r="K199" s="109" t="n"/>
      <c r="L199" s="231">
        <f>IF($E199="","",DATE(YEAR($E199),MONTH($E199),1))</f>
        <v/>
      </c>
      <c r="M199" s="113">
        <f>IF($D199="","",IF($C199="TANIMSIZ MÜŞTERİ","HATA",IF(OR($E199="",$F199&lt;=0,$G199=""),"EKSİK",IF($E199&gt;TODAY(),"İLERİ TARİH","UYGUN"))))</f>
        <v/>
      </c>
      <c r="N199" s="121">
        <f>IF($C199="","",IF($C199="TANIMSIZ MÜŞTERİ","—",INDEX(MUSTERILER!$C$7:$C$106,MATCH($C199,MUSTERILER!$B$7:$B$106,0))))</f>
        <v/>
      </c>
      <c r="O199" s="6" t="n"/>
      <c r="P199" s="6" t="n"/>
      <c r="Q199" s="3">
        <f>IF($D199="","",$C199&amp;"|"&amp;COUNTIFS($C$7:$C199,$C199))</f>
        <v/>
      </c>
    </row>
    <row r="200">
      <c r="A200" s="6" t="n"/>
      <c r="B200" s="113">
        <f>IF($D200="","","T"&amp;TEXT(ROW()-6,"00000"))</f>
        <v/>
      </c>
      <c r="C200" s="113">
        <f>IF($D200="","",IFERROR(INDEX(MUSTERILER!$B$7:$B$106,MATCH($D200,MUSTERILER!$C$7:$C$106,0)),IFERROR(INDEX(MUSTERILER!$B$7:$B$106,MATCH($D200,MUSTERILER!$B$7:$B$106,0)),IFERROR(INDEX(MUSTERILER!$B$7:$B$106,MATCH($D200&amp;"*",MUSTERILER!$C$7:$C$106,0)),"TANIMSIZ MÜŞTERİ"))))</f>
        <v/>
      </c>
      <c r="D200" s="109" t="n"/>
      <c r="E200" s="225" t="n"/>
      <c r="F200" s="226" t="n"/>
      <c r="G200" s="108" t="n"/>
      <c r="H200" s="108" t="n"/>
      <c r="I200" s="109" t="n"/>
      <c r="J200" s="109" t="n"/>
      <c r="K200" s="109" t="n"/>
      <c r="L200" s="231">
        <f>IF($E200="","",DATE(YEAR($E200),MONTH($E200),1))</f>
        <v/>
      </c>
      <c r="M200" s="113">
        <f>IF($D200="","",IF($C200="TANIMSIZ MÜŞTERİ","HATA",IF(OR($E200="",$F200&lt;=0,$G200=""),"EKSİK",IF($E200&gt;TODAY(),"İLERİ TARİH","UYGUN"))))</f>
        <v/>
      </c>
      <c r="N200" s="121">
        <f>IF($C200="","",IF($C200="TANIMSIZ MÜŞTERİ","—",INDEX(MUSTERILER!$C$7:$C$106,MATCH($C200,MUSTERILER!$B$7:$B$106,0))))</f>
        <v/>
      </c>
      <c r="O200" s="6" t="n"/>
      <c r="P200" s="6" t="n"/>
      <c r="Q200" s="3">
        <f>IF($D200="","",$C200&amp;"|"&amp;COUNTIFS($C$7:$C200,$C200))</f>
        <v/>
      </c>
    </row>
    <row r="201">
      <c r="A201" s="6" t="n"/>
      <c r="B201" s="113">
        <f>IF($D201="","","T"&amp;TEXT(ROW()-6,"00000"))</f>
        <v/>
      </c>
      <c r="C201" s="113">
        <f>IF($D201="","",IFERROR(INDEX(MUSTERILER!$B$7:$B$106,MATCH($D201,MUSTERILER!$C$7:$C$106,0)),IFERROR(INDEX(MUSTERILER!$B$7:$B$106,MATCH($D201,MUSTERILER!$B$7:$B$106,0)),IFERROR(INDEX(MUSTERILER!$B$7:$B$106,MATCH($D201&amp;"*",MUSTERILER!$C$7:$C$106,0)),"TANIMSIZ MÜŞTERİ"))))</f>
        <v/>
      </c>
      <c r="D201" s="109" t="n"/>
      <c r="E201" s="225" t="n"/>
      <c r="F201" s="226" t="n"/>
      <c r="G201" s="108" t="n"/>
      <c r="H201" s="108" t="n"/>
      <c r="I201" s="109" t="n"/>
      <c r="J201" s="109" t="n"/>
      <c r="K201" s="109" t="n"/>
      <c r="L201" s="231">
        <f>IF($E201="","",DATE(YEAR($E201),MONTH($E201),1))</f>
        <v/>
      </c>
      <c r="M201" s="113">
        <f>IF($D201="","",IF($C201="TANIMSIZ MÜŞTERİ","HATA",IF(OR($E201="",$F201&lt;=0,$G201=""),"EKSİK",IF($E201&gt;TODAY(),"İLERİ TARİH","UYGUN"))))</f>
        <v/>
      </c>
      <c r="N201" s="121">
        <f>IF($C201="","",IF($C201="TANIMSIZ MÜŞTERİ","—",INDEX(MUSTERILER!$C$7:$C$106,MATCH($C201,MUSTERILER!$B$7:$B$106,0))))</f>
        <v/>
      </c>
      <c r="O201" s="6" t="n"/>
      <c r="P201" s="6" t="n"/>
      <c r="Q201" s="3">
        <f>IF($D201="","",$C201&amp;"|"&amp;COUNTIFS($C$7:$C201,$C201))</f>
        <v/>
      </c>
    </row>
    <row r="202">
      <c r="A202" s="6" t="n"/>
      <c r="B202" s="113">
        <f>IF($D202="","","T"&amp;TEXT(ROW()-6,"00000"))</f>
        <v/>
      </c>
      <c r="C202" s="113">
        <f>IF($D202="","",IFERROR(INDEX(MUSTERILER!$B$7:$B$106,MATCH($D202,MUSTERILER!$C$7:$C$106,0)),IFERROR(INDEX(MUSTERILER!$B$7:$B$106,MATCH($D202,MUSTERILER!$B$7:$B$106,0)),IFERROR(INDEX(MUSTERILER!$B$7:$B$106,MATCH($D202&amp;"*",MUSTERILER!$C$7:$C$106,0)),"TANIMSIZ MÜŞTERİ"))))</f>
        <v/>
      </c>
      <c r="D202" s="109" t="n"/>
      <c r="E202" s="225" t="n"/>
      <c r="F202" s="226" t="n"/>
      <c r="G202" s="108" t="n"/>
      <c r="H202" s="108" t="n"/>
      <c r="I202" s="109" t="n"/>
      <c r="J202" s="109" t="n"/>
      <c r="K202" s="109" t="n"/>
      <c r="L202" s="231">
        <f>IF($E202="","",DATE(YEAR($E202),MONTH($E202),1))</f>
        <v/>
      </c>
      <c r="M202" s="113">
        <f>IF($D202="","",IF($C202="TANIMSIZ MÜŞTERİ","HATA",IF(OR($E202="",$F202&lt;=0,$G202=""),"EKSİK",IF($E202&gt;TODAY(),"İLERİ TARİH","UYGUN"))))</f>
        <v/>
      </c>
      <c r="N202" s="121">
        <f>IF($C202="","",IF($C202="TANIMSIZ MÜŞTERİ","—",INDEX(MUSTERILER!$C$7:$C$106,MATCH($C202,MUSTERILER!$B$7:$B$106,0))))</f>
        <v/>
      </c>
      <c r="O202" s="6" t="n"/>
      <c r="P202" s="6" t="n"/>
      <c r="Q202" s="3">
        <f>IF($D202="","",$C202&amp;"|"&amp;COUNTIFS($C$7:$C202,$C202))</f>
        <v/>
      </c>
    </row>
    <row r="203">
      <c r="A203" s="6" t="n"/>
      <c r="B203" s="113">
        <f>IF($D203="","","T"&amp;TEXT(ROW()-6,"00000"))</f>
        <v/>
      </c>
      <c r="C203" s="113">
        <f>IF($D203="","",IFERROR(INDEX(MUSTERILER!$B$7:$B$106,MATCH($D203,MUSTERILER!$C$7:$C$106,0)),IFERROR(INDEX(MUSTERILER!$B$7:$B$106,MATCH($D203,MUSTERILER!$B$7:$B$106,0)),IFERROR(INDEX(MUSTERILER!$B$7:$B$106,MATCH($D203&amp;"*",MUSTERILER!$C$7:$C$106,0)),"TANIMSIZ MÜŞTERİ"))))</f>
        <v/>
      </c>
      <c r="D203" s="109" t="n"/>
      <c r="E203" s="225" t="n"/>
      <c r="F203" s="226" t="n"/>
      <c r="G203" s="108" t="n"/>
      <c r="H203" s="108" t="n"/>
      <c r="I203" s="109" t="n"/>
      <c r="J203" s="109" t="n"/>
      <c r="K203" s="109" t="n"/>
      <c r="L203" s="231">
        <f>IF($E203="","",DATE(YEAR($E203),MONTH($E203),1))</f>
        <v/>
      </c>
      <c r="M203" s="113">
        <f>IF($D203="","",IF($C203="TANIMSIZ MÜŞTERİ","HATA",IF(OR($E203="",$F203&lt;=0,$G203=""),"EKSİK",IF($E203&gt;TODAY(),"İLERİ TARİH","UYGUN"))))</f>
        <v/>
      </c>
      <c r="N203" s="121">
        <f>IF($C203="","",IF($C203="TANIMSIZ MÜŞTERİ","—",INDEX(MUSTERILER!$C$7:$C$106,MATCH($C203,MUSTERILER!$B$7:$B$106,0))))</f>
        <v/>
      </c>
      <c r="O203" s="6" t="n"/>
      <c r="P203" s="6" t="n"/>
      <c r="Q203" s="3">
        <f>IF($D203="","",$C203&amp;"|"&amp;COUNTIFS($C$7:$C203,$C203))</f>
        <v/>
      </c>
    </row>
    <row r="204">
      <c r="A204" s="6" t="n"/>
      <c r="B204" s="113">
        <f>IF($D204="","","T"&amp;TEXT(ROW()-6,"00000"))</f>
        <v/>
      </c>
      <c r="C204" s="113">
        <f>IF($D204="","",IFERROR(INDEX(MUSTERILER!$B$7:$B$106,MATCH($D204,MUSTERILER!$C$7:$C$106,0)),IFERROR(INDEX(MUSTERILER!$B$7:$B$106,MATCH($D204,MUSTERILER!$B$7:$B$106,0)),IFERROR(INDEX(MUSTERILER!$B$7:$B$106,MATCH($D204&amp;"*",MUSTERILER!$C$7:$C$106,0)),"TANIMSIZ MÜŞTERİ"))))</f>
        <v/>
      </c>
      <c r="D204" s="109" t="n"/>
      <c r="E204" s="225" t="n"/>
      <c r="F204" s="226" t="n"/>
      <c r="G204" s="108" t="n"/>
      <c r="H204" s="108" t="n"/>
      <c r="I204" s="109" t="n"/>
      <c r="J204" s="109" t="n"/>
      <c r="K204" s="109" t="n"/>
      <c r="L204" s="231">
        <f>IF($E204="","",DATE(YEAR($E204),MONTH($E204),1))</f>
        <v/>
      </c>
      <c r="M204" s="113">
        <f>IF($D204="","",IF($C204="TANIMSIZ MÜŞTERİ","HATA",IF(OR($E204="",$F204&lt;=0,$G204=""),"EKSİK",IF($E204&gt;TODAY(),"İLERİ TARİH","UYGUN"))))</f>
        <v/>
      </c>
      <c r="N204" s="121">
        <f>IF($C204="","",IF($C204="TANIMSIZ MÜŞTERİ","—",INDEX(MUSTERILER!$C$7:$C$106,MATCH($C204,MUSTERILER!$B$7:$B$106,0))))</f>
        <v/>
      </c>
      <c r="O204" s="6" t="n"/>
      <c r="P204" s="6" t="n"/>
      <c r="Q204" s="3">
        <f>IF($D204="","",$C204&amp;"|"&amp;COUNTIFS($C$7:$C204,$C204))</f>
        <v/>
      </c>
    </row>
    <row r="205">
      <c r="A205" s="6" t="n"/>
      <c r="B205" s="113">
        <f>IF($D205="","","T"&amp;TEXT(ROW()-6,"00000"))</f>
        <v/>
      </c>
      <c r="C205" s="113">
        <f>IF($D205="","",IFERROR(INDEX(MUSTERILER!$B$7:$B$106,MATCH($D205,MUSTERILER!$C$7:$C$106,0)),IFERROR(INDEX(MUSTERILER!$B$7:$B$106,MATCH($D205,MUSTERILER!$B$7:$B$106,0)),IFERROR(INDEX(MUSTERILER!$B$7:$B$106,MATCH($D205&amp;"*",MUSTERILER!$C$7:$C$106,0)),"TANIMSIZ MÜŞTERİ"))))</f>
        <v/>
      </c>
      <c r="D205" s="109" t="n"/>
      <c r="E205" s="225" t="n"/>
      <c r="F205" s="226" t="n"/>
      <c r="G205" s="108" t="n"/>
      <c r="H205" s="108" t="n"/>
      <c r="I205" s="109" t="n"/>
      <c r="J205" s="109" t="n"/>
      <c r="K205" s="109" t="n"/>
      <c r="L205" s="231">
        <f>IF($E205="","",DATE(YEAR($E205),MONTH($E205),1))</f>
        <v/>
      </c>
      <c r="M205" s="113">
        <f>IF($D205="","",IF($C205="TANIMSIZ MÜŞTERİ","HATA",IF(OR($E205="",$F205&lt;=0,$G205=""),"EKSİK",IF($E205&gt;TODAY(),"İLERİ TARİH","UYGUN"))))</f>
        <v/>
      </c>
      <c r="N205" s="121">
        <f>IF($C205="","",IF($C205="TANIMSIZ MÜŞTERİ","—",INDEX(MUSTERILER!$C$7:$C$106,MATCH($C205,MUSTERILER!$B$7:$B$106,0))))</f>
        <v/>
      </c>
      <c r="O205" s="6" t="n"/>
      <c r="P205" s="6" t="n"/>
      <c r="Q205" s="3">
        <f>IF($D205="","",$C205&amp;"|"&amp;COUNTIFS($C$7:$C205,$C205))</f>
        <v/>
      </c>
    </row>
    <row r="206">
      <c r="A206" s="6" t="n"/>
      <c r="B206" s="113">
        <f>IF($D206="","","T"&amp;TEXT(ROW()-6,"00000"))</f>
        <v/>
      </c>
      <c r="C206" s="113">
        <f>IF($D206="","",IFERROR(INDEX(MUSTERILER!$B$7:$B$106,MATCH($D206,MUSTERILER!$C$7:$C$106,0)),IFERROR(INDEX(MUSTERILER!$B$7:$B$106,MATCH($D206,MUSTERILER!$B$7:$B$106,0)),IFERROR(INDEX(MUSTERILER!$B$7:$B$106,MATCH($D206&amp;"*",MUSTERILER!$C$7:$C$106,0)),"TANIMSIZ MÜŞTERİ"))))</f>
        <v/>
      </c>
      <c r="D206" s="109" t="n"/>
      <c r="E206" s="225" t="n"/>
      <c r="F206" s="226" t="n"/>
      <c r="G206" s="108" t="n"/>
      <c r="H206" s="108" t="n"/>
      <c r="I206" s="109" t="n"/>
      <c r="J206" s="109" t="n"/>
      <c r="K206" s="109" t="n"/>
      <c r="L206" s="231">
        <f>IF($E206="","",DATE(YEAR($E206),MONTH($E206),1))</f>
        <v/>
      </c>
      <c r="M206" s="113">
        <f>IF($D206="","",IF($C206="TANIMSIZ MÜŞTERİ","HATA",IF(OR($E206="",$F206&lt;=0,$G206=""),"EKSİK",IF($E206&gt;TODAY(),"İLERİ TARİH","UYGUN"))))</f>
        <v/>
      </c>
      <c r="N206" s="121">
        <f>IF($C206="","",IF($C206="TANIMSIZ MÜŞTERİ","—",INDEX(MUSTERILER!$C$7:$C$106,MATCH($C206,MUSTERILER!$B$7:$B$106,0))))</f>
        <v/>
      </c>
      <c r="O206" s="6" t="n"/>
      <c r="P206" s="6" t="n"/>
      <c r="Q206" s="3">
        <f>IF($D206="","",$C206&amp;"|"&amp;COUNTIFS($C$7:$C206,$C206))</f>
        <v/>
      </c>
    </row>
    <row r="207">
      <c r="A207" s="6" t="n"/>
      <c r="B207" s="113">
        <f>IF($D207="","","T"&amp;TEXT(ROW()-6,"00000"))</f>
        <v/>
      </c>
      <c r="C207" s="113">
        <f>IF($D207="","",IFERROR(INDEX(MUSTERILER!$B$7:$B$106,MATCH($D207,MUSTERILER!$C$7:$C$106,0)),IFERROR(INDEX(MUSTERILER!$B$7:$B$106,MATCH($D207,MUSTERILER!$B$7:$B$106,0)),IFERROR(INDEX(MUSTERILER!$B$7:$B$106,MATCH($D207&amp;"*",MUSTERILER!$C$7:$C$106,0)),"TANIMSIZ MÜŞTERİ"))))</f>
        <v/>
      </c>
      <c r="D207" s="109" t="n"/>
      <c r="E207" s="225" t="n"/>
      <c r="F207" s="226" t="n"/>
      <c r="G207" s="108" t="n"/>
      <c r="H207" s="108" t="n"/>
      <c r="I207" s="109" t="n"/>
      <c r="J207" s="109" t="n"/>
      <c r="K207" s="109" t="n"/>
      <c r="L207" s="231">
        <f>IF($E207="","",DATE(YEAR($E207),MONTH($E207),1))</f>
        <v/>
      </c>
      <c r="M207" s="113">
        <f>IF($D207="","",IF($C207="TANIMSIZ MÜŞTERİ","HATA",IF(OR($E207="",$F207&lt;=0,$G207=""),"EKSİK",IF($E207&gt;TODAY(),"İLERİ TARİH","UYGUN"))))</f>
        <v/>
      </c>
      <c r="N207" s="121">
        <f>IF($C207="","",IF($C207="TANIMSIZ MÜŞTERİ","—",INDEX(MUSTERILER!$C$7:$C$106,MATCH($C207,MUSTERILER!$B$7:$B$106,0))))</f>
        <v/>
      </c>
      <c r="O207" s="6" t="n"/>
      <c r="P207" s="6" t="n"/>
      <c r="Q207" s="3">
        <f>IF($D207="","",$C207&amp;"|"&amp;COUNTIFS($C$7:$C207,$C207))</f>
        <v/>
      </c>
    </row>
    <row r="208">
      <c r="A208" s="6" t="n"/>
      <c r="B208" s="113">
        <f>IF($D208="","","T"&amp;TEXT(ROW()-6,"00000"))</f>
        <v/>
      </c>
      <c r="C208" s="113">
        <f>IF($D208="","",IFERROR(INDEX(MUSTERILER!$B$7:$B$106,MATCH($D208,MUSTERILER!$C$7:$C$106,0)),IFERROR(INDEX(MUSTERILER!$B$7:$B$106,MATCH($D208,MUSTERILER!$B$7:$B$106,0)),IFERROR(INDEX(MUSTERILER!$B$7:$B$106,MATCH($D208&amp;"*",MUSTERILER!$C$7:$C$106,0)),"TANIMSIZ MÜŞTERİ"))))</f>
        <v/>
      </c>
      <c r="D208" s="109" t="n"/>
      <c r="E208" s="225" t="n"/>
      <c r="F208" s="226" t="n"/>
      <c r="G208" s="108" t="n"/>
      <c r="H208" s="108" t="n"/>
      <c r="I208" s="109" t="n"/>
      <c r="J208" s="109" t="n"/>
      <c r="K208" s="109" t="n"/>
      <c r="L208" s="231">
        <f>IF($E208="","",DATE(YEAR($E208),MONTH($E208),1))</f>
        <v/>
      </c>
      <c r="M208" s="113">
        <f>IF($D208="","",IF($C208="TANIMSIZ MÜŞTERİ","HATA",IF(OR($E208="",$F208&lt;=0,$G208=""),"EKSİK",IF($E208&gt;TODAY(),"İLERİ TARİH","UYGUN"))))</f>
        <v/>
      </c>
      <c r="N208" s="121">
        <f>IF($C208="","",IF($C208="TANIMSIZ MÜŞTERİ","—",INDEX(MUSTERILER!$C$7:$C$106,MATCH($C208,MUSTERILER!$B$7:$B$106,0))))</f>
        <v/>
      </c>
      <c r="O208" s="6" t="n"/>
      <c r="P208" s="6" t="n"/>
      <c r="Q208" s="3">
        <f>IF($D208="","",$C208&amp;"|"&amp;COUNTIFS($C$7:$C208,$C208))</f>
        <v/>
      </c>
    </row>
    <row r="209">
      <c r="A209" s="6" t="n"/>
      <c r="B209" s="113">
        <f>IF($D209="","","T"&amp;TEXT(ROW()-6,"00000"))</f>
        <v/>
      </c>
      <c r="C209" s="113">
        <f>IF($D209="","",IFERROR(INDEX(MUSTERILER!$B$7:$B$106,MATCH($D209,MUSTERILER!$C$7:$C$106,0)),IFERROR(INDEX(MUSTERILER!$B$7:$B$106,MATCH($D209,MUSTERILER!$B$7:$B$106,0)),IFERROR(INDEX(MUSTERILER!$B$7:$B$106,MATCH($D209&amp;"*",MUSTERILER!$C$7:$C$106,0)),"TANIMSIZ MÜŞTERİ"))))</f>
        <v/>
      </c>
      <c r="D209" s="109" t="n"/>
      <c r="E209" s="225" t="n"/>
      <c r="F209" s="226" t="n"/>
      <c r="G209" s="108" t="n"/>
      <c r="H209" s="108" t="n"/>
      <c r="I209" s="109" t="n"/>
      <c r="J209" s="109" t="n"/>
      <c r="K209" s="109" t="n"/>
      <c r="L209" s="231">
        <f>IF($E209="","",DATE(YEAR($E209),MONTH($E209),1))</f>
        <v/>
      </c>
      <c r="M209" s="113">
        <f>IF($D209="","",IF($C209="TANIMSIZ MÜŞTERİ","HATA",IF(OR($E209="",$F209&lt;=0,$G209=""),"EKSİK",IF($E209&gt;TODAY(),"İLERİ TARİH","UYGUN"))))</f>
        <v/>
      </c>
      <c r="N209" s="121">
        <f>IF($C209="","",IF($C209="TANIMSIZ MÜŞTERİ","—",INDEX(MUSTERILER!$C$7:$C$106,MATCH($C209,MUSTERILER!$B$7:$B$106,0))))</f>
        <v/>
      </c>
      <c r="O209" s="6" t="n"/>
      <c r="P209" s="6" t="n"/>
      <c r="Q209" s="3">
        <f>IF($D209="","",$C209&amp;"|"&amp;COUNTIFS($C$7:$C209,$C209))</f>
        <v/>
      </c>
    </row>
    <row r="210">
      <c r="A210" s="6" t="n"/>
      <c r="B210" s="113">
        <f>IF($D210="","","T"&amp;TEXT(ROW()-6,"00000"))</f>
        <v/>
      </c>
      <c r="C210" s="113">
        <f>IF($D210="","",IFERROR(INDEX(MUSTERILER!$B$7:$B$106,MATCH($D210,MUSTERILER!$C$7:$C$106,0)),IFERROR(INDEX(MUSTERILER!$B$7:$B$106,MATCH($D210,MUSTERILER!$B$7:$B$106,0)),IFERROR(INDEX(MUSTERILER!$B$7:$B$106,MATCH($D210&amp;"*",MUSTERILER!$C$7:$C$106,0)),"TANIMSIZ MÜŞTERİ"))))</f>
        <v/>
      </c>
      <c r="D210" s="109" t="n"/>
      <c r="E210" s="225" t="n"/>
      <c r="F210" s="226" t="n"/>
      <c r="G210" s="108" t="n"/>
      <c r="H210" s="108" t="n"/>
      <c r="I210" s="109" t="n"/>
      <c r="J210" s="109" t="n"/>
      <c r="K210" s="109" t="n"/>
      <c r="L210" s="231">
        <f>IF($E210="","",DATE(YEAR($E210),MONTH($E210),1))</f>
        <v/>
      </c>
      <c r="M210" s="113">
        <f>IF($D210="","",IF($C210="TANIMSIZ MÜŞTERİ","HATA",IF(OR($E210="",$F210&lt;=0,$G210=""),"EKSİK",IF($E210&gt;TODAY(),"İLERİ TARİH","UYGUN"))))</f>
        <v/>
      </c>
      <c r="N210" s="121">
        <f>IF($C210="","",IF($C210="TANIMSIZ MÜŞTERİ","—",INDEX(MUSTERILER!$C$7:$C$106,MATCH($C210,MUSTERILER!$B$7:$B$106,0))))</f>
        <v/>
      </c>
      <c r="O210" s="6" t="n"/>
      <c r="P210" s="6" t="n"/>
      <c r="Q210" s="3">
        <f>IF($D210="","",$C210&amp;"|"&amp;COUNTIFS($C$7:$C210,$C210))</f>
        <v/>
      </c>
    </row>
    <row r="211">
      <c r="A211" s="6" t="n"/>
      <c r="B211" s="113">
        <f>IF($D211="","","T"&amp;TEXT(ROW()-6,"00000"))</f>
        <v/>
      </c>
      <c r="C211" s="113">
        <f>IF($D211="","",IFERROR(INDEX(MUSTERILER!$B$7:$B$106,MATCH($D211,MUSTERILER!$C$7:$C$106,0)),IFERROR(INDEX(MUSTERILER!$B$7:$B$106,MATCH($D211,MUSTERILER!$B$7:$B$106,0)),IFERROR(INDEX(MUSTERILER!$B$7:$B$106,MATCH($D211&amp;"*",MUSTERILER!$C$7:$C$106,0)),"TANIMSIZ MÜŞTERİ"))))</f>
        <v/>
      </c>
      <c r="D211" s="109" t="n"/>
      <c r="E211" s="225" t="n"/>
      <c r="F211" s="226" t="n"/>
      <c r="G211" s="108" t="n"/>
      <c r="H211" s="108" t="n"/>
      <c r="I211" s="109" t="n"/>
      <c r="J211" s="109" t="n"/>
      <c r="K211" s="109" t="n"/>
      <c r="L211" s="231">
        <f>IF($E211="","",DATE(YEAR($E211),MONTH($E211),1))</f>
        <v/>
      </c>
      <c r="M211" s="113">
        <f>IF($D211="","",IF($C211="TANIMSIZ MÜŞTERİ","HATA",IF(OR($E211="",$F211&lt;=0,$G211=""),"EKSİK",IF($E211&gt;TODAY(),"İLERİ TARİH","UYGUN"))))</f>
        <v/>
      </c>
      <c r="N211" s="121">
        <f>IF($C211="","",IF($C211="TANIMSIZ MÜŞTERİ","—",INDEX(MUSTERILER!$C$7:$C$106,MATCH($C211,MUSTERILER!$B$7:$B$106,0))))</f>
        <v/>
      </c>
      <c r="O211" s="6" t="n"/>
      <c r="P211" s="6" t="n"/>
      <c r="Q211" s="3">
        <f>IF($D211="","",$C211&amp;"|"&amp;COUNTIFS($C$7:$C211,$C211))</f>
        <v/>
      </c>
    </row>
    <row r="212">
      <c r="A212" s="6" t="n"/>
      <c r="B212" s="113">
        <f>IF($D212="","","T"&amp;TEXT(ROW()-6,"00000"))</f>
        <v/>
      </c>
      <c r="C212" s="113">
        <f>IF($D212="","",IFERROR(INDEX(MUSTERILER!$B$7:$B$106,MATCH($D212,MUSTERILER!$C$7:$C$106,0)),IFERROR(INDEX(MUSTERILER!$B$7:$B$106,MATCH($D212,MUSTERILER!$B$7:$B$106,0)),IFERROR(INDEX(MUSTERILER!$B$7:$B$106,MATCH($D212&amp;"*",MUSTERILER!$C$7:$C$106,0)),"TANIMSIZ MÜŞTERİ"))))</f>
        <v/>
      </c>
      <c r="D212" s="109" t="n"/>
      <c r="E212" s="225" t="n"/>
      <c r="F212" s="226" t="n"/>
      <c r="G212" s="108" t="n"/>
      <c r="H212" s="108" t="n"/>
      <c r="I212" s="109" t="n"/>
      <c r="J212" s="109" t="n"/>
      <c r="K212" s="109" t="n"/>
      <c r="L212" s="231">
        <f>IF($E212="","",DATE(YEAR($E212),MONTH($E212),1))</f>
        <v/>
      </c>
      <c r="M212" s="113">
        <f>IF($D212="","",IF($C212="TANIMSIZ MÜŞTERİ","HATA",IF(OR($E212="",$F212&lt;=0,$G212=""),"EKSİK",IF($E212&gt;TODAY(),"İLERİ TARİH","UYGUN"))))</f>
        <v/>
      </c>
      <c r="N212" s="121">
        <f>IF($C212="","",IF($C212="TANIMSIZ MÜŞTERİ","—",INDEX(MUSTERILER!$C$7:$C$106,MATCH($C212,MUSTERILER!$B$7:$B$106,0))))</f>
        <v/>
      </c>
      <c r="O212" s="6" t="n"/>
      <c r="P212" s="6" t="n"/>
      <c r="Q212" s="3">
        <f>IF($D212="","",$C212&amp;"|"&amp;COUNTIFS($C$7:$C212,$C212))</f>
        <v/>
      </c>
    </row>
    <row r="213">
      <c r="A213" s="6" t="n"/>
      <c r="B213" s="113">
        <f>IF($D213="","","T"&amp;TEXT(ROW()-6,"00000"))</f>
        <v/>
      </c>
      <c r="C213" s="113">
        <f>IF($D213="","",IFERROR(INDEX(MUSTERILER!$B$7:$B$106,MATCH($D213,MUSTERILER!$C$7:$C$106,0)),IFERROR(INDEX(MUSTERILER!$B$7:$B$106,MATCH($D213,MUSTERILER!$B$7:$B$106,0)),IFERROR(INDEX(MUSTERILER!$B$7:$B$106,MATCH($D213&amp;"*",MUSTERILER!$C$7:$C$106,0)),"TANIMSIZ MÜŞTERİ"))))</f>
        <v/>
      </c>
      <c r="D213" s="109" t="n"/>
      <c r="E213" s="225" t="n"/>
      <c r="F213" s="226" t="n"/>
      <c r="G213" s="108" t="n"/>
      <c r="H213" s="108" t="n"/>
      <c r="I213" s="109" t="n"/>
      <c r="J213" s="109" t="n"/>
      <c r="K213" s="109" t="n"/>
      <c r="L213" s="231">
        <f>IF($E213="","",DATE(YEAR($E213),MONTH($E213),1))</f>
        <v/>
      </c>
      <c r="M213" s="113">
        <f>IF($D213="","",IF($C213="TANIMSIZ MÜŞTERİ","HATA",IF(OR($E213="",$F213&lt;=0,$G213=""),"EKSİK",IF($E213&gt;TODAY(),"İLERİ TARİH","UYGUN"))))</f>
        <v/>
      </c>
      <c r="N213" s="121">
        <f>IF($C213="","",IF($C213="TANIMSIZ MÜŞTERİ","—",INDEX(MUSTERILER!$C$7:$C$106,MATCH($C213,MUSTERILER!$B$7:$B$106,0))))</f>
        <v/>
      </c>
      <c r="O213" s="6" t="n"/>
      <c r="P213" s="6" t="n"/>
      <c r="Q213" s="3">
        <f>IF($D213="","",$C213&amp;"|"&amp;COUNTIFS($C$7:$C213,$C213))</f>
        <v/>
      </c>
    </row>
    <row r="214">
      <c r="A214" s="6" t="n"/>
      <c r="B214" s="113">
        <f>IF($D214="","","T"&amp;TEXT(ROW()-6,"00000"))</f>
        <v/>
      </c>
      <c r="C214" s="113">
        <f>IF($D214="","",IFERROR(INDEX(MUSTERILER!$B$7:$B$106,MATCH($D214,MUSTERILER!$C$7:$C$106,0)),IFERROR(INDEX(MUSTERILER!$B$7:$B$106,MATCH($D214,MUSTERILER!$B$7:$B$106,0)),IFERROR(INDEX(MUSTERILER!$B$7:$B$106,MATCH($D214&amp;"*",MUSTERILER!$C$7:$C$106,0)),"TANIMSIZ MÜŞTERİ"))))</f>
        <v/>
      </c>
      <c r="D214" s="109" t="n"/>
      <c r="E214" s="225" t="n"/>
      <c r="F214" s="226" t="n"/>
      <c r="G214" s="108" t="n"/>
      <c r="H214" s="108" t="n"/>
      <c r="I214" s="109" t="n"/>
      <c r="J214" s="109" t="n"/>
      <c r="K214" s="109" t="n"/>
      <c r="L214" s="231">
        <f>IF($E214="","",DATE(YEAR($E214),MONTH($E214),1))</f>
        <v/>
      </c>
      <c r="M214" s="113">
        <f>IF($D214="","",IF($C214="TANIMSIZ MÜŞTERİ","HATA",IF(OR($E214="",$F214&lt;=0,$G214=""),"EKSİK",IF($E214&gt;TODAY(),"İLERİ TARİH","UYGUN"))))</f>
        <v/>
      </c>
      <c r="N214" s="121">
        <f>IF($C214="","",IF($C214="TANIMSIZ MÜŞTERİ","—",INDEX(MUSTERILER!$C$7:$C$106,MATCH($C214,MUSTERILER!$B$7:$B$106,0))))</f>
        <v/>
      </c>
      <c r="O214" s="6" t="n"/>
      <c r="P214" s="6" t="n"/>
      <c r="Q214" s="3">
        <f>IF($D214="","",$C214&amp;"|"&amp;COUNTIFS($C$7:$C214,$C214))</f>
        <v/>
      </c>
    </row>
    <row r="215">
      <c r="A215" s="6" t="n"/>
      <c r="B215" s="113">
        <f>IF($D215="","","T"&amp;TEXT(ROW()-6,"00000"))</f>
        <v/>
      </c>
      <c r="C215" s="113">
        <f>IF($D215="","",IFERROR(INDEX(MUSTERILER!$B$7:$B$106,MATCH($D215,MUSTERILER!$C$7:$C$106,0)),IFERROR(INDEX(MUSTERILER!$B$7:$B$106,MATCH($D215,MUSTERILER!$B$7:$B$106,0)),IFERROR(INDEX(MUSTERILER!$B$7:$B$106,MATCH($D215&amp;"*",MUSTERILER!$C$7:$C$106,0)),"TANIMSIZ MÜŞTERİ"))))</f>
        <v/>
      </c>
      <c r="D215" s="109" t="n"/>
      <c r="E215" s="225" t="n"/>
      <c r="F215" s="226" t="n"/>
      <c r="G215" s="108" t="n"/>
      <c r="H215" s="108" t="n"/>
      <c r="I215" s="109" t="n"/>
      <c r="J215" s="109" t="n"/>
      <c r="K215" s="109" t="n"/>
      <c r="L215" s="231">
        <f>IF($E215="","",DATE(YEAR($E215),MONTH($E215),1))</f>
        <v/>
      </c>
      <c r="M215" s="113">
        <f>IF($D215="","",IF($C215="TANIMSIZ MÜŞTERİ","HATA",IF(OR($E215="",$F215&lt;=0,$G215=""),"EKSİK",IF($E215&gt;TODAY(),"İLERİ TARİH","UYGUN"))))</f>
        <v/>
      </c>
      <c r="N215" s="121">
        <f>IF($C215="","",IF($C215="TANIMSIZ MÜŞTERİ","—",INDEX(MUSTERILER!$C$7:$C$106,MATCH($C215,MUSTERILER!$B$7:$B$106,0))))</f>
        <v/>
      </c>
      <c r="O215" s="6" t="n"/>
      <c r="P215" s="6" t="n"/>
      <c r="Q215" s="3">
        <f>IF($D215="","",$C215&amp;"|"&amp;COUNTIFS($C$7:$C215,$C215))</f>
        <v/>
      </c>
    </row>
    <row r="216">
      <c r="A216" s="6" t="n"/>
      <c r="B216" s="113">
        <f>IF($D216="","","T"&amp;TEXT(ROW()-6,"00000"))</f>
        <v/>
      </c>
      <c r="C216" s="113">
        <f>IF($D216="","",IFERROR(INDEX(MUSTERILER!$B$7:$B$106,MATCH($D216,MUSTERILER!$C$7:$C$106,0)),IFERROR(INDEX(MUSTERILER!$B$7:$B$106,MATCH($D216,MUSTERILER!$B$7:$B$106,0)),IFERROR(INDEX(MUSTERILER!$B$7:$B$106,MATCH($D216&amp;"*",MUSTERILER!$C$7:$C$106,0)),"TANIMSIZ MÜŞTERİ"))))</f>
        <v/>
      </c>
      <c r="D216" s="109" t="n"/>
      <c r="E216" s="225" t="n"/>
      <c r="F216" s="226" t="n"/>
      <c r="G216" s="108" t="n"/>
      <c r="H216" s="108" t="n"/>
      <c r="I216" s="109" t="n"/>
      <c r="J216" s="109" t="n"/>
      <c r="K216" s="109" t="n"/>
      <c r="L216" s="231">
        <f>IF($E216="","",DATE(YEAR($E216),MONTH($E216),1))</f>
        <v/>
      </c>
      <c r="M216" s="113">
        <f>IF($D216="","",IF($C216="TANIMSIZ MÜŞTERİ","HATA",IF(OR($E216="",$F216&lt;=0,$G216=""),"EKSİK",IF($E216&gt;TODAY(),"İLERİ TARİH","UYGUN"))))</f>
        <v/>
      </c>
      <c r="N216" s="121">
        <f>IF($C216="","",IF($C216="TANIMSIZ MÜŞTERİ","—",INDEX(MUSTERILER!$C$7:$C$106,MATCH($C216,MUSTERILER!$B$7:$B$106,0))))</f>
        <v/>
      </c>
      <c r="O216" s="6" t="n"/>
      <c r="P216" s="6" t="n"/>
      <c r="Q216" s="3">
        <f>IF($D216="","",$C216&amp;"|"&amp;COUNTIFS($C$7:$C216,$C216))</f>
        <v/>
      </c>
    </row>
    <row r="217">
      <c r="A217" s="6" t="n"/>
      <c r="B217" s="113">
        <f>IF($D217="","","T"&amp;TEXT(ROW()-6,"00000"))</f>
        <v/>
      </c>
      <c r="C217" s="113">
        <f>IF($D217="","",IFERROR(INDEX(MUSTERILER!$B$7:$B$106,MATCH($D217,MUSTERILER!$C$7:$C$106,0)),IFERROR(INDEX(MUSTERILER!$B$7:$B$106,MATCH($D217,MUSTERILER!$B$7:$B$106,0)),IFERROR(INDEX(MUSTERILER!$B$7:$B$106,MATCH($D217&amp;"*",MUSTERILER!$C$7:$C$106,0)),"TANIMSIZ MÜŞTERİ"))))</f>
        <v/>
      </c>
      <c r="D217" s="109" t="n"/>
      <c r="E217" s="225" t="n"/>
      <c r="F217" s="226" t="n"/>
      <c r="G217" s="108" t="n"/>
      <c r="H217" s="108" t="n"/>
      <c r="I217" s="109" t="n"/>
      <c r="J217" s="109" t="n"/>
      <c r="K217" s="109" t="n"/>
      <c r="L217" s="231">
        <f>IF($E217="","",DATE(YEAR($E217),MONTH($E217),1))</f>
        <v/>
      </c>
      <c r="M217" s="113">
        <f>IF($D217="","",IF($C217="TANIMSIZ MÜŞTERİ","HATA",IF(OR($E217="",$F217&lt;=0,$G217=""),"EKSİK",IF($E217&gt;TODAY(),"İLERİ TARİH","UYGUN"))))</f>
        <v/>
      </c>
      <c r="N217" s="121">
        <f>IF($C217="","",IF($C217="TANIMSIZ MÜŞTERİ","—",INDEX(MUSTERILER!$C$7:$C$106,MATCH($C217,MUSTERILER!$B$7:$B$106,0))))</f>
        <v/>
      </c>
      <c r="O217" s="6" t="n"/>
      <c r="P217" s="6" t="n"/>
      <c r="Q217" s="3">
        <f>IF($D217="","",$C217&amp;"|"&amp;COUNTIFS($C$7:$C217,$C217))</f>
        <v/>
      </c>
    </row>
    <row r="218">
      <c r="A218" s="6" t="n"/>
      <c r="B218" s="113">
        <f>IF($D218="","","T"&amp;TEXT(ROW()-6,"00000"))</f>
        <v/>
      </c>
      <c r="C218" s="113">
        <f>IF($D218="","",IFERROR(INDEX(MUSTERILER!$B$7:$B$106,MATCH($D218,MUSTERILER!$C$7:$C$106,0)),IFERROR(INDEX(MUSTERILER!$B$7:$B$106,MATCH($D218,MUSTERILER!$B$7:$B$106,0)),IFERROR(INDEX(MUSTERILER!$B$7:$B$106,MATCH($D218&amp;"*",MUSTERILER!$C$7:$C$106,0)),"TANIMSIZ MÜŞTERİ"))))</f>
        <v/>
      </c>
      <c r="D218" s="109" t="n"/>
      <c r="E218" s="225" t="n"/>
      <c r="F218" s="226" t="n"/>
      <c r="G218" s="108" t="n"/>
      <c r="H218" s="108" t="n"/>
      <c r="I218" s="109" t="n"/>
      <c r="J218" s="109" t="n"/>
      <c r="K218" s="109" t="n"/>
      <c r="L218" s="231">
        <f>IF($E218="","",DATE(YEAR($E218),MONTH($E218),1))</f>
        <v/>
      </c>
      <c r="M218" s="113">
        <f>IF($D218="","",IF($C218="TANIMSIZ MÜŞTERİ","HATA",IF(OR($E218="",$F218&lt;=0,$G218=""),"EKSİK",IF($E218&gt;TODAY(),"İLERİ TARİH","UYGUN"))))</f>
        <v/>
      </c>
      <c r="N218" s="121">
        <f>IF($C218="","",IF($C218="TANIMSIZ MÜŞTERİ","—",INDEX(MUSTERILER!$C$7:$C$106,MATCH($C218,MUSTERILER!$B$7:$B$106,0))))</f>
        <v/>
      </c>
      <c r="O218" s="6" t="n"/>
      <c r="P218" s="6" t="n"/>
      <c r="Q218" s="3">
        <f>IF($D218="","",$C218&amp;"|"&amp;COUNTIFS($C$7:$C218,$C218))</f>
        <v/>
      </c>
    </row>
    <row r="219">
      <c r="A219" s="6" t="n"/>
      <c r="B219" s="113">
        <f>IF($D219="","","T"&amp;TEXT(ROW()-6,"00000"))</f>
        <v/>
      </c>
      <c r="C219" s="113">
        <f>IF($D219="","",IFERROR(INDEX(MUSTERILER!$B$7:$B$106,MATCH($D219,MUSTERILER!$C$7:$C$106,0)),IFERROR(INDEX(MUSTERILER!$B$7:$B$106,MATCH($D219,MUSTERILER!$B$7:$B$106,0)),IFERROR(INDEX(MUSTERILER!$B$7:$B$106,MATCH($D219&amp;"*",MUSTERILER!$C$7:$C$106,0)),"TANIMSIZ MÜŞTERİ"))))</f>
        <v/>
      </c>
      <c r="D219" s="109" t="n"/>
      <c r="E219" s="225" t="n"/>
      <c r="F219" s="226" t="n"/>
      <c r="G219" s="108" t="n"/>
      <c r="H219" s="108" t="n"/>
      <c r="I219" s="109" t="n"/>
      <c r="J219" s="109" t="n"/>
      <c r="K219" s="109" t="n"/>
      <c r="L219" s="231">
        <f>IF($E219="","",DATE(YEAR($E219),MONTH($E219),1))</f>
        <v/>
      </c>
      <c r="M219" s="113">
        <f>IF($D219="","",IF($C219="TANIMSIZ MÜŞTERİ","HATA",IF(OR($E219="",$F219&lt;=0,$G219=""),"EKSİK",IF($E219&gt;TODAY(),"İLERİ TARİH","UYGUN"))))</f>
        <v/>
      </c>
      <c r="N219" s="121">
        <f>IF($C219="","",IF($C219="TANIMSIZ MÜŞTERİ","—",INDEX(MUSTERILER!$C$7:$C$106,MATCH($C219,MUSTERILER!$B$7:$B$106,0))))</f>
        <v/>
      </c>
      <c r="O219" s="6" t="n"/>
      <c r="P219" s="6" t="n"/>
      <c r="Q219" s="3">
        <f>IF($D219="","",$C219&amp;"|"&amp;COUNTIFS($C$7:$C219,$C219))</f>
        <v/>
      </c>
    </row>
    <row r="220">
      <c r="A220" s="6" t="n"/>
      <c r="B220" s="113">
        <f>IF($D220="","","T"&amp;TEXT(ROW()-6,"00000"))</f>
        <v/>
      </c>
      <c r="C220" s="113">
        <f>IF($D220="","",IFERROR(INDEX(MUSTERILER!$B$7:$B$106,MATCH($D220,MUSTERILER!$C$7:$C$106,0)),IFERROR(INDEX(MUSTERILER!$B$7:$B$106,MATCH($D220,MUSTERILER!$B$7:$B$106,0)),IFERROR(INDEX(MUSTERILER!$B$7:$B$106,MATCH($D220&amp;"*",MUSTERILER!$C$7:$C$106,0)),"TANIMSIZ MÜŞTERİ"))))</f>
        <v/>
      </c>
      <c r="D220" s="109" t="n"/>
      <c r="E220" s="225" t="n"/>
      <c r="F220" s="226" t="n"/>
      <c r="G220" s="108" t="n"/>
      <c r="H220" s="108" t="n"/>
      <c r="I220" s="109" t="n"/>
      <c r="J220" s="109" t="n"/>
      <c r="K220" s="109" t="n"/>
      <c r="L220" s="231">
        <f>IF($E220="","",DATE(YEAR($E220),MONTH($E220),1))</f>
        <v/>
      </c>
      <c r="M220" s="113">
        <f>IF($D220="","",IF($C220="TANIMSIZ MÜŞTERİ","HATA",IF(OR($E220="",$F220&lt;=0,$G220=""),"EKSİK",IF($E220&gt;TODAY(),"İLERİ TARİH","UYGUN"))))</f>
        <v/>
      </c>
      <c r="N220" s="121">
        <f>IF($C220="","",IF($C220="TANIMSIZ MÜŞTERİ","—",INDEX(MUSTERILER!$C$7:$C$106,MATCH($C220,MUSTERILER!$B$7:$B$106,0))))</f>
        <v/>
      </c>
      <c r="O220" s="6" t="n"/>
      <c r="P220" s="6" t="n"/>
      <c r="Q220" s="3">
        <f>IF($D220="","",$C220&amp;"|"&amp;COUNTIFS($C$7:$C220,$C220))</f>
        <v/>
      </c>
    </row>
    <row r="221">
      <c r="A221" s="6" t="n"/>
      <c r="B221" s="113">
        <f>IF($D221="","","T"&amp;TEXT(ROW()-6,"00000"))</f>
        <v/>
      </c>
      <c r="C221" s="113">
        <f>IF($D221="","",IFERROR(INDEX(MUSTERILER!$B$7:$B$106,MATCH($D221,MUSTERILER!$C$7:$C$106,0)),IFERROR(INDEX(MUSTERILER!$B$7:$B$106,MATCH($D221,MUSTERILER!$B$7:$B$106,0)),IFERROR(INDEX(MUSTERILER!$B$7:$B$106,MATCH($D221&amp;"*",MUSTERILER!$C$7:$C$106,0)),"TANIMSIZ MÜŞTERİ"))))</f>
        <v/>
      </c>
      <c r="D221" s="109" t="n"/>
      <c r="E221" s="225" t="n"/>
      <c r="F221" s="226" t="n"/>
      <c r="G221" s="108" t="n"/>
      <c r="H221" s="108" t="n"/>
      <c r="I221" s="109" t="n"/>
      <c r="J221" s="109" t="n"/>
      <c r="K221" s="109" t="n"/>
      <c r="L221" s="231">
        <f>IF($E221="","",DATE(YEAR($E221),MONTH($E221),1))</f>
        <v/>
      </c>
      <c r="M221" s="113">
        <f>IF($D221="","",IF($C221="TANIMSIZ MÜŞTERİ","HATA",IF(OR($E221="",$F221&lt;=0,$G221=""),"EKSİK",IF($E221&gt;TODAY(),"İLERİ TARİH","UYGUN"))))</f>
        <v/>
      </c>
      <c r="N221" s="121">
        <f>IF($C221="","",IF($C221="TANIMSIZ MÜŞTERİ","—",INDEX(MUSTERILER!$C$7:$C$106,MATCH($C221,MUSTERILER!$B$7:$B$106,0))))</f>
        <v/>
      </c>
      <c r="O221" s="6" t="n"/>
      <c r="P221" s="6" t="n"/>
      <c r="Q221" s="3">
        <f>IF($D221="","",$C221&amp;"|"&amp;COUNTIFS($C$7:$C221,$C221))</f>
        <v/>
      </c>
    </row>
    <row r="222">
      <c r="A222" s="6" t="n"/>
      <c r="B222" s="113">
        <f>IF($D222="","","T"&amp;TEXT(ROW()-6,"00000"))</f>
        <v/>
      </c>
      <c r="C222" s="113">
        <f>IF($D222="","",IFERROR(INDEX(MUSTERILER!$B$7:$B$106,MATCH($D222,MUSTERILER!$C$7:$C$106,0)),IFERROR(INDEX(MUSTERILER!$B$7:$B$106,MATCH($D222,MUSTERILER!$B$7:$B$106,0)),IFERROR(INDEX(MUSTERILER!$B$7:$B$106,MATCH($D222&amp;"*",MUSTERILER!$C$7:$C$106,0)),"TANIMSIZ MÜŞTERİ"))))</f>
        <v/>
      </c>
      <c r="D222" s="109" t="n"/>
      <c r="E222" s="225" t="n"/>
      <c r="F222" s="226" t="n"/>
      <c r="G222" s="108" t="n"/>
      <c r="H222" s="108" t="n"/>
      <c r="I222" s="109" t="n"/>
      <c r="J222" s="109" t="n"/>
      <c r="K222" s="109" t="n"/>
      <c r="L222" s="231">
        <f>IF($E222="","",DATE(YEAR($E222),MONTH($E222),1))</f>
        <v/>
      </c>
      <c r="M222" s="113">
        <f>IF($D222="","",IF($C222="TANIMSIZ MÜŞTERİ","HATA",IF(OR($E222="",$F222&lt;=0,$G222=""),"EKSİK",IF($E222&gt;TODAY(),"İLERİ TARİH","UYGUN"))))</f>
        <v/>
      </c>
      <c r="N222" s="121">
        <f>IF($C222="","",IF($C222="TANIMSIZ MÜŞTERİ","—",INDEX(MUSTERILER!$C$7:$C$106,MATCH($C222,MUSTERILER!$B$7:$B$106,0))))</f>
        <v/>
      </c>
      <c r="O222" s="6" t="n"/>
      <c r="P222" s="6" t="n"/>
      <c r="Q222" s="3">
        <f>IF($D222="","",$C222&amp;"|"&amp;COUNTIFS($C$7:$C222,$C222))</f>
        <v/>
      </c>
    </row>
    <row r="223">
      <c r="A223" s="6" t="n"/>
      <c r="B223" s="113">
        <f>IF($D223="","","T"&amp;TEXT(ROW()-6,"00000"))</f>
        <v/>
      </c>
      <c r="C223" s="113">
        <f>IF($D223="","",IFERROR(INDEX(MUSTERILER!$B$7:$B$106,MATCH($D223,MUSTERILER!$C$7:$C$106,0)),IFERROR(INDEX(MUSTERILER!$B$7:$B$106,MATCH($D223,MUSTERILER!$B$7:$B$106,0)),IFERROR(INDEX(MUSTERILER!$B$7:$B$106,MATCH($D223&amp;"*",MUSTERILER!$C$7:$C$106,0)),"TANIMSIZ MÜŞTERİ"))))</f>
        <v/>
      </c>
      <c r="D223" s="109" t="n"/>
      <c r="E223" s="225" t="n"/>
      <c r="F223" s="226" t="n"/>
      <c r="G223" s="108" t="n"/>
      <c r="H223" s="108" t="n"/>
      <c r="I223" s="109" t="n"/>
      <c r="J223" s="109" t="n"/>
      <c r="K223" s="109" t="n"/>
      <c r="L223" s="231">
        <f>IF($E223="","",DATE(YEAR($E223),MONTH($E223),1))</f>
        <v/>
      </c>
      <c r="M223" s="113">
        <f>IF($D223="","",IF($C223="TANIMSIZ MÜŞTERİ","HATA",IF(OR($E223="",$F223&lt;=0,$G223=""),"EKSİK",IF($E223&gt;TODAY(),"İLERİ TARİH","UYGUN"))))</f>
        <v/>
      </c>
      <c r="N223" s="121">
        <f>IF($C223="","",IF($C223="TANIMSIZ MÜŞTERİ","—",INDEX(MUSTERILER!$C$7:$C$106,MATCH($C223,MUSTERILER!$B$7:$B$106,0))))</f>
        <v/>
      </c>
      <c r="O223" s="6" t="n"/>
      <c r="P223" s="6" t="n"/>
      <c r="Q223" s="3">
        <f>IF($D223="","",$C223&amp;"|"&amp;COUNTIFS($C$7:$C223,$C223))</f>
        <v/>
      </c>
    </row>
    <row r="224">
      <c r="A224" s="6" t="n"/>
      <c r="B224" s="113">
        <f>IF($D224="","","T"&amp;TEXT(ROW()-6,"00000"))</f>
        <v/>
      </c>
      <c r="C224" s="113">
        <f>IF($D224="","",IFERROR(INDEX(MUSTERILER!$B$7:$B$106,MATCH($D224,MUSTERILER!$C$7:$C$106,0)),IFERROR(INDEX(MUSTERILER!$B$7:$B$106,MATCH($D224,MUSTERILER!$B$7:$B$106,0)),IFERROR(INDEX(MUSTERILER!$B$7:$B$106,MATCH($D224&amp;"*",MUSTERILER!$C$7:$C$106,0)),"TANIMSIZ MÜŞTERİ"))))</f>
        <v/>
      </c>
      <c r="D224" s="109" t="n"/>
      <c r="E224" s="225" t="n"/>
      <c r="F224" s="226" t="n"/>
      <c r="G224" s="108" t="n"/>
      <c r="H224" s="108" t="n"/>
      <c r="I224" s="109" t="n"/>
      <c r="J224" s="109" t="n"/>
      <c r="K224" s="109" t="n"/>
      <c r="L224" s="231">
        <f>IF($E224="","",DATE(YEAR($E224),MONTH($E224),1))</f>
        <v/>
      </c>
      <c r="M224" s="113">
        <f>IF($D224="","",IF($C224="TANIMSIZ MÜŞTERİ","HATA",IF(OR($E224="",$F224&lt;=0,$G224=""),"EKSİK",IF($E224&gt;TODAY(),"İLERİ TARİH","UYGUN"))))</f>
        <v/>
      </c>
      <c r="N224" s="121">
        <f>IF($C224="","",IF($C224="TANIMSIZ MÜŞTERİ","—",INDEX(MUSTERILER!$C$7:$C$106,MATCH($C224,MUSTERILER!$B$7:$B$106,0))))</f>
        <v/>
      </c>
      <c r="O224" s="6" t="n"/>
      <c r="P224" s="6" t="n"/>
      <c r="Q224" s="3">
        <f>IF($D224="","",$C224&amp;"|"&amp;COUNTIFS($C$7:$C224,$C224))</f>
        <v/>
      </c>
    </row>
    <row r="225">
      <c r="A225" s="6" t="n"/>
      <c r="B225" s="113">
        <f>IF($D225="","","T"&amp;TEXT(ROW()-6,"00000"))</f>
        <v/>
      </c>
      <c r="C225" s="113">
        <f>IF($D225="","",IFERROR(INDEX(MUSTERILER!$B$7:$B$106,MATCH($D225,MUSTERILER!$C$7:$C$106,0)),IFERROR(INDEX(MUSTERILER!$B$7:$B$106,MATCH($D225,MUSTERILER!$B$7:$B$106,0)),IFERROR(INDEX(MUSTERILER!$B$7:$B$106,MATCH($D225&amp;"*",MUSTERILER!$C$7:$C$106,0)),"TANIMSIZ MÜŞTERİ"))))</f>
        <v/>
      </c>
      <c r="D225" s="109" t="n"/>
      <c r="E225" s="225" t="n"/>
      <c r="F225" s="226" t="n"/>
      <c r="G225" s="108" t="n"/>
      <c r="H225" s="108" t="n"/>
      <c r="I225" s="109" t="n"/>
      <c r="J225" s="109" t="n"/>
      <c r="K225" s="109" t="n"/>
      <c r="L225" s="231">
        <f>IF($E225="","",DATE(YEAR($E225),MONTH($E225),1))</f>
        <v/>
      </c>
      <c r="M225" s="113">
        <f>IF($D225="","",IF($C225="TANIMSIZ MÜŞTERİ","HATA",IF(OR($E225="",$F225&lt;=0,$G225=""),"EKSİK",IF($E225&gt;TODAY(),"İLERİ TARİH","UYGUN"))))</f>
        <v/>
      </c>
      <c r="N225" s="121">
        <f>IF($C225="","",IF($C225="TANIMSIZ MÜŞTERİ","—",INDEX(MUSTERILER!$C$7:$C$106,MATCH($C225,MUSTERILER!$B$7:$B$106,0))))</f>
        <v/>
      </c>
      <c r="O225" s="6" t="n"/>
      <c r="P225" s="6" t="n"/>
      <c r="Q225" s="3">
        <f>IF($D225="","",$C225&amp;"|"&amp;COUNTIFS($C$7:$C225,$C225))</f>
        <v/>
      </c>
    </row>
    <row r="226">
      <c r="A226" s="6" t="n"/>
      <c r="B226" s="113">
        <f>IF($D226="","","T"&amp;TEXT(ROW()-6,"00000"))</f>
        <v/>
      </c>
      <c r="C226" s="113">
        <f>IF($D226="","",IFERROR(INDEX(MUSTERILER!$B$7:$B$106,MATCH($D226,MUSTERILER!$C$7:$C$106,0)),IFERROR(INDEX(MUSTERILER!$B$7:$B$106,MATCH($D226,MUSTERILER!$B$7:$B$106,0)),IFERROR(INDEX(MUSTERILER!$B$7:$B$106,MATCH($D226&amp;"*",MUSTERILER!$C$7:$C$106,0)),"TANIMSIZ MÜŞTERİ"))))</f>
        <v/>
      </c>
      <c r="D226" s="109" t="n"/>
      <c r="E226" s="225" t="n"/>
      <c r="F226" s="226" t="n"/>
      <c r="G226" s="108" t="n"/>
      <c r="H226" s="108" t="n"/>
      <c r="I226" s="109" t="n"/>
      <c r="J226" s="109" t="n"/>
      <c r="K226" s="109" t="n"/>
      <c r="L226" s="231">
        <f>IF($E226="","",DATE(YEAR($E226),MONTH($E226),1))</f>
        <v/>
      </c>
      <c r="M226" s="113">
        <f>IF($D226="","",IF($C226="TANIMSIZ MÜŞTERİ","HATA",IF(OR($E226="",$F226&lt;=0,$G226=""),"EKSİK",IF($E226&gt;TODAY(),"İLERİ TARİH","UYGUN"))))</f>
        <v/>
      </c>
      <c r="N226" s="121">
        <f>IF($C226="","",IF($C226="TANIMSIZ MÜŞTERİ","—",INDEX(MUSTERILER!$C$7:$C$106,MATCH($C226,MUSTERILER!$B$7:$B$106,0))))</f>
        <v/>
      </c>
      <c r="O226" s="6" t="n"/>
      <c r="P226" s="6" t="n"/>
      <c r="Q226" s="3">
        <f>IF($D226="","",$C226&amp;"|"&amp;COUNTIFS($C$7:$C226,$C226))</f>
        <v/>
      </c>
    </row>
    <row r="227">
      <c r="A227" s="6" t="n"/>
      <c r="B227" s="113">
        <f>IF($D227="","","T"&amp;TEXT(ROW()-6,"00000"))</f>
        <v/>
      </c>
      <c r="C227" s="113">
        <f>IF($D227="","",IFERROR(INDEX(MUSTERILER!$B$7:$B$106,MATCH($D227,MUSTERILER!$C$7:$C$106,0)),IFERROR(INDEX(MUSTERILER!$B$7:$B$106,MATCH($D227,MUSTERILER!$B$7:$B$106,0)),IFERROR(INDEX(MUSTERILER!$B$7:$B$106,MATCH($D227&amp;"*",MUSTERILER!$C$7:$C$106,0)),"TANIMSIZ MÜŞTERİ"))))</f>
        <v/>
      </c>
      <c r="D227" s="109" t="n"/>
      <c r="E227" s="225" t="n"/>
      <c r="F227" s="226" t="n"/>
      <c r="G227" s="108" t="n"/>
      <c r="H227" s="108" t="n"/>
      <c r="I227" s="109" t="n"/>
      <c r="J227" s="109" t="n"/>
      <c r="K227" s="109" t="n"/>
      <c r="L227" s="231">
        <f>IF($E227="","",DATE(YEAR($E227),MONTH($E227),1))</f>
        <v/>
      </c>
      <c r="M227" s="113">
        <f>IF($D227="","",IF($C227="TANIMSIZ MÜŞTERİ","HATA",IF(OR($E227="",$F227&lt;=0,$G227=""),"EKSİK",IF($E227&gt;TODAY(),"İLERİ TARİH","UYGUN"))))</f>
        <v/>
      </c>
      <c r="N227" s="121">
        <f>IF($C227="","",IF($C227="TANIMSIZ MÜŞTERİ","—",INDEX(MUSTERILER!$C$7:$C$106,MATCH($C227,MUSTERILER!$B$7:$B$106,0))))</f>
        <v/>
      </c>
      <c r="O227" s="6" t="n"/>
      <c r="P227" s="6" t="n"/>
      <c r="Q227" s="3">
        <f>IF($D227="","",$C227&amp;"|"&amp;COUNTIFS($C$7:$C227,$C227))</f>
        <v/>
      </c>
    </row>
    <row r="228">
      <c r="A228" s="6" t="n"/>
      <c r="B228" s="113">
        <f>IF($D228="","","T"&amp;TEXT(ROW()-6,"00000"))</f>
        <v/>
      </c>
      <c r="C228" s="113">
        <f>IF($D228="","",IFERROR(INDEX(MUSTERILER!$B$7:$B$106,MATCH($D228,MUSTERILER!$C$7:$C$106,0)),IFERROR(INDEX(MUSTERILER!$B$7:$B$106,MATCH($D228,MUSTERILER!$B$7:$B$106,0)),IFERROR(INDEX(MUSTERILER!$B$7:$B$106,MATCH($D228&amp;"*",MUSTERILER!$C$7:$C$106,0)),"TANIMSIZ MÜŞTERİ"))))</f>
        <v/>
      </c>
      <c r="D228" s="109" t="n"/>
      <c r="E228" s="225" t="n"/>
      <c r="F228" s="226" t="n"/>
      <c r="G228" s="108" t="n"/>
      <c r="H228" s="108" t="n"/>
      <c r="I228" s="109" t="n"/>
      <c r="J228" s="109" t="n"/>
      <c r="K228" s="109" t="n"/>
      <c r="L228" s="231">
        <f>IF($E228="","",DATE(YEAR($E228),MONTH($E228),1))</f>
        <v/>
      </c>
      <c r="M228" s="113">
        <f>IF($D228="","",IF($C228="TANIMSIZ MÜŞTERİ","HATA",IF(OR($E228="",$F228&lt;=0,$G228=""),"EKSİK",IF($E228&gt;TODAY(),"İLERİ TARİH","UYGUN"))))</f>
        <v/>
      </c>
      <c r="N228" s="121">
        <f>IF($C228="","",IF($C228="TANIMSIZ MÜŞTERİ","—",INDEX(MUSTERILER!$C$7:$C$106,MATCH($C228,MUSTERILER!$B$7:$B$106,0))))</f>
        <v/>
      </c>
      <c r="O228" s="6" t="n"/>
      <c r="P228" s="6" t="n"/>
      <c r="Q228" s="3">
        <f>IF($D228="","",$C228&amp;"|"&amp;COUNTIFS($C$7:$C228,$C228))</f>
        <v/>
      </c>
    </row>
    <row r="229">
      <c r="A229" s="6" t="n"/>
      <c r="B229" s="113">
        <f>IF($D229="","","T"&amp;TEXT(ROW()-6,"00000"))</f>
        <v/>
      </c>
      <c r="C229" s="113">
        <f>IF($D229="","",IFERROR(INDEX(MUSTERILER!$B$7:$B$106,MATCH($D229,MUSTERILER!$C$7:$C$106,0)),IFERROR(INDEX(MUSTERILER!$B$7:$B$106,MATCH($D229,MUSTERILER!$B$7:$B$106,0)),IFERROR(INDEX(MUSTERILER!$B$7:$B$106,MATCH($D229&amp;"*",MUSTERILER!$C$7:$C$106,0)),"TANIMSIZ MÜŞTERİ"))))</f>
        <v/>
      </c>
      <c r="D229" s="109" t="n"/>
      <c r="E229" s="225" t="n"/>
      <c r="F229" s="226" t="n"/>
      <c r="G229" s="108" t="n"/>
      <c r="H229" s="108" t="n"/>
      <c r="I229" s="109" t="n"/>
      <c r="J229" s="109" t="n"/>
      <c r="K229" s="109" t="n"/>
      <c r="L229" s="231">
        <f>IF($E229="","",DATE(YEAR($E229),MONTH($E229),1))</f>
        <v/>
      </c>
      <c r="M229" s="113">
        <f>IF($D229="","",IF($C229="TANIMSIZ MÜŞTERİ","HATA",IF(OR($E229="",$F229&lt;=0,$G229=""),"EKSİK",IF($E229&gt;TODAY(),"İLERİ TARİH","UYGUN"))))</f>
        <v/>
      </c>
      <c r="N229" s="121">
        <f>IF($C229="","",IF($C229="TANIMSIZ MÜŞTERİ","—",INDEX(MUSTERILER!$C$7:$C$106,MATCH($C229,MUSTERILER!$B$7:$B$106,0))))</f>
        <v/>
      </c>
      <c r="O229" s="6" t="n"/>
      <c r="P229" s="6" t="n"/>
      <c r="Q229" s="3">
        <f>IF($D229="","",$C229&amp;"|"&amp;COUNTIFS($C$7:$C229,$C229))</f>
        <v/>
      </c>
    </row>
    <row r="230">
      <c r="A230" s="6" t="n"/>
      <c r="B230" s="113">
        <f>IF($D230="","","T"&amp;TEXT(ROW()-6,"00000"))</f>
        <v/>
      </c>
      <c r="C230" s="113">
        <f>IF($D230="","",IFERROR(INDEX(MUSTERILER!$B$7:$B$106,MATCH($D230,MUSTERILER!$C$7:$C$106,0)),IFERROR(INDEX(MUSTERILER!$B$7:$B$106,MATCH($D230,MUSTERILER!$B$7:$B$106,0)),IFERROR(INDEX(MUSTERILER!$B$7:$B$106,MATCH($D230&amp;"*",MUSTERILER!$C$7:$C$106,0)),"TANIMSIZ MÜŞTERİ"))))</f>
        <v/>
      </c>
      <c r="D230" s="109" t="n"/>
      <c r="E230" s="225" t="n"/>
      <c r="F230" s="226" t="n"/>
      <c r="G230" s="108" t="n"/>
      <c r="H230" s="108" t="n"/>
      <c r="I230" s="109" t="n"/>
      <c r="J230" s="109" t="n"/>
      <c r="K230" s="109" t="n"/>
      <c r="L230" s="231">
        <f>IF($E230="","",DATE(YEAR($E230),MONTH($E230),1))</f>
        <v/>
      </c>
      <c r="M230" s="113">
        <f>IF($D230="","",IF($C230="TANIMSIZ MÜŞTERİ","HATA",IF(OR($E230="",$F230&lt;=0,$G230=""),"EKSİK",IF($E230&gt;TODAY(),"İLERİ TARİH","UYGUN"))))</f>
        <v/>
      </c>
      <c r="N230" s="121">
        <f>IF($C230="","",IF($C230="TANIMSIZ MÜŞTERİ","—",INDEX(MUSTERILER!$C$7:$C$106,MATCH($C230,MUSTERILER!$B$7:$B$106,0))))</f>
        <v/>
      </c>
      <c r="O230" s="6" t="n"/>
      <c r="P230" s="6" t="n"/>
      <c r="Q230" s="3">
        <f>IF($D230="","",$C230&amp;"|"&amp;COUNTIFS($C$7:$C230,$C230))</f>
        <v/>
      </c>
    </row>
    <row r="231">
      <c r="A231" s="6" t="n"/>
      <c r="B231" s="113">
        <f>IF($D231="","","T"&amp;TEXT(ROW()-6,"00000"))</f>
        <v/>
      </c>
      <c r="C231" s="113">
        <f>IF($D231="","",IFERROR(INDEX(MUSTERILER!$B$7:$B$106,MATCH($D231,MUSTERILER!$C$7:$C$106,0)),IFERROR(INDEX(MUSTERILER!$B$7:$B$106,MATCH($D231,MUSTERILER!$B$7:$B$106,0)),IFERROR(INDEX(MUSTERILER!$B$7:$B$106,MATCH($D231&amp;"*",MUSTERILER!$C$7:$C$106,0)),"TANIMSIZ MÜŞTERİ"))))</f>
        <v/>
      </c>
      <c r="D231" s="109" t="n"/>
      <c r="E231" s="225" t="n"/>
      <c r="F231" s="226" t="n"/>
      <c r="G231" s="108" t="n"/>
      <c r="H231" s="108" t="n"/>
      <c r="I231" s="109" t="n"/>
      <c r="J231" s="109" t="n"/>
      <c r="K231" s="109" t="n"/>
      <c r="L231" s="231">
        <f>IF($E231="","",DATE(YEAR($E231),MONTH($E231),1))</f>
        <v/>
      </c>
      <c r="M231" s="113">
        <f>IF($D231="","",IF($C231="TANIMSIZ MÜŞTERİ","HATA",IF(OR($E231="",$F231&lt;=0,$G231=""),"EKSİK",IF($E231&gt;TODAY(),"İLERİ TARİH","UYGUN"))))</f>
        <v/>
      </c>
      <c r="N231" s="121">
        <f>IF($C231="","",IF($C231="TANIMSIZ MÜŞTERİ","—",INDEX(MUSTERILER!$C$7:$C$106,MATCH($C231,MUSTERILER!$B$7:$B$106,0))))</f>
        <v/>
      </c>
      <c r="O231" s="6" t="n"/>
      <c r="P231" s="6" t="n"/>
      <c r="Q231" s="3">
        <f>IF($D231="","",$C231&amp;"|"&amp;COUNTIFS($C$7:$C231,$C231))</f>
        <v/>
      </c>
    </row>
    <row r="232">
      <c r="A232" s="6" t="n"/>
      <c r="B232" s="113">
        <f>IF($D232="","","T"&amp;TEXT(ROW()-6,"00000"))</f>
        <v/>
      </c>
      <c r="C232" s="113">
        <f>IF($D232="","",IFERROR(INDEX(MUSTERILER!$B$7:$B$106,MATCH($D232,MUSTERILER!$C$7:$C$106,0)),IFERROR(INDEX(MUSTERILER!$B$7:$B$106,MATCH($D232,MUSTERILER!$B$7:$B$106,0)),IFERROR(INDEX(MUSTERILER!$B$7:$B$106,MATCH($D232&amp;"*",MUSTERILER!$C$7:$C$106,0)),"TANIMSIZ MÜŞTERİ"))))</f>
        <v/>
      </c>
      <c r="D232" s="109" t="n"/>
      <c r="E232" s="225" t="n"/>
      <c r="F232" s="226" t="n"/>
      <c r="G232" s="108" t="n"/>
      <c r="H232" s="108" t="n"/>
      <c r="I232" s="109" t="n"/>
      <c r="J232" s="109" t="n"/>
      <c r="K232" s="109" t="n"/>
      <c r="L232" s="231">
        <f>IF($E232="","",DATE(YEAR($E232),MONTH($E232),1))</f>
        <v/>
      </c>
      <c r="M232" s="113">
        <f>IF($D232="","",IF($C232="TANIMSIZ MÜŞTERİ","HATA",IF(OR($E232="",$F232&lt;=0,$G232=""),"EKSİK",IF($E232&gt;TODAY(),"İLERİ TARİH","UYGUN"))))</f>
        <v/>
      </c>
      <c r="N232" s="121">
        <f>IF($C232="","",IF($C232="TANIMSIZ MÜŞTERİ","—",INDEX(MUSTERILER!$C$7:$C$106,MATCH($C232,MUSTERILER!$B$7:$B$106,0))))</f>
        <v/>
      </c>
      <c r="O232" s="6" t="n"/>
      <c r="P232" s="6" t="n"/>
      <c r="Q232" s="3">
        <f>IF($D232="","",$C232&amp;"|"&amp;COUNTIFS($C$7:$C232,$C232))</f>
        <v/>
      </c>
    </row>
    <row r="233">
      <c r="A233" s="6" t="n"/>
      <c r="B233" s="113">
        <f>IF($D233="","","T"&amp;TEXT(ROW()-6,"00000"))</f>
        <v/>
      </c>
      <c r="C233" s="113">
        <f>IF($D233="","",IFERROR(INDEX(MUSTERILER!$B$7:$B$106,MATCH($D233,MUSTERILER!$C$7:$C$106,0)),IFERROR(INDEX(MUSTERILER!$B$7:$B$106,MATCH($D233,MUSTERILER!$B$7:$B$106,0)),IFERROR(INDEX(MUSTERILER!$B$7:$B$106,MATCH($D233&amp;"*",MUSTERILER!$C$7:$C$106,0)),"TANIMSIZ MÜŞTERİ"))))</f>
        <v/>
      </c>
      <c r="D233" s="109" t="n"/>
      <c r="E233" s="225" t="n"/>
      <c r="F233" s="226" t="n"/>
      <c r="G233" s="108" t="n"/>
      <c r="H233" s="108" t="n"/>
      <c r="I233" s="109" t="n"/>
      <c r="J233" s="109" t="n"/>
      <c r="K233" s="109" t="n"/>
      <c r="L233" s="231">
        <f>IF($E233="","",DATE(YEAR($E233),MONTH($E233),1))</f>
        <v/>
      </c>
      <c r="M233" s="113">
        <f>IF($D233="","",IF($C233="TANIMSIZ MÜŞTERİ","HATA",IF(OR($E233="",$F233&lt;=0,$G233=""),"EKSİK",IF($E233&gt;TODAY(),"İLERİ TARİH","UYGUN"))))</f>
        <v/>
      </c>
      <c r="N233" s="121">
        <f>IF($C233="","",IF($C233="TANIMSIZ MÜŞTERİ","—",INDEX(MUSTERILER!$C$7:$C$106,MATCH($C233,MUSTERILER!$B$7:$B$106,0))))</f>
        <v/>
      </c>
      <c r="O233" s="6" t="n"/>
      <c r="P233" s="6" t="n"/>
      <c r="Q233" s="3">
        <f>IF($D233="","",$C233&amp;"|"&amp;COUNTIFS($C$7:$C233,$C233))</f>
        <v/>
      </c>
    </row>
    <row r="234">
      <c r="A234" s="6" t="n"/>
      <c r="B234" s="113">
        <f>IF($D234="","","T"&amp;TEXT(ROW()-6,"00000"))</f>
        <v/>
      </c>
      <c r="C234" s="113">
        <f>IF($D234="","",IFERROR(INDEX(MUSTERILER!$B$7:$B$106,MATCH($D234,MUSTERILER!$C$7:$C$106,0)),IFERROR(INDEX(MUSTERILER!$B$7:$B$106,MATCH($D234,MUSTERILER!$B$7:$B$106,0)),IFERROR(INDEX(MUSTERILER!$B$7:$B$106,MATCH($D234&amp;"*",MUSTERILER!$C$7:$C$106,0)),"TANIMSIZ MÜŞTERİ"))))</f>
        <v/>
      </c>
      <c r="D234" s="109" t="n"/>
      <c r="E234" s="225" t="n"/>
      <c r="F234" s="226" t="n"/>
      <c r="G234" s="108" t="n"/>
      <c r="H234" s="108" t="n"/>
      <c r="I234" s="109" t="n"/>
      <c r="J234" s="109" t="n"/>
      <c r="K234" s="109" t="n"/>
      <c r="L234" s="231">
        <f>IF($E234="","",DATE(YEAR($E234),MONTH($E234),1))</f>
        <v/>
      </c>
      <c r="M234" s="113">
        <f>IF($D234="","",IF($C234="TANIMSIZ MÜŞTERİ","HATA",IF(OR($E234="",$F234&lt;=0,$G234=""),"EKSİK",IF($E234&gt;TODAY(),"İLERİ TARİH","UYGUN"))))</f>
        <v/>
      </c>
      <c r="N234" s="121">
        <f>IF($C234="","",IF($C234="TANIMSIZ MÜŞTERİ","—",INDEX(MUSTERILER!$C$7:$C$106,MATCH($C234,MUSTERILER!$B$7:$B$106,0))))</f>
        <v/>
      </c>
      <c r="O234" s="6" t="n"/>
      <c r="P234" s="6" t="n"/>
      <c r="Q234" s="3">
        <f>IF($D234="","",$C234&amp;"|"&amp;COUNTIFS($C$7:$C234,$C234))</f>
        <v/>
      </c>
    </row>
    <row r="235">
      <c r="A235" s="6" t="n"/>
      <c r="B235" s="113">
        <f>IF($D235="","","T"&amp;TEXT(ROW()-6,"00000"))</f>
        <v/>
      </c>
      <c r="C235" s="113">
        <f>IF($D235="","",IFERROR(INDEX(MUSTERILER!$B$7:$B$106,MATCH($D235,MUSTERILER!$C$7:$C$106,0)),IFERROR(INDEX(MUSTERILER!$B$7:$B$106,MATCH($D235,MUSTERILER!$B$7:$B$106,0)),IFERROR(INDEX(MUSTERILER!$B$7:$B$106,MATCH($D235&amp;"*",MUSTERILER!$C$7:$C$106,0)),"TANIMSIZ MÜŞTERİ"))))</f>
        <v/>
      </c>
      <c r="D235" s="109" t="n"/>
      <c r="E235" s="225" t="n"/>
      <c r="F235" s="226" t="n"/>
      <c r="G235" s="108" t="n"/>
      <c r="H235" s="108" t="n"/>
      <c r="I235" s="109" t="n"/>
      <c r="J235" s="109" t="n"/>
      <c r="K235" s="109" t="n"/>
      <c r="L235" s="231">
        <f>IF($E235="","",DATE(YEAR($E235),MONTH($E235),1))</f>
        <v/>
      </c>
      <c r="M235" s="113">
        <f>IF($D235="","",IF($C235="TANIMSIZ MÜŞTERİ","HATA",IF(OR($E235="",$F235&lt;=0,$G235=""),"EKSİK",IF($E235&gt;TODAY(),"İLERİ TARİH","UYGUN"))))</f>
        <v/>
      </c>
      <c r="N235" s="121">
        <f>IF($C235="","",IF($C235="TANIMSIZ MÜŞTERİ","—",INDEX(MUSTERILER!$C$7:$C$106,MATCH($C235,MUSTERILER!$B$7:$B$106,0))))</f>
        <v/>
      </c>
      <c r="O235" s="6" t="n"/>
      <c r="P235" s="6" t="n"/>
      <c r="Q235" s="3">
        <f>IF($D235="","",$C235&amp;"|"&amp;COUNTIFS($C$7:$C235,$C235))</f>
        <v/>
      </c>
    </row>
    <row r="236">
      <c r="A236" s="6" t="n"/>
      <c r="B236" s="113">
        <f>IF($D236="","","T"&amp;TEXT(ROW()-6,"00000"))</f>
        <v/>
      </c>
      <c r="C236" s="113">
        <f>IF($D236="","",IFERROR(INDEX(MUSTERILER!$B$7:$B$106,MATCH($D236,MUSTERILER!$C$7:$C$106,0)),IFERROR(INDEX(MUSTERILER!$B$7:$B$106,MATCH($D236,MUSTERILER!$B$7:$B$106,0)),IFERROR(INDEX(MUSTERILER!$B$7:$B$106,MATCH($D236&amp;"*",MUSTERILER!$C$7:$C$106,0)),"TANIMSIZ MÜŞTERİ"))))</f>
        <v/>
      </c>
      <c r="D236" s="109" t="n"/>
      <c r="E236" s="225" t="n"/>
      <c r="F236" s="226" t="n"/>
      <c r="G236" s="108" t="n"/>
      <c r="H236" s="108" t="n"/>
      <c r="I236" s="109" t="n"/>
      <c r="J236" s="109" t="n"/>
      <c r="K236" s="109" t="n"/>
      <c r="L236" s="231">
        <f>IF($E236="","",DATE(YEAR($E236),MONTH($E236),1))</f>
        <v/>
      </c>
      <c r="M236" s="113">
        <f>IF($D236="","",IF($C236="TANIMSIZ MÜŞTERİ","HATA",IF(OR($E236="",$F236&lt;=0,$G236=""),"EKSİK",IF($E236&gt;TODAY(),"İLERİ TARİH","UYGUN"))))</f>
        <v/>
      </c>
      <c r="N236" s="121">
        <f>IF($C236="","",IF($C236="TANIMSIZ MÜŞTERİ","—",INDEX(MUSTERILER!$C$7:$C$106,MATCH($C236,MUSTERILER!$B$7:$B$106,0))))</f>
        <v/>
      </c>
      <c r="O236" s="6" t="n"/>
      <c r="P236" s="6" t="n"/>
      <c r="Q236" s="3">
        <f>IF($D236="","",$C236&amp;"|"&amp;COUNTIFS($C$7:$C236,$C236))</f>
        <v/>
      </c>
    </row>
    <row r="237">
      <c r="A237" s="6" t="n"/>
      <c r="B237" s="113">
        <f>IF($D237="","","T"&amp;TEXT(ROW()-6,"00000"))</f>
        <v/>
      </c>
      <c r="C237" s="113">
        <f>IF($D237="","",IFERROR(INDEX(MUSTERILER!$B$7:$B$106,MATCH($D237,MUSTERILER!$C$7:$C$106,0)),IFERROR(INDEX(MUSTERILER!$B$7:$B$106,MATCH($D237,MUSTERILER!$B$7:$B$106,0)),IFERROR(INDEX(MUSTERILER!$B$7:$B$106,MATCH($D237&amp;"*",MUSTERILER!$C$7:$C$106,0)),"TANIMSIZ MÜŞTERİ"))))</f>
        <v/>
      </c>
      <c r="D237" s="109" t="n"/>
      <c r="E237" s="225" t="n"/>
      <c r="F237" s="226" t="n"/>
      <c r="G237" s="108" t="n"/>
      <c r="H237" s="108" t="n"/>
      <c r="I237" s="109" t="n"/>
      <c r="J237" s="109" t="n"/>
      <c r="K237" s="109" t="n"/>
      <c r="L237" s="231">
        <f>IF($E237="","",DATE(YEAR($E237),MONTH($E237),1))</f>
        <v/>
      </c>
      <c r="M237" s="113">
        <f>IF($D237="","",IF($C237="TANIMSIZ MÜŞTERİ","HATA",IF(OR($E237="",$F237&lt;=0,$G237=""),"EKSİK",IF($E237&gt;TODAY(),"İLERİ TARİH","UYGUN"))))</f>
        <v/>
      </c>
      <c r="N237" s="121">
        <f>IF($C237="","",IF($C237="TANIMSIZ MÜŞTERİ","—",INDEX(MUSTERILER!$C$7:$C$106,MATCH($C237,MUSTERILER!$B$7:$B$106,0))))</f>
        <v/>
      </c>
      <c r="O237" s="6" t="n"/>
      <c r="P237" s="6" t="n"/>
      <c r="Q237" s="3">
        <f>IF($D237="","",$C237&amp;"|"&amp;COUNTIFS($C$7:$C237,$C237))</f>
        <v/>
      </c>
    </row>
    <row r="238">
      <c r="A238" s="6" t="n"/>
      <c r="B238" s="113">
        <f>IF($D238="","","T"&amp;TEXT(ROW()-6,"00000"))</f>
        <v/>
      </c>
      <c r="C238" s="113">
        <f>IF($D238="","",IFERROR(INDEX(MUSTERILER!$B$7:$B$106,MATCH($D238,MUSTERILER!$C$7:$C$106,0)),IFERROR(INDEX(MUSTERILER!$B$7:$B$106,MATCH($D238,MUSTERILER!$B$7:$B$106,0)),IFERROR(INDEX(MUSTERILER!$B$7:$B$106,MATCH($D238&amp;"*",MUSTERILER!$C$7:$C$106,0)),"TANIMSIZ MÜŞTERİ"))))</f>
        <v/>
      </c>
      <c r="D238" s="109" t="n"/>
      <c r="E238" s="225" t="n"/>
      <c r="F238" s="226" t="n"/>
      <c r="G238" s="108" t="n"/>
      <c r="H238" s="108" t="n"/>
      <c r="I238" s="109" t="n"/>
      <c r="J238" s="109" t="n"/>
      <c r="K238" s="109" t="n"/>
      <c r="L238" s="231">
        <f>IF($E238="","",DATE(YEAR($E238),MONTH($E238),1))</f>
        <v/>
      </c>
      <c r="M238" s="113">
        <f>IF($D238="","",IF($C238="TANIMSIZ MÜŞTERİ","HATA",IF(OR($E238="",$F238&lt;=0,$G238=""),"EKSİK",IF($E238&gt;TODAY(),"İLERİ TARİH","UYGUN"))))</f>
        <v/>
      </c>
      <c r="N238" s="121">
        <f>IF($C238="","",IF($C238="TANIMSIZ MÜŞTERİ","—",INDEX(MUSTERILER!$C$7:$C$106,MATCH($C238,MUSTERILER!$B$7:$B$106,0))))</f>
        <v/>
      </c>
      <c r="O238" s="6" t="n"/>
      <c r="P238" s="6" t="n"/>
      <c r="Q238" s="3">
        <f>IF($D238="","",$C238&amp;"|"&amp;COUNTIFS($C$7:$C238,$C238))</f>
        <v/>
      </c>
    </row>
    <row r="239">
      <c r="A239" s="6" t="n"/>
      <c r="B239" s="113">
        <f>IF($D239="","","T"&amp;TEXT(ROW()-6,"00000"))</f>
        <v/>
      </c>
      <c r="C239" s="113">
        <f>IF($D239="","",IFERROR(INDEX(MUSTERILER!$B$7:$B$106,MATCH($D239,MUSTERILER!$C$7:$C$106,0)),IFERROR(INDEX(MUSTERILER!$B$7:$B$106,MATCH($D239,MUSTERILER!$B$7:$B$106,0)),IFERROR(INDEX(MUSTERILER!$B$7:$B$106,MATCH($D239&amp;"*",MUSTERILER!$C$7:$C$106,0)),"TANIMSIZ MÜŞTERİ"))))</f>
        <v/>
      </c>
      <c r="D239" s="109" t="n"/>
      <c r="E239" s="225" t="n"/>
      <c r="F239" s="226" t="n"/>
      <c r="G239" s="108" t="n"/>
      <c r="H239" s="108" t="n"/>
      <c r="I239" s="109" t="n"/>
      <c r="J239" s="109" t="n"/>
      <c r="K239" s="109" t="n"/>
      <c r="L239" s="231">
        <f>IF($E239="","",DATE(YEAR($E239),MONTH($E239),1))</f>
        <v/>
      </c>
      <c r="M239" s="113">
        <f>IF($D239="","",IF($C239="TANIMSIZ MÜŞTERİ","HATA",IF(OR($E239="",$F239&lt;=0,$G239=""),"EKSİK",IF($E239&gt;TODAY(),"İLERİ TARİH","UYGUN"))))</f>
        <v/>
      </c>
      <c r="N239" s="121">
        <f>IF($C239="","",IF($C239="TANIMSIZ MÜŞTERİ","—",INDEX(MUSTERILER!$C$7:$C$106,MATCH($C239,MUSTERILER!$B$7:$B$106,0))))</f>
        <v/>
      </c>
      <c r="O239" s="6" t="n"/>
      <c r="P239" s="6" t="n"/>
      <c r="Q239" s="3">
        <f>IF($D239="","",$C239&amp;"|"&amp;COUNTIFS($C$7:$C239,$C239))</f>
        <v/>
      </c>
    </row>
    <row r="240">
      <c r="A240" s="6" t="n"/>
      <c r="B240" s="113">
        <f>IF($D240="","","T"&amp;TEXT(ROW()-6,"00000"))</f>
        <v/>
      </c>
      <c r="C240" s="113">
        <f>IF($D240="","",IFERROR(INDEX(MUSTERILER!$B$7:$B$106,MATCH($D240,MUSTERILER!$C$7:$C$106,0)),IFERROR(INDEX(MUSTERILER!$B$7:$B$106,MATCH($D240,MUSTERILER!$B$7:$B$106,0)),IFERROR(INDEX(MUSTERILER!$B$7:$B$106,MATCH($D240&amp;"*",MUSTERILER!$C$7:$C$106,0)),"TANIMSIZ MÜŞTERİ"))))</f>
        <v/>
      </c>
      <c r="D240" s="109" t="n"/>
      <c r="E240" s="225" t="n"/>
      <c r="F240" s="226" t="n"/>
      <c r="G240" s="108" t="n"/>
      <c r="H240" s="108" t="n"/>
      <c r="I240" s="109" t="n"/>
      <c r="J240" s="109" t="n"/>
      <c r="K240" s="109" t="n"/>
      <c r="L240" s="231">
        <f>IF($E240="","",DATE(YEAR($E240),MONTH($E240),1))</f>
        <v/>
      </c>
      <c r="M240" s="113">
        <f>IF($D240="","",IF($C240="TANIMSIZ MÜŞTERİ","HATA",IF(OR($E240="",$F240&lt;=0,$G240=""),"EKSİK",IF($E240&gt;TODAY(),"İLERİ TARİH","UYGUN"))))</f>
        <v/>
      </c>
      <c r="N240" s="121">
        <f>IF($C240="","",IF($C240="TANIMSIZ MÜŞTERİ","—",INDEX(MUSTERILER!$C$7:$C$106,MATCH($C240,MUSTERILER!$B$7:$B$106,0))))</f>
        <v/>
      </c>
      <c r="O240" s="6" t="n"/>
      <c r="P240" s="6" t="n"/>
      <c r="Q240" s="3">
        <f>IF($D240="","",$C240&amp;"|"&amp;COUNTIFS($C$7:$C240,$C240))</f>
        <v/>
      </c>
    </row>
    <row r="241">
      <c r="A241" s="6" t="n"/>
      <c r="B241" s="113">
        <f>IF($D241="","","T"&amp;TEXT(ROW()-6,"00000"))</f>
        <v/>
      </c>
      <c r="C241" s="113">
        <f>IF($D241="","",IFERROR(INDEX(MUSTERILER!$B$7:$B$106,MATCH($D241,MUSTERILER!$C$7:$C$106,0)),IFERROR(INDEX(MUSTERILER!$B$7:$B$106,MATCH($D241,MUSTERILER!$B$7:$B$106,0)),IFERROR(INDEX(MUSTERILER!$B$7:$B$106,MATCH($D241&amp;"*",MUSTERILER!$C$7:$C$106,0)),"TANIMSIZ MÜŞTERİ"))))</f>
        <v/>
      </c>
      <c r="D241" s="109" t="n"/>
      <c r="E241" s="225" t="n"/>
      <c r="F241" s="226" t="n"/>
      <c r="G241" s="108" t="n"/>
      <c r="H241" s="108" t="n"/>
      <c r="I241" s="109" t="n"/>
      <c r="J241" s="109" t="n"/>
      <c r="K241" s="109" t="n"/>
      <c r="L241" s="231">
        <f>IF($E241="","",DATE(YEAR($E241),MONTH($E241),1))</f>
        <v/>
      </c>
      <c r="M241" s="113">
        <f>IF($D241="","",IF($C241="TANIMSIZ MÜŞTERİ","HATA",IF(OR($E241="",$F241&lt;=0,$G241=""),"EKSİK",IF($E241&gt;TODAY(),"İLERİ TARİH","UYGUN"))))</f>
        <v/>
      </c>
      <c r="N241" s="121">
        <f>IF($C241="","",IF($C241="TANIMSIZ MÜŞTERİ","—",INDEX(MUSTERILER!$C$7:$C$106,MATCH($C241,MUSTERILER!$B$7:$B$106,0))))</f>
        <v/>
      </c>
      <c r="O241" s="6" t="n"/>
      <c r="P241" s="6" t="n"/>
      <c r="Q241" s="3">
        <f>IF($D241="","",$C241&amp;"|"&amp;COUNTIFS($C$7:$C241,$C241))</f>
        <v/>
      </c>
    </row>
    <row r="242">
      <c r="A242" s="6" t="n"/>
      <c r="B242" s="113">
        <f>IF($D242="","","T"&amp;TEXT(ROW()-6,"00000"))</f>
        <v/>
      </c>
      <c r="C242" s="113">
        <f>IF($D242="","",IFERROR(INDEX(MUSTERILER!$B$7:$B$106,MATCH($D242,MUSTERILER!$C$7:$C$106,0)),IFERROR(INDEX(MUSTERILER!$B$7:$B$106,MATCH($D242,MUSTERILER!$B$7:$B$106,0)),IFERROR(INDEX(MUSTERILER!$B$7:$B$106,MATCH($D242&amp;"*",MUSTERILER!$C$7:$C$106,0)),"TANIMSIZ MÜŞTERİ"))))</f>
        <v/>
      </c>
      <c r="D242" s="109" t="n"/>
      <c r="E242" s="225" t="n"/>
      <c r="F242" s="226" t="n"/>
      <c r="G242" s="108" t="n"/>
      <c r="H242" s="108" t="n"/>
      <c r="I242" s="109" t="n"/>
      <c r="J242" s="109" t="n"/>
      <c r="K242" s="109" t="n"/>
      <c r="L242" s="231">
        <f>IF($E242="","",DATE(YEAR($E242),MONTH($E242),1))</f>
        <v/>
      </c>
      <c r="M242" s="113">
        <f>IF($D242="","",IF($C242="TANIMSIZ MÜŞTERİ","HATA",IF(OR($E242="",$F242&lt;=0,$G242=""),"EKSİK",IF($E242&gt;TODAY(),"İLERİ TARİH","UYGUN"))))</f>
        <v/>
      </c>
      <c r="N242" s="121">
        <f>IF($C242="","",IF($C242="TANIMSIZ MÜŞTERİ","—",INDEX(MUSTERILER!$C$7:$C$106,MATCH($C242,MUSTERILER!$B$7:$B$106,0))))</f>
        <v/>
      </c>
      <c r="O242" s="6" t="n"/>
      <c r="P242" s="6" t="n"/>
      <c r="Q242" s="3">
        <f>IF($D242="","",$C242&amp;"|"&amp;COUNTIFS($C$7:$C242,$C242))</f>
        <v/>
      </c>
    </row>
    <row r="243">
      <c r="A243" s="6" t="n"/>
      <c r="B243" s="113">
        <f>IF($D243="","","T"&amp;TEXT(ROW()-6,"00000"))</f>
        <v/>
      </c>
      <c r="C243" s="113">
        <f>IF($D243="","",IFERROR(INDEX(MUSTERILER!$B$7:$B$106,MATCH($D243,MUSTERILER!$C$7:$C$106,0)),IFERROR(INDEX(MUSTERILER!$B$7:$B$106,MATCH($D243,MUSTERILER!$B$7:$B$106,0)),IFERROR(INDEX(MUSTERILER!$B$7:$B$106,MATCH($D243&amp;"*",MUSTERILER!$C$7:$C$106,0)),"TANIMSIZ MÜŞTERİ"))))</f>
        <v/>
      </c>
      <c r="D243" s="109" t="n"/>
      <c r="E243" s="225" t="n"/>
      <c r="F243" s="226" t="n"/>
      <c r="G243" s="108" t="n"/>
      <c r="H243" s="108" t="n"/>
      <c r="I243" s="109" t="n"/>
      <c r="J243" s="109" t="n"/>
      <c r="K243" s="109" t="n"/>
      <c r="L243" s="231">
        <f>IF($E243="","",DATE(YEAR($E243),MONTH($E243),1))</f>
        <v/>
      </c>
      <c r="M243" s="113">
        <f>IF($D243="","",IF($C243="TANIMSIZ MÜŞTERİ","HATA",IF(OR($E243="",$F243&lt;=0,$G243=""),"EKSİK",IF($E243&gt;TODAY(),"İLERİ TARİH","UYGUN"))))</f>
        <v/>
      </c>
      <c r="N243" s="121">
        <f>IF($C243="","",IF($C243="TANIMSIZ MÜŞTERİ","—",INDEX(MUSTERILER!$C$7:$C$106,MATCH($C243,MUSTERILER!$B$7:$B$106,0))))</f>
        <v/>
      </c>
      <c r="O243" s="6" t="n"/>
      <c r="P243" s="6" t="n"/>
      <c r="Q243" s="3">
        <f>IF($D243="","",$C243&amp;"|"&amp;COUNTIFS($C$7:$C243,$C243))</f>
        <v/>
      </c>
    </row>
    <row r="244">
      <c r="A244" s="6" t="n"/>
      <c r="B244" s="113">
        <f>IF($D244="","","T"&amp;TEXT(ROW()-6,"00000"))</f>
        <v/>
      </c>
      <c r="C244" s="113">
        <f>IF($D244="","",IFERROR(INDEX(MUSTERILER!$B$7:$B$106,MATCH($D244,MUSTERILER!$C$7:$C$106,0)),IFERROR(INDEX(MUSTERILER!$B$7:$B$106,MATCH($D244,MUSTERILER!$B$7:$B$106,0)),IFERROR(INDEX(MUSTERILER!$B$7:$B$106,MATCH($D244&amp;"*",MUSTERILER!$C$7:$C$106,0)),"TANIMSIZ MÜŞTERİ"))))</f>
        <v/>
      </c>
      <c r="D244" s="109" t="n"/>
      <c r="E244" s="225" t="n"/>
      <c r="F244" s="226" t="n"/>
      <c r="G244" s="108" t="n"/>
      <c r="H244" s="108" t="n"/>
      <c r="I244" s="109" t="n"/>
      <c r="J244" s="109" t="n"/>
      <c r="K244" s="109" t="n"/>
      <c r="L244" s="231">
        <f>IF($E244="","",DATE(YEAR($E244),MONTH($E244),1))</f>
        <v/>
      </c>
      <c r="M244" s="113">
        <f>IF($D244="","",IF($C244="TANIMSIZ MÜŞTERİ","HATA",IF(OR($E244="",$F244&lt;=0,$G244=""),"EKSİK",IF($E244&gt;TODAY(),"İLERİ TARİH","UYGUN"))))</f>
        <v/>
      </c>
      <c r="N244" s="121">
        <f>IF($C244="","",IF($C244="TANIMSIZ MÜŞTERİ","—",INDEX(MUSTERILER!$C$7:$C$106,MATCH($C244,MUSTERILER!$B$7:$B$106,0))))</f>
        <v/>
      </c>
      <c r="O244" s="6" t="n"/>
      <c r="P244" s="6" t="n"/>
      <c r="Q244" s="3">
        <f>IF($D244="","",$C244&amp;"|"&amp;COUNTIFS($C$7:$C244,$C244))</f>
        <v/>
      </c>
    </row>
    <row r="245">
      <c r="A245" s="6" t="n"/>
      <c r="B245" s="113">
        <f>IF($D245="","","T"&amp;TEXT(ROW()-6,"00000"))</f>
        <v/>
      </c>
      <c r="C245" s="113">
        <f>IF($D245="","",IFERROR(INDEX(MUSTERILER!$B$7:$B$106,MATCH($D245,MUSTERILER!$C$7:$C$106,0)),IFERROR(INDEX(MUSTERILER!$B$7:$B$106,MATCH($D245,MUSTERILER!$B$7:$B$106,0)),IFERROR(INDEX(MUSTERILER!$B$7:$B$106,MATCH($D245&amp;"*",MUSTERILER!$C$7:$C$106,0)),"TANIMSIZ MÜŞTERİ"))))</f>
        <v/>
      </c>
      <c r="D245" s="109" t="n"/>
      <c r="E245" s="225" t="n"/>
      <c r="F245" s="226" t="n"/>
      <c r="G245" s="108" t="n"/>
      <c r="H245" s="108" t="n"/>
      <c r="I245" s="109" t="n"/>
      <c r="J245" s="109" t="n"/>
      <c r="K245" s="109" t="n"/>
      <c r="L245" s="231">
        <f>IF($E245="","",DATE(YEAR($E245),MONTH($E245),1))</f>
        <v/>
      </c>
      <c r="M245" s="113">
        <f>IF($D245="","",IF($C245="TANIMSIZ MÜŞTERİ","HATA",IF(OR($E245="",$F245&lt;=0,$G245=""),"EKSİK",IF($E245&gt;TODAY(),"İLERİ TARİH","UYGUN"))))</f>
        <v/>
      </c>
      <c r="N245" s="121">
        <f>IF($C245="","",IF($C245="TANIMSIZ MÜŞTERİ","—",INDEX(MUSTERILER!$C$7:$C$106,MATCH($C245,MUSTERILER!$B$7:$B$106,0))))</f>
        <v/>
      </c>
      <c r="O245" s="6" t="n"/>
      <c r="P245" s="6" t="n"/>
      <c r="Q245" s="3">
        <f>IF($D245="","",$C245&amp;"|"&amp;COUNTIFS($C$7:$C245,$C245))</f>
        <v/>
      </c>
    </row>
    <row r="246">
      <c r="A246" s="6" t="n"/>
      <c r="B246" s="113">
        <f>IF($D246="","","T"&amp;TEXT(ROW()-6,"00000"))</f>
        <v/>
      </c>
      <c r="C246" s="113">
        <f>IF($D246="","",IFERROR(INDEX(MUSTERILER!$B$7:$B$106,MATCH($D246,MUSTERILER!$C$7:$C$106,0)),IFERROR(INDEX(MUSTERILER!$B$7:$B$106,MATCH($D246,MUSTERILER!$B$7:$B$106,0)),IFERROR(INDEX(MUSTERILER!$B$7:$B$106,MATCH($D246&amp;"*",MUSTERILER!$C$7:$C$106,0)),"TANIMSIZ MÜŞTERİ"))))</f>
        <v/>
      </c>
      <c r="D246" s="109" t="n"/>
      <c r="E246" s="225" t="n"/>
      <c r="F246" s="226" t="n"/>
      <c r="G246" s="108" t="n"/>
      <c r="H246" s="108" t="n"/>
      <c r="I246" s="109" t="n"/>
      <c r="J246" s="109" t="n"/>
      <c r="K246" s="109" t="n"/>
      <c r="L246" s="231">
        <f>IF($E246="","",DATE(YEAR($E246),MONTH($E246),1))</f>
        <v/>
      </c>
      <c r="M246" s="113">
        <f>IF($D246="","",IF($C246="TANIMSIZ MÜŞTERİ","HATA",IF(OR($E246="",$F246&lt;=0,$G246=""),"EKSİK",IF($E246&gt;TODAY(),"İLERİ TARİH","UYGUN"))))</f>
        <v/>
      </c>
      <c r="N246" s="121">
        <f>IF($C246="","",IF($C246="TANIMSIZ MÜŞTERİ","—",INDEX(MUSTERILER!$C$7:$C$106,MATCH($C246,MUSTERILER!$B$7:$B$106,0))))</f>
        <v/>
      </c>
      <c r="O246" s="6" t="n"/>
      <c r="P246" s="6" t="n"/>
      <c r="Q246" s="3">
        <f>IF($D246="","",$C246&amp;"|"&amp;COUNTIFS($C$7:$C246,$C246))</f>
        <v/>
      </c>
    </row>
    <row r="247">
      <c r="A247" s="6" t="n"/>
      <c r="B247" s="113">
        <f>IF($D247="","","T"&amp;TEXT(ROW()-6,"00000"))</f>
        <v/>
      </c>
      <c r="C247" s="113">
        <f>IF($D247="","",IFERROR(INDEX(MUSTERILER!$B$7:$B$106,MATCH($D247,MUSTERILER!$C$7:$C$106,0)),IFERROR(INDEX(MUSTERILER!$B$7:$B$106,MATCH($D247,MUSTERILER!$B$7:$B$106,0)),IFERROR(INDEX(MUSTERILER!$B$7:$B$106,MATCH($D247&amp;"*",MUSTERILER!$C$7:$C$106,0)),"TANIMSIZ MÜŞTERİ"))))</f>
        <v/>
      </c>
      <c r="D247" s="109" t="n"/>
      <c r="E247" s="225" t="n"/>
      <c r="F247" s="226" t="n"/>
      <c r="G247" s="108" t="n"/>
      <c r="H247" s="108" t="n"/>
      <c r="I247" s="109" t="n"/>
      <c r="J247" s="109" t="n"/>
      <c r="K247" s="109" t="n"/>
      <c r="L247" s="231">
        <f>IF($E247="","",DATE(YEAR($E247),MONTH($E247),1))</f>
        <v/>
      </c>
      <c r="M247" s="113">
        <f>IF($D247="","",IF($C247="TANIMSIZ MÜŞTERİ","HATA",IF(OR($E247="",$F247&lt;=0,$G247=""),"EKSİK",IF($E247&gt;TODAY(),"İLERİ TARİH","UYGUN"))))</f>
        <v/>
      </c>
      <c r="N247" s="121">
        <f>IF($C247="","",IF($C247="TANIMSIZ MÜŞTERİ","—",INDEX(MUSTERILER!$C$7:$C$106,MATCH($C247,MUSTERILER!$B$7:$B$106,0))))</f>
        <v/>
      </c>
      <c r="O247" s="6" t="n"/>
      <c r="P247" s="6" t="n"/>
      <c r="Q247" s="3">
        <f>IF($D247="","",$C247&amp;"|"&amp;COUNTIFS($C$7:$C247,$C247))</f>
        <v/>
      </c>
    </row>
    <row r="248">
      <c r="A248" s="6" t="n"/>
      <c r="B248" s="113">
        <f>IF($D248="","","T"&amp;TEXT(ROW()-6,"00000"))</f>
        <v/>
      </c>
      <c r="C248" s="113">
        <f>IF($D248="","",IFERROR(INDEX(MUSTERILER!$B$7:$B$106,MATCH($D248,MUSTERILER!$C$7:$C$106,0)),IFERROR(INDEX(MUSTERILER!$B$7:$B$106,MATCH($D248,MUSTERILER!$B$7:$B$106,0)),IFERROR(INDEX(MUSTERILER!$B$7:$B$106,MATCH($D248&amp;"*",MUSTERILER!$C$7:$C$106,0)),"TANIMSIZ MÜŞTERİ"))))</f>
        <v/>
      </c>
      <c r="D248" s="109" t="n"/>
      <c r="E248" s="225" t="n"/>
      <c r="F248" s="226" t="n"/>
      <c r="G248" s="108" t="n"/>
      <c r="H248" s="108" t="n"/>
      <c r="I248" s="109" t="n"/>
      <c r="J248" s="109" t="n"/>
      <c r="K248" s="109" t="n"/>
      <c r="L248" s="231">
        <f>IF($E248="","",DATE(YEAR($E248),MONTH($E248),1))</f>
        <v/>
      </c>
      <c r="M248" s="113">
        <f>IF($D248="","",IF($C248="TANIMSIZ MÜŞTERİ","HATA",IF(OR($E248="",$F248&lt;=0,$G248=""),"EKSİK",IF($E248&gt;TODAY(),"İLERİ TARİH","UYGUN"))))</f>
        <v/>
      </c>
      <c r="N248" s="121">
        <f>IF($C248="","",IF($C248="TANIMSIZ MÜŞTERİ","—",INDEX(MUSTERILER!$C$7:$C$106,MATCH($C248,MUSTERILER!$B$7:$B$106,0))))</f>
        <v/>
      </c>
      <c r="O248" s="6" t="n"/>
      <c r="P248" s="6" t="n"/>
      <c r="Q248" s="3">
        <f>IF($D248="","",$C248&amp;"|"&amp;COUNTIFS($C$7:$C248,$C248))</f>
        <v/>
      </c>
    </row>
    <row r="249">
      <c r="A249" s="6" t="n"/>
      <c r="B249" s="113">
        <f>IF($D249="","","T"&amp;TEXT(ROW()-6,"00000"))</f>
        <v/>
      </c>
      <c r="C249" s="113">
        <f>IF($D249="","",IFERROR(INDEX(MUSTERILER!$B$7:$B$106,MATCH($D249,MUSTERILER!$C$7:$C$106,0)),IFERROR(INDEX(MUSTERILER!$B$7:$B$106,MATCH($D249,MUSTERILER!$B$7:$B$106,0)),IFERROR(INDEX(MUSTERILER!$B$7:$B$106,MATCH($D249&amp;"*",MUSTERILER!$C$7:$C$106,0)),"TANIMSIZ MÜŞTERİ"))))</f>
        <v/>
      </c>
      <c r="D249" s="109" t="n"/>
      <c r="E249" s="225" t="n"/>
      <c r="F249" s="226" t="n"/>
      <c r="G249" s="108" t="n"/>
      <c r="H249" s="108" t="n"/>
      <c r="I249" s="109" t="n"/>
      <c r="J249" s="109" t="n"/>
      <c r="K249" s="109" t="n"/>
      <c r="L249" s="231">
        <f>IF($E249="","",DATE(YEAR($E249),MONTH($E249),1))</f>
        <v/>
      </c>
      <c r="M249" s="113">
        <f>IF($D249="","",IF($C249="TANIMSIZ MÜŞTERİ","HATA",IF(OR($E249="",$F249&lt;=0,$G249=""),"EKSİK",IF($E249&gt;TODAY(),"İLERİ TARİH","UYGUN"))))</f>
        <v/>
      </c>
      <c r="N249" s="121">
        <f>IF($C249="","",IF($C249="TANIMSIZ MÜŞTERİ","—",INDEX(MUSTERILER!$C$7:$C$106,MATCH($C249,MUSTERILER!$B$7:$B$106,0))))</f>
        <v/>
      </c>
      <c r="O249" s="6" t="n"/>
      <c r="P249" s="6" t="n"/>
      <c r="Q249" s="3">
        <f>IF($D249="","",$C249&amp;"|"&amp;COUNTIFS($C$7:$C249,$C249))</f>
        <v/>
      </c>
    </row>
    <row r="250">
      <c r="A250" s="6" t="n"/>
      <c r="B250" s="113">
        <f>IF($D250="","","T"&amp;TEXT(ROW()-6,"00000"))</f>
        <v/>
      </c>
      <c r="C250" s="113">
        <f>IF($D250="","",IFERROR(INDEX(MUSTERILER!$B$7:$B$106,MATCH($D250,MUSTERILER!$C$7:$C$106,0)),IFERROR(INDEX(MUSTERILER!$B$7:$B$106,MATCH($D250,MUSTERILER!$B$7:$B$106,0)),IFERROR(INDEX(MUSTERILER!$B$7:$B$106,MATCH($D250&amp;"*",MUSTERILER!$C$7:$C$106,0)),"TANIMSIZ MÜŞTERİ"))))</f>
        <v/>
      </c>
      <c r="D250" s="109" t="n"/>
      <c r="E250" s="225" t="n"/>
      <c r="F250" s="226" t="n"/>
      <c r="G250" s="108" t="n"/>
      <c r="H250" s="108" t="n"/>
      <c r="I250" s="109" t="n"/>
      <c r="J250" s="109" t="n"/>
      <c r="K250" s="109" t="n"/>
      <c r="L250" s="231">
        <f>IF($E250="","",DATE(YEAR($E250),MONTH($E250),1))</f>
        <v/>
      </c>
      <c r="M250" s="113">
        <f>IF($D250="","",IF($C250="TANIMSIZ MÜŞTERİ","HATA",IF(OR($E250="",$F250&lt;=0,$G250=""),"EKSİK",IF($E250&gt;TODAY(),"İLERİ TARİH","UYGUN"))))</f>
        <v/>
      </c>
      <c r="N250" s="121">
        <f>IF($C250="","",IF($C250="TANIMSIZ MÜŞTERİ","—",INDEX(MUSTERILER!$C$7:$C$106,MATCH($C250,MUSTERILER!$B$7:$B$106,0))))</f>
        <v/>
      </c>
      <c r="O250" s="6" t="n"/>
      <c r="P250" s="6" t="n"/>
      <c r="Q250" s="3">
        <f>IF($D250="","",$C250&amp;"|"&amp;COUNTIFS($C$7:$C250,$C250))</f>
        <v/>
      </c>
    </row>
    <row r="251">
      <c r="A251" s="6" t="n"/>
      <c r="B251" s="113">
        <f>IF($D251="","","T"&amp;TEXT(ROW()-6,"00000"))</f>
        <v/>
      </c>
      <c r="C251" s="113">
        <f>IF($D251="","",IFERROR(INDEX(MUSTERILER!$B$7:$B$106,MATCH($D251,MUSTERILER!$C$7:$C$106,0)),IFERROR(INDEX(MUSTERILER!$B$7:$B$106,MATCH($D251,MUSTERILER!$B$7:$B$106,0)),IFERROR(INDEX(MUSTERILER!$B$7:$B$106,MATCH($D251&amp;"*",MUSTERILER!$C$7:$C$106,0)),"TANIMSIZ MÜŞTERİ"))))</f>
        <v/>
      </c>
      <c r="D251" s="109" t="n"/>
      <c r="E251" s="225" t="n"/>
      <c r="F251" s="226" t="n"/>
      <c r="G251" s="108" t="n"/>
      <c r="H251" s="108" t="n"/>
      <c r="I251" s="109" t="n"/>
      <c r="J251" s="109" t="n"/>
      <c r="K251" s="109" t="n"/>
      <c r="L251" s="231">
        <f>IF($E251="","",DATE(YEAR($E251),MONTH($E251),1))</f>
        <v/>
      </c>
      <c r="M251" s="113">
        <f>IF($D251="","",IF($C251="TANIMSIZ MÜŞTERİ","HATA",IF(OR($E251="",$F251&lt;=0,$G251=""),"EKSİK",IF($E251&gt;TODAY(),"İLERİ TARİH","UYGUN"))))</f>
        <v/>
      </c>
      <c r="N251" s="121">
        <f>IF($C251="","",IF($C251="TANIMSIZ MÜŞTERİ","—",INDEX(MUSTERILER!$C$7:$C$106,MATCH($C251,MUSTERILER!$B$7:$B$106,0))))</f>
        <v/>
      </c>
      <c r="O251" s="6" t="n"/>
      <c r="P251" s="6" t="n"/>
      <c r="Q251" s="3">
        <f>IF($D251="","",$C251&amp;"|"&amp;COUNTIFS($C$7:$C251,$C251))</f>
        <v/>
      </c>
    </row>
    <row r="252">
      <c r="A252" s="6" t="n"/>
      <c r="B252" s="113">
        <f>IF($D252="","","T"&amp;TEXT(ROW()-6,"00000"))</f>
        <v/>
      </c>
      <c r="C252" s="113">
        <f>IF($D252="","",IFERROR(INDEX(MUSTERILER!$B$7:$B$106,MATCH($D252,MUSTERILER!$C$7:$C$106,0)),IFERROR(INDEX(MUSTERILER!$B$7:$B$106,MATCH($D252,MUSTERILER!$B$7:$B$106,0)),IFERROR(INDEX(MUSTERILER!$B$7:$B$106,MATCH($D252&amp;"*",MUSTERILER!$C$7:$C$106,0)),"TANIMSIZ MÜŞTERİ"))))</f>
        <v/>
      </c>
      <c r="D252" s="109" t="n"/>
      <c r="E252" s="225" t="n"/>
      <c r="F252" s="226" t="n"/>
      <c r="G252" s="108" t="n"/>
      <c r="H252" s="108" t="n"/>
      <c r="I252" s="109" t="n"/>
      <c r="J252" s="109" t="n"/>
      <c r="K252" s="109" t="n"/>
      <c r="L252" s="231">
        <f>IF($E252="","",DATE(YEAR($E252),MONTH($E252),1))</f>
        <v/>
      </c>
      <c r="M252" s="113">
        <f>IF($D252="","",IF($C252="TANIMSIZ MÜŞTERİ","HATA",IF(OR($E252="",$F252&lt;=0,$G252=""),"EKSİK",IF($E252&gt;TODAY(),"İLERİ TARİH","UYGUN"))))</f>
        <v/>
      </c>
      <c r="N252" s="121">
        <f>IF($C252="","",IF($C252="TANIMSIZ MÜŞTERİ","—",INDEX(MUSTERILER!$C$7:$C$106,MATCH($C252,MUSTERILER!$B$7:$B$106,0))))</f>
        <v/>
      </c>
      <c r="O252" s="6" t="n"/>
      <c r="P252" s="6" t="n"/>
      <c r="Q252" s="3">
        <f>IF($D252="","",$C252&amp;"|"&amp;COUNTIFS($C$7:$C252,$C252))</f>
        <v/>
      </c>
    </row>
    <row r="253">
      <c r="A253" s="6" t="n"/>
      <c r="B253" s="113">
        <f>IF($D253="","","T"&amp;TEXT(ROW()-6,"00000"))</f>
        <v/>
      </c>
      <c r="C253" s="113">
        <f>IF($D253="","",IFERROR(INDEX(MUSTERILER!$B$7:$B$106,MATCH($D253,MUSTERILER!$C$7:$C$106,0)),IFERROR(INDEX(MUSTERILER!$B$7:$B$106,MATCH($D253,MUSTERILER!$B$7:$B$106,0)),IFERROR(INDEX(MUSTERILER!$B$7:$B$106,MATCH($D253&amp;"*",MUSTERILER!$C$7:$C$106,0)),"TANIMSIZ MÜŞTERİ"))))</f>
        <v/>
      </c>
      <c r="D253" s="109" t="n"/>
      <c r="E253" s="225" t="n"/>
      <c r="F253" s="226" t="n"/>
      <c r="G253" s="108" t="n"/>
      <c r="H253" s="108" t="n"/>
      <c r="I253" s="109" t="n"/>
      <c r="J253" s="109" t="n"/>
      <c r="K253" s="109" t="n"/>
      <c r="L253" s="231">
        <f>IF($E253="","",DATE(YEAR($E253),MONTH($E253),1))</f>
        <v/>
      </c>
      <c r="M253" s="113">
        <f>IF($D253="","",IF($C253="TANIMSIZ MÜŞTERİ","HATA",IF(OR($E253="",$F253&lt;=0,$G253=""),"EKSİK",IF($E253&gt;TODAY(),"İLERİ TARİH","UYGUN"))))</f>
        <v/>
      </c>
      <c r="N253" s="121">
        <f>IF($C253="","",IF($C253="TANIMSIZ MÜŞTERİ","—",INDEX(MUSTERILER!$C$7:$C$106,MATCH($C253,MUSTERILER!$B$7:$B$106,0))))</f>
        <v/>
      </c>
      <c r="O253" s="6" t="n"/>
      <c r="P253" s="6" t="n"/>
      <c r="Q253" s="3">
        <f>IF($D253="","",$C253&amp;"|"&amp;COUNTIFS($C$7:$C253,$C253))</f>
        <v/>
      </c>
    </row>
    <row r="254">
      <c r="A254" s="6" t="n"/>
      <c r="B254" s="113">
        <f>IF($D254="","","T"&amp;TEXT(ROW()-6,"00000"))</f>
        <v/>
      </c>
      <c r="C254" s="113">
        <f>IF($D254="","",IFERROR(INDEX(MUSTERILER!$B$7:$B$106,MATCH($D254,MUSTERILER!$C$7:$C$106,0)),IFERROR(INDEX(MUSTERILER!$B$7:$B$106,MATCH($D254,MUSTERILER!$B$7:$B$106,0)),IFERROR(INDEX(MUSTERILER!$B$7:$B$106,MATCH($D254&amp;"*",MUSTERILER!$C$7:$C$106,0)),"TANIMSIZ MÜŞTERİ"))))</f>
        <v/>
      </c>
      <c r="D254" s="109" t="n"/>
      <c r="E254" s="225" t="n"/>
      <c r="F254" s="226" t="n"/>
      <c r="G254" s="108" t="n"/>
      <c r="H254" s="108" t="n"/>
      <c r="I254" s="109" t="n"/>
      <c r="J254" s="109" t="n"/>
      <c r="K254" s="109" t="n"/>
      <c r="L254" s="231">
        <f>IF($E254="","",DATE(YEAR($E254),MONTH($E254),1))</f>
        <v/>
      </c>
      <c r="M254" s="113">
        <f>IF($D254="","",IF($C254="TANIMSIZ MÜŞTERİ","HATA",IF(OR($E254="",$F254&lt;=0,$G254=""),"EKSİK",IF($E254&gt;TODAY(),"İLERİ TARİH","UYGUN"))))</f>
        <v/>
      </c>
      <c r="N254" s="121">
        <f>IF($C254="","",IF($C254="TANIMSIZ MÜŞTERİ","—",INDEX(MUSTERILER!$C$7:$C$106,MATCH($C254,MUSTERILER!$B$7:$B$106,0))))</f>
        <v/>
      </c>
      <c r="O254" s="6" t="n"/>
      <c r="P254" s="6" t="n"/>
      <c r="Q254" s="3">
        <f>IF($D254="","",$C254&amp;"|"&amp;COUNTIFS($C$7:$C254,$C254))</f>
        <v/>
      </c>
    </row>
    <row r="255">
      <c r="A255" s="6" t="n"/>
      <c r="B255" s="113">
        <f>IF($D255="","","T"&amp;TEXT(ROW()-6,"00000"))</f>
        <v/>
      </c>
      <c r="C255" s="113">
        <f>IF($D255="","",IFERROR(INDEX(MUSTERILER!$B$7:$B$106,MATCH($D255,MUSTERILER!$C$7:$C$106,0)),IFERROR(INDEX(MUSTERILER!$B$7:$B$106,MATCH($D255,MUSTERILER!$B$7:$B$106,0)),IFERROR(INDEX(MUSTERILER!$B$7:$B$106,MATCH($D255&amp;"*",MUSTERILER!$C$7:$C$106,0)),"TANIMSIZ MÜŞTERİ"))))</f>
        <v/>
      </c>
      <c r="D255" s="109" t="n"/>
      <c r="E255" s="225" t="n"/>
      <c r="F255" s="226" t="n"/>
      <c r="G255" s="108" t="n"/>
      <c r="H255" s="108" t="n"/>
      <c r="I255" s="109" t="n"/>
      <c r="J255" s="109" t="n"/>
      <c r="K255" s="109" t="n"/>
      <c r="L255" s="231">
        <f>IF($E255="","",DATE(YEAR($E255),MONTH($E255),1))</f>
        <v/>
      </c>
      <c r="M255" s="113">
        <f>IF($D255="","",IF($C255="TANIMSIZ MÜŞTERİ","HATA",IF(OR($E255="",$F255&lt;=0,$G255=""),"EKSİK",IF($E255&gt;TODAY(),"İLERİ TARİH","UYGUN"))))</f>
        <v/>
      </c>
      <c r="N255" s="121">
        <f>IF($C255="","",IF($C255="TANIMSIZ MÜŞTERİ","—",INDEX(MUSTERILER!$C$7:$C$106,MATCH($C255,MUSTERILER!$B$7:$B$106,0))))</f>
        <v/>
      </c>
      <c r="O255" s="6" t="n"/>
      <c r="P255" s="6" t="n"/>
      <c r="Q255" s="3">
        <f>IF($D255="","",$C255&amp;"|"&amp;COUNTIFS($C$7:$C255,$C255))</f>
        <v/>
      </c>
    </row>
    <row r="256">
      <c r="A256" s="6" t="n"/>
      <c r="B256" s="113">
        <f>IF($D256="","","T"&amp;TEXT(ROW()-6,"00000"))</f>
        <v/>
      </c>
      <c r="C256" s="113">
        <f>IF($D256="","",IFERROR(INDEX(MUSTERILER!$B$7:$B$106,MATCH($D256,MUSTERILER!$C$7:$C$106,0)),IFERROR(INDEX(MUSTERILER!$B$7:$B$106,MATCH($D256,MUSTERILER!$B$7:$B$106,0)),IFERROR(INDEX(MUSTERILER!$B$7:$B$106,MATCH($D256&amp;"*",MUSTERILER!$C$7:$C$106,0)),"TANIMSIZ MÜŞTERİ"))))</f>
        <v/>
      </c>
      <c r="D256" s="109" t="n"/>
      <c r="E256" s="225" t="n"/>
      <c r="F256" s="226" t="n"/>
      <c r="G256" s="108" t="n"/>
      <c r="H256" s="108" t="n"/>
      <c r="I256" s="109" t="n"/>
      <c r="J256" s="109" t="n"/>
      <c r="K256" s="109" t="n"/>
      <c r="L256" s="231">
        <f>IF($E256="","",DATE(YEAR($E256),MONTH($E256),1))</f>
        <v/>
      </c>
      <c r="M256" s="113">
        <f>IF($D256="","",IF($C256="TANIMSIZ MÜŞTERİ","HATA",IF(OR($E256="",$F256&lt;=0,$G256=""),"EKSİK",IF($E256&gt;TODAY(),"İLERİ TARİH","UYGUN"))))</f>
        <v/>
      </c>
      <c r="N256" s="121">
        <f>IF($C256="","",IF($C256="TANIMSIZ MÜŞTERİ","—",INDEX(MUSTERILER!$C$7:$C$106,MATCH($C256,MUSTERILER!$B$7:$B$106,0))))</f>
        <v/>
      </c>
      <c r="O256" s="6" t="n"/>
      <c r="P256" s="6" t="n"/>
      <c r="Q256" s="3">
        <f>IF($D256="","",$C256&amp;"|"&amp;COUNTIFS($C$7:$C256,$C256))</f>
        <v/>
      </c>
    </row>
    <row r="257">
      <c r="A257" s="6" t="n"/>
      <c r="B257" s="113">
        <f>IF($D257="","","T"&amp;TEXT(ROW()-6,"00000"))</f>
        <v/>
      </c>
      <c r="C257" s="113">
        <f>IF($D257="","",IFERROR(INDEX(MUSTERILER!$B$7:$B$106,MATCH($D257,MUSTERILER!$C$7:$C$106,0)),IFERROR(INDEX(MUSTERILER!$B$7:$B$106,MATCH($D257,MUSTERILER!$B$7:$B$106,0)),IFERROR(INDEX(MUSTERILER!$B$7:$B$106,MATCH($D257&amp;"*",MUSTERILER!$C$7:$C$106,0)),"TANIMSIZ MÜŞTERİ"))))</f>
        <v/>
      </c>
      <c r="D257" s="109" t="n"/>
      <c r="E257" s="225" t="n"/>
      <c r="F257" s="226" t="n"/>
      <c r="G257" s="108" t="n"/>
      <c r="H257" s="108" t="n"/>
      <c r="I257" s="109" t="n"/>
      <c r="J257" s="109" t="n"/>
      <c r="K257" s="109" t="n"/>
      <c r="L257" s="231">
        <f>IF($E257="","",DATE(YEAR($E257),MONTH($E257),1))</f>
        <v/>
      </c>
      <c r="M257" s="113">
        <f>IF($D257="","",IF($C257="TANIMSIZ MÜŞTERİ","HATA",IF(OR($E257="",$F257&lt;=0,$G257=""),"EKSİK",IF($E257&gt;TODAY(),"İLERİ TARİH","UYGUN"))))</f>
        <v/>
      </c>
      <c r="N257" s="121">
        <f>IF($C257="","",IF($C257="TANIMSIZ MÜŞTERİ","—",INDEX(MUSTERILER!$C$7:$C$106,MATCH($C257,MUSTERILER!$B$7:$B$106,0))))</f>
        <v/>
      </c>
      <c r="O257" s="6" t="n"/>
      <c r="P257" s="6" t="n"/>
      <c r="Q257" s="3">
        <f>IF($D257="","",$C257&amp;"|"&amp;COUNTIFS($C$7:$C257,$C257))</f>
        <v/>
      </c>
    </row>
    <row r="258">
      <c r="A258" s="6" t="n"/>
      <c r="B258" s="113">
        <f>IF($D258="","","T"&amp;TEXT(ROW()-6,"00000"))</f>
        <v/>
      </c>
      <c r="C258" s="113">
        <f>IF($D258="","",IFERROR(INDEX(MUSTERILER!$B$7:$B$106,MATCH($D258,MUSTERILER!$C$7:$C$106,0)),IFERROR(INDEX(MUSTERILER!$B$7:$B$106,MATCH($D258,MUSTERILER!$B$7:$B$106,0)),IFERROR(INDEX(MUSTERILER!$B$7:$B$106,MATCH($D258&amp;"*",MUSTERILER!$C$7:$C$106,0)),"TANIMSIZ MÜŞTERİ"))))</f>
        <v/>
      </c>
      <c r="D258" s="109" t="n"/>
      <c r="E258" s="225" t="n"/>
      <c r="F258" s="226" t="n"/>
      <c r="G258" s="108" t="n"/>
      <c r="H258" s="108" t="n"/>
      <c r="I258" s="109" t="n"/>
      <c r="J258" s="109" t="n"/>
      <c r="K258" s="109" t="n"/>
      <c r="L258" s="231">
        <f>IF($E258="","",DATE(YEAR($E258),MONTH($E258),1))</f>
        <v/>
      </c>
      <c r="M258" s="113">
        <f>IF($D258="","",IF($C258="TANIMSIZ MÜŞTERİ","HATA",IF(OR($E258="",$F258&lt;=0,$G258=""),"EKSİK",IF($E258&gt;TODAY(),"İLERİ TARİH","UYGUN"))))</f>
        <v/>
      </c>
      <c r="N258" s="121">
        <f>IF($C258="","",IF($C258="TANIMSIZ MÜŞTERİ","—",INDEX(MUSTERILER!$C$7:$C$106,MATCH($C258,MUSTERILER!$B$7:$B$106,0))))</f>
        <v/>
      </c>
      <c r="O258" s="6" t="n"/>
      <c r="P258" s="6" t="n"/>
      <c r="Q258" s="3">
        <f>IF($D258="","",$C258&amp;"|"&amp;COUNTIFS($C$7:$C258,$C258))</f>
        <v/>
      </c>
    </row>
    <row r="259">
      <c r="A259" s="6" t="n"/>
      <c r="B259" s="113">
        <f>IF($D259="","","T"&amp;TEXT(ROW()-6,"00000"))</f>
        <v/>
      </c>
      <c r="C259" s="113">
        <f>IF($D259="","",IFERROR(INDEX(MUSTERILER!$B$7:$B$106,MATCH($D259,MUSTERILER!$C$7:$C$106,0)),IFERROR(INDEX(MUSTERILER!$B$7:$B$106,MATCH($D259,MUSTERILER!$B$7:$B$106,0)),IFERROR(INDEX(MUSTERILER!$B$7:$B$106,MATCH($D259&amp;"*",MUSTERILER!$C$7:$C$106,0)),"TANIMSIZ MÜŞTERİ"))))</f>
        <v/>
      </c>
      <c r="D259" s="109" t="n"/>
      <c r="E259" s="225" t="n"/>
      <c r="F259" s="226" t="n"/>
      <c r="G259" s="108" t="n"/>
      <c r="H259" s="108" t="n"/>
      <c r="I259" s="109" t="n"/>
      <c r="J259" s="109" t="n"/>
      <c r="K259" s="109" t="n"/>
      <c r="L259" s="231">
        <f>IF($E259="","",DATE(YEAR($E259),MONTH($E259),1))</f>
        <v/>
      </c>
      <c r="M259" s="113">
        <f>IF($D259="","",IF($C259="TANIMSIZ MÜŞTERİ","HATA",IF(OR($E259="",$F259&lt;=0,$G259=""),"EKSİK",IF($E259&gt;TODAY(),"İLERİ TARİH","UYGUN"))))</f>
        <v/>
      </c>
      <c r="N259" s="121">
        <f>IF($C259="","",IF($C259="TANIMSIZ MÜŞTERİ","—",INDEX(MUSTERILER!$C$7:$C$106,MATCH($C259,MUSTERILER!$B$7:$B$106,0))))</f>
        <v/>
      </c>
      <c r="O259" s="6" t="n"/>
      <c r="P259" s="6" t="n"/>
      <c r="Q259" s="3">
        <f>IF($D259="","",$C259&amp;"|"&amp;COUNTIFS($C$7:$C259,$C259))</f>
        <v/>
      </c>
    </row>
    <row r="260">
      <c r="A260" s="6" t="n"/>
      <c r="B260" s="113">
        <f>IF($D260="","","T"&amp;TEXT(ROW()-6,"00000"))</f>
        <v/>
      </c>
      <c r="C260" s="113">
        <f>IF($D260="","",IFERROR(INDEX(MUSTERILER!$B$7:$B$106,MATCH($D260,MUSTERILER!$C$7:$C$106,0)),IFERROR(INDEX(MUSTERILER!$B$7:$B$106,MATCH($D260,MUSTERILER!$B$7:$B$106,0)),IFERROR(INDEX(MUSTERILER!$B$7:$B$106,MATCH($D260&amp;"*",MUSTERILER!$C$7:$C$106,0)),"TANIMSIZ MÜŞTERİ"))))</f>
        <v/>
      </c>
      <c r="D260" s="109" t="n"/>
      <c r="E260" s="225" t="n"/>
      <c r="F260" s="226" t="n"/>
      <c r="G260" s="108" t="n"/>
      <c r="H260" s="108" t="n"/>
      <c r="I260" s="109" t="n"/>
      <c r="J260" s="109" t="n"/>
      <c r="K260" s="109" t="n"/>
      <c r="L260" s="231">
        <f>IF($E260="","",DATE(YEAR($E260),MONTH($E260),1))</f>
        <v/>
      </c>
      <c r="M260" s="113">
        <f>IF($D260="","",IF($C260="TANIMSIZ MÜŞTERİ","HATA",IF(OR($E260="",$F260&lt;=0,$G260=""),"EKSİK",IF($E260&gt;TODAY(),"İLERİ TARİH","UYGUN"))))</f>
        <v/>
      </c>
      <c r="N260" s="121">
        <f>IF($C260="","",IF($C260="TANIMSIZ MÜŞTERİ","—",INDEX(MUSTERILER!$C$7:$C$106,MATCH($C260,MUSTERILER!$B$7:$B$106,0))))</f>
        <v/>
      </c>
      <c r="O260" s="6" t="n"/>
      <c r="P260" s="6" t="n"/>
      <c r="Q260" s="3">
        <f>IF($D260="","",$C260&amp;"|"&amp;COUNTIFS($C$7:$C260,$C260))</f>
        <v/>
      </c>
    </row>
    <row r="261">
      <c r="A261" s="6" t="n"/>
      <c r="B261" s="113">
        <f>IF($D261="","","T"&amp;TEXT(ROW()-6,"00000"))</f>
        <v/>
      </c>
      <c r="C261" s="113">
        <f>IF($D261="","",IFERROR(INDEX(MUSTERILER!$B$7:$B$106,MATCH($D261,MUSTERILER!$C$7:$C$106,0)),IFERROR(INDEX(MUSTERILER!$B$7:$B$106,MATCH($D261,MUSTERILER!$B$7:$B$106,0)),IFERROR(INDEX(MUSTERILER!$B$7:$B$106,MATCH($D261&amp;"*",MUSTERILER!$C$7:$C$106,0)),"TANIMSIZ MÜŞTERİ"))))</f>
        <v/>
      </c>
      <c r="D261" s="109" t="n"/>
      <c r="E261" s="225" t="n"/>
      <c r="F261" s="226" t="n"/>
      <c r="G261" s="108" t="n"/>
      <c r="H261" s="108" t="n"/>
      <c r="I261" s="109" t="n"/>
      <c r="J261" s="109" t="n"/>
      <c r="K261" s="109" t="n"/>
      <c r="L261" s="231">
        <f>IF($E261="","",DATE(YEAR($E261),MONTH($E261),1))</f>
        <v/>
      </c>
      <c r="M261" s="113">
        <f>IF($D261="","",IF($C261="TANIMSIZ MÜŞTERİ","HATA",IF(OR($E261="",$F261&lt;=0,$G261=""),"EKSİK",IF($E261&gt;TODAY(),"İLERİ TARİH","UYGUN"))))</f>
        <v/>
      </c>
      <c r="N261" s="121">
        <f>IF($C261="","",IF($C261="TANIMSIZ MÜŞTERİ","—",INDEX(MUSTERILER!$C$7:$C$106,MATCH($C261,MUSTERILER!$B$7:$B$106,0))))</f>
        <v/>
      </c>
      <c r="O261" s="6" t="n"/>
      <c r="P261" s="6" t="n"/>
      <c r="Q261" s="3">
        <f>IF($D261="","",$C261&amp;"|"&amp;COUNTIFS($C$7:$C261,$C261))</f>
        <v/>
      </c>
    </row>
    <row r="262">
      <c r="A262" s="6" t="n"/>
      <c r="B262" s="113">
        <f>IF($D262="","","T"&amp;TEXT(ROW()-6,"00000"))</f>
        <v/>
      </c>
      <c r="C262" s="113">
        <f>IF($D262="","",IFERROR(INDEX(MUSTERILER!$B$7:$B$106,MATCH($D262,MUSTERILER!$C$7:$C$106,0)),IFERROR(INDEX(MUSTERILER!$B$7:$B$106,MATCH($D262,MUSTERILER!$B$7:$B$106,0)),IFERROR(INDEX(MUSTERILER!$B$7:$B$106,MATCH($D262&amp;"*",MUSTERILER!$C$7:$C$106,0)),"TANIMSIZ MÜŞTERİ"))))</f>
        <v/>
      </c>
      <c r="D262" s="109" t="n"/>
      <c r="E262" s="225" t="n"/>
      <c r="F262" s="226" t="n"/>
      <c r="G262" s="108" t="n"/>
      <c r="H262" s="108" t="n"/>
      <c r="I262" s="109" t="n"/>
      <c r="J262" s="109" t="n"/>
      <c r="K262" s="109" t="n"/>
      <c r="L262" s="231">
        <f>IF($E262="","",DATE(YEAR($E262),MONTH($E262),1))</f>
        <v/>
      </c>
      <c r="M262" s="113">
        <f>IF($D262="","",IF($C262="TANIMSIZ MÜŞTERİ","HATA",IF(OR($E262="",$F262&lt;=0,$G262=""),"EKSİK",IF($E262&gt;TODAY(),"İLERİ TARİH","UYGUN"))))</f>
        <v/>
      </c>
      <c r="N262" s="121">
        <f>IF($C262="","",IF($C262="TANIMSIZ MÜŞTERİ","—",INDEX(MUSTERILER!$C$7:$C$106,MATCH($C262,MUSTERILER!$B$7:$B$106,0))))</f>
        <v/>
      </c>
      <c r="O262" s="6" t="n"/>
      <c r="P262" s="6" t="n"/>
      <c r="Q262" s="3">
        <f>IF($D262="","",$C262&amp;"|"&amp;COUNTIFS($C$7:$C262,$C262))</f>
        <v/>
      </c>
    </row>
    <row r="263">
      <c r="A263" s="6" t="n"/>
      <c r="B263" s="113">
        <f>IF($D263="","","T"&amp;TEXT(ROW()-6,"00000"))</f>
        <v/>
      </c>
      <c r="C263" s="113">
        <f>IF($D263="","",IFERROR(INDEX(MUSTERILER!$B$7:$B$106,MATCH($D263,MUSTERILER!$C$7:$C$106,0)),IFERROR(INDEX(MUSTERILER!$B$7:$B$106,MATCH($D263,MUSTERILER!$B$7:$B$106,0)),IFERROR(INDEX(MUSTERILER!$B$7:$B$106,MATCH($D263&amp;"*",MUSTERILER!$C$7:$C$106,0)),"TANIMSIZ MÜŞTERİ"))))</f>
        <v/>
      </c>
      <c r="D263" s="109" t="n"/>
      <c r="E263" s="225" t="n"/>
      <c r="F263" s="226" t="n"/>
      <c r="G263" s="108" t="n"/>
      <c r="H263" s="108" t="n"/>
      <c r="I263" s="109" t="n"/>
      <c r="J263" s="109" t="n"/>
      <c r="K263" s="109" t="n"/>
      <c r="L263" s="231">
        <f>IF($E263="","",DATE(YEAR($E263),MONTH($E263),1))</f>
        <v/>
      </c>
      <c r="M263" s="113">
        <f>IF($D263="","",IF($C263="TANIMSIZ MÜŞTERİ","HATA",IF(OR($E263="",$F263&lt;=0,$G263=""),"EKSİK",IF($E263&gt;TODAY(),"İLERİ TARİH","UYGUN"))))</f>
        <v/>
      </c>
      <c r="N263" s="121">
        <f>IF($C263="","",IF($C263="TANIMSIZ MÜŞTERİ","—",INDEX(MUSTERILER!$C$7:$C$106,MATCH($C263,MUSTERILER!$B$7:$B$106,0))))</f>
        <v/>
      </c>
      <c r="O263" s="6" t="n"/>
      <c r="P263" s="6" t="n"/>
      <c r="Q263" s="3">
        <f>IF($D263="","",$C263&amp;"|"&amp;COUNTIFS($C$7:$C263,$C263))</f>
        <v/>
      </c>
    </row>
    <row r="264">
      <c r="A264" s="6" t="n"/>
      <c r="B264" s="113">
        <f>IF($D264="","","T"&amp;TEXT(ROW()-6,"00000"))</f>
        <v/>
      </c>
      <c r="C264" s="113">
        <f>IF($D264="","",IFERROR(INDEX(MUSTERILER!$B$7:$B$106,MATCH($D264,MUSTERILER!$C$7:$C$106,0)),IFERROR(INDEX(MUSTERILER!$B$7:$B$106,MATCH($D264,MUSTERILER!$B$7:$B$106,0)),IFERROR(INDEX(MUSTERILER!$B$7:$B$106,MATCH($D264&amp;"*",MUSTERILER!$C$7:$C$106,0)),"TANIMSIZ MÜŞTERİ"))))</f>
        <v/>
      </c>
      <c r="D264" s="109" t="n"/>
      <c r="E264" s="225" t="n"/>
      <c r="F264" s="226" t="n"/>
      <c r="G264" s="108" t="n"/>
      <c r="H264" s="108" t="n"/>
      <c r="I264" s="109" t="n"/>
      <c r="J264" s="109" t="n"/>
      <c r="K264" s="109" t="n"/>
      <c r="L264" s="231">
        <f>IF($E264="","",DATE(YEAR($E264),MONTH($E264),1))</f>
        <v/>
      </c>
      <c r="M264" s="113">
        <f>IF($D264="","",IF($C264="TANIMSIZ MÜŞTERİ","HATA",IF(OR($E264="",$F264&lt;=0,$G264=""),"EKSİK",IF($E264&gt;TODAY(),"İLERİ TARİH","UYGUN"))))</f>
        <v/>
      </c>
      <c r="N264" s="121">
        <f>IF($C264="","",IF($C264="TANIMSIZ MÜŞTERİ","—",INDEX(MUSTERILER!$C$7:$C$106,MATCH($C264,MUSTERILER!$B$7:$B$106,0))))</f>
        <v/>
      </c>
      <c r="O264" s="6" t="n"/>
      <c r="P264" s="6" t="n"/>
      <c r="Q264" s="3">
        <f>IF($D264="","",$C264&amp;"|"&amp;COUNTIFS($C$7:$C264,$C264))</f>
        <v/>
      </c>
    </row>
    <row r="265">
      <c r="A265" s="6" t="n"/>
      <c r="B265" s="113">
        <f>IF($D265="","","T"&amp;TEXT(ROW()-6,"00000"))</f>
        <v/>
      </c>
      <c r="C265" s="113">
        <f>IF($D265="","",IFERROR(INDEX(MUSTERILER!$B$7:$B$106,MATCH($D265,MUSTERILER!$C$7:$C$106,0)),IFERROR(INDEX(MUSTERILER!$B$7:$B$106,MATCH($D265,MUSTERILER!$B$7:$B$106,0)),IFERROR(INDEX(MUSTERILER!$B$7:$B$106,MATCH($D265&amp;"*",MUSTERILER!$C$7:$C$106,0)),"TANIMSIZ MÜŞTERİ"))))</f>
        <v/>
      </c>
      <c r="D265" s="109" t="n"/>
      <c r="E265" s="225" t="n"/>
      <c r="F265" s="226" t="n"/>
      <c r="G265" s="108" t="n"/>
      <c r="H265" s="108" t="n"/>
      <c r="I265" s="109" t="n"/>
      <c r="J265" s="109" t="n"/>
      <c r="K265" s="109" t="n"/>
      <c r="L265" s="231">
        <f>IF($E265="","",DATE(YEAR($E265),MONTH($E265),1))</f>
        <v/>
      </c>
      <c r="M265" s="113">
        <f>IF($D265="","",IF($C265="TANIMSIZ MÜŞTERİ","HATA",IF(OR($E265="",$F265&lt;=0,$G265=""),"EKSİK",IF($E265&gt;TODAY(),"İLERİ TARİH","UYGUN"))))</f>
        <v/>
      </c>
      <c r="N265" s="121">
        <f>IF($C265="","",IF($C265="TANIMSIZ MÜŞTERİ","—",INDEX(MUSTERILER!$C$7:$C$106,MATCH($C265,MUSTERILER!$B$7:$B$106,0))))</f>
        <v/>
      </c>
      <c r="O265" s="6" t="n"/>
      <c r="P265" s="6" t="n"/>
      <c r="Q265" s="3">
        <f>IF($D265="","",$C265&amp;"|"&amp;COUNTIFS($C$7:$C265,$C265))</f>
        <v/>
      </c>
    </row>
    <row r="266">
      <c r="A266" s="6" t="n"/>
      <c r="B266" s="113">
        <f>IF($D266="","","T"&amp;TEXT(ROW()-6,"00000"))</f>
        <v/>
      </c>
      <c r="C266" s="113">
        <f>IF($D266="","",IFERROR(INDEX(MUSTERILER!$B$7:$B$106,MATCH($D266,MUSTERILER!$C$7:$C$106,0)),IFERROR(INDEX(MUSTERILER!$B$7:$B$106,MATCH($D266,MUSTERILER!$B$7:$B$106,0)),IFERROR(INDEX(MUSTERILER!$B$7:$B$106,MATCH($D266&amp;"*",MUSTERILER!$C$7:$C$106,0)),"TANIMSIZ MÜŞTERİ"))))</f>
        <v/>
      </c>
      <c r="D266" s="109" t="n"/>
      <c r="E266" s="225" t="n"/>
      <c r="F266" s="226" t="n"/>
      <c r="G266" s="108" t="n"/>
      <c r="H266" s="108" t="n"/>
      <c r="I266" s="109" t="n"/>
      <c r="J266" s="109" t="n"/>
      <c r="K266" s="109" t="n"/>
      <c r="L266" s="231">
        <f>IF($E266="","",DATE(YEAR($E266),MONTH($E266),1))</f>
        <v/>
      </c>
      <c r="M266" s="113">
        <f>IF($D266="","",IF($C266="TANIMSIZ MÜŞTERİ","HATA",IF(OR($E266="",$F266&lt;=0,$G266=""),"EKSİK",IF($E266&gt;TODAY(),"İLERİ TARİH","UYGUN"))))</f>
        <v/>
      </c>
      <c r="N266" s="121">
        <f>IF($C266="","",IF($C266="TANIMSIZ MÜŞTERİ","—",INDEX(MUSTERILER!$C$7:$C$106,MATCH($C266,MUSTERILER!$B$7:$B$106,0))))</f>
        <v/>
      </c>
      <c r="O266" s="6" t="n"/>
      <c r="P266" s="6" t="n"/>
      <c r="Q266" s="3">
        <f>IF($D266="","",$C266&amp;"|"&amp;COUNTIFS($C$7:$C266,$C266))</f>
        <v/>
      </c>
    </row>
    <row r="267">
      <c r="A267" s="6" t="n"/>
      <c r="B267" s="113">
        <f>IF($D267="","","T"&amp;TEXT(ROW()-6,"00000"))</f>
        <v/>
      </c>
      <c r="C267" s="113">
        <f>IF($D267="","",IFERROR(INDEX(MUSTERILER!$B$7:$B$106,MATCH($D267,MUSTERILER!$C$7:$C$106,0)),IFERROR(INDEX(MUSTERILER!$B$7:$B$106,MATCH($D267,MUSTERILER!$B$7:$B$106,0)),IFERROR(INDEX(MUSTERILER!$B$7:$B$106,MATCH($D267&amp;"*",MUSTERILER!$C$7:$C$106,0)),"TANIMSIZ MÜŞTERİ"))))</f>
        <v/>
      </c>
      <c r="D267" s="109" t="n"/>
      <c r="E267" s="225" t="n"/>
      <c r="F267" s="226" t="n"/>
      <c r="G267" s="108" t="n"/>
      <c r="H267" s="108" t="n"/>
      <c r="I267" s="109" t="n"/>
      <c r="J267" s="109" t="n"/>
      <c r="K267" s="109" t="n"/>
      <c r="L267" s="231">
        <f>IF($E267="","",DATE(YEAR($E267),MONTH($E267),1))</f>
        <v/>
      </c>
      <c r="M267" s="113">
        <f>IF($D267="","",IF($C267="TANIMSIZ MÜŞTERİ","HATA",IF(OR($E267="",$F267&lt;=0,$G267=""),"EKSİK",IF($E267&gt;TODAY(),"İLERİ TARİH","UYGUN"))))</f>
        <v/>
      </c>
      <c r="N267" s="121">
        <f>IF($C267="","",IF($C267="TANIMSIZ MÜŞTERİ","—",INDEX(MUSTERILER!$C$7:$C$106,MATCH($C267,MUSTERILER!$B$7:$B$106,0))))</f>
        <v/>
      </c>
      <c r="O267" s="6" t="n"/>
      <c r="P267" s="6" t="n"/>
      <c r="Q267" s="3">
        <f>IF($D267="","",$C267&amp;"|"&amp;COUNTIFS($C$7:$C267,$C267))</f>
        <v/>
      </c>
    </row>
    <row r="268">
      <c r="A268" s="6" t="n"/>
      <c r="B268" s="113">
        <f>IF($D268="","","T"&amp;TEXT(ROW()-6,"00000"))</f>
        <v/>
      </c>
      <c r="C268" s="113">
        <f>IF($D268="","",IFERROR(INDEX(MUSTERILER!$B$7:$B$106,MATCH($D268,MUSTERILER!$C$7:$C$106,0)),IFERROR(INDEX(MUSTERILER!$B$7:$B$106,MATCH($D268,MUSTERILER!$B$7:$B$106,0)),IFERROR(INDEX(MUSTERILER!$B$7:$B$106,MATCH($D268&amp;"*",MUSTERILER!$C$7:$C$106,0)),"TANIMSIZ MÜŞTERİ"))))</f>
        <v/>
      </c>
      <c r="D268" s="109" t="n"/>
      <c r="E268" s="225" t="n"/>
      <c r="F268" s="226" t="n"/>
      <c r="G268" s="108" t="n"/>
      <c r="H268" s="108" t="n"/>
      <c r="I268" s="109" t="n"/>
      <c r="J268" s="109" t="n"/>
      <c r="K268" s="109" t="n"/>
      <c r="L268" s="231">
        <f>IF($E268="","",DATE(YEAR($E268),MONTH($E268),1))</f>
        <v/>
      </c>
      <c r="M268" s="113">
        <f>IF($D268="","",IF($C268="TANIMSIZ MÜŞTERİ","HATA",IF(OR($E268="",$F268&lt;=0,$G268=""),"EKSİK",IF($E268&gt;TODAY(),"İLERİ TARİH","UYGUN"))))</f>
        <v/>
      </c>
      <c r="N268" s="121">
        <f>IF($C268="","",IF($C268="TANIMSIZ MÜŞTERİ","—",INDEX(MUSTERILER!$C$7:$C$106,MATCH($C268,MUSTERILER!$B$7:$B$106,0))))</f>
        <v/>
      </c>
      <c r="O268" s="6" t="n"/>
      <c r="P268" s="6" t="n"/>
      <c r="Q268" s="3">
        <f>IF($D268="","",$C268&amp;"|"&amp;COUNTIFS($C$7:$C268,$C268))</f>
        <v/>
      </c>
    </row>
    <row r="269">
      <c r="A269" s="6" t="n"/>
      <c r="B269" s="113">
        <f>IF($D269="","","T"&amp;TEXT(ROW()-6,"00000"))</f>
        <v/>
      </c>
      <c r="C269" s="113">
        <f>IF($D269="","",IFERROR(INDEX(MUSTERILER!$B$7:$B$106,MATCH($D269,MUSTERILER!$C$7:$C$106,0)),IFERROR(INDEX(MUSTERILER!$B$7:$B$106,MATCH($D269,MUSTERILER!$B$7:$B$106,0)),IFERROR(INDEX(MUSTERILER!$B$7:$B$106,MATCH($D269&amp;"*",MUSTERILER!$C$7:$C$106,0)),"TANIMSIZ MÜŞTERİ"))))</f>
        <v/>
      </c>
      <c r="D269" s="109" t="n"/>
      <c r="E269" s="225" t="n"/>
      <c r="F269" s="226" t="n"/>
      <c r="G269" s="108" t="n"/>
      <c r="H269" s="108" t="n"/>
      <c r="I269" s="109" t="n"/>
      <c r="J269" s="109" t="n"/>
      <c r="K269" s="109" t="n"/>
      <c r="L269" s="231">
        <f>IF($E269="","",DATE(YEAR($E269),MONTH($E269),1))</f>
        <v/>
      </c>
      <c r="M269" s="113">
        <f>IF($D269="","",IF($C269="TANIMSIZ MÜŞTERİ","HATA",IF(OR($E269="",$F269&lt;=0,$G269=""),"EKSİK",IF($E269&gt;TODAY(),"İLERİ TARİH","UYGUN"))))</f>
        <v/>
      </c>
      <c r="N269" s="121">
        <f>IF($C269="","",IF($C269="TANIMSIZ MÜŞTERİ","—",INDEX(MUSTERILER!$C$7:$C$106,MATCH($C269,MUSTERILER!$B$7:$B$106,0))))</f>
        <v/>
      </c>
      <c r="O269" s="6" t="n"/>
      <c r="P269" s="6" t="n"/>
      <c r="Q269" s="3">
        <f>IF($D269="","",$C269&amp;"|"&amp;COUNTIFS($C$7:$C269,$C269))</f>
        <v/>
      </c>
    </row>
    <row r="270">
      <c r="A270" s="6" t="n"/>
      <c r="B270" s="113">
        <f>IF($D270="","","T"&amp;TEXT(ROW()-6,"00000"))</f>
        <v/>
      </c>
      <c r="C270" s="113">
        <f>IF($D270="","",IFERROR(INDEX(MUSTERILER!$B$7:$B$106,MATCH($D270,MUSTERILER!$C$7:$C$106,0)),IFERROR(INDEX(MUSTERILER!$B$7:$B$106,MATCH($D270,MUSTERILER!$B$7:$B$106,0)),IFERROR(INDEX(MUSTERILER!$B$7:$B$106,MATCH($D270&amp;"*",MUSTERILER!$C$7:$C$106,0)),"TANIMSIZ MÜŞTERİ"))))</f>
        <v/>
      </c>
      <c r="D270" s="109" t="n"/>
      <c r="E270" s="225" t="n"/>
      <c r="F270" s="226" t="n"/>
      <c r="G270" s="108" t="n"/>
      <c r="H270" s="108" t="n"/>
      <c r="I270" s="109" t="n"/>
      <c r="J270" s="109" t="n"/>
      <c r="K270" s="109" t="n"/>
      <c r="L270" s="231">
        <f>IF($E270="","",DATE(YEAR($E270),MONTH($E270),1))</f>
        <v/>
      </c>
      <c r="M270" s="113">
        <f>IF($D270="","",IF($C270="TANIMSIZ MÜŞTERİ","HATA",IF(OR($E270="",$F270&lt;=0,$G270=""),"EKSİK",IF($E270&gt;TODAY(),"İLERİ TARİH","UYGUN"))))</f>
        <v/>
      </c>
      <c r="N270" s="121">
        <f>IF($C270="","",IF($C270="TANIMSIZ MÜŞTERİ","—",INDEX(MUSTERILER!$C$7:$C$106,MATCH($C270,MUSTERILER!$B$7:$B$106,0))))</f>
        <v/>
      </c>
      <c r="O270" s="6" t="n"/>
      <c r="P270" s="6" t="n"/>
      <c r="Q270" s="3">
        <f>IF($D270="","",$C270&amp;"|"&amp;COUNTIFS($C$7:$C270,$C270))</f>
        <v/>
      </c>
    </row>
    <row r="271">
      <c r="A271" s="6" t="n"/>
      <c r="B271" s="113">
        <f>IF($D271="","","T"&amp;TEXT(ROW()-6,"00000"))</f>
        <v/>
      </c>
      <c r="C271" s="113">
        <f>IF($D271="","",IFERROR(INDEX(MUSTERILER!$B$7:$B$106,MATCH($D271,MUSTERILER!$C$7:$C$106,0)),IFERROR(INDEX(MUSTERILER!$B$7:$B$106,MATCH($D271,MUSTERILER!$B$7:$B$106,0)),IFERROR(INDEX(MUSTERILER!$B$7:$B$106,MATCH($D271&amp;"*",MUSTERILER!$C$7:$C$106,0)),"TANIMSIZ MÜŞTERİ"))))</f>
        <v/>
      </c>
      <c r="D271" s="109" t="n"/>
      <c r="E271" s="225" t="n"/>
      <c r="F271" s="226" t="n"/>
      <c r="G271" s="108" t="n"/>
      <c r="H271" s="108" t="n"/>
      <c r="I271" s="109" t="n"/>
      <c r="J271" s="109" t="n"/>
      <c r="K271" s="109" t="n"/>
      <c r="L271" s="231">
        <f>IF($E271="","",DATE(YEAR($E271),MONTH($E271),1))</f>
        <v/>
      </c>
      <c r="M271" s="113">
        <f>IF($D271="","",IF($C271="TANIMSIZ MÜŞTERİ","HATA",IF(OR($E271="",$F271&lt;=0,$G271=""),"EKSİK",IF($E271&gt;TODAY(),"İLERİ TARİH","UYGUN"))))</f>
        <v/>
      </c>
      <c r="N271" s="121">
        <f>IF($C271="","",IF($C271="TANIMSIZ MÜŞTERİ","—",INDEX(MUSTERILER!$C$7:$C$106,MATCH($C271,MUSTERILER!$B$7:$B$106,0))))</f>
        <v/>
      </c>
      <c r="O271" s="6" t="n"/>
      <c r="P271" s="6" t="n"/>
      <c r="Q271" s="3">
        <f>IF($D271="","",$C271&amp;"|"&amp;COUNTIFS($C$7:$C271,$C271))</f>
        <v/>
      </c>
    </row>
    <row r="272">
      <c r="A272" s="6" t="n"/>
      <c r="B272" s="113">
        <f>IF($D272="","","T"&amp;TEXT(ROW()-6,"00000"))</f>
        <v/>
      </c>
      <c r="C272" s="113">
        <f>IF($D272="","",IFERROR(INDEX(MUSTERILER!$B$7:$B$106,MATCH($D272,MUSTERILER!$C$7:$C$106,0)),IFERROR(INDEX(MUSTERILER!$B$7:$B$106,MATCH($D272,MUSTERILER!$B$7:$B$106,0)),IFERROR(INDEX(MUSTERILER!$B$7:$B$106,MATCH($D272&amp;"*",MUSTERILER!$C$7:$C$106,0)),"TANIMSIZ MÜŞTERİ"))))</f>
        <v/>
      </c>
      <c r="D272" s="109" t="n"/>
      <c r="E272" s="225" t="n"/>
      <c r="F272" s="226" t="n"/>
      <c r="G272" s="108" t="n"/>
      <c r="H272" s="108" t="n"/>
      <c r="I272" s="109" t="n"/>
      <c r="J272" s="109" t="n"/>
      <c r="K272" s="109" t="n"/>
      <c r="L272" s="231">
        <f>IF($E272="","",DATE(YEAR($E272),MONTH($E272),1))</f>
        <v/>
      </c>
      <c r="M272" s="113">
        <f>IF($D272="","",IF($C272="TANIMSIZ MÜŞTERİ","HATA",IF(OR($E272="",$F272&lt;=0,$G272=""),"EKSİK",IF($E272&gt;TODAY(),"İLERİ TARİH","UYGUN"))))</f>
        <v/>
      </c>
      <c r="N272" s="121">
        <f>IF($C272="","",IF($C272="TANIMSIZ MÜŞTERİ","—",INDEX(MUSTERILER!$C$7:$C$106,MATCH($C272,MUSTERILER!$B$7:$B$106,0))))</f>
        <v/>
      </c>
      <c r="O272" s="6" t="n"/>
      <c r="P272" s="6" t="n"/>
      <c r="Q272" s="3">
        <f>IF($D272="","",$C272&amp;"|"&amp;COUNTIFS($C$7:$C272,$C272))</f>
        <v/>
      </c>
    </row>
    <row r="273">
      <c r="A273" s="6" t="n"/>
      <c r="B273" s="113">
        <f>IF($D273="","","T"&amp;TEXT(ROW()-6,"00000"))</f>
        <v/>
      </c>
      <c r="C273" s="113">
        <f>IF($D273="","",IFERROR(INDEX(MUSTERILER!$B$7:$B$106,MATCH($D273,MUSTERILER!$C$7:$C$106,0)),IFERROR(INDEX(MUSTERILER!$B$7:$B$106,MATCH($D273,MUSTERILER!$B$7:$B$106,0)),IFERROR(INDEX(MUSTERILER!$B$7:$B$106,MATCH($D273&amp;"*",MUSTERILER!$C$7:$C$106,0)),"TANIMSIZ MÜŞTERİ"))))</f>
        <v/>
      </c>
      <c r="D273" s="109" t="n"/>
      <c r="E273" s="225" t="n"/>
      <c r="F273" s="226" t="n"/>
      <c r="G273" s="108" t="n"/>
      <c r="H273" s="108" t="n"/>
      <c r="I273" s="109" t="n"/>
      <c r="J273" s="109" t="n"/>
      <c r="K273" s="109" t="n"/>
      <c r="L273" s="231">
        <f>IF($E273="","",DATE(YEAR($E273),MONTH($E273),1))</f>
        <v/>
      </c>
      <c r="M273" s="113">
        <f>IF($D273="","",IF($C273="TANIMSIZ MÜŞTERİ","HATA",IF(OR($E273="",$F273&lt;=0,$G273=""),"EKSİK",IF($E273&gt;TODAY(),"İLERİ TARİH","UYGUN"))))</f>
        <v/>
      </c>
      <c r="N273" s="121">
        <f>IF($C273="","",IF($C273="TANIMSIZ MÜŞTERİ","—",INDEX(MUSTERILER!$C$7:$C$106,MATCH($C273,MUSTERILER!$B$7:$B$106,0))))</f>
        <v/>
      </c>
      <c r="O273" s="6" t="n"/>
      <c r="P273" s="6" t="n"/>
      <c r="Q273" s="3">
        <f>IF($D273="","",$C273&amp;"|"&amp;COUNTIFS($C$7:$C273,$C273))</f>
        <v/>
      </c>
    </row>
    <row r="274">
      <c r="A274" s="6" t="n"/>
      <c r="B274" s="113">
        <f>IF($D274="","","T"&amp;TEXT(ROW()-6,"00000"))</f>
        <v/>
      </c>
      <c r="C274" s="113">
        <f>IF($D274="","",IFERROR(INDEX(MUSTERILER!$B$7:$B$106,MATCH($D274,MUSTERILER!$C$7:$C$106,0)),IFERROR(INDEX(MUSTERILER!$B$7:$B$106,MATCH($D274,MUSTERILER!$B$7:$B$106,0)),IFERROR(INDEX(MUSTERILER!$B$7:$B$106,MATCH($D274&amp;"*",MUSTERILER!$C$7:$C$106,0)),"TANIMSIZ MÜŞTERİ"))))</f>
        <v/>
      </c>
      <c r="D274" s="109" t="n"/>
      <c r="E274" s="225" t="n"/>
      <c r="F274" s="226" t="n"/>
      <c r="G274" s="108" t="n"/>
      <c r="H274" s="108" t="n"/>
      <c r="I274" s="109" t="n"/>
      <c r="J274" s="109" t="n"/>
      <c r="K274" s="109" t="n"/>
      <c r="L274" s="231">
        <f>IF($E274="","",DATE(YEAR($E274),MONTH($E274),1))</f>
        <v/>
      </c>
      <c r="M274" s="113">
        <f>IF($D274="","",IF($C274="TANIMSIZ MÜŞTERİ","HATA",IF(OR($E274="",$F274&lt;=0,$G274=""),"EKSİK",IF($E274&gt;TODAY(),"İLERİ TARİH","UYGUN"))))</f>
        <v/>
      </c>
      <c r="N274" s="121">
        <f>IF($C274="","",IF($C274="TANIMSIZ MÜŞTERİ","—",INDEX(MUSTERILER!$C$7:$C$106,MATCH($C274,MUSTERILER!$B$7:$B$106,0))))</f>
        <v/>
      </c>
      <c r="O274" s="6" t="n"/>
      <c r="P274" s="6" t="n"/>
      <c r="Q274" s="3">
        <f>IF($D274="","",$C274&amp;"|"&amp;COUNTIFS($C$7:$C274,$C274))</f>
        <v/>
      </c>
    </row>
    <row r="275">
      <c r="A275" s="6" t="n"/>
      <c r="B275" s="113">
        <f>IF($D275="","","T"&amp;TEXT(ROW()-6,"00000"))</f>
        <v/>
      </c>
      <c r="C275" s="113">
        <f>IF($D275="","",IFERROR(INDEX(MUSTERILER!$B$7:$B$106,MATCH($D275,MUSTERILER!$C$7:$C$106,0)),IFERROR(INDEX(MUSTERILER!$B$7:$B$106,MATCH($D275,MUSTERILER!$B$7:$B$106,0)),IFERROR(INDEX(MUSTERILER!$B$7:$B$106,MATCH($D275&amp;"*",MUSTERILER!$C$7:$C$106,0)),"TANIMSIZ MÜŞTERİ"))))</f>
        <v/>
      </c>
      <c r="D275" s="109" t="n"/>
      <c r="E275" s="225" t="n"/>
      <c r="F275" s="226" t="n"/>
      <c r="G275" s="108" t="n"/>
      <c r="H275" s="108" t="n"/>
      <c r="I275" s="109" t="n"/>
      <c r="J275" s="109" t="n"/>
      <c r="K275" s="109" t="n"/>
      <c r="L275" s="231">
        <f>IF($E275="","",DATE(YEAR($E275),MONTH($E275),1))</f>
        <v/>
      </c>
      <c r="M275" s="113">
        <f>IF($D275="","",IF($C275="TANIMSIZ MÜŞTERİ","HATA",IF(OR($E275="",$F275&lt;=0,$G275=""),"EKSİK",IF($E275&gt;TODAY(),"İLERİ TARİH","UYGUN"))))</f>
        <v/>
      </c>
      <c r="N275" s="121">
        <f>IF($C275="","",IF($C275="TANIMSIZ MÜŞTERİ","—",INDEX(MUSTERILER!$C$7:$C$106,MATCH($C275,MUSTERILER!$B$7:$B$106,0))))</f>
        <v/>
      </c>
      <c r="O275" s="6" t="n"/>
      <c r="P275" s="6" t="n"/>
      <c r="Q275" s="3">
        <f>IF($D275="","",$C275&amp;"|"&amp;COUNTIFS($C$7:$C275,$C275))</f>
        <v/>
      </c>
    </row>
    <row r="276">
      <c r="A276" s="6" t="n"/>
      <c r="B276" s="113">
        <f>IF($D276="","","T"&amp;TEXT(ROW()-6,"00000"))</f>
        <v/>
      </c>
      <c r="C276" s="113">
        <f>IF($D276="","",IFERROR(INDEX(MUSTERILER!$B$7:$B$106,MATCH($D276,MUSTERILER!$C$7:$C$106,0)),IFERROR(INDEX(MUSTERILER!$B$7:$B$106,MATCH($D276,MUSTERILER!$B$7:$B$106,0)),IFERROR(INDEX(MUSTERILER!$B$7:$B$106,MATCH($D276&amp;"*",MUSTERILER!$C$7:$C$106,0)),"TANIMSIZ MÜŞTERİ"))))</f>
        <v/>
      </c>
      <c r="D276" s="109" t="n"/>
      <c r="E276" s="225" t="n"/>
      <c r="F276" s="226" t="n"/>
      <c r="G276" s="108" t="n"/>
      <c r="H276" s="108" t="n"/>
      <c r="I276" s="109" t="n"/>
      <c r="J276" s="109" t="n"/>
      <c r="K276" s="109" t="n"/>
      <c r="L276" s="231">
        <f>IF($E276="","",DATE(YEAR($E276),MONTH($E276),1))</f>
        <v/>
      </c>
      <c r="M276" s="113">
        <f>IF($D276="","",IF($C276="TANIMSIZ MÜŞTERİ","HATA",IF(OR($E276="",$F276&lt;=0,$G276=""),"EKSİK",IF($E276&gt;TODAY(),"İLERİ TARİH","UYGUN"))))</f>
        <v/>
      </c>
      <c r="N276" s="121">
        <f>IF($C276="","",IF($C276="TANIMSIZ MÜŞTERİ","—",INDEX(MUSTERILER!$C$7:$C$106,MATCH($C276,MUSTERILER!$B$7:$B$106,0))))</f>
        <v/>
      </c>
      <c r="O276" s="6" t="n"/>
      <c r="P276" s="6" t="n"/>
      <c r="Q276" s="3">
        <f>IF($D276="","",$C276&amp;"|"&amp;COUNTIFS($C$7:$C276,$C276))</f>
        <v/>
      </c>
    </row>
    <row r="277">
      <c r="A277" s="6" t="n"/>
      <c r="B277" s="113">
        <f>IF($D277="","","T"&amp;TEXT(ROW()-6,"00000"))</f>
        <v/>
      </c>
      <c r="C277" s="113">
        <f>IF($D277="","",IFERROR(INDEX(MUSTERILER!$B$7:$B$106,MATCH($D277,MUSTERILER!$C$7:$C$106,0)),IFERROR(INDEX(MUSTERILER!$B$7:$B$106,MATCH($D277,MUSTERILER!$B$7:$B$106,0)),IFERROR(INDEX(MUSTERILER!$B$7:$B$106,MATCH($D277&amp;"*",MUSTERILER!$C$7:$C$106,0)),"TANIMSIZ MÜŞTERİ"))))</f>
        <v/>
      </c>
      <c r="D277" s="109" t="n"/>
      <c r="E277" s="225" t="n"/>
      <c r="F277" s="226" t="n"/>
      <c r="G277" s="108" t="n"/>
      <c r="H277" s="108" t="n"/>
      <c r="I277" s="109" t="n"/>
      <c r="J277" s="109" t="n"/>
      <c r="K277" s="109" t="n"/>
      <c r="L277" s="231">
        <f>IF($E277="","",DATE(YEAR($E277),MONTH($E277),1))</f>
        <v/>
      </c>
      <c r="M277" s="113">
        <f>IF($D277="","",IF($C277="TANIMSIZ MÜŞTERİ","HATA",IF(OR($E277="",$F277&lt;=0,$G277=""),"EKSİK",IF($E277&gt;TODAY(),"İLERİ TARİH","UYGUN"))))</f>
        <v/>
      </c>
      <c r="N277" s="121">
        <f>IF($C277="","",IF($C277="TANIMSIZ MÜŞTERİ","—",INDEX(MUSTERILER!$C$7:$C$106,MATCH($C277,MUSTERILER!$B$7:$B$106,0))))</f>
        <v/>
      </c>
      <c r="O277" s="6" t="n"/>
      <c r="P277" s="6" t="n"/>
      <c r="Q277" s="3">
        <f>IF($D277="","",$C277&amp;"|"&amp;COUNTIFS($C$7:$C277,$C277))</f>
        <v/>
      </c>
    </row>
    <row r="278">
      <c r="A278" s="6" t="n"/>
      <c r="B278" s="113">
        <f>IF($D278="","","T"&amp;TEXT(ROW()-6,"00000"))</f>
        <v/>
      </c>
      <c r="C278" s="113">
        <f>IF($D278="","",IFERROR(INDEX(MUSTERILER!$B$7:$B$106,MATCH($D278,MUSTERILER!$C$7:$C$106,0)),IFERROR(INDEX(MUSTERILER!$B$7:$B$106,MATCH($D278,MUSTERILER!$B$7:$B$106,0)),IFERROR(INDEX(MUSTERILER!$B$7:$B$106,MATCH($D278&amp;"*",MUSTERILER!$C$7:$C$106,0)),"TANIMSIZ MÜŞTERİ"))))</f>
        <v/>
      </c>
      <c r="D278" s="109" t="n"/>
      <c r="E278" s="225" t="n"/>
      <c r="F278" s="226" t="n"/>
      <c r="G278" s="108" t="n"/>
      <c r="H278" s="108" t="n"/>
      <c r="I278" s="109" t="n"/>
      <c r="J278" s="109" t="n"/>
      <c r="K278" s="109" t="n"/>
      <c r="L278" s="231">
        <f>IF($E278="","",DATE(YEAR($E278),MONTH($E278),1))</f>
        <v/>
      </c>
      <c r="M278" s="113">
        <f>IF($D278="","",IF($C278="TANIMSIZ MÜŞTERİ","HATA",IF(OR($E278="",$F278&lt;=0,$G278=""),"EKSİK",IF($E278&gt;TODAY(),"İLERİ TARİH","UYGUN"))))</f>
        <v/>
      </c>
      <c r="N278" s="121">
        <f>IF($C278="","",IF($C278="TANIMSIZ MÜŞTERİ","—",INDEX(MUSTERILER!$C$7:$C$106,MATCH($C278,MUSTERILER!$B$7:$B$106,0))))</f>
        <v/>
      </c>
      <c r="O278" s="6" t="n"/>
      <c r="P278" s="6" t="n"/>
      <c r="Q278" s="3">
        <f>IF($D278="","",$C278&amp;"|"&amp;COUNTIFS($C$7:$C278,$C278))</f>
        <v/>
      </c>
    </row>
    <row r="279">
      <c r="A279" s="6" t="n"/>
      <c r="B279" s="113">
        <f>IF($D279="","","T"&amp;TEXT(ROW()-6,"00000"))</f>
        <v/>
      </c>
      <c r="C279" s="113">
        <f>IF($D279="","",IFERROR(INDEX(MUSTERILER!$B$7:$B$106,MATCH($D279,MUSTERILER!$C$7:$C$106,0)),IFERROR(INDEX(MUSTERILER!$B$7:$B$106,MATCH($D279,MUSTERILER!$B$7:$B$106,0)),IFERROR(INDEX(MUSTERILER!$B$7:$B$106,MATCH($D279&amp;"*",MUSTERILER!$C$7:$C$106,0)),"TANIMSIZ MÜŞTERİ"))))</f>
        <v/>
      </c>
      <c r="D279" s="109" t="n"/>
      <c r="E279" s="225" t="n"/>
      <c r="F279" s="226" t="n"/>
      <c r="G279" s="108" t="n"/>
      <c r="H279" s="108" t="n"/>
      <c r="I279" s="109" t="n"/>
      <c r="J279" s="109" t="n"/>
      <c r="K279" s="109" t="n"/>
      <c r="L279" s="231">
        <f>IF($E279="","",DATE(YEAR($E279),MONTH($E279),1))</f>
        <v/>
      </c>
      <c r="M279" s="113">
        <f>IF($D279="","",IF($C279="TANIMSIZ MÜŞTERİ","HATA",IF(OR($E279="",$F279&lt;=0,$G279=""),"EKSİK",IF($E279&gt;TODAY(),"İLERİ TARİH","UYGUN"))))</f>
        <v/>
      </c>
      <c r="N279" s="121">
        <f>IF($C279="","",IF($C279="TANIMSIZ MÜŞTERİ","—",INDEX(MUSTERILER!$C$7:$C$106,MATCH($C279,MUSTERILER!$B$7:$B$106,0))))</f>
        <v/>
      </c>
      <c r="O279" s="6" t="n"/>
      <c r="P279" s="6" t="n"/>
      <c r="Q279" s="3">
        <f>IF($D279="","",$C279&amp;"|"&amp;COUNTIFS($C$7:$C279,$C279))</f>
        <v/>
      </c>
    </row>
    <row r="280">
      <c r="A280" s="6" t="n"/>
      <c r="B280" s="113">
        <f>IF($D280="","","T"&amp;TEXT(ROW()-6,"00000"))</f>
        <v/>
      </c>
      <c r="C280" s="113">
        <f>IF($D280="","",IFERROR(INDEX(MUSTERILER!$B$7:$B$106,MATCH($D280,MUSTERILER!$C$7:$C$106,0)),IFERROR(INDEX(MUSTERILER!$B$7:$B$106,MATCH($D280,MUSTERILER!$B$7:$B$106,0)),IFERROR(INDEX(MUSTERILER!$B$7:$B$106,MATCH($D280&amp;"*",MUSTERILER!$C$7:$C$106,0)),"TANIMSIZ MÜŞTERİ"))))</f>
        <v/>
      </c>
      <c r="D280" s="109" t="n"/>
      <c r="E280" s="225" t="n"/>
      <c r="F280" s="226" t="n"/>
      <c r="G280" s="108" t="n"/>
      <c r="H280" s="108" t="n"/>
      <c r="I280" s="109" t="n"/>
      <c r="J280" s="109" t="n"/>
      <c r="K280" s="109" t="n"/>
      <c r="L280" s="231">
        <f>IF($E280="","",DATE(YEAR($E280),MONTH($E280),1))</f>
        <v/>
      </c>
      <c r="M280" s="113">
        <f>IF($D280="","",IF($C280="TANIMSIZ MÜŞTERİ","HATA",IF(OR($E280="",$F280&lt;=0,$G280=""),"EKSİK",IF($E280&gt;TODAY(),"İLERİ TARİH","UYGUN"))))</f>
        <v/>
      </c>
      <c r="N280" s="121">
        <f>IF($C280="","",IF($C280="TANIMSIZ MÜŞTERİ","—",INDEX(MUSTERILER!$C$7:$C$106,MATCH($C280,MUSTERILER!$B$7:$B$106,0))))</f>
        <v/>
      </c>
      <c r="O280" s="6" t="n"/>
      <c r="P280" s="6" t="n"/>
      <c r="Q280" s="3">
        <f>IF($D280="","",$C280&amp;"|"&amp;COUNTIFS($C$7:$C280,$C280))</f>
        <v/>
      </c>
    </row>
    <row r="281">
      <c r="A281" s="6" t="n"/>
      <c r="B281" s="113">
        <f>IF($D281="","","T"&amp;TEXT(ROW()-6,"00000"))</f>
        <v/>
      </c>
      <c r="C281" s="113">
        <f>IF($D281="","",IFERROR(INDEX(MUSTERILER!$B$7:$B$106,MATCH($D281,MUSTERILER!$C$7:$C$106,0)),IFERROR(INDEX(MUSTERILER!$B$7:$B$106,MATCH($D281,MUSTERILER!$B$7:$B$106,0)),IFERROR(INDEX(MUSTERILER!$B$7:$B$106,MATCH($D281&amp;"*",MUSTERILER!$C$7:$C$106,0)),"TANIMSIZ MÜŞTERİ"))))</f>
        <v/>
      </c>
      <c r="D281" s="109" t="n"/>
      <c r="E281" s="225" t="n"/>
      <c r="F281" s="226" t="n"/>
      <c r="G281" s="108" t="n"/>
      <c r="H281" s="108" t="n"/>
      <c r="I281" s="109" t="n"/>
      <c r="J281" s="109" t="n"/>
      <c r="K281" s="109" t="n"/>
      <c r="L281" s="231">
        <f>IF($E281="","",DATE(YEAR($E281),MONTH($E281),1))</f>
        <v/>
      </c>
      <c r="M281" s="113">
        <f>IF($D281="","",IF($C281="TANIMSIZ MÜŞTERİ","HATA",IF(OR($E281="",$F281&lt;=0,$G281=""),"EKSİK",IF($E281&gt;TODAY(),"İLERİ TARİH","UYGUN"))))</f>
        <v/>
      </c>
      <c r="N281" s="121">
        <f>IF($C281="","",IF($C281="TANIMSIZ MÜŞTERİ","—",INDEX(MUSTERILER!$C$7:$C$106,MATCH($C281,MUSTERILER!$B$7:$B$106,0))))</f>
        <v/>
      </c>
      <c r="O281" s="6" t="n"/>
      <c r="P281" s="6" t="n"/>
      <c r="Q281" s="3">
        <f>IF($D281="","",$C281&amp;"|"&amp;COUNTIFS($C$7:$C281,$C281))</f>
        <v/>
      </c>
    </row>
    <row r="282">
      <c r="A282" s="6" t="n"/>
      <c r="B282" s="113">
        <f>IF($D282="","","T"&amp;TEXT(ROW()-6,"00000"))</f>
        <v/>
      </c>
      <c r="C282" s="113">
        <f>IF($D282="","",IFERROR(INDEX(MUSTERILER!$B$7:$B$106,MATCH($D282,MUSTERILER!$C$7:$C$106,0)),IFERROR(INDEX(MUSTERILER!$B$7:$B$106,MATCH($D282,MUSTERILER!$B$7:$B$106,0)),IFERROR(INDEX(MUSTERILER!$B$7:$B$106,MATCH($D282&amp;"*",MUSTERILER!$C$7:$C$106,0)),"TANIMSIZ MÜŞTERİ"))))</f>
        <v/>
      </c>
      <c r="D282" s="109" t="n"/>
      <c r="E282" s="225" t="n"/>
      <c r="F282" s="226" t="n"/>
      <c r="G282" s="108" t="n"/>
      <c r="H282" s="108" t="n"/>
      <c r="I282" s="109" t="n"/>
      <c r="J282" s="109" t="n"/>
      <c r="K282" s="109" t="n"/>
      <c r="L282" s="231">
        <f>IF($E282="","",DATE(YEAR($E282),MONTH($E282),1))</f>
        <v/>
      </c>
      <c r="M282" s="113">
        <f>IF($D282="","",IF($C282="TANIMSIZ MÜŞTERİ","HATA",IF(OR($E282="",$F282&lt;=0,$G282=""),"EKSİK",IF($E282&gt;TODAY(),"İLERİ TARİH","UYGUN"))))</f>
        <v/>
      </c>
      <c r="N282" s="121">
        <f>IF($C282="","",IF($C282="TANIMSIZ MÜŞTERİ","—",INDEX(MUSTERILER!$C$7:$C$106,MATCH($C282,MUSTERILER!$B$7:$B$106,0))))</f>
        <v/>
      </c>
      <c r="O282" s="6" t="n"/>
      <c r="P282" s="6" t="n"/>
      <c r="Q282" s="3">
        <f>IF($D282="","",$C282&amp;"|"&amp;COUNTIFS($C$7:$C282,$C282))</f>
        <v/>
      </c>
    </row>
    <row r="283">
      <c r="A283" s="6" t="n"/>
      <c r="B283" s="113">
        <f>IF($D283="","","T"&amp;TEXT(ROW()-6,"00000"))</f>
        <v/>
      </c>
      <c r="C283" s="113">
        <f>IF($D283="","",IFERROR(INDEX(MUSTERILER!$B$7:$B$106,MATCH($D283,MUSTERILER!$C$7:$C$106,0)),IFERROR(INDEX(MUSTERILER!$B$7:$B$106,MATCH($D283,MUSTERILER!$B$7:$B$106,0)),IFERROR(INDEX(MUSTERILER!$B$7:$B$106,MATCH($D283&amp;"*",MUSTERILER!$C$7:$C$106,0)),"TANIMSIZ MÜŞTERİ"))))</f>
        <v/>
      </c>
      <c r="D283" s="109" t="n"/>
      <c r="E283" s="225" t="n"/>
      <c r="F283" s="226" t="n"/>
      <c r="G283" s="108" t="n"/>
      <c r="H283" s="108" t="n"/>
      <c r="I283" s="109" t="n"/>
      <c r="J283" s="109" t="n"/>
      <c r="K283" s="109" t="n"/>
      <c r="L283" s="231">
        <f>IF($E283="","",DATE(YEAR($E283),MONTH($E283),1))</f>
        <v/>
      </c>
      <c r="M283" s="113">
        <f>IF($D283="","",IF($C283="TANIMSIZ MÜŞTERİ","HATA",IF(OR($E283="",$F283&lt;=0,$G283=""),"EKSİK",IF($E283&gt;TODAY(),"İLERİ TARİH","UYGUN"))))</f>
        <v/>
      </c>
      <c r="N283" s="121">
        <f>IF($C283="","",IF($C283="TANIMSIZ MÜŞTERİ","—",INDEX(MUSTERILER!$C$7:$C$106,MATCH($C283,MUSTERILER!$B$7:$B$106,0))))</f>
        <v/>
      </c>
      <c r="O283" s="6" t="n"/>
      <c r="P283" s="6" t="n"/>
      <c r="Q283" s="3">
        <f>IF($D283="","",$C283&amp;"|"&amp;COUNTIFS($C$7:$C283,$C283))</f>
        <v/>
      </c>
    </row>
    <row r="284">
      <c r="A284" s="6" t="n"/>
      <c r="B284" s="113">
        <f>IF($D284="","","T"&amp;TEXT(ROW()-6,"00000"))</f>
        <v/>
      </c>
      <c r="C284" s="113">
        <f>IF($D284="","",IFERROR(INDEX(MUSTERILER!$B$7:$B$106,MATCH($D284,MUSTERILER!$C$7:$C$106,0)),IFERROR(INDEX(MUSTERILER!$B$7:$B$106,MATCH($D284,MUSTERILER!$B$7:$B$106,0)),IFERROR(INDEX(MUSTERILER!$B$7:$B$106,MATCH($D284&amp;"*",MUSTERILER!$C$7:$C$106,0)),"TANIMSIZ MÜŞTERİ"))))</f>
        <v/>
      </c>
      <c r="D284" s="109" t="n"/>
      <c r="E284" s="225" t="n"/>
      <c r="F284" s="226" t="n"/>
      <c r="G284" s="108" t="n"/>
      <c r="H284" s="108" t="n"/>
      <c r="I284" s="109" t="n"/>
      <c r="J284" s="109" t="n"/>
      <c r="K284" s="109" t="n"/>
      <c r="L284" s="231">
        <f>IF($E284="","",DATE(YEAR($E284),MONTH($E284),1))</f>
        <v/>
      </c>
      <c r="M284" s="113">
        <f>IF($D284="","",IF($C284="TANIMSIZ MÜŞTERİ","HATA",IF(OR($E284="",$F284&lt;=0,$G284=""),"EKSİK",IF($E284&gt;TODAY(),"İLERİ TARİH","UYGUN"))))</f>
        <v/>
      </c>
      <c r="N284" s="121">
        <f>IF($C284="","",IF($C284="TANIMSIZ MÜŞTERİ","—",INDEX(MUSTERILER!$C$7:$C$106,MATCH($C284,MUSTERILER!$B$7:$B$106,0))))</f>
        <v/>
      </c>
      <c r="O284" s="6" t="n"/>
      <c r="P284" s="6" t="n"/>
      <c r="Q284" s="3">
        <f>IF($D284="","",$C284&amp;"|"&amp;COUNTIFS($C$7:$C284,$C284))</f>
        <v/>
      </c>
    </row>
    <row r="285">
      <c r="A285" s="6" t="n"/>
      <c r="B285" s="113">
        <f>IF($D285="","","T"&amp;TEXT(ROW()-6,"00000"))</f>
        <v/>
      </c>
      <c r="C285" s="113">
        <f>IF($D285="","",IFERROR(INDEX(MUSTERILER!$B$7:$B$106,MATCH($D285,MUSTERILER!$C$7:$C$106,0)),IFERROR(INDEX(MUSTERILER!$B$7:$B$106,MATCH($D285,MUSTERILER!$B$7:$B$106,0)),IFERROR(INDEX(MUSTERILER!$B$7:$B$106,MATCH($D285&amp;"*",MUSTERILER!$C$7:$C$106,0)),"TANIMSIZ MÜŞTERİ"))))</f>
        <v/>
      </c>
      <c r="D285" s="109" t="n"/>
      <c r="E285" s="225" t="n"/>
      <c r="F285" s="226" t="n"/>
      <c r="G285" s="108" t="n"/>
      <c r="H285" s="108" t="n"/>
      <c r="I285" s="109" t="n"/>
      <c r="J285" s="109" t="n"/>
      <c r="K285" s="109" t="n"/>
      <c r="L285" s="231">
        <f>IF($E285="","",DATE(YEAR($E285),MONTH($E285),1))</f>
        <v/>
      </c>
      <c r="M285" s="113">
        <f>IF($D285="","",IF($C285="TANIMSIZ MÜŞTERİ","HATA",IF(OR($E285="",$F285&lt;=0,$G285=""),"EKSİK",IF($E285&gt;TODAY(),"İLERİ TARİH","UYGUN"))))</f>
        <v/>
      </c>
      <c r="N285" s="121">
        <f>IF($C285="","",IF($C285="TANIMSIZ MÜŞTERİ","—",INDEX(MUSTERILER!$C$7:$C$106,MATCH($C285,MUSTERILER!$B$7:$B$106,0))))</f>
        <v/>
      </c>
      <c r="O285" s="6" t="n"/>
      <c r="P285" s="6" t="n"/>
      <c r="Q285" s="3">
        <f>IF($D285="","",$C285&amp;"|"&amp;COUNTIFS($C$7:$C285,$C285))</f>
        <v/>
      </c>
    </row>
    <row r="286">
      <c r="A286" s="6" t="n"/>
      <c r="B286" s="113">
        <f>IF($D286="","","T"&amp;TEXT(ROW()-6,"00000"))</f>
        <v/>
      </c>
      <c r="C286" s="113">
        <f>IF($D286="","",IFERROR(INDEX(MUSTERILER!$B$7:$B$106,MATCH($D286,MUSTERILER!$C$7:$C$106,0)),IFERROR(INDEX(MUSTERILER!$B$7:$B$106,MATCH($D286,MUSTERILER!$B$7:$B$106,0)),IFERROR(INDEX(MUSTERILER!$B$7:$B$106,MATCH($D286&amp;"*",MUSTERILER!$C$7:$C$106,0)),"TANIMSIZ MÜŞTERİ"))))</f>
        <v/>
      </c>
      <c r="D286" s="109" t="n"/>
      <c r="E286" s="225" t="n"/>
      <c r="F286" s="226" t="n"/>
      <c r="G286" s="108" t="n"/>
      <c r="H286" s="108" t="n"/>
      <c r="I286" s="109" t="n"/>
      <c r="J286" s="109" t="n"/>
      <c r="K286" s="109" t="n"/>
      <c r="L286" s="231">
        <f>IF($E286="","",DATE(YEAR($E286),MONTH($E286),1))</f>
        <v/>
      </c>
      <c r="M286" s="113">
        <f>IF($D286="","",IF($C286="TANIMSIZ MÜŞTERİ","HATA",IF(OR($E286="",$F286&lt;=0,$G286=""),"EKSİK",IF($E286&gt;TODAY(),"İLERİ TARİH","UYGUN"))))</f>
        <v/>
      </c>
      <c r="N286" s="121">
        <f>IF($C286="","",IF($C286="TANIMSIZ MÜŞTERİ","—",INDEX(MUSTERILER!$C$7:$C$106,MATCH($C286,MUSTERILER!$B$7:$B$106,0))))</f>
        <v/>
      </c>
      <c r="O286" s="6" t="n"/>
      <c r="P286" s="6" t="n"/>
      <c r="Q286" s="3">
        <f>IF($D286="","",$C286&amp;"|"&amp;COUNTIFS($C$7:$C286,$C286))</f>
        <v/>
      </c>
    </row>
    <row r="287">
      <c r="A287" s="6" t="n"/>
      <c r="B287" s="113">
        <f>IF($D287="","","T"&amp;TEXT(ROW()-6,"00000"))</f>
        <v/>
      </c>
      <c r="C287" s="113">
        <f>IF($D287="","",IFERROR(INDEX(MUSTERILER!$B$7:$B$106,MATCH($D287,MUSTERILER!$C$7:$C$106,0)),IFERROR(INDEX(MUSTERILER!$B$7:$B$106,MATCH($D287,MUSTERILER!$B$7:$B$106,0)),IFERROR(INDEX(MUSTERILER!$B$7:$B$106,MATCH($D287&amp;"*",MUSTERILER!$C$7:$C$106,0)),"TANIMSIZ MÜŞTERİ"))))</f>
        <v/>
      </c>
      <c r="D287" s="109" t="n"/>
      <c r="E287" s="225" t="n"/>
      <c r="F287" s="226" t="n"/>
      <c r="G287" s="108" t="n"/>
      <c r="H287" s="108" t="n"/>
      <c r="I287" s="109" t="n"/>
      <c r="J287" s="109" t="n"/>
      <c r="K287" s="109" t="n"/>
      <c r="L287" s="231">
        <f>IF($E287="","",DATE(YEAR($E287),MONTH($E287),1))</f>
        <v/>
      </c>
      <c r="M287" s="113">
        <f>IF($D287="","",IF($C287="TANIMSIZ MÜŞTERİ","HATA",IF(OR($E287="",$F287&lt;=0,$G287=""),"EKSİK",IF($E287&gt;TODAY(),"İLERİ TARİH","UYGUN"))))</f>
        <v/>
      </c>
      <c r="N287" s="121">
        <f>IF($C287="","",IF($C287="TANIMSIZ MÜŞTERİ","—",INDEX(MUSTERILER!$C$7:$C$106,MATCH($C287,MUSTERILER!$B$7:$B$106,0))))</f>
        <v/>
      </c>
      <c r="O287" s="6" t="n"/>
      <c r="P287" s="6" t="n"/>
      <c r="Q287" s="3">
        <f>IF($D287="","",$C287&amp;"|"&amp;COUNTIFS($C$7:$C287,$C287))</f>
        <v/>
      </c>
    </row>
    <row r="288">
      <c r="A288" s="6" t="n"/>
      <c r="B288" s="113">
        <f>IF($D288="","","T"&amp;TEXT(ROW()-6,"00000"))</f>
        <v/>
      </c>
      <c r="C288" s="113">
        <f>IF($D288="","",IFERROR(INDEX(MUSTERILER!$B$7:$B$106,MATCH($D288,MUSTERILER!$C$7:$C$106,0)),IFERROR(INDEX(MUSTERILER!$B$7:$B$106,MATCH($D288,MUSTERILER!$B$7:$B$106,0)),IFERROR(INDEX(MUSTERILER!$B$7:$B$106,MATCH($D288&amp;"*",MUSTERILER!$C$7:$C$106,0)),"TANIMSIZ MÜŞTERİ"))))</f>
        <v/>
      </c>
      <c r="D288" s="109" t="n"/>
      <c r="E288" s="225" t="n"/>
      <c r="F288" s="226" t="n"/>
      <c r="G288" s="108" t="n"/>
      <c r="H288" s="108" t="n"/>
      <c r="I288" s="109" t="n"/>
      <c r="J288" s="109" t="n"/>
      <c r="K288" s="109" t="n"/>
      <c r="L288" s="231">
        <f>IF($E288="","",DATE(YEAR($E288),MONTH($E288),1))</f>
        <v/>
      </c>
      <c r="M288" s="113">
        <f>IF($D288="","",IF($C288="TANIMSIZ MÜŞTERİ","HATA",IF(OR($E288="",$F288&lt;=0,$G288=""),"EKSİK",IF($E288&gt;TODAY(),"İLERİ TARİH","UYGUN"))))</f>
        <v/>
      </c>
      <c r="N288" s="121">
        <f>IF($C288="","",IF($C288="TANIMSIZ MÜŞTERİ","—",INDEX(MUSTERILER!$C$7:$C$106,MATCH($C288,MUSTERILER!$B$7:$B$106,0))))</f>
        <v/>
      </c>
      <c r="O288" s="6" t="n"/>
      <c r="P288" s="6" t="n"/>
      <c r="Q288" s="3">
        <f>IF($D288="","",$C288&amp;"|"&amp;COUNTIFS($C$7:$C288,$C288))</f>
        <v/>
      </c>
    </row>
    <row r="289">
      <c r="A289" s="6" t="n"/>
      <c r="B289" s="113">
        <f>IF($D289="","","T"&amp;TEXT(ROW()-6,"00000"))</f>
        <v/>
      </c>
      <c r="C289" s="113">
        <f>IF($D289="","",IFERROR(INDEX(MUSTERILER!$B$7:$B$106,MATCH($D289,MUSTERILER!$C$7:$C$106,0)),IFERROR(INDEX(MUSTERILER!$B$7:$B$106,MATCH($D289,MUSTERILER!$B$7:$B$106,0)),IFERROR(INDEX(MUSTERILER!$B$7:$B$106,MATCH($D289&amp;"*",MUSTERILER!$C$7:$C$106,0)),"TANIMSIZ MÜŞTERİ"))))</f>
        <v/>
      </c>
      <c r="D289" s="109" t="n"/>
      <c r="E289" s="225" t="n"/>
      <c r="F289" s="226" t="n"/>
      <c r="G289" s="108" t="n"/>
      <c r="H289" s="108" t="n"/>
      <c r="I289" s="109" t="n"/>
      <c r="J289" s="109" t="n"/>
      <c r="K289" s="109" t="n"/>
      <c r="L289" s="231">
        <f>IF($E289="","",DATE(YEAR($E289),MONTH($E289),1))</f>
        <v/>
      </c>
      <c r="M289" s="113">
        <f>IF($D289="","",IF($C289="TANIMSIZ MÜŞTERİ","HATA",IF(OR($E289="",$F289&lt;=0,$G289=""),"EKSİK",IF($E289&gt;TODAY(),"İLERİ TARİH","UYGUN"))))</f>
        <v/>
      </c>
      <c r="N289" s="121">
        <f>IF($C289="","",IF($C289="TANIMSIZ MÜŞTERİ","—",INDEX(MUSTERILER!$C$7:$C$106,MATCH($C289,MUSTERILER!$B$7:$B$106,0))))</f>
        <v/>
      </c>
      <c r="O289" s="6" t="n"/>
      <c r="P289" s="6" t="n"/>
      <c r="Q289" s="3">
        <f>IF($D289="","",$C289&amp;"|"&amp;COUNTIFS($C$7:$C289,$C289))</f>
        <v/>
      </c>
    </row>
    <row r="290">
      <c r="A290" s="6" t="n"/>
      <c r="B290" s="113">
        <f>IF($D290="","","T"&amp;TEXT(ROW()-6,"00000"))</f>
        <v/>
      </c>
      <c r="C290" s="113">
        <f>IF($D290="","",IFERROR(INDEX(MUSTERILER!$B$7:$B$106,MATCH($D290,MUSTERILER!$C$7:$C$106,0)),IFERROR(INDEX(MUSTERILER!$B$7:$B$106,MATCH($D290,MUSTERILER!$B$7:$B$106,0)),IFERROR(INDEX(MUSTERILER!$B$7:$B$106,MATCH($D290&amp;"*",MUSTERILER!$C$7:$C$106,0)),"TANIMSIZ MÜŞTERİ"))))</f>
        <v/>
      </c>
      <c r="D290" s="109" t="n"/>
      <c r="E290" s="225" t="n"/>
      <c r="F290" s="226" t="n"/>
      <c r="G290" s="108" t="n"/>
      <c r="H290" s="108" t="n"/>
      <c r="I290" s="109" t="n"/>
      <c r="J290" s="109" t="n"/>
      <c r="K290" s="109" t="n"/>
      <c r="L290" s="231">
        <f>IF($E290="","",DATE(YEAR($E290),MONTH($E290),1))</f>
        <v/>
      </c>
      <c r="M290" s="113">
        <f>IF($D290="","",IF($C290="TANIMSIZ MÜŞTERİ","HATA",IF(OR($E290="",$F290&lt;=0,$G290=""),"EKSİK",IF($E290&gt;TODAY(),"İLERİ TARİH","UYGUN"))))</f>
        <v/>
      </c>
      <c r="N290" s="121">
        <f>IF($C290="","",IF($C290="TANIMSIZ MÜŞTERİ","—",INDEX(MUSTERILER!$C$7:$C$106,MATCH($C290,MUSTERILER!$B$7:$B$106,0))))</f>
        <v/>
      </c>
      <c r="O290" s="6" t="n"/>
      <c r="P290" s="6" t="n"/>
      <c r="Q290" s="3">
        <f>IF($D290="","",$C290&amp;"|"&amp;COUNTIFS($C$7:$C290,$C290))</f>
        <v/>
      </c>
    </row>
    <row r="291">
      <c r="A291" s="6" t="n"/>
      <c r="B291" s="113">
        <f>IF($D291="","","T"&amp;TEXT(ROW()-6,"00000"))</f>
        <v/>
      </c>
      <c r="C291" s="113">
        <f>IF($D291="","",IFERROR(INDEX(MUSTERILER!$B$7:$B$106,MATCH($D291,MUSTERILER!$C$7:$C$106,0)),IFERROR(INDEX(MUSTERILER!$B$7:$B$106,MATCH($D291,MUSTERILER!$B$7:$B$106,0)),IFERROR(INDEX(MUSTERILER!$B$7:$B$106,MATCH($D291&amp;"*",MUSTERILER!$C$7:$C$106,0)),"TANIMSIZ MÜŞTERİ"))))</f>
        <v/>
      </c>
      <c r="D291" s="109" t="n"/>
      <c r="E291" s="225" t="n"/>
      <c r="F291" s="226" t="n"/>
      <c r="G291" s="108" t="n"/>
      <c r="H291" s="108" t="n"/>
      <c r="I291" s="109" t="n"/>
      <c r="J291" s="109" t="n"/>
      <c r="K291" s="109" t="n"/>
      <c r="L291" s="231">
        <f>IF($E291="","",DATE(YEAR($E291),MONTH($E291),1))</f>
        <v/>
      </c>
      <c r="M291" s="113">
        <f>IF($D291="","",IF($C291="TANIMSIZ MÜŞTERİ","HATA",IF(OR($E291="",$F291&lt;=0,$G291=""),"EKSİK",IF($E291&gt;TODAY(),"İLERİ TARİH","UYGUN"))))</f>
        <v/>
      </c>
      <c r="N291" s="121">
        <f>IF($C291="","",IF($C291="TANIMSIZ MÜŞTERİ","—",INDEX(MUSTERILER!$C$7:$C$106,MATCH($C291,MUSTERILER!$B$7:$B$106,0))))</f>
        <v/>
      </c>
      <c r="O291" s="6" t="n"/>
      <c r="P291" s="6" t="n"/>
      <c r="Q291" s="3">
        <f>IF($D291="","",$C291&amp;"|"&amp;COUNTIFS($C$7:$C291,$C291))</f>
        <v/>
      </c>
    </row>
    <row r="292">
      <c r="A292" s="6" t="n"/>
      <c r="B292" s="113">
        <f>IF($D292="","","T"&amp;TEXT(ROW()-6,"00000"))</f>
        <v/>
      </c>
      <c r="C292" s="113">
        <f>IF($D292="","",IFERROR(INDEX(MUSTERILER!$B$7:$B$106,MATCH($D292,MUSTERILER!$C$7:$C$106,0)),IFERROR(INDEX(MUSTERILER!$B$7:$B$106,MATCH($D292,MUSTERILER!$B$7:$B$106,0)),IFERROR(INDEX(MUSTERILER!$B$7:$B$106,MATCH($D292&amp;"*",MUSTERILER!$C$7:$C$106,0)),"TANIMSIZ MÜŞTERİ"))))</f>
        <v/>
      </c>
      <c r="D292" s="109" t="n"/>
      <c r="E292" s="225" t="n"/>
      <c r="F292" s="226" t="n"/>
      <c r="G292" s="108" t="n"/>
      <c r="H292" s="108" t="n"/>
      <c r="I292" s="109" t="n"/>
      <c r="J292" s="109" t="n"/>
      <c r="K292" s="109" t="n"/>
      <c r="L292" s="231">
        <f>IF($E292="","",DATE(YEAR($E292),MONTH($E292),1))</f>
        <v/>
      </c>
      <c r="M292" s="113">
        <f>IF($D292="","",IF($C292="TANIMSIZ MÜŞTERİ","HATA",IF(OR($E292="",$F292&lt;=0,$G292=""),"EKSİK",IF($E292&gt;TODAY(),"İLERİ TARİH","UYGUN"))))</f>
        <v/>
      </c>
      <c r="N292" s="121">
        <f>IF($C292="","",IF($C292="TANIMSIZ MÜŞTERİ","—",INDEX(MUSTERILER!$C$7:$C$106,MATCH($C292,MUSTERILER!$B$7:$B$106,0))))</f>
        <v/>
      </c>
      <c r="O292" s="6" t="n"/>
      <c r="P292" s="6" t="n"/>
      <c r="Q292" s="3">
        <f>IF($D292="","",$C292&amp;"|"&amp;COUNTIFS($C$7:$C292,$C292))</f>
        <v/>
      </c>
    </row>
    <row r="293">
      <c r="A293" s="6" t="n"/>
      <c r="B293" s="113">
        <f>IF($D293="","","T"&amp;TEXT(ROW()-6,"00000"))</f>
        <v/>
      </c>
      <c r="C293" s="113">
        <f>IF($D293="","",IFERROR(INDEX(MUSTERILER!$B$7:$B$106,MATCH($D293,MUSTERILER!$C$7:$C$106,0)),IFERROR(INDEX(MUSTERILER!$B$7:$B$106,MATCH($D293,MUSTERILER!$B$7:$B$106,0)),IFERROR(INDEX(MUSTERILER!$B$7:$B$106,MATCH($D293&amp;"*",MUSTERILER!$C$7:$C$106,0)),"TANIMSIZ MÜŞTERİ"))))</f>
        <v/>
      </c>
      <c r="D293" s="109" t="n"/>
      <c r="E293" s="225" t="n"/>
      <c r="F293" s="226" t="n"/>
      <c r="G293" s="108" t="n"/>
      <c r="H293" s="108" t="n"/>
      <c r="I293" s="109" t="n"/>
      <c r="J293" s="109" t="n"/>
      <c r="K293" s="109" t="n"/>
      <c r="L293" s="231">
        <f>IF($E293="","",DATE(YEAR($E293),MONTH($E293),1))</f>
        <v/>
      </c>
      <c r="M293" s="113">
        <f>IF($D293="","",IF($C293="TANIMSIZ MÜŞTERİ","HATA",IF(OR($E293="",$F293&lt;=0,$G293=""),"EKSİK",IF($E293&gt;TODAY(),"İLERİ TARİH","UYGUN"))))</f>
        <v/>
      </c>
      <c r="N293" s="121">
        <f>IF($C293="","",IF($C293="TANIMSIZ MÜŞTERİ","—",INDEX(MUSTERILER!$C$7:$C$106,MATCH($C293,MUSTERILER!$B$7:$B$106,0))))</f>
        <v/>
      </c>
      <c r="O293" s="6" t="n"/>
      <c r="P293" s="6" t="n"/>
      <c r="Q293" s="3">
        <f>IF($D293="","",$C293&amp;"|"&amp;COUNTIFS($C$7:$C293,$C293))</f>
        <v/>
      </c>
    </row>
    <row r="294">
      <c r="A294" s="6" t="n"/>
      <c r="B294" s="113">
        <f>IF($D294="","","T"&amp;TEXT(ROW()-6,"00000"))</f>
        <v/>
      </c>
      <c r="C294" s="113">
        <f>IF($D294="","",IFERROR(INDEX(MUSTERILER!$B$7:$B$106,MATCH($D294,MUSTERILER!$C$7:$C$106,0)),IFERROR(INDEX(MUSTERILER!$B$7:$B$106,MATCH($D294,MUSTERILER!$B$7:$B$106,0)),IFERROR(INDEX(MUSTERILER!$B$7:$B$106,MATCH($D294&amp;"*",MUSTERILER!$C$7:$C$106,0)),"TANIMSIZ MÜŞTERİ"))))</f>
        <v/>
      </c>
      <c r="D294" s="109" t="n"/>
      <c r="E294" s="225" t="n"/>
      <c r="F294" s="226" t="n"/>
      <c r="G294" s="108" t="n"/>
      <c r="H294" s="108" t="n"/>
      <c r="I294" s="109" t="n"/>
      <c r="J294" s="109" t="n"/>
      <c r="K294" s="109" t="n"/>
      <c r="L294" s="231">
        <f>IF($E294="","",DATE(YEAR($E294),MONTH($E294),1))</f>
        <v/>
      </c>
      <c r="M294" s="113">
        <f>IF($D294="","",IF($C294="TANIMSIZ MÜŞTERİ","HATA",IF(OR($E294="",$F294&lt;=0,$G294=""),"EKSİK",IF($E294&gt;TODAY(),"İLERİ TARİH","UYGUN"))))</f>
        <v/>
      </c>
      <c r="N294" s="121">
        <f>IF($C294="","",IF($C294="TANIMSIZ MÜŞTERİ","—",INDEX(MUSTERILER!$C$7:$C$106,MATCH($C294,MUSTERILER!$B$7:$B$106,0))))</f>
        <v/>
      </c>
      <c r="O294" s="6" t="n"/>
      <c r="P294" s="6" t="n"/>
      <c r="Q294" s="3">
        <f>IF($D294="","",$C294&amp;"|"&amp;COUNTIFS($C$7:$C294,$C294))</f>
        <v/>
      </c>
    </row>
    <row r="295">
      <c r="A295" s="6" t="n"/>
      <c r="B295" s="113">
        <f>IF($D295="","","T"&amp;TEXT(ROW()-6,"00000"))</f>
        <v/>
      </c>
      <c r="C295" s="113">
        <f>IF($D295="","",IFERROR(INDEX(MUSTERILER!$B$7:$B$106,MATCH($D295,MUSTERILER!$C$7:$C$106,0)),IFERROR(INDEX(MUSTERILER!$B$7:$B$106,MATCH($D295,MUSTERILER!$B$7:$B$106,0)),IFERROR(INDEX(MUSTERILER!$B$7:$B$106,MATCH($D295&amp;"*",MUSTERILER!$C$7:$C$106,0)),"TANIMSIZ MÜŞTERİ"))))</f>
        <v/>
      </c>
      <c r="D295" s="109" t="n"/>
      <c r="E295" s="225" t="n"/>
      <c r="F295" s="226" t="n"/>
      <c r="G295" s="108" t="n"/>
      <c r="H295" s="108" t="n"/>
      <c r="I295" s="109" t="n"/>
      <c r="J295" s="109" t="n"/>
      <c r="K295" s="109" t="n"/>
      <c r="L295" s="231">
        <f>IF($E295="","",DATE(YEAR($E295),MONTH($E295),1))</f>
        <v/>
      </c>
      <c r="M295" s="113">
        <f>IF($D295="","",IF($C295="TANIMSIZ MÜŞTERİ","HATA",IF(OR($E295="",$F295&lt;=0,$G295=""),"EKSİK",IF($E295&gt;TODAY(),"İLERİ TARİH","UYGUN"))))</f>
        <v/>
      </c>
      <c r="N295" s="121">
        <f>IF($C295="","",IF($C295="TANIMSIZ MÜŞTERİ","—",INDEX(MUSTERILER!$C$7:$C$106,MATCH($C295,MUSTERILER!$B$7:$B$106,0))))</f>
        <v/>
      </c>
      <c r="O295" s="6" t="n"/>
      <c r="P295" s="6" t="n"/>
      <c r="Q295" s="3">
        <f>IF($D295="","",$C295&amp;"|"&amp;COUNTIFS($C$7:$C295,$C295))</f>
        <v/>
      </c>
    </row>
    <row r="296">
      <c r="A296" s="6" t="n"/>
      <c r="B296" s="113">
        <f>IF($D296="","","T"&amp;TEXT(ROW()-6,"00000"))</f>
        <v/>
      </c>
      <c r="C296" s="113">
        <f>IF($D296="","",IFERROR(INDEX(MUSTERILER!$B$7:$B$106,MATCH($D296,MUSTERILER!$C$7:$C$106,0)),IFERROR(INDEX(MUSTERILER!$B$7:$B$106,MATCH($D296,MUSTERILER!$B$7:$B$106,0)),IFERROR(INDEX(MUSTERILER!$B$7:$B$106,MATCH($D296&amp;"*",MUSTERILER!$C$7:$C$106,0)),"TANIMSIZ MÜŞTERİ"))))</f>
        <v/>
      </c>
      <c r="D296" s="109" t="n"/>
      <c r="E296" s="225" t="n"/>
      <c r="F296" s="226" t="n"/>
      <c r="G296" s="108" t="n"/>
      <c r="H296" s="108" t="n"/>
      <c r="I296" s="109" t="n"/>
      <c r="J296" s="109" t="n"/>
      <c r="K296" s="109" t="n"/>
      <c r="L296" s="231">
        <f>IF($E296="","",DATE(YEAR($E296),MONTH($E296),1))</f>
        <v/>
      </c>
      <c r="M296" s="113">
        <f>IF($D296="","",IF($C296="TANIMSIZ MÜŞTERİ","HATA",IF(OR($E296="",$F296&lt;=0,$G296=""),"EKSİK",IF($E296&gt;TODAY(),"İLERİ TARİH","UYGUN"))))</f>
        <v/>
      </c>
      <c r="N296" s="121">
        <f>IF($C296="","",IF($C296="TANIMSIZ MÜŞTERİ","—",INDEX(MUSTERILER!$C$7:$C$106,MATCH($C296,MUSTERILER!$B$7:$B$106,0))))</f>
        <v/>
      </c>
      <c r="O296" s="6" t="n"/>
      <c r="P296" s="6" t="n"/>
      <c r="Q296" s="3">
        <f>IF($D296="","",$C296&amp;"|"&amp;COUNTIFS($C$7:$C296,$C296))</f>
        <v/>
      </c>
    </row>
    <row r="297">
      <c r="A297" s="6" t="n"/>
      <c r="B297" s="113">
        <f>IF($D297="","","T"&amp;TEXT(ROW()-6,"00000"))</f>
        <v/>
      </c>
      <c r="C297" s="113">
        <f>IF($D297="","",IFERROR(INDEX(MUSTERILER!$B$7:$B$106,MATCH($D297,MUSTERILER!$C$7:$C$106,0)),IFERROR(INDEX(MUSTERILER!$B$7:$B$106,MATCH($D297,MUSTERILER!$B$7:$B$106,0)),IFERROR(INDEX(MUSTERILER!$B$7:$B$106,MATCH($D297&amp;"*",MUSTERILER!$C$7:$C$106,0)),"TANIMSIZ MÜŞTERİ"))))</f>
        <v/>
      </c>
      <c r="D297" s="109" t="n"/>
      <c r="E297" s="225" t="n"/>
      <c r="F297" s="226" t="n"/>
      <c r="G297" s="108" t="n"/>
      <c r="H297" s="108" t="n"/>
      <c r="I297" s="109" t="n"/>
      <c r="J297" s="109" t="n"/>
      <c r="K297" s="109" t="n"/>
      <c r="L297" s="231">
        <f>IF($E297="","",DATE(YEAR($E297),MONTH($E297),1))</f>
        <v/>
      </c>
      <c r="M297" s="113">
        <f>IF($D297="","",IF($C297="TANIMSIZ MÜŞTERİ","HATA",IF(OR($E297="",$F297&lt;=0,$G297=""),"EKSİK",IF($E297&gt;TODAY(),"İLERİ TARİH","UYGUN"))))</f>
        <v/>
      </c>
      <c r="N297" s="121">
        <f>IF($C297="","",IF($C297="TANIMSIZ MÜŞTERİ","—",INDEX(MUSTERILER!$C$7:$C$106,MATCH($C297,MUSTERILER!$B$7:$B$106,0))))</f>
        <v/>
      </c>
      <c r="O297" s="6" t="n"/>
      <c r="P297" s="6" t="n"/>
      <c r="Q297" s="3">
        <f>IF($D297="","",$C297&amp;"|"&amp;COUNTIFS($C$7:$C297,$C297))</f>
        <v/>
      </c>
    </row>
    <row r="298">
      <c r="A298" s="6" t="n"/>
      <c r="B298" s="113">
        <f>IF($D298="","","T"&amp;TEXT(ROW()-6,"00000"))</f>
        <v/>
      </c>
      <c r="C298" s="113">
        <f>IF($D298="","",IFERROR(INDEX(MUSTERILER!$B$7:$B$106,MATCH($D298,MUSTERILER!$C$7:$C$106,0)),IFERROR(INDEX(MUSTERILER!$B$7:$B$106,MATCH($D298,MUSTERILER!$B$7:$B$106,0)),IFERROR(INDEX(MUSTERILER!$B$7:$B$106,MATCH($D298&amp;"*",MUSTERILER!$C$7:$C$106,0)),"TANIMSIZ MÜŞTERİ"))))</f>
        <v/>
      </c>
      <c r="D298" s="109" t="n"/>
      <c r="E298" s="225" t="n"/>
      <c r="F298" s="226" t="n"/>
      <c r="G298" s="108" t="n"/>
      <c r="H298" s="108" t="n"/>
      <c r="I298" s="109" t="n"/>
      <c r="J298" s="109" t="n"/>
      <c r="K298" s="109" t="n"/>
      <c r="L298" s="231">
        <f>IF($E298="","",DATE(YEAR($E298),MONTH($E298),1))</f>
        <v/>
      </c>
      <c r="M298" s="113">
        <f>IF($D298="","",IF($C298="TANIMSIZ MÜŞTERİ","HATA",IF(OR($E298="",$F298&lt;=0,$G298=""),"EKSİK",IF($E298&gt;TODAY(),"İLERİ TARİH","UYGUN"))))</f>
        <v/>
      </c>
      <c r="N298" s="121">
        <f>IF($C298="","",IF($C298="TANIMSIZ MÜŞTERİ","—",INDEX(MUSTERILER!$C$7:$C$106,MATCH($C298,MUSTERILER!$B$7:$B$106,0))))</f>
        <v/>
      </c>
      <c r="O298" s="6" t="n"/>
      <c r="P298" s="6" t="n"/>
      <c r="Q298" s="3">
        <f>IF($D298="","",$C298&amp;"|"&amp;COUNTIFS($C$7:$C298,$C298))</f>
        <v/>
      </c>
    </row>
    <row r="299">
      <c r="A299" s="6" t="n"/>
      <c r="B299" s="113">
        <f>IF($D299="","","T"&amp;TEXT(ROW()-6,"00000"))</f>
        <v/>
      </c>
      <c r="C299" s="113">
        <f>IF($D299="","",IFERROR(INDEX(MUSTERILER!$B$7:$B$106,MATCH($D299,MUSTERILER!$C$7:$C$106,0)),IFERROR(INDEX(MUSTERILER!$B$7:$B$106,MATCH($D299,MUSTERILER!$B$7:$B$106,0)),IFERROR(INDEX(MUSTERILER!$B$7:$B$106,MATCH($D299&amp;"*",MUSTERILER!$C$7:$C$106,0)),"TANIMSIZ MÜŞTERİ"))))</f>
        <v/>
      </c>
      <c r="D299" s="109" t="n"/>
      <c r="E299" s="225" t="n"/>
      <c r="F299" s="226" t="n"/>
      <c r="G299" s="108" t="n"/>
      <c r="H299" s="108" t="n"/>
      <c r="I299" s="109" t="n"/>
      <c r="J299" s="109" t="n"/>
      <c r="K299" s="109" t="n"/>
      <c r="L299" s="231">
        <f>IF($E299="","",DATE(YEAR($E299),MONTH($E299),1))</f>
        <v/>
      </c>
      <c r="M299" s="113">
        <f>IF($D299="","",IF($C299="TANIMSIZ MÜŞTERİ","HATA",IF(OR($E299="",$F299&lt;=0,$G299=""),"EKSİK",IF($E299&gt;TODAY(),"İLERİ TARİH","UYGUN"))))</f>
        <v/>
      </c>
      <c r="N299" s="121">
        <f>IF($C299="","",IF($C299="TANIMSIZ MÜŞTERİ","—",INDEX(MUSTERILER!$C$7:$C$106,MATCH($C299,MUSTERILER!$B$7:$B$106,0))))</f>
        <v/>
      </c>
      <c r="O299" s="6" t="n"/>
      <c r="P299" s="6" t="n"/>
      <c r="Q299" s="3">
        <f>IF($D299="","",$C299&amp;"|"&amp;COUNTIFS($C$7:$C299,$C299))</f>
        <v/>
      </c>
    </row>
    <row r="300">
      <c r="A300" s="6" t="n"/>
      <c r="B300" s="113">
        <f>IF($D300="","","T"&amp;TEXT(ROW()-6,"00000"))</f>
        <v/>
      </c>
      <c r="C300" s="113">
        <f>IF($D300="","",IFERROR(INDEX(MUSTERILER!$B$7:$B$106,MATCH($D300,MUSTERILER!$C$7:$C$106,0)),IFERROR(INDEX(MUSTERILER!$B$7:$B$106,MATCH($D300,MUSTERILER!$B$7:$B$106,0)),IFERROR(INDEX(MUSTERILER!$B$7:$B$106,MATCH($D300&amp;"*",MUSTERILER!$C$7:$C$106,0)),"TANIMSIZ MÜŞTERİ"))))</f>
        <v/>
      </c>
      <c r="D300" s="109" t="n"/>
      <c r="E300" s="225" t="n"/>
      <c r="F300" s="226" t="n"/>
      <c r="G300" s="108" t="n"/>
      <c r="H300" s="108" t="n"/>
      <c r="I300" s="109" t="n"/>
      <c r="J300" s="109" t="n"/>
      <c r="K300" s="109" t="n"/>
      <c r="L300" s="231">
        <f>IF($E300="","",DATE(YEAR($E300),MONTH($E300),1))</f>
        <v/>
      </c>
      <c r="M300" s="113">
        <f>IF($D300="","",IF($C300="TANIMSIZ MÜŞTERİ","HATA",IF(OR($E300="",$F300&lt;=0,$G300=""),"EKSİK",IF($E300&gt;TODAY(),"İLERİ TARİH","UYGUN"))))</f>
        <v/>
      </c>
      <c r="N300" s="121">
        <f>IF($C300="","",IF($C300="TANIMSIZ MÜŞTERİ","—",INDEX(MUSTERILER!$C$7:$C$106,MATCH($C300,MUSTERILER!$B$7:$B$106,0))))</f>
        <v/>
      </c>
      <c r="O300" s="6" t="n"/>
      <c r="P300" s="6" t="n"/>
      <c r="Q300" s="3">
        <f>IF($D300="","",$C300&amp;"|"&amp;COUNTIFS($C$7:$C300,$C300))</f>
        <v/>
      </c>
    </row>
    <row r="301">
      <c r="A301" s="6" t="n"/>
      <c r="B301" s="113">
        <f>IF($D301="","","T"&amp;TEXT(ROW()-6,"00000"))</f>
        <v/>
      </c>
      <c r="C301" s="113">
        <f>IF($D301="","",IFERROR(INDEX(MUSTERILER!$B$7:$B$106,MATCH($D301,MUSTERILER!$C$7:$C$106,0)),IFERROR(INDEX(MUSTERILER!$B$7:$B$106,MATCH($D301,MUSTERILER!$B$7:$B$106,0)),IFERROR(INDEX(MUSTERILER!$B$7:$B$106,MATCH($D301&amp;"*",MUSTERILER!$C$7:$C$106,0)),"TANIMSIZ MÜŞTERİ"))))</f>
        <v/>
      </c>
      <c r="D301" s="109" t="n"/>
      <c r="E301" s="225" t="n"/>
      <c r="F301" s="226" t="n"/>
      <c r="G301" s="108" t="n"/>
      <c r="H301" s="108" t="n"/>
      <c r="I301" s="109" t="n"/>
      <c r="J301" s="109" t="n"/>
      <c r="K301" s="109" t="n"/>
      <c r="L301" s="231">
        <f>IF($E301="","",DATE(YEAR($E301),MONTH($E301),1))</f>
        <v/>
      </c>
      <c r="M301" s="113">
        <f>IF($D301="","",IF($C301="TANIMSIZ MÜŞTERİ","HATA",IF(OR($E301="",$F301&lt;=0,$G301=""),"EKSİK",IF($E301&gt;TODAY(),"İLERİ TARİH","UYGUN"))))</f>
        <v/>
      </c>
      <c r="N301" s="121">
        <f>IF($C301="","",IF($C301="TANIMSIZ MÜŞTERİ","—",INDEX(MUSTERILER!$C$7:$C$106,MATCH($C301,MUSTERILER!$B$7:$B$106,0))))</f>
        <v/>
      </c>
      <c r="O301" s="6" t="n"/>
      <c r="P301" s="6" t="n"/>
      <c r="Q301" s="3">
        <f>IF($D301="","",$C301&amp;"|"&amp;COUNTIFS($C$7:$C301,$C301))</f>
        <v/>
      </c>
    </row>
    <row r="302">
      <c r="A302" s="6" t="n"/>
      <c r="B302" s="113">
        <f>IF($D302="","","T"&amp;TEXT(ROW()-6,"00000"))</f>
        <v/>
      </c>
      <c r="C302" s="113">
        <f>IF($D302="","",IFERROR(INDEX(MUSTERILER!$B$7:$B$106,MATCH($D302,MUSTERILER!$C$7:$C$106,0)),IFERROR(INDEX(MUSTERILER!$B$7:$B$106,MATCH($D302,MUSTERILER!$B$7:$B$106,0)),IFERROR(INDEX(MUSTERILER!$B$7:$B$106,MATCH($D302&amp;"*",MUSTERILER!$C$7:$C$106,0)),"TANIMSIZ MÜŞTERİ"))))</f>
        <v/>
      </c>
      <c r="D302" s="109" t="n"/>
      <c r="E302" s="225" t="n"/>
      <c r="F302" s="226" t="n"/>
      <c r="G302" s="108" t="n"/>
      <c r="H302" s="108" t="n"/>
      <c r="I302" s="109" t="n"/>
      <c r="J302" s="109" t="n"/>
      <c r="K302" s="109" t="n"/>
      <c r="L302" s="231">
        <f>IF($E302="","",DATE(YEAR($E302),MONTH($E302),1))</f>
        <v/>
      </c>
      <c r="M302" s="113">
        <f>IF($D302="","",IF($C302="TANIMSIZ MÜŞTERİ","HATA",IF(OR($E302="",$F302&lt;=0,$G302=""),"EKSİK",IF($E302&gt;TODAY(),"İLERİ TARİH","UYGUN"))))</f>
        <v/>
      </c>
      <c r="N302" s="121">
        <f>IF($C302="","",IF($C302="TANIMSIZ MÜŞTERİ","—",INDEX(MUSTERILER!$C$7:$C$106,MATCH($C302,MUSTERILER!$B$7:$B$106,0))))</f>
        <v/>
      </c>
      <c r="O302" s="6" t="n"/>
      <c r="P302" s="6" t="n"/>
      <c r="Q302" s="3">
        <f>IF($D302="","",$C302&amp;"|"&amp;COUNTIFS($C$7:$C302,$C302))</f>
        <v/>
      </c>
    </row>
    <row r="303">
      <c r="A303" s="6" t="n"/>
      <c r="B303" s="113">
        <f>IF($D303="","","T"&amp;TEXT(ROW()-6,"00000"))</f>
        <v/>
      </c>
      <c r="C303" s="113">
        <f>IF($D303="","",IFERROR(INDEX(MUSTERILER!$B$7:$B$106,MATCH($D303,MUSTERILER!$C$7:$C$106,0)),IFERROR(INDEX(MUSTERILER!$B$7:$B$106,MATCH($D303,MUSTERILER!$B$7:$B$106,0)),IFERROR(INDEX(MUSTERILER!$B$7:$B$106,MATCH($D303&amp;"*",MUSTERILER!$C$7:$C$106,0)),"TANIMSIZ MÜŞTERİ"))))</f>
        <v/>
      </c>
      <c r="D303" s="109" t="n"/>
      <c r="E303" s="225" t="n"/>
      <c r="F303" s="226" t="n"/>
      <c r="G303" s="108" t="n"/>
      <c r="H303" s="108" t="n"/>
      <c r="I303" s="109" t="n"/>
      <c r="J303" s="109" t="n"/>
      <c r="K303" s="109" t="n"/>
      <c r="L303" s="231">
        <f>IF($E303="","",DATE(YEAR($E303),MONTH($E303),1))</f>
        <v/>
      </c>
      <c r="M303" s="113">
        <f>IF($D303="","",IF($C303="TANIMSIZ MÜŞTERİ","HATA",IF(OR($E303="",$F303&lt;=0,$G303=""),"EKSİK",IF($E303&gt;TODAY(),"İLERİ TARİH","UYGUN"))))</f>
        <v/>
      </c>
      <c r="N303" s="121">
        <f>IF($C303="","",IF($C303="TANIMSIZ MÜŞTERİ","—",INDEX(MUSTERILER!$C$7:$C$106,MATCH($C303,MUSTERILER!$B$7:$B$106,0))))</f>
        <v/>
      </c>
      <c r="O303" s="6" t="n"/>
      <c r="P303" s="6" t="n"/>
      <c r="Q303" s="3">
        <f>IF($D303="","",$C303&amp;"|"&amp;COUNTIFS($C$7:$C303,$C303))</f>
        <v/>
      </c>
    </row>
    <row r="304">
      <c r="A304" s="6" t="n"/>
      <c r="B304" s="113">
        <f>IF($D304="","","T"&amp;TEXT(ROW()-6,"00000"))</f>
        <v/>
      </c>
      <c r="C304" s="113">
        <f>IF($D304="","",IFERROR(INDEX(MUSTERILER!$B$7:$B$106,MATCH($D304,MUSTERILER!$C$7:$C$106,0)),IFERROR(INDEX(MUSTERILER!$B$7:$B$106,MATCH($D304,MUSTERILER!$B$7:$B$106,0)),IFERROR(INDEX(MUSTERILER!$B$7:$B$106,MATCH($D304&amp;"*",MUSTERILER!$C$7:$C$106,0)),"TANIMSIZ MÜŞTERİ"))))</f>
        <v/>
      </c>
      <c r="D304" s="109" t="n"/>
      <c r="E304" s="225" t="n"/>
      <c r="F304" s="226" t="n"/>
      <c r="G304" s="108" t="n"/>
      <c r="H304" s="108" t="n"/>
      <c r="I304" s="109" t="n"/>
      <c r="J304" s="109" t="n"/>
      <c r="K304" s="109" t="n"/>
      <c r="L304" s="231">
        <f>IF($E304="","",DATE(YEAR($E304),MONTH($E304),1))</f>
        <v/>
      </c>
      <c r="M304" s="113">
        <f>IF($D304="","",IF($C304="TANIMSIZ MÜŞTERİ","HATA",IF(OR($E304="",$F304&lt;=0,$G304=""),"EKSİK",IF($E304&gt;TODAY(),"İLERİ TARİH","UYGUN"))))</f>
        <v/>
      </c>
      <c r="N304" s="121">
        <f>IF($C304="","",IF($C304="TANIMSIZ MÜŞTERİ","—",INDEX(MUSTERILER!$C$7:$C$106,MATCH($C304,MUSTERILER!$B$7:$B$106,0))))</f>
        <v/>
      </c>
      <c r="O304" s="6" t="n"/>
      <c r="P304" s="6" t="n"/>
      <c r="Q304" s="3">
        <f>IF($D304="","",$C304&amp;"|"&amp;COUNTIFS($C$7:$C304,$C304))</f>
        <v/>
      </c>
    </row>
    <row r="305">
      <c r="A305" s="6" t="n"/>
      <c r="B305" s="113">
        <f>IF($D305="","","T"&amp;TEXT(ROW()-6,"00000"))</f>
        <v/>
      </c>
      <c r="C305" s="113">
        <f>IF($D305="","",IFERROR(INDEX(MUSTERILER!$B$7:$B$106,MATCH($D305,MUSTERILER!$C$7:$C$106,0)),IFERROR(INDEX(MUSTERILER!$B$7:$B$106,MATCH($D305,MUSTERILER!$B$7:$B$106,0)),IFERROR(INDEX(MUSTERILER!$B$7:$B$106,MATCH($D305&amp;"*",MUSTERILER!$C$7:$C$106,0)),"TANIMSIZ MÜŞTERİ"))))</f>
        <v/>
      </c>
      <c r="D305" s="109" t="n"/>
      <c r="E305" s="225" t="n"/>
      <c r="F305" s="226" t="n"/>
      <c r="G305" s="108" t="n"/>
      <c r="H305" s="108" t="n"/>
      <c r="I305" s="109" t="n"/>
      <c r="J305" s="109" t="n"/>
      <c r="K305" s="109" t="n"/>
      <c r="L305" s="231">
        <f>IF($E305="","",DATE(YEAR($E305),MONTH($E305),1))</f>
        <v/>
      </c>
      <c r="M305" s="113">
        <f>IF($D305="","",IF($C305="TANIMSIZ MÜŞTERİ","HATA",IF(OR($E305="",$F305&lt;=0,$G305=""),"EKSİK",IF($E305&gt;TODAY(),"İLERİ TARİH","UYGUN"))))</f>
        <v/>
      </c>
      <c r="N305" s="121">
        <f>IF($C305="","",IF($C305="TANIMSIZ MÜŞTERİ","—",INDEX(MUSTERILER!$C$7:$C$106,MATCH($C305,MUSTERILER!$B$7:$B$106,0))))</f>
        <v/>
      </c>
      <c r="O305" s="6" t="n"/>
      <c r="P305" s="6" t="n"/>
      <c r="Q305" s="3">
        <f>IF($D305="","",$C305&amp;"|"&amp;COUNTIFS($C$7:$C305,$C305))</f>
        <v/>
      </c>
    </row>
    <row r="306">
      <c r="A306" s="6" t="n"/>
      <c r="B306" s="113">
        <f>IF($D306="","","T"&amp;TEXT(ROW()-6,"00000"))</f>
        <v/>
      </c>
      <c r="C306" s="113">
        <f>IF($D306="","",IFERROR(INDEX(MUSTERILER!$B$7:$B$106,MATCH($D306,MUSTERILER!$C$7:$C$106,0)),IFERROR(INDEX(MUSTERILER!$B$7:$B$106,MATCH($D306,MUSTERILER!$B$7:$B$106,0)),IFERROR(INDEX(MUSTERILER!$B$7:$B$106,MATCH($D306&amp;"*",MUSTERILER!$C$7:$C$106,0)),"TANIMSIZ MÜŞTERİ"))))</f>
        <v/>
      </c>
      <c r="D306" s="109" t="n"/>
      <c r="E306" s="225" t="n"/>
      <c r="F306" s="226" t="n"/>
      <c r="G306" s="108" t="n"/>
      <c r="H306" s="108" t="n"/>
      <c r="I306" s="109" t="n"/>
      <c r="J306" s="109" t="n"/>
      <c r="K306" s="109" t="n"/>
      <c r="L306" s="231">
        <f>IF($E306="","",DATE(YEAR($E306),MONTH($E306),1))</f>
        <v/>
      </c>
      <c r="M306" s="113">
        <f>IF($D306="","",IF($C306="TANIMSIZ MÜŞTERİ","HATA",IF(OR($E306="",$F306&lt;=0,$G306=""),"EKSİK",IF($E306&gt;TODAY(),"İLERİ TARİH","UYGUN"))))</f>
        <v/>
      </c>
      <c r="N306" s="121">
        <f>IF($C306="","",IF($C306="TANIMSIZ MÜŞTERİ","—",INDEX(MUSTERILER!$C$7:$C$106,MATCH($C306,MUSTERILER!$B$7:$B$106,0))))</f>
        <v/>
      </c>
      <c r="O306" s="6" t="n"/>
      <c r="P306" s="6" t="n"/>
      <c r="Q306" s="3">
        <f>IF($D306="","",$C306&amp;"|"&amp;COUNTIFS($C$7:$C306,$C306))</f>
        <v/>
      </c>
    </row>
    <row r="307">
      <c r="A307" s="6" t="n"/>
      <c r="B307" s="113">
        <f>IF($D307="","","T"&amp;TEXT(ROW()-6,"00000"))</f>
        <v/>
      </c>
      <c r="C307" s="113">
        <f>IF($D307="","",IFERROR(INDEX(MUSTERILER!$B$7:$B$106,MATCH($D307,MUSTERILER!$C$7:$C$106,0)),IFERROR(INDEX(MUSTERILER!$B$7:$B$106,MATCH($D307,MUSTERILER!$B$7:$B$106,0)),IFERROR(INDEX(MUSTERILER!$B$7:$B$106,MATCH($D307&amp;"*",MUSTERILER!$C$7:$C$106,0)),"TANIMSIZ MÜŞTERİ"))))</f>
        <v/>
      </c>
      <c r="D307" s="109" t="n"/>
      <c r="E307" s="225" t="n"/>
      <c r="F307" s="226" t="n"/>
      <c r="G307" s="108" t="n"/>
      <c r="H307" s="108" t="n"/>
      <c r="I307" s="109" t="n"/>
      <c r="J307" s="109" t="n"/>
      <c r="K307" s="109" t="n"/>
      <c r="L307" s="231">
        <f>IF($E307="","",DATE(YEAR($E307),MONTH($E307),1))</f>
        <v/>
      </c>
      <c r="M307" s="113">
        <f>IF($D307="","",IF($C307="TANIMSIZ MÜŞTERİ","HATA",IF(OR($E307="",$F307&lt;=0,$G307=""),"EKSİK",IF($E307&gt;TODAY(),"İLERİ TARİH","UYGUN"))))</f>
        <v/>
      </c>
      <c r="N307" s="121">
        <f>IF($C307="","",IF($C307="TANIMSIZ MÜŞTERİ","—",INDEX(MUSTERILER!$C$7:$C$106,MATCH($C307,MUSTERILER!$B$7:$B$106,0))))</f>
        <v/>
      </c>
      <c r="O307" s="6" t="n"/>
      <c r="P307" s="6" t="n"/>
      <c r="Q307" s="3">
        <f>IF($D307="","",$C307&amp;"|"&amp;COUNTIFS($C$7:$C307,$C307))</f>
        <v/>
      </c>
    </row>
    <row r="308">
      <c r="A308" s="6" t="n"/>
      <c r="B308" s="113">
        <f>IF($D308="","","T"&amp;TEXT(ROW()-6,"00000"))</f>
        <v/>
      </c>
      <c r="C308" s="113">
        <f>IF($D308="","",IFERROR(INDEX(MUSTERILER!$B$7:$B$106,MATCH($D308,MUSTERILER!$C$7:$C$106,0)),IFERROR(INDEX(MUSTERILER!$B$7:$B$106,MATCH($D308,MUSTERILER!$B$7:$B$106,0)),IFERROR(INDEX(MUSTERILER!$B$7:$B$106,MATCH($D308&amp;"*",MUSTERILER!$C$7:$C$106,0)),"TANIMSIZ MÜŞTERİ"))))</f>
        <v/>
      </c>
      <c r="D308" s="109" t="n"/>
      <c r="E308" s="225" t="n"/>
      <c r="F308" s="226" t="n"/>
      <c r="G308" s="108" t="n"/>
      <c r="H308" s="108" t="n"/>
      <c r="I308" s="109" t="n"/>
      <c r="J308" s="109" t="n"/>
      <c r="K308" s="109" t="n"/>
      <c r="L308" s="231">
        <f>IF($E308="","",DATE(YEAR($E308),MONTH($E308),1))</f>
        <v/>
      </c>
      <c r="M308" s="113">
        <f>IF($D308="","",IF($C308="TANIMSIZ MÜŞTERİ","HATA",IF(OR($E308="",$F308&lt;=0,$G308=""),"EKSİK",IF($E308&gt;TODAY(),"İLERİ TARİH","UYGUN"))))</f>
        <v/>
      </c>
      <c r="N308" s="121">
        <f>IF($C308="","",IF($C308="TANIMSIZ MÜŞTERİ","—",INDEX(MUSTERILER!$C$7:$C$106,MATCH($C308,MUSTERILER!$B$7:$B$106,0))))</f>
        <v/>
      </c>
      <c r="O308" s="6" t="n"/>
      <c r="P308" s="6" t="n"/>
      <c r="Q308" s="3">
        <f>IF($D308="","",$C308&amp;"|"&amp;COUNTIFS($C$7:$C308,$C308))</f>
        <v/>
      </c>
    </row>
    <row r="309">
      <c r="A309" s="6" t="n"/>
      <c r="B309" s="113">
        <f>IF($D309="","","T"&amp;TEXT(ROW()-6,"00000"))</f>
        <v/>
      </c>
      <c r="C309" s="113">
        <f>IF($D309="","",IFERROR(INDEX(MUSTERILER!$B$7:$B$106,MATCH($D309,MUSTERILER!$C$7:$C$106,0)),IFERROR(INDEX(MUSTERILER!$B$7:$B$106,MATCH($D309,MUSTERILER!$B$7:$B$106,0)),IFERROR(INDEX(MUSTERILER!$B$7:$B$106,MATCH($D309&amp;"*",MUSTERILER!$C$7:$C$106,0)),"TANIMSIZ MÜŞTERİ"))))</f>
        <v/>
      </c>
      <c r="D309" s="109" t="n"/>
      <c r="E309" s="225" t="n"/>
      <c r="F309" s="226" t="n"/>
      <c r="G309" s="108" t="n"/>
      <c r="H309" s="108" t="n"/>
      <c r="I309" s="109" t="n"/>
      <c r="J309" s="109" t="n"/>
      <c r="K309" s="109" t="n"/>
      <c r="L309" s="231">
        <f>IF($E309="","",DATE(YEAR($E309),MONTH($E309),1))</f>
        <v/>
      </c>
      <c r="M309" s="113">
        <f>IF($D309="","",IF($C309="TANIMSIZ MÜŞTERİ","HATA",IF(OR($E309="",$F309&lt;=0,$G309=""),"EKSİK",IF($E309&gt;TODAY(),"İLERİ TARİH","UYGUN"))))</f>
        <v/>
      </c>
      <c r="N309" s="121">
        <f>IF($C309="","",IF($C309="TANIMSIZ MÜŞTERİ","—",INDEX(MUSTERILER!$C$7:$C$106,MATCH($C309,MUSTERILER!$B$7:$B$106,0))))</f>
        <v/>
      </c>
      <c r="O309" s="6" t="n"/>
      <c r="P309" s="6" t="n"/>
      <c r="Q309" s="3">
        <f>IF($D309="","",$C309&amp;"|"&amp;COUNTIFS($C$7:$C309,$C309))</f>
        <v/>
      </c>
    </row>
    <row r="310">
      <c r="A310" s="6" t="n"/>
      <c r="B310" s="113">
        <f>IF($D310="","","T"&amp;TEXT(ROW()-6,"00000"))</f>
        <v/>
      </c>
      <c r="C310" s="113">
        <f>IF($D310="","",IFERROR(INDEX(MUSTERILER!$B$7:$B$106,MATCH($D310,MUSTERILER!$C$7:$C$106,0)),IFERROR(INDEX(MUSTERILER!$B$7:$B$106,MATCH($D310,MUSTERILER!$B$7:$B$106,0)),IFERROR(INDEX(MUSTERILER!$B$7:$B$106,MATCH($D310&amp;"*",MUSTERILER!$C$7:$C$106,0)),"TANIMSIZ MÜŞTERİ"))))</f>
        <v/>
      </c>
      <c r="D310" s="109" t="n"/>
      <c r="E310" s="225" t="n"/>
      <c r="F310" s="226" t="n"/>
      <c r="G310" s="108" t="n"/>
      <c r="H310" s="108" t="n"/>
      <c r="I310" s="109" t="n"/>
      <c r="J310" s="109" t="n"/>
      <c r="K310" s="109" t="n"/>
      <c r="L310" s="231">
        <f>IF($E310="","",DATE(YEAR($E310),MONTH($E310),1))</f>
        <v/>
      </c>
      <c r="M310" s="113">
        <f>IF($D310="","",IF($C310="TANIMSIZ MÜŞTERİ","HATA",IF(OR($E310="",$F310&lt;=0,$G310=""),"EKSİK",IF($E310&gt;TODAY(),"İLERİ TARİH","UYGUN"))))</f>
        <v/>
      </c>
      <c r="N310" s="121">
        <f>IF($C310="","",IF($C310="TANIMSIZ MÜŞTERİ","—",INDEX(MUSTERILER!$C$7:$C$106,MATCH($C310,MUSTERILER!$B$7:$B$106,0))))</f>
        <v/>
      </c>
      <c r="O310" s="6" t="n"/>
      <c r="P310" s="6" t="n"/>
      <c r="Q310" s="3">
        <f>IF($D310="","",$C310&amp;"|"&amp;COUNTIFS($C$7:$C310,$C310))</f>
        <v/>
      </c>
    </row>
    <row r="311">
      <c r="A311" s="6" t="n"/>
      <c r="B311" s="113">
        <f>IF($D311="","","T"&amp;TEXT(ROW()-6,"00000"))</f>
        <v/>
      </c>
      <c r="C311" s="113">
        <f>IF($D311="","",IFERROR(INDEX(MUSTERILER!$B$7:$B$106,MATCH($D311,MUSTERILER!$C$7:$C$106,0)),IFERROR(INDEX(MUSTERILER!$B$7:$B$106,MATCH($D311,MUSTERILER!$B$7:$B$106,0)),IFERROR(INDEX(MUSTERILER!$B$7:$B$106,MATCH($D311&amp;"*",MUSTERILER!$C$7:$C$106,0)),"TANIMSIZ MÜŞTERİ"))))</f>
        <v/>
      </c>
      <c r="D311" s="109" t="n"/>
      <c r="E311" s="225" t="n"/>
      <c r="F311" s="226" t="n"/>
      <c r="G311" s="108" t="n"/>
      <c r="H311" s="108" t="n"/>
      <c r="I311" s="109" t="n"/>
      <c r="J311" s="109" t="n"/>
      <c r="K311" s="109" t="n"/>
      <c r="L311" s="231">
        <f>IF($E311="","",DATE(YEAR($E311),MONTH($E311),1))</f>
        <v/>
      </c>
      <c r="M311" s="113">
        <f>IF($D311="","",IF($C311="TANIMSIZ MÜŞTERİ","HATA",IF(OR($E311="",$F311&lt;=0,$G311=""),"EKSİK",IF($E311&gt;TODAY(),"İLERİ TARİH","UYGUN"))))</f>
        <v/>
      </c>
      <c r="N311" s="121">
        <f>IF($C311="","",IF($C311="TANIMSIZ MÜŞTERİ","—",INDEX(MUSTERILER!$C$7:$C$106,MATCH($C311,MUSTERILER!$B$7:$B$106,0))))</f>
        <v/>
      </c>
      <c r="O311" s="6" t="n"/>
      <c r="P311" s="6" t="n"/>
      <c r="Q311" s="3">
        <f>IF($D311="","",$C311&amp;"|"&amp;COUNTIFS($C$7:$C311,$C311))</f>
        <v/>
      </c>
    </row>
    <row r="312">
      <c r="A312" s="6" t="n"/>
      <c r="B312" s="113">
        <f>IF($D312="","","T"&amp;TEXT(ROW()-6,"00000"))</f>
        <v/>
      </c>
      <c r="C312" s="113">
        <f>IF($D312="","",IFERROR(INDEX(MUSTERILER!$B$7:$B$106,MATCH($D312,MUSTERILER!$C$7:$C$106,0)),IFERROR(INDEX(MUSTERILER!$B$7:$B$106,MATCH($D312,MUSTERILER!$B$7:$B$106,0)),IFERROR(INDEX(MUSTERILER!$B$7:$B$106,MATCH($D312&amp;"*",MUSTERILER!$C$7:$C$106,0)),"TANIMSIZ MÜŞTERİ"))))</f>
        <v/>
      </c>
      <c r="D312" s="109" t="n"/>
      <c r="E312" s="225" t="n"/>
      <c r="F312" s="226" t="n"/>
      <c r="G312" s="108" t="n"/>
      <c r="H312" s="108" t="n"/>
      <c r="I312" s="109" t="n"/>
      <c r="J312" s="109" t="n"/>
      <c r="K312" s="109" t="n"/>
      <c r="L312" s="231">
        <f>IF($E312="","",DATE(YEAR($E312),MONTH($E312),1))</f>
        <v/>
      </c>
      <c r="M312" s="113">
        <f>IF($D312="","",IF($C312="TANIMSIZ MÜŞTERİ","HATA",IF(OR($E312="",$F312&lt;=0,$G312=""),"EKSİK",IF($E312&gt;TODAY(),"İLERİ TARİH","UYGUN"))))</f>
        <v/>
      </c>
      <c r="N312" s="121">
        <f>IF($C312="","",IF($C312="TANIMSIZ MÜŞTERİ","—",INDEX(MUSTERILER!$C$7:$C$106,MATCH($C312,MUSTERILER!$B$7:$B$106,0))))</f>
        <v/>
      </c>
      <c r="O312" s="6" t="n"/>
      <c r="P312" s="6" t="n"/>
      <c r="Q312" s="3">
        <f>IF($D312="","",$C312&amp;"|"&amp;COUNTIFS($C$7:$C312,$C312))</f>
        <v/>
      </c>
    </row>
    <row r="313">
      <c r="A313" s="6" t="n"/>
      <c r="B313" s="113">
        <f>IF($D313="","","T"&amp;TEXT(ROW()-6,"00000"))</f>
        <v/>
      </c>
      <c r="C313" s="113">
        <f>IF($D313="","",IFERROR(INDEX(MUSTERILER!$B$7:$B$106,MATCH($D313,MUSTERILER!$C$7:$C$106,0)),IFERROR(INDEX(MUSTERILER!$B$7:$B$106,MATCH($D313,MUSTERILER!$B$7:$B$106,0)),IFERROR(INDEX(MUSTERILER!$B$7:$B$106,MATCH($D313&amp;"*",MUSTERILER!$C$7:$C$106,0)),"TANIMSIZ MÜŞTERİ"))))</f>
        <v/>
      </c>
      <c r="D313" s="109" t="n"/>
      <c r="E313" s="225" t="n"/>
      <c r="F313" s="226" t="n"/>
      <c r="G313" s="108" t="n"/>
      <c r="H313" s="108" t="n"/>
      <c r="I313" s="109" t="n"/>
      <c r="J313" s="109" t="n"/>
      <c r="K313" s="109" t="n"/>
      <c r="L313" s="231">
        <f>IF($E313="","",DATE(YEAR($E313),MONTH($E313),1))</f>
        <v/>
      </c>
      <c r="M313" s="113">
        <f>IF($D313="","",IF($C313="TANIMSIZ MÜŞTERİ","HATA",IF(OR($E313="",$F313&lt;=0,$G313=""),"EKSİK",IF($E313&gt;TODAY(),"İLERİ TARİH","UYGUN"))))</f>
        <v/>
      </c>
      <c r="N313" s="121">
        <f>IF($C313="","",IF($C313="TANIMSIZ MÜŞTERİ","—",INDEX(MUSTERILER!$C$7:$C$106,MATCH($C313,MUSTERILER!$B$7:$B$106,0))))</f>
        <v/>
      </c>
      <c r="O313" s="6" t="n"/>
      <c r="P313" s="6" t="n"/>
      <c r="Q313" s="3">
        <f>IF($D313="","",$C313&amp;"|"&amp;COUNTIFS($C$7:$C313,$C313))</f>
        <v/>
      </c>
    </row>
    <row r="314">
      <c r="A314" s="6" t="n"/>
      <c r="B314" s="113">
        <f>IF($D314="","","T"&amp;TEXT(ROW()-6,"00000"))</f>
        <v/>
      </c>
      <c r="C314" s="113">
        <f>IF($D314="","",IFERROR(INDEX(MUSTERILER!$B$7:$B$106,MATCH($D314,MUSTERILER!$C$7:$C$106,0)),IFERROR(INDEX(MUSTERILER!$B$7:$B$106,MATCH($D314,MUSTERILER!$B$7:$B$106,0)),IFERROR(INDEX(MUSTERILER!$B$7:$B$106,MATCH($D314&amp;"*",MUSTERILER!$C$7:$C$106,0)),"TANIMSIZ MÜŞTERİ"))))</f>
        <v/>
      </c>
      <c r="D314" s="109" t="n"/>
      <c r="E314" s="225" t="n"/>
      <c r="F314" s="226" t="n"/>
      <c r="G314" s="108" t="n"/>
      <c r="H314" s="108" t="n"/>
      <c r="I314" s="109" t="n"/>
      <c r="J314" s="109" t="n"/>
      <c r="K314" s="109" t="n"/>
      <c r="L314" s="231">
        <f>IF($E314="","",DATE(YEAR($E314),MONTH($E314),1))</f>
        <v/>
      </c>
      <c r="M314" s="113">
        <f>IF($D314="","",IF($C314="TANIMSIZ MÜŞTERİ","HATA",IF(OR($E314="",$F314&lt;=0,$G314=""),"EKSİK",IF($E314&gt;TODAY(),"İLERİ TARİH","UYGUN"))))</f>
        <v/>
      </c>
      <c r="N314" s="121">
        <f>IF($C314="","",IF($C314="TANIMSIZ MÜŞTERİ","—",INDEX(MUSTERILER!$C$7:$C$106,MATCH($C314,MUSTERILER!$B$7:$B$106,0))))</f>
        <v/>
      </c>
      <c r="O314" s="6" t="n"/>
      <c r="P314" s="6" t="n"/>
      <c r="Q314" s="3">
        <f>IF($D314="","",$C314&amp;"|"&amp;COUNTIFS($C$7:$C314,$C314))</f>
        <v/>
      </c>
    </row>
    <row r="315">
      <c r="A315" s="6" t="n"/>
      <c r="B315" s="113">
        <f>IF($D315="","","T"&amp;TEXT(ROW()-6,"00000"))</f>
        <v/>
      </c>
      <c r="C315" s="113">
        <f>IF($D315="","",IFERROR(INDEX(MUSTERILER!$B$7:$B$106,MATCH($D315,MUSTERILER!$C$7:$C$106,0)),IFERROR(INDEX(MUSTERILER!$B$7:$B$106,MATCH($D315,MUSTERILER!$B$7:$B$106,0)),IFERROR(INDEX(MUSTERILER!$B$7:$B$106,MATCH($D315&amp;"*",MUSTERILER!$C$7:$C$106,0)),"TANIMSIZ MÜŞTERİ"))))</f>
        <v/>
      </c>
      <c r="D315" s="109" t="n"/>
      <c r="E315" s="225" t="n"/>
      <c r="F315" s="226" t="n"/>
      <c r="G315" s="108" t="n"/>
      <c r="H315" s="108" t="n"/>
      <c r="I315" s="109" t="n"/>
      <c r="J315" s="109" t="n"/>
      <c r="K315" s="109" t="n"/>
      <c r="L315" s="231">
        <f>IF($E315="","",DATE(YEAR($E315),MONTH($E315),1))</f>
        <v/>
      </c>
      <c r="M315" s="113">
        <f>IF($D315="","",IF($C315="TANIMSIZ MÜŞTERİ","HATA",IF(OR($E315="",$F315&lt;=0,$G315=""),"EKSİK",IF($E315&gt;TODAY(),"İLERİ TARİH","UYGUN"))))</f>
        <v/>
      </c>
      <c r="N315" s="121">
        <f>IF($C315="","",IF($C315="TANIMSIZ MÜŞTERİ","—",INDEX(MUSTERILER!$C$7:$C$106,MATCH($C315,MUSTERILER!$B$7:$B$106,0))))</f>
        <v/>
      </c>
      <c r="O315" s="6" t="n"/>
      <c r="P315" s="6" t="n"/>
      <c r="Q315" s="3">
        <f>IF($D315="","",$C315&amp;"|"&amp;COUNTIFS($C$7:$C315,$C315))</f>
        <v/>
      </c>
    </row>
    <row r="316">
      <c r="A316" s="6" t="n"/>
      <c r="B316" s="113">
        <f>IF($D316="","","T"&amp;TEXT(ROW()-6,"00000"))</f>
        <v/>
      </c>
      <c r="C316" s="113">
        <f>IF($D316="","",IFERROR(INDEX(MUSTERILER!$B$7:$B$106,MATCH($D316,MUSTERILER!$C$7:$C$106,0)),IFERROR(INDEX(MUSTERILER!$B$7:$B$106,MATCH($D316,MUSTERILER!$B$7:$B$106,0)),IFERROR(INDEX(MUSTERILER!$B$7:$B$106,MATCH($D316&amp;"*",MUSTERILER!$C$7:$C$106,0)),"TANIMSIZ MÜŞTERİ"))))</f>
        <v/>
      </c>
      <c r="D316" s="109" t="n"/>
      <c r="E316" s="225" t="n"/>
      <c r="F316" s="226" t="n"/>
      <c r="G316" s="108" t="n"/>
      <c r="H316" s="108" t="n"/>
      <c r="I316" s="109" t="n"/>
      <c r="J316" s="109" t="n"/>
      <c r="K316" s="109" t="n"/>
      <c r="L316" s="231">
        <f>IF($E316="","",DATE(YEAR($E316),MONTH($E316),1))</f>
        <v/>
      </c>
      <c r="M316" s="113">
        <f>IF($D316="","",IF($C316="TANIMSIZ MÜŞTERİ","HATA",IF(OR($E316="",$F316&lt;=0,$G316=""),"EKSİK",IF($E316&gt;TODAY(),"İLERİ TARİH","UYGUN"))))</f>
        <v/>
      </c>
      <c r="N316" s="121">
        <f>IF($C316="","",IF($C316="TANIMSIZ MÜŞTERİ","—",INDEX(MUSTERILER!$C$7:$C$106,MATCH($C316,MUSTERILER!$B$7:$B$106,0))))</f>
        <v/>
      </c>
      <c r="O316" s="6" t="n"/>
      <c r="P316" s="6" t="n"/>
      <c r="Q316" s="3">
        <f>IF($D316="","",$C316&amp;"|"&amp;COUNTIFS($C$7:$C316,$C316))</f>
        <v/>
      </c>
    </row>
    <row r="317">
      <c r="A317" s="6" t="n"/>
      <c r="B317" s="113">
        <f>IF($D317="","","T"&amp;TEXT(ROW()-6,"00000"))</f>
        <v/>
      </c>
      <c r="C317" s="113">
        <f>IF($D317="","",IFERROR(INDEX(MUSTERILER!$B$7:$B$106,MATCH($D317,MUSTERILER!$C$7:$C$106,0)),IFERROR(INDEX(MUSTERILER!$B$7:$B$106,MATCH($D317,MUSTERILER!$B$7:$B$106,0)),IFERROR(INDEX(MUSTERILER!$B$7:$B$106,MATCH($D317&amp;"*",MUSTERILER!$C$7:$C$106,0)),"TANIMSIZ MÜŞTERİ"))))</f>
        <v/>
      </c>
      <c r="D317" s="109" t="n"/>
      <c r="E317" s="225" t="n"/>
      <c r="F317" s="226" t="n"/>
      <c r="G317" s="108" t="n"/>
      <c r="H317" s="108" t="n"/>
      <c r="I317" s="109" t="n"/>
      <c r="J317" s="109" t="n"/>
      <c r="K317" s="109" t="n"/>
      <c r="L317" s="231">
        <f>IF($E317="","",DATE(YEAR($E317),MONTH($E317),1))</f>
        <v/>
      </c>
      <c r="M317" s="113">
        <f>IF($D317="","",IF($C317="TANIMSIZ MÜŞTERİ","HATA",IF(OR($E317="",$F317&lt;=0,$G317=""),"EKSİK",IF($E317&gt;TODAY(),"İLERİ TARİH","UYGUN"))))</f>
        <v/>
      </c>
      <c r="N317" s="121">
        <f>IF($C317="","",IF($C317="TANIMSIZ MÜŞTERİ","—",INDEX(MUSTERILER!$C$7:$C$106,MATCH($C317,MUSTERILER!$B$7:$B$106,0))))</f>
        <v/>
      </c>
      <c r="O317" s="6" t="n"/>
      <c r="P317" s="6" t="n"/>
      <c r="Q317" s="3">
        <f>IF($D317="","",$C317&amp;"|"&amp;COUNTIFS($C$7:$C317,$C317))</f>
        <v/>
      </c>
    </row>
    <row r="318">
      <c r="A318" s="6" t="n"/>
      <c r="B318" s="113">
        <f>IF($D318="","","T"&amp;TEXT(ROW()-6,"00000"))</f>
        <v/>
      </c>
      <c r="C318" s="113">
        <f>IF($D318="","",IFERROR(INDEX(MUSTERILER!$B$7:$B$106,MATCH($D318,MUSTERILER!$C$7:$C$106,0)),IFERROR(INDEX(MUSTERILER!$B$7:$B$106,MATCH($D318,MUSTERILER!$B$7:$B$106,0)),IFERROR(INDEX(MUSTERILER!$B$7:$B$106,MATCH($D318&amp;"*",MUSTERILER!$C$7:$C$106,0)),"TANIMSIZ MÜŞTERİ"))))</f>
        <v/>
      </c>
      <c r="D318" s="109" t="n"/>
      <c r="E318" s="225" t="n"/>
      <c r="F318" s="226" t="n"/>
      <c r="G318" s="108" t="n"/>
      <c r="H318" s="108" t="n"/>
      <c r="I318" s="109" t="n"/>
      <c r="J318" s="109" t="n"/>
      <c r="K318" s="109" t="n"/>
      <c r="L318" s="231">
        <f>IF($E318="","",DATE(YEAR($E318),MONTH($E318),1))</f>
        <v/>
      </c>
      <c r="M318" s="113">
        <f>IF($D318="","",IF($C318="TANIMSIZ MÜŞTERİ","HATA",IF(OR($E318="",$F318&lt;=0,$G318=""),"EKSİK",IF($E318&gt;TODAY(),"İLERİ TARİH","UYGUN"))))</f>
        <v/>
      </c>
      <c r="N318" s="121">
        <f>IF($C318="","",IF($C318="TANIMSIZ MÜŞTERİ","—",INDEX(MUSTERILER!$C$7:$C$106,MATCH($C318,MUSTERILER!$B$7:$B$106,0))))</f>
        <v/>
      </c>
      <c r="O318" s="6" t="n"/>
      <c r="P318" s="6" t="n"/>
      <c r="Q318" s="3">
        <f>IF($D318="","",$C318&amp;"|"&amp;COUNTIFS($C$7:$C318,$C318))</f>
        <v/>
      </c>
    </row>
    <row r="319">
      <c r="A319" s="6" t="n"/>
      <c r="B319" s="113">
        <f>IF($D319="","","T"&amp;TEXT(ROW()-6,"00000"))</f>
        <v/>
      </c>
      <c r="C319" s="113">
        <f>IF($D319="","",IFERROR(INDEX(MUSTERILER!$B$7:$B$106,MATCH($D319,MUSTERILER!$C$7:$C$106,0)),IFERROR(INDEX(MUSTERILER!$B$7:$B$106,MATCH($D319,MUSTERILER!$B$7:$B$106,0)),IFERROR(INDEX(MUSTERILER!$B$7:$B$106,MATCH($D319&amp;"*",MUSTERILER!$C$7:$C$106,0)),"TANIMSIZ MÜŞTERİ"))))</f>
        <v/>
      </c>
      <c r="D319" s="109" t="n"/>
      <c r="E319" s="225" t="n"/>
      <c r="F319" s="226" t="n"/>
      <c r="G319" s="108" t="n"/>
      <c r="H319" s="108" t="n"/>
      <c r="I319" s="109" t="n"/>
      <c r="J319" s="109" t="n"/>
      <c r="K319" s="109" t="n"/>
      <c r="L319" s="231">
        <f>IF($E319="","",DATE(YEAR($E319),MONTH($E319),1))</f>
        <v/>
      </c>
      <c r="M319" s="113">
        <f>IF($D319="","",IF($C319="TANIMSIZ MÜŞTERİ","HATA",IF(OR($E319="",$F319&lt;=0,$G319=""),"EKSİK",IF($E319&gt;TODAY(),"İLERİ TARİH","UYGUN"))))</f>
        <v/>
      </c>
      <c r="N319" s="121">
        <f>IF($C319="","",IF($C319="TANIMSIZ MÜŞTERİ","—",INDEX(MUSTERILER!$C$7:$C$106,MATCH($C319,MUSTERILER!$B$7:$B$106,0))))</f>
        <v/>
      </c>
      <c r="O319" s="6" t="n"/>
      <c r="P319" s="6" t="n"/>
      <c r="Q319" s="3">
        <f>IF($D319="","",$C319&amp;"|"&amp;COUNTIFS($C$7:$C319,$C319))</f>
        <v/>
      </c>
    </row>
    <row r="320">
      <c r="A320" s="6" t="n"/>
      <c r="B320" s="113">
        <f>IF($D320="","","T"&amp;TEXT(ROW()-6,"00000"))</f>
        <v/>
      </c>
      <c r="C320" s="113">
        <f>IF($D320="","",IFERROR(INDEX(MUSTERILER!$B$7:$B$106,MATCH($D320,MUSTERILER!$C$7:$C$106,0)),IFERROR(INDEX(MUSTERILER!$B$7:$B$106,MATCH($D320,MUSTERILER!$B$7:$B$106,0)),IFERROR(INDEX(MUSTERILER!$B$7:$B$106,MATCH($D320&amp;"*",MUSTERILER!$C$7:$C$106,0)),"TANIMSIZ MÜŞTERİ"))))</f>
        <v/>
      </c>
      <c r="D320" s="109" t="n"/>
      <c r="E320" s="225" t="n"/>
      <c r="F320" s="226" t="n"/>
      <c r="G320" s="108" t="n"/>
      <c r="H320" s="108" t="n"/>
      <c r="I320" s="109" t="n"/>
      <c r="J320" s="109" t="n"/>
      <c r="K320" s="109" t="n"/>
      <c r="L320" s="231">
        <f>IF($E320="","",DATE(YEAR($E320),MONTH($E320),1))</f>
        <v/>
      </c>
      <c r="M320" s="113">
        <f>IF($D320="","",IF($C320="TANIMSIZ MÜŞTERİ","HATA",IF(OR($E320="",$F320&lt;=0,$G320=""),"EKSİK",IF($E320&gt;TODAY(),"İLERİ TARİH","UYGUN"))))</f>
        <v/>
      </c>
      <c r="N320" s="121">
        <f>IF($C320="","",IF($C320="TANIMSIZ MÜŞTERİ","—",INDEX(MUSTERILER!$C$7:$C$106,MATCH($C320,MUSTERILER!$B$7:$B$106,0))))</f>
        <v/>
      </c>
      <c r="O320" s="6" t="n"/>
      <c r="P320" s="6" t="n"/>
      <c r="Q320" s="3">
        <f>IF($D320="","",$C320&amp;"|"&amp;COUNTIFS($C$7:$C320,$C320))</f>
        <v/>
      </c>
    </row>
    <row r="321">
      <c r="A321" s="6" t="n"/>
      <c r="B321" s="113">
        <f>IF($D321="","","T"&amp;TEXT(ROW()-6,"00000"))</f>
        <v/>
      </c>
      <c r="C321" s="113">
        <f>IF($D321="","",IFERROR(INDEX(MUSTERILER!$B$7:$B$106,MATCH($D321,MUSTERILER!$C$7:$C$106,0)),IFERROR(INDEX(MUSTERILER!$B$7:$B$106,MATCH($D321,MUSTERILER!$B$7:$B$106,0)),IFERROR(INDEX(MUSTERILER!$B$7:$B$106,MATCH($D321&amp;"*",MUSTERILER!$C$7:$C$106,0)),"TANIMSIZ MÜŞTERİ"))))</f>
        <v/>
      </c>
      <c r="D321" s="109" t="n"/>
      <c r="E321" s="225" t="n"/>
      <c r="F321" s="226" t="n"/>
      <c r="G321" s="108" t="n"/>
      <c r="H321" s="108" t="n"/>
      <c r="I321" s="109" t="n"/>
      <c r="J321" s="109" t="n"/>
      <c r="K321" s="109" t="n"/>
      <c r="L321" s="231">
        <f>IF($E321="","",DATE(YEAR($E321),MONTH($E321),1))</f>
        <v/>
      </c>
      <c r="M321" s="113">
        <f>IF($D321="","",IF($C321="TANIMSIZ MÜŞTERİ","HATA",IF(OR($E321="",$F321&lt;=0,$G321=""),"EKSİK",IF($E321&gt;TODAY(),"İLERİ TARİH","UYGUN"))))</f>
        <v/>
      </c>
      <c r="N321" s="121">
        <f>IF($C321="","",IF($C321="TANIMSIZ MÜŞTERİ","—",INDEX(MUSTERILER!$C$7:$C$106,MATCH($C321,MUSTERILER!$B$7:$B$106,0))))</f>
        <v/>
      </c>
      <c r="O321" s="6" t="n"/>
      <c r="P321" s="6" t="n"/>
      <c r="Q321" s="3">
        <f>IF($D321="","",$C321&amp;"|"&amp;COUNTIFS($C$7:$C321,$C321))</f>
        <v/>
      </c>
    </row>
    <row r="322">
      <c r="A322" s="6" t="n"/>
      <c r="B322" s="113">
        <f>IF($D322="","","T"&amp;TEXT(ROW()-6,"00000"))</f>
        <v/>
      </c>
      <c r="C322" s="113">
        <f>IF($D322="","",IFERROR(INDEX(MUSTERILER!$B$7:$B$106,MATCH($D322,MUSTERILER!$C$7:$C$106,0)),IFERROR(INDEX(MUSTERILER!$B$7:$B$106,MATCH($D322,MUSTERILER!$B$7:$B$106,0)),IFERROR(INDEX(MUSTERILER!$B$7:$B$106,MATCH($D322&amp;"*",MUSTERILER!$C$7:$C$106,0)),"TANIMSIZ MÜŞTERİ"))))</f>
        <v/>
      </c>
      <c r="D322" s="109" t="n"/>
      <c r="E322" s="225" t="n"/>
      <c r="F322" s="226" t="n"/>
      <c r="G322" s="108" t="n"/>
      <c r="H322" s="108" t="n"/>
      <c r="I322" s="109" t="n"/>
      <c r="J322" s="109" t="n"/>
      <c r="K322" s="109" t="n"/>
      <c r="L322" s="231">
        <f>IF($E322="","",DATE(YEAR($E322),MONTH($E322),1))</f>
        <v/>
      </c>
      <c r="M322" s="113">
        <f>IF($D322="","",IF($C322="TANIMSIZ MÜŞTERİ","HATA",IF(OR($E322="",$F322&lt;=0,$G322=""),"EKSİK",IF($E322&gt;TODAY(),"İLERİ TARİH","UYGUN"))))</f>
        <v/>
      </c>
      <c r="N322" s="121">
        <f>IF($C322="","",IF($C322="TANIMSIZ MÜŞTERİ","—",INDEX(MUSTERILER!$C$7:$C$106,MATCH($C322,MUSTERILER!$B$7:$B$106,0))))</f>
        <v/>
      </c>
      <c r="O322" s="6" t="n"/>
      <c r="P322" s="6" t="n"/>
      <c r="Q322" s="3">
        <f>IF($D322="","",$C322&amp;"|"&amp;COUNTIFS($C$7:$C322,$C322))</f>
        <v/>
      </c>
    </row>
    <row r="323">
      <c r="A323" s="6" t="n"/>
      <c r="B323" s="113">
        <f>IF($D323="","","T"&amp;TEXT(ROW()-6,"00000"))</f>
        <v/>
      </c>
      <c r="C323" s="113">
        <f>IF($D323="","",IFERROR(INDEX(MUSTERILER!$B$7:$B$106,MATCH($D323,MUSTERILER!$C$7:$C$106,0)),IFERROR(INDEX(MUSTERILER!$B$7:$B$106,MATCH($D323,MUSTERILER!$B$7:$B$106,0)),IFERROR(INDEX(MUSTERILER!$B$7:$B$106,MATCH($D323&amp;"*",MUSTERILER!$C$7:$C$106,0)),"TANIMSIZ MÜŞTERİ"))))</f>
        <v/>
      </c>
      <c r="D323" s="109" t="n"/>
      <c r="E323" s="225" t="n"/>
      <c r="F323" s="226" t="n"/>
      <c r="G323" s="108" t="n"/>
      <c r="H323" s="108" t="n"/>
      <c r="I323" s="109" t="n"/>
      <c r="J323" s="109" t="n"/>
      <c r="K323" s="109" t="n"/>
      <c r="L323" s="231">
        <f>IF($E323="","",DATE(YEAR($E323),MONTH($E323),1))</f>
        <v/>
      </c>
      <c r="M323" s="113">
        <f>IF($D323="","",IF($C323="TANIMSIZ MÜŞTERİ","HATA",IF(OR($E323="",$F323&lt;=0,$G323=""),"EKSİK",IF($E323&gt;TODAY(),"İLERİ TARİH","UYGUN"))))</f>
        <v/>
      </c>
      <c r="N323" s="121">
        <f>IF($C323="","",IF($C323="TANIMSIZ MÜŞTERİ","—",INDEX(MUSTERILER!$C$7:$C$106,MATCH($C323,MUSTERILER!$B$7:$B$106,0))))</f>
        <v/>
      </c>
      <c r="O323" s="6" t="n"/>
      <c r="P323" s="6" t="n"/>
      <c r="Q323" s="3">
        <f>IF($D323="","",$C323&amp;"|"&amp;COUNTIFS($C$7:$C323,$C323))</f>
        <v/>
      </c>
    </row>
    <row r="324">
      <c r="A324" s="6" t="n"/>
      <c r="B324" s="113">
        <f>IF($D324="","","T"&amp;TEXT(ROW()-6,"00000"))</f>
        <v/>
      </c>
      <c r="C324" s="113">
        <f>IF($D324="","",IFERROR(INDEX(MUSTERILER!$B$7:$B$106,MATCH($D324,MUSTERILER!$C$7:$C$106,0)),IFERROR(INDEX(MUSTERILER!$B$7:$B$106,MATCH($D324,MUSTERILER!$B$7:$B$106,0)),IFERROR(INDEX(MUSTERILER!$B$7:$B$106,MATCH($D324&amp;"*",MUSTERILER!$C$7:$C$106,0)),"TANIMSIZ MÜŞTERİ"))))</f>
        <v/>
      </c>
      <c r="D324" s="109" t="n"/>
      <c r="E324" s="225" t="n"/>
      <c r="F324" s="226" t="n"/>
      <c r="G324" s="108" t="n"/>
      <c r="H324" s="108" t="n"/>
      <c r="I324" s="109" t="n"/>
      <c r="J324" s="109" t="n"/>
      <c r="K324" s="109" t="n"/>
      <c r="L324" s="231">
        <f>IF($E324="","",DATE(YEAR($E324),MONTH($E324),1))</f>
        <v/>
      </c>
      <c r="M324" s="113">
        <f>IF($D324="","",IF($C324="TANIMSIZ MÜŞTERİ","HATA",IF(OR($E324="",$F324&lt;=0,$G324=""),"EKSİK",IF($E324&gt;TODAY(),"İLERİ TARİH","UYGUN"))))</f>
        <v/>
      </c>
      <c r="N324" s="121">
        <f>IF($C324="","",IF($C324="TANIMSIZ MÜŞTERİ","—",INDEX(MUSTERILER!$C$7:$C$106,MATCH($C324,MUSTERILER!$B$7:$B$106,0))))</f>
        <v/>
      </c>
      <c r="O324" s="6" t="n"/>
      <c r="P324" s="6" t="n"/>
      <c r="Q324" s="3">
        <f>IF($D324="","",$C324&amp;"|"&amp;COUNTIFS($C$7:$C324,$C324))</f>
        <v/>
      </c>
    </row>
    <row r="325">
      <c r="A325" s="6" t="n"/>
      <c r="B325" s="113">
        <f>IF($D325="","","T"&amp;TEXT(ROW()-6,"00000"))</f>
        <v/>
      </c>
      <c r="C325" s="113">
        <f>IF($D325="","",IFERROR(INDEX(MUSTERILER!$B$7:$B$106,MATCH($D325,MUSTERILER!$C$7:$C$106,0)),IFERROR(INDEX(MUSTERILER!$B$7:$B$106,MATCH($D325,MUSTERILER!$B$7:$B$106,0)),IFERROR(INDEX(MUSTERILER!$B$7:$B$106,MATCH($D325&amp;"*",MUSTERILER!$C$7:$C$106,0)),"TANIMSIZ MÜŞTERİ"))))</f>
        <v/>
      </c>
      <c r="D325" s="109" t="n"/>
      <c r="E325" s="225" t="n"/>
      <c r="F325" s="226" t="n"/>
      <c r="G325" s="108" t="n"/>
      <c r="H325" s="108" t="n"/>
      <c r="I325" s="109" t="n"/>
      <c r="J325" s="109" t="n"/>
      <c r="K325" s="109" t="n"/>
      <c r="L325" s="231">
        <f>IF($E325="","",DATE(YEAR($E325),MONTH($E325),1))</f>
        <v/>
      </c>
      <c r="M325" s="113">
        <f>IF($D325="","",IF($C325="TANIMSIZ MÜŞTERİ","HATA",IF(OR($E325="",$F325&lt;=0,$G325=""),"EKSİK",IF($E325&gt;TODAY(),"İLERİ TARİH","UYGUN"))))</f>
        <v/>
      </c>
      <c r="N325" s="121">
        <f>IF($C325="","",IF($C325="TANIMSIZ MÜŞTERİ","—",INDEX(MUSTERILER!$C$7:$C$106,MATCH($C325,MUSTERILER!$B$7:$B$106,0))))</f>
        <v/>
      </c>
      <c r="O325" s="6" t="n"/>
      <c r="P325" s="6" t="n"/>
      <c r="Q325" s="3">
        <f>IF($D325="","",$C325&amp;"|"&amp;COUNTIFS($C$7:$C325,$C325))</f>
        <v/>
      </c>
    </row>
    <row r="326">
      <c r="A326" s="6" t="n"/>
      <c r="B326" s="113">
        <f>IF($D326="","","T"&amp;TEXT(ROW()-6,"00000"))</f>
        <v/>
      </c>
      <c r="C326" s="113">
        <f>IF($D326="","",IFERROR(INDEX(MUSTERILER!$B$7:$B$106,MATCH($D326,MUSTERILER!$C$7:$C$106,0)),IFERROR(INDEX(MUSTERILER!$B$7:$B$106,MATCH($D326,MUSTERILER!$B$7:$B$106,0)),IFERROR(INDEX(MUSTERILER!$B$7:$B$106,MATCH($D326&amp;"*",MUSTERILER!$C$7:$C$106,0)),"TANIMSIZ MÜŞTERİ"))))</f>
        <v/>
      </c>
      <c r="D326" s="109" t="n"/>
      <c r="E326" s="225" t="n"/>
      <c r="F326" s="226" t="n"/>
      <c r="G326" s="108" t="n"/>
      <c r="H326" s="108" t="n"/>
      <c r="I326" s="109" t="n"/>
      <c r="J326" s="109" t="n"/>
      <c r="K326" s="109" t="n"/>
      <c r="L326" s="231">
        <f>IF($E326="","",DATE(YEAR($E326),MONTH($E326),1))</f>
        <v/>
      </c>
      <c r="M326" s="113">
        <f>IF($D326="","",IF($C326="TANIMSIZ MÜŞTERİ","HATA",IF(OR($E326="",$F326&lt;=0,$G326=""),"EKSİK",IF($E326&gt;TODAY(),"İLERİ TARİH","UYGUN"))))</f>
        <v/>
      </c>
      <c r="N326" s="121">
        <f>IF($C326="","",IF($C326="TANIMSIZ MÜŞTERİ","—",INDEX(MUSTERILER!$C$7:$C$106,MATCH($C326,MUSTERILER!$B$7:$B$106,0))))</f>
        <v/>
      </c>
      <c r="O326" s="6" t="n"/>
      <c r="P326" s="6" t="n"/>
      <c r="Q326" s="3">
        <f>IF($D326="","",$C326&amp;"|"&amp;COUNTIFS($C$7:$C326,$C326))</f>
        <v/>
      </c>
    </row>
    <row r="327">
      <c r="A327" s="6" t="n"/>
      <c r="B327" s="113">
        <f>IF($D327="","","T"&amp;TEXT(ROW()-6,"00000"))</f>
        <v/>
      </c>
      <c r="C327" s="113">
        <f>IF($D327="","",IFERROR(INDEX(MUSTERILER!$B$7:$B$106,MATCH($D327,MUSTERILER!$C$7:$C$106,0)),IFERROR(INDEX(MUSTERILER!$B$7:$B$106,MATCH($D327,MUSTERILER!$B$7:$B$106,0)),IFERROR(INDEX(MUSTERILER!$B$7:$B$106,MATCH($D327&amp;"*",MUSTERILER!$C$7:$C$106,0)),"TANIMSIZ MÜŞTERİ"))))</f>
        <v/>
      </c>
      <c r="D327" s="109" t="n"/>
      <c r="E327" s="225" t="n"/>
      <c r="F327" s="226" t="n"/>
      <c r="G327" s="108" t="n"/>
      <c r="H327" s="108" t="n"/>
      <c r="I327" s="109" t="n"/>
      <c r="J327" s="109" t="n"/>
      <c r="K327" s="109" t="n"/>
      <c r="L327" s="231">
        <f>IF($E327="","",DATE(YEAR($E327),MONTH($E327),1))</f>
        <v/>
      </c>
      <c r="M327" s="113">
        <f>IF($D327="","",IF($C327="TANIMSIZ MÜŞTERİ","HATA",IF(OR($E327="",$F327&lt;=0,$G327=""),"EKSİK",IF($E327&gt;TODAY(),"İLERİ TARİH","UYGUN"))))</f>
        <v/>
      </c>
      <c r="N327" s="121">
        <f>IF($C327="","",IF($C327="TANIMSIZ MÜŞTERİ","—",INDEX(MUSTERILER!$C$7:$C$106,MATCH($C327,MUSTERILER!$B$7:$B$106,0))))</f>
        <v/>
      </c>
      <c r="O327" s="6" t="n"/>
      <c r="P327" s="6" t="n"/>
      <c r="Q327" s="3">
        <f>IF($D327="","",$C327&amp;"|"&amp;COUNTIFS($C$7:$C327,$C327))</f>
        <v/>
      </c>
    </row>
    <row r="328">
      <c r="A328" s="6" t="n"/>
      <c r="B328" s="113">
        <f>IF($D328="","","T"&amp;TEXT(ROW()-6,"00000"))</f>
        <v/>
      </c>
      <c r="C328" s="113">
        <f>IF($D328="","",IFERROR(INDEX(MUSTERILER!$B$7:$B$106,MATCH($D328,MUSTERILER!$C$7:$C$106,0)),IFERROR(INDEX(MUSTERILER!$B$7:$B$106,MATCH($D328,MUSTERILER!$B$7:$B$106,0)),IFERROR(INDEX(MUSTERILER!$B$7:$B$106,MATCH($D328&amp;"*",MUSTERILER!$C$7:$C$106,0)),"TANIMSIZ MÜŞTERİ"))))</f>
        <v/>
      </c>
      <c r="D328" s="109" t="n"/>
      <c r="E328" s="225" t="n"/>
      <c r="F328" s="226" t="n"/>
      <c r="G328" s="108" t="n"/>
      <c r="H328" s="108" t="n"/>
      <c r="I328" s="109" t="n"/>
      <c r="J328" s="109" t="n"/>
      <c r="K328" s="109" t="n"/>
      <c r="L328" s="231">
        <f>IF($E328="","",DATE(YEAR($E328),MONTH($E328),1))</f>
        <v/>
      </c>
      <c r="M328" s="113">
        <f>IF($D328="","",IF($C328="TANIMSIZ MÜŞTERİ","HATA",IF(OR($E328="",$F328&lt;=0,$G328=""),"EKSİK",IF($E328&gt;TODAY(),"İLERİ TARİH","UYGUN"))))</f>
        <v/>
      </c>
      <c r="N328" s="121">
        <f>IF($C328="","",IF($C328="TANIMSIZ MÜŞTERİ","—",INDEX(MUSTERILER!$C$7:$C$106,MATCH($C328,MUSTERILER!$B$7:$B$106,0))))</f>
        <v/>
      </c>
      <c r="O328" s="6" t="n"/>
      <c r="P328" s="6" t="n"/>
      <c r="Q328" s="3">
        <f>IF($D328="","",$C328&amp;"|"&amp;COUNTIFS($C$7:$C328,$C328))</f>
        <v/>
      </c>
    </row>
    <row r="329">
      <c r="A329" s="6" t="n"/>
      <c r="B329" s="113">
        <f>IF($D329="","","T"&amp;TEXT(ROW()-6,"00000"))</f>
        <v/>
      </c>
      <c r="C329" s="113">
        <f>IF($D329="","",IFERROR(INDEX(MUSTERILER!$B$7:$B$106,MATCH($D329,MUSTERILER!$C$7:$C$106,0)),IFERROR(INDEX(MUSTERILER!$B$7:$B$106,MATCH($D329,MUSTERILER!$B$7:$B$106,0)),IFERROR(INDEX(MUSTERILER!$B$7:$B$106,MATCH($D329&amp;"*",MUSTERILER!$C$7:$C$106,0)),"TANIMSIZ MÜŞTERİ"))))</f>
        <v/>
      </c>
      <c r="D329" s="109" t="n"/>
      <c r="E329" s="225" t="n"/>
      <c r="F329" s="226" t="n"/>
      <c r="G329" s="108" t="n"/>
      <c r="H329" s="108" t="n"/>
      <c r="I329" s="109" t="n"/>
      <c r="J329" s="109" t="n"/>
      <c r="K329" s="109" t="n"/>
      <c r="L329" s="231">
        <f>IF($E329="","",DATE(YEAR($E329),MONTH($E329),1))</f>
        <v/>
      </c>
      <c r="M329" s="113">
        <f>IF($D329="","",IF($C329="TANIMSIZ MÜŞTERİ","HATA",IF(OR($E329="",$F329&lt;=0,$G329=""),"EKSİK",IF($E329&gt;TODAY(),"İLERİ TARİH","UYGUN"))))</f>
        <v/>
      </c>
      <c r="N329" s="121">
        <f>IF($C329="","",IF($C329="TANIMSIZ MÜŞTERİ","—",INDEX(MUSTERILER!$C$7:$C$106,MATCH($C329,MUSTERILER!$B$7:$B$106,0))))</f>
        <v/>
      </c>
      <c r="O329" s="6" t="n"/>
      <c r="P329" s="6" t="n"/>
      <c r="Q329" s="3">
        <f>IF($D329="","",$C329&amp;"|"&amp;COUNTIFS($C$7:$C329,$C329))</f>
        <v/>
      </c>
    </row>
    <row r="330">
      <c r="A330" s="6" t="n"/>
      <c r="B330" s="113">
        <f>IF($D330="","","T"&amp;TEXT(ROW()-6,"00000"))</f>
        <v/>
      </c>
      <c r="C330" s="113">
        <f>IF($D330="","",IFERROR(INDEX(MUSTERILER!$B$7:$B$106,MATCH($D330,MUSTERILER!$C$7:$C$106,0)),IFERROR(INDEX(MUSTERILER!$B$7:$B$106,MATCH($D330,MUSTERILER!$B$7:$B$106,0)),IFERROR(INDEX(MUSTERILER!$B$7:$B$106,MATCH($D330&amp;"*",MUSTERILER!$C$7:$C$106,0)),"TANIMSIZ MÜŞTERİ"))))</f>
        <v/>
      </c>
      <c r="D330" s="109" t="n"/>
      <c r="E330" s="225" t="n"/>
      <c r="F330" s="226" t="n"/>
      <c r="G330" s="108" t="n"/>
      <c r="H330" s="108" t="n"/>
      <c r="I330" s="109" t="n"/>
      <c r="J330" s="109" t="n"/>
      <c r="K330" s="109" t="n"/>
      <c r="L330" s="231">
        <f>IF($E330="","",DATE(YEAR($E330),MONTH($E330),1))</f>
        <v/>
      </c>
      <c r="M330" s="113">
        <f>IF($D330="","",IF($C330="TANIMSIZ MÜŞTERİ","HATA",IF(OR($E330="",$F330&lt;=0,$G330=""),"EKSİK",IF($E330&gt;TODAY(),"İLERİ TARİH","UYGUN"))))</f>
        <v/>
      </c>
      <c r="N330" s="121">
        <f>IF($C330="","",IF($C330="TANIMSIZ MÜŞTERİ","—",INDEX(MUSTERILER!$C$7:$C$106,MATCH($C330,MUSTERILER!$B$7:$B$106,0))))</f>
        <v/>
      </c>
      <c r="O330" s="6" t="n"/>
      <c r="P330" s="6" t="n"/>
      <c r="Q330" s="3">
        <f>IF($D330="","",$C330&amp;"|"&amp;COUNTIFS($C$7:$C330,$C330))</f>
        <v/>
      </c>
    </row>
    <row r="331">
      <c r="A331" s="6" t="n"/>
      <c r="B331" s="113">
        <f>IF($D331="","","T"&amp;TEXT(ROW()-6,"00000"))</f>
        <v/>
      </c>
      <c r="C331" s="113">
        <f>IF($D331="","",IFERROR(INDEX(MUSTERILER!$B$7:$B$106,MATCH($D331,MUSTERILER!$C$7:$C$106,0)),IFERROR(INDEX(MUSTERILER!$B$7:$B$106,MATCH($D331,MUSTERILER!$B$7:$B$106,0)),IFERROR(INDEX(MUSTERILER!$B$7:$B$106,MATCH($D331&amp;"*",MUSTERILER!$C$7:$C$106,0)),"TANIMSIZ MÜŞTERİ"))))</f>
        <v/>
      </c>
      <c r="D331" s="109" t="n"/>
      <c r="E331" s="225" t="n"/>
      <c r="F331" s="226" t="n"/>
      <c r="G331" s="108" t="n"/>
      <c r="H331" s="108" t="n"/>
      <c r="I331" s="109" t="n"/>
      <c r="J331" s="109" t="n"/>
      <c r="K331" s="109" t="n"/>
      <c r="L331" s="231">
        <f>IF($E331="","",DATE(YEAR($E331),MONTH($E331),1))</f>
        <v/>
      </c>
      <c r="M331" s="113">
        <f>IF($D331="","",IF($C331="TANIMSIZ MÜŞTERİ","HATA",IF(OR($E331="",$F331&lt;=0,$G331=""),"EKSİK",IF($E331&gt;TODAY(),"İLERİ TARİH","UYGUN"))))</f>
        <v/>
      </c>
      <c r="N331" s="121">
        <f>IF($C331="","",IF($C331="TANIMSIZ MÜŞTERİ","—",INDEX(MUSTERILER!$C$7:$C$106,MATCH($C331,MUSTERILER!$B$7:$B$106,0))))</f>
        <v/>
      </c>
      <c r="O331" s="6" t="n"/>
      <c r="P331" s="6" t="n"/>
      <c r="Q331" s="3">
        <f>IF($D331="","",$C331&amp;"|"&amp;COUNTIFS($C$7:$C331,$C331))</f>
        <v/>
      </c>
    </row>
    <row r="332">
      <c r="A332" s="6" t="n"/>
      <c r="B332" s="113">
        <f>IF($D332="","","T"&amp;TEXT(ROW()-6,"00000"))</f>
        <v/>
      </c>
      <c r="C332" s="113">
        <f>IF($D332="","",IFERROR(INDEX(MUSTERILER!$B$7:$B$106,MATCH($D332,MUSTERILER!$C$7:$C$106,0)),IFERROR(INDEX(MUSTERILER!$B$7:$B$106,MATCH($D332,MUSTERILER!$B$7:$B$106,0)),IFERROR(INDEX(MUSTERILER!$B$7:$B$106,MATCH($D332&amp;"*",MUSTERILER!$C$7:$C$106,0)),"TANIMSIZ MÜŞTERİ"))))</f>
        <v/>
      </c>
      <c r="D332" s="109" t="n"/>
      <c r="E332" s="225" t="n"/>
      <c r="F332" s="226" t="n"/>
      <c r="G332" s="108" t="n"/>
      <c r="H332" s="108" t="n"/>
      <c r="I332" s="109" t="n"/>
      <c r="J332" s="109" t="n"/>
      <c r="K332" s="109" t="n"/>
      <c r="L332" s="231">
        <f>IF($E332="","",DATE(YEAR($E332),MONTH($E332),1))</f>
        <v/>
      </c>
      <c r="M332" s="113">
        <f>IF($D332="","",IF($C332="TANIMSIZ MÜŞTERİ","HATA",IF(OR($E332="",$F332&lt;=0,$G332=""),"EKSİK",IF($E332&gt;TODAY(),"İLERİ TARİH","UYGUN"))))</f>
        <v/>
      </c>
      <c r="N332" s="121">
        <f>IF($C332="","",IF($C332="TANIMSIZ MÜŞTERİ","—",INDEX(MUSTERILER!$C$7:$C$106,MATCH($C332,MUSTERILER!$B$7:$B$106,0))))</f>
        <v/>
      </c>
      <c r="O332" s="6" t="n"/>
      <c r="P332" s="6" t="n"/>
      <c r="Q332" s="3">
        <f>IF($D332="","",$C332&amp;"|"&amp;COUNTIFS($C$7:$C332,$C332))</f>
        <v/>
      </c>
    </row>
    <row r="333">
      <c r="A333" s="6" t="n"/>
      <c r="B333" s="113">
        <f>IF($D333="","","T"&amp;TEXT(ROW()-6,"00000"))</f>
        <v/>
      </c>
      <c r="C333" s="113">
        <f>IF($D333="","",IFERROR(INDEX(MUSTERILER!$B$7:$B$106,MATCH($D333,MUSTERILER!$C$7:$C$106,0)),IFERROR(INDEX(MUSTERILER!$B$7:$B$106,MATCH($D333,MUSTERILER!$B$7:$B$106,0)),IFERROR(INDEX(MUSTERILER!$B$7:$B$106,MATCH($D333&amp;"*",MUSTERILER!$C$7:$C$106,0)),"TANIMSIZ MÜŞTERİ"))))</f>
        <v/>
      </c>
      <c r="D333" s="109" t="n"/>
      <c r="E333" s="225" t="n"/>
      <c r="F333" s="226" t="n"/>
      <c r="G333" s="108" t="n"/>
      <c r="H333" s="108" t="n"/>
      <c r="I333" s="109" t="n"/>
      <c r="J333" s="109" t="n"/>
      <c r="K333" s="109" t="n"/>
      <c r="L333" s="231">
        <f>IF($E333="","",DATE(YEAR($E333),MONTH($E333),1))</f>
        <v/>
      </c>
      <c r="M333" s="113">
        <f>IF($D333="","",IF($C333="TANIMSIZ MÜŞTERİ","HATA",IF(OR($E333="",$F333&lt;=0,$G333=""),"EKSİK",IF($E333&gt;TODAY(),"İLERİ TARİH","UYGUN"))))</f>
        <v/>
      </c>
      <c r="N333" s="121">
        <f>IF($C333="","",IF($C333="TANIMSIZ MÜŞTERİ","—",INDEX(MUSTERILER!$C$7:$C$106,MATCH($C333,MUSTERILER!$B$7:$B$106,0))))</f>
        <v/>
      </c>
      <c r="O333" s="6" t="n"/>
      <c r="P333" s="6" t="n"/>
      <c r="Q333" s="3">
        <f>IF($D333="","",$C333&amp;"|"&amp;COUNTIFS($C$7:$C333,$C333))</f>
        <v/>
      </c>
    </row>
    <row r="334">
      <c r="A334" s="6" t="n"/>
      <c r="B334" s="113">
        <f>IF($D334="","","T"&amp;TEXT(ROW()-6,"00000"))</f>
        <v/>
      </c>
      <c r="C334" s="113">
        <f>IF($D334="","",IFERROR(INDEX(MUSTERILER!$B$7:$B$106,MATCH($D334,MUSTERILER!$C$7:$C$106,0)),IFERROR(INDEX(MUSTERILER!$B$7:$B$106,MATCH($D334,MUSTERILER!$B$7:$B$106,0)),IFERROR(INDEX(MUSTERILER!$B$7:$B$106,MATCH($D334&amp;"*",MUSTERILER!$C$7:$C$106,0)),"TANIMSIZ MÜŞTERİ"))))</f>
        <v/>
      </c>
      <c r="D334" s="109" t="n"/>
      <c r="E334" s="225" t="n"/>
      <c r="F334" s="226" t="n"/>
      <c r="G334" s="108" t="n"/>
      <c r="H334" s="108" t="n"/>
      <c r="I334" s="109" t="n"/>
      <c r="J334" s="109" t="n"/>
      <c r="K334" s="109" t="n"/>
      <c r="L334" s="231">
        <f>IF($E334="","",DATE(YEAR($E334),MONTH($E334),1))</f>
        <v/>
      </c>
      <c r="M334" s="113">
        <f>IF($D334="","",IF($C334="TANIMSIZ MÜŞTERİ","HATA",IF(OR($E334="",$F334&lt;=0,$G334=""),"EKSİK",IF($E334&gt;TODAY(),"İLERİ TARİH","UYGUN"))))</f>
        <v/>
      </c>
      <c r="N334" s="121">
        <f>IF($C334="","",IF($C334="TANIMSIZ MÜŞTERİ","—",INDEX(MUSTERILER!$C$7:$C$106,MATCH($C334,MUSTERILER!$B$7:$B$106,0))))</f>
        <v/>
      </c>
      <c r="O334" s="6" t="n"/>
      <c r="P334" s="6" t="n"/>
      <c r="Q334" s="3">
        <f>IF($D334="","",$C334&amp;"|"&amp;COUNTIFS($C$7:$C334,$C334))</f>
        <v/>
      </c>
    </row>
    <row r="335">
      <c r="A335" s="6" t="n"/>
      <c r="B335" s="113">
        <f>IF($D335="","","T"&amp;TEXT(ROW()-6,"00000"))</f>
        <v/>
      </c>
      <c r="C335" s="113">
        <f>IF($D335="","",IFERROR(INDEX(MUSTERILER!$B$7:$B$106,MATCH($D335,MUSTERILER!$C$7:$C$106,0)),IFERROR(INDEX(MUSTERILER!$B$7:$B$106,MATCH($D335,MUSTERILER!$B$7:$B$106,0)),IFERROR(INDEX(MUSTERILER!$B$7:$B$106,MATCH($D335&amp;"*",MUSTERILER!$C$7:$C$106,0)),"TANIMSIZ MÜŞTERİ"))))</f>
        <v/>
      </c>
      <c r="D335" s="109" t="n"/>
      <c r="E335" s="225" t="n"/>
      <c r="F335" s="226" t="n"/>
      <c r="G335" s="108" t="n"/>
      <c r="H335" s="108" t="n"/>
      <c r="I335" s="109" t="n"/>
      <c r="J335" s="109" t="n"/>
      <c r="K335" s="109" t="n"/>
      <c r="L335" s="231">
        <f>IF($E335="","",DATE(YEAR($E335),MONTH($E335),1))</f>
        <v/>
      </c>
      <c r="M335" s="113">
        <f>IF($D335="","",IF($C335="TANIMSIZ MÜŞTERİ","HATA",IF(OR($E335="",$F335&lt;=0,$G335=""),"EKSİK",IF($E335&gt;TODAY(),"İLERİ TARİH","UYGUN"))))</f>
        <v/>
      </c>
      <c r="N335" s="121">
        <f>IF($C335="","",IF($C335="TANIMSIZ MÜŞTERİ","—",INDEX(MUSTERILER!$C$7:$C$106,MATCH($C335,MUSTERILER!$B$7:$B$106,0))))</f>
        <v/>
      </c>
      <c r="O335" s="6" t="n"/>
      <c r="P335" s="6" t="n"/>
      <c r="Q335" s="3">
        <f>IF($D335="","",$C335&amp;"|"&amp;COUNTIFS($C$7:$C335,$C335))</f>
        <v/>
      </c>
    </row>
    <row r="336">
      <c r="A336" s="6" t="n"/>
      <c r="B336" s="113">
        <f>IF($D336="","","T"&amp;TEXT(ROW()-6,"00000"))</f>
        <v/>
      </c>
      <c r="C336" s="113">
        <f>IF($D336="","",IFERROR(INDEX(MUSTERILER!$B$7:$B$106,MATCH($D336,MUSTERILER!$C$7:$C$106,0)),IFERROR(INDEX(MUSTERILER!$B$7:$B$106,MATCH($D336,MUSTERILER!$B$7:$B$106,0)),IFERROR(INDEX(MUSTERILER!$B$7:$B$106,MATCH($D336&amp;"*",MUSTERILER!$C$7:$C$106,0)),"TANIMSIZ MÜŞTERİ"))))</f>
        <v/>
      </c>
      <c r="D336" s="109" t="n"/>
      <c r="E336" s="225" t="n"/>
      <c r="F336" s="226" t="n"/>
      <c r="G336" s="108" t="n"/>
      <c r="H336" s="108" t="n"/>
      <c r="I336" s="109" t="n"/>
      <c r="J336" s="109" t="n"/>
      <c r="K336" s="109" t="n"/>
      <c r="L336" s="231">
        <f>IF($E336="","",DATE(YEAR($E336),MONTH($E336),1))</f>
        <v/>
      </c>
      <c r="M336" s="113">
        <f>IF($D336="","",IF($C336="TANIMSIZ MÜŞTERİ","HATA",IF(OR($E336="",$F336&lt;=0,$G336=""),"EKSİK",IF($E336&gt;TODAY(),"İLERİ TARİH","UYGUN"))))</f>
        <v/>
      </c>
      <c r="N336" s="121">
        <f>IF($C336="","",IF($C336="TANIMSIZ MÜŞTERİ","—",INDEX(MUSTERILER!$C$7:$C$106,MATCH($C336,MUSTERILER!$B$7:$B$106,0))))</f>
        <v/>
      </c>
      <c r="O336" s="6" t="n"/>
      <c r="P336" s="6" t="n"/>
      <c r="Q336" s="3">
        <f>IF($D336="","",$C336&amp;"|"&amp;COUNTIFS($C$7:$C336,$C336))</f>
        <v/>
      </c>
    </row>
    <row r="337">
      <c r="A337" s="6" t="n"/>
      <c r="B337" s="113">
        <f>IF($D337="","","T"&amp;TEXT(ROW()-6,"00000"))</f>
        <v/>
      </c>
      <c r="C337" s="113">
        <f>IF($D337="","",IFERROR(INDEX(MUSTERILER!$B$7:$B$106,MATCH($D337,MUSTERILER!$C$7:$C$106,0)),IFERROR(INDEX(MUSTERILER!$B$7:$B$106,MATCH($D337,MUSTERILER!$B$7:$B$106,0)),IFERROR(INDEX(MUSTERILER!$B$7:$B$106,MATCH($D337&amp;"*",MUSTERILER!$C$7:$C$106,0)),"TANIMSIZ MÜŞTERİ"))))</f>
        <v/>
      </c>
      <c r="D337" s="109" t="n"/>
      <c r="E337" s="225" t="n"/>
      <c r="F337" s="226" t="n"/>
      <c r="G337" s="108" t="n"/>
      <c r="H337" s="108" t="n"/>
      <c r="I337" s="109" t="n"/>
      <c r="J337" s="109" t="n"/>
      <c r="K337" s="109" t="n"/>
      <c r="L337" s="231">
        <f>IF($E337="","",DATE(YEAR($E337),MONTH($E337),1))</f>
        <v/>
      </c>
      <c r="M337" s="113">
        <f>IF($D337="","",IF($C337="TANIMSIZ MÜŞTERİ","HATA",IF(OR($E337="",$F337&lt;=0,$G337=""),"EKSİK",IF($E337&gt;TODAY(),"İLERİ TARİH","UYGUN"))))</f>
        <v/>
      </c>
      <c r="N337" s="121">
        <f>IF($C337="","",IF($C337="TANIMSIZ MÜŞTERİ","—",INDEX(MUSTERILER!$C$7:$C$106,MATCH($C337,MUSTERILER!$B$7:$B$106,0))))</f>
        <v/>
      </c>
      <c r="O337" s="6" t="n"/>
      <c r="P337" s="6" t="n"/>
      <c r="Q337" s="3">
        <f>IF($D337="","",$C337&amp;"|"&amp;COUNTIFS($C$7:$C337,$C337))</f>
        <v/>
      </c>
    </row>
    <row r="338">
      <c r="A338" s="6" t="n"/>
      <c r="B338" s="113">
        <f>IF($D338="","","T"&amp;TEXT(ROW()-6,"00000"))</f>
        <v/>
      </c>
      <c r="C338" s="113">
        <f>IF($D338="","",IFERROR(INDEX(MUSTERILER!$B$7:$B$106,MATCH($D338,MUSTERILER!$C$7:$C$106,0)),IFERROR(INDEX(MUSTERILER!$B$7:$B$106,MATCH($D338,MUSTERILER!$B$7:$B$106,0)),IFERROR(INDEX(MUSTERILER!$B$7:$B$106,MATCH($D338&amp;"*",MUSTERILER!$C$7:$C$106,0)),"TANIMSIZ MÜŞTERİ"))))</f>
        <v/>
      </c>
      <c r="D338" s="109" t="n"/>
      <c r="E338" s="225" t="n"/>
      <c r="F338" s="226" t="n"/>
      <c r="G338" s="108" t="n"/>
      <c r="H338" s="108" t="n"/>
      <c r="I338" s="109" t="n"/>
      <c r="J338" s="109" t="n"/>
      <c r="K338" s="109" t="n"/>
      <c r="L338" s="231">
        <f>IF($E338="","",DATE(YEAR($E338),MONTH($E338),1))</f>
        <v/>
      </c>
      <c r="M338" s="113">
        <f>IF($D338="","",IF($C338="TANIMSIZ MÜŞTERİ","HATA",IF(OR($E338="",$F338&lt;=0,$G338=""),"EKSİK",IF($E338&gt;TODAY(),"İLERİ TARİH","UYGUN"))))</f>
        <v/>
      </c>
      <c r="N338" s="121">
        <f>IF($C338="","",IF($C338="TANIMSIZ MÜŞTERİ","—",INDEX(MUSTERILER!$C$7:$C$106,MATCH($C338,MUSTERILER!$B$7:$B$106,0))))</f>
        <v/>
      </c>
      <c r="O338" s="6" t="n"/>
      <c r="P338" s="6" t="n"/>
      <c r="Q338" s="3">
        <f>IF($D338="","",$C338&amp;"|"&amp;COUNTIFS($C$7:$C338,$C338))</f>
        <v/>
      </c>
    </row>
    <row r="339">
      <c r="A339" s="6" t="n"/>
      <c r="B339" s="113">
        <f>IF($D339="","","T"&amp;TEXT(ROW()-6,"00000"))</f>
        <v/>
      </c>
      <c r="C339" s="113">
        <f>IF($D339="","",IFERROR(INDEX(MUSTERILER!$B$7:$B$106,MATCH($D339,MUSTERILER!$C$7:$C$106,0)),IFERROR(INDEX(MUSTERILER!$B$7:$B$106,MATCH($D339,MUSTERILER!$B$7:$B$106,0)),IFERROR(INDEX(MUSTERILER!$B$7:$B$106,MATCH($D339&amp;"*",MUSTERILER!$C$7:$C$106,0)),"TANIMSIZ MÜŞTERİ"))))</f>
        <v/>
      </c>
      <c r="D339" s="109" t="n"/>
      <c r="E339" s="225" t="n"/>
      <c r="F339" s="226" t="n"/>
      <c r="G339" s="108" t="n"/>
      <c r="H339" s="108" t="n"/>
      <c r="I339" s="109" t="n"/>
      <c r="J339" s="109" t="n"/>
      <c r="K339" s="109" t="n"/>
      <c r="L339" s="231">
        <f>IF($E339="","",DATE(YEAR($E339),MONTH($E339),1))</f>
        <v/>
      </c>
      <c r="M339" s="113">
        <f>IF($D339="","",IF($C339="TANIMSIZ MÜŞTERİ","HATA",IF(OR($E339="",$F339&lt;=0,$G339=""),"EKSİK",IF($E339&gt;TODAY(),"İLERİ TARİH","UYGUN"))))</f>
        <v/>
      </c>
      <c r="N339" s="121">
        <f>IF($C339="","",IF($C339="TANIMSIZ MÜŞTERİ","—",INDEX(MUSTERILER!$C$7:$C$106,MATCH($C339,MUSTERILER!$B$7:$B$106,0))))</f>
        <v/>
      </c>
      <c r="O339" s="6" t="n"/>
      <c r="P339" s="6" t="n"/>
      <c r="Q339" s="3">
        <f>IF($D339="","",$C339&amp;"|"&amp;COUNTIFS($C$7:$C339,$C339))</f>
        <v/>
      </c>
    </row>
    <row r="340">
      <c r="A340" s="6" t="n"/>
      <c r="B340" s="113">
        <f>IF($D340="","","T"&amp;TEXT(ROW()-6,"00000"))</f>
        <v/>
      </c>
      <c r="C340" s="113">
        <f>IF($D340="","",IFERROR(INDEX(MUSTERILER!$B$7:$B$106,MATCH($D340,MUSTERILER!$C$7:$C$106,0)),IFERROR(INDEX(MUSTERILER!$B$7:$B$106,MATCH($D340,MUSTERILER!$B$7:$B$106,0)),IFERROR(INDEX(MUSTERILER!$B$7:$B$106,MATCH($D340&amp;"*",MUSTERILER!$C$7:$C$106,0)),"TANIMSIZ MÜŞTERİ"))))</f>
        <v/>
      </c>
      <c r="D340" s="109" t="n"/>
      <c r="E340" s="225" t="n"/>
      <c r="F340" s="226" t="n"/>
      <c r="G340" s="108" t="n"/>
      <c r="H340" s="108" t="n"/>
      <c r="I340" s="109" t="n"/>
      <c r="J340" s="109" t="n"/>
      <c r="K340" s="109" t="n"/>
      <c r="L340" s="231">
        <f>IF($E340="","",DATE(YEAR($E340),MONTH($E340),1))</f>
        <v/>
      </c>
      <c r="M340" s="113">
        <f>IF($D340="","",IF($C340="TANIMSIZ MÜŞTERİ","HATA",IF(OR($E340="",$F340&lt;=0,$G340=""),"EKSİK",IF($E340&gt;TODAY(),"İLERİ TARİH","UYGUN"))))</f>
        <v/>
      </c>
      <c r="N340" s="121">
        <f>IF($C340="","",IF($C340="TANIMSIZ MÜŞTERİ","—",INDEX(MUSTERILER!$C$7:$C$106,MATCH($C340,MUSTERILER!$B$7:$B$106,0))))</f>
        <v/>
      </c>
      <c r="O340" s="6" t="n"/>
      <c r="P340" s="6" t="n"/>
      <c r="Q340" s="3">
        <f>IF($D340="","",$C340&amp;"|"&amp;COUNTIFS($C$7:$C340,$C340))</f>
        <v/>
      </c>
    </row>
    <row r="341">
      <c r="A341" s="6" t="n"/>
      <c r="B341" s="113">
        <f>IF($D341="","","T"&amp;TEXT(ROW()-6,"00000"))</f>
        <v/>
      </c>
      <c r="C341" s="113">
        <f>IF($D341="","",IFERROR(INDEX(MUSTERILER!$B$7:$B$106,MATCH($D341,MUSTERILER!$C$7:$C$106,0)),IFERROR(INDEX(MUSTERILER!$B$7:$B$106,MATCH($D341,MUSTERILER!$B$7:$B$106,0)),IFERROR(INDEX(MUSTERILER!$B$7:$B$106,MATCH($D341&amp;"*",MUSTERILER!$C$7:$C$106,0)),"TANIMSIZ MÜŞTERİ"))))</f>
        <v/>
      </c>
      <c r="D341" s="109" t="n"/>
      <c r="E341" s="225" t="n"/>
      <c r="F341" s="226" t="n"/>
      <c r="G341" s="108" t="n"/>
      <c r="H341" s="108" t="n"/>
      <c r="I341" s="109" t="n"/>
      <c r="J341" s="109" t="n"/>
      <c r="K341" s="109" t="n"/>
      <c r="L341" s="231">
        <f>IF($E341="","",DATE(YEAR($E341),MONTH($E341),1))</f>
        <v/>
      </c>
      <c r="M341" s="113">
        <f>IF($D341="","",IF($C341="TANIMSIZ MÜŞTERİ","HATA",IF(OR($E341="",$F341&lt;=0,$G341=""),"EKSİK",IF($E341&gt;TODAY(),"İLERİ TARİH","UYGUN"))))</f>
        <v/>
      </c>
      <c r="N341" s="121">
        <f>IF($C341="","",IF($C341="TANIMSIZ MÜŞTERİ","—",INDEX(MUSTERILER!$C$7:$C$106,MATCH($C341,MUSTERILER!$B$7:$B$106,0))))</f>
        <v/>
      </c>
      <c r="O341" s="6" t="n"/>
      <c r="P341" s="6" t="n"/>
      <c r="Q341" s="3">
        <f>IF($D341="","",$C341&amp;"|"&amp;COUNTIFS($C$7:$C341,$C341))</f>
        <v/>
      </c>
    </row>
    <row r="342">
      <c r="A342" s="6" t="n"/>
      <c r="B342" s="113">
        <f>IF($D342="","","T"&amp;TEXT(ROW()-6,"00000"))</f>
        <v/>
      </c>
      <c r="C342" s="113">
        <f>IF($D342="","",IFERROR(INDEX(MUSTERILER!$B$7:$B$106,MATCH($D342,MUSTERILER!$C$7:$C$106,0)),IFERROR(INDEX(MUSTERILER!$B$7:$B$106,MATCH($D342,MUSTERILER!$B$7:$B$106,0)),IFERROR(INDEX(MUSTERILER!$B$7:$B$106,MATCH($D342&amp;"*",MUSTERILER!$C$7:$C$106,0)),"TANIMSIZ MÜŞTERİ"))))</f>
        <v/>
      </c>
      <c r="D342" s="109" t="n"/>
      <c r="E342" s="225" t="n"/>
      <c r="F342" s="226" t="n"/>
      <c r="G342" s="108" t="n"/>
      <c r="H342" s="108" t="n"/>
      <c r="I342" s="109" t="n"/>
      <c r="J342" s="109" t="n"/>
      <c r="K342" s="109" t="n"/>
      <c r="L342" s="231">
        <f>IF($E342="","",DATE(YEAR($E342),MONTH($E342),1))</f>
        <v/>
      </c>
      <c r="M342" s="113">
        <f>IF($D342="","",IF($C342="TANIMSIZ MÜŞTERİ","HATA",IF(OR($E342="",$F342&lt;=0,$G342=""),"EKSİK",IF($E342&gt;TODAY(),"İLERİ TARİH","UYGUN"))))</f>
        <v/>
      </c>
      <c r="N342" s="121">
        <f>IF($C342="","",IF($C342="TANIMSIZ MÜŞTERİ","—",INDEX(MUSTERILER!$C$7:$C$106,MATCH($C342,MUSTERILER!$B$7:$B$106,0))))</f>
        <v/>
      </c>
      <c r="O342" s="6" t="n"/>
      <c r="P342" s="6" t="n"/>
      <c r="Q342" s="3">
        <f>IF($D342="","",$C342&amp;"|"&amp;COUNTIFS($C$7:$C342,$C342))</f>
        <v/>
      </c>
    </row>
    <row r="343">
      <c r="A343" s="6" t="n"/>
      <c r="B343" s="113">
        <f>IF($D343="","","T"&amp;TEXT(ROW()-6,"00000"))</f>
        <v/>
      </c>
      <c r="C343" s="113">
        <f>IF($D343="","",IFERROR(INDEX(MUSTERILER!$B$7:$B$106,MATCH($D343,MUSTERILER!$C$7:$C$106,0)),IFERROR(INDEX(MUSTERILER!$B$7:$B$106,MATCH($D343,MUSTERILER!$B$7:$B$106,0)),IFERROR(INDEX(MUSTERILER!$B$7:$B$106,MATCH($D343&amp;"*",MUSTERILER!$C$7:$C$106,0)),"TANIMSIZ MÜŞTERİ"))))</f>
        <v/>
      </c>
      <c r="D343" s="109" t="n"/>
      <c r="E343" s="225" t="n"/>
      <c r="F343" s="226" t="n"/>
      <c r="G343" s="108" t="n"/>
      <c r="H343" s="108" t="n"/>
      <c r="I343" s="109" t="n"/>
      <c r="J343" s="109" t="n"/>
      <c r="K343" s="109" t="n"/>
      <c r="L343" s="231">
        <f>IF($E343="","",DATE(YEAR($E343),MONTH($E343),1))</f>
        <v/>
      </c>
      <c r="M343" s="113">
        <f>IF($D343="","",IF($C343="TANIMSIZ MÜŞTERİ","HATA",IF(OR($E343="",$F343&lt;=0,$G343=""),"EKSİK",IF($E343&gt;TODAY(),"İLERİ TARİH","UYGUN"))))</f>
        <v/>
      </c>
      <c r="N343" s="121">
        <f>IF($C343="","",IF($C343="TANIMSIZ MÜŞTERİ","—",INDEX(MUSTERILER!$C$7:$C$106,MATCH($C343,MUSTERILER!$B$7:$B$106,0))))</f>
        <v/>
      </c>
      <c r="O343" s="6" t="n"/>
      <c r="P343" s="6" t="n"/>
      <c r="Q343" s="3">
        <f>IF($D343="","",$C343&amp;"|"&amp;COUNTIFS($C$7:$C343,$C343))</f>
        <v/>
      </c>
    </row>
    <row r="344">
      <c r="A344" s="6" t="n"/>
      <c r="B344" s="113">
        <f>IF($D344="","","T"&amp;TEXT(ROW()-6,"00000"))</f>
        <v/>
      </c>
      <c r="C344" s="113">
        <f>IF($D344="","",IFERROR(INDEX(MUSTERILER!$B$7:$B$106,MATCH($D344,MUSTERILER!$C$7:$C$106,0)),IFERROR(INDEX(MUSTERILER!$B$7:$B$106,MATCH($D344,MUSTERILER!$B$7:$B$106,0)),IFERROR(INDEX(MUSTERILER!$B$7:$B$106,MATCH($D344&amp;"*",MUSTERILER!$C$7:$C$106,0)),"TANIMSIZ MÜŞTERİ"))))</f>
        <v/>
      </c>
      <c r="D344" s="109" t="n"/>
      <c r="E344" s="225" t="n"/>
      <c r="F344" s="226" t="n"/>
      <c r="G344" s="108" t="n"/>
      <c r="H344" s="108" t="n"/>
      <c r="I344" s="109" t="n"/>
      <c r="J344" s="109" t="n"/>
      <c r="K344" s="109" t="n"/>
      <c r="L344" s="231">
        <f>IF($E344="","",DATE(YEAR($E344),MONTH($E344),1))</f>
        <v/>
      </c>
      <c r="M344" s="113">
        <f>IF($D344="","",IF($C344="TANIMSIZ MÜŞTERİ","HATA",IF(OR($E344="",$F344&lt;=0,$G344=""),"EKSİK",IF($E344&gt;TODAY(),"İLERİ TARİH","UYGUN"))))</f>
        <v/>
      </c>
      <c r="N344" s="121">
        <f>IF($C344="","",IF($C344="TANIMSIZ MÜŞTERİ","—",INDEX(MUSTERILER!$C$7:$C$106,MATCH($C344,MUSTERILER!$B$7:$B$106,0))))</f>
        <v/>
      </c>
      <c r="O344" s="6" t="n"/>
      <c r="P344" s="6" t="n"/>
      <c r="Q344" s="3">
        <f>IF($D344="","",$C344&amp;"|"&amp;COUNTIFS($C$7:$C344,$C344))</f>
        <v/>
      </c>
    </row>
    <row r="345">
      <c r="A345" s="6" t="n"/>
      <c r="B345" s="113">
        <f>IF($D345="","","T"&amp;TEXT(ROW()-6,"00000"))</f>
        <v/>
      </c>
      <c r="C345" s="113">
        <f>IF($D345="","",IFERROR(INDEX(MUSTERILER!$B$7:$B$106,MATCH($D345,MUSTERILER!$C$7:$C$106,0)),IFERROR(INDEX(MUSTERILER!$B$7:$B$106,MATCH($D345,MUSTERILER!$B$7:$B$106,0)),IFERROR(INDEX(MUSTERILER!$B$7:$B$106,MATCH($D345&amp;"*",MUSTERILER!$C$7:$C$106,0)),"TANIMSIZ MÜŞTERİ"))))</f>
        <v/>
      </c>
      <c r="D345" s="109" t="n"/>
      <c r="E345" s="225" t="n"/>
      <c r="F345" s="226" t="n"/>
      <c r="G345" s="108" t="n"/>
      <c r="H345" s="108" t="n"/>
      <c r="I345" s="109" t="n"/>
      <c r="J345" s="109" t="n"/>
      <c r="K345" s="109" t="n"/>
      <c r="L345" s="231">
        <f>IF($E345="","",DATE(YEAR($E345),MONTH($E345),1))</f>
        <v/>
      </c>
      <c r="M345" s="113">
        <f>IF($D345="","",IF($C345="TANIMSIZ MÜŞTERİ","HATA",IF(OR($E345="",$F345&lt;=0,$G345=""),"EKSİK",IF($E345&gt;TODAY(),"İLERİ TARİH","UYGUN"))))</f>
        <v/>
      </c>
      <c r="N345" s="121">
        <f>IF($C345="","",IF($C345="TANIMSIZ MÜŞTERİ","—",INDEX(MUSTERILER!$C$7:$C$106,MATCH($C345,MUSTERILER!$B$7:$B$106,0))))</f>
        <v/>
      </c>
      <c r="O345" s="6" t="n"/>
      <c r="P345" s="6" t="n"/>
      <c r="Q345" s="3">
        <f>IF($D345="","",$C345&amp;"|"&amp;COUNTIFS($C$7:$C345,$C345))</f>
        <v/>
      </c>
    </row>
    <row r="346">
      <c r="A346" s="6" t="n"/>
      <c r="B346" s="113">
        <f>IF($D346="","","T"&amp;TEXT(ROW()-6,"00000"))</f>
        <v/>
      </c>
      <c r="C346" s="113">
        <f>IF($D346="","",IFERROR(INDEX(MUSTERILER!$B$7:$B$106,MATCH($D346,MUSTERILER!$C$7:$C$106,0)),IFERROR(INDEX(MUSTERILER!$B$7:$B$106,MATCH($D346,MUSTERILER!$B$7:$B$106,0)),IFERROR(INDEX(MUSTERILER!$B$7:$B$106,MATCH($D346&amp;"*",MUSTERILER!$C$7:$C$106,0)),"TANIMSIZ MÜŞTERİ"))))</f>
        <v/>
      </c>
      <c r="D346" s="109" t="n"/>
      <c r="E346" s="225" t="n"/>
      <c r="F346" s="226" t="n"/>
      <c r="G346" s="108" t="n"/>
      <c r="H346" s="108" t="n"/>
      <c r="I346" s="109" t="n"/>
      <c r="J346" s="109" t="n"/>
      <c r="K346" s="109" t="n"/>
      <c r="L346" s="231">
        <f>IF($E346="","",DATE(YEAR($E346),MONTH($E346),1))</f>
        <v/>
      </c>
      <c r="M346" s="113">
        <f>IF($D346="","",IF($C346="TANIMSIZ MÜŞTERİ","HATA",IF(OR($E346="",$F346&lt;=0,$G346=""),"EKSİK",IF($E346&gt;TODAY(),"İLERİ TARİH","UYGUN"))))</f>
        <v/>
      </c>
      <c r="N346" s="121">
        <f>IF($C346="","",IF($C346="TANIMSIZ MÜŞTERİ","—",INDEX(MUSTERILER!$C$7:$C$106,MATCH($C346,MUSTERILER!$B$7:$B$106,0))))</f>
        <v/>
      </c>
      <c r="O346" s="6" t="n"/>
      <c r="P346" s="6" t="n"/>
      <c r="Q346" s="3">
        <f>IF($D346="","",$C346&amp;"|"&amp;COUNTIFS($C$7:$C346,$C346))</f>
        <v/>
      </c>
    </row>
    <row r="347">
      <c r="A347" s="6" t="n"/>
      <c r="B347" s="113">
        <f>IF($D347="","","T"&amp;TEXT(ROW()-6,"00000"))</f>
        <v/>
      </c>
      <c r="C347" s="113">
        <f>IF($D347="","",IFERROR(INDEX(MUSTERILER!$B$7:$B$106,MATCH($D347,MUSTERILER!$C$7:$C$106,0)),IFERROR(INDEX(MUSTERILER!$B$7:$B$106,MATCH($D347,MUSTERILER!$B$7:$B$106,0)),IFERROR(INDEX(MUSTERILER!$B$7:$B$106,MATCH($D347&amp;"*",MUSTERILER!$C$7:$C$106,0)),"TANIMSIZ MÜŞTERİ"))))</f>
        <v/>
      </c>
      <c r="D347" s="109" t="n"/>
      <c r="E347" s="225" t="n"/>
      <c r="F347" s="226" t="n"/>
      <c r="G347" s="108" t="n"/>
      <c r="H347" s="108" t="n"/>
      <c r="I347" s="109" t="n"/>
      <c r="J347" s="109" t="n"/>
      <c r="K347" s="109" t="n"/>
      <c r="L347" s="231">
        <f>IF($E347="","",DATE(YEAR($E347),MONTH($E347),1))</f>
        <v/>
      </c>
      <c r="M347" s="113">
        <f>IF($D347="","",IF($C347="TANIMSIZ MÜŞTERİ","HATA",IF(OR($E347="",$F347&lt;=0,$G347=""),"EKSİK",IF($E347&gt;TODAY(),"İLERİ TARİH","UYGUN"))))</f>
        <v/>
      </c>
      <c r="N347" s="121">
        <f>IF($C347="","",IF($C347="TANIMSIZ MÜŞTERİ","—",INDEX(MUSTERILER!$C$7:$C$106,MATCH($C347,MUSTERILER!$B$7:$B$106,0))))</f>
        <v/>
      </c>
      <c r="O347" s="6" t="n"/>
      <c r="P347" s="6" t="n"/>
      <c r="Q347" s="3">
        <f>IF($D347="","",$C347&amp;"|"&amp;COUNTIFS($C$7:$C347,$C347))</f>
        <v/>
      </c>
    </row>
    <row r="348">
      <c r="A348" s="6" t="n"/>
      <c r="B348" s="113">
        <f>IF($D348="","","T"&amp;TEXT(ROW()-6,"00000"))</f>
        <v/>
      </c>
      <c r="C348" s="113">
        <f>IF($D348="","",IFERROR(INDEX(MUSTERILER!$B$7:$B$106,MATCH($D348,MUSTERILER!$C$7:$C$106,0)),IFERROR(INDEX(MUSTERILER!$B$7:$B$106,MATCH($D348,MUSTERILER!$B$7:$B$106,0)),IFERROR(INDEX(MUSTERILER!$B$7:$B$106,MATCH($D348&amp;"*",MUSTERILER!$C$7:$C$106,0)),"TANIMSIZ MÜŞTERİ"))))</f>
        <v/>
      </c>
      <c r="D348" s="109" t="n"/>
      <c r="E348" s="225" t="n"/>
      <c r="F348" s="226" t="n"/>
      <c r="G348" s="108" t="n"/>
      <c r="H348" s="108" t="n"/>
      <c r="I348" s="109" t="n"/>
      <c r="J348" s="109" t="n"/>
      <c r="K348" s="109" t="n"/>
      <c r="L348" s="231">
        <f>IF($E348="","",DATE(YEAR($E348),MONTH($E348),1))</f>
        <v/>
      </c>
      <c r="M348" s="113">
        <f>IF($D348="","",IF($C348="TANIMSIZ MÜŞTERİ","HATA",IF(OR($E348="",$F348&lt;=0,$G348=""),"EKSİK",IF($E348&gt;TODAY(),"İLERİ TARİH","UYGUN"))))</f>
        <v/>
      </c>
      <c r="N348" s="121">
        <f>IF($C348="","",IF($C348="TANIMSIZ MÜŞTERİ","—",INDEX(MUSTERILER!$C$7:$C$106,MATCH($C348,MUSTERILER!$B$7:$B$106,0))))</f>
        <v/>
      </c>
      <c r="O348" s="6" t="n"/>
      <c r="P348" s="6" t="n"/>
      <c r="Q348" s="3">
        <f>IF($D348="","",$C348&amp;"|"&amp;COUNTIFS($C$7:$C348,$C348))</f>
        <v/>
      </c>
    </row>
    <row r="349">
      <c r="A349" s="6" t="n"/>
      <c r="B349" s="113">
        <f>IF($D349="","","T"&amp;TEXT(ROW()-6,"00000"))</f>
        <v/>
      </c>
      <c r="C349" s="113">
        <f>IF($D349="","",IFERROR(INDEX(MUSTERILER!$B$7:$B$106,MATCH($D349,MUSTERILER!$C$7:$C$106,0)),IFERROR(INDEX(MUSTERILER!$B$7:$B$106,MATCH($D349,MUSTERILER!$B$7:$B$106,0)),IFERROR(INDEX(MUSTERILER!$B$7:$B$106,MATCH($D349&amp;"*",MUSTERILER!$C$7:$C$106,0)),"TANIMSIZ MÜŞTERİ"))))</f>
        <v/>
      </c>
      <c r="D349" s="109" t="n"/>
      <c r="E349" s="225" t="n"/>
      <c r="F349" s="226" t="n"/>
      <c r="G349" s="108" t="n"/>
      <c r="H349" s="108" t="n"/>
      <c r="I349" s="109" t="n"/>
      <c r="J349" s="109" t="n"/>
      <c r="K349" s="109" t="n"/>
      <c r="L349" s="231">
        <f>IF($E349="","",DATE(YEAR($E349),MONTH($E349),1))</f>
        <v/>
      </c>
      <c r="M349" s="113">
        <f>IF($D349="","",IF($C349="TANIMSIZ MÜŞTERİ","HATA",IF(OR($E349="",$F349&lt;=0,$G349=""),"EKSİK",IF($E349&gt;TODAY(),"İLERİ TARİH","UYGUN"))))</f>
        <v/>
      </c>
      <c r="N349" s="121">
        <f>IF($C349="","",IF($C349="TANIMSIZ MÜŞTERİ","—",INDEX(MUSTERILER!$C$7:$C$106,MATCH($C349,MUSTERILER!$B$7:$B$106,0))))</f>
        <v/>
      </c>
      <c r="O349" s="6" t="n"/>
      <c r="P349" s="6" t="n"/>
      <c r="Q349" s="3">
        <f>IF($D349="","",$C349&amp;"|"&amp;COUNTIFS($C$7:$C349,$C349))</f>
        <v/>
      </c>
    </row>
    <row r="350">
      <c r="A350" s="6" t="n"/>
      <c r="B350" s="113">
        <f>IF($D350="","","T"&amp;TEXT(ROW()-6,"00000"))</f>
        <v/>
      </c>
      <c r="C350" s="113">
        <f>IF($D350="","",IFERROR(INDEX(MUSTERILER!$B$7:$B$106,MATCH($D350,MUSTERILER!$C$7:$C$106,0)),IFERROR(INDEX(MUSTERILER!$B$7:$B$106,MATCH($D350,MUSTERILER!$B$7:$B$106,0)),IFERROR(INDEX(MUSTERILER!$B$7:$B$106,MATCH($D350&amp;"*",MUSTERILER!$C$7:$C$106,0)),"TANIMSIZ MÜŞTERİ"))))</f>
        <v/>
      </c>
      <c r="D350" s="109" t="n"/>
      <c r="E350" s="225" t="n"/>
      <c r="F350" s="226" t="n"/>
      <c r="G350" s="108" t="n"/>
      <c r="H350" s="108" t="n"/>
      <c r="I350" s="109" t="n"/>
      <c r="J350" s="109" t="n"/>
      <c r="K350" s="109" t="n"/>
      <c r="L350" s="231">
        <f>IF($E350="","",DATE(YEAR($E350),MONTH($E350),1))</f>
        <v/>
      </c>
      <c r="M350" s="113">
        <f>IF($D350="","",IF($C350="TANIMSIZ MÜŞTERİ","HATA",IF(OR($E350="",$F350&lt;=0,$G350=""),"EKSİK",IF($E350&gt;TODAY(),"İLERİ TARİH","UYGUN"))))</f>
        <v/>
      </c>
      <c r="N350" s="121">
        <f>IF($C350="","",IF($C350="TANIMSIZ MÜŞTERİ","—",INDEX(MUSTERILER!$C$7:$C$106,MATCH($C350,MUSTERILER!$B$7:$B$106,0))))</f>
        <v/>
      </c>
      <c r="O350" s="6" t="n"/>
      <c r="P350" s="6" t="n"/>
      <c r="Q350" s="3">
        <f>IF($D350="","",$C350&amp;"|"&amp;COUNTIFS($C$7:$C350,$C350))</f>
        <v/>
      </c>
    </row>
    <row r="351">
      <c r="A351" s="6" t="n"/>
      <c r="B351" s="113">
        <f>IF($D351="","","T"&amp;TEXT(ROW()-6,"00000"))</f>
        <v/>
      </c>
      <c r="C351" s="113">
        <f>IF($D351="","",IFERROR(INDEX(MUSTERILER!$B$7:$B$106,MATCH($D351,MUSTERILER!$C$7:$C$106,0)),IFERROR(INDEX(MUSTERILER!$B$7:$B$106,MATCH($D351,MUSTERILER!$B$7:$B$106,0)),IFERROR(INDEX(MUSTERILER!$B$7:$B$106,MATCH($D351&amp;"*",MUSTERILER!$C$7:$C$106,0)),"TANIMSIZ MÜŞTERİ"))))</f>
        <v/>
      </c>
      <c r="D351" s="109" t="n"/>
      <c r="E351" s="225" t="n"/>
      <c r="F351" s="226" t="n"/>
      <c r="G351" s="108" t="n"/>
      <c r="H351" s="108" t="n"/>
      <c r="I351" s="109" t="n"/>
      <c r="J351" s="109" t="n"/>
      <c r="K351" s="109" t="n"/>
      <c r="L351" s="231">
        <f>IF($E351="","",DATE(YEAR($E351),MONTH($E351),1))</f>
        <v/>
      </c>
      <c r="M351" s="113">
        <f>IF($D351="","",IF($C351="TANIMSIZ MÜŞTERİ","HATA",IF(OR($E351="",$F351&lt;=0,$G351=""),"EKSİK",IF($E351&gt;TODAY(),"İLERİ TARİH","UYGUN"))))</f>
        <v/>
      </c>
      <c r="N351" s="121">
        <f>IF($C351="","",IF($C351="TANIMSIZ MÜŞTERİ","—",INDEX(MUSTERILER!$C$7:$C$106,MATCH($C351,MUSTERILER!$B$7:$B$106,0))))</f>
        <v/>
      </c>
      <c r="O351" s="6" t="n"/>
      <c r="P351" s="6" t="n"/>
      <c r="Q351" s="3">
        <f>IF($D351="","",$C351&amp;"|"&amp;COUNTIFS($C$7:$C351,$C351))</f>
        <v/>
      </c>
    </row>
    <row r="352">
      <c r="A352" s="6" t="n"/>
      <c r="B352" s="113">
        <f>IF($D352="","","T"&amp;TEXT(ROW()-6,"00000"))</f>
        <v/>
      </c>
      <c r="C352" s="113">
        <f>IF($D352="","",IFERROR(INDEX(MUSTERILER!$B$7:$B$106,MATCH($D352,MUSTERILER!$C$7:$C$106,0)),IFERROR(INDEX(MUSTERILER!$B$7:$B$106,MATCH($D352,MUSTERILER!$B$7:$B$106,0)),IFERROR(INDEX(MUSTERILER!$B$7:$B$106,MATCH($D352&amp;"*",MUSTERILER!$C$7:$C$106,0)),"TANIMSIZ MÜŞTERİ"))))</f>
        <v/>
      </c>
      <c r="D352" s="109" t="n"/>
      <c r="E352" s="225" t="n"/>
      <c r="F352" s="226" t="n"/>
      <c r="G352" s="108" t="n"/>
      <c r="H352" s="108" t="n"/>
      <c r="I352" s="109" t="n"/>
      <c r="J352" s="109" t="n"/>
      <c r="K352" s="109" t="n"/>
      <c r="L352" s="231">
        <f>IF($E352="","",DATE(YEAR($E352),MONTH($E352),1))</f>
        <v/>
      </c>
      <c r="M352" s="113">
        <f>IF($D352="","",IF($C352="TANIMSIZ MÜŞTERİ","HATA",IF(OR($E352="",$F352&lt;=0,$G352=""),"EKSİK",IF($E352&gt;TODAY(),"İLERİ TARİH","UYGUN"))))</f>
        <v/>
      </c>
      <c r="N352" s="121">
        <f>IF($C352="","",IF($C352="TANIMSIZ MÜŞTERİ","—",INDEX(MUSTERILER!$C$7:$C$106,MATCH($C352,MUSTERILER!$B$7:$B$106,0))))</f>
        <v/>
      </c>
      <c r="O352" s="6" t="n"/>
      <c r="P352" s="6" t="n"/>
      <c r="Q352" s="3">
        <f>IF($D352="","",$C352&amp;"|"&amp;COUNTIFS($C$7:$C352,$C352))</f>
        <v/>
      </c>
    </row>
    <row r="353">
      <c r="A353" s="6" t="n"/>
      <c r="B353" s="113">
        <f>IF($D353="","","T"&amp;TEXT(ROW()-6,"00000"))</f>
        <v/>
      </c>
      <c r="C353" s="113">
        <f>IF($D353="","",IFERROR(INDEX(MUSTERILER!$B$7:$B$106,MATCH($D353,MUSTERILER!$C$7:$C$106,0)),IFERROR(INDEX(MUSTERILER!$B$7:$B$106,MATCH($D353,MUSTERILER!$B$7:$B$106,0)),IFERROR(INDEX(MUSTERILER!$B$7:$B$106,MATCH($D353&amp;"*",MUSTERILER!$C$7:$C$106,0)),"TANIMSIZ MÜŞTERİ"))))</f>
        <v/>
      </c>
      <c r="D353" s="109" t="n"/>
      <c r="E353" s="225" t="n"/>
      <c r="F353" s="226" t="n"/>
      <c r="G353" s="108" t="n"/>
      <c r="H353" s="108" t="n"/>
      <c r="I353" s="109" t="n"/>
      <c r="J353" s="109" t="n"/>
      <c r="K353" s="109" t="n"/>
      <c r="L353" s="231">
        <f>IF($E353="","",DATE(YEAR($E353),MONTH($E353),1))</f>
        <v/>
      </c>
      <c r="M353" s="113">
        <f>IF($D353="","",IF($C353="TANIMSIZ MÜŞTERİ","HATA",IF(OR($E353="",$F353&lt;=0,$G353=""),"EKSİK",IF($E353&gt;TODAY(),"İLERİ TARİH","UYGUN"))))</f>
        <v/>
      </c>
      <c r="N353" s="121">
        <f>IF($C353="","",IF($C353="TANIMSIZ MÜŞTERİ","—",INDEX(MUSTERILER!$C$7:$C$106,MATCH($C353,MUSTERILER!$B$7:$B$106,0))))</f>
        <v/>
      </c>
      <c r="O353" s="6" t="n"/>
      <c r="P353" s="6" t="n"/>
      <c r="Q353" s="3">
        <f>IF($D353="","",$C353&amp;"|"&amp;COUNTIFS($C$7:$C353,$C353))</f>
        <v/>
      </c>
    </row>
    <row r="354">
      <c r="A354" s="6" t="n"/>
      <c r="B354" s="113">
        <f>IF($D354="","","T"&amp;TEXT(ROW()-6,"00000"))</f>
        <v/>
      </c>
      <c r="C354" s="113">
        <f>IF($D354="","",IFERROR(INDEX(MUSTERILER!$B$7:$B$106,MATCH($D354,MUSTERILER!$C$7:$C$106,0)),IFERROR(INDEX(MUSTERILER!$B$7:$B$106,MATCH($D354,MUSTERILER!$B$7:$B$106,0)),IFERROR(INDEX(MUSTERILER!$B$7:$B$106,MATCH($D354&amp;"*",MUSTERILER!$C$7:$C$106,0)),"TANIMSIZ MÜŞTERİ"))))</f>
        <v/>
      </c>
      <c r="D354" s="109" t="n"/>
      <c r="E354" s="225" t="n"/>
      <c r="F354" s="226" t="n"/>
      <c r="G354" s="108" t="n"/>
      <c r="H354" s="108" t="n"/>
      <c r="I354" s="109" t="n"/>
      <c r="J354" s="109" t="n"/>
      <c r="K354" s="109" t="n"/>
      <c r="L354" s="231">
        <f>IF($E354="","",DATE(YEAR($E354),MONTH($E354),1))</f>
        <v/>
      </c>
      <c r="M354" s="113">
        <f>IF($D354="","",IF($C354="TANIMSIZ MÜŞTERİ","HATA",IF(OR($E354="",$F354&lt;=0,$G354=""),"EKSİK",IF($E354&gt;TODAY(),"İLERİ TARİH","UYGUN"))))</f>
        <v/>
      </c>
      <c r="N354" s="121">
        <f>IF($C354="","",IF($C354="TANIMSIZ MÜŞTERİ","—",INDEX(MUSTERILER!$C$7:$C$106,MATCH($C354,MUSTERILER!$B$7:$B$106,0))))</f>
        <v/>
      </c>
      <c r="O354" s="6" t="n"/>
      <c r="P354" s="6" t="n"/>
      <c r="Q354" s="3">
        <f>IF($D354="","",$C354&amp;"|"&amp;COUNTIFS($C$7:$C354,$C354))</f>
        <v/>
      </c>
    </row>
    <row r="355">
      <c r="A355" s="6" t="n"/>
      <c r="B355" s="113">
        <f>IF($D355="","","T"&amp;TEXT(ROW()-6,"00000"))</f>
        <v/>
      </c>
      <c r="C355" s="113">
        <f>IF($D355="","",IFERROR(INDEX(MUSTERILER!$B$7:$B$106,MATCH($D355,MUSTERILER!$C$7:$C$106,0)),IFERROR(INDEX(MUSTERILER!$B$7:$B$106,MATCH($D355,MUSTERILER!$B$7:$B$106,0)),IFERROR(INDEX(MUSTERILER!$B$7:$B$106,MATCH($D355&amp;"*",MUSTERILER!$C$7:$C$106,0)),"TANIMSIZ MÜŞTERİ"))))</f>
        <v/>
      </c>
      <c r="D355" s="109" t="n"/>
      <c r="E355" s="225" t="n"/>
      <c r="F355" s="226" t="n"/>
      <c r="G355" s="108" t="n"/>
      <c r="H355" s="108" t="n"/>
      <c r="I355" s="109" t="n"/>
      <c r="J355" s="109" t="n"/>
      <c r="K355" s="109" t="n"/>
      <c r="L355" s="231">
        <f>IF($E355="","",DATE(YEAR($E355),MONTH($E355),1))</f>
        <v/>
      </c>
      <c r="M355" s="113">
        <f>IF($D355="","",IF($C355="TANIMSIZ MÜŞTERİ","HATA",IF(OR($E355="",$F355&lt;=0,$G355=""),"EKSİK",IF($E355&gt;TODAY(),"İLERİ TARİH","UYGUN"))))</f>
        <v/>
      </c>
      <c r="N355" s="121">
        <f>IF($C355="","",IF($C355="TANIMSIZ MÜŞTERİ","—",INDEX(MUSTERILER!$C$7:$C$106,MATCH($C355,MUSTERILER!$B$7:$B$106,0))))</f>
        <v/>
      </c>
      <c r="O355" s="6" t="n"/>
      <c r="P355" s="6" t="n"/>
      <c r="Q355" s="3">
        <f>IF($D355="","",$C355&amp;"|"&amp;COUNTIFS($C$7:$C355,$C355))</f>
        <v/>
      </c>
    </row>
    <row r="356">
      <c r="A356" s="6" t="n"/>
      <c r="B356" s="113">
        <f>IF($D356="","","T"&amp;TEXT(ROW()-6,"00000"))</f>
        <v/>
      </c>
      <c r="C356" s="113">
        <f>IF($D356="","",IFERROR(INDEX(MUSTERILER!$B$7:$B$106,MATCH($D356,MUSTERILER!$C$7:$C$106,0)),IFERROR(INDEX(MUSTERILER!$B$7:$B$106,MATCH($D356,MUSTERILER!$B$7:$B$106,0)),IFERROR(INDEX(MUSTERILER!$B$7:$B$106,MATCH($D356&amp;"*",MUSTERILER!$C$7:$C$106,0)),"TANIMSIZ MÜŞTERİ"))))</f>
        <v/>
      </c>
      <c r="D356" s="109" t="n"/>
      <c r="E356" s="225" t="n"/>
      <c r="F356" s="226" t="n"/>
      <c r="G356" s="108" t="n"/>
      <c r="H356" s="108" t="n"/>
      <c r="I356" s="109" t="n"/>
      <c r="J356" s="109" t="n"/>
      <c r="K356" s="109" t="n"/>
      <c r="L356" s="231">
        <f>IF($E356="","",DATE(YEAR($E356),MONTH($E356),1))</f>
        <v/>
      </c>
      <c r="M356" s="113">
        <f>IF($D356="","",IF($C356="TANIMSIZ MÜŞTERİ","HATA",IF(OR($E356="",$F356&lt;=0,$G356=""),"EKSİK",IF($E356&gt;TODAY(),"İLERİ TARİH","UYGUN"))))</f>
        <v/>
      </c>
      <c r="N356" s="121">
        <f>IF($C356="","",IF($C356="TANIMSIZ MÜŞTERİ","—",INDEX(MUSTERILER!$C$7:$C$106,MATCH($C356,MUSTERILER!$B$7:$B$106,0))))</f>
        <v/>
      </c>
      <c r="O356" s="6" t="n"/>
      <c r="P356" s="6" t="n"/>
      <c r="Q356" s="3">
        <f>IF($D356="","",$C356&amp;"|"&amp;COUNTIFS($C$7:$C356,$C356))</f>
        <v/>
      </c>
    </row>
    <row r="357">
      <c r="A357" s="6" t="n"/>
      <c r="B357" s="113">
        <f>IF($D357="","","T"&amp;TEXT(ROW()-6,"00000"))</f>
        <v/>
      </c>
      <c r="C357" s="113">
        <f>IF($D357="","",IFERROR(INDEX(MUSTERILER!$B$7:$B$106,MATCH($D357,MUSTERILER!$C$7:$C$106,0)),IFERROR(INDEX(MUSTERILER!$B$7:$B$106,MATCH($D357,MUSTERILER!$B$7:$B$106,0)),IFERROR(INDEX(MUSTERILER!$B$7:$B$106,MATCH($D357&amp;"*",MUSTERILER!$C$7:$C$106,0)),"TANIMSIZ MÜŞTERİ"))))</f>
        <v/>
      </c>
      <c r="D357" s="109" t="n"/>
      <c r="E357" s="225" t="n"/>
      <c r="F357" s="226" t="n"/>
      <c r="G357" s="108" t="n"/>
      <c r="H357" s="108" t="n"/>
      <c r="I357" s="109" t="n"/>
      <c r="J357" s="109" t="n"/>
      <c r="K357" s="109" t="n"/>
      <c r="L357" s="231">
        <f>IF($E357="","",DATE(YEAR($E357),MONTH($E357),1))</f>
        <v/>
      </c>
      <c r="M357" s="113">
        <f>IF($D357="","",IF($C357="TANIMSIZ MÜŞTERİ","HATA",IF(OR($E357="",$F357&lt;=0,$G357=""),"EKSİK",IF($E357&gt;TODAY(),"İLERİ TARİH","UYGUN"))))</f>
        <v/>
      </c>
      <c r="N357" s="121">
        <f>IF($C357="","",IF($C357="TANIMSIZ MÜŞTERİ","—",INDEX(MUSTERILER!$C$7:$C$106,MATCH($C357,MUSTERILER!$B$7:$B$106,0))))</f>
        <v/>
      </c>
      <c r="O357" s="6" t="n"/>
      <c r="P357" s="6" t="n"/>
      <c r="Q357" s="3">
        <f>IF($D357="","",$C357&amp;"|"&amp;COUNTIFS($C$7:$C357,$C357))</f>
        <v/>
      </c>
    </row>
    <row r="358">
      <c r="A358" s="6" t="n"/>
      <c r="B358" s="113">
        <f>IF($D358="","","T"&amp;TEXT(ROW()-6,"00000"))</f>
        <v/>
      </c>
      <c r="C358" s="113">
        <f>IF($D358="","",IFERROR(INDEX(MUSTERILER!$B$7:$B$106,MATCH($D358,MUSTERILER!$C$7:$C$106,0)),IFERROR(INDEX(MUSTERILER!$B$7:$B$106,MATCH($D358,MUSTERILER!$B$7:$B$106,0)),IFERROR(INDEX(MUSTERILER!$B$7:$B$106,MATCH($D358&amp;"*",MUSTERILER!$C$7:$C$106,0)),"TANIMSIZ MÜŞTERİ"))))</f>
        <v/>
      </c>
      <c r="D358" s="109" t="n"/>
      <c r="E358" s="225" t="n"/>
      <c r="F358" s="226" t="n"/>
      <c r="G358" s="108" t="n"/>
      <c r="H358" s="108" t="n"/>
      <c r="I358" s="109" t="n"/>
      <c r="J358" s="109" t="n"/>
      <c r="K358" s="109" t="n"/>
      <c r="L358" s="231">
        <f>IF($E358="","",DATE(YEAR($E358),MONTH($E358),1))</f>
        <v/>
      </c>
      <c r="M358" s="113">
        <f>IF($D358="","",IF($C358="TANIMSIZ MÜŞTERİ","HATA",IF(OR($E358="",$F358&lt;=0,$G358=""),"EKSİK",IF($E358&gt;TODAY(),"İLERİ TARİH","UYGUN"))))</f>
        <v/>
      </c>
      <c r="N358" s="121">
        <f>IF($C358="","",IF($C358="TANIMSIZ MÜŞTERİ","—",INDEX(MUSTERILER!$C$7:$C$106,MATCH($C358,MUSTERILER!$B$7:$B$106,0))))</f>
        <v/>
      </c>
      <c r="O358" s="6" t="n"/>
      <c r="P358" s="6" t="n"/>
      <c r="Q358" s="3">
        <f>IF($D358="","",$C358&amp;"|"&amp;COUNTIFS($C$7:$C358,$C358))</f>
        <v/>
      </c>
    </row>
    <row r="359">
      <c r="A359" s="6" t="n"/>
      <c r="B359" s="113">
        <f>IF($D359="","","T"&amp;TEXT(ROW()-6,"00000"))</f>
        <v/>
      </c>
      <c r="C359" s="113">
        <f>IF($D359="","",IFERROR(INDEX(MUSTERILER!$B$7:$B$106,MATCH($D359,MUSTERILER!$C$7:$C$106,0)),IFERROR(INDEX(MUSTERILER!$B$7:$B$106,MATCH($D359,MUSTERILER!$B$7:$B$106,0)),IFERROR(INDEX(MUSTERILER!$B$7:$B$106,MATCH($D359&amp;"*",MUSTERILER!$C$7:$C$106,0)),"TANIMSIZ MÜŞTERİ"))))</f>
        <v/>
      </c>
      <c r="D359" s="109" t="n"/>
      <c r="E359" s="225" t="n"/>
      <c r="F359" s="226" t="n"/>
      <c r="G359" s="108" t="n"/>
      <c r="H359" s="108" t="n"/>
      <c r="I359" s="109" t="n"/>
      <c r="J359" s="109" t="n"/>
      <c r="K359" s="109" t="n"/>
      <c r="L359" s="231">
        <f>IF($E359="","",DATE(YEAR($E359),MONTH($E359),1))</f>
        <v/>
      </c>
      <c r="M359" s="113">
        <f>IF($D359="","",IF($C359="TANIMSIZ MÜŞTERİ","HATA",IF(OR($E359="",$F359&lt;=0,$G359=""),"EKSİK",IF($E359&gt;TODAY(),"İLERİ TARİH","UYGUN"))))</f>
        <v/>
      </c>
      <c r="N359" s="121">
        <f>IF($C359="","",IF($C359="TANIMSIZ MÜŞTERİ","—",INDEX(MUSTERILER!$C$7:$C$106,MATCH($C359,MUSTERILER!$B$7:$B$106,0))))</f>
        <v/>
      </c>
      <c r="O359" s="6" t="n"/>
      <c r="P359" s="6" t="n"/>
      <c r="Q359" s="3">
        <f>IF($D359="","",$C359&amp;"|"&amp;COUNTIFS($C$7:$C359,$C359))</f>
        <v/>
      </c>
    </row>
    <row r="360">
      <c r="A360" s="6" t="n"/>
      <c r="B360" s="113">
        <f>IF($D360="","","T"&amp;TEXT(ROW()-6,"00000"))</f>
        <v/>
      </c>
      <c r="C360" s="113">
        <f>IF($D360="","",IFERROR(INDEX(MUSTERILER!$B$7:$B$106,MATCH($D360,MUSTERILER!$C$7:$C$106,0)),IFERROR(INDEX(MUSTERILER!$B$7:$B$106,MATCH($D360,MUSTERILER!$B$7:$B$106,0)),IFERROR(INDEX(MUSTERILER!$B$7:$B$106,MATCH($D360&amp;"*",MUSTERILER!$C$7:$C$106,0)),"TANIMSIZ MÜŞTERİ"))))</f>
        <v/>
      </c>
      <c r="D360" s="109" t="n"/>
      <c r="E360" s="225" t="n"/>
      <c r="F360" s="226" t="n"/>
      <c r="G360" s="108" t="n"/>
      <c r="H360" s="108" t="n"/>
      <c r="I360" s="109" t="n"/>
      <c r="J360" s="109" t="n"/>
      <c r="K360" s="109" t="n"/>
      <c r="L360" s="231">
        <f>IF($E360="","",DATE(YEAR($E360),MONTH($E360),1))</f>
        <v/>
      </c>
      <c r="M360" s="113">
        <f>IF($D360="","",IF($C360="TANIMSIZ MÜŞTERİ","HATA",IF(OR($E360="",$F360&lt;=0,$G360=""),"EKSİK",IF($E360&gt;TODAY(),"İLERİ TARİH","UYGUN"))))</f>
        <v/>
      </c>
      <c r="N360" s="121">
        <f>IF($C360="","",IF($C360="TANIMSIZ MÜŞTERİ","—",INDEX(MUSTERILER!$C$7:$C$106,MATCH($C360,MUSTERILER!$B$7:$B$106,0))))</f>
        <v/>
      </c>
      <c r="O360" s="6" t="n"/>
      <c r="P360" s="6" t="n"/>
      <c r="Q360" s="3">
        <f>IF($D360="","",$C360&amp;"|"&amp;COUNTIFS($C$7:$C360,$C360))</f>
        <v/>
      </c>
    </row>
    <row r="361">
      <c r="A361" s="6" t="n"/>
      <c r="B361" s="113">
        <f>IF($D361="","","T"&amp;TEXT(ROW()-6,"00000"))</f>
        <v/>
      </c>
      <c r="C361" s="113">
        <f>IF($D361="","",IFERROR(INDEX(MUSTERILER!$B$7:$B$106,MATCH($D361,MUSTERILER!$C$7:$C$106,0)),IFERROR(INDEX(MUSTERILER!$B$7:$B$106,MATCH($D361,MUSTERILER!$B$7:$B$106,0)),IFERROR(INDEX(MUSTERILER!$B$7:$B$106,MATCH($D361&amp;"*",MUSTERILER!$C$7:$C$106,0)),"TANIMSIZ MÜŞTERİ"))))</f>
        <v/>
      </c>
      <c r="D361" s="109" t="n"/>
      <c r="E361" s="225" t="n"/>
      <c r="F361" s="226" t="n"/>
      <c r="G361" s="108" t="n"/>
      <c r="H361" s="108" t="n"/>
      <c r="I361" s="109" t="n"/>
      <c r="J361" s="109" t="n"/>
      <c r="K361" s="109" t="n"/>
      <c r="L361" s="231">
        <f>IF($E361="","",DATE(YEAR($E361),MONTH($E361),1))</f>
        <v/>
      </c>
      <c r="M361" s="113">
        <f>IF($D361="","",IF($C361="TANIMSIZ MÜŞTERİ","HATA",IF(OR($E361="",$F361&lt;=0,$G361=""),"EKSİK",IF($E361&gt;TODAY(),"İLERİ TARİH","UYGUN"))))</f>
        <v/>
      </c>
      <c r="N361" s="121">
        <f>IF($C361="","",IF($C361="TANIMSIZ MÜŞTERİ","—",INDEX(MUSTERILER!$C$7:$C$106,MATCH($C361,MUSTERILER!$B$7:$B$106,0))))</f>
        <v/>
      </c>
      <c r="O361" s="6" t="n"/>
      <c r="P361" s="6" t="n"/>
      <c r="Q361" s="3">
        <f>IF($D361="","",$C361&amp;"|"&amp;COUNTIFS($C$7:$C361,$C361))</f>
        <v/>
      </c>
    </row>
    <row r="362">
      <c r="A362" s="6" t="n"/>
      <c r="B362" s="113">
        <f>IF($D362="","","T"&amp;TEXT(ROW()-6,"00000"))</f>
        <v/>
      </c>
      <c r="C362" s="113">
        <f>IF($D362="","",IFERROR(INDEX(MUSTERILER!$B$7:$B$106,MATCH($D362,MUSTERILER!$C$7:$C$106,0)),IFERROR(INDEX(MUSTERILER!$B$7:$B$106,MATCH($D362,MUSTERILER!$B$7:$B$106,0)),IFERROR(INDEX(MUSTERILER!$B$7:$B$106,MATCH($D362&amp;"*",MUSTERILER!$C$7:$C$106,0)),"TANIMSIZ MÜŞTERİ"))))</f>
        <v/>
      </c>
      <c r="D362" s="109" t="n"/>
      <c r="E362" s="225" t="n"/>
      <c r="F362" s="226" t="n"/>
      <c r="G362" s="108" t="n"/>
      <c r="H362" s="108" t="n"/>
      <c r="I362" s="109" t="n"/>
      <c r="J362" s="109" t="n"/>
      <c r="K362" s="109" t="n"/>
      <c r="L362" s="231">
        <f>IF($E362="","",DATE(YEAR($E362),MONTH($E362),1))</f>
        <v/>
      </c>
      <c r="M362" s="113">
        <f>IF($D362="","",IF($C362="TANIMSIZ MÜŞTERİ","HATA",IF(OR($E362="",$F362&lt;=0,$G362=""),"EKSİK",IF($E362&gt;TODAY(),"İLERİ TARİH","UYGUN"))))</f>
        <v/>
      </c>
      <c r="N362" s="121">
        <f>IF($C362="","",IF($C362="TANIMSIZ MÜŞTERİ","—",INDEX(MUSTERILER!$C$7:$C$106,MATCH($C362,MUSTERILER!$B$7:$B$106,0))))</f>
        <v/>
      </c>
      <c r="O362" s="6" t="n"/>
      <c r="P362" s="6" t="n"/>
      <c r="Q362" s="3">
        <f>IF($D362="","",$C362&amp;"|"&amp;COUNTIFS($C$7:$C362,$C362))</f>
        <v/>
      </c>
    </row>
    <row r="363">
      <c r="A363" s="6" t="n"/>
      <c r="B363" s="113">
        <f>IF($D363="","","T"&amp;TEXT(ROW()-6,"00000"))</f>
        <v/>
      </c>
      <c r="C363" s="113">
        <f>IF($D363="","",IFERROR(INDEX(MUSTERILER!$B$7:$B$106,MATCH($D363,MUSTERILER!$C$7:$C$106,0)),IFERROR(INDEX(MUSTERILER!$B$7:$B$106,MATCH($D363,MUSTERILER!$B$7:$B$106,0)),IFERROR(INDEX(MUSTERILER!$B$7:$B$106,MATCH($D363&amp;"*",MUSTERILER!$C$7:$C$106,0)),"TANIMSIZ MÜŞTERİ"))))</f>
        <v/>
      </c>
      <c r="D363" s="109" t="n"/>
      <c r="E363" s="225" t="n"/>
      <c r="F363" s="226" t="n"/>
      <c r="G363" s="108" t="n"/>
      <c r="H363" s="108" t="n"/>
      <c r="I363" s="109" t="n"/>
      <c r="J363" s="109" t="n"/>
      <c r="K363" s="109" t="n"/>
      <c r="L363" s="231">
        <f>IF($E363="","",DATE(YEAR($E363),MONTH($E363),1))</f>
        <v/>
      </c>
      <c r="M363" s="113">
        <f>IF($D363="","",IF($C363="TANIMSIZ MÜŞTERİ","HATA",IF(OR($E363="",$F363&lt;=0,$G363=""),"EKSİK",IF($E363&gt;TODAY(),"İLERİ TARİH","UYGUN"))))</f>
        <v/>
      </c>
      <c r="N363" s="121">
        <f>IF($C363="","",IF($C363="TANIMSIZ MÜŞTERİ","—",INDEX(MUSTERILER!$C$7:$C$106,MATCH($C363,MUSTERILER!$B$7:$B$106,0))))</f>
        <v/>
      </c>
      <c r="O363" s="6" t="n"/>
      <c r="P363" s="6" t="n"/>
      <c r="Q363" s="3">
        <f>IF($D363="","",$C363&amp;"|"&amp;COUNTIFS($C$7:$C363,$C363))</f>
        <v/>
      </c>
    </row>
    <row r="364">
      <c r="A364" s="6" t="n"/>
      <c r="B364" s="113">
        <f>IF($D364="","","T"&amp;TEXT(ROW()-6,"00000"))</f>
        <v/>
      </c>
      <c r="C364" s="113">
        <f>IF($D364="","",IFERROR(INDEX(MUSTERILER!$B$7:$B$106,MATCH($D364,MUSTERILER!$C$7:$C$106,0)),IFERROR(INDEX(MUSTERILER!$B$7:$B$106,MATCH($D364,MUSTERILER!$B$7:$B$106,0)),IFERROR(INDEX(MUSTERILER!$B$7:$B$106,MATCH($D364&amp;"*",MUSTERILER!$C$7:$C$106,0)),"TANIMSIZ MÜŞTERİ"))))</f>
        <v/>
      </c>
      <c r="D364" s="109" t="n"/>
      <c r="E364" s="225" t="n"/>
      <c r="F364" s="226" t="n"/>
      <c r="G364" s="108" t="n"/>
      <c r="H364" s="108" t="n"/>
      <c r="I364" s="109" t="n"/>
      <c r="J364" s="109" t="n"/>
      <c r="K364" s="109" t="n"/>
      <c r="L364" s="231">
        <f>IF($E364="","",DATE(YEAR($E364),MONTH($E364),1))</f>
        <v/>
      </c>
      <c r="M364" s="113">
        <f>IF($D364="","",IF($C364="TANIMSIZ MÜŞTERİ","HATA",IF(OR($E364="",$F364&lt;=0,$G364=""),"EKSİK",IF($E364&gt;TODAY(),"İLERİ TARİH","UYGUN"))))</f>
        <v/>
      </c>
      <c r="N364" s="121">
        <f>IF($C364="","",IF($C364="TANIMSIZ MÜŞTERİ","—",INDEX(MUSTERILER!$C$7:$C$106,MATCH($C364,MUSTERILER!$B$7:$B$106,0))))</f>
        <v/>
      </c>
      <c r="O364" s="6" t="n"/>
      <c r="P364" s="6" t="n"/>
      <c r="Q364" s="3">
        <f>IF($D364="","",$C364&amp;"|"&amp;COUNTIFS($C$7:$C364,$C364))</f>
        <v/>
      </c>
    </row>
    <row r="365">
      <c r="A365" s="6" t="n"/>
      <c r="B365" s="113">
        <f>IF($D365="","","T"&amp;TEXT(ROW()-6,"00000"))</f>
        <v/>
      </c>
      <c r="C365" s="113">
        <f>IF($D365="","",IFERROR(INDEX(MUSTERILER!$B$7:$B$106,MATCH($D365,MUSTERILER!$C$7:$C$106,0)),IFERROR(INDEX(MUSTERILER!$B$7:$B$106,MATCH($D365,MUSTERILER!$B$7:$B$106,0)),IFERROR(INDEX(MUSTERILER!$B$7:$B$106,MATCH($D365&amp;"*",MUSTERILER!$C$7:$C$106,0)),"TANIMSIZ MÜŞTERİ"))))</f>
        <v/>
      </c>
      <c r="D365" s="109" t="n"/>
      <c r="E365" s="225" t="n"/>
      <c r="F365" s="226" t="n"/>
      <c r="G365" s="108" t="n"/>
      <c r="H365" s="108" t="n"/>
      <c r="I365" s="109" t="n"/>
      <c r="J365" s="109" t="n"/>
      <c r="K365" s="109" t="n"/>
      <c r="L365" s="231">
        <f>IF($E365="","",DATE(YEAR($E365),MONTH($E365),1))</f>
        <v/>
      </c>
      <c r="M365" s="113">
        <f>IF($D365="","",IF($C365="TANIMSIZ MÜŞTERİ","HATA",IF(OR($E365="",$F365&lt;=0,$G365=""),"EKSİK",IF($E365&gt;TODAY(),"İLERİ TARİH","UYGUN"))))</f>
        <v/>
      </c>
      <c r="N365" s="121">
        <f>IF($C365="","",IF($C365="TANIMSIZ MÜŞTERİ","—",INDEX(MUSTERILER!$C$7:$C$106,MATCH($C365,MUSTERILER!$B$7:$B$106,0))))</f>
        <v/>
      </c>
      <c r="O365" s="6" t="n"/>
      <c r="P365" s="6" t="n"/>
      <c r="Q365" s="3">
        <f>IF($D365="","",$C365&amp;"|"&amp;COUNTIFS($C$7:$C365,$C365))</f>
        <v/>
      </c>
    </row>
    <row r="366">
      <c r="A366" s="6" t="n"/>
      <c r="B366" s="113">
        <f>IF($D366="","","T"&amp;TEXT(ROW()-6,"00000"))</f>
        <v/>
      </c>
      <c r="C366" s="113">
        <f>IF($D366="","",IFERROR(INDEX(MUSTERILER!$B$7:$B$106,MATCH($D366,MUSTERILER!$C$7:$C$106,0)),IFERROR(INDEX(MUSTERILER!$B$7:$B$106,MATCH($D366,MUSTERILER!$B$7:$B$106,0)),IFERROR(INDEX(MUSTERILER!$B$7:$B$106,MATCH($D366&amp;"*",MUSTERILER!$C$7:$C$106,0)),"TANIMSIZ MÜŞTERİ"))))</f>
        <v/>
      </c>
      <c r="D366" s="109" t="n"/>
      <c r="E366" s="225" t="n"/>
      <c r="F366" s="226" t="n"/>
      <c r="G366" s="108" t="n"/>
      <c r="H366" s="108" t="n"/>
      <c r="I366" s="109" t="n"/>
      <c r="J366" s="109" t="n"/>
      <c r="K366" s="109" t="n"/>
      <c r="L366" s="231">
        <f>IF($E366="","",DATE(YEAR($E366),MONTH($E366),1))</f>
        <v/>
      </c>
      <c r="M366" s="113">
        <f>IF($D366="","",IF($C366="TANIMSIZ MÜŞTERİ","HATA",IF(OR($E366="",$F366&lt;=0,$G366=""),"EKSİK",IF($E366&gt;TODAY(),"İLERİ TARİH","UYGUN"))))</f>
        <v/>
      </c>
      <c r="N366" s="121">
        <f>IF($C366="","",IF($C366="TANIMSIZ MÜŞTERİ","—",INDEX(MUSTERILER!$C$7:$C$106,MATCH($C366,MUSTERILER!$B$7:$B$106,0))))</f>
        <v/>
      </c>
      <c r="O366" s="6" t="n"/>
      <c r="P366" s="6" t="n"/>
      <c r="Q366" s="3">
        <f>IF($D366="","",$C366&amp;"|"&amp;COUNTIFS($C$7:$C366,$C366))</f>
        <v/>
      </c>
    </row>
    <row r="367">
      <c r="A367" s="6" t="n"/>
      <c r="B367" s="113">
        <f>IF($D367="","","T"&amp;TEXT(ROW()-6,"00000"))</f>
        <v/>
      </c>
      <c r="C367" s="113">
        <f>IF($D367="","",IFERROR(INDEX(MUSTERILER!$B$7:$B$106,MATCH($D367,MUSTERILER!$C$7:$C$106,0)),IFERROR(INDEX(MUSTERILER!$B$7:$B$106,MATCH($D367,MUSTERILER!$B$7:$B$106,0)),IFERROR(INDEX(MUSTERILER!$B$7:$B$106,MATCH($D367&amp;"*",MUSTERILER!$C$7:$C$106,0)),"TANIMSIZ MÜŞTERİ"))))</f>
        <v/>
      </c>
      <c r="D367" s="109" t="n"/>
      <c r="E367" s="225" t="n"/>
      <c r="F367" s="226" t="n"/>
      <c r="G367" s="108" t="n"/>
      <c r="H367" s="108" t="n"/>
      <c r="I367" s="109" t="n"/>
      <c r="J367" s="109" t="n"/>
      <c r="K367" s="109" t="n"/>
      <c r="L367" s="231">
        <f>IF($E367="","",DATE(YEAR($E367),MONTH($E367),1))</f>
        <v/>
      </c>
      <c r="M367" s="113">
        <f>IF($D367="","",IF($C367="TANIMSIZ MÜŞTERİ","HATA",IF(OR($E367="",$F367&lt;=0,$G367=""),"EKSİK",IF($E367&gt;TODAY(),"İLERİ TARİH","UYGUN"))))</f>
        <v/>
      </c>
      <c r="N367" s="121">
        <f>IF($C367="","",IF($C367="TANIMSIZ MÜŞTERİ","—",INDEX(MUSTERILER!$C$7:$C$106,MATCH($C367,MUSTERILER!$B$7:$B$106,0))))</f>
        <v/>
      </c>
      <c r="O367" s="6" t="n"/>
      <c r="P367" s="6" t="n"/>
      <c r="Q367" s="3">
        <f>IF($D367="","",$C367&amp;"|"&amp;COUNTIFS($C$7:$C367,$C367))</f>
        <v/>
      </c>
    </row>
    <row r="368">
      <c r="A368" s="6" t="n"/>
      <c r="B368" s="113">
        <f>IF($D368="","","T"&amp;TEXT(ROW()-6,"00000"))</f>
        <v/>
      </c>
      <c r="C368" s="113">
        <f>IF($D368="","",IFERROR(INDEX(MUSTERILER!$B$7:$B$106,MATCH($D368,MUSTERILER!$C$7:$C$106,0)),IFERROR(INDEX(MUSTERILER!$B$7:$B$106,MATCH($D368,MUSTERILER!$B$7:$B$106,0)),IFERROR(INDEX(MUSTERILER!$B$7:$B$106,MATCH($D368&amp;"*",MUSTERILER!$C$7:$C$106,0)),"TANIMSIZ MÜŞTERİ"))))</f>
        <v/>
      </c>
      <c r="D368" s="109" t="n"/>
      <c r="E368" s="225" t="n"/>
      <c r="F368" s="226" t="n"/>
      <c r="G368" s="108" t="n"/>
      <c r="H368" s="108" t="n"/>
      <c r="I368" s="109" t="n"/>
      <c r="J368" s="109" t="n"/>
      <c r="K368" s="109" t="n"/>
      <c r="L368" s="231">
        <f>IF($E368="","",DATE(YEAR($E368),MONTH($E368),1))</f>
        <v/>
      </c>
      <c r="M368" s="113">
        <f>IF($D368="","",IF($C368="TANIMSIZ MÜŞTERİ","HATA",IF(OR($E368="",$F368&lt;=0,$G368=""),"EKSİK",IF($E368&gt;TODAY(),"İLERİ TARİH","UYGUN"))))</f>
        <v/>
      </c>
      <c r="N368" s="121">
        <f>IF($C368="","",IF($C368="TANIMSIZ MÜŞTERİ","—",INDEX(MUSTERILER!$C$7:$C$106,MATCH($C368,MUSTERILER!$B$7:$B$106,0))))</f>
        <v/>
      </c>
      <c r="O368" s="6" t="n"/>
      <c r="P368" s="6" t="n"/>
      <c r="Q368" s="3">
        <f>IF($D368="","",$C368&amp;"|"&amp;COUNTIFS($C$7:$C368,$C368))</f>
        <v/>
      </c>
    </row>
    <row r="369">
      <c r="A369" s="6" t="n"/>
      <c r="B369" s="113">
        <f>IF($D369="","","T"&amp;TEXT(ROW()-6,"00000"))</f>
        <v/>
      </c>
      <c r="C369" s="113">
        <f>IF($D369="","",IFERROR(INDEX(MUSTERILER!$B$7:$B$106,MATCH($D369,MUSTERILER!$C$7:$C$106,0)),IFERROR(INDEX(MUSTERILER!$B$7:$B$106,MATCH($D369,MUSTERILER!$B$7:$B$106,0)),IFERROR(INDEX(MUSTERILER!$B$7:$B$106,MATCH($D369&amp;"*",MUSTERILER!$C$7:$C$106,0)),"TANIMSIZ MÜŞTERİ"))))</f>
        <v/>
      </c>
      <c r="D369" s="109" t="n"/>
      <c r="E369" s="225" t="n"/>
      <c r="F369" s="226" t="n"/>
      <c r="G369" s="108" t="n"/>
      <c r="H369" s="108" t="n"/>
      <c r="I369" s="109" t="n"/>
      <c r="J369" s="109" t="n"/>
      <c r="K369" s="109" t="n"/>
      <c r="L369" s="231">
        <f>IF($E369="","",DATE(YEAR($E369),MONTH($E369),1))</f>
        <v/>
      </c>
      <c r="M369" s="113">
        <f>IF($D369="","",IF($C369="TANIMSIZ MÜŞTERİ","HATA",IF(OR($E369="",$F369&lt;=0,$G369=""),"EKSİK",IF($E369&gt;TODAY(),"İLERİ TARİH","UYGUN"))))</f>
        <v/>
      </c>
      <c r="N369" s="121">
        <f>IF($C369="","",IF($C369="TANIMSIZ MÜŞTERİ","—",INDEX(MUSTERILER!$C$7:$C$106,MATCH($C369,MUSTERILER!$B$7:$B$106,0))))</f>
        <v/>
      </c>
      <c r="O369" s="6" t="n"/>
      <c r="P369" s="6" t="n"/>
      <c r="Q369" s="3">
        <f>IF($D369="","",$C369&amp;"|"&amp;COUNTIFS($C$7:$C369,$C369))</f>
        <v/>
      </c>
    </row>
    <row r="370">
      <c r="A370" s="6" t="n"/>
      <c r="B370" s="113">
        <f>IF($D370="","","T"&amp;TEXT(ROW()-6,"00000"))</f>
        <v/>
      </c>
      <c r="C370" s="113">
        <f>IF($D370="","",IFERROR(INDEX(MUSTERILER!$B$7:$B$106,MATCH($D370,MUSTERILER!$C$7:$C$106,0)),IFERROR(INDEX(MUSTERILER!$B$7:$B$106,MATCH($D370,MUSTERILER!$B$7:$B$106,0)),IFERROR(INDEX(MUSTERILER!$B$7:$B$106,MATCH($D370&amp;"*",MUSTERILER!$C$7:$C$106,0)),"TANIMSIZ MÜŞTERİ"))))</f>
        <v/>
      </c>
      <c r="D370" s="109" t="n"/>
      <c r="E370" s="225" t="n"/>
      <c r="F370" s="226" t="n"/>
      <c r="G370" s="108" t="n"/>
      <c r="H370" s="108" t="n"/>
      <c r="I370" s="109" t="n"/>
      <c r="J370" s="109" t="n"/>
      <c r="K370" s="109" t="n"/>
      <c r="L370" s="231">
        <f>IF($E370="","",DATE(YEAR($E370),MONTH($E370),1))</f>
        <v/>
      </c>
      <c r="M370" s="113">
        <f>IF($D370="","",IF($C370="TANIMSIZ MÜŞTERİ","HATA",IF(OR($E370="",$F370&lt;=0,$G370=""),"EKSİK",IF($E370&gt;TODAY(),"İLERİ TARİH","UYGUN"))))</f>
        <v/>
      </c>
      <c r="N370" s="121">
        <f>IF($C370="","",IF($C370="TANIMSIZ MÜŞTERİ","—",INDEX(MUSTERILER!$C$7:$C$106,MATCH($C370,MUSTERILER!$B$7:$B$106,0))))</f>
        <v/>
      </c>
      <c r="O370" s="6" t="n"/>
      <c r="P370" s="6" t="n"/>
      <c r="Q370" s="3">
        <f>IF($D370="","",$C370&amp;"|"&amp;COUNTIFS($C$7:$C370,$C370))</f>
        <v/>
      </c>
    </row>
    <row r="371">
      <c r="A371" s="6" t="n"/>
      <c r="B371" s="113">
        <f>IF($D371="","","T"&amp;TEXT(ROW()-6,"00000"))</f>
        <v/>
      </c>
      <c r="C371" s="113">
        <f>IF($D371="","",IFERROR(INDEX(MUSTERILER!$B$7:$B$106,MATCH($D371,MUSTERILER!$C$7:$C$106,0)),IFERROR(INDEX(MUSTERILER!$B$7:$B$106,MATCH($D371,MUSTERILER!$B$7:$B$106,0)),IFERROR(INDEX(MUSTERILER!$B$7:$B$106,MATCH($D371&amp;"*",MUSTERILER!$C$7:$C$106,0)),"TANIMSIZ MÜŞTERİ"))))</f>
        <v/>
      </c>
      <c r="D371" s="109" t="n"/>
      <c r="E371" s="225" t="n"/>
      <c r="F371" s="226" t="n"/>
      <c r="G371" s="108" t="n"/>
      <c r="H371" s="108" t="n"/>
      <c r="I371" s="109" t="n"/>
      <c r="J371" s="109" t="n"/>
      <c r="K371" s="109" t="n"/>
      <c r="L371" s="231">
        <f>IF($E371="","",DATE(YEAR($E371),MONTH($E371),1))</f>
        <v/>
      </c>
      <c r="M371" s="113">
        <f>IF($D371="","",IF($C371="TANIMSIZ MÜŞTERİ","HATA",IF(OR($E371="",$F371&lt;=0,$G371=""),"EKSİK",IF($E371&gt;TODAY(),"İLERİ TARİH","UYGUN"))))</f>
        <v/>
      </c>
      <c r="N371" s="121">
        <f>IF($C371="","",IF($C371="TANIMSIZ MÜŞTERİ","—",INDEX(MUSTERILER!$C$7:$C$106,MATCH($C371,MUSTERILER!$B$7:$B$106,0))))</f>
        <v/>
      </c>
      <c r="O371" s="6" t="n"/>
      <c r="P371" s="6" t="n"/>
      <c r="Q371" s="3">
        <f>IF($D371="","",$C371&amp;"|"&amp;COUNTIFS($C$7:$C371,$C371))</f>
        <v/>
      </c>
    </row>
    <row r="372">
      <c r="A372" s="6" t="n"/>
      <c r="B372" s="113">
        <f>IF($D372="","","T"&amp;TEXT(ROW()-6,"00000"))</f>
        <v/>
      </c>
      <c r="C372" s="113">
        <f>IF($D372="","",IFERROR(INDEX(MUSTERILER!$B$7:$B$106,MATCH($D372,MUSTERILER!$C$7:$C$106,0)),IFERROR(INDEX(MUSTERILER!$B$7:$B$106,MATCH($D372,MUSTERILER!$B$7:$B$106,0)),IFERROR(INDEX(MUSTERILER!$B$7:$B$106,MATCH($D372&amp;"*",MUSTERILER!$C$7:$C$106,0)),"TANIMSIZ MÜŞTERİ"))))</f>
        <v/>
      </c>
      <c r="D372" s="109" t="n"/>
      <c r="E372" s="225" t="n"/>
      <c r="F372" s="226" t="n"/>
      <c r="G372" s="108" t="n"/>
      <c r="H372" s="108" t="n"/>
      <c r="I372" s="109" t="n"/>
      <c r="J372" s="109" t="n"/>
      <c r="K372" s="109" t="n"/>
      <c r="L372" s="231">
        <f>IF($E372="","",DATE(YEAR($E372),MONTH($E372),1))</f>
        <v/>
      </c>
      <c r="M372" s="113">
        <f>IF($D372="","",IF($C372="TANIMSIZ MÜŞTERİ","HATA",IF(OR($E372="",$F372&lt;=0,$G372=""),"EKSİK",IF($E372&gt;TODAY(),"İLERİ TARİH","UYGUN"))))</f>
        <v/>
      </c>
      <c r="N372" s="121">
        <f>IF($C372="","",IF($C372="TANIMSIZ MÜŞTERİ","—",INDEX(MUSTERILER!$C$7:$C$106,MATCH($C372,MUSTERILER!$B$7:$B$106,0))))</f>
        <v/>
      </c>
      <c r="O372" s="6" t="n"/>
      <c r="P372" s="6" t="n"/>
      <c r="Q372" s="3">
        <f>IF($D372="","",$C372&amp;"|"&amp;COUNTIFS($C$7:$C372,$C372))</f>
        <v/>
      </c>
    </row>
    <row r="373">
      <c r="A373" s="6" t="n"/>
      <c r="B373" s="113">
        <f>IF($D373="","","T"&amp;TEXT(ROW()-6,"00000"))</f>
        <v/>
      </c>
      <c r="C373" s="113">
        <f>IF($D373="","",IFERROR(INDEX(MUSTERILER!$B$7:$B$106,MATCH($D373,MUSTERILER!$C$7:$C$106,0)),IFERROR(INDEX(MUSTERILER!$B$7:$B$106,MATCH($D373,MUSTERILER!$B$7:$B$106,0)),IFERROR(INDEX(MUSTERILER!$B$7:$B$106,MATCH($D373&amp;"*",MUSTERILER!$C$7:$C$106,0)),"TANIMSIZ MÜŞTERİ"))))</f>
        <v/>
      </c>
      <c r="D373" s="109" t="n"/>
      <c r="E373" s="225" t="n"/>
      <c r="F373" s="226" t="n"/>
      <c r="G373" s="108" t="n"/>
      <c r="H373" s="108" t="n"/>
      <c r="I373" s="109" t="n"/>
      <c r="J373" s="109" t="n"/>
      <c r="K373" s="109" t="n"/>
      <c r="L373" s="231">
        <f>IF($E373="","",DATE(YEAR($E373),MONTH($E373),1))</f>
        <v/>
      </c>
      <c r="M373" s="113">
        <f>IF($D373="","",IF($C373="TANIMSIZ MÜŞTERİ","HATA",IF(OR($E373="",$F373&lt;=0,$G373=""),"EKSİK",IF($E373&gt;TODAY(),"İLERİ TARİH","UYGUN"))))</f>
        <v/>
      </c>
      <c r="N373" s="121">
        <f>IF($C373="","",IF($C373="TANIMSIZ MÜŞTERİ","—",INDEX(MUSTERILER!$C$7:$C$106,MATCH($C373,MUSTERILER!$B$7:$B$106,0))))</f>
        <v/>
      </c>
      <c r="O373" s="6" t="n"/>
      <c r="P373" s="6" t="n"/>
      <c r="Q373" s="3">
        <f>IF($D373="","",$C373&amp;"|"&amp;COUNTIFS($C$7:$C373,$C373))</f>
        <v/>
      </c>
    </row>
    <row r="374">
      <c r="A374" s="6" t="n"/>
      <c r="B374" s="113">
        <f>IF($D374="","","T"&amp;TEXT(ROW()-6,"00000"))</f>
        <v/>
      </c>
      <c r="C374" s="113">
        <f>IF($D374="","",IFERROR(INDEX(MUSTERILER!$B$7:$B$106,MATCH($D374,MUSTERILER!$C$7:$C$106,0)),IFERROR(INDEX(MUSTERILER!$B$7:$B$106,MATCH($D374,MUSTERILER!$B$7:$B$106,0)),IFERROR(INDEX(MUSTERILER!$B$7:$B$106,MATCH($D374&amp;"*",MUSTERILER!$C$7:$C$106,0)),"TANIMSIZ MÜŞTERİ"))))</f>
        <v/>
      </c>
      <c r="D374" s="109" t="n"/>
      <c r="E374" s="225" t="n"/>
      <c r="F374" s="226" t="n"/>
      <c r="G374" s="108" t="n"/>
      <c r="H374" s="108" t="n"/>
      <c r="I374" s="109" t="n"/>
      <c r="J374" s="109" t="n"/>
      <c r="K374" s="109" t="n"/>
      <c r="L374" s="231">
        <f>IF($E374="","",DATE(YEAR($E374),MONTH($E374),1))</f>
        <v/>
      </c>
      <c r="M374" s="113">
        <f>IF($D374="","",IF($C374="TANIMSIZ MÜŞTERİ","HATA",IF(OR($E374="",$F374&lt;=0,$G374=""),"EKSİK",IF($E374&gt;TODAY(),"İLERİ TARİH","UYGUN"))))</f>
        <v/>
      </c>
      <c r="N374" s="121">
        <f>IF($C374="","",IF($C374="TANIMSIZ MÜŞTERİ","—",INDEX(MUSTERILER!$C$7:$C$106,MATCH($C374,MUSTERILER!$B$7:$B$106,0))))</f>
        <v/>
      </c>
      <c r="O374" s="6" t="n"/>
      <c r="P374" s="6" t="n"/>
      <c r="Q374" s="3">
        <f>IF($D374="","",$C374&amp;"|"&amp;COUNTIFS($C$7:$C374,$C374))</f>
        <v/>
      </c>
    </row>
    <row r="375">
      <c r="A375" s="6" t="n"/>
      <c r="B375" s="113">
        <f>IF($D375="","","T"&amp;TEXT(ROW()-6,"00000"))</f>
        <v/>
      </c>
      <c r="C375" s="113">
        <f>IF($D375="","",IFERROR(INDEX(MUSTERILER!$B$7:$B$106,MATCH($D375,MUSTERILER!$C$7:$C$106,0)),IFERROR(INDEX(MUSTERILER!$B$7:$B$106,MATCH($D375,MUSTERILER!$B$7:$B$106,0)),IFERROR(INDEX(MUSTERILER!$B$7:$B$106,MATCH($D375&amp;"*",MUSTERILER!$C$7:$C$106,0)),"TANIMSIZ MÜŞTERİ"))))</f>
        <v/>
      </c>
      <c r="D375" s="109" t="n"/>
      <c r="E375" s="225" t="n"/>
      <c r="F375" s="226" t="n"/>
      <c r="G375" s="108" t="n"/>
      <c r="H375" s="108" t="n"/>
      <c r="I375" s="109" t="n"/>
      <c r="J375" s="109" t="n"/>
      <c r="K375" s="109" t="n"/>
      <c r="L375" s="231">
        <f>IF($E375="","",DATE(YEAR($E375),MONTH($E375),1))</f>
        <v/>
      </c>
      <c r="M375" s="113">
        <f>IF($D375="","",IF($C375="TANIMSIZ MÜŞTERİ","HATA",IF(OR($E375="",$F375&lt;=0,$G375=""),"EKSİK",IF($E375&gt;TODAY(),"İLERİ TARİH","UYGUN"))))</f>
        <v/>
      </c>
      <c r="N375" s="121">
        <f>IF($C375="","",IF($C375="TANIMSIZ MÜŞTERİ","—",INDEX(MUSTERILER!$C$7:$C$106,MATCH($C375,MUSTERILER!$B$7:$B$106,0))))</f>
        <v/>
      </c>
      <c r="O375" s="6" t="n"/>
      <c r="P375" s="6" t="n"/>
      <c r="Q375" s="3">
        <f>IF($D375="","",$C375&amp;"|"&amp;COUNTIFS($C$7:$C375,$C375))</f>
        <v/>
      </c>
    </row>
    <row r="376">
      <c r="A376" s="6" t="n"/>
      <c r="B376" s="113">
        <f>IF($D376="","","T"&amp;TEXT(ROW()-6,"00000"))</f>
        <v/>
      </c>
      <c r="C376" s="113">
        <f>IF($D376="","",IFERROR(INDEX(MUSTERILER!$B$7:$B$106,MATCH($D376,MUSTERILER!$C$7:$C$106,0)),IFERROR(INDEX(MUSTERILER!$B$7:$B$106,MATCH($D376,MUSTERILER!$B$7:$B$106,0)),IFERROR(INDEX(MUSTERILER!$B$7:$B$106,MATCH($D376&amp;"*",MUSTERILER!$C$7:$C$106,0)),"TANIMSIZ MÜŞTERİ"))))</f>
        <v/>
      </c>
      <c r="D376" s="109" t="n"/>
      <c r="E376" s="225" t="n"/>
      <c r="F376" s="226" t="n"/>
      <c r="G376" s="108" t="n"/>
      <c r="H376" s="108" t="n"/>
      <c r="I376" s="109" t="n"/>
      <c r="J376" s="109" t="n"/>
      <c r="K376" s="109" t="n"/>
      <c r="L376" s="231">
        <f>IF($E376="","",DATE(YEAR($E376),MONTH($E376),1))</f>
        <v/>
      </c>
      <c r="M376" s="113">
        <f>IF($D376="","",IF($C376="TANIMSIZ MÜŞTERİ","HATA",IF(OR($E376="",$F376&lt;=0,$G376=""),"EKSİK",IF($E376&gt;TODAY(),"İLERİ TARİH","UYGUN"))))</f>
        <v/>
      </c>
      <c r="N376" s="121">
        <f>IF($C376="","",IF($C376="TANIMSIZ MÜŞTERİ","—",INDEX(MUSTERILER!$C$7:$C$106,MATCH($C376,MUSTERILER!$B$7:$B$106,0))))</f>
        <v/>
      </c>
      <c r="O376" s="6" t="n"/>
      <c r="P376" s="6" t="n"/>
      <c r="Q376" s="3">
        <f>IF($D376="","",$C376&amp;"|"&amp;COUNTIFS($C$7:$C376,$C376))</f>
        <v/>
      </c>
    </row>
    <row r="377">
      <c r="A377" s="6" t="n"/>
      <c r="B377" s="113">
        <f>IF($D377="","","T"&amp;TEXT(ROW()-6,"00000"))</f>
        <v/>
      </c>
      <c r="C377" s="113">
        <f>IF($D377="","",IFERROR(INDEX(MUSTERILER!$B$7:$B$106,MATCH($D377,MUSTERILER!$C$7:$C$106,0)),IFERROR(INDEX(MUSTERILER!$B$7:$B$106,MATCH($D377,MUSTERILER!$B$7:$B$106,0)),IFERROR(INDEX(MUSTERILER!$B$7:$B$106,MATCH($D377&amp;"*",MUSTERILER!$C$7:$C$106,0)),"TANIMSIZ MÜŞTERİ"))))</f>
        <v/>
      </c>
      <c r="D377" s="109" t="n"/>
      <c r="E377" s="225" t="n"/>
      <c r="F377" s="226" t="n"/>
      <c r="G377" s="108" t="n"/>
      <c r="H377" s="108" t="n"/>
      <c r="I377" s="109" t="n"/>
      <c r="J377" s="109" t="n"/>
      <c r="K377" s="109" t="n"/>
      <c r="L377" s="231">
        <f>IF($E377="","",DATE(YEAR($E377),MONTH($E377),1))</f>
        <v/>
      </c>
      <c r="M377" s="113">
        <f>IF($D377="","",IF($C377="TANIMSIZ MÜŞTERİ","HATA",IF(OR($E377="",$F377&lt;=0,$G377=""),"EKSİK",IF($E377&gt;TODAY(),"İLERİ TARİH","UYGUN"))))</f>
        <v/>
      </c>
      <c r="N377" s="121">
        <f>IF($C377="","",IF($C377="TANIMSIZ MÜŞTERİ","—",INDEX(MUSTERILER!$C$7:$C$106,MATCH($C377,MUSTERILER!$B$7:$B$106,0))))</f>
        <v/>
      </c>
      <c r="O377" s="6" t="n"/>
      <c r="P377" s="6" t="n"/>
      <c r="Q377" s="3">
        <f>IF($D377="","",$C377&amp;"|"&amp;COUNTIFS($C$7:$C377,$C377))</f>
        <v/>
      </c>
    </row>
    <row r="378">
      <c r="A378" s="6" t="n"/>
      <c r="B378" s="113">
        <f>IF($D378="","","T"&amp;TEXT(ROW()-6,"00000"))</f>
        <v/>
      </c>
      <c r="C378" s="113">
        <f>IF($D378="","",IFERROR(INDEX(MUSTERILER!$B$7:$B$106,MATCH($D378,MUSTERILER!$C$7:$C$106,0)),IFERROR(INDEX(MUSTERILER!$B$7:$B$106,MATCH($D378,MUSTERILER!$B$7:$B$106,0)),IFERROR(INDEX(MUSTERILER!$B$7:$B$106,MATCH($D378&amp;"*",MUSTERILER!$C$7:$C$106,0)),"TANIMSIZ MÜŞTERİ"))))</f>
        <v/>
      </c>
      <c r="D378" s="109" t="n"/>
      <c r="E378" s="225" t="n"/>
      <c r="F378" s="226" t="n"/>
      <c r="G378" s="108" t="n"/>
      <c r="H378" s="108" t="n"/>
      <c r="I378" s="109" t="n"/>
      <c r="J378" s="109" t="n"/>
      <c r="K378" s="109" t="n"/>
      <c r="L378" s="231">
        <f>IF($E378="","",DATE(YEAR($E378),MONTH($E378),1))</f>
        <v/>
      </c>
      <c r="M378" s="113">
        <f>IF($D378="","",IF($C378="TANIMSIZ MÜŞTERİ","HATA",IF(OR($E378="",$F378&lt;=0,$G378=""),"EKSİK",IF($E378&gt;TODAY(),"İLERİ TARİH","UYGUN"))))</f>
        <v/>
      </c>
      <c r="N378" s="121">
        <f>IF($C378="","",IF($C378="TANIMSIZ MÜŞTERİ","—",INDEX(MUSTERILER!$C$7:$C$106,MATCH($C378,MUSTERILER!$B$7:$B$106,0))))</f>
        <v/>
      </c>
      <c r="O378" s="6" t="n"/>
      <c r="P378" s="6" t="n"/>
      <c r="Q378" s="3">
        <f>IF($D378="","",$C378&amp;"|"&amp;COUNTIFS($C$7:$C378,$C378))</f>
        <v/>
      </c>
    </row>
    <row r="379">
      <c r="A379" s="6" t="n"/>
      <c r="B379" s="113">
        <f>IF($D379="","","T"&amp;TEXT(ROW()-6,"00000"))</f>
        <v/>
      </c>
      <c r="C379" s="113">
        <f>IF($D379="","",IFERROR(INDEX(MUSTERILER!$B$7:$B$106,MATCH($D379,MUSTERILER!$C$7:$C$106,0)),IFERROR(INDEX(MUSTERILER!$B$7:$B$106,MATCH($D379,MUSTERILER!$B$7:$B$106,0)),IFERROR(INDEX(MUSTERILER!$B$7:$B$106,MATCH($D379&amp;"*",MUSTERILER!$C$7:$C$106,0)),"TANIMSIZ MÜŞTERİ"))))</f>
        <v/>
      </c>
      <c r="D379" s="109" t="n"/>
      <c r="E379" s="225" t="n"/>
      <c r="F379" s="226" t="n"/>
      <c r="G379" s="108" t="n"/>
      <c r="H379" s="108" t="n"/>
      <c r="I379" s="109" t="n"/>
      <c r="J379" s="109" t="n"/>
      <c r="K379" s="109" t="n"/>
      <c r="L379" s="231">
        <f>IF($E379="","",DATE(YEAR($E379),MONTH($E379),1))</f>
        <v/>
      </c>
      <c r="M379" s="113">
        <f>IF($D379="","",IF($C379="TANIMSIZ MÜŞTERİ","HATA",IF(OR($E379="",$F379&lt;=0,$G379=""),"EKSİK",IF($E379&gt;TODAY(),"İLERİ TARİH","UYGUN"))))</f>
        <v/>
      </c>
      <c r="N379" s="121">
        <f>IF($C379="","",IF($C379="TANIMSIZ MÜŞTERİ","—",INDEX(MUSTERILER!$C$7:$C$106,MATCH($C379,MUSTERILER!$B$7:$B$106,0))))</f>
        <v/>
      </c>
      <c r="O379" s="6" t="n"/>
      <c r="P379" s="6" t="n"/>
      <c r="Q379" s="3">
        <f>IF($D379="","",$C379&amp;"|"&amp;COUNTIFS($C$7:$C379,$C379))</f>
        <v/>
      </c>
    </row>
    <row r="380">
      <c r="A380" s="6" t="n"/>
      <c r="B380" s="113">
        <f>IF($D380="","","T"&amp;TEXT(ROW()-6,"00000"))</f>
        <v/>
      </c>
      <c r="C380" s="113">
        <f>IF($D380="","",IFERROR(INDEX(MUSTERILER!$B$7:$B$106,MATCH($D380,MUSTERILER!$C$7:$C$106,0)),IFERROR(INDEX(MUSTERILER!$B$7:$B$106,MATCH($D380,MUSTERILER!$B$7:$B$106,0)),IFERROR(INDEX(MUSTERILER!$B$7:$B$106,MATCH($D380&amp;"*",MUSTERILER!$C$7:$C$106,0)),"TANIMSIZ MÜŞTERİ"))))</f>
        <v/>
      </c>
      <c r="D380" s="109" t="n"/>
      <c r="E380" s="225" t="n"/>
      <c r="F380" s="226" t="n"/>
      <c r="G380" s="108" t="n"/>
      <c r="H380" s="108" t="n"/>
      <c r="I380" s="109" t="n"/>
      <c r="J380" s="109" t="n"/>
      <c r="K380" s="109" t="n"/>
      <c r="L380" s="231">
        <f>IF($E380="","",DATE(YEAR($E380),MONTH($E380),1))</f>
        <v/>
      </c>
      <c r="M380" s="113">
        <f>IF($D380="","",IF($C380="TANIMSIZ MÜŞTERİ","HATA",IF(OR($E380="",$F380&lt;=0,$G380=""),"EKSİK",IF($E380&gt;TODAY(),"İLERİ TARİH","UYGUN"))))</f>
        <v/>
      </c>
      <c r="N380" s="121">
        <f>IF($C380="","",IF($C380="TANIMSIZ MÜŞTERİ","—",INDEX(MUSTERILER!$C$7:$C$106,MATCH($C380,MUSTERILER!$B$7:$B$106,0))))</f>
        <v/>
      </c>
      <c r="O380" s="6" t="n"/>
      <c r="P380" s="6" t="n"/>
      <c r="Q380" s="3">
        <f>IF($D380="","",$C380&amp;"|"&amp;COUNTIFS($C$7:$C380,$C380))</f>
        <v/>
      </c>
    </row>
    <row r="381">
      <c r="A381" s="6" t="n"/>
      <c r="B381" s="113">
        <f>IF($D381="","","T"&amp;TEXT(ROW()-6,"00000"))</f>
        <v/>
      </c>
      <c r="C381" s="113">
        <f>IF($D381="","",IFERROR(INDEX(MUSTERILER!$B$7:$B$106,MATCH($D381,MUSTERILER!$C$7:$C$106,0)),IFERROR(INDEX(MUSTERILER!$B$7:$B$106,MATCH($D381,MUSTERILER!$B$7:$B$106,0)),IFERROR(INDEX(MUSTERILER!$B$7:$B$106,MATCH($D381&amp;"*",MUSTERILER!$C$7:$C$106,0)),"TANIMSIZ MÜŞTERİ"))))</f>
        <v/>
      </c>
      <c r="D381" s="109" t="n"/>
      <c r="E381" s="225" t="n"/>
      <c r="F381" s="226" t="n"/>
      <c r="G381" s="108" t="n"/>
      <c r="H381" s="108" t="n"/>
      <c r="I381" s="109" t="n"/>
      <c r="J381" s="109" t="n"/>
      <c r="K381" s="109" t="n"/>
      <c r="L381" s="231">
        <f>IF($E381="","",DATE(YEAR($E381),MONTH($E381),1))</f>
        <v/>
      </c>
      <c r="M381" s="113">
        <f>IF($D381="","",IF($C381="TANIMSIZ MÜŞTERİ","HATA",IF(OR($E381="",$F381&lt;=0,$G381=""),"EKSİK",IF($E381&gt;TODAY(),"İLERİ TARİH","UYGUN"))))</f>
        <v/>
      </c>
      <c r="N381" s="121">
        <f>IF($C381="","",IF($C381="TANIMSIZ MÜŞTERİ","—",INDEX(MUSTERILER!$C$7:$C$106,MATCH($C381,MUSTERILER!$B$7:$B$106,0))))</f>
        <v/>
      </c>
      <c r="O381" s="6" t="n"/>
      <c r="P381" s="6" t="n"/>
      <c r="Q381" s="3">
        <f>IF($D381="","",$C381&amp;"|"&amp;COUNTIFS($C$7:$C381,$C381))</f>
        <v/>
      </c>
    </row>
    <row r="382">
      <c r="A382" s="6" t="n"/>
      <c r="B382" s="113">
        <f>IF($D382="","","T"&amp;TEXT(ROW()-6,"00000"))</f>
        <v/>
      </c>
      <c r="C382" s="113">
        <f>IF($D382="","",IFERROR(INDEX(MUSTERILER!$B$7:$B$106,MATCH($D382,MUSTERILER!$C$7:$C$106,0)),IFERROR(INDEX(MUSTERILER!$B$7:$B$106,MATCH($D382,MUSTERILER!$B$7:$B$106,0)),IFERROR(INDEX(MUSTERILER!$B$7:$B$106,MATCH($D382&amp;"*",MUSTERILER!$C$7:$C$106,0)),"TANIMSIZ MÜŞTERİ"))))</f>
        <v/>
      </c>
      <c r="D382" s="109" t="n"/>
      <c r="E382" s="225" t="n"/>
      <c r="F382" s="226" t="n"/>
      <c r="G382" s="108" t="n"/>
      <c r="H382" s="108" t="n"/>
      <c r="I382" s="109" t="n"/>
      <c r="J382" s="109" t="n"/>
      <c r="K382" s="109" t="n"/>
      <c r="L382" s="231">
        <f>IF($E382="","",DATE(YEAR($E382),MONTH($E382),1))</f>
        <v/>
      </c>
      <c r="M382" s="113">
        <f>IF($D382="","",IF($C382="TANIMSIZ MÜŞTERİ","HATA",IF(OR($E382="",$F382&lt;=0,$G382=""),"EKSİK",IF($E382&gt;TODAY(),"İLERİ TARİH","UYGUN"))))</f>
        <v/>
      </c>
      <c r="N382" s="121">
        <f>IF($C382="","",IF($C382="TANIMSIZ MÜŞTERİ","—",INDEX(MUSTERILER!$C$7:$C$106,MATCH($C382,MUSTERILER!$B$7:$B$106,0))))</f>
        <v/>
      </c>
      <c r="O382" s="6" t="n"/>
      <c r="P382" s="6" t="n"/>
      <c r="Q382" s="3">
        <f>IF($D382="","",$C382&amp;"|"&amp;COUNTIFS($C$7:$C382,$C382))</f>
        <v/>
      </c>
    </row>
    <row r="383">
      <c r="A383" s="6" t="n"/>
      <c r="B383" s="113">
        <f>IF($D383="","","T"&amp;TEXT(ROW()-6,"00000"))</f>
        <v/>
      </c>
      <c r="C383" s="113">
        <f>IF($D383="","",IFERROR(INDEX(MUSTERILER!$B$7:$B$106,MATCH($D383,MUSTERILER!$C$7:$C$106,0)),IFERROR(INDEX(MUSTERILER!$B$7:$B$106,MATCH($D383,MUSTERILER!$B$7:$B$106,0)),IFERROR(INDEX(MUSTERILER!$B$7:$B$106,MATCH($D383&amp;"*",MUSTERILER!$C$7:$C$106,0)),"TANIMSIZ MÜŞTERİ"))))</f>
        <v/>
      </c>
      <c r="D383" s="109" t="n"/>
      <c r="E383" s="225" t="n"/>
      <c r="F383" s="226" t="n"/>
      <c r="G383" s="108" t="n"/>
      <c r="H383" s="108" t="n"/>
      <c r="I383" s="109" t="n"/>
      <c r="J383" s="109" t="n"/>
      <c r="K383" s="109" t="n"/>
      <c r="L383" s="231">
        <f>IF($E383="","",DATE(YEAR($E383),MONTH($E383),1))</f>
        <v/>
      </c>
      <c r="M383" s="113">
        <f>IF($D383="","",IF($C383="TANIMSIZ MÜŞTERİ","HATA",IF(OR($E383="",$F383&lt;=0,$G383=""),"EKSİK",IF($E383&gt;TODAY(),"İLERİ TARİH","UYGUN"))))</f>
        <v/>
      </c>
      <c r="N383" s="121">
        <f>IF($C383="","",IF($C383="TANIMSIZ MÜŞTERİ","—",INDEX(MUSTERILER!$C$7:$C$106,MATCH($C383,MUSTERILER!$B$7:$B$106,0))))</f>
        <v/>
      </c>
      <c r="O383" s="6" t="n"/>
      <c r="P383" s="6" t="n"/>
      <c r="Q383" s="3">
        <f>IF($D383="","",$C383&amp;"|"&amp;COUNTIFS($C$7:$C383,$C383))</f>
        <v/>
      </c>
    </row>
    <row r="384">
      <c r="A384" s="6" t="n"/>
      <c r="B384" s="113">
        <f>IF($D384="","","T"&amp;TEXT(ROW()-6,"00000"))</f>
        <v/>
      </c>
      <c r="C384" s="113">
        <f>IF($D384="","",IFERROR(INDEX(MUSTERILER!$B$7:$B$106,MATCH($D384,MUSTERILER!$C$7:$C$106,0)),IFERROR(INDEX(MUSTERILER!$B$7:$B$106,MATCH($D384,MUSTERILER!$B$7:$B$106,0)),IFERROR(INDEX(MUSTERILER!$B$7:$B$106,MATCH($D384&amp;"*",MUSTERILER!$C$7:$C$106,0)),"TANIMSIZ MÜŞTERİ"))))</f>
        <v/>
      </c>
      <c r="D384" s="109" t="n"/>
      <c r="E384" s="225" t="n"/>
      <c r="F384" s="226" t="n"/>
      <c r="G384" s="108" t="n"/>
      <c r="H384" s="108" t="n"/>
      <c r="I384" s="109" t="n"/>
      <c r="J384" s="109" t="n"/>
      <c r="K384" s="109" t="n"/>
      <c r="L384" s="231">
        <f>IF($E384="","",DATE(YEAR($E384),MONTH($E384),1))</f>
        <v/>
      </c>
      <c r="M384" s="113">
        <f>IF($D384="","",IF($C384="TANIMSIZ MÜŞTERİ","HATA",IF(OR($E384="",$F384&lt;=0,$G384=""),"EKSİK",IF($E384&gt;TODAY(),"İLERİ TARİH","UYGUN"))))</f>
        <v/>
      </c>
      <c r="N384" s="121">
        <f>IF($C384="","",IF($C384="TANIMSIZ MÜŞTERİ","—",INDEX(MUSTERILER!$C$7:$C$106,MATCH($C384,MUSTERILER!$B$7:$B$106,0))))</f>
        <v/>
      </c>
      <c r="O384" s="6" t="n"/>
      <c r="P384" s="6" t="n"/>
      <c r="Q384" s="3">
        <f>IF($D384="","",$C384&amp;"|"&amp;COUNTIFS($C$7:$C384,$C384))</f>
        <v/>
      </c>
    </row>
    <row r="385">
      <c r="A385" s="6" t="n"/>
      <c r="B385" s="113">
        <f>IF($D385="","","T"&amp;TEXT(ROW()-6,"00000"))</f>
        <v/>
      </c>
      <c r="C385" s="113">
        <f>IF($D385="","",IFERROR(INDEX(MUSTERILER!$B$7:$B$106,MATCH($D385,MUSTERILER!$C$7:$C$106,0)),IFERROR(INDEX(MUSTERILER!$B$7:$B$106,MATCH($D385,MUSTERILER!$B$7:$B$106,0)),IFERROR(INDEX(MUSTERILER!$B$7:$B$106,MATCH($D385&amp;"*",MUSTERILER!$C$7:$C$106,0)),"TANIMSIZ MÜŞTERİ"))))</f>
        <v/>
      </c>
      <c r="D385" s="109" t="n"/>
      <c r="E385" s="225" t="n"/>
      <c r="F385" s="226" t="n"/>
      <c r="G385" s="108" t="n"/>
      <c r="H385" s="108" t="n"/>
      <c r="I385" s="109" t="n"/>
      <c r="J385" s="109" t="n"/>
      <c r="K385" s="109" t="n"/>
      <c r="L385" s="231">
        <f>IF($E385="","",DATE(YEAR($E385),MONTH($E385),1))</f>
        <v/>
      </c>
      <c r="M385" s="113">
        <f>IF($D385="","",IF($C385="TANIMSIZ MÜŞTERİ","HATA",IF(OR($E385="",$F385&lt;=0,$G385=""),"EKSİK",IF($E385&gt;TODAY(),"İLERİ TARİH","UYGUN"))))</f>
        <v/>
      </c>
      <c r="N385" s="121">
        <f>IF($C385="","",IF($C385="TANIMSIZ MÜŞTERİ","—",INDEX(MUSTERILER!$C$7:$C$106,MATCH($C385,MUSTERILER!$B$7:$B$106,0))))</f>
        <v/>
      </c>
      <c r="O385" s="6" t="n"/>
      <c r="P385" s="6" t="n"/>
      <c r="Q385" s="3">
        <f>IF($D385="","",$C385&amp;"|"&amp;COUNTIFS($C$7:$C385,$C385))</f>
        <v/>
      </c>
    </row>
    <row r="386">
      <c r="A386" s="6" t="n"/>
      <c r="B386" s="113">
        <f>IF($D386="","","T"&amp;TEXT(ROW()-6,"00000"))</f>
        <v/>
      </c>
      <c r="C386" s="113">
        <f>IF($D386="","",IFERROR(INDEX(MUSTERILER!$B$7:$B$106,MATCH($D386,MUSTERILER!$C$7:$C$106,0)),IFERROR(INDEX(MUSTERILER!$B$7:$B$106,MATCH($D386,MUSTERILER!$B$7:$B$106,0)),IFERROR(INDEX(MUSTERILER!$B$7:$B$106,MATCH($D386&amp;"*",MUSTERILER!$C$7:$C$106,0)),"TANIMSIZ MÜŞTERİ"))))</f>
        <v/>
      </c>
      <c r="D386" s="109" t="n"/>
      <c r="E386" s="225" t="n"/>
      <c r="F386" s="226" t="n"/>
      <c r="G386" s="108" t="n"/>
      <c r="H386" s="108" t="n"/>
      <c r="I386" s="109" t="n"/>
      <c r="J386" s="109" t="n"/>
      <c r="K386" s="109" t="n"/>
      <c r="L386" s="231">
        <f>IF($E386="","",DATE(YEAR($E386),MONTH($E386),1))</f>
        <v/>
      </c>
      <c r="M386" s="113">
        <f>IF($D386="","",IF($C386="TANIMSIZ MÜŞTERİ","HATA",IF(OR($E386="",$F386&lt;=0,$G386=""),"EKSİK",IF($E386&gt;TODAY(),"İLERİ TARİH","UYGUN"))))</f>
        <v/>
      </c>
      <c r="N386" s="121">
        <f>IF($C386="","",IF($C386="TANIMSIZ MÜŞTERİ","—",INDEX(MUSTERILER!$C$7:$C$106,MATCH($C386,MUSTERILER!$B$7:$B$106,0))))</f>
        <v/>
      </c>
      <c r="O386" s="6" t="n"/>
      <c r="P386" s="6" t="n"/>
      <c r="Q386" s="3">
        <f>IF($D386="","",$C386&amp;"|"&amp;COUNTIFS($C$7:$C386,$C386))</f>
        <v/>
      </c>
    </row>
    <row r="387">
      <c r="A387" s="6" t="n"/>
      <c r="B387" s="113">
        <f>IF($D387="","","T"&amp;TEXT(ROW()-6,"00000"))</f>
        <v/>
      </c>
      <c r="C387" s="113">
        <f>IF($D387="","",IFERROR(INDEX(MUSTERILER!$B$7:$B$106,MATCH($D387,MUSTERILER!$C$7:$C$106,0)),IFERROR(INDEX(MUSTERILER!$B$7:$B$106,MATCH($D387,MUSTERILER!$B$7:$B$106,0)),IFERROR(INDEX(MUSTERILER!$B$7:$B$106,MATCH($D387&amp;"*",MUSTERILER!$C$7:$C$106,0)),"TANIMSIZ MÜŞTERİ"))))</f>
        <v/>
      </c>
      <c r="D387" s="109" t="n"/>
      <c r="E387" s="225" t="n"/>
      <c r="F387" s="226" t="n"/>
      <c r="G387" s="108" t="n"/>
      <c r="H387" s="108" t="n"/>
      <c r="I387" s="109" t="n"/>
      <c r="J387" s="109" t="n"/>
      <c r="K387" s="109" t="n"/>
      <c r="L387" s="231">
        <f>IF($E387="","",DATE(YEAR($E387),MONTH($E387),1))</f>
        <v/>
      </c>
      <c r="M387" s="113">
        <f>IF($D387="","",IF($C387="TANIMSIZ MÜŞTERİ","HATA",IF(OR($E387="",$F387&lt;=0,$G387=""),"EKSİK",IF($E387&gt;TODAY(),"İLERİ TARİH","UYGUN"))))</f>
        <v/>
      </c>
      <c r="N387" s="121">
        <f>IF($C387="","",IF($C387="TANIMSIZ MÜŞTERİ","—",INDEX(MUSTERILER!$C$7:$C$106,MATCH($C387,MUSTERILER!$B$7:$B$106,0))))</f>
        <v/>
      </c>
      <c r="O387" s="6" t="n"/>
      <c r="P387" s="6" t="n"/>
      <c r="Q387" s="3">
        <f>IF($D387="","",$C387&amp;"|"&amp;COUNTIFS($C$7:$C387,$C387))</f>
        <v/>
      </c>
    </row>
    <row r="388">
      <c r="A388" s="6" t="n"/>
      <c r="B388" s="113">
        <f>IF($D388="","","T"&amp;TEXT(ROW()-6,"00000"))</f>
        <v/>
      </c>
      <c r="C388" s="113">
        <f>IF($D388="","",IFERROR(INDEX(MUSTERILER!$B$7:$B$106,MATCH($D388,MUSTERILER!$C$7:$C$106,0)),IFERROR(INDEX(MUSTERILER!$B$7:$B$106,MATCH($D388,MUSTERILER!$B$7:$B$106,0)),IFERROR(INDEX(MUSTERILER!$B$7:$B$106,MATCH($D388&amp;"*",MUSTERILER!$C$7:$C$106,0)),"TANIMSIZ MÜŞTERİ"))))</f>
        <v/>
      </c>
      <c r="D388" s="109" t="n"/>
      <c r="E388" s="225" t="n"/>
      <c r="F388" s="226" t="n"/>
      <c r="G388" s="108" t="n"/>
      <c r="H388" s="108" t="n"/>
      <c r="I388" s="109" t="n"/>
      <c r="J388" s="109" t="n"/>
      <c r="K388" s="109" t="n"/>
      <c r="L388" s="231">
        <f>IF($E388="","",DATE(YEAR($E388),MONTH($E388),1))</f>
        <v/>
      </c>
      <c r="M388" s="113">
        <f>IF($D388="","",IF($C388="TANIMSIZ MÜŞTERİ","HATA",IF(OR($E388="",$F388&lt;=0,$G388=""),"EKSİK",IF($E388&gt;TODAY(),"İLERİ TARİH","UYGUN"))))</f>
        <v/>
      </c>
      <c r="N388" s="121">
        <f>IF($C388="","",IF($C388="TANIMSIZ MÜŞTERİ","—",INDEX(MUSTERILER!$C$7:$C$106,MATCH($C388,MUSTERILER!$B$7:$B$106,0))))</f>
        <v/>
      </c>
      <c r="O388" s="6" t="n"/>
      <c r="P388" s="6" t="n"/>
      <c r="Q388" s="3">
        <f>IF($D388="","",$C388&amp;"|"&amp;COUNTIFS($C$7:$C388,$C388))</f>
        <v/>
      </c>
    </row>
    <row r="389">
      <c r="A389" s="6" t="n"/>
      <c r="B389" s="113">
        <f>IF($D389="","","T"&amp;TEXT(ROW()-6,"00000"))</f>
        <v/>
      </c>
      <c r="C389" s="113">
        <f>IF($D389="","",IFERROR(INDEX(MUSTERILER!$B$7:$B$106,MATCH($D389,MUSTERILER!$C$7:$C$106,0)),IFERROR(INDEX(MUSTERILER!$B$7:$B$106,MATCH($D389,MUSTERILER!$B$7:$B$106,0)),IFERROR(INDEX(MUSTERILER!$B$7:$B$106,MATCH($D389&amp;"*",MUSTERILER!$C$7:$C$106,0)),"TANIMSIZ MÜŞTERİ"))))</f>
        <v/>
      </c>
      <c r="D389" s="109" t="n"/>
      <c r="E389" s="225" t="n"/>
      <c r="F389" s="226" t="n"/>
      <c r="G389" s="108" t="n"/>
      <c r="H389" s="108" t="n"/>
      <c r="I389" s="109" t="n"/>
      <c r="J389" s="109" t="n"/>
      <c r="K389" s="109" t="n"/>
      <c r="L389" s="231">
        <f>IF($E389="","",DATE(YEAR($E389),MONTH($E389),1))</f>
        <v/>
      </c>
      <c r="M389" s="113">
        <f>IF($D389="","",IF($C389="TANIMSIZ MÜŞTERİ","HATA",IF(OR($E389="",$F389&lt;=0,$G389=""),"EKSİK",IF($E389&gt;TODAY(),"İLERİ TARİH","UYGUN"))))</f>
        <v/>
      </c>
      <c r="N389" s="121">
        <f>IF($C389="","",IF($C389="TANIMSIZ MÜŞTERİ","—",INDEX(MUSTERILER!$C$7:$C$106,MATCH($C389,MUSTERILER!$B$7:$B$106,0))))</f>
        <v/>
      </c>
      <c r="O389" s="6" t="n"/>
      <c r="P389" s="6" t="n"/>
      <c r="Q389" s="3">
        <f>IF($D389="","",$C389&amp;"|"&amp;COUNTIFS($C$7:$C389,$C389))</f>
        <v/>
      </c>
    </row>
    <row r="390">
      <c r="A390" s="6" t="n"/>
      <c r="B390" s="113">
        <f>IF($D390="","","T"&amp;TEXT(ROW()-6,"00000"))</f>
        <v/>
      </c>
      <c r="C390" s="113">
        <f>IF($D390="","",IFERROR(INDEX(MUSTERILER!$B$7:$B$106,MATCH($D390,MUSTERILER!$C$7:$C$106,0)),IFERROR(INDEX(MUSTERILER!$B$7:$B$106,MATCH($D390,MUSTERILER!$B$7:$B$106,0)),IFERROR(INDEX(MUSTERILER!$B$7:$B$106,MATCH($D390&amp;"*",MUSTERILER!$C$7:$C$106,0)),"TANIMSIZ MÜŞTERİ"))))</f>
        <v/>
      </c>
      <c r="D390" s="109" t="n"/>
      <c r="E390" s="225" t="n"/>
      <c r="F390" s="226" t="n"/>
      <c r="G390" s="108" t="n"/>
      <c r="H390" s="108" t="n"/>
      <c r="I390" s="109" t="n"/>
      <c r="J390" s="109" t="n"/>
      <c r="K390" s="109" t="n"/>
      <c r="L390" s="231">
        <f>IF($E390="","",DATE(YEAR($E390),MONTH($E390),1))</f>
        <v/>
      </c>
      <c r="M390" s="113">
        <f>IF($D390="","",IF($C390="TANIMSIZ MÜŞTERİ","HATA",IF(OR($E390="",$F390&lt;=0,$G390=""),"EKSİK",IF($E390&gt;TODAY(),"İLERİ TARİH","UYGUN"))))</f>
        <v/>
      </c>
      <c r="N390" s="121">
        <f>IF($C390="","",IF($C390="TANIMSIZ MÜŞTERİ","—",INDEX(MUSTERILER!$C$7:$C$106,MATCH($C390,MUSTERILER!$B$7:$B$106,0))))</f>
        <v/>
      </c>
      <c r="O390" s="6" t="n"/>
      <c r="P390" s="6" t="n"/>
      <c r="Q390" s="3">
        <f>IF($D390="","",$C390&amp;"|"&amp;COUNTIFS($C$7:$C390,$C390))</f>
        <v/>
      </c>
    </row>
    <row r="391">
      <c r="A391" s="6" t="n"/>
      <c r="B391" s="113">
        <f>IF($D391="","","T"&amp;TEXT(ROW()-6,"00000"))</f>
        <v/>
      </c>
      <c r="C391" s="113">
        <f>IF($D391="","",IFERROR(INDEX(MUSTERILER!$B$7:$B$106,MATCH($D391,MUSTERILER!$C$7:$C$106,0)),IFERROR(INDEX(MUSTERILER!$B$7:$B$106,MATCH($D391,MUSTERILER!$B$7:$B$106,0)),IFERROR(INDEX(MUSTERILER!$B$7:$B$106,MATCH($D391&amp;"*",MUSTERILER!$C$7:$C$106,0)),"TANIMSIZ MÜŞTERİ"))))</f>
        <v/>
      </c>
      <c r="D391" s="109" t="n"/>
      <c r="E391" s="225" t="n"/>
      <c r="F391" s="226" t="n"/>
      <c r="G391" s="108" t="n"/>
      <c r="H391" s="108" t="n"/>
      <c r="I391" s="109" t="n"/>
      <c r="J391" s="109" t="n"/>
      <c r="K391" s="109" t="n"/>
      <c r="L391" s="231">
        <f>IF($E391="","",DATE(YEAR($E391),MONTH($E391),1))</f>
        <v/>
      </c>
      <c r="M391" s="113">
        <f>IF($D391="","",IF($C391="TANIMSIZ MÜŞTERİ","HATA",IF(OR($E391="",$F391&lt;=0,$G391=""),"EKSİK",IF($E391&gt;TODAY(),"İLERİ TARİH","UYGUN"))))</f>
        <v/>
      </c>
      <c r="N391" s="121">
        <f>IF($C391="","",IF($C391="TANIMSIZ MÜŞTERİ","—",INDEX(MUSTERILER!$C$7:$C$106,MATCH($C391,MUSTERILER!$B$7:$B$106,0))))</f>
        <v/>
      </c>
      <c r="O391" s="6" t="n"/>
      <c r="P391" s="6" t="n"/>
      <c r="Q391" s="3">
        <f>IF($D391="","",$C391&amp;"|"&amp;COUNTIFS($C$7:$C391,$C391))</f>
        <v/>
      </c>
    </row>
    <row r="392">
      <c r="A392" s="6" t="n"/>
      <c r="B392" s="113">
        <f>IF($D392="","","T"&amp;TEXT(ROW()-6,"00000"))</f>
        <v/>
      </c>
      <c r="C392" s="113">
        <f>IF($D392="","",IFERROR(INDEX(MUSTERILER!$B$7:$B$106,MATCH($D392,MUSTERILER!$C$7:$C$106,0)),IFERROR(INDEX(MUSTERILER!$B$7:$B$106,MATCH($D392,MUSTERILER!$B$7:$B$106,0)),IFERROR(INDEX(MUSTERILER!$B$7:$B$106,MATCH($D392&amp;"*",MUSTERILER!$C$7:$C$106,0)),"TANIMSIZ MÜŞTERİ"))))</f>
        <v/>
      </c>
      <c r="D392" s="109" t="n"/>
      <c r="E392" s="225" t="n"/>
      <c r="F392" s="226" t="n"/>
      <c r="G392" s="108" t="n"/>
      <c r="H392" s="108" t="n"/>
      <c r="I392" s="109" t="n"/>
      <c r="J392" s="109" t="n"/>
      <c r="K392" s="109" t="n"/>
      <c r="L392" s="231">
        <f>IF($E392="","",DATE(YEAR($E392),MONTH($E392),1))</f>
        <v/>
      </c>
      <c r="M392" s="113">
        <f>IF($D392="","",IF($C392="TANIMSIZ MÜŞTERİ","HATA",IF(OR($E392="",$F392&lt;=0,$G392=""),"EKSİK",IF($E392&gt;TODAY(),"İLERİ TARİH","UYGUN"))))</f>
        <v/>
      </c>
      <c r="N392" s="121">
        <f>IF($C392="","",IF($C392="TANIMSIZ MÜŞTERİ","—",INDEX(MUSTERILER!$C$7:$C$106,MATCH($C392,MUSTERILER!$B$7:$B$106,0))))</f>
        <v/>
      </c>
      <c r="O392" s="6" t="n"/>
      <c r="P392" s="6" t="n"/>
      <c r="Q392" s="3">
        <f>IF($D392="","",$C392&amp;"|"&amp;COUNTIFS($C$7:$C392,$C392))</f>
        <v/>
      </c>
    </row>
    <row r="393">
      <c r="A393" s="6" t="n"/>
      <c r="B393" s="113">
        <f>IF($D393="","","T"&amp;TEXT(ROW()-6,"00000"))</f>
        <v/>
      </c>
      <c r="C393" s="113">
        <f>IF($D393="","",IFERROR(INDEX(MUSTERILER!$B$7:$B$106,MATCH($D393,MUSTERILER!$C$7:$C$106,0)),IFERROR(INDEX(MUSTERILER!$B$7:$B$106,MATCH($D393,MUSTERILER!$B$7:$B$106,0)),IFERROR(INDEX(MUSTERILER!$B$7:$B$106,MATCH($D393&amp;"*",MUSTERILER!$C$7:$C$106,0)),"TANIMSIZ MÜŞTERİ"))))</f>
        <v/>
      </c>
      <c r="D393" s="109" t="n"/>
      <c r="E393" s="225" t="n"/>
      <c r="F393" s="226" t="n"/>
      <c r="G393" s="108" t="n"/>
      <c r="H393" s="108" t="n"/>
      <c r="I393" s="109" t="n"/>
      <c r="J393" s="109" t="n"/>
      <c r="K393" s="109" t="n"/>
      <c r="L393" s="231">
        <f>IF($E393="","",DATE(YEAR($E393),MONTH($E393),1))</f>
        <v/>
      </c>
      <c r="M393" s="113">
        <f>IF($D393="","",IF($C393="TANIMSIZ MÜŞTERİ","HATA",IF(OR($E393="",$F393&lt;=0,$G393=""),"EKSİK",IF($E393&gt;TODAY(),"İLERİ TARİH","UYGUN"))))</f>
        <v/>
      </c>
      <c r="N393" s="121">
        <f>IF($C393="","",IF($C393="TANIMSIZ MÜŞTERİ","—",INDEX(MUSTERILER!$C$7:$C$106,MATCH($C393,MUSTERILER!$B$7:$B$106,0))))</f>
        <v/>
      </c>
      <c r="O393" s="6" t="n"/>
      <c r="P393" s="6" t="n"/>
      <c r="Q393" s="3">
        <f>IF($D393="","",$C393&amp;"|"&amp;COUNTIFS($C$7:$C393,$C393))</f>
        <v/>
      </c>
    </row>
    <row r="394">
      <c r="A394" s="6" t="n"/>
      <c r="B394" s="113">
        <f>IF($D394="","","T"&amp;TEXT(ROW()-6,"00000"))</f>
        <v/>
      </c>
      <c r="C394" s="113">
        <f>IF($D394="","",IFERROR(INDEX(MUSTERILER!$B$7:$B$106,MATCH($D394,MUSTERILER!$C$7:$C$106,0)),IFERROR(INDEX(MUSTERILER!$B$7:$B$106,MATCH($D394,MUSTERILER!$B$7:$B$106,0)),IFERROR(INDEX(MUSTERILER!$B$7:$B$106,MATCH($D394&amp;"*",MUSTERILER!$C$7:$C$106,0)),"TANIMSIZ MÜŞTERİ"))))</f>
        <v/>
      </c>
      <c r="D394" s="109" t="n"/>
      <c r="E394" s="225" t="n"/>
      <c r="F394" s="226" t="n"/>
      <c r="G394" s="108" t="n"/>
      <c r="H394" s="108" t="n"/>
      <c r="I394" s="109" t="n"/>
      <c r="J394" s="109" t="n"/>
      <c r="K394" s="109" t="n"/>
      <c r="L394" s="231">
        <f>IF($E394="","",DATE(YEAR($E394),MONTH($E394),1))</f>
        <v/>
      </c>
      <c r="M394" s="113">
        <f>IF($D394="","",IF($C394="TANIMSIZ MÜŞTERİ","HATA",IF(OR($E394="",$F394&lt;=0,$G394=""),"EKSİK",IF($E394&gt;TODAY(),"İLERİ TARİH","UYGUN"))))</f>
        <v/>
      </c>
      <c r="N394" s="121">
        <f>IF($C394="","",IF($C394="TANIMSIZ MÜŞTERİ","—",INDEX(MUSTERILER!$C$7:$C$106,MATCH($C394,MUSTERILER!$B$7:$B$106,0))))</f>
        <v/>
      </c>
      <c r="O394" s="6" t="n"/>
      <c r="P394" s="6" t="n"/>
      <c r="Q394" s="3">
        <f>IF($D394="","",$C394&amp;"|"&amp;COUNTIFS($C$7:$C394,$C394))</f>
        <v/>
      </c>
    </row>
    <row r="395">
      <c r="A395" s="6" t="n"/>
      <c r="B395" s="113">
        <f>IF($D395="","","T"&amp;TEXT(ROW()-6,"00000"))</f>
        <v/>
      </c>
      <c r="C395" s="113">
        <f>IF($D395="","",IFERROR(INDEX(MUSTERILER!$B$7:$B$106,MATCH($D395,MUSTERILER!$C$7:$C$106,0)),IFERROR(INDEX(MUSTERILER!$B$7:$B$106,MATCH($D395,MUSTERILER!$B$7:$B$106,0)),IFERROR(INDEX(MUSTERILER!$B$7:$B$106,MATCH($D395&amp;"*",MUSTERILER!$C$7:$C$106,0)),"TANIMSIZ MÜŞTERİ"))))</f>
        <v/>
      </c>
      <c r="D395" s="109" t="n"/>
      <c r="E395" s="225" t="n"/>
      <c r="F395" s="226" t="n"/>
      <c r="G395" s="108" t="n"/>
      <c r="H395" s="108" t="n"/>
      <c r="I395" s="109" t="n"/>
      <c r="J395" s="109" t="n"/>
      <c r="K395" s="109" t="n"/>
      <c r="L395" s="231">
        <f>IF($E395="","",DATE(YEAR($E395),MONTH($E395),1))</f>
        <v/>
      </c>
      <c r="M395" s="113">
        <f>IF($D395="","",IF($C395="TANIMSIZ MÜŞTERİ","HATA",IF(OR($E395="",$F395&lt;=0,$G395=""),"EKSİK",IF($E395&gt;TODAY(),"İLERİ TARİH","UYGUN"))))</f>
        <v/>
      </c>
      <c r="N395" s="121">
        <f>IF($C395="","",IF($C395="TANIMSIZ MÜŞTERİ","—",INDEX(MUSTERILER!$C$7:$C$106,MATCH($C395,MUSTERILER!$B$7:$B$106,0))))</f>
        <v/>
      </c>
      <c r="O395" s="6" t="n"/>
      <c r="P395" s="6" t="n"/>
      <c r="Q395" s="3">
        <f>IF($D395="","",$C395&amp;"|"&amp;COUNTIFS($C$7:$C395,$C395))</f>
        <v/>
      </c>
    </row>
    <row r="396">
      <c r="A396" s="6" t="n"/>
      <c r="B396" s="113">
        <f>IF($D396="","","T"&amp;TEXT(ROW()-6,"00000"))</f>
        <v/>
      </c>
      <c r="C396" s="113">
        <f>IF($D396="","",IFERROR(INDEX(MUSTERILER!$B$7:$B$106,MATCH($D396,MUSTERILER!$C$7:$C$106,0)),IFERROR(INDEX(MUSTERILER!$B$7:$B$106,MATCH($D396,MUSTERILER!$B$7:$B$106,0)),IFERROR(INDEX(MUSTERILER!$B$7:$B$106,MATCH($D396&amp;"*",MUSTERILER!$C$7:$C$106,0)),"TANIMSIZ MÜŞTERİ"))))</f>
        <v/>
      </c>
      <c r="D396" s="109" t="n"/>
      <c r="E396" s="225" t="n"/>
      <c r="F396" s="226" t="n"/>
      <c r="G396" s="108" t="n"/>
      <c r="H396" s="108" t="n"/>
      <c r="I396" s="109" t="n"/>
      <c r="J396" s="109" t="n"/>
      <c r="K396" s="109" t="n"/>
      <c r="L396" s="231">
        <f>IF($E396="","",DATE(YEAR($E396),MONTH($E396),1))</f>
        <v/>
      </c>
      <c r="M396" s="113">
        <f>IF($D396="","",IF($C396="TANIMSIZ MÜŞTERİ","HATA",IF(OR($E396="",$F396&lt;=0,$G396=""),"EKSİK",IF($E396&gt;TODAY(),"İLERİ TARİH","UYGUN"))))</f>
        <v/>
      </c>
      <c r="N396" s="121">
        <f>IF($C396="","",IF($C396="TANIMSIZ MÜŞTERİ","—",INDEX(MUSTERILER!$C$7:$C$106,MATCH($C396,MUSTERILER!$B$7:$B$106,0))))</f>
        <v/>
      </c>
      <c r="O396" s="6" t="n"/>
      <c r="P396" s="6" t="n"/>
      <c r="Q396" s="3">
        <f>IF($D396="","",$C396&amp;"|"&amp;COUNTIFS($C$7:$C396,$C396))</f>
        <v/>
      </c>
    </row>
    <row r="397">
      <c r="A397" s="6" t="n"/>
      <c r="B397" s="113">
        <f>IF($D397="","","T"&amp;TEXT(ROW()-6,"00000"))</f>
        <v/>
      </c>
      <c r="C397" s="113">
        <f>IF($D397="","",IFERROR(INDEX(MUSTERILER!$B$7:$B$106,MATCH($D397,MUSTERILER!$C$7:$C$106,0)),IFERROR(INDEX(MUSTERILER!$B$7:$B$106,MATCH($D397,MUSTERILER!$B$7:$B$106,0)),IFERROR(INDEX(MUSTERILER!$B$7:$B$106,MATCH($D397&amp;"*",MUSTERILER!$C$7:$C$106,0)),"TANIMSIZ MÜŞTERİ"))))</f>
        <v/>
      </c>
      <c r="D397" s="109" t="n"/>
      <c r="E397" s="225" t="n"/>
      <c r="F397" s="226" t="n"/>
      <c r="G397" s="108" t="n"/>
      <c r="H397" s="108" t="n"/>
      <c r="I397" s="109" t="n"/>
      <c r="J397" s="109" t="n"/>
      <c r="K397" s="109" t="n"/>
      <c r="L397" s="231">
        <f>IF($E397="","",DATE(YEAR($E397),MONTH($E397),1))</f>
        <v/>
      </c>
      <c r="M397" s="113">
        <f>IF($D397="","",IF($C397="TANIMSIZ MÜŞTERİ","HATA",IF(OR($E397="",$F397&lt;=0,$G397=""),"EKSİK",IF($E397&gt;TODAY(),"İLERİ TARİH","UYGUN"))))</f>
        <v/>
      </c>
      <c r="N397" s="121">
        <f>IF($C397="","",IF($C397="TANIMSIZ MÜŞTERİ","—",INDEX(MUSTERILER!$C$7:$C$106,MATCH($C397,MUSTERILER!$B$7:$B$106,0))))</f>
        <v/>
      </c>
      <c r="O397" s="6" t="n"/>
      <c r="P397" s="6" t="n"/>
      <c r="Q397" s="3">
        <f>IF($D397="","",$C397&amp;"|"&amp;COUNTIFS($C$7:$C397,$C397))</f>
        <v/>
      </c>
    </row>
    <row r="398">
      <c r="A398" s="6" t="n"/>
      <c r="B398" s="113">
        <f>IF($D398="","","T"&amp;TEXT(ROW()-6,"00000"))</f>
        <v/>
      </c>
      <c r="C398" s="113">
        <f>IF($D398="","",IFERROR(INDEX(MUSTERILER!$B$7:$B$106,MATCH($D398,MUSTERILER!$C$7:$C$106,0)),IFERROR(INDEX(MUSTERILER!$B$7:$B$106,MATCH($D398,MUSTERILER!$B$7:$B$106,0)),IFERROR(INDEX(MUSTERILER!$B$7:$B$106,MATCH($D398&amp;"*",MUSTERILER!$C$7:$C$106,0)),"TANIMSIZ MÜŞTERİ"))))</f>
        <v/>
      </c>
      <c r="D398" s="109" t="n"/>
      <c r="E398" s="225" t="n"/>
      <c r="F398" s="226" t="n"/>
      <c r="G398" s="108" t="n"/>
      <c r="H398" s="108" t="n"/>
      <c r="I398" s="109" t="n"/>
      <c r="J398" s="109" t="n"/>
      <c r="K398" s="109" t="n"/>
      <c r="L398" s="231">
        <f>IF($E398="","",DATE(YEAR($E398),MONTH($E398),1))</f>
        <v/>
      </c>
      <c r="M398" s="113">
        <f>IF($D398="","",IF($C398="TANIMSIZ MÜŞTERİ","HATA",IF(OR($E398="",$F398&lt;=0,$G398=""),"EKSİK",IF($E398&gt;TODAY(),"İLERİ TARİH","UYGUN"))))</f>
        <v/>
      </c>
      <c r="N398" s="121">
        <f>IF($C398="","",IF($C398="TANIMSIZ MÜŞTERİ","—",INDEX(MUSTERILER!$C$7:$C$106,MATCH($C398,MUSTERILER!$B$7:$B$106,0))))</f>
        <v/>
      </c>
      <c r="O398" s="6" t="n"/>
      <c r="P398" s="6" t="n"/>
      <c r="Q398" s="3">
        <f>IF($D398="","",$C398&amp;"|"&amp;COUNTIFS($C$7:$C398,$C398))</f>
        <v/>
      </c>
    </row>
    <row r="399">
      <c r="A399" s="6" t="n"/>
      <c r="B399" s="113">
        <f>IF($D399="","","T"&amp;TEXT(ROW()-6,"00000"))</f>
        <v/>
      </c>
      <c r="C399" s="113">
        <f>IF($D399="","",IFERROR(INDEX(MUSTERILER!$B$7:$B$106,MATCH($D399,MUSTERILER!$C$7:$C$106,0)),IFERROR(INDEX(MUSTERILER!$B$7:$B$106,MATCH($D399,MUSTERILER!$B$7:$B$106,0)),IFERROR(INDEX(MUSTERILER!$B$7:$B$106,MATCH($D399&amp;"*",MUSTERILER!$C$7:$C$106,0)),"TANIMSIZ MÜŞTERİ"))))</f>
        <v/>
      </c>
      <c r="D399" s="109" t="n"/>
      <c r="E399" s="225" t="n"/>
      <c r="F399" s="226" t="n"/>
      <c r="G399" s="108" t="n"/>
      <c r="H399" s="108" t="n"/>
      <c r="I399" s="109" t="n"/>
      <c r="J399" s="109" t="n"/>
      <c r="K399" s="109" t="n"/>
      <c r="L399" s="231">
        <f>IF($E399="","",DATE(YEAR($E399),MONTH($E399),1))</f>
        <v/>
      </c>
      <c r="M399" s="113">
        <f>IF($D399="","",IF($C399="TANIMSIZ MÜŞTERİ","HATA",IF(OR($E399="",$F399&lt;=0,$G399=""),"EKSİK",IF($E399&gt;TODAY(),"İLERİ TARİH","UYGUN"))))</f>
        <v/>
      </c>
      <c r="N399" s="121">
        <f>IF($C399="","",IF($C399="TANIMSIZ MÜŞTERİ","—",INDEX(MUSTERILER!$C$7:$C$106,MATCH($C399,MUSTERILER!$B$7:$B$106,0))))</f>
        <v/>
      </c>
      <c r="O399" s="6" t="n"/>
      <c r="P399" s="6" t="n"/>
      <c r="Q399" s="3">
        <f>IF($D399="","",$C399&amp;"|"&amp;COUNTIFS($C$7:$C399,$C399))</f>
        <v/>
      </c>
    </row>
    <row r="400">
      <c r="A400" s="6" t="n"/>
      <c r="B400" s="113">
        <f>IF($D400="","","T"&amp;TEXT(ROW()-6,"00000"))</f>
        <v/>
      </c>
      <c r="C400" s="113">
        <f>IF($D400="","",IFERROR(INDEX(MUSTERILER!$B$7:$B$106,MATCH($D400,MUSTERILER!$C$7:$C$106,0)),IFERROR(INDEX(MUSTERILER!$B$7:$B$106,MATCH($D400,MUSTERILER!$B$7:$B$106,0)),IFERROR(INDEX(MUSTERILER!$B$7:$B$106,MATCH($D400&amp;"*",MUSTERILER!$C$7:$C$106,0)),"TANIMSIZ MÜŞTERİ"))))</f>
        <v/>
      </c>
      <c r="D400" s="109" t="n"/>
      <c r="E400" s="225" t="n"/>
      <c r="F400" s="226" t="n"/>
      <c r="G400" s="108" t="n"/>
      <c r="H400" s="108" t="n"/>
      <c r="I400" s="109" t="n"/>
      <c r="J400" s="109" t="n"/>
      <c r="K400" s="109" t="n"/>
      <c r="L400" s="231">
        <f>IF($E400="","",DATE(YEAR($E400),MONTH($E400),1))</f>
        <v/>
      </c>
      <c r="M400" s="113">
        <f>IF($D400="","",IF($C400="TANIMSIZ MÜŞTERİ","HATA",IF(OR($E400="",$F400&lt;=0,$G400=""),"EKSİK",IF($E400&gt;TODAY(),"İLERİ TARİH","UYGUN"))))</f>
        <v/>
      </c>
      <c r="N400" s="121">
        <f>IF($C400="","",IF($C400="TANIMSIZ MÜŞTERİ","—",INDEX(MUSTERILER!$C$7:$C$106,MATCH($C400,MUSTERILER!$B$7:$B$106,0))))</f>
        <v/>
      </c>
      <c r="O400" s="6" t="n"/>
      <c r="P400" s="6" t="n"/>
      <c r="Q400" s="3">
        <f>IF($D400="","",$C400&amp;"|"&amp;COUNTIFS($C$7:$C400,$C400))</f>
        <v/>
      </c>
    </row>
    <row r="401">
      <c r="A401" s="6" t="n"/>
      <c r="B401" s="113">
        <f>IF($D401="","","T"&amp;TEXT(ROW()-6,"00000"))</f>
        <v/>
      </c>
      <c r="C401" s="113">
        <f>IF($D401="","",IFERROR(INDEX(MUSTERILER!$B$7:$B$106,MATCH($D401,MUSTERILER!$C$7:$C$106,0)),IFERROR(INDEX(MUSTERILER!$B$7:$B$106,MATCH($D401,MUSTERILER!$B$7:$B$106,0)),IFERROR(INDEX(MUSTERILER!$B$7:$B$106,MATCH($D401&amp;"*",MUSTERILER!$C$7:$C$106,0)),"TANIMSIZ MÜŞTERİ"))))</f>
        <v/>
      </c>
      <c r="D401" s="109" t="n"/>
      <c r="E401" s="225" t="n"/>
      <c r="F401" s="226" t="n"/>
      <c r="G401" s="108" t="n"/>
      <c r="H401" s="108" t="n"/>
      <c r="I401" s="109" t="n"/>
      <c r="J401" s="109" t="n"/>
      <c r="K401" s="109" t="n"/>
      <c r="L401" s="231">
        <f>IF($E401="","",DATE(YEAR($E401),MONTH($E401),1))</f>
        <v/>
      </c>
      <c r="M401" s="113">
        <f>IF($D401="","",IF($C401="TANIMSIZ MÜŞTERİ","HATA",IF(OR($E401="",$F401&lt;=0,$G401=""),"EKSİK",IF($E401&gt;TODAY(),"İLERİ TARİH","UYGUN"))))</f>
        <v/>
      </c>
      <c r="N401" s="121">
        <f>IF($C401="","",IF($C401="TANIMSIZ MÜŞTERİ","—",INDEX(MUSTERILER!$C$7:$C$106,MATCH($C401,MUSTERILER!$B$7:$B$106,0))))</f>
        <v/>
      </c>
      <c r="O401" s="6" t="n"/>
      <c r="P401" s="6" t="n"/>
      <c r="Q401" s="3">
        <f>IF($D401="","",$C401&amp;"|"&amp;COUNTIFS($C$7:$C401,$C401))</f>
        <v/>
      </c>
    </row>
    <row r="402">
      <c r="A402" s="6" t="n"/>
      <c r="B402" s="113">
        <f>IF($D402="","","T"&amp;TEXT(ROW()-6,"00000"))</f>
        <v/>
      </c>
      <c r="C402" s="113">
        <f>IF($D402="","",IFERROR(INDEX(MUSTERILER!$B$7:$B$106,MATCH($D402,MUSTERILER!$C$7:$C$106,0)),IFERROR(INDEX(MUSTERILER!$B$7:$B$106,MATCH($D402,MUSTERILER!$B$7:$B$106,0)),IFERROR(INDEX(MUSTERILER!$B$7:$B$106,MATCH($D402&amp;"*",MUSTERILER!$C$7:$C$106,0)),"TANIMSIZ MÜŞTERİ"))))</f>
        <v/>
      </c>
      <c r="D402" s="109" t="n"/>
      <c r="E402" s="225" t="n"/>
      <c r="F402" s="226" t="n"/>
      <c r="G402" s="108" t="n"/>
      <c r="H402" s="108" t="n"/>
      <c r="I402" s="109" t="n"/>
      <c r="J402" s="109" t="n"/>
      <c r="K402" s="109" t="n"/>
      <c r="L402" s="231">
        <f>IF($E402="","",DATE(YEAR($E402),MONTH($E402),1))</f>
        <v/>
      </c>
      <c r="M402" s="113">
        <f>IF($D402="","",IF($C402="TANIMSIZ MÜŞTERİ","HATA",IF(OR($E402="",$F402&lt;=0,$G402=""),"EKSİK",IF($E402&gt;TODAY(),"İLERİ TARİH","UYGUN"))))</f>
        <v/>
      </c>
      <c r="N402" s="121">
        <f>IF($C402="","",IF($C402="TANIMSIZ MÜŞTERİ","—",INDEX(MUSTERILER!$C$7:$C$106,MATCH($C402,MUSTERILER!$B$7:$B$106,0))))</f>
        <v/>
      </c>
      <c r="O402" s="6" t="n"/>
      <c r="P402" s="6" t="n"/>
      <c r="Q402" s="3">
        <f>IF($D402="","",$C402&amp;"|"&amp;COUNTIFS($C$7:$C402,$C402))</f>
        <v/>
      </c>
    </row>
    <row r="403">
      <c r="A403" s="6" t="n"/>
      <c r="B403" s="113">
        <f>IF($D403="","","T"&amp;TEXT(ROW()-6,"00000"))</f>
        <v/>
      </c>
      <c r="C403" s="113">
        <f>IF($D403="","",IFERROR(INDEX(MUSTERILER!$B$7:$B$106,MATCH($D403,MUSTERILER!$C$7:$C$106,0)),IFERROR(INDEX(MUSTERILER!$B$7:$B$106,MATCH($D403,MUSTERILER!$B$7:$B$106,0)),IFERROR(INDEX(MUSTERILER!$B$7:$B$106,MATCH($D403&amp;"*",MUSTERILER!$C$7:$C$106,0)),"TANIMSIZ MÜŞTERİ"))))</f>
        <v/>
      </c>
      <c r="D403" s="109" t="n"/>
      <c r="E403" s="225" t="n"/>
      <c r="F403" s="226" t="n"/>
      <c r="G403" s="108" t="n"/>
      <c r="H403" s="108" t="n"/>
      <c r="I403" s="109" t="n"/>
      <c r="J403" s="109" t="n"/>
      <c r="K403" s="109" t="n"/>
      <c r="L403" s="231">
        <f>IF($E403="","",DATE(YEAR($E403),MONTH($E403),1))</f>
        <v/>
      </c>
      <c r="M403" s="113">
        <f>IF($D403="","",IF($C403="TANIMSIZ MÜŞTERİ","HATA",IF(OR($E403="",$F403&lt;=0,$G403=""),"EKSİK",IF($E403&gt;TODAY(),"İLERİ TARİH","UYGUN"))))</f>
        <v/>
      </c>
      <c r="N403" s="121">
        <f>IF($C403="","",IF($C403="TANIMSIZ MÜŞTERİ","—",INDEX(MUSTERILER!$C$7:$C$106,MATCH($C403,MUSTERILER!$B$7:$B$106,0))))</f>
        <v/>
      </c>
      <c r="O403" s="6" t="n"/>
      <c r="P403" s="6" t="n"/>
      <c r="Q403" s="3">
        <f>IF($D403="","",$C403&amp;"|"&amp;COUNTIFS($C$7:$C403,$C403))</f>
        <v/>
      </c>
    </row>
    <row r="404">
      <c r="A404" s="6" t="n"/>
      <c r="B404" s="113">
        <f>IF($D404="","","T"&amp;TEXT(ROW()-6,"00000"))</f>
        <v/>
      </c>
      <c r="C404" s="113">
        <f>IF($D404="","",IFERROR(INDEX(MUSTERILER!$B$7:$B$106,MATCH($D404,MUSTERILER!$C$7:$C$106,0)),IFERROR(INDEX(MUSTERILER!$B$7:$B$106,MATCH($D404,MUSTERILER!$B$7:$B$106,0)),IFERROR(INDEX(MUSTERILER!$B$7:$B$106,MATCH($D404&amp;"*",MUSTERILER!$C$7:$C$106,0)),"TANIMSIZ MÜŞTERİ"))))</f>
        <v/>
      </c>
      <c r="D404" s="109" t="n"/>
      <c r="E404" s="225" t="n"/>
      <c r="F404" s="226" t="n"/>
      <c r="G404" s="108" t="n"/>
      <c r="H404" s="108" t="n"/>
      <c r="I404" s="109" t="n"/>
      <c r="J404" s="109" t="n"/>
      <c r="K404" s="109" t="n"/>
      <c r="L404" s="231">
        <f>IF($E404="","",DATE(YEAR($E404),MONTH($E404),1))</f>
        <v/>
      </c>
      <c r="M404" s="113">
        <f>IF($D404="","",IF($C404="TANIMSIZ MÜŞTERİ","HATA",IF(OR($E404="",$F404&lt;=0,$G404=""),"EKSİK",IF($E404&gt;TODAY(),"İLERİ TARİH","UYGUN"))))</f>
        <v/>
      </c>
      <c r="N404" s="121">
        <f>IF($C404="","",IF($C404="TANIMSIZ MÜŞTERİ","—",INDEX(MUSTERILER!$C$7:$C$106,MATCH($C404,MUSTERILER!$B$7:$B$106,0))))</f>
        <v/>
      </c>
      <c r="O404" s="6" t="n"/>
      <c r="P404" s="6" t="n"/>
      <c r="Q404" s="3">
        <f>IF($D404="","",$C404&amp;"|"&amp;COUNTIFS($C$7:$C404,$C404))</f>
        <v/>
      </c>
    </row>
    <row r="405">
      <c r="A405" s="6" t="n"/>
      <c r="B405" s="113">
        <f>IF($D405="","","T"&amp;TEXT(ROW()-6,"00000"))</f>
        <v/>
      </c>
      <c r="C405" s="113">
        <f>IF($D405="","",IFERROR(INDEX(MUSTERILER!$B$7:$B$106,MATCH($D405,MUSTERILER!$C$7:$C$106,0)),IFERROR(INDEX(MUSTERILER!$B$7:$B$106,MATCH($D405,MUSTERILER!$B$7:$B$106,0)),IFERROR(INDEX(MUSTERILER!$B$7:$B$106,MATCH($D405&amp;"*",MUSTERILER!$C$7:$C$106,0)),"TANIMSIZ MÜŞTERİ"))))</f>
        <v/>
      </c>
      <c r="D405" s="109" t="n"/>
      <c r="E405" s="225" t="n"/>
      <c r="F405" s="226" t="n"/>
      <c r="G405" s="108" t="n"/>
      <c r="H405" s="108" t="n"/>
      <c r="I405" s="109" t="n"/>
      <c r="J405" s="109" t="n"/>
      <c r="K405" s="109" t="n"/>
      <c r="L405" s="231">
        <f>IF($E405="","",DATE(YEAR($E405),MONTH($E405),1))</f>
        <v/>
      </c>
      <c r="M405" s="113">
        <f>IF($D405="","",IF($C405="TANIMSIZ MÜŞTERİ","HATA",IF(OR($E405="",$F405&lt;=0,$G405=""),"EKSİK",IF($E405&gt;TODAY(),"İLERİ TARİH","UYGUN"))))</f>
        <v/>
      </c>
      <c r="N405" s="121">
        <f>IF($C405="","",IF($C405="TANIMSIZ MÜŞTERİ","—",INDEX(MUSTERILER!$C$7:$C$106,MATCH($C405,MUSTERILER!$B$7:$B$106,0))))</f>
        <v/>
      </c>
      <c r="O405" s="6" t="n"/>
      <c r="P405" s="6" t="n"/>
      <c r="Q405" s="3">
        <f>IF($D405="","",$C405&amp;"|"&amp;COUNTIFS($C$7:$C405,$C405))</f>
        <v/>
      </c>
    </row>
    <row r="406">
      <c r="A406" s="6" t="n"/>
      <c r="B406" s="113">
        <f>IF($D406="","","T"&amp;TEXT(ROW()-6,"00000"))</f>
        <v/>
      </c>
      <c r="C406" s="113">
        <f>IF($D406="","",IFERROR(INDEX(MUSTERILER!$B$7:$B$106,MATCH($D406,MUSTERILER!$C$7:$C$106,0)),IFERROR(INDEX(MUSTERILER!$B$7:$B$106,MATCH($D406,MUSTERILER!$B$7:$B$106,0)),IFERROR(INDEX(MUSTERILER!$B$7:$B$106,MATCH($D406&amp;"*",MUSTERILER!$C$7:$C$106,0)),"TANIMSIZ MÜŞTERİ"))))</f>
        <v/>
      </c>
      <c r="D406" s="109" t="n"/>
      <c r="E406" s="225" t="n"/>
      <c r="F406" s="226" t="n"/>
      <c r="G406" s="108" t="n"/>
      <c r="H406" s="108" t="n"/>
      <c r="I406" s="109" t="n"/>
      <c r="J406" s="109" t="n"/>
      <c r="K406" s="109" t="n"/>
      <c r="L406" s="231">
        <f>IF($E406="","",DATE(YEAR($E406),MONTH($E406),1))</f>
        <v/>
      </c>
      <c r="M406" s="113">
        <f>IF($D406="","",IF($C406="TANIMSIZ MÜŞTERİ","HATA",IF(OR($E406="",$F406&lt;=0,$G406=""),"EKSİK",IF($E406&gt;TODAY(),"İLERİ TARİH","UYGUN"))))</f>
        <v/>
      </c>
      <c r="N406" s="121">
        <f>IF($C406="","",IF($C406="TANIMSIZ MÜŞTERİ","—",INDEX(MUSTERILER!$C$7:$C$106,MATCH($C406,MUSTERILER!$B$7:$B$106,0))))</f>
        <v/>
      </c>
      <c r="O406" s="6" t="n"/>
      <c r="P406" s="6" t="n"/>
      <c r="Q406" s="3">
        <f>IF($D406="","",$C406&amp;"|"&amp;COUNTIFS($C$7:$C406,$C406))</f>
        <v/>
      </c>
    </row>
    <row r="407">
      <c r="A407" s="6" t="n"/>
      <c r="B407" s="113">
        <f>IF($D407="","","T"&amp;TEXT(ROW()-6,"00000"))</f>
        <v/>
      </c>
      <c r="C407" s="113">
        <f>IF($D407="","",IFERROR(INDEX(MUSTERILER!$B$7:$B$106,MATCH($D407,MUSTERILER!$C$7:$C$106,0)),IFERROR(INDEX(MUSTERILER!$B$7:$B$106,MATCH($D407,MUSTERILER!$B$7:$B$106,0)),IFERROR(INDEX(MUSTERILER!$B$7:$B$106,MATCH($D407&amp;"*",MUSTERILER!$C$7:$C$106,0)),"TANIMSIZ MÜŞTERİ"))))</f>
        <v/>
      </c>
      <c r="D407" s="109" t="n"/>
      <c r="E407" s="225" t="n"/>
      <c r="F407" s="226" t="n"/>
      <c r="G407" s="108" t="n"/>
      <c r="H407" s="108" t="n"/>
      <c r="I407" s="109" t="n"/>
      <c r="J407" s="109" t="n"/>
      <c r="K407" s="109" t="n"/>
      <c r="L407" s="231">
        <f>IF($E407="","",DATE(YEAR($E407),MONTH($E407),1))</f>
        <v/>
      </c>
      <c r="M407" s="113">
        <f>IF($D407="","",IF($C407="TANIMSIZ MÜŞTERİ","HATA",IF(OR($E407="",$F407&lt;=0,$G407=""),"EKSİK",IF($E407&gt;TODAY(),"İLERİ TARİH","UYGUN"))))</f>
        <v/>
      </c>
      <c r="N407" s="121">
        <f>IF($C407="","",IF($C407="TANIMSIZ MÜŞTERİ","—",INDEX(MUSTERILER!$C$7:$C$106,MATCH($C407,MUSTERILER!$B$7:$B$106,0))))</f>
        <v/>
      </c>
      <c r="O407" s="6" t="n"/>
      <c r="P407" s="6" t="n"/>
      <c r="Q407" s="3">
        <f>IF($D407="","",$C407&amp;"|"&amp;COUNTIFS($C$7:$C407,$C407))</f>
        <v/>
      </c>
    </row>
    <row r="408">
      <c r="A408" s="6" t="n"/>
      <c r="B408" s="113">
        <f>IF($D408="","","T"&amp;TEXT(ROW()-6,"00000"))</f>
        <v/>
      </c>
      <c r="C408" s="113">
        <f>IF($D408="","",IFERROR(INDEX(MUSTERILER!$B$7:$B$106,MATCH($D408,MUSTERILER!$C$7:$C$106,0)),IFERROR(INDEX(MUSTERILER!$B$7:$B$106,MATCH($D408,MUSTERILER!$B$7:$B$106,0)),IFERROR(INDEX(MUSTERILER!$B$7:$B$106,MATCH($D408&amp;"*",MUSTERILER!$C$7:$C$106,0)),"TANIMSIZ MÜŞTERİ"))))</f>
        <v/>
      </c>
      <c r="D408" s="109" t="n"/>
      <c r="E408" s="225" t="n"/>
      <c r="F408" s="226" t="n"/>
      <c r="G408" s="108" t="n"/>
      <c r="H408" s="108" t="n"/>
      <c r="I408" s="109" t="n"/>
      <c r="J408" s="109" t="n"/>
      <c r="K408" s="109" t="n"/>
      <c r="L408" s="231">
        <f>IF($E408="","",DATE(YEAR($E408),MONTH($E408),1))</f>
        <v/>
      </c>
      <c r="M408" s="113">
        <f>IF($D408="","",IF($C408="TANIMSIZ MÜŞTERİ","HATA",IF(OR($E408="",$F408&lt;=0,$G408=""),"EKSİK",IF($E408&gt;TODAY(),"İLERİ TARİH","UYGUN"))))</f>
        <v/>
      </c>
      <c r="N408" s="121">
        <f>IF($C408="","",IF($C408="TANIMSIZ MÜŞTERİ","—",INDEX(MUSTERILER!$C$7:$C$106,MATCH($C408,MUSTERILER!$B$7:$B$106,0))))</f>
        <v/>
      </c>
      <c r="O408" s="6" t="n"/>
      <c r="P408" s="6" t="n"/>
      <c r="Q408" s="3">
        <f>IF($D408="","",$C408&amp;"|"&amp;COUNTIFS($C$7:$C408,$C408))</f>
        <v/>
      </c>
    </row>
    <row r="409">
      <c r="A409" s="6" t="n"/>
      <c r="B409" s="113">
        <f>IF($D409="","","T"&amp;TEXT(ROW()-6,"00000"))</f>
        <v/>
      </c>
      <c r="C409" s="113">
        <f>IF($D409="","",IFERROR(INDEX(MUSTERILER!$B$7:$B$106,MATCH($D409,MUSTERILER!$C$7:$C$106,0)),IFERROR(INDEX(MUSTERILER!$B$7:$B$106,MATCH($D409,MUSTERILER!$B$7:$B$106,0)),IFERROR(INDEX(MUSTERILER!$B$7:$B$106,MATCH($D409&amp;"*",MUSTERILER!$C$7:$C$106,0)),"TANIMSIZ MÜŞTERİ"))))</f>
        <v/>
      </c>
      <c r="D409" s="109" t="n"/>
      <c r="E409" s="225" t="n"/>
      <c r="F409" s="226" t="n"/>
      <c r="G409" s="108" t="n"/>
      <c r="H409" s="108" t="n"/>
      <c r="I409" s="109" t="n"/>
      <c r="J409" s="109" t="n"/>
      <c r="K409" s="109" t="n"/>
      <c r="L409" s="231">
        <f>IF($E409="","",DATE(YEAR($E409),MONTH($E409),1))</f>
        <v/>
      </c>
      <c r="M409" s="113">
        <f>IF($D409="","",IF($C409="TANIMSIZ MÜŞTERİ","HATA",IF(OR($E409="",$F409&lt;=0,$G409=""),"EKSİK",IF($E409&gt;TODAY(),"İLERİ TARİH","UYGUN"))))</f>
        <v/>
      </c>
      <c r="N409" s="121">
        <f>IF($C409="","",IF($C409="TANIMSIZ MÜŞTERİ","—",INDEX(MUSTERILER!$C$7:$C$106,MATCH($C409,MUSTERILER!$B$7:$B$106,0))))</f>
        <v/>
      </c>
      <c r="O409" s="6" t="n"/>
      <c r="P409" s="6" t="n"/>
      <c r="Q409" s="3">
        <f>IF($D409="","",$C409&amp;"|"&amp;COUNTIFS($C$7:$C409,$C409))</f>
        <v/>
      </c>
    </row>
    <row r="410">
      <c r="A410" s="6" t="n"/>
      <c r="B410" s="113">
        <f>IF($D410="","","T"&amp;TEXT(ROW()-6,"00000"))</f>
        <v/>
      </c>
      <c r="C410" s="113">
        <f>IF($D410="","",IFERROR(INDEX(MUSTERILER!$B$7:$B$106,MATCH($D410,MUSTERILER!$C$7:$C$106,0)),IFERROR(INDEX(MUSTERILER!$B$7:$B$106,MATCH($D410,MUSTERILER!$B$7:$B$106,0)),IFERROR(INDEX(MUSTERILER!$B$7:$B$106,MATCH($D410&amp;"*",MUSTERILER!$C$7:$C$106,0)),"TANIMSIZ MÜŞTERİ"))))</f>
        <v/>
      </c>
      <c r="D410" s="109" t="n"/>
      <c r="E410" s="225" t="n"/>
      <c r="F410" s="226" t="n"/>
      <c r="G410" s="108" t="n"/>
      <c r="H410" s="108" t="n"/>
      <c r="I410" s="109" t="n"/>
      <c r="J410" s="109" t="n"/>
      <c r="K410" s="109" t="n"/>
      <c r="L410" s="231">
        <f>IF($E410="","",DATE(YEAR($E410),MONTH($E410),1))</f>
        <v/>
      </c>
      <c r="M410" s="113">
        <f>IF($D410="","",IF($C410="TANIMSIZ MÜŞTERİ","HATA",IF(OR($E410="",$F410&lt;=0,$G410=""),"EKSİK",IF($E410&gt;TODAY(),"İLERİ TARİH","UYGUN"))))</f>
        <v/>
      </c>
      <c r="N410" s="121">
        <f>IF($C410="","",IF($C410="TANIMSIZ MÜŞTERİ","—",INDEX(MUSTERILER!$C$7:$C$106,MATCH($C410,MUSTERILER!$B$7:$B$106,0))))</f>
        <v/>
      </c>
      <c r="O410" s="6" t="n"/>
      <c r="P410" s="6" t="n"/>
      <c r="Q410" s="3">
        <f>IF($D410="","",$C410&amp;"|"&amp;COUNTIFS($C$7:$C410,$C410))</f>
        <v/>
      </c>
    </row>
    <row r="411">
      <c r="A411" s="6" t="n"/>
      <c r="B411" s="113">
        <f>IF($D411="","","T"&amp;TEXT(ROW()-6,"00000"))</f>
        <v/>
      </c>
      <c r="C411" s="113">
        <f>IF($D411="","",IFERROR(INDEX(MUSTERILER!$B$7:$B$106,MATCH($D411,MUSTERILER!$C$7:$C$106,0)),IFERROR(INDEX(MUSTERILER!$B$7:$B$106,MATCH($D411,MUSTERILER!$B$7:$B$106,0)),IFERROR(INDEX(MUSTERILER!$B$7:$B$106,MATCH($D411&amp;"*",MUSTERILER!$C$7:$C$106,0)),"TANIMSIZ MÜŞTERİ"))))</f>
        <v/>
      </c>
      <c r="D411" s="109" t="n"/>
      <c r="E411" s="225" t="n"/>
      <c r="F411" s="226" t="n"/>
      <c r="G411" s="108" t="n"/>
      <c r="H411" s="108" t="n"/>
      <c r="I411" s="109" t="n"/>
      <c r="J411" s="109" t="n"/>
      <c r="K411" s="109" t="n"/>
      <c r="L411" s="231">
        <f>IF($E411="","",DATE(YEAR($E411),MONTH($E411),1))</f>
        <v/>
      </c>
      <c r="M411" s="113">
        <f>IF($D411="","",IF($C411="TANIMSIZ MÜŞTERİ","HATA",IF(OR($E411="",$F411&lt;=0,$G411=""),"EKSİK",IF($E411&gt;TODAY(),"İLERİ TARİH","UYGUN"))))</f>
        <v/>
      </c>
      <c r="N411" s="121">
        <f>IF($C411="","",IF($C411="TANIMSIZ MÜŞTERİ","—",INDEX(MUSTERILER!$C$7:$C$106,MATCH($C411,MUSTERILER!$B$7:$B$106,0))))</f>
        <v/>
      </c>
      <c r="O411" s="6" t="n"/>
      <c r="P411" s="6" t="n"/>
      <c r="Q411" s="3">
        <f>IF($D411="","",$C411&amp;"|"&amp;COUNTIFS($C$7:$C411,$C411))</f>
        <v/>
      </c>
    </row>
    <row r="412">
      <c r="A412" s="6" t="n"/>
      <c r="B412" s="113">
        <f>IF($D412="","","T"&amp;TEXT(ROW()-6,"00000"))</f>
        <v/>
      </c>
      <c r="C412" s="113">
        <f>IF($D412="","",IFERROR(INDEX(MUSTERILER!$B$7:$B$106,MATCH($D412,MUSTERILER!$C$7:$C$106,0)),IFERROR(INDEX(MUSTERILER!$B$7:$B$106,MATCH($D412,MUSTERILER!$B$7:$B$106,0)),IFERROR(INDEX(MUSTERILER!$B$7:$B$106,MATCH($D412&amp;"*",MUSTERILER!$C$7:$C$106,0)),"TANIMSIZ MÜŞTERİ"))))</f>
        <v/>
      </c>
      <c r="D412" s="109" t="n"/>
      <c r="E412" s="225" t="n"/>
      <c r="F412" s="226" t="n"/>
      <c r="G412" s="108" t="n"/>
      <c r="H412" s="108" t="n"/>
      <c r="I412" s="109" t="n"/>
      <c r="J412" s="109" t="n"/>
      <c r="K412" s="109" t="n"/>
      <c r="L412" s="231">
        <f>IF($E412="","",DATE(YEAR($E412),MONTH($E412),1))</f>
        <v/>
      </c>
      <c r="M412" s="113">
        <f>IF($D412="","",IF($C412="TANIMSIZ MÜŞTERİ","HATA",IF(OR($E412="",$F412&lt;=0,$G412=""),"EKSİK",IF($E412&gt;TODAY(),"İLERİ TARİH","UYGUN"))))</f>
        <v/>
      </c>
      <c r="N412" s="121">
        <f>IF($C412="","",IF($C412="TANIMSIZ MÜŞTERİ","—",INDEX(MUSTERILER!$C$7:$C$106,MATCH($C412,MUSTERILER!$B$7:$B$106,0))))</f>
        <v/>
      </c>
      <c r="O412" s="6" t="n"/>
      <c r="P412" s="6" t="n"/>
      <c r="Q412" s="3">
        <f>IF($D412="","",$C412&amp;"|"&amp;COUNTIFS($C$7:$C412,$C412))</f>
        <v/>
      </c>
    </row>
    <row r="413">
      <c r="A413" s="6" t="n"/>
      <c r="B413" s="113">
        <f>IF($D413="","","T"&amp;TEXT(ROW()-6,"00000"))</f>
        <v/>
      </c>
      <c r="C413" s="113">
        <f>IF($D413="","",IFERROR(INDEX(MUSTERILER!$B$7:$B$106,MATCH($D413,MUSTERILER!$C$7:$C$106,0)),IFERROR(INDEX(MUSTERILER!$B$7:$B$106,MATCH($D413,MUSTERILER!$B$7:$B$106,0)),IFERROR(INDEX(MUSTERILER!$B$7:$B$106,MATCH($D413&amp;"*",MUSTERILER!$C$7:$C$106,0)),"TANIMSIZ MÜŞTERİ"))))</f>
        <v/>
      </c>
      <c r="D413" s="109" t="n"/>
      <c r="E413" s="225" t="n"/>
      <c r="F413" s="226" t="n"/>
      <c r="G413" s="108" t="n"/>
      <c r="H413" s="108" t="n"/>
      <c r="I413" s="109" t="n"/>
      <c r="J413" s="109" t="n"/>
      <c r="K413" s="109" t="n"/>
      <c r="L413" s="231">
        <f>IF($E413="","",DATE(YEAR($E413),MONTH($E413),1))</f>
        <v/>
      </c>
      <c r="M413" s="113">
        <f>IF($D413="","",IF($C413="TANIMSIZ MÜŞTERİ","HATA",IF(OR($E413="",$F413&lt;=0,$G413=""),"EKSİK",IF($E413&gt;TODAY(),"İLERİ TARİH","UYGUN"))))</f>
        <v/>
      </c>
      <c r="N413" s="121">
        <f>IF($C413="","",IF($C413="TANIMSIZ MÜŞTERİ","—",INDEX(MUSTERILER!$C$7:$C$106,MATCH($C413,MUSTERILER!$B$7:$B$106,0))))</f>
        <v/>
      </c>
      <c r="O413" s="6" t="n"/>
      <c r="P413" s="6" t="n"/>
      <c r="Q413" s="3">
        <f>IF($D413="","",$C413&amp;"|"&amp;COUNTIFS($C$7:$C413,$C413))</f>
        <v/>
      </c>
    </row>
    <row r="414">
      <c r="A414" s="6" t="n"/>
      <c r="B414" s="113">
        <f>IF($D414="","","T"&amp;TEXT(ROW()-6,"00000"))</f>
        <v/>
      </c>
      <c r="C414" s="113">
        <f>IF($D414="","",IFERROR(INDEX(MUSTERILER!$B$7:$B$106,MATCH($D414,MUSTERILER!$C$7:$C$106,0)),IFERROR(INDEX(MUSTERILER!$B$7:$B$106,MATCH($D414,MUSTERILER!$B$7:$B$106,0)),IFERROR(INDEX(MUSTERILER!$B$7:$B$106,MATCH($D414&amp;"*",MUSTERILER!$C$7:$C$106,0)),"TANIMSIZ MÜŞTERİ"))))</f>
        <v/>
      </c>
      <c r="D414" s="109" t="n"/>
      <c r="E414" s="225" t="n"/>
      <c r="F414" s="226" t="n"/>
      <c r="G414" s="108" t="n"/>
      <c r="H414" s="108" t="n"/>
      <c r="I414" s="109" t="n"/>
      <c r="J414" s="109" t="n"/>
      <c r="K414" s="109" t="n"/>
      <c r="L414" s="231">
        <f>IF($E414="","",DATE(YEAR($E414),MONTH($E414),1))</f>
        <v/>
      </c>
      <c r="M414" s="113">
        <f>IF($D414="","",IF($C414="TANIMSIZ MÜŞTERİ","HATA",IF(OR($E414="",$F414&lt;=0,$G414=""),"EKSİK",IF($E414&gt;TODAY(),"İLERİ TARİH","UYGUN"))))</f>
        <v/>
      </c>
      <c r="N414" s="121">
        <f>IF($C414="","",IF($C414="TANIMSIZ MÜŞTERİ","—",INDEX(MUSTERILER!$C$7:$C$106,MATCH($C414,MUSTERILER!$B$7:$B$106,0))))</f>
        <v/>
      </c>
      <c r="O414" s="6" t="n"/>
      <c r="P414" s="6" t="n"/>
      <c r="Q414" s="3">
        <f>IF($D414="","",$C414&amp;"|"&amp;COUNTIFS($C$7:$C414,$C414))</f>
        <v/>
      </c>
    </row>
    <row r="415">
      <c r="A415" s="6" t="n"/>
      <c r="B415" s="113">
        <f>IF($D415="","","T"&amp;TEXT(ROW()-6,"00000"))</f>
        <v/>
      </c>
      <c r="C415" s="113">
        <f>IF($D415="","",IFERROR(INDEX(MUSTERILER!$B$7:$B$106,MATCH($D415,MUSTERILER!$C$7:$C$106,0)),IFERROR(INDEX(MUSTERILER!$B$7:$B$106,MATCH($D415,MUSTERILER!$B$7:$B$106,0)),IFERROR(INDEX(MUSTERILER!$B$7:$B$106,MATCH($D415&amp;"*",MUSTERILER!$C$7:$C$106,0)),"TANIMSIZ MÜŞTERİ"))))</f>
        <v/>
      </c>
      <c r="D415" s="109" t="n"/>
      <c r="E415" s="225" t="n"/>
      <c r="F415" s="226" t="n"/>
      <c r="G415" s="108" t="n"/>
      <c r="H415" s="108" t="n"/>
      <c r="I415" s="109" t="n"/>
      <c r="J415" s="109" t="n"/>
      <c r="K415" s="109" t="n"/>
      <c r="L415" s="231">
        <f>IF($E415="","",DATE(YEAR($E415),MONTH($E415),1))</f>
        <v/>
      </c>
      <c r="M415" s="113">
        <f>IF($D415="","",IF($C415="TANIMSIZ MÜŞTERİ","HATA",IF(OR($E415="",$F415&lt;=0,$G415=""),"EKSİK",IF($E415&gt;TODAY(),"İLERİ TARİH","UYGUN"))))</f>
        <v/>
      </c>
      <c r="N415" s="121">
        <f>IF($C415="","",IF($C415="TANIMSIZ MÜŞTERİ","—",INDEX(MUSTERILER!$C$7:$C$106,MATCH($C415,MUSTERILER!$B$7:$B$106,0))))</f>
        <v/>
      </c>
      <c r="O415" s="6" t="n"/>
      <c r="P415" s="6" t="n"/>
      <c r="Q415" s="3">
        <f>IF($D415="","",$C415&amp;"|"&amp;COUNTIFS($C$7:$C415,$C415))</f>
        <v/>
      </c>
    </row>
    <row r="416">
      <c r="A416" s="6" t="n"/>
      <c r="B416" s="113">
        <f>IF($D416="","","T"&amp;TEXT(ROW()-6,"00000"))</f>
        <v/>
      </c>
      <c r="C416" s="113">
        <f>IF($D416="","",IFERROR(INDEX(MUSTERILER!$B$7:$B$106,MATCH($D416,MUSTERILER!$C$7:$C$106,0)),IFERROR(INDEX(MUSTERILER!$B$7:$B$106,MATCH($D416,MUSTERILER!$B$7:$B$106,0)),IFERROR(INDEX(MUSTERILER!$B$7:$B$106,MATCH($D416&amp;"*",MUSTERILER!$C$7:$C$106,0)),"TANIMSIZ MÜŞTERİ"))))</f>
        <v/>
      </c>
      <c r="D416" s="109" t="n"/>
      <c r="E416" s="225" t="n"/>
      <c r="F416" s="226" t="n"/>
      <c r="G416" s="108" t="n"/>
      <c r="H416" s="108" t="n"/>
      <c r="I416" s="109" t="n"/>
      <c r="J416" s="109" t="n"/>
      <c r="K416" s="109" t="n"/>
      <c r="L416" s="231">
        <f>IF($E416="","",DATE(YEAR($E416),MONTH($E416),1))</f>
        <v/>
      </c>
      <c r="M416" s="113">
        <f>IF($D416="","",IF($C416="TANIMSIZ MÜŞTERİ","HATA",IF(OR($E416="",$F416&lt;=0,$G416=""),"EKSİK",IF($E416&gt;TODAY(),"İLERİ TARİH","UYGUN"))))</f>
        <v/>
      </c>
      <c r="N416" s="121">
        <f>IF($C416="","",IF($C416="TANIMSIZ MÜŞTERİ","—",INDEX(MUSTERILER!$C$7:$C$106,MATCH($C416,MUSTERILER!$B$7:$B$106,0))))</f>
        <v/>
      </c>
      <c r="O416" s="6" t="n"/>
      <c r="P416" s="6" t="n"/>
      <c r="Q416" s="3">
        <f>IF($D416="","",$C416&amp;"|"&amp;COUNTIFS($C$7:$C416,$C416))</f>
        <v/>
      </c>
    </row>
    <row r="417">
      <c r="A417" s="6" t="n"/>
      <c r="B417" s="113">
        <f>IF($D417="","","T"&amp;TEXT(ROW()-6,"00000"))</f>
        <v/>
      </c>
      <c r="C417" s="113">
        <f>IF($D417="","",IFERROR(INDEX(MUSTERILER!$B$7:$B$106,MATCH($D417,MUSTERILER!$C$7:$C$106,0)),IFERROR(INDEX(MUSTERILER!$B$7:$B$106,MATCH($D417,MUSTERILER!$B$7:$B$106,0)),IFERROR(INDEX(MUSTERILER!$B$7:$B$106,MATCH($D417&amp;"*",MUSTERILER!$C$7:$C$106,0)),"TANIMSIZ MÜŞTERİ"))))</f>
        <v/>
      </c>
      <c r="D417" s="109" t="n"/>
      <c r="E417" s="225" t="n"/>
      <c r="F417" s="226" t="n"/>
      <c r="G417" s="108" t="n"/>
      <c r="H417" s="108" t="n"/>
      <c r="I417" s="109" t="n"/>
      <c r="J417" s="109" t="n"/>
      <c r="K417" s="109" t="n"/>
      <c r="L417" s="231">
        <f>IF($E417="","",DATE(YEAR($E417),MONTH($E417),1))</f>
        <v/>
      </c>
      <c r="M417" s="113">
        <f>IF($D417="","",IF($C417="TANIMSIZ MÜŞTERİ","HATA",IF(OR($E417="",$F417&lt;=0,$G417=""),"EKSİK",IF($E417&gt;TODAY(),"İLERİ TARİH","UYGUN"))))</f>
        <v/>
      </c>
      <c r="N417" s="121">
        <f>IF($C417="","",IF($C417="TANIMSIZ MÜŞTERİ","—",INDEX(MUSTERILER!$C$7:$C$106,MATCH($C417,MUSTERILER!$B$7:$B$106,0))))</f>
        <v/>
      </c>
      <c r="O417" s="6" t="n"/>
      <c r="P417" s="6" t="n"/>
      <c r="Q417" s="3">
        <f>IF($D417="","",$C417&amp;"|"&amp;COUNTIFS($C$7:$C417,$C417))</f>
        <v/>
      </c>
    </row>
    <row r="418">
      <c r="A418" s="6" t="n"/>
      <c r="B418" s="113">
        <f>IF($D418="","","T"&amp;TEXT(ROW()-6,"00000"))</f>
        <v/>
      </c>
      <c r="C418" s="113">
        <f>IF($D418="","",IFERROR(INDEX(MUSTERILER!$B$7:$B$106,MATCH($D418,MUSTERILER!$C$7:$C$106,0)),IFERROR(INDEX(MUSTERILER!$B$7:$B$106,MATCH($D418,MUSTERILER!$B$7:$B$106,0)),IFERROR(INDEX(MUSTERILER!$B$7:$B$106,MATCH($D418&amp;"*",MUSTERILER!$C$7:$C$106,0)),"TANIMSIZ MÜŞTERİ"))))</f>
        <v/>
      </c>
      <c r="D418" s="109" t="n"/>
      <c r="E418" s="225" t="n"/>
      <c r="F418" s="226" t="n"/>
      <c r="G418" s="108" t="n"/>
      <c r="H418" s="108" t="n"/>
      <c r="I418" s="109" t="n"/>
      <c r="J418" s="109" t="n"/>
      <c r="K418" s="109" t="n"/>
      <c r="L418" s="231">
        <f>IF($E418="","",DATE(YEAR($E418),MONTH($E418),1))</f>
        <v/>
      </c>
      <c r="M418" s="113">
        <f>IF($D418="","",IF($C418="TANIMSIZ MÜŞTERİ","HATA",IF(OR($E418="",$F418&lt;=0,$G418=""),"EKSİK",IF($E418&gt;TODAY(),"İLERİ TARİH","UYGUN"))))</f>
        <v/>
      </c>
      <c r="N418" s="121">
        <f>IF($C418="","",IF($C418="TANIMSIZ MÜŞTERİ","—",INDEX(MUSTERILER!$C$7:$C$106,MATCH($C418,MUSTERILER!$B$7:$B$106,0))))</f>
        <v/>
      </c>
      <c r="O418" s="6" t="n"/>
      <c r="P418" s="6" t="n"/>
      <c r="Q418" s="3">
        <f>IF($D418="","",$C418&amp;"|"&amp;COUNTIFS($C$7:$C418,$C418))</f>
        <v/>
      </c>
    </row>
    <row r="419">
      <c r="A419" s="6" t="n"/>
      <c r="B419" s="113">
        <f>IF($D419="","","T"&amp;TEXT(ROW()-6,"00000"))</f>
        <v/>
      </c>
      <c r="C419" s="113">
        <f>IF($D419="","",IFERROR(INDEX(MUSTERILER!$B$7:$B$106,MATCH($D419,MUSTERILER!$C$7:$C$106,0)),IFERROR(INDEX(MUSTERILER!$B$7:$B$106,MATCH($D419,MUSTERILER!$B$7:$B$106,0)),IFERROR(INDEX(MUSTERILER!$B$7:$B$106,MATCH($D419&amp;"*",MUSTERILER!$C$7:$C$106,0)),"TANIMSIZ MÜŞTERİ"))))</f>
        <v/>
      </c>
      <c r="D419" s="109" t="n"/>
      <c r="E419" s="225" t="n"/>
      <c r="F419" s="226" t="n"/>
      <c r="G419" s="108" t="n"/>
      <c r="H419" s="108" t="n"/>
      <c r="I419" s="109" t="n"/>
      <c r="J419" s="109" t="n"/>
      <c r="K419" s="109" t="n"/>
      <c r="L419" s="231">
        <f>IF($E419="","",DATE(YEAR($E419),MONTH($E419),1))</f>
        <v/>
      </c>
      <c r="M419" s="113">
        <f>IF($D419="","",IF($C419="TANIMSIZ MÜŞTERİ","HATA",IF(OR($E419="",$F419&lt;=0,$G419=""),"EKSİK",IF($E419&gt;TODAY(),"İLERİ TARİH","UYGUN"))))</f>
        <v/>
      </c>
      <c r="N419" s="121">
        <f>IF($C419="","",IF($C419="TANIMSIZ MÜŞTERİ","—",INDEX(MUSTERILER!$C$7:$C$106,MATCH($C419,MUSTERILER!$B$7:$B$106,0))))</f>
        <v/>
      </c>
      <c r="O419" s="6" t="n"/>
      <c r="P419" s="6" t="n"/>
      <c r="Q419" s="3">
        <f>IF($D419="","",$C419&amp;"|"&amp;COUNTIFS($C$7:$C419,$C419))</f>
        <v/>
      </c>
    </row>
    <row r="420">
      <c r="A420" s="6" t="n"/>
      <c r="B420" s="113">
        <f>IF($D420="","","T"&amp;TEXT(ROW()-6,"00000"))</f>
        <v/>
      </c>
      <c r="C420" s="113">
        <f>IF($D420="","",IFERROR(INDEX(MUSTERILER!$B$7:$B$106,MATCH($D420,MUSTERILER!$C$7:$C$106,0)),IFERROR(INDEX(MUSTERILER!$B$7:$B$106,MATCH($D420,MUSTERILER!$B$7:$B$106,0)),IFERROR(INDEX(MUSTERILER!$B$7:$B$106,MATCH($D420&amp;"*",MUSTERILER!$C$7:$C$106,0)),"TANIMSIZ MÜŞTERİ"))))</f>
        <v/>
      </c>
      <c r="D420" s="109" t="n"/>
      <c r="E420" s="225" t="n"/>
      <c r="F420" s="226" t="n"/>
      <c r="G420" s="108" t="n"/>
      <c r="H420" s="108" t="n"/>
      <c r="I420" s="109" t="n"/>
      <c r="J420" s="109" t="n"/>
      <c r="K420" s="109" t="n"/>
      <c r="L420" s="231">
        <f>IF($E420="","",DATE(YEAR($E420),MONTH($E420),1))</f>
        <v/>
      </c>
      <c r="M420" s="113">
        <f>IF($D420="","",IF($C420="TANIMSIZ MÜŞTERİ","HATA",IF(OR($E420="",$F420&lt;=0,$G420=""),"EKSİK",IF($E420&gt;TODAY(),"İLERİ TARİH","UYGUN"))))</f>
        <v/>
      </c>
      <c r="N420" s="121">
        <f>IF($C420="","",IF($C420="TANIMSIZ MÜŞTERİ","—",INDEX(MUSTERILER!$C$7:$C$106,MATCH($C420,MUSTERILER!$B$7:$B$106,0))))</f>
        <v/>
      </c>
      <c r="O420" s="6" t="n"/>
      <c r="P420" s="6" t="n"/>
      <c r="Q420" s="3">
        <f>IF($D420="","",$C420&amp;"|"&amp;COUNTIFS($C$7:$C420,$C420))</f>
        <v/>
      </c>
    </row>
    <row r="421">
      <c r="A421" s="6" t="n"/>
      <c r="B421" s="113">
        <f>IF($D421="","","T"&amp;TEXT(ROW()-6,"00000"))</f>
        <v/>
      </c>
      <c r="C421" s="113">
        <f>IF($D421="","",IFERROR(INDEX(MUSTERILER!$B$7:$B$106,MATCH($D421,MUSTERILER!$C$7:$C$106,0)),IFERROR(INDEX(MUSTERILER!$B$7:$B$106,MATCH($D421,MUSTERILER!$B$7:$B$106,0)),IFERROR(INDEX(MUSTERILER!$B$7:$B$106,MATCH($D421&amp;"*",MUSTERILER!$C$7:$C$106,0)),"TANIMSIZ MÜŞTERİ"))))</f>
        <v/>
      </c>
      <c r="D421" s="109" t="n"/>
      <c r="E421" s="225" t="n"/>
      <c r="F421" s="226" t="n"/>
      <c r="G421" s="108" t="n"/>
      <c r="H421" s="108" t="n"/>
      <c r="I421" s="109" t="n"/>
      <c r="J421" s="109" t="n"/>
      <c r="K421" s="109" t="n"/>
      <c r="L421" s="231">
        <f>IF($E421="","",DATE(YEAR($E421),MONTH($E421),1))</f>
        <v/>
      </c>
      <c r="M421" s="113">
        <f>IF($D421="","",IF($C421="TANIMSIZ MÜŞTERİ","HATA",IF(OR($E421="",$F421&lt;=0,$G421=""),"EKSİK",IF($E421&gt;TODAY(),"İLERİ TARİH","UYGUN"))))</f>
        <v/>
      </c>
      <c r="N421" s="121">
        <f>IF($C421="","",IF($C421="TANIMSIZ MÜŞTERİ","—",INDEX(MUSTERILER!$C$7:$C$106,MATCH($C421,MUSTERILER!$B$7:$B$106,0))))</f>
        <v/>
      </c>
      <c r="O421" s="6" t="n"/>
      <c r="P421" s="6" t="n"/>
      <c r="Q421" s="3">
        <f>IF($D421="","",$C421&amp;"|"&amp;COUNTIFS($C$7:$C421,$C421))</f>
        <v/>
      </c>
    </row>
    <row r="422">
      <c r="A422" s="6" t="n"/>
      <c r="B422" s="113">
        <f>IF($D422="","","T"&amp;TEXT(ROW()-6,"00000"))</f>
        <v/>
      </c>
      <c r="C422" s="113">
        <f>IF($D422="","",IFERROR(INDEX(MUSTERILER!$B$7:$B$106,MATCH($D422,MUSTERILER!$C$7:$C$106,0)),IFERROR(INDEX(MUSTERILER!$B$7:$B$106,MATCH($D422,MUSTERILER!$B$7:$B$106,0)),IFERROR(INDEX(MUSTERILER!$B$7:$B$106,MATCH($D422&amp;"*",MUSTERILER!$C$7:$C$106,0)),"TANIMSIZ MÜŞTERİ"))))</f>
        <v/>
      </c>
      <c r="D422" s="109" t="n"/>
      <c r="E422" s="225" t="n"/>
      <c r="F422" s="226" t="n"/>
      <c r="G422" s="108" t="n"/>
      <c r="H422" s="108" t="n"/>
      <c r="I422" s="109" t="n"/>
      <c r="J422" s="109" t="n"/>
      <c r="K422" s="109" t="n"/>
      <c r="L422" s="231">
        <f>IF($E422="","",DATE(YEAR($E422),MONTH($E422),1))</f>
        <v/>
      </c>
      <c r="M422" s="113">
        <f>IF($D422="","",IF($C422="TANIMSIZ MÜŞTERİ","HATA",IF(OR($E422="",$F422&lt;=0,$G422=""),"EKSİK",IF($E422&gt;TODAY(),"İLERİ TARİH","UYGUN"))))</f>
        <v/>
      </c>
      <c r="N422" s="121">
        <f>IF($C422="","",IF($C422="TANIMSIZ MÜŞTERİ","—",INDEX(MUSTERILER!$C$7:$C$106,MATCH($C422,MUSTERILER!$B$7:$B$106,0))))</f>
        <v/>
      </c>
      <c r="O422" s="6" t="n"/>
      <c r="P422" s="6" t="n"/>
      <c r="Q422" s="3">
        <f>IF($D422="","",$C422&amp;"|"&amp;COUNTIFS($C$7:$C422,$C422))</f>
        <v/>
      </c>
    </row>
    <row r="423">
      <c r="A423" s="6" t="n"/>
      <c r="B423" s="113">
        <f>IF($D423="","","T"&amp;TEXT(ROW()-6,"00000"))</f>
        <v/>
      </c>
      <c r="C423" s="113">
        <f>IF($D423="","",IFERROR(INDEX(MUSTERILER!$B$7:$B$106,MATCH($D423,MUSTERILER!$C$7:$C$106,0)),IFERROR(INDEX(MUSTERILER!$B$7:$B$106,MATCH($D423,MUSTERILER!$B$7:$B$106,0)),IFERROR(INDEX(MUSTERILER!$B$7:$B$106,MATCH($D423&amp;"*",MUSTERILER!$C$7:$C$106,0)),"TANIMSIZ MÜŞTERİ"))))</f>
        <v/>
      </c>
      <c r="D423" s="109" t="n"/>
      <c r="E423" s="225" t="n"/>
      <c r="F423" s="226" t="n"/>
      <c r="G423" s="108" t="n"/>
      <c r="H423" s="108" t="n"/>
      <c r="I423" s="109" t="n"/>
      <c r="J423" s="109" t="n"/>
      <c r="K423" s="109" t="n"/>
      <c r="L423" s="231">
        <f>IF($E423="","",DATE(YEAR($E423),MONTH($E423),1))</f>
        <v/>
      </c>
      <c r="M423" s="113">
        <f>IF($D423="","",IF($C423="TANIMSIZ MÜŞTERİ","HATA",IF(OR($E423="",$F423&lt;=0,$G423=""),"EKSİK",IF($E423&gt;TODAY(),"İLERİ TARİH","UYGUN"))))</f>
        <v/>
      </c>
      <c r="N423" s="121">
        <f>IF($C423="","",IF($C423="TANIMSIZ MÜŞTERİ","—",INDEX(MUSTERILER!$C$7:$C$106,MATCH($C423,MUSTERILER!$B$7:$B$106,0))))</f>
        <v/>
      </c>
      <c r="O423" s="6" t="n"/>
      <c r="P423" s="6" t="n"/>
      <c r="Q423" s="3">
        <f>IF($D423="","",$C423&amp;"|"&amp;COUNTIFS($C$7:$C423,$C423))</f>
        <v/>
      </c>
    </row>
    <row r="424">
      <c r="A424" s="6" t="n"/>
      <c r="B424" s="113">
        <f>IF($D424="","","T"&amp;TEXT(ROW()-6,"00000"))</f>
        <v/>
      </c>
      <c r="C424" s="113">
        <f>IF($D424="","",IFERROR(INDEX(MUSTERILER!$B$7:$B$106,MATCH($D424,MUSTERILER!$C$7:$C$106,0)),IFERROR(INDEX(MUSTERILER!$B$7:$B$106,MATCH($D424,MUSTERILER!$B$7:$B$106,0)),IFERROR(INDEX(MUSTERILER!$B$7:$B$106,MATCH($D424&amp;"*",MUSTERILER!$C$7:$C$106,0)),"TANIMSIZ MÜŞTERİ"))))</f>
        <v/>
      </c>
      <c r="D424" s="109" t="n"/>
      <c r="E424" s="225" t="n"/>
      <c r="F424" s="226" t="n"/>
      <c r="G424" s="108" t="n"/>
      <c r="H424" s="108" t="n"/>
      <c r="I424" s="109" t="n"/>
      <c r="J424" s="109" t="n"/>
      <c r="K424" s="109" t="n"/>
      <c r="L424" s="231">
        <f>IF($E424="","",DATE(YEAR($E424),MONTH($E424),1))</f>
        <v/>
      </c>
      <c r="M424" s="113">
        <f>IF($D424="","",IF($C424="TANIMSIZ MÜŞTERİ","HATA",IF(OR($E424="",$F424&lt;=0,$G424=""),"EKSİK",IF($E424&gt;TODAY(),"İLERİ TARİH","UYGUN"))))</f>
        <v/>
      </c>
      <c r="N424" s="121">
        <f>IF($C424="","",IF($C424="TANIMSIZ MÜŞTERİ","—",INDEX(MUSTERILER!$C$7:$C$106,MATCH($C424,MUSTERILER!$B$7:$B$106,0))))</f>
        <v/>
      </c>
      <c r="O424" s="6" t="n"/>
      <c r="P424" s="6" t="n"/>
      <c r="Q424" s="3">
        <f>IF($D424="","",$C424&amp;"|"&amp;COUNTIFS($C$7:$C424,$C424))</f>
        <v/>
      </c>
    </row>
    <row r="425">
      <c r="A425" s="6" t="n"/>
      <c r="B425" s="113">
        <f>IF($D425="","","T"&amp;TEXT(ROW()-6,"00000"))</f>
        <v/>
      </c>
      <c r="C425" s="113">
        <f>IF($D425="","",IFERROR(INDEX(MUSTERILER!$B$7:$B$106,MATCH($D425,MUSTERILER!$C$7:$C$106,0)),IFERROR(INDEX(MUSTERILER!$B$7:$B$106,MATCH($D425,MUSTERILER!$B$7:$B$106,0)),IFERROR(INDEX(MUSTERILER!$B$7:$B$106,MATCH($D425&amp;"*",MUSTERILER!$C$7:$C$106,0)),"TANIMSIZ MÜŞTERİ"))))</f>
        <v/>
      </c>
      <c r="D425" s="109" t="n"/>
      <c r="E425" s="225" t="n"/>
      <c r="F425" s="226" t="n"/>
      <c r="G425" s="108" t="n"/>
      <c r="H425" s="108" t="n"/>
      <c r="I425" s="109" t="n"/>
      <c r="J425" s="109" t="n"/>
      <c r="K425" s="109" t="n"/>
      <c r="L425" s="231">
        <f>IF($E425="","",DATE(YEAR($E425),MONTH($E425),1))</f>
        <v/>
      </c>
      <c r="M425" s="113">
        <f>IF($D425="","",IF($C425="TANIMSIZ MÜŞTERİ","HATA",IF(OR($E425="",$F425&lt;=0,$G425=""),"EKSİK",IF($E425&gt;TODAY(),"İLERİ TARİH","UYGUN"))))</f>
        <v/>
      </c>
      <c r="N425" s="121">
        <f>IF($C425="","",IF($C425="TANIMSIZ MÜŞTERİ","—",INDEX(MUSTERILER!$C$7:$C$106,MATCH($C425,MUSTERILER!$B$7:$B$106,0))))</f>
        <v/>
      </c>
      <c r="O425" s="6" t="n"/>
      <c r="P425" s="6" t="n"/>
      <c r="Q425" s="3">
        <f>IF($D425="","",$C425&amp;"|"&amp;COUNTIFS($C$7:$C425,$C425))</f>
        <v/>
      </c>
    </row>
    <row r="426">
      <c r="A426" s="6" t="n"/>
      <c r="B426" s="113">
        <f>IF($D426="","","T"&amp;TEXT(ROW()-6,"00000"))</f>
        <v/>
      </c>
      <c r="C426" s="113">
        <f>IF($D426="","",IFERROR(INDEX(MUSTERILER!$B$7:$B$106,MATCH($D426,MUSTERILER!$C$7:$C$106,0)),IFERROR(INDEX(MUSTERILER!$B$7:$B$106,MATCH($D426,MUSTERILER!$B$7:$B$106,0)),IFERROR(INDEX(MUSTERILER!$B$7:$B$106,MATCH($D426&amp;"*",MUSTERILER!$C$7:$C$106,0)),"TANIMSIZ MÜŞTERİ"))))</f>
        <v/>
      </c>
      <c r="D426" s="109" t="n"/>
      <c r="E426" s="225" t="n"/>
      <c r="F426" s="226" t="n"/>
      <c r="G426" s="108" t="n"/>
      <c r="H426" s="108" t="n"/>
      <c r="I426" s="109" t="n"/>
      <c r="J426" s="109" t="n"/>
      <c r="K426" s="109" t="n"/>
      <c r="L426" s="231">
        <f>IF($E426="","",DATE(YEAR($E426),MONTH($E426),1))</f>
        <v/>
      </c>
      <c r="M426" s="113">
        <f>IF($D426="","",IF($C426="TANIMSIZ MÜŞTERİ","HATA",IF(OR($E426="",$F426&lt;=0,$G426=""),"EKSİK",IF($E426&gt;TODAY(),"İLERİ TARİH","UYGUN"))))</f>
        <v/>
      </c>
      <c r="N426" s="121">
        <f>IF($C426="","",IF($C426="TANIMSIZ MÜŞTERİ","—",INDEX(MUSTERILER!$C$7:$C$106,MATCH($C426,MUSTERILER!$B$7:$B$106,0))))</f>
        <v/>
      </c>
      <c r="O426" s="6" t="n"/>
      <c r="P426" s="6" t="n"/>
      <c r="Q426" s="3">
        <f>IF($D426="","",$C426&amp;"|"&amp;COUNTIFS($C$7:$C426,$C426))</f>
        <v/>
      </c>
    </row>
    <row r="427">
      <c r="A427" s="6" t="n"/>
      <c r="B427" s="113">
        <f>IF($D427="","","T"&amp;TEXT(ROW()-6,"00000"))</f>
        <v/>
      </c>
      <c r="C427" s="113">
        <f>IF($D427="","",IFERROR(INDEX(MUSTERILER!$B$7:$B$106,MATCH($D427,MUSTERILER!$C$7:$C$106,0)),IFERROR(INDEX(MUSTERILER!$B$7:$B$106,MATCH($D427,MUSTERILER!$B$7:$B$106,0)),IFERROR(INDEX(MUSTERILER!$B$7:$B$106,MATCH($D427&amp;"*",MUSTERILER!$C$7:$C$106,0)),"TANIMSIZ MÜŞTERİ"))))</f>
        <v/>
      </c>
      <c r="D427" s="109" t="n"/>
      <c r="E427" s="225" t="n"/>
      <c r="F427" s="226" t="n"/>
      <c r="G427" s="108" t="n"/>
      <c r="H427" s="108" t="n"/>
      <c r="I427" s="109" t="n"/>
      <c r="J427" s="109" t="n"/>
      <c r="K427" s="109" t="n"/>
      <c r="L427" s="231">
        <f>IF($E427="","",DATE(YEAR($E427),MONTH($E427),1))</f>
        <v/>
      </c>
      <c r="M427" s="113">
        <f>IF($D427="","",IF($C427="TANIMSIZ MÜŞTERİ","HATA",IF(OR($E427="",$F427&lt;=0,$G427=""),"EKSİK",IF($E427&gt;TODAY(),"İLERİ TARİH","UYGUN"))))</f>
        <v/>
      </c>
      <c r="N427" s="121">
        <f>IF($C427="","",IF($C427="TANIMSIZ MÜŞTERİ","—",INDEX(MUSTERILER!$C$7:$C$106,MATCH($C427,MUSTERILER!$B$7:$B$106,0))))</f>
        <v/>
      </c>
      <c r="O427" s="6" t="n"/>
      <c r="P427" s="6" t="n"/>
      <c r="Q427" s="3">
        <f>IF($D427="","",$C427&amp;"|"&amp;COUNTIFS($C$7:$C427,$C427))</f>
        <v/>
      </c>
    </row>
    <row r="428">
      <c r="A428" s="6" t="n"/>
      <c r="B428" s="113">
        <f>IF($D428="","","T"&amp;TEXT(ROW()-6,"00000"))</f>
        <v/>
      </c>
      <c r="C428" s="113">
        <f>IF($D428="","",IFERROR(INDEX(MUSTERILER!$B$7:$B$106,MATCH($D428,MUSTERILER!$C$7:$C$106,0)),IFERROR(INDEX(MUSTERILER!$B$7:$B$106,MATCH($D428,MUSTERILER!$B$7:$B$106,0)),IFERROR(INDEX(MUSTERILER!$B$7:$B$106,MATCH($D428&amp;"*",MUSTERILER!$C$7:$C$106,0)),"TANIMSIZ MÜŞTERİ"))))</f>
        <v/>
      </c>
      <c r="D428" s="109" t="n"/>
      <c r="E428" s="225" t="n"/>
      <c r="F428" s="226" t="n"/>
      <c r="G428" s="108" t="n"/>
      <c r="H428" s="108" t="n"/>
      <c r="I428" s="109" t="n"/>
      <c r="J428" s="109" t="n"/>
      <c r="K428" s="109" t="n"/>
      <c r="L428" s="231">
        <f>IF($E428="","",DATE(YEAR($E428),MONTH($E428),1))</f>
        <v/>
      </c>
      <c r="M428" s="113">
        <f>IF($D428="","",IF($C428="TANIMSIZ MÜŞTERİ","HATA",IF(OR($E428="",$F428&lt;=0,$G428=""),"EKSİK",IF($E428&gt;TODAY(),"İLERİ TARİH","UYGUN"))))</f>
        <v/>
      </c>
      <c r="N428" s="121">
        <f>IF($C428="","",IF($C428="TANIMSIZ MÜŞTERİ","—",INDEX(MUSTERILER!$C$7:$C$106,MATCH($C428,MUSTERILER!$B$7:$B$106,0))))</f>
        <v/>
      </c>
      <c r="O428" s="6" t="n"/>
      <c r="P428" s="6" t="n"/>
      <c r="Q428" s="3">
        <f>IF($D428="","",$C428&amp;"|"&amp;COUNTIFS($C$7:$C428,$C428))</f>
        <v/>
      </c>
    </row>
    <row r="429">
      <c r="A429" s="6" t="n"/>
      <c r="B429" s="113">
        <f>IF($D429="","","T"&amp;TEXT(ROW()-6,"00000"))</f>
        <v/>
      </c>
      <c r="C429" s="113">
        <f>IF($D429="","",IFERROR(INDEX(MUSTERILER!$B$7:$B$106,MATCH($D429,MUSTERILER!$C$7:$C$106,0)),IFERROR(INDEX(MUSTERILER!$B$7:$B$106,MATCH($D429,MUSTERILER!$B$7:$B$106,0)),IFERROR(INDEX(MUSTERILER!$B$7:$B$106,MATCH($D429&amp;"*",MUSTERILER!$C$7:$C$106,0)),"TANIMSIZ MÜŞTERİ"))))</f>
        <v/>
      </c>
      <c r="D429" s="109" t="n"/>
      <c r="E429" s="225" t="n"/>
      <c r="F429" s="226" t="n"/>
      <c r="G429" s="108" t="n"/>
      <c r="H429" s="108" t="n"/>
      <c r="I429" s="109" t="n"/>
      <c r="J429" s="109" t="n"/>
      <c r="K429" s="109" t="n"/>
      <c r="L429" s="231">
        <f>IF($E429="","",DATE(YEAR($E429),MONTH($E429),1))</f>
        <v/>
      </c>
      <c r="M429" s="113">
        <f>IF($D429="","",IF($C429="TANIMSIZ MÜŞTERİ","HATA",IF(OR($E429="",$F429&lt;=0,$G429=""),"EKSİK",IF($E429&gt;TODAY(),"İLERİ TARİH","UYGUN"))))</f>
        <v/>
      </c>
      <c r="N429" s="121">
        <f>IF($C429="","",IF($C429="TANIMSIZ MÜŞTERİ","—",INDEX(MUSTERILER!$C$7:$C$106,MATCH($C429,MUSTERILER!$B$7:$B$106,0))))</f>
        <v/>
      </c>
      <c r="O429" s="6" t="n"/>
      <c r="P429" s="6" t="n"/>
      <c r="Q429" s="3">
        <f>IF($D429="","",$C429&amp;"|"&amp;COUNTIFS($C$7:$C429,$C429))</f>
        <v/>
      </c>
    </row>
    <row r="430">
      <c r="A430" s="6" t="n"/>
      <c r="B430" s="113">
        <f>IF($D430="","","T"&amp;TEXT(ROW()-6,"00000"))</f>
        <v/>
      </c>
      <c r="C430" s="113">
        <f>IF($D430="","",IFERROR(INDEX(MUSTERILER!$B$7:$B$106,MATCH($D430,MUSTERILER!$C$7:$C$106,0)),IFERROR(INDEX(MUSTERILER!$B$7:$B$106,MATCH($D430,MUSTERILER!$B$7:$B$106,0)),IFERROR(INDEX(MUSTERILER!$B$7:$B$106,MATCH($D430&amp;"*",MUSTERILER!$C$7:$C$106,0)),"TANIMSIZ MÜŞTERİ"))))</f>
        <v/>
      </c>
      <c r="D430" s="109" t="n"/>
      <c r="E430" s="225" t="n"/>
      <c r="F430" s="226" t="n"/>
      <c r="G430" s="108" t="n"/>
      <c r="H430" s="108" t="n"/>
      <c r="I430" s="109" t="n"/>
      <c r="J430" s="109" t="n"/>
      <c r="K430" s="109" t="n"/>
      <c r="L430" s="231">
        <f>IF($E430="","",DATE(YEAR($E430),MONTH($E430),1))</f>
        <v/>
      </c>
      <c r="M430" s="113">
        <f>IF($D430="","",IF($C430="TANIMSIZ MÜŞTERİ","HATA",IF(OR($E430="",$F430&lt;=0,$G430=""),"EKSİK",IF($E430&gt;TODAY(),"İLERİ TARİH","UYGUN"))))</f>
        <v/>
      </c>
      <c r="N430" s="121">
        <f>IF($C430="","",IF($C430="TANIMSIZ MÜŞTERİ","—",INDEX(MUSTERILER!$C$7:$C$106,MATCH($C430,MUSTERILER!$B$7:$B$106,0))))</f>
        <v/>
      </c>
      <c r="O430" s="6" t="n"/>
      <c r="P430" s="6" t="n"/>
      <c r="Q430" s="3">
        <f>IF($D430="","",$C430&amp;"|"&amp;COUNTIFS($C$7:$C430,$C430))</f>
        <v/>
      </c>
    </row>
    <row r="431">
      <c r="A431" s="6" t="n"/>
      <c r="B431" s="113">
        <f>IF($D431="","","T"&amp;TEXT(ROW()-6,"00000"))</f>
        <v/>
      </c>
      <c r="C431" s="113">
        <f>IF($D431="","",IFERROR(INDEX(MUSTERILER!$B$7:$B$106,MATCH($D431,MUSTERILER!$C$7:$C$106,0)),IFERROR(INDEX(MUSTERILER!$B$7:$B$106,MATCH($D431,MUSTERILER!$B$7:$B$106,0)),IFERROR(INDEX(MUSTERILER!$B$7:$B$106,MATCH($D431&amp;"*",MUSTERILER!$C$7:$C$106,0)),"TANIMSIZ MÜŞTERİ"))))</f>
        <v/>
      </c>
      <c r="D431" s="109" t="n"/>
      <c r="E431" s="225" t="n"/>
      <c r="F431" s="226" t="n"/>
      <c r="G431" s="108" t="n"/>
      <c r="H431" s="108" t="n"/>
      <c r="I431" s="109" t="n"/>
      <c r="J431" s="109" t="n"/>
      <c r="K431" s="109" t="n"/>
      <c r="L431" s="231">
        <f>IF($E431="","",DATE(YEAR($E431),MONTH($E431),1))</f>
        <v/>
      </c>
      <c r="M431" s="113">
        <f>IF($D431="","",IF($C431="TANIMSIZ MÜŞTERİ","HATA",IF(OR($E431="",$F431&lt;=0,$G431=""),"EKSİK",IF($E431&gt;TODAY(),"İLERİ TARİH","UYGUN"))))</f>
        <v/>
      </c>
      <c r="N431" s="121">
        <f>IF($C431="","",IF($C431="TANIMSIZ MÜŞTERİ","—",INDEX(MUSTERILER!$C$7:$C$106,MATCH($C431,MUSTERILER!$B$7:$B$106,0))))</f>
        <v/>
      </c>
      <c r="O431" s="6" t="n"/>
      <c r="P431" s="6" t="n"/>
      <c r="Q431" s="3">
        <f>IF($D431="","",$C431&amp;"|"&amp;COUNTIFS($C$7:$C431,$C431))</f>
        <v/>
      </c>
    </row>
    <row r="432">
      <c r="A432" s="6" t="n"/>
      <c r="B432" s="113">
        <f>IF($D432="","","T"&amp;TEXT(ROW()-6,"00000"))</f>
        <v/>
      </c>
      <c r="C432" s="113">
        <f>IF($D432="","",IFERROR(INDEX(MUSTERILER!$B$7:$B$106,MATCH($D432,MUSTERILER!$C$7:$C$106,0)),IFERROR(INDEX(MUSTERILER!$B$7:$B$106,MATCH($D432,MUSTERILER!$B$7:$B$106,0)),IFERROR(INDEX(MUSTERILER!$B$7:$B$106,MATCH($D432&amp;"*",MUSTERILER!$C$7:$C$106,0)),"TANIMSIZ MÜŞTERİ"))))</f>
        <v/>
      </c>
      <c r="D432" s="109" t="n"/>
      <c r="E432" s="225" t="n"/>
      <c r="F432" s="226" t="n"/>
      <c r="G432" s="108" t="n"/>
      <c r="H432" s="108" t="n"/>
      <c r="I432" s="109" t="n"/>
      <c r="J432" s="109" t="n"/>
      <c r="K432" s="109" t="n"/>
      <c r="L432" s="231">
        <f>IF($E432="","",DATE(YEAR($E432),MONTH($E432),1))</f>
        <v/>
      </c>
      <c r="M432" s="113">
        <f>IF($D432="","",IF($C432="TANIMSIZ MÜŞTERİ","HATA",IF(OR($E432="",$F432&lt;=0,$G432=""),"EKSİK",IF($E432&gt;TODAY(),"İLERİ TARİH","UYGUN"))))</f>
        <v/>
      </c>
      <c r="N432" s="121">
        <f>IF($C432="","",IF($C432="TANIMSIZ MÜŞTERİ","—",INDEX(MUSTERILER!$C$7:$C$106,MATCH($C432,MUSTERILER!$B$7:$B$106,0))))</f>
        <v/>
      </c>
      <c r="O432" s="6" t="n"/>
      <c r="P432" s="6" t="n"/>
      <c r="Q432" s="3">
        <f>IF($D432="","",$C432&amp;"|"&amp;COUNTIFS($C$7:$C432,$C432))</f>
        <v/>
      </c>
    </row>
    <row r="433">
      <c r="A433" s="6" t="n"/>
      <c r="B433" s="113">
        <f>IF($D433="","","T"&amp;TEXT(ROW()-6,"00000"))</f>
        <v/>
      </c>
      <c r="C433" s="113">
        <f>IF($D433="","",IFERROR(INDEX(MUSTERILER!$B$7:$B$106,MATCH($D433,MUSTERILER!$C$7:$C$106,0)),IFERROR(INDEX(MUSTERILER!$B$7:$B$106,MATCH($D433,MUSTERILER!$B$7:$B$106,0)),IFERROR(INDEX(MUSTERILER!$B$7:$B$106,MATCH($D433&amp;"*",MUSTERILER!$C$7:$C$106,0)),"TANIMSIZ MÜŞTERİ"))))</f>
        <v/>
      </c>
      <c r="D433" s="109" t="n"/>
      <c r="E433" s="225" t="n"/>
      <c r="F433" s="226" t="n"/>
      <c r="G433" s="108" t="n"/>
      <c r="H433" s="108" t="n"/>
      <c r="I433" s="109" t="n"/>
      <c r="J433" s="109" t="n"/>
      <c r="K433" s="109" t="n"/>
      <c r="L433" s="231">
        <f>IF($E433="","",DATE(YEAR($E433),MONTH($E433),1))</f>
        <v/>
      </c>
      <c r="M433" s="113">
        <f>IF($D433="","",IF($C433="TANIMSIZ MÜŞTERİ","HATA",IF(OR($E433="",$F433&lt;=0,$G433=""),"EKSİK",IF($E433&gt;TODAY(),"İLERİ TARİH","UYGUN"))))</f>
        <v/>
      </c>
      <c r="N433" s="121">
        <f>IF($C433="","",IF($C433="TANIMSIZ MÜŞTERİ","—",INDEX(MUSTERILER!$C$7:$C$106,MATCH($C433,MUSTERILER!$B$7:$B$106,0))))</f>
        <v/>
      </c>
      <c r="O433" s="6" t="n"/>
      <c r="P433" s="6" t="n"/>
      <c r="Q433" s="3">
        <f>IF($D433="","",$C433&amp;"|"&amp;COUNTIFS($C$7:$C433,$C433))</f>
        <v/>
      </c>
    </row>
    <row r="434">
      <c r="A434" s="6" t="n"/>
      <c r="B434" s="113">
        <f>IF($D434="","","T"&amp;TEXT(ROW()-6,"00000"))</f>
        <v/>
      </c>
      <c r="C434" s="113">
        <f>IF($D434="","",IFERROR(INDEX(MUSTERILER!$B$7:$B$106,MATCH($D434,MUSTERILER!$C$7:$C$106,0)),IFERROR(INDEX(MUSTERILER!$B$7:$B$106,MATCH($D434,MUSTERILER!$B$7:$B$106,0)),IFERROR(INDEX(MUSTERILER!$B$7:$B$106,MATCH($D434&amp;"*",MUSTERILER!$C$7:$C$106,0)),"TANIMSIZ MÜŞTERİ"))))</f>
        <v/>
      </c>
      <c r="D434" s="109" t="n"/>
      <c r="E434" s="225" t="n"/>
      <c r="F434" s="226" t="n"/>
      <c r="G434" s="108" t="n"/>
      <c r="H434" s="108" t="n"/>
      <c r="I434" s="109" t="n"/>
      <c r="J434" s="109" t="n"/>
      <c r="K434" s="109" t="n"/>
      <c r="L434" s="231">
        <f>IF($E434="","",DATE(YEAR($E434),MONTH($E434),1))</f>
        <v/>
      </c>
      <c r="M434" s="113">
        <f>IF($D434="","",IF($C434="TANIMSIZ MÜŞTERİ","HATA",IF(OR($E434="",$F434&lt;=0,$G434=""),"EKSİK",IF($E434&gt;TODAY(),"İLERİ TARİH","UYGUN"))))</f>
        <v/>
      </c>
      <c r="N434" s="121">
        <f>IF($C434="","",IF($C434="TANIMSIZ MÜŞTERİ","—",INDEX(MUSTERILER!$C$7:$C$106,MATCH($C434,MUSTERILER!$B$7:$B$106,0))))</f>
        <v/>
      </c>
      <c r="O434" s="6" t="n"/>
      <c r="P434" s="6" t="n"/>
      <c r="Q434" s="3">
        <f>IF($D434="","",$C434&amp;"|"&amp;COUNTIFS($C$7:$C434,$C434))</f>
        <v/>
      </c>
    </row>
    <row r="435">
      <c r="A435" s="6" t="n"/>
      <c r="B435" s="113">
        <f>IF($D435="","","T"&amp;TEXT(ROW()-6,"00000"))</f>
        <v/>
      </c>
      <c r="C435" s="113">
        <f>IF($D435="","",IFERROR(INDEX(MUSTERILER!$B$7:$B$106,MATCH($D435,MUSTERILER!$C$7:$C$106,0)),IFERROR(INDEX(MUSTERILER!$B$7:$B$106,MATCH($D435,MUSTERILER!$B$7:$B$106,0)),IFERROR(INDEX(MUSTERILER!$B$7:$B$106,MATCH($D435&amp;"*",MUSTERILER!$C$7:$C$106,0)),"TANIMSIZ MÜŞTERİ"))))</f>
        <v/>
      </c>
      <c r="D435" s="109" t="n"/>
      <c r="E435" s="225" t="n"/>
      <c r="F435" s="226" t="n"/>
      <c r="G435" s="108" t="n"/>
      <c r="H435" s="108" t="n"/>
      <c r="I435" s="109" t="n"/>
      <c r="J435" s="109" t="n"/>
      <c r="K435" s="109" t="n"/>
      <c r="L435" s="231">
        <f>IF($E435="","",DATE(YEAR($E435),MONTH($E435),1))</f>
        <v/>
      </c>
      <c r="M435" s="113">
        <f>IF($D435="","",IF($C435="TANIMSIZ MÜŞTERİ","HATA",IF(OR($E435="",$F435&lt;=0,$G435=""),"EKSİK",IF($E435&gt;TODAY(),"İLERİ TARİH","UYGUN"))))</f>
        <v/>
      </c>
      <c r="N435" s="121">
        <f>IF($C435="","",IF($C435="TANIMSIZ MÜŞTERİ","—",INDEX(MUSTERILER!$C$7:$C$106,MATCH($C435,MUSTERILER!$B$7:$B$106,0))))</f>
        <v/>
      </c>
      <c r="O435" s="6" t="n"/>
      <c r="P435" s="6" t="n"/>
      <c r="Q435" s="3">
        <f>IF($D435="","",$C435&amp;"|"&amp;COUNTIFS($C$7:$C435,$C435))</f>
        <v/>
      </c>
    </row>
    <row r="436">
      <c r="A436" s="6" t="n"/>
      <c r="B436" s="113">
        <f>IF($D436="","","T"&amp;TEXT(ROW()-6,"00000"))</f>
        <v/>
      </c>
      <c r="C436" s="113">
        <f>IF($D436="","",IFERROR(INDEX(MUSTERILER!$B$7:$B$106,MATCH($D436,MUSTERILER!$C$7:$C$106,0)),IFERROR(INDEX(MUSTERILER!$B$7:$B$106,MATCH($D436,MUSTERILER!$B$7:$B$106,0)),IFERROR(INDEX(MUSTERILER!$B$7:$B$106,MATCH($D436&amp;"*",MUSTERILER!$C$7:$C$106,0)),"TANIMSIZ MÜŞTERİ"))))</f>
        <v/>
      </c>
      <c r="D436" s="109" t="n"/>
      <c r="E436" s="225" t="n"/>
      <c r="F436" s="226" t="n"/>
      <c r="G436" s="108" t="n"/>
      <c r="H436" s="108" t="n"/>
      <c r="I436" s="109" t="n"/>
      <c r="J436" s="109" t="n"/>
      <c r="K436" s="109" t="n"/>
      <c r="L436" s="231">
        <f>IF($E436="","",DATE(YEAR($E436),MONTH($E436),1))</f>
        <v/>
      </c>
      <c r="M436" s="113">
        <f>IF($D436="","",IF($C436="TANIMSIZ MÜŞTERİ","HATA",IF(OR($E436="",$F436&lt;=0,$G436=""),"EKSİK",IF($E436&gt;TODAY(),"İLERİ TARİH","UYGUN"))))</f>
        <v/>
      </c>
      <c r="N436" s="121">
        <f>IF($C436="","",IF($C436="TANIMSIZ MÜŞTERİ","—",INDEX(MUSTERILER!$C$7:$C$106,MATCH($C436,MUSTERILER!$B$7:$B$106,0))))</f>
        <v/>
      </c>
      <c r="O436" s="6" t="n"/>
      <c r="P436" s="6" t="n"/>
      <c r="Q436" s="3">
        <f>IF($D436="","",$C436&amp;"|"&amp;COUNTIFS($C$7:$C436,$C436))</f>
        <v/>
      </c>
    </row>
    <row r="437">
      <c r="A437" s="6" t="n"/>
      <c r="B437" s="113">
        <f>IF($D437="","","T"&amp;TEXT(ROW()-6,"00000"))</f>
        <v/>
      </c>
      <c r="C437" s="113">
        <f>IF($D437="","",IFERROR(INDEX(MUSTERILER!$B$7:$B$106,MATCH($D437,MUSTERILER!$C$7:$C$106,0)),IFERROR(INDEX(MUSTERILER!$B$7:$B$106,MATCH($D437,MUSTERILER!$B$7:$B$106,0)),IFERROR(INDEX(MUSTERILER!$B$7:$B$106,MATCH($D437&amp;"*",MUSTERILER!$C$7:$C$106,0)),"TANIMSIZ MÜŞTERİ"))))</f>
        <v/>
      </c>
      <c r="D437" s="109" t="n"/>
      <c r="E437" s="225" t="n"/>
      <c r="F437" s="226" t="n"/>
      <c r="G437" s="108" t="n"/>
      <c r="H437" s="108" t="n"/>
      <c r="I437" s="109" t="n"/>
      <c r="J437" s="109" t="n"/>
      <c r="K437" s="109" t="n"/>
      <c r="L437" s="231">
        <f>IF($E437="","",DATE(YEAR($E437),MONTH($E437),1))</f>
        <v/>
      </c>
      <c r="M437" s="113">
        <f>IF($D437="","",IF($C437="TANIMSIZ MÜŞTERİ","HATA",IF(OR($E437="",$F437&lt;=0,$G437=""),"EKSİK",IF($E437&gt;TODAY(),"İLERİ TARİH","UYGUN"))))</f>
        <v/>
      </c>
      <c r="N437" s="121">
        <f>IF($C437="","",IF($C437="TANIMSIZ MÜŞTERİ","—",INDEX(MUSTERILER!$C$7:$C$106,MATCH($C437,MUSTERILER!$B$7:$B$106,0))))</f>
        <v/>
      </c>
      <c r="O437" s="6" t="n"/>
      <c r="P437" s="6" t="n"/>
      <c r="Q437" s="3">
        <f>IF($D437="","",$C437&amp;"|"&amp;COUNTIFS($C$7:$C437,$C437))</f>
        <v/>
      </c>
    </row>
    <row r="438">
      <c r="A438" s="6" t="n"/>
      <c r="B438" s="113">
        <f>IF($D438="","","T"&amp;TEXT(ROW()-6,"00000"))</f>
        <v/>
      </c>
      <c r="C438" s="113">
        <f>IF($D438="","",IFERROR(INDEX(MUSTERILER!$B$7:$B$106,MATCH($D438,MUSTERILER!$C$7:$C$106,0)),IFERROR(INDEX(MUSTERILER!$B$7:$B$106,MATCH($D438,MUSTERILER!$B$7:$B$106,0)),IFERROR(INDEX(MUSTERILER!$B$7:$B$106,MATCH($D438&amp;"*",MUSTERILER!$C$7:$C$106,0)),"TANIMSIZ MÜŞTERİ"))))</f>
        <v/>
      </c>
      <c r="D438" s="109" t="n"/>
      <c r="E438" s="225" t="n"/>
      <c r="F438" s="226" t="n"/>
      <c r="G438" s="108" t="n"/>
      <c r="H438" s="108" t="n"/>
      <c r="I438" s="109" t="n"/>
      <c r="J438" s="109" t="n"/>
      <c r="K438" s="109" t="n"/>
      <c r="L438" s="231">
        <f>IF($E438="","",DATE(YEAR($E438),MONTH($E438),1))</f>
        <v/>
      </c>
      <c r="M438" s="113">
        <f>IF($D438="","",IF($C438="TANIMSIZ MÜŞTERİ","HATA",IF(OR($E438="",$F438&lt;=0,$G438=""),"EKSİK",IF($E438&gt;TODAY(),"İLERİ TARİH","UYGUN"))))</f>
        <v/>
      </c>
      <c r="N438" s="121">
        <f>IF($C438="","",IF($C438="TANIMSIZ MÜŞTERİ","—",INDEX(MUSTERILER!$C$7:$C$106,MATCH($C438,MUSTERILER!$B$7:$B$106,0))))</f>
        <v/>
      </c>
      <c r="O438" s="6" t="n"/>
      <c r="P438" s="6" t="n"/>
      <c r="Q438" s="3">
        <f>IF($D438="","",$C438&amp;"|"&amp;COUNTIFS($C$7:$C438,$C438))</f>
        <v/>
      </c>
    </row>
    <row r="439">
      <c r="A439" s="6" t="n"/>
      <c r="B439" s="113">
        <f>IF($D439="","","T"&amp;TEXT(ROW()-6,"00000"))</f>
        <v/>
      </c>
      <c r="C439" s="113">
        <f>IF($D439="","",IFERROR(INDEX(MUSTERILER!$B$7:$B$106,MATCH($D439,MUSTERILER!$C$7:$C$106,0)),IFERROR(INDEX(MUSTERILER!$B$7:$B$106,MATCH($D439,MUSTERILER!$B$7:$B$106,0)),IFERROR(INDEX(MUSTERILER!$B$7:$B$106,MATCH($D439&amp;"*",MUSTERILER!$C$7:$C$106,0)),"TANIMSIZ MÜŞTERİ"))))</f>
        <v/>
      </c>
      <c r="D439" s="109" t="n"/>
      <c r="E439" s="225" t="n"/>
      <c r="F439" s="226" t="n"/>
      <c r="G439" s="108" t="n"/>
      <c r="H439" s="108" t="n"/>
      <c r="I439" s="109" t="n"/>
      <c r="J439" s="109" t="n"/>
      <c r="K439" s="109" t="n"/>
      <c r="L439" s="231">
        <f>IF($E439="","",DATE(YEAR($E439),MONTH($E439),1))</f>
        <v/>
      </c>
      <c r="M439" s="113">
        <f>IF($D439="","",IF($C439="TANIMSIZ MÜŞTERİ","HATA",IF(OR($E439="",$F439&lt;=0,$G439=""),"EKSİK",IF($E439&gt;TODAY(),"İLERİ TARİH","UYGUN"))))</f>
        <v/>
      </c>
      <c r="N439" s="121">
        <f>IF($C439="","",IF($C439="TANIMSIZ MÜŞTERİ","—",INDEX(MUSTERILER!$C$7:$C$106,MATCH($C439,MUSTERILER!$B$7:$B$106,0))))</f>
        <v/>
      </c>
      <c r="O439" s="6" t="n"/>
      <c r="P439" s="6" t="n"/>
      <c r="Q439" s="3">
        <f>IF($D439="","",$C439&amp;"|"&amp;COUNTIFS($C$7:$C439,$C439))</f>
        <v/>
      </c>
    </row>
    <row r="440">
      <c r="A440" s="6" t="n"/>
      <c r="B440" s="113">
        <f>IF($D440="","","T"&amp;TEXT(ROW()-6,"00000"))</f>
        <v/>
      </c>
      <c r="C440" s="113">
        <f>IF($D440="","",IFERROR(INDEX(MUSTERILER!$B$7:$B$106,MATCH($D440,MUSTERILER!$C$7:$C$106,0)),IFERROR(INDEX(MUSTERILER!$B$7:$B$106,MATCH($D440,MUSTERILER!$B$7:$B$106,0)),IFERROR(INDEX(MUSTERILER!$B$7:$B$106,MATCH($D440&amp;"*",MUSTERILER!$C$7:$C$106,0)),"TANIMSIZ MÜŞTERİ"))))</f>
        <v/>
      </c>
      <c r="D440" s="109" t="n"/>
      <c r="E440" s="225" t="n"/>
      <c r="F440" s="226" t="n"/>
      <c r="G440" s="108" t="n"/>
      <c r="H440" s="108" t="n"/>
      <c r="I440" s="109" t="n"/>
      <c r="J440" s="109" t="n"/>
      <c r="K440" s="109" t="n"/>
      <c r="L440" s="231">
        <f>IF($E440="","",DATE(YEAR($E440),MONTH($E440),1))</f>
        <v/>
      </c>
      <c r="M440" s="113">
        <f>IF($D440="","",IF($C440="TANIMSIZ MÜŞTERİ","HATA",IF(OR($E440="",$F440&lt;=0,$G440=""),"EKSİK",IF($E440&gt;TODAY(),"İLERİ TARİH","UYGUN"))))</f>
        <v/>
      </c>
      <c r="N440" s="121">
        <f>IF($C440="","",IF($C440="TANIMSIZ MÜŞTERİ","—",INDEX(MUSTERILER!$C$7:$C$106,MATCH($C440,MUSTERILER!$B$7:$B$106,0))))</f>
        <v/>
      </c>
      <c r="O440" s="6" t="n"/>
      <c r="P440" s="6" t="n"/>
      <c r="Q440" s="3">
        <f>IF($D440="","",$C440&amp;"|"&amp;COUNTIFS($C$7:$C440,$C440))</f>
        <v/>
      </c>
    </row>
    <row r="441">
      <c r="A441" s="6" t="n"/>
      <c r="B441" s="113">
        <f>IF($D441="","","T"&amp;TEXT(ROW()-6,"00000"))</f>
        <v/>
      </c>
      <c r="C441" s="113">
        <f>IF($D441="","",IFERROR(INDEX(MUSTERILER!$B$7:$B$106,MATCH($D441,MUSTERILER!$C$7:$C$106,0)),IFERROR(INDEX(MUSTERILER!$B$7:$B$106,MATCH($D441,MUSTERILER!$B$7:$B$106,0)),IFERROR(INDEX(MUSTERILER!$B$7:$B$106,MATCH($D441&amp;"*",MUSTERILER!$C$7:$C$106,0)),"TANIMSIZ MÜŞTERİ"))))</f>
        <v/>
      </c>
      <c r="D441" s="109" t="n"/>
      <c r="E441" s="225" t="n"/>
      <c r="F441" s="226" t="n"/>
      <c r="G441" s="108" t="n"/>
      <c r="H441" s="108" t="n"/>
      <c r="I441" s="109" t="n"/>
      <c r="J441" s="109" t="n"/>
      <c r="K441" s="109" t="n"/>
      <c r="L441" s="231">
        <f>IF($E441="","",DATE(YEAR($E441),MONTH($E441),1))</f>
        <v/>
      </c>
      <c r="M441" s="113">
        <f>IF($D441="","",IF($C441="TANIMSIZ MÜŞTERİ","HATA",IF(OR($E441="",$F441&lt;=0,$G441=""),"EKSİK",IF($E441&gt;TODAY(),"İLERİ TARİH","UYGUN"))))</f>
        <v/>
      </c>
      <c r="N441" s="121">
        <f>IF($C441="","",IF($C441="TANIMSIZ MÜŞTERİ","—",INDEX(MUSTERILER!$C$7:$C$106,MATCH($C441,MUSTERILER!$B$7:$B$106,0))))</f>
        <v/>
      </c>
      <c r="O441" s="6" t="n"/>
      <c r="P441" s="6" t="n"/>
      <c r="Q441" s="3">
        <f>IF($D441="","",$C441&amp;"|"&amp;COUNTIFS($C$7:$C441,$C441))</f>
        <v/>
      </c>
    </row>
    <row r="442">
      <c r="A442" s="6" t="n"/>
      <c r="B442" s="113">
        <f>IF($D442="","","T"&amp;TEXT(ROW()-6,"00000"))</f>
        <v/>
      </c>
      <c r="C442" s="113">
        <f>IF($D442="","",IFERROR(INDEX(MUSTERILER!$B$7:$B$106,MATCH($D442,MUSTERILER!$C$7:$C$106,0)),IFERROR(INDEX(MUSTERILER!$B$7:$B$106,MATCH($D442,MUSTERILER!$B$7:$B$106,0)),IFERROR(INDEX(MUSTERILER!$B$7:$B$106,MATCH($D442&amp;"*",MUSTERILER!$C$7:$C$106,0)),"TANIMSIZ MÜŞTERİ"))))</f>
        <v/>
      </c>
      <c r="D442" s="109" t="n"/>
      <c r="E442" s="225" t="n"/>
      <c r="F442" s="226" t="n"/>
      <c r="G442" s="108" t="n"/>
      <c r="H442" s="108" t="n"/>
      <c r="I442" s="109" t="n"/>
      <c r="J442" s="109" t="n"/>
      <c r="K442" s="109" t="n"/>
      <c r="L442" s="231">
        <f>IF($E442="","",DATE(YEAR($E442),MONTH($E442),1))</f>
        <v/>
      </c>
      <c r="M442" s="113">
        <f>IF($D442="","",IF($C442="TANIMSIZ MÜŞTERİ","HATA",IF(OR($E442="",$F442&lt;=0,$G442=""),"EKSİK",IF($E442&gt;TODAY(),"İLERİ TARİH","UYGUN"))))</f>
        <v/>
      </c>
      <c r="N442" s="121">
        <f>IF($C442="","",IF($C442="TANIMSIZ MÜŞTERİ","—",INDEX(MUSTERILER!$C$7:$C$106,MATCH($C442,MUSTERILER!$B$7:$B$106,0))))</f>
        <v/>
      </c>
      <c r="O442" s="6" t="n"/>
      <c r="P442" s="6" t="n"/>
      <c r="Q442" s="3">
        <f>IF($D442="","",$C442&amp;"|"&amp;COUNTIFS($C$7:$C442,$C442))</f>
        <v/>
      </c>
    </row>
    <row r="443">
      <c r="A443" s="6" t="n"/>
      <c r="B443" s="113">
        <f>IF($D443="","","T"&amp;TEXT(ROW()-6,"00000"))</f>
        <v/>
      </c>
      <c r="C443" s="113">
        <f>IF($D443="","",IFERROR(INDEX(MUSTERILER!$B$7:$B$106,MATCH($D443,MUSTERILER!$C$7:$C$106,0)),IFERROR(INDEX(MUSTERILER!$B$7:$B$106,MATCH($D443,MUSTERILER!$B$7:$B$106,0)),IFERROR(INDEX(MUSTERILER!$B$7:$B$106,MATCH($D443&amp;"*",MUSTERILER!$C$7:$C$106,0)),"TANIMSIZ MÜŞTERİ"))))</f>
        <v/>
      </c>
      <c r="D443" s="109" t="n"/>
      <c r="E443" s="225" t="n"/>
      <c r="F443" s="226" t="n"/>
      <c r="G443" s="108" t="n"/>
      <c r="H443" s="108" t="n"/>
      <c r="I443" s="109" t="n"/>
      <c r="J443" s="109" t="n"/>
      <c r="K443" s="109" t="n"/>
      <c r="L443" s="231">
        <f>IF($E443="","",DATE(YEAR($E443),MONTH($E443),1))</f>
        <v/>
      </c>
      <c r="M443" s="113">
        <f>IF($D443="","",IF($C443="TANIMSIZ MÜŞTERİ","HATA",IF(OR($E443="",$F443&lt;=0,$G443=""),"EKSİK",IF($E443&gt;TODAY(),"İLERİ TARİH","UYGUN"))))</f>
        <v/>
      </c>
      <c r="N443" s="121">
        <f>IF($C443="","",IF($C443="TANIMSIZ MÜŞTERİ","—",INDEX(MUSTERILER!$C$7:$C$106,MATCH($C443,MUSTERILER!$B$7:$B$106,0))))</f>
        <v/>
      </c>
      <c r="O443" s="6" t="n"/>
      <c r="P443" s="6" t="n"/>
      <c r="Q443" s="3">
        <f>IF($D443="","",$C443&amp;"|"&amp;COUNTIFS($C$7:$C443,$C443))</f>
        <v/>
      </c>
    </row>
    <row r="444">
      <c r="A444" s="6" t="n"/>
      <c r="B444" s="113">
        <f>IF($D444="","","T"&amp;TEXT(ROW()-6,"00000"))</f>
        <v/>
      </c>
      <c r="C444" s="113">
        <f>IF($D444="","",IFERROR(INDEX(MUSTERILER!$B$7:$B$106,MATCH($D444,MUSTERILER!$C$7:$C$106,0)),IFERROR(INDEX(MUSTERILER!$B$7:$B$106,MATCH($D444,MUSTERILER!$B$7:$B$106,0)),IFERROR(INDEX(MUSTERILER!$B$7:$B$106,MATCH($D444&amp;"*",MUSTERILER!$C$7:$C$106,0)),"TANIMSIZ MÜŞTERİ"))))</f>
        <v/>
      </c>
      <c r="D444" s="109" t="n"/>
      <c r="E444" s="225" t="n"/>
      <c r="F444" s="226" t="n"/>
      <c r="G444" s="108" t="n"/>
      <c r="H444" s="108" t="n"/>
      <c r="I444" s="109" t="n"/>
      <c r="J444" s="109" t="n"/>
      <c r="K444" s="109" t="n"/>
      <c r="L444" s="231">
        <f>IF($E444="","",DATE(YEAR($E444),MONTH($E444),1))</f>
        <v/>
      </c>
      <c r="M444" s="113">
        <f>IF($D444="","",IF($C444="TANIMSIZ MÜŞTERİ","HATA",IF(OR($E444="",$F444&lt;=0,$G444=""),"EKSİK",IF($E444&gt;TODAY(),"İLERİ TARİH","UYGUN"))))</f>
        <v/>
      </c>
      <c r="N444" s="121">
        <f>IF($C444="","",IF($C444="TANIMSIZ MÜŞTERİ","—",INDEX(MUSTERILER!$C$7:$C$106,MATCH($C444,MUSTERILER!$B$7:$B$106,0))))</f>
        <v/>
      </c>
      <c r="O444" s="6" t="n"/>
      <c r="P444" s="6" t="n"/>
      <c r="Q444" s="3">
        <f>IF($D444="","",$C444&amp;"|"&amp;COUNTIFS($C$7:$C444,$C444))</f>
        <v/>
      </c>
    </row>
    <row r="445">
      <c r="A445" s="6" t="n"/>
      <c r="B445" s="113">
        <f>IF($D445="","","T"&amp;TEXT(ROW()-6,"00000"))</f>
        <v/>
      </c>
      <c r="C445" s="113">
        <f>IF($D445="","",IFERROR(INDEX(MUSTERILER!$B$7:$B$106,MATCH($D445,MUSTERILER!$C$7:$C$106,0)),IFERROR(INDEX(MUSTERILER!$B$7:$B$106,MATCH($D445,MUSTERILER!$B$7:$B$106,0)),IFERROR(INDEX(MUSTERILER!$B$7:$B$106,MATCH($D445&amp;"*",MUSTERILER!$C$7:$C$106,0)),"TANIMSIZ MÜŞTERİ"))))</f>
        <v/>
      </c>
      <c r="D445" s="109" t="n"/>
      <c r="E445" s="225" t="n"/>
      <c r="F445" s="226" t="n"/>
      <c r="G445" s="108" t="n"/>
      <c r="H445" s="108" t="n"/>
      <c r="I445" s="109" t="n"/>
      <c r="J445" s="109" t="n"/>
      <c r="K445" s="109" t="n"/>
      <c r="L445" s="231">
        <f>IF($E445="","",DATE(YEAR($E445),MONTH($E445),1))</f>
        <v/>
      </c>
      <c r="M445" s="113">
        <f>IF($D445="","",IF($C445="TANIMSIZ MÜŞTERİ","HATA",IF(OR($E445="",$F445&lt;=0,$G445=""),"EKSİK",IF($E445&gt;TODAY(),"İLERİ TARİH","UYGUN"))))</f>
        <v/>
      </c>
      <c r="N445" s="121">
        <f>IF($C445="","",IF($C445="TANIMSIZ MÜŞTERİ","—",INDEX(MUSTERILER!$C$7:$C$106,MATCH($C445,MUSTERILER!$B$7:$B$106,0))))</f>
        <v/>
      </c>
      <c r="O445" s="6" t="n"/>
      <c r="P445" s="6" t="n"/>
      <c r="Q445" s="3">
        <f>IF($D445="","",$C445&amp;"|"&amp;COUNTIFS($C$7:$C445,$C445))</f>
        <v/>
      </c>
    </row>
    <row r="446">
      <c r="A446" s="6" t="n"/>
      <c r="B446" s="113">
        <f>IF($D446="","","T"&amp;TEXT(ROW()-6,"00000"))</f>
        <v/>
      </c>
      <c r="C446" s="113">
        <f>IF($D446="","",IFERROR(INDEX(MUSTERILER!$B$7:$B$106,MATCH($D446,MUSTERILER!$C$7:$C$106,0)),IFERROR(INDEX(MUSTERILER!$B$7:$B$106,MATCH($D446,MUSTERILER!$B$7:$B$106,0)),IFERROR(INDEX(MUSTERILER!$B$7:$B$106,MATCH($D446&amp;"*",MUSTERILER!$C$7:$C$106,0)),"TANIMSIZ MÜŞTERİ"))))</f>
        <v/>
      </c>
      <c r="D446" s="109" t="n"/>
      <c r="E446" s="225" t="n"/>
      <c r="F446" s="226" t="n"/>
      <c r="G446" s="108" t="n"/>
      <c r="H446" s="108" t="n"/>
      <c r="I446" s="109" t="n"/>
      <c r="J446" s="109" t="n"/>
      <c r="K446" s="109" t="n"/>
      <c r="L446" s="231">
        <f>IF($E446="","",DATE(YEAR($E446),MONTH($E446),1))</f>
        <v/>
      </c>
      <c r="M446" s="113">
        <f>IF($D446="","",IF($C446="TANIMSIZ MÜŞTERİ","HATA",IF(OR($E446="",$F446&lt;=0,$G446=""),"EKSİK",IF($E446&gt;TODAY(),"İLERİ TARİH","UYGUN"))))</f>
        <v/>
      </c>
      <c r="N446" s="121">
        <f>IF($C446="","",IF($C446="TANIMSIZ MÜŞTERİ","—",INDEX(MUSTERILER!$C$7:$C$106,MATCH($C446,MUSTERILER!$B$7:$B$106,0))))</f>
        <v/>
      </c>
      <c r="O446" s="6" t="n"/>
      <c r="P446" s="6" t="n"/>
      <c r="Q446" s="3">
        <f>IF($D446="","",$C446&amp;"|"&amp;COUNTIFS($C$7:$C446,$C446))</f>
        <v/>
      </c>
    </row>
    <row r="447">
      <c r="A447" s="6" t="n"/>
      <c r="B447" s="113">
        <f>IF($D447="","","T"&amp;TEXT(ROW()-6,"00000"))</f>
        <v/>
      </c>
      <c r="C447" s="113">
        <f>IF($D447="","",IFERROR(INDEX(MUSTERILER!$B$7:$B$106,MATCH($D447,MUSTERILER!$C$7:$C$106,0)),IFERROR(INDEX(MUSTERILER!$B$7:$B$106,MATCH($D447,MUSTERILER!$B$7:$B$106,0)),IFERROR(INDEX(MUSTERILER!$B$7:$B$106,MATCH($D447&amp;"*",MUSTERILER!$C$7:$C$106,0)),"TANIMSIZ MÜŞTERİ"))))</f>
        <v/>
      </c>
      <c r="D447" s="109" t="n"/>
      <c r="E447" s="225" t="n"/>
      <c r="F447" s="226" t="n"/>
      <c r="G447" s="108" t="n"/>
      <c r="H447" s="108" t="n"/>
      <c r="I447" s="109" t="n"/>
      <c r="J447" s="109" t="n"/>
      <c r="K447" s="109" t="n"/>
      <c r="L447" s="231">
        <f>IF($E447="","",DATE(YEAR($E447),MONTH($E447),1))</f>
        <v/>
      </c>
      <c r="M447" s="113">
        <f>IF($D447="","",IF($C447="TANIMSIZ MÜŞTERİ","HATA",IF(OR($E447="",$F447&lt;=0,$G447=""),"EKSİK",IF($E447&gt;TODAY(),"İLERİ TARİH","UYGUN"))))</f>
        <v/>
      </c>
      <c r="N447" s="121">
        <f>IF($C447="","",IF($C447="TANIMSIZ MÜŞTERİ","—",INDEX(MUSTERILER!$C$7:$C$106,MATCH($C447,MUSTERILER!$B$7:$B$106,0))))</f>
        <v/>
      </c>
      <c r="O447" s="6" t="n"/>
      <c r="P447" s="6" t="n"/>
      <c r="Q447" s="3">
        <f>IF($D447="","",$C447&amp;"|"&amp;COUNTIFS($C$7:$C447,$C447))</f>
        <v/>
      </c>
    </row>
    <row r="448">
      <c r="A448" s="6" t="n"/>
      <c r="B448" s="113">
        <f>IF($D448="","","T"&amp;TEXT(ROW()-6,"00000"))</f>
        <v/>
      </c>
      <c r="C448" s="113">
        <f>IF($D448="","",IFERROR(INDEX(MUSTERILER!$B$7:$B$106,MATCH($D448,MUSTERILER!$C$7:$C$106,0)),IFERROR(INDEX(MUSTERILER!$B$7:$B$106,MATCH($D448,MUSTERILER!$B$7:$B$106,0)),IFERROR(INDEX(MUSTERILER!$B$7:$B$106,MATCH($D448&amp;"*",MUSTERILER!$C$7:$C$106,0)),"TANIMSIZ MÜŞTERİ"))))</f>
        <v/>
      </c>
      <c r="D448" s="109" t="n"/>
      <c r="E448" s="225" t="n"/>
      <c r="F448" s="226" t="n"/>
      <c r="G448" s="108" t="n"/>
      <c r="H448" s="108" t="n"/>
      <c r="I448" s="109" t="n"/>
      <c r="J448" s="109" t="n"/>
      <c r="K448" s="109" t="n"/>
      <c r="L448" s="231">
        <f>IF($E448="","",DATE(YEAR($E448),MONTH($E448),1))</f>
        <v/>
      </c>
      <c r="M448" s="113">
        <f>IF($D448="","",IF($C448="TANIMSIZ MÜŞTERİ","HATA",IF(OR($E448="",$F448&lt;=0,$G448=""),"EKSİK",IF($E448&gt;TODAY(),"İLERİ TARİH","UYGUN"))))</f>
        <v/>
      </c>
      <c r="N448" s="121">
        <f>IF($C448="","",IF($C448="TANIMSIZ MÜŞTERİ","—",INDEX(MUSTERILER!$C$7:$C$106,MATCH($C448,MUSTERILER!$B$7:$B$106,0))))</f>
        <v/>
      </c>
      <c r="O448" s="6" t="n"/>
      <c r="P448" s="6" t="n"/>
      <c r="Q448" s="3">
        <f>IF($D448="","",$C448&amp;"|"&amp;COUNTIFS($C$7:$C448,$C448))</f>
        <v/>
      </c>
    </row>
    <row r="449">
      <c r="A449" s="6" t="n"/>
      <c r="B449" s="113">
        <f>IF($D449="","","T"&amp;TEXT(ROW()-6,"00000"))</f>
        <v/>
      </c>
      <c r="C449" s="113">
        <f>IF($D449="","",IFERROR(INDEX(MUSTERILER!$B$7:$B$106,MATCH($D449,MUSTERILER!$C$7:$C$106,0)),IFERROR(INDEX(MUSTERILER!$B$7:$B$106,MATCH($D449,MUSTERILER!$B$7:$B$106,0)),IFERROR(INDEX(MUSTERILER!$B$7:$B$106,MATCH($D449&amp;"*",MUSTERILER!$C$7:$C$106,0)),"TANIMSIZ MÜŞTERİ"))))</f>
        <v/>
      </c>
      <c r="D449" s="109" t="n"/>
      <c r="E449" s="225" t="n"/>
      <c r="F449" s="226" t="n"/>
      <c r="G449" s="108" t="n"/>
      <c r="H449" s="108" t="n"/>
      <c r="I449" s="109" t="n"/>
      <c r="J449" s="109" t="n"/>
      <c r="K449" s="109" t="n"/>
      <c r="L449" s="231">
        <f>IF($E449="","",DATE(YEAR($E449),MONTH($E449),1))</f>
        <v/>
      </c>
      <c r="M449" s="113">
        <f>IF($D449="","",IF($C449="TANIMSIZ MÜŞTERİ","HATA",IF(OR($E449="",$F449&lt;=0,$G449=""),"EKSİK",IF($E449&gt;TODAY(),"İLERİ TARİH","UYGUN"))))</f>
        <v/>
      </c>
      <c r="N449" s="121">
        <f>IF($C449="","",IF($C449="TANIMSIZ MÜŞTERİ","—",INDEX(MUSTERILER!$C$7:$C$106,MATCH($C449,MUSTERILER!$B$7:$B$106,0))))</f>
        <v/>
      </c>
      <c r="O449" s="6" t="n"/>
      <c r="P449" s="6" t="n"/>
      <c r="Q449" s="3">
        <f>IF($D449="","",$C449&amp;"|"&amp;COUNTIFS($C$7:$C449,$C449))</f>
        <v/>
      </c>
    </row>
    <row r="450">
      <c r="A450" s="6" t="n"/>
      <c r="B450" s="113">
        <f>IF($D450="","","T"&amp;TEXT(ROW()-6,"00000"))</f>
        <v/>
      </c>
      <c r="C450" s="113">
        <f>IF($D450="","",IFERROR(INDEX(MUSTERILER!$B$7:$B$106,MATCH($D450,MUSTERILER!$C$7:$C$106,0)),IFERROR(INDEX(MUSTERILER!$B$7:$B$106,MATCH($D450,MUSTERILER!$B$7:$B$106,0)),IFERROR(INDEX(MUSTERILER!$B$7:$B$106,MATCH($D450&amp;"*",MUSTERILER!$C$7:$C$106,0)),"TANIMSIZ MÜŞTERİ"))))</f>
        <v/>
      </c>
      <c r="D450" s="109" t="n"/>
      <c r="E450" s="225" t="n"/>
      <c r="F450" s="226" t="n"/>
      <c r="G450" s="108" t="n"/>
      <c r="H450" s="108" t="n"/>
      <c r="I450" s="109" t="n"/>
      <c r="J450" s="109" t="n"/>
      <c r="K450" s="109" t="n"/>
      <c r="L450" s="231">
        <f>IF($E450="","",DATE(YEAR($E450),MONTH($E450),1))</f>
        <v/>
      </c>
      <c r="M450" s="113">
        <f>IF($D450="","",IF($C450="TANIMSIZ MÜŞTERİ","HATA",IF(OR($E450="",$F450&lt;=0,$G450=""),"EKSİK",IF($E450&gt;TODAY(),"İLERİ TARİH","UYGUN"))))</f>
        <v/>
      </c>
      <c r="N450" s="121">
        <f>IF($C450="","",IF($C450="TANIMSIZ MÜŞTERİ","—",INDEX(MUSTERILER!$C$7:$C$106,MATCH($C450,MUSTERILER!$B$7:$B$106,0))))</f>
        <v/>
      </c>
      <c r="O450" s="6" t="n"/>
      <c r="P450" s="6" t="n"/>
      <c r="Q450" s="3">
        <f>IF($D450="","",$C450&amp;"|"&amp;COUNTIFS($C$7:$C450,$C450))</f>
        <v/>
      </c>
    </row>
    <row r="451">
      <c r="A451" s="6" t="n"/>
      <c r="B451" s="113">
        <f>IF($D451="","","T"&amp;TEXT(ROW()-6,"00000"))</f>
        <v/>
      </c>
      <c r="C451" s="113">
        <f>IF($D451="","",IFERROR(INDEX(MUSTERILER!$B$7:$B$106,MATCH($D451,MUSTERILER!$C$7:$C$106,0)),IFERROR(INDEX(MUSTERILER!$B$7:$B$106,MATCH($D451,MUSTERILER!$B$7:$B$106,0)),IFERROR(INDEX(MUSTERILER!$B$7:$B$106,MATCH($D451&amp;"*",MUSTERILER!$C$7:$C$106,0)),"TANIMSIZ MÜŞTERİ"))))</f>
        <v/>
      </c>
      <c r="D451" s="109" t="n"/>
      <c r="E451" s="225" t="n"/>
      <c r="F451" s="226" t="n"/>
      <c r="G451" s="108" t="n"/>
      <c r="H451" s="108" t="n"/>
      <c r="I451" s="109" t="n"/>
      <c r="J451" s="109" t="n"/>
      <c r="K451" s="109" t="n"/>
      <c r="L451" s="231">
        <f>IF($E451="","",DATE(YEAR($E451),MONTH($E451),1))</f>
        <v/>
      </c>
      <c r="M451" s="113">
        <f>IF($D451="","",IF($C451="TANIMSIZ MÜŞTERİ","HATA",IF(OR($E451="",$F451&lt;=0,$G451=""),"EKSİK",IF($E451&gt;TODAY(),"İLERİ TARİH","UYGUN"))))</f>
        <v/>
      </c>
      <c r="N451" s="121">
        <f>IF($C451="","",IF($C451="TANIMSIZ MÜŞTERİ","—",INDEX(MUSTERILER!$C$7:$C$106,MATCH($C451,MUSTERILER!$B$7:$B$106,0))))</f>
        <v/>
      </c>
      <c r="O451" s="6" t="n"/>
      <c r="P451" s="6" t="n"/>
      <c r="Q451" s="3">
        <f>IF($D451="","",$C451&amp;"|"&amp;COUNTIFS($C$7:$C451,$C451))</f>
        <v/>
      </c>
    </row>
    <row r="452">
      <c r="A452" s="6" t="n"/>
      <c r="B452" s="113">
        <f>IF($D452="","","T"&amp;TEXT(ROW()-6,"00000"))</f>
        <v/>
      </c>
      <c r="C452" s="113">
        <f>IF($D452="","",IFERROR(INDEX(MUSTERILER!$B$7:$B$106,MATCH($D452,MUSTERILER!$C$7:$C$106,0)),IFERROR(INDEX(MUSTERILER!$B$7:$B$106,MATCH($D452,MUSTERILER!$B$7:$B$106,0)),IFERROR(INDEX(MUSTERILER!$B$7:$B$106,MATCH($D452&amp;"*",MUSTERILER!$C$7:$C$106,0)),"TANIMSIZ MÜŞTERİ"))))</f>
        <v/>
      </c>
      <c r="D452" s="109" t="n"/>
      <c r="E452" s="225" t="n"/>
      <c r="F452" s="226" t="n"/>
      <c r="G452" s="108" t="n"/>
      <c r="H452" s="108" t="n"/>
      <c r="I452" s="109" t="n"/>
      <c r="J452" s="109" t="n"/>
      <c r="K452" s="109" t="n"/>
      <c r="L452" s="231">
        <f>IF($E452="","",DATE(YEAR($E452),MONTH($E452),1))</f>
        <v/>
      </c>
      <c r="M452" s="113">
        <f>IF($D452="","",IF($C452="TANIMSIZ MÜŞTERİ","HATA",IF(OR($E452="",$F452&lt;=0,$G452=""),"EKSİK",IF($E452&gt;TODAY(),"İLERİ TARİH","UYGUN"))))</f>
        <v/>
      </c>
      <c r="N452" s="121">
        <f>IF($C452="","",IF($C452="TANIMSIZ MÜŞTERİ","—",INDEX(MUSTERILER!$C$7:$C$106,MATCH($C452,MUSTERILER!$B$7:$B$106,0))))</f>
        <v/>
      </c>
      <c r="O452" s="6" t="n"/>
      <c r="P452" s="6" t="n"/>
      <c r="Q452" s="3">
        <f>IF($D452="","",$C452&amp;"|"&amp;COUNTIFS($C$7:$C452,$C452))</f>
        <v/>
      </c>
    </row>
    <row r="453">
      <c r="A453" s="6" t="n"/>
      <c r="B453" s="113">
        <f>IF($D453="","","T"&amp;TEXT(ROW()-6,"00000"))</f>
        <v/>
      </c>
      <c r="C453" s="113">
        <f>IF($D453="","",IFERROR(INDEX(MUSTERILER!$B$7:$B$106,MATCH($D453,MUSTERILER!$C$7:$C$106,0)),IFERROR(INDEX(MUSTERILER!$B$7:$B$106,MATCH($D453,MUSTERILER!$B$7:$B$106,0)),IFERROR(INDEX(MUSTERILER!$B$7:$B$106,MATCH($D453&amp;"*",MUSTERILER!$C$7:$C$106,0)),"TANIMSIZ MÜŞTERİ"))))</f>
        <v/>
      </c>
      <c r="D453" s="109" t="n"/>
      <c r="E453" s="225" t="n"/>
      <c r="F453" s="226" t="n"/>
      <c r="G453" s="108" t="n"/>
      <c r="H453" s="108" t="n"/>
      <c r="I453" s="109" t="n"/>
      <c r="J453" s="109" t="n"/>
      <c r="K453" s="109" t="n"/>
      <c r="L453" s="231">
        <f>IF($E453="","",DATE(YEAR($E453),MONTH($E453),1))</f>
        <v/>
      </c>
      <c r="M453" s="113">
        <f>IF($D453="","",IF($C453="TANIMSIZ MÜŞTERİ","HATA",IF(OR($E453="",$F453&lt;=0,$G453=""),"EKSİK",IF($E453&gt;TODAY(),"İLERİ TARİH","UYGUN"))))</f>
        <v/>
      </c>
      <c r="N453" s="121">
        <f>IF($C453="","",IF($C453="TANIMSIZ MÜŞTERİ","—",INDEX(MUSTERILER!$C$7:$C$106,MATCH($C453,MUSTERILER!$B$7:$B$106,0))))</f>
        <v/>
      </c>
      <c r="O453" s="6" t="n"/>
      <c r="P453" s="6" t="n"/>
      <c r="Q453" s="3">
        <f>IF($D453="","",$C453&amp;"|"&amp;COUNTIFS($C$7:$C453,$C453))</f>
        <v/>
      </c>
    </row>
    <row r="454">
      <c r="A454" s="6" t="n"/>
      <c r="B454" s="113">
        <f>IF($D454="","","T"&amp;TEXT(ROW()-6,"00000"))</f>
        <v/>
      </c>
      <c r="C454" s="113">
        <f>IF($D454="","",IFERROR(INDEX(MUSTERILER!$B$7:$B$106,MATCH($D454,MUSTERILER!$C$7:$C$106,0)),IFERROR(INDEX(MUSTERILER!$B$7:$B$106,MATCH($D454,MUSTERILER!$B$7:$B$106,0)),IFERROR(INDEX(MUSTERILER!$B$7:$B$106,MATCH($D454&amp;"*",MUSTERILER!$C$7:$C$106,0)),"TANIMSIZ MÜŞTERİ"))))</f>
        <v/>
      </c>
      <c r="D454" s="109" t="n"/>
      <c r="E454" s="225" t="n"/>
      <c r="F454" s="226" t="n"/>
      <c r="G454" s="108" t="n"/>
      <c r="H454" s="108" t="n"/>
      <c r="I454" s="109" t="n"/>
      <c r="J454" s="109" t="n"/>
      <c r="K454" s="109" t="n"/>
      <c r="L454" s="231">
        <f>IF($E454="","",DATE(YEAR($E454),MONTH($E454),1))</f>
        <v/>
      </c>
      <c r="M454" s="113">
        <f>IF($D454="","",IF($C454="TANIMSIZ MÜŞTERİ","HATA",IF(OR($E454="",$F454&lt;=0,$G454=""),"EKSİK",IF($E454&gt;TODAY(),"İLERİ TARİH","UYGUN"))))</f>
        <v/>
      </c>
      <c r="N454" s="121">
        <f>IF($C454="","",IF($C454="TANIMSIZ MÜŞTERİ","—",INDEX(MUSTERILER!$C$7:$C$106,MATCH($C454,MUSTERILER!$B$7:$B$106,0))))</f>
        <v/>
      </c>
      <c r="O454" s="6" t="n"/>
      <c r="P454" s="6" t="n"/>
      <c r="Q454" s="3">
        <f>IF($D454="","",$C454&amp;"|"&amp;COUNTIFS($C$7:$C454,$C454))</f>
        <v/>
      </c>
    </row>
    <row r="455">
      <c r="A455" s="6" t="n"/>
      <c r="B455" s="113">
        <f>IF($D455="","","T"&amp;TEXT(ROW()-6,"00000"))</f>
        <v/>
      </c>
      <c r="C455" s="113">
        <f>IF($D455="","",IFERROR(INDEX(MUSTERILER!$B$7:$B$106,MATCH($D455,MUSTERILER!$C$7:$C$106,0)),IFERROR(INDEX(MUSTERILER!$B$7:$B$106,MATCH($D455,MUSTERILER!$B$7:$B$106,0)),IFERROR(INDEX(MUSTERILER!$B$7:$B$106,MATCH($D455&amp;"*",MUSTERILER!$C$7:$C$106,0)),"TANIMSIZ MÜŞTERİ"))))</f>
        <v/>
      </c>
      <c r="D455" s="109" t="n"/>
      <c r="E455" s="225" t="n"/>
      <c r="F455" s="226" t="n"/>
      <c r="G455" s="108" t="n"/>
      <c r="H455" s="108" t="n"/>
      <c r="I455" s="109" t="n"/>
      <c r="J455" s="109" t="n"/>
      <c r="K455" s="109" t="n"/>
      <c r="L455" s="231">
        <f>IF($E455="","",DATE(YEAR($E455),MONTH($E455),1))</f>
        <v/>
      </c>
      <c r="M455" s="113">
        <f>IF($D455="","",IF($C455="TANIMSIZ MÜŞTERİ","HATA",IF(OR($E455="",$F455&lt;=0,$G455=""),"EKSİK",IF($E455&gt;TODAY(),"İLERİ TARİH","UYGUN"))))</f>
        <v/>
      </c>
      <c r="N455" s="121">
        <f>IF($C455="","",IF($C455="TANIMSIZ MÜŞTERİ","—",INDEX(MUSTERILER!$C$7:$C$106,MATCH($C455,MUSTERILER!$B$7:$B$106,0))))</f>
        <v/>
      </c>
      <c r="O455" s="6" t="n"/>
      <c r="P455" s="6" t="n"/>
      <c r="Q455" s="3">
        <f>IF($D455="","",$C455&amp;"|"&amp;COUNTIFS($C$7:$C455,$C455))</f>
        <v/>
      </c>
    </row>
    <row r="456">
      <c r="A456" s="6" t="n"/>
      <c r="B456" s="113">
        <f>IF($D456="","","T"&amp;TEXT(ROW()-6,"00000"))</f>
        <v/>
      </c>
      <c r="C456" s="113">
        <f>IF($D456="","",IFERROR(INDEX(MUSTERILER!$B$7:$B$106,MATCH($D456,MUSTERILER!$C$7:$C$106,0)),IFERROR(INDEX(MUSTERILER!$B$7:$B$106,MATCH($D456,MUSTERILER!$B$7:$B$106,0)),IFERROR(INDEX(MUSTERILER!$B$7:$B$106,MATCH($D456&amp;"*",MUSTERILER!$C$7:$C$106,0)),"TANIMSIZ MÜŞTERİ"))))</f>
        <v/>
      </c>
      <c r="D456" s="109" t="n"/>
      <c r="E456" s="225" t="n"/>
      <c r="F456" s="226" t="n"/>
      <c r="G456" s="108" t="n"/>
      <c r="H456" s="108" t="n"/>
      <c r="I456" s="109" t="n"/>
      <c r="J456" s="109" t="n"/>
      <c r="K456" s="109" t="n"/>
      <c r="L456" s="231">
        <f>IF($E456="","",DATE(YEAR($E456),MONTH($E456),1))</f>
        <v/>
      </c>
      <c r="M456" s="113">
        <f>IF($D456="","",IF($C456="TANIMSIZ MÜŞTERİ","HATA",IF(OR($E456="",$F456&lt;=0,$G456=""),"EKSİK",IF($E456&gt;TODAY(),"İLERİ TARİH","UYGUN"))))</f>
        <v/>
      </c>
      <c r="N456" s="121">
        <f>IF($C456="","",IF($C456="TANIMSIZ MÜŞTERİ","—",INDEX(MUSTERILER!$C$7:$C$106,MATCH($C456,MUSTERILER!$B$7:$B$106,0))))</f>
        <v/>
      </c>
      <c r="O456" s="6" t="n"/>
      <c r="P456" s="6" t="n"/>
      <c r="Q456" s="3">
        <f>IF($D456="","",$C456&amp;"|"&amp;COUNTIFS($C$7:$C456,$C456))</f>
        <v/>
      </c>
    </row>
    <row r="457">
      <c r="A457" s="6" t="n"/>
      <c r="B457" s="113">
        <f>IF($D457="","","T"&amp;TEXT(ROW()-6,"00000"))</f>
        <v/>
      </c>
      <c r="C457" s="113">
        <f>IF($D457="","",IFERROR(INDEX(MUSTERILER!$B$7:$B$106,MATCH($D457,MUSTERILER!$C$7:$C$106,0)),IFERROR(INDEX(MUSTERILER!$B$7:$B$106,MATCH($D457,MUSTERILER!$B$7:$B$106,0)),IFERROR(INDEX(MUSTERILER!$B$7:$B$106,MATCH($D457&amp;"*",MUSTERILER!$C$7:$C$106,0)),"TANIMSIZ MÜŞTERİ"))))</f>
        <v/>
      </c>
      <c r="D457" s="109" t="n"/>
      <c r="E457" s="225" t="n"/>
      <c r="F457" s="226" t="n"/>
      <c r="G457" s="108" t="n"/>
      <c r="H457" s="108" t="n"/>
      <c r="I457" s="109" t="n"/>
      <c r="J457" s="109" t="n"/>
      <c r="K457" s="109" t="n"/>
      <c r="L457" s="231">
        <f>IF($E457="","",DATE(YEAR($E457),MONTH($E457),1))</f>
        <v/>
      </c>
      <c r="M457" s="113">
        <f>IF($D457="","",IF($C457="TANIMSIZ MÜŞTERİ","HATA",IF(OR($E457="",$F457&lt;=0,$G457=""),"EKSİK",IF($E457&gt;TODAY(),"İLERİ TARİH","UYGUN"))))</f>
        <v/>
      </c>
      <c r="N457" s="121">
        <f>IF($C457="","",IF($C457="TANIMSIZ MÜŞTERİ","—",INDEX(MUSTERILER!$C$7:$C$106,MATCH($C457,MUSTERILER!$B$7:$B$106,0))))</f>
        <v/>
      </c>
      <c r="O457" s="6" t="n"/>
      <c r="P457" s="6" t="n"/>
      <c r="Q457" s="3">
        <f>IF($D457="","",$C457&amp;"|"&amp;COUNTIFS($C$7:$C457,$C457))</f>
        <v/>
      </c>
    </row>
    <row r="458">
      <c r="A458" s="6" t="n"/>
      <c r="B458" s="113">
        <f>IF($D458="","","T"&amp;TEXT(ROW()-6,"00000"))</f>
        <v/>
      </c>
      <c r="C458" s="113">
        <f>IF($D458="","",IFERROR(INDEX(MUSTERILER!$B$7:$B$106,MATCH($D458,MUSTERILER!$C$7:$C$106,0)),IFERROR(INDEX(MUSTERILER!$B$7:$B$106,MATCH($D458,MUSTERILER!$B$7:$B$106,0)),IFERROR(INDEX(MUSTERILER!$B$7:$B$106,MATCH($D458&amp;"*",MUSTERILER!$C$7:$C$106,0)),"TANIMSIZ MÜŞTERİ"))))</f>
        <v/>
      </c>
      <c r="D458" s="109" t="n"/>
      <c r="E458" s="225" t="n"/>
      <c r="F458" s="226" t="n"/>
      <c r="G458" s="108" t="n"/>
      <c r="H458" s="108" t="n"/>
      <c r="I458" s="109" t="n"/>
      <c r="J458" s="109" t="n"/>
      <c r="K458" s="109" t="n"/>
      <c r="L458" s="231">
        <f>IF($E458="","",DATE(YEAR($E458),MONTH($E458),1))</f>
        <v/>
      </c>
      <c r="M458" s="113">
        <f>IF($D458="","",IF($C458="TANIMSIZ MÜŞTERİ","HATA",IF(OR($E458="",$F458&lt;=0,$G458=""),"EKSİK",IF($E458&gt;TODAY(),"İLERİ TARİH","UYGUN"))))</f>
        <v/>
      </c>
      <c r="N458" s="121">
        <f>IF($C458="","",IF($C458="TANIMSIZ MÜŞTERİ","—",INDEX(MUSTERILER!$C$7:$C$106,MATCH($C458,MUSTERILER!$B$7:$B$106,0))))</f>
        <v/>
      </c>
      <c r="O458" s="6" t="n"/>
      <c r="P458" s="6" t="n"/>
      <c r="Q458" s="3">
        <f>IF($D458="","",$C458&amp;"|"&amp;COUNTIFS($C$7:$C458,$C458))</f>
        <v/>
      </c>
    </row>
    <row r="459">
      <c r="A459" s="6" t="n"/>
      <c r="B459" s="113">
        <f>IF($D459="","","T"&amp;TEXT(ROW()-6,"00000"))</f>
        <v/>
      </c>
      <c r="C459" s="113">
        <f>IF($D459="","",IFERROR(INDEX(MUSTERILER!$B$7:$B$106,MATCH($D459,MUSTERILER!$C$7:$C$106,0)),IFERROR(INDEX(MUSTERILER!$B$7:$B$106,MATCH($D459,MUSTERILER!$B$7:$B$106,0)),IFERROR(INDEX(MUSTERILER!$B$7:$B$106,MATCH($D459&amp;"*",MUSTERILER!$C$7:$C$106,0)),"TANIMSIZ MÜŞTERİ"))))</f>
        <v/>
      </c>
      <c r="D459" s="109" t="n"/>
      <c r="E459" s="225" t="n"/>
      <c r="F459" s="226" t="n"/>
      <c r="G459" s="108" t="n"/>
      <c r="H459" s="108" t="n"/>
      <c r="I459" s="109" t="n"/>
      <c r="J459" s="109" t="n"/>
      <c r="K459" s="109" t="n"/>
      <c r="L459" s="231">
        <f>IF($E459="","",DATE(YEAR($E459),MONTH($E459),1))</f>
        <v/>
      </c>
      <c r="M459" s="113">
        <f>IF($D459="","",IF($C459="TANIMSIZ MÜŞTERİ","HATA",IF(OR($E459="",$F459&lt;=0,$G459=""),"EKSİK",IF($E459&gt;TODAY(),"İLERİ TARİH","UYGUN"))))</f>
        <v/>
      </c>
      <c r="N459" s="121">
        <f>IF($C459="","",IF($C459="TANIMSIZ MÜŞTERİ","—",INDEX(MUSTERILER!$C$7:$C$106,MATCH($C459,MUSTERILER!$B$7:$B$106,0))))</f>
        <v/>
      </c>
      <c r="O459" s="6" t="n"/>
      <c r="P459" s="6" t="n"/>
      <c r="Q459" s="3">
        <f>IF($D459="","",$C459&amp;"|"&amp;COUNTIFS($C$7:$C459,$C459))</f>
        <v/>
      </c>
    </row>
    <row r="460">
      <c r="A460" s="6" t="n"/>
      <c r="B460" s="113">
        <f>IF($D460="","","T"&amp;TEXT(ROW()-6,"00000"))</f>
        <v/>
      </c>
      <c r="C460" s="113">
        <f>IF($D460="","",IFERROR(INDEX(MUSTERILER!$B$7:$B$106,MATCH($D460,MUSTERILER!$C$7:$C$106,0)),IFERROR(INDEX(MUSTERILER!$B$7:$B$106,MATCH($D460,MUSTERILER!$B$7:$B$106,0)),IFERROR(INDEX(MUSTERILER!$B$7:$B$106,MATCH($D460&amp;"*",MUSTERILER!$C$7:$C$106,0)),"TANIMSIZ MÜŞTERİ"))))</f>
        <v/>
      </c>
      <c r="D460" s="109" t="n"/>
      <c r="E460" s="225" t="n"/>
      <c r="F460" s="226" t="n"/>
      <c r="G460" s="108" t="n"/>
      <c r="H460" s="108" t="n"/>
      <c r="I460" s="109" t="n"/>
      <c r="J460" s="109" t="n"/>
      <c r="K460" s="109" t="n"/>
      <c r="L460" s="231">
        <f>IF($E460="","",DATE(YEAR($E460),MONTH($E460),1))</f>
        <v/>
      </c>
      <c r="M460" s="113">
        <f>IF($D460="","",IF($C460="TANIMSIZ MÜŞTERİ","HATA",IF(OR($E460="",$F460&lt;=0,$G460=""),"EKSİK",IF($E460&gt;TODAY(),"İLERİ TARİH","UYGUN"))))</f>
        <v/>
      </c>
      <c r="N460" s="121">
        <f>IF($C460="","",IF($C460="TANIMSIZ MÜŞTERİ","—",INDEX(MUSTERILER!$C$7:$C$106,MATCH($C460,MUSTERILER!$B$7:$B$106,0))))</f>
        <v/>
      </c>
      <c r="O460" s="6" t="n"/>
      <c r="P460" s="6" t="n"/>
      <c r="Q460" s="3">
        <f>IF($D460="","",$C460&amp;"|"&amp;COUNTIFS($C$7:$C460,$C460))</f>
        <v/>
      </c>
    </row>
    <row r="461">
      <c r="A461" s="6" t="n"/>
      <c r="B461" s="113">
        <f>IF($D461="","","T"&amp;TEXT(ROW()-6,"00000"))</f>
        <v/>
      </c>
      <c r="C461" s="113">
        <f>IF($D461="","",IFERROR(INDEX(MUSTERILER!$B$7:$B$106,MATCH($D461,MUSTERILER!$C$7:$C$106,0)),IFERROR(INDEX(MUSTERILER!$B$7:$B$106,MATCH($D461,MUSTERILER!$B$7:$B$106,0)),IFERROR(INDEX(MUSTERILER!$B$7:$B$106,MATCH($D461&amp;"*",MUSTERILER!$C$7:$C$106,0)),"TANIMSIZ MÜŞTERİ"))))</f>
        <v/>
      </c>
      <c r="D461" s="109" t="n"/>
      <c r="E461" s="225" t="n"/>
      <c r="F461" s="226" t="n"/>
      <c r="G461" s="108" t="n"/>
      <c r="H461" s="108" t="n"/>
      <c r="I461" s="109" t="n"/>
      <c r="J461" s="109" t="n"/>
      <c r="K461" s="109" t="n"/>
      <c r="L461" s="231">
        <f>IF($E461="","",DATE(YEAR($E461),MONTH($E461),1))</f>
        <v/>
      </c>
      <c r="M461" s="113">
        <f>IF($D461="","",IF($C461="TANIMSIZ MÜŞTERİ","HATA",IF(OR($E461="",$F461&lt;=0,$G461=""),"EKSİK",IF($E461&gt;TODAY(),"İLERİ TARİH","UYGUN"))))</f>
        <v/>
      </c>
      <c r="N461" s="121">
        <f>IF($C461="","",IF($C461="TANIMSIZ MÜŞTERİ","—",INDEX(MUSTERILER!$C$7:$C$106,MATCH($C461,MUSTERILER!$B$7:$B$106,0))))</f>
        <v/>
      </c>
      <c r="O461" s="6" t="n"/>
      <c r="P461" s="6" t="n"/>
      <c r="Q461" s="3">
        <f>IF($D461="","",$C461&amp;"|"&amp;COUNTIFS($C$7:$C461,$C461))</f>
        <v/>
      </c>
    </row>
    <row r="462">
      <c r="A462" s="6" t="n"/>
      <c r="B462" s="113">
        <f>IF($D462="","","T"&amp;TEXT(ROW()-6,"00000"))</f>
        <v/>
      </c>
      <c r="C462" s="113">
        <f>IF($D462="","",IFERROR(INDEX(MUSTERILER!$B$7:$B$106,MATCH($D462,MUSTERILER!$C$7:$C$106,0)),IFERROR(INDEX(MUSTERILER!$B$7:$B$106,MATCH($D462,MUSTERILER!$B$7:$B$106,0)),IFERROR(INDEX(MUSTERILER!$B$7:$B$106,MATCH($D462&amp;"*",MUSTERILER!$C$7:$C$106,0)),"TANIMSIZ MÜŞTERİ"))))</f>
        <v/>
      </c>
      <c r="D462" s="109" t="n"/>
      <c r="E462" s="225" t="n"/>
      <c r="F462" s="226" t="n"/>
      <c r="G462" s="108" t="n"/>
      <c r="H462" s="108" t="n"/>
      <c r="I462" s="109" t="n"/>
      <c r="J462" s="109" t="n"/>
      <c r="K462" s="109" t="n"/>
      <c r="L462" s="231">
        <f>IF($E462="","",DATE(YEAR($E462),MONTH($E462),1))</f>
        <v/>
      </c>
      <c r="M462" s="113">
        <f>IF($D462="","",IF($C462="TANIMSIZ MÜŞTERİ","HATA",IF(OR($E462="",$F462&lt;=0,$G462=""),"EKSİK",IF($E462&gt;TODAY(),"İLERİ TARİH","UYGUN"))))</f>
        <v/>
      </c>
      <c r="N462" s="121">
        <f>IF($C462="","",IF($C462="TANIMSIZ MÜŞTERİ","—",INDEX(MUSTERILER!$C$7:$C$106,MATCH($C462,MUSTERILER!$B$7:$B$106,0))))</f>
        <v/>
      </c>
      <c r="O462" s="6" t="n"/>
      <c r="P462" s="6" t="n"/>
      <c r="Q462" s="3">
        <f>IF($D462="","",$C462&amp;"|"&amp;COUNTIFS($C$7:$C462,$C462))</f>
        <v/>
      </c>
    </row>
    <row r="463">
      <c r="A463" s="6" t="n"/>
      <c r="B463" s="113">
        <f>IF($D463="","","T"&amp;TEXT(ROW()-6,"00000"))</f>
        <v/>
      </c>
      <c r="C463" s="113">
        <f>IF($D463="","",IFERROR(INDEX(MUSTERILER!$B$7:$B$106,MATCH($D463,MUSTERILER!$C$7:$C$106,0)),IFERROR(INDEX(MUSTERILER!$B$7:$B$106,MATCH($D463,MUSTERILER!$B$7:$B$106,0)),IFERROR(INDEX(MUSTERILER!$B$7:$B$106,MATCH($D463&amp;"*",MUSTERILER!$C$7:$C$106,0)),"TANIMSIZ MÜŞTERİ"))))</f>
        <v/>
      </c>
      <c r="D463" s="109" t="n"/>
      <c r="E463" s="225" t="n"/>
      <c r="F463" s="226" t="n"/>
      <c r="G463" s="108" t="n"/>
      <c r="H463" s="108" t="n"/>
      <c r="I463" s="109" t="n"/>
      <c r="J463" s="109" t="n"/>
      <c r="K463" s="109" t="n"/>
      <c r="L463" s="231">
        <f>IF($E463="","",DATE(YEAR($E463),MONTH($E463),1))</f>
        <v/>
      </c>
      <c r="M463" s="113">
        <f>IF($D463="","",IF($C463="TANIMSIZ MÜŞTERİ","HATA",IF(OR($E463="",$F463&lt;=0,$G463=""),"EKSİK",IF($E463&gt;TODAY(),"İLERİ TARİH","UYGUN"))))</f>
        <v/>
      </c>
      <c r="N463" s="121">
        <f>IF($C463="","",IF($C463="TANIMSIZ MÜŞTERİ","—",INDEX(MUSTERILER!$C$7:$C$106,MATCH($C463,MUSTERILER!$B$7:$B$106,0))))</f>
        <v/>
      </c>
      <c r="O463" s="6" t="n"/>
      <c r="P463" s="6" t="n"/>
      <c r="Q463" s="3">
        <f>IF($D463="","",$C463&amp;"|"&amp;COUNTIFS($C$7:$C463,$C463))</f>
        <v/>
      </c>
    </row>
    <row r="464">
      <c r="A464" s="6" t="n"/>
      <c r="B464" s="113">
        <f>IF($D464="","","T"&amp;TEXT(ROW()-6,"00000"))</f>
        <v/>
      </c>
      <c r="C464" s="113">
        <f>IF($D464="","",IFERROR(INDEX(MUSTERILER!$B$7:$B$106,MATCH($D464,MUSTERILER!$C$7:$C$106,0)),IFERROR(INDEX(MUSTERILER!$B$7:$B$106,MATCH($D464,MUSTERILER!$B$7:$B$106,0)),IFERROR(INDEX(MUSTERILER!$B$7:$B$106,MATCH($D464&amp;"*",MUSTERILER!$C$7:$C$106,0)),"TANIMSIZ MÜŞTERİ"))))</f>
        <v/>
      </c>
      <c r="D464" s="109" t="n"/>
      <c r="E464" s="225" t="n"/>
      <c r="F464" s="226" t="n"/>
      <c r="G464" s="108" t="n"/>
      <c r="H464" s="108" t="n"/>
      <c r="I464" s="109" t="n"/>
      <c r="J464" s="109" t="n"/>
      <c r="K464" s="109" t="n"/>
      <c r="L464" s="231">
        <f>IF($E464="","",DATE(YEAR($E464),MONTH($E464),1))</f>
        <v/>
      </c>
      <c r="M464" s="113">
        <f>IF($D464="","",IF($C464="TANIMSIZ MÜŞTERİ","HATA",IF(OR($E464="",$F464&lt;=0,$G464=""),"EKSİK",IF($E464&gt;TODAY(),"İLERİ TARİH","UYGUN"))))</f>
        <v/>
      </c>
      <c r="N464" s="121">
        <f>IF($C464="","",IF($C464="TANIMSIZ MÜŞTERİ","—",INDEX(MUSTERILER!$C$7:$C$106,MATCH($C464,MUSTERILER!$B$7:$B$106,0))))</f>
        <v/>
      </c>
      <c r="O464" s="6" t="n"/>
      <c r="P464" s="6" t="n"/>
      <c r="Q464" s="3">
        <f>IF($D464="","",$C464&amp;"|"&amp;COUNTIFS($C$7:$C464,$C464))</f>
        <v/>
      </c>
    </row>
    <row r="465">
      <c r="A465" s="6" t="n"/>
      <c r="B465" s="113">
        <f>IF($D465="","","T"&amp;TEXT(ROW()-6,"00000"))</f>
        <v/>
      </c>
      <c r="C465" s="113">
        <f>IF($D465="","",IFERROR(INDEX(MUSTERILER!$B$7:$B$106,MATCH($D465,MUSTERILER!$C$7:$C$106,0)),IFERROR(INDEX(MUSTERILER!$B$7:$B$106,MATCH($D465,MUSTERILER!$B$7:$B$106,0)),IFERROR(INDEX(MUSTERILER!$B$7:$B$106,MATCH($D465&amp;"*",MUSTERILER!$C$7:$C$106,0)),"TANIMSIZ MÜŞTERİ"))))</f>
        <v/>
      </c>
      <c r="D465" s="109" t="n"/>
      <c r="E465" s="225" t="n"/>
      <c r="F465" s="226" t="n"/>
      <c r="G465" s="108" t="n"/>
      <c r="H465" s="108" t="n"/>
      <c r="I465" s="109" t="n"/>
      <c r="J465" s="109" t="n"/>
      <c r="K465" s="109" t="n"/>
      <c r="L465" s="231">
        <f>IF($E465="","",DATE(YEAR($E465),MONTH($E465),1))</f>
        <v/>
      </c>
      <c r="M465" s="113">
        <f>IF($D465="","",IF($C465="TANIMSIZ MÜŞTERİ","HATA",IF(OR($E465="",$F465&lt;=0,$G465=""),"EKSİK",IF($E465&gt;TODAY(),"İLERİ TARİH","UYGUN"))))</f>
        <v/>
      </c>
      <c r="N465" s="121">
        <f>IF($C465="","",IF($C465="TANIMSIZ MÜŞTERİ","—",INDEX(MUSTERILER!$C$7:$C$106,MATCH($C465,MUSTERILER!$B$7:$B$106,0))))</f>
        <v/>
      </c>
      <c r="O465" s="6" t="n"/>
      <c r="P465" s="6" t="n"/>
      <c r="Q465" s="3">
        <f>IF($D465="","",$C465&amp;"|"&amp;COUNTIFS($C$7:$C465,$C465))</f>
        <v/>
      </c>
    </row>
    <row r="466">
      <c r="A466" s="6" t="n"/>
      <c r="B466" s="113">
        <f>IF($D466="","","T"&amp;TEXT(ROW()-6,"00000"))</f>
        <v/>
      </c>
      <c r="C466" s="113">
        <f>IF($D466="","",IFERROR(INDEX(MUSTERILER!$B$7:$B$106,MATCH($D466,MUSTERILER!$C$7:$C$106,0)),IFERROR(INDEX(MUSTERILER!$B$7:$B$106,MATCH($D466,MUSTERILER!$B$7:$B$106,0)),IFERROR(INDEX(MUSTERILER!$B$7:$B$106,MATCH($D466&amp;"*",MUSTERILER!$C$7:$C$106,0)),"TANIMSIZ MÜŞTERİ"))))</f>
        <v/>
      </c>
      <c r="D466" s="109" t="n"/>
      <c r="E466" s="225" t="n"/>
      <c r="F466" s="226" t="n"/>
      <c r="G466" s="108" t="n"/>
      <c r="H466" s="108" t="n"/>
      <c r="I466" s="109" t="n"/>
      <c r="J466" s="109" t="n"/>
      <c r="K466" s="109" t="n"/>
      <c r="L466" s="231">
        <f>IF($E466="","",DATE(YEAR($E466),MONTH($E466),1))</f>
        <v/>
      </c>
      <c r="M466" s="113">
        <f>IF($D466="","",IF($C466="TANIMSIZ MÜŞTERİ","HATA",IF(OR($E466="",$F466&lt;=0,$G466=""),"EKSİK",IF($E466&gt;TODAY(),"İLERİ TARİH","UYGUN"))))</f>
        <v/>
      </c>
      <c r="N466" s="121">
        <f>IF($C466="","",IF($C466="TANIMSIZ MÜŞTERİ","—",INDEX(MUSTERILER!$C$7:$C$106,MATCH($C466,MUSTERILER!$B$7:$B$106,0))))</f>
        <v/>
      </c>
      <c r="O466" s="6" t="n"/>
      <c r="P466" s="6" t="n"/>
      <c r="Q466" s="3">
        <f>IF($D466="","",$C466&amp;"|"&amp;COUNTIFS($C$7:$C466,$C466))</f>
        <v/>
      </c>
    </row>
    <row r="467">
      <c r="A467" s="6" t="n"/>
      <c r="B467" s="113">
        <f>IF($D467="","","T"&amp;TEXT(ROW()-6,"00000"))</f>
        <v/>
      </c>
      <c r="C467" s="113">
        <f>IF($D467="","",IFERROR(INDEX(MUSTERILER!$B$7:$B$106,MATCH($D467,MUSTERILER!$C$7:$C$106,0)),IFERROR(INDEX(MUSTERILER!$B$7:$B$106,MATCH($D467,MUSTERILER!$B$7:$B$106,0)),IFERROR(INDEX(MUSTERILER!$B$7:$B$106,MATCH($D467&amp;"*",MUSTERILER!$C$7:$C$106,0)),"TANIMSIZ MÜŞTERİ"))))</f>
        <v/>
      </c>
      <c r="D467" s="109" t="n"/>
      <c r="E467" s="225" t="n"/>
      <c r="F467" s="226" t="n"/>
      <c r="G467" s="108" t="n"/>
      <c r="H467" s="108" t="n"/>
      <c r="I467" s="109" t="n"/>
      <c r="J467" s="109" t="n"/>
      <c r="K467" s="109" t="n"/>
      <c r="L467" s="231">
        <f>IF($E467="","",DATE(YEAR($E467),MONTH($E467),1))</f>
        <v/>
      </c>
      <c r="M467" s="113">
        <f>IF($D467="","",IF($C467="TANIMSIZ MÜŞTERİ","HATA",IF(OR($E467="",$F467&lt;=0,$G467=""),"EKSİK",IF($E467&gt;TODAY(),"İLERİ TARİH","UYGUN"))))</f>
        <v/>
      </c>
      <c r="N467" s="121">
        <f>IF($C467="","",IF($C467="TANIMSIZ MÜŞTERİ","—",INDEX(MUSTERILER!$C$7:$C$106,MATCH($C467,MUSTERILER!$B$7:$B$106,0))))</f>
        <v/>
      </c>
      <c r="O467" s="6" t="n"/>
      <c r="P467" s="6" t="n"/>
      <c r="Q467" s="3">
        <f>IF($D467="","",$C467&amp;"|"&amp;COUNTIFS($C$7:$C467,$C467))</f>
        <v/>
      </c>
    </row>
    <row r="468">
      <c r="A468" s="6" t="n"/>
      <c r="B468" s="113">
        <f>IF($D468="","","T"&amp;TEXT(ROW()-6,"00000"))</f>
        <v/>
      </c>
      <c r="C468" s="113">
        <f>IF($D468="","",IFERROR(INDEX(MUSTERILER!$B$7:$B$106,MATCH($D468,MUSTERILER!$C$7:$C$106,0)),IFERROR(INDEX(MUSTERILER!$B$7:$B$106,MATCH($D468,MUSTERILER!$B$7:$B$106,0)),IFERROR(INDEX(MUSTERILER!$B$7:$B$106,MATCH($D468&amp;"*",MUSTERILER!$C$7:$C$106,0)),"TANIMSIZ MÜŞTERİ"))))</f>
        <v/>
      </c>
      <c r="D468" s="109" t="n"/>
      <c r="E468" s="225" t="n"/>
      <c r="F468" s="226" t="n"/>
      <c r="G468" s="108" t="n"/>
      <c r="H468" s="108" t="n"/>
      <c r="I468" s="109" t="n"/>
      <c r="J468" s="109" t="n"/>
      <c r="K468" s="109" t="n"/>
      <c r="L468" s="231">
        <f>IF($E468="","",DATE(YEAR($E468),MONTH($E468),1))</f>
        <v/>
      </c>
      <c r="M468" s="113">
        <f>IF($D468="","",IF($C468="TANIMSIZ MÜŞTERİ","HATA",IF(OR($E468="",$F468&lt;=0,$G468=""),"EKSİK",IF($E468&gt;TODAY(),"İLERİ TARİH","UYGUN"))))</f>
        <v/>
      </c>
      <c r="N468" s="121">
        <f>IF($C468="","",IF($C468="TANIMSIZ MÜŞTERİ","—",INDEX(MUSTERILER!$C$7:$C$106,MATCH($C468,MUSTERILER!$B$7:$B$106,0))))</f>
        <v/>
      </c>
      <c r="O468" s="6" t="n"/>
      <c r="P468" s="6" t="n"/>
      <c r="Q468" s="3">
        <f>IF($D468="","",$C468&amp;"|"&amp;COUNTIFS($C$7:$C468,$C468))</f>
        <v/>
      </c>
    </row>
    <row r="469">
      <c r="A469" s="6" t="n"/>
      <c r="B469" s="113">
        <f>IF($D469="","","T"&amp;TEXT(ROW()-6,"00000"))</f>
        <v/>
      </c>
      <c r="C469" s="113">
        <f>IF($D469="","",IFERROR(INDEX(MUSTERILER!$B$7:$B$106,MATCH($D469,MUSTERILER!$C$7:$C$106,0)),IFERROR(INDEX(MUSTERILER!$B$7:$B$106,MATCH($D469,MUSTERILER!$B$7:$B$106,0)),IFERROR(INDEX(MUSTERILER!$B$7:$B$106,MATCH($D469&amp;"*",MUSTERILER!$C$7:$C$106,0)),"TANIMSIZ MÜŞTERİ"))))</f>
        <v/>
      </c>
      <c r="D469" s="109" t="n"/>
      <c r="E469" s="225" t="n"/>
      <c r="F469" s="226" t="n"/>
      <c r="G469" s="108" t="n"/>
      <c r="H469" s="108" t="n"/>
      <c r="I469" s="109" t="n"/>
      <c r="J469" s="109" t="n"/>
      <c r="K469" s="109" t="n"/>
      <c r="L469" s="231">
        <f>IF($E469="","",DATE(YEAR($E469),MONTH($E469),1))</f>
        <v/>
      </c>
      <c r="M469" s="113">
        <f>IF($D469="","",IF($C469="TANIMSIZ MÜŞTERİ","HATA",IF(OR($E469="",$F469&lt;=0,$G469=""),"EKSİK",IF($E469&gt;TODAY(),"İLERİ TARİH","UYGUN"))))</f>
        <v/>
      </c>
      <c r="N469" s="121">
        <f>IF($C469="","",IF($C469="TANIMSIZ MÜŞTERİ","—",INDEX(MUSTERILER!$C$7:$C$106,MATCH($C469,MUSTERILER!$B$7:$B$106,0))))</f>
        <v/>
      </c>
      <c r="O469" s="6" t="n"/>
      <c r="P469" s="6" t="n"/>
      <c r="Q469" s="3">
        <f>IF($D469="","",$C469&amp;"|"&amp;COUNTIFS($C$7:$C469,$C469))</f>
        <v/>
      </c>
    </row>
    <row r="470">
      <c r="A470" s="6" t="n"/>
      <c r="B470" s="113">
        <f>IF($D470="","","T"&amp;TEXT(ROW()-6,"00000"))</f>
        <v/>
      </c>
      <c r="C470" s="113">
        <f>IF($D470="","",IFERROR(INDEX(MUSTERILER!$B$7:$B$106,MATCH($D470,MUSTERILER!$C$7:$C$106,0)),IFERROR(INDEX(MUSTERILER!$B$7:$B$106,MATCH($D470,MUSTERILER!$B$7:$B$106,0)),IFERROR(INDEX(MUSTERILER!$B$7:$B$106,MATCH($D470&amp;"*",MUSTERILER!$C$7:$C$106,0)),"TANIMSIZ MÜŞTERİ"))))</f>
        <v/>
      </c>
      <c r="D470" s="109" t="n"/>
      <c r="E470" s="225" t="n"/>
      <c r="F470" s="226" t="n"/>
      <c r="G470" s="108" t="n"/>
      <c r="H470" s="108" t="n"/>
      <c r="I470" s="109" t="n"/>
      <c r="J470" s="109" t="n"/>
      <c r="K470" s="109" t="n"/>
      <c r="L470" s="231">
        <f>IF($E470="","",DATE(YEAR($E470),MONTH($E470),1))</f>
        <v/>
      </c>
      <c r="M470" s="113">
        <f>IF($D470="","",IF($C470="TANIMSIZ MÜŞTERİ","HATA",IF(OR($E470="",$F470&lt;=0,$G470=""),"EKSİK",IF($E470&gt;TODAY(),"İLERİ TARİH","UYGUN"))))</f>
        <v/>
      </c>
      <c r="N470" s="121">
        <f>IF($C470="","",IF($C470="TANIMSIZ MÜŞTERİ","—",INDEX(MUSTERILER!$C$7:$C$106,MATCH($C470,MUSTERILER!$B$7:$B$106,0))))</f>
        <v/>
      </c>
      <c r="O470" s="6" t="n"/>
      <c r="P470" s="6" t="n"/>
      <c r="Q470" s="3">
        <f>IF($D470="","",$C470&amp;"|"&amp;COUNTIFS($C$7:$C470,$C470))</f>
        <v/>
      </c>
    </row>
    <row r="471">
      <c r="A471" s="6" t="n"/>
      <c r="B471" s="113">
        <f>IF($D471="","","T"&amp;TEXT(ROW()-6,"00000"))</f>
        <v/>
      </c>
      <c r="C471" s="113">
        <f>IF($D471="","",IFERROR(INDEX(MUSTERILER!$B$7:$B$106,MATCH($D471,MUSTERILER!$C$7:$C$106,0)),IFERROR(INDEX(MUSTERILER!$B$7:$B$106,MATCH($D471,MUSTERILER!$B$7:$B$106,0)),IFERROR(INDEX(MUSTERILER!$B$7:$B$106,MATCH($D471&amp;"*",MUSTERILER!$C$7:$C$106,0)),"TANIMSIZ MÜŞTERİ"))))</f>
        <v/>
      </c>
      <c r="D471" s="109" t="n"/>
      <c r="E471" s="225" t="n"/>
      <c r="F471" s="226" t="n"/>
      <c r="G471" s="108" t="n"/>
      <c r="H471" s="108" t="n"/>
      <c r="I471" s="109" t="n"/>
      <c r="J471" s="109" t="n"/>
      <c r="K471" s="109" t="n"/>
      <c r="L471" s="231">
        <f>IF($E471="","",DATE(YEAR($E471),MONTH($E471),1))</f>
        <v/>
      </c>
      <c r="M471" s="113">
        <f>IF($D471="","",IF($C471="TANIMSIZ MÜŞTERİ","HATA",IF(OR($E471="",$F471&lt;=0,$G471=""),"EKSİK",IF($E471&gt;TODAY(),"İLERİ TARİH","UYGUN"))))</f>
        <v/>
      </c>
      <c r="N471" s="121">
        <f>IF($C471="","",IF($C471="TANIMSIZ MÜŞTERİ","—",INDEX(MUSTERILER!$C$7:$C$106,MATCH($C471,MUSTERILER!$B$7:$B$106,0))))</f>
        <v/>
      </c>
      <c r="O471" s="6" t="n"/>
      <c r="P471" s="6" t="n"/>
      <c r="Q471" s="3">
        <f>IF($D471="","",$C471&amp;"|"&amp;COUNTIFS($C$7:$C471,$C471))</f>
        <v/>
      </c>
    </row>
    <row r="472">
      <c r="A472" s="6" t="n"/>
      <c r="B472" s="113">
        <f>IF($D472="","","T"&amp;TEXT(ROW()-6,"00000"))</f>
        <v/>
      </c>
      <c r="C472" s="113">
        <f>IF($D472="","",IFERROR(INDEX(MUSTERILER!$B$7:$B$106,MATCH($D472,MUSTERILER!$C$7:$C$106,0)),IFERROR(INDEX(MUSTERILER!$B$7:$B$106,MATCH($D472,MUSTERILER!$B$7:$B$106,0)),IFERROR(INDEX(MUSTERILER!$B$7:$B$106,MATCH($D472&amp;"*",MUSTERILER!$C$7:$C$106,0)),"TANIMSIZ MÜŞTERİ"))))</f>
        <v/>
      </c>
      <c r="D472" s="109" t="n"/>
      <c r="E472" s="225" t="n"/>
      <c r="F472" s="226" t="n"/>
      <c r="G472" s="108" t="n"/>
      <c r="H472" s="108" t="n"/>
      <c r="I472" s="109" t="n"/>
      <c r="J472" s="109" t="n"/>
      <c r="K472" s="109" t="n"/>
      <c r="L472" s="231">
        <f>IF($E472="","",DATE(YEAR($E472),MONTH($E472),1))</f>
        <v/>
      </c>
      <c r="M472" s="113">
        <f>IF($D472="","",IF($C472="TANIMSIZ MÜŞTERİ","HATA",IF(OR($E472="",$F472&lt;=0,$G472=""),"EKSİK",IF($E472&gt;TODAY(),"İLERİ TARİH","UYGUN"))))</f>
        <v/>
      </c>
      <c r="N472" s="121">
        <f>IF($C472="","",IF($C472="TANIMSIZ MÜŞTERİ","—",INDEX(MUSTERILER!$C$7:$C$106,MATCH($C472,MUSTERILER!$B$7:$B$106,0))))</f>
        <v/>
      </c>
      <c r="O472" s="6" t="n"/>
      <c r="P472" s="6" t="n"/>
      <c r="Q472" s="3">
        <f>IF($D472="","",$C472&amp;"|"&amp;COUNTIFS($C$7:$C472,$C472))</f>
        <v/>
      </c>
    </row>
    <row r="473">
      <c r="A473" s="6" t="n"/>
      <c r="B473" s="113">
        <f>IF($D473="","","T"&amp;TEXT(ROW()-6,"00000"))</f>
        <v/>
      </c>
      <c r="C473" s="113">
        <f>IF($D473="","",IFERROR(INDEX(MUSTERILER!$B$7:$B$106,MATCH($D473,MUSTERILER!$C$7:$C$106,0)),IFERROR(INDEX(MUSTERILER!$B$7:$B$106,MATCH($D473,MUSTERILER!$B$7:$B$106,0)),IFERROR(INDEX(MUSTERILER!$B$7:$B$106,MATCH($D473&amp;"*",MUSTERILER!$C$7:$C$106,0)),"TANIMSIZ MÜŞTERİ"))))</f>
        <v/>
      </c>
      <c r="D473" s="109" t="n"/>
      <c r="E473" s="225" t="n"/>
      <c r="F473" s="226" t="n"/>
      <c r="G473" s="108" t="n"/>
      <c r="H473" s="108" t="n"/>
      <c r="I473" s="109" t="n"/>
      <c r="J473" s="109" t="n"/>
      <c r="K473" s="109" t="n"/>
      <c r="L473" s="231">
        <f>IF($E473="","",DATE(YEAR($E473),MONTH($E473),1))</f>
        <v/>
      </c>
      <c r="M473" s="113">
        <f>IF($D473="","",IF($C473="TANIMSIZ MÜŞTERİ","HATA",IF(OR($E473="",$F473&lt;=0,$G473=""),"EKSİK",IF($E473&gt;TODAY(),"İLERİ TARİH","UYGUN"))))</f>
        <v/>
      </c>
      <c r="N473" s="121">
        <f>IF($C473="","",IF($C473="TANIMSIZ MÜŞTERİ","—",INDEX(MUSTERILER!$C$7:$C$106,MATCH($C473,MUSTERILER!$B$7:$B$106,0))))</f>
        <v/>
      </c>
      <c r="O473" s="6" t="n"/>
      <c r="P473" s="6" t="n"/>
      <c r="Q473" s="3">
        <f>IF($D473="","",$C473&amp;"|"&amp;COUNTIFS($C$7:$C473,$C473))</f>
        <v/>
      </c>
    </row>
    <row r="474">
      <c r="A474" s="6" t="n"/>
      <c r="B474" s="113">
        <f>IF($D474="","","T"&amp;TEXT(ROW()-6,"00000"))</f>
        <v/>
      </c>
      <c r="C474" s="113">
        <f>IF($D474="","",IFERROR(INDEX(MUSTERILER!$B$7:$B$106,MATCH($D474,MUSTERILER!$C$7:$C$106,0)),IFERROR(INDEX(MUSTERILER!$B$7:$B$106,MATCH($D474,MUSTERILER!$B$7:$B$106,0)),IFERROR(INDEX(MUSTERILER!$B$7:$B$106,MATCH($D474&amp;"*",MUSTERILER!$C$7:$C$106,0)),"TANIMSIZ MÜŞTERİ"))))</f>
        <v/>
      </c>
      <c r="D474" s="109" t="n"/>
      <c r="E474" s="225" t="n"/>
      <c r="F474" s="226" t="n"/>
      <c r="G474" s="108" t="n"/>
      <c r="H474" s="108" t="n"/>
      <c r="I474" s="109" t="n"/>
      <c r="J474" s="109" t="n"/>
      <c r="K474" s="109" t="n"/>
      <c r="L474" s="231">
        <f>IF($E474="","",DATE(YEAR($E474),MONTH($E474),1))</f>
        <v/>
      </c>
      <c r="M474" s="113">
        <f>IF($D474="","",IF($C474="TANIMSIZ MÜŞTERİ","HATA",IF(OR($E474="",$F474&lt;=0,$G474=""),"EKSİK",IF($E474&gt;TODAY(),"İLERİ TARİH","UYGUN"))))</f>
        <v/>
      </c>
      <c r="N474" s="121">
        <f>IF($C474="","",IF($C474="TANIMSIZ MÜŞTERİ","—",INDEX(MUSTERILER!$C$7:$C$106,MATCH($C474,MUSTERILER!$B$7:$B$106,0))))</f>
        <v/>
      </c>
      <c r="O474" s="6" t="n"/>
      <c r="P474" s="6" t="n"/>
      <c r="Q474" s="3">
        <f>IF($D474="","",$C474&amp;"|"&amp;COUNTIFS($C$7:$C474,$C474))</f>
        <v/>
      </c>
    </row>
    <row r="475">
      <c r="A475" s="6" t="n"/>
      <c r="B475" s="113">
        <f>IF($D475="","","T"&amp;TEXT(ROW()-6,"00000"))</f>
        <v/>
      </c>
      <c r="C475" s="113">
        <f>IF($D475="","",IFERROR(INDEX(MUSTERILER!$B$7:$B$106,MATCH($D475,MUSTERILER!$C$7:$C$106,0)),IFERROR(INDEX(MUSTERILER!$B$7:$B$106,MATCH($D475,MUSTERILER!$B$7:$B$106,0)),IFERROR(INDEX(MUSTERILER!$B$7:$B$106,MATCH($D475&amp;"*",MUSTERILER!$C$7:$C$106,0)),"TANIMSIZ MÜŞTERİ"))))</f>
        <v/>
      </c>
      <c r="D475" s="109" t="n"/>
      <c r="E475" s="225" t="n"/>
      <c r="F475" s="226" t="n"/>
      <c r="G475" s="108" t="n"/>
      <c r="H475" s="108" t="n"/>
      <c r="I475" s="109" t="n"/>
      <c r="J475" s="109" t="n"/>
      <c r="K475" s="109" t="n"/>
      <c r="L475" s="231">
        <f>IF($E475="","",DATE(YEAR($E475),MONTH($E475),1))</f>
        <v/>
      </c>
      <c r="M475" s="113">
        <f>IF($D475="","",IF($C475="TANIMSIZ MÜŞTERİ","HATA",IF(OR($E475="",$F475&lt;=0,$G475=""),"EKSİK",IF($E475&gt;TODAY(),"İLERİ TARİH","UYGUN"))))</f>
        <v/>
      </c>
      <c r="N475" s="121">
        <f>IF($C475="","",IF($C475="TANIMSIZ MÜŞTERİ","—",INDEX(MUSTERILER!$C$7:$C$106,MATCH($C475,MUSTERILER!$B$7:$B$106,0))))</f>
        <v/>
      </c>
      <c r="O475" s="6" t="n"/>
      <c r="P475" s="6" t="n"/>
      <c r="Q475" s="3">
        <f>IF($D475="","",$C475&amp;"|"&amp;COUNTIFS($C$7:$C475,$C475))</f>
        <v/>
      </c>
    </row>
    <row r="476">
      <c r="A476" s="6" t="n"/>
      <c r="B476" s="113">
        <f>IF($D476="","","T"&amp;TEXT(ROW()-6,"00000"))</f>
        <v/>
      </c>
      <c r="C476" s="113">
        <f>IF($D476="","",IFERROR(INDEX(MUSTERILER!$B$7:$B$106,MATCH($D476,MUSTERILER!$C$7:$C$106,0)),IFERROR(INDEX(MUSTERILER!$B$7:$B$106,MATCH($D476,MUSTERILER!$B$7:$B$106,0)),IFERROR(INDEX(MUSTERILER!$B$7:$B$106,MATCH($D476&amp;"*",MUSTERILER!$C$7:$C$106,0)),"TANIMSIZ MÜŞTERİ"))))</f>
        <v/>
      </c>
      <c r="D476" s="109" t="n"/>
      <c r="E476" s="225" t="n"/>
      <c r="F476" s="226" t="n"/>
      <c r="G476" s="108" t="n"/>
      <c r="H476" s="108" t="n"/>
      <c r="I476" s="109" t="n"/>
      <c r="J476" s="109" t="n"/>
      <c r="K476" s="109" t="n"/>
      <c r="L476" s="231">
        <f>IF($E476="","",DATE(YEAR($E476),MONTH($E476),1))</f>
        <v/>
      </c>
      <c r="M476" s="113">
        <f>IF($D476="","",IF($C476="TANIMSIZ MÜŞTERİ","HATA",IF(OR($E476="",$F476&lt;=0,$G476=""),"EKSİK",IF($E476&gt;TODAY(),"İLERİ TARİH","UYGUN"))))</f>
        <v/>
      </c>
      <c r="N476" s="121">
        <f>IF($C476="","",IF($C476="TANIMSIZ MÜŞTERİ","—",INDEX(MUSTERILER!$C$7:$C$106,MATCH($C476,MUSTERILER!$B$7:$B$106,0))))</f>
        <v/>
      </c>
      <c r="O476" s="6" t="n"/>
      <c r="P476" s="6" t="n"/>
      <c r="Q476" s="3">
        <f>IF($D476="","",$C476&amp;"|"&amp;COUNTIFS($C$7:$C476,$C476))</f>
        <v/>
      </c>
    </row>
    <row r="477">
      <c r="A477" s="6" t="n"/>
      <c r="B477" s="113">
        <f>IF($D477="","","T"&amp;TEXT(ROW()-6,"00000"))</f>
        <v/>
      </c>
      <c r="C477" s="113">
        <f>IF($D477="","",IFERROR(INDEX(MUSTERILER!$B$7:$B$106,MATCH($D477,MUSTERILER!$C$7:$C$106,0)),IFERROR(INDEX(MUSTERILER!$B$7:$B$106,MATCH($D477,MUSTERILER!$B$7:$B$106,0)),IFERROR(INDEX(MUSTERILER!$B$7:$B$106,MATCH($D477&amp;"*",MUSTERILER!$C$7:$C$106,0)),"TANIMSIZ MÜŞTERİ"))))</f>
        <v/>
      </c>
      <c r="D477" s="109" t="n"/>
      <c r="E477" s="225" t="n"/>
      <c r="F477" s="226" t="n"/>
      <c r="G477" s="108" t="n"/>
      <c r="H477" s="108" t="n"/>
      <c r="I477" s="109" t="n"/>
      <c r="J477" s="109" t="n"/>
      <c r="K477" s="109" t="n"/>
      <c r="L477" s="231">
        <f>IF($E477="","",DATE(YEAR($E477),MONTH($E477),1))</f>
        <v/>
      </c>
      <c r="M477" s="113">
        <f>IF($D477="","",IF($C477="TANIMSIZ MÜŞTERİ","HATA",IF(OR($E477="",$F477&lt;=0,$G477=""),"EKSİK",IF($E477&gt;TODAY(),"İLERİ TARİH","UYGUN"))))</f>
        <v/>
      </c>
      <c r="N477" s="121">
        <f>IF($C477="","",IF($C477="TANIMSIZ MÜŞTERİ","—",INDEX(MUSTERILER!$C$7:$C$106,MATCH($C477,MUSTERILER!$B$7:$B$106,0))))</f>
        <v/>
      </c>
      <c r="O477" s="6" t="n"/>
      <c r="P477" s="6" t="n"/>
      <c r="Q477" s="3">
        <f>IF($D477="","",$C477&amp;"|"&amp;COUNTIFS($C$7:$C477,$C477))</f>
        <v/>
      </c>
    </row>
    <row r="478">
      <c r="A478" s="6" t="n"/>
      <c r="B478" s="113">
        <f>IF($D478="","","T"&amp;TEXT(ROW()-6,"00000"))</f>
        <v/>
      </c>
      <c r="C478" s="113">
        <f>IF($D478="","",IFERROR(INDEX(MUSTERILER!$B$7:$B$106,MATCH($D478,MUSTERILER!$C$7:$C$106,0)),IFERROR(INDEX(MUSTERILER!$B$7:$B$106,MATCH($D478,MUSTERILER!$B$7:$B$106,0)),IFERROR(INDEX(MUSTERILER!$B$7:$B$106,MATCH($D478&amp;"*",MUSTERILER!$C$7:$C$106,0)),"TANIMSIZ MÜŞTERİ"))))</f>
        <v/>
      </c>
      <c r="D478" s="109" t="n"/>
      <c r="E478" s="225" t="n"/>
      <c r="F478" s="226" t="n"/>
      <c r="G478" s="108" t="n"/>
      <c r="H478" s="108" t="n"/>
      <c r="I478" s="109" t="n"/>
      <c r="J478" s="109" t="n"/>
      <c r="K478" s="109" t="n"/>
      <c r="L478" s="231">
        <f>IF($E478="","",DATE(YEAR($E478),MONTH($E478),1))</f>
        <v/>
      </c>
      <c r="M478" s="113">
        <f>IF($D478="","",IF($C478="TANIMSIZ MÜŞTERİ","HATA",IF(OR($E478="",$F478&lt;=0,$G478=""),"EKSİK",IF($E478&gt;TODAY(),"İLERİ TARİH","UYGUN"))))</f>
        <v/>
      </c>
      <c r="N478" s="121">
        <f>IF($C478="","",IF($C478="TANIMSIZ MÜŞTERİ","—",INDEX(MUSTERILER!$C$7:$C$106,MATCH($C478,MUSTERILER!$B$7:$B$106,0))))</f>
        <v/>
      </c>
      <c r="O478" s="6" t="n"/>
      <c r="P478" s="6" t="n"/>
      <c r="Q478" s="3">
        <f>IF($D478="","",$C478&amp;"|"&amp;COUNTIFS($C$7:$C478,$C478))</f>
        <v/>
      </c>
    </row>
    <row r="479">
      <c r="A479" s="6" t="n"/>
      <c r="B479" s="113">
        <f>IF($D479="","","T"&amp;TEXT(ROW()-6,"00000"))</f>
        <v/>
      </c>
      <c r="C479" s="113">
        <f>IF($D479="","",IFERROR(INDEX(MUSTERILER!$B$7:$B$106,MATCH($D479,MUSTERILER!$C$7:$C$106,0)),IFERROR(INDEX(MUSTERILER!$B$7:$B$106,MATCH($D479,MUSTERILER!$B$7:$B$106,0)),IFERROR(INDEX(MUSTERILER!$B$7:$B$106,MATCH($D479&amp;"*",MUSTERILER!$C$7:$C$106,0)),"TANIMSIZ MÜŞTERİ"))))</f>
        <v/>
      </c>
      <c r="D479" s="109" t="n"/>
      <c r="E479" s="225" t="n"/>
      <c r="F479" s="226" t="n"/>
      <c r="G479" s="108" t="n"/>
      <c r="H479" s="108" t="n"/>
      <c r="I479" s="109" t="n"/>
      <c r="J479" s="109" t="n"/>
      <c r="K479" s="109" t="n"/>
      <c r="L479" s="231">
        <f>IF($E479="","",DATE(YEAR($E479),MONTH($E479),1))</f>
        <v/>
      </c>
      <c r="M479" s="113">
        <f>IF($D479="","",IF($C479="TANIMSIZ MÜŞTERİ","HATA",IF(OR($E479="",$F479&lt;=0,$G479=""),"EKSİK",IF($E479&gt;TODAY(),"İLERİ TARİH","UYGUN"))))</f>
        <v/>
      </c>
      <c r="N479" s="121">
        <f>IF($C479="","",IF($C479="TANIMSIZ MÜŞTERİ","—",INDEX(MUSTERILER!$C$7:$C$106,MATCH($C479,MUSTERILER!$B$7:$B$106,0))))</f>
        <v/>
      </c>
      <c r="O479" s="6" t="n"/>
      <c r="P479" s="6" t="n"/>
      <c r="Q479" s="3">
        <f>IF($D479="","",$C479&amp;"|"&amp;COUNTIFS($C$7:$C479,$C479))</f>
        <v/>
      </c>
    </row>
    <row r="480">
      <c r="A480" s="6" t="n"/>
      <c r="B480" s="113">
        <f>IF($D480="","","T"&amp;TEXT(ROW()-6,"00000"))</f>
        <v/>
      </c>
      <c r="C480" s="113">
        <f>IF($D480="","",IFERROR(INDEX(MUSTERILER!$B$7:$B$106,MATCH($D480,MUSTERILER!$C$7:$C$106,0)),IFERROR(INDEX(MUSTERILER!$B$7:$B$106,MATCH($D480,MUSTERILER!$B$7:$B$106,0)),IFERROR(INDEX(MUSTERILER!$B$7:$B$106,MATCH($D480&amp;"*",MUSTERILER!$C$7:$C$106,0)),"TANIMSIZ MÜŞTERİ"))))</f>
        <v/>
      </c>
      <c r="D480" s="109" t="n"/>
      <c r="E480" s="225" t="n"/>
      <c r="F480" s="226" t="n"/>
      <c r="G480" s="108" t="n"/>
      <c r="H480" s="108" t="n"/>
      <c r="I480" s="109" t="n"/>
      <c r="J480" s="109" t="n"/>
      <c r="K480" s="109" t="n"/>
      <c r="L480" s="231">
        <f>IF($E480="","",DATE(YEAR($E480),MONTH($E480),1))</f>
        <v/>
      </c>
      <c r="M480" s="113">
        <f>IF($D480="","",IF($C480="TANIMSIZ MÜŞTERİ","HATA",IF(OR($E480="",$F480&lt;=0,$G480=""),"EKSİK",IF($E480&gt;TODAY(),"İLERİ TARİH","UYGUN"))))</f>
        <v/>
      </c>
      <c r="N480" s="121">
        <f>IF($C480="","",IF($C480="TANIMSIZ MÜŞTERİ","—",INDEX(MUSTERILER!$C$7:$C$106,MATCH($C480,MUSTERILER!$B$7:$B$106,0))))</f>
        <v/>
      </c>
      <c r="O480" s="6" t="n"/>
      <c r="P480" s="6" t="n"/>
      <c r="Q480" s="3">
        <f>IF($D480="","",$C480&amp;"|"&amp;COUNTIFS($C$7:$C480,$C480))</f>
        <v/>
      </c>
    </row>
    <row r="481">
      <c r="A481" s="6" t="n"/>
      <c r="B481" s="113">
        <f>IF($D481="","","T"&amp;TEXT(ROW()-6,"00000"))</f>
        <v/>
      </c>
      <c r="C481" s="113">
        <f>IF($D481="","",IFERROR(INDEX(MUSTERILER!$B$7:$B$106,MATCH($D481,MUSTERILER!$C$7:$C$106,0)),IFERROR(INDEX(MUSTERILER!$B$7:$B$106,MATCH($D481,MUSTERILER!$B$7:$B$106,0)),IFERROR(INDEX(MUSTERILER!$B$7:$B$106,MATCH($D481&amp;"*",MUSTERILER!$C$7:$C$106,0)),"TANIMSIZ MÜŞTERİ"))))</f>
        <v/>
      </c>
      <c r="D481" s="109" t="n"/>
      <c r="E481" s="225" t="n"/>
      <c r="F481" s="226" t="n"/>
      <c r="G481" s="108" t="n"/>
      <c r="H481" s="108" t="n"/>
      <c r="I481" s="109" t="n"/>
      <c r="J481" s="109" t="n"/>
      <c r="K481" s="109" t="n"/>
      <c r="L481" s="231">
        <f>IF($E481="","",DATE(YEAR($E481),MONTH($E481),1))</f>
        <v/>
      </c>
      <c r="M481" s="113">
        <f>IF($D481="","",IF($C481="TANIMSIZ MÜŞTERİ","HATA",IF(OR($E481="",$F481&lt;=0,$G481=""),"EKSİK",IF($E481&gt;TODAY(),"İLERİ TARİH","UYGUN"))))</f>
        <v/>
      </c>
      <c r="N481" s="121">
        <f>IF($C481="","",IF($C481="TANIMSIZ MÜŞTERİ","—",INDEX(MUSTERILER!$C$7:$C$106,MATCH($C481,MUSTERILER!$B$7:$B$106,0))))</f>
        <v/>
      </c>
      <c r="O481" s="6" t="n"/>
      <c r="P481" s="6" t="n"/>
      <c r="Q481" s="3">
        <f>IF($D481="","",$C481&amp;"|"&amp;COUNTIFS($C$7:$C481,$C481))</f>
        <v/>
      </c>
    </row>
    <row r="482">
      <c r="A482" s="6" t="n"/>
      <c r="B482" s="113">
        <f>IF($D482="","","T"&amp;TEXT(ROW()-6,"00000"))</f>
        <v/>
      </c>
      <c r="C482" s="113">
        <f>IF($D482="","",IFERROR(INDEX(MUSTERILER!$B$7:$B$106,MATCH($D482,MUSTERILER!$C$7:$C$106,0)),IFERROR(INDEX(MUSTERILER!$B$7:$B$106,MATCH($D482,MUSTERILER!$B$7:$B$106,0)),IFERROR(INDEX(MUSTERILER!$B$7:$B$106,MATCH($D482&amp;"*",MUSTERILER!$C$7:$C$106,0)),"TANIMSIZ MÜŞTERİ"))))</f>
        <v/>
      </c>
      <c r="D482" s="109" t="n"/>
      <c r="E482" s="225" t="n"/>
      <c r="F482" s="226" t="n"/>
      <c r="G482" s="108" t="n"/>
      <c r="H482" s="108" t="n"/>
      <c r="I482" s="109" t="n"/>
      <c r="J482" s="109" t="n"/>
      <c r="K482" s="109" t="n"/>
      <c r="L482" s="231">
        <f>IF($E482="","",DATE(YEAR($E482),MONTH($E482),1))</f>
        <v/>
      </c>
      <c r="M482" s="113">
        <f>IF($D482="","",IF($C482="TANIMSIZ MÜŞTERİ","HATA",IF(OR($E482="",$F482&lt;=0,$G482=""),"EKSİK",IF($E482&gt;TODAY(),"İLERİ TARİH","UYGUN"))))</f>
        <v/>
      </c>
      <c r="N482" s="121">
        <f>IF($C482="","",IF($C482="TANIMSIZ MÜŞTERİ","—",INDEX(MUSTERILER!$C$7:$C$106,MATCH($C482,MUSTERILER!$B$7:$B$106,0))))</f>
        <v/>
      </c>
      <c r="O482" s="6" t="n"/>
      <c r="P482" s="6" t="n"/>
      <c r="Q482" s="3">
        <f>IF($D482="","",$C482&amp;"|"&amp;COUNTIFS($C$7:$C482,$C482))</f>
        <v/>
      </c>
    </row>
    <row r="483">
      <c r="A483" s="6" t="n"/>
      <c r="B483" s="113">
        <f>IF($D483="","","T"&amp;TEXT(ROW()-6,"00000"))</f>
        <v/>
      </c>
      <c r="C483" s="113">
        <f>IF($D483="","",IFERROR(INDEX(MUSTERILER!$B$7:$B$106,MATCH($D483,MUSTERILER!$C$7:$C$106,0)),IFERROR(INDEX(MUSTERILER!$B$7:$B$106,MATCH($D483,MUSTERILER!$B$7:$B$106,0)),IFERROR(INDEX(MUSTERILER!$B$7:$B$106,MATCH($D483&amp;"*",MUSTERILER!$C$7:$C$106,0)),"TANIMSIZ MÜŞTERİ"))))</f>
        <v/>
      </c>
      <c r="D483" s="109" t="n"/>
      <c r="E483" s="225" t="n"/>
      <c r="F483" s="226" t="n"/>
      <c r="G483" s="108" t="n"/>
      <c r="H483" s="108" t="n"/>
      <c r="I483" s="109" t="n"/>
      <c r="J483" s="109" t="n"/>
      <c r="K483" s="109" t="n"/>
      <c r="L483" s="231">
        <f>IF($E483="","",DATE(YEAR($E483),MONTH($E483),1))</f>
        <v/>
      </c>
      <c r="M483" s="113">
        <f>IF($D483="","",IF($C483="TANIMSIZ MÜŞTERİ","HATA",IF(OR($E483="",$F483&lt;=0,$G483=""),"EKSİK",IF($E483&gt;TODAY(),"İLERİ TARİH","UYGUN"))))</f>
        <v/>
      </c>
      <c r="N483" s="121">
        <f>IF($C483="","",IF($C483="TANIMSIZ MÜŞTERİ","—",INDEX(MUSTERILER!$C$7:$C$106,MATCH($C483,MUSTERILER!$B$7:$B$106,0))))</f>
        <v/>
      </c>
      <c r="O483" s="6" t="n"/>
      <c r="P483" s="6" t="n"/>
      <c r="Q483" s="3">
        <f>IF($D483="","",$C483&amp;"|"&amp;COUNTIFS($C$7:$C483,$C483))</f>
        <v/>
      </c>
    </row>
    <row r="484">
      <c r="A484" s="6" t="n"/>
      <c r="B484" s="113">
        <f>IF($D484="","","T"&amp;TEXT(ROW()-6,"00000"))</f>
        <v/>
      </c>
      <c r="C484" s="113">
        <f>IF($D484="","",IFERROR(INDEX(MUSTERILER!$B$7:$B$106,MATCH($D484,MUSTERILER!$C$7:$C$106,0)),IFERROR(INDEX(MUSTERILER!$B$7:$B$106,MATCH($D484,MUSTERILER!$B$7:$B$106,0)),IFERROR(INDEX(MUSTERILER!$B$7:$B$106,MATCH($D484&amp;"*",MUSTERILER!$C$7:$C$106,0)),"TANIMSIZ MÜŞTERİ"))))</f>
        <v/>
      </c>
      <c r="D484" s="109" t="n"/>
      <c r="E484" s="225" t="n"/>
      <c r="F484" s="226" t="n"/>
      <c r="G484" s="108" t="n"/>
      <c r="H484" s="108" t="n"/>
      <c r="I484" s="109" t="n"/>
      <c r="J484" s="109" t="n"/>
      <c r="K484" s="109" t="n"/>
      <c r="L484" s="231">
        <f>IF($E484="","",DATE(YEAR($E484),MONTH($E484),1))</f>
        <v/>
      </c>
      <c r="M484" s="113">
        <f>IF($D484="","",IF($C484="TANIMSIZ MÜŞTERİ","HATA",IF(OR($E484="",$F484&lt;=0,$G484=""),"EKSİK",IF($E484&gt;TODAY(),"İLERİ TARİH","UYGUN"))))</f>
        <v/>
      </c>
      <c r="N484" s="121">
        <f>IF($C484="","",IF($C484="TANIMSIZ MÜŞTERİ","—",INDEX(MUSTERILER!$C$7:$C$106,MATCH($C484,MUSTERILER!$B$7:$B$106,0))))</f>
        <v/>
      </c>
      <c r="O484" s="6" t="n"/>
      <c r="P484" s="6" t="n"/>
      <c r="Q484" s="3">
        <f>IF($D484="","",$C484&amp;"|"&amp;COUNTIFS($C$7:$C484,$C484))</f>
        <v/>
      </c>
    </row>
    <row r="485">
      <c r="A485" s="6" t="n"/>
      <c r="B485" s="113">
        <f>IF($D485="","","T"&amp;TEXT(ROW()-6,"00000"))</f>
        <v/>
      </c>
      <c r="C485" s="113">
        <f>IF($D485="","",IFERROR(INDEX(MUSTERILER!$B$7:$B$106,MATCH($D485,MUSTERILER!$C$7:$C$106,0)),IFERROR(INDEX(MUSTERILER!$B$7:$B$106,MATCH($D485,MUSTERILER!$B$7:$B$106,0)),IFERROR(INDEX(MUSTERILER!$B$7:$B$106,MATCH($D485&amp;"*",MUSTERILER!$C$7:$C$106,0)),"TANIMSIZ MÜŞTERİ"))))</f>
        <v/>
      </c>
      <c r="D485" s="109" t="n"/>
      <c r="E485" s="225" t="n"/>
      <c r="F485" s="226" t="n"/>
      <c r="G485" s="108" t="n"/>
      <c r="H485" s="108" t="n"/>
      <c r="I485" s="109" t="n"/>
      <c r="J485" s="109" t="n"/>
      <c r="K485" s="109" t="n"/>
      <c r="L485" s="231">
        <f>IF($E485="","",DATE(YEAR($E485),MONTH($E485),1))</f>
        <v/>
      </c>
      <c r="M485" s="113">
        <f>IF($D485="","",IF($C485="TANIMSIZ MÜŞTERİ","HATA",IF(OR($E485="",$F485&lt;=0,$G485=""),"EKSİK",IF($E485&gt;TODAY(),"İLERİ TARİH","UYGUN"))))</f>
        <v/>
      </c>
      <c r="N485" s="121">
        <f>IF($C485="","",IF($C485="TANIMSIZ MÜŞTERİ","—",INDEX(MUSTERILER!$C$7:$C$106,MATCH($C485,MUSTERILER!$B$7:$B$106,0))))</f>
        <v/>
      </c>
      <c r="O485" s="6" t="n"/>
      <c r="P485" s="6" t="n"/>
      <c r="Q485" s="3">
        <f>IF($D485="","",$C485&amp;"|"&amp;COUNTIFS($C$7:$C485,$C485))</f>
        <v/>
      </c>
    </row>
    <row r="486">
      <c r="A486" s="6" t="n"/>
      <c r="B486" s="113">
        <f>IF($D486="","","T"&amp;TEXT(ROW()-6,"00000"))</f>
        <v/>
      </c>
      <c r="C486" s="113">
        <f>IF($D486="","",IFERROR(INDEX(MUSTERILER!$B$7:$B$106,MATCH($D486,MUSTERILER!$C$7:$C$106,0)),IFERROR(INDEX(MUSTERILER!$B$7:$B$106,MATCH($D486,MUSTERILER!$B$7:$B$106,0)),IFERROR(INDEX(MUSTERILER!$B$7:$B$106,MATCH($D486&amp;"*",MUSTERILER!$C$7:$C$106,0)),"TANIMSIZ MÜŞTERİ"))))</f>
        <v/>
      </c>
      <c r="D486" s="109" t="n"/>
      <c r="E486" s="225" t="n"/>
      <c r="F486" s="226" t="n"/>
      <c r="G486" s="108" t="n"/>
      <c r="H486" s="108" t="n"/>
      <c r="I486" s="109" t="n"/>
      <c r="J486" s="109" t="n"/>
      <c r="K486" s="109" t="n"/>
      <c r="L486" s="231">
        <f>IF($E486="","",DATE(YEAR($E486),MONTH($E486),1))</f>
        <v/>
      </c>
      <c r="M486" s="113">
        <f>IF($D486="","",IF($C486="TANIMSIZ MÜŞTERİ","HATA",IF(OR($E486="",$F486&lt;=0,$G486=""),"EKSİK",IF($E486&gt;TODAY(),"İLERİ TARİH","UYGUN"))))</f>
        <v/>
      </c>
      <c r="N486" s="121">
        <f>IF($C486="","",IF($C486="TANIMSIZ MÜŞTERİ","—",INDEX(MUSTERILER!$C$7:$C$106,MATCH($C486,MUSTERILER!$B$7:$B$106,0))))</f>
        <v/>
      </c>
      <c r="O486" s="6" t="n"/>
      <c r="P486" s="6" t="n"/>
      <c r="Q486" s="3">
        <f>IF($D486="","",$C486&amp;"|"&amp;COUNTIFS($C$7:$C486,$C486))</f>
        <v/>
      </c>
    </row>
    <row r="487">
      <c r="A487" s="6" t="n"/>
      <c r="B487" s="113">
        <f>IF($D487="","","T"&amp;TEXT(ROW()-6,"00000"))</f>
        <v/>
      </c>
      <c r="C487" s="113">
        <f>IF($D487="","",IFERROR(INDEX(MUSTERILER!$B$7:$B$106,MATCH($D487,MUSTERILER!$C$7:$C$106,0)),IFERROR(INDEX(MUSTERILER!$B$7:$B$106,MATCH($D487,MUSTERILER!$B$7:$B$106,0)),IFERROR(INDEX(MUSTERILER!$B$7:$B$106,MATCH($D487&amp;"*",MUSTERILER!$C$7:$C$106,0)),"TANIMSIZ MÜŞTERİ"))))</f>
        <v/>
      </c>
      <c r="D487" s="109" t="n"/>
      <c r="E487" s="225" t="n"/>
      <c r="F487" s="226" t="n"/>
      <c r="G487" s="108" t="n"/>
      <c r="H487" s="108" t="n"/>
      <c r="I487" s="109" t="n"/>
      <c r="J487" s="109" t="n"/>
      <c r="K487" s="109" t="n"/>
      <c r="L487" s="231">
        <f>IF($E487="","",DATE(YEAR($E487),MONTH($E487),1))</f>
        <v/>
      </c>
      <c r="M487" s="113">
        <f>IF($D487="","",IF($C487="TANIMSIZ MÜŞTERİ","HATA",IF(OR($E487="",$F487&lt;=0,$G487=""),"EKSİK",IF($E487&gt;TODAY(),"İLERİ TARİH","UYGUN"))))</f>
        <v/>
      </c>
      <c r="N487" s="121">
        <f>IF($C487="","",IF($C487="TANIMSIZ MÜŞTERİ","—",INDEX(MUSTERILER!$C$7:$C$106,MATCH($C487,MUSTERILER!$B$7:$B$106,0))))</f>
        <v/>
      </c>
      <c r="O487" s="6" t="n"/>
      <c r="P487" s="6" t="n"/>
      <c r="Q487" s="3">
        <f>IF($D487="","",$C487&amp;"|"&amp;COUNTIFS($C$7:$C487,$C487))</f>
        <v/>
      </c>
    </row>
    <row r="488">
      <c r="A488" s="6" t="n"/>
      <c r="B488" s="113">
        <f>IF($D488="","","T"&amp;TEXT(ROW()-6,"00000"))</f>
        <v/>
      </c>
      <c r="C488" s="113">
        <f>IF($D488="","",IFERROR(INDEX(MUSTERILER!$B$7:$B$106,MATCH($D488,MUSTERILER!$C$7:$C$106,0)),IFERROR(INDEX(MUSTERILER!$B$7:$B$106,MATCH($D488,MUSTERILER!$B$7:$B$106,0)),IFERROR(INDEX(MUSTERILER!$B$7:$B$106,MATCH($D488&amp;"*",MUSTERILER!$C$7:$C$106,0)),"TANIMSIZ MÜŞTERİ"))))</f>
        <v/>
      </c>
      <c r="D488" s="109" t="n"/>
      <c r="E488" s="225" t="n"/>
      <c r="F488" s="226" t="n"/>
      <c r="G488" s="108" t="n"/>
      <c r="H488" s="108" t="n"/>
      <c r="I488" s="109" t="n"/>
      <c r="J488" s="109" t="n"/>
      <c r="K488" s="109" t="n"/>
      <c r="L488" s="231">
        <f>IF($E488="","",DATE(YEAR($E488),MONTH($E488),1))</f>
        <v/>
      </c>
      <c r="M488" s="113">
        <f>IF($D488="","",IF($C488="TANIMSIZ MÜŞTERİ","HATA",IF(OR($E488="",$F488&lt;=0,$G488=""),"EKSİK",IF($E488&gt;TODAY(),"İLERİ TARİH","UYGUN"))))</f>
        <v/>
      </c>
      <c r="N488" s="121">
        <f>IF($C488="","",IF($C488="TANIMSIZ MÜŞTERİ","—",INDEX(MUSTERILER!$C$7:$C$106,MATCH($C488,MUSTERILER!$B$7:$B$106,0))))</f>
        <v/>
      </c>
      <c r="O488" s="6" t="n"/>
      <c r="P488" s="6" t="n"/>
      <c r="Q488" s="3">
        <f>IF($D488="","",$C488&amp;"|"&amp;COUNTIFS($C$7:$C488,$C488))</f>
        <v/>
      </c>
    </row>
    <row r="489">
      <c r="A489" s="6" t="n"/>
      <c r="B489" s="113">
        <f>IF($D489="","","T"&amp;TEXT(ROW()-6,"00000"))</f>
        <v/>
      </c>
      <c r="C489" s="113">
        <f>IF($D489="","",IFERROR(INDEX(MUSTERILER!$B$7:$B$106,MATCH($D489,MUSTERILER!$C$7:$C$106,0)),IFERROR(INDEX(MUSTERILER!$B$7:$B$106,MATCH($D489,MUSTERILER!$B$7:$B$106,0)),IFERROR(INDEX(MUSTERILER!$B$7:$B$106,MATCH($D489&amp;"*",MUSTERILER!$C$7:$C$106,0)),"TANIMSIZ MÜŞTERİ"))))</f>
        <v/>
      </c>
      <c r="D489" s="109" t="n"/>
      <c r="E489" s="225" t="n"/>
      <c r="F489" s="226" t="n"/>
      <c r="G489" s="108" t="n"/>
      <c r="H489" s="108" t="n"/>
      <c r="I489" s="109" t="n"/>
      <c r="J489" s="109" t="n"/>
      <c r="K489" s="109" t="n"/>
      <c r="L489" s="231">
        <f>IF($E489="","",DATE(YEAR($E489),MONTH($E489),1))</f>
        <v/>
      </c>
      <c r="M489" s="113">
        <f>IF($D489="","",IF($C489="TANIMSIZ MÜŞTERİ","HATA",IF(OR($E489="",$F489&lt;=0,$G489=""),"EKSİK",IF($E489&gt;TODAY(),"İLERİ TARİH","UYGUN"))))</f>
        <v/>
      </c>
      <c r="N489" s="121">
        <f>IF($C489="","",IF($C489="TANIMSIZ MÜŞTERİ","—",INDEX(MUSTERILER!$C$7:$C$106,MATCH($C489,MUSTERILER!$B$7:$B$106,0))))</f>
        <v/>
      </c>
      <c r="O489" s="6" t="n"/>
      <c r="P489" s="6" t="n"/>
      <c r="Q489" s="3">
        <f>IF($D489="","",$C489&amp;"|"&amp;COUNTIFS($C$7:$C489,$C489))</f>
        <v/>
      </c>
    </row>
    <row r="490">
      <c r="A490" s="6" t="n"/>
      <c r="B490" s="113">
        <f>IF($D490="","","T"&amp;TEXT(ROW()-6,"00000"))</f>
        <v/>
      </c>
      <c r="C490" s="113">
        <f>IF($D490="","",IFERROR(INDEX(MUSTERILER!$B$7:$B$106,MATCH($D490,MUSTERILER!$C$7:$C$106,0)),IFERROR(INDEX(MUSTERILER!$B$7:$B$106,MATCH($D490,MUSTERILER!$B$7:$B$106,0)),IFERROR(INDEX(MUSTERILER!$B$7:$B$106,MATCH($D490&amp;"*",MUSTERILER!$C$7:$C$106,0)),"TANIMSIZ MÜŞTERİ"))))</f>
        <v/>
      </c>
      <c r="D490" s="109" t="n"/>
      <c r="E490" s="225" t="n"/>
      <c r="F490" s="226" t="n"/>
      <c r="G490" s="108" t="n"/>
      <c r="H490" s="108" t="n"/>
      <c r="I490" s="109" t="n"/>
      <c r="J490" s="109" t="n"/>
      <c r="K490" s="109" t="n"/>
      <c r="L490" s="231">
        <f>IF($E490="","",DATE(YEAR($E490),MONTH($E490),1))</f>
        <v/>
      </c>
      <c r="M490" s="113">
        <f>IF($D490="","",IF($C490="TANIMSIZ MÜŞTERİ","HATA",IF(OR($E490="",$F490&lt;=0,$G490=""),"EKSİK",IF($E490&gt;TODAY(),"İLERİ TARİH","UYGUN"))))</f>
        <v/>
      </c>
      <c r="N490" s="121">
        <f>IF($C490="","",IF($C490="TANIMSIZ MÜŞTERİ","—",INDEX(MUSTERILER!$C$7:$C$106,MATCH($C490,MUSTERILER!$B$7:$B$106,0))))</f>
        <v/>
      </c>
      <c r="O490" s="6" t="n"/>
      <c r="P490" s="6" t="n"/>
      <c r="Q490" s="3">
        <f>IF($D490="","",$C490&amp;"|"&amp;COUNTIFS($C$7:$C490,$C490))</f>
        <v/>
      </c>
    </row>
    <row r="491">
      <c r="A491" s="6" t="n"/>
      <c r="B491" s="113">
        <f>IF($D491="","","T"&amp;TEXT(ROW()-6,"00000"))</f>
        <v/>
      </c>
      <c r="C491" s="113">
        <f>IF($D491="","",IFERROR(INDEX(MUSTERILER!$B$7:$B$106,MATCH($D491,MUSTERILER!$C$7:$C$106,0)),IFERROR(INDEX(MUSTERILER!$B$7:$B$106,MATCH($D491,MUSTERILER!$B$7:$B$106,0)),IFERROR(INDEX(MUSTERILER!$B$7:$B$106,MATCH($D491&amp;"*",MUSTERILER!$C$7:$C$106,0)),"TANIMSIZ MÜŞTERİ"))))</f>
        <v/>
      </c>
      <c r="D491" s="109" t="n"/>
      <c r="E491" s="225" t="n"/>
      <c r="F491" s="226" t="n"/>
      <c r="G491" s="108" t="n"/>
      <c r="H491" s="108" t="n"/>
      <c r="I491" s="109" t="n"/>
      <c r="J491" s="109" t="n"/>
      <c r="K491" s="109" t="n"/>
      <c r="L491" s="231">
        <f>IF($E491="","",DATE(YEAR($E491),MONTH($E491),1))</f>
        <v/>
      </c>
      <c r="M491" s="113">
        <f>IF($D491="","",IF($C491="TANIMSIZ MÜŞTERİ","HATA",IF(OR($E491="",$F491&lt;=0,$G491=""),"EKSİK",IF($E491&gt;TODAY(),"İLERİ TARİH","UYGUN"))))</f>
        <v/>
      </c>
      <c r="N491" s="121">
        <f>IF($C491="","",IF($C491="TANIMSIZ MÜŞTERİ","—",INDEX(MUSTERILER!$C$7:$C$106,MATCH($C491,MUSTERILER!$B$7:$B$106,0))))</f>
        <v/>
      </c>
      <c r="O491" s="6" t="n"/>
      <c r="P491" s="6" t="n"/>
      <c r="Q491" s="3">
        <f>IF($D491="","",$C491&amp;"|"&amp;COUNTIFS($C$7:$C491,$C491))</f>
        <v/>
      </c>
    </row>
    <row r="492">
      <c r="A492" s="6" t="n"/>
      <c r="B492" s="113">
        <f>IF($D492="","","T"&amp;TEXT(ROW()-6,"00000"))</f>
        <v/>
      </c>
      <c r="C492" s="113">
        <f>IF($D492="","",IFERROR(INDEX(MUSTERILER!$B$7:$B$106,MATCH($D492,MUSTERILER!$C$7:$C$106,0)),IFERROR(INDEX(MUSTERILER!$B$7:$B$106,MATCH($D492,MUSTERILER!$B$7:$B$106,0)),IFERROR(INDEX(MUSTERILER!$B$7:$B$106,MATCH($D492&amp;"*",MUSTERILER!$C$7:$C$106,0)),"TANIMSIZ MÜŞTERİ"))))</f>
        <v/>
      </c>
      <c r="D492" s="109" t="n"/>
      <c r="E492" s="225" t="n"/>
      <c r="F492" s="226" t="n"/>
      <c r="G492" s="108" t="n"/>
      <c r="H492" s="108" t="n"/>
      <c r="I492" s="109" t="n"/>
      <c r="J492" s="109" t="n"/>
      <c r="K492" s="109" t="n"/>
      <c r="L492" s="231">
        <f>IF($E492="","",DATE(YEAR($E492),MONTH($E492),1))</f>
        <v/>
      </c>
      <c r="M492" s="113">
        <f>IF($D492="","",IF($C492="TANIMSIZ MÜŞTERİ","HATA",IF(OR($E492="",$F492&lt;=0,$G492=""),"EKSİK",IF($E492&gt;TODAY(),"İLERİ TARİH","UYGUN"))))</f>
        <v/>
      </c>
      <c r="N492" s="121">
        <f>IF($C492="","",IF($C492="TANIMSIZ MÜŞTERİ","—",INDEX(MUSTERILER!$C$7:$C$106,MATCH($C492,MUSTERILER!$B$7:$B$106,0))))</f>
        <v/>
      </c>
      <c r="O492" s="6" t="n"/>
      <c r="P492" s="6" t="n"/>
      <c r="Q492" s="3">
        <f>IF($D492="","",$C492&amp;"|"&amp;COUNTIFS($C$7:$C492,$C492))</f>
        <v/>
      </c>
    </row>
    <row r="493">
      <c r="A493" s="6" t="n"/>
      <c r="B493" s="113">
        <f>IF($D493="","","T"&amp;TEXT(ROW()-6,"00000"))</f>
        <v/>
      </c>
      <c r="C493" s="113">
        <f>IF($D493="","",IFERROR(INDEX(MUSTERILER!$B$7:$B$106,MATCH($D493,MUSTERILER!$C$7:$C$106,0)),IFERROR(INDEX(MUSTERILER!$B$7:$B$106,MATCH($D493,MUSTERILER!$B$7:$B$106,0)),IFERROR(INDEX(MUSTERILER!$B$7:$B$106,MATCH($D493&amp;"*",MUSTERILER!$C$7:$C$106,0)),"TANIMSIZ MÜŞTERİ"))))</f>
        <v/>
      </c>
      <c r="D493" s="109" t="n"/>
      <c r="E493" s="225" t="n"/>
      <c r="F493" s="226" t="n"/>
      <c r="G493" s="108" t="n"/>
      <c r="H493" s="108" t="n"/>
      <c r="I493" s="109" t="n"/>
      <c r="J493" s="109" t="n"/>
      <c r="K493" s="109" t="n"/>
      <c r="L493" s="231">
        <f>IF($E493="","",DATE(YEAR($E493),MONTH($E493),1))</f>
        <v/>
      </c>
      <c r="M493" s="113">
        <f>IF($D493="","",IF($C493="TANIMSIZ MÜŞTERİ","HATA",IF(OR($E493="",$F493&lt;=0,$G493=""),"EKSİK",IF($E493&gt;TODAY(),"İLERİ TARİH","UYGUN"))))</f>
        <v/>
      </c>
      <c r="N493" s="121">
        <f>IF($C493="","",IF($C493="TANIMSIZ MÜŞTERİ","—",INDEX(MUSTERILER!$C$7:$C$106,MATCH($C493,MUSTERILER!$B$7:$B$106,0))))</f>
        <v/>
      </c>
      <c r="O493" s="6" t="n"/>
      <c r="P493" s="6" t="n"/>
      <c r="Q493" s="3">
        <f>IF($D493="","",$C493&amp;"|"&amp;COUNTIFS($C$7:$C493,$C493))</f>
        <v/>
      </c>
    </row>
    <row r="494">
      <c r="A494" s="6" t="n"/>
      <c r="B494" s="113">
        <f>IF($D494="","","T"&amp;TEXT(ROW()-6,"00000"))</f>
        <v/>
      </c>
      <c r="C494" s="113">
        <f>IF($D494="","",IFERROR(INDEX(MUSTERILER!$B$7:$B$106,MATCH($D494,MUSTERILER!$C$7:$C$106,0)),IFERROR(INDEX(MUSTERILER!$B$7:$B$106,MATCH($D494,MUSTERILER!$B$7:$B$106,0)),IFERROR(INDEX(MUSTERILER!$B$7:$B$106,MATCH($D494&amp;"*",MUSTERILER!$C$7:$C$106,0)),"TANIMSIZ MÜŞTERİ"))))</f>
        <v/>
      </c>
      <c r="D494" s="109" t="n"/>
      <c r="E494" s="225" t="n"/>
      <c r="F494" s="226" t="n"/>
      <c r="G494" s="108" t="n"/>
      <c r="H494" s="108" t="n"/>
      <c r="I494" s="109" t="n"/>
      <c r="J494" s="109" t="n"/>
      <c r="K494" s="109" t="n"/>
      <c r="L494" s="231">
        <f>IF($E494="","",DATE(YEAR($E494),MONTH($E494),1))</f>
        <v/>
      </c>
      <c r="M494" s="113">
        <f>IF($D494="","",IF($C494="TANIMSIZ MÜŞTERİ","HATA",IF(OR($E494="",$F494&lt;=0,$G494=""),"EKSİK",IF($E494&gt;TODAY(),"İLERİ TARİH","UYGUN"))))</f>
        <v/>
      </c>
      <c r="N494" s="121">
        <f>IF($C494="","",IF($C494="TANIMSIZ MÜŞTERİ","—",INDEX(MUSTERILER!$C$7:$C$106,MATCH($C494,MUSTERILER!$B$7:$B$106,0))))</f>
        <v/>
      </c>
      <c r="O494" s="6" t="n"/>
      <c r="P494" s="6" t="n"/>
      <c r="Q494" s="3">
        <f>IF($D494="","",$C494&amp;"|"&amp;COUNTIFS($C$7:$C494,$C494))</f>
        <v/>
      </c>
    </row>
    <row r="495">
      <c r="A495" s="6" t="n"/>
      <c r="B495" s="113">
        <f>IF($D495="","","T"&amp;TEXT(ROW()-6,"00000"))</f>
        <v/>
      </c>
      <c r="C495" s="113">
        <f>IF($D495="","",IFERROR(INDEX(MUSTERILER!$B$7:$B$106,MATCH($D495,MUSTERILER!$C$7:$C$106,0)),IFERROR(INDEX(MUSTERILER!$B$7:$B$106,MATCH($D495,MUSTERILER!$B$7:$B$106,0)),IFERROR(INDEX(MUSTERILER!$B$7:$B$106,MATCH($D495&amp;"*",MUSTERILER!$C$7:$C$106,0)),"TANIMSIZ MÜŞTERİ"))))</f>
        <v/>
      </c>
      <c r="D495" s="109" t="n"/>
      <c r="E495" s="225" t="n"/>
      <c r="F495" s="226" t="n"/>
      <c r="G495" s="108" t="n"/>
      <c r="H495" s="108" t="n"/>
      <c r="I495" s="109" t="n"/>
      <c r="J495" s="109" t="n"/>
      <c r="K495" s="109" t="n"/>
      <c r="L495" s="231">
        <f>IF($E495="","",DATE(YEAR($E495),MONTH($E495),1))</f>
        <v/>
      </c>
      <c r="M495" s="113">
        <f>IF($D495="","",IF($C495="TANIMSIZ MÜŞTERİ","HATA",IF(OR($E495="",$F495&lt;=0,$G495=""),"EKSİK",IF($E495&gt;TODAY(),"İLERİ TARİH","UYGUN"))))</f>
        <v/>
      </c>
      <c r="N495" s="121">
        <f>IF($C495="","",IF($C495="TANIMSIZ MÜŞTERİ","—",INDEX(MUSTERILER!$C$7:$C$106,MATCH($C495,MUSTERILER!$B$7:$B$106,0))))</f>
        <v/>
      </c>
      <c r="O495" s="6" t="n"/>
      <c r="P495" s="6" t="n"/>
      <c r="Q495" s="3">
        <f>IF($D495="","",$C495&amp;"|"&amp;COUNTIFS($C$7:$C495,$C495))</f>
        <v/>
      </c>
    </row>
    <row r="496">
      <c r="A496" s="6" t="n"/>
      <c r="B496" s="113">
        <f>IF($D496="","","T"&amp;TEXT(ROW()-6,"00000"))</f>
        <v/>
      </c>
      <c r="C496" s="113">
        <f>IF($D496="","",IFERROR(INDEX(MUSTERILER!$B$7:$B$106,MATCH($D496,MUSTERILER!$C$7:$C$106,0)),IFERROR(INDEX(MUSTERILER!$B$7:$B$106,MATCH($D496,MUSTERILER!$B$7:$B$106,0)),IFERROR(INDEX(MUSTERILER!$B$7:$B$106,MATCH($D496&amp;"*",MUSTERILER!$C$7:$C$106,0)),"TANIMSIZ MÜŞTERİ"))))</f>
        <v/>
      </c>
      <c r="D496" s="109" t="n"/>
      <c r="E496" s="225" t="n"/>
      <c r="F496" s="226" t="n"/>
      <c r="G496" s="108" t="n"/>
      <c r="H496" s="108" t="n"/>
      <c r="I496" s="109" t="n"/>
      <c r="J496" s="109" t="n"/>
      <c r="K496" s="109" t="n"/>
      <c r="L496" s="231">
        <f>IF($E496="","",DATE(YEAR($E496),MONTH($E496),1))</f>
        <v/>
      </c>
      <c r="M496" s="113">
        <f>IF($D496="","",IF($C496="TANIMSIZ MÜŞTERİ","HATA",IF(OR($E496="",$F496&lt;=0,$G496=""),"EKSİK",IF($E496&gt;TODAY(),"İLERİ TARİH","UYGUN"))))</f>
        <v/>
      </c>
      <c r="N496" s="121">
        <f>IF($C496="","",IF($C496="TANIMSIZ MÜŞTERİ","—",INDEX(MUSTERILER!$C$7:$C$106,MATCH($C496,MUSTERILER!$B$7:$B$106,0))))</f>
        <v/>
      </c>
      <c r="O496" s="6" t="n"/>
      <c r="P496" s="6" t="n"/>
      <c r="Q496" s="3">
        <f>IF($D496="","",$C496&amp;"|"&amp;COUNTIFS($C$7:$C496,$C496))</f>
        <v/>
      </c>
    </row>
    <row r="497">
      <c r="A497" s="6" t="n"/>
      <c r="B497" s="113">
        <f>IF($D497="","","T"&amp;TEXT(ROW()-6,"00000"))</f>
        <v/>
      </c>
      <c r="C497" s="113">
        <f>IF($D497="","",IFERROR(INDEX(MUSTERILER!$B$7:$B$106,MATCH($D497,MUSTERILER!$C$7:$C$106,0)),IFERROR(INDEX(MUSTERILER!$B$7:$B$106,MATCH($D497,MUSTERILER!$B$7:$B$106,0)),IFERROR(INDEX(MUSTERILER!$B$7:$B$106,MATCH($D497&amp;"*",MUSTERILER!$C$7:$C$106,0)),"TANIMSIZ MÜŞTERİ"))))</f>
        <v/>
      </c>
      <c r="D497" s="109" t="n"/>
      <c r="E497" s="225" t="n"/>
      <c r="F497" s="226" t="n"/>
      <c r="G497" s="108" t="n"/>
      <c r="H497" s="108" t="n"/>
      <c r="I497" s="109" t="n"/>
      <c r="J497" s="109" t="n"/>
      <c r="K497" s="109" t="n"/>
      <c r="L497" s="231">
        <f>IF($E497="","",DATE(YEAR($E497),MONTH($E497),1))</f>
        <v/>
      </c>
      <c r="M497" s="113">
        <f>IF($D497="","",IF($C497="TANIMSIZ MÜŞTERİ","HATA",IF(OR($E497="",$F497&lt;=0,$G497=""),"EKSİK",IF($E497&gt;TODAY(),"İLERİ TARİH","UYGUN"))))</f>
        <v/>
      </c>
      <c r="N497" s="121">
        <f>IF($C497="","",IF($C497="TANIMSIZ MÜŞTERİ","—",INDEX(MUSTERILER!$C$7:$C$106,MATCH($C497,MUSTERILER!$B$7:$B$106,0))))</f>
        <v/>
      </c>
      <c r="O497" s="6" t="n"/>
      <c r="P497" s="6" t="n"/>
      <c r="Q497" s="3">
        <f>IF($D497="","",$C497&amp;"|"&amp;COUNTIFS($C$7:$C497,$C497))</f>
        <v/>
      </c>
    </row>
    <row r="498">
      <c r="A498" s="6" t="n"/>
      <c r="B498" s="113">
        <f>IF($D498="","","T"&amp;TEXT(ROW()-6,"00000"))</f>
        <v/>
      </c>
      <c r="C498" s="113">
        <f>IF($D498="","",IFERROR(INDEX(MUSTERILER!$B$7:$B$106,MATCH($D498,MUSTERILER!$C$7:$C$106,0)),IFERROR(INDEX(MUSTERILER!$B$7:$B$106,MATCH($D498,MUSTERILER!$B$7:$B$106,0)),IFERROR(INDEX(MUSTERILER!$B$7:$B$106,MATCH($D498&amp;"*",MUSTERILER!$C$7:$C$106,0)),"TANIMSIZ MÜŞTERİ"))))</f>
        <v/>
      </c>
      <c r="D498" s="109" t="n"/>
      <c r="E498" s="225" t="n"/>
      <c r="F498" s="226" t="n"/>
      <c r="G498" s="108" t="n"/>
      <c r="H498" s="108" t="n"/>
      <c r="I498" s="109" t="n"/>
      <c r="J498" s="109" t="n"/>
      <c r="K498" s="109" t="n"/>
      <c r="L498" s="231">
        <f>IF($E498="","",DATE(YEAR($E498),MONTH($E498),1))</f>
        <v/>
      </c>
      <c r="M498" s="113">
        <f>IF($D498="","",IF($C498="TANIMSIZ MÜŞTERİ","HATA",IF(OR($E498="",$F498&lt;=0,$G498=""),"EKSİK",IF($E498&gt;TODAY(),"İLERİ TARİH","UYGUN"))))</f>
        <v/>
      </c>
      <c r="N498" s="121">
        <f>IF($C498="","",IF($C498="TANIMSIZ MÜŞTERİ","—",INDEX(MUSTERILER!$C$7:$C$106,MATCH($C498,MUSTERILER!$B$7:$B$106,0))))</f>
        <v/>
      </c>
      <c r="O498" s="6" t="n"/>
      <c r="P498" s="6" t="n"/>
      <c r="Q498" s="3">
        <f>IF($D498="","",$C498&amp;"|"&amp;COUNTIFS($C$7:$C498,$C498))</f>
        <v/>
      </c>
    </row>
    <row r="499">
      <c r="A499" s="6" t="n"/>
      <c r="B499" s="113">
        <f>IF($D499="","","T"&amp;TEXT(ROW()-6,"00000"))</f>
        <v/>
      </c>
      <c r="C499" s="113">
        <f>IF($D499="","",IFERROR(INDEX(MUSTERILER!$B$7:$B$106,MATCH($D499,MUSTERILER!$C$7:$C$106,0)),IFERROR(INDEX(MUSTERILER!$B$7:$B$106,MATCH($D499,MUSTERILER!$B$7:$B$106,0)),IFERROR(INDEX(MUSTERILER!$B$7:$B$106,MATCH($D499&amp;"*",MUSTERILER!$C$7:$C$106,0)),"TANIMSIZ MÜŞTERİ"))))</f>
        <v/>
      </c>
      <c r="D499" s="109" t="n"/>
      <c r="E499" s="225" t="n"/>
      <c r="F499" s="226" t="n"/>
      <c r="G499" s="108" t="n"/>
      <c r="H499" s="108" t="n"/>
      <c r="I499" s="109" t="n"/>
      <c r="J499" s="109" t="n"/>
      <c r="K499" s="109" t="n"/>
      <c r="L499" s="231">
        <f>IF($E499="","",DATE(YEAR($E499),MONTH($E499),1))</f>
        <v/>
      </c>
      <c r="M499" s="113">
        <f>IF($D499="","",IF($C499="TANIMSIZ MÜŞTERİ","HATA",IF(OR($E499="",$F499&lt;=0,$G499=""),"EKSİK",IF($E499&gt;TODAY(),"İLERİ TARİH","UYGUN"))))</f>
        <v/>
      </c>
      <c r="N499" s="121">
        <f>IF($C499="","",IF($C499="TANIMSIZ MÜŞTERİ","—",INDEX(MUSTERILER!$C$7:$C$106,MATCH($C499,MUSTERILER!$B$7:$B$106,0))))</f>
        <v/>
      </c>
      <c r="O499" s="6" t="n"/>
      <c r="P499" s="6" t="n"/>
      <c r="Q499" s="3">
        <f>IF($D499="","",$C499&amp;"|"&amp;COUNTIFS($C$7:$C499,$C499))</f>
        <v/>
      </c>
    </row>
    <row r="500">
      <c r="A500" s="6" t="n"/>
      <c r="B500" s="113">
        <f>IF($D500="","","T"&amp;TEXT(ROW()-6,"00000"))</f>
        <v/>
      </c>
      <c r="C500" s="113">
        <f>IF($D500="","",IFERROR(INDEX(MUSTERILER!$B$7:$B$106,MATCH($D500,MUSTERILER!$C$7:$C$106,0)),IFERROR(INDEX(MUSTERILER!$B$7:$B$106,MATCH($D500,MUSTERILER!$B$7:$B$106,0)),IFERROR(INDEX(MUSTERILER!$B$7:$B$106,MATCH($D500&amp;"*",MUSTERILER!$C$7:$C$106,0)),"TANIMSIZ MÜŞTERİ"))))</f>
        <v/>
      </c>
      <c r="D500" s="109" t="n"/>
      <c r="E500" s="225" t="n"/>
      <c r="F500" s="226" t="n"/>
      <c r="G500" s="108" t="n"/>
      <c r="H500" s="108" t="n"/>
      <c r="I500" s="109" t="n"/>
      <c r="J500" s="109" t="n"/>
      <c r="K500" s="109" t="n"/>
      <c r="L500" s="231">
        <f>IF($E500="","",DATE(YEAR($E500),MONTH($E500),1))</f>
        <v/>
      </c>
      <c r="M500" s="113">
        <f>IF($D500="","",IF($C500="TANIMSIZ MÜŞTERİ","HATA",IF(OR($E500="",$F500&lt;=0,$G500=""),"EKSİK",IF($E500&gt;TODAY(),"İLERİ TARİH","UYGUN"))))</f>
        <v/>
      </c>
      <c r="N500" s="121">
        <f>IF($C500="","",IF($C500="TANIMSIZ MÜŞTERİ","—",INDEX(MUSTERILER!$C$7:$C$106,MATCH($C500,MUSTERILER!$B$7:$B$106,0))))</f>
        <v/>
      </c>
      <c r="O500" s="6" t="n"/>
      <c r="P500" s="6" t="n"/>
      <c r="Q500" s="3">
        <f>IF($D500="","",$C500&amp;"|"&amp;COUNTIFS($C$7:$C500,$C500))</f>
        <v/>
      </c>
    </row>
    <row r="501">
      <c r="A501" s="6" t="n"/>
      <c r="B501" s="113">
        <f>IF($D501="","","T"&amp;TEXT(ROW()-6,"00000"))</f>
        <v/>
      </c>
      <c r="C501" s="113">
        <f>IF($D501="","",IFERROR(INDEX(MUSTERILER!$B$7:$B$106,MATCH($D501,MUSTERILER!$C$7:$C$106,0)),IFERROR(INDEX(MUSTERILER!$B$7:$B$106,MATCH($D501,MUSTERILER!$B$7:$B$106,0)),IFERROR(INDEX(MUSTERILER!$B$7:$B$106,MATCH($D501&amp;"*",MUSTERILER!$C$7:$C$106,0)),"TANIMSIZ MÜŞTERİ"))))</f>
        <v/>
      </c>
      <c r="D501" s="109" t="n"/>
      <c r="E501" s="225" t="n"/>
      <c r="F501" s="226" t="n"/>
      <c r="G501" s="108" t="n"/>
      <c r="H501" s="108" t="n"/>
      <c r="I501" s="109" t="n"/>
      <c r="J501" s="109" t="n"/>
      <c r="K501" s="109" t="n"/>
      <c r="L501" s="231">
        <f>IF($E501="","",DATE(YEAR($E501),MONTH($E501),1))</f>
        <v/>
      </c>
      <c r="M501" s="113">
        <f>IF($D501="","",IF($C501="TANIMSIZ MÜŞTERİ","HATA",IF(OR($E501="",$F501&lt;=0,$G501=""),"EKSİK",IF($E501&gt;TODAY(),"İLERİ TARİH","UYGUN"))))</f>
        <v/>
      </c>
      <c r="N501" s="121">
        <f>IF($C501="","",IF($C501="TANIMSIZ MÜŞTERİ","—",INDEX(MUSTERILER!$C$7:$C$106,MATCH($C501,MUSTERILER!$B$7:$B$106,0))))</f>
        <v/>
      </c>
      <c r="O501" s="6" t="n"/>
      <c r="P501" s="6" t="n"/>
      <c r="Q501" s="3">
        <f>IF($D501="","",$C501&amp;"|"&amp;COUNTIFS($C$7:$C501,$C501))</f>
        <v/>
      </c>
    </row>
    <row r="502">
      <c r="A502" s="6" t="n"/>
      <c r="B502" s="113">
        <f>IF($D502="","","T"&amp;TEXT(ROW()-6,"00000"))</f>
        <v/>
      </c>
      <c r="C502" s="113">
        <f>IF($D502="","",IFERROR(INDEX(MUSTERILER!$B$7:$B$106,MATCH($D502,MUSTERILER!$C$7:$C$106,0)),IFERROR(INDEX(MUSTERILER!$B$7:$B$106,MATCH($D502,MUSTERILER!$B$7:$B$106,0)),IFERROR(INDEX(MUSTERILER!$B$7:$B$106,MATCH($D502&amp;"*",MUSTERILER!$C$7:$C$106,0)),"TANIMSIZ MÜŞTERİ"))))</f>
        <v/>
      </c>
      <c r="D502" s="109" t="n"/>
      <c r="E502" s="225" t="n"/>
      <c r="F502" s="226" t="n"/>
      <c r="G502" s="108" t="n"/>
      <c r="H502" s="108" t="n"/>
      <c r="I502" s="109" t="n"/>
      <c r="J502" s="109" t="n"/>
      <c r="K502" s="109" t="n"/>
      <c r="L502" s="231">
        <f>IF($E502="","",DATE(YEAR($E502),MONTH($E502),1))</f>
        <v/>
      </c>
      <c r="M502" s="113">
        <f>IF($D502="","",IF($C502="TANIMSIZ MÜŞTERİ","HATA",IF(OR($E502="",$F502&lt;=0,$G502=""),"EKSİK",IF($E502&gt;TODAY(),"İLERİ TARİH","UYGUN"))))</f>
        <v/>
      </c>
      <c r="N502" s="121">
        <f>IF($C502="","",IF($C502="TANIMSIZ MÜŞTERİ","—",INDEX(MUSTERILER!$C$7:$C$106,MATCH($C502,MUSTERILER!$B$7:$B$106,0))))</f>
        <v/>
      </c>
      <c r="O502" s="6" t="n"/>
      <c r="P502" s="6" t="n"/>
      <c r="Q502" s="3">
        <f>IF($D502="","",$C502&amp;"|"&amp;COUNTIFS($C$7:$C502,$C502))</f>
        <v/>
      </c>
    </row>
    <row r="503">
      <c r="A503" s="6" t="n"/>
      <c r="B503" s="113">
        <f>IF($D503="","","T"&amp;TEXT(ROW()-6,"00000"))</f>
        <v/>
      </c>
      <c r="C503" s="113">
        <f>IF($D503="","",IFERROR(INDEX(MUSTERILER!$B$7:$B$106,MATCH($D503,MUSTERILER!$C$7:$C$106,0)),IFERROR(INDEX(MUSTERILER!$B$7:$B$106,MATCH($D503,MUSTERILER!$B$7:$B$106,0)),IFERROR(INDEX(MUSTERILER!$B$7:$B$106,MATCH($D503&amp;"*",MUSTERILER!$C$7:$C$106,0)),"TANIMSIZ MÜŞTERİ"))))</f>
        <v/>
      </c>
      <c r="D503" s="109" t="n"/>
      <c r="E503" s="225" t="n"/>
      <c r="F503" s="226" t="n"/>
      <c r="G503" s="108" t="n"/>
      <c r="H503" s="108" t="n"/>
      <c r="I503" s="109" t="n"/>
      <c r="J503" s="109" t="n"/>
      <c r="K503" s="109" t="n"/>
      <c r="L503" s="231">
        <f>IF($E503="","",DATE(YEAR($E503),MONTH($E503),1))</f>
        <v/>
      </c>
      <c r="M503" s="113">
        <f>IF($D503="","",IF($C503="TANIMSIZ MÜŞTERİ","HATA",IF(OR($E503="",$F503&lt;=0,$G503=""),"EKSİK",IF($E503&gt;TODAY(),"İLERİ TARİH","UYGUN"))))</f>
        <v/>
      </c>
      <c r="N503" s="121">
        <f>IF($C503="","",IF($C503="TANIMSIZ MÜŞTERİ","—",INDEX(MUSTERILER!$C$7:$C$106,MATCH($C503,MUSTERILER!$B$7:$B$106,0))))</f>
        <v/>
      </c>
      <c r="O503" s="6" t="n"/>
      <c r="P503" s="6" t="n"/>
      <c r="Q503" s="3">
        <f>IF($D503="","",$C503&amp;"|"&amp;COUNTIFS($C$7:$C503,$C503))</f>
        <v/>
      </c>
    </row>
    <row r="504">
      <c r="A504" s="6" t="n"/>
      <c r="B504" s="113">
        <f>IF($D504="","","T"&amp;TEXT(ROW()-6,"00000"))</f>
        <v/>
      </c>
      <c r="C504" s="113">
        <f>IF($D504="","",IFERROR(INDEX(MUSTERILER!$B$7:$B$106,MATCH($D504,MUSTERILER!$C$7:$C$106,0)),IFERROR(INDEX(MUSTERILER!$B$7:$B$106,MATCH($D504,MUSTERILER!$B$7:$B$106,0)),IFERROR(INDEX(MUSTERILER!$B$7:$B$106,MATCH($D504&amp;"*",MUSTERILER!$C$7:$C$106,0)),"TANIMSIZ MÜŞTERİ"))))</f>
        <v/>
      </c>
      <c r="D504" s="109" t="n"/>
      <c r="E504" s="225" t="n"/>
      <c r="F504" s="226" t="n"/>
      <c r="G504" s="108" t="n"/>
      <c r="H504" s="108" t="n"/>
      <c r="I504" s="109" t="n"/>
      <c r="J504" s="109" t="n"/>
      <c r="K504" s="109" t="n"/>
      <c r="L504" s="231">
        <f>IF($E504="","",DATE(YEAR($E504),MONTH($E504),1))</f>
        <v/>
      </c>
      <c r="M504" s="113">
        <f>IF($D504="","",IF($C504="TANIMSIZ MÜŞTERİ","HATA",IF(OR($E504="",$F504&lt;=0,$G504=""),"EKSİK",IF($E504&gt;TODAY(),"İLERİ TARİH","UYGUN"))))</f>
        <v/>
      </c>
      <c r="N504" s="121">
        <f>IF($C504="","",IF($C504="TANIMSIZ MÜŞTERİ","—",INDEX(MUSTERILER!$C$7:$C$106,MATCH($C504,MUSTERILER!$B$7:$B$106,0))))</f>
        <v/>
      </c>
      <c r="O504" s="6" t="n"/>
      <c r="P504" s="6" t="n"/>
      <c r="Q504" s="3">
        <f>IF($D504="","",$C504&amp;"|"&amp;COUNTIFS($C$7:$C504,$C504))</f>
        <v/>
      </c>
    </row>
    <row r="505">
      <c r="A505" s="6" t="n"/>
      <c r="B505" s="113">
        <f>IF($D505="","","T"&amp;TEXT(ROW()-6,"00000"))</f>
        <v/>
      </c>
      <c r="C505" s="113">
        <f>IF($D505="","",IFERROR(INDEX(MUSTERILER!$B$7:$B$106,MATCH($D505,MUSTERILER!$C$7:$C$106,0)),IFERROR(INDEX(MUSTERILER!$B$7:$B$106,MATCH($D505,MUSTERILER!$B$7:$B$106,0)),IFERROR(INDEX(MUSTERILER!$B$7:$B$106,MATCH($D505&amp;"*",MUSTERILER!$C$7:$C$106,0)),"TANIMSIZ MÜŞTERİ"))))</f>
        <v/>
      </c>
      <c r="D505" s="109" t="n"/>
      <c r="E505" s="225" t="n"/>
      <c r="F505" s="226" t="n"/>
      <c r="G505" s="108" t="n"/>
      <c r="H505" s="108" t="n"/>
      <c r="I505" s="109" t="n"/>
      <c r="J505" s="109" t="n"/>
      <c r="K505" s="109" t="n"/>
      <c r="L505" s="231">
        <f>IF($E505="","",DATE(YEAR($E505),MONTH($E505),1))</f>
        <v/>
      </c>
      <c r="M505" s="113">
        <f>IF($D505="","",IF($C505="TANIMSIZ MÜŞTERİ","HATA",IF(OR($E505="",$F505&lt;=0,$G505=""),"EKSİK",IF($E505&gt;TODAY(),"İLERİ TARİH","UYGUN"))))</f>
        <v/>
      </c>
      <c r="N505" s="121">
        <f>IF($C505="","",IF($C505="TANIMSIZ MÜŞTERİ","—",INDEX(MUSTERILER!$C$7:$C$106,MATCH($C505,MUSTERILER!$B$7:$B$106,0))))</f>
        <v/>
      </c>
      <c r="O505" s="6" t="n"/>
      <c r="P505" s="6" t="n"/>
      <c r="Q505" s="3">
        <f>IF($D505="","",$C505&amp;"|"&amp;COUNTIFS($C$7:$C505,$C505))</f>
        <v/>
      </c>
    </row>
    <row r="506">
      <c r="A506" s="6" t="n"/>
      <c r="B506" s="113">
        <f>IF($D506="","","T"&amp;TEXT(ROW()-6,"00000"))</f>
        <v/>
      </c>
      <c r="C506" s="113">
        <f>IF($D506="","",IFERROR(INDEX(MUSTERILER!$B$7:$B$106,MATCH($D506,MUSTERILER!$C$7:$C$106,0)),IFERROR(INDEX(MUSTERILER!$B$7:$B$106,MATCH($D506,MUSTERILER!$B$7:$B$106,0)),IFERROR(INDEX(MUSTERILER!$B$7:$B$106,MATCH($D506&amp;"*",MUSTERILER!$C$7:$C$106,0)),"TANIMSIZ MÜŞTERİ"))))</f>
        <v/>
      </c>
      <c r="D506" s="109" t="n"/>
      <c r="E506" s="225" t="n"/>
      <c r="F506" s="226" t="n"/>
      <c r="G506" s="108" t="n"/>
      <c r="H506" s="108" t="n"/>
      <c r="I506" s="109" t="n"/>
      <c r="J506" s="109" t="n"/>
      <c r="K506" s="109" t="n"/>
      <c r="L506" s="231">
        <f>IF($E506="","",DATE(YEAR($E506),MONTH($E506),1))</f>
        <v/>
      </c>
      <c r="M506" s="113">
        <f>IF($D506="","",IF($C506="TANIMSIZ MÜŞTERİ","HATA",IF(OR($E506="",$F506&lt;=0,$G506=""),"EKSİK",IF($E506&gt;TODAY(),"İLERİ TARİH","UYGUN"))))</f>
        <v/>
      </c>
      <c r="N506" s="121">
        <f>IF($C506="","",IF($C506="TANIMSIZ MÜŞTERİ","—",INDEX(MUSTERILER!$C$7:$C$106,MATCH($C506,MUSTERILER!$B$7:$B$106,0))))</f>
        <v/>
      </c>
      <c r="O506" s="6" t="n"/>
      <c r="P506" s="6" t="n"/>
      <c r="Q506" s="3">
        <f>IF($D506="","",$C506&amp;"|"&amp;COUNTIFS($C$7:$C506,$C506))</f>
        <v/>
      </c>
    </row>
    <row r="507">
      <c r="A507" s="6" t="n"/>
      <c r="B507" s="113">
        <f>IF($D507="","","T"&amp;TEXT(ROW()-6,"00000"))</f>
        <v/>
      </c>
      <c r="C507" s="113">
        <f>IF($D507="","",IFERROR(INDEX(MUSTERILER!$B$7:$B$106,MATCH($D507,MUSTERILER!$C$7:$C$106,0)),IFERROR(INDEX(MUSTERILER!$B$7:$B$106,MATCH($D507,MUSTERILER!$B$7:$B$106,0)),IFERROR(INDEX(MUSTERILER!$B$7:$B$106,MATCH($D507&amp;"*",MUSTERILER!$C$7:$C$106,0)),"TANIMSIZ MÜŞTERİ"))))</f>
        <v/>
      </c>
      <c r="D507" s="109" t="n"/>
      <c r="E507" s="225" t="n"/>
      <c r="F507" s="226" t="n"/>
      <c r="G507" s="108" t="n"/>
      <c r="H507" s="108" t="n"/>
      <c r="I507" s="109" t="n"/>
      <c r="J507" s="109" t="n"/>
      <c r="K507" s="109" t="n"/>
      <c r="L507" s="231">
        <f>IF($E507="","",DATE(YEAR($E507),MONTH($E507),1))</f>
        <v/>
      </c>
      <c r="M507" s="113">
        <f>IF($D507="","",IF($C507="TANIMSIZ MÜŞTERİ","HATA",IF(OR($E507="",$F507&lt;=0,$G507=""),"EKSİK",IF($E507&gt;TODAY(),"İLERİ TARİH","UYGUN"))))</f>
        <v/>
      </c>
      <c r="N507" s="121">
        <f>IF($C507="","",IF($C507="TANIMSIZ MÜŞTERİ","—",INDEX(MUSTERILER!$C$7:$C$106,MATCH($C507,MUSTERILER!$B$7:$B$106,0))))</f>
        <v/>
      </c>
      <c r="O507" s="6" t="n"/>
      <c r="P507" s="6" t="n"/>
      <c r="Q507" s="3">
        <f>IF($D507="","",$C507&amp;"|"&amp;COUNTIFS($C$7:$C507,$C507))</f>
        <v/>
      </c>
    </row>
    <row r="508">
      <c r="A508" s="6" t="n"/>
      <c r="B508" s="113">
        <f>IF($D508="","","T"&amp;TEXT(ROW()-6,"00000"))</f>
        <v/>
      </c>
      <c r="C508" s="113">
        <f>IF($D508="","",IFERROR(INDEX(MUSTERILER!$B$7:$B$106,MATCH($D508,MUSTERILER!$C$7:$C$106,0)),IFERROR(INDEX(MUSTERILER!$B$7:$B$106,MATCH($D508,MUSTERILER!$B$7:$B$106,0)),IFERROR(INDEX(MUSTERILER!$B$7:$B$106,MATCH($D508&amp;"*",MUSTERILER!$C$7:$C$106,0)),"TANIMSIZ MÜŞTERİ"))))</f>
        <v/>
      </c>
      <c r="D508" s="109" t="n"/>
      <c r="E508" s="225" t="n"/>
      <c r="F508" s="226" t="n"/>
      <c r="G508" s="108" t="n"/>
      <c r="H508" s="108" t="n"/>
      <c r="I508" s="109" t="n"/>
      <c r="J508" s="109" t="n"/>
      <c r="K508" s="109" t="n"/>
      <c r="L508" s="231">
        <f>IF($E508="","",DATE(YEAR($E508),MONTH($E508),1))</f>
        <v/>
      </c>
      <c r="M508" s="113">
        <f>IF($D508="","",IF($C508="TANIMSIZ MÜŞTERİ","HATA",IF(OR($E508="",$F508&lt;=0,$G508=""),"EKSİK",IF($E508&gt;TODAY(),"İLERİ TARİH","UYGUN"))))</f>
        <v/>
      </c>
      <c r="N508" s="121">
        <f>IF($C508="","",IF($C508="TANIMSIZ MÜŞTERİ","—",INDEX(MUSTERILER!$C$7:$C$106,MATCH($C508,MUSTERILER!$B$7:$B$106,0))))</f>
        <v/>
      </c>
      <c r="O508" s="6" t="n"/>
      <c r="P508" s="6" t="n"/>
      <c r="Q508" s="3">
        <f>IF($D508="","",$C508&amp;"|"&amp;COUNTIFS($C$7:$C508,$C508))</f>
        <v/>
      </c>
    </row>
    <row r="509">
      <c r="A509" s="6" t="n"/>
      <c r="B509" s="113">
        <f>IF($D509="","","T"&amp;TEXT(ROW()-6,"00000"))</f>
        <v/>
      </c>
      <c r="C509" s="113">
        <f>IF($D509="","",IFERROR(INDEX(MUSTERILER!$B$7:$B$106,MATCH($D509,MUSTERILER!$C$7:$C$106,0)),IFERROR(INDEX(MUSTERILER!$B$7:$B$106,MATCH($D509,MUSTERILER!$B$7:$B$106,0)),IFERROR(INDEX(MUSTERILER!$B$7:$B$106,MATCH($D509&amp;"*",MUSTERILER!$C$7:$C$106,0)),"TANIMSIZ MÜŞTERİ"))))</f>
        <v/>
      </c>
      <c r="D509" s="109" t="n"/>
      <c r="E509" s="225" t="n"/>
      <c r="F509" s="226" t="n"/>
      <c r="G509" s="108" t="n"/>
      <c r="H509" s="108" t="n"/>
      <c r="I509" s="109" t="n"/>
      <c r="J509" s="109" t="n"/>
      <c r="K509" s="109" t="n"/>
      <c r="L509" s="231">
        <f>IF($E509="","",DATE(YEAR($E509),MONTH($E509),1))</f>
        <v/>
      </c>
      <c r="M509" s="113">
        <f>IF($D509="","",IF($C509="TANIMSIZ MÜŞTERİ","HATA",IF(OR($E509="",$F509&lt;=0,$G509=""),"EKSİK",IF($E509&gt;TODAY(),"İLERİ TARİH","UYGUN"))))</f>
        <v/>
      </c>
      <c r="N509" s="121">
        <f>IF($C509="","",IF($C509="TANIMSIZ MÜŞTERİ","—",INDEX(MUSTERILER!$C$7:$C$106,MATCH($C509,MUSTERILER!$B$7:$B$106,0))))</f>
        <v/>
      </c>
      <c r="O509" s="6" t="n"/>
      <c r="P509" s="6" t="n"/>
      <c r="Q509" s="3">
        <f>IF($D509="","",$C509&amp;"|"&amp;COUNTIFS($C$7:$C509,$C509))</f>
        <v/>
      </c>
    </row>
    <row r="510">
      <c r="A510" s="6" t="n"/>
      <c r="B510" s="113">
        <f>IF($D510="","","T"&amp;TEXT(ROW()-6,"00000"))</f>
        <v/>
      </c>
      <c r="C510" s="113">
        <f>IF($D510="","",IFERROR(INDEX(MUSTERILER!$B$7:$B$106,MATCH($D510,MUSTERILER!$C$7:$C$106,0)),IFERROR(INDEX(MUSTERILER!$B$7:$B$106,MATCH($D510,MUSTERILER!$B$7:$B$106,0)),IFERROR(INDEX(MUSTERILER!$B$7:$B$106,MATCH($D510&amp;"*",MUSTERILER!$C$7:$C$106,0)),"TANIMSIZ MÜŞTERİ"))))</f>
        <v/>
      </c>
      <c r="D510" s="109" t="n"/>
      <c r="E510" s="225" t="n"/>
      <c r="F510" s="226" t="n"/>
      <c r="G510" s="108" t="n"/>
      <c r="H510" s="108" t="n"/>
      <c r="I510" s="109" t="n"/>
      <c r="J510" s="109" t="n"/>
      <c r="K510" s="109" t="n"/>
      <c r="L510" s="231">
        <f>IF($E510="","",DATE(YEAR($E510),MONTH($E510),1))</f>
        <v/>
      </c>
      <c r="M510" s="113">
        <f>IF($D510="","",IF($C510="TANIMSIZ MÜŞTERİ","HATA",IF(OR($E510="",$F510&lt;=0,$G510=""),"EKSİK",IF($E510&gt;TODAY(),"İLERİ TARİH","UYGUN"))))</f>
        <v/>
      </c>
      <c r="N510" s="121">
        <f>IF($C510="","",IF($C510="TANIMSIZ MÜŞTERİ","—",INDEX(MUSTERILER!$C$7:$C$106,MATCH($C510,MUSTERILER!$B$7:$B$106,0))))</f>
        <v/>
      </c>
      <c r="O510" s="6" t="n"/>
      <c r="P510" s="6" t="n"/>
      <c r="Q510" s="3">
        <f>IF($D510="","",$C510&amp;"|"&amp;COUNTIFS($C$7:$C510,$C510))</f>
        <v/>
      </c>
    </row>
    <row r="511">
      <c r="A511" s="6" t="n"/>
      <c r="B511" s="113">
        <f>IF($D511="","","T"&amp;TEXT(ROW()-6,"00000"))</f>
        <v/>
      </c>
      <c r="C511" s="113">
        <f>IF($D511="","",IFERROR(INDEX(MUSTERILER!$B$7:$B$106,MATCH($D511,MUSTERILER!$C$7:$C$106,0)),IFERROR(INDEX(MUSTERILER!$B$7:$B$106,MATCH($D511,MUSTERILER!$B$7:$B$106,0)),IFERROR(INDEX(MUSTERILER!$B$7:$B$106,MATCH($D511&amp;"*",MUSTERILER!$C$7:$C$106,0)),"TANIMSIZ MÜŞTERİ"))))</f>
        <v/>
      </c>
      <c r="D511" s="109" t="n"/>
      <c r="E511" s="225" t="n"/>
      <c r="F511" s="226" t="n"/>
      <c r="G511" s="108" t="n"/>
      <c r="H511" s="108" t="n"/>
      <c r="I511" s="109" t="n"/>
      <c r="J511" s="109" t="n"/>
      <c r="K511" s="109" t="n"/>
      <c r="L511" s="231">
        <f>IF($E511="","",DATE(YEAR($E511),MONTH($E511),1))</f>
        <v/>
      </c>
      <c r="M511" s="113">
        <f>IF($D511="","",IF($C511="TANIMSIZ MÜŞTERİ","HATA",IF(OR($E511="",$F511&lt;=0,$G511=""),"EKSİK",IF($E511&gt;TODAY(),"İLERİ TARİH","UYGUN"))))</f>
        <v/>
      </c>
      <c r="N511" s="121">
        <f>IF($C511="","",IF($C511="TANIMSIZ MÜŞTERİ","—",INDEX(MUSTERILER!$C$7:$C$106,MATCH($C511,MUSTERILER!$B$7:$B$106,0))))</f>
        <v/>
      </c>
      <c r="O511" s="6" t="n"/>
      <c r="P511" s="6" t="n"/>
      <c r="Q511" s="3">
        <f>IF($D511="","",$C511&amp;"|"&amp;COUNTIFS($C$7:$C511,$C511))</f>
        <v/>
      </c>
    </row>
    <row r="512">
      <c r="A512" s="6" t="n"/>
      <c r="B512" s="113">
        <f>IF($D512="","","T"&amp;TEXT(ROW()-6,"00000"))</f>
        <v/>
      </c>
      <c r="C512" s="113">
        <f>IF($D512="","",IFERROR(INDEX(MUSTERILER!$B$7:$B$106,MATCH($D512,MUSTERILER!$C$7:$C$106,0)),IFERROR(INDEX(MUSTERILER!$B$7:$B$106,MATCH($D512,MUSTERILER!$B$7:$B$106,0)),IFERROR(INDEX(MUSTERILER!$B$7:$B$106,MATCH($D512&amp;"*",MUSTERILER!$C$7:$C$106,0)),"TANIMSIZ MÜŞTERİ"))))</f>
        <v/>
      </c>
      <c r="D512" s="109" t="n"/>
      <c r="E512" s="225" t="n"/>
      <c r="F512" s="226" t="n"/>
      <c r="G512" s="108" t="n"/>
      <c r="H512" s="108" t="n"/>
      <c r="I512" s="109" t="n"/>
      <c r="J512" s="109" t="n"/>
      <c r="K512" s="109" t="n"/>
      <c r="L512" s="231">
        <f>IF($E512="","",DATE(YEAR($E512),MONTH($E512),1))</f>
        <v/>
      </c>
      <c r="M512" s="113">
        <f>IF($D512="","",IF($C512="TANIMSIZ MÜŞTERİ","HATA",IF(OR($E512="",$F512&lt;=0,$G512=""),"EKSİK",IF($E512&gt;TODAY(),"İLERİ TARİH","UYGUN"))))</f>
        <v/>
      </c>
      <c r="N512" s="121">
        <f>IF($C512="","",IF($C512="TANIMSIZ MÜŞTERİ","—",INDEX(MUSTERILER!$C$7:$C$106,MATCH($C512,MUSTERILER!$B$7:$B$106,0))))</f>
        <v/>
      </c>
      <c r="O512" s="6" t="n"/>
      <c r="P512" s="6" t="n"/>
      <c r="Q512" s="3">
        <f>IF($D512="","",$C512&amp;"|"&amp;COUNTIFS($C$7:$C512,$C512))</f>
        <v/>
      </c>
    </row>
    <row r="513">
      <c r="A513" s="6" t="n"/>
      <c r="B513" s="113">
        <f>IF($D513="","","T"&amp;TEXT(ROW()-6,"00000"))</f>
        <v/>
      </c>
      <c r="C513" s="113">
        <f>IF($D513="","",IFERROR(INDEX(MUSTERILER!$B$7:$B$106,MATCH($D513,MUSTERILER!$C$7:$C$106,0)),IFERROR(INDEX(MUSTERILER!$B$7:$B$106,MATCH($D513,MUSTERILER!$B$7:$B$106,0)),IFERROR(INDEX(MUSTERILER!$B$7:$B$106,MATCH($D513&amp;"*",MUSTERILER!$C$7:$C$106,0)),"TANIMSIZ MÜŞTERİ"))))</f>
        <v/>
      </c>
      <c r="D513" s="109" t="n"/>
      <c r="E513" s="225" t="n"/>
      <c r="F513" s="226" t="n"/>
      <c r="G513" s="108" t="n"/>
      <c r="H513" s="108" t="n"/>
      <c r="I513" s="109" t="n"/>
      <c r="J513" s="109" t="n"/>
      <c r="K513" s="109" t="n"/>
      <c r="L513" s="231">
        <f>IF($E513="","",DATE(YEAR($E513),MONTH($E513),1))</f>
        <v/>
      </c>
      <c r="M513" s="113">
        <f>IF($D513="","",IF($C513="TANIMSIZ MÜŞTERİ","HATA",IF(OR($E513="",$F513&lt;=0,$G513=""),"EKSİK",IF($E513&gt;TODAY(),"İLERİ TARİH","UYGUN"))))</f>
        <v/>
      </c>
      <c r="N513" s="121">
        <f>IF($C513="","",IF($C513="TANIMSIZ MÜŞTERİ","—",INDEX(MUSTERILER!$C$7:$C$106,MATCH($C513,MUSTERILER!$B$7:$B$106,0))))</f>
        <v/>
      </c>
      <c r="O513" s="6" t="n"/>
      <c r="P513" s="6" t="n"/>
      <c r="Q513" s="3">
        <f>IF($D513="","",$C513&amp;"|"&amp;COUNTIFS($C$7:$C513,$C513))</f>
        <v/>
      </c>
    </row>
    <row r="514">
      <c r="A514" s="6" t="n"/>
      <c r="B514" s="113">
        <f>IF($D514="","","T"&amp;TEXT(ROW()-6,"00000"))</f>
        <v/>
      </c>
      <c r="C514" s="113">
        <f>IF($D514="","",IFERROR(INDEX(MUSTERILER!$B$7:$B$106,MATCH($D514,MUSTERILER!$C$7:$C$106,0)),IFERROR(INDEX(MUSTERILER!$B$7:$B$106,MATCH($D514,MUSTERILER!$B$7:$B$106,0)),IFERROR(INDEX(MUSTERILER!$B$7:$B$106,MATCH($D514&amp;"*",MUSTERILER!$C$7:$C$106,0)),"TANIMSIZ MÜŞTERİ"))))</f>
        <v/>
      </c>
      <c r="D514" s="109" t="n"/>
      <c r="E514" s="225" t="n"/>
      <c r="F514" s="226" t="n"/>
      <c r="G514" s="108" t="n"/>
      <c r="H514" s="108" t="n"/>
      <c r="I514" s="109" t="n"/>
      <c r="J514" s="109" t="n"/>
      <c r="K514" s="109" t="n"/>
      <c r="L514" s="231">
        <f>IF($E514="","",DATE(YEAR($E514),MONTH($E514),1))</f>
        <v/>
      </c>
      <c r="M514" s="113">
        <f>IF($D514="","",IF($C514="TANIMSIZ MÜŞTERİ","HATA",IF(OR($E514="",$F514&lt;=0,$G514=""),"EKSİK",IF($E514&gt;TODAY(),"İLERİ TARİH","UYGUN"))))</f>
        <v/>
      </c>
      <c r="N514" s="121">
        <f>IF($C514="","",IF($C514="TANIMSIZ MÜŞTERİ","—",INDEX(MUSTERILER!$C$7:$C$106,MATCH($C514,MUSTERILER!$B$7:$B$106,0))))</f>
        <v/>
      </c>
      <c r="O514" s="6" t="n"/>
      <c r="P514" s="6" t="n"/>
      <c r="Q514" s="3">
        <f>IF($D514="","",$C514&amp;"|"&amp;COUNTIFS($C$7:$C514,$C514))</f>
        <v/>
      </c>
    </row>
    <row r="515">
      <c r="A515" s="6" t="n"/>
      <c r="B515" s="113">
        <f>IF($D515="","","T"&amp;TEXT(ROW()-6,"00000"))</f>
        <v/>
      </c>
      <c r="C515" s="113">
        <f>IF($D515="","",IFERROR(INDEX(MUSTERILER!$B$7:$B$106,MATCH($D515,MUSTERILER!$C$7:$C$106,0)),IFERROR(INDEX(MUSTERILER!$B$7:$B$106,MATCH($D515,MUSTERILER!$B$7:$B$106,0)),IFERROR(INDEX(MUSTERILER!$B$7:$B$106,MATCH($D515&amp;"*",MUSTERILER!$C$7:$C$106,0)),"TANIMSIZ MÜŞTERİ"))))</f>
        <v/>
      </c>
      <c r="D515" s="109" t="n"/>
      <c r="E515" s="225" t="n"/>
      <c r="F515" s="226" t="n"/>
      <c r="G515" s="108" t="n"/>
      <c r="H515" s="108" t="n"/>
      <c r="I515" s="109" t="n"/>
      <c r="J515" s="109" t="n"/>
      <c r="K515" s="109" t="n"/>
      <c r="L515" s="231">
        <f>IF($E515="","",DATE(YEAR($E515),MONTH($E515),1))</f>
        <v/>
      </c>
      <c r="M515" s="113">
        <f>IF($D515="","",IF($C515="TANIMSIZ MÜŞTERİ","HATA",IF(OR($E515="",$F515&lt;=0,$G515=""),"EKSİK",IF($E515&gt;TODAY(),"İLERİ TARİH","UYGUN"))))</f>
        <v/>
      </c>
      <c r="N515" s="121">
        <f>IF($C515="","",IF($C515="TANIMSIZ MÜŞTERİ","—",INDEX(MUSTERILER!$C$7:$C$106,MATCH($C515,MUSTERILER!$B$7:$B$106,0))))</f>
        <v/>
      </c>
      <c r="O515" s="6" t="n"/>
      <c r="P515" s="6" t="n"/>
      <c r="Q515" s="3">
        <f>IF($D515="","",$C515&amp;"|"&amp;COUNTIFS($C$7:$C515,$C515))</f>
        <v/>
      </c>
    </row>
    <row r="516">
      <c r="A516" s="6" t="n"/>
      <c r="B516" s="113">
        <f>IF($D516="","","T"&amp;TEXT(ROW()-6,"00000"))</f>
        <v/>
      </c>
      <c r="C516" s="113">
        <f>IF($D516="","",IFERROR(INDEX(MUSTERILER!$B$7:$B$106,MATCH($D516,MUSTERILER!$C$7:$C$106,0)),IFERROR(INDEX(MUSTERILER!$B$7:$B$106,MATCH($D516,MUSTERILER!$B$7:$B$106,0)),IFERROR(INDEX(MUSTERILER!$B$7:$B$106,MATCH($D516&amp;"*",MUSTERILER!$C$7:$C$106,0)),"TANIMSIZ MÜŞTERİ"))))</f>
        <v/>
      </c>
      <c r="D516" s="109" t="n"/>
      <c r="E516" s="225" t="n"/>
      <c r="F516" s="226" t="n"/>
      <c r="G516" s="108" t="n"/>
      <c r="H516" s="108" t="n"/>
      <c r="I516" s="109" t="n"/>
      <c r="J516" s="109" t="n"/>
      <c r="K516" s="109" t="n"/>
      <c r="L516" s="231">
        <f>IF($E516="","",DATE(YEAR($E516),MONTH($E516),1))</f>
        <v/>
      </c>
      <c r="M516" s="113">
        <f>IF($D516="","",IF($C516="TANIMSIZ MÜŞTERİ","HATA",IF(OR($E516="",$F516&lt;=0,$G516=""),"EKSİK",IF($E516&gt;TODAY(),"İLERİ TARİH","UYGUN"))))</f>
        <v/>
      </c>
      <c r="N516" s="121">
        <f>IF($C516="","",IF($C516="TANIMSIZ MÜŞTERİ","—",INDEX(MUSTERILER!$C$7:$C$106,MATCH($C516,MUSTERILER!$B$7:$B$106,0))))</f>
        <v/>
      </c>
      <c r="O516" s="6" t="n"/>
      <c r="P516" s="6" t="n"/>
      <c r="Q516" s="3">
        <f>IF($D516="","",$C516&amp;"|"&amp;COUNTIFS($C$7:$C516,$C516))</f>
        <v/>
      </c>
    </row>
    <row r="517">
      <c r="A517" s="6" t="n"/>
      <c r="B517" s="113">
        <f>IF($D517="","","T"&amp;TEXT(ROW()-6,"00000"))</f>
        <v/>
      </c>
      <c r="C517" s="113">
        <f>IF($D517="","",IFERROR(INDEX(MUSTERILER!$B$7:$B$106,MATCH($D517,MUSTERILER!$C$7:$C$106,0)),IFERROR(INDEX(MUSTERILER!$B$7:$B$106,MATCH($D517,MUSTERILER!$B$7:$B$106,0)),IFERROR(INDEX(MUSTERILER!$B$7:$B$106,MATCH($D517&amp;"*",MUSTERILER!$C$7:$C$106,0)),"TANIMSIZ MÜŞTERİ"))))</f>
        <v/>
      </c>
      <c r="D517" s="109" t="n"/>
      <c r="E517" s="225" t="n"/>
      <c r="F517" s="226" t="n"/>
      <c r="G517" s="108" t="n"/>
      <c r="H517" s="108" t="n"/>
      <c r="I517" s="109" t="n"/>
      <c r="J517" s="109" t="n"/>
      <c r="K517" s="109" t="n"/>
      <c r="L517" s="231">
        <f>IF($E517="","",DATE(YEAR($E517),MONTH($E517),1))</f>
        <v/>
      </c>
      <c r="M517" s="113">
        <f>IF($D517="","",IF($C517="TANIMSIZ MÜŞTERİ","HATA",IF(OR($E517="",$F517&lt;=0,$G517=""),"EKSİK",IF($E517&gt;TODAY(),"İLERİ TARİH","UYGUN"))))</f>
        <v/>
      </c>
      <c r="N517" s="121">
        <f>IF($C517="","",IF($C517="TANIMSIZ MÜŞTERİ","—",INDEX(MUSTERILER!$C$7:$C$106,MATCH($C517,MUSTERILER!$B$7:$B$106,0))))</f>
        <v/>
      </c>
      <c r="O517" s="6" t="n"/>
      <c r="P517" s="6" t="n"/>
      <c r="Q517" s="3">
        <f>IF($D517="","",$C517&amp;"|"&amp;COUNTIFS($C$7:$C517,$C517))</f>
        <v/>
      </c>
    </row>
    <row r="518">
      <c r="A518" s="6" t="n"/>
      <c r="B518" s="113">
        <f>IF($D518="","","T"&amp;TEXT(ROW()-6,"00000"))</f>
        <v/>
      </c>
      <c r="C518" s="113">
        <f>IF($D518="","",IFERROR(INDEX(MUSTERILER!$B$7:$B$106,MATCH($D518,MUSTERILER!$C$7:$C$106,0)),IFERROR(INDEX(MUSTERILER!$B$7:$B$106,MATCH($D518,MUSTERILER!$B$7:$B$106,0)),IFERROR(INDEX(MUSTERILER!$B$7:$B$106,MATCH($D518&amp;"*",MUSTERILER!$C$7:$C$106,0)),"TANIMSIZ MÜŞTERİ"))))</f>
        <v/>
      </c>
      <c r="D518" s="109" t="n"/>
      <c r="E518" s="225" t="n"/>
      <c r="F518" s="226" t="n"/>
      <c r="G518" s="108" t="n"/>
      <c r="H518" s="108" t="n"/>
      <c r="I518" s="109" t="n"/>
      <c r="J518" s="109" t="n"/>
      <c r="K518" s="109" t="n"/>
      <c r="L518" s="231">
        <f>IF($E518="","",DATE(YEAR($E518),MONTH($E518),1))</f>
        <v/>
      </c>
      <c r="M518" s="113">
        <f>IF($D518="","",IF($C518="TANIMSIZ MÜŞTERİ","HATA",IF(OR($E518="",$F518&lt;=0,$G518=""),"EKSİK",IF($E518&gt;TODAY(),"İLERİ TARİH","UYGUN"))))</f>
        <v/>
      </c>
      <c r="N518" s="121">
        <f>IF($C518="","",IF($C518="TANIMSIZ MÜŞTERİ","—",INDEX(MUSTERILER!$C$7:$C$106,MATCH($C518,MUSTERILER!$B$7:$B$106,0))))</f>
        <v/>
      </c>
      <c r="O518" s="6" t="n"/>
      <c r="P518" s="6" t="n"/>
      <c r="Q518" s="3">
        <f>IF($D518="","",$C518&amp;"|"&amp;COUNTIFS($C$7:$C518,$C518))</f>
        <v/>
      </c>
    </row>
    <row r="519">
      <c r="A519" s="6" t="n"/>
      <c r="B519" s="113">
        <f>IF($D519="","","T"&amp;TEXT(ROW()-6,"00000"))</f>
        <v/>
      </c>
      <c r="C519" s="113">
        <f>IF($D519="","",IFERROR(INDEX(MUSTERILER!$B$7:$B$106,MATCH($D519,MUSTERILER!$C$7:$C$106,0)),IFERROR(INDEX(MUSTERILER!$B$7:$B$106,MATCH($D519,MUSTERILER!$B$7:$B$106,0)),IFERROR(INDEX(MUSTERILER!$B$7:$B$106,MATCH($D519&amp;"*",MUSTERILER!$C$7:$C$106,0)),"TANIMSIZ MÜŞTERİ"))))</f>
        <v/>
      </c>
      <c r="D519" s="109" t="n"/>
      <c r="E519" s="225" t="n"/>
      <c r="F519" s="226" t="n"/>
      <c r="G519" s="108" t="n"/>
      <c r="H519" s="108" t="n"/>
      <c r="I519" s="109" t="n"/>
      <c r="J519" s="109" t="n"/>
      <c r="K519" s="109" t="n"/>
      <c r="L519" s="231">
        <f>IF($E519="","",DATE(YEAR($E519),MONTH($E519),1))</f>
        <v/>
      </c>
      <c r="M519" s="113">
        <f>IF($D519="","",IF($C519="TANIMSIZ MÜŞTERİ","HATA",IF(OR($E519="",$F519&lt;=0,$G519=""),"EKSİK",IF($E519&gt;TODAY(),"İLERİ TARİH","UYGUN"))))</f>
        <v/>
      </c>
      <c r="N519" s="121">
        <f>IF($C519="","",IF($C519="TANIMSIZ MÜŞTERİ","—",INDEX(MUSTERILER!$C$7:$C$106,MATCH($C519,MUSTERILER!$B$7:$B$106,0))))</f>
        <v/>
      </c>
      <c r="O519" s="6" t="n"/>
      <c r="P519" s="6" t="n"/>
      <c r="Q519" s="3">
        <f>IF($D519="","",$C519&amp;"|"&amp;COUNTIFS($C$7:$C519,$C519))</f>
        <v/>
      </c>
    </row>
    <row r="520">
      <c r="A520" s="6" t="n"/>
      <c r="B520" s="113">
        <f>IF($D520="","","T"&amp;TEXT(ROW()-6,"00000"))</f>
        <v/>
      </c>
      <c r="C520" s="113">
        <f>IF($D520="","",IFERROR(INDEX(MUSTERILER!$B$7:$B$106,MATCH($D520,MUSTERILER!$C$7:$C$106,0)),IFERROR(INDEX(MUSTERILER!$B$7:$B$106,MATCH($D520,MUSTERILER!$B$7:$B$106,0)),IFERROR(INDEX(MUSTERILER!$B$7:$B$106,MATCH($D520&amp;"*",MUSTERILER!$C$7:$C$106,0)),"TANIMSIZ MÜŞTERİ"))))</f>
        <v/>
      </c>
      <c r="D520" s="109" t="n"/>
      <c r="E520" s="225" t="n"/>
      <c r="F520" s="226" t="n"/>
      <c r="G520" s="108" t="n"/>
      <c r="H520" s="108" t="n"/>
      <c r="I520" s="109" t="n"/>
      <c r="J520" s="109" t="n"/>
      <c r="K520" s="109" t="n"/>
      <c r="L520" s="231">
        <f>IF($E520="","",DATE(YEAR($E520),MONTH($E520),1))</f>
        <v/>
      </c>
      <c r="M520" s="113">
        <f>IF($D520="","",IF($C520="TANIMSIZ MÜŞTERİ","HATA",IF(OR($E520="",$F520&lt;=0,$G520=""),"EKSİK",IF($E520&gt;TODAY(),"İLERİ TARİH","UYGUN"))))</f>
        <v/>
      </c>
      <c r="N520" s="121">
        <f>IF($C520="","",IF($C520="TANIMSIZ MÜŞTERİ","—",INDEX(MUSTERILER!$C$7:$C$106,MATCH($C520,MUSTERILER!$B$7:$B$106,0))))</f>
        <v/>
      </c>
      <c r="O520" s="6" t="n"/>
      <c r="P520" s="6" t="n"/>
      <c r="Q520" s="3">
        <f>IF($D520="","",$C520&amp;"|"&amp;COUNTIFS($C$7:$C520,$C520))</f>
        <v/>
      </c>
    </row>
    <row r="521">
      <c r="A521" s="6" t="n"/>
      <c r="B521" s="113">
        <f>IF($D521="","","T"&amp;TEXT(ROW()-6,"00000"))</f>
        <v/>
      </c>
      <c r="C521" s="113">
        <f>IF($D521="","",IFERROR(INDEX(MUSTERILER!$B$7:$B$106,MATCH($D521,MUSTERILER!$C$7:$C$106,0)),IFERROR(INDEX(MUSTERILER!$B$7:$B$106,MATCH($D521,MUSTERILER!$B$7:$B$106,0)),IFERROR(INDEX(MUSTERILER!$B$7:$B$106,MATCH($D521&amp;"*",MUSTERILER!$C$7:$C$106,0)),"TANIMSIZ MÜŞTERİ"))))</f>
        <v/>
      </c>
      <c r="D521" s="109" t="n"/>
      <c r="E521" s="225" t="n"/>
      <c r="F521" s="226" t="n"/>
      <c r="G521" s="108" t="n"/>
      <c r="H521" s="108" t="n"/>
      <c r="I521" s="109" t="n"/>
      <c r="J521" s="109" t="n"/>
      <c r="K521" s="109" t="n"/>
      <c r="L521" s="231">
        <f>IF($E521="","",DATE(YEAR($E521),MONTH($E521),1))</f>
        <v/>
      </c>
      <c r="M521" s="113">
        <f>IF($D521="","",IF($C521="TANIMSIZ MÜŞTERİ","HATA",IF(OR($E521="",$F521&lt;=0,$G521=""),"EKSİK",IF($E521&gt;TODAY(),"İLERİ TARİH","UYGUN"))))</f>
        <v/>
      </c>
      <c r="N521" s="121">
        <f>IF($C521="","",IF($C521="TANIMSIZ MÜŞTERİ","—",INDEX(MUSTERILER!$C$7:$C$106,MATCH($C521,MUSTERILER!$B$7:$B$106,0))))</f>
        <v/>
      </c>
      <c r="O521" s="6" t="n"/>
      <c r="P521" s="6" t="n"/>
      <c r="Q521" s="3">
        <f>IF($D521="","",$C521&amp;"|"&amp;COUNTIFS($C$7:$C521,$C521))</f>
        <v/>
      </c>
    </row>
    <row r="522">
      <c r="A522" s="6" t="n"/>
      <c r="B522" s="113">
        <f>IF($D522="","","T"&amp;TEXT(ROW()-6,"00000"))</f>
        <v/>
      </c>
      <c r="C522" s="113">
        <f>IF($D522="","",IFERROR(INDEX(MUSTERILER!$B$7:$B$106,MATCH($D522,MUSTERILER!$C$7:$C$106,0)),IFERROR(INDEX(MUSTERILER!$B$7:$B$106,MATCH($D522,MUSTERILER!$B$7:$B$106,0)),IFERROR(INDEX(MUSTERILER!$B$7:$B$106,MATCH($D522&amp;"*",MUSTERILER!$C$7:$C$106,0)),"TANIMSIZ MÜŞTERİ"))))</f>
        <v/>
      </c>
      <c r="D522" s="109" t="n"/>
      <c r="E522" s="225" t="n"/>
      <c r="F522" s="226" t="n"/>
      <c r="G522" s="108" t="n"/>
      <c r="H522" s="108" t="n"/>
      <c r="I522" s="109" t="n"/>
      <c r="J522" s="109" t="n"/>
      <c r="K522" s="109" t="n"/>
      <c r="L522" s="231">
        <f>IF($E522="","",DATE(YEAR($E522),MONTH($E522),1))</f>
        <v/>
      </c>
      <c r="M522" s="113">
        <f>IF($D522="","",IF($C522="TANIMSIZ MÜŞTERİ","HATA",IF(OR($E522="",$F522&lt;=0,$G522=""),"EKSİK",IF($E522&gt;TODAY(),"İLERİ TARİH","UYGUN"))))</f>
        <v/>
      </c>
      <c r="N522" s="121">
        <f>IF($C522="","",IF($C522="TANIMSIZ MÜŞTERİ","—",INDEX(MUSTERILER!$C$7:$C$106,MATCH($C522,MUSTERILER!$B$7:$B$106,0))))</f>
        <v/>
      </c>
      <c r="O522" s="6" t="n"/>
      <c r="P522" s="6" t="n"/>
      <c r="Q522" s="3">
        <f>IF($D522="","",$C522&amp;"|"&amp;COUNTIFS($C$7:$C522,$C522))</f>
        <v/>
      </c>
    </row>
    <row r="523">
      <c r="A523" s="6" t="n"/>
      <c r="B523" s="113">
        <f>IF($D523="","","T"&amp;TEXT(ROW()-6,"00000"))</f>
        <v/>
      </c>
      <c r="C523" s="113">
        <f>IF($D523="","",IFERROR(INDEX(MUSTERILER!$B$7:$B$106,MATCH($D523,MUSTERILER!$C$7:$C$106,0)),IFERROR(INDEX(MUSTERILER!$B$7:$B$106,MATCH($D523,MUSTERILER!$B$7:$B$106,0)),IFERROR(INDEX(MUSTERILER!$B$7:$B$106,MATCH($D523&amp;"*",MUSTERILER!$C$7:$C$106,0)),"TANIMSIZ MÜŞTERİ"))))</f>
        <v/>
      </c>
      <c r="D523" s="109" t="n"/>
      <c r="E523" s="225" t="n"/>
      <c r="F523" s="226" t="n"/>
      <c r="G523" s="108" t="n"/>
      <c r="H523" s="108" t="n"/>
      <c r="I523" s="109" t="n"/>
      <c r="J523" s="109" t="n"/>
      <c r="K523" s="109" t="n"/>
      <c r="L523" s="231">
        <f>IF($E523="","",DATE(YEAR($E523),MONTH($E523),1))</f>
        <v/>
      </c>
      <c r="M523" s="113">
        <f>IF($D523="","",IF($C523="TANIMSIZ MÜŞTERİ","HATA",IF(OR($E523="",$F523&lt;=0,$G523=""),"EKSİK",IF($E523&gt;TODAY(),"İLERİ TARİH","UYGUN"))))</f>
        <v/>
      </c>
      <c r="N523" s="121">
        <f>IF($C523="","",IF($C523="TANIMSIZ MÜŞTERİ","—",INDEX(MUSTERILER!$C$7:$C$106,MATCH($C523,MUSTERILER!$B$7:$B$106,0))))</f>
        <v/>
      </c>
      <c r="O523" s="6" t="n"/>
      <c r="P523" s="6" t="n"/>
      <c r="Q523" s="3">
        <f>IF($D523="","",$C523&amp;"|"&amp;COUNTIFS($C$7:$C523,$C523))</f>
        <v/>
      </c>
    </row>
    <row r="524">
      <c r="A524" s="6" t="n"/>
      <c r="B524" s="113">
        <f>IF($D524="","","T"&amp;TEXT(ROW()-6,"00000"))</f>
        <v/>
      </c>
      <c r="C524" s="113">
        <f>IF($D524="","",IFERROR(INDEX(MUSTERILER!$B$7:$B$106,MATCH($D524,MUSTERILER!$C$7:$C$106,0)),IFERROR(INDEX(MUSTERILER!$B$7:$B$106,MATCH($D524,MUSTERILER!$B$7:$B$106,0)),IFERROR(INDEX(MUSTERILER!$B$7:$B$106,MATCH($D524&amp;"*",MUSTERILER!$C$7:$C$106,0)),"TANIMSIZ MÜŞTERİ"))))</f>
        <v/>
      </c>
      <c r="D524" s="109" t="n"/>
      <c r="E524" s="225" t="n"/>
      <c r="F524" s="226" t="n"/>
      <c r="G524" s="108" t="n"/>
      <c r="H524" s="108" t="n"/>
      <c r="I524" s="109" t="n"/>
      <c r="J524" s="109" t="n"/>
      <c r="K524" s="109" t="n"/>
      <c r="L524" s="231">
        <f>IF($E524="","",DATE(YEAR($E524),MONTH($E524),1))</f>
        <v/>
      </c>
      <c r="M524" s="113">
        <f>IF($D524="","",IF($C524="TANIMSIZ MÜŞTERİ","HATA",IF(OR($E524="",$F524&lt;=0,$G524=""),"EKSİK",IF($E524&gt;TODAY(),"İLERİ TARİH","UYGUN"))))</f>
        <v/>
      </c>
      <c r="N524" s="121">
        <f>IF($C524="","",IF($C524="TANIMSIZ MÜŞTERİ","—",INDEX(MUSTERILER!$C$7:$C$106,MATCH($C524,MUSTERILER!$B$7:$B$106,0))))</f>
        <v/>
      </c>
      <c r="O524" s="6" t="n"/>
      <c r="P524" s="6" t="n"/>
      <c r="Q524" s="3">
        <f>IF($D524="","",$C524&amp;"|"&amp;COUNTIFS($C$7:$C524,$C524))</f>
        <v/>
      </c>
    </row>
    <row r="525">
      <c r="A525" s="6" t="n"/>
      <c r="B525" s="113">
        <f>IF($D525="","","T"&amp;TEXT(ROW()-6,"00000"))</f>
        <v/>
      </c>
      <c r="C525" s="113">
        <f>IF($D525="","",IFERROR(INDEX(MUSTERILER!$B$7:$B$106,MATCH($D525,MUSTERILER!$C$7:$C$106,0)),IFERROR(INDEX(MUSTERILER!$B$7:$B$106,MATCH($D525,MUSTERILER!$B$7:$B$106,0)),IFERROR(INDEX(MUSTERILER!$B$7:$B$106,MATCH($D525&amp;"*",MUSTERILER!$C$7:$C$106,0)),"TANIMSIZ MÜŞTERİ"))))</f>
        <v/>
      </c>
      <c r="D525" s="109" t="n"/>
      <c r="E525" s="225" t="n"/>
      <c r="F525" s="226" t="n"/>
      <c r="G525" s="108" t="n"/>
      <c r="H525" s="108" t="n"/>
      <c r="I525" s="109" t="n"/>
      <c r="J525" s="109" t="n"/>
      <c r="K525" s="109" t="n"/>
      <c r="L525" s="231">
        <f>IF($E525="","",DATE(YEAR($E525),MONTH($E525),1))</f>
        <v/>
      </c>
      <c r="M525" s="113">
        <f>IF($D525="","",IF($C525="TANIMSIZ MÜŞTERİ","HATA",IF(OR($E525="",$F525&lt;=0,$G525=""),"EKSİK",IF($E525&gt;TODAY(),"İLERİ TARİH","UYGUN"))))</f>
        <v/>
      </c>
      <c r="N525" s="121">
        <f>IF($C525="","",IF($C525="TANIMSIZ MÜŞTERİ","—",INDEX(MUSTERILER!$C$7:$C$106,MATCH($C525,MUSTERILER!$B$7:$B$106,0))))</f>
        <v/>
      </c>
      <c r="O525" s="6" t="n"/>
      <c r="P525" s="6" t="n"/>
      <c r="Q525" s="3">
        <f>IF($D525="","",$C525&amp;"|"&amp;COUNTIFS($C$7:$C525,$C525))</f>
        <v/>
      </c>
    </row>
    <row r="526">
      <c r="A526" s="6" t="n"/>
      <c r="B526" s="113">
        <f>IF($D526="","","T"&amp;TEXT(ROW()-6,"00000"))</f>
        <v/>
      </c>
      <c r="C526" s="113">
        <f>IF($D526="","",IFERROR(INDEX(MUSTERILER!$B$7:$B$106,MATCH($D526,MUSTERILER!$C$7:$C$106,0)),IFERROR(INDEX(MUSTERILER!$B$7:$B$106,MATCH($D526,MUSTERILER!$B$7:$B$106,0)),IFERROR(INDEX(MUSTERILER!$B$7:$B$106,MATCH($D526&amp;"*",MUSTERILER!$C$7:$C$106,0)),"TANIMSIZ MÜŞTERİ"))))</f>
        <v/>
      </c>
      <c r="D526" s="109" t="n"/>
      <c r="E526" s="225" t="n"/>
      <c r="F526" s="226" t="n"/>
      <c r="G526" s="108" t="n"/>
      <c r="H526" s="108" t="n"/>
      <c r="I526" s="109" t="n"/>
      <c r="J526" s="109" t="n"/>
      <c r="K526" s="109" t="n"/>
      <c r="L526" s="231">
        <f>IF($E526="","",DATE(YEAR($E526),MONTH($E526),1))</f>
        <v/>
      </c>
      <c r="M526" s="113">
        <f>IF($D526="","",IF($C526="TANIMSIZ MÜŞTERİ","HATA",IF(OR($E526="",$F526&lt;=0,$G526=""),"EKSİK",IF($E526&gt;TODAY(),"İLERİ TARİH","UYGUN"))))</f>
        <v/>
      </c>
      <c r="N526" s="121">
        <f>IF($C526="","",IF($C526="TANIMSIZ MÜŞTERİ","—",INDEX(MUSTERILER!$C$7:$C$106,MATCH($C526,MUSTERILER!$B$7:$B$106,0))))</f>
        <v/>
      </c>
      <c r="O526" s="6" t="n"/>
      <c r="P526" s="6" t="n"/>
      <c r="Q526" s="3">
        <f>IF($D526="","",$C526&amp;"|"&amp;COUNTIFS($C$7:$C526,$C526))</f>
        <v/>
      </c>
    </row>
    <row r="527">
      <c r="A527" s="6" t="n"/>
      <c r="B527" s="113">
        <f>IF($D527="","","T"&amp;TEXT(ROW()-6,"00000"))</f>
        <v/>
      </c>
      <c r="C527" s="113">
        <f>IF($D527="","",IFERROR(INDEX(MUSTERILER!$B$7:$B$106,MATCH($D527,MUSTERILER!$C$7:$C$106,0)),IFERROR(INDEX(MUSTERILER!$B$7:$B$106,MATCH($D527,MUSTERILER!$B$7:$B$106,0)),IFERROR(INDEX(MUSTERILER!$B$7:$B$106,MATCH($D527&amp;"*",MUSTERILER!$C$7:$C$106,0)),"TANIMSIZ MÜŞTERİ"))))</f>
        <v/>
      </c>
      <c r="D527" s="109" t="n"/>
      <c r="E527" s="225" t="n"/>
      <c r="F527" s="226" t="n"/>
      <c r="G527" s="108" t="n"/>
      <c r="H527" s="108" t="n"/>
      <c r="I527" s="109" t="n"/>
      <c r="J527" s="109" t="n"/>
      <c r="K527" s="109" t="n"/>
      <c r="L527" s="231">
        <f>IF($E527="","",DATE(YEAR($E527),MONTH($E527),1))</f>
        <v/>
      </c>
      <c r="M527" s="113">
        <f>IF($D527="","",IF($C527="TANIMSIZ MÜŞTERİ","HATA",IF(OR($E527="",$F527&lt;=0,$G527=""),"EKSİK",IF($E527&gt;TODAY(),"İLERİ TARİH","UYGUN"))))</f>
        <v/>
      </c>
      <c r="N527" s="121">
        <f>IF($C527="","",IF($C527="TANIMSIZ MÜŞTERİ","—",INDEX(MUSTERILER!$C$7:$C$106,MATCH($C527,MUSTERILER!$B$7:$B$106,0))))</f>
        <v/>
      </c>
      <c r="O527" s="6" t="n"/>
      <c r="P527" s="6" t="n"/>
      <c r="Q527" s="3">
        <f>IF($D527="","",$C527&amp;"|"&amp;COUNTIFS($C$7:$C527,$C527))</f>
        <v/>
      </c>
    </row>
    <row r="528">
      <c r="A528" s="6" t="n"/>
      <c r="B528" s="113">
        <f>IF($D528="","","T"&amp;TEXT(ROW()-6,"00000"))</f>
        <v/>
      </c>
      <c r="C528" s="113">
        <f>IF($D528="","",IFERROR(INDEX(MUSTERILER!$B$7:$B$106,MATCH($D528,MUSTERILER!$C$7:$C$106,0)),IFERROR(INDEX(MUSTERILER!$B$7:$B$106,MATCH($D528,MUSTERILER!$B$7:$B$106,0)),IFERROR(INDEX(MUSTERILER!$B$7:$B$106,MATCH($D528&amp;"*",MUSTERILER!$C$7:$C$106,0)),"TANIMSIZ MÜŞTERİ"))))</f>
        <v/>
      </c>
      <c r="D528" s="109" t="n"/>
      <c r="E528" s="225" t="n"/>
      <c r="F528" s="226" t="n"/>
      <c r="G528" s="108" t="n"/>
      <c r="H528" s="108" t="n"/>
      <c r="I528" s="109" t="n"/>
      <c r="J528" s="109" t="n"/>
      <c r="K528" s="109" t="n"/>
      <c r="L528" s="231">
        <f>IF($E528="","",DATE(YEAR($E528),MONTH($E528),1))</f>
        <v/>
      </c>
      <c r="M528" s="113">
        <f>IF($D528="","",IF($C528="TANIMSIZ MÜŞTERİ","HATA",IF(OR($E528="",$F528&lt;=0,$G528=""),"EKSİK",IF($E528&gt;TODAY(),"İLERİ TARİH","UYGUN"))))</f>
        <v/>
      </c>
      <c r="N528" s="121">
        <f>IF($C528="","",IF($C528="TANIMSIZ MÜŞTERİ","—",INDEX(MUSTERILER!$C$7:$C$106,MATCH($C528,MUSTERILER!$B$7:$B$106,0))))</f>
        <v/>
      </c>
      <c r="O528" s="6" t="n"/>
      <c r="P528" s="6" t="n"/>
      <c r="Q528" s="3">
        <f>IF($D528="","",$C528&amp;"|"&amp;COUNTIFS($C$7:$C528,$C528))</f>
        <v/>
      </c>
    </row>
    <row r="529">
      <c r="A529" s="6" t="n"/>
      <c r="B529" s="113">
        <f>IF($D529="","","T"&amp;TEXT(ROW()-6,"00000"))</f>
        <v/>
      </c>
      <c r="C529" s="113">
        <f>IF($D529="","",IFERROR(INDEX(MUSTERILER!$B$7:$B$106,MATCH($D529,MUSTERILER!$C$7:$C$106,0)),IFERROR(INDEX(MUSTERILER!$B$7:$B$106,MATCH($D529,MUSTERILER!$B$7:$B$106,0)),IFERROR(INDEX(MUSTERILER!$B$7:$B$106,MATCH($D529&amp;"*",MUSTERILER!$C$7:$C$106,0)),"TANIMSIZ MÜŞTERİ"))))</f>
        <v/>
      </c>
      <c r="D529" s="109" t="n"/>
      <c r="E529" s="225" t="n"/>
      <c r="F529" s="226" t="n"/>
      <c r="G529" s="108" t="n"/>
      <c r="H529" s="108" t="n"/>
      <c r="I529" s="109" t="n"/>
      <c r="J529" s="109" t="n"/>
      <c r="K529" s="109" t="n"/>
      <c r="L529" s="231">
        <f>IF($E529="","",DATE(YEAR($E529),MONTH($E529),1))</f>
        <v/>
      </c>
      <c r="M529" s="113">
        <f>IF($D529="","",IF($C529="TANIMSIZ MÜŞTERİ","HATA",IF(OR($E529="",$F529&lt;=0,$G529=""),"EKSİK",IF($E529&gt;TODAY(),"İLERİ TARİH","UYGUN"))))</f>
        <v/>
      </c>
      <c r="N529" s="121">
        <f>IF($C529="","",IF($C529="TANIMSIZ MÜŞTERİ","—",INDEX(MUSTERILER!$C$7:$C$106,MATCH($C529,MUSTERILER!$B$7:$B$106,0))))</f>
        <v/>
      </c>
      <c r="O529" s="6" t="n"/>
      <c r="P529" s="6" t="n"/>
      <c r="Q529" s="3">
        <f>IF($D529="","",$C529&amp;"|"&amp;COUNTIFS($C$7:$C529,$C529))</f>
        <v/>
      </c>
    </row>
    <row r="530">
      <c r="A530" s="6" t="n"/>
      <c r="B530" s="113">
        <f>IF($D530="","","T"&amp;TEXT(ROW()-6,"00000"))</f>
        <v/>
      </c>
      <c r="C530" s="113">
        <f>IF($D530="","",IFERROR(INDEX(MUSTERILER!$B$7:$B$106,MATCH($D530,MUSTERILER!$C$7:$C$106,0)),IFERROR(INDEX(MUSTERILER!$B$7:$B$106,MATCH($D530,MUSTERILER!$B$7:$B$106,0)),IFERROR(INDEX(MUSTERILER!$B$7:$B$106,MATCH($D530&amp;"*",MUSTERILER!$C$7:$C$106,0)),"TANIMSIZ MÜŞTERİ"))))</f>
        <v/>
      </c>
      <c r="D530" s="109" t="n"/>
      <c r="E530" s="225" t="n"/>
      <c r="F530" s="226" t="n"/>
      <c r="G530" s="108" t="n"/>
      <c r="H530" s="108" t="n"/>
      <c r="I530" s="109" t="n"/>
      <c r="J530" s="109" t="n"/>
      <c r="K530" s="109" t="n"/>
      <c r="L530" s="231">
        <f>IF($E530="","",DATE(YEAR($E530),MONTH($E530),1))</f>
        <v/>
      </c>
      <c r="M530" s="113">
        <f>IF($D530="","",IF($C530="TANIMSIZ MÜŞTERİ","HATA",IF(OR($E530="",$F530&lt;=0,$G530=""),"EKSİK",IF($E530&gt;TODAY(),"İLERİ TARİH","UYGUN"))))</f>
        <v/>
      </c>
      <c r="N530" s="121">
        <f>IF($C530="","",IF($C530="TANIMSIZ MÜŞTERİ","—",INDEX(MUSTERILER!$C$7:$C$106,MATCH($C530,MUSTERILER!$B$7:$B$106,0))))</f>
        <v/>
      </c>
      <c r="O530" s="6" t="n"/>
      <c r="P530" s="6" t="n"/>
      <c r="Q530" s="3">
        <f>IF($D530="","",$C530&amp;"|"&amp;COUNTIFS($C$7:$C530,$C530))</f>
        <v/>
      </c>
    </row>
    <row r="531">
      <c r="A531" s="6" t="n"/>
      <c r="B531" s="113">
        <f>IF($D531="","","T"&amp;TEXT(ROW()-6,"00000"))</f>
        <v/>
      </c>
      <c r="C531" s="113">
        <f>IF($D531="","",IFERROR(INDEX(MUSTERILER!$B$7:$B$106,MATCH($D531,MUSTERILER!$C$7:$C$106,0)),IFERROR(INDEX(MUSTERILER!$B$7:$B$106,MATCH($D531,MUSTERILER!$B$7:$B$106,0)),IFERROR(INDEX(MUSTERILER!$B$7:$B$106,MATCH($D531&amp;"*",MUSTERILER!$C$7:$C$106,0)),"TANIMSIZ MÜŞTERİ"))))</f>
        <v/>
      </c>
      <c r="D531" s="109" t="n"/>
      <c r="E531" s="225" t="n"/>
      <c r="F531" s="226" t="n"/>
      <c r="G531" s="108" t="n"/>
      <c r="H531" s="108" t="n"/>
      <c r="I531" s="109" t="n"/>
      <c r="J531" s="109" t="n"/>
      <c r="K531" s="109" t="n"/>
      <c r="L531" s="231">
        <f>IF($E531="","",DATE(YEAR($E531),MONTH($E531),1))</f>
        <v/>
      </c>
      <c r="M531" s="113">
        <f>IF($D531="","",IF($C531="TANIMSIZ MÜŞTERİ","HATA",IF(OR($E531="",$F531&lt;=0,$G531=""),"EKSİK",IF($E531&gt;TODAY(),"İLERİ TARİH","UYGUN"))))</f>
        <v/>
      </c>
      <c r="N531" s="121">
        <f>IF($C531="","",IF($C531="TANIMSIZ MÜŞTERİ","—",INDEX(MUSTERILER!$C$7:$C$106,MATCH($C531,MUSTERILER!$B$7:$B$106,0))))</f>
        <v/>
      </c>
      <c r="O531" s="6" t="n"/>
      <c r="P531" s="6" t="n"/>
      <c r="Q531" s="3">
        <f>IF($D531="","",$C531&amp;"|"&amp;COUNTIFS($C$7:$C531,$C531))</f>
        <v/>
      </c>
    </row>
    <row r="532">
      <c r="A532" s="6" t="n"/>
      <c r="B532" s="113">
        <f>IF($D532="","","T"&amp;TEXT(ROW()-6,"00000"))</f>
        <v/>
      </c>
      <c r="C532" s="113">
        <f>IF($D532="","",IFERROR(INDEX(MUSTERILER!$B$7:$B$106,MATCH($D532,MUSTERILER!$C$7:$C$106,0)),IFERROR(INDEX(MUSTERILER!$B$7:$B$106,MATCH($D532,MUSTERILER!$B$7:$B$106,0)),IFERROR(INDEX(MUSTERILER!$B$7:$B$106,MATCH($D532&amp;"*",MUSTERILER!$C$7:$C$106,0)),"TANIMSIZ MÜŞTERİ"))))</f>
        <v/>
      </c>
      <c r="D532" s="109" t="n"/>
      <c r="E532" s="225" t="n"/>
      <c r="F532" s="226" t="n"/>
      <c r="G532" s="108" t="n"/>
      <c r="H532" s="108" t="n"/>
      <c r="I532" s="109" t="n"/>
      <c r="J532" s="109" t="n"/>
      <c r="K532" s="109" t="n"/>
      <c r="L532" s="231">
        <f>IF($E532="","",DATE(YEAR($E532),MONTH($E532),1))</f>
        <v/>
      </c>
      <c r="M532" s="113">
        <f>IF($D532="","",IF($C532="TANIMSIZ MÜŞTERİ","HATA",IF(OR($E532="",$F532&lt;=0,$G532=""),"EKSİK",IF($E532&gt;TODAY(),"İLERİ TARİH","UYGUN"))))</f>
        <v/>
      </c>
      <c r="N532" s="121">
        <f>IF($C532="","",IF($C532="TANIMSIZ MÜŞTERİ","—",INDEX(MUSTERILER!$C$7:$C$106,MATCH($C532,MUSTERILER!$B$7:$B$106,0))))</f>
        <v/>
      </c>
      <c r="O532" s="6" t="n"/>
      <c r="P532" s="6" t="n"/>
      <c r="Q532" s="3">
        <f>IF($D532="","",$C532&amp;"|"&amp;COUNTIFS($C$7:$C532,$C532))</f>
        <v/>
      </c>
    </row>
    <row r="533">
      <c r="A533" s="6" t="n"/>
      <c r="B533" s="113">
        <f>IF($D533="","","T"&amp;TEXT(ROW()-6,"00000"))</f>
        <v/>
      </c>
      <c r="C533" s="113">
        <f>IF($D533="","",IFERROR(INDEX(MUSTERILER!$B$7:$B$106,MATCH($D533,MUSTERILER!$C$7:$C$106,0)),IFERROR(INDEX(MUSTERILER!$B$7:$B$106,MATCH($D533,MUSTERILER!$B$7:$B$106,0)),IFERROR(INDEX(MUSTERILER!$B$7:$B$106,MATCH($D533&amp;"*",MUSTERILER!$C$7:$C$106,0)),"TANIMSIZ MÜŞTERİ"))))</f>
        <v/>
      </c>
      <c r="D533" s="109" t="n"/>
      <c r="E533" s="225" t="n"/>
      <c r="F533" s="226" t="n"/>
      <c r="G533" s="108" t="n"/>
      <c r="H533" s="108" t="n"/>
      <c r="I533" s="109" t="n"/>
      <c r="J533" s="109" t="n"/>
      <c r="K533" s="109" t="n"/>
      <c r="L533" s="231">
        <f>IF($E533="","",DATE(YEAR($E533),MONTH($E533),1))</f>
        <v/>
      </c>
      <c r="M533" s="113">
        <f>IF($D533="","",IF($C533="TANIMSIZ MÜŞTERİ","HATA",IF(OR($E533="",$F533&lt;=0,$G533=""),"EKSİK",IF($E533&gt;TODAY(),"İLERİ TARİH","UYGUN"))))</f>
        <v/>
      </c>
      <c r="N533" s="121">
        <f>IF($C533="","",IF($C533="TANIMSIZ MÜŞTERİ","—",INDEX(MUSTERILER!$C$7:$C$106,MATCH($C533,MUSTERILER!$B$7:$B$106,0))))</f>
        <v/>
      </c>
      <c r="O533" s="6" t="n"/>
      <c r="P533" s="6" t="n"/>
      <c r="Q533" s="3">
        <f>IF($D533="","",$C533&amp;"|"&amp;COUNTIFS($C$7:$C533,$C533))</f>
        <v/>
      </c>
    </row>
    <row r="534">
      <c r="A534" s="6" t="n"/>
      <c r="B534" s="113">
        <f>IF($D534="","","T"&amp;TEXT(ROW()-6,"00000"))</f>
        <v/>
      </c>
      <c r="C534" s="113">
        <f>IF($D534="","",IFERROR(INDEX(MUSTERILER!$B$7:$B$106,MATCH($D534,MUSTERILER!$C$7:$C$106,0)),IFERROR(INDEX(MUSTERILER!$B$7:$B$106,MATCH($D534,MUSTERILER!$B$7:$B$106,0)),IFERROR(INDEX(MUSTERILER!$B$7:$B$106,MATCH($D534&amp;"*",MUSTERILER!$C$7:$C$106,0)),"TANIMSIZ MÜŞTERİ"))))</f>
        <v/>
      </c>
      <c r="D534" s="109" t="n"/>
      <c r="E534" s="225" t="n"/>
      <c r="F534" s="226" t="n"/>
      <c r="G534" s="108" t="n"/>
      <c r="H534" s="108" t="n"/>
      <c r="I534" s="109" t="n"/>
      <c r="J534" s="109" t="n"/>
      <c r="K534" s="109" t="n"/>
      <c r="L534" s="231">
        <f>IF($E534="","",DATE(YEAR($E534),MONTH($E534),1))</f>
        <v/>
      </c>
      <c r="M534" s="113">
        <f>IF($D534="","",IF($C534="TANIMSIZ MÜŞTERİ","HATA",IF(OR($E534="",$F534&lt;=0,$G534=""),"EKSİK",IF($E534&gt;TODAY(),"İLERİ TARİH","UYGUN"))))</f>
        <v/>
      </c>
      <c r="N534" s="121">
        <f>IF($C534="","",IF($C534="TANIMSIZ MÜŞTERİ","—",INDEX(MUSTERILER!$C$7:$C$106,MATCH($C534,MUSTERILER!$B$7:$B$106,0))))</f>
        <v/>
      </c>
      <c r="O534" s="6" t="n"/>
      <c r="P534" s="6" t="n"/>
      <c r="Q534" s="3">
        <f>IF($D534="","",$C534&amp;"|"&amp;COUNTIFS($C$7:$C534,$C534))</f>
        <v/>
      </c>
    </row>
    <row r="535">
      <c r="A535" s="6" t="n"/>
      <c r="B535" s="113">
        <f>IF($D535="","","T"&amp;TEXT(ROW()-6,"00000"))</f>
        <v/>
      </c>
      <c r="C535" s="113">
        <f>IF($D535="","",IFERROR(INDEX(MUSTERILER!$B$7:$B$106,MATCH($D535,MUSTERILER!$C$7:$C$106,0)),IFERROR(INDEX(MUSTERILER!$B$7:$B$106,MATCH($D535,MUSTERILER!$B$7:$B$106,0)),IFERROR(INDEX(MUSTERILER!$B$7:$B$106,MATCH($D535&amp;"*",MUSTERILER!$C$7:$C$106,0)),"TANIMSIZ MÜŞTERİ"))))</f>
        <v/>
      </c>
      <c r="D535" s="109" t="n"/>
      <c r="E535" s="225" t="n"/>
      <c r="F535" s="226" t="n"/>
      <c r="G535" s="108" t="n"/>
      <c r="H535" s="108" t="n"/>
      <c r="I535" s="109" t="n"/>
      <c r="J535" s="109" t="n"/>
      <c r="K535" s="109" t="n"/>
      <c r="L535" s="231">
        <f>IF($E535="","",DATE(YEAR($E535),MONTH($E535),1))</f>
        <v/>
      </c>
      <c r="M535" s="113">
        <f>IF($D535="","",IF($C535="TANIMSIZ MÜŞTERİ","HATA",IF(OR($E535="",$F535&lt;=0,$G535=""),"EKSİK",IF($E535&gt;TODAY(),"İLERİ TARİH","UYGUN"))))</f>
        <v/>
      </c>
      <c r="N535" s="121">
        <f>IF($C535="","",IF($C535="TANIMSIZ MÜŞTERİ","—",INDEX(MUSTERILER!$C$7:$C$106,MATCH($C535,MUSTERILER!$B$7:$B$106,0))))</f>
        <v/>
      </c>
      <c r="O535" s="6" t="n"/>
      <c r="P535" s="6" t="n"/>
      <c r="Q535" s="3">
        <f>IF($D535="","",$C535&amp;"|"&amp;COUNTIFS($C$7:$C535,$C535))</f>
        <v/>
      </c>
    </row>
    <row r="536">
      <c r="A536" s="6" t="n"/>
      <c r="B536" s="113">
        <f>IF($D536="","","T"&amp;TEXT(ROW()-6,"00000"))</f>
        <v/>
      </c>
      <c r="C536" s="113">
        <f>IF($D536="","",IFERROR(INDEX(MUSTERILER!$B$7:$B$106,MATCH($D536,MUSTERILER!$C$7:$C$106,0)),IFERROR(INDEX(MUSTERILER!$B$7:$B$106,MATCH($D536,MUSTERILER!$B$7:$B$106,0)),IFERROR(INDEX(MUSTERILER!$B$7:$B$106,MATCH($D536&amp;"*",MUSTERILER!$C$7:$C$106,0)),"TANIMSIZ MÜŞTERİ"))))</f>
        <v/>
      </c>
      <c r="D536" s="109" t="n"/>
      <c r="E536" s="225" t="n"/>
      <c r="F536" s="226" t="n"/>
      <c r="G536" s="108" t="n"/>
      <c r="H536" s="108" t="n"/>
      <c r="I536" s="109" t="n"/>
      <c r="J536" s="109" t="n"/>
      <c r="K536" s="109" t="n"/>
      <c r="L536" s="231">
        <f>IF($E536="","",DATE(YEAR($E536),MONTH($E536),1))</f>
        <v/>
      </c>
      <c r="M536" s="113">
        <f>IF($D536="","",IF($C536="TANIMSIZ MÜŞTERİ","HATA",IF(OR($E536="",$F536&lt;=0,$G536=""),"EKSİK",IF($E536&gt;TODAY(),"İLERİ TARİH","UYGUN"))))</f>
        <v/>
      </c>
      <c r="N536" s="121">
        <f>IF($C536="","",IF($C536="TANIMSIZ MÜŞTERİ","—",INDEX(MUSTERILER!$C$7:$C$106,MATCH($C536,MUSTERILER!$B$7:$B$106,0))))</f>
        <v/>
      </c>
      <c r="O536" s="6" t="n"/>
      <c r="P536" s="6" t="n"/>
      <c r="Q536" s="3">
        <f>IF($D536="","",$C536&amp;"|"&amp;COUNTIFS($C$7:$C536,$C536))</f>
        <v/>
      </c>
    </row>
    <row r="537">
      <c r="A537" s="6" t="n"/>
      <c r="B537" s="113">
        <f>IF($D537="","","T"&amp;TEXT(ROW()-6,"00000"))</f>
        <v/>
      </c>
      <c r="C537" s="113">
        <f>IF($D537="","",IFERROR(INDEX(MUSTERILER!$B$7:$B$106,MATCH($D537,MUSTERILER!$C$7:$C$106,0)),IFERROR(INDEX(MUSTERILER!$B$7:$B$106,MATCH($D537,MUSTERILER!$B$7:$B$106,0)),IFERROR(INDEX(MUSTERILER!$B$7:$B$106,MATCH($D537&amp;"*",MUSTERILER!$C$7:$C$106,0)),"TANIMSIZ MÜŞTERİ"))))</f>
        <v/>
      </c>
      <c r="D537" s="109" t="n"/>
      <c r="E537" s="225" t="n"/>
      <c r="F537" s="226" t="n"/>
      <c r="G537" s="108" t="n"/>
      <c r="H537" s="108" t="n"/>
      <c r="I537" s="109" t="n"/>
      <c r="J537" s="109" t="n"/>
      <c r="K537" s="109" t="n"/>
      <c r="L537" s="231">
        <f>IF($E537="","",DATE(YEAR($E537),MONTH($E537),1))</f>
        <v/>
      </c>
      <c r="M537" s="113">
        <f>IF($D537="","",IF($C537="TANIMSIZ MÜŞTERİ","HATA",IF(OR($E537="",$F537&lt;=0,$G537=""),"EKSİK",IF($E537&gt;TODAY(),"İLERİ TARİH","UYGUN"))))</f>
        <v/>
      </c>
      <c r="N537" s="121">
        <f>IF($C537="","",IF($C537="TANIMSIZ MÜŞTERİ","—",INDEX(MUSTERILER!$C$7:$C$106,MATCH($C537,MUSTERILER!$B$7:$B$106,0))))</f>
        <v/>
      </c>
      <c r="O537" s="6" t="n"/>
      <c r="P537" s="6" t="n"/>
      <c r="Q537" s="3">
        <f>IF($D537="","",$C537&amp;"|"&amp;COUNTIFS($C$7:$C537,$C537))</f>
        <v/>
      </c>
    </row>
    <row r="538">
      <c r="A538" s="6" t="n"/>
      <c r="B538" s="113">
        <f>IF($D538="","","T"&amp;TEXT(ROW()-6,"00000"))</f>
        <v/>
      </c>
      <c r="C538" s="113">
        <f>IF($D538="","",IFERROR(INDEX(MUSTERILER!$B$7:$B$106,MATCH($D538,MUSTERILER!$C$7:$C$106,0)),IFERROR(INDEX(MUSTERILER!$B$7:$B$106,MATCH($D538,MUSTERILER!$B$7:$B$106,0)),IFERROR(INDEX(MUSTERILER!$B$7:$B$106,MATCH($D538&amp;"*",MUSTERILER!$C$7:$C$106,0)),"TANIMSIZ MÜŞTERİ"))))</f>
        <v/>
      </c>
      <c r="D538" s="109" t="n"/>
      <c r="E538" s="225" t="n"/>
      <c r="F538" s="226" t="n"/>
      <c r="G538" s="108" t="n"/>
      <c r="H538" s="108" t="n"/>
      <c r="I538" s="109" t="n"/>
      <c r="J538" s="109" t="n"/>
      <c r="K538" s="109" t="n"/>
      <c r="L538" s="231">
        <f>IF($E538="","",DATE(YEAR($E538),MONTH($E538),1))</f>
        <v/>
      </c>
      <c r="M538" s="113">
        <f>IF($D538="","",IF($C538="TANIMSIZ MÜŞTERİ","HATA",IF(OR($E538="",$F538&lt;=0,$G538=""),"EKSİK",IF($E538&gt;TODAY(),"İLERİ TARİH","UYGUN"))))</f>
        <v/>
      </c>
      <c r="N538" s="121">
        <f>IF($C538="","",IF($C538="TANIMSIZ MÜŞTERİ","—",INDEX(MUSTERILER!$C$7:$C$106,MATCH($C538,MUSTERILER!$B$7:$B$106,0))))</f>
        <v/>
      </c>
      <c r="O538" s="6" t="n"/>
      <c r="P538" s="6" t="n"/>
      <c r="Q538" s="3">
        <f>IF($D538="","",$C538&amp;"|"&amp;COUNTIFS($C$7:$C538,$C538))</f>
        <v/>
      </c>
    </row>
    <row r="539">
      <c r="A539" s="6" t="n"/>
      <c r="B539" s="113">
        <f>IF($D539="","","T"&amp;TEXT(ROW()-6,"00000"))</f>
        <v/>
      </c>
      <c r="C539" s="113">
        <f>IF($D539="","",IFERROR(INDEX(MUSTERILER!$B$7:$B$106,MATCH($D539,MUSTERILER!$C$7:$C$106,0)),IFERROR(INDEX(MUSTERILER!$B$7:$B$106,MATCH($D539,MUSTERILER!$B$7:$B$106,0)),IFERROR(INDEX(MUSTERILER!$B$7:$B$106,MATCH($D539&amp;"*",MUSTERILER!$C$7:$C$106,0)),"TANIMSIZ MÜŞTERİ"))))</f>
        <v/>
      </c>
      <c r="D539" s="109" t="n"/>
      <c r="E539" s="225" t="n"/>
      <c r="F539" s="226" t="n"/>
      <c r="G539" s="108" t="n"/>
      <c r="H539" s="108" t="n"/>
      <c r="I539" s="109" t="n"/>
      <c r="J539" s="109" t="n"/>
      <c r="K539" s="109" t="n"/>
      <c r="L539" s="231">
        <f>IF($E539="","",DATE(YEAR($E539),MONTH($E539),1))</f>
        <v/>
      </c>
      <c r="M539" s="113">
        <f>IF($D539="","",IF($C539="TANIMSIZ MÜŞTERİ","HATA",IF(OR($E539="",$F539&lt;=0,$G539=""),"EKSİK",IF($E539&gt;TODAY(),"İLERİ TARİH","UYGUN"))))</f>
        <v/>
      </c>
      <c r="N539" s="121">
        <f>IF($C539="","",IF($C539="TANIMSIZ MÜŞTERİ","—",INDEX(MUSTERILER!$C$7:$C$106,MATCH($C539,MUSTERILER!$B$7:$B$106,0))))</f>
        <v/>
      </c>
      <c r="O539" s="6" t="n"/>
      <c r="P539" s="6" t="n"/>
      <c r="Q539" s="3">
        <f>IF($D539="","",$C539&amp;"|"&amp;COUNTIFS($C$7:$C539,$C539))</f>
        <v/>
      </c>
    </row>
    <row r="540">
      <c r="A540" s="6" t="n"/>
      <c r="B540" s="113">
        <f>IF($D540="","","T"&amp;TEXT(ROW()-6,"00000"))</f>
        <v/>
      </c>
      <c r="C540" s="113">
        <f>IF($D540="","",IFERROR(INDEX(MUSTERILER!$B$7:$B$106,MATCH($D540,MUSTERILER!$C$7:$C$106,0)),IFERROR(INDEX(MUSTERILER!$B$7:$B$106,MATCH($D540,MUSTERILER!$B$7:$B$106,0)),IFERROR(INDEX(MUSTERILER!$B$7:$B$106,MATCH($D540&amp;"*",MUSTERILER!$C$7:$C$106,0)),"TANIMSIZ MÜŞTERİ"))))</f>
        <v/>
      </c>
      <c r="D540" s="109" t="n"/>
      <c r="E540" s="225" t="n"/>
      <c r="F540" s="226" t="n"/>
      <c r="G540" s="108" t="n"/>
      <c r="H540" s="108" t="n"/>
      <c r="I540" s="109" t="n"/>
      <c r="J540" s="109" t="n"/>
      <c r="K540" s="109" t="n"/>
      <c r="L540" s="231">
        <f>IF($E540="","",DATE(YEAR($E540),MONTH($E540),1))</f>
        <v/>
      </c>
      <c r="M540" s="113">
        <f>IF($D540="","",IF($C540="TANIMSIZ MÜŞTERİ","HATA",IF(OR($E540="",$F540&lt;=0,$G540=""),"EKSİK",IF($E540&gt;TODAY(),"İLERİ TARİH","UYGUN"))))</f>
        <v/>
      </c>
      <c r="N540" s="121">
        <f>IF($C540="","",IF($C540="TANIMSIZ MÜŞTERİ","—",INDEX(MUSTERILER!$C$7:$C$106,MATCH($C540,MUSTERILER!$B$7:$B$106,0))))</f>
        <v/>
      </c>
      <c r="O540" s="6" t="n"/>
      <c r="P540" s="6" t="n"/>
      <c r="Q540" s="3">
        <f>IF($D540="","",$C540&amp;"|"&amp;COUNTIFS($C$7:$C540,$C540))</f>
        <v/>
      </c>
    </row>
    <row r="541">
      <c r="A541" s="6" t="n"/>
      <c r="B541" s="113">
        <f>IF($D541="","","T"&amp;TEXT(ROW()-6,"00000"))</f>
        <v/>
      </c>
      <c r="C541" s="113">
        <f>IF($D541="","",IFERROR(INDEX(MUSTERILER!$B$7:$B$106,MATCH($D541,MUSTERILER!$C$7:$C$106,0)),IFERROR(INDEX(MUSTERILER!$B$7:$B$106,MATCH($D541,MUSTERILER!$B$7:$B$106,0)),IFERROR(INDEX(MUSTERILER!$B$7:$B$106,MATCH($D541&amp;"*",MUSTERILER!$C$7:$C$106,0)),"TANIMSIZ MÜŞTERİ"))))</f>
        <v/>
      </c>
      <c r="D541" s="109" t="n"/>
      <c r="E541" s="225" t="n"/>
      <c r="F541" s="226" t="n"/>
      <c r="G541" s="108" t="n"/>
      <c r="H541" s="108" t="n"/>
      <c r="I541" s="109" t="n"/>
      <c r="J541" s="109" t="n"/>
      <c r="K541" s="109" t="n"/>
      <c r="L541" s="231">
        <f>IF($E541="","",DATE(YEAR($E541),MONTH($E541),1))</f>
        <v/>
      </c>
      <c r="M541" s="113">
        <f>IF($D541="","",IF($C541="TANIMSIZ MÜŞTERİ","HATA",IF(OR($E541="",$F541&lt;=0,$G541=""),"EKSİK",IF($E541&gt;TODAY(),"İLERİ TARİH","UYGUN"))))</f>
        <v/>
      </c>
      <c r="N541" s="121">
        <f>IF($C541="","",IF($C541="TANIMSIZ MÜŞTERİ","—",INDEX(MUSTERILER!$C$7:$C$106,MATCH($C541,MUSTERILER!$B$7:$B$106,0))))</f>
        <v/>
      </c>
      <c r="O541" s="6" t="n"/>
      <c r="P541" s="6" t="n"/>
      <c r="Q541" s="3">
        <f>IF($D541="","",$C541&amp;"|"&amp;COUNTIFS($C$7:$C541,$C541))</f>
        <v/>
      </c>
    </row>
    <row r="542">
      <c r="A542" s="6" t="n"/>
      <c r="B542" s="113">
        <f>IF($D542="","","T"&amp;TEXT(ROW()-6,"00000"))</f>
        <v/>
      </c>
      <c r="C542" s="113">
        <f>IF($D542="","",IFERROR(INDEX(MUSTERILER!$B$7:$B$106,MATCH($D542,MUSTERILER!$C$7:$C$106,0)),IFERROR(INDEX(MUSTERILER!$B$7:$B$106,MATCH($D542,MUSTERILER!$B$7:$B$106,0)),IFERROR(INDEX(MUSTERILER!$B$7:$B$106,MATCH($D542&amp;"*",MUSTERILER!$C$7:$C$106,0)),"TANIMSIZ MÜŞTERİ"))))</f>
        <v/>
      </c>
      <c r="D542" s="109" t="n"/>
      <c r="E542" s="225" t="n"/>
      <c r="F542" s="226" t="n"/>
      <c r="G542" s="108" t="n"/>
      <c r="H542" s="108" t="n"/>
      <c r="I542" s="109" t="n"/>
      <c r="J542" s="109" t="n"/>
      <c r="K542" s="109" t="n"/>
      <c r="L542" s="231">
        <f>IF($E542="","",DATE(YEAR($E542),MONTH($E542),1))</f>
        <v/>
      </c>
      <c r="M542" s="113">
        <f>IF($D542="","",IF($C542="TANIMSIZ MÜŞTERİ","HATA",IF(OR($E542="",$F542&lt;=0,$G542=""),"EKSİK",IF($E542&gt;TODAY(),"İLERİ TARİH","UYGUN"))))</f>
        <v/>
      </c>
      <c r="N542" s="121">
        <f>IF($C542="","",IF($C542="TANIMSIZ MÜŞTERİ","—",INDEX(MUSTERILER!$C$7:$C$106,MATCH($C542,MUSTERILER!$B$7:$B$106,0))))</f>
        <v/>
      </c>
      <c r="O542" s="6" t="n"/>
      <c r="P542" s="6" t="n"/>
      <c r="Q542" s="3">
        <f>IF($D542="","",$C542&amp;"|"&amp;COUNTIFS($C$7:$C542,$C542))</f>
        <v/>
      </c>
    </row>
    <row r="543">
      <c r="A543" s="6" t="n"/>
      <c r="B543" s="113">
        <f>IF($D543="","","T"&amp;TEXT(ROW()-6,"00000"))</f>
        <v/>
      </c>
      <c r="C543" s="113">
        <f>IF($D543="","",IFERROR(INDEX(MUSTERILER!$B$7:$B$106,MATCH($D543,MUSTERILER!$C$7:$C$106,0)),IFERROR(INDEX(MUSTERILER!$B$7:$B$106,MATCH($D543,MUSTERILER!$B$7:$B$106,0)),IFERROR(INDEX(MUSTERILER!$B$7:$B$106,MATCH($D543&amp;"*",MUSTERILER!$C$7:$C$106,0)),"TANIMSIZ MÜŞTERİ"))))</f>
        <v/>
      </c>
      <c r="D543" s="109" t="n"/>
      <c r="E543" s="225" t="n"/>
      <c r="F543" s="226" t="n"/>
      <c r="G543" s="108" t="n"/>
      <c r="H543" s="108" t="n"/>
      <c r="I543" s="109" t="n"/>
      <c r="J543" s="109" t="n"/>
      <c r="K543" s="109" t="n"/>
      <c r="L543" s="231">
        <f>IF($E543="","",DATE(YEAR($E543),MONTH($E543),1))</f>
        <v/>
      </c>
      <c r="M543" s="113">
        <f>IF($D543="","",IF($C543="TANIMSIZ MÜŞTERİ","HATA",IF(OR($E543="",$F543&lt;=0,$G543=""),"EKSİK",IF($E543&gt;TODAY(),"İLERİ TARİH","UYGUN"))))</f>
        <v/>
      </c>
      <c r="N543" s="121">
        <f>IF($C543="","",IF($C543="TANIMSIZ MÜŞTERİ","—",INDEX(MUSTERILER!$C$7:$C$106,MATCH($C543,MUSTERILER!$B$7:$B$106,0))))</f>
        <v/>
      </c>
      <c r="O543" s="6" t="n"/>
      <c r="P543" s="6" t="n"/>
      <c r="Q543" s="3">
        <f>IF($D543="","",$C543&amp;"|"&amp;COUNTIFS($C$7:$C543,$C543))</f>
        <v/>
      </c>
    </row>
    <row r="544">
      <c r="A544" s="6" t="n"/>
      <c r="B544" s="113">
        <f>IF($D544="","","T"&amp;TEXT(ROW()-6,"00000"))</f>
        <v/>
      </c>
      <c r="C544" s="113">
        <f>IF($D544="","",IFERROR(INDEX(MUSTERILER!$B$7:$B$106,MATCH($D544,MUSTERILER!$C$7:$C$106,0)),IFERROR(INDEX(MUSTERILER!$B$7:$B$106,MATCH($D544,MUSTERILER!$B$7:$B$106,0)),IFERROR(INDEX(MUSTERILER!$B$7:$B$106,MATCH($D544&amp;"*",MUSTERILER!$C$7:$C$106,0)),"TANIMSIZ MÜŞTERİ"))))</f>
        <v/>
      </c>
      <c r="D544" s="109" t="n"/>
      <c r="E544" s="225" t="n"/>
      <c r="F544" s="226" t="n"/>
      <c r="G544" s="108" t="n"/>
      <c r="H544" s="108" t="n"/>
      <c r="I544" s="109" t="n"/>
      <c r="J544" s="109" t="n"/>
      <c r="K544" s="109" t="n"/>
      <c r="L544" s="231">
        <f>IF($E544="","",DATE(YEAR($E544),MONTH($E544),1))</f>
        <v/>
      </c>
      <c r="M544" s="113">
        <f>IF($D544="","",IF($C544="TANIMSIZ MÜŞTERİ","HATA",IF(OR($E544="",$F544&lt;=0,$G544=""),"EKSİK",IF($E544&gt;TODAY(),"İLERİ TARİH","UYGUN"))))</f>
        <v/>
      </c>
      <c r="N544" s="121">
        <f>IF($C544="","",IF($C544="TANIMSIZ MÜŞTERİ","—",INDEX(MUSTERILER!$C$7:$C$106,MATCH($C544,MUSTERILER!$B$7:$B$106,0))))</f>
        <v/>
      </c>
      <c r="O544" s="6" t="n"/>
      <c r="P544" s="6" t="n"/>
      <c r="Q544" s="3">
        <f>IF($D544="","",$C544&amp;"|"&amp;COUNTIFS($C$7:$C544,$C544))</f>
        <v/>
      </c>
    </row>
    <row r="545">
      <c r="A545" s="6" t="n"/>
      <c r="B545" s="113">
        <f>IF($D545="","","T"&amp;TEXT(ROW()-6,"00000"))</f>
        <v/>
      </c>
      <c r="C545" s="113">
        <f>IF($D545="","",IFERROR(INDEX(MUSTERILER!$B$7:$B$106,MATCH($D545,MUSTERILER!$C$7:$C$106,0)),IFERROR(INDEX(MUSTERILER!$B$7:$B$106,MATCH($D545,MUSTERILER!$B$7:$B$106,0)),IFERROR(INDEX(MUSTERILER!$B$7:$B$106,MATCH($D545&amp;"*",MUSTERILER!$C$7:$C$106,0)),"TANIMSIZ MÜŞTERİ"))))</f>
        <v/>
      </c>
      <c r="D545" s="109" t="n"/>
      <c r="E545" s="225" t="n"/>
      <c r="F545" s="226" t="n"/>
      <c r="G545" s="108" t="n"/>
      <c r="H545" s="108" t="n"/>
      <c r="I545" s="109" t="n"/>
      <c r="J545" s="109" t="n"/>
      <c r="K545" s="109" t="n"/>
      <c r="L545" s="231">
        <f>IF($E545="","",DATE(YEAR($E545),MONTH($E545),1))</f>
        <v/>
      </c>
      <c r="M545" s="113">
        <f>IF($D545="","",IF($C545="TANIMSIZ MÜŞTERİ","HATA",IF(OR($E545="",$F545&lt;=0,$G545=""),"EKSİK",IF($E545&gt;TODAY(),"İLERİ TARİH","UYGUN"))))</f>
        <v/>
      </c>
      <c r="N545" s="121">
        <f>IF($C545="","",IF($C545="TANIMSIZ MÜŞTERİ","—",INDEX(MUSTERILER!$C$7:$C$106,MATCH($C545,MUSTERILER!$B$7:$B$106,0))))</f>
        <v/>
      </c>
      <c r="O545" s="6" t="n"/>
      <c r="P545" s="6" t="n"/>
      <c r="Q545" s="3">
        <f>IF($D545="","",$C545&amp;"|"&amp;COUNTIFS($C$7:$C545,$C545))</f>
        <v/>
      </c>
    </row>
    <row r="546">
      <c r="A546" s="6" t="n"/>
      <c r="B546" s="113">
        <f>IF($D546="","","T"&amp;TEXT(ROW()-6,"00000"))</f>
        <v/>
      </c>
      <c r="C546" s="113">
        <f>IF($D546="","",IFERROR(INDEX(MUSTERILER!$B$7:$B$106,MATCH($D546,MUSTERILER!$C$7:$C$106,0)),IFERROR(INDEX(MUSTERILER!$B$7:$B$106,MATCH($D546,MUSTERILER!$B$7:$B$106,0)),IFERROR(INDEX(MUSTERILER!$B$7:$B$106,MATCH($D546&amp;"*",MUSTERILER!$C$7:$C$106,0)),"TANIMSIZ MÜŞTERİ"))))</f>
        <v/>
      </c>
      <c r="D546" s="109" t="n"/>
      <c r="E546" s="225" t="n"/>
      <c r="F546" s="226" t="n"/>
      <c r="G546" s="108" t="n"/>
      <c r="H546" s="108" t="n"/>
      <c r="I546" s="109" t="n"/>
      <c r="J546" s="109" t="n"/>
      <c r="K546" s="109" t="n"/>
      <c r="L546" s="231">
        <f>IF($E546="","",DATE(YEAR($E546),MONTH($E546),1))</f>
        <v/>
      </c>
      <c r="M546" s="113">
        <f>IF($D546="","",IF($C546="TANIMSIZ MÜŞTERİ","HATA",IF(OR($E546="",$F546&lt;=0,$G546=""),"EKSİK",IF($E546&gt;TODAY(),"İLERİ TARİH","UYGUN"))))</f>
        <v/>
      </c>
      <c r="N546" s="121">
        <f>IF($C546="","",IF($C546="TANIMSIZ MÜŞTERİ","—",INDEX(MUSTERILER!$C$7:$C$106,MATCH($C546,MUSTERILER!$B$7:$B$106,0))))</f>
        <v/>
      </c>
      <c r="O546" s="6" t="n"/>
      <c r="P546" s="6" t="n"/>
      <c r="Q546" s="3">
        <f>IF($D546="","",$C546&amp;"|"&amp;COUNTIFS($C$7:$C546,$C546))</f>
        <v/>
      </c>
    </row>
    <row r="547">
      <c r="A547" s="6" t="n"/>
      <c r="B547" s="113">
        <f>IF($D547="","","T"&amp;TEXT(ROW()-6,"00000"))</f>
        <v/>
      </c>
      <c r="C547" s="113">
        <f>IF($D547="","",IFERROR(INDEX(MUSTERILER!$B$7:$B$106,MATCH($D547,MUSTERILER!$C$7:$C$106,0)),IFERROR(INDEX(MUSTERILER!$B$7:$B$106,MATCH($D547,MUSTERILER!$B$7:$B$106,0)),IFERROR(INDEX(MUSTERILER!$B$7:$B$106,MATCH($D547&amp;"*",MUSTERILER!$C$7:$C$106,0)),"TANIMSIZ MÜŞTERİ"))))</f>
        <v/>
      </c>
      <c r="D547" s="109" t="n"/>
      <c r="E547" s="225" t="n"/>
      <c r="F547" s="226" t="n"/>
      <c r="G547" s="108" t="n"/>
      <c r="H547" s="108" t="n"/>
      <c r="I547" s="109" t="n"/>
      <c r="J547" s="109" t="n"/>
      <c r="K547" s="109" t="n"/>
      <c r="L547" s="231">
        <f>IF($E547="","",DATE(YEAR($E547),MONTH($E547),1))</f>
        <v/>
      </c>
      <c r="M547" s="113">
        <f>IF($D547="","",IF($C547="TANIMSIZ MÜŞTERİ","HATA",IF(OR($E547="",$F547&lt;=0,$G547=""),"EKSİK",IF($E547&gt;TODAY(),"İLERİ TARİH","UYGUN"))))</f>
        <v/>
      </c>
      <c r="N547" s="121">
        <f>IF($C547="","",IF($C547="TANIMSIZ MÜŞTERİ","—",INDEX(MUSTERILER!$C$7:$C$106,MATCH($C547,MUSTERILER!$B$7:$B$106,0))))</f>
        <v/>
      </c>
      <c r="O547" s="6" t="n"/>
      <c r="P547" s="6" t="n"/>
      <c r="Q547" s="3">
        <f>IF($D547="","",$C547&amp;"|"&amp;COUNTIFS($C$7:$C547,$C547))</f>
        <v/>
      </c>
    </row>
    <row r="548">
      <c r="A548" s="6" t="n"/>
      <c r="B548" s="113">
        <f>IF($D548="","","T"&amp;TEXT(ROW()-6,"00000"))</f>
        <v/>
      </c>
      <c r="C548" s="113">
        <f>IF($D548="","",IFERROR(INDEX(MUSTERILER!$B$7:$B$106,MATCH($D548,MUSTERILER!$C$7:$C$106,0)),IFERROR(INDEX(MUSTERILER!$B$7:$B$106,MATCH($D548,MUSTERILER!$B$7:$B$106,0)),IFERROR(INDEX(MUSTERILER!$B$7:$B$106,MATCH($D548&amp;"*",MUSTERILER!$C$7:$C$106,0)),"TANIMSIZ MÜŞTERİ"))))</f>
        <v/>
      </c>
      <c r="D548" s="109" t="n"/>
      <c r="E548" s="225" t="n"/>
      <c r="F548" s="226" t="n"/>
      <c r="G548" s="108" t="n"/>
      <c r="H548" s="108" t="n"/>
      <c r="I548" s="109" t="n"/>
      <c r="J548" s="109" t="n"/>
      <c r="K548" s="109" t="n"/>
      <c r="L548" s="231">
        <f>IF($E548="","",DATE(YEAR($E548),MONTH($E548),1))</f>
        <v/>
      </c>
      <c r="M548" s="113">
        <f>IF($D548="","",IF($C548="TANIMSIZ MÜŞTERİ","HATA",IF(OR($E548="",$F548&lt;=0,$G548=""),"EKSİK",IF($E548&gt;TODAY(),"İLERİ TARİH","UYGUN"))))</f>
        <v/>
      </c>
      <c r="N548" s="121">
        <f>IF($C548="","",IF($C548="TANIMSIZ MÜŞTERİ","—",INDEX(MUSTERILER!$C$7:$C$106,MATCH($C548,MUSTERILER!$B$7:$B$106,0))))</f>
        <v/>
      </c>
      <c r="O548" s="6" t="n"/>
      <c r="P548" s="6" t="n"/>
      <c r="Q548" s="3">
        <f>IF($D548="","",$C548&amp;"|"&amp;COUNTIFS($C$7:$C548,$C548))</f>
        <v/>
      </c>
    </row>
    <row r="549">
      <c r="A549" s="6" t="n"/>
      <c r="B549" s="113">
        <f>IF($D549="","","T"&amp;TEXT(ROW()-6,"00000"))</f>
        <v/>
      </c>
      <c r="C549" s="113">
        <f>IF($D549="","",IFERROR(INDEX(MUSTERILER!$B$7:$B$106,MATCH($D549,MUSTERILER!$C$7:$C$106,0)),IFERROR(INDEX(MUSTERILER!$B$7:$B$106,MATCH($D549,MUSTERILER!$B$7:$B$106,0)),IFERROR(INDEX(MUSTERILER!$B$7:$B$106,MATCH($D549&amp;"*",MUSTERILER!$C$7:$C$106,0)),"TANIMSIZ MÜŞTERİ"))))</f>
        <v/>
      </c>
      <c r="D549" s="109" t="n"/>
      <c r="E549" s="225" t="n"/>
      <c r="F549" s="226" t="n"/>
      <c r="G549" s="108" t="n"/>
      <c r="H549" s="108" t="n"/>
      <c r="I549" s="109" t="n"/>
      <c r="J549" s="109" t="n"/>
      <c r="K549" s="109" t="n"/>
      <c r="L549" s="231">
        <f>IF($E549="","",DATE(YEAR($E549),MONTH($E549),1))</f>
        <v/>
      </c>
      <c r="M549" s="113">
        <f>IF($D549="","",IF($C549="TANIMSIZ MÜŞTERİ","HATA",IF(OR($E549="",$F549&lt;=0,$G549=""),"EKSİK",IF($E549&gt;TODAY(),"İLERİ TARİH","UYGUN"))))</f>
        <v/>
      </c>
      <c r="N549" s="121">
        <f>IF($C549="","",IF($C549="TANIMSIZ MÜŞTERİ","—",INDEX(MUSTERILER!$C$7:$C$106,MATCH($C549,MUSTERILER!$B$7:$B$106,0))))</f>
        <v/>
      </c>
      <c r="O549" s="6" t="n"/>
      <c r="P549" s="6" t="n"/>
      <c r="Q549" s="3">
        <f>IF($D549="","",$C549&amp;"|"&amp;COUNTIFS($C$7:$C549,$C549))</f>
        <v/>
      </c>
    </row>
    <row r="550">
      <c r="A550" s="6" t="n"/>
      <c r="B550" s="113">
        <f>IF($D550="","","T"&amp;TEXT(ROW()-6,"00000"))</f>
        <v/>
      </c>
      <c r="C550" s="113">
        <f>IF($D550="","",IFERROR(INDEX(MUSTERILER!$B$7:$B$106,MATCH($D550,MUSTERILER!$C$7:$C$106,0)),IFERROR(INDEX(MUSTERILER!$B$7:$B$106,MATCH($D550,MUSTERILER!$B$7:$B$106,0)),IFERROR(INDEX(MUSTERILER!$B$7:$B$106,MATCH($D550&amp;"*",MUSTERILER!$C$7:$C$106,0)),"TANIMSIZ MÜŞTERİ"))))</f>
        <v/>
      </c>
      <c r="D550" s="109" t="n"/>
      <c r="E550" s="225" t="n"/>
      <c r="F550" s="226" t="n"/>
      <c r="G550" s="108" t="n"/>
      <c r="H550" s="108" t="n"/>
      <c r="I550" s="109" t="n"/>
      <c r="J550" s="109" t="n"/>
      <c r="K550" s="109" t="n"/>
      <c r="L550" s="231">
        <f>IF($E550="","",DATE(YEAR($E550),MONTH($E550),1))</f>
        <v/>
      </c>
      <c r="M550" s="113">
        <f>IF($D550="","",IF($C550="TANIMSIZ MÜŞTERİ","HATA",IF(OR($E550="",$F550&lt;=0,$G550=""),"EKSİK",IF($E550&gt;TODAY(),"İLERİ TARİH","UYGUN"))))</f>
        <v/>
      </c>
      <c r="N550" s="121">
        <f>IF($C550="","",IF($C550="TANIMSIZ MÜŞTERİ","—",INDEX(MUSTERILER!$C$7:$C$106,MATCH($C550,MUSTERILER!$B$7:$B$106,0))))</f>
        <v/>
      </c>
      <c r="O550" s="6" t="n"/>
      <c r="P550" s="6" t="n"/>
      <c r="Q550" s="3">
        <f>IF($D550="","",$C550&amp;"|"&amp;COUNTIFS($C$7:$C550,$C550))</f>
        <v/>
      </c>
    </row>
    <row r="551">
      <c r="A551" s="6" t="n"/>
      <c r="B551" s="113">
        <f>IF($D551="","","T"&amp;TEXT(ROW()-6,"00000"))</f>
        <v/>
      </c>
      <c r="C551" s="113">
        <f>IF($D551="","",IFERROR(INDEX(MUSTERILER!$B$7:$B$106,MATCH($D551,MUSTERILER!$C$7:$C$106,0)),IFERROR(INDEX(MUSTERILER!$B$7:$B$106,MATCH($D551,MUSTERILER!$B$7:$B$106,0)),IFERROR(INDEX(MUSTERILER!$B$7:$B$106,MATCH($D551&amp;"*",MUSTERILER!$C$7:$C$106,0)),"TANIMSIZ MÜŞTERİ"))))</f>
        <v/>
      </c>
      <c r="D551" s="109" t="n"/>
      <c r="E551" s="225" t="n"/>
      <c r="F551" s="226" t="n"/>
      <c r="G551" s="108" t="n"/>
      <c r="H551" s="108" t="n"/>
      <c r="I551" s="109" t="n"/>
      <c r="J551" s="109" t="n"/>
      <c r="K551" s="109" t="n"/>
      <c r="L551" s="231">
        <f>IF($E551="","",DATE(YEAR($E551),MONTH($E551),1))</f>
        <v/>
      </c>
      <c r="M551" s="113">
        <f>IF($D551="","",IF($C551="TANIMSIZ MÜŞTERİ","HATA",IF(OR($E551="",$F551&lt;=0,$G551=""),"EKSİK",IF($E551&gt;TODAY(),"İLERİ TARİH","UYGUN"))))</f>
        <v/>
      </c>
      <c r="N551" s="121">
        <f>IF($C551="","",IF($C551="TANIMSIZ MÜŞTERİ","—",INDEX(MUSTERILER!$C$7:$C$106,MATCH($C551,MUSTERILER!$B$7:$B$106,0))))</f>
        <v/>
      </c>
      <c r="O551" s="6" t="n"/>
      <c r="P551" s="6" t="n"/>
      <c r="Q551" s="3">
        <f>IF($D551="","",$C551&amp;"|"&amp;COUNTIFS($C$7:$C551,$C551))</f>
        <v/>
      </c>
    </row>
    <row r="552">
      <c r="A552" s="6" t="n"/>
      <c r="B552" s="113">
        <f>IF($D552="","","T"&amp;TEXT(ROW()-6,"00000"))</f>
        <v/>
      </c>
      <c r="C552" s="113">
        <f>IF($D552="","",IFERROR(INDEX(MUSTERILER!$B$7:$B$106,MATCH($D552,MUSTERILER!$C$7:$C$106,0)),IFERROR(INDEX(MUSTERILER!$B$7:$B$106,MATCH($D552,MUSTERILER!$B$7:$B$106,0)),IFERROR(INDEX(MUSTERILER!$B$7:$B$106,MATCH($D552&amp;"*",MUSTERILER!$C$7:$C$106,0)),"TANIMSIZ MÜŞTERİ"))))</f>
        <v/>
      </c>
      <c r="D552" s="109" t="n"/>
      <c r="E552" s="225" t="n"/>
      <c r="F552" s="226" t="n"/>
      <c r="G552" s="108" t="n"/>
      <c r="H552" s="108" t="n"/>
      <c r="I552" s="109" t="n"/>
      <c r="J552" s="109" t="n"/>
      <c r="K552" s="109" t="n"/>
      <c r="L552" s="231">
        <f>IF($E552="","",DATE(YEAR($E552),MONTH($E552),1))</f>
        <v/>
      </c>
      <c r="M552" s="113">
        <f>IF($D552="","",IF($C552="TANIMSIZ MÜŞTERİ","HATA",IF(OR($E552="",$F552&lt;=0,$G552=""),"EKSİK",IF($E552&gt;TODAY(),"İLERİ TARİH","UYGUN"))))</f>
        <v/>
      </c>
      <c r="N552" s="121">
        <f>IF($C552="","",IF($C552="TANIMSIZ MÜŞTERİ","—",INDEX(MUSTERILER!$C$7:$C$106,MATCH($C552,MUSTERILER!$B$7:$B$106,0))))</f>
        <v/>
      </c>
      <c r="O552" s="6" t="n"/>
      <c r="P552" s="6" t="n"/>
      <c r="Q552" s="3">
        <f>IF($D552="","",$C552&amp;"|"&amp;COUNTIFS($C$7:$C552,$C552))</f>
        <v/>
      </c>
    </row>
    <row r="553">
      <c r="A553" s="6" t="n"/>
      <c r="B553" s="113">
        <f>IF($D553="","","T"&amp;TEXT(ROW()-6,"00000"))</f>
        <v/>
      </c>
      <c r="C553" s="113">
        <f>IF($D553="","",IFERROR(INDEX(MUSTERILER!$B$7:$B$106,MATCH($D553,MUSTERILER!$C$7:$C$106,0)),IFERROR(INDEX(MUSTERILER!$B$7:$B$106,MATCH($D553,MUSTERILER!$B$7:$B$106,0)),IFERROR(INDEX(MUSTERILER!$B$7:$B$106,MATCH($D553&amp;"*",MUSTERILER!$C$7:$C$106,0)),"TANIMSIZ MÜŞTERİ"))))</f>
        <v/>
      </c>
      <c r="D553" s="109" t="n"/>
      <c r="E553" s="225" t="n"/>
      <c r="F553" s="226" t="n"/>
      <c r="G553" s="108" t="n"/>
      <c r="H553" s="108" t="n"/>
      <c r="I553" s="109" t="n"/>
      <c r="J553" s="109" t="n"/>
      <c r="K553" s="109" t="n"/>
      <c r="L553" s="231">
        <f>IF($E553="","",DATE(YEAR($E553),MONTH($E553),1))</f>
        <v/>
      </c>
      <c r="M553" s="113">
        <f>IF($D553="","",IF($C553="TANIMSIZ MÜŞTERİ","HATA",IF(OR($E553="",$F553&lt;=0,$G553=""),"EKSİK",IF($E553&gt;TODAY(),"İLERİ TARİH","UYGUN"))))</f>
        <v/>
      </c>
      <c r="N553" s="121">
        <f>IF($C553="","",IF($C553="TANIMSIZ MÜŞTERİ","—",INDEX(MUSTERILER!$C$7:$C$106,MATCH($C553,MUSTERILER!$B$7:$B$106,0))))</f>
        <v/>
      </c>
      <c r="O553" s="6" t="n"/>
      <c r="P553" s="6" t="n"/>
      <c r="Q553" s="3">
        <f>IF($D553="","",$C553&amp;"|"&amp;COUNTIFS($C$7:$C553,$C553))</f>
        <v/>
      </c>
    </row>
    <row r="554">
      <c r="A554" s="6" t="n"/>
      <c r="B554" s="113">
        <f>IF($D554="","","T"&amp;TEXT(ROW()-6,"00000"))</f>
        <v/>
      </c>
      <c r="C554" s="113">
        <f>IF($D554="","",IFERROR(INDEX(MUSTERILER!$B$7:$B$106,MATCH($D554,MUSTERILER!$C$7:$C$106,0)),IFERROR(INDEX(MUSTERILER!$B$7:$B$106,MATCH($D554,MUSTERILER!$B$7:$B$106,0)),IFERROR(INDEX(MUSTERILER!$B$7:$B$106,MATCH($D554&amp;"*",MUSTERILER!$C$7:$C$106,0)),"TANIMSIZ MÜŞTERİ"))))</f>
        <v/>
      </c>
      <c r="D554" s="109" t="n"/>
      <c r="E554" s="225" t="n"/>
      <c r="F554" s="226" t="n"/>
      <c r="G554" s="108" t="n"/>
      <c r="H554" s="108" t="n"/>
      <c r="I554" s="109" t="n"/>
      <c r="J554" s="109" t="n"/>
      <c r="K554" s="109" t="n"/>
      <c r="L554" s="231">
        <f>IF($E554="","",DATE(YEAR($E554),MONTH($E554),1))</f>
        <v/>
      </c>
      <c r="M554" s="113">
        <f>IF($D554="","",IF($C554="TANIMSIZ MÜŞTERİ","HATA",IF(OR($E554="",$F554&lt;=0,$G554=""),"EKSİK",IF($E554&gt;TODAY(),"İLERİ TARİH","UYGUN"))))</f>
        <v/>
      </c>
      <c r="N554" s="121">
        <f>IF($C554="","",IF($C554="TANIMSIZ MÜŞTERİ","—",INDEX(MUSTERILER!$C$7:$C$106,MATCH($C554,MUSTERILER!$B$7:$B$106,0))))</f>
        <v/>
      </c>
      <c r="O554" s="6" t="n"/>
      <c r="P554" s="6" t="n"/>
      <c r="Q554" s="3">
        <f>IF($D554="","",$C554&amp;"|"&amp;COUNTIFS($C$7:$C554,$C554))</f>
        <v/>
      </c>
    </row>
    <row r="555">
      <c r="A555" s="6" t="n"/>
      <c r="B555" s="113">
        <f>IF($D555="","","T"&amp;TEXT(ROW()-6,"00000"))</f>
        <v/>
      </c>
      <c r="C555" s="113">
        <f>IF($D555="","",IFERROR(INDEX(MUSTERILER!$B$7:$B$106,MATCH($D555,MUSTERILER!$C$7:$C$106,0)),IFERROR(INDEX(MUSTERILER!$B$7:$B$106,MATCH($D555,MUSTERILER!$B$7:$B$106,0)),IFERROR(INDEX(MUSTERILER!$B$7:$B$106,MATCH($D555&amp;"*",MUSTERILER!$C$7:$C$106,0)),"TANIMSIZ MÜŞTERİ"))))</f>
        <v/>
      </c>
      <c r="D555" s="109" t="n"/>
      <c r="E555" s="225" t="n"/>
      <c r="F555" s="226" t="n"/>
      <c r="G555" s="108" t="n"/>
      <c r="H555" s="108" t="n"/>
      <c r="I555" s="109" t="n"/>
      <c r="J555" s="109" t="n"/>
      <c r="K555" s="109" t="n"/>
      <c r="L555" s="231">
        <f>IF($E555="","",DATE(YEAR($E555),MONTH($E555),1))</f>
        <v/>
      </c>
      <c r="M555" s="113">
        <f>IF($D555="","",IF($C555="TANIMSIZ MÜŞTERİ","HATA",IF(OR($E555="",$F555&lt;=0,$G555=""),"EKSİK",IF($E555&gt;TODAY(),"İLERİ TARİH","UYGUN"))))</f>
        <v/>
      </c>
      <c r="N555" s="121">
        <f>IF($C555="","",IF($C555="TANIMSIZ MÜŞTERİ","—",INDEX(MUSTERILER!$C$7:$C$106,MATCH($C555,MUSTERILER!$B$7:$B$106,0))))</f>
        <v/>
      </c>
      <c r="O555" s="6" t="n"/>
      <c r="P555" s="6" t="n"/>
      <c r="Q555" s="3">
        <f>IF($D555="","",$C555&amp;"|"&amp;COUNTIFS($C$7:$C555,$C555))</f>
        <v/>
      </c>
    </row>
    <row r="556">
      <c r="A556" s="6" t="n"/>
      <c r="B556" s="113">
        <f>IF($D556="","","T"&amp;TEXT(ROW()-6,"00000"))</f>
        <v/>
      </c>
      <c r="C556" s="113">
        <f>IF($D556="","",IFERROR(INDEX(MUSTERILER!$B$7:$B$106,MATCH($D556,MUSTERILER!$C$7:$C$106,0)),IFERROR(INDEX(MUSTERILER!$B$7:$B$106,MATCH($D556,MUSTERILER!$B$7:$B$106,0)),IFERROR(INDEX(MUSTERILER!$B$7:$B$106,MATCH($D556&amp;"*",MUSTERILER!$C$7:$C$106,0)),"TANIMSIZ MÜŞTERİ"))))</f>
        <v/>
      </c>
      <c r="D556" s="109" t="n"/>
      <c r="E556" s="225" t="n"/>
      <c r="F556" s="226" t="n"/>
      <c r="G556" s="108" t="n"/>
      <c r="H556" s="108" t="n"/>
      <c r="I556" s="109" t="n"/>
      <c r="J556" s="109" t="n"/>
      <c r="K556" s="109" t="n"/>
      <c r="L556" s="231">
        <f>IF($E556="","",DATE(YEAR($E556),MONTH($E556),1))</f>
        <v/>
      </c>
      <c r="M556" s="113">
        <f>IF($D556="","",IF($C556="TANIMSIZ MÜŞTERİ","HATA",IF(OR($E556="",$F556&lt;=0,$G556=""),"EKSİK",IF($E556&gt;TODAY(),"İLERİ TARİH","UYGUN"))))</f>
        <v/>
      </c>
      <c r="N556" s="121">
        <f>IF($C556="","",IF($C556="TANIMSIZ MÜŞTERİ","—",INDEX(MUSTERILER!$C$7:$C$106,MATCH($C556,MUSTERILER!$B$7:$B$106,0))))</f>
        <v/>
      </c>
      <c r="O556" s="6" t="n"/>
      <c r="P556" s="6" t="n"/>
      <c r="Q556" s="3">
        <f>IF($D556="","",$C556&amp;"|"&amp;COUNTIFS($C$7:$C556,$C556))</f>
        <v/>
      </c>
    </row>
    <row r="557">
      <c r="A557" s="6" t="n"/>
      <c r="B557" s="113">
        <f>IF($D557="","","T"&amp;TEXT(ROW()-6,"00000"))</f>
        <v/>
      </c>
      <c r="C557" s="113">
        <f>IF($D557="","",IFERROR(INDEX(MUSTERILER!$B$7:$B$106,MATCH($D557,MUSTERILER!$C$7:$C$106,0)),IFERROR(INDEX(MUSTERILER!$B$7:$B$106,MATCH($D557,MUSTERILER!$B$7:$B$106,0)),IFERROR(INDEX(MUSTERILER!$B$7:$B$106,MATCH($D557&amp;"*",MUSTERILER!$C$7:$C$106,0)),"TANIMSIZ MÜŞTERİ"))))</f>
        <v/>
      </c>
      <c r="D557" s="109" t="n"/>
      <c r="E557" s="225" t="n"/>
      <c r="F557" s="226" t="n"/>
      <c r="G557" s="108" t="n"/>
      <c r="H557" s="108" t="n"/>
      <c r="I557" s="109" t="n"/>
      <c r="J557" s="109" t="n"/>
      <c r="K557" s="109" t="n"/>
      <c r="L557" s="231">
        <f>IF($E557="","",DATE(YEAR($E557),MONTH($E557),1))</f>
        <v/>
      </c>
      <c r="M557" s="113">
        <f>IF($D557="","",IF($C557="TANIMSIZ MÜŞTERİ","HATA",IF(OR($E557="",$F557&lt;=0,$G557=""),"EKSİK",IF($E557&gt;TODAY(),"İLERİ TARİH","UYGUN"))))</f>
        <v/>
      </c>
      <c r="N557" s="121">
        <f>IF($C557="","",IF($C557="TANIMSIZ MÜŞTERİ","—",INDEX(MUSTERILER!$C$7:$C$106,MATCH($C557,MUSTERILER!$B$7:$B$106,0))))</f>
        <v/>
      </c>
      <c r="O557" s="6" t="n"/>
      <c r="P557" s="6" t="n"/>
      <c r="Q557" s="3">
        <f>IF($D557="","",$C557&amp;"|"&amp;COUNTIFS($C$7:$C557,$C557))</f>
        <v/>
      </c>
    </row>
    <row r="558">
      <c r="A558" s="6" t="n"/>
      <c r="B558" s="113">
        <f>IF($D558="","","T"&amp;TEXT(ROW()-6,"00000"))</f>
        <v/>
      </c>
      <c r="C558" s="113">
        <f>IF($D558="","",IFERROR(INDEX(MUSTERILER!$B$7:$B$106,MATCH($D558,MUSTERILER!$C$7:$C$106,0)),IFERROR(INDEX(MUSTERILER!$B$7:$B$106,MATCH($D558,MUSTERILER!$B$7:$B$106,0)),IFERROR(INDEX(MUSTERILER!$B$7:$B$106,MATCH($D558&amp;"*",MUSTERILER!$C$7:$C$106,0)),"TANIMSIZ MÜŞTERİ"))))</f>
        <v/>
      </c>
      <c r="D558" s="109" t="n"/>
      <c r="E558" s="225" t="n"/>
      <c r="F558" s="226" t="n"/>
      <c r="G558" s="108" t="n"/>
      <c r="H558" s="108" t="n"/>
      <c r="I558" s="109" t="n"/>
      <c r="J558" s="109" t="n"/>
      <c r="K558" s="109" t="n"/>
      <c r="L558" s="231">
        <f>IF($E558="","",DATE(YEAR($E558),MONTH($E558),1))</f>
        <v/>
      </c>
      <c r="M558" s="113">
        <f>IF($D558="","",IF($C558="TANIMSIZ MÜŞTERİ","HATA",IF(OR($E558="",$F558&lt;=0,$G558=""),"EKSİK",IF($E558&gt;TODAY(),"İLERİ TARİH","UYGUN"))))</f>
        <v/>
      </c>
      <c r="N558" s="121">
        <f>IF($C558="","",IF($C558="TANIMSIZ MÜŞTERİ","—",INDEX(MUSTERILER!$C$7:$C$106,MATCH($C558,MUSTERILER!$B$7:$B$106,0))))</f>
        <v/>
      </c>
      <c r="O558" s="6" t="n"/>
      <c r="P558" s="6" t="n"/>
      <c r="Q558" s="3">
        <f>IF($D558="","",$C558&amp;"|"&amp;COUNTIFS($C$7:$C558,$C558))</f>
        <v/>
      </c>
    </row>
    <row r="559">
      <c r="A559" s="6" t="n"/>
      <c r="B559" s="113">
        <f>IF($D559="","","T"&amp;TEXT(ROW()-6,"00000"))</f>
        <v/>
      </c>
      <c r="C559" s="113">
        <f>IF($D559="","",IFERROR(INDEX(MUSTERILER!$B$7:$B$106,MATCH($D559,MUSTERILER!$C$7:$C$106,0)),IFERROR(INDEX(MUSTERILER!$B$7:$B$106,MATCH($D559,MUSTERILER!$B$7:$B$106,0)),IFERROR(INDEX(MUSTERILER!$B$7:$B$106,MATCH($D559&amp;"*",MUSTERILER!$C$7:$C$106,0)),"TANIMSIZ MÜŞTERİ"))))</f>
        <v/>
      </c>
      <c r="D559" s="109" t="n"/>
      <c r="E559" s="225" t="n"/>
      <c r="F559" s="226" t="n"/>
      <c r="G559" s="108" t="n"/>
      <c r="H559" s="108" t="n"/>
      <c r="I559" s="109" t="n"/>
      <c r="J559" s="109" t="n"/>
      <c r="K559" s="109" t="n"/>
      <c r="L559" s="231">
        <f>IF($E559="","",DATE(YEAR($E559),MONTH($E559),1))</f>
        <v/>
      </c>
      <c r="M559" s="113">
        <f>IF($D559="","",IF($C559="TANIMSIZ MÜŞTERİ","HATA",IF(OR($E559="",$F559&lt;=0,$G559=""),"EKSİK",IF($E559&gt;TODAY(),"İLERİ TARİH","UYGUN"))))</f>
        <v/>
      </c>
      <c r="N559" s="121">
        <f>IF($C559="","",IF($C559="TANIMSIZ MÜŞTERİ","—",INDEX(MUSTERILER!$C$7:$C$106,MATCH($C559,MUSTERILER!$B$7:$B$106,0))))</f>
        <v/>
      </c>
      <c r="O559" s="6" t="n"/>
      <c r="P559" s="6" t="n"/>
      <c r="Q559" s="3">
        <f>IF($D559="","",$C559&amp;"|"&amp;COUNTIFS($C$7:$C559,$C559))</f>
        <v/>
      </c>
    </row>
    <row r="560">
      <c r="A560" s="6" t="n"/>
      <c r="B560" s="113">
        <f>IF($D560="","","T"&amp;TEXT(ROW()-6,"00000"))</f>
        <v/>
      </c>
      <c r="C560" s="113">
        <f>IF($D560="","",IFERROR(INDEX(MUSTERILER!$B$7:$B$106,MATCH($D560,MUSTERILER!$C$7:$C$106,0)),IFERROR(INDEX(MUSTERILER!$B$7:$B$106,MATCH($D560,MUSTERILER!$B$7:$B$106,0)),IFERROR(INDEX(MUSTERILER!$B$7:$B$106,MATCH($D560&amp;"*",MUSTERILER!$C$7:$C$106,0)),"TANIMSIZ MÜŞTERİ"))))</f>
        <v/>
      </c>
      <c r="D560" s="109" t="n"/>
      <c r="E560" s="225" t="n"/>
      <c r="F560" s="226" t="n"/>
      <c r="G560" s="108" t="n"/>
      <c r="H560" s="108" t="n"/>
      <c r="I560" s="109" t="n"/>
      <c r="J560" s="109" t="n"/>
      <c r="K560" s="109" t="n"/>
      <c r="L560" s="231">
        <f>IF($E560="","",DATE(YEAR($E560),MONTH($E560),1))</f>
        <v/>
      </c>
      <c r="M560" s="113">
        <f>IF($D560="","",IF($C560="TANIMSIZ MÜŞTERİ","HATA",IF(OR($E560="",$F560&lt;=0,$G560=""),"EKSİK",IF($E560&gt;TODAY(),"İLERİ TARİH","UYGUN"))))</f>
        <v/>
      </c>
      <c r="N560" s="121">
        <f>IF($C560="","",IF($C560="TANIMSIZ MÜŞTERİ","—",INDEX(MUSTERILER!$C$7:$C$106,MATCH($C560,MUSTERILER!$B$7:$B$106,0))))</f>
        <v/>
      </c>
      <c r="O560" s="6" t="n"/>
      <c r="P560" s="6" t="n"/>
      <c r="Q560" s="3">
        <f>IF($D560="","",$C560&amp;"|"&amp;COUNTIFS($C$7:$C560,$C560))</f>
        <v/>
      </c>
    </row>
    <row r="561">
      <c r="A561" s="6" t="n"/>
      <c r="B561" s="113">
        <f>IF($D561="","","T"&amp;TEXT(ROW()-6,"00000"))</f>
        <v/>
      </c>
      <c r="C561" s="113">
        <f>IF($D561="","",IFERROR(INDEX(MUSTERILER!$B$7:$B$106,MATCH($D561,MUSTERILER!$C$7:$C$106,0)),IFERROR(INDEX(MUSTERILER!$B$7:$B$106,MATCH($D561,MUSTERILER!$B$7:$B$106,0)),IFERROR(INDEX(MUSTERILER!$B$7:$B$106,MATCH($D561&amp;"*",MUSTERILER!$C$7:$C$106,0)),"TANIMSIZ MÜŞTERİ"))))</f>
        <v/>
      </c>
      <c r="D561" s="109" t="n"/>
      <c r="E561" s="225" t="n"/>
      <c r="F561" s="226" t="n"/>
      <c r="G561" s="108" t="n"/>
      <c r="H561" s="108" t="n"/>
      <c r="I561" s="109" t="n"/>
      <c r="J561" s="109" t="n"/>
      <c r="K561" s="109" t="n"/>
      <c r="L561" s="231">
        <f>IF($E561="","",DATE(YEAR($E561),MONTH($E561),1))</f>
        <v/>
      </c>
      <c r="M561" s="113">
        <f>IF($D561="","",IF($C561="TANIMSIZ MÜŞTERİ","HATA",IF(OR($E561="",$F561&lt;=0,$G561=""),"EKSİK",IF($E561&gt;TODAY(),"İLERİ TARİH","UYGUN"))))</f>
        <v/>
      </c>
      <c r="N561" s="121">
        <f>IF($C561="","",IF($C561="TANIMSIZ MÜŞTERİ","—",INDEX(MUSTERILER!$C$7:$C$106,MATCH($C561,MUSTERILER!$B$7:$B$106,0))))</f>
        <v/>
      </c>
      <c r="O561" s="6" t="n"/>
      <c r="P561" s="6" t="n"/>
      <c r="Q561" s="3">
        <f>IF($D561="","",$C561&amp;"|"&amp;COUNTIFS($C$7:$C561,$C561))</f>
        <v/>
      </c>
    </row>
    <row r="562">
      <c r="A562" s="6" t="n"/>
      <c r="B562" s="113">
        <f>IF($D562="","","T"&amp;TEXT(ROW()-6,"00000"))</f>
        <v/>
      </c>
      <c r="C562" s="113">
        <f>IF($D562="","",IFERROR(INDEX(MUSTERILER!$B$7:$B$106,MATCH($D562,MUSTERILER!$C$7:$C$106,0)),IFERROR(INDEX(MUSTERILER!$B$7:$B$106,MATCH($D562,MUSTERILER!$B$7:$B$106,0)),IFERROR(INDEX(MUSTERILER!$B$7:$B$106,MATCH($D562&amp;"*",MUSTERILER!$C$7:$C$106,0)),"TANIMSIZ MÜŞTERİ"))))</f>
        <v/>
      </c>
      <c r="D562" s="109" t="n"/>
      <c r="E562" s="225" t="n"/>
      <c r="F562" s="226" t="n"/>
      <c r="G562" s="108" t="n"/>
      <c r="H562" s="108" t="n"/>
      <c r="I562" s="109" t="n"/>
      <c r="J562" s="109" t="n"/>
      <c r="K562" s="109" t="n"/>
      <c r="L562" s="231">
        <f>IF($E562="","",DATE(YEAR($E562),MONTH($E562),1))</f>
        <v/>
      </c>
      <c r="M562" s="113">
        <f>IF($D562="","",IF($C562="TANIMSIZ MÜŞTERİ","HATA",IF(OR($E562="",$F562&lt;=0,$G562=""),"EKSİK",IF($E562&gt;TODAY(),"İLERİ TARİH","UYGUN"))))</f>
        <v/>
      </c>
      <c r="N562" s="121">
        <f>IF($C562="","",IF($C562="TANIMSIZ MÜŞTERİ","—",INDEX(MUSTERILER!$C$7:$C$106,MATCH($C562,MUSTERILER!$B$7:$B$106,0))))</f>
        <v/>
      </c>
      <c r="O562" s="6" t="n"/>
      <c r="P562" s="6" t="n"/>
      <c r="Q562" s="3">
        <f>IF($D562="","",$C562&amp;"|"&amp;COUNTIFS($C$7:$C562,$C562))</f>
        <v/>
      </c>
    </row>
    <row r="563">
      <c r="A563" s="6" t="n"/>
      <c r="B563" s="113">
        <f>IF($D563="","","T"&amp;TEXT(ROW()-6,"00000"))</f>
        <v/>
      </c>
      <c r="C563" s="113">
        <f>IF($D563="","",IFERROR(INDEX(MUSTERILER!$B$7:$B$106,MATCH($D563,MUSTERILER!$C$7:$C$106,0)),IFERROR(INDEX(MUSTERILER!$B$7:$B$106,MATCH($D563,MUSTERILER!$B$7:$B$106,0)),IFERROR(INDEX(MUSTERILER!$B$7:$B$106,MATCH($D563&amp;"*",MUSTERILER!$C$7:$C$106,0)),"TANIMSIZ MÜŞTERİ"))))</f>
        <v/>
      </c>
      <c r="D563" s="109" t="n"/>
      <c r="E563" s="225" t="n"/>
      <c r="F563" s="226" t="n"/>
      <c r="G563" s="108" t="n"/>
      <c r="H563" s="108" t="n"/>
      <c r="I563" s="109" t="n"/>
      <c r="J563" s="109" t="n"/>
      <c r="K563" s="109" t="n"/>
      <c r="L563" s="231">
        <f>IF($E563="","",DATE(YEAR($E563),MONTH($E563),1))</f>
        <v/>
      </c>
      <c r="M563" s="113">
        <f>IF($D563="","",IF($C563="TANIMSIZ MÜŞTERİ","HATA",IF(OR($E563="",$F563&lt;=0,$G563=""),"EKSİK",IF($E563&gt;TODAY(),"İLERİ TARİH","UYGUN"))))</f>
        <v/>
      </c>
      <c r="N563" s="121">
        <f>IF($C563="","",IF($C563="TANIMSIZ MÜŞTERİ","—",INDEX(MUSTERILER!$C$7:$C$106,MATCH($C563,MUSTERILER!$B$7:$B$106,0))))</f>
        <v/>
      </c>
      <c r="O563" s="6" t="n"/>
      <c r="P563" s="6" t="n"/>
      <c r="Q563" s="3">
        <f>IF($D563="","",$C563&amp;"|"&amp;COUNTIFS($C$7:$C563,$C563))</f>
        <v/>
      </c>
    </row>
    <row r="564">
      <c r="A564" s="6" t="n"/>
      <c r="B564" s="113">
        <f>IF($D564="","","T"&amp;TEXT(ROW()-6,"00000"))</f>
        <v/>
      </c>
      <c r="C564" s="113">
        <f>IF($D564="","",IFERROR(INDEX(MUSTERILER!$B$7:$B$106,MATCH($D564,MUSTERILER!$C$7:$C$106,0)),IFERROR(INDEX(MUSTERILER!$B$7:$B$106,MATCH($D564,MUSTERILER!$B$7:$B$106,0)),IFERROR(INDEX(MUSTERILER!$B$7:$B$106,MATCH($D564&amp;"*",MUSTERILER!$C$7:$C$106,0)),"TANIMSIZ MÜŞTERİ"))))</f>
        <v/>
      </c>
      <c r="D564" s="109" t="n"/>
      <c r="E564" s="225" t="n"/>
      <c r="F564" s="226" t="n"/>
      <c r="G564" s="108" t="n"/>
      <c r="H564" s="108" t="n"/>
      <c r="I564" s="109" t="n"/>
      <c r="J564" s="109" t="n"/>
      <c r="K564" s="109" t="n"/>
      <c r="L564" s="231">
        <f>IF($E564="","",DATE(YEAR($E564),MONTH($E564),1))</f>
        <v/>
      </c>
      <c r="M564" s="113">
        <f>IF($D564="","",IF($C564="TANIMSIZ MÜŞTERİ","HATA",IF(OR($E564="",$F564&lt;=0,$G564=""),"EKSİK",IF($E564&gt;TODAY(),"İLERİ TARİH","UYGUN"))))</f>
        <v/>
      </c>
      <c r="N564" s="121">
        <f>IF($C564="","",IF($C564="TANIMSIZ MÜŞTERİ","—",INDEX(MUSTERILER!$C$7:$C$106,MATCH($C564,MUSTERILER!$B$7:$B$106,0))))</f>
        <v/>
      </c>
      <c r="O564" s="6" t="n"/>
      <c r="P564" s="6" t="n"/>
      <c r="Q564" s="3">
        <f>IF($D564="","",$C564&amp;"|"&amp;COUNTIFS($C$7:$C564,$C564))</f>
        <v/>
      </c>
    </row>
    <row r="565">
      <c r="A565" s="6" t="n"/>
      <c r="B565" s="113">
        <f>IF($D565="","","T"&amp;TEXT(ROW()-6,"00000"))</f>
        <v/>
      </c>
      <c r="C565" s="113">
        <f>IF($D565="","",IFERROR(INDEX(MUSTERILER!$B$7:$B$106,MATCH($D565,MUSTERILER!$C$7:$C$106,0)),IFERROR(INDEX(MUSTERILER!$B$7:$B$106,MATCH($D565,MUSTERILER!$B$7:$B$106,0)),IFERROR(INDEX(MUSTERILER!$B$7:$B$106,MATCH($D565&amp;"*",MUSTERILER!$C$7:$C$106,0)),"TANIMSIZ MÜŞTERİ"))))</f>
        <v/>
      </c>
      <c r="D565" s="109" t="n"/>
      <c r="E565" s="225" t="n"/>
      <c r="F565" s="226" t="n"/>
      <c r="G565" s="108" t="n"/>
      <c r="H565" s="108" t="n"/>
      <c r="I565" s="109" t="n"/>
      <c r="J565" s="109" t="n"/>
      <c r="K565" s="109" t="n"/>
      <c r="L565" s="231">
        <f>IF($E565="","",DATE(YEAR($E565),MONTH($E565),1))</f>
        <v/>
      </c>
      <c r="M565" s="113">
        <f>IF($D565="","",IF($C565="TANIMSIZ MÜŞTERİ","HATA",IF(OR($E565="",$F565&lt;=0,$G565=""),"EKSİK",IF($E565&gt;TODAY(),"İLERİ TARİH","UYGUN"))))</f>
        <v/>
      </c>
      <c r="N565" s="121">
        <f>IF($C565="","",IF($C565="TANIMSIZ MÜŞTERİ","—",INDEX(MUSTERILER!$C$7:$C$106,MATCH($C565,MUSTERILER!$B$7:$B$106,0))))</f>
        <v/>
      </c>
      <c r="O565" s="6" t="n"/>
      <c r="P565" s="6" t="n"/>
      <c r="Q565" s="3">
        <f>IF($D565="","",$C565&amp;"|"&amp;COUNTIFS($C$7:$C565,$C565))</f>
        <v/>
      </c>
    </row>
    <row r="566">
      <c r="A566" s="6" t="n"/>
      <c r="B566" s="113">
        <f>IF($D566="","","T"&amp;TEXT(ROW()-6,"00000"))</f>
        <v/>
      </c>
      <c r="C566" s="113">
        <f>IF($D566="","",IFERROR(INDEX(MUSTERILER!$B$7:$B$106,MATCH($D566,MUSTERILER!$C$7:$C$106,0)),IFERROR(INDEX(MUSTERILER!$B$7:$B$106,MATCH($D566,MUSTERILER!$B$7:$B$106,0)),IFERROR(INDEX(MUSTERILER!$B$7:$B$106,MATCH($D566&amp;"*",MUSTERILER!$C$7:$C$106,0)),"TANIMSIZ MÜŞTERİ"))))</f>
        <v/>
      </c>
      <c r="D566" s="109" t="n"/>
      <c r="E566" s="225" t="n"/>
      <c r="F566" s="226" t="n"/>
      <c r="G566" s="108" t="n"/>
      <c r="H566" s="108" t="n"/>
      <c r="I566" s="109" t="n"/>
      <c r="J566" s="109" t="n"/>
      <c r="K566" s="109" t="n"/>
      <c r="L566" s="231">
        <f>IF($E566="","",DATE(YEAR($E566),MONTH($E566),1))</f>
        <v/>
      </c>
      <c r="M566" s="113">
        <f>IF($D566="","",IF($C566="TANIMSIZ MÜŞTERİ","HATA",IF(OR($E566="",$F566&lt;=0,$G566=""),"EKSİK",IF($E566&gt;TODAY(),"İLERİ TARİH","UYGUN"))))</f>
        <v/>
      </c>
      <c r="N566" s="121">
        <f>IF($C566="","",IF($C566="TANIMSIZ MÜŞTERİ","—",INDEX(MUSTERILER!$C$7:$C$106,MATCH($C566,MUSTERILER!$B$7:$B$106,0))))</f>
        <v/>
      </c>
      <c r="O566" s="6" t="n"/>
      <c r="P566" s="6" t="n"/>
      <c r="Q566" s="3">
        <f>IF($D566="","",$C566&amp;"|"&amp;COUNTIFS($C$7:$C566,$C566))</f>
        <v/>
      </c>
    </row>
    <row r="567">
      <c r="A567" s="6" t="n"/>
      <c r="B567" s="113">
        <f>IF($D567="","","T"&amp;TEXT(ROW()-6,"00000"))</f>
        <v/>
      </c>
      <c r="C567" s="113">
        <f>IF($D567="","",IFERROR(INDEX(MUSTERILER!$B$7:$B$106,MATCH($D567,MUSTERILER!$C$7:$C$106,0)),IFERROR(INDEX(MUSTERILER!$B$7:$B$106,MATCH($D567,MUSTERILER!$B$7:$B$106,0)),IFERROR(INDEX(MUSTERILER!$B$7:$B$106,MATCH($D567&amp;"*",MUSTERILER!$C$7:$C$106,0)),"TANIMSIZ MÜŞTERİ"))))</f>
        <v/>
      </c>
      <c r="D567" s="109" t="n"/>
      <c r="E567" s="225" t="n"/>
      <c r="F567" s="226" t="n"/>
      <c r="G567" s="108" t="n"/>
      <c r="H567" s="108" t="n"/>
      <c r="I567" s="109" t="n"/>
      <c r="J567" s="109" t="n"/>
      <c r="K567" s="109" t="n"/>
      <c r="L567" s="231">
        <f>IF($E567="","",DATE(YEAR($E567),MONTH($E567),1))</f>
        <v/>
      </c>
      <c r="M567" s="113">
        <f>IF($D567="","",IF($C567="TANIMSIZ MÜŞTERİ","HATA",IF(OR($E567="",$F567&lt;=0,$G567=""),"EKSİK",IF($E567&gt;TODAY(),"İLERİ TARİH","UYGUN"))))</f>
        <v/>
      </c>
      <c r="N567" s="121">
        <f>IF($C567="","",IF($C567="TANIMSIZ MÜŞTERİ","—",INDEX(MUSTERILER!$C$7:$C$106,MATCH($C567,MUSTERILER!$B$7:$B$106,0))))</f>
        <v/>
      </c>
      <c r="O567" s="6" t="n"/>
      <c r="P567" s="6" t="n"/>
      <c r="Q567" s="3">
        <f>IF($D567="","",$C567&amp;"|"&amp;COUNTIFS($C$7:$C567,$C567))</f>
        <v/>
      </c>
    </row>
    <row r="568">
      <c r="A568" s="6" t="n"/>
      <c r="B568" s="113">
        <f>IF($D568="","","T"&amp;TEXT(ROW()-6,"00000"))</f>
        <v/>
      </c>
      <c r="C568" s="113">
        <f>IF($D568="","",IFERROR(INDEX(MUSTERILER!$B$7:$B$106,MATCH($D568,MUSTERILER!$C$7:$C$106,0)),IFERROR(INDEX(MUSTERILER!$B$7:$B$106,MATCH($D568,MUSTERILER!$B$7:$B$106,0)),IFERROR(INDEX(MUSTERILER!$B$7:$B$106,MATCH($D568&amp;"*",MUSTERILER!$C$7:$C$106,0)),"TANIMSIZ MÜŞTERİ"))))</f>
        <v/>
      </c>
      <c r="D568" s="109" t="n"/>
      <c r="E568" s="225" t="n"/>
      <c r="F568" s="226" t="n"/>
      <c r="G568" s="108" t="n"/>
      <c r="H568" s="108" t="n"/>
      <c r="I568" s="109" t="n"/>
      <c r="J568" s="109" t="n"/>
      <c r="K568" s="109" t="n"/>
      <c r="L568" s="231">
        <f>IF($E568="","",DATE(YEAR($E568),MONTH($E568),1))</f>
        <v/>
      </c>
      <c r="M568" s="113">
        <f>IF($D568="","",IF($C568="TANIMSIZ MÜŞTERİ","HATA",IF(OR($E568="",$F568&lt;=0,$G568=""),"EKSİK",IF($E568&gt;TODAY(),"İLERİ TARİH","UYGUN"))))</f>
        <v/>
      </c>
      <c r="N568" s="121">
        <f>IF($C568="","",IF($C568="TANIMSIZ MÜŞTERİ","—",INDEX(MUSTERILER!$C$7:$C$106,MATCH($C568,MUSTERILER!$B$7:$B$106,0))))</f>
        <v/>
      </c>
      <c r="O568" s="6" t="n"/>
      <c r="P568" s="6" t="n"/>
      <c r="Q568" s="3">
        <f>IF($D568="","",$C568&amp;"|"&amp;COUNTIFS($C$7:$C568,$C568))</f>
        <v/>
      </c>
    </row>
    <row r="569">
      <c r="A569" s="6" t="n"/>
      <c r="B569" s="113">
        <f>IF($D569="","","T"&amp;TEXT(ROW()-6,"00000"))</f>
        <v/>
      </c>
      <c r="C569" s="113">
        <f>IF($D569="","",IFERROR(INDEX(MUSTERILER!$B$7:$B$106,MATCH($D569,MUSTERILER!$C$7:$C$106,0)),IFERROR(INDEX(MUSTERILER!$B$7:$B$106,MATCH($D569,MUSTERILER!$B$7:$B$106,0)),IFERROR(INDEX(MUSTERILER!$B$7:$B$106,MATCH($D569&amp;"*",MUSTERILER!$C$7:$C$106,0)),"TANIMSIZ MÜŞTERİ"))))</f>
        <v/>
      </c>
      <c r="D569" s="109" t="n"/>
      <c r="E569" s="225" t="n"/>
      <c r="F569" s="226" t="n"/>
      <c r="G569" s="108" t="n"/>
      <c r="H569" s="108" t="n"/>
      <c r="I569" s="109" t="n"/>
      <c r="J569" s="109" t="n"/>
      <c r="K569" s="109" t="n"/>
      <c r="L569" s="231">
        <f>IF($E569="","",DATE(YEAR($E569),MONTH($E569),1))</f>
        <v/>
      </c>
      <c r="M569" s="113">
        <f>IF($D569="","",IF($C569="TANIMSIZ MÜŞTERİ","HATA",IF(OR($E569="",$F569&lt;=0,$G569=""),"EKSİK",IF($E569&gt;TODAY(),"İLERİ TARİH","UYGUN"))))</f>
        <v/>
      </c>
      <c r="N569" s="121">
        <f>IF($C569="","",IF($C569="TANIMSIZ MÜŞTERİ","—",INDEX(MUSTERILER!$C$7:$C$106,MATCH($C569,MUSTERILER!$B$7:$B$106,0))))</f>
        <v/>
      </c>
      <c r="O569" s="6" t="n"/>
      <c r="P569" s="6" t="n"/>
      <c r="Q569" s="3">
        <f>IF($D569="","",$C569&amp;"|"&amp;COUNTIFS($C$7:$C569,$C569))</f>
        <v/>
      </c>
    </row>
    <row r="570">
      <c r="A570" s="6" t="n"/>
      <c r="B570" s="113">
        <f>IF($D570="","","T"&amp;TEXT(ROW()-6,"00000"))</f>
        <v/>
      </c>
      <c r="C570" s="113">
        <f>IF($D570="","",IFERROR(INDEX(MUSTERILER!$B$7:$B$106,MATCH($D570,MUSTERILER!$C$7:$C$106,0)),IFERROR(INDEX(MUSTERILER!$B$7:$B$106,MATCH($D570,MUSTERILER!$B$7:$B$106,0)),IFERROR(INDEX(MUSTERILER!$B$7:$B$106,MATCH($D570&amp;"*",MUSTERILER!$C$7:$C$106,0)),"TANIMSIZ MÜŞTERİ"))))</f>
        <v/>
      </c>
      <c r="D570" s="109" t="n"/>
      <c r="E570" s="225" t="n"/>
      <c r="F570" s="226" t="n"/>
      <c r="G570" s="108" t="n"/>
      <c r="H570" s="108" t="n"/>
      <c r="I570" s="109" t="n"/>
      <c r="J570" s="109" t="n"/>
      <c r="K570" s="109" t="n"/>
      <c r="L570" s="231">
        <f>IF($E570="","",DATE(YEAR($E570),MONTH($E570),1))</f>
        <v/>
      </c>
      <c r="M570" s="113">
        <f>IF($D570="","",IF($C570="TANIMSIZ MÜŞTERİ","HATA",IF(OR($E570="",$F570&lt;=0,$G570=""),"EKSİK",IF($E570&gt;TODAY(),"İLERİ TARİH","UYGUN"))))</f>
        <v/>
      </c>
      <c r="N570" s="121">
        <f>IF($C570="","",IF($C570="TANIMSIZ MÜŞTERİ","—",INDEX(MUSTERILER!$C$7:$C$106,MATCH($C570,MUSTERILER!$B$7:$B$106,0))))</f>
        <v/>
      </c>
      <c r="O570" s="6" t="n"/>
      <c r="P570" s="6" t="n"/>
      <c r="Q570" s="3">
        <f>IF($D570="","",$C570&amp;"|"&amp;COUNTIFS($C$7:$C570,$C570))</f>
        <v/>
      </c>
    </row>
    <row r="571">
      <c r="A571" s="6" t="n"/>
      <c r="B571" s="113">
        <f>IF($D571="","","T"&amp;TEXT(ROW()-6,"00000"))</f>
        <v/>
      </c>
      <c r="C571" s="113">
        <f>IF($D571="","",IFERROR(INDEX(MUSTERILER!$B$7:$B$106,MATCH($D571,MUSTERILER!$C$7:$C$106,0)),IFERROR(INDEX(MUSTERILER!$B$7:$B$106,MATCH($D571,MUSTERILER!$B$7:$B$106,0)),IFERROR(INDEX(MUSTERILER!$B$7:$B$106,MATCH($D571&amp;"*",MUSTERILER!$C$7:$C$106,0)),"TANIMSIZ MÜŞTERİ"))))</f>
        <v/>
      </c>
      <c r="D571" s="109" t="n"/>
      <c r="E571" s="225" t="n"/>
      <c r="F571" s="226" t="n"/>
      <c r="G571" s="108" t="n"/>
      <c r="H571" s="108" t="n"/>
      <c r="I571" s="109" t="n"/>
      <c r="J571" s="109" t="n"/>
      <c r="K571" s="109" t="n"/>
      <c r="L571" s="231">
        <f>IF($E571="","",DATE(YEAR($E571),MONTH($E571),1))</f>
        <v/>
      </c>
      <c r="M571" s="113">
        <f>IF($D571="","",IF($C571="TANIMSIZ MÜŞTERİ","HATA",IF(OR($E571="",$F571&lt;=0,$G571=""),"EKSİK",IF($E571&gt;TODAY(),"İLERİ TARİH","UYGUN"))))</f>
        <v/>
      </c>
      <c r="N571" s="121">
        <f>IF($C571="","",IF($C571="TANIMSIZ MÜŞTERİ","—",INDEX(MUSTERILER!$C$7:$C$106,MATCH($C571,MUSTERILER!$B$7:$B$106,0))))</f>
        <v/>
      </c>
      <c r="O571" s="6" t="n"/>
      <c r="P571" s="6" t="n"/>
      <c r="Q571" s="3">
        <f>IF($D571="","",$C571&amp;"|"&amp;COUNTIFS($C$7:$C571,$C571))</f>
        <v/>
      </c>
    </row>
    <row r="572">
      <c r="A572" s="6" t="n"/>
      <c r="B572" s="113">
        <f>IF($D572="","","T"&amp;TEXT(ROW()-6,"00000"))</f>
        <v/>
      </c>
      <c r="C572" s="113">
        <f>IF($D572="","",IFERROR(INDEX(MUSTERILER!$B$7:$B$106,MATCH($D572,MUSTERILER!$C$7:$C$106,0)),IFERROR(INDEX(MUSTERILER!$B$7:$B$106,MATCH($D572,MUSTERILER!$B$7:$B$106,0)),IFERROR(INDEX(MUSTERILER!$B$7:$B$106,MATCH($D572&amp;"*",MUSTERILER!$C$7:$C$106,0)),"TANIMSIZ MÜŞTERİ"))))</f>
        <v/>
      </c>
      <c r="D572" s="109" t="n"/>
      <c r="E572" s="225" t="n"/>
      <c r="F572" s="226" t="n"/>
      <c r="G572" s="108" t="n"/>
      <c r="H572" s="108" t="n"/>
      <c r="I572" s="109" t="n"/>
      <c r="J572" s="109" t="n"/>
      <c r="K572" s="109" t="n"/>
      <c r="L572" s="231">
        <f>IF($E572="","",DATE(YEAR($E572),MONTH($E572),1))</f>
        <v/>
      </c>
      <c r="M572" s="113">
        <f>IF($D572="","",IF($C572="TANIMSIZ MÜŞTERİ","HATA",IF(OR($E572="",$F572&lt;=0,$G572=""),"EKSİK",IF($E572&gt;TODAY(),"İLERİ TARİH","UYGUN"))))</f>
        <v/>
      </c>
      <c r="N572" s="121">
        <f>IF($C572="","",IF($C572="TANIMSIZ MÜŞTERİ","—",INDEX(MUSTERILER!$C$7:$C$106,MATCH($C572,MUSTERILER!$B$7:$B$106,0))))</f>
        <v/>
      </c>
      <c r="O572" s="6" t="n"/>
      <c r="P572" s="6" t="n"/>
      <c r="Q572" s="3">
        <f>IF($D572="","",$C572&amp;"|"&amp;COUNTIFS($C$7:$C572,$C572))</f>
        <v/>
      </c>
    </row>
    <row r="573">
      <c r="A573" s="6" t="n"/>
      <c r="B573" s="113">
        <f>IF($D573="","","T"&amp;TEXT(ROW()-6,"00000"))</f>
        <v/>
      </c>
      <c r="C573" s="113">
        <f>IF($D573="","",IFERROR(INDEX(MUSTERILER!$B$7:$B$106,MATCH($D573,MUSTERILER!$C$7:$C$106,0)),IFERROR(INDEX(MUSTERILER!$B$7:$B$106,MATCH($D573,MUSTERILER!$B$7:$B$106,0)),IFERROR(INDEX(MUSTERILER!$B$7:$B$106,MATCH($D573&amp;"*",MUSTERILER!$C$7:$C$106,0)),"TANIMSIZ MÜŞTERİ"))))</f>
        <v/>
      </c>
      <c r="D573" s="109" t="n"/>
      <c r="E573" s="225" t="n"/>
      <c r="F573" s="226" t="n"/>
      <c r="G573" s="108" t="n"/>
      <c r="H573" s="108" t="n"/>
      <c r="I573" s="109" t="n"/>
      <c r="J573" s="109" t="n"/>
      <c r="K573" s="109" t="n"/>
      <c r="L573" s="231">
        <f>IF($E573="","",DATE(YEAR($E573),MONTH($E573),1))</f>
        <v/>
      </c>
      <c r="M573" s="113">
        <f>IF($D573="","",IF($C573="TANIMSIZ MÜŞTERİ","HATA",IF(OR($E573="",$F573&lt;=0,$G573=""),"EKSİK",IF($E573&gt;TODAY(),"İLERİ TARİH","UYGUN"))))</f>
        <v/>
      </c>
      <c r="N573" s="121">
        <f>IF($C573="","",IF($C573="TANIMSIZ MÜŞTERİ","—",INDEX(MUSTERILER!$C$7:$C$106,MATCH($C573,MUSTERILER!$B$7:$B$106,0))))</f>
        <v/>
      </c>
      <c r="O573" s="6" t="n"/>
      <c r="P573" s="6" t="n"/>
      <c r="Q573" s="3">
        <f>IF($D573="","",$C573&amp;"|"&amp;COUNTIFS($C$7:$C573,$C573))</f>
        <v/>
      </c>
    </row>
    <row r="574">
      <c r="A574" s="6" t="n"/>
      <c r="B574" s="113">
        <f>IF($D574="","","T"&amp;TEXT(ROW()-6,"00000"))</f>
        <v/>
      </c>
      <c r="C574" s="113">
        <f>IF($D574="","",IFERROR(INDEX(MUSTERILER!$B$7:$B$106,MATCH($D574,MUSTERILER!$C$7:$C$106,0)),IFERROR(INDEX(MUSTERILER!$B$7:$B$106,MATCH($D574,MUSTERILER!$B$7:$B$106,0)),IFERROR(INDEX(MUSTERILER!$B$7:$B$106,MATCH($D574&amp;"*",MUSTERILER!$C$7:$C$106,0)),"TANIMSIZ MÜŞTERİ"))))</f>
        <v/>
      </c>
      <c r="D574" s="109" t="n"/>
      <c r="E574" s="225" t="n"/>
      <c r="F574" s="226" t="n"/>
      <c r="G574" s="108" t="n"/>
      <c r="H574" s="108" t="n"/>
      <c r="I574" s="109" t="n"/>
      <c r="J574" s="109" t="n"/>
      <c r="K574" s="109" t="n"/>
      <c r="L574" s="231">
        <f>IF($E574="","",DATE(YEAR($E574),MONTH($E574),1))</f>
        <v/>
      </c>
      <c r="M574" s="113">
        <f>IF($D574="","",IF($C574="TANIMSIZ MÜŞTERİ","HATA",IF(OR($E574="",$F574&lt;=0,$G574=""),"EKSİK",IF($E574&gt;TODAY(),"İLERİ TARİH","UYGUN"))))</f>
        <v/>
      </c>
      <c r="N574" s="121">
        <f>IF($C574="","",IF($C574="TANIMSIZ MÜŞTERİ","—",INDEX(MUSTERILER!$C$7:$C$106,MATCH($C574,MUSTERILER!$B$7:$B$106,0))))</f>
        <v/>
      </c>
      <c r="O574" s="6" t="n"/>
      <c r="P574" s="6" t="n"/>
      <c r="Q574" s="3">
        <f>IF($D574="","",$C574&amp;"|"&amp;COUNTIFS($C$7:$C574,$C574))</f>
        <v/>
      </c>
    </row>
    <row r="575">
      <c r="A575" s="6" t="n"/>
      <c r="B575" s="113">
        <f>IF($D575="","","T"&amp;TEXT(ROW()-6,"00000"))</f>
        <v/>
      </c>
      <c r="C575" s="113">
        <f>IF($D575="","",IFERROR(INDEX(MUSTERILER!$B$7:$B$106,MATCH($D575,MUSTERILER!$C$7:$C$106,0)),IFERROR(INDEX(MUSTERILER!$B$7:$B$106,MATCH($D575,MUSTERILER!$B$7:$B$106,0)),IFERROR(INDEX(MUSTERILER!$B$7:$B$106,MATCH($D575&amp;"*",MUSTERILER!$C$7:$C$106,0)),"TANIMSIZ MÜŞTERİ"))))</f>
        <v/>
      </c>
      <c r="D575" s="109" t="n"/>
      <c r="E575" s="225" t="n"/>
      <c r="F575" s="226" t="n"/>
      <c r="G575" s="108" t="n"/>
      <c r="H575" s="108" t="n"/>
      <c r="I575" s="109" t="n"/>
      <c r="J575" s="109" t="n"/>
      <c r="K575" s="109" t="n"/>
      <c r="L575" s="231">
        <f>IF($E575="","",DATE(YEAR($E575),MONTH($E575),1))</f>
        <v/>
      </c>
      <c r="M575" s="113">
        <f>IF($D575="","",IF($C575="TANIMSIZ MÜŞTERİ","HATA",IF(OR($E575="",$F575&lt;=0,$G575=""),"EKSİK",IF($E575&gt;TODAY(),"İLERİ TARİH","UYGUN"))))</f>
        <v/>
      </c>
      <c r="N575" s="121">
        <f>IF($C575="","",IF($C575="TANIMSIZ MÜŞTERİ","—",INDEX(MUSTERILER!$C$7:$C$106,MATCH($C575,MUSTERILER!$B$7:$B$106,0))))</f>
        <v/>
      </c>
      <c r="O575" s="6" t="n"/>
      <c r="P575" s="6" t="n"/>
      <c r="Q575" s="3">
        <f>IF($D575="","",$C575&amp;"|"&amp;COUNTIFS($C$7:$C575,$C575))</f>
        <v/>
      </c>
    </row>
    <row r="576">
      <c r="A576" s="6" t="n"/>
      <c r="B576" s="113">
        <f>IF($D576="","","T"&amp;TEXT(ROW()-6,"00000"))</f>
        <v/>
      </c>
      <c r="C576" s="113">
        <f>IF($D576="","",IFERROR(INDEX(MUSTERILER!$B$7:$B$106,MATCH($D576,MUSTERILER!$C$7:$C$106,0)),IFERROR(INDEX(MUSTERILER!$B$7:$B$106,MATCH($D576,MUSTERILER!$B$7:$B$106,0)),IFERROR(INDEX(MUSTERILER!$B$7:$B$106,MATCH($D576&amp;"*",MUSTERILER!$C$7:$C$106,0)),"TANIMSIZ MÜŞTERİ"))))</f>
        <v/>
      </c>
      <c r="D576" s="109" t="n"/>
      <c r="E576" s="225" t="n"/>
      <c r="F576" s="226" t="n"/>
      <c r="G576" s="108" t="n"/>
      <c r="H576" s="108" t="n"/>
      <c r="I576" s="109" t="n"/>
      <c r="J576" s="109" t="n"/>
      <c r="K576" s="109" t="n"/>
      <c r="L576" s="231">
        <f>IF($E576="","",DATE(YEAR($E576),MONTH($E576),1))</f>
        <v/>
      </c>
      <c r="M576" s="113">
        <f>IF($D576="","",IF($C576="TANIMSIZ MÜŞTERİ","HATA",IF(OR($E576="",$F576&lt;=0,$G576=""),"EKSİK",IF($E576&gt;TODAY(),"İLERİ TARİH","UYGUN"))))</f>
        <v/>
      </c>
      <c r="N576" s="121">
        <f>IF($C576="","",IF($C576="TANIMSIZ MÜŞTERİ","—",INDEX(MUSTERILER!$C$7:$C$106,MATCH($C576,MUSTERILER!$B$7:$B$106,0))))</f>
        <v/>
      </c>
      <c r="O576" s="6" t="n"/>
      <c r="P576" s="6" t="n"/>
      <c r="Q576" s="3">
        <f>IF($D576="","",$C576&amp;"|"&amp;COUNTIFS($C$7:$C576,$C576))</f>
        <v/>
      </c>
    </row>
    <row r="577">
      <c r="A577" s="6" t="n"/>
      <c r="B577" s="113">
        <f>IF($D577="","","T"&amp;TEXT(ROW()-6,"00000"))</f>
        <v/>
      </c>
      <c r="C577" s="113">
        <f>IF($D577="","",IFERROR(INDEX(MUSTERILER!$B$7:$B$106,MATCH($D577,MUSTERILER!$C$7:$C$106,0)),IFERROR(INDEX(MUSTERILER!$B$7:$B$106,MATCH($D577,MUSTERILER!$B$7:$B$106,0)),IFERROR(INDEX(MUSTERILER!$B$7:$B$106,MATCH($D577&amp;"*",MUSTERILER!$C$7:$C$106,0)),"TANIMSIZ MÜŞTERİ"))))</f>
        <v/>
      </c>
      <c r="D577" s="109" t="n"/>
      <c r="E577" s="225" t="n"/>
      <c r="F577" s="226" t="n"/>
      <c r="G577" s="108" t="n"/>
      <c r="H577" s="108" t="n"/>
      <c r="I577" s="109" t="n"/>
      <c r="J577" s="109" t="n"/>
      <c r="K577" s="109" t="n"/>
      <c r="L577" s="231">
        <f>IF($E577="","",DATE(YEAR($E577),MONTH($E577),1))</f>
        <v/>
      </c>
      <c r="M577" s="113">
        <f>IF($D577="","",IF($C577="TANIMSIZ MÜŞTERİ","HATA",IF(OR($E577="",$F577&lt;=0,$G577=""),"EKSİK",IF($E577&gt;TODAY(),"İLERİ TARİH","UYGUN"))))</f>
        <v/>
      </c>
      <c r="N577" s="121">
        <f>IF($C577="","",IF($C577="TANIMSIZ MÜŞTERİ","—",INDEX(MUSTERILER!$C$7:$C$106,MATCH($C577,MUSTERILER!$B$7:$B$106,0))))</f>
        <v/>
      </c>
      <c r="O577" s="6" t="n"/>
      <c r="P577" s="6" t="n"/>
      <c r="Q577" s="3">
        <f>IF($D577="","",$C577&amp;"|"&amp;COUNTIFS($C$7:$C577,$C577))</f>
        <v/>
      </c>
    </row>
    <row r="578">
      <c r="A578" s="6" t="n"/>
      <c r="B578" s="113">
        <f>IF($D578="","","T"&amp;TEXT(ROW()-6,"00000"))</f>
        <v/>
      </c>
      <c r="C578" s="113">
        <f>IF($D578="","",IFERROR(INDEX(MUSTERILER!$B$7:$B$106,MATCH($D578,MUSTERILER!$C$7:$C$106,0)),IFERROR(INDEX(MUSTERILER!$B$7:$B$106,MATCH($D578,MUSTERILER!$B$7:$B$106,0)),IFERROR(INDEX(MUSTERILER!$B$7:$B$106,MATCH($D578&amp;"*",MUSTERILER!$C$7:$C$106,0)),"TANIMSIZ MÜŞTERİ"))))</f>
        <v/>
      </c>
      <c r="D578" s="109" t="n"/>
      <c r="E578" s="225" t="n"/>
      <c r="F578" s="226" t="n"/>
      <c r="G578" s="108" t="n"/>
      <c r="H578" s="108" t="n"/>
      <c r="I578" s="109" t="n"/>
      <c r="J578" s="109" t="n"/>
      <c r="K578" s="109" t="n"/>
      <c r="L578" s="231">
        <f>IF($E578="","",DATE(YEAR($E578),MONTH($E578),1))</f>
        <v/>
      </c>
      <c r="M578" s="113">
        <f>IF($D578="","",IF($C578="TANIMSIZ MÜŞTERİ","HATA",IF(OR($E578="",$F578&lt;=0,$G578=""),"EKSİK",IF($E578&gt;TODAY(),"İLERİ TARİH","UYGUN"))))</f>
        <v/>
      </c>
      <c r="N578" s="121">
        <f>IF($C578="","",IF($C578="TANIMSIZ MÜŞTERİ","—",INDEX(MUSTERILER!$C$7:$C$106,MATCH($C578,MUSTERILER!$B$7:$B$106,0))))</f>
        <v/>
      </c>
      <c r="O578" s="6" t="n"/>
      <c r="P578" s="6" t="n"/>
      <c r="Q578" s="3">
        <f>IF($D578="","",$C578&amp;"|"&amp;COUNTIFS($C$7:$C578,$C578))</f>
        <v/>
      </c>
    </row>
    <row r="579">
      <c r="A579" s="6" t="n"/>
      <c r="B579" s="113">
        <f>IF($D579="","","T"&amp;TEXT(ROW()-6,"00000"))</f>
        <v/>
      </c>
      <c r="C579" s="113">
        <f>IF($D579="","",IFERROR(INDEX(MUSTERILER!$B$7:$B$106,MATCH($D579,MUSTERILER!$C$7:$C$106,0)),IFERROR(INDEX(MUSTERILER!$B$7:$B$106,MATCH($D579,MUSTERILER!$B$7:$B$106,0)),IFERROR(INDEX(MUSTERILER!$B$7:$B$106,MATCH($D579&amp;"*",MUSTERILER!$C$7:$C$106,0)),"TANIMSIZ MÜŞTERİ"))))</f>
        <v/>
      </c>
      <c r="D579" s="109" t="n"/>
      <c r="E579" s="225" t="n"/>
      <c r="F579" s="226" t="n"/>
      <c r="G579" s="108" t="n"/>
      <c r="H579" s="108" t="n"/>
      <c r="I579" s="109" t="n"/>
      <c r="J579" s="109" t="n"/>
      <c r="K579" s="109" t="n"/>
      <c r="L579" s="231">
        <f>IF($E579="","",DATE(YEAR($E579),MONTH($E579),1))</f>
        <v/>
      </c>
      <c r="M579" s="113">
        <f>IF($D579="","",IF($C579="TANIMSIZ MÜŞTERİ","HATA",IF(OR($E579="",$F579&lt;=0,$G579=""),"EKSİK",IF($E579&gt;TODAY(),"İLERİ TARİH","UYGUN"))))</f>
        <v/>
      </c>
      <c r="N579" s="121">
        <f>IF($C579="","",IF($C579="TANIMSIZ MÜŞTERİ","—",INDEX(MUSTERILER!$C$7:$C$106,MATCH($C579,MUSTERILER!$B$7:$B$106,0))))</f>
        <v/>
      </c>
      <c r="O579" s="6" t="n"/>
      <c r="P579" s="6" t="n"/>
      <c r="Q579" s="3">
        <f>IF($D579="","",$C579&amp;"|"&amp;COUNTIFS($C$7:$C579,$C579))</f>
        <v/>
      </c>
    </row>
    <row r="580">
      <c r="A580" s="6" t="n"/>
      <c r="B580" s="113">
        <f>IF($D580="","","T"&amp;TEXT(ROW()-6,"00000"))</f>
        <v/>
      </c>
      <c r="C580" s="113">
        <f>IF($D580="","",IFERROR(INDEX(MUSTERILER!$B$7:$B$106,MATCH($D580,MUSTERILER!$C$7:$C$106,0)),IFERROR(INDEX(MUSTERILER!$B$7:$B$106,MATCH($D580,MUSTERILER!$B$7:$B$106,0)),IFERROR(INDEX(MUSTERILER!$B$7:$B$106,MATCH($D580&amp;"*",MUSTERILER!$C$7:$C$106,0)),"TANIMSIZ MÜŞTERİ"))))</f>
        <v/>
      </c>
      <c r="D580" s="109" t="n"/>
      <c r="E580" s="225" t="n"/>
      <c r="F580" s="226" t="n"/>
      <c r="G580" s="108" t="n"/>
      <c r="H580" s="108" t="n"/>
      <c r="I580" s="109" t="n"/>
      <c r="J580" s="109" t="n"/>
      <c r="K580" s="109" t="n"/>
      <c r="L580" s="231">
        <f>IF($E580="","",DATE(YEAR($E580),MONTH($E580),1))</f>
        <v/>
      </c>
      <c r="M580" s="113">
        <f>IF($D580="","",IF($C580="TANIMSIZ MÜŞTERİ","HATA",IF(OR($E580="",$F580&lt;=0,$G580=""),"EKSİK",IF($E580&gt;TODAY(),"İLERİ TARİH","UYGUN"))))</f>
        <v/>
      </c>
      <c r="N580" s="121">
        <f>IF($C580="","",IF($C580="TANIMSIZ MÜŞTERİ","—",INDEX(MUSTERILER!$C$7:$C$106,MATCH($C580,MUSTERILER!$B$7:$B$106,0))))</f>
        <v/>
      </c>
      <c r="O580" s="6" t="n"/>
      <c r="P580" s="6" t="n"/>
      <c r="Q580" s="3">
        <f>IF($D580="","",$C580&amp;"|"&amp;COUNTIFS($C$7:$C580,$C580))</f>
        <v/>
      </c>
    </row>
    <row r="581">
      <c r="A581" s="6" t="n"/>
      <c r="B581" s="113">
        <f>IF($D581="","","T"&amp;TEXT(ROW()-6,"00000"))</f>
        <v/>
      </c>
      <c r="C581" s="113">
        <f>IF($D581="","",IFERROR(INDEX(MUSTERILER!$B$7:$B$106,MATCH($D581,MUSTERILER!$C$7:$C$106,0)),IFERROR(INDEX(MUSTERILER!$B$7:$B$106,MATCH($D581,MUSTERILER!$B$7:$B$106,0)),IFERROR(INDEX(MUSTERILER!$B$7:$B$106,MATCH($D581&amp;"*",MUSTERILER!$C$7:$C$106,0)),"TANIMSIZ MÜŞTERİ"))))</f>
        <v/>
      </c>
      <c r="D581" s="109" t="n"/>
      <c r="E581" s="225" t="n"/>
      <c r="F581" s="226" t="n"/>
      <c r="G581" s="108" t="n"/>
      <c r="H581" s="108" t="n"/>
      <c r="I581" s="109" t="n"/>
      <c r="J581" s="109" t="n"/>
      <c r="K581" s="109" t="n"/>
      <c r="L581" s="231">
        <f>IF($E581="","",DATE(YEAR($E581),MONTH($E581),1))</f>
        <v/>
      </c>
      <c r="M581" s="113">
        <f>IF($D581="","",IF($C581="TANIMSIZ MÜŞTERİ","HATA",IF(OR($E581="",$F581&lt;=0,$G581=""),"EKSİK",IF($E581&gt;TODAY(),"İLERİ TARİH","UYGUN"))))</f>
        <v/>
      </c>
      <c r="N581" s="121">
        <f>IF($C581="","",IF($C581="TANIMSIZ MÜŞTERİ","—",INDEX(MUSTERILER!$C$7:$C$106,MATCH($C581,MUSTERILER!$B$7:$B$106,0))))</f>
        <v/>
      </c>
      <c r="O581" s="6" t="n"/>
      <c r="P581" s="6" t="n"/>
      <c r="Q581" s="3">
        <f>IF($D581="","",$C581&amp;"|"&amp;COUNTIFS($C$7:$C581,$C581))</f>
        <v/>
      </c>
    </row>
    <row r="582">
      <c r="A582" s="6" t="n"/>
      <c r="B582" s="113">
        <f>IF($D582="","","T"&amp;TEXT(ROW()-6,"00000"))</f>
        <v/>
      </c>
      <c r="C582" s="113">
        <f>IF($D582="","",IFERROR(INDEX(MUSTERILER!$B$7:$B$106,MATCH($D582,MUSTERILER!$C$7:$C$106,0)),IFERROR(INDEX(MUSTERILER!$B$7:$B$106,MATCH($D582,MUSTERILER!$B$7:$B$106,0)),IFERROR(INDEX(MUSTERILER!$B$7:$B$106,MATCH($D582&amp;"*",MUSTERILER!$C$7:$C$106,0)),"TANIMSIZ MÜŞTERİ"))))</f>
        <v/>
      </c>
      <c r="D582" s="109" t="n"/>
      <c r="E582" s="225" t="n"/>
      <c r="F582" s="226" t="n"/>
      <c r="G582" s="108" t="n"/>
      <c r="H582" s="108" t="n"/>
      <c r="I582" s="109" t="n"/>
      <c r="J582" s="109" t="n"/>
      <c r="K582" s="109" t="n"/>
      <c r="L582" s="231">
        <f>IF($E582="","",DATE(YEAR($E582),MONTH($E582),1))</f>
        <v/>
      </c>
      <c r="M582" s="113">
        <f>IF($D582="","",IF($C582="TANIMSIZ MÜŞTERİ","HATA",IF(OR($E582="",$F582&lt;=0,$G582=""),"EKSİK",IF($E582&gt;TODAY(),"İLERİ TARİH","UYGUN"))))</f>
        <v/>
      </c>
      <c r="N582" s="121">
        <f>IF($C582="","",IF($C582="TANIMSIZ MÜŞTERİ","—",INDEX(MUSTERILER!$C$7:$C$106,MATCH($C582,MUSTERILER!$B$7:$B$106,0))))</f>
        <v/>
      </c>
      <c r="O582" s="6" t="n"/>
      <c r="P582" s="6" t="n"/>
      <c r="Q582" s="3">
        <f>IF($D582="","",$C582&amp;"|"&amp;COUNTIFS($C$7:$C582,$C582))</f>
        <v/>
      </c>
    </row>
    <row r="583">
      <c r="A583" s="6" t="n"/>
      <c r="B583" s="113">
        <f>IF($D583="","","T"&amp;TEXT(ROW()-6,"00000"))</f>
        <v/>
      </c>
      <c r="C583" s="113">
        <f>IF($D583="","",IFERROR(INDEX(MUSTERILER!$B$7:$B$106,MATCH($D583,MUSTERILER!$C$7:$C$106,0)),IFERROR(INDEX(MUSTERILER!$B$7:$B$106,MATCH($D583,MUSTERILER!$B$7:$B$106,0)),IFERROR(INDEX(MUSTERILER!$B$7:$B$106,MATCH($D583&amp;"*",MUSTERILER!$C$7:$C$106,0)),"TANIMSIZ MÜŞTERİ"))))</f>
        <v/>
      </c>
      <c r="D583" s="109" t="n"/>
      <c r="E583" s="225" t="n"/>
      <c r="F583" s="226" t="n"/>
      <c r="G583" s="108" t="n"/>
      <c r="H583" s="108" t="n"/>
      <c r="I583" s="109" t="n"/>
      <c r="J583" s="109" t="n"/>
      <c r="K583" s="109" t="n"/>
      <c r="L583" s="231">
        <f>IF($E583="","",DATE(YEAR($E583),MONTH($E583),1))</f>
        <v/>
      </c>
      <c r="M583" s="113">
        <f>IF($D583="","",IF($C583="TANIMSIZ MÜŞTERİ","HATA",IF(OR($E583="",$F583&lt;=0,$G583=""),"EKSİK",IF($E583&gt;TODAY(),"İLERİ TARİH","UYGUN"))))</f>
        <v/>
      </c>
      <c r="N583" s="121">
        <f>IF($C583="","",IF($C583="TANIMSIZ MÜŞTERİ","—",INDEX(MUSTERILER!$C$7:$C$106,MATCH($C583,MUSTERILER!$B$7:$B$106,0))))</f>
        <v/>
      </c>
      <c r="O583" s="6" t="n"/>
      <c r="P583" s="6" t="n"/>
      <c r="Q583" s="3">
        <f>IF($D583="","",$C583&amp;"|"&amp;COUNTIFS($C$7:$C583,$C583))</f>
        <v/>
      </c>
    </row>
    <row r="584">
      <c r="A584" s="6" t="n"/>
      <c r="B584" s="113">
        <f>IF($D584="","","T"&amp;TEXT(ROW()-6,"00000"))</f>
        <v/>
      </c>
      <c r="C584" s="113">
        <f>IF($D584="","",IFERROR(INDEX(MUSTERILER!$B$7:$B$106,MATCH($D584,MUSTERILER!$C$7:$C$106,0)),IFERROR(INDEX(MUSTERILER!$B$7:$B$106,MATCH($D584,MUSTERILER!$B$7:$B$106,0)),IFERROR(INDEX(MUSTERILER!$B$7:$B$106,MATCH($D584&amp;"*",MUSTERILER!$C$7:$C$106,0)),"TANIMSIZ MÜŞTERİ"))))</f>
        <v/>
      </c>
      <c r="D584" s="109" t="n"/>
      <c r="E584" s="225" t="n"/>
      <c r="F584" s="226" t="n"/>
      <c r="G584" s="108" t="n"/>
      <c r="H584" s="108" t="n"/>
      <c r="I584" s="109" t="n"/>
      <c r="J584" s="109" t="n"/>
      <c r="K584" s="109" t="n"/>
      <c r="L584" s="231">
        <f>IF($E584="","",DATE(YEAR($E584),MONTH($E584),1))</f>
        <v/>
      </c>
      <c r="M584" s="113">
        <f>IF($D584="","",IF($C584="TANIMSIZ MÜŞTERİ","HATA",IF(OR($E584="",$F584&lt;=0,$G584=""),"EKSİK",IF($E584&gt;TODAY(),"İLERİ TARİH","UYGUN"))))</f>
        <v/>
      </c>
      <c r="N584" s="121">
        <f>IF($C584="","",IF($C584="TANIMSIZ MÜŞTERİ","—",INDEX(MUSTERILER!$C$7:$C$106,MATCH($C584,MUSTERILER!$B$7:$B$106,0))))</f>
        <v/>
      </c>
      <c r="O584" s="6" t="n"/>
      <c r="P584" s="6" t="n"/>
      <c r="Q584" s="3">
        <f>IF($D584="","",$C584&amp;"|"&amp;COUNTIFS($C$7:$C584,$C584))</f>
        <v/>
      </c>
    </row>
    <row r="585">
      <c r="A585" s="6" t="n"/>
      <c r="B585" s="113">
        <f>IF($D585="","","T"&amp;TEXT(ROW()-6,"00000"))</f>
        <v/>
      </c>
      <c r="C585" s="113">
        <f>IF($D585="","",IFERROR(INDEX(MUSTERILER!$B$7:$B$106,MATCH($D585,MUSTERILER!$C$7:$C$106,0)),IFERROR(INDEX(MUSTERILER!$B$7:$B$106,MATCH($D585,MUSTERILER!$B$7:$B$106,0)),IFERROR(INDEX(MUSTERILER!$B$7:$B$106,MATCH($D585&amp;"*",MUSTERILER!$C$7:$C$106,0)),"TANIMSIZ MÜŞTERİ"))))</f>
        <v/>
      </c>
      <c r="D585" s="109" t="n"/>
      <c r="E585" s="225" t="n"/>
      <c r="F585" s="226" t="n"/>
      <c r="G585" s="108" t="n"/>
      <c r="H585" s="108" t="n"/>
      <c r="I585" s="109" t="n"/>
      <c r="J585" s="109" t="n"/>
      <c r="K585" s="109" t="n"/>
      <c r="L585" s="231">
        <f>IF($E585="","",DATE(YEAR($E585),MONTH($E585),1))</f>
        <v/>
      </c>
      <c r="M585" s="113">
        <f>IF($D585="","",IF($C585="TANIMSIZ MÜŞTERİ","HATA",IF(OR($E585="",$F585&lt;=0,$G585=""),"EKSİK",IF($E585&gt;TODAY(),"İLERİ TARİH","UYGUN"))))</f>
        <v/>
      </c>
      <c r="N585" s="121">
        <f>IF($C585="","",IF($C585="TANIMSIZ MÜŞTERİ","—",INDEX(MUSTERILER!$C$7:$C$106,MATCH($C585,MUSTERILER!$B$7:$B$106,0))))</f>
        <v/>
      </c>
      <c r="O585" s="6" t="n"/>
      <c r="P585" s="6" t="n"/>
      <c r="Q585" s="3">
        <f>IF($D585="","",$C585&amp;"|"&amp;COUNTIFS($C$7:$C585,$C585))</f>
        <v/>
      </c>
    </row>
    <row r="586">
      <c r="A586" s="6" t="n"/>
      <c r="B586" s="113">
        <f>IF($D586="","","T"&amp;TEXT(ROW()-6,"00000"))</f>
        <v/>
      </c>
      <c r="C586" s="113">
        <f>IF($D586="","",IFERROR(INDEX(MUSTERILER!$B$7:$B$106,MATCH($D586,MUSTERILER!$C$7:$C$106,0)),IFERROR(INDEX(MUSTERILER!$B$7:$B$106,MATCH($D586,MUSTERILER!$B$7:$B$106,0)),IFERROR(INDEX(MUSTERILER!$B$7:$B$106,MATCH($D586&amp;"*",MUSTERILER!$C$7:$C$106,0)),"TANIMSIZ MÜŞTERİ"))))</f>
        <v/>
      </c>
      <c r="D586" s="109" t="n"/>
      <c r="E586" s="225" t="n"/>
      <c r="F586" s="226" t="n"/>
      <c r="G586" s="108" t="n"/>
      <c r="H586" s="108" t="n"/>
      <c r="I586" s="109" t="n"/>
      <c r="J586" s="109" t="n"/>
      <c r="K586" s="109" t="n"/>
      <c r="L586" s="231">
        <f>IF($E586="","",DATE(YEAR($E586),MONTH($E586),1))</f>
        <v/>
      </c>
      <c r="M586" s="113">
        <f>IF($D586="","",IF($C586="TANIMSIZ MÜŞTERİ","HATA",IF(OR($E586="",$F586&lt;=0,$G586=""),"EKSİK",IF($E586&gt;TODAY(),"İLERİ TARİH","UYGUN"))))</f>
        <v/>
      </c>
      <c r="N586" s="121">
        <f>IF($C586="","",IF($C586="TANIMSIZ MÜŞTERİ","—",INDEX(MUSTERILER!$C$7:$C$106,MATCH($C586,MUSTERILER!$B$7:$B$106,0))))</f>
        <v/>
      </c>
      <c r="O586" s="6" t="n"/>
      <c r="P586" s="6" t="n"/>
      <c r="Q586" s="3">
        <f>IF($D586="","",$C586&amp;"|"&amp;COUNTIFS($C$7:$C586,$C586))</f>
        <v/>
      </c>
    </row>
    <row r="587">
      <c r="A587" s="6" t="n"/>
      <c r="B587" s="113">
        <f>IF($D587="","","T"&amp;TEXT(ROW()-6,"00000"))</f>
        <v/>
      </c>
      <c r="C587" s="113">
        <f>IF($D587="","",IFERROR(INDEX(MUSTERILER!$B$7:$B$106,MATCH($D587,MUSTERILER!$C$7:$C$106,0)),IFERROR(INDEX(MUSTERILER!$B$7:$B$106,MATCH($D587,MUSTERILER!$B$7:$B$106,0)),IFERROR(INDEX(MUSTERILER!$B$7:$B$106,MATCH($D587&amp;"*",MUSTERILER!$C$7:$C$106,0)),"TANIMSIZ MÜŞTERİ"))))</f>
        <v/>
      </c>
      <c r="D587" s="109" t="n"/>
      <c r="E587" s="225" t="n"/>
      <c r="F587" s="226" t="n"/>
      <c r="G587" s="108" t="n"/>
      <c r="H587" s="108" t="n"/>
      <c r="I587" s="109" t="n"/>
      <c r="J587" s="109" t="n"/>
      <c r="K587" s="109" t="n"/>
      <c r="L587" s="231">
        <f>IF($E587="","",DATE(YEAR($E587),MONTH($E587),1))</f>
        <v/>
      </c>
      <c r="M587" s="113">
        <f>IF($D587="","",IF($C587="TANIMSIZ MÜŞTERİ","HATA",IF(OR($E587="",$F587&lt;=0,$G587=""),"EKSİK",IF($E587&gt;TODAY(),"İLERİ TARİH","UYGUN"))))</f>
        <v/>
      </c>
      <c r="N587" s="121">
        <f>IF($C587="","",IF($C587="TANIMSIZ MÜŞTERİ","—",INDEX(MUSTERILER!$C$7:$C$106,MATCH($C587,MUSTERILER!$B$7:$B$106,0))))</f>
        <v/>
      </c>
      <c r="O587" s="6" t="n"/>
      <c r="P587" s="6" t="n"/>
      <c r="Q587" s="3">
        <f>IF($D587="","",$C587&amp;"|"&amp;COUNTIFS($C$7:$C587,$C587))</f>
        <v/>
      </c>
    </row>
    <row r="588">
      <c r="A588" s="6" t="n"/>
      <c r="B588" s="113">
        <f>IF($D588="","","T"&amp;TEXT(ROW()-6,"00000"))</f>
        <v/>
      </c>
      <c r="C588" s="113">
        <f>IF($D588="","",IFERROR(INDEX(MUSTERILER!$B$7:$B$106,MATCH($D588,MUSTERILER!$C$7:$C$106,0)),IFERROR(INDEX(MUSTERILER!$B$7:$B$106,MATCH($D588,MUSTERILER!$B$7:$B$106,0)),IFERROR(INDEX(MUSTERILER!$B$7:$B$106,MATCH($D588&amp;"*",MUSTERILER!$C$7:$C$106,0)),"TANIMSIZ MÜŞTERİ"))))</f>
        <v/>
      </c>
      <c r="D588" s="109" t="n"/>
      <c r="E588" s="225" t="n"/>
      <c r="F588" s="226" t="n"/>
      <c r="G588" s="108" t="n"/>
      <c r="H588" s="108" t="n"/>
      <c r="I588" s="109" t="n"/>
      <c r="J588" s="109" t="n"/>
      <c r="K588" s="109" t="n"/>
      <c r="L588" s="231">
        <f>IF($E588="","",DATE(YEAR($E588),MONTH($E588),1))</f>
        <v/>
      </c>
      <c r="M588" s="113">
        <f>IF($D588="","",IF($C588="TANIMSIZ MÜŞTERİ","HATA",IF(OR($E588="",$F588&lt;=0,$G588=""),"EKSİK",IF($E588&gt;TODAY(),"İLERİ TARİH","UYGUN"))))</f>
        <v/>
      </c>
      <c r="N588" s="121">
        <f>IF($C588="","",IF($C588="TANIMSIZ MÜŞTERİ","—",INDEX(MUSTERILER!$C$7:$C$106,MATCH($C588,MUSTERILER!$B$7:$B$106,0))))</f>
        <v/>
      </c>
      <c r="O588" s="6" t="n"/>
      <c r="P588" s="6" t="n"/>
      <c r="Q588" s="3">
        <f>IF($D588="","",$C588&amp;"|"&amp;COUNTIFS($C$7:$C588,$C588))</f>
        <v/>
      </c>
    </row>
    <row r="589">
      <c r="A589" s="6" t="n"/>
      <c r="B589" s="113">
        <f>IF($D589="","","T"&amp;TEXT(ROW()-6,"00000"))</f>
        <v/>
      </c>
      <c r="C589" s="113">
        <f>IF($D589="","",IFERROR(INDEX(MUSTERILER!$B$7:$B$106,MATCH($D589,MUSTERILER!$C$7:$C$106,0)),IFERROR(INDEX(MUSTERILER!$B$7:$B$106,MATCH($D589,MUSTERILER!$B$7:$B$106,0)),IFERROR(INDEX(MUSTERILER!$B$7:$B$106,MATCH($D589&amp;"*",MUSTERILER!$C$7:$C$106,0)),"TANIMSIZ MÜŞTERİ"))))</f>
        <v/>
      </c>
      <c r="D589" s="109" t="n"/>
      <c r="E589" s="225" t="n"/>
      <c r="F589" s="226" t="n"/>
      <c r="G589" s="108" t="n"/>
      <c r="H589" s="108" t="n"/>
      <c r="I589" s="109" t="n"/>
      <c r="J589" s="109" t="n"/>
      <c r="K589" s="109" t="n"/>
      <c r="L589" s="231">
        <f>IF($E589="","",DATE(YEAR($E589),MONTH($E589),1))</f>
        <v/>
      </c>
      <c r="M589" s="113">
        <f>IF($D589="","",IF($C589="TANIMSIZ MÜŞTERİ","HATA",IF(OR($E589="",$F589&lt;=0,$G589=""),"EKSİK",IF($E589&gt;TODAY(),"İLERİ TARİH","UYGUN"))))</f>
        <v/>
      </c>
      <c r="N589" s="121">
        <f>IF($C589="","",IF($C589="TANIMSIZ MÜŞTERİ","—",INDEX(MUSTERILER!$C$7:$C$106,MATCH($C589,MUSTERILER!$B$7:$B$106,0))))</f>
        <v/>
      </c>
      <c r="O589" s="6" t="n"/>
      <c r="P589" s="6" t="n"/>
      <c r="Q589" s="3">
        <f>IF($D589="","",$C589&amp;"|"&amp;COUNTIFS($C$7:$C589,$C589))</f>
        <v/>
      </c>
    </row>
    <row r="590">
      <c r="A590" s="6" t="n"/>
      <c r="B590" s="113">
        <f>IF($D590="","","T"&amp;TEXT(ROW()-6,"00000"))</f>
        <v/>
      </c>
      <c r="C590" s="113">
        <f>IF($D590="","",IFERROR(INDEX(MUSTERILER!$B$7:$B$106,MATCH($D590,MUSTERILER!$C$7:$C$106,0)),IFERROR(INDEX(MUSTERILER!$B$7:$B$106,MATCH($D590,MUSTERILER!$B$7:$B$106,0)),IFERROR(INDEX(MUSTERILER!$B$7:$B$106,MATCH($D590&amp;"*",MUSTERILER!$C$7:$C$106,0)),"TANIMSIZ MÜŞTERİ"))))</f>
        <v/>
      </c>
      <c r="D590" s="109" t="n"/>
      <c r="E590" s="225" t="n"/>
      <c r="F590" s="226" t="n"/>
      <c r="G590" s="108" t="n"/>
      <c r="H590" s="108" t="n"/>
      <c r="I590" s="109" t="n"/>
      <c r="J590" s="109" t="n"/>
      <c r="K590" s="109" t="n"/>
      <c r="L590" s="231">
        <f>IF($E590="","",DATE(YEAR($E590),MONTH($E590),1))</f>
        <v/>
      </c>
      <c r="M590" s="113">
        <f>IF($D590="","",IF($C590="TANIMSIZ MÜŞTERİ","HATA",IF(OR($E590="",$F590&lt;=0,$G590=""),"EKSİK",IF($E590&gt;TODAY(),"İLERİ TARİH","UYGUN"))))</f>
        <v/>
      </c>
      <c r="N590" s="121">
        <f>IF($C590="","",IF($C590="TANIMSIZ MÜŞTERİ","—",INDEX(MUSTERILER!$C$7:$C$106,MATCH($C590,MUSTERILER!$B$7:$B$106,0))))</f>
        <v/>
      </c>
      <c r="O590" s="6" t="n"/>
      <c r="P590" s="6" t="n"/>
      <c r="Q590" s="3">
        <f>IF($D590="","",$C590&amp;"|"&amp;COUNTIFS($C$7:$C590,$C590))</f>
        <v/>
      </c>
    </row>
    <row r="591">
      <c r="A591" s="6" t="n"/>
      <c r="B591" s="113">
        <f>IF($D591="","","T"&amp;TEXT(ROW()-6,"00000"))</f>
        <v/>
      </c>
      <c r="C591" s="113">
        <f>IF($D591="","",IFERROR(INDEX(MUSTERILER!$B$7:$B$106,MATCH($D591,MUSTERILER!$C$7:$C$106,0)),IFERROR(INDEX(MUSTERILER!$B$7:$B$106,MATCH($D591,MUSTERILER!$B$7:$B$106,0)),IFERROR(INDEX(MUSTERILER!$B$7:$B$106,MATCH($D591&amp;"*",MUSTERILER!$C$7:$C$106,0)),"TANIMSIZ MÜŞTERİ"))))</f>
        <v/>
      </c>
      <c r="D591" s="109" t="n"/>
      <c r="E591" s="225" t="n"/>
      <c r="F591" s="226" t="n"/>
      <c r="G591" s="108" t="n"/>
      <c r="H591" s="108" t="n"/>
      <c r="I591" s="109" t="n"/>
      <c r="J591" s="109" t="n"/>
      <c r="K591" s="109" t="n"/>
      <c r="L591" s="231">
        <f>IF($E591="","",DATE(YEAR($E591),MONTH($E591),1))</f>
        <v/>
      </c>
      <c r="M591" s="113">
        <f>IF($D591="","",IF($C591="TANIMSIZ MÜŞTERİ","HATA",IF(OR($E591="",$F591&lt;=0,$G591=""),"EKSİK",IF($E591&gt;TODAY(),"İLERİ TARİH","UYGUN"))))</f>
        <v/>
      </c>
      <c r="N591" s="121">
        <f>IF($C591="","",IF($C591="TANIMSIZ MÜŞTERİ","—",INDEX(MUSTERILER!$C$7:$C$106,MATCH($C591,MUSTERILER!$B$7:$B$106,0))))</f>
        <v/>
      </c>
      <c r="O591" s="6" t="n"/>
      <c r="P591" s="6" t="n"/>
      <c r="Q591" s="3">
        <f>IF($D591="","",$C591&amp;"|"&amp;COUNTIFS($C$7:$C591,$C591))</f>
        <v/>
      </c>
    </row>
    <row r="592">
      <c r="A592" s="6" t="n"/>
      <c r="B592" s="113">
        <f>IF($D592="","","T"&amp;TEXT(ROW()-6,"00000"))</f>
        <v/>
      </c>
      <c r="C592" s="113">
        <f>IF($D592="","",IFERROR(INDEX(MUSTERILER!$B$7:$B$106,MATCH($D592,MUSTERILER!$C$7:$C$106,0)),IFERROR(INDEX(MUSTERILER!$B$7:$B$106,MATCH($D592,MUSTERILER!$B$7:$B$106,0)),IFERROR(INDEX(MUSTERILER!$B$7:$B$106,MATCH($D592&amp;"*",MUSTERILER!$C$7:$C$106,0)),"TANIMSIZ MÜŞTERİ"))))</f>
        <v/>
      </c>
      <c r="D592" s="109" t="n"/>
      <c r="E592" s="225" t="n"/>
      <c r="F592" s="226" t="n"/>
      <c r="G592" s="108" t="n"/>
      <c r="H592" s="108" t="n"/>
      <c r="I592" s="109" t="n"/>
      <c r="J592" s="109" t="n"/>
      <c r="K592" s="109" t="n"/>
      <c r="L592" s="231">
        <f>IF($E592="","",DATE(YEAR($E592),MONTH($E592),1))</f>
        <v/>
      </c>
      <c r="M592" s="113">
        <f>IF($D592="","",IF($C592="TANIMSIZ MÜŞTERİ","HATA",IF(OR($E592="",$F592&lt;=0,$G592=""),"EKSİK",IF($E592&gt;TODAY(),"İLERİ TARİH","UYGUN"))))</f>
        <v/>
      </c>
      <c r="N592" s="121">
        <f>IF($C592="","",IF($C592="TANIMSIZ MÜŞTERİ","—",INDEX(MUSTERILER!$C$7:$C$106,MATCH($C592,MUSTERILER!$B$7:$B$106,0))))</f>
        <v/>
      </c>
      <c r="O592" s="6" t="n"/>
      <c r="P592" s="6" t="n"/>
      <c r="Q592" s="3">
        <f>IF($D592="","",$C592&amp;"|"&amp;COUNTIFS($C$7:$C592,$C592))</f>
        <v/>
      </c>
    </row>
    <row r="593">
      <c r="A593" s="6" t="n"/>
      <c r="B593" s="113">
        <f>IF($D593="","","T"&amp;TEXT(ROW()-6,"00000"))</f>
        <v/>
      </c>
      <c r="C593" s="113">
        <f>IF($D593="","",IFERROR(INDEX(MUSTERILER!$B$7:$B$106,MATCH($D593,MUSTERILER!$C$7:$C$106,0)),IFERROR(INDEX(MUSTERILER!$B$7:$B$106,MATCH($D593,MUSTERILER!$B$7:$B$106,0)),IFERROR(INDEX(MUSTERILER!$B$7:$B$106,MATCH($D593&amp;"*",MUSTERILER!$C$7:$C$106,0)),"TANIMSIZ MÜŞTERİ"))))</f>
        <v/>
      </c>
      <c r="D593" s="109" t="n"/>
      <c r="E593" s="225" t="n"/>
      <c r="F593" s="226" t="n"/>
      <c r="G593" s="108" t="n"/>
      <c r="H593" s="108" t="n"/>
      <c r="I593" s="109" t="n"/>
      <c r="J593" s="109" t="n"/>
      <c r="K593" s="109" t="n"/>
      <c r="L593" s="231">
        <f>IF($E593="","",DATE(YEAR($E593),MONTH($E593),1))</f>
        <v/>
      </c>
      <c r="M593" s="113">
        <f>IF($D593="","",IF($C593="TANIMSIZ MÜŞTERİ","HATA",IF(OR($E593="",$F593&lt;=0,$G593=""),"EKSİK",IF($E593&gt;TODAY(),"İLERİ TARİH","UYGUN"))))</f>
        <v/>
      </c>
      <c r="N593" s="121">
        <f>IF($C593="","",IF($C593="TANIMSIZ MÜŞTERİ","—",INDEX(MUSTERILER!$C$7:$C$106,MATCH($C593,MUSTERILER!$B$7:$B$106,0))))</f>
        <v/>
      </c>
      <c r="O593" s="6" t="n"/>
      <c r="P593" s="6" t="n"/>
      <c r="Q593" s="3">
        <f>IF($D593="","",$C593&amp;"|"&amp;COUNTIFS($C$7:$C593,$C593))</f>
        <v/>
      </c>
    </row>
    <row r="594">
      <c r="A594" s="6" t="n"/>
      <c r="B594" s="113">
        <f>IF($D594="","","T"&amp;TEXT(ROW()-6,"00000"))</f>
        <v/>
      </c>
      <c r="C594" s="113">
        <f>IF($D594="","",IFERROR(INDEX(MUSTERILER!$B$7:$B$106,MATCH($D594,MUSTERILER!$C$7:$C$106,0)),IFERROR(INDEX(MUSTERILER!$B$7:$B$106,MATCH($D594,MUSTERILER!$B$7:$B$106,0)),IFERROR(INDEX(MUSTERILER!$B$7:$B$106,MATCH($D594&amp;"*",MUSTERILER!$C$7:$C$106,0)),"TANIMSIZ MÜŞTERİ"))))</f>
        <v/>
      </c>
      <c r="D594" s="109" t="n"/>
      <c r="E594" s="225" t="n"/>
      <c r="F594" s="226" t="n"/>
      <c r="G594" s="108" t="n"/>
      <c r="H594" s="108" t="n"/>
      <c r="I594" s="109" t="n"/>
      <c r="J594" s="109" t="n"/>
      <c r="K594" s="109" t="n"/>
      <c r="L594" s="231">
        <f>IF($E594="","",DATE(YEAR($E594),MONTH($E594),1))</f>
        <v/>
      </c>
      <c r="M594" s="113">
        <f>IF($D594="","",IF($C594="TANIMSIZ MÜŞTERİ","HATA",IF(OR($E594="",$F594&lt;=0,$G594=""),"EKSİK",IF($E594&gt;TODAY(),"İLERİ TARİH","UYGUN"))))</f>
        <v/>
      </c>
      <c r="N594" s="121">
        <f>IF($C594="","",IF($C594="TANIMSIZ MÜŞTERİ","—",INDEX(MUSTERILER!$C$7:$C$106,MATCH($C594,MUSTERILER!$B$7:$B$106,0))))</f>
        <v/>
      </c>
      <c r="O594" s="6" t="n"/>
      <c r="P594" s="6" t="n"/>
      <c r="Q594" s="3">
        <f>IF($D594="","",$C594&amp;"|"&amp;COUNTIFS($C$7:$C594,$C594))</f>
        <v/>
      </c>
    </row>
    <row r="595">
      <c r="A595" s="6" t="n"/>
      <c r="B595" s="113">
        <f>IF($D595="","","T"&amp;TEXT(ROW()-6,"00000"))</f>
        <v/>
      </c>
      <c r="C595" s="113">
        <f>IF($D595="","",IFERROR(INDEX(MUSTERILER!$B$7:$B$106,MATCH($D595,MUSTERILER!$C$7:$C$106,0)),IFERROR(INDEX(MUSTERILER!$B$7:$B$106,MATCH($D595,MUSTERILER!$B$7:$B$106,0)),IFERROR(INDEX(MUSTERILER!$B$7:$B$106,MATCH($D595&amp;"*",MUSTERILER!$C$7:$C$106,0)),"TANIMSIZ MÜŞTERİ"))))</f>
        <v/>
      </c>
      <c r="D595" s="109" t="n"/>
      <c r="E595" s="225" t="n"/>
      <c r="F595" s="226" t="n"/>
      <c r="G595" s="108" t="n"/>
      <c r="H595" s="108" t="n"/>
      <c r="I595" s="109" t="n"/>
      <c r="J595" s="109" t="n"/>
      <c r="K595" s="109" t="n"/>
      <c r="L595" s="231">
        <f>IF($E595="","",DATE(YEAR($E595),MONTH($E595),1))</f>
        <v/>
      </c>
      <c r="M595" s="113">
        <f>IF($D595="","",IF($C595="TANIMSIZ MÜŞTERİ","HATA",IF(OR($E595="",$F595&lt;=0,$G595=""),"EKSİK",IF($E595&gt;TODAY(),"İLERİ TARİH","UYGUN"))))</f>
        <v/>
      </c>
      <c r="N595" s="121">
        <f>IF($C595="","",IF($C595="TANIMSIZ MÜŞTERİ","—",INDEX(MUSTERILER!$C$7:$C$106,MATCH($C595,MUSTERILER!$B$7:$B$106,0))))</f>
        <v/>
      </c>
      <c r="O595" s="6" t="n"/>
      <c r="P595" s="6" t="n"/>
      <c r="Q595" s="3">
        <f>IF($D595="","",$C595&amp;"|"&amp;COUNTIFS($C$7:$C595,$C595))</f>
        <v/>
      </c>
    </row>
    <row r="596">
      <c r="A596" s="6" t="n"/>
      <c r="B596" s="113">
        <f>IF($D596="","","T"&amp;TEXT(ROW()-6,"00000"))</f>
        <v/>
      </c>
      <c r="C596" s="113">
        <f>IF($D596="","",IFERROR(INDEX(MUSTERILER!$B$7:$B$106,MATCH($D596,MUSTERILER!$C$7:$C$106,0)),IFERROR(INDEX(MUSTERILER!$B$7:$B$106,MATCH($D596,MUSTERILER!$B$7:$B$106,0)),IFERROR(INDEX(MUSTERILER!$B$7:$B$106,MATCH($D596&amp;"*",MUSTERILER!$C$7:$C$106,0)),"TANIMSIZ MÜŞTERİ"))))</f>
        <v/>
      </c>
      <c r="D596" s="109" t="n"/>
      <c r="E596" s="225" t="n"/>
      <c r="F596" s="226" t="n"/>
      <c r="G596" s="108" t="n"/>
      <c r="H596" s="108" t="n"/>
      <c r="I596" s="109" t="n"/>
      <c r="J596" s="109" t="n"/>
      <c r="K596" s="109" t="n"/>
      <c r="L596" s="231">
        <f>IF($E596="","",DATE(YEAR($E596),MONTH($E596),1))</f>
        <v/>
      </c>
      <c r="M596" s="113">
        <f>IF($D596="","",IF($C596="TANIMSIZ MÜŞTERİ","HATA",IF(OR($E596="",$F596&lt;=0,$G596=""),"EKSİK",IF($E596&gt;TODAY(),"İLERİ TARİH","UYGUN"))))</f>
        <v/>
      </c>
      <c r="N596" s="121">
        <f>IF($C596="","",IF($C596="TANIMSIZ MÜŞTERİ","—",INDEX(MUSTERILER!$C$7:$C$106,MATCH($C596,MUSTERILER!$B$7:$B$106,0))))</f>
        <v/>
      </c>
      <c r="O596" s="6" t="n"/>
      <c r="P596" s="6" t="n"/>
      <c r="Q596" s="3">
        <f>IF($D596="","",$C596&amp;"|"&amp;COUNTIFS($C$7:$C596,$C596))</f>
        <v/>
      </c>
    </row>
    <row r="597">
      <c r="A597" s="6" t="n"/>
      <c r="B597" s="113">
        <f>IF($D597="","","T"&amp;TEXT(ROW()-6,"00000"))</f>
        <v/>
      </c>
      <c r="C597" s="113">
        <f>IF($D597="","",IFERROR(INDEX(MUSTERILER!$B$7:$B$106,MATCH($D597,MUSTERILER!$C$7:$C$106,0)),IFERROR(INDEX(MUSTERILER!$B$7:$B$106,MATCH($D597,MUSTERILER!$B$7:$B$106,0)),IFERROR(INDEX(MUSTERILER!$B$7:$B$106,MATCH($D597&amp;"*",MUSTERILER!$C$7:$C$106,0)),"TANIMSIZ MÜŞTERİ"))))</f>
        <v/>
      </c>
      <c r="D597" s="109" t="n"/>
      <c r="E597" s="225" t="n"/>
      <c r="F597" s="226" t="n"/>
      <c r="G597" s="108" t="n"/>
      <c r="H597" s="108" t="n"/>
      <c r="I597" s="109" t="n"/>
      <c r="J597" s="109" t="n"/>
      <c r="K597" s="109" t="n"/>
      <c r="L597" s="231">
        <f>IF($E597="","",DATE(YEAR($E597),MONTH($E597),1))</f>
        <v/>
      </c>
      <c r="M597" s="113">
        <f>IF($D597="","",IF($C597="TANIMSIZ MÜŞTERİ","HATA",IF(OR($E597="",$F597&lt;=0,$G597=""),"EKSİK",IF($E597&gt;TODAY(),"İLERİ TARİH","UYGUN"))))</f>
        <v/>
      </c>
      <c r="N597" s="121">
        <f>IF($C597="","",IF($C597="TANIMSIZ MÜŞTERİ","—",INDEX(MUSTERILER!$C$7:$C$106,MATCH($C597,MUSTERILER!$B$7:$B$106,0))))</f>
        <v/>
      </c>
      <c r="O597" s="6" t="n"/>
      <c r="P597" s="6" t="n"/>
      <c r="Q597" s="3">
        <f>IF($D597="","",$C597&amp;"|"&amp;COUNTIFS($C$7:$C597,$C597))</f>
        <v/>
      </c>
    </row>
    <row r="598">
      <c r="A598" s="6" t="n"/>
      <c r="B598" s="113">
        <f>IF($D598="","","T"&amp;TEXT(ROW()-6,"00000"))</f>
        <v/>
      </c>
      <c r="C598" s="113">
        <f>IF($D598="","",IFERROR(INDEX(MUSTERILER!$B$7:$B$106,MATCH($D598,MUSTERILER!$C$7:$C$106,0)),IFERROR(INDEX(MUSTERILER!$B$7:$B$106,MATCH($D598,MUSTERILER!$B$7:$B$106,0)),IFERROR(INDEX(MUSTERILER!$B$7:$B$106,MATCH($D598&amp;"*",MUSTERILER!$C$7:$C$106,0)),"TANIMSIZ MÜŞTERİ"))))</f>
        <v/>
      </c>
      <c r="D598" s="109" t="n"/>
      <c r="E598" s="225" t="n"/>
      <c r="F598" s="226" t="n"/>
      <c r="G598" s="108" t="n"/>
      <c r="H598" s="108" t="n"/>
      <c r="I598" s="109" t="n"/>
      <c r="J598" s="109" t="n"/>
      <c r="K598" s="109" t="n"/>
      <c r="L598" s="231">
        <f>IF($E598="","",DATE(YEAR($E598),MONTH($E598),1))</f>
        <v/>
      </c>
      <c r="M598" s="113">
        <f>IF($D598="","",IF($C598="TANIMSIZ MÜŞTERİ","HATA",IF(OR($E598="",$F598&lt;=0,$G598=""),"EKSİK",IF($E598&gt;TODAY(),"İLERİ TARİH","UYGUN"))))</f>
        <v/>
      </c>
      <c r="N598" s="121">
        <f>IF($C598="","",IF($C598="TANIMSIZ MÜŞTERİ","—",INDEX(MUSTERILER!$C$7:$C$106,MATCH($C598,MUSTERILER!$B$7:$B$106,0))))</f>
        <v/>
      </c>
      <c r="O598" s="6" t="n"/>
      <c r="P598" s="6" t="n"/>
      <c r="Q598" s="3">
        <f>IF($D598="","",$C598&amp;"|"&amp;COUNTIFS($C$7:$C598,$C598))</f>
        <v/>
      </c>
    </row>
    <row r="599">
      <c r="A599" s="6" t="n"/>
      <c r="B599" s="113">
        <f>IF($D599="","","T"&amp;TEXT(ROW()-6,"00000"))</f>
        <v/>
      </c>
      <c r="C599" s="113">
        <f>IF($D599="","",IFERROR(INDEX(MUSTERILER!$B$7:$B$106,MATCH($D599,MUSTERILER!$C$7:$C$106,0)),IFERROR(INDEX(MUSTERILER!$B$7:$B$106,MATCH($D599,MUSTERILER!$B$7:$B$106,0)),IFERROR(INDEX(MUSTERILER!$B$7:$B$106,MATCH($D599&amp;"*",MUSTERILER!$C$7:$C$106,0)),"TANIMSIZ MÜŞTERİ"))))</f>
        <v/>
      </c>
      <c r="D599" s="109" t="n"/>
      <c r="E599" s="225" t="n"/>
      <c r="F599" s="226" t="n"/>
      <c r="G599" s="108" t="n"/>
      <c r="H599" s="108" t="n"/>
      <c r="I599" s="109" t="n"/>
      <c r="J599" s="109" t="n"/>
      <c r="K599" s="109" t="n"/>
      <c r="L599" s="231">
        <f>IF($E599="","",DATE(YEAR($E599),MONTH($E599),1))</f>
        <v/>
      </c>
      <c r="M599" s="113">
        <f>IF($D599="","",IF($C599="TANIMSIZ MÜŞTERİ","HATA",IF(OR($E599="",$F599&lt;=0,$G599=""),"EKSİK",IF($E599&gt;TODAY(),"İLERİ TARİH","UYGUN"))))</f>
        <v/>
      </c>
      <c r="N599" s="121">
        <f>IF($C599="","",IF($C599="TANIMSIZ MÜŞTERİ","—",INDEX(MUSTERILER!$C$7:$C$106,MATCH($C599,MUSTERILER!$B$7:$B$106,0))))</f>
        <v/>
      </c>
      <c r="O599" s="6" t="n"/>
      <c r="P599" s="6" t="n"/>
      <c r="Q599" s="3">
        <f>IF($D599="","",$C599&amp;"|"&amp;COUNTIFS($C$7:$C599,$C599))</f>
        <v/>
      </c>
    </row>
    <row r="600">
      <c r="A600" s="6" t="n"/>
      <c r="B600" s="113">
        <f>IF($D600="","","T"&amp;TEXT(ROW()-6,"00000"))</f>
        <v/>
      </c>
      <c r="C600" s="113">
        <f>IF($D600="","",IFERROR(INDEX(MUSTERILER!$B$7:$B$106,MATCH($D600,MUSTERILER!$C$7:$C$106,0)),IFERROR(INDEX(MUSTERILER!$B$7:$B$106,MATCH($D600,MUSTERILER!$B$7:$B$106,0)),IFERROR(INDEX(MUSTERILER!$B$7:$B$106,MATCH($D600&amp;"*",MUSTERILER!$C$7:$C$106,0)),"TANIMSIZ MÜŞTERİ"))))</f>
        <v/>
      </c>
      <c r="D600" s="109" t="n"/>
      <c r="E600" s="225" t="n"/>
      <c r="F600" s="226" t="n"/>
      <c r="G600" s="108" t="n"/>
      <c r="H600" s="108" t="n"/>
      <c r="I600" s="109" t="n"/>
      <c r="J600" s="109" t="n"/>
      <c r="K600" s="109" t="n"/>
      <c r="L600" s="231">
        <f>IF($E600="","",DATE(YEAR($E600),MONTH($E600),1))</f>
        <v/>
      </c>
      <c r="M600" s="113">
        <f>IF($D600="","",IF($C600="TANIMSIZ MÜŞTERİ","HATA",IF(OR($E600="",$F600&lt;=0,$G600=""),"EKSİK",IF($E600&gt;TODAY(),"İLERİ TARİH","UYGUN"))))</f>
        <v/>
      </c>
      <c r="N600" s="121">
        <f>IF($C600="","",IF($C600="TANIMSIZ MÜŞTERİ","—",INDEX(MUSTERILER!$C$7:$C$106,MATCH($C600,MUSTERILER!$B$7:$B$106,0))))</f>
        <v/>
      </c>
      <c r="O600" s="6" t="n"/>
      <c r="P600" s="6" t="n"/>
      <c r="Q600" s="3">
        <f>IF($D600="","",$C600&amp;"|"&amp;COUNTIFS($C$7:$C600,$C600))</f>
        <v/>
      </c>
    </row>
    <row r="601">
      <c r="A601" s="6" t="n"/>
      <c r="B601" s="113">
        <f>IF($D601="","","T"&amp;TEXT(ROW()-6,"00000"))</f>
        <v/>
      </c>
      <c r="C601" s="113">
        <f>IF($D601="","",IFERROR(INDEX(MUSTERILER!$B$7:$B$106,MATCH($D601,MUSTERILER!$C$7:$C$106,0)),IFERROR(INDEX(MUSTERILER!$B$7:$B$106,MATCH($D601,MUSTERILER!$B$7:$B$106,0)),IFERROR(INDEX(MUSTERILER!$B$7:$B$106,MATCH($D601&amp;"*",MUSTERILER!$C$7:$C$106,0)),"TANIMSIZ MÜŞTERİ"))))</f>
        <v/>
      </c>
      <c r="D601" s="109" t="n"/>
      <c r="E601" s="225" t="n"/>
      <c r="F601" s="226" t="n"/>
      <c r="G601" s="108" t="n"/>
      <c r="H601" s="108" t="n"/>
      <c r="I601" s="109" t="n"/>
      <c r="J601" s="109" t="n"/>
      <c r="K601" s="109" t="n"/>
      <c r="L601" s="231">
        <f>IF($E601="","",DATE(YEAR($E601),MONTH($E601),1))</f>
        <v/>
      </c>
      <c r="M601" s="113">
        <f>IF($D601="","",IF($C601="TANIMSIZ MÜŞTERİ","HATA",IF(OR($E601="",$F601&lt;=0,$G601=""),"EKSİK",IF($E601&gt;TODAY(),"İLERİ TARİH","UYGUN"))))</f>
        <v/>
      </c>
      <c r="N601" s="121">
        <f>IF($C601="","",IF($C601="TANIMSIZ MÜŞTERİ","—",INDEX(MUSTERILER!$C$7:$C$106,MATCH($C601,MUSTERILER!$B$7:$B$106,0))))</f>
        <v/>
      </c>
      <c r="O601" s="6" t="n"/>
      <c r="P601" s="6" t="n"/>
      <c r="Q601" s="3">
        <f>IF($D601="","",$C601&amp;"|"&amp;COUNTIFS($C$7:$C601,$C601))</f>
        <v/>
      </c>
    </row>
    <row r="602">
      <c r="A602" s="6" t="n"/>
      <c r="B602" s="113">
        <f>IF($D602="","","T"&amp;TEXT(ROW()-6,"00000"))</f>
        <v/>
      </c>
      <c r="C602" s="113">
        <f>IF($D602="","",IFERROR(INDEX(MUSTERILER!$B$7:$B$106,MATCH($D602,MUSTERILER!$C$7:$C$106,0)),IFERROR(INDEX(MUSTERILER!$B$7:$B$106,MATCH($D602,MUSTERILER!$B$7:$B$106,0)),IFERROR(INDEX(MUSTERILER!$B$7:$B$106,MATCH($D602&amp;"*",MUSTERILER!$C$7:$C$106,0)),"TANIMSIZ MÜŞTERİ"))))</f>
        <v/>
      </c>
      <c r="D602" s="109" t="n"/>
      <c r="E602" s="225" t="n"/>
      <c r="F602" s="226" t="n"/>
      <c r="G602" s="108" t="n"/>
      <c r="H602" s="108" t="n"/>
      <c r="I602" s="109" t="n"/>
      <c r="J602" s="109" t="n"/>
      <c r="K602" s="109" t="n"/>
      <c r="L602" s="231">
        <f>IF($E602="","",DATE(YEAR($E602),MONTH($E602),1))</f>
        <v/>
      </c>
      <c r="M602" s="113">
        <f>IF($D602="","",IF($C602="TANIMSIZ MÜŞTERİ","HATA",IF(OR($E602="",$F602&lt;=0,$G602=""),"EKSİK",IF($E602&gt;TODAY(),"İLERİ TARİH","UYGUN"))))</f>
        <v/>
      </c>
      <c r="N602" s="121">
        <f>IF($C602="","",IF($C602="TANIMSIZ MÜŞTERİ","—",INDEX(MUSTERILER!$C$7:$C$106,MATCH($C602,MUSTERILER!$B$7:$B$106,0))))</f>
        <v/>
      </c>
      <c r="O602" s="6" t="n"/>
      <c r="P602" s="6" t="n"/>
      <c r="Q602" s="3">
        <f>IF($D602="","",$C602&amp;"|"&amp;COUNTIFS($C$7:$C602,$C602))</f>
        <v/>
      </c>
    </row>
    <row r="603">
      <c r="A603" s="6" t="n"/>
      <c r="B603" s="113">
        <f>IF($D603="","","T"&amp;TEXT(ROW()-6,"00000"))</f>
        <v/>
      </c>
      <c r="C603" s="113">
        <f>IF($D603="","",IFERROR(INDEX(MUSTERILER!$B$7:$B$106,MATCH($D603,MUSTERILER!$C$7:$C$106,0)),IFERROR(INDEX(MUSTERILER!$B$7:$B$106,MATCH($D603,MUSTERILER!$B$7:$B$106,0)),IFERROR(INDEX(MUSTERILER!$B$7:$B$106,MATCH($D603&amp;"*",MUSTERILER!$C$7:$C$106,0)),"TANIMSIZ MÜŞTERİ"))))</f>
        <v/>
      </c>
      <c r="D603" s="109" t="n"/>
      <c r="E603" s="225" t="n"/>
      <c r="F603" s="226" t="n"/>
      <c r="G603" s="108" t="n"/>
      <c r="H603" s="108" t="n"/>
      <c r="I603" s="109" t="n"/>
      <c r="J603" s="109" t="n"/>
      <c r="K603" s="109" t="n"/>
      <c r="L603" s="231">
        <f>IF($E603="","",DATE(YEAR($E603),MONTH($E603),1))</f>
        <v/>
      </c>
      <c r="M603" s="113">
        <f>IF($D603="","",IF($C603="TANIMSIZ MÜŞTERİ","HATA",IF(OR($E603="",$F603&lt;=0,$G603=""),"EKSİK",IF($E603&gt;TODAY(),"İLERİ TARİH","UYGUN"))))</f>
        <v/>
      </c>
      <c r="N603" s="121">
        <f>IF($C603="","",IF($C603="TANIMSIZ MÜŞTERİ","—",INDEX(MUSTERILER!$C$7:$C$106,MATCH($C603,MUSTERILER!$B$7:$B$106,0))))</f>
        <v/>
      </c>
      <c r="O603" s="6" t="n"/>
      <c r="P603" s="6" t="n"/>
      <c r="Q603" s="3">
        <f>IF($D603="","",$C603&amp;"|"&amp;COUNTIFS($C$7:$C603,$C603))</f>
        <v/>
      </c>
    </row>
    <row r="604">
      <c r="A604" s="6" t="n"/>
      <c r="B604" s="113">
        <f>IF($D604="","","T"&amp;TEXT(ROW()-6,"00000"))</f>
        <v/>
      </c>
      <c r="C604" s="113">
        <f>IF($D604="","",IFERROR(INDEX(MUSTERILER!$B$7:$B$106,MATCH($D604,MUSTERILER!$C$7:$C$106,0)),IFERROR(INDEX(MUSTERILER!$B$7:$B$106,MATCH($D604,MUSTERILER!$B$7:$B$106,0)),IFERROR(INDEX(MUSTERILER!$B$7:$B$106,MATCH($D604&amp;"*",MUSTERILER!$C$7:$C$106,0)),"TANIMSIZ MÜŞTERİ"))))</f>
        <v/>
      </c>
      <c r="D604" s="109" t="n"/>
      <c r="E604" s="225" t="n"/>
      <c r="F604" s="226" t="n"/>
      <c r="G604" s="108" t="n"/>
      <c r="H604" s="108" t="n"/>
      <c r="I604" s="109" t="n"/>
      <c r="J604" s="109" t="n"/>
      <c r="K604" s="109" t="n"/>
      <c r="L604" s="231">
        <f>IF($E604="","",DATE(YEAR($E604),MONTH($E604),1))</f>
        <v/>
      </c>
      <c r="M604" s="113">
        <f>IF($D604="","",IF($C604="TANIMSIZ MÜŞTERİ","HATA",IF(OR($E604="",$F604&lt;=0,$G604=""),"EKSİK",IF($E604&gt;TODAY(),"İLERİ TARİH","UYGUN"))))</f>
        <v/>
      </c>
      <c r="N604" s="121">
        <f>IF($C604="","",IF($C604="TANIMSIZ MÜŞTERİ","—",INDEX(MUSTERILER!$C$7:$C$106,MATCH($C604,MUSTERILER!$B$7:$B$106,0))))</f>
        <v/>
      </c>
      <c r="O604" s="6" t="n"/>
      <c r="P604" s="6" t="n"/>
      <c r="Q604" s="3">
        <f>IF($D604="","",$C604&amp;"|"&amp;COUNTIFS($C$7:$C604,$C604))</f>
        <v/>
      </c>
    </row>
    <row r="605">
      <c r="A605" s="6" t="n"/>
      <c r="B605" s="113">
        <f>IF($D605="","","T"&amp;TEXT(ROW()-6,"00000"))</f>
        <v/>
      </c>
      <c r="C605" s="113">
        <f>IF($D605="","",IFERROR(INDEX(MUSTERILER!$B$7:$B$106,MATCH($D605,MUSTERILER!$C$7:$C$106,0)),IFERROR(INDEX(MUSTERILER!$B$7:$B$106,MATCH($D605,MUSTERILER!$B$7:$B$106,0)),IFERROR(INDEX(MUSTERILER!$B$7:$B$106,MATCH($D605&amp;"*",MUSTERILER!$C$7:$C$106,0)),"TANIMSIZ MÜŞTERİ"))))</f>
        <v/>
      </c>
      <c r="D605" s="109" t="n"/>
      <c r="E605" s="225" t="n"/>
      <c r="F605" s="226" t="n"/>
      <c r="G605" s="108" t="n"/>
      <c r="H605" s="108" t="n"/>
      <c r="I605" s="109" t="n"/>
      <c r="J605" s="109" t="n"/>
      <c r="K605" s="109" t="n"/>
      <c r="L605" s="231">
        <f>IF($E605="","",DATE(YEAR($E605),MONTH($E605),1))</f>
        <v/>
      </c>
      <c r="M605" s="113">
        <f>IF($D605="","",IF($C605="TANIMSIZ MÜŞTERİ","HATA",IF(OR($E605="",$F605&lt;=0,$G605=""),"EKSİK",IF($E605&gt;TODAY(),"İLERİ TARİH","UYGUN"))))</f>
        <v/>
      </c>
      <c r="N605" s="121">
        <f>IF($C605="","",IF($C605="TANIMSIZ MÜŞTERİ","—",INDEX(MUSTERILER!$C$7:$C$106,MATCH($C605,MUSTERILER!$B$7:$B$106,0))))</f>
        <v/>
      </c>
      <c r="O605" s="6" t="n"/>
      <c r="P605" s="6" t="n"/>
      <c r="Q605" s="3">
        <f>IF($D605="","",$C605&amp;"|"&amp;COUNTIFS($C$7:$C605,$C605))</f>
        <v/>
      </c>
    </row>
    <row r="606">
      <c r="A606" s="6" t="n"/>
      <c r="B606" s="113">
        <f>IF($D606="","","T"&amp;TEXT(ROW()-6,"00000"))</f>
        <v/>
      </c>
      <c r="C606" s="113">
        <f>IF($D606="","",IFERROR(INDEX(MUSTERILER!$B$7:$B$106,MATCH($D606,MUSTERILER!$C$7:$C$106,0)),IFERROR(INDEX(MUSTERILER!$B$7:$B$106,MATCH($D606,MUSTERILER!$B$7:$B$106,0)),IFERROR(INDEX(MUSTERILER!$B$7:$B$106,MATCH($D606&amp;"*",MUSTERILER!$C$7:$C$106,0)),"TANIMSIZ MÜŞTERİ"))))</f>
        <v/>
      </c>
      <c r="D606" s="109" t="n"/>
      <c r="E606" s="225" t="n"/>
      <c r="F606" s="226" t="n"/>
      <c r="G606" s="108" t="n"/>
      <c r="H606" s="108" t="n"/>
      <c r="I606" s="109" t="n"/>
      <c r="J606" s="109" t="n"/>
      <c r="K606" s="109" t="n"/>
      <c r="L606" s="231">
        <f>IF($E606="","",DATE(YEAR($E606),MONTH($E606),1))</f>
        <v/>
      </c>
      <c r="M606" s="113">
        <f>IF($D606="","",IF($C606="TANIMSIZ MÜŞTERİ","HATA",IF(OR($E606="",$F606&lt;=0,$G606=""),"EKSİK",IF($E606&gt;TODAY(),"İLERİ TARİH","UYGUN"))))</f>
        <v/>
      </c>
      <c r="N606" s="121">
        <f>IF($C606="","",IF($C606="TANIMSIZ MÜŞTERİ","—",INDEX(MUSTERILER!$C$7:$C$106,MATCH($C606,MUSTERILER!$B$7:$B$106,0))))</f>
        <v/>
      </c>
      <c r="O606" s="6" t="n"/>
      <c r="P606" s="6" t="n"/>
      <c r="Q606" s="3">
        <f>IF($D606="","",$C606&amp;"|"&amp;COUNTIFS($C$7:$C606,$C606))</f>
        <v/>
      </c>
    </row>
    <row r="607">
      <c r="A607" s="6" t="n"/>
      <c r="B607" s="113">
        <f>IF($D607="","","T"&amp;TEXT(ROW()-6,"00000"))</f>
        <v/>
      </c>
      <c r="C607" s="113">
        <f>IF($D607="","",IFERROR(INDEX(MUSTERILER!$B$7:$B$106,MATCH($D607,MUSTERILER!$C$7:$C$106,0)),IFERROR(INDEX(MUSTERILER!$B$7:$B$106,MATCH($D607,MUSTERILER!$B$7:$B$106,0)),IFERROR(INDEX(MUSTERILER!$B$7:$B$106,MATCH($D607&amp;"*",MUSTERILER!$C$7:$C$106,0)),"TANIMSIZ MÜŞTERİ"))))</f>
        <v/>
      </c>
      <c r="D607" s="109" t="n"/>
      <c r="E607" s="225" t="n"/>
      <c r="F607" s="226" t="n"/>
      <c r="G607" s="108" t="n"/>
      <c r="H607" s="108" t="n"/>
      <c r="I607" s="109" t="n"/>
      <c r="J607" s="109" t="n"/>
      <c r="K607" s="109" t="n"/>
      <c r="L607" s="231">
        <f>IF($E607="","",DATE(YEAR($E607),MONTH($E607),1))</f>
        <v/>
      </c>
      <c r="M607" s="113">
        <f>IF($D607="","",IF($C607="TANIMSIZ MÜŞTERİ","HATA",IF(OR($E607="",$F607&lt;=0,$G607=""),"EKSİK",IF($E607&gt;TODAY(),"İLERİ TARİH","UYGUN"))))</f>
        <v/>
      </c>
      <c r="N607" s="121">
        <f>IF($C607="","",IF($C607="TANIMSIZ MÜŞTERİ","—",INDEX(MUSTERILER!$C$7:$C$106,MATCH($C607,MUSTERILER!$B$7:$B$106,0))))</f>
        <v/>
      </c>
      <c r="O607" s="6" t="n"/>
      <c r="P607" s="6" t="n"/>
      <c r="Q607" s="3">
        <f>IF($D607="","",$C607&amp;"|"&amp;COUNTIFS($C$7:$C607,$C607))</f>
        <v/>
      </c>
    </row>
    <row r="608">
      <c r="A608" s="6" t="n"/>
      <c r="B608" s="113">
        <f>IF($D608="","","T"&amp;TEXT(ROW()-6,"00000"))</f>
        <v/>
      </c>
      <c r="C608" s="113">
        <f>IF($D608="","",IFERROR(INDEX(MUSTERILER!$B$7:$B$106,MATCH($D608,MUSTERILER!$C$7:$C$106,0)),IFERROR(INDEX(MUSTERILER!$B$7:$B$106,MATCH($D608,MUSTERILER!$B$7:$B$106,0)),IFERROR(INDEX(MUSTERILER!$B$7:$B$106,MATCH($D608&amp;"*",MUSTERILER!$C$7:$C$106,0)),"TANIMSIZ MÜŞTERİ"))))</f>
        <v/>
      </c>
      <c r="D608" s="109" t="n"/>
      <c r="E608" s="225" t="n"/>
      <c r="F608" s="226" t="n"/>
      <c r="G608" s="108" t="n"/>
      <c r="H608" s="108" t="n"/>
      <c r="I608" s="109" t="n"/>
      <c r="J608" s="109" t="n"/>
      <c r="K608" s="109" t="n"/>
      <c r="L608" s="231">
        <f>IF($E608="","",DATE(YEAR($E608),MONTH($E608),1))</f>
        <v/>
      </c>
      <c r="M608" s="113">
        <f>IF($D608="","",IF($C608="TANIMSIZ MÜŞTERİ","HATA",IF(OR($E608="",$F608&lt;=0,$G608=""),"EKSİK",IF($E608&gt;TODAY(),"İLERİ TARİH","UYGUN"))))</f>
        <v/>
      </c>
      <c r="N608" s="121">
        <f>IF($C608="","",IF($C608="TANIMSIZ MÜŞTERİ","—",INDEX(MUSTERILER!$C$7:$C$106,MATCH($C608,MUSTERILER!$B$7:$B$106,0))))</f>
        <v/>
      </c>
      <c r="O608" s="6" t="n"/>
      <c r="P608" s="6" t="n"/>
      <c r="Q608" s="3">
        <f>IF($D608="","",$C608&amp;"|"&amp;COUNTIFS($C$7:$C608,$C608))</f>
        <v/>
      </c>
    </row>
    <row r="609">
      <c r="A609" s="6" t="n"/>
      <c r="B609" s="113">
        <f>IF($D609="","","T"&amp;TEXT(ROW()-6,"00000"))</f>
        <v/>
      </c>
      <c r="C609" s="113">
        <f>IF($D609="","",IFERROR(INDEX(MUSTERILER!$B$7:$B$106,MATCH($D609,MUSTERILER!$C$7:$C$106,0)),IFERROR(INDEX(MUSTERILER!$B$7:$B$106,MATCH($D609,MUSTERILER!$B$7:$B$106,0)),IFERROR(INDEX(MUSTERILER!$B$7:$B$106,MATCH($D609&amp;"*",MUSTERILER!$C$7:$C$106,0)),"TANIMSIZ MÜŞTERİ"))))</f>
        <v/>
      </c>
      <c r="D609" s="109" t="n"/>
      <c r="E609" s="225" t="n"/>
      <c r="F609" s="226" t="n"/>
      <c r="G609" s="108" t="n"/>
      <c r="H609" s="108" t="n"/>
      <c r="I609" s="109" t="n"/>
      <c r="J609" s="109" t="n"/>
      <c r="K609" s="109" t="n"/>
      <c r="L609" s="231">
        <f>IF($E609="","",DATE(YEAR($E609),MONTH($E609),1))</f>
        <v/>
      </c>
      <c r="M609" s="113">
        <f>IF($D609="","",IF($C609="TANIMSIZ MÜŞTERİ","HATA",IF(OR($E609="",$F609&lt;=0,$G609=""),"EKSİK",IF($E609&gt;TODAY(),"İLERİ TARİH","UYGUN"))))</f>
        <v/>
      </c>
      <c r="N609" s="121">
        <f>IF($C609="","",IF($C609="TANIMSIZ MÜŞTERİ","—",INDEX(MUSTERILER!$C$7:$C$106,MATCH($C609,MUSTERILER!$B$7:$B$106,0))))</f>
        <v/>
      </c>
      <c r="O609" s="6" t="n"/>
      <c r="P609" s="6" t="n"/>
      <c r="Q609" s="3">
        <f>IF($D609="","",$C609&amp;"|"&amp;COUNTIFS($C$7:$C609,$C609))</f>
        <v/>
      </c>
    </row>
    <row r="610">
      <c r="A610" s="6" t="n"/>
      <c r="B610" s="113">
        <f>IF($D610="","","T"&amp;TEXT(ROW()-6,"00000"))</f>
        <v/>
      </c>
      <c r="C610" s="113">
        <f>IF($D610="","",IFERROR(INDEX(MUSTERILER!$B$7:$B$106,MATCH($D610,MUSTERILER!$C$7:$C$106,0)),IFERROR(INDEX(MUSTERILER!$B$7:$B$106,MATCH($D610,MUSTERILER!$B$7:$B$106,0)),IFERROR(INDEX(MUSTERILER!$B$7:$B$106,MATCH($D610&amp;"*",MUSTERILER!$C$7:$C$106,0)),"TANIMSIZ MÜŞTERİ"))))</f>
        <v/>
      </c>
      <c r="D610" s="109" t="n"/>
      <c r="E610" s="225" t="n"/>
      <c r="F610" s="226" t="n"/>
      <c r="G610" s="108" t="n"/>
      <c r="H610" s="108" t="n"/>
      <c r="I610" s="109" t="n"/>
      <c r="J610" s="109" t="n"/>
      <c r="K610" s="109" t="n"/>
      <c r="L610" s="231">
        <f>IF($E610="","",DATE(YEAR($E610),MONTH($E610),1))</f>
        <v/>
      </c>
      <c r="M610" s="113">
        <f>IF($D610="","",IF($C610="TANIMSIZ MÜŞTERİ","HATA",IF(OR($E610="",$F610&lt;=0,$G610=""),"EKSİK",IF($E610&gt;TODAY(),"İLERİ TARİH","UYGUN"))))</f>
        <v/>
      </c>
      <c r="N610" s="121">
        <f>IF($C610="","",IF($C610="TANIMSIZ MÜŞTERİ","—",INDEX(MUSTERILER!$C$7:$C$106,MATCH($C610,MUSTERILER!$B$7:$B$106,0))))</f>
        <v/>
      </c>
      <c r="O610" s="6" t="n"/>
      <c r="P610" s="6" t="n"/>
      <c r="Q610" s="3">
        <f>IF($D610="","",$C610&amp;"|"&amp;COUNTIFS($C$7:$C610,$C610))</f>
        <v/>
      </c>
    </row>
    <row r="611">
      <c r="A611" s="6" t="n"/>
      <c r="B611" s="113">
        <f>IF($D611="","","T"&amp;TEXT(ROW()-6,"00000"))</f>
        <v/>
      </c>
      <c r="C611" s="113">
        <f>IF($D611="","",IFERROR(INDEX(MUSTERILER!$B$7:$B$106,MATCH($D611,MUSTERILER!$C$7:$C$106,0)),IFERROR(INDEX(MUSTERILER!$B$7:$B$106,MATCH($D611,MUSTERILER!$B$7:$B$106,0)),IFERROR(INDEX(MUSTERILER!$B$7:$B$106,MATCH($D611&amp;"*",MUSTERILER!$C$7:$C$106,0)),"TANIMSIZ MÜŞTERİ"))))</f>
        <v/>
      </c>
      <c r="D611" s="109" t="n"/>
      <c r="E611" s="225" t="n"/>
      <c r="F611" s="226" t="n"/>
      <c r="G611" s="108" t="n"/>
      <c r="H611" s="108" t="n"/>
      <c r="I611" s="109" t="n"/>
      <c r="J611" s="109" t="n"/>
      <c r="K611" s="109" t="n"/>
      <c r="L611" s="231">
        <f>IF($E611="","",DATE(YEAR($E611),MONTH($E611),1))</f>
        <v/>
      </c>
      <c r="M611" s="113">
        <f>IF($D611="","",IF($C611="TANIMSIZ MÜŞTERİ","HATA",IF(OR($E611="",$F611&lt;=0,$G611=""),"EKSİK",IF($E611&gt;TODAY(),"İLERİ TARİH","UYGUN"))))</f>
        <v/>
      </c>
      <c r="N611" s="121">
        <f>IF($C611="","",IF($C611="TANIMSIZ MÜŞTERİ","—",INDEX(MUSTERILER!$C$7:$C$106,MATCH($C611,MUSTERILER!$B$7:$B$106,0))))</f>
        <v/>
      </c>
      <c r="O611" s="6" t="n"/>
      <c r="P611" s="6" t="n"/>
      <c r="Q611" s="3">
        <f>IF($D611="","",$C611&amp;"|"&amp;COUNTIFS($C$7:$C611,$C611))</f>
        <v/>
      </c>
    </row>
    <row r="612">
      <c r="A612" s="6" t="n"/>
      <c r="B612" s="113">
        <f>IF($D612="","","T"&amp;TEXT(ROW()-6,"00000"))</f>
        <v/>
      </c>
      <c r="C612" s="113">
        <f>IF($D612="","",IFERROR(INDEX(MUSTERILER!$B$7:$B$106,MATCH($D612,MUSTERILER!$C$7:$C$106,0)),IFERROR(INDEX(MUSTERILER!$B$7:$B$106,MATCH($D612,MUSTERILER!$B$7:$B$106,0)),IFERROR(INDEX(MUSTERILER!$B$7:$B$106,MATCH($D612&amp;"*",MUSTERILER!$C$7:$C$106,0)),"TANIMSIZ MÜŞTERİ"))))</f>
        <v/>
      </c>
      <c r="D612" s="109" t="n"/>
      <c r="E612" s="225" t="n"/>
      <c r="F612" s="226" t="n"/>
      <c r="G612" s="108" t="n"/>
      <c r="H612" s="108" t="n"/>
      <c r="I612" s="109" t="n"/>
      <c r="J612" s="109" t="n"/>
      <c r="K612" s="109" t="n"/>
      <c r="L612" s="231">
        <f>IF($E612="","",DATE(YEAR($E612),MONTH($E612),1))</f>
        <v/>
      </c>
      <c r="M612" s="113">
        <f>IF($D612="","",IF($C612="TANIMSIZ MÜŞTERİ","HATA",IF(OR($E612="",$F612&lt;=0,$G612=""),"EKSİK",IF($E612&gt;TODAY(),"İLERİ TARİH","UYGUN"))))</f>
        <v/>
      </c>
      <c r="N612" s="121">
        <f>IF($C612="","",IF($C612="TANIMSIZ MÜŞTERİ","—",INDEX(MUSTERILER!$C$7:$C$106,MATCH($C612,MUSTERILER!$B$7:$B$106,0))))</f>
        <v/>
      </c>
      <c r="O612" s="6" t="n"/>
      <c r="P612" s="6" t="n"/>
      <c r="Q612" s="3">
        <f>IF($D612="","",$C612&amp;"|"&amp;COUNTIFS($C$7:$C612,$C612))</f>
        <v/>
      </c>
    </row>
    <row r="613">
      <c r="A613" s="6" t="n"/>
      <c r="B613" s="113">
        <f>IF($D613="","","T"&amp;TEXT(ROW()-6,"00000"))</f>
        <v/>
      </c>
      <c r="C613" s="113">
        <f>IF($D613="","",IFERROR(INDEX(MUSTERILER!$B$7:$B$106,MATCH($D613,MUSTERILER!$C$7:$C$106,0)),IFERROR(INDEX(MUSTERILER!$B$7:$B$106,MATCH($D613,MUSTERILER!$B$7:$B$106,0)),IFERROR(INDEX(MUSTERILER!$B$7:$B$106,MATCH($D613&amp;"*",MUSTERILER!$C$7:$C$106,0)),"TANIMSIZ MÜŞTERİ"))))</f>
        <v/>
      </c>
      <c r="D613" s="109" t="n"/>
      <c r="E613" s="225" t="n"/>
      <c r="F613" s="226" t="n"/>
      <c r="G613" s="108" t="n"/>
      <c r="H613" s="108" t="n"/>
      <c r="I613" s="109" t="n"/>
      <c r="J613" s="109" t="n"/>
      <c r="K613" s="109" t="n"/>
      <c r="L613" s="231">
        <f>IF($E613="","",DATE(YEAR($E613),MONTH($E613),1))</f>
        <v/>
      </c>
      <c r="M613" s="113">
        <f>IF($D613="","",IF($C613="TANIMSIZ MÜŞTERİ","HATA",IF(OR($E613="",$F613&lt;=0,$G613=""),"EKSİK",IF($E613&gt;TODAY(),"İLERİ TARİH","UYGUN"))))</f>
        <v/>
      </c>
      <c r="N613" s="121">
        <f>IF($C613="","",IF($C613="TANIMSIZ MÜŞTERİ","—",INDEX(MUSTERILER!$C$7:$C$106,MATCH($C613,MUSTERILER!$B$7:$B$106,0))))</f>
        <v/>
      </c>
      <c r="O613" s="6" t="n"/>
      <c r="P613" s="6" t="n"/>
      <c r="Q613" s="3">
        <f>IF($D613="","",$C613&amp;"|"&amp;COUNTIFS($C$7:$C613,$C613))</f>
        <v/>
      </c>
    </row>
    <row r="614">
      <c r="A614" s="6" t="n"/>
      <c r="B614" s="113">
        <f>IF($D614="","","T"&amp;TEXT(ROW()-6,"00000"))</f>
        <v/>
      </c>
      <c r="C614" s="113">
        <f>IF($D614="","",IFERROR(INDEX(MUSTERILER!$B$7:$B$106,MATCH($D614,MUSTERILER!$C$7:$C$106,0)),IFERROR(INDEX(MUSTERILER!$B$7:$B$106,MATCH($D614,MUSTERILER!$B$7:$B$106,0)),IFERROR(INDEX(MUSTERILER!$B$7:$B$106,MATCH($D614&amp;"*",MUSTERILER!$C$7:$C$106,0)),"TANIMSIZ MÜŞTERİ"))))</f>
        <v/>
      </c>
      <c r="D614" s="109" t="n"/>
      <c r="E614" s="225" t="n"/>
      <c r="F614" s="226" t="n"/>
      <c r="G614" s="108" t="n"/>
      <c r="H614" s="108" t="n"/>
      <c r="I614" s="109" t="n"/>
      <c r="J614" s="109" t="n"/>
      <c r="K614" s="109" t="n"/>
      <c r="L614" s="231">
        <f>IF($E614="","",DATE(YEAR($E614),MONTH($E614),1))</f>
        <v/>
      </c>
      <c r="M614" s="113">
        <f>IF($D614="","",IF($C614="TANIMSIZ MÜŞTERİ","HATA",IF(OR($E614="",$F614&lt;=0,$G614=""),"EKSİK",IF($E614&gt;TODAY(),"İLERİ TARİH","UYGUN"))))</f>
        <v/>
      </c>
      <c r="N614" s="121">
        <f>IF($C614="","",IF($C614="TANIMSIZ MÜŞTERİ","—",INDEX(MUSTERILER!$C$7:$C$106,MATCH($C614,MUSTERILER!$B$7:$B$106,0))))</f>
        <v/>
      </c>
      <c r="O614" s="6" t="n"/>
      <c r="P614" s="6" t="n"/>
      <c r="Q614" s="3">
        <f>IF($D614="","",$C614&amp;"|"&amp;COUNTIFS($C$7:$C614,$C614))</f>
        <v/>
      </c>
    </row>
    <row r="615">
      <c r="A615" s="6" t="n"/>
      <c r="B615" s="113">
        <f>IF($D615="","","T"&amp;TEXT(ROW()-6,"00000"))</f>
        <v/>
      </c>
      <c r="C615" s="113">
        <f>IF($D615="","",IFERROR(INDEX(MUSTERILER!$B$7:$B$106,MATCH($D615,MUSTERILER!$C$7:$C$106,0)),IFERROR(INDEX(MUSTERILER!$B$7:$B$106,MATCH($D615,MUSTERILER!$B$7:$B$106,0)),IFERROR(INDEX(MUSTERILER!$B$7:$B$106,MATCH($D615&amp;"*",MUSTERILER!$C$7:$C$106,0)),"TANIMSIZ MÜŞTERİ"))))</f>
        <v/>
      </c>
      <c r="D615" s="109" t="n"/>
      <c r="E615" s="225" t="n"/>
      <c r="F615" s="226" t="n"/>
      <c r="G615" s="108" t="n"/>
      <c r="H615" s="108" t="n"/>
      <c r="I615" s="109" t="n"/>
      <c r="J615" s="109" t="n"/>
      <c r="K615" s="109" t="n"/>
      <c r="L615" s="231">
        <f>IF($E615="","",DATE(YEAR($E615),MONTH($E615),1))</f>
        <v/>
      </c>
      <c r="M615" s="113">
        <f>IF($D615="","",IF($C615="TANIMSIZ MÜŞTERİ","HATA",IF(OR($E615="",$F615&lt;=0,$G615=""),"EKSİK",IF($E615&gt;TODAY(),"İLERİ TARİH","UYGUN"))))</f>
        <v/>
      </c>
      <c r="N615" s="121">
        <f>IF($C615="","",IF($C615="TANIMSIZ MÜŞTERİ","—",INDEX(MUSTERILER!$C$7:$C$106,MATCH($C615,MUSTERILER!$B$7:$B$106,0))))</f>
        <v/>
      </c>
      <c r="O615" s="6" t="n"/>
      <c r="P615" s="6" t="n"/>
      <c r="Q615" s="3">
        <f>IF($D615="","",$C615&amp;"|"&amp;COUNTIFS($C$7:$C615,$C615))</f>
        <v/>
      </c>
    </row>
    <row r="616">
      <c r="A616" s="6" t="n"/>
      <c r="B616" s="113">
        <f>IF($D616="","","T"&amp;TEXT(ROW()-6,"00000"))</f>
        <v/>
      </c>
      <c r="C616" s="113">
        <f>IF($D616="","",IFERROR(INDEX(MUSTERILER!$B$7:$B$106,MATCH($D616,MUSTERILER!$C$7:$C$106,0)),IFERROR(INDEX(MUSTERILER!$B$7:$B$106,MATCH($D616,MUSTERILER!$B$7:$B$106,0)),IFERROR(INDEX(MUSTERILER!$B$7:$B$106,MATCH($D616&amp;"*",MUSTERILER!$C$7:$C$106,0)),"TANIMSIZ MÜŞTERİ"))))</f>
        <v/>
      </c>
      <c r="D616" s="109" t="n"/>
      <c r="E616" s="225" t="n"/>
      <c r="F616" s="226" t="n"/>
      <c r="G616" s="108" t="n"/>
      <c r="H616" s="108" t="n"/>
      <c r="I616" s="109" t="n"/>
      <c r="J616" s="109" t="n"/>
      <c r="K616" s="109" t="n"/>
      <c r="L616" s="231">
        <f>IF($E616="","",DATE(YEAR($E616),MONTH($E616),1))</f>
        <v/>
      </c>
      <c r="M616" s="113">
        <f>IF($D616="","",IF($C616="TANIMSIZ MÜŞTERİ","HATA",IF(OR($E616="",$F616&lt;=0,$G616=""),"EKSİK",IF($E616&gt;TODAY(),"İLERİ TARİH","UYGUN"))))</f>
        <v/>
      </c>
      <c r="N616" s="121">
        <f>IF($C616="","",IF($C616="TANIMSIZ MÜŞTERİ","—",INDEX(MUSTERILER!$C$7:$C$106,MATCH($C616,MUSTERILER!$B$7:$B$106,0))))</f>
        <v/>
      </c>
      <c r="O616" s="6" t="n"/>
      <c r="P616" s="6" t="n"/>
      <c r="Q616" s="3">
        <f>IF($D616="","",$C616&amp;"|"&amp;COUNTIFS($C$7:$C616,$C616))</f>
        <v/>
      </c>
    </row>
    <row r="617">
      <c r="A617" s="6" t="n"/>
      <c r="B617" s="113">
        <f>IF($D617="","","T"&amp;TEXT(ROW()-6,"00000"))</f>
        <v/>
      </c>
      <c r="C617" s="113">
        <f>IF($D617="","",IFERROR(INDEX(MUSTERILER!$B$7:$B$106,MATCH($D617,MUSTERILER!$C$7:$C$106,0)),IFERROR(INDEX(MUSTERILER!$B$7:$B$106,MATCH($D617,MUSTERILER!$B$7:$B$106,0)),IFERROR(INDEX(MUSTERILER!$B$7:$B$106,MATCH($D617&amp;"*",MUSTERILER!$C$7:$C$106,0)),"TANIMSIZ MÜŞTERİ"))))</f>
        <v/>
      </c>
      <c r="D617" s="109" t="n"/>
      <c r="E617" s="225" t="n"/>
      <c r="F617" s="226" t="n"/>
      <c r="G617" s="108" t="n"/>
      <c r="H617" s="108" t="n"/>
      <c r="I617" s="109" t="n"/>
      <c r="J617" s="109" t="n"/>
      <c r="K617" s="109" t="n"/>
      <c r="L617" s="231">
        <f>IF($E617="","",DATE(YEAR($E617),MONTH($E617),1))</f>
        <v/>
      </c>
      <c r="M617" s="113">
        <f>IF($D617="","",IF($C617="TANIMSIZ MÜŞTERİ","HATA",IF(OR($E617="",$F617&lt;=0,$G617=""),"EKSİK",IF($E617&gt;TODAY(),"İLERİ TARİH","UYGUN"))))</f>
        <v/>
      </c>
      <c r="N617" s="121">
        <f>IF($C617="","",IF($C617="TANIMSIZ MÜŞTERİ","—",INDEX(MUSTERILER!$C$7:$C$106,MATCH($C617,MUSTERILER!$B$7:$B$106,0))))</f>
        <v/>
      </c>
      <c r="O617" s="6" t="n"/>
      <c r="P617" s="6" t="n"/>
      <c r="Q617" s="3">
        <f>IF($D617="","",$C617&amp;"|"&amp;COUNTIFS($C$7:$C617,$C617))</f>
        <v/>
      </c>
    </row>
    <row r="618">
      <c r="A618" s="6" t="n"/>
      <c r="B618" s="113">
        <f>IF($D618="","","T"&amp;TEXT(ROW()-6,"00000"))</f>
        <v/>
      </c>
      <c r="C618" s="113">
        <f>IF($D618="","",IFERROR(INDEX(MUSTERILER!$B$7:$B$106,MATCH($D618,MUSTERILER!$C$7:$C$106,0)),IFERROR(INDEX(MUSTERILER!$B$7:$B$106,MATCH($D618,MUSTERILER!$B$7:$B$106,0)),IFERROR(INDEX(MUSTERILER!$B$7:$B$106,MATCH($D618&amp;"*",MUSTERILER!$C$7:$C$106,0)),"TANIMSIZ MÜŞTERİ"))))</f>
        <v/>
      </c>
      <c r="D618" s="109" t="n"/>
      <c r="E618" s="225" t="n"/>
      <c r="F618" s="226" t="n"/>
      <c r="G618" s="108" t="n"/>
      <c r="H618" s="108" t="n"/>
      <c r="I618" s="109" t="n"/>
      <c r="J618" s="109" t="n"/>
      <c r="K618" s="109" t="n"/>
      <c r="L618" s="231">
        <f>IF($E618="","",DATE(YEAR($E618),MONTH($E618),1))</f>
        <v/>
      </c>
      <c r="M618" s="113">
        <f>IF($D618="","",IF($C618="TANIMSIZ MÜŞTERİ","HATA",IF(OR($E618="",$F618&lt;=0,$G618=""),"EKSİK",IF($E618&gt;TODAY(),"İLERİ TARİH","UYGUN"))))</f>
        <v/>
      </c>
      <c r="N618" s="121">
        <f>IF($C618="","",IF($C618="TANIMSIZ MÜŞTERİ","—",INDEX(MUSTERILER!$C$7:$C$106,MATCH($C618,MUSTERILER!$B$7:$B$106,0))))</f>
        <v/>
      </c>
      <c r="O618" s="6" t="n"/>
      <c r="P618" s="6" t="n"/>
      <c r="Q618" s="3">
        <f>IF($D618="","",$C618&amp;"|"&amp;COUNTIFS($C$7:$C618,$C618))</f>
        <v/>
      </c>
    </row>
    <row r="619">
      <c r="A619" s="6" t="n"/>
      <c r="B619" s="113">
        <f>IF($D619="","","T"&amp;TEXT(ROW()-6,"00000"))</f>
        <v/>
      </c>
      <c r="C619" s="113">
        <f>IF($D619="","",IFERROR(INDEX(MUSTERILER!$B$7:$B$106,MATCH($D619,MUSTERILER!$C$7:$C$106,0)),IFERROR(INDEX(MUSTERILER!$B$7:$B$106,MATCH($D619,MUSTERILER!$B$7:$B$106,0)),IFERROR(INDEX(MUSTERILER!$B$7:$B$106,MATCH($D619&amp;"*",MUSTERILER!$C$7:$C$106,0)),"TANIMSIZ MÜŞTERİ"))))</f>
        <v/>
      </c>
      <c r="D619" s="109" t="n"/>
      <c r="E619" s="225" t="n"/>
      <c r="F619" s="226" t="n"/>
      <c r="G619" s="108" t="n"/>
      <c r="H619" s="108" t="n"/>
      <c r="I619" s="109" t="n"/>
      <c r="J619" s="109" t="n"/>
      <c r="K619" s="109" t="n"/>
      <c r="L619" s="231">
        <f>IF($E619="","",DATE(YEAR($E619),MONTH($E619),1))</f>
        <v/>
      </c>
      <c r="M619" s="113">
        <f>IF($D619="","",IF($C619="TANIMSIZ MÜŞTERİ","HATA",IF(OR($E619="",$F619&lt;=0,$G619=""),"EKSİK",IF($E619&gt;TODAY(),"İLERİ TARİH","UYGUN"))))</f>
        <v/>
      </c>
      <c r="N619" s="121">
        <f>IF($C619="","",IF($C619="TANIMSIZ MÜŞTERİ","—",INDEX(MUSTERILER!$C$7:$C$106,MATCH($C619,MUSTERILER!$B$7:$B$106,0))))</f>
        <v/>
      </c>
      <c r="O619" s="6" t="n"/>
      <c r="P619" s="6" t="n"/>
      <c r="Q619" s="3">
        <f>IF($D619="","",$C619&amp;"|"&amp;COUNTIFS($C$7:$C619,$C619))</f>
        <v/>
      </c>
    </row>
    <row r="620">
      <c r="A620" s="6" t="n"/>
      <c r="B620" s="113">
        <f>IF($D620="","","T"&amp;TEXT(ROW()-6,"00000"))</f>
        <v/>
      </c>
      <c r="C620" s="113">
        <f>IF($D620="","",IFERROR(INDEX(MUSTERILER!$B$7:$B$106,MATCH($D620,MUSTERILER!$C$7:$C$106,0)),IFERROR(INDEX(MUSTERILER!$B$7:$B$106,MATCH($D620,MUSTERILER!$B$7:$B$106,0)),IFERROR(INDEX(MUSTERILER!$B$7:$B$106,MATCH($D620&amp;"*",MUSTERILER!$C$7:$C$106,0)),"TANIMSIZ MÜŞTERİ"))))</f>
        <v/>
      </c>
      <c r="D620" s="109" t="n"/>
      <c r="E620" s="225" t="n"/>
      <c r="F620" s="226" t="n"/>
      <c r="G620" s="108" t="n"/>
      <c r="H620" s="108" t="n"/>
      <c r="I620" s="109" t="n"/>
      <c r="J620" s="109" t="n"/>
      <c r="K620" s="109" t="n"/>
      <c r="L620" s="231">
        <f>IF($E620="","",DATE(YEAR($E620),MONTH($E620),1))</f>
        <v/>
      </c>
      <c r="M620" s="113">
        <f>IF($D620="","",IF($C620="TANIMSIZ MÜŞTERİ","HATA",IF(OR($E620="",$F620&lt;=0,$G620=""),"EKSİK",IF($E620&gt;TODAY(),"İLERİ TARİH","UYGUN"))))</f>
        <v/>
      </c>
      <c r="N620" s="121">
        <f>IF($C620="","",IF($C620="TANIMSIZ MÜŞTERİ","—",INDEX(MUSTERILER!$C$7:$C$106,MATCH($C620,MUSTERILER!$B$7:$B$106,0))))</f>
        <v/>
      </c>
      <c r="O620" s="6" t="n"/>
      <c r="P620" s="6" t="n"/>
      <c r="Q620" s="3">
        <f>IF($D620="","",$C620&amp;"|"&amp;COUNTIFS($C$7:$C620,$C620))</f>
        <v/>
      </c>
    </row>
    <row r="621">
      <c r="A621" s="6" t="n"/>
      <c r="B621" s="113">
        <f>IF($D621="","","T"&amp;TEXT(ROW()-6,"00000"))</f>
        <v/>
      </c>
      <c r="C621" s="113">
        <f>IF($D621="","",IFERROR(INDEX(MUSTERILER!$B$7:$B$106,MATCH($D621,MUSTERILER!$C$7:$C$106,0)),IFERROR(INDEX(MUSTERILER!$B$7:$B$106,MATCH($D621,MUSTERILER!$B$7:$B$106,0)),IFERROR(INDEX(MUSTERILER!$B$7:$B$106,MATCH($D621&amp;"*",MUSTERILER!$C$7:$C$106,0)),"TANIMSIZ MÜŞTERİ"))))</f>
        <v/>
      </c>
      <c r="D621" s="109" t="n"/>
      <c r="E621" s="225" t="n"/>
      <c r="F621" s="226" t="n"/>
      <c r="G621" s="108" t="n"/>
      <c r="H621" s="108" t="n"/>
      <c r="I621" s="109" t="n"/>
      <c r="J621" s="109" t="n"/>
      <c r="K621" s="109" t="n"/>
      <c r="L621" s="231">
        <f>IF($E621="","",DATE(YEAR($E621),MONTH($E621),1))</f>
        <v/>
      </c>
      <c r="M621" s="113">
        <f>IF($D621="","",IF($C621="TANIMSIZ MÜŞTERİ","HATA",IF(OR($E621="",$F621&lt;=0,$G621=""),"EKSİK",IF($E621&gt;TODAY(),"İLERİ TARİH","UYGUN"))))</f>
        <v/>
      </c>
      <c r="N621" s="121">
        <f>IF($C621="","",IF($C621="TANIMSIZ MÜŞTERİ","—",INDEX(MUSTERILER!$C$7:$C$106,MATCH($C621,MUSTERILER!$B$7:$B$106,0))))</f>
        <v/>
      </c>
      <c r="O621" s="6" t="n"/>
      <c r="P621" s="6" t="n"/>
      <c r="Q621" s="3">
        <f>IF($D621="","",$C621&amp;"|"&amp;COUNTIFS($C$7:$C621,$C621))</f>
        <v/>
      </c>
    </row>
    <row r="622">
      <c r="A622" s="6" t="n"/>
      <c r="B622" s="113">
        <f>IF($D622="","","T"&amp;TEXT(ROW()-6,"00000"))</f>
        <v/>
      </c>
      <c r="C622" s="113">
        <f>IF($D622="","",IFERROR(INDEX(MUSTERILER!$B$7:$B$106,MATCH($D622,MUSTERILER!$C$7:$C$106,0)),IFERROR(INDEX(MUSTERILER!$B$7:$B$106,MATCH($D622,MUSTERILER!$B$7:$B$106,0)),IFERROR(INDEX(MUSTERILER!$B$7:$B$106,MATCH($D622&amp;"*",MUSTERILER!$C$7:$C$106,0)),"TANIMSIZ MÜŞTERİ"))))</f>
        <v/>
      </c>
      <c r="D622" s="109" t="n"/>
      <c r="E622" s="225" t="n"/>
      <c r="F622" s="226" t="n"/>
      <c r="G622" s="108" t="n"/>
      <c r="H622" s="108" t="n"/>
      <c r="I622" s="109" t="n"/>
      <c r="J622" s="109" t="n"/>
      <c r="K622" s="109" t="n"/>
      <c r="L622" s="231">
        <f>IF($E622="","",DATE(YEAR($E622),MONTH($E622),1))</f>
        <v/>
      </c>
      <c r="M622" s="113">
        <f>IF($D622="","",IF($C622="TANIMSIZ MÜŞTERİ","HATA",IF(OR($E622="",$F622&lt;=0,$G622=""),"EKSİK",IF($E622&gt;TODAY(),"İLERİ TARİH","UYGUN"))))</f>
        <v/>
      </c>
      <c r="N622" s="121">
        <f>IF($C622="","",IF($C622="TANIMSIZ MÜŞTERİ","—",INDEX(MUSTERILER!$C$7:$C$106,MATCH($C622,MUSTERILER!$B$7:$B$106,0))))</f>
        <v/>
      </c>
      <c r="O622" s="6" t="n"/>
      <c r="P622" s="6" t="n"/>
      <c r="Q622" s="3">
        <f>IF($D622="","",$C622&amp;"|"&amp;COUNTIFS($C$7:$C622,$C622))</f>
        <v/>
      </c>
    </row>
    <row r="623">
      <c r="A623" s="6" t="n"/>
      <c r="B623" s="113">
        <f>IF($D623="","","T"&amp;TEXT(ROW()-6,"00000"))</f>
        <v/>
      </c>
      <c r="C623" s="113">
        <f>IF($D623="","",IFERROR(INDEX(MUSTERILER!$B$7:$B$106,MATCH($D623,MUSTERILER!$C$7:$C$106,0)),IFERROR(INDEX(MUSTERILER!$B$7:$B$106,MATCH($D623,MUSTERILER!$B$7:$B$106,0)),IFERROR(INDEX(MUSTERILER!$B$7:$B$106,MATCH($D623&amp;"*",MUSTERILER!$C$7:$C$106,0)),"TANIMSIZ MÜŞTERİ"))))</f>
        <v/>
      </c>
      <c r="D623" s="109" t="n"/>
      <c r="E623" s="225" t="n"/>
      <c r="F623" s="226" t="n"/>
      <c r="G623" s="108" t="n"/>
      <c r="H623" s="108" t="n"/>
      <c r="I623" s="109" t="n"/>
      <c r="J623" s="109" t="n"/>
      <c r="K623" s="109" t="n"/>
      <c r="L623" s="231">
        <f>IF($E623="","",DATE(YEAR($E623),MONTH($E623),1))</f>
        <v/>
      </c>
      <c r="M623" s="113">
        <f>IF($D623="","",IF($C623="TANIMSIZ MÜŞTERİ","HATA",IF(OR($E623="",$F623&lt;=0,$G623=""),"EKSİK",IF($E623&gt;TODAY(),"İLERİ TARİH","UYGUN"))))</f>
        <v/>
      </c>
      <c r="N623" s="121">
        <f>IF($C623="","",IF($C623="TANIMSIZ MÜŞTERİ","—",INDEX(MUSTERILER!$C$7:$C$106,MATCH($C623,MUSTERILER!$B$7:$B$106,0))))</f>
        <v/>
      </c>
      <c r="O623" s="6" t="n"/>
      <c r="P623" s="6" t="n"/>
      <c r="Q623" s="3">
        <f>IF($D623="","",$C623&amp;"|"&amp;COUNTIFS($C$7:$C623,$C623))</f>
        <v/>
      </c>
    </row>
    <row r="624">
      <c r="A624" s="6" t="n"/>
      <c r="B624" s="113">
        <f>IF($D624="","","T"&amp;TEXT(ROW()-6,"00000"))</f>
        <v/>
      </c>
      <c r="C624" s="113">
        <f>IF($D624="","",IFERROR(INDEX(MUSTERILER!$B$7:$B$106,MATCH($D624,MUSTERILER!$C$7:$C$106,0)),IFERROR(INDEX(MUSTERILER!$B$7:$B$106,MATCH($D624,MUSTERILER!$B$7:$B$106,0)),IFERROR(INDEX(MUSTERILER!$B$7:$B$106,MATCH($D624&amp;"*",MUSTERILER!$C$7:$C$106,0)),"TANIMSIZ MÜŞTERİ"))))</f>
        <v/>
      </c>
      <c r="D624" s="109" t="n"/>
      <c r="E624" s="225" t="n"/>
      <c r="F624" s="226" t="n"/>
      <c r="G624" s="108" t="n"/>
      <c r="H624" s="108" t="n"/>
      <c r="I624" s="109" t="n"/>
      <c r="J624" s="109" t="n"/>
      <c r="K624" s="109" t="n"/>
      <c r="L624" s="231">
        <f>IF($E624="","",DATE(YEAR($E624),MONTH($E624),1))</f>
        <v/>
      </c>
      <c r="M624" s="113">
        <f>IF($D624="","",IF($C624="TANIMSIZ MÜŞTERİ","HATA",IF(OR($E624="",$F624&lt;=0,$G624=""),"EKSİK",IF($E624&gt;TODAY(),"İLERİ TARİH","UYGUN"))))</f>
        <v/>
      </c>
      <c r="N624" s="121">
        <f>IF($C624="","",IF($C624="TANIMSIZ MÜŞTERİ","—",INDEX(MUSTERILER!$C$7:$C$106,MATCH($C624,MUSTERILER!$B$7:$B$106,0))))</f>
        <v/>
      </c>
      <c r="O624" s="6" t="n"/>
      <c r="P624" s="6" t="n"/>
      <c r="Q624" s="3">
        <f>IF($D624="","",$C624&amp;"|"&amp;COUNTIFS($C$7:$C624,$C624))</f>
        <v/>
      </c>
    </row>
    <row r="625">
      <c r="A625" s="6" t="n"/>
      <c r="B625" s="113">
        <f>IF($D625="","","T"&amp;TEXT(ROW()-6,"00000"))</f>
        <v/>
      </c>
      <c r="C625" s="113">
        <f>IF($D625="","",IFERROR(INDEX(MUSTERILER!$B$7:$B$106,MATCH($D625,MUSTERILER!$C$7:$C$106,0)),IFERROR(INDEX(MUSTERILER!$B$7:$B$106,MATCH($D625,MUSTERILER!$B$7:$B$106,0)),IFERROR(INDEX(MUSTERILER!$B$7:$B$106,MATCH($D625&amp;"*",MUSTERILER!$C$7:$C$106,0)),"TANIMSIZ MÜŞTERİ"))))</f>
        <v/>
      </c>
      <c r="D625" s="109" t="n"/>
      <c r="E625" s="225" t="n"/>
      <c r="F625" s="226" t="n"/>
      <c r="G625" s="108" t="n"/>
      <c r="H625" s="108" t="n"/>
      <c r="I625" s="109" t="n"/>
      <c r="J625" s="109" t="n"/>
      <c r="K625" s="109" t="n"/>
      <c r="L625" s="231">
        <f>IF($E625="","",DATE(YEAR($E625),MONTH($E625),1))</f>
        <v/>
      </c>
      <c r="M625" s="113">
        <f>IF($D625="","",IF($C625="TANIMSIZ MÜŞTERİ","HATA",IF(OR($E625="",$F625&lt;=0,$G625=""),"EKSİK",IF($E625&gt;TODAY(),"İLERİ TARİH","UYGUN"))))</f>
        <v/>
      </c>
      <c r="N625" s="121">
        <f>IF($C625="","",IF($C625="TANIMSIZ MÜŞTERİ","—",INDEX(MUSTERILER!$C$7:$C$106,MATCH($C625,MUSTERILER!$B$7:$B$106,0))))</f>
        <v/>
      </c>
      <c r="O625" s="6" t="n"/>
      <c r="P625" s="6" t="n"/>
      <c r="Q625" s="3">
        <f>IF($D625="","",$C625&amp;"|"&amp;COUNTIFS($C$7:$C625,$C625))</f>
        <v/>
      </c>
    </row>
    <row r="626">
      <c r="A626" s="6" t="n"/>
      <c r="B626" s="113">
        <f>IF($D626="","","T"&amp;TEXT(ROW()-6,"00000"))</f>
        <v/>
      </c>
      <c r="C626" s="113">
        <f>IF($D626="","",IFERROR(INDEX(MUSTERILER!$B$7:$B$106,MATCH($D626,MUSTERILER!$C$7:$C$106,0)),IFERROR(INDEX(MUSTERILER!$B$7:$B$106,MATCH($D626,MUSTERILER!$B$7:$B$106,0)),IFERROR(INDEX(MUSTERILER!$B$7:$B$106,MATCH($D626&amp;"*",MUSTERILER!$C$7:$C$106,0)),"TANIMSIZ MÜŞTERİ"))))</f>
        <v/>
      </c>
      <c r="D626" s="109" t="n"/>
      <c r="E626" s="225" t="n"/>
      <c r="F626" s="226" t="n"/>
      <c r="G626" s="108" t="n"/>
      <c r="H626" s="108" t="n"/>
      <c r="I626" s="109" t="n"/>
      <c r="J626" s="109" t="n"/>
      <c r="K626" s="109" t="n"/>
      <c r="L626" s="231">
        <f>IF($E626="","",DATE(YEAR($E626),MONTH($E626),1))</f>
        <v/>
      </c>
      <c r="M626" s="113">
        <f>IF($D626="","",IF($C626="TANIMSIZ MÜŞTERİ","HATA",IF(OR($E626="",$F626&lt;=0,$G626=""),"EKSİK",IF($E626&gt;TODAY(),"İLERİ TARİH","UYGUN"))))</f>
        <v/>
      </c>
      <c r="N626" s="121">
        <f>IF($C626="","",IF($C626="TANIMSIZ MÜŞTERİ","—",INDEX(MUSTERILER!$C$7:$C$106,MATCH($C626,MUSTERILER!$B$7:$B$106,0))))</f>
        <v/>
      </c>
      <c r="O626" s="6" t="n"/>
      <c r="P626" s="6" t="n"/>
      <c r="Q626" s="3">
        <f>IF($D626="","",$C626&amp;"|"&amp;COUNTIFS($C$7:$C626,$C626))</f>
        <v/>
      </c>
    </row>
    <row r="627">
      <c r="A627" s="6" t="n"/>
      <c r="B627" s="113">
        <f>IF($D627="","","T"&amp;TEXT(ROW()-6,"00000"))</f>
        <v/>
      </c>
      <c r="C627" s="113">
        <f>IF($D627="","",IFERROR(INDEX(MUSTERILER!$B$7:$B$106,MATCH($D627,MUSTERILER!$C$7:$C$106,0)),IFERROR(INDEX(MUSTERILER!$B$7:$B$106,MATCH($D627,MUSTERILER!$B$7:$B$106,0)),IFERROR(INDEX(MUSTERILER!$B$7:$B$106,MATCH($D627&amp;"*",MUSTERILER!$C$7:$C$106,0)),"TANIMSIZ MÜŞTERİ"))))</f>
        <v/>
      </c>
      <c r="D627" s="109" t="n"/>
      <c r="E627" s="225" t="n"/>
      <c r="F627" s="226" t="n"/>
      <c r="G627" s="108" t="n"/>
      <c r="H627" s="108" t="n"/>
      <c r="I627" s="109" t="n"/>
      <c r="J627" s="109" t="n"/>
      <c r="K627" s="109" t="n"/>
      <c r="L627" s="231">
        <f>IF($E627="","",DATE(YEAR($E627),MONTH($E627),1))</f>
        <v/>
      </c>
      <c r="M627" s="113">
        <f>IF($D627="","",IF($C627="TANIMSIZ MÜŞTERİ","HATA",IF(OR($E627="",$F627&lt;=0,$G627=""),"EKSİK",IF($E627&gt;TODAY(),"İLERİ TARİH","UYGUN"))))</f>
        <v/>
      </c>
      <c r="N627" s="121">
        <f>IF($C627="","",IF($C627="TANIMSIZ MÜŞTERİ","—",INDEX(MUSTERILER!$C$7:$C$106,MATCH($C627,MUSTERILER!$B$7:$B$106,0))))</f>
        <v/>
      </c>
      <c r="O627" s="6" t="n"/>
      <c r="P627" s="6" t="n"/>
      <c r="Q627" s="3">
        <f>IF($D627="","",$C627&amp;"|"&amp;COUNTIFS($C$7:$C627,$C627))</f>
        <v/>
      </c>
    </row>
    <row r="628">
      <c r="A628" s="6" t="n"/>
      <c r="B628" s="113">
        <f>IF($D628="","","T"&amp;TEXT(ROW()-6,"00000"))</f>
        <v/>
      </c>
      <c r="C628" s="113">
        <f>IF($D628="","",IFERROR(INDEX(MUSTERILER!$B$7:$B$106,MATCH($D628,MUSTERILER!$C$7:$C$106,0)),IFERROR(INDEX(MUSTERILER!$B$7:$B$106,MATCH($D628,MUSTERILER!$B$7:$B$106,0)),IFERROR(INDEX(MUSTERILER!$B$7:$B$106,MATCH($D628&amp;"*",MUSTERILER!$C$7:$C$106,0)),"TANIMSIZ MÜŞTERİ"))))</f>
        <v/>
      </c>
      <c r="D628" s="109" t="n"/>
      <c r="E628" s="225" t="n"/>
      <c r="F628" s="226" t="n"/>
      <c r="G628" s="108" t="n"/>
      <c r="H628" s="108" t="n"/>
      <c r="I628" s="109" t="n"/>
      <c r="J628" s="109" t="n"/>
      <c r="K628" s="109" t="n"/>
      <c r="L628" s="231">
        <f>IF($E628="","",DATE(YEAR($E628),MONTH($E628),1))</f>
        <v/>
      </c>
      <c r="M628" s="113">
        <f>IF($D628="","",IF($C628="TANIMSIZ MÜŞTERİ","HATA",IF(OR($E628="",$F628&lt;=0,$G628=""),"EKSİK",IF($E628&gt;TODAY(),"İLERİ TARİH","UYGUN"))))</f>
        <v/>
      </c>
      <c r="N628" s="121">
        <f>IF($C628="","",IF($C628="TANIMSIZ MÜŞTERİ","—",INDEX(MUSTERILER!$C$7:$C$106,MATCH($C628,MUSTERILER!$B$7:$B$106,0))))</f>
        <v/>
      </c>
      <c r="O628" s="6" t="n"/>
      <c r="P628" s="6" t="n"/>
      <c r="Q628" s="3">
        <f>IF($D628="","",$C628&amp;"|"&amp;COUNTIFS($C$7:$C628,$C628))</f>
        <v/>
      </c>
    </row>
    <row r="629">
      <c r="A629" s="6" t="n"/>
      <c r="B629" s="113">
        <f>IF($D629="","","T"&amp;TEXT(ROW()-6,"00000"))</f>
        <v/>
      </c>
      <c r="C629" s="113">
        <f>IF($D629="","",IFERROR(INDEX(MUSTERILER!$B$7:$B$106,MATCH($D629,MUSTERILER!$C$7:$C$106,0)),IFERROR(INDEX(MUSTERILER!$B$7:$B$106,MATCH($D629,MUSTERILER!$B$7:$B$106,0)),IFERROR(INDEX(MUSTERILER!$B$7:$B$106,MATCH($D629&amp;"*",MUSTERILER!$C$7:$C$106,0)),"TANIMSIZ MÜŞTERİ"))))</f>
        <v/>
      </c>
      <c r="D629" s="109" t="n"/>
      <c r="E629" s="225" t="n"/>
      <c r="F629" s="226" t="n"/>
      <c r="G629" s="108" t="n"/>
      <c r="H629" s="108" t="n"/>
      <c r="I629" s="109" t="n"/>
      <c r="J629" s="109" t="n"/>
      <c r="K629" s="109" t="n"/>
      <c r="L629" s="231">
        <f>IF($E629="","",DATE(YEAR($E629),MONTH($E629),1))</f>
        <v/>
      </c>
      <c r="M629" s="113">
        <f>IF($D629="","",IF($C629="TANIMSIZ MÜŞTERİ","HATA",IF(OR($E629="",$F629&lt;=0,$G629=""),"EKSİK",IF($E629&gt;TODAY(),"İLERİ TARİH","UYGUN"))))</f>
        <v/>
      </c>
      <c r="N629" s="121">
        <f>IF($C629="","",IF($C629="TANIMSIZ MÜŞTERİ","—",INDEX(MUSTERILER!$C$7:$C$106,MATCH($C629,MUSTERILER!$B$7:$B$106,0))))</f>
        <v/>
      </c>
      <c r="O629" s="6" t="n"/>
      <c r="P629" s="6" t="n"/>
      <c r="Q629" s="3">
        <f>IF($D629="","",$C629&amp;"|"&amp;COUNTIFS($C$7:$C629,$C629))</f>
        <v/>
      </c>
    </row>
    <row r="630">
      <c r="A630" s="6" t="n"/>
      <c r="B630" s="113">
        <f>IF($D630="","","T"&amp;TEXT(ROW()-6,"00000"))</f>
        <v/>
      </c>
      <c r="C630" s="113">
        <f>IF($D630="","",IFERROR(INDEX(MUSTERILER!$B$7:$B$106,MATCH($D630,MUSTERILER!$C$7:$C$106,0)),IFERROR(INDEX(MUSTERILER!$B$7:$B$106,MATCH($D630,MUSTERILER!$B$7:$B$106,0)),IFERROR(INDEX(MUSTERILER!$B$7:$B$106,MATCH($D630&amp;"*",MUSTERILER!$C$7:$C$106,0)),"TANIMSIZ MÜŞTERİ"))))</f>
        <v/>
      </c>
      <c r="D630" s="109" t="n"/>
      <c r="E630" s="225" t="n"/>
      <c r="F630" s="226" t="n"/>
      <c r="G630" s="108" t="n"/>
      <c r="H630" s="108" t="n"/>
      <c r="I630" s="109" t="n"/>
      <c r="J630" s="109" t="n"/>
      <c r="K630" s="109" t="n"/>
      <c r="L630" s="231">
        <f>IF($E630="","",DATE(YEAR($E630),MONTH($E630),1))</f>
        <v/>
      </c>
      <c r="M630" s="113">
        <f>IF($D630="","",IF($C630="TANIMSIZ MÜŞTERİ","HATA",IF(OR($E630="",$F630&lt;=0,$G630=""),"EKSİK",IF($E630&gt;TODAY(),"İLERİ TARİH","UYGUN"))))</f>
        <v/>
      </c>
      <c r="N630" s="121">
        <f>IF($C630="","",IF($C630="TANIMSIZ MÜŞTERİ","—",INDEX(MUSTERILER!$C$7:$C$106,MATCH($C630,MUSTERILER!$B$7:$B$106,0))))</f>
        <v/>
      </c>
      <c r="O630" s="6" t="n"/>
      <c r="P630" s="6" t="n"/>
      <c r="Q630" s="3">
        <f>IF($D630="","",$C630&amp;"|"&amp;COUNTIFS($C$7:$C630,$C630))</f>
        <v/>
      </c>
    </row>
    <row r="631">
      <c r="A631" s="6" t="n"/>
      <c r="B631" s="113">
        <f>IF($D631="","","T"&amp;TEXT(ROW()-6,"00000"))</f>
        <v/>
      </c>
      <c r="C631" s="113">
        <f>IF($D631="","",IFERROR(INDEX(MUSTERILER!$B$7:$B$106,MATCH($D631,MUSTERILER!$C$7:$C$106,0)),IFERROR(INDEX(MUSTERILER!$B$7:$B$106,MATCH($D631,MUSTERILER!$B$7:$B$106,0)),IFERROR(INDEX(MUSTERILER!$B$7:$B$106,MATCH($D631&amp;"*",MUSTERILER!$C$7:$C$106,0)),"TANIMSIZ MÜŞTERİ"))))</f>
        <v/>
      </c>
      <c r="D631" s="109" t="n"/>
      <c r="E631" s="225" t="n"/>
      <c r="F631" s="226" t="n"/>
      <c r="G631" s="108" t="n"/>
      <c r="H631" s="108" t="n"/>
      <c r="I631" s="109" t="n"/>
      <c r="J631" s="109" t="n"/>
      <c r="K631" s="109" t="n"/>
      <c r="L631" s="231">
        <f>IF($E631="","",DATE(YEAR($E631),MONTH($E631),1))</f>
        <v/>
      </c>
      <c r="M631" s="113">
        <f>IF($D631="","",IF($C631="TANIMSIZ MÜŞTERİ","HATA",IF(OR($E631="",$F631&lt;=0,$G631=""),"EKSİK",IF($E631&gt;TODAY(),"İLERİ TARİH","UYGUN"))))</f>
        <v/>
      </c>
      <c r="N631" s="121">
        <f>IF($C631="","",IF($C631="TANIMSIZ MÜŞTERİ","—",INDEX(MUSTERILER!$C$7:$C$106,MATCH($C631,MUSTERILER!$B$7:$B$106,0))))</f>
        <v/>
      </c>
      <c r="O631" s="6" t="n"/>
      <c r="P631" s="6" t="n"/>
      <c r="Q631" s="3">
        <f>IF($D631="","",$C631&amp;"|"&amp;COUNTIFS($C$7:$C631,$C631))</f>
        <v/>
      </c>
    </row>
    <row r="632">
      <c r="A632" s="6" t="n"/>
      <c r="B632" s="113">
        <f>IF($D632="","","T"&amp;TEXT(ROW()-6,"00000"))</f>
        <v/>
      </c>
      <c r="C632" s="113">
        <f>IF($D632="","",IFERROR(INDEX(MUSTERILER!$B$7:$B$106,MATCH($D632,MUSTERILER!$C$7:$C$106,0)),IFERROR(INDEX(MUSTERILER!$B$7:$B$106,MATCH($D632,MUSTERILER!$B$7:$B$106,0)),IFERROR(INDEX(MUSTERILER!$B$7:$B$106,MATCH($D632&amp;"*",MUSTERILER!$C$7:$C$106,0)),"TANIMSIZ MÜŞTERİ"))))</f>
        <v/>
      </c>
      <c r="D632" s="109" t="n"/>
      <c r="E632" s="225" t="n"/>
      <c r="F632" s="226" t="n"/>
      <c r="G632" s="108" t="n"/>
      <c r="H632" s="108" t="n"/>
      <c r="I632" s="109" t="n"/>
      <c r="J632" s="109" t="n"/>
      <c r="K632" s="109" t="n"/>
      <c r="L632" s="231">
        <f>IF($E632="","",DATE(YEAR($E632),MONTH($E632),1))</f>
        <v/>
      </c>
      <c r="M632" s="113">
        <f>IF($D632="","",IF($C632="TANIMSIZ MÜŞTERİ","HATA",IF(OR($E632="",$F632&lt;=0,$G632=""),"EKSİK",IF($E632&gt;TODAY(),"İLERİ TARİH","UYGUN"))))</f>
        <v/>
      </c>
      <c r="N632" s="121">
        <f>IF($C632="","",IF($C632="TANIMSIZ MÜŞTERİ","—",INDEX(MUSTERILER!$C$7:$C$106,MATCH($C632,MUSTERILER!$B$7:$B$106,0))))</f>
        <v/>
      </c>
      <c r="O632" s="6" t="n"/>
      <c r="P632" s="6" t="n"/>
      <c r="Q632" s="3">
        <f>IF($D632="","",$C632&amp;"|"&amp;COUNTIFS($C$7:$C632,$C632))</f>
        <v/>
      </c>
    </row>
    <row r="633">
      <c r="A633" s="6" t="n"/>
      <c r="B633" s="113">
        <f>IF($D633="","","T"&amp;TEXT(ROW()-6,"00000"))</f>
        <v/>
      </c>
      <c r="C633" s="113">
        <f>IF($D633="","",IFERROR(INDEX(MUSTERILER!$B$7:$B$106,MATCH($D633,MUSTERILER!$C$7:$C$106,0)),IFERROR(INDEX(MUSTERILER!$B$7:$B$106,MATCH($D633,MUSTERILER!$B$7:$B$106,0)),IFERROR(INDEX(MUSTERILER!$B$7:$B$106,MATCH($D633&amp;"*",MUSTERILER!$C$7:$C$106,0)),"TANIMSIZ MÜŞTERİ"))))</f>
        <v/>
      </c>
      <c r="D633" s="109" t="n"/>
      <c r="E633" s="225" t="n"/>
      <c r="F633" s="226" t="n"/>
      <c r="G633" s="108" t="n"/>
      <c r="H633" s="108" t="n"/>
      <c r="I633" s="109" t="n"/>
      <c r="J633" s="109" t="n"/>
      <c r="K633" s="109" t="n"/>
      <c r="L633" s="231">
        <f>IF($E633="","",DATE(YEAR($E633),MONTH($E633),1))</f>
        <v/>
      </c>
      <c r="M633" s="113">
        <f>IF($D633="","",IF($C633="TANIMSIZ MÜŞTERİ","HATA",IF(OR($E633="",$F633&lt;=0,$G633=""),"EKSİK",IF($E633&gt;TODAY(),"İLERİ TARİH","UYGUN"))))</f>
        <v/>
      </c>
      <c r="N633" s="121">
        <f>IF($C633="","",IF($C633="TANIMSIZ MÜŞTERİ","—",INDEX(MUSTERILER!$C$7:$C$106,MATCH($C633,MUSTERILER!$B$7:$B$106,0))))</f>
        <v/>
      </c>
      <c r="O633" s="6" t="n"/>
      <c r="P633" s="6" t="n"/>
      <c r="Q633" s="3">
        <f>IF($D633="","",$C633&amp;"|"&amp;COUNTIFS($C$7:$C633,$C633))</f>
        <v/>
      </c>
    </row>
    <row r="634">
      <c r="A634" s="6" t="n"/>
      <c r="B634" s="113">
        <f>IF($D634="","","T"&amp;TEXT(ROW()-6,"00000"))</f>
        <v/>
      </c>
      <c r="C634" s="113">
        <f>IF($D634="","",IFERROR(INDEX(MUSTERILER!$B$7:$B$106,MATCH($D634,MUSTERILER!$C$7:$C$106,0)),IFERROR(INDEX(MUSTERILER!$B$7:$B$106,MATCH($D634,MUSTERILER!$B$7:$B$106,0)),IFERROR(INDEX(MUSTERILER!$B$7:$B$106,MATCH($D634&amp;"*",MUSTERILER!$C$7:$C$106,0)),"TANIMSIZ MÜŞTERİ"))))</f>
        <v/>
      </c>
      <c r="D634" s="109" t="n"/>
      <c r="E634" s="225" t="n"/>
      <c r="F634" s="226" t="n"/>
      <c r="G634" s="108" t="n"/>
      <c r="H634" s="108" t="n"/>
      <c r="I634" s="109" t="n"/>
      <c r="J634" s="109" t="n"/>
      <c r="K634" s="109" t="n"/>
      <c r="L634" s="231">
        <f>IF($E634="","",DATE(YEAR($E634),MONTH($E634),1))</f>
        <v/>
      </c>
      <c r="M634" s="113">
        <f>IF($D634="","",IF($C634="TANIMSIZ MÜŞTERİ","HATA",IF(OR($E634="",$F634&lt;=0,$G634=""),"EKSİK",IF($E634&gt;TODAY(),"İLERİ TARİH","UYGUN"))))</f>
        <v/>
      </c>
      <c r="N634" s="121">
        <f>IF($C634="","",IF($C634="TANIMSIZ MÜŞTERİ","—",INDEX(MUSTERILER!$C$7:$C$106,MATCH($C634,MUSTERILER!$B$7:$B$106,0))))</f>
        <v/>
      </c>
      <c r="O634" s="6" t="n"/>
      <c r="P634" s="6" t="n"/>
      <c r="Q634" s="3">
        <f>IF($D634="","",$C634&amp;"|"&amp;COUNTIFS($C$7:$C634,$C634))</f>
        <v/>
      </c>
    </row>
    <row r="635">
      <c r="A635" s="6" t="n"/>
      <c r="B635" s="113">
        <f>IF($D635="","","T"&amp;TEXT(ROW()-6,"00000"))</f>
        <v/>
      </c>
      <c r="C635" s="113">
        <f>IF($D635="","",IFERROR(INDEX(MUSTERILER!$B$7:$B$106,MATCH($D635,MUSTERILER!$C$7:$C$106,0)),IFERROR(INDEX(MUSTERILER!$B$7:$B$106,MATCH($D635,MUSTERILER!$B$7:$B$106,0)),IFERROR(INDEX(MUSTERILER!$B$7:$B$106,MATCH($D635&amp;"*",MUSTERILER!$C$7:$C$106,0)),"TANIMSIZ MÜŞTERİ"))))</f>
        <v/>
      </c>
      <c r="D635" s="109" t="n"/>
      <c r="E635" s="225" t="n"/>
      <c r="F635" s="226" t="n"/>
      <c r="G635" s="108" t="n"/>
      <c r="H635" s="108" t="n"/>
      <c r="I635" s="109" t="n"/>
      <c r="J635" s="109" t="n"/>
      <c r="K635" s="109" t="n"/>
      <c r="L635" s="231">
        <f>IF($E635="","",DATE(YEAR($E635),MONTH($E635),1))</f>
        <v/>
      </c>
      <c r="M635" s="113">
        <f>IF($D635="","",IF($C635="TANIMSIZ MÜŞTERİ","HATA",IF(OR($E635="",$F635&lt;=0,$G635=""),"EKSİK",IF($E635&gt;TODAY(),"İLERİ TARİH","UYGUN"))))</f>
        <v/>
      </c>
      <c r="N635" s="121">
        <f>IF($C635="","",IF($C635="TANIMSIZ MÜŞTERİ","—",INDEX(MUSTERILER!$C$7:$C$106,MATCH($C635,MUSTERILER!$B$7:$B$106,0))))</f>
        <v/>
      </c>
      <c r="O635" s="6" t="n"/>
      <c r="P635" s="6" t="n"/>
      <c r="Q635" s="3">
        <f>IF($D635="","",$C635&amp;"|"&amp;COUNTIFS($C$7:$C635,$C635))</f>
        <v/>
      </c>
    </row>
    <row r="636">
      <c r="A636" s="6" t="n"/>
      <c r="B636" s="113">
        <f>IF($D636="","","T"&amp;TEXT(ROW()-6,"00000"))</f>
        <v/>
      </c>
      <c r="C636" s="113">
        <f>IF($D636="","",IFERROR(INDEX(MUSTERILER!$B$7:$B$106,MATCH($D636,MUSTERILER!$C$7:$C$106,0)),IFERROR(INDEX(MUSTERILER!$B$7:$B$106,MATCH($D636,MUSTERILER!$B$7:$B$106,0)),IFERROR(INDEX(MUSTERILER!$B$7:$B$106,MATCH($D636&amp;"*",MUSTERILER!$C$7:$C$106,0)),"TANIMSIZ MÜŞTERİ"))))</f>
        <v/>
      </c>
      <c r="D636" s="109" t="n"/>
      <c r="E636" s="225" t="n"/>
      <c r="F636" s="226" t="n"/>
      <c r="G636" s="108" t="n"/>
      <c r="H636" s="108" t="n"/>
      <c r="I636" s="109" t="n"/>
      <c r="J636" s="109" t="n"/>
      <c r="K636" s="109" t="n"/>
      <c r="L636" s="231">
        <f>IF($E636="","",DATE(YEAR($E636),MONTH($E636),1))</f>
        <v/>
      </c>
      <c r="M636" s="113">
        <f>IF($D636="","",IF($C636="TANIMSIZ MÜŞTERİ","HATA",IF(OR($E636="",$F636&lt;=0,$G636=""),"EKSİK",IF($E636&gt;TODAY(),"İLERİ TARİH","UYGUN"))))</f>
        <v/>
      </c>
      <c r="N636" s="121">
        <f>IF($C636="","",IF($C636="TANIMSIZ MÜŞTERİ","—",INDEX(MUSTERILER!$C$7:$C$106,MATCH($C636,MUSTERILER!$B$7:$B$106,0))))</f>
        <v/>
      </c>
      <c r="O636" s="6" t="n"/>
      <c r="P636" s="6" t="n"/>
      <c r="Q636" s="3">
        <f>IF($D636="","",$C636&amp;"|"&amp;COUNTIFS($C$7:$C636,$C636))</f>
        <v/>
      </c>
    </row>
    <row r="637">
      <c r="A637" s="6" t="n"/>
      <c r="B637" s="113">
        <f>IF($D637="","","T"&amp;TEXT(ROW()-6,"00000"))</f>
        <v/>
      </c>
      <c r="C637" s="113">
        <f>IF($D637="","",IFERROR(INDEX(MUSTERILER!$B$7:$B$106,MATCH($D637,MUSTERILER!$C$7:$C$106,0)),IFERROR(INDEX(MUSTERILER!$B$7:$B$106,MATCH($D637,MUSTERILER!$B$7:$B$106,0)),IFERROR(INDEX(MUSTERILER!$B$7:$B$106,MATCH($D637&amp;"*",MUSTERILER!$C$7:$C$106,0)),"TANIMSIZ MÜŞTERİ"))))</f>
        <v/>
      </c>
      <c r="D637" s="109" t="n"/>
      <c r="E637" s="225" t="n"/>
      <c r="F637" s="226" t="n"/>
      <c r="G637" s="108" t="n"/>
      <c r="H637" s="108" t="n"/>
      <c r="I637" s="109" t="n"/>
      <c r="J637" s="109" t="n"/>
      <c r="K637" s="109" t="n"/>
      <c r="L637" s="231">
        <f>IF($E637="","",DATE(YEAR($E637),MONTH($E637),1))</f>
        <v/>
      </c>
      <c r="M637" s="113">
        <f>IF($D637="","",IF($C637="TANIMSIZ MÜŞTERİ","HATA",IF(OR($E637="",$F637&lt;=0,$G637=""),"EKSİK",IF($E637&gt;TODAY(),"İLERİ TARİH","UYGUN"))))</f>
        <v/>
      </c>
      <c r="N637" s="121">
        <f>IF($C637="","",IF($C637="TANIMSIZ MÜŞTERİ","—",INDEX(MUSTERILER!$C$7:$C$106,MATCH($C637,MUSTERILER!$B$7:$B$106,0))))</f>
        <v/>
      </c>
      <c r="O637" s="6" t="n"/>
      <c r="P637" s="6" t="n"/>
      <c r="Q637" s="3">
        <f>IF($D637="","",$C637&amp;"|"&amp;COUNTIFS($C$7:$C637,$C637))</f>
        <v/>
      </c>
    </row>
    <row r="638">
      <c r="A638" s="6" t="n"/>
      <c r="B638" s="113">
        <f>IF($D638="","","T"&amp;TEXT(ROW()-6,"00000"))</f>
        <v/>
      </c>
      <c r="C638" s="113">
        <f>IF($D638="","",IFERROR(INDEX(MUSTERILER!$B$7:$B$106,MATCH($D638,MUSTERILER!$C$7:$C$106,0)),IFERROR(INDEX(MUSTERILER!$B$7:$B$106,MATCH($D638,MUSTERILER!$B$7:$B$106,0)),IFERROR(INDEX(MUSTERILER!$B$7:$B$106,MATCH($D638&amp;"*",MUSTERILER!$C$7:$C$106,0)),"TANIMSIZ MÜŞTERİ"))))</f>
        <v/>
      </c>
      <c r="D638" s="109" t="n"/>
      <c r="E638" s="225" t="n"/>
      <c r="F638" s="226" t="n"/>
      <c r="G638" s="108" t="n"/>
      <c r="H638" s="108" t="n"/>
      <c r="I638" s="109" t="n"/>
      <c r="J638" s="109" t="n"/>
      <c r="K638" s="109" t="n"/>
      <c r="L638" s="231">
        <f>IF($E638="","",DATE(YEAR($E638),MONTH($E638),1))</f>
        <v/>
      </c>
      <c r="M638" s="113">
        <f>IF($D638="","",IF($C638="TANIMSIZ MÜŞTERİ","HATA",IF(OR($E638="",$F638&lt;=0,$G638=""),"EKSİK",IF($E638&gt;TODAY(),"İLERİ TARİH","UYGUN"))))</f>
        <v/>
      </c>
      <c r="N638" s="121">
        <f>IF($C638="","",IF($C638="TANIMSIZ MÜŞTERİ","—",INDEX(MUSTERILER!$C$7:$C$106,MATCH($C638,MUSTERILER!$B$7:$B$106,0))))</f>
        <v/>
      </c>
      <c r="O638" s="6" t="n"/>
      <c r="P638" s="6" t="n"/>
      <c r="Q638" s="3">
        <f>IF($D638="","",$C638&amp;"|"&amp;COUNTIFS($C$7:$C638,$C638))</f>
        <v/>
      </c>
    </row>
    <row r="639">
      <c r="A639" s="6" t="n"/>
      <c r="B639" s="113">
        <f>IF($D639="","","T"&amp;TEXT(ROW()-6,"00000"))</f>
        <v/>
      </c>
      <c r="C639" s="113">
        <f>IF($D639="","",IFERROR(INDEX(MUSTERILER!$B$7:$B$106,MATCH($D639,MUSTERILER!$C$7:$C$106,0)),IFERROR(INDEX(MUSTERILER!$B$7:$B$106,MATCH($D639,MUSTERILER!$B$7:$B$106,0)),IFERROR(INDEX(MUSTERILER!$B$7:$B$106,MATCH($D639&amp;"*",MUSTERILER!$C$7:$C$106,0)),"TANIMSIZ MÜŞTERİ"))))</f>
        <v/>
      </c>
      <c r="D639" s="109" t="n"/>
      <c r="E639" s="225" t="n"/>
      <c r="F639" s="226" t="n"/>
      <c r="G639" s="108" t="n"/>
      <c r="H639" s="108" t="n"/>
      <c r="I639" s="109" t="n"/>
      <c r="J639" s="109" t="n"/>
      <c r="K639" s="109" t="n"/>
      <c r="L639" s="231">
        <f>IF($E639="","",DATE(YEAR($E639),MONTH($E639),1))</f>
        <v/>
      </c>
      <c r="M639" s="113">
        <f>IF($D639="","",IF($C639="TANIMSIZ MÜŞTERİ","HATA",IF(OR($E639="",$F639&lt;=0,$G639=""),"EKSİK",IF($E639&gt;TODAY(),"İLERİ TARİH","UYGUN"))))</f>
        <v/>
      </c>
      <c r="N639" s="121">
        <f>IF($C639="","",IF($C639="TANIMSIZ MÜŞTERİ","—",INDEX(MUSTERILER!$C$7:$C$106,MATCH($C639,MUSTERILER!$B$7:$B$106,0))))</f>
        <v/>
      </c>
      <c r="O639" s="6" t="n"/>
      <c r="P639" s="6" t="n"/>
      <c r="Q639" s="3">
        <f>IF($D639="","",$C639&amp;"|"&amp;COUNTIFS($C$7:$C639,$C639))</f>
        <v/>
      </c>
    </row>
    <row r="640">
      <c r="A640" s="6" t="n"/>
      <c r="B640" s="113">
        <f>IF($D640="","","T"&amp;TEXT(ROW()-6,"00000"))</f>
        <v/>
      </c>
      <c r="C640" s="113">
        <f>IF($D640="","",IFERROR(INDEX(MUSTERILER!$B$7:$B$106,MATCH($D640,MUSTERILER!$C$7:$C$106,0)),IFERROR(INDEX(MUSTERILER!$B$7:$B$106,MATCH($D640,MUSTERILER!$B$7:$B$106,0)),IFERROR(INDEX(MUSTERILER!$B$7:$B$106,MATCH($D640&amp;"*",MUSTERILER!$C$7:$C$106,0)),"TANIMSIZ MÜŞTERİ"))))</f>
        <v/>
      </c>
      <c r="D640" s="109" t="n"/>
      <c r="E640" s="225" t="n"/>
      <c r="F640" s="226" t="n"/>
      <c r="G640" s="108" t="n"/>
      <c r="H640" s="108" t="n"/>
      <c r="I640" s="109" t="n"/>
      <c r="J640" s="109" t="n"/>
      <c r="K640" s="109" t="n"/>
      <c r="L640" s="231">
        <f>IF($E640="","",DATE(YEAR($E640),MONTH($E640),1))</f>
        <v/>
      </c>
      <c r="M640" s="113">
        <f>IF($D640="","",IF($C640="TANIMSIZ MÜŞTERİ","HATA",IF(OR($E640="",$F640&lt;=0,$G640=""),"EKSİK",IF($E640&gt;TODAY(),"İLERİ TARİH","UYGUN"))))</f>
        <v/>
      </c>
      <c r="N640" s="121">
        <f>IF($C640="","",IF($C640="TANIMSIZ MÜŞTERİ","—",INDEX(MUSTERILER!$C$7:$C$106,MATCH($C640,MUSTERILER!$B$7:$B$106,0))))</f>
        <v/>
      </c>
      <c r="O640" s="6" t="n"/>
      <c r="P640" s="6" t="n"/>
      <c r="Q640" s="3">
        <f>IF($D640="","",$C640&amp;"|"&amp;COUNTIFS($C$7:$C640,$C640))</f>
        <v/>
      </c>
    </row>
    <row r="641">
      <c r="A641" s="6" t="n"/>
      <c r="B641" s="113">
        <f>IF($D641="","","T"&amp;TEXT(ROW()-6,"00000"))</f>
        <v/>
      </c>
      <c r="C641" s="113">
        <f>IF($D641="","",IFERROR(INDEX(MUSTERILER!$B$7:$B$106,MATCH($D641,MUSTERILER!$C$7:$C$106,0)),IFERROR(INDEX(MUSTERILER!$B$7:$B$106,MATCH($D641,MUSTERILER!$B$7:$B$106,0)),IFERROR(INDEX(MUSTERILER!$B$7:$B$106,MATCH($D641&amp;"*",MUSTERILER!$C$7:$C$106,0)),"TANIMSIZ MÜŞTERİ"))))</f>
        <v/>
      </c>
      <c r="D641" s="109" t="n"/>
      <c r="E641" s="225" t="n"/>
      <c r="F641" s="226" t="n"/>
      <c r="G641" s="108" t="n"/>
      <c r="H641" s="108" t="n"/>
      <c r="I641" s="109" t="n"/>
      <c r="J641" s="109" t="n"/>
      <c r="K641" s="109" t="n"/>
      <c r="L641" s="231">
        <f>IF($E641="","",DATE(YEAR($E641),MONTH($E641),1))</f>
        <v/>
      </c>
      <c r="M641" s="113">
        <f>IF($D641="","",IF($C641="TANIMSIZ MÜŞTERİ","HATA",IF(OR($E641="",$F641&lt;=0,$G641=""),"EKSİK",IF($E641&gt;TODAY(),"İLERİ TARİH","UYGUN"))))</f>
        <v/>
      </c>
      <c r="N641" s="121">
        <f>IF($C641="","",IF($C641="TANIMSIZ MÜŞTERİ","—",INDEX(MUSTERILER!$C$7:$C$106,MATCH($C641,MUSTERILER!$B$7:$B$106,0))))</f>
        <v/>
      </c>
      <c r="O641" s="6" t="n"/>
      <c r="P641" s="6" t="n"/>
      <c r="Q641" s="3">
        <f>IF($D641="","",$C641&amp;"|"&amp;COUNTIFS($C$7:$C641,$C641))</f>
        <v/>
      </c>
    </row>
    <row r="642">
      <c r="A642" s="6" t="n"/>
      <c r="B642" s="113">
        <f>IF($D642="","","T"&amp;TEXT(ROW()-6,"00000"))</f>
        <v/>
      </c>
      <c r="C642" s="113">
        <f>IF($D642="","",IFERROR(INDEX(MUSTERILER!$B$7:$B$106,MATCH($D642,MUSTERILER!$C$7:$C$106,0)),IFERROR(INDEX(MUSTERILER!$B$7:$B$106,MATCH($D642,MUSTERILER!$B$7:$B$106,0)),IFERROR(INDEX(MUSTERILER!$B$7:$B$106,MATCH($D642&amp;"*",MUSTERILER!$C$7:$C$106,0)),"TANIMSIZ MÜŞTERİ"))))</f>
        <v/>
      </c>
      <c r="D642" s="109" t="n"/>
      <c r="E642" s="225" t="n"/>
      <c r="F642" s="226" t="n"/>
      <c r="G642" s="108" t="n"/>
      <c r="H642" s="108" t="n"/>
      <c r="I642" s="109" t="n"/>
      <c r="J642" s="109" t="n"/>
      <c r="K642" s="109" t="n"/>
      <c r="L642" s="231">
        <f>IF($E642="","",DATE(YEAR($E642),MONTH($E642),1))</f>
        <v/>
      </c>
      <c r="M642" s="113">
        <f>IF($D642="","",IF($C642="TANIMSIZ MÜŞTERİ","HATA",IF(OR($E642="",$F642&lt;=0,$G642=""),"EKSİK",IF($E642&gt;TODAY(),"İLERİ TARİH","UYGUN"))))</f>
        <v/>
      </c>
      <c r="N642" s="121">
        <f>IF($C642="","",IF($C642="TANIMSIZ MÜŞTERİ","—",INDEX(MUSTERILER!$C$7:$C$106,MATCH($C642,MUSTERILER!$B$7:$B$106,0))))</f>
        <v/>
      </c>
      <c r="O642" s="6" t="n"/>
      <c r="P642" s="6" t="n"/>
      <c r="Q642" s="3">
        <f>IF($D642="","",$C642&amp;"|"&amp;COUNTIFS($C$7:$C642,$C642))</f>
        <v/>
      </c>
    </row>
    <row r="643">
      <c r="A643" s="6" t="n"/>
      <c r="B643" s="113">
        <f>IF($D643="","","T"&amp;TEXT(ROW()-6,"00000"))</f>
        <v/>
      </c>
      <c r="C643" s="113">
        <f>IF($D643="","",IFERROR(INDEX(MUSTERILER!$B$7:$B$106,MATCH($D643,MUSTERILER!$C$7:$C$106,0)),IFERROR(INDEX(MUSTERILER!$B$7:$B$106,MATCH($D643,MUSTERILER!$B$7:$B$106,0)),IFERROR(INDEX(MUSTERILER!$B$7:$B$106,MATCH($D643&amp;"*",MUSTERILER!$C$7:$C$106,0)),"TANIMSIZ MÜŞTERİ"))))</f>
        <v/>
      </c>
      <c r="D643" s="109" t="n"/>
      <c r="E643" s="225" t="n"/>
      <c r="F643" s="226" t="n"/>
      <c r="G643" s="108" t="n"/>
      <c r="H643" s="108" t="n"/>
      <c r="I643" s="109" t="n"/>
      <c r="J643" s="109" t="n"/>
      <c r="K643" s="109" t="n"/>
      <c r="L643" s="231">
        <f>IF($E643="","",DATE(YEAR($E643),MONTH($E643),1))</f>
        <v/>
      </c>
      <c r="M643" s="113">
        <f>IF($D643="","",IF($C643="TANIMSIZ MÜŞTERİ","HATA",IF(OR($E643="",$F643&lt;=0,$G643=""),"EKSİK",IF($E643&gt;TODAY(),"İLERİ TARİH","UYGUN"))))</f>
        <v/>
      </c>
      <c r="N643" s="121">
        <f>IF($C643="","",IF($C643="TANIMSIZ MÜŞTERİ","—",INDEX(MUSTERILER!$C$7:$C$106,MATCH($C643,MUSTERILER!$B$7:$B$106,0))))</f>
        <v/>
      </c>
      <c r="O643" s="6" t="n"/>
      <c r="P643" s="6" t="n"/>
      <c r="Q643" s="3">
        <f>IF($D643="","",$C643&amp;"|"&amp;COUNTIFS($C$7:$C643,$C643))</f>
        <v/>
      </c>
    </row>
    <row r="644">
      <c r="A644" s="6" t="n"/>
      <c r="B644" s="113">
        <f>IF($D644="","","T"&amp;TEXT(ROW()-6,"00000"))</f>
        <v/>
      </c>
      <c r="C644" s="113">
        <f>IF($D644="","",IFERROR(INDEX(MUSTERILER!$B$7:$B$106,MATCH($D644,MUSTERILER!$C$7:$C$106,0)),IFERROR(INDEX(MUSTERILER!$B$7:$B$106,MATCH($D644,MUSTERILER!$B$7:$B$106,0)),IFERROR(INDEX(MUSTERILER!$B$7:$B$106,MATCH($D644&amp;"*",MUSTERILER!$C$7:$C$106,0)),"TANIMSIZ MÜŞTERİ"))))</f>
        <v/>
      </c>
      <c r="D644" s="109" t="n"/>
      <c r="E644" s="225" t="n"/>
      <c r="F644" s="226" t="n"/>
      <c r="G644" s="108" t="n"/>
      <c r="H644" s="108" t="n"/>
      <c r="I644" s="109" t="n"/>
      <c r="J644" s="109" t="n"/>
      <c r="K644" s="109" t="n"/>
      <c r="L644" s="231">
        <f>IF($E644="","",DATE(YEAR($E644),MONTH($E644),1))</f>
        <v/>
      </c>
      <c r="M644" s="113">
        <f>IF($D644="","",IF($C644="TANIMSIZ MÜŞTERİ","HATA",IF(OR($E644="",$F644&lt;=0,$G644=""),"EKSİK",IF($E644&gt;TODAY(),"İLERİ TARİH","UYGUN"))))</f>
        <v/>
      </c>
      <c r="N644" s="121">
        <f>IF($C644="","",IF($C644="TANIMSIZ MÜŞTERİ","—",INDEX(MUSTERILER!$C$7:$C$106,MATCH($C644,MUSTERILER!$B$7:$B$106,0))))</f>
        <v/>
      </c>
      <c r="O644" s="6" t="n"/>
      <c r="P644" s="6" t="n"/>
      <c r="Q644" s="3">
        <f>IF($D644="","",$C644&amp;"|"&amp;COUNTIFS($C$7:$C644,$C644))</f>
        <v/>
      </c>
    </row>
    <row r="645">
      <c r="A645" s="6" t="n"/>
      <c r="B645" s="113">
        <f>IF($D645="","","T"&amp;TEXT(ROW()-6,"00000"))</f>
        <v/>
      </c>
      <c r="C645" s="113">
        <f>IF($D645="","",IFERROR(INDEX(MUSTERILER!$B$7:$B$106,MATCH($D645,MUSTERILER!$C$7:$C$106,0)),IFERROR(INDEX(MUSTERILER!$B$7:$B$106,MATCH($D645,MUSTERILER!$B$7:$B$106,0)),IFERROR(INDEX(MUSTERILER!$B$7:$B$106,MATCH($D645&amp;"*",MUSTERILER!$C$7:$C$106,0)),"TANIMSIZ MÜŞTERİ"))))</f>
        <v/>
      </c>
      <c r="D645" s="109" t="n"/>
      <c r="E645" s="225" t="n"/>
      <c r="F645" s="226" t="n"/>
      <c r="G645" s="108" t="n"/>
      <c r="H645" s="108" t="n"/>
      <c r="I645" s="109" t="n"/>
      <c r="J645" s="109" t="n"/>
      <c r="K645" s="109" t="n"/>
      <c r="L645" s="231">
        <f>IF($E645="","",DATE(YEAR($E645),MONTH($E645),1))</f>
        <v/>
      </c>
      <c r="M645" s="113">
        <f>IF($D645="","",IF($C645="TANIMSIZ MÜŞTERİ","HATA",IF(OR($E645="",$F645&lt;=0,$G645=""),"EKSİK",IF($E645&gt;TODAY(),"İLERİ TARİH","UYGUN"))))</f>
        <v/>
      </c>
      <c r="N645" s="121">
        <f>IF($C645="","",IF($C645="TANIMSIZ MÜŞTERİ","—",INDEX(MUSTERILER!$C$7:$C$106,MATCH($C645,MUSTERILER!$B$7:$B$106,0))))</f>
        <v/>
      </c>
      <c r="O645" s="6" t="n"/>
      <c r="P645" s="6" t="n"/>
      <c r="Q645" s="3">
        <f>IF($D645="","",$C645&amp;"|"&amp;COUNTIFS($C$7:$C645,$C645))</f>
        <v/>
      </c>
    </row>
    <row r="646">
      <c r="A646" s="6" t="n"/>
      <c r="B646" s="113">
        <f>IF($D646="","","T"&amp;TEXT(ROW()-6,"00000"))</f>
        <v/>
      </c>
      <c r="C646" s="113">
        <f>IF($D646="","",IFERROR(INDEX(MUSTERILER!$B$7:$B$106,MATCH($D646,MUSTERILER!$C$7:$C$106,0)),IFERROR(INDEX(MUSTERILER!$B$7:$B$106,MATCH($D646,MUSTERILER!$B$7:$B$106,0)),IFERROR(INDEX(MUSTERILER!$B$7:$B$106,MATCH($D646&amp;"*",MUSTERILER!$C$7:$C$106,0)),"TANIMSIZ MÜŞTERİ"))))</f>
        <v/>
      </c>
      <c r="D646" s="109" t="n"/>
      <c r="E646" s="225" t="n"/>
      <c r="F646" s="226" t="n"/>
      <c r="G646" s="108" t="n"/>
      <c r="H646" s="108" t="n"/>
      <c r="I646" s="109" t="n"/>
      <c r="J646" s="109" t="n"/>
      <c r="K646" s="109" t="n"/>
      <c r="L646" s="231">
        <f>IF($E646="","",DATE(YEAR($E646),MONTH($E646),1))</f>
        <v/>
      </c>
      <c r="M646" s="113">
        <f>IF($D646="","",IF($C646="TANIMSIZ MÜŞTERİ","HATA",IF(OR($E646="",$F646&lt;=0,$G646=""),"EKSİK",IF($E646&gt;TODAY(),"İLERİ TARİH","UYGUN"))))</f>
        <v/>
      </c>
      <c r="N646" s="121">
        <f>IF($C646="","",IF($C646="TANIMSIZ MÜŞTERİ","—",INDEX(MUSTERILER!$C$7:$C$106,MATCH($C646,MUSTERILER!$B$7:$B$106,0))))</f>
        <v/>
      </c>
      <c r="O646" s="6" t="n"/>
      <c r="P646" s="6" t="n"/>
      <c r="Q646" s="3">
        <f>IF($D646="","",$C646&amp;"|"&amp;COUNTIFS($C$7:$C646,$C646))</f>
        <v/>
      </c>
    </row>
    <row r="647">
      <c r="A647" s="6" t="n"/>
      <c r="B647" s="113">
        <f>IF($D647="","","T"&amp;TEXT(ROW()-6,"00000"))</f>
        <v/>
      </c>
      <c r="C647" s="113">
        <f>IF($D647="","",IFERROR(INDEX(MUSTERILER!$B$7:$B$106,MATCH($D647,MUSTERILER!$C$7:$C$106,0)),IFERROR(INDEX(MUSTERILER!$B$7:$B$106,MATCH($D647,MUSTERILER!$B$7:$B$106,0)),IFERROR(INDEX(MUSTERILER!$B$7:$B$106,MATCH($D647&amp;"*",MUSTERILER!$C$7:$C$106,0)),"TANIMSIZ MÜŞTERİ"))))</f>
        <v/>
      </c>
      <c r="D647" s="109" t="n"/>
      <c r="E647" s="225" t="n"/>
      <c r="F647" s="226" t="n"/>
      <c r="G647" s="108" t="n"/>
      <c r="H647" s="108" t="n"/>
      <c r="I647" s="109" t="n"/>
      <c r="J647" s="109" t="n"/>
      <c r="K647" s="109" t="n"/>
      <c r="L647" s="231">
        <f>IF($E647="","",DATE(YEAR($E647),MONTH($E647),1))</f>
        <v/>
      </c>
      <c r="M647" s="113">
        <f>IF($D647="","",IF($C647="TANIMSIZ MÜŞTERİ","HATA",IF(OR($E647="",$F647&lt;=0,$G647=""),"EKSİK",IF($E647&gt;TODAY(),"İLERİ TARİH","UYGUN"))))</f>
        <v/>
      </c>
      <c r="N647" s="121">
        <f>IF($C647="","",IF($C647="TANIMSIZ MÜŞTERİ","—",INDEX(MUSTERILER!$C$7:$C$106,MATCH($C647,MUSTERILER!$B$7:$B$106,0))))</f>
        <v/>
      </c>
      <c r="O647" s="6" t="n"/>
      <c r="P647" s="6" t="n"/>
      <c r="Q647" s="3">
        <f>IF($D647="","",$C647&amp;"|"&amp;COUNTIFS($C$7:$C647,$C647))</f>
        <v/>
      </c>
    </row>
    <row r="648">
      <c r="A648" s="6" t="n"/>
      <c r="B648" s="113">
        <f>IF($D648="","","T"&amp;TEXT(ROW()-6,"00000"))</f>
        <v/>
      </c>
      <c r="C648" s="113">
        <f>IF($D648="","",IFERROR(INDEX(MUSTERILER!$B$7:$B$106,MATCH($D648,MUSTERILER!$C$7:$C$106,0)),IFERROR(INDEX(MUSTERILER!$B$7:$B$106,MATCH($D648,MUSTERILER!$B$7:$B$106,0)),IFERROR(INDEX(MUSTERILER!$B$7:$B$106,MATCH($D648&amp;"*",MUSTERILER!$C$7:$C$106,0)),"TANIMSIZ MÜŞTERİ"))))</f>
        <v/>
      </c>
      <c r="D648" s="109" t="n"/>
      <c r="E648" s="225" t="n"/>
      <c r="F648" s="226" t="n"/>
      <c r="G648" s="108" t="n"/>
      <c r="H648" s="108" t="n"/>
      <c r="I648" s="109" t="n"/>
      <c r="J648" s="109" t="n"/>
      <c r="K648" s="109" t="n"/>
      <c r="L648" s="231">
        <f>IF($E648="","",DATE(YEAR($E648),MONTH($E648),1))</f>
        <v/>
      </c>
      <c r="M648" s="113">
        <f>IF($D648="","",IF($C648="TANIMSIZ MÜŞTERİ","HATA",IF(OR($E648="",$F648&lt;=0,$G648=""),"EKSİK",IF($E648&gt;TODAY(),"İLERİ TARİH","UYGUN"))))</f>
        <v/>
      </c>
      <c r="N648" s="121">
        <f>IF($C648="","",IF($C648="TANIMSIZ MÜŞTERİ","—",INDEX(MUSTERILER!$C$7:$C$106,MATCH($C648,MUSTERILER!$B$7:$B$106,0))))</f>
        <v/>
      </c>
      <c r="O648" s="6" t="n"/>
      <c r="P648" s="6" t="n"/>
      <c r="Q648" s="3">
        <f>IF($D648="","",$C648&amp;"|"&amp;COUNTIFS($C$7:$C648,$C648))</f>
        <v/>
      </c>
    </row>
    <row r="649">
      <c r="A649" s="6" t="n"/>
      <c r="B649" s="113">
        <f>IF($D649="","","T"&amp;TEXT(ROW()-6,"00000"))</f>
        <v/>
      </c>
      <c r="C649" s="113">
        <f>IF($D649="","",IFERROR(INDEX(MUSTERILER!$B$7:$B$106,MATCH($D649,MUSTERILER!$C$7:$C$106,0)),IFERROR(INDEX(MUSTERILER!$B$7:$B$106,MATCH($D649,MUSTERILER!$B$7:$B$106,0)),IFERROR(INDEX(MUSTERILER!$B$7:$B$106,MATCH($D649&amp;"*",MUSTERILER!$C$7:$C$106,0)),"TANIMSIZ MÜŞTERİ"))))</f>
        <v/>
      </c>
      <c r="D649" s="109" t="n"/>
      <c r="E649" s="225" t="n"/>
      <c r="F649" s="226" t="n"/>
      <c r="G649" s="108" t="n"/>
      <c r="H649" s="108" t="n"/>
      <c r="I649" s="109" t="n"/>
      <c r="J649" s="109" t="n"/>
      <c r="K649" s="109" t="n"/>
      <c r="L649" s="231">
        <f>IF($E649="","",DATE(YEAR($E649),MONTH($E649),1))</f>
        <v/>
      </c>
      <c r="M649" s="113">
        <f>IF($D649="","",IF($C649="TANIMSIZ MÜŞTERİ","HATA",IF(OR($E649="",$F649&lt;=0,$G649=""),"EKSİK",IF($E649&gt;TODAY(),"İLERİ TARİH","UYGUN"))))</f>
        <v/>
      </c>
      <c r="N649" s="121">
        <f>IF($C649="","",IF($C649="TANIMSIZ MÜŞTERİ","—",INDEX(MUSTERILER!$C$7:$C$106,MATCH($C649,MUSTERILER!$B$7:$B$106,0))))</f>
        <v/>
      </c>
      <c r="O649" s="6" t="n"/>
      <c r="P649" s="6" t="n"/>
      <c r="Q649" s="3">
        <f>IF($D649="","",$C649&amp;"|"&amp;COUNTIFS($C$7:$C649,$C649))</f>
        <v/>
      </c>
    </row>
    <row r="650">
      <c r="A650" s="6" t="n"/>
      <c r="B650" s="113">
        <f>IF($D650="","","T"&amp;TEXT(ROW()-6,"00000"))</f>
        <v/>
      </c>
      <c r="C650" s="113">
        <f>IF($D650="","",IFERROR(INDEX(MUSTERILER!$B$7:$B$106,MATCH($D650,MUSTERILER!$C$7:$C$106,0)),IFERROR(INDEX(MUSTERILER!$B$7:$B$106,MATCH($D650,MUSTERILER!$B$7:$B$106,0)),IFERROR(INDEX(MUSTERILER!$B$7:$B$106,MATCH($D650&amp;"*",MUSTERILER!$C$7:$C$106,0)),"TANIMSIZ MÜŞTERİ"))))</f>
        <v/>
      </c>
      <c r="D650" s="109" t="n"/>
      <c r="E650" s="225" t="n"/>
      <c r="F650" s="226" t="n"/>
      <c r="G650" s="108" t="n"/>
      <c r="H650" s="108" t="n"/>
      <c r="I650" s="109" t="n"/>
      <c r="J650" s="109" t="n"/>
      <c r="K650" s="109" t="n"/>
      <c r="L650" s="231">
        <f>IF($E650="","",DATE(YEAR($E650),MONTH($E650),1))</f>
        <v/>
      </c>
      <c r="M650" s="113">
        <f>IF($D650="","",IF($C650="TANIMSIZ MÜŞTERİ","HATA",IF(OR($E650="",$F650&lt;=0,$G650=""),"EKSİK",IF($E650&gt;TODAY(),"İLERİ TARİH","UYGUN"))))</f>
        <v/>
      </c>
      <c r="N650" s="121">
        <f>IF($C650="","",IF($C650="TANIMSIZ MÜŞTERİ","—",INDEX(MUSTERILER!$C$7:$C$106,MATCH($C650,MUSTERILER!$B$7:$B$106,0))))</f>
        <v/>
      </c>
      <c r="O650" s="6" t="n"/>
      <c r="P650" s="6" t="n"/>
      <c r="Q650" s="3">
        <f>IF($D650="","",$C650&amp;"|"&amp;COUNTIFS($C$7:$C650,$C650))</f>
        <v/>
      </c>
    </row>
    <row r="651">
      <c r="A651" s="6" t="n"/>
      <c r="B651" s="113">
        <f>IF($D651="","","T"&amp;TEXT(ROW()-6,"00000"))</f>
        <v/>
      </c>
      <c r="C651" s="113">
        <f>IF($D651="","",IFERROR(INDEX(MUSTERILER!$B$7:$B$106,MATCH($D651,MUSTERILER!$C$7:$C$106,0)),IFERROR(INDEX(MUSTERILER!$B$7:$B$106,MATCH($D651,MUSTERILER!$B$7:$B$106,0)),IFERROR(INDEX(MUSTERILER!$B$7:$B$106,MATCH($D651&amp;"*",MUSTERILER!$C$7:$C$106,0)),"TANIMSIZ MÜŞTERİ"))))</f>
        <v/>
      </c>
      <c r="D651" s="109" t="n"/>
      <c r="E651" s="225" t="n"/>
      <c r="F651" s="226" t="n"/>
      <c r="G651" s="108" t="n"/>
      <c r="H651" s="108" t="n"/>
      <c r="I651" s="109" t="n"/>
      <c r="J651" s="109" t="n"/>
      <c r="K651" s="109" t="n"/>
      <c r="L651" s="231">
        <f>IF($E651="","",DATE(YEAR($E651),MONTH($E651),1))</f>
        <v/>
      </c>
      <c r="M651" s="113">
        <f>IF($D651="","",IF($C651="TANIMSIZ MÜŞTERİ","HATA",IF(OR($E651="",$F651&lt;=0,$G651=""),"EKSİK",IF($E651&gt;TODAY(),"İLERİ TARİH","UYGUN"))))</f>
        <v/>
      </c>
      <c r="N651" s="121">
        <f>IF($C651="","",IF($C651="TANIMSIZ MÜŞTERİ","—",INDEX(MUSTERILER!$C$7:$C$106,MATCH($C651,MUSTERILER!$B$7:$B$106,0))))</f>
        <v/>
      </c>
      <c r="O651" s="6" t="n"/>
      <c r="P651" s="6" t="n"/>
      <c r="Q651" s="3">
        <f>IF($D651="","",$C651&amp;"|"&amp;COUNTIFS($C$7:$C651,$C651))</f>
        <v/>
      </c>
    </row>
    <row r="652">
      <c r="A652" s="6" t="n"/>
      <c r="B652" s="113">
        <f>IF($D652="","","T"&amp;TEXT(ROW()-6,"00000"))</f>
        <v/>
      </c>
      <c r="C652" s="113">
        <f>IF($D652="","",IFERROR(INDEX(MUSTERILER!$B$7:$B$106,MATCH($D652,MUSTERILER!$C$7:$C$106,0)),IFERROR(INDEX(MUSTERILER!$B$7:$B$106,MATCH($D652,MUSTERILER!$B$7:$B$106,0)),IFERROR(INDEX(MUSTERILER!$B$7:$B$106,MATCH($D652&amp;"*",MUSTERILER!$C$7:$C$106,0)),"TANIMSIZ MÜŞTERİ"))))</f>
        <v/>
      </c>
      <c r="D652" s="109" t="n"/>
      <c r="E652" s="225" t="n"/>
      <c r="F652" s="226" t="n"/>
      <c r="G652" s="108" t="n"/>
      <c r="H652" s="108" t="n"/>
      <c r="I652" s="109" t="n"/>
      <c r="J652" s="109" t="n"/>
      <c r="K652" s="109" t="n"/>
      <c r="L652" s="231">
        <f>IF($E652="","",DATE(YEAR($E652),MONTH($E652),1))</f>
        <v/>
      </c>
      <c r="M652" s="113">
        <f>IF($D652="","",IF($C652="TANIMSIZ MÜŞTERİ","HATA",IF(OR($E652="",$F652&lt;=0,$G652=""),"EKSİK",IF($E652&gt;TODAY(),"İLERİ TARİH","UYGUN"))))</f>
        <v/>
      </c>
      <c r="N652" s="121">
        <f>IF($C652="","",IF($C652="TANIMSIZ MÜŞTERİ","—",INDEX(MUSTERILER!$C$7:$C$106,MATCH($C652,MUSTERILER!$B$7:$B$106,0))))</f>
        <v/>
      </c>
      <c r="O652" s="6" t="n"/>
      <c r="P652" s="6" t="n"/>
      <c r="Q652" s="3">
        <f>IF($D652="","",$C652&amp;"|"&amp;COUNTIFS($C$7:$C652,$C652))</f>
        <v/>
      </c>
    </row>
    <row r="653">
      <c r="A653" s="6" t="n"/>
      <c r="B653" s="113">
        <f>IF($D653="","","T"&amp;TEXT(ROW()-6,"00000"))</f>
        <v/>
      </c>
      <c r="C653" s="113">
        <f>IF($D653="","",IFERROR(INDEX(MUSTERILER!$B$7:$B$106,MATCH($D653,MUSTERILER!$C$7:$C$106,0)),IFERROR(INDEX(MUSTERILER!$B$7:$B$106,MATCH($D653,MUSTERILER!$B$7:$B$106,0)),IFERROR(INDEX(MUSTERILER!$B$7:$B$106,MATCH($D653&amp;"*",MUSTERILER!$C$7:$C$106,0)),"TANIMSIZ MÜŞTERİ"))))</f>
        <v/>
      </c>
      <c r="D653" s="109" t="n"/>
      <c r="E653" s="225" t="n"/>
      <c r="F653" s="226" t="n"/>
      <c r="G653" s="108" t="n"/>
      <c r="H653" s="108" t="n"/>
      <c r="I653" s="109" t="n"/>
      <c r="J653" s="109" t="n"/>
      <c r="K653" s="109" t="n"/>
      <c r="L653" s="231">
        <f>IF($E653="","",DATE(YEAR($E653),MONTH($E653),1))</f>
        <v/>
      </c>
      <c r="M653" s="113">
        <f>IF($D653="","",IF($C653="TANIMSIZ MÜŞTERİ","HATA",IF(OR($E653="",$F653&lt;=0,$G653=""),"EKSİK",IF($E653&gt;TODAY(),"İLERİ TARİH","UYGUN"))))</f>
        <v/>
      </c>
      <c r="N653" s="121">
        <f>IF($C653="","",IF($C653="TANIMSIZ MÜŞTERİ","—",INDEX(MUSTERILER!$C$7:$C$106,MATCH($C653,MUSTERILER!$B$7:$B$106,0))))</f>
        <v/>
      </c>
      <c r="O653" s="6" t="n"/>
      <c r="P653" s="6" t="n"/>
      <c r="Q653" s="3">
        <f>IF($D653="","",$C653&amp;"|"&amp;COUNTIFS($C$7:$C653,$C653))</f>
        <v/>
      </c>
    </row>
    <row r="654">
      <c r="A654" s="6" t="n"/>
      <c r="B654" s="113">
        <f>IF($D654="","","T"&amp;TEXT(ROW()-6,"00000"))</f>
        <v/>
      </c>
      <c r="C654" s="113">
        <f>IF($D654="","",IFERROR(INDEX(MUSTERILER!$B$7:$B$106,MATCH($D654,MUSTERILER!$C$7:$C$106,0)),IFERROR(INDEX(MUSTERILER!$B$7:$B$106,MATCH($D654,MUSTERILER!$B$7:$B$106,0)),IFERROR(INDEX(MUSTERILER!$B$7:$B$106,MATCH($D654&amp;"*",MUSTERILER!$C$7:$C$106,0)),"TANIMSIZ MÜŞTERİ"))))</f>
        <v/>
      </c>
      <c r="D654" s="109" t="n"/>
      <c r="E654" s="225" t="n"/>
      <c r="F654" s="226" t="n"/>
      <c r="G654" s="108" t="n"/>
      <c r="H654" s="108" t="n"/>
      <c r="I654" s="109" t="n"/>
      <c r="J654" s="109" t="n"/>
      <c r="K654" s="109" t="n"/>
      <c r="L654" s="231">
        <f>IF($E654="","",DATE(YEAR($E654),MONTH($E654),1))</f>
        <v/>
      </c>
      <c r="M654" s="113">
        <f>IF($D654="","",IF($C654="TANIMSIZ MÜŞTERİ","HATA",IF(OR($E654="",$F654&lt;=0,$G654=""),"EKSİK",IF($E654&gt;TODAY(),"İLERİ TARİH","UYGUN"))))</f>
        <v/>
      </c>
      <c r="N654" s="121">
        <f>IF($C654="","",IF($C654="TANIMSIZ MÜŞTERİ","—",INDEX(MUSTERILER!$C$7:$C$106,MATCH($C654,MUSTERILER!$B$7:$B$106,0))))</f>
        <v/>
      </c>
      <c r="O654" s="6" t="n"/>
      <c r="P654" s="6" t="n"/>
      <c r="Q654" s="3">
        <f>IF($D654="","",$C654&amp;"|"&amp;COUNTIFS($C$7:$C654,$C654))</f>
        <v/>
      </c>
    </row>
    <row r="655">
      <c r="A655" s="6" t="n"/>
      <c r="B655" s="113">
        <f>IF($D655="","","T"&amp;TEXT(ROW()-6,"00000"))</f>
        <v/>
      </c>
      <c r="C655" s="113">
        <f>IF($D655="","",IFERROR(INDEX(MUSTERILER!$B$7:$B$106,MATCH($D655,MUSTERILER!$C$7:$C$106,0)),IFERROR(INDEX(MUSTERILER!$B$7:$B$106,MATCH($D655,MUSTERILER!$B$7:$B$106,0)),IFERROR(INDEX(MUSTERILER!$B$7:$B$106,MATCH($D655&amp;"*",MUSTERILER!$C$7:$C$106,0)),"TANIMSIZ MÜŞTERİ"))))</f>
        <v/>
      </c>
      <c r="D655" s="109" t="n"/>
      <c r="E655" s="225" t="n"/>
      <c r="F655" s="226" t="n"/>
      <c r="G655" s="108" t="n"/>
      <c r="H655" s="108" t="n"/>
      <c r="I655" s="109" t="n"/>
      <c r="J655" s="109" t="n"/>
      <c r="K655" s="109" t="n"/>
      <c r="L655" s="231">
        <f>IF($E655="","",DATE(YEAR($E655),MONTH($E655),1))</f>
        <v/>
      </c>
      <c r="M655" s="113">
        <f>IF($D655="","",IF($C655="TANIMSIZ MÜŞTERİ","HATA",IF(OR($E655="",$F655&lt;=0,$G655=""),"EKSİK",IF($E655&gt;TODAY(),"İLERİ TARİH","UYGUN"))))</f>
        <v/>
      </c>
      <c r="N655" s="121">
        <f>IF($C655="","",IF($C655="TANIMSIZ MÜŞTERİ","—",INDEX(MUSTERILER!$C$7:$C$106,MATCH($C655,MUSTERILER!$B$7:$B$106,0))))</f>
        <v/>
      </c>
      <c r="O655" s="6" t="n"/>
      <c r="P655" s="6" t="n"/>
      <c r="Q655" s="3">
        <f>IF($D655="","",$C655&amp;"|"&amp;COUNTIFS($C$7:$C655,$C655))</f>
        <v/>
      </c>
    </row>
    <row r="656">
      <c r="A656" s="6" t="n"/>
      <c r="B656" s="113">
        <f>IF($D656="","","T"&amp;TEXT(ROW()-6,"00000"))</f>
        <v/>
      </c>
      <c r="C656" s="113">
        <f>IF($D656="","",IFERROR(INDEX(MUSTERILER!$B$7:$B$106,MATCH($D656,MUSTERILER!$C$7:$C$106,0)),IFERROR(INDEX(MUSTERILER!$B$7:$B$106,MATCH($D656,MUSTERILER!$B$7:$B$106,0)),IFERROR(INDEX(MUSTERILER!$B$7:$B$106,MATCH($D656&amp;"*",MUSTERILER!$C$7:$C$106,0)),"TANIMSIZ MÜŞTERİ"))))</f>
        <v/>
      </c>
      <c r="D656" s="109" t="n"/>
      <c r="E656" s="225" t="n"/>
      <c r="F656" s="226" t="n"/>
      <c r="G656" s="108" t="n"/>
      <c r="H656" s="108" t="n"/>
      <c r="I656" s="109" t="n"/>
      <c r="J656" s="109" t="n"/>
      <c r="K656" s="109" t="n"/>
      <c r="L656" s="231">
        <f>IF($E656="","",DATE(YEAR($E656),MONTH($E656),1))</f>
        <v/>
      </c>
      <c r="M656" s="113">
        <f>IF($D656="","",IF($C656="TANIMSIZ MÜŞTERİ","HATA",IF(OR($E656="",$F656&lt;=0,$G656=""),"EKSİK",IF($E656&gt;TODAY(),"İLERİ TARİH","UYGUN"))))</f>
        <v/>
      </c>
      <c r="N656" s="121">
        <f>IF($C656="","",IF($C656="TANIMSIZ MÜŞTERİ","—",INDEX(MUSTERILER!$C$7:$C$106,MATCH($C656,MUSTERILER!$B$7:$B$106,0))))</f>
        <v/>
      </c>
      <c r="O656" s="6" t="n"/>
      <c r="P656" s="6" t="n"/>
      <c r="Q656" s="3">
        <f>IF($D656="","",$C656&amp;"|"&amp;COUNTIFS($C$7:$C656,$C656))</f>
        <v/>
      </c>
    </row>
    <row r="657">
      <c r="A657" s="6" t="n"/>
      <c r="B657" s="113">
        <f>IF($D657="","","T"&amp;TEXT(ROW()-6,"00000"))</f>
        <v/>
      </c>
      <c r="C657" s="113">
        <f>IF($D657="","",IFERROR(INDEX(MUSTERILER!$B$7:$B$106,MATCH($D657,MUSTERILER!$C$7:$C$106,0)),IFERROR(INDEX(MUSTERILER!$B$7:$B$106,MATCH($D657,MUSTERILER!$B$7:$B$106,0)),IFERROR(INDEX(MUSTERILER!$B$7:$B$106,MATCH($D657&amp;"*",MUSTERILER!$C$7:$C$106,0)),"TANIMSIZ MÜŞTERİ"))))</f>
        <v/>
      </c>
      <c r="D657" s="109" t="n"/>
      <c r="E657" s="225" t="n"/>
      <c r="F657" s="226" t="n"/>
      <c r="G657" s="108" t="n"/>
      <c r="H657" s="108" t="n"/>
      <c r="I657" s="109" t="n"/>
      <c r="J657" s="109" t="n"/>
      <c r="K657" s="109" t="n"/>
      <c r="L657" s="231">
        <f>IF($E657="","",DATE(YEAR($E657),MONTH($E657),1))</f>
        <v/>
      </c>
      <c r="M657" s="113">
        <f>IF($D657="","",IF($C657="TANIMSIZ MÜŞTERİ","HATA",IF(OR($E657="",$F657&lt;=0,$G657=""),"EKSİK",IF($E657&gt;TODAY(),"İLERİ TARİH","UYGUN"))))</f>
        <v/>
      </c>
      <c r="N657" s="121">
        <f>IF($C657="","",IF($C657="TANIMSIZ MÜŞTERİ","—",INDEX(MUSTERILER!$C$7:$C$106,MATCH($C657,MUSTERILER!$B$7:$B$106,0))))</f>
        <v/>
      </c>
      <c r="O657" s="6" t="n"/>
      <c r="P657" s="6" t="n"/>
      <c r="Q657" s="3">
        <f>IF($D657="","",$C657&amp;"|"&amp;COUNTIFS($C$7:$C657,$C657))</f>
        <v/>
      </c>
    </row>
    <row r="658">
      <c r="A658" s="6" t="n"/>
      <c r="B658" s="113">
        <f>IF($D658="","","T"&amp;TEXT(ROW()-6,"00000"))</f>
        <v/>
      </c>
      <c r="C658" s="113">
        <f>IF($D658="","",IFERROR(INDEX(MUSTERILER!$B$7:$B$106,MATCH($D658,MUSTERILER!$C$7:$C$106,0)),IFERROR(INDEX(MUSTERILER!$B$7:$B$106,MATCH($D658,MUSTERILER!$B$7:$B$106,0)),IFERROR(INDEX(MUSTERILER!$B$7:$B$106,MATCH($D658&amp;"*",MUSTERILER!$C$7:$C$106,0)),"TANIMSIZ MÜŞTERİ"))))</f>
        <v/>
      </c>
      <c r="D658" s="109" t="n"/>
      <c r="E658" s="225" t="n"/>
      <c r="F658" s="226" t="n"/>
      <c r="G658" s="108" t="n"/>
      <c r="H658" s="108" t="n"/>
      <c r="I658" s="109" t="n"/>
      <c r="J658" s="109" t="n"/>
      <c r="K658" s="109" t="n"/>
      <c r="L658" s="231">
        <f>IF($E658="","",DATE(YEAR($E658),MONTH($E658),1))</f>
        <v/>
      </c>
      <c r="M658" s="113">
        <f>IF($D658="","",IF($C658="TANIMSIZ MÜŞTERİ","HATA",IF(OR($E658="",$F658&lt;=0,$G658=""),"EKSİK",IF($E658&gt;TODAY(),"İLERİ TARİH","UYGUN"))))</f>
        <v/>
      </c>
      <c r="N658" s="121">
        <f>IF($C658="","",IF($C658="TANIMSIZ MÜŞTERİ","—",INDEX(MUSTERILER!$C$7:$C$106,MATCH($C658,MUSTERILER!$B$7:$B$106,0))))</f>
        <v/>
      </c>
      <c r="O658" s="6" t="n"/>
      <c r="P658" s="6" t="n"/>
      <c r="Q658" s="3">
        <f>IF($D658="","",$C658&amp;"|"&amp;COUNTIFS($C$7:$C658,$C658))</f>
        <v/>
      </c>
    </row>
    <row r="659">
      <c r="A659" s="6" t="n"/>
      <c r="B659" s="113">
        <f>IF($D659="","","T"&amp;TEXT(ROW()-6,"00000"))</f>
        <v/>
      </c>
      <c r="C659" s="113">
        <f>IF($D659="","",IFERROR(INDEX(MUSTERILER!$B$7:$B$106,MATCH($D659,MUSTERILER!$C$7:$C$106,0)),IFERROR(INDEX(MUSTERILER!$B$7:$B$106,MATCH($D659,MUSTERILER!$B$7:$B$106,0)),IFERROR(INDEX(MUSTERILER!$B$7:$B$106,MATCH($D659&amp;"*",MUSTERILER!$C$7:$C$106,0)),"TANIMSIZ MÜŞTERİ"))))</f>
        <v/>
      </c>
      <c r="D659" s="109" t="n"/>
      <c r="E659" s="225" t="n"/>
      <c r="F659" s="226" t="n"/>
      <c r="G659" s="108" t="n"/>
      <c r="H659" s="108" t="n"/>
      <c r="I659" s="109" t="n"/>
      <c r="J659" s="109" t="n"/>
      <c r="K659" s="109" t="n"/>
      <c r="L659" s="231">
        <f>IF($E659="","",DATE(YEAR($E659),MONTH($E659),1))</f>
        <v/>
      </c>
      <c r="M659" s="113">
        <f>IF($D659="","",IF($C659="TANIMSIZ MÜŞTERİ","HATA",IF(OR($E659="",$F659&lt;=0,$G659=""),"EKSİK",IF($E659&gt;TODAY(),"İLERİ TARİH","UYGUN"))))</f>
        <v/>
      </c>
      <c r="N659" s="121">
        <f>IF($C659="","",IF($C659="TANIMSIZ MÜŞTERİ","—",INDEX(MUSTERILER!$C$7:$C$106,MATCH($C659,MUSTERILER!$B$7:$B$106,0))))</f>
        <v/>
      </c>
      <c r="O659" s="6" t="n"/>
      <c r="P659" s="6" t="n"/>
      <c r="Q659" s="3">
        <f>IF($D659="","",$C659&amp;"|"&amp;COUNTIFS($C$7:$C659,$C659))</f>
        <v/>
      </c>
    </row>
    <row r="660">
      <c r="A660" s="6" t="n"/>
      <c r="B660" s="113">
        <f>IF($D660="","","T"&amp;TEXT(ROW()-6,"00000"))</f>
        <v/>
      </c>
      <c r="C660" s="113">
        <f>IF($D660="","",IFERROR(INDEX(MUSTERILER!$B$7:$B$106,MATCH($D660,MUSTERILER!$C$7:$C$106,0)),IFERROR(INDEX(MUSTERILER!$B$7:$B$106,MATCH($D660,MUSTERILER!$B$7:$B$106,0)),IFERROR(INDEX(MUSTERILER!$B$7:$B$106,MATCH($D660&amp;"*",MUSTERILER!$C$7:$C$106,0)),"TANIMSIZ MÜŞTERİ"))))</f>
        <v/>
      </c>
      <c r="D660" s="109" t="n"/>
      <c r="E660" s="225" t="n"/>
      <c r="F660" s="226" t="n"/>
      <c r="G660" s="108" t="n"/>
      <c r="H660" s="108" t="n"/>
      <c r="I660" s="109" t="n"/>
      <c r="J660" s="109" t="n"/>
      <c r="K660" s="109" t="n"/>
      <c r="L660" s="231">
        <f>IF($E660="","",DATE(YEAR($E660),MONTH($E660),1))</f>
        <v/>
      </c>
      <c r="M660" s="113">
        <f>IF($D660="","",IF($C660="TANIMSIZ MÜŞTERİ","HATA",IF(OR($E660="",$F660&lt;=0,$G660=""),"EKSİK",IF($E660&gt;TODAY(),"İLERİ TARİH","UYGUN"))))</f>
        <v/>
      </c>
      <c r="N660" s="121">
        <f>IF($C660="","",IF($C660="TANIMSIZ MÜŞTERİ","—",INDEX(MUSTERILER!$C$7:$C$106,MATCH($C660,MUSTERILER!$B$7:$B$106,0))))</f>
        <v/>
      </c>
      <c r="O660" s="6" t="n"/>
      <c r="P660" s="6" t="n"/>
      <c r="Q660" s="3">
        <f>IF($D660="","",$C660&amp;"|"&amp;COUNTIFS($C$7:$C660,$C660))</f>
        <v/>
      </c>
    </row>
    <row r="661">
      <c r="A661" s="6" t="n"/>
      <c r="B661" s="113">
        <f>IF($D661="","","T"&amp;TEXT(ROW()-6,"00000"))</f>
        <v/>
      </c>
      <c r="C661" s="113">
        <f>IF($D661="","",IFERROR(INDEX(MUSTERILER!$B$7:$B$106,MATCH($D661,MUSTERILER!$C$7:$C$106,0)),IFERROR(INDEX(MUSTERILER!$B$7:$B$106,MATCH($D661,MUSTERILER!$B$7:$B$106,0)),IFERROR(INDEX(MUSTERILER!$B$7:$B$106,MATCH($D661&amp;"*",MUSTERILER!$C$7:$C$106,0)),"TANIMSIZ MÜŞTERİ"))))</f>
        <v/>
      </c>
      <c r="D661" s="109" t="n"/>
      <c r="E661" s="225" t="n"/>
      <c r="F661" s="226" t="n"/>
      <c r="G661" s="108" t="n"/>
      <c r="H661" s="108" t="n"/>
      <c r="I661" s="109" t="n"/>
      <c r="J661" s="109" t="n"/>
      <c r="K661" s="109" t="n"/>
      <c r="L661" s="231">
        <f>IF($E661="","",DATE(YEAR($E661),MONTH($E661),1))</f>
        <v/>
      </c>
      <c r="M661" s="113">
        <f>IF($D661="","",IF($C661="TANIMSIZ MÜŞTERİ","HATA",IF(OR($E661="",$F661&lt;=0,$G661=""),"EKSİK",IF($E661&gt;TODAY(),"İLERİ TARİH","UYGUN"))))</f>
        <v/>
      </c>
      <c r="N661" s="121">
        <f>IF($C661="","",IF($C661="TANIMSIZ MÜŞTERİ","—",INDEX(MUSTERILER!$C$7:$C$106,MATCH($C661,MUSTERILER!$B$7:$B$106,0))))</f>
        <v/>
      </c>
      <c r="O661" s="6" t="n"/>
      <c r="P661" s="6" t="n"/>
      <c r="Q661" s="3">
        <f>IF($D661="","",$C661&amp;"|"&amp;COUNTIFS($C$7:$C661,$C661))</f>
        <v/>
      </c>
    </row>
    <row r="662">
      <c r="A662" s="6" t="n"/>
      <c r="B662" s="113">
        <f>IF($D662="","","T"&amp;TEXT(ROW()-6,"00000"))</f>
        <v/>
      </c>
      <c r="C662" s="113">
        <f>IF($D662="","",IFERROR(INDEX(MUSTERILER!$B$7:$B$106,MATCH($D662,MUSTERILER!$C$7:$C$106,0)),IFERROR(INDEX(MUSTERILER!$B$7:$B$106,MATCH($D662,MUSTERILER!$B$7:$B$106,0)),IFERROR(INDEX(MUSTERILER!$B$7:$B$106,MATCH($D662&amp;"*",MUSTERILER!$C$7:$C$106,0)),"TANIMSIZ MÜŞTERİ"))))</f>
        <v/>
      </c>
      <c r="D662" s="109" t="n"/>
      <c r="E662" s="225" t="n"/>
      <c r="F662" s="226" t="n"/>
      <c r="G662" s="108" t="n"/>
      <c r="H662" s="108" t="n"/>
      <c r="I662" s="109" t="n"/>
      <c r="J662" s="109" t="n"/>
      <c r="K662" s="109" t="n"/>
      <c r="L662" s="231">
        <f>IF($E662="","",DATE(YEAR($E662),MONTH($E662),1))</f>
        <v/>
      </c>
      <c r="M662" s="113">
        <f>IF($D662="","",IF($C662="TANIMSIZ MÜŞTERİ","HATA",IF(OR($E662="",$F662&lt;=0,$G662=""),"EKSİK",IF($E662&gt;TODAY(),"İLERİ TARİH","UYGUN"))))</f>
        <v/>
      </c>
      <c r="N662" s="121">
        <f>IF($C662="","",IF($C662="TANIMSIZ MÜŞTERİ","—",INDEX(MUSTERILER!$C$7:$C$106,MATCH($C662,MUSTERILER!$B$7:$B$106,0))))</f>
        <v/>
      </c>
      <c r="O662" s="6" t="n"/>
      <c r="P662" s="6" t="n"/>
      <c r="Q662" s="3">
        <f>IF($D662="","",$C662&amp;"|"&amp;COUNTIFS($C$7:$C662,$C662))</f>
        <v/>
      </c>
    </row>
    <row r="663">
      <c r="A663" s="6" t="n"/>
      <c r="B663" s="113">
        <f>IF($D663="","","T"&amp;TEXT(ROW()-6,"00000"))</f>
        <v/>
      </c>
      <c r="C663" s="113">
        <f>IF($D663="","",IFERROR(INDEX(MUSTERILER!$B$7:$B$106,MATCH($D663,MUSTERILER!$C$7:$C$106,0)),IFERROR(INDEX(MUSTERILER!$B$7:$B$106,MATCH($D663,MUSTERILER!$B$7:$B$106,0)),IFERROR(INDEX(MUSTERILER!$B$7:$B$106,MATCH($D663&amp;"*",MUSTERILER!$C$7:$C$106,0)),"TANIMSIZ MÜŞTERİ"))))</f>
        <v/>
      </c>
      <c r="D663" s="109" t="n"/>
      <c r="E663" s="225" t="n"/>
      <c r="F663" s="226" t="n"/>
      <c r="G663" s="108" t="n"/>
      <c r="H663" s="108" t="n"/>
      <c r="I663" s="109" t="n"/>
      <c r="J663" s="109" t="n"/>
      <c r="K663" s="109" t="n"/>
      <c r="L663" s="231">
        <f>IF($E663="","",DATE(YEAR($E663),MONTH($E663),1))</f>
        <v/>
      </c>
      <c r="M663" s="113">
        <f>IF($D663="","",IF($C663="TANIMSIZ MÜŞTERİ","HATA",IF(OR($E663="",$F663&lt;=0,$G663=""),"EKSİK",IF($E663&gt;TODAY(),"İLERİ TARİH","UYGUN"))))</f>
        <v/>
      </c>
      <c r="N663" s="121">
        <f>IF($C663="","",IF($C663="TANIMSIZ MÜŞTERİ","—",INDEX(MUSTERILER!$C$7:$C$106,MATCH($C663,MUSTERILER!$B$7:$B$106,0))))</f>
        <v/>
      </c>
      <c r="O663" s="6" t="n"/>
      <c r="P663" s="6" t="n"/>
      <c r="Q663" s="3">
        <f>IF($D663="","",$C663&amp;"|"&amp;COUNTIFS($C$7:$C663,$C663))</f>
        <v/>
      </c>
    </row>
    <row r="664">
      <c r="A664" s="6" t="n"/>
      <c r="B664" s="113">
        <f>IF($D664="","","T"&amp;TEXT(ROW()-6,"00000"))</f>
        <v/>
      </c>
      <c r="C664" s="113">
        <f>IF($D664="","",IFERROR(INDEX(MUSTERILER!$B$7:$B$106,MATCH($D664,MUSTERILER!$C$7:$C$106,0)),IFERROR(INDEX(MUSTERILER!$B$7:$B$106,MATCH($D664,MUSTERILER!$B$7:$B$106,0)),IFERROR(INDEX(MUSTERILER!$B$7:$B$106,MATCH($D664&amp;"*",MUSTERILER!$C$7:$C$106,0)),"TANIMSIZ MÜŞTERİ"))))</f>
        <v/>
      </c>
      <c r="D664" s="109" t="n"/>
      <c r="E664" s="225" t="n"/>
      <c r="F664" s="226" t="n"/>
      <c r="G664" s="108" t="n"/>
      <c r="H664" s="108" t="n"/>
      <c r="I664" s="109" t="n"/>
      <c r="J664" s="109" t="n"/>
      <c r="K664" s="109" t="n"/>
      <c r="L664" s="231">
        <f>IF($E664="","",DATE(YEAR($E664),MONTH($E664),1))</f>
        <v/>
      </c>
      <c r="M664" s="113">
        <f>IF($D664="","",IF($C664="TANIMSIZ MÜŞTERİ","HATA",IF(OR($E664="",$F664&lt;=0,$G664=""),"EKSİK",IF($E664&gt;TODAY(),"İLERİ TARİH","UYGUN"))))</f>
        <v/>
      </c>
      <c r="N664" s="121">
        <f>IF($C664="","",IF($C664="TANIMSIZ MÜŞTERİ","—",INDEX(MUSTERILER!$C$7:$C$106,MATCH($C664,MUSTERILER!$B$7:$B$106,0))))</f>
        <v/>
      </c>
      <c r="O664" s="6" t="n"/>
      <c r="P664" s="6" t="n"/>
      <c r="Q664" s="3">
        <f>IF($D664="","",$C664&amp;"|"&amp;COUNTIFS($C$7:$C664,$C664))</f>
        <v/>
      </c>
    </row>
    <row r="665">
      <c r="A665" s="6" t="n"/>
      <c r="B665" s="113">
        <f>IF($D665="","","T"&amp;TEXT(ROW()-6,"00000"))</f>
        <v/>
      </c>
      <c r="C665" s="113">
        <f>IF($D665="","",IFERROR(INDEX(MUSTERILER!$B$7:$B$106,MATCH($D665,MUSTERILER!$C$7:$C$106,0)),IFERROR(INDEX(MUSTERILER!$B$7:$B$106,MATCH($D665,MUSTERILER!$B$7:$B$106,0)),IFERROR(INDEX(MUSTERILER!$B$7:$B$106,MATCH($D665&amp;"*",MUSTERILER!$C$7:$C$106,0)),"TANIMSIZ MÜŞTERİ"))))</f>
        <v/>
      </c>
      <c r="D665" s="109" t="n"/>
      <c r="E665" s="225" t="n"/>
      <c r="F665" s="226" t="n"/>
      <c r="G665" s="108" t="n"/>
      <c r="H665" s="108" t="n"/>
      <c r="I665" s="109" t="n"/>
      <c r="J665" s="109" t="n"/>
      <c r="K665" s="109" t="n"/>
      <c r="L665" s="231">
        <f>IF($E665="","",DATE(YEAR($E665),MONTH($E665),1))</f>
        <v/>
      </c>
      <c r="M665" s="113">
        <f>IF($D665="","",IF($C665="TANIMSIZ MÜŞTERİ","HATA",IF(OR($E665="",$F665&lt;=0,$G665=""),"EKSİK",IF($E665&gt;TODAY(),"İLERİ TARİH","UYGUN"))))</f>
        <v/>
      </c>
      <c r="N665" s="121">
        <f>IF($C665="","",IF($C665="TANIMSIZ MÜŞTERİ","—",INDEX(MUSTERILER!$C$7:$C$106,MATCH($C665,MUSTERILER!$B$7:$B$106,0))))</f>
        <v/>
      </c>
      <c r="O665" s="6" t="n"/>
      <c r="P665" s="6" t="n"/>
      <c r="Q665" s="3">
        <f>IF($D665="","",$C665&amp;"|"&amp;COUNTIFS($C$7:$C665,$C665))</f>
        <v/>
      </c>
    </row>
    <row r="666">
      <c r="A666" s="6" t="n"/>
      <c r="B666" s="113">
        <f>IF($D666="","","T"&amp;TEXT(ROW()-6,"00000"))</f>
        <v/>
      </c>
      <c r="C666" s="113">
        <f>IF($D666="","",IFERROR(INDEX(MUSTERILER!$B$7:$B$106,MATCH($D666,MUSTERILER!$C$7:$C$106,0)),IFERROR(INDEX(MUSTERILER!$B$7:$B$106,MATCH($D666,MUSTERILER!$B$7:$B$106,0)),IFERROR(INDEX(MUSTERILER!$B$7:$B$106,MATCH($D666&amp;"*",MUSTERILER!$C$7:$C$106,0)),"TANIMSIZ MÜŞTERİ"))))</f>
        <v/>
      </c>
      <c r="D666" s="109" t="n"/>
      <c r="E666" s="225" t="n"/>
      <c r="F666" s="226" t="n"/>
      <c r="G666" s="108" t="n"/>
      <c r="H666" s="108" t="n"/>
      <c r="I666" s="109" t="n"/>
      <c r="J666" s="109" t="n"/>
      <c r="K666" s="109" t="n"/>
      <c r="L666" s="231">
        <f>IF($E666="","",DATE(YEAR($E666),MONTH($E666),1))</f>
        <v/>
      </c>
      <c r="M666" s="113">
        <f>IF($D666="","",IF($C666="TANIMSIZ MÜŞTERİ","HATA",IF(OR($E666="",$F666&lt;=0,$G666=""),"EKSİK",IF($E666&gt;TODAY(),"İLERİ TARİH","UYGUN"))))</f>
        <v/>
      </c>
      <c r="N666" s="121">
        <f>IF($C666="","",IF($C666="TANIMSIZ MÜŞTERİ","—",INDEX(MUSTERILER!$C$7:$C$106,MATCH($C666,MUSTERILER!$B$7:$B$106,0))))</f>
        <v/>
      </c>
      <c r="O666" s="6" t="n"/>
      <c r="P666" s="6" t="n"/>
      <c r="Q666" s="3">
        <f>IF($D666="","",$C666&amp;"|"&amp;COUNTIFS($C$7:$C666,$C666))</f>
        <v/>
      </c>
    </row>
    <row r="667">
      <c r="A667" s="6" t="n"/>
      <c r="B667" s="113">
        <f>IF($D667="","","T"&amp;TEXT(ROW()-6,"00000"))</f>
        <v/>
      </c>
      <c r="C667" s="113">
        <f>IF($D667="","",IFERROR(INDEX(MUSTERILER!$B$7:$B$106,MATCH($D667,MUSTERILER!$C$7:$C$106,0)),IFERROR(INDEX(MUSTERILER!$B$7:$B$106,MATCH($D667,MUSTERILER!$B$7:$B$106,0)),IFERROR(INDEX(MUSTERILER!$B$7:$B$106,MATCH($D667&amp;"*",MUSTERILER!$C$7:$C$106,0)),"TANIMSIZ MÜŞTERİ"))))</f>
        <v/>
      </c>
      <c r="D667" s="109" t="n"/>
      <c r="E667" s="225" t="n"/>
      <c r="F667" s="226" t="n"/>
      <c r="G667" s="108" t="n"/>
      <c r="H667" s="108" t="n"/>
      <c r="I667" s="109" t="n"/>
      <c r="J667" s="109" t="n"/>
      <c r="K667" s="109" t="n"/>
      <c r="L667" s="231">
        <f>IF($E667="","",DATE(YEAR($E667),MONTH($E667),1))</f>
        <v/>
      </c>
      <c r="M667" s="113">
        <f>IF($D667="","",IF($C667="TANIMSIZ MÜŞTERİ","HATA",IF(OR($E667="",$F667&lt;=0,$G667=""),"EKSİK",IF($E667&gt;TODAY(),"İLERİ TARİH","UYGUN"))))</f>
        <v/>
      </c>
      <c r="N667" s="121">
        <f>IF($C667="","",IF($C667="TANIMSIZ MÜŞTERİ","—",INDEX(MUSTERILER!$C$7:$C$106,MATCH($C667,MUSTERILER!$B$7:$B$106,0))))</f>
        <v/>
      </c>
      <c r="O667" s="6" t="n"/>
      <c r="P667" s="6" t="n"/>
      <c r="Q667" s="3">
        <f>IF($D667="","",$C667&amp;"|"&amp;COUNTIFS($C$7:$C667,$C667))</f>
        <v/>
      </c>
    </row>
    <row r="668">
      <c r="A668" s="6" t="n"/>
      <c r="B668" s="113">
        <f>IF($D668="","","T"&amp;TEXT(ROW()-6,"00000"))</f>
        <v/>
      </c>
      <c r="C668" s="113">
        <f>IF($D668="","",IFERROR(INDEX(MUSTERILER!$B$7:$B$106,MATCH($D668,MUSTERILER!$C$7:$C$106,0)),IFERROR(INDEX(MUSTERILER!$B$7:$B$106,MATCH($D668,MUSTERILER!$B$7:$B$106,0)),IFERROR(INDEX(MUSTERILER!$B$7:$B$106,MATCH($D668&amp;"*",MUSTERILER!$C$7:$C$106,0)),"TANIMSIZ MÜŞTERİ"))))</f>
        <v/>
      </c>
      <c r="D668" s="109" t="n"/>
      <c r="E668" s="225" t="n"/>
      <c r="F668" s="226" t="n"/>
      <c r="G668" s="108" t="n"/>
      <c r="H668" s="108" t="n"/>
      <c r="I668" s="109" t="n"/>
      <c r="J668" s="109" t="n"/>
      <c r="K668" s="109" t="n"/>
      <c r="L668" s="231">
        <f>IF($E668="","",DATE(YEAR($E668),MONTH($E668),1))</f>
        <v/>
      </c>
      <c r="M668" s="113">
        <f>IF($D668="","",IF($C668="TANIMSIZ MÜŞTERİ","HATA",IF(OR($E668="",$F668&lt;=0,$G668=""),"EKSİK",IF($E668&gt;TODAY(),"İLERİ TARİH","UYGUN"))))</f>
        <v/>
      </c>
      <c r="N668" s="121">
        <f>IF($C668="","",IF($C668="TANIMSIZ MÜŞTERİ","—",INDEX(MUSTERILER!$C$7:$C$106,MATCH($C668,MUSTERILER!$B$7:$B$106,0))))</f>
        <v/>
      </c>
      <c r="O668" s="6" t="n"/>
      <c r="P668" s="6" t="n"/>
      <c r="Q668" s="3">
        <f>IF($D668="","",$C668&amp;"|"&amp;COUNTIFS($C$7:$C668,$C668))</f>
        <v/>
      </c>
    </row>
    <row r="669">
      <c r="A669" s="6" t="n"/>
      <c r="B669" s="113">
        <f>IF($D669="","","T"&amp;TEXT(ROW()-6,"00000"))</f>
        <v/>
      </c>
      <c r="C669" s="113">
        <f>IF($D669="","",IFERROR(INDEX(MUSTERILER!$B$7:$B$106,MATCH($D669,MUSTERILER!$C$7:$C$106,0)),IFERROR(INDEX(MUSTERILER!$B$7:$B$106,MATCH($D669,MUSTERILER!$B$7:$B$106,0)),IFERROR(INDEX(MUSTERILER!$B$7:$B$106,MATCH($D669&amp;"*",MUSTERILER!$C$7:$C$106,0)),"TANIMSIZ MÜŞTERİ"))))</f>
        <v/>
      </c>
      <c r="D669" s="109" t="n"/>
      <c r="E669" s="225" t="n"/>
      <c r="F669" s="226" t="n"/>
      <c r="G669" s="108" t="n"/>
      <c r="H669" s="108" t="n"/>
      <c r="I669" s="109" t="n"/>
      <c r="J669" s="109" t="n"/>
      <c r="K669" s="109" t="n"/>
      <c r="L669" s="231">
        <f>IF($E669="","",DATE(YEAR($E669),MONTH($E669),1))</f>
        <v/>
      </c>
      <c r="M669" s="113">
        <f>IF($D669="","",IF($C669="TANIMSIZ MÜŞTERİ","HATA",IF(OR($E669="",$F669&lt;=0,$G669=""),"EKSİK",IF($E669&gt;TODAY(),"İLERİ TARİH","UYGUN"))))</f>
        <v/>
      </c>
      <c r="N669" s="121">
        <f>IF($C669="","",IF($C669="TANIMSIZ MÜŞTERİ","—",INDEX(MUSTERILER!$C$7:$C$106,MATCH($C669,MUSTERILER!$B$7:$B$106,0))))</f>
        <v/>
      </c>
      <c r="O669" s="6" t="n"/>
      <c r="P669" s="6" t="n"/>
      <c r="Q669" s="3">
        <f>IF($D669="","",$C669&amp;"|"&amp;COUNTIFS($C$7:$C669,$C669))</f>
        <v/>
      </c>
    </row>
    <row r="670">
      <c r="A670" s="6" t="n"/>
      <c r="B670" s="113">
        <f>IF($D670="","","T"&amp;TEXT(ROW()-6,"00000"))</f>
        <v/>
      </c>
      <c r="C670" s="113">
        <f>IF($D670="","",IFERROR(INDEX(MUSTERILER!$B$7:$B$106,MATCH($D670,MUSTERILER!$C$7:$C$106,0)),IFERROR(INDEX(MUSTERILER!$B$7:$B$106,MATCH($D670,MUSTERILER!$B$7:$B$106,0)),IFERROR(INDEX(MUSTERILER!$B$7:$B$106,MATCH($D670&amp;"*",MUSTERILER!$C$7:$C$106,0)),"TANIMSIZ MÜŞTERİ"))))</f>
        <v/>
      </c>
      <c r="D670" s="109" t="n"/>
      <c r="E670" s="225" t="n"/>
      <c r="F670" s="226" t="n"/>
      <c r="G670" s="108" t="n"/>
      <c r="H670" s="108" t="n"/>
      <c r="I670" s="109" t="n"/>
      <c r="J670" s="109" t="n"/>
      <c r="K670" s="109" t="n"/>
      <c r="L670" s="231">
        <f>IF($E670="","",DATE(YEAR($E670),MONTH($E670),1))</f>
        <v/>
      </c>
      <c r="M670" s="113">
        <f>IF($D670="","",IF($C670="TANIMSIZ MÜŞTERİ","HATA",IF(OR($E670="",$F670&lt;=0,$G670=""),"EKSİK",IF($E670&gt;TODAY(),"İLERİ TARİH","UYGUN"))))</f>
        <v/>
      </c>
      <c r="N670" s="121">
        <f>IF($C670="","",IF($C670="TANIMSIZ MÜŞTERİ","—",INDEX(MUSTERILER!$C$7:$C$106,MATCH($C670,MUSTERILER!$B$7:$B$106,0))))</f>
        <v/>
      </c>
      <c r="O670" s="6" t="n"/>
      <c r="P670" s="6" t="n"/>
      <c r="Q670" s="3">
        <f>IF($D670="","",$C670&amp;"|"&amp;COUNTIFS($C$7:$C670,$C670))</f>
        <v/>
      </c>
    </row>
    <row r="671">
      <c r="A671" s="6" t="n"/>
      <c r="B671" s="113">
        <f>IF($D671="","","T"&amp;TEXT(ROW()-6,"00000"))</f>
        <v/>
      </c>
      <c r="C671" s="113">
        <f>IF($D671="","",IFERROR(INDEX(MUSTERILER!$B$7:$B$106,MATCH($D671,MUSTERILER!$C$7:$C$106,0)),IFERROR(INDEX(MUSTERILER!$B$7:$B$106,MATCH($D671,MUSTERILER!$B$7:$B$106,0)),IFERROR(INDEX(MUSTERILER!$B$7:$B$106,MATCH($D671&amp;"*",MUSTERILER!$C$7:$C$106,0)),"TANIMSIZ MÜŞTERİ"))))</f>
        <v/>
      </c>
      <c r="D671" s="109" t="n"/>
      <c r="E671" s="225" t="n"/>
      <c r="F671" s="226" t="n"/>
      <c r="G671" s="108" t="n"/>
      <c r="H671" s="108" t="n"/>
      <c r="I671" s="109" t="n"/>
      <c r="J671" s="109" t="n"/>
      <c r="K671" s="109" t="n"/>
      <c r="L671" s="231">
        <f>IF($E671="","",DATE(YEAR($E671),MONTH($E671),1))</f>
        <v/>
      </c>
      <c r="M671" s="113">
        <f>IF($D671="","",IF($C671="TANIMSIZ MÜŞTERİ","HATA",IF(OR($E671="",$F671&lt;=0,$G671=""),"EKSİK",IF($E671&gt;TODAY(),"İLERİ TARİH","UYGUN"))))</f>
        <v/>
      </c>
      <c r="N671" s="121">
        <f>IF($C671="","",IF($C671="TANIMSIZ MÜŞTERİ","—",INDEX(MUSTERILER!$C$7:$C$106,MATCH($C671,MUSTERILER!$B$7:$B$106,0))))</f>
        <v/>
      </c>
      <c r="O671" s="6" t="n"/>
      <c r="P671" s="6" t="n"/>
      <c r="Q671" s="3">
        <f>IF($D671="","",$C671&amp;"|"&amp;COUNTIFS($C$7:$C671,$C671))</f>
        <v/>
      </c>
    </row>
    <row r="672">
      <c r="A672" s="6" t="n"/>
      <c r="B672" s="113">
        <f>IF($D672="","","T"&amp;TEXT(ROW()-6,"00000"))</f>
        <v/>
      </c>
      <c r="C672" s="113">
        <f>IF($D672="","",IFERROR(INDEX(MUSTERILER!$B$7:$B$106,MATCH($D672,MUSTERILER!$C$7:$C$106,0)),IFERROR(INDEX(MUSTERILER!$B$7:$B$106,MATCH($D672,MUSTERILER!$B$7:$B$106,0)),IFERROR(INDEX(MUSTERILER!$B$7:$B$106,MATCH($D672&amp;"*",MUSTERILER!$C$7:$C$106,0)),"TANIMSIZ MÜŞTERİ"))))</f>
        <v/>
      </c>
      <c r="D672" s="109" t="n"/>
      <c r="E672" s="225" t="n"/>
      <c r="F672" s="226" t="n"/>
      <c r="G672" s="108" t="n"/>
      <c r="H672" s="108" t="n"/>
      <c r="I672" s="109" t="n"/>
      <c r="J672" s="109" t="n"/>
      <c r="K672" s="109" t="n"/>
      <c r="L672" s="231">
        <f>IF($E672="","",DATE(YEAR($E672),MONTH($E672),1))</f>
        <v/>
      </c>
      <c r="M672" s="113">
        <f>IF($D672="","",IF($C672="TANIMSIZ MÜŞTERİ","HATA",IF(OR($E672="",$F672&lt;=0,$G672=""),"EKSİK",IF($E672&gt;TODAY(),"İLERİ TARİH","UYGUN"))))</f>
        <v/>
      </c>
      <c r="N672" s="121">
        <f>IF($C672="","",IF($C672="TANIMSIZ MÜŞTERİ","—",INDEX(MUSTERILER!$C$7:$C$106,MATCH($C672,MUSTERILER!$B$7:$B$106,0))))</f>
        <v/>
      </c>
      <c r="O672" s="6" t="n"/>
      <c r="P672" s="6" t="n"/>
      <c r="Q672" s="3">
        <f>IF($D672="","",$C672&amp;"|"&amp;COUNTIFS($C$7:$C672,$C672))</f>
        <v/>
      </c>
    </row>
    <row r="673">
      <c r="A673" s="6" t="n"/>
      <c r="B673" s="113">
        <f>IF($D673="","","T"&amp;TEXT(ROW()-6,"00000"))</f>
        <v/>
      </c>
      <c r="C673" s="113">
        <f>IF($D673="","",IFERROR(INDEX(MUSTERILER!$B$7:$B$106,MATCH($D673,MUSTERILER!$C$7:$C$106,0)),IFERROR(INDEX(MUSTERILER!$B$7:$B$106,MATCH($D673,MUSTERILER!$B$7:$B$106,0)),IFERROR(INDEX(MUSTERILER!$B$7:$B$106,MATCH($D673&amp;"*",MUSTERILER!$C$7:$C$106,0)),"TANIMSIZ MÜŞTERİ"))))</f>
        <v/>
      </c>
      <c r="D673" s="109" t="n"/>
      <c r="E673" s="225" t="n"/>
      <c r="F673" s="226" t="n"/>
      <c r="G673" s="108" t="n"/>
      <c r="H673" s="108" t="n"/>
      <c r="I673" s="109" t="n"/>
      <c r="J673" s="109" t="n"/>
      <c r="K673" s="109" t="n"/>
      <c r="L673" s="231">
        <f>IF($E673="","",DATE(YEAR($E673),MONTH($E673),1))</f>
        <v/>
      </c>
      <c r="M673" s="113">
        <f>IF($D673="","",IF($C673="TANIMSIZ MÜŞTERİ","HATA",IF(OR($E673="",$F673&lt;=0,$G673=""),"EKSİK",IF($E673&gt;TODAY(),"İLERİ TARİH","UYGUN"))))</f>
        <v/>
      </c>
      <c r="N673" s="121">
        <f>IF($C673="","",IF($C673="TANIMSIZ MÜŞTERİ","—",INDEX(MUSTERILER!$C$7:$C$106,MATCH($C673,MUSTERILER!$B$7:$B$106,0))))</f>
        <v/>
      </c>
      <c r="O673" s="6" t="n"/>
      <c r="P673" s="6" t="n"/>
      <c r="Q673" s="3">
        <f>IF($D673="","",$C673&amp;"|"&amp;COUNTIFS($C$7:$C673,$C673))</f>
        <v/>
      </c>
    </row>
    <row r="674">
      <c r="A674" s="6" t="n"/>
      <c r="B674" s="113">
        <f>IF($D674="","","T"&amp;TEXT(ROW()-6,"00000"))</f>
        <v/>
      </c>
      <c r="C674" s="113">
        <f>IF($D674="","",IFERROR(INDEX(MUSTERILER!$B$7:$B$106,MATCH($D674,MUSTERILER!$C$7:$C$106,0)),IFERROR(INDEX(MUSTERILER!$B$7:$B$106,MATCH($D674,MUSTERILER!$B$7:$B$106,0)),IFERROR(INDEX(MUSTERILER!$B$7:$B$106,MATCH($D674&amp;"*",MUSTERILER!$C$7:$C$106,0)),"TANIMSIZ MÜŞTERİ"))))</f>
        <v/>
      </c>
      <c r="D674" s="109" t="n"/>
      <c r="E674" s="225" t="n"/>
      <c r="F674" s="226" t="n"/>
      <c r="G674" s="108" t="n"/>
      <c r="H674" s="108" t="n"/>
      <c r="I674" s="109" t="n"/>
      <c r="J674" s="109" t="n"/>
      <c r="K674" s="109" t="n"/>
      <c r="L674" s="231">
        <f>IF($E674="","",DATE(YEAR($E674),MONTH($E674),1))</f>
        <v/>
      </c>
      <c r="M674" s="113">
        <f>IF($D674="","",IF($C674="TANIMSIZ MÜŞTERİ","HATA",IF(OR($E674="",$F674&lt;=0,$G674=""),"EKSİK",IF($E674&gt;TODAY(),"İLERİ TARİH","UYGUN"))))</f>
        <v/>
      </c>
      <c r="N674" s="121">
        <f>IF($C674="","",IF($C674="TANIMSIZ MÜŞTERİ","—",INDEX(MUSTERILER!$C$7:$C$106,MATCH($C674,MUSTERILER!$B$7:$B$106,0))))</f>
        <v/>
      </c>
      <c r="O674" s="6" t="n"/>
      <c r="P674" s="6" t="n"/>
      <c r="Q674" s="3">
        <f>IF($D674="","",$C674&amp;"|"&amp;COUNTIFS($C$7:$C674,$C674))</f>
        <v/>
      </c>
    </row>
    <row r="675">
      <c r="A675" s="6" t="n"/>
      <c r="B675" s="113">
        <f>IF($D675="","","T"&amp;TEXT(ROW()-6,"00000"))</f>
        <v/>
      </c>
      <c r="C675" s="113">
        <f>IF($D675="","",IFERROR(INDEX(MUSTERILER!$B$7:$B$106,MATCH($D675,MUSTERILER!$C$7:$C$106,0)),IFERROR(INDEX(MUSTERILER!$B$7:$B$106,MATCH($D675,MUSTERILER!$B$7:$B$106,0)),IFERROR(INDEX(MUSTERILER!$B$7:$B$106,MATCH($D675&amp;"*",MUSTERILER!$C$7:$C$106,0)),"TANIMSIZ MÜŞTERİ"))))</f>
        <v/>
      </c>
      <c r="D675" s="109" t="n"/>
      <c r="E675" s="225" t="n"/>
      <c r="F675" s="226" t="n"/>
      <c r="G675" s="108" t="n"/>
      <c r="H675" s="108" t="n"/>
      <c r="I675" s="109" t="n"/>
      <c r="J675" s="109" t="n"/>
      <c r="K675" s="109" t="n"/>
      <c r="L675" s="231">
        <f>IF($E675="","",DATE(YEAR($E675),MONTH($E675),1))</f>
        <v/>
      </c>
      <c r="M675" s="113">
        <f>IF($D675="","",IF($C675="TANIMSIZ MÜŞTERİ","HATA",IF(OR($E675="",$F675&lt;=0,$G675=""),"EKSİK",IF($E675&gt;TODAY(),"İLERİ TARİH","UYGUN"))))</f>
        <v/>
      </c>
      <c r="N675" s="121">
        <f>IF($C675="","",IF($C675="TANIMSIZ MÜŞTERİ","—",INDEX(MUSTERILER!$C$7:$C$106,MATCH($C675,MUSTERILER!$B$7:$B$106,0))))</f>
        <v/>
      </c>
      <c r="O675" s="6" t="n"/>
      <c r="P675" s="6" t="n"/>
      <c r="Q675" s="3">
        <f>IF($D675="","",$C675&amp;"|"&amp;COUNTIFS($C$7:$C675,$C675))</f>
        <v/>
      </c>
    </row>
    <row r="676">
      <c r="A676" s="6" t="n"/>
      <c r="B676" s="113">
        <f>IF($D676="","","T"&amp;TEXT(ROW()-6,"00000"))</f>
        <v/>
      </c>
      <c r="C676" s="113">
        <f>IF($D676="","",IFERROR(INDEX(MUSTERILER!$B$7:$B$106,MATCH($D676,MUSTERILER!$C$7:$C$106,0)),IFERROR(INDEX(MUSTERILER!$B$7:$B$106,MATCH($D676,MUSTERILER!$B$7:$B$106,0)),IFERROR(INDEX(MUSTERILER!$B$7:$B$106,MATCH($D676&amp;"*",MUSTERILER!$C$7:$C$106,0)),"TANIMSIZ MÜŞTERİ"))))</f>
        <v/>
      </c>
      <c r="D676" s="109" t="n"/>
      <c r="E676" s="225" t="n"/>
      <c r="F676" s="226" t="n"/>
      <c r="G676" s="108" t="n"/>
      <c r="H676" s="108" t="n"/>
      <c r="I676" s="109" t="n"/>
      <c r="J676" s="109" t="n"/>
      <c r="K676" s="109" t="n"/>
      <c r="L676" s="231">
        <f>IF($E676="","",DATE(YEAR($E676),MONTH($E676),1))</f>
        <v/>
      </c>
      <c r="M676" s="113">
        <f>IF($D676="","",IF($C676="TANIMSIZ MÜŞTERİ","HATA",IF(OR($E676="",$F676&lt;=0,$G676=""),"EKSİK",IF($E676&gt;TODAY(),"İLERİ TARİH","UYGUN"))))</f>
        <v/>
      </c>
      <c r="N676" s="121">
        <f>IF($C676="","",IF($C676="TANIMSIZ MÜŞTERİ","—",INDEX(MUSTERILER!$C$7:$C$106,MATCH($C676,MUSTERILER!$B$7:$B$106,0))))</f>
        <v/>
      </c>
      <c r="O676" s="6" t="n"/>
      <c r="P676" s="6" t="n"/>
      <c r="Q676" s="3">
        <f>IF($D676="","",$C676&amp;"|"&amp;COUNTIFS($C$7:$C676,$C676))</f>
        <v/>
      </c>
    </row>
    <row r="677">
      <c r="A677" s="6" t="n"/>
      <c r="B677" s="113">
        <f>IF($D677="","","T"&amp;TEXT(ROW()-6,"00000"))</f>
        <v/>
      </c>
      <c r="C677" s="113">
        <f>IF($D677="","",IFERROR(INDEX(MUSTERILER!$B$7:$B$106,MATCH($D677,MUSTERILER!$C$7:$C$106,0)),IFERROR(INDEX(MUSTERILER!$B$7:$B$106,MATCH($D677,MUSTERILER!$B$7:$B$106,0)),IFERROR(INDEX(MUSTERILER!$B$7:$B$106,MATCH($D677&amp;"*",MUSTERILER!$C$7:$C$106,0)),"TANIMSIZ MÜŞTERİ"))))</f>
        <v/>
      </c>
      <c r="D677" s="109" t="n"/>
      <c r="E677" s="225" t="n"/>
      <c r="F677" s="226" t="n"/>
      <c r="G677" s="108" t="n"/>
      <c r="H677" s="108" t="n"/>
      <c r="I677" s="109" t="n"/>
      <c r="J677" s="109" t="n"/>
      <c r="K677" s="109" t="n"/>
      <c r="L677" s="231">
        <f>IF($E677="","",DATE(YEAR($E677),MONTH($E677),1))</f>
        <v/>
      </c>
      <c r="M677" s="113">
        <f>IF($D677="","",IF($C677="TANIMSIZ MÜŞTERİ","HATA",IF(OR($E677="",$F677&lt;=0,$G677=""),"EKSİK",IF($E677&gt;TODAY(),"İLERİ TARİH","UYGUN"))))</f>
        <v/>
      </c>
      <c r="N677" s="121">
        <f>IF($C677="","",IF($C677="TANIMSIZ MÜŞTERİ","—",INDEX(MUSTERILER!$C$7:$C$106,MATCH($C677,MUSTERILER!$B$7:$B$106,0))))</f>
        <v/>
      </c>
      <c r="O677" s="6" t="n"/>
      <c r="P677" s="6" t="n"/>
      <c r="Q677" s="3">
        <f>IF($D677="","",$C677&amp;"|"&amp;COUNTIFS($C$7:$C677,$C677))</f>
        <v/>
      </c>
    </row>
    <row r="678">
      <c r="A678" s="6" t="n"/>
      <c r="B678" s="113">
        <f>IF($D678="","","T"&amp;TEXT(ROW()-6,"00000"))</f>
        <v/>
      </c>
      <c r="C678" s="113">
        <f>IF($D678="","",IFERROR(INDEX(MUSTERILER!$B$7:$B$106,MATCH($D678,MUSTERILER!$C$7:$C$106,0)),IFERROR(INDEX(MUSTERILER!$B$7:$B$106,MATCH($D678,MUSTERILER!$B$7:$B$106,0)),IFERROR(INDEX(MUSTERILER!$B$7:$B$106,MATCH($D678&amp;"*",MUSTERILER!$C$7:$C$106,0)),"TANIMSIZ MÜŞTERİ"))))</f>
        <v/>
      </c>
      <c r="D678" s="109" t="n"/>
      <c r="E678" s="225" t="n"/>
      <c r="F678" s="226" t="n"/>
      <c r="G678" s="108" t="n"/>
      <c r="H678" s="108" t="n"/>
      <c r="I678" s="109" t="n"/>
      <c r="J678" s="109" t="n"/>
      <c r="K678" s="109" t="n"/>
      <c r="L678" s="231">
        <f>IF($E678="","",DATE(YEAR($E678),MONTH($E678),1))</f>
        <v/>
      </c>
      <c r="M678" s="113">
        <f>IF($D678="","",IF($C678="TANIMSIZ MÜŞTERİ","HATA",IF(OR($E678="",$F678&lt;=0,$G678=""),"EKSİK",IF($E678&gt;TODAY(),"İLERİ TARİH","UYGUN"))))</f>
        <v/>
      </c>
      <c r="N678" s="121">
        <f>IF($C678="","",IF($C678="TANIMSIZ MÜŞTERİ","—",INDEX(MUSTERILER!$C$7:$C$106,MATCH($C678,MUSTERILER!$B$7:$B$106,0))))</f>
        <v/>
      </c>
      <c r="O678" s="6" t="n"/>
      <c r="P678" s="6" t="n"/>
      <c r="Q678" s="3">
        <f>IF($D678="","",$C678&amp;"|"&amp;COUNTIFS($C$7:$C678,$C678))</f>
        <v/>
      </c>
    </row>
    <row r="679">
      <c r="A679" s="6" t="n"/>
      <c r="B679" s="113">
        <f>IF($D679="","","T"&amp;TEXT(ROW()-6,"00000"))</f>
        <v/>
      </c>
      <c r="C679" s="113">
        <f>IF($D679="","",IFERROR(INDEX(MUSTERILER!$B$7:$B$106,MATCH($D679,MUSTERILER!$C$7:$C$106,0)),IFERROR(INDEX(MUSTERILER!$B$7:$B$106,MATCH($D679,MUSTERILER!$B$7:$B$106,0)),IFERROR(INDEX(MUSTERILER!$B$7:$B$106,MATCH($D679&amp;"*",MUSTERILER!$C$7:$C$106,0)),"TANIMSIZ MÜŞTERİ"))))</f>
        <v/>
      </c>
      <c r="D679" s="109" t="n"/>
      <c r="E679" s="225" t="n"/>
      <c r="F679" s="226" t="n"/>
      <c r="G679" s="108" t="n"/>
      <c r="H679" s="108" t="n"/>
      <c r="I679" s="109" t="n"/>
      <c r="J679" s="109" t="n"/>
      <c r="K679" s="109" t="n"/>
      <c r="L679" s="231">
        <f>IF($E679="","",DATE(YEAR($E679),MONTH($E679),1))</f>
        <v/>
      </c>
      <c r="M679" s="113">
        <f>IF($D679="","",IF($C679="TANIMSIZ MÜŞTERİ","HATA",IF(OR($E679="",$F679&lt;=0,$G679=""),"EKSİK",IF($E679&gt;TODAY(),"İLERİ TARİH","UYGUN"))))</f>
        <v/>
      </c>
      <c r="N679" s="121">
        <f>IF($C679="","",IF($C679="TANIMSIZ MÜŞTERİ","—",INDEX(MUSTERILER!$C$7:$C$106,MATCH($C679,MUSTERILER!$B$7:$B$106,0))))</f>
        <v/>
      </c>
      <c r="O679" s="6" t="n"/>
      <c r="P679" s="6" t="n"/>
      <c r="Q679" s="3">
        <f>IF($D679="","",$C679&amp;"|"&amp;COUNTIFS($C$7:$C679,$C679))</f>
        <v/>
      </c>
    </row>
    <row r="680">
      <c r="A680" s="6" t="n"/>
      <c r="B680" s="113">
        <f>IF($D680="","","T"&amp;TEXT(ROW()-6,"00000"))</f>
        <v/>
      </c>
      <c r="C680" s="113">
        <f>IF($D680="","",IFERROR(INDEX(MUSTERILER!$B$7:$B$106,MATCH($D680,MUSTERILER!$C$7:$C$106,0)),IFERROR(INDEX(MUSTERILER!$B$7:$B$106,MATCH($D680,MUSTERILER!$B$7:$B$106,0)),IFERROR(INDEX(MUSTERILER!$B$7:$B$106,MATCH($D680&amp;"*",MUSTERILER!$C$7:$C$106,0)),"TANIMSIZ MÜŞTERİ"))))</f>
        <v/>
      </c>
      <c r="D680" s="109" t="n"/>
      <c r="E680" s="225" t="n"/>
      <c r="F680" s="226" t="n"/>
      <c r="G680" s="108" t="n"/>
      <c r="H680" s="108" t="n"/>
      <c r="I680" s="109" t="n"/>
      <c r="J680" s="109" t="n"/>
      <c r="K680" s="109" t="n"/>
      <c r="L680" s="231">
        <f>IF($E680="","",DATE(YEAR($E680),MONTH($E680),1))</f>
        <v/>
      </c>
      <c r="M680" s="113">
        <f>IF($D680="","",IF($C680="TANIMSIZ MÜŞTERİ","HATA",IF(OR($E680="",$F680&lt;=0,$G680=""),"EKSİK",IF($E680&gt;TODAY(),"İLERİ TARİH","UYGUN"))))</f>
        <v/>
      </c>
      <c r="N680" s="121">
        <f>IF($C680="","",IF($C680="TANIMSIZ MÜŞTERİ","—",INDEX(MUSTERILER!$C$7:$C$106,MATCH($C680,MUSTERILER!$B$7:$B$106,0))))</f>
        <v/>
      </c>
      <c r="O680" s="6" t="n"/>
      <c r="P680" s="6" t="n"/>
      <c r="Q680" s="3">
        <f>IF($D680="","",$C680&amp;"|"&amp;COUNTIFS($C$7:$C680,$C680))</f>
        <v/>
      </c>
    </row>
    <row r="681">
      <c r="A681" s="6" t="n"/>
      <c r="B681" s="113">
        <f>IF($D681="","","T"&amp;TEXT(ROW()-6,"00000"))</f>
        <v/>
      </c>
      <c r="C681" s="113">
        <f>IF($D681="","",IFERROR(INDEX(MUSTERILER!$B$7:$B$106,MATCH($D681,MUSTERILER!$C$7:$C$106,0)),IFERROR(INDEX(MUSTERILER!$B$7:$B$106,MATCH($D681,MUSTERILER!$B$7:$B$106,0)),IFERROR(INDEX(MUSTERILER!$B$7:$B$106,MATCH($D681&amp;"*",MUSTERILER!$C$7:$C$106,0)),"TANIMSIZ MÜŞTERİ"))))</f>
        <v/>
      </c>
      <c r="D681" s="109" t="n"/>
      <c r="E681" s="225" t="n"/>
      <c r="F681" s="226" t="n"/>
      <c r="G681" s="108" t="n"/>
      <c r="H681" s="108" t="n"/>
      <c r="I681" s="109" t="n"/>
      <c r="J681" s="109" t="n"/>
      <c r="K681" s="109" t="n"/>
      <c r="L681" s="231">
        <f>IF($E681="","",DATE(YEAR($E681),MONTH($E681),1))</f>
        <v/>
      </c>
      <c r="M681" s="113">
        <f>IF($D681="","",IF($C681="TANIMSIZ MÜŞTERİ","HATA",IF(OR($E681="",$F681&lt;=0,$G681=""),"EKSİK",IF($E681&gt;TODAY(),"İLERİ TARİH","UYGUN"))))</f>
        <v/>
      </c>
      <c r="N681" s="121">
        <f>IF($C681="","",IF($C681="TANIMSIZ MÜŞTERİ","—",INDEX(MUSTERILER!$C$7:$C$106,MATCH($C681,MUSTERILER!$B$7:$B$106,0))))</f>
        <v/>
      </c>
      <c r="O681" s="6" t="n"/>
      <c r="P681" s="6" t="n"/>
      <c r="Q681" s="3">
        <f>IF($D681="","",$C681&amp;"|"&amp;COUNTIFS($C$7:$C681,$C681))</f>
        <v/>
      </c>
    </row>
    <row r="682">
      <c r="A682" s="6" t="n"/>
      <c r="B682" s="113">
        <f>IF($D682="","","T"&amp;TEXT(ROW()-6,"00000"))</f>
        <v/>
      </c>
      <c r="C682" s="113">
        <f>IF($D682="","",IFERROR(INDEX(MUSTERILER!$B$7:$B$106,MATCH($D682,MUSTERILER!$C$7:$C$106,0)),IFERROR(INDEX(MUSTERILER!$B$7:$B$106,MATCH($D682,MUSTERILER!$B$7:$B$106,0)),IFERROR(INDEX(MUSTERILER!$B$7:$B$106,MATCH($D682&amp;"*",MUSTERILER!$C$7:$C$106,0)),"TANIMSIZ MÜŞTERİ"))))</f>
        <v/>
      </c>
      <c r="D682" s="109" t="n"/>
      <c r="E682" s="225" t="n"/>
      <c r="F682" s="226" t="n"/>
      <c r="G682" s="108" t="n"/>
      <c r="H682" s="108" t="n"/>
      <c r="I682" s="109" t="n"/>
      <c r="J682" s="109" t="n"/>
      <c r="K682" s="109" t="n"/>
      <c r="L682" s="231">
        <f>IF($E682="","",DATE(YEAR($E682),MONTH($E682),1))</f>
        <v/>
      </c>
      <c r="M682" s="113">
        <f>IF($D682="","",IF($C682="TANIMSIZ MÜŞTERİ","HATA",IF(OR($E682="",$F682&lt;=0,$G682=""),"EKSİK",IF($E682&gt;TODAY(),"İLERİ TARİH","UYGUN"))))</f>
        <v/>
      </c>
      <c r="N682" s="121">
        <f>IF($C682="","",IF($C682="TANIMSIZ MÜŞTERİ","—",INDEX(MUSTERILER!$C$7:$C$106,MATCH($C682,MUSTERILER!$B$7:$B$106,0))))</f>
        <v/>
      </c>
      <c r="O682" s="6" t="n"/>
      <c r="P682" s="6" t="n"/>
      <c r="Q682" s="3">
        <f>IF($D682="","",$C682&amp;"|"&amp;COUNTIFS($C$7:$C682,$C682))</f>
        <v/>
      </c>
    </row>
    <row r="683">
      <c r="A683" s="6" t="n"/>
      <c r="B683" s="113">
        <f>IF($D683="","","T"&amp;TEXT(ROW()-6,"00000"))</f>
        <v/>
      </c>
      <c r="C683" s="113">
        <f>IF($D683="","",IFERROR(INDEX(MUSTERILER!$B$7:$B$106,MATCH($D683,MUSTERILER!$C$7:$C$106,0)),IFERROR(INDEX(MUSTERILER!$B$7:$B$106,MATCH($D683,MUSTERILER!$B$7:$B$106,0)),IFERROR(INDEX(MUSTERILER!$B$7:$B$106,MATCH($D683&amp;"*",MUSTERILER!$C$7:$C$106,0)),"TANIMSIZ MÜŞTERİ"))))</f>
        <v/>
      </c>
      <c r="D683" s="109" t="n"/>
      <c r="E683" s="225" t="n"/>
      <c r="F683" s="226" t="n"/>
      <c r="G683" s="108" t="n"/>
      <c r="H683" s="108" t="n"/>
      <c r="I683" s="109" t="n"/>
      <c r="J683" s="109" t="n"/>
      <c r="K683" s="109" t="n"/>
      <c r="L683" s="231">
        <f>IF($E683="","",DATE(YEAR($E683),MONTH($E683),1))</f>
        <v/>
      </c>
      <c r="M683" s="113">
        <f>IF($D683="","",IF($C683="TANIMSIZ MÜŞTERİ","HATA",IF(OR($E683="",$F683&lt;=0,$G683=""),"EKSİK",IF($E683&gt;TODAY(),"İLERİ TARİH","UYGUN"))))</f>
        <v/>
      </c>
      <c r="N683" s="121">
        <f>IF($C683="","",IF($C683="TANIMSIZ MÜŞTERİ","—",INDEX(MUSTERILER!$C$7:$C$106,MATCH($C683,MUSTERILER!$B$7:$B$106,0))))</f>
        <v/>
      </c>
      <c r="O683" s="6" t="n"/>
      <c r="P683" s="6" t="n"/>
      <c r="Q683" s="3">
        <f>IF($D683="","",$C683&amp;"|"&amp;COUNTIFS($C$7:$C683,$C683))</f>
        <v/>
      </c>
    </row>
    <row r="684">
      <c r="A684" s="6" t="n"/>
      <c r="B684" s="113">
        <f>IF($D684="","","T"&amp;TEXT(ROW()-6,"00000"))</f>
        <v/>
      </c>
      <c r="C684" s="113">
        <f>IF($D684="","",IFERROR(INDEX(MUSTERILER!$B$7:$B$106,MATCH($D684,MUSTERILER!$C$7:$C$106,0)),IFERROR(INDEX(MUSTERILER!$B$7:$B$106,MATCH($D684,MUSTERILER!$B$7:$B$106,0)),IFERROR(INDEX(MUSTERILER!$B$7:$B$106,MATCH($D684&amp;"*",MUSTERILER!$C$7:$C$106,0)),"TANIMSIZ MÜŞTERİ"))))</f>
        <v/>
      </c>
      <c r="D684" s="109" t="n"/>
      <c r="E684" s="225" t="n"/>
      <c r="F684" s="226" t="n"/>
      <c r="G684" s="108" t="n"/>
      <c r="H684" s="108" t="n"/>
      <c r="I684" s="109" t="n"/>
      <c r="J684" s="109" t="n"/>
      <c r="K684" s="109" t="n"/>
      <c r="L684" s="231">
        <f>IF($E684="","",DATE(YEAR($E684),MONTH($E684),1))</f>
        <v/>
      </c>
      <c r="M684" s="113">
        <f>IF($D684="","",IF($C684="TANIMSIZ MÜŞTERİ","HATA",IF(OR($E684="",$F684&lt;=0,$G684=""),"EKSİK",IF($E684&gt;TODAY(),"İLERİ TARİH","UYGUN"))))</f>
        <v/>
      </c>
      <c r="N684" s="121">
        <f>IF($C684="","",IF($C684="TANIMSIZ MÜŞTERİ","—",INDEX(MUSTERILER!$C$7:$C$106,MATCH($C684,MUSTERILER!$B$7:$B$106,0))))</f>
        <v/>
      </c>
      <c r="O684" s="6" t="n"/>
      <c r="P684" s="6" t="n"/>
      <c r="Q684" s="3">
        <f>IF($D684="","",$C684&amp;"|"&amp;COUNTIFS($C$7:$C684,$C684))</f>
        <v/>
      </c>
    </row>
    <row r="685">
      <c r="A685" s="6" t="n"/>
      <c r="B685" s="113">
        <f>IF($D685="","","T"&amp;TEXT(ROW()-6,"00000"))</f>
        <v/>
      </c>
      <c r="C685" s="113">
        <f>IF($D685="","",IFERROR(INDEX(MUSTERILER!$B$7:$B$106,MATCH($D685,MUSTERILER!$C$7:$C$106,0)),IFERROR(INDEX(MUSTERILER!$B$7:$B$106,MATCH($D685,MUSTERILER!$B$7:$B$106,0)),IFERROR(INDEX(MUSTERILER!$B$7:$B$106,MATCH($D685&amp;"*",MUSTERILER!$C$7:$C$106,0)),"TANIMSIZ MÜŞTERİ"))))</f>
        <v/>
      </c>
      <c r="D685" s="109" t="n"/>
      <c r="E685" s="225" t="n"/>
      <c r="F685" s="226" t="n"/>
      <c r="G685" s="108" t="n"/>
      <c r="H685" s="108" t="n"/>
      <c r="I685" s="109" t="n"/>
      <c r="J685" s="109" t="n"/>
      <c r="K685" s="109" t="n"/>
      <c r="L685" s="231">
        <f>IF($E685="","",DATE(YEAR($E685),MONTH($E685),1))</f>
        <v/>
      </c>
      <c r="M685" s="113">
        <f>IF($D685="","",IF($C685="TANIMSIZ MÜŞTERİ","HATA",IF(OR($E685="",$F685&lt;=0,$G685=""),"EKSİK",IF($E685&gt;TODAY(),"İLERİ TARİH","UYGUN"))))</f>
        <v/>
      </c>
      <c r="N685" s="121">
        <f>IF($C685="","",IF($C685="TANIMSIZ MÜŞTERİ","—",INDEX(MUSTERILER!$C$7:$C$106,MATCH($C685,MUSTERILER!$B$7:$B$106,0))))</f>
        <v/>
      </c>
      <c r="O685" s="6" t="n"/>
      <c r="P685" s="6" t="n"/>
      <c r="Q685" s="3">
        <f>IF($D685="","",$C685&amp;"|"&amp;COUNTIFS($C$7:$C685,$C685))</f>
        <v/>
      </c>
    </row>
    <row r="686">
      <c r="A686" s="6" t="n"/>
      <c r="B686" s="113">
        <f>IF($D686="","","T"&amp;TEXT(ROW()-6,"00000"))</f>
        <v/>
      </c>
      <c r="C686" s="113">
        <f>IF($D686="","",IFERROR(INDEX(MUSTERILER!$B$7:$B$106,MATCH($D686,MUSTERILER!$C$7:$C$106,0)),IFERROR(INDEX(MUSTERILER!$B$7:$B$106,MATCH($D686,MUSTERILER!$B$7:$B$106,0)),IFERROR(INDEX(MUSTERILER!$B$7:$B$106,MATCH($D686&amp;"*",MUSTERILER!$C$7:$C$106,0)),"TANIMSIZ MÜŞTERİ"))))</f>
        <v/>
      </c>
      <c r="D686" s="109" t="n"/>
      <c r="E686" s="225" t="n"/>
      <c r="F686" s="226" t="n"/>
      <c r="G686" s="108" t="n"/>
      <c r="H686" s="108" t="n"/>
      <c r="I686" s="109" t="n"/>
      <c r="J686" s="109" t="n"/>
      <c r="K686" s="109" t="n"/>
      <c r="L686" s="231">
        <f>IF($E686="","",DATE(YEAR($E686),MONTH($E686),1))</f>
        <v/>
      </c>
      <c r="M686" s="113">
        <f>IF($D686="","",IF($C686="TANIMSIZ MÜŞTERİ","HATA",IF(OR($E686="",$F686&lt;=0,$G686=""),"EKSİK",IF($E686&gt;TODAY(),"İLERİ TARİH","UYGUN"))))</f>
        <v/>
      </c>
      <c r="N686" s="121">
        <f>IF($C686="","",IF($C686="TANIMSIZ MÜŞTERİ","—",INDEX(MUSTERILER!$C$7:$C$106,MATCH($C686,MUSTERILER!$B$7:$B$106,0))))</f>
        <v/>
      </c>
      <c r="O686" s="6" t="n"/>
      <c r="P686" s="6" t="n"/>
      <c r="Q686" s="3">
        <f>IF($D686="","",$C686&amp;"|"&amp;COUNTIFS($C$7:$C686,$C686))</f>
        <v/>
      </c>
    </row>
    <row r="687">
      <c r="A687" s="6" t="n"/>
      <c r="B687" s="113">
        <f>IF($D687="","","T"&amp;TEXT(ROW()-6,"00000"))</f>
        <v/>
      </c>
      <c r="C687" s="113">
        <f>IF($D687="","",IFERROR(INDEX(MUSTERILER!$B$7:$B$106,MATCH($D687,MUSTERILER!$C$7:$C$106,0)),IFERROR(INDEX(MUSTERILER!$B$7:$B$106,MATCH($D687,MUSTERILER!$B$7:$B$106,0)),IFERROR(INDEX(MUSTERILER!$B$7:$B$106,MATCH($D687&amp;"*",MUSTERILER!$C$7:$C$106,0)),"TANIMSIZ MÜŞTERİ"))))</f>
        <v/>
      </c>
      <c r="D687" s="109" t="n"/>
      <c r="E687" s="225" t="n"/>
      <c r="F687" s="226" t="n"/>
      <c r="G687" s="108" t="n"/>
      <c r="H687" s="108" t="n"/>
      <c r="I687" s="109" t="n"/>
      <c r="J687" s="109" t="n"/>
      <c r="K687" s="109" t="n"/>
      <c r="L687" s="231">
        <f>IF($E687="","",DATE(YEAR($E687),MONTH($E687),1))</f>
        <v/>
      </c>
      <c r="M687" s="113">
        <f>IF($D687="","",IF($C687="TANIMSIZ MÜŞTERİ","HATA",IF(OR($E687="",$F687&lt;=0,$G687=""),"EKSİK",IF($E687&gt;TODAY(),"İLERİ TARİH","UYGUN"))))</f>
        <v/>
      </c>
      <c r="N687" s="121">
        <f>IF($C687="","",IF($C687="TANIMSIZ MÜŞTERİ","—",INDEX(MUSTERILER!$C$7:$C$106,MATCH($C687,MUSTERILER!$B$7:$B$106,0))))</f>
        <v/>
      </c>
      <c r="O687" s="6" t="n"/>
      <c r="P687" s="6" t="n"/>
      <c r="Q687" s="3">
        <f>IF($D687="","",$C687&amp;"|"&amp;COUNTIFS($C$7:$C687,$C687))</f>
        <v/>
      </c>
    </row>
    <row r="688">
      <c r="A688" s="6" t="n"/>
      <c r="B688" s="113">
        <f>IF($D688="","","T"&amp;TEXT(ROW()-6,"00000"))</f>
        <v/>
      </c>
      <c r="C688" s="113">
        <f>IF($D688="","",IFERROR(INDEX(MUSTERILER!$B$7:$B$106,MATCH($D688,MUSTERILER!$C$7:$C$106,0)),IFERROR(INDEX(MUSTERILER!$B$7:$B$106,MATCH($D688,MUSTERILER!$B$7:$B$106,0)),IFERROR(INDEX(MUSTERILER!$B$7:$B$106,MATCH($D688&amp;"*",MUSTERILER!$C$7:$C$106,0)),"TANIMSIZ MÜŞTERİ"))))</f>
        <v/>
      </c>
      <c r="D688" s="109" t="n"/>
      <c r="E688" s="225" t="n"/>
      <c r="F688" s="226" t="n"/>
      <c r="G688" s="108" t="n"/>
      <c r="H688" s="108" t="n"/>
      <c r="I688" s="109" t="n"/>
      <c r="J688" s="109" t="n"/>
      <c r="K688" s="109" t="n"/>
      <c r="L688" s="231">
        <f>IF($E688="","",DATE(YEAR($E688),MONTH($E688),1))</f>
        <v/>
      </c>
      <c r="M688" s="113">
        <f>IF($D688="","",IF($C688="TANIMSIZ MÜŞTERİ","HATA",IF(OR($E688="",$F688&lt;=0,$G688=""),"EKSİK",IF($E688&gt;TODAY(),"İLERİ TARİH","UYGUN"))))</f>
        <v/>
      </c>
      <c r="N688" s="121">
        <f>IF($C688="","",IF($C688="TANIMSIZ MÜŞTERİ","—",INDEX(MUSTERILER!$C$7:$C$106,MATCH($C688,MUSTERILER!$B$7:$B$106,0))))</f>
        <v/>
      </c>
      <c r="O688" s="6" t="n"/>
      <c r="P688" s="6" t="n"/>
      <c r="Q688" s="3">
        <f>IF($D688="","",$C688&amp;"|"&amp;COUNTIFS($C$7:$C688,$C688))</f>
        <v/>
      </c>
    </row>
    <row r="689">
      <c r="A689" s="6" t="n"/>
      <c r="B689" s="113">
        <f>IF($D689="","","T"&amp;TEXT(ROW()-6,"00000"))</f>
        <v/>
      </c>
      <c r="C689" s="113">
        <f>IF($D689="","",IFERROR(INDEX(MUSTERILER!$B$7:$B$106,MATCH($D689,MUSTERILER!$C$7:$C$106,0)),IFERROR(INDEX(MUSTERILER!$B$7:$B$106,MATCH($D689,MUSTERILER!$B$7:$B$106,0)),IFERROR(INDEX(MUSTERILER!$B$7:$B$106,MATCH($D689&amp;"*",MUSTERILER!$C$7:$C$106,0)),"TANIMSIZ MÜŞTERİ"))))</f>
        <v/>
      </c>
      <c r="D689" s="109" t="n"/>
      <c r="E689" s="225" t="n"/>
      <c r="F689" s="226" t="n"/>
      <c r="G689" s="108" t="n"/>
      <c r="H689" s="108" t="n"/>
      <c r="I689" s="109" t="n"/>
      <c r="J689" s="109" t="n"/>
      <c r="K689" s="109" t="n"/>
      <c r="L689" s="231">
        <f>IF($E689="","",DATE(YEAR($E689),MONTH($E689),1))</f>
        <v/>
      </c>
      <c r="M689" s="113">
        <f>IF($D689="","",IF($C689="TANIMSIZ MÜŞTERİ","HATA",IF(OR($E689="",$F689&lt;=0,$G689=""),"EKSİK",IF($E689&gt;TODAY(),"İLERİ TARİH","UYGUN"))))</f>
        <v/>
      </c>
      <c r="N689" s="121">
        <f>IF($C689="","",IF($C689="TANIMSIZ MÜŞTERİ","—",INDEX(MUSTERILER!$C$7:$C$106,MATCH($C689,MUSTERILER!$B$7:$B$106,0))))</f>
        <v/>
      </c>
      <c r="O689" s="6" t="n"/>
      <c r="P689" s="6" t="n"/>
      <c r="Q689" s="3">
        <f>IF($D689="","",$C689&amp;"|"&amp;COUNTIFS($C$7:$C689,$C689))</f>
        <v/>
      </c>
    </row>
    <row r="690">
      <c r="A690" s="6" t="n"/>
      <c r="B690" s="113">
        <f>IF($D690="","","T"&amp;TEXT(ROW()-6,"00000"))</f>
        <v/>
      </c>
      <c r="C690" s="113">
        <f>IF($D690="","",IFERROR(INDEX(MUSTERILER!$B$7:$B$106,MATCH($D690,MUSTERILER!$C$7:$C$106,0)),IFERROR(INDEX(MUSTERILER!$B$7:$B$106,MATCH($D690,MUSTERILER!$B$7:$B$106,0)),IFERROR(INDEX(MUSTERILER!$B$7:$B$106,MATCH($D690&amp;"*",MUSTERILER!$C$7:$C$106,0)),"TANIMSIZ MÜŞTERİ"))))</f>
        <v/>
      </c>
      <c r="D690" s="109" t="n"/>
      <c r="E690" s="225" t="n"/>
      <c r="F690" s="226" t="n"/>
      <c r="G690" s="108" t="n"/>
      <c r="H690" s="108" t="n"/>
      <c r="I690" s="109" t="n"/>
      <c r="J690" s="109" t="n"/>
      <c r="K690" s="109" t="n"/>
      <c r="L690" s="231">
        <f>IF($E690="","",DATE(YEAR($E690),MONTH($E690),1))</f>
        <v/>
      </c>
      <c r="M690" s="113">
        <f>IF($D690="","",IF($C690="TANIMSIZ MÜŞTERİ","HATA",IF(OR($E690="",$F690&lt;=0,$G690=""),"EKSİK",IF($E690&gt;TODAY(),"İLERİ TARİH","UYGUN"))))</f>
        <v/>
      </c>
      <c r="N690" s="121">
        <f>IF($C690="","",IF($C690="TANIMSIZ MÜŞTERİ","—",INDEX(MUSTERILER!$C$7:$C$106,MATCH($C690,MUSTERILER!$B$7:$B$106,0))))</f>
        <v/>
      </c>
      <c r="O690" s="6" t="n"/>
      <c r="P690" s="6" t="n"/>
      <c r="Q690" s="3">
        <f>IF($D690="","",$C690&amp;"|"&amp;COUNTIFS($C$7:$C690,$C690))</f>
        <v/>
      </c>
    </row>
    <row r="691">
      <c r="A691" s="6" t="n"/>
      <c r="B691" s="113">
        <f>IF($D691="","","T"&amp;TEXT(ROW()-6,"00000"))</f>
        <v/>
      </c>
      <c r="C691" s="113">
        <f>IF($D691="","",IFERROR(INDEX(MUSTERILER!$B$7:$B$106,MATCH($D691,MUSTERILER!$C$7:$C$106,0)),IFERROR(INDEX(MUSTERILER!$B$7:$B$106,MATCH($D691,MUSTERILER!$B$7:$B$106,0)),IFERROR(INDEX(MUSTERILER!$B$7:$B$106,MATCH($D691&amp;"*",MUSTERILER!$C$7:$C$106,0)),"TANIMSIZ MÜŞTERİ"))))</f>
        <v/>
      </c>
      <c r="D691" s="109" t="n"/>
      <c r="E691" s="225" t="n"/>
      <c r="F691" s="226" t="n"/>
      <c r="G691" s="108" t="n"/>
      <c r="H691" s="108" t="n"/>
      <c r="I691" s="109" t="n"/>
      <c r="J691" s="109" t="n"/>
      <c r="K691" s="109" t="n"/>
      <c r="L691" s="231">
        <f>IF($E691="","",DATE(YEAR($E691),MONTH($E691),1))</f>
        <v/>
      </c>
      <c r="M691" s="113">
        <f>IF($D691="","",IF($C691="TANIMSIZ MÜŞTERİ","HATA",IF(OR($E691="",$F691&lt;=0,$G691=""),"EKSİK",IF($E691&gt;TODAY(),"İLERİ TARİH","UYGUN"))))</f>
        <v/>
      </c>
      <c r="N691" s="121">
        <f>IF($C691="","",IF($C691="TANIMSIZ MÜŞTERİ","—",INDEX(MUSTERILER!$C$7:$C$106,MATCH($C691,MUSTERILER!$B$7:$B$106,0))))</f>
        <v/>
      </c>
      <c r="O691" s="6" t="n"/>
      <c r="P691" s="6" t="n"/>
      <c r="Q691" s="3">
        <f>IF($D691="","",$C691&amp;"|"&amp;COUNTIFS($C$7:$C691,$C691))</f>
        <v/>
      </c>
    </row>
    <row r="692">
      <c r="A692" s="6" t="n"/>
      <c r="B692" s="113">
        <f>IF($D692="","","T"&amp;TEXT(ROW()-6,"00000"))</f>
        <v/>
      </c>
      <c r="C692" s="113">
        <f>IF($D692="","",IFERROR(INDEX(MUSTERILER!$B$7:$B$106,MATCH($D692,MUSTERILER!$C$7:$C$106,0)),IFERROR(INDEX(MUSTERILER!$B$7:$B$106,MATCH($D692,MUSTERILER!$B$7:$B$106,0)),IFERROR(INDEX(MUSTERILER!$B$7:$B$106,MATCH($D692&amp;"*",MUSTERILER!$C$7:$C$106,0)),"TANIMSIZ MÜŞTERİ"))))</f>
        <v/>
      </c>
      <c r="D692" s="109" t="n"/>
      <c r="E692" s="225" t="n"/>
      <c r="F692" s="226" t="n"/>
      <c r="G692" s="108" t="n"/>
      <c r="H692" s="108" t="n"/>
      <c r="I692" s="109" t="n"/>
      <c r="J692" s="109" t="n"/>
      <c r="K692" s="109" t="n"/>
      <c r="L692" s="231">
        <f>IF($E692="","",DATE(YEAR($E692),MONTH($E692),1))</f>
        <v/>
      </c>
      <c r="M692" s="113">
        <f>IF($D692="","",IF($C692="TANIMSIZ MÜŞTERİ","HATA",IF(OR($E692="",$F692&lt;=0,$G692=""),"EKSİK",IF($E692&gt;TODAY(),"İLERİ TARİH","UYGUN"))))</f>
        <v/>
      </c>
      <c r="N692" s="121">
        <f>IF($C692="","",IF($C692="TANIMSIZ MÜŞTERİ","—",INDEX(MUSTERILER!$C$7:$C$106,MATCH($C692,MUSTERILER!$B$7:$B$106,0))))</f>
        <v/>
      </c>
      <c r="O692" s="6" t="n"/>
      <c r="P692" s="6" t="n"/>
      <c r="Q692" s="3">
        <f>IF($D692="","",$C692&amp;"|"&amp;COUNTIFS($C$7:$C692,$C692))</f>
        <v/>
      </c>
    </row>
    <row r="693">
      <c r="A693" s="6" t="n"/>
      <c r="B693" s="113">
        <f>IF($D693="","","T"&amp;TEXT(ROW()-6,"00000"))</f>
        <v/>
      </c>
      <c r="C693" s="113">
        <f>IF($D693="","",IFERROR(INDEX(MUSTERILER!$B$7:$B$106,MATCH($D693,MUSTERILER!$C$7:$C$106,0)),IFERROR(INDEX(MUSTERILER!$B$7:$B$106,MATCH($D693,MUSTERILER!$B$7:$B$106,0)),IFERROR(INDEX(MUSTERILER!$B$7:$B$106,MATCH($D693&amp;"*",MUSTERILER!$C$7:$C$106,0)),"TANIMSIZ MÜŞTERİ"))))</f>
        <v/>
      </c>
      <c r="D693" s="109" t="n"/>
      <c r="E693" s="225" t="n"/>
      <c r="F693" s="226" t="n"/>
      <c r="G693" s="108" t="n"/>
      <c r="H693" s="108" t="n"/>
      <c r="I693" s="109" t="n"/>
      <c r="J693" s="109" t="n"/>
      <c r="K693" s="109" t="n"/>
      <c r="L693" s="231">
        <f>IF($E693="","",DATE(YEAR($E693),MONTH($E693),1))</f>
        <v/>
      </c>
      <c r="M693" s="113">
        <f>IF($D693="","",IF($C693="TANIMSIZ MÜŞTERİ","HATA",IF(OR($E693="",$F693&lt;=0,$G693=""),"EKSİK",IF($E693&gt;TODAY(),"İLERİ TARİH","UYGUN"))))</f>
        <v/>
      </c>
      <c r="N693" s="121">
        <f>IF($C693="","",IF($C693="TANIMSIZ MÜŞTERİ","—",INDEX(MUSTERILER!$C$7:$C$106,MATCH($C693,MUSTERILER!$B$7:$B$106,0))))</f>
        <v/>
      </c>
      <c r="O693" s="6" t="n"/>
      <c r="P693" s="6" t="n"/>
      <c r="Q693" s="3">
        <f>IF($D693="","",$C693&amp;"|"&amp;COUNTIFS($C$7:$C693,$C693))</f>
        <v/>
      </c>
    </row>
    <row r="694">
      <c r="A694" s="6" t="n"/>
      <c r="B694" s="113">
        <f>IF($D694="","","T"&amp;TEXT(ROW()-6,"00000"))</f>
        <v/>
      </c>
      <c r="C694" s="113">
        <f>IF($D694="","",IFERROR(INDEX(MUSTERILER!$B$7:$B$106,MATCH($D694,MUSTERILER!$C$7:$C$106,0)),IFERROR(INDEX(MUSTERILER!$B$7:$B$106,MATCH($D694,MUSTERILER!$B$7:$B$106,0)),IFERROR(INDEX(MUSTERILER!$B$7:$B$106,MATCH($D694&amp;"*",MUSTERILER!$C$7:$C$106,0)),"TANIMSIZ MÜŞTERİ"))))</f>
        <v/>
      </c>
      <c r="D694" s="109" t="n"/>
      <c r="E694" s="225" t="n"/>
      <c r="F694" s="226" t="n"/>
      <c r="G694" s="108" t="n"/>
      <c r="H694" s="108" t="n"/>
      <c r="I694" s="109" t="n"/>
      <c r="J694" s="109" t="n"/>
      <c r="K694" s="109" t="n"/>
      <c r="L694" s="231">
        <f>IF($E694="","",DATE(YEAR($E694),MONTH($E694),1))</f>
        <v/>
      </c>
      <c r="M694" s="113">
        <f>IF($D694="","",IF($C694="TANIMSIZ MÜŞTERİ","HATA",IF(OR($E694="",$F694&lt;=0,$G694=""),"EKSİK",IF($E694&gt;TODAY(),"İLERİ TARİH","UYGUN"))))</f>
        <v/>
      </c>
      <c r="N694" s="121">
        <f>IF($C694="","",IF($C694="TANIMSIZ MÜŞTERİ","—",INDEX(MUSTERILER!$C$7:$C$106,MATCH($C694,MUSTERILER!$B$7:$B$106,0))))</f>
        <v/>
      </c>
      <c r="O694" s="6" t="n"/>
      <c r="P694" s="6" t="n"/>
      <c r="Q694" s="3">
        <f>IF($D694="","",$C694&amp;"|"&amp;COUNTIFS($C$7:$C694,$C694))</f>
        <v/>
      </c>
    </row>
    <row r="695">
      <c r="A695" s="6" t="n"/>
      <c r="B695" s="113">
        <f>IF($D695="","","T"&amp;TEXT(ROW()-6,"00000"))</f>
        <v/>
      </c>
      <c r="C695" s="113">
        <f>IF($D695="","",IFERROR(INDEX(MUSTERILER!$B$7:$B$106,MATCH($D695,MUSTERILER!$C$7:$C$106,0)),IFERROR(INDEX(MUSTERILER!$B$7:$B$106,MATCH($D695,MUSTERILER!$B$7:$B$106,0)),IFERROR(INDEX(MUSTERILER!$B$7:$B$106,MATCH($D695&amp;"*",MUSTERILER!$C$7:$C$106,0)),"TANIMSIZ MÜŞTERİ"))))</f>
        <v/>
      </c>
      <c r="D695" s="109" t="n"/>
      <c r="E695" s="225" t="n"/>
      <c r="F695" s="226" t="n"/>
      <c r="G695" s="108" t="n"/>
      <c r="H695" s="108" t="n"/>
      <c r="I695" s="109" t="n"/>
      <c r="J695" s="109" t="n"/>
      <c r="K695" s="109" t="n"/>
      <c r="L695" s="231">
        <f>IF($E695="","",DATE(YEAR($E695),MONTH($E695),1))</f>
        <v/>
      </c>
      <c r="M695" s="113">
        <f>IF($D695="","",IF($C695="TANIMSIZ MÜŞTERİ","HATA",IF(OR($E695="",$F695&lt;=0,$G695=""),"EKSİK",IF($E695&gt;TODAY(),"İLERİ TARİH","UYGUN"))))</f>
        <v/>
      </c>
      <c r="N695" s="121">
        <f>IF($C695="","",IF($C695="TANIMSIZ MÜŞTERİ","—",INDEX(MUSTERILER!$C$7:$C$106,MATCH($C695,MUSTERILER!$B$7:$B$106,0))))</f>
        <v/>
      </c>
      <c r="O695" s="6" t="n"/>
      <c r="P695" s="6" t="n"/>
      <c r="Q695" s="3">
        <f>IF($D695="","",$C695&amp;"|"&amp;COUNTIFS($C$7:$C695,$C695))</f>
        <v/>
      </c>
    </row>
    <row r="696">
      <c r="A696" s="6" t="n"/>
      <c r="B696" s="113">
        <f>IF($D696="","","T"&amp;TEXT(ROW()-6,"00000"))</f>
        <v/>
      </c>
      <c r="C696" s="113">
        <f>IF($D696="","",IFERROR(INDEX(MUSTERILER!$B$7:$B$106,MATCH($D696,MUSTERILER!$C$7:$C$106,0)),IFERROR(INDEX(MUSTERILER!$B$7:$B$106,MATCH($D696,MUSTERILER!$B$7:$B$106,0)),IFERROR(INDEX(MUSTERILER!$B$7:$B$106,MATCH($D696&amp;"*",MUSTERILER!$C$7:$C$106,0)),"TANIMSIZ MÜŞTERİ"))))</f>
        <v/>
      </c>
      <c r="D696" s="109" t="n"/>
      <c r="E696" s="225" t="n"/>
      <c r="F696" s="226" t="n"/>
      <c r="G696" s="108" t="n"/>
      <c r="H696" s="108" t="n"/>
      <c r="I696" s="109" t="n"/>
      <c r="J696" s="109" t="n"/>
      <c r="K696" s="109" t="n"/>
      <c r="L696" s="231">
        <f>IF($E696="","",DATE(YEAR($E696),MONTH($E696),1))</f>
        <v/>
      </c>
      <c r="M696" s="113">
        <f>IF($D696="","",IF($C696="TANIMSIZ MÜŞTERİ","HATA",IF(OR($E696="",$F696&lt;=0,$G696=""),"EKSİK",IF($E696&gt;TODAY(),"İLERİ TARİH","UYGUN"))))</f>
        <v/>
      </c>
      <c r="N696" s="121">
        <f>IF($C696="","",IF($C696="TANIMSIZ MÜŞTERİ","—",INDEX(MUSTERILER!$C$7:$C$106,MATCH($C696,MUSTERILER!$B$7:$B$106,0))))</f>
        <v/>
      </c>
      <c r="O696" s="6" t="n"/>
      <c r="P696" s="6" t="n"/>
      <c r="Q696" s="3">
        <f>IF($D696="","",$C696&amp;"|"&amp;COUNTIFS($C$7:$C696,$C696))</f>
        <v/>
      </c>
    </row>
    <row r="697">
      <c r="A697" s="6" t="n"/>
      <c r="B697" s="113">
        <f>IF($D697="","","T"&amp;TEXT(ROW()-6,"00000"))</f>
        <v/>
      </c>
      <c r="C697" s="113">
        <f>IF($D697="","",IFERROR(INDEX(MUSTERILER!$B$7:$B$106,MATCH($D697,MUSTERILER!$C$7:$C$106,0)),IFERROR(INDEX(MUSTERILER!$B$7:$B$106,MATCH($D697,MUSTERILER!$B$7:$B$106,0)),IFERROR(INDEX(MUSTERILER!$B$7:$B$106,MATCH($D697&amp;"*",MUSTERILER!$C$7:$C$106,0)),"TANIMSIZ MÜŞTERİ"))))</f>
        <v/>
      </c>
      <c r="D697" s="109" t="n"/>
      <c r="E697" s="225" t="n"/>
      <c r="F697" s="226" t="n"/>
      <c r="G697" s="108" t="n"/>
      <c r="H697" s="108" t="n"/>
      <c r="I697" s="109" t="n"/>
      <c r="J697" s="109" t="n"/>
      <c r="K697" s="109" t="n"/>
      <c r="L697" s="231">
        <f>IF($E697="","",DATE(YEAR($E697),MONTH($E697),1))</f>
        <v/>
      </c>
      <c r="M697" s="113">
        <f>IF($D697="","",IF($C697="TANIMSIZ MÜŞTERİ","HATA",IF(OR($E697="",$F697&lt;=0,$G697=""),"EKSİK",IF($E697&gt;TODAY(),"İLERİ TARİH","UYGUN"))))</f>
        <v/>
      </c>
      <c r="N697" s="121">
        <f>IF($C697="","",IF($C697="TANIMSIZ MÜŞTERİ","—",INDEX(MUSTERILER!$C$7:$C$106,MATCH($C697,MUSTERILER!$B$7:$B$106,0))))</f>
        <v/>
      </c>
      <c r="O697" s="6" t="n"/>
      <c r="P697" s="6" t="n"/>
      <c r="Q697" s="3">
        <f>IF($D697="","",$C697&amp;"|"&amp;COUNTIFS($C$7:$C697,$C697))</f>
        <v/>
      </c>
    </row>
    <row r="698">
      <c r="A698" s="6" t="n"/>
      <c r="B698" s="113">
        <f>IF($D698="","","T"&amp;TEXT(ROW()-6,"00000"))</f>
        <v/>
      </c>
      <c r="C698" s="113">
        <f>IF($D698="","",IFERROR(INDEX(MUSTERILER!$B$7:$B$106,MATCH($D698,MUSTERILER!$C$7:$C$106,0)),IFERROR(INDEX(MUSTERILER!$B$7:$B$106,MATCH($D698,MUSTERILER!$B$7:$B$106,0)),IFERROR(INDEX(MUSTERILER!$B$7:$B$106,MATCH($D698&amp;"*",MUSTERILER!$C$7:$C$106,0)),"TANIMSIZ MÜŞTERİ"))))</f>
        <v/>
      </c>
      <c r="D698" s="109" t="n"/>
      <c r="E698" s="225" t="n"/>
      <c r="F698" s="226" t="n"/>
      <c r="G698" s="108" t="n"/>
      <c r="H698" s="108" t="n"/>
      <c r="I698" s="109" t="n"/>
      <c r="J698" s="109" t="n"/>
      <c r="K698" s="109" t="n"/>
      <c r="L698" s="231">
        <f>IF($E698="","",DATE(YEAR($E698),MONTH($E698),1))</f>
        <v/>
      </c>
      <c r="M698" s="113">
        <f>IF($D698="","",IF($C698="TANIMSIZ MÜŞTERİ","HATA",IF(OR($E698="",$F698&lt;=0,$G698=""),"EKSİK",IF($E698&gt;TODAY(),"İLERİ TARİH","UYGUN"))))</f>
        <v/>
      </c>
      <c r="N698" s="121">
        <f>IF($C698="","",IF($C698="TANIMSIZ MÜŞTERİ","—",INDEX(MUSTERILER!$C$7:$C$106,MATCH($C698,MUSTERILER!$B$7:$B$106,0))))</f>
        <v/>
      </c>
      <c r="O698" s="6" t="n"/>
      <c r="P698" s="6" t="n"/>
      <c r="Q698" s="3">
        <f>IF($D698="","",$C698&amp;"|"&amp;COUNTIFS($C$7:$C698,$C698))</f>
        <v/>
      </c>
    </row>
    <row r="699">
      <c r="A699" s="6" t="n"/>
      <c r="B699" s="113">
        <f>IF($D699="","","T"&amp;TEXT(ROW()-6,"00000"))</f>
        <v/>
      </c>
      <c r="C699" s="113">
        <f>IF($D699="","",IFERROR(INDEX(MUSTERILER!$B$7:$B$106,MATCH($D699,MUSTERILER!$C$7:$C$106,0)),IFERROR(INDEX(MUSTERILER!$B$7:$B$106,MATCH($D699,MUSTERILER!$B$7:$B$106,0)),IFERROR(INDEX(MUSTERILER!$B$7:$B$106,MATCH($D699&amp;"*",MUSTERILER!$C$7:$C$106,0)),"TANIMSIZ MÜŞTERİ"))))</f>
        <v/>
      </c>
      <c r="D699" s="109" t="n"/>
      <c r="E699" s="225" t="n"/>
      <c r="F699" s="226" t="n"/>
      <c r="G699" s="108" t="n"/>
      <c r="H699" s="108" t="n"/>
      <c r="I699" s="109" t="n"/>
      <c r="J699" s="109" t="n"/>
      <c r="K699" s="109" t="n"/>
      <c r="L699" s="231">
        <f>IF($E699="","",DATE(YEAR($E699),MONTH($E699),1))</f>
        <v/>
      </c>
      <c r="M699" s="113">
        <f>IF($D699="","",IF($C699="TANIMSIZ MÜŞTERİ","HATA",IF(OR($E699="",$F699&lt;=0,$G699=""),"EKSİK",IF($E699&gt;TODAY(),"İLERİ TARİH","UYGUN"))))</f>
        <v/>
      </c>
      <c r="N699" s="121">
        <f>IF($C699="","",IF($C699="TANIMSIZ MÜŞTERİ","—",INDEX(MUSTERILER!$C$7:$C$106,MATCH($C699,MUSTERILER!$B$7:$B$106,0))))</f>
        <v/>
      </c>
      <c r="O699" s="6" t="n"/>
      <c r="P699" s="6" t="n"/>
      <c r="Q699" s="3">
        <f>IF($D699="","",$C699&amp;"|"&amp;COUNTIFS($C$7:$C699,$C699))</f>
        <v/>
      </c>
    </row>
    <row r="700">
      <c r="A700" s="6" t="n"/>
      <c r="B700" s="113">
        <f>IF($D700="","","T"&amp;TEXT(ROW()-6,"00000"))</f>
        <v/>
      </c>
      <c r="C700" s="113">
        <f>IF($D700="","",IFERROR(INDEX(MUSTERILER!$B$7:$B$106,MATCH($D700,MUSTERILER!$C$7:$C$106,0)),IFERROR(INDEX(MUSTERILER!$B$7:$B$106,MATCH($D700,MUSTERILER!$B$7:$B$106,0)),IFERROR(INDEX(MUSTERILER!$B$7:$B$106,MATCH($D700&amp;"*",MUSTERILER!$C$7:$C$106,0)),"TANIMSIZ MÜŞTERİ"))))</f>
        <v/>
      </c>
      <c r="D700" s="109" t="n"/>
      <c r="E700" s="225" t="n"/>
      <c r="F700" s="226" t="n"/>
      <c r="G700" s="108" t="n"/>
      <c r="H700" s="108" t="n"/>
      <c r="I700" s="109" t="n"/>
      <c r="J700" s="109" t="n"/>
      <c r="K700" s="109" t="n"/>
      <c r="L700" s="231">
        <f>IF($E700="","",DATE(YEAR($E700),MONTH($E700),1))</f>
        <v/>
      </c>
      <c r="M700" s="113">
        <f>IF($D700="","",IF($C700="TANIMSIZ MÜŞTERİ","HATA",IF(OR($E700="",$F700&lt;=0,$G700=""),"EKSİK",IF($E700&gt;TODAY(),"İLERİ TARİH","UYGUN"))))</f>
        <v/>
      </c>
      <c r="N700" s="121">
        <f>IF($C700="","",IF($C700="TANIMSIZ MÜŞTERİ","—",INDEX(MUSTERILER!$C$7:$C$106,MATCH($C700,MUSTERILER!$B$7:$B$106,0))))</f>
        <v/>
      </c>
      <c r="O700" s="6" t="n"/>
      <c r="P700" s="6" t="n"/>
      <c r="Q700" s="3">
        <f>IF($D700="","",$C700&amp;"|"&amp;COUNTIFS($C$7:$C700,$C700))</f>
        <v/>
      </c>
    </row>
    <row r="701">
      <c r="A701" s="6" t="n"/>
      <c r="B701" s="113">
        <f>IF($D701="","","T"&amp;TEXT(ROW()-6,"00000"))</f>
        <v/>
      </c>
      <c r="C701" s="113">
        <f>IF($D701="","",IFERROR(INDEX(MUSTERILER!$B$7:$B$106,MATCH($D701,MUSTERILER!$C$7:$C$106,0)),IFERROR(INDEX(MUSTERILER!$B$7:$B$106,MATCH($D701,MUSTERILER!$B$7:$B$106,0)),IFERROR(INDEX(MUSTERILER!$B$7:$B$106,MATCH($D701&amp;"*",MUSTERILER!$C$7:$C$106,0)),"TANIMSIZ MÜŞTERİ"))))</f>
        <v/>
      </c>
      <c r="D701" s="109" t="n"/>
      <c r="E701" s="225" t="n"/>
      <c r="F701" s="226" t="n"/>
      <c r="G701" s="108" t="n"/>
      <c r="H701" s="108" t="n"/>
      <c r="I701" s="109" t="n"/>
      <c r="J701" s="109" t="n"/>
      <c r="K701" s="109" t="n"/>
      <c r="L701" s="231">
        <f>IF($E701="","",DATE(YEAR($E701),MONTH($E701),1))</f>
        <v/>
      </c>
      <c r="M701" s="113">
        <f>IF($D701="","",IF($C701="TANIMSIZ MÜŞTERİ","HATA",IF(OR($E701="",$F701&lt;=0,$G701=""),"EKSİK",IF($E701&gt;TODAY(),"İLERİ TARİH","UYGUN"))))</f>
        <v/>
      </c>
      <c r="N701" s="121">
        <f>IF($C701="","",IF($C701="TANIMSIZ MÜŞTERİ","—",INDEX(MUSTERILER!$C$7:$C$106,MATCH($C701,MUSTERILER!$B$7:$B$106,0))))</f>
        <v/>
      </c>
      <c r="O701" s="6" t="n"/>
      <c r="P701" s="6" t="n"/>
      <c r="Q701" s="3">
        <f>IF($D701="","",$C701&amp;"|"&amp;COUNTIFS($C$7:$C701,$C701))</f>
        <v/>
      </c>
    </row>
    <row r="702">
      <c r="A702" s="6" t="n"/>
      <c r="B702" s="113">
        <f>IF($D702="","","T"&amp;TEXT(ROW()-6,"00000"))</f>
        <v/>
      </c>
      <c r="C702" s="113">
        <f>IF($D702="","",IFERROR(INDEX(MUSTERILER!$B$7:$B$106,MATCH($D702,MUSTERILER!$C$7:$C$106,0)),IFERROR(INDEX(MUSTERILER!$B$7:$B$106,MATCH($D702,MUSTERILER!$B$7:$B$106,0)),IFERROR(INDEX(MUSTERILER!$B$7:$B$106,MATCH($D702&amp;"*",MUSTERILER!$C$7:$C$106,0)),"TANIMSIZ MÜŞTERİ"))))</f>
        <v/>
      </c>
      <c r="D702" s="109" t="n"/>
      <c r="E702" s="225" t="n"/>
      <c r="F702" s="226" t="n"/>
      <c r="G702" s="108" t="n"/>
      <c r="H702" s="108" t="n"/>
      <c r="I702" s="109" t="n"/>
      <c r="J702" s="109" t="n"/>
      <c r="K702" s="109" t="n"/>
      <c r="L702" s="231">
        <f>IF($E702="","",DATE(YEAR($E702),MONTH($E702),1))</f>
        <v/>
      </c>
      <c r="M702" s="113">
        <f>IF($D702="","",IF($C702="TANIMSIZ MÜŞTERİ","HATA",IF(OR($E702="",$F702&lt;=0,$G702=""),"EKSİK",IF($E702&gt;TODAY(),"İLERİ TARİH","UYGUN"))))</f>
        <v/>
      </c>
      <c r="N702" s="121">
        <f>IF($C702="","",IF($C702="TANIMSIZ MÜŞTERİ","—",INDEX(MUSTERILER!$C$7:$C$106,MATCH($C702,MUSTERILER!$B$7:$B$106,0))))</f>
        <v/>
      </c>
      <c r="O702" s="6" t="n"/>
      <c r="P702" s="6" t="n"/>
      <c r="Q702" s="3">
        <f>IF($D702="","",$C702&amp;"|"&amp;COUNTIFS($C$7:$C702,$C702))</f>
        <v/>
      </c>
    </row>
    <row r="703">
      <c r="A703" s="6" t="n"/>
      <c r="B703" s="113">
        <f>IF($D703="","","T"&amp;TEXT(ROW()-6,"00000"))</f>
        <v/>
      </c>
      <c r="C703" s="113">
        <f>IF($D703="","",IFERROR(INDEX(MUSTERILER!$B$7:$B$106,MATCH($D703,MUSTERILER!$C$7:$C$106,0)),IFERROR(INDEX(MUSTERILER!$B$7:$B$106,MATCH($D703,MUSTERILER!$B$7:$B$106,0)),IFERROR(INDEX(MUSTERILER!$B$7:$B$106,MATCH($D703&amp;"*",MUSTERILER!$C$7:$C$106,0)),"TANIMSIZ MÜŞTERİ"))))</f>
        <v/>
      </c>
      <c r="D703" s="109" t="n"/>
      <c r="E703" s="225" t="n"/>
      <c r="F703" s="226" t="n"/>
      <c r="G703" s="108" t="n"/>
      <c r="H703" s="108" t="n"/>
      <c r="I703" s="109" t="n"/>
      <c r="J703" s="109" t="n"/>
      <c r="K703" s="109" t="n"/>
      <c r="L703" s="231">
        <f>IF($E703="","",DATE(YEAR($E703),MONTH($E703),1))</f>
        <v/>
      </c>
      <c r="M703" s="113">
        <f>IF($D703="","",IF($C703="TANIMSIZ MÜŞTERİ","HATA",IF(OR($E703="",$F703&lt;=0,$G703=""),"EKSİK",IF($E703&gt;TODAY(),"İLERİ TARİH","UYGUN"))))</f>
        <v/>
      </c>
      <c r="N703" s="121">
        <f>IF($C703="","",IF($C703="TANIMSIZ MÜŞTERİ","—",INDEX(MUSTERILER!$C$7:$C$106,MATCH($C703,MUSTERILER!$B$7:$B$106,0))))</f>
        <v/>
      </c>
      <c r="O703" s="6" t="n"/>
      <c r="P703" s="6" t="n"/>
      <c r="Q703" s="3">
        <f>IF($D703="","",$C703&amp;"|"&amp;COUNTIFS($C$7:$C703,$C703))</f>
        <v/>
      </c>
    </row>
    <row r="704">
      <c r="A704" s="6" t="n"/>
      <c r="B704" s="113">
        <f>IF($D704="","","T"&amp;TEXT(ROW()-6,"00000"))</f>
        <v/>
      </c>
      <c r="C704" s="113">
        <f>IF($D704="","",IFERROR(INDEX(MUSTERILER!$B$7:$B$106,MATCH($D704,MUSTERILER!$C$7:$C$106,0)),IFERROR(INDEX(MUSTERILER!$B$7:$B$106,MATCH($D704,MUSTERILER!$B$7:$B$106,0)),IFERROR(INDEX(MUSTERILER!$B$7:$B$106,MATCH($D704&amp;"*",MUSTERILER!$C$7:$C$106,0)),"TANIMSIZ MÜŞTERİ"))))</f>
        <v/>
      </c>
      <c r="D704" s="109" t="n"/>
      <c r="E704" s="225" t="n"/>
      <c r="F704" s="226" t="n"/>
      <c r="G704" s="108" t="n"/>
      <c r="H704" s="108" t="n"/>
      <c r="I704" s="109" t="n"/>
      <c r="J704" s="109" t="n"/>
      <c r="K704" s="109" t="n"/>
      <c r="L704" s="231">
        <f>IF($E704="","",DATE(YEAR($E704),MONTH($E704),1))</f>
        <v/>
      </c>
      <c r="M704" s="113">
        <f>IF($D704="","",IF($C704="TANIMSIZ MÜŞTERİ","HATA",IF(OR($E704="",$F704&lt;=0,$G704=""),"EKSİK",IF($E704&gt;TODAY(),"İLERİ TARİH","UYGUN"))))</f>
        <v/>
      </c>
      <c r="N704" s="121">
        <f>IF($C704="","",IF($C704="TANIMSIZ MÜŞTERİ","—",INDEX(MUSTERILER!$C$7:$C$106,MATCH($C704,MUSTERILER!$B$7:$B$106,0))))</f>
        <v/>
      </c>
      <c r="O704" s="6" t="n"/>
      <c r="P704" s="6" t="n"/>
      <c r="Q704" s="3">
        <f>IF($D704="","",$C704&amp;"|"&amp;COUNTIFS($C$7:$C704,$C704))</f>
        <v/>
      </c>
    </row>
    <row r="705">
      <c r="A705" s="6" t="n"/>
      <c r="B705" s="113">
        <f>IF($D705="","","T"&amp;TEXT(ROW()-6,"00000"))</f>
        <v/>
      </c>
      <c r="C705" s="113">
        <f>IF($D705="","",IFERROR(INDEX(MUSTERILER!$B$7:$B$106,MATCH($D705,MUSTERILER!$C$7:$C$106,0)),IFERROR(INDEX(MUSTERILER!$B$7:$B$106,MATCH($D705,MUSTERILER!$B$7:$B$106,0)),IFERROR(INDEX(MUSTERILER!$B$7:$B$106,MATCH($D705&amp;"*",MUSTERILER!$C$7:$C$106,0)),"TANIMSIZ MÜŞTERİ"))))</f>
        <v/>
      </c>
      <c r="D705" s="109" t="n"/>
      <c r="E705" s="225" t="n"/>
      <c r="F705" s="226" t="n"/>
      <c r="G705" s="108" t="n"/>
      <c r="H705" s="108" t="n"/>
      <c r="I705" s="109" t="n"/>
      <c r="J705" s="109" t="n"/>
      <c r="K705" s="109" t="n"/>
      <c r="L705" s="231">
        <f>IF($E705="","",DATE(YEAR($E705),MONTH($E705),1))</f>
        <v/>
      </c>
      <c r="M705" s="113">
        <f>IF($D705="","",IF($C705="TANIMSIZ MÜŞTERİ","HATA",IF(OR($E705="",$F705&lt;=0,$G705=""),"EKSİK",IF($E705&gt;TODAY(),"İLERİ TARİH","UYGUN"))))</f>
        <v/>
      </c>
      <c r="N705" s="121">
        <f>IF($C705="","",IF($C705="TANIMSIZ MÜŞTERİ","—",INDEX(MUSTERILER!$C$7:$C$106,MATCH($C705,MUSTERILER!$B$7:$B$106,0))))</f>
        <v/>
      </c>
      <c r="O705" s="6" t="n"/>
      <c r="P705" s="6" t="n"/>
      <c r="Q705" s="3">
        <f>IF($D705="","",$C705&amp;"|"&amp;COUNTIFS($C$7:$C705,$C705))</f>
        <v/>
      </c>
    </row>
    <row r="706">
      <c r="A706" s="6" t="n"/>
      <c r="B706" s="113">
        <f>IF($D706="","","T"&amp;TEXT(ROW()-6,"00000"))</f>
        <v/>
      </c>
      <c r="C706" s="113">
        <f>IF($D706="","",IFERROR(INDEX(MUSTERILER!$B$7:$B$106,MATCH($D706,MUSTERILER!$C$7:$C$106,0)),IFERROR(INDEX(MUSTERILER!$B$7:$B$106,MATCH($D706,MUSTERILER!$B$7:$B$106,0)),IFERROR(INDEX(MUSTERILER!$B$7:$B$106,MATCH($D706&amp;"*",MUSTERILER!$C$7:$C$106,0)),"TANIMSIZ MÜŞTERİ"))))</f>
        <v/>
      </c>
      <c r="D706" s="109" t="n"/>
      <c r="E706" s="225" t="n"/>
      <c r="F706" s="226" t="n"/>
      <c r="G706" s="108" t="n"/>
      <c r="H706" s="108" t="n"/>
      <c r="I706" s="109" t="n"/>
      <c r="J706" s="109" t="n"/>
      <c r="K706" s="109" t="n"/>
      <c r="L706" s="231">
        <f>IF($E706="","",DATE(YEAR($E706),MONTH($E706),1))</f>
        <v/>
      </c>
      <c r="M706" s="113">
        <f>IF($D706="","",IF($C706="TANIMSIZ MÜŞTERİ","HATA",IF(OR($E706="",$F706&lt;=0,$G706=""),"EKSİK",IF($E706&gt;TODAY(),"İLERİ TARİH","UYGUN"))))</f>
        <v/>
      </c>
      <c r="N706" s="121">
        <f>IF($C706="","",IF($C706="TANIMSIZ MÜŞTERİ","—",INDEX(MUSTERILER!$C$7:$C$106,MATCH($C706,MUSTERILER!$B$7:$B$106,0))))</f>
        <v/>
      </c>
      <c r="O706" s="6" t="n"/>
      <c r="P706" s="6" t="n"/>
      <c r="Q706" s="3">
        <f>IF($D706="","",$C706&amp;"|"&amp;COUNTIFS($C$7:$C706,$C706))</f>
        <v/>
      </c>
    </row>
    <row r="707">
      <c r="A707" s="6" t="n"/>
      <c r="B707" s="113">
        <f>IF($D707="","","T"&amp;TEXT(ROW()-6,"00000"))</f>
        <v/>
      </c>
      <c r="C707" s="113">
        <f>IF($D707="","",IFERROR(INDEX(MUSTERILER!$B$7:$B$106,MATCH($D707,MUSTERILER!$C$7:$C$106,0)),IFERROR(INDEX(MUSTERILER!$B$7:$B$106,MATCH($D707,MUSTERILER!$B$7:$B$106,0)),IFERROR(INDEX(MUSTERILER!$B$7:$B$106,MATCH($D707&amp;"*",MUSTERILER!$C$7:$C$106,0)),"TANIMSIZ MÜŞTERİ"))))</f>
        <v/>
      </c>
      <c r="D707" s="109" t="n"/>
      <c r="E707" s="225" t="n"/>
      <c r="F707" s="226" t="n"/>
      <c r="G707" s="108" t="n"/>
      <c r="H707" s="108" t="n"/>
      <c r="I707" s="109" t="n"/>
      <c r="J707" s="109" t="n"/>
      <c r="K707" s="109" t="n"/>
      <c r="L707" s="231">
        <f>IF($E707="","",DATE(YEAR($E707),MONTH($E707),1))</f>
        <v/>
      </c>
      <c r="M707" s="113">
        <f>IF($D707="","",IF($C707="TANIMSIZ MÜŞTERİ","HATA",IF(OR($E707="",$F707&lt;=0,$G707=""),"EKSİK",IF($E707&gt;TODAY(),"İLERİ TARİH","UYGUN"))))</f>
        <v/>
      </c>
      <c r="N707" s="121">
        <f>IF($C707="","",IF($C707="TANIMSIZ MÜŞTERİ","—",INDEX(MUSTERILER!$C$7:$C$106,MATCH($C707,MUSTERILER!$B$7:$B$106,0))))</f>
        <v/>
      </c>
      <c r="O707" s="6" t="n"/>
      <c r="P707" s="6" t="n"/>
      <c r="Q707" s="3">
        <f>IF($D707="","",$C707&amp;"|"&amp;COUNTIFS($C$7:$C707,$C707))</f>
        <v/>
      </c>
    </row>
    <row r="708">
      <c r="A708" s="6" t="n"/>
      <c r="B708" s="113">
        <f>IF($D708="","","T"&amp;TEXT(ROW()-6,"00000"))</f>
        <v/>
      </c>
      <c r="C708" s="113">
        <f>IF($D708="","",IFERROR(INDEX(MUSTERILER!$B$7:$B$106,MATCH($D708,MUSTERILER!$C$7:$C$106,0)),IFERROR(INDEX(MUSTERILER!$B$7:$B$106,MATCH($D708,MUSTERILER!$B$7:$B$106,0)),IFERROR(INDEX(MUSTERILER!$B$7:$B$106,MATCH($D708&amp;"*",MUSTERILER!$C$7:$C$106,0)),"TANIMSIZ MÜŞTERİ"))))</f>
        <v/>
      </c>
      <c r="D708" s="109" t="n"/>
      <c r="E708" s="225" t="n"/>
      <c r="F708" s="226" t="n"/>
      <c r="G708" s="108" t="n"/>
      <c r="H708" s="108" t="n"/>
      <c r="I708" s="109" t="n"/>
      <c r="J708" s="109" t="n"/>
      <c r="K708" s="109" t="n"/>
      <c r="L708" s="231">
        <f>IF($E708="","",DATE(YEAR($E708),MONTH($E708),1))</f>
        <v/>
      </c>
      <c r="M708" s="113">
        <f>IF($D708="","",IF($C708="TANIMSIZ MÜŞTERİ","HATA",IF(OR($E708="",$F708&lt;=0,$G708=""),"EKSİK",IF($E708&gt;TODAY(),"İLERİ TARİH","UYGUN"))))</f>
        <v/>
      </c>
      <c r="N708" s="121">
        <f>IF($C708="","",IF($C708="TANIMSIZ MÜŞTERİ","—",INDEX(MUSTERILER!$C$7:$C$106,MATCH($C708,MUSTERILER!$B$7:$B$106,0))))</f>
        <v/>
      </c>
      <c r="O708" s="6" t="n"/>
      <c r="P708" s="6" t="n"/>
      <c r="Q708" s="3">
        <f>IF($D708="","",$C708&amp;"|"&amp;COUNTIFS($C$7:$C708,$C708))</f>
        <v/>
      </c>
    </row>
    <row r="709">
      <c r="A709" s="6" t="n"/>
      <c r="B709" s="113">
        <f>IF($D709="","","T"&amp;TEXT(ROW()-6,"00000"))</f>
        <v/>
      </c>
      <c r="C709" s="113">
        <f>IF($D709="","",IFERROR(INDEX(MUSTERILER!$B$7:$B$106,MATCH($D709,MUSTERILER!$C$7:$C$106,0)),IFERROR(INDEX(MUSTERILER!$B$7:$B$106,MATCH($D709,MUSTERILER!$B$7:$B$106,0)),IFERROR(INDEX(MUSTERILER!$B$7:$B$106,MATCH($D709&amp;"*",MUSTERILER!$C$7:$C$106,0)),"TANIMSIZ MÜŞTERİ"))))</f>
        <v/>
      </c>
      <c r="D709" s="109" t="n"/>
      <c r="E709" s="225" t="n"/>
      <c r="F709" s="226" t="n"/>
      <c r="G709" s="108" t="n"/>
      <c r="H709" s="108" t="n"/>
      <c r="I709" s="109" t="n"/>
      <c r="J709" s="109" t="n"/>
      <c r="K709" s="109" t="n"/>
      <c r="L709" s="231">
        <f>IF($E709="","",DATE(YEAR($E709),MONTH($E709),1))</f>
        <v/>
      </c>
      <c r="M709" s="113">
        <f>IF($D709="","",IF($C709="TANIMSIZ MÜŞTERİ","HATA",IF(OR($E709="",$F709&lt;=0,$G709=""),"EKSİK",IF($E709&gt;TODAY(),"İLERİ TARİH","UYGUN"))))</f>
        <v/>
      </c>
      <c r="N709" s="121">
        <f>IF($C709="","",IF($C709="TANIMSIZ MÜŞTERİ","—",INDEX(MUSTERILER!$C$7:$C$106,MATCH($C709,MUSTERILER!$B$7:$B$106,0))))</f>
        <v/>
      </c>
      <c r="O709" s="6" t="n"/>
      <c r="P709" s="6" t="n"/>
      <c r="Q709" s="3">
        <f>IF($D709="","",$C709&amp;"|"&amp;COUNTIFS($C$7:$C709,$C709))</f>
        <v/>
      </c>
    </row>
    <row r="710">
      <c r="A710" s="6" t="n"/>
      <c r="B710" s="113">
        <f>IF($D710="","","T"&amp;TEXT(ROW()-6,"00000"))</f>
        <v/>
      </c>
      <c r="C710" s="113">
        <f>IF($D710="","",IFERROR(INDEX(MUSTERILER!$B$7:$B$106,MATCH($D710,MUSTERILER!$C$7:$C$106,0)),IFERROR(INDEX(MUSTERILER!$B$7:$B$106,MATCH($D710,MUSTERILER!$B$7:$B$106,0)),IFERROR(INDEX(MUSTERILER!$B$7:$B$106,MATCH($D710&amp;"*",MUSTERILER!$C$7:$C$106,0)),"TANIMSIZ MÜŞTERİ"))))</f>
        <v/>
      </c>
      <c r="D710" s="109" t="n"/>
      <c r="E710" s="225" t="n"/>
      <c r="F710" s="226" t="n"/>
      <c r="G710" s="108" t="n"/>
      <c r="H710" s="108" t="n"/>
      <c r="I710" s="109" t="n"/>
      <c r="J710" s="109" t="n"/>
      <c r="K710" s="109" t="n"/>
      <c r="L710" s="231">
        <f>IF($E710="","",DATE(YEAR($E710),MONTH($E710),1))</f>
        <v/>
      </c>
      <c r="M710" s="113">
        <f>IF($D710="","",IF($C710="TANIMSIZ MÜŞTERİ","HATA",IF(OR($E710="",$F710&lt;=0,$G710=""),"EKSİK",IF($E710&gt;TODAY(),"İLERİ TARİH","UYGUN"))))</f>
        <v/>
      </c>
      <c r="N710" s="121">
        <f>IF($C710="","",IF($C710="TANIMSIZ MÜŞTERİ","—",INDEX(MUSTERILER!$C$7:$C$106,MATCH($C710,MUSTERILER!$B$7:$B$106,0))))</f>
        <v/>
      </c>
      <c r="O710" s="6" t="n"/>
      <c r="P710" s="6" t="n"/>
      <c r="Q710" s="3">
        <f>IF($D710="","",$C710&amp;"|"&amp;COUNTIFS($C$7:$C710,$C710))</f>
        <v/>
      </c>
    </row>
    <row r="711">
      <c r="A711" s="6" t="n"/>
      <c r="B711" s="113">
        <f>IF($D711="","","T"&amp;TEXT(ROW()-6,"00000"))</f>
        <v/>
      </c>
      <c r="C711" s="113">
        <f>IF($D711="","",IFERROR(INDEX(MUSTERILER!$B$7:$B$106,MATCH($D711,MUSTERILER!$C$7:$C$106,0)),IFERROR(INDEX(MUSTERILER!$B$7:$B$106,MATCH($D711,MUSTERILER!$B$7:$B$106,0)),IFERROR(INDEX(MUSTERILER!$B$7:$B$106,MATCH($D711&amp;"*",MUSTERILER!$C$7:$C$106,0)),"TANIMSIZ MÜŞTERİ"))))</f>
        <v/>
      </c>
      <c r="D711" s="109" t="n"/>
      <c r="E711" s="225" t="n"/>
      <c r="F711" s="226" t="n"/>
      <c r="G711" s="108" t="n"/>
      <c r="H711" s="108" t="n"/>
      <c r="I711" s="109" t="n"/>
      <c r="J711" s="109" t="n"/>
      <c r="K711" s="109" t="n"/>
      <c r="L711" s="231">
        <f>IF($E711="","",DATE(YEAR($E711),MONTH($E711),1))</f>
        <v/>
      </c>
      <c r="M711" s="113">
        <f>IF($D711="","",IF($C711="TANIMSIZ MÜŞTERİ","HATA",IF(OR($E711="",$F711&lt;=0,$G711=""),"EKSİK",IF($E711&gt;TODAY(),"İLERİ TARİH","UYGUN"))))</f>
        <v/>
      </c>
      <c r="N711" s="121">
        <f>IF($C711="","",IF($C711="TANIMSIZ MÜŞTERİ","—",INDEX(MUSTERILER!$C$7:$C$106,MATCH($C711,MUSTERILER!$B$7:$B$106,0))))</f>
        <v/>
      </c>
      <c r="O711" s="6" t="n"/>
      <c r="P711" s="6" t="n"/>
      <c r="Q711" s="3">
        <f>IF($D711="","",$C711&amp;"|"&amp;COUNTIFS($C$7:$C711,$C711))</f>
        <v/>
      </c>
    </row>
    <row r="712">
      <c r="A712" s="6" t="n"/>
      <c r="B712" s="113">
        <f>IF($D712="","","T"&amp;TEXT(ROW()-6,"00000"))</f>
        <v/>
      </c>
      <c r="C712" s="113">
        <f>IF($D712="","",IFERROR(INDEX(MUSTERILER!$B$7:$B$106,MATCH($D712,MUSTERILER!$C$7:$C$106,0)),IFERROR(INDEX(MUSTERILER!$B$7:$B$106,MATCH($D712,MUSTERILER!$B$7:$B$106,0)),IFERROR(INDEX(MUSTERILER!$B$7:$B$106,MATCH($D712&amp;"*",MUSTERILER!$C$7:$C$106,0)),"TANIMSIZ MÜŞTERİ"))))</f>
        <v/>
      </c>
      <c r="D712" s="109" t="n"/>
      <c r="E712" s="225" t="n"/>
      <c r="F712" s="226" t="n"/>
      <c r="G712" s="108" t="n"/>
      <c r="H712" s="108" t="n"/>
      <c r="I712" s="109" t="n"/>
      <c r="J712" s="109" t="n"/>
      <c r="K712" s="109" t="n"/>
      <c r="L712" s="231">
        <f>IF($E712="","",DATE(YEAR($E712),MONTH($E712),1))</f>
        <v/>
      </c>
      <c r="M712" s="113">
        <f>IF($D712="","",IF($C712="TANIMSIZ MÜŞTERİ","HATA",IF(OR($E712="",$F712&lt;=0,$G712=""),"EKSİK",IF($E712&gt;TODAY(),"İLERİ TARİH","UYGUN"))))</f>
        <v/>
      </c>
      <c r="N712" s="121">
        <f>IF($C712="","",IF($C712="TANIMSIZ MÜŞTERİ","—",INDEX(MUSTERILER!$C$7:$C$106,MATCH($C712,MUSTERILER!$B$7:$B$106,0))))</f>
        <v/>
      </c>
      <c r="O712" s="6" t="n"/>
      <c r="P712" s="6" t="n"/>
      <c r="Q712" s="3">
        <f>IF($D712="","",$C712&amp;"|"&amp;COUNTIFS($C$7:$C712,$C712))</f>
        <v/>
      </c>
    </row>
    <row r="713">
      <c r="A713" s="6" t="n"/>
      <c r="B713" s="113">
        <f>IF($D713="","","T"&amp;TEXT(ROW()-6,"00000"))</f>
        <v/>
      </c>
      <c r="C713" s="113">
        <f>IF($D713="","",IFERROR(INDEX(MUSTERILER!$B$7:$B$106,MATCH($D713,MUSTERILER!$C$7:$C$106,0)),IFERROR(INDEX(MUSTERILER!$B$7:$B$106,MATCH($D713,MUSTERILER!$B$7:$B$106,0)),IFERROR(INDEX(MUSTERILER!$B$7:$B$106,MATCH($D713&amp;"*",MUSTERILER!$C$7:$C$106,0)),"TANIMSIZ MÜŞTERİ"))))</f>
        <v/>
      </c>
      <c r="D713" s="109" t="n"/>
      <c r="E713" s="225" t="n"/>
      <c r="F713" s="226" t="n"/>
      <c r="G713" s="108" t="n"/>
      <c r="H713" s="108" t="n"/>
      <c r="I713" s="109" t="n"/>
      <c r="J713" s="109" t="n"/>
      <c r="K713" s="109" t="n"/>
      <c r="L713" s="231">
        <f>IF($E713="","",DATE(YEAR($E713),MONTH($E713),1))</f>
        <v/>
      </c>
      <c r="M713" s="113">
        <f>IF($D713="","",IF($C713="TANIMSIZ MÜŞTERİ","HATA",IF(OR($E713="",$F713&lt;=0,$G713=""),"EKSİK",IF($E713&gt;TODAY(),"İLERİ TARİH","UYGUN"))))</f>
        <v/>
      </c>
      <c r="N713" s="121">
        <f>IF($C713="","",IF($C713="TANIMSIZ MÜŞTERİ","—",INDEX(MUSTERILER!$C$7:$C$106,MATCH($C713,MUSTERILER!$B$7:$B$106,0))))</f>
        <v/>
      </c>
      <c r="O713" s="6" t="n"/>
      <c r="P713" s="6" t="n"/>
      <c r="Q713" s="3">
        <f>IF($D713="","",$C713&amp;"|"&amp;COUNTIFS($C$7:$C713,$C713))</f>
        <v/>
      </c>
    </row>
    <row r="714">
      <c r="A714" s="6" t="n"/>
      <c r="B714" s="113">
        <f>IF($D714="","","T"&amp;TEXT(ROW()-6,"00000"))</f>
        <v/>
      </c>
      <c r="C714" s="113">
        <f>IF($D714="","",IFERROR(INDEX(MUSTERILER!$B$7:$B$106,MATCH($D714,MUSTERILER!$C$7:$C$106,0)),IFERROR(INDEX(MUSTERILER!$B$7:$B$106,MATCH($D714,MUSTERILER!$B$7:$B$106,0)),IFERROR(INDEX(MUSTERILER!$B$7:$B$106,MATCH($D714&amp;"*",MUSTERILER!$C$7:$C$106,0)),"TANIMSIZ MÜŞTERİ"))))</f>
        <v/>
      </c>
      <c r="D714" s="109" t="n"/>
      <c r="E714" s="225" t="n"/>
      <c r="F714" s="226" t="n"/>
      <c r="G714" s="108" t="n"/>
      <c r="H714" s="108" t="n"/>
      <c r="I714" s="109" t="n"/>
      <c r="J714" s="109" t="n"/>
      <c r="K714" s="109" t="n"/>
      <c r="L714" s="231">
        <f>IF($E714="","",DATE(YEAR($E714),MONTH($E714),1))</f>
        <v/>
      </c>
      <c r="M714" s="113">
        <f>IF($D714="","",IF($C714="TANIMSIZ MÜŞTERİ","HATA",IF(OR($E714="",$F714&lt;=0,$G714=""),"EKSİK",IF($E714&gt;TODAY(),"İLERİ TARİH","UYGUN"))))</f>
        <v/>
      </c>
      <c r="N714" s="121">
        <f>IF($C714="","",IF($C714="TANIMSIZ MÜŞTERİ","—",INDEX(MUSTERILER!$C$7:$C$106,MATCH($C714,MUSTERILER!$B$7:$B$106,0))))</f>
        <v/>
      </c>
      <c r="O714" s="6" t="n"/>
      <c r="P714" s="6" t="n"/>
      <c r="Q714" s="3">
        <f>IF($D714="","",$C714&amp;"|"&amp;COUNTIFS($C$7:$C714,$C714))</f>
        <v/>
      </c>
    </row>
    <row r="715">
      <c r="A715" s="6" t="n"/>
      <c r="B715" s="113">
        <f>IF($D715="","","T"&amp;TEXT(ROW()-6,"00000"))</f>
        <v/>
      </c>
      <c r="C715" s="113">
        <f>IF($D715="","",IFERROR(INDEX(MUSTERILER!$B$7:$B$106,MATCH($D715,MUSTERILER!$C$7:$C$106,0)),IFERROR(INDEX(MUSTERILER!$B$7:$B$106,MATCH($D715,MUSTERILER!$B$7:$B$106,0)),IFERROR(INDEX(MUSTERILER!$B$7:$B$106,MATCH($D715&amp;"*",MUSTERILER!$C$7:$C$106,0)),"TANIMSIZ MÜŞTERİ"))))</f>
        <v/>
      </c>
      <c r="D715" s="109" t="n"/>
      <c r="E715" s="225" t="n"/>
      <c r="F715" s="226" t="n"/>
      <c r="G715" s="108" t="n"/>
      <c r="H715" s="108" t="n"/>
      <c r="I715" s="109" t="n"/>
      <c r="J715" s="109" t="n"/>
      <c r="K715" s="109" t="n"/>
      <c r="L715" s="231">
        <f>IF($E715="","",DATE(YEAR($E715),MONTH($E715),1))</f>
        <v/>
      </c>
      <c r="M715" s="113">
        <f>IF($D715="","",IF($C715="TANIMSIZ MÜŞTERİ","HATA",IF(OR($E715="",$F715&lt;=0,$G715=""),"EKSİK",IF($E715&gt;TODAY(),"İLERİ TARİH","UYGUN"))))</f>
        <v/>
      </c>
      <c r="N715" s="121">
        <f>IF($C715="","",IF($C715="TANIMSIZ MÜŞTERİ","—",INDEX(MUSTERILER!$C$7:$C$106,MATCH($C715,MUSTERILER!$B$7:$B$106,0))))</f>
        <v/>
      </c>
      <c r="O715" s="6" t="n"/>
      <c r="P715" s="6" t="n"/>
      <c r="Q715" s="3">
        <f>IF($D715="","",$C715&amp;"|"&amp;COUNTIFS($C$7:$C715,$C715))</f>
        <v/>
      </c>
    </row>
    <row r="716">
      <c r="A716" s="6" t="n"/>
      <c r="B716" s="113">
        <f>IF($D716="","","T"&amp;TEXT(ROW()-6,"00000"))</f>
        <v/>
      </c>
      <c r="C716" s="113">
        <f>IF($D716="","",IFERROR(INDEX(MUSTERILER!$B$7:$B$106,MATCH($D716,MUSTERILER!$C$7:$C$106,0)),IFERROR(INDEX(MUSTERILER!$B$7:$B$106,MATCH($D716,MUSTERILER!$B$7:$B$106,0)),IFERROR(INDEX(MUSTERILER!$B$7:$B$106,MATCH($D716&amp;"*",MUSTERILER!$C$7:$C$106,0)),"TANIMSIZ MÜŞTERİ"))))</f>
        <v/>
      </c>
      <c r="D716" s="109" t="n"/>
      <c r="E716" s="225" t="n"/>
      <c r="F716" s="226" t="n"/>
      <c r="G716" s="108" t="n"/>
      <c r="H716" s="108" t="n"/>
      <c r="I716" s="109" t="n"/>
      <c r="J716" s="109" t="n"/>
      <c r="K716" s="109" t="n"/>
      <c r="L716" s="231">
        <f>IF($E716="","",DATE(YEAR($E716),MONTH($E716),1))</f>
        <v/>
      </c>
      <c r="M716" s="113">
        <f>IF($D716="","",IF($C716="TANIMSIZ MÜŞTERİ","HATA",IF(OR($E716="",$F716&lt;=0,$G716=""),"EKSİK",IF($E716&gt;TODAY(),"İLERİ TARİH","UYGUN"))))</f>
        <v/>
      </c>
      <c r="N716" s="121">
        <f>IF($C716="","",IF($C716="TANIMSIZ MÜŞTERİ","—",INDEX(MUSTERILER!$C$7:$C$106,MATCH($C716,MUSTERILER!$B$7:$B$106,0))))</f>
        <v/>
      </c>
      <c r="O716" s="6" t="n"/>
      <c r="P716" s="6" t="n"/>
      <c r="Q716" s="3">
        <f>IF($D716="","",$C716&amp;"|"&amp;COUNTIFS($C$7:$C716,$C716))</f>
        <v/>
      </c>
    </row>
    <row r="717">
      <c r="A717" s="6" t="n"/>
      <c r="B717" s="113">
        <f>IF($D717="","","T"&amp;TEXT(ROW()-6,"00000"))</f>
        <v/>
      </c>
      <c r="C717" s="113">
        <f>IF($D717="","",IFERROR(INDEX(MUSTERILER!$B$7:$B$106,MATCH($D717,MUSTERILER!$C$7:$C$106,0)),IFERROR(INDEX(MUSTERILER!$B$7:$B$106,MATCH($D717,MUSTERILER!$B$7:$B$106,0)),IFERROR(INDEX(MUSTERILER!$B$7:$B$106,MATCH($D717&amp;"*",MUSTERILER!$C$7:$C$106,0)),"TANIMSIZ MÜŞTERİ"))))</f>
        <v/>
      </c>
      <c r="D717" s="109" t="n"/>
      <c r="E717" s="225" t="n"/>
      <c r="F717" s="226" t="n"/>
      <c r="G717" s="108" t="n"/>
      <c r="H717" s="108" t="n"/>
      <c r="I717" s="109" t="n"/>
      <c r="J717" s="109" t="n"/>
      <c r="K717" s="109" t="n"/>
      <c r="L717" s="231">
        <f>IF($E717="","",DATE(YEAR($E717),MONTH($E717),1))</f>
        <v/>
      </c>
      <c r="M717" s="113">
        <f>IF($D717="","",IF($C717="TANIMSIZ MÜŞTERİ","HATA",IF(OR($E717="",$F717&lt;=0,$G717=""),"EKSİK",IF($E717&gt;TODAY(),"İLERİ TARİH","UYGUN"))))</f>
        <v/>
      </c>
      <c r="N717" s="121">
        <f>IF($C717="","",IF($C717="TANIMSIZ MÜŞTERİ","—",INDEX(MUSTERILER!$C$7:$C$106,MATCH($C717,MUSTERILER!$B$7:$B$106,0))))</f>
        <v/>
      </c>
      <c r="O717" s="6" t="n"/>
      <c r="P717" s="6" t="n"/>
      <c r="Q717" s="3">
        <f>IF($D717="","",$C717&amp;"|"&amp;COUNTIFS($C$7:$C717,$C717))</f>
        <v/>
      </c>
    </row>
    <row r="718">
      <c r="A718" s="6" t="n"/>
      <c r="B718" s="113">
        <f>IF($D718="","","T"&amp;TEXT(ROW()-6,"00000"))</f>
        <v/>
      </c>
      <c r="C718" s="113">
        <f>IF($D718="","",IFERROR(INDEX(MUSTERILER!$B$7:$B$106,MATCH($D718,MUSTERILER!$C$7:$C$106,0)),IFERROR(INDEX(MUSTERILER!$B$7:$B$106,MATCH($D718,MUSTERILER!$B$7:$B$106,0)),IFERROR(INDEX(MUSTERILER!$B$7:$B$106,MATCH($D718&amp;"*",MUSTERILER!$C$7:$C$106,0)),"TANIMSIZ MÜŞTERİ"))))</f>
        <v/>
      </c>
      <c r="D718" s="109" t="n"/>
      <c r="E718" s="225" t="n"/>
      <c r="F718" s="226" t="n"/>
      <c r="G718" s="108" t="n"/>
      <c r="H718" s="108" t="n"/>
      <c r="I718" s="109" t="n"/>
      <c r="J718" s="109" t="n"/>
      <c r="K718" s="109" t="n"/>
      <c r="L718" s="231">
        <f>IF($E718="","",DATE(YEAR($E718),MONTH($E718),1))</f>
        <v/>
      </c>
      <c r="M718" s="113">
        <f>IF($D718="","",IF($C718="TANIMSIZ MÜŞTERİ","HATA",IF(OR($E718="",$F718&lt;=0,$G718=""),"EKSİK",IF($E718&gt;TODAY(),"İLERİ TARİH","UYGUN"))))</f>
        <v/>
      </c>
      <c r="N718" s="121">
        <f>IF($C718="","",IF($C718="TANIMSIZ MÜŞTERİ","—",INDEX(MUSTERILER!$C$7:$C$106,MATCH($C718,MUSTERILER!$B$7:$B$106,0))))</f>
        <v/>
      </c>
      <c r="O718" s="6" t="n"/>
      <c r="P718" s="6" t="n"/>
      <c r="Q718" s="3">
        <f>IF($D718="","",$C718&amp;"|"&amp;COUNTIFS($C$7:$C718,$C718))</f>
        <v/>
      </c>
    </row>
    <row r="719">
      <c r="A719" s="6" t="n"/>
      <c r="B719" s="113">
        <f>IF($D719="","","T"&amp;TEXT(ROW()-6,"00000"))</f>
        <v/>
      </c>
      <c r="C719" s="113">
        <f>IF($D719="","",IFERROR(INDEX(MUSTERILER!$B$7:$B$106,MATCH($D719,MUSTERILER!$C$7:$C$106,0)),IFERROR(INDEX(MUSTERILER!$B$7:$B$106,MATCH($D719,MUSTERILER!$B$7:$B$106,0)),IFERROR(INDEX(MUSTERILER!$B$7:$B$106,MATCH($D719&amp;"*",MUSTERILER!$C$7:$C$106,0)),"TANIMSIZ MÜŞTERİ"))))</f>
        <v/>
      </c>
      <c r="D719" s="109" t="n"/>
      <c r="E719" s="225" t="n"/>
      <c r="F719" s="226" t="n"/>
      <c r="G719" s="108" t="n"/>
      <c r="H719" s="108" t="n"/>
      <c r="I719" s="109" t="n"/>
      <c r="J719" s="109" t="n"/>
      <c r="K719" s="109" t="n"/>
      <c r="L719" s="231">
        <f>IF($E719="","",DATE(YEAR($E719),MONTH($E719),1))</f>
        <v/>
      </c>
      <c r="M719" s="113">
        <f>IF($D719="","",IF($C719="TANIMSIZ MÜŞTERİ","HATA",IF(OR($E719="",$F719&lt;=0,$G719=""),"EKSİK",IF($E719&gt;TODAY(),"İLERİ TARİH","UYGUN"))))</f>
        <v/>
      </c>
      <c r="N719" s="121">
        <f>IF($C719="","",IF($C719="TANIMSIZ MÜŞTERİ","—",INDEX(MUSTERILER!$C$7:$C$106,MATCH($C719,MUSTERILER!$B$7:$B$106,0))))</f>
        <v/>
      </c>
      <c r="O719" s="6" t="n"/>
      <c r="P719" s="6" t="n"/>
      <c r="Q719" s="3">
        <f>IF($D719="","",$C719&amp;"|"&amp;COUNTIFS($C$7:$C719,$C719))</f>
        <v/>
      </c>
    </row>
    <row r="720">
      <c r="A720" s="6" t="n"/>
      <c r="B720" s="113">
        <f>IF($D720="","","T"&amp;TEXT(ROW()-6,"00000"))</f>
        <v/>
      </c>
      <c r="C720" s="113">
        <f>IF($D720="","",IFERROR(INDEX(MUSTERILER!$B$7:$B$106,MATCH($D720,MUSTERILER!$C$7:$C$106,0)),IFERROR(INDEX(MUSTERILER!$B$7:$B$106,MATCH($D720,MUSTERILER!$B$7:$B$106,0)),IFERROR(INDEX(MUSTERILER!$B$7:$B$106,MATCH($D720&amp;"*",MUSTERILER!$C$7:$C$106,0)),"TANIMSIZ MÜŞTERİ"))))</f>
        <v/>
      </c>
      <c r="D720" s="109" t="n"/>
      <c r="E720" s="225" t="n"/>
      <c r="F720" s="226" t="n"/>
      <c r="G720" s="108" t="n"/>
      <c r="H720" s="108" t="n"/>
      <c r="I720" s="109" t="n"/>
      <c r="J720" s="109" t="n"/>
      <c r="K720" s="109" t="n"/>
      <c r="L720" s="231">
        <f>IF($E720="","",DATE(YEAR($E720),MONTH($E720),1))</f>
        <v/>
      </c>
      <c r="M720" s="113">
        <f>IF($D720="","",IF($C720="TANIMSIZ MÜŞTERİ","HATA",IF(OR($E720="",$F720&lt;=0,$G720=""),"EKSİK",IF($E720&gt;TODAY(),"İLERİ TARİH","UYGUN"))))</f>
        <v/>
      </c>
      <c r="N720" s="121">
        <f>IF($C720="","",IF($C720="TANIMSIZ MÜŞTERİ","—",INDEX(MUSTERILER!$C$7:$C$106,MATCH($C720,MUSTERILER!$B$7:$B$106,0))))</f>
        <v/>
      </c>
      <c r="O720" s="6" t="n"/>
      <c r="P720" s="6" t="n"/>
      <c r="Q720" s="3">
        <f>IF($D720="","",$C720&amp;"|"&amp;COUNTIFS($C$7:$C720,$C720))</f>
        <v/>
      </c>
    </row>
    <row r="721">
      <c r="A721" s="6" t="n"/>
      <c r="B721" s="113">
        <f>IF($D721="","","T"&amp;TEXT(ROW()-6,"00000"))</f>
        <v/>
      </c>
      <c r="C721" s="113">
        <f>IF($D721="","",IFERROR(INDEX(MUSTERILER!$B$7:$B$106,MATCH($D721,MUSTERILER!$C$7:$C$106,0)),IFERROR(INDEX(MUSTERILER!$B$7:$B$106,MATCH($D721,MUSTERILER!$B$7:$B$106,0)),IFERROR(INDEX(MUSTERILER!$B$7:$B$106,MATCH($D721&amp;"*",MUSTERILER!$C$7:$C$106,0)),"TANIMSIZ MÜŞTERİ"))))</f>
        <v/>
      </c>
      <c r="D721" s="109" t="n"/>
      <c r="E721" s="225" t="n"/>
      <c r="F721" s="226" t="n"/>
      <c r="G721" s="108" t="n"/>
      <c r="H721" s="108" t="n"/>
      <c r="I721" s="109" t="n"/>
      <c r="J721" s="109" t="n"/>
      <c r="K721" s="109" t="n"/>
      <c r="L721" s="231">
        <f>IF($E721="","",DATE(YEAR($E721),MONTH($E721),1))</f>
        <v/>
      </c>
      <c r="M721" s="113">
        <f>IF($D721="","",IF($C721="TANIMSIZ MÜŞTERİ","HATA",IF(OR($E721="",$F721&lt;=0,$G721=""),"EKSİK",IF($E721&gt;TODAY(),"İLERİ TARİH","UYGUN"))))</f>
        <v/>
      </c>
      <c r="N721" s="121">
        <f>IF($C721="","",IF($C721="TANIMSIZ MÜŞTERİ","—",INDEX(MUSTERILER!$C$7:$C$106,MATCH($C721,MUSTERILER!$B$7:$B$106,0))))</f>
        <v/>
      </c>
      <c r="O721" s="6" t="n"/>
      <c r="P721" s="6" t="n"/>
      <c r="Q721" s="3">
        <f>IF($D721="","",$C721&amp;"|"&amp;COUNTIFS($C$7:$C721,$C721))</f>
        <v/>
      </c>
    </row>
    <row r="722">
      <c r="A722" s="6" t="n"/>
      <c r="B722" s="113">
        <f>IF($D722="","","T"&amp;TEXT(ROW()-6,"00000"))</f>
        <v/>
      </c>
      <c r="C722" s="113">
        <f>IF($D722="","",IFERROR(INDEX(MUSTERILER!$B$7:$B$106,MATCH($D722,MUSTERILER!$C$7:$C$106,0)),IFERROR(INDEX(MUSTERILER!$B$7:$B$106,MATCH($D722,MUSTERILER!$B$7:$B$106,0)),IFERROR(INDEX(MUSTERILER!$B$7:$B$106,MATCH($D722&amp;"*",MUSTERILER!$C$7:$C$106,0)),"TANIMSIZ MÜŞTERİ"))))</f>
        <v/>
      </c>
      <c r="D722" s="109" t="n"/>
      <c r="E722" s="225" t="n"/>
      <c r="F722" s="226" t="n"/>
      <c r="G722" s="108" t="n"/>
      <c r="H722" s="108" t="n"/>
      <c r="I722" s="109" t="n"/>
      <c r="J722" s="109" t="n"/>
      <c r="K722" s="109" t="n"/>
      <c r="L722" s="231">
        <f>IF($E722="","",DATE(YEAR($E722),MONTH($E722),1))</f>
        <v/>
      </c>
      <c r="M722" s="113">
        <f>IF($D722="","",IF($C722="TANIMSIZ MÜŞTERİ","HATA",IF(OR($E722="",$F722&lt;=0,$G722=""),"EKSİK",IF($E722&gt;TODAY(),"İLERİ TARİH","UYGUN"))))</f>
        <v/>
      </c>
      <c r="N722" s="121">
        <f>IF($C722="","",IF($C722="TANIMSIZ MÜŞTERİ","—",INDEX(MUSTERILER!$C$7:$C$106,MATCH($C722,MUSTERILER!$B$7:$B$106,0))))</f>
        <v/>
      </c>
      <c r="O722" s="6" t="n"/>
      <c r="P722" s="6" t="n"/>
      <c r="Q722" s="3">
        <f>IF($D722="","",$C722&amp;"|"&amp;COUNTIFS($C$7:$C722,$C722))</f>
        <v/>
      </c>
    </row>
    <row r="723">
      <c r="A723" s="6" t="n"/>
      <c r="B723" s="113">
        <f>IF($D723="","","T"&amp;TEXT(ROW()-6,"00000"))</f>
        <v/>
      </c>
      <c r="C723" s="113">
        <f>IF($D723="","",IFERROR(INDEX(MUSTERILER!$B$7:$B$106,MATCH($D723,MUSTERILER!$C$7:$C$106,0)),IFERROR(INDEX(MUSTERILER!$B$7:$B$106,MATCH($D723,MUSTERILER!$B$7:$B$106,0)),IFERROR(INDEX(MUSTERILER!$B$7:$B$106,MATCH($D723&amp;"*",MUSTERILER!$C$7:$C$106,0)),"TANIMSIZ MÜŞTERİ"))))</f>
        <v/>
      </c>
      <c r="D723" s="109" t="n"/>
      <c r="E723" s="225" t="n"/>
      <c r="F723" s="226" t="n"/>
      <c r="G723" s="108" t="n"/>
      <c r="H723" s="108" t="n"/>
      <c r="I723" s="109" t="n"/>
      <c r="J723" s="109" t="n"/>
      <c r="K723" s="109" t="n"/>
      <c r="L723" s="231">
        <f>IF($E723="","",DATE(YEAR($E723),MONTH($E723),1))</f>
        <v/>
      </c>
      <c r="M723" s="113">
        <f>IF($D723="","",IF($C723="TANIMSIZ MÜŞTERİ","HATA",IF(OR($E723="",$F723&lt;=0,$G723=""),"EKSİK",IF($E723&gt;TODAY(),"İLERİ TARİH","UYGUN"))))</f>
        <v/>
      </c>
      <c r="N723" s="121">
        <f>IF($C723="","",IF($C723="TANIMSIZ MÜŞTERİ","—",INDEX(MUSTERILER!$C$7:$C$106,MATCH($C723,MUSTERILER!$B$7:$B$106,0))))</f>
        <v/>
      </c>
      <c r="O723" s="6" t="n"/>
      <c r="P723" s="6" t="n"/>
      <c r="Q723" s="3">
        <f>IF($D723="","",$C723&amp;"|"&amp;COUNTIFS($C$7:$C723,$C723))</f>
        <v/>
      </c>
    </row>
    <row r="724">
      <c r="A724" s="6" t="n"/>
      <c r="B724" s="113">
        <f>IF($D724="","","T"&amp;TEXT(ROW()-6,"00000"))</f>
        <v/>
      </c>
      <c r="C724" s="113">
        <f>IF($D724="","",IFERROR(INDEX(MUSTERILER!$B$7:$B$106,MATCH($D724,MUSTERILER!$C$7:$C$106,0)),IFERROR(INDEX(MUSTERILER!$B$7:$B$106,MATCH($D724,MUSTERILER!$B$7:$B$106,0)),IFERROR(INDEX(MUSTERILER!$B$7:$B$106,MATCH($D724&amp;"*",MUSTERILER!$C$7:$C$106,0)),"TANIMSIZ MÜŞTERİ"))))</f>
        <v/>
      </c>
      <c r="D724" s="109" t="n"/>
      <c r="E724" s="225" t="n"/>
      <c r="F724" s="226" t="n"/>
      <c r="G724" s="108" t="n"/>
      <c r="H724" s="108" t="n"/>
      <c r="I724" s="109" t="n"/>
      <c r="J724" s="109" t="n"/>
      <c r="K724" s="109" t="n"/>
      <c r="L724" s="231">
        <f>IF($E724="","",DATE(YEAR($E724),MONTH($E724),1))</f>
        <v/>
      </c>
      <c r="M724" s="113">
        <f>IF($D724="","",IF($C724="TANIMSIZ MÜŞTERİ","HATA",IF(OR($E724="",$F724&lt;=0,$G724=""),"EKSİK",IF($E724&gt;TODAY(),"İLERİ TARİH","UYGUN"))))</f>
        <v/>
      </c>
      <c r="N724" s="121">
        <f>IF($C724="","",IF($C724="TANIMSIZ MÜŞTERİ","—",INDEX(MUSTERILER!$C$7:$C$106,MATCH($C724,MUSTERILER!$B$7:$B$106,0))))</f>
        <v/>
      </c>
      <c r="O724" s="6" t="n"/>
      <c r="P724" s="6" t="n"/>
      <c r="Q724" s="3">
        <f>IF($D724="","",$C724&amp;"|"&amp;COUNTIFS($C$7:$C724,$C724))</f>
        <v/>
      </c>
    </row>
    <row r="725">
      <c r="A725" s="6" t="n"/>
      <c r="B725" s="113">
        <f>IF($D725="","","T"&amp;TEXT(ROW()-6,"00000"))</f>
        <v/>
      </c>
      <c r="C725" s="113">
        <f>IF($D725="","",IFERROR(INDEX(MUSTERILER!$B$7:$B$106,MATCH($D725,MUSTERILER!$C$7:$C$106,0)),IFERROR(INDEX(MUSTERILER!$B$7:$B$106,MATCH($D725,MUSTERILER!$B$7:$B$106,0)),IFERROR(INDEX(MUSTERILER!$B$7:$B$106,MATCH($D725&amp;"*",MUSTERILER!$C$7:$C$106,0)),"TANIMSIZ MÜŞTERİ"))))</f>
        <v/>
      </c>
      <c r="D725" s="109" t="n"/>
      <c r="E725" s="225" t="n"/>
      <c r="F725" s="226" t="n"/>
      <c r="G725" s="108" t="n"/>
      <c r="H725" s="108" t="n"/>
      <c r="I725" s="109" t="n"/>
      <c r="J725" s="109" t="n"/>
      <c r="K725" s="109" t="n"/>
      <c r="L725" s="231">
        <f>IF($E725="","",DATE(YEAR($E725),MONTH($E725),1))</f>
        <v/>
      </c>
      <c r="M725" s="113">
        <f>IF($D725="","",IF($C725="TANIMSIZ MÜŞTERİ","HATA",IF(OR($E725="",$F725&lt;=0,$G725=""),"EKSİK",IF($E725&gt;TODAY(),"İLERİ TARİH","UYGUN"))))</f>
        <v/>
      </c>
      <c r="N725" s="121">
        <f>IF($C725="","",IF($C725="TANIMSIZ MÜŞTERİ","—",INDEX(MUSTERILER!$C$7:$C$106,MATCH($C725,MUSTERILER!$B$7:$B$106,0))))</f>
        <v/>
      </c>
      <c r="O725" s="6" t="n"/>
      <c r="P725" s="6" t="n"/>
      <c r="Q725" s="3">
        <f>IF($D725="","",$C725&amp;"|"&amp;COUNTIFS($C$7:$C725,$C725))</f>
        <v/>
      </c>
    </row>
    <row r="726">
      <c r="A726" s="6" t="n"/>
      <c r="B726" s="113">
        <f>IF($D726="","","T"&amp;TEXT(ROW()-6,"00000"))</f>
        <v/>
      </c>
      <c r="C726" s="113">
        <f>IF($D726="","",IFERROR(INDEX(MUSTERILER!$B$7:$B$106,MATCH($D726,MUSTERILER!$C$7:$C$106,0)),IFERROR(INDEX(MUSTERILER!$B$7:$B$106,MATCH($D726,MUSTERILER!$B$7:$B$106,0)),IFERROR(INDEX(MUSTERILER!$B$7:$B$106,MATCH($D726&amp;"*",MUSTERILER!$C$7:$C$106,0)),"TANIMSIZ MÜŞTERİ"))))</f>
        <v/>
      </c>
      <c r="D726" s="109" t="n"/>
      <c r="E726" s="225" t="n"/>
      <c r="F726" s="226" t="n"/>
      <c r="G726" s="108" t="n"/>
      <c r="H726" s="108" t="n"/>
      <c r="I726" s="109" t="n"/>
      <c r="J726" s="109" t="n"/>
      <c r="K726" s="109" t="n"/>
      <c r="L726" s="231">
        <f>IF($E726="","",DATE(YEAR($E726),MONTH($E726),1))</f>
        <v/>
      </c>
      <c r="M726" s="113">
        <f>IF($D726="","",IF($C726="TANIMSIZ MÜŞTERİ","HATA",IF(OR($E726="",$F726&lt;=0,$G726=""),"EKSİK",IF($E726&gt;TODAY(),"İLERİ TARİH","UYGUN"))))</f>
        <v/>
      </c>
      <c r="N726" s="121">
        <f>IF($C726="","",IF($C726="TANIMSIZ MÜŞTERİ","—",INDEX(MUSTERILER!$C$7:$C$106,MATCH($C726,MUSTERILER!$B$7:$B$106,0))))</f>
        <v/>
      </c>
      <c r="O726" s="6" t="n"/>
      <c r="P726" s="6" t="n"/>
      <c r="Q726" s="3">
        <f>IF($D726="","",$C726&amp;"|"&amp;COUNTIFS($C$7:$C726,$C726))</f>
        <v/>
      </c>
    </row>
    <row r="727">
      <c r="A727" s="6" t="n"/>
      <c r="B727" s="113">
        <f>IF($D727="","","T"&amp;TEXT(ROW()-6,"00000"))</f>
        <v/>
      </c>
      <c r="C727" s="113">
        <f>IF($D727="","",IFERROR(INDEX(MUSTERILER!$B$7:$B$106,MATCH($D727,MUSTERILER!$C$7:$C$106,0)),IFERROR(INDEX(MUSTERILER!$B$7:$B$106,MATCH($D727,MUSTERILER!$B$7:$B$106,0)),IFERROR(INDEX(MUSTERILER!$B$7:$B$106,MATCH($D727&amp;"*",MUSTERILER!$C$7:$C$106,0)),"TANIMSIZ MÜŞTERİ"))))</f>
        <v/>
      </c>
      <c r="D727" s="109" t="n"/>
      <c r="E727" s="225" t="n"/>
      <c r="F727" s="226" t="n"/>
      <c r="G727" s="108" t="n"/>
      <c r="H727" s="108" t="n"/>
      <c r="I727" s="109" t="n"/>
      <c r="J727" s="109" t="n"/>
      <c r="K727" s="109" t="n"/>
      <c r="L727" s="231">
        <f>IF($E727="","",DATE(YEAR($E727),MONTH($E727),1))</f>
        <v/>
      </c>
      <c r="M727" s="113">
        <f>IF($D727="","",IF($C727="TANIMSIZ MÜŞTERİ","HATA",IF(OR($E727="",$F727&lt;=0,$G727=""),"EKSİK",IF($E727&gt;TODAY(),"İLERİ TARİH","UYGUN"))))</f>
        <v/>
      </c>
      <c r="N727" s="121">
        <f>IF($C727="","",IF($C727="TANIMSIZ MÜŞTERİ","—",INDEX(MUSTERILER!$C$7:$C$106,MATCH($C727,MUSTERILER!$B$7:$B$106,0))))</f>
        <v/>
      </c>
      <c r="O727" s="6" t="n"/>
      <c r="P727" s="6" t="n"/>
      <c r="Q727" s="3">
        <f>IF($D727="","",$C727&amp;"|"&amp;COUNTIFS($C$7:$C727,$C727))</f>
        <v/>
      </c>
    </row>
    <row r="728">
      <c r="A728" s="6" t="n"/>
      <c r="B728" s="113">
        <f>IF($D728="","","T"&amp;TEXT(ROW()-6,"00000"))</f>
        <v/>
      </c>
      <c r="C728" s="113">
        <f>IF($D728="","",IFERROR(INDEX(MUSTERILER!$B$7:$B$106,MATCH($D728,MUSTERILER!$C$7:$C$106,0)),IFERROR(INDEX(MUSTERILER!$B$7:$B$106,MATCH($D728,MUSTERILER!$B$7:$B$106,0)),IFERROR(INDEX(MUSTERILER!$B$7:$B$106,MATCH($D728&amp;"*",MUSTERILER!$C$7:$C$106,0)),"TANIMSIZ MÜŞTERİ"))))</f>
        <v/>
      </c>
      <c r="D728" s="109" t="n"/>
      <c r="E728" s="225" t="n"/>
      <c r="F728" s="226" t="n"/>
      <c r="G728" s="108" t="n"/>
      <c r="H728" s="108" t="n"/>
      <c r="I728" s="109" t="n"/>
      <c r="J728" s="109" t="n"/>
      <c r="K728" s="109" t="n"/>
      <c r="L728" s="231">
        <f>IF($E728="","",DATE(YEAR($E728),MONTH($E728),1))</f>
        <v/>
      </c>
      <c r="M728" s="113">
        <f>IF($D728="","",IF($C728="TANIMSIZ MÜŞTERİ","HATA",IF(OR($E728="",$F728&lt;=0,$G728=""),"EKSİK",IF($E728&gt;TODAY(),"İLERİ TARİH","UYGUN"))))</f>
        <v/>
      </c>
      <c r="N728" s="121">
        <f>IF($C728="","",IF($C728="TANIMSIZ MÜŞTERİ","—",INDEX(MUSTERILER!$C$7:$C$106,MATCH($C728,MUSTERILER!$B$7:$B$106,0))))</f>
        <v/>
      </c>
      <c r="O728" s="6" t="n"/>
      <c r="P728" s="6" t="n"/>
      <c r="Q728" s="3">
        <f>IF($D728="","",$C728&amp;"|"&amp;COUNTIFS($C$7:$C728,$C728))</f>
        <v/>
      </c>
    </row>
    <row r="729">
      <c r="A729" s="6" t="n"/>
      <c r="B729" s="113">
        <f>IF($D729="","","T"&amp;TEXT(ROW()-6,"00000"))</f>
        <v/>
      </c>
      <c r="C729" s="113">
        <f>IF($D729="","",IFERROR(INDEX(MUSTERILER!$B$7:$B$106,MATCH($D729,MUSTERILER!$C$7:$C$106,0)),IFERROR(INDEX(MUSTERILER!$B$7:$B$106,MATCH($D729,MUSTERILER!$B$7:$B$106,0)),IFERROR(INDEX(MUSTERILER!$B$7:$B$106,MATCH($D729&amp;"*",MUSTERILER!$C$7:$C$106,0)),"TANIMSIZ MÜŞTERİ"))))</f>
        <v/>
      </c>
      <c r="D729" s="109" t="n"/>
      <c r="E729" s="225" t="n"/>
      <c r="F729" s="226" t="n"/>
      <c r="G729" s="108" t="n"/>
      <c r="H729" s="108" t="n"/>
      <c r="I729" s="109" t="n"/>
      <c r="J729" s="109" t="n"/>
      <c r="K729" s="109" t="n"/>
      <c r="L729" s="231">
        <f>IF($E729="","",DATE(YEAR($E729),MONTH($E729),1))</f>
        <v/>
      </c>
      <c r="M729" s="113">
        <f>IF($D729="","",IF($C729="TANIMSIZ MÜŞTERİ","HATA",IF(OR($E729="",$F729&lt;=0,$G729=""),"EKSİK",IF($E729&gt;TODAY(),"İLERİ TARİH","UYGUN"))))</f>
        <v/>
      </c>
      <c r="N729" s="121">
        <f>IF($C729="","",IF($C729="TANIMSIZ MÜŞTERİ","—",INDEX(MUSTERILER!$C$7:$C$106,MATCH($C729,MUSTERILER!$B$7:$B$106,0))))</f>
        <v/>
      </c>
      <c r="O729" s="6" t="n"/>
      <c r="P729" s="6" t="n"/>
      <c r="Q729" s="3">
        <f>IF($D729="","",$C729&amp;"|"&amp;COUNTIFS($C$7:$C729,$C729))</f>
        <v/>
      </c>
    </row>
    <row r="730">
      <c r="A730" s="6" t="n"/>
      <c r="B730" s="113">
        <f>IF($D730="","","T"&amp;TEXT(ROW()-6,"00000"))</f>
        <v/>
      </c>
      <c r="C730" s="113">
        <f>IF($D730="","",IFERROR(INDEX(MUSTERILER!$B$7:$B$106,MATCH($D730,MUSTERILER!$C$7:$C$106,0)),IFERROR(INDEX(MUSTERILER!$B$7:$B$106,MATCH($D730,MUSTERILER!$B$7:$B$106,0)),IFERROR(INDEX(MUSTERILER!$B$7:$B$106,MATCH($D730&amp;"*",MUSTERILER!$C$7:$C$106,0)),"TANIMSIZ MÜŞTERİ"))))</f>
        <v/>
      </c>
      <c r="D730" s="109" t="n"/>
      <c r="E730" s="225" t="n"/>
      <c r="F730" s="226" t="n"/>
      <c r="G730" s="108" t="n"/>
      <c r="H730" s="108" t="n"/>
      <c r="I730" s="109" t="n"/>
      <c r="J730" s="109" t="n"/>
      <c r="K730" s="109" t="n"/>
      <c r="L730" s="231">
        <f>IF($E730="","",DATE(YEAR($E730),MONTH($E730),1))</f>
        <v/>
      </c>
      <c r="M730" s="113">
        <f>IF($D730="","",IF($C730="TANIMSIZ MÜŞTERİ","HATA",IF(OR($E730="",$F730&lt;=0,$G730=""),"EKSİK",IF($E730&gt;TODAY(),"İLERİ TARİH","UYGUN"))))</f>
        <v/>
      </c>
      <c r="N730" s="121">
        <f>IF($C730="","",IF($C730="TANIMSIZ MÜŞTERİ","—",INDEX(MUSTERILER!$C$7:$C$106,MATCH($C730,MUSTERILER!$B$7:$B$106,0))))</f>
        <v/>
      </c>
      <c r="O730" s="6" t="n"/>
      <c r="P730" s="6" t="n"/>
      <c r="Q730" s="3">
        <f>IF($D730="","",$C730&amp;"|"&amp;COUNTIFS($C$7:$C730,$C730))</f>
        <v/>
      </c>
    </row>
    <row r="731">
      <c r="A731" s="6" t="n"/>
      <c r="B731" s="113">
        <f>IF($D731="","","T"&amp;TEXT(ROW()-6,"00000"))</f>
        <v/>
      </c>
      <c r="C731" s="113">
        <f>IF($D731="","",IFERROR(INDEX(MUSTERILER!$B$7:$B$106,MATCH($D731,MUSTERILER!$C$7:$C$106,0)),IFERROR(INDEX(MUSTERILER!$B$7:$B$106,MATCH($D731,MUSTERILER!$B$7:$B$106,0)),IFERROR(INDEX(MUSTERILER!$B$7:$B$106,MATCH($D731&amp;"*",MUSTERILER!$C$7:$C$106,0)),"TANIMSIZ MÜŞTERİ"))))</f>
        <v/>
      </c>
      <c r="D731" s="109" t="n"/>
      <c r="E731" s="225" t="n"/>
      <c r="F731" s="226" t="n"/>
      <c r="G731" s="108" t="n"/>
      <c r="H731" s="108" t="n"/>
      <c r="I731" s="109" t="n"/>
      <c r="J731" s="109" t="n"/>
      <c r="K731" s="109" t="n"/>
      <c r="L731" s="231">
        <f>IF($E731="","",DATE(YEAR($E731),MONTH($E731),1))</f>
        <v/>
      </c>
      <c r="M731" s="113">
        <f>IF($D731="","",IF($C731="TANIMSIZ MÜŞTERİ","HATA",IF(OR($E731="",$F731&lt;=0,$G731=""),"EKSİK",IF($E731&gt;TODAY(),"İLERİ TARİH","UYGUN"))))</f>
        <v/>
      </c>
      <c r="N731" s="121">
        <f>IF($C731="","",IF($C731="TANIMSIZ MÜŞTERİ","—",INDEX(MUSTERILER!$C$7:$C$106,MATCH($C731,MUSTERILER!$B$7:$B$106,0))))</f>
        <v/>
      </c>
      <c r="O731" s="6" t="n"/>
      <c r="P731" s="6" t="n"/>
      <c r="Q731" s="3">
        <f>IF($D731="","",$C731&amp;"|"&amp;COUNTIFS($C$7:$C731,$C731))</f>
        <v/>
      </c>
    </row>
    <row r="732">
      <c r="A732" s="6" t="n"/>
      <c r="B732" s="113">
        <f>IF($D732="","","T"&amp;TEXT(ROW()-6,"00000"))</f>
        <v/>
      </c>
      <c r="C732" s="113">
        <f>IF($D732="","",IFERROR(INDEX(MUSTERILER!$B$7:$B$106,MATCH($D732,MUSTERILER!$C$7:$C$106,0)),IFERROR(INDEX(MUSTERILER!$B$7:$B$106,MATCH($D732,MUSTERILER!$B$7:$B$106,0)),IFERROR(INDEX(MUSTERILER!$B$7:$B$106,MATCH($D732&amp;"*",MUSTERILER!$C$7:$C$106,0)),"TANIMSIZ MÜŞTERİ"))))</f>
        <v/>
      </c>
      <c r="D732" s="109" t="n"/>
      <c r="E732" s="225" t="n"/>
      <c r="F732" s="226" t="n"/>
      <c r="G732" s="108" t="n"/>
      <c r="H732" s="108" t="n"/>
      <c r="I732" s="109" t="n"/>
      <c r="J732" s="109" t="n"/>
      <c r="K732" s="109" t="n"/>
      <c r="L732" s="231">
        <f>IF($E732="","",DATE(YEAR($E732),MONTH($E732),1))</f>
        <v/>
      </c>
      <c r="M732" s="113">
        <f>IF($D732="","",IF($C732="TANIMSIZ MÜŞTERİ","HATA",IF(OR($E732="",$F732&lt;=0,$G732=""),"EKSİK",IF($E732&gt;TODAY(),"İLERİ TARİH","UYGUN"))))</f>
        <v/>
      </c>
      <c r="N732" s="121">
        <f>IF($C732="","",IF($C732="TANIMSIZ MÜŞTERİ","—",INDEX(MUSTERILER!$C$7:$C$106,MATCH($C732,MUSTERILER!$B$7:$B$106,0))))</f>
        <v/>
      </c>
      <c r="O732" s="6" t="n"/>
      <c r="P732" s="6" t="n"/>
      <c r="Q732" s="3">
        <f>IF($D732="","",$C732&amp;"|"&amp;COUNTIFS($C$7:$C732,$C732))</f>
        <v/>
      </c>
    </row>
    <row r="733">
      <c r="A733" s="6" t="n"/>
      <c r="B733" s="113">
        <f>IF($D733="","","T"&amp;TEXT(ROW()-6,"00000"))</f>
        <v/>
      </c>
      <c r="C733" s="113">
        <f>IF($D733="","",IFERROR(INDEX(MUSTERILER!$B$7:$B$106,MATCH($D733,MUSTERILER!$C$7:$C$106,0)),IFERROR(INDEX(MUSTERILER!$B$7:$B$106,MATCH($D733,MUSTERILER!$B$7:$B$106,0)),IFERROR(INDEX(MUSTERILER!$B$7:$B$106,MATCH($D733&amp;"*",MUSTERILER!$C$7:$C$106,0)),"TANIMSIZ MÜŞTERİ"))))</f>
        <v/>
      </c>
      <c r="D733" s="109" t="n"/>
      <c r="E733" s="225" t="n"/>
      <c r="F733" s="226" t="n"/>
      <c r="G733" s="108" t="n"/>
      <c r="H733" s="108" t="n"/>
      <c r="I733" s="109" t="n"/>
      <c r="J733" s="109" t="n"/>
      <c r="K733" s="109" t="n"/>
      <c r="L733" s="231">
        <f>IF($E733="","",DATE(YEAR($E733),MONTH($E733),1))</f>
        <v/>
      </c>
      <c r="M733" s="113">
        <f>IF($D733="","",IF($C733="TANIMSIZ MÜŞTERİ","HATA",IF(OR($E733="",$F733&lt;=0,$G733=""),"EKSİK",IF($E733&gt;TODAY(),"İLERİ TARİH","UYGUN"))))</f>
        <v/>
      </c>
      <c r="N733" s="121">
        <f>IF($C733="","",IF($C733="TANIMSIZ MÜŞTERİ","—",INDEX(MUSTERILER!$C$7:$C$106,MATCH($C733,MUSTERILER!$B$7:$B$106,0))))</f>
        <v/>
      </c>
      <c r="O733" s="6" t="n"/>
      <c r="P733" s="6" t="n"/>
      <c r="Q733" s="3">
        <f>IF($D733="","",$C733&amp;"|"&amp;COUNTIFS($C$7:$C733,$C733))</f>
        <v/>
      </c>
    </row>
    <row r="734">
      <c r="A734" s="6" t="n"/>
      <c r="B734" s="113">
        <f>IF($D734="","","T"&amp;TEXT(ROW()-6,"00000"))</f>
        <v/>
      </c>
      <c r="C734" s="113">
        <f>IF($D734="","",IFERROR(INDEX(MUSTERILER!$B$7:$B$106,MATCH($D734,MUSTERILER!$C$7:$C$106,0)),IFERROR(INDEX(MUSTERILER!$B$7:$B$106,MATCH($D734,MUSTERILER!$B$7:$B$106,0)),IFERROR(INDEX(MUSTERILER!$B$7:$B$106,MATCH($D734&amp;"*",MUSTERILER!$C$7:$C$106,0)),"TANIMSIZ MÜŞTERİ"))))</f>
        <v/>
      </c>
      <c r="D734" s="109" t="n"/>
      <c r="E734" s="225" t="n"/>
      <c r="F734" s="226" t="n"/>
      <c r="G734" s="108" t="n"/>
      <c r="H734" s="108" t="n"/>
      <c r="I734" s="109" t="n"/>
      <c r="J734" s="109" t="n"/>
      <c r="K734" s="109" t="n"/>
      <c r="L734" s="231">
        <f>IF($E734="","",DATE(YEAR($E734),MONTH($E734),1))</f>
        <v/>
      </c>
      <c r="M734" s="113">
        <f>IF($D734="","",IF($C734="TANIMSIZ MÜŞTERİ","HATA",IF(OR($E734="",$F734&lt;=0,$G734=""),"EKSİK",IF($E734&gt;TODAY(),"İLERİ TARİH","UYGUN"))))</f>
        <v/>
      </c>
      <c r="N734" s="121">
        <f>IF($C734="","",IF($C734="TANIMSIZ MÜŞTERİ","—",INDEX(MUSTERILER!$C$7:$C$106,MATCH($C734,MUSTERILER!$B$7:$B$106,0))))</f>
        <v/>
      </c>
      <c r="O734" s="6" t="n"/>
      <c r="P734" s="6" t="n"/>
      <c r="Q734" s="3">
        <f>IF($D734="","",$C734&amp;"|"&amp;COUNTIFS($C$7:$C734,$C734))</f>
        <v/>
      </c>
    </row>
    <row r="735">
      <c r="A735" s="6" t="n"/>
      <c r="B735" s="113">
        <f>IF($D735="","","T"&amp;TEXT(ROW()-6,"00000"))</f>
        <v/>
      </c>
      <c r="C735" s="113">
        <f>IF($D735="","",IFERROR(INDEX(MUSTERILER!$B$7:$B$106,MATCH($D735,MUSTERILER!$C$7:$C$106,0)),IFERROR(INDEX(MUSTERILER!$B$7:$B$106,MATCH($D735,MUSTERILER!$B$7:$B$106,0)),IFERROR(INDEX(MUSTERILER!$B$7:$B$106,MATCH($D735&amp;"*",MUSTERILER!$C$7:$C$106,0)),"TANIMSIZ MÜŞTERİ"))))</f>
        <v/>
      </c>
      <c r="D735" s="109" t="n"/>
      <c r="E735" s="225" t="n"/>
      <c r="F735" s="226" t="n"/>
      <c r="G735" s="108" t="n"/>
      <c r="H735" s="108" t="n"/>
      <c r="I735" s="109" t="n"/>
      <c r="J735" s="109" t="n"/>
      <c r="K735" s="109" t="n"/>
      <c r="L735" s="231">
        <f>IF($E735="","",DATE(YEAR($E735),MONTH($E735),1))</f>
        <v/>
      </c>
      <c r="M735" s="113">
        <f>IF($D735="","",IF($C735="TANIMSIZ MÜŞTERİ","HATA",IF(OR($E735="",$F735&lt;=0,$G735=""),"EKSİK",IF($E735&gt;TODAY(),"İLERİ TARİH","UYGUN"))))</f>
        <v/>
      </c>
      <c r="N735" s="121">
        <f>IF($C735="","",IF($C735="TANIMSIZ MÜŞTERİ","—",INDEX(MUSTERILER!$C$7:$C$106,MATCH($C735,MUSTERILER!$B$7:$B$106,0))))</f>
        <v/>
      </c>
      <c r="O735" s="6" t="n"/>
      <c r="P735" s="6" t="n"/>
      <c r="Q735" s="3">
        <f>IF($D735="","",$C735&amp;"|"&amp;COUNTIFS($C$7:$C735,$C735))</f>
        <v/>
      </c>
    </row>
    <row r="736">
      <c r="A736" s="6" t="n"/>
      <c r="B736" s="113">
        <f>IF($D736="","","T"&amp;TEXT(ROW()-6,"00000"))</f>
        <v/>
      </c>
      <c r="C736" s="113">
        <f>IF($D736="","",IFERROR(INDEX(MUSTERILER!$B$7:$B$106,MATCH($D736,MUSTERILER!$C$7:$C$106,0)),IFERROR(INDEX(MUSTERILER!$B$7:$B$106,MATCH($D736,MUSTERILER!$B$7:$B$106,0)),IFERROR(INDEX(MUSTERILER!$B$7:$B$106,MATCH($D736&amp;"*",MUSTERILER!$C$7:$C$106,0)),"TANIMSIZ MÜŞTERİ"))))</f>
        <v/>
      </c>
      <c r="D736" s="109" t="n"/>
      <c r="E736" s="225" t="n"/>
      <c r="F736" s="226" t="n"/>
      <c r="G736" s="108" t="n"/>
      <c r="H736" s="108" t="n"/>
      <c r="I736" s="109" t="n"/>
      <c r="J736" s="109" t="n"/>
      <c r="K736" s="109" t="n"/>
      <c r="L736" s="231">
        <f>IF($E736="","",DATE(YEAR($E736),MONTH($E736),1))</f>
        <v/>
      </c>
      <c r="M736" s="113">
        <f>IF($D736="","",IF($C736="TANIMSIZ MÜŞTERİ","HATA",IF(OR($E736="",$F736&lt;=0,$G736=""),"EKSİK",IF($E736&gt;TODAY(),"İLERİ TARİH","UYGUN"))))</f>
        <v/>
      </c>
      <c r="N736" s="121">
        <f>IF($C736="","",IF($C736="TANIMSIZ MÜŞTERİ","—",INDEX(MUSTERILER!$C$7:$C$106,MATCH($C736,MUSTERILER!$B$7:$B$106,0))))</f>
        <v/>
      </c>
      <c r="O736" s="6" t="n"/>
      <c r="P736" s="6" t="n"/>
      <c r="Q736" s="3">
        <f>IF($D736="","",$C736&amp;"|"&amp;COUNTIFS($C$7:$C736,$C736))</f>
        <v/>
      </c>
    </row>
    <row r="737">
      <c r="A737" s="6" t="n"/>
      <c r="B737" s="113">
        <f>IF($D737="","","T"&amp;TEXT(ROW()-6,"00000"))</f>
        <v/>
      </c>
      <c r="C737" s="113">
        <f>IF($D737="","",IFERROR(INDEX(MUSTERILER!$B$7:$B$106,MATCH($D737,MUSTERILER!$C$7:$C$106,0)),IFERROR(INDEX(MUSTERILER!$B$7:$B$106,MATCH($D737,MUSTERILER!$B$7:$B$106,0)),IFERROR(INDEX(MUSTERILER!$B$7:$B$106,MATCH($D737&amp;"*",MUSTERILER!$C$7:$C$106,0)),"TANIMSIZ MÜŞTERİ"))))</f>
        <v/>
      </c>
      <c r="D737" s="109" t="n"/>
      <c r="E737" s="225" t="n"/>
      <c r="F737" s="226" t="n"/>
      <c r="G737" s="108" t="n"/>
      <c r="H737" s="108" t="n"/>
      <c r="I737" s="109" t="n"/>
      <c r="J737" s="109" t="n"/>
      <c r="K737" s="109" t="n"/>
      <c r="L737" s="231">
        <f>IF($E737="","",DATE(YEAR($E737),MONTH($E737),1))</f>
        <v/>
      </c>
      <c r="M737" s="113">
        <f>IF($D737="","",IF($C737="TANIMSIZ MÜŞTERİ","HATA",IF(OR($E737="",$F737&lt;=0,$G737=""),"EKSİK",IF($E737&gt;TODAY(),"İLERİ TARİH","UYGUN"))))</f>
        <v/>
      </c>
      <c r="N737" s="121">
        <f>IF($C737="","",IF($C737="TANIMSIZ MÜŞTERİ","—",INDEX(MUSTERILER!$C$7:$C$106,MATCH($C737,MUSTERILER!$B$7:$B$106,0))))</f>
        <v/>
      </c>
      <c r="O737" s="6" t="n"/>
      <c r="P737" s="6" t="n"/>
      <c r="Q737" s="3">
        <f>IF($D737="","",$C737&amp;"|"&amp;COUNTIFS($C$7:$C737,$C737))</f>
        <v/>
      </c>
    </row>
    <row r="738">
      <c r="A738" s="6" t="n"/>
      <c r="B738" s="113">
        <f>IF($D738="","","T"&amp;TEXT(ROW()-6,"00000"))</f>
        <v/>
      </c>
      <c r="C738" s="113">
        <f>IF($D738="","",IFERROR(INDEX(MUSTERILER!$B$7:$B$106,MATCH($D738,MUSTERILER!$C$7:$C$106,0)),IFERROR(INDEX(MUSTERILER!$B$7:$B$106,MATCH($D738,MUSTERILER!$B$7:$B$106,0)),IFERROR(INDEX(MUSTERILER!$B$7:$B$106,MATCH($D738&amp;"*",MUSTERILER!$C$7:$C$106,0)),"TANIMSIZ MÜŞTERİ"))))</f>
        <v/>
      </c>
      <c r="D738" s="109" t="n"/>
      <c r="E738" s="225" t="n"/>
      <c r="F738" s="226" t="n"/>
      <c r="G738" s="108" t="n"/>
      <c r="H738" s="108" t="n"/>
      <c r="I738" s="109" t="n"/>
      <c r="J738" s="109" t="n"/>
      <c r="K738" s="109" t="n"/>
      <c r="L738" s="231">
        <f>IF($E738="","",DATE(YEAR($E738),MONTH($E738),1))</f>
        <v/>
      </c>
      <c r="M738" s="113">
        <f>IF($D738="","",IF($C738="TANIMSIZ MÜŞTERİ","HATA",IF(OR($E738="",$F738&lt;=0,$G738=""),"EKSİK",IF($E738&gt;TODAY(),"İLERİ TARİH","UYGUN"))))</f>
        <v/>
      </c>
      <c r="N738" s="121">
        <f>IF($C738="","",IF($C738="TANIMSIZ MÜŞTERİ","—",INDEX(MUSTERILER!$C$7:$C$106,MATCH($C738,MUSTERILER!$B$7:$B$106,0))))</f>
        <v/>
      </c>
      <c r="O738" s="6" t="n"/>
      <c r="P738" s="6" t="n"/>
      <c r="Q738" s="3">
        <f>IF($D738="","",$C738&amp;"|"&amp;COUNTIFS($C$7:$C738,$C738))</f>
        <v/>
      </c>
    </row>
    <row r="739">
      <c r="A739" s="6" t="n"/>
      <c r="B739" s="113">
        <f>IF($D739="","","T"&amp;TEXT(ROW()-6,"00000"))</f>
        <v/>
      </c>
      <c r="C739" s="113">
        <f>IF($D739="","",IFERROR(INDEX(MUSTERILER!$B$7:$B$106,MATCH($D739,MUSTERILER!$C$7:$C$106,0)),IFERROR(INDEX(MUSTERILER!$B$7:$B$106,MATCH($D739,MUSTERILER!$B$7:$B$106,0)),IFERROR(INDEX(MUSTERILER!$B$7:$B$106,MATCH($D739&amp;"*",MUSTERILER!$C$7:$C$106,0)),"TANIMSIZ MÜŞTERİ"))))</f>
        <v/>
      </c>
      <c r="D739" s="109" t="n"/>
      <c r="E739" s="225" t="n"/>
      <c r="F739" s="226" t="n"/>
      <c r="G739" s="108" t="n"/>
      <c r="H739" s="108" t="n"/>
      <c r="I739" s="109" t="n"/>
      <c r="J739" s="109" t="n"/>
      <c r="K739" s="109" t="n"/>
      <c r="L739" s="231">
        <f>IF($E739="","",DATE(YEAR($E739),MONTH($E739),1))</f>
        <v/>
      </c>
      <c r="M739" s="113">
        <f>IF($D739="","",IF($C739="TANIMSIZ MÜŞTERİ","HATA",IF(OR($E739="",$F739&lt;=0,$G739=""),"EKSİK",IF($E739&gt;TODAY(),"İLERİ TARİH","UYGUN"))))</f>
        <v/>
      </c>
      <c r="N739" s="121">
        <f>IF($C739="","",IF($C739="TANIMSIZ MÜŞTERİ","—",INDEX(MUSTERILER!$C$7:$C$106,MATCH($C739,MUSTERILER!$B$7:$B$106,0))))</f>
        <v/>
      </c>
      <c r="O739" s="6" t="n"/>
      <c r="P739" s="6" t="n"/>
      <c r="Q739" s="3">
        <f>IF($D739="","",$C739&amp;"|"&amp;COUNTIFS($C$7:$C739,$C739))</f>
        <v/>
      </c>
    </row>
    <row r="740">
      <c r="A740" s="6" t="n"/>
      <c r="B740" s="113">
        <f>IF($D740="","","T"&amp;TEXT(ROW()-6,"00000"))</f>
        <v/>
      </c>
      <c r="C740" s="113">
        <f>IF($D740="","",IFERROR(INDEX(MUSTERILER!$B$7:$B$106,MATCH($D740,MUSTERILER!$C$7:$C$106,0)),IFERROR(INDEX(MUSTERILER!$B$7:$B$106,MATCH($D740,MUSTERILER!$B$7:$B$106,0)),IFERROR(INDEX(MUSTERILER!$B$7:$B$106,MATCH($D740&amp;"*",MUSTERILER!$C$7:$C$106,0)),"TANIMSIZ MÜŞTERİ"))))</f>
        <v/>
      </c>
      <c r="D740" s="109" t="n"/>
      <c r="E740" s="225" t="n"/>
      <c r="F740" s="226" t="n"/>
      <c r="G740" s="108" t="n"/>
      <c r="H740" s="108" t="n"/>
      <c r="I740" s="109" t="n"/>
      <c r="J740" s="109" t="n"/>
      <c r="K740" s="109" t="n"/>
      <c r="L740" s="231">
        <f>IF($E740="","",DATE(YEAR($E740),MONTH($E740),1))</f>
        <v/>
      </c>
      <c r="M740" s="113">
        <f>IF($D740="","",IF($C740="TANIMSIZ MÜŞTERİ","HATA",IF(OR($E740="",$F740&lt;=0,$G740=""),"EKSİK",IF($E740&gt;TODAY(),"İLERİ TARİH","UYGUN"))))</f>
        <v/>
      </c>
      <c r="N740" s="121">
        <f>IF($C740="","",IF($C740="TANIMSIZ MÜŞTERİ","—",INDEX(MUSTERILER!$C$7:$C$106,MATCH($C740,MUSTERILER!$B$7:$B$106,0))))</f>
        <v/>
      </c>
      <c r="O740" s="6" t="n"/>
      <c r="P740" s="6" t="n"/>
      <c r="Q740" s="3">
        <f>IF($D740="","",$C740&amp;"|"&amp;COUNTIFS($C$7:$C740,$C740))</f>
        <v/>
      </c>
    </row>
    <row r="741">
      <c r="A741" s="6" t="n"/>
      <c r="B741" s="113">
        <f>IF($D741="","","T"&amp;TEXT(ROW()-6,"00000"))</f>
        <v/>
      </c>
      <c r="C741" s="113">
        <f>IF($D741="","",IFERROR(INDEX(MUSTERILER!$B$7:$B$106,MATCH($D741,MUSTERILER!$C$7:$C$106,0)),IFERROR(INDEX(MUSTERILER!$B$7:$B$106,MATCH($D741,MUSTERILER!$B$7:$B$106,0)),IFERROR(INDEX(MUSTERILER!$B$7:$B$106,MATCH($D741&amp;"*",MUSTERILER!$C$7:$C$106,0)),"TANIMSIZ MÜŞTERİ"))))</f>
        <v/>
      </c>
      <c r="D741" s="109" t="n"/>
      <c r="E741" s="225" t="n"/>
      <c r="F741" s="226" t="n"/>
      <c r="G741" s="108" t="n"/>
      <c r="H741" s="108" t="n"/>
      <c r="I741" s="109" t="n"/>
      <c r="J741" s="109" t="n"/>
      <c r="K741" s="109" t="n"/>
      <c r="L741" s="231">
        <f>IF($E741="","",DATE(YEAR($E741),MONTH($E741),1))</f>
        <v/>
      </c>
      <c r="M741" s="113">
        <f>IF($D741="","",IF($C741="TANIMSIZ MÜŞTERİ","HATA",IF(OR($E741="",$F741&lt;=0,$G741=""),"EKSİK",IF($E741&gt;TODAY(),"İLERİ TARİH","UYGUN"))))</f>
        <v/>
      </c>
      <c r="N741" s="121">
        <f>IF($C741="","",IF($C741="TANIMSIZ MÜŞTERİ","—",INDEX(MUSTERILER!$C$7:$C$106,MATCH($C741,MUSTERILER!$B$7:$B$106,0))))</f>
        <v/>
      </c>
      <c r="O741" s="6" t="n"/>
      <c r="P741" s="6" t="n"/>
      <c r="Q741" s="3">
        <f>IF($D741="","",$C741&amp;"|"&amp;COUNTIFS($C$7:$C741,$C741))</f>
        <v/>
      </c>
    </row>
    <row r="742">
      <c r="A742" s="6" t="n"/>
      <c r="B742" s="113">
        <f>IF($D742="","","T"&amp;TEXT(ROW()-6,"00000"))</f>
        <v/>
      </c>
      <c r="C742" s="113">
        <f>IF($D742="","",IFERROR(INDEX(MUSTERILER!$B$7:$B$106,MATCH($D742,MUSTERILER!$C$7:$C$106,0)),IFERROR(INDEX(MUSTERILER!$B$7:$B$106,MATCH($D742,MUSTERILER!$B$7:$B$106,0)),IFERROR(INDEX(MUSTERILER!$B$7:$B$106,MATCH($D742&amp;"*",MUSTERILER!$C$7:$C$106,0)),"TANIMSIZ MÜŞTERİ"))))</f>
        <v/>
      </c>
      <c r="D742" s="109" t="n"/>
      <c r="E742" s="225" t="n"/>
      <c r="F742" s="226" t="n"/>
      <c r="G742" s="108" t="n"/>
      <c r="H742" s="108" t="n"/>
      <c r="I742" s="109" t="n"/>
      <c r="J742" s="109" t="n"/>
      <c r="K742" s="109" t="n"/>
      <c r="L742" s="231">
        <f>IF($E742="","",DATE(YEAR($E742),MONTH($E742),1))</f>
        <v/>
      </c>
      <c r="M742" s="113">
        <f>IF($D742="","",IF($C742="TANIMSIZ MÜŞTERİ","HATA",IF(OR($E742="",$F742&lt;=0,$G742=""),"EKSİK",IF($E742&gt;TODAY(),"İLERİ TARİH","UYGUN"))))</f>
        <v/>
      </c>
      <c r="N742" s="121">
        <f>IF($C742="","",IF($C742="TANIMSIZ MÜŞTERİ","—",INDEX(MUSTERILER!$C$7:$C$106,MATCH($C742,MUSTERILER!$B$7:$B$106,0))))</f>
        <v/>
      </c>
      <c r="O742" s="6" t="n"/>
      <c r="P742" s="6" t="n"/>
      <c r="Q742" s="3">
        <f>IF($D742="","",$C742&amp;"|"&amp;COUNTIFS($C$7:$C742,$C742))</f>
        <v/>
      </c>
    </row>
    <row r="743">
      <c r="A743" s="6" t="n"/>
      <c r="B743" s="113">
        <f>IF($D743="","","T"&amp;TEXT(ROW()-6,"00000"))</f>
        <v/>
      </c>
      <c r="C743" s="113">
        <f>IF($D743="","",IFERROR(INDEX(MUSTERILER!$B$7:$B$106,MATCH($D743,MUSTERILER!$C$7:$C$106,0)),IFERROR(INDEX(MUSTERILER!$B$7:$B$106,MATCH($D743,MUSTERILER!$B$7:$B$106,0)),IFERROR(INDEX(MUSTERILER!$B$7:$B$106,MATCH($D743&amp;"*",MUSTERILER!$C$7:$C$106,0)),"TANIMSIZ MÜŞTERİ"))))</f>
        <v/>
      </c>
      <c r="D743" s="109" t="n"/>
      <c r="E743" s="225" t="n"/>
      <c r="F743" s="226" t="n"/>
      <c r="G743" s="108" t="n"/>
      <c r="H743" s="108" t="n"/>
      <c r="I743" s="109" t="n"/>
      <c r="J743" s="109" t="n"/>
      <c r="K743" s="109" t="n"/>
      <c r="L743" s="231">
        <f>IF($E743="","",DATE(YEAR($E743),MONTH($E743),1))</f>
        <v/>
      </c>
      <c r="M743" s="113">
        <f>IF($D743="","",IF($C743="TANIMSIZ MÜŞTERİ","HATA",IF(OR($E743="",$F743&lt;=0,$G743=""),"EKSİK",IF($E743&gt;TODAY(),"İLERİ TARİH","UYGUN"))))</f>
        <v/>
      </c>
      <c r="N743" s="121">
        <f>IF($C743="","",IF($C743="TANIMSIZ MÜŞTERİ","—",INDEX(MUSTERILER!$C$7:$C$106,MATCH($C743,MUSTERILER!$B$7:$B$106,0))))</f>
        <v/>
      </c>
      <c r="O743" s="6" t="n"/>
      <c r="P743" s="6" t="n"/>
      <c r="Q743" s="3">
        <f>IF($D743="","",$C743&amp;"|"&amp;COUNTIFS($C$7:$C743,$C743))</f>
        <v/>
      </c>
    </row>
    <row r="744">
      <c r="A744" s="6" t="n"/>
      <c r="B744" s="113">
        <f>IF($D744="","","T"&amp;TEXT(ROW()-6,"00000"))</f>
        <v/>
      </c>
      <c r="C744" s="113">
        <f>IF($D744="","",IFERROR(INDEX(MUSTERILER!$B$7:$B$106,MATCH($D744,MUSTERILER!$C$7:$C$106,0)),IFERROR(INDEX(MUSTERILER!$B$7:$B$106,MATCH($D744,MUSTERILER!$B$7:$B$106,0)),IFERROR(INDEX(MUSTERILER!$B$7:$B$106,MATCH($D744&amp;"*",MUSTERILER!$C$7:$C$106,0)),"TANIMSIZ MÜŞTERİ"))))</f>
        <v/>
      </c>
      <c r="D744" s="109" t="n"/>
      <c r="E744" s="225" t="n"/>
      <c r="F744" s="226" t="n"/>
      <c r="G744" s="108" t="n"/>
      <c r="H744" s="108" t="n"/>
      <c r="I744" s="109" t="n"/>
      <c r="J744" s="109" t="n"/>
      <c r="K744" s="109" t="n"/>
      <c r="L744" s="231">
        <f>IF($E744="","",DATE(YEAR($E744),MONTH($E744),1))</f>
        <v/>
      </c>
      <c r="M744" s="113">
        <f>IF($D744="","",IF($C744="TANIMSIZ MÜŞTERİ","HATA",IF(OR($E744="",$F744&lt;=0,$G744=""),"EKSİK",IF($E744&gt;TODAY(),"İLERİ TARİH","UYGUN"))))</f>
        <v/>
      </c>
      <c r="N744" s="121">
        <f>IF($C744="","",IF($C744="TANIMSIZ MÜŞTERİ","—",INDEX(MUSTERILER!$C$7:$C$106,MATCH($C744,MUSTERILER!$B$7:$B$106,0))))</f>
        <v/>
      </c>
      <c r="O744" s="6" t="n"/>
      <c r="P744" s="6" t="n"/>
      <c r="Q744" s="3">
        <f>IF($D744="","",$C744&amp;"|"&amp;COUNTIFS($C$7:$C744,$C744))</f>
        <v/>
      </c>
    </row>
    <row r="745">
      <c r="A745" s="6" t="n"/>
      <c r="B745" s="113">
        <f>IF($D745="","","T"&amp;TEXT(ROW()-6,"00000"))</f>
        <v/>
      </c>
      <c r="C745" s="113">
        <f>IF($D745="","",IFERROR(INDEX(MUSTERILER!$B$7:$B$106,MATCH($D745,MUSTERILER!$C$7:$C$106,0)),IFERROR(INDEX(MUSTERILER!$B$7:$B$106,MATCH($D745,MUSTERILER!$B$7:$B$106,0)),IFERROR(INDEX(MUSTERILER!$B$7:$B$106,MATCH($D745&amp;"*",MUSTERILER!$C$7:$C$106,0)),"TANIMSIZ MÜŞTERİ"))))</f>
        <v/>
      </c>
      <c r="D745" s="109" t="n"/>
      <c r="E745" s="225" t="n"/>
      <c r="F745" s="226" t="n"/>
      <c r="G745" s="108" t="n"/>
      <c r="H745" s="108" t="n"/>
      <c r="I745" s="109" t="n"/>
      <c r="J745" s="109" t="n"/>
      <c r="K745" s="109" t="n"/>
      <c r="L745" s="231">
        <f>IF($E745="","",DATE(YEAR($E745),MONTH($E745),1))</f>
        <v/>
      </c>
      <c r="M745" s="113">
        <f>IF($D745="","",IF($C745="TANIMSIZ MÜŞTERİ","HATA",IF(OR($E745="",$F745&lt;=0,$G745=""),"EKSİK",IF($E745&gt;TODAY(),"İLERİ TARİH","UYGUN"))))</f>
        <v/>
      </c>
      <c r="N745" s="121">
        <f>IF($C745="","",IF($C745="TANIMSIZ MÜŞTERİ","—",INDEX(MUSTERILER!$C$7:$C$106,MATCH($C745,MUSTERILER!$B$7:$B$106,0))))</f>
        <v/>
      </c>
      <c r="O745" s="6" t="n"/>
      <c r="P745" s="6" t="n"/>
      <c r="Q745" s="3">
        <f>IF($D745="","",$C745&amp;"|"&amp;COUNTIFS($C$7:$C745,$C745))</f>
        <v/>
      </c>
    </row>
    <row r="746">
      <c r="A746" s="6" t="n"/>
      <c r="B746" s="113">
        <f>IF($D746="","","T"&amp;TEXT(ROW()-6,"00000"))</f>
        <v/>
      </c>
      <c r="C746" s="113">
        <f>IF($D746="","",IFERROR(INDEX(MUSTERILER!$B$7:$B$106,MATCH($D746,MUSTERILER!$C$7:$C$106,0)),IFERROR(INDEX(MUSTERILER!$B$7:$B$106,MATCH($D746,MUSTERILER!$B$7:$B$106,0)),IFERROR(INDEX(MUSTERILER!$B$7:$B$106,MATCH($D746&amp;"*",MUSTERILER!$C$7:$C$106,0)),"TANIMSIZ MÜŞTERİ"))))</f>
        <v/>
      </c>
      <c r="D746" s="109" t="n"/>
      <c r="E746" s="225" t="n"/>
      <c r="F746" s="226" t="n"/>
      <c r="G746" s="108" t="n"/>
      <c r="H746" s="108" t="n"/>
      <c r="I746" s="109" t="n"/>
      <c r="J746" s="109" t="n"/>
      <c r="K746" s="109" t="n"/>
      <c r="L746" s="231">
        <f>IF($E746="","",DATE(YEAR($E746),MONTH($E746),1))</f>
        <v/>
      </c>
      <c r="M746" s="113">
        <f>IF($D746="","",IF($C746="TANIMSIZ MÜŞTERİ","HATA",IF(OR($E746="",$F746&lt;=0,$G746=""),"EKSİK",IF($E746&gt;TODAY(),"İLERİ TARİH","UYGUN"))))</f>
        <v/>
      </c>
      <c r="N746" s="121">
        <f>IF($C746="","",IF($C746="TANIMSIZ MÜŞTERİ","—",INDEX(MUSTERILER!$C$7:$C$106,MATCH($C746,MUSTERILER!$B$7:$B$106,0))))</f>
        <v/>
      </c>
      <c r="O746" s="6" t="n"/>
      <c r="P746" s="6" t="n"/>
      <c r="Q746" s="3">
        <f>IF($D746="","",$C746&amp;"|"&amp;COUNTIFS($C$7:$C746,$C746))</f>
        <v/>
      </c>
    </row>
    <row r="747">
      <c r="A747" s="6" t="n"/>
      <c r="B747" s="113">
        <f>IF($D747="","","T"&amp;TEXT(ROW()-6,"00000"))</f>
        <v/>
      </c>
      <c r="C747" s="113">
        <f>IF($D747="","",IFERROR(INDEX(MUSTERILER!$B$7:$B$106,MATCH($D747,MUSTERILER!$C$7:$C$106,0)),IFERROR(INDEX(MUSTERILER!$B$7:$B$106,MATCH($D747,MUSTERILER!$B$7:$B$106,0)),IFERROR(INDEX(MUSTERILER!$B$7:$B$106,MATCH($D747&amp;"*",MUSTERILER!$C$7:$C$106,0)),"TANIMSIZ MÜŞTERİ"))))</f>
        <v/>
      </c>
      <c r="D747" s="109" t="n"/>
      <c r="E747" s="225" t="n"/>
      <c r="F747" s="226" t="n"/>
      <c r="G747" s="108" t="n"/>
      <c r="H747" s="108" t="n"/>
      <c r="I747" s="109" t="n"/>
      <c r="J747" s="109" t="n"/>
      <c r="K747" s="109" t="n"/>
      <c r="L747" s="231">
        <f>IF($E747="","",DATE(YEAR($E747),MONTH($E747),1))</f>
        <v/>
      </c>
      <c r="M747" s="113">
        <f>IF($D747="","",IF($C747="TANIMSIZ MÜŞTERİ","HATA",IF(OR($E747="",$F747&lt;=0,$G747=""),"EKSİK",IF($E747&gt;TODAY(),"İLERİ TARİH","UYGUN"))))</f>
        <v/>
      </c>
      <c r="N747" s="121">
        <f>IF($C747="","",IF($C747="TANIMSIZ MÜŞTERİ","—",INDEX(MUSTERILER!$C$7:$C$106,MATCH($C747,MUSTERILER!$B$7:$B$106,0))))</f>
        <v/>
      </c>
      <c r="O747" s="6" t="n"/>
      <c r="P747" s="6" t="n"/>
      <c r="Q747" s="3">
        <f>IF($D747="","",$C747&amp;"|"&amp;COUNTIFS($C$7:$C747,$C747))</f>
        <v/>
      </c>
    </row>
    <row r="748">
      <c r="A748" s="6" t="n"/>
      <c r="B748" s="113">
        <f>IF($D748="","","T"&amp;TEXT(ROW()-6,"00000"))</f>
        <v/>
      </c>
      <c r="C748" s="113">
        <f>IF($D748="","",IFERROR(INDEX(MUSTERILER!$B$7:$B$106,MATCH($D748,MUSTERILER!$C$7:$C$106,0)),IFERROR(INDEX(MUSTERILER!$B$7:$B$106,MATCH($D748,MUSTERILER!$B$7:$B$106,0)),IFERROR(INDEX(MUSTERILER!$B$7:$B$106,MATCH($D748&amp;"*",MUSTERILER!$C$7:$C$106,0)),"TANIMSIZ MÜŞTERİ"))))</f>
        <v/>
      </c>
      <c r="D748" s="109" t="n"/>
      <c r="E748" s="225" t="n"/>
      <c r="F748" s="226" t="n"/>
      <c r="G748" s="108" t="n"/>
      <c r="H748" s="108" t="n"/>
      <c r="I748" s="109" t="n"/>
      <c r="J748" s="109" t="n"/>
      <c r="K748" s="109" t="n"/>
      <c r="L748" s="231">
        <f>IF($E748="","",DATE(YEAR($E748),MONTH($E748),1))</f>
        <v/>
      </c>
      <c r="M748" s="113">
        <f>IF($D748="","",IF($C748="TANIMSIZ MÜŞTERİ","HATA",IF(OR($E748="",$F748&lt;=0,$G748=""),"EKSİK",IF($E748&gt;TODAY(),"İLERİ TARİH","UYGUN"))))</f>
        <v/>
      </c>
      <c r="N748" s="121">
        <f>IF($C748="","",IF($C748="TANIMSIZ MÜŞTERİ","—",INDEX(MUSTERILER!$C$7:$C$106,MATCH($C748,MUSTERILER!$B$7:$B$106,0))))</f>
        <v/>
      </c>
      <c r="O748" s="6" t="n"/>
      <c r="P748" s="6" t="n"/>
      <c r="Q748" s="3">
        <f>IF($D748="","",$C748&amp;"|"&amp;COUNTIFS($C$7:$C748,$C748))</f>
        <v/>
      </c>
    </row>
    <row r="749">
      <c r="A749" s="6" t="n"/>
      <c r="B749" s="113">
        <f>IF($D749="","","T"&amp;TEXT(ROW()-6,"00000"))</f>
        <v/>
      </c>
      <c r="C749" s="113">
        <f>IF($D749="","",IFERROR(INDEX(MUSTERILER!$B$7:$B$106,MATCH($D749,MUSTERILER!$C$7:$C$106,0)),IFERROR(INDEX(MUSTERILER!$B$7:$B$106,MATCH($D749,MUSTERILER!$B$7:$B$106,0)),IFERROR(INDEX(MUSTERILER!$B$7:$B$106,MATCH($D749&amp;"*",MUSTERILER!$C$7:$C$106,0)),"TANIMSIZ MÜŞTERİ"))))</f>
        <v/>
      </c>
      <c r="D749" s="109" t="n"/>
      <c r="E749" s="225" t="n"/>
      <c r="F749" s="226" t="n"/>
      <c r="G749" s="108" t="n"/>
      <c r="H749" s="108" t="n"/>
      <c r="I749" s="109" t="n"/>
      <c r="J749" s="109" t="n"/>
      <c r="K749" s="109" t="n"/>
      <c r="L749" s="231">
        <f>IF($E749="","",DATE(YEAR($E749),MONTH($E749),1))</f>
        <v/>
      </c>
      <c r="M749" s="113">
        <f>IF($D749="","",IF($C749="TANIMSIZ MÜŞTERİ","HATA",IF(OR($E749="",$F749&lt;=0,$G749=""),"EKSİK",IF($E749&gt;TODAY(),"İLERİ TARİH","UYGUN"))))</f>
        <v/>
      </c>
      <c r="N749" s="121">
        <f>IF($C749="","",IF($C749="TANIMSIZ MÜŞTERİ","—",INDEX(MUSTERILER!$C$7:$C$106,MATCH($C749,MUSTERILER!$B$7:$B$106,0))))</f>
        <v/>
      </c>
      <c r="O749" s="6" t="n"/>
      <c r="P749" s="6" t="n"/>
      <c r="Q749" s="3">
        <f>IF($D749="","",$C749&amp;"|"&amp;COUNTIFS($C$7:$C749,$C749))</f>
        <v/>
      </c>
    </row>
    <row r="750">
      <c r="A750" s="6" t="n"/>
      <c r="B750" s="113">
        <f>IF($D750="","","T"&amp;TEXT(ROW()-6,"00000"))</f>
        <v/>
      </c>
      <c r="C750" s="113">
        <f>IF($D750="","",IFERROR(INDEX(MUSTERILER!$B$7:$B$106,MATCH($D750,MUSTERILER!$C$7:$C$106,0)),IFERROR(INDEX(MUSTERILER!$B$7:$B$106,MATCH($D750,MUSTERILER!$B$7:$B$106,0)),IFERROR(INDEX(MUSTERILER!$B$7:$B$106,MATCH($D750&amp;"*",MUSTERILER!$C$7:$C$106,0)),"TANIMSIZ MÜŞTERİ"))))</f>
        <v/>
      </c>
      <c r="D750" s="109" t="n"/>
      <c r="E750" s="225" t="n"/>
      <c r="F750" s="226" t="n"/>
      <c r="G750" s="108" t="n"/>
      <c r="H750" s="108" t="n"/>
      <c r="I750" s="109" t="n"/>
      <c r="J750" s="109" t="n"/>
      <c r="K750" s="109" t="n"/>
      <c r="L750" s="231">
        <f>IF($E750="","",DATE(YEAR($E750),MONTH($E750),1))</f>
        <v/>
      </c>
      <c r="M750" s="113">
        <f>IF($D750="","",IF($C750="TANIMSIZ MÜŞTERİ","HATA",IF(OR($E750="",$F750&lt;=0,$G750=""),"EKSİK",IF($E750&gt;TODAY(),"İLERİ TARİH","UYGUN"))))</f>
        <v/>
      </c>
      <c r="N750" s="121">
        <f>IF($C750="","",IF($C750="TANIMSIZ MÜŞTERİ","—",INDEX(MUSTERILER!$C$7:$C$106,MATCH($C750,MUSTERILER!$B$7:$B$106,0))))</f>
        <v/>
      </c>
      <c r="O750" s="6" t="n"/>
      <c r="P750" s="6" t="n"/>
      <c r="Q750" s="3">
        <f>IF($D750="","",$C750&amp;"|"&amp;COUNTIFS($C$7:$C750,$C750))</f>
        <v/>
      </c>
    </row>
    <row r="751">
      <c r="A751" s="6" t="n"/>
      <c r="B751" s="113">
        <f>IF($D751="","","T"&amp;TEXT(ROW()-6,"00000"))</f>
        <v/>
      </c>
      <c r="C751" s="113">
        <f>IF($D751="","",IFERROR(INDEX(MUSTERILER!$B$7:$B$106,MATCH($D751,MUSTERILER!$C$7:$C$106,0)),IFERROR(INDEX(MUSTERILER!$B$7:$B$106,MATCH($D751,MUSTERILER!$B$7:$B$106,0)),IFERROR(INDEX(MUSTERILER!$B$7:$B$106,MATCH($D751&amp;"*",MUSTERILER!$C$7:$C$106,0)),"TANIMSIZ MÜŞTERİ"))))</f>
        <v/>
      </c>
      <c r="D751" s="109" t="n"/>
      <c r="E751" s="225" t="n"/>
      <c r="F751" s="226" t="n"/>
      <c r="G751" s="108" t="n"/>
      <c r="H751" s="108" t="n"/>
      <c r="I751" s="109" t="n"/>
      <c r="J751" s="109" t="n"/>
      <c r="K751" s="109" t="n"/>
      <c r="L751" s="231">
        <f>IF($E751="","",DATE(YEAR($E751),MONTH($E751),1))</f>
        <v/>
      </c>
      <c r="M751" s="113">
        <f>IF($D751="","",IF($C751="TANIMSIZ MÜŞTERİ","HATA",IF(OR($E751="",$F751&lt;=0,$G751=""),"EKSİK",IF($E751&gt;TODAY(),"İLERİ TARİH","UYGUN"))))</f>
        <v/>
      </c>
      <c r="N751" s="121">
        <f>IF($C751="","",IF($C751="TANIMSIZ MÜŞTERİ","—",INDEX(MUSTERILER!$C$7:$C$106,MATCH($C751,MUSTERILER!$B$7:$B$106,0))))</f>
        <v/>
      </c>
      <c r="O751" s="6" t="n"/>
      <c r="P751" s="6" t="n"/>
      <c r="Q751" s="3">
        <f>IF($D751="","",$C751&amp;"|"&amp;COUNTIFS($C$7:$C751,$C751))</f>
        <v/>
      </c>
    </row>
    <row r="752">
      <c r="A752" s="6" t="n"/>
      <c r="B752" s="113">
        <f>IF($D752="","","T"&amp;TEXT(ROW()-6,"00000"))</f>
        <v/>
      </c>
      <c r="C752" s="113">
        <f>IF($D752="","",IFERROR(INDEX(MUSTERILER!$B$7:$B$106,MATCH($D752,MUSTERILER!$C$7:$C$106,0)),IFERROR(INDEX(MUSTERILER!$B$7:$B$106,MATCH($D752,MUSTERILER!$B$7:$B$106,0)),IFERROR(INDEX(MUSTERILER!$B$7:$B$106,MATCH($D752&amp;"*",MUSTERILER!$C$7:$C$106,0)),"TANIMSIZ MÜŞTERİ"))))</f>
        <v/>
      </c>
      <c r="D752" s="109" t="n"/>
      <c r="E752" s="225" t="n"/>
      <c r="F752" s="226" t="n"/>
      <c r="G752" s="108" t="n"/>
      <c r="H752" s="108" t="n"/>
      <c r="I752" s="109" t="n"/>
      <c r="J752" s="109" t="n"/>
      <c r="K752" s="109" t="n"/>
      <c r="L752" s="231">
        <f>IF($E752="","",DATE(YEAR($E752),MONTH($E752),1))</f>
        <v/>
      </c>
      <c r="M752" s="113">
        <f>IF($D752="","",IF($C752="TANIMSIZ MÜŞTERİ","HATA",IF(OR($E752="",$F752&lt;=0,$G752=""),"EKSİK",IF($E752&gt;TODAY(),"İLERİ TARİH","UYGUN"))))</f>
        <v/>
      </c>
      <c r="N752" s="121">
        <f>IF($C752="","",IF($C752="TANIMSIZ MÜŞTERİ","—",INDEX(MUSTERILER!$C$7:$C$106,MATCH($C752,MUSTERILER!$B$7:$B$106,0))))</f>
        <v/>
      </c>
      <c r="O752" s="6" t="n"/>
      <c r="P752" s="6" t="n"/>
      <c r="Q752" s="3">
        <f>IF($D752="","",$C752&amp;"|"&amp;COUNTIFS($C$7:$C752,$C752))</f>
        <v/>
      </c>
    </row>
    <row r="753">
      <c r="A753" s="6" t="n"/>
      <c r="B753" s="113">
        <f>IF($D753="","","T"&amp;TEXT(ROW()-6,"00000"))</f>
        <v/>
      </c>
      <c r="C753" s="113">
        <f>IF($D753="","",IFERROR(INDEX(MUSTERILER!$B$7:$B$106,MATCH($D753,MUSTERILER!$C$7:$C$106,0)),IFERROR(INDEX(MUSTERILER!$B$7:$B$106,MATCH($D753,MUSTERILER!$B$7:$B$106,0)),IFERROR(INDEX(MUSTERILER!$B$7:$B$106,MATCH($D753&amp;"*",MUSTERILER!$C$7:$C$106,0)),"TANIMSIZ MÜŞTERİ"))))</f>
        <v/>
      </c>
      <c r="D753" s="109" t="n"/>
      <c r="E753" s="225" t="n"/>
      <c r="F753" s="226" t="n"/>
      <c r="G753" s="108" t="n"/>
      <c r="H753" s="108" t="n"/>
      <c r="I753" s="109" t="n"/>
      <c r="J753" s="109" t="n"/>
      <c r="K753" s="109" t="n"/>
      <c r="L753" s="231">
        <f>IF($E753="","",DATE(YEAR($E753),MONTH($E753),1))</f>
        <v/>
      </c>
      <c r="M753" s="113">
        <f>IF($D753="","",IF($C753="TANIMSIZ MÜŞTERİ","HATA",IF(OR($E753="",$F753&lt;=0,$G753=""),"EKSİK",IF($E753&gt;TODAY(),"İLERİ TARİH","UYGUN"))))</f>
        <v/>
      </c>
      <c r="N753" s="121">
        <f>IF($C753="","",IF($C753="TANIMSIZ MÜŞTERİ","—",INDEX(MUSTERILER!$C$7:$C$106,MATCH($C753,MUSTERILER!$B$7:$B$106,0))))</f>
        <v/>
      </c>
      <c r="O753" s="6" t="n"/>
      <c r="P753" s="6" t="n"/>
      <c r="Q753" s="3">
        <f>IF($D753="","",$C753&amp;"|"&amp;COUNTIFS($C$7:$C753,$C753))</f>
        <v/>
      </c>
    </row>
    <row r="754">
      <c r="A754" s="6" t="n"/>
      <c r="B754" s="113">
        <f>IF($D754="","","T"&amp;TEXT(ROW()-6,"00000"))</f>
        <v/>
      </c>
      <c r="C754" s="113">
        <f>IF($D754="","",IFERROR(INDEX(MUSTERILER!$B$7:$B$106,MATCH($D754,MUSTERILER!$C$7:$C$106,0)),IFERROR(INDEX(MUSTERILER!$B$7:$B$106,MATCH($D754,MUSTERILER!$B$7:$B$106,0)),IFERROR(INDEX(MUSTERILER!$B$7:$B$106,MATCH($D754&amp;"*",MUSTERILER!$C$7:$C$106,0)),"TANIMSIZ MÜŞTERİ"))))</f>
        <v/>
      </c>
      <c r="D754" s="109" t="n"/>
      <c r="E754" s="225" t="n"/>
      <c r="F754" s="226" t="n"/>
      <c r="G754" s="108" t="n"/>
      <c r="H754" s="108" t="n"/>
      <c r="I754" s="109" t="n"/>
      <c r="J754" s="109" t="n"/>
      <c r="K754" s="109" t="n"/>
      <c r="L754" s="231">
        <f>IF($E754="","",DATE(YEAR($E754),MONTH($E754),1))</f>
        <v/>
      </c>
      <c r="M754" s="113">
        <f>IF($D754="","",IF($C754="TANIMSIZ MÜŞTERİ","HATA",IF(OR($E754="",$F754&lt;=0,$G754=""),"EKSİK",IF($E754&gt;TODAY(),"İLERİ TARİH","UYGUN"))))</f>
        <v/>
      </c>
      <c r="N754" s="121">
        <f>IF($C754="","",IF($C754="TANIMSIZ MÜŞTERİ","—",INDEX(MUSTERILER!$C$7:$C$106,MATCH($C754,MUSTERILER!$B$7:$B$106,0))))</f>
        <v/>
      </c>
      <c r="O754" s="6" t="n"/>
      <c r="P754" s="6" t="n"/>
      <c r="Q754" s="3">
        <f>IF($D754="","",$C754&amp;"|"&amp;COUNTIFS($C$7:$C754,$C754))</f>
        <v/>
      </c>
    </row>
    <row r="755">
      <c r="A755" s="6" t="n"/>
      <c r="B755" s="113">
        <f>IF($D755="","","T"&amp;TEXT(ROW()-6,"00000"))</f>
        <v/>
      </c>
      <c r="C755" s="113">
        <f>IF($D755="","",IFERROR(INDEX(MUSTERILER!$B$7:$B$106,MATCH($D755,MUSTERILER!$C$7:$C$106,0)),IFERROR(INDEX(MUSTERILER!$B$7:$B$106,MATCH($D755,MUSTERILER!$B$7:$B$106,0)),IFERROR(INDEX(MUSTERILER!$B$7:$B$106,MATCH($D755&amp;"*",MUSTERILER!$C$7:$C$106,0)),"TANIMSIZ MÜŞTERİ"))))</f>
        <v/>
      </c>
      <c r="D755" s="109" t="n"/>
      <c r="E755" s="225" t="n"/>
      <c r="F755" s="226" t="n"/>
      <c r="G755" s="108" t="n"/>
      <c r="H755" s="108" t="n"/>
      <c r="I755" s="109" t="n"/>
      <c r="J755" s="109" t="n"/>
      <c r="K755" s="109" t="n"/>
      <c r="L755" s="231">
        <f>IF($E755="","",DATE(YEAR($E755),MONTH($E755),1))</f>
        <v/>
      </c>
      <c r="M755" s="113">
        <f>IF($D755="","",IF($C755="TANIMSIZ MÜŞTERİ","HATA",IF(OR($E755="",$F755&lt;=0,$G755=""),"EKSİK",IF($E755&gt;TODAY(),"İLERİ TARİH","UYGUN"))))</f>
        <v/>
      </c>
      <c r="N755" s="121">
        <f>IF($C755="","",IF($C755="TANIMSIZ MÜŞTERİ","—",INDEX(MUSTERILER!$C$7:$C$106,MATCH($C755,MUSTERILER!$B$7:$B$106,0))))</f>
        <v/>
      </c>
      <c r="O755" s="6" t="n"/>
      <c r="P755" s="6" t="n"/>
      <c r="Q755" s="3">
        <f>IF($D755="","",$C755&amp;"|"&amp;COUNTIFS($C$7:$C755,$C755))</f>
        <v/>
      </c>
    </row>
    <row r="756">
      <c r="A756" s="6" t="n"/>
      <c r="B756" s="113">
        <f>IF($D756="","","T"&amp;TEXT(ROW()-6,"00000"))</f>
        <v/>
      </c>
      <c r="C756" s="113">
        <f>IF($D756="","",IFERROR(INDEX(MUSTERILER!$B$7:$B$106,MATCH($D756,MUSTERILER!$C$7:$C$106,0)),IFERROR(INDEX(MUSTERILER!$B$7:$B$106,MATCH($D756,MUSTERILER!$B$7:$B$106,0)),IFERROR(INDEX(MUSTERILER!$B$7:$B$106,MATCH($D756&amp;"*",MUSTERILER!$C$7:$C$106,0)),"TANIMSIZ MÜŞTERİ"))))</f>
        <v/>
      </c>
      <c r="D756" s="109" t="n"/>
      <c r="E756" s="225" t="n"/>
      <c r="F756" s="226" t="n"/>
      <c r="G756" s="108" t="n"/>
      <c r="H756" s="108" t="n"/>
      <c r="I756" s="109" t="n"/>
      <c r="J756" s="109" t="n"/>
      <c r="K756" s="109" t="n"/>
      <c r="L756" s="231">
        <f>IF($E756="","",DATE(YEAR($E756),MONTH($E756),1))</f>
        <v/>
      </c>
      <c r="M756" s="113">
        <f>IF($D756="","",IF($C756="TANIMSIZ MÜŞTERİ","HATA",IF(OR($E756="",$F756&lt;=0,$G756=""),"EKSİK",IF($E756&gt;TODAY(),"İLERİ TARİH","UYGUN"))))</f>
        <v/>
      </c>
      <c r="N756" s="121">
        <f>IF($C756="","",IF($C756="TANIMSIZ MÜŞTERİ","—",INDEX(MUSTERILER!$C$7:$C$106,MATCH($C756,MUSTERILER!$B$7:$B$106,0))))</f>
        <v/>
      </c>
      <c r="O756" s="6" t="n"/>
      <c r="P756" s="6" t="n"/>
      <c r="Q756" s="3">
        <f>IF($D756="","",$C756&amp;"|"&amp;COUNTIFS($C$7:$C756,$C756))</f>
        <v/>
      </c>
    </row>
    <row r="757">
      <c r="A757" s="6" t="n"/>
      <c r="B757" s="113">
        <f>IF($D757="","","T"&amp;TEXT(ROW()-6,"00000"))</f>
        <v/>
      </c>
      <c r="C757" s="113">
        <f>IF($D757="","",IFERROR(INDEX(MUSTERILER!$B$7:$B$106,MATCH($D757,MUSTERILER!$C$7:$C$106,0)),IFERROR(INDEX(MUSTERILER!$B$7:$B$106,MATCH($D757,MUSTERILER!$B$7:$B$106,0)),IFERROR(INDEX(MUSTERILER!$B$7:$B$106,MATCH($D757&amp;"*",MUSTERILER!$C$7:$C$106,0)),"TANIMSIZ MÜŞTERİ"))))</f>
        <v/>
      </c>
      <c r="D757" s="109" t="n"/>
      <c r="E757" s="225" t="n"/>
      <c r="F757" s="226" t="n"/>
      <c r="G757" s="108" t="n"/>
      <c r="H757" s="108" t="n"/>
      <c r="I757" s="109" t="n"/>
      <c r="J757" s="109" t="n"/>
      <c r="K757" s="109" t="n"/>
      <c r="L757" s="231">
        <f>IF($E757="","",DATE(YEAR($E757),MONTH($E757),1))</f>
        <v/>
      </c>
      <c r="M757" s="113">
        <f>IF($D757="","",IF($C757="TANIMSIZ MÜŞTERİ","HATA",IF(OR($E757="",$F757&lt;=0,$G757=""),"EKSİK",IF($E757&gt;TODAY(),"İLERİ TARİH","UYGUN"))))</f>
        <v/>
      </c>
      <c r="N757" s="121">
        <f>IF($C757="","",IF($C757="TANIMSIZ MÜŞTERİ","—",INDEX(MUSTERILER!$C$7:$C$106,MATCH($C757,MUSTERILER!$B$7:$B$106,0))))</f>
        <v/>
      </c>
      <c r="O757" s="6" t="n"/>
      <c r="P757" s="6" t="n"/>
      <c r="Q757" s="3">
        <f>IF($D757="","",$C757&amp;"|"&amp;COUNTIFS($C$7:$C757,$C757))</f>
        <v/>
      </c>
    </row>
    <row r="758">
      <c r="A758" s="6" t="n"/>
      <c r="B758" s="113">
        <f>IF($D758="","","T"&amp;TEXT(ROW()-6,"00000"))</f>
        <v/>
      </c>
      <c r="C758" s="113">
        <f>IF($D758="","",IFERROR(INDEX(MUSTERILER!$B$7:$B$106,MATCH($D758,MUSTERILER!$C$7:$C$106,0)),IFERROR(INDEX(MUSTERILER!$B$7:$B$106,MATCH($D758,MUSTERILER!$B$7:$B$106,0)),IFERROR(INDEX(MUSTERILER!$B$7:$B$106,MATCH($D758&amp;"*",MUSTERILER!$C$7:$C$106,0)),"TANIMSIZ MÜŞTERİ"))))</f>
        <v/>
      </c>
      <c r="D758" s="109" t="n"/>
      <c r="E758" s="225" t="n"/>
      <c r="F758" s="226" t="n"/>
      <c r="G758" s="108" t="n"/>
      <c r="H758" s="108" t="n"/>
      <c r="I758" s="109" t="n"/>
      <c r="J758" s="109" t="n"/>
      <c r="K758" s="109" t="n"/>
      <c r="L758" s="231">
        <f>IF($E758="","",DATE(YEAR($E758),MONTH($E758),1))</f>
        <v/>
      </c>
      <c r="M758" s="113">
        <f>IF($D758="","",IF($C758="TANIMSIZ MÜŞTERİ","HATA",IF(OR($E758="",$F758&lt;=0,$G758=""),"EKSİK",IF($E758&gt;TODAY(),"İLERİ TARİH","UYGUN"))))</f>
        <v/>
      </c>
      <c r="N758" s="121">
        <f>IF($C758="","",IF($C758="TANIMSIZ MÜŞTERİ","—",INDEX(MUSTERILER!$C$7:$C$106,MATCH($C758,MUSTERILER!$B$7:$B$106,0))))</f>
        <v/>
      </c>
      <c r="O758" s="6" t="n"/>
      <c r="P758" s="6" t="n"/>
      <c r="Q758" s="3">
        <f>IF($D758="","",$C758&amp;"|"&amp;COUNTIFS($C$7:$C758,$C758))</f>
        <v/>
      </c>
    </row>
    <row r="759">
      <c r="A759" s="6" t="n"/>
      <c r="B759" s="113">
        <f>IF($D759="","","T"&amp;TEXT(ROW()-6,"00000"))</f>
        <v/>
      </c>
      <c r="C759" s="113">
        <f>IF($D759="","",IFERROR(INDEX(MUSTERILER!$B$7:$B$106,MATCH($D759,MUSTERILER!$C$7:$C$106,0)),IFERROR(INDEX(MUSTERILER!$B$7:$B$106,MATCH($D759,MUSTERILER!$B$7:$B$106,0)),IFERROR(INDEX(MUSTERILER!$B$7:$B$106,MATCH($D759&amp;"*",MUSTERILER!$C$7:$C$106,0)),"TANIMSIZ MÜŞTERİ"))))</f>
        <v/>
      </c>
      <c r="D759" s="109" t="n"/>
      <c r="E759" s="225" t="n"/>
      <c r="F759" s="226" t="n"/>
      <c r="G759" s="108" t="n"/>
      <c r="H759" s="108" t="n"/>
      <c r="I759" s="109" t="n"/>
      <c r="J759" s="109" t="n"/>
      <c r="K759" s="109" t="n"/>
      <c r="L759" s="231">
        <f>IF($E759="","",DATE(YEAR($E759),MONTH($E759),1))</f>
        <v/>
      </c>
      <c r="M759" s="113">
        <f>IF($D759="","",IF($C759="TANIMSIZ MÜŞTERİ","HATA",IF(OR($E759="",$F759&lt;=0,$G759=""),"EKSİK",IF($E759&gt;TODAY(),"İLERİ TARİH","UYGUN"))))</f>
        <v/>
      </c>
      <c r="N759" s="121">
        <f>IF($C759="","",IF($C759="TANIMSIZ MÜŞTERİ","—",INDEX(MUSTERILER!$C$7:$C$106,MATCH($C759,MUSTERILER!$B$7:$B$106,0))))</f>
        <v/>
      </c>
      <c r="O759" s="6" t="n"/>
      <c r="P759" s="6" t="n"/>
      <c r="Q759" s="3">
        <f>IF($D759="","",$C759&amp;"|"&amp;COUNTIFS($C$7:$C759,$C759))</f>
        <v/>
      </c>
    </row>
    <row r="760">
      <c r="A760" s="6" t="n"/>
      <c r="B760" s="113">
        <f>IF($D760="","","T"&amp;TEXT(ROW()-6,"00000"))</f>
        <v/>
      </c>
      <c r="C760" s="113">
        <f>IF($D760="","",IFERROR(INDEX(MUSTERILER!$B$7:$B$106,MATCH($D760,MUSTERILER!$C$7:$C$106,0)),IFERROR(INDEX(MUSTERILER!$B$7:$B$106,MATCH($D760,MUSTERILER!$B$7:$B$106,0)),IFERROR(INDEX(MUSTERILER!$B$7:$B$106,MATCH($D760&amp;"*",MUSTERILER!$C$7:$C$106,0)),"TANIMSIZ MÜŞTERİ"))))</f>
        <v/>
      </c>
      <c r="D760" s="109" t="n"/>
      <c r="E760" s="225" t="n"/>
      <c r="F760" s="226" t="n"/>
      <c r="G760" s="108" t="n"/>
      <c r="H760" s="108" t="n"/>
      <c r="I760" s="109" t="n"/>
      <c r="J760" s="109" t="n"/>
      <c r="K760" s="109" t="n"/>
      <c r="L760" s="231">
        <f>IF($E760="","",DATE(YEAR($E760),MONTH($E760),1))</f>
        <v/>
      </c>
      <c r="M760" s="113">
        <f>IF($D760="","",IF($C760="TANIMSIZ MÜŞTERİ","HATA",IF(OR($E760="",$F760&lt;=0,$G760=""),"EKSİK",IF($E760&gt;TODAY(),"İLERİ TARİH","UYGUN"))))</f>
        <v/>
      </c>
      <c r="N760" s="121">
        <f>IF($C760="","",IF($C760="TANIMSIZ MÜŞTERİ","—",INDEX(MUSTERILER!$C$7:$C$106,MATCH($C760,MUSTERILER!$B$7:$B$106,0))))</f>
        <v/>
      </c>
      <c r="O760" s="6" t="n"/>
      <c r="P760" s="6" t="n"/>
      <c r="Q760" s="3">
        <f>IF($D760="","",$C760&amp;"|"&amp;COUNTIFS($C$7:$C760,$C760))</f>
        <v/>
      </c>
    </row>
    <row r="761">
      <c r="A761" s="6" t="n"/>
      <c r="B761" s="113">
        <f>IF($D761="","","T"&amp;TEXT(ROW()-6,"00000"))</f>
        <v/>
      </c>
      <c r="C761" s="113">
        <f>IF($D761="","",IFERROR(INDEX(MUSTERILER!$B$7:$B$106,MATCH($D761,MUSTERILER!$C$7:$C$106,0)),IFERROR(INDEX(MUSTERILER!$B$7:$B$106,MATCH($D761,MUSTERILER!$B$7:$B$106,0)),IFERROR(INDEX(MUSTERILER!$B$7:$B$106,MATCH($D761&amp;"*",MUSTERILER!$C$7:$C$106,0)),"TANIMSIZ MÜŞTERİ"))))</f>
        <v/>
      </c>
      <c r="D761" s="109" t="n"/>
      <c r="E761" s="225" t="n"/>
      <c r="F761" s="226" t="n"/>
      <c r="G761" s="108" t="n"/>
      <c r="H761" s="108" t="n"/>
      <c r="I761" s="109" t="n"/>
      <c r="J761" s="109" t="n"/>
      <c r="K761" s="109" t="n"/>
      <c r="L761" s="231">
        <f>IF($E761="","",DATE(YEAR($E761),MONTH($E761),1))</f>
        <v/>
      </c>
      <c r="M761" s="113">
        <f>IF($D761="","",IF($C761="TANIMSIZ MÜŞTERİ","HATA",IF(OR($E761="",$F761&lt;=0,$G761=""),"EKSİK",IF($E761&gt;TODAY(),"İLERİ TARİH","UYGUN"))))</f>
        <v/>
      </c>
      <c r="N761" s="121">
        <f>IF($C761="","",IF($C761="TANIMSIZ MÜŞTERİ","—",INDEX(MUSTERILER!$C$7:$C$106,MATCH($C761,MUSTERILER!$B$7:$B$106,0))))</f>
        <v/>
      </c>
      <c r="O761" s="6" t="n"/>
      <c r="P761" s="6" t="n"/>
      <c r="Q761" s="3">
        <f>IF($D761="","",$C761&amp;"|"&amp;COUNTIFS($C$7:$C761,$C761))</f>
        <v/>
      </c>
    </row>
    <row r="762">
      <c r="A762" s="6" t="n"/>
      <c r="B762" s="113">
        <f>IF($D762="","","T"&amp;TEXT(ROW()-6,"00000"))</f>
        <v/>
      </c>
      <c r="C762" s="113">
        <f>IF($D762="","",IFERROR(INDEX(MUSTERILER!$B$7:$B$106,MATCH($D762,MUSTERILER!$C$7:$C$106,0)),IFERROR(INDEX(MUSTERILER!$B$7:$B$106,MATCH($D762,MUSTERILER!$B$7:$B$106,0)),IFERROR(INDEX(MUSTERILER!$B$7:$B$106,MATCH($D762&amp;"*",MUSTERILER!$C$7:$C$106,0)),"TANIMSIZ MÜŞTERİ"))))</f>
        <v/>
      </c>
      <c r="D762" s="109" t="n"/>
      <c r="E762" s="225" t="n"/>
      <c r="F762" s="226" t="n"/>
      <c r="G762" s="108" t="n"/>
      <c r="H762" s="108" t="n"/>
      <c r="I762" s="109" t="n"/>
      <c r="J762" s="109" t="n"/>
      <c r="K762" s="109" t="n"/>
      <c r="L762" s="231">
        <f>IF($E762="","",DATE(YEAR($E762),MONTH($E762),1))</f>
        <v/>
      </c>
      <c r="M762" s="113">
        <f>IF($D762="","",IF($C762="TANIMSIZ MÜŞTERİ","HATA",IF(OR($E762="",$F762&lt;=0,$G762=""),"EKSİK",IF($E762&gt;TODAY(),"İLERİ TARİH","UYGUN"))))</f>
        <v/>
      </c>
      <c r="N762" s="121">
        <f>IF($C762="","",IF($C762="TANIMSIZ MÜŞTERİ","—",INDEX(MUSTERILER!$C$7:$C$106,MATCH($C762,MUSTERILER!$B$7:$B$106,0))))</f>
        <v/>
      </c>
      <c r="O762" s="6" t="n"/>
      <c r="P762" s="6" t="n"/>
      <c r="Q762" s="3">
        <f>IF($D762="","",$C762&amp;"|"&amp;COUNTIFS($C$7:$C762,$C762))</f>
        <v/>
      </c>
    </row>
    <row r="763">
      <c r="A763" s="6" t="n"/>
      <c r="B763" s="113">
        <f>IF($D763="","","T"&amp;TEXT(ROW()-6,"00000"))</f>
        <v/>
      </c>
      <c r="C763" s="113">
        <f>IF($D763="","",IFERROR(INDEX(MUSTERILER!$B$7:$B$106,MATCH($D763,MUSTERILER!$C$7:$C$106,0)),IFERROR(INDEX(MUSTERILER!$B$7:$B$106,MATCH($D763,MUSTERILER!$B$7:$B$106,0)),IFERROR(INDEX(MUSTERILER!$B$7:$B$106,MATCH($D763&amp;"*",MUSTERILER!$C$7:$C$106,0)),"TANIMSIZ MÜŞTERİ"))))</f>
        <v/>
      </c>
      <c r="D763" s="109" t="n"/>
      <c r="E763" s="225" t="n"/>
      <c r="F763" s="226" t="n"/>
      <c r="G763" s="108" t="n"/>
      <c r="H763" s="108" t="n"/>
      <c r="I763" s="109" t="n"/>
      <c r="J763" s="109" t="n"/>
      <c r="K763" s="109" t="n"/>
      <c r="L763" s="231">
        <f>IF($E763="","",DATE(YEAR($E763),MONTH($E763),1))</f>
        <v/>
      </c>
      <c r="M763" s="113">
        <f>IF($D763="","",IF($C763="TANIMSIZ MÜŞTERİ","HATA",IF(OR($E763="",$F763&lt;=0,$G763=""),"EKSİK",IF($E763&gt;TODAY(),"İLERİ TARİH","UYGUN"))))</f>
        <v/>
      </c>
      <c r="N763" s="121">
        <f>IF($C763="","",IF($C763="TANIMSIZ MÜŞTERİ","—",INDEX(MUSTERILER!$C$7:$C$106,MATCH($C763,MUSTERILER!$B$7:$B$106,0))))</f>
        <v/>
      </c>
      <c r="O763" s="6" t="n"/>
      <c r="P763" s="6" t="n"/>
      <c r="Q763" s="3">
        <f>IF($D763="","",$C763&amp;"|"&amp;COUNTIFS($C$7:$C763,$C763))</f>
        <v/>
      </c>
    </row>
    <row r="764">
      <c r="A764" s="6" t="n"/>
      <c r="B764" s="113">
        <f>IF($D764="","","T"&amp;TEXT(ROW()-6,"00000"))</f>
        <v/>
      </c>
      <c r="C764" s="113">
        <f>IF($D764="","",IFERROR(INDEX(MUSTERILER!$B$7:$B$106,MATCH($D764,MUSTERILER!$C$7:$C$106,0)),IFERROR(INDEX(MUSTERILER!$B$7:$B$106,MATCH($D764,MUSTERILER!$B$7:$B$106,0)),IFERROR(INDEX(MUSTERILER!$B$7:$B$106,MATCH($D764&amp;"*",MUSTERILER!$C$7:$C$106,0)),"TANIMSIZ MÜŞTERİ"))))</f>
        <v/>
      </c>
      <c r="D764" s="109" t="n"/>
      <c r="E764" s="225" t="n"/>
      <c r="F764" s="226" t="n"/>
      <c r="G764" s="108" t="n"/>
      <c r="H764" s="108" t="n"/>
      <c r="I764" s="109" t="n"/>
      <c r="J764" s="109" t="n"/>
      <c r="K764" s="109" t="n"/>
      <c r="L764" s="231">
        <f>IF($E764="","",DATE(YEAR($E764),MONTH($E764),1))</f>
        <v/>
      </c>
      <c r="M764" s="113">
        <f>IF($D764="","",IF($C764="TANIMSIZ MÜŞTERİ","HATA",IF(OR($E764="",$F764&lt;=0,$G764=""),"EKSİK",IF($E764&gt;TODAY(),"İLERİ TARİH","UYGUN"))))</f>
        <v/>
      </c>
      <c r="N764" s="121">
        <f>IF($C764="","",IF($C764="TANIMSIZ MÜŞTERİ","—",INDEX(MUSTERILER!$C$7:$C$106,MATCH($C764,MUSTERILER!$B$7:$B$106,0))))</f>
        <v/>
      </c>
      <c r="O764" s="6" t="n"/>
      <c r="P764" s="6" t="n"/>
      <c r="Q764" s="3">
        <f>IF($D764="","",$C764&amp;"|"&amp;COUNTIFS($C$7:$C764,$C764))</f>
        <v/>
      </c>
    </row>
    <row r="765">
      <c r="A765" s="6" t="n"/>
      <c r="B765" s="113">
        <f>IF($D765="","","T"&amp;TEXT(ROW()-6,"00000"))</f>
        <v/>
      </c>
      <c r="C765" s="113">
        <f>IF($D765="","",IFERROR(INDEX(MUSTERILER!$B$7:$B$106,MATCH($D765,MUSTERILER!$C$7:$C$106,0)),IFERROR(INDEX(MUSTERILER!$B$7:$B$106,MATCH($D765,MUSTERILER!$B$7:$B$106,0)),IFERROR(INDEX(MUSTERILER!$B$7:$B$106,MATCH($D765&amp;"*",MUSTERILER!$C$7:$C$106,0)),"TANIMSIZ MÜŞTERİ"))))</f>
        <v/>
      </c>
      <c r="D765" s="109" t="n"/>
      <c r="E765" s="225" t="n"/>
      <c r="F765" s="226" t="n"/>
      <c r="G765" s="108" t="n"/>
      <c r="H765" s="108" t="n"/>
      <c r="I765" s="109" t="n"/>
      <c r="J765" s="109" t="n"/>
      <c r="K765" s="109" t="n"/>
      <c r="L765" s="231">
        <f>IF($E765="","",DATE(YEAR($E765),MONTH($E765),1))</f>
        <v/>
      </c>
      <c r="M765" s="113">
        <f>IF($D765="","",IF($C765="TANIMSIZ MÜŞTERİ","HATA",IF(OR($E765="",$F765&lt;=0,$G765=""),"EKSİK",IF($E765&gt;TODAY(),"İLERİ TARİH","UYGUN"))))</f>
        <v/>
      </c>
      <c r="N765" s="121">
        <f>IF($C765="","",IF($C765="TANIMSIZ MÜŞTERİ","—",INDEX(MUSTERILER!$C$7:$C$106,MATCH($C765,MUSTERILER!$B$7:$B$106,0))))</f>
        <v/>
      </c>
      <c r="O765" s="6" t="n"/>
      <c r="P765" s="6" t="n"/>
      <c r="Q765" s="3">
        <f>IF($D765="","",$C765&amp;"|"&amp;COUNTIFS($C$7:$C765,$C765))</f>
        <v/>
      </c>
    </row>
    <row r="766">
      <c r="A766" s="6" t="n"/>
      <c r="B766" s="113">
        <f>IF($D766="","","T"&amp;TEXT(ROW()-6,"00000"))</f>
        <v/>
      </c>
      <c r="C766" s="113">
        <f>IF($D766="","",IFERROR(INDEX(MUSTERILER!$B$7:$B$106,MATCH($D766,MUSTERILER!$C$7:$C$106,0)),IFERROR(INDEX(MUSTERILER!$B$7:$B$106,MATCH($D766,MUSTERILER!$B$7:$B$106,0)),IFERROR(INDEX(MUSTERILER!$B$7:$B$106,MATCH($D766&amp;"*",MUSTERILER!$C$7:$C$106,0)),"TANIMSIZ MÜŞTERİ"))))</f>
        <v/>
      </c>
      <c r="D766" s="109" t="n"/>
      <c r="E766" s="225" t="n"/>
      <c r="F766" s="226" t="n"/>
      <c r="G766" s="108" t="n"/>
      <c r="H766" s="108" t="n"/>
      <c r="I766" s="109" t="n"/>
      <c r="J766" s="109" t="n"/>
      <c r="K766" s="109" t="n"/>
      <c r="L766" s="231">
        <f>IF($E766="","",DATE(YEAR($E766),MONTH($E766),1))</f>
        <v/>
      </c>
      <c r="M766" s="113">
        <f>IF($D766="","",IF($C766="TANIMSIZ MÜŞTERİ","HATA",IF(OR($E766="",$F766&lt;=0,$G766=""),"EKSİK",IF($E766&gt;TODAY(),"İLERİ TARİH","UYGUN"))))</f>
        <v/>
      </c>
      <c r="N766" s="121">
        <f>IF($C766="","",IF($C766="TANIMSIZ MÜŞTERİ","—",INDEX(MUSTERILER!$C$7:$C$106,MATCH($C766,MUSTERILER!$B$7:$B$106,0))))</f>
        <v/>
      </c>
      <c r="O766" s="6" t="n"/>
      <c r="P766" s="6" t="n"/>
      <c r="Q766" s="3">
        <f>IF($D766="","",$C766&amp;"|"&amp;COUNTIFS($C$7:$C766,$C766))</f>
        <v/>
      </c>
    </row>
    <row r="767">
      <c r="A767" s="6" t="n"/>
      <c r="B767" s="113">
        <f>IF($D767="","","T"&amp;TEXT(ROW()-6,"00000"))</f>
        <v/>
      </c>
      <c r="C767" s="113">
        <f>IF($D767="","",IFERROR(INDEX(MUSTERILER!$B$7:$B$106,MATCH($D767,MUSTERILER!$C$7:$C$106,0)),IFERROR(INDEX(MUSTERILER!$B$7:$B$106,MATCH($D767,MUSTERILER!$B$7:$B$106,0)),IFERROR(INDEX(MUSTERILER!$B$7:$B$106,MATCH($D767&amp;"*",MUSTERILER!$C$7:$C$106,0)),"TANIMSIZ MÜŞTERİ"))))</f>
        <v/>
      </c>
      <c r="D767" s="109" t="n"/>
      <c r="E767" s="225" t="n"/>
      <c r="F767" s="226" t="n"/>
      <c r="G767" s="108" t="n"/>
      <c r="H767" s="108" t="n"/>
      <c r="I767" s="109" t="n"/>
      <c r="J767" s="109" t="n"/>
      <c r="K767" s="109" t="n"/>
      <c r="L767" s="231">
        <f>IF($E767="","",DATE(YEAR($E767),MONTH($E767),1))</f>
        <v/>
      </c>
      <c r="M767" s="113">
        <f>IF($D767="","",IF($C767="TANIMSIZ MÜŞTERİ","HATA",IF(OR($E767="",$F767&lt;=0,$G767=""),"EKSİK",IF($E767&gt;TODAY(),"İLERİ TARİH","UYGUN"))))</f>
        <v/>
      </c>
      <c r="N767" s="121">
        <f>IF($C767="","",IF($C767="TANIMSIZ MÜŞTERİ","—",INDEX(MUSTERILER!$C$7:$C$106,MATCH($C767,MUSTERILER!$B$7:$B$106,0))))</f>
        <v/>
      </c>
      <c r="O767" s="6" t="n"/>
      <c r="P767" s="6" t="n"/>
      <c r="Q767" s="3">
        <f>IF($D767="","",$C767&amp;"|"&amp;COUNTIFS($C$7:$C767,$C767))</f>
        <v/>
      </c>
    </row>
    <row r="768">
      <c r="A768" s="6" t="n"/>
      <c r="B768" s="113">
        <f>IF($D768="","","T"&amp;TEXT(ROW()-6,"00000"))</f>
        <v/>
      </c>
      <c r="C768" s="113">
        <f>IF($D768="","",IFERROR(INDEX(MUSTERILER!$B$7:$B$106,MATCH($D768,MUSTERILER!$C$7:$C$106,0)),IFERROR(INDEX(MUSTERILER!$B$7:$B$106,MATCH($D768,MUSTERILER!$B$7:$B$106,0)),IFERROR(INDEX(MUSTERILER!$B$7:$B$106,MATCH($D768&amp;"*",MUSTERILER!$C$7:$C$106,0)),"TANIMSIZ MÜŞTERİ"))))</f>
        <v/>
      </c>
      <c r="D768" s="109" t="n"/>
      <c r="E768" s="225" t="n"/>
      <c r="F768" s="226" t="n"/>
      <c r="G768" s="108" t="n"/>
      <c r="H768" s="108" t="n"/>
      <c r="I768" s="109" t="n"/>
      <c r="J768" s="109" t="n"/>
      <c r="K768" s="109" t="n"/>
      <c r="L768" s="231">
        <f>IF($E768="","",DATE(YEAR($E768),MONTH($E768),1))</f>
        <v/>
      </c>
      <c r="M768" s="113">
        <f>IF($D768="","",IF($C768="TANIMSIZ MÜŞTERİ","HATA",IF(OR($E768="",$F768&lt;=0,$G768=""),"EKSİK",IF($E768&gt;TODAY(),"İLERİ TARİH","UYGUN"))))</f>
        <v/>
      </c>
      <c r="N768" s="121">
        <f>IF($C768="","",IF($C768="TANIMSIZ MÜŞTERİ","—",INDEX(MUSTERILER!$C$7:$C$106,MATCH($C768,MUSTERILER!$B$7:$B$106,0))))</f>
        <v/>
      </c>
      <c r="O768" s="6" t="n"/>
      <c r="P768" s="6" t="n"/>
      <c r="Q768" s="3">
        <f>IF($D768="","",$C768&amp;"|"&amp;COUNTIFS($C$7:$C768,$C768))</f>
        <v/>
      </c>
    </row>
    <row r="769">
      <c r="A769" s="6" t="n"/>
      <c r="B769" s="113">
        <f>IF($D769="","","T"&amp;TEXT(ROW()-6,"00000"))</f>
        <v/>
      </c>
      <c r="C769" s="113">
        <f>IF($D769="","",IFERROR(INDEX(MUSTERILER!$B$7:$B$106,MATCH($D769,MUSTERILER!$C$7:$C$106,0)),IFERROR(INDEX(MUSTERILER!$B$7:$B$106,MATCH($D769,MUSTERILER!$B$7:$B$106,0)),IFERROR(INDEX(MUSTERILER!$B$7:$B$106,MATCH($D769&amp;"*",MUSTERILER!$C$7:$C$106,0)),"TANIMSIZ MÜŞTERİ"))))</f>
        <v/>
      </c>
      <c r="D769" s="109" t="n"/>
      <c r="E769" s="225" t="n"/>
      <c r="F769" s="226" t="n"/>
      <c r="G769" s="108" t="n"/>
      <c r="H769" s="108" t="n"/>
      <c r="I769" s="109" t="n"/>
      <c r="J769" s="109" t="n"/>
      <c r="K769" s="109" t="n"/>
      <c r="L769" s="231">
        <f>IF($E769="","",DATE(YEAR($E769),MONTH($E769),1))</f>
        <v/>
      </c>
      <c r="M769" s="113">
        <f>IF($D769="","",IF($C769="TANIMSIZ MÜŞTERİ","HATA",IF(OR($E769="",$F769&lt;=0,$G769=""),"EKSİK",IF($E769&gt;TODAY(),"İLERİ TARİH","UYGUN"))))</f>
        <v/>
      </c>
      <c r="N769" s="121">
        <f>IF($C769="","",IF($C769="TANIMSIZ MÜŞTERİ","—",INDEX(MUSTERILER!$C$7:$C$106,MATCH($C769,MUSTERILER!$B$7:$B$106,0))))</f>
        <v/>
      </c>
      <c r="O769" s="6" t="n"/>
      <c r="P769" s="6" t="n"/>
      <c r="Q769" s="3">
        <f>IF($D769="","",$C769&amp;"|"&amp;COUNTIFS($C$7:$C769,$C769))</f>
        <v/>
      </c>
    </row>
    <row r="770">
      <c r="A770" s="6" t="n"/>
      <c r="B770" s="113">
        <f>IF($D770="","","T"&amp;TEXT(ROW()-6,"00000"))</f>
        <v/>
      </c>
      <c r="C770" s="113">
        <f>IF($D770="","",IFERROR(INDEX(MUSTERILER!$B$7:$B$106,MATCH($D770,MUSTERILER!$C$7:$C$106,0)),IFERROR(INDEX(MUSTERILER!$B$7:$B$106,MATCH($D770,MUSTERILER!$B$7:$B$106,0)),IFERROR(INDEX(MUSTERILER!$B$7:$B$106,MATCH($D770&amp;"*",MUSTERILER!$C$7:$C$106,0)),"TANIMSIZ MÜŞTERİ"))))</f>
        <v/>
      </c>
      <c r="D770" s="109" t="n"/>
      <c r="E770" s="225" t="n"/>
      <c r="F770" s="226" t="n"/>
      <c r="G770" s="108" t="n"/>
      <c r="H770" s="108" t="n"/>
      <c r="I770" s="109" t="n"/>
      <c r="J770" s="109" t="n"/>
      <c r="K770" s="109" t="n"/>
      <c r="L770" s="231">
        <f>IF($E770="","",DATE(YEAR($E770),MONTH($E770),1))</f>
        <v/>
      </c>
      <c r="M770" s="113">
        <f>IF($D770="","",IF($C770="TANIMSIZ MÜŞTERİ","HATA",IF(OR($E770="",$F770&lt;=0,$G770=""),"EKSİK",IF($E770&gt;TODAY(),"İLERİ TARİH","UYGUN"))))</f>
        <v/>
      </c>
      <c r="N770" s="121">
        <f>IF($C770="","",IF($C770="TANIMSIZ MÜŞTERİ","—",INDEX(MUSTERILER!$C$7:$C$106,MATCH($C770,MUSTERILER!$B$7:$B$106,0))))</f>
        <v/>
      </c>
      <c r="O770" s="6" t="n"/>
      <c r="P770" s="6" t="n"/>
      <c r="Q770" s="3">
        <f>IF($D770="","",$C770&amp;"|"&amp;COUNTIFS($C$7:$C770,$C770))</f>
        <v/>
      </c>
    </row>
    <row r="771">
      <c r="A771" s="6" t="n"/>
      <c r="B771" s="113">
        <f>IF($D771="","","T"&amp;TEXT(ROW()-6,"00000"))</f>
        <v/>
      </c>
      <c r="C771" s="113">
        <f>IF($D771="","",IFERROR(INDEX(MUSTERILER!$B$7:$B$106,MATCH($D771,MUSTERILER!$C$7:$C$106,0)),IFERROR(INDEX(MUSTERILER!$B$7:$B$106,MATCH($D771,MUSTERILER!$B$7:$B$106,0)),IFERROR(INDEX(MUSTERILER!$B$7:$B$106,MATCH($D771&amp;"*",MUSTERILER!$C$7:$C$106,0)),"TANIMSIZ MÜŞTERİ"))))</f>
        <v/>
      </c>
      <c r="D771" s="109" t="n"/>
      <c r="E771" s="225" t="n"/>
      <c r="F771" s="226" t="n"/>
      <c r="G771" s="108" t="n"/>
      <c r="H771" s="108" t="n"/>
      <c r="I771" s="109" t="n"/>
      <c r="J771" s="109" t="n"/>
      <c r="K771" s="109" t="n"/>
      <c r="L771" s="231">
        <f>IF($E771="","",DATE(YEAR($E771),MONTH($E771),1))</f>
        <v/>
      </c>
      <c r="M771" s="113">
        <f>IF($D771="","",IF($C771="TANIMSIZ MÜŞTERİ","HATA",IF(OR($E771="",$F771&lt;=0,$G771=""),"EKSİK",IF($E771&gt;TODAY(),"İLERİ TARİH","UYGUN"))))</f>
        <v/>
      </c>
      <c r="N771" s="121">
        <f>IF($C771="","",IF($C771="TANIMSIZ MÜŞTERİ","—",INDEX(MUSTERILER!$C$7:$C$106,MATCH($C771,MUSTERILER!$B$7:$B$106,0))))</f>
        <v/>
      </c>
      <c r="O771" s="6" t="n"/>
      <c r="P771" s="6" t="n"/>
      <c r="Q771" s="3">
        <f>IF($D771="","",$C771&amp;"|"&amp;COUNTIFS($C$7:$C771,$C771))</f>
        <v/>
      </c>
    </row>
    <row r="772">
      <c r="A772" s="6" t="n"/>
      <c r="B772" s="113">
        <f>IF($D772="","","T"&amp;TEXT(ROW()-6,"00000"))</f>
        <v/>
      </c>
      <c r="C772" s="113">
        <f>IF($D772="","",IFERROR(INDEX(MUSTERILER!$B$7:$B$106,MATCH($D772,MUSTERILER!$C$7:$C$106,0)),IFERROR(INDEX(MUSTERILER!$B$7:$B$106,MATCH($D772,MUSTERILER!$B$7:$B$106,0)),IFERROR(INDEX(MUSTERILER!$B$7:$B$106,MATCH($D772&amp;"*",MUSTERILER!$C$7:$C$106,0)),"TANIMSIZ MÜŞTERİ"))))</f>
        <v/>
      </c>
      <c r="D772" s="109" t="n"/>
      <c r="E772" s="225" t="n"/>
      <c r="F772" s="226" t="n"/>
      <c r="G772" s="108" t="n"/>
      <c r="H772" s="108" t="n"/>
      <c r="I772" s="109" t="n"/>
      <c r="J772" s="109" t="n"/>
      <c r="K772" s="109" t="n"/>
      <c r="L772" s="231">
        <f>IF($E772="","",DATE(YEAR($E772),MONTH($E772),1))</f>
        <v/>
      </c>
      <c r="M772" s="113">
        <f>IF($D772="","",IF($C772="TANIMSIZ MÜŞTERİ","HATA",IF(OR($E772="",$F772&lt;=0,$G772=""),"EKSİK",IF($E772&gt;TODAY(),"İLERİ TARİH","UYGUN"))))</f>
        <v/>
      </c>
      <c r="N772" s="121">
        <f>IF($C772="","",IF($C772="TANIMSIZ MÜŞTERİ","—",INDEX(MUSTERILER!$C$7:$C$106,MATCH($C772,MUSTERILER!$B$7:$B$106,0))))</f>
        <v/>
      </c>
      <c r="O772" s="6" t="n"/>
      <c r="P772" s="6" t="n"/>
      <c r="Q772" s="3">
        <f>IF($D772="","",$C772&amp;"|"&amp;COUNTIFS($C$7:$C772,$C772))</f>
        <v/>
      </c>
    </row>
    <row r="773">
      <c r="A773" s="6" t="n"/>
      <c r="B773" s="113">
        <f>IF($D773="","","T"&amp;TEXT(ROW()-6,"00000"))</f>
        <v/>
      </c>
      <c r="C773" s="113">
        <f>IF($D773="","",IFERROR(INDEX(MUSTERILER!$B$7:$B$106,MATCH($D773,MUSTERILER!$C$7:$C$106,0)),IFERROR(INDEX(MUSTERILER!$B$7:$B$106,MATCH($D773,MUSTERILER!$B$7:$B$106,0)),IFERROR(INDEX(MUSTERILER!$B$7:$B$106,MATCH($D773&amp;"*",MUSTERILER!$C$7:$C$106,0)),"TANIMSIZ MÜŞTERİ"))))</f>
        <v/>
      </c>
      <c r="D773" s="109" t="n"/>
      <c r="E773" s="225" t="n"/>
      <c r="F773" s="226" t="n"/>
      <c r="G773" s="108" t="n"/>
      <c r="H773" s="108" t="n"/>
      <c r="I773" s="109" t="n"/>
      <c r="J773" s="109" t="n"/>
      <c r="K773" s="109" t="n"/>
      <c r="L773" s="231">
        <f>IF($E773="","",DATE(YEAR($E773),MONTH($E773),1))</f>
        <v/>
      </c>
      <c r="M773" s="113">
        <f>IF($D773="","",IF($C773="TANIMSIZ MÜŞTERİ","HATA",IF(OR($E773="",$F773&lt;=0,$G773=""),"EKSİK",IF($E773&gt;TODAY(),"İLERİ TARİH","UYGUN"))))</f>
        <v/>
      </c>
      <c r="N773" s="121">
        <f>IF($C773="","",IF($C773="TANIMSIZ MÜŞTERİ","—",INDEX(MUSTERILER!$C$7:$C$106,MATCH($C773,MUSTERILER!$B$7:$B$106,0))))</f>
        <v/>
      </c>
      <c r="O773" s="6" t="n"/>
      <c r="P773" s="6" t="n"/>
      <c r="Q773" s="3">
        <f>IF($D773="","",$C773&amp;"|"&amp;COUNTIFS($C$7:$C773,$C773))</f>
        <v/>
      </c>
    </row>
    <row r="774">
      <c r="A774" s="6" t="n"/>
      <c r="B774" s="113">
        <f>IF($D774="","","T"&amp;TEXT(ROW()-6,"00000"))</f>
        <v/>
      </c>
      <c r="C774" s="113">
        <f>IF($D774="","",IFERROR(INDEX(MUSTERILER!$B$7:$B$106,MATCH($D774,MUSTERILER!$C$7:$C$106,0)),IFERROR(INDEX(MUSTERILER!$B$7:$B$106,MATCH($D774,MUSTERILER!$B$7:$B$106,0)),IFERROR(INDEX(MUSTERILER!$B$7:$B$106,MATCH($D774&amp;"*",MUSTERILER!$C$7:$C$106,0)),"TANIMSIZ MÜŞTERİ"))))</f>
        <v/>
      </c>
      <c r="D774" s="109" t="n"/>
      <c r="E774" s="225" t="n"/>
      <c r="F774" s="226" t="n"/>
      <c r="G774" s="108" t="n"/>
      <c r="H774" s="108" t="n"/>
      <c r="I774" s="109" t="n"/>
      <c r="J774" s="109" t="n"/>
      <c r="K774" s="109" t="n"/>
      <c r="L774" s="231">
        <f>IF($E774="","",DATE(YEAR($E774),MONTH($E774),1))</f>
        <v/>
      </c>
      <c r="M774" s="113">
        <f>IF($D774="","",IF($C774="TANIMSIZ MÜŞTERİ","HATA",IF(OR($E774="",$F774&lt;=0,$G774=""),"EKSİK",IF($E774&gt;TODAY(),"İLERİ TARİH","UYGUN"))))</f>
        <v/>
      </c>
      <c r="N774" s="121">
        <f>IF($C774="","",IF($C774="TANIMSIZ MÜŞTERİ","—",INDEX(MUSTERILER!$C$7:$C$106,MATCH($C774,MUSTERILER!$B$7:$B$106,0))))</f>
        <v/>
      </c>
      <c r="O774" s="6" t="n"/>
      <c r="P774" s="6" t="n"/>
      <c r="Q774" s="3">
        <f>IF($D774="","",$C774&amp;"|"&amp;COUNTIFS($C$7:$C774,$C774))</f>
        <v/>
      </c>
    </row>
    <row r="775">
      <c r="A775" s="6" t="n"/>
      <c r="B775" s="113">
        <f>IF($D775="","","T"&amp;TEXT(ROW()-6,"00000"))</f>
        <v/>
      </c>
      <c r="C775" s="113">
        <f>IF($D775="","",IFERROR(INDEX(MUSTERILER!$B$7:$B$106,MATCH($D775,MUSTERILER!$C$7:$C$106,0)),IFERROR(INDEX(MUSTERILER!$B$7:$B$106,MATCH($D775,MUSTERILER!$B$7:$B$106,0)),IFERROR(INDEX(MUSTERILER!$B$7:$B$106,MATCH($D775&amp;"*",MUSTERILER!$C$7:$C$106,0)),"TANIMSIZ MÜŞTERİ"))))</f>
        <v/>
      </c>
      <c r="D775" s="109" t="n"/>
      <c r="E775" s="225" t="n"/>
      <c r="F775" s="226" t="n"/>
      <c r="G775" s="108" t="n"/>
      <c r="H775" s="108" t="n"/>
      <c r="I775" s="109" t="n"/>
      <c r="J775" s="109" t="n"/>
      <c r="K775" s="109" t="n"/>
      <c r="L775" s="231">
        <f>IF($E775="","",DATE(YEAR($E775),MONTH($E775),1))</f>
        <v/>
      </c>
      <c r="M775" s="113">
        <f>IF($D775="","",IF($C775="TANIMSIZ MÜŞTERİ","HATA",IF(OR($E775="",$F775&lt;=0,$G775=""),"EKSİK",IF($E775&gt;TODAY(),"İLERİ TARİH","UYGUN"))))</f>
        <v/>
      </c>
      <c r="N775" s="121">
        <f>IF($C775="","",IF($C775="TANIMSIZ MÜŞTERİ","—",INDEX(MUSTERILER!$C$7:$C$106,MATCH($C775,MUSTERILER!$B$7:$B$106,0))))</f>
        <v/>
      </c>
      <c r="O775" s="6" t="n"/>
      <c r="P775" s="6" t="n"/>
      <c r="Q775" s="3">
        <f>IF($D775="","",$C775&amp;"|"&amp;COUNTIFS($C$7:$C775,$C775))</f>
        <v/>
      </c>
    </row>
    <row r="776">
      <c r="A776" s="6" t="n"/>
      <c r="B776" s="113">
        <f>IF($D776="","","T"&amp;TEXT(ROW()-6,"00000"))</f>
        <v/>
      </c>
      <c r="C776" s="113">
        <f>IF($D776="","",IFERROR(INDEX(MUSTERILER!$B$7:$B$106,MATCH($D776,MUSTERILER!$C$7:$C$106,0)),IFERROR(INDEX(MUSTERILER!$B$7:$B$106,MATCH($D776,MUSTERILER!$B$7:$B$106,0)),IFERROR(INDEX(MUSTERILER!$B$7:$B$106,MATCH($D776&amp;"*",MUSTERILER!$C$7:$C$106,0)),"TANIMSIZ MÜŞTERİ"))))</f>
        <v/>
      </c>
      <c r="D776" s="109" t="n"/>
      <c r="E776" s="225" t="n"/>
      <c r="F776" s="226" t="n"/>
      <c r="G776" s="108" t="n"/>
      <c r="H776" s="108" t="n"/>
      <c r="I776" s="109" t="n"/>
      <c r="J776" s="109" t="n"/>
      <c r="K776" s="109" t="n"/>
      <c r="L776" s="231">
        <f>IF($E776="","",DATE(YEAR($E776),MONTH($E776),1))</f>
        <v/>
      </c>
      <c r="M776" s="113">
        <f>IF($D776="","",IF($C776="TANIMSIZ MÜŞTERİ","HATA",IF(OR($E776="",$F776&lt;=0,$G776=""),"EKSİK",IF($E776&gt;TODAY(),"İLERİ TARİH","UYGUN"))))</f>
        <v/>
      </c>
      <c r="N776" s="121">
        <f>IF($C776="","",IF($C776="TANIMSIZ MÜŞTERİ","—",INDEX(MUSTERILER!$C$7:$C$106,MATCH($C776,MUSTERILER!$B$7:$B$106,0))))</f>
        <v/>
      </c>
      <c r="O776" s="6" t="n"/>
      <c r="P776" s="6" t="n"/>
      <c r="Q776" s="3">
        <f>IF($D776="","",$C776&amp;"|"&amp;COUNTIFS($C$7:$C776,$C776))</f>
        <v/>
      </c>
    </row>
    <row r="777">
      <c r="A777" s="6" t="n"/>
      <c r="B777" s="113">
        <f>IF($D777="","","T"&amp;TEXT(ROW()-6,"00000"))</f>
        <v/>
      </c>
      <c r="C777" s="113">
        <f>IF($D777="","",IFERROR(INDEX(MUSTERILER!$B$7:$B$106,MATCH($D777,MUSTERILER!$C$7:$C$106,0)),IFERROR(INDEX(MUSTERILER!$B$7:$B$106,MATCH($D777,MUSTERILER!$B$7:$B$106,0)),IFERROR(INDEX(MUSTERILER!$B$7:$B$106,MATCH($D777&amp;"*",MUSTERILER!$C$7:$C$106,0)),"TANIMSIZ MÜŞTERİ"))))</f>
        <v/>
      </c>
      <c r="D777" s="109" t="n"/>
      <c r="E777" s="225" t="n"/>
      <c r="F777" s="226" t="n"/>
      <c r="G777" s="108" t="n"/>
      <c r="H777" s="108" t="n"/>
      <c r="I777" s="109" t="n"/>
      <c r="J777" s="109" t="n"/>
      <c r="K777" s="109" t="n"/>
      <c r="L777" s="231">
        <f>IF($E777="","",DATE(YEAR($E777),MONTH($E777),1))</f>
        <v/>
      </c>
      <c r="M777" s="113">
        <f>IF($D777="","",IF($C777="TANIMSIZ MÜŞTERİ","HATA",IF(OR($E777="",$F777&lt;=0,$G777=""),"EKSİK",IF($E777&gt;TODAY(),"İLERİ TARİH","UYGUN"))))</f>
        <v/>
      </c>
      <c r="N777" s="121">
        <f>IF($C777="","",IF($C777="TANIMSIZ MÜŞTERİ","—",INDEX(MUSTERILER!$C$7:$C$106,MATCH($C777,MUSTERILER!$B$7:$B$106,0))))</f>
        <v/>
      </c>
      <c r="O777" s="6" t="n"/>
      <c r="P777" s="6" t="n"/>
      <c r="Q777" s="3">
        <f>IF($D777="","",$C777&amp;"|"&amp;COUNTIFS($C$7:$C777,$C777))</f>
        <v/>
      </c>
    </row>
    <row r="778">
      <c r="A778" s="6" t="n"/>
      <c r="B778" s="113">
        <f>IF($D778="","","T"&amp;TEXT(ROW()-6,"00000"))</f>
        <v/>
      </c>
      <c r="C778" s="113">
        <f>IF($D778="","",IFERROR(INDEX(MUSTERILER!$B$7:$B$106,MATCH($D778,MUSTERILER!$C$7:$C$106,0)),IFERROR(INDEX(MUSTERILER!$B$7:$B$106,MATCH($D778,MUSTERILER!$B$7:$B$106,0)),IFERROR(INDEX(MUSTERILER!$B$7:$B$106,MATCH($D778&amp;"*",MUSTERILER!$C$7:$C$106,0)),"TANIMSIZ MÜŞTERİ"))))</f>
        <v/>
      </c>
      <c r="D778" s="109" t="n"/>
      <c r="E778" s="225" t="n"/>
      <c r="F778" s="226" t="n"/>
      <c r="G778" s="108" t="n"/>
      <c r="H778" s="108" t="n"/>
      <c r="I778" s="109" t="n"/>
      <c r="J778" s="109" t="n"/>
      <c r="K778" s="109" t="n"/>
      <c r="L778" s="231">
        <f>IF($E778="","",DATE(YEAR($E778),MONTH($E778),1))</f>
        <v/>
      </c>
      <c r="M778" s="113">
        <f>IF($D778="","",IF($C778="TANIMSIZ MÜŞTERİ","HATA",IF(OR($E778="",$F778&lt;=0,$G778=""),"EKSİK",IF($E778&gt;TODAY(),"İLERİ TARİH","UYGUN"))))</f>
        <v/>
      </c>
      <c r="N778" s="121">
        <f>IF($C778="","",IF($C778="TANIMSIZ MÜŞTERİ","—",INDEX(MUSTERILER!$C$7:$C$106,MATCH($C778,MUSTERILER!$B$7:$B$106,0))))</f>
        <v/>
      </c>
      <c r="O778" s="6" t="n"/>
      <c r="P778" s="6" t="n"/>
      <c r="Q778" s="3">
        <f>IF($D778="","",$C778&amp;"|"&amp;COUNTIFS($C$7:$C778,$C778))</f>
        <v/>
      </c>
    </row>
    <row r="779">
      <c r="A779" s="6" t="n"/>
      <c r="B779" s="113">
        <f>IF($D779="","","T"&amp;TEXT(ROW()-6,"00000"))</f>
        <v/>
      </c>
      <c r="C779" s="113">
        <f>IF($D779="","",IFERROR(INDEX(MUSTERILER!$B$7:$B$106,MATCH($D779,MUSTERILER!$C$7:$C$106,0)),IFERROR(INDEX(MUSTERILER!$B$7:$B$106,MATCH($D779,MUSTERILER!$B$7:$B$106,0)),IFERROR(INDEX(MUSTERILER!$B$7:$B$106,MATCH($D779&amp;"*",MUSTERILER!$C$7:$C$106,0)),"TANIMSIZ MÜŞTERİ"))))</f>
        <v/>
      </c>
      <c r="D779" s="109" t="n"/>
      <c r="E779" s="225" t="n"/>
      <c r="F779" s="226" t="n"/>
      <c r="G779" s="108" t="n"/>
      <c r="H779" s="108" t="n"/>
      <c r="I779" s="109" t="n"/>
      <c r="J779" s="109" t="n"/>
      <c r="K779" s="109" t="n"/>
      <c r="L779" s="231">
        <f>IF($E779="","",DATE(YEAR($E779),MONTH($E779),1))</f>
        <v/>
      </c>
      <c r="M779" s="113">
        <f>IF($D779="","",IF($C779="TANIMSIZ MÜŞTERİ","HATA",IF(OR($E779="",$F779&lt;=0,$G779=""),"EKSİK",IF($E779&gt;TODAY(),"İLERİ TARİH","UYGUN"))))</f>
        <v/>
      </c>
      <c r="N779" s="121">
        <f>IF($C779="","",IF($C779="TANIMSIZ MÜŞTERİ","—",INDEX(MUSTERILER!$C$7:$C$106,MATCH($C779,MUSTERILER!$B$7:$B$106,0))))</f>
        <v/>
      </c>
      <c r="O779" s="6" t="n"/>
      <c r="P779" s="6" t="n"/>
      <c r="Q779" s="3">
        <f>IF($D779="","",$C779&amp;"|"&amp;COUNTIFS($C$7:$C779,$C779))</f>
        <v/>
      </c>
    </row>
    <row r="780">
      <c r="A780" s="6" t="n"/>
      <c r="B780" s="113">
        <f>IF($D780="","","T"&amp;TEXT(ROW()-6,"00000"))</f>
        <v/>
      </c>
      <c r="C780" s="113">
        <f>IF($D780="","",IFERROR(INDEX(MUSTERILER!$B$7:$B$106,MATCH($D780,MUSTERILER!$C$7:$C$106,0)),IFERROR(INDEX(MUSTERILER!$B$7:$B$106,MATCH($D780,MUSTERILER!$B$7:$B$106,0)),IFERROR(INDEX(MUSTERILER!$B$7:$B$106,MATCH($D780&amp;"*",MUSTERILER!$C$7:$C$106,0)),"TANIMSIZ MÜŞTERİ"))))</f>
        <v/>
      </c>
      <c r="D780" s="109" t="n"/>
      <c r="E780" s="225" t="n"/>
      <c r="F780" s="226" t="n"/>
      <c r="G780" s="108" t="n"/>
      <c r="H780" s="108" t="n"/>
      <c r="I780" s="109" t="n"/>
      <c r="J780" s="109" t="n"/>
      <c r="K780" s="109" t="n"/>
      <c r="L780" s="231">
        <f>IF($E780="","",DATE(YEAR($E780),MONTH($E780),1))</f>
        <v/>
      </c>
      <c r="M780" s="113">
        <f>IF($D780="","",IF($C780="TANIMSIZ MÜŞTERİ","HATA",IF(OR($E780="",$F780&lt;=0,$G780=""),"EKSİK",IF($E780&gt;TODAY(),"İLERİ TARİH","UYGUN"))))</f>
        <v/>
      </c>
      <c r="N780" s="121">
        <f>IF($C780="","",IF($C780="TANIMSIZ MÜŞTERİ","—",INDEX(MUSTERILER!$C$7:$C$106,MATCH($C780,MUSTERILER!$B$7:$B$106,0))))</f>
        <v/>
      </c>
      <c r="O780" s="6" t="n"/>
      <c r="P780" s="6" t="n"/>
      <c r="Q780" s="3">
        <f>IF($D780="","",$C780&amp;"|"&amp;COUNTIFS($C$7:$C780,$C780))</f>
        <v/>
      </c>
    </row>
    <row r="781">
      <c r="A781" s="6" t="n"/>
      <c r="B781" s="113">
        <f>IF($D781="","","T"&amp;TEXT(ROW()-6,"00000"))</f>
        <v/>
      </c>
      <c r="C781" s="113">
        <f>IF($D781="","",IFERROR(INDEX(MUSTERILER!$B$7:$B$106,MATCH($D781,MUSTERILER!$C$7:$C$106,0)),IFERROR(INDEX(MUSTERILER!$B$7:$B$106,MATCH($D781,MUSTERILER!$B$7:$B$106,0)),IFERROR(INDEX(MUSTERILER!$B$7:$B$106,MATCH($D781&amp;"*",MUSTERILER!$C$7:$C$106,0)),"TANIMSIZ MÜŞTERİ"))))</f>
        <v/>
      </c>
      <c r="D781" s="109" t="n"/>
      <c r="E781" s="225" t="n"/>
      <c r="F781" s="226" t="n"/>
      <c r="G781" s="108" t="n"/>
      <c r="H781" s="108" t="n"/>
      <c r="I781" s="109" t="n"/>
      <c r="J781" s="109" t="n"/>
      <c r="K781" s="109" t="n"/>
      <c r="L781" s="231">
        <f>IF($E781="","",DATE(YEAR($E781),MONTH($E781),1))</f>
        <v/>
      </c>
      <c r="M781" s="113">
        <f>IF($D781="","",IF($C781="TANIMSIZ MÜŞTERİ","HATA",IF(OR($E781="",$F781&lt;=0,$G781=""),"EKSİK",IF($E781&gt;TODAY(),"İLERİ TARİH","UYGUN"))))</f>
        <v/>
      </c>
      <c r="N781" s="121">
        <f>IF($C781="","",IF($C781="TANIMSIZ MÜŞTERİ","—",INDEX(MUSTERILER!$C$7:$C$106,MATCH($C781,MUSTERILER!$B$7:$B$106,0))))</f>
        <v/>
      </c>
      <c r="O781" s="6" t="n"/>
      <c r="P781" s="6" t="n"/>
      <c r="Q781" s="3">
        <f>IF($D781="","",$C781&amp;"|"&amp;COUNTIFS($C$7:$C781,$C781))</f>
        <v/>
      </c>
    </row>
    <row r="782">
      <c r="A782" s="6" t="n"/>
      <c r="B782" s="113">
        <f>IF($D782="","","T"&amp;TEXT(ROW()-6,"00000"))</f>
        <v/>
      </c>
      <c r="C782" s="113">
        <f>IF($D782="","",IFERROR(INDEX(MUSTERILER!$B$7:$B$106,MATCH($D782,MUSTERILER!$C$7:$C$106,0)),IFERROR(INDEX(MUSTERILER!$B$7:$B$106,MATCH($D782,MUSTERILER!$B$7:$B$106,0)),IFERROR(INDEX(MUSTERILER!$B$7:$B$106,MATCH($D782&amp;"*",MUSTERILER!$C$7:$C$106,0)),"TANIMSIZ MÜŞTERİ"))))</f>
        <v/>
      </c>
      <c r="D782" s="109" t="n"/>
      <c r="E782" s="225" t="n"/>
      <c r="F782" s="226" t="n"/>
      <c r="G782" s="108" t="n"/>
      <c r="H782" s="108" t="n"/>
      <c r="I782" s="109" t="n"/>
      <c r="J782" s="109" t="n"/>
      <c r="K782" s="109" t="n"/>
      <c r="L782" s="231">
        <f>IF($E782="","",DATE(YEAR($E782),MONTH($E782),1))</f>
        <v/>
      </c>
      <c r="M782" s="113">
        <f>IF($D782="","",IF($C782="TANIMSIZ MÜŞTERİ","HATA",IF(OR($E782="",$F782&lt;=0,$G782=""),"EKSİK",IF($E782&gt;TODAY(),"İLERİ TARİH","UYGUN"))))</f>
        <v/>
      </c>
      <c r="N782" s="121">
        <f>IF($C782="","",IF($C782="TANIMSIZ MÜŞTERİ","—",INDEX(MUSTERILER!$C$7:$C$106,MATCH($C782,MUSTERILER!$B$7:$B$106,0))))</f>
        <v/>
      </c>
      <c r="O782" s="6" t="n"/>
      <c r="P782" s="6" t="n"/>
      <c r="Q782" s="3">
        <f>IF($D782="","",$C782&amp;"|"&amp;COUNTIFS($C$7:$C782,$C782))</f>
        <v/>
      </c>
    </row>
    <row r="783">
      <c r="A783" s="6" t="n"/>
      <c r="B783" s="113">
        <f>IF($D783="","","T"&amp;TEXT(ROW()-6,"00000"))</f>
        <v/>
      </c>
      <c r="C783" s="113">
        <f>IF($D783="","",IFERROR(INDEX(MUSTERILER!$B$7:$B$106,MATCH($D783,MUSTERILER!$C$7:$C$106,0)),IFERROR(INDEX(MUSTERILER!$B$7:$B$106,MATCH($D783,MUSTERILER!$B$7:$B$106,0)),IFERROR(INDEX(MUSTERILER!$B$7:$B$106,MATCH($D783&amp;"*",MUSTERILER!$C$7:$C$106,0)),"TANIMSIZ MÜŞTERİ"))))</f>
        <v/>
      </c>
      <c r="D783" s="109" t="n"/>
      <c r="E783" s="225" t="n"/>
      <c r="F783" s="226" t="n"/>
      <c r="G783" s="108" t="n"/>
      <c r="H783" s="108" t="n"/>
      <c r="I783" s="109" t="n"/>
      <c r="J783" s="109" t="n"/>
      <c r="K783" s="109" t="n"/>
      <c r="L783" s="231">
        <f>IF($E783="","",DATE(YEAR($E783),MONTH($E783),1))</f>
        <v/>
      </c>
      <c r="M783" s="113">
        <f>IF($D783="","",IF($C783="TANIMSIZ MÜŞTERİ","HATA",IF(OR($E783="",$F783&lt;=0,$G783=""),"EKSİK",IF($E783&gt;TODAY(),"İLERİ TARİH","UYGUN"))))</f>
        <v/>
      </c>
      <c r="N783" s="121">
        <f>IF($C783="","",IF($C783="TANIMSIZ MÜŞTERİ","—",INDEX(MUSTERILER!$C$7:$C$106,MATCH($C783,MUSTERILER!$B$7:$B$106,0))))</f>
        <v/>
      </c>
      <c r="O783" s="6" t="n"/>
      <c r="P783" s="6" t="n"/>
      <c r="Q783" s="3">
        <f>IF($D783="","",$C783&amp;"|"&amp;COUNTIFS($C$7:$C783,$C783))</f>
        <v/>
      </c>
    </row>
    <row r="784">
      <c r="A784" s="6" t="n"/>
      <c r="B784" s="113">
        <f>IF($D784="","","T"&amp;TEXT(ROW()-6,"00000"))</f>
        <v/>
      </c>
      <c r="C784" s="113">
        <f>IF($D784="","",IFERROR(INDEX(MUSTERILER!$B$7:$B$106,MATCH($D784,MUSTERILER!$C$7:$C$106,0)),IFERROR(INDEX(MUSTERILER!$B$7:$B$106,MATCH($D784,MUSTERILER!$B$7:$B$106,0)),IFERROR(INDEX(MUSTERILER!$B$7:$B$106,MATCH($D784&amp;"*",MUSTERILER!$C$7:$C$106,0)),"TANIMSIZ MÜŞTERİ"))))</f>
        <v/>
      </c>
      <c r="D784" s="109" t="n"/>
      <c r="E784" s="225" t="n"/>
      <c r="F784" s="226" t="n"/>
      <c r="G784" s="108" t="n"/>
      <c r="H784" s="108" t="n"/>
      <c r="I784" s="109" t="n"/>
      <c r="J784" s="109" t="n"/>
      <c r="K784" s="109" t="n"/>
      <c r="L784" s="231">
        <f>IF($E784="","",DATE(YEAR($E784),MONTH($E784),1))</f>
        <v/>
      </c>
      <c r="M784" s="113">
        <f>IF($D784="","",IF($C784="TANIMSIZ MÜŞTERİ","HATA",IF(OR($E784="",$F784&lt;=0,$G784=""),"EKSİK",IF($E784&gt;TODAY(),"İLERİ TARİH","UYGUN"))))</f>
        <v/>
      </c>
      <c r="N784" s="121">
        <f>IF($C784="","",IF($C784="TANIMSIZ MÜŞTERİ","—",INDEX(MUSTERILER!$C$7:$C$106,MATCH($C784,MUSTERILER!$B$7:$B$106,0))))</f>
        <v/>
      </c>
      <c r="O784" s="6" t="n"/>
      <c r="P784" s="6" t="n"/>
      <c r="Q784" s="3">
        <f>IF($D784="","",$C784&amp;"|"&amp;COUNTIFS($C$7:$C784,$C784))</f>
        <v/>
      </c>
    </row>
    <row r="785">
      <c r="A785" s="6" t="n"/>
      <c r="B785" s="113">
        <f>IF($D785="","","T"&amp;TEXT(ROW()-6,"00000"))</f>
        <v/>
      </c>
      <c r="C785" s="113">
        <f>IF($D785="","",IFERROR(INDEX(MUSTERILER!$B$7:$B$106,MATCH($D785,MUSTERILER!$C$7:$C$106,0)),IFERROR(INDEX(MUSTERILER!$B$7:$B$106,MATCH($D785,MUSTERILER!$B$7:$B$106,0)),IFERROR(INDEX(MUSTERILER!$B$7:$B$106,MATCH($D785&amp;"*",MUSTERILER!$C$7:$C$106,0)),"TANIMSIZ MÜŞTERİ"))))</f>
        <v/>
      </c>
      <c r="D785" s="109" t="n"/>
      <c r="E785" s="225" t="n"/>
      <c r="F785" s="226" t="n"/>
      <c r="G785" s="108" t="n"/>
      <c r="H785" s="108" t="n"/>
      <c r="I785" s="109" t="n"/>
      <c r="J785" s="109" t="n"/>
      <c r="K785" s="109" t="n"/>
      <c r="L785" s="231">
        <f>IF($E785="","",DATE(YEAR($E785),MONTH($E785),1))</f>
        <v/>
      </c>
      <c r="M785" s="113">
        <f>IF($D785="","",IF($C785="TANIMSIZ MÜŞTERİ","HATA",IF(OR($E785="",$F785&lt;=0,$G785=""),"EKSİK",IF($E785&gt;TODAY(),"İLERİ TARİH","UYGUN"))))</f>
        <v/>
      </c>
      <c r="N785" s="121">
        <f>IF($C785="","",IF($C785="TANIMSIZ MÜŞTERİ","—",INDEX(MUSTERILER!$C$7:$C$106,MATCH($C785,MUSTERILER!$B$7:$B$106,0))))</f>
        <v/>
      </c>
      <c r="O785" s="6" t="n"/>
      <c r="P785" s="6" t="n"/>
      <c r="Q785" s="3">
        <f>IF($D785="","",$C785&amp;"|"&amp;COUNTIFS($C$7:$C785,$C785))</f>
        <v/>
      </c>
    </row>
    <row r="786">
      <c r="A786" s="6" t="n"/>
      <c r="B786" s="113">
        <f>IF($D786="","","T"&amp;TEXT(ROW()-6,"00000"))</f>
        <v/>
      </c>
      <c r="C786" s="113">
        <f>IF($D786="","",IFERROR(INDEX(MUSTERILER!$B$7:$B$106,MATCH($D786,MUSTERILER!$C$7:$C$106,0)),IFERROR(INDEX(MUSTERILER!$B$7:$B$106,MATCH($D786,MUSTERILER!$B$7:$B$106,0)),IFERROR(INDEX(MUSTERILER!$B$7:$B$106,MATCH($D786&amp;"*",MUSTERILER!$C$7:$C$106,0)),"TANIMSIZ MÜŞTERİ"))))</f>
        <v/>
      </c>
      <c r="D786" s="109" t="n"/>
      <c r="E786" s="225" t="n"/>
      <c r="F786" s="226" t="n"/>
      <c r="G786" s="108" t="n"/>
      <c r="H786" s="108" t="n"/>
      <c r="I786" s="109" t="n"/>
      <c r="J786" s="109" t="n"/>
      <c r="K786" s="109" t="n"/>
      <c r="L786" s="231">
        <f>IF($E786="","",DATE(YEAR($E786),MONTH($E786),1))</f>
        <v/>
      </c>
      <c r="M786" s="113">
        <f>IF($D786="","",IF($C786="TANIMSIZ MÜŞTERİ","HATA",IF(OR($E786="",$F786&lt;=0,$G786=""),"EKSİK",IF($E786&gt;TODAY(),"İLERİ TARİH","UYGUN"))))</f>
        <v/>
      </c>
      <c r="N786" s="121">
        <f>IF($C786="","",IF($C786="TANIMSIZ MÜŞTERİ","—",INDEX(MUSTERILER!$C$7:$C$106,MATCH($C786,MUSTERILER!$B$7:$B$106,0))))</f>
        <v/>
      </c>
      <c r="O786" s="6" t="n"/>
      <c r="P786" s="6" t="n"/>
      <c r="Q786" s="3">
        <f>IF($D786="","",$C786&amp;"|"&amp;COUNTIFS($C$7:$C786,$C786))</f>
        <v/>
      </c>
    </row>
    <row r="787">
      <c r="A787" s="6" t="n"/>
      <c r="B787" s="113">
        <f>IF($D787="","","T"&amp;TEXT(ROW()-6,"00000"))</f>
        <v/>
      </c>
      <c r="C787" s="113">
        <f>IF($D787="","",IFERROR(INDEX(MUSTERILER!$B$7:$B$106,MATCH($D787,MUSTERILER!$C$7:$C$106,0)),IFERROR(INDEX(MUSTERILER!$B$7:$B$106,MATCH($D787,MUSTERILER!$B$7:$B$106,0)),IFERROR(INDEX(MUSTERILER!$B$7:$B$106,MATCH($D787&amp;"*",MUSTERILER!$C$7:$C$106,0)),"TANIMSIZ MÜŞTERİ"))))</f>
        <v/>
      </c>
      <c r="D787" s="109" t="n"/>
      <c r="E787" s="225" t="n"/>
      <c r="F787" s="226" t="n"/>
      <c r="G787" s="108" t="n"/>
      <c r="H787" s="108" t="n"/>
      <c r="I787" s="109" t="n"/>
      <c r="J787" s="109" t="n"/>
      <c r="K787" s="109" t="n"/>
      <c r="L787" s="231">
        <f>IF($E787="","",DATE(YEAR($E787),MONTH($E787),1))</f>
        <v/>
      </c>
      <c r="M787" s="113">
        <f>IF($D787="","",IF($C787="TANIMSIZ MÜŞTERİ","HATA",IF(OR($E787="",$F787&lt;=0,$G787=""),"EKSİK",IF($E787&gt;TODAY(),"İLERİ TARİH","UYGUN"))))</f>
        <v/>
      </c>
      <c r="N787" s="121">
        <f>IF($C787="","",IF($C787="TANIMSIZ MÜŞTERİ","—",INDEX(MUSTERILER!$C$7:$C$106,MATCH($C787,MUSTERILER!$B$7:$B$106,0))))</f>
        <v/>
      </c>
      <c r="O787" s="6" t="n"/>
      <c r="P787" s="6" t="n"/>
      <c r="Q787" s="3">
        <f>IF($D787="","",$C787&amp;"|"&amp;COUNTIFS($C$7:$C787,$C787))</f>
        <v/>
      </c>
    </row>
    <row r="788">
      <c r="A788" s="6" t="n"/>
      <c r="B788" s="113">
        <f>IF($D788="","","T"&amp;TEXT(ROW()-6,"00000"))</f>
        <v/>
      </c>
      <c r="C788" s="113">
        <f>IF($D788="","",IFERROR(INDEX(MUSTERILER!$B$7:$B$106,MATCH($D788,MUSTERILER!$C$7:$C$106,0)),IFERROR(INDEX(MUSTERILER!$B$7:$B$106,MATCH($D788,MUSTERILER!$B$7:$B$106,0)),IFERROR(INDEX(MUSTERILER!$B$7:$B$106,MATCH($D788&amp;"*",MUSTERILER!$C$7:$C$106,0)),"TANIMSIZ MÜŞTERİ"))))</f>
        <v/>
      </c>
      <c r="D788" s="109" t="n"/>
      <c r="E788" s="225" t="n"/>
      <c r="F788" s="226" t="n"/>
      <c r="G788" s="108" t="n"/>
      <c r="H788" s="108" t="n"/>
      <c r="I788" s="109" t="n"/>
      <c r="J788" s="109" t="n"/>
      <c r="K788" s="109" t="n"/>
      <c r="L788" s="231">
        <f>IF($E788="","",DATE(YEAR($E788),MONTH($E788),1))</f>
        <v/>
      </c>
      <c r="M788" s="113">
        <f>IF($D788="","",IF($C788="TANIMSIZ MÜŞTERİ","HATA",IF(OR($E788="",$F788&lt;=0,$G788=""),"EKSİK",IF($E788&gt;TODAY(),"İLERİ TARİH","UYGUN"))))</f>
        <v/>
      </c>
      <c r="N788" s="121">
        <f>IF($C788="","",IF($C788="TANIMSIZ MÜŞTERİ","—",INDEX(MUSTERILER!$C$7:$C$106,MATCH($C788,MUSTERILER!$B$7:$B$106,0))))</f>
        <v/>
      </c>
      <c r="O788" s="6" t="n"/>
      <c r="P788" s="6" t="n"/>
      <c r="Q788" s="3">
        <f>IF($D788="","",$C788&amp;"|"&amp;COUNTIFS($C$7:$C788,$C788))</f>
        <v/>
      </c>
    </row>
    <row r="789">
      <c r="A789" s="6" t="n"/>
      <c r="B789" s="113">
        <f>IF($D789="","","T"&amp;TEXT(ROW()-6,"00000"))</f>
        <v/>
      </c>
      <c r="C789" s="113">
        <f>IF($D789="","",IFERROR(INDEX(MUSTERILER!$B$7:$B$106,MATCH($D789,MUSTERILER!$C$7:$C$106,0)),IFERROR(INDEX(MUSTERILER!$B$7:$B$106,MATCH($D789,MUSTERILER!$B$7:$B$106,0)),IFERROR(INDEX(MUSTERILER!$B$7:$B$106,MATCH($D789&amp;"*",MUSTERILER!$C$7:$C$106,0)),"TANIMSIZ MÜŞTERİ"))))</f>
        <v/>
      </c>
      <c r="D789" s="109" t="n"/>
      <c r="E789" s="225" t="n"/>
      <c r="F789" s="226" t="n"/>
      <c r="G789" s="108" t="n"/>
      <c r="H789" s="108" t="n"/>
      <c r="I789" s="109" t="n"/>
      <c r="J789" s="109" t="n"/>
      <c r="K789" s="109" t="n"/>
      <c r="L789" s="231">
        <f>IF($E789="","",DATE(YEAR($E789),MONTH($E789),1))</f>
        <v/>
      </c>
      <c r="M789" s="113">
        <f>IF($D789="","",IF($C789="TANIMSIZ MÜŞTERİ","HATA",IF(OR($E789="",$F789&lt;=0,$G789=""),"EKSİK",IF($E789&gt;TODAY(),"İLERİ TARİH","UYGUN"))))</f>
        <v/>
      </c>
      <c r="N789" s="121">
        <f>IF($C789="","",IF($C789="TANIMSIZ MÜŞTERİ","—",INDEX(MUSTERILER!$C$7:$C$106,MATCH($C789,MUSTERILER!$B$7:$B$106,0))))</f>
        <v/>
      </c>
      <c r="O789" s="6" t="n"/>
      <c r="P789" s="6" t="n"/>
      <c r="Q789" s="3">
        <f>IF($D789="","",$C789&amp;"|"&amp;COUNTIFS($C$7:$C789,$C789))</f>
        <v/>
      </c>
    </row>
    <row r="790">
      <c r="A790" s="6" t="n"/>
      <c r="B790" s="113">
        <f>IF($D790="","","T"&amp;TEXT(ROW()-6,"00000"))</f>
        <v/>
      </c>
      <c r="C790" s="113">
        <f>IF($D790="","",IFERROR(INDEX(MUSTERILER!$B$7:$B$106,MATCH($D790,MUSTERILER!$C$7:$C$106,0)),IFERROR(INDEX(MUSTERILER!$B$7:$B$106,MATCH($D790,MUSTERILER!$B$7:$B$106,0)),IFERROR(INDEX(MUSTERILER!$B$7:$B$106,MATCH($D790&amp;"*",MUSTERILER!$C$7:$C$106,0)),"TANIMSIZ MÜŞTERİ"))))</f>
        <v/>
      </c>
      <c r="D790" s="109" t="n"/>
      <c r="E790" s="225" t="n"/>
      <c r="F790" s="226" t="n"/>
      <c r="G790" s="108" t="n"/>
      <c r="H790" s="108" t="n"/>
      <c r="I790" s="109" t="n"/>
      <c r="J790" s="109" t="n"/>
      <c r="K790" s="109" t="n"/>
      <c r="L790" s="231">
        <f>IF($E790="","",DATE(YEAR($E790),MONTH($E790),1))</f>
        <v/>
      </c>
      <c r="M790" s="113">
        <f>IF($D790="","",IF($C790="TANIMSIZ MÜŞTERİ","HATA",IF(OR($E790="",$F790&lt;=0,$G790=""),"EKSİK",IF($E790&gt;TODAY(),"İLERİ TARİH","UYGUN"))))</f>
        <v/>
      </c>
      <c r="N790" s="121">
        <f>IF($C790="","",IF($C790="TANIMSIZ MÜŞTERİ","—",INDEX(MUSTERILER!$C$7:$C$106,MATCH($C790,MUSTERILER!$B$7:$B$106,0))))</f>
        <v/>
      </c>
      <c r="O790" s="6" t="n"/>
      <c r="P790" s="6" t="n"/>
      <c r="Q790" s="3">
        <f>IF($D790="","",$C790&amp;"|"&amp;COUNTIFS($C$7:$C790,$C790))</f>
        <v/>
      </c>
    </row>
    <row r="791">
      <c r="A791" s="6" t="n"/>
      <c r="B791" s="113">
        <f>IF($D791="","","T"&amp;TEXT(ROW()-6,"00000"))</f>
        <v/>
      </c>
      <c r="C791" s="113">
        <f>IF($D791="","",IFERROR(INDEX(MUSTERILER!$B$7:$B$106,MATCH($D791,MUSTERILER!$C$7:$C$106,0)),IFERROR(INDEX(MUSTERILER!$B$7:$B$106,MATCH($D791,MUSTERILER!$B$7:$B$106,0)),IFERROR(INDEX(MUSTERILER!$B$7:$B$106,MATCH($D791&amp;"*",MUSTERILER!$C$7:$C$106,0)),"TANIMSIZ MÜŞTERİ"))))</f>
        <v/>
      </c>
      <c r="D791" s="109" t="n"/>
      <c r="E791" s="225" t="n"/>
      <c r="F791" s="226" t="n"/>
      <c r="G791" s="108" t="n"/>
      <c r="H791" s="108" t="n"/>
      <c r="I791" s="109" t="n"/>
      <c r="J791" s="109" t="n"/>
      <c r="K791" s="109" t="n"/>
      <c r="L791" s="231">
        <f>IF($E791="","",DATE(YEAR($E791),MONTH($E791),1))</f>
        <v/>
      </c>
      <c r="M791" s="113">
        <f>IF($D791="","",IF($C791="TANIMSIZ MÜŞTERİ","HATA",IF(OR($E791="",$F791&lt;=0,$G791=""),"EKSİK",IF($E791&gt;TODAY(),"İLERİ TARİH","UYGUN"))))</f>
        <v/>
      </c>
      <c r="N791" s="121">
        <f>IF($C791="","",IF($C791="TANIMSIZ MÜŞTERİ","—",INDEX(MUSTERILER!$C$7:$C$106,MATCH($C791,MUSTERILER!$B$7:$B$106,0))))</f>
        <v/>
      </c>
      <c r="O791" s="6" t="n"/>
      <c r="P791" s="6" t="n"/>
      <c r="Q791" s="3">
        <f>IF($D791="","",$C791&amp;"|"&amp;COUNTIFS($C$7:$C791,$C791))</f>
        <v/>
      </c>
    </row>
    <row r="792">
      <c r="A792" s="6" t="n"/>
      <c r="B792" s="113">
        <f>IF($D792="","","T"&amp;TEXT(ROW()-6,"00000"))</f>
        <v/>
      </c>
      <c r="C792" s="113">
        <f>IF($D792="","",IFERROR(INDEX(MUSTERILER!$B$7:$B$106,MATCH($D792,MUSTERILER!$C$7:$C$106,0)),IFERROR(INDEX(MUSTERILER!$B$7:$B$106,MATCH($D792,MUSTERILER!$B$7:$B$106,0)),IFERROR(INDEX(MUSTERILER!$B$7:$B$106,MATCH($D792&amp;"*",MUSTERILER!$C$7:$C$106,0)),"TANIMSIZ MÜŞTERİ"))))</f>
        <v/>
      </c>
      <c r="D792" s="109" t="n"/>
      <c r="E792" s="225" t="n"/>
      <c r="F792" s="226" t="n"/>
      <c r="G792" s="108" t="n"/>
      <c r="H792" s="108" t="n"/>
      <c r="I792" s="109" t="n"/>
      <c r="J792" s="109" t="n"/>
      <c r="K792" s="109" t="n"/>
      <c r="L792" s="231">
        <f>IF($E792="","",DATE(YEAR($E792),MONTH($E792),1))</f>
        <v/>
      </c>
      <c r="M792" s="113">
        <f>IF($D792="","",IF($C792="TANIMSIZ MÜŞTERİ","HATA",IF(OR($E792="",$F792&lt;=0,$G792=""),"EKSİK",IF($E792&gt;TODAY(),"İLERİ TARİH","UYGUN"))))</f>
        <v/>
      </c>
      <c r="N792" s="121">
        <f>IF($C792="","",IF($C792="TANIMSIZ MÜŞTERİ","—",INDEX(MUSTERILER!$C$7:$C$106,MATCH($C792,MUSTERILER!$B$7:$B$106,0))))</f>
        <v/>
      </c>
      <c r="O792" s="6" t="n"/>
      <c r="P792" s="6" t="n"/>
      <c r="Q792" s="3">
        <f>IF($D792="","",$C792&amp;"|"&amp;COUNTIFS($C$7:$C792,$C792))</f>
        <v/>
      </c>
    </row>
    <row r="793">
      <c r="A793" s="6" t="n"/>
      <c r="B793" s="113">
        <f>IF($D793="","","T"&amp;TEXT(ROW()-6,"00000"))</f>
        <v/>
      </c>
      <c r="C793" s="113">
        <f>IF($D793="","",IFERROR(INDEX(MUSTERILER!$B$7:$B$106,MATCH($D793,MUSTERILER!$C$7:$C$106,0)),IFERROR(INDEX(MUSTERILER!$B$7:$B$106,MATCH($D793,MUSTERILER!$B$7:$B$106,0)),IFERROR(INDEX(MUSTERILER!$B$7:$B$106,MATCH($D793&amp;"*",MUSTERILER!$C$7:$C$106,0)),"TANIMSIZ MÜŞTERİ"))))</f>
        <v/>
      </c>
      <c r="D793" s="109" t="n"/>
      <c r="E793" s="225" t="n"/>
      <c r="F793" s="226" t="n"/>
      <c r="G793" s="108" t="n"/>
      <c r="H793" s="108" t="n"/>
      <c r="I793" s="109" t="n"/>
      <c r="J793" s="109" t="n"/>
      <c r="K793" s="109" t="n"/>
      <c r="L793" s="231">
        <f>IF($E793="","",DATE(YEAR($E793),MONTH($E793),1))</f>
        <v/>
      </c>
      <c r="M793" s="113">
        <f>IF($D793="","",IF($C793="TANIMSIZ MÜŞTERİ","HATA",IF(OR($E793="",$F793&lt;=0,$G793=""),"EKSİK",IF($E793&gt;TODAY(),"İLERİ TARİH","UYGUN"))))</f>
        <v/>
      </c>
      <c r="N793" s="121">
        <f>IF($C793="","",IF($C793="TANIMSIZ MÜŞTERİ","—",INDEX(MUSTERILER!$C$7:$C$106,MATCH($C793,MUSTERILER!$B$7:$B$106,0))))</f>
        <v/>
      </c>
      <c r="O793" s="6" t="n"/>
      <c r="P793" s="6" t="n"/>
      <c r="Q793" s="3">
        <f>IF($D793="","",$C793&amp;"|"&amp;COUNTIFS($C$7:$C793,$C793))</f>
        <v/>
      </c>
    </row>
    <row r="794">
      <c r="A794" s="6" t="n"/>
      <c r="B794" s="113">
        <f>IF($D794="","","T"&amp;TEXT(ROW()-6,"00000"))</f>
        <v/>
      </c>
      <c r="C794" s="113">
        <f>IF($D794="","",IFERROR(INDEX(MUSTERILER!$B$7:$B$106,MATCH($D794,MUSTERILER!$C$7:$C$106,0)),IFERROR(INDEX(MUSTERILER!$B$7:$B$106,MATCH($D794,MUSTERILER!$B$7:$B$106,0)),IFERROR(INDEX(MUSTERILER!$B$7:$B$106,MATCH($D794&amp;"*",MUSTERILER!$C$7:$C$106,0)),"TANIMSIZ MÜŞTERİ"))))</f>
        <v/>
      </c>
      <c r="D794" s="109" t="n"/>
      <c r="E794" s="225" t="n"/>
      <c r="F794" s="226" t="n"/>
      <c r="G794" s="108" t="n"/>
      <c r="H794" s="108" t="n"/>
      <c r="I794" s="109" t="n"/>
      <c r="J794" s="109" t="n"/>
      <c r="K794" s="109" t="n"/>
      <c r="L794" s="231">
        <f>IF($E794="","",DATE(YEAR($E794),MONTH($E794),1))</f>
        <v/>
      </c>
      <c r="M794" s="113">
        <f>IF($D794="","",IF($C794="TANIMSIZ MÜŞTERİ","HATA",IF(OR($E794="",$F794&lt;=0,$G794=""),"EKSİK",IF($E794&gt;TODAY(),"İLERİ TARİH","UYGUN"))))</f>
        <v/>
      </c>
      <c r="N794" s="121">
        <f>IF($C794="","",IF($C794="TANIMSIZ MÜŞTERİ","—",INDEX(MUSTERILER!$C$7:$C$106,MATCH($C794,MUSTERILER!$B$7:$B$106,0))))</f>
        <v/>
      </c>
      <c r="O794" s="6" t="n"/>
      <c r="P794" s="6" t="n"/>
      <c r="Q794" s="3">
        <f>IF($D794="","",$C794&amp;"|"&amp;COUNTIFS($C$7:$C794,$C794))</f>
        <v/>
      </c>
    </row>
    <row r="795">
      <c r="A795" s="6" t="n"/>
      <c r="B795" s="113">
        <f>IF($D795="","","T"&amp;TEXT(ROW()-6,"00000"))</f>
        <v/>
      </c>
      <c r="C795" s="113">
        <f>IF($D795="","",IFERROR(INDEX(MUSTERILER!$B$7:$B$106,MATCH($D795,MUSTERILER!$C$7:$C$106,0)),IFERROR(INDEX(MUSTERILER!$B$7:$B$106,MATCH($D795,MUSTERILER!$B$7:$B$106,0)),IFERROR(INDEX(MUSTERILER!$B$7:$B$106,MATCH($D795&amp;"*",MUSTERILER!$C$7:$C$106,0)),"TANIMSIZ MÜŞTERİ"))))</f>
        <v/>
      </c>
      <c r="D795" s="109" t="n"/>
      <c r="E795" s="225" t="n"/>
      <c r="F795" s="226" t="n"/>
      <c r="G795" s="108" t="n"/>
      <c r="H795" s="108" t="n"/>
      <c r="I795" s="109" t="n"/>
      <c r="J795" s="109" t="n"/>
      <c r="K795" s="109" t="n"/>
      <c r="L795" s="231">
        <f>IF($E795="","",DATE(YEAR($E795),MONTH($E795),1))</f>
        <v/>
      </c>
      <c r="M795" s="113">
        <f>IF($D795="","",IF($C795="TANIMSIZ MÜŞTERİ","HATA",IF(OR($E795="",$F795&lt;=0,$G795=""),"EKSİK",IF($E795&gt;TODAY(),"İLERİ TARİH","UYGUN"))))</f>
        <v/>
      </c>
      <c r="N795" s="121">
        <f>IF($C795="","",IF($C795="TANIMSIZ MÜŞTERİ","—",INDEX(MUSTERILER!$C$7:$C$106,MATCH($C795,MUSTERILER!$B$7:$B$106,0))))</f>
        <v/>
      </c>
      <c r="O795" s="6" t="n"/>
      <c r="P795" s="6" t="n"/>
      <c r="Q795" s="3">
        <f>IF($D795="","",$C795&amp;"|"&amp;COUNTIFS($C$7:$C795,$C795))</f>
        <v/>
      </c>
    </row>
    <row r="796">
      <c r="A796" s="6" t="n"/>
      <c r="B796" s="113">
        <f>IF($D796="","","T"&amp;TEXT(ROW()-6,"00000"))</f>
        <v/>
      </c>
      <c r="C796" s="113">
        <f>IF($D796="","",IFERROR(INDEX(MUSTERILER!$B$7:$B$106,MATCH($D796,MUSTERILER!$C$7:$C$106,0)),IFERROR(INDEX(MUSTERILER!$B$7:$B$106,MATCH($D796,MUSTERILER!$B$7:$B$106,0)),IFERROR(INDEX(MUSTERILER!$B$7:$B$106,MATCH($D796&amp;"*",MUSTERILER!$C$7:$C$106,0)),"TANIMSIZ MÜŞTERİ"))))</f>
        <v/>
      </c>
      <c r="D796" s="109" t="n"/>
      <c r="E796" s="225" t="n"/>
      <c r="F796" s="226" t="n"/>
      <c r="G796" s="108" t="n"/>
      <c r="H796" s="108" t="n"/>
      <c r="I796" s="109" t="n"/>
      <c r="J796" s="109" t="n"/>
      <c r="K796" s="109" t="n"/>
      <c r="L796" s="231">
        <f>IF($E796="","",DATE(YEAR($E796),MONTH($E796),1))</f>
        <v/>
      </c>
      <c r="M796" s="113">
        <f>IF($D796="","",IF($C796="TANIMSIZ MÜŞTERİ","HATA",IF(OR($E796="",$F796&lt;=0,$G796=""),"EKSİK",IF($E796&gt;TODAY(),"İLERİ TARİH","UYGUN"))))</f>
        <v/>
      </c>
      <c r="N796" s="121">
        <f>IF($C796="","",IF($C796="TANIMSIZ MÜŞTERİ","—",INDEX(MUSTERILER!$C$7:$C$106,MATCH($C796,MUSTERILER!$B$7:$B$106,0))))</f>
        <v/>
      </c>
      <c r="O796" s="6" t="n"/>
      <c r="P796" s="6" t="n"/>
      <c r="Q796" s="3">
        <f>IF($D796="","",$C796&amp;"|"&amp;COUNTIFS($C$7:$C796,$C796))</f>
        <v/>
      </c>
    </row>
    <row r="797">
      <c r="A797" s="6" t="n"/>
      <c r="B797" s="113">
        <f>IF($D797="","","T"&amp;TEXT(ROW()-6,"00000"))</f>
        <v/>
      </c>
      <c r="C797" s="113">
        <f>IF($D797="","",IFERROR(INDEX(MUSTERILER!$B$7:$B$106,MATCH($D797,MUSTERILER!$C$7:$C$106,0)),IFERROR(INDEX(MUSTERILER!$B$7:$B$106,MATCH($D797,MUSTERILER!$B$7:$B$106,0)),IFERROR(INDEX(MUSTERILER!$B$7:$B$106,MATCH($D797&amp;"*",MUSTERILER!$C$7:$C$106,0)),"TANIMSIZ MÜŞTERİ"))))</f>
        <v/>
      </c>
      <c r="D797" s="109" t="n"/>
      <c r="E797" s="225" t="n"/>
      <c r="F797" s="226" t="n"/>
      <c r="G797" s="108" t="n"/>
      <c r="H797" s="108" t="n"/>
      <c r="I797" s="109" t="n"/>
      <c r="J797" s="109" t="n"/>
      <c r="K797" s="109" t="n"/>
      <c r="L797" s="231">
        <f>IF($E797="","",DATE(YEAR($E797),MONTH($E797),1))</f>
        <v/>
      </c>
      <c r="M797" s="113">
        <f>IF($D797="","",IF($C797="TANIMSIZ MÜŞTERİ","HATA",IF(OR($E797="",$F797&lt;=0,$G797=""),"EKSİK",IF($E797&gt;TODAY(),"İLERİ TARİH","UYGUN"))))</f>
        <v/>
      </c>
      <c r="N797" s="121">
        <f>IF($C797="","",IF($C797="TANIMSIZ MÜŞTERİ","—",INDEX(MUSTERILER!$C$7:$C$106,MATCH($C797,MUSTERILER!$B$7:$B$106,0))))</f>
        <v/>
      </c>
      <c r="O797" s="6" t="n"/>
      <c r="P797" s="6" t="n"/>
      <c r="Q797" s="3">
        <f>IF($D797="","",$C797&amp;"|"&amp;COUNTIFS($C$7:$C797,$C797))</f>
        <v/>
      </c>
    </row>
    <row r="798">
      <c r="A798" s="6" t="n"/>
      <c r="B798" s="113">
        <f>IF($D798="","","T"&amp;TEXT(ROW()-6,"00000"))</f>
        <v/>
      </c>
      <c r="C798" s="113">
        <f>IF($D798="","",IFERROR(INDEX(MUSTERILER!$B$7:$B$106,MATCH($D798,MUSTERILER!$C$7:$C$106,0)),IFERROR(INDEX(MUSTERILER!$B$7:$B$106,MATCH($D798,MUSTERILER!$B$7:$B$106,0)),IFERROR(INDEX(MUSTERILER!$B$7:$B$106,MATCH($D798&amp;"*",MUSTERILER!$C$7:$C$106,0)),"TANIMSIZ MÜŞTERİ"))))</f>
        <v/>
      </c>
      <c r="D798" s="109" t="n"/>
      <c r="E798" s="225" t="n"/>
      <c r="F798" s="226" t="n"/>
      <c r="G798" s="108" t="n"/>
      <c r="H798" s="108" t="n"/>
      <c r="I798" s="109" t="n"/>
      <c r="J798" s="109" t="n"/>
      <c r="K798" s="109" t="n"/>
      <c r="L798" s="231">
        <f>IF($E798="","",DATE(YEAR($E798),MONTH($E798),1))</f>
        <v/>
      </c>
      <c r="M798" s="113">
        <f>IF($D798="","",IF($C798="TANIMSIZ MÜŞTERİ","HATA",IF(OR($E798="",$F798&lt;=0,$G798=""),"EKSİK",IF($E798&gt;TODAY(),"İLERİ TARİH","UYGUN"))))</f>
        <v/>
      </c>
      <c r="N798" s="121">
        <f>IF($C798="","",IF($C798="TANIMSIZ MÜŞTERİ","—",INDEX(MUSTERILER!$C$7:$C$106,MATCH($C798,MUSTERILER!$B$7:$B$106,0))))</f>
        <v/>
      </c>
      <c r="O798" s="6" t="n"/>
      <c r="P798" s="6" t="n"/>
      <c r="Q798" s="3">
        <f>IF($D798="","",$C798&amp;"|"&amp;COUNTIFS($C$7:$C798,$C798))</f>
        <v/>
      </c>
    </row>
    <row r="799">
      <c r="A799" s="6" t="n"/>
      <c r="B799" s="113">
        <f>IF($D799="","","T"&amp;TEXT(ROW()-6,"00000"))</f>
        <v/>
      </c>
      <c r="C799" s="113">
        <f>IF($D799="","",IFERROR(INDEX(MUSTERILER!$B$7:$B$106,MATCH($D799,MUSTERILER!$C$7:$C$106,0)),IFERROR(INDEX(MUSTERILER!$B$7:$B$106,MATCH($D799,MUSTERILER!$B$7:$B$106,0)),IFERROR(INDEX(MUSTERILER!$B$7:$B$106,MATCH($D799&amp;"*",MUSTERILER!$C$7:$C$106,0)),"TANIMSIZ MÜŞTERİ"))))</f>
        <v/>
      </c>
      <c r="D799" s="109" t="n"/>
      <c r="E799" s="225" t="n"/>
      <c r="F799" s="226" t="n"/>
      <c r="G799" s="108" t="n"/>
      <c r="H799" s="108" t="n"/>
      <c r="I799" s="109" t="n"/>
      <c r="J799" s="109" t="n"/>
      <c r="K799" s="109" t="n"/>
      <c r="L799" s="231">
        <f>IF($E799="","",DATE(YEAR($E799),MONTH($E799),1))</f>
        <v/>
      </c>
      <c r="M799" s="113">
        <f>IF($D799="","",IF($C799="TANIMSIZ MÜŞTERİ","HATA",IF(OR($E799="",$F799&lt;=0,$G799=""),"EKSİK",IF($E799&gt;TODAY(),"İLERİ TARİH","UYGUN"))))</f>
        <v/>
      </c>
      <c r="N799" s="121">
        <f>IF($C799="","",IF($C799="TANIMSIZ MÜŞTERİ","—",INDEX(MUSTERILER!$C$7:$C$106,MATCH($C799,MUSTERILER!$B$7:$B$106,0))))</f>
        <v/>
      </c>
      <c r="O799" s="6" t="n"/>
      <c r="P799" s="6" t="n"/>
      <c r="Q799" s="3">
        <f>IF($D799="","",$C799&amp;"|"&amp;COUNTIFS($C$7:$C799,$C799))</f>
        <v/>
      </c>
    </row>
    <row r="800">
      <c r="A800" s="6" t="n"/>
      <c r="B800" s="113">
        <f>IF($D800="","","T"&amp;TEXT(ROW()-6,"00000"))</f>
        <v/>
      </c>
      <c r="C800" s="113">
        <f>IF($D800="","",IFERROR(INDEX(MUSTERILER!$B$7:$B$106,MATCH($D800,MUSTERILER!$C$7:$C$106,0)),IFERROR(INDEX(MUSTERILER!$B$7:$B$106,MATCH($D800,MUSTERILER!$B$7:$B$106,0)),IFERROR(INDEX(MUSTERILER!$B$7:$B$106,MATCH($D800&amp;"*",MUSTERILER!$C$7:$C$106,0)),"TANIMSIZ MÜŞTERİ"))))</f>
        <v/>
      </c>
      <c r="D800" s="109" t="n"/>
      <c r="E800" s="225" t="n"/>
      <c r="F800" s="226" t="n"/>
      <c r="G800" s="108" t="n"/>
      <c r="H800" s="108" t="n"/>
      <c r="I800" s="109" t="n"/>
      <c r="J800" s="109" t="n"/>
      <c r="K800" s="109" t="n"/>
      <c r="L800" s="231">
        <f>IF($E800="","",DATE(YEAR($E800),MONTH($E800),1))</f>
        <v/>
      </c>
      <c r="M800" s="113">
        <f>IF($D800="","",IF($C800="TANIMSIZ MÜŞTERİ","HATA",IF(OR($E800="",$F800&lt;=0,$G800=""),"EKSİK",IF($E800&gt;TODAY(),"İLERİ TARİH","UYGUN"))))</f>
        <v/>
      </c>
      <c r="N800" s="121">
        <f>IF($C800="","",IF($C800="TANIMSIZ MÜŞTERİ","—",INDEX(MUSTERILER!$C$7:$C$106,MATCH($C800,MUSTERILER!$B$7:$B$106,0))))</f>
        <v/>
      </c>
      <c r="O800" s="6" t="n"/>
      <c r="P800" s="6" t="n"/>
      <c r="Q800" s="3">
        <f>IF($D800="","",$C800&amp;"|"&amp;COUNTIFS($C$7:$C800,$C800))</f>
        <v/>
      </c>
    </row>
    <row r="801">
      <c r="A801" s="6" t="n"/>
      <c r="B801" s="113">
        <f>IF($D801="","","T"&amp;TEXT(ROW()-6,"00000"))</f>
        <v/>
      </c>
      <c r="C801" s="113">
        <f>IF($D801="","",IFERROR(INDEX(MUSTERILER!$B$7:$B$106,MATCH($D801,MUSTERILER!$C$7:$C$106,0)),IFERROR(INDEX(MUSTERILER!$B$7:$B$106,MATCH($D801,MUSTERILER!$B$7:$B$106,0)),IFERROR(INDEX(MUSTERILER!$B$7:$B$106,MATCH($D801&amp;"*",MUSTERILER!$C$7:$C$106,0)),"TANIMSIZ MÜŞTERİ"))))</f>
        <v/>
      </c>
      <c r="D801" s="109" t="n"/>
      <c r="E801" s="225" t="n"/>
      <c r="F801" s="226" t="n"/>
      <c r="G801" s="108" t="n"/>
      <c r="H801" s="108" t="n"/>
      <c r="I801" s="109" t="n"/>
      <c r="J801" s="109" t="n"/>
      <c r="K801" s="109" t="n"/>
      <c r="L801" s="231">
        <f>IF($E801="","",DATE(YEAR($E801),MONTH($E801),1))</f>
        <v/>
      </c>
      <c r="M801" s="113">
        <f>IF($D801="","",IF($C801="TANIMSIZ MÜŞTERİ","HATA",IF(OR($E801="",$F801&lt;=0,$G801=""),"EKSİK",IF($E801&gt;TODAY(),"İLERİ TARİH","UYGUN"))))</f>
        <v/>
      </c>
      <c r="N801" s="121">
        <f>IF($C801="","",IF($C801="TANIMSIZ MÜŞTERİ","—",INDEX(MUSTERILER!$C$7:$C$106,MATCH($C801,MUSTERILER!$B$7:$B$106,0))))</f>
        <v/>
      </c>
      <c r="O801" s="6" t="n"/>
      <c r="P801" s="6" t="n"/>
      <c r="Q801" s="3">
        <f>IF($D801="","",$C801&amp;"|"&amp;COUNTIFS($C$7:$C801,$C801))</f>
        <v/>
      </c>
    </row>
    <row r="802">
      <c r="A802" s="6" t="n"/>
      <c r="B802" s="113">
        <f>IF($D802="","","T"&amp;TEXT(ROW()-6,"00000"))</f>
        <v/>
      </c>
      <c r="C802" s="113">
        <f>IF($D802="","",IFERROR(INDEX(MUSTERILER!$B$7:$B$106,MATCH($D802,MUSTERILER!$C$7:$C$106,0)),IFERROR(INDEX(MUSTERILER!$B$7:$B$106,MATCH($D802,MUSTERILER!$B$7:$B$106,0)),IFERROR(INDEX(MUSTERILER!$B$7:$B$106,MATCH($D802&amp;"*",MUSTERILER!$C$7:$C$106,0)),"TANIMSIZ MÜŞTERİ"))))</f>
        <v/>
      </c>
      <c r="D802" s="109" t="n"/>
      <c r="E802" s="225" t="n"/>
      <c r="F802" s="226" t="n"/>
      <c r="G802" s="108" t="n"/>
      <c r="H802" s="108" t="n"/>
      <c r="I802" s="109" t="n"/>
      <c r="J802" s="109" t="n"/>
      <c r="K802" s="109" t="n"/>
      <c r="L802" s="231">
        <f>IF($E802="","",DATE(YEAR($E802),MONTH($E802),1))</f>
        <v/>
      </c>
      <c r="M802" s="113">
        <f>IF($D802="","",IF($C802="TANIMSIZ MÜŞTERİ","HATA",IF(OR($E802="",$F802&lt;=0,$G802=""),"EKSİK",IF($E802&gt;TODAY(),"İLERİ TARİH","UYGUN"))))</f>
        <v/>
      </c>
      <c r="N802" s="121">
        <f>IF($C802="","",IF($C802="TANIMSIZ MÜŞTERİ","—",INDEX(MUSTERILER!$C$7:$C$106,MATCH($C802,MUSTERILER!$B$7:$B$106,0))))</f>
        <v/>
      </c>
      <c r="O802" s="6" t="n"/>
      <c r="P802" s="6" t="n"/>
      <c r="Q802" s="3">
        <f>IF($D802="","",$C802&amp;"|"&amp;COUNTIFS($C$7:$C802,$C802))</f>
        <v/>
      </c>
    </row>
    <row r="803">
      <c r="A803" s="6" t="n"/>
      <c r="B803" s="113">
        <f>IF($D803="","","T"&amp;TEXT(ROW()-6,"00000"))</f>
        <v/>
      </c>
      <c r="C803" s="113">
        <f>IF($D803="","",IFERROR(INDEX(MUSTERILER!$B$7:$B$106,MATCH($D803,MUSTERILER!$C$7:$C$106,0)),IFERROR(INDEX(MUSTERILER!$B$7:$B$106,MATCH($D803,MUSTERILER!$B$7:$B$106,0)),IFERROR(INDEX(MUSTERILER!$B$7:$B$106,MATCH($D803&amp;"*",MUSTERILER!$C$7:$C$106,0)),"TANIMSIZ MÜŞTERİ"))))</f>
        <v/>
      </c>
      <c r="D803" s="109" t="n"/>
      <c r="E803" s="225" t="n"/>
      <c r="F803" s="226" t="n"/>
      <c r="G803" s="108" t="n"/>
      <c r="H803" s="108" t="n"/>
      <c r="I803" s="109" t="n"/>
      <c r="J803" s="109" t="n"/>
      <c r="K803" s="109" t="n"/>
      <c r="L803" s="231">
        <f>IF($E803="","",DATE(YEAR($E803),MONTH($E803),1))</f>
        <v/>
      </c>
      <c r="M803" s="113">
        <f>IF($D803="","",IF($C803="TANIMSIZ MÜŞTERİ","HATA",IF(OR($E803="",$F803&lt;=0,$G803=""),"EKSİK",IF($E803&gt;TODAY(),"İLERİ TARİH","UYGUN"))))</f>
        <v/>
      </c>
      <c r="N803" s="121">
        <f>IF($C803="","",IF($C803="TANIMSIZ MÜŞTERİ","—",INDEX(MUSTERILER!$C$7:$C$106,MATCH($C803,MUSTERILER!$B$7:$B$106,0))))</f>
        <v/>
      </c>
      <c r="O803" s="6" t="n"/>
      <c r="P803" s="6" t="n"/>
      <c r="Q803" s="3">
        <f>IF($D803="","",$C803&amp;"|"&amp;COUNTIFS($C$7:$C803,$C803))</f>
        <v/>
      </c>
    </row>
    <row r="804">
      <c r="A804" s="6" t="n"/>
      <c r="B804" s="113">
        <f>IF($D804="","","T"&amp;TEXT(ROW()-6,"00000"))</f>
        <v/>
      </c>
      <c r="C804" s="113">
        <f>IF($D804="","",IFERROR(INDEX(MUSTERILER!$B$7:$B$106,MATCH($D804,MUSTERILER!$C$7:$C$106,0)),IFERROR(INDEX(MUSTERILER!$B$7:$B$106,MATCH($D804,MUSTERILER!$B$7:$B$106,0)),IFERROR(INDEX(MUSTERILER!$B$7:$B$106,MATCH($D804&amp;"*",MUSTERILER!$C$7:$C$106,0)),"TANIMSIZ MÜŞTERİ"))))</f>
        <v/>
      </c>
      <c r="D804" s="109" t="n"/>
      <c r="E804" s="225" t="n"/>
      <c r="F804" s="226" t="n"/>
      <c r="G804" s="108" t="n"/>
      <c r="H804" s="108" t="n"/>
      <c r="I804" s="109" t="n"/>
      <c r="J804" s="109" t="n"/>
      <c r="K804" s="109" t="n"/>
      <c r="L804" s="231">
        <f>IF($E804="","",DATE(YEAR($E804),MONTH($E804),1))</f>
        <v/>
      </c>
      <c r="M804" s="113">
        <f>IF($D804="","",IF($C804="TANIMSIZ MÜŞTERİ","HATA",IF(OR($E804="",$F804&lt;=0,$G804=""),"EKSİK",IF($E804&gt;TODAY(),"İLERİ TARİH","UYGUN"))))</f>
        <v/>
      </c>
      <c r="N804" s="121">
        <f>IF($C804="","",IF($C804="TANIMSIZ MÜŞTERİ","—",INDEX(MUSTERILER!$C$7:$C$106,MATCH($C804,MUSTERILER!$B$7:$B$106,0))))</f>
        <v/>
      </c>
      <c r="O804" s="6" t="n"/>
      <c r="P804" s="6" t="n"/>
      <c r="Q804" s="3">
        <f>IF($D804="","",$C804&amp;"|"&amp;COUNTIFS($C$7:$C804,$C804))</f>
        <v/>
      </c>
    </row>
    <row r="805">
      <c r="A805" s="6" t="n"/>
      <c r="B805" s="113">
        <f>IF($D805="","","T"&amp;TEXT(ROW()-6,"00000"))</f>
        <v/>
      </c>
      <c r="C805" s="113">
        <f>IF($D805="","",IFERROR(INDEX(MUSTERILER!$B$7:$B$106,MATCH($D805,MUSTERILER!$C$7:$C$106,0)),IFERROR(INDEX(MUSTERILER!$B$7:$B$106,MATCH($D805,MUSTERILER!$B$7:$B$106,0)),IFERROR(INDEX(MUSTERILER!$B$7:$B$106,MATCH($D805&amp;"*",MUSTERILER!$C$7:$C$106,0)),"TANIMSIZ MÜŞTERİ"))))</f>
        <v/>
      </c>
      <c r="D805" s="109" t="n"/>
      <c r="E805" s="225" t="n"/>
      <c r="F805" s="226" t="n"/>
      <c r="G805" s="108" t="n"/>
      <c r="H805" s="108" t="n"/>
      <c r="I805" s="109" t="n"/>
      <c r="J805" s="109" t="n"/>
      <c r="K805" s="109" t="n"/>
      <c r="L805" s="231">
        <f>IF($E805="","",DATE(YEAR($E805),MONTH($E805),1))</f>
        <v/>
      </c>
      <c r="M805" s="113">
        <f>IF($D805="","",IF($C805="TANIMSIZ MÜŞTERİ","HATA",IF(OR($E805="",$F805&lt;=0,$G805=""),"EKSİK",IF($E805&gt;TODAY(),"İLERİ TARİH","UYGUN"))))</f>
        <v/>
      </c>
      <c r="N805" s="121">
        <f>IF($C805="","",IF($C805="TANIMSIZ MÜŞTERİ","—",INDEX(MUSTERILER!$C$7:$C$106,MATCH($C805,MUSTERILER!$B$7:$B$106,0))))</f>
        <v/>
      </c>
      <c r="O805" s="6" t="n"/>
      <c r="P805" s="6" t="n"/>
      <c r="Q805" s="3">
        <f>IF($D805="","",$C805&amp;"|"&amp;COUNTIFS($C$7:$C805,$C805))</f>
        <v/>
      </c>
    </row>
    <row r="806">
      <c r="A806" s="6" t="n"/>
      <c r="B806" s="113">
        <f>IF($D806="","","T"&amp;TEXT(ROW()-6,"00000"))</f>
        <v/>
      </c>
      <c r="C806" s="113">
        <f>IF($D806="","",IFERROR(INDEX(MUSTERILER!$B$7:$B$106,MATCH($D806,MUSTERILER!$C$7:$C$106,0)),IFERROR(INDEX(MUSTERILER!$B$7:$B$106,MATCH($D806,MUSTERILER!$B$7:$B$106,0)),IFERROR(INDEX(MUSTERILER!$B$7:$B$106,MATCH($D806&amp;"*",MUSTERILER!$C$7:$C$106,0)),"TANIMSIZ MÜŞTERİ"))))</f>
        <v/>
      </c>
      <c r="D806" s="109" t="n"/>
      <c r="E806" s="225" t="n"/>
      <c r="F806" s="226" t="n"/>
      <c r="G806" s="108" t="n"/>
      <c r="H806" s="108" t="n"/>
      <c r="I806" s="109" t="n"/>
      <c r="J806" s="109" t="n"/>
      <c r="K806" s="109" t="n"/>
      <c r="L806" s="231">
        <f>IF($E806="","",DATE(YEAR($E806),MONTH($E806),1))</f>
        <v/>
      </c>
      <c r="M806" s="113">
        <f>IF($D806="","",IF($C806="TANIMSIZ MÜŞTERİ","HATA",IF(OR($E806="",$F806&lt;=0,$G806=""),"EKSİK",IF($E806&gt;TODAY(),"İLERİ TARİH","UYGUN"))))</f>
        <v/>
      </c>
      <c r="N806" s="121">
        <f>IF($C806="","",IF($C806="TANIMSIZ MÜŞTERİ","—",INDEX(MUSTERILER!$C$7:$C$106,MATCH($C806,MUSTERILER!$B$7:$B$106,0))))</f>
        <v/>
      </c>
      <c r="O806" s="6" t="n"/>
      <c r="P806" s="6" t="n"/>
      <c r="Q806" s="3">
        <f>IF($D806="","",$C806&amp;"|"&amp;COUNTIFS($C$7:$C806,$C806))</f>
        <v/>
      </c>
    </row>
    <row r="807">
      <c r="A807" s="6" t="n"/>
      <c r="B807" s="113">
        <f>IF($D807="","","T"&amp;TEXT(ROW()-6,"00000"))</f>
        <v/>
      </c>
      <c r="C807" s="113">
        <f>IF($D807="","",IFERROR(INDEX(MUSTERILER!$B$7:$B$106,MATCH($D807,MUSTERILER!$C$7:$C$106,0)),IFERROR(INDEX(MUSTERILER!$B$7:$B$106,MATCH($D807,MUSTERILER!$B$7:$B$106,0)),IFERROR(INDEX(MUSTERILER!$B$7:$B$106,MATCH($D807&amp;"*",MUSTERILER!$C$7:$C$106,0)),"TANIMSIZ MÜŞTERİ"))))</f>
        <v/>
      </c>
      <c r="D807" s="109" t="n"/>
      <c r="E807" s="225" t="n"/>
      <c r="F807" s="226" t="n"/>
      <c r="G807" s="108" t="n"/>
      <c r="H807" s="108" t="n"/>
      <c r="I807" s="109" t="n"/>
      <c r="J807" s="109" t="n"/>
      <c r="K807" s="109" t="n"/>
      <c r="L807" s="231">
        <f>IF($E807="","",DATE(YEAR($E807),MONTH($E807),1))</f>
        <v/>
      </c>
      <c r="M807" s="113">
        <f>IF($D807="","",IF($C807="TANIMSIZ MÜŞTERİ","HATA",IF(OR($E807="",$F807&lt;=0,$G807=""),"EKSİK",IF($E807&gt;TODAY(),"İLERİ TARİH","UYGUN"))))</f>
        <v/>
      </c>
      <c r="N807" s="121">
        <f>IF($C807="","",IF($C807="TANIMSIZ MÜŞTERİ","—",INDEX(MUSTERILER!$C$7:$C$106,MATCH($C807,MUSTERILER!$B$7:$B$106,0))))</f>
        <v/>
      </c>
      <c r="O807" s="6" t="n"/>
      <c r="P807" s="6" t="n"/>
      <c r="Q807" s="3">
        <f>IF($D807="","",$C807&amp;"|"&amp;COUNTIFS($C$7:$C807,$C807))</f>
        <v/>
      </c>
    </row>
    <row r="808">
      <c r="A808" s="6" t="n"/>
      <c r="B808" s="113">
        <f>IF($D808="","","T"&amp;TEXT(ROW()-6,"00000"))</f>
        <v/>
      </c>
      <c r="C808" s="113">
        <f>IF($D808="","",IFERROR(INDEX(MUSTERILER!$B$7:$B$106,MATCH($D808,MUSTERILER!$C$7:$C$106,0)),IFERROR(INDEX(MUSTERILER!$B$7:$B$106,MATCH($D808,MUSTERILER!$B$7:$B$106,0)),IFERROR(INDEX(MUSTERILER!$B$7:$B$106,MATCH($D808&amp;"*",MUSTERILER!$C$7:$C$106,0)),"TANIMSIZ MÜŞTERİ"))))</f>
        <v/>
      </c>
      <c r="D808" s="109" t="n"/>
      <c r="E808" s="225" t="n"/>
      <c r="F808" s="226" t="n"/>
      <c r="G808" s="108" t="n"/>
      <c r="H808" s="108" t="n"/>
      <c r="I808" s="109" t="n"/>
      <c r="J808" s="109" t="n"/>
      <c r="K808" s="109" t="n"/>
      <c r="L808" s="231">
        <f>IF($E808="","",DATE(YEAR($E808),MONTH($E808),1))</f>
        <v/>
      </c>
      <c r="M808" s="113">
        <f>IF($D808="","",IF($C808="TANIMSIZ MÜŞTERİ","HATA",IF(OR($E808="",$F808&lt;=0,$G808=""),"EKSİK",IF($E808&gt;TODAY(),"İLERİ TARİH","UYGUN"))))</f>
        <v/>
      </c>
      <c r="N808" s="121">
        <f>IF($C808="","",IF($C808="TANIMSIZ MÜŞTERİ","—",INDEX(MUSTERILER!$C$7:$C$106,MATCH($C808,MUSTERILER!$B$7:$B$106,0))))</f>
        <v/>
      </c>
      <c r="O808" s="6" t="n"/>
      <c r="P808" s="6" t="n"/>
      <c r="Q808" s="3">
        <f>IF($D808="","",$C808&amp;"|"&amp;COUNTIFS($C$7:$C808,$C808))</f>
        <v/>
      </c>
    </row>
    <row r="809">
      <c r="A809" s="6" t="n"/>
      <c r="B809" s="113">
        <f>IF($D809="","","T"&amp;TEXT(ROW()-6,"00000"))</f>
        <v/>
      </c>
      <c r="C809" s="113">
        <f>IF($D809="","",IFERROR(INDEX(MUSTERILER!$B$7:$B$106,MATCH($D809,MUSTERILER!$C$7:$C$106,0)),IFERROR(INDEX(MUSTERILER!$B$7:$B$106,MATCH($D809,MUSTERILER!$B$7:$B$106,0)),IFERROR(INDEX(MUSTERILER!$B$7:$B$106,MATCH($D809&amp;"*",MUSTERILER!$C$7:$C$106,0)),"TANIMSIZ MÜŞTERİ"))))</f>
        <v/>
      </c>
      <c r="D809" s="109" t="n"/>
      <c r="E809" s="225" t="n"/>
      <c r="F809" s="226" t="n"/>
      <c r="G809" s="108" t="n"/>
      <c r="H809" s="108" t="n"/>
      <c r="I809" s="109" t="n"/>
      <c r="J809" s="109" t="n"/>
      <c r="K809" s="109" t="n"/>
      <c r="L809" s="231">
        <f>IF($E809="","",DATE(YEAR($E809),MONTH($E809),1))</f>
        <v/>
      </c>
      <c r="M809" s="113">
        <f>IF($D809="","",IF($C809="TANIMSIZ MÜŞTERİ","HATA",IF(OR($E809="",$F809&lt;=0,$G809=""),"EKSİK",IF($E809&gt;TODAY(),"İLERİ TARİH","UYGUN"))))</f>
        <v/>
      </c>
      <c r="N809" s="121">
        <f>IF($C809="","",IF($C809="TANIMSIZ MÜŞTERİ","—",INDEX(MUSTERILER!$C$7:$C$106,MATCH($C809,MUSTERILER!$B$7:$B$106,0))))</f>
        <v/>
      </c>
      <c r="O809" s="6" t="n"/>
      <c r="P809" s="6" t="n"/>
      <c r="Q809" s="3">
        <f>IF($D809="","",$C809&amp;"|"&amp;COUNTIFS($C$7:$C809,$C809))</f>
        <v/>
      </c>
    </row>
    <row r="810">
      <c r="A810" s="6" t="n"/>
      <c r="B810" s="113">
        <f>IF($D810="","","T"&amp;TEXT(ROW()-6,"00000"))</f>
        <v/>
      </c>
      <c r="C810" s="113">
        <f>IF($D810="","",IFERROR(INDEX(MUSTERILER!$B$7:$B$106,MATCH($D810,MUSTERILER!$C$7:$C$106,0)),IFERROR(INDEX(MUSTERILER!$B$7:$B$106,MATCH($D810,MUSTERILER!$B$7:$B$106,0)),IFERROR(INDEX(MUSTERILER!$B$7:$B$106,MATCH($D810&amp;"*",MUSTERILER!$C$7:$C$106,0)),"TANIMSIZ MÜŞTERİ"))))</f>
        <v/>
      </c>
      <c r="D810" s="109" t="n"/>
      <c r="E810" s="225" t="n"/>
      <c r="F810" s="226" t="n"/>
      <c r="G810" s="108" t="n"/>
      <c r="H810" s="108" t="n"/>
      <c r="I810" s="109" t="n"/>
      <c r="J810" s="109" t="n"/>
      <c r="K810" s="109" t="n"/>
      <c r="L810" s="231">
        <f>IF($E810="","",DATE(YEAR($E810),MONTH($E810),1))</f>
        <v/>
      </c>
      <c r="M810" s="113">
        <f>IF($D810="","",IF($C810="TANIMSIZ MÜŞTERİ","HATA",IF(OR($E810="",$F810&lt;=0,$G810=""),"EKSİK",IF($E810&gt;TODAY(),"İLERİ TARİH","UYGUN"))))</f>
        <v/>
      </c>
      <c r="N810" s="121">
        <f>IF($C810="","",IF($C810="TANIMSIZ MÜŞTERİ","—",INDEX(MUSTERILER!$C$7:$C$106,MATCH($C810,MUSTERILER!$B$7:$B$106,0))))</f>
        <v/>
      </c>
      <c r="O810" s="6" t="n"/>
      <c r="P810" s="6" t="n"/>
      <c r="Q810" s="3">
        <f>IF($D810="","",$C810&amp;"|"&amp;COUNTIFS($C$7:$C810,$C810))</f>
        <v/>
      </c>
    </row>
    <row r="811">
      <c r="A811" s="6" t="n"/>
      <c r="B811" s="113">
        <f>IF($D811="","","T"&amp;TEXT(ROW()-6,"00000"))</f>
        <v/>
      </c>
      <c r="C811" s="113">
        <f>IF($D811="","",IFERROR(INDEX(MUSTERILER!$B$7:$B$106,MATCH($D811,MUSTERILER!$C$7:$C$106,0)),IFERROR(INDEX(MUSTERILER!$B$7:$B$106,MATCH($D811,MUSTERILER!$B$7:$B$106,0)),IFERROR(INDEX(MUSTERILER!$B$7:$B$106,MATCH($D811&amp;"*",MUSTERILER!$C$7:$C$106,0)),"TANIMSIZ MÜŞTERİ"))))</f>
        <v/>
      </c>
      <c r="D811" s="109" t="n"/>
      <c r="E811" s="225" t="n"/>
      <c r="F811" s="226" t="n"/>
      <c r="G811" s="108" t="n"/>
      <c r="H811" s="108" t="n"/>
      <c r="I811" s="109" t="n"/>
      <c r="J811" s="109" t="n"/>
      <c r="K811" s="109" t="n"/>
      <c r="L811" s="231">
        <f>IF($E811="","",DATE(YEAR($E811),MONTH($E811),1))</f>
        <v/>
      </c>
      <c r="M811" s="113">
        <f>IF($D811="","",IF($C811="TANIMSIZ MÜŞTERİ","HATA",IF(OR($E811="",$F811&lt;=0,$G811=""),"EKSİK",IF($E811&gt;TODAY(),"İLERİ TARİH","UYGUN"))))</f>
        <v/>
      </c>
      <c r="N811" s="121">
        <f>IF($C811="","",IF($C811="TANIMSIZ MÜŞTERİ","—",INDEX(MUSTERILER!$C$7:$C$106,MATCH($C811,MUSTERILER!$B$7:$B$106,0))))</f>
        <v/>
      </c>
      <c r="O811" s="6" t="n"/>
      <c r="P811" s="6" t="n"/>
      <c r="Q811" s="3">
        <f>IF($D811="","",$C811&amp;"|"&amp;COUNTIFS($C$7:$C811,$C811))</f>
        <v/>
      </c>
    </row>
    <row r="812">
      <c r="A812" s="6" t="n"/>
      <c r="B812" s="113">
        <f>IF($D812="","","T"&amp;TEXT(ROW()-6,"00000"))</f>
        <v/>
      </c>
      <c r="C812" s="113">
        <f>IF($D812="","",IFERROR(INDEX(MUSTERILER!$B$7:$B$106,MATCH($D812,MUSTERILER!$C$7:$C$106,0)),IFERROR(INDEX(MUSTERILER!$B$7:$B$106,MATCH($D812,MUSTERILER!$B$7:$B$106,0)),IFERROR(INDEX(MUSTERILER!$B$7:$B$106,MATCH($D812&amp;"*",MUSTERILER!$C$7:$C$106,0)),"TANIMSIZ MÜŞTERİ"))))</f>
        <v/>
      </c>
      <c r="D812" s="109" t="n"/>
      <c r="E812" s="225" t="n"/>
      <c r="F812" s="226" t="n"/>
      <c r="G812" s="108" t="n"/>
      <c r="H812" s="108" t="n"/>
      <c r="I812" s="109" t="n"/>
      <c r="J812" s="109" t="n"/>
      <c r="K812" s="109" t="n"/>
      <c r="L812" s="231">
        <f>IF($E812="","",DATE(YEAR($E812),MONTH($E812),1))</f>
        <v/>
      </c>
      <c r="M812" s="113">
        <f>IF($D812="","",IF($C812="TANIMSIZ MÜŞTERİ","HATA",IF(OR($E812="",$F812&lt;=0,$G812=""),"EKSİK",IF($E812&gt;TODAY(),"İLERİ TARİH","UYGUN"))))</f>
        <v/>
      </c>
      <c r="N812" s="121">
        <f>IF($C812="","",IF($C812="TANIMSIZ MÜŞTERİ","—",INDEX(MUSTERILER!$C$7:$C$106,MATCH($C812,MUSTERILER!$B$7:$B$106,0))))</f>
        <v/>
      </c>
      <c r="O812" s="6" t="n"/>
      <c r="P812" s="6" t="n"/>
      <c r="Q812" s="3">
        <f>IF($D812="","",$C812&amp;"|"&amp;COUNTIFS($C$7:$C812,$C812))</f>
        <v/>
      </c>
    </row>
    <row r="813">
      <c r="A813" s="6" t="n"/>
      <c r="B813" s="113">
        <f>IF($D813="","","T"&amp;TEXT(ROW()-6,"00000"))</f>
        <v/>
      </c>
      <c r="C813" s="113">
        <f>IF($D813="","",IFERROR(INDEX(MUSTERILER!$B$7:$B$106,MATCH($D813,MUSTERILER!$C$7:$C$106,0)),IFERROR(INDEX(MUSTERILER!$B$7:$B$106,MATCH($D813,MUSTERILER!$B$7:$B$106,0)),IFERROR(INDEX(MUSTERILER!$B$7:$B$106,MATCH($D813&amp;"*",MUSTERILER!$C$7:$C$106,0)),"TANIMSIZ MÜŞTERİ"))))</f>
        <v/>
      </c>
      <c r="D813" s="109" t="n"/>
      <c r="E813" s="225" t="n"/>
      <c r="F813" s="226" t="n"/>
      <c r="G813" s="108" t="n"/>
      <c r="H813" s="108" t="n"/>
      <c r="I813" s="109" t="n"/>
      <c r="J813" s="109" t="n"/>
      <c r="K813" s="109" t="n"/>
      <c r="L813" s="231">
        <f>IF($E813="","",DATE(YEAR($E813),MONTH($E813),1))</f>
        <v/>
      </c>
      <c r="M813" s="113">
        <f>IF($D813="","",IF($C813="TANIMSIZ MÜŞTERİ","HATA",IF(OR($E813="",$F813&lt;=0,$G813=""),"EKSİK",IF($E813&gt;TODAY(),"İLERİ TARİH","UYGUN"))))</f>
        <v/>
      </c>
      <c r="N813" s="121">
        <f>IF($C813="","",IF($C813="TANIMSIZ MÜŞTERİ","—",INDEX(MUSTERILER!$C$7:$C$106,MATCH($C813,MUSTERILER!$B$7:$B$106,0))))</f>
        <v/>
      </c>
      <c r="O813" s="6" t="n"/>
      <c r="P813" s="6" t="n"/>
      <c r="Q813" s="3">
        <f>IF($D813="","",$C813&amp;"|"&amp;COUNTIFS($C$7:$C813,$C813))</f>
        <v/>
      </c>
    </row>
    <row r="814">
      <c r="A814" s="6" t="n"/>
      <c r="B814" s="113">
        <f>IF($D814="","","T"&amp;TEXT(ROW()-6,"00000"))</f>
        <v/>
      </c>
      <c r="C814" s="113">
        <f>IF($D814="","",IFERROR(INDEX(MUSTERILER!$B$7:$B$106,MATCH($D814,MUSTERILER!$C$7:$C$106,0)),IFERROR(INDEX(MUSTERILER!$B$7:$B$106,MATCH($D814,MUSTERILER!$B$7:$B$106,0)),IFERROR(INDEX(MUSTERILER!$B$7:$B$106,MATCH($D814&amp;"*",MUSTERILER!$C$7:$C$106,0)),"TANIMSIZ MÜŞTERİ"))))</f>
        <v/>
      </c>
      <c r="D814" s="109" t="n"/>
      <c r="E814" s="225" t="n"/>
      <c r="F814" s="226" t="n"/>
      <c r="G814" s="108" t="n"/>
      <c r="H814" s="108" t="n"/>
      <c r="I814" s="109" t="n"/>
      <c r="J814" s="109" t="n"/>
      <c r="K814" s="109" t="n"/>
      <c r="L814" s="231">
        <f>IF($E814="","",DATE(YEAR($E814),MONTH($E814),1))</f>
        <v/>
      </c>
      <c r="M814" s="113">
        <f>IF($D814="","",IF($C814="TANIMSIZ MÜŞTERİ","HATA",IF(OR($E814="",$F814&lt;=0,$G814=""),"EKSİK",IF($E814&gt;TODAY(),"İLERİ TARİH","UYGUN"))))</f>
        <v/>
      </c>
      <c r="N814" s="121">
        <f>IF($C814="","",IF($C814="TANIMSIZ MÜŞTERİ","—",INDEX(MUSTERILER!$C$7:$C$106,MATCH($C814,MUSTERILER!$B$7:$B$106,0))))</f>
        <v/>
      </c>
      <c r="O814" s="6" t="n"/>
      <c r="P814" s="6" t="n"/>
      <c r="Q814" s="3">
        <f>IF($D814="","",$C814&amp;"|"&amp;COUNTIFS($C$7:$C814,$C814))</f>
        <v/>
      </c>
    </row>
    <row r="815">
      <c r="A815" s="6" t="n"/>
      <c r="B815" s="113">
        <f>IF($D815="","","T"&amp;TEXT(ROW()-6,"00000"))</f>
        <v/>
      </c>
      <c r="C815" s="113">
        <f>IF($D815="","",IFERROR(INDEX(MUSTERILER!$B$7:$B$106,MATCH($D815,MUSTERILER!$C$7:$C$106,0)),IFERROR(INDEX(MUSTERILER!$B$7:$B$106,MATCH($D815,MUSTERILER!$B$7:$B$106,0)),IFERROR(INDEX(MUSTERILER!$B$7:$B$106,MATCH($D815&amp;"*",MUSTERILER!$C$7:$C$106,0)),"TANIMSIZ MÜŞTERİ"))))</f>
        <v/>
      </c>
      <c r="D815" s="109" t="n"/>
      <c r="E815" s="225" t="n"/>
      <c r="F815" s="226" t="n"/>
      <c r="G815" s="108" t="n"/>
      <c r="H815" s="108" t="n"/>
      <c r="I815" s="109" t="n"/>
      <c r="J815" s="109" t="n"/>
      <c r="K815" s="109" t="n"/>
      <c r="L815" s="231">
        <f>IF($E815="","",DATE(YEAR($E815),MONTH($E815),1))</f>
        <v/>
      </c>
      <c r="M815" s="113">
        <f>IF($D815="","",IF($C815="TANIMSIZ MÜŞTERİ","HATA",IF(OR($E815="",$F815&lt;=0,$G815=""),"EKSİK",IF($E815&gt;TODAY(),"İLERİ TARİH","UYGUN"))))</f>
        <v/>
      </c>
      <c r="N815" s="121">
        <f>IF($C815="","",IF($C815="TANIMSIZ MÜŞTERİ","—",INDEX(MUSTERILER!$C$7:$C$106,MATCH($C815,MUSTERILER!$B$7:$B$106,0))))</f>
        <v/>
      </c>
      <c r="O815" s="6" t="n"/>
      <c r="P815" s="6" t="n"/>
      <c r="Q815" s="3">
        <f>IF($D815="","",$C815&amp;"|"&amp;COUNTIFS($C$7:$C815,$C815))</f>
        <v/>
      </c>
    </row>
    <row r="816">
      <c r="A816" s="6" t="n"/>
      <c r="B816" s="113">
        <f>IF($D816="","","T"&amp;TEXT(ROW()-6,"00000"))</f>
        <v/>
      </c>
      <c r="C816" s="113">
        <f>IF($D816="","",IFERROR(INDEX(MUSTERILER!$B$7:$B$106,MATCH($D816,MUSTERILER!$C$7:$C$106,0)),IFERROR(INDEX(MUSTERILER!$B$7:$B$106,MATCH($D816,MUSTERILER!$B$7:$B$106,0)),IFERROR(INDEX(MUSTERILER!$B$7:$B$106,MATCH($D816&amp;"*",MUSTERILER!$C$7:$C$106,0)),"TANIMSIZ MÜŞTERİ"))))</f>
        <v/>
      </c>
      <c r="D816" s="109" t="n"/>
      <c r="E816" s="225" t="n"/>
      <c r="F816" s="226" t="n"/>
      <c r="G816" s="108" t="n"/>
      <c r="H816" s="108" t="n"/>
      <c r="I816" s="109" t="n"/>
      <c r="J816" s="109" t="n"/>
      <c r="K816" s="109" t="n"/>
      <c r="L816" s="231">
        <f>IF($E816="","",DATE(YEAR($E816),MONTH($E816),1))</f>
        <v/>
      </c>
      <c r="M816" s="113">
        <f>IF($D816="","",IF($C816="TANIMSIZ MÜŞTERİ","HATA",IF(OR($E816="",$F816&lt;=0,$G816=""),"EKSİK",IF($E816&gt;TODAY(),"İLERİ TARİH","UYGUN"))))</f>
        <v/>
      </c>
      <c r="N816" s="121">
        <f>IF($C816="","",IF($C816="TANIMSIZ MÜŞTERİ","—",INDEX(MUSTERILER!$C$7:$C$106,MATCH($C816,MUSTERILER!$B$7:$B$106,0))))</f>
        <v/>
      </c>
      <c r="O816" s="6" t="n"/>
      <c r="P816" s="6" t="n"/>
      <c r="Q816" s="3">
        <f>IF($D816="","",$C816&amp;"|"&amp;COUNTIFS($C$7:$C816,$C816))</f>
        <v/>
      </c>
    </row>
    <row r="817">
      <c r="A817" s="6" t="n"/>
      <c r="B817" s="113">
        <f>IF($D817="","","T"&amp;TEXT(ROW()-6,"00000"))</f>
        <v/>
      </c>
      <c r="C817" s="113">
        <f>IF($D817="","",IFERROR(INDEX(MUSTERILER!$B$7:$B$106,MATCH($D817,MUSTERILER!$C$7:$C$106,0)),IFERROR(INDEX(MUSTERILER!$B$7:$B$106,MATCH($D817,MUSTERILER!$B$7:$B$106,0)),IFERROR(INDEX(MUSTERILER!$B$7:$B$106,MATCH($D817&amp;"*",MUSTERILER!$C$7:$C$106,0)),"TANIMSIZ MÜŞTERİ"))))</f>
        <v/>
      </c>
      <c r="D817" s="109" t="n"/>
      <c r="E817" s="225" t="n"/>
      <c r="F817" s="226" t="n"/>
      <c r="G817" s="108" t="n"/>
      <c r="H817" s="108" t="n"/>
      <c r="I817" s="109" t="n"/>
      <c r="J817" s="109" t="n"/>
      <c r="K817" s="109" t="n"/>
      <c r="L817" s="231">
        <f>IF($E817="","",DATE(YEAR($E817),MONTH($E817),1))</f>
        <v/>
      </c>
      <c r="M817" s="113">
        <f>IF($D817="","",IF($C817="TANIMSIZ MÜŞTERİ","HATA",IF(OR($E817="",$F817&lt;=0,$G817=""),"EKSİK",IF($E817&gt;TODAY(),"İLERİ TARİH","UYGUN"))))</f>
        <v/>
      </c>
      <c r="N817" s="121">
        <f>IF($C817="","",IF($C817="TANIMSIZ MÜŞTERİ","—",INDEX(MUSTERILER!$C$7:$C$106,MATCH($C817,MUSTERILER!$B$7:$B$106,0))))</f>
        <v/>
      </c>
      <c r="O817" s="6" t="n"/>
      <c r="P817" s="6" t="n"/>
      <c r="Q817" s="3">
        <f>IF($D817="","",$C817&amp;"|"&amp;COUNTIFS($C$7:$C817,$C817))</f>
        <v/>
      </c>
    </row>
    <row r="818">
      <c r="A818" s="6" t="n"/>
      <c r="B818" s="113">
        <f>IF($D818="","","T"&amp;TEXT(ROW()-6,"00000"))</f>
        <v/>
      </c>
      <c r="C818" s="113">
        <f>IF($D818="","",IFERROR(INDEX(MUSTERILER!$B$7:$B$106,MATCH($D818,MUSTERILER!$C$7:$C$106,0)),IFERROR(INDEX(MUSTERILER!$B$7:$B$106,MATCH($D818,MUSTERILER!$B$7:$B$106,0)),IFERROR(INDEX(MUSTERILER!$B$7:$B$106,MATCH($D818&amp;"*",MUSTERILER!$C$7:$C$106,0)),"TANIMSIZ MÜŞTERİ"))))</f>
        <v/>
      </c>
      <c r="D818" s="109" t="n"/>
      <c r="E818" s="225" t="n"/>
      <c r="F818" s="226" t="n"/>
      <c r="G818" s="108" t="n"/>
      <c r="H818" s="108" t="n"/>
      <c r="I818" s="109" t="n"/>
      <c r="J818" s="109" t="n"/>
      <c r="K818" s="109" t="n"/>
      <c r="L818" s="231">
        <f>IF($E818="","",DATE(YEAR($E818),MONTH($E818),1))</f>
        <v/>
      </c>
      <c r="M818" s="113">
        <f>IF($D818="","",IF($C818="TANIMSIZ MÜŞTERİ","HATA",IF(OR($E818="",$F818&lt;=0,$G818=""),"EKSİK",IF($E818&gt;TODAY(),"İLERİ TARİH","UYGUN"))))</f>
        <v/>
      </c>
      <c r="N818" s="121">
        <f>IF($C818="","",IF($C818="TANIMSIZ MÜŞTERİ","—",INDEX(MUSTERILER!$C$7:$C$106,MATCH($C818,MUSTERILER!$B$7:$B$106,0))))</f>
        <v/>
      </c>
      <c r="O818" s="6" t="n"/>
      <c r="P818" s="6" t="n"/>
      <c r="Q818" s="3">
        <f>IF($D818="","",$C818&amp;"|"&amp;COUNTIFS($C$7:$C818,$C818))</f>
        <v/>
      </c>
    </row>
    <row r="819">
      <c r="A819" s="6" t="n"/>
      <c r="B819" s="113">
        <f>IF($D819="","","T"&amp;TEXT(ROW()-6,"00000"))</f>
        <v/>
      </c>
      <c r="C819" s="113">
        <f>IF($D819="","",IFERROR(INDEX(MUSTERILER!$B$7:$B$106,MATCH($D819,MUSTERILER!$C$7:$C$106,0)),IFERROR(INDEX(MUSTERILER!$B$7:$B$106,MATCH($D819,MUSTERILER!$B$7:$B$106,0)),IFERROR(INDEX(MUSTERILER!$B$7:$B$106,MATCH($D819&amp;"*",MUSTERILER!$C$7:$C$106,0)),"TANIMSIZ MÜŞTERİ"))))</f>
        <v/>
      </c>
      <c r="D819" s="109" t="n"/>
      <c r="E819" s="225" t="n"/>
      <c r="F819" s="226" t="n"/>
      <c r="G819" s="108" t="n"/>
      <c r="H819" s="108" t="n"/>
      <c r="I819" s="109" t="n"/>
      <c r="J819" s="109" t="n"/>
      <c r="K819" s="109" t="n"/>
      <c r="L819" s="231">
        <f>IF($E819="","",DATE(YEAR($E819),MONTH($E819),1))</f>
        <v/>
      </c>
      <c r="M819" s="113">
        <f>IF($D819="","",IF($C819="TANIMSIZ MÜŞTERİ","HATA",IF(OR($E819="",$F819&lt;=0,$G819=""),"EKSİK",IF($E819&gt;TODAY(),"İLERİ TARİH","UYGUN"))))</f>
        <v/>
      </c>
      <c r="N819" s="121">
        <f>IF($C819="","",IF($C819="TANIMSIZ MÜŞTERİ","—",INDEX(MUSTERILER!$C$7:$C$106,MATCH($C819,MUSTERILER!$B$7:$B$106,0))))</f>
        <v/>
      </c>
      <c r="O819" s="6" t="n"/>
      <c r="P819" s="6" t="n"/>
      <c r="Q819" s="3">
        <f>IF($D819="","",$C819&amp;"|"&amp;COUNTIFS($C$7:$C819,$C819))</f>
        <v/>
      </c>
    </row>
    <row r="820">
      <c r="A820" s="6" t="n"/>
      <c r="B820" s="113">
        <f>IF($D820="","","T"&amp;TEXT(ROW()-6,"00000"))</f>
        <v/>
      </c>
      <c r="C820" s="113">
        <f>IF($D820="","",IFERROR(INDEX(MUSTERILER!$B$7:$B$106,MATCH($D820,MUSTERILER!$C$7:$C$106,0)),IFERROR(INDEX(MUSTERILER!$B$7:$B$106,MATCH($D820,MUSTERILER!$B$7:$B$106,0)),IFERROR(INDEX(MUSTERILER!$B$7:$B$106,MATCH($D820&amp;"*",MUSTERILER!$C$7:$C$106,0)),"TANIMSIZ MÜŞTERİ"))))</f>
        <v/>
      </c>
      <c r="D820" s="109" t="n"/>
      <c r="E820" s="225" t="n"/>
      <c r="F820" s="226" t="n"/>
      <c r="G820" s="108" t="n"/>
      <c r="H820" s="108" t="n"/>
      <c r="I820" s="109" t="n"/>
      <c r="J820" s="109" t="n"/>
      <c r="K820" s="109" t="n"/>
      <c r="L820" s="231">
        <f>IF($E820="","",DATE(YEAR($E820),MONTH($E820),1))</f>
        <v/>
      </c>
      <c r="M820" s="113">
        <f>IF($D820="","",IF($C820="TANIMSIZ MÜŞTERİ","HATA",IF(OR($E820="",$F820&lt;=0,$G820=""),"EKSİK",IF($E820&gt;TODAY(),"İLERİ TARİH","UYGUN"))))</f>
        <v/>
      </c>
      <c r="N820" s="121">
        <f>IF($C820="","",IF($C820="TANIMSIZ MÜŞTERİ","—",INDEX(MUSTERILER!$C$7:$C$106,MATCH($C820,MUSTERILER!$B$7:$B$106,0))))</f>
        <v/>
      </c>
      <c r="O820" s="6" t="n"/>
      <c r="P820" s="6" t="n"/>
      <c r="Q820" s="3">
        <f>IF($D820="","",$C820&amp;"|"&amp;COUNTIFS($C$7:$C820,$C820))</f>
        <v/>
      </c>
    </row>
    <row r="821">
      <c r="A821" s="6" t="n"/>
      <c r="B821" s="113">
        <f>IF($D821="","","T"&amp;TEXT(ROW()-6,"00000"))</f>
        <v/>
      </c>
      <c r="C821" s="113">
        <f>IF($D821="","",IFERROR(INDEX(MUSTERILER!$B$7:$B$106,MATCH($D821,MUSTERILER!$C$7:$C$106,0)),IFERROR(INDEX(MUSTERILER!$B$7:$B$106,MATCH($D821,MUSTERILER!$B$7:$B$106,0)),IFERROR(INDEX(MUSTERILER!$B$7:$B$106,MATCH($D821&amp;"*",MUSTERILER!$C$7:$C$106,0)),"TANIMSIZ MÜŞTERİ"))))</f>
        <v/>
      </c>
      <c r="D821" s="109" t="n"/>
      <c r="E821" s="225" t="n"/>
      <c r="F821" s="226" t="n"/>
      <c r="G821" s="108" t="n"/>
      <c r="H821" s="108" t="n"/>
      <c r="I821" s="109" t="n"/>
      <c r="J821" s="109" t="n"/>
      <c r="K821" s="109" t="n"/>
      <c r="L821" s="231">
        <f>IF($E821="","",DATE(YEAR($E821),MONTH($E821),1))</f>
        <v/>
      </c>
      <c r="M821" s="113">
        <f>IF($D821="","",IF($C821="TANIMSIZ MÜŞTERİ","HATA",IF(OR($E821="",$F821&lt;=0,$G821=""),"EKSİK",IF($E821&gt;TODAY(),"İLERİ TARİH","UYGUN"))))</f>
        <v/>
      </c>
      <c r="N821" s="121">
        <f>IF($C821="","",IF($C821="TANIMSIZ MÜŞTERİ","—",INDEX(MUSTERILER!$C$7:$C$106,MATCH($C821,MUSTERILER!$B$7:$B$106,0))))</f>
        <v/>
      </c>
      <c r="O821" s="6" t="n"/>
      <c r="P821" s="6" t="n"/>
      <c r="Q821" s="3">
        <f>IF($D821="","",$C821&amp;"|"&amp;COUNTIFS($C$7:$C821,$C821))</f>
        <v/>
      </c>
    </row>
    <row r="822">
      <c r="A822" s="6" t="n"/>
      <c r="B822" s="113">
        <f>IF($D822="","","T"&amp;TEXT(ROW()-6,"00000"))</f>
        <v/>
      </c>
      <c r="C822" s="113">
        <f>IF($D822="","",IFERROR(INDEX(MUSTERILER!$B$7:$B$106,MATCH($D822,MUSTERILER!$C$7:$C$106,0)),IFERROR(INDEX(MUSTERILER!$B$7:$B$106,MATCH($D822,MUSTERILER!$B$7:$B$106,0)),IFERROR(INDEX(MUSTERILER!$B$7:$B$106,MATCH($D822&amp;"*",MUSTERILER!$C$7:$C$106,0)),"TANIMSIZ MÜŞTERİ"))))</f>
        <v/>
      </c>
      <c r="D822" s="109" t="n"/>
      <c r="E822" s="225" t="n"/>
      <c r="F822" s="226" t="n"/>
      <c r="G822" s="108" t="n"/>
      <c r="H822" s="108" t="n"/>
      <c r="I822" s="109" t="n"/>
      <c r="J822" s="109" t="n"/>
      <c r="K822" s="109" t="n"/>
      <c r="L822" s="231">
        <f>IF($E822="","",DATE(YEAR($E822),MONTH($E822),1))</f>
        <v/>
      </c>
      <c r="M822" s="113">
        <f>IF($D822="","",IF($C822="TANIMSIZ MÜŞTERİ","HATA",IF(OR($E822="",$F822&lt;=0,$G822=""),"EKSİK",IF($E822&gt;TODAY(),"İLERİ TARİH","UYGUN"))))</f>
        <v/>
      </c>
      <c r="N822" s="121">
        <f>IF($C822="","",IF($C822="TANIMSIZ MÜŞTERİ","—",INDEX(MUSTERILER!$C$7:$C$106,MATCH($C822,MUSTERILER!$B$7:$B$106,0))))</f>
        <v/>
      </c>
      <c r="O822" s="6" t="n"/>
      <c r="P822" s="6" t="n"/>
      <c r="Q822" s="3">
        <f>IF($D822="","",$C822&amp;"|"&amp;COUNTIFS($C$7:$C822,$C822))</f>
        <v/>
      </c>
    </row>
    <row r="823">
      <c r="A823" s="6" t="n"/>
      <c r="B823" s="113">
        <f>IF($D823="","","T"&amp;TEXT(ROW()-6,"00000"))</f>
        <v/>
      </c>
      <c r="C823" s="113">
        <f>IF($D823="","",IFERROR(INDEX(MUSTERILER!$B$7:$B$106,MATCH($D823,MUSTERILER!$C$7:$C$106,0)),IFERROR(INDEX(MUSTERILER!$B$7:$B$106,MATCH($D823,MUSTERILER!$B$7:$B$106,0)),IFERROR(INDEX(MUSTERILER!$B$7:$B$106,MATCH($D823&amp;"*",MUSTERILER!$C$7:$C$106,0)),"TANIMSIZ MÜŞTERİ"))))</f>
        <v/>
      </c>
      <c r="D823" s="109" t="n"/>
      <c r="E823" s="225" t="n"/>
      <c r="F823" s="226" t="n"/>
      <c r="G823" s="108" t="n"/>
      <c r="H823" s="108" t="n"/>
      <c r="I823" s="109" t="n"/>
      <c r="J823" s="109" t="n"/>
      <c r="K823" s="109" t="n"/>
      <c r="L823" s="231">
        <f>IF($E823="","",DATE(YEAR($E823),MONTH($E823),1))</f>
        <v/>
      </c>
      <c r="M823" s="113">
        <f>IF($D823="","",IF($C823="TANIMSIZ MÜŞTERİ","HATA",IF(OR($E823="",$F823&lt;=0,$G823=""),"EKSİK",IF($E823&gt;TODAY(),"İLERİ TARİH","UYGUN"))))</f>
        <v/>
      </c>
      <c r="N823" s="121">
        <f>IF($C823="","",IF($C823="TANIMSIZ MÜŞTERİ","—",INDEX(MUSTERILER!$C$7:$C$106,MATCH($C823,MUSTERILER!$B$7:$B$106,0))))</f>
        <v/>
      </c>
      <c r="O823" s="6" t="n"/>
      <c r="P823" s="6" t="n"/>
      <c r="Q823" s="3">
        <f>IF($D823="","",$C823&amp;"|"&amp;COUNTIFS($C$7:$C823,$C823))</f>
        <v/>
      </c>
    </row>
    <row r="824">
      <c r="A824" s="6" t="n"/>
      <c r="B824" s="113">
        <f>IF($D824="","","T"&amp;TEXT(ROW()-6,"00000"))</f>
        <v/>
      </c>
      <c r="C824" s="113">
        <f>IF($D824="","",IFERROR(INDEX(MUSTERILER!$B$7:$B$106,MATCH($D824,MUSTERILER!$C$7:$C$106,0)),IFERROR(INDEX(MUSTERILER!$B$7:$B$106,MATCH($D824,MUSTERILER!$B$7:$B$106,0)),IFERROR(INDEX(MUSTERILER!$B$7:$B$106,MATCH($D824&amp;"*",MUSTERILER!$C$7:$C$106,0)),"TANIMSIZ MÜŞTERİ"))))</f>
        <v/>
      </c>
      <c r="D824" s="109" t="n"/>
      <c r="E824" s="225" t="n"/>
      <c r="F824" s="226" t="n"/>
      <c r="G824" s="108" t="n"/>
      <c r="H824" s="108" t="n"/>
      <c r="I824" s="109" t="n"/>
      <c r="J824" s="109" t="n"/>
      <c r="K824" s="109" t="n"/>
      <c r="L824" s="231">
        <f>IF($E824="","",DATE(YEAR($E824),MONTH($E824),1))</f>
        <v/>
      </c>
      <c r="M824" s="113">
        <f>IF($D824="","",IF($C824="TANIMSIZ MÜŞTERİ","HATA",IF(OR($E824="",$F824&lt;=0,$G824=""),"EKSİK",IF($E824&gt;TODAY(),"İLERİ TARİH","UYGUN"))))</f>
        <v/>
      </c>
      <c r="N824" s="121">
        <f>IF($C824="","",IF($C824="TANIMSIZ MÜŞTERİ","—",INDEX(MUSTERILER!$C$7:$C$106,MATCH($C824,MUSTERILER!$B$7:$B$106,0))))</f>
        <v/>
      </c>
      <c r="O824" s="6" t="n"/>
      <c r="P824" s="6" t="n"/>
      <c r="Q824" s="3">
        <f>IF($D824="","",$C824&amp;"|"&amp;COUNTIFS($C$7:$C824,$C824))</f>
        <v/>
      </c>
    </row>
    <row r="825">
      <c r="A825" s="6" t="n"/>
      <c r="B825" s="113">
        <f>IF($D825="","","T"&amp;TEXT(ROW()-6,"00000"))</f>
        <v/>
      </c>
      <c r="C825" s="113">
        <f>IF($D825="","",IFERROR(INDEX(MUSTERILER!$B$7:$B$106,MATCH($D825,MUSTERILER!$C$7:$C$106,0)),IFERROR(INDEX(MUSTERILER!$B$7:$B$106,MATCH($D825,MUSTERILER!$B$7:$B$106,0)),IFERROR(INDEX(MUSTERILER!$B$7:$B$106,MATCH($D825&amp;"*",MUSTERILER!$C$7:$C$106,0)),"TANIMSIZ MÜŞTERİ"))))</f>
        <v/>
      </c>
      <c r="D825" s="109" t="n"/>
      <c r="E825" s="225" t="n"/>
      <c r="F825" s="226" t="n"/>
      <c r="G825" s="108" t="n"/>
      <c r="H825" s="108" t="n"/>
      <c r="I825" s="109" t="n"/>
      <c r="J825" s="109" t="n"/>
      <c r="K825" s="109" t="n"/>
      <c r="L825" s="231">
        <f>IF($E825="","",DATE(YEAR($E825),MONTH($E825),1))</f>
        <v/>
      </c>
      <c r="M825" s="113">
        <f>IF($D825="","",IF($C825="TANIMSIZ MÜŞTERİ","HATA",IF(OR($E825="",$F825&lt;=0,$G825=""),"EKSİK",IF($E825&gt;TODAY(),"İLERİ TARİH","UYGUN"))))</f>
        <v/>
      </c>
      <c r="N825" s="121">
        <f>IF($C825="","",IF($C825="TANIMSIZ MÜŞTERİ","—",INDEX(MUSTERILER!$C$7:$C$106,MATCH($C825,MUSTERILER!$B$7:$B$106,0))))</f>
        <v/>
      </c>
      <c r="O825" s="6" t="n"/>
      <c r="P825" s="6" t="n"/>
      <c r="Q825" s="3">
        <f>IF($D825="","",$C825&amp;"|"&amp;COUNTIFS($C$7:$C825,$C825))</f>
        <v/>
      </c>
    </row>
    <row r="826">
      <c r="A826" s="6" t="n"/>
      <c r="B826" s="113">
        <f>IF($D826="","","T"&amp;TEXT(ROW()-6,"00000"))</f>
        <v/>
      </c>
      <c r="C826" s="113">
        <f>IF($D826="","",IFERROR(INDEX(MUSTERILER!$B$7:$B$106,MATCH($D826,MUSTERILER!$C$7:$C$106,0)),IFERROR(INDEX(MUSTERILER!$B$7:$B$106,MATCH($D826,MUSTERILER!$B$7:$B$106,0)),IFERROR(INDEX(MUSTERILER!$B$7:$B$106,MATCH($D826&amp;"*",MUSTERILER!$C$7:$C$106,0)),"TANIMSIZ MÜŞTERİ"))))</f>
        <v/>
      </c>
      <c r="D826" s="109" t="n"/>
      <c r="E826" s="225" t="n"/>
      <c r="F826" s="226" t="n"/>
      <c r="G826" s="108" t="n"/>
      <c r="H826" s="108" t="n"/>
      <c r="I826" s="109" t="n"/>
      <c r="J826" s="109" t="n"/>
      <c r="K826" s="109" t="n"/>
      <c r="L826" s="231">
        <f>IF($E826="","",DATE(YEAR($E826),MONTH($E826),1))</f>
        <v/>
      </c>
      <c r="M826" s="113">
        <f>IF($D826="","",IF($C826="TANIMSIZ MÜŞTERİ","HATA",IF(OR($E826="",$F826&lt;=0,$G826=""),"EKSİK",IF($E826&gt;TODAY(),"İLERİ TARİH","UYGUN"))))</f>
        <v/>
      </c>
      <c r="N826" s="121">
        <f>IF($C826="","",IF($C826="TANIMSIZ MÜŞTERİ","—",INDEX(MUSTERILER!$C$7:$C$106,MATCH($C826,MUSTERILER!$B$7:$B$106,0))))</f>
        <v/>
      </c>
      <c r="O826" s="6" t="n"/>
      <c r="P826" s="6" t="n"/>
      <c r="Q826" s="3">
        <f>IF($D826="","",$C826&amp;"|"&amp;COUNTIFS($C$7:$C826,$C826))</f>
        <v/>
      </c>
    </row>
    <row r="827">
      <c r="A827" s="6" t="n"/>
      <c r="B827" s="113">
        <f>IF($D827="","","T"&amp;TEXT(ROW()-6,"00000"))</f>
        <v/>
      </c>
      <c r="C827" s="113">
        <f>IF($D827="","",IFERROR(INDEX(MUSTERILER!$B$7:$B$106,MATCH($D827,MUSTERILER!$C$7:$C$106,0)),IFERROR(INDEX(MUSTERILER!$B$7:$B$106,MATCH($D827,MUSTERILER!$B$7:$B$106,0)),IFERROR(INDEX(MUSTERILER!$B$7:$B$106,MATCH($D827&amp;"*",MUSTERILER!$C$7:$C$106,0)),"TANIMSIZ MÜŞTERİ"))))</f>
        <v/>
      </c>
      <c r="D827" s="109" t="n"/>
      <c r="E827" s="225" t="n"/>
      <c r="F827" s="226" t="n"/>
      <c r="G827" s="108" t="n"/>
      <c r="H827" s="108" t="n"/>
      <c r="I827" s="109" t="n"/>
      <c r="J827" s="109" t="n"/>
      <c r="K827" s="109" t="n"/>
      <c r="L827" s="231">
        <f>IF($E827="","",DATE(YEAR($E827),MONTH($E827),1))</f>
        <v/>
      </c>
      <c r="M827" s="113">
        <f>IF($D827="","",IF($C827="TANIMSIZ MÜŞTERİ","HATA",IF(OR($E827="",$F827&lt;=0,$G827=""),"EKSİK",IF($E827&gt;TODAY(),"İLERİ TARİH","UYGUN"))))</f>
        <v/>
      </c>
      <c r="N827" s="121">
        <f>IF($C827="","",IF($C827="TANIMSIZ MÜŞTERİ","—",INDEX(MUSTERILER!$C$7:$C$106,MATCH($C827,MUSTERILER!$B$7:$B$106,0))))</f>
        <v/>
      </c>
      <c r="O827" s="6" t="n"/>
      <c r="P827" s="6" t="n"/>
      <c r="Q827" s="3">
        <f>IF($D827="","",$C827&amp;"|"&amp;COUNTIFS($C$7:$C827,$C827))</f>
        <v/>
      </c>
    </row>
    <row r="828">
      <c r="A828" s="6" t="n"/>
      <c r="B828" s="113">
        <f>IF($D828="","","T"&amp;TEXT(ROW()-6,"00000"))</f>
        <v/>
      </c>
      <c r="C828" s="113">
        <f>IF($D828="","",IFERROR(INDEX(MUSTERILER!$B$7:$B$106,MATCH($D828,MUSTERILER!$C$7:$C$106,0)),IFERROR(INDEX(MUSTERILER!$B$7:$B$106,MATCH($D828,MUSTERILER!$B$7:$B$106,0)),IFERROR(INDEX(MUSTERILER!$B$7:$B$106,MATCH($D828&amp;"*",MUSTERILER!$C$7:$C$106,0)),"TANIMSIZ MÜŞTERİ"))))</f>
        <v/>
      </c>
      <c r="D828" s="109" t="n"/>
      <c r="E828" s="225" t="n"/>
      <c r="F828" s="226" t="n"/>
      <c r="G828" s="108" t="n"/>
      <c r="H828" s="108" t="n"/>
      <c r="I828" s="109" t="n"/>
      <c r="J828" s="109" t="n"/>
      <c r="K828" s="109" t="n"/>
      <c r="L828" s="231">
        <f>IF($E828="","",DATE(YEAR($E828),MONTH($E828),1))</f>
        <v/>
      </c>
      <c r="M828" s="113">
        <f>IF($D828="","",IF($C828="TANIMSIZ MÜŞTERİ","HATA",IF(OR($E828="",$F828&lt;=0,$G828=""),"EKSİK",IF($E828&gt;TODAY(),"İLERİ TARİH","UYGUN"))))</f>
        <v/>
      </c>
      <c r="N828" s="121">
        <f>IF($C828="","",IF($C828="TANIMSIZ MÜŞTERİ","—",INDEX(MUSTERILER!$C$7:$C$106,MATCH($C828,MUSTERILER!$B$7:$B$106,0))))</f>
        <v/>
      </c>
      <c r="O828" s="6" t="n"/>
      <c r="P828" s="6" t="n"/>
      <c r="Q828" s="3">
        <f>IF($D828="","",$C828&amp;"|"&amp;COUNTIFS($C$7:$C828,$C828))</f>
        <v/>
      </c>
    </row>
    <row r="829">
      <c r="A829" s="6" t="n"/>
      <c r="B829" s="113">
        <f>IF($D829="","","T"&amp;TEXT(ROW()-6,"00000"))</f>
        <v/>
      </c>
      <c r="C829" s="113">
        <f>IF($D829="","",IFERROR(INDEX(MUSTERILER!$B$7:$B$106,MATCH($D829,MUSTERILER!$C$7:$C$106,0)),IFERROR(INDEX(MUSTERILER!$B$7:$B$106,MATCH($D829,MUSTERILER!$B$7:$B$106,0)),IFERROR(INDEX(MUSTERILER!$B$7:$B$106,MATCH($D829&amp;"*",MUSTERILER!$C$7:$C$106,0)),"TANIMSIZ MÜŞTERİ"))))</f>
        <v/>
      </c>
      <c r="D829" s="109" t="n"/>
      <c r="E829" s="225" t="n"/>
      <c r="F829" s="226" t="n"/>
      <c r="G829" s="108" t="n"/>
      <c r="H829" s="108" t="n"/>
      <c r="I829" s="109" t="n"/>
      <c r="J829" s="109" t="n"/>
      <c r="K829" s="109" t="n"/>
      <c r="L829" s="231">
        <f>IF($E829="","",DATE(YEAR($E829),MONTH($E829),1))</f>
        <v/>
      </c>
      <c r="M829" s="113">
        <f>IF($D829="","",IF($C829="TANIMSIZ MÜŞTERİ","HATA",IF(OR($E829="",$F829&lt;=0,$G829=""),"EKSİK",IF($E829&gt;TODAY(),"İLERİ TARİH","UYGUN"))))</f>
        <v/>
      </c>
      <c r="N829" s="121">
        <f>IF($C829="","",IF($C829="TANIMSIZ MÜŞTERİ","—",INDEX(MUSTERILER!$C$7:$C$106,MATCH($C829,MUSTERILER!$B$7:$B$106,0))))</f>
        <v/>
      </c>
      <c r="O829" s="6" t="n"/>
      <c r="P829" s="6" t="n"/>
      <c r="Q829" s="3">
        <f>IF($D829="","",$C829&amp;"|"&amp;COUNTIFS($C$7:$C829,$C829))</f>
        <v/>
      </c>
    </row>
    <row r="830">
      <c r="A830" s="6" t="n"/>
      <c r="B830" s="113">
        <f>IF($D830="","","T"&amp;TEXT(ROW()-6,"00000"))</f>
        <v/>
      </c>
      <c r="C830" s="113">
        <f>IF($D830="","",IFERROR(INDEX(MUSTERILER!$B$7:$B$106,MATCH($D830,MUSTERILER!$C$7:$C$106,0)),IFERROR(INDEX(MUSTERILER!$B$7:$B$106,MATCH($D830,MUSTERILER!$B$7:$B$106,0)),IFERROR(INDEX(MUSTERILER!$B$7:$B$106,MATCH($D830&amp;"*",MUSTERILER!$C$7:$C$106,0)),"TANIMSIZ MÜŞTERİ"))))</f>
        <v/>
      </c>
      <c r="D830" s="109" t="n"/>
      <c r="E830" s="225" t="n"/>
      <c r="F830" s="226" t="n"/>
      <c r="G830" s="108" t="n"/>
      <c r="H830" s="108" t="n"/>
      <c r="I830" s="109" t="n"/>
      <c r="J830" s="109" t="n"/>
      <c r="K830" s="109" t="n"/>
      <c r="L830" s="231">
        <f>IF($E830="","",DATE(YEAR($E830),MONTH($E830),1))</f>
        <v/>
      </c>
      <c r="M830" s="113">
        <f>IF($D830="","",IF($C830="TANIMSIZ MÜŞTERİ","HATA",IF(OR($E830="",$F830&lt;=0,$G830=""),"EKSİK",IF($E830&gt;TODAY(),"İLERİ TARİH","UYGUN"))))</f>
        <v/>
      </c>
      <c r="N830" s="121">
        <f>IF($C830="","",IF($C830="TANIMSIZ MÜŞTERİ","—",INDEX(MUSTERILER!$C$7:$C$106,MATCH($C830,MUSTERILER!$B$7:$B$106,0))))</f>
        <v/>
      </c>
      <c r="O830" s="6" t="n"/>
      <c r="P830" s="6" t="n"/>
      <c r="Q830" s="3">
        <f>IF($D830="","",$C830&amp;"|"&amp;COUNTIFS($C$7:$C830,$C830))</f>
        <v/>
      </c>
    </row>
    <row r="831">
      <c r="A831" s="6" t="n"/>
      <c r="B831" s="113">
        <f>IF($D831="","","T"&amp;TEXT(ROW()-6,"00000"))</f>
        <v/>
      </c>
      <c r="C831" s="113">
        <f>IF($D831="","",IFERROR(INDEX(MUSTERILER!$B$7:$B$106,MATCH($D831,MUSTERILER!$C$7:$C$106,0)),IFERROR(INDEX(MUSTERILER!$B$7:$B$106,MATCH($D831,MUSTERILER!$B$7:$B$106,0)),IFERROR(INDEX(MUSTERILER!$B$7:$B$106,MATCH($D831&amp;"*",MUSTERILER!$C$7:$C$106,0)),"TANIMSIZ MÜŞTERİ"))))</f>
        <v/>
      </c>
      <c r="D831" s="109" t="n"/>
      <c r="E831" s="225" t="n"/>
      <c r="F831" s="226" t="n"/>
      <c r="G831" s="108" t="n"/>
      <c r="H831" s="108" t="n"/>
      <c r="I831" s="109" t="n"/>
      <c r="J831" s="109" t="n"/>
      <c r="K831" s="109" t="n"/>
      <c r="L831" s="231">
        <f>IF($E831="","",DATE(YEAR($E831),MONTH($E831),1))</f>
        <v/>
      </c>
      <c r="M831" s="113">
        <f>IF($D831="","",IF($C831="TANIMSIZ MÜŞTERİ","HATA",IF(OR($E831="",$F831&lt;=0,$G831=""),"EKSİK",IF($E831&gt;TODAY(),"İLERİ TARİH","UYGUN"))))</f>
        <v/>
      </c>
      <c r="N831" s="121">
        <f>IF($C831="","",IF($C831="TANIMSIZ MÜŞTERİ","—",INDEX(MUSTERILER!$C$7:$C$106,MATCH($C831,MUSTERILER!$B$7:$B$106,0))))</f>
        <v/>
      </c>
      <c r="O831" s="6" t="n"/>
      <c r="P831" s="6" t="n"/>
      <c r="Q831" s="3">
        <f>IF($D831="","",$C831&amp;"|"&amp;COUNTIFS($C$7:$C831,$C831))</f>
        <v/>
      </c>
    </row>
    <row r="832">
      <c r="A832" s="6" t="n"/>
      <c r="B832" s="113">
        <f>IF($D832="","","T"&amp;TEXT(ROW()-6,"00000"))</f>
        <v/>
      </c>
      <c r="C832" s="113">
        <f>IF($D832="","",IFERROR(INDEX(MUSTERILER!$B$7:$B$106,MATCH($D832,MUSTERILER!$C$7:$C$106,0)),IFERROR(INDEX(MUSTERILER!$B$7:$B$106,MATCH($D832,MUSTERILER!$B$7:$B$106,0)),IFERROR(INDEX(MUSTERILER!$B$7:$B$106,MATCH($D832&amp;"*",MUSTERILER!$C$7:$C$106,0)),"TANIMSIZ MÜŞTERİ"))))</f>
        <v/>
      </c>
      <c r="D832" s="109" t="n"/>
      <c r="E832" s="225" t="n"/>
      <c r="F832" s="226" t="n"/>
      <c r="G832" s="108" t="n"/>
      <c r="H832" s="108" t="n"/>
      <c r="I832" s="109" t="n"/>
      <c r="J832" s="109" t="n"/>
      <c r="K832" s="109" t="n"/>
      <c r="L832" s="231">
        <f>IF($E832="","",DATE(YEAR($E832),MONTH($E832),1))</f>
        <v/>
      </c>
      <c r="M832" s="113">
        <f>IF($D832="","",IF($C832="TANIMSIZ MÜŞTERİ","HATA",IF(OR($E832="",$F832&lt;=0,$G832=""),"EKSİK",IF($E832&gt;TODAY(),"İLERİ TARİH","UYGUN"))))</f>
        <v/>
      </c>
      <c r="N832" s="121">
        <f>IF($C832="","",IF($C832="TANIMSIZ MÜŞTERİ","—",INDEX(MUSTERILER!$C$7:$C$106,MATCH($C832,MUSTERILER!$B$7:$B$106,0))))</f>
        <v/>
      </c>
      <c r="O832" s="6" t="n"/>
      <c r="P832" s="6" t="n"/>
      <c r="Q832" s="3">
        <f>IF($D832="","",$C832&amp;"|"&amp;COUNTIFS($C$7:$C832,$C832))</f>
        <v/>
      </c>
    </row>
    <row r="833">
      <c r="A833" s="6" t="n"/>
      <c r="B833" s="113">
        <f>IF($D833="","","T"&amp;TEXT(ROW()-6,"00000"))</f>
        <v/>
      </c>
      <c r="C833" s="113">
        <f>IF($D833="","",IFERROR(INDEX(MUSTERILER!$B$7:$B$106,MATCH($D833,MUSTERILER!$C$7:$C$106,0)),IFERROR(INDEX(MUSTERILER!$B$7:$B$106,MATCH($D833,MUSTERILER!$B$7:$B$106,0)),IFERROR(INDEX(MUSTERILER!$B$7:$B$106,MATCH($D833&amp;"*",MUSTERILER!$C$7:$C$106,0)),"TANIMSIZ MÜŞTERİ"))))</f>
        <v/>
      </c>
      <c r="D833" s="109" t="n"/>
      <c r="E833" s="225" t="n"/>
      <c r="F833" s="226" t="n"/>
      <c r="G833" s="108" t="n"/>
      <c r="H833" s="108" t="n"/>
      <c r="I833" s="109" t="n"/>
      <c r="J833" s="109" t="n"/>
      <c r="K833" s="109" t="n"/>
      <c r="L833" s="231">
        <f>IF($E833="","",DATE(YEAR($E833),MONTH($E833),1))</f>
        <v/>
      </c>
      <c r="M833" s="113">
        <f>IF($D833="","",IF($C833="TANIMSIZ MÜŞTERİ","HATA",IF(OR($E833="",$F833&lt;=0,$G833=""),"EKSİK",IF($E833&gt;TODAY(),"İLERİ TARİH","UYGUN"))))</f>
        <v/>
      </c>
      <c r="N833" s="121">
        <f>IF($C833="","",IF($C833="TANIMSIZ MÜŞTERİ","—",INDEX(MUSTERILER!$C$7:$C$106,MATCH($C833,MUSTERILER!$B$7:$B$106,0))))</f>
        <v/>
      </c>
      <c r="O833" s="6" t="n"/>
      <c r="P833" s="6" t="n"/>
      <c r="Q833" s="3">
        <f>IF($D833="","",$C833&amp;"|"&amp;COUNTIFS($C$7:$C833,$C833))</f>
        <v/>
      </c>
    </row>
    <row r="834">
      <c r="A834" s="6" t="n"/>
      <c r="B834" s="113">
        <f>IF($D834="","","T"&amp;TEXT(ROW()-6,"00000"))</f>
        <v/>
      </c>
      <c r="C834" s="113">
        <f>IF($D834="","",IFERROR(INDEX(MUSTERILER!$B$7:$B$106,MATCH($D834,MUSTERILER!$C$7:$C$106,0)),IFERROR(INDEX(MUSTERILER!$B$7:$B$106,MATCH($D834,MUSTERILER!$B$7:$B$106,0)),IFERROR(INDEX(MUSTERILER!$B$7:$B$106,MATCH($D834&amp;"*",MUSTERILER!$C$7:$C$106,0)),"TANIMSIZ MÜŞTERİ"))))</f>
        <v/>
      </c>
      <c r="D834" s="109" t="n"/>
      <c r="E834" s="225" t="n"/>
      <c r="F834" s="226" t="n"/>
      <c r="G834" s="108" t="n"/>
      <c r="H834" s="108" t="n"/>
      <c r="I834" s="109" t="n"/>
      <c r="J834" s="109" t="n"/>
      <c r="K834" s="109" t="n"/>
      <c r="L834" s="231">
        <f>IF($E834="","",DATE(YEAR($E834),MONTH($E834),1))</f>
        <v/>
      </c>
      <c r="M834" s="113">
        <f>IF($D834="","",IF($C834="TANIMSIZ MÜŞTERİ","HATA",IF(OR($E834="",$F834&lt;=0,$G834=""),"EKSİK",IF($E834&gt;TODAY(),"İLERİ TARİH","UYGUN"))))</f>
        <v/>
      </c>
      <c r="N834" s="121">
        <f>IF($C834="","",IF($C834="TANIMSIZ MÜŞTERİ","—",INDEX(MUSTERILER!$C$7:$C$106,MATCH($C834,MUSTERILER!$B$7:$B$106,0))))</f>
        <v/>
      </c>
      <c r="O834" s="6" t="n"/>
      <c r="P834" s="6" t="n"/>
      <c r="Q834" s="3">
        <f>IF($D834="","",$C834&amp;"|"&amp;COUNTIFS($C$7:$C834,$C834))</f>
        <v/>
      </c>
    </row>
    <row r="835">
      <c r="A835" s="6" t="n"/>
      <c r="B835" s="113">
        <f>IF($D835="","","T"&amp;TEXT(ROW()-6,"00000"))</f>
        <v/>
      </c>
      <c r="C835" s="113">
        <f>IF($D835="","",IFERROR(INDEX(MUSTERILER!$B$7:$B$106,MATCH($D835,MUSTERILER!$C$7:$C$106,0)),IFERROR(INDEX(MUSTERILER!$B$7:$B$106,MATCH($D835,MUSTERILER!$B$7:$B$106,0)),IFERROR(INDEX(MUSTERILER!$B$7:$B$106,MATCH($D835&amp;"*",MUSTERILER!$C$7:$C$106,0)),"TANIMSIZ MÜŞTERİ"))))</f>
        <v/>
      </c>
      <c r="D835" s="109" t="n"/>
      <c r="E835" s="225" t="n"/>
      <c r="F835" s="226" t="n"/>
      <c r="G835" s="108" t="n"/>
      <c r="H835" s="108" t="n"/>
      <c r="I835" s="109" t="n"/>
      <c r="J835" s="109" t="n"/>
      <c r="K835" s="109" t="n"/>
      <c r="L835" s="231">
        <f>IF($E835="","",DATE(YEAR($E835),MONTH($E835),1))</f>
        <v/>
      </c>
      <c r="M835" s="113">
        <f>IF($D835="","",IF($C835="TANIMSIZ MÜŞTERİ","HATA",IF(OR($E835="",$F835&lt;=0,$G835=""),"EKSİK",IF($E835&gt;TODAY(),"İLERİ TARİH","UYGUN"))))</f>
        <v/>
      </c>
      <c r="N835" s="121">
        <f>IF($C835="","",IF($C835="TANIMSIZ MÜŞTERİ","—",INDEX(MUSTERILER!$C$7:$C$106,MATCH($C835,MUSTERILER!$B$7:$B$106,0))))</f>
        <v/>
      </c>
      <c r="O835" s="6" t="n"/>
      <c r="P835" s="6" t="n"/>
      <c r="Q835" s="3">
        <f>IF($D835="","",$C835&amp;"|"&amp;COUNTIFS($C$7:$C835,$C835))</f>
        <v/>
      </c>
    </row>
    <row r="836">
      <c r="A836" s="6" t="n"/>
      <c r="B836" s="113">
        <f>IF($D836="","","T"&amp;TEXT(ROW()-6,"00000"))</f>
        <v/>
      </c>
      <c r="C836" s="113">
        <f>IF($D836="","",IFERROR(INDEX(MUSTERILER!$B$7:$B$106,MATCH($D836,MUSTERILER!$C$7:$C$106,0)),IFERROR(INDEX(MUSTERILER!$B$7:$B$106,MATCH($D836,MUSTERILER!$B$7:$B$106,0)),IFERROR(INDEX(MUSTERILER!$B$7:$B$106,MATCH($D836&amp;"*",MUSTERILER!$C$7:$C$106,0)),"TANIMSIZ MÜŞTERİ"))))</f>
        <v/>
      </c>
      <c r="D836" s="109" t="n"/>
      <c r="E836" s="225" t="n"/>
      <c r="F836" s="226" t="n"/>
      <c r="G836" s="108" t="n"/>
      <c r="H836" s="108" t="n"/>
      <c r="I836" s="109" t="n"/>
      <c r="J836" s="109" t="n"/>
      <c r="K836" s="109" t="n"/>
      <c r="L836" s="231">
        <f>IF($E836="","",DATE(YEAR($E836),MONTH($E836),1))</f>
        <v/>
      </c>
      <c r="M836" s="113">
        <f>IF($D836="","",IF($C836="TANIMSIZ MÜŞTERİ","HATA",IF(OR($E836="",$F836&lt;=0,$G836=""),"EKSİK",IF($E836&gt;TODAY(),"İLERİ TARİH","UYGUN"))))</f>
        <v/>
      </c>
      <c r="N836" s="121">
        <f>IF($C836="","",IF($C836="TANIMSIZ MÜŞTERİ","—",INDEX(MUSTERILER!$C$7:$C$106,MATCH($C836,MUSTERILER!$B$7:$B$106,0))))</f>
        <v/>
      </c>
      <c r="O836" s="6" t="n"/>
      <c r="P836" s="6" t="n"/>
      <c r="Q836" s="3">
        <f>IF($D836="","",$C836&amp;"|"&amp;COUNTIFS($C$7:$C836,$C836))</f>
        <v/>
      </c>
    </row>
    <row r="837">
      <c r="A837" s="6" t="n"/>
      <c r="B837" s="113">
        <f>IF($D837="","","T"&amp;TEXT(ROW()-6,"00000"))</f>
        <v/>
      </c>
      <c r="C837" s="113">
        <f>IF($D837="","",IFERROR(INDEX(MUSTERILER!$B$7:$B$106,MATCH($D837,MUSTERILER!$C$7:$C$106,0)),IFERROR(INDEX(MUSTERILER!$B$7:$B$106,MATCH($D837,MUSTERILER!$B$7:$B$106,0)),IFERROR(INDEX(MUSTERILER!$B$7:$B$106,MATCH($D837&amp;"*",MUSTERILER!$C$7:$C$106,0)),"TANIMSIZ MÜŞTERİ"))))</f>
        <v/>
      </c>
      <c r="D837" s="109" t="n"/>
      <c r="E837" s="225" t="n"/>
      <c r="F837" s="226" t="n"/>
      <c r="G837" s="108" t="n"/>
      <c r="H837" s="108" t="n"/>
      <c r="I837" s="109" t="n"/>
      <c r="J837" s="109" t="n"/>
      <c r="K837" s="109" t="n"/>
      <c r="L837" s="231">
        <f>IF($E837="","",DATE(YEAR($E837),MONTH($E837),1))</f>
        <v/>
      </c>
      <c r="M837" s="113">
        <f>IF($D837="","",IF($C837="TANIMSIZ MÜŞTERİ","HATA",IF(OR($E837="",$F837&lt;=0,$G837=""),"EKSİK",IF($E837&gt;TODAY(),"İLERİ TARİH","UYGUN"))))</f>
        <v/>
      </c>
      <c r="N837" s="121">
        <f>IF($C837="","",IF($C837="TANIMSIZ MÜŞTERİ","—",INDEX(MUSTERILER!$C$7:$C$106,MATCH($C837,MUSTERILER!$B$7:$B$106,0))))</f>
        <v/>
      </c>
      <c r="O837" s="6" t="n"/>
      <c r="P837" s="6" t="n"/>
      <c r="Q837" s="3">
        <f>IF($D837="","",$C837&amp;"|"&amp;COUNTIFS($C$7:$C837,$C837))</f>
        <v/>
      </c>
    </row>
    <row r="838">
      <c r="A838" s="6" t="n"/>
      <c r="B838" s="113">
        <f>IF($D838="","","T"&amp;TEXT(ROW()-6,"00000"))</f>
        <v/>
      </c>
      <c r="C838" s="113">
        <f>IF($D838="","",IFERROR(INDEX(MUSTERILER!$B$7:$B$106,MATCH($D838,MUSTERILER!$C$7:$C$106,0)),IFERROR(INDEX(MUSTERILER!$B$7:$B$106,MATCH($D838,MUSTERILER!$B$7:$B$106,0)),IFERROR(INDEX(MUSTERILER!$B$7:$B$106,MATCH($D838&amp;"*",MUSTERILER!$C$7:$C$106,0)),"TANIMSIZ MÜŞTERİ"))))</f>
        <v/>
      </c>
      <c r="D838" s="109" t="n"/>
      <c r="E838" s="225" t="n"/>
      <c r="F838" s="226" t="n"/>
      <c r="G838" s="108" t="n"/>
      <c r="H838" s="108" t="n"/>
      <c r="I838" s="109" t="n"/>
      <c r="J838" s="109" t="n"/>
      <c r="K838" s="109" t="n"/>
      <c r="L838" s="231">
        <f>IF($E838="","",DATE(YEAR($E838),MONTH($E838),1))</f>
        <v/>
      </c>
      <c r="M838" s="113">
        <f>IF($D838="","",IF($C838="TANIMSIZ MÜŞTERİ","HATA",IF(OR($E838="",$F838&lt;=0,$G838=""),"EKSİK",IF($E838&gt;TODAY(),"İLERİ TARİH","UYGUN"))))</f>
        <v/>
      </c>
      <c r="N838" s="121">
        <f>IF($C838="","",IF($C838="TANIMSIZ MÜŞTERİ","—",INDEX(MUSTERILER!$C$7:$C$106,MATCH($C838,MUSTERILER!$B$7:$B$106,0))))</f>
        <v/>
      </c>
      <c r="O838" s="6" t="n"/>
      <c r="P838" s="6" t="n"/>
      <c r="Q838" s="3">
        <f>IF($D838="","",$C838&amp;"|"&amp;COUNTIFS($C$7:$C838,$C838))</f>
        <v/>
      </c>
    </row>
    <row r="839">
      <c r="A839" s="6" t="n"/>
      <c r="B839" s="113">
        <f>IF($D839="","","T"&amp;TEXT(ROW()-6,"00000"))</f>
        <v/>
      </c>
      <c r="C839" s="113">
        <f>IF($D839="","",IFERROR(INDEX(MUSTERILER!$B$7:$B$106,MATCH($D839,MUSTERILER!$C$7:$C$106,0)),IFERROR(INDEX(MUSTERILER!$B$7:$B$106,MATCH($D839,MUSTERILER!$B$7:$B$106,0)),IFERROR(INDEX(MUSTERILER!$B$7:$B$106,MATCH($D839&amp;"*",MUSTERILER!$C$7:$C$106,0)),"TANIMSIZ MÜŞTERİ"))))</f>
        <v/>
      </c>
      <c r="D839" s="109" t="n"/>
      <c r="E839" s="225" t="n"/>
      <c r="F839" s="226" t="n"/>
      <c r="G839" s="108" t="n"/>
      <c r="H839" s="108" t="n"/>
      <c r="I839" s="109" t="n"/>
      <c r="J839" s="109" t="n"/>
      <c r="K839" s="109" t="n"/>
      <c r="L839" s="231">
        <f>IF($E839="","",DATE(YEAR($E839),MONTH($E839),1))</f>
        <v/>
      </c>
      <c r="M839" s="113">
        <f>IF($D839="","",IF($C839="TANIMSIZ MÜŞTERİ","HATA",IF(OR($E839="",$F839&lt;=0,$G839=""),"EKSİK",IF($E839&gt;TODAY(),"İLERİ TARİH","UYGUN"))))</f>
        <v/>
      </c>
      <c r="N839" s="121">
        <f>IF($C839="","",IF($C839="TANIMSIZ MÜŞTERİ","—",INDEX(MUSTERILER!$C$7:$C$106,MATCH($C839,MUSTERILER!$B$7:$B$106,0))))</f>
        <v/>
      </c>
      <c r="O839" s="6" t="n"/>
      <c r="P839" s="6" t="n"/>
      <c r="Q839" s="3">
        <f>IF($D839="","",$C839&amp;"|"&amp;COUNTIFS($C$7:$C839,$C839))</f>
        <v/>
      </c>
    </row>
    <row r="840">
      <c r="A840" s="6" t="n"/>
      <c r="B840" s="113">
        <f>IF($D840="","","T"&amp;TEXT(ROW()-6,"00000"))</f>
        <v/>
      </c>
      <c r="C840" s="113">
        <f>IF($D840="","",IFERROR(INDEX(MUSTERILER!$B$7:$B$106,MATCH($D840,MUSTERILER!$C$7:$C$106,0)),IFERROR(INDEX(MUSTERILER!$B$7:$B$106,MATCH($D840,MUSTERILER!$B$7:$B$106,0)),IFERROR(INDEX(MUSTERILER!$B$7:$B$106,MATCH($D840&amp;"*",MUSTERILER!$C$7:$C$106,0)),"TANIMSIZ MÜŞTERİ"))))</f>
        <v/>
      </c>
      <c r="D840" s="109" t="n"/>
      <c r="E840" s="225" t="n"/>
      <c r="F840" s="226" t="n"/>
      <c r="G840" s="108" t="n"/>
      <c r="H840" s="108" t="n"/>
      <c r="I840" s="109" t="n"/>
      <c r="J840" s="109" t="n"/>
      <c r="K840" s="109" t="n"/>
      <c r="L840" s="231">
        <f>IF($E840="","",DATE(YEAR($E840),MONTH($E840),1))</f>
        <v/>
      </c>
      <c r="M840" s="113">
        <f>IF($D840="","",IF($C840="TANIMSIZ MÜŞTERİ","HATA",IF(OR($E840="",$F840&lt;=0,$G840=""),"EKSİK",IF($E840&gt;TODAY(),"İLERİ TARİH","UYGUN"))))</f>
        <v/>
      </c>
      <c r="N840" s="121">
        <f>IF($C840="","",IF($C840="TANIMSIZ MÜŞTERİ","—",INDEX(MUSTERILER!$C$7:$C$106,MATCH($C840,MUSTERILER!$B$7:$B$106,0))))</f>
        <v/>
      </c>
      <c r="O840" s="6" t="n"/>
      <c r="P840" s="6" t="n"/>
      <c r="Q840" s="3">
        <f>IF($D840="","",$C840&amp;"|"&amp;COUNTIFS($C$7:$C840,$C840))</f>
        <v/>
      </c>
    </row>
    <row r="841">
      <c r="A841" s="6" t="n"/>
      <c r="B841" s="113">
        <f>IF($D841="","","T"&amp;TEXT(ROW()-6,"00000"))</f>
        <v/>
      </c>
      <c r="C841" s="113">
        <f>IF($D841="","",IFERROR(INDEX(MUSTERILER!$B$7:$B$106,MATCH($D841,MUSTERILER!$C$7:$C$106,0)),IFERROR(INDEX(MUSTERILER!$B$7:$B$106,MATCH($D841,MUSTERILER!$B$7:$B$106,0)),IFERROR(INDEX(MUSTERILER!$B$7:$B$106,MATCH($D841&amp;"*",MUSTERILER!$C$7:$C$106,0)),"TANIMSIZ MÜŞTERİ"))))</f>
        <v/>
      </c>
      <c r="D841" s="109" t="n"/>
      <c r="E841" s="225" t="n"/>
      <c r="F841" s="226" t="n"/>
      <c r="G841" s="108" t="n"/>
      <c r="H841" s="108" t="n"/>
      <c r="I841" s="109" t="n"/>
      <c r="J841" s="109" t="n"/>
      <c r="K841" s="109" t="n"/>
      <c r="L841" s="231">
        <f>IF($E841="","",DATE(YEAR($E841),MONTH($E841),1))</f>
        <v/>
      </c>
      <c r="M841" s="113">
        <f>IF($D841="","",IF($C841="TANIMSIZ MÜŞTERİ","HATA",IF(OR($E841="",$F841&lt;=0,$G841=""),"EKSİK",IF($E841&gt;TODAY(),"İLERİ TARİH","UYGUN"))))</f>
        <v/>
      </c>
      <c r="N841" s="121">
        <f>IF($C841="","",IF($C841="TANIMSIZ MÜŞTERİ","—",INDEX(MUSTERILER!$C$7:$C$106,MATCH($C841,MUSTERILER!$B$7:$B$106,0))))</f>
        <v/>
      </c>
      <c r="O841" s="6" t="n"/>
      <c r="P841" s="6" t="n"/>
      <c r="Q841" s="3">
        <f>IF($D841="","",$C841&amp;"|"&amp;COUNTIFS($C$7:$C841,$C841))</f>
        <v/>
      </c>
    </row>
    <row r="842">
      <c r="A842" s="6" t="n"/>
      <c r="B842" s="113">
        <f>IF($D842="","","T"&amp;TEXT(ROW()-6,"00000"))</f>
        <v/>
      </c>
      <c r="C842" s="113">
        <f>IF($D842="","",IFERROR(INDEX(MUSTERILER!$B$7:$B$106,MATCH($D842,MUSTERILER!$C$7:$C$106,0)),IFERROR(INDEX(MUSTERILER!$B$7:$B$106,MATCH($D842,MUSTERILER!$B$7:$B$106,0)),IFERROR(INDEX(MUSTERILER!$B$7:$B$106,MATCH($D842&amp;"*",MUSTERILER!$C$7:$C$106,0)),"TANIMSIZ MÜŞTERİ"))))</f>
        <v/>
      </c>
      <c r="D842" s="109" t="n"/>
      <c r="E842" s="225" t="n"/>
      <c r="F842" s="226" t="n"/>
      <c r="G842" s="108" t="n"/>
      <c r="H842" s="108" t="n"/>
      <c r="I842" s="109" t="n"/>
      <c r="J842" s="109" t="n"/>
      <c r="K842" s="109" t="n"/>
      <c r="L842" s="231">
        <f>IF($E842="","",DATE(YEAR($E842),MONTH($E842),1))</f>
        <v/>
      </c>
      <c r="M842" s="113">
        <f>IF($D842="","",IF($C842="TANIMSIZ MÜŞTERİ","HATA",IF(OR($E842="",$F842&lt;=0,$G842=""),"EKSİK",IF($E842&gt;TODAY(),"İLERİ TARİH","UYGUN"))))</f>
        <v/>
      </c>
      <c r="N842" s="121">
        <f>IF($C842="","",IF($C842="TANIMSIZ MÜŞTERİ","—",INDEX(MUSTERILER!$C$7:$C$106,MATCH($C842,MUSTERILER!$B$7:$B$106,0))))</f>
        <v/>
      </c>
      <c r="O842" s="6" t="n"/>
      <c r="P842" s="6" t="n"/>
      <c r="Q842" s="3">
        <f>IF($D842="","",$C842&amp;"|"&amp;COUNTIFS($C$7:$C842,$C842))</f>
        <v/>
      </c>
    </row>
    <row r="843">
      <c r="A843" s="6" t="n"/>
      <c r="B843" s="113">
        <f>IF($D843="","","T"&amp;TEXT(ROW()-6,"00000"))</f>
        <v/>
      </c>
      <c r="C843" s="113">
        <f>IF($D843="","",IFERROR(INDEX(MUSTERILER!$B$7:$B$106,MATCH($D843,MUSTERILER!$C$7:$C$106,0)),IFERROR(INDEX(MUSTERILER!$B$7:$B$106,MATCH($D843,MUSTERILER!$B$7:$B$106,0)),IFERROR(INDEX(MUSTERILER!$B$7:$B$106,MATCH($D843&amp;"*",MUSTERILER!$C$7:$C$106,0)),"TANIMSIZ MÜŞTERİ"))))</f>
        <v/>
      </c>
      <c r="D843" s="109" t="n"/>
      <c r="E843" s="225" t="n"/>
      <c r="F843" s="226" t="n"/>
      <c r="G843" s="108" t="n"/>
      <c r="H843" s="108" t="n"/>
      <c r="I843" s="109" t="n"/>
      <c r="J843" s="109" t="n"/>
      <c r="K843" s="109" t="n"/>
      <c r="L843" s="231">
        <f>IF($E843="","",DATE(YEAR($E843),MONTH($E843),1))</f>
        <v/>
      </c>
      <c r="M843" s="113">
        <f>IF($D843="","",IF($C843="TANIMSIZ MÜŞTERİ","HATA",IF(OR($E843="",$F843&lt;=0,$G843=""),"EKSİK",IF($E843&gt;TODAY(),"İLERİ TARİH","UYGUN"))))</f>
        <v/>
      </c>
      <c r="N843" s="121">
        <f>IF($C843="","",IF($C843="TANIMSIZ MÜŞTERİ","—",INDEX(MUSTERILER!$C$7:$C$106,MATCH($C843,MUSTERILER!$B$7:$B$106,0))))</f>
        <v/>
      </c>
      <c r="O843" s="6" t="n"/>
      <c r="P843" s="6" t="n"/>
      <c r="Q843" s="3">
        <f>IF($D843="","",$C843&amp;"|"&amp;COUNTIFS($C$7:$C843,$C843))</f>
        <v/>
      </c>
    </row>
    <row r="844">
      <c r="A844" s="6" t="n"/>
      <c r="B844" s="113">
        <f>IF($D844="","","T"&amp;TEXT(ROW()-6,"00000"))</f>
        <v/>
      </c>
      <c r="C844" s="113">
        <f>IF($D844="","",IFERROR(INDEX(MUSTERILER!$B$7:$B$106,MATCH($D844,MUSTERILER!$C$7:$C$106,0)),IFERROR(INDEX(MUSTERILER!$B$7:$B$106,MATCH($D844,MUSTERILER!$B$7:$B$106,0)),IFERROR(INDEX(MUSTERILER!$B$7:$B$106,MATCH($D844&amp;"*",MUSTERILER!$C$7:$C$106,0)),"TANIMSIZ MÜŞTERİ"))))</f>
        <v/>
      </c>
      <c r="D844" s="109" t="n"/>
      <c r="E844" s="225" t="n"/>
      <c r="F844" s="226" t="n"/>
      <c r="G844" s="108" t="n"/>
      <c r="H844" s="108" t="n"/>
      <c r="I844" s="109" t="n"/>
      <c r="J844" s="109" t="n"/>
      <c r="K844" s="109" t="n"/>
      <c r="L844" s="231">
        <f>IF($E844="","",DATE(YEAR($E844),MONTH($E844),1))</f>
        <v/>
      </c>
      <c r="M844" s="113">
        <f>IF($D844="","",IF($C844="TANIMSIZ MÜŞTERİ","HATA",IF(OR($E844="",$F844&lt;=0,$G844=""),"EKSİK",IF($E844&gt;TODAY(),"İLERİ TARİH","UYGUN"))))</f>
        <v/>
      </c>
      <c r="N844" s="121">
        <f>IF($C844="","",IF($C844="TANIMSIZ MÜŞTERİ","—",INDEX(MUSTERILER!$C$7:$C$106,MATCH($C844,MUSTERILER!$B$7:$B$106,0))))</f>
        <v/>
      </c>
      <c r="O844" s="6" t="n"/>
      <c r="P844" s="6" t="n"/>
      <c r="Q844" s="3">
        <f>IF($D844="","",$C844&amp;"|"&amp;COUNTIFS($C$7:$C844,$C844))</f>
        <v/>
      </c>
    </row>
    <row r="845">
      <c r="A845" s="6" t="n"/>
      <c r="B845" s="113">
        <f>IF($D845="","","T"&amp;TEXT(ROW()-6,"00000"))</f>
        <v/>
      </c>
      <c r="C845" s="113">
        <f>IF($D845="","",IFERROR(INDEX(MUSTERILER!$B$7:$B$106,MATCH($D845,MUSTERILER!$C$7:$C$106,0)),IFERROR(INDEX(MUSTERILER!$B$7:$B$106,MATCH($D845,MUSTERILER!$B$7:$B$106,0)),IFERROR(INDEX(MUSTERILER!$B$7:$B$106,MATCH($D845&amp;"*",MUSTERILER!$C$7:$C$106,0)),"TANIMSIZ MÜŞTERİ"))))</f>
        <v/>
      </c>
      <c r="D845" s="109" t="n"/>
      <c r="E845" s="225" t="n"/>
      <c r="F845" s="226" t="n"/>
      <c r="G845" s="108" t="n"/>
      <c r="H845" s="108" t="n"/>
      <c r="I845" s="109" t="n"/>
      <c r="J845" s="109" t="n"/>
      <c r="K845" s="109" t="n"/>
      <c r="L845" s="231">
        <f>IF($E845="","",DATE(YEAR($E845),MONTH($E845),1))</f>
        <v/>
      </c>
      <c r="M845" s="113">
        <f>IF($D845="","",IF($C845="TANIMSIZ MÜŞTERİ","HATA",IF(OR($E845="",$F845&lt;=0,$G845=""),"EKSİK",IF($E845&gt;TODAY(),"İLERİ TARİH","UYGUN"))))</f>
        <v/>
      </c>
      <c r="N845" s="121">
        <f>IF($C845="","",IF($C845="TANIMSIZ MÜŞTERİ","—",INDEX(MUSTERILER!$C$7:$C$106,MATCH($C845,MUSTERILER!$B$7:$B$106,0))))</f>
        <v/>
      </c>
      <c r="O845" s="6" t="n"/>
      <c r="P845" s="6" t="n"/>
      <c r="Q845" s="3">
        <f>IF($D845="","",$C845&amp;"|"&amp;COUNTIFS($C$7:$C845,$C845))</f>
        <v/>
      </c>
    </row>
    <row r="846">
      <c r="A846" s="6" t="n"/>
      <c r="B846" s="113">
        <f>IF($D846="","","T"&amp;TEXT(ROW()-6,"00000"))</f>
        <v/>
      </c>
      <c r="C846" s="113">
        <f>IF($D846="","",IFERROR(INDEX(MUSTERILER!$B$7:$B$106,MATCH($D846,MUSTERILER!$C$7:$C$106,0)),IFERROR(INDEX(MUSTERILER!$B$7:$B$106,MATCH($D846,MUSTERILER!$B$7:$B$106,0)),IFERROR(INDEX(MUSTERILER!$B$7:$B$106,MATCH($D846&amp;"*",MUSTERILER!$C$7:$C$106,0)),"TANIMSIZ MÜŞTERİ"))))</f>
        <v/>
      </c>
      <c r="D846" s="109" t="n"/>
      <c r="E846" s="225" t="n"/>
      <c r="F846" s="226" t="n"/>
      <c r="G846" s="108" t="n"/>
      <c r="H846" s="108" t="n"/>
      <c r="I846" s="109" t="n"/>
      <c r="J846" s="109" t="n"/>
      <c r="K846" s="109" t="n"/>
      <c r="L846" s="231">
        <f>IF($E846="","",DATE(YEAR($E846),MONTH($E846),1))</f>
        <v/>
      </c>
      <c r="M846" s="113">
        <f>IF($D846="","",IF($C846="TANIMSIZ MÜŞTERİ","HATA",IF(OR($E846="",$F846&lt;=0,$G846=""),"EKSİK",IF($E846&gt;TODAY(),"İLERİ TARİH","UYGUN"))))</f>
        <v/>
      </c>
      <c r="N846" s="121">
        <f>IF($C846="","",IF($C846="TANIMSIZ MÜŞTERİ","—",INDEX(MUSTERILER!$C$7:$C$106,MATCH($C846,MUSTERILER!$B$7:$B$106,0))))</f>
        <v/>
      </c>
      <c r="O846" s="6" t="n"/>
      <c r="P846" s="6" t="n"/>
      <c r="Q846" s="3">
        <f>IF($D846="","",$C846&amp;"|"&amp;COUNTIFS($C$7:$C846,$C846))</f>
        <v/>
      </c>
    </row>
    <row r="847">
      <c r="A847" s="6" t="n"/>
      <c r="B847" s="113">
        <f>IF($D847="","","T"&amp;TEXT(ROW()-6,"00000"))</f>
        <v/>
      </c>
      <c r="C847" s="113">
        <f>IF($D847="","",IFERROR(INDEX(MUSTERILER!$B$7:$B$106,MATCH($D847,MUSTERILER!$C$7:$C$106,0)),IFERROR(INDEX(MUSTERILER!$B$7:$B$106,MATCH($D847,MUSTERILER!$B$7:$B$106,0)),IFERROR(INDEX(MUSTERILER!$B$7:$B$106,MATCH($D847&amp;"*",MUSTERILER!$C$7:$C$106,0)),"TANIMSIZ MÜŞTERİ"))))</f>
        <v/>
      </c>
      <c r="D847" s="109" t="n"/>
      <c r="E847" s="225" t="n"/>
      <c r="F847" s="226" t="n"/>
      <c r="G847" s="108" t="n"/>
      <c r="H847" s="108" t="n"/>
      <c r="I847" s="109" t="n"/>
      <c r="J847" s="109" t="n"/>
      <c r="K847" s="109" t="n"/>
      <c r="L847" s="231">
        <f>IF($E847="","",DATE(YEAR($E847),MONTH($E847),1))</f>
        <v/>
      </c>
      <c r="M847" s="113">
        <f>IF($D847="","",IF($C847="TANIMSIZ MÜŞTERİ","HATA",IF(OR($E847="",$F847&lt;=0,$G847=""),"EKSİK",IF($E847&gt;TODAY(),"İLERİ TARİH","UYGUN"))))</f>
        <v/>
      </c>
      <c r="N847" s="121">
        <f>IF($C847="","",IF($C847="TANIMSIZ MÜŞTERİ","—",INDEX(MUSTERILER!$C$7:$C$106,MATCH($C847,MUSTERILER!$B$7:$B$106,0))))</f>
        <v/>
      </c>
      <c r="O847" s="6" t="n"/>
      <c r="P847" s="6" t="n"/>
      <c r="Q847" s="3">
        <f>IF($D847="","",$C847&amp;"|"&amp;COUNTIFS($C$7:$C847,$C847))</f>
        <v/>
      </c>
    </row>
    <row r="848">
      <c r="A848" s="6" t="n"/>
      <c r="B848" s="113">
        <f>IF($D848="","","T"&amp;TEXT(ROW()-6,"00000"))</f>
        <v/>
      </c>
      <c r="C848" s="113">
        <f>IF($D848="","",IFERROR(INDEX(MUSTERILER!$B$7:$B$106,MATCH($D848,MUSTERILER!$C$7:$C$106,0)),IFERROR(INDEX(MUSTERILER!$B$7:$B$106,MATCH($D848,MUSTERILER!$B$7:$B$106,0)),IFERROR(INDEX(MUSTERILER!$B$7:$B$106,MATCH($D848&amp;"*",MUSTERILER!$C$7:$C$106,0)),"TANIMSIZ MÜŞTERİ"))))</f>
        <v/>
      </c>
      <c r="D848" s="109" t="n"/>
      <c r="E848" s="225" t="n"/>
      <c r="F848" s="226" t="n"/>
      <c r="G848" s="108" t="n"/>
      <c r="H848" s="108" t="n"/>
      <c r="I848" s="109" t="n"/>
      <c r="J848" s="109" t="n"/>
      <c r="K848" s="109" t="n"/>
      <c r="L848" s="231">
        <f>IF($E848="","",DATE(YEAR($E848),MONTH($E848),1))</f>
        <v/>
      </c>
      <c r="M848" s="113">
        <f>IF($D848="","",IF($C848="TANIMSIZ MÜŞTERİ","HATA",IF(OR($E848="",$F848&lt;=0,$G848=""),"EKSİK",IF($E848&gt;TODAY(),"İLERİ TARİH","UYGUN"))))</f>
        <v/>
      </c>
      <c r="N848" s="121">
        <f>IF($C848="","",IF($C848="TANIMSIZ MÜŞTERİ","—",INDEX(MUSTERILER!$C$7:$C$106,MATCH($C848,MUSTERILER!$B$7:$B$106,0))))</f>
        <v/>
      </c>
      <c r="O848" s="6" t="n"/>
      <c r="P848" s="6" t="n"/>
      <c r="Q848" s="3">
        <f>IF($D848="","",$C848&amp;"|"&amp;COUNTIFS($C$7:$C848,$C848))</f>
        <v/>
      </c>
    </row>
    <row r="849">
      <c r="A849" s="6" t="n"/>
      <c r="B849" s="113">
        <f>IF($D849="","","T"&amp;TEXT(ROW()-6,"00000"))</f>
        <v/>
      </c>
      <c r="C849" s="113">
        <f>IF($D849="","",IFERROR(INDEX(MUSTERILER!$B$7:$B$106,MATCH($D849,MUSTERILER!$C$7:$C$106,0)),IFERROR(INDEX(MUSTERILER!$B$7:$B$106,MATCH($D849,MUSTERILER!$B$7:$B$106,0)),IFERROR(INDEX(MUSTERILER!$B$7:$B$106,MATCH($D849&amp;"*",MUSTERILER!$C$7:$C$106,0)),"TANIMSIZ MÜŞTERİ"))))</f>
        <v/>
      </c>
      <c r="D849" s="109" t="n"/>
      <c r="E849" s="225" t="n"/>
      <c r="F849" s="226" t="n"/>
      <c r="G849" s="108" t="n"/>
      <c r="H849" s="108" t="n"/>
      <c r="I849" s="109" t="n"/>
      <c r="J849" s="109" t="n"/>
      <c r="K849" s="109" t="n"/>
      <c r="L849" s="231">
        <f>IF($E849="","",DATE(YEAR($E849),MONTH($E849),1))</f>
        <v/>
      </c>
      <c r="M849" s="113">
        <f>IF($D849="","",IF($C849="TANIMSIZ MÜŞTERİ","HATA",IF(OR($E849="",$F849&lt;=0,$G849=""),"EKSİK",IF($E849&gt;TODAY(),"İLERİ TARİH","UYGUN"))))</f>
        <v/>
      </c>
      <c r="N849" s="121">
        <f>IF($C849="","",IF($C849="TANIMSIZ MÜŞTERİ","—",INDEX(MUSTERILER!$C$7:$C$106,MATCH($C849,MUSTERILER!$B$7:$B$106,0))))</f>
        <v/>
      </c>
      <c r="O849" s="6" t="n"/>
      <c r="P849" s="6" t="n"/>
      <c r="Q849" s="3">
        <f>IF($D849="","",$C849&amp;"|"&amp;COUNTIFS($C$7:$C849,$C849))</f>
        <v/>
      </c>
    </row>
    <row r="850">
      <c r="A850" s="6" t="n"/>
      <c r="B850" s="113">
        <f>IF($D850="","","T"&amp;TEXT(ROW()-6,"00000"))</f>
        <v/>
      </c>
      <c r="C850" s="113">
        <f>IF($D850="","",IFERROR(INDEX(MUSTERILER!$B$7:$B$106,MATCH($D850,MUSTERILER!$C$7:$C$106,0)),IFERROR(INDEX(MUSTERILER!$B$7:$B$106,MATCH($D850,MUSTERILER!$B$7:$B$106,0)),IFERROR(INDEX(MUSTERILER!$B$7:$B$106,MATCH($D850&amp;"*",MUSTERILER!$C$7:$C$106,0)),"TANIMSIZ MÜŞTERİ"))))</f>
        <v/>
      </c>
      <c r="D850" s="109" t="n"/>
      <c r="E850" s="225" t="n"/>
      <c r="F850" s="226" t="n"/>
      <c r="G850" s="108" t="n"/>
      <c r="H850" s="108" t="n"/>
      <c r="I850" s="109" t="n"/>
      <c r="J850" s="109" t="n"/>
      <c r="K850" s="109" t="n"/>
      <c r="L850" s="231">
        <f>IF($E850="","",DATE(YEAR($E850),MONTH($E850),1))</f>
        <v/>
      </c>
      <c r="M850" s="113">
        <f>IF($D850="","",IF($C850="TANIMSIZ MÜŞTERİ","HATA",IF(OR($E850="",$F850&lt;=0,$G850=""),"EKSİK",IF($E850&gt;TODAY(),"İLERİ TARİH","UYGUN"))))</f>
        <v/>
      </c>
      <c r="N850" s="121">
        <f>IF($C850="","",IF($C850="TANIMSIZ MÜŞTERİ","—",INDEX(MUSTERILER!$C$7:$C$106,MATCH($C850,MUSTERILER!$B$7:$B$106,0))))</f>
        <v/>
      </c>
      <c r="O850" s="6" t="n"/>
      <c r="P850" s="6" t="n"/>
      <c r="Q850" s="3">
        <f>IF($D850="","",$C850&amp;"|"&amp;COUNTIFS($C$7:$C850,$C850))</f>
        <v/>
      </c>
    </row>
    <row r="851">
      <c r="A851" s="6" t="n"/>
      <c r="B851" s="113">
        <f>IF($D851="","","T"&amp;TEXT(ROW()-6,"00000"))</f>
        <v/>
      </c>
      <c r="C851" s="113">
        <f>IF($D851="","",IFERROR(INDEX(MUSTERILER!$B$7:$B$106,MATCH($D851,MUSTERILER!$C$7:$C$106,0)),IFERROR(INDEX(MUSTERILER!$B$7:$B$106,MATCH($D851,MUSTERILER!$B$7:$B$106,0)),IFERROR(INDEX(MUSTERILER!$B$7:$B$106,MATCH($D851&amp;"*",MUSTERILER!$C$7:$C$106,0)),"TANIMSIZ MÜŞTERİ"))))</f>
        <v/>
      </c>
      <c r="D851" s="109" t="n"/>
      <c r="E851" s="225" t="n"/>
      <c r="F851" s="226" t="n"/>
      <c r="G851" s="108" t="n"/>
      <c r="H851" s="108" t="n"/>
      <c r="I851" s="109" t="n"/>
      <c r="J851" s="109" t="n"/>
      <c r="K851" s="109" t="n"/>
      <c r="L851" s="231">
        <f>IF($E851="","",DATE(YEAR($E851),MONTH($E851),1))</f>
        <v/>
      </c>
      <c r="M851" s="113">
        <f>IF($D851="","",IF($C851="TANIMSIZ MÜŞTERİ","HATA",IF(OR($E851="",$F851&lt;=0,$G851=""),"EKSİK",IF($E851&gt;TODAY(),"İLERİ TARİH","UYGUN"))))</f>
        <v/>
      </c>
      <c r="N851" s="121">
        <f>IF($C851="","",IF($C851="TANIMSIZ MÜŞTERİ","—",INDEX(MUSTERILER!$C$7:$C$106,MATCH($C851,MUSTERILER!$B$7:$B$106,0))))</f>
        <v/>
      </c>
      <c r="O851" s="6" t="n"/>
      <c r="P851" s="6" t="n"/>
      <c r="Q851" s="3">
        <f>IF($D851="","",$C851&amp;"|"&amp;COUNTIFS($C$7:$C851,$C851))</f>
        <v/>
      </c>
    </row>
    <row r="852">
      <c r="A852" s="6" t="n"/>
      <c r="B852" s="113">
        <f>IF($D852="","","T"&amp;TEXT(ROW()-6,"00000"))</f>
        <v/>
      </c>
      <c r="C852" s="113">
        <f>IF($D852="","",IFERROR(INDEX(MUSTERILER!$B$7:$B$106,MATCH($D852,MUSTERILER!$C$7:$C$106,0)),IFERROR(INDEX(MUSTERILER!$B$7:$B$106,MATCH($D852,MUSTERILER!$B$7:$B$106,0)),IFERROR(INDEX(MUSTERILER!$B$7:$B$106,MATCH($D852&amp;"*",MUSTERILER!$C$7:$C$106,0)),"TANIMSIZ MÜŞTERİ"))))</f>
        <v/>
      </c>
      <c r="D852" s="109" t="n"/>
      <c r="E852" s="225" t="n"/>
      <c r="F852" s="226" t="n"/>
      <c r="G852" s="108" t="n"/>
      <c r="H852" s="108" t="n"/>
      <c r="I852" s="109" t="n"/>
      <c r="J852" s="109" t="n"/>
      <c r="K852" s="109" t="n"/>
      <c r="L852" s="231">
        <f>IF($E852="","",DATE(YEAR($E852),MONTH($E852),1))</f>
        <v/>
      </c>
      <c r="M852" s="113">
        <f>IF($D852="","",IF($C852="TANIMSIZ MÜŞTERİ","HATA",IF(OR($E852="",$F852&lt;=0,$G852=""),"EKSİK",IF($E852&gt;TODAY(),"İLERİ TARİH","UYGUN"))))</f>
        <v/>
      </c>
      <c r="N852" s="121">
        <f>IF($C852="","",IF($C852="TANIMSIZ MÜŞTERİ","—",INDEX(MUSTERILER!$C$7:$C$106,MATCH($C852,MUSTERILER!$B$7:$B$106,0))))</f>
        <v/>
      </c>
      <c r="O852" s="6" t="n"/>
      <c r="P852" s="6" t="n"/>
      <c r="Q852" s="3">
        <f>IF($D852="","",$C852&amp;"|"&amp;COUNTIFS($C$7:$C852,$C852))</f>
        <v/>
      </c>
    </row>
    <row r="853">
      <c r="A853" s="6" t="n"/>
      <c r="B853" s="113">
        <f>IF($D853="","","T"&amp;TEXT(ROW()-6,"00000"))</f>
        <v/>
      </c>
      <c r="C853" s="113">
        <f>IF($D853="","",IFERROR(INDEX(MUSTERILER!$B$7:$B$106,MATCH($D853,MUSTERILER!$C$7:$C$106,0)),IFERROR(INDEX(MUSTERILER!$B$7:$B$106,MATCH($D853,MUSTERILER!$B$7:$B$106,0)),IFERROR(INDEX(MUSTERILER!$B$7:$B$106,MATCH($D853&amp;"*",MUSTERILER!$C$7:$C$106,0)),"TANIMSIZ MÜŞTERİ"))))</f>
        <v/>
      </c>
      <c r="D853" s="109" t="n"/>
      <c r="E853" s="225" t="n"/>
      <c r="F853" s="226" t="n"/>
      <c r="G853" s="108" t="n"/>
      <c r="H853" s="108" t="n"/>
      <c r="I853" s="109" t="n"/>
      <c r="J853" s="109" t="n"/>
      <c r="K853" s="109" t="n"/>
      <c r="L853" s="231">
        <f>IF($E853="","",DATE(YEAR($E853),MONTH($E853),1))</f>
        <v/>
      </c>
      <c r="M853" s="113">
        <f>IF($D853="","",IF($C853="TANIMSIZ MÜŞTERİ","HATA",IF(OR($E853="",$F853&lt;=0,$G853=""),"EKSİK",IF($E853&gt;TODAY(),"İLERİ TARİH","UYGUN"))))</f>
        <v/>
      </c>
      <c r="N853" s="121">
        <f>IF($C853="","",IF($C853="TANIMSIZ MÜŞTERİ","—",INDEX(MUSTERILER!$C$7:$C$106,MATCH($C853,MUSTERILER!$B$7:$B$106,0))))</f>
        <v/>
      </c>
      <c r="O853" s="6" t="n"/>
      <c r="P853" s="6" t="n"/>
      <c r="Q853" s="3">
        <f>IF($D853="","",$C853&amp;"|"&amp;COUNTIFS($C$7:$C853,$C853))</f>
        <v/>
      </c>
    </row>
    <row r="854">
      <c r="A854" s="6" t="n"/>
      <c r="B854" s="113">
        <f>IF($D854="","","T"&amp;TEXT(ROW()-6,"00000"))</f>
        <v/>
      </c>
      <c r="C854" s="113">
        <f>IF($D854="","",IFERROR(INDEX(MUSTERILER!$B$7:$B$106,MATCH($D854,MUSTERILER!$C$7:$C$106,0)),IFERROR(INDEX(MUSTERILER!$B$7:$B$106,MATCH($D854,MUSTERILER!$B$7:$B$106,0)),IFERROR(INDEX(MUSTERILER!$B$7:$B$106,MATCH($D854&amp;"*",MUSTERILER!$C$7:$C$106,0)),"TANIMSIZ MÜŞTERİ"))))</f>
        <v/>
      </c>
      <c r="D854" s="109" t="n"/>
      <c r="E854" s="225" t="n"/>
      <c r="F854" s="226" t="n"/>
      <c r="G854" s="108" t="n"/>
      <c r="H854" s="108" t="n"/>
      <c r="I854" s="109" t="n"/>
      <c r="J854" s="109" t="n"/>
      <c r="K854" s="109" t="n"/>
      <c r="L854" s="231">
        <f>IF($E854="","",DATE(YEAR($E854),MONTH($E854),1))</f>
        <v/>
      </c>
      <c r="M854" s="113">
        <f>IF($D854="","",IF($C854="TANIMSIZ MÜŞTERİ","HATA",IF(OR($E854="",$F854&lt;=0,$G854=""),"EKSİK",IF($E854&gt;TODAY(),"İLERİ TARİH","UYGUN"))))</f>
        <v/>
      </c>
      <c r="N854" s="121">
        <f>IF($C854="","",IF($C854="TANIMSIZ MÜŞTERİ","—",INDEX(MUSTERILER!$C$7:$C$106,MATCH($C854,MUSTERILER!$B$7:$B$106,0))))</f>
        <v/>
      </c>
      <c r="O854" s="6" t="n"/>
      <c r="P854" s="6" t="n"/>
      <c r="Q854" s="3">
        <f>IF($D854="","",$C854&amp;"|"&amp;COUNTIFS($C$7:$C854,$C854))</f>
        <v/>
      </c>
    </row>
    <row r="855">
      <c r="A855" s="6" t="n"/>
      <c r="B855" s="113">
        <f>IF($D855="","","T"&amp;TEXT(ROW()-6,"00000"))</f>
        <v/>
      </c>
      <c r="C855" s="113">
        <f>IF($D855="","",IFERROR(INDEX(MUSTERILER!$B$7:$B$106,MATCH($D855,MUSTERILER!$C$7:$C$106,0)),IFERROR(INDEX(MUSTERILER!$B$7:$B$106,MATCH($D855,MUSTERILER!$B$7:$B$106,0)),IFERROR(INDEX(MUSTERILER!$B$7:$B$106,MATCH($D855&amp;"*",MUSTERILER!$C$7:$C$106,0)),"TANIMSIZ MÜŞTERİ"))))</f>
        <v/>
      </c>
      <c r="D855" s="109" t="n"/>
      <c r="E855" s="225" t="n"/>
      <c r="F855" s="226" t="n"/>
      <c r="G855" s="108" t="n"/>
      <c r="H855" s="108" t="n"/>
      <c r="I855" s="109" t="n"/>
      <c r="J855" s="109" t="n"/>
      <c r="K855" s="109" t="n"/>
      <c r="L855" s="231">
        <f>IF($E855="","",DATE(YEAR($E855),MONTH($E855),1))</f>
        <v/>
      </c>
      <c r="M855" s="113">
        <f>IF($D855="","",IF($C855="TANIMSIZ MÜŞTERİ","HATA",IF(OR($E855="",$F855&lt;=0,$G855=""),"EKSİK",IF($E855&gt;TODAY(),"İLERİ TARİH","UYGUN"))))</f>
        <v/>
      </c>
      <c r="N855" s="121">
        <f>IF($C855="","",IF($C855="TANIMSIZ MÜŞTERİ","—",INDEX(MUSTERILER!$C$7:$C$106,MATCH($C855,MUSTERILER!$B$7:$B$106,0))))</f>
        <v/>
      </c>
      <c r="O855" s="6" t="n"/>
      <c r="P855" s="6" t="n"/>
      <c r="Q855" s="3">
        <f>IF($D855="","",$C855&amp;"|"&amp;COUNTIFS($C$7:$C855,$C855))</f>
        <v/>
      </c>
    </row>
    <row r="856">
      <c r="A856" s="6" t="n"/>
      <c r="B856" s="113">
        <f>IF($D856="","","T"&amp;TEXT(ROW()-6,"00000"))</f>
        <v/>
      </c>
      <c r="C856" s="113">
        <f>IF($D856="","",IFERROR(INDEX(MUSTERILER!$B$7:$B$106,MATCH($D856,MUSTERILER!$C$7:$C$106,0)),IFERROR(INDEX(MUSTERILER!$B$7:$B$106,MATCH($D856,MUSTERILER!$B$7:$B$106,0)),IFERROR(INDEX(MUSTERILER!$B$7:$B$106,MATCH($D856&amp;"*",MUSTERILER!$C$7:$C$106,0)),"TANIMSIZ MÜŞTERİ"))))</f>
        <v/>
      </c>
      <c r="D856" s="109" t="n"/>
      <c r="E856" s="225" t="n"/>
      <c r="F856" s="226" t="n"/>
      <c r="G856" s="108" t="n"/>
      <c r="H856" s="108" t="n"/>
      <c r="I856" s="109" t="n"/>
      <c r="J856" s="109" t="n"/>
      <c r="K856" s="109" t="n"/>
      <c r="L856" s="231">
        <f>IF($E856="","",DATE(YEAR($E856),MONTH($E856),1))</f>
        <v/>
      </c>
      <c r="M856" s="113">
        <f>IF($D856="","",IF($C856="TANIMSIZ MÜŞTERİ","HATA",IF(OR($E856="",$F856&lt;=0,$G856=""),"EKSİK",IF($E856&gt;TODAY(),"İLERİ TARİH","UYGUN"))))</f>
        <v/>
      </c>
      <c r="N856" s="121">
        <f>IF($C856="","",IF($C856="TANIMSIZ MÜŞTERİ","—",INDEX(MUSTERILER!$C$7:$C$106,MATCH($C856,MUSTERILER!$B$7:$B$106,0))))</f>
        <v/>
      </c>
      <c r="O856" s="6" t="n"/>
      <c r="P856" s="6" t="n"/>
      <c r="Q856" s="3">
        <f>IF($D856="","",$C856&amp;"|"&amp;COUNTIFS($C$7:$C856,$C856))</f>
        <v/>
      </c>
    </row>
    <row r="857">
      <c r="A857" s="6" t="n"/>
      <c r="B857" s="113">
        <f>IF($D857="","","T"&amp;TEXT(ROW()-6,"00000"))</f>
        <v/>
      </c>
      <c r="C857" s="113">
        <f>IF($D857="","",IFERROR(INDEX(MUSTERILER!$B$7:$B$106,MATCH($D857,MUSTERILER!$C$7:$C$106,0)),IFERROR(INDEX(MUSTERILER!$B$7:$B$106,MATCH($D857,MUSTERILER!$B$7:$B$106,0)),IFERROR(INDEX(MUSTERILER!$B$7:$B$106,MATCH($D857&amp;"*",MUSTERILER!$C$7:$C$106,0)),"TANIMSIZ MÜŞTERİ"))))</f>
        <v/>
      </c>
      <c r="D857" s="109" t="n"/>
      <c r="E857" s="225" t="n"/>
      <c r="F857" s="226" t="n"/>
      <c r="G857" s="108" t="n"/>
      <c r="H857" s="108" t="n"/>
      <c r="I857" s="109" t="n"/>
      <c r="J857" s="109" t="n"/>
      <c r="K857" s="109" t="n"/>
      <c r="L857" s="231">
        <f>IF($E857="","",DATE(YEAR($E857),MONTH($E857),1))</f>
        <v/>
      </c>
      <c r="M857" s="113">
        <f>IF($D857="","",IF($C857="TANIMSIZ MÜŞTERİ","HATA",IF(OR($E857="",$F857&lt;=0,$G857=""),"EKSİK",IF($E857&gt;TODAY(),"İLERİ TARİH","UYGUN"))))</f>
        <v/>
      </c>
      <c r="N857" s="121">
        <f>IF($C857="","",IF($C857="TANIMSIZ MÜŞTERİ","—",INDEX(MUSTERILER!$C$7:$C$106,MATCH($C857,MUSTERILER!$B$7:$B$106,0))))</f>
        <v/>
      </c>
      <c r="O857" s="6" t="n"/>
      <c r="P857" s="6" t="n"/>
      <c r="Q857" s="3">
        <f>IF($D857="","",$C857&amp;"|"&amp;COUNTIFS($C$7:$C857,$C857))</f>
        <v/>
      </c>
    </row>
    <row r="858">
      <c r="A858" s="6" t="n"/>
      <c r="B858" s="113">
        <f>IF($D858="","","T"&amp;TEXT(ROW()-6,"00000"))</f>
        <v/>
      </c>
      <c r="C858" s="113">
        <f>IF($D858="","",IFERROR(INDEX(MUSTERILER!$B$7:$B$106,MATCH($D858,MUSTERILER!$C$7:$C$106,0)),IFERROR(INDEX(MUSTERILER!$B$7:$B$106,MATCH($D858,MUSTERILER!$B$7:$B$106,0)),IFERROR(INDEX(MUSTERILER!$B$7:$B$106,MATCH($D858&amp;"*",MUSTERILER!$C$7:$C$106,0)),"TANIMSIZ MÜŞTERİ"))))</f>
        <v/>
      </c>
      <c r="D858" s="109" t="n"/>
      <c r="E858" s="225" t="n"/>
      <c r="F858" s="226" t="n"/>
      <c r="G858" s="108" t="n"/>
      <c r="H858" s="108" t="n"/>
      <c r="I858" s="109" t="n"/>
      <c r="J858" s="109" t="n"/>
      <c r="K858" s="109" t="n"/>
      <c r="L858" s="231">
        <f>IF($E858="","",DATE(YEAR($E858),MONTH($E858),1))</f>
        <v/>
      </c>
      <c r="M858" s="113">
        <f>IF($D858="","",IF($C858="TANIMSIZ MÜŞTERİ","HATA",IF(OR($E858="",$F858&lt;=0,$G858=""),"EKSİK",IF($E858&gt;TODAY(),"İLERİ TARİH","UYGUN"))))</f>
        <v/>
      </c>
      <c r="N858" s="121">
        <f>IF($C858="","",IF($C858="TANIMSIZ MÜŞTERİ","—",INDEX(MUSTERILER!$C$7:$C$106,MATCH($C858,MUSTERILER!$B$7:$B$106,0))))</f>
        <v/>
      </c>
      <c r="O858" s="6" t="n"/>
      <c r="P858" s="6" t="n"/>
      <c r="Q858" s="3">
        <f>IF($D858="","",$C858&amp;"|"&amp;COUNTIFS($C$7:$C858,$C858))</f>
        <v/>
      </c>
    </row>
    <row r="859">
      <c r="A859" s="6" t="n"/>
      <c r="B859" s="113">
        <f>IF($D859="","","T"&amp;TEXT(ROW()-6,"00000"))</f>
        <v/>
      </c>
      <c r="C859" s="113">
        <f>IF($D859="","",IFERROR(INDEX(MUSTERILER!$B$7:$B$106,MATCH($D859,MUSTERILER!$C$7:$C$106,0)),IFERROR(INDEX(MUSTERILER!$B$7:$B$106,MATCH($D859,MUSTERILER!$B$7:$B$106,0)),IFERROR(INDEX(MUSTERILER!$B$7:$B$106,MATCH($D859&amp;"*",MUSTERILER!$C$7:$C$106,0)),"TANIMSIZ MÜŞTERİ"))))</f>
        <v/>
      </c>
      <c r="D859" s="109" t="n"/>
      <c r="E859" s="225" t="n"/>
      <c r="F859" s="226" t="n"/>
      <c r="G859" s="108" t="n"/>
      <c r="H859" s="108" t="n"/>
      <c r="I859" s="109" t="n"/>
      <c r="J859" s="109" t="n"/>
      <c r="K859" s="109" t="n"/>
      <c r="L859" s="231">
        <f>IF($E859="","",DATE(YEAR($E859),MONTH($E859),1))</f>
        <v/>
      </c>
      <c r="M859" s="113">
        <f>IF($D859="","",IF($C859="TANIMSIZ MÜŞTERİ","HATA",IF(OR($E859="",$F859&lt;=0,$G859=""),"EKSİK",IF($E859&gt;TODAY(),"İLERİ TARİH","UYGUN"))))</f>
        <v/>
      </c>
      <c r="N859" s="121">
        <f>IF($C859="","",IF($C859="TANIMSIZ MÜŞTERİ","—",INDEX(MUSTERILER!$C$7:$C$106,MATCH($C859,MUSTERILER!$B$7:$B$106,0))))</f>
        <v/>
      </c>
      <c r="O859" s="6" t="n"/>
      <c r="P859" s="6" t="n"/>
      <c r="Q859" s="3">
        <f>IF($D859="","",$C859&amp;"|"&amp;COUNTIFS($C$7:$C859,$C859))</f>
        <v/>
      </c>
    </row>
    <row r="860">
      <c r="A860" s="6" t="n"/>
      <c r="B860" s="113">
        <f>IF($D860="","","T"&amp;TEXT(ROW()-6,"00000"))</f>
        <v/>
      </c>
      <c r="C860" s="113">
        <f>IF($D860="","",IFERROR(INDEX(MUSTERILER!$B$7:$B$106,MATCH($D860,MUSTERILER!$C$7:$C$106,0)),IFERROR(INDEX(MUSTERILER!$B$7:$B$106,MATCH($D860,MUSTERILER!$B$7:$B$106,0)),IFERROR(INDEX(MUSTERILER!$B$7:$B$106,MATCH($D860&amp;"*",MUSTERILER!$C$7:$C$106,0)),"TANIMSIZ MÜŞTERİ"))))</f>
        <v/>
      </c>
      <c r="D860" s="109" t="n"/>
      <c r="E860" s="225" t="n"/>
      <c r="F860" s="226" t="n"/>
      <c r="G860" s="108" t="n"/>
      <c r="H860" s="108" t="n"/>
      <c r="I860" s="109" t="n"/>
      <c r="J860" s="109" t="n"/>
      <c r="K860" s="109" t="n"/>
      <c r="L860" s="231">
        <f>IF($E860="","",DATE(YEAR($E860),MONTH($E860),1))</f>
        <v/>
      </c>
      <c r="M860" s="113">
        <f>IF($D860="","",IF($C860="TANIMSIZ MÜŞTERİ","HATA",IF(OR($E860="",$F860&lt;=0,$G860=""),"EKSİK",IF($E860&gt;TODAY(),"İLERİ TARİH","UYGUN"))))</f>
        <v/>
      </c>
      <c r="N860" s="121">
        <f>IF($C860="","",IF($C860="TANIMSIZ MÜŞTERİ","—",INDEX(MUSTERILER!$C$7:$C$106,MATCH($C860,MUSTERILER!$B$7:$B$106,0))))</f>
        <v/>
      </c>
      <c r="O860" s="6" t="n"/>
      <c r="P860" s="6" t="n"/>
      <c r="Q860" s="3">
        <f>IF($D860="","",$C860&amp;"|"&amp;COUNTIFS($C$7:$C860,$C860))</f>
        <v/>
      </c>
    </row>
    <row r="861">
      <c r="A861" s="6" t="n"/>
      <c r="B861" s="113">
        <f>IF($D861="","","T"&amp;TEXT(ROW()-6,"00000"))</f>
        <v/>
      </c>
      <c r="C861" s="113">
        <f>IF($D861="","",IFERROR(INDEX(MUSTERILER!$B$7:$B$106,MATCH($D861,MUSTERILER!$C$7:$C$106,0)),IFERROR(INDEX(MUSTERILER!$B$7:$B$106,MATCH($D861,MUSTERILER!$B$7:$B$106,0)),IFERROR(INDEX(MUSTERILER!$B$7:$B$106,MATCH($D861&amp;"*",MUSTERILER!$C$7:$C$106,0)),"TANIMSIZ MÜŞTERİ"))))</f>
        <v/>
      </c>
      <c r="D861" s="109" t="n"/>
      <c r="E861" s="225" t="n"/>
      <c r="F861" s="226" t="n"/>
      <c r="G861" s="108" t="n"/>
      <c r="H861" s="108" t="n"/>
      <c r="I861" s="109" t="n"/>
      <c r="J861" s="109" t="n"/>
      <c r="K861" s="109" t="n"/>
      <c r="L861" s="231">
        <f>IF($E861="","",DATE(YEAR($E861),MONTH($E861),1))</f>
        <v/>
      </c>
      <c r="M861" s="113">
        <f>IF($D861="","",IF($C861="TANIMSIZ MÜŞTERİ","HATA",IF(OR($E861="",$F861&lt;=0,$G861=""),"EKSİK",IF($E861&gt;TODAY(),"İLERİ TARİH","UYGUN"))))</f>
        <v/>
      </c>
      <c r="N861" s="121">
        <f>IF($C861="","",IF($C861="TANIMSIZ MÜŞTERİ","—",INDEX(MUSTERILER!$C$7:$C$106,MATCH($C861,MUSTERILER!$B$7:$B$106,0))))</f>
        <v/>
      </c>
      <c r="O861" s="6" t="n"/>
      <c r="P861" s="6" t="n"/>
      <c r="Q861" s="3">
        <f>IF($D861="","",$C861&amp;"|"&amp;COUNTIFS($C$7:$C861,$C861))</f>
        <v/>
      </c>
    </row>
    <row r="862">
      <c r="A862" s="6" t="n"/>
      <c r="B862" s="113">
        <f>IF($D862="","","T"&amp;TEXT(ROW()-6,"00000"))</f>
        <v/>
      </c>
      <c r="C862" s="113">
        <f>IF($D862="","",IFERROR(INDEX(MUSTERILER!$B$7:$B$106,MATCH($D862,MUSTERILER!$C$7:$C$106,0)),IFERROR(INDEX(MUSTERILER!$B$7:$B$106,MATCH($D862,MUSTERILER!$B$7:$B$106,0)),IFERROR(INDEX(MUSTERILER!$B$7:$B$106,MATCH($D862&amp;"*",MUSTERILER!$C$7:$C$106,0)),"TANIMSIZ MÜŞTERİ"))))</f>
        <v/>
      </c>
      <c r="D862" s="109" t="n"/>
      <c r="E862" s="225" t="n"/>
      <c r="F862" s="226" t="n"/>
      <c r="G862" s="108" t="n"/>
      <c r="H862" s="108" t="n"/>
      <c r="I862" s="109" t="n"/>
      <c r="J862" s="109" t="n"/>
      <c r="K862" s="109" t="n"/>
      <c r="L862" s="231">
        <f>IF($E862="","",DATE(YEAR($E862),MONTH($E862),1))</f>
        <v/>
      </c>
      <c r="M862" s="113">
        <f>IF($D862="","",IF($C862="TANIMSIZ MÜŞTERİ","HATA",IF(OR($E862="",$F862&lt;=0,$G862=""),"EKSİK",IF($E862&gt;TODAY(),"İLERİ TARİH","UYGUN"))))</f>
        <v/>
      </c>
      <c r="N862" s="121">
        <f>IF($C862="","",IF($C862="TANIMSIZ MÜŞTERİ","—",INDEX(MUSTERILER!$C$7:$C$106,MATCH($C862,MUSTERILER!$B$7:$B$106,0))))</f>
        <v/>
      </c>
      <c r="O862" s="6" t="n"/>
      <c r="P862" s="6" t="n"/>
      <c r="Q862" s="3">
        <f>IF($D862="","",$C862&amp;"|"&amp;COUNTIFS($C$7:$C862,$C862))</f>
        <v/>
      </c>
    </row>
    <row r="863">
      <c r="A863" s="6" t="n"/>
      <c r="B863" s="113">
        <f>IF($D863="","","T"&amp;TEXT(ROW()-6,"00000"))</f>
        <v/>
      </c>
      <c r="C863" s="113">
        <f>IF($D863="","",IFERROR(INDEX(MUSTERILER!$B$7:$B$106,MATCH($D863,MUSTERILER!$C$7:$C$106,0)),IFERROR(INDEX(MUSTERILER!$B$7:$B$106,MATCH($D863,MUSTERILER!$B$7:$B$106,0)),IFERROR(INDEX(MUSTERILER!$B$7:$B$106,MATCH($D863&amp;"*",MUSTERILER!$C$7:$C$106,0)),"TANIMSIZ MÜŞTERİ"))))</f>
        <v/>
      </c>
      <c r="D863" s="109" t="n"/>
      <c r="E863" s="225" t="n"/>
      <c r="F863" s="226" t="n"/>
      <c r="G863" s="108" t="n"/>
      <c r="H863" s="108" t="n"/>
      <c r="I863" s="109" t="n"/>
      <c r="J863" s="109" t="n"/>
      <c r="K863" s="109" t="n"/>
      <c r="L863" s="231">
        <f>IF($E863="","",DATE(YEAR($E863),MONTH($E863),1))</f>
        <v/>
      </c>
      <c r="M863" s="113">
        <f>IF($D863="","",IF($C863="TANIMSIZ MÜŞTERİ","HATA",IF(OR($E863="",$F863&lt;=0,$G863=""),"EKSİK",IF($E863&gt;TODAY(),"İLERİ TARİH","UYGUN"))))</f>
        <v/>
      </c>
      <c r="N863" s="121">
        <f>IF($C863="","",IF($C863="TANIMSIZ MÜŞTERİ","—",INDEX(MUSTERILER!$C$7:$C$106,MATCH($C863,MUSTERILER!$B$7:$B$106,0))))</f>
        <v/>
      </c>
      <c r="O863" s="6" t="n"/>
      <c r="P863" s="6" t="n"/>
      <c r="Q863" s="3">
        <f>IF($D863="","",$C863&amp;"|"&amp;COUNTIFS($C$7:$C863,$C863))</f>
        <v/>
      </c>
    </row>
    <row r="864">
      <c r="A864" s="6" t="n"/>
      <c r="B864" s="113">
        <f>IF($D864="","","T"&amp;TEXT(ROW()-6,"00000"))</f>
        <v/>
      </c>
      <c r="C864" s="113">
        <f>IF($D864="","",IFERROR(INDEX(MUSTERILER!$B$7:$B$106,MATCH($D864,MUSTERILER!$C$7:$C$106,0)),IFERROR(INDEX(MUSTERILER!$B$7:$B$106,MATCH($D864,MUSTERILER!$B$7:$B$106,0)),IFERROR(INDEX(MUSTERILER!$B$7:$B$106,MATCH($D864&amp;"*",MUSTERILER!$C$7:$C$106,0)),"TANIMSIZ MÜŞTERİ"))))</f>
        <v/>
      </c>
      <c r="D864" s="109" t="n"/>
      <c r="E864" s="225" t="n"/>
      <c r="F864" s="226" t="n"/>
      <c r="G864" s="108" t="n"/>
      <c r="H864" s="108" t="n"/>
      <c r="I864" s="109" t="n"/>
      <c r="J864" s="109" t="n"/>
      <c r="K864" s="109" t="n"/>
      <c r="L864" s="231">
        <f>IF($E864="","",DATE(YEAR($E864),MONTH($E864),1))</f>
        <v/>
      </c>
      <c r="M864" s="113">
        <f>IF($D864="","",IF($C864="TANIMSIZ MÜŞTERİ","HATA",IF(OR($E864="",$F864&lt;=0,$G864=""),"EKSİK",IF($E864&gt;TODAY(),"İLERİ TARİH","UYGUN"))))</f>
        <v/>
      </c>
      <c r="N864" s="121">
        <f>IF($C864="","",IF($C864="TANIMSIZ MÜŞTERİ","—",INDEX(MUSTERILER!$C$7:$C$106,MATCH($C864,MUSTERILER!$B$7:$B$106,0))))</f>
        <v/>
      </c>
      <c r="O864" s="6" t="n"/>
      <c r="P864" s="6" t="n"/>
      <c r="Q864" s="3">
        <f>IF($D864="","",$C864&amp;"|"&amp;COUNTIFS($C$7:$C864,$C864))</f>
        <v/>
      </c>
    </row>
    <row r="865">
      <c r="A865" s="6" t="n"/>
      <c r="B865" s="113">
        <f>IF($D865="","","T"&amp;TEXT(ROW()-6,"00000"))</f>
        <v/>
      </c>
      <c r="C865" s="113">
        <f>IF($D865="","",IFERROR(INDEX(MUSTERILER!$B$7:$B$106,MATCH($D865,MUSTERILER!$C$7:$C$106,0)),IFERROR(INDEX(MUSTERILER!$B$7:$B$106,MATCH($D865,MUSTERILER!$B$7:$B$106,0)),IFERROR(INDEX(MUSTERILER!$B$7:$B$106,MATCH($D865&amp;"*",MUSTERILER!$C$7:$C$106,0)),"TANIMSIZ MÜŞTERİ"))))</f>
        <v/>
      </c>
      <c r="D865" s="109" t="n"/>
      <c r="E865" s="225" t="n"/>
      <c r="F865" s="226" t="n"/>
      <c r="G865" s="108" t="n"/>
      <c r="H865" s="108" t="n"/>
      <c r="I865" s="109" t="n"/>
      <c r="J865" s="109" t="n"/>
      <c r="K865" s="109" t="n"/>
      <c r="L865" s="231">
        <f>IF($E865="","",DATE(YEAR($E865),MONTH($E865),1))</f>
        <v/>
      </c>
      <c r="M865" s="113">
        <f>IF($D865="","",IF($C865="TANIMSIZ MÜŞTERİ","HATA",IF(OR($E865="",$F865&lt;=0,$G865=""),"EKSİK",IF($E865&gt;TODAY(),"İLERİ TARİH","UYGUN"))))</f>
        <v/>
      </c>
      <c r="N865" s="121">
        <f>IF($C865="","",IF($C865="TANIMSIZ MÜŞTERİ","—",INDEX(MUSTERILER!$C$7:$C$106,MATCH($C865,MUSTERILER!$B$7:$B$106,0))))</f>
        <v/>
      </c>
      <c r="O865" s="6" t="n"/>
      <c r="P865" s="6" t="n"/>
      <c r="Q865" s="3">
        <f>IF($D865="","",$C865&amp;"|"&amp;COUNTIFS($C$7:$C865,$C865))</f>
        <v/>
      </c>
    </row>
    <row r="866">
      <c r="A866" s="6" t="n"/>
      <c r="B866" s="113">
        <f>IF($D866="","","T"&amp;TEXT(ROW()-6,"00000"))</f>
        <v/>
      </c>
      <c r="C866" s="113">
        <f>IF($D866="","",IFERROR(INDEX(MUSTERILER!$B$7:$B$106,MATCH($D866,MUSTERILER!$C$7:$C$106,0)),IFERROR(INDEX(MUSTERILER!$B$7:$B$106,MATCH($D866,MUSTERILER!$B$7:$B$106,0)),IFERROR(INDEX(MUSTERILER!$B$7:$B$106,MATCH($D866&amp;"*",MUSTERILER!$C$7:$C$106,0)),"TANIMSIZ MÜŞTERİ"))))</f>
        <v/>
      </c>
      <c r="D866" s="109" t="n"/>
      <c r="E866" s="225" t="n"/>
      <c r="F866" s="226" t="n"/>
      <c r="G866" s="108" t="n"/>
      <c r="H866" s="108" t="n"/>
      <c r="I866" s="109" t="n"/>
      <c r="J866" s="109" t="n"/>
      <c r="K866" s="109" t="n"/>
      <c r="L866" s="231">
        <f>IF($E866="","",DATE(YEAR($E866),MONTH($E866),1))</f>
        <v/>
      </c>
      <c r="M866" s="113">
        <f>IF($D866="","",IF($C866="TANIMSIZ MÜŞTERİ","HATA",IF(OR($E866="",$F866&lt;=0,$G866=""),"EKSİK",IF($E866&gt;TODAY(),"İLERİ TARİH","UYGUN"))))</f>
        <v/>
      </c>
      <c r="N866" s="121">
        <f>IF($C866="","",IF($C866="TANIMSIZ MÜŞTERİ","—",INDEX(MUSTERILER!$C$7:$C$106,MATCH($C866,MUSTERILER!$B$7:$B$106,0))))</f>
        <v/>
      </c>
      <c r="O866" s="6" t="n"/>
      <c r="P866" s="6" t="n"/>
      <c r="Q866" s="3">
        <f>IF($D866="","",$C866&amp;"|"&amp;COUNTIFS($C$7:$C866,$C866))</f>
        <v/>
      </c>
    </row>
    <row r="867">
      <c r="A867" s="6" t="n"/>
      <c r="B867" s="113">
        <f>IF($D867="","","T"&amp;TEXT(ROW()-6,"00000"))</f>
        <v/>
      </c>
      <c r="C867" s="113">
        <f>IF($D867="","",IFERROR(INDEX(MUSTERILER!$B$7:$B$106,MATCH($D867,MUSTERILER!$C$7:$C$106,0)),IFERROR(INDEX(MUSTERILER!$B$7:$B$106,MATCH($D867,MUSTERILER!$B$7:$B$106,0)),IFERROR(INDEX(MUSTERILER!$B$7:$B$106,MATCH($D867&amp;"*",MUSTERILER!$C$7:$C$106,0)),"TANIMSIZ MÜŞTERİ"))))</f>
        <v/>
      </c>
      <c r="D867" s="109" t="n"/>
      <c r="E867" s="225" t="n"/>
      <c r="F867" s="226" t="n"/>
      <c r="G867" s="108" t="n"/>
      <c r="H867" s="108" t="n"/>
      <c r="I867" s="109" t="n"/>
      <c r="J867" s="109" t="n"/>
      <c r="K867" s="109" t="n"/>
      <c r="L867" s="231">
        <f>IF($E867="","",DATE(YEAR($E867),MONTH($E867),1))</f>
        <v/>
      </c>
      <c r="M867" s="113">
        <f>IF($D867="","",IF($C867="TANIMSIZ MÜŞTERİ","HATA",IF(OR($E867="",$F867&lt;=0,$G867=""),"EKSİK",IF($E867&gt;TODAY(),"İLERİ TARİH","UYGUN"))))</f>
        <v/>
      </c>
      <c r="N867" s="121">
        <f>IF($C867="","",IF($C867="TANIMSIZ MÜŞTERİ","—",INDEX(MUSTERILER!$C$7:$C$106,MATCH($C867,MUSTERILER!$B$7:$B$106,0))))</f>
        <v/>
      </c>
      <c r="O867" s="6" t="n"/>
      <c r="P867" s="6" t="n"/>
      <c r="Q867" s="3">
        <f>IF($D867="","",$C867&amp;"|"&amp;COUNTIFS($C$7:$C867,$C867))</f>
        <v/>
      </c>
    </row>
    <row r="868">
      <c r="A868" s="6" t="n"/>
      <c r="B868" s="113">
        <f>IF($D868="","","T"&amp;TEXT(ROW()-6,"00000"))</f>
        <v/>
      </c>
      <c r="C868" s="113">
        <f>IF($D868="","",IFERROR(INDEX(MUSTERILER!$B$7:$B$106,MATCH($D868,MUSTERILER!$C$7:$C$106,0)),IFERROR(INDEX(MUSTERILER!$B$7:$B$106,MATCH($D868,MUSTERILER!$B$7:$B$106,0)),IFERROR(INDEX(MUSTERILER!$B$7:$B$106,MATCH($D868&amp;"*",MUSTERILER!$C$7:$C$106,0)),"TANIMSIZ MÜŞTERİ"))))</f>
        <v/>
      </c>
      <c r="D868" s="109" t="n"/>
      <c r="E868" s="225" t="n"/>
      <c r="F868" s="226" t="n"/>
      <c r="G868" s="108" t="n"/>
      <c r="H868" s="108" t="n"/>
      <c r="I868" s="109" t="n"/>
      <c r="J868" s="109" t="n"/>
      <c r="K868" s="109" t="n"/>
      <c r="L868" s="231">
        <f>IF($E868="","",DATE(YEAR($E868),MONTH($E868),1))</f>
        <v/>
      </c>
      <c r="M868" s="113">
        <f>IF($D868="","",IF($C868="TANIMSIZ MÜŞTERİ","HATA",IF(OR($E868="",$F868&lt;=0,$G868=""),"EKSİK",IF($E868&gt;TODAY(),"İLERİ TARİH","UYGUN"))))</f>
        <v/>
      </c>
      <c r="N868" s="121">
        <f>IF($C868="","",IF($C868="TANIMSIZ MÜŞTERİ","—",INDEX(MUSTERILER!$C$7:$C$106,MATCH($C868,MUSTERILER!$B$7:$B$106,0))))</f>
        <v/>
      </c>
      <c r="O868" s="6" t="n"/>
      <c r="P868" s="6" t="n"/>
      <c r="Q868" s="3">
        <f>IF($D868="","",$C868&amp;"|"&amp;COUNTIFS($C$7:$C868,$C868))</f>
        <v/>
      </c>
    </row>
    <row r="869">
      <c r="A869" s="6" t="n"/>
      <c r="B869" s="113">
        <f>IF($D869="","","T"&amp;TEXT(ROW()-6,"00000"))</f>
        <v/>
      </c>
      <c r="C869" s="113">
        <f>IF($D869="","",IFERROR(INDEX(MUSTERILER!$B$7:$B$106,MATCH($D869,MUSTERILER!$C$7:$C$106,0)),IFERROR(INDEX(MUSTERILER!$B$7:$B$106,MATCH($D869,MUSTERILER!$B$7:$B$106,0)),IFERROR(INDEX(MUSTERILER!$B$7:$B$106,MATCH($D869&amp;"*",MUSTERILER!$C$7:$C$106,0)),"TANIMSIZ MÜŞTERİ"))))</f>
        <v/>
      </c>
      <c r="D869" s="109" t="n"/>
      <c r="E869" s="225" t="n"/>
      <c r="F869" s="226" t="n"/>
      <c r="G869" s="108" t="n"/>
      <c r="H869" s="108" t="n"/>
      <c r="I869" s="109" t="n"/>
      <c r="J869" s="109" t="n"/>
      <c r="K869" s="109" t="n"/>
      <c r="L869" s="231">
        <f>IF($E869="","",DATE(YEAR($E869),MONTH($E869),1))</f>
        <v/>
      </c>
      <c r="M869" s="113">
        <f>IF($D869="","",IF($C869="TANIMSIZ MÜŞTERİ","HATA",IF(OR($E869="",$F869&lt;=0,$G869=""),"EKSİK",IF($E869&gt;TODAY(),"İLERİ TARİH","UYGUN"))))</f>
        <v/>
      </c>
      <c r="N869" s="121">
        <f>IF($C869="","",IF($C869="TANIMSIZ MÜŞTERİ","—",INDEX(MUSTERILER!$C$7:$C$106,MATCH($C869,MUSTERILER!$B$7:$B$106,0))))</f>
        <v/>
      </c>
      <c r="O869" s="6" t="n"/>
      <c r="P869" s="6" t="n"/>
      <c r="Q869" s="3">
        <f>IF($D869="","",$C869&amp;"|"&amp;COUNTIFS($C$7:$C869,$C869))</f>
        <v/>
      </c>
    </row>
    <row r="870">
      <c r="A870" s="6" t="n"/>
      <c r="B870" s="113">
        <f>IF($D870="","","T"&amp;TEXT(ROW()-6,"00000"))</f>
        <v/>
      </c>
      <c r="C870" s="113">
        <f>IF($D870="","",IFERROR(INDEX(MUSTERILER!$B$7:$B$106,MATCH($D870,MUSTERILER!$C$7:$C$106,0)),IFERROR(INDEX(MUSTERILER!$B$7:$B$106,MATCH($D870,MUSTERILER!$B$7:$B$106,0)),IFERROR(INDEX(MUSTERILER!$B$7:$B$106,MATCH($D870&amp;"*",MUSTERILER!$C$7:$C$106,0)),"TANIMSIZ MÜŞTERİ"))))</f>
        <v/>
      </c>
      <c r="D870" s="109" t="n"/>
      <c r="E870" s="225" t="n"/>
      <c r="F870" s="226" t="n"/>
      <c r="G870" s="108" t="n"/>
      <c r="H870" s="108" t="n"/>
      <c r="I870" s="109" t="n"/>
      <c r="J870" s="109" t="n"/>
      <c r="K870" s="109" t="n"/>
      <c r="L870" s="231">
        <f>IF($E870="","",DATE(YEAR($E870),MONTH($E870),1))</f>
        <v/>
      </c>
      <c r="M870" s="113">
        <f>IF($D870="","",IF($C870="TANIMSIZ MÜŞTERİ","HATA",IF(OR($E870="",$F870&lt;=0,$G870=""),"EKSİK",IF($E870&gt;TODAY(),"İLERİ TARİH","UYGUN"))))</f>
        <v/>
      </c>
      <c r="N870" s="121">
        <f>IF($C870="","",IF($C870="TANIMSIZ MÜŞTERİ","—",INDEX(MUSTERILER!$C$7:$C$106,MATCH($C870,MUSTERILER!$B$7:$B$106,0))))</f>
        <v/>
      </c>
      <c r="O870" s="6" t="n"/>
      <c r="P870" s="6" t="n"/>
      <c r="Q870" s="3">
        <f>IF($D870="","",$C870&amp;"|"&amp;COUNTIFS($C$7:$C870,$C870))</f>
        <v/>
      </c>
    </row>
    <row r="871">
      <c r="A871" s="6" t="n"/>
      <c r="B871" s="113">
        <f>IF($D871="","","T"&amp;TEXT(ROW()-6,"00000"))</f>
        <v/>
      </c>
      <c r="C871" s="113">
        <f>IF($D871="","",IFERROR(INDEX(MUSTERILER!$B$7:$B$106,MATCH($D871,MUSTERILER!$C$7:$C$106,0)),IFERROR(INDEX(MUSTERILER!$B$7:$B$106,MATCH($D871,MUSTERILER!$B$7:$B$106,0)),IFERROR(INDEX(MUSTERILER!$B$7:$B$106,MATCH($D871&amp;"*",MUSTERILER!$C$7:$C$106,0)),"TANIMSIZ MÜŞTERİ"))))</f>
        <v/>
      </c>
      <c r="D871" s="109" t="n"/>
      <c r="E871" s="225" t="n"/>
      <c r="F871" s="226" t="n"/>
      <c r="G871" s="108" t="n"/>
      <c r="H871" s="108" t="n"/>
      <c r="I871" s="109" t="n"/>
      <c r="J871" s="109" t="n"/>
      <c r="K871" s="109" t="n"/>
      <c r="L871" s="231">
        <f>IF($E871="","",DATE(YEAR($E871),MONTH($E871),1))</f>
        <v/>
      </c>
      <c r="M871" s="113">
        <f>IF($D871="","",IF($C871="TANIMSIZ MÜŞTERİ","HATA",IF(OR($E871="",$F871&lt;=0,$G871=""),"EKSİK",IF($E871&gt;TODAY(),"İLERİ TARİH","UYGUN"))))</f>
        <v/>
      </c>
      <c r="N871" s="121">
        <f>IF($C871="","",IF($C871="TANIMSIZ MÜŞTERİ","—",INDEX(MUSTERILER!$C$7:$C$106,MATCH($C871,MUSTERILER!$B$7:$B$106,0))))</f>
        <v/>
      </c>
      <c r="O871" s="6" t="n"/>
      <c r="P871" s="6" t="n"/>
      <c r="Q871" s="3">
        <f>IF($D871="","",$C871&amp;"|"&amp;COUNTIFS($C$7:$C871,$C871))</f>
        <v/>
      </c>
    </row>
    <row r="872">
      <c r="A872" s="6" t="n"/>
      <c r="B872" s="113">
        <f>IF($D872="","","T"&amp;TEXT(ROW()-6,"00000"))</f>
        <v/>
      </c>
      <c r="C872" s="113">
        <f>IF($D872="","",IFERROR(INDEX(MUSTERILER!$B$7:$B$106,MATCH($D872,MUSTERILER!$C$7:$C$106,0)),IFERROR(INDEX(MUSTERILER!$B$7:$B$106,MATCH($D872,MUSTERILER!$B$7:$B$106,0)),IFERROR(INDEX(MUSTERILER!$B$7:$B$106,MATCH($D872&amp;"*",MUSTERILER!$C$7:$C$106,0)),"TANIMSIZ MÜŞTERİ"))))</f>
        <v/>
      </c>
      <c r="D872" s="109" t="n"/>
      <c r="E872" s="225" t="n"/>
      <c r="F872" s="226" t="n"/>
      <c r="G872" s="108" t="n"/>
      <c r="H872" s="108" t="n"/>
      <c r="I872" s="109" t="n"/>
      <c r="J872" s="109" t="n"/>
      <c r="K872" s="109" t="n"/>
      <c r="L872" s="231">
        <f>IF($E872="","",DATE(YEAR($E872),MONTH($E872),1))</f>
        <v/>
      </c>
      <c r="M872" s="113">
        <f>IF($D872="","",IF($C872="TANIMSIZ MÜŞTERİ","HATA",IF(OR($E872="",$F872&lt;=0,$G872=""),"EKSİK",IF($E872&gt;TODAY(),"İLERİ TARİH","UYGUN"))))</f>
        <v/>
      </c>
      <c r="N872" s="121">
        <f>IF($C872="","",IF($C872="TANIMSIZ MÜŞTERİ","—",INDEX(MUSTERILER!$C$7:$C$106,MATCH($C872,MUSTERILER!$B$7:$B$106,0))))</f>
        <v/>
      </c>
      <c r="O872" s="6" t="n"/>
      <c r="P872" s="6" t="n"/>
      <c r="Q872" s="3">
        <f>IF($D872="","",$C872&amp;"|"&amp;COUNTIFS($C$7:$C872,$C872))</f>
        <v/>
      </c>
    </row>
    <row r="873">
      <c r="A873" s="6" t="n"/>
      <c r="B873" s="113">
        <f>IF($D873="","","T"&amp;TEXT(ROW()-6,"00000"))</f>
        <v/>
      </c>
      <c r="C873" s="113">
        <f>IF($D873="","",IFERROR(INDEX(MUSTERILER!$B$7:$B$106,MATCH($D873,MUSTERILER!$C$7:$C$106,0)),IFERROR(INDEX(MUSTERILER!$B$7:$B$106,MATCH($D873,MUSTERILER!$B$7:$B$106,0)),IFERROR(INDEX(MUSTERILER!$B$7:$B$106,MATCH($D873&amp;"*",MUSTERILER!$C$7:$C$106,0)),"TANIMSIZ MÜŞTERİ"))))</f>
        <v/>
      </c>
      <c r="D873" s="109" t="n"/>
      <c r="E873" s="225" t="n"/>
      <c r="F873" s="226" t="n"/>
      <c r="G873" s="108" t="n"/>
      <c r="H873" s="108" t="n"/>
      <c r="I873" s="109" t="n"/>
      <c r="J873" s="109" t="n"/>
      <c r="K873" s="109" t="n"/>
      <c r="L873" s="231">
        <f>IF($E873="","",DATE(YEAR($E873),MONTH($E873),1))</f>
        <v/>
      </c>
      <c r="M873" s="113">
        <f>IF($D873="","",IF($C873="TANIMSIZ MÜŞTERİ","HATA",IF(OR($E873="",$F873&lt;=0,$G873=""),"EKSİK",IF($E873&gt;TODAY(),"İLERİ TARİH","UYGUN"))))</f>
        <v/>
      </c>
      <c r="N873" s="121">
        <f>IF($C873="","",IF($C873="TANIMSIZ MÜŞTERİ","—",INDEX(MUSTERILER!$C$7:$C$106,MATCH($C873,MUSTERILER!$B$7:$B$106,0))))</f>
        <v/>
      </c>
      <c r="O873" s="6" t="n"/>
      <c r="P873" s="6" t="n"/>
      <c r="Q873" s="3">
        <f>IF($D873="","",$C873&amp;"|"&amp;COUNTIFS($C$7:$C873,$C873))</f>
        <v/>
      </c>
    </row>
    <row r="874">
      <c r="A874" s="6" t="n"/>
      <c r="B874" s="113">
        <f>IF($D874="","","T"&amp;TEXT(ROW()-6,"00000"))</f>
        <v/>
      </c>
      <c r="C874" s="113">
        <f>IF($D874="","",IFERROR(INDEX(MUSTERILER!$B$7:$B$106,MATCH($D874,MUSTERILER!$C$7:$C$106,0)),IFERROR(INDEX(MUSTERILER!$B$7:$B$106,MATCH($D874,MUSTERILER!$B$7:$B$106,0)),IFERROR(INDEX(MUSTERILER!$B$7:$B$106,MATCH($D874&amp;"*",MUSTERILER!$C$7:$C$106,0)),"TANIMSIZ MÜŞTERİ"))))</f>
        <v/>
      </c>
      <c r="D874" s="109" t="n"/>
      <c r="E874" s="225" t="n"/>
      <c r="F874" s="226" t="n"/>
      <c r="G874" s="108" t="n"/>
      <c r="H874" s="108" t="n"/>
      <c r="I874" s="109" t="n"/>
      <c r="J874" s="109" t="n"/>
      <c r="K874" s="109" t="n"/>
      <c r="L874" s="231">
        <f>IF($E874="","",DATE(YEAR($E874),MONTH($E874),1))</f>
        <v/>
      </c>
      <c r="M874" s="113">
        <f>IF($D874="","",IF($C874="TANIMSIZ MÜŞTERİ","HATA",IF(OR($E874="",$F874&lt;=0,$G874=""),"EKSİK",IF($E874&gt;TODAY(),"İLERİ TARİH","UYGUN"))))</f>
        <v/>
      </c>
      <c r="N874" s="121">
        <f>IF($C874="","",IF($C874="TANIMSIZ MÜŞTERİ","—",INDEX(MUSTERILER!$C$7:$C$106,MATCH($C874,MUSTERILER!$B$7:$B$106,0))))</f>
        <v/>
      </c>
      <c r="O874" s="6" t="n"/>
      <c r="P874" s="6" t="n"/>
      <c r="Q874" s="3">
        <f>IF($D874="","",$C874&amp;"|"&amp;COUNTIFS($C$7:$C874,$C874))</f>
        <v/>
      </c>
    </row>
    <row r="875">
      <c r="A875" s="6" t="n"/>
      <c r="B875" s="113">
        <f>IF($D875="","","T"&amp;TEXT(ROW()-6,"00000"))</f>
        <v/>
      </c>
      <c r="C875" s="113">
        <f>IF($D875="","",IFERROR(INDEX(MUSTERILER!$B$7:$B$106,MATCH($D875,MUSTERILER!$C$7:$C$106,0)),IFERROR(INDEX(MUSTERILER!$B$7:$B$106,MATCH($D875,MUSTERILER!$B$7:$B$106,0)),IFERROR(INDEX(MUSTERILER!$B$7:$B$106,MATCH($D875&amp;"*",MUSTERILER!$C$7:$C$106,0)),"TANIMSIZ MÜŞTERİ"))))</f>
        <v/>
      </c>
      <c r="D875" s="109" t="n"/>
      <c r="E875" s="225" t="n"/>
      <c r="F875" s="226" t="n"/>
      <c r="G875" s="108" t="n"/>
      <c r="H875" s="108" t="n"/>
      <c r="I875" s="109" t="n"/>
      <c r="J875" s="109" t="n"/>
      <c r="K875" s="109" t="n"/>
      <c r="L875" s="231">
        <f>IF($E875="","",DATE(YEAR($E875),MONTH($E875),1))</f>
        <v/>
      </c>
      <c r="M875" s="113">
        <f>IF($D875="","",IF($C875="TANIMSIZ MÜŞTERİ","HATA",IF(OR($E875="",$F875&lt;=0,$G875=""),"EKSİK",IF($E875&gt;TODAY(),"İLERİ TARİH","UYGUN"))))</f>
        <v/>
      </c>
      <c r="N875" s="121">
        <f>IF($C875="","",IF($C875="TANIMSIZ MÜŞTERİ","—",INDEX(MUSTERILER!$C$7:$C$106,MATCH($C875,MUSTERILER!$B$7:$B$106,0))))</f>
        <v/>
      </c>
      <c r="O875" s="6" t="n"/>
      <c r="P875" s="6" t="n"/>
      <c r="Q875" s="3">
        <f>IF($D875="","",$C875&amp;"|"&amp;COUNTIFS($C$7:$C875,$C875))</f>
        <v/>
      </c>
    </row>
    <row r="876">
      <c r="A876" s="6" t="n"/>
      <c r="B876" s="113">
        <f>IF($D876="","","T"&amp;TEXT(ROW()-6,"00000"))</f>
        <v/>
      </c>
      <c r="C876" s="113">
        <f>IF($D876="","",IFERROR(INDEX(MUSTERILER!$B$7:$B$106,MATCH($D876,MUSTERILER!$C$7:$C$106,0)),IFERROR(INDEX(MUSTERILER!$B$7:$B$106,MATCH($D876,MUSTERILER!$B$7:$B$106,0)),IFERROR(INDEX(MUSTERILER!$B$7:$B$106,MATCH($D876&amp;"*",MUSTERILER!$C$7:$C$106,0)),"TANIMSIZ MÜŞTERİ"))))</f>
        <v/>
      </c>
      <c r="D876" s="109" t="n"/>
      <c r="E876" s="225" t="n"/>
      <c r="F876" s="226" t="n"/>
      <c r="G876" s="108" t="n"/>
      <c r="H876" s="108" t="n"/>
      <c r="I876" s="109" t="n"/>
      <c r="J876" s="109" t="n"/>
      <c r="K876" s="109" t="n"/>
      <c r="L876" s="231">
        <f>IF($E876="","",DATE(YEAR($E876),MONTH($E876),1))</f>
        <v/>
      </c>
      <c r="M876" s="113">
        <f>IF($D876="","",IF($C876="TANIMSIZ MÜŞTERİ","HATA",IF(OR($E876="",$F876&lt;=0,$G876=""),"EKSİK",IF($E876&gt;TODAY(),"İLERİ TARİH","UYGUN"))))</f>
        <v/>
      </c>
      <c r="N876" s="121">
        <f>IF($C876="","",IF($C876="TANIMSIZ MÜŞTERİ","—",INDEX(MUSTERILER!$C$7:$C$106,MATCH($C876,MUSTERILER!$B$7:$B$106,0))))</f>
        <v/>
      </c>
      <c r="O876" s="6" t="n"/>
      <c r="P876" s="6" t="n"/>
      <c r="Q876" s="3">
        <f>IF($D876="","",$C876&amp;"|"&amp;COUNTIFS($C$7:$C876,$C876))</f>
        <v/>
      </c>
    </row>
    <row r="877">
      <c r="A877" s="6" t="n"/>
      <c r="B877" s="113">
        <f>IF($D877="","","T"&amp;TEXT(ROW()-6,"00000"))</f>
        <v/>
      </c>
      <c r="C877" s="113">
        <f>IF($D877="","",IFERROR(INDEX(MUSTERILER!$B$7:$B$106,MATCH($D877,MUSTERILER!$C$7:$C$106,0)),IFERROR(INDEX(MUSTERILER!$B$7:$B$106,MATCH($D877,MUSTERILER!$B$7:$B$106,0)),IFERROR(INDEX(MUSTERILER!$B$7:$B$106,MATCH($D877&amp;"*",MUSTERILER!$C$7:$C$106,0)),"TANIMSIZ MÜŞTERİ"))))</f>
        <v/>
      </c>
      <c r="D877" s="109" t="n"/>
      <c r="E877" s="225" t="n"/>
      <c r="F877" s="226" t="n"/>
      <c r="G877" s="108" t="n"/>
      <c r="H877" s="108" t="n"/>
      <c r="I877" s="109" t="n"/>
      <c r="J877" s="109" t="n"/>
      <c r="K877" s="109" t="n"/>
      <c r="L877" s="231">
        <f>IF($E877="","",DATE(YEAR($E877),MONTH($E877),1))</f>
        <v/>
      </c>
      <c r="M877" s="113">
        <f>IF($D877="","",IF($C877="TANIMSIZ MÜŞTERİ","HATA",IF(OR($E877="",$F877&lt;=0,$G877=""),"EKSİK",IF($E877&gt;TODAY(),"İLERİ TARİH","UYGUN"))))</f>
        <v/>
      </c>
      <c r="N877" s="121">
        <f>IF($C877="","",IF($C877="TANIMSIZ MÜŞTERİ","—",INDEX(MUSTERILER!$C$7:$C$106,MATCH($C877,MUSTERILER!$B$7:$B$106,0))))</f>
        <v/>
      </c>
      <c r="O877" s="6" t="n"/>
      <c r="P877" s="6" t="n"/>
      <c r="Q877" s="3">
        <f>IF($D877="","",$C877&amp;"|"&amp;COUNTIFS($C$7:$C877,$C877))</f>
        <v/>
      </c>
    </row>
    <row r="878">
      <c r="A878" s="6" t="n"/>
      <c r="B878" s="113">
        <f>IF($D878="","","T"&amp;TEXT(ROW()-6,"00000"))</f>
        <v/>
      </c>
      <c r="C878" s="113">
        <f>IF($D878="","",IFERROR(INDEX(MUSTERILER!$B$7:$B$106,MATCH($D878,MUSTERILER!$C$7:$C$106,0)),IFERROR(INDEX(MUSTERILER!$B$7:$B$106,MATCH($D878,MUSTERILER!$B$7:$B$106,0)),IFERROR(INDEX(MUSTERILER!$B$7:$B$106,MATCH($D878&amp;"*",MUSTERILER!$C$7:$C$106,0)),"TANIMSIZ MÜŞTERİ"))))</f>
        <v/>
      </c>
      <c r="D878" s="109" t="n"/>
      <c r="E878" s="225" t="n"/>
      <c r="F878" s="226" t="n"/>
      <c r="G878" s="108" t="n"/>
      <c r="H878" s="108" t="n"/>
      <c r="I878" s="109" t="n"/>
      <c r="J878" s="109" t="n"/>
      <c r="K878" s="109" t="n"/>
      <c r="L878" s="231">
        <f>IF($E878="","",DATE(YEAR($E878),MONTH($E878),1))</f>
        <v/>
      </c>
      <c r="M878" s="113">
        <f>IF($D878="","",IF($C878="TANIMSIZ MÜŞTERİ","HATA",IF(OR($E878="",$F878&lt;=0,$G878=""),"EKSİK",IF($E878&gt;TODAY(),"İLERİ TARİH","UYGUN"))))</f>
        <v/>
      </c>
      <c r="N878" s="121">
        <f>IF($C878="","",IF($C878="TANIMSIZ MÜŞTERİ","—",INDEX(MUSTERILER!$C$7:$C$106,MATCH($C878,MUSTERILER!$B$7:$B$106,0))))</f>
        <v/>
      </c>
      <c r="O878" s="6" t="n"/>
      <c r="P878" s="6" t="n"/>
      <c r="Q878" s="3">
        <f>IF($D878="","",$C878&amp;"|"&amp;COUNTIFS($C$7:$C878,$C878))</f>
        <v/>
      </c>
    </row>
    <row r="879">
      <c r="A879" s="6" t="n"/>
      <c r="B879" s="113">
        <f>IF($D879="","","T"&amp;TEXT(ROW()-6,"00000"))</f>
        <v/>
      </c>
      <c r="C879" s="113">
        <f>IF($D879="","",IFERROR(INDEX(MUSTERILER!$B$7:$B$106,MATCH($D879,MUSTERILER!$C$7:$C$106,0)),IFERROR(INDEX(MUSTERILER!$B$7:$B$106,MATCH($D879,MUSTERILER!$B$7:$B$106,0)),IFERROR(INDEX(MUSTERILER!$B$7:$B$106,MATCH($D879&amp;"*",MUSTERILER!$C$7:$C$106,0)),"TANIMSIZ MÜŞTERİ"))))</f>
        <v/>
      </c>
      <c r="D879" s="109" t="n"/>
      <c r="E879" s="225" t="n"/>
      <c r="F879" s="226" t="n"/>
      <c r="G879" s="108" t="n"/>
      <c r="H879" s="108" t="n"/>
      <c r="I879" s="109" t="n"/>
      <c r="J879" s="109" t="n"/>
      <c r="K879" s="109" t="n"/>
      <c r="L879" s="231">
        <f>IF($E879="","",DATE(YEAR($E879),MONTH($E879),1))</f>
        <v/>
      </c>
      <c r="M879" s="113">
        <f>IF($D879="","",IF($C879="TANIMSIZ MÜŞTERİ","HATA",IF(OR($E879="",$F879&lt;=0,$G879=""),"EKSİK",IF($E879&gt;TODAY(),"İLERİ TARİH","UYGUN"))))</f>
        <v/>
      </c>
      <c r="N879" s="121">
        <f>IF($C879="","",IF($C879="TANIMSIZ MÜŞTERİ","—",INDEX(MUSTERILER!$C$7:$C$106,MATCH($C879,MUSTERILER!$B$7:$B$106,0))))</f>
        <v/>
      </c>
      <c r="O879" s="6" t="n"/>
      <c r="P879" s="6" t="n"/>
      <c r="Q879" s="3">
        <f>IF($D879="","",$C879&amp;"|"&amp;COUNTIFS($C$7:$C879,$C879))</f>
        <v/>
      </c>
    </row>
    <row r="880">
      <c r="A880" s="6" t="n"/>
      <c r="B880" s="113">
        <f>IF($D880="","","T"&amp;TEXT(ROW()-6,"00000"))</f>
        <v/>
      </c>
      <c r="C880" s="113">
        <f>IF($D880="","",IFERROR(INDEX(MUSTERILER!$B$7:$B$106,MATCH($D880,MUSTERILER!$C$7:$C$106,0)),IFERROR(INDEX(MUSTERILER!$B$7:$B$106,MATCH($D880,MUSTERILER!$B$7:$B$106,0)),IFERROR(INDEX(MUSTERILER!$B$7:$B$106,MATCH($D880&amp;"*",MUSTERILER!$C$7:$C$106,0)),"TANIMSIZ MÜŞTERİ"))))</f>
        <v/>
      </c>
      <c r="D880" s="109" t="n"/>
      <c r="E880" s="225" t="n"/>
      <c r="F880" s="226" t="n"/>
      <c r="G880" s="108" t="n"/>
      <c r="H880" s="108" t="n"/>
      <c r="I880" s="109" t="n"/>
      <c r="J880" s="109" t="n"/>
      <c r="K880" s="109" t="n"/>
      <c r="L880" s="231">
        <f>IF($E880="","",DATE(YEAR($E880),MONTH($E880),1))</f>
        <v/>
      </c>
      <c r="M880" s="113">
        <f>IF($D880="","",IF($C880="TANIMSIZ MÜŞTERİ","HATA",IF(OR($E880="",$F880&lt;=0,$G880=""),"EKSİK",IF($E880&gt;TODAY(),"İLERİ TARİH","UYGUN"))))</f>
        <v/>
      </c>
      <c r="N880" s="121">
        <f>IF($C880="","",IF($C880="TANIMSIZ MÜŞTERİ","—",INDEX(MUSTERILER!$C$7:$C$106,MATCH($C880,MUSTERILER!$B$7:$B$106,0))))</f>
        <v/>
      </c>
      <c r="O880" s="6" t="n"/>
      <c r="P880" s="6" t="n"/>
      <c r="Q880" s="3">
        <f>IF($D880="","",$C880&amp;"|"&amp;COUNTIFS($C$7:$C880,$C880))</f>
        <v/>
      </c>
    </row>
    <row r="881">
      <c r="A881" s="6" t="n"/>
      <c r="B881" s="113">
        <f>IF($D881="","","T"&amp;TEXT(ROW()-6,"00000"))</f>
        <v/>
      </c>
      <c r="C881" s="113">
        <f>IF($D881="","",IFERROR(INDEX(MUSTERILER!$B$7:$B$106,MATCH($D881,MUSTERILER!$C$7:$C$106,0)),IFERROR(INDEX(MUSTERILER!$B$7:$B$106,MATCH($D881,MUSTERILER!$B$7:$B$106,0)),IFERROR(INDEX(MUSTERILER!$B$7:$B$106,MATCH($D881&amp;"*",MUSTERILER!$C$7:$C$106,0)),"TANIMSIZ MÜŞTERİ"))))</f>
        <v/>
      </c>
      <c r="D881" s="109" t="n"/>
      <c r="E881" s="225" t="n"/>
      <c r="F881" s="226" t="n"/>
      <c r="G881" s="108" t="n"/>
      <c r="H881" s="108" t="n"/>
      <c r="I881" s="109" t="n"/>
      <c r="J881" s="109" t="n"/>
      <c r="K881" s="109" t="n"/>
      <c r="L881" s="231">
        <f>IF($E881="","",DATE(YEAR($E881),MONTH($E881),1))</f>
        <v/>
      </c>
      <c r="M881" s="113">
        <f>IF($D881="","",IF($C881="TANIMSIZ MÜŞTERİ","HATA",IF(OR($E881="",$F881&lt;=0,$G881=""),"EKSİK",IF($E881&gt;TODAY(),"İLERİ TARİH","UYGUN"))))</f>
        <v/>
      </c>
      <c r="N881" s="121">
        <f>IF($C881="","",IF($C881="TANIMSIZ MÜŞTERİ","—",INDEX(MUSTERILER!$C$7:$C$106,MATCH($C881,MUSTERILER!$B$7:$B$106,0))))</f>
        <v/>
      </c>
      <c r="O881" s="6" t="n"/>
      <c r="P881" s="6" t="n"/>
      <c r="Q881" s="3">
        <f>IF($D881="","",$C881&amp;"|"&amp;COUNTIFS($C$7:$C881,$C881))</f>
        <v/>
      </c>
    </row>
    <row r="882">
      <c r="A882" s="6" t="n"/>
      <c r="B882" s="113">
        <f>IF($D882="","","T"&amp;TEXT(ROW()-6,"00000"))</f>
        <v/>
      </c>
      <c r="C882" s="113">
        <f>IF($D882="","",IFERROR(INDEX(MUSTERILER!$B$7:$B$106,MATCH($D882,MUSTERILER!$C$7:$C$106,0)),IFERROR(INDEX(MUSTERILER!$B$7:$B$106,MATCH($D882,MUSTERILER!$B$7:$B$106,0)),IFERROR(INDEX(MUSTERILER!$B$7:$B$106,MATCH($D882&amp;"*",MUSTERILER!$C$7:$C$106,0)),"TANIMSIZ MÜŞTERİ"))))</f>
        <v/>
      </c>
      <c r="D882" s="109" t="n"/>
      <c r="E882" s="225" t="n"/>
      <c r="F882" s="226" t="n"/>
      <c r="G882" s="108" t="n"/>
      <c r="H882" s="108" t="n"/>
      <c r="I882" s="109" t="n"/>
      <c r="J882" s="109" t="n"/>
      <c r="K882" s="109" t="n"/>
      <c r="L882" s="231">
        <f>IF($E882="","",DATE(YEAR($E882),MONTH($E882),1))</f>
        <v/>
      </c>
      <c r="M882" s="113">
        <f>IF($D882="","",IF($C882="TANIMSIZ MÜŞTERİ","HATA",IF(OR($E882="",$F882&lt;=0,$G882=""),"EKSİK",IF($E882&gt;TODAY(),"İLERİ TARİH","UYGUN"))))</f>
        <v/>
      </c>
      <c r="N882" s="121">
        <f>IF($C882="","",IF($C882="TANIMSIZ MÜŞTERİ","—",INDEX(MUSTERILER!$C$7:$C$106,MATCH($C882,MUSTERILER!$B$7:$B$106,0))))</f>
        <v/>
      </c>
      <c r="O882" s="6" t="n"/>
      <c r="P882" s="6" t="n"/>
      <c r="Q882" s="3">
        <f>IF($D882="","",$C882&amp;"|"&amp;COUNTIFS($C$7:$C882,$C882))</f>
        <v/>
      </c>
    </row>
    <row r="883">
      <c r="A883" s="6" t="n"/>
      <c r="B883" s="113">
        <f>IF($D883="","","T"&amp;TEXT(ROW()-6,"00000"))</f>
        <v/>
      </c>
      <c r="C883" s="113">
        <f>IF($D883="","",IFERROR(INDEX(MUSTERILER!$B$7:$B$106,MATCH($D883,MUSTERILER!$C$7:$C$106,0)),IFERROR(INDEX(MUSTERILER!$B$7:$B$106,MATCH($D883,MUSTERILER!$B$7:$B$106,0)),IFERROR(INDEX(MUSTERILER!$B$7:$B$106,MATCH($D883&amp;"*",MUSTERILER!$C$7:$C$106,0)),"TANIMSIZ MÜŞTERİ"))))</f>
        <v/>
      </c>
      <c r="D883" s="109" t="n"/>
      <c r="E883" s="225" t="n"/>
      <c r="F883" s="226" t="n"/>
      <c r="G883" s="108" t="n"/>
      <c r="H883" s="108" t="n"/>
      <c r="I883" s="109" t="n"/>
      <c r="J883" s="109" t="n"/>
      <c r="K883" s="109" t="n"/>
      <c r="L883" s="231">
        <f>IF($E883="","",DATE(YEAR($E883),MONTH($E883),1))</f>
        <v/>
      </c>
      <c r="M883" s="113">
        <f>IF($D883="","",IF($C883="TANIMSIZ MÜŞTERİ","HATA",IF(OR($E883="",$F883&lt;=0,$G883=""),"EKSİK",IF($E883&gt;TODAY(),"İLERİ TARİH","UYGUN"))))</f>
        <v/>
      </c>
      <c r="N883" s="121">
        <f>IF($C883="","",IF($C883="TANIMSIZ MÜŞTERİ","—",INDEX(MUSTERILER!$C$7:$C$106,MATCH($C883,MUSTERILER!$B$7:$B$106,0))))</f>
        <v/>
      </c>
      <c r="O883" s="6" t="n"/>
      <c r="P883" s="6" t="n"/>
      <c r="Q883" s="3">
        <f>IF($D883="","",$C883&amp;"|"&amp;COUNTIFS($C$7:$C883,$C883))</f>
        <v/>
      </c>
    </row>
    <row r="884">
      <c r="A884" s="6" t="n"/>
      <c r="B884" s="113">
        <f>IF($D884="","","T"&amp;TEXT(ROW()-6,"00000"))</f>
        <v/>
      </c>
      <c r="C884" s="113">
        <f>IF($D884="","",IFERROR(INDEX(MUSTERILER!$B$7:$B$106,MATCH($D884,MUSTERILER!$C$7:$C$106,0)),IFERROR(INDEX(MUSTERILER!$B$7:$B$106,MATCH($D884,MUSTERILER!$B$7:$B$106,0)),IFERROR(INDEX(MUSTERILER!$B$7:$B$106,MATCH($D884&amp;"*",MUSTERILER!$C$7:$C$106,0)),"TANIMSIZ MÜŞTERİ"))))</f>
        <v/>
      </c>
      <c r="D884" s="109" t="n"/>
      <c r="E884" s="225" t="n"/>
      <c r="F884" s="226" t="n"/>
      <c r="G884" s="108" t="n"/>
      <c r="H884" s="108" t="n"/>
      <c r="I884" s="109" t="n"/>
      <c r="J884" s="109" t="n"/>
      <c r="K884" s="109" t="n"/>
      <c r="L884" s="231">
        <f>IF($E884="","",DATE(YEAR($E884),MONTH($E884),1))</f>
        <v/>
      </c>
      <c r="M884" s="113">
        <f>IF($D884="","",IF($C884="TANIMSIZ MÜŞTERİ","HATA",IF(OR($E884="",$F884&lt;=0,$G884=""),"EKSİK",IF($E884&gt;TODAY(),"İLERİ TARİH","UYGUN"))))</f>
        <v/>
      </c>
      <c r="N884" s="121">
        <f>IF($C884="","",IF($C884="TANIMSIZ MÜŞTERİ","—",INDEX(MUSTERILER!$C$7:$C$106,MATCH($C884,MUSTERILER!$B$7:$B$106,0))))</f>
        <v/>
      </c>
      <c r="O884" s="6" t="n"/>
      <c r="P884" s="6" t="n"/>
      <c r="Q884" s="3">
        <f>IF($D884="","",$C884&amp;"|"&amp;COUNTIFS($C$7:$C884,$C884))</f>
        <v/>
      </c>
    </row>
    <row r="885">
      <c r="A885" s="6" t="n"/>
      <c r="B885" s="113">
        <f>IF($D885="","","T"&amp;TEXT(ROW()-6,"00000"))</f>
        <v/>
      </c>
      <c r="C885" s="113">
        <f>IF($D885="","",IFERROR(INDEX(MUSTERILER!$B$7:$B$106,MATCH($D885,MUSTERILER!$C$7:$C$106,0)),IFERROR(INDEX(MUSTERILER!$B$7:$B$106,MATCH($D885,MUSTERILER!$B$7:$B$106,0)),IFERROR(INDEX(MUSTERILER!$B$7:$B$106,MATCH($D885&amp;"*",MUSTERILER!$C$7:$C$106,0)),"TANIMSIZ MÜŞTERİ"))))</f>
        <v/>
      </c>
      <c r="D885" s="109" t="n"/>
      <c r="E885" s="225" t="n"/>
      <c r="F885" s="226" t="n"/>
      <c r="G885" s="108" t="n"/>
      <c r="H885" s="108" t="n"/>
      <c r="I885" s="109" t="n"/>
      <c r="J885" s="109" t="n"/>
      <c r="K885" s="109" t="n"/>
      <c r="L885" s="231">
        <f>IF($E885="","",DATE(YEAR($E885),MONTH($E885),1))</f>
        <v/>
      </c>
      <c r="M885" s="113">
        <f>IF($D885="","",IF($C885="TANIMSIZ MÜŞTERİ","HATA",IF(OR($E885="",$F885&lt;=0,$G885=""),"EKSİK",IF($E885&gt;TODAY(),"İLERİ TARİH","UYGUN"))))</f>
        <v/>
      </c>
      <c r="N885" s="121">
        <f>IF($C885="","",IF($C885="TANIMSIZ MÜŞTERİ","—",INDEX(MUSTERILER!$C$7:$C$106,MATCH($C885,MUSTERILER!$B$7:$B$106,0))))</f>
        <v/>
      </c>
      <c r="O885" s="6" t="n"/>
      <c r="P885" s="6" t="n"/>
      <c r="Q885" s="3">
        <f>IF($D885="","",$C885&amp;"|"&amp;COUNTIFS($C$7:$C885,$C885))</f>
        <v/>
      </c>
    </row>
    <row r="886">
      <c r="A886" s="6" t="n"/>
      <c r="B886" s="113">
        <f>IF($D886="","","T"&amp;TEXT(ROW()-6,"00000"))</f>
        <v/>
      </c>
      <c r="C886" s="113">
        <f>IF($D886="","",IFERROR(INDEX(MUSTERILER!$B$7:$B$106,MATCH($D886,MUSTERILER!$C$7:$C$106,0)),IFERROR(INDEX(MUSTERILER!$B$7:$B$106,MATCH($D886,MUSTERILER!$B$7:$B$106,0)),IFERROR(INDEX(MUSTERILER!$B$7:$B$106,MATCH($D886&amp;"*",MUSTERILER!$C$7:$C$106,0)),"TANIMSIZ MÜŞTERİ"))))</f>
        <v/>
      </c>
      <c r="D886" s="109" t="n"/>
      <c r="E886" s="225" t="n"/>
      <c r="F886" s="226" t="n"/>
      <c r="G886" s="108" t="n"/>
      <c r="H886" s="108" t="n"/>
      <c r="I886" s="109" t="n"/>
      <c r="J886" s="109" t="n"/>
      <c r="K886" s="109" t="n"/>
      <c r="L886" s="231">
        <f>IF($E886="","",DATE(YEAR($E886),MONTH($E886),1))</f>
        <v/>
      </c>
      <c r="M886" s="113">
        <f>IF($D886="","",IF($C886="TANIMSIZ MÜŞTERİ","HATA",IF(OR($E886="",$F886&lt;=0,$G886=""),"EKSİK",IF($E886&gt;TODAY(),"İLERİ TARİH","UYGUN"))))</f>
        <v/>
      </c>
      <c r="N886" s="121">
        <f>IF($C886="","",IF($C886="TANIMSIZ MÜŞTERİ","—",INDEX(MUSTERILER!$C$7:$C$106,MATCH($C886,MUSTERILER!$B$7:$B$106,0))))</f>
        <v/>
      </c>
      <c r="O886" s="6" t="n"/>
      <c r="P886" s="6" t="n"/>
      <c r="Q886" s="3">
        <f>IF($D886="","",$C886&amp;"|"&amp;COUNTIFS($C$7:$C886,$C886))</f>
        <v/>
      </c>
    </row>
    <row r="887">
      <c r="A887" s="6" t="n"/>
      <c r="B887" s="113">
        <f>IF($D887="","","T"&amp;TEXT(ROW()-6,"00000"))</f>
        <v/>
      </c>
      <c r="C887" s="113">
        <f>IF($D887="","",IFERROR(INDEX(MUSTERILER!$B$7:$B$106,MATCH($D887,MUSTERILER!$C$7:$C$106,0)),IFERROR(INDEX(MUSTERILER!$B$7:$B$106,MATCH($D887,MUSTERILER!$B$7:$B$106,0)),IFERROR(INDEX(MUSTERILER!$B$7:$B$106,MATCH($D887&amp;"*",MUSTERILER!$C$7:$C$106,0)),"TANIMSIZ MÜŞTERİ"))))</f>
        <v/>
      </c>
      <c r="D887" s="109" t="n"/>
      <c r="E887" s="225" t="n"/>
      <c r="F887" s="226" t="n"/>
      <c r="G887" s="108" t="n"/>
      <c r="H887" s="108" t="n"/>
      <c r="I887" s="109" t="n"/>
      <c r="J887" s="109" t="n"/>
      <c r="K887" s="109" t="n"/>
      <c r="L887" s="231">
        <f>IF($E887="","",DATE(YEAR($E887),MONTH($E887),1))</f>
        <v/>
      </c>
      <c r="M887" s="113">
        <f>IF($D887="","",IF($C887="TANIMSIZ MÜŞTERİ","HATA",IF(OR($E887="",$F887&lt;=0,$G887=""),"EKSİK",IF($E887&gt;TODAY(),"İLERİ TARİH","UYGUN"))))</f>
        <v/>
      </c>
      <c r="N887" s="121">
        <f>IF($C887="","",IF($C887="TANIMSIZ MÜŞTERİ","—",INDEX(MUSTERILER!$C$7:$C$106,MATCH($C887,MUSTERILER!$B$7:$B$106,0))))</f>
        <v/>
      </c>
      <c r="O887" s="6" t="n"/>
      <c r="P887" s="6" t="n"/>
      <c r="Q887" s="3">
        <f>IF($D887="","",$C887&amp;"|"&amp;COUNTIFS($C$7:$C887,$C887))</f>
        <v/>
      </c>
    </row>
    <row r="888">
      <c r="A888" s="6" t="n"/>
      <c r="B888" s="113">
        <f>IF($D888="","","T"&amp;TEXT(ROW()-6,"00000"))</f>
        <v/>
      </c>
      <c r="C888" s="113">
        <f>IF($D888="","",IFERROR(INDEX(MUSTERILER!$B$7:$B$106,MATCH($D888,MUSTERILER!$C$7:$C$106,0)),IFERROR(INDEX(MUSTERILER!$B$7:$B$106,MATCH($D888,MUSTERILER!$B$7:$B$106,0)),IFERROR(INDEX(MUSTERILER!$B$7:$B$106,MATCH($D888&amp;"*",MUSTERILER!$C$7:$C$106,0)),"TANIMSIZ MÜŞTERİ"))))</f>
        <v/>
      </c>
      <c r="D888" s="109" t="n"/>
      <c r="E888" s="225" t="n"/>
      <c r="F888" s="226" t="n"/>
      <c r="G888" s="108" t="n"/>
      <c r="H888" s="108" t="n"/>
      <c r="I888" s="109" t="n"/>
      <c r="J888" s="109" t="n"/>
      <c r="K888" s="109" t="n"/>
      <c r="L888" s="231">
        <f>IF($E888="","",DATE(YEAR($E888),MONTH($E888),1))</f>
        <v/>
      </c>
      <c r="M888" s="113">
        <f>IF($D888="","",IF($C888="TANIMSIZ MÜŞTERİ","HATA",IF(OR($E888="",$F888&lt;=0,$G888=""),"EKSİK",IF($E888&gt;TODAY(),"İLERİ TARİH","UYGUN"))))</f>
        <v/>
      </c>
      <c r="N888" s="121">
        <f>IF($C888="","",IF($C888="TANIMSIZ MÜŞTERİ","—",INDEX(MUSTERILER!$C$7:$C$106,MATCH($C888,MUSTERILER!$B$7:$B$106,0))))</f>
        <v/>
      </c>
      <c r="O888" s="6" t="n"/>
      <c r="P888" s="6" t="n"/>
      <c r="Q888" s="3">
        <f>IF($D888="","",$C888&amp;"|"&amp;COUNTIFS($C$7:$C888,$C888))</f>
        <v/>
      </c>
    </row>
    <row r="889">
      <c r="A889" s="6" t="n"/>
      <c r="B889" s="113">
        <f>IF($D889="","","T"&amp;TEXT(ROW()-6,"00000"))</f>
        <v/>
      </c>
      <c r="C889" s="113">
        <f>IF($D889="","",IFERROR(INDEX(MUSTERILER!$B$7:$B$106,MATCH($D889,MUSTERILER!$C$7:$C$106,0)),IFERROR(INDEX(MUSTERILER!$B$7:$B$106,MATCH($D889,MUSTERILER!$B$7:$B$106,0)),IFERROR(INDEX(MUSTERILER!$B$7:$B$106,MATCH($D889&amp;"*",MUSTERILER!$C$7:$C$106,0)),"TANIMSIZ MÜŞTERİ"))))</f>
        <v/>
      </c>
      <c r="D889" s="109" t="n"/>
      <c r="E889" s="225" t="n"/>
      <c r="F889" s="226" t="n"/>
      <c r="G889" s="108" t="n"/>
      <c r="H889" s="108" t="n"/>
      <c r="I889" s="109" t="n"/>
      <c r="J889" s="109" t="n"/>
      <c r="K889" s="109" t="n"/>
      <c r="L889" s="231">
        <f>IF($E889="","",DATE(YEAR($E889),MONTH($E889),1))</f>
        <v/>
      </c>
      <c r="M889" s="113">
        <f>IF($D889="","",IF($C889="TANIMSIZ MÜŞTERİ","HATA",IF(OR($E889="",$F889&lt;=0,$G889=""),"EKSİK",IF($E889&gt;TODAY(),"İLERİ TARİH","UYGUN"))))</f>
        <v/>
      </c>
      <c r="N889" s="121">
        <f>IF($C889="","",IF($C889="TANIMSIZ MÜŞTERİ","—",INDEX(MUSTERILER!$C$7:$C$106,MATCH($C889,MUSTERILER!$B$7:$B$106,0))))</f>
        <v/>
      </c>
      <c r="O889" s="6" t="n"/>
      <c r="P889" s="6" t="n"/>
      <c r="Q889" s="3">
        <f>IF($D889="","",$C889&amp;"|"&amp;COUNTIFS($C$7:$C889,$C889))</f>
        <v/>
      </c>
    </row>
    <row r="890">
      <c r="A890" s="6" t="n"/>
      <c r="B890" s="113">
        <f>IF($D890="","","T"&amp;TEXT(ROW()-6,"00000"))</f>
        <v/>
      </c>
      <c r="C890" s="113">
        <f>IF($D890="","",IFERROR(INDEX(MUSTERILER!$B$7:$B$106,MATCH($D890,MUSTERILER!$C$7:$C$106,0)),IFERROR(INDEX(MUSTERILER!$B$7:$B$106,MATCH($D890,MUSTERILER!$B$7:$B$106,0)),IFERROR(INDEX(MUSTERILER!$B$7:$B$106,MATCH($D890&amp;"*",MUSTERILER!$C$7:$C$106,0)),"TANIMSIZ MÜŞTERİ"))))</f>
        <v/>
      </c>
      <c r="D890" s="109" t="n"/>
      <c r="E890" s="225" t="n"/>
      <c r="F890" s="226" t="n"/>
      <c r="G890" s="108" t="n"/>
      <c r="H890" s="108" t="n"/>
      <c r="I890" s="109" t="n"/>
      <c r="J890" s="109" t="n"/>
      <c r="K890" s="109" t="n"/>
      <c r="L890" s="231">
        <f>IF($E890="","",DATE(YEAR($E890),MONTH($E890),1))</f>
        <v/>
      </c>
      <c r="M890" s="113">
        <f>IF($D890="","",IF($C890="TANIMSIZ MÜŞTERİ","HATA",IF(OR($E890="",$F890&lt;=0,$G890=""),"EKSİK",IF($E890&gt;TODAY(),"İLERİ TARİH","UYGUN"))))</f>
        <v/>
      </c>
      <c r="N890" s="121">
        <f>IF($C890="","",IF($C890="TANIMSIZ MÜŞTERİ","—",INDEX(MUSTERILER!$C$7:$C$106,MATCH($C890,MUSTERILER!$B$7:$B$106,0))))</f>
        <v/>
      </c>
      <c r="O890" s="6" t="n"/>
      <c r="P890" s="6" t="n"/>
      <c r="Q890" s="3">
        <f>IF($D890="","",$C890&amp;"|"&amp;COUNTIFS($C$7:$C890,$C890))</f>
        <v/>
      </c>
    </row>
    <row r="891">
      <c r="A891" s="6" t="n"/>
      <c r="B891" s="113">
        <f>IF($D891="","","T"&amp;TEXT(ROW()-6,"00000"))</f>
        <v/>
      </c>
      <c r="C891" s="113">
        <f>IF($D891="","",IFERROR(INDEX(MUSTERILER!$B$7:$B$106,MATCH($D891,MUSTERILER!$C$7:$C$106,0)),IFERROR(INDEX(MUSTERILER!$B$7:$B$106,MATCH($D891,MUSTERILER!$B$7:$B$106,0)),IFERROR(INDEX(MUSTERILER!$B$7:$B$106,MATCH($D891&amp;"*",MUSTERILER!$C$7:$C$106,0)),"TANIMSIZ MÜŞTERİ"))))</f>
        <v/>
      </c>
      <c r="D891" s="109" t="n"/>
      <c r="E891" s="225" t="n"/>
      <c r="F891" s="226" t="n"/>
      <c r="G891" s="108" t="n"/>
      <c r="H891" s="108" t="n"/>
      <c r="I891" s="109" t="n"/>
      <c r="J891" s="109" t="n"/>
      <c r="K891" s="109" t="n"/>
      <c r="L891" s="231">
        <f>IF($E891="","",DATE(YEAR($E891),MONTH($E891),1))</f>
        <v/>
      </c>
      <c r="M891" s="113">
        <f>IF($D891="","",IF($C891="TANIMSIZ MÜŞTERİ","HATA",IF(OR($E891="",$F891&lt;=0,$G891=""),"EKSİK",IF($E891&gt;TODAY(),"İLERİ TARİH","UYGUN"))))</f>
        <v/>
      </c>
      <c r="N891" s="121">
        <f>IF($C891="","",IF($C891="TANIMSIZ MÜŞTERİ","—",INDEX(MUSTERILER!$C$7:$C$106,MATCH($C891,MUSTERILER!$B$7:$B$106,0))))</f>
        <v/>
      </c>
      <c r="O891" s="6" t="n"/>
      <c r="P891" s="6" t="n"/>
      <c r="Q891" s="3">
        <f>IF($D891="","",$C891&amp;"|"&amp;COUNTIFS($C$7:$C891,$C891))</f>
        <v/>
      </c>
    </row>
    <row r="892">
      <c r="A892" s="6" t="n"/>
      <c r="B892" s="113">
        <f>IF($D892="","","T"&amp;TEXT(ROW()-6,"00000"))</f>
        <v/>
      </c>
      <c r="C892" s="113">
        <f>IF($D892="","",IFERROR(INDEX(MUSTERILER!$B$7:$B$106,MATCH($D892,MUSTERILER!$C$7:$C$106,0)),IFERROR(INDEX(MUSTERILER!$B$7:$B$106,MATCH($D892,MUSTERILER!$B$7:$B$106,0)),IFERROR(INDEX(MUSTERILER!$B$7:$B$106,MATCH($D892&amp;"*",MUSTERILER!$C$7:$C$106,0)),"TANIMSIZ MÜŞTERİ"))))</f>
        <v/>
      </c>
      <c r="D892" s="109" t="n"/>
      <c r="E892" s="225" t="n"/>
      <c r="F892" s="226" t="n"/>
      <c r="G892" s="108" t="n"/>
      <c r="H892" s="108" t="n"/>
      <c r="I892" s="109" t="n"/>
      <c r="J892" s="109" t="n"/>
      <c r="K892" s="109" t="n"/>
      <c r="L892" s="231">
        <f>IF($E892="","",DATE(YEAR($E892),MONTH($E892),1))</f>
        <v/>
      </c>
      <c r="M892" s="113">
        <f>IF($D892="","",IF($C892="TANIMSIZ MÜŞTERİ","HATA",IF(OR($E892="",$F892&lt;=0,$G892=""),"EKSİK",IF($E892&gt;TODAY(),"İLERİ TARİH","UYGUN"))))</f>
        <v/>
      </c>
      <c r="N892" s="121">
        <f>IF($C892="","",IF($C892="TANIMSIZ MÜŞTERİ","—",INDEX(MUSTERILER!$C$7:$C$106,MATCH($C892,MUSTERILER!$B$7:$B$106,0))))</f>
        <v/>
      </c>
      <c r="O892" s="6" t="n"/>
      <c r="P892" s="6" t="n"/>
      <c r="Q892" s="3">
        <f>IF($D892="","",$C892&amp;"|"&amp;COUNTIFS($C$7:$C892,$C892))</f>
        <v/>
      </c>
    </row>
    <row r="893">
      <c r="A893" s="6" t="n"/>
      <c r="B893" s="113">
        <f>IF($D893="","","T"&amp;TEXT(ROW()-6,"00000"))</f>
        <v/>
      </c>
      <c r="C893" s="113">
        <f>IF($D893="","",IFERROR(INDEX(MUSTERILER!$B$7:$B$106,MATCH($D893,MUSTERILER!$C$7:$C$106,0)),IFERROR(INDEX(MUSTERILER!$B$7:$B$106,MATCH($D893,MUSTERILER!$B$7:$B$106,0)),IFERROR(INDEX(MUSTERILER!$B$7:$B$106,MATCH($D893&amp;"*",MUSTERILER!$C$7:$C$106,0)),"TANIMSIZ MÜŞTERİ"))))</f>
        <v/>
      </c>
      <c r="D893" s="109" t="n"/>
      <c r="E893" s="225" t="n"/>
      <c r="F893" s="226" t="n"/>
      <c r="G893" s="108" t="n"/>
      <c r="H893" s="108" t="n"/>
      <c r="I893" s="109" t="n"/>
      <c r="J893" s="109" t="n"/>
      <c r="K893" s="109" t="n"/>
      <c r="L893" s="231">
        <f>IF($E893="","",DATE(YEAR($E893),MONTH($E893),1))</f>
        <v/>
      </c>
      <c r="M893" s="113">
        <f>IF($D893="","",IF($C893="TANIMSIZ MÜŞTERİ","HATA",IF(OR($E893="",$F893&lt;=0,$G893=""),"EKSİK",IF($E893&gt;TODAY(),"İLERİ TARİH","UYGUN"))))</f>
        <v/>
      </c>
      <c r="N893" s="121">
        <f>IF($C893="","",IF($C893="TANIMSIZ MÜŞTERİ","—",INDEX(MUSTERILER!$C$7:$C$106,MATCH($C893,MUSTERILER!$B$7:$B$106,0))))</f>
        <v/>
      </c>
      <c r="O893" s="6" t="n"/>
      <c r="P893" s="6" t="n"/>
      <c r="Q893" s="3">
        <f>IF($D893="","",$C893&amp;"|"&amp;COUNTIFS($C$7:$C893,$C893))</f>
        <v/>
      </c>
    </row>
    <row r="894">
      <c r="A894" s="6" t="n"/>
      <c r="B894" s="113">
        <f>IF($D894="","","T"&amp;TEXT(ROW()-6,"00000"))</f>
        <v/>
      </c>
      <c r="C894" s="113">
        <f>IF($D894="","",IFERROR(INDEX(MUSTERILER!$B$7:$B$106,MATCH($D894,MUSTERILER!$C$7:$C$106,0)),IFERROR(INDEX(MUSTERILER!$B$7:$B$106,MATCH($D894,MUSTERILER!$B$7:$B$106,0)),IFERROR(INDEX(MUSTERILER!$B$7:$B$106,MATCH($D894&amp;"*",MUSTERILER!$C$7:$C$106,0)),"TANIMSIZ MÜŞTERİ"))))</f>
        <v/>
      </c>
      <c r="D894" s="109" t="n"/>
      <c r="E894" s="225" t="n"/>
      <c r="F894" s="226" t="n"/>
      <c r="G894" s="108" t="n"/>
      <c r="H894" s="108" t="n"/>
      <c r="I894" s="109" t="n"/>
      <c r="J894" s="109" t="n"/>
      <c r="K894" s="109" t="n"/>
      <c r="L894" s="231">
        <f>IF($E894="","",DATE(YEAR($E894),MONTH($E894),1))</f>
        <v/>
      </c>
      <c r="M894" s="113">
        <f>IF($D894="","",IF($C894="TANIMSIZ MÜŞTERİ","HATA",IF(OR($E894="",$F894&lt;=0,$G894=""),"EKSİK",IF($E894&gt;TODAY(),"İLERİ TARİH","UYGUN"))))</f>
        <v/>
      </c>
      <c r="N894" s="121">
        <f>IF($C894="","",IF($C894="TANIMSIZ MÜŞTERİ","—",INDEX(MUSTERILER!$C$7:$C$106,MATCH($C894,MUSTERILER!$B$7:$B$106,0))))</f>
        <v/>
      </c>
      <c r="O894" s="6" t="n"/>
      <c r="P894" s="6" t="n"/>
      <c r="Q894" s="3">
        <f>IF($D894="","",$C894&amp;"|"&amp;COUNTIFS($C$7:$C894,$C894))</f>
        <v/>
      </c>
    </row>
    <row r="895">
      <c r="A895" s="6" t="n"/>
      <c r="B895" s="113">
        <f>IF($D895="","","T"&amp;TEXT(ROW()-6,"00000"))</f>
        <v/>
      </c>
      <c r="C895" s="113">
        <f>IF($D895="","",IFERROR(INDEX(MUSTERILER!$B$7:$B$106,MATCH($D895,MUSTERILER!$C$7:$C$106,0)),IFERROR(INDEX(MUSTERILER!$B$7:$B$106,MATCH($D895,MUSTERILER!$B$7:$B$106,0)),IFERROR(INDEX(MUSTERILER!$B$7:$B$106,MATCH($D895&amp;"*",MUSTERILER!$C$7:$C$106,0)),"TANIMSIZ MÜŞTERİ"))))</f>
        <v/>
      </c>
      <c r="D895" s="109" t="n"/>
      <c r="E895" s="225" t="n"/>
      <c r="F895" s="226" t="n"/>
      <c r="G895" s="108" t="n"/>
      <c r="H895" s="108" t="n"/>
      <c r="I895" s="109" t="n"/>
      <c r="J895" s="109" t="n"/>
      <c r="K895" s="109" t="n"/>
      <c r="L895" s="231">
        <f>IF($E895="","",DATE(YEAR($E895),MONTH($E895),1))</f>
        <v/>
      </c>
      <c r="M895" s="113">
        <f>IF($D895="","",IF($C895="TANIMSIZ MÜŞTERİ","HATA",IF(OR($E895="",$F895&lt;=0,$G895=""),"EKSİK",IF($E895&gt;TODAY(),"İLERİ TARİH","UYGUN"))))</f>
        <v/>
      </c>
      <c r="N895" s="121">
        <f>IF($C895="","",IF($C895="TANIMSIZ MÜŞTERİ","—",INDEX(MUSTERILER!$C$7:$C$106,MATCH($C895,MUSTERILER!$B$7:$B$106,0))))</f>
        <v/>
      </c>
      <c r="O895" s="6" t="n"/>
      <c r="P895" s="6" t="n"/>
      <c r="Q895" s="3">
        <f>IF($D895="","",$C895&amp;"|"&amp;COUNTIFS($C$7:$C895,$C895))</f>
        <v/>
      </c>
    </row>
    <row r="896">
      <c r="A896" s="6" t="n"/>
      <c r="B896" s="113">
        <f>IF($D896="","","T"&amp;TEXT(ROW()-6,"00000"))</f>
        <v/>
      </c>
      <c r="C896" s="113">
        <f>IF($D896="","",IFERROR(INDEX(MUSTERILER!$B$7:$B$106,MATCH($D896,MUSTERILER!$C$7:$C$106,0)),IFERROR(INDEX(MUSTERILER!$B$7:$B$106,MATCH($D896,MUSTERILER!$B$7:$B$106,0)),IFERROR(INDEX(MUSTERILER!$B$7:$B$106,MATCH($D896&amp;"*",MUSTERILER!$C$7:$C$106,0)),"TANIMSIZ MÜŞTERİ"))))</f>
        <v/>
      </c>
      <c r="D896" s="109" t="n"/>
      <c r="E896" s="225" t="n"/>
      <c r="F896" s="226" t="n"/>
      <c r="G896" s="108" t="n"/>
      <c r="H896" s="108" t="n"/>
      <c r="I896" s="109" t="n"/>
      <c r="J896" s="109" t="n"/>
      <c r="K896" s="109" t="n"/>
      <c r="L896" s="231">
        <f>IF($E896="","",DATE(YEAR($E896),MONTH($E896),1))</f>
        <v/>
      </c>
      <c r="M896" s="113">
        <f>IF($D896="","",IF($C896="TANIMSIZ MÜŞTERİ","HATA",IF(OR($E896="",$F896&lt;=0,$G896=""),"EKSİK",IF($E896&gt;TODAY(),"İLERİ TARİH","UYGUN"))))</f>
        <v/>
      </c>
      <c r="N896" s="121">
        <f>IF($C896="","",IF($C896="TANIMSIZ MÜŞTERİ","—",INDEX(MUSTERILER!$C$7:$C$106,MATCH($C896,MUSTERILER!$B$7:$B$106,0))))</f>
        <v/>
      </c>
      <c r="O896" s="6" t="n"/>
      <c r="P896" s="6" t="n"/>
      <c r="Q896" s="3">
        <f>IF($D896="","",$C896&amp;"|"&amp;COUNTIFS($C$7:$C896,$C896))</f>
        <v/>
      </c>
    </row>
    <row r="897">
      <c r="A897" s="6" t="n"/>
      <c r="B897" s="113">
        <f>IF($D897="","","T"&amp;TEXT(ROW()-6,"00000"))</f>
        <v/>
      </c>
      <c r="C897" s="113">
        <f>IF($D897="","",IFERROR(INDEX(MUSTERILER!$B$7:$B$106,MATCH($D897,MUSTERILER!$C$7:$C$106,0)),IFERROR(INDEX(MUSTERILER!$B$7:$B$106,MATCH($D897,MUSTERILER!$B$7:$B$106,0)),IFERROR(INDEX(MUSTERILER!$B$7:$B$106,MATCH($D897&amp;"*",MUSTERILER!$C$7:$C$106,0)),"TANIMSIZ MÜŞTERİ"))))</f>
        <v/>
      </c>
      <c r="D897" s="109" t="n"/>
      <c r="E897" s="225" t="n"/>
      <c r="F897" s="226" t="n"/>
      <c r="G897" s="108" t="n"/>
      <c r="H897" s="108" t="n"/>
      <c r="I897" s="109" t="n"/>
      <c r="J897" s="109" t="n"/>
      <c r="K897" s="109" t="n"/>
      <c r="L897" s="231">
        <f>IF($E897="","",DATE(YEAR($E897),MONTH($E897),1))</f>
        <v/>
      </c>
      <c r="M897" s="113">
        <f>IF($D897="","",IF($C897="TANIMSIZ MÜŞTERİ","HATA",IF(OR($E897="",$F897&lt;=0,$G897=""),"EKSİK",IF($E897&gt;TODAY(),"İLERİ TARİH","UYGUN"))))</f>
        <v/>
      </c>
      <c r="N897" s="121">
        <f>IF($C897="","",IF($C897="TANIMSIZ MÜŞTERİ","—",INDEX(MUSTERILER!$C$7:$C$106,MATCH($C897,MUSTERILER!$B$7:$B$106,0))))</f>
        <v/>
      </c>
      <c r="O897" s="6" t="n"/>
      <c r="P897" s="6" t="n"/>
      <c r="Q897" s="3">
        <f>IF($D897="","",$C897&amp;"|"&amp;COUNTIFS($C$7:$C897,$C897))</f>
        <v/>
      </c>
    </row>
    <row r="898">
      <c r="A898" s="6" t="n"/>
      <c r="B898" s="113">
        <f>IF($D898="","","T"&amp;TEXT(ROW()-6,"00000"))</f>
        <v/>
      </c>
      <c r="C898" s="113">
        <f>IF($D898="","",IFERROR(INDEX(MUSTERILER!$B$7:$B$106,MATCH($D898,MUSTERILER!$C$7:$C$106,0)),IFERROR(INDEX(MUSTERILER!$B$7:$B$106,MATCH($D898,MUSTERILER!$B$7:$B$106,0)),IFERROR(INDEX(MUSTERILER!$B$7:$B$106,MATCH($D898&amp;"*",MUSTERILER!$C$7:$C$106,0)),"TANIMSIZ MÜŞTERİ"))))</f>
        <v/>
      </c>
      <c r="D898" s="109" t="n"/>
      <c r="E898" s="225" t="n"/>
      <c r="F898" s="226" t="n"/>
      <c r="G898" s="108" t="n"/>
      <c r="H898" s="108" t="n"/>
      <c r="I898" s="109" t="n"/>
      <c r="J898" s="109" t="n"/>
      <c r="K898" s="109" t="n"/>
      <c r="L898" s="231">
        <f>IF($E898="","",DATE(YEAR($E898),MONTH($E898),1))</f>
        <v/>
      </c>
      <c r="M898" s="113">
        <f>IF($D898="","",IF($C898="TANIMSIZ MÜŞTERİ","HATA",IF(OR($E898="",$F898&lt;=0,$G898=""),"EKSİK",IF($E898&gt;TODAY(),"İLERİ TARİH","UYGUN"))))</f>
        <v/>
      </c>
      <c r="N898" s="121">
        <f>IF($C898="","",IF($C898="TANIMSIZ MÜŞTERİ","—",INDEX(MUSTERILER!$C$7:$C$106,MATCH($C898,MUSTERILER!$B$7:$B$106,0))))</f>
        <v/>
      </c>
      <c r="O898" s="6" t="n"/>
      <c r="P898" s="6" t="n"/>
      <c r="Q898" s="3">
        <f>IF($D898="","",$C898&amp;"|"&amp;COUNTIFS($C$7:$C898,$C898))</f>
        <v/>
      </c>
    </row>
    <row r="899">
      <c r="A899" s="6" t="n"/>
      <c r="B899" s="113">
        <f>IF($D899="","","T"&amp;TEXT(ROW()-6,"00000"))</f>
        <v/>
      </c>
      <c r="C899" s="113">
        <f>IF($D899="","",IFERROR(INDEX(MUSTERILER!$B$7:$B$106,MATCH($D899,MUSTERILER!$C$7:$C$106,0)),IFERROR(INDEX(MUSTERILER!$B$7:$B$106,MATCH($D899,MUSTERILER!$B$7:$B$106,0)),IFERROR(INDEX(MUSTERILER!$B$7:$B$106,MATCH($D899&amp;"*",MUSTERILER!$C$7:$C$106,0)),"TANIMSIZ MÜŞTERİ"))))</f>
        <v/>
      </c>
      <c r="D899" s="109" t="n"/>
      <c r="E899" s="225" t="n"/>
      <c r="F899" s="226" t="n"/>
      <c r="G899" s="108" t="n"/>
      <c r="H899" s="108" t="n"/>
      <c r="I899" s="109" t="n"/>
      <c r="J899" s="109" t="n"/>
      <c r="K899" s="109" t="n"/>
      <c r="L899" s="231">
        <f>IF($E899="","",DATE(YEAR($E899),MONTH($E899),1))</f>
        <v/>
      </c>
      <c r="M899" s="113">
        <f>IF($D899="","",IF($C899="TANIMSIZ MÜŞTERİ","HATA",IF(OR($E899="",$F899&lt;=0,$G899=""),"EKSİK",IF($E899&gt;TODAY(),"İLERİ TARİH","UYGUN"))))</f>
        <v/>
      </c>
      <c r="N899" s="121">
        <f>IF($C899="","",IF($C899="TANIMSIZ MÜŞTERİ","—",INDEX(MUSTERILER!$C$7:$C$106,MATCH($C899,MUSTERILER!$B$7:$B$106,0))))</f>
        <v/>
      </c>
      <c r="O899" s="6" t="n"/>
      <c r="P899" s="6" t="n"/>
      <c r="Q899" s="3">
        <f>IF($D899="","",$C899&amp;"|"&amp;COUNTIFS($C$7:$C899,$C899))</f>
        <v/>
      </c>
    </row>
    <row r="900">
      <c r="A900" s="6" t="n"/>
      <c r="B900" s="113">
        <f>IF($D900="","","T"&amp;TEXT(ROW()-6,"00000"))</f>
        <v/>
      </c>
      <c r="C900" s="113">
        <f>IF($D900="","",IFERROR(INDEX(MUSTERILER!$B$7:$B$106,MATCH($D900,MUSTERILER!$C$7:$C$106,0)),IFERROR(INDEX(MUSTERILER!$B$7:$B$106,MATCH($D900,MUSTERILER!$B$7:$B$106,0)),IFERROR(INDEX(MUSTERILER!$B$7:$B$106,MATCH($D900&amp;"*",MUSTERILER!$C$7:$C$106,0)),"TANIMSIZ MÜŞTERİ"))))</f>
        <v/>
      </c>
      <c r="D900" s="109" t="n"/>
      <c r="E900" s="225" t="n"/>
      <c r="F900" s="226" t="n"/>
      <c r="G900" s="108" t="n"/>
      <c r="H900" s="108" t="n"/>
      <c r="I900" s="109" t="n"/>
      <c r="J900" s="109" t="n"/>
      <c r="K900" s="109" t="n"/>
      <c r="L900" s="231">
        <f>IF($E900="","",DATE(YEAR($E900),MONTH($E900),1))</f>
        <v/>
      </c>
      <c r="M900" s="113">
        <f>IF($D900="","",IF($C900="TANIMSIZ MÜŞTERİ","HATA",IF(OR($E900="",$F900&lt;=0,$G900=""),"EKSİK",IF($E900&gt;TODAY(),"İLERİ TARİH","UYGUN"))))</f>
        <v/>
      </c>
      <c r="N900" s="121">
        <f>IF($C900="","",IF($C900="TANIMSIZ MÜŞTERİ","—",INDEX(MUSTERILER!$C$7:$C$106,MATCH($C900,MUSTERILER!$B$7:$B$106,0))))</f>
        <v/>
      </c>
      <c r="O900" s="6" t="n"/>
      <c r="P900" s="6" t="n"/>
      <c r="Q900" s="3">
        <f>IF($D900="","",$C900&amp;"|"&amp;COUNTIFS($C$7:$C900,$C900))</f>
        <v/>
      </c>
    </row>
    <row r="901">
      <c r="A901" s="6" t="n"/>
      <c r="B901" s="113">
        <f>IF($D901="","","T"&amp;TEXT(ROW()-6,"00000"))</f>
        <v/>
      </c>
      <c r="C901" s="113">
        <f>IF($D901="","",IFERROR(INDEX(MUSTERILER!$B$7:$B$106,MATCH($D901,MUSTERILER!$C$7:$C$106,0)),IFERROR(INDEX(MUSTERILER!$B$7:$B$106,MATCH($D901,MUSTERILER!$B$7:$B$106,0)),IFERROR(INDEX(MUSTERILER!$B$7:$B$106,MATCH($D901&amp;"*",MUSTERILER!$C$7:$C$106,0)),"TANIMSIZ MÜŞTERİ"))))</f>
        <v/>
      </c>
      <c r="D901" s="109" t="n"/>
      <c r="E901" s="225" t="n"/>
      <c r="F901" s="226" t="n"/>
      <c r="G901" s="108" t="n"/>
      <c r="H901" s="108" t="n"/>
      <c r="I901" s="109" t="n"/>
      <c r="J901" s="109" t="n"/>
      <c r="K901" s="109" t="n"/>
      <c r="L901" s="231">
        <f>IF($E901="","",DATE(YEAR($E901),MONTH($E901),1))</f>
        <v/>
      </c>
      <c r="M901" s="113">
        <f>IF($D901="","",IF($C901="TANIMSIZ MÜŞTERİ","HATA",IF(OR($E901="",$F901&lt;=0,$G901=""),"EKSİK",IF($E901&gt;TODAY(),"İLERİ TARİH","UYGUN"))))</f>
        <v/>
      </c>
      <c r="N901" s="121">
        <f>IF($C901="","",IF($C901="TANIMSIZ MÜŞTERİ","—",INDEX(MUSTERILER!$C$7:$C$106,MATCH($C901,MUSTERILER!$B$7:$B$106,0))))</f>
        <v/>
      </c>
      <c r="O901" s="6" t="n"/>
      <c r="P901" s="6" t="n"/>
      <c r="Q901" s="3">
        <f>IF($D901="","",$C901&amp;"|"&amp;COUNTIFS($C$7:$C901,$C901))</f>
        <v/>
      </c>
    </row>
    <row r="902">
      <c r="A902" s="6" t="n"/>
      <c r="B902" s="113">
        <f>IF($D902="","","T"&amp;TEXT(ROW()-6,"00000"))</f>
        <v/>
      </c>
      <c r="C902" s="113">
        <f>IF($D902="","",IFERROR(INDEX(MUSTERILER!$B$7:$B$106,MATCH($D902,MUSTERILER!$C$7:$C$106,0)),IFERROR(INDEX(MUSTERILER!$B$7:$B$106,MATCH($D902,MUSTERILER!$B$7:$B$106,0)),IFERROR(INDEX(MUSTERILER!$B$7:$B$106,MATCH($D902&amp;"*",MUSTERILER!$C$7:$C$106,0)),"TANIMSIZ MÜŞTERİ"))))</f>
        <v/>
      </c>
      <c r="D902" s="109" t="n"/>
      <c r="E902" s="225" t="n"/>
      <c r="F902" s="226" t="n"/>
      <c r="G902" s="108" t="n"/>
      <c r="H902" s="108" t="n"/>
      <c r="I902" s="109" t="n"/>
      <c r="J902" s="109" t="n"/>
      <c r="K902" s="109" t="n"/>
      <c r="L902" s="231">
        <f>IF($E902="","",DATE(YEAR($E902),MONTH($E902),1))</f>
        <v/>
      </c>
      <c r="M902" s="113">
        <f>IF($D902="","",IF($C902="TANIMSIZ MÜŞTERİ","HATA",IF(OR($E902="",$F902&lt;=0,$G902=""),"EKSİK",IF($E902&gt;TODAY(),"İLERİ TARİH","UYGUN"))))</f>
        <v/>
      </c>
      <c r="N902" s="121">
        <f>IF($C902="","",IF($C902="TANIMSIZ MÜŞTERİ","—",INDEX(MUSTERILER!$C$7:$C$106,MATCH($C902,MUSTERILER!$B$7:$B$106,0))))</f>
        <v/>
      </c>
      <c r="O902" s="6" t="n"/>
      <c r="P902" s="6" t="n"/>
      <c r="Q902" s="3">
        <f>IF($D902="","",$C902&amp;"|"&amp;COUNTIFS($C$7:$C902,$C902))</f>
        <v/>
      </c>
    </row>
    <row r="903">
      <c r="A903" s="6" t="n"/>
      <c r="B903" s="113">
        <f>IF($D903="","","T"&amp;TEXT(ROW()-6,"00000"))</f>
        <v/>
      </c>
      <c r="C903" s="113">
        <f>IF($D903="","",IFERROR(INDEX(MUSTERILER!$B$7:$B$106,MATCH($D903,MUSTERILER!$C$7:$C$106,0)),IFERROR(INDEX(MUSTERILER!$B$7:$B$106,MATCH($D903,MUSTERILER!$B$7:$B$106,0)),IFERROR(INDEX(MUSTERILER!$B$7:$B$106,MATCH($D903&amp;"*",MUSTERILER!$C$7:$C$106,0)),"TANIMSIZ MÜŞTERİ"))))</f>
        <v/>
      </c>
      <c r="D903" s="109" t="n"/>
      <c r="E903" s="225" t="n"/>
      <c r="F903" s="226" t="n"/>
      <c r="G903" s="108" t="n"/>
      <c r="H903" s="108" t="n"/>
      <c r="I903" s="109" t="n"/>
      <c r="J903" s="109" t="n"/>
      <c r="K903" s="109" t="n"/>
      <c r="L903" s="231">
        <f>IF($E903="","",DATE(YEAR($E903),MONTH($E903),1))</f>
        <v/>
      </c>
      <c r="M903" s="113">
        <f>IF($D903="","",IF($C903="TANIMSIZ MÜŞTERİ","HATA",IF(OR($E903="",$F903&lt;=0,$G903=""),"EKSİK",IF($E903&gt;TODAY(),"İLERİ TARİH","UYGUN"))))</f>
        <v/>
      </c>
      <c r="N903" s="121">
        <f>IF($C903="","",IF($C903="TANIMSIZ MÜŞTERİ","—",INDEX(MUSTERILER!$C$7:$C$106,MATCH($C903,MUSTERILER!$B$7:$B$106,0))))</f>
        <v/>
      </c>
      <c r="O903" s="6" t="n"/>
      <c r="P903" s="6" t="n"/>
      <c r="Q903" s="3">
        <f>IF($D903="","",$C903&amp;"|"&amp;COUNTIFS($C$7:$C903,$C903))</f>
        <v/>
      </c>
    </row>
    <row r="904">
      <c r="A904" s="6" t="n"/>
      <c r="B904" s="113">
        <f>IF($D904="","","T"&amp;TEXT(ROW()-6,"00000"))</f>
        <v/>
      </c>
      <c r="C904" s="113">
        <f>IF($D904="","",IFERROR(INDEX(MUSTERILER!$B$7:$B$106,MATCH($D904,MUSTERILER!$C$7:$C$106,0)),IFERROR(INDEX(MUSTERILER!$B$7:$B$106,MATCH($D904,MUSTERILER!$B$7:$B$106,0)),IFERROR(INDEX(MUSTERILER!$B$7:$B$106,MATCH($D904&amp;"*",MUSTERILER!$C$7:$C$106,0)),"TANIMSIZ MÜŞTERİ"))))</f>
        <v/>
      </c>
      <c r="D904" s="109" t="n"/>
      <c r="E904" s="225" t="n"/>
      <c r="F904" s="226" t="n"/>
      <c r="G904" s="108" t="n"/>
      <c r="H904" s="108" t="n"/>
      <c r="I904" s="109" t="n"/>
      <c r="J904" s="109" t="n"/>
      <c r="K904" s="109" t="n"/>
      <c r="L904" s="231">
        <f>IF($E904="","",DATE(YEAR($E904),MONTH($E904),1))</f>
        <v/>
      </c>
      <c r="M904" s="113">
        <f>IF($D904="","",IF($C904="TANIMSIZ MÜŞTERİ","HATA",IF(OR($E904="",$F904&lt;=0,$G904=""),"EKSİK",IF($E904&gt;TODAY(),"İLERİ TARİH","UYGUN"))))</f>
        <v/>
      </c>
      <c r="N904" s="121">
        <f>IF($C904="","",IF($C904="TANIMSIZ MÜŞTERİ","—",INDEX(MUSTERILER!$C$7:$C$106,MATCH($C904,MUSTERILER!$B$7:$B$106,0))))</f>
        <v/>
      </c>
      <c r="O904" s="6" t="n"/>
      <c r="P904" s="6" t="n"/>
      <c r="Q904" s="3">
        <f>IF($D904="","",$C904&amp;"|"&amp;COUNTIFS($C$7:$C904,$C904))</f>
        <v/>
      </c>
    </row>
    <row r="905">
      <c r="A905" s="6" t="n"/>
      <c r="B905" s="113">
        <f>IF($D905="","","T"&amp;TEXT(ROW()-6,"00000"))</f>
        <v/>
      </c>
      <c r="C905" s="113">
        <f>IF($D905="","",IFERROR(INDEX(MUSTERILER!$B$7:$B$106,MATCH($D905,MUSTERILER!$C$7:$C$106,0)),IFERROR(INDEX(MUSTERILER!$B$7:$B$106,MATCH($D905,MUSTERILER!$B$7:$B$106,0)),IFERROR(INDEX(MUSTERILER!$B$7:$B$106,MATCH($D905&amp;"*",MUSTERILER!$C$7:$C$106,0)),"TANIMSIZ MÜŞTERİ"))))</f>
        <v/>
      </c>
      <c r="D905" s="109" t="n"/>
      <c r="E905" s="225" t="n"/>
      <c r="F905" s="226" t="n"/>
      <c r="G905" s="108" t="n"/>
      <c r="H905" s="108" t="n"/>
      <c r="I905" s="109" t="n"/>
      <c r="J905" s="109" t="n"/>
      <c r="K905" s="109" t="n"/>
      <c r="L905" s="231">
        <f>IF($E905="","",DATE(YEAR($E905),MONTH($E905),1))</f>
        <v/>
      </c>
      <c r="M905" s="113">
        <f>IF($D905="","",IF($C905="TANIMSIZ MÜŞTERİ","HATA",IF(OR($E905="",$F905&lt;=0,$G905=""),"EKSİK",IF($E905&gt;TODAY(),"İLERİ TARİH","UYGUN"))))</f>
        <v/>
      </c>
      <c r="N905" s="121">
        <f>IF($C905="","",IF($C905="TANIMSIZ MÜŞTERİ","—",INDEX(MUSTERILER!$C$7:$C$106,MATCH($C905,MUSTERILER!$B$7:$B$106,0))))</f>
        <v/>
      </c>
      <c r="O905" s="6" t="n"/>
      <c r="P905" s="6" t="n"/>
      <c r="Q905" s="3">
        <f>IF($D905="","",$C905&amp;"|"&amp;COUNTIFS($C$7:$C905,$C905))</f>
        <v/>
      </c>
    </row>
    <row r="906">
      <c r="A906" s="6" t="n"/>
      <c r="B906" s="113">
        <f>IF($D906="","","T"&amp;TEXT(ROW()-6,"00000"))</f>
        <v/>
      </c>
      <c r="C906" s="113">
        <f>IF($D906="","",IFERROR(INDEX(MUSTERILER!$B$7:$B$106,MATCH($D906,MUSTERILER!$C$7:$C$106,0)),IFERROR(INDEX(MUSTERILER!$B$7:$B$106,MATCH($D906,MUSTERILER!$B$7:$B$106,0)),IFERROR(INDEX(MUSTERILER!$B$7:$B$106,MATCH($D906&amp;"*",MUSTERILER!$C$7:$C$106,0)),"TANIMSIZ MÜŞTERİ"))))</f>
        <v/>
      </c>
      <c r="D906" s="109" t="n"/>
      <c r="E906" s="225" t="n"/>
      <c r="F906" s="226" t="n"/>
      <c r="G906" s="108" t="n"/>
      <c r="H906" s="108" t="n"/>
      <c r="I906" s="109" t="n"/>
      <c r="J906" s="109" t="n"/>
      <c r="K906" s="109" t="n"/>
      <c r="L906" s="231">
        <f>IF($E906="","",DATE(YEAR($E906),MONTH($E906),1))</f>
        <v/>
      </c>
      <c r="M906" s="113">
        <f>IF($D906="","",IF($C906="TANIMSIZ MÜŞTERİ","HATA",IF(OR($E906="",$F906&lt;=0,$G906=""),"EKSİK",IF($E906&gt;TODAY(),"İLERİ TARİH","UYGUN"))))</f>
        <v/>
      </c>
      <c r="N906" s="121">
        <f>IF($C906="","",IF($C906="TANIMSIZ MÜŞTERİ","—",INDEX(MUSTERILER!$C$7:$C$106,MATCH($C906,MUSTERILER!$B$7:$B$106,0))))</f>
        <v/>
      </c>
      <c r="O906" s="6" t="n"/>
      <c r="P906" s="6" t="n"/>
      <c r="Q906" s="3">
        <f>IF($D906="","",$C906&amp;"|"&amp;COUNTIFS($C$7:$C906,$C906))</f>
        <v/>
      </c>
    </row>
    <row r="907">
      <c r="A907" s="6" t="n"/>
      <c r="B907" s="113">
        <f>IF($D907="","","T"&amp;TEXT(ROW()-6,"00000"))</f>
        <v/>
      </c>
      <c r="C907" s="113">
        <f>IF($D907="","",IFERROR(INDEX(MUSTERILER!$B$7:$B$106,MATCH($D907,MUSTERILER!$C$7:$C$106,0)),IFERROR(INDEX(MUSTERILER!$B$7:$B$106,MATCH($D907,MUSTERILER!$B$7:$B$106,0)),IFERROR(INDEX(MUSTERILER!$B$7:$B$106,MATCH($D907&amp;"*",MUSTERILER!$C$7:$C$106,0)),"TANIMSIZ MÜŞTERİ"))))</f>
        <v/>
      </c>
      <c r="D907" s="109" t="n"/>
      <c r="E907" s="225" t="n"/>
      <c r="F907" s="226" t="n"/>
      <c r="G907" s="108" t="n"/>
      <c r="H907" s="108" t="n"/>
      <c r="I907" s="109" t="n"/>
      <c r="J907" s="109" t="n"/>
      <c r="K907" s="109" t="n"/>
      <c r="L907" s="231">
        <f>IF($E907="","",DATE(YEAR($E907),MONTH($E907),1))</f>
        <v/>
      </c>
      <c r="M907" s="113">
        <f>IF($D907="","",IF($C907="TANIMSIZ MÜŞTERİ","HATA",IF(OR($E907="",$F907&lt;=0,$G907=""),"EKSİK",IF($E907&gt;TODAY(),"İLERİ TARİH","UYGUN"))))</f>
        <v/>
      </c>
      <c r="N907" s="121">
        <f>IF($C907="","",IF($C907="TANIMSIZ MÜŞTERİ","—",INDEX(MUSTERILER!$C$7:$C$106,MATCH($C907,MUSTERILER!$B$7:$B$106,0))))</f>
        <v/>
      </c>
      <c r="O907" s="6" t="n"/>
      <c r="P907" s="6" t="n"/>
      <c r="Q907" s="3">
        <f>IF($D907="","",$C907&amp;"|"&amp;COUNTIFS($C$7:$C907,$C907))</f>
        <v/>
      </c>
    </row>
    <row r="908">
      <c r="A908" s="6" t="n"/>
      <c r="B908" s="113">
        <f>IF($D908="","","T"&amp;TEXT(ROW()-6,"00000"))</f>
        <v/>
      </c>
      <c r="C908" s="113">
        <f>IF($D908="","",IFERROR(INDEX(MUSTERILER!$B$7:$B$106,MATCH($D908,MUSTERILER!$C$7:$C$106,0)),IFERROR(INDEX(MUSTERILER!$B$7:$B$106,MATCH($D908,MUSTERILER!$B$7:$B$106,0)),IFERROR(INDEX(MUSTERILER!$B$7:$B$106,MATCH($D908&amp;"*",MUSTERILER!$C$7:$C$106,0)),"TANIMSIZ MÜŞTERİ"))))</f>
        <v/>
      </c>
      <c r="D908" s="109" t="n"/>
      <c r="E908" s="225" t="n"/>
      <c r="F908" s="226" t="n"/>
      <c r="G908" s="108" t="n"/>
      <c r="H908" s="108" t="n"/>
      <c r="I908" s="109" t="n"/>
      <c r="J908" s="109" t="n"/>
      <c r="K908" s="109" t="n"/>
      <c r="L908" s="231">
        <f>IF($E908="","",DATE(YEAR($E908),MONTH($E908),1))</f>
        <v/>
      </c>
      <c r="M908" s="113">
        <f>IF($D908="","",IF($C908="TANIMSIZ MÜŞTERİ","HATA",IF(OR($E908="",$F908&lt;=0,$G908=""),"EKSİK",IF($E908&gt;TODAY(),"İLERİ TARİH","UYGUN"))))</f>
        <v/>
      </c>
      <c r="N908" s="121">
        <f>IF($C908="","",IF($C908="TANIMSIZ MÜŞTERİ","—",INDEX(MUSTERILER!$C$7:$C$106,MATCH($C908,MUSTERILER!$B$7:$B$106,0))))</f>
        <v/>
      </c>
      <c r="O908" s="6" t="n"/>
      <c r="P908" s="6" t="n"/>
      <c r="Q908" s="3">
        <f>IF($D908="","",$C908&amp;"|"&amp;COUNTIFS($C$7:$C908,$C908))</f>
        <v/>
      </c>
    </row>
    <row r="909">
      <c r="A909" s="6" t="n"/>
      <c r="B909" s="113">
        <f>IF($D909="","","T"&amp;TEXT(ROW()-6,"00000"))</f>
        <v/>
      </c>
      <c r="C909" s="113">
        <f>IF($D909="","",IFERROR(INDEX(MUSTERILER!$B$7:$B$106,MATCH($D909,MUSTERILER!$C$7:$C$106,0)),IFERROR(INDEX(MUSTERILER!$B$7:$B$106,MATCH($D909,MUSTERILER!$B$7:$B$106,0)),IFERROR(INDEX(MUSTERILER!$B$7:$B$106,MATCH($D909&amp;"*",MUSTERILER!$C$7:$C$106,0)),"TANIMSIZ MÜŞTERİ"))))</f>
        <v/>
      </c>
      <c r="D909" s="109" t="n"/>
      <c r="E909" s="225" t="n"/>
      <c r="F909" s="226" t="n"/>
      <c r="G909" s="108" t="n"/>
      <c r="H909" s="108" t="n"/>
      <c r="I909" s="109" t="n"/>
      <c r="J909" s="109" t="n"/>
      <c r="K909" s="109" t="n"/>
      <c r="L909" s="231">
        <f>IF($E909="","",DATE(YEAR($E909),MONTH($E909),1))</f>
        <v/>
      </c>
      <c r="M909" s="113">
        <f>IF($D909="","",IF($C909="TANIMSIZ MÜŞTERİ","HATA",IF(OR($E909="",$F909&lt;=0,$G909=""),"EKSİK",IF($E909&gt;TODAY(),"İLERİ TARİH","UYGUN"))))</f>
        <v/>
      </c>
      <c r="N909" s="121">
        <f>IF($C909="","",IF($C909="TANIMSIZ MÜŞTERİ","—",INDEX(MUSTERILER!$C$7:$C$106,MATCH($C909,MUSTERILER!$B$7:$B$106,0))))</f>
        <v/>
      </c>
      <c r="O909" s="6" t="n"/>
      <c r="P909" s="6" t="n"/>
      <c r="Q909" s="3">
        <f>IF($D909="","",$C909&amp;"|"&amp;COUNTIFS($C$7:$C909,$C909))</f>
        <v/>
      </c>
    </row>
    <row r="910">
      <c r="A910" s="6" t="n"/>
      <c r="B910" s="113">
        <f>IF($D910="","","T"&amp;TEXT(ROW()-6,"00000"))</f>
        <v/>
      </c>
      <c r="C910" s="113">
        <f>IF($D910="","",IFERROR(INDEX(MUSTERILER!$B$7:$B$106,MATCH($D910,MUSTERILER!$C$7:$C$106,0)),IFERROR(INDEX(MUSTERILER!$B$7:$B$106,MATCH($D910,MUSTERILER!$B$7:$B$106,0)),IFERROR(INDEX(MUSTERILER!$B$7:$B$106,MATCH($D910&amp;"*",MUSTERILER!$C$7:$C$106,0)),"TANIMSIZ MÜŞTERİ"))))</f>
        <v/>
      </c>
      <c r="D910" s="109" t="n"/>
      <c r="E910" s="225" t="n"/>
      <c r="F910" s="226" t="n"/>
      <c r="G910" s="108" t="n"/>
      <c r="H910" s="108" t="n"/>
      <c r="I910" s="109" t="n"/>
      <c r="J910" s="109" t="n"/>
      <c r="K910" s="109" t="n"/>
      <c r="L910" s="231">
        <f>IF($E910="","",DATE(YEAR($E910),MONTH($E910),1))</f>
        <v/>
      </c>
      <c r="M910" s="113">
        <f>IF($D910="","",IF($C910="TANIMSIZ MÜŞTERİ","HATA",IF(OR($E910="",$F910&lt;=0,$G910=""),"EKSİK",IF($E910&gt;TODAY(),"İLERİ TARİH","UYGUN"))))</f>
        <v/>
      </c>
      <c r="N910" s="121">
        <f>IF($C910="","",IF($C910="TANIMSIZ MÜŞTERİ","—",INDEX(MUSTERILER!$C$7:$C$106,MATCH($C910,MUSTERILER!$B$7:$B$106,0))))</f>
        <v/>
      </c>
      <c r="O910" s="6" t="n"/>
      <c r="P910" s="6" t="n"/>
      <c r="Q910" s="3">
        <f>IF($D910="","",$C910&amp;"|"&amp;COUNTIFS($C$7:$C910,$C910))</f>
        <v/>
      </c>
    </row>
    <row r="911">
      <c r="A911" s="6" t="n"/>
      <c r="B911" s="113">
        <f>IF($D911="","","T"&amp;TEXT(ROW()-6,"00000"))</f>
        <v/>
      </c>
      <c r="C911" s="113">
        <f>IF($D911="","",IFERROR(INDEX(MUSTERILER!$B$7:$B$106,MATCH($D911,MUSTERILER!$C$7:$C$106,0)),IFERROR(INDEX(MUSTERILER!$B$7:$B$106,MATCH($D911,MUSTERILER!$B$7:$B$106,0)),IFERROR(INDEX(MUSTERILER!$B$7:$B$106,MATCH($D911&amp;"*",MUSTERILER!$C$7:$C$106,0)),"TANIMSIZ MÜŞTERİ"))))</f>
        <v/>
      </c>
      <c r="D911" s="109" t="n"/>
      <c r="E911" s="225" t="n"/>
      <c r="F911" s="226" t="n"/>
      <c r="G911" s="108" t="n"/>
      <c r="H911" s="108" t="n"/>
      <c r="I911" s="109" t="n"/>
      <c r="J911" s="109" t="n"/>
      <c r="K911" s="109" t="n"/>
      <c r="L911" s="231">
        <f>IF($E911="","",DATE(YEAR($E911),MONTH($E911),1))</f>
        <v/>
      </c>
      <c r="M911" s="113">
        <f>IF($D911="","",IF($C911="TANIMSIZ MÜŞTERİ","HATA",IF(OR($E911="",$F911&lt;=0,$G911=""),"EKSİK",IF($E911&gt;TODAY(),"İLERİ TARİH","UYGUN"))))</f>
        <v/>
      </c>
      <c r="N911" s="121">
        <f>IF($C911="","",IF($C911="TANIMSIZ MÜŞTERİ","—",INDEX(MUSTERILER!$C$7:$C$106,MATCH($C911,MUSTERILER!$B$7:$B$106,0))))</f>
        <v/>
      </c>
      <c r="O911" s="6" t="n"/>
      <c r="P911" s="6" t="n"/>
      <c r="Q911" s="3">
        <f>IF($D911="","",$C911&amp;"|"&amp;COUNTIFS($C$7:$C911,$C911))</f>
        <v/>
      </c>
    </row>
    <row r="912">
      <c r="A912" s="6" t="n"/>
      <c r="B912" s="113">
        <f>IF($D912="","","T"&amp;TEXT(ROW()-6,"00000"))</f>
        <v/>
      </c>
      <c r="C912" s="113">
        <f>IF($D912="","",IFERROR(INDEX(MUSTERILER!$B$7:$B$106,MATCH($D912,MUSTERILER!$C$7:$C$106,0)),IFERROR(INDEX(MUSTERILER!$B$7:$B$106,MATCH($D912,MUSTERILER!$B$7:$B$106,0)),IFERROR(INDEX(MUSTERILER!$B$7:$B$106,MATCH($D912&amp;"*",MUSTERILER!$C$7:$C$106,0)),"TANIMSIZ MÜŞTERİ"))))</f>
        <v/>
      </c>
      <c r="D912" s="109" t="n"/>
      <c r="E912" s="225" t="n"/>
      <c r="F912" s="226" t="n"/>
      <c r="G912" s="108" t="n"/>
      <c r="H912" s="108" t="n"/>
      <c r="I912" s="109" t="n"/>
      <c r="J912" s="109" t="n"/>
      <c r="K912" s="109" t="n"/>
      <c r="L912" s="231">
        <f>IF($E912="","",DATE(YEAR($E912),MONTH($E912),1))</f>
        <v/>
      </c>
      <c r="M912" s="113">
        <f>IF($D912="","",IF($C912="TANIMSIZ MÜŞTERİ","HATA",IF(OR($E912="",$F912&lt;=0,$G912=""),"EKSİK",IF($E912&gt;TODAY(),"İLERİ TARİH","UYGUN"))))</f>
        <v/>
      </c>
      <c r="N912" s="121">
        <f>IF($C912="","",IF($C912="TANIMSIZ MÜŞTERİ","—",INDEX(MUSTERILER!$C$7:$C$106,MATCH($C912,MUSTERILER!$B$7:$B$106,0))))</f>
        <v/>
      </c>
      <c r="O912" s="6" t="n"/>
      <c r="P912" s="6" t="n"/>
      <c r="Q912" s="3">
        <f>IF($D912="","",$C912&amp;"|"&amp;COUNTIFS($C$7:$C912,$C912))</f>
        <v/>
      </c>
    </row>
    <row r="913">
      <c r="A913" s="6" t="n"/>
      <c r="B913" s="113">
        <f>IF($D913="","","T"&amp;TEXT(ROW()-6,"00000"))</f>
        <v/>
      </c>
      <c r="C913" s="113">
        <f>IF($D913="","",IFERROR(INDEX(MUSTERILER!$B$7:$B$106,MATCH($D913,MUSTERILER!$C$7:$C$106,0)),IFERROR(INDEX(MUSTERILER!$B$7:$B$106,MATCH($D913,MUSTERILER!$B$7:$B$106,0)),IFERROR(INDEX(MUSTERILER!$B$7:$B$106,MATCH($D913&amp;"*",MUSTERILER!$C$7:$C$106,0)),"TANIMSIZ MÜŞTERİ"))))</f>
        <v/>
      </c>
      <c r="D913" s="109" t="n"/>
      <c r="E913" s="225" t="n"/>
      <c r="F913" s="226" t="n"/>
      <c r="G913" s="108" t="n"/>
      <c r="H913" s="108" t="n"/>
      <c r="I913" s="109" t="n"/>
      <c r="J913" s="109" t="n"/>
      <c r="K913" s="109" t="n"/>
      <c r="L913" s="231">
        <f>IF($E913="","",DATE(YEAR($E913),MONTH($E913),1))</f>
        <v/>
      </c>
      <c r="M913" s="113">
        <f>IF($D913="","",IF($C913="TANIMSIZ MÜŞTERİ","HATA",IF(OR($E913="",$F913&lt;=0,$G913=""),"EKSİK",IF($E913&gt;TODAY(),"İLERİ TARİH","UYGUN"))))</f>
        <v/>
      </c>
      <c r="N913" s="121">
        <f>IF($C913="","",IF($C913="TANIMSIZ MÜŞTERİ","—",INDEX(MUSTERILER!$C$7:$C$106,MATCH($C913,MUSTERILER!$B$7:$B$106,0))))</f>
        <v/>
      </c>
      <c r="O913" s="6" t="n"/>
      <c r="P913" s="6" t="n"/>
      <c r="Q913" s="3">
        <f>IF($D913="","",$C913&amp;"|"&amp;COUNTIFS($C$7:$C913,$C913))</f>
        <v/>
      </c>
    </row>
    <row r="914">
      <c r="A914" s="6" t="n"/>
      <c r="B914" s="113">
        <f>IF($D914="","","T"&amp;TEXT(ROW()-6,"00000"))</f>
        <v/>
      </c>
      <c r="C914" s="113">
        <f>IF($D914="","",IFERROR(INDEX(MUSTERILER!$B$7:$B$106,MATCH($D914,MUSTERILER!$C$7:$C$106,0)),IFERROR(INDEX(MUSTERILER!$B$7:$B$106,MATCH($D914,MUSTERILER!$B$7:$B$106,0)),IFERROR(INDEX(MUSTERILER!$B$7:$B$106,MATCH($D914&amp;"*",MUSTERILER!$C$7:$C$106,0)),"TANIMSIZ MÜŞTERİ"))))</f>
        <v/>
      </c>
      <c r="D914" s="109" t="n"/>
      <c r="E914" s="225" t="n"/>
      <c r="F914" s="226" t="n"/>
      <c r="G914" s="108" t="n"/>
      <c r="H914" s="108" t="n"/>
      <c r="I914" s="109" t="n"/>
      <c r="J914" s="109" t="n"/>
      <c r="K914" s="109" t="n"/>
      <c r="L914" s="231">
        <f>IF($E914="","",DATE(YEAR($E914),MONTH($E914),1))</f>
        <v/>
      </c>
      <c r="M914" s="113">
        <f>IF($D914="","",IF($C914="TANIMSIZ MÜŞTERİ","HATA",IF(OR($E914="",$F914&lt;=0,$G914=""),"EKSİK",IF($E914&gt;TODAY(),"İLERİ TARİH","UYGUN"))))</f>
        <v/>
      </c>
      <c r="N914" s="121">
        <f>IF($C914="","",IF($C914="TANIMSIZ MÜŞTERİ","—",INDEX(MUSTERILER!$C$7:$C$106,MATCH($C914,MUSTERILER!$B$7:$B$106,0))))</f>
        <v/>
      </c>
      <c r="O914" s="6" t="n"/>
      <c r="P914" s="6" t="n"/>
      <c r="Q914" s="3">
        <f>IF($D914="","",$C914&amp;"|"&amp;COUNTIFS($C$7:$C914,$C914))</f>
        <v/>
      </c>
    </row>
    <row r="915">
      <c r="A915" s="6" t="n"/>
      <c r="B915" s="113">
        <f>IF($D915="","","T"&amp;TEXT(ROW()-6,"00000"))</f>
        <v/>
      </c>
      <c r="C915" s="113">
        <f>IF($D915="","",IFERROR(INDEX(MUSTERILER!$B$7:$B$106,MATCH($D915,MUSTERILER!$C$7:$C$106,0)),IFERROR(INDEX(MUSTERILER!$B$7:$B$106,MATCH($D915,MUSTERILER!$B$7:$B$106,0)),IFERROR(INDEX(MUSTERILER!$B$7:$B$106,MATCH($D915&amp;"*",MUSTERILER!$C$7:$C$106,0)),"TANIMSIZ MÜŞTERİ"))))</f>
        <v/>
      </c>
      <c r="D915" s="109" t="n"/>
      <c r="E915" s="225" t="n"/>
      <c r="F915" s="226" t="n"/>
      <c r="G915" s="108" t="n"/>
      <c r="H915" s="108" t="n"/>
      <c r="I915" s="109" t="n"/>
      <c r="J915" s="109" t="n"/>
      <c r="K915" s="109" t="n"/>
      <c r="L915" s="231">
        <f>IF($E915="","",DATE(YEAR($E915),MONTH($E915),1))</f>
        <v/>
      </c>
      <c r="M915" s="113">
        <f>IF($D915="","",IF($C915="TANIMSIZ MÜŞTERİ","HATA",IF(OR($E915="",$F915&lt;=0,$G915=""),"EKSİK",IF($E915&gt;TODAY(),"İLERİ TARİH","UYGUN"))))</f>
        <v/>
      </c>
      <c r="N915" s="121">
        <f>IF($C915="","",IF($C915="TANIMSIZ MÜŞTERİ","—",INDEX(MUSTERILER!$C$7:$C$106,MATCH($C915,MUSTERILER!$B$7:$B$106,0))))</f>
        <v/>
      </c>
      <c r="O915" s="6" t="n"/>
      <c r="P915" s="6" t="n"/>
      <c r="Q915" s="3">
        <f>IF($D915="","",$C915&amp;"|"&amp;COUNTIFS($C$7:$C915,$C915))</f>
        <v/>
      </c>
    </row>
    <row r="916">
      <c r="A916" s="6" t="n"/>
      <c r="B916" s="113">
        <f>IF($D916="","","T"&amp;TEXT(ROW()-6,"00000"))</f>
        <v/>
      </c>
      <c r="C916" s="113">
        <f>IF($D916="","",IFERROR(INDEX(MUSTERILER!$B$7:$B$106,MATCH($D916,MUSTERILER!$C$7:$C$106,0)),IFERROR(INDEX(MUSTERILER!$B$7:$B$106,MATCH($D916,MUSTERILER!$B$7:$B$106,0)),IFERROR(INDEX(MUSTERILER!$B$7:$B$106,MATCH($D916&amp;"*",MUSTERILER!$C$7:$C$106,0)),"TANIMSIZ MÜŞTERİ"))))</f>
        <v/>
      </c>
      <c r="D916" s="109" t="n"/>
      <c r="E916" s="225" t="n"/>
      <c r="F916" s="226" t="n"/>
      <c r="G916" s="108" t="n"/>
      <c r="H916" s="108" t="n"/>
      <c r="I916" s="109" t="n"/>
      <c r="J916" s="109" t="n"/>
      <c r="K916" s="109" t="n"/>
      <c r="L916" s="231">
        <f>IF($E916="","",DATE(YEAR($E916),MONTH($E916),1))</f>
        <v/>
      </c>
      <c r="M916" s="113">
        <f>IF($D916="","",IF($C916="TANIMSIZ MÜŞTERİ","HATA",IF(OR($E916="",$F916&lt;=0,$G916=""),"EKSİK",IF($E916&gt;TODAY(),"İLERİ TARİH","UYGUN"))))</f>
        <v/>
      </c>
      <c r="N916" s="121">
        <f>IF($C916="","",IF($C916="TANIMSIZ MÜŞTERİ","—",INDEX(MUSTERILER!$C$7:$C$106,MATCH($C916,MUSTERILER!$B$7:$B$106,0))))</f>
        <v/>
      </c>
      <c r="O916" s="6" t="n"/>
      <c r="P916" s="6" t="n"/>
      <c r="Q916" s="3">
        <f>IF($D916="","",$C916&amp;"|"&amp;COUNTIFS($C$7:$C916,$C916))</f>
        <v/>
      </c>
    </row>
    <row r="917">
      <c r="A917" s="6" t="n"/>
      <c r="B917" s="113">
        <f>IF($D917="","","T"&amp;TEXT(ROW()-6,"00000"))</f>
        <v/>
      </c>
      <c r="C917" s="113">
        <f>IF($D917="","",IFERROR(INDEX(MUSTERILER!$B$7:$B$106,MATCH($D917,MUSTERILER!$C$7:$C$106,0)),IFERROR(INDEX(MUSTERILER!$B$7:$B$106,MATCH($D917,MUSTERILER!$B$7:$B$106,0)),IFERROR(INDEX(MUSTERILER!$B$7:$B$106,MATCH($D917&amp;"*",MUSTERILER!$C$7:$C$106,0)),"TANIMSIZ MÜŞTERİ"))))</f>
        <v/>
      </c>
      <c r="D917" s="109" t="n"/>
      <c r="E917" s="225" t="n"/>
      <c r="F917" s="226" t="n"/>
      <c r="G917" s="108" t="n"/>
      <c r="H917" s="108" t="n"/>
      <c r="I917" s="109" t="n"/>
      <c r="J917" s="109" t="n"/>
      <c r="K917" s="109" t="n"/>
      <c r="L917" s="231">
        <f>IF($E917="","",DATE(YEAR($E917),MONTH($E917),1))</f>
        <v/>
      </c>
      <c r="M917" s="113">
        <f>IF($D917="","",IF($C917="TANIMSIZ MÜŞTERİ","HATA",IF(OR($E917="",$F917&lt;=0,$G917=""),"EKSİK",IF($E917&gt;TODAY(),"İLERİ TARİH","UYGUN"))))</f>
        <v/>
      </c>
      <c r="N917" s="121">
        <f>IF($C917="","",IF($C917="TANIMSIZ MÜŞTERİ","—",INDEX(MUSTERILER!$C$7:$C$106,MATCH($C917,MUSTERILER!$B$7:$B$106,0))))</f>
        <v/>
      </c>
      <c r="O917" s="6" t="n"/>
      <c r="P917" s="6" t="n"/>
      <c r="Q917" s="3">
        <f>IF($D917="","",$C917&amp;"|"&amp;COUNTIFS($C$7:$C917,$C917))</f>
        <v/>
      </c>
    </row>
    <row r="918">
      <c r="A918" s="6" t="n"/>
      <c r="B918" s="113">
        <f>IF($D918="","","T"&amp;TEXT(ROW()-6,"00000"))</f>
        <v/>
      </c>
      <c r="C918" s="113">
        <f>IF($D918="","",IFERROR(INDEX(MUSTERILER!$B$7:$B$106,MATCH($D918,MUSTERILER!$C$7:$C$106,0)),IFERROR(INDEX(MUSTERILER!$B$7:$B$106,MATCH($D918,MUSTERILER!$B$7:$B$106,0)),IFERROR(INDEX(MUSTERILER!$B$7:$B$106,MATCH($D918&amp;"*",MUSTERILER!$C$7:$C$106,0)),"TANIMSIZ MÜŞTERİ"))))</f>
        <v/>
      </c>
      <c r="D918" s="109" t="n"/>
      <c r="E918" s="225" t="n"/>
      <c r="F918" s="226" t="n"/>
      <c r="G918" s="108" t="n"/>
      <c r="H918" s="108" t="n"/>
      <c r="I918" s="109" t="n"/>
      <c r="J918" s="109" t="n"/>
      <c r="K918" s="109" t="n"/>
      <c r="L918" s="231">
        <f>IF($E918="","",DATE(YEAR($E918),MONTH($E918),1))</f>
        <v/>
      </c>
      <c r="M918" s="113">
        <f>IF($D918="","",IF($C918="TANIMSIZ MÜŞTERİ","HATA",IF(OR($E918="",$F918&lt;=0,$G918=""),"EKSİK",IF($E918&gt;TODAY(),"İLERİ TARİH","UYGUN"))))</f>
        <v/>
      </c>
      <c r="N918" s="121">
        <f>IF($C918="","",IF($C918="TANIMSIZ MÜŞTERİ","—",INDEX(MUSTERILER!$C$7:$C$106,MATCH($C918,MUSTERILER!$B$7:$B$106,0))))</f>
        <v/>
      </c>
      <c r="O918" s="6" t="n"/>
      <c r="P918" s="6" t="n"/>
      <c r="Q918" s="3">
        <f>IF($D918="","",$C918&amp;"|"&amp;COUNTIFS($C$7:$C918,$C918))</f>
        <v/>
      </c>
    </row>
    <row r="919">
      <c r="A919" s="6" t="n"/>
      <c r="B919" s="113">
        <f>IF($D919="","","T"&amp;TEXT(ROW()-6,"00000"))</f>
        <v/>
      </c>
      <c r="C919" s="113">
        <f>IF($D919="","",IFERROR(INDEX(MUSTERILER!$B$7:$B$106,MATCH($D919,MUSTERILER!$C$7:$C$106,0)),IFERROR(INDEX(MUSTERILER!$B$7:$B$106,MATCH($D919,MUSTERILER!$B$7:$B$106,0)),IFERROR(INDEX(MUSTERILER!$B$7:$B$106,MATCH($D919&amp;"*",MUSTERILER!$C$7:$C$106,0)),"TANIMSIZ MÜŞTERİ"))))</f>
        <v/>
      </c>
      <c r="D919" s="109" t="n"/>
      <c r="E919" s="225" t="n"/>
      <c r="F919" s="226" t="n"/>
      <c r="G919" s="108" t="n"/>
      <c r="H919" s="108" t="n"/>
      <c r="I919" s="109" t="n"/>
      <c r="J919" s="109" t="n"/>
      <c r="K919" s="109" t="n"/>
      <c r="L919" s="231">
        <f>IF($E919="","",DATE(YEAR($E919),MONTH($E919),1))</f>
        <v/>
      </c>
      <c r="M919" s="113">
        <f>IF($D919="","",IF($C919="TANIMSIZ MÜŞTERİ","HATA",IF(OR($E919="",$F919&lt;=0,$G919=""),"EKSİK",IF($E919&gt;TODAY(),"İLERİ TARİH","UYGUN"))))</f>
        <v/>
      </c>
      <c r="N919" s="121">
        <f>IF($C919="","",IF($C919="TANIMSIZ MÜŞTERİ","—",INDEX(MUSTERILER!$C$7:$C$106,MATCH($C919,MUSTERILER!$B$7:$B$106,0))))</f>
        <v/>
      </c>
      <c r="O919" s="6" t="n"/>
      <c r="P919" s="6" t="n"/>
      <c r="Q919" s="3">
        <f>IF($D919="","",$C919&amp;"|"&amp;COUNTIFS($C$7:$C919,$C919))</f>
        <v/>
      </c>
    </row>
    <row r="920">
      <c r="A920" s="6" t="n"/>
      <c r="B920" s="113">
        <f>IF($D920="","","T"&amp;TEXT(ROW()-6,"00000"))</f>
        <v/>
      </c>
      <c r="C920" s="113">
        <f>IF($D920="","",IFERROR(INDEX(MUSTERILER!$B$7:$B$106,MATCH($D920,MUSTERILER!$C$7:$C$106,0)),IFERROR(INDEX(MUSTERILER!$B$7:$B$106,MATCH($D920,MUSTERILER!$B$7:$B$106,0)),IFERROR(INDEX(MUSTERILER!$B$7:$B$106,MATCH($D920&amp;"*",MUSTERILER!$C$7:$C$106,0)),"TANIMSIZ MÜŞTERİ"))))</f>
        <v/>
      </c>
      <c r="D920" s="109" t="n"/>
      <c r="E920" s="225" t="n"/>
      <c r="F920" s="226" t="n"/>
      <c r="G920" s="108" t="n"/>
      <c r="H920" s="108" t="n"/>
      <c r="I920" s="109" t="n"/>
      <c r="J920" s="109" t="n"/>
      <c r="K920" s="109" t="n"/>
      <c r="L920" s="231">
        <f>IF($E920="","",DATE(YEAR($E920),MONTH($E920),1))</f>
        <v/>
      </c>
      <c r="M920" s="113">
        <f>IF($D920="","",IF($C920="TANIMSIZ MÜŞTERİ","HATA",IF(OR($E920="",$F920&lt;=0,$G920=""),"EKSİK",IF($E920&gt;TODAY(),"İLERİ TARİH","UYGUN"))))</f>
        <v/>
      </c>
      <c r="N920" s="121">
        <f>IF($C920="","",IF($C920="TANIMSIZ MÜŞTERİ","—",INDEX(MUSTERILER!$C$7:$C$106,MATCH($C920,MUSTERILER!$B$7:$B$106,0))))</f>
        <v/>
      </c>
      <c r="O920" s="6" t="n"/>
      <c r="P920" s="6" t="n"/>
      <c r="Q920" s="3">
        <f>IF($D920="","",$C920&amp;"|"&amp;COUNTIFS($C$7:$C920,$C920))</f>
        <v/>
      </c>
    </row>
    <row r="921">
      <c r="A921" s="6" t="n"/>
      <c r="B921" s="113">
        <f>IF($D921="","","T"&amp;TEXT(ROW()-6,"00000"))</f>
        <v/>
      </c>
      <c r="C921" s="113">
        <f>IF($D921="","",IFERROR(INDEX(MUSTERILER!$B$7:$B$106,MATCH($D921,MUSTERILER!$C$7:$C$106,0)),IFERROR(INDEX(MUSTERILER!$B$7:$B$106,MATCH($D921,MUSTERILER!$B$7:$B$106,0)),IFERROR(INDEX(MUSTERILER!$B$7:$B$106,MATCH($D921&amp;"*",MUSTERILER!$C$7:$C$106,0)),"TANIMSIZ MÜŞTERİ"))))</f>
        <v/>
      </c>
      <c r="D921" s="109" t="n"/>
      <c r="E921" s="225" t="n"/>
      <c r="F921" s="226" t="n"/>
      <c r="G921" s="108" t="n"/>
      <c r="H921" s="108" t="n"/>
      <c r="I921" s="109" t="n"/>
      <c r="J921" s="109" t="n"/>
      <c r="K921" s="109" t="n"/>
      <c r="L921" s="231">
        <f>IF($E921="","",DATE(YEAR($E921),MONTH($E921),1))</f>
        <v/>
      </c>
      <c r="M921" s="113">
        <f>IF($D921="","",IF($C921="TANIMSIZ MÜŞTERİ","HATA",IF(OR($E921="",$F921&lt;=0,$G921=""),"EKSİK",IF($E921&gt;TODAY(),"İLERİ TARİH","UYGUN"))))</f>
        <v/>
      </c>
      <c r="N921" s="121">
        <f>IF($C921="","",IF($C921="TANIMSIZ MÜŞTERİ","—",INDEX(MUSTERILER!$C$7:$C$106,MATCH($C921,MUSTERILER!$B$7:$B$106,0))))</f>
        <v/>
      </c>
      <c r="O921" s="6" t="n"/>
      <c r="P921" s="6" t="n"/>
      <c r="Q921" s="3">
        <f>IF($D921="","",$C921&amp;"|"&amp;COUNTIFS($C$7:$C921,$C921))</f>
        <v/>
      </c>
    </row>
    <row r="922">
      <c r="A922" s="6" t="n"/>
      <c r="B922" s="113">
        <f>IF($D922="","","T"&amp;TEXT(ROW()-6,"00000"))</f>
        <v/>
      </c>
      <c r="C922" s="113">
        <f>IF($D922="","",IFERROR(INDEX(MUSTERILER!$B$7:$B$106,MATCH($D922,MUSTERILER!$C$7:$C$106,0)),IFERROR(INDEX(MUSTERILER!$B$7:$B$106,MATCH($D922,MUSTERILER!$B$7:$B$106,0)),IFERROR(INDEX(MUSTERILER!$B$7:$B$106,MATCH($D922&amp;"*",MUSTERILER!$C$7:$C$106,0)),"TANIMSIZ MÜŞTERİ"))))</f>
        <v/>
      </c>
      <c r="D922" s="109" t="n"/>
      <c r="E922" s="225" t="n"/>
      <c r="F922" s="226" t="n"/>
      <c r="G922" s="108" t="n"/>
      <c r="H922" s="108" t="n"/>
      <c r="I922" s="109" t="n"/>
      <c r="J922" s="109" t="n"/>
      <c r="K922" s="109" t="n"/>
      <c r="L922" s="231">
        <f>IF($E922="","",DATE(YEAR($E922),MONTH($E922),1))</f>
        <v/>
      </c>
      <c r="M922" s="113">
        <f>IF($D922="","",IF($C922="TANIMSIZ MÜŞTERİ","HATA",IF(OR($E922="",$F922&lt;=0,$G922=""),"EKSİK",IF($E922&gt;TODAY(),"İLERİ TARİH","UYGUN"))))</f>
        <v/>
      </c>
      <c r="N922" s="121">
        <f>IF($C922="","",IF($C922="TANIMSIZ MÜŞTERİ","—",INDEX(MUSTERILER!$C$7:$C$106,MATCH($C922,MUSTERILER!$B$7:$B$106,0))))</f>
        <v/>
      </c>
      <c r="O922" s="6" t="n"/>
      <c r="P922" s="6" t="n"/>
      <c r="Q922" s="3">
        <f>IF($D922="","",$C922&amp;"|"&amp;COUNTIFS($C$7:$C922,$C922))</f>
        <v/>
      </c>
    </row>
    <row r="923">
      <c r="A923" s="6" t="n"/>
      <c r="B923" s="113">
        <f>IF($D923="","","T"&amp;TEXT(ROW()-6,"00000"))</f>
        <v/>
      </c>
      <c r="C923" s="113">
        <f>IF($D923="","",IFERROR(INDEX(MUSTERILER!$B$7:$B$106,MATCH($D923,MUSTERILER!$C$7:$C$106,0)),IFERROR(INDEX(MUSTERILER!$B$7:$B$106,MATCH($D923,MUSTERILER!$B$7:$B$106,0)),IFERROR(INDEX(MUSTERILER!$B$7:$B$106,MATCH($D923&amp;"*",MUSTERILER!$C$7:$C$106,0)),"TANIMSIZ MÜŞTERİ"))))</f>
        <v/>
      </c>
      <c r="D923" s="109" t="n"/>
      <c r="E923" s="225" t="n"/>
      <c r="F923" s="226" t="n"/>
      <c r="G923" s="108" t="n"/>
      <c r="H923" s="108" t="n"/>
      <c r="I923" s="109" t="n"/>
      <c r="J923" s="109" t="n"/>
      <c r="K923" s="109" t="n"/>
      <c r="L923" s="231">
        <f>IF($E923="","",DATE(YEAR($E923),MONTH($E923),1))</f>
        <v/>
      </c>
      <c r="M923" s="113">
        <f>IF($D923="","",IF($C923="TANIMSIZ MÜŞTERİ","HATA",IF(OR($E923="",$F923&lt;=0,$G923=""),"EKSİK",IF($E923&gt;TODAY(),"İLERİ TARİH","UYGUN"))))</f>
        <v/>
      </c>
      <c r="N923" s="121">
        <f>IF($C923="","",IF($C923="TANIMSIZ MÜŞTERİ","—",INDEX(MUSTERILER!$C$7:$C$106,MATCH($C923,MUSTERILER!$B$7:$B$106,0))))</f>
        <v/>
      </c>
      <c r="O923" s="6" t="n"/>
      <c r="P923" s="6" t="n"/>
      <c r="Q923" s="3">
        <f>IF($D923="","",$C923&amp;"|"&amp;COUNTIFS($C$7:$C923,$C923))</f>
        <v/>
      </c>
    </row>
    <row r="924">
      <c r="A924" s="6" t="n"/>
      <c r="B924" s="113">
        <f>IF($D924="","","T"&amp;TEXT(ROW()-6,"00000"))</f>
        <v/>
      </c>
      <c r="C924" s="113">
        <f>IF($D924="","",IFERROR(INDEX(MUSTERILER!$B$7:$B$106,MATCH($D924,MUSTERILER!$C$7:$C$106,0)),IFERROR(INDEX(MUSTERILER!$B$7:$B$106,MATCH($D924,MUSTERILER!$B$7:$B$106,0)),IFERROR(INDEX(MUSTERILER!$B$7:$B$106,MATCH($D924&amp;"*",MUSTERILER!$C$7:$C$106,0)),"TANIMSIZ MÜŞTERİ"))))</f>
        <v/>
      </c>
      <c r="D924" s="109" t="n"/>
      <c r="E924" s="225" t="n"/>
      <c r="F924" s="226" t="n"/>
      <c r="G924" s="108" t="n"/>
      <c r="H924" s="108" t="n"/>
      <c r="I924" s="109" t="n"/>
      <c r="J924" s="109" t="n"/>
      <c r="K924" s="109" t="n"/>
      <c r="L924" s="231">
        <f>IF($E924="","",DATE(YEAR($E924),MONTH($E924),1))</f>
        <v/>
      </c>
      <c r="M924" s="113">
        <f>IF($D924="","",IF($C924="TANIMSIZ MÜŞTERİ","HATA",IF(OR($E924="",$F924&lt;=0,$G924=""),"EKSİK",IF($E924&gt;TODAY(),"İLERİ TARİH","UYGUN"))))</f>
        <v/>
      </c>
      <c r="N924" s="121">
        <f>IF($C924="","",IF($C924="TANIMSIZ MÜŞTERİ","—",INDEX(MUSTERILER!$C$7:$C$106,MATCH($C924,MUSTERILER!$B$7:$B$106,0))))</f>
        <v/>
      </c>
      <c r="O924" s="6" t="n"/>
      <c r="P924" s="6" t="n"/>
      <c r="Q924" s="3">
        <f>IF($D924="","",$C924&amp;"|"&amp;COUNTIFS($C$7:$C924,$C924))</f>
        <v/>
      </c>
    </row>
    <row r="925">
      <c r="A925" s="6" t="n"/>
      <c r="B925" s="113">
        <f>IF($D925="","","T"&amp;TEXT(ROW()-6,"00000"))</f>
        <v/>
      </c>
      <c r="C925" s="113">
        <f>IF($D925="","",IFERROR(INDEX(MUSTERILER!$B$7:$B$106,MATCH($D925,MUSTERILER!$C$7:$C$106,0)),IFERROR(INDEX(MUSTERILER!$B$7:$B$106,MATCH($D925,MUSTERILER!$B$7:$B$106,0)),IFERROR(INDEX(MUSTERILER!$B$7:$B$106,MATCH($D925&amp;"*",MUSTERILER!$C$7:$C$106,0)),"TANIMSIZ MÜŞTERİ"))))</f>
        <v/>
      </c>
      <c r="D925" s="109" t="n"/>
      <c r="E925" s="225" t="n"/>
      <c r="F925" s="226" t="n"/>
      <c r="G925" s="108" t="n"/>
      <c r="H925" s="108" t="n"/>
      <c r="I925" s="109" t="n"/>
      <c r="J925" s="109" t="n"/>
      <c r="K925" s="109" t="n"/>
      <c r="L925" s="231">
        <f>IF($E925="","",DATE(YEAR($E925),MONTH($E925),1))</f>
        <v/>
      </c>
      <c r="M925" s="113">
        <f>IF($D925="","",IF($C925="TANIMSIZ MÜŞTERİ","HATA",IF(OR($E925="",$F925&lt;=0,$G925=""),"EKSİK",IF($E925&gt;TODAY(),"İLERİ TARİH","UYGUN"))))</f>
        <v/>
      </c>
      <c r="N925" s="121">
        <f>IF($C925="","",IF($C925="TANIMSIZ MÜŞTERİ","—",INDEX(MUSTERILER!$C$7:$C$106,MATCH($C925,MUSTERILER!$B$7:$B$106,0))))</f>
        <v/>
      </c>
      <c r="O925" s="6" t="n"/>
      <c r="P925" s="6" t="n"/>
      <c r="Q925" s="3">
        <f>IF($D925="","",$C925&amp;"|"&amp;COUNTIFS($C$7:$C925,$C925))</f>
        <v/>
      </c>
    </row>
    <row r="926">
      <c r="A926" s="6" t="n"/>
      <c r="B926" s="113">
        <f>IF($D926="","","T"&amp;TEXT(ROW()-6,"00000"))</f>
        <v/>
      </c>
      <c r="C926" s="113">
        <f>IF($D926="","",IFERROR(INDEX(MUSTERILER!$B$7:$B$106,MATCH($D926,MUSTERILER!$C$7:$C$106,0)),IFERROR(INDEX(MUSTERILER!$B$7:$B$106,MATCH($D926,MUSTERILER!$B$7:$B$106,0)),IFERROR(INDEX(MUSTERILER!$B$7:$B$106,MATCH($D926&amp;"*",MUSTERILER!$C$7:$C$106,0)),"TANIMSIZ MÜŞTERİ"))))</f>
        <v/>
      </c>
      <c r="D926" s="109" t="n"/>
      <c r="E926" s="225" t="n"/>
      <c r="F926" s="226" t="n"/>
      <c r="G926" s="108" t="n"/>
      <c r="H926" s="108" t="n"/>
      <c r="I926" s="109" t="n"/>
      <c r="J926" s="109" t="n"/>
      <c r="K926" s="109" t="n"/>
      <c r="L926" s="231">
        <f>IF($E926="","",DATE(YEAR($E926),MONTH($E926),1))</f>
        <v/>
      </c>
      <c r="M926" s="113">
        <f>IF($D926="","",IF($C926="TANIMSIZ MÜŞTERİ","HATA",IF(OR($E926="",$F926&lt;=0,$G926=""),"EKSİK",IF($E926&gt;TODAY(),"İLERİ TARİH","UYGUN"))))</f>
        <v/>
      </c>
      <c r="N926" s="121">
        <f>IF($C926="","",IF($C926="TANIMSIZ MÜŞTERİ","—",INDEX(MUSTERILER!$C$7:$C$106,MATCH($C926,MUSTERILER!$B$7:$B$106,0))))</f>
        <v/>
      </c>
      <c r="O926" s="6" t="n"/>
      <c r="P926" s="6" t="n"/>
      <c r="Q926" s="3">
        <f>IF($D926="","",$C926&amp;"|"&amp;COUNTIFS($C$7:$C926,$C926))</f>
        <v/>
      </c>
    </row>
    <row r="927">
      <c r="A927" s="6" t="n"/>
      <c r="B927" s="113">
        <f>IF($D927="","","T"&amp;TEXT(ROW()-6,"00000"))</f>
        <v/>
      </c>
      <c r="C927" s="113">
        <f>IF($D927="","",IFERROR(INDEX(MUSTERILER!$B$7:$B$106,MATCH($D927,MUSTERILER!$C$7:$C$106,0)),IFERROR(INDEX(MUSTERILER!$B$7:$B$106,MATCH($D927,MUSTERILER!$B$7:$B$106,0)),IFERROR(INDEX(MUSTERILER!$B$7:$B$106,MATCH($D927&amp;"*",MUSTERILER!$C$7:$C$106,0)),"TANIMSIZ MÜŞTERİ"))))</f>
        <v/>
      </c>
      <c r="D927" s="109" t="n"/>
      <c r="E927" s="225" t="n"/>
      <c r="F927" s="226" t="n"/>
      <c r="G927" s="108" t="n"/>
      <c r="H927" s="108" t="n"/>
      <c r="I927" s="109" t="n"/>
      <c r="J927" s="109" t="n"/>
      <c r="K927" s="109" t="n"/>
      <c r="L927" s="231">
        <f>IF($E927="","",DATE(YEAR($E927),MONTH($E927),1))</f>
        <v/>
      </c>
      <c r="M927" s="113">
        <f>IF($D927="","",IF($C927="TANIMSIZ MÜŞTERİ","HATA",IF(OR($E927="",$F927&lt;=0,$G927=""),"EKSİK",IF($E927&gt;TODAY(),"İLERİ TARİH","UYGUN"))))</f>
        <v/>
      </c>
      <c r="N927" s="121">
        <f>IF($C927="","",IF($C927="TANIMSIZ MÜŞTERİ","—",INDEX(MUSTERILER!$C$7:$C$106,MATCH($C927,MUSTERILER!$B$7:$B$106,0))))</f>
        <v/>
      </c>
      <c r="O927" s="6" t="n"/>
      <c r="P927" s="6" t="n"/>
      <c r="Q927" s="3">
        <f>IF($D927="","",$C927&amp;"|"&amp;COUNTIFS($C$7:$C927,$C927))</f>
        <v/>
      </c>
    </row>
    <row r="928">
      <c r="A928" s="6" t="n"/>
      <c r="B928" s="113">
        <f>IF($D928="","","T"&amp;TEXT(ROW()-6,"00000"))</f>
        <v/>
      </c>
      <c r="C928" s="113">
        <f>IF($D928="","",IFERROR(INDEX(MUSTERILER!$B$7:$B$106,MATCH($D928,MUSTERILER!$C$7:$C$106,0)),IFERROR(INDEX(MUSTERILER!$B$7:$B$106,MATCH($D928,MUSTERILER!$B$7:$B$106,0)),IFERROR(INDEX(MUSTERILER!$B$7:$B$106,MATCH($D928&amp;"*",MUSTERILER!$C$7:$C$106,0)),"TANIMSIZ MÜŞTERİ"))))</f>
        <v/>
      </c>
      <c r="D928" s="109" t="n"/>
      <c r="E928" s="225" t="n"/>
      <c r="F928" s="226" t="n"/>
      <c r="G928" s="108" t="n"/>
      <c r="H928" s="108" t="n"/>
      <c r="I928" s="109" t="n"/>
      <c r="J928" s="109" t="n"/>
      <c r="K928" s="109" t="n"/>
      <c r="L928" s="231">
        <f>IF($E928="","",DATE(YEAR($E928),MONTH($E928),1))</f>
        <v/>
      </c>
      <c r="M928" s="113">
        <f>IF($D928="","",IF($C928="TANIMSIZ MÜŞTERİ","HATA",IF(OR($E928="",$F928&lt;=0,$G928=""),"EKSİK",IF($E928&gt;TODAY(),"İLERİ TARİH","UYGUN"))))</f>
        <v/>
      </c>
      <c r="N928" s="121">
        <f>IF($C928="","",IF($C928="TANIMSIZ MÜŞTERİ","—",INDEX(MUSTERILER!$C$7:$C$106,MATCH($C928,MUSTERILER!$B$7:$B$106,0))))</f>
        <v/>
      </c>
      <c r="O928" s="6" t="n"/>
      <c r="P928" s="6" t="n"/>
      <c r="Q928" s="3">
        <f>IF($D928="","",$C928&amp;"|"&amp;COUNTIFS($C$7:$C928,$C928))</f>
        <v/>
      </c>
    </row>
    <row r="929">
      <c r="A929" s="6" t="n"/>
      <c r="B929" s="113">
        <f>IF($D929="","","T"&amp;TEXT(ROW()-6,"00000"))</f>
        <v/>
      </c>
      <c r="C929" s="113">
        <f>IF($D929="","",IFERROR(INDEX(MUSTERILER!$B$7:$B$106,MATCH($D929,MUSTERILER!$C$7:$C$106,0)),IFERROR(INDEX(MUSTERILER!$B$7:$B$106,MATCH($D929,MUSTERILER!$B$7:$B$106,0)),IFERROR(INDEX(MUSTERILER!$B$7:$B$106,MATCH($D929&amp;"*",MUSTERILER!$C$7:$C$106,0)),"TANIMSIZ MÜŞTERİ"))))</f>
        <v/>
      </c>
      <c r="D929" s="109" t="n"/>
      <c r="E929" s="225" t="n"/>
      <c r="F929" s="226" t="n"/>
      <c r="G929" s="108" t="n"/>
      <c r="H929" s="108" t="n"/>
      <c r="I929" s="109" t="n"/>
      <c r="J929" s="109" t="n"/>
      <c r="K929" s="109" t="n"/>
      <c r="L929" s="231">
        <f>IF($E929="","",DATE(YEAR($E929),MONTH($E929),1))</f>
        <v/>
      </c>
      <c r="M929" s="113">
        <f>IF($D929="","",IF($C929="TANIMSIZ MÜŞTERİ","HATA",IF(OR($E929="",$F929&lt;=0,$G929=""),"EKSİK",IF($E929&gt;TODAY(),"İLERİ TARİH","UYGUN"))))</f>
        <v/>
      </c>
      <c r="N929" s="121">
        <f>IF($C929="","",IF($C929="TANIMSIZ MÜŞTERİ","—",INDEX(MUSTERILER!$C$7:$C$106,MATCH($C929,MUSTERILER!$B$7:$B$106,0))))</f>
        <v/>
      </c>
      <c r="O929" s="6" t="n"/>
      <c r="P929" s="6" t="n"/>
      <c r="Q929" s="3">
        <f>IF($D929="","",$C929&amp;"|"&amp;COUNTIFS($C$7:$C929,$C929))</f>
        <v/>
      </c>
    </row>
    <row r="930">
      <c r="A930" s="6" t="n"/>
      <c r="B930" s="113">
        <f>IF($D930="","","T"&amp;TEXT(ROW()-6,"00000"))</f>
        <v/>
      </c>
      <c r="C930" s="113">
        <f>IF($D930="","",IFERROR(INDEX(MUSTERILER!$B$7:$B$106,MATCH($D930,MUSTERILER!$C$7:$C$106,0)),IFERROR(INDEX(MUSTERILER!$B$7:$B$106,MATCH($D930,MUSTERILER!$B$7:$B$106,0)),IFERROR(INDEX(MUSTERILER!$B$7:$B$106,MATCH($D930&amp;"*",MUSTERILER!$C$7:$C$106,0)),"TANIMSIZ MÜŞTERİ"))))</f>
        <v/>
      </c>
      <c r="D930" s="109" t="n"/>
      <c r="E930" s="225" t="n"/>
      <c r="F930" s="226" t="n"/>
      <c r="G930" s="108" t="n"/>
      <c r="H930" s="108" t="n"/>
      <c r="I930" s="109" t="n"/>
      <c r="J930" s="109" t="n"/>
      <c r="K930" s="109" t="n"/>
      <c r="L930" s="231">
        <f>IF($E930="","",DATE(YEAR($E930),MONTH($E930),1))</f>
        <v/>
      </c>
      <c r="M930" s="113">
        <f>IF($D930="","",IF($C930="TANIMSIZ MÜŞTERİ","HATA",IF(OR($E930="",$F930&lt;=0,$G930=""),"EKSİK",IF($E930&gt;TODAY(),"İLERİ TARİH","UYGUN"))))</f>
        <v/>
      </c>
      <c r="N930" s="121">
        <f>IF($C930="","",IF($C930="TANIMSIZ MÜŞTERİ","—",INDEX(MUSTERILER!$C$7:$C$106,MATCH($C930,MUSTERILER!$B$7:$B$106,0))))</f>
        <v/>
      </c>
      <c r="O930" s="6" t="n"/>
      <c r="P930" s="6" t="n"/>
      <c r="Q930" s="3">
        <f>IF($D930="","",$C930&amp;"|"&amp;COUNTIFS($C$7:$C930,$C930))</f>
        <v/>
      </c>
    </row>
    <row r="931">
      <c r="A931" s="6" t="n"/>
      <c r="B931" s="113">
        <f>IF($D931="","","T"&amp;TEXT(ROW()-6,"00000"))</f>
        <v/>
      </c>
      <c r="C931" s="113">
        <f>IF($D931="","",IFERROR(INDEX(MUSTERILER!$B$7:$B$106,MATCH($D931,MUSTERILER!$C$7:$C$106,0)),IFERROR(INDEX(MUSTERILER!$B$7:$B$106,MATCH($D931,MUSTERILER!$B$7:$B$106,0)),IFERROR(INDEX(MUSTERILER!$B$7:$B$106,MATCH($D931&amp;"*",MUSTERILER!$C$7:$C$106,0)),"TANIMSIZ MÜŞTERİ"))))</f>
        <v/>
      </c>
      <c r="D931" s="109" t="n"/>
      <c r="E931" s="225" t="n"/>
      <c r="F931" s="226" t="n"/>
      <c r="G931" s="108" t="n"/>
      <c r="H931" s="108" t="n"/>
      <c r="I931" s="109" t="n"/>
      <c r="J931" s="109" t="n"/>
      <c r="K931" s="109" t="n"/>
      <c r="L931" s="231">
        <f>IF($E931="","",DATE(YEAR($E931),MONTH($E931),1))</f>
        <v/>
      </c>
      <c r="M931" s="113">
        <f>IF($D931="","",IF($C931="TANIMSIZ MÜŞTERİ","HATA",IF(OR($E931="",$F931&lt;=0,$G931=""),"EKSİK",IF($E931&gt;TODAY(),"İLERİ TARİH","UYGUN"))))</f>
        <v/>
      </c>
      <c r="N931" s="121">
        <f>IF($C931="","",IF($C931="TANIMSIZ MÜŞTERİ","—",INDEX(MUSTERILER!$C$7:$C$106,MATCH($C931,MUSTERILER!$B$7:$B$106,0))))</f>
        <v/>
      </c>
      <c r="O931" s="6" t="n"/>
      <c r="P931" s="6" t="n"/>
      <c r="Q931" s="3">
        <f>IF($D931="","",$C931&amp;"|"&amp;COUNTIFS($C$7:$C931,$C931))</f>
        <v/>
      </c>
    </row>
    <row r="932">
      <c r="A932" s="6" t="n"/>
      <c r="B932" s="113">
        <f>IF($D932="","","T"&amp;TEXT(ROW()-6,"00000"))</f>
        <v/>
      </c>
      <c r="C932" s="113">
        <f>IF($D932="","",IFERROR(INDEX(MUSTERILER!$B$7:$B$106,MATCH($D932,MUSTERILER!$C$7:$C$106,0)),IFERROR(INDEX(MUSTERILER!$B$7:$B$106,MATCH($D932,MUSTERILER!$B$7:$B$106,0)),IFERROR(INDEX(MUSTERILER!$B$7:$B$106,MATCH($D932&amp;"*",MUSTERILER!$C$7:$C$106,0)),"TANIMSIZ MÜŞTERİ"))))</f>
        <v/>
      </c>
      <c r="D932" s="109" t="n"/>
      <c r="E932" s="225" t="n"/>
      <c r="F932" s="226" t="n"/>
      <c r="G932" s="108" t="n"/>
      <c r="H932" s="108" t="n"/>
      <c r="I932" s="109" t="n"/>
      <c r="J932" s="109" t="n"/>
      <c r="K932" s="109" t="n"/>
      <c r="L932" s="231">
        <f>IF($E932="","",DATE(YEAR($E932),MONTH($E932),1))</f>
        <v/>
      </c>
      <c r="M932" s="113">
        <f>IF($D932="","",IF($C932="TANIMSIZ MÜŞTERİ","HATA",IF(OR($E932="",$F932&lt;=0,$G932=""),"EKSİK",IF($E932&gt;TODAY(),"İLERİ TARİH","UYGUN"))))</f>
        <v/>
      </c>
      <c r="N932" s="121">
        <f>IF($C932="","",IF($C932="TANIMSIZ MÜŞTERİ","—",INDEX(MUSTERILER!$C$7:$C$106,MATCH($C932,MUSTERILER!$B$7:$B$106,0))))</f>
        <v/>
      </c>
      <c r="O932" s="6" t="n"/>
      <c r="P932" s="6" t="n"/>
      <c r="Q932" s="3">
        <f>IF($D932="","",$C932&amp;"|"&amp;COUNTIFS($C$7:$C932,$C932))</f>
        <v/>
      </c>
    </row>
    <row r="933">
      <c r="A933" s="6" t="n"/>
      <c r="B933" s="113">
        <f>IF($D933="","","T"&amp;TEXT(ROW()-6,"00000"))</f>
        <v/>
      </c>
      <c r="C933" s="113">
        <f>IF($D933="","",IFERROR(INDEX(MUSTERILER!$B$7:$B$106,MATCH($D933,MUSTERILER!$C$7:$C$106,0)),IFERROR(INDEX(MUSTERILER!$B$7:$B$106,MATCH($D933,MUSTERILER!$B$7:$B$106,0)),IFERROR(INDEX(MUSTERILER!$B$7:$B$106,MATCH($D933&amp;"*",MUSTERILER!$C$7:$C$106,0)),"TANIMSIZ MÜŞTERİ"))))</f>
        <v/>
      </c>
      <c r="D933" s="109" t="n"/>
      <c r="E933" s="225" t="n"/>
      <c r="F933" s="226" t="n"/>
      <c r="G933" s="108" t="n"/>
      <c r="H933" s="108" t="n"/>
      <c r="I933" s="109" t="n"/>
      <c r="J933" s="109" t="n"/>
      <c r="K933" s="109" t="n"/>
      <c r="L933" s="231">
        <f>IF($E933="","",DATE(YEAR($E933),MONTH($E933),1))</f>
        <v/>
      </c>
      <c r="M933" s="113">
        <f>IF($D933="","",IF($C933="TANIMSIZ MÜŞTERİ","HATA",IF(OR($E933="",$F933&lt;=0,$G933=""),"EKSİK",IF($E933&gt;TODAY(),"İLERİ TARİH","UYGUN"))))</f>
        <v/>
      </c>
      <c r="N933" s="121">
        <f>IF($C933="","",IF($C933="TANIMSIZ MÜŞTERİ","—",INDEX(MUSTERILER!$C$7:$C$106,MATCH($C933,MUSTERILER!$B$7:$B$106,0))))</f>
        <v/>
      </c>
      <c r="O933" s="6" t="n"/>
      <c r="P933" s="6" t="n"/>
      <c r="Q933" s="3">
        <f>IF($D933="","",$C933&amp;"|"&amp;COUNTIFS($C$7:$C933,$C933))</f>
        <v/>
      </c>
    </row>
    <row r="934">
      <c r="A934" s="6" t="n"/>
      <c r="B934" s="113">
        <f>IF($D934="","","T"&amp;TEXT(ROW()-6,"00000"))</f>
        <v/>
      </c>
      <c r="C934" s="113">
        <f>IF($D934="","",IFERROR(INDEX(MUSTERILER!$B$7:$B$106,MATCH($D934,MUSTERILER!$C$7:$C$106,0)),IFERROR(INDEX(MUSTERILER!$B$7:$B$106,MATCH($D934,MUSTERILER!$B$7:$B$106,0)),IFERROR(INDEX(MUSTERILER!$B$7:$B$106,MATCH($D934&amp;"*",MUSTERILER!$C$7:$C$106,0)),"TANIMSIZ MÜŞTERİ"))))</f>
        <v/>
      </c>
      <c r="D934" s="109" t="n"/>
      <c r="E934" s="225" t="n"/>
      <c r="F934" s="226" t="n"/>
      <c r="G934" s="108" t="n"/>
      <c r="H934" s="108" t="n"/>
      <c r="I934" s="109" t="n"/>
      <c r="J934" s="109" t="n"/>
      <c r="K934" s="109" t="n"/>
      <c r="L934" s="231">
        <f>IF($E934="","",DATE(YEAR($E934),MONTH($E934),1))</f>
        <v/>
      </c>
      <c r="M934" s="113">
        <f>IF($D934="","",IF($C934="TANIMSIZ MÜŞTERİ","HATA",IF(OR($E934="",$F934&lt;=0,$G934=""),"EKSİK",IF($E934&gt;TODAY(),"İLERİ TARİH","UYGUN"))))</f>
        <v/>
      </c>
      <c r="N934" s="121">
        <f>IF($C934="","",IF($C934="TANIMSIZ MÜŞTERİ","—",INDEX(MUSTERILER!$C$7:$C$106,MATCH($C934,MUSTERILER!$B$7:$B$106,0))))</f>
        <v/>
      </c>
      <c r="O934" s="6" t="n"/>
      <c r="P934" s="6" t="n"/>
      <c r="Q934" s="3">
        <f>IF($D934="","",$C934&amp;"|"&amp;COUNTIFS($C$7:$C934,$C934))</f>
        <v/>
      </c>
    </row>
    <row r="935">
      <c r="A935" s="6" t="n"/>
      <c r="B935" s="113">
        <f>IF($D935="","","T"&amp;TEXT(ROW()-6,"00000"))</f>
        <v/>
      </c>
      <c r="C935" s="113">
        <f>IF($D935="","",IFERROR(INDEX(MUSTERILER!$B$7:$B$106,MATCH($D935,MUSTERILER!$C$7:$C$106,0)),IFERROR(INDEX(MUSTERILER!$B$7:$B$106,MATCH($D935,MUSTERILER!$B$7:$B$106,0)),IFERROR(INDEX(MUSTERILER!$B$7:$B$106,MATCH($D935&amp;"*",MUSTERILER!$C$7:$C$106,0)),"TANIMSIZ MÜŞTERİ"))))</f>
        <v/>
      </c>
      <c r="D935" s="109" t="n"/>
      <c r="E935" s="225" t="n"/>
      <c r="F935" s="226" t="n"/>
      <c r="G935" s="108" t="n"/>
      <c r="H935" s="108" t="n"/>
      <c r="I935" s="109" t="n"/>
      <c r="J935" s="109" t="n"/>
      <c r="K935" s="109" t="n"/>
      <c r="L935" s="231">
        <f>IF($E935="","",DATE(YEAR($E935),MONTH($E935),1))</f>
        <v/>
      </c>
      <c r="M935" s="113">
        <f>IF($D935="","",IF($C935="TANIMSIZ MÜŞTERİ","HATA",IF(OR($E935="",$F935&lt;=0,$G935=""),"EKSİK",IF($E935&gt;TODAY(),"İLERİ TARİH","UYGUN"))))</f>
        <v/>
      </c>
      <c r="N935" s="121">
        <f>IF($C935="","",IF($C935="TANIMSIZ MÜŞTERİ","—",INDEX(MUSTERILER!$C$7:$C$106,MATCH($C935,MUSTERILER!$B$7:$B$106,0))))</f>
        <v/>
      </c>
      <c r="O935" s="6" t="n"/>
      <c r="P935" s="6" t="n"/>
      <c r="Q935" s="3">
        <f>IF($D935="","",$C935&amp;"|"&amp;COUNTIFS($C$7:$C935,$C935))</f>
        <v/>
      </c>
    </row>
    <row r="936">
      <c r="A936" s="6" t="n"/>
      <c r="B936" s="113">
        <f>IF($D936="","","T"&amp;TEXT(ROW()-6,"00000"))</f>
        <v/>
      </c>
      <c r="C936" s="113">
        <f>IF($D936="","",IFERROR(INDEX(MUSTERILER!$B$7:$B$106,MATCH($D936,MUSTERILER!$C$7:$C$106,0)),IFERROR(INDEX(MUSTERILER!$B$7:$B$106,MATCH($D936,MUSTERILER!$B$7:$B$106,0)),IFERROR(INDEX(MUSTERILER!$B$7:$B$106,MATCH($D936&amp;"*",MUSTERILER!$C$7:$C$106,0)),"TANIMSIZ MÜŞTERİ"))))</f>
        <v/>
      </c>
      <c r="D936" s="109" t="n"/>
      <c r="E936" s="225" t="n"/>
      <c r="F936" s="226" t="n"/>
      <c r="G936" s="108" t="n"/>
      <c r="H936" s="108" t="n"/>
      <c r="I936" s="109" t="n"/>
      <c r="J936" s="109" t="n"/>
      <c r="K936" s="109" t="n"/>
      <c r="L936" s="231">
        <f>IF($E936="","",DATE(YEAR($E936),MONTH($E936),1))</f>
        <v/>
      </c>
      <c r="M936" s="113">
        <f>IF($D936="","",IF($C936="TANIMSIZ MÜŞTERİ","HATA",IF(OR($E936="",$F936&lt;=0,$G936=""),"EKSİK",IF($E936&gt;TODAY(),"İLERİ TARİH","UYGUN"))))</f>
        <v/>
      </c>
      <c r="N936" s="121">
        <f>IF($C936="","",IF($C936="TANIMSIZ MÜŞTERİ","—",INDEX(MUSTERILER!$C$7:$C$106,MATCH($C936,MUSTERILER!$B$7:$B$106,0))))</f>
        <v/>
      </c>
      <c r="O936" s="6" t="n"/>
      <c r="P936" s="6" t="n"/>
      <c r="Q936" s="3">
        <f>IF($D936="","",$C936&amp;"|"&amp;COUNTIFS($C$7:$C936,$C936))</f>
        <v/>
      </c>
    </row>
    <row r="937">
      <c r="A937" s="6" t="n"/>
      <c r="B937" s="113">
        <f>IF($D937="","","T"&amp;TEXT(ROW()-6,"00000"))</f>
        <v/>
      </c>
      <c r="C937" s="113">
        <f>IF($D937="","",IFERROR(INDEX(MUSTERILER!$B$7:$B$106,MATCH($D937,MUSTERILER!$C$7:$C$106,0)),IFERROR(INDEX(MUSTERILER!$B$7:$B$106,MATCH($D937,MUSTERILER!$B$7:$B$106,0)),IFERROR(INDEX(MUSTERILER!$B$7:$B$106,MATCH($D937&amp;"*",MUSTERILER!$C$7:$C$106,0)),"TANIMSIZ MÜŞTERİ"))))</f>
        <v/>
      </c>
      <c r="D937" s="109" t="n"/>
      <c r="E937" s="225" t="n"/>
      <c r="F937" s="226" t="n"/>
      <c r="G937" s="108" t="n"/>
      <c r="H937" s="108" t="n"/>
      <c r="I937" s="109" t="n"/>
      <c r="J937" s="109" t="n"/>
      <c r="K937" s="109" t="n"/>
      <c r="L937" s="231">
        <f>IF($E937="","",DATE(YEAR($E937),MONTH($E937),1))</f>
        <v/>
      </c>
      <c r="M937" s="113">
        <f>IF($D937="","",IF($C937="TANIMSIZ MÜŞTERİ","HATA",IF(OR($E937="",$F937&lt;=0,$G937=""),"EKSİK",IF($E937&gt;TODAY(),"İLERİ TARİH","UYGUN"))))</f>
        <v/>
      </c>
      <c r="N937" s="121">
        <f>IF($C937="","",IF($C937="TANIMSIZ MÜŞTERİ","—",INDEX(MUSTERILER!$C$7:$C$106,MATCH($C937,MUSTERILER!$B$7:$B$106,0))))</f>
        <v/>
      </c>
      <c r="O937" s="6" t="n"/>
      <c r="P937" s="6" t="n"/>
      <c r="Q937" s="3">
        <f>IF($D937="","",$C937&amp;"|"&amp;COUNTIFS($C$7:$C937,$C937))</f>
        <v/>
      </c>
    </row>
    <row r="938">
      <c r="A938" s="6" t="n"/>
      <c r="B938" s="113">
        <f>IF($D938="","","T"&amp;TEXT(ROW()-6,"00000"))</f>
        <v/>
      </c>
      <c r="C938" s="113">
        <f>IF($D938="","",IFERROR(INDEX(MUSTERILER!$B$7:$B$106,MATCH($D938,MUSTERILER!$C$7:$C$106,0)),IFERROR(INDEX(MUSTERILER!$B$7:$B$106,MATCH($D938,MUSTERILER!$B$7:$B$106,0)),IFERROR(INDEX(MUSTERILER!$B$7:$B$106,MATCH($D938&amp;"*",MUSTERILER!$C$7:$C$106,0)),"TANIMSIZ MÜŞTERİ"))))</f>
        <v/>
      </c>
      <c r="D938" s="109" t="n"/>
      <c r="E938" s="225" t="n"/>
      <c r="F938" s="226" t="n"/>
      <c r="G938" s="108" t="n"/>
      <c r="H938" s="108" t="n"/>
      <c r="I938" s="109" t="n"/>
      <c r="J938" s="109" t="n"/>
      <c r="K938" s="109" t="n"/>
      <c r="L938" s="231">
        <f>IF($E938="","",DATE(YEAR($E938),MONTH($E938),1))</f>
        <v/>
      </c>
      <c r="M938" s="113">
        <f>IF($D938="","",IF($C938="TANIMSIZ MÜŞTERİ","HATA",IF(OR($E938="",$F938&lt;=0,$G938=""),"EKSİK",IF($E938&gt;TODAY(),"İLERİ TARİH","UYGUN"))))</f>
        <v/>
      </c>
      <c r="N938" s="121">
        <f>IF($C938="","",IF($C938="TANIMSIZ MÜŞTERİ","—",INDEX(MUSTERILER!$C$7:$C$106,MATCH($C938,MUSTERILER!$B$7:$B$106,0))))</f>
        <v/>
      </c>
      <c r="O938" s="6" t="n"/>
      <c r="P938" s="6" t="n"/>
      <c r="Q938" s="3">
        <f>IF($D938="","",$C938&amp;"|"&amp;COUNTIFS($C$7:$C938,$C938))</f>
        <v/>
      </c>
    </row>
    <row r="939">
      <c r="A939" s="6" t="n"/>
      <c r="B939" s="113">
        <f>IF($D939="","","T"&amp;TEXT(ROW()-6,"00000"))</f>
        <v/>
      </c>
      <c r="C939" s="113">
        <f>IF($D939="","",IFERROR(INDEX(MUSTERILER!$B$7:$B$106,MATCH($D939,MUSTERILER!$C$7:$C$106,0)),IFERROR(INDEX(MUSTERILER!$B$7:$B$106,MATCH($D939,MUSTERILER!$B$7:$B$106,0)),IFERROR(INDEX(MUSTERILER!$B$7:$B$106,MATCH($D939&amp;"*",MUSTERILER!$C$7:$C$106,0)),"TANIMSIZ MÜŞTERİ"))))</f>
        <v/>
      </c>
      <c r="D939" s="109" t="n"/>
      <c r="E939" s="225" t="n"/>
      <c r="F939" s="226" t="n"/>
      <c r="G939" s="108" t="n"/>
      <c r="H939" s="108" t="n"/>
      <c r="I939" s="109" t="n"/>
      <c r="J939" s="109" t="n"/>
      <c r="K939" s="109" t="n"/>
      <c r="L939" s="231">
        <f>IF($E939="","",DATE(YEAR($E939),MONTH($E939),1))</f>
        <v/>
      </c>
      <c r="M939" s="113">
        <f>IF($D939="","",IF($C939="TANIMSIZ MÜŞTERİ","HATA",IF(OR($E939="",$F939&lt;=0,$G939=""),"EKSİK",IF($E939&gt;TODAY(),"İLERİ TARİH","UYGUN"))))</f>
        <v/>
      </c>
      <c r="N939" s="121">
        <f>IF($C939="","",IF($C939="TANIMSIZ MÜŞTERİ","—",INDEX(MUSTERILER!$C$7:$C$106,MATCH($C939,MUSTERILER!$B$7:$B$106,0))))</f>
        <v/>
      </c>
      <c r="O939" s="6" t="n"/>
      <c r="P939" s="6" t="n"/>
      <c r="Q939" s="3">
        <f>IF($D939="","",$C939&amp;"|"&amp;COUNTIFS($C$7:$C939,$C939))</f>
        <v/>
      </c>
    </row>
    <row r="940">
      <c r="A940" s="6" t="n"/>
      <c r="B940" s="113">
        <f>IF($D940="","","T"&amp;TEXT(ROW()-6,"00000"))</f>
        <v/>
      </c>
      <c r="C940" s="113">
        <f>IF($D940="","",IFERROR(INDEX(MUSTERILER!$B$7:$B$106,MATCH($D940,MUSTERILER!$C$7:$C$106,0)),IFERROR(INDEX(MUSTERILER!$B$7:$B$106,MATCH($D940,MUSTERILER!$B$7:$B$106,0)),IFERROR(INDEX(MUSTERILER!$B$7:$B$106,MATCH($D940&amp;"*",MUSTERILER!$C$7:$C$106,0)),"TANIMSIZ MÜŞTERİ"))))</f>
        <v/>
      </c>
      <c r="D940" s="109" t="n"/>
      <c r="E940" s="225" t="n"/>
      <c r="F940" s="226" t="n"/>
      <c r="G940" s="108" t="n"/>
      <c r="H940" s="108" t="n"/>
      <c r="I940" s="109" t="n"/>
      <c r="J940" s="109" t="n"/>
      <c r="K940" s="109" t="n"/>
      <c r="L940" s="231">
        <f>IF($E940="","",DATE(YEAR($E940),MONTH($E940),1))</f>
        <v/>
      </c>
      <c r="M940" s="113">
        <f>IF($D940="","",IF($C940="TANIMSIZ MÜŞTERİ","HATA",IF(OR($E940="",$F940&lt;=0,$G940=""),"EKSİK",IF($E940&gt;TODAY(),"İLERİ TARİH","UYGUN"))))</f>
        <v/>
      </c>
      <c r="N940" s="121">
        <f>IF($C940="","",IF($C940="TANIMSIZ MÜŞTERİ","—",INDEX(MUSTERILER!$C$7:$C$106,MATCH($C940,MUSTERILER!$B$7:$B$106,0))))</f>
        <v/>
      </c>
      <c r="O940" s="6" t="n"/>
      <c r="P940" s="6" t="n"/>
      <c r="Q940" s="3">
        <f>IF($D940="","",$C940&amp;"|"&amp;COUNTIFS($C$7:$C940,$C940))</f>
        <v/>
      </c>
    </row>
    <row r="941">
      <c r="A941" s="6" t="n"/>
      <c r="B941" s="113">
        <f>IF($D941="","","T"&amp;TEXT(ROW()-6,"00000"))</f>
        <v/>
      </c>
      <c r="C941" s="113">
        <f>IF($D941="","",IFERROR(INDEX(MUSTERILER!$B$7:$B$106,MATCH($D941,MUSTERILER!$C$7:$C$106,0)),IFERROR(INDEX(MUSTERILER!$B$7:$B$106,MATCH($D941,MUSTERILER!$B$7:$B$106,0)),IFERROR(INDEX(MUSTERILER!$B$7:$B$106,MATCH($D941&amp;"*",MUSTERILER!$C$7:$C$106,0)),"TANIMSIZ MÜŞTERİ"))))</f>
        <v/>
      </c>
      <c r="D941" s="109" t="n"/>
      <c r="E941" s="225" t="n"/>
      <c r="F941" s="226" t="n"/>
      <c r="G941" s="108" t="n"/>
      <c r="H941" s="108" t="n"/>
      <c r="I941" s="109" t="n"/>
      <c r="J941" s="109" t="n"/>
      <c r="K941" s="109" t="n"/>
      <c r="L941" s="231">
        <f>IF($E941="","",DATE(YEAR($E941),MONTH($E941),1))</f>
        <v/>
      </c>
      <c r="M941" s="113">
        <f>IF($D941="","",IF($C941="TANIMSIZ MÜŞTERİ","HATA",IF(OR($E941="",$F941&lt;=0,$G941=""),"EKSİK",IF($E941&gt;TODAY(),"İLERİ TARİH","UYGUN"))))</f>
        <v/>
      </c>
      <c r="N941" s="121">
        <f>IF($C941="","",IF($C941="TANIMSIZ MÜŞTERİ","—",INDEX(MUSTERILER!$C$7:$C$106,MATCH($C941,MUSTERILER!$B$7:$B$106,0))))</f>
        <v/>
      </c>
      <c r="O941" s="6" t="n"/>
      <c r="P941" s="6" t="n"/>
      <c r="Q941" s="3">
        <f>IF($D941="","",$C941&amp;"|"&amp;COUNTIFS($C$7:$C941,$C941))</f>
        <v/>
      </c>
    </row>
    <row r="942">
      <c r="A942" s="6" t="n"/>
      <c r="B942" s="113">
        <f>IF($D942="","","T"&amp;TEXT(ROW()-6,"00000"))</f>
        <v/>
      </c>
      <c r="C942" s="113">
        <f>IF($D942="","",IFERROR(INDEX(MUSTERILER!$B$7:$B$106,MATCH($D942,MUSTERILER!$C$7:$C$106,0)),IFERROR(INDEX(MUSTERILER!$B$7:$B$106,MATCH($D942,MUSTERILER!$B$7:$B$106,0)),IFERROR(INDEX(MUSTERILER!$B$7:$B$106,MATCH($D942&amp;"*",MUSTERILER!$C$7:$C$106,0)),"TANIMSIZ MÜŞTERİ"))))</f>
        <v/>
      </c>
      <c r="D942" s="109" t="n"/>
      <c r="E942" s="225" t="n"/>
      <c r="F942" s="226" t="n"/>
      <c r="G942" s="108" t="n"/>
      <c r="H942" s="108" t="n"/>
      <c r="I942" s="109" t="n"/>
      <c r="J942" s="109" t="n"/>
      <c r="K942" s="109" t="n"/>
      <c r="L942" s="231">
        <f>IF($E942="","",DATE(YEAR($E942),MONTH($E942),1))</f>
        <v/>
      </c>
      <c r="M942" s="113">
        <f>IF($D942="","",IF($C942="TANIMSIZ MÜŞTERİ","HATA",IF(OR($E942="",$F942&lt;=0,$G942=""),"EKSİK",IF($E942&gt;TODAY(),"İLERİ TARİH","UYGUN"))))</f>
        <v/>
      </c>
      <c r="N942" s="121">
        <f>IF($C942="","",IF($C942="TANIMSIZ MÜŞTERİ","—",INDEX(MUSTERILER!$C$7:$C$106,MATCH($C942,MUSTERILER!$B$7:$B$106,0))))</f>
        <v/>
      </c>
      <c r="O942" s="6" t="n"/>
      <c r="P942" s="6" t="n"/>
      <c r="Q942" s="3">
        <f>IF($D942="","",$C942&amp;"|"&amp;COUNTIFS($C$7:$C942,$C942))</f>
        <v/>
      </c>
    </row>
    <row r="943">
      <c r="A943" s="6" t="n"/>
      <c r="B943" s="113">
        <f>IF($D943="","","T"&amp;TEXT(ROW()-6,"00000"))</f>
        <v/>
      </c>
      <c r="C943" s="113">
        <f>IF($D943="","",IFERROR(INDEX(MUSTERILER!$B$7:$B$106,MATCH($D943,MUSTERILER!$C$7:$C$106,0)),IFERROR(INDEX(MUSTERILER!$B$7:$B$106,MATCH($D943,MUSTERILER!$B$7:$B$106,0)),IFERROR(INDEX(MUSTERILER!$B$7:$B$106,MATCH($D943&amp;"*",MUSTERILER!$C$7:$C$106,0)),"TANIMSIZ MÜŞTERİ"))))</f>
        <v/>
      </c>
      <c r="D943" s="109" t="n"/>
      <c r="E943" s="225" t="n"/>
      <c r="F943" s="226" t="n"/>
      <c r="G943" s="108" t="n"/>
      <c r="H943" s="108" t="n"/>
      <c r="I943" s="109" t="n"/>
      <c r="J943" s="109" t="n"/>
      <c r="K943" s="109" t="n"/>
      <c r="L943" s="231">
        <f>IF($E943="","",DATE(YEAR($E943),MONTH($E943),1))</f>
        <v/>
      </c>
      <c r="M943" s="113">
        <f>IF($D943="","",IF($C943="TANIMSIZ MÜŞTERİ","HATA",IF(OR($E943="",$F943&lt;=0,$G943=""),"EKSİK",IF($E943&gt;TODAY(),"İLERİ TARİH","UYGUN"))))</f>
        <v/>
      </c>
      <c r="N943" s="121">
        <f>IF($C943="","",IF($C943="TANIMSIZ MÜŞTERİ","—",INDEX(MUSTERILER!$C$7:$C$106,MATCH($C943,MUSTERILER!$B$7:$B$106,0))))</f>
        <v/>
      </c>
      <c r="O943" s="6" t="n"/>
      <c r="P943" s="6" t="n"/>
      <c r="Q943" s="3">
        <f>IF($D943="","",$C943&amp;"|"&amp;COUNTIFS($C$7:$C943,$C943))</f>
        <v/>
      </c>
    </row>
    <row r="944">
      <c r="A944" s="6" t="n"/>
      <c r="B944" s="113">
        <f>IF($D944="","","T"&amp;TEXT(ROW()-6,"00000"))</f>
        <v/>
      </c>
      <c r="C944" s="113">
        <f>IF($D944="","",IFERROR(INDEX(MUSTERILER!$B$7:$B$106,MATCH($D944,MUSTERILER!$C$7:$C$106,0)),IFERROR(INDEX(MUSTERILER!$B$7:$B$106,MATCH($D944,MUSTERILER!$B$7:$B$106,0)),IFERROR(INDEX(MUSTERILER!$B$7:$B$106,MATCH($D944&amp;"*",MUSTERILER!$C$7:$C$106,0)),"TANIMSIZ MÜŞTERİ"))))</f>
        <v/>
      </c>
      <c r="D944" s="109" t="n"/>
      <c r="E944" s="225" t="n"/>
      <c r="F944" s="226" t="n"/>
      <c r="G944" s="108" t="n"/>
      <c r="H944" s="108" t="n"/>
      <c r="I944" s="109" t="n"/>
      <c r="J944" s="109" t="n"/>
      <c r="K944" s="109" t="n"/>
      <c r="L944" s="231">
        <f>IF($E944="","",DATE(YEAR($E944),MONTH($E944),1))</f>
        <v/>
      </c>
      <c r="M944" s="113">
        <f>IF($D944="","",IF($C944="TANIMSIZ MÜŞTERİ","HATA",IF(OR($E944="",$F944&lt;=0,$G944=""),"EKSİK",IF($E944&gt;TODAY(),"İLERİ TARİH","UYGUN"))))</f>
        <v/>
      </c>
      <c r="N944" s="121">
        <f>IF($C944="","",IF($C944="TANIMSIZ MÜŞTERİ","—",INDEX(MUSTERILER!$C$7:$C$106,MATCH($C944,MUSTERILER!$B$7:$B$106,0))))</f>
        <v/>
      </c>
      <c r="O944" s="6" t="n"/>
      <c r="P944" s="6" t="n"/>
      <c r="Q944" s="3">
        <f>IF($D944="","",$C944&amp;"|"&amp;COUNTIFS($C$7:$C944,$C944))</f>
        <v/>
      </c>
    </row>
    <row r="945">
      <c r="A945" s="6" t="n"/>
      <c r="B945" s="113">
        <f>IF($D945="","","T"&amp;TEXT(ROW()-6,"00000"))</f>
        <v/>
      </c>
      <c r="C945" s="113">
        <f>IF($D945="","",IFERROR(INDEX(MUSTERILER!$B$7:$B$106,MATCH($D945,MUSTERILER!$C$7:$C$106,0)),IFERROR(INDEX(MUSTERILER!$B$7:$B$106,MATCH($D945,MUSTERILER!$B$7:$B$106,0)),IFERROR(INDEX(MUSTERILER!$B$7:$B$106,MATCH($D945&amp;"*",MUSTERILER!$C$7:$C$106,0)),"TANIMSIZ MÜŞTERİ"))))</f>
        <v/>
      </c>
      <c r="D945" s="109" t="n"/>
      <c r="E945" s="225" t="n"/>
      <c r="F945" s="226" t="n"/>
      <c r="G945" s="108" t="n"/>
      <c r="H945" s="108" t="n"/>
      <c r="I945" s="109" t="n"/>
      <c r="J945" s="109" t="n"/>
      <c r="K945" s="109" t="n"/>
      <c r="L945" s="231">
        <f>IF($E945="","",DATE(YEAR($E945),MONTH($E945),1))</f>
        <v/>
      </c>
      <c r="M945" s="113">
        <f>IF($D945="","",IF($C945="TANIMSIZ MÜŞTERİ","HATA",IF(OR($E945="",$F945&lt;=0,$G945=""),"EKSİK",IF($E945&gt;TODAY(),"İLERİ TARİH","UYGUN"))))</f>
        <v/>
      </c>
      <c r="N945" s="121">
        <f>IF($C945="","",IF($C945="TANIMSIZ MÜŞTERİ","—",INDEX(MUSTERILER!$C$7:$C$106,MATCH($C945,MUSTERILER!$B$7:$B$106,0))))</f>
        <v/>
      </c>
      <c r="O945" s="6" t="n"/>
      <c r="P945" s="6" t="n"/>
      <c r="Q945" s="3">
        <f>IF($D945="","",$C945&amp;"|"&amp;COUNTIFS($C$7:$C945,$C945))</f>
        <v/>
      </c>
    </row>
    <row r="946">
      <c r="A946" s="6" t="n"/>
      <c r="B946" s="113">
        <f>IF($D946="","","T"&amp;TEXT(ROW()-6,"00000"))</f>
        <v/>
      </c>
      <c r="C946" s="113">
        <f>IF($D946="","",IFERROR(INDEX(MUSTERILER!$B$7:$B$106,MATCH($D946,MUSTERILER!$C$7:$C$106,0)),IFERROR(INDEX(MUSTERILER!$B$7:$B$106,MATCH($D946,MUSTERILER!$B$7:$B$106,0)),IFERROR(INDEX(MUSTERILER!$B$7:$B$106,MATCH($D946&amp;"*",MUSTERILER!$C$7:$C$106,0)),"TANIMSIZ MÜŞTERİ"))))</f>
        <v/>
      </c>
      <c r="D946" s="109" t="n"/>
      <c r="E946" s="225" t="n"/>
      <c r="F946" s="226" t="n"/>
      <c r="G946" s="108" t="n"/>
      <c r="H946" s="108" t="n"/>
      <c r="I946" s="109" t="n"/>
      <c r="J946" s="109" t="n"/>
      <c r="K946" s="109" t="n"/>
      <c r="L946" s="231">
        <f>IF($E946="","",DATE(YEAR($E946),MONTH($E946),1))</f>
        <v/>
      </c>
      <c r="M946" s="113">
        <f>IF($D946="","",IF($C946="TANIMSIZ MÜŞTERİ","HATA",IF(OR($E946="",$F946&lt;=0,$G946=""),"EKSİK",IF($E946&gt;TODAY(),"İLERİ TARİH","UYGUN"))))</f>
        <v/>
      </c>
      <c r="N946" s="121">
        <f>IF($C946="","",IF($C946="TANIMSIZ MÜŞTERİ","—",INDEX(MUSTERILER!$C$7:$C$106,MATCH($C946,MUSTERILER!$B$7:$B$106,0))))</f>
        <v/>
      </c>
      <c r="O946" s="6" t="n"/>
      <c r="P946" s="6" t="n"/>
      <c r="Q946" s="3">
        <f>IF($D946="","",$C946&amp;"|"&amp;COUNTIFS($C$7:$C946,$C946))</f>
        <v/>
      </c>
    </row>
    <row r="947">
      <c r="A947" s="6" t="n"/>
      <c r="B947" s="113">
        <f>IF($D947="","","T"&amp;TEXT(ROW()-6,"00000"))</f>
        <v/>
      </c>
      <c r="C947" s="113">
        <f>IF($D947="","",IFERROR(INDEX(MUSTERILER!$B$7:$B$106,MATCH($D947,MUSTERILER!$C$7:$C$106,0)),IFERROR(INDEX(MUSTERILER!$B$7:$B$106,MATCH($D947,MUSTERILER!$B$7:$B$106,0)),IFERROR(INDEX(MUSTERILER!$B$7:$B$106,MATCH($D947&amp;"*",MUSTERILER!$C$7:$C$106,0)),"TANIMSIZ MÜŞTERİ"))))</f>
        <v/>
      </c>
      <c r="D947" s="109" t="n"/>
      <c r="E947" s="225" t="n"/>
      <c r="F947" s="226" t="n"/>
      <c r="G947" s="108" t="n"/>
      <c r="H947" s="108" t="n"/>
      <c r="I947" s="109" t="n"/>
      <c r="J947" s="109" t="n"/>
      <c r="K947" s="109" t="n"/>
      <c r="L947" s="231">
        <f>IF($E947="","",DATE(YEAR($E947),MONTH($E947),1))</f>
        <v/>
      </c>
      <c r="M947" s="113">
        <f>IF($D947="","",IF($C947="TANIMSIZ MÜŞTERİ","HATA",IF(OR($E947="",$F947&lt;=0,$G947=""),"EKSİK",IF($E947&gt;TODAY(),"İLERİ TARİH","UYGUN"))))</f>
        <v/>
      </c>
      <c r="N947" s="121">
        <f>IF($C947="","",IF($C947="TANIMSIZ MÜŞTERİ","—",INDEX(MUSTERILER!$C$7:$C$106,MATCH($C947,MUSTERILER!$B$7:$B$106,0))))</f>
        <v/>
      </c>
      <c r="O947" s="6" t="n"/>
      <c r="P947" s="6" t="n"/>
      <c r="Q947" s="3">
        <f>IF($D947="","",$C947&amp;"|"&amp;COUNTIFS($C$7:$C947,$C947))</f>
        <v/>
      </c>
    </row>
    <row r="948">
      <c r="A948" s="6" t="n"/>
      <c r="B948" s="113">
        <f>IF($D948="","","T"&amp;TEXT(ROW()-6,"00000"))</f>
        <v/>
      </c>
      <c r="C948" s="113">
        <f>IF($D948="","",IFERROR(INDEX(MUSTERILER!$B$7:$B$106,MATCH($D948,MUSTERILER!$C$7:$C$106,0)),IFERROR(INDEX(MUSTERILER!$B$7:$B$106,MATCH($D948,MUSTERILER!$B$7:$B$106,0)),IFERROR(INDEX(MUSTERILER!$B$7:$B$106,MATCH($D948&amp;"*",MUSTERILER!$C$7:$C$106,0)),"TANIMSIZ MÜŞTERİ"))))</f>
        <v/>
      </c>
      <c r="D948" s="109" t="n"/>
      <c r="E948" s="225" t="n"/>
      <c r="F948" s="226" t="n"/>
      <c r="G948" s="108" t="n"/>
      <c r="H948" s="108" t="n"/>
      <c r="I948" s="109" t="n"/>
      <c r="J948" s="109" t="n"/>
      <c r="K948" s="109" t="n"/>
      <c r="L948" s="231">
        <f>IF($E948="","",DATE(YEAR($E948),MONTH($E948),1))</f>
        <v/>
      </c>
      <c r="M948" s="113">
        <f>IF($D948="","",IF($C948="TANIMSIZ MÜŞTERİ","HATA",IF(OR($E948="",$F948&lt;=0,$G948=""),"EKSİK",IF($E948&gt;TODAY(),"İLERİ TARİH","UYGUN"))))</f>
        <v/>
      </c>
      <c r="N948" s="121">
        <f>IF($C948="","",IF($C948="TANIMSIZ MÜŞTERİ","—",INDEX(MUSTERILER!$C$7:$C$106,MATCH($C948,MUSTERILER!$B$7:$B$106,0))))</f>
        <v/>
      </c>
      <c r="O948" s="6" t="n"/>
      <c r="P948" s="6" t="n"/>
      <c r="Q948" s="3">
        <f>IF($D948="","",$C948&amp;"|"&amp;COUNTIFS($C$7:$C948,$C948))</f>
        <v/>
      </c>
    </row>
    <row r="949">
      <c r="A949" s="6" t="n"/>
      <c r="B949" s="113">
        <f>IF($D949="","","T"&amp;TEXT(ROW()-6,"00000"))</f>
        <v/>
      </c>
      <c r="C949" s="113">
        <f>IF($D949="","",IFERROR(INDEX(MUSTERILER!$B$7:$B$106,MATCH($D949,MUSTERILER!$C$7:$C$106,0)),IFERROR(INDEX(MUSTERILER!$B$7:$B$106,MATCH($D949,MUSTERILER!$B$7:$B$106,0)),IFERROR(INDEX(MUSTERILER!$B$7:$B$106,MATCH($D949&amp;"*",MUSTERILER!$C$7:$C$106,0)),"TANIMSIZ MÜŞTERİ"))))</f>
        <v/>
      </c>
      <c r="D949" s="109" t="n"/>
      <c r="E949" s="225" t="n"/>
      <c r="F949" s="226" t="n"/>
      <c r="G949" s="108" t="n"/>
      <c r="H949" s="108" t="n"/>
      <c r="I949" s="109" t="n"/>
      <c r="J949" s="109" t="n"/>
      <c r="K949" s="109" t="n"/>
      <c r="L949" s="231">
        <f>IF($E949="","",DATE(YEAR($E949),MONTH($E949),1))</f>
        <v/>
      </c>
      <c r="M949" s="113">
        <f>IF($D949="","",IF($C949="TANIMSIZ MÜŞTERİ","HATA",IF(OR($E949="",$F949&lt;=0,$G949=""),"EKSİK",IF($E949&gt;TODAY(),"İLERİ TARİH","UYGUN"))))</f>
        <v/>
      </c>
      <c r="N949" s="121">
        <f>IF($C949="","",IF($C949="TANIMSIZ MÜŞTERİ","—",INDEX(MUSTERILER!$C$7:$C$106,MATCH($C949,MUSTERILER!$B$7:$B$106,0))))</f>
        <v/>
      </c>
      <c r="O949" s="6" t="n"/>
      <c r="P949" s="6" t="n"/>
      <c r="Q949" s="3">
        <f>IF($D949="","",$C949&amp;"|"&amp;COUNTIFS($C$7:$C949,$C949))</f>
        <v/>
      </c>
    </row>
    <row r="950">
      <c r="A950" s="6" t="n"/>
      <c r="B950" s="113">
        <f>IF($D950="","","T"&amp;TEXT(ROW()-6,"00000"))</f>
        <v/>
      </c>
      <c r="C950" s="113">
        <f>IF($D950="","",IFERROR(INDEX(MUSTERILER!$B$7:$B$106,MATCH($D950,MUSTERILER!$C$7:$C$106,0)),IFERROR(INDEX(MUSTERILER!$B$7:$B$106,MATCH($D950,MUSTERILER!$B$7:$B$106,0)),IFERROR(INDEX(MUSTERILER!$B$7:$B$106,MATCH($D950&amp;"*",MUSTERILER!$C$7:$C$106,0)),"TANIMSIZ MÜŞTERİ"))))</f>
        <v/>
      </c>
      <c r="D950" s="109" t="n"/>
      <c r="E950" s="225" t="n"/>
      <c r="F950" s="226" t="n"/>
      <c r="G950" s="108" t="n"/>
      <c r="H950" s="108" t="n"/>
      <c r="I950" s="109" t="n"/>
      <c r="J950" s="109" t="n"/>
      <c r="K950" s="109" t="n"/>
      <c r="L950" s="231">
        <f>IF($E950="","",DATE(YEAR($E950),MONTH($E950),1))</f>
        <v/>
      </c>
      <c r="M950" s="113">
        <f>IF($D950="","",IF($C950="TANIMSIZ MÜŞTERİ","HATA",IF(OR($E950="",$F950&lt;=0,$G950=""),"EKSİK",IF($E950&gt;TODAY(),"İLERİ TARİH","UYGUN"))))</f>
        <v/>
      </c>
      <c r="N950" s="121">
        <f>IF($C950="","",IF($C950="TANIMSIZ MÜŞTERİ","—",INDEX(MUSTERILER!$C$7:$C$106,MATCH($C950,MUSTERILER!$B$7:$B$106,0))))</f>
        <v/>
      </c>
      <c r="O950" s="6" t="n"/>
      <c r="P950" s="6" t="n"/>
      <c r="Q950" s="3">
        <f>IF($D950="","",$C950&amp;"|"&amp;COUNTIFS($C$7:$C950,$C950))</f>
        <v/>
      </c>
    </row>
    <row r="951">
      <c r="A951" s="6" t="n"/>
      <c r="B951" s="113">
        <f>IF($D951="","","T"&amp;TEXT(ROW()-6,"00000"))</f>
        <v/>
      </c>
      <c r="C951" s="113">
        <f>IF($D951="","",IFERROR(INDEX(MUSTERILER!$B$7:$B$106,MATCH($D951,MUSTERILER!$C$7:$C$106,0)),IFERROR(INDEX(MUSTERILER!$B$7:$B$106,MATCH($D951,MUSTERILER!$B$7:$B$106,0)),IFERROR(INDEX(MUSTERILER!$B$7:$B$106,MATCH($D951&amp;"*",MUSTERILER!$C$7:$C$106,0)),"TANIMSIZ MÜŞTERİ"))))</f>
        <v/>
      </c>
      <c r="D951" s="109" t="n"/>
      <c r="E951" s="225" t="n"/>
      <c r="F951" s="226" t="n"/>
      <c r="G951" s="108" t="n"/>
      <c r="H951" s="108" t="n"/>
      <c r="I951" s="109" t="n"/>
      <c r="J951" s="109" t="n"/>
      <c r="K951" s="109" t="n"/>
      <c r="L951" s="231">
        <f>IF($E951="","",DATE(YEAR($E951),MONTH($E951),1))</f>
        <v/>
      </c>
      <c r="M951" s="113">
        <f>IF($D951="","",IF($C951="TANIMSIZ MÜŞTERİ","HATA",IF(OR($E951="",$F951&lt;=0,$G951=""),"EKSİK",IF($E951&gt;TODAY(),"İLERİ TARİH","UYGUN"))))</f>
        <v/>
      </c>
      <c r="N951" s="121">
        <f>IF($C951="","",IF($C951="TANIMSIZ MÜŞTERİ","—",INDEX(MUSTERILER!$C$7:$C$106,MATCH($C951,MUSTERILER!$B$7:$B$106,0))))</f>
        <v/>
      </c>
      <c r="O951" s="6" t="n"/>
      <c r="P951" s="6" t="n"/>
      <c r="Q951" s="3">
        <f>IF($D951="","",$C951&amp;"|"&amp;COUNTIFS($C$7:$C951,$C951))</f>
        <v/>
      </c>
    </row>
    <row r="952">
      <c r="A952" s="6" t="n"/>
      <c r="B952" s="113">
        <f>IF($D952="","","T"&amp;TEXT(ROW()-6,"00000"))</f>
        <v/>
      </c>
      <c r="C952" s="113">
        <f>IF($D952="","",IFERROR(INDEX(MUSTERILER!$B$7:$B$106,MATCH($D952,MUSTERILER!$C$7:$C$106,0)),IFERROR(INDEX(MUSTERILER!$B$7:$B$106,MATCH($D952,MUSTERILER!$B$7:$B$106,0)),IFERROR(INDEX(MUSTERILER!$B$7:$B$106,MATCH($D952&amp;"*",MUSTERILER!$C$7:$C$106,0)),"TANIMSIZ MÜŞTERİ"))))</f>
        <v/>
      </c>
      <c r="D952" s="109" t="n"/>
      <c r="E952" s="225" t="n"/>
      <c r="F952" s="226" t="n"/>
      <c r="G952" s="108" t="n"/>
      <c r="H952" s="108" t="n"/>
      <c r="I952" s="109" t="n"/>
      <c r="J952" s="109" t="n"/>
      <c r="K952" s="109" t="n"/>
      <c r="L952" s="231">
        <f>IF($E952="","",DATE(YEAR($E952),MONTH($E952),1))</f>
        <v/>
      </c>
      <c r="M952" s="113">
        <f>IF($D952="","",IF($C952="TANIMSIZ MÜŞTERİ","HATA",IF(OR($E952="",$F952&lt;=0,$G952=""),"EKSİK",IF($E952&gt;TODAY(),"İLERİ TARİH","UYGUN"))))</f>
        <v/>
      </c>
      <c r="N952" s="121">
        <f>IF($C952="","",IF($C952="TANIMSIZ MÜŞTERİ","—",INDEX(MUSTERILER!$C$7:$C$106,MATCH($C952,MUSTERILER!$B$7:$B$106,0))))</f>
        <v/>
      </c>
      <c r="O952" s="6" t="n"/>
      <c r="P952" s="6" t="n"/>
      <c r="Q952" s="3">
        <f>IF($D952="","",$C952&amp;"|"&amp;COUNTIFS($C$7:$C952,$C952))</f>
        <v/>
      </c>
    </row>
    <row r="953">
      <c r="A953" s="6" t="n"/>
      <c r="B953" s="113">
        <f>IF($D953="","","T"&amp;TEXT(ROW()-6,"00000"))</f>
        <v/>
      </c>
      <c r="C953" s="113">
        <f>IF($D953="","",IFERROR(INDEX(MUSTERILER!$B$7:$B$106,MATCH($D953,MUSTERILER!$C$7:$C$106,0)),IFERROR(INDEX(MUSTERILER!$B$7:$B$106,MATCH($D953,MUSTERILER!$B$7:$B$106,0)),IFERROR(INDEX(MUSTERILER!$B$7:$B$106,MATCH($D953&amp;"*",MUSTERILER!$C$7:$C$106,0)),"TANIMSIZ MÜŞTERİ"))))</f>
        <v/>
      </c>
      <c r="D953" s="109" t="n"/>
      <c r="E953" s="225" t="n"/>
      <c r="F953" s="226" t="n"/>
      <c r="G953" s="108" t="n"/>
      <c r="H953" s="108" t="n"/>
      <c r="I953" s="109" t="n"/>
      <c r="J953" s="109" t="n"/>
      <c r="K953" s="109" t="n"/>
      <c r="L953" s="231">
        <f>IF($E953="","",DATE(YEAR($E953),MONTH($E953),1))</f>
        <v/>
      </c>
      <c r="M953" s="113">
        <f>IF($D953="","",IF($C953="TANIMSIZ MÜŞTERİ","HATA",IF(OR($E953="",$F953&lt;=0,$G953=""),"EKSİK",IF($E953&gt;TODAY(),"İLERİ TARİH","UYGUN"))))</f>
        <v/>
      </c>
      <c r="N953" s="121">
        <f>IF($C953="","",IF($C953="TANIMSIZ MÜŞTERİ","—",INDEX(MUSTERILER!$C$7:$C$106,MATCH($C953,MUSTERILER!$B$7:$B$106,0))))</f>
        <v/>
      </c>
      <c r="O953" s="6" t="n"/>
      <c r="P953" s="6" t="n"/>
      <c r="Q953" s="3">
        <f>IF($D953="","",$C953&amp;"|"&amp;COUNTIFS($C$7:$C953,$C953))</f>
        <v/>
      </c>
    </row>
    <row r="954">
      <c r="A954" s="6" t="n"/>
      <c r="B954" s="113">
        <f>IF($D954="","","T"&amp;TEXT(ROW()-6,"00000"))</f>
        <v/>
      </c>
      <c r="C954" s="113">
        <f>IF($D954="","",IFERROR(INDEX(MUSTERILER!$B$7:$B$106,MATCH($D954,MUSTERILER!$C$7:$C$106,0)),IFERROR(INDEX(MUSTERILER!$B$7:$B$106,MATCH($D954,MUSTERILER!$B$7:$B$106,0)),IFERROR(INDEX(MUSTERILER!$B$7:$B$106,MATCH($D954&amp;"*",MUSTERILER!$C$7:$C$106,0)),"TANIMSIZ MÜŞTERİ"))))</f>
        <v/>
      </c>
      <c r="D954" s="109" t="n"/>
      <c r="E954" s="225" t="n"/>
      <c r="F954" s="226" t="n"/>
      <c r="G954" s="108" t="n"/>
      <c r="H954" s="108" t="n"/>
      <c r="I954" s="109" t="n"/>
      <c r="J954" s="109" t="n"/>
      <c r="K954" s="109" t="n"/>
      <c r="L954" s="231">
        <f>IF($E954="","",DATE(YEAR($E954),MONTH($E954),1))</f>
        <v/>
      </c>
      <c r="M954" s="113">
        <f>IF($D954="","",IF($C954="TANIMSIZ MÜŞTERİ","HATA",IF(OR($E954="",$F954&lt;=0,$G954=""),"EKSİK",IF($E954&gt;TODAY(),"İLERİ TARİH","UYGUN"))))</f>
        <v/>
      </c>
      <c r="N954" s="121">
        <f>IF($C954="","",IF($C954="TANIMSIZ MÜŞTERİ","—",INDEX(MUSTERILER!$C$7:$C$106,MATCH($C954,MUSTERILER!$B$7:$B$106,0))))</f>
        <v/>
      </c>
      <c r="O954" s="6" t="n"/>
      <c r="P954" s="6" t="n"/>
      <c r="Q954" s="3">
        <f>IF($D954="","",$C954&amp;"|"&amp;COUNTIFS($C$7:$C954,$C954))</f>
        <v/>
      </c>
    </row>
    <row r="955">
      <c r="A955" s="6" t="n"/>
      <c r="B955" s="113">
        <f>IF($D955="","","T"&amp;TEXT(ROW()-6,"00000"))</f>
        <v/>
      </c>
      <c r="C955" s="113">
        <f>IF($D955="","",IFERROR(INDEX(MUSTERILER!$B$7:$B$106,MATCH($D955,MUSTERILER!$C$7:$C$106,0)),IFERROR(INDEX(MUSTERILER!$B$7:$B$106,MATCH($D955,MUSTERILER!$B$7:$B$106,0)),IFERROR(INDEX(MUSTERILER!$B$7:$B$106,MATCH($D955&amp;"*",MUSTERILER!$C$7:$C$106,0)),"TANIMSIZ MÜŞTERİ"))))</f>
        <v/>
      </c>
      <c r="D955" s="109" t="n"/>
      <c r="E955" s="225" t="n"/>
      <c r="F955" s="226" t="n"/>
      <c r="G955" s="108" t="n"/>
      <c r="H955" s="108" t="n"/>
      <c r="I955" s="109" t="n"/>
      <c r="J955" s="109" t="n"/>
      <c r="K955" s="109" t="n"/>
      <c r="L955" s="231">
        <f>IF($E955="","",DATE(YEAR($E955),MONTH($E955),1))</f>
        <v/>
      </c>
      <c r="M955" s="113">
        <f>IF($D955="","",IF($C955="TANIMSIZ MÜŞTERİ","HATA",IF(OR($E955="",$F955&lt;=0,$G955=""),"EKSİK",IF($E955&gt;TODAY(),"İLERİ TARİH","UYGUN"))))</f>
        <v/>
      </c>
      <c r="N955" s="121">
        <f>IF($C955="","",IF($C955="TANIMSIZ MÜŞTERİ","—",INDEX(MUSTERILER!$C$7:$C$106,MATCH($C955,MUSTERILER!$B$7:$B$106,0))))</f>
        <v/>
      </c>
      <c r="O955" s="6" t="n"/>
      <c r="P955" s="6" t="n"/>
      <c r="Q955" s="3">
        <f>IF($D955="","",$C955&amp;"|"&amp;COUNTIFS($C$7:$C955,$C955))</f>
        <v/>
      </c>
    </row>
    <row r="956">
      <c r="A956" s="6" t="n"/>
      <c r="B956" s="113">
        <f>IF($D956="","","T"&amp;TEXT(ROW()-6,"00000"))</f>
        <v/>
      </c>
      <c r="C956" s="113">
        <f>IF($D956="","",IFERROR(INDEX(MUSTERILER!$B$7:$B$106,MATCH($D956,MUSTERILER!$C$7:$C$106,0)),IFERROR(INDEX(MUSTERILER!$B$7:$B$106,MATCH($D956,MUSTERILER!$B$7:$B$106,0)),IFERROR(INDEX(MUSTERILER!$B$7:$B$106,MATCH($D956&amp;"*",MUSTERILER!$C$7:$C$106,0)),"TANIMSIZ MÜŞTERİ"))))</f>
        <v/>
      </c>
      <c r="D956" s="109" t="n"/>
      <c r="E956" s="225" t="n"/>
      <c r="F956" s="226" t="n"/>
      <c r="G956" s="108" t="n"/>
      <c r="H956" s="108" t="n"/>
      <c r="I956" s="109" t="n"/>
      <c r="J956" s="109" t="n"/>
      <c r="K956" s="109" t="n"/>
      <c r="L956" s="231">
        <f>IF($E956="","",DATE(YEAR($E956),MONTH($E956),1))</f>
        <v/>
      </c>
      <c r="M956" s="113">
        <f>IF($D956="","",IF($C956="TANIMSIZ MÜŞTERİ","HATA",IF(OR($E956="",$F956&lt;=0,$G956=""),"EKSİK",IF($E956&gt;TODAY(),"İLERİ TARİH","UYGUN"))))</f>
        <v/>
      </c>
      <c r="N956" s="121">
        <f>IF($C956="","",IF($C956="TANIMSIZ MÜŞTERİ","—",INDEX(MUSTERILER!$C$7:$C$106,MATCH($C956,MUSTERILER!$B$7:$B$106,0))))</f>
        <v/>
      </c>
      <c r="O956" s="6" t="n"/>
      <c r="P956" s="6" t="n"/>
      <c r="Q956" s="3">
        <f>IF($D956="","",$C956&amp;"|"&amp;COUNTIFS($C$7:$C956,$C956))</f>
        <v/>
      </c>
    </row>
    <row r="957">
      <c r="A957" s="6" t="n"/>
      <c r="B957" s="113">
        <f>IF($D957="","","T"&amp;TEXT(ROW()-6,"00000"))</f>
        <v/>
      </c>
      <c r="C957" s="113">
        <f>IF($D957="","",IFERROR(INDEX(MUSTERILER!$B$7:$B$106,MATCH($D957,MUSTERILER!$C$7:$C$106,0)),IFERROR(INDEX(MUSTERILER!$B$7:$B$106,MATCH($D957,MUSTERILER!$B$7:$B$106,0)),IFERROR(INDEX(MUSTERILER!$B$7:$B$106,MATCH($D957&amp;"*",MUSTERILER!$C$7:$C$106,0)),"TANIMSIZ MÜŞTERİ"))))</f>
        <v/>
      </c>
      <c r="D957" s="109" t="n"/>
      <c r="E957" s="225" t="n"/>
      <c r="F957" s="226" t="n"/>
      <c r="G957" s="108" t="n"/>
      <c r="H957" s="108" t="n"/>
      <c r="I957" s="109" t="n"/>
      <c r="J957" s="109" t="n"/>
      <c r="K957" s="109" t="n"/>
      <c r="L957" s="231">
        <f>IF($E957="","",DATE(YEAR($E957),MONTH($E957),1))</f>
        <v/>
      </c>
      <c r="M957" s="113">
        <f>IF($D957="","",IF($C957="TANIMSIZ MÜŞTERİ","HATA",IF(OR($E957="",$F957&lt;=0,$G957=""),"EKSİK",IF($E957&gt;TODAY(),"İLERİ TARİH","UYGUN"))))</f>
        <v/>
      </c>
      <c r="N957" s="121">
        <f>IF($C957="","",IF($C957="TANIMSIZ MÜŞTERİ","—",INDEX(MUSTERILER!$C$7:$C$106,MATCH($C957,MUSTERILER!$B$7:$B$106,0))))</f>
        <v/>
      </c>
      <c r="O957" s="6" t="n"/>
      <c r="P957" s="6" t="n"/>
      <c r="Q957" s="3">
        <f>IF($D957="","",$C957&amp;"|"&amp;COUNTIFS($C$7:$C957,$C957))</f>
        <v/>
      </c>
    </row>
    <row r="958">
      <c r="A958" s="6" t="n"/>
      <c r="B958" s="113">
        <f>IF($D958="","","T"&amp;TEXT(ROW()-6,"00000"))</f>
        <v/>
      </c>
      <c r="C958" s="113">
        <f>IF($D958="","",IFERROR(INDEX(MUSTERILER!$B$7:$B$106,MATCH($D958,MUSTERILER!$C$7:$C$106,0)),IFERROR(INDEX(MUSTERILER!$B$7:$B$106,MATCH($D958,MUSTERILER!$B$7:$B$106,0)),IFERROR(INDEX(MUSTERILER!$B$7:$B$106,MATCH($D958&amp;"*",MUSTERILER!$C$7:$C$106,0)),"TANIMSIZ MÜŞTERİ"))))</f>
        <v/>
      </c>
      <c r="D958" s="109" t="n"/>
      <c r="E958" s="225" t="n"/>
      <c r="F958" s="226" t="n"/>
      <c r="G958" s="108" t="n"/>
      <c r="H958" s="108" t="n"/>
      <c r="I958" s="109" t="n"/>
      <c r="J958" s="109" t="n"/>
      <c r="K958" s="109" t="n"/>
      <c r="L958" s="231">
        <f>IF($E958="","",DATE(YEAR($E958),MONTH($E958),1))</f>
        <v/>
      </c>
      <c r="M958" s="113">
        <f>IF($D958="","",IF($C958="TANIMSIZ MÜŞTERİ","HATA",IF(OR($E958="",$F958&lt;=0,$G958=""),"EKSİK",IF($E958&gt;TODAY(),"İLERİ TARİH","UYGUN"))))</f>
        <v/>
      </c>
      <c r="N958" s="121">
        <f>IF($C958="","",IF($C958="TANIMSIZ MÜŞTERİ","—",INDEX(MUSTERILER!$C$7:$C$106,MATCH($C958,MUSTERILER!$B$7:$B$106,0))))</f>
        <v/>
      </c>
      <c r="O958" s="6" t="n"/>
      <c r="P958" s="6" t="n"/>
      <c r="Q958" s="3">
        <f>IF($D958="","",$C958&amp;"|"&amp;COUNTIFS($C$7:$C958,$C958))</f>
        <v/>
      </c>
    </row>
    <row r="959">
      <c r="A959" s="6" t="n"/>
      <c r="B959" s="113">
        <f>IF($D959="","","T"&amp;TEXT(ROW()-6,"00000"))</f>
        <v/>
      </c>
      <c r="C959" s="113">
        <f>IF($D959="","",IFERROR(INDEX(MUSTERILER!$B$7:$B$106,MATCH($D959,MUSTERILER!$C$7:$C$106,0)),IFERROR(INDEX(MUSTERILER!$B$7:$B$106,MATCH($D959,MUSTERILER!$B$7:$B$106,0)),IFERROR(INDEX(MUSTERILER!$B$7:$B$106,MATCH($D959&amp;"*",MUSTERILER!$C$7:$C$106,0)),"TANIMSIZ MÜŞTERİ"))))</f>
        <v/>
      </c>
      <c r="D959" s="109" t="n"/>
      <c r="E959" s="225" t="n"/>
      <c r="F959" s="226" t="n"/>
      <c r="G959" s="108" t="n"/>
      <c r="H959" s="108" t="n"/>
      <c r="I959" s="109" t="n"/>
      <c r="J959" s="109" t="n"/>
      <c r="K959" s="109" t="n"/>
      <c r="L959" s="231">
        <f>IF($E959="","",DATE(YEAR($E959),MONTH($E959),1))</f>
        <v/>
      </c>
      <c r="M959" s="113">
        <f>IF($D959="","",IF($C959="TANIMSIZ MÜŞTERİ","HATA",IF(OR($E959="",$F959&lt;=0,$G959=""),"EKSİK",IF($E959&gt;TODAY(),"İLERİ TARİH","UYGUN"))))</f>
        <v/>
      </c>
      <c r="N959" s="121">
        <f>IF($C959="","",IF($C959="TANIMSIZ MÜŞTERİ","—",INDEX(MUSTERILER!$C$7:$C$106,MATCH($C959,MUSTERILER!$B$7:$B$106,0))))</f>
        <v/>
      </c>
      <c r="O959" s="6" t="n"/>
      <c r="P959" s="6" t="n"/>
      <c r="Q959" s="3">
        <f>IF($D959="","",$C959&amp;"|"&amp;COUNTIFS($C$7:$C959,$C959))</f>
        <v/>
      </c>
    </row>
    <row r="960">
      <c r="A960" s="6" t="n"/>
      <c r="B960" s="113">
        <f>IF($D960="","","T"&amp;TEXT(ROW()-6,"00000"))</f>
        <v/>
      </c>
      <c r="C960" s="113">
        <f>IF($D960="","",IFERROR(INDEX(MUSTERILER!$B$7:$B$106,MATCH($D960,MUSTERILER!$C$7:$C$106,0)),IFERROR(INDEX(MUSTERILER!$B$7:$B$106,MATCH($D960,MUSTERILER!$B$7:$B$106,0)),IFERROR(INDEX(MUSTERILER!$B$7:$B$106,MATCH($D960&amp;"*",MUSTERILER!$C$7:$C$106,0)),"TANIMSIZ MÜŞTERİ"))))</f>
        <v/>
      </c>
      <c r="D960" s="109" t="n"/>
      <c r="E960" s="225" t="n"/>
      <c r="F960" s="226" t="n"/>
      <c r="G960" s="108" t="n"/>
      <c r="H960" s="108" t="n"/>
      <c r="I960" s="109" t="n"/>
      <c r="J960" s="109" t="n"/>
      <c r="K960" s="109" t="n"/>
      <c r="L960" s="231">
        <f>IF($E960="","",DATE(YEAR($E960),MONTH($E960),1))</f>
        <v/>
      </c>
      <c r="M960" s="113">
        <f>IF($D960="","",IF($C960="TANIMSIZ MÜŞTERİ","HATA",IF(OR($E960="",$F960&lt;=0,$G960=""),"EKSİK",IF($E960&gt;TODAY(),"İLERİ TARİH","UYGUN"))))</f>
        <v/>
      </c>
      <c r="N960" s="121">
        <f>IF($C960="","",IF($C960="TANIMSIZ MÜŞTERİ","—",INDEX(MUSTERILER!$C$7:$C$106,MATCH($C960,MUSTERILER!$B$7:$B$106,0))))</f>
        <v/>
      </c>
      <c r="O960" s="6" t="n"/>
      <c r="P960" s="6" t="n"/>
      <c r="Q960" s="3">
        <f>IF($D960="","",$C960&amp;"|"&amp;COUNTIFS($C$7:$C960,$C960))</f>
        <v/>
      </c>
    </row>
    <row r="961">
      <c r="A961" s="6" t="n"/>
      <c r="B961" s="113">
        <f>IF($D961="","","T"&amp;TEXT(ROW()-6,"00000"))</f>
        <v/>
      </c>
      <c r="C961" s="113">
        <f>IF($D961="","",IFERROR(INDEX(MUSTERILER!$B$7:$B$106,MATCH($D961,MUSTERILER!$C$7:$C$106,0)),IFERROR(INDEX(MUSTERILER!$B$7:$B$106,MATCH($D961,MUSTERILER!$B$7:$B$106,0)),IFERROR(INDEX(MUSTERILER!$B$7:$B$106,MATCH($D961&amp;"*",MUSTERILER!$C$7:$C$106,0)),"TANIMSIZ MÜŞTERİ"))))</f>
        <v/>
      </c>
      <c r="D961" s="109" t="n"/>
      <c r="E961" s="225" t="n"/>
      <c r="F961" s="226" t="n"/>
      <c r="G961" s="108" t="n"/>
      <c r="H961" s="108" t="n"/>
      <c r="I961" s="109" t="n"/>
      <c r="J961" s="109" t="n"/>
      <c r="K961" s="109" t="n"/>
      <c r="L961" s="231">
        <f>IF($E961="","",DATE(YEAR($E961),MONTH($E961),1))</f>
        <v/>
      </c>
      <c r="M961" s="113">
        <f>IF($D961="","",IF($C961="TANIMSIZ MÜŞTERİ","HATA",IF(OR($E961="",$F961&lt;=0,$G961=""),"EKSİK",IF($E961&gt;TODAY(),"İLERİ TARİH","UYGUN"))))</f>
        <v/>
      </c>
      <c r="N961" s="121">
        <f>IF($C961="","",IF($C961="TANIMSIZ MÜŞTERİ","—",INDEX(MUSTERILER!$C$7:$C$106,MATCH($C961,MUSTERILER!$B$7:$B$106,0))))</f>
        <v/>
      </c>
      <c r="O961" s="6" t="n"/>
      <c r="P961" s="6" t="n"/>
      <c r="Q961" s="3">
        <f>IF($D961="","",$C961&amp;"|"&amp;COUNTIFS($C$7:$C961,$C961))</f>
        <v/>
      </c>
    </row>
    <row r="962">
      <c r="A962" s="6" t="n"/>
      <c r="B962" s="113">
        <f>IF($D962="","","T"&amp;TEXT(ROW()-6,"00000"))</f>
        <v/>
      </c>
      <c r="C962" s="113">
        <f>IF($D962="","",IFERROR(INDEX(MUSTERILER!$B$7:$B$106,MATCH($D962,MUSTERILER!$C$7:$C$106,0)),IFERROR(INDEX(MUSTERILER!$B$7:$B$106,MATCH($D962,MUSTERILER!$B$7:$B$106,0)),IFERROR(INDEX(MUSTERILER!$B$7:$B$106,MATCH($D962&amp;"*",MUSTERILER!$C$7:$C$106,0)),"TANIMSIZ MÜŞTERİ"))))</f>
        <v/>
      </c>
      <c r="D962" s="109" t="n"/>
      <c r="E962" s="225" t="n"/>
      <c r="F962" s="226" t="n"/>
      <c r="G962" s="108" t="n"/>
      <c r="H962" s="108" t="n"/>
      <c r="I962" s="109" t="n"/>
      <c r="J962" s="109" t="n"/>
      <c r="K962" s="109" t="n"/>
      <c r="L962" s="231">
        <f>IF($E962="","",DATE(YEAR($E962),MONTH($E962),1))</f>
        <v/>
      </c>
      <c r="M962" s="113">
        <f>IF($D962="","",IF($C962="TANIMSIZ MÜŞTERİ","HATA",IF(OR($E962="",$F962&lt;=0,$G962=""),"EKSİK",IF($E962&gt;TODAY(),"İLERİ TARİH","UYGUN"))))</f>
        <v/>
      </c>
      <c r="N962" s="121">
        <f>IF($C962="","",IF($C962="TANIMSIZ MÜŞTERİ","—",INDEX(MUSTERILER!$C$7:$C$106,MATCH($C962,MUSTERILER!$B$7:$B$106,0))))</f>
        <v/>
      </c>
      <c r="O962" s="6" t="n"/>
      <c r="P962" s="6" t="n"/>
      <c r="Q962" s="3">
        <f>IF($D962="","",$C962&amp;"|"&amp;COUNTIFS($C$7:$C962,$C962))</f>
        <v/>
      </c>
    </row>
    <row r="963">
      <c r="A963" s="6" t="n"/>
      <c r="B963" s="113">
        <f>IF($D963="","","T"&amp;TEXT(ROW()-6,"00000"))</f>
        <v/>
      </c>
      <c r="C963" s="113">
        <f>IF($D963="","",IFERROR(INDEX(MUSTERILER!$B$7:$B$106,MATCH($D963,MUSTERILER!$C$7:$C$106,0)),IFERROR(INDEX(MUSTERILER!$B$7:$B$106,MATCH($D963,MUSTERILER!$B$7:$B$106,0)),IFERROR(INDEX(MUSTERILER!$B$7:$B$106,MATCH($D963&amp;"*",MUSTERILER!$C$7:$C$106,0)),"TANIMSIZ MÜŞTERİ"))))</f>
        <v/>
      </c>
      <c r="D963" s="109" t="n"/>
      <c r="E963" s="225" t="n"/>
      <c r="F963" s="226" t="n"/>
      <c r="G963" s="108" t="n"/>
      <c r="H963" s="108" t="n"/>
      <c r="I963" s="109" t="n"/>
      <c r="J963" s="109" t="n"/>
      <c r="K963" s="109" t="n"/>
      <c r="L963" s="231">
        <f>IF($E963="","",DATE(YEAR($E963),MONTH($E963),1))</f>
        <v/>
      </c>
      <c r="M963" s="113">
        <f>IF($D963="","",IF($C963="TANIMSIZ MÜŞTERİ","HATA",IF(OR($E963="",$F963&lt;=0,$G963=""),"EKSİK",IF($E963&gt;TODAY(),"İLERİ TARİH","UYGUN"))))</f>
        <v/>
      </c>
      <c r="N963" s="121">
        <f>IF($C963="","",IF($C963="TANIMSIZ MÜŞTERİ","—",INDEX(MUSTERILER!$C$7:$C$106,MATCH($C963,MUSTERILER!$B$7:$B$106,0))))</f>
        <v/>
      </c>
      <c r="O963" s="6" t="n"/>
      <c r="P963" s="6" t="n"/>
      <c r="Q963" s="3">
        <f>IF($D963="","",$C963&amp;"|"&amp;COUNTIFS($C$7:$C963,$C963))</f>
        <v/>
      </c>
    </row>
    <row r="964">
      <c r="A964" s="6" t="n"/>
      <c r="B964" s="113">
        <f>IF($D964="","","T"&amp;TEXT(ROW()-6,"00000"))</f>
        <v/>
      </c>
      <c r="C964" s="113">
        <f>IF($D964="","",IFERROR(INDEX(MUSTERILER!$B$7:$B$106,MATCH($D964,MUSTERILER!$C$7:$C$106,0)),IFERROR(INDEX(MUSTERILER!$B$7:$B$106,MATCH($D964,MUSTERILER!$B$7:$B$106,0)),IFERROR(INDEX(MUSTERILER!$B$7:$B$106,MATCH($D964&amp;"*",MUSTERILER!$C$7:$C$106,0)),"TANIMSIZ MÜŞTERİ"))))</f>
        <v/>
      </c>
      <c r="D964" s="109" t="n"/>
      <c r="E964" s="225" t="n"/>
      <c r="F964" s="226" t="n"/>
      <c r="G964" s="108" t="n"/>
      <c r="H964" s="108" t="n"/>
      <c r="I964" s="109" t="n"/>
      <c r="J964" s="109" t="n"/>
      <c r="K964" s="109" t="n"/>
      <c r="L964" s="231">
        <f>IF($E964="","",DATE(YEAR($E964),MONTH($E964),1))</f>
        <v/>
      </c>
      <c r="M964" s="113">
        <f>IF($D964="","",IF($C964="TANIMSIZ MÜŞTERİ","HATA",IF(OR($E964="",$F964&lt;=0,$G964=""),"EKSİK",IF($E964&gt;TODAY(),"İLERİ TARİH","UYGUN"))))</f>
        <v/>
      </c>
      <c r="N964" s="121">
        <f>IF($C964="","",IF($C964="TANIMSIZ MÜŞTERİ","—",INDEX(MUSTERILER!$C$7:$C$106,MATCH($C964,MUSTERILER!$B$7:$B$106,0))))</f>
        <v/>
      </c>
      <c r="O964" s="6" t="n"/>
      <c r="P964" s="6" t="n"/>
      <c r="Q964" s="3">
        <f>IF($D964="","",$C964&amp;"|"&amp;COUNTIFS($C$7:$C964,$C964))</f>
        <v/>
      </c>
    </row>
    <row r="965">
      <c r="A965" s="6" t="n"/>
      <c r="B965" s="113">
        <f>IF($D965="","","T"&amp;TEXT(ROW()-6,"00000"))</f>
        <v/>
      </c>
      <c r="C965" s="113">
        <f>IF($D965="","",IFERROR(INDEX(MUSTERILER!$B$7:$B$106,MATCH($D965,MUSTERILER!$C$7:$C$106,0)),IFERROR(INDEX(MUSTERILER!$B$7:$B$106,MATCH($D965,MUSTERILER!$B$7:$B$106,0)),IFERROR(INDEX(MUSTERILER!$B$7:$B$106,MATCH($D965&amp;"*",MUSTERILER!$C$7:$C$106,0)),"TANIMSIZ MÜŞTERİ"))))</f>
        <v/>
      </c>
      <c r="D965" s="109" t="n"/>
      <c r="E965" s="225" t="n"/>
      <c r="F965" s="226" t="n"/>
      <c r="G965" s="108" t="n"/>
      <c r="H965" s="108" t="n"/>
      <c r="I965" s="109" t="n"/>
      <c r="J965" s="109" t="n"/>
      <c r="K965" s="109" t="n"/>
      <c r="L965" s="231">
        <f>IF($E965="","",DATE(YEAR($E965),MONTH($E965),1))</f>
        <v/>
      </c>
      <c r="M965" s="113">
        <f>IF($D965="","",IF($C965="TANIMSIZ MÜŞTERİ","HATA",IF(OR($E965="",$F965&lt;=0,$G965=""),"EKSİK",IF($E965&gt;TODAY(),"İLERİ TARİH","UYGUN"))))</f>
        <v/>
      </c>
      <c r="N965" s="121">
        <f>IF($C965="","",IF($C965="TANIMSIZ MÜŞTERİ","—",INDEX(MUSTERILER!$C$7:$C$106,MATCH($C965,MUSTERILER!$B$7:$B$106,0))))</f>
        <v/>
      </c>
      <c r="O965" s="6" t="n"/>
      <c r="P965" s="6" t="n"/>
      <c r="Q965" s="3">
        <f>IF($D965="","",$C965&amp;"|"&amp;COUNTIFS($C$7:$C965,$C965))</f>
        <v/>
      </c>
    </row>
    <row r="966">
      <c r="A966" s="6" t="n"/>
      <c r="B966" s="113">
        <f>IF($D966="","","T"&amp;TEXT(ROW()-6,"00000"))</f>
        <v/>
      </c>
      <c r="C966" s="113">
        <f>IF($D966="","",IFERROR(INDEX(MUSTERILER!$B$7:$B$106,MATCH($D966,MUSTERILER!$C$7:$C$106,0)),IFERROR(INDEX(MUSTERILER!$B$7:$B$106,MATCH($D966,MUSTERILER!$B$7:$B$106,0)),IFERROR(INDEX(MUSTERILER!$B$7:$B$106,MATCH($D966&amp;"*",MUSTERILER!$C$7:$C$106,0)),"TANIMSIZ MÜŞTERİ"))))</f>
        <v/>
      </c>
      <c r="D966" s="109" t="n"/>
      <c r="E966" s="225" t="n"/>
      <c r="F966" s="226" t="n"/>
      <c r="G966" s="108" t="n"/>
      <c r="H966" s="108" t="n"/>
      <c r="I966" s="109" t="n"/>
      <c r="J966" s="109" t="n"/>
      <c r="K966" s="109" t="n"/>
      <c r="L966" s="231">
        <f>IF($E966="","",DATE(YEAR($E966),MONTH($E966),1))</f>
        <v/>
      </c>
      <c r="M966" s="113">
        <f>IF($D966="","",IF($C966="TANIMSIZ MÜŞTERİ","HATA",IF(OR($E966="",$F966&lt;=0,$G966=""),"EKSİK",IF($E966&gt;TODAY(),"İLERİ TARİH","UYGUN"))))</f>
        <v/>
      </c>
      <c r="N966" s="121">
        <f>IF($C966="","",IF($C966="TANIMSIZ MÜŞTERİ","—",INDEX(MUSTERILER!$C$7:$C$106,MATCH($C966,MUSTERILER!$B$7:$B$106,0))))</f>
        <v/>
      </c>
      <c r="O966" s="6" t="n"/>
      <c r="P966" s="6" t="n"/>
      <c r="Q966" s="3">
        <f>IF($D966="","",$C966&amp;"|"&amp;COUNTIFS($C$7:$C966,$C966))</f>
        <v/>
      </c>
    </row>
    <row r="967">
      <c r="A967" s="6" t="n"/>
      <c r="B967" s="113">
        <f>IF($D967="","","T"&amp;TEXT(ROW()-6,"00000"))</f>
        <v/>
      </c>
      <c r="C967" s="113">
        <f>IF($D967="","",IFERROR(INDEX(MUSTERILER!$B$7:$B$106,MATCH($D967,MUSTERILER!$C$7:$C$106,0)),IFERROR(INDEX(MUSTERILER!$B$7:$B$106,MATCH($D967,MUSTERILER!$B$7:$B$106,0)),IFERROR(INDEX(MUSTERILER!$B$7:$B$106,MATCH($D967&amp;"*",MUSTERILER!$C$7:$C$106,0)),"TANIMSIZ MÜŞTERİ"))))</f>
        <v/>
      </c>
      <c r="D967" s="109" t="n"/>
      <c r="E967" s="225" t="n"/>
      <c r="F967" s="226" t="n"/>
      <c r="G967" s="108" t="n"/>
      <c r="H967" s="108" t="n"/>
      <c r="I967" s="109" t="n"/>
      <c r="J967" s="109" t="n"/>
      <c r="K967" s="109" t="n"/>
      <c r="L967" s="231">
        <f>IF($E967="","",DATE(YEAR($E967),MONTH($E967),1))</f>
        <v/>
      </c>
      <c r="M967" s="113">
        <f>IF($D967="","",IF($C967="TANIMSIZ MÜŞTERİ","HATA",IF(OR($E967="",$F967&lt;=0,$G967=""),"EKSİK",IF($E967&gt;TODAY(),"İLERİ TARİH","UYGUN"))))</f>
        <v/>
      </c>
      <c r="N967" s="121">
        <f>IF($C967="","",IF($C967="TANIMSIZ MÜŞTERİ","—",INDEX(MUSTERILER!$C$7:$C$106,MATCH($C967,MUSTERILER!$B$7:$B$106,0))))</f>
        <v/>
      </c>
      <c r="O967" s="6" t="n"/>
      <c r="P967" s="6" t="n"/>
      <c r="Q967" s="3">
        <f>IF($D967="","",$C967&amp;"|"&amp;COUNTIFS($C$7:$C967,$C967))</f>
        <v/>
      </c>
    </row>
    <row r="968">
      <c r="A968" s="6" t="n"/>
      <c r="B968" s="113">
        <f>IF($D968="","","T"&amp;TEXT(ROW()-6,"00000"))</f>
        <v/>
      </c>
      <c r="C968" s="113">
        <f>IF($D968="","",IFERROR(INDEX(MUSTERILER!$B$7:$B$106,MATCH($D968,MUSTERILER!$C$7:$C$106,0)),IFERROR(INDEX(MUSTERILER!$B$7:$B$106,MATCH($D968,MUSTERILER!$B$7:$B$106,0)),IFERROR(INDEX(MUSTERILER!$B$7:$B$106,MATCH($D968&amp;"*",MUSTERILER!$C$7:$C$106,0)),"TANIMSIZ MÜŞTERİ"))))</f>
        <v/>
      </c>
      <c r="D968" s="109" t="n"/>
      <c r="E968" s="225" t="n"/>
      <c r="F968" s="226" t="n"/>
      <c r="G968" s="108" t="n"/>
      <c r="H968" s="108" t="n"/>
      <c r="I968" s="109" t="n"/>
      <c r="J968" s="109" t="n"/>
      <c r="K968" s="109" t="n"/>
      <c r="L968" s="231">
        <f>IF($E968="","",DATE(YEAR($E968),MONTH($E968),1))</f>
        <v/>
      </c>
      <c r="M968" s="113">
        <f>IF($D968="","",IF($C968="TANIMSIZ MÜŞTERİ","HATA",IF(OR($E968="",$F968&lt;=0,$G968=""),"EKSİK",IF($E968&gt;TODAY(),"İLERİ TARİH","UYGUN"))))</f>
        <v/>
      </c>
      <c r="N968" s="121">
        <f>IF($C968="","",IF($C968="TANIMSIZ MÜŞTERİ","—",INDEX(MUSTERILER!$C$7:$C$106,MATCH($C968,MUSTERILER!$B$7:$B$106,0))))</f>
        <v/>
      </c>
      <c r="O968" s="6" t="n"/>
      <c r="P968" s="6" t="n"/>
      <c r="Q968" s="3">
        <f>IF($D968="","",$C968&amp;"|"&amp;COUNTIFS($C$7:$C968,$C968))</f>
        <v/>
      </c>
    </row>
    <row r="969">
      <c r="A969" s="6" t="n"/>
      <c r="B969" s="113">
        <f>IF($D969="","","T"&amp;TEXT(ROW()-6,"00000"))</f>
        <v/>
      </c>
      <c r="C969" s="113">
        <f>IF($D969="","",IFERROR(INDEX(MUSTERILER!$B$7:$B$106,MATCH($D969,MUSTERILER!$C$7:$C$106,0)),IFERROR(INDEX(MUSTERILER!$B$7:$B$106,MATCH($D969,MUSTERILER!$B$7:$B$106,0)),IFERROR(INDEX(MUSTERILER!$B$7:$B$106,MATCH($D969&amp;"*",MUSTERILER!$C$7:$C$106,0)),"TANIMSIZ MÜŞTERİ"))))</f>
        <v/>
      </c>
      <c r="D969" s="109" t="n"/>
      <c r="E969" s="225" t="n"/>
      <c r="F969" s="226" t="n"/>
      <c r="G969" s="108" t="n"/>
      <c r="H969" s="108" t="n"/>
      <c r="I969" s="109" t="n"/>
      <c r="J969" s="109" t="n"/>
      <c r="K969" s="109" t="n"/>
      <c r="L969" s="231">
        <f>IF($E969="","",DATE(YEAR($E969),MONTH($E969),1))</f>
        <v/>
      </c>
      <c r="M969" s="113">
        <f>IF($D969="","",IF($C969="TANIMSIZ MÜŞTERİ","HATA",IF(OR($E969="",$F969&lt;=0,$G969=""),"EKSİK",IF($E969&gt;TODAY(),"İLERİ TARİH","UYGUN"))))</f>
        <v/>
      </c>
      <c r="N969" s="121">
        <f>IF($C969="","",IF($C969="TANIMSIZ MÜŞTERİ","—",INDEX(MUSTERILER!$C$7:$C$106,MATCH($C969,MUSTERILER!$B$7:$B$106,0))))</f>
        <v/>
      </c>
      <c r="O969" s="6" t="n"/>
      <c r="P969" s="6" t="n"/>
      <c r="Q969" s="3">
        <f>IF($D969="","",$C969&amp;"|"&amp;COUNTIFS($C$7:$C969,$C969))</f>
        <v/>
      </c>
    </row>
    <row r="970">
      <c r="A970" s="6" t="n"/>
      <c r="B970" s="113">
        <f>IF($D970="","","T"&amp;TEXT(ROW()-6,"00000"))</f>
        <v/>
      </c>
      <c r="C970" s="113">
        <f>IF($D970="","",IFERROR(INDEX(MUSTERILER!$B$7:$B$106,MATCH($D970,MUSTERILER!$C$7:$C$106,0)),IFERROR(INDEX(MUSTERILER!$B$7:$B$106,MATCH($D970,MUSTERILER!$B$7:$B$106,0)),IFERROR(INDEX(MUSTERILER!$B$7:$B$106,MATCH($D970&amp;"*",MUSTERILER!$C$7:$C$106,0)),"TANIMSIZ MÜŞTERİ"))))</f>
        <v/>
      </c>
      <c r="D970" s="109" t="n"/>
      <c r="E970" s="225" t="n"/>
      <c r="F970" s="226" t="n"/>
      <c r="G970" s="108" t="n"/>
      <c r="H970" s="108" t="n"/>
      <c r="I970" s="109" t="n"/>
      <c r="J970" s="109" t="n"/>
      <c r="K970" s="109" t="n"/>
      <c r="L970" s="231">
        <f>IF($E970="","",DATE(YEAR($E970),MONTH($E970),1))</f>
        <v/>
      </c>
      <c r="M970" s="113">
        <f>IF($D970="","",IF($C970="TANIMSIZ MÜŞTERİ","HATA",IF(OR($E970="",$F970&lt;=0,$G970=""),"EKSİK",IF($E970&gt;TODAY(),"İLERİ TARİH","UYGUN"))))</f>
        <v/>
      </c>
      <c r="N970" s="121">
        <f>IF($C970="","",IF($C970="TANIMSIZ MÜŞTERİ","—",INDEX(MUSTERILER!$C$7:$C$106,MATCH($C970,MUSTERILER!$B$7:$B$106,0))))</f>
        <v/>
      </c>
      <c r="O970" s="6" t="n"/>
      <c r="P970" s="6" t="n"/>
      <c r="Q970" s="3">
        <f>IF($D970="","",$C970&amp;"|"&amp;COUNTIFS($C$7:$C970,$C970))</f>
        <v/>
      </c>
    </row>
    <row r="971">
      <c r="A971" s="6" t="n"/>
      <c r="B971" s="113">
        <f>IF($D971="","","T"&amp;TEXT(ROW()-6,"00000"))</f>
        <v/>
      </c>
      <c r="C971" s="113">
        <f>IF($D971="","",IFERROR(INDEX(MUSTERILER!$B$7:$B$106,MATCH($D971,MUSTERILER!$C$7:$C$106,0)),IFERROR(INDEX(MUSTERILER!$B$7:$B$106,MATCH($D971,MUSTERILER!$B$7:$B$106,0)),IFERROR(INDEX(MUSTERILER!$B$7:$B$106,MATCH($D971&amp;"*",MUSTERILER!$C$7:$C$106,0)),"TANIMSIZ MÜŞTERİ"))))</f>
        <v/>
      </c>
      <c r="D971" s="109" t="n"/>
      <c r="E971" s="225" t="n"/>
      <c r="F971" s="226" t="n"/>
      <c r="G971" s="108" t="n"/>
      <c r="H971" s="108" t="n"/>
      <c r="I971" s="109" t="n"/>
      <c r="J971" s="109" t="n"/>
      <c r="K971" s="109" t="n"/>
      <c r="L971" s="231">
        <f>IF($E971="","",DATE(YEAR($E971),MONTH($E971),1))</f>
        <v/>
      </c>
      <c r="M971" s="113">
        <f>IF($D971="","",IF($C971="TANIMSIZ MÜŞTERİ","HATA",IF(OR($E971="",$F971&lt;=0,$G971=""),"EKSİK",IF($E971&gt;TODAY(),"İLERİ TARİH","UYGUN"))))</f>
        <v/>
      </c>
      <c r="N971" s="121">
        <f>IF($C971="","",IF($C971="TANIMSIZ MÜŞTERİ","—",INDEX(MUSTERILER!$C$7:$C$106,MATCH($C971,MUSTERILER!$B$7:$B$106,0))))</f>
        <v/>
      </c>
      <c r="O971" s="6" t="n"/>
      <c r="P971" s="6" t="n"/>
      <c r="Q971" s="3">
        <f>IF($D971="","",$C971&amp;"|"&amp;COUNTIFS($C$7:$C971,$C971))</f>
        <v/>
      </c>
    </row>
    <row r="972">
      <c r="A972" s="6" t="n"/>
      <c r="B972" s="113">
        <f>IF($D972="","","T"&amp;TEXT(ROW()-6,"00000"))</f>
        <v/>
      </c>
      <c r="C972" s="113">
        <f>IF($D972="","",IFERROR(INDEX(MUSTERILER!$B$7:$B$106,MATCH($D972,MUSTERILER!$C$7:$C$106,0)),IFERROR(INDEX(MUSTERILER!$B$7:$B$106,MATCH($D972,MUSTERILER!$B$7:$B$106,0)),IFERROR(INDEX(MUSTERILER!$B$7:$B$106,MATCH($D972&amp;"*",MUSTERILER!$C$7:$C$106,0)),"TANIMSIZ MÜŞTERİ"))))</f>
        <v/>
      </c>
      <c r="D972" s="109" t="n"/>
      <c r="E972" s="225" t="n"/>
      <c r="F972" s="226" t="n"/>
      <c r="G972" s="108" t="n"/>
      <c r="H972" s="108" t="n"/>
      <c r="I972" s="109" t="n"/>
      <c r="J972" s="109" t="n"/>
      <c r="K972" s="109" t="n"/>
      <c r="L972" s="231">
        <f>IF($E972="","",DATE(YEAR($E972),MONTH($E972),1))</f>
        <v/>
      </c>
      <c r="M972" s="113">
        <f>IF($D972="","",IF($C972="TANIMSIZ MÜŞTERİ","HATA",IF(OR($E972="",$F972&lt;=0,$G972=""),"EKSİK",IF($E972&gt;TODAY(),"İLERİ TARİH","UYGUN"))))</f>
        <v/>
      </c>
      <c r="N972" s="121">
        <f>IF($C972="","",IF($C972="TANIMSIZ MÜŞTERİ","—",INDEX(MUSTERILER!$C$7:$C$106,MATCH($C972,MUSTERILER!$B$7:$B$106,0))))</f>
        <v/>
      </c>
      <c r="O972" s="6" t="n"/>
      <c r="P972" s="6" t="n"/>
      <c r="Q972" s="3">
        <f>IF($D972="","",$C972&amp;"|"&amp;COUNTIFS($C$7:$C972,$C972))</f>
        <v/>
      </c>
    </row>
    <row r="973">
      <c r="A973" s="6" t="n"/>
      <c r="B973" s="113">
        <f>IF($D973="","","T"&amp;TEXT(ROW()-6,"00000"))</f>
        <v/>
      </c>
      <c r="C973" s="113">
        <f>IF($D973="","",IFERROR(INDEX(MUSTERILER!$B$7:$B$106,MATCH($D973,MUSTERILER!$C$7:$C$106,0)),IFERROR(INDEX(MUSTERILER!$B$7:$B$106,MATCH($D973,MUSTERILER!$B$7:$B$106,0)),IFERROR(INDEX(MUSTERILER!$B$7:$B$106,MATCH($D973&amp;"*",MUSTERILER!$C$7:$C$106,0)),"TANIMSIZ MÜŞTERİ"))))</f>
        <v/>
      </c>
      <c r="D973" s="109" t="n"/>
      <c r="E973" s="225" t="n"/>
      <c r="F973" s="226" t="n"/>
      <c r="G973" s="108" t="n"/>
      <c r="H973" s="108" t="n"/>
      <c r="I973" s="109" t="n"/>
      <c r="J973" s="109" t="n"/>
      <c r="K973" s="109" t="n"/>
      <c r="L973" s="231">
        <f>IF($E973="","",DATE(YEAR($E973),MONTH($E973),1))</f>
        <v/>
      </c>
      <c r="M973" s="113">
        <f>IF($D973="","",IF($C973="TANIMSIZ MÜŞTERİ","HATA",IF(OR($E973="",$F973&lt;=0,$G973=""),"EKSİK",IF($E973&gt;TODAY(),"İLERİ TARİH","UYGUN"))))</f>
        <v/>
      </c>
      <c r="N973" s="121">
        <f>IF($C973="","",IF($C973="TANIMSIZ MÜŞTERİ","—",INDEX(MUSTERILER!$C$7:$C$106,MATCH($C973,MUSTERILER!$B$7:$B$106,0))))</f>
        <v/>
      </c>
      <c r="O973" s="6" t="n"/>
      <c r="P973" s="6" t="n"/>
      <c r="Q973" s="3">
        <f>IF($D973="","",$C973&amp;"|"&amp;COUNTIFS($C$7:$C973,$C973))</f>
        <v/>
      </c>
    </row>
    <row r="974">
      <c r="A974" s="6" t="n"/>
      <c r="B974" s="113">
        <f>IF($D974="","","T"&amp;TEXT(ROW()-6,"00000"))</f>
        <v/>
      </c>
      <c r="C974" s="113">
        <f>IF($D974="","",IFERROR(INDEX(MUSTERILER!$B$7:$B$106,MATCH($D974,MUSTERILER!$C$7:$C$106,0)),IFERROR(INDEX(MUSTERILER!$B$7:$B$106,MATCH($D974,MUSTERILER!$B$7:$B$106,0)),IFERROR(INDEX(MUSTERILER!$B$7:$B$106,MATCH($D974&amp;"*",MUSTERILER!$C$7:$C$106,0)),"TANIMSIZ MÜŞTERİ"))))</f>
        <v/>
      </c>
      <c r="D974" s="109" t="n"/>
      <c r="E974" s="225" t="n"/>
      <c r="F974" s="226" t="n"/>
      <c r="G974" s="108" t="n"/>
      <c r="H974" s="108" t="n"/>
      <c r="I974" s="109" t="n"/>
      <c r="J974" s="109" t="n"/>
      <c r="K974" s="109" t="n"/>
      <c r="L974" s="231">
        <f>IF($E974="","",DATE(YEAR($E974),MONTH($E974),1))</f>
        <v/>
      </c>
      <c r="M974" s="113">
        <f>IF($D974="","",IF($C974="TANIMSIZ MÜŞTERİ","HATA",IF(OR($E974="",$F974&lt;=0,$G974=""),"EKSİK",IF($E974&gt;TODAY(),"İLERİ TARİH","UYGUN"))))</f>
        <v/>
      </c>
      <c r="N974" s="121">
        <f>IF($C974="","",IF($C974="TANIMSIZ MÜŞTERİ","—",INDEX(MUSTERILER!$C$7:$C$106,MATCH($C974,MUSTERILER!$B$7:$B$106,0))))</f>
        <v/>
      </c>
      <c r="O974" s="6" t="n"/>
      <c r="P974" s="6" t="n"/>
      <c r="Q974" s="3">
        <f>IF($D974="","",$C974&amp;"|"&amp;COUNTIFS($C$7:$C974,$C974))</f>
        <v/>
      </c>
    </row>
    <row r="975">
      <c r="A975" s="6" t="n"/>
      <c r="B975" s="113">
        <f>IF($D975="","","T"&amp;TEXT(ROW()-6,"00000"))</f>
        <v/>
      </c>
      <c r="C975" s="113">
        <f>IF($D975="","",IFERROR(INDEX(MUSTERILER!$B$7:$B$106,MATCH($D975,MUSTERILER!$C$7:$C$106,0)),IFERROR(INDEX(MUSTERILER!$B$7:$B$106,MATCH($D975,MUSTERILER!$B$7:$B$106,0)),IFERROR(INDEX(MUSTERILER!$B$7:$B$106,MATCH($D975&amp;"*",MUSTERILER!$C$7:$C$106,0)),"TANIMSIZ MÜŞTERİ"))))</f>
        <v/>
      </c>
      <c r="D975" s="109" t="n"/>
      <c r="E975" s="225" t="n"/>
      <c r="F975" s="226" t="n"/>
      <c r="G975" s="108" t="n"/>
      <c r="H975" s="108" t="n"/>
      <c r="I975" s="109" t="n"/>
      <c r="J975" s="109" t="n"/>
      <c r="K975" s="109" t="n"/>
      <c r="L975" s="231">
        <f>IF($E975="","",DATE(YEAR($E975),MONTH($E975),1))</f>
        <v/>
      </c>
      <c r="M975" s="113">
        <f>IF($D975="","",IF($C975="TANIMSIZ MÜŞTERİ","HATA",IF(OR($E975="",$F975&lt;=0,$G975=""),"EKSİK",IF($E975&gt;TODAY(),"İLERİ TARİH","UYGUN"))))</f>
        <v/>
      </c>
      <c r="N975" s="121">
        <f>IF($C975="","",IF($C975="TANIMSIZ MÜŞTERİ","—",INDEX(MUSTERILER!$C$7:$C$106,MATCH($C975,MUSTERILER!$B$7:$B$106,0))))</f>
        <v/>
      </c>
      <c r="O975" s="6" t="n"/>
      <c r="P975" s="6" t="n"/>
      <c r="Q975" s="3">
        <f>IF($D975="","",$C975&amp;"|"&amp;COUNTIFS($C$7:$C975,$C975))</f>
        <v/>
      </c>
    </row>
    <row r="976">
      <c r="A976" s="6" t="n"/>
      <c r="B976" s="113">
        <f>IF($D976="","","T"&amp;TEXT(ROW()-6,"00000"))</f>
        <v/>
      </c>
      <c r="C976" s="113">
        <f>IF($D976="","",IFERROR(INDEX(MUSTERILER!$B$7:$B$106,MATCH($D976,MUSTERILER!$C$7:$C$106,0)),IFERROR(INDEX(MUSTERILER!$B$7:$B$106,MATCH($D976,MUSTERILER!$B$7:$B$106,0)),IFERROR(INDEX(MUSTERILER!$B$7:$B$106,MATCH($D976&amp;"*",MUSTERILER!$C$7:$C$106,0)),"TANIMSIZ MÜŞTERİ"))))</f>
        <v/>
      </c>
      <c r="D976" s="109" t="n"/>
      <c r="E976" s="225" t="n"/>
      <c r="F976" s="226" t="n"/>
      <c r="G976" s="108" t="n"/>
      <c r="H976" s="108" t="n"/>
      <c r="I976" s="109" t="n"/>
      <c r="J976" s="109" t="n"/>
      <c r="K976" s="109" t="n"/>
      <c r="L976" s="231">
        <f>IF($E976="","",DATE(YEAR($E976),MONTH($E976),1))</f>
        <v/>
      </c>
      <c r="M976" s="113">
        <f>IF($D976="","",IF($C976="TANIMSIZ MÜŞTERİ","HATA",IF(OR($E976="",$F976&lt;=0,$G976=""),"EKSİK",IF($E976&gt;TODAY(),"İLERİ TARİH","UYGUN"))))</f>
        <v/>
      </c>
      <c r="N976" s="121">
        <f>IF($C976="","",IF($C976="TANIMSIZ MÜŞTERİ","—",INDEX(MUSTERILER!$C$7:$C$106,MATCH($C976,MUSTERILER!$B$7:$B$106,0))))</f>
        <v/>
      </c>
      <c r="O976" s="6" t="n"/>
      <c r="P976" s="6" t="n"/>
      <c r="Q976" s="3">
        <f>IF($D976="","",$C976&amp;"|"&amp;COUNTIFS($C$7:$C976,$C976))</f>
        <v/>
      </c>
    </row>
    <row r="977">
      <c r="A977" s="6" t="n"/>
      <c r="B977" s="113">
        <f>IF($D977="","","T"&amp;TEXT(ROW()-6,"00000"))</f>
        <v/>
      </c>
      <c r="C977" s="113">
        <f>IF($D977="","",IFERROR(INDEX(MUSTERILER!$B$7:$B$106,MATCH($D977,MUSTERILER!$C$7:$C$106,0)),IFERROR(INDEX(MUSTERILER!$B$7:$B$106,MATCH($D977,MUSTERILER!$B$7:$B$106,0)),IFERROR(INDEX(MUSTERILER!$B$7:$B$106,MATCH($D977&amp;"*",MUSTERILER!$C$7:$C$106,0)),"TANIMSIZ MÜŞTERİ"))))</f>
        <v/>
      </c>
      <c r="D977" s="109" t="n"/>
      <c r="E977" s="225" t="n"/>
      <c r="F977" s="226" t="n"/>
      <c r="G977" s="108" t="n"/>
      <c r="H977" s="108" t="n"/>
      <c r="I977" s="109" t="n"/>
      <c r="J977" s="109" t="n"/>
      <c r="K977" s="109" t="n"/>
      <c r="L977" s="231">
        <f>IF($E977="","",DATE(YEAR($E977),MONTH($E977),1))</f>
        <v/>
      </c>
      <c r="M977" s="113">
        <f>IF($D977="","",IF($C977="TANIMSIZ MÜŞTERİ","HATA",IF(OR($E977="",$F977&lt;=0,$G977=""),"EKSİK",IF($E977&gt;TODAY(),"İLERİ TARİH","UYGUN"))))</f>
        <v/>
      </c>
      <c r="N977" s="121">
        <f>IF($C977="","",IF($C977="TANIMSIZ MÜŞTERİ","—",INDEX(MUSTERILER!$C$7:$C$106,MATCH($C977,MUSTERILER!$B$7:$B$106,0))))</f>
        <v/>
      </c>
      <c r="O977" s="6" t="n"/>
      <c r="P977" s="6" t="n"/>
      <c r="Q977" s="3">
        <f>IF($D977="","",$C977&amp;"|"&amp;COUNTIFS($C$7:$C977,$C977))</f>
        <v/>
      </c>
    </row>
    <row r="978">
      <c r="A978" s="6" t="n"/>
      <c r="B978" s="113">
        <f>IF($D978="","","T"&amp;TEXT(ROW()-6,"00000"))</f>
        <v/>
      </c>
      <c r="C978" s="113">
        <f>IF($D978="","",IFERROR(INDEX(MUSTERILER!$B$7:$B$106,MATCH($D978,MUSTERILER!$C$7:$C$106,0)),IFERROR(INDEX(MUSTERILER!$B$7:$B$106,MATCH($D978,MUSTERILER!$B$7:$B$106,0)),IFERROR(INDEX(MUSTERILER!$B$7:$B$106,MATCH($D978&amp;"*",MUSTERILER!$C$7:$C$106,0)),"TANIMSIZ MÜŞTERİ"))))</f>
        <v/>
      </c>
      <c r="D978" s="109" t="n"/>
      <c r="E978" s="225" t="n"/>
      <c r="F978" s="226" t="n"/>
      <c r="G978" s="108" t="n"/>
      <c r="H978" s="108" t="n"/>
      <c r="I978" s="109" t="n"/>
      <c r="J978" s="109" t="n"/>
      <c r="K978" s="109" t="n"/>
      <c r="L978" s="231">
        <f>IF($E978="","",DATE(YEAR($E978),MONTH($E978),1))</f>
        <v/>
      </c>
      <c r="M978" s="113">
        <f>IF($D978="","",IF($C978="TANIMSIZ MÜŞTERİ","HATA",IF(OR($E978="",$F978&lt;=0,$G978=""),"EKSİK",IF($E978&gt;TODAY(),"İLERİ TARİH","UYGUN"))))</f>
        <v/>
      </c>
      <c r="N978" s="121">
        <f>IF($C978="","",IF($C978="TANIMSIZ MÜŞTERİ","—",INDEX(MUSTERILER!$C$7:$C$106,MATCH($C978,MUSTERILER!$B$7:$B$106,0))))</f>
        <v/>
      </c>
      <c r="O978" s="6" t="n"/>
      <c r="P978" s="6" t="n"/>
      <c r="Q978" s="3">
        <f>IF($D978="","",$C978&amp;"|"&amp;COUNTIFS($C$7:$C978,$C978))</f>
        <v/>
      </c>
    </row>
    <row r="979">
      <c r="A979" s="6" t="n"/>
      <c r="B979" s="113">
        <f>IF($D979="","","T"&amp;TEXT(ROW()-6,"00000"))</f>
        <v/>
      </c>
      <c r="C979" s="113">
        <f>IF($D979="","",IFERROR(INDEX(MUSTERILER!$B$7:$B$106,MATCH($D979,MUSTERILER!$C$7:$C$106,0)),IFERROR(INDEX(MUSTERILER!$B$7:$B$106,MATCH($D979,MUSTERILER!$B$7:$B$106,0)),IFERROR(INDEX(MUSTERILER!$B$7:$B$106,MATCH($D979&amp;"*",MUSTERILER!$C$7:$C$106,0)),"TANIMSIZ MÜŞTERİ"))))</f>
        <v/>
      </c>
      <c r="D979" s="109" t="n"/>
      <c r="E979" s="225" t="n"/>
      <c r="F979" s="226" t="n"/>
      <c r="G979" s="108" t="n"/>
      <c r="H979" s="108" t="n"/>
      <c r="I979" s="109" t="n"/>
      <c r="J979" s="109" t="n"/>
      <c r="K979" s="109" t="n"/>
      <c r="L979" s="231">
        <f>IF($E979="","",DATE(YEAR($E979),MONTH($E979),1))</f>
        <v/>
      </c>
      <c r="M979" s="113">
        <f>IF($D979="","",IF($C979="TANIMSIZ MÜŞTERİ","HATA",IF(OR($E979="",$F979&lt;=0,$G979=""),"EKSİK",IF($E979&gt;TODAY(),"İLERİ TARİH","UYGUN"))))</f>
        <v/>
      </c>
      <c r="N979" s="121">
        <f>IF($C979="","",IF($C979="TANIMSIZ MÜŞTERİ","—",INDEX(MUSTERILER!$C$7:$C$106,MATCH($C979,MUSTERILER!$B$7:$B$106,0))))</f>
        <v/>
      </c>
      <c r="O979" s="6" t="n"/>
      <c r="P979" s="6" t="n"/>
      <c r="Q979" s="3">
        <f>IF($D979="","",$C979&amp;"|"&amp;COUNTIFS($C$7:$C979,$C979))</f>
        <v/>
      </c>
    </row>
    <row r="980">
      <c r="A980" s="6" t="n"/>
      <c r="B980" s="113">
        <f>IF($D980="","","T"&amp;TEXT(ROW()-6,"00000"))</f>
        <v/>
      </c>
      <c r="C980" s="113">
        <f>IF($D980="","",IFERROR(INDEX(MUSTERILER!$B$7:$B$106,MATCH($D980,MUSTERILER!$C$7:$C$106,0)),IFERROR(INDEX(MUSTERILER!$B$7:$B$106,MATCH($D980,MUSTERILER!$B$7:$B$106,0)),IFERROR(INDEX(MUSTERILER!$B$7:$B$106,MATCH($D980&amp;"*",MUSTERILER!$C$7:$C$106,0)),"TANIMSIZ MÜŞTERİ"))))</f>
        <v/>
      </c>
      <c r="D980" s="109" t="n"/>
      <c r="E980" s="225" t="n"/>
      <c r="F980" s="226" t="n"/>
      <c r="G980" s="108" t="n"/>
      <c r="H980" s="108" t="n"/>
      <c r="I980" s="109" t="n"/>
      <c r="J980" s="109" t="n"/>
      <c r="K980" s="109" t="n"/>
      <c r="L980" s="231">
        <f>IF($E980="","",DATE(YEAR($E980),MONTH($E980),1))</f>
        <v/>
      </c>
      <c r="M980" s="113">
        <f>IF($D980="","",IF($C980="TANIMSIZ MÜŞTERİ","HATA",IF(OR($E980="",$F980&lt;=0,$G980=""),"EKSİK",IF($E980&gt;TODAY(),"İLERİ TARİH","UYGUN"))))</f>
        <v/>
      </c>
      <c r="N980" s="121">
        <f>IF($C980="","",IF($C980="TANIMSIZ MÜŞTERİ","—",INDEX(MUSTERILER!$C$7:$C$106,MATCH($C980,MUSTERILER!$B$7:$B$106,0))))</f>
        <v/>
      </c>
      <c r="O980" s="6" t="n"/>
      <c r="P980" s="6" t="n"/>
      <c r="Q980" s="3">
        <f>IF($D980="","",$C980&amp;"|"&amp;COUNTIFS($C$7:$C980,$C980))</f>
        <v/>
      </c>
    </row>
    <row r="981">
      <c r="A981" s="6" t="n"/>
      <c r="B981" s="113">
        <f>IF($D981="","","T"&amp;TEXT(ROW()-6,"00000"))</f>
        <v/>
      </c>
      <c r="C981" s="113">
        <f>IF($D981="","",IFERROR(INDEX(MUSTERILER!$B$7:$B$106,MATCH($D981,MUSTERILER!$C$7:$C$106,0)),IFERROR(INDEX(MUSTERILER!$B$7:$B$106,MATCH($D981,MUSTERILER!$B$7:$B$106,0)),IFERROR(INDEX(MUSTERILER!$B$7:$B$106,MATCH($D981&amp;"*",MUSTERILER!$C$7:$C$106,0)),"TANIMSIZ MÜŞTERİ"))))</f>
        <v/>
      </c>
      <c r="D981" s="109" t="n"/>
      <c r="E981" s="225" t="n"/>
      <c r="F981" s="226" t="n"/>
      <c r="G981" s="108" t="n"/>
      <c r="H981" s="108" t="n"/>
      <c r="I981" s="109" t="n"/>
      <c r="J981" s="109" t="n"/>
      <c r="K981" s="109" t="n"/>
      <c r="L981" s="231">
        <f>IF($E981="","",DATE(YEAR($E981),MONTH($E981),1))</f>
        <v/>
      </c>
      <c r="M981" s="113">
        <f>IF($D981="","",IF($C981="TANIMSIZ MÜŞTERİ","HATA",IF(OR($E981="",$F981&lt;=0,$G981=""),"EKSİK",IF($E981&gt;TODAY(),"İLERİ TARİH","UYGUN"))))</f>
        <v/>
      </c>
      <c r="N981" s="121">
        <f>IF($C981="","",IF($C981="TANIMSIZ MÜŞTERİ","—",INDEX(MUSTERILER!$C$7:$C$106,MATCH($C981,MUSTERILER!$B$7:$B$106,0))))</f>
        <v/>
      </c>
      <c r="O981" s="6" t="n"/>
      <c r="P981" s="6" t="n"/>
      <c r="Q981" s="3">
        <f>IF($D981="","",$C981&amp;"|"&amp;COUNTIFS($C$7:$C981,$C981))</f>
        <v/>
      </c>
    </row>
    <row r="982">
      <c r="A982" s="6" t="n"/>
      <c r="B982" s="113">
        <f>IF($D982="","","T"&amp;TEXT(ROW()-6,"00000"))</f>
        <v/>
      </c>
      <c r="C982" s="113">
        <f>IF($D982="","",IFERROR(INDEX(MUSTERILER!$B$7:$B$106,MATCH($D982,MUSTERILER!$C$7:$C$106,0)),IFERROR(INDEX(MUSTERILER!$B$7:$B$106,MATCH($D982,MUSTERILER!$B$7:$B$106,0)),IFERROR(INDEX(MUSTERILER!$B$7:$B$106,MATCH($D982&amp;"*",MUSTERILER!$C$7:$C$106,0)),"TANIMSIZ MÜŞTERİ"))))</f>
        <v/>
      </c>
      <c r="D982" s="109" t="n"/>
      <c r="E982" s="225" t="n"/>
      <c r="F982" s="226" t="n"/>
      <c r="G982" s="108" t="n"/>
      <c r="H982" s="108" t="n"/>
      <c r="I982" s="109" t="n"/>
      <c r="J982" s="109" t="n"/>
      <c r="K982" s="109" t="n"/>
      <c r="L982" s="231">
        <f>IF($E982="","",DATE(YEAR($E982),MONTH($E982),1))</f>
        <v/>
      </c>
      <c r="M982" s="113">
        <f>IF($D982="","",IF($C982="TANIMSIZ MÜŞTERİ","HATA",IF(OR($E982="",$F982&lt;=0,$G982=""),"EKSİK",IF($E982&gt;TODAY(),"İLERİ TARİH","UYGUN"))))</f>
        <v/>
      </c>
      <c r="N982" s="121">
        <f>IF($C982="","",IF($C982="TANIMSIZ MÜŞTERİ","—",INDEX(MUSTERILER!$C$7:$C$106,MATCH($C982,MUSTERILER!$B$7:$B$106,0))))</f>
        <v/>
      </c>
      <c r="O982" s="6" t="n"/>
      <c r="P982" s="6" t="n"/>
      <c r="Q982" s="3">
        <f>IF($D982="","",$C982&amp;"|"&amp;COUNTIFS($C$7:$C982,$C982))</f>
        <v/>
      </c>
    </row>
    <row r="983">
      <c r="A983" s="6" t="n"/>
      <c r="B983" s="113">
        <f>IF($D983="","","T"&amp;TEXT(ROW()-6,"00000"))</f>
        <v/>
      </c>
      <c r="C983" s="113">
        <f>IF($D983="","",IFERROR(INDEX(MUSTERILER!$B$7:$B$106,MATCH($D983,MUSTERILER!$C$7:$C$106,0)),IFERROR(INDEX(MUSTERILER!$B$7:$B$106,MATCH($D983,MUSTERILER!$B$7:$B$106,0)),IFERROR(INDEX(MUSTERILER!$B$7:$B$106,MATCH($D983&amp;"*",MUSTERILER!$C$7:$C$106,0)),"TANIMSIZ MÜŞTERİ"))))</f>
        <v/>
      </c>
      <c r="D983" s="109" t="n"/>
      <c r="E983" s="225" t="n"/>
      <c r="F983" s="226" t="n"/>
      <c r="G983" s="108" t="n"/>
      <c r="H983" s="108" t="n"/>
      <c r="I983" s="109" t="n"/>
      <c r="J983" s="109" t="n"/>
      <c r="K983" s="109" t="n"/>
      <c r="L983" s="231">
        <f>IF($E983="","",DATE(YEAR($E983),MONTH($E983),1))</f>
        <v/>
      </c>
      <c r="M983" s="113">
        <f>IF($D983="","",IF($C983="TANIMSIZ MÜŞTERİ","HATA",IF(OR($E983="",$F983&lt;=0,$G983=""),"EKSİK",IF($E983&gt;TODAY(),"İLERİ TARİH","UYGUN"))))</f>
        <v/>
      </c>
      <c r="N983" s="121">
        <f>IF($C983="","",IF($C983="TANIMSIZ MÜŞTERİ","—",INDEX(MUSTERILER!$C$7:$C$106,MATCH($C983,MUSTERILER!$B$7:$B$106,0))))</f>
        <v/>
      </c>
      <c r="O983" s="6" t="n"/>
      <c r="P983" s="6" t="n"/>
      <c r="Q983" s="3">
        <f>IF($D983="","",$C983&amp;"|"&amp;COUNTIFS($C$7:$C983,$C983))</f>
        <v/>
      </c>
    </row>
    <row r="984">
      <c r="A984" s="6" t="n"/>
      <c r="B984" s="113">
        <f>IF($D984="","","T"&amp;TEXT(ROW()-6,"00000"))</f>
        <v/>
      </c>
      <c r="C984" s="113">
        <f>IF($D984="","",IFERROR(INDEX(MUSTERILER!$B$7:$B$106,MATCH($D984,MUSTERILER!$C$7:$C$106,0)),IFERROR(INDEX(MUSTERILER!$B$7:$B$106,MATCH($D984,MUSTERILER!$B$7:$B$106,0)),IFERROR(INDEX(MUSTERILER!$B$7:$B$106,MATCH($D984&amp;"*",MUSTERILER!$C$7:$C$106,0)),"TANIMSIZ MÜŞTERİ"))))</f>
        <v/>
      </c>
      <c r="D984" s="109" t="n"/>
      <c r="E984" s="225" t="n"/>
      <c r="F984" s="226" t="n"/>
      <c r="G984" s="108" t="n"/>
      <c r="H984" s="108" t="n"/>
      <c r="I984" s="109" t="n"/>
      <c r="J984" s="109" t="n"/>
      <c r="K984" s="109" t="n"/>
      <c r="L984" s="231">
        <f>IF($E984="","",DATE(YEAR($E984),MONTH($E984),1))</f>
        <v/>
      </c>
      <c r="M984" s="113">
        <f>IF($D984="","",IF($C984="TANIMSIZ MÜŞTERİ","HATA",IF(OR($E984="",$F984&lt;=0,$G984=""),"EKSİK",IF($E984&gt;TODAY(),"İLERİ TARİH","UYGUN"))))</f>
        <v/>
      </c>
      <c r="N984" s="121">
        <f>IF($C984="","",IF($C984="TANIMSIZ MÜŞTERİ","—",INDEX(MUSTERILER!$C$7:$C$106,MATCH($C984,MUSTERILER!$B$7:$B$106,0))))</f>
        <v/>
      </c>
      <c r="O984" s="6" t="n"/>
      <c r="P984" s="6" t="n"/>
      <c r="Q984" s="3">
        <f>IF($D984="","",$C984&amp;"|"&amp;COUNTIFS($C$7:$C984,$C984))</f>
        <v/>
      </c>
    </row>
    <row r="985">
      <c r="A985" s="6" t="n"/>
      <c r="B985" s="113">
        <f>IF($D985="","","T"&amp;TEXT(ROW()-6,"00000"))</f>
        <v/>
      </c>
      <c r="C985" s="113">
        <f>IF($D985="","",IFERROR(INDEX(MUSTERILER!$B$7:$B$106,MATCH($D985,MUSTERILER!$C$7:$C$106,0)),IFERROR(INDEX(MUSTERILER!$B$7:$B$106,MATCH($D985,MUSTERILER!$B$7:$B$106,0)),IFERROR(INDEX(MUSTERILER!$B$7:$B$106,MATCH($D985&amp;"*",MUSTERILER!$C$7:$C$106,0)),"TANIMSIZ MÜŞTERİ"))))</f>
        <v/>
      </c>
      <c r="D985" s="109" t="n"/>
      <c r="E985" s="225" t="n"/>
      <c r="F985" s="226" t="n"/>
      <c r="G985" s="108" t="n"/>
      <c r="H985" s="108" t="n"/>
      <c r="I985" s="109" t="n"/>
      <c r="J985" s="109" t="n"/>
      <c r="K985" s="109" t="n"/>
      <c r="L985" s="231">
        <f>IF($E985="","",DATE(YEAR($E985),MONTH($E985),1))</f>
        <v/>
      </c>
      <c r="M985" s="113">
        <f>IF($D985="","",IF($C985="TANIMSIZ MÜŞTERİ","HATA",IF(OR($E985="",$F985&lt;=0,$G985=""),"EKSİK",IF($E985&gt;TODAY(),"İLERİ TARİH","UYGUN"))))</f>
        <v/>
      </c>
      <c r="N985" s="121">
        <f>IF($C985="","",IF($C985="TANIMSIZ MÜŞTERİ","—",INDEX(MUSTERILER!$C$7:$C$106,MATCH($C985,MUSTERILER!$B$7:$B$106,0))))</f>
        <v/>
      </c>
      <c r="O985" s="6" t="n"/>
      <c r="P985" s="6" t="n"/>
      <c r="Q985" s="3">
        <f>IF($D985="","",$C985&amp;"|"&amp;COUNTIFS($C$7:$C985,$C985))</f>
        <v/>
      </c>
    </row>
    <row r="986">
      <c r="A986" s="6" t="n"/>
      <c r="B986" s="113">
        <f>IF($D986="","","T"&amp;TEXT(ROW()-6,"00000"))</f>
        <v/>
      </c>
      <c r="C986" s="113">
        <f>IF($D986="","",IFERROR(INDEX(MUSTERILER!$B$7:$B$106,MATCH($D986,MUSTERILER!$C$7:$C$106,0)),IFERROR(INDEX(MUSTERILER!$B$7:$B$106,MATCH($D986,MUSTERILER!$B$7:$B$106,0)),IFERROR(INDEX(MUSTERILER!$B$7:$B$106,MATCH($D986&amp;"*",MUSTERILER!$C$7:$C$106,0)),"TANIMSIZ MÜŞTERİ"))))</f>
        <v/>
      </c>
      <c r="D986" s="109" t="n"/>
      <c r="E986" s="225" t="n"/>
      <c r="F986" s="226" t="n"/>
      <c r="G986" s="108" t="n"/>
      <c r="H986" s="108" t="n"/>
      <c r="I986" s="109" t="n"/>
      <c r="J986" s="109" t="n"/>
      <c r="K986" s="109" t="n"/>
      <c r="L986" s="231">
        <f>IF($E986="","",DATE(YEAR($E986),MONTH($E986),1))</f>
        <v/>
      </c>
      <c r="M986" s="113">
        <f>IF($D986="","",IF($C986="TANIMSIZ MÜŞTERİ","HATA",IF(OR($E986="",$F986&lt;=0,$G986=""),"EKSİK",IF($E986&gt;TODAY(),"İLERİ TARİH","UYGUN"))))</f>
        <v/>
      </c>
      <c r="N986" s="121">
        <f>IF($C986="","",IF($C986="TANIMSIZ MÜŞTERİ","—",INDEX(MUSTERILER!$C$7:$C$106,MATCH($C986,MUSTERILER!$B$7:$B$106,0))))</f>
        <v/>
      </c>
      <c r="O986" s="6" t="n"/>
      <c r="P986" s="6" t="n"/>
      <c r="Q986" s="3">
        <f>IF($D986="","",$C986&amp;"|"&amp;COUNTIFS($C$7:$C986,$C986))</f>
        <v/>
      </c>
    </row>
    <row r="987">
      <c r="A987" s="6" t="n"/>
      <c r="B987" s="113">
        <f>IF($D987="","","T"&amp;TEXT(ROW()-6,"00000"))</f>
        <v/>
      </c>
      <c r="C987" s="113">
        <f>IF($D987="","",IFERROR(INDEX(MUSTERILER!$B$7:$B$106,MATCH($D987,MUSTERILER!$C$7:$C$106,0)),IFERROR(INDEX(MUSTERILER!$B$7:$B$106,MATCH($D987,MUSTERILER!$B$7:$B$106,0)),IFERROR(INDEX(MUSTERILER!$B$7:$B$106,MATCH($D987&amp;"*",MUSTERILER!$C$7:$C$106,0)),"TANIMSIZ MÜŞTERİ"))))</f>
        <v/>
      </c>
      <c r="D987" s="109" t="n"/>
      <c r="E987" s="225" t="n"/>
      <c r="F987" s="226" t="n"/>
      <c r="G987" s="108" t="n"/>
      <c r="H987" s="108" t="n"/>
      <c r="I987" s="109" t="n"/>
      <c r="J987" s="109" t="n"/>
      <c r="K987" s="109" t="n"/>
      <c r="L987" s="231">
        <f>IF($E987="","",DATE(YEAR($E987),MONTH($E987),1))</f>
        <v/>
      </c>
      <c r="M987" s="113">
        <f>IF($D987="","",IF($C987="TANIMSIZ MÜŞTERİ","HATA",IF(OR($E987="",$F987&lt;=0,$G987=""),"EKSİK",IF($E987&gt;TODAY(),"İLERİ TARİH","UYGUN"))))</f>
        <v/>
      </c>
      <c r="N987" s="121">
        <f>IF($C987="","",IF($C987="TANIMSIZ MÜŞTERİ","—",INDEX(MUSTERILER!$C$7:$C$106,MATCH($C987,MUSTERILER!$B$7:$B$106,0))))</f>
        <v/>
      </c>
      <c r="O987" s="6" t="n"/>
      <c r="P987" s="6" t="n"/>
      <c r="Q987" s="3">
        <f>IF($D987="","",$C987&amp;"|"&amp;COUNTIFS($C$7:$C987,$C987))</f>
        <v/>
      </c>
    </row>
    <row r="988">
      <c r="A988" s="6" t="n"/>
      <c r="B988" s="113">
        <f>IF($D988="","","T"&amp;TEXT(ROW()-6,"00000"))</f>
        <v/>
      </c>
      <c r="C988" s="113">
        <f>IF($D988="","",IFERROR(INDEX(MUSTERILER!$B$7:$B$106,MATCH($D988,MUSTERILER!$C$7:$C$106,0)),IFERROR(INDEX(MUSTERILER!$B$7:$B$106,MATCH($D988,MUSTERILER!$B$7:$B$106,0)),IFERROR(INDEX(MUSTERILER!$B$7:$B$106,MATCH($D988&amp;"*",MUSTERILER!$C$7:$C$106,0)),"TANIMSIZ MÜŞTERİ"))))</f>
        <v/>
      </c>
      <c r="D988" s="109" t="n"/>
      <c r="E988" s="225" t="n"/>
      <c r="F988" s="226" t="n"/>
      <c r="G988" s="108" t="n"/>
      <c r="H988" s="108" t="n"/>
      <c r="I988" s="109" t="n"/>
      <c r="J988" s="109" t="n"/>
      <c r="K988" s="109" t="n"/>
      <c r="L988" s="231">
        <f>IF($E988="","",DATE(YEAR($E988),MONTH($E988),1))</f>
        <v/>
      </c>
      <c r="M988" s="113">
        <f>IF($D988="","",IF($C988="TANIMSIZ MÜŞTERİ","HATA",IF(OR($E988="",$F988&lt;=0,$G988=""),"EKSİK",IF($E988&gt;TODAY(),"İLERİ TARİH","UYGUN"))))</f>
        <v/>
      </c>
      <c r="N988" s="121">
        <f>IF($C988="","",IF($C988="TANIMSIZ MÜŞTERİ","—",INDEX(MUSTERILER!$C$7:$C$106,MATCH($C988,MUSTERILER!$B$7:$B$106,0))))</f>
        <v/>
      </c>
      <c r="O988" s="6" t="n"/>
      <c r="P988" s="6" t="n"/>
      <c r="Q988" s="3">
        <f>IF($D988="","",$C988&amp;"|"&amp;COUNTIFS($C$7:$C988,$C988))</f>
        <v/>
      </c>
    </row>
    <row r="989">
      <c r="A989" s="6" t="n"/>
      <c r="B989" s="113">
        <f>IF($D989="","","T"&amp;TEXT(ROW()-6,"00000"))</f>
        <v/>
      </c>
      <c r="C989" s="113">
        <f>IF($D989="","",IFERROR(INDEX(MUSTERILER!$B$7:$B$106,MATCH($D989,MUSTERILER!$C$7:$C$106,0)),IFERROR(INDEX(MUSTERILER!$B$7:$B$106,MATCH($D989,MUSTERILER!$B$7:$B$106,0)),IFERROR(INDEX(MUSTERILER!$B$7:$B$106,MATCH($D989&amp;"*",MUSTERILER!$C$7:$C$106,0)),"TANIMSIZ MÜŞTERİ"))))</f>
        <v/>
      </c>
      <c r="D989" s="109" t="n"/>
      <c r="E989" s="225" t="n"/>
      <c r="F989" s="226" t="n"/>
      <c r="G989" s="108" t="n"/>
      <c r="H989" s="108" t="n"/>
      <c r="I989" s="109" t="n"/>
      <c r="J989" s="109" t="n"/>
      <c r="K989" s="109" t="n"/>
      <c r="L989" s="231">
        <f>IF($E989="","",DATE(YEAR($E989),MONTH($E989),1))</f>
        <v/>
      </c>
      <c r="M989" s="113">
        <f>IF($D989="","",IF($C989="TANIMSIZ MÜŞTERİ","HATA",IF(OR($E989="",$F989&lt;=0,$G989=""),"EKSİK",IF($E989&gt;TODAY(),"İLERİ TARİH","UYGUN"))))</f>
        <v/>
      </c>
      <c r="N989" s="121">
        <f>IF($C989="","",IF($C989="TANIMSIZ MÜŞTERİ","—",INDEX(MUSTERILER!$C$7:$C$106,MATCH($C989,MUSTERILER!$B$7:$B$106,0))))</f>
        <v/>
      </c>
      <c r="O989" s="6" t="n"/>
      <c r="P989" s="6" t="n"/>
      <c r="Q989" s="3">
        <f>IF($D989="","",$C989&amp;"|"&amp;COUNTIFS($C$7:$C989,$C989))</f>
        <v/>
      </c>
    </row>
    <row r="990">
      <c r="A990" s="6" t="n"/>
      <c r="B990" s="113">
        <f>IF($D990="","","T"&amp;TEXT(ROW()-6,"00000"))</f>
        <v/>
      </c>
      <c r="C990" s="113">
        <f>IF($D990="","",IFERROR(INDEX(MUSTERILER!$B$7:$B$106,MATCH($D990,MUSTERILER!$C$7:$C$106,0)),IFERROR(INDEX(MUSTERILER!$B$7:$B$106,MATCH($D990,MUSTERILER!$B$7:$B$106,0)),IFERROR(INDEX(MUSTERILER!$B$7:$B$106,MATCH($D990&amp;"*",MUSTERILER!$C$7:$C$106,0)),"TANIMSIZ MÜŞTERİ"))))</f>
        <v/>
      </c>
      <c r="D990" s="109" t="n"/>
      <c r="E990" s="225" t="n"/>
      <c r="F990" s="226" t="n"/>
      <c r="G990" s="108" t="n"/>
      <c r="H990" s="108" t="n"/>
      <c r="I990" s="109" t="n"/>
      <c r="J990" s="109" t="n"/>
      <c r="K990" s="109" t="n"/>
      <c r="L990" s="231">
        <f>IF($E990="","",DATE(YEAR($E990),MONTH($E990),1))</f>
        <v/>
      </c>
      <c r="M990" s="113">
        <f>IF($D990="","",IF($C990="TANIMSIZ MÜŞTERİ","HATA",IF(OR($E990="",$F990&lt;=0,$G990=""),"EKSİK",IF($E990&gt;TODAY(),"İLERİ TARİH","UYGUN"))))</f>
        <v/>
      </c>
      <c r="N990" s="121">
        <f>IF($C990="","",IF($C990="TANIMSIZ MÜŞTERİ","—",INDEX(MUSTERILER!$C$7:$C$106,MATCH($C990,MUSTERILER!$B$7:$B$106,0))))</f>
        <v/>
      </c>
      <c r="O990" s="6" t="n"/>
      <c r="P990" s="6" t="n"/>
      <c r="Q990" s="3">
        <f>IF($D990="","",$C990&amp;"|"&amp;COUNTIFS($C$7:$C990,$C990))</f>
        <v/>
      </c>
    </row>
    <row r="991">
      <c r="A991" s="6" t="n"/>
      <c r="B991" s="113">
        <f>IF($D991="","","T"&amp;TEXT(ROW()-6,"00000"))</f>
        <v/>
      </c>
      <c r="C991" s="113">
        <f>IF($D991="","",IFERROR(INDEX(MUSTERILER!$B$7:$B$106,MATCH($D991,MUSTERILER!$C$7:$C$106,0)),IFERROR(INDEX(MUSTERILER!$B$7:$B$106,MATCH($D991,MUSTERILER!$B$7:$B$106,0)),IFERROR(INDEX(MUSTERILER!$B$7:$B$106,MATCH($D991&amp;"*",MUSTERILER!$C$7:$C$106,0)),"TANIMSIZ MÜŞTERİ"))))</f>
        <v/>
      </c>
      <c r="D991" s="109" t="n"/>
      <c r="E991" s="225" t="n"/>
      <c r="F991" s="226" t="n"/>
      <c r="G991" s="108" t="n"/>
      <c r="H991" s="108" t="n"/>
      <c r="I991" s="109" t="n"/>
      <c r="J991" s="109" t="n"/>
      <c r="K991" s="109" t="n"/>
      <c r="L991" s="231">
        <f>IF($E991="","",DATE(YEAR($E991),MONTH($E991),1))</f>
        <v/>
      </c>
      <c r="M991" s="113">
        <f>IF($D991="","",IF($C991="TANIMSIZ MÜŞTERİ","HATA",IF(OR($E991="",$F991&lt;=0,$G991=""),"EKSİK",IF($E991&gt;TODAY(),"İLERİ TARİH","UYGUN"))))</f>
        <v/>
      </c>
      <c r="N991" s="121">
        <f>IF($C991="","",IF($C991="TANIMSIZ MÜŞTERİ","—",INDEX(MUSTERILER!$C$7:$C$106,MATCH($C991,MUSTERILER!$B$7:$B$106,0))))</f>
        <v/>
      </c>
      <c r="O991" s="6" t="n"/>
      <c r="P991" s="6" t="n"/>
      <c r="Q991" s="3">
        <f>IF($D991="","",$C991&amp;"|"&amp;COUNTIFS($C$7:$C991,$C991))</f>
        <v/>
      </c>
    </row>
    <row r="992">
      <c r="A992" s="6" t="n"/>
      <c r="B992" s="113">
        <f>IF($D992="","","T"&amp;TEXT(ROW()-6,"00000"))</f>
        <v/>
      </c>
      <c r="C992" s="113">
        <f>IF($D992="","",IFERROR(INDEX(MUSTERILER!$B$7:$B$106,MATCH($D992,MUSTERILER!$C$7:$C$106,0)),IFERROR(INDEX(MUSTERILER!$B$7:$B$106,MATCH($D992,MUSTERILER!$B$7:$B$106,0)),IFERROR(INDEX(MUSTERILER!$B$7:$B$106,MATCH($D992&amp;"*",MUSTERILER!$C$7:$C$106,0)),"TANIMSIZ MÜŞTERİ"))))</f>
        <v/>
      </c>
      <c r="D992" s="109" t="n"/>
      <c r="E992" s="225" t="n"/>
      <c r="F992" s="226" t="n"/>
      <c r="G992" s="108" t="n"/>
      <c r="H992" s="108" t="n"/>
      <c r="I992" s="109" t="n"/>
      <c r="J992" s="109" t="n"/>
      <c r="K992" s="109" t="n"/>
      <c r="L992" s="231">
        <f>IF($E992="","",DATE(YEAR($E992),MONTH($E992),1))</f>
        <v/>
      </c>
      <c r="M992" s="113">
        <f>IF($D992="","",IF($C992="TANIMSIZ MÜŞTERİ","HATA",IF(OR($E992="",$F992&lt;=0,$G992=""),"EKSİK",IF($E992&gt;TODAY(),"İLERİ TARİH","UYGUN"))))</f>
        <v/>
      </c>
      <c r="N992" s="121">
        <f>IF($C992="","",IF($C992="TANIMSIZ MÜŞTERİ","—",INDEX(MUSTERILER!$C$7:$C$106,MATCH($C992,MUSTERILER!$B$7:$B$106,0))))</f>
        <v/>
      </c>
      <c r="O992" s="6" t="n"/>
      <c r="P992" s="6" t="n"/>
      <c r="Q992" s="3">
        <f>IF($D992="","",$C992&amp;"|"&amp;COUNTIFS($C$7:$C992,$C992))</f>
        <v/>
      </c>
    </row>
    <row r="993">
      <c r="A993" s="6" t="n"/>
      <c r="B993" s="113">
        <f>IF($D993="","","T"&amp;TEXT(ROW()-6,"00000"))</f>
        <v/>
      </c>
      <c r="C993" s="113">
        <f>IF($D993="","",IFERROR(INDEX(MUSTERILER!$B$7:$B$106,MATCH($D993,MUSTERILER!$C$7:$C$106,0)),IFERROR(INDEX(MUSTERILER!$B$7:$B$106,MATCH($D993,MUSTERILER!$B$7:$B$106,0)),IFERROR(INDEX(MUSTERILER!$B$7:$B$106,MATCH($D993&amp;"*",MUSTERILER!$C$7:$C$106,0)),"TANIMSIZ MÜŞTERİ"))))</f>
        <v/>
      </c>
      <c r="D993" s="109" t="n"/>
      <c r="E993" s="225" t="n"/>
      <c r="F993" s="226" t="n"/>
      <c r="G993" s="108" t="n"/>
      <c r="H993" s="108" t="n"/>
      <c r="I993" s="109" t="n"/>
      <c r="J993" s="109" t="n"/>
      <c r="K993" s="109" t="n"/>
      <c r="L993" s="231">
        <f>IF($E993="","",DATE(YEAR($E993),MONTH($E993),1))</f>
        <v/>
      </c>
      <c r="M993" s="113">
        <f>IF($D993="","",IF($C993="TANIMSIZ MÜŞTERİ","HATA",IF(OR($E993="",$F993&lt;=0,$G993=""),"EKSİK",IF($E993&gt;TODAY(),"İLERİ TARİH","UYGUN"))))</f>
        <v/>
      </c>
      <c r="N993" s="121">
        <f>IF($C993="","",IF($C993="TANIMSIZ MÜŞTERİ","—",INDEX(MUSTERILER!$C$7:$C$106,MATCH($C993,MUSTERILER!$B$7:$B$106,0))))</f>
        <v/>
      </c>
      <c r="O993" s="6" t="n"/>
      <c r="P993" s="6" t="n"/>
      <c r="Q993" s="3">
        <f>IF($D993="","",$C993&amp;"|"&amp;COUNTIFS($C$7:$C993,$C993))</f>
        <v/>
      </c>
    </row>
    <row r="994">
      <c r="A994" s="6" t="n"/>
      <c r="B994" s="113">
        <f>IF($D994="","","T"&amp;TEXT(ROW()-6,"00000"))</f>
        <v/>
      </c>
      <c r="C994" s="113">
        <f>IF($D994="","",IFERROR(INDEX(MUSTERILER!$B$7:$B$106,MATCH($D994,MUSTERILER!$C$7:$C$106,0)),IFERROR(INDEX(MUSTERILER!$B$7:$B$106,MATCH($D994,MUSTERILER!$B$7:$B$106,0)),IFERROR(INDEX(MUSTERILER!$B$7:$B$106,MATCH($D994&amp;"*",MUSTERILER!$C$7:$C$106,0)),"TANIMSIZ MÜŞTERİ"))))</f>
        <v/>
      </c>
      <c r="D994" s="109" t="n"/>
      <c r="E994" s="225" t="n"/>
      <c r="F994" s="226" t="n"/>
      <c r="G994" s="108" t="n"/>
      <c r="H994" s="108" t="n"/>
      <c r="I994" s="109" t="n"/>
      <c r="J994" s="109" t="n"/>
      <c r="K994" s="109" t="n"/>
      <c r="L994" s="231">
        <f>IF($E994="","",DATE(YEAR($E994),MONTH($E994),1))</f>
        <v/>
      </c>
      <c r="M994" s="113">
        <f>IF($D994="","",IF($C994="TANIMSIZ MÜŞTERİ","HATA",IF(OR($E994="",$F994&lt;=0,$G994=""),"EKSİK",IF($E994&gt;TODAY(),"İLERİ TARİH","UYGUN"))))</f>
        <v/>
      </c>
      <c r="N994" s="121">
        <f>IF($C994="","",IF($C994="TANIMSIZ MÜŞTERİ","—",INDEX(MUSTERILER!$C$7:$C$106,MATCH($C994,MUSTERILER!$B$7:$B$106,0))))</f>
        <v/>
      </c>
      <c r="O994" s="6" t="n"/>
      <c r="P994" s="6" t="n"/>
      <c r="Q994" s="3">
        <f>IF($D994="","",$C994&amp;"|"&amp;COUNTIFS($C$7:$C994,$C994))</f>
        <v/>
      </c>
    </row>
    <row r="995">
      <c r="A995" s="6" t="n"/>
      <c r="B995" s="113">
        <f>IF($D995="","","T"&amp;TEXT(ROW()-6,"00000"))</f>
        <v/>
      </c>
      <c r="C995" s="113">
        <f>IF($D995="","",IFERROR(INDEX(MUSTERILER!$B$7:$B$106,MATCH($D995,MUSTERILER!$C$7:$C$106,0)),IFERROR(INDEX(MUSTERILER!$B$7:$B$106,MATCH($D995,MUSTERILER!$B$7:$B$106,0)),IFERROR(INDEX(MUSTERILER!$B$7:$B$106,MATCH($D995&amp;"*",MUSTERILER!$C$7:$C$106,0)),"TANIMSIZ MÜŞTERİ"))))</f>
        <v/>
      </c>
      <c r="D995" s="109" t="n"/>
      <c r="E995" s="225" t="n"/>
      <c r="F995" s="226" t="n"/>
      <c r="G995" s="108" t="n"/>
      <c r="H995" s="108" t="n"/>
      <c r="I995" s="109" t="n"/>
      <c r="J995" s="109" t="n"/>
      <c r="K995" s="109" t="n"/>
      <c r="L995" s="231">
        <f>IF($E995="","",DATE(YEAR($E995),MONTH($E995),1))</f>
        <v/>
      </c>
      <c r="M995" s="113">
        <f>IF($D995="","",IF($C995="TANIMSIZ MÜŞTERİ","HATA",IF(OR($E995="",$F995&lt;=0,$G995=""),"EKSİK",IF($E995&gt;TODAY(),"İLERİ TARİH","UYGUN"))))</f>
        <v/>
      </c>
      <c r="N995" s="121">
        <f>IF($C995="","",IF($C995="TANIMSIZ MÜŞTERİ","—",INDEX(MUSTERILER!$C$7:$C$106,MATCH($C995,MUSTERILER!$B$7:$B$106,0))))</f>
        <v/>
      </c>
      <c r="O995" s="6" t="n"/>
      <c r="P995" s="6" t="n"/>
      <c r="Q995" s="3">
        <f>IF($D995="","",$C995&amp;"|"&amp;COUNTIFS($C$7:$C995,$C995))</f>
        <v/>
      </c>
    </row>
    <row r="996">
      <c r="A996" s="6" t="n"/>
      <c r="B996" s="113">
        <f>IF($D996="","","T"&amp;TEXT(ROW()-6,"00000"))</f>
        <v/>
      </c>
      <c r="C996" s="113">
        <f>IF($D996="","",IFERROR(INDEX(MUSTERILER!$B$7:$B$106,MATCH($D996,MUSTERILER!$C$7:$C$106,0)),IFERROR(INDEX(MUSTERILER!$B$7:$B$106,MATCH($D996,MUSTERILER!$B$7:$B$106,0)),IFERROR(INDEX(MUSTERILER!$B$7:$B$106,MATCH($D996&amp;"*",MUSTERILER!$C$7:$C$106,0)),"TANIMSIZ MÜŞTERİ"))))</f>
        <v/>
      </c>
      <c r="D996" s="109" t="n"/>
      <c r="E996" s="225" t="n"/>
      <c r="F996" s="226" t="n"/>
      <c r="G996" s="108" t="n"/>
      <c r="H996" s="108" t="n"/>
      <c r="I996" s="109" t="n"/>
      <c r="J996" s="109" t="n"/>
      <c r="K996" s="109" t="n"/>
      <c r="L996" s="231">
        <f>IF($E996="","",DATE(YEAR($E996),MONTH($E996),1))</f>
        <v/>
      </c>
      <c r="M996" s="113">
        <f>IF($D996="","",IF($C996="TANIMSIZ MÜŞTERİ","HATA",IF(OR($E996="",$F996&lt;=0,$G996=""),"EKSİK",IF($E996&gt;TODAY(),"İLERİ TARİH","UYGUN"))))</f>
        <v/>
      </c>
      <c r="N996" s="121">
        <f>IF($C996="","",IF($C996="TANIMSIZ MÜŞTERİ","—",INDEX(MUSTERILER!$C$7:$C$106,MATCH($C996,MUSTERILER!$B$7:$B$106,0))))</f>
        <v/>
      </c>
      <c r="O996" s="6" t="n"/>
      <c r="P996" s="6" t="n"/>
      <c r="Q996" s="3">
        <f>IF($D996="","",$C996&amp;"|"&amp;COUNTIFS($C$7:$C996,$C996))</f>
        <v/>
      </c>
    </row>
    <row r="997">
      <c r="A997" s="6" t="n"/>
      <c r="B997" s="113">
        <f>IF($D997="","","T"&amp;TEXT(ROW()-6,"00000"))</f>
        <v/>
      </c>
      <c r="C997" s="113">
        <f>IF($D997="","",IFERROR(INDEX(MUSTERILER!$B$7:$B$106,MATCH($D997,MUSTERILER!$C$7:$C$106,0)),IFERROR(INDEX(MUSTERILER!$B$7:$B$106,MATCH($D997,MUSTERILER!$B$7:$B$106,0)),IFERROR(INDEX(MUSTERILER!$B$7:$B$106,MATCH($D997&amp;"*",MUSTERILER!$C$7:$C$106,0)),"TANIMSIZ MÜŞTERİ"))))</f>
        <v/>
      </c>
      <c r="D997" s="109" t="n"/>
      <c r="E997" s="225" t="n"/>
      <c r="F997" s="226" t="n"/>
      <c r="G997" s="108" t="n"/>
      <c r="H997" s="108" t="n"/>
      <c r="I997" s="109" t="n"/>
      <c r="J997" s="109" t="n"/>
      <c r="K997" s="109" t="n"/>
      <c r="L997" s="231">
        <f>IF($E997="","",DATE(YEAR($E997),MONTH($E997),1))</f>
        <v/>
      </c>
      <c r="M997" s="113">
        <f>IF($D997="","",IF($C997="TANIMSIZ MÜŞTERİ","HATA",IF(OR($E997="",$F997&lt;=0,$G997=""),"EKSİK",IF($E997&gt;TODAY(),"İLERİ TARİH","UYGUN"))))</f>
        <v/>
      </c>
      <c r="N997" s="121">
        <f>IF($C997="","",IF($C997="TANIMSIZ MÜŞTERİ","—",INDEX(MUSTERILER!$C$7:$C$106,MATCH($C997,MUSTERILER!$B$7:$B$106,0))))</f>
        <v/>
      </c>
      <c r="O997" s="6" t="n"/>
      <c r="P997" s="6" t="n"/>
      <c r="Q997" s="3">
        <f>IF($D997="","",$C997&amp;"|"&amp;COUNTIFS($C$7:$C997,$C997))</f>
        <v/>
      </c>
    </row>
    <row r="998">
      <c r="A998" s="6" t="n"/>
      <c r="B998" s="113">
        <f>IF($D998="","","T"&amp;TEXT(ROW()-6,"00000"))</f>
        <v/>
      </c>
      <c r="C998" s="113">
        <f>IF($D998="","",IFERROR(INDEX(MUSTERILER!$B$7:$B$106,MATCH($D998,MUSTERILER!$C$7:$C$106,0)),IFERROR(INDEX(MUSTERILER!$B$7:$B$106,MATCH($D998,MUSTERILER!$B$7:$B$106,0)),IFERROR(INDEX(MUSTERILER!$B$7:$B$106,MATCH($D998&amp;"*",MUSTERILER!$C$7:$C$106,0)),"TANIMSIZ MÜŞTERİ"))))</f>
        <v/>
      </c>
      <c r="D998" s="109" t="n"/>
      <c r="E998" s="225" t="n"/>
      <c r="F998" s="226" t="n"/>
      <c r="G998" s="108" t="n"/>
      <c r="H998" s="108" t="n"/>
      <c r="I998" s="109" t="n"/>
      <c r="J998" s="109" t="n"/>
      <c r="K998" s="109" t="n"/>
      <c r="L998" s="231">
        <f>IF($E998="","",DATE(YEAR($E998),MONTH($E998),1))</f>
        <v/>
      </c>
      <c r="M998" s="113">
        <f>IF($D998="","",IF($C998="TANIMSIZ MÜŞTERİ","HATA",IF(OR($E998="",$F998&lt;=0,$G998=""),"EKSİK",IF($E998&gt;TODAY(),"İLERİ TARİH","UYGUN"))))</f>
        <v/>
      </c>
      <c r="N998" s="121">
        <f>IF($C998="","",IF($C998="TANIMSIZ MÜŞTERİ","—",INDEX(MUSTERILER!$C$7:$C$106,MATCH($C998,MUSTERILER!$B$7:$B$106,0))))</f>
        <v/>
      </c>
      <c r="O998" s="6" t="n"/>
      <c r="P998" s="6" t="n"/>
      <c r="Q998" s="3">
        <f>IF($D998="","",$C998&amp;"|"&amp;COUNTIFS($C$7:$C998,$C998))</f>
        <v/>
      </c>
    </row>
    <row r="999">
      <c r="A999" s="6" t="n"/>
      <c r="B999" s="113">
        <f>IF($D999="","","T"&amp;TEXT(ROW()-6,"00000"))</f>
        <v/>
      </c>
      <c r="C999" s="113">
        <f>IF($D999="","",IFERROR(INDEX(MUSTERILER!$B$7:$B$106,MATCH($D999,MUSTERILER!$C$7:$C$106,0)),IFERROR(INDEX(MUSTERILER!$B$7:$B$106,MATCH($D999,MUSTERILER!$B$7:$B$106,0)),IFERROR(INDEX(MUSTERILER!$B$7:$B$106,MATCH($D999&amp;"*",MUSTERILER!$C$7:$C$106,0)),"TANIMSIZ MÜŞTERİ"))))</f>
        <v/>
      </c>
      <c r="D999" s="109" t="n"/>
      <c r="E999" s="225" t="n"/>
      <c r="F999" s="226" t="n"/>
      <c r="G999" s="108" t="n"/>
      <c r="H999" s="108" t="n"/>
      <c r="I999" s="109" t="n"/>
      <c r="J999" s="109" t="n"/>
      <c r="K999" s="109" t="n"/>
      <c r="L999" s="231">
        <f>IF($E999="","",DATE(YEAR($E999),MONTH($E999),1))</f>
        <v/>
      </c>
      <c r="M999" s="113">
        <f>IF($D999="","",IF($C999="TANIMSIZ MÜŞTERİ","HATA",IF(OR($E999="",$F999&lt;=0,$G999=""),"EKSİK",IF($E999&gt;TODAY(),"İLERİ TARİH","UYGUN"))))</f>
        <v/>
      </c>
      <c r="N999" s="121">
        <f>IF($C999="","",IF($C999="TANIMSIZ MÜŞTERİ","—",INDEX(MUSTERILER!$C$7:$C$106,MATCH($C999,MUSTERILER!$B$7:$B$106,0))))</f>
        <v/>
      </c>
      <c r="O999" s="6" t="n"/>
      <c r="P999" s="6" t="n"/>
      <c r="Q999" s="3">
        <f>IF($D999="","",$C999&amp;"|"&amp;COUNTIFS($C$7:$C999,$C999))</f>
        <v/>
      </c>
    </row>
    <row r="1000">
      <c r="A1000" s="6" t="n"/>
      <c r="B1000" s="113">
        <f>IF($D1000="","","T"&amp;TEXT(ROW()-6,"00000"))</f>
        <v/>
      </c>
      <c r="C1000" s="113">
        <f>IF($D1000="","",IFERROR(INDEX(MUSTERILER!$B$7:$B$106,MATCH($D1000,MUSTERILER!$C$7:$C$106,0)),IFERROR(INDEX(MUSTERILER!$B$7:$B$106,MATCH($D1000,MUSTERILER!$B$7:$B$106,0)),IFERROR(INDEX(MUSTERILER!$B$7:$B$106,MATCH($D1000&amp;"*",MUSTERILER!$C$7:$C$106,0)),"TANIMSIZ MÜŞTERİ"))))</f>
        <v/>
      </c>
      <c r="D1000" s="109" t="n"/>
      <c r="E1000" s="225" t="n"/>
      <c r="F1000" s="226" t="n"/>
      <c r="G1000" s="108" t="n"/>
      <c r="H1000" s="108" t="n"/>
      <c r="I1000" s="109" t="n"/>
      <c r="J1000" s="109" t="n"/>
      <c r="K1000" s="109" t="n"/>
      <c r="L1000" s="231">
        <f>IF($E1000="","",DATE(YEAR($E1000),MONTH($E1000),1))</f>
        <v/>
      </c>
      <c r="M1000" s="113">
        <f>IF($D1000="","",IF($C1000="TANIMSIZ MÜŞTERİ","HATA",IF(OR($E1000="",$F1000&lt;=0,$G1000=""),"EKSİK",IF($E1000&gt;TODAY(),"İLERİ TARİH","UYGUN"))))</f>
        <v/>
      </c>
      <c r="N1000" s="121">
        <f>IF($C1000="","",IF($C1000="TANIMSIZ MÜŞTERİ","—",INDEX(MUSTERILER!$C$7:$C$106,MATCH($C1000,MUSTERILER!$B$7:$B$106,0))))</f>
        <v/>
      </c>
      <c r="O1000" s="6" t="n"/>
      <c r="P1000" s="6" t="n"/>
      <c r="Q1000" s="3">
        <f>IF($D1000="","",$C1000&amp;"|"&amp;COUNTIFS($C$7:$C1000,$C1000))</f>
        <v/>
      </c>
    </row>
    <row r="1001">
      <c r="A1001" s="6" t="n"/>
      <c r="B1001" s="113">
        <f>IF($D1001="","","T"&amp;TEXT(ROW()-6,"00000"))</f>
        <v/>
      </c>
      <c r="C1001" s="113">
        <f>IF($D1001="","",IFERROR(INDEX(MUSTERILER!$B$7:$B$106,MATCH($D1001,MUSTERILER!$C$7:$C$106,0)),IFERROR(INDEX(MUSTERILER!$B$7:$B$106,MATCH($D1001,MUSTERILER!$B$7:$B$106,0)),IFERROR(INDEX(MUSTERILER!$B$7:$B$106,MATCH($D1001&amp;"*",MUSTERILER!$C$7:$C$106,0)),"TANIMSIZ MÜŞTERİ"))))</f>
        <v/>
      </c>
      <c r="D1001" s="109" t="n"/>
      <c r="E1001" s="225" t="n"/>
      <c r="F1001" s="226" t="n"/>
      <c r="G1001" s="108" t="n"/>
      <c r="H1001" s="108" t="n"/>
      <c r="I1001" s="109" t="n"/>
      <c r="J1001" s="109" t="n"/>
      <c r="K1001" s="109" t="n"/>
      <c r="L1001" s="231">
        <f>IF($E1001="","",DATE(YEAR($E1001),MONTH($E1001),1))</f>
        <v/>
      </c>
      <c r="M1001" s="113">
        <f>IF($D1001="","",IF($C1001="TANIMSIZ MÜŞTERİ","HATA",IF(OR($E1001="",$F1001&lt;=0,$G1001=""),"EKSİK",IF($E1001&gt;TODAY(),"İLERİ TARİH","UYGUN"))))</f>
        <v/>
      </c>
      <c r="N1001" s="121">
        <f>IF($C1001="","",IF($C1001="TANIMSIZ MÜŞTERİ","—",INDEX(MUSTERILER!$C$7:$C$106,MATCH($C1001,MUSTERILER!$B$7:$B$106,0))))</f>
        <v/>
      </c>
      <c r="O1001" s="6" t="n"/>
      <c r="P1001" s="6" t="n"/>
      <c r="Q1001" s="3">
        <f>IF($D1001="","",$C1001&amp;"|"&amp;COUNTIFS($C$7:$C1001,$C1001))</f>
        <v/>
      </c>
    </row>
    <row r="1002">
      <c r="A1002" s="6" t="n"/>
      <c r="B1002" s="113">
        <f>IF($D1002="","","T"&amp;TEXT(ROW()-6,"00000"))</f>
        <v/>
      </c>
      <c r="C1002" s="113">
        <f>IF($D1002="","",IFERROR(INDEX(MUSTERILER!$B$7:$B$106,MATCH($D1002,MUSTERILER!$C$7:$C$106,0)),IFERROR(INDEX(MUSTERILER!$B$7:$B$106,MATCH($D1002,MUSTERILER!$B$7:$B$106,0)),IFERROR(INDEX(MUSTERILER!$B$7:$B$106,MATCH($D1002&amp;"*",MUSTERILER!$C$7:$C$106,0)),"TANIMSIZ MÜŞTERİ"))))</f>
        <v/>
      </c>
      <c r="D1002" s="109" t="n"/>
      <c r="E1002" s="225" t="n"/>
      <c r="F1002" s="226" t="n"/>
      <c r="G1002" s="108" t="n"/>
      <c r="H1002" s="108" t="n"/>
      <c r="I1002" s="109" t="n"/>
      <c r="J1002" s="109" t="n"/>
      <c r="K1002" s="109" t="n"/>
      <c r="L1002" s="231">
        <f>IF($E1002="","",DATE(YEAR($E1002),MONTH($E1002),1))</f>
        <v/>
      </c>
      <c r="M1002" s="113">
        <f>IF($D1002="","",IF($C1002="TANIMSIZ MÜŞTERİ","HATA",IF(OR($E1002="",$F1002&lt;=0,$G1002=""),"EKSİK",IF($E1002&gt;TODAY(),"İLERİ TARİH","UYGUN"))))</f>
        <v/>
      </c>
      <c r="N1002" s="121">
        <f>IF($C1002="","",IF($C1002="TANIMSIZ MÜŞTERİ","—",INDEX(MUSTERILER!$C$7:$C$106,MATCH($C1002,MUSTERILER!$B$7:$B$106,0))))</f>
        <v/>
      </c>
      <c r="O1002" s="6" t="n"/>
      <c r="P1002" s="6" t="n"/>
      <c r="Q1002" s="3">
        <f>IF($D1002="","",$C1002&amp;"|"&amp;COUNTIFS($C$7:$C1002,$C1002))</f>
        <v/>
      </c>
    </row>
    <row r="1003">
      <c r="A1003" s="6" t="n"/>
      <c r="B1003" s="113">
        <f>IF($D1003="","","T"&amp;TEXT(ROW()-6,"00000"))</f>
        <v/>
      </c>
      <c r="C1003" s="113">
        <f>IF($D1003="","",IFERROR(INDEX(MUSTERILER!$B$7:$B$106,MATCH($D1003,MUSTERILER!$C$7:$C$106,0)),IFERROR(INDEX(MUSTERILER!$B$7:$B$106,MATCH($D1003,MUSTERILER!$B$7:$B$106,0)),IFERROR(INDEX(MUSTERILER!$B$7:$B$106,MATCH($D1003&amp;"*",MUSTERILER!$C$7:$C$106,0)),"TANIMSIZ MÜŞTERİ"))))</f>
        <v/>
      </c>
      <c r="D1003" s="109" t="n"/>
      <c r="E1003" s="225" t="n"/>
      <c r="F1003" s="226" t="n"/>
      <c r="G1003" s="108" t="n"/>
      <c r="H1003" s="108" t="n"/>
      <c r="I1003" s="109" t="n"/>
      <c r="J1003" s="109" t="n"/>
      <c r="K1003" s="109" t="n"/>
      <c r="L1003" s="231">
        <f>IF($E1003="","",DATE(YEAR($E1003),MONTH($E1003),1))</f>
        <v/>
      </c>
      <c r="M1003" s="113">
        <f>IF($D1003="","",IF($C1003="TANIMSIZ MÜŞTERİ","HATA",IF(OR($E1003="",$F1003&lt;=0,$G1003=""),"EKSİK",IF($E1003&gt;TODAY(),"İLERİ TARİH","UYGUN"))))</f>
        <v/>
      </c>
      <c r="N1003" s="121">
        <f>IF($C1003="","",IF($C1003="TANIMSIZ MÜŞTERİ","—",INDEX(MUSTERILER!$C$7:$C$106,MATCH($C1003,MUSTERILER!$B$7:$B$106,0))))</f>
        <v/>
      </c>
      <c r="O1003" s="6" t="n"/>
      <c r="P1003" s="6" t="n"/>
      <c r="Q1003" s="3">
        <f>IF($D1003="","",$C1003&amp;"|"&amp;COUNTIFS($C$7:$C1003,$C1003))</f>
        <v/>
      </c>
    </row>
    <row r="1004">
      <c r="A1004" s="6" t="n"/>
      <c r="B1004" s="113">
        <f>IF($D1004="","","T"&amp;TEXT(ROW()-6,"00000"))</f>
        <v/>
      </c>
      <c r="C1004" s="113">
        <f>IF($D1004="","",IFERROR(INDEX(MUSTERILER!$B$7:$B$106,MATCH($D1004,MUSTERILER!$C$7:$C$106,0)),IFERROR(INDEX(MUSTERILER!$B$7:$B$106,MATCH($D1004,MUSTERILER!$B$7:$B$106,0)),IFERROR(INDEX(MUSTERILER!$B$7:$B$106,MATCH($D1004&amp;"*",MUSTERILER!$C$7:$C$106,0)),"TANIMSIZ MÜŞTERİ"))))</f>
        <v/>
      </c>
      <c r="D1004" s="109" t="n"/>
      <c r="E1004" s="225" t="n"/>
      <c r="F1004" s="226" t="n"/>
      <c r="G1004" s="108" t="n"/>
      <c r="H1004" s="108" t="n"/>
      <c r="I1004" s="109" t="n"/>
      <c r="J1004" s="109" t="n"/>
      <c r="K1004" s="109" t="n"/>
      <c r="L1004" s="231">
        <f>IF($E1004="","",DATE(YEAR($E1004),MONTH($E1004),1))</f>
        <v/>
      </c>
      <c r="M1004" s="113">
        <f>IF($D1004="","",IF($C1004="TANIMSIZ MÜŞTERİ","HATA",IF(OR($E1004="",$F1004&lt;=0,$G1004=""),"EKSİK",IF($E1004&gt;TODAY(),"İLERİ TARİH","UYGUN"))))</f>
        <v/>
      </c>
      <c r="N1004" s="121">
        <f>IF($C1004="","",IF($C1004="TANIMSIZ MÜŞTERİ","—",INDEX(MUSTERILER!$C$7:$C$106,MATCH($C1004,MUSTERILER!$B$7:$B$106,0))))</f>
        <v/>
      </c>
      <c r="O1004" s="6" t="n"/>
      <c r="P1004" s="6" t="n"/>
      <c r="Q1004" s="3">
        <f>IF($D1004="","",$C1004&amp;"|"&amp;COUNTIFS($C$7:$C1004,$C1004))</f>
        <v/>
      </c>
    </row>
    <row r="1005">
      <c r="A1005" s="6" t="n"/>
      <c r="B1005" s="113">
        <f>IF($D1005="","","T"&amp;TEXT(ROW()-6,"00000"))</f>
        <v/>
      </c>
      <c r="C1005" s="113">
        <f>IF($D1005="","",IFERROR(INDEX(MUSTERILER!$B$7:$B$106,MATCH($D1005,MUSTERILER!$C$7:$C$106,0)),IFERROR(INDEX(MUSTERILER!$B$7:$B$106,MATCH($D1005,MUSTERILER!$B$7:$B$106,0)),IFERROR(INDEX(MUSTERILER!$B$7:$B$106,MATCH($D1005&amp;"*",MUSTERILER!$C$7:$C$106,0)),"TANIMSIZ MÜŞTERİ"))))</f>
        <v/>
      </c>
      <c r="D1005" s="109" t="n"/>
      <c r="E1005" s="225" t="n"/>
      <c r="F1005" s="226" t="n"/>
      <c r="G1005" s="108" t="n"/>
      <c r="H1005" s="108" t="n"/>
      <c r="I1005" s="109" t="n"/>
      <c r="J1005" s="109" t="n"/>
      <c r="K1005" s="109" t="n"/>
      <c r="L1005" s="231">
        <f>IF($E1005="","",DATE(YEAR($E1005),MONTH($E1005),1))</f>
        <v/>
      </c>
      <c r="M1005" s="113">
        <f>IF($D1005="","",IF($C1005="TANIMSIZ MÜŞTERİ","HATA",IF(OR($E1005="",$F1005&lt;=0,$G1005=""),"EKSİK",IF($E1005&gt;TODAY(),"İLERİ TARİH","UYGUN"))))</f>
        <v/>
      </c>
      <c r="N1005" s="121">
        <f>IF($C1005="","",IF($C1005="TANIMSIZ MÜŞTERİ","—",INDEX(MUSTERILER!$C$7:$C$106,MATCH($C1005,MUSTERILER!$B$7:$B$106,0))))</f>
        <v/>
      </c>
      <c r="O1005" s="6" t="n"/>
      <c r="P1005" s="6" t="n"/>
      <c r="Q1005" s="3">
        <f>IF($D1005="","",$C1005&amp;"|"&amp;COUNTIFS($C$7:$C1005,$C1005))</f>
        <v/>
      </c>
    </row>
    <row r="1006">
      <c r="A1006" s="6" t="n"/>
      <c r="B1006" s="113">
        <f>IF($D1006="","","T"&amp;TEXT(ROW()-6,"00000"))</f>
        <v/>
      </c>
      <c r="C1006" s="113">
        <f>IF($D1006="","",IFERROR(INDEX(MUSTERILER!$B$7:$B$106,MATCH($D1006,MUSTERILER!$C$7:$C$106,0)),IFERROR(INDEX(MUSTERILER!$B$7:$B$106,MATCH($D1006,MUSTERILER!$B$7:$B$106,0)),IFERROR(INDEX(MUSTERILER!$B$7:$B$106,MATCH($D1006&amp;"*",MUSTERILER!$C$7:$C$106,0)),"TANIMSIZ MÜŞTERİ"))))</f>
        <v/>
      </c>
      <c r="D1006" s="109" t="n"/>
      <c r="E1006" s="225" t="n"/>
      <c r="F1006" s="226" t="n"/>
      <c r="G1006" s="108" t="n"/>
      <c r="H1006" s="108" t="n"/>
      <c r="I1006" s="109" t="n"/>
      <c r="J1006" s="109" t="n"/>
      <c r="K1006" s="109" t="n"/>
      <c r="L1006" s="231">
        <f>IF($E1006="","",DATE(YEAR($E1006),MONTH($E1006),1))</f>
        <v/>
      </c>
      <c r="M1006" s="113">
        <f>IF($D1006="","",IF($C1006="TANIMSIZ MÜŞTERİ","HATA",IF(OR($E1006="",$F1006&lt;=0,$G1006=""),"EKSİK",IF($E1006&gt;TODAY(),"İLERİ TARİH","UYGUN"))))</f>
        <v/>
      </c>
      <c r="N1006" s="121">
        <f>IF($C1006="","",IF($C1006="TANIMSIZ MÜŞTERİ","—",INDEX(MUSTERILER!$C$7:$C$106,MATCH($C1006,MUSTERILER!$B$7:$B$106,0))))</f>
        <v/>
      </c>
      <c r="O1006" s="6" t="n"/>
      <c r="P1006" s="6" t="n"/>
      <c r="Q1006" s="3">
        <f>IF($D1006="","",$C1006&amp;"|"&amp;COUNTIFS($C$7:$C1006,$C1006))</f>
        <v/>
      </c>
    </row>
    <row r="1007">
      <c r="A1007" s="6" t="n"/>
      <c r="B1007" s="113">
        <f>IF($D1007="","","T"&amp;TEXT(ROW()-6,"00000"))</f>
        <v/>
      </c>
      <c r="C1007" s="113">
        <f>IF($D1007="","",IFERROR(INDEX(MUSTERILER!$B$7:$B$106,MATCH($D1007,MUSTERILER!$C$7:$C$106,0)),IFERROR(INDEX(MUSTERILER!$B$7:$B$106,MATCH($D1007,MUSTERILER!$B$7:$B$106,0)),IFERROR(INDEX(MUSTERILER!$B$7:$B$106,MATCH($D1007&amp;"*",MUSTERILER!$C$7:$C$106,0)),"TANIMSIZ MÜŞTERİ"))))</f>
        <v/>
      </c>
      <c r="D1007" s="109" t="n"/>
      <c r="E1007" s="225" t="n"/>
      <c r="F1007" s="226" t="n"/>
      <c r="G1007" s="108" t="n"/>
      <c r="H1007" s="108" t="n"/>
      <c r="I1007" s="109" t="n"/>
      <c r="J1007" s="109" t="n"/>
      <c r="K1007" s="109" t="n"/>
      <c r="L1007" s="231">
        <f>IF($E1007="","",DATE(YEAR($E1007),MONTH($E1007),1))</f>
        <v/>
      </c>
      <c r="M1007" s="113">
        <f>IF($D1007="","",IF($C1007="TANIMSIZ MÜŞTERİ","HATA",IF(OR($E1007="",$F1007&lt;=0,$G1007=""),"EKSİK",IF($E1007&gt;TODAY(),"İLERİ TARİH","UYGUN"))))</f>
        <v/>
      </c>
      <c r="N1007" s="121">
        <f>IF($C1007="","",IF($C1007="TANIMSIZ MÜŞTERİ","—",INDEX(MUSTERILER!$C$7:$C$106,MATCH($C1007,MUSTERILER!$B$7:$B$106,0))))</f>
        <v/>
      </c>
      <c r="O1007" s="6" t="n"/>
      <c r="P1007" s="6" t="n"/>
      <c r="Q1007" s="3">
        <f>IF($D1007="","",$C1007&amp;"|"&amp;COUNTIFS($C$7:$C1007,$C1007))</f>
        <v/>
      </c>
    </row>
    <row r="1008">
      <c r="A1008" s="6" t="n"/>
      <c r="B1008" s="113">
        <f>IF($D1008="","","T"&amp;TEXT(ROW()-6,"00000"))</f>
        <v/>
      </c>
      <c r="C1008" s="113">
        <f>IF($D1008="","",IFERROR(INDEX(MUSTERILER!$B$7:$B$106,MATCH($D1008,MUSTERILER!$C$7:$C$106,0)),IFERROR(INDEX(MUSTERILER!$B$7:$B$106,MATCH($D1008,MUSTERILER!$B$7:$B$106,0)),IFERROR(INDEX(MUSTERILER!$B$7:$B$106,MATCH($D1008&amp;"*",MUSTERILER!$C$7:$C$106,0)),"TANIMSIZ MÜŞTERİ"))))</f>
        <v/>
      </c>
      <c r="D1008" s="109" t="n"/>
      <c r="E1008" s="225" t="n"/>
      <c r="F1008" s="226" t="n"/>
      <c r="G1008" s="108" t="n"/>
      <c r="H1008" s="108" t="n"/>
      <c r="I1008" s="109" t="n"/>
      <c r="J1008" s="109" t="n"/>
      <c r="K1008" s="109" t="n"/>
      <c r="L1008" s="231">
        <f>IF($E1008="","",DATE(YEAR($E1008),MONTH($E1008),1))</f>
        <v/>
      </c>
      <c r="M1008" s="113">
        <f>IF($D1008="","",IF($C1008="TANIMSIZ MÜŞTERİ","HATA",IF(OR($E1008="",$F1008&lt;=0,$G1008=""),"EKSİK",IF($E1008&gt;TODAY(),"İLERİ TARİH","UYGUN"))))</f>
        <v/>
      </c>
      <c r="N1008" s="121">
        <f>IF($C1008="","",IF($C1008="TANIMSIZ MÜŞTERİ","—",INDEX(MUSTERILER!$C$7:$C$106,MATCH($C1008,MUSTERILER!$B$7:$B$106,0))))</f>
        <v/>
      </c>
      <c r="O1008" s="6" t="n"/>
      <c r="P1008" s="6" t="n"/>
      <c r="Q1008" s="3">
        <f>IF($D1008="","",$C1008&amp;"|"&amp;COUNTIFS($C$7:$C1008,$C1008))</f>
        <v/>
      </c>
    </row>
    <row r="1009">
      <c r="A1009" s="6" t="n"/>
      <c r="B1009" s="113">
        <f>IF($D1009="","","T"&amp;TEXT(ROW()-6,"00000"))</f>
        <v/>
      </c>
      <c r="C1009" s="113">
        <f>IF($D1009="","",IFERROR(INDEX(MUSTERILER!$B$7:$B$106,MATCH($D1009,MUSTERILER!$C$7:$C$106,0)),IFERROR(INDEX(MUSTERILER!$B$7:$B$106,MATCH($D1009,MUSTERILER!$B$7:$B$106,0)),IFERROR(INDEX(MUSTERILER!$B$7:$B$106,MATCH($D1009&amp;"*",MUSTERILER!$C$7:$C$106,0)),"TANIMSIZ MÜŞTERİ"))))</f>
        <v/>
      </c>
      <c r="D1009" s="109" t="n"/>
      <c r="E1009" s="225" t="n"/>
      <c r="F1009" s="226" t="n"/>
      <c r="G1009" s="108" t="n"/>
      <c r="H1009" s="108" t="n"/>
      <c r="I1009" s="109" t="n"/>
      <c r="J1009" s="109" t="n"/>
      <c r="K1009" s="109" t="n"/>
      <c r="L1009" s="231">
        <f>IF($E1009="","",DATE(YEAR($E1009),MONTH($E1009),1))</f>
        <v/>
      </c>
      <c r="M1009" s="113">
        <f>IF($D1009="","",IF($C1009="TANIMSIZ MÜŞTERİ","HATA",IF(OR($E1009="",$F1009&lt;=0,$G1009=""),"EKSİK",IF($E1009&gt;TODAY(),"İLERİ TARİH","UYGUN"))))</f>
        <v/>
      </c>
      <c r="N1009" s="121">
        <f>IF($C1009="","",IF($C1009="TANIMSIZ MÜŞTERİ","—",INDEX(MUSTERILER!$C$7:$C$106,MATCH($C1009,MUSTERILER!$B$7:$B$106,0))))</f>
        <v/>
      </c>
      <c r="O1009" s="6" t="n"/>
      <c r="P1009" s="6" t="n"/>
      <c r="Q1009" s="3">
        <f>IF($D1009="","",$C1009&amp;"|"&amp;COUNTIFS($C$7:$C1009,$C1009))</f>
        <v/>
      </c>
    </row>
    <row r="1010">
      <c r="A1010" s="6" t="n"/>
      <c r="B1010" s="113">
        <f>IF($D1010="","","T"&amp;TEXT(ROW()-6,"00000"))</f>
        <v/>
      </c>
      <c r="C1010" s="113">
        <f>IF($D1010="","",IFERROR(INDEX(MUSTERILER!$B$7:$B$106,MATCH($D1010,MUSTERILER!$C$7:$C$106,0)),IFERROR(INDEX(MUSTERILER!$B$7:$B$106,MATCH($D1010,MUSTERILER!$B$7:$B$106,0)),IFERROR(INDEX(MUSTERILER!$B$7:$B$106,MATCH($D1010&amp;"*",MUSTERILER!$C$7:$C$106,0)),"TANIMSIZ MÜŞTERİ"))))</f>
        <v/>
      </c>
      <c r="D1010" s="109" t="n"/>
      <c r="E1010" s="225" t="n"/>
      <c r="F1010" s="226" t="n"/>
      <c r="G1010" s="108" t="n"/>
      <c r="H1010" s="108" t="n"/>
      <c r="I1010" s="109" t="n"/>
      <c r="J1010" s="109" t="n"/>
      <c r="K1010" s="109" t="n"/>
      <c r="L1010" s="231">
        <f>IF($E1010="","",DATE(YEAR($E1010),MONTH($E1010),1))</f>
        <v/>
      </c>
      <c r="M1010" s="113">
        <f>IF($D1010="","",IF($C1010="TANIMSIZ MÜŞTERİ","HATA",IF(OR($E1010="",$F1010&lt;=0,$G1010=""),"EKSİK",IF($E1010&gt;TODAY(),"İLERİ TARİH","UYGUN"))))</f>
        <v/>
      </c>
      <c r="N1010" s="121">
        <f>IF($C1010="","",IF($C1010="TANIMSIZ MÜŞTERİ","—",INDEX(MUSTERILER!$C$7:$C$106,MATCH($C1010,MUSTERILER!$B$7:$B$106,0))))</f>
        <v/>
      </c>
      <c r="O1010" s="6" t="n"/>
      <c r="P1010" s="6" t="n"/>
      <c r="Q1010" s="3">
        <f>IF($D1010="","",$C1010&amp;"|"&amp;COUNTIFS($C$7:$C1010,$C1010))</f>
        <v/>
      </c>
    </row>
    <row r="1011">
      <c r="A1011" s="6" t="n"/>
      <c r="B1011" s="113">
        <f>IF($D1011="","","T"&amp;TEXT(ROW()-6,"00000"))</f>
        <v/>
      </c>
      <c r="C1011" s="113">
        <f>IF($D1011="","",IFERROR(INDEX(MUSTERILER!$B$7:$B$106,MATCH($D1011,MUSTERILER!$C$7:$C$106,0)),IFERROR(INDEX(MUSTERILER!$B$7:$B$106,MATCH($D1011,MUSTERILER!$B$7:$B$106,0)),IFERROR(INDEX(MUSTERILER!$B$7:$B$106,MATCH($D1011&amp;"*",MUSTERILER!$C$7:$C$106,0)),"TANIMSIZ MÜŞTERİ"))))</f>
        <v/>
      </c>
      <c r="D1011" s="109" t="n"/>
      <c r="E1011" s="225" t="n"/>
      <c r="F1011" s="226" t="n"/>
      <c r="G1011" s="108" t="n"/>
      <c r="H1011" s="108" t="n"/>
      <c r="I1011" s="109" t="n"/>
      <c r="J1011" s="109" t="n"/>
      <c r="K1011" s="109" t="n"/>
      <c r="L1011" s="231">
        <f>IF($E1011="","",DATE(YEAR($E1011),MONTH($E1011),1))</f>
        <v/>
      </c>
      <c r="M1011" s="113">
        <f>IF($D1011="","",IF($C1011="TANIMSIZ MÜŞTERİ","HATA",IF(OR($E1011="",$F1011&lt;=0,$G1011=""),"EKSİK",IF($E1011&gt;TODAY(),"İLERİ TARİH","UYGUN"))))</f>
        <v/>
      </c>
      <c r="N1011" s="121">
        <f>IF($C1011="","",IF($C1011="TANIMSIZ MÜŞTERİ","—",INDEX(MUSTERILER!$C$7:$C$106,MATCH($C1011,MUSTERILER!$B$7:$B$106,0))))</f>
        <v/>
      </c>
      <c r="O1011" s="6" t="n"/>
      <c r="P1011" s="6" t="n"/>
      <c r="Q1011" s="3">
        <f>IF($D1011="","",$C1011&amp;"|"&amp;COUNTIFS($C$7:$C1011,$C1011))</f>
        <v/>
      </c>
    </row>
    <row r="1012">
      <c r="A1012" s="6" t="n"/>
      <c r="B1012" s="113">
        <f>IF($D1012="","","T"&amp;TEXT(ROW()-6,"00000"))</f>
        <v/>
      </c>
      <c r="C1012" s="113">
        <f>IF($D1012="","",IFERROR(INDEX(MUSTERILER!$B$7:$B$106,MATCH($D1012,MUSTERILER!$C$7:$C$106,0)),IFERROR(INDEX(MUSTERILER!$B$7:$B$106,MATCH($D1012,MUSTERILER!$B$7:$B$106,0)),IFERROR(INDEX(MUSTERILER!$B$7:$B$106,MATCH($D1012&amp;"*",MUSTERILER!$C$7:$C$106,0)),"TANIMSIZ MÜŞTERİ"))))</f>
        <v/>
      </c>
      <c r="D1012" s="109" t="n"/>
      <c r="E1012" s="225" t="n"/>
      <c r="F1012" s="226" t="n"/>
      <c r="G1012" s="108" t="n"/>
      <c r="H1012" s="108" t="n"/>
      <c r="I1012" s="109" t="n"/>
      <c r="J1012" s="109" t="n"/>
      <c r="K1012" s="109" t="n"/>
      <c r="L1012" s="231">
        <f>IF($E1012="","",DATE(YEAR($E1012),MONTH($E1012),1))</f>
        <v/>
      </c>
      <c r="M1012" s="113">
        <f>IF($D1012="","",IF($C1012="TANIMSIZ MÜŞTERİ","HATA",IF(OR($E1012="",$F1012&lt;=0,$G1012=""),"EKSİK",IF($E1012&gt;TODAY(),"İLERİ TARİH","UYGUN"))))</f>
        <v/>
      </c>
      <c r="N1012" s="121">
        <f>IF($C1012="","",IF($C1012="TANIMSIZ MÜŞTERİ","—",INDEX(MUSTERILER!$C$7:$C$106,MATCH($C1012,MUSTERILER!$B$7:$B$106,0))))</f>
        <v/>
      </c>
      <c r="O1012" s="6" t="n"/>
      <c r="P1012" s="6" t="n"/>
      <c r="Q1012" s="3">
        <f>IF($D1012="","",$C1012&amp;"|"&amp;COUNTIFS($C$7:$C1012,$C1012))</f>
        <v/>
      </c>
    </row>
    <row r="1013">
      <c r="A1013" s="6" t="n"/>
      <c r="B1013" s="113">
        <f>IF($D1013="","","T"&amp;TEXT(ROW()-6,"00000"))</f>
        <v/>
      </c>
      <c r="C1013" s="113">
        <f>IF($D1013="","",IFERROR(INDEX(MUSTERILER!$B$7:$B$106,MATCH($D1013,MUSTERILER!$C$7:$C$106,0)),IFERROR(INDEX(MUSTERILER!$B$7:$B$106,MATCH($D1013,MUSTERILER!$B$7:$B$106,0)),IFERROR(INDEX(MUSTERILER!$B$7:$B$106,MATCH($D1013&amp;"*",MUSTERILER!$C$7:$C$106,0)),"TANIMSIZ MÜŞTERİ"))))</f>
        <v/>
      </c>
      <c r="D1013" s="109" t="n"/>
      <c r="E1013" s="225" t="n"/>
      <c r="F1013" s="226" t="n"/>
      <c r="G1013" s="108" t="n"/>
      <c r="H1013" s="108" t="n"/>
      <c r="I1013" s="109" t="n"/>
      <c r="J1013" s="109" t="n"/>
      <c r="K1013" s="109" t="n"/>
      <c r="L1013" s="231">
        <f>IF($E1013="","",DATE(YEAR($E1013),MONTH($E1013),1))</f>
        <v/>
      </c>
      <c r="M1013" s="113">
        <f>IF($D1013="","",IF($C1013="TANIMSIZ MÜŞTERİ","HATA",IF(OR($E1013="",$F1013&lt;=0,$G1013=""),"EKSİK",IF($E1013&gt;TODAY(),"İLERİ TARİH","UYGUN"))))</f>
        <v/>
      </c>
      <c r="N1013" s="121">
        <f>IF($C1013="","",IF($C1013="TANIMSIZ MÜŞTERİ","—",INDEX(MUSTERILER!$C$7:$C$106,MATCH($C1013,MUSTERILER!$B$7:$B$106,0))))</f>
        <v/>
      </c>
      <c r="O1013" s="6" t="n"/>
      <c r="P1013" s="6" t="n"/>
      <c r="Q1013" s="3">
        <f>IF($D1013="","",$C1013&amp;"|"&amp;COUNTIFS($C$7:$C1013,$C1013))</f>
        <v/>
      </c>
    </row>
    <row r="1014">
      <c r="A1014" s="6" t="n"/>
      <c r="B1014" s="113">
        <f>IF($D1014="","","T"&amp;TEXT(ROW()-6,"00000"))</f>
        <v/>
      </c>
      <c r="C1014" s="113">
        <f>IF($D1014="","",IFERROR(INDEX(MUSTERILER!$B$7:$B$106,MATCH($D1014,MUSTERILER!$C$7:$C$106,0)),IFERROR(INDEX(MUSTERILER!$B$7:$B$106,MATCH($D1014,MUSTERILER!$B$7:$B$106,0)),IFERROR(INDEX(MUSTERILER!$B$7:$B$106,MATCH($D1014&amp;"*",MUSTERILER!$C$7:$C$106,0)),"TANIMSIZ MÜŞTERİ"))))</f>
        <v/>
      </c>
      <c r="D1014" s="109" t="n"/>
      <c r="E1014" s="225" t="n"/>
      <c r="F1014" s="226" t="n"/>
      <c r="G1014" s="108" t="n"/>
      <c r="H1014" s="108" t="n"/>
      <c r="I1014" s="109" t="n"/>
      <c r="J1014" s="109" t="n"/>
      <c r="K1014" s="109" t="n"/>
      <c r="L1014" s="231">
        <f>IF($E1014="","",DATE(YEAR($E1014),MONTH($E1014),1))</f>
        <v/>
      </c>
      <c r="M1014" s="113">
        <f>IF($D1014="","",IF($C1014="TANIMSIZ MÜŞTERİ","HATA",IF(OR($E1014="",$F1014&lt;=0,$G1014=""),"EKSİK",IF($E1014&gt;TODAY(),"İLERİ TARİH","UYGUN"))))</f>
        <v/>
      </c>
      <c r="N1014" s="121">
        <f>IF($C1014="","",IF($C1014="TANIMSIZ MÜŞTERİ","—",INDEX(MUSTERILER!$C$7:$C$106,MATCH($C1014,MUSTERILER!$B$7:$B$106,0))))</f>
        <v/>
      </c>
      <c r="O1014" s="6" t="n"/>
      <c r="P1014" s="6" t="n"/>
      <c r="Q1014" s="3">
        <f>IF($D1014="","",$C1014&amp;"|"&amp;COUNTIFS($C$7:$C1014,$C1014))</f>
        <v/>
      </c>
    </row>
    <row r="1015">
      <c r="A1015" s="6" t="n"/>
      <c r="B1015" s="113">
        <f>IF($D1015="","","T"&amp;TEXT(ROW()-6,"00000"))</f>
        <v/>
      </c>
      <c r="C1015" s="113">
        <f>IF($D1015="","",IFERROR(INDEX(MUSTERILER!$B$7:$B$106,MATCH($D1015,MUSTERILER!$C$7:$C$106,0)),IFERROR(INDEX(MUSTERILER!$B$7:$B$106,MATCH($D1015,MUSTERILER!$B$7:$B$106,0)),IFERROR(INDEX(MUSTERILER!$B$7:$B$106,MATCH($D1015&amp;"*",MUSTERILER!$C$7:$C$106,0)),"TANIMSIZ MÜŞTERİ"))))</f>
        <v/>
      </c>
      <c r="D1015" s="109" t="n"/>
      <c r="E1015" s="225" t="n"/>
      <c r="F1015" s="226" t="n"/>
      <c r="G1015" s="108" t="n"/>
      <c r="H1015" s="108" t="n"/>
      <c r="I1015" s="109" t="n"/>
      <c r="J1015" s="109" t="n"/>
      <c r="K1015" s="109" t="n"/>
      <c r="L1015" s="231">
        <f>IF($E1015="","",DATE(YEAR($E1015),MONTH($E1015),1))</f>
        <v/>
      </c>
      <c r="M1015" s="113">
        <f>IF($D1015="","",IF($C1015="TANIMSIZ MÜŞTERİ","HATA",IF(OR($E1015="",$F1015&lt;=0,$G1015=""),"EKSİK",IF($E1015&gt;TODAY(),"İLERİ TARİH","UYGUN"))))</f>
        <v/>
      </c>
      <c r="N1015" s="121">
        <f>IF($C1015="","",IF($C1015="TANIMSIZ MÜŞTERİ","—",INDEX(MUSTERILER!$C$7:$C$106,MATCH($C1015,MUSTERILER!$B$7:$B$106,0))))</f>
        <v/>
      </c>
      <c r="O1015" s="6" t="n"/>
      <c r="P1015" s="6" t="n"/>
      <c r="Q1015" s="3">
        <f>IF($D1015="","",$C1015&amp;"|"&amp;COUNTIFS($C$7:$C1015,$C1015))</f>
        <v/>
      </c>
    </row>
    <row r="1016">
      <c r="A1016" s="6" t="n"/>
      <c r="B1016" s="113">
        <f>IF($D1016="","","T"&amp;TEXT(ROW()-6,"00000"))</f>
        <v/>
      </c>
      <c r="C1016" s="113">
        <f>IF($D1016="","",IFERROR(INDEX(MUSTERILER!$B$7:$B$106,MATCH($D1016,MUSTERILER!$C$7:$C$106,0)),IFERROR(INDEX(MUSTERILER!$B$7:$B$106,MATCH($D1016,MUSTERILER!$B$7:$B$106,0)),IFERROR(INDEX(MUSTERILER!$B$7:$B$106,MATCH($D1016&amp;"*",MUSTERILER!$C$7:$C$106,0)),"TANIMSIZ MÜŞTERİ"))))</f>
        <v/>
      </c>
      <c r="D1016" s="109" t="n"/>
      <c r="E1016" s="225" t="n"/>
      <c r="F1016" s="226" t="n"/>
      <c r="G1016" s="108" t="n"/>
      <c r="H1016" s="108" t="n"/>
      <c r="I1016" s="109" t="n"/>
      <c r="J1016" s="109" t="n"/>
      <c r="K1016" s="109" t="n"/>
      <c r="L1016" s="231">
        <f>IF($E1016="","",DATE(YEAR($E1016),MONTH($E1016),1))</f>
        <v/>
      </c>
      <c r="M1016" s="113">
        <f>IF($D1016="","",IF($C1016="TANIMSIZ MÜŞTERİ","HATA",IF(OR($E1016="",$F1016&lt;=0,$G1016=""),"EKSİK",IF($E1016&gt;TODAY(),"İLERİ TARİH","UYGUN"))))</f>
        <v/>
      </c>
      <c r="N1016" s="121">
        <f>IF($C1016="","",IF($C1016="TANIMSIZ MÜŞTERİ","—",INDEX(MUSTERILER!$C$7:$C$106,MATCH($C1016,MUSTERILER!$B$7:$B$106,0))))</f>
        <v/>
      </c>
      <c r="O1016" s="6" t="n"/>
      <c r="P1016" s="6" t="n"/>
      <c r="Q1016" s="3">
        <f>IF($D1016="","",$C1016&amp;"|"&amp;COUNTIFS($C$7:$C1016,$C1016))</f>
        <v/>
      </c>
    </row>
    <row r="1017">
      <c r="A1017" s="6" t="n"/>
      <c r="B1017" s="113">
        <f>IF($D1017="","","T"&amp;TEXT(ROW()-6,"00000"))</f>
        <v/>
      </c>
      <c r="C1017" s="113">
        <f>IF($D1017="","",IFERROR(INDEX(MUSTERILER!$B$7:$B$106,MATCH($D1017,MUSTERILER!$C$7:$C$106,0)),IFERROR(INDEX(MUSTERILER!$B$7:$B$106,MATCH($D1017,MUSTERILER!$B$7:$B$106,0)),IFERROR(INDEX(MUSTERILER!$B$7:$B$106,MATCH($D1017&amp;"*",MUSTERILER!$C$7:$C$106,0)),"TANIMSIZ MÜŞTERİ"))))</f>
        <v/>
      </c>
      <c r="D1017" s="109" t="n"/>
      <c r="E1017" s="225" t="n"/>
      <c r="F1017" s="226" t="n"/>
      <c r="G1017" s="108" t="n"/>
      <c r="H1017" s="108" t="n"/>
      <c r="I1017" s="109" t="n"/>
      <c r="J1017" s="109" t="n"/>
      <c r="K1017" s="109" t="n"/>
      <c r="L1017" s="231">
        <f>IF($E1017="","",DATE(YEAR($E1017),MONTH($E1017),1))</f>
        <v/>
      </c>
      <c r="M1017" s="113">
        <f>IF($D1017="","",IF($C1017="TANIMSIZ MÜŞTERİ","HATA",IF(OR($E1017="",$F1017&lt;=0,$G1017=""),"EKSİK",IF($E1017&gt;TODAY(),"İLERİ TARİH","UYGUN"))))</f>
        <v/>
      </c>
      <c r="N1017" s="121">
        <f>IF($C1017="","",IF($C1017="TANIMSIZ MÜŞTERİ","—",INDEX(MUSTERILER!$C$7:$C$106,MATCH($C1017,MUSTERILER!$B$7:$B$106,0))))</f>
        <v/>
      </c>
      <c r="O1017" s="6" t="n"/>
      <c r="P1017" s="6" t="n"/>
      <c r="Q1017" s="3">
        <f>IF($D1017="","",$C1017&amp;"|"&amp;COUNTIFS($C$7:$C1017,$C1017))</f>
        <v/>
      </c>
    </row>
    <row r="1018">
      <c r="A1018" s="6" t="n"/>
      <c r="B1018" s="113">
        <f>IF($D1018="","","T"&amp;TEXT(ROW()-6,"00000"))</f>
        <v/>
      </c>
      <c r="C1018" s="113">
        <f>IF($D1018="","",IFERROR(INDEX(MUSTERILER!$B$7:$B$106,MATCH($D1018,MUSTERILER!$C$7:$C$106,0)),IFERROR(INDEX(MUSTERILER!$B$7:$B$106,MATCH($D1018,MUSTERILER!$B$7:$B$106,0)),IFERROR(INDEX(MUSTERILER!$B$7:$B$106,MATCH($D1018&amp;"*",MUSTERILER!$C$7:$C$106,0)),"TANIMSIZ MÜŞTERİ"))))</f>
        <v/>
      </c>
      <c r="D1018" s="109" t="n"/>
      <c r="E1018" s="225" t="n"/>
      <c r="F1018" s="226" t="n"/>
      <c r="G1018" s="108" t="n"/>
      <c r="H1018" s="108" t="n"/>
      <c r="I1018" s="109" t="n"/>
      <c r="J1018" s="109" t="n"/>
      <c r="K1018" s="109" t="n"/>
      <c r="L1018" s="231">
        <f>IF($E1018="","",DATE(YEAR($E1018),MONTH($E1018),1))</f>
        <v/>
      </c>
      <c r="M1018" s="113">
        <f>IF($D1018="","",IF($C1018="TANIMSIZ MÜŞTERİ","HATA",IF(OR($E1018="",$F1018&lt;=0,$G1018=""),"EKSİK",IF($E1018&gt;TODAY(),"İLERİ TARİH","UYGUN"))))</f>
        <v/>
      </c>
      <c r="N1018" s="121">
        <f>IF($C1018="","",IF($C1018="TANIMSIZ MÜŞTERİ","—",INDEX(MUSTERILER!$C$7:$C$106,MATCH($C1018,MUSTERILER!$B$7:$B$106,0))))</f>
        <v/>
      </c>
      <c r="O1018" s="6" t="n"/>
      <c r="P1018" s="6" t="n"/>
      <c r="Q1018" s="3">
        <f>IF($D1018="","",$C1018&amp;"|"&amp;COUNTIFS($C$7:$C1018,$C1018))</f>
        <v/>
      </c>
    </row>
    <row r="1019">
      <c r="A1019" s="6" t="n"/>
      <c r="B1019" s="113">
        <f>IF($D1019="","","T"&amp;TEXT(ROW()-6,"00000"))</f>
        <v/>
      </c>
      <c r="C1019" s="113">
        <f>IF($D1019="","",IFERROR(INDEX(MUSTERILER!$B$7:$B$106,MATCH($D1019,MUSTERILER!$C$7:$C$106,0)),IFERROR(INDEX(MUSTERILER!$B$7:$B$106,MATCH($D1019,MUSTERILER!$B$7:$B$106,0)),IFERROR(INDEX(MUSTERILER!$B$7:$B$106,MATCH($D1019&amp;"*",MUSTERILER!$C$7:$C$106,0)),"TANIMSIZ MÜŞTERİ"))))</f>
        <v/>
      </c>
      <c r="D1019" s="109" t="n"/>
      <c r="E1019" s="225" t="n"/>
      <c r="F1019" s="226" t="n"/>
      <c r="G1019" s="108" t="n"/>
      <c r="H1019" s="108" t="n"/>
      <c r="I1019" s="109" t="n"/>
      <c r="J1019" s="109" t="n"/>
      <c r="K1019" s="109" t="n"/>
      <c r="L1019" s="231">
        <f>IF($E1019="","",DATE(YEAR($E1019),MONTH($E1019),1))</f>
        <v/>
      </c>
      <c r="M1019" s="113">
        <f>IF($D1019="","",IF($C1019="TANIMSIZ MÜŞTERİ","HATA",IF(OR($E1019="",$F1019&lt;=0,$G1019=""),"EKSİK",IF($E1019&gt;TODAY(),"İLERİ TARİH","UYGUN"))))</f>
        <v/>
      </c>
      <c r="N1019" s="121">
        <f>IF($C1019="","",IF($C1019="TANIMSIZ MÜŞTERİ","—",INDEX(MUSTERILER!$C$7:$C$106,MATCH($C1019,MUSTERILER!$B$7:$B$106,0))))</f>
        <v/>
      </c>
      <c r="O1019" s="6" t="n"/>
      <c r="P1019" s="6" t="n"/>
      <c r="Q1019" s="3">
        <f>IF($D1019="","",$C1019&amp;"|"&amp;COUNTIFS($C$7:$C1019,$C1019))</f>
        <v/>
      </c>
    </row>
    <row r="1020">
      <c r="A1020" s="6" t="n"/>
      <c r="B1020" s="113">
        <f>IF($D1020="","","T"&amp;TEXT(ROW()-6,"00000"))</f>
        <v/>
      </c>
      <c r="C1020" s="113">
        <f>IF($D1020="","",IFERROR(INDEX(MUSTERILER!$B$7:$B$106,MATCH($D1020,MUSTERILER!$C$7:$C$106,0)),IFERROR(INDEX(MUSTERILER!$B$7:$B$106,MATCH($D1020,MUSTERILER!$B$7:$B$106,0)),IFERROR(INDEX(MUSTERILER!$B$7:$B$106,MATCH($D1020&amp;"*",MUSTERILER!$C$7:$C$106,0)),"TANIMSIZ MÜŞTERİ"))))</f>
        <v/>
      </c>
      <c r="D1020" s="109" t="n"/>
      <c r="E1020" s="225" t="n"/>
      <c r="F1020" s="226" t="n"/>
      <c r="G1020" s="108" t="n"/>
      <c r="H1020" s="108" t="n"/>
      <c r="I1020" s="109" t="n"/>
      <c r="J1020" s="109" t="n"/>
      <c r="K1020" s="109" t="n"/>
      <c r="L1020" s="231">
        <f>IF($E1020="","",DATE(YEAR($E1020),MONTH($E1020),1))</f>
        <v/>
      </c>
      <c r="M1020" s="113">
        <f>IF($D1020="","",IF($C1020="TANIMSIZ MÜŞTERİ","HATA",IF(OR($E1020="",$F1020&lt;=0,$G1020=""),"EKSİK",IF($E1020&gt;TODAY(),"İLERİ TARİH","UYGUN"))))</f>
        <v/>
      </c>
      <c r="N1020" s="121">
        <f>IF($C1020="","",IF($C1020="TANIMSIZ MÜŞTERİ","—",INDEX(MUSTERILER!$C$7:$C$106,MATCH($C1020,MUSTERILER!$B$7:$B$106,0))))</f>
        <v/>
      </c>
      <c r="O1020" s="6" t="n"/>
      <c r="P1020" s="6" t="n"/>
      <c r="Q1020" s="3">
        <f>IF($D1020="","",$C1020&amp;"|"&amp;COUNTIFS($C$7:$C1020,$C1020))</f>
        <v/>
      </c>
    </row>
    <row r="1021">
      <c r="A1021" s="6" t="n"/>
      <c r="B1021" s="113">
        <f>IF($D1021="","","T"&amp;TEXT(ROW()-6,"00000"))</f>
        <v/>
      </c>
      <c r="C1021" s="113">
        <f>IF($D1021="","",IFERROR(INDEX(MUSTERILER!$B$7:$B$106,MATCH($D1021,MUSTERILER!$C$7:$C$106,0)),IFERROR(INDEX(MUSTERILER!$B$7:$B$106,MATCH($D1021,MUSTERILER!$B$7:$B$106,0)),IFERROR(INDEX(MUSTERILER!$B$7:$B$106,MATCH($D1021&amp;"*",MUSTERILER!$C$7:$C$106,0)),"TANIMSIZ MÜŞTERİ"))))</f>
        <v/>
      </c>
      <c r="D1021" s="109" t="n"/>
      <c r="E1021" s="225" t="n"/>
      <c r="F1021" s="226" t="n"/>
      <c r="G1021" s="108" t="n"/>
      <c r="H1021" s="108" t="n"/>
      <c r="I1021" s="109" t="n"/>
      <c r="J1021" s="109" t="n"/>
      <c r="K1021" s="109" t="n"/>
      <c r="L1021" s="231">
        <f>IF($E1021="","",DATE(YEAR($E1021),MONTH($E1021),1))</f>
        <v/>
      </c>
      <c r="M1021" s="113">
        <f>IF($D1021="","",IF($C1021="TANIMSIZ MÜŞTERİ","HATA",IF(OR($E1021="",$F1021&lt;=0,$G1021=""),"EKSİK",IF($E1021&gt;TODAY(),"İLERİ TARİH","UYGUN"))))</f>
        <v/>
      </c>
      <c r="N1021" s="121">
        <f>IF($C1021="","",IF($C1021="TANIMSIZ MÜŞTERİ","—",INDEX(MUSTERILER!$C$7:$C$106,MATCH($C1021,MUSTERILER!$B$7:$B$106,0))))</f>
        <v/>
      </c>
      <c r="O1021" s="6" t="n"/>
      <c r="P1021" s="6" t="n"/>
      <c r="Q1021" s="3">
        <f>IF($D1021="","",$C1021&amp;"|"&amp;COUNTIFS($C$7:$C1021,$C1021))</f>
        <v/>
      </c>
    </row>
    <row r="1022">
      <c r="A1022" s="6" t="n"/>
      <c r="B1022" s="113">
        <f>IF($D1022="","","T"&amp;TEXT(ROW()-6,"00000"))</f>
        <v/>
      </c>
      <c r="C1022" s="113">
        <f>IF($D1022="","",IFERROR(INDEX(MUSTERILER!$B$7:$B$106,MATCH($D1022,MUSTERILER!$C$7:$C$106,0)),IFERROR(INDEX(MUSTERILER!$B$7:$B$106,MATCH($D1022,MUSTERILER!$B$7:$B$106,0)),IFERROR(INDEX(MUSTERILER!$B$7:$B$106,MATCH($D1022&amp;"*",MUSTERILER!$C$7:$C$106,0)),"TANIMSIZ MÜŞTERİ"))))</f>
        <v/>
      </c>
      <c r="D1022" s="109" t="n"/>
      <c r="E1022" s="225" t="n"/>
      <c r="F1022" s="226" t="n"/>
      <c r="G1022" s="108" t="n"/>
      <c r="H1022" s="108" t="n"/>
      <c r="I1022" s="109" t="n"/>
      <c r="J1022" s="109" t="n"/>
      <c r="K1022" s="109" t="n"/>
      <c r="L1022" s="231">
        <f>IF($E1022="","",DATE(YEAR($E1022),MONTH($E1022),1))</f>
        <v/>
      </c>
      <c r="M1022" s="113">
        <f>IF($D1022="","",IF($C1022="TANIMSIZ MÜŞTERİ","HATA",IF(OR($E1022="",$F1022&lt;=0,$G1022=""),"EKSİK",IF($E1022&gt;TODAY(),"İLERİ TARİH","UYGUN"))))</f>
        <v/>
      </c>
      <c r="N1022" s="121">
        <f>IF($C1022="","",IF($C1022="TANIMSIZ MÜŞTERİ","—",INDEX(MUSTERILER!$C$7:$C$106,MATCH($C1022,MUSTERILER!$B$7:$B$106,0))))</f>
        <v/>
      </c>
      <c r="O1022" s="6" t="n"/>
      <c r="P1022" s="6" t="n"/>
      <c r="Q1022" s="3">
        <f>IF($D1022="","",$C1022&amp;"|"&amp;COUNTIFS($C$7:$C1022,$C1022))</f>
        <v/>
      </c>
    </row>
    <row r="1023">
      <c r="A1023" s="6" t="n"/>
      <c r="B1023" s="113">
        <f>IF($D1023="","","T"&amp;TEXT(ROW()-6,"00000"))</f>
        <v/>
      </c>
      <c r="C1023" s="113">
        <f>IF($D1023="","",IFERROR(INDEX(MUSTERILER!$B$7:$B$106,MATCH($D1023,MUSTERILER!$C$7:$C$106,0)),IFERROR(INDEX(MUSTERILER!$B$7:$B$106,MATCH($D1023,MUSTERILER!$B$7:$B$106,0)),IFERROR(INDEX(MUSTERILER!$B$7:$B$106,MATCH($D1023&amp;"*",MUSTERILER!$C$7:$C$106,0)),"TANIMSIZ MÜŞTERİ"))))</f>
        <v/>
      </c>
      <c r="D1023" s="109" t="n"/>
      <c r="E1023" s="225" t="n"/>
      <c r="F1023" s="226" t="n"/>
      <c r="G1023" s="108" t="n"/>
      <c r="H1023" s="108" t="n"/>
      <c r="I1023" s="109" t="n"/>
      <c r="J1023" s="109" t="n"/>
      <c r="K1023" s="109" t="n"/>
      <c r="L1023" s="231">
        <f>IF($E1023="","",DATE(YEAR($E1023),MONTH($E1023),1))</f>
        <v/>
      </c>
      <c r="M1023" s="113">
        <f>IF($D1023="","",IF($C1023="TANIMSIZ MÜŞTERİ","HATA",IF(OR($E1023="",$F1023&lt;=0,$G1023=""),"EKSİK",IF($E1023&gt;TODAY(),"İLERİ TARİH","UYGUN"))))</f>
        <v/>
      </c>
      <c r="N1023" s="121">
        <f>IF($C1023="","",IF($C1023="TANIMSIZ MÜŞTERİ","—",INDEX(MUSTERILER!$C$7:$C$106,MATCH($C1023,MUSTERILER!$B$7:$B$106,0))))</f>
        <v/>
      </c>
      <c r="O1023" s="6" t="n"/>
      <c r="P1023" s="6" t="n"/>
      <c r="Q1023" s="3">
        <f>IF($D1023="","",$C1023&amp;"|"&amp;COUNTIFS($C$7:$C1023,$C1023))</f>
        <v/>
      </c>
    </row>
    <row r="1024">
      <c r="A1024" s="6" t="n"/>
      <c r="B1024" s="113">
        <f>IF($D1024="","","T"&amp;TEXT(ROW()-6,"00000"))</f>
        <v/>
      </c>
      <c r="C1024" s="113">
        <f>IF($D1024="","",IFERROR(INDEX(MUSTERILER!$B$7:$B$106,MATCH($D1024,MUSTERILER!$C$7:$C$106,0)),IFERROR(INDEX(MUSTERILER!$B$7:$B$106,MATCH($D1024,MUSTERILER!$B$7:$B$106,0)),IFERROR(INDEX(MUSTERILER!$B$7:$B$106,MATCH($D1024&amp;"*",MUSTERILER!$C$7:$C$106,0)),"TANIMSIZ MÜŞTERİ"))))</f>
        <v/>
      </c>
      <c r="D1024" s="109" t="n"/>
      <c r="E1024" s="225" t="n"/>
      <c r="F1024" s="226" t="n"/>
      <c r="G1024" s="108" t="n"/>
      <c r="H1024" s="108" t="n"/>
      <c r="I1024" s="109" t="n"/>
      <c r="J1024" s="109" t="n"/>
      <c r="K1024" s="109" t="n"/>
      <c r="L1024" s="231">
        <f>IF($E1024="","",DATE(YEAR($E1024),MONTH($E1024),1))</f>
        <v/>
      </c>
      <c r="M1024" s="113">
        <f>IF($D1024="","",IF($C1024="TANIMSIZ MÜŞTERİ","HATA",IF(OR($E1024="",$F1024&lt;=0,$G1024=""),"EKSİK",IF($E1024&gt;TODAY(),"İLERİ TARİH","UYGUN"))))</f>
        <v/>
      </c>
      <c r="N1024" s="121">
        <f>IF($C1024="","",IF($C1024="TANIMSIZ MÜŞTERİ","—",INDEX(MUSTERILER!$C$7:$C$106,MATCH($C1024,MUSTERILER!$B$7:$B$106,0))))</f>
        <v/>
      </c>
      <c r="O1024" s="6" t="n"/>
      <c r="P1024" s="6" t="n"/>
      <c r="Q1024" s="3">
        <f>IF($D1024="","",$C1024&amp;"|"&amp;COUNTIFS($C$7:$C1024,$C1024))</f>
        <v/>
      </c>
    </row>
    <row r="1025">
      <c r="A1025" s="6" t="n"/>
      <c r="B1025" s="113">
        <f>IF($D1025="","","T"&amp;TEXT(ROW()-6,"00000"))</f>
        <v/>
      </c>
      <c r="C1025" s="113">
        <f>IF($D1025="","",IFERROR(INDEX(MUSTERILER!$B$7:$B$106,MATCH($D1025,MUSTERILER!$C$7:$C$106,0)),IFERROR(INDEX(MUSTERILER!$B$7:$B$106,MATCH($D1025,MUSTERILER!$B$7:$B$106,0)),IFERROR(INDEX(MUSTERILER!$B$7:$B$106,MATCH($D1025&amp;"*",MUSTERILER!$C$7:$C$106,0)),"TANIMSIZ MÜŞTERİ"))))</f>
        <v/>
      </c>
      <c r="D1025" s="109" t="n"/>
      <c r="E1025" s="225" t="n"/>
      <c r="F1025" s="226" t="n"/>
      <c r="G1025" s="108" t="n"/>
      <c r="H1025" s="108" t="n"/>
      <c r="I1025" s="109" t="n"/>
      <c r="J1025" s="109" t="n"/>
      <c r="K1025" s="109" t="n"/>
      <c r="L1025" s="231">
        <f>IF($E1025="","",DATE(YEAR($E1025),MONTH($E1025),1))</f>
        <v/>
      </c>
      <c r="M1025" s="113">
        <f>IF($D1025="","",IF($C1025="TANIMSIZ MÜŞTERİ","HATA",IF(OR($E1025="",$F1025&lt;=0,$G1025=""),"EKSİK",IF($E1025&gt;TODAY(),"İLERİ TARİH","UYGUN"))))</f>
        <v/>
      </c>
      <c r="N1025" s="121">
        <f>IF($C1025="","",IF($C1025="TANIMSIZ MÜŞTERİ","—",INDEX(MUSTERILER!$C$7:$C$106,MATCH($C1025,MUSTERILER!$B$7:$B$106,0))))</f>
        <v/>
      </c>
      <c r="O1025" s="6" t="n"/>
      <c r="P1025" s="6" t="n"/>
      <c r="Q1025" s="3">
        <f>IF($D1025="","",$C1025&amp;"|"&amp;COUNTIFS($C$7:$C1025,$C1025))</f>
        <v/>
      </c>
    </row>
    <row r="1026">
      <c r="A1026" s="6" t="n"/>
      <c r="B1026" s="113">
        <f>IF($D1026="","","T"&amp;TEXT(ROW()-6,"00000"))</f>
        <v/>
      </c>
      <c r="C1026" s="113">
        <f>IF($D1026="","",IFERROR(INDEX(MUSTERILER!$B$7:$B$106,MATCH($D1026,MUSTERILER!$C$7:$C$106,0)),IFERROR(INDEX(MUSTERILER!$B$7:$B$106,MATCH($D1026,MUSTERILER!$B$7:$B$106,0)),IFERROR(INDEX(MUSTERILER!$B$7:$B$106,MATCH($D1026&amp;"*",MUSTERILER!$C$7:$C$106,0)),"TANIMSIZ MÜŞTERİ"))))</f>
        <v/>
      </c>
      <c r="D1026" s="109" t="n"/>
      <c r="E1026" s="225" t="n"/>
      <c r="F1026" s="226" t="n"/>
      <c r="G1026" s="108" t="n"/>
      <c r="H1026" s="108" t="n"/>
      <c r="I1026" s="109" t="n"/>
      <c r="J1026" s="109" t="n"/>
      <c r="K1026" s="109" t="n"/>
      <c r="L1026" s="231">
        <f>IF($E1026="","",DATE(YEAR($E1026),MONTH($E1026),1))</f>
        <v/>
      </c>
      <c r="M1026" s="113">
        <f>IF($D1026="","",IF($C1026="TANIMSIZ MÜŞTERİ","HATA",IF(OR($E1026="",$F1026&lt;=0,$G1026=""),"EKSİK",IF($E1026&gt;TODAY(),"İLERİ TARİH","UYGUN"))))</f>
        <v/>
      </c>
      <c r="N1026" s="121">
        <f>IF($C1026="","",IF($C1026="TANIMSIZ MÜŞTERİ","—",INDEX(MUSTERILER!$C$7:$C$106,MATCH($C1026,MUSTERILER!$B$7:$B$106,0))))</f>
        <v/>
      </c>
      <c r="O1026" s="6" t="n"/>
      <c r="P1026" s="6" t="n"/>
      <c r="Q1026" s="3">
        <f>IF($D1026="","",$C1026&amp;"|"&amp;COUNTIFS($C$7:$C1026,$C1026))</f>
        <v/>
      </c>
    </row>
    <row r="1027">
      <c r="A1027" s="6" t="n"/>
      <c r="B1027" s="113">
        <f>IF($D1027="","","T"&amp;TEXT(ROW()-6,"00000"))</f>
        <v/>
      </c>
      <c r="C1027" s="113">
        <f>IF($D1027="","",IFERROR(INDEX(MUSTERILER!$B$7:$B$106,MATCH($D1027,MUSTERILER!$C$7:$C$106,0)),IFERROR(INDEX(MUSTERILER!$B$7:$B$106,MATCH($D1027,MUSTERILER!$B$7:$B$106,0)),IFERROR(INDEX(MUSTERILER!$B$7:$B$106,MATCH($D1027&amp;"*",MUSTERILER!$C$7:$C$106,0)),"TANIMSIZ MÜŞTERİ"))))</f>
        <v/>
      </c>
      <c r="D1027" s="109" t="n"/>
      <c r="E1027" s="225" t="n"/>
      <c r="F1027" s="226" t="n"/>
      <c r="G1027" s="108" t="n"/>
      <c r="H1027" s="108" t="n"/>
      <c r="I1027" s="109" t="n"/>
      <c r="J1027" s="109" t="n"/>
      <c r="K1027" s="109" t="n"/>
      <c r="L1027" s="231">
        <f>IF($E1027="","",DATE(YEAR($E1027),MONTH($E1027),1))</f>
        <v/>
      </c>
      <c r="M1027" s="113">
        <f>IF($D1027="","",IF($C1027="TANIMSIZ MÜŞTERİ","HATA",IF(OR($E1027="",$F1027&lt;=0,$G1027=""),"EKSİK",IF($E1027&gt;TODAY(),"İLERİ TARİH","UYGUN"))))</f>
        <v/>
      </c>
      <c r="N1027" s="121">
        <f>IF($C1027="","",IF($C1027="TANIMSIZ MÜŞTERİ","—",INDEX(MUSTERILER!$C$7:$C$106,MATCH($C1027,MUSTERILER!$B$7:$B$106,0))))</f>
        <v/>
      </c>
      <c r="O1027" s="6" t="n"/>
      <c r="P1027" s="6" t="n"/>
      <c r="Q1027" s="3">
        <f>IF($D1027="","",$C1027&amp;"|"&amp;COUNTIFS($C$7:$C1027,$C1027))</f>
        <v/>
      </c>
    </row>
    <row r="1028">
      <c r="A1028" s="6" t="n"/>
      <c r="B1028" s="113">
        <f>IF($D1028="","","T"&amp;TEXT(ROW()-6,"00000"))</f>
        <v/>
      </c>
      <c r="C1028" s="113">
        <f>IF($D1028="","",IFERROR(INDEX(MUSTERILER!$B$7:$B$106,MATCH($D1028,MUSTERILER!$C$7:$C$106,0)),IFERROR(INDEX(MUSTERILER!$B$7:$B$106,MATCH($D1028,MUSTERILER!$B$7:$B$106,0)),IFERROR(INDEX(MUSTERILER!$B$7:$B$106,MATCH($D1028&amp;"*",MUSTERILER!$C$7:$C$106,0)),"TANIMSIZ MÜŞTERİ"))))</f>
        <v/>
      </c>
      <c r="D1028" s="109" t="n"/>
      <c r="E1028" s="225" t="n"/>
      <c r="F1028" s="226" t="n"/>
      <c r="G1028" s="108" t="n"/>
      <c r="H1028" s="108" t="n"/>
      <c r="I1028" s="109" t="n"/>
      <c r="J1028" s="109" t="n"/>
      <c r="K1028" s="109" t="n"/>
      <c r="L1028" s="231">
        <f>IF($E1028="","",DATE(YEAR($E1028),MONTH($E1028),1))</f>
        <v/>
      </c>
      <c r="M1028" s="113">
        <f>IF($D1028="","",IF($C1028="TANIMSIZ MÜŞTERİ","HATA",IF(OR($E1028="",$F1028&lt;=0,$G1028=""),"EKSİK",IF($E1028&gt;TODAY(),"İLERİ TARİH","UYGUN"))))</f>
        <v/>
      </c>
      <c r="N1028" s="121">
        <f>IF($C1028="","",IF($C1028="TANIMSIZ MÜŞTERİ","—",INDEX(MUSTERILER!$C$7:$C$106,MATCH($C1028,MUSTERILER!$B$7:$B$106,0))))</f>
        <v/>
      </c>
      <c r="O1028" s="6" t="n"/>
      <c r="P1028" s="6" t="n"/>
      <c r="Q1028" s="3">
        <f>IF($D1028="","",$C1028&amp;"|"&amp;COUNTIFS($C$7:$C1028,$C1028))</f>
        <v/>
      </c>
    </row>
    <row r="1029">
      <c r="A1029" s="6" t="n"/>
      <c r="B1029" s="113">
        <f>IF($D1029="","","T"&amp;TEXT(ROW()-6,"00000"))</f>
        <v/>
      </c>
      <c r="C1029" s="113">
        <f>IF($D1029="","",IFERROR(INDEX(MUSTERILER!$B$7:$B$106,MATCH($D1029,MUSTERILER!$C$7:$C$106,0)),IFERROR(INDEX(MUSTERILER!$B$7:$B$106,MATCH($D1029,MUSTERILER!$B$7:$B$106,0)),IFERROR(INDEX(MUSTERILER!$B$7:$B$106,MATCH($D1029&amp;"*",MUSTERILER!$C$7:$C$106,0)),"TANIMSIZ MÜŞTERİ"))))</f>
        <v/>
      </c>
      <c r="D1029" s="109" t="n"/>
      <c r="E1029" s="225" t="n"/>
      <c r="F1029" s="226" t="n"/>
      <c r="G1029" s="108" t="n"/>
      <c r="H1029" s="108" t="n"/>
      <c r="I1029" s="109" t="n"/>
      <c r="J1029" s="109" t="n"/>
      <c r="K1029" s="109" t="n"/>
      <c r="L1029" s="231">
        <f>IF($E1029="","",DATE(YEAR($E1029),MONTH($E1029),1))</f>
        <v/>
      </c>
      <c r="M1029" s="113">
        <f>IF($D1029="","",IF($C1029="TANIMSIZ MÜŞTERİ","HATA",IF(OR($E1029="",$F1029&lt;=0,$G1029=""),"EKSİK",IF($E1029&gt;TODAY(),"İLERİ TARİH","UYGUN"))))</f>
        <v/>
      </c>
      <c r="N1029" s="121">
        <f>IF($C1029="","",IF($C1029="TANIMSIZ MÜŞTERİ","—",INDEX(MUSTERILER!$C$7:$C$106,MATCH($C1029,MUSTERILER!$B$7:$B$106,0))))</f>
        <v/>
      </c>
      <c r="O1029" s="6" t="n"/>
      <c r="P1029" s="6" t="n"/>
      <c r="Q1029" s="3">
        <f>IF($D1029="","",$C1029&amp;"|"&amp;COUNTIFS($C$7:$C1029,$C1029))</f>
        <v/>
      </c>
    </row>
    <row r="1030">
      <c r="A1030" s="6" t="n"/>
      <c r="B1030" s="113">
        <f>IF($D1030="","","T"&amp;TEXT(ROW()-6,"00000"))</f>
        <v/>
      </c>
      <c r="C1030" s="113">
        <f>IF($D1030="","",IFERROR(INDEX(MUSTERILER!$B$7:$B$106,MATCH($D1030,MUSTERILER!$C$7:$C$106,0)),IFERROR(INDEX(MUSTERILER!$B$7:$B$106,MATCH($D1030,MUSTERILER!$B$7:$B$106,0)),IFERROR(INDEX(MUSTERILER!$B$7:$B$106,MATCH($D1030&amp;"*",MUSTERILER!$C$7:$C$106,0)),"TANIMSIZ MÜŞTERİ"))))</f>
        <v/>
      </c>
      <c r="D1030" s="109" t="n"/>
      <c r="E1030" s="225" t="n"/>
      <c r="F1030" s="226" t="n"/>
      <c r="G1030" s="108" t="n"/>
      <c r="H1030" s="108" t="n"/>
      <c r="I1030" s="109" t="n"/>
      <c r="J1030" s="109" t="n"/>
      <c r="K1030" s="109" t="n"/>
      <c r="L1030" s="231">
        <f>IF($E1030="","",DATE(YEAR($E1030),MONTH($E1030),1))</f>
        <v/>
      </c>
      <c r="M1030" s="113">
        <f>IF($D1030="","",IF($C1030="TANIMSIZ MÜŞTERİ","HATA",IF(OR($E1030="",$F1030&lt;=0,$G1030=""),"EKSİK",IF($E1030&gt;TODAY(),"İLERİ TARİH","UYGUN"))))</f>
        <v/>
      </c>
      <c r="N1030" s="121">
        <f>IF($C1030="","",IF($C1030="TANIMSIZ MÜŞTERİ","—",INDEX(MUSTERILER!$C$7:$C$106,MATCH($C1030,MUSTERILER!$B$7:$B$106,0))))</f>
        <v/>
      </c>
      <c r="O1030" s="6" t="n"/>
      <c r="P1030" s="6" t="n"/>
      <c r="Q1030" s="3">
        <f>IF($D1030="","",$C1030&amp;"|"&amp;COUNTIFS($C$7:$C1030,$C1030))</f>
        <v/>
      </c>
    </row>
    <row r="1031">
      <c r="A1031" s="6" t="n"/>
      <c r="B1031" s="113">
        <f>IF($D1031="","","T"&amp;TEXT(ROW()-6,"00000"))</f>
        <v/>
      </c>
      <c r="C1031" s="113">
        <f>IF($D1031="","",IFERROR(INDEX(MUSTERILER!$B$7:$B$106,MATCH($D1031,MUSTERILER!$C$7:$C$106,0)),IFERROR(INDEX(MUSTERILER!$B$7:$B$106,MATCH($D1031,MUSTERILER!$B$7:$B$106,0)),IFERROR(INDEX(MUSTERILER!$B$7:$B$106,MATCH($D1031&amp;"*",MUSTERILER!$C$7:$C$106,0)),"TANIMSIZ MÜŞTERİ"))))</f>
        <v/>
      </c>
      <c r="D1031" s="109" t="n"/>
      <c r="E1031" s="225" t="n"/>
      <c r="F1031" s="226" t="n"/>
      <c r="G1031" s="108" t="n"/>
      <c r="H1031" s="108" t="n"/>
      <c r="I1031" s="109" t="n"/>
      <c r="J1031" s="109" t="n"/>
      <c r="K1031" s="109" t="n"/>
      <c r="L1031" s="231">
        <f>IF($E1031="","",DATE(YEAR($E1031),MONTH($E1031),1))</f>
        <v/>
      </c>
      <c r="M1031" s="113">
        <f>IF($D1031="","",IF($C1031="TANIMSIZ MÜŞTERİ","HATA",IF(OR($E1031="",$F1031&lt;=0,$G1031=""),"EKSİK",IF($E1031&gt;TODAY(),"İLERİ TARİH","UYGUN"))))</f>
        <v/>
      </c>
      <c r="N1031" s="121">
        <f>IF($C1031="","",IF($C1031="TANIMSIZ MÜŞTERİ","—",INDEX(MUSTERILER!$C$7:$C$106,MATCH($C1031,MUSTERILER!$B$7:$B$106,0))))</f>
        <v/>
      </c>
      <c r="O1031" s="6" t="n"/>
      <c r="P1031" s="6" t="n"/>
      <c r="Q1031" s="3">
        <f>IF($D1031="","",$C1031&amp;"|"&amp;COUNTIFS($C$7:$C1031,$C1031))</f>
        <v/>
      </c>
    </row>
    <row r="1032">
      <c r="A1032" s="6" t="n"/>
      <c r="B1032" s="113">
        <f>IF($D1032="","","T"&amp;TEXT(ROW()-6,"00000"))</f>
        <v/>
      </c>
      <c r="C1032" s="113">
        <f>IF($D1032="","",IFERROR(INDEX(MUSTERILER!$B$7:$B$106,MATCH($D1032,MUSTERILER!$C$7:$C$106,0)),IFERROR(INDEX(MUSTERILER!$B$7:$B$106,MATCH($D1032,MUSTERILER!$B$7:$B$106,0)),IFERROR(INDEX(MUSTERILER!$B$7:$B$106,MATCH($D1032&amp;"*",MUSTERILER!$C$7:$C$106,0)),"TANIMSIZ MÜŞTERİ"))))</f>
        <v/>
      </c>
      <c r="D1032" s="109" t="n"/>
      <c r="E1032" s="225" t="n"/>
      <c r="F1032" s="226" t="n"/>
      <c r="G1032" s="108" t="n"/>
      <c r="H1032" s="108" t="n"/>
      <c r="I1032" s="109" t="n"/>
      <c r="J1032" s="109" t="n"/>
      <c r="K1032" s="109" t="n"/>
      <c r="L1032" s="231">
        <f>IF($E1032="","",DATE(YEAR($E1032),MONTH($E1032),1))</f>
        <v/>
      </c>
      <c r="M1032" s="113">
        <f>IF($D1032="","",IF($C1032="TANIMSIZ MÜŞTERİ","HATA",IF(OR($E1032="",$F1032&lt;=0,$G1032=""),"EKSİK",IF($E1032&gt;TODAY(),"İLERİ TARİH","UYGUN"))))</f>
        <v/>
      </c>
      <c r="N1032" s="121">
        <f>IF($C1032="","",IF($C1032="TANIMSIZ MÜŞTERİ","—",INDEX(MUSTERILER!$C$7:$C$106,MATCH($C1032,MUSTERILER!$B$7:$B$106,0))))</f>
        <v/>
      </c>
      <c r="O1032" s="6" t="n"/>
      <c r="P1032" s="6" t="n"/>
      <c r="Q1032" s="3">
        <f>IF($D1032="","",$C1032&amp;"|"&amp;COUNTIFS($C$7:$C1032,$C1032))</f>
        <v/>
      </c>
    </row>
    <row r="1033">
      <c r="A1033" s="6" t="n"/>
      <c r="B1033" s="113">
        <f>IF($D1033="","","T"&amp;TEXT(ROW()-6,"00000"))</f>
        <v/>
      </c>
      <c r="C1033" s="113">
        <f>IF($D1033="","",IFERROR(INDEX(MUSTERILER!$B$7:$B$106,MATCH($D1033,MUSTERILER!$C$7:$C$106,0)),IFERROR(INDEX(MUSTERILER!$B$7:$B$106,MATCH($D1033,MUSTERILER!$B$7:$B$106,0)),IFERROR(INDEX(MUSTERILER!$B$7:$B$106,MATCH($D1033&amp;"*",MUSTERILER!$C$7:$C$106,0)),"TANIMSIZ MÜŞTERİ"))))</f>
        <v/>
      </c>
      <c r="D1033" s="109" t="n"/>
      <c r="E1033" s="225" t="n"/>
      <c r="F1033" s="226" t="n"/>
      <c r="G1033" s="108" t="n"/>
      <c r="H1033" s="108" t="n"/>
      <c r="I1033" s="109" t="n"/>
      <c r="J1033" s="109" t="n"/>
      <c r="K1033" s="109" t="n"/>
      <c r="L1033" s="231">
        <f>IF($E1033="","",DATE(YEAR($E1033),MONTH($E1033),1))</f>
        <v/>
      </c>
      <c r="M1033" s="113">
        <f>IF($D1033="","",IF($C1033="TANIMSIZ MÜŞTERİ","HATA",IF(OR($E1033="",$F1033&lt;=0,$G1033=""),"EKSİK",IF($E1033&gt;TODAY(),"İLERİ TARİH","UYGUN"))))</f>
        <v/>
      </c>
      <c r="N1033" s="121">
        <f>IF($C1033="","",IF($C1033="TANIMSIZ MÜŞTERİ","—",INDEX(MUSTERILER!$C$7:$C$106,MATCH($C1033,MUSTERILER!$B$7:$B$106,0))))</f>
        <v/>
      </c>
      <c r="O1033" s="6" t="n"/>
      <c r="P1033" s="6" t="n"/>
      <c r="Q1033" s="3">
        <f>IF($D1033="","",$C1033&amp;"|"&amp;COUNTIFS($C$7:$C1033,$C1033))</f>
        <v/>
      </c>
    </row>
    <row r="1034">
      <c r="A1034" s="6" t="n"/>
      <c r="B1034" s="113">
        <f>IF($D1034="","","T"&amp;TEXT(ROW()-6,"00000"))</f>
        <v/>
      </c>
      <c r="C1034" s="113">
        <f>IF($D1034="","",IFERROR(INDEX(MUSTERILER!$B$7:$B$106,MATCH($D1034,MUSTERILER!$C$7:$C$106,0)),IFERROR(INDEX(MUSTERILER!$B$7:$B$106,MATCH($D1034,MUSTERILER!$B$7:$B$106,0)),IFERROR(INDEX(MUSTERILER!$B$7:$B$106,MATCH($D1034&amp;"*",MUSTERILER!$C$7:$C$106,0)),"TANIMSIZ MÜŞTERİ"))))</f>
        <v/>
      </c>
      <c r="D1034" s="109" t="n"/>
      <c r="E1034" s="225" t="n"/>
      <c r="F1034" s="226" t="n"/>
      <c r="G1034" s="108" t="n"/>
      <c r="H1034" s="108" t="n"/>
      <c r="I1034" s="109" t="n"/>
      <c r="J1034" s="109" t="n"/>
      <c r="K1034" s="109" t="n"/>
      <c r="L1034" s="231">
        <f>IF($E1034="","",DATE(YEAR($E1034),MONTH($E1034),1))</f>
        <v/>
      </c>
      <c r="M1034" s="113">
        <f>IF($D1034="","",IF($C1034="TANIMSIZ MÜŞTERİ","HATA",IF(OR($E1034="",$F1034&lt;=0,$G1034=""),"EKSİK",IF($E1034&gt;TODAY(),"İLERİ TARİH","UYGUN"))))</f>
        <v/>
      </c>
      <c r="N1034" s="121">
        <f>IF($C1034="","",IF($C1034="TANIMSIZ MÜŞTERİ","—",INDEX(MUSTERILER!$C$7:$C$106,MATCH($C1034,MUSTERILER!$B$7:$B$106,0))))</f>
        <v/>
      </c>
      <c r="O1034" s="6" t="n"/>
      <c r="P1034" s="6" t="n"/>
      <c r="Q1034" s="3">
        <f>IF($D1034="","",$C1034&amp;"|"&amp;COUNTIFS($C$7:$C1034,$C1034))</f>
        <v/>
      </c>
    </row>
    <row r="1035">
      <c r="A1035" s="6" t="n"/>
      <c r="B1035" s="113">
        <f>IF($D1035="","","T"&amp;TEXT(ROW()-6,"00000"))</f>
        <v/>
      </c>
      <c r="C1035" s="113">
        <f>IF($D1035="","",IFERROR(INDEX(MUSTERILER!$B$7:$B$106,MATCH($D1035,MUSTERILER!$C$7:$C$106,0)),IFERROR(INDEX(MUSTERILER!$B$7:$B$106,MATCH($D1035,MUSTERILER!$B$7:$B$106,0)),IFERROR(INDEX(MUSTERILER!$B$7:$B$106,MATCH($D1035&amp;"*",MUSTERILER!$C$7:$C$106,0)),"TANIMSIZ MÜŞTERİ"))))</f>
        <v/>
      </c>
      <c r="D1035" s="109" t="n"/>
      <c r="E1035" s="225" t="n"/>
      <c r="F1035" s="226" t="n"/>
      <c r="G1035" s="108" t="n"/>
      <c r="H1035" s="108" t="n"/>
      <c r="I1035" s="109" t="n"/>
      <c r="J1035" s="109" t="n"/>
      <c r="K1035" s="109" t="n"/>
      <c r="L1035" s="231">
        <f>IF($E1035="","",DATE(YEAR($E1035),MONTH($E1035),1))</f>
        <v/>
      </c>
      <c r="M1035" s="113">
        <f>IF($D1035="","",IF($C1035="TANIMSIZ MÜŞTERİ","HATA",IF(OR($E1035="",$F1035&lt;=0,$G1035=""),"EKSİK",IF($E1035&gt;TODAY(),"İLERİ TARİH","UYGUN"))))</f>
        <v/>
      </c>
      <c r="N1035" s="121">
        <f>IF($C1035="","",IF($C1035="TANIMSIZ MÜŞTERİ","—",INDEX(MUSTERILER!$C$7:$C$106,MATCH($C1035,MUSTERILER!$B$7:$B$106,0))))</f>
        <v/>
      </c>
      <c r="O1035" s="6" t="n"/>
      <c r="P1035" s="6" t="n"/>
      <c r="Q1035" s="3">
        <f>IF($D1035="","",$C1035&amp;"|"&amp;COUNTIFS($C$7:$C1035,$C1035))</f>
        <v/>
      </c>
    </row>
    <row r="1036">
      <c r="A1036" s="6" t="n"/>
      <c r="B1036" s="113">
        <f>IF($D1036="","","T"&amp;TEXT(ROW()-6,"00000"))</f>
        <v/>
      </c>
      <c r="C1036" s="113">
        <f>IF($D1036="","",IFERROR(INDEX(MUSTERILER!$B$7:$B$106,MATCH($D1036,MUSTERILER!$C$7:$C$106,0)),IFERROR(INDEX(MUSTERILER!$B$7:$B$106,MATCH($D1036,MUSTERILER!$B$7:$B$106,0)),IFERROR(INDEX(MUSTERILER!$B$7:$B$106,MATCH($D1036&amp;"*",MUSTERILER!$C$7:$C$106,0)),"TANIMSIZ MÜŞTERİ"))))</f>
        <v/>
      </c>
      <c r="D1036" s="109" t="n"/>
      <c r="E1036" s="225" t="n"/>
      <c r="F1036" s="226" t="n"/>
      <c r="G1036" s="108" t="n"/>
      <c r="H1036" s="108" t="n"/>
      <c r="I1036" s="109" t="n"/>
      <c r="J1036" s="109" t="n"/>
      <c r="K1036" s="109" t="n"/>
      <c r="L1036" s="231">
        <f>IF($E1036="","",DATE(YEAR($E1036),MONTH($E1036),1))</f>
        <v/>
      </c>
      <c r="M1036" s="113">
        <f>IF($D1036="","",IF($C1036="TANIMSIZ MÜŞTERİ","HATA",IF(OR($E1036="",$F1036&lt;=0,$G1036=""),"EKSİK",IF($E1036&gt;TODAY(),"İLERİ TARİH","UYGUN"))))</f>
        <v/>
      </c>
      <c r="N1036" s="121">
        <f>IF($C1036="","",IF($C1036="TANIMSIZ MÜŞTERİ","—",INDEX(MUSTERILER!$C$7:$C$106,MATCH($C1036,MUSTERILER!$B$7:$B$106,0))))</f>
        <v/>
      </c>
      <c r="O1036" s="6" t="n"/>
      <c r="P1036" s="6" t="n"/>
      <c r="Q1036" s="3">
        <f>IF($D1036="","",$C1036&amp;"|"&amp;COUNTIFS($C$7:$C1036,$C1036))</f>
        <v/>
      </c>
    </row>
    <row r="1037">
      <c r="A1037" s="6" t="n"/>
      <c r="B1037" s="113">
        <f>IF($D1037="","","T"&amp;TEXT(ROW()-6,"00000"))</f>
        <v/>
      </c>
      <c r="C1037" s="113">
        <f>IF($D1037="","",IFERROR(INDEX(MUSTERILER!$B$7:$B$106,MATCH($D1037,MUSTERILER!$C$7:$C$106,0)),IFERROR(INDEX(MUSTERILER!$B$7:$B$106,MATCH($D1037,MUSTERILER!$B$7:$B$106,0)),IFERROR(INDEX(MUSTERILER!$B$7:$B$106,MATCH($D1037&amp;"*",MUSTERILER!$C$7:$C$106,0)),"TANIMSIZ MÜŞTERİ"))))</f>
        <v/>
      </c>
      <c r="D1037" s="109" t="n"/>
      <c r="E1037" s="225" t="n"/>
      <c r="F1037" s="226" t="n"/>
      <c r="G1037" s="108" t="n"/>
      <c r="H1037" s="108" t="n"/>
      <c r="I1037" s="109" t="n"/>
      <c r="J1037" s="109" t="n"/>
      <c r="K1037" s="109" t="n"/>
      <c r="L1037" s="231">
        <f>IF($E1037="","",DATE(YEAR($E1037),MONTH($E1037),1))</f>
        <v/>
      </c>
      <c r="M1037" s="113">
        <f>IF($D1037="","",IF($C1037="TANIMSIZ MÜŞTERİ","HATA",IF(OR($E1037="",$F1037&lt;=0,$G1037=""),"EKSİK",IF($E1037&gt;TODAY(),"İLERİ TARİH","UYGUN"))))</f>
        <v/>
      </c>
      <c r="N1037" s="121">
        <f>IF($C1037="","",IF($C1037="TANIMSIZ MÜŞTERİ","—",INDEX(MUSTERILER!$C$7:$C$106,MATCH($C1037,MUSTERILER!$B$7:$B$106,0))))</f>
        <v/>
      </c>
      <c r="O1037" s="6" t="n"/>
      <c r="P1037" s="6" t="n"/>
      <c r="Q1037" s="3">
        <f>IF($D1037="","",$C1037&amp;"|"&amp;COUNTIFS($C$7:$C1037,$C1037))</f>
        <v/>
      </c>
    </row>
    <row r="1038">
      <c r="A1038" s="6" t="n"/>
      <c r="B1038" s="113">
        <f>IF($D1038="","","T"&amp;TEXT(ROW()-6,"00000"))</f>
        <v/>
      </c>
      <c r="C1038" s="113">
        <f>IF($D1038="","",IFERROR(INDEX(MUSTERILER!$B$7:$B$106,MATCH($D1038,MUSTERILER!$C$7:$C$106,0)),IFERROR(INDEX(MUSTERILER!$B$7:$B$106,MATCH($D1038,MUSTERILER!$B$7:$B$106,0)),IFERROR(INDEX(MUSTERILER!$B$7:$B$106,MATCH($D1038&amp;"*",MUSTERILER!$C$7:$C$106,0)),"TANIMSIZ MÜŞTERİ"))))</f>
        <v/>
      </c>
      <c r="D1038" s="109" t="n"/>
      <c r="E1038" s="225" t="n"/>
      <c r="F1038" s="226" t="n"/>
      <c r="G1038" s="108" t="n"/>
      <c r="H1038" s="108" t="n"/>
      <c r="I1038" s="109" t="n"/>
      <c r="J1038" s="109" t="n"/>
      <c r="K1038" s="109" t="n"/>
      <c r="L1038" s="231">
        <f>IF($E1038="","",DATE(YEAR($E1038),MONTH($E1038),1))</f>
        <v/>
      </c>
      <c r="M1038" s="113">
        <f>IF($D1038="","",IF($C1038="TANIMSIZ MÜŞTERİ","HATA",IF(OR($E1038="",$F1038&lt;=0,$G1038=""),"EKSİK",IF($E1038&gt;TODAY(),"İLERİ TARİH","UYGUN"))))</f>
        <v/>
      </c>
      <c r="N1038" s="121">
        <f>IF($C1038="","",IF($C1038="TANIMSIZ MÜŞTERİ","—",INDEX(MUSTERILER!$C$7:$C$106,MATCH($C1038,MUSTERILER!$B$7:$B$106,0))))</f>
        <v/>
      </c>
      <c r="O1038" s="6" t="n"/>
      <c r="P1038" s="6" t="n"/>
      <c r="Q1038" s="3">
        <f>IF($D1038="","",$C1038&amp;"|"&amp;COUNTIFS($C$7:$C1038,$C1038))</f>
        <v/>
      </c>
    </row>
    <row r="1039">
      <c r="A1039" s="6" t="n"/>
      <c r="B1039" s="113">
        <f>IF($D1039="","","T"&amp;TEXT(ROW()-6,"00000"))</f>
        <v/>
      </c>
      <c r="C1039" s="113">
        <f>IF($D1039="","",IFERROR(INDEX(MUSTERILER!$B$7:$B$106,MATCH($D1039,MUSTERILER!$C$7:$C$106,0)),IFERROR(INDEX(MUSTERILER!$B$7:$B$106,MATCH($D1039,MUSTERILER!$B$7:$B$106,0)),IFERROR(INDEX(MUSTERILER!$B$7:$B$106,MATCH($D1039&amp;"*",MUSTERILER!$C$7:$C$106,0)),"TANIMSIZ MÜŞTERİ"))))</f>
        <v/>
      </c>
      <c r="D1039" s="109" t="n"/>
      <c r="E1039" s="225" t="n"/>
      <c r="F1039" s="226" t="n"/>
      <c r="G1039" s="108" t="n"/>
      <c r="H1039" s="108" t="n"/>
      <c r="I1039" s="109" t="n"/>
      <c r="J1039" s="109" t="n"/>
      <c r="K1039" s="109" t="n"/>
      <c r="L1039" s="231">
        <f>IF($E1039="","",DATE(YEAR($E1039),MONTH($E1039),1))</f>
        <v/>
      </c>
      <c r="M1039" s="113">
        <f>IF($D1039="","",IF($C1039="TANIMSIZ MÜŞTERİ","HATA",IF(OR($E1039="",$F1039&lt;=0,$G1039=""),"EKSİK",IF($E1039&gt;TODAY(),"İLERİ TARİH","UYGUN"))))</f>
        <v/>
      </c>
      <c r="N1039" s="121">
        <f>IF($C1039="","",IF($C1039="TANIMSIZ MÜŞTERİ","—",INDEX(MUSTERILER!$C$7:$C$106,MATCH($C1039,MUSTERILER!$B$7:$B$106,0))))</f>
        <v/>
      </c>
      <c r="O1039" s="6" t="n"/>
      <c r="P1039" s="6" t="n"/>
      <c r="Q1039" s="3">
        <f>IF($D1039="","",$C1039&amp;"|"&amp;COUNTIFS($C$7:$C1039,$C1039))</f>
        <v/>
      </c>
    </row>
    <row r="1040">
      <c r="A1040" s="6" t="n"/>
      <c r="B1040" s="113">
        <f>IF($D1040="","","T"&amp;TEXT(ROW()-6,"00000"))</f>
        <v/>
      </c>
      <c r="C1040" s="113">
        <f>IF($D1040="","",IFERROR(INDEX(MUSTERILER!$B$7:$B$106,MATCH($D1040,MUSTERILER!$C$7:$C$106,0)),IFERROR(INDEX(MUSTERILER!$B$7:$B$106,MATCH($D1040,MUSTERILER!$B$7:$B$106,0)),IFERROR(INDEX(MUSTERILER!$B$7:$B$106,MATCH($D1040&amp;"*",MUSTERILER!$C$7:$C$106,0)),"TANIMSIZ MÜŞTERİ"))))</f>
        <v/>
      </c>
      <c r="D1040" s="109" t="n"/>
      <c r="E1040" s="225" t="n"/>
      <c r="F1040" s="226" t="n"/>
      <c r="G1040" s="108" t="n"/>
      <c r="H1040" s="108" t="n"/>
      <c r="I1040" s="109" t="n"/>
      <c r="J1040" s="109" t="n"/>
      <c r="K1040" s="109" t="n"/>
      <c r="L1040" s="231">
        <f>IF($E1040="","",DATE(YEAR($E1040),MONTH($E1040),1))</f>
        <v/>
      </c>
      <c r="M1040" s="113">
        <f>IF($D1040="","",IF($C1040="TANIMSIZ MÜŞTERİ","HATA",IF(OR($E1040="",$F1040&lt;=0,$G1040=""),"EKSİK",IF($E1040&gt;TODAY(),"İLERİ TARİH","UYGUN"))))</f>
        <v/>
      </c>
      <c r="N1040" s="121">
        <f>IF($C1040="","",IF($C1040="TANIMSIZ MÜŞTERİ","—",INDEX(MUSTERILER!$C$7:$C$106,MATCH($C1040,MUSTERILER!$B$7:$B$106,0))))</f>
        <v/>
      </c>
      <c r="O1040" s="6" t="n"/>
      <c r="P1040" s="6" t="n"/>
      <c r="Q1040" s="3">
        <f>IF($D1040="","",$C1040&amp;"|"&amp;COUNTIFS($C$7:$C1040,$C1040))</f>
        <v/>
      </c>
    </row>
    <row r="1041">
      <c r="A1041" s="6" t="n"/>
      <c r="B1041" s="113">
        <f>IF($D1041="","","T"&amp;TEXT(ROW()-6,"00000"))</f>
        <v/>
      </c>
      <c r="C1041" s="113">
        <f>IF($D1041="","",IFERROR(INDEX(MUSTERILER!$B$7:$B$106,MATCH($D1041,MUSTERILER!$C$7:$C$106,0)),IFERROR(INDEX(MUSTERILER!$B$7:$B$106,MATCH($D1041,MUSTERILER!$B$7:$B$106,0)),IFERROR(INDEX(MUSTERILER!$B$7:$B$106,MATCH($D1041&amp;"*",MUSTERILER!$C$7:$C$106,0)),"TANIMSIZ MÜŞTERİ"))))</f>
        <v/>
      </c>
      <c r="D1041" s="109" t="n"/>
      <c r="E1041" s="225" t="n"/>
      <c r="F1041" s="226" t="n"/>
      <c r="G1041" s="108" t="n"/>
      <c r="H1041" s="108" t="n"/>
      <c r="I1041" s="109" t="n"/>
      <c r="J1041" s="109" t="n"/>
      <c r="K1041" s="109" t="n"/>
      <c r="L1041" s="231">
        <f>IF($E1041="","",DATE(YEAR($E1041),MONTH($E1041),1))</f>
        <v/>
      </c>
      <c r="M1041" s="113">
        <f>IF($D1041="","",IF($C1041="TANIMSIZ MÜŞTERİ","HATA",IF(OR($E1041="",$F1041&lt;=0,$G1041=""),"EKSİK",IF($E1041&gt;TODAY(),"İLERİ TARİH","UYGUN"))))</f>
        <v/>
      </c>
      <c r="N1041" s="121">
        <f>IF($C1041="","",IF($C1041="TANIMSIZ MÜŞTERİ","—",INDEX(MUSTERILER!$C$7:$C$106,MATCH($C1041,MUSTERILER!$B$7:$B$106,0))))</f>
        <v/>
      </c>
      <c r="O1041" s="6" t="n"/>
      <c r="P1041" s="6" t="n"/>
      <c r="Q1041" s="3">
        <f>IF($D1041="","",$C1041&amp;"|"&amp;COUNTIFS($C$7:$C1041,$C1041))</f>
        <v/>
      </c>
    </row>
    <row r="1042">
      <c r="A1042" s="6" t="n"/>
      <c r="B1042" s="113">
        <f>IF($D1042="","","T"&amp;TEXT(ROW()-6,"00000"))</f>
        <v/>
      </c>
      <c r="C1042" s="113">
        <f>IF($D1042="","",IFERROR(INDEX(MUSTERILER!$B$7:$B$106,MATCH($D1042,MUSTERILER!$C$7:$C$106,0)),IFERROR(INDEX(MUSTERILER!$B$7:$B$106,MATCH($D1042,MUSTERILER!$B$7:$B$106,0)),IFERROR(INDEX(MUSTERILER!$B$7:$B$106,MATCH($D1042&amp;"*",MUSTERILER!$C$7:$C$106,0)),"TANIMSIZ MÜŞTERİ"))))</f>
        <v/>
      </c>
      <c r="D1042" s="109" t="n"/>
      <c r="E1042" s="225" t="n"/>
      <c r="F1042" s="226" t="n"/>
      <c r="G1042" s="108" t="n"/>
      <c r="H1042" s="108" t="n"/>
      <c r="I1042" s="109" t="n"/>
      <c r="J1042" s="109" t="n"/>
      <c r="K1042" s="109" t="n"/>
      <c r="L1042" s="231">
        <f>IF($E1042="","",DATE(YEAR($E1042),MONTH($E1042),1))</f>
        <v/>
      </c>
      <c r="M1042" s="113">
        <f>IF($D1042="","",IF($C1042="TANIMSIZ MÜŞTERİ","HATA",IF(OR($E1042="",$F1042&lt;=0,$G1042=""),"EKSİK",IF($E1042&gt;TODAY(),"İLERİ TARİH","UYGUN"))))</f>
        <v/>
      </c>
      <c r="N1042" s="121">
        <f>IF($C1042="","",IF($C1042="TANIMSIZ MÜŞTERİ","—",INDEX(MUSTERILER!$C$7:$C$106,MATCH($C1042,MUSTERILER!$B$7:$B$106,0))))</f>
        <v/>
      </c>
      <c r="O1042" s="6" t="n"/>
      <c r="P1042" s="6" t="n"/>
      <c r="Q1042" s="3">
        <f>IF($D1042="","",$C1042&amp;"|"&amp;COUNTIFS($C$7:$C1042,$C1042))</f>
        <v/>
      </c>
    </row>
    <row r="1043">
      <c r="A1043" s="6" t="n"/>
      <c r="B1043" s="113">
        <f>IF($D1043="","","T"&amp;TEXT(ROW()-6,"00000"))</f>
        <v/>
      </c>
      <c r="C1043" s="113">
        <f>IF($D1043="","",IFERROR(INDEX(MUSTERILER!$B$7:$B$106,MATCH($D1043,MUSTERILER!$C$7:$C$106,0)),IFERROR(INDEX(MUSTERILER!$B$7:$B$106,MATCH($D1043,MUSTERILER!$B$7:$B$106,0)),IFERROR(INDEX(MUSTERILER!$B$7:$B$106,MATCH($D1043&amp;"*",MUSTERILER!$C$7:$C$106,0)),"TANIMSIZ MÜŞTERİ"))))</f>
        <v/>
      </c>
      <c r="D1043" s="109" t="n"/>
      <c r="E1043" s="225" t="n"/>
      <c r="F1043" s="226" t="n"/>
      <c r="G1043" s="108" t="n"/>
      <c r="H1043" s="108" t="n"/>
      <c r="I1043" s="109" t="n"/>
      <c r="J1043" s="109" t="n"/>
      <c r="K1043" s="109" t="n"/>
      <c r="L1043" s="231">
        <f>IF($E1043="","",DATE(YEAR($E1043),MONTH($E1043),1))</f>
        <v/>
      </c>
      <c r="M1043" s="113">
        <f>IF($D1043="","",IF($C1043="TANIMSIZ MÜŞTERİ","HATA",IF(OR($E1043="",$F1043&lt;=0,$G1043=""),"EKSİK",IF($E1043&gt;TODAY(),"İLERİ TARİH","UYGUN"))))</f>
        <v/>
      </c>
      <c r="N1043" s="121">
        <f>IF($C1043="","",IF($C1043="TANIMSIZ MÜŞTERİ","—",INDEX(MUSTERILER!$C$7:$C$106,MATCH($C1043,MUSTERILER!$B$7:$B$106,0))))</f>
        <v/>
      </c>
      <c r="O1043" s="6" t="n"/>
      <c r="P1043" s="6" t="n"/>
      <c r="Q1043" s="3">
        <f>IF($D1043="","",$C1043&amp;"|"&amp;COUNTIFS($C$7:$C1043,$C1043))</f>
        <v/>
      </c>
    </row>
    <row r="1044">
      <c r="A1044" s="6" t="n"/>
      <c r="B1044" s="113">
        <f>IF($D1044="","","T"&amp;TEXT(ROW()-6,"00000"))</f>
        <v/>
      </c>
      <c r="C1044" s="113">
        <f>IF($D1044="","",IFERROR(INDEX(MUSTERILER!$B$7:$B$106,MATCH($D1044,MUSTERILER!$C$7:$C$106,0)),IFERROR(INDEX(MUSTERILER!$B$7:$B$106,MATCH($D1044,MUSTERILER!$B$7:$B$106,0)),IFERROR(INDEX(MUSTERILER!$B$7:$B$106,MATCH($D1044&amp;"*",MUSTERILER!$C$7:$C$106,0)),"TANIMSIZ MÜŞTERİ"))))</f>
        <v/>
      </c>
      <c r="D1044" s="109" t="n"/>
      <c r="E1044" s="225" t="n"/>
      <c r="F1044" s="226" t="n"/>
      <c r="G1044" s="108" t="n"/>
      <c r="H1044" s="108" t="n"/>
      <c r="I1044" s="109" t="n"/>
      <c r="J1044" s="109" t="n"/>
      <c r="K1044" s="109" t="n"/>
      <c r="L1044" s="231">
        <f>IF($E1044="","",DATE(YEAR($E1044),MONTH($E1044),1))</f>
        <v/>
      </c>
      <c r="M1044" s="113">
        <f>IF($D1044="","",IF($C1044="TANIMSIZ MÜŞTERİ","HATA",IF(OR($E1044="",$F1044&lt;=0,$G1044=""),"EKSİK",IF($E1044&gt;TODAY(),"İLERİ TARİH","UYGUN"))))</f>
        <v/>
      </c>
      <c r="N1044" s="121">
        <f>IF($C1044="","",IF($C1044="TANIMSIZ MÜŞTERİ","—",INDEX(MUSTERILER!$C$7:$C$106,MATCH($C1044,MUSTERILER!$B$7:$B$106,0))))</f>
        <v/>
      </c>
      <c r="O1044" s="6" t="n"/>
      <c r="P1044" s="6" t="n"/>
      <c r="Q1044" s="3">
        <f>IF($D1044="","",$C1044&amp;"|"&amp;COUNTIFS($C$7:$C1044,$C1044))</f>
        <v/>
      </c>
    </row>
    <row r="1045">
      <c r="A1045" s="6" t="n"/>
      <c r="B1045" s="113">
        <f>IF($D1045="","","T"&amp;TEXT(ROW()-6,"00000"))</f>
        <v/>
      </c>
      <c r="C1045" s="113">
        <f>IF($D1045="","",IFERROR(INDEX(MUSTERILER!$B$7:$B$106,MATCH($D1045,MUSTERILER!$C$7:$C$106,0)),IFERROR(INDEX(MUSTERILER!$B$7:$B$106,MATCH($D1045,MUSTERILER!$B$7:$B$106,0)),IFERROR(INDEX(MUSTERILER!$B$7:$B$106,MATCH($D1045&amp;"*",MUSTERILER!$C$7:$C$106,0)),"TANIMSIZ MÜŞTERİ"))))</f>
        <v/>
      </c>
      <c r="D1045" s="109" t="n"/>
      <c r="E1045" s="225" t="n"/>
      <c r="F1045" s="226" t="n"/>
      <c r="G1045" s="108" t="n"/>
      <c r="H1045" s="108" t="n"/>
      <c r="I1045" s="109" t="n"/>
      <c r="J1045" s="109" t="n"/>
      <c r="K1045" s="109" t="n"/>
      <c r="L1045" s="231">
        <f>IF($E1045="","",DATE(YEAR($E1045),MONTH($E1045),1))</f>
        <v/>
      </c>
      <c r="M1045" s="113">
        <f>IF($D1045="","",IF($C1045="TANIMSIZ MÜŞTERİ","HATA",IF(OR($E1045="",$F1045&lt;=0,$G1045=""),"EKSİK",IF($E1045&gt;TODAY(),"İLERİ TARİH","UYGUN"))))</f>
        <v/>
      </c>
      <c r="N1045" s="121">
        <f>IF($C1045="","",IF($C1045="TANIMSIZ MÜŞTERİ","—",INDEX(MUSTERILER!$C$7:$C$106,MATCH($C1045,MUSTERILER!$B$7:$B$106,0))))</f>
        <v/>
      </c>
      <c r="O1045" s="6" t="n"/>
      <c r="P1045" s="6" t="n"/>
      <c r="Q1045" s="3">
        <f>IF($D1045="","",$C1045&amp;"|"&amp;COUNTIFS($C$7:$C1045,$C1045))</f>
        <v/>
      </c>
    </row>
    <row r="1046">
      <c r="A1046" s="6" t="n"/>
      <c r="B1046" s="113">
        <f>IF($D1046="","","T"&amp;TEXT(ROW()-6,"00000"))</f>
        <v/>
      </c>
      <c r="C1046" s="113">
        <f>IF($D1046="","",IFERROR(INDEX(MUSTERILER!$B$7:$B$106,MATCH($D1046,MUSTERILER!$C$7:$C$106,0)),IFERROR(INDEX(MUSTERILER!$B$7:$B$106,MATCH($D1046,MUSTERILER!$B$7:$B$106,0)),IFERROR(INDEX(MUSTERILER!$B$7:$B$106,MATCH($D1046&amp;"*",MUSTERILER!$C$7:$C$106,0)),"TANIMSIZ MÜŞTERİ"))))</f>
        <v/>
      </c>
      <c r="D1046" s="109" t="n"/>
      <c r="E1046" s="225" t="n"/>
      <c r="F1046" s="226" t="n"/>
      <c r="G1046" s="108" t="n"/>
      <c r="H1046" s="108" t="n"/>
      <c r="I1046" s="109" t="n"/>
      <c r="J1046" s="109" t="n"/>
      <c r="K1046" s="109" t="n"/>
      <c r="L1046" s="231">
        <f>IF($E1046="","",DATE(YEAR($E1046),MONTH($E1046),1))</f>
        <v/>
      </c>
      <c r="M1046" s="113">
        <f>IF($D1046="","",IF($C1046="TANIMSIZ MÜŞTERİ","HATA",IF(OR($E1046="",$F1046&lt;=0,$G1046=""),"EKSİK",IF($E1046&gt;TODAY(),"İLERİ TARİH","UYGUN"))))</f>
        <v/>
      </c>
      <c r="N1046" s="121">
        <f>IF($C1046="","",IF($C1046="TANIMSIZ MÜŞTERİ","—",INDEX(MUSTERILER!$C$7:$C$106,MATCH($C1046,MUSTERILER!$B$7:$B$106,0))))</f>
        <v/>
      </c>
      <c r="O1046" s="6" t="n"/>
      <c r="P1046" s="6" t="n"/>
      <c r="Q1046" s="3">
        <f>IF($D1046="","",$C1046&amp;"|"&amp;COUNTIFS($C$7:$C1046,$C1046))</f>
        <v/>
      </c>
    </row>
    <row r="1047">
      <c r="A1047" s="6" t="n"/>
      <c r="B1047" s="113">
        <f>IF($D1047="","","T"&amp;TEXT(ROW()-6,"00000"))</f>
        <v/>
      </c>
      <c r="C1047" s="113">
        <f>IF($D1047="","",IFERROR(INDEX(MUSTERILER!$B$7:$B$106,MATCH($D1047,MUSTERILER!$C$7:$C$106,0)),IFERROR(INDEX(MUSTERILER!$B$7:$B$106,MATCH($D1047,MUSTERILER!$B$7:$B$106,0)),IFERROR(INDEX(MUSTERILER!$B$7:$B$106,MATCH($D1047&amp;"*",MUSTERILER!$C$7:$C$106,0)),"TANIMSIZ MÜŞTERİ"))))</f>
        <v/>
      </c>
      <c r="D1047" s="109" t="n"/>
      <c r="E1047" s="225" t="n"/>
      <c r="F1047" s="226" t="n"/>
      <c r="G1047" s="108" t="n"/>
      <c r="H1047" s="108" t="n"/>
      <c r="I1047" s="109" t="n"/>
      <c r="J1047" s="109" t="n"/>
      <c r="K1047" s="109" t="n"/>
      <c r="L1047" s="231">
        <f>IF($E1047="","",DATE(YEAR($E1047),MONTH($E1047),1))</f>
        <v/>
      </c>
      <c r="M1047" s="113">
        <f>IF($D1047="","",IF($C1047="TANIMSIZ MÜŞTERİ","HATA",IF(OR($E1047="",$F1047&lt;=0,$G1047=""),"EKSİK",IF($E1047&gt;TODAY(),"İLERİ TARİH","UYGUN"))))</f>
        <v/>
      </c>
      <c r="N1047" s="121">
        <f>IF($C1047="","",IF($C1047="TANIMSIZ MÜŞTERİ","—",INDEX(MUSTERILER!$C$7:$C$106,MATCH($C1047,MUSTERILER!$B$7:$B$106,0))))</f>
        <v/>
      </c>
      <c r="O1047" s="6" t="n"/>
      <c r="P1047" s="6" t="n"/>
      <c r="Q1047" s="3">
        <f>IF($D1047="","",$C1047&amp;"|"&amp;COUNTIFS($C$7:$C1047,$C1047))</f>
        <v/>
      </c>
    </row>
    <row r="1048">
      <c r="A1048" s="6" t="n"/>
      <c r="B1048" s="113">
        <f>IF($D1048="","","T"&amp;TEXT(ROW()-6,"00000"))</f>
        <v/>
      </c>
      <c r="C1048" s="113">
        <f>IF($D1048="","",IFERROR(INDEX(MUSTERILER!$B$7:$B$106,MATCH($D1048,MUSTERILER!$C$7:$C$106,0)),IFERROR(INDEX(MUSTERILER!$B$7:$B$106,MATCH($D1048,MUSTERILER!$B$7:$B$106,0)),IFERROR(INDEX(MUSTERILER!$B$7:$B$106,MATCH($D1048&amp;"*",MUSTERILER!$C$7:$C$106,0)),"TANIMSIZ MÜŞTERİ"))))</f>
        <v/>
      </c>
      <c r="D1048" s="109" t="n"/>
      <c r="E1048" s="225" t="n"/>
      <c r="F1048" s="226" t="n"/>
      <c r="G1048" s="108" t="n"/>
      <c r="H1048" s="108" t="n"/>
      <c r="I1048" s="109" t="n"/>
      <c r="J1048" s="109" t="n"/>
      <c r="K1048" s="109" t="n"/>
      <c r="L1048" s="231">
        <f>IF($E1048="","",DATE(YEAR($E1048),MONTH($E1048),1))</f>
        <v/>
      </c>
      <c r="M1048" s="113">
        <f>IF($D1048="","",IF($C1048="TANIMSIZ MÜŞTERİ","HATA",IF(OR($E1048="",$F1048&lt;=0,$G1048=""),"EKSİK",IF($E1048&gt;TODAY(),"İLERİ TARİH","UYGUN"))))</f>
        <v/>
      </c>
      <c r="N1048" s="121">
        <f>IF($C1048="","",IF($C1048="TANIMSIZ MÜŞTERİ","—",INDEX(MUSTERILER!$C$7:$C$106,MATCH($C1048,MUSTERILER!$B$7:$B$106,0))))</f>
        <v/>
      </c>
      <c r="O1048" s="6" t="n"/>
      <c r="P1048" s="6" t="n"/>
      <c r="Q1048" s="3">
        <f>IF($D1048="","",$C1048&amp;"|"&amp;COUNTIFS($C$7:$C1048,$C1048))</f>
        <v/>
      </c>
    </row>
    <row r="1049">
      <c r="A1049" s="6" t="n"/>
      <c r="B1049" s="113">
        <f>IF($D1049="","","T"&amp;TEXT(ROW()-6,"00000"))</f>
        <v/>
      </c>
      <c r="C1049" s="113">
        <f>IF($D1049="","",IFERROR(INDEX(MUSTERILER!$B$7:$B$106,MATCH($D1049,MUSTERILER!$C$7:$C$106,0)),IFERROR(INDEX(MUSTERILER!$B$7:$B$106,MATCH($D1049,MUSTERILER!$B$7:$B$106,0)),IFERROR(INDEX(MUSTERILER!$B$7:$B$106,MATCH($D1049&amp;"*",MUSTERILER!$C$7:$C$106,0)),"TANIMSIZ MÜŞTERİ"))))</f>
        <v/>
      </c>
      <c r="D1049" s="109" t="n"/>
      <c r="E1049" s="225" t="n"/>
      <c r="F1049" s="226" t="n"/>
      <c r="G1049" s="108" t="n"/>
      <c r="H1049" s="108" t="n"/>
      <c r="I1049" s="109" t="n"/>
      <c r="J1049" s="109" t="n"/>
      <c r="K1049" s="109" t="n"/>
      <c r="L1049" s="231">
        <f>IF($E1049="","",DATE(YEAR($E1049),MONTH($E1049),1))</f>
        <v/>
      </c>
      <c r="M1049" s="113">
        <f>IF($D1049="","",IF($C1049="TANIMSIZ MÜŞTERİ","HATA",IF(OR($E1049="",$F1049&lt;=0,$G1049=""),"EKSİK",IF($E1049&gt;TODAY(),"İLERİ TARİH","UYGUN"))))</f>
        <v/>
      </c>
      <c r="N1049" s="121">
        <f>IF($C1049="","",IF($C1049="TANIMSIZ MÜŞTERİ","—",INDEX(MUSTERILER!$C$7:$C$106,MATCH($C1049,MUSTERILER!$B$7:$B$106,0))))</f>
        <v/>
      </c>
      <c r="O1049" s="6" t="n"/>
      <c r="P1049" s="6" t="n"/>
      <c r="Q1049" s="3">
        <f>IF($D1049="","",$C1049&amp;"|"&amp;COUNTIFS($C$7:$C1049,$C1049))</f>
        <v/>
      </c>
    </row>
    <row r="1050">
      <c r="A1050" s="6" t="n"/>
      <c r="B1050" s="113">
        <f>IF($D1050="","","T"&amp;TEXT(ROW()-6,"00000"))</f>
        <v/>
      </c>
      <c r="C1050" s="113">
        <f>IF($D1050="","",IFERROR(INDEX(MUSTERILER!$B$7:$B$106,MATCH($D1050,MUSTERILER!$C$7:$C$106,0)),IFERROR(INDEX(MUSTERILER!$B$7:$B$106,MATCH($D1050,MUSTERILER!$B$7:$B$106,0)),IFERROR(INDEX(MUSTERILER!$B$7:$B$106,MATCH($D1050&amp;"*",MUSTERILER!$C$7:$C$106,0)),"TANIMSIZ MÜŞTERİ"))))</f>
        <v/>
      </c>
      <c r="D1050" s="109" t="n"/>
      <c r="E1050" s="225" t="n"/>
      <c r="F1050" s="226" t="n"/>
      <c r="G1050" s="108" t="n"/>
      <c r="H1050" s="108" t="n"/>
      <c r="I1050" s="109" t="n"/>
      <c r="J1050" s="109" t="n"/>
      <c r="K1050" s="109" t="n"/>
      <c r="L1050" s="231">
        <f>IF($E1050="","",DATE(YEAR($E1050),MONTH($E1050),1))</f>
        <v/>
      </c>
      <c r="M1050" s="113">
        <f>IF($D1050="","",IF($C1050="TANIMSIZ MÜŞTERİ","HATA",IF(OR($E1050="",$F1050&lt;=0,$G1050=""),"EKSİK",IF($E1050&gt;TODAY(),"İLERİ TARİH","UYGUN"))))</f>
        <v/>
      </c>
      <c r="N1050" s="121">
        <f>IF($C1050="","",IF($C1050="TANIMSIZ MÜŞTERİ","—",INDEX(MUSTERILER!$C$7:$C$106,MATCH($C1050,MUSTERILER!$B$7:$B$106,0))))</f>
        <v/>
      </c>
      <c r="O1050" s="6" t="n"/>
      <c r="P1050" s="6" t="n"/>
      <c r="Q1050" s="3">
        <f>IF($D1050="","",$C1050&amp;"|"&amp;COUNTIFS($C$7:$C1050,$C1050))</f>
        <v/>
      </c>
    </row>
    <row r="1051">
      <c r="A1051" s="6" t="n"/>
      <c r="B1051" s="113">
        <f>IF($D1051="","","T"&amp;TEXT(ROW()-6,"00000"))</f>
        <v/>
      </c>
      <c r="C1051" s="113">
        <f>IF($D1051="","",IFERROR(INDEX(MUSTERILER!$B$7:$B$106,MATCH($D1051,MUSTERILER!$C$7:$C$106,0)),IFERROR(INDEX(MUSTERILER!$B$7:$B$106,MATCH($D1051,MUSTERILER!$B$7:$B$106,0)),IFERROR(INDEX(MUSTERILER!$B$7:$B$106,MATCH($D1051&amp;"*",MUSTERILER!$C$7:$C$106,0)),"TANIMSIZ MÜŞTERİ"))))</f>
        <v/>
      </c>
      <c r="D1051" s="109" t="n"/>
      <c r="E1051" s="225" t="n"/>
      <c r="F1051" s="226" t="n"/>
      <c r="G1051" s="108" t="n"/>
      <c r="H1051" s="108" t="n"/>
      <c r="I1051" s="109" t="n"/>
      <c r="J1051" s="109" t="n"/>
      <c r="K1051" s="109" t="n"/>
      <c r="L1051" s="231">
        <f>IF($E1051="","",DATE(YEAR($E1051),MONTH($E1051),1))</f>
        <v/>
      </c>
      <c r="M1051" s="113">
        <f>IF($D1051="","",IF($C1051="TANIMSIZ MÜŞTERİ","HATA",IF(OR($E1051="",$F1051&lt;=0,$G1051=""),"EKSİK",IF($E1051&gt;TODAY(),"İLERİ TARİH","UYGUN"))))</f>
        <v/>
      </c>
      <c r="N1051" s="121">
        <f>IF($C1051="","",IF($C1051="TANIMSIZ MÜŞTERİ","—",INDEX(MUSTERILER!$C$7:$C$106,MATCH($C1051,MUSTERILER!$B$7:$B$106,0))))</f>
        <v/>
      </c>
      <c r="O1051" s="6" t="n"/>
      <c r="P1051" s="6" t="n"/>
      <c r="Q1051" s="3">
        <f>IF($D1051="","",$C1051&amp;"|"&amp;COUNTIFS($C$7:$C1051,$C1051))</f>
        <v/>
      </c>
    </row>
    <row r="1052">
      <c r="A1052" s="6" t="n"/>
      <c r="B1052" s="113">
        <f>IF($D1052="","","T"&amp;TEXT(ROW()-6,"00000"))</f>
        <v/>
      </c>
      <c r="C1052" s="113">
        <f>IF($D1052="","",IFERROR(INDEX(MUSTERILER!$B$7:$B$106,MATCH($D1052,MUSTERILER!$C$7:$C$106,0)),IFERROR(INDEX(MUSTERILER!$B$7:$B$106,MATCH($D1052,MUSTERILER!$B$7:$B$106,0)),IFERROR(INDEX(MUSTERILER!$B$7:$B$106,MATCH($D1052&amp;"*",MUSTERILER!$C$7:$C$106,0)),"TANIMSIZ MÜŞTERİ"))))</f>
        <v/>
      </c>
      <c r="D1052" s="109" t="n"/>
      <c r="E1052" s="225" t="n"/>
      <c r="F1052" s="226" t="n"/>
      <c r="G1052" s="108" t="n"/>
      <c r="H1052" s="108" t="n"/>
      <c r="I1052" s="109" t="n"/>
      <c r="J1052" s="109" t="n"/>
      <c r="K1052" s="109" t="n"/>
      <c r="L1052" s="231">
        <f>IF($E1052="","",DATE(YEAR($E1052),MONTH($E1052),1))</f>
        <v/>
      </c>
      <c r="M1052" s="113">
        <f>IF($D1052="","",IF($C1052="TANIMSIZ MÜŞTERİ","HATA",IF(OR($E1052="",$F1052&lt;=0,$G1052=""),"EKSİK",IF($E1052&gt;TODAY(),"İLERİ TARİH","UYGUN"))))</f>
        <v/>
      </c>
      <c r="N1052" s="121">
        <f>IF($C1052="","",IF($C1052="TANIMSIZ MÜŞTERİ","—",INDEX(MUSTERILER!$C$7:$C$106,MATCH($C1052,MUSTERILER!$B$7:$B$106,0))))</f>
        <v/>
      </c>
      <c r="O1052" s="6" t="n"/>
      <c r="P1052" s="6" t="n"/>
      <c r="Q1052" s="3">
        <f>IF($D1052="","",$C1052&amp;"|"&amp;COUNTIFS($C$7:$C1052,$C1052))</f>
        <v/>
      </c>
    </row>
    <row r="1053">
      <c r="A1053" s="6" t="n"/>
      <c r="B1053" s="113">
        <f>IF($D1053="","","T"&amp;TEXT(ROW()-6,"00000"))</f>
        <v/>
      </c>
      <c r="C1053" s="113">
        <f>IF($D1053="","",IFERROR(INDEX(MUSTERILER!$B$7:$B$106,MATCH($D1053,MUSTERILER!$C$7:$C$106,0)),IFERROR(INDEX(MUSTERILER!$B$7:$B$106,MATCH($D1053,MUSTERILER!$B$7:$B$106,0)),IFERROR(INDEX(MUSTERILER!$B$7:$B$106,MATCH($D1053&amp;"*",MUSTERILER!$C$7:$C$106,0)),"TANIMSIZ MÜŞTERİ"))))</f>
        <v/>
      </c>
      <c r="D1053" s="109" t="n"/>
      <c r="E1053" s="225" t="n"/>
      <c r="F1053" s="226" t="n"/>
      <c r="G1053" s="108" t="n"/>
      <c r="H1053" s="108" t="n"/>
      <c r="I1053" s="109" t="n"/>
      <c r="J1053" s="109" t="n"/>
      <c r="K1053" s="109" t="n"/>
      <c r="L1053" s="231">
        <f>IF($E1053="","",DATE(YEAR($E1053),MONTH($E1053),1))</f>
        <v/>
      </c>
      <c r="M1053" s="113">
        <f>IF($D1053="","",IF($C1053="TANIMSIZ MÜŞTERİ","HATA",IF(OR($E1053="",$F1053&lt;=0,$G1053=""),"EKSİK",IF($E1053&gt;TODAY(),"İLERİ TARİH","UYGUN"))))</f>
        <v/>
      </c>
      <c r="N1053" s="121">
        <f>IF($C1053="","",IF($C1053="TANIMSIZ MÜŞTERİ","—",INDEX(MUSTERILER!$C$7:$C$106,MATCH($C1053,MUSTERILER!$B$7:$B$106,0))))</f>
        <v/>
      </c>
      <c r="O1053" s="6" t="n"/>
      <c r="P1053" s="6" t="n"/>
      <c r="Q1053" s="3">
        <f>IF($D1053="","",$C1053&amp;"|"&amp;COUNTIFS($C$7:$C1053,$C1053))</f>
        <v/>
      </c>
    </row>
    <row r="1054">
      <c r="A1054" s="6" t="n"/>
      <c r="B1054" s="113">
        <f>IF($D1054="","","T"&amp;TEXT(ROW()-6,"00000"))</f>
        <v/>
      </c>
      <c r="C1054" s="113">
        <f>IF($D1054="","",IFERROR(INDEX(MUSTERILER!$B$7:$B$106,MATCH($D1054,MUSTERILER!$C$7:$C$106,0)),IFERROR(INDEX(MUSTERILER!$B$7:$B$106,MATCH($D1054,MUSTERILER!$B$7:$B$106,0)),IFERROR(INDEX(MUSTERILER!$B$7:$B$106,MATCH($D1054&amp;"*",MUSTERILER!$C$7:$C$106,0)),"TANIMSIZ MÜŞTERİ"))))</f>
        <v/>
      </c>
      <c r="D1054" s="109" t="n"/>
      <c r="E1054" s="225" t="n"/>
      <c r="F1054" s="226" t="n"/>
      <c r="G1054" s="108" t="n"/>
      <c r="H1054" s="108" t="n"/>
      <c r="I1054" s="109" t="n"/>
      <c r="J1054" s="109" t="n"/>
      <c r="K1054" s="109" t="n"/>
      <c r="L1054" s="231">
        <f>IF($E1054="","",DATE(YEAR($E1054),MONTH($E1054),1))</f>
        <v/>
      </c>
      <c r="M1054" s="113">
        <f>IF($D1054="","",IF($C1054="TANIMSIZ MÜŞTERİ","HATA",IF(OR($E1054="",$F1054&lt;=0,$G1054=""),"EKSİK",IF($E1054&gt;TODAY(),"İLERİ TARİH","UYGUN"))))</f>
        <v/>
      </c>
      <c r="N1054" s="121">
        <f>IF($C1054="","",IF($C1054="TANIMSIZ MÜŞTERİ","—",INDEX(MUSTERILER!$C$7:$C$106,MATCH($C1054,MUSTERILER!$B$7:$B$106,0))))</f>
        <v/>
      </c>
      <c r="O1054" s="6" t="n"/>
      <c r="P1054" s="6" t="n"/>
      <c r="Q1054" s="3">
        <f>IF($D1054="","",$C1054&amp;"|"&amp;COUNTIFS($C$7:$C1054,$C1054))</f>
        <v/>
      </c>
    </row>
    <row r="1055">
      <c r="A1055" s="6" t="n"/>
      <c r="B1055" s="113">
        <f>IF($D1055="","","T"&amp;TEXT(ROW()-6,"00000"))</f>
        <v/>
      </c>
      <c r="C1055" s="113">
        <f>IF($D1055="","",IFERROR(INDEX(MUSTERILER!$B$7:$B$106,MATCH($D1055,MUSTERILER!$C$7:$C$106,0)),IFERROR(INDEX(MUSTERILER!$B$7:$B$106,MATCH($D1055,MUSTERILER!$B$7:$B$106,0)),IFERROR(INDEX(MUSTERILER!$B$7:$B$106,MATCH($D1055&amp;"*",MUSTERILER!$C$7:$C$106,0)),"TANIMSIZ MÜŞTERİ"))))</f>
        <v/>
      </c>
      <c r="D1055" s="109" t="n"/>
      <c r="E1055" s="225" t="n"/>
      <c r="F1055" s="226" t="n"/>
      <c r="G1055" s="108" t="n"/>
      <c r="H1055" s="108" t="n"/>
      <c r="I1055" s="109" t="n"/>
      <c r="J1055" s="109" t="n"/>
      <c r="K1055" s="109" t="n"/>
      <c r="L1055" s="231">
        <f>IF($E1055="","",DATE(YEAR($E1055),MONTH($E1055),1))</f>
        <v/>
      </c>
      <c r="M1055" s="113">
        <f>IF($D1055="","",IF($C1055="TANIMSIZ MÜŞTERİ","HATA",IF(OR($E1055="",$F1055&lt;=0,$G1055=""),"EKSİK",IF($E1055&gt;TODAY(),"İLERİ TARİH","UYGUN"))))</f>
        <v/>
      </c>
      <c r="N1055" s="121">
        <f>IF($C1055="","",IF($C1055="TANIMSIZ MÜŞTERİ","—",INDEX(MUSTERILER!$C$7:$C$106,MATCH($C1055,MUSTERILER!$B$7:$B$106,0))))</f>
        <v/>
      </c>
      <c r="O1055" s="6" t="n"/>
      <c r="P1055" s="6" t="n"/>
      <c r="Q1055" s="3">
        <f>IF($D1055="","",$C1055&amp;"|"&amp;COUNTIFS($C$7:$C1055,$C1055))</f>
        <v/>
      </c>
    </row>
    <row r="1056">
      <c r="A1056" s="6" t="n"/>
      <c r="B1056" s="113">
        <f>IF($D1056="","","T"&amp;TEXT(ROW()-6,"00000"))</f>
        <v/>
      </c>
      <c r="C1056" s="113">
        <f>IF($D1056="","",IFERROR(INDEX(MUSTERILER!$B$7:$B$106,MATCH($D1056,MUSTERILER!$C$7:$C$106,0)),IFERROR(INDEX(MUSTERILER!$B$7:$B$106,MATCH($D1056,MUSTERILER!$B$7:$B$106,0)),IFERROR(INDEX(MUSTERILER!$B$7:$B$106,MATCH($D1056&amp;"*",MUSTERILER!$C$7:$C$106,0)),"TANIMSIZ MÜŞTERİ"))))</f>
        <v/>
      </c>
      <c r="D1056" s="109" t="n"/>
      <c r="E1056" s="225" t="n"/>
      <c r="F1056" s="226" t="n"/>
      <c r="G1056" s="108" t="n"/>
      <c r="H1056" s="108" t="n"/>
      <c r="I1056" s="109" t="n"/>
      <c r="J1056" s="109" t="n"/>
      <c r="K1056" s="109" t="n"/>
      <c r="L1056" s="231">
        <f>IF($E1056="","",DATE(YEAR($E1056),MONTH($E1056),1))</f>
        <v/>
      </c>
      <c r="M1056" s="113">
        <f>IF($D1056="","",IF($C1056="TANIMSIZ MÜŞTERİ","HATA",IF(OR($E1056="",$F1056&lt;=0,$G1056=""),"EKSİK",IF($E1056&gt;TODAY(),"İLERİ TARİH","UYGUN"))))</f>
        <v/>
      </c>
      <c r="N1056" s="121">
        <f>IF($C1056="","",IF($C1056="TANIMSIZ MÜŞTERİ","—",INDEX(MUSTERILER!$C$7:$C$106,MATCH($C1056,MUSTERILER!$B$7:$B$106,0))))</f>
        <v/>
      </c>
      <c r="O1056" s="6" t="n"/>
      <c r="P1056" s="6" t="n"/>
      <c r="Q1056" s="3">
        <f>IF($D1056="","",$C1056&amp;"|"&amp;COUNTIFS($C$7:$C1056,$C1056))</f>
        <v/>
      </c>
    </row>
    <row r="1057">
      <c r="A1057" s="6" t="n"/>
      <c r="B1057" s="113">
        <f>IF($D1057="","","T"&amp;TEXT(ROW()-6,"00000"))</f>
        <v/>
      </c>
      <c r="C1057" s="113">
        <f>IF($D1057="","",IFERROR(INDEX(MUSTERILER!$B$7:$B$106,MATCH($D1057,MUSTERILER!$C$7:$C$106,0)),IFERROR(INDEX(MUSTERILER!$B$7:$B$106,MATCH($D1057,MUSTERILER!$B$7:$B$106,0)),IFERROR(INDEX(MUSTERILER!$B$7:$B$106,MATCH($D1057&amp;"*",MUSTERILER!$C$7:$C$106,0)),"TANIMSIZ MÜŞTERİ"))))</f>
        <v/>
      </c>
      <c r="D1057" s="109" t="n"/>
      <c r="E1057" s="225" t="n"/>
      <c r="F1057" s="226" t="n"/>
      <c r="G1057" s="108" t="n"/>
      <c r="H1057" s="108" t="n"/>
      <c r="I1057" s="109" t="n"/>
      <c r="J1057" s="109" t="n"/>
      <c r="K1057" s="109" t="n"/>
      <c r="L1057" s="231">
        <f>IF($E1057="","",DATE(YEAR($E1057),MONTH($E1057),1))</f>
        <v/>
      </c>
      <c r="M1057" s="113">
        <f>IF($D1057="","",IF($C1057="TANIMSIZ MÜŞTERİ","HATA",IF(OR($E1057="",$F1057&lt;=0,$G1057=""),"EKSİK",IF($E1057&gt;TODAY(),"İLERİ TARİH","UYGUN"))))</f>
        <v/>
      </c>
      <c r="N1057" s="121">
        <f>IF($C1057="","",IF($C1057="TANIMSIZ MÜŞTERİ","—",INDEX(MUSTERILER!$C$7:$C$106,MATCH($C1057,MUSTERILER!$B$7:$B$106,0))))</f>
        <v/>
      </c>
      <c r="O1057" s="6" t="n"/>
      <c r="P1057" s="6" t="n"/>
      <c r="Q1057" s="3">
        <f>IF($D1057="","",$C1057&amp;"|"&amp;COUNTIFS($C$7:$C1057,$C1057))</f>
        <v/>
      </c>
    </row>
    <row r="1058">
      <c r="A1058" s="6" t="n"/>
      <c r="B1058" s="113">
        <f>IF($D1058="","","T"&amp;TEXT(ROW()-6,"00000"))</f>
        <v/>
      </c>
      <c r="C1058" s="113">
        <f>IF($D1058="","",IFERROR(INDEX(MUSTERILER!$B$7:$B$106,MATCH($D1058,MUSTERILER!$C$7:$C$106,0)),IFERROR(INDEX(MUSTERILER!$B$7:$B$106,MATCH($D1058,MUSTERILER!$B$7:$B$106,0)),IFERROR(INDEX(MUSTERILER!$B$7:$B$106,MATCH($D1058&amp;"*",MUSTERILER!$C$7:$C$106,0)),"TANIMSIZ MÜŞTERİ"))))</f>
        <v/>
      </c>
      <c r="D1058" s="109" t="n"/>
      <c r="E1058" s="225" t="n"/>
      <c r="F1058" s="226" t="n"/>
      <c r="G1058" s="108" t="n"/>
      <c r="H1058" s="108" t="n"/>
      <c r="I1058" s="109" t="n"/>
      <c r="J1058" s="109" t="n"/>
      <c r="K1058" s="109" t="n"/>
      <c r="L1058" s="231">
        <f>IF($E1058="","",DATE(YEAR($E1058),MONTH($E1058),1))</f>
        <v/>
      </c>
      <c r="M1058" s="113">
        <f>IF($D1058="","",IF($C1058="TANIMSIZ MÜŞTERİ","HATA",IF(OR($E1058="",$F1058&lt;=0,$G1058=""),"EKSİK",IF($E1058&gt;TODAY(),"İLERİ TARİH","UYGUN"))))</f>
        <v/>
      </c>
      <c r="N1058" s="121">
        <f>IF($C1058="","",IF($C1058="TANIMSIZ MÜŞTERİ","—",INDEX(MUSTERILER!$C$7:$C$106,MATCH($C1058,MUSTERILER!$B$7:$B$106,0))))</f>
        <v/>
      </c>
      <c r="O1058" s="6" t="n"/>
      <c r="P1058" s="6" t="n"/>
      <c r="Q1058" s="3">
        <f>IF($D1058="","",$C1058&amp;"|"&amp;COUNTIFS($C$7:$C1058,$C1058))</f>
        <v/>
      </c>
    </row>
    <row r="1059">
      <c r="A1059" s="6" t="n"/>
      <c r="B1059" s="113">
        <f>IF($D1059="","","T"&amp;TEXT(ROW()-6,"00000"))</f>
        <v/>
      </c>
      <c r="C1059" s="113">
        <f>IF($D1059="","",IFERROR(INDEX(MUSTERILER!$B$7:$B$106,MATCH($D1059,MUSTERILER!$C$7:$C$106,0)),IFERROR(INDEX(MUSTERILER!$B$7:$B$106,MATCH($D1059,MUSTERILER!$B$7:$B$106,0)),IFERROR(INDEX(MUSTERILER!$B$7:$B$106,MATCH($D1059&amp;"*",MUSTERILER!$C$7:$C$106,0)),"TANIMSIZ MÜŞTERİ"))))</f>
        <v/>
      </c>
      <c r="D1059" s="109" t="n"/>
      <c r="E1059" s="225" t="n"/>
      <c r="F1059" s="226" t="n"/>
      <c r="G1059" s="108" t="n"/>
      <c r="H1059" s="108" t="n"/>
      <c r="I1059" s="109" t="n"/>
      <c r="J1059" s="109" t="n"/>
      <c r="K1059" s="109" t="n"/>
      <c r="L1059" s="231">
        <f>IF($E1059="","",DATE(YEAR($E1059),MONTH($E1059),1))</f>
        <v/>
      </c>
      <c r="M1059" s="113">
        <f>IF($D1059="","",IF($C1059="TANIMSIZ MÜŞTERİ","HATA",IF(OR($E1059="",$F1059&lt;=0,$G1059=""),"EKSİK",IF($E1059&gt;TODAY(),"İLERİ TARİH","UYGUN"))))</f>
        <v/>
      </c>
      <c r="N1059" s="121">
        <f>IF($C1059="","",IF($C1059="TANIMSIZ MÜŞTERİ","—",INDEX(MUSTERILER!$C$7:$C$106,MATCH($C1059,MUSTERILER!$B$7:$B$106,0))))</f>
        <v/>
      </c>
      <c r="O1059" s="6" t="n"/>
      <c r="P1059" s="6" t="n"/>
      <c r="Q1059" s="3">
        <f>IF($D1059="","",$C1059&amp;"|"&amp;COUNTIFS($C$7:$C1059,$C1059))</f>
        <v/>
      </c>
    </row>
    <row r="1060">
      <c r="A1060" s="6" t="n"/>
      <c r="B1060" s="113">
        <f>IF($D1060="","","T"&amp;TEXT(ROW()-6,"00000"))</f>
        <v/>
      </c>
      <c r="C1060" s="113">
        <f>IF($D1060="","",IFERROR(INDEX(MUSTERILER!$B$7:$B$106,MATCH($D1060,MUSTERILER!$C$7:$C$106,0)),IFERROR(INDEX(MUSTERILER!$B$7:$B$106,MATCH($D1060,MUSTERILER!$B$7:$B$106,0)),IFERROR(INDEX(MUSTERILER!$B$7:$B$106,MATCH($D1060&amp;"*",MUSTERILER!$C$7:$C$106,0)),"TANIMSIZ MÜŞTERİ"))))</f>
        <v/>
      </c>
      <c r="D1060" s="109" t="n"/>
      <c r="E1060" s="225" t="n"/>
      <c r="F1060" s="226" t="n"/>
      <c r="G1060" s="108" t="n"/>
      <c r="H1060" s="108" t="n"/>
      <c r="I1060" s="109" t="n"/>
      <c r="J1060" s="109" t="n"/>
      <c r="K1060" s="109" t="n"/>
      <c r="L1060" s="231">
        <f>IF($E1060="","",DATE(YEAR($E1060),MONTH($E1060),1))</f>
        <v/>
      </c>
      <c r="M1060" s="113">
        <f>IF($D1060="","",IF($C1060="TANIMSIZ MÜŞTERİ","HATA",IF(OR($E1060="",$F1060&lt;=0,$G1060=""),"EKSİK",IF($E1060&gt;TODAY(),"İLERİ TARİH","UYGUN"))))</f>
        <v/>
      </c>
      <c r="N1060" s="121">
        <f>IF($C1060="","",IF($C1060="TANIMSIZ MÜŞTERİ","—",INDEX(MUSTERILER!$C$7:$C$106,MATCH($C1060,MUSTERILER!$B$7:$B$106,0))))</f>
        <v/>
      </c>
      <c r="O1060" s="6" t="n"/>
      <c r="P1060" s="6" t="n"/>
      <c r="Q1060" s="3">
        <f>IF($D1060="","",$C1060&amp;"|"&amp;COUNTIFS($C$7:$C1060,$C1060))</f>
        <v/>
      </c>
    </row>
    <row r="1061">
      <c r="A1061" s="6" t="n"/>
      <c r="B1061" s="113">
        <f>IF($D1061="","","T"&amp;TEXT(ROW()-6,"00000"))</f>
        <v/>
      </c>
      <c r="C1061" s="113">
        <f>IF($D1061="","",IFERROR(INDEX(MUSTERILER!$B$7:$B$106,MATCH($D1061,MUSTERILER!$C$7:$C$106,0)),IFERROR(INDEX(MUSTERILER!$B$7:$B$106,MATCH($D1061,MUSTERILER!$B$7:$B$106,0)),IFERROR(INDEX(MUSTERILER!$B$7:$B$106,MATCH($D1061&amp;"*",MUSTERILER!$C$7:$C$106,0)),"TANIMSIZ MÜŞTERİ"))))</f>
        <v/>
      </c>
      <c r="D1061" s="109" t="n"/>
      <c r="E1061" s="225" t="n"/>
      <c r="F1061" s="226" t="n"/>
      <c r="G1061" s="108" t="n"/>
      <c r="H1061" s="108" t="n"/>
      <c r="I1061" s="109" t="n"/>
      <c r="J1061" s="109" t="n"/>
      <c r="K1061" s="109" t="n"/>
      <c r="L1061" s="231">
        <f>IF($E1061="","",DATE(YEAR($E1061),MONTH($E1061),1))</f>
        <v/>
      </c>
      <c r="M1061" s="113">
        <f>IF($D1061="","",IF($C1061="TANIMSIZ MÜŞTERİ","HATA",IF(OR($E1061="",$F1061&lt;=0,$G1061=""),"EKSİK",IF($E1061&gt;TODAY(),"İLERİ TARİH","UYGUN"))))</f>
        <v/>
      </c>
      <c r="N1061" s="121">
        <f>IF($C1061="","",IF($C1061="TANIMSIZ MÜŞTERİ","—",INDEX(MUSTERILER!$C$7:$C$106,MATCH($C1061,MUSTERILER!$B$7:$B$106,0))))</f>
        <v/>
      </c>
      <c r="O1061" s="6" t="n"/>
      <c r="P1061" s="6" t="n"/>
      <c r="Q1061" s="3">
        <f>IF($D1061="","",$C1061&amp;"|"&amp;COUNTIFS($C$7:$C1061,$C1061))</f>
        <v/>
      </c>
    </row>
    <row r="1062">
      <c r="A1062" s="6" t="n"/>
      <c r="B1062" s="113">
        <f>IF($D1062="","","T"&amp;TEXT(ROW()-6,"00000"))</f>
        <v/>
      </c>
      <c r="C1062" s="113">
        <f>IF($D1062="","",IFERROR(INDEX(MUSTERILER!$B$7:$B$106,MATCH($D1062,MUSTERILER!$C$7:$C$106,0)),IFERROR(INDEX(MUSTERILER!$B$7:$B$106,MATCH($D1062,MUSTERILER!$B$7:$B$106,0)),IFERROR(INDEX(MUSTERILER!$B$7:$B$106,MATCH($D1062&amp;"*",MUSTERILER!$C$7:$C$106,0)),"TANIMSIZ MÜŞTERİ"))))</f>
        <v/>
      </c>
      <c r="D1062" s="109" t="n"/>
      <c r="E1062" s="225" t="n"/>
      <c r="F1062" s="226" t="n"/>
      <c r="G1062" s="108" t="n"/>
      <c r="H1062" s="108" t="n"/>
      <c r="I1062" s="109" t="n"/>
      <c r="J1062" s="109" t="n"/>
      <c r="K1062" s="109" t="n"/>
      <c r="L1062" s="231">
        <f>IF($E1062="","",DATE(YEAR($E1062),MONTH($E1062),1))</f>
        <v/>
      </c>
      <c r="M1062" s="113">
        <f>IF($D1062="","",IF($C1062="TANIMSIZ MÜŞTERİ","HATA",IF(OR($E1062="",$F1062&lt;=0,$G1062=""),"EKSİK",IF($E1062&gt;TODAY(),"İLERİ TARİH","UYGUN"))))</f>
        <v/>
      </c>
      <c r="N1062" s="121">
        <f>IF($C1062="","",IF($C1062="TANIMSIZ MÜŞTERİ","—",INDEX(MUSTERILER!$C$7:$C$106,MATCH($C1062,MUSTERILER!$B$7:$B$106,0))))</f>
        <v/>
      </c>
      <c r="O1062" s="6" t="n"/>
      <c r="P1062" s="6" t="n"/>
      <c r="Q1062" s="3">
        <f>IF($D1062="","",$C1062&amp;"|"&amp;COUNTIFS($C$7:$C1062,$C1062))</f>
        <v/>
      </c>
    </row>
    <row r="1063">
      <c r="A1063" s="6" t="n"/>
      <c r="B1063" s="113">
        <f>IF($D1063="","","T"&amp;TEXT(ROW()-6,"00000"))</f>
        <v/>
      </c>
      <c r="C1063" s="113">
        <f>IF($D1063="","",IFERROR(INDEX(MUSTERILER!$B$7:$B$106,MATCH($D1063,MUSTERILER!$C$7:$C$106,0)),IFERROR(INDEX(MUSTERILER!$B$7:$B$106,MATCH($D1063,MUSTERILER!$B$7:$B$106,0)),IFERROR(INDEX(MUSTERILER!$B$7:$B$106,MATCH($D1063&amp;"*",MUSTERILER!$C$7:$C$106,0)),"TANIMSIZ MÜŞTERİ"))))</f>
        <v/>
      </c>
      <c r="D1063" s="109" t="n"/>
      <c r="E1063" s="225" t="n"/>
      <c r="F1063" s="226" t="n"/>
      <c r="G1063" s="108" t="n"/>
      <c r="H1063" s="108" t="n"/>
      <c r="I1063" s="109" t="n"/>
      <c r="J1063" s="109" t="n"/>
      <c r="K1063" s="109" t="n"/>
      <c r="L1063" s="231">
        <f>IF($E1063="","",DATE(YEAR($E1063),MONTH($E1063),1))</f>
        <v/>
      </c>
      <c r="M1063" s="113">
        <f>IF($D1063="","",IF($C1063="TANIMSIZ MÜŞTERİ","HATA",IF(OR($E1063="",$F1063&lt;=0,$G1063=""),"EKSİK",IF($E1063&gt;TODAY(),"İLERİ TARİH","UYGUN"))))</f>
        <v/>
      </c>
      <c r="N1063" s="121">
        <f>IF($C1063="","",IF($C1063="TANIMSIZ MÜŞTERİ","—",INDEX(MUSTERILER!$C$7:$C$106,MATCH($C1063,MUSTERILER!$B$7:$B$106,0))))</f>
        <v/>
      </c>
      <c r="O1063" s="6" t="n"/>
      <c r="P1063" s="6" t="n"/>
      <c r="Q1063" s="3">
        <f>IF($D1063="","",$C1063&amp;"|"&amp;COUNTIFS($C$7:$C1063,$C1063))</f>
        <v/>
      </c>
    </row>
    <row r="1064">
      <c r="A1064" s="6" t="n"/>
      <c r="B1064" s="113">
        <f>IF($D1064="","","T"&amp;TEXT(ROW()-6,"00000"))</f>
        <v/>
      </c>
      <c r="C1064" s="113">
        <f>IF($D1064="","",IFERROR(INDEX(MUSTERILER!$B$7:$B$106,MATCH($D1064,MUSTERILER!$C$7:$C$106,0)),IFERROR(INDEX(MUSTERILER!$B$7:$B$106,MATCH($D1064,MUSTERILER!$B$7:$B$106,0)),IFERROR(INDEX(MUSTERILER!$B$7:$B$106,MATCH($D1064&amp;"*",MUSTERILER!$C$7:$C$106,0)),"TANIMSIZ MÜŞTERİ"))))</f>
        <v/>
      </c>
      <c r="D1064" s="109" t="n"/>
      <c r="E1064" s="225" t="n"/>
      <c r="F1064" s="226" t="n"/>
      <c r="G1064" s="108" t="n"/>
      <c r="H1064" s="108" t="n"/>
      <c r="I1064" s="109" t="n"/>
      <c r="J1064" s="109" t="n"/>
      <c r="K1064" s="109" t="n"/>
      <c r="L1064" s="231">
        <f>IF($E1064="","",DATE(YEAR($E1064),MONTH($E1064),1))</f>
        <v/>
      </c>
      <c r="M1064" s="113">
        <f>IF($D1064="","",IF($C1064="TANIMSIZ MÜŞTERİ","HATA",IF(OR($E1064="",$F1064&lt;=0,$G1064=""),"EKSİK",IF($E1064&gt;TODAY(),"İLERİ TARİH","UYGUN"))))</f>
        <v/>
      </c>
      <c r="N1064" s="121">
        <f>IF($C1064="","",IF($C1064="TANIMSIZ MÜŞTERİ","—",INDEX(MUSTERILER!$C$7:$C$106,MATCH($C1064,MUSTERILER!$B$7:$B$106,0))))</f>
        <v/>
      </c>
      <c r="O1064" s="6" t="n"/>
      <c r="P1064" s="6" t="n"/>
      <c r="Q1064" s="3">
        <f>IF($D1064="","",$C1064&amp;"|"&amp;COUNTIFS($C$7:$C1064,$C1064))</f>
        <v/>
      </c>
    </row>
    <row r="1065">
      <c r="A1065" s="6" t="n"/>
      <c r="B1065" s="113">
        <f>IF($D1065="","","T"&amp;TEXT(ROW()-6,"00000"))</f>
        <v/>
      </c>
      <c r="C1065" s="113">
        <f>IF($D1065="","",IFERROR(INDEX(MUSTERILER!$B$7:$B$106,MATCH($D1065,MUSTERILER!$C$7:$C$106,0)),IFERROR(INDEX(MUSTERILER!$B$7:$B$106,MATCH($D1065,MUSTERILER!$B$7:$B$106,0)),IFERROR(INDEX(MUSTERILER!$B$7:$B$106,MATCH($D1065&amp;"*",MUSTERILER!$C$7:$C$106,0)),"TANIMSIZ MÜŞTERİ"))))</f>
        <v/>
      </c>
      <c r="D1065" s="109" t="n"/>
      <c r="E1065" s="225" t="n"/>
      <c r="F1065" s="226" t="n"/>
      <c r="G1065" s="108" t="n"/>
      <c r="H1065" s="108" t="n"/>
      <c r="I1065" s="109" t="n"/>
      <c r="J1065" s="109" t="n"/>
      <c r="K1065" s="109" t="n"/>
      <c r="L1065" s="231">
        <f>IF($E1065="","",DATE(YEAR($E1065),MONTH($E1065),1))</f>
        <v/>
      </c>
      <c r="M1065" s="113">
        <f>IF($D1065="","",IF($C1065="TANIMSIZ MÜŞTERİ","HATA",IF(OR($E1065="",$F1065&lt;=0,$G1065=""),"EKSİK",IF($E1065&gt;TODAY(),"İLERİ TARİH","UYGUN"))))</f>
        <v/>
      </c>
      <c r="N1065" s="121">
        <f>IF($C1065="","",IF($C1065="TANIMSIZ MÜŞTERİ","—",INDEX(MUSTERILER!$C$7:$C$106,MATCH($C1065,MUSTERILER!$B$7:$B$106,0))))</f>
        <v/>
      </c>
      <c r="O1065" s="6" t="n"/>
      <c r="P1065" s="6" t="n"/>
      <c r="Q1065" s="3">
        <f>IF($D1065="","",$C1065&amp;"|"&amp;COUNTIFS($C$7:$C1065,$C1065))</f>
        <v/>
      </c>
    </row>
    <row r="1066">
      <c r="A1066" s="6" t="n"/>
      <c r="B1066" s="113">
        <f>IF($D1066="","","T"&amp;TEXT(ROW()-6,"00000"))</f>
        <v/>
      </c>
      <c r="C1066" s="113">
        <f>IF($D1066="","",IFERROR(INDEX(MUSTERILER!$B$7:$B$106,MATCH($D1066,MUSTERILER!$C$7:$C$106,0)),IFERROR(INDEX(MUSTERILER!$B$7:$B$106,MATCH($D1066,MUSTERILER!$B$7:$B$106,0)),IFERROR(INDEX(MUSTERILER!$B$7:$B$106,MATCH($D1066&amp;"*",MUSTERILER!$C$7:$C$106,0)),"TANIMSIZ MÜŞTERİ"))))</f>
        <v/>
      </c>
      <c r="D1066" s="109" t="n"/>
      <c r="E1066" s="225" t="n"/>
      <c r="F1066" s="226" t="n"/>
      <c r="G1066" s="108" t="n"/>
      <c r="H1066" s="108" t="n"/>
      <c r="I1066" s="109" t="n"/>
      <c r="J1066" s="109" t="n"/>
      <c r="K1066" s="109" t="n"/>
      <c r="L1066" s="231">
        <f>IF($E1066="","",DATE(YEAR($E1066),MONTH($E1066),1))</f>
        <v/>
      </c>
      <c r="M1066" s="113">
        <f>IF($D1066="","",IF($C1066="TANIMSIZ MÜŞTERİ","HATA",IF(OR($E1066="",$F1066&lt;=0,$G1066=""),"EKSİK",IF($E1066&gt;TODAY(),"İLERİ TARİH","UYGUN"))))</f>
        <v/>
      </c>
      <c r="N1066" s="121">
        <f>IF($C1066="","",IF($C1066="TANIMSIZ MÜŞTERİ","—",INDEX(MUSTERILER!$C$7:$C$106,MATCH($C1066,MUSTERILER!$B$7:$B$106,0))))</f>
        <v/>
      </c>
      <c r="O1066" s="6" t="n"/>
      <c r="P1066" s="6" t="n"/>
      <c r="Q1066" s="3">
        <f>IF($D1066="","",$C1066&amp;"|"&amp;COUNTIFS($C$7:$C1066,$C1066))</f>
        <v/>
      </c>
    </row>
    <row r="1067">
      <c r="A1067" s="6" t="n"/>
      <c r="B1067" s="113">
        <f>IF($D1067="","","T"&amp;TEXT(ROW()-6,"00000"))</f>
        <v/>
      </c>
      <c r="C1067" s="113">
        <f>IF($D1067="","",IFERROR(INDEX(MUSTERILER!$B$7:$B$106,MATCH($D1067,MUSTERILER!$C$7:$C$106,0)),IFERROR(INDEX(MUSTERILER!$B$7:$B$106,MATCH($D1067,MUSTERILER!$B$7:$B$106,0)),IFERROR(INDEX(MUSTERILER!$B$7:$B$106,MATCH($D1067&amp;"*",MUSTERILER!$C$7:$C$106,0)),"TANIMSIZ MÜŞTERİ"))))</f>
        <v/>
      </c>
      <c r="D1067" s="109" t="n"/>
      <c r="E1067" s="225" t="n"/>
      <c r="F1067" s="226" t="n"/>
      <c r="G1067" s="108" t="n"/>
      <c r="H1067" s="108" t="n"/>
      <c r="I1067" s="109" t="n"/>
      <c r="J1067" s="109" t="n"/>
      <c r="K1067" s="109" t="n"/>
      <c r="L1067" s="231">
        <f>IF($E1067="","",DATE(YEAR($E1067),MONTH($E1067),1))</f>
        <v/>
      </c>
      <c r="M1067" s="113">
        <f>IF($D1067="","",IF($C1067="TANIMSIZ MÜŞTERİ","HATA",IF(OR($E1067="",$F1067&lt;=0,$G1067=""),"EKSİK",IF($E1067&gt;TODAY(),"İLERİ TARİH","UYGUN"))))</f>
        <v/>
      </c>
      <c r="N1067" s="121">
        <f>IF($C1067="","",IF($C1067="TANIMSIZ MÜŞTERİ","—",INDEX(MUSTERILER!$C$7:$C$106,MATCH($C1067,MUSTERILER!$B$7:$B$106,0))))</f>
        <v/>
      </c>
      <c r="O1067" s="6" t="n"/>
      <c r="P1067" s="6" t="n"/>
      <c r="Q1067" s="3">
        <f>IF($D1067="","",$C1067&amp;"|"&amp;COUNTIFS($C$7:$C1067,$C1067))</f>
        <v/>
      </c>
    </row>
    <row r="1068">
      <c r="A1068" s="6" t="n"/>
      <c r="B1068" s="113">
        <f>IF($D1068="","","T"&amp;TEXT(ROW()-6,"00000"))</f>
        <v/>
      </c>
      <c r="C1068" s="113">
        <f>IF($D1068="","",IFERROR(INDEX(MUSTERILER!$B$7:$B$106,MATCH($D1068,MUSTERILER!$C$7:$C$106,0)),IFERROR(INDEX(MUSTERILER!$B$7:$B$106,MATCH($D1068,MUSTERILER!$B$7:$B$106,0)),IFERROR(INDEX(MUSTERILER!$B$7:$B$106,MATCH($D1068&amp;"*",MUSTERILER!$C$7:$C$106,0)),"TANIMSIZ MÜŞTERİ"))))</f>
        <v/>
      </c>
      <c r="D1068" s="109" t="n"/>
      <c r="E1068" s="225" t="n"/>
      <c r="F1068" s="226" t="n"/>
      <c r="G1068" s="108" t="n"/>
      <c r="H1068" s="108" t="n"/>
      <c r="I1068" s="109" t="n"/>
      <c r="J1068" s="109" t="n"/>
      <c r="K1068" s="109" t="n"/>
      <c r="L1068" s="231">
        <f>IF($E1068="","",DATE(YEAR($E1068),MONTH($E1068),1))</f>
        <v/>
      </c>
      <c r="M1068" s="113">
        <f>IF($D1068="","",IF($C1068="TANIMSIZ MÜŞTERİ","HATA",IF(OR($E1068="",$F1068&lt;=0,$G1068=""),"EKSİK",IF($E1068&gt;TODAY(),"İLERİ TARİH","UYGUN"))))</f>
        <v/>
      </c>
      <c r="N1068" s="121">
        <f>IF($C1068="","",IF($C1068="TANIMSIZ MÜŞTERİ","—",INDEX(MUSTERILER!$C$7:$C$106,MATCH($C1068,MUSTERILER!$B$7:$B$106,0))))</f>
        <v/>
      </c>
      <c r="O1068" s="6" t="n"/>
      <c r="P1068" s="6" t="n"/>
      <c r="Q1068" s="3">
        <f>IF($D1068="","",$C1068&amp;"|"&amp;COUNTIFS($C$7:$C1068,$C1068))</f>
        <v/>
      </c>
    </row>
    <row r="1069">
      <c r="A1069" s="6" t="n"/>
      <c r="B1069" s="113">
        <f>IF($D1069="","","T"&amp;TEXT(ROW()-6,"00000"))</f>
        <v/>
      </c>
      <c r="C1069" s="113">
        <f>IF($D1069="","",IFERROR(INDEX(MUSTERILER!$B$7:$B$106,MATCH($D1069,MUSTERILER!$C$7:$C$106,0)),IFERROR(INDEX(MUSTERILER!$B$7:$B$106,MATCH($D1069,MUSTERILER!$B$7:$B$106,0)),IFERROR(INDEX(MUSTERILER!$B$7:$B$106,MATCH($D1069&amp;"*",MUSTERILER!$C$7:$C$106,0)),"TANIMSIZ MÜŞTERİ"))))</f>
        <v/>
      </c>
      <c r="D1069" s="109" t="n"/>
      <c r="E1069" s="225" t="n"/>
      <c r="F1069" s="226" t="n"/>
      <c r="G1069" s="108" t="n"/>
      <c r="H1069" s="108" t="n"/>
      <c r="I1069" s="109" t="n"/>
      <c r="J1069" s="109" t="n"/>
      <c r="K1069" s="109" t="n"/>
      <c r="L1069" s="231">
        <f>IF($E1069="","",DATE(YEAR($E1069),MONTH($E1069),1))</f>
        <v/>
      </c>
      <c r="M1069" s="113">
        <f>IF($D1069="","",IF($C1069="TANIMSIZ MÜŞTERİ","HATA",IF(OR($E1069="",$F1069&lt;=0,$G1069=""),"EKSİK",IF($E1069&gt;TODAY(),"İLERİ TARİH","UYGUN"))))</f>
        <v/>
      </c>
      <c r="N1069" s="121">
        <f>IF($C1069="","",IF($C1069="TANIMSIZ MÜŞTERİ","—",INDEX(MUSTERILER!$C$7:$C$106,MATCH($C1069,MUSTERILER!$B$7:$B$106,0))))</f>
        <v/>
      </c>
      <c r="O1069" s="6" t="n"/>
      <c r="P1069" s="6" t="n"/>
      <c r="Q1069" s="3">
        <f>IF($D1069="","",$C1069&amp;"|"&amp;COUNTIFS($C$7:$C1069,$C1069))</f>
        <v/>
      </c>
    </row>
    <row r="1070">
      <c r="A1070" s="6" t="n"/>
      <c r="B1070" s="113">
        <f>IF($D1070="","","T"&amp;TEXT(ROW()-6,"00000"))</f>
        <v/>
      </c>
      <c r="C1070" s="113">
        <f>IF($D1070="","",IFERROR(INDEX(MUSTERILER!$B$7:$B$106,MATCH($D1070,MUSTERILER!$C$7:$C$106,0)),IFERROR(INDEX(MUSTERILER!$B$7:$B$106,MATCH($D1070,MUSTERILER!$B$7:$B$106,0)),IFERROR(INDEX(MUSTERILER!$B$7:$B$106,MATCH($D1070&amp;"*",MUSTERILER!$C$7:$C$106,0)),"TANIMSIZ MÜŞTERİ"))))</f>
        <v/>
      </c>
      <c r="D1070" s="109" t="n"/>
      <c r="E1070" s="225" t="n"/>
      <c r="F1070" s="226" t="n"/>
      <c r="G1070" s="108" t="n"/>
      <c r="H1070" s="108" t="n"/>
      <c r="I1070" s="109" t="n"/>
      <c r="J1070" s="109" t="n"/>
      <c r="K1070" s="109" t="n"/>
      <c r="L1070" s="231">
        <f>IF($E1070="","",DATE(YEAR($E1070),MONTH($E1070),1))</f>
        <v/>
      </c>
      <c r="M1070" s="113">
        <f>IF($D1070="","",IF($C1070="TANIMSIZ MÜŞTERİ","HATA",IF(OR($E1070="",$F1070&lt;=0,$G1070=""),"EKSİK",IF($E1070&gt;TODAY(),"İLERİ TARİH","UYGUN"))))</f>
        <v/>
      </c>
      <c r="N1070" s="121">
        <f>IF($C1070="","",IF($C1070="TANIMSIZ MÜŞTERİ","—",INDEX(MUSTERILER!$C$7:$C$106,MATCH($C1070,MUSTERILER!$B$7:$B$106,0))))</f>
        <v/>
      </c>
      <c r="O1070" s="6" t="n"/>
      <c r="P1070" s="6" t="n"/>
      <c r="Q1070" s="3">
        <f>IF($D1070="","",$C1070&amp;"|"&amp;COUNTIFS($C$7:$C1070,$C1070))</f>
        <v/>
      </c>
    </row>
    <row r="1071">
      <c r="A1071" s="6" t="n"/>
      <c r="B1071" s="113">
        <f>IF($D1071="","","T"&amp;TEXT(ROW()-6,"00000"))</f>
        <v/>
      </c>
      <c r="C1071" s="113">
        <f>IF($D1071="","",IFERROR(INDEX(MUSTERILER!$B$7:$B$106,MATCH($D1071,MUSTERILER!$C$7:$C$106,0)),IFERROR(INDEX(MUSTERILER!$B$7:$B$106,MATCH($D1071,MUSTERILER!$B$7:$B$106,0)),IFERROR(INDEX(MUSTERILER!$B$7:$B$106,MATCH($D1071&amp;"*",MUSTERILER!$C$7:$C$106,0)),"TANIMSIZ MÜŞTERİ"))))</f>
        <v/>
      </c>
      <c r="D1071" s="109" t="n"/>
      <c r="E1071" s="225" t="n"/>
      <c r="F1071" s="226" t="n"/>
      <c r="G1071" s="108" t="n"/>
      <c r="H1071" s="108" t="n"/>
      <c r="I1071" s="109" t="n"/>
      <c r="J1071" s="109" t="n"/>
      <c r="K1071" s="109" t="n"/>
      <c r="L1071" s="231">
        <f>IF($E1071="","",DATE(YEAR($E1071),MONTH($E1071),1))</f>
        <v/>
      </c>
      <c r="M1071" s="113">
        <f>IF($D1071="","",IF($C1071="TANIMSIZ MÜŞTERİ","HATA",IF(OR($E1071="",$F1071&lt;=0,$G1071=""),"EKSİK",IF($E1071&gt;TODAY(),"İLERİ TARİH","UYGUN"))))</f>
        <v/>
      </c>
      <c r="N1071" s="121">
        <f>IF($C1071="","",IF($C1071="TANIMSIZ MÜŞTERİ","—",INDEX(MUSTERILER!$C$7:$C$106,MATCH($C1071,MUSTERILER!$B$7:$B$106,0))))</f>
        <v/>
      </c>
      <c r="O1071" s="6" t="n"/>
      <c r="P1071" s="6" t="n"/>
      <c r="Q1071" s="3">
        <f>IF($D1071="","",$C1071&amp;"|"&amp;COUNTIFS($C$7:$C1071,$C1071))</f>
        <v/>
      </c>
    </row>
    <row r="1072">
      <c r="A1072" s="6" t="n"/>
      <c r="B1072" s="113">
        <f>IF($D1072="","","T"&amp;TEXT(ROW()-6,"00000"))</f>
        <v/>
      </c>
      <c r="C1072" s="113">
        <f>IF($D1072="","",IFERROR(INDEX(MUSTERILER!$B$7:$B$106,MATCH($D1072,MUSTERILER!$C$7:$C$106,0)),IFERROR(INDEX(MUSTERILER!$B$7:$B$106,MATCH($D1072,MUSTERILER!$B$7:$B$106,0)),IFERROR(INDEX(MUSTERILER!$B$7:$B$106,MATCH($D1072&amp;"*",MUSTERILER!$C$7:$C$106,0)),"TANIMSIZ MÜŞTERİ"))))</f>
        <v/>
      </c>
      <c r="D1072" s="109" t="n"/>
      <c r="E1072" s="225" t="n"/>
      <c r="F1072" s="226" t="n"/>
      <c r="G1072" s="108" t="n"/>
      <c r="H1072" s="108" t="n"/>
      <c r="I1072" s="109" t="n"/>
      <c r="J1072" s="109" t="n"/>
      <c r="K1072" s="109" t="n"/>
      <c r="L1072" s="231">
        <f>IF($E1072="","",DATE(YEAR($E1072),MONTH($E1072),1))</f>
        <v/>
      </c>
      <c r="M1072" s="113">
        <f>IF($D1072="","",IF($C1072="TANIMSIZ MÜŞTERİ","HATA",IF(OR($E1072="",$F1072&lt;=0,$G1072=""),"EKSİK",IF($E1072&gt;TODAY(),"İLERİ TARİH","UYGUN"))))</f>
        <v/>
      </c>
      <c r="N1072" s="121">
        <f>IF($C1072="","",IF($C1072="TANIMSIZ MÜŞTERİ","—",INDEX(MUSTERILER!$C$7:$C$106,MATCH($C1072,MUSTERILER!$B$7:$B$106,0))))</f>
        <v/>
      </c>
      <c r="O1072" s="6" t="n"/>
      <c r="P1072" s="6" t="n"/>
      <c r="Q1072" s="3">
        <f>IF($D1072="","",$C1072&amp;"|"&amp;COUNTIFS($C$7:$C1072,$C1072))</f>
        <v/>
      </c>
    </row>
    <row r="1073">
      <c r="A1073" s="6" t="n"/>
      <c r="B1073" s="113">
        <f>IF($D1073="","","T"&amp;TEXT(ROW()-6,"00000"))</f>
        <v/>
      </c>
      <c r="C1073" s="113">
        <f>IF($D1073="","",IFERROR(INDEX(MUSTERILER!$B$7:$B$106,MATCH($D1073,MUSTERILER!$C$7:$C$106,0)),IFERROR(INDEX(MUSTERILER!$B$7:$B$106,MATCH($D1073,MUSTERILER!$B$7:$B$106,0)),IFERROR(INDEX(MUSTERILER!$B$7:$B$106,MATCH($D1073&amp;"*",MUSTERILER!$C$7:$C$106,0)),"TANIMSIZ MÜŞTERİ"))))</f>
        <v/>
      </c>
      <c r="D1073" s="109" t="n"/>
      <c r="E1073" s="225" t="n"/>
      <c r="F1073" s="226" t="n"/>
      <c r="G1073" s="108" t="n"/>
      <c r="H1073" s="108" t="n"/>
      <c r="I1073" s="109" t="n"/>
      <c r="J1073" s="109" t="n"/>
      <c r="K1073" s="109" t="n"/>
      <c r="L1073" s="231">
        <f>IF($E1073="","",DATE(YEAR($E1073),MONTH($E1073),1))</f>
        <v/>
      </c>
      <c r="M1073" s="113">
        <f>IF($D1073="","",IF($C1073="TANIMSIZ MÜŞTERİ","HATA",IF(OR($E1073="",$F1073&lt;=0,$G1073=""),"EKSİK",IF($E1073&gt;TODAY(),"İLERİ TARİH","UYGUN"))))</f>
        <v/>
      </c>
      <c r="N1073" s="121">
        <f>IF($C1073="","",IF($C1073="TANIMSIZ MÜŞTERİ","—",INDEX(MUSTERILER!$C$7:$C$106,MATCH($C1073,MUSTERILER!$B$7:$B$106,0))))</f>
        <v/>
      </c>
      <c r="O1073" s="6" t="n"/>
      <c r="P1073" s="6" t="n"/>
      <c r="Q1073" s="3">
        <f>IF($D1073="","",$C1073&amp;"|"&amp;COUNTIFS($C$7:$C1073,$C1073))</f>
        <v/>
      </c>
    </row>
    <row r="1074">
      <c r="A1074" s="6" t="n"/>
      <c r="B1074" s="113">
        <f>IF($D1074="","","T"&amp;TEXT(ROW()-6,"00000"))</f>
        <v/>
      </c>
      <c r="C1074" s="113">
        <f>IF($D1074="","",IFERROR(INDEX(MUSTERILER!$B$7:$B$106,MATCH($D1074,MUSTERILER!$C$7:$C$106,0)),IFERROR(INDEX(MUSTERILER!$B$7:$B$106,MATCH($D1074,MUSTERILER!$B$7:$B$106,0)),IFERROR(INDEX(MUSTERILER!$B$7:$B$106,MATCH($D1074&amp;"*",MUSTERILER!$C$7:$C$106,0)),"TANIMSIZ MÜŞTERİ"))))</f>
        <v/>
      </c>
      <c r="D1074" s="109" t="n"/>
      <c r="E1074" s="225" t="n"/>
      <c r="F1074" s="226" t="n"/>
      <c r="G1074" s="108" t="n"/>
      <c r="H1074" s="108" t="n"/>
      <c r="I1074" s="109" t="n"/>
      <c r="J1074" s="109" t="n"/>
      <c r="K1074" s="109" t="n"/>
      <c r="L1074" s="231">
        <f>IF($E1074="","",DATE(YEAR($E1074),MONTH($E1074),1))</f>
        <v/>
      </c>
      <c r="M1074" s="113">
        <f>IF($D1074="","",IF($C1074="TANIMSIZ MÜŞTERİ","HATA",IF(OR($E1074="",$F1074&lt;=0,$G1074=""),"EKSİK",IF($E1074&gt;TODAY(),"İLERİ TARİH","UYGUN"))))</f>
        <v/>
      </c>
      <c r="N1074" s="121">
        <f>IF($C1074="","",IF($C1074="TANIMSIZ MÜŞTERİ","—",INDEX(MUSTERILER!$C$7:$C$106,MATCH($C1074,MUSTERILER!$B$7:$B$106,0))))</f>
        <v/>
      </c>
      <c r="O1074" s="6" t="n"/>
      <c r="P1074" s="6" t="n"/>
      <c r="Q1074" s="3">
        <f>IF($D1074="","",$C1074&amp;"|"&amp;COUNTIFS($C$7:$C1074,$C1074))</f>
        <v/>
      </c>
    </row>
    <row r="1075">
      <c r="A1075" s="6" t="n"/>
      <c r="B1075" s="113">
        <f>IF($D1075="","","T"&amp;TEXT(ROW()-6,"00000"))</f>
        <v/>
      </c>
      <c r="C1075" s="113">
        <f>IF($D1075="","",IFERROR(INDEX(MUSTERILER!$B$7:$B$106,MATCH($D1075,MUSTERILER!$C$7:$C$106,0)),IFERROR(INDEX(MUSTERILER!$B$7:$B$106,MATCH($D1075,MUSTERILER!$B$7:$B$106,0)),IFERROR(INDEX(MUSTERILER!$B$7:$B$106,MATCH($D1075&amp;"*",MUSTERILER!$C$7:$C$106,0)),"TANIMSIZ MÜŞTERİ"))))</f>
        <v/>
      </c>
      <c r="D1075" s="109" t="n"/>
      <c r="E1075" s="225" t="n"/>
      <c r="F1075" s="226" t="n"/>
      <c r="G1075" s="108" t="n"/>
      <c r="H1075" s="108" t="n"/>
      <c r="I1075" s="109" t="n"/>
      <c r="J1075" s="109" t="n"/>
      <c r="K1075" s="109" t="n"/>
      <c r="L1075" s="231">
        <f>IF($E1075="","",DATE(YEAR($E1075),MONTH($E1075),1))</f>
        <v/>
      </c>
      <c r="M1075" s="113">
        <f>IF($D1075="","",IF($C1075="TANIMSIZ MÜŞTERİ","HATA",IF(OR($E1075="",$F1075&lt;=0,$G1075=""),"EKSİK",IF($E1075&gt;TODAY(),"İLERİ TARİH","UYGUN"))))</f>
        <v/>
      </c>
      <c r="N1075" s="121">
        <f>IF($C1075="","",IF($C1075="TANIMSIZ MÜŞTERİ","—",INDEX(MUSTERILER!$C$7:$C$106,MATCH($C1075,MUSTERILER!$B$7:$B$106,0))))</f>
        <v/>
      </c>
      <c r="O1075" s="6" t="n"/>
      <c r="P1075" s="6" t="n"/>
      <c r="Q1075" s="3">
        <f>IF($D1075="","",$C1075&amp;"|"&amp;COUNTIFS($C$7:$C1075,$C1075))</f>
        <v/>
      </c>
    </row>
    <row r="1076">
      <c r="A1076" s="6" t="n"/>
      <c r="B1076" s="113">
        <f>IF($D1076="","","T"&amp;TEXT(ROW()-6,"00000"))</f>
        <v/>
      </c>
      <c r="C1076" s="113">
        <f>IF($D1076="","",IFERROR(INDEX(MUSTERILER!$B$7:$B$106,MATCH($D1076,MUSTERILER!$C$7:$C$106,0)),IFERROR(INDEX(MUSTERILER!$B$7:$B$106,MATCH($D1076,MUSTERILER!$B$7:$B$106,0)),IFERROR(INDEX(MUSTERILER!$B$7:$B$106,MATCH($D1076&amp;"*",MUSTERILER!$C$7:$C$106,0)),"TANIMSIZ MÜŞTERİ"))))</f>
        <v/>
      </c>
      <c r="D1076" s="109" t="n"/>
      <c r="E1076" s="225" t="n"/>
      <c r="F1076" s="226" t="n"/>
      <c r="G1076" s="108" t="n"/>
      <c r="H1076" s="108" t="n"/>
      <c r="I1076" s="109" t="n"/>
      <c r="J1076" s="109" t="n"/>
      <c r="K1076" s="109" t="n"/>
      <c r="L1076" s="231">
        <f>IF($E1076="","",DATE(YEAR($E1076),MONTH($E1076),1))</f>
        <v/>
      </c>
      <c r="M1076" s="113">
        <f>IF($D1076="","",IF($C1076="TANIMSIZ MÜŞTERİ","HATA",IF(OR($E1076="",$F1076&lt;=0,$G1076=""),"EKSİK",IF($E1076&gt;TODAY(),"İLERİ TARİH","UYGUN"))))</f>
        <v/>
      </c>
      <c r="N1076" s="121">
        <f>IF($C1076="","",IF($C1076="TANIMSIZ MÜŞTERİ","—",INDEX(MUSTERILER!$C$7:$C$106,MATCH($C1076,MUSTERILER!$B$7:$B$106,0))))</f>
        <v/>
      </c>
      <c r="O1076" s="6" t="n"/>
      <c r="P1076" s="6" t="n"/>
      <c r="Q1076" s="3">
        <f>IF($D1076="","",$C1076&amp;"|"&amp;COUNTIFS($C$7:$C1076,$C1076))</f>
        <v/>
      </c>
    </row>
    <row r="1077">
      <c r="A1077" s="6" t="n"/>
      <c r="B1077" s="113">
        <f>IF($D1077="","","T"&amp;TEXT(ROW()-6,"00000"))</f>
        <v/>
      </c>
      <c r="C1077" s="113">
        <f>IF($D1077="","",IFERROR(INDEX(MUSTERILER!$B$7:$B$106,MATCH($D1077,MUSTERILER!$C$7:$C$106,0)),IFERROR(INDEX(MUSTERILER!$B$7:$B$106,MATCH($D1077,MUSTERILER!$B$7:$B$106,0)),IFERROR(INDEX(MUSTERILER!$B$7:$B$106,MATCH($D1077&amp;"*",MUSTERILER!$C$7:$C$106,0)),"TANIMSIZ MÜŞTERİ"))))</f>
        <v/>
      </c>
      <c r="D1077" s="109" t="n"/>
      <c r="E1077" s="225" t="n"/>
      <c r="F1077" s="226" t="n"/>
      <c r="G1077" s="108" t="n"/>
      <c r="H1077" s="108" t="n"/>
      <c r="I1077" s="109" t="n"/>
      <c r="J1077" s="109" t="n"/>
      <c r="K1077" s="109" t="n"/>
      <c r="L1077" s="231">
        <f>IF($E1077="","",DATE(YEAR($E1077),MONTH($E1077),1))</f>
        <v/>
      </c>
      <c r="M1077" s="113">
        <f>IF($D1077="","",IF($C1077="TANIMSIZ MÜŞTERİ","HATA",IF(OR($E1077="",$F1077&lt;=0,$G1077=""),"EKSİK",IF($E1077&gt;TODAY(),"İLERİ TARİH","UYGUN"))))</f>
        <v/>
      </c>
      <c r="N1077" s="121">
        <f>IF($C1077="","",IF($C1077="TANIMSIZ MÜŞTERİ","—",INDEX(MUSTERILER!$C$7:$C$106,MATCH($C1077,MUSTERILER!$B$7:$B$106,0))))</f>
        <v/>
      </c>
      <c r="O1077" s="6" t="n"/>
      <c r="P1077" s="6" t="n"/>
      <c r="Q1077" s="3">
        <f>IF($D1077="","",$C1077&amp;"|"&amp;COUNTIFS($C$7:$C1077,$C1077))</f>
        <v/>
      </c>
    </row>
    <row r="1078">
      <c r="A1078" s="6" t="n"/>
      <c r="B1078" s="113">
        <f>IF($D1078="","","T"&amp;TEXT(ROW()-6,"00000"))</f>
        <v/>
      </c>
      <c r="C1078" s="113">
        <f>IF($D1078="","",IFERROR(INDEX(MUSTERILER!$B$7:$B$106,MATCH($D1078,MUSTERILER!$C$7:$C$106,0)),IFERROR(INDEX(MUSTERILER!$B$7:$B$106,MATCH($D1078,MUSTERILER!$B$7:$B$106,0)),IFERROR(INDEX(MUSTERILER!$B$7:$B$106,MATCH($D1078&amp;"*",MUSTERILER!$C$7:$C$106,0)),"TANIMSIZ MÜŞTERİ"))))</f>
        <v/>
      </c>
      <c r="D1078" s="109" t="n"/>
      <c r="E1078" s="225" t="n"/>
      <c r="F1078" s="226" t="n"/>
      <c r="G1078" s="108" t="n"/>
      <c r="H1078" s="108" t="n"/>
      <c r="I1078" s="109" t="n"/>
      <c r="J1078" s="109" t="n"/>
      <c r="K1078" s="109" t="n"/>
      <c r="L1078" s="231">
        <f>IF($E1078="","",DATE(YEAR($E1078),MONTH($E1078),1))</f>
        <v/>
      </c>
      <c r="M1078" s="113">
        <f>IF($D1078="","",IF($C1078="TANIMSIZ MÜŞTERİ","HATA",IF(OR($E1078="",$F1078&lt;=0,$G1078=""),"EKSİK",IF($E1078&gt;TODAY(),"İLERİ TARİH","UYGUN"))))</f>
        <v/>
      </c>
      <c r="N1078" s="121">
        <f>IF($C1078="","",IF($C1078="TANIMSIZ MÜŞTERİ","—",INDEX(MUSTERILER!$C$7:$C$106,MATCH($C1078,MUSTERILER!$B$7:$B$106,0))))</f>
        <v/>
      </c>
      <c r="O1078" s="6" t="n"/>
      <c r="P1078" s="6" t="n"/>
      <c r="Q1078" s="3">
        <f>IF($D1078="","",$C1078&amp;"|"&amp;COUNTIFS($C$7:$C1078,$C1078))</f>
        <v/>
      </c>
    </row>
    <row r="1079">
      <c r="A1079" s="6" t="n"/>
      <c r="B1079" s="113">
        <f>IF($D1079="","","T"&amp;TEXT(ROW()-6,"00000"))</f>
        <v/>
      </c>
      <c r="C1079" s="113">
        <f>IF($D1079="","",IFERROR(INDEX(MUSTERILER!$B$7:$B$106,MATCH($D1079,MUSTERILER!$C$7:$C$106,0)),IFERROR(INDEX(MUSTERILER!$B$7:$B$106,MATCH($D1079,MUSTERILER!$B$7:$B$106,0)),IFERROR(INDEX(MUSTERILER!$B$7:$B$106,MATCH($D1079&amp;"*",MUSTERILER!$C$7:$C$106,0)),"TANIMSIZ MÜŞTERİ"))))</f>
        <v/>
      </c>
      <c r="D1079" s="109" t="n"/>
      <c r="E1079" s="225" t="n"/>
      <c r="F1079" s="226" t="n"/>
      <c r="G1079" s="108" t="n"/>
      <c r="H1079" s="108" t="n"/>
      <c r="I1079" s="109" t="n"/>
      <c r="J1079" s="109" t="n"/>
      <c r="K1079" s="109" t="n"/>
      <c r="L1079" s="231">
        <f>IF($E1079="","",DATE(YEAR($E1079),MONTH($E1079),1))</f>
        <v/>
      </c>
      <c r="M1079" s="113">
        <f>IF($D1079="","",IF($C1079="TANIMSIZ MÜŞTERİ","HATA",IF(OR($E1079="",$F1079&lt;=0,$G1079=""),"EKSİK",IF($E1079&gt;TODAY(),"İLERİ TARİH","UYGUN"))))</f>
        <v/>
      </c>
      <c r="N1079" s="121">
        <f>IF($C1079="","",IF($C1079="TANIMSIZ MÜŞTERİ","—",INDEX(MUSTERILER!$C$7:$C$106,MATCH($C1079,MUSTERILER!$B$7:$B$106,0))))</f>
        <v/>
      </c>
      <c r="O1079" s="6" t="n"/>
      <c r="P1079" s="6" t="n"/>
      <c r="Q1079" s="3">
        <f>IF($D1079="","",$C1079&amp;"|"&amp;COUNTIFS($C$7:$C1079,$C1079))</f>
        <v/>
      </c>
    </row>
    <row r="1080">
      <c r="A1080" s="6" t="n"/>
      <c r="B1080" s="113">
        <f>IF($D1080="","","T"&amp;TEXT(ROW()-6,"00000"))</f>
        <v/>
      </c>
      <c r="C1080" s="113">
        <f>IF($D1080="","",IFERROR(INDEX(MUSTERILER!$B$7:$B$106,MATCH($D1080,MUSTERILER!$C$7:$C$106,0)),IFERROR(INDEX(MUSTERILER!$B$7:$B$106,MATCH($D1080,MUSTERILER!$B$7:$B$106,0)),IFERROR(INDEX(MUSTERILER!$B$7:$B$106,MATCH($D1080&amp;"*",MUSTERILER!$C$7:$C$106,0)),"TANIMSIZ MÜŞTERİ"))))</f>
        <v/>
      </c>
      <c r="D1080" s="109" t="n"/>
      <c r="E1080" s="225" t="n"/>
      <c r="F1080" s="226" t="n"/>
      <c r="G1080" s="108" t="n"/>
      <c r="H1080" s="108" t="n"/>
      <c r="I1080" s="109" t="n"/>
      <c r="J1080" s="109" t="n"/>
      <c r="K1080" s="109" t="n"/>
      <c r="L1080" s="231">
        <f>IF($E1080="","",DATE(YEAR($E1080),MONTH($E1080),1))</f>
        <v/>
      </c>
      <c r="M1080" s="113">
        <f>IF($D1080="","",IF($C1080="TANIMSIZ MÜŞTERİ","HATA",IF(OR($E1080="",$F1080&lt;=0,$G1080=""),"EKSİK",IF($E1080&gt;TODAY(),"İLERİ TARİH","UYGUN"))))</f>
        <v/>
      </c>
      <c r="N1080" s="121">
        <f>IF($C1080="","",IF($C1080="TANIMSIZ MÜŞTERİ","—",INDEX(MUSTERILER!$C$7:$C$106,MATCH($C1080,MUSTERILER!$B$7:$B$106,0))))</f>
        <v/>
      </c>
      <c r="O1080" s="6" t="n"/>
      <c r="P1080" s="6" t="n"/>
      <c r="Q1080" s="3">
        <f>IF($D1080="","",$C1080&amp;"|"&amp;COUNTIFS($C$7:$C1080,$C1080))</f>
        <v/>
      </c>
    </row>
    <row r="1081">
      <c r="A1081" s="6" t="n"/>
      <c r="B1081" s="113">
        <f>IF($D1081="","","T"&amp;TEXT(ROW()-6,"00000"))</f>
        <v/>
      </c>
      <c r="C1081" s="113">
        <f>IF($D1081="","",IFERROR(INDEX(MUSTERILER!$B$7:$B$106,MATCH($D1081,MUSTERILER!$C$7:$C$106,0)),IFERROR(INDEX(MUSTERILER!$B$7:$B$106,MATCH($D1081,MUSTERILER!$B$7:$B$106,0)),IFERROR(INDEX(MUSTERILER!$B$7:$B$106,MATCH($D1081&amp;"*",MUSTERILER!$C$7:$C$106,0)),"TANIMSIZ MÜŞTERİ"))))</f>
        <v/>
      </c>
      <c r="D1081" s="109" t="n"/>
      <c r="E1081" s="225" t="n"/>
      <c r="F1081" s="226" t="n"/>
      <c r="G1081" s="108" t="n"/>
      <c r="H1081" s="108" t="n"/>
      <c r="I1081" s="109" t="n"/>
      <c r="J1081" s="109" t="n"/>
      <c r="K1081" s="109" t="n"/>
      <c r="L1081" s="231">
        <f>IF($E1081="","",DATE(YEAR($E1081),MONTH($E1081),1))</f>
        <v/>
      </c>
      <c r="M1081" s="113">
        <f>IF($D1081="","",IF($C1081="TANIMSIZ MÜŞTERİ","HATA",IF(OR($E1081="",$F1081&lt;=0,$G1081=""),"EKSİK",IF($E1081&gt;TODAY(),"İLERİ TARİH","UYGUN"))))</f>
        <v/>
      </c>
      <c r="N1081" s="121">
        <f>IF($C1081="","",IF($C1081="TANIMSIZ MÜŞTERİ","—",INDEX(MUSTERILER!$C$7:$C$106,MATCH($C1081,MUSTERILER!$B$7:$B$106,0))))</f>
        <v/>
      </c>
      <c r="O1081" s="6" t="n"/>
      <c r="P1081" s="6" t="n"/>
      <c r="Q1081" s="3">
        <f>IF($D1081="","",$C1081&amp;"|"&amp;COUNTIFS($C$7:$C1081,$C1081))</f>
        <v/>
      </c>
    </row>
    <row r="1082">
      <c r="A1082" s="6" t="n"/>
      <c r="B1082" s="113">
        <f>IF($D1082="","","T"&amp;TEXT(ROW()-6,"00000"))</f>
        <v/>
      </c>
      <c r="C1082" s="113">
        <f>IF($D1082="","",IFERROR(INDEX(MUSTERILER!$B$7:$B$106,MATCH($D1082,MUSTERILER!$C$7:$C$106,0)),IFERROR(INDEX(MUSTERILER!$B$7:$B$106,MATCH($D1082,MUSTERILER!$B$7:$B$106,0)),IFERROR(INDEX(MUSTERILER!$B$7:$B$106,MATCH($D1082&amp;"*",MUSTERILER!$C$7:$C$106,0)),"TANIMSIZ MÜŞTERİ"))))</f>
        <v/>
      </c>
      <c r="D1082" s="109" t="n"/>
      <c r="E1082" s="225" t="n"/>
      <c r="F1082" s="226" t="n"/>
      <c r="G1082" s="108" t="n"/>
      <c r="H1082" s="108" t="n"/>
      <c r="I1082" s="109" t="n"/>
      <c r="J1082" s="109" t="n"/>
      <c r="K1082" s="109" t="n"/>
      <c r="L1082" s="231">
        <f>IF($E1082="","",DATE(YEAR($E1082),MONTH($E1082),1))</f>
        <v/>
      </c>
      <c r="M1082" s="113">
        <f>IF($D1082="","",IF($C1082="TANIMSIZ MÜŞTERİ","HATA",IF(OR($E1082="",$F1082&lt;=0,$G1082=""),"EKSİK",IF($E1082&gt;TODAY(),"İLERİ TARİH","UYGUN"))))</f>
        <v/>
      </c>
      <c r="N1082" s="121">
        <f>IF($C1082="","",IF($C1082="TANIMSIZ MÜŞTERİ","—",INDEX(MUSTERILER!$C$7:$C$106,MATCH($C1082,MUSTERILER!$B$7:$B$106,0))))</f>
        <v/>
      </c>
      <c r="O1082" s="6" t="n"/>
      <c r="P1082" s="6" t="n"/>
      <c r="Q1082" s="3">
        <f>IF($D1082="","",$C1082&amp;"|"&amp;COUNTIFS($C$7:$C1082,$C1082))</f>
        <v/>
      </c>
    </row>
    <row r="1083">
      <c r="A1083" s="6" t="n"/>
      <c r="B1083" s="113">
        <f>IF($D1083="","","T"&amp;TEXT(ROW()-6,"00000"))</f>
        <v/>
      </c>
      <c r="C1083" s="113">
        <f>IF($D1083="","",IFERROR(INDEX(MUSTERILER!$B$7:$B$106,MATCH($D1083,MUSTERILER!$C$7:$C$106,0)),IFERROR(INDEX(MUSTERILER!$B$7:$B$106,MATCH($D1083,MUSTERILER!$B$7:$B$106,0)),IFERROR(INDEX(MUSTERILER!$B$7:$B$106,MATCH($D1083&amp;"*",MUSTERILER!$C$7:$C$106,0)),"TANIMSIZ MÜŞTERİ"))))</f>
        <v/>
      </c>
      <c r="D1083" s="109" t="n"/>
      <c r="E1083" s="225" t="n"/>
      <c r="F1083" s="226" t="n"/>
      <c r="G1083" s="108" t="n"/>
      <c r="H1083" s="108" t="n"/>
      <c r="I1083" s="109" t="n"/>
      <c r="J1083" s="109" t="n"/>
      <c r="K1083" s="109" t="n"/>
      <c r="L1083" s="231">
        <f>IF($E1083="","",DATE(YEAR($E1083),MONTH($E1083),1))</f>
        <v/>
      </c>
      <c r="M1083" s="113">
        <f>IF($D1083="","",IF($C1083="TANIMSIZ MÜŞTERİ","HATA",IF(OR($E1083="",$F1083&lt;=0,$G1083=""),"EKSİK",IF($E1083&gt;TODAY(),"İLERİ TARİH","UYGUN"))))</f>
        <v/>
      </c>
      <c r="N1083" s="121">
        <f>IF($C1083="","",IF($C1083="TANIMSIZ MÜŞTERİ","—",INDEX(MUSTERILER!$C$7:$C$106,MATCH($C1083,MUSTERILER!$B$7:$B$106,0))))</f>
        <v/>
      </c>
      <c r="O1083" s="6" t="n"/>
      <c r="P1083" s="6" t="n"/>
      <c r="Q1083" s="3">
        <f>IF($D1083="","",$C1083&amp;"|"&amp;COUNTIFS($C$7:$C1083,$C1083))</f>
        <v/>
      </c>
    </row>
    <row r="1084">
      <c r="A1084" s="6" t="n"/>
      <c r="B1084" s="113">
        <f>IF($D1084="","","T"&amp;TEXT(ROW()-6,"00000"))</f>
        <v/>
      </c>
      <c r="C1084" s="113">
        <f>IF($D1084="","",IFERROR(INDEX(MUSTERILER!$B$7:$B$106,MATCH($D1084,MUSTERILER!$C$7:$C$106,0)),IFERROR(INDEX(MUSTERILER!$B$7:$B$106,MATCH($D1084,MUSTERILER!$B$7:$B$106,0)),IFERROR(INDEX(MUSTERILER!$B$7:$B$106,MATCH($D1084&amp;"*",MUSTERILER!$C$7:$C$106,0)),"TANIMSIZ MÜŞTERİ"))))</f>
        <v/>
      </c>
      <c r="D1084" s="109" t="n"/>
      <c r="E1084" s="225" t="n"/>
      <c r="F1084" s="226" t="n"/>
      <c r="G1084" s="108" t="n"/>
      <c r="H1084" s="108" t="n"/>
      <c r="I1084" s="109" t="n"/>
      <c r="J1084" s="109" t="n"/>
      <c r="K1084" s="109" t="n"/>
      <c r="L1084" s="231">
        <f>IF($E1084="","",DATE(YEAR($E1084),MONTH($E1084),1))</f>
        <v/>
      </c>
      <c r="M1084" s="113">
        <f>IF($D1084="","",IF($C1084="TANIMSIZ MÜŞTERİ","HATA",IF(OR($E1084="",$F1084&lt;=0,$G1084=""),"EKSİK",IF($E1084&gt;TODAY(),"İLERİ TARİH","UYGUN"))))</f>
        <v/>
      </c>
      <c r="N1084" s="121">
        <f>IF($C1084="","",IF($C1084="TANIMSIZ MÜŞTERİ","—",INDEX(MUSTERILER!$C$7:$C$106,MATCH($C1084,MUSTERILER!$B$7:$B$106,0))))</f>
        <v/>
      </c>
      <c r="O1084" s="6" t="n"/>
      <c r="P1084" s="6" t="n"/>
      <c r="Q1084" s="3">
        <f>IF($D1084="","",$C1084&amp;"|"&amp;COUNTIFS($C$7:$C1084,$C1084))</f>
        <v/>
      </c>
    </row>
    <row r="1085">
      <c r="A1085" s="6" t="n"/>
      <c r="B1085" s="113">
        <f>IF($D1085="","","T"&amp;TEXT(ROW()-6,"00000"))</f>
        <v/>
      </c>
      <c r="C1085" s="113">
        <f>IF($D1085="","",IFERROR(INDEX(MUSTERILER!$B$7:$B$106,MATCH($D1085,MUSTERILER!$C$7:$C$106,0)),IFERROR(INDEX(MUSTERILER!$B$7:$B$106,MATCH($D1085,MUSTERILER!$B$7:$B$106,0)),IFERROR(INDEX(MUSTERILER!$B$7:$B$106,MATCH($D1085&amp;"*",MUSTERILER!$C$7:$C$106,0)),"TANIMSIZ MÜŞTERİ"))))</f>
        <v/>
      </c>
      <c r="D1085" s="109" t="n"/>
      <c r="E1085" s="225" t="n"/>
      <c r="F1085" s="226" t="n"/>
      <c r="G1085" s="108" t="n"/>
      <c r="H1085" s="108" t="n"/>
      <c r="I1085" s="109" t="n"/>
      <c r="J1085" s="109" t="n"/>
      <c r="K1085" s="109" t="n"/>
      <c r="L1085" s="231">
        <f>IF($E1085="","",DATE(YEAR($E1085),MONTH($E1085),1))</f>
        <v/>
      </c>
      <c r="M1085" s="113">
        <f>IF($D1085="","",IF($C1085="TANIMSIZ MÜŞTERİ","HATA",IF(OR($E1085="",$F1085&lt;=0,$G1085=""),"EKSİK",IF($E1085&gt;TODAY(),"İLERİ TARİH","UYGUN"))))</f>
        <v/>
      </c>
      <c r="N1085" s="121">
        <f>IF($C1085="","",IF($C1085="TANIMSIZ MÜŞTERİ","—",INDEX(MUSTERILER!$C$7:$C$106,MATCH($C1085,MUSTERILER!$B$7:$B$106,0))))</f>
        <v/>
      </c>
      <c r="O1085" s="6" t="n"/>
      <c r="P1085" s="6" t="n"/>
      <c r="Q1085" s="3">
        <f>IF($D1085="","",$C1085&amp;"|"&amp;COUNTIFS($C$7:$C1085,$C1085))</f>
        <v/>
      </c>
    </row>
    <row r="1086">
      <c r="A1086" s="6" t="n"/>
      <c r="B1086" s="113">
        <f>IF($D1086="","","T"&amp;TEXT(ROW()-6,"00000"))</f>
        <v/>
      </c>
      <c r="C1086" s="113">
        <f>IF($D1086="","",IFERROR(INDEX(MUSTERILER!$B$7:$B$106,MATCH($D1086,MUSTERILER!$C$7:$C$106,0)),IFERROR(INDEX(MUSTERILER!$B$7:$B$106,MATCH($D1086,MUSTERILER!$B$7:$B$106,0)),IFERROR(INDEX(MUSTERILER!$B$7:$B$106,MATCH($D1086&amp;"*",MUSTERILER!$C$7:$C$106,0)),"TANIMSIZ MÜŞTERİ"))))</f>
        <v/>
      </c>
      <c r="D1086" s="109" t="n"/>
      <c r="E1086" s="225" t="n"/>
      <c r="F1086" s="226" t="n"/>
      <c r="G1086" s="108" t="n"/>
      <c r="H1086" s="108" t="n"/>
      <c r="I1086" s="109" t="n"/>
      <c r="J1086" s="109" t="n"/>
      <c r="K1086" s="109" t="n"/>
      <c r="L1086" s="231">
        <f>IF($E1086="","",DATE(YEAR($E1086),MONTH($E1086),1))</f>
        <v/>
      </c>
      <c r="M1086" s="113">
        <f>IF($D1086="","",IF($C1086="TANIMSIZ MÜŞTERİ","HATA",IF(OR($E1086="",$F1086&lt;=0,$G1086=""),"EKSİK",IF($E1086&gt;TODAY(),"İLERİ TARİH","UYGUN"))))</f>
        <v/>
      </c>
      <c r="N1086" s="121">
        <f>IF($C1086="","",IF($C1086="TANIMSIZ MÜŞTERİ","—",INDEX(MUSTERILER!$C$7:$C$106,MATCH($C1086,MUSTERILER!$B$7:$B$106,0))))</f>
        <v/>
      </c>
      <c r="O1086" s="6" t="n"/>
      <c r="P1086" s="6" t="n"/>
      <c r="Q1086" s="3">
        <f>IF($D1086="","",$C1086&amp;"|"&amp;COUNTIFS($C$7:$C1086,$C1086))</f>
        <v/>
      </c>
    </row>
    <row r="1087">
      <c r="A1087" s="6" t="n"/>
      <c r="B1087" s="113">
        <f>IF($D1087="","","T"&amp;TEXT(ROW()-6,"00000"))</f>
        <v/>
      </c>
      <c r="C1087" s="113">
        <f>IF($D1087="","",IFERROR(INDEX(MUSTERILER!$B$7:$B$106,MATCH($D1087,MUSTERILER!$C$7:$C$106,0)),IFERROR(INDEX(MUSTERILER!$B$7:$B$106,MATCH($D1087,MUSTERILER!$B$7:$B$106,0)),IFERROR(INDEX(MUSTERILER!$B$7:$B$106,MATCH($D1087&amp;"*",MUSTERILER!$C$7:$C$106,0)),"TANIMSIZ MÜŞTERİ"))))</f>
        <v/>
      </c>
      <c r="D1087" s="109" t="n"/>
      <c r="E1087" s="225" t="n"/>
      <c r="F1087" s="226" t="n"/>
      <c r="G1087" s="108" t="n"/>
      <c r="H1087" s="108" t="n"/>
      <c r="I1087" s="109" t="n"/>
      <c r="J1087" s="109" t="n"/>
      <c r="K1087" s="109" t="n"/>
      <c r="L1087" s="231">
        <f>IF($E1087="","",DATE(YEAR($E1087),MONTH($E1087),1))</f>
        <v/>
      </c>
      <c r="M1087" s="113">
        <f>IF($D1087="","",IF($C1087="TANIMSIZ MÜŞTERİ","HATA",IF(OR($E1087="",$F1087&lt;=0,$G1087=""),"EKSİK",IF($E1087&gt;TODAY(),"İLERİ TARİH","UYGUN"))))</f>
        <v/>
      </c>
      <c r="N1087" s="121">
        <f>IF($C1087="","",IF($C1087="TANIMSIZ MÜŞTERİ","—",INDEX(MUSTERILER!$C$7:$C$106,MATCH($C1087,MUSTERILER!$B$7:$B$106,0))))</f>
        <v/>
      </c>
      <c r="O1087" s="6" t="n"/>
      <c r="P1087" s="6" t="n"/>
      <c r="Q1087" s="3">
        <f>IF($D1087="","",$C1087&amp;"|"&amp;COUNTIFS($C$7:$C1087,$C1087))</f>
        <v/>
      </c>
    </row>
    <row r="1088">
      <c r="A1088" s="6" t="n"/>
      <c r="B1088" s="113">
        <f>IF($D1088="","","T"&amp;TEXT(ROW()-6,"00000"))</f>
        <v/>
      </c>
      <c r="C1088" s="113">
        <f>IF($D1088="","",IFERROR(INDEX(MUSTERILER!$B$7:$B$106,MATCH($D1088,MUSTERILER!$C$7:$C$106,0)),IFERROR(INDEX(MUSTERILER!$B$7:$B$106,MATCH($D1088,MUSTERILER!$B$7:$B$106,0)),IFERROR(INDEX(MUSTERILER!$B$7:$B$106,MATCH($D1088&amp;"*",MUSTERILER!$C$7:$C$106,0)),"TANIMSIZ MÜŞTERİ"))))</f>
        <v/>
      </c>
      <c r="D1088" s="109" t="n"/>
      <c r="E1088" s="225" t="n"/>
      <c r="F1088" s="226" t="n"/>
      <c r="G1088" s="108" t="n"/>
      <c r="H1088" s="108" t="n"/>
      <c r="I1088" s="109" t="n"/>
      <c r="J1088" s="109" t="n"/>
      <c r="K1088" s="109" t="n"/>
      <c r="L1088" s="231">
        <f>IF($E1088="","",DATE(YEAR($E1088),MONTH($E1088),1))</f>
        <v/>
      </c>
      <c r="M1088" s="113">
        <f>IF($D1088="","",IF($C1088="TANIMSIZ MÜŞTERİ","HATA",IF(OR($E1088="",$F1088&lt;=0,$G1088=""),"EKSİK",IF($E1088&gt;TODAY(),"İLERİ TARİH","UYGUN"))))</f>
        <v/>
      </c>
      <c r="N1088" s="121">
        <f>IF($C1088="","",IF($C1088="TANIMSIZ MÜŞTERİ","—",INDEX(MUSTERILER!$C$7:$C$106,MATCH($C1088,MUSTERILER!$B$7:$B$106,0))))</f>
        <v/>
      </c>
      <c r="O1088" s="6" t="n"/>
      <c r="P1088" s="6" t="n"/>
      <c r="Q1088" s="3">
        <f>IF($D1088="","",$C1088&amp;"|"&amp;COUNTIFS($C$7:$C1088,$C1088))</f>
        <v/>
      </c>
    </row>
    <row r="1089">
      <c r="A1089" s="6" t="n"/>
      <c r="B1089" s="113">
        <f>IF($D1089="","","T"&amp;TEXT(ROW()-6,"00000"))</f>
        <v/>
      </c>
      <c r="C1089" s="113">
        <f>IF($D1089="","",IFERROR(INDEX(MUSTERILER!$B$7:$B$106,MATCH($D1089,MUSTERILER!$C$7:$C$106,0)),IFERROR(INDEX(MUSTERILER!$B$7:$B$106,MATCH($D1089,MUSTERILER!$B$7:$B$106,0)),IFERROR(INDEX(MUSTERILER!$B$7:$B$106,MATCH($D1089&amp;"*",MUSTERILER!$C$7:$C$106,0)),"TANIMSIZ MÜŞTERİ"))))</f>
        <v/>
      </c>
      <c r="D1089" s="109" t="n"/>
      <c r="E1089" s="225" t="n"/>
      <c r="F1089" s="226" t="n"/>
      <c r="G1089" s="108" t="n"/>
      <c r="H1089" s="108" t="n"/>
      <c r="I1089" s="109" t="n"/>
      <c r="J1089" s="109" t="n"/>
      <c r="K1089" s="109" t="n"/>
      <c r="L1089" s="231">
        <f>IF($E1089="","",DATE(YEAR($E1089),MONTH($E1089),1))</f>
        <v/>
      </c>
      <c r="M1089" s="113">
        <f>IF($D1089="","",IF($C1089="TANIMSIZ MÜŞTERİ","HATA",IF(OR($E1089="",$F1089&lt;=0,$G1089=""),"EKSİK",IF($E1089&gt;TODAY(),"İLERİ TARİH","UYGUN"))))</f>
        <v/>
      </c>
      <c r="N1089" s="121">
        <f>IF($C1089="","",IF($C1089="TANIMSIZ MÜŞTERİ","—",INDEX(MUSTERILER!$C$7:$C$106,MATCH($C1089,MUSTERILER!$B$7:$B$106,0))))</f>
        <v/>
      </c>
      <c r="O1089" s="6" t="n"/>
      <c r="P1089" s="6" t="n"/>
      <c r="Q1089" s="3">
        <f>IF($D1089="","",$C1089&amp;"|"&amp;COUNTIFS($C$7:$C1089,$C1089))</f>
        <v/>
      </c>
    </row>
    <row r="1090">
      <c r="A1090" s="6" t="n"/>
      <c r="B1090" s="113">
        <f>IF($D1090="","","T"&amp;TEXT(ROW()-6,"00000"))</f>
        <v/>
      </c>
      <c r="C1090" s="113">
        <f>IF($D1090="","",IFERROR(INDEX(MUSTERILER!$B$7:$B$106,MATCH($D1090,MUSTERILER!$C$7:$C$106,0)),IFERROR(INDEX(MUSTERILER!$B$7:$B$106,MATCH($D1090,MUSTERILER!$B$7:$B$106,0)),IFERROR(INDEX(MUSTERILER!$B$7:$B$106,MATCH($D1090&amp;"*",MUSTERILER!$C$7:$C$106,0)),"TANIMSIZ MÜŞTERİ"))))</f>
        <v/>
      </c>
      <c r="D1090" s="109" t="n"/>
      <c r="E1090" s="225" t="n"/>
      <c r="F1090" s="226" t="n"/>
      <c r="G1090" s="108" t="n"/>
      <c r="H1090" s="108" t="n"/>
      <c r="I1090" s="109" t="n"/>
      <c r="J1090" s="109" t="n"/>
      <c r="K1090" s="109" t="n"/>
      <c r="L1090" s="231">
        <f>IF($E1090="","",DATE(YEAR($E1090),MONTH($E1090),1))</f>
        <v/>
      </c>
      <c r="M1090" s="113">
        <f>IF($D1090="","",IF($C1090="TANIMSIZ MÜŞTERİ","HATA",IF(OR($E1090="",$F1090&lt;=0,$G1090=""),"EKSİK",IF($E1090&gt;TODAY(),"İLERİ TARİH","UYGUN"))))</f>
        <v/>
      </c>
      <c r="N1090" s="121">
        <f>IF($C1090="","",IF($C1090="TANIMSIZ MÜŞTERİ","—",INDEX(MUSTERILER!$C$7:$C$106,MATCH($C1090,MUSTERILER!$B$7:$B$106,0))))</f>
        <v/>
      </c>
      <c r="O1090" s="6" t="n"/>
      <c r="P1090" s="6" t="n"/>
      <c r="Q1090" s="3">
        <f>IF($D1090="","",$C1090&amp;"|"&amp;COUNTIFS($C$7:$C1090,$C1090))</f>
        <v/>
      </c>
    </row>
    <row r="1091">
      <c r="A1091" s="6" t="n"/>
      <c r="B1091" s="113">
        <f>IF($D1091="","","T"&amp;TEXT(ROW()-6,"00000"))</f>
        <v/>
      </c>
      <c r="C1091" s="113">
        <f>IF($D1091="","",IFERROR(INDEX(MUSTERILER!$B$7:$B$106,MATCH($D1091,MUSTERILER!$C$7:$C$106,0)),IFERROR(INDEX(MUSTERILER!$B$7:$B$106,MATCH($D1091,MUSTERILER!$B$7:$B$106,0)),IFERROR(INDEX(MUSTERILER!$B$7:$B$106,MATCH($D1091&amp;"*",MUSTERILER!$C$7:$C$106,0)),"TANIMSIZ MÜŞTERİ"))))</f>
        <v/>
      </c>
      <c r="D1091" s="109" t="n"/>
      <c r="E1091" s="225" t="n"/>
      <c r="F1091" s="226" t="n"/>
      <c r="G1091" s="108" t="n"/>
      <c r="H1091" s="108" t="n"/>
      <c r="I1091" s="109" t="n"/>
      <c r="J1091" s="109" t="n"/>
      <c r="K1091" s="109" t="n"/>
      <c r="L1091" s="231">
        <f>IF($E1091="","",DATE(YEAR($E1091),MONTH($E1091),1))</f>
        <v/>
      </c>
      <c r="M1091" s="113">
        <f>IF($D1091="","",IF($C1091="TANIMSIZ MÜŞTERİ","HATA",IF(OR($E1091="",$F1091&lt;=0,$G1091=""),"EKSİK",IF($E1091&gt;TODAY(),"İLERİ TARİH","UYGUN"))))</f>
        <v/>
      </c>
      <c r="N1091" s="121">
        <f>IF($C1091="","",IF($C1091="TANIMSIZ MÜŞTERİ","—",INDEX(MUSTERILER!$C$7:$C$106,MATCH($C1091,MUSTERILER!$B$7:$B$106,0))))</f>
        <v/>
      </c>
      <c r="O1091" s="6" t="n"/>
      <c r="P1091" s="6" t="n"/>
      <c r="Q1091" s="3">
        <f>IF($D1091="","",$C1091&amp;"|"&amp;COUNTIFS($C$7:$C1091,$C1091))</f>
        <v/>
      </c>
    </row>
    <row r="1092">
      <c r="A1092" s="6" t="n"/>
      <c r="B1092" s="113">
        <f>IF($D1092="","","T"&amp;TEXT(ROW()-6,"00000"))</f>
        <v/>
      </c>
      <c r="C1092" s="113">
        <f>IF($D1092="","",IFERROR(INDEX(MUSTERILER!$B$7:$B$106,MATCH($D1092,MUSTERILER!$C$7:$C$106,0)),IFERROR(INDEX(MUSTERILER!$B$7:$B$106,MATCH($D1092,MUSTERILER!$B$7:$B$106,0)),IFERROR(INDEX(MUSTERILER!$B$7:$B$106,MATCH($D1092&amp;"*",MUSTERILER!$C$7:$C$106,0)),"TANIMSIZ MÜŞTERİ"))))</f>
        <v/>
      </c>
      <c r="D1092" s="109" t="n"/>
      <c r="E1092" s="225" t="n"/>
      <c r="F1092" s="226" t="n"/>
      <c r="G1092" s="108" t="n"/>
      <c r="H1092" s="108" t="n"/>
      <c r="I1092" s="109" t="n"/>
      <c r="J1092" s="109" t="n"/>
      <c r="K1092" s="109" t="n"/>
      <c r="L1092" s="231">
        <f>IF($E1092="","",DATE(YEAR($E1092),MONTH($E1092),1))</f>
        <v/>
      </c>
      <c r="M1092" s="113">
        <f>IF($D1092="","",IF($C1092="TANIMSIZ MÜŞTERİ","HATA",IF(OR($E1092="",$F1092&lt;=0,$G1092=""),"EKSİK",IF($E1092&gt;TODAY(),"İLERİ TARİH","UYGUN"))))</f>
        <v/>
      </c>
      <c r="N1092" s="121">
        <f>IF($C1092="","",IF($C1092="TANIMSIZ MÜŞTERİ","—",INDEX(MUSTERILER!$C$7:$C$106,MATCH($C1092,MUSTERILER!$B$7:$B$106,0))))</f>
        <v/>
      </c>
      <c r="O1092" s="6" t="n"/>
      <c r="P1092" s="6" t="n"/>
      <c r="Q1092" s="3">
        <f>IF($D1092="","",$C1092&amp;"|"&amp;COUNTIFS($C$7:$C1092,$C1092))</f>
        <v/>
      </c>
    </row>
    <row r="1093">
      <c r="A1093" s="6" t="n"/>
      <c r="B1093" s="113">
        <f>IF($D1093="","","T"&amp;TEXT(ROW()-6,"00000"))</f>
        <v/>
      </c>
      <c r="C1093" s="113">
        <f>IF($D1093="","",IFERROR(INDEX(MUSTERILER!$B$7:$B$106,MATCH($D1093,MUSTERILER!$C$7:$C$106,0)),IFERROR(INDEX(MUSTERILER!$B$7:$B$106,MATCH($D1093,MUSTERILER!$B$7:$B$106,0)),IFERROR(INDEX(MUSTERILER!$B$7:$B$106,MATCH($D1093&amp;"*",MUSTERILER!$C$7:$C$106,0)),"TANIMSIZ MÜŞTERİ"))))</f>
        <v/>
      </c>
      <c r="D1093" s="109" t="n"/>
      <c r="E1093" s="225" t="n"/>
      <c r="F1093" s="226" t="n"/>
      <c r="G1093" s="108" t="n"/>
      <c r="H1093" s="108" t="n"/>
      <c r="I1093" s="109" t="n"/>
      <c r="J1093" s="109" t="n"/>
      <c r="K1093" s="109" t="n"/>
      <c r="L1093" s="231">
        <f>IF($E1093="","",DATE(YEAR($E1093),MONTH($E1093),1))</f>
        <v/>
      </c>
      <c r="M1093" s="113">
        <f>IF($D1093="","",IF($C1093="TANIMSIZ MÜŞTERİ","HATA",IF(OR($E1093="",$F1093&lt;=0,$G1093=""),"EKSİK",IF($E1093&gt;TODAY(),"İLERİ TARİH","UYGUN"))))</f>
        <v/>
      </c>
      <c r="N1093" s="121">
        <f>IF($C1093="","",IF($C1093="TANIMSIZ MÜŞTERİ","—",INDEX(MUSTERILER!$C$7:$C$106,MATCH($C1093,MUSTERILER!$B$7:$B$106,0))))</f>
        <v/>
      </c>
      <c r="O1093" s="6" t="n"/>
      <c r="P1093" s="6" t="n"/>
      <c r="Q1093" s="3">
        <f>IF($D1093="","",$C1093&amp;"|"&amp;COUNTIFS($C$7:$C1093,$C1093))</f>
        <v/>
      </c>
    </row>
    <row r="1094">
      <c r="A1094" s="6" t="n"/>
      <c r="B1094" s="113">
        <f>IF($D1094="","","T"&amp;TEXT(ROW()-6,"00000"))</f>
        <v/>
      </c>
      <c r="C1094" s="113">
        <f>IF($D1094="","",IFERROR(INDEX(MUSTERILER!$B$7:$B$106,MATCH($D1094,MUSTERILER!$C$7:$C$106,0)),IFERROR(INDEX(MUSTERILER!$B$7:$B$106,MATCH($D1094,MUSTERILER!$B$7:$B$106,0)),IFERROR(INDEX(MUSTERILER!$B$7:$B$106,MATCH($D1094&amp;"*",MUSTERILER!$C$7:$C$106,0)),"TANIMSIZ MÜŞTERİ"))))</f>
        <v/>
      </c>
      <c r="D1094" s="109" t="n"/>
      <c r="E1094" s="225" t="n"/>
      <c r="F1094" s="226" t="n"/>
      <c r="G1094" s="108" t="n"/>
      <c r="H1094" s="108" t="n"/>
      <c r="I1094" s="109" t="n"/>
      <c r="J1094" s="109" t="n"/>
      <c r="K1094" s="109" t="n"/>
      <c r="L1094" s="231">
        <f>IF($E1094="","",DATE(YEAR($E1094),MONTH($E1094),1))</f>
        <v/>
      </c>
      <c r="M1094" s="113">
        <f>IF($D1094="","",IF($C1094="TANIMSIZ MÜŞTERİ","HATA",IF(OR($E1094="",$F1094&lt;=0,$G1094=""),"EKSİK",IF($E1094&gt;TODAY(),"İLERİ TARİH","UYGUN"))))</f>
        <v/>
      </c>
      <c r="N1094" s="121">
        <f>IF($C1094="","",IF($C1094="TANIMSIZ MÜŞTERİ","—",INDEX(MUSTERILER!$C$7:$C$106,MATCH($C1094,MUSTERILER!$B$7:$B$106,0))))</f>
        <v/>
      </c>
      <c r="O1094" s="6" t="n"/>
      <c r="P1094" s="6" t="n"/>
      <c r="Q1094" s="3">
        <f>IF($D1094="","",$C1094&amp;"|"&amp;COUNTIFS($C$7:$C1094,$C1094))</f>
        <v/>
      </c>
    </row>
    <row r="1095">
      <c r="A1095" s="6" t="n"/>
      <c r="B1095" s="113">
        <f>IF($D1095="","","T"&amp;TEXT(ROW()-6,"00000"))</f>
        <v/>
      </c>
      <c r="C1095" s="113">
        <f>IF($D1095="","",IFERROR(INDEX(MUSTERILER!$B$7:$B$106,MATCH($D1095,MUSTERILER!$C$7:$C$106,0)),IFERROR(INDEX(MUSTERILER!$B$7:$B$106,MATCH($D1095,MUSTERILER!$B$7:$B$106,0)),IFERROR(INDEX(MUSTERILER!$B$7:$B$106,MATCH($D1095&amp;"*",MUSTERILER!$C$7:$C$106,0)),"TANIMSIZ MÜŞTERİ"))))</f>
        <v/>
      </c>
      <c r="D1095" s="109" t="n"/>
      <c r="E1095" s="225" t="n"/>
      <c r="F1095" s="226" t="n"/>
      <c r="G1095" s="108" t="n"/>
      <c r="H1095" s="108" t="n"/>
      <c r="I1095" s="109" t="n"/>
      <c r="J1095" s="109" t="n"/>
      <c r="K1095" s="109" t="n"/>
      <c r="L1095" s="231">
        <f>IF($E1095="","",DATE(YEAR($E1095),MONTH($E1095),1))</f>
        <v/>
      </c>
      <c r="M1095" s="113">
        <f>IF($D1095="","",IF($C1095="TANIMSIZ MÜŞTERİ","HATA",IF(OR($E1095="",$F1095&lt;=0,$G1095=""),"EKSİK",IF($E1095&gt;TODAY(),"İLERİ TARİH","UYGUN"))))</f>
        <v/>
      </c>
      <c r="N1095" s="121">
        <f>IF($C1095="","",IF($C1095="TANIMSIZ MÜŞTERİ","—",INDEX(MUSTERILER!$C$7:$C$106,MATCH($C1095,MUSTERILER!$B$7:$B$106,0))))</f>
        <v/>
      </c>
      <c r="O1095" s="6" t="n"/>
      <c r="P1095" s="6" t="n"/>
      <c r="Q1095" s="3">
        <f>IF($D1095="","",$C1095&amp;"|"&amp;COUNTIFS($C$7:$C1095,$C1095))</f>
        <v/>
      </c>
    </row>
    <row r="1096">
      <c r="A1096" s="6" t="n"/>
      <c r="B1096" s="113">
        <f>IF($D1096="","","T"&amp;TEXT(ROW()-6,"00000"))</f>
        <v/>
      </c>
      <c r="C1096" s="113">
        <f>IF($D1096="","",IFERROR(INDEX(MUSTERILER!$B$7:$B$106,MATCH($D1096,MUSTERILER!$C$7:$C$106,0)),IFERROR(INDEX(MUSTERILER!$B$7:$B$106,MATCH($D1096,MUSTERILER!$B$7:$B$106,0)),IFERROR(INDEX(MUSTERILER!$B$7:$B$106,MATCH($D1096&amp;"*",MUSTERILER!$C$7:$C$106,0)),"TANIMSIZ MÜŞTERİ"))))</f>
        <v/>
      </c>
      <c r="D1096" s="109" t="n"/>
      <c r="E1096" s="225" t="n"/>
      <c r="F1096" s="226" t="n"/>
      <c r="G1096" s="108" t="n"/>
      <c r="H1096" s="108" t="n"/>
      <c r="I1096" s="109" t="n"/>
      <c r="J1096" s="109" t="n"/>
      <c r="K1096" s="109" t="n"/>
      <c r="L1096" s="231">
        <f>IF($E1096="","",DATE(YEAR($E1096),MONTH($E1096),1))</f>
        <v/>
      </c>
      <c r="M1096" s="113">
        <f>IF($D1096="","",IF($C1096="TANIMSIZ MÜŞTERİ","HATA",IF(OR($E1096="",$F1096&lt;=0,$G1096=""),"EKSİK",IF($E1096&gt;TODAY(),"İLERİ TARİH","UYGUN"))))</f>
        <v/>
      </c>
      <c r="N1096" s="121">
        <f>IF($C1096="","",IF($C1096="TANIMSIZ MÜŞTERİ","—",INDEX(MUSTERILER!$C$7:$C$106,MATCH($C1096,MUSTERILER!$B$7:$B$106,0))))</f>
        <v/>
      </c>
      <c r="O1096" s="6" t="n"/>
      <c r="P1096" s="6" t="n"/>
      <c r="Q1096" s="3">
        <f>IF($D1096="","",$C1096&amp;"|"&amp;COUNTIFS($C$7:$C1096,$C1096))</f>
        <v/>
      </c>
    </row>
    <row r="1097">
      <c r="A1097" s="6" t="n"/>
      <c r="B1097" s="113">
        <f>IF($D1097="","","T"&amp;TEXT(ROW()-6,"00000"))</f>
        <v/>
      </c>
      <c r="C1097" s="113">
        <f>IF($D1097="","",IFERROR(INDEX(MUSTERILER!$B$7:$B$106,MATCH($D1097,MUSTERILER!$C$7:$C$106,0)),IFERROR(INDEX(MUSTERILER!$B$7:$B$106,MATCH($D1097,MUSTERILER!$B$7:$B$106,0)),IFERROR(INDEX(MUSTERILER!$B$7:$B$106,MATCH($D1097&amp;"*",MUSTERILER!$C$7:$C$106,0)),"TANIMSIZ MÜŞTERİ"))))</f>
        <v/>
      </c>
      <c r="D1097" s="109" t="n"/>
      <c r="E1097" s="225" t="n"/>
      <c r="F1097" s="226" t="n"/>
      <c r="G1097" s="108" t="n"/>
      <c r="H1097" s="108" t="n"/>
      <c r="I1097" s="109" t="n"/>
      <c r="J1097" s="109" t="n"/>
      <c r="K1097" s="109" t="n"/>
      <c r="L1097" s="231">
        <f>IF($E1097="","",DATE(YEAR($E1097),MONTH($E1097),1))</f>
        <v/>
      </c>
      <c r="M1097" s="113">
        <f>IF($D1097="","",IF($C1097="TANIMSIZ MÜŞTERİ","HATA",IF(OR($E1097="",$F1097&lt;=0,$G1097=""),"EKSİK",IF($E1097&gt;TODAY(),"İLERİ TARİH","UYGUN"))))</f>
        <v/>
      </c>
      <c r="N1097" s="121">
        <f>IF($C1097="","",IF($C1097="TANIMSIZ MÜŞTERİ","—",INDEX(MUSTERILER!$C$7:$C$106,MATCH($C1097,MUSTERILER!$B$7:$B$106,0))))</f>
        <v/>
      </c>
      <c r="O1097" s="6" t="n"/>
      <c r="P1097" s="6" t="n"/>
      <c r="Q1097" s="3">
        <f>IF($D1097="","",$C1097&amp;"|"&amp;COUNTIFS($C$7:$C1097,$C1097))</f>
        <v/>
      </c>
    </row>
    <row r="1098">
      <c r="A1098" s="6" t="n"/>
      <c r="B1098" s="113">
        <f>IF($D1098="","","T"&amp;TEXT(ROW()-6,"00000"))</f>
        <v/>
      </c>
      <c r="C1098" s="113">
        <f>IF($D1098="","",IFERROR(INDEX(MUSTERILER!$B$7:$B$106,MATCH($D1098,MUSTERILER!$C$7:$C$106,0)),IFERROR(INDEX(MUSTERILER!$B$7:$B$106,MATCH($D1098,MUSTERILER!$B$7:$B$106,0)),IFERROR(INDEX(MUSTERILER!$B$7:$B$106,MATCH($D1098&amp;"*",MUSTERILER!$C$7:$C$106,0)),"TANIMSIZ MÜŞTERİ"))))</f>
        <v/>
      </c>
      <c r="D1098" s="109" t="n"/>
      <c r="E1098" s="225" t="n"/>
      <c r="F1098" s="226" t="n"/>
      <c r="G1098" s="108" t="n"/>
      <c r="H1098" s="108" t="n"/>
      <c r="I1098" s="109" t="n"/>
      <c r="J1098" s="109" t="n"/>
      <c r="K1098" s="109" t="n"/>
      <c r="L1098" s="231">
        <f>IF($E1098="","",DATE(YEAR($E1098),MONTH($E1098),1))</f>
        <v/>
      </c>
      <c r="M1098" s="113">
        <f>IF($D1098="","",IF($C1098="TANIMSIZ MÜŞTERİ","HATA",IF(OR($E1098="",$F1098&lt;=0,$G1098=""),"EKSİK",IF($E1098&gt;TODAY(),"İLERİ TARİH","UYGUN"))))</f>
        <v/>
      </c>
      <c r="N1098" s="121">
        <f>IF($C1098="","",IF($C1098="TANIMSIZ MÜŞTERİ","—",INDEX(MUSTERILER!$C$7:$C$106,MATCH($C1098,MUSTERILER!$B$7:$B$106,0))))</f>
        <v/>
      </c>
      <c r="O1098" s="6" t="n"/>
      <c r="P1098" s="6" t="n"/>
      <c r="Q1098" s="3">
        <f>IF($D1098="","",$C1098&amp;"|"&amp;COUNTIFS($C$7:$C1098,$C1098))</f>
        <v/>
      </c>
    </row>
    <row r="1099">
      <c r="A1099" s="6" t="n"/>
      <c r="B1099" s="113">
        <f>IF($D1099="","","T"&amp;TEXT(ROW()-6,"00000"))</f>
        <v/>
      </c>
      <c r="C1099" s="113">
        <f>IF($D1099="","",IFERROR(INDEX(MUSTERILER!$B$7:$B$106,MATCH($D1099,MUSTERILER!$C$7:$C$106,0)),IFERROR(INDEX(MUSTERILER!$B$7:$B$106,MATCH($D1099,MUSTERILER!$B$7:$B$106,0)),IFERROR(INDEX(MUSTERILER!$B$7:$B$106,MATCH($D1099&amp;"*",MUSTERILER!$C$7:$C$106,0)),"TANIMSIZ MÜŞTERİ"))))</f>
        <v/>
      </c>
      <c r="D1099" s="109" t="n"/>
      <c r="E1099" s="225" t="n"/>
      <c r="F1099" s="226" t="n"/>
      <c r="G1099" s="108" t="n"/>
      <c r="H1099" s="108" t="n"/>
      <c r="I1099" s="109" t="n"/>
      <c r="J1099" s="109" t="n"/>
      <c r="K1099" s="109" t="n"/>
      <c r="L1099" s="231">
        <f>IF($E1099="","",DATE(YEAR($E1099),MONTH($E1099),1))</f>
        <v/>
      </c>
      <c r="M1099" s="113">
        <f>IF($D1099="","",IF($C1099="TANIMSIZ MÜŞTERİ","HATA",IF(OR($E1099="",$F1099&lt;=0,$G1099=""),"EKSİK",IF($E1099&gt;TODAY(),"İLERİ TARİH","UYGUN"))))</f>
        <v/>
      </c>
      <c r="N1099" s="121">
        <f>IF($C1099="","",IF($C1099="TANIMSIZ MÜŞTERİ","—",INDEX(MUSTERILER!$C$7:$C$106,MATCH($C1099,MUSTERILER!$B$7:$B$106,0))))</f>
        <v/>
      </c>
      <c r="O1099" s="6" t="n"/>
      <c r="P1099" s="6" t="n"/>
      <c r="Q1099" s="3">
        <f>IF($D1099="","",$C1099&amp;"|"&amp;COUNTIFS($C$7:$C1099,$C1099))</f>
        <v/>
      </c>
    </row>
    <row r="1100">
      <c r="A1100" s="6" t="n"/>
      <c r="B1100" s="113">
        <f>IF($D1100="","","T"&amp;TEXT(ROW()-6,"00000"))</f>
        <v/>
      </c>
      <c r="C1100" s="113">
        <f>IF($D1100="","",IFERROR(INDEX(MUSTERILER!$B$7:$B$106,MATCH($D1100,MUSTERILER!$C$7:$C$106,0)),IFERROR(INDEX(MUSTERILER!$B$7:$B$106,MATCH($D1100,MUSTERILER!$B$7:$B$106,0)),IFERROR(INDEX(MUSTERILER!$B$7:$B$106,MATCH($D1100&amp;"*",MUSTERILER!$C$7:$C$106,0)),"TANIMSIZ MÜŞTERİ"))))</f>
        <v/>
      </c>
      <c r="D1100" s="109" t="n"/>
      <c r="E1100" s="225" t="n"/>
      <c r="F1100" s="226" t="n"/>
      <c r="G1100" s="108" t="n"/>
      <c r="H1100" s="108" t="n"/>
      <c r="I1100" s="109" t="n"/>
      <c r="J1100" s="109" t="n"/>
      <c r="K1100" s="109" t="n"/>
      <c r="L1100" s="231">
        <f>IF($E1100="","",DATE(YEAR($E1100),MONTH($E1100),1))</f>
        <v/>
      </c>
      <c r="M1100" s="113">
        <f>IF($D1100="","",IF($C1100="TANIMSIZ MÜŞTERİ","HATA",IF(OR($E1100="",$F1100&lt;=0,$G1100=""),"EKSİK",IF($E1100&gt;TODAY(),"İLERİ TARİH","UYGUN"))))</f>
        <v/>
      </c>
      <c r="N1100" s="121">
        <f>IF($C1100="","",IF($C1100="TANIMSIZ MÜŞTERİ","—",INDEX(MUSTERILER!$C$7:$C$106,MATCH($C1100,MUSTERILER!$B$7:$B$106,0))))</f>
        <v/>
      </c>
      <c r="O1100" s="6" t="n"/>
      <c r="P1100" s="6" t="n"/>
      <c r="Q1100" s="3">
        <f>IF($D1100="","",$C1100&amp;"|"&amp;COUNTIFS($C$7:$C1100,$C1100))</f>
        <v/>
      </c>
    </row>
    <row r="1101">
      <c r="A1101" s="6" t="n"/>
      <c r="B1101" s="113">
        <f>IF($D1101="","","T"&amp;TEXT(ROW()-6,"00000"))</f>
        <v/>
      </c>
      <c r="C1101" s="113">
        <f>IF($D1101="","",IFERROR(INDEX(MUSTERILER!$B$7:$B$106,MATCH($D1101,MUSTERILER!$C$7:$C$106,0)),IFERROR(INDEX(MUSTERILER!$B$7:$B$106,MATCH($D1101,MUSTERILER!$B$7:$B$106,0)),IFERROR(INDEX(MUSTERILER!$B$7:$B$106,MATCH($D1101&amp;"*",MUSTERILER!$C$7:$C$106,0)),"TANIMSIZ MÜŞTERİ"))))</f>
        <v/>
      </c>
      <c r="D1101" s="109" t="n"/>
      <c r="E1101" s="225" t="n"/>
      <c r="F1101" s="226" t="n"/>
      <c r="G1101" s="108" t="n"/>
      <c r="H1101" s="108" t="n"/>
      <c r="I1101" s="109" t="n"/>
      <c r="J1101" s="109" t="n"/>
      <c r="K1101" s="109" t="n"/>
      <c r="L1101" s="231">
        <f>IF($E1101="","",DATE(YEAR($E1101),MONTH($E1101),1))</f>
        <v/>
      </c>
      <c r="M1101" s="113">
        <f>IF($D1101="","",IF($C1101="TANIMSIZ MÜŞTERİ","HATA",IF(OR($E1101="",$F1101&lt;=0,$G1101=""),"EKSİK",IF($E1101&gt;TODAY(),"İLERİ TARİH","UYGUN"))))</f>
        <v/>
      </c>
      <c r="N1101" s="121">
        <f>IF($C1101="","",IF($C1101="TANIMSIZ MÜŞTERİ","—",INDEX(MUSTERILER!$C$7:$C$106,MATCH($C1101,MUSTERILER!$B$7:$B$106,0))))</f>
        <v/>
      </c>
      <c r="O1101" s="6" t="n"/>
      <c r="P1101" s="6" t="n"/>
      <c r="Q1101" s="3">
        <f>IF($D1101="","",$C1101&amp;"|"&amp;COUNTIFS($C$7:$C1101,$C1101))</f>
        <v/>
      </c>
    </row>
    <row r="1102">
      <c r="A1102" s="6" t="n"/>
      <c r="B1102" s="113">
        <f>IF($D1102="","","T"&amp;TEXT(ROW()-6,"00000"))</f>
        <v/>
      </c>
      <c r="C1102" s="113">
        <f>IF($D1102="","",IFERROR(INDEX(MUSTERILER!$B$7:$B$106,MATCH($D1102,MUSTERILER!$C$7:$C$106,0)),IFERROR(INDEX(MUSTERILER!$B$7:$B$106,MATCH($D1102,MUSTERILER!$B$7:$B$106,0)),IFERROR(INDEX(MUSTERILER!$B$7:$B$106,MATCH($D1102&amp;"*",MUSTERILER!$C$7:$C$106,0)),"TANIMSIZ MÜŞTERİ"))))</f>
        <v/>
      </c>
      <c r="D1102" s="109" t="n"/>
      <c r="E1102" s="225" t="n"/>
      <c r="F1102" s="226" t="n"/>
      <c r="G1102" s="108" t="n"/>
      <c r="H1102" s="108" t="n"/>
      <c r="I1102" s="109" t="n"/>
      <c r="J1102" s="109" t="n"/>
      <c r="K1102" s="109" t="n"/>
      <c r="L1102" s="231">
        <f>IF($E1102="","",DATE(YEAR($E1102),MONTH($E1102),1))</f>
        <v/>
      </c>
      <c r="M1102" s="113">
        <f>IF($D1102="","",IF($C1102="TANIMSIZ MÜŞTERİ","HATA",IF(OR($E1102="",$F1102&lt;=0,$G1102=""),"EKSİK",IF($E1102&gt;TODAY(),"İLERİ TARİH","UYGUN"))))</f>
        <v/>
      </c>
      <c r="N1102" s="121">
        <f>IF($C1102="","",IF($C1102="TANIMSIZ MÜŞTERİ","—",INDEX(MUSTERILER!$C$7:$C$106,MATCH($C1102,MUSTERILER!$B$7:$B$106,0))))</f>
        <v/>
      </c>
      <c r="O1102" s="6" t="n"/>
      <c r="P1102" s="6" t="n"/>
      <c r="Q1102" s="3">
        <f>IF($D1102="","",$C1102&amp;"|"&amp;COUNTIFS($C$7:$C1102,$C1102))</f>
        <v/>
      </c>
    </row>
    <row r="1103">
      <c r="A1103" s="6" t="n"/>
      <c r="B1103" s="113">
        <f>IF($D1103="","","T"&amp;TEXT(ROW()-6,"00000"))</f>
        <v/>
      </c>
      <c r="C1103" s="113">
        <f>IF($D1103="","",IFERROR(INDEX(MUSTERILER!$B$7:$B$106,MATCH($D1103,MUSTERILER!$C$7:$C$106,0)),IFERROR(INDEX(MUSTERILER!$B$7:$B$106,MATCH($D1103,MUSTERILER!$B$7:$B$106,0)),IFERROR(INDEX(MUSTERILER!$B$7:$B$106,MATCH($D1103&amp;"*",MUSTERILER!$C$7:$C$106,0)),"TANIMSIZ MÜŞTERİ"))))</f>
        <v/>
      </c>
      <c r="D1103" s="109" t="n"/>
      <c r="E1103" s="225" t="n"/>
      <c r="F1103" s="226" t="n"/>
      <c r="G1103" s="108" t="n"/>
      <c r="H1103" s="108" t="n"/>
      <c r="I1103" s="109" t="n"/>
      <c r="J1103" s="109" t="n"/>
      <c r="K1103" s="109" t="n"/>
      <c r="L1103" s="231">
        <f>IF($E1103="","",DATE(YEAR($E1103),MONTH($E1103),1))</f>
        <v/>
      </c>
      <c r="M1103" s="113">
        <f>IF($D1103="","",IF($C1103="TANIMSIZ MÜŞTERİ","HATA",IF(OR($E1103="",$F1103&lt;=0,$G1103=""),"EKSİK",IF($E1103&gt;TODAY(),"İLERİ TARİH","UYGUN"))))</f>
        <v/>
      </c>
      <c r="N1103" s="121">
        <f>IF($C1103="","",IF($C1103="TANIMSIZ MÜŞTERİ","—",INDEX(MUSTERILER!$C$7:$C$106,MATCH($C1103,MUSTERILER!$B$7:$B$106,0))))</f>
        <v/>
      </c>
      <c r="O1103" s="6" t="n"/>
      <c r="P1103" s="6" t="n"/>
      <c r="Q1103" s="3">
        <f>IF($D1103="","",$C1103&amp;"|"&amp;COUNTIFS($C$7:$C1103,$C1103))</f>
        <v/>
      </c>
    </row>
    <row r="1104">
      <c r="A1104" s="6" t="n"/>
      <c r="B1104" s="113">
        <f>IF($D1104="","","T"&amp;TEXT(ROW()-6,"00000"))</f>
        <v/>
      </c>
      <c r="C1104" s="113">
        <f>IF($D1104="","",IFERROR(INDEX(MUSTERILER!$B$7:$B$106,MATCH($D1104,MUSTERILER!$C$7:$C$106,0)),IFERROR(INDEX(MUSTERILER!$B$7:$B$106,MATCH($D1104,MUSTERILER!$B$7:$B$106,0)),IFERROR(INDEX(MUSTERILER!$B$7:$B$106,MATCH($D1104&amp;"*",MUSTERILER!$C$7:$C$106,0)),"TANIMSIZ MÜŞTERİ"))))</f>
        <v/>
      </c>
      <c r="D1104" s="109" t="n"/>
      <c r="E1104" s="225" t="n"/>
      <c r="F1104" s="226" t="n"/>
      <c r="G1104" s="108" t="n"/>
      <c r="H1104" s="108" t="n"/>
      <c r="I1104" s="109" t="n"/>
      <c r="J1104" s="109" t="n"/>
      <c r="K1104" s="109" t="n"/>
      <c r="L1104" s="231">
        <f>IF($E1104="","",DATE(YEAR($E1104),MONTH($E1104),1))</f>
        <v/>
      </c>
      <c r="M1104" s="113">
        <f>IF($D1104="","",IF($C1104="TANIMSIZ MÜŞTERİ","HATA",IF(OR($E1104="",$F1104&lt;=0,$G1104=""),"EKSİK",IF($E1104&gt;TODAY(),"İLERİ TARİH","UYGUN"))))</f>
        <v/>
      </c>
      <c r="N1104" s="121">
        <f>IF($C1104="","",IF($C1104="TANIMSIZ MÜŞTERİ","—",INDEX(MUSTERILER!$C$7:$C$106,MATCH($C1104,MUSTERILER!$B$7:$B$106,0))))</f>
        <v/>
      </c>
      <c r="O1104" s="6" t="n"/>
      <c r="P1104" s="6" t="n"/>
      <c r="Q1104" s="3">
        <f>IF($D1104="","",$C1104&amp;"|"&amp;COUNTIFS($C$7:$C1104,$C1104))</f>
        <v/>
      </c>
    </row>
    <row r="1105">
      <c r="A1105" s="6" t="n"/>
      <c r="B1105" s="113">
        <f>IF($D1105="","","T"&amp;TEXT(ROW()-6,"00000"))</f>
        <v/>
      </c>
      <c r="C1105" s="113">
        <f>IF($D1105="","",IFERROR(INDEX(MUSTERILER!$B$7:$B$106,MATCH($D1105,MUSTERILER!$C$7:$C$106,0)),IFERROR(INDEX(MUSTERILER!$B$7:$B$106,MATCH($D1105,MUSTERILER!$B$7:$B$106,0)),IFERROR(INDEX(MUSTERILER!$B$7:$B$106,MATCH($D1105&amp;"*",MUSTERILER!$C$7:$C$106,0)),"TANIMSIZ MÜŞTERİ"))))</f>
        <v/>
      </c>
      <c r="D1105" s="109" t="n"/>
      <c r="E1105" s="225" t="n"/>
      <c r="F1105" s="226" t="n"/>
      <c r="G1105" s="108" t="n"/>
      <c r="H1105" s="108" t="n"/>
      <c r="I1105" s="109" t="n"/>
      <c r="J1105" s="109" t="n"/>
      <c r="K1105" s="109" t="n"/>
      <c r="L1105" s="231">
        <f>IF($E1105="","",DATE(YEAR($E1105),MONTH($E1105),1))</f>
        <v/>
      </c>
      <c r="M1105" s="113">
        <f>IF($D1105="","",IF($C1105="TANIMSIZ MÜŞTERİ","HATA",IF(OR($E1105="",$F1105&lt;=0,$G1105=""),"EKSİK",IF($E1105&gt;TODAY(),"İLERİ TARİH","UYGUN"))))</f>
        <v/>
      </c>
      <c r="N1105" s="121">
        <f>IF($C1105="","",IF($C1105="TANIMSIZ MÜŞTERİ","—",INDEX(MUSTERILER!$C$7:$C$106,MATCH($C1105,MUSTERILER!$B$7:$B$106,0))))</f>
        <v/>
      </c>
      <c r="O1105" s="6" t="n"/>
      <c r="P1105" s="6" t="n"/>
      <c r="Q1105" s="3">
        <f>IF($D1105="","",$C1105&amp;"|"&amp;COUNTIFS($C$7:$C1105,$C1105))</f>
        <v/>
      </c>
    </row>
    <row r="1106">
      <c r="A1106" s="6" t="n"/>
      <c r="B1106" s="113">
        <f>IF($D1106="","","T"&amp;TEXT(ROW()-6,"00000"))</f>
        <v/>
      </c>
      <c r="C1106" s="113">
        <f>IF($D1106="","",IFERROR(INDEX(MUSTERILER!$B$7:$B$106,MATCH($D1106,MUSTERILER!$C$7:$C$106,0)),IFERROR(INDEX(MUSTERILER!$B$7:$B$106,MATCH($D1106,MUSTERILER!$B$7:$B$106,0)),IFERROR(INDEX(MUSTERILER!$B$7:$B$106,MATCH($D1106&amp;"*",MUSTERILER!$C$7:$C$106,0)),"TANIMSIZ MÜŞTERİ"))))</f>
        <v/>
      </c>
      <c r="D1106" s="109" t="n"/>
      <c r="E1106" s="225" t="n"/>
      <c r="F1106" s="226" t="n"/>
      <c r="G1106" s="108" t="n"/>
      <c r="H1106" s="108" t="n"/>
      <c r="I1106" s="109" t="n"/>
      <c r="J1106" s="109" t="n"/>
      <c r="K1106" s="109" t="n"/>
      <c r="L1106" s="231">
        <f>IF($E1106="","",DATE(YEAR($E1106),MONTH($E1106),1))</f>
        <v/>
      </c>
      <c r="M1106" s="113">
        <f>IF($D1106="","",IF($C1106="TANIMSIZ MÜŞTERİ","HATA",IF(OR($E1106="",$F1106&lt;=0,$G1106=""),"EKSİK",IF($E1106&gt;TODAY(),"İLERİ TARİH","UYGUN"))))</f>
        <v/>
      </c>
      <c r="N1106" s="121">
        <f>IF($C1106="","",IF($C1106="TANIMSIZ MÜŞTERİ","—",INDEX(MUSTERILER!$C$7:$C$106,MATCH($C1106,MUSTERILER!$B$7:$B$106,0))))</f>
        <v/>
      </c>
      <c r="O1106" s="6" t="n"/>
      <c r="P1106" s="6" t="n"/>
      <c r="Q1106" s="3">
        <f>IF($D1106="","",$C1106&amp;"|"&amp;COUNTIFS($C$7:$C1106,$C1106))</f>
        <v/>
      </c>
    </row>
    <row r="1107">
      <c r="A1107" s="6" t="n"/>
      <c r="B1107" s="113">
        <f>IF($D1107="","","T"&amp;TEXT(ROW()-6,"00000"))</f>
        <v/>
      </c>
      <c r="C1107" s="113">
        <f>IF($D1107="","",IFERROR(INDEX(MUSTERILER!$B$7:$B$106,MATCH($D1107,MUSTERILER!$C$7:$C$106,0)),IFERROR(INDEX(MUSTERILER!$B$7:$B$106,MATCH($D1107,MUSTERILER!$B$7:$B$106,0)),IFERROR(INDEX(MUSTERILER!$B$7:$B$106,MATCH($D1107&amp;"*",MUSTERILER!$C$7:$C$106,0)),"TANIMSIZ MÜŞTERİ"))))</f>
        <v/>
      </c>
      <c r="D1107" s="109" t="n"/>
      <c r="E1107" s="225" t="n"/>
      <c r="F1107" s="226" t="n"/>
      <c r="G1107" s="108" t="n"/>
      <c r="H1107" s="108" t="n"/>
      <c r="I1107" s="109" t="n"/>
      <c r="J1107" s="109" t="n"/>
      <c r="K1107" s="109" t="n"/>
      <c r="L1107" s="231">
        <f>IF($E1107="","",DATE(YEAR($E1107),MONTH($E1107),1))</f>
        <v/>
      </c>
      <c r="M1107" s="113">
        <f>IF($D1107="","",IF($C1107="TANIMSIZ MÜŞTERİ","HATA",IF(OR($E1107="",$F1107&lt;=0,$G1107=""),"EKSİK",IF($E1107&gt;TODAY(),"İLERİ TARİH","UYGUN"))))</f>
        <v/>
      </c>
      <c r="N1107" s="121">
        <f>IF($C1107="","",IF($C1107="TANIMSIZ MÜŞTERİ","—",INDEX(MUSTERILER!$C$7:$C$106,MATCH($C1107,MUSTERILER!$B$7:$B$106,0))))</f>
        <v/>
      </c>
      <c r="O1107" s="6" t="n"/>
      <c r="P1107" s="6" t="n"/>
      <c r="Q1107" s="3">
        <f>IF($D1107="","",$C1107&amp;"|"&amp;COUNTIFS($C$7:$C1107,$C1107))</f>
        <v/>
      </c>
    </row>
    <row r="1108">
      <c r="A1108" s="6" t="n"/>
      <c r="B1108" s="113">
        <f>IF($D1108="","","T"&amp;TEXT(ROW()-6,"00000"))</f>
        <v/>
      </c>
      <c r="C1108" s="113">
        <f>IF($D1108="","",IFERROR(INDEX(MUSTERILER!$B$7:$B$106,MATCH($D1108,MUSTERILER!$C$7:$C$106,0)),IFERROR(INDEX(MUSTERILER!$B$7:$B$106,MATCH($D1108,MUSTERILER!$B$7:$B$106,0)),IFERROR(INDEX(MUSTERILER!$B$7:$B$106,MATCH($D1108&amp;"*",MUSTERILER!$C$7:$C$106,0)),"TANIMSIZ MÜŞTERİ"))))</f>
        <v/>
      </c>
      <c r="D1108" s="109" t="n"/>
      <c r="E1108" s="225" t="n"/>
      <c r="F1108" s="226" t="n"/>
      <c r="G1108" s="108" t="n"/>
      <c r="H1108" s="108" t="n"/>
      <c r="I1108" s="109" t="n"/>
      <c r="J1108" s="109" t="n"/>
      <c r="K1108" s="109" t="n"/>
      <c r="L1108" s="231">
        <f>IF($E1108="","",DATE(YEAR($E1108),MONTH($E1108),1))</f>
        <v/>
      </c>
      <c r="M1108" s="113">
        <f>IF($D1108="","",IF($C1108="TANIMSIZ MÜŞTERİ","HATA",IF(OR($E1108="",$F1108&lt;=0,$G1108=""),"EKSİK",IF($E1108&gt;TODAY(),"İLERİ TARİH","UYGUN"))))</f>
        <v/>
      </c>
      <c r="N1108" s="121">
        <f>IF($C1108="","",IF($C1108="TANIMSIZ MÜŞTERİ","—",INDEX(MUSTERILER!$C$7:$C$106,MATCH($C1108,MUSTERILER!$B$7:$B$106,0))))</f>
        <v/>
      </c>
      <c r="O1108" s="6" t="n"/>
      <c r="P1108" s="6" t="n"/>
      <c r="Q1108" s="3">
        <f>IF($D1108="","",$C1108&amp;"|"&amp;COUNTIFS($C$7:$C1108,$C1108))</f>
        <v/>
      </c>
    </row>
    <row r="1109">
      <c r="A1109" s="6" t="n"/>
      <c r="B1109" s="113">
        <f>IF($D1109="","","T"&amp;TEXT(ROW()-6,"00000"))</f>
        <v/>
      </c>
      <c r="C1109" s="113">
        <f>IF($D1109="","",IFERROR(INDEX(MUSTERILER!$B$7:$B$106,MATCH($D1109,MUSTERILER!$C$7:$C$106,0)),IFERROR(INDEX(MUSTERILER!$B$7:$B$106,MATCH($D1109,MUSTERILER!$B$7:$B$106,0)),IFERROR(INDEX(MUSTERILER!$B$7:$B$106,MATCH($D1109&amp;"*",MUSTERILER!$C$7:$C$106,0)),"TANIMSIZ MÜŞTERİ"))))</f>
        <v/>
      </c>
      <c r="D1109" s="109" t="n"/>
      <c r="E1109" s="225" t="n"/>
      <c r="F1109" s="226" t="n"/>
      <c r="G1109" s="108" t="n"/>
      <c r="H1109" s="108" t="n"/>
      <c r="I1109" s="109" t="n"/>
      <c r="J1109" s="109" t="n"/>
      <c r="K1109" s="109" t="n"/>
      <c r="L1109" s="231">
        <f>IF($E1109="","",DATE(YEAR($E1109),MONTH($E1109),1))</f>
        <v/>
      </c>
      <c r="M1109" s="113">
        <f>IF($D1109="","",IF($C1109="TANIMSIZ MÜŞTERİ","HATA",IF(OR($E1109="",$F1109&lt;=0,$G1109=""),"EKSİK",IF($E1109&gt;TODAY(),"İLERİ TARİH","UYGUN"))))</f>
        <v/>
      </c>
      <c r="N1109" s="121">
        <f>IF($C1109="","",IF($C1109="TANIMSIZ MÜŞTERİ","—",INDEX(MUSTERILER!$C$7:$C$106,MATCH($C1109,MUSTERILER!$B$7:$B$106,0))))</f>
        <v/>
      </c>
      <c r="O1109" s="6" t="n"/>
      <c r="P1109" s="6" t="n"/>
      <c r="Q1109" s="3">
        <f>IF($D1109="","",$C1109&amp;"|"&amp;COUNTIFS($C$7:$C1109,$C1109))</f>
        <v/>
      </c>
    </row>
    <row r="1110">
      <c r="A1110" s="6" t="n"/>
      <c r="B1110" s="113">
        <f>IF($D1110="","","T"&amp;TEXT(ROW()-6,"00000"))</f>
        <v/>
      </c>
      <c r="C1110" s="113">
        <f>IF($D1110="","",IFERROR(INDEX(MUSTERILER!$B$7:$B$106,MATCH($D1110,MUSTERILER!$C$7:$C$106,0)),IFERROR(INDEX(MUSTERILER!$B$7:$B$106,MATCH($D1110,MUSTERILER!$B$7:$B$106,0)),IFERROR(INDEX(MUSTERILER!$B$7:$B$106,MATCH($D1110&amp;"*",MUSTERILER!$C$7:$C$106,0)),"TANIMSIZ MÜŞTERİ"))))</f>
        <v/>
      </c>
      <c r="D1110" s="109" t="n"/>
      <c r="E1110" s="225" t="n"/>
      <c r="F1110" s="226" t="n"/>
      <c r="G1110" s="108" t="n"/>
      <c r="H1110" s="108" t="n"/>
      <c r="I1110" s="109" t="n"/>
      <c r="J1110" s="109" t="n"/>
      <c r="K1110" s="109" t="n"/>
      <c r="L1110" s="231">
        <f>IF($E1110="","",DATE(YEAR($E1110),MONTH($E1110),1))</f>
        <v/>
      </c>
      <c r="M1110" s="113">
        <f>IF($D1110="","",IF($C1110="TANIMSIZ MÜŞTERİ","HATA",IF(OR($E1110="",$F1110&lt;=0,$G1110=""),"EKSİK",IF($E1110&gt;TODAY(),"İLERİ TARİH","UYGUN"))))</f>
        <v/>
      </c>
      <c r="N1110" s="121">
        <f>IF($C1110="","",IF($C1110="TANIMSIZ MÜŞTERİ","—",INDEX(MUSTERILER!$C$7:$C$106,MATCH($C1110,MUSTERILER!$B$7:$B$106,0))))</f>
        <v/>
      </c>
      <c r="O1110" s="6" t="n"/>
      <c r="P1110" s="6" t="n"/>
      <c r="Q1110" s="3">
        <f>IF($D1110="","",$C1110&amp;"|"&amp;COUNTIFS($C$7:$C1110,$C1110))</f>
        <v/>
      </c>
    </row>
    <row r="1111">
      <c r="A1111" s="6" t="n"/>
      <c r="B1111" s="113">
        <f>IF($D1111="","","T"&amp;TEXT(ROW()-6,"00000"))</f>
        <v/>
      </c>
      <c r="C1111" s="113">
        <f>IF($D1111="","",IFERROR(INDEX(MUSTERILER!$B$7:$B$106,MATCH($D1111,MUSTERILER!$C$7:$C$106,0)),IFERROR(INDEX(MUSTERILER!$B$7:$B$106,MATCH($D1111,MUSTERILER!$B$7:$B$106,0)),IFERROR(INDEX(MUSTERILER!$B$7:$B$106,MATCH($D1111&amp;"*",MUSTERILER!$C$7:$C$106,0)),"TANIMSIZ MÜŞTERİ"))))</f>
        <v/>
      </c>
      <c r="D1111" s="109" t="n"/>
      <c r="E1111" s="225" t="n"/>
      <c r="F1111" s="226" t="n"/>
      <c r="G1111" s="108" t="n"/>
      <c r="H1111" s="108" t="n"/>
      <c r="I1111" s="109" t="n"/>
      <c r="J1111" s="109" t="n"/>
      <c r="K1111" s="109" t="n"/>
      <c r="L1111" s="231">
        <f>IF($E1111="","",DATE(YEAR($E1111),MONTH($E1111),1))</f>
        <v/>
      </c>
      <c r="M1111" s="113">
        <f>IF($D1111="","",IF($C1111="TANIMSIZ MÜŞTERİ","HATA",IF(OR($E1111="",$F1111&lt;=0,$G1111=""),"EKSİK",IF($E1111&gt;TODAY(),"İLERİ TARİH","UYGUN"))))</f>
        <v/>
      </c>
      <c r="N1111" s="121">
        <f>IF($C1111="","",IF($C1111="TANIMSIZ MÜŞTERİ","—",INDEX(MUSTERILER!$C$7:$C$106,MATCH($C1111,MUSTERILER!$B$7:$B$106,0))))</f>
        <v/>
      </c>
      <c r="O1111" s="6" t="n"/>
      <c r="P1111" s="6" t="n"/>
      <c r="Q1111" s="3">
        <f>IF($D1111="","",$C1111&amp;"|"&amp;COUNTIFS($C$7:$C1111,$C1111))</f>
        <v/>
      </c>
    </row>
    <row r="1112">
      <c r="A1112" s="6" t="n"/>
      <c r="B1112" s="113">
        <f>IF($D1112="","","T"&amp;TEXT(ROW()-6,"00000"))</f>
        <v/>
      </c>
      <c r="C1112" s="113">
        <f>IF($D1112="","",IFERROR(INDEX(MUSTERILER!$B$7:$B$106,MATCH($D1112,MUSTERILER!$C$7:$C$106,0)),IFERROR(INDEX(MUSTERILER!$B$7:$B$106,MATCH($D1112,MUSTERILER!$B$7:$B$106,0)),IFERROR(INDEX(MUSTERILER!$B$7:$B$106,MATCH($D1112&amp;"*",MUSTERILER!$C$7:$C$106,0)),"TANIMSIZ MÜŞTERİ"))))</f>
        <v/>
      </c>
      <c r="D1112" s="109" t="n"/>
      <c r="E1112" s="225" t="n"/>
      <c r="F1112" s="226" t="n"/>
      <c r="G1112" s="108" t="n"/>
      <c r="H1112" s="108" t="n"/>
      <c r="I1112" s="109" t="n"/>
      <c r="J1112" s="109" t="n"/>
      <c r="K1112" s="109" t="n"/>
      <c r="L1112" s="231">
        <f>IF($E1112="","",DATE(YEAR($E1112),MONTH($E1112),1))</f>
        <v/>
      </c>
      <c r="M1112" s="113">
        <f>IF($D1112="","",IF($C1112="TANIMSIZ MÜŞTERİ","HATA",IF(OR($E1112="",$F1112&lt;=0,$G1112=""),"EKSİK",IF($E1112&gt;TODAY(),"İLERİ TARİH","UYGUN"))))</f>
        <v/>
      </c>
      <c r="N1112" s="121">
        <f>IF($C1112="","",IF($C1112="TANIMSIZ MÜŞTERİ","—",INDEX(MUSTERILER!$C$7:$C$106,MATCH($C1112,MUSTERILER!$B$7:$B$106,0))))</f>
        <v/>
      </c>
      <c r="O1112" s="6" t="n"/>
      <c r="P1112" s="6" t="n"/>
      <c r="Q1112" s="3">
        <f>IF($D1112="","",$C1112&amp;"|"&amp;COUNTIFS($C$7:$C1112,$C1112))</f>
        <v/>
      </c>
    </row>
    <row r="1113">
      <c r="A1113" s="6" t="n"/>
      <c r="B1113" s="113">
        <f>IF($D1113="","","T"&amp;TEXT(ROW()-6,"00000"))</f>
        <v/>
      </c>
      <c r="C1113" s="113">
        <f>IF($D1113="","",IFERROR(INDEX(MUSTERILER!$B$7:$B$106,MATCH($D1113,MUSTERILER!$C$7:$C$106,0)),IFERROR(INDEX(MUSTERILER!$B$7:$B$106,MATCH($D1113,MUSTERILER!$B$7:$B$106,0)),IFERROR(INDEX(MUSTERILER!$B$7:$B$106,MATCH($D1113&amp;"*",MUSTERILER!$C$7:$C$106,0)),"TANIMSIZ MÜŞTERİ"))))</f>
        <v/>
      </c>
      <c r="D1113" s="109" t="n"/>
      <c r="E1113" s="225" t="n"/>
      <c r="F1113" s="226" t="n"/>
      <c r="G1113" s="108" t="n"/>
      <c r="H1113" s="108" t="n"/>
      <c r="I1113" s="109" t="n"/>
      <c r="J1113" s="109" t="n"/>
      <c r="K1113" s="109" t="n"/>
      <c r="L1113" s="231">
        <f>IF($E1113="","",DATE(YEAR($E1113),MONTH($E1113),1))</f>
        <v/>
      </c>
      <c r="M1113" s="113">
        <f>IF($D1113="","",IF($C1113="TANIMSIZ MÜŞTERİ","HATA",IF(OR($E1113="",$F1113&lt;=0,$G1113=""),"EKSİK",IF($E1113&gt;TODAY(),"İLERİ TARİH","UYGUN"))))</f>
        <v/>
      </c>
      <c r="N1113" s="121">
        <f>IF($C1113="","",IF($C1113="TANIMSIZ MÜŞTERİ","—",INDEX(MUSTERILER!$C$7:$C$106,MATCH($C1113,MUSTERILER!$B$7:$B$106,0))))</f>
        <v/>
      </c>
      <c r="O1113" s="6" t="n"/>
      <c r="P1113" s="6" t="n"/>
      <c r="Q1113" s="3">
        <f>IF($D1113="","",$C1113&amp;"|"&amp;COUNTIFS($C$7:$C1113,$C1113))</f>
        <v/>
      </c>
    </row>
    <row r="1114">
      <c r="A1114" s="6" t="n"/>
      <c r="B1114" s="113">
        <f>IF($D1114="","","T"&amp;TEXT(ROW()-6,"00000"))</f>
        <v/>
      </c>
      <c r="C1114" s="113">
        <f>IF($D1114="","",IFERROR(INDEX(MUSTERILER!$B$7:$B$106,MATCH($D1114,MUSTERILER!$C$7:$C$106,0)),IFERROR(INDEX(MUSTERILER!$B$7:$B$106,MATCH($D1114,MUSTERILER!$B$7:$B$106,0)),IFERROR(INDEX(MUSTERILER!$B$7:$B$106,MATCH($D1114&amp;"*",MUSTERILER!$C$7:$C$106,0)),"TANIMSIZ MÜŞTERİ"))))</f>
        <v/>
      </c>
      <c r="D1114" s="109" t="n"/>
      <c r="E1114" s="225" t="n"/>
      <c r="F1114" s="226" t="n"/>
      <c r="G1114" s="108" t="n"/>
      <c r="H1114" s="108" t="n"/>
      <c r="I1114" s="109" t="n"/>
      <c r="J1114" s="109" t="n"/>
      <c r="K1114" s="109" t="n"/>
      <c r="L1114" s="231">
        <f>IF($E1114="","",DATE(YEAR($E1114),MONTH($E1114),1))</f>
        <v/>
      </c>
      <c r="M1114" s="113">
        <f>IF($D1114="","",IF($C1114="TANIMSIZ MÜŞTERİ","HATA",IF(OR($E1114="",$F1114&lt;=0,$G1114=""),"EKSİK",IF($E1114&gt;TODAY(),"İLERİ TARİH","UYGUN"))))</f>
        <v/>
      </c>
      <c r="N1114" s="121">
        <f>IF($C1114="","",IF($C1114="TANIMSIZ MÜŞTERİ","—",INDEX(MUSTERILER!$C$7:$C$106,MATCH($C1114,MUSTERILER!$B$7:$B$106,0))))</f>
        <v/>
      </c>
      <c r="O1114" s="6" t="n"/>
      <c r="P1114" s="6" t="n"/>
      <c r="Q1114" s="3">
        <f>IF($D1114="","",$C1114&amp;"|"&amp;COUNTIFS($C$7:$C1114,$C1114))</f>
        <v/>
      </c>
    </row>
    <row r="1115">
      <c r="A1115" s="6" t="n"/>
      <c r="B1115" s="113">
        <f>IF($D1115="","","T"&amp;TEXT(ROW()-6,"00000"))</f>
        <v/>
      </c>
      <c r="C1115" s="113">
        <f>IF($D1115="","",IFERROR(INDEX(MUSTERILER!$B$7:$B$106,MATCH($D1115,MUSTERILER!$C$7:$C$106,0)),IFERROR(INDEX(MUSTERILER!$B$7:$B$106,MATCH($D1115,MUSTERILER!$B$7:$B$106,0)),IFERROR(INDEX(MUSTERILER!$B$7:$B$106,MATCH($D1115&amp;"*",MUSTERILER!$C$7:$C$106,0)),"TANIMSIZ MÜŞTERİ"))))</f>
        <v/>
      </c>
      <c r="D1115" s="109" t="n"/>
      <c r="E1115" s="225" t="n"/>
      <c r="F1115" s="226" t="n"/>
      <c r="G1115" s="108" t="n"/>
      <c r="H1115" s="108" t="n"/>
      <c r="I1115" s="109" t="n"/>
      <c r="J1115" s="109" t="n"/>
      <c r="K1115" s="109" t="n"/>
      <c r="L1115" s="231">
        <f>IF($E1115="","",DATE(YEAR($E1115),MONTH($E1115),1))</f>
        <v/>
      </c>
      <c r="M1115" s="113">
        <f>IF($D1115="","",IF($C1115="TANIMSIZ MÜŞTERİ","HATA",IF(OR($E1115="",$F1115&lt;=0,$G1115=""),"EKSİK",IF($E1115&gt;TODAY(),"İLERİ TARİH","UYGUN"))))</f>
        <v/>
      </c>
      <c r="N1115" s="121">
        <f>IF($C1115="","",IF($C1115="TANIMSIZ MÜŞTERİ","—",INDEX(MUSTERILER!$C$7:$C$106,MATCH($C1115,MUSTERILER!$B$7:$B$106,0))))</f>
        <v/>
      </c>
      <c r="O1115" s="6" t="n"/>
      <c r="P1115" s="6" t="n"/>
      <c r="Q1115" s="3">
        <f>IF($D1115="","",$C1115&amp;"|"&amp;COUNTIFS($C$7:$C1115,$C1115))</f>
        <v/>
      </c>
    </row>
    <row r="1116">
      <c r="A1116" s="6" t="n"/>
      <c r="B1116" s="113">
        <f>IF($D1116="","","T"&amp;TEXT(ROW()-6,"00000"))</f>
        <v/>
      </c>
      <c r="C1116" s="113">
        <f>IF($D1116="","",IFERROR(INDEX(MUSTERILER!$B$7:$B$106,MATCH($D1116,MUSTERILER!$C$7:$C$106,0)),IFERROR(INDEX(MUSTERILER!$B$7:$B$106,MATCH($D1116,MUSTERILER!$B$7:$B$106,0)),IFERROR(INDEX(MUSTERILER!$B$7:$B$106,MATCH($D1116&amp;"*",MUSTERILER!$C$7:$C$106,0)),"TANIMSIZ MÜŞTERİ"))))</f>
        <v/>
      </c>
      <c r="D1116" s="109" t="n"/>
      <c r="E1116" s="225" t="n"/>
      <c r="F1116" s="226" t="n"/>
      <c r="G1116" s="108" t="n"/>
      <c r="H1116" s="108" t="n"/>
      <c r="I1116" s="109" t="n"/>
      <c r="J1116" s="109" t="n"/>
      <c r="K1116" s="109" t="n"/>
      <c r="L1116" s="231">
        <f>IF($E1116="","",DATE(YEAR($E1116),MONTH($E1116),1))</f>
        <v/>
      </c>
      <c r="M1116" s="113">
        <f>IF($D1116="","",IF($C1116="TANIMSIZ MÜŞTERİ","HATA",IF(OR($E1116="",$F1116&lt;=0,$G1116=""),"EKSİK",IF($E1116&gt;TODAY(),"İLERİ TARİH","UYGUN"))))</f>
        <v/>
      </c>
      <c r="N1116" s="121">
        <f>IF($C1116="","",IF($C1116="TANIMSIZ MÜŞTERİ","—",INDEX(MUSTERILER!$C$7:$C$106,MATCH($C1116,MUSTERILER!$B$7:$B$106,0))))</f>
        <v/>
      </c>
      <c r="O1116" s="6" t="n"/>
      <c r="P1116" s="6" t="n"/>
      <c r="Q1116" s="3">
        <f>IF($D1116="","",$C1116&amp;"|"&amp;COUNTIFS($C$7:$C1116,$C1116))</f>
        <v/>
      </c>
    </row>
    <row r="1117">
      <c r="A1117" s="6" t="n"/>
      <c r="B1117" s="113">
        <f>IF($D1117="","","T"&amp;TEXT(ROW()-6,"00000"))</f>
        <v/>
      </c>
      <c r="C1117" s="113">
        <f>IF($D1117="","",IFERROR(INDEX(MUSTERILER!$B$7:$B$106,MATCH($D1117,MUSTERILER!$C$7:$C$106,0)),IFERROR(INDEX(MUSTERILER!$B$7:$B$106,MATCH($D1117,MUSTERILER!$B$7:$B$106,0)),IFERROR(INDEX(MUSTERILER!$B$7:$B$106,MATCH($D1117&amp;"*",MUSTERILER!$C$7:$C$106,0)),"TANIMSIZ MÜŞTERİ"))))</f>
        <v/>
      </c>
      <c r="D1117" s="109" t="n"/>
      <c r="E1117" s="225" t="n"/>
      <c r="F1117" s="226" t="n"/>
      <c r="G1117" s="108" t="n"/>
      <c r="H1117" s="108" t="n"/>
      <c r="I1117" s="109" t="n"/>
      <c r="J1117" s="109" t="n"/>
      <c r="K1117" s="109" t="n"/>
      <c r="L1117" s="231">
        <f>IF($E1117="","",DATE(YEAR($E1117),MONTH($E1117),1))</f>
        <v/>
      </c>
      <c r="M1117" s="113">
        <f>IF($D1117="","",IF($C1117="TANIMSIZ MÜŞTERİ","HATA",IF(OR($E1117="",$F1117&lt;=0,$G1117=""),"EKSİK",IF($E1117&gt;TODAY(),"İLERİ TARİH","UYGUN"))))</f>
        <v/>
      </c>
      <c r="N1117" s="121">
        <f>IF($C1117="","",IF($C1117="TANIMSIZ MÜŞTERİ","—",INDEX(MUSTERILER!$C$7:$C$106,MATCH($C1117,MUSTERILER!$B$7:$B$106,0))))</f>
        <v/>
      </c>
      <c r="O1117" s="6" t="n"/>
      <c r="P1117" s="6" t="n"/>
      <c r="Q1117" s="3">
        <f>IF($D1117="","",$C1117&amp;"|"&amp;COUNTIFS($C$7:$C1117,$C1117))</f>
        <v/>
      </c>
    </row>
    <row r="1118">
      <c r="A1118" s="6" t="n"/>
      <c r="B1118" s="113">
        <f>IF($D1118="","","T"&amp;TEXT(ROW()-6,"00000"))</f>
        <v/>
      </c>
      <c r="C1118" s="113">
        <f>IF($D1118="","",IFERROR(INDEX(MUSTERILER!$B$7:$B$106,MATCH($D1118,MUSTERILER!$C$7:$C$106,0)),IFERROR(INDEX(MUSTERILER!$B$7:$B$106,MATCH($D1118,MUSTERILER!$B$7:$B$106,0)),IFERROR(INDEX(MUSTERILER!$B$7:$B$106,MATCH($D1118&amp;"*",MUSTERILER!$C$7:$C$106,0)),"TANIMSIZ MÜŞTERİ"))))</f>
        <v/>
      </c>
      <c r="D1118" s="109" t="n"/>
      <c r="E1118" s="225" t="n"/>
      <c r="F1118" s="226" t="n"/>
      <c r="G1118" s="108" t="n"/>
      <c r="H1118" s="108" t="n"/>
      <c r="I1118" s="109" t="n"/>
      <c r="J1118" s="109" t="n"/>
      <c r="K1118" s="109" t="n"/>
      <c r="L1118" s="231">
        <f>IF($E1118="","",DATE(YEAR($E1118),MONTH($E1118),1))</f>
        <v/>
      </c>
      <c r="M1118" s="113">
        <f>IF($D1118="","",IF($C1118="TANIMSIZ MÜŞTERİ","HATA",IF(OR($E1118="",$F1118&lt;=0,$G1118=""),"EKSİK",IF($E1118&gt;TODAY(),"İLERİ TARİH","UYGUN"))))</f>
        <v/>
      </c>
      <c r="N1118" s="121">
        <f>IF($C1118="","",IF($C1118="TANIMSIZ MÜŞTERİ","—",INDEX(MUSTERILER!$C$7:$C$106,MATCH($C1118,MUSTERILER!$B$7:$B$106,0))))</f>
        <v/>
      </c>
      <c r="O1118" s="6" t="n"/>
      <c r="P1118" s="6" t="n"/>
      <c r="Q1118" s="3">
        <f>IF($D1118="","",$C1118&amp;"|"&amp;COUNTIFS($C$7:$C1118,$C1118))</f>
        <v/>
      </c>
    </row>
    <row r="1119">
      <c r="A1119" s="6" t="n"/>
      <c r="B1119" s="113">
        <f>IF($D1119="","","T"&amp;TEXT(ROW()-6,"00000"))</f>
        <v/>
      </c>
      <c r="C1119" s="113">
        <f>IF($D1119="","",IFERROR(INDEX(MUSTERILER!$B$7:$B$106,MATCH($D1119,MUSTERILER!$C$7:$C$106,0)),IFERROR(INDEX(MUSTERILER!$B$7:$B$106,MATCH($D1119,MUSTERILER!$B$7:$B$106,0)),IFERROR(INDEX(MUSTERILER!$B$7:$B$106,MATCH($D1119&amp;"*",MUSTERILER!$C$7:$C$106,0)),"TANIMSIZ MÜŞTERİ"))))</f>
        <v/>
      </c>
      <c r="D1119" s="109" t="n"/>
      <c r="E1119" s="225" t="n"/>
      <c r="F1119" s="226" t="n"/>
      <c r="G1119" s="108" t="n"/>
      <c r="H1119" s="108" t="n"/>
      <c r="I1119" s="109" t="n"/>
      <c r="J1119" s="109" t="n"/>
      <c r="K1119" s="109" t="n"/>
      <c r="L1119" s="231">
        <f>IF($E1119="","",DATE(YEAR($E1119),MONTH($E1119),1))</f>
        <v/>
      </c>
      <c r="M1119" s="113">
        <f>IF($D1119="","",IF($C1119="TANIMSIZ MÜŞTERİ","HATA",IF(OR($E1119="",$F1119&lt;=0,$G1119=""),"EKSİK",IF($E1119&gt;TODAY(),"İLERİ TARİH","UYGUN"))))</f>
        <v/>
      </c>
      <c r="N1119" s="121">
        <f>IF($C1119="","",IF($C1119="TANIMSIZ MÜŞTERİ","—",INDEX(MUSTERILER!$C$7:$C$106,MATCH($C1119,MUSTERILER!$B$7:$B$106,0))))</f>
        <v/>
      </c>
      <c r="O1119" s="6" t="n"/>
      <c r="P1119" s="6" t="n"/>
      <c r="Q1119" s="3">
        <f>IF($D1119="","",$C1119&amp;"|"&amp;COUNTIFS($C$7:$C1119,$C1119))</f>
        <v/>
      </c>
    </row>
    <row r="1120">
      <c r="A1120" s="6" t="n"/>
      <c r="B1120" s="113">
        <f>IF($D1120="","","T"&amp;TEXT(ROW()-6,"00000"))</f>
        <v/>
      </c>
      <c r="C1120" s="113">
        <f>IF($D1120="","",IFERROR(INDEX(MUSTERILER!$B$7:$B$106,MATCH($D1120,MUSTERILER!$C$7:$C$106,0)),IFERROR(INDEX(MUSTERILER!$B$7:$B$106,MATCH($D1120,MUSTERILER!$B$7:$B$106,0)),IFERROR(INDEX(MUSTERILER!$B$7:$B$106,MATCH($D1120&amp;"*",MUSTERILER!$C$7:$C$106,0)),"TANIMSIZ MÜŞTERİ"))))</f>
        <v/>
      </c>
      <c r="D1120" s="109" t="n"/>
      <c r="E1120" s="225" t="n"/>
      <c r="F1120" s="226" t="n"/>
      <c r="G1120" s="108" t="n"/>
      <c r="H1120" s="108" t="n"/>
      <c r="I1120" s="109" t="n"/>
      <c r="J1120" s="109" t="n"/>
      <c r="K1120" s="109" t="n"/>
      <c r="L1120" s="231">
        <f>IF($E1120="","",DATE(YEAR($E1120),MONTH($E1120),1))</f>
        <v/>
      </c>
      <c r="M1120" s="113">
        <f>IF($D1120="","",IF($C1120="TANIMSIZ MÜŞTERİ","HATA",IF(OR($E1120="",$F1120&lt;=0,$G1120=""),"EKSİK",IF($E1120&gt;TODAY(),"İLERİ TARİH","UYGUN"))))</f>
        <v/>
      </c>
      <c r="N1120" s="121">
        <f>IF($C1120="","",IF($C1120="TANIMSIZ MÜŞTERİ","—",INDEX(MUSTERILER!$C$7:$C$106,MATCH($C1120,MUSTERILER!$B$7:$B$106,0))))</f>
        <v/>
      </c>
      <c r="O1120" s="6" t="n"/>
      <c r="P1120" s="6" t="n"/>
      <c r="Q1120" s="3">
        <f>IF($D1120="","",$C1120&amp;"|"&amp;COUNTIFS($C$7:$C1120,$C1120))</f>
        <v/>
      </c>
    </row>
    <row r="1121">
      <c r="A1121" s="6" t="n"/>
      <c r="B1121" s="113">
        <f>IF($D1121="","","T"&amp;TEXT(ROW()-6,"00000"))</f>
        <v/>
      </c>
      <c r="C1121" s="113">
        <f>IF($D1121="","",IFERROR(INDEX(MUSTERILER!$B$7:$B$106,MATCH($D1121,MUSTERILER!$C$7:$C$106,0)),IFERROR(INDEX(MUSTERILER!$B$7:$B$106,MATCH($D1121,MUSTERILER!$B$7:$B$106,0)),IFERROR(INDEX(MUSTERILER!$B$7:$B$106,MATCH($D1121&amp;"*",MUSTERILER!$C$7:$C$106,0)),"TANIMSIZ MÜŞTERİ"))))</f>
        <v/>
      </c>
      <c r="D1121" s="109" t="n"/>
      <c r="E1121" s="225" t="n"/>
      <c r="F1121" s="226" t="n"/>
      <c r="G1121" s="108" t="n"/>
      <c r="H1121" s="108" t="n"/>
      <c r="I1121" s="109" t="n"/>
      <c r="J1121" s="109" t="n"/>
      <c r="K1121" s="109" t="n"/>
      <c r="L1121" s="231">
        <f>IF($E1121="","",DATE(YEAR($E1121),MONTH($E1121),1))</f>
        <v/>
      </c>
      <c r="M1121" s="113">
        <f>IF($D1121="","",IF($C1121="TANIMSIZ MÜŞTERİ","HATA",IF(OR($E1121="",$F1121&lt;=0,$G1121=""),"EKSİK",IF($E1121&gt;TODAY(),"İLERİ TARİH","UYGUN"))))</f>
        <v/>
      </c>
      <c r="N1121" s="121">
        <f>IF($C1121="","",IF($C1121="TANIMSIZ MÜŞTERİ","—",INDEX(MUSTERILER!$C$7:$C$106,MATCH($C1121,MUSTERILER!$B$7:$B$106,0))))</f>
        <v/>
      </c>
      <c r="O1121" s="6" t="n"/>
      <c r="P1121" s="6" t="n"/>
      <c r="Q1121" s="3">
        <f>IF($D1121="","",$C1121&amp;"|"&amp;COUNTIFS($C$7:$C1121,$C1121))</f>
        <v/>
      </c>
    </row>
    <row r="1122">
      <c r="A1122" s="6" t="n"/>
      <c r="B1122" s="113">
        <f>IF($D1122="","","T"&amp;TEXT(ROW()-6,"00000"))</f>
        <v/>
      </c>
      <c r="C1122" s="113">
        <f>IF($D1122="","",IFERROR(INDEX(MUSTERILER!$B$7:$B$106,MATCH($D1122,MUSTERILER!$C$7:$C$106,0)),IFERROR(INDEX(MUSTERILER!$B$7:$B$106,MATCH($D1122,MUSTERILER!$B$7:$B$106,0)),IFERROR(INDEX(MUSTERILER!$B$7:$B$106,MATCH($D1122&amp;"*",MUSTERILER!$C$7:$C$106,0)),"TANIMSIZ MÜŞTERİ"))))</f>
        <v/>
      </c>
      <c r="D1122" s="109" t="n"/>
      <c r="E1122" s="225" t="n"/>
      <c r="F1122" s="226" t="n"/>
      <c r="G1122" s="108" t="n"/>
      <c r="H1122" s="108" t="n"/>
      <c r="I1122" s="109" t="n"/>
      <c r="J1122" s="109" t="n"/>
      <c r="K1122" s="109" t="n"/>
      <c r="L1122" s="231">
        <f>IF($E1122="","",DATE(YEAR($E1122),MONTH($E1122),1))</f>
        <v/>
      </c>
      <c r="M1122" s="113">
        <f>IF($D1122="","",IF($C1122="TANIMSIZ MÜŞTERİ","HATA",IF(OR($E1122="",$F1122&lt;=0,$G1122=""),"EKSİK",IF($E1122&gt;TODAY(),"İLERİ TARİH","UYGUN"))))</f>
        <v/>
      </c>
      <c r="N1122" s="121">
        <f>IF($C1122="","",IF($C1122="TANIMSIZ MÜŞTERİ","—",INDEX(MUSTERILER!$C$7:$C$106,MATCH($C1122,MUSTERILER!$B$7:$B$106,0))))</f>
        <v/>
      </c>
      <c r="O1122" s="6" t="n"/>
      <c r="P1122" s="6" t="n"/>
      <c r="Q1122" s="3">
        <f>IF($D1122="","",$C1122&amp;"|"&amp;COUNTIFS($C$7:$C1122,$C1122))</f>
        <v/>
      </c>
    </row>
    <row r="1123">
      <c r="A1123" s="6" t="n"/>
      <c r="B1123" s="113">
        <f>IF($D1123="","","T"&amp;TEXT(ROW()-6,"00000"))</f>
        <v/>
      </c>
      <c r="C1123" s="113">
        <f>IF($D1123="","",IFERROR(INDEX(MUSTERILER!$B$7:$B$106,MATCH($D1123,MUSTERILER!$C$7:$C$106,0)),IFERROR(INDEX(MUSTERILER!$B$7:$B$106,MATCH($D1123,MUSTERILER!$B$7:$B$106,0)),IFERROR(INDEX(MUSTERILER!$B$7:$B$106,MATCH($D1123&amp;"*",MUSTERILER!$C$7:$C$106,0)),"TANIMSIZ MÜŞTERİ"))))</f>
        <v/>
      </c>
      <c r="D1123" s="109" t="n"/>
      <c r="E1123" s="225" t="n"/>
      <c r="F1123" s="226" t="n"/>
      <c r="G1123" s="108" t="n"/>
      <c r="H1123" s="108" t="n"/>
      <c r="I1123" s="109" t="n"/>
      <c r="J1123" s="109" t="n"/>
      <c r="K1123" s="109" t="n"/>
      <c r="L1123" s="231">
        <f>IF($E1123="","",DATE(YEAR($E1123),MONTH($E1123),1))</f>
        <v/>
      </c>
      <c r="M1123" s="113">
        <f>IF($D1123="","",IF($C1123="TANIMSIZ MÜŞTERİ","HATA",IF(OR($E1123="",$F1123&lt;=0,$G1123=""),"EKSİK",IF($E1123&gt;TODAY(),"İLERİ TARİH","UYGUN"))))</f>
        <v/>
      </c>
      <c r="N1123" s="121">
        <f>IF($C1123="","",IF($C1123="TANIMSIZ MÜŞTERİ","—",INDEX(MUSTERILER!$C$7:$C$106,MATCH($C1123,MUSTERILER!$B$7:$B$106,0))))</f>
        <v/>
      </c>
      <c r="O1123" s="6" t="n"/>
      <c r="P1123" s="6" t="n"/>
      <c r="Q1123" s="3">
        <f>IF($D1123="","",$C1123&amp;"|"&amp;COUNTIFS($C$7:$C1123,$C1123))</f>
        <v/>
      </c>
    </row>
    <row r="1124">
      <c r="A1124" s="6" t="n"/>
      <c r="B1124" s="113">
        <f>IF($D1124="","","T"&amp;TEXT(ROW()-6,"00000"))</f>
        <v/>
      </c>
      <c r="C1124" s="113">
        <f>IF($D1124="","",IFERROR(INDEX(MUSTERILER!$B$7:$B$106,MATCH($D1124,MUSTERILER!$C$7:$C$106,0)),IFERROR(INDEX(MUSTERILER!$B$7:$B$106,MATCH($D1124,MUSTERILER!$B$7:$B$106,0)),IFERROR(INDEX(MUSTERILER!$B$7:$B$106,MATCH($D1124&amp;"*",MUSTERILER!$C$7:$C$106,0)),"TANIMSIZ MÜŞTERİ"))))</f>
        <v/>
      </c>
      <c r="D1124" s="109" t="n"/>
      <c r="E1124" s="225" t="n"/>
      <c r="F1124" s="226" t="n"/>
      <c r="G1124" s="108" t="n"/>
      <c r="H1124" s="108" t="n"/>
      <c r="I1124" s="109" t="n"/>
      <c r="J1124" s="109" t="n"/>
      <c r="K1124" s="109" t="n"/>
      <c r="L1124" s="231">
        <f>IF($E1124="","",DATE(YEAR($E1124),MONTH($E1124),1))</f>
        <v/>
      </c>
      <c r="M1124" s="113">
        <f>IF($D1124="","",IF($C1124="TANIMSIZ MÜŞTERİ","HATA",IF(OR($E1124="",$F1124&lt;=0,$G1124=""),"EKSİK",IF($E1124&gt;TODAY(),"İLERİ TARİH","UYGUN"))))</f>
        <v/>
      </c>
      <c r="N1124" s="121">
        <f>IF($C1124="","",IF($C1124="TANIMSIZ MÜŞTERİ","—",INDEX(MUSTERILER!$C$7:$C$106,MATCH($C1124,MUSTERILER!$B$7:$B$106,0))))</f>
        <v/>
      </c>
      <c r="O1124" s="6" t="n"/>
      <c r="P1124" s="6" t="n"/>
      <c r="Q1124" s="3">
        <f>IF($D1124="","",$C1124&amp;"|"&amp;COUNTIFS($C$7:$C1124,$C1124))</f>
        <v/>
      </c>
    </row>
    <row r="1125">
      <c r="A1125" s="6" t="n"/>
      <c r="B1125" s="113">
        <f>IF($D1125="","","T"&amp;TEXT(ROW()-6,"00000"))</f>
        <v/>
      </c>
      <c r="C1125" s="113">
        <f>IF($D1125="","",IFERROR(INDEX(MUSTERILER!$B$7:$B$106,MATCH($D1125,MUSTERILER!$C$7:$C$106,0)),IFERROR(INDEX(MUSTERILER!$B$7:$B$106,MATCH($D1125,MUSTERILER!$B$7:$B$106,0)),IFERROR(INDEX(MUSTERILER!$B$7:$B$106,MATCH($D1125&amp;"*",MUSTERILER!$C$7:$C$106,0)),"TANIMSIZ MÜŞTERİ"))))</f>
        <v/>
      </c>
      <c r="D1125" s="109" t="n"/>
      <c r="E1125" s="225" t="n"/>
      <c r="F1125" s="226" t="n"/>
      <c r="G1125" s="108" t="n"/>
      <c r="H1125" s="108" t="n"/>
      <c r="I1125" s="109" t="n"/>
      <c r="J1125" s="109" t="n"/>
      <c r="K1125" s="109" t="n"/>
      <c r="L1125" s="231">
        <f>IF($E1125="","",DATE(YEAR($E1125),MONTH($E1125),1))</f>
        <v/>
      </c>
      <c r="M1125" s="113">
        <f>IF($D1125="","",IF($C1125="TANIMSIZ MÜŞTERİ","HATA",IF(OR($E1125="",$F1125&lt;=0,$G1125=""),"EKSİK",IF($E1125&gt;TODAY(),"İLERİ TARİH","UYGUN"))))</f>
        <v/>
      </c>
      <c r="N1125" s="121">
        <f>IF($C1125="","",IF($C1125="TANIMSIZ MÜŞTERİ","—",INDEX(MUSTERILER!$C$7:$C$106,MATCH($C1125,MUSTERILER!$B$7:$B$106,0))))</f>
        <v/>
      </c>
      <c r="O1125" s="6" t="n"/>
      <c r="P1125" s="6" t="n"/>
      <c r="Q1125" s="3">
        <f>IF($D1125="","",$C1125&amp;"|"&amp;COUNTIFS($C$7:$C1125,$C1125))</f>
        <v/>
      </c>
    </row>
    <row r="1126">
      <c r="A1126" s="6" t="n"/>
      <c r="B1126" s="113">
        <f>IF($D1126="","","T"&amp;TEXT(ROW()-6,"00000"))</f>
        <v/>
      </c>
      <c r="C1126" s="113">
        <f>IF($D1126="","",IFERROR(INDEX(MUSTERILER!$B$7:$B$106,MATCH($D1126,MUSTERILER!$C$7:$C$106,0)),IFERROR(INDEX(MUSTERILER!$B$7:$B$106,MATCH($D1126,MUSTERILER!$B$7:$B$106,0)),IFERROR(INDEX(MUSTERILER!$B$7:$B$106,MATCH($D1126&amp;"*",MUSTERILER!$C$7:$C$106,0)),"TANIMSIZ MÜŞTERİ"))))</f>
        <v/>
      </c>
      <c r="D1126" s="109" t="n"/>
      <c r="E1126" s="225" t="n"/>
      <c r="F1126" s="226" t="n"/>
      <c r="G1126" s="108" t="n"/>
      <c r="H1126" s="108" t="n"/>
      <c r="I1126" s="109" t="n"/>
      <c r="J1126" s="109" t="n"/>
      <c r="K1126" s="109" t="n"/>
      <c r="L1126" s="231">
        <f>IF($E1126="","",DATE(YEAR($E1126),MONTH($E1126),1))</f>
        <v/>
      </c>
      <c r="M1126" s="113">
        <f>IF($D1126="","",IF($C1126="TANIMSIZ MÜŞTERİ","HATA",IF(OR($E1126="",$F1126&lt;=0,$G1126=""),"EKSİK",IF($E1126&gt;TODAY(),"İLERİ TARİH","UYGUN"))))</f>
        <v/>
      </c>
      <c r="N1126" s="121">
        <f>IF($C1126="","",IF($C1126="TANIMSIZ MÜŞTERİ","—",INDEX(MUSTERILER!$C$7:$C$106,MATCH($C1126,MUSTERILER!$B$7:$B$106,0))))</f>
        <v/>
      </c>
      <c r="O1126" s="6" t="n"/>
      <c r="P1126" s="6" t="n"/>
      <c r="Q1126" s="3">
        <f>IF($D1126="","",$C1126&amp;"|"&amp;COUNTIFS($C$7:$C1126,$C1126))</f>
        <v/>
      </c>
    </row>
    <row r="1127">
      <c r="A1127" s="6" t="n"/>
      <c r="B1127" s="113">
        <f>IF($D1127="","","T"&amp;TEXT(ROW()-6,"00000"))</f>
        <v/>
      </c>
      <c r="C1127" s="113">
        <f>IF($D1127="","",IFERROR(INDEX(MUSTERILER!$B$7:$B$106,MATCH($D1127,MUSTERILER!$C$7:$C$106,0)),IFERROR(INDEX(MUSTERILER!$B$7:$B$106,MATCH($D1127,MUSTERILER!$B$7:$B$106,0)),IFERROR(INDEX(MUSTERILER!$B$7:$B$106,MATCH($D1127&amp;"*",MUSTERILER!$C$7:$C$106,0)),"TANIMSIZ MÜŞTERİ"))))</f>
        <v/>
      </c>
      <c r="D1127" s="109" t="n"/>
      <c r="E1127" s="225" t="n"/>
      <c r="F1127" s="226" t="n"/>
      <c r="G1127" s="108" t="n"/>
      <c r="H1127" s="108" t="n"/>
      <c r="I1127" s="109" t="n"/>
      <c r="J1127" s="109" t="n"/>
      <c r="K1127" s="109" t="n"/>
      <c r="L1127" s="231">
        <f>IF($E1127="","",DATE(YEAR($E1127),MONTH($E1127),1))</f>
        <v/>
      </c>
      <c r="M1127" s="113">
        <f>IF($D1127="","",IF($C1127="TANIMSIZ MÜŞTERİ","HATA",IF(OR($E1127="",$F1127&lt;=0,$G1127=""),"EKSİK",IF($E1127&gt;TODAY(),"İLERİ TARİH","UYGUN"))))</f>
        <v/>
      </c>
      <c r="N1127" s="121">
        <f>IF($C1127="","",IF($C1127="TANIMSIZ MÜŞTERİ","—",INDEX(MUSTERILER!$C$7:$C$106,MATCH($C1127,MUSTERILER!$B$7:$B$106,0))))</f>
        <v/>
      </c>
      <c r="O1127" s="6" t="n"/>
      <c r="P1127" s="6" t="n"/>
      <c r="Q1127" s="3">
        <f>IF($D1127="","",$C1127&amp;"|"&amp;COUNTIFS($C$7:$C1127,$C1127))</f>
        <v/>
      </c>
    </row>
    <row r="1128">
      <c r="A1128" s="6" t="n"/>
      <c r="B1128" s="113">
        <f>IF($D1128="","","T"&amp;TEXT(ROW()-6,"00000"))</f>
        <v/>
      </c>
      <c r="C1128" s="113">
        <f>IF($D1128="","",IFERROR(INDEX(MUSTERILER!$B$7:$B$106,MATCH($D1128,MUSTERILER!$C$7:$C$106,0)),IFERROR(INDEX(MUSTERILER!$B$7:$B$106,MATCH($D1128,MUSTERILER!$B$7:$B$106,0)),IFERROR(INDEX(MUSTERILER!$B$7:$B$106,MATCH($D1128&amp;"*",MUSTERILER!$C$7:$C$106,0)),"TANIMSIZ MÜŞTERİ"))))</f>
        <v/>
      </c>
      <c r="D1128" s="109" t="n"/>
      <c r="E1128" s="225" t="n"/>
      <c r="F1128" s="226" t="n"/>
      <c r="G1128" s="108" t="n"/>
      <c r="H1128" s="108" t="n"/>
      <c r="I1128" s="109" t="n"/>
      <c r="J1128" s="109" t="n"/>
      <c r="K1128" s="109" t="n"/>
      <c r="L1128" s="231">
        <f>IF($E1128="","",DATE(YEAR($E1128),MONTH($E1128),1))</f>
        <v/>
      </c>
      <c r="M1128" s="113">
        <f>IF($D1128="","",IF($C1128="TANIMSIZ MÜŞTERİ","HATA",IF(OR($E1128="",$F1128&lt;=0,$G1128=""),"EKSİK",IF($E1128&gt;TODAY(),"İLERİ TARİH","UYGUN"))))</f>
        <v/>
      </c>
      <c r="N1128" s="121">
        <f>IF($C1128="","",IF($C1128="TANIMSIZ MÜŞTERİ","—",INDEX(MUSTERILER!$C$7:$C$106,MATCH($C1128,MUSTERILER!$B$7:$B$106,0))))</f>
        <v/>
      </c>
      <c r="O1128" s="6" t="n"/>
      <c r="P1128" s="6" t="n"/>
      <c r="Q1128" s="3">
        <f>IF($D1128="","",$C1128&amp;"|"&amp;COUNTIFS($C$7:$C1128,$C1128))</f>
        <v/>
      </c>
    </row>
    <row r="1129">
      <c r="A1129" s="6" t="n"/>
      <c r="B1129" s="113">
        <f>IF($D1129="","","T"&amp;TEXT(ROW()-6,"00000"))</f>
        <v/>
      </c>
      <c r="C1129" s="113">
        <f>IF($D1129="","",IFERROR(INDEX(MUSTERILER!$B$7:$B$106,MATCH($D1129,MUSTERILER!$C$7:$C$106,0)),IFERROR(INDEX(MUSTERILER!$B$7:$B$106,MATCH($D1129,MUSTERILER!$B$7:$B$106,0)),IFERROR(INDEX(MUSTERILER!$B$7:$B$106,MATCH($D1129&amp;"*",MUSTERILER!$C$7:$C$106,0)),"TANIMSIZ MÜŞTERİ"))))</f>
        <v/>
      </c>
      <c r="D1129" s="109" t="n"/>
      <c r="E1129" s="225" t="n"/>
      <c r="F1129" s="226" t="n"/>
      <c r="G1129" s="108" t="n"/>
      <c r="H1129" s="108" t="n"/>
      <c r="I1129" s="109" t="n"/>
      <c r="J1129" s="109" t="n"/>
      <c r="K1129" s="109" t="n"/>
      <c r="L1129" s="231">
        <f>IF($E1129="","",DATE(YEAR($E1129),MONTH($E1129),1))</f>
        <v/>
      </c>
      <c r="M1129" s="113">
        <f>IF($D1129="","",IF($C1129="TANIMSIZ MÜŞTERİ","HATA",IF(OR($E1129="",$F1129&lt;=0,$G1129=""),"EKSİK",IF($E1129&gt;TODAY(),"İLERİ TARİH","UYGUN"))))</f>
        <v/>
      </c>
      <c r="N1129" s="121">
        <f>IF($C1129="","",IF($C1129="TANIMSIZ MÜŞTERİ","—",INDEX(MUSTERILER!$C$7:$C$106,MATCH($C1129,MUSTERILER!$B$7:$B$106,0))))</f>
        <v/>
      </c>
      <c r="O1129" s="6" t="n"/>
      <c r="P1129" s="6" t="n"/>
      <c r="Q1129" s="3">
        <f>IF($D1129="","",$C1129&amp;"|"&amp;COUNTIFS($C$7:$C1129,$C1129))</f>
        <v/>
      </c>
    </row>
    <row r="1130">
      <c r="A1130" s="6" t="n"/>
      <c r="B1130" s="113">
        <f>IF($D1130="","","T"&amp;TEXT(ROW()-6,"00000"))</f>
        <v/>
      </c>
      <c r="C1130" s="113">
        <f>IF($D1130="","",IFERROR(INDEX(MUSTERILER!$B$7:$B$106,MATCH($D1130,MUSTERILER!$C$7:$C$106,0)),IFERROR(INDEX(MUSTERILER!$B$7:$B$106,MATCH($D1130,MUSTERILER!$B$7:$B$106,0)),IFERROR(INDEX(MUSTERILER!$B$7:$B$106,MATCH($D1130&amp;"*",MUSTERILER!$C$7:$C$106,0)),"TANIMSIZ MÜŞTERİ"))))</f>
        <v/>
      </c>
      <c r="D1130" s="109" t="n"/>
      <c r="E1130" s="225" t="n"/>
      <c r="F1130" s="226" t="n"/>
      <c r="G1130" s="108" t="n"/>
      <c r="H1130" s="108" t="n"/>
      <c r="I1130" s="109" t="n"/>
      <c r="J1130" s="109" t="n"/>
      <c r="K1130" s="109" t="n"/>
      <c r="L1130" s="231">
        <f>IF($E1130="","",DATE(YEAR($E1130),MONTH($E1130),1))</f>
        <v/>
      </c>
      <c r="M1130" s="113">
        <f>IF($D1130="","",IF($C1130="TANIMSIZ MÜŞTERİ","HATA",IF(OR($E1130="",$F1130&lt;=0,$G1130=""),"EKSİK",IF($E1130&gt;TODAY(),"İLERİ TARİH","UYGUN"))))</f>
        <v/>
      </c>
      <c r="N1130" s="121">
        <f>IF($C1130="","",IF($C1130="TANIMSIZ MÜŞTERİ","—",INDEX(MUSTERILER!$C$7:$C$106,MATCH($C1130,MUSTERILER!$B$7:$B$106,0))))</f>
        <v/>
      </c>
      <c r="O1130" s="6" t="n"/>
      <c r="P1130" s="6" t="n"/>
      <c r="Q1130" s="3">
        <f>IF($D1130="","",$C1130&amp;"|"&amp;COUNTIFS($C$7:$C1130,$C1130))</f>
        <v/>
      </c>
    </row>
    <row r="1131">
      <c r="A1131" s="6" t="n"/>
      <c r="B1131" s="113">
        <f>IF($D1131="","","T"&amp;TEXT(ROW()-6,"00000"))</f>
        <v/>
      </c>
      <c r="C1131" s="113">
        <f>IF($D1131="","",IFERROR(INDEX(MUSTERILER!$B$7:$B$106,MATCH($D1131,MUSTERILER!$C$7:$C$106,0)),IFERROR(INDEX(MUSTERILER!$B$7:$B$106,MATCH($D1131,MUSTERILER!$B$7:$B$106,0)),IFERROR(INDEX(MUSTERILER!$B$7:$B$106,MATCH($D1131&amp;"*",MUSTERILER!$C$7:$C$106,0)),"TANIMSIZ MÜŞTERİ"))))</f>
        <v/>
      </c>
      <c r="D1131" s="109" t="n"/>
      <c r="E1131" s="225" t="n"/>
      <c r="F1131" s="226" t="n"/>
      <c r="G1131" s="108" t="n"/>
      <c r="H1131" s="108" t="n"/>
      <c r="I1131" s="109" t="n"/>
      <c r="J1131" s="109" t="n"/>
      <c r="K1131" s="109" t="n"/>
      <c r="L1131" s="231">
        <f>IF($E1131="","",DATE(YEAR($E1131),MONTH($E1131),1))</f>
        <v/>
      </c>
      <c r="M1131" s="113">
        <f>IF($D1131="","",IF($C1131="TANIMSIZ MÜŞTERİ","HATA",IF(OR($E1131="",$F1131&lt;=0,$G1131=""),"EKSİK",IF($E1131&gt;TODAY(),"İLERİ TARİH","UYGUN"))))</f>
        <v/>
      </c>
      <c r="N1131" s="121">
        <f>IF($C1131="","",IF($C1131="TANIMSIZ MÜŞTERİ","—",INDEX(MUSTERILER!$C$7:$C$106,MATCH($C1131,MUSTERILER!$B$7:$B$106,0))))</f>
        <v/>
      </c>
      <c r="O1131" s="6" t="n"/>
      <c r="P1131" s="6" t="n"/>
      <c r="Q1131" s="3">
        <f>IF($D1131="","",$C1131&amp;"|"&amp;COUNTIFS($C$7:$C1131,$C1131))</f>
        <v/>
      </c>
    </row>
    <row r="1132">
      <c r="A1132" s="6" t="n"/>
      <c r="B1132" s="113">
        <f>IF($D1132="","","T"&amp;TEXT(ROW()-6,"00000"))</f>
        <v/>
      </c>
      <c r="C1132" s="113">
        <f>IF($D1132="","",IFERROR(INDEX(MUSTERILER!$B$7:$B$106,MATCH($D1132,MUSTERILER!$C$7:$C$106,0)),IFERROR(INDEX(MUSTERILER!$B$7:$B$106,MATCH($D1132,MUSTERILER!$B$7:$B$106,0)),IFERROR(INDEX(MUSTERILER!$B$7:$B$106,MATCH($D1132&amp;"*",MUSTERILER!$C$7:$C$106,0)),"TANIMSIZ MÜŞTERİ"))))</f>
        <v/>
      </c>
      <c r="D1132" s="109" t="n"/>
      <c r="E1132" s="225" t="n"/>
      <c r="F1132" s="226" t="n"/>
      <c r="G1132" s="108" t="n"/>
      <c r="H1132" s="108" t="n"/>
      <c r="I1132" s="109" t="n"/>
      <c r="J1132" s="109" t="n"/>
      <c r="K1132" s="109" t="n"/>
      <c r="L1132" s="231">
        <f>IF($E1132="","",DATE(YEAR($E1132),MONTH($E1132),1))</f>
        <v/>
      </c>
      <c r="M1132" s="113">
        <f>IF($D1132="","",IF($C1132="TANIMSIZ MÜŞTERİ","HATA",IF(OR($E1132="",$F1132&lt;=0,$G1132=""),"EKSİK",IF($E1132&gt;TODAY(),"İLERİ TARİH","UYGUN"))))</f>
        <v/>
      </c>
      <c r="N1132" s="121">
        <f>IF($C1132="","",IF($C1132="TANIMSIZ MÜŞTERİ","—",INDEX(MUSTERILER!$C$7:$C$106,MATCH($C1132,MUSTERILER!$B$7:$B$106,0))))</f>
        <v/>
      </c>
      <c r="O1132" s="6" t="n"/>
      <c r="P1132" s="6" t="n"/>
      <c r="Q1132" s="3">
        <f>IF($D1132="","",$C1132&amp;"|"&amp;COUNTIFS($C$7:$C1132,$C1132))</f>
        <v/>
      </c>
    </row>
    <row r="1133">
      <c r="A1133" s="6" t="n"/>
      <c r="B1133" s="113">
        <f>IF($D1133="","","T"&amp;TEXT(ROW()-6,"00000"))</f>
        <v/>
      </c>
      <c r="C1133" s="113">
        <f>IF($D1133="","",IFERROR(INDEX(MUSTERILER!$B$7:$B$106,MATCH($D1133,MUSTERILER!$C$7:$C$106,0)),IFERROR(INDEX(MUSTERILER!$B$7:$B$106,MATCH($D1133,MUSTERILER!$B$7:$B$106,0)),IFERROR(INDEX(MUSTERILER!$B$7:$B$106,MATCH($D1133&amp;"*",MUSTERILER!$C$7:$C$106,0)),"TANIMSIZ MÜŞTERİ"))))</f>
        <v/>
      </c>
      <c r="D1133" s="109" t="n"/>
      <c r="E1133" s="225" t="n"/>
      <c r="F1133" s="226" t="n"/>
      <c r="G1133" s="108" t="n"/>
      <c r="H1133" s="108" t="n"/>
      <c r="I1133" s="109" t="n"/>
      <c r="J1133" s="109" t="n"/>
      <c r="K1133" s="109" t="n"/>
      <c r="L1133" s="231">
        <f>IF($E1133="","",DATE(YEAR($E1133),MONTH($E1133),1))</f>
        <v/>
      </c>
      <c r="M1133" s="113">
        <f>IF($D1133="","",IF($C1133="TANIMSIZ MÜŞTERİ","HATA",IF(OR($E1133="",$F1133&lt;=0,$G1133=""),"EKSİK",IF($E1133&gt;TODAY(),"İLERİ TARİH","UYGUN"))))</f>
        <v/>
      </c>
      <c r="N1133" s="121">
        <f>IF($C1133="","",IF($C1133="TANIMSIZ MÜŞTERİ","—",INDEX(MUSTERILER!$C$7:$C$106,MATCH($C1133,MUSTERILER!$B$7:$B$106,0))))</f>
        <v/>
      </c>
      <c r="O1133" s="6" t="n"/>
      <c r="P1133" s="6" t="n"/>
      <c r="Q1133" s="3">
        <f>IF($D1133="","",$C1133&amp;"|"&amp;COUNTIFS($C$7:$C1133,$C1133))</f>
        <v/>
      </c>
    </row>
    <row r="1134">
      <c r="A1134" s="6" t="n"/>
      <c r="B1134" s="113">
        <f>IF($D1134="","","T"&amp;TEXT(ROW()-6,"00000"))</f>
        <v/>
      </c>
      <c r="C1134" s="113">
        <f>IF($D1134="","",IFERROR(INDEX(MUSTERILER!$B$7:$B$106,MATCH($D1134,MUSTERILER!$C$7:$C$106,0)),IFERROR(INDEX(MUSTERILER!$B$7:$B$106,MATCH($D1134,MUSTERILER!$B$7:$B$106,0)),IFERROR(INDEX(MUSTERILER!$B$7:$B$106,MATCH($D1134&amp;"*",MUSTERILER!$C$7:$C$106,0)),"TANIMSIZ MÜŞTERİ"))))</f>
        <v/>
      </c>
      <c r="D1134" s="109" t="n"/>
      <c r="E1134" s="225" t="n"/>
      <c r="F1134" s="226" t="n"/>
      <c r="G1134" s="108" t="n"/>
      <c r="H1134" s="108" t="n"/>
      <c r="I1134" s="109" t="n"/>
      <c r="J1134" s="109" t="n"/>
      <c r="K1134" s="109" t="n"/>
      <c r="L1134" s="231">
        <f>IF($E1134="","",DATE(YEAR($E1134),MONTH($E1134),1))</f>
        <v/>
      </c>
      <c r="M1134" s="113">
        <f>IF($D1134="","",IF($C1134="TANIMSIZ MÜŞTERİ","HATA",IF(OR($E1134="",$F1134&lt;=0,$G1134=""),"EKSİK",IF($E1134&gt;TODAY(),"İLERİ TARİH","UYGUN"))))</f>
        <v/>
      </c>
      <c r="N1134" s="121">
        <f>IF($C1134="","",IF($C1134="TANIMSIZ MÜŞTERİ","—",INDEX(MUSTERILER!$C$7:$C$106,MATCH($C1134,MUSTERILER!$B$7:$B$106,0))))</f>
        <v/>
      </c>
      <c r="O1134" s="6" t="n"/>
      <c r="P1134" s="6" t="n"/>
      <c r="Q1134" s="3">
        <f>IF($D1134="","",$C1134&amp;"|"&amp;COUNTIFS($C$7:$C1134,$C1134))</f>
        <v/>
      </c>
    </row>
    <row r="1135">
      <c r="A1135" s="6" t="n"/>
      <c r="B1135" s="113">
        <f>IF($D1135="","","T"&amp;TEXT(ROW()-6,"00000"))</f>
        <v/>
      </c>
      <c r="C1135" s="113">
        <f>IF($D1135="","",IFERROR(INDEX(MUSTERILER!$B$7:$B$106,MATCH($D1135,MUSTERILER!$C$7:$C$106,0)),IFERROR(INDEX(MUSTERILER!$B$7:$B$106,MATCH($D1135,MUSTERILER!$B$7:$B$106,0)),IFERROR(INDEX(MUSTERILER!$B$7:$B$106,MATCH($D1135&amp;"*",MUSTERILER!$C$7:$C$106,0)),"TANIMSIZ MÜŞTERİ"))))</f>
        <v/>
      </c>
      <c r="D1135" s="109" t="n"/>
      <c r="E1135" s="225" t="n"/>
      <c r="F1135" s="226" t="n"/>
      <c r="G1135" s="108" t="n"/>
      <c r="H1135" s="108" t="n"/>
      <c r="I1135" s="109" t="n"/>
      <c r="J1135" s="109" t="n"/>
      <c r="K1135" s="109" t="n"/>
      <c r="L1135" s="231">
        <f>IF($E1135="","",DATE(YEAR($E1135),MONTH($E1135),1))</f>
        <v/>
      </c>
      <c r="M1135" s="113">
        <f>IF($D1135="","",IF($C1135="TANIMSIZ MÜŞTERİ","HATA",IF(OR($E1135="",$F1135&lt;=0,$G1135=""),"EKSİK",IF($E1135&gt;TODAY(),"İLERİ TARİH","UYGUN"))))</f>
        <v/>
      </c>
      <c r="N1135" s="121">
        <f>IF($C1135="","",IF($C1135="TANIMSIZ MÜŞTERİ","—",INDEX(MUSTERILER!$C$7:$C$106,MATCH($C1135,MUSTERILER!$B$7:$B$106,0))))</f>
        <v/>
      </c>
      <c r="O1135" s="6" t="n"/>
      <c r="P1135" s="6" t="n"/>
      <c r="Q1135" s="3">
        <f>IF($D1135="","",$C1135&amp;"|"&amp;COUNTIFS($C$7:$C1135,$C1135))</f>
        <v/>
      </c>
    </row>
    <row r="1136">
      <c r="A1136" s="6" t="n"/>
      <c r="B1136" s="113">
        <f>IF($D1136="","","T"&amp;TEXT(ROW()-6,"00000"))</f>
        <v/>
      </c>
      <c r="C1136" s="113">
        <f>IF($D1136="","",IFERROR(INDEX(MUSTERILER!$B$7:$B$106,MATCH($D1136,MUSTERILER!$C$7:$C$106,0)),IFERROR(INDEX(MUSTERILER!$B$7:$B$106,MATCH($D1136,MUSTERILER!$B$7:$B$106,0)),IFERROR(INDEX(MUSTERILER!$B$7:$B$106,MATCH($D1136&amp;"*",MUSTERILER!$C$7:$C$106,0)),"TANIMSIZ MÜŞTERİ"))))</f>
        <v/>
      </c>
      <c r="D1136" s="109" t="n"/>
      <c r="E1136" s="225" t="n"/>
      <c r="F1136" s="226" t="n"/>
      <c r="G1136" s="108" t="n"/>
      <c r="H1136" s="108" t="n"/>
      <c r="I1136" s="109" t="n"/>
      <c r="J1136" s="109" t="n"/>
      <c r="K1136" s="109" t="n"/>
      <c r="L1136" s="231">
        <f>IF($E1136="","",DATE(YEAR($E1136),MONTH($E1136),1))</f>
        <v/>
      </c>
      <c r="M1136" s="113">
        <f>IF($D1136="","",IF($C1136="TANIMSIZ MÜŞTERİ","HATA",IF(OR($E1136="",$F1136&lt;=0,$G1136=""),"EKSİK",IF($E1136&gt;TODAY(),"İLERİ TARİH","UYGUN"))))</f>
        <v/>
      </c>
      <c r="N1136" s="121">
        <f>IF($C1136="","",IF($C1136="TANIMSIZ MÜŞTERİ","—",INDEX(MUSTERILER!$C$7:$C$106,MATCH($C1136,MUSTERILER!$B$7:$B$106,0))))</f>
        <v/>
      </c>
      <c r="O1136" s="6" t="n"/>
      <c r="P1136" s="6" t="n"/>
      <c r="Q1136" s="3">
        <f>IF($D1136="","",$C1136&amp;"|"&amp;COUNTIFS($C$7:$C1136,$C1136))</f>
        <v/>
      </c>
    </row>
    <row r="1137">
      <c r="A1137" s="6" t="n"/>
      <c r="B1137" s="113">
        <f>IF($D1137="","","T"&amp;TEXT(ROW()-6,"00000"))</f>
        <v/>
      </c>
      <c r="C1137" s="113">
        <f>IF($D1137="","",IFERROR(INDEX(MUSTERILER!$B$7:$B$106,MATCH($D1137,MUSTERILER!$C$7:$C$106,0)),IFERROR(INDEX(MUSTERILER!$B$7:$B$106,MATCH($D1137,MUSTERILER!$B$7:$B$106,0)),IFERROR(INDEX(MUSTERILER!$B$7:$B$106,MATCH($D1137&amp;"*",MUSTERILER!$C$7:$C$106,0)),"TANIMSIZ MÜŞTERİ"))))</f>
        <v/>
      </c>
      <c r="D1137" s="109" t="n"/>
      <c r="E1137" s="225" t="n"/>
      <c r="F1137" s="226" t="n"/>
      <c r="G1137" s="108" t="n"/>
      <c r="H1137" s="108" t="n"/>
      <c r="I1137" s="109" t="n"/>
      <c r="J1137" s="109" t="n"/>
      <c r="K1137" s="109" t="n"/>
      <c r="L1137" s="231">
        <f>IF($E1137="","",DATE(YEAR($E1137),MONTH($E1137),1))</f>
        <v/>
      </c>
      <c r="M1137" s="113">
        <f>IF($D1137="","",IF($C1137="TANIMSIZ MÜŞTERİ","HATA",IF(OR($E1137="",$F1137&lt;=0,$G1137=""),"EKSİK",IF($E1137&gt;TODAY(),"İLERİ TARİH","UYGUN"))))</f>
        <v/>
      </c>
      <c r="N1137" s="121">
        <f>IF($C1137="","",IF($C1137="TANIMSIZ MÜŞTERİ","—",INDEX(MUSTERILER!$C$7:$C$106,MATCH($C1137,MUSTERILER!$B$7:$B$106,0))))</f>
        <v/>
      </c>
      <c r="O1137" s="6" t="n"/>
      <c r="P1137" s="6" t="n"/>
      <c r="Q1137" s="3">
        <f>IF($D1137="","",$C1137&amp;"|"&amp;COUNTIFS($C$7:$C1137,$C1137))</f>
        <v/>
      </c>
    </row>
    <row r="1138">
      <c r="A1138" s="6" t="n"/>
      <c r="B1138" s="113">
        <f>IF($D1138="","","T"&amp;TEXT(ROW()-6,"00000"))</f>
        <v/>
      </c>
      <c r="C1138" s="113">
        <f>IF($D1138="","",IFERROR(INDEX(MUSTERILER!$B$7:$B$106,MATCH($D1138,MUSTERILER!$C$7:$C$106,0)),IFERROR(INDEX(MUSTERILER!$B$7:$B$106,MATCH($D1138,MUSTERILER!$B$7:$B$106,0)),IFERROR(INDEX(MUSTERILER!$B$7:$B$106,MATCH($D1138&amp;"*",MUSTERILER!$C$7:$C$106,0)),"TANIMSIZ MÜŞTERİ"))))</f>
        <v/>
      </c>
      <c r="D1138" s="109" t="n"/>
      <c r="E1138" s="225" t="n"/>
      <c r="F1138" s="226" t="n"/>
      <c r="G1138" s="108" t="n"/>
      <c r="H1138" s="108" t="n"/>
      <c r="I1138" s="109" t="n"/>
      <c r="J1138" s="109" t="n"/>
      <c r="K1138" s="109" t="n"/>
      <c r="L1138" s="231">
        <f>IF($E1138="","",DATE(YEAR($E1138),MONTH($E1138),1))</f>
        <v/>
      </c>
      <c r="M1138" s="113">
        <f>IF($D1138="","",IF($C1138="TANIMSIZ MÜŞTERİ","HATA",IF(OR($E1138="",$F1138&lt;=0,$G1138=""),"EKSİK",IF($E1138&gt;TODAY(),"İLERİ TARİH","UYGUN"))))</f>
        <v/>
      </c>
      <c r="N1138" s="121">
        <f>IF($C1138="","",IF($C1138="TANIMSIZ MÜŞTERİ","—",INDEX(MUSTERILER!$C$7:$C$106,MATCH($C1138,MUSTERILER!$B$7:$B$106,0))))</f>
        <v/>
      </c>
      <c r="O1138" s="6" t="n"/>
      <c r="P1138" s="6" t="n"/>
      <c r="Q1138" s="3">
        <f>IF($D1138="","",$C1138&amp;"|"&amp;COUNTIFS($C$7:$C1138,$C1138))</f>
        <v/>
      </c>
    </row>
    <row r="1139">
      <c r="A1139" s="6" t="n"/>
      <c r="B1139" s="113">
        <f>IF($D1139="","","T"&amp;TEXT(ROW()-6,"00000"))</f>
        <v/>
      </c>
      <c r="C1139" s="113">
        <f>IF($D1139="","",IFERROR(INDEX(MUSTERILER!$B$7:$B$106,MATCH($D1139,MUSTERILER!$C$7:$C$106,0)),IFERROR(INDEX(MUSTERILER!$B$7:$B$106,MATCH($D1139,MUSTERILER!$B$7:$B$106,0)),IFERROR(INDEX(MUSTERILER!$B$7:$B$106,MATCH($D1139&amp;"*",MUSTERILER!$C$7:$C$106,0)),"TANIMSIZ MÜŞTERİ"))))</f>
        <v/>
      </c>
      <c r="D1139" s="109" t="n"/>
      <c r="E1139" s="225" t="n"/>
      <c r="F1139" s="226" t="n"/>
      <c r="G1139" s="108" t="n"/>
      <c r="H1139" s="108" t="n"/>
      <c r="I1139" s="109" t="n"/>
      <c r="J1139" s="109" t="n"/>
      <c r="K1139" s="109" t="n"/>
      <c r="L1139" s="231">
        <f>IF($E1139="","",DATE(YEAR($E1139),MONTH($E1139),1))</f>
        <v/>
      </c>
      <c r="M1139" s="113">
        <f>IF($D1139="","",IF($C1139="TANIMSIZ MÜŞTERİ","HATA",IF(OR($E1139="",$F1139&lt;=0,$G1139=""),"EKSİK",IF($E1139&gt;TODAY(),"İLERİ TARİH","UYGUN"))))</f>
        <v/>
      </c>
      <c r="N1139" s="121">
        <f>IF($C1139="","",IF($C1139="TANIMSIZ MÜŞTERİ","—",INDEX(MUSTERILER!$C$7:$C$106,MATCH($C1139,MUSTERILER!$B$7:$B$106,0))))</f>
        <v/>
      </c>
      <c r="O1139" s="6" t="n"/>
      <c r="P1139" s="6" t="n"/>
      <c r="Q1139" s="3">
        <f>IF($D1139="","",$C1139&amp;"|"&amp;COUNTIFS($C$7:$C1139,$C1139))</f>
        <v/>
      </c>
    </row>
    <row r="1140">
      <c r="A1140" s="6" t="n"/>
      <c r="B1140" s="113">
        <f>IF($D1140="","","T"&amp;TEXT(ROW()-6,"00000"))</f>
        <v/>
      </c>
      <c r="C1140" s="113">
        <f>IF($D1140="","",IFERROR(INDEX(MUSTERILER!$B$7:$B$106,MATCH($D1140,MUSTERILER!$C$7:$C$106,0)),IFERROR(INDEX(MUSTERILER!$B$7:$B$106,MATCH($D1140,MUSTERILER!$B$7:$B$106,0)),IFERROR(INDEX(MUSTERILER!$B$7:$B$106,MATCH($D1140&amp;"*",MUSTERILER!$C$7:$C$106,0)),"TANIMSIZ MÜŞTERİ"))))</f>
        <v/>
      </c>
      <c r="D1140" s="109" t="n"/>
      <c r="E1140" s="225" t="n"/>
      <c r="F1140" s="226" t="n"/>
      <c r="G1140" s="108" t="n"/>
      <c r="H1140" s="108" t="n"/>
      <c r="I1140" s="109" t="n"/>
      <c r="J1140" s="109" t="n"/>
      <c r="K1140" s="109" t="n"/>
      <c r="L1140" s="231">
        <f>IF($E1140="","",DATE(YEAR($E1140),MONTH($E1140),1))</f>
        <v/>
      </c>
      <c r="M1140" s="113">
        <f>IF($D1140="","",IF($C1140="TANIMSIZ MÜŞTERİ","HATA",IF(OR($E1140="",$F1140&lt;=0,$G1140=""),"EKSİK",IF($E1140&gt;TODAY(),"İLERİ TARİH","UYGUN"))))</f>
        <v/>
      </c>
      <c r="N1140" s="121">
        <f>IF($C1140="","",IF($C1140="TANIMSIZ MÜŞTERİ","—",INDEX(MUSTERILER!$C$7:$C$106,MATCH($C1140,MUSTERILER!$B$7:$B$106,0))))</f>
        <v/>
      </c>
      <c r="O1140" s="6" t="n"/>
      <c r="P1140" s="6" t="n"/>
      <c r="Q1140" s="3">
        <f>IF($D1140="","",$C1140&amp;"|"&amp;COUNTIFS($C$7:$C1140,$C1140))</f>
        <v/>
      </c>
    </row>
    <row r="1141">
      <c r="A1141" s="6" t="n"/>
      <c r="B1141" s="113">
        <f>IF($D1141="","","T"&amp;TEXT(ROW()-6,"00000"))</f>
        <v/>
      </c>
      <c r="C1141" s="113">
        <f>IF($D1141="","",IFERROR(INDEX(MUSTERILER!$B$7:$B$106,MATCH($D1141,MUSTERILER!$C$7:$C$106,0)),IFERROR(INDEX(MUSTERILER!$B$7:$B$106,MATCH($D1141,MUSTERILER!$B$7:$B$106,0)),IFERROR(INDEX(MUSTERILER!$B$7:$B$106,MATCH($D1141&amp;"*",MUSTERILER!$C$7:$C$106,0)),"TANIMSIZ MÜŞTERİ"))))</f>
        <v/>
      </c>
      <c r="D1141" s="109" t="n"/>
      <c r="E1141" s="225" t="n"/>
      <c r="F1141" s="226" t="n"/>
      <c r="G1141" s="108" t="n"/>
      <c r="H1141" s="108" t="n"/>
      <c r="I1141" s="109" t="n"/>
      <c r="J1141" s="109" t="n"/>
      <c r="K1141" s="109" t="n"/>
      <c r="L1141" s="231">
        <f>IF($E1141="","",DATE(YEAR($E1141),MONTH($E1141),1))</f>
        <v/>
      </c>
      <c r="M1141" s="113">
        <f>IF($D1141="","",IF($C1141="TANIMSIZ MÜŞTERİ","HATA",IF(OR($E1141="",$F1141&lt;=0,$G1141=""),"EKSİK",IF($E1141&gt;TODAY(),"İLERİ TARİH","UYGUN"))))</f>
        <v/>
      </c>
      <c r="N1141" s="121">
        <f>IF($C1141="","",IF($C1141="TANIMSIZ MÜŞTERİ","—",INDEX(MUSTERILER!$C$7:$C$106,MATCH($C1141,MUSTERILER!$B$7:$B$106,0))))</f>
        <v/>
      </c>
      <c r="O1141" s="6" t="n"/>
      <c r="P1141" s="6" t="n"/>
      <c r="Q1141" s="3">
        <f>IF($D1141="","",$C1141&amp;"|"&amp;COUNTIFS($C$7:$C1141,$C1141))</f>
        <v/>
      </c>
    </row>
    <row r="1142">
      <c r="A1142" s="6" t="n"/>
      <c r="B1142" s="113">
        <f>IF($D1142="","","T"&amp;TEXT(ROW()-6,"00000"))</f>
        <v/>
      </c>
      <c r="C1142" s="113">
        <f>IF($D1142="","",IFERROR(INDEX(MUSTERILER!$B$7:$B$106,MATCH($D1142,MUSTERILER!$C$7:$C$106,0)),IFERROR(INDEX(MUSTERILER!$B$7:$B$106,MATCH($D1142,MUSTERILER!$B$7:$B$106,0)),IFERROR(INDEX(MUSTERILER!$B$7:$B$106,MATCH($D1142&amp;"*",MUSTERILER!$C$7:$C$106,0)),"TANIMSIZ MÜŞTERİ"))))</f>
        <v/>
      </c>
      <c r="D1142" s="109" t="n"/>
      <c r="E1142" s="225" t="n"/>
      <c r="F1142" s="226" t="n"/>
      <c r="G1142" s="108" t="n"/>
      <c r="H1142" s="108" t="n"/>
      <c r="I1142" s="109" t="n"/>
      <c r="J1142" s="109" t="n"/>
      <c r="K1142" s="109" t="n"/>
      <c r="L1142" s="231">
        <f>IF($E1142="","",DATE(YEAR($E1142),MONTH($E1142),1))</f>
        <v/>
      </c>
      <c r="M1142" s="113">
        <f>IF($D1142="","",IF($C1142="TANIMSIZ MÜŞTERİ","HATA",IF(OR($E1142="",$F1142&lt;=0,$G1142=""),"EKSİK",IF($E1142&gt;TODAY(),"İLERİ TARİH","UYGUN"))))</f>
        <v/>
      </c>
      <c r="N1142" s="121">
        <f>IF($C1142="","",IF($C1142="TANIMSIZ MÜŞTERİ","—",INDEX(MUSTERILER!$C$7:$C$106,MATCH($C1142,MUSTERILER!$B$7:$B$106,0))))</f>
        <v/>
      </c>
      <c r="O1142" s="6" t="n"/>
      <c r="P1142" s="6" t="n"/>
      <c r="Q1142" s="3">
        <f>IF($D1142="","",$C1142&amp;"|"&amp;COUNTIFS($C$7:$C1142,$C1142))</f>
        <v/>
      </c>
    </row>
    <row r="1143">
      <c r="A1143" s="6" t="n"/>
      <c r="B1143" s="113">
        <f>IF($D1143="","","T"&amp;TEXT(ROW()-6,"00000"))</f>
        <v/>
      </c>
      <c r="C1143" s="113">
        <f>IF($D1143="","",IFERROR(INDEX(MUSTERILER!$B$7:$B$106,MATCH($D1143,MUSTERILER!$C$7:$C$106,0)),IFERROR(INDEX(MUSTERILER!$B$7:$B$106,MATCH($D1143,MUSTERILER!$B$7:$B$106,0)),IFERROR(INDEX(MUSTERILER!$B$7:$B$106,MATCH($D1143&amp;"*",MUSTERILER!$C$7:$C$106,0)),"TANIMSIZ MÜŞTERİ"))))</f>
        <v/>
      </c>
      <c r="D1143" s="109" t="n"/>
      <c r="E1143" s="225" t="n"/>
      <c r="F1143" s="226" t="n"/>
      <c r="G1143" s="108" t="n"/>
      <c r="H1143" s="108" t="n"/>
      <c r="I1143" s="109" t="n"/>
      <c r="J1143" s="109" t="n"/>
      <c r="K1143" s="109" t="n"/>
      <c r="L1143" s="231">
        <f>IF($E1143="","",DATE(YEAR($E1143),MONTH($E1143),1))</f>
        <v/>
      </c>
      <c r="M1143" s="113">
        <f>IF($D1143="","",IF($C1143="TANIMSIZ MÜŞTERİ","HATA",IF(OR($E1143="",$F1143&lt;=0,$G1143=""),"EKSİK",IF($E1143&gt;TODAY(),"İLERİ TARİH","UYGUN"))))</f>
        <v/>
      </c>
      <c r="N1143" s="121">
        <f>IF($C1143="","",IF($C1143="TANIMSIZ MÜŞTERİ","—",INDEX(MUSTERILER!$C$7:$C$106,MATCH($C1143,MUSTERILER!$B$7:$B$106,0))))</f>
        <v/>
      </c>
      <c r="O1143" s="6" t="n"/>
      <c r="P1143" s="6" t="n"/>
      <c r="Q1143" s="3">
        <f>IF($D1143="","",$C1143&amp;"|"&amp;COUNTIFS($C$7:$C1143,$C1143))</f>
        <v/>
      </c>
    </row>
    <row r="1144">
      <c r="A1144" s="6" t="n"/>
      <c r="B1144" s="113">
        <f>IF($D1144="","","T"&amp;TEXT(ROW()-6,"00000"))</f>
        <v/>
      </c>
      <c r="C1144" s="113">
        <f>IF($D1144="","",IFERROR(INDEX(MUSTERILER!$B$7:$B$106,MATCH($D1144,MUSTERILER!$C$7:$C$106,0)),IFERROR(INDEX(MUSTERILER!$B$7:$B$106,MATCH($D1144,MUSTERILER!$B$7:$B$106,0)),IFERROR(INDEX(MUSTERILER!$B$7:$B$106,MATCH($D1144&amp;"*",MUSTERILER!$C$7:$C$106,0)),"TANIMSIZ MÜŞTERİ"))))</f>
        <v/>
      </c>
      <c r="D1144" s="109" t="n"/>
      <c r="E1144" s="225" t="n"/>
      <c r="F1144" s="226" t="n"/>
      <c r="G1144" s="108" t="n"/>
      <c r="H1144" s="108" t="n"/>
      <c r="I1144" s="109" t="n"/>
      <c r="J1144" s="109" t="n"/>
      <c r="K1144" s="109" t="n"/>
      <c r="L1144" s="231">
        <f>IF($E1144="","",DATE(YEAR($E1144),MONTH($E1144),1))</f>
        <v/>
      </c>
      <c r="M1144" s="113">
        <f>IF($D1144="","",IF($C1144="TANIMSIZ MÜŞTERİ","HATA",IF(OR($E1144="",$F1144&lt;=0,$G1144=""),"EKSİK",IF($E1144&gt;TODAY(),"İLERİ TARİH","UYGUN"))))</f>
        <v/>
      </c>
      <c r="N1144" s="121">
        <f>IF($C1144="","",IF($C1144="TANIMSIZ MÜŞTERİ","—",INDEX(MUSTERILER!$C$7:$C$106,MATCH($C1144,MUSTERILER!$B$7:$B$106,0))))</f>
        <v/>
      </c>
      <c r="O1144" s="6" t="n"/>
      <c r="P1144" s="6" t="n"/>
      <c r="Q1144" s="3">
        <f>IF($D1144="","",$C1144&amp;"|"&amp;COUNTIFS($C$7:$C1144,$C1144))</f>
        <v/>
      </c>
    </row>
    <row r="1145">
      <c r="A1145" s="6" t="n"/>
      <c r="B1145" s="113">
        <f>IF($D1145="","","T"&amp;TEXT(ROW()-6,"00000"))</f>
        <v/>
      </c>
      <c r="C1145" s="113">
        <f>IF($D1145="","",IFERROR(INDEX(MUSTERILER!$B$7:$B$106,MATCH($D1145,MUSTERILER!$C$7:$C$106,0)),IFERROR(INDEX(MUSTERILER!$B$7:$B$106,MATCH($D1145,MUSTERILER!$B$7:$B$106,0)),IFERROR(INDEX(MUSTERILER!$B$7:$B$106,MATCH($D1145&amp;"*",MUSTERILER!$C$7:$C$106,0)),"TANIMSIZ MÜŞTERİ"))))</f>
        <v/>
      </c>
      <c r="D1145" s="109" t="n"/>
      <c r="E1145" s="225" t="n"/>
      <c r="F1145" s="226" t="n"/>
      <c r="G1145" s="108" t="n"/>
      <c r="H1145" s="108" t="n"/>
      <c r="I1145" s="109" t="n"/>
      <c r="J1145" s="109" t="n"/>
      <c r="K1145" s="109" t="n"/>
      <c r="L1145" s="231">
        <f>IF($E1145="","",DATE(YEAR($E1145),MONTH($E1145),1))</f>
        <v/>
      </c>
      <c r="M1145" s="113">
        <f>IF($D1145="","",IF($C1145="TANIMSIZ MÜŞTERİ","HATA",IF(OR($E1145="",$F1145&lt;=0,$G1145=""),"EKSİK",IF($E1145&gt;TODAY(),"İLERİ TARİH","UYGUN"))))</f>
        <v/>
      </c>
      <c r="N1145" s="121">
        <f>IF($C1145="","",IF($C1145="TANIMSIZ MÜŞTERİ","—",INDEX(MUSTERILER!$C$7:$C$106,MATCH($C1145,MUSTERILER!$B$7:$B$106,0))))</f>
        <v/>
      </c>
      <c r="O1145" s="6" t="n"/>
      <c r="P1145" s="6" t="n"/>
      <c r="Q1145" s="3">
        <f>IF($D1145="","",$C1145&amp;"|"&amp;COUNTIFS($C$7:$C1145,$C1145))</f>
        <v/>
      </c>
    </row>
    <row r="1146">
      <c r="A1146" s="6" t="n"/>
      <c r="B1146" s="113">
        <f>IF($D1146="","","T"&amp;TEXT(ROW()-6,"00000"))</f>
        <v/>
      </c>
      <c r="C1146" s="113">
        <f>IF($D1146="","",IFERROR(INDEX(MUSTERILER!$B$7:$B$106,MATCH($D1146,MUSTERILER!$C$7:$C$106,0)),IFERROR(INDEX(MUSTERILER!$B$7:$B$106,MATCH($D1146,MUSTERILER!$B$7:$B$106,0)),IFERROR(INDEX(MUSTERILER!$B$7:$B$106,MATCH($D1146&amp;"*",MUSTERILER!$C$7:$C$106,0)),"TANIMSIZ MÜŞTERİ"))))</f>
        <v/>
      </c>
      <c r="D1146" s="109" t="n"/>
      <c r="E1146" s="225" t="n"/>
      <c r="F1146" s="226" t="n"/>
      <c r="G1146" s="108" t="n"/>
      <c r="H1146" s="108" t="n"/>
      <c r="I1146" s="109" t="n"/>
      <c r="J1146" s="109" t="n"/>
      <c r="K1146" s="109" t="n"/>
      <c r="L1146" s="231">
        <f>IF($E1146="","",DATE(YEAR($E1146),MONTH($E1146),1))</f>
        <v/>
      </c>
      <c r="M1146" s="113">
        <f>IF($D1146="","",IF($C1146="TANIMSIZ MÜŞTERİ","HATA",IF(OR($E1146="",$F1146&lt;=0,$G1146=""),"EKSİK",IF($E1146&gt;TODAY(),"İLERİ TARİH","UYGUN"))))</f>
        <v/>
      </c>
      <c r="N1146" s="121">
        <f>IF($C1146="","",IF($C1146="TANIMSIZ MÜŞTERİ","—",INDEX(MUSTERILER!$C$7:$C$106,MATCH($C1146,MUSTERILER!$B$7:$B$106,0))))</f>
        <v/>
      </c>
      <c r="O1146" s="6" t="n"/>
      <c r="P1146" s="6" t="n"/>
      <c r="Q1146" s="3">
        <f>IF($D1146="","",$C1146&amp;"|"&amp;COUNTIFS($C$7:$C1146,$C1146))</f>
        <v/>
      </c>
    </row>
    <row r="1147">
      <c r="A1147" s="6" t="n"/>
      <c r="B1147" s="113">
        <f>IF($D1147="","","T"&amp;TEXT(ROW()-6,"00000"))</f>
        <v/>
      </c>
      <c r="C1147" s="113">
        <f>IF($D1147="","",IFERROR(INDEX(MUSTERILER!$B$7:$B$106,MATCH($D1147,MUSTERILER!$C$7:$C$106,0)),IFERROR(INDEX(MUSTERILER!$B$7:$B$106,MATCH($D1147,MUSTERILER!$B$7:$B$106,0)),IFERROR(INDEX(MUSTERILER!$B$7:$B$106,MATCH($D1147&amp;"*",MUSTERILER!$C$7:$C$106,0)),"TANIMSIZ MÜŞTERİ"))))</f>
        <v/>
      </c>
      <c r="D1147" s="109" t="n"/>
      <c r="E1147" s="225" t="n"/>
      <c r="F1147" s="226" t="n"/>
      <c r="G1147" s="108" t="n"/>
      <c r="H1147" s="108" t="n"/>
      <c r="I1147" s="109" t="n"/>
      <c r="J1147" s="109" t="n"/>
      <c r="K1147" s="109" t="n"/>
      <c r="L1147" s="231">
        <f>IF($E1147="","",DATE(YEAR($E1147),MONTH($E1147),1))</f>
        <v/>
      </c>
      <c r="M1147" s="113">
        <f>IF($D1147="","",IF($C1147="TANIMSIZ MÜŞTERİ","HATA",IF(OR($E1147="",$F1147&lt;=0,$G1147=""),"EKSİK",IF($E1147&gt;TODAY(),"İLERİ TARİH","UYGUN"))))</f>
        <v/>
      </c>
      <c r="N1147" s="121">
        <f>IF($C1147="","",IF($C1147="TANIMSIZ MÜŞTERİ","—",INDEX(MUSTERILER!$C$7:$C$106,MATCH($C1147,MUSTERILER!$B$7:$B$106,0))))</f>
        <v/>
      </c>
      <c r="O1147" s="6" t="n"/>
      <c r="P1147" s="6" t="n"/>
      <c r="Q1147" s="3">
        <f>IF($D1147="","",$C1147&amp;"|"&amp;COUNTIFS($C$7:$C1147,$C1147))</f>
        <v/>
      </c>
    </row>
    <row r="1148">
      <c r="A1148" s="6" t="n"/>
      <c r="B1148" s="113">
        <f>IF($D1148="","","T"&amp;TEXT(ROW()-6,"00000"))</f>
        <v/>
      </c>
      <c r="C1148" s="113">
        <f>IF($D1148="","",IFERROR(INDEX(MUSTERILER!$B$7:$B$106,MATCH($D1148,MUSTERILER!$C$7:$C$106,0)),IFERROR(INDEX(MUSTERILER!$B$7:$B$106,MATCH($D1148,MUSTERILER!$B$7:$B$106,0)),IFERROR(INDEX(MUSTERILER!$B$7:$B$106,MATCH($D1148&amp;"*",MUSTERILER!$C$7:$C$106,0)),"TANIMSIZ MÜŞTERİ"))))</f>
        <v/>
      </c>
      <c r="D1148" s="109" t="n"/>
      <c r="E1148" s="225" t="n"/>
      <c r="F1148" s="226" t="n"/>
      <c r="G1148" s="108" t="n"/>
      <c r="H1148" s="108" t="n"/>
      <c r="I1148" s="109" t="n"/>
      <c r="J1148" s="109" t="n"/>
      <c r="K1148" s="109" t="n"/>
      <c r="L1148" s="231">
        <f>IF($E1148="","",DATE(YEAR($E1148),MONTH($E1148),1))</f>
        <v/>
      </c>
      <c r="M1148" s="113">
        <f>IF($D1148="","",IF($C1148="TANIMSIZ MÜŞTERİ","HATA",IF(OR($E1148="",$F1148&lt;=0,$G1148=""),"EKSİK",IF($E1148&gt;TODAY(),"İLERİ TARİH","UYGUN"))))</f>
        <v/>
      </c>
      <c r="N1148" s="121">
        <f>IF($C1148="","",IF($C1148="TANIMSIZ MÜŞTERİ","—",INDEX(MUSTERILER!$C$7:$C$106,MATCH($C1148,MUSTERILER!$B$7:$B$106,0))))</f>
        <v/>
      </c>
      <c r="O1148" s="6" t="n"/>
      <c r="P1148" s="6" t="n"/>
      <c r="Q1148" s="3">
        <f>IF($D1148="","",$C1148&amp;"|"&amp;COUNTIFS($C$7:$C1148,$C1148))</f>
        <v/>
      </c>
    </row>
    <row r="1149">
      <c r="A1149" s="6" t="n"/>
      <c r="B1149" s="113">
        <f>IF($D1149="","","T"&amp;TEXT(ROW()-6,"00000"))</f>
        <v/>
      </c>
      <c r="C1149" s="113">
        <f>IF($D1149="","",IFERROR(INDEX(MUSTERILER!$B$7:$B$106,MATCH($D1149,MUSTERILER!$C$7:$C$106,0)),IFERROR(INDEX(MUSTERILER!$B$7:$B$106,MATCH($D1149,MUSTERILER!$B$7:$B$106,0)),IFERROR(INDEX(MUSTERILER!$B$7:$B$106,MATCH($D1149&amp;"*",MUSTERILER!$C$7:$C$106,0)),"TANIMSIZ MÜŞTERİ"))))</f>
        <v/>
      </c>
      <c r="D1149" s="109" t="n"/>
      <c r="E1149" s="225" t="n"/>
      <c r="F1149" s="226" t="n"/>
      <c r="G1149" s="108" t="n"/>
      <c r="H1149" s="108" t="n"/>
      <c r="I1149" s="109" t="n"/>
      <c r="J1149" s="109" t="n"/>
      <c r="K1149" s="109" t="n"/>
      <c r="L1149" s="231">
        <f>IF($E1149="","",DATE(YEAR($E1149),MONTH($E1149),1))</f>
        <v/>
      </c>
      <c r="M1149" s="113">
        <f>IF($D1149="","",IF($C1149="TANIMSIZ MÜŞTERİ","HATA",IF(OR($E1149="",$F1149&lt;=0,$G1149=""),"EKSİK",IF($E1149&gt;TODAY(),"İLERİ TARİH","UYGUN"))))</f>
        <v/>
      </c>
      <c r="N1149" s="121">
        <f>IF($C1149="","",IF($C1149="TANIMSIZ MÜŞTERİ","—",INDEX(MUSTERILER!$C$7:$C$106,MATCH($C1149,MUSTERILER!$B$7:$B$106,0))))</f>
        <v/>
      </c>
      <c r="O1149" s="6" t="n"/>
      <c r="P1149" s="6" t="n"/>
      <c r="Q1149" s="3">
        <f>IF($D1149="","",$C1149&amp;"|"&amp;COUNTIFS($C$7:$C1149,$C1149))</f>
        <v/>
      </c>
    </row>
    <row r="1150">
      <c r="A1150" s="6" t="n"/>
      <c r="B1150" s="113">
        <f>IF($D1150="","","T"&amp;TEXT(ROW()-6,"00000"))</f>
        <v/>
      </c>
      <c r="C1150" s="113">
        <f>IF($D1150="","",IFERROR(INDEX(MUSTERILER!$B$7:$B$106,MATCH($D1150,MUSTERILER!$C$7:$C$106,0)),IFERROR(INDEX(MUSTERILER!$B$7:$B$106,MATCH($D1150,MUSTERILER!$B$7:$B$106,0)),IFERROR(INDEX(MUSTERILER!$B$7:$B$106,MATCH($D1150&amp;"*",MUSTERILER!$C$7:$C$106,0)),"TANIMSIZ MÜŞTERİ"))))</f>
        <v/>
      </c>
      <c r="D1150" s="109" t="n"/>
      <c r="E1150" s="225" t="n"/>
      <c r="F1150" s="226" t="n"/>
      <c r="G1150" s="108" t="n"/>
      <c r="H1150" s="108" t="n"/>
      <c r="I1150" s="109" t="n"/>
      <c r="J1150" s="109" t="n"/>
      <c r="K1150" s="109" t="n"/>
      <c r="L1150" s="231">
        <f>IF($E1150="","",DATE(YEAR($E1150),MONTH($E1150),1))</f>
        <v/>
      </c>
      <c r="M1150" s="113">
        <f>IF($D1150="","",IF($C1150="TANIMSIZ MÜŞTERİ","HATA",IF(OR($E1150="",$F1150&lt;=0,$G1150=""),"EKSİK",IF($E1150&gt;TODAY(),"İLERİ TARİH","UYGUN"))))</f>
        <v/>
      </c>
      <c r="N1150" s="121">
        <f>IF($C1150="","",IF($C1150="TANIMSIZ MÜŞTERİ","—",INDEX(MUSTERILER!$C$7:$C$106,MATCH($C1150,MUSTERILER!$B$7:$B$106,0))))</f>
        <v/>
      </c>
      <c r="O1150" s="6" t="n"/>
      <c r="P1150" s="6" t="n"/>
      <c r="Q1150" s="3">
        <f>IF($D1150="","",$C1150&amp;"|"&amp;COUNTIFS($C$7:$C1150,$C1150))</f>
        <v/>
      </c>
    </row>
    <row r="1151">
      <c r="A1151" s="6" t="n"/>
      <c r="B1151" s="113">
        <f>IF($D1151="","","T"&amp;TEXT(ROW()-6,"00000"))</f>
        <v/>
      </c>
      <c r="C1151" s="113">
        <f>IF($D1151="","",IFERROR(INDEX(MUSTERILER!$B$7:$B$106,MATCH($D1151,MUSTERILER!$C$7:$C$106,0)),IFERROR(INDEX(MUSTERILER!$B$7:$B$106,MATCH($D1151,MUSTERILER!$B$7:$B$106,0)),IFERROR(INDEX(MUSTERILER!$B$7:$B$106,MATCH($D1151&amp;"*",MUSTERILER!$C$7:$C$106,0)),"TANIMSIZ MÜŞTERİ"))))</f>
        <v/>
      </c>
      <c r="D1151" s="109" t="n"/>
      <c r="E1151" s="225" t="n"/>
      <c r="F1151" s="226" t="n"/>
      <c r="G1151" s="108" t="n"/>
      <c r="H1151" s="108" t="n"/>
      <c r="I1151" s="109" t="n"/>
      <c r="J1151" s="109" t="n"/>
      <c r="K1151" s="109" t="n"/>
      <c r="L1151" s="231">
        <f>IF($E1151="","",DATE(YEAR($E1151),MONTH($E1151),1))</f>
        <v/>
      </c>
      <c r="M1151" s="113">
        <f>IF($D1151="","",IF($C1151="TANIMSIZ MÜŞTERİ","HATA",IF(OR($E1151="",$F1151&lt;=0,$G1151=""),"EKSİK",IF($E1151&gt;TODAY(),"İLERİ TARİH","UYGUN"))))</f>
        <v/>
      </c>
      <c r="N1151" s="121">
        <f>IF($C1151="","",IF($C1151="TANIMSIZ MÜŞTERİ","—",INDEX(MUSTERILER!$C$7:$C$106,MATCH($C1151,MUSTERILER!$B$7:$B$106,0))))</f>
        <v/>
      </c>
      <c r="O1151" s="6" t="n"/>
      <c r="P1151" s="6" t="n"/>
      <c r="Q1151" s="3">
        <f>IF($D1151="","",$C1151&amp;"|"&amp;COUNTIFS($C$7:$C1151,$C1151))</f>
        <v/>
      </c>
    </row>
    <row r="1152">
      <c r="A1152" s="6" t="n"/>
      <c r="B1152" s="113">
        <f>IF($D1152="","","T"&amp;TEXT(ROW()-6,"00000"))</f>
        <v/>
      </c>
      <c r="C1152" s="113">
        <f>IF($D1152="","",IFERROR(INDEX(MUSTERILER!$B$7:$B$106,MATCH($D1152,MUSTERILER!$C$7:$C$106,0)),IFERROR(INDEX(MUSTERILER!$B$7:$B$106,MATCH($D1152,MUSTERILER!$B$7:$B$106,0)),IFERROR(INDEX(MUSTERILER!$B$7:$B$106,MATCH($D1152&amp;"*",MUSTERILER!$C$7:$C$106,0)),"TANIMSIZ MÜŞTERİ"))))</f>
        <v/>
      </c>
      <c r="D1152" s="109" t="n"/>
      <c r="E1152" s="225" t="n"/>
      <c r="F1152" s="226" t="n"/>
      <c r="G1152" s="108" t="n"/>
      <c r="H1152" s="108" t="n"/>
      <c r="I1152" s="109" t="n"/>
      <c r="J1152" s="109" t="n"/>
      <c r="K1152" s="109" t="n"/>
      <c r="L1152" s="231">
        <f>IF($E1152="","",DATE(YEAR($E1152),MONTH($E1152),1))</f>
        <v/>
      </c>
      <c r="M1152" s="113">
        <f>IF($D1152="","",IF($C1152="TANIMSIZ MÜŞTERİ","HATA",IF(OR($E1152="",$F1152&lt;=0,$G1152=""),"EKSİK",IF($E1152&gt;TODAY(),"İLERİ TARİH","UYGUN"))))</f>
        <v/>
      </c>
      <c r="N1152" s="121">
        <f>IF($C1152="","",IF($C1152="TANIMSIZ MÜŞTERİ","—",INDEX(MUSTERILER!$C$7:$C$106,MATCH($C1152,MUSTERILER!$B$7:$B$106,0))))</f>
        <v/>
      </c>
      <c r="O1152" s="6" t="n"/>
      <c r="P1152" s="6" t="n"/>
      <c r="Q1152" s="3">
        <f>IF($D1152="","",$C1152&amp;"|"&amp;COUNTIFS($C$7:$C1152,$C1152))</f>
        <v/>
      </c>
    </row>
    <row r="1153">
      <c r="A1153" s="6" t="n"/>
      <c r="B1153" s="113">
        <f>IF($D1153="","","T"&amp;TEXT(ROW()-6,"00000"))</f>
        <v/>
      </c>
      <c r="C1153" s="113">
        <f>IF($D1153="","",IFERROR(INDEX(MUSTERILER!$B$7:$B$106,MATCH($D1153,MUSTERILER!$C$7:$C$106,0)),IFERROR(INDEX(MUSTERILER!$B$7:$B$106,MATCH($D1153,MUSTERILER!$B$7:$B$106,0)),IFERROR(INDEX(MUSTERILER!$B$7:$B$106,MATCH($D1153&amp;"*",MUSTERILER!$C$7:$C$106,0)),"TANIMSIZ MÜŞTERİ"))))</f>
        <v/>
      </c>
      <c r="D1153" s="109" t="n"/>
      <c r="E1153" s="225" t="n"/>
      <c r="F1153" s="226" t="n"/>
      <c r="G1153" s="108" t="n"/>
      <c r="H1153" s="108" t="n"/>
      <c r="I1153" s="109" t="n"/>
      <c r="J1153" s="109" t="n"/>
      <c r="K1153" s="109" t="n"/>
      <c r="L1153" s="231">
        <f>IF($E1153="","",DATE(YEAR($E1153),MONTH($E1153),1))</f>
        <v/>
      </c>
      <c r="M1153" s="113">
        <f>IF($D1153="","",IF($C1153="TANIMSIZ MÜŞTERİ","HATA",IF(OR($E1153="",$F1153&lt;=0,$G1153=""),"EKSİK",IF($E1153&gt;TODAY(),"İLERİ TARİH","UYGUN"))))</f>
        <v/>
      </c>
      <c r="N1153" s="121">
        <f>IF($C1153="","",IF($C1153="TANIMSIZ MÜŞTERİ","—",INDEX(MUSTERILER!$C$7:$C$106,MATCH($C1153,MUSTERILER!$B$7:$B$106,0))))</f>
        <v/>
      </c>
      <c r="O1153" s="6" t="n"/>
      <c r="P1153" s="6" t="n"/>
      <c r="Q1153" s="3">
        <f>IF($D1153="","",$C1153&amp;"|"&amp;COUNTIFS($C$7:$C1153,$C1153))</f>
        <v/>
      </c>
    </row>
    <row r="1154">
      <c r="A1154" s="6" t="n"/>
      <c r="B1154" s="113">
        <f>IF($D1154="","","T"&amp;TEXT(ROW()-6,"00000"))</f>
        <v/>
      </c>
      <c r="C1154" s="113">
        <f>IF($D1154="","",IFERROR(INDEX(MUSTERILER!$B$7:$B$106,MATCH($D1154,MUSTERILER!$C$7:$C$106,0)),IFERROR(INDEX(MUSTERILER!$B$7:$B$106,MATCH($D1154,MUSTERILER!$B$7:$B$106,0)),IFERROR(INDEX(MUSTERILER!$B$7:$B$106,MATCH($D1154&amp;"*",MUSTERILER!$C$7:$C$106,0)),"TANIMSIZ MÜŞTERİ"))))</f>
        <v/>
      </c>
      <c r="D1154" s="109" t="n"/>
      <c r="E1154" s="225" t="n"/>
      <c r="F1154" s="226" t="n"/>
      <c r="G1154" s="108" t="n"/>
      <c r="H1154" s="108" t="n"/>
      <c r="I1154" s="109" t="n"/>
      <c r="J1154" s="109" t="n"/>
      <c r="K1154" s="109" t="n"/>
      <c r="L1154" s="231">
        <f>IF($E1154="","",DATE(YEAR($E1154),MONTH($E1154),1))</f>
        <v/>
      </c>
      <c r="M1154" s="113">
        <f>IF($D1154="","",IF($C1154="TANIMSIZ MÜŞTERİ","HATA",IF(OR($E1154="",$F1154&lt;=0,$G1154=""),"EKSİK",IF($E1154&gt;TODAY(),"İLERİ TARİH","UYGUN"))))</f>
        <v/>
      </c>
      <c r="N1154" s="121">
        <f>IF($C1154="","",IF($C1154="TANIMSIZ MÜŞTERİ","—",INDEX(MUSTERILER!$C$7:$C$106,MATCH($C1154,MUSTERILER!$B$7:$B$106,0))))</f>
        <v/>
      </c>
      <c r="O1154" s="6" t="n"/>
      <c r="P1154" s="6" t="n"/>
      <c r="Q1154" s="3">
        <f>IF($D1154="","",$C1154&amp;"|"&amp;COUNTIFS($C$7:$C1154,$C1154))</f>
        <v/>
      </c>
    </row>
    <row r="1155">
      <c r="A1155" s="6" t="n"/>
      <c r="B1155" s="113">
        <f>IF($D1155="","","T"&amp;TEXT(ROW()-6,"00000"))</f>
        <v/>
      </c>
      <c r="C1155" s="113">
        <f>IF($D1155="","",IFERROR(INDEX(MUSTERILER!$B$7:$B$106,MATCH($D1155,MUSTERILER!$C$7:$C$106,0)),IFERROR(INDEX(MUSTERILER!$B$7:$B$106,MATCH($D1155,MUSTERILER!$B$7:$B$106,0)),IFERROR(INDEX(MUSTERILER!$B$7:$B$106,MATCH($D1155&amp;"*",MUSTERILER!$C$7:$C$106,0)),"TANIMSIZ MÜŞTERİ"))))</f>
        <v/>
      </c>
      <c r="D1155" s="109" t="n"/>
      <c r="E1155" s="225" t="n"/>
      <c r="F1155" s="226" t="n"/>
      <c r="G1155" s="108" t="n"/>
      <c r="H1155" s="108" t="n"/>
      <c r="I1155" s="109" t="n"/>
      <c r="J1155" s="109" t="n"/>
      <c r="K1155" s="109" t="n"/>
      <c r="L1155" s="231">
        <f>IF($E1155="","",DATE(YEAR($E1155),MONTH($E1155),1))</f>
        <v/>
      </c>
      <c r="M1155" s="113">
        <f>IF($D1155="","",IF($C1155="TANIMSIZ MÜŞTERİ","HATA",IF(OR($E1155="",$F1155&lt;=0,$G1155=""),"EKSİK",IF($E1155&gt;TODAY(),"İLERİ TARİH","UYGUN"))))</f>
        <v/>
      </c>
      <c r="N1155" s="121">
        <f>IF($C1155="","",IF($C1155="TANIMSIZ MÜŞTERİ","—",INDEX(MUSTERILER!$C$7:$C$106,MATCH($C1155,MUSTERILER!$B$7:$B$106,0))))</f>
        <v/>
      </c>
      <c r="O1155" s="6" t="n"/>
      <c r="P1155" s="6" t="n"/>
      <c r="Q1155" s="3">
        <f>IF($D1155="","",$C1155&amp;"|"&amp;COUNTIFS($C$7:$C1155,$C1155))</f>
        <v/>
      </c>
    </row>
    <row r="1156">
      <c r="A1156" s="6" t="n"/>
      <c r="B1156" s="113">
        <f>IF($D1156="","","T"&amp;TEXT(ROW()-6,"00000"))</f>
        <v/>
      </c>
      <c r="C1156" s="113">
        <f>IF($D1156="","",IFERROR(INDEX(MUSTERILER!$B$7:$B$106,MATCH($D1156,MUSTERILER!$C$7:$C$106,0)),IFERROR(INDEX(MUSTERILER!$B$7:$B$106,MATCH($D1156,MUSTERILER!$B$7:$B$106,0)),IFERROR(INDEX(MUSTERILER!$B$7:$B$106,MATCH($D1156&amp;"*",MUSTERILER!$C$7:$C$106,0)),"TANIMSIZ MÜŞTERİ"))))</f>
        <v/>
      </c>
      <c r="D1156" s="109" t="n"/>
      <c r="E1156" s="225" t="n"/>
      <c r="F1156" s="226" t="n"/>
      <c r="G1156" s="108" t="n"/>
      <c r="H1156" s="108" t="n"/>
      <c r="I1156" s="109" t="n"/>
      <c r="J1156" s="109" t="n"/>
      <c r="K1156" s="109" t="n"/>
      <c r="L1156" s="231">
        <f>IF($E1156="","",DATE(YEAR($E1156),MONTH($E1156),1))</f>
        <v/>
      </c>
      <c r="M1156" s="113">
        <f>IF($D1156="","",IF($C1156="TANIMSIZ MÜŞTERİ","HATA",IF(OR($E1156="",$F1156&lt;=0,$G1156=""),"EKSİK",IF($E1156&gt;TODAY(),"İLERİ TARİH","UYGUN"))))</f>
        <v/>
      </c>
      <c r="N1156" s="121">
        <f>IF($C1156="","",IF($C1156="TANIMSIZ MÜŞTERİ","—",INDEX(MUSTERILER!$C$7:$C$106,MATCH($C1156,MUSTERILER!$B$7:$B$106,0))))</f>
        <v/>
      </c>
      <c r="O1156" s="6" t="n"/>
      <c r="P1156" s="6" t="n"/>
      <c r="Q1156" s="3">
        <f>IF($D1156="","",$C1156&amp;"|"&amp;COUNTIFS($C$7:$C1156,$C1156))</f>
        <v/>
      </c>
    </row>
    <row r="1157">
      <c r="A1157" s="6" t="n"/>
      <c r="B1157" s="113">
        <f>IF($D1157="","","T"&amp;TEXT(ROW()-6,"00000"))</f>
        <v/>
      </c>
      <c r="C1157" s="113">
        <f>IF($D1157="","",IFERROR(INDEX(MUSTERILER!$B$7:$B$106,MATCH($D1157,MUSTERILER!$C$7:$C$106,0)),IFERROR(INDEX(MUSTERILER!$B$7:$B$106,MATCH($D1157,MUSTERILER!$B$7:$B$106,0)),IFERROR(INDEX(MUSTERILER!$B$7:$B$106,MATCH($D1157&amp;"*",MUSTERILER!$C$7:$C$106,0)),"TANIMSIZ MÜŞTERİ"))))</f>
        <v/>
      </c>
      <c r="D1157" s="109" t="n"/>
      <c r="E1157" s="225" t="n"/>
      <c r="F1157" s="226" t="n"/>
      <c r="G1157" s="108" t="n"/>
      <c r="H1157" s="108" t="n"/>
      <c r="I1157" s="109" t="n"/>
      <c r="J1157" s="109" t="n"/>
      <c r="K1157" s="109" t="n"/>
      <c r="L1157" s="231">
        <f>IF($E1157="","",DATE(YEAR($E1157),MONTH($E1157),1))</f>
        <v/>
      </c>
      <c r="M1157" s="113">
        <f>IF($D1157="","",IF($C1157="TANIMSIZ MÜŞTERİ","HATA",IF(OR($E1157="",$F1157&lt;=0,$G1157=""),"EKSİK",IF($E1157&gt;TODAY(),"İLERİ TARİH","UYGUN"))))</f>
        <v/>
      </c>
      <c r="N1157" s="121">
        <f>IF($C1157="","",IF($C1157="TANIMSIZ MÜŞTERİ","—",INDEX(MUSTERILER!$C$7:$C$106,MATCH($C1157,MUSTERILER!$B$7:$B$106,0))))</f>
        <v/>
      </c>
      <c r="O1157" s="6" t="n"/>
      <c r="P1157" s="6" t="n"/>
      <c r="Q1157" s="3">
        <f>IF($D1157="","",$C1157&amp;"|"&amp;COUNTIFS($C$7:$C1157,$C1157))</f>
        <v/>
      </c>
    </row>
    <row r="1158">
      <c r="A1158" s="6" t="n"/>
      <c r="B1158" s="113">
        <f>IF($D1158="","","T"&amp;TEXT(ROW()-6,"00000"))</f>
        <v/>
      </c>
      <c r="C1158" s="113">
        <f>IF($D1158="","",IFERROR(INDEX(MUSTERILER!$B$7:$B$106,MATCH($D1158,MUSTERILER!$C$7:$C$106,0)),IFERROR(INDEX(MUSTERILER!$B$7:$B$106,MATCH($D1158,MUSTERILER!$B$7:$B$106,0)),IFERROR(INDEX(MUSTERILER!$B$7:$B$106,MATCH($D1158&amp;"*",MUSTERILER!$C$7:$C$106,0)),"TANIMSIZ MÜŞTERİ"))))</f>
        <v/>
      </c>
      <c r="D1158" s="109" t="n"/>
      <c r="E1158" s="225" t="n"/>
      <c r="F1158" s="226" t="n"/>
      <c r="G1158" s="108" t="n"/>
      <c r="H1158" s="108" t="n"/>
      <c r="I1158" s="109" t="n"/>
      <c r="J1158" s="109" t="n"/>
      <c r="K1158" s="109" t="n"/>
      <c r="L1158" s="231">
        <f>IF($E1158="","",DATE(YEAR($E1158),MONTH($E1158),1))</f>
        <v/>
      </c>
      <c r="M1158" s="113">
        <f>IF($D1158="","",IF($C1158="TANIMSIZ MÜŞTERİ","HATA",IF(OR($E1158="",$F1158&lt;=0,$G1158=""),"EKSİK",IF($E1158&gt;TODAY(),"İLERİ TARİH","UYGUN"))))</f>
        <v/>
      </c>
      <c r="N1158" s="121">
        <f>IF($C1158="","",IF($C1158="TANIMSIZ MÜŞTERİ","—",INDEX(MUSTERILER!$C$7:$C$106,MATCH($C1158,MUSTERILER!$B$7:$B$106,0))))</f>
        <v/>
      </c>
      <c r="O1158" s="6" t="n"/>
      <c r="P1158" s="6" t="n"/>
      <c r="Q1158" s="3">
        <f>IF($D1158="","",$C1158&amp;"|"&amp;COUNTIFS($C$7:$C1158,$C1158))</f>
        <v/>
      </c>
    </row>
    <row r="1159">
      <c r="A1159" s="6" t="n"/>
      <c r="B1159" s="113">
        <f>IF($D1159="","","T"&amp;TEXT(ROW()-6,"00000"))</f>
        <v/>
      </c>
      <c r="C1159" s="113">
        <f>IF($D1159="","",IFERROR(INDEX(MUSTERILER!$B$7:$B$106,MATCH($D1159,MUSTERILER!$C$7:$C$106,0)),IFERROR(INDEX(MUSTERILER!$B$7:$B$106,MATCH($D1159,MUSTERILER!$B$7:$B$106,0)),IFERROR(INDEX(MUSTERILER!$B$7:$B$106,MATCH($D1159&amp;"*",MUSTERILER!$C$7:$C$106,0)),"TANIMSIZ MÜŞTERİ"))))</f>
        <v/>
      </c>
      <c r="D1159" s="109" t="n"/>
      <c r="E1159" s="225" t="n"/>
      <c r="F1159" s="226" t="n"/>
      <c r="G1159" s="108" t="n"/>
      <c r="H1159" s="108" t="n"/>
      <c r="I1159" s="109" t="n"/>
      <c r="J1159" s="109" t="n"/>
      <c r="K1159" s="109" t="n"/>
      <c r="L1159" s="231">
        <f>IF($E1159="","",DATE(YEAR($E1159),MONTH($E1159),1))</f>
        <v/>
      </c>
      <c r="M1159" s="113">
        <f>IF($D1159="","",IF($C1159="TANIMSIZ MÜŞTERİ","HATA",IF(OR($E1159="",$F1159&lt;=0,$G1159=""),"EKSİK",IF($E1159&gt;TODAY(),"İLERİ TARİH","UYGUN"))))</f>
        <v/>
      </c>
      <c r="N1159" s="121">
        <f>IF($C1159="","",IF($C1159="TANIMSIZ MÜŞTERİ","—",INDEX(MUSTERILER!$C$7:$C$106,MATCH($C1159,MUSTERILER!$B$7:$B$106,0))))</f>
        <v/>
      </c>
      <c r="O1159" s="6" t="n"/>
      <c r="P1159" s="6" t="n"/>
      <c r="Q1159" s="3">
        <f>IF($D1159="","",$C1159&amp;"|"&amp;COUNTIFS($C$7:$C1159,$C1159))</f>
        <v/>
      </c>
    </row>
    <row r="1160">
      <c r="A1160" s="6" t="n"/>
      <c r="B1160" s="113">
        <f>IF($D1160="","","T"&amp;TEXT(ROW()-6,"00000"))</f>
        <v/>
      </c>
      <c r="C1160" s="113">
        <f>IF($D1160="","",IFERROR(INDEX(MUSTERILER!$B$7:$B$106,MATCH($D1160,MUSTERILER!$C$7:$C$106,0)),IFERROR(INDEX(MUSTERILER!$B$7:$B$106,MATCH($D1160,MUSTERILER!$B$7:$B$106,0)),IFERROR(INDEX(MUSTERILER!$B$7:$B$106,MATCH($D1160&amp;"*",MUSTERILER!$C$7:$C$106,0)),"TANIMSIZ MÜŞTERİ"))))</f>
        <v/>
      </c>
      <c r="D1160" s="109" t="n"/>
      <c r="E1160" s="225" t="n"/>
      <c r="F1160" s="226" t="n"/>
      <c r="G1160" s="108" t="n"/>
      <c r="H1160" s="108" t="n"/>
      <c r="I1160" s="109" t="n"/>
      <c r="J1160" s="109" t="n"/>
      <c r="K1160" s="109" t="n"/>
      <c r="L1160" s="231">
        <f>IF($E1160="","",DATE(YEAR($E1160),MONTH($E1160),1))</f>
        <v/>
      </c>
      <c r="M1160" s="113">
        <f>IF($D1160="","",IF($C1160="TANIMSIZ MÜŞTERİ","HATA",IF(OR($E1160="",$F1160&lt;=0,$G1160=""),"EKSİK",IF($E1160&gt;TODAY(),"İLERİ TARİH","UYGUN"))))</f>
        <v/>
      </c>
      <c r="N1160" s="121">
        <f>IF($C1160="","",IF($C1160="TANIMSIZ MÜŞTERİ","—",INDEX(MUSTERILER!$C$7:$C$106,MATCH($C1160,MUSTERILER!$B$7:$B$106,0))))</f>
        <v/>
      </c>
      <c r="O1160" s="6" t="n"/>
      <c r="P1160" s="6" t="n"/>
      <c r="Q1160" s="3">
        <f>IF($D1160="","",$C1160&amp;"|"&amp;COUNTIFS($C$7:$C1160,$C1160))</f>
        <v/>
      </c>
    </row>
    <row r="1161">
      <c r="A1161" s="6" t="n"/>
      <c r="B1161" s="113">
        <f>IF($D1161="","","T"&amp;TEXT(ROW()-6,"00000"))</f>
        <v/>
      </c>
      <c r="C1161" s="113">
        <f>IF($D1161="","",IFERROR(INDEX(MUSTERILER!$B$7:$B$106,MATCH($D1161,MUSTERILER!$C$7:$C$106,0)),IFERROR(INDEX(MUSTERILER!$B$7:$B$106,MATCH($D1161,MUSTERILER!$B$7:$B$106,0)),IFERROR(INDEX(MUSTERILER!$B$7:$B$106,MATCH($D1161&amp;"*",MUSTERILER!$C$7:$C$106,0)),"TANIMSIZ MÜŞTERİ"))))</f>
        <v/>
      </c>
      <c r="D1161" s="109" t="n"/>
      <c r="E1161" s="225" t="n"/>
      <c r="F1161" s="226" t="n"/>
      <c r="G1161" s="108" t="n"/>
      <c r="H1161" s="108" t="n"/>
      <c r="I1161" s="109" t="n"/>
      <c r="J1161" s="109" t="n"/>
      <c r="K1161" s="109" t="n"/>
      <c r="L1161" s="231">
        <f>IF($E1161="","",DATE(YEAR($E1161),MONTH($E1161),1))</f>
        <v/>
      </c>
      <c r="M1161" s="113">
        <f>IF($D1161="","",IF($C1161="TANIMSIZ MÜŞTERİ","HATA",IF(OR($E1161="",$F1161&lt;=0,$G1161=""),"EKSİK",IF($E1161&gt;TODAY(),"İLERİ TARİH","UYGUN"))))</f>
        <v/>
      </c>
      <c r="N1161" s="121">
        <f>IF($C1161="","",IF($C1161="TANIMSIZ MÜŞTERİ","—",INDEX(MUSTERILER!$C$7:$C$106,MATCH($C1161,MUSTERILER!$B$7:$B$106,0))))</f>
        <v/>
      </c>
      <c r="O1161" s="6" t="n"/>
      <c r="P1161" s="6" t="n"/>
      <c r="Q1161" s="3">
        <f>IF($D1161="","",$C1161&amp;"|"&amp;COUNTIFS($C$7:$C1161,$C1161))</f>
        <v/>
      </c>
    </row>
    <row r="1162">
      <c r="A1162" s="6" t="n"/>
      <c r="B1162" s="113">
        <f>IF($D1162="","","T"&amp;TEXT(ROW()-6,"00000"))</f>
        <v/>
      </c>
      <c r="C1162" s="113">
        <f>IF($D1162="","",IFERROR(INDEX(MUSTERILER!$B$7:$B$106,MATCH($D1162,MUSTERILER!$C$7:$C$106,0)),IFERROR(INDEX(MUSTERILER!$B$7:$B$106,MATCH($D1162,MUSTERILER!$B$7:$B$106,0)),IFERROR(INDEX(MUSTERILER!$B$7:$B$106,MATCH($D1162&amp;"*",MUSTERILER!$C$7:$C$106,0)),"TANIMSIZ MÜŞTERİ"))))</f>
        <v/>
      </c>
      <c r="D1162" s="109" t="n"/>
      <c r="E1162" s="225" t="n"/>
      <c r="F1162" s="226" t="n"/>
      <c r="G1162" s="108" t="n"/>
      <c r="H1162" s="108" t="n"/>
      <c r="I1162" s="109" t="n"/>
      <c r="J1162" s="109" t="n"/>
      <c r="K1162" s="109" t="n"/>
      <c r="L1162" s="231">
        <f>IF($E1162="","",DATE(YEAR($E1162),MONTH($E1162),1))</f>
        <v/>
      </c>
      <c r="M1162" s="113">
        <f>IF($D1162="","",IF($C1162="TANIMSIZ MÜŞTERİ","HATA",IF(OR($E1162="",$F1162&lt;=0,$G1162=""),"EKSİK",IF($E1162&gt;TODAY(),"İLERİ TARİH","UYGUN"))))</f>
        <v/>
      </c>
      <c r="N1162" s="121">
        <f>IF($C1162="","",IF($C1162="TANIMSIZ MÜŞTERİ","—",INDEX(MUSTERILER!$C$7:$C$106,MATCH($C1162,MUSTERILER!$B$7:$B$106,0))))</f>
        <v/>
      </c>
      <c r="O1162" s="6" t="n"/>
      <c r="P1162" s="6" t="n"/>
      <c r="Q1162" s="3">
        <f>IF($D1162="","",$C1162&amp;"|"&amp;COUNTIFS($C$7:$C1162,$C1162))</f>
        <v/>
      </c>
    </row>
    <row r="1163">
      <c r="A1163" s="6" t="n"/>
      <c r="B1163" s="113">
        <f>IF($D1163="","","T"&amp;TEXT(ROW()-6,"00000"))</f>
        <v/>
      </c>
      <c r="C1163" s="113">
        <f>IF($D1163="","",IFERROR(INDEX(MUSTERILER!$B$7:$B$106,MATCH($D1163,MUSTERILER!$C$7:$C$106,0)),IFERROR(INDEX(MUSTERILER!$B$7:$B$106,MATCH($D1163,MUSTERILER!$B$7:$B$106,0)),IFERROR(INDEX(MUSTERILER!$B$7:$B$106,MATCH($D1163&amp;"*",MUSTERILER!$C$7:$C$106,0)),"TANIMSIZ MÜŞTERİ"))))</f>
        <v/>
      </c>
      <c r="D1163" s="109" t="n"/>
      <c r="E1163" s="225" t="n"/>
      <c r="F1163" s="226" t="n"/>
      <c r="G1163" s="108" t="n"/>
      <c r="H1163" s="108" t="n"/>
      <c r="I1163" s="109" t="n"/>
      <c r="J1163" s="109" t="n"/>
      <c r="K1163" s="109" t="n"/>
      <c r="L1163" s="231">
        <f>IF($E1163="","",DATE(YEAR($E1163),MONTH($E1163),1))</f>
        <v/>
      </c>
      <c r="M1163" s="113">
        <f>IF($D1163="","",IF($C1163="TANIMSIZ MÜŞTERİ","HATA",IF(OR($E1163="",$F1163&lt;=0,$G1163=""),"EKSİK",IF($E1163&gt;TODAY(),"İLERİ TARİH","UYGUN"))))</f>
        <v/>
      </c>
      <c r="N1163" s="121">
        <f>IF($C1163="","",IF($C1163="TANIMSIZ MÜŞTERİ","—",INDEX(MUSTERILER!$C$7:$C$106,MATCH($C1163,MUSTERILER!$B$7:$B$106,0))))</f>
        <v/>
      </c>
      <c r="O1163" s="6" t="n"/>
      <c r="P1163" s="6" t="n"/>
      <c r="Q1163" s="3">
        <f>IF($D1163="","",$C1163&amp;"|"&amp;COUNTIFS($C$7:$C1163,$C1163))</f>
        <v/>
      </c>
    </row>
    <row r="1164">
      <c r="A1164" s="6" t="n"/>
      <c r="B1164" s="113">
        <f>IF($D1164="","","T"&amp;TEXT(ROW()-6,"00000"))</f>
        <v/>
      </c>
      <c r="C1164" s="113">
        <f>IF($D1164="","",IFERROR(INDEX(MUSTERILER!$B$7:$B$106,MATCH($D1164,MUSTERILER!$C$7:$C$106,0)),IFERROR(INDEX(MUSTERILER!$B$7:$B$106,MATCH($D1164,MUSTERILER!$B$7:$B$106,0)),IFERROR(INDEX(MUSTERILER!$B$7:$B$106,MATCH($D1164&amp;"*",MUSTERILER!$C$7:$C$106,0)),"TANIMSIZ MÜŞTERİ"))))</f>
        <v/>
      </c>
      <c r="D1164" s="109" t="n"/>
      <c r="E1164" s="225" t="n"/>
      <c r="F1164" s="226" t="n"/>
      <c r="G1164" s="108" t="n"/>
      <c r="H1164" s="108" t="n"/>
      <c r="I1164" s="109" t="n"/>
      <c r="J1164" s="109" t="n"/>
      <c r="K1164" s="109" t="n"/>
      <c r="L1164" s="231">
        <f>IF($E1164="","",DATE(YEAR($E1164),MONTH($E1164),1))</f>
        <v/>
      </c>
      <c r="M1164" s="113">
        <f>IF($D1164="","",IF($C1164="TANIMSIZ MÜŞTERİ","HATA",IF(OR($E1164="",$F1164&lt;=0,$G1164=""),"EKSİK",IF($E1164&gt;TODAY(),"İLERİ TARİH","UYGUN"))))</f>
        <v/>
      </c>
      <c r="N1164" s="121">
        <f>IF($C1164="","",IF($C1164="TANIMSIZ MÜŞTERİ","—",INDEX(MUSTERILER!$C$7:$C$106,MATCH($C1164,MUSTERILER!$B$7:$B$106,0))))</f>
        <v/>
      </c>
      <c r="O1164" s="6" t="n"/>
      <c r="P1164" s="6" t="n"/>
      <c r="Q1164" s="3">
        <f>IF($D1164="","",$C1164&amp;"|"&amp;COUNTIFS($C$7:$C1164,$C1164))</f>
        <v/>
      </c>
    </row>
    <row r="1165">
      <c r="A1165" s="6" t="n"/>
      <c r="B1165" s="113">
        <f>IF($D1165="","","T"&amp;TEXT(ROW()-6,"00000"))</f>
        <v/>
      </c>
      <c r="C1165" s="113">
        <f>IF($D1165="","",IFERROR(INDEX(MUSTERILER!$B$7:$B$106,MATCH($D1165,MUSTERILER!$C$7:$C$106,0)),IFERROR(INDEX(MUSTERILER!$B$7:$B$106,MATCH($D1165,MUSTERILER!$B$7:$B$106,0)),IFERROR(INDEX(MUSTERILER!$B$7:$B$106,MATCH($D1165&amp;"*",MUSTERILER!$C$7:$C$106,0)),"TANIMSIZ MÜŞTERİ"))))</f>
        <v/>
      </c>
      <c r="D1165" s="109" t="n"/>
      <c r="E1165" s="225" t="n"/>
      <c r="F1165" s="226" t="n"/>
      <c r="G1165" s="108" t="n"/>
      <c r="H1165" s="108" t="n"/>
      <c r="I1165" s="109" t="n"/>
      <c r="J1165" s="109" t="n"/>
      <c r="K1165" s="109" t="n"/>
      <c r="L1165" s="231">
        <f>IF($E1165="","",DATE(YEAR($E1165),MONTH($E1165),1))</f>
        <v/>
      </c>
      <c r="M1165" s="113">
        <f>IF($D1165="","",IF($C1165="TANIMSIZ MÜŞTERİ","HATA",IF(OR($E1165="",$F1165&lt;=0,$G1165=""),"EKSİK",IF($E1165&gt;TODAY(),"İLERİ TARİH","UYGUN"))))</f>
        <v/>
      </c>
      <c r="N1165" s="121">
        <f>IF($C1165="","",IF($C1165="TANIMSIZ MÜŞTERİ","—",INDEX(MUSTERILER!$C$7:$C$106,MATCH($C1165,MUSTERILER!$B$7:$B$106,0))))</f>
        <v/>
      </c>
      <c r="O1165" s="6" t="n"/>
      <c r="P1165" s="6" t="n"/>
      <c r="Q1165" s="3">
        <f>IF($D1165="","",$C1165&amp;"|"&amp;COUNTIFS($C$7:$C1165,$C1165))</f>
        <v/>
      </c>
    </row>
    <row r="1166">
      <c r="A1166" s="6" t="n"/>
      <c r="B1166" s="113">
        <f>IF($D1166="","","T"&amp;TEXT(ROW()-6,"00000"))</f>
        <v/>
      </c>
      <c r="C1166" s="113">
        <f>IF($D1166="","",IFERROR(INDEX(MUSTERILER!$B$7:$B$106,MATCH($D1166,MUSTERILER!$C$7:$C$106,0)),IFERROR(INDEX(MUSTERILER!$B$7:$B$106,MATCH($D1166,MUSTERILER!$B$7:$B$106,0)),IFERROR(INDEX(MUSTERILER!$B$7:$B$106,MATCH($D1166&amp;"*",MUSTERILER!$C$7:$C$106,0)),"TANIMSIZ MÜŞTERİ"))))</f>
        <v/>
      </c>
      <c r="D1166" s="109" t="n"/>
      <c r="E1166" s="225" t="n"/>
      <c r="F1166" s="226" t="n"/>
      <c r="G1166" s="108" t="n"/>
      <c r="H1166" s="108" t="n"/>
      <c r="I1166" s="109" t="n"/>
      <c r="J1166" s="109" t="n"/>
      <c r="K1166" s="109" t="n"/>
      <c r="L1166" s="231">
        <f>IF($E1166="","",DATE(YEAR($E1166),MONTH($E1166),1))</f>
        <v/>
      </c>
      <c r="M1166" s="113">
        <f>IF($D1166="","",IF($C1166="TANIMSIZ MÜŞTERİ","HATA",IF(OR($E1166="",$F1166&lt;=0,$G1166=""),"EKSİK",IF($E1166&gt;TODAY(),"İLERİ TARİH","UYGUN"))))</f>
        <v/>
      </c>
      <c r="N1166" s="121">
        <f>IF($C1166="","",IF($C1166="TANIMSIZ MÜŞTERİ","—",INDEX(MUSTERILER!$C$7:$C$106,MATCH($C1166,MUSTERILER!$B$7:$B$106,0))))</f>
        <v/>
      </c>
      <c r="O1166" s="6" t="n"/>
      <c r="P1166" s="6" t="n"/>
      <c r="Q1166" s="3">
        <f>IF($D1166="","",$C1166&amp;"|"&amp;COUNTIFS($C$7:$C1166,$C1166))</f>
        <v/>
      </c>
    </row>
    <row r="1167">
      <c r="A1167" s="6" t="n"/>
      <c r="B1167" s="113">
        <f>IF($D1167="","","T"&amp;TEXT(ROW()-6,"00000"))</f>
        <v/>
      </c>
      <c r="C1167" s="113">
        <f>IF($D1167="","",IFERROR(INDEX(MUSTERILER!$B$7:$B$106,MATCH($D1167,MUSTERILER!$C$7:$C$106,0)),IFERROR(INDEX(MUSTERILER!$B$7:$B$106,MATCH($D1167,MUSTERILER!$B$7:$B$106,0)),IFERROR(INDEX(MUSTERILER!$B$7:$B$106,MATCH($D1167&amp;"*",MUSTERILER!$C$7:$C$106,0)),"TANIMSIZ MÜŞTERİ"))))</f>
        <v/>
      </c>
      <c r="D1167" s="109" t="n"/>
      <c r="E1167" s="225" t="n"/>
      <c r="F1167" s="226" t="n"/>
      <c r="G1167" s="108" t="n"/>
      <c r="H1167" s="108" t="n"/>
      <c r="I1167" s="109" t="n"/>
      <c r="J1167" s="109" t="n"/>
      <c r="K1167" s="109" t="n"/>
      <c r="L1167" s="231">
        <f>IF($E1167="","",DATE(YEAR($E1167),MONTH($E1167),1))</f>
        <v/>
      </c>
      <c r="M1167" s="113">
        <f>IF($D1167="","",IF($C1167="TANIMSIZ MÜŞTERİ","HATA",IF(OR($E1167="",$F1167&lt;=0,$G1167=""),"EKSİK",IF($E1167&gt;TODAY(),"İLERİ TARİH","UYGUN"))))</f>
        <v/>
      </c>
      <c r="N1167" s="121">
        <f>IF($C1167="","",IF($C1167="TANIMSIZ MÜŞTERİ","—",INDEX(MUSTERILER!$C$7:$C$106,MATCH($C1167,MUSTERILER!$B$7:$B$106,0))))</f>
        <v/>
      </c>
      <c r="O1167" s="6" t="n"/>
      <c r="P1167" s="6" t="n"/>
      <c r="Q1167" s="3">
        <f>IF($D1167="","",$C1167&amp;"|"&amp;COUNTIFS($C$7:$C1167,$C1167))</f>
        <v/>
      </c>
    </row>
    <row r="1168">
      <c r="A1168" s="6" t="n"/>
      <c r="B1168" s="113">
        <f>IF($D1168="","","T"&amp;TEXT(ROW()-6,"00000"))</f>
        <v/>
      </c>
      <c r="C1168" s="113">
        <f>IF($D1168="","",IFERROR(INDEX(MUSTERILER!$B$7:$B$106,MATCH($D1168,MUSTERILER!$C$7:$C$106,0)),IFERROR(INDEX(MUSTERILER!$B$7:$B$106,MATCH($D1168,MUSTERILER!$B$7:$B$106,0)),IFERROR(INDEX(MUSTERILER!$B$7:$B$106,MATCH($D1168&amp;"*",MUSTERILER!$C$7:$C$106,0)),"TANIMSIZ MÜŞTERİ"))))</f>
        <v/>
      </c>
      <c r="D1168" s="109" t="n"/>
      <c r="E1168" s="225" t="n"/>
      <c r="F1168" s="226" t="n"/>
      <c r="G1168" s="108" t="n"/>
      <c r="H1168" s="108" t="n"/>
      <c r="I1168" s="109" t="n"/>
      <c r="J1168" s="109" t="n"/>
      <c r="K1168" s="109" t="n"/>
      <c r="L1168" s="231">
        <f>IF($E1168="","",DATE(YEAR($E1168),MONTH($E1168),1))</f>
        <v/>
      </c>
      <c r="M1168" s="113">
        <f>IF($D1168="","",IF($C1168="TANIMSIZ MÜŞTERİ","HATA",IF(OR($E1168="",$F1168&lt;=0,$G1168=""),"EKSİK",IF($E1168&gt;TODAY(),"İLERİ TARİH","UYGUN"))))</f>
        <v/>
      </c>
      <c r="N1168" s="121">
        <f>IF($C1168="","",IF($C1168="TANIMSIZ MÜŞTERİ","—",INDEX(MUSTERILER!$C$7:$C$106,MATCH($C1168,MUSTERILER!$B$7:$B$106,0))))</f>
        <v/>
      </c>
      <c r="O1168" s="6" t="n"/>
      <c r="P1168" s="6" t="n"/>
      <c r="Q1168" s="3">
        <f>IF($D1168="","",$C1168&amp;"|"&amp;COUNTIFS($C$7:$C1168,$C1168))</f>
        <v/>
      </c>
    </row>
    <row r="1169">
      <c r="A1169" s="6" t="n"/>
      <c r="B1169" s="113">
        <f>IF($D1169="","","T"&amp;TEXT(ROW()-6,"00000"))</f>
        <v/>
      </c>
      <c r="C1169" s="113">
        <f>IF($D1169="","",IFERROR(INDEX(MUSTERILER!$B$7:$B$106,MATCH($D1169,MUSTERILER!$C$7:$C$106,0)),IFERROR(INDEX(MUSTERILER!$B$7:$B$106,MATCH($D1169,MUSTERILER!$B$7:$B$106,0)),IFERROR(INDEX(MUSTERILER!$B$7:$B$106,MATCH($D1169&amp;"*",MUSTERILER!$C$7:$C$106,0)),"TANIMSIZ MÜŞTERİ"))))</f>
        <v/>
      </c>
      <c r="D1169" s="109" t="n"/>
      <c r="E1169" s="225" t="n"/>
      <c r="F1169" s="226" t="n"/>
      <c r="G1169" s="108" t="n"/>
      <c r="H1169" s="108" t="n"/>
      <c r="I1169" s="109" t="n"/>
      <c r="J1169" s="109" t="n"/>
      <c r="K1169" s="109" t="n"/>
      <c r="L1169" s="231">
        <f>IF($E1169="","",DATE(YEAR($E1169),MONTH($E1169),1))</f>
        <v/>
      </c>
      <c r="M1169" s="113">
        <f>IF($D1169="","",IF($C1169="TANIMSIZ MÜŞTERİ","HATA",IF(OR($E1169="",$F1169&lt;=0,$G1169=""),"EKSİK",IF($E1169&gt;TODAY(),"İLERİ TARİH","UYGUN"))))</f>
        <v/>
      </c>
      <c r="N1169" s="121">
        <f>IF($C1169="","",IF($C1169="TANIMSIZ MÜŞTERİ","—",INDEX(MUSTERILER!$C$7:$C$106,MATCH($C1169,MUSTERILER!$B$7:$B$106,0))))</f>
        <v/>
      </c>
      <c r="O1169" s="6" t="n"/>
      <c r="P1169" s="6" t="n"/>
      <c r="Q1169" s="3">
        <f>IF($D1169="","",$C1169&amp;"|"&amp;COUNTIFS($C$7:$C1169,$C1169))</f>
        <v/>
      </c>
    </row>
    <row r="1170">
      <c r="A1170" s="6" t="n"/>
      <c r="B1170" s="113">
        <f>IF($D1170="","","T"&amp;TEXT(ROW()-6,"00000"))</f>
        <v/>
      </c>
      <c r="C1170" s="113">
        <f>IF($D1170="","",IFERROR(INDEX(MUSTERILER!$B$7:$B$106,MATCH($D1170,MUSTERILER!$C$7:$C$106,0)),IFERROR(INDEX(MUSTERILER!$B$7:$B$106,MATCH($D1170,MUSTERILER!$B$7:$B$106,0)),IFERROR(INDEX(MUSTERILER!$B$7:$B$106,MATCH($D1170&amp;"*",MUSTERILER!$C$7:$C$106,0)),"TANIMSIZ MÜŞTERİ"))))</f>
        <v/>
      </c>
      <c r="D1170" s="109" t="n"/>
      <c r="E1170" s="225" t="n"/>
      <c r="F1170" s="226" t="n"/>
      <c r="G1170" s="108" t="n"/>
      <c r="H1170" s="108" t="n"/>
      <c r="I1170" s="109" t="n"/>
      <c r="J1170" s="109" t="n"/>
      <c r="K1170" s="109" t="n"/>
      <c r="L1170" s="231">
        <f>IF($E1170="","",DATE(YEAR($E1170),MONTH($E1170),1))</f>
        <v/>
      </c>
      <c r="M1170" s="113">
        <f>IF($D1170="","",IF($C1170="TANIMSIZ MÜŞTERİ","HATA",IF(OR($E1170="",$F1170&lt;=0,$G1170=""),"EKSİK",IF($E1170&gt;TODAY(),"İLERİ TARİH","UYGUN"))))</f>
        <v/>
      </c>
      <c r="N1170" s="121">
        <f>IF($C1170="","",IF($C1170="TANIMSIZ MÜŞTERİ","—",INDEX(MUSTERILER!$C$7:$C$106,MATCH($C1170,MUSTERILER!$B$7:$B$106,0))))</f>
        <v/>
      </c>
      <c r="O1170" s="6" t="n"/>
      <c r="P1170" s="6" t="n"/>
      <c r="Q1170" s="3">
        <f>IF($D1170="","",$C1170&amp;"|"&amp;COUNTIFS($C$7:$C1170,$C1170))</f>
        <v/>
      </c>
    </row>
    <row r="1171">
      <c r="A1171" s="6" t="n"/>
      <c r="B1171" s="113">
        <f>IF($D1171="","","T"&amp;TEXT(ROW()-6,"00000"))</f>
        <v/>
      </c>
      <c r="C1171" s="113">
        <f>IF($D1171="","",IFERROR(INDEX(MUSTERILER!$B$7:$B$106,MATCH($D1171,MUSTERILER!$C$7:$C$106,0)),IFERROR(INDEX(MUSTERILER!$B$7:$B$106,MATCH($D1171,MUSTERILER!$B$7:$B$106,0)),IFERROR(INDEX(MUSTERILER!$B$7:$B$106,MATCH($D1171&amp;"*",MUSTERILER!$C$7:$C$106,0)),"TANIMSIZ MÜŞTERİ"))))</f>
        <v/>
      </c>
      <c r="D1171" s="109" t="n"/>
      <c r="E1171" s="225" t="n"/>
      <c r="F1171" s="226" t="n"/>
      <c r="G1171" s="108" t="n"/>
      <c r="H1171" s="108" t="n"/>
      <c r="I1171" s="109" t="n"/>
      <c r="J1171" s="109" t="n"/>
      <c r="K1171" s="109" t="n"/>
      <c r="L1171" s="231">
        <f>IF($E1171="","",DATE(YEAR($E1171),MONTH($E1171),1))</f>
        <v/>
      </c>
      <c r="M1171" s="113">
        <f>IF($D1171="","",IF($C1171="TANIMSIZ MÜŞTERİ","HATA",IF(OR($E1171="",$F1171&lt;=0,$G1171=""),"EKSİK",IF($E1171&gt;TODAY(),"İLERİ TARİH","UYGUN"))))</f>
        <v/>
      </c>
      <c r="N1171" s="121">
        <f>IF($C1171="","",IF($C1171="TANIMSIZ MÜŞTERİ","—",INDEX(MUSTERILER!$C$7:$C$106,MATCH($C1171,MUSTERILER!$B$7:$B$106,0))))</f>
        <v/>
      </c>
      <c r="O1171" s="6" t="n"/>
      <c r="P1171" s="6" t="n"/>
      <c r="Q1171" s="3">
        <f>IF($D1171="","",$C1171&amp;"|"&amp;COUNTIFS($C$7:$C1171,$C1171))</f>
        <v/>
      </c>
    </row>
    <row r="1172">
      <c r="A1172" s="6" t="n"/>
      <c r="B1172" s="113">
        <f>IF($D1172="","","T"&amp;TEXT(ROW()-6,"00000"))</f>
        <v/>
      </c>
      <c r="C1172" s="113">
        <f>IF($D1172="","",IFERROR(INDEX(MUSTERILER!$B$7:$B$106,MATCH($D1172,MUSTERILER!$C$7:$C$106,0)),IFERROR(INDEX(MUSTERILER!$B$7:$B$106,MATCH($D1172,MUSTERILER!$B$7:$B$106,0)),IFERROR(INDEX(MUSTERILER!$B$7:$B$106,MATCH($D1172&amp;"*",MUSTERILER!$C$7:$C$106,0)),"TANIMSIZ MÜŞTERİ"))))</f>
        <v/>
      </c>
      <c r="D1172" s="109" t="n"/>
      <c r="E1172" s="225" t="n"/>
      <c r="F1172" s="226" t="n"/>
      <c r="G1172" s="108" t="n"/>
      <c r="H1172" s="108" t="n"/>
      <c r="I1172" s="109" t="n"/>
      <c r="J1172" s="109" t="n"/>
      <c r="K1172" s="109" t="n"/>
      <c r="L1172" s="231">
        <f>IF($E1172="","",DATE(YEAR($E1172),MONTH($E1172),1))</f>
        <v/>
      </c>
      <c r="M1172" s="113">
        <f>IF($D1172="","",IF($C1172="TANIMSIZ MÜŞTERİ","HATA",IF(OR($E1172="",$F1172&lt;=0,$G1172=""),"EKSİK",IF($E1172&gt;TODAY(),"İLERİ TARİH","UYGUN"))))</f>
        <v/>
      </c>
      <c r="N1172" s="121">
        <f>IF($C1172="","",IF($C1172="TANIMSIZ MÜŞTERİ","—",INDEX(MUSTERILER!$C$7:$C$106,MATCH($C1172,MUSTERILER!$B$7:$B$106,0))))</f>
        <v/>
      </c>
      <c r="O1172" s="6" t="n"/>
      <c r="P1172" s="6" t="n"/>
      <c r="Q1172" s="3">
        <f>IF($D1172="","",$C1172&amp;"|"&amp;COUNTIFS($C$7:$C1172,$C1172))</f>
        <v/>
      </c>
    </row>
    <row r="1173">
      <c r="A1173" s="6" t="n"/>
      <c r="B1173" s="113">
        <f>IF($D1173="","","T"&amp;TEXT(ROW()-6,"00000"))</f>
        <v/>
      </c>
      <c r="C1173" s="113">
        <f>IF($D1173="","",IFERROR(INDEX(MUSTERILER!$B$7:$B$106,MATCH($D1173,MUSTERILER!$C$7:$C$106,0)),IFERROR(INDEX(MUSTERILER!$B$7:$B$106,MATCH($D1173,MUSTERILER!$B$7:$B$106,0)),IFERROR(INDEX(MUSTERILER!$B$7:$B$106,MATCH($D1173&amp;"*",MUSTERILER!$C$7:$C$106,0)),"TANIMSIZ MÜŞTERİ"))))</f>
        <v/>
      </c>
      <c r="D1173" s="109" t="n"/>
      <c r="E1173" s="225" t="n"/>
      <c r="F1173" s="226" t="n"/>
      <c r="G1173" s="108" t="n"/>
      <c r="H1173" s="108" t="n"/>
      <c r="I1173" s="109" t="n"/>
      <c r="J1173" s="109" t="n"/>
      <c r="K1173" s="109" t="n"/>
      <c r="L1173" s="231">
        <f>IF($E1173="","",DATE(YEAR($E1173),MONTH($E1173),1))</f>
        <v/>
      </c>
      <c r="M1173" s="113">
        <f>IF($D1173="","",IF($C1173="TANIMSIZ MÜŞTERİ","HATA",IF(OR($E1173="",$F1173&lt;=0,$G1173=""),"EKSİK",IF($E1173&gt;TODAY(),"İLERİ TARİH","UYGUN"))))</f>
        <v/>
      </c>
      <c r="N1173" s="121">
        <f>IF($C1173="","",IF($C1173="TANIMSIZ MÜŞTERİ","—",INDEX(MUSTERILER!$C$7:$C$106,MATCH($C1173,MUSTERILER!$B$7:$B$106,0))))</f>
        <v/>
      </c>
      <c r="O1173" s="6" t="n"/>
      <c r="P1173" s="6" t="n"/>
      <c r="Q1173" s="3">
        <f>IF($D1173="","",$C1173&amp;"|"&amp;COUNTIFS($C$7:$C1173,$C1173))</f>
        <v/>
      </c>
    </row>
    <row r="1174">
      <c r="A1174" s="6" t="n"/>
      <c r="B1174" s="113">
        <f>IF($D1174="","","T"&amp;TEXT(ROW()-6,"00000"))</f>
        <v/>
      </c>
      <c r="C1174" s="113">
        <f>IF($D1174="","",IFERROR(INDEX(MUSTERILER!$B$7:$B$106,MATCH($D1174,MUSTERILER!$C$7:$C$106,0)),IFERROR(INDEX(MUSTERILER!$B$7:$B$106,MATCH($D1174,MUSTERILER!$B$7:$B$106,0)),IFERROR(INDEX(MUSTERILER!$B$7:$B$106,MATCH($D1174&amp;"*",MUSTERILER!$C$7:$C$106,0)),"TANIMSIZ MÜŞTERİ"))))</f>
        <v/>
      </c>
      <c r="D1174" s="109" t="n"/>
      <c r="E1174" s="225" t="n"/>
      <c r="F1174" s="226" t="n"/>
      <c r="G1174" s="108" t="n"/>
      <c r="H1174" s="108" t="n"/>
      <c r="I1174" s="109" t="n"/>
      <c r="J1174" s="109" t="n"/>
      <c r="K1174" s="109" t="n"/>
      <c r="L1174" s="231">
        <f>IF($E1174="","",DATE(YEAR($E1174),MONTH($E1174),1))</f>
        <v/>
      </c>
      <c r="M1174" s="113">
        <f>IF($D1174="","",IF($C1174="TANIMSIZ MÜŞTERİ","HATA",IF(OR($E1174="",$F1174&lt;=0,$G1174=""),"EKSİK",IF($E1174&gt;TODAY(),"İLERİ TARİH","UYGUN"))))</f>
        <v/>
      </c>
      <c r="N1174" s="121">
        <f>IF($C1174="","",IF($C1174="TANIMSIZ MÜŞTERİ","—",INDEX(MUSTERILER!$C$7:$C$106,MATCH($C1174,MUSTERILER!$B$7:$B$106,0))))</f>
        <v/>
      </c>
      <c r="O1174" s="6" t="n"/>
      <c r="P1174" s="6" t="n"/>
      <c r="Q1174" s="3">
        <f>IF($D1174="","",$C1174&amp;"|"&amp;COUNTIFS($C$7:$C1174,$C1174))</f>
        <v/>
      </c>
    </row>
    <row r="1175">
      <c r="A1175" s="6" t="n"/>
      <c r="B1175" s="113">
        <f>IF($D1175="","","T"&amp;TEXT(ROW()-6,"00000"))</f>
        <v/>
      </c>
      <c r="C1175" s="113">
        <f>IF($D1175="","",IFERROR(INDEX(MUSTERILER!$B$7:$B$106,MATCH($D1175,MUSTERILER!$C$7:$C$106,0)),IFERROR(INDEX(MUSTERILER!$B$7:$B$106,MATCH($D1175,MUSTERILER!$B$7:$B$106,0)),IFERROR(INDEX(MUSTERILER!$B$7:$B$106,MATCH($D1175&amp;"*",MUSTERILER!$C$7:$C$106,0)),"TANIMSIZ MÜŞTERİ"))))</f>
        <v/>
      </c>
      <c r="D1175" s="109" t="n"/>
      <c r="E1175" s="225" t="n"/>
      <c r="F1175" s="226" t="n"/>
      <c r="G1175" s="108" t="n"/>
      <c r="H1175" s="108" t="n"/>
      <c r="I1175" s="109" t="n"/>
      <c r="J1175" s="109" t="n"/>
      <c r="K1175" s="109" t="n"/>
      <c r="L1175" s="231">
        <f>IF($E1175="","",DATE(YEAR($E1175),MONTH($E1175),1))</f>
        <v/>
      </c>
      <c r="M1175" s="113">
        <f>IF($D1175="","",IF($C1175="TANIMSIZ MÜŞTERİ","HATA",IF(OR($E1175="",$F1175&lt;=0,$G1175=""),"EKSİK",IF($E1175&gt;TODAY(),"İLERİ TARİH","UYGUN"))))</f>
        <v/>
      </c>
      <c r="N1175" s="121">
        <f>IF($C1175="","",IF($C1175="TANIMSIZ MÜŞTERİ","—",INDEX(MUSTERILER!$C$7:$C$106,MATCH($C1175,MUSTERILER!$B$7:$B$106,0))))</f>
        <v/>
      </c>
      <c r="O1175" s="6" t="n"/>
      <c r="P1175" s="6" t="n"/>
      <c r="Q1175" s="3">
        <f>IF($D1175="","",$C1175&amp;"|"&amp;COUNTIFS($C$7:$C1175,$C1175))</f>
        <v/>
      </c>
    </row>
    <row r="1176">
      <c r="A1176" s="6" t="n"/>
      <c r="B1176" s="113">
        <f>IF($D1176="","","T"&amp;TEXT(ROW()-6,"00000"))</f>
        <v/>
      </c>
      <c r="C1176" s="113">
        <f>IF($D1176="","",IFERROR(INDEX(MUSTERILER!$B$7:$B$106,MATCH($D1176,MUSTERILER!$C$7:$C$106,0)),IFERROR(INDEX(MUSTERILER!$B$7:$B$106,MATCH($D1176,MUSTERILER!$B$7:$B$106,0)),IFERROR(INDEX(MUSTERILER!$B$7:$B$106,MATCH($D1176&amp;"*",MUSTERILER!$C$7:$C$106,0)),"TANIMSIZ MÜŞTERİ"))))</f>
        <v/>
      </c>
      <c r="D1176" s="109" t="n"/>
      <c r="E1176" s="225" t="n"/>
      <c r="F1176" s="226" t="n"/>
      <c r="G1176" s="108" t="n"/>
      <c r="H1176" s="108" t="n"/>
      <c r="I1176" s="109" t="n"/>
      <c r="J1176" s="109" t="n"/>
      <c r="K1176" s="109" t="n"/>
      <c r="L1176" s="231">
        <f>IF($E1176="","",DATE(YEAR($E1176),MONTH($E1176),1))</f>
        <v/>
      </c>
      <c r="M1176" s="113">
        <f>IF($D1176="","",IF($C1176="TANIMSIZ MÜŞTERİ","HATA",IF(OR($E1176="",$F1176&lt;=0,$G1176=""),"EKSİK",IF($E1176&gt;TODAY(),"İLERİ TARİH","UYGUN"))))</f>
        <v/>
      </c>
      <c r="N1176" s="121">
        <f>IF($C1176="","",IF($C1176="TANIMSIZ MÜŞTERİ","—",INDEX(MUSTERILER!$C$7:$C$106,MATCH($C1176,MUSTERILER!$B$7:$B$106,0))))</f>
        <v/>
      </c>
      <c r="O1176" s="6" t="n"/>
      <c r="P1176" s="6" t="n"/>
      <c r="Q1176" s="3">
        <f>IF($D1176="","",$C1176&amp;"|"&amp;COUNTIFS($C$7:$C1176,$C1176))</f>
        <v/>
      </c>
    </row>
    <row r="1177">
      <c r="A1177" s="6" t="n"/>
      <c r="B1177" s="113">
        <f>IF($D1177="","","T"&amp;TEXT(ROW()-6,"00000"))</f>
        <v/>
      </c>
      <c r="C1177" s="113">
        <f>IF($D1177="","",IFERROR(INDEX(MUSTERILER!$B$7:$B$106,MATCH($D1177,MUSTERILER!$C$7:$C$106,0)),IFERROR(INDEX(MUSTERILER!$B$7:$B$106,MATCH($D1177,MUSTERILER!$B$7:$B$106,0)),IFERROR(INDEX(MUSTERILER!$B$7:$B$106,MATCH($D1177&amp;"*",MUSTERILER!$C$7:$C$106,0)),"TANIMSIZ MÜŞTERİ"))))</f>
        <v/>
      </c>
      <c r="D1177" s="109" t="n"/>
      <c r="E1177" s="225" t="n"/>
      <c r="F1177" s="226" t="n"/>
      <c r="G1177" s="108" t="n"/>
      <c r="H1177" s="108" t="n"/>
      <c r="I1177" s="109" t="n"/>
      <c r="J1177" s="109" t="n"/>
      <c r="K1177" s="109" t="n"/>
      <c r="L1177" s="231">
        <f>IF($E1177="","",DATE(YEAR($E1177),MONTH($E1177),1))</f>
        <v/>
      </c>
      <c r="M1177" s="113">
        <f>IF($D1177="","",IF($C1177="TANIMSIZ MÜŞTERİ","HATA",IF(OR($E1177="",$F1177&lt;=0,$G1177=""),"EKSİK",IF($E1177&gt;TODAY(),"İLERİ TARİH","UYGUN"))))</f>
        <v/>
      </c>
      <c r="N1177" s="121">
        <f>IF($C1177="","",IF($C1177="TANIMSIZ MÜŞTERİ","—",INDEX(MUSTERILER!$C$7:$C$106,MATCH($C1177,MUSTERILER!$B$7:$B$106,0))))</f>
        <v/>
      </c>
      <c r="O1177" s="6" t="n"/>
      <c r="P1177" s="6" t="n"/>
      <c r="Q1177" s="3">
        <f>IF($D1177="","",$C1177&amp;"|"&amp;COUNTIFS($C$7:$C1177,$C1177))</f>
        <v/>
      </c>
    </row>
    <row r="1178">
      <c r="A1178" s="6" t="n"/>
      <c r="B1178" s="113">
        <f>IF($D1178="","","T"&amp;TEXT(ROW()-6,"00000"))</f>
        <v/>
      </c>
      <c r="C1178" s="113">
        <f>IF($D1178="","",IFERROR(INDEX(MUSTERILER!$B$7:$B$106,MATCH($D1178,MUSTERILER!$C$7:$C$106,0)),IFERROR(INDEX(MUSTERILER!$B$7:$B$106,MATCH($D1178,MUSTERILER!$B$7:$B$106,0)),IFERROR(INDEX(MUSTERILER!$B$7:$B$106,MATCH($D1178&amp;"*",MUSTERILER!$C$7:$C$106,0)),"TANIMSIZ MÜŞTERİ"))))</f>
        <v/>
      </c>
      <c r="D1178" s="109" t="n"/>
      <c r="E1178" s="225" t="n"/>
      <c r="F1178" s="226" t="n"/>
      <c r="G1178" s="108" t="n"/>
      <c r="H1178" s="108" t="n"/>
      <c r="I1178" s="109" t="n"/>
      <c r="J1178" s="109" t="n"/>
      <c r="K1178" s="109" t="n"/>
      <c r="L1178" s="231">
        <f>IF($E1178="","",DATE(YEAR($E1178),MONTH($E1178),1))</f>
        <v/>
      </c>
      <c r="M1178" s="113">
        <f>IF($D1178="","",IF($C1178="TANIMSIZ MÜŞTERİ","HATA",IF(OR($E1178="",$F1178&lt;=0,$G1178=""),"EKSİK",IF($E1178&gt;TODAY(),"İLERİ TARİH","UYGUN"))))</f>
        <v/>
      </c>
      <c r="N1178" s="121">
        <f>IF($C1178="","",IF($C1178="TANIMSIZ MÜŞTERİ","—",INDEX(MUSTERILER!$C$7:$C$106,MATCH($C1178,MUSTERILER!$B$7:$B$106,0))))</f>
        <v/>
      </c>
      <c r="O1178" s="6" t="n"/>
      <c r="P1178" s="6" t="n"/>
      <c r="Q1178" s="3">
        <f>IF($D1178="","",$C1178&amp;"|"&amp;COUNTIFS($C$7:$C1178,$C1178))</f>
        <v/>
      </c>
    </row>
    <row r="1179">
      <c r="A1179" s="6" t="n"/>
      <c r="B1179" s="113">
        <f>IF($D1179="","","T"&amp;TEXT(ROW()-6,"00000"))</f>
        <v/>
      </c>
      <c r="C1179" s="113">
        <f>IF($D1179="","",IFERROR(INDEX(MUSTERILER!$B$7:$B$106,MATCH($D1179,MUSTERILER!$C$7:$C$106,0)),IFERROR(INDEX(MUSTERILER!$B$7:$B$106,MATCH($D1179,MUSTERILER!$B$7:$B$106,0)),IFERROR(INDEX(MUSTERILER!$B$7:$B$106,MATCH($D1179&amp;"*",MUSTERILER!$C$7:$C$106,0)),"TANIMSIZ MÜŞTERİ"))))</f>
        <v/>
      </c>
      <c r="D1179" s="109" t="n"/>
      <c r="E1179" s="225" t="n"/>
      <c r="F1179" s="226" t="n"/>
      <c r="G1179" s="108" t="n"/>
      <c r="H1179" s="108" t="n"/>
      <c r="I1179" s="109" t="n"/>
      <c r="J1179" s="109" t="n"/>
      <c r="K1179" s="109" t="n"/>
      <c r="L1179" s="231">
        <f>IF($E1179="","",DATE(YEAR($E1179),MONTH($E1179),1))</f>
        <v/>
      </c>
      <c r="M1179" s="113">
        <f>IF($D1179="","",IF($C1179="TANIMSIZ MÜŞTERİ","HATA",IF(OR($E1179="",$F1179&lt;=0,$G1179=""),"EKSİK",IF($E1179&gt;TODAY(),"İLERİ TARİH","UYGUN"))))</f>
        <v/>
      </c>
      <c r="N1179" s="121">
        <f>IF($C1179="","",IF($C1179="TANIMSIZ MÜŞTERİ","—",INDEX(MUSTERILER!$C$7:$C$106,MATCH($C1179,MUSTERILER!$B$7:$B$106,0))))</f>
        <v/>
      </c>
      <c r="O1179" s="6" t="n"/>
      <c r="P1179" s="6" t="n"/>
      <c r="Q1179" s="3">
        <f>IF($D1179="","",$C1179&amp;"|"&amp;COUNTIFS($C$7:$C1179,$C1179))</f>
        <v/>
      </c>
    </row>
    <row r="1180">
      <c r="A1180" s="6" t="n"/>
      <c r="B1180" s="113">
        <f>IF($D1180="","","T"&amp;TEXT(ROW()-6,"00000"))</f>
        <v/>
      </c>
      <c r="C1180" s="113">
        <f>IF($D1180="","",IFERROR(INDEX(MUSTERILER!$B$7:$B$106,MATCH($D1180,MUSTERILER!$C$7:$C$106,0)),IFERROR(INDEX(MUSTERILER!$B$7:$B$106,MATCH($D1180,MUSTERILER!$B$7:$B$106,0)),IFERROR(INDEX(MUSTERILER!$B$7:$B$106,MATCH($D1180&amp;"*",MUSTERILER!$C$7:$C$106,0)),"TANIMSIZ MÜŞTERİ"))))</f>
        <v/>
      </c>
      <c r="D1180" s="109" t="n"/>
      <c r="E1180" s="225" t="n"/>
      <c r="F1180" s="226" t="n"/>
      <c r="G1180" s="108" t="n"/>
      <c r="H1180" s="108" t="n"/>
      <c r="I1180" s="109" t="n"/>
      <c r="J1180" s="109" t="n"/>
      <c r="K1180" s="109" t="n"/>
      <c r="L1180" s="231">
        <f>IF($E1180="","",DATE(YEAR($E1180),MONTH($E1180),1))</f>
        <v/>
      </c>
      <c r="M1180" s="113">
        <f>IF($D1180="","",IF($C1180="TANIMSIZ MÜŞTERİ","HATA",IF(OR($E1180="",$F1180&lt;=0,$G1180=""),"EKSİK",IF($E1180&gt;TODAY(),"İLERİ TARİH","UYGUN"))))</f>
        <v/>
      </c>
      <c r="N1180" s="121">
        <f>IF($C1180="","",IF($C1180="TANIMSIZ MÜŞTERİ","—",INDEX(MUSTERILER!$C$7:$C$106,MATCH($C1180,MUSTERILER!$B$7:$B$106,0))))</f>
        <v/>
      </c>
      <c r="O1180" s="6" t="n"/>
      <c r="P1180" s="6" t="n"/>
      <c r="Q1180" s="3">
        <f>IF($D1180="","",$C1180&amp;"|"&amp;COUNTIFS($C$7:$C1180,$C1180))</f>
        <v/>
      </c>
    </row>
    <row r="1181">
      <c r="A1181" s="6" t="n"/>
      <c r="B1181" s="113">
        <f>IF($D1181="","","T"&amp;TEXT(ROW()-6,"00000"))</f>
        <v/>
      </c>
      <c r="C1181" s="113">
        <f>IF($D1181="","",IFERROR(INDEX(MUSTERILER!$B$7:$B$106,MATCH($D1181,MUSTERILER!$C$7:$C$106,0)),IFERROR(INDEX(MUSTERILER!$B$7:$B$106,MATCH($D1181,MUSTERILER!$B$7:$B$106,0)),IFERROR(INDEX(MUSTERILER!$B$7:$B$106,MATCH($D1181&amp;"*",MUSTERILER!$C$7:$C$106,0)),"TANIMSIZ MÜŞTERİ"))))</f>
        <v/>
      </c>
      <c r="D1181" s="109" t="n"/>
      <c r="E1181" s="225" t="n"/>
      <c r="F1181" s="226" t="n"/>
      <c r="G1181" s="108" t="n"/>
      <c r="H1181" s="108" t="n"/>
      <c r="I1181" s="109" t="n"/>
      <c r="J1181" s="109" t="n"/>
      <c r="K1181" s="109" t="n"/>
      <c r="L1181" s="231">
        <f>IF($E1181="","",DATE(YEAR($E1181),MONTH($E1181),1))</f>
        <v/>
      </c>
      <c r="M1181" s="113">
        <f>IF($D1181="","",IF($C1181="TANIMSIZ MÜŞTERİ","HATA",IF(OR($E1181="",$F1181&lt;=0,$G1181=""),"EKSİK",IF($E1181&gt;TODAY(),"İLERİ TARİH","UYGUN"))))</f>
        <v/>
      </c>
      <c r="N1181" s="121">
        <f>IF($C1181="","",IF($C1181="TANIMSIZ MÜŞTERİ","—",INDEX(MUSTERILER!$C$7:$C$106,MATCH($C1181,MUSTERILER!$B$7:$B$106,0))))</f>
        <v/>
      </c>
      <c r="O1181" s="6" t="n"/>
      <c r="P1181" s="6" t="n"/>
      <c r="Q1181" s="3">
        <f>IF($D1181="","",$C1181&amp;"|"&amp;COUNTIFS($C$7:$C1181,$C1181))</f>
        <v/>
      </c>
    </row>
    <row r="1182">
      <c r="A1182" s="6" t="n"/>
      <c r="B1182" s="113">
        <f>IF($D1182="","","T"&amp;TEXT(ROW()-6,"00000"))</f>
        <v/>
      </c>
      <c r="C1182" s="113">
        <f>IF($D1182="","",IFERROR(INDEX(MUSTERILER!$B$7:$B$106,MATCH($D1182,MUSTERILER!$C$7:$C$106,0)),IFERROR(INDEX(MUSTERILER!$B$7:$B$106,MATCH($D1182,MUSTERILER!$B$7:$B$106,0)),IFERROR(INDEX(MUSTERILER!$B$7:$B$106,MATCH($D1182&amp;"*",MUSTERILER!$C$7:$C$106,0)),"TANIMSIZ MÜŞTERİ"))))</f>
        <v/>
      </c>
      <c r="D1182" s="109" t="n"/>
      <c r="E1182" s="225" t="n"/>
      <c r="F1182" s="226" t="n"/>
      <c r="G1182" s="108" t="n"/>
      <c r="H1182" s="108" t="n"/>
      <c r="I1182" s="109" t="n"/>
      <c r="J1182" s="109" t="n"/>
      <c r="K1182" s="109" t="n"/>
      <c r="L1182" s="231">
        <f>IF($E1182="","",DATE(YEAR($E1182),MONTH($E1182),1))</f>
        <v/>
      </c>
      <c r="M1182" s="113">
        <f>IF($D1182="","",IF($C1182="TANIMSIZ MÜŞTERİ","HATA",IF(OR($E1182="",$F1182&lt;=0,$G1182=""),"EKSİK",IF($E1182&gt;TODAY(),"İLERİ TARİH","UYGUN"))))</f>
        <v/>
      </c>
      <c r="N1182" s="121">
        <f>IF($C1182="","",IF($C1182="TANIMSIZ MÜŞTERİ","—",INDEX(MUSTERILER!$C$7:$C$106,MATCH($C1182,MUSTERILER!$B$7:$B$106,0))))</f>
        <v/>
      </c>
      <c r="O1182" s="6" t="n"/>
      <c r="P1182" s="6" t="n"/>
      <c r="Q1182" s="3">
        <f>IF($D1182="","",$C1182&amp;"|"&amp;COUNTIFS($C$7:$C1182,$C1182))</f>
        <v/>
      </c>
    </row>
    <row r="1183">
      <c r="A1183" s="6" t="n"/>
      <c r="B1183" s="113">
        <f>IF($D1183="","","T"&amp;TEXT(ROW()-6,"00000"))</f>
        <v/>
      </c>
      <c r="C1183" s="113">
        <f>IF($D1183="","",IFERROR(INDEX(MUSTERILER!$B$7:$B$106,MATCH($D1183,MUSTERILER!$C$7:$C$106,0)),IFERROR(INDEX(MUSTERILER!$B$7:$B$106,MATCH($D1183,MUSTERILER!$B$7:$B$106,0)),IFERROR(INDEX(MUSTERILER!$B$7:$B$106,MATCH($D1183&amp;"*",MUSTERILER!$C$7:$C$106,0)),"TANIMSIZ MÜŞTERİ"))))</f>
        <v/>
      </c>
      <c r="D1183" s="109" t="n"/>
      <c r="E1183" s="225" t="n"/>
      <c r="F1183" s="226" t="n"/>
      <c r="G1183" s="108" t="n"/>
      <c r="H1183" s="108" t="n"/>
      <c r="I1183" s="109" t="n"/>
      <c r="J1183" s="109" t="n"/>
      <c r="K1183" s="109" t="n"/>
      <c r="L1183" s="231">
        <f>IF($E1183="","",DATE(YEAR($E1183),MONTH($E1183),1))</f>
        <v/>
      </c>
      <c r="M1183" s="113">
        <f>IF($D1183="","",IF($C1183="TANIMSIZ MÜŞTERİ","HATA",IF(OR($E1183="",$F1183&lt;=0,$G1183=""),"EKSİK",IF($E1183&gt;TODAY(),"İLERİ TARİH","UYGUN"))))</f>
        <v/>
      </c>
      <c r="N1183" s="121">
        <f>IF($C1183="","",IF($C1183="TANIMSIZ MÜŞTERİ","—",INDEX(MUSTERILER!$C$7:$C$106,MATCH($C1183,MUSTERILER!$B$7:$B$106,0))))</f>
        <v/>
      </c>
      <c r="O1183" s="6" t="n"/>
      <c r="P1183" s="6" t="n"/>
      <c r="Q1183" s="3">
        <f>IF($D1183="","",$C1183&amp;"|"&amp;COUNTIFS($C$7:$C1183,$C1183))</f>
        <v/>
      </c>
    </row>
    <row r="1184">
      <c r="A1184" s="6" t="n"/>
      <c r="B1184" s="113">
        <f>IF($D1184="","","T"&amp;TEXT(ROW()-6,"00000"))</f>
        <v/>
      </c>
      <c r="C1184" s="113">
        <f>IF($D1184="","",IFERROR(INDEX(MUSTERILER!$B$7:$B$106,MATCH($D1184,MUSTERILER!$C$7:$C$106,0)),IFERROR(INDEX(MUSTERILER!$B$7:$B$106,MATCH($D1184,MUSTERILER!$B$7:$B$106,0)),IFERROR(INDEX(MUSTERILER!$B$7:$B$106,MATCH($D1184&amp;"*",MUSTERILER!$C$7:$C$106,0)),"TANIMSIZ MÜŞTERİ"))))</f>
        <v/>
      </c>
      <c r="D1184" s="109" t="n"/>
      <c r="E1184" s="225" t="n"/>
      <c r="F1184" s="226" t="n"/>
      <c r="G1184" s="108" t="n"/>
      <c r="H1184" s="108" t="n"/>
      <c r="I1184" s="109" t="n"/>
      <c r="J1184" s="109" t="n"/>
      <c r="K1184" s="109" t="n"/>
      <c r="L1184" s="231">
        <f>IF($E1184="","",DATE(YEAR($E1184),MONTH($E1184),1))</f>
        <v/>
      </c>
      <c r="M1184" s="113">
        <f>IF($D1184="","",IF($C1184="TANIMSIZ MÜŞTERİ","HATA",IF(OR($E1184="",$F1184&lt;=0,$G1184=""),"EKSİK",IF($E1184&gt;TODAY(),"İLERİ TARİH","UYGUN"))))</f>
        <v/>
      </c>
      <c r="N1184" s="121">
        <f>IF($C1184="","",IF($C1184="TANIMSIZ MÜŞTERİ","—",INDEX(MUSTERILER!$C$7:$C$106,MATCH($C1184,MUSTERILER!$B$7:$B$106,0))))</f>
        <v/>
      </c>
      <c r="O1184" s="6" t="n"/>
      <c r="P1184" s="6" t="n"/>
      <c r="Q1184" s="3">
        <f>IF($D1184="","",$C1184&amp;"|"&amp;COUNTIFS($C$7:$C1184,$C1184))</f>
        <v/>
      </c>
    </row>
    <row r="1185">
      <c r="A1185" s="6" t="n"/>
      <c r="B1185" s="113">
        <f>IF($D1185="","","T"&amp;TEXT(ROW()-6,"00000"))</f>
        <v/>
      </c>
      <c r="C1185" s="113">
        <f>IF($D1185="","",IFERROR(INDEX(MUSTERILER!$B$7:$B$106,MATCH($D1185,MUSTERILER!$C$7:$C$106,0)),IFERROR(INDEX(MUSTERILER!$B$7:$B$106,MATCH($D1185,MUSTERILER!$B$7:$B$106,0)),IFERROR(INDEX(MUSTERILER!$B$7:$B$106,MATCH($D1185&amp;"*",MUSTERILER!$C$7:$C$106,0)),"TANIMSIZ MÜŞTERİ"))))</f>
        <v/>
      </c>
      <c r="D1185" s="109" t="n"/>
      <c r="E1185" s="225" t="n"/>
      <c r="F1185" s="226" t="n"/>
      <c r="G1185" s="108" t="n"/>
      <c r="H1185" s="108" t="n"/>
      <c r="I1185" s="109" t="n"/>
      <c r="J1185" s="109" t="n"/>
      <c r="K1185" s="109" t="n"/>
      <c r="L1185" s="231">
        <f>IF($E1185="","",DATE(YEAR($E1185),MONTH($E1185),1))</f>
        <v/>
      </c>
      <c r="M1185" s="113">
        <f>IF($D1185="","",IF($C1185="TANIMSIZ MÜŞTERİ","HATA",IF(OR($E1185="",$F1185&lt;=0,$G1185=""),"EKSİK",IF($E1185&gt;TODAY(),"İLERİ TARİH","UYGUN"))))</f>
        <v/>
      </c>
      <c r="N1185" s="121">
        <f>IF($C1185="","",IF($C1185="TANIMSIZ MÜŞTERİ","—",INDEX(MUSTERILER!$C$7:$C$106,MATCH($C1185,MUSTERILER!$B$7:$B$106,0))))</f>
        <v/>
      </c>
      <c r="O1185" s="6" t="n"/>
      <c r="P1185" s="6" t="n"/>
      <c r="Q1185" s="3">
        <f>IF($D1185="","",$C1185&amp;"|"&amp;COUNTIFS($C$7:$C1185,$C1185))</f>
        <v/>
      </c>
    </row>
    <row r="1186">
      <c r="A1186" s="6" t="n"/>
      <c r="B1186" s="113">
        <f>IF($D1186="","","T"&amp;TEXT(ROW()-6,"00000"))</f>
        <v/>
      </c>
      <c r="C1186" s="113">
        <f>IF($D1186="","",IFERROR(INDEX(MUSTERILER!$B$7:$B$106,MATCH($D1186,MUSTERILER!$C$7:$C$106,0)),IFERROR(INDEX(MUSTERILER!$B$7:$B$106,MATCH($D1186,MUSTERILER!$B$7:$B$106,0)),IFERROR(INDEX(MUSTERILER!$B$7:$B$106,MATCH($D1186&amp;"*",MUSTERILER!$C$7:$C$106,0)),"TANIMSIZ MÜŞTERİ"))))</f>
        <v/>
      </c>
      <c r="D1186" s="109" t="n"/>
      <c r="E1186" s="225" t="n"/>
      <c r="F1186" s="226" t="n"/>
      <c r="G1186" s="108" t="n"/>
      <c r="H1186" s="108" t="n"/>
      <c r="I1186" s="109" t="n"/>
      <c r="J1186" s="109" t="n"/>
      <c r="K1186" s="109" t="n"/>
      <c r="L1186" s="231">
        <f>IF($E1186="","",DATE(YEAR($E1186),MONTH($E1186),1))</f>
        <v/>
      </c>
      <c r="M1186" s="113">
        <f>IF($D1186="","",IF($C1186="TANIMSIZ MÜŞTERİ","HATA",IF(OR($E1186="",$F1186&lt;=0,$G1186=""),"EKSİK",IF($E1186&gt;TODAY(),"İLERİ TARİH","UYGUN"))))</f>
        <v/>
      </c>
      <c r="N1186" s="121">
        <f>IF($C1186="","",IF($C1186="TANIMSIZ MÜŞTERİ","—",INDEX(MUSTERILER!$C$7:$C$106,MATCH($C1186,MUSTERILER!$B$7:$B$106,0))))</f>
        <v/>
      </c>
      <c r="O1186" s="6" t="n"/>
      <c r="P1186" s="6" t="n"/>
      <c r="Q1186" s="3">
        <f>IF($D1186="","",$C1186&amp;"|"&amp;COUNTIFS($C$7:$C1186,$C1186))</f>
        <v/>
      </c>
    </row>
    <row r="1187">
      <c r="A1187" s="6" t="n"/>
      <c r="B1187" s="113">
        <f>IF($D1187="","","T"&amp;TEXT(ROW()-6,"00000"))</f>
        <v/>
      </c>
      <c r="C1187" s="113">
        <f>IF($D1187="","",IFERROR(INDEX(MUSTERILER!$B$7:$B$106,MATCH($D1187,MUSTERILER!$C$7:$C$106,0)),IFERROR(INDEX(MUSTERILER!$B$7:$B$106,MATCH($D1187,MUSTERILER!$B$7:$B$106,0)),IFERROR(INDEX(MUSTERILER!$B$7:$B$106,MATCH($D1187&amp;"*",MUSTERILER!$C$7:$C$106,0)),"TANIMSIZ MÜŞTERİ"))))</f>
        <v/>
      </c>
      <c r="D1187" s="109" t="n"/>
      <c r="E1187" s="225" t="n"/>
      <c r="F1187" s="226" t="n"/>
      <c r="G1187" s="108" t="n"/>
      <c r="H1187" s="108" t="n"/>
      <c r="I1187" s="109" t="n"/>
      <c r="J1187" s="109" t="n"/>
      <c r="K1187" s="109" t="n"/>
      <c r="L1187" s="231">
        <f>IF($E1187="","",DATE(YEAR($E1187),MONTH($E1187),1))</f>
        <v/>
      </c>
      <c r="M1187" s="113">
        <f>IF($D1187="","",IF($C1187="TANIMSIZ MÜŞTERİ","HATA",IF(OR($E1187="",$F1187&lt;=0,$G1187=""),"EKSİK",IF($E1187&gt;TODAY(),"İLERİ TARİH","UYGUN"))))</f>
        <v/>
      </c>
      <c r="N1187" s="121">
        <f>IF($C1187="","",IF($C1187="TANIMSIZ MÜŞTERİ","—",INDEX(MUSTERILER!$C$7:$C$106,MATCH($C1187,MUSTERILER!$B$7:$B$106,0))))</f>
        <v/>
      </c>
      <c r="O1187" s="6" t="n"/>
      <c r="P1187" s="6" t="n"/>
      <c r="Q1187" s="3">
        <f>IF($D1187="","",$C1187&amp;"|"&amp;COUNTIFS($C$7:$C1187,$C1187))</f>
        <v/>
      </c>
    </row>
    <row r="1188">
      <c r="A1188" s="6" t="n"/>
      <c r="B1188" s="113">
        <f>IF($D1188="","","T"&amp;TEXT(ROW()-6,"00000"))</f>
        <v/>
      </c>
      <c r="C1188" s="113">
        <f>IF($D1188="","",IFERROR(INDEX(MUSTERILER!$B$7:$B$106,MATCH($D1188,MUSTERILER!$C$7:$C$106,0)),IFERROR(INDEX(MUSTERILER!$B$7:$B$106,MATCH($D1188,MUSTERILER!$B$7:$B$106,0)),IFERROR(INDEX(MUSTERILER!$B$7:$B$106,MATCH($D1188&amp;"*",MUSTERILER!$C$7:$C$106,0)),"TANIMSIZ MÜŞTERİ"))))</f>
        <v/>
      </c>
      <c r="D1188" s="109" t="n"/>
      <c r="E1188" s="225" t="n"/>
      <c r="F1188" s="226" t="n"/>
      <c r="G1188" s="108" t="n"/>
      <c r="H1188" s="108" t="n"/>
      <c r="I1188" s="109" t="n"/>
      <c r="J1188" s="109" t="n"/>
      <c r="K1188" s="109" t="n"/>
      <c r="L1188" s="231">
        <f>IF($E1188="","",DATE(YEAR($E1188),MONTH($E1188),1))</f>
        <v/>
      </c>
      <c r="M1188" s="113">
        <f>IF($D1188="","",IF($C1188="TANIMSIZ MÜŞTERİ","HATA",IF(OR($E1188="",$F1188&lt;=0,$G1188=""),"EKSİK",IF($E1188&gt;TODAY(),"İLERİ TARİH","UYGUN"))))</f>
        <v/>
      </c>
      <c r="N1188" s="121">
        <f>IF($C1188="","",IF($C1188="TANIMSIZ MÜŞTERİ","—",INDEX(MUSTERILER!$C$7:$C$106,MATCH($C1188,MUSTERILER!$B$7:$B$106,0))))</f>
        <v/>
      </c>
      <c r="O1188" s="6" t="n"/>
      <c r="P1188" s="6" t="n"/>
      <c r="Q1188" s="3">
        <f>IF($D1188="","",$C1188&amp;"|"&amp;COUNTIFS($C$7:$C1188,$C1188))</f>
        <v/>
      </c>
    </row>
    <row r="1189">
      <c r="A1189" s="6" t="n"/>
      <c r="B1189" s="113">
        <f>IF($D1189="","","T"&amp;TEXT(ROW()-6,"00000"))</f>
        <v/>
      </c>
      <c r="C1189" s="113">
        <f>IF($D1189="","",IFERROR(INDEX(MUSTERILER!$B$7:$B$106,MATCH($D1189,MUSTERILER!$C$7:$C$106,0)),IFERROR(INDEX(MUSTERILER!$B$7:$B$106,MATCH($D1189,MUSTERILER!$B$7:$B$106,0)),IFERROR(INDEX(MUSTERILER!$B$7:$B$106,MATCH($D1189&amp;"*",MUSTERILER!$C$7:$C$106,0)),"TANIMSIZ MÜŞTERİ"))))</f>
        <v/>
      </c>
      <c r="D1189" s="109" t="n"/>
      <c r="E1189" s="225" t="n"/>
      <c r="F1189" s="226" t="n"/>
      <c r="G1189" s="108" t="n"/>
      <c r="H1189" s="108" t="n"/>
      <c r="I1189" s="109" t="n"/>
      <c r="J1189" s="109" t="n"/>
      <c r="K1189" s="109" t="n"/>
      <c r="L1189" s="231">
        <f>IF($E1189="","",DATE(YEAR($E1189),MONTH($E1189),1))</f>
        <v/>
      </c>
      <c r="M1189" s="113">
        <f>IF($D1189="","",IF($C1189="TANIMSIZ MÜŞTERİ","HATA",IF(OR($E1189="",$F1189&lt;=0,$G1189=""),"EKSİK",IF($E1189&gt;TODAY(),"İLERİ TARİH","UYGUN"))))</f>
        <v/>
      </c>
      <c r="N1189" s="121">
        <f>IF($C1189="","",IF($C1189="TANIMSIZ MÜŞTERİ","—",INDEX(MUSTERILER!$C$7:$C$106,MATCH($C1189,MUSTERILER!$B$7:$B$106,0))))</f>
        <v/>
      </c>
      <c r="O1189" s="6" t="n"/>
      <c r="P1189" s="6" t="n"/>
      <c r="Q1189" s="3">
        <f>IF($D1189="","",$C1189&amp;"|"&amp;COUNTIFS($C$7:$C1189,$C1189))</f>
        <v/>
      </c>
    </row>
    <row r="1190">
      <c r="A1190" s="6" t="n"/>
      <c r="B1190" s="113">
        <f>IF($D1190="","","T"&amp;TEXT(ROW()-6,"00000"))</f>
        <v/>
      </c>
      <c r="C1190" s="113">
        <f>IF($D1190="","",IFERROR(INDEX(MUSTERILER!$B$7:$B$106,MATCH($D1190,MUSTERILER!$C$7:$C$106,0)),IFERROR(INDEX(MUSTERILER!$B$7:$B$106,MATCH($D1190,MUSTERILER!$B$7:$B$106,0)),IFERROR(INDEX(MUSTERILER!$B$7:$B$106,MATCH($D1190&amp;"*",MUSTERILER!$C$7:$C$106,0)),"TANIMSIZ MÜŞTERİ"))))</f>
        <v/>
      </c>
      <c r="D1190" s="109" t="n"/>
      <c r="E1190" s="225" t="n"/>
      <c r="F1190" s="226" t="n"/>
      <c r="G1190" s="108" t="n"/>
      <c r="H1190" s="108" t="n"/>
      <c r="I1190" s="109" t="n"/>
      <c r="J1190" s="109" t="n"/>
      <c r="K1190" s="109" t="n"/>
      <c r="L1190" s="231">
        <f>IF($E1190="","",DATE(YEAR($E1190),MONTH($E1190),1))</f>
        <v/>
      </c>
      <c r="M1190" s="113">
        <f>IF($D1190="","",IF($C1190="TANIMSIZ MÜŞTERİ","HATA",IF(OR($E1190="",$F1190&lt;=0,$G1190=""),"EKSİK",IF($E1190&gt;TODAY(),"İLERİ TARİH","UYGUN"))))</f>
        <v/>
      </c>
      <c r="N1190" s="121">
        <f>IF($C1190="","",IF($C1190="TANIMSIZ MÜŞTERİ","—",INDEX(MUSTERILER!$C$7:$C$106,MATCH($C1190,MUSTERILER!$B$7:$B$106,0))))</f>
        <v/>
      </c>
      <c r="O1190" s="6" t="n"/>
      <c r="P1190" s="6" t="n"/>
      <c r="Q1190" s="3">
        <f>IF($D1190="","",$C1190&amp;"|"&amp;COUNTIFS($C$7:$C1190,$C1190))</f>
        <v/>
      </c>
    </row>
    <row r="1191">
      <c r="A1191" s="6" t="n"/>
      <c r="B1191" s="113">
        <f>IF($D1191="","","T"&amp;TEXT(ROW()-6,"00000"))</f>
        <v/>
      </c>
      <c r="C1191" s="113">
        <f>IF($D1191="","",IFERROR(INDEX(MUSTERILER!$B$7:$B$106,MATCH($D1191,MUSTERILER!$C$7:$C$106,0)),IFERROR(INDEX(MUSTERILER!$B$7:$B$106,MATCH($D1191,MUSTERILER!$B$7:$B$106,0)),IFERROR(INDEX(MUSTERILER!$B$7:$B$106,MATCH($D1191&amp;"*",MUSTERILER!$C$7:$C$106,0)),"TANIMSIZ MÜŞTERİ"))))</f>
        <v/>
      </c>
      <c r="D1191" s="109" t="n"/>
      <c r="E1191" s="225" t="n"/>
      <c r="F1191" s="226" t="n"/>
      <c r="G1191" s="108" t="n"/>
      <c r="H1191" s="108" t="n"/>
      <c r="I1191" s="109" t="n"/>
      <c r="J1191" s="109" t="n"/>
      <c r="K1191" s="109" t="n"/>
      <c r="L1191" s="231">
        <f>IF($E1191="","",DATE(YEAR($E1191),MONTH($E1191),1))</f>
        <v/>
      </c>
      <c r="M1191" s="113">
        <f>IF($D1191="","",IF($C1191="TANIMSIZ MÜŞTERİ","HATA",IF(OR($E1191="",$F1191&lt;=0,$G1191=""),"EKSİK",IF($E1191&gt;TODAY(),"İLERİ TARİH","UYGUN"))))</f>
        <v/>
      </c>
      <c r="N1191" s="121">
        <f>IF($C1191="","",IF($C1191="TANIMSIZ MÜŞTERİ","—",INDEX(MUSTERILER!$C$7:$C$106,MATCH($C1191,MUSTERILER!$B$7:$B$106,0))))</f>
        <v/>
      </c>
      <c r="O1191" s="6" t="n"/>
      <c r="P1191" s="6" t="n"/>
      <c r="Q1191" s="3">
        <f>IF($D1191="","",$C1191&amp;"|"&amp;COUNTIFS($C$7:$C1191,$C1191))</f>
        <v/>
      </c>
    </row>
    <row r="1192">
      <c r="A1192" s="6" t="n"/>
      <c r="B1192" s="113">
        <f>IF($D1192="","","T"&amp;TEXT(ROW()-6,"00000"))</f>
        <v/>
      </c>
      <c r="C1192" s="113">
        <f>IF($D1192="","",IFERROR(INDEX(MUSTERILER!$B$7:$B$106,MATCH($D1192,MUSTERILER!$C$7:$C$106,0)),IFERROR(INDEX(MUSTERILER!$B$7:$B$106,MATCH($D1192,MUSTERILER!$B$7:$B$106,0)),IFERROR(INDEX(MUSTERILER!$B$7:$B$106,MATCH($D1192&amp;"*",MUSTERILER!$C$7:$C$106,0)),"TANIMSIZ MÜŞTERİ"))))</f>
        <v/>
      </c>
      <c r="D1192" s="109" t="n"/>
      <c r="E1192" s="225" t="n"/>
      <c r="F1192" s="226" t="n"/>
      <c r="G1192" s="108" t="n"/>
      <c r="H1192" s="108" t="n"/>
      <c r="I1192" s="109" t="n"/>
      <c r="J1192" s="109" t="n"/>
      <c r="K1192" s="109" t="n"/>
      <c r="L1192" s="231">
        <f>IF($E1192="","",DATE(YEAR($E1192),MONTH($E1192),1))</f>
        <v/>
      </c>
      <c r="M1192" s="113">
        <f>IF($D1192="","",IF($C1192="TANIMSIZ MÜŞTERİ","HATA",IF(OR($E1192="",$F1192&lt;=0,$G1192=""),"EKSİK",IF($E1192&gt;TODAY(),"İLERİ TARİH","UYGUN"))))</f>
        <v/>
      </c>
      <c r="N1192" s="121">
        <f>IF($C1192="","",IF($C1192="TANIMSIZ MÜŞTERİ","—",INDEX(MUSTERILER!$C$7:$C$106,MATCH($C1192,MUSTERILER!$B$7:$B$106,0))))</f>
        <v/>
      </c>
      <c r="O1192" s="6" t="n"/>
      <c r="P1192" s="6" t="n"/>
      <c r="Q1192" s="3">
        <f>IF($D1192="","",$C1192&amp;"|"&amp;COUNTIFS($C$7:$C1192,$C1192))</f>
        <v/>
      </c>
    </row>
    <row r="1193">
      <c r="A1193" s="6" t="n"/>
      <c r="B1193" s="113">
        <f>IF($D1193="","","T"&amp;TEXT(ROW()-6,"00000"))</f>
        <v/>
      </c>
      <c r="C1193" s="113">
        <f>IF($D1193="","",IFERROR(INDEX(MUSTERILER!$B$7:$B$106,MATCH($D1193,MUSTERILER!$C$7:$C$106,0)),IFERROR(INDEX(MUSTERILER!$B$7:$B$106,MATCH($D1193,MUSTERILER!$B$7:$B$106,0)),IFERROR(INDEX(MUSTERILER!$B$7:$B$106,MATCH($D1193&amp;"*",MUSTERILER!$C$7:$C$106,0)),"TANIMSIZ MÜŞTERİ"))))</f>
        <v/>
      </c>
      <c r="D1193" s="109" t="n"/>
      <c r="E1193" s="225" t="n"/>
      <c r="F1193" s="226" t="n"/>
      <c r="G1193" s="108" t="n"/>
      <c r="H1193" s="108" t="n"/>
      <c r="I1193" s="109" t="n"/>
      <c r="J1193" s="109" t="n"/>
      <c r="K1193" s="109" t="n"/>
      <c r="L1193" s="231">
        <f>IF($E1193="","",DATE(YEAR($E1193),MONTH($E1193),1))</f>
        <v/>
      </c>
      <c r="M1193" s="113">
        <f>IF($D1193="","",IF($C1193="TANIMSIZ MÜŞTERİ","HATA",IF(OR($E1193="",$F1193&lt;=0,$G1193=""),"EKSİK",IF($E1193&gt;TODAY(),"İLERİ TARİH","UYGUN"))))</f>
        <v/>
      </c>
      <c r="N1193" s="121">
        <f>IF($C1193="","",IF($C1193="TANIMSIZ MÜŞTERİ","—",INDEX(MUSTERILER!$C$7:$C$106,MATCH($C1193,MUSTERILER!$B$7:$B$106,0))))</f>
        <v/>
      </c>
      <c r="O1193" s="6" t="n"/>
      <c r="P1193" s="6" t="n"/>
      <c r="Q1193" s="3">
        <f>IF($D1193="","",$C1193&amp;"|"&amp;COUNTIFS($C$7:$C1193,$C1193))</f>
        <v/>
      </c>
    </row>
    <row r="1194">
      <c r="A1194" s="6" t="n"/>
      <c r="B1194" s="113">
        <f>IF($D1194="","","T"&amp;TEXT(ROW()-6,"00000"))</f>
        <v/>
      </c>
      <c r="C1194" s="113">
        <f>IF($D1194="","",IFERROR(INDEX(MUSTERILER!$B$7:$B$106,MATCH($D1194,MUSTERILER!$C$7:$C$106,0)),IFERROR(INDEX(MUSTERILER!$B$7:$B$106,MATCH($D1194,MUSTERILER!$B$7:$B$106,0)),IFERROR(INDEX(MUSTERILER!$B$7:$B$106,MATCH($D1194&amp;"*",MUSTERILER!$C$7:$C$106,0)),"TANIMSIZ MÜŞTERİ"))))</f>
        <v/>
      </c>
      <c r="D1194" s="109" t="n"/>
      <c r="E1194" s="225" t="n"/>
      <c r="F1194" s="226" t="n"/>
      <c r="G1194" s="108" t="n"/>
      <c r="H1194" s="108" t="n"/>
      <c r="I1194" s="109" t="n"/>
      <c r="J1194" s="109" t="n"/>
      <c r="K1194" s="109" t="n"/>
      <c r="L1194" s="231">
        <f>IF($E1194="","",DATE(YEAR($E1194),MONTH($E1194),1))</f>
        <v/>
      </c>
      <c r="M1194" s="113">
        <f>IF($D1194="","",IF($C1194="TANIMSIZ MÜŞTERİ","HATA",IF(OR($E1194="",$F1194&lt;=0,$G1194=""),"EKSİK",IF($E1194&gt;TODAY(),"İLERİ TARİH","UYGUN"))))</f>
        <v/>
      </c>
      <c r="N1194" s="121">
        <f>IF($C1194="","",IF($C1194="TANIMSIZ MÜŞTERİ","—",INDEX(MUSTERILER!$C$7:$C$106,MATCH($C1194,MUSTERILER!$B$7:$B$106,0))))</f>
        <v/>
      </c>
      <c r="O1194" s="6" t="n"/>
      <c r="P1194" s="6" t="n"/>
      <c r="Q1194" s="3">
        <f>IF($D1194="","",$C1194&amp;"|"&amp;COUNTIFS($C$7:$C1194,$C1194))</f>
        <v/>
      </c>
    </row>
    <row r="1195">
      <c r="A1195" s="6" t="n"/>
      <c r="B1195" s="113">
        <f>IF($D1195="","","T"&amp;TEXT(ROW()-6,"00000"))</f>
        <v/>
      </c>
      <c r="C1195" s="113">
        <f>IF($D1195="","",IFERROR(INDEX(MUSTERILER!$B$7:$B$106,MATCH($D1195,MUSTERILER!$C$7:$C$106,0)),IFERROR(INDEX(MUSTERILER!$B$7:$B$106,MATCH($D1195,MUSTERILER!$B$7:$B$106,0)),IFERROR(INDEX(MUSTERILER!$B$7:$B$106,MATCH($D1195&amp;"*",MUSTERILER!$C$7:$C$106,0)),"TANIMSIZ MÜŞTERİ"))))</f>
        <v/>
      </c>
      <c r="D1195" s="109" t="n"/>
      <c r="E1195" s="225" t="n"/>
      <c r="F1195" s="226" t="n"/>
      <c r="G1195" s="108" t="n"/>
      <c r="H1195" s="108" t="n"/>
      <c r="I1195" s="109" t="n"/>
      <c r="J1195" s="109" t="n"/>
      <c r="K1195" s="109" t="n"/>
      <c r="L1195" s="231">
        <f>IF($E1195="","",DATE(YEAR($E1195),MONTH($E1195),1))</f>
        <v/>
      </c>
      <c r="M1195" s="113">
        <f>IF($D1195="","",IF($C1195="TANIMSIZ MÜŞTERİ","HATA",IF(OR($E1195="",$F1195&lt;=0,$G1195=""),"EKSİK",IF($E1195&gt;TODAY(),"İLERİ TARİH","UYGUN"))))</f>
        <v/>
      </c>
      <c r="N1195" s="121">
        <f>IF($C1195="","",IF($C1195="TANIMSIZ MÜŞTERİ","—",INDEX(MUSTERILER!$C$7:$C$106,MATCH($C1195,MUSTERILER!$B$7:$B$106,0))))</f>
        <v/>
      </c>
      <c r="O1195" s="6" t="n"/>
      <c r="P1195" s="6" t="n"/>
      <c r="Q1195" s="3">
        <f>IF($D1195="","",$C1195&amp;"|"&amp;COUNTIFS($C$7:$C1195,$C1195))</f>
        <v/>
      </c>
    </row>
    <row r="1196">
      <c r="A1196" s="6" t="n"/>
      <c r="B1196" s="113">
        <f>IF($D1196="","","T"&amp;TEXT(ROW()-6,"00000"))</f>
        <v/>
      </c>
      <c r="C1196" s="113">
        <f>IF($D1196="","",IFERROR(INDEX(MUSTERILER!$B$7:$B$106,MATCH($D1196,MUSTERILER!$C$7:$C$106,0)),IFERROR(INDEX(MUSTERILER!$B$7:$B$106,MATCH($D1196,MUSTERILER!$B$7:$B$106,0)),IFERROR(INDEX(MUSTERILER!$B$7:$B$106,MATCH($D1196&amp;"*",MUSTERILER!$C$7:$C$106,0)),"TANIMSIZ MÜŞTERİ"))))</f>
        <v/>
      </c>
      <c r="D1196" s="109" t="n"/>
      <c r="E1196" s="225" t="n"/>
      <c r="F1196" s="226" t="n"/>
      <c r="G1196" s="108" t="n"/>
      <c r="H1196" s="108" t="n"/>
      <c r="I1196" s="109" t="n"/>
      <c r="J1196" s="109" t="n"/>
      <c r="K1196" s="109" t="n"/>
      <c r="L1196" s="231">
        <f>IF($E1196="","",DATE(YEAR($E1196),MONTH($E1196),1))</f>
        <v/>
      </c>
      <c r="M1196" s="113">
        <f>IF($D1196="","",IF($C1196="TANIMSIZ MÜŞTERİ","HATA",IF(OR($E1196="",$F1196&lt;=0,$G1196=""),"EKSİK",IF($E1196&gt;TODAY(),"İLERİ TARİH","UYGUN"))))</f>
        <v/>
      </c>
      <c r="N1196" s="121">
        <f>IF($C1196="","",IF($C1196="TANIMSIZ MÜŞTERİ","—",INDEX(MUSTERILER!$C$7:$C$106,MATCH($C1196,MUSTERILER!$B$7:$B$106,0))))</f>
        <v/>
      </c>
      <c r="O1196" s="6" t="n"/>
      <c r="P1196" s="6" t="n"/>
      <c r="Q1196" s="3">
        <f>IF($D1196="","",$C1196&amp;"|"&amp;COUNTIFS($C$7:$C1196,$C1196))</f>
        <v/>
      </c>
    </row>
    <row r="1197">
      <c r="A1197" s="6" t="n"/>
      <c r="B1197" s="113">
        <f>IF($D1197="","","T"&amp;TEXT(ROW()-6,"00000"))</f>
        <v/>
      </c>
      <c r="C1197" s="113">
        <f>IF($D1197="","",IFERROR(INDEX(MUSTERILER!$B$7:$B$106,MATCH($D1197,MUSTERILER!$C$7:$C$106,0)),IFERROR(INDEX(MUSTERILER!$B$7:$B$106,MATCH($D1197,MUSTERILER!$B$7:$B$106,0)),IFERROR(INDEX(MUSTERILER!$B$7:$B$106,MATCH($D1197&amp;"*",MUSTERILER!$C$7:$C$106,0)),"TANIMSIZ MÜŞTERİ"))))</f>
        <v/>
      </c>
      <c r="D1197" s="109" t="n"/>
      <c r="E1197" s="225" t="n"/>
      <c r="F1197" s="226" t="n"/>
      <c r="G1197" s="108" t="n"/>
      <c r="H1197" s="108" t="n"/>
      <c r="I1197" s="109" t="n"/>
      <c r="J1197" s="109" t="n"/>
      <c r="K1197" s="109" t="n"/>
      <c r="L1197" s="231">
        <f>IF($E1197="","",DATE(YEAR($E1197),MONTH($E1197),1))</f>
        <v/>
      </c>
      <c r="M1197" s="113">
        <f>IF($D1197="","",IF($C1197="TANIMSIZ MÜŞTERİ","HATA",IF(OR($E1197="",$F1197&lt;=0,$G1197=""),"EKSİK",IF($E1197&gt;TODAY(),"İLERİ TARİH","UYGUN"))))</f>
        <v/>
      </c>
      <c r="N1197" s="121">
        <f>IF($C1197="","",IF($C1197="TANIMSIZ MÜŞTERİ","—",INDEX(MUSTERILER!$C$7:$C$106,MATCH($C1197,MUSTERILER!$B$7:$B$106,0))))</f>
        <v/>
      </c>
      <c r="O1197" s="6" t="n"/>
      <c r="P1197" s="6" t="n"/>
      <c r="Q1197" s="3">
        <f>IF($D1197="","",$C1197&amp;"|"&amp;COUNTIFS($C$7:$C1197,$C1197))</f>
        <v/>
      </c>
    </row>
    <row r="1198">
      <c r="A1198" s="6" t="n"/>
      <c r="B1198" s="113">
        <f>IF($D1198="","","T"&amp;TEXT(ROW()-6,"00000"))</f>
        <v/>
      </c>
      <c r="C1198" s="113">
        <f>IF($D1198="","",IFERROR(INDEX(MUSTERILER!$B$7:$B$106,MATCH($D1198,MUSTERILER!$C$7:$C$106,0)),IFERROR(INDEX(MUSTERILER!$B$7:$B$106,MATCH($D1198,MUSTERILER!$B$7:$B$106,0)),IFERROR(INDEX(MUSTERILER!$B$7:$B$106,MATCH($D1198&amp;"*",MUSTERILER!$C$7:$C$106,0)),"TANIMSIZ MÜŞTERİ"))))</f>
        <v/>
      </c>
      <c r="D1198" s="109" t="n"/>
      <c r="E1198" s="225" t="n"/>
      <c r="F1198" s="226" t="n"/>
      <c r="G1198" s="108" t="n"/>
      <c r="H1198" s="108" t="n"/>
      <c r="I1198" s="109" t="n"/>
      <c r="J1198" s="109" t="n"/>
      <c r="K1198" s="109" t="n"/>
      <c r="L1198" s="231">
        <f>IF($E1198="","",DATE(YEAR($E1198),MONTH($E1198),1))</f>
        <v/>
      </c>
      <c r="M1198" s="113">
        <f>IF($D1198="","",IF($C1198="TANIMSIZ MÜŞTERİ","HATA",IF(OR($E1198="",$F1198&lt;=0,$G1198=""),"EKSİK",IF($E1198&gt;TODAY(),"İLERİ TARİH","UYGUN"))))</f>
        <v/>
      </c>
      <c r="N1198" s="121">
        <f>IF($C1198="","",IF($C1198="TANIMSIZ MÜŞTERİ","—",INDEX(MUSTERILER!$C$7:$C$106,MATCH($C1198,MUSTERILER!$B$7:$B$106,0))))</f>
        <v/>
      </c>
      <c r="O1198" s="6" t="n"/>
      <c r="P1198" s="6" t="n"/>
      <c r="Q1198" s="3">
        <f>IF($D1198="","",$C1198&amp;"|"&amp;COUNTIFS($C$7:$C1198,$C1198))</f>
        <v/>
      </c>
    </row>
    <row r="1199">
      <c r="A1199" s="6" t="n"/>
      <c r="B1199" s="113">
        <f>IF($D1199="","","T"&amp;TEXT(ROW()-6,"00000"))</f>
        <v/>
      </c>
      <c r="C1199" s="113">
        <f>IF($D1199="","",IFERROR(INDEX(MUSTERILER!$B$7:$B$106,MATCH($D1199,MUSTERILER!$C$7:$C$106,0)),IFERROR(INDEX(MUSTERILER!$B$7:$B$106,MATCH($D1199,MUSTERILER!$B$7:$B$106,0)),IFERROR(INDEX(MUSTERILER!$B$7:$B$106,MATCH($D1199&amp;"*",MUSTERILER!$C$7:$C$106,0)),"TANIMSIZ MÜŞTERİ"))))</f>
        <v/>
      </c>
      <c r="D1199" s="109" t="n"/>
      <c r="E1199" s="225" t="n"/>
      <c r="F1199" s="226" t="n"/>
      <c r="G1199" s="108" t="n"/>
      <c r="H1199" s="108" t="n"/>
      <c r="I1199" s="109" t="n"/>
      <c r="J1199" s="109" t="n"/>
      <c r="K1199" s="109" t="n"/>
      <c r="L1199" s="231">
        <f>IF($E1199="","",DATE(YEAR($E1199),MONTH($E1199),1))</f>
        <v/>
      </c>
      <c r="M1199" s="113">
        <f>IF($D1199="","",IF($C1199="TANIMSIZ MÜŞTERİ","HATA",IF(OR($E1199="",$F1199&lt;=0,$G1199=""),"EKSİK",IF($E1199&gt;TODAY(),"İLERİ TARİH","UYGUN"))))</f>
        <v/>
      </c>
      <c r="N1199" s="121">
        <f>IF($C1199="","",IF($C1199="TANIMSIZ MÜŞTERİ","—",INDEX(MUSTERILER!$C$7:$C$106,MATCH($C1199,MUSTERILER!$B$7:$B$106,0))))</f>
        <v/>
      </c>
      <c r="O1199" s="6" t="n"/>
      <c r="P1199" s="6" t="n"/>
      <c r="Q1199" s="3">
        <f>IF($D1199="","",$C1199&amp;"|"&amp;COUNTIFS($C$7:$C1199,$C1199))</f>
        <v/>
      </c>
    </row>
    <row r="1200">
      <c r="A1200" s="6" t="n"/>
      <c r="B1200" s="113">
        <f>IF($D1200="","","T"&amp;TEXT(ROW()-6,"00000"))</f>
        <v/>
      </c>
      <c r="C1200" s="113">
        <f>IF($D1200="","",IFERROR(INDEX(MUSTERILER!$B$7:$B$106,MATCH($D1200,MUSTERILER!$C$7:$C$106,0)),IFERROR(INDEX(MUSTERILER!$B$7:$B$106,MATCH($D1200,MUSTERILER!$B$7:$B$106,0)),IFERROR(INDEX(MUSTERILER!$B$7:$B$106,MATCH($D1200&amp;"*",MUSTERILER!$C$7:$C$106,0)),"TANIMSIZ MÜŞTERİ"))))</f>
        <v/>
      </c>
      <c r="D1200" s="109" t="n"/>
      <c r="E1200" s="225" t="n"/>
      <c r="F1200" s="226" t="n"/>
      <c r="G1200" s="108" t="n"/>
      <c r="H1200" s="108" t="n"/>
      <c r="I1200" s="109" t="n"/>
      <c r="J1200" s="109" t="n"/>
      <c r="K1200" s="109" t="n"/>
      <c r="L1200" s="231">
        <f>IF($E1200="","",DATE(YEAR($E1200),MONTH($E1200),1))</f>
        <v/>
      </c>
      <c r="M1200" s="113">
        <f>IF($D1200="","",IF($C1200="TANIMSIZ MÜŞTERİ","HATA",IF(OR($E1200="",$F1200&lt;=0,$G1200=""),"EKSİK",IF($E1200&gt;TODAY(),"İLERİ TARİH","UYGUN"))))</f>
        <v/>
      </c>
      <c r="N1200" s="121">
        <f>IF($C1200="","",IF($C1200="TANIMSIZ MÜŞTERİ","—",INDEX(MUSTERILER!$C$7:$C$106,MATCH($C1200,MUSTERILER!$B$7:$B$106,0))))</f>
        <v/>
      </c>
      <c r="O1200" s="6" t="n"/>
      <c r="P1200" s="6" t="n"/>
      <c r="Q1200" s="3">
        <f>IF($D1200="","",$C1200&amp;"|"&amp;COUNTIFS($C$7:$C1200,$C1200))</f>
        <v/>
      </c>
    </row>
    <row r="1201">
      <c r="A1201" s="6" t="n"/>
      <c r="B1201" s="113">
        <f>IF($D1201="","","T"&amp;TEXT(ROW()-6,"00000"))</f>
        <v/>
      </c>
      <c r="C1201" s="113">
        <f>IF($D1201="","",IFERROR(INDEX(MUSTERILER!$B$7:$B$106,MATCH($D1201,MUSTERILER!$C$7:$C$106,0)),IFERROR(INDEX(MUSTERILER!$B$7:$B$106,MATCH($D1201,MUSTERILER!$B$7:$B$106,0)),IFERROR(INDEX(MUSTERILER!$B$7:$B$106,MATCH($D1201&amp;"*",MUSTERILER!$C$7:$C$106,0)),"TANIMSIZ MÜŞTERİ"))))</f>
        <v/>
      </c>
      <c r="D1201" s="109" t="n"/>
      <c r="E1201" s="225" t="n"/>
      <c r="F1201" s="226" t="n"/>
      <c r="G1201" s="108" t="n"/>
      <c r="H1201" s="108" t="n"/>
      <c r="I1201" s="109" t="n"/>
      <c r="J1201" s="109" t="n"/>
      <c r="K1201" s="109" t="n"/>
      <c r="L1201" s="231">
        <f>IF($E1201="","",DATE(YEAR($E1201),MONTH($E1201),1))</f>
        <v/>
      </c>
      <c r="M1201" s="113">
        <f>IF($D1201="","",IF($C1201="TANIMSIZ MÜŞTERİ","HATA",IF(OR($E1201="",$F1201&lt;=0,$G1201=""),"EKSİK",IF($E1201&gt;TODAY(),"İLERİ TARİH","UYGUN"))))</f>
        <v/>
      </c>
      <c r="N1201" s="121">
        <f>IF($C1201="","",IF($C1201="TANIMSIZ MÜŞTERİ","—",INDEX(MUSTERILER!$C$7:$C$106,MATCH($C1201,MUSTERILER!$B$7:$B$106,0))))</f>
        <v/>
      </c>
      <c r="O1201" s="6" t="n"/>
      <c r="P1201" s="6" t="n"/>
      <c r="Q1201" s="3">
        <f>IF($D1201="","",$C1201&amp;"|"&amp;COUNTIFS($C$7:$C1201,$C1201))</f>
        <v/>
      </c>
    </row>
    <row r="1202">
      <c r="A1202" s="6" t="n"/>
      <c r="B1202" s="113">
        <f>IF($D1202="","","T"&amp;TEXT(ROW()-6,"00000"))</f>
        <v/>
      </c>
      <c r="C1202" s="113">
        <f>IF($D1202="","",IFERROR(INDEX(MUSTERILER!$B$7:$B$106,MATCH($D1202,MUSTERILER!$C$7:$C$106,0)),IFERROR(INDEX(MUSTERILER!$B$7:$B$106,MATCH($D1202,MUSTERILER!$B$7:$B$106,0)),IFERROR(INDEX(MUSTERILER!$B$7:$B$106,MATCH($D1202&amp;"*",MUSTERILER!$C$7:$C$106,0)),"TANIMSIZ MÜŞTERİ"))))</f>
        <v/>
      </c>
      <c r="D1202" s="109" t="n"/>
      <c r="E1202" s="225" t="n"/>
      <c r="F1202" s="226" t="n"/>
      <c r="G1202" s="108" t="n"/>
      <c r="H1202" s="108" t="n"/>
      <c r="I1202" s="109" t="n"/>
      <c r="J1202" s="109" t="n"/>
      <c r="K1202" s="109" t="n"/>
      <c r="L1202" s="231">
        <f>IF($E1202="","",DATE(YEAR($E1202),MONTH($E1202),1))</f>
        <v/>
      </c>
      <c r="M1202" s="113">
        <f>IF($D1202="","",IF($C1202="TANIMSIZ MÜŞTERİ","HATA",IF(OR($E1202="",$F1202&lt;=0,$G1202=""),"EKSİK",IF($E1202&gt;TODAY(),"İLERİ TARİH","UYGUN"))))</f>
        <v/>
      </c>
      <c r="N1202" s="121">
        <f>IF($C1202="","",IF($C1202="TANIMSIZ MÜŞTERİ","—",INDEX(MUSTERILER!$C$7:$C$106,MATCH($C1202,MUSTERILER!$B$7:$B$106,0))))</f>
        <v/>
      </c>
      <c r="O1202" s="6" t="n"/>
      <c r="P1202" s="6" t="n"/>
      <c r="Q1202" s="3">
        <f>IF($D1202="","",$C1202&amp;"|"&amp;COUNTIFS($C$7:$C1202,$C1202))</f>
        <v/>
      </c>
    </row>
    <row r="1203">
      <c r="A1203" s="6" t="n"/>
      <c r="B1203" s="113">
        <f>IF($D1203="","","T"&amp;TEXT(ROW()-6,"00000"))</f>
        <v/>
      </c>
      <c r="C1203" s="113">
        <f>IF($D1203="","",IFERROR(INDEX(MUSTERILER!$B$7:$B$106,MATCH($D1203,MUSTERILER!$C$7:$C$106,0)),IFERROR(INDEX(MUSTERILER!$B$7:$B$106,MATCH($D1203,MUSTERILER!$B$7:$B$106,0)),IFERROR(INDEX(MUSTERILER!$B$7:$B$106,MATCH($D1203&amp;"*",MUSTERILER!$C$7:$C$106,0)),"TANIMSIZ MÜŞTERİ"))))</f>
        <v/>
      </c>
      <c r="D1203" s="109" t="n"/>
      <c r="E1203" s="225" t="n"/>
      <c r="F1203" s="226" t="n"/>
      <c r="G1203" s="108" t="n"/>
      <c r="H1203" s="108" t="n"/>
      <c r="I1203" s="109" t="n"/>
      <c r="J1203" s="109" t="n"/>
      <c r="K1203" s="109" t="n"/>
      <c r="L1203" s="231">
        <f>IF($E1203="","",DATE(YEAR($E1203),MONTH($E1203),1))</f>
        <v/>
      </c>
      <c r="M1203" s="113">
        <f>IF($D1203="","",IF($C1203="TANIMSIZ MÜŞTERİ","HATA",IF(OR($E1203="",$F1203&lt;=0,$G1203=""),"EKSİK",IF($E1203&gt;TODAY(),"İLERİ TARİH","UYGUN"))))</f>
        <v/>
      </c>
      <c r="N1203" s="121">
        <f>IF($C1203="","",IF($C1203="TANIMSIZ MÜŞTERİ","—",INDEX(MUSTERILER!$C$7:$C$106,MATCH($C1203,MUSTERILER!$B$7:$B$106,0))))</f>
        <v/>
      </c>
      <c r="O1203" s="6" t="n"/>
      <c r="P1203" s="6" t="n"/>
      <c r="Q1203" s="3">
        <f>IF($D1203="","",$C1203&amp;"|"&amp;COUNTIFS($C$7:$C1203,$C1203))</f>
        <v/>
      </c>
    </row>
    <row r="1204">
      <c r="A1204" s="6" t="n"/>
      <c r="B1204" s="113">
        <f>IF($D1204="","","T"&amp;TEXT(ROW()-6,"00000"))</f>
        <v/>
      </c>
      <c r="C1204" s="113">
        <f>IF($D1204="","",IFERROR(INDEX(MUSTERILER!$B$7:$B$106,MATCH($D1204,MUSTERILER!$C$7:$C$106,0)),IFERROR(INDEX(MUSTERILER!$B$7:$B$106,MATCH($D1204,MUSTERILER!$B$7:$B$106,0)),IFERROR(INDEX(MUSTERILER!$B$7:$B$106,MATCH($D1204&amp;"*",MUSTERILER!$C$7:$C$106,0)),"TANIMSIZ MÜŞTERİ"))))</f>
        <v/>
      </c>
      <c r="D1204" s="109" t="n"/>
      <c r="E1204" s="225" t="n"/>
      <c r="F1204" s="226" t="n"/>
      <c r="G1204" s="108" t="n"/>
      <c r="H1204" s="108" t="n"/>
      <c r="I1204" s="109" t="n"/>
      <c r="J1204" s="109" t="n"/>
      <c r="K1204" s="109" t="n"/>
      <c r="L1204" s="231">
        <f>IF($E1204="","",DATE(YEAR($E1204),MONTH($E1204),1))</f>
        <v/>
      </c>
      <c r="M1204" s="113">
        <f>IF($D1204="","",IF($C1204="TANIMSIZ MÜŞTERİ","HATA",IF(OR($E1204="",$F1204&lt;=0,$G1204=""),"EKSİK",IF($E1204&gt;TODAY(),"İLERİ TARİH","UYGUN"))))</f>
        <v/>
      </c>
      <c r="N1204" s="121">
        <f>IF($C1204="","",IF($C1204="TANIMSIZ MÜŞTERİ","—",INDEX(MUSTERILER!$C$7:$C$106,MATCH($C1204,MUSTERILER!$B$7:$B$106,0))))</f>
        <v/>
      </c>
      <c r="O1204" s="6" t="n"/>
      <c r="P1204" s="6" t="n"/>
      <c r="Q1204" s="3">
        <f>IF($D1204="","",$C1204&amp;"|"&amp;COUNTIFS($C$7:$C1204,$C1204))</f>
        <v/>
      </c>
    </row>
    <row r="1205">
      <c r="A1205" s="6" t="n"/>
      <c r="B1205" s="113">
        <f>IF($D1205="","","T"&amp;TEXT(ROW()-6,"00000"))</f>
        <v/>
      </c>
      <c r="C1205" s="113">
        <f>IF($D1205="","",IFERROR(INDEX(MUSTERILER!$B$7:$B$106,MATCH($D1205,MUSTERILER!$C$7:$C$106,0)),IFERROR(INDEX(MUSTERILER!$B$7:$B$106,MATCH($D1205,MUSTERILER!$B$7:$B$106,0)),IFERROR(INDEX(MUSTERILER!$B$7:$B$106,MATCH($D1205&amp;"*",MUSTERILER!$C$7:$C$106,0)),"TANIMSIZ MÜŞTERİ"))))</f>
        <v/>
      </c>
      <c r="D1205" s="109" t="n"/>
      <c r="E1205" s="225" t="n"/>
      <c r="F1205" s="226" t="n"/>
      <c r="G1205" s="108" t="n"/>
      <c r="H1205" s="108" t="n"/>
      <c r="I1205" s="109" t="n"/>
      <c r="J1205" s="109" t="n"/>
      <c r="K1205" s="109" t="n"/>
      <c r="L1205" s="231">
        <f>IF($E1205="","",DATE(YEAR($E1205),MONTH($E1205),1))</f>
        <v/>
      </c>
      <c r="M1205" s="113">
        <f>IF($D1205="","",IF($C1205="TANIMSIZ MÜŞTERİ","HATA",IF(OR($E1205="",$F1205&lt;=0,$G1205=""),"EKSİK",IF($E1205&gt;TODAY(),"İLERİ TARİH","UYGUN"))))</f>
        <v/>
      </c>
      <c r="N1205" s="121">
        <f>IF($C1205="","",IF($C1205="TANIMSIZ MÜŞTERİ","—",INDEX(MUSTERILER!$C$7:$C$106,MATCH($C1205,MUSTERILER!$B$7:$B$106,0))))</f>
        <v/>
      </c>
      <c r="O1205" s="6" t="n"/>
      <c r="P1205" s="6" t="n"/>
      <c r="Q1205" s="3">
        <f>IF($D1205="","",$C1205&amp;"|"&amp;COUNTIFS($C$7:$C1205,$C1205))</f>
        <v/>
      </c>
    </row>
    <row r="1206">
      <c r="A1206" s="6" t="n"/>
      <c r="B1206" s="113">
        <f>IF($D1206="","","T"&amp;TEXT(ROW()-6,"00000"))</f>
        <v/>
      </c>
      <c r="C1206" s="113">
        <f>IF($D1206="","",IFERROR(INDEX(MUSTERILER!$B$7:$B$106,MATCH($D1206,MUSTERILER!$C$7:$C$106,0)),IFERROR(INDEX(MUSTERILER!$B$7:$B$106,MATCH($D1206,MUSTERILER!$B$7:$B$106,0)),IFERROR(INDEX(MUSTERILER!$B$7:$B$106,MATCH($D1206&amp;"*",MUSTERILER!$C$7:$C$106,0)),"TANIMSIZ MÜŞTERİ"))))</f>
        <v/>
      </c>
      <c r="D1206" s="109" t="n"/>
      <c r="E1206" s="225" t="n"/>
      <c r="F1206" s="226" t="n"/>
      <c r="G1206" s="108" t="n"/>
      <c r="H1206" s="108" t="n"/>
      <c r="I1206" s="109" t="n"/>
      <c r="J1206" s="109" t="n"/>
      <c r="K1206" s="109" t="n"/>
      <c r="L1206" s="231">
        <f>IF($E1206="","",DATE(YEAR($E1206),MONTH($E1206),1))</f>
        <v/>
      </c>
      <c r="M1206" s="113">
        <f>IF($D1206="","",IF($C1206="TANIMSIZ MÜŞTERİ","HATA",IF(OR($E1206="",$F1206&lt;=0,$G1206=""),"EKSİK",IF($E1206&gt;TODAY(),"İLERİ TARİH","UYGUN"))))</f>
        <v/>
      </c>
      <c r="N1206" s="121">
        <f>IF($C1206="","",IF($C1206="TANIMSIZ MÜŞTERİ","—",INDEX(MUSTERILER!$C$7:$C$106,MATCH($C1206,MUSTERILER!$B$7:$B$106,0))))</f>
        <v/>
      </c>
      <c r="O1206" s="6" t="n"/>
      <c r="P1206" s="6" t="n"/>
      <c r="Q1206" s="3">
        <f>IF($D1206="","",$C1206&amp;"|"&amp;COUNTIFS($C$7:$C1206,$C1206))</f>
        <v/>
      </c>
    </row>
    <row r="1207">
      <c r="A1207" s="6" t="n"/>
      <c r="B1207" s="113">
        <f>IF($D1207="","","T"&amp;TEXT(ROW()-6,"00000"))</f>
        <v/>
      </c>
      <c r="C1207" s="113">
        <f>IF($D1207="","",IFERROR(INDEX(MUSTERILER!$B$7:$B$106,MATCH($D1207,MUSTERILER!$C$7:$C$106,0)),IFERROR(INDEX(MUSTERILER!$B$7:$B$106,MATCH($D1207,MUSTERILER!$B$7:$B$106,0)),IFERROR(INDEX(MUSTERILER!$B$7:$B$106,MATCH($D1207&amp;"*",MUSTERILER!$C$7:$C$106,0)),"TANIMSIZ MÜŞTERİ"))))</f>
        <v/>
      </c>
      <c r="D1207" s="109" t="n"/>
      <c r="E1207" s="225" t="n"/>
      <c r="F1207" s="226" t="n"/>
      <c r="G1207" s="108" t="n"/>
      <c r="H1207" s="108" t="n"/>
      <c r="I1207" s="109" t="n"/>
      <c r="J1207" s="109" t="n"/>
      <c r="K1207" s="109" t="n"/>
      <c r="L1207" s="231">
        <f>IF($E1207="","",DATE(YEAR($E1207),MONTH($E1207),1))</f>
        <v/>
      </c>
      <c r="M1207" s="113">
        <f>IF($D1207="","",IF($C1207="TANIMSIZ MÜŞTERİ","HATA",IF(OR($E1207="",$F1207&lt;=0,$G1207=""),"EKSİK",IF($E1207&gt;TODAY(),"İLERİ TARİH","UYGUN"))))</f>
        <v/>
      </c>
      <c r="N1207" s="121">
        <f>IF($C1207="","",IF($C1207="TANIMSIZ MÜŞTERİ","—",INDEX(MUSTERILER!$C$7:$C$106,MATCH($C1207,MUSTERILER!$B$7:$B$106,0))))</f>
        <v/>
      </c>
      <c r="O1207" s="6" t="n"/>
      <c r="P1207" s="6" t="n"/>
      <c r="Q1207" s="3">
        <f>IF($D1207="","",$C1207&amp;"|"&amp;COUNTIFS($C$7:$C1207,$C1207))</f>
        <v/>
      </c>
    </row>
    <row r="1208">
      <c r="A1208" s="6" t="n"/>
      <c r="B1208" s="113">
        <f>IF($D1208="","","T"&amp;TEXT(ROW()-6,"00000"))</f>
        <v/>
      </c>
      <c r="C1208" s="113">
        <f>IF($D1208="","",IFERROR(INDEX(MUSTERILER!$B$7:$B$106,MATCH($D1208,MUSTERILER!$C$7:$C$106,0)),IFERROR(INDEX(MUSTERILER!$B$7:$B$106,MATCH($D1208,MUSTERILER!$B$7:$B$106,0)),IFERROR(INDEX(MUSTERILER!$B$7:$B$106,MATCH($D1208&amp;"*",MUSTERILER!$C$7:$C$106,0)),"TANIMSIZ MÜŞTERİ"))))</f>
        <v/>
      </c>
      <c r="D1208" s="109" t="n"/>
      <c r="E1208" s="225" t="n"/>
      <c r="F1208" s="226" t="n"/>
      <c r="G1208" s="108" t="n"/>
      <c r="H1208" s="108" t="n"/>
      <c r="I1208" s="109" t="n"/>
      <c r="J1208" s="109" t="n"/>
      <c r="K1208" s="109" t="n"/>
      <c r="L1208" s="231">
        <f>IF($E1208="","",DATE(YEAR($E1208),MONTH($E1208),1))</f>
        <v/>
      </c>
      <c r="M1208" s="113">
        <f>IF($D1208="","",IF($C1208="TANIMSIZ MÜŞTERİ","HATA",IF(OR($E1208="",$F1208&lt;=0,$G1208=""),"EKSİK",IF($E1208&gt;TODAY(),"İLERİ TARİH","UYGUN"))))</f>
        <v/>
      </c>
      <c r="N1208" s="121">
        <f>IF($C1208="","",IF($C1208="TANIMSIZ MÜŞTERİ","—",INDEX(MUSTERILER!$C$7:$C$106,MATCH($C1208,MUSTERILER!$B$7:$B$106,0))))</f>
        <v/>
      </c>
      <c r="O1208" s="6" t="n"/>
      <c r="P1208" s="6" t="n"/>
      <c r="Q1208" s="3">
        <f>IF($D1208="","",$C1208&amp;"|"&amp;COUNTIFS($C$7:$C1208,$C1208))</f>
        <v/>
      </c>
    </row>
    <row r="1209">
      <c r="A1209" s="6" t="n"/>
      <c r="B1209" s="113">
        <f>IF($D1209="","","T"&amp;TEXT(ROW()-6,"00000"))</f>
        <v/>
      </c>
      <c r="C1209" s="113">
        <f>IF($D1209="","",IFERROR(INDEX(MUSTERILER!$B$7:$B$106,MATCH($D1209,MUSTERILER!$C$7:$C$106,0)),IFERROR(INDEX(MUSTERILER!$B$7:$B$106,MATCH($D1209,MUSTERILER!$B$7:$B$106,0)),IFERROR(INDEX(MUSTERILER!$B$7:$B$106,MATCH($D1209&amp;"*",MUSTERILER!$C$7:$C$106,0)),"TANIMSIZ MÜŞTERİ"))))</f>
        <v/>
      </c>
      <c r="D1209" s="109" t="n"/>
      <c r="E1209" s="225" t="n"/>
      <c r="F1209" s="226" t="n"/>
      <c r="G1209" s="108" t="n"/>
      <c r="H1209" s="108" t="n"/>
      <c r="I1209" s="109" t="n"/>
      <c r="J1209" s="109" t="n"/>
      <c r="K1209" s="109" t="n"/>
      <c r="L1209" s="231">
        <f>IF($E1209="","",DATE(YEAR($E1209),MONTH($E1209),1))</f>
        <v/>
      </c>
      <c r="M1209" s="113">
        <f>IF($D1209="","",IF($C1209="TANIMSIZ MÜŞTERİ","HATA",IF(OR($E1209="",$F1209&lt;=0,$G1209=""),"EKSİK",IF($E1209&gt;TODAY(),"İLERİ TARİH","UYGUN"))))</f>
        <v/>
      </c>
      <c r="N1209" s="121">
        <f>IF($C1209="","",IF($C1209="TANIMSIZ MÜŞTERİ","—",INDEX(MUSTERILER!$C$7:$C$106,MATCH($C1209,MUSTERILER!$B$7:$B$106,0))))</f>
        <v/>
      </c>
      <c r="O1209" s="6" t="n"/>
      <c r="P1209" s="6" t="n"/>
      <c r="Q1209" s="3">
        <f>IF($D1209="","",$C1209&amp;"|"&amp;COUNTIFS($C$7:$C1209,$C1209))</f>
        <v/>
      </c>
    </row>
    <row r="1210">
      <c r="A1210" s="6" t="n"/>
      <c r="B1210" s="113">
        <f>IF($D1210="","","T"&amp;TEXT(ROW()-6,"00000"))</f>
        <v/>
      </c>
      <c r="C1210" s="113">
        <f>IF($D1210="","",IFERROR(INDEX(MUSTERILER!$B$7:$B$106,MATCH($D1210,MUSTERILER!$C$7:$C$106,0)),IFERROR(INDEX(MUSTERILER!$B$7:$B$106,MATCH($D1210,MUSTERILER!$B$7:$B$106,0)),IFERROR(INDEX(MUSTERILER!$B$7:$B$106,MATCH($D1210&amp;"*",MUSTERILER!$C$7:$C$106,0)),"TANIMSIZ MÜŞTERİ"))))</f>
        <v/>
      </c>
      <c r="D1210" s="109" t="n"/>
      <c r="E1210" s="225" t="n"/>
      <c r="F1210" s="226" t="n"/>
      <c r="G1210" s="108" t="n"/>
      <c r="H1210" s="108" t="n"/>
      <c r="I1210" s="109" t="n"/>
      <c r="J1210" s="109" t="n"/>
      <c r="K1210" s="109" t="n"/>
      <c r="L1210" s="231">
        <f>IF($E1210="","",DATE(YEAR($E1210),MONTH($E1210),1))</f>
        <v/>
      </c>
      <c r="M1210" s="113">
        <f>IF($D1210="","",IF($C1210="TANIMSIZ MÜŞTERİ","HATA",IF(OR($E1210="",$F1210&lt;=0,$G1210=""),"EKSİK",IF($E1210&gt;TODAY(),"İLERİ TARİH","UYGUN"))))</f>
        <v/>
      </c>
      <c r="N1210" s="121">
        <f>IF($C1210="","",IF($C1210="TANIMSIZ MÜŞTERİ","—",INDEX(MUSTERILER!$C$7:$C$106,MATCH($C1210,MUSTERILER!$B$7:$B$106,0))))</f>
        <v/>
      </c>
      <c r="O1210" s="6" t="n"/>
      <c r="P1210" s="6" t="n"/>
      <c r="Q1210" s="3">
        <f>IF($D1210="","",$C1210&amp;"|"&amp;COUNTIFS($C$7:$C1210,$C1210))</f>
        <v/>
      </c>
    </row>
    <row r="1211">
      <c r="A1211" s="6" t="n"/>
      <c r="B1211" s="113">
        <f>IF($D1211="","","T"&amp;TEXT(ROW()-6,"00000"))</f>
        <v/>
      </c>
      <c r="C1211" s="113">
        <f>IF($D1211="","",IFERROR(INDEX(MUSTERILER!$B$7:$B$106,MATCH($D1211,MUSTERILER!$C$7:$C$106,0)),IFERROR(INDEX(MUSTERILER!$B$7:$B$106,MATCH($D1211,MUSTERILER!$B$7:$B$106,0)),IFERROR(INDEX(MUSTERILER!$B$7:$B$106,MATCH($D1211&amp;"*",MUSTERILER!$C$7:$C$106,0)),"TANIMSIZ MÜŞTERİ"))))</f>
        <v/>
      </c>
      <c r="D1211" s="109" t="n"/>
      <c r="E1211" s="225" t="n"/>
      <c r="F1211" s="226" t="n"/>
      <c r="G1211" s="108" t="n"/>
      <c r="H1211" s="108" t="n"/>
      <c r="I1211" s="109" t="n"/>
      <c r="J1211" s="109" t="n"/>
      <c r="K1211" s="109" t="n"/>
      <c r="L1211" s="231">
        <f>IF($E1211="","",DATE(YEAR($E1211),MONTH($E1211),1))</f>
        <v/>
      </c>
      <c r="M1211" s="113">
        <f>IF($D1211="","",IF($C1211="TANIMSIZ MÜŞTERİ","HATA",IF(OR($E1211="",$F1211&lt;=0,$G1211=""),"EKSİK",IF($E1211&gt;TODAY(),"İLERİ TARİH","UYGUN"))))</f>
        <v/>
      </c>
      <c r="N1211" s="121">
        <f>IF($C1211="","",IF($C1211="TANIMSIZ MÜŞTERİ","—",INDEX(MUSTERILER!$C$7:$C$106,MATCH($C1211,MUSTERILER!$B$7:$B$106,0))))</f>
        <v/>
      </c>
      <c r="O1211" s="6" t="n"/>
      <c r="P1211" s="6" t="n"/>
      <c r="Q1211" s="3">
        <f>IF($D1211="","",$C1211&amp;"|"&amp;COUNTIFS($C$7:$C1211,$C1211))</f>
        <v/>
      </c>
    </row>
    <row r="1212">
      <c r="A1212" s="6" t="n"/>
      <c r="B1212" s="113">
        <f>IF($D1212="","","T"&amp;TEXT(ROW()-6,"00000"))</f>
        <v/>
      </c>
      <c r="C1212" s="113">
        <f>IF($D1212="","",IFERROR(INDEX(MUSTERILER!$B$7:$B$106,MATCH($D1212,MUSTERILER!$C$7:$C$106,0)),IFERROR(INDEX(MUSTERILER!$B$7:$B$106,MATCH($D1212,MUSTERILER!$B$7:$B$106,0)),IFERROR(INDEX(MUSTERILER!$B$7:$B$106,MATCH($D1212&amp;"*",MUSTERILER!$C$7:$C$106,0)),"TANIMSIZ MÜŞTERİ"))))</f>
        <v/>
      </c>
      <c r="D1212" s="109" t="n"/>
      <c r="E1212" s="225" t="n"/>
      <c r="F1212" s="226" t="n"/>
      <c r="G1212" s="108" t="n"/>
      <c r="H1212" s="108" t="n"/>
      <c r="I1212" s="109" t="n"/>
      <c r="J1212" s="109" t="n"/>
      <c r="K1212" s="109" t="n"/>
      <c r="L1212" s="231">
        <f>IF($E1212="","",DATE(YEAR($E1212),MONTH($E1212),1))</f>
        <v/>
      </c>
      <c r="M1212" s="113">
        <f>IF($D1212="","",IF($C1212="TANIMSIZ MÜŞTERİ","HATA",IF(OR($E1212="",$F1212&lt;=0,$G1212=""),"EKSİK",IF($E1212&gt;TODAY(),"İLERİ TARİH","UYGUN"))))</f>
        <v/>
      </c>
      <c r="N1212" s="121">
        <f>IF($C1212="","",IF($C1212="TANIMSIZ MÜŞTERİ","—",INDEX(MUSTERILER!$C$7:$C$106,MATCH($C1212,MUSTERILER!$B$7:$B$106,0))))</f>
        <v/>
      </c>
      <c r="O1212" s="6" t="n"/>
      <c r="P1212" s="6" t="n"/>
      <c r="Q1212" s="3">
        <f>IF($D1212="","",$C1212&amp;"|"&amp;COUNTIFS($C$7:$C1212,$C1212))</f>
        <v/>
      </c>
    </row>
    <row r="1213">
      <c r="A1213" s="6" t="n"/>
      <c r="B1213" s="113">
        <f>IF($D1213="","","T"&amp;TEXT(ROW()-6,"00000"))</f>
        <v/>
      </c>
      <c r="C1213" s="113">
        <f>IF($D1213="","",IFERROR(INDEX(MUSTERILER!$B$7:$B$106,MATCH($D1213,MUSTERILER!$C$7:$C$106,0)),IFERROR(INDEX(MUSTERILER!$B$7:$B$106,MATCH($D1213,MUSTERILER!$B$7:$B$106,0)),IFERROR(INDEX(MUSTERILER!$B$7:$B$106,MATCH($D1213&amp;"*",MUSTERILER!$C$7:$C$106,0)),"TANIMSIZ MÜŞTERİ"))))</f>
        <v/>
      </c>
      <c r="D1213" s="109" t="n"/>
      <c r="E1213" s="225" t="n"/>
      <c r="F1213" s="226" t="n"/>
      <c r="G1213" s="108" t="n"/>
      <c r="H1213" s="108" t="n"/>
      <c r="I1213" s="109" t="n"/>
      <c r="J1213" s="109" t="n"/>
      <c r="K1213" s="109" t="n"/>
      <c r="L1213" s="231">
        <f>IF($E1213="","",DATE(YEAR($E1213),MONTH($E1213),1))</f>
        <v/>
      </c>
      <c r="M1213" s="113">
        <f>IF($D1213="","",IF($C1213="TANIMSIZ MÜŞTERİ","HATA",IF(OR($E1213="",$F1213&lt;=0,$G1213=""),"EKSİK",IF($E1213&gt;TODAY(),"İLERİ TARİH","UYGUN"))))</f>
        <v/>
      </c>
      <c r="N1213" s="121">
        <f>IF($C1213="","",IF($C1213="TANIMSIZ MÜŞTERİ","—",INDEX(MUSTERILER!$C$7:$C$106,MATCH($C1213,MUSTERILER!$B$7:$B$106,0))))</f>
        <v/>
      </c>
      <c r="O1213" s="6" t="n"/>
      <c r="P1213" s="6" t="n"/>
      <c r="Q1213" s="3">
        <f>IF($D1213="","",$C1213&amp;"|"&amp;COUNTIFS($C$7:$C1213,$C1213))</f>
        <v/>
      </c>
    </row>
    <row r="1214">
      <c r="A1214" s="6" t="n"/>
      <c r="B1214" s="113">
        <f>IF($D1214="","","T"&amp;TEXT(ROW()-6,"00000"))</f>
        <v/>
      </c>
      <c r="C1214" s="113">
        <f>IF($D1214="","",IFERROR(INDEX(MUSTERILER!$B$7:$B$106,MATCH($D1214,MUSTERILER!$C$7:$C$106,0)),IFERROR(INDEX(MUSTERILER!$B$7:$B$106,MATCH($D1214,MUSTERILER!$B$7:$B$106,0)),IFERROR(INDEX(MUSTERILER!$B$7:$B$106,MATCH($D1214&amp;"*",MUSTERILER!$C$7:$C$106,0)),"TANIMSIZ MÜŞTERİ"))))</f>
        <v/>
      </c>
      <c r="D1214" s="109" t="n"/>
      <c r="E1214" s="225" t="n"/>
      <c r="F1214" s="226" t="n"/>
      <c r="G1214" s="108" t="n"/>
      <c r="H1214" s="108" t="n"/>
      <c r="I1214" s="109" t="n"/>
      <c r="J1214" s="109" t="n"/>
      <c r="K1214" s="109" t="n"/>
      <c r="L1214" s="231">
        <f>IF($E1214="","",DATE(YEAR($E1214),MONTH($E1214),1))</f>
        <v/>
      </c>
      <c r="M1214" s="113">
        <f>IF($D1214="","",IF($C1214="TANIMSIZ MÜŞTERİ","HATA",IF(OR($E1214="",$F1214&lt;=0,$G1214=""),"EKSİK",IF($E1214&gt;TODAY(),"İLERİ TARİH","UYGUN"))))</f>
        <v/>
      </c>
      <c r="N1214" s="121">
        <f>IF($C1214="","",IF($C1214="TANIMSIZ MÜŞTERİ","—",INDEX(MUSTERILER!$C$7:$C$106,MATCH($C1214,MUSTERILER!$B$7:$B$106,0))))</f>
        <v/>
      </c>
      <c r="O1214" s="6" t="n"/>
      <c r="P1214" s="6" t="n"/>
      <c r="Q1214" s="3">
        <f>IF($D1214="","",$C1214&amp;"|"&amp;COUNTIFS($C$7:$C1214,$C1214))</f>
        <v/>
      </c>
    </row>
    <row r="1215">
      <c r="A1215" s="6" t="n"/>
      <c r="B1215" s="113">
        <f>IF($D1215="","","T"&amp;TEXT(ROW()-6,"00000"))</f>
        <v/>
      </c>
      <c r="C1215" s="113">
        <f>IF($D1215="","",IFERROR(INDEX(MUSTERILER!$B$7:$B$106,MATCH($D1215,MUSTERILER!$C$7:$C$106,0)),IFERROR(INDEX(MUSTERILER!$B$7:$B$106,MATCH($D1215,MUSTERILER!$B$7:$B$106,0)),IFERROR(INDEX(MUSTERILER!$B$7:$B$106,MATCH($D1215&amp;"*",MUSTERILER!$C$7:$C$106,0)),"TANIMSIZ MÜŞTERİ"))))</f>
        <v/>
      </c>
      <c r="D1215" s="109" t="n"/>
      <c r="E1215" s="225" t="n"/>
      <c r="F1215" s="226" t="n"/>
      <c r="G1215" s="108" t="n"/>
      <c r="H1215" s="108" t="n"/>
      <c r="I1215" s="109" t="n"/>
      <c r="J1215" s="109" t="n"/>
      <c r="K1215" s="109" t="n"/>
      <c r="L1215" s="231">
        <f>IF($E1215="","",DATE(YEAR($E1215),MONTH($E1215),1))</f>
        <v/>
      </c>
      <c r="M1215" s="113">
        <f>IF($D1215="","",IF($C1215="TANIMSIZ MÜŞTERİ","HATA",IF(OR($E1215="",$F1215&lt;=0,$G1215=""),"EKSİK",IF($E1215&gt;TODAY(),"İLERİ TARİH","UYGUN"))))</f>
        <v/>
      </c>
      <c r="N1215" s="121">
        <f>IF($C1215="","",IF($C1215="TANIMSIZ MÜŞTERİ","—",INDEX(MUSTERILER!$C$7:$C$106,MATCH($C1215,MUSTERILER!$B$7:$B$106,0))))</f>
        <v/>
      </c>
      <c r="O1215" s="6" t="n"/>
      <c r="P1215" s="6" t="n"/>
      <c r="Q1215" s="3">
        <f>IF($D1215="","",$C1215&amp;"|"&amp;COUNTIFS($C$7:$C1215,$C1215))</f>
        <v/>
      </c>
    </row>
    <row r="1216">
      <c r="A1216" s="6" t="n"/>
      <c r="B1216" s="113">
        <f>IF($D1216="","","T"&amp;TEXT(ROW()-6,"00000"))</f>
        <v/>
      </c>
      <c r="C1216" s="113">
        <f>IF($D1216="","",IFERROR(INDEX(MUSTERILER!$B$7:$B$106,MATCH($D1216,MUSTERILER!$C$7:$C$106,0)),IFERROR(INDEX(MUSTERILER!$B$7:$B$106,MATCH($D1216,MUSTERILER!$B$7:$B$106,0)),IFERROR(INDEX(MUSTERILER!$B$7:$B$106,MATCH($D1216&amp;"*",MUSTERILER!$C$7:$C$106,0)),"TANIMSIZ MÜŞTERİ"))))</f>
        <v/>
      </c>
      <c r="D1216" s="109" t="n"/>
      <c r="E1216" s="225" t="n"/>
      <c r="F1216" s="226" t="n"/>
      <c r="G1216" s="108" t="n"/>
      <c r="H1216" s="108" t="n"/>
      <c r="I1216" s="109" t="n"/>
      <c r="J1216" s="109" t="n"/>
      <c r="K1216" s="109" t="n"/>
      <c r="L1216" s="231">
        <f>IF($E1216="","",DATE(YEAR($E1216),MONTH($E1216),1))</f>
        <v/>
      </c>
      <c r="M1216" s="113">
        <f>IF($D1216="","",IF($C1216="TANIMSIZ MÜŞTERİ","HATA",IF(OR($E1216="",$F1216&lt;=0,$G1216=""),"EKSİK",IF($E1216&gt;TODAY(),"İLERİ TARİH","UYGUN"))))</f>
        <v/>
      </c>
      <c r="N1216" s="121">
        <f>IF($C1216="","",IF($C1216="TANIMSIZ MÜŞTERİ","—",INDEX(MUSTERILER!$C$7:$C$106,MATCH($C1216,MUSTERILER!$B$7:$B$106,0))))</f>
        <v/>
      </c>
      <c r="O1216" s="6" t="n"/>
      <c r="P1216" s="6" t="n"/>
      <c r="Q1216" s="3">
        <f>IF($D1216="","",$C1216&amp;"|"&amp;COUNTIFS($C$7:$C1216,$C1216))</f>
        <v/>
      </c>
    </row>
    <row r="1217">
      <c r="A1217" s="6" t="n"/>
      <c r="B1217" s="113">
        <f>IF($D1217="","","T"&amp;TEXT(ROW()-6,"00000"))</f>
        <v/>
      </c>
      <c r="C1217" s="113">
        <f>IF($D1217="","",IFERROR(INDEX(MUSTERILER!$B$7:$B$106,MATCH($D1217,MUSTERILER!$C$7:$C$106,0)),IFERROR(INDEX(MUSTERILER!$B$7:$B$106,MATCH($D1217,MUSTERILER!$B$7:$B$106,0)),IFERROR(INDEX(MUSTERILER!$B$7:$B$106,MATCH($D1217&amp;"*",MUSTERILER!$C$7:$C$106,0)),"TANIMSIZ MÜŞTERİ"))))</f>
        <v/>
      </c>
      <c r="D1217" s="109" t="n"/>
      <c r="E1217" s="225" t="n"/>
      <c r="F1217" s="226" t="n"/>
      <c r="G1217" s="108" t="n"/>
      <c r="H1217" s="108" t="n"/>
      <c r="I1217" s="109" t="n"/>
      <c r="J1217" s="109" t="n"/>
      <c r="K1217" s="109" t="n"/>
      <c r="L1217" s="231">
        <f>IF($E1217="","",DATE(YEAR($E1217),MONTH($E1217),1))</f>
        <v/>
      </c>
      <c r="M1217" s="113">
        <f>IF($D1217="","",IF($C1217="TANIMSIZ MÜŞTERİ","HATA",IF(OR($E1217="",$F1217&lt;=0,$G1217=""),"EKSİK",IF($E1217&gt;TODAY(),"İLERİ TARİH","UYGUN"))))</f>
        <v/>
      </c>
      <c r="N1217" s="121">
        <f>IF($C1217="","",IF($C1217="TANIMSIZ MÜŞTERİ","—",INDEX(MUSTERILER!$C$7:$C$106,MATCH($C1217,MUSTERILER!$B$7:$B$106,0))))</f>
        <v/>
      </c>
      <c r="O1217" s="6" t="n"/>
      <c r="P1217" s="6" t="n"/>
      <c r="Q1217" s="3">
        <f>IF($D1217="","",$C1217&amp;"|"&amp;COUNTIFS($C$7:$C1217,$C1217))</f>
        <v/>
      </c>
    </row>
    <row r="1218">
      <c r="A1218" s="6" t="n"/>
      <c r="B1218" s="113">
        <f>IF($D1218="","","T"&amp;TEXT(ROW()-6,"00000"))</f>
        <v/>
      </c>
      <c r="C1218" s="113">
        <f>IF($D1218="","",IFERROR(INDEX(MUSTERILER!$B$7:$B$106,MATCH($D1218,MUSTERILER!$C$7:$C$106,0)),IFERROR(INDEX(MUSTERILER!$B$7:$B$106,MATCH($D1218,MUSTERILER!$B$7:$B$106,0)),IFERROR(INDEX(MUSTERILER!$B$7:$B$106,MATCH($D1218&amp;"*",MUSTERILER!$C$7:$C$106,0)),"TANIMSIZ MÜŞTERİ"))))</f>
        <v/>
      </c>
      <c r="D1218" s="109" t="n"/>
      <c r="E1218" s="225" t="n"/>
      <c r="F1218" s="226" t="n"/>
      <c r="G1218" s="108" t="n"/>
      <c r="H1218" s="108" t="n"/>
      <c r="I1218" s="109" t="n"/>
      <c r="J1218" s="109" t="n"/>
      <c r="K1218" s="109" t="n"/>
      <c r="L1218" s="231">
        <f>IF($E1218="","",DATE(YEAR($E1218),MONTH($E1218),1))</f>
        <v/>
      </c>
      <c r="M1218" s="113">
        <f>IF($D1218="","",IF($C1218="TANIMSIZ MÜŞTERİ","HATA",IF(OR($E1218="",$F1218&lt;=0,$G1218=""),"EKSİK",IF($E1218&gt;TODAY(),"İLERİ TARİH","UYGUN"))))</f>
        <v/>
      </c>
      <c r="N1218" s="121">
        <f>IF($C1218="","",IF($C1218="TANIMSIZ MÜŞTERİ","—",INDEX(MUSTERILER!$C$7:$C$106,MATCH($C1218,MUSTERILER!$B$7:$B$106,0))))</f>
        <v/>
      </c>
      <c r="O1218" s="6" t="n"/>
      <c r="P1218" s="6" t="n"/>
      <c r="Q1218" s="3">
        <f>IF($D1218="","",$C1218&amp;"|"&amp;COUNTIFS($C$7:$C1218,$C1218))</f>
        <v/>
      </c>
    </row>
    <row r="1219">
      <c r="A1219" s="6" t="n"/>
      <c r="B1219" s="113">
        <f>IF($D1219="","","T"&amp;TEXT(ROW()-6,"00000"))</f>
        <v/>
      </c>
      <c r="C1219" s="113">
        <f>IF($D1219="","",IFERROR(INDEX(MUSTERILER!$B$7:$B$106,MATCH($D1219,MUSTERILER!$C$7:$C$106,0)),IFERROR(INDEX(MUSTERILER!$B$7:$B$106,MATCH($D1219,MUSTERILER!$B$7:$B$106,0)),IFERROR(INDEX(MUSTERILER!$B$7:$B$106,MATCH($D1219&amp;"*",MUSTERILER!$C$7:$C$106,0)),"TANIMSIZ MÜŞTERİ"))))</f>
        <v/>
      </c>
      <c r="D1219" s="109" t="n"/>
      <c r="E1219" s="225" t="n"/>
      <c r="F1219" s="226" t="n"/>
      <c r="G1219" s="108" t="n"/>
      <c r="H1219" s="108" t="n"/>
      <c r="I1219" s="109" t="n"/>
      <c r="J1219" s="109" t="n"/>
      <c r="K1219" s="109" t="n"/>
      <c r="L1219" s="231">
        <f>IF($E1219="","",DATE(YEAR($E1219),MONTH($E1219),1))</f>
        <v/>
      </c>
      <c r="M1219" s="113">
        <f>IF($D1219="","",IF($C1219="TANIMSIZ MÜŞTERİ","HATA",IF(OR($E1219="",$F1219&lt;=0,$G1219=""),"EKSİK",IF($E1219&gt;TODAY(),"İLERİ TARİH","UYGUN"))))</f>
        <v/>
      </c>
      <c r="N1219" s="121">
        <f>IF($C1219="","",IF($C1219="TANIMSIZ MÜŞTERİ","—",INDEX(MUSTERILER!$C$7:$C$106,MATCH($C1219,MUSTERILER!$B$7:$B$106,0))))</f>
        <v/>
      </c>
      <c r="O1219" s="6" t="n"/>
      <c r="P1219" s="6" t="n"/>
      <c r="Q1219" s="3">
        <f>IF($D1219="","",$C1219&amp;"|"&amp;COUNTIFS($C$7:$C1219,$C1219))</f>
        <v/>
      </c>
    </row>
    <row r="1220">
      <c r="A1220" s="6" t="n"/>
      <c r="B1220" s="113">
        <f>IF($D1220="","","T"&amp;TEXT(ROW()-6,"00000"))</f>
        <v/>
      </c>
      <c r="C1220" s="113">
        <f>IF($D1220="","",IFERROR(INDEX(MUSTERILER!$B$7:$B$106,MATCH($D1220,MUSTERILER!$C$7:$C$106,0)),IFERROR(INDEX(MUSTERILER!$B$7:$B$106,MATCH($D1220,MUSTERILER!$B$7:$B$106,0)),IFERROR(INDEX(MUSTERILER!$B$7:$B$106,MATCH($D1220&amp;"*",MUSTERILER!$C$7:$C$106,0)),"TANIMSIZ MÜŞTERİ"))))</f>
        <v/>
      </c>
      <c r="D1220" s="109" t="n"/>
      <c r="E1220" s="225" t="n"/>
      <c r="F1220" s="226" t="n"/>
      <c r="G1220" s="108" t="n"/>
      <c r="H1220" s="108" t="n"/>
      <c r="I1220" s="109" t="n"/>
      <c r="J1220" s="109" t="n"/>
      <c r="K1220" s="109" t="n"/>
      <c r="L1220" s="231">
        <f>IF($E1220="","",DATE(YEAR($E1220),MONTH($E1220),1))</f>
        <v/>
      </c>
      <c r="M1220" s="113">
        <f>IF($D1220="","",IF($C1220="TANIMSIZ MÜŞTERİ","HATA",IF(OR($E1220="",$F1220&lt;=0,$G1220=""),"EKSİK",IF($E1220&gt;TODAY(),"İLERİ TARİH","UYGUN"))))</f>
        <v/>
      </c>
      <c r="N1220" s="121">
        <f>IF($C1220="","",IF($C1220="TANIMSIZ MÜŞTERİ","—",INDEX(MUSTERILER!$C$7:$C$106,MATCH($C1220,MUSTERILER!$B$7:$B$106,0))))</f>
        <v/>
      </c>
      <c r="O1220" s="6" t="n"/>
      <c r="P1220" s="6" t="n"/>
      <c r="Q1220" s="3">
        <f>IF($D1220="","",$C1220&amp;"|"&amp;COUNTIFS($C$7:$C1220,$C1220))</f>
        <v/>
      </c>
    </row>
    <row r="1221">
      <c r="A1221" s="6" t="n"/>
      <c r="B1221" s="113">
        <f>IF($D1221="","","T"&amp;TEXT(ROW()-6,"00000"))</f>
        <v/>
      </c>
      <c r="C1221" s="113">
        <f>IF($D1221="","",IFERROR(INDEX(MUSTERILER!$B$7:$B$106,MATCH($D1221,MUSTERILER!$C$7:$C$106,0)),IFERROR(INDEX(MUSTERILER!$B$7:$B$106,MATCH($D1221,MUSTERILER!$B$7:$B$106,0)),IFERROR(INDEX(MUSTERILER!$B$7:$B$106,MATCH($D1221&amp;"*",MUSTERILER!$C$7:$C$106,0)),"TANIMSIZ MÜŞTERİ"))))</f>
        <v/>
      </c>
      <c r="D1221" s="109" t="n"/>
      <c r="E1221" s="225" t="n"/>
      <c r="F1221" s="226" t="n"/>
      <c r="G1221" s="108" t="n"/>
      <c r="H1221" s="108" t="n"/>
      <c r="I1221" s="109" t="n"/>
      <c r="J1221" s="109" t="n"/>
      <c r="K1221" s="109" t="n"/>
      <c r="L1221" s="231">
        <f>IF($E1221="","",DATE(YEAR($E1221),MONTH($E1221),1))</f>
        <v/>
      </c>
      <c r="M1221" s="113">
        <f>IF($D1221="","",IF($C1221="TANIMSIZ MÜŞTERİ","HATA",IF(OR($E1221="",$F1221&lt;=0,$G1221=""),"EKSİK",IF($E1221&gt;TODAY(),"İLERİ TARİH","UYGUN"))))</f>
        <v/>
      </c>
      <c r="N1221" s="121">
        <f>IF($C1221="","",IF($C1221="TANIMSIZ MÜŞTERİ","—",INDEX(MUSTERILER!$C$7:$C$106,MATCH($C1221,MUSTERILER!$B$7:$B$106,0))))</f>
        <v/>
      </c>
      <c r="O1221" s="6" t="n"/>
      <c r="P1221" s="6" t="n"/>
      <c r="Q1221" s="3">
        <f>IF($D1221="","",$C1221&amp;"|"&amp;COUNTIFS($C$7:$C1221,$C1221))</f>
        <v/>
      </c>
    </row>
    <row r="1222">
      <c r="A1222" s="6" t="n"/>
      <c r="B1222" s="113">
        <f>IF($D1222="","","T"&amp;TEXT(ROW()-6,"00000"))</f>
        <v/>
      </c>
      <c r="C1222" s="113">
        <f>IF($D1222="","",IFERROR(INDEX(MUSTERILER!$B$7:$B$106,MATCH($D1222,MUSTERILER!$C$7:$C$106,0)),IFERROR(INDEX(MUSTERILER!$B$7:$B$106,MATCH($D1222,MUSTERILER!$B$7:$B$106,0)),IFERROR(INDEX(MUSTERILER!$B$7:$B$106,MATCH($D1222&amp;"*",MUSTERILER!$C$7:$C$106,0)),"TANIMSIZ MÜŞTERİ"))))</f>
        <v/>
      </c>
      <c r="D1222" s="109" t="n"/>
      <c r="E1222" s="225" t="n"/>
      <c r="F1222" s="226" t="n"/>
      <c r="G1222" s="108" t="n"/>
      <c r="H1222" s="108" t="n"/>
      <c r="I1222" s="109" t="n"/>
      <c r="J1222" s="109" t="n"/>
      <c r="K1222" s="109" t="n"/>
      <c r="L1222" s="231">
        <f>IF($E1222="","",DATE(YEAR($E1222),MONTH($E1222),1))</f>
        <v/>
      </c>
      <c r="M1222" s="113">
        <f>IF($D1222="","",IF($C1222="TANIMSIZ MÜŞTERİ","HATA",IF(OR($E1222="",$F1222&lt;=0,$G1222=""),"EKSİK",IF($E1222&gt;TODAY(),"İLERİ TARİH","UYGUN"))))</f>
        <v/>
      </c>
      <c r="N1222" s="121">
        <f>IF($C1222="","",IF($C1222="TANIMSIZ MÜŞTERİ","—",INDEX(MUSTERILER!$C$7:$C$106,MATCH($C1222,MUSTERILER!$B$7:$B$106,0))))</f>
        <v/>
      </c>
      <c r="O1222" s="6" t="n"/>
      <c r="P1222" s="6" t="n"/>
      <c r="Q1222" s="3">
        <f>IF($D1222="","",$C1222&amp;"|"&amp;COUNTIFS($C$7:$C1222,$C1222))</f>
        <v/>
      </c>
    </row>
    <row r="1223">
      <c r="A1223" s="6" t="n"/>
      <c r="B1223" s="113">
        <f>IF($D1223="","","T"&amp;TEXT(ROW()-6,"00000"))</f>
        <v/>
      </c>
      <c r="C1223" s="113">
        <f>IF($D1223="","",IFERROR(INDEX(MUSTERILER!$B$7:$B$106,MATCH($D1223,MUSTERILER!$C$7:$C$106,0)),IFERROR(INDEX(MUSTERILER!$B$7:$B$106,MATCH($D1223,MUSTERILER!$B$7:$B$106,0)),IFERROR(INDEX(MUSTERILER!$B$7:$B$106,MATCH($D1223&amp;"*",MUSTERILER!$C$7:$C$106,0)),"TANIMSIZ MÜŞTERİ"))))</f>
        <v/>
      </c>
      <c r="D1223" s="109" t="n"/>
      <c r="E1223" s="225" t="n"/>
      <c r="F1223" s="226" t="n"/>
      <c r="G1223" s="108" t="n"/>
      <c r="H1223" s="108" t="n"/>
      <c r="I1223" s="109" t="n"/>
      <c r="J1223" s="109" t="n"/>
      <c r="K1223" s="109" t="n"/>
      <c r="L1223" s="231">
        <f>IF($E1223="","",DATE(YEAR($E1223),MONTH($E1223),1))</f>
        <v/>
      </c>
      <c r="M1223" s="113">
        <f>IF($D1223="","",IF($C1223="TANIMSIZ MÜŞTERİ","HATA",IF(OR($E1223="",$F1223&lt;=0,$G1223=""),"EKSİK",IF($E1223&gt;TODAY(),"İLERİ TARİH","UYGUN"))))</f>
        <v/>
      </c>
      <c r="N1223" s="121">
        <f>IF($C1223="","",IF($C1223="TANIMSIZ MÜŞTERİ","—",INDEX(MUSTERILER!$C$7:$C$106,MATCH($C1223,MUSTERILER!$B$7:$B$106,0))))</f>
        <v/>
      </c>
      <c r="O1223" s="6" t="n"/>
      <c r="P1223" s="6" t="n"/>
      <c r="Q1223" s="3">
        <f>IF($D1223="","",$C1223&amp;"|"&amp;COUNTIFS($C$7:$C1223,$C1223))</f>
        <v/>
      </c>
    </row>
    <row r="1224">
      <c r="A1224" s="6" t="n"/>
      <c r="B1224" s="113">
        <f>IF($D1224="","","T"&amp;TEXT(ROW()-6,"00000"))</f>
        <v/>
      </c>
      <c r="C1224" s="113">
        <f>IF($D1224="","",IFERROR(INDEX(MUSTERILER!$B$7:$B$106,MATCH($D1224,MUSTERILER!$C$7:$C$106,0)),IFERROR(INDEX(MUSTERILER!$B$7:$B$106,MATCH($D1224,MUSTERILER!$B$7:$B$106,0)),IFERROR(INDEX(MUSTERILER!$B$7:$B$106,MATCH($D1224&amp;"*",MUSTERILER!$C$7:$C$106,0)),"TANIMSIZ MÜŞTERİ"))))</f>
        <v/>
      </c>
      <c r="D1224" s="109" t="n"/>
      <c r="E1224" s="225" t="n"/>
      <c r="F1224" s="226" t="n"/>
      <c r="G1224" s="108" t="n"/>
      <c r="H1224" s="108" t="n"/>
      <c r="I1224" s="109" t="n"/>
      <c r="J1224" s="109" t="n"/>
      <c r="K1224" s="109" t="n"/>
      <c r="L1224" s="231">
        <f>IF($E1224="","",DATE(YEAR($E1224),MONTH($E1224),1))</f>
        <v/>
      </c>
      <c r="M1224" s="113">
        <f>IF($D1224="","",IF($C1224="TANIMSIZ MÜŞTERİ","HATA",IF(OR($E1224="",$F1224&lt;=0,$G1224=""),"EKSİK",IF($E1224&gt;TODAY(),"İLERİ TARİH","UYGUN"))))</f>
        <v/>
      </c>
      <c r="N1224" s="121">
        <f>IF($C1224="","",IF($C1224="TANIMSIZ MÜŞTERİ","—",INDEX(MUSTERILER!$C$7:$C$106,MATCH($C1224,MUSTERILER!$B$7:$B$106,0))))</f>
        <v/>
      </c>
      <c r="O1224" s="6" t="n"/>
      <c r="P1224" s="6" t="n"/>
      <c r="Q1224" s="3">
        <f>IF($D1224="","",$C1224&amp;"|"&amp;COUNTIFS($C$7:$C1224,$C1224))</f>
        <v/>
      </c>
    </row>
    <row r="1225">
      <c r="A1225" s="6" t="n"/>
      <c r="B1225" s="113">
        <f>IF($D1225="","","T"&amp;TEXT(ROW()-6,"00000"))</f>
        <v/>
      </c>
      <c r="C1225" s="113">
        <f>IF($D1225="","",IFERROR(INDEX(MUSTERILER!$B$7:$B$106,MATCH($D1225,MUSTERILER!$C$7:$C$106,0)),IFERROR(INDEX(MUSTERILER!$B$7:$B$106,MATCH($D1225,MUSTERILER!$B$7:$B$106,0)),IFERROR(INDEX(MUSTERILER!$B$7:$B$106,MATCH($D1225&amp;"*",MUSTERILER!$C$7:$C$106,0)),"TANIMSIZ MÜŞTERİ"))))</f>
        <v/>
      </c>
      <c r="D1225" s="109" t="n"/>
      <c r="E1225" s="225" t="n"/>
      <c r="F1225" s="226" t="n"/>
      <c r="G1225" s="108" t="n"/>
      <c r="H1225" s="108" t="n"/>
      <c r="I1225" s="109" t="n"/>
      <c r="J1225" s="109" t="n"/>
      <c r="K1225" s="109" t="n"/>
      <c r="L1225" s="231">
        <f>IF($E1225="","",DATE(YEAR($E1225),MONTH($E1225),1))</f>
        <v/>
      </c>
      <c r="M1225" s="113">
        <f>IF($D1225="","",IF($C1225="TANIMSIZ MÜŞTERİ","HATA",IF(OR($E1225="",$F1225&lt;=0,$G1225=""),"EKSİK",IF($E1225&gt;TODAY(),"İLERİ TARİH","UYGUN"))))</f>
        <v/>
      </c>
      <c r="N1225" s="121">
        <f>IF($C1225="","",IF($C1225="TANIMSIZ MÜŞTERİ","—",INDEX(MUSTERILER!$C$7:$C$106,MATCH($C1225,MUSTERILER!$B$7:$B$106,0))))</f>
        <v/>
      </c>
      <c r="O1225" s="6" t="n"/>
      <c r="P1225" s="6" t="n"/>
      <c r="Q1225" s="3">
        <f>IF($D1225="","",$C1225&amp;"|"&amp;COUNTIFS($C$7:$C1225,$C1225))</f>
        <v/>
      </c>
    </row>
    <row r="1226">
      <c r="A1226" s="6" t="n"/>
      <c r="B1226" s="113">
        <f>IF($D1226="","","T"&amp;TEXT(ROW()-6,"00000"))</f>
        <v/>
      </c>
      <c r="C1226" s="113">
        <f>IF($D1226="","",IFERROR(INDEX(MUSTERILER!$B$7:$B$106,MATCH($D1226,MUSTERILER!$C$7:$C$106,0)),IFERROR(INDEX(MUSTERILER!$B$7:$B$106,MATCH($D1226,MUSTERILER!$B$7:$B$106,0)),IFERROR(INDEX(MUSTERILER!$B$7:$B$106,MATCH($D1226&amp;"*",MUSTERILER!$C$7:$C$106,0)),"TANIMSIZ MÜŞTERİ"))))</f>
        <v/>
      </c>
      <c r="D1226" s="109" t="n"/>
      <c r="E1226" s="225" t="n"/>
      <c r="F1226" s="226" t="n"/>
      <c r="G1226" s="108" t="n"/>
      <c r="H1226" s="108" t="n"/>
      <c r="I1226" s="109" t="n"/>
      <c r="J1226" s="109" t="n"/>
      <c r="K1226" s="109" t="n"/>
      <c r="L1226" s="231">
        <f>IF($E1226="","",DATE(YEAR($E1226),MONTH($E1226),1))</f>
        <v/>
      </c>
      <c r="M1226" s="113">
        <f>IF($D1226="","",IF($C1226="TANIMSIZ MÜŞTERİ","HATA",IF(OR($E1226="",$F1226&lt;=0,$G1226=""),"EKSİK",IF($E1226&gt;TODAY(),"İLERİ TARİH","UYGUN"))))</f>
        <v/>
      </c>
      <c r="N1226" s="121">
        <f>IF($C1226="","",IF($C1226="TANIMSIZ MÜŞTERİ","—",INDEX(MUSTERILER!$C$7:$C$106,MATCH($C1226,MUSTERILER!$B$7:$B$106,0))))</f>
        <v/>
      </c>
      <c r="O1226" s="6" t="n"/>
      <c r="P1226" s="6" t="n"/>
      <c r="Q1226" s="3">
        <f>IF($D1226="","",$C1226&amp;"|"&amp;COUNTIFS($C$7:$C1226,$C1226))</f>
        <v/>
      </c>
    </row>
    <row r="1227">
      <c r="A1227" s="6" t="n"/>
      <c r="B1227" s="113">
        <f>IF($D1227="","","T"&amp;TEXT(ROW()-6,"00000"))</f>
        <v/>
      </c>
      <c r="C1227" s="113">
        <f>IF($D1227="","",IFERROR(INDEX(MUSTERILER!$B$7:$B$106,MATCH($D1227,MUSTERILER!$C$7:$C$106,0)),IFERROR(INDEX(MUSTERILER!$B$7:$B$106,MATCH($D1227,MUSTERILER!$B$7:$B$106,0)),IFERROR(INDEX(MUSTERILER!$B$7:$B$106,MATCH($D1227&amp;"*",MUSTERILER!$C$7:$C$106,0)),"TANIMSIZ MÜŞTERİ"))))</f>
        <v/>
      </c>
      <c r="D1227" s="109" t="n"/>
      <c r="E1227" s="225" t="n"/>
      <c r="F1227" s="226" t="n"/>
      <c r="G1227" s="108" t="n"/>
      <c r="H1227" s="108" t="n"/>
      <c r="I1227" s="109" t="n"/>
      <c r="J1227" s="109" t="n"/>
      <c r="K1227" s="109" t="n"/>
      <c r="L1227" s="231">
        <f>IF($E1227="","",DATE(YEAR($E1227),MONTH($E1227),1))</f>
        <v/>
      </c>
      <c r="M1227" s="113">
        <f>IF($D1227="","",IF($C1227="TANIMSIZ MÜŞTERİ","HATA",IF(OR($E1227="",$F1227&lt;=0,$G1227=""),"EKSİK",IF($E1227&gt;TODAY(),"İLERİ TARİH","UYGUN"))))</f>
        <v/>
      </c>
      <c r="N1227" s="121">
        <f>IF($C1227="","",IF($C1227="TANIMSIZ MÜŞTERİ","—",INDEX(MUSTERILER!$C$7:$C$106,MATCH($C1227,MUSTERILER!$B$7:$B$106,0))))</f>
        <v/>
      </c>
      <c r="O1227" s="6" t="n"/>
      <c r="P1227" s="6" t="n"/>
      <c r="Q1227" s="3">
        <f>IF($D1227="","",$C1227&amp;"|"&amp;COUNTIFS($C$7:$C1227,$C1227))</f>
        <v/>
      </c>
    </row>
    <row r="1228">
      <c r="A1228" s="6" t="n"/>
      <c r="B1228" s="113">
        <f>IF($D1228="","","T"&amp;TEXT(ROW()-6,"00000"))</f>
        <v/>
      </c>
      <c r="C1228" s="113">
        <f>IF($D1228="","",IFERROR(INDEX(MUSTERILER!$B$7:$B$106,MATCH($D1228,MUSTERILER!$C$7:$C$106,0)),IFERROR(INDEX(MUSTERILER!$B$7:$B$106,MATCH($D1228,MUSTERILER!$B$7:$B$106,0)),IFERROR(INDEX(MUSTERILER!$B$7:$B$106,MATCH($D1228&amp;"*",MUSTERILER!$C$7:$C$106,0)),"TANIMSIZ MÜŞTERİ"))))</f>
        <v/>
      </c>
      <c r="D1228" s="109" t="n"/>
      <c r="E1228" s="225" t="n"/>
      <c r="F1228" s="226" t="n"/>
      <c r="G1228" s="108" t="n"/>
      <c r="H1228" s="108" t="n"/>
      <c r="I1228" s="109" t="n"/>
      <c r="J1228" s="109" t="n"/>
      <c r="K1228" s="109" t="n"/>
      <c r="L1228" s="231">
        <f>IF($E1228="","",DATE(YEAR($E1228),MONTH($E1228),1))</f>
        <v/>
      </c>
      <c r="M1228" s="113">
        <f>IF($D1228="","",IF($C1228="TANIMSIZ MÜŞTERİ","HATA",IF(OR($E1228="",$F1228&lt;=0,$G1228=""),"EKSİK",IF($E1228&gt;TODAY(),"İLERİ TARİH","UYGUN"))))</f>
        <v/>
      </c>
      <c r="N1228" s="121">
        <f>IF($C1228="","",IF($C1228="TANIMSIZ MÜŞTERİ","—",INDEX(MUSTERILER!$C$7:$C$106,MATCH($C1228,MUSTERILER!$B$7:$B$106,0))))</f>
        <v/>
      </c>
      <c r="O1228" s="6" t="n"/>
      <c r="P1228" s="6" t="n"/>
      <c r="Q1228" s="3">
        <f>IF($D1228="","",$C1228&amp;"|"&amp;COUNTIFS($C$7:$C1228,$C1228))</f>
        <v/>
      </c>
    </row>
    <row r="1229">
      <c r="A1229" s="6" t="n"/>
      <c r="B1229" s="113">
        <f>IF($D1229="","","T"&amp;TEXT(ROW()-6,"00000"))</f>
        <v/>
      </c>
      <c r="C1229" s="113">
        <f>IF($D1229="","",IFERROR(INDEX(MUSTERILER!$B$7:$B$106,MATCH($D1229,MUSTERILER!$C$7:$C$106,0)),IFERROR(INDEX(MUSTERILER!$B$7:$B$106,MATCH($D1229,MUSTERILER!$B$7:$B$106,0)),IFERROR(INDEX(MUSTERILER!$B$7:$B$106,MATCH($D1229&amp;"*",MUSTERILER!$C$7:$C$106,0)),"TANIMSIZ MÜŞTERİ"))))</f>
        <v/>
      </c>
      <c r="D1229" s="109" t="n"/>
      <c r="E1229" s="225" t="n"/>
      <c r="F1229" s="226" t="n"/>
      <c r="G1229" s="108" t="n"/>
      <c r="H1229" s="108" t="n"/>
      <c r="I1229" s="109" t="n"/>
      <c r="J1229" s="109" t="n"/>
      <c r="K1229" s="109" t="n"/>
      <c r="L1229" s="231">
        <f>IF($E1229="","",DATE(YEAR($E1229),MONTH($E1229),1))</f>
        <v/>
      </c>
      <c r="M1229" s="113">
        <f>IF($D1229="","",IF($C1229="TANIMSIZ MÜŞTERİ","HATA",IF(OR($E1229="",$F1229&lt;=0,$G1229=""),"EKSİK",IF($E1229&gt;TODAY(),"İLERİ TARİH","UYGUN"))))</f>
        <v/>
      </c>
      <c r="N1229" s="121">
        <f>IF($C1229="","",IF($C1229="TANIMSIZ MÜŞTERİ","—",INDEX(MUSTERILER!$C$7:$C$106,MATCH($C1229,MUSTERILER!$B$7:$B$106,0))))</f>
        <v/>
      </c>
      <c r="O1229" s="6" t="n"/>
      <c r="P1229" s="6" t="n"/>
      <c r="Q1229" s="3">
        <f>IF($D1229="","",$C1229&amp;"|"&amp;COUNTIFS($C$7:$C1229,$C1229))</f>
        <v/>
      </c>
    </row>
    <row r="1230">
      <c r="A1230" s="6" t="n"/>
      <c r="B1230" s="113">
        <f>IF($D1230="","","T"&amp;TEXT(ROW()-6,"00000"))</f>
        <v/>
      </c>
      <c r="C1230" s="113">
        <f>IF($D1230="","",IFERROR(INDEX(MUSTERILER!$B$7:$B$106,MATCH($D1230,MUSTERILER!$C$7:$C$106,0)),IFERROR(INDEX(MUSTERILER!$B$7:$B$106,MATCH($D1230,MUSTERILER!$B$7:$B$106,0)),IFERROR(INDEX(MUSTERILER!$B$7:$B$106,MATCH($D1230&amp;"*",MUSTERILER!$C$7:$C$106,0)),"TANIMSIZ MÜŞTERİ"))))</f>
        <v/>
      </c>
      <c r="D1230" s="109" t="n"/>
      <c r="E1230" s="225" t="n"/>
      <c r="F1230" s="226" t="n"/>
      <c r="G1230" s="108" t="n"/>
      <c r="H1230" s="108" t="n"/>
      <c r="I1230" s="109" t="n"/>
      <c r="J1230" s="109" t="n"/>
      <c r="K1230" s="109" t="n"/>
      <c r="L1230" s="231">
        <f>IF($E1230="","",DATE(YEAR($E1230),MONTH($E1230),1))</f>
        <v/>
      </c>
      <c r="M1230" s="113">
        <f>IF($D1230="","",IF($C1230="TANIMSIZ MÜŞTERİ","HATA",IF(OR($E1230="",$F1230&lt;=0,$G1230=""),"EKSİK",IF($E1230&gt;TODAY(),"İLERİ TARİH","UYGUN"))))</f>
        <v/>
      </c>
      <c r="N1230" s="121">
        <f>IF($C1230="","",IF($C1230="TANIMSIZ MÜŞTERİ","—",INDEX(MUSTERILER!$C$7:$C$106,MATCH($C1230,MUSTERILER!$B$7:$B$106,0))))</f>
        <v/>
      </c>
      <c r="O1230" s="6" t="n"/>
      <c r="P1230" s="6" t="n"/>
      <c r="Q1230" s="3">
        <f>IF($D1230="","",$C1230&amp;"|"&amp;COUNTIFS($C$7:$C1230,$C1230))</f>
        <v/>
      </c>
    </row>
    <row r="1231">
      <c r="A1231" s="6" t="n"/>
      <c r="B1231" s="113">
        <f>IF($D1231="","","T"&amp;TEXT(ROW()-6,"00000"))</f>
        <v/>
      </c>
      <c r="C1231" s="113">
        <f>IF($D1231="","",IFERROR(INDEX(MUSTERILER!$B$7:$B$106,MATCH($D1231,MUSTERILER!$C$7:$C$106,0)),IFERROR(INDEX(MUSTERILER!$B$7:$B$106,MATCH($D1231,MUSTERILER!$B$7:$B$106,0)),IFERROR(INDEX(MUSTERILER!$B$7:$B$106,MATCH($D1231&amp;"*",MUSTERILER!$C$7:$C$106,0)),"TANIMSIZ MÜŞTERİ"))))</f>
        <v/>
      </c>
      <c r="D1231" s="109" t="n"/>
      <c r="E1231" s="225" t="n"/>
      <c r="F1231" s="226" t="n"/>
      <c r="G1231" s="108" t="n"/>
      <c r="H1231" s="108" t="n"/>
      <c r="I1231" s="109" t="n"/>
      <c r="J1231" s="109" t="n"/>
      <c r="K1231" s="109" t="n"/>
      <c r="L1231" s="231">
        <f>IF($E1231="","",DATE(YEAR($E1231),MONTH($E1231),1))</f>
        <v/>
      </c>
      <c r="M1231" s="113">
        <f>IF($D1231="","",IF($C1231="TANIMSIZ MÜŞTERİ","HATA",IF(OR($E1231="",$F1231&lt;=0,$G1231=""),"EKSİK",IF($E1231&gt;TODAY(),"İLERİ TARİH","UYGUN"))))</f>
        <v/>
      </c>
      <c r="N1231" s="121">
        <f>IF($C1231="","",IF($C1231="TANIMSIZ MÜŞTERİ","—",INDEX(MUSTERILER!$C$7:$C$106,MATCH($C1231,MUSTERILER!$B$7:$B$106,0))))</f>
        <v/>
      </c>
      <c r="O1231" s="6" t="n"/>
      <c r="P1231" s="6" t="n"/>
      <c r="Q1231" s="3">
        <f>IF($D1231="","",$C1231&amp;"|"&amp;COUNTIFS($C$7:$C1231,$C1231))</f>
        <v/>
      </c>
    </row>
    <row r="1232">
      <c r="A1232" s="6" t="n"/>
      <c r="B1232" s="113">
        <f>IF($D1232="","","T"&amp;TEXT(ROW()-6,"00000"))</f>
        <v/>
      </c>
      <c r="C1232" s="113">
        <f>IF($D1232="","",IFERROR(INDEX(MUSTERILER!$B$7:$B$106,MATCH($D1232,MUSTERILER!$C$7:$C$106,0)),IFERROR(INDEX(MUSTERILER!$B$7:$B$106,MATCH($D1232,MUSTERILER!$B$7:$B$106,0)),IFERROR(INDEX(MUSTERILER!$B$7:$B$106,MATCH($D1232&amp;"*",MUSTERILER!$C$7:$C$106,0)),"TANIMSIZ MÜŞTERİ"))))</f>
        <v/>
      </c>
      <c r="D1232" s="109" t="n"/>
      <c r="E1232" s="225" t="n"/>
      <c r="F1232" s="226" t="n"/>
      <c r="G1232" s="108" t="n"/>
      <c r="H1232" s="108" t="n"/>
      <c r="I1232" s="109" t="n"/>
      <c r="J1232" s="109" t="n"/>
      <c r="K1232" s="109" t="n"/>
      <c r="L1232" s="231">
        <f>IF($E1232="","",DATE(YEAR($E1232),MONTH($E1232),1))</f>
        <v/>
      </c>
      <c r="M1232" s="113">
        <f>IF($D1232="","",IF($C1232="TANIMSIZ MÜŞTERİ","HATA",IF(OR($E1232="",$F1232&lt;=0,$G1232=""),"EKSİK",IF($E1232&gt;TODAY(),"İLERİ TARİH","UYGUN"))))</f>
        <v/>
      </c>
      <c r="N1232" s="121">
        <f>IF($C1232="","",IF($C1232="TANIMSIZ MÜŞTERİ","—",INDEX(MUSTERILER!$C$7:$C$106,MATCH($C1232,MUSTERILER!$B$7:$B$106,0))))</f>
        <v/>
      </c>
      <c r="O1232" s="6" t="n"/>
      <c r="P1232" s="6" t="n"/>
      <c r="Q1232" s="3">
        <f>IF($D1232="","",$C1232&amp;"|"&amp;COUNTIFS($C$7:$C1232,$C1232))</f>
        <v/>
      </c>
    </row>
    <row r="1233">
      <c r="A1233" s="6" t="n"/>
      <c r="B1233" s="113">
        <f>IF($D1233="","","T"&amp;TEXT(ROW()-6,"00000"))</f>
        <v/>
      </c>
      <c r="C1233" s="113">
        <f>IF($D1233="","",IFERROR(INDEX(MUSTERILER!$B$7:$B$106,MATCH($D1233,MUSTERILER!$C$7:$C$106,0)),IFERROR(INDEX(MUSTERILER!$B$7:$B$106,MATCH($D1233,MUSTERILER!$B$7:$B$106,0)),IFERROR(INDEX(MUSTERILER!$B$7:$B$106,MATCH($D1233&amp;"*",MUSTERILER!$C$7:$C$106,0)),"TANIMSIZ MÜŞTERİ"))))</f>
        <v/>
      </c>
      <c r="D1233" s="109" t="n"/>
      <c r="E1233" s="225" t="n"/>
      <c r="F1233" s="226" t="n"/>
      <c r="G1233" s="108" t="n"/>
      <c r="H1233" s="108" t="n"/>
      <c r="I1233" s="109" t="n"/>
      <c r="J1233" s="109" t="n"/>
      <c r="K1233" s="109" t="n"/>
      <c r="L1233" s="231">
        <f>IF($E1233="","",DATE(YEAR($E1233),MONTH($E1233),1))</f>
        <v/>
      </c>
      <c r="M1233" s="113">
        <f>IF($D1233="","",IF($C1233="TANIMSIZ MÜŞTERİ","HATA",IF(OR($E1233="",$F1233&lt;=0,$G1233=""),"EKSİK",IF($E1233&gt;TODAY(),"İLERİ TARİH","UYGUN"))))</f>
        <v/>
      </c>
      <c r="N1233" s="121">
        <f>IF($C1233="","",IF($C1233="TANIMSIZ MÜŞTERİ","—",INDEX(MUSTERILER!$C$7:$C$106,MATCH($C1233,MUSTERILER!$B$7:$B$106,0))))</f>
        <v/>
      </c>
      <c r="O1233" s="6" t="n"/>
      <c r="P1233" s="6" t="n"/>
      <c r="Q1233" s="3">
        <f>IF($D1233="","",$C1233&amp;"|"&amp;COUNTIFS($C$7:$C1233,$C1233))</f>
        <v/>
      </c>
    </row>
    <row r="1234">
      <c r="A1234" s="6" t="n"/>
      <c r="B1234" s="113">
        <f>IF($D1234="","","T"&amp;TEXT(ROW()-6,"00000"))</f>
        <v/>
      </c>
      <c r="C1234" s="113">
        <f>IF($D1234="","",IFERROR(INDEX(MUSTERILER!$B$7:$B$106,MATCH($D1234,MUSTERILER!$C$7:$C$106,0)),IFERROR(INDEX(MUSTERILER!$B$7:$B$106,MATCH($D1234,MUSTERILER!$B$7:$B$106,0)),IFERROR(INDEX(MUSTERILER!$B$7:$B$106,MATCH($D1234&amp;"*",MUSTERILER!$C$7:$C$106,0)),"TANIMSIZ MÜŞTERİ"))))</f>
        <v/>
      </c>
      <c r="D1234" s="109" t="n"/>
      <c r="E1234" s="225" t="n"/>
      <c r="F1234" s="226" t="n"/>
      <c r="G1234" s="108" t="n"/>
      <c r="H1234" s="108" t="n"/>
      <c r="I1234" s="109" t="n"/>
      <c r="J1234" s="109" t="n"/>
      <c r="K1234" s="109" t="n"/>
      <c r="L1234" s="231">
        <f>IF($E1234="","",DATE(YEAR($E1234),MONTH($E1234),1))</f>
        <v/>
      </c>
      <c r="M1234" s="113">
        <f>IF($D1234="","",IF($C1234="TANIMSIZ MÜŞTERİ","HATA",IF(OR($E1234="",$F1234&lt;=0,$G1234=""),"EKSİK",IF($E1234&gt;TODAY(),"İLERİ TARİH","UYGUN"))))</f>
        <v/>
      </c>
      <c r="N1234" s="121">
        <f>IF($C1234="","",IF($C1234="TANIMSIZ MÜŞTERİ","—",INDEX(MUSTERILER!$C$7:$C$106,MATCH($C1234,MUSTERILER!$B$7:$B$106,0))))</f>
        <v/>
      </c>
      <c r="O1234" s="6" t="n"/>
      <c r="P1234" s="6" t="n"/>
      <c r="Q1234" s="3">
        <f>IF($D1234="","",$C1234&amp;"|"&amp;COUNTIFS($C$7:$C1234,$C1234))</f>
        <v/>
      </c>
    </row>
    <row r="1235">
      <c r="A1235" s="6" t="n"/>
      <c r="B1235" s="113">
        <f>IF($D1235="","","T"&amp;TEXT(ROW()-6,"00000"))</f>
        <v/>
      </c>
      <c r="C1235" s="113">
        <f>IF($D1235="","",IFERROR(INDEX(MUSTERILER!$B$7:$B$106,MATCH($D1235,MUSTERILER!$C$7:$C$106,0)),IFERROR(INDEX(MUSTERILER!$B$7:$B$106,MATCH($D1235,MUSTERILER!$B$7:$B$106,0)),IFERROR(INDEX(MUSTERILER!$B$7:$B$106,MATCH($D1235&amp;"*",MUSTERILER!$C$7:$C$106,0)),"TANIMSIZ MÜŞTERİ"))))</f>
        <v/>
      </c>
      <c r="D1235" s="109" t="n"/>
      <c r="E1235" s="225" t="n"/>
      <c r="F1235" s="226" t="n"/>
      <c r="G1235" s="108" t="n"/>
      <c r="H1235" s="108" t="n"/>
      <c r="I1235" s="109" t="n"/>
      <c r="J1235" s="109" t="n"/>
      <c r="K1235" s="109" t="n"/>
      <c r="L1235" s="231">
        <f>IF($E1235="","",DATE(YEAR($E1235),MONTH($E1235),1))</f>
        <v/>
      </c>
      <c r="M1235" s="113">
        <f>IF($D1235="","",IF($C1235="TANIMSIZ MÜŞTERİ","HATA",IF(OR($E1235="",$F1235&lt;=0,$G1235=""),"EKSİK",IF($E1235&gt;TODAY(),"İLERİ TARİH","UYGUN"))))</f>
        <v/>
      </c>
      <c r="N1235" s="121">
        <f>IF($C1235="","",IF($C1235="TANIMSIZ MÜŞTERİ","—",INDEX(MUSTERILER!$C$7:$C$106,MATCH($C1235,MUSTERILER!$B$7:$B$106,0))))</f>
        <v/>
      </c>
      <c r="O1235" s="6" t="n"/>
      <c r="P1235" s="6" t="n"/>
      <c r="Q1235" s="3">
        <f>IF($D1235="","",$C1235&amp;"|"&amp;COUNTIFS($C$7:$C1235,$C1235))</f>
        <v/>
      </c>
    </row>
    <row r="1236">
      <c r="A1236" s="6" t="n"/>
      <c r="B1236" s="113">
        <f>IF($D1236="","","T"&amp;TEXT(ROW()-6,"00000"))</f>
        <v/>
      </c>
      <c r="C1236" s="113">
        <f>IF($D1236="","",IFERROR(INDEX(MUSTERILER!$B$7:$B$106,MATCH($D1236,MUSTERILER!$C$7:$C$106,0)),IFERROR(INDEX(MUSTERILER!$B$7:$B$106,MATCH($D1236,MUSTERILER!$B$7:$B$106,0)),IFERROR(INDEX(MUSTERILER!$B$7:$B$106,MATCH($D1236&amp;"*",MUSTERILER!$C$7:$C$106,0)),"TANIMSIZ MÜŞTERİ"))))</f>
        <v/>
      </c>
      <c r="D1236" s="109" t="n"/>
      <c r="E1236" s="225" t="n"/>
      <c r="F1236" s="226" t="n"/>
      <c r="G1236" s="108" t="n"/>
      <c r="H1236" s="108" t="n"/>
      <c r="I1236" s="109" t="n"/>
      <c r="J1236" s="109" t="n"/>
      <c r="K1236" s="109" t="n"/>
      <c r="L1236" s="231">
        <f>IF($E1236="","",DATE(YEAR($E1236),MONTH($E1236),1))</f>
        <v/>
      </c>
      <c r="M1236" s="113">
        <f>IF($D1236="","",IF($C1236="TANIMSIZ MÜŞTERİ","HATA",IF(OR($E1236="",$F1236&lt;=0,$G1236=""),"EKSİK",IF($E1236&gt;TODAY(),"İLERİ TARİH","UYGUN"))))</f>
        <v/>
      </c>
      <c r="N1236" s="121">
        <f>IF($C1236="","",IF($C1236="TANIMSIZ MÜŞTERİ","—",INDEX(MUSTERILER!$C$7:$C$106,MATCH($C1236,MUSTERILER!$B$7:$B$106,0))))</f>
        <v/>
      </c>
      <c r="O1236" s="6" t="n"/>
      <c r="P1236" s="6" t="n"/>
      <c r="Q1236" s="3">
        <f>IF($D1236="","",$C1236&amp;"|"&amp;COUNTIFS($C$7:$C1236,$C1236))</f>
        <v/>
      </c>
    </row>
    <row r="1237">
      <c r="A1237" s="6" t="n"/>
      <c r="B1237" s="113">
        <f>IF($D1237="","","T"&amp;TEXT(ROW()-6,"00000"))</f>
        <v/>
      </c>
      <c r="C1237" s="113">
        <f>IF($D1237="","",IFERROR(INDEX(MUSTERILER!$B$7:$B$106,MATCH($D1237,MUSTERILER!$C$7:$C$106,0)),IFERROR(INDEX(MUSTERILER!$B$7:$B$106,MATCH($D1237,MUSTERILER!$B$7:$B$106,0)),IFERROR(INDEX(MUSTERILER!$B$7:$B$106,MATCH($D1237&amp;"*",MUSTERILER!$C$7:$C$106,0)),"TANIMSIZ MÜŞTERİ"))))</f>
        <v/>
      </c>
      <c r="D1237" s="109" t="n"/>
      <c r="E1237" s="225" t="n"/>
      <c r="F1237" s="226" t="n"/>
      <c r="G1237" s="108" t="n"/>
      <c r="H1237" s="108" t="n"/>
      <c r="I1237" s="109" t="n"/>
      <c r="J1237" s="109" t="n"/>
      <c r="K1237" s="109" t="n"/>
      <c r="L1237" s="231">
        <f>IF($E1237="","",DATE(YEAR($E1237),MONTH($E1237),1))</f>
        <v/>
      </c>
      <c r="M1237" s="113">
        <f>IF($D1237="","",IF($C1237="TANIMSIZ MÜŞTERİ","HATA",IF(OR($E1237="",$F1237&lt;=0,$G1237=""),"EKSİK",IF($E1237&gt;TODAY(),"İLERİ TARİH","UYGUN"))))</f>
        <v/>
      </c>
      <c r="N1237" s="121">
        <f>IF($C1237="","",IF($C1237="TANIMSIZ MÜŞTERİ","—",INDEX(MUSTERILER!$C$7:$C$106,MATCH($C1237,MUSTERILER!$B$7:$B$106,0))))</f>
        <v/>
      </c>
      <c r="O1237" s="6" t="n"/>
      <c r="P1237" s="6" t="n"/>
      <c r="Q1237" s="3">
        <f>IF($D1237="","",$C1237&amp;"|"&amp;COUNTIFS($C$7:$C1237,$C1237))</f>
        <v/>
      </c>
    </row>
    <row r="1238">
      <c r="A1238" s="6" t="n"/>
      <c r="B1238" s="113">
        <f>IF($D1238="","","T"&amp;TEXT(ROW()-6,"00000"))</f>
        <v/>
      </c>
      <c r="C1238" s="113">
        <f>IF($D1238="","",IFERROR(INDEX(MUSTERILER!$B$7:$B$106,MATCH($D1238,MUSTERILER!$C$7:$C$106,0)),IFERROR(INDEX(MUSTERILER!$B$7:$B$106,MATCH($D1238,MUSTERILER!$B$7:$B$106,0)),IFERROR(INDEX(MUSTERILER!$B$7:$B$106,MATCH($D1238&amp;"*",MUSTERILER!$C$7:$C$106,0)),"TANIMSIZ MÜŞTERİ"))))</f>
        <v/>
      </c>
      <c r="D1238" s="109" t="n"/>
      <c r="E1238" s="225" t="n"/>
      <c r="F1238" s="226" t="n"/>
      <c r="G1238" s="108" t="n"/>
      <c r="H1238" s="108" t="n"/>
      <c r="I1238" s="109" t="n"/>
      <c r="J1238" s="109" t="n"/>
      <c r="K1238" s="109" t="n"/>
      <c r="L1238" s="231">
        <f>IF($E1238="","",DATE(YEAR($E1238),MONTH($E1238),1))</f>
        <v/>
      </c>
      <c r="M1238" s="113">
        <f>IF($D1238="","",IF($C1238="TANIMSIZ MÜŞTERİ","HATA",IF(OR($E1238="",$F1238&lt;=0,$G1238=""),"EKSİK",IF($E1238&gt;TODAY(),"İLERİ TARİH","UYGUN"))))</f>
        <v/>
      </c>
      <c r="N1238" s="121">
        <f>IF($C1238="","",IF($C1238="TANIMSIZ MÜŞTERİ","—",INDEX(MUSTERILER!$C$7:$C$106,MATCH($C1238,MUSTERILER!$B$7:$B$106,0))))</f>
        <v/>
      </c>
      <c r="O1238" s="6" t="n"/>
      <c r="P1238" s="6" t="n"/>
      <c r="Q1238" s="3">
        <f>IF($D1238="","",$C1238&amp;"|"&amp;COUNTIFS($C$7:$C1238,$C1238))</f>
        <v/>
      </c>
    </row>
    <row r="1239">
      <c r="A1239" s="6" t="n"/>
      <c r="B1239" s="113">
        <f>IF($D1239="","","T"&amp;TEXT(ROW()-6,"00000"))</f>
        <v/>
      </c>
      <c r="C1239" s="113">
        <f>IF($D1239="","",IFERROR(INDEX(MUSTERILER!$B$7:$B$106,MATCH($D1239,MUSTERILER!$C$7:$C$106,0)),IFERROR(INDEX(MUSTERILER!$B$7:$B$106,MATCH($D1239,MUSTERILER!$B$7:$B$106,0)),IFERROR(INDEX(MUSTERILER!$B$7:$B$106,MATCH($D1239&amp;"*",MUSTERILER!$C$7:$C$106,0)),"TANIMSIZ MÜŞTERİ"))))</f>
        <v/>
      </c>
      <c r="D1239" s="109" t="n"/>
      <c r="E1239" s="225" t="n"/>
      <c r="F1239" s="226" t="n"/>
      <c r="G1239" s="108" t="n"/>
      <c r="H1239" s="108" t="n"/>
      <c r="I1239" s="109" t="n"/>
      <c r="J1239" s="109" t="n"/>
      <c r="K1239" s="109" t="n"/>
      <c r="L1239" s="231">
        <f>IF($E1239="","",DATE(YEAR($E1239),MONTH($E1239),1))</f>
        <v/>
      </c>
      <c r="M1239" s="113">
        <f>IF($D1239="","",IF($C1239="TANIMSIZ MÜŞTERİ","HATA",IF(OR($E1239="",$F1239&lt;=0,$G1239=""),"EKSİK",IF($E1239&gt;TODAY(),"İLERİ TARİH","UYGUN"))))</f>
        <v/>
      </c>
      <c r="N1239" s="121">
        <f>IF($C1239="","",IF($C1239="TANIMSIZ MÜŞTERİ","—",INDEX(MUSTERILER!$C$7:$C$106,MATCH($C1239,MUSTERILER!$B$7:$B$106,0))))</f>
        <v/>
      </c>
      <c r="O1239" s="6" t="n"/>
      <c r="P1239" s="6" t="n"/>
      <c r="Q1239" s="3">
        <f>IF($D1239="","",$C1239&amp;"|"&amp;COUNTIFS($C$7:$C1239,$C1239))</f>
        <v/>
      </c>
    </row>
    <row r="1240">
      <c r="A1240" s="6" t="n"/>
      <c r="B1240" s="113">
        <f>IF($D1240="","","T"&amp;TEXT(ROW()-6,"00000"))</f>
        <v/>
      </c>
      <c r="C1240" s="113">
        <f>IF($D1240="","",IFERROR(INDEX(MUSTERILER!$B$7:$B$106,MATCH($D1240,MUSTERILER!$C$7:$C$106,0)),IFERROR(INDEX(MUSTERILER!$B$7:$B$106,MATCH($D1240,MUSTERILER!$B$7:$B$106,0)),IFERROR(INDEX(MUSTERILER!$B$7:$B$106,MATCH($D1240&amp;"*",MUSTERILER!$C$7:$C$106,0)),"TANIMSIZ MÜŞTERİ"))))</f>
        <v/>
      </c>
      <c r="D1240" s="109" t="n"/>
      <c r="E1240" s="225" t="n"/>
      <c r="F1240" s="226" t="n"/>
      <c r="G1240" s="108" t="n"/>
      <c r="H1240" s="108" t="n"/>
      <c r="I1240" s="109" t="n"/>
      <c r="J1240" s="109" t="n"/>
      <c r="K1240" s="109" t="n"/>
      <c r="L1240" s="231">
        <f>IF($E1240="","",DATE(YEAR($E1240),MONTH($E1240),1))</f>
        <v/>
      </c>
      <c r="M1240" s="113">
        <f>IF($D1240="","",IF($C1240="TANIMSIZ MÜŞTERİ","HATA",IF(OR($E1240="",$F1240&lt;=0,$G1240=""),"EKSİK",IF($E1240&gt;TODAY(),"İLERİ TARİH","UYGUN"))))</f>
        <v/>
      </c>
      <c r="N1240" s="121">
        <f>IF($C1240="","",IF($C1240="TANIMSIZ MÜŞTERİ","—",INDEX(MUSTERILER!$C$7:$C$106,MATCH($C1240,MUSTERILER!$B$7:$B$106,0))))</f>
        <v/>
      </c>
      <c r="O1240" s="6" t="n"/>
      <c r="P1240" s="6" t="n"/>
      <c r="Q1240" s="3">
        <f>IF($D1240="","",$C1240&amp;"|"&amp;COUNTIFS($C$7:$C1240,$C1240))</f>
        <v/>
      </c>
    </row>
    <row r="1241">
      <c r="A1241" s="6" t="n"/>
      <c r="B1241" s="113">
        <f>IF($D1241="","","T"&amp;TEXT(ROW()-6,"00000"))</f>
        <v/>
      </c>
      <c r="C1241" s="113">
        <f>IF($D1241="","",IFERROR(INDEX(MUSTERILER!$B$7:$B$106,MATCH($D1241,MUSTERILER!$C$7:$C$106,0)),IFERROR(INDEX(MUSTERILER!$B$7:$B$106,MATCH($D1241,MUSTERILER!$B$7:$B$106,0)),IFERROR(INDEX(MUSTERILER!$B$7:$B$106,MATCH($D1241&amp;"*",MUSTERILER!$C$7:$C$106,0)),"TANIMSIZ MÜŞTERİ"))))</f>
        <v/>
      </c>
      <c r="D1241" s="109" t="n"/>
      <c r="E1241" s="225" t="n"/>
      <c r="F1241" s="226" t="n"/>
      <c r="G1241" s="108" t="n"/>
      <c r="H1241" s="108" t="n"/>
      <c r="I1241" s="109" t="n"/>
      <c r="J1241" s="109" t="n"/>
      <c r="K1241" s="109" t="n"/>
      <c r="L1241" s="231">
        <f>IF($E1241="","",DATE(YEAR($E1241),MONTH($E1241),1))</f>
        <v/>
      </c>
      <c r="M1241" s="113">
        <f>IF($D1241="","",IF($C1241="TANIMSIZ MÜŞTERİ","HATA",IF(OR($E1241="",$F1241&lt;=0,$G1241=""),"EKSİK",IF($E1241&gt;TODAY(),"İLERİ TARİH","UYGUN"))))</f>
        <v/>
      </c>
      <c r="N1241" s="121">
        <f>IF($C1241="","",IF($C1241="TANIMSIZ MÜŞTERİ","—",INDEX(MUSTERILER!$C$7:$C$106,MATCH($C1241,MUSTERILER!$B$7:$B$106,0))))</f>
        <v/>
      </c>
      <c r="O1241" s="6" t="n"/>
      <c r="P1241" s="6" t="n"/>
      <c r="Q1241" s="3">
        <f>IF($D1241="","",$C1241&amp;"|"&amp;COUNTIFS($C$7:$C1241,$C1241))</f>
        <v/>
      </c>
    </row>
    <row r="1242">
      <c r="A1242" s="6" t="n"/>
      <c r="B1242" s="113">
        <f>IF($D1242="","","T"&amp;TEXT(ROW()-6,"00000"))</f>
        <v/>
      </c>
      <c r="C1242" s="113">
        <f>IF($D1242="","",IFERROR(INDEX(MUSTERILER!$B$7:$B$106,MATCH($D1242,MUSTERILER!$C$7:$C$106,0)),IFERROR(INDEX(MUSTERILER!$B$7:$B$106,MATCH($D1242,MUSTERILER!$B$7:$B$106,0)),IFERROR(INDEX(MUSTERILER!$B$7:$B$106,MATCH($D1242&amp;"*",MUSTERILER!$C$7:$C$106,0)),"TANIMSIZ MÜŞTERİ"))))</f>
        <v/>
      </c>
      <c r="D1242" s="109" t="n"/>
      <c r="E1242" s="225" t="n"/>
      <c r="F1242" s="226" t="n"/>
      <c r="G1242" s="108" t="n"/>
      <c r="H1242" s="108" t="n"/>
      <c r="I1242" s="109" t="n"/>
      <c r="J1242" s="109" t="n"/>
      <c r="K1242" s="109" t="n"/>
      <c r="L1242" s="231">
        <f>IF($E1242="","",DATE(YEAR($E1242),MONTH($E1242),1))</f>
        <v/>
      </c>
      <c r="M1242" s="113">
        <f>IF($D1242="","",IF($C1242="TANIMSIZ MÜŞTERİ","HATA",IF(OR($E1242="",$F1242&lt;=0,$G1242=""),"EKSİK",IF($E1242&gt;TODAY(),"İLERİ TARİH","UYGUN"))))</f>
        <v/>
      </c>
      <c r="N1242" s="121">
        <f>IF($C1242="","",IF($C1242="TANIMSIZ MÜŞTERİ","—",INDEX(MUSTERILER!$C$7:$C$106,MATCH($C1242,MUSTERILER!$B$7:$B$106,0))))</f>
        <v/>
      </c>
      <c r="O1242" s="6" t="n"/>
      <c r="P1242" s="6" t="n"/>
      <c r="Q1242" s="3">
        <f>IF($D1242="","",$C1242&amp;"|"&amp;COUNTIFS($C$7:$C1242,$C1242))</f>
        <v/>
      </c>
    </row>
    <row r="1243">
      <c r="A1243" s="6" t="n"/>
      <c r="B1243" s="113">
        <f>IF($D1243="","","T"&amp;TEXT(ROW()-6,"00000"))</f>
        <v/>
      </c>
      <c r="C1243" s="113">
        <f>IF($D1243="","",IFERROR(INDEX(MUSTERILER!$B$7:$B$106,MATCH($D1243,MUSTERILER!$C$7:$C$106,0)),IFERROR(INDEX(MUSTERILER!$B$7:$B$106,MATCH($D1243,MUSTERILER!$B$7:$B$106,0)),IFERROR(INDEX(MUSTERILER!$B$7:$B$106,MATCH($D1243&amp;"*",MUSTERILER!$C$7:$C$106,0)),"TANIMSIZ MÜŞTERİ"))))</f>
        <v/>
      </c>
      <c r="D1243" s="109" t="n"/>
      <c r="E1243" s="225" t="n"/>
      <c r="F1243" s="226" t="n"/>
      <c r="G1243" s="108" t="n"/>
      <c r="H1243" s="108" t="n"/>
      <c r="I1243" s="109" t="n"/>
      <c r="J1243" s="109" t="n"/>
      <c r="K1243" s="109" t="n"/>
      <c r="L1243" s="231">
        <f>IF($E1243="","",DATE(YEAR($E1243),MONTH($E1243),1))</f>
        <v/>
      </c>
      <c r="M1243" s="113">
        <f>IF($D1243="","",IF($C1243="TANIMSIZ MÜŞTERİ","HATA",IF(OR($E1243="",$F1243&lt;=0,$G1243=""),"EKSİK",IF($E1243&gt;TODAY(),"İLERİ TARİH","UYGUN"))))</f>
        <v/>
      </c>
      <c r="N1243" s="121">
        <f>IF($C1243="","",IF($C1243="TANIMSIZ MÜŞTERİ","—",INDEX(MUSTERILER!$C$7:$C$106,MATCH($C1243,MUSTERILER!$B$7:$B$106,0))))</f>
        <v/>
      </c>
      <c r="O1243" s="6" t="n"/>
      <c r="P1243" s="6" t="n"/>
      <c r="Q1243" s="3">
        <f>IF($D1243="","",$C1243&amp;"|"&amp;COUNTIFS($C$7:$C1243,$C1243))</f>
        <v/>
      </c>
    </row>
    <row r="1244">
      <c r="A1244" s="6" t="n"/>
      <c r="B1244" s="113">
        <f>IF($D1244="","","T"&amp;TEXT(ROW()-6,"00000"))</f>
        <v/>
      </c>
      <c r="C1244" s="113">
        <f>IF($D1244="","",IFERROR(INDEX(MUSTERILER!$B$7:$B$106,MATCH($D1244,MUSTERILER!$C$7:$C$106,0)),IFERROR(INDEX(MUSTERILER!$B$7:$B$106,MATCH($D1244,MUSTERILER!$B$7:$B$106,0)),IFERROR(INDEX(MUSTERILER!$B$7:$B$106,MATCH($D1244&amp;"*",MUSTERILER!$C$7:$C$106,0)),"TANIMSIZ MÜŞTERİ"))))</f>
        <v/>
      </c>
      <c r="D1244" s="109" t="n"/>
      <c r="E1244" s="225" t="n"/>
      <c r="F1244" s="226" t="n"/>
      <c r="G1244" s="108" t="n"/>
      <c r="H1244" s="108" t="n"/>
      <c r="I1244" s="109" t="n"/>
      <c r="J1244" s="109" t="n"/>
      <c r="K1244" s="109" t="n"/>
      <c r="L1244" s="231">
        <f>IF($E1244="","",DATE(YEAR($E1244),MONTH($E1244),1))</f>
        <v/>
      </c>
      <c r="M1244" s="113">
        <f>IF($D1244="","",IF($C1244="TANIMSIZ MÜŞTERİ","HATA",IF(OR($E1244="",$F1244&lt;=0,$G1244=""),"EKSİK",IF($E1244&gt;TODAY(),"İLERİ TARİH","UYGUN"))))</f>
        <v/>
      </c>
      <c r="N1244" s="121">
        <f>IF($C1244="","",IF($C1244="TANIMSIZ MÜŞTERİ","—",INDEX(MUSTERILER!$C$7:$C$106,MATCH($C1244,MUSTERILER!$B$7:$B$106,0))))</f>
        <v/>
      </c>
      <c r="O1244" s="6" t="n"/>
      <c r="P1244" s="6" t="n"/>
      <c r="Q1244" s="3">
        <f>IF($D1244="","",$C1244&amp;"|"&amp;COUNTIFS($C$7:$C1244,$C1244))</f>
        <v/>
      </c>
    </row>
    <row r="1245">
      <c r="A1245" s="6" t="n"/>
      <c r="B1245" s="113">
        <f>IF($D1245="","","T"&amp;TEXT(ROW()-6,"00000"))</f>
        <v/>
      </c>
      <c r="C1245" s="113">
        <f>IF($D1245="","",IFERROR(INDEX(MUSTERILER!$B$7:$B$106,MATCH($D1245,MUSTERILER!$C$7:$C$106,0)),IFERROR(INDEX(MUSTERILER!$B$7:$B$106,MATCH($D1245,MUSTERILER!$B$7:$B$106,0)),IFERROR(INDEX(MUSTERILER!$B$7:$B$106,MATCH($D1245&amp;"*",MUSTERILER!$C$7:$C$106,0)),"TANIMSIZ MÜŞTERİ"))))</f>
        <v/>
      </c>
      <c r="D1245" s="109" t="n"/>
      <c r="E1245" s="225" t="n"/>
      <c r="F1245" s="226" t="n"/>
      <c r="G1245" s="108" t="n"/>
      <c r="H1245" s="108" t="n"/>
      <c r="I1245" s="109" t="n"/>
      <c r="J1245" s="109" t="n"/>
      <c r="K1245" s="109" t="n"/>
      <c r="L1245" s="231">
        <f>IF($E1245="","",DATE(YEAR($E1245),MONTH($E1245),1))</f>
        <v/>
      </c>
      <c r="M1245" s="113">
        <f>IF($D1245="","",IF($C1245="TANIMSIZ MÜŞTERİ","HATA",IF(OR($E1245="",$F1245&lt;=0,$G1245=""),"EKSİK",IF($E1245&gt;TODAY(),"İLERİ TARİH","UYGUN"))))</f>
        <v/>
      </c>
      <c r="N1245" s="121">
        <f>IF($C1245="","",IF($C1245="TANIMSIZ MÜŞTERİ","—",INDEX(MUSTERILER!$C$7:$C$106,MATCH($C1245,MUSTERILER!$B$7:$B$106,0))))</f>
        <v/>
      </c>
      <c r="O1245" s="6" t="n"/>
      <c r="P1245" s="6" t="n"/>
      <c r="Q1245" s="3">
        <f>IF($D1245="","",$C1245&amp;"|"&amp;COUNTIFS($C$7:$C1245,$C1245))</f>
        <v/>
      </c>
    </row>
    <row r="1246">
      <c r="A1246" s="6" t="n"/>
      <c r="B1246" s="113">
        <f>IF($D1246="","","T"&amp;TEXT(ROW()-6,"00000"))</f>
        <v/>
      </c>
      <c r="C1246" s="113">
        <f>IF($D1246="","",IFERROR(INDEX(MUSTERILER!$B$7:$B$106,MATCH($D1246,MUSTERILER!$C$7:$C$106,0)),IFERROR(INDEX(MUSTERILER!$B$7:$B$106,MATCH($D1246,MUSTERILER!$B$7:$B$106,0)),IFERROR(INDEX(MUSTERILER!$B$7:$B$106,MATCH($D1246&amp;"*",MUSTERILER!$C$7:$C$106,0)),"TANIMSIZ MÜŞTERİ"))))</f>
        <v/>
      </c>
      <c r="D1246" s="109" t="n"/>
      <c r="E1246" s="225" t="n"/>
      <c r="F1246" s="226" t="n"/>
      <c r="G1246" s="108" t="n"/>
      <c r="H1246" s="108" t="n"/>
      <c r="I1246" s="109" t="n"/>
      <c r="J1246" s="109" t="n"/>
      <c r="K1246" s="109" t="n"/>
      <c r="L1246" s="231">
        <f>IF($E1246="","",DATE(YEAR($E1246),MONTH($E1246),1))</f>
        <v/>
      </c>
      <c r="M1246" s="113">
        <f>IF($D1246="","",IF($C1246="TANIMSIZ MÜŞTERİ","HATA",IF(OR($E1246="",$F1246&lt;=0,$G1246=""),"EKSİK",IF($E1246&gt;TODAY(),"İLERİ TARİH","UYGUN"))))</f>
        <v/>
      </c>
      <c r="N1246" s="121">
        <f>IF($C1246="","",IF($C1246="TANIMSIZ MÜŞTERİ","—",INDEX(MUSTERILER!$C$7:$C$106,MATCH($C1246,MUSTERILER!$B$7:$B$106,0))))</f>
        <v/>
      </c>
      <c r="O1246" s="6" t="n"/>
      <c r="P1246" s="6" t="n"/>
      <c r="Q1246" s="3">
        <f>IF($D1246="","",$C1246&amp;"|"&amp;COUNTIFS($C$7:$C1246,$C1246))</f>
        <v/>
      </c>
    </row>
    <row r="1247">
      <c r="A1247" s="6" t="n"/>
      <c r="B1247" s="113">
        <f>IF($D1247="","","T"&amp;TEXT(ROW()-6,"00000"))</f>
        <v/>
      </c>
      <c r="C1247" s="113">
        <f>IF($D1247="","",IFERROR(INDEX(MUSTERILER!$B$7:$B$106,MATCH($D1247,MUSTERILER!$C$7:$C$106,0)),IFERROR(INDEX(MUSTERILER!$B$7:$B$106,MATCH($D1247,MUSTERILER!$B$7:$B$106,0)),IFERROR(INDEX(MUSTERILER!$B$7:$B$106,MATCH($D1247&amp;"*",MUSTERILER!$C$7:$C$106,0)),"TANIMSIZ MÜŞTERİ"))))</f>
        <v/>
      </c>
      <c r="D1247" s="109" t="n"/>
      <c r="E1247" s="225" t="n"/>
      <c r="F1247" s="226" t="n"/>
      <c r="G1247" s="108" t="n"/>
      <c r="H1247" s="108" t="n"/>
      <c r="I1247" s="109" t="n"/>
      <c r="J1247" s="109" t="n"/>
      <c r="K1247" s="109" t="n"/>
      <c r="L1247" s="231">
        <f>IF($E1247="","",DATE(YEAR($E1247),MONTH($E1247),1))</f>
        <v/>
      </c>
      <c r="M1247" s="113">
        <f>IF($D1247="","",IF($C1247="TANIMSIZ MÜŞTERİ","HATA",IF(OR($E1247="",$F1247&lt;=0,$G1247=""),"EKSİK",IF($E1247&gt;TODAY(),"İLERİ TARİH","UYGUN"))))</f>
        <v/>
      </c>
      <c r="N1247" s="121">
        <f>IF($C1247="","",IF($C1247="TANIMSIZ MÜŞTERİ","—",INDEX(MUSTERILER!$C$7:$C$106,MATCH($C1247,MUSTERILER!$B$7:$B$106,0))))</f>
        <v/>
      </c>
      <c r="O1247" s="6" t="n"/>
      <c r="P1247" s="6" t="n"/>
      <c r="Q1247" s="3">
        <f>IF($D1247="","",$C1247&amp;"|"&amp;COUNTIFS($C$7:$C1247,$C1247))</f>
        <v/>
      </c>
    </row>
    <row r="1248">
      <c r="A1248" s="6" t="n"/>
      <c r="B1248" s="113">
        <f>IF($D1248="","","T"&amp;TEXT(ROW()-6,"00000"))</f>
        <v/>
      </c>
      <c r="C1248" s="113">
        <f>IF($D1248="","",IFERROR(INDEX(MUSTERILER!$B$7:$B$106,MATCH($D1248,MUSTERILER!$C$7:$C$106,0)),IFERROR(INDEX(MUSTERILER!$B$7:$B$106,MATCH($D1248,MUSTERILER!$B$7:$B$106,0)),IFERROR(INDEX(MUSTERILER!$B$7:$B$106,MATCH($D1248&amp;"*",MUSTERILER!$C$7:$C$106,0)),"TANIMSIZ MÜŞTERİ"))))</f>
        <v/>
      </c>
      <c r="D1248" s="109" t="n"/>
      <c r="E1248" s="225" t="n"/>
      <c r="F1248" s="226" t="n"/>
      <c r="G1248" s="108" t="n"/>
      <c r="H1248" s="108" t="n"/>
      <c r="I1248" s="109" t="n"/>
      <c r="J1248" s="109" t="n"/>
      <c r="K1248" s="109" t="n"/>
      <c r="L1248" s="231">
        <f>IF($E1248="","",DATE(YEAR($E1248),MONTH($E1248),1))</f>
        <v/>
      </c>
      <c r="M1248" s="113">
        <f>IF($D1248="","",IF($C1248="TANIMSIZ MÜŞTERİ","HATA",IF(OR($E1248="",$F1248&lt;=0,$G1248=""),"EKSİK",IF($E1248&gt;TODAY(),"İLERİ TARİH","UYGUN"))))</f>
        <v/>
      </c>
      <c r="N1248" s="121">
        <f>IF($C1248="","",IF($C1248="TANIMSIZ MÜŞTERİ","—",INDEX(MUSTERILER!$C$7:$C$106,MATCH($C1248,MUSTERILER!$B$7:$B$106,0))))</f>
        <v/>
      </c>
      <c r="O1248" s="6" t="n"/>
      <c r="P1248" s="6" t="n"/>
      <c r="Q1248" s="3">
        <f>IF($D1248="","",$C1248&amp;"|"&amp;COUNTIFS($C$7:$C1248,$C1248))</f>
        <v/>
      </c>
    </row>
    <row r="1249">
      <c r="A1249" s="6" t="n"/>
      <c r="B1249" s="113">
        <f>IF($D1249="","","T"&amp;TEXT(ROW()-6,"00000"))</f>
        <v/>
      </c>
      <c r="C1249" s="113">
        <f>IF($D1249="","",IFERROR(INDEX(MUSTERILER!$B$7:$B$106,MATCH($D1249,MUSTERILER!$C$7:$C$106,0)),IFERROR(INDEX(MUSTERILER!$B$7:$B$106,MATCH($D1249,MUSTERILER!$B$7:$B$106,0)),IFERROR(INDEX(MUSTERILER!$B$7:$B$106,MATCH($D1249&amp;"*",MUSTERILER!$C$7:$C$106,0)),"TANIMSIZ MÜŞTERİ"))))</f>
        <v/>
      </c>
      <c r="D1249" s="109" t="n"/>
      <c r="E1249" s="225" t="n"/>
      <c r="F1249" s="226" t="n"/>
      <c r="G1249" s="108" t="n"/>
      <c r="H1249" s="108" t="n"/>
      <c r="I1249" s="109" t="n"/>
      <c r="J1249" s="109" t="n"/>
      <c r="K1249" s="109" t="n"/>
      <c r="L1249" s="231">
        <f>IF($E1249="","",DATE(YEAR($E1249),MONTH($E1249),1))</f>
        <v/>
      </c>
      <c r="M1249" s="113">
        <f>IF($D1249="","",IF($C1249="TANIMSIZ MÜŞTERİ","HATA",IF(OR($E1249="",$F1249&lt;=0,$G1249=""),"EKSİK",IF($E1249&gt;TODAY(),"İLERİ TARİH","UYGUN"))))</f>
        <v/>
      </c>
      <c r="N1249" s="121">
        <f>IF($C1249="","",IF($C1249="TANIMSIZ MÜŞTERİ","—",INDEX(MUSTERILER!$C$7:$C$106,MATCH($C1249,MUSTERILER!$B$7:$B$106,0))))</f>
        <v/>
      </c>
      <c r="O1249" s="6" t="n"/>
      <c r="P1249" s="6" t="n"/>
      <c r="Q1249" s="3">
        <f>IF($D1249="","",$C1249&amp;"|"&amp;COUNTIFS($C$7:$C1249,$C1249))</f>
        <v/>
      </c>
    </row>
    <row r="1250">
      <c r="A1250" s="6" t="n"/>
      <c r="B1250" s="113">
        <f>IF($D1250="","","T"&amp;TEXT(ROW()-6,"00000"))</f>
        <v/>
      </c>
      <c r="C1250" s="113">
        <f>IF($D1250="","",IFERROR(INDEX(MUSTERILER!$B$7:$B$106,MATCH($D1250,MUSTERILER!$C$7:$C$106,0)),IFERROR(INDEX(MUSTERILER!$B$7:$B$106,MATCH($D1250,MUSTERILER!$B$7:$B$106,0)),IFERROR(INDEX(MUSTERILER!$B$7:$B$106,MATCH($D1250&amp;"*",MUSTERILER!$C$7:$C$106,0)),"TANIMSIZ MÜŞTERİ"))))</f>
        <v/>
      </c>
      <c r="D1250" s="109" t="n"/>
      <c r="E1250" s="225" t="n"/>
      <c r="F1250" s="226" t="n"/>
      <c r="G1250" s="108" t="n"/>
      <c r="H1250" s="108" t="n"/>
      <c r="I1250" s="109" t="n"/>
      <c r="J1250" s="109" t="n"/>
      <c r="K1250" s="109" t="n"/>
      <c r="L1250" s="231">
        <f>IF($E1250="","",DATE(YEAR($E1250),MONTH($E1250),1))</f>
        <v/>
      </c>
      <c r="M1250" s="113">
        <f>IF($D1250="","",IF($C1250="TANIMSIZ MÜŞTERİ","HATA",IF(OR($E1250="",$F1250&lt;=0,$G1250=""),"EKSİK",IF($E1250&gt;TODAY(),"İLERİ TARİH","UYGUN"))))</f>
        <v/>
      </c>
      <c r="N1250" s="121">
        <f>IF($C1250="","",IF($C1250="TANIMSIZ MÜŞTERİ","—",INDEX(MUSTERILER!$C$7:$C$106,MATCH($C1250,MUSTERILER!$B$7:$B$106,0))))</f>
        <v/>
      </c>
      <c r="O1250" s="6" t="n"/>
      <c r="P1250" s="6" t="n"/>
      <c r="Q1250" s="3">
        <f>IF($D1250="","",$C1250&amp;"|"&amp;COUNTIFS($C$7:$C1250,$C1250))</f>
        <v/>
      </c>
    </row>
    <row r="1251">
      <c r="A1251" s="6" t="n"/>
      <c r="B1251" s="113">
        <f>IF($D1251="","","T"&amp;TEXT(ROW()-6,"00000"))</f>
        <v/>
      </c>
      <c r="C1251" s="113">
        <f>IF($D1251="","",IFERROR(INDEX(MUSTERILER!$B$7:$B$106,MATCH($D1251,MUSTERILER!$C$7:$C$106,0)),IFERROR(INDEX(MUSTERILER!$B$7:$B$106,MATCH($D1251,MUSTERILER!$B$7:$B$106,0)),IFERROR(INDEX(MUSTERILER!$B$7:$B$106,MATCH($D1251&amp;"*",MUSTERILER!$C$7:$C$106,0)),"TANIMSIZ MÜŞTERİ"))))</f>
        <v/>
      </c>
      <c r="D1251" s="109" t="n"/>
      <c r="E1251" s="225" t="n"/>
      <c r="F1251" s="226" t="n"/>
      <c r="G1251" s="108" t="n"/>
      <c r="H1251" s="108" t="n"/>
      <c r="I1251" s="109" t="n"/>
      <c r="J1251" s="109" t="n"/>
      <c r="K1251" s="109" t="n"/>
      <c r="L1251" s="231">
        <f>IF($E1251="","",DATE(YEAR($E1251),MONTH($E1251),1))</f>
        <v/>
      </c>
      <c r="M1251" s="113">
        <f>IF($D1251="","",IF($C1251="TANIMSIZ MÜŞTERİ","HATA",IF(OR($E1251="",$F1251&lt;=0,$G1251=""),"EKSİK",IF($E1251&gt;TODAY(),"İLERİ TARİH","UYGUN"))))</f>
        <v/>
      </c>
      <c r="N1251" s="121">
        <f>IF($C1251="","",IF($C1251="TANIMSIZ MÜŞTERİ","—",INDEX(MUSTERILER!$C$7:$C$106,MATCH($C1251,MUSTERILER!$B$7:$B$106,0))))</f>
        <v/>
      </c>
      <c r="O1251" s="6" t="n"/>
      <c r="P1251" s="6" t="n"/>
      <c r="Q1251" s="3">
        <f>IF($D1251="","",$C1251&amp;"|"&amp;COUNTIFS($C$7:$C1251,$C1251))</f>
        <v/>
      </c>
    </row>
    <row r="1252">
      <c r="A1252" s="6" t="n"/>
      <c r="B1252" s="113">
        <f>IF($D1252="","","T"&amp;TEXT(ROW()-6,"00000"))</f>
        <v/>
      </c>
      <c r="C1252" s="113">
        <f>IF($D1252="","",IFERROR(INDEX(MUSTERILER!$B$7:$B$106,MATCH($D1252,MUSTERILER!$C$7:$C$106,0)),IFERROR(INDEX(MUSTERILER!$B$7:$B$106,MATCH($D1252,MUSTERILER!$B$7:$B$106,0)),IFERROR(INDEX(MUSTERILER!$B$7:$B$106,MATCH($D1252&amp;"*",MUSTERILER!$C$7:$C$106,0)),"TANIMSIZ MÜŞTERİ"))))</f>
        <v/>
      </c>
      <c r="D1252" s="109" t="n"/>
      <c r="E1252" s="225" t="n"/>
      <c r="F1252" s="226" t="n"/>
      <c r="G1252" s="108" t="n"/>
      <c r="H1252" s="108" t="n"/>
      <c r="I1252" s="109" t="n"/>
      <c r="J1252" s="109" t="n"/>
      <c r="K1252" s="109" t="n"/>
      <c r="L1252" s="231">
        <f>IF($E1252="","",DATE(YEAR($E1252),MONTH($E1252),1))</f>
        <v/>
      </c>
      <c r="M1252" s="113">
        <f>IF($D1252="","",IF($C1252="TANIMSIZ MÜŞTERİ","HATA",IF(OR($E1252="",$F1252&lt;=0,$G1252=""),"EKSİK",IF($E1252&gt;TODAY(),"İLERİ TARİH","UYGUN"))))</f>
        <v/>
      </c>
      <c r="N1252" s="121">
        <f>IF($C1252="","",IF($C1252="TANIMSIZ MÜŞTERİ","—",INDEX(MUSTERILER!$C$7:$C$106,MATCH($C1252,MUSTERILER!$B$7:$B$106,0))))</f>
        <v/>
      </c>
      <c r="O1252" s="6" t="n"/>
      <c r="P1252" s="6" t="n"/>
      <c r="Q1252" s="3">
        <f>IF($D1252="","",$C1252&amp;"|"&amp;COUNTIFS($C$7:$C1252,$C1252))</f>
        <v/>
      </c>
    </row>
    <row r="1253">
      <c r="A1253" s="6" t="n"/>
      <c r="B1253" s="113">
        <f>IF($D1253="","","T"&amp;TEXT(ROW()-6,"00000"))</f>
        <v/>
      </c>
      <c r="C1253" s="113">
        <f>IF($D1253="","",IFERROR(INDEX(MUSTERILER!$B$7:$B$106,MATCH($D1253,MUSTERILER!$C$7:$C$106,0)),IFERROR(INDEX(MUSTERILER!$B$7:$B$106,MATCH($D1253,MUSTERILER!$B$7:$B$106,0)),IFERROR(INDEX(MUSTERILER!$B$7:$B$106,MATCH($D1253&amp;"*",MUSTERILER!$C$7:$C$106,0)),"TANIMSIZ MÜŞTERİ"))))</f>
        <v/>
      </c>
      <c r="D1253" s="109" t="n"/>
      <c r="E1253" s="225" t="n"/>
      <c r="F1253" s="226" t="n"/>
      <c r="G1253" s="108" t="n"/>
      <c r="H1253" s="108" t="n"/>
      <c r="I1253" s="109" t="n"/>
      <c r="J1253" s="109" t="n"/>
      <c r="K1253" s="109" t="n"/>
      <c r="L1253" s="231">
        <f>IF($E1253="","",DATE(YEAR($E1253),MONTH($E1253),1))</f>
        <v/>
      </c>
      <c r="M1253" s="113">
        <f>IF($D1253="","",IF($C1253="TANIMSIZ MÜŞTERİ","HATA",IF(OR($E1253="",$F1253&lt;=0,$G1253=""),"EKSİK",IF($E1253&gt;TODAY(),"İLERİ TARİH","UYGUN"))))</f>
        <v/>
      </c>
      <c r="N1253" s="121">
        <f>IF($C1253="","",IF($C1253="TANIMSIZ MÜŞTERİ","—",INDEX(MUSTERILER!$C$7:$C$106,MATCH($C1253,MUSTERILER!$B$7:$B$106,0))))</f>
        <v/>
      </c>
      <c r="O1253" s="6" t="n"/>
      <c r="P1253" s="6" t="n"/>
      <c r="Q1253" s="3">
        <f>IF($D1253="","",$C1253&amp;"|"&amp;COUNTIFS($C$7:$C1253,$C1253))</f>
        <v/>
      </c>
    </row>
    <row r="1254">
      <c r="A1254" s="6" t="n"/>
      <c r="B1254" s="113">
        <f>IF($D1254="","","T"&amp;TEXT(ROW()-6,"00000"))</f>
        <v/>
      </c>
      <c r="C1254" s="113">
        <f>IF($D1254="","",IFERROR(INDEX(MUSTERILER!$B$7:$B$106,MATCH($D1254,MUSTERILER!$C$7:$C$106,0)),IFERROR(INDEX(MUSTERILER!$B$7:$B$106,MATCH($D1254,MUSTERILER!$B$7:$B$106,0)),IFERROR(INDEX(MUSTERILER!$B$7:$B$106,MATCH($D1254&amp;"*",MUSTERILER!$C$7:$C$106,0)),"TANIMSIZ MÜŞTERİ"))))</f>
        <v/>
      </c>
      <c r="D1254" s="109" t="n"/>
      <c r="E1254" s="225" t="n"/>
      <c r="F1254" s="226" t="n"/>
      <c r="G1254" s="108" t="n"/>
      <c r="H1254" s="108" t="n"/>
      <c r="I1254" s="109" t="n"/>
      <c r="J1254" s="109" t="n"/>
      <c r="K1254" s="109" t="n"/>
      <c r="L1254" s="231">
        <f>IF($E1254="","",DATE(YEAR($E1254),MONTH($E1254),1))</f>
        <v/>
      </c>
      <c r="M1254" s="113">
        <f>IF($D1254="","",IF($C1254="TANIMSIZ MÜŞTERİ","HATA",IF(OR($E1254="",$F1254&lt;=0,$G1254=""),"EKSİK",IF($E1254&gt;TODAY(),"İLERİ TARİH","UYGUN"))))</f>
        <v/>
      </c>
      <c r="N1254" s="121">
        <f>IF($C1254="","",IF($C1254="TANIMSIZ MÜŞTERİ","—",INDEX(MUSTERILER!$C$7:$C$106,MATCH($C1254,MUSTERILER!$B$7:$B$106,0))))</f>
        <v/>
      </c>
      <c r="O1254" s="6" t="n"/>
      <c r="P1254" s="6" t="n"/>
      <c r="Q1254" s="3">
        <f>IF($D1254="","",$C1254&amp;"|"&amp;COUNTIFS($C$7:$C1254,$C1254))</f>
        <v/>
      </c>
    </row>
    <row r="1255">
      <c r="A1255" s="6" t="n"/>
      <c r="B1255" s="113">
        <f>IF($D1255="","","T"&amp;TEXT(ROW()-6,"00000"))</f>
        <v/>
      </c>
      <c r="C1255" s="113">
        <f>IF($D1255="","",IFERROR(INDEX(MUSTERILER!$B$7:$B$106,MATCH($D1255,MUSTERILER!$C$7:$C$106,0)),IFERROR(INDEX(MUSTERILER!$B$7:$B$106,MATCH($D1255,MUSTERILER!$B$7:$B$106,0)),IFERROR(INDEX(MUSTERILER!$B$7:$B$106,MATCH($D1255&amp;"*",MUSTERILER!$C$7:$C$106,0)),"TANIMSIZ MÜŞTERİ"))))</f>
        <v/>
      </c>
      <c r="D1255" s="109" t="n"/>
      <c r="E1255" s="225" t="n"/>
      <c r="F1255" s="226" t="n"/>
      <c r="G1255" s="108" t="n"/>
      <c r="H1255" s="108" t="n"/>
      <c r="I1255" s="109" t="n"/>
      <c r="J1255" s="109" t="n"/>
      <c r="K1255" s="109" t="n"/>
      <c r="L1255" s="231">
        <f>IF($E1255="","",DATE(YEAR($E1255),MONTH($E1255),1))</f>
        <v/>
      </c>
      <c r="M1255" s="113">
        <f>IF($D1255="","",IF($C1255="TANIMSIZ MÜŞTERİ","HATA",IF(OR($E1255="",$F1255&lt;=0,$G1255=""),"EKSİK",IF($E1255&gt;TODAY(),"İLERİ TARİH","UYGUN"))))</f>
        <v/>
      </c>
      <c r="N1255" s="121">
        <f>IF($C1255="","",IF($C1255="TANIMSIZ MÜŞTERİ","—",INDEX(MUSTERILER!$C$7:$C$106,MATCH($C1255,MUSTERILER!$B$7:$B$106,0))))</f>
        <v/>
      </c>
      <c r="O1255" s="6" t="n"/>
      <c r="P1255" s="6" t="n"/>
      <c r="Q1255" s="3">
        <f>IF($D1255="","",$C1255&amp;"|"&amp;COUNTIFS($C$7:$C1255,$C1255))</f>
        <v/>
      </c>
    </row>
    <row r="1256">
      <c r="A1256" s="6" t="n"/>
      <c r="B1256" s="113">
        <f>IF($D1256="","","T"&amp;TEXT(ROW()-6,"00000"))</f>
        <v/>
      </c>
      <c r="C1256" s="113">
        <f>IF($D1256="","",IFERROR(INDEX(MUSTERILER!$B$7:$B$106,MATCH($D1256,MUSTERILER!$C$7:$C$106,0)),IFERROR(INDEX(MUSTERILER!$B$7:$B$106,MATCH($D1256,MUSTERILER!$B$7:$B$106,0)),IFERROR(INDEX(MUSTERILER!$B$7:$B$106,MATCH($D1256&amp;"*",MUSTERILER!$C$7:$C$106,0)),"TANIMSIZ MÜŞTERİ"))))</f>
        <v/>
      </c>
      <c r="D1256" s="109" t="n"/>
      <c r="E1256" s="225" t="n"/>
      <c r="F1256" s="226" t="n"/>
      <c r="G1256" s="108" t="n"/>
      <c r="H1256" s="108" t="n"/>
      <c r="I1256" s="109" t="n"/>
      <c r="J1256" s="109" t="n"/>
      <c r="K1256" s="109" t="n"/>
      <c r="L1256" s="231">
        <f>IF($E1256="","",DATE(YEAR($E1256),MONTH($E1256),1))</f>
        <v/>
      </c>
      <c r="M1256" s="113">
        <f>IF($D1256="","",IF($C1256="TANIMSIZ MÜŞTERİ","HATA",IF(OR($E1256="",$F1256&lt;=0,$G1256=""),"EKSİK",IF($E1256&gt;TODAY(),"İLERİ TARİH","UYGUN"))))</f>
        <v/>
      </c>
      <c r="N1256" s="121">
        <f>IF($C1256="","",IF($C1256="TANIMSIZ MÜŞTERİ","—",INDEX(MUSTERILER!$C$7:$C$106,MATCH($C1256,MUSTERILER!$B$7:$B$106,0))))</f>
        <v/>
      </c>
      <c r="O1256" s="6" t="n"/>
      <c r="P1256" s="6" t="n"/>
      <c r="Q1256" s="3">
        <f>IF($D1256="","",$C1256&amp;"|"&amp;COUNTIFS($C$7:$C1256,$C1256))</f>
        <v/>
      </c>
    </row>
    <row r="1257">
      <c r="A1257" s="6" t="n"/>
      <c r="B1257" s="113">
        <f>IF($D1257="","","T"&amp;TEXT(ROW()-6,"00000"))</f>
        <v/>
      </c>
      <c r="C1257" s="113">
        <f>IF($D1257="","",IFERROR(INDEX(MUSTERILER!$B$7:$B$106,MATCH($D1257,MUSTERILER!$C$7:$C$106,0)),IFERROR(INDEX(MUSTERILER!$B$7:$B$106,MATCH($D1257,MUSTERILER!$B$7:$B$106,0)),IFERROR(INDEX(MUSTERILER!$B$7:$B$106,MATCH($D1257&amp;"*",MUSTERILER!$C$7:$C$106,0)),"TANIMSIZ MÜŞTERİ"))))</f>
        <v/>
      </c>
      <c r="D1257" s="109" t="n"/>
      <c r="E1257" s="225" t="n"/>
      <c r="F1257" s="226" t="n"/>
      <c r="G1257" s="108" t="n"/>
      <c r="H1257" s="108" t="n"/>
      <c r="I1257" s="109" t="n"/>
      <c r="J1257" s="109" t="n"/>
      <c r="K1257" s="109" t="n"/>
      <c r="L1257" s="231">
        <f>IF($E1257="","",DATE(YEAR($E1257),MONTH($E1257),1))</f>
        <v/>
      </c>
      <c r="M1257" s="113">
        <f>IF($D1257="","",IF($C1257="TANIMSIZ MÜŞTERİ","HATA",IF(OR($E1257="",$F1257&lt;=0,$G1257=""),"EKSİK",IF($E1257&gt;TODAY(),"İLERİ TARİH","UYGUN"))))</f>
        <v/>
      </c>
      <c r="N1257" s="121">
        <f>IF($C1257="","",IF($C1257="TANIMSIZ MÜŞTERİ","—",INDEX(MUSTERILER!$C$7:$C$106,MATCH($C1257,MUSTERILER!$B$7:$B$106,0))))</f>
        <v/>
      </c>
      <c r="O1257" s="6" t="n"/>
      <c r="P1257" s="6" t="n"/>
      <c r="Q1257" s="3">
        <f>IF($D1257="","",$C1257&amp;"|"&amp;COUNTIFS($C$7:$C1257,$C1257))</f>
        <v/>
      </c>
    </row>
    <row r="1258">
      <c r="A1258" s="6" t="n"/>
      <c r="B1258" s="113">
        <f>IF($D1258="","","T"&amp;TEXT(ROW()-6,"00000"))</f>
        <v/>
      </c>
      <c r="C1258" s="113">
        <f>IF($D1258="","",IFERROR(INDEX(MUSTERILER!$B$7:$B$106,MATCH($D1258,MUSTERILER!$C$7:$C$106,0)),IFERROR(INDEX(MUSTERILER!$B$7:$B$106,MATCH($D1258,MUSTERILER!$B$7:$B$106,0)),IFERROR(INDEX(MUSTERILER!$B$7:$B$106,MATCH($D1258&amp;"*",MUSTERILER!$C$7:$C$106,0)),"TANIMSIZ MÜŞTERİ"))))</f>
        <v/>
      </c>
      <c r="D1258" s="109" t="n"/>
      <c r="E1258" s="225" t="n"/>
      <c r="F1258" s="226" t="n"/>
      <c r="G1258" s="108" t="n"/>
      <c r="H1258" s="108" t="n"/>
      <c r="I1258" s="109" t="n"/>
      <c r="J1258" s="109" t="n"/>
      <c r="K1258" s="109" t="n"/>
      <c r="L1258" s="231">
        <f>IF($E1258="","",DATE(YEAR($E1258),MONTH($E1258),1))</f>
        <v/>
      </c>
      <c r="M1258" s="113">
        <f>IF($D1258="","",IF($C1258="TANIMSIZ MÜŞTERİ","HATA",IF(OR($E1258="",$F1258&lt;=0,$G1258=""),"EKSİK",IF($E1258&gt;TODAY(),"İLERİ TARİH","UYGUN"))))</f>
        <v/>
      </c>
      <c r="N1258" s="121">
        <f>IF($C1258="","",IF($C1258="TANIMSIZ MÜŞTERİ","—",INDEX(MUSTERILER!$C$7:$C$106,MATCH($C1258,MUSTERILER!$B$7:$B$106,0))))</f>
        <v/>
      </c>
      <c r="O1258" s="6" t="n"/>
      <c r="P1258" s="6" t="n"/>
      <c r="Q1258" s="3">
        <f>IF($D1258="","",$C1258&amp;"|"&amp;COUNTIFS($C$7:$C1258,$C1258))</f>
        <v/>
      </c>
    </row>
    <row r="1259">
      <c r="A1259" s="6" t="n"/>
      <c r="B1259" s="113">
        <f>IF($D1259="","","T"&amp;TEXT(ROW()-6,"00000"))</f>
        <v/>
      </c>
      <c r="C1259" s="113">
        <f>IF($D1259="","",IFERROR(INDEX(MUSTERILER!$B$7:$B$106,MATCH($D1259,MUSTERILER!$C$7:$C$106,0)),IFERROR(INDEX(MUSTERILER!$B$7:$B$106,MATCH($D1259,MUSTERILER!$B$7:$B$106,0)),IFERROR(INDEX(MUSTERILER!$B$7:$B$106,MATCH($D1259&amp;"*",MUSTERILER!$C$7:$C$106,0)),"TANIMSIZ MÜŞTERİ"))))</f>
        <v/>
      </c>
      <c r="D1259" s="109" t="n"/>
      <c r="E1259" s="225" t="n"/>
      <c r="F1259" s="226" t="n"/>
      <c r="G1259" s="108" t="n"/>
      <c r="H1259" s="108" t="n"/>
      <c r="I1259" s="109" t="n"/>
      <c r="J1259" s="109" t="n"/>
      <c r="K1259" s="109" t="n"/>
      <c r="L1259" s="231">
        <f>IF($E1259="","",DATE(YEAR($E1259),MONTH($E1259),1))</f>
        <v/>
      </c>
      <c r="M1259" s="113">
        <f>IF($D1259="","",IF($C1259="TANIMSIZ MÜŞTERİ","HATA",IF(OR($E1259="",$F1259&lt;=0,$G1259=""),"EKSİK",IF($E1259&gt;TODAY(),"İLERİ TARİH","UYGUN"))))</f>
        <v/>
      </c>
      <c r="N1259" s="121">
        <f>IF($C1259="","",IF($C1259="TANIMSIZ MÜŞTERİ","—",INDEX(MUSTERILER!$C$7:$C$106,MATCH($C1259,MUSTERILER!$B$7:$B$106,0))))</f>
        <v/>
      </c>
      <c r="O1259" s="6" t="n"/>
      <c r="P1259" s="6" t="n"/>
      <c r="Q1259" s="3">
        <f>IF($D1259="","",$C1259&amp;"|"&amp;COUNTIFS($C$7:$C1259,$C1259))</f>
        <v/>
      </c>
    </row>
    <row r="1260">
      <c r="A1260" s="6" t="n"/>
      <c r="B1260" s="113">
        <f>IF($D1260="","","T"&amp;TEXT(ROW()-6,"00000"))</f>
        <v/>
      </c>
      <c r="C1260" s="113">
        <f>IF($D1260="","",IFERROR(INDEX(MUSTERILER!$B$7:$B$106,MATCH($D1260,MUSTERILER!$C$7:$C$106,0)),IFERROR(INDEX(MUSTERILER!$B$7:$B$106,MATCH($D1260,MUSTERILER!$B$7:$B$106,0)),IFERROR(INDEX(MUSTERILER!$B$7:$B$106,MATCH($D1260&amp;"*",MUSTERILER!$C$7:$C$106,0)),"TANIMSIZ MÜŞTERİ"))))</f>
        <v/>
      </c>
      <c r="D1260" s="109" t="n"/>
      <c r="E1260" s="225" t="n"/>
      <c r="F1260" s="226" t="n"/>
      <c r="G1260" s="108" t="n"/>
      <c r="H1260" s="108" t="n"/>
      <c r="I1260" s="109" t="n"/>
      <c r="J1260" s="109" t="n"/>
      <c r="K1260" s="109" t="n"/>
      <c r="L1260" s="231">
        <f>IF($E1260="","",DATE(YEAR($E1260),MONTH($E1260),1))</f>
        <v/>
      </c>
      <c r="M1260" s="113">
        <f>IF($D1260="","",IF($C1260="TANIMSIZ MÜŞTERİ","HATA",IF(OR($E1260="",$F1260&lt;=0,$G1260=""),"EKSİK",IF($E1260&gt;TODAY(),"İLERİ TARİH","UYGUN"))))</f>
        <v/>
      </c>
      <c r="N1260" s="121">
        <f>IF($C1260="","",IF($C1260="TANIMSIZ MÜŞTERİ","—",INDEX(MUSTERILER!$C$7:$C$106,MATCH($C1260,MUSTERILER!$B$7:$B$106,0))))</f>
        <v/>
      </c>
      <c r="O1260" s="6" t="n"/>
      <c r="P1260" s="6" t="n"/>
      <c r="Q1260" s="3">
        <f>IF($D1260="","",$C1260&amp;"|"&amp;COUNTIFS($C$7:$C1260,$C1260))</f>
        <v/>
      </c>
    </row>
    <row r="1261">
      <c r="A1261" s="6" t="n"/>
      <c r="B1261" s="113">
        <f>IF($D1261="","","T"&amp;TEXT(ROW()-6,"00000"))</f>
        <v/>
      </c>
      <c r="C1261" s="113">
        <f>IF($D1261="","",IFERROR(INDEX(MUSTERILER!$B$7:$B$106,MATCH($D1261,MUSTERILER!$C$7:$C$106,0)),IFERROR(INDEX(MUSTERILER!$B$7:$B$106,MATCH($D1261,MUSTERILER!$B$7:$B$106,0)),IFERROR(INDEX(MUSTERILER!$B$7:$B$106,MATCH($D1261&amp;"*",MUSTERILER!$C$7:$C$106,0)),"TANIMSIZ MÜŞTERİ"))))</f>
        <v/>
      </c>
      <c r="D1261" s="109" t="n"/>
      <c r="E1261" s="225" t="n"/>
      <c r="F1261" s="226" t="n"/>
      <c r="G1261" s="108" t="n"/>
      <c r="H1261" s="108" t="n"/>
      <c r="I1261" s="109" t="n"/>
      <c r="J1261" s="109" t="n"/>
      <c r="K1261" s="109" t="n"/>
      <c r="L1261" s="231">
        <f>IF($E1261="","",DATE(YEAR($E1261),MONTH($E1261),1))</f>
        <v/>
      </c>
      <c r="M1261" s="113">
        <f>IF($D1261="","",IF($C1261="TANIMSIZ MÜŞTERİ","HATA",IF(OR($E1261="",$F1261&lt;=0,$G1261=""),"EKSİK",IF($E1261&gt;TODAY(),"İLERİ TARİH","UYGUN"))))</f>
        <v/>
      </c>
      <c r="N1261" s="121">
        <f>IF($C1261="","",IF($C1261="TANIMSIZ MÜŞTERİ","—",INDEX(MUSTERILER!$C$7:$C$106,MATCH($C1261,MUSTERILER!$B$7:$B$106,0))))</f>
        <v/>
      </c>
      <c r="O1261" s="6" t="n"/>
      <c r="P1261" s="6" t="n"/>
      <c r="Q1261" s="3">
        <f>IF($D1261="","",$C1261&amp;"|"&amp;COUNTIFS($C$7:$C1261,$C1261))</f>
        <v/>
      </c>
    </row>
    <row r="1262">
      <c r="A1262" s="6" t="n"/>
      <c r="B1262" s="113">
        <f>IF($D1262="","","T"&amp;TEXT(ROW()-6,"00000"))</f>
        <v/>
      </c>
      <c r="C1262" s="113">
        <f>IF($D1262="","",IFERROR(INDEX(MUSTERILER!$B$7:$B$106,MATCH($D1262,MUSTERILER!$C$7:$C$106,0)),IFERROR(INDEX(MUSTERILER!$B$7:$B$106,MATCH($D1262,MUSTERILER!$B$7:$B$106,0)),IFERROR(INDEX(MUSTERILER!$B$7:$B$106,MATCH($D1262&amp;"*",MUSTERILER!$C$7:$C$106,0)),"TANIMSIZ MÜŞTERİ"))))</f>
        <v/>
      </c>
      <c r="D1262" s="109" t="n"/>
      <c r="E1262" s="225" t="n"/>
      <c r="F1262" s="226" t="n"/>
      <c r="G1262" s="108" t="n"/>
      <c r="H1262" s="108" t="n"/>
      <c r="I1262" s="109" t="n"/>
      <c r="J1262" s="109" t="n"/>
      <c r="K1262" s="109" t="n"/>
      <c r="L1262" s="231">
        <f>IF($E1262="","",DATE(YEAR($E1262),MONTH($E1262),1))</f>
        <v/>
      </c>
      <c r="M1262" s="113">
        <f>IF($D1262="","",IF($C1262="TANIMSIZ MÜŞTERİ","HATA",IF(OR($E1262="",$F1262&lt;=0,$G1262=""),"EKSİK",IF($E1262&gt;TODAY(),"İLERİ TARİH","UYGUN"))))</f>
        <v/>
      </c>
      <c r="N1262" s="121">
        <f>IF($C1262="","",IF($C1262="TANIMSIZ MÜŞTERİ","—",INDEX(MUSTERILER!$C$7:$C$106,MATCH($C1262,MUSTERILER!$B$7:$B$106,0))))</f>
        <v/>
      </c>
      <c r="O1262" s="6" t="n"/>
      <c r="P1262" s="6" t="n"/>
      <c r="Q1262" s="3">
        <f>IF($D1262="","",$C1262&amp;"|"&amp;COUNTIFS($C$7:$C1262,$C1262))</f>
        <v/>
      </c>
    </row>
    <row r="1263">
      <c r="A1263" s="6" t="n"/>
      <c r="B1263" s="113">
        <f>IF($D1263="","","T"&amp;TEXT(ROW()-6,"00000"))</f>
        <v/>
      </c>
      <c r="C1263" s="113">
        <f>IF($D1263="","",IFERROR(INDEX(MUSTERILER!$B$7:$B$106,MATCH($D1263,MUSTERILER!$C$7:$C$106,0)),IFERROR(INDEX(MUSTERILER!$B$7:$B$106,MATCH($D1263,MUSTERILER!$B$7:$B$106,0)),IFERROR(INDEX(MUSTERILER!$B$7:$B$106,MATCH($D1263&amp;"*",MUSTERILER!$C$7:$C$106,0)),"TANIMSIZ MÜŞTERİ"))))</f>
        <v/>
      </c>
      <c r="D1263" s="109" t="n"/>
      <c r="E1263" s="225" t="n"/>
      <c r="F1263" s="226" t="n"/>
      <c r="G1263" s="108" t="n"/>
      <c r="H1263" s="108" t="n"/>
      <c r="I1263" s="109" t="n"/>
      <c r="J1263" s="109" t="n"/>
      <c r="K1263" s="109" t="n"/>
      <c r="L1263" s="231">
        <f>IF($E1263="","",DATE(YEAR($E1263),MONTH($E1263),1))</f>
        <v/>
      </c>
      <c r="M1263" s="113">
        <f>IF($D1263="","",IF($C1263="TANIMSIZ MÜŞTERİ","HATA",IF(OR($E1263="",$F1263&lt;=0,$G1263=""),"EKSİK",IF($E1263&gt;TODAY(),"İLERİ TARİH","UYGUN"))))</f>
        <v/>
      </c>
      <c r="N1263" s="121">
        <f>IF($C1263="","",IF($C1263="TANIMSIZ MÜŞTERİ","—",INDEX(MUSTERILER!$C$7:$C$106,MATCH($C1263,MUSTERILER!$B$7:$B$106,0))))</f>
        <v/>
      </c>
      <c r="O1263" s="6" t="n"/>
      <c r="P1263" s="6" t="n"/>
      <c r="Q1263" s="3">
        <f>IF($D1263="","",$C1263&amp;"|"&amp;COUNTIFS($C$7:$C1263,$C1263))</f>
        <v/>
      </c>
    </row>
    <row r="1264">
      <c r="A1264" s="6" t="n"/>
      <c r="B1264" s="113">
        <f>IF($D1264="","","T"&amp;TEXT(ROW()-6,"00000"))</f>
        <v/>
      </c>
      <c r="C1264" s="113">
        <f>IF($D1264="","",IFERROR(INDEX(MUSTERILER!$B$7:$B$106,MATCH($D1264,MUSTERILER!$C$7:$C$106,0)),IFERROR(INDEX(MUSTERILER!$B$7:$B$106,MATCH($D1264,MUSTERILER!$B$7:$B$106,0)),IFERROR(INDEX(MUSTERILER!$B$7:$B$106,MATCH($D1264&amp;"*",MUSTERILER!$C$7:$C$106,0)),"TANIMSIZ MÜŞTERİ"))))</f>
        <v/>
      </c>
      <c r="D1264" s="109" t="n"/>
      <c r="E1264" s="225" t="n"/>
      <c r="F1264" s="226" t="n"/>
      <c r="G1264" s="108" t="n"/>
      <c r="H1264" s="108" t="n"/>
      <c r="I1264" s="109" t="n"/>
      <c r="J1264" s="109" t="n"/>
      <c r="K1264" s="109" t="n"/>
      <c r="L1264" s="231">
        <f>IF($E1264="","",DATE(YEAR($E1264),MONTH($E1264),1))</f>
        <v/>
      </c>
      <c r="M1264" s="113">
        <f>IF($D1264="","",IF($C1264="TANIMSIZ MÜŞTERİ","HATA",IF(OR($E1264="",$F1264&lt;=0,$G1264=""),"EKSİK",IF($E1264&gt;TODAY(),"İLERİ TARİH","UYGUN"))))</f>
        <v/>
      </c>
      <c r="N1264" s="121">
        <f>IF($C1264="","",IF($C1264="TANIMSIZ MÜŞTERİ","—",INDEX(MUSTERILER!$C$7:$C$106,MATCH($C1264,MUSTERILER!$B$7:$B$106,0))))</f>
        <v/>
      </c>
      <c r="O1264" s="6" t="n"/>
      <c r="P1264" s="6" t="n"/>
      <c r="Q1264" s="3">
        <f>IF($D1264="","",$C1264&amp;"|"&amp;COUNTIFS($C$7:$C1264,$C1264))</f>
        <v/>
      </c>
    </row>
    <row r="1265">
      <c r="A1265" s="6" t="n"/>
      <c r="B1265" s="113">
        <f>IF($D1265="","","T"&amp;TEXT(ROW()-6,"00000"))</f>
        <v/>
      </c>
      <c r="C1265" s="113">
        <f>IF($D1265="","",IFERROR(INDEX(MUSTERILER!$B$7:$B$106,MATCH($D1265,MUSTERILER!$C$7:$C$106,0)),IFERROR(INDEX(MUSTERILER!$B$7:$B$106,MATCH($D1265,MUSTERILER!$B$7:$B$106,0)),IFERROR(INDEX(MUSTERILER!$B$7:$B$106,MATCH($D1265&amp;"*",MUSTERILER!$C$7:$C$106,0)),"TANIMSIZ MÜŞTERİ"))))</f>
        <v/>
      </c>
      <c r="D1265" s="109" t="n"/>
      <c r="E1265" s="225" t="n"/>
      <c r="F1265" s="226" t="n"/>
      <c r="G1265" s="108" t="n"/>
      <c r="H1265" s="108" t="n"/>
      <c r="I1265" s="109" t="n"/>
      <c r="J1265" s="109" t="n"/>
      <c r="K1265" s="109" t="n"/>
      <c r="L1265" s="231">
        <f>IF($E1265="","",DATE(YEAR($E1265),MONTH($E1265),1))</f>
        <v/>
      </c>
      <c r="M1265" s="113">
        <f>IF($D1265="","",IF($C1265="TANIMSIZ MÜŞTERİ","HATA",IF(OR($E1265="",$F1265&lt;=0,$G1265=""),"EKSİK",IF($E1265&gt;TODAY(),"İLERİ TARİH","UYGUN"))))</f>
        <v/>
      </c>
      <c r="N1265" s="121">
        <f>IF($C1265="","",IF($C1265="TANIMSIZ MÜŞTERİ","—",INDEX(MUSTERILER!$C$7:$C$106,MATCH($C1265,MUSTERILER!$B$7:$B$106,0))))</f>
        <v/>
      </c>
      <c r="O1265" s="6" t="n"/>
      <c r="P1265" s="6" t="n"/>
      <c r="Q1265" s="3">
        <f>IF($D1265="","",$C1265&amp;"|"&amp;COUNTIFS($C$7:$C1265,$C1265))</f>
        <v/>
      </c>
    </row>
    <row r="1266">
      <c r="A1266" s="6" t="n"/>
      <c r="B1266" s="113">
        <f>IF($D1266="","","T"&amp;TEXT(ROW()-6,"00000"))</f>
        <v/>
      </c>
      <c r="C1266" s="113">
        <f>IF($D1266="","",IFERROR(INDEX(MUSTERILER!$B$7:$B$106,MATCH($D1266,MUSTERILER!$C$7:$C$106,0)),IFERROR(INDEX(MUSTERILER!$B$7:$B$106,MATCH($D1266,MUSTERILER!$B$7:$B$106,0)),IFERROR(INDEX(MUSTERILER!$B$7:$B$106,MATCH($D1266&amp;"*",MUSTERILER!$C$7:$C$106,0)),"TANIMSIZ MÜŞTERİ"))))</f>
        <v/>
      </c>
      <c r="D1266" s="109" t="n"/>
      <c r="E1266" s="225" t="n"/>
      <c r="F1266" s="226" t="n"/>
      <c r="G1266" s="108" t="n"/>
      <c r="H1266" s="108" t="n"/>
      <c r="I1266" s="109" t="n"/>
      <c r="J1266" s="109" t="n"/>
      <c r="K1266" s="109" t="n"/>
      <c r="L1266" s="231">
        <f>IF($E1266="","",DATE(YEAR($E1266),MONTH($E1266),1))</f>
        <v/>
      </c>
      <c r="M1266" s="113">
        <f>IF($D1266="","",IF($C1266="TANIMSIZ MÜŞTERİ","HATA",IF(OR($E1266="",$F1266&lt;=0,$G1266=""),"EKSİK",IF($E1266&gt;TODAY(),"İLERİ TARİH","UYGUN"))))</f>
        <v/>
      </c>
      <c r="N1266" s="121">
        <f>IF($C1266="","",IF($C1266="TANIMSIZ MÜŞTERİ","—",INDEX(MUSTERILER!$C$7:$C$106,MATCH($C1266,MUSTERILER!$B$7:$B$106,0))))</f>
        <v/>
      </c>
      <c r="O1266" s="6" t="n"/>
      <c r="P1266" s="6" t="n"/>
      <c r="Q1266" s="3">
        <f>IF($D1266="","",$C1266&amp;"|"&amp;COUNTIFS($C$7:$C1266,$C1266))</f>
        <v/>
      </c>
    </row>
    <row r="1267">
      <c r="A1267" s="6" t="n"/>
      <c r="B1267" s="113">
        <f>IF($D1267="","","T"&amp;TEXT(ROW()-6,"00000"))</f>
        <v/>
      </c>
      <c r="C1267" s="113">
        <f>IF($D1267="","",IFERROR(INDEX(MUSTERILER!$B$7:$B$106,MATCH($D1267,MUSTERILER!$C$7:$C$106,0)),IFERROR(INDEX(MUSTERILER!$B$7:$B$106,MATCH($D1267,MUSTERILER!$B$7:$B$106,0)),IFERROR(INDEX(MUSTERILER!$B$7:$B$106,MATCH($D1267&amp;"*",MUSTERILER!$C$7:$C$106,0)),"TANIMSIZ MÜŞTERİ"))))</f>
        <v/>
      </c>
      <c r="D1267" s="109" t="n"/>
      <c r="E1267" s="225" t="n"/>
      <c r="F1267" s="226" t="n"/>
      <c r="G1267" s="108" t="n"/>
      <c r="H1267" s="108" t="n"/>
      <c r="I1267" s="109" t="n"/>
      <c r="J1267" s="109" t="n"/>
      <c r="K1267" s="109" t="n"/>
      <c r="L1267" s="231">
        <f>IF($E1267="","",DATE(YEAR($E1267),MONTH($E1267),1))</f>
        <v/>
      </c>
      <c r="M1267" s="113">
        <f>IF($D1267="","",IF($C1267="TANIMSIZ MÜŞTERİ","HATA",IF(OR($E1267="",$F1267&lt;=0,$G1267=""),"EKSİK",IF($E1267&gt;TODAY(),"İLERİ TARİH","UYGUN"))))</f>
        <v/>
      </c>
      <c r="N1267" s="121">
        <f>IF($C1267="","",IF($C1267="TANIMSIZ MÜŞTERİ","—",INDEX(MUSTERILER!$C$7:$C$106,MATCH($C1267,MUSTERILER!$B$7:$B$106,0))))</f>
        <v/>
      </c>
      <c r="O1267" s="6" t="n"/>
      <c r="P1267" s="6" t="n"/>
      <c r="Q1267" s="3">
        <f>IF($D1267="","",$C1267&amp;"|"&amp;COUNTIFS($C$7:$C1267,$C1267))</f>
        <v/>
      </c>
    </row>
    <row r="1268">
      <c r="A1268" s="6" t="n"/>
      <c r="B1268" s="113">
        <f>IF($D1268="","","T"&amp;TEXT(ROW()-6,"00000"))</f>
        <v/>
      </c>
      <c r="C1268" s="113">
        <f>IF($D1268="","",IFERROR(INDEX(MUSTERILER!$B$7:$B$106,MATCH($D1268,MUSTERILER!$C$7:$C$106,0)),IFERROR(INDEX(MUSTERILER!$B$7:$B$106,MATCH($D1268,MUSTERILER!$B$7:$B$106,0)),IFERROR(INDEX(MUSTERILER!$B$7:$B$106,MATCH($D1268&amp;"*",MUSTERILER!$C$7:$C$106,0)),"TANIMSIZ MÜŞTERİ"))))</f>
        <v/>
      </c>
      <c r="D1268" s="109" t="n"/>
      <c r="E1268" s="225" t="n"/>
      <c r="F1268" s="226" t="n"/>
      <c r="G1268" s="108" t="n"/>
      <c r="H1268" s="108" t="n"/>
      <c r="I1268" s="109" t="n"/>
      <c r="J1268" s="109" t="n"/>
      <c r="K1268" s="109" t="n"/>
      <c r="L1268" s="231">
        <f>IF($E1268="","",DATE(YEAR($E1268),MONTH($E1268),1))</f>
        <v/>
      </c>
      <c r="M1268" s="113">
        <f>IF($D1268="","",IF($C1268="TANIMSIZ MÜŞTERİ","HATA",IF(OR($E1268="",$F1268&lt;=0,$G1268=""),"EKSİK",IF($E1268&gt;TODAY(),"İLERİ TARİH","UYGUN"))))</f>
        <v/>
      </c>
      <c r="N1268" s="121">
        <f>IF($C1268="","",IF($C1268="TANIMSIZ MÜŞTERİ","—",INDEX(MUSTERILER!$C$7:$C$106,MATCH($C1268,MUSTERILER!$B$7:$B$106,0))))</f>
        <v/>
      </c>
      <c r="O1268" s="6" t="n"/>
      <c r="P1268" s="6" t="n"/>
      <c r="Q1268" s="3">
        <f>IF($D1268="","",$C1268&amp;"|"&amp;COUNTIFS($C$7:$C1268,$C1268))</f>
        <v/>
      </c>
    </row>
    <row r="1269">
      <c r="A1269" s="6" t="n"/>
      <c r="B1269" s="113">
        <f>IF($D1269="","","T"&amp;TEXT(ROW()-6,"00000"))</f>
        <v/>
      </c>
      <c r="C1269" s="113">
        <f>IF($D1269="","",IFERROR(INDEX(MUSTERILER!$B$7:$B$106,MATCH($D1269,MUSTERILER!$C$7:$C$106,0)),IFERROR(INDEX(MUSTERILER!$B$7:$B$106,MATCH($D1269,MUSTERILER!$B$7:$B$106,0)),IFERROR(INDEX(MUSTERILER!$B$7:$B$106,MATCH($D1269&amp;"*",MUSTERILER!$C$7:$C$106,0)),"TANIMSIZ MÜŞTERİ"))))</f>
        <v/>
      </c>
      <c r="D1269" s="109" t="n"/>
      <c r="E1269" s="225" t="n"/>
      <c r="F1269" s="226" t="n"/>
      <c r="G1269" s="108" t="n"/>
      <c r="H1269" s="108" t="n"/>
      <c r="I1269" s="109" t="n"/>
      <c r="J1269" s="109" t="n"/>
      <c r="K1269" s="109" t="n"/>
      <c r="L1269" s="231">
        <f>IF($E1269="","",DATE(YEAR($E1269),MONTH($E1269),1))</f>
        <v/>
      </c>
      <c r="M1269" s="113">
        <f>IF($D1269="","",IF($C1269="TANIMSIZ MÜŞTERİ","HATA",IF(OR($E1269="",$F1269&lt;=0,$G1269=""),"EKSİK",IF($E1269&gt;TODAY(),"İLERİ TARİH","UYGUN"))))</f>
        <v/>
      </c>
      <c r="N1269" s="121">
        <f>IF($C1269="","",IF($C1269="TANIMSIZ MÜŞTERİ","—",INDEX(MUSTERILER!$C$7:$C$106,MATCH($C1269,MUSTERILER!$B$7:$B$106,0))))</f>
        <v/>
      </c>
      <c r="O1269" s="6" t="n"/>
      <c r="P1269" s="6" t="n"/>
      <c r="Q1269" s="3">
        <f>IF($D1269="","",$C1269&amp;"|"&amp;COUNTIFS($C$7:$C1269,$C1269))</f>
        <v/>
      </c>
    </row>
    <row r="1270">
      <c r="A1270" s="6" t="n"/>
      <c r="B1270" s="113">
        <f>IF($D1270="","","T"&amp;TEXT(ROW()-6,"00000"))</f>
        <v/>
      </c>
      <c r="C1270" s="113">
        <f>IF($D1270="","",IFERROR(INDEX(MUSTERILER!$B$7:$B$106,MATCH($D1270,MUSTERILER!$C$7:$C$106,0)),IFERROR(INDEX(MUSTERILER!$B$7:$B$106,MATCH($D1270,MUSTERILER!$B$7:$B$106,0)),IFERROR(INDEX(MUSTERILER!$B$7:$B$106,MATCH($D1270&amp;"*",MUSTERILER!$C$7:$C$106,0)),"TANIMSIZ MÜŞTERİ"))))</f>
        <v/>
      </c>
      <c r="D1270" s="109" t="n"/>
      <c r="E1270" s="225" t="n"/>
      <c r="F1270" s="226" t="n"/>
      <c r="G1270" s="108" t="n"/>
      <c r="H1270" s="108" t="n"/>
      <c r="I1270" s="109" t="n"/>
      <c r="J1270" s="109" t="n"/>
      <c r="K1270" s="109" t="n"/>
      <c r="L1270" s="231">
        <f>IF($E1270="","",DATE(YEAR($E1270),MONTH($E1270),1))</f>
        <v/>
      </c>
      <c r="M1270" s="113">
        <f>IF($D1270="","",IF($C1270="TANIMSIZ MÜŞTERİ","HATA",IF(OR($E1270="",$F1270&lt;=0,$G1270=""),"EKSİK",IF($E1270&gt;TODAY(),"İLERİ TARİH","UYGUN"))))</f>
        <v/>
      </c>
      <c r="N1270" s="121">
        <f>IF($C1270="","",IF($C1270="TANIMSIZ MÜŞTERİ","—",INDEX(MUSTERILER!$C$7:$C$106,MATCH($C1270,MUSTERILER!$B$7:$B$106,0))))</f>
        <v/>
      </c>
      <c r="O1270" s="6" t="n"/>
      <c r="P1270" s="6" t="n"/>
      <c r="Q1270" s="3">
        <f>IF($D1270="","",$C1270&amp;"|"&amp;COUNTIFS($C$7:$C1270,$C1270))</f>
        <v/>
      </c>
    </row>
    <row r="1271">
      <c r="A1271" s="6" t="n"/>
      <c r="B1271" s="113">
        <f>IF($D1271="","","T"&amp;TEXT(ROW()-6,"00000"))</f>
        <v/>
      </c>
      <c r="C1271" s="113">
        <f>IF($D1271="","",IFERROR(INDEX(MUSTERILER!$B$7:$B$106,MATCH($D1271,MUSTERILER!$C$7:$C$106,0)),IFERROR(INDEX(MUSTERILER!$B$7:$B$106,MATCH($D1271,MUSTERILER!$B$7:$B$106,0)),IFERROR(INDEX(MUSTERILER!$B$7:$B$106,MATCH($D1271&amp;"*",MUSTERILER!$C$7:$C$106,0)),"TANIMSIZ MÜŞTERİ"))))</f>
        <v/>
      </c>
      <c r="D1271" s="109" t="n"/>
      <c r="E1271" s="225" t="n"/>
      <c r="F1271" s="226" t="n"/>
      <c r="G1271" s="108" t="n"/>
      <c r="H1271" s="108" t="n"/>
      <c r="I1271" s="109" t="n"/>
      <c r="J1271" s="109" t="n"/>
      <c r="K1271" s="109" t="n"/>
      <c r="L1271" s="231">
        <f>IF($E1271="","",DATE(YEAR($E1271),MONTH($E1271),1))</f>
        <v/>
      </c>
      <c r="M1271" s="113">
        <f>IF($D1271="","",IF($C1271="TANIMSIZ MÜŞTERİ","HATA",IF(OR($E1271="",$F1271&lt;=0,$G1271=""),"EKSİK",IF($E1271&gt;TODAY(),"İLERİ TARİH","UYGUN"))))</f>
        <v/>
      </c>
      <c r="N1271" s="121">
        <f>IF($C1271="","",IF($C1271="TANIMSIZ MÜŞTERİ","—",INDEX(MUSTERILER!$C$7:$C$106,MATCH($C1271,MUSTERILER!$B$7:$B$106,0))))</f>
        <v/>
      </c>
      <c r="O1271" s="6" t="n"/>
      <c r="P1271" s="6" t="n"/>
      <c r="Q1271" s="3">
        <f>IF($D1271="","",$C1271&amp;"|"&amp;COUNTIFS($C$7:$C1271,$C1271))</f>
        <v/>
      </c>
    </row>
    <row r="1272">
      <c r="A1272" s="6" t="n"/>
      <c r="B1272" s="113">
        <f>IF($D1272="","","T"&amp;TEXT(ROW()-6,"00000"))</f>
        <v/>
      </c>
      <c r="C1272" s="113">
        <f>IF($D1272="","",IFERROR(INDEX(MUSTERILER!$B$7:$B$106,MATCH($D1272,MUSTERILER!$C$7:$C$106,0)),IFERROR(INDEX(MUSTERILER!$B$7:$B$106,MATCH($D1272,MUSTERILER!$B$7:$B$106,0)),IFERROR(INDEX(MUSTERILER!$B$7:$B$106,MATCH($D1272&amp;"*",MUSTERILER!$C$7:$C$106,0)),"TANIMSIZ MÜŞTERİ"))))</f>
        <v/>
      </c>
      <c r="D1272" s="109" t="n"/>
      <c r="E1272" s="225" t="n"/>
      <c r="F1272" s="226" t="n"/>
      <c r="G1272" s="108" t="n"/>
      <c r="H1272" s="108" t="n"/>
      <c r="I1272" s="109" t="n"/>
      <c r="J1272" s="109" t="n"/>
      <c r="K1272" s="109" t="n"/>
      <c r="L1272" s="231">
        <f>IF($E1272="","",DATE(YEAR($E1272),MONTH($E1272),1))</f>
        <v/>
      </c>
      <c r="M1272" s="113">
        <f>IF($D1272="","",IF($C1272="TANIMSIZ MÜŞTERİ","HATA",IF(OR($E1272="",$F1272&lt;=0,$G1272=""),"EKSİK",IF($E1272&gt;TODAY(),"İLERİ TARİH","UYGUN"))))</f>
        <v/>
      </c>
      <c r="N1272" s="121">
        <f>IF($C1272="","",IF($C1272="TANIMSIZ MÜŞTERİ","—",INDEX(MUSTERILER!$C$7:$C$106,MATCH($C1272,MUSTERILER!$B$7:$B$106,0))))</f>
        <v/>
      </c>
      <c r="O1272" s="6" t="n"/>
      <c r="P1272" s="6" t="n"/>
      <c r="Q1272" s="3">
        <f>IF($D1272="","",$C1272&amp;"|"&amp;COUNTIFS($C$7:$C1272,$C1272))</f>
        <v/>
      </c>
    </row>
    <row r="1273">
      <c r="A1273" s="6" t="n"/>
      <c r="B1273" s="113">
        <f>IF($D1273="","","T"&amp;TEXT(ROW()-6,"00000"))</f>
        <v/>
      </c>
      <c r="C1273" s="113">
        <f>IF($D1273="","",IFERROR(INDEX(MUSTERILER!$B$7:$B$106,MATCH($D1273,MUSTERILER!$C$7:$C$106,0)),IFERROR(INDEX(MUSTERILER!$B$7:$B$106,MATCH($D1273,MUSTERILER!$B$7:$B$106,0)),IFERROR(INDEX(MUSTERILER!$B$7:$B$106,MATCH($D1273&amp;"*",MUSTERILER!$C$7:$C$106,0)),"TANIMSIZ MÜŞTERİ"))))</f>
        <v/>
      </c>
      <c r="D1273" s="109" t="n"/>
      <c r="E1273" s="225" t="n"/>
      <c r="F1273" s="226" t="n"/>
      <c r="G1273" s="108" t="n"/>
      <c r="H1273" s="108" t="n"/>
      <c r="I1273" s="109" t="n"/>
      <c r="J1273" s="109" t="n"/>
      <c r="K1273" s="109" t="n"/>
      <c r="L1273" s="231">
        <f>IF($E1273="","",DATE(YEAR($E1273),MONTH($E1273),1))</f>
        <v/>
      </c>
      <c r="M1273" s="113">
        <f>IF($D1273="","",IF($C1273="TANIMSIZ MÜŞTERİ","HATA",IF(OR($E1273="",$F1273&lt;=0,$G1273=""),"EKSİK",IF($E1273&gt;TODAY(),"İLERİ TARİH","UYGUN"))))</f>
        <v/>
      </c>
      <c r="N1273" s="121">
        <f>IF($C1273="","",IF($C1273="TANIMSIZ MÜŞTERİ","—",INDEX(MUSTERILER!$C$7:$C$106,MATCH($C1273,MUSTERILER!$B$7:$B$106,0))))</f>
        <v/>
      </c>
      <c r="O1273" s="6" t="n"/>
      <c r="P1273" s="6" t="n"/>
      <c r="Q1273" s="3">
        <f>IF($D1273="","",$C1273&amp;"|"&amp;COUNTIFS($C$7:$C1273,$C1273))</f>
        <v/>
      </c>
    </row>
    <row r="1274">
      <c r="A1274" s="6" t="n"/>
      <c r="B1274" s="113">
        <f>IF($D1274="","","T"&amp;TEXT(ROW()-6,"00000"))</f>
        <v/>
      </c>
      <c r="C1274" s="113">
        <f>IF($D1274="","",IFERROR(INDEX(MUSTERILER!$B$7:$B$106,MATCH($D1274,MUSTERILER!$C$7:$C$106,0)),IFERROR(INDEX(MUSTERILER!$B$7:$B$106,MATCH($D1274,MUSTERILER!$B$7:$B$106,0)),IFERROR(INDEX(MUSTERILER!$B$7:$B$106,MATCH($D1274&amp;"*",MUSTERILER!$C$7:$C$106,0)),"TANIMSIZ MÜŞTERİ"))))</f>
        <v/>
      </c>
      <c r="D1274" s="109" t="n"/>
      <c r="E1274" s="225" t="n"/>
      <c r="F1274" s="226" t="n"/>
      <c r="G1274" s="108" t="n"/>
      <c r="H1274" s="108" t="n"/>
      <c r="I1274" s="109" t="n"/>
      <c r="J1274" s="109" t="n"/>
      <c r="K1274" s="109" t="n"/>
      <c r="L1274" s="231">
        <f>IF($E1274="","",DATE(YEAR($E1274),MONTH($E1274),1))</f>
        <v/>
      </c>
      <c r="M1274" s="113">
        <f>IF($D1274="","",IF($C1274="TANIMSIZ MÜŞTERİ","HATA",IF(OR($E1274="",$F1274&lt;=0,$G1274=""),"EKSİK",IF($E1274&gt;TODAY(),"İLERİ TARİH","UYGUN"))))</f>
        <v/>
      </c>
      <c r="N1274" s="121">
        <f>IF($C1274="","",IF($C1274="TANIMSIZ MÜŞTERİ","—",INDEX(MUSTERILER!$C$7:$C$106,MATCH($C1274,MUSTERILER!$B$7:$B$106,0))))</f>
        <v/>
      </c>
      <c r="O1274" s="6" t="n"/>
      <c r="P1274" s="6" t="n"/>
      <c r="Q1274" s="3">
        <f>IF($D1274="","",$C1274&amp;"|"&amp;COUNTIFS($C$7:$C1274,$C1274))</f>
        <v/>
      </c>
    </row>
    <row r="1275">
      <c r="A1275" s="6" t="n"/>
      <c r="B1275" s="113">
        <f>IF($D1275="","","T"&amp;TEXT(ROW()-6,"00000"))</f>
        <v/>
      </c>
      <c r="C1275" s="113">
        <f>IF($D1275="","",IFERROR(INDEX(MUSTERILER!$B$7:$B$106,MATCH($D1275,MUSTERILER!$C$7:$C$106,0)),IFERROR(INDEX(MUSTERILER!$B$7:$B$106,MATCH($D1275,MUSTERILER!$B$7:$B$106,0)),IFERROR(INDEX(MUSTERILER!$B$7:$B$106,MATCH($D1275&amp;"*",MUSTERILER!$C$7:$C$106,0)),"TANIMSIZ MÜŞTERİ"))))</f>
        <v/>
      </c>
      <c r="D1275" s="109" t="n"/>
      <c r="E1275" s="225" t="n"/>
      <c r="F1275" s="226" t="n"/>
      <c r="G1275" s="108" t="n"/>
      <c r="H1275" s="108" t="n"/>
      <c r="I1275" s="109" t="n"/>
      <c r="J1275" s="109" t="n"/>
      <c r="K1275" s="109" t="n"/>
      <c r="L1275" s="231">
        <f>IF($E1275="","",DATE(YEAR($E1275),MONTH($E1275),1))</f>
        <v/>
      </c>
      <c r="M1275" s="113">
        <f>IF($D1275="","",IF($C1275="TANIMSIZ MÜŞTERİ","HATA",IF(OR($E1275="",$F1275&lt;=0,$G1275=""),"EKSİK",IF($E1275&gt;TODAY(),"İLERİ TARİH","UYGUN"))))</f>
        <v/>
      </c>
      <c r="N1275" s="121">
        <f>IF($C1275="","",IF($C1275="TANIMSIZ MÜŞTERİ","—",INDEX(MUSTERILER!$C$7:$C$106,MATCH($C1275,MUSTERILER!$B$7:$B$106,0))))</f>
        <v/>
      </c>
      <c r="O1275" s="6" t="n"/>
      <c r="P1275" s="6" t="n"/>
      <c r="Q1275" s="3">
        <f>IF($D1275="","",$C1275&amp;"|"&amp;COUNTIFS($C$7:$C1275,$C1275))</f>
        <v/>
      </c>
    </row>
    <row r="1276">
      <c r="A1276" s="6" t="n"/>
      <c r="B1276" s="113">
        <f>IF($D1276="","","T"&amp;TEXT(ROW()-6,"00000"))</f>
        <v/>
      </c>
      <c r="C1276" s="113">
        <f>IF($D1276="","",IFERROR(INDEX(MUSTERILER!$B$7:$B$106,MATCH($D1276,MUSTERILER!$C$7:$C$106,0)),IFERROR(INDEX(MUSTERILER!$B$7:$B$106,MATCH($D1276,MUSTERILER!$B$7:$B$106,0)),IFERROR(INDEX(MUSTERILER!$B$7:$B$106,MATCH($D1276&amp;"*",MUSTERILER!$C$7:$C$106,0)),"TANIMSIZ MÜŞTERİ"))))</f>
        <v/>
      </c>
      <c r="D1276" s="109" t="n"/>
      <c r="E1276" s="225" t="n"/>
      <c r="F1276" s="226" t="n"/>
      <c r="G1276" s="108" t="n"/>
      <c r="H1276" s="108" t="n"/>
      <c r="I1276" s="109" t="n"/>
      <c r="J1276" s="109" t="n"/>
      <c r="K1276" s="109" t="n"/>
      <c r="L1276" s="231">
        <f>IF($E1276="","",DATE(YEAR($E1276),MONTH($E1276),1))</f>
        <v/>
      </c>
      <c r="M1276" s="113">
        <f>IF($D1276="","",IF($C1276="TANIMSIZ MÜŞTERİ","HATA",IF(OR($E1276="",$F1276&lt;=0,$G1276=""),"EKSİK",IF($E1276&gt;TODAY(),"İLERİ TARİH","UYGUN"))))</f>
        <v/>
      </c>
      <c r="N1276" s="121">
        <f>IF($C1276="","",IF($C1276="TANIMSIZ MÜŞTERİ","—",INDEX(MUSTERILER!$C$7:$C$106,MATCH($C1276,MUSTERILER!$B$7:$B$106,0))))</f>
        <v/>
      </c>
      <c r="O1276" s="6" t="n"/>
      <c r="P1276" s="6" t="n"/>
      <c r="Q1276" s="3">
        <f>IF($D1276="","",$C1276&amp;"|"&amp;COUNTIFS($C$7:$C1276,$C1276))</f>
        <v/>
      </c>
    </row>
    <row r="1277">
      <c r="A1277" s="6" t="n"/>
      <c r="B1277" s="113">
        <f>IF($D1277="","","T"&amp;TEXT(ROW()-6,"00000"))</f>
        <v/>
      </c>
      <c r="C1277" s="113">
        <f>IF($D1277="","",IFERROR(INDEX(MUSTERILER!$B$7:$B$106,MATCH($D1277,MUSTERILER!$C$7:$C$106,0)),IFERROR(INDEX(MUSTERILER!$B$7:$B$106,MATCH($D1277,MUSTERILER!$B$7:$B$106,0)),IFERROR(INDEX(MUSTERILER!$B$7:$B$106,MATCH($D1277&amp;"*",MUSTERILER!$C$7:$C$106,0)),"TANIMSIZ MÜŞTERİ"))))</f>
        <v/>
      </c>
      <c r="D1277" s="109" t="n"/>
      <c r="E1277" s="225" t="n"/>
      <c r="F1277" s="226" t="n"/>
      <c r="G1277" s="108" t="n"/>
      <c r="H1277" s="108" t="n"/>
      <c r="I1277" s="109" t="n"/>
      <c r="J1277" s="109" t="n"/>
      <c r="K1277" s="109" t="n"/>
      <c r="L1277" s="231">
        <f>IF($E1277="","",DATE(YEAR($E1277),MONTH($E1277),1))</f>
        <v/>
      </c>
      <c r="M1277" s="113">
        <f>IF($D1277="","",IF($C1277="TANIMSIZ MÜŞTERİ","HATA",IF(OR($E1277="",$F1277&lt;=0,$G1277=""),"EKSİK",IF($E1277&gt;TODAY(),"İLERİ TARİH","UYGUN"))))</f>
        <v/>
      </c>
      <c r="N1277" s="121">
        <f>IF($C1277="","",IF($C1277="TANIMSIZ MÜŞTERİ","—",INDEX(MUSTERILER!$C$7:$C$106,MATCH($C1277,MUSTERILER!$B$7:$B$106,0))))</f>
        <v/>
      </c>
      <c r="O1277" s="6" t="n"/>
      <c r="P1277" s="6" t="n"/>
      <c r="Q1277" s="3">
        <f>IF($D1277="","",$C1277&amp;"|"&amp;COUNTIFS($C$7:$C1277,$C1277))</f>
        <v/>
      </c>
    </row>
    <row r="1278">
      <c r="A1278" s="6" t="n"/>
      <c r="B1278" s="113">
        <f>IF($D1278="","","T"&amp;TEXT(ROW()-6,"00000"))</f>
        <v/>
      </c>
      <c r="C1278" s="113">
        <f>IF($D1278="","",IFERROR(INDEX(MUSTERILER!$B$7:$B$106,MATCH($D1278,MUSTERILER!$C$7:$C$106,0)),IFERROR(INDEX(MUSTERILER!$B$7:$B$106,MATCH($D1278,MUSTERILER!$B$7:$B$106,0)),IFERROR(INDEX(MUSTERILER!$B$7:$B$106,MATCH($D1278&amp;"*",MUSTERILER!$C$7:$C$106,0)),"TANIMSIZ MÜŞTERİ"))))</f>
        <v/>
      </c>
      <c r="D1278" s="109" t="n"/>
      <c r="E1278" s="225" t="n"/>
      <c r="F1278" s="226" t="n"/>
      <c r="G1278" s="108" t="n"/>
      <c r="H1278" s="108" t="n"/>
      <c r="I1278" s="109" t="n"/>
      <c r="J1278" s="109" t="n"/>
      <c r="K1278" s="109" t="n"/>
      <c r="L1278" s="231">
        <f>IF($E1278="","",DATE(YEAR($E1278),MONTH($E1278),1))</f>
        <v/>
      </c>
      <c r="M1278" s="113">
        <f>IF($D1278="","",IF($C1278="TANIMSIZ MÜŞTERİ","HATA",IF(OR($E1278="",$F1278&lt;=0,$G1278=""),"EKSİK",IF($E1278&gt;TODAY(),"İLERİ TARİH","UYGUN"))))</f>
        <v/>
      </c>
      <c r="N1278" s="121">
        <f>IF($C1278="","",IF($C1278="TANIMSIZ MÜŞTERİ","—",INDEX(MUSTERILER!$C$7:$C$106,MATCH($C1278,MUSTERILER!$B$7:$B$106,0))))</f>
        <v/>
      </c>
      <c r="O1278" s="6" t="n"/>
      <c r="P1278" s="6" t="n"/>
      <c r="Q1278" s="3">
        <f>IF($D1278="","",$C1278&amp;"|"&amp;COUNTIFS($C$7:$C1278,$C1278))</f>
        <v/>
      </c>
    </row>
    <row r="1279">
      <c r="A1279" s="6" t="n"/>
      <c r="B1279" s="113">
        <f>IF($D1279="","","T"&amp;TEXT(ROW()-6,"00000"))</f>
        <v/>
      </c>
      <c r="C1279" s="113">
        <f>IF($D1279="","",IFERROR(INDEX(MUSTERILER!$B$7:$B$106,MATCH($D1279,MUSTERILER!$C$7:$C$106,0)),IFERROR(INDEX(MUSTERILER!$B$7:$B$106,MATCH($D1279,MUSTERILER!$B$7:$B$106,0)),IFERROR(INDEX(MUSTERILER!$B$7:$B$106,MATCH($D1279&amp;"*",MUSTERILER!$C$7:$C$106,0)),"TANIMSIZ MÜŞTERİ"))))</f>
        <v/>
      </c>
      <c r="D1279" s="109" t="n"/>
      <c r="E1279" s="225" t="n"/>
      <c r="F1279" s="226" t="n"/>
      <c r="G1279" s="108" t="n"/>
      <c r="H1279" s="108" t="n"/>
      <c r="I1279" s="109" t="n"/>
      <c r="J1279" s="109" t="n"/>
      <c r="K1279" s="109" t="n"/>
      <c r="L1279" s="231">
        <f>IF($E1279="","",DATE(YEAR($E1279),MONTH($E1279),1))</f>
        <v/>
      </c>
      <c r="M1279" s="113">
        <f>IF($D1279="","",IF($C1279="TANIMSIZ MÜŞTERİ","HATA",IF(OR($E1279="",$F1279&lt;=0,$G1279=""),"EKSİK",IF($E1279&gt;TODAY(),"İLERİ TARİH","UYGUN"))))</f>
        <v/>
      </c>
      <c r="N1279" s="121">
        <f>IF($C1279="","",IF($C1279="TANIMSIZ MÜŞTERİ","—",INDEX(MUSTERILER!$C$7:$C$106,MATCH($C1279,MUSTERILER!$B$7:$B$106,0))))</f>
        <v/>
      </c>
      <c r="O1279" s="6" t="n"/>
      <c r="P1279" s="6" t="n"/>
      <c r="Q1279" s="3">
        <f>IF($D1279="","",$C1279&amp;"|"&amp;COUNTIFS($C$7:$C1279,$C1279))</f>
        <v/>
      </c>
    </row>
    <row r="1280">
      <c r="A1280" s="6" t="n"/>
      <c r="B1280" s="113">
        <f>IF($D1280="","","T"&amp;TEXT(ROW()-6,"00000"))</f>
        <v/>
      </c>
      <c r="C1280" s="113">
        <f>IF($D1280="","",IFERROR(INDEX(MUSTERILER!$B$7:$B$106,MATCH($D1280,MUSTERILER!$C$7:$C$106,0)),IFERROR(INDEX(MUSTERILER!$B$7:$B$106,MATCH($D1280,MUSTERILER!$B$7:$B$106,0)),IFERROR(INDEX(MUSTERILER!$B$7:$B$106,MATCH($D1280&amp;"*",MUSTERILER!$C$7:$C$106,0)),"TANIMSIZ MÜŞTERİ"))))</f>
        <v/>
      </c>
      <c r="D1280" s="109" t="n"/>
      <c r="E1280" s="225" t="n"/>
      <c r="F1280" s="226" t="n"/>
      <c r="G1280" s="108" t="n"/>
      <c r="H1280" s="108" t="n"/>
      <c r="I1280" s="109" t="n"/>
      <c r="J1280" s="109" t="n"/>
      <c r="K1280" s="109" t="n"/>
      <c r="L1280" s="231">
        <f>IF($E1280="","",DATE(YEAR($E1280),MONTH($E1280),1))</f>
        <v/>
      </c>
      <c r="M1280" s="113">
        <f>IF($D1280="","",IF($C1280="TANIMSIZ MÜŞTERİ","HATA",IF(OR($E1280="",$F1280&lt;=0,$G1280=""),"EKSİK",IF($E1280&gt;TODAY(),"İLERİ TARİH","UYGUN"))))</f>
        <v/>
      </c>
      <c r="N1280" s="121">
        <f>IF($C1280="","",IF($C1280="TANIMSIZ MÜŞTERİ","—",INDEX(MUSTERILER!$C$7:$C$106,MATCH($C1280,MUSTERILER!$B$7:$B$106,0))))</f>
        <v/>
      </c>
      <c r="O1280" s="6" t="n"/>
      <c r="P1280" s="6" t="n"/>
      <c r="Q1280" s="3">
        <f>IF($D1280="","",$C1280&amp;"|"&amp;COUNTIFS($C$7:$C1280,$C1280))</f>
        <v/>
      </c>
    </row>
    <row r="1281">
      <c r="A1281" s="6" t="n"/>
      <c r="B1281" s="113">
        <f>IF($D1281="","","T"&amp;TEXT(ROW()-6,"00000"))</f>
        <v/>
      </c>
      <c r="C1281" s="113">
        <f>IF($D1281="","",IFERROR(INDEX(MUSTERILER!$B$7:$B$106,MATCH($D1281,MUSTERILER!$C$7:$C$106,0)),IFERROR(INDEX(MUSTERILER!$B$7:$B$106,MATCH($D1281,MUSTERILER!$B$7:$B$106,0)),IFERROR(INDEX(MUSTERILER!$B$7:$B$106,MATCH($D1281&amp;"*",MUSTERILER!$C$7:$C$106,0)),"TANIMSIZ MÜŞTERİ"))))</f>
        <v/>
      </c>
      <c r="D1281" s="109" t="n"/>
      <c r="E1281" s="225" t="n"/>
      <c r="F1281" s="226" t="n"/>
      <c r="G1281" s="108" t="n"/>
      <c r="H1281" s="108" t="n"/>
      <c r="I1281" s="109" t="n"/>
      <c r="J1281" s="109" t="n"/>
      <c r="K1281" s="109" t="n"/>
      <c r="L1281" s="231">
        <f>IF($E1281="","",DATE(YEAR($E1281),MONTH($E1281),1))</f>
        <v/>
      </c>
      <c r="M1281" s="113">
        <f>IF($D1281="","",IF($C1281="TANIMSIZ MÜŞTERİ","HATA",IF(OR($E1281="",$F1281&lt;=0,$G1281=""),"EKSİK",IF($E1281&gt;TODAY(),"İLERİ TARİH","UYGUN"))))</f>
        <v/>
      </c>
      <c r="N1281" s="121">
        <f>IF($C1281="","",IF($C1281="TANIMSIZ MÜŞTERİ","—",INDEX(MUSTERILER!$C$7:$C$106,MATCH($C1281,MUSTERILER!$B$7:$B$106,0))))</f>
        <v/>
      </c>
      <c r="O1281" s="6" t="n"/>
      <c r="P1281" s="6" t="n"/>
      <c r="Q1281" s="3">
        <f>IF($D1281="","",$C1281&amp;"|"&amp;COUNTIFS($C$7:$C1281,$C1281))</f>
        <v/>
      </c>
    </row>
    <row r="1282">
      <c r="A1282" s="6" t="n"/>
      <c r="B1282" s="113">
        <f>IF($D1282="","","T"&amp;TEXT(ROW()-6,"00000"))</f>
        <v/>
      </c>
      <c r="C1282" s="113">
        <f>IF($D1282="","",IFERROR(INDEX(MUSTERILER!$B$7:$B$106,MATCH($D1282,MUSTERILER!$C$7:$C$106,0)),IFERROR(INDEX(MUSTERILER!$B$7:$B$106,MATCH($D1282,MUSTERILER!$B$7:$B$106,0)),IFERROR(INDEX(MUSTERILER!$B$7:$B$106,MATCH($D1282&amp;"*",MUSTERILER!$C$7:$C$106,0)),"TANIMSIZ MÜŞTERİ"))))</f>
        <v/>
      </c>
      <c r="D1282" s="109" t="n"/>
      <c r="E1282" s="225" t="n"/>
      <c r="F1282" s="226" t="n"/>
      <c r="G1282" s="108" t="n"/>
      <c r="H1282" s="108" t="n"/>
      <c r="I1282" s="109" t="n"/>
      <c r="J1282" s="109" t="n"/>
      <c r="K1282" s="109" t="n"/>
      <c r="L1282" s="231">
        <f>IF($E1282="","",DATE(YEAR($E1282),MONTH($E1282),1))</f>
        <v/>
      </c>
      <c r="M1282" s="113">
        <f>IF($D1282="","",IF($C1282="TANIMSIZ MÜŞTERİ","HATA",IF(OR($E1282="",$F1282&lt;=0,$G1282=""),"EKSİK",IF($E1282&gt;TODAY(),"İLERİ TARİH","UYGUN"))))</f>
        <v/>
      </c>
      <c r="N1282" s="121">
        <f>IF($C1282="","",IF($C1282="TANIMSIZ MÜŞTERİ","—",INDEX(MUSTERILER!$C$7:$C$106,MATCH($C1282,MUSTERILER!$B$7:$B$106,0))))</f>
        <v/>
      </c>
      <c r="O1282" s="6" t="n"/>
      <c r="P1282" s="6" t="n"/>
      <c r="Q1282" s="3">
        <f>IF($D1282="","",$C1282&amp;"|"&amp;COUNTIFS($C$7:$C1282,$C1282))</f>
        <v/>
      </c>
    </row>
    <row r="1283">
      <c r="A1283" s="6" t="n"/>
      <c r="B1283" s="113">
        <f>IF($D1283="","","T"&amp;TEXT(ROW()-6,"00000"))</f>
        <v/>
      </c>
      <c r="C1283" s="113">
        <f>IF($D1283="","",IFERROR(INDEX(MUSTERILER!$B$7:$B$106,MATCH($D1283,MUSTERILER!$C$7:$C$106,0)),IFERROR(INDEX(MUSTERILER!$B$7:$B$106,MATCH($D1283,MUSTERILER!$B$7:$B$106,0)),IFERROR(INDEX(MUSTERILER!$B$7:$B$106,MATCH($D1283&amp;"*",MUSTERILER!$C$7:$C$106,0)),"TANIMSIZ MÜŞTERİ"))))</f>
        <v/>
      </c>
      <c r="D1283" s="109" t="n"/>
      <c r="E1283" s="225" t="n"/>
      <c r="F1283" s="226" t="n"/>
      <c r="G1283" s="108" t="n"/>
      <c r="H1283" s="108" t="n"/>
      <c r="I1283" s="109" t="n"/>
      <c r="J1283" s="109" t="n"/>
      <c r="K1283" s="109" t="n"/>
      <c r="L1283" s="231">
        <f>IF($E1283="","",DATE(YEAR($E1283),MONTH($E1283),1))</f>
        <v/>
      </c>
      <c r="M1283" s="113">
        <f>IF($D1283="","",IF($C1283="TANIMSIZ MÜŞTERİ","HATA",IF(OR($E1283="",$F1283&lt;=0,$G1283=""),"EKSİK",IF($E1283&gt;TODAY(),"İLERİ TARİH","UYGUN"))))</f>
        <v/>
      </c>
      <c r="N1283" s="121">
        <f>IF($C1283="","",IF($C1283="TANIMSIZ MÜŞTERİ","—",INDEX(MUSTERILER!$C$7:$C$106,MATCH($C1283,MUSTERILER!$B$7:$B$106,0))))</f>
        <v/>
      </c>
      <c r="O1283" s="6" t="n"/>
      <c r="P1283" s="6" t="n"/>
      <c r="Q1283" s="3">
        <f>IF($D1283="","",$C1283&amp;"|"&amp;COUNTIFS($C$7:$C1283,$C1283))</f>
        <v/>
      </c>
    </row>
    <row r="1284">
      <c r="A1284" s="6" t="n"/>
      <c r="B1284" s="113">
        <f>IF($D1284="","","T"&amp;TEXT(ROW()-6,"00000"))</f>
        <v/>
      </c>
      <c r="C1284" s="113">
        <f>IF($D1284="","",IFERROR(INDEX(MUSTERILER!$B$7:$B$106,MATCH($D1284,MUSTERILER!$C$7:$C$106,0)),IFERROR(INDEX(MUSTERILER!$B$7:$B$106,MATCH($D1284,MUSTERILER!$B$7:$B$106,0)),IFERROR(INDEX(MUSTERILER!$B$7:$B$106,MATCH($D1284&amp;"*",MUSTERILER!$C$7:$C$106,0)),"TANIMSIZ MÜŞTERİ"))))</f>
        <v/>
      </c>
      <c r="D1284" s="109" t="n"/>
      <c r="E1284" s="225" t="n"/>
      <c r="F1284" s="226" t="n"/>
      <c r="G1284" s="108" t="n"/>
      <c r="H1284" s="108" t="n"/>
      <c r="I1284" s="109" t="n"/>
      <c r="J1284" s="109" t="n"/>
      <c r="K1284" s="109" t="n"/>
      <c r="L1284" s="231">
        <f>IF($E1284="","",DATE(YEAR($E1284),MONTH($E1284),1))</f>
        <v/>
      </c>
      <c r="M1284" s="113">
        <f>IF($D1284="","",IF($C1284="TANIMSIZ MÜŞTERİ","HATA",IF(OR($E1284="",$F1284&lt;=0,$G1284=""),"EKSİK",IF($E1284&gt;TODAY(),"İLERİ TARİH","UYGUN"))))</f>
        <v/>
      </c>
      <c r="N1284" s="121">
        <f>IF($C1284="","",IF($C1284="TANIMSIZ MÜŞTERİ","—",INDEX(MUSTERILER!$C$7:$C$106,MATCH($C1284,MUSTERILER!$B$7:$B$106,0))))</f>
        <v/>
      </c>
      <c r="O1284" s="6" t="n"/>
      <c r="P1284" s="6" t="n"/>
      <c r="Q1284" s="3">
        <f>IF($D1284="","",$C1284&amp;"|"&amp;COUNTIFS($C$7:$C1284,$C1284))</f>
        <v/>
      </c>
    </row>
    <row r="1285">
      <c r="A1285" s="6" t="n"/>
      <c r="B1285" s="113">
        <f>IF($D1285="","","T"&amp;TEXT(ROW()-6,"00000"))</f>
        <v/>
      </c>
      <c r="C1285" s="113">
        <f>IF($D1285="","",IFERROR(INDEX(MUSTERILER!$B$7:$B$106,MATCH($D1285,MUSTERILER!$C$7:$C$106,0)),IFERROR(INDEX(MUSTERILER!$B$7:$B$106,MATCH($D1285,MUSTERILER!$B$7:$B$106,0)),IFERROR(INDEX(MUSTERILER!$B$7:$B$106,MATCH($D1285&amp;"*",MUSTERILER!$C$7:$C$106,0)),"TANIMSIZ MÜŞTERİ"))))</f>
        <v/>
      </c>
      <c r="D1285" s="109" t="n"/>
      <c r="E1285" s="225" t="n"/>
      <c r="F1285" s="226" t="n"/>
      <c r="G1285" s="108" t="n"/>
      <c r="H1285" s="108" t="n"/>
      <c r="I1285" s="109" t="n"/>
      <c r="J1285" s="109" t="n"/>
      <c r="K1285" s="109" t="n"/>
      <c r="L1285" s="231">
        <f>IF($E1285="","",DATE(YEAR($E1285),MONTH($E1285),1))</f>
        <v/>
      </c>
      <c r="M1285" s="113">
        <f>IF($D1285="","",IF($C1285="TANIMSIZ MÜŞTERİ","HATA",IF(OR($E1285="",$F1285&lt;=0,$G1285=""),"EKSİK",IF($E1285&gt;TODAY(),"İLERİ TARİH","UYGUN"))))</f>
        <v/>
      </c>
      <c r="N1285" s="121">
        <f>IF($C1285="","",IF($C1285="TANIMSIZ MÜŞTERİ","—",INDEX(MUSTERILER!$C$7:$C$106,MATCH($C1285,MUSTERILER!$B$7:$B$106,0))))</f>
        <v/>
      </c>
      <c r="O1285" s="6" t="n"/>
      <c r="P1285" s="6" t="n"/>
      <c r="Q1285" s="3">
        <f>IF($D1285="","",$C1285&amp;"|"&amp;COUNTIFS($C$7:$C1285,$C1285))</f>
        <v/>
      </c>
    </row>
    <row r="1286">
      <c r="A1286" s="6" t="n"/>
      <c r="B1286" s="113">
        <f>IF($D1286="","","T"&amp;TEXT(ROW()-6,"00000"))</f>
        <v/>
      </c>
      <c r="C1286" s="113">
        <f>IF($D1286="","",IFERROR(INDEX(MUSTERILER!$B$7:$B$106,MATCH($D1286,MUSTERILER!$C$7:$C$106,0)),IFERROR(INDEX(MUSTERILER!$B$7:$B$106,MATCH($D1286,MUSTERILER!$B$7:$B$106,0)),IFERROR(INDEX(MUSTERILER!$B$7:$B$106,MATCH($D1286&amp;"*",MUSTERILER!$C$7:$C$106,0)),"TANIMSIZ MÜŞTERİ"))))</f>
        <v/>
      </c>
      <c r="D1286" s="109" t="n"/>
      <c r="E1286" s="225" t="n"/>
      <c r="F1286" s="226" t="n"/>
      <c r="G1286" s="108" t="n"/>
      <c r="H1286" s="108" t="n"/>
      <c r="I1286" s="109" t="n"/>
      <c r="J1286" s="109" t="n"/>
      <c r="K1286" s="109" t="n"/>
      <c r="L1286" s="231">
        <f>IF($E1286="","",DATE(YEAR($E1286),MONTH($E1286),1))</f>
        <v/>
      </c>
      <c r="M1286" s="113">
        <f>IF($D1286="","",IF($C1286="TANIMSIZ MÜŞTERİ","HATA",IF(OR($E1286="",$F1286&lt;=0,$G1286=""),"EKSİK",IF($E1286&gt;TODAY(),"İLERİ TARİH","UYGUN"))))</f>
        <v/>
      </c>
      <c r="N1286" s="121">
        <f>IF($C1286="","",IF($C1286="TANIMSIZ MÜŞTERİ","—",INDEX(MUSTERILER!$C$7:$C$106,MATCH($C1286,MUSTERILER!$B$7:$B$106,0))))</f>
        <v/>
      </c>
      <c r="O1286" s="6" t="n"/>
      <c r="P1286" s="6" t="n"/>
      <c r="Q1286" s="3">
        <f>IF($D1286="","",$C1286&amp;"|"&amp;COUNTIFS($C$7:$C1286,$C1286))</f>
        <v/>
      </c>
    </row>
    <row r="1287">
      <c r="A1287" s="6" t="n"/>
      <c r="B1287" s="113">
        <f>IF($D1287="","","T"&amp;TEXT(ROW()-6,"00000"))</f>
        <v/>
      </c>
      <c r="C1287" s="113">
        <f>IF($D1287="","",IFERROR(INDEX(MUSTERILER!$B$7:$B$106,MATCH($D1287,MUSTERILER!$C$7:$C$106,0)),IFERROR(INDEX(MUSTERILER!$B$7:$B$106,MATCH($D1287,MUSTERILER!$B$7:$B$106,0)),IFERROR(INDEX(MUSTERILER!$B$7:$B$106,MATCH($D1287&amp;"*",MUSTERILER!$C$7:$C$106,0)),"TANIMSIZ MÜŞTERİ"))))</f>
        <v/>
      </c>
      <c r="D1287" s="109" t="n"/>
      <c r="E1287" s="225" t="n"/>
      <c r="F1287" s="226" t="n"/>
      <c r="G1287" s="108" t="n"/>
      <c r="H1287" s="108" t="n"/>
      <c r="I1287" s="109" t="n"/>
      <c r="J1287" s="109" t="n"/>
      <c r="K1287" s="109" t="n"/>
      <c r="L1287" s="231">
        <f>IF($E1287="","",DATE(YEAR($E1287),MONTH($E1287),1))</f>
        <v/>
      </c>
      <c r="M1287" s="113">
        <f>IF($D1287="","",IF($C1287="TANIMSIZ MÜŞTERİ","HATA",IF(OR($E1287="",$F1287&lt;=0,$G1287=""),"EKSİK",IF($E1287&gt;TODAY(),"İLERİ TARİH","UYGUN"))))</f>
        <v/>
      </c>
      <c r="N1287" s="121">
        <f>IF($C1287="","",IF($C1287="TANIMSIZ MÜŞTERİ","—",INDEX(MUSTERILER!$C$7:$C$106,MATCH($C1287,MUSTERILER!$B$7:$B$106,0))))</f>
        <v/>
      </c>
      <c r="O1287" s="6" t="n"/>
      <c r="P1287" s="6" t="n"/>
      <c r="Q1287" s="3">
        <f>IF($D1287="","",$C1287&amp;"|"&amp;COUNTIFS($C$7:$C1287,$C1287))</f>
        <v/>
      </c>
    </row>
    <row r="1288">
      <c r="A1288" s="6" t="n"/>
      <c r="B1288" s="113">
        <f>IF($D1288="","","T"&amp;TEXT(ROW()-6,"00000"))</f>
        <v/>
      </c>
      <c r="C1288" s="113">
        <f>IF($D1288="","",IFERROR(INDEX(MUSTERILER!$B$7:$B$106,MATCH($D1288,MUSTERILER!$C$7:$C$106,0)),IFERROR(INDEX(MUSTERILER!$B$7:$B$106,MATCH($D1288,MUSTERILER!$B$7:$B$106,0)),IFERROR(INDEX(MUSTERILER!$B$7:$B$106,MATCH($D1288&amp;"*",MUSTERILER!$C$7:$C$106,0)),"TANIMSIZ MÜŞTERİ"))))</f>
        <v/>
      </c>
      <c r="D1288" s="109" t="n"/>
      <c r="E1288" s="225" t="n"/>
      <c r="F1288" s="226" t="n"/>
      <c r="G1288" s="108" t="n"/>
      <c r="H1288" s="108" t="n"/>
      <c r="I1288" s="109" t="n"/>
      <c r="J1288" s="109" t="n"/>
      <c r="K1288" s="109" t="n"/>
      <c r="L1288" s="231">
        <f>IF($E1288="","",DATE(YEAR($E1288),MONTH($E1288),1))</f>
        <v/>
      </c>
      <c r="M1288" s="113">
        <f>IF($D1288="","",IF($C1288="TANIMSIZ MÜŞTERİ","HATA",IF(OR($E1288="",$F1288&lt;=0,$G1288=""),"EKSİK",IF($E1288&gt;TODAY(),"İLERİ TARİH","UYGUN"))))</f>
        <v/>
      </c>
      <c r="N1288" s="121">
        <f>IF($C1288="","",IF($C1288="TANIMSIZ MÜŞTERİ","—",INDEX(MUSTERILER!$C$7:$C$106,MATCH($C1288,MUSTERILER!$B$7:$B$106,0))))</f>
        <v/>
      </c>
      <c r="O1288" s="6" t="n"/>
      <c r="P1288" s="6" t="n"/>
      <c r="Q1288" s="3">
        <f>IF($D1288="","",$C1288&amp;"|"&amp;COUNTIFS($C$7:$C1288,$C1288))</f>
        <v/>
      </c>
    </row>
    <row r="1289">
      <c r="A1289" s="6" t="n"/>
      <c r="B1289" s="113">
        <f>IF($D1289="","","T"&amp;TEXT(ROW()-6,"00000"))</f>
        <v/>
      </c>
      <c r="C1289" s="113">
        <f>IF($D1289="","",IFERROR(INDEX(MUSTERILER!$B$7:$B$106,MATCH($D1289,MUSTERILER!$C$7:$C$106,0)),IFERROR(INDEX(MUSTERILER!$B$7:$B$106,MATCH($D1289,MUSTERILER!$B$7:$B$106,0)),IFERROR(INDEX(MUSTERILER!$B$7:$B$106,MATCH($D1289&amp;"*",MUSTERILER!$C$7:$C$106,0)),"TANIMSIZ MÜŞTERİ"))))</f>
        <v/>
      </c>
      <c r="D1289" s="109" t="n"/>
      <c r="E1289" s="225" t="n"/>
      <c r="F1289" s="226" t="n"/>
      <c r="G1289" s="108" t="n"/>
      <c r="H1289" s="108" t="n"/>
      <c r="I1289" s="109" t="n"/>
      <c r="J1289" s="109" t="n"/>
      <c r="K1289" s="109" t="n"/>
      <c r="L1289" s="231">
        <f>IF($E1289="","",DATE(YEAR($E1289),MONTH($E1289),1))</f>
        <v/>
      </c>
      <c r="M1289" s="113">
        <f>IF($D1289="","",IF($C1289="TANIMSIZ MÜŞTERİ","HATA",IF(OR($E1289="",$F1289&lt;=0,$G1289=""),"EKSİK",IF($E1289&gt;TODAY(),"İLERİ TARİH","UYGUN"))))</f>
        <v/>
      </c>
      <c r="N1289" s="121">
        <f>IF($C1289="","",IF($C1289="TANIMSIZ MÜŞTERİ","—",INDEX(MUSTERILER!$C$7:$C$106,MATCH($C1289,MUSTERILER!$B$7:$B$106,0))))</f>
        <v/>
      </c>
      <c r="O1289" s="6" t="n"/>
      <c r="P1289" s="6" t="n"/>
      <c r="Q1289" s="3">
        <f>IF($D1289="","",$C1289&amp;"|"&amp;COUNTIFS($C$7:$C1289,$C1289))</f>
        <v/>
      </c>
    </row>
    <row r="1290">
      <c r="A1290" s="6" t="n"/>
      <c r="B1290" s="113">
        <f>IF($D1290="","","T"&amp;TEXT(ROW()-6,"00000"))</f>
        <v/>
      </c>
      <c r="C1290" s="113">
        <f>IF($D1290="","",IFERROR(INDEX(MUSTERILER!$B$7:$B$106,MATCH($D1290,MUSTERILER!$C$7:$C$106,0)),IFERROR(INDEX(MUSTERILER!$B$7:$B$106,MATCH($D1290,MUSTERILER!$B$7:$B$106,0)),IFERROR(INDEX(MUSTERILER!$B$7:$B$106,MATCH($D1290&amp;"*",MUSTERILER!$C$7:$C$106,0)),"TANIMSIZ MÜŞTERİ"))))</f>
        <v/>
      </c>
      <c r="D1290" s="109" t="n"/>
      <c r="E1290" s="225" t="n"/>
      <c r="F1290" s="226" t="n"/>
      <c r="G1290" s="108" t="n"/>
      <c r="H1290" s="108" t="n"/>
      <c r="I1290" s="109" t="n"/>
      <c r="J1290" s="109" t="n"/>
      <c r="K1290" s="109" t="n"/>
      <c r="L1290" s="231">
        <f>IF($E1290="","",DATE(YEAR($E1290),MONTH($E1290),1))</f>
        <v/>
      </c>
      <c r="M1290" s="113">
        <f>IF($D1290="","",IF($C1290="TANIMSIZ MÜŞTERİ","HATA",IF(OR($E1290="",$F1290&lt;=0,$G1290=""),"EKSİK",IF($E1290&gt;TODAY(),"İLERİ TARİH","UYGUN"))))</f>
        <v/>
      </c>
      <c r="N1290" s="121">
        <f>IF($C1290="","",IF($C1290="TANIMSIZ MÜŞTERİ","—",INDEX(MUSTERILER!$C$7:$C$106,MATCH($C1290,MUSTERILER!$B$7:$B$106,0))))</f>
        <v/>
      </c>
      <c r="O1290" s="6" t="n"/>
      <c r="P1290" s="6" t="n"/>
      <c r="Q1290" s="3">
        <f>IF($D1290="","",$C1290&amp;"|"&amp;COUNTIFS($C$7:$C1290,$C1290))</f>
        <v/>
      </c>
    </row>
    <row r="1291">
      <c r="A1291" s="6" t="n"/>
      <c r="B1291" s="113">
        <f>IF($D1291="","","T"&amp;TEXT(ROW()-6,"00000"))</f>
        <v/>
      </c>
      <c r="C1291" s="113">
        <f>IF($D1291="","",IFERROR(INDEX(MUSTERILER!$B$7:$B$106,MATCH($D1291,MUSTERILER!$C$7:$C$106,0)),IFERROR(INDEX(MUSTERILER!$B$7:$B$106,MATCH($D1291,MUSTERILER!$B$7:$B$106,0)),IFERROR(INDEX(MUSTERILER!$B$7:$B$106,MATCH($D1291&amp;"*",MUSTERILER!$C$7:$C$106,0)),"TANIMSIZ MÜŞTERİ"))))</f>
        <v/>
      </c>
      <c r="D1291" s="109" t="n"/>
      <c r="E1291" s="225" t="n"/>
      <c r="F1291" s="226" t="n"/>
      <c r="G1291" s="108" t="n"/>
      <c r="H1291" s="108" t="n"/>
      <c r="I1291" s="109" t="n"/>
      <c r="J1291" s="109" t="n"/>
      <c r="K1291" s="109" t="n"/>
      <c r="L1291" s="231">
        <f>IF($E1291="","",DATE(YEAR($E1291),MONTH($E1291),1))</f>
        <v/>
      </c>
      <c r="M1291" s="113">
        <f>IF($D1291="","",IF($C1291="TANIMSIZ MÜŞTERİ","HATA",IF(OR($E1291="",$F1291&lt;=0,$G1291=""),"EKSİK",IF($E1291&gt;TODAY(),"İLERİ TARİH","UYGUN"))))</f>
        <v/>
      </c>
      <c r="N1291" s="121">
        <f>IF($C1291="","",IF($C1291="TANIMSIZ MÜŞTERİ","—",INDEX(MUSTERILER!$C$7:$C$106,MATCH($C1291,MUSTERILER!$B$7:$B$106,0))))</f>
        <v/>
      </c>
      <c r="O1291" s="6" t="n"/>
      <c r="P1291" s="6" t="n"/>
      <c r="Q1291" s="3">
        <f>IF($D1291="","",$C1291&amp;"|"&amp;COUNTIFS($C$7:$C1291,$C1291))</f>
        <v/>
      </c>
    </row>
    <row r="1292">
      <c r="A1292" s="6" t="n"/>
      <c r="B1292" s="113">
        <f>IF($D1292="","","T"&amp;TEXT(ROW()-6,"00000"))</f>
        <v/>
      </c>
      <c r="C1292" s="113">
        <f>IF($D1292="","",IFERROR(INDEX(MUSTERILER!$B$7:$B$106,MATCH($D1292,MUSTERILER!$C$7:$C$106,0)),IFERROR(INDEX(MUSTERILER!$B$7:$B$106,MATCH($D1292,MUSTERILER!$B$7:$B$106,0)),IFERROR(INDEX(MUSTERILER!$B$7:$B$106,MATCH($D1292&amp;"*",MUSTERILER!$C$7:$C$106,0)),"TANIMSIZ MÜŞTERİ"))))</f>
        <v/>
      </c>
      <c r="D1292" s="109" t="n"/>
      <c r="E1292" s="225" t="n"/>
      <c r="F1292" s="226" t="n"/>
      <c r="G1292" s="108" t="n"/>
      <c r="H1292" s="108" t="n"/>
      <c r="I1292" s="109" t="n"/>
      <c r="J1292" s="109" t="n"/>
      <c r="K1292" s="109" t="n"/>
      <c r="L1292" s="231">
        <f>IF($E1292="","",DATE(YEAR($E1292),MONTH($E1292),1))</f>
        <v/>
      </c>
      <c r="M1292" s="113">
        <f>IF($D1292="","",IF($C1292="TANIMSIZ MÜŞTERİ","HATA",IF(OR($E1292="",$F1292&lt;=0,$G1292=""),"EKSİK",IF($E1292&gt;TODAY(),"İLERİ TARİH","UYGUN"))))</f>
        <v/>
      </c>
      <c r="N1292" s="121">
        <f>IF($C1292="","",IF($C1292="TANIMSIZ MÜŞTERİ","—",INDEX(MUSTERILER!$C$7:$C$106,MATCH($C1292,MUSTERILER!$B$7:$B$106,0))))</f>
        <v/>
      </c>
      <c r="O1292" s="6" t="n"/>
      <c r="P1292" s="6" t="n"/>
      <c r="Q1292" s="3">
        <f>IF($D1292="","",$C1292&amp;"|"&amp;COUNTIFS($C$7:$C1292,$C1292))</f>
        <v/>
      </c>
    </row>
    <row r="1293">
      <c r="A1293" s="6" t="n"/>
      <c r="B1293" s="113">
        <f>IF($D1293="","","T"&amp;TEXT(ROW()-6,"00000"))</f>
        <v/>
      </c>
      <c r="C1293" s="113">
        <f>IF($D1293="","",IFERROR(INDEX(MUSTERILER!$B$7:$B$106,MATCH($D1293,MUSTERILER!$C$7:$C$106,0)),IFERROR(INDEX(MUSTERILER!$B$7:$B$106,MATCH($D1293,MUSTERILER!$B$7:$B$106,0)),IFERROR(INDEX(MUSTERILER!$B$7:$B$106,MATCH($D1293&amp;"*",MUSTERILER!$C$7:$C$106,0)),"TANIMSIZ MÜŞTERİ"))))</f>
        <v/>
      </c>
      <c r="D1293" s="109" t="n"/>
      <c r="E1293" s="225" t="n"/>
      <c r="F1293" s="226" t="n"/>
      <c r="G1293" s="108" t="n"/>
      <c r="H1293" s="108" t="n"/>
      <c r="I1293" s="109" t="n"/>
      <c r="J1293" s="109" t="n"/>
      <c r="K1293" s="109" t="n"/>
      <c r="L1293" s="231">
        <f>IF($E1293="","",DATE(YEAR($E1293),MONTH($E1293),1))</f>
        <v/>
      </c>
      <c r="M1293" s="113">
        <f>IF($D1293="","",IF($C1293="TANIMSIZ MÜŞTERİ","HATA",IF(OR($E1293="",$F1293&lt;=0,$G1293=""),"EKSİK",IF($E1293&gt;TODAY(),"İLERİ TARİH","UYGUN"))))</f>
        <v/>
      </c>
      <c r="N1293" s="121">
        <f>IF($C1293="","",IF($C1293="TANIMSIZ MÜŞTERİ","—",INDEX(MUSTERILER!$C$7:$C$106,MATCH($C1293,MUSTERILER!$B$7:$B$106,0))))</f>
        <v/>
      </c>
      <c r="O1293" s="6" t="n"/>
      <c r="P1293" s="6" t="n"/>
      <c r="Q1293" s="3">
        <f>IF($D1293="","",$C1293&amp;"|"&amp;COUNTIFS($C$7:$C1293,$C1293))</f>
        <v/>
      </c>
    </row>
    <row r="1294">
      <c r="A1294" s="6" t="n"/>
      <c r="B1294" s="113">
        <f>IF($D1294="","","T"&amp;TEXT(ROW()-6,"00000"))</f>
        <v/>
      </c>
      <c r="C1294" s="113">
        <f>IF($D1294="","",IFERROR(INDEX(MUSTERILER!$B$7:$B$106,MATCH($D1294,MUSTERILER!$C$7:$C$106,0)),IFERROR(INDEX(MUSTERILER!$B$7:$B$106,MATCH($D1294,MUSTERILER!$B$7:$B$106,0)),IFERROR(INDEX(MUSTERILER!$B$7:$B$106,MATCH($D1294&amp;"*",MUSTERILER!$C$7:$C$106,0)),"TANIMSIZ MÜŞTERİ"))))</f>
        <v/>
      </c>
      <c r="D1294" s="109" t="n"/>
      <c r="E1294" s="225" t="n"/>
      <c r="F1294" s="226" t="n"/>
      <c r="G1294" s="108" t="n"/>
      <c r="H1294" s="108" t="n"/>
      <c r="I1294" s="109" t="n"/>
      <c r="J1294" s="109" t="n"/>
      <c r="K1294" s="109" t="n"/>
      <c r="L1294" s="231">
        <f>IF($E1294="","",DATE(YEAR($E1294),MONTH($E1294),1))</f>
        <v/>
      </c>
      <c r="M1294" s="113">
        <f>IF($D1294="","",IF($C1294="TANIMSIZ MÜŞTERİ","HATA",IF(OR($E1294="",$F1294&lt;=0,$G1294=""),"EKSİK",IF($E1294&gt;TODAY(),"İLERİ TARİH","UYGUN"))))</f>
        <v/>
      </c>
      <c r="N1294" s="121">
        <f>IF($C1294="","",IF($C1294="TANIMSIZ MÜŞTERİ","—",INDEX(MUSTERILER!$C$7:$C$106,MATCH($C1294,MUSTERILER!$B$7:$B$106,0))))</f>
        <v/>
      </c>
      <c r="O1294" s="6" t="n"/>
      <c r="P1294" s="6" t="n"/>
      <c r="Q1294" s="3">
        <f>IF($D1294="","",$C1294&amp;"|"&amp;COUNTIFS($C$7:$C1294,$C1294))</f>
        <v/>
      </c>
    </row>
    <row r="1295">
      <c r="A1295" s="6" t="n"/>
      <c r="B1295" s="113">
        <f>IF($D1295="","","T"&amp;TEXT(ROW()-6,"00000"))</f>
        <v/>
      </c>
      <c r="C1295" s="113">
        <f>IF($D1295="","",IFERROR(INDEX(MUSTERILER!$B$7:$B$106,MATCH($D1295,MUSTERILER!$C$7:$C$106,0)),IFERROR(INDEX(MUSTERILER!$B$7:$B$106,MATCH($D1295,MUSTERILER!$B$7:$B$106,0)),IFERROR(INDEX(MUSTERILER!$B$7:$B$106,MATCH($D1295&amp;"*",MUSTERILER!$C$7:$C$106,0)),"TANIMSIZ MÜŞTERİ"))))</f>
        <v/>
      </c>
      <c r="D1295" s="109" t="n"/>
      <c r="E1295" s="225" t="n"/>
      <c r="F1295" s="226" t="n"/>
      <c r="G1295" s="108" t="n"/>
      <c r="H1295" s="108" t="n"/>
      <c r="I1295" s="109" t="n"/>
      <c r="J1295" s="109" t="n"/>
      <c r="K1295" s="109" t="n"/>
      <c r="L1295" s="231">
        <f>IF($E1295="","",DATE(YEAR($E1295),MONTH($E1295),1))</f>
        <v/>
      </c>
      <c r="M1295" s="113">
        <f>IF($D1295="","",IF($C1295="TANIMSIZ MÜŞTERİ","HATA",IF(OR($E1295="",$F1295&lt;=0,$G1295=""),"EKSİK",IF($E1295&gt;TODAY(),"İLERİ TARİH","UYGUN"))))</f>
        <v/>
      </c>
      <c r="N1295" s="121">
        <f>IF($C1295="","",IF($C1295="TANIMSIZ MÜŞTERİ","—",INDEX(MUSTERILER!$C$7:$C$106,MATCH($C1295,MUSTERILER!$B$7:$B$106,0))))</f>
        <v/>
      </c>
      <c r="O1295" s="6" t="n"/>
      <c r="P1295" s="6" t="n"/>
      <c r="Q1295" s="3">
        <f>IF($D1295="","",$C1295&amp;"|"&amp;COUNTIFS($C$7:$C1295,$C1295))</f>
        <v/>
      </c>
    </row>
    <row r="1296">
      <c r="A1296" s="6" t="n"/>
      <c r="B1296" s="113">
        <f>IF($D1296="","","T"&amp;TEXT(ROW()-6,"00000"))</f>
        <v/>
      </c>
      <c r="C1296" s="113">
        <f>IF($D1296="","",IFERROR(INDEX(MUSTERILER!$B$7:$B$106,MATCH($D1296,MUSTERILER!$C$7:$C$106,0)),IFERROR(INDEX(MUSTERILER!$B$7:$B$106,MATCH($D1296,MUSTERILER!$B$7:$B$106,0)),IFERROR(INDEX(MUSTERILER!$B$7:$B$106,MATCH($D1296&amp;"*",MUSTERILER!$C$7:$C$106,0)),"TANIMSIZ MÜŞTERİ"))))</f>
        <v/>
      </c>
      <c r="D1296" s="109" t="n"/>
      <c r="E1296" s="225" t="n"/>
      <c r="F1296" s="226" t="n"/>
      <c r="G1296" s="108" t="n"/>
      <c r="H1296" s="108" t="n"/>
      <c r="I1296" s="109" t="n"/>
      <c r="J1296" s="109" t="n"/>
      <c r="K1296" s="109" t="n"/>
      <c r="L1296" s="231">
        <f>IF($E1296="","",DATE(YEAR($E1296),MONTH($E1296),1))</f>
        <v/>
      </c>
      <c r="M1296" s="113">
        <f>IF($D1296="","",IF($C1296="TANIMSIZ MÜŞTERİ","HATA",IF(OR($E1296="",$F1296&lt;=0,$G1296=""),"EKSİK",IF($E1296&gt;TODAY(),"İLERİ TARİH","UYGUN"))))</f>
        <v/>
      </c>
      <c r="N1296" s="121">
        <f>IF($C1296="","",IF($C1296="TANIMSIZ MÜŞTERİ","—",INDEX(MUSTERILER!$C$7:$C$106,MATCH($C1296,MUSTERILER!$B$7:$B$106,0))))</f>
        <v/>
      </c>
      <c r="O1296" s="6" t="n"/>
      <c r="P1296" s="6" t="n"/>
      <c r="Q1296" s="3">
        <f>IF($D1296="","",$C1296&amp;"|"&amp;COUNTIFS($C$7:$C1296,$C1296))</f>
        <v/>
      </c>
    </row>
    <row r="1297">
      <c r="A1297" s="6" t="n"/>
      <c r="B1297" s="113">
        <f>IF($D1297="","","T"&amp;TEXT(ROW()-6,"00000"))</f>
        <v/>
      </c>
      <c r="C1297" s="113">
        <f>IF($D1297="","",IFERROR(INDEX(MUSTERILER!$B$7:$B$106,MATCH($D1297,MUSTERILER!$C$7:$C$106,0)),IFERROR(INDEX(MUSTERILER!$B$7:$B$106,MATCH($D1297,MUSTERILER!$B$7:$B$106,0)),IFERROR(INDEX(MUSTERILER!$B$7:$B$106,MATCH($D1297&amp;"*",MUSTERILER!$C$7:$C$106,0)),"TANIMSIZ MÜŞTERİ"))))</f>
        <v/>
      </c>
      <c r="D1297" s="109" t="n"/>
      <c r="E1297" s="225" t="n"/>
      <c r="F1297" s="226" t="n"/>
      <c r="G1297" s="108" t="n"/>
      <c r="H1297" s="108" t="n"/>
      <c r="I1297" s="109" t="n"/>
      <c r="J1297" s="109" t="n"/>
      <c r="K1297" s="109" t="n"/>
      <c r="L1297" s="231">
        <f>IF($E1297="","",DATE(YEAR($E1297),MONTH($E1297),1))</f>
        <v/>
      </c>
      <c r="M1297" s="113">
        <f>IF($D1297="","",IF($C1297="TANIMSIZ MÜŞTERİ","HATA",IF(OR($E1297="",$F1297&lt;=0,$G1297=""),"EKSİK",IF($E1297&gt;TODAY(),"İLERİ TARİH","UYGUN"))))</f>
        <v/>
      </c>
      <c r="N1297" s="121">
        <f>IF($C1297="","",IF($C1297="TANIMSIZ MÜŞTERİ","—",INDEX(MUSTERILER!$C$7:$C$106,MATCH($C1297,MUSTERILER!$B$7:$B$106,0))))</f>
        <v/>
      </c>
      <c r="O1297" s="6" t="n"/>
      <c r="P1297" s="6" t="n"/>
      <c r="Q1297" s="3">
        <f>IF($D1297="","",$C1297&amp;"|"&amp;COUNTIFS($C$7:$C1297,$C1297))</f>
        <v/>
      </c>
    </row>
    <row r="1298">
      <c r="A1298" s="6" t="n"/>
      <c r="B1298" s="113">
        <f>IF($D1298="","","T"&amp;TEXT(ROW()-6,"00000"))</f>
        <v/>
      </c>
      <c r="C1298" s="113">
        <f>IF($D1298="","",IFERROR(INDEX(MUSTERILER!$B$7:$B$106,MATCH($D1298,MUSTERILER!$C$7:$C$106,0)),IFERROR(INDEX(MUSTERILER!$B$7:$B$106,MATCH($D1298,MUSTERILER!$B$7:$B$106,0)),IFERROR(INDEX(MUSTERILER!$B$7:$B$106,MATCH($D1298&amp;"*",MUSTERILER!$C$7:$C$106,0)),"TANIMSIZ MÜŞTERİ"))))</f>
        <v/>
      </c>
      <c r="D1298" s="109" t="n"/>
      <c r="E1298" s="225" t="n"/>
      <c r="F1298" s="226" t="n"/>
      <c r="G1298" s="108" t="n"/>
      <c r="H1298" s="108" t="n"/>
      <c r="I1298" s="109" t="n"/>
      <c r="J1298" s="109" t="n"/>
      <c r="K1298" s="109" t="n"/>
      <c r="L1298" s="231">
        <f>IF($E1298="","",DATE(YEAR($E1298),MONTH($E1298),1))</f>
        <v/>
      </c>
      <c r="M1298" s="113">
        <f>IF($D1298="","",IF($C1298="TANIMSIZ MÜŞTERİ","HATA",IF(OR($E1298="",$F1298&lt;=0,$G1298=""),"EKSİK",IF($E1298&gt;TODAY(),"İLERİ TARİH","UYGUN"))))</f>
        <v/>
      </c>
      <c r="N1298" s="121">
        <f>IF($C1298="","",IF($C1298="TANIMSIZ MÜŞTERİ","—",INDEX(MUSTERILER!$C$7:$C$106,MATCH($C1298,MUSTERILER!$B$7:$B$106,0))))</f>
        <v/>
      </c>
      <c r="O1298" s="6" t="n"/>
      <c r="P1298" s="6" t="n"/>
      <c r="Q1298" s="3">
        <f>IF($D1298="","",$C1298&amp;"|"&amp;COUNTIFS($C$7:$C1298,$C1298))</f>
        <v/>
      </c>
    </row>
    <row r="1299">
      <c r="A1299" s="6" t="n"/>
      <c r="B1299" s="113">
        <f>IF($D1299="","","T"&amp;TEXT(ROW()-6,"00000"))</f>
        <v/>
      </c>
      <c r="C1299" s="113">
        <f>IF($D1299="","",IFERROR(INDEX(MUSTERILER!$B$7:$B$106,MATCH($D1299,MUSTERILER!$C$7:$C$106,0)),IFERROR(INDEX(MUSTERILER!$B$7:$B$106,MATCH($D1299,MUSTERILER!$B$7:$B$106,0)),IFERROR(INDEX(MUSTERILER!$B$7:$B$106,MATCH($D1299&amp;"*",MUSTERILER!$C$7:$C$106,0)),"TANIMSIZ MÜŞTERİ"))))</f>
        <v/>
      </c>
      <c r="D1299" s="109" t="n"/>
      <c r="E1299" s="225" t="n"/>
      <c r="F1299" s="226" t="n"/>
      <c r="G1299" s="108" t="n"/>
      <c r="H1299" s="108" t="n"/>
      <c r="I1299" s="109" t="n"/>
      <c r="J1299" s="109" t="n"/>
      <c r="K1299" s="109" t="n"/>
      <c r="L1299" s="231">
        <f>IF($E1299="","",DATE(YEAR($E1299),MONTH($E1299),1))</f>
        <v/>
      </c>
      <c r="M1299" s="113">
        <f>IF($D1299="","",IF($C1299="TANIMSIZ MÜŞTERİ","HATA",IF(OR($E1299="",$F1299&lt;=0,$G1299=""),"EKSİK",IF($E1299&gt;TODAY(),"İLERİ TARİH","UYGUN"))))</f>
        <v/>
      </c>
      <c r="N1299" s="121">
        <f>IF($C1299="","",IF($C1299="TANIMSIZ MÜŞTERİ","—",INDEX(MUSTERILER!$C$7:$C$106,MATCH($C1299,MUSTERILER!$B$7:$B$106,0))))</f>
        <v/>
      </c>
      <c r="O1299" s="6" t="n"/>
      <c r="P1299" s="6" t="n"/>
      <c r="Q1299" s="3">
        <f>IF($D1299="","",$C1299&amp;"|"&amp;COUNTIFS($C$7:$C1299,$C1299))</f>
        <v/>
      </c>
    </row>
    <row r="1300">
      <c r="A1300" s="6" t="n"/>
      <c r="B1300" s="113">
        <f>IF($D1300="","","T"&amp;TEXT(ROW()-6,"00000"))</f>
        <v/>
      </c>
      <c r="C1300" s="113">
        <f>IF($D1300="","",IFERROR(INDEX(MUSTERILER!$B$7:$B$106,MATCH($D1300,MUSTERILER!$C$7:$C$106,0)),IFERROR(INDEX(MUSTERILER!$B$7:$B$106,MATCH($D1300,MUSTERILER!$B$7:$B$106,0)),IFERROR(INDEX(MUSTERILER!$B$7:$B$106,MATCH($D1300&amp;"*",MUSTERILER!$C$7:$C$106,0)),"TANIMSIZ MÜŞTERİ"))))</f>
        <v/>
      </c>
      <c r="D1300" s="109" t="n"/>
      <c r="E1300" s="225" t="n"/>
      <c r="F1300" s="226" t="n"/>
      <c r="G1300" s="108" t="n"/>
      <c r="H1300" s="108" t="n"/>
      <c r="I1300" s="109" t="n"/>
      <c r="J1300" s="109" t="n"/>
      <c r="K1300" s="109" t="n"/>
      <c r="L1300" s="231">
        <f>IF($E1300="","",DATE(YEAR($E1300),MONTH($E1300),1))</f>
        <v/>
      </c>
      <c r="M1300" s="113">
        <f>IF($D1300="","",IF($C1300="TANIMSIZ MÜŞTERİ","HATA",IF(OR($E1300="",$F1300&lt;=0,$G1300=""),"EKSİK",IF($E1300&gt;TODAY(),"İLERİ TARİH","UYGUN"))))</f>
        <v/>
      </c>
      <c r="N1300" s="121">
        <f>IF($C1300="","",IF($C1300="TANIMSIZ MÜŞTERİ","—",INDEX(MUSTERILER!$C$7:$C$106,MATCH($C1300,MUSTERILER!$B$7:$B$106,0))))</f>
        <v/>
      </c>
      <c r="O1300" s="6" t="n"/>
      <c r="P1300" s="6" t="n"/>
      <c r="Q1300" s="3">
        <f>IF($D1300="","",$C1300&amp;"|"&amp;COUNTIFS($C$7:$C1300,$C1300))</f>
        <v/>
      </c>
    </row>
    <row r="1301">
      <c r="A1301" s="6" t="n"/>
      <c r="B1301" s="113">
        <f>IF($D1301="","","T"&amp;TEXT(ROW()-6,"00000"))</f>
        <v/>
      </c>
      <c r="C1301" s="113">
        <f>IF($D1301="","",IFERROR(INDEX(MUSTERILER!$B$7:$B$106,MATCH($D1301,MUSTERILER!$C$7:$C$106,0)),IFERROR(INDEX(MUSTERILER!$B$7:$B$106,MATCH($D1301,MUSTERILER!$B$7:$B$106,0)),IFERROR(INDEX(MUSTERILER!$B$7:$B$106,MATCH($D1301&amp;"*",MUSTERILER!$C$7:$C$106,0)),"TANIMSIZ MÜŞTERİ"))))</f>
        <v/>
      </c>
      <c r="D1301" s="109" t="n"/>
      <c r="E1301" s="225" t="n"/>
      <c r="F1301" s="226" t="n"/>
      <c r="G1301" s="108" t="n"/>
      <c r="H1301" s="108" t="n"/>
      <c r="I1301" s="109" t="n"/>
      <c r="J1301" s="109" t="n"/>
      <c r="K1301" s="109" t="n"/>
      <c r="L1301" s="231">
        <f>IF($E1301="","",DATE(YEAR($E1301),MONTH($E1301),1))</f>
        <v/>
      </c>
      <c r="M1301" s="113">
        <f>IF($D1301="","",IF($C1301="TANIMSIZ MÜŞTERİ","HATA",IF(OR($E1301="",$F1301&lt;=0,$G1301=""),"EKSİK",IF($E1301&gt;TODAY(),"İLERİ TARİH","UYGUN"))))</f>
        <v/>
      </c>
      <c r="N1301" s="121">
        <f>IF($C1301="","",IF($C1301="TANIMSIZ MÜŞTERİ","—",INDEX(MUSTERILER!$C$7:$C$106,MATCH($C1301,MUSTERILER!$B$7:$B$106,0))))</f>
        <v/>
      </c>
      <c r="O1301" s="6" t="n"/>
      <c r="P1301" s="6" t="n"/>
      <c r="Q1301" s="3">
        <f>IF($D1301="","",$C1301&amp;"|"&amp;COUNTIFS($C$7:$C1301,$C1301))</f>
        <v/>
      </c>
    </row>
    <row r="1302">
      <c r="A1302" s="6" t="n"/>
      <c r="B1302" s="113">
        <f>IF($D1302="","","T"&amp;TEXT(ROW()-6,"00000"))</f>
        <v/>
      </c>
      <c r="C1302" s="113">
        <f>IF($D1302="","",IFERROR(INDEX(MUSTERILER!$B$7:$B$106,MATCH($D1302,MUSTERILER!$C$7:$C$106,0)),IFERROR(INDEX(MUSTERILER!$B$7:$B$106,MATCH($D1302,MUSTERILER!$B$7:$B$106,0)),IFERROR(INDEX(MUSTERILER!$B$7:$B$106,MATCH($D1302&amp;"*",MUSTERILER!$C$7:$C$106,0)),"TANIMSIZ MÜŞTERİ"))))</f>
        <v/>
      </c>
      <c r="D1302" s="109" t="n"/>
      <c r="E1302" s="225" t="n"/>
      <c r="F1302" s="226" t="n"/>
      <c r="G1302" s="108" t="n"/>
      <c r="H1302" s="108" t="n"/>
      <c r="I1302" s="109" t="n"/>
      <c r="J1302" s="109" t="n"/>
      <c r="K1302" s="109" t="n"/>
      <c r="L1302" s="231">
        <f>IF($E1302="","",DATE(YEAR($E1302),MONTH($E1302),1))</f>
        <v/>
      </c>
      <c r="M1302" s="113">
        <f>IF($D1302="","",IF($C1302="TANIMSIZ MÜŞTERİ","HATA",IF(OR($E1302="",$F1302&lt;=0,$G1302=""),"EKSİK",IF($E1302&gt;TODAY(),"İLERİ TARİH","UYGUN"))))</f>
        <v/>
      </c>
      <c r="N1302" s="121">
        <f>IF($C1302="","",IF($C1302="TANIMSIZ MÜŞTERİ","—",INDEX(MUSTERILER!$C$7:$C$106,MATCH($C1302,MUSTERILER!$B$7:$B$106,0))))</f>
        <v/>
      </c>
      <c r="O1302" s="6" t="n"/>
      <c r="P1302" s="6" t="n"/>
      <c r="Q1302" s="3">
        <f>IF($D1302="","",$C1302&amp;"|"&amp;COUNTIFS($C$7:$C1302,$C1302))</f>
        <v/>
      </c>
    </row>
    <row r="1303">
      <c r="A1303" s="6" t="n"/>
      <c r="B1303" s="113">
        <f>IF($D1303="","","T"&amp;TEXT(ROW()-6,"00000"))</f>
        <v/>
      </c>
      <c r="C1303" s="113">
        <f>IF($D1303="","",IFERROR(INDEX(MUSTERILER!$B$7:$B$106,MATCH($D1303,MUSTERILER!$C$7:$C$106,0)),IFERROR(INDEX(MUSTERILER!$B$7:$B$106,MATCH($D1303,MUSTERILER!$B$7:$B$106,0)),IFERROR(INDEX(MUSTERILER!$B$7:$B$106,MATCH($D1303&amp;"*",MUSTERILER!$C$7:$C$106,0)),"TANIMSIZ MÜŞTERİ"))))</f>
        <v/>
      </c>
      <c r="D1303" s="109" t="n"/>
      <c r="E1303" s="225" t="n"/>
      <c r="F1303" s="226" t="n"/>
      <c r="G1303" s="108" t="n"/>
      <c r="H1303" s="108" t="n"/>
      <c r="I1303" s="109" t="n"/>
      <c r="J1303" s="109" t="n"/>
      <c r="K1303" s="109" t="n"/>
      <c r="L1303" s="231">
        <f>IF($E1303="","",DATE(YEAR($E1303),MONTH($E1303),1))</f>
        <v/>
      </c>
      <c r="M1303" s="113">
        <f>IF($D1303="","",IF($C1303="TANIMSIZ MÜŞTERİ","HATA",IF(OR($E1303="",$F1303&lt;=0,$G1303=""),"EKSİK",IF($E1303&gt;TODAY(),"İLERİ TARİH","UYGUN"))))</f>
        <v/>
      </c>
      <c r="N1303" s="121">
        <f>IF($C1303="","",IF($C1303="TANIMSIZ MÜŞTERİ","—",INDEX(MUSTERILER!$C$7:$C$106,MATCH($C1303,MUSTERILER!$B$7:$B$106,0))))</f>
        <v/>
      </c>
      <c r="O1303" s="6" t="n"/>
      <c r="P1303" s="6" t="n"/>
      <c r="Q1303" s="3">
        <f>IF($D1303="","",$C1303&amp;"|"&amp;COUNTIFS($C$7:$C1303,$C1303))</f>
        <v/>
      </c>
    </row>
    <row r="1304">
      <c r="A1304" s="6" t="n"/>
      <c r="B1304" s="113">
        <f>IF($D1304="","","T"&amp;TEXT(ROW()-6,"00000"))</f>
        <v/>
      </c>
      <c r="C1304" s="113">
        <f>IF($D1304="","",IFERROR(INDEX(MUSTERILER!$B$7:$B$106,MATCH($D1304,MUSTERILER!$C$7:$C$106,0)),IFERROR(INDEX(MUSTERILER!$B$7:$B$106,MATCH($D1304,MUSTERILER!$B$7:$B$106,0)),IFERROR(INDEX(MUSTERILER!$B$7:$B$106,MATCH($D1304&amp;"*",MUSTERILER!$C$7:$C$106,0)),"TANIMSIZ MÜŞTERİ"))))</f>
        <v/>
      </c>
      <c r="D1304" s="109" t="n"/>
      <c r="E1304" s="225" t="n"/>
      <c r="F1304" s="226" t="n"/>
      <c r="G1304" s="108" t="n"/>
      <c r="H1304" s="108" t="n"/>
      <c r="I1304" s="109" t="n"/>
      <c r="J1304" s="109" t="n"/>
      <c r="K1304" s="109" t="n"/>
      <c r="L1304" s="231">
        <f>IF($E1304="","",DATE(YEAR($E1304),MONTH($E1304),1))</f>
        <v/>
      </c>
      <c r="M1304" s="113">
        <f>IF($D1304="","",IF($C1304="TANIMSIZ MÜŞTERİ","HATA",IF(OR($E1304="",$F1304&lt;=0,$G1304=""),"EKSİK",IF($E1304&gt;TODAY(),"İLERİ TARİH","UYGUN"))))</f>
        <v/>
      </c>
      <c r="N1304" s="121">
        <f>IF($C1304="","",IF($C1304="TANIMSIZ MÜŞTERİ","—",INDEX(MUSTERILER!$C$7:$C$106,MATCH($C1304,MUSTERILER!$B$7:$B$106,0))))</f>
        <v/>
      </c>
      <c r="O1304" s="6" t="n"/>
      <c r="P1304" s="6" t="n"/>
      <c r="Q1304" s="3">
        <f>IF($D1304="","",$C1304&amp;"|"&amp;COUNTIFS($C$7:$C1304,$C1304))</f>
        <v/>
      </c>
    </row>
    <row r="1305">
      <c r="A1305" s="6" t="n"/>
      <c r="B1305" s="113">
        <f>IF($D1305="","","T"&amp;TEXT(ROW()-6,"00000"))</f>
        <v/>
      </c>
      <c r="C1305" s="113">
        <f>IF($D1305="","",IFERROR(INDEX(MUSTERILER!$B$7:$B$106,MATCH($D1305,MUSTERILER!$C$7:$C$106,0)),IFERROR(INDEX(MUSTERILER!$B$7:$B$106,MATCH($D1305,MUSTERILER!$B$7:$B$106,0)),IFERROR(INDEX(MUSTERILER!$B$7:$B$106,MATCH($D1305&amp;"*",MUSTERILER!$C$7:$C$106,0)),"TANIMSIZ MÜŞTERİ"))))</f>
        <v/>
      </c>
      <c r="D1305" s="109" t="n"/>
      <c r="E1305" s="225" t="n"/>
      <c r="F1305" s="226" t="n"/>
      <c r="G1305" s="108" t="n"/>
      <c r="H1305" s="108" t="n"/>
      <c r="I1305" s="109" t="n"/>
      <c r="J1305" s="109" t="n"/>
      <c r="K1305" s="109" t="n"/>
      <c r="L1305" s="231">
        <f>IF($E1305="","",DATE(YEAR($E1305),MONTH($E1305),1))</f>
        <v/>
      </c>
      <c r="M1305" s="113">
        <f>IF($D1305="","",IF($C1305="TANIMSIZ MÜŞTERİ","HATA",IF(OR($E1305="",$F1305&lt;=0,$G1305=""),"EKSİK",IF($E1305&gt;TODAY(),"İLERİ TARİH","UYGUN"))))</f>
        <v/>
      </c>
      <c r="N1305" s="121">
        <f>IF($C1305="","",IF($C1305="TANIMSIZ MÜŞTERİ","—",INDEX(MUSTERILER!$C$7:$C$106,MATCH($C1305,MUSTERILER!$B$7:$B$106,0))))</f>
        <v/>
      </c>
      <c r="O1305" s="6" t="n"/>
      <c r="P1305" s="6" t="n"/>
      <c r="Q1305" s="3">
        <f>IF($D1305="","",$C1305&amp;"|"&amp;COUNTIFS($C$7:$C1305,$C1305))</f>
        <v/>
      </c>
    </row>
    <row r="1306">
      <c r="A1306" s="6" t="n"/>
      <c r="B1306" s="113">
        <f>IF($D1306="","","T"&amp;TEXT(ROW()-6,"00000"))</f>
        <v/>
      </c>
      <c r="C1306" s="113">
        <f>IF($D1306="","",IFERROR(INDEX(MUSTERILER!$B$7:$B$106,MATCH($D1306,MUSTERILER!$C$7:$C$106,0)),IFERROR(INDEX(MUSTERILER!$B$7:$B$106,MATCH($D1306,MUSTERILER!$B$7:$B$106,0)),IFERROR(INDEX(MUSTERILER!$B$7:$B$106,MATCH($D1306&amp;"*",MUSTERILER!$C$7:$C$106,0)),"TANIMSIZ MÜŞTERİ"))))</f>
        <v/>
      </c>
      <c r="D1306" s="109" t="n"/>
      <c r="E1306" s="225" t="n"/>
      <c r="F1306" s="226" t="n"/>
      <c r="G1306" s="108" t="n"/>
      <c r="H1306" s="108" t="n"/>
      <c r="I1306" s="109" t="n"/>
      <c r="J1306" s="109" t="n"/>
      <c r="K1306" s="109" t="n"/>
      <c r="L1306" s="231">
        <f>IF($E1306="","",DATE(YEAR($E1306),MONTH($E1306),1))</f>
        <v/>
      </c>
      <c r="M1306" s="113">
        <f>IF($D1306="","",IF($C1306="TANIMSIZ MÜŞTERİ","HATA",IF(OR($E1306="",$F1306&lt;=0,$G1306=""),"EKSİK",IF($E1306&gt;TODAY(),"İLERİ TARİH","UYGUN"))))</f>
        <v/>
      </c>
      <c r="N1306" s="121">
        <f>IF($C1306="","",IF($C1306="TANIMSIZ MÜŞTERİ","—",INDEX(MUSTERILER!$C$7:$C$106,MATCH($C1306,MUSTERILER!$B$7:$B$106,0))))</f>
        <v/>
      </c>
      <c r="O1306" s="6" t="n"/>
      <c r="P1306" s="6" t="n"/>
      <c r="Q1306" s="3">
        <f>IF($D1306="","",$C1306&amp;"|"&amp;COUNTIFS($C$7:$C1306,$C1306))</f>
        <v/>
      </c>
    </row>
    <row r="1307">
      <c r="A1307" s="6" t="n"/>
      <c r="B1307" s="113">
        <f>IF($D1307="","","T"&amp;TEXT(ROW()-6,"00000"))</f>
        <v/>
      </c>
      <c r="C1307" s="113">
        <f>IF($D1307="","",IFERROR(INDEX(MUSTERILER!$B$7:$B$106,MATCH($D1307,MUSTERILER!$C$7:$C$106,0)),IFERROR(INDEX(MUSTERILER!$B$7:$B$106,MATCH($D1307,MUSTERILER!$B$7:$B$106,0)),IFERROR(INDEX(MUSTERILER!$B$7:$B$106,MATCH($D1307&amp;"*",MUSTERILER!$C$7:$C$106,0)),"TANIMSIZ MÜŞTERİ"))))</f>
        <v/>
      </c>
      <c r="D1307" s="109" t="n"/>
      <c r="E1307" s="225" t="n"/>
      <c r="F1307" s="226" t="n"/>
      <c r="G1307" s="108" t="n"/>
      <c r="H1307" s="108" t="n"/>
      <c r="I1307" s="109" t="n"/>
      <c r="J1307" s="109" t="n"/>
      <c r="K1307" s="109" t="n"/>
      <c r="L1307" s="231">
        <f>IF($E1307="","",DATE(YEAR($E1307),MONTH($E1307),1))</f>
        <v/>
      </c>
      <c r="M1307" s="113">
        <f>IF($D1307="","",IF($C1307="TANIMSIZ MÜŞTERİ","HATA",IF(OR($E1307="",$F1307&lt;=0,$G1307=""),"EKSİK",IF($E1307&gt;TODAY(),"İLERİ TARİH","UYGUN"))))</f>
        <v/>
      </c>
      <c r="N1307" s="121">
        <f>IF($C1307="","",IF($C1307="TANIMSIZ MÜŞTERİ","—",INDEX(MUSTERILER!$C$7:$C$106,MATCH($C1307,MUSTERILER!$B$7:$B$106,0))))</f>
        <v/>
      </c>
      <c r="O1307" s="6" t="n"/>
      <c r="P1307" s="6" t="n"/>
      <c r="Q1307" s="3">
        <f>IF($D1307="","",$C1307&amp;"|"&amp;COUNTIFS($C$7:$C1307,$C1307))</f>
        <v/>
      </c>
    </row>
    <row r="1308">
      <c r="A1308" s="6" t="n"/>
      <c r="B1308" s="113">
        <f>IF($D1308="","","T"&amp;TEXT(ROW()-6,"00000"))</f>
        <v/>
      </c>
      <c r="C1308" s="113">
        <f>IF($D1308="","",IFERROR(INDEX(MUSTERILER!$B$7:$B$106,MATCH($D1308,MUSTERILER!$C$7:$C$106,0)),IFERROR(INDEX(MUSTERILER!$B$7:$B$106,MATCH($D1308,MUSTERILER!$B$7:$B$106,0)),IFERROR(INDEX(MUSTERILER!$B$7:$B$106,MATCH($D1308&amp;"*",MUSTERILER!$C$7:$C$106,0)),"TANIMSIZ MÜŞTERİ"))))</f>
        <v/>
      </c>
      <c r="D1308" s="109" t="n"/>
      <c r="E1308" s="225" t="n"/>
      <c r="F1308" s="226" t="n"/>
      <c r="G1308" s="108" t="n"/>
      <c r="H1308" s="108" t="n"/>
      <c r="I1308" s="109" t="n"/>
      <c r="J1308" s="109" t="n"/>
      <c r="K1308" s="109" t="n"/>
      <c r="L1308" s="231">
        <f>IF($E1308="","",DATE(YEAR($E1308),MONTH($E1308),1))</f>
        <v/>
      </c>
      <c r="M1308" s="113">
        <f>IF($D1308="","",IF($C1308="TANIMSIZ MÜŞTERİ","HATA",IF(OR($E1308="",$F1308&lt;=0,$G1308=""),"EKSİK",IF($E1308&gt;TODAY(),"İLERİ TARİH","UYGUN"))))</f>
        <v/>
      </c>
      <c r="N1308" s="121">
        <f>IF($C1308="","",IF($C1308="TANIMSIZ MÜŞTERİ","—",INDEX(MUSTERILER!$C$7:$C$106,MATCH($C1308,MUSTERILER!$B$7:$B$106,0))))</f>
        <v/>
      </c>
      <c r="O1308" s="6" t="n"/>
      <c r="P1308" s="6" t="n"/>
      <c r="Q1308" s="3">
        <f>IF($D1308="","",$C1308&amp;"|"&amp;COUNTIFS($C$7:$C1308,$C1308))</f>
        <v/>
      </c>
    </row>
    <row r="1309">
      <c r="A1309" s="6" t="n"/>
      <c r="B1309" s="113">
        <f>IF($D1309="","","T"&amp;TEXT(ROW()-6,"00000"))</f>
        <v/>
      </c>
      <c r="C1309" s="113">
        <f>IF($D1309="","",IFERROR(INDEX(MUSTERILER!$B$7:$B$106,MATCH($D1309,MUSTERILER!$C$7:$C$106,0)),IFERROR(INDEX(MUSTERILER!$B$7:$B$106,MATCH($D1309,MUSTERILER!$B$7:$B$106,0)),IFERROR(INDEX(MUSTERILER!$B$7:$B$106,MATCH($D1309&amp;"*",MUSTERILER!$C$7:$C$106,0)),"TANIMSIZ MÜŞTERİ"))))</f>
        <v/>
      </c>
      <c r="D1309" s="109" t="n"/>
      <c r="E1309" s="225" t="n"/>
      <c r="F1309" s="226" t="n"/>
      <c r="G1309" s="108" t="n"/>
      <c r="H1309" s="108" t="n"/>
      <c r="I1309" s="109" t="n"/>
      <c r="J1309" s="109" t="n"/>
      <c r="K1309" s="109" t="n"/>
      <c r="L1309" s="231">
        <f>IF($E1309="","",DATE(YEAR($E1309),MONTH($E1309),1))</f>
        <v/>
      </c>
      <c r="M1309" s="113">
        <f>IF($D1309="","",IF($C1309="TANIMSIZ MÜŞTERİ","HATA",IF(OR($E1309="",$F1309&lt;=0,$G1309=""),"EKSİK",IF($E1309&gt;TODAY(),"İLERİ TARİH","UYGUN"))))</f>
        <v/>
      </c>
      <c r="N1309" s="121">
        <f>IF($C1309="","",IF($C1309="TANIMSIZ MÜŞTERİ","—",INDEX(MUSTERILER!$C$7:$C$106,MATCH($C1309,MUSTERILER!$B$7:$B$106,0))))</f>
        <v/>
      </c>
      <c r="O1309" s="6" t="n"/>
      <c r="P1309" s="6" t="n"/>
      <c r="Q1309" s="3">
        <f>IF($D1309="","",$C1309&amp;"|"&amp;COUNTIFS($C$7:$C1309,$C1309))</f>
        <v/>
      </c>
    </row>
    <row r="1310">
      <c r="A1310" s="6" t="n"/>
      <c r="B1310" s="113">
        <f>IF($D1310="","","T"&amp;TEXT(ROW()-6,"00000"))</f>
        <v/>
      </c>
      <c r="C1310" s="113">
        <f>IF($D1310="","",IFERROR(INDEX(MUSTERILER!$B$7:$B$106,MATCH($D1310,MUSTERILER!$C$7:$C$106,0)),IFERROR(INDEX(MUSTERILER!$B$7:$B$106,MATCH($D1310,MUSTERILER!$B$7:$B$106,0)),IFERROR(INDEX(MUSTERILER!$B$7:$B$106,MATCH($D1310&amp;"*",MUSTERILER!$C$7:$C$106,0)),"TANIMSIZ MÜŞTERİ"))))</f>
        <v/>
      </c>
      <c r="D1310" s="109" t="n"/>
      <c r="E1310" s="225" t="n"/>
      <c r="F1310" s="226" t="n"/>
      <c r="G1310" s="108" t="n"/>
      <c r="H1310" s="108" t="n"/>
      <c r="I1310" s="109" t="n"/>
      <c r="J1310" s="109" t="n"/>
      <c r="K1310" s="109" t="n"/>
      <c r="L1310" s="231">
        <f>IF($E1310="","",DATE(YEAR($E1310),MONTH($E1310),1))</f>
        <v/>
      </c>
      <c r="M1310" s="113">
        <f>IF($D1310="","",IF($C1310="TANIMSIZ MÜŞTERİ","HATA",IF(OR($E1310="",$F1310&lt;=0,$G1310=""),"EKSİK",IF($E1310&gt;TODAY(),"İLERİ TARİH","UYGUN"))))</f>
        <v/>
      </c>
      <c r="N1310" s="121">
        <f>IF($C1310="","",IF($C1310="TANIMSIZ MÜŞTERİ","—",INDEX(MUSTERILER!$C$7:$C$106,MATCH($C1310,MUSTERILER!$B$7:$B$106,0))))</f>
        <v/>
      </c>
      <c r="O1310" s="6" t="n"/>
      <c r="P1310" s="6" t="n"/>
      <c r="Q1310" s="3">
        <f>IF($D1310="","",$C1310&amp;"|"&amp;COUNTIFS($C$7:$C1310,$C1310))</f>
        <v/>
      </c>
    </row>
    <row r="1311">
      <c r="A1311" s="6" t="n"/>
      <c r="B1311" s="113">
        <f>IF($D1311="","","T"&amp;TEXT(ROW()-6,"00000"))</f>
        <v/>
      </c>
      <c r="C1311" s="113">
        <f>IF($D1311="","",IFERROR(INDEX(MUSTERILER!$B$7:$B$106,MATCH($D1311,MUSTERILER!$C$7:$C$106,0)),IFERROR(INDEX(MUSTERILER!$B$7:$B$106,MATCH($D1311,MUSTERILER!$B$7:$B$106,0)),IFERROR(INDEX(MUSTERILER!$B$7:$B$106,MATCH($D1311&amp;"*",MUSTERILER!$C$7:$C$106,0)),"TANIMSIZ MÜŞTERİ"))))</f>
        <v/>
      </c>
      <c r="D1311" s="109" t="n"/>
      <c r="E1311" s="225" t="n"/>
      <c r="F1311" s="226" t="n"/>
      <c r="G1311" s="108" t="n"/>
      <c r="H1311" s="108" t="n"/>
      <c r="I1311" s="109" t="n"/>
      <c r="J1311" s="109" t="n"/>
      <c r="K1311" s="109" t="n"/>
      <c r="L1311" s="231">
        <f>IF($E1311="","",DATE(YEAR($E1311),MONTH($E1311),1))</f>
        <v/>
      </c>
      <c r="M1311" s="113">
        <f>IF($D1311="","",IF($C1311="TANIMSIZ MÜŞTERİ","HATA",IF(OR($E1311="",$F1311&lt;=0,$G1311=""),"EKSİK",IF($E1311&gt;TODAY(),"İLERİ TARİH","UYGUN"))))</f>
        <v/>
      </c>
      <c r="N1311" s="121">
        <f>IF($C1311="","",IF($C1311="TANIMSIZ MÜŞTERİ","—",INDEX(MUSTERILER!$C$7:$C$106,MATCH($C1311,MUSTERILER!$B$7:$B$106,0))))</f>
        <v/>
      </c>
      <c r="O1311" s="6" t="n"/>
      <c r="P1311" s="6" t="n"/>
      <c r="Q1311" s="3">
        <f>IF($D1311="","",$C1311&amp;"|"&amp;COUNTIFS($C$7:$C1311,$C1311))</f>
        <v/>
      </c>
    </row>
    <row r="1312">
      <c r="A1312" s="6" t="n"/>
      <c r="B1312" s="113">
        <f>IF($D1312="","","T"&amp;TEXT(ROW()-6,"00000"))</f>
        <v/>
      </c>
      <c r="C1312" s="113">
        <f>IF($D1312="","",IFERROR(INDEX(MUSTERILER!$B$7:$B$106,MATCH($D1312,MUSTERILER!$C$7:$C$106,0)),IFERROR(INDEX(MUSTERILER!$B$7:$B$106,MATCH($D1312,MUSTERILER!$B$7:$B$106,0)),IFERROR(INDEX(MUSTERILER!$B$7:$B$106,MATCH($D1312&amp;"*",MUSTERILER!$C$7:$C$106,0)),"TANIMSIZ MÜŞTERİ"))))</f>
        <v/>
      </c>
      <c r="D1312" s="109" t="n"/>
      <c r="E1312" s="225" t="n"/>
      <c r="F1312" s="226" t="n"/>
      <c r="G1312" s="108" t="n"/>
      <c r="H1312" s="108" t="n"/>
      <c r="I1312" s="109" t="n"/>
      <c r="J1312" s="109" t="n"/>
      <c r="K1312" s="109" t="n"/>
      <c r="L1312" s="231">
        <f>IF($E1312="","",DATE(YEAR($E1312),MONTH($E1312),1))</f>
        <v/>
      </c>
      <c r="M1312" s="113">
        <f>IF($D1312="","",IF($C1312="TANIMSIZ MÜŞTERİ","HATA",IF(OR($E1312="",$F1312&lt;=0,$G1312=""),"EKSİK",IF($E1312&gt;TODAY(),"İLERİ TARİH","UYGUN"))))</f>
        <v/>
      </c>
      <c r="N1312" s="121">
        <f>IF($C1312="","",IF($C1312="TANIMSIZ MÜŞTERİ","—",INDEX(MUSTERILER!$C$7:$C$106,MATCH($C1312,MUSTERILER!$B$7:$B$106,0))))</f>
        <v/>
      </c>
      <c r="O1312" s="6" t="n"/>
      <c r="P1312" s="6" t="n"/>
      <c r="Q1312" s="3">
        <f>IF($D1312="","",$C1312&amp;"|"&amp;COUNTIFS($C$7:$C1312,$C1312))</f>
        <v/>
      </c>
    </row>
    <row r="1313">
      <c r="A1313" s="6" t="n"/>
      <c r="B1313" s="113">
        <f>IF($D1313="","","T"&amp;TEXT(ROW()-6,"00000"))</f>
        <v/>
      </c>
      <c r="C1313" s="113">
        <f>IF($D1313="","",IFERROR(INDEX(MUSTERILER!$B$7:$B$106,MATCH($D1313,MUSTERILER!$C$7:$C$106,0)),IFERROR(INDEX(MUSTERILER!$B$7:$B$106,MATCH($D1313,MUSTERILER!$B$7:$B$106,0)),IFERROR(INDEX(MUSTERILER!$B$7:$B$106,MATCH($D1313&amp;"*",MUSTERILER!$C$7:$C$106,0)),"TANIMSIZ MÜŞTERİ"))))</f>
        <v/>
      </c>
      <c r="D1313" s="109" t="n"/>
      <c r="E1313" s="225" t="n"/>
      <c r="F1313" s="226" t="n"/>
      <c r="G1313" s="108" t="n"/>
      <c r="H1313" s="108" t="n"/>
      <c r="I1313" s="109" t="n"/>
      <c r="J1313" s="109" t="n"/>
      <c r="K1313" s="109" t="n"/>
      <c r="L1313" s="231">
        <f>IF($E1313="","",DATE(YEAR($E1313),MONTH($E1313),1))</f>
        <v/>
      </c>
      <c r="M1313" s="113">
        <f>IF($D1313="","",IF($C1313="TANIMSIZ MÜŞTERİ","HATA",IF(OR($E1313="",$F1313&lt;=0,$G1313=""),"EKSİK",IF($E1313&gt;TODAY(),"İLERİ TARİH","UYGUN"))))</f>
        <v/>
      </c>
      <c r="N1313" s="121">
        <f>IF($C1313="","",IF($C1313="TANIMSIZ MÜŞTERİ","—",INDEX(MUSTERILER!$C$7:$C$106,MATCH($C1313,MUSTERILER!$B$7:$B$106,0))))</f>
        <v/>
      </c>
      <c r="O1313" s="6" t="n"/>
      <c r="P1313" s="6" t="n"/>
      <c r="Q1313" s="3">
        <f>IF($D1313="","",$C1313&amp;"|"&amp;COUNTIFS($C$7:$C1313,$C1313))</f>
        <v/>
      </c>
    </row>
    <row r="1314">
      <c r="A1314" s="6" t="n"/>
      <c r="B1314" s="113">
        <f>IF($D1314="","","T"&amp;TEXT(ROW()-6,"00000"))</f>
        <v/>
      </c>
      <c r="C1314" s="113">
        <f>IF($D1314="","",IFERROR(INDEX(MUSTERILER!$B$7:$B$106,MATCH($D1314,MUSTERILER!$C$7:$C$106,0)),IFERROR(INDEX(MUSTERILER!$B$7:$B$106,MATCH($D1314,MUSTERILER!$B$7:$B$106,0)),IFERROR(INDEX(MUSTERILER!$B$7:$B$106,MATCH($D1314&amp;"*",MUSTERILER!$C$7:$C$106,0)),"TANIMSIZ MÜŞTERİ"))))</f>
        <v/>
      </c>
      <c r="D1314" s="109" t="n"/>
      <c r="E1314" s="225" t="n"/>
      <c r="F1314" s="226" t="n"/>
      <c r="G1314" s="108" t="n"/>
      <c r="H1314" s="108" t="n"/>
      <c r="I1314" s="109" t="n"/>
      <c r="J1314" s="109" t="n"/>
      <c r="K1314" s="109" t="n"/>
      <c r="L1314" s="231">
        <f>IF($E1314="","",DATE(YEAR($E1314),MONTH($E1314),1))</f>
        <v/>
      </c>
      <c r="M1314" s="113">
        <f>IF($D1314="","",IF($C1314="TANIMSIZ MÜŞTERİ","HATA",IF(OR($E1314="",$F1314&lt;=0,$G1314=""),"EKSİK",IF($E1314&gt;TODAY(),"İLERİ TARİH","UYGUN"))))</f>
        <v/>
      </c>
      <c r="N1314" s="121">
        <f>IF($C1314="","",IF($C1314="TANIMSIZ MÜŞTERİ","—",INDEX(MUSTERILER!$C$7:$C$106,MATCH($C1314,MUSTERILER!$B$7:$B$106,0))))</f>
        <v/>
      </c>
      <c r="O1314" s="6" t="n"/>
      <c r="P1314" s="6" t="n"/>
      <c r="Q1314" s="3">
        <f>IF($D1314="","",$C1314&amp;"|"&amp;COUNTIFS($C$7:$C1314,$C1314))</f>
        <v/>
      </c>
    </row>
    <row r="1315">
      <c r="A1315" s="6" t="n"/>
      <c r="B1315" s="113">
        <f>IF($D1315="","","T"&amp;TEXT(ROW()-6,"00000"))</f>
        <v/>
      </c>
      <c r="C1315" s="113">
        <f>IF($D1315="","",IFERROR(INDEX(MUSTERILER!$B$7:$B$106,MATCH($D1315,MUSTERILER!$C$7:$C$106,0)),IFERROR(INDEX(MUSTERILER!$B$7:$B$106,MATCH($D1315,MUSTERILER!$B$7:$B$106,0)),IFERROR(INDEX(MUSTERILER!$B$7:$B$106,MATCH($D1315&amp;"*",MUSTERILER!$C$7:$C$106,0)),"TANIMSIZ MÜŞTERİ"))))</f>
        <v/>
      </c>
      <c r="D1315" s="109" t="n"/>
      <c r="E1315" s="225" t="n"/>
      <c r="F1315" s="226" t="n"/>
      <c r="G1315" s="108" t="n"/>
      <c r="H1315" s="108" t="n"/>
      <c r="I1315" s="109" t="n"/>
      <c r="J1315" s="109" t="n"/>
      <c r="K1315" s="109" t="n"/>
      <c r="L1315" s="231">
        <f>IF($E1315="","",DATE(YEAR($E1315),MONTH($E1315),1))</f>
        <v/>
      </c>
      <c r="M1315" s="113">
        <f>IF($D1315="","",IF($C1315="TANIMSIZ MÜŞTERİ","HATA",IF(OR($E1315="",$F1315&lt;=0,$G1315=""),"EKSİK",IF($E1315&gt;TODAY(),"İLERİ TARİH","UYGUN"))))</f>
        <v/>
      </c>
      <c r="N1315" s="121">
        <f>IF($C1315="","",IF($C1315="TANIMSIZ MÜŞTERİ","—",INDEX(MUSTERILER!$C$7:$C$106,MATCH($C1315,MUSTERILER!$B$7:$B$106,0))))</f>
        <v/>
      </c>
      <c r="O1315" s="6" t="n"/>
      <c r="P1315" s="6" t="n"/>
      <c r="Q1315" s="3">
        <f>IF($D1315="","",$C1315&amp;"|"&amp;COUNTIFS($C$7:$C1315,$C1315))</f>
        <v/>
      </c>
    </row>
    <row r="1316">
      <c r="A1316" s="6" t="n"/>
      <c r="B1316" s="113">
        <f>IF($D1316="","","T"&amp;TEXT(ROW()-6,"00000"))</f>
        <v/>
      </c>
      <c r="C1316" s="113">
        <f>IF($D1316="","",IFERROR(INDEX(MUSTERILER!$B$7:$B$106,MATCH($D1316,MUSTERILER!$C$7:$C$106,0)),IFERROR(INDEX(MUSTERILER!$B$7:$B$106,MATCH($D1316,MUSTERILER!$B$7:$B$106,0)),IFERROR(INDEX(MUSTERILER!$B$7:$B$106,MATCH($D1316&amp;"*",MUSTERILER!$C$7:$C$106,0)),"TANIMSIZ MÜŞTERİ"))))</f>
        <v/>
      </c>
      <c r="D1316" s="109" t="n"/>
      <c r="E1316" s="225" t="n"/>
      <c r="F1316" s="226" t="n"/>
      <c r="G1316" s="108" t="n"/>
      <c r="H1316" s="108" t="n"/>
      <c r="I1316" s="109" t="n"/>
      <c r="J1316" s="109" t="n"/>
      <c r="K1316" s="109" t="n"/>
      <c r="L1316" s="231">
        <f>IF($E1316="","",DATE(YEAR($E1316),MONTH($E1316),1))</f>
        <v/>
      </c>
      <c r="M1316" s="113">
        <f>IF($D1316="","",IF($C1316="TANIMSIZ MÜŞTERİ","HATA",IF(OR($E1316="",$F1316&lt;=0,$G1316=""),"EKSİK",IF($E1316&gt;TODAY(),"İLERİ TARİH","UYGUN"))))</f>
        <v/>
      </c>
      <c r="N1316" s="121">
        <f>IF($C1316="","",IF($C1316="TANIMSIZ MÜŞTERİ","—",INDEX(MUSTERILER!$C$7:$C$106,MATCH($C1316,MUSTERILER!$B$7:$B$106,0))))</f>
        <v/>
      </c>
      <c r="O1316" s="6" t="n"/>
      <c r="P1316" s="6" t="n"/>
      <c r="Q1316" s="3">
        <f>IF($D1316="","",$C1316&amp;"|"&amp;COUNTIFS($C$7:$C1316,$C1316))</f>
        <v/>
      </c>
    </row>
    <row r="1317">
      <c r="A1317" s="6" t="n"/>
      <c r="B1317" s="113">
        <f>IF($D1317="","","T"&amp;TEXT(ROW()-6,"00000"))</f>
        <v/>
      </c>
      <c r="C1317" s="113">
        <f>IF($D1317="","",IFERROR(INDEX(MUSTERILER!$B$7:$B$106,MATCH($D1317,MUSTERILER!$C$7:$C$106,0)),IFERROR(INDEX(MUSTERILER!$B$7:$B$106,MATCH($D1317,MUSTERILER!$B$7:$B$106,0)),IFERROR(INDEX(MUSTERILER!$B$7:$B$106,MATCH($D1317&amp;"*",MUSTERILER!$C$7:$C$106,0)),"TANIMSIZ MÜŞTERİ"))))</f>
        <v/>
      </c>
      <c r="D1317" s="109" t="n"/>
      <c r="E1317" s="225" t="n"/>
      <c r="F1317" s="226" t="n"/>
      <c r="G1317" s="108" t="n"/>
      <c r="H1317" s="108" t="n"/>
      <c r="I1317" s="109" t="n"/>
      <c r="J1317" s="109" t="n"/>
      <c r="K1317" s="109" t="n"/>
      <c r="L1317" s="231">
        <f>IF($E1317="","",DATE(YEAR($E1317),MONTH($E1317),1))</f>
        <v/>
      </c>
      <c r="M1317" s="113">
        <f>IF($D1317="","",IF($C1317="TANIMSIZ MÜŞTERİ","HATA",IF(OR($E1317="",$F1317&lt;=0,$G1317=""),"EKSİK",IF($E1317&gt;TODAY(),"İLERİ TARİH","UYGUN"))))</f>
        <v/>
      </c>
      <c r="N1317" s="121">
        <f>IF($C1317="","",IF($C1317="TANIMSIZ MÜŞTERİ","—",INDEX(MUSTERILER!$C$7:$C$106,MATCH($C1317,MUSTERILER!$B$7:$B$106,0))))</f>
        <v/>
      </c>
      <c r="O1317" s="6" t="n"/>
      <c r="P1317" s="6" t="n"/>
      <c r="Q1317" s="3">
        <f>IF($D1317="","",$C1317&amp;"|"&amp;COUNTIFS($C$7:$C1317,$C1317))</f>
        <v/>
      </c>
    </row>
    <row r="1318">
      <c r="A1318" s="6" t="n"/>
      <c r="B1318" s="113">
        <f>IF($D1318="","","T"&amp;TEXT(ROW()-6,"00000"))</f>
        <v/>
      </c>
      <c r="C1318" s="113">
        <f>IF($D1318="","",IFERROR(INDEX(MUSTERILER!$B$7:$B$106,MATCH($D1318,MUSTERILER!$C$7:$C$106,0)),IFERROR(INDEX(MUSTERILER!$B$7:$B$106,MATCH($D1318,MUSTERILER!$B$7:$B$106,0)),IFERROR(INDEX(MUSTERILER!$B$7:$B$106,MATCH($D1318&amp;"*",MUSTERILER!$C$7:$C$106,0)),"TANIMSIZ MÜŞTERİ"))))</f>
        <v/>
      </c>
      <c r="D1318" s="109" t="n"/>
      <c r="E1318" s="225" t="n"/>
      <c r="F1318" s="226" t="n"/>
      <c r="G1318" s="108" t="n"/>
      <c r="H1318" s="108" t="n"/>
      <c r="I1318" s="109" t="n"/>
      <c r="J1318" s="109" t="n"/>
      <c r="K1318" s="109" t="n"/>
      <c r="L1318" s="231">
        <f>IF($E1318="","",DATE(YEAR($E1318),MONTH($E1318),1))</f>
        <v/>
      </c>
      <c r="M1318" s="113">
        <f>IF($D1318="","",IF($C1318="TANIMSIZ MÜŞTERİ","HATA",IF(OR($E1318="",$F1318&lt;=0,$G1318=""),"EKSİK",IF($E1318&gt;TODAY(),"İLERİ TARİH","UYGUN"))))</f>
        <v/>
      </c>
      <c r="N1318" s="121">
        <f>IF($C1318="","",IF($C1318="TANIMSIZ MÜŞTERİ","—",INDEX(MUSTERILER!$C$7:$C$106,MATCH($C1318,MUSTERILER!$B$7:$B$106,0))))</f>
        <v/>
      </c>
      <c r="O1318" s="6" t="n"/>
      <c r="P1318" s="6" t="n"/>
      <c r="Q1318" s="3">
        <f>IF($D1318="","",$C1318&amp;"|"&amp;COUNTIFS($C$7:$C1318,$C1318))</f>
        <v/>
      </c>
    </row>
    <row r="1319">
      <c r="A1319" s="6" t="n"/>
      <c r="B1319" s="113">
        <f>IF($D1319="","","T"&amp;TEXT(ROW()-6,"00000"))</f>
        <v/>
      </c>
      <c r="C1319" s="113">
        <f>IF($D1319="","",IFERROR(INDEX(MUSTERILER!$B$7:$B$106,MATCH($D1319,MUSTERILER!$C$7:$C$106,0)),IFERROR(INDEX(MUSTERILER!$B$7:$B$106,MATCH($D1319,MUSTERILER!$B$7:$B$106,0)),IFERROR(INDEX(MUSTERILER!$B$7:$B$106,MATCH($D1319&amp;"*",MUSTERILER!$C$7:$C$106,0)),"TANIMSIZ MÜŞTERİ"))))</f>
        <v/>
      </c>
      <c r="D1319" s="109" t="n"/>
      <c r="E1319" s="225" t="n"/>
      <c r="F1319" s="226" t="n"/>
      <c r="G1319" s="108" t="n"/>
      <c r="H1319" s="108" t="n"/>
      <c r="I1319" s="109" t="n"/>
      <c r="J1319" s="109" t="n"/>
      <c r="K1319" s="109" t="n"/>
      <c r="L1319" s="231">
        <f>IF($E1319="","",DATE(YEAR($E1319),MONTH($E1319),1))</f>
        <v/>
      </c>
      <c r="M1319" s="113">
        <f>IF($D1319="","",IF($C1319="TANIMSIZ MÜŞTERİ","HATA",IF(OR($E1319="",$F1319&lt;=0,$G1319=""),"EKSİK",IF($E1319&gt;TODAY(),"İLERİ TARİH","UYGUN"))))</f>
        <v/>
      </c>
      <c r="N1319" s="121">
        <f>IF($C1319="","",IF($C1319="TANIMSIZ MÜŞTERİ","—",INDEX(MUSTERILER!$C$7:$C$106,MATCH($C1319,MUSTERILER!$B$7:$B$106,0))))</f>
        <v/>
      </c>
      <c r="O1319" s="6" t="n"/>
      <c r="P1319" s="6" t="n"/>
      <c r="Q1319" s="3">
        <f>IF($D1319="","",$C1319&amp;"|"&amp;COUNTIFS($C$7:$C1319,$C1319))</f>
        <v/>
      </c>
    </row>
    <row r="1320">
      <c r="A1320" s="6" t="n"/>
      <c r="B1320" s="113">
        <f>IF($D1320="","","T"&amp;TEXT(ROW()-6,"00000"))</f>
        <v/>
      </c>
      <c r="C1320" s="113">
        <f>IF($D1320="","",IFERROR(INDEX(MUSTERILER!$B$7:$B$106,MATCH($D1320,MUSTERILER!$C$7:$C$106,0)),IFERROR(INDEX(MUSTERILER!$B$7:$B$106,MATCH($D1320,MUSTERILER!$B$7:$B$106,0)),IFERROR(INDEX(MUSTERILER!$B$7:$B$106,MATCH($D1320&amp;"*",MUSTERILER!$C$7:$C$106,0)),"TANIMSIZ MÜŞTERİ"))))</f>
        <v/>
      </c>
      <c r="D1320" s="109" t="n"/>
      <c r="E1320" s="225" t="n"/>
      <c r="F1320" s="226" t="n"/>
      <c r="G1320" s="108" t="n"/>
      <c r="H1320" s="108" t="n"/>
      <c r="I1320" s="109" t="n"/>
      <c r="J1320" s="109" t="n"/>
      <c r="K1320" s="109" t="n"/>
      <c r="L1320" s="231">
        <f>IF($E1320="","",DATE(YEAR($E1320),MONTH($E1320),1))</f>
        <v/>
      </c>
      <c r="M1320" s="113">
        <f>IF($D1320="","",IF($C1320="TANIMSIZ MÜŞTERİ","HATA",IF(OR($E1320="",$F1320&lt;=0,$G1320=""),"EKSİK",IF($E1320&gt;TODAY(),"İLERİ TARİH","UYGUN"))))</f>
        <v/>
      </c>
      <c r="N1320" s="121">
        <f>IF($C1320="","",IF($C1320="TANIMSIZ MÜŞTERİ","—",INDEX(MUSTERILER!$C$7:$C$106,MATCH($C1320,MUSTERILER!$B$7:$B$106,0))))</f>
        <v/>
      </c>
      <c r="O1320" s="6" t="n"/>
      <c r="P1320" s="6" t="n"/>
      <c r="Q1320" s="3">
        <f>IF($D1320="","",$C1320&amp;"|"&amp;COUNTIFS($C$7:$C1320,$C1320))</f>
        <v/>
      </c>
    </row>
    <row r="1321">
      <c r="A1321" s="6" t="n"/>
      <c r="B1321" s="113">
        <f>IF($D1321="","","T"&amp;TEXT(ROW()-6,"00000"))</f>
        <v/>
      </c>
      <c r="C1321" s="113">
        <f>IF($D1321="","",IFERROR(INDEX(MUSTERILER!$B$7:$B$106,MATCH($D1321,MUSTERILER!$C$7:$C$106,0)),IFERROR(INDEX(MUSTERILER!$B$7:$B$106,MATCH($D1321,MUSTERILER!$B$7:$B$106,0)),IFERROR(INDEX(MUSTERILER!$B$7:$B$106,MATCH($D1321&amp;"*",MUSTERILER!$C$7:$C$106,0)),"TANIMSIZ MÜŞTERİ"))))</f>
        <v/>
      </c>
      <c r="D1321" s="109" t="n"/>
      <c r="E1321" s="225" t="n"/>
      <c r="F1321" s="226" t="n"/>
      <c r="G1321" s="108" t="n"/>
      <c r="H1321" s="108" t="n"/>
      <c r="I1321" s="109" t="n"/>
      <c r="J1321" s="109" t="n"/>
      <c r="K1321" s="109" t="n"/>
      <c r="L1321" s="231">
        <f>IF($E1321="","",DATE(YEAR($E1321),MONTH($E1321),1))</f>
        <v/>
      </c>
      <c r="M1321" s="113">
        <f>IF($D1321="","",IF($C1321="TANIMSIZ MÜŞTERİ","HATA",IF(OR($E1321="",$F1321&lt;=0,$G1321=""),"EKSİK",IF($E1321&gt;TODAY(),"İLERİ TARİH","UYGUN"))))</f>
        <v/>
      </c>
      <c r="N1321" s="121">
        <f>IF($C1321="","",IF($C1321="TANIMSIZ MÜŞTERİ","—",INDEX(MUSTERILER!$C$7:$C$106,MATCH($C1321,MUSTERILER!$B$7:$B$106,0))))</f>
        <v/>
      </c>
      <c r="O1321" s="6" t="n"/>
      <c r="P1321" s="6" t="n"/>
      <c r="Q1321" s="3">
        <f>IF($D1321="","",$C1321&amp;"|"&amp;COUNTIFS($C$7:$C1321,$C1321))</f>
        <v/>
      </c>
    </row>
    <row r="1322">
      <c r="A1322" s="6" t="n"/>
      <c r="B1322" s="113">
        <f>IF($D1322="","","T"&amp;TEXT(ROW()-6,"00000"))</f>
        <v/>
      </c>
      <c r="C1322" s="113">
        <f>IF($D1322="","",IFERROR(INDEX(MUSTERILER!$B$7:$B$106,MATCH($D1322,MUSTERILER!$C$7:$C$106,0)),IFERROR(INDEX(MUSTERILER!$B$7:$B$106,MATCH($D1322,MUSTERILER!$B$7:$B$106,0)),IFERROR(INDEX(MUSTERILER!$B$7:$B$106,MATCH($D1322&amp;"*",MUSTERILER!$C$7:$C$106,0)),"TANIMSIZ MÜŞTERİ"))))</f>
        <v/>
      </c>
      <c r="D1322" s="109" t="n"/>
      <c r="E1322" s="225" t="n"/>
      <c r="F1322" s="226" t="n"/>
      <c r="G1322" s="108" t="n"/>
      <c r="H1322" s="108" t="n"/>
      <c r="I1322" s="109" t="n"/>
      <c r="J1322" s="109" t="n"/>
      <c r="K1322" s="109" t="n"/>
      <c r="L1322" s="231">
        <f>IF($E1322="","",DATE(YEAR($E1322),MONTH($E1322),1))</f>
        <v/>
      </c>
      <c r="M1322" s="113">
        <f>IF($D1322="","",IF($C1322="TANIMSIZ MÜŞTERİ","HATA",IF(OR($E1322="",$F1322&lt;=0,$G1322=""),"EKSİK",IF($E1322&gt;TODAY(),"İLERİ TARİH","UYGUN"))))</f>
        <v/>
      </c>
      <c r="N1322" s="121">
        <f>IF($C1322="","",IF($C1322="TANIMSIZ MÜŞTERİ","—",INDEX(MUSTERILER!$C$7:$C$106,MATCH($C1322,MUSTERILER!$B$7:$B$106,0))))</f>
        <v/>
      </c>
      <c r="O1322" s="6" t="n"/>
      <c r="P1322" s="6" t="n"/>
      <c r="Q1322" s="3">
        <f>IF($D1322="","",$C1322&amp;"|"&amp;COUNTIFS($C$7:$C1322,$C1322))</f>
        <v/>
      </c>
    </row>
    <row r="1323">
      <c r="A1323" s="6" t="n"/>
      <c r="B1323" s="113">
        <f>IF($D1323="","","T"&amp;TEXT(ROW()-6,"00000"))</f>
        <v/>
      </c>
      <c r="C1323" s="113">
        <f>IF($D1323="","",IFERROR(INDEX(MUSTERILER!$B$7:$B$106,MATCH($D1323,MUSTERILER!$C$7:$C$106,0)),IFERROR(INDEX(MUSTERILER!$B$7:$B$106,MATCH($D1323,MUSTERILER!$B$7:$B$106,0)),IFERROR(INDEX(MUSTERILER!$B$7:$B$106,MATCH($D1323&amp;"*",MUSTERILER!$C$7:$C$106,0)),"TANIMSIZ MÜŞTERİ"))))</f>
        <v/>
      </c>
      <c r="D1323" s="109" t="n"/>
      <c r="E1323" s="225" t="n"/>
      <c r="F1323" s="226" t="n"/>
      <c r="G1323" s="108" t="n"/>
      <c r="H1323" s="108" t="n"/>
      <c r="I1323" s="109" t="n"/>
      <c r="J1323" s="109" t="n"/>
      <c r="K1323" s="109" t="n"/>
      <c r="L1323" s="231">
        <f>IF($E1323="","",DATE(YEAR($E1323),MONTH($E1323),1))</f>
        <v/>
      </c>
      <c r="M1323" s="113">
        <f>IF($D1323="","",IF($C1323="TANIMSIZ MÜŞTERİ","HATA",IF(OR($E1323="",$F1323&lt;=0,$G1323=""),"EKSİK",IF($E1323&gt;TODAY(),"İLERİ TARİH","UYGUN"))))</f>
        <v/>
      </c>
      <c r="N1323" s="121">
        <f>IF($C1323="","",IF($C1323="TANIMSIZ MÜŞTERİ","—",INDEX(MUSTERILER!$C$7:$C$106,MATCH($C1323,MUSTERILER!$B$7:$B$106,0))))</f>
        <v/>
      </c>
      <c r="O1323" s="6" t="n"/>
      <c r="P1323" s="6" t="n"/>
      <c r="Q1323" s="3">
        <f>IF($D1323="","",$C1323&amp;"|"&amp;COUNTIFS($C$7:$C1323,$C1323))</f>
        <v/>
      </c>
    </row>
    <row r="1324">
      <c r="A1324" s="6" t="n"/>
      <c r="B1324" s="113">
        <f>IF($D1324="","","T"&amp;TEXT(ROW()-6,"00000"))</f>
        <v/>
      </c>
      <c r="C1324" s="113">
        <f>IF($D1324="","",IFERROR(INDEX(MUSTERILER!$B$7:$B$106,MATCH($D1324,MUSTERILER!$C$7:$C$106,0)),IFERROR(INDEX(MUSTERILER!$B$7:$B$106,MATCH($D1324,MUSTERILER!$B$7:$B$106,0)),IFERROR(INDEX(MUSTERILER!$B$7:$B$106,MATCH($D1324&amp;"*",MUSTERILER!$C$7:$C$106,0)),"TANIMSIZ MÜŞTERİ"))))</f>
        <v/>
      </c>
      <c r="D1324" s="109" t="n"/>
      <c r="E1324" s="225" t="n"/>
      <c r="F1324" s="226" t="n"/>
      <c r="G1324" s="108" t="n"/>
      <c r="H1324" s="108" t="n"/>
      <c r="I1324" s="109" t="n"/>
      <c r="J1324" s="109" t="n"/>
      <c r="K1324" s="109" t="n"/>
      <c r="L1324" s="231">
        <f>IF($E1324="","",DATE(YEAR($E1324),MONTH($E1324),1))</f>
        <v/>
      </c>
      <c r="M1324" s="113">
        <f>IF($D1324="","",IF($C1324="TANIMSIZ MÜŞTERİ","HATA",IF(OR($E1324="",$F1324&lt;=0,$G1324=""),"EKSİK",IF($E1324&gt;TODAY(),"İLERİ TARİH","UYGUN"))))</f>
        <v/>
      </c>
      <c r="N1324" s="121">
        <f>IF($C1324="","",IF($C1324="TANIMSIZ MÜŞTERİ","—",INDEX(MUSTERILER!$C$7:$C$106,MATCH($C1324,MUSTERILER!$B$7:$B$106,0))))</f>
        <v/>
      </c>
      <c r="O1324" s="6" t="n"/>
      <c r="P1324" s="6" t="n"/>
      <c r="Q1324" s="3">
        <f>IF($D1324="","",$C1324&amp;"|"&amp;COUNTIFS($C$7:$C1324,$C1324))</f>
        <v/>
      </c>
    </row>
    <row r="1325">
      <c r="A1325" s="6" t="n"/>
      <c r="B1325" s="113">
        <f>IF($D1325="","","T"&amp;TEXT(ROW()-6,"00000"))</f>
        <v/>
      </c>
      <c r="C1325" s="113">
        <f>IF($D1325="","",IFERROR(INDEX(MUSTERILER!$B$7:$B$106,MATCH($D1325,MUSTERILER!$C$7:$C$106,0)),IFERROR(INDEX(MUSTERILER!$B$7:$B$106,MATCH($D1325,MUSTERILER!$B$7:$B$106,0)),IFERROR(INDEX(MUSTERILER!$B$7:$B$106,MATCH($D1325&amp;"*",MUSTERILER!$C$7:$C$106,0)),"TANIMSIZ MÜŞTERİ"))))</f>
        <v/>
      </c>
      <c r="D1325" s="109" t="n"/>
      <c r="E1325" s="225" t="n"/>
      <c r="F1325" s="226" t="n"/>
      <c r="G1325" s="108" t="n"/>
      <c r="H1325" s="108" t="n"/>
      <c r="I1325" s="109" t="n"/>
      <c r="J1325" s="109" t="n"/>
      <c r="K1325" s="109" t="n"/>
      <c r="L1325" s="231">
        <f>IF($E1325="","",DATE(YEAR($E1325),MONTH($E1325),1))</f>
        <v/>
      </c>
      <c r="M1325" s="113">
        <f>IF($D1325="","",IF($C1325="TANIMSIZ MÜŞTERİ","HATA",IF(OR($E1325="",$F1325&lt;=0,$G1325=""),"EKSİK",IF($E1325&gt;TODAY(),"İLERİ TARİH","UYGUN"))))</f>
        <v/>
      </c>
      <c r="N1325" s="121">
        <f>IF($C1325="","",IF($C1325="TANIMSIZ MÜŞTERİ","—",INDEX(MUSTERILER!$C$7:$C$106,MATCH($C1325,MUSTERILER!$B$7:$B$106,0))))</f>
        <v/>
      </c>
      <c r="O1325" s="6" t="n"/>
      <c r="P1325" s="6" t="n"/>
      <c r="Q1325" s="3">
        <f>IF($D1325="","",$C1325&amp;"|"&amp;COUNTIFS($C$7:$C1325,$C1325))</f>
        <v/>
      </c>
    </row>
    <row r="1326">
      <c r="A1326" s="6" t="n"/>
      <c r="B1326" s="113">
        <f>IF($D1326="","","T"&amp;TEXT(ROW()-6,"00000"))</f>
        <v/>
      </c>
      <c r="C1326" s="113">
        <f>IF($D1326="","",IFERROR(INDEX(MUSTERILER!$B$7:$B$106,MATCH($D1326,MUSTERILER!$C$7:$C$106,0)),IFERROR(INDEX(MUSTERILER!$B$7:$B$106,MATCH($D1326,MUSTERILER!$B$7:$B$106,0)),IFERROR(INDEX(MUSTERILER!$B$7:$B$106,MATCH($D1326&amp;"*",MUSTERILER!$C$7:$C$106,0)),"TANIMSIZ MÜŞTERİ"))))</f>
        <v/>
      </c>
      <c r="D1326" s="109" t="n"/>
      <c r="E1326" s="225" t="n"/>
      <c r="F1326" s="226" t="n"/>
      <c r="G1326" s="108" t="n"/>
      <c r="H1326" s="108" t="n"/>
      <c r="I1326" s="109" t="n"/>
      <c r="J1326" s="109" t="n"/>
      <c r="K1326" s="109" t="n"/>
      <c r="L1326" s="231">
        <f>IF($E1326="","",DATE(YEAR($E1326),MONTH($E1326),1))</f>
        <v/>
      </c>
      <c r="M1326" s="113">
        <f>IF($D1326="","",IF($C1326="TANIMSIZ MÜŞTERİ","HATA",IF(OR($E1326="",$F1326&lt;=0,$G1326=""),"EKSİK",IF($E1326&gt;TODAY(),"İLERİ TARİH","UYGUN"))))</f>
        <v/>
      </c>
      <c r="N1326" s="121">
        <f>IF($C1326="","",IF($C1326="TANIMSIZ MÜŞTERİ","—",INDEX(MUSTERILER!$C$7:$C$106,MATCH($C1326,MUSTERILER!$B$7:$B$106,0))))</f>
        <v/>
      </c>
      <c r="O1326" s="6" t="n"/>
      <c r="P1326" s="6" t="n"/>
      <c r="Q1326" s="3">
        <f>IF($D1326="","",$C1326&amp;"|"&amp;COUNTIFS($C$7:$C1326,$C1326))</f>
        <v/>
      </c>
    </row>
    <row r="1327">
      <c r="A1327" s="6" t="n"/>
      <c r="B1327" s="113">
        <f>IF($D1327="","","T"&amp;TEXT(ROW()-6,"00000"))</f>
        <v/>
      </c>
      <c r="C1327" s="113">
        <f>IF($D1327="","",IFERROR(INDEX(MUSTERILER!$B$7:$B$106,MATCH($D1327,MUSTERILER!$C$7:$C$106,0)),IFERROR(INDEX(MUSTERILER!$B$7:$B$106,MATCH($D1327,MUSTERILER!$B$7:$B$106,0)),IFERROR(INDEX(MUSTERILER!$B$7:$B$106,MATCH($D1327&amp;"*",MUSTERILER!$C$7:$C$106,0)),"TANIMSIZ MÜŞTERİ"))))</f>
        <v/>
      </c>
      <c r="D1327" s="109" t="n"/>
      <c r="E1327" s="225" t="n"/>
      <c r="F1327" s="226" t="n"/>
      <c r="G1327" s="108" t="n"/>
      <c r="H1327" s="108" t="n"/>
      <c r="I1327" s="109" t="n"/>
      <c r="J1327" s="109" t="n"/>
      <c r="K1327" s="109" t="n"/>
      <c r="L1327" s="231">
        <f>IF($E1327="","",DATE(YEAR($E1327),MONTH($E1327),1))</f>
        <v/>
      </c>
      <c r="M1327" s="113">
        <f>IF($D1327="","",IF($C1327="TANIMSIZ MÜŞTERİ","HATA",IF(OR($E1327="",$F1327&lt;=0,$G1327=""),"EKSİK",IF($E1327&gt;TODAY(),"İLERİ TARİH","UYGUN"))))</f>
        <v/>
      </c>
      <c r="N1327" s="121">
        <f>IF($C1327="","",IF($C1327="TANIMSIZ MÜŞTERİ","—",INDEX(MUSTERILER!$C$7:$C$106,MATCH($C1327,MUSTERILER!$B$7:$B$106,0))))</f>
        <v/>
      </c>
      <c r="O1327" s="6" t="n"/>
      <c r="P1327" s="6" t="n"/>
      <c r="Q1327" s="3">
        <f>IF($D1327="","",$C1327&amp;"|"&amp;COUNTIFS($C$7:$C1327,$C1327))</f>
        <v/>
      </c>
    </row>
    <row r="1328">
      <c r="A1328" s="6" t="n"/>
      <c r="B1328" s="113">
        <f>IF($D1328="","","T"&amp;TEXT(ROW()-6,"00000"))</f>
        <v/>
      </c>
      <c r="C1328" s="113">
        <f>IF($D1328="","",IFERROR(INDEX(MUSTERILER!$B$7:$B$106,MATCH($D1328,MUSTERILER!$C$7:$C$106,0)),IFERROR(INDEX(MUSTERILER!$B$7:$B$106,MATCH($D1328,MUSTERILER!$B$7:$B$106,0)),IFERROR(INDEX(MUSTERILER!$B$7:$B$106,MATCH($D1328&amp;"*",MUSTERILER!$C$7:$C$106,0)),"TANIMSIZ MÜŞTERİ"))))</f>
        <v/>
      </c>
      <c r="D1328" s="109" t="n"/>
      <c r="E1328" s="225" t="n"/>
      <c r="F1328" s="226" t="n"/>
      <c r="G1328" s="108" t="n"/>
      <c r="H1328" s="108" t="n"/>
      <c r="I1328" s="109" t="n"/>
      <c r="J1328" s="109" t="n"/>
      <c r="K1328" s="109" t="n"/>
      <c r="L1328" s="231">
        <f>IF($E1328="","",DATE(YEAR($E1328),MONTH($E1328),1))</f>
        <v/>
      </c>
      <c r="M1328" s="113">
        <f>IF($D1328="","",IF($C1328="TANIMSIZ MÜŞTERİ","HATA",IF(OR($E1328="",$F1328&lt;=0,$G1328=""),"EKSİK",IF($E1328&gt;TODAY(),"İLERİ TARİH","UYGUN"))))</f>
        <v/>
      </c>
      <c r="N1328" s="121">
        <f>IF($C1328="","",IF($C1328="TANIMSIZ MÜŞTERİ","—",INDEX(MUSTERILER!$C$7:$C$106,MATCH($C1328,MUSTERILER!$B$7:$B$106,0))))</f>
        <v/>
      </c>
      <c r="O1328" s="6" t="n"/>
      <c r="P1328" s="6" t="n"/>
      <c r="Q1328" s="3">
        <f>IF($D1328="","",$C1328&amp;"|"&amp;COUNTIFS($C$7:$C1328,$C1328))</f>
        <v/>
      </c>
    </row>
    <row r="1329">
      <c r="A1329" s="6" t="n"/>
      <c r="B1329" s="113">
        <f>IF($D1329="","","T"&amp;TEXT(ROW()-6,"00000"))</f>
        <v/>
      </c>
      <c r="C1329" s="113">
        <f>IF($D1329="","",IFERROR(INDEX(MUSTERILER!$B$7:$B$106,MATCH($D1329,MUSTERILER!$C$7:$C$106,0)),IFERROR(INDEX(MUSTERILER!$B$7:$B$106,MATCH($D1329,MUSTERILER!$B$7:$B$106,0)),IFERROR(INDEX(MUSTERILER!$B$7:$B$106,MATCH($D1329&amp;"*",MUSTERILER!$C$7:$C$106,0)),"TANIMSIZ MÜŞTERİ"))))</f>
        <v/>
      </c>
      <c r="D1329" s="109" t="n"/>
      <c r="E1329" s="225" t="n"/>
      <c r="F1329" s="226" t="n"/>
      <c r="G1329" s="108" t="n"/>
      <c r="H1329" s="108" t="n"/>
      <c r="I1329" s="109" t="n"/>
      <c r="J1329" s="109" t="n"/>
      <c r="K1329" s="109" t="n"/>
      <c r="L1329" s="231">
        <f>IF($E1329="","",DATE(YEAR($E1329),MONTH($E1329),1))</f>
        <v/>
      </c>
      <c r="M1329" s="113">
        <f>IF($D1329="","",IF($C1329="TANIMSIZ MÜŞTERİ","HATA",IF(OR($E1329="",$F1329&lt;=0,$G1329=""),"EKSİK",IF($E1329&gt;TODAY(),"İLERİ TARİH","UYGUN"))))</f>
        <v/>
      </c>
      <c r="N1329" s="121">
        <f>IF($C1329="","",IF($C1329="TANIMSIZ MÜŞTERİ","—",INDEX(MUSTERILER!$C$7:$C$106,MATCH($C1329,MUSTERILER!$B$7:$B$106,0))))</f>
        <v/>
      </c>
      <c r="O1329" s="6" t="n"/>
      <c r="P1329" s="6" t="n"/>
      <c r="Q1329" s="3">
        <f>IF($D1329="","",$C1329&amp;"|"&amp;COUNTIFS($C$7:$C1329,$C1329))</f>
        <v/>
      </c>
    </row>
    <row r="1330">
      <c r="A1330" s="6" t="n"/>
      <c r="B1330" s="113">
        <f>IF($D1330="","","T"&amp;TEXT(ROW()-6,"00000"))</f>
        <v/>
      </c>
      <c r="C1330" s="113">
        <f>IF($D1330="","",IFERROR(INDEX(MUSTERILER!$B$7:$B$106,MATCH($D1330,MUSTERILER!$C$7:$C$106,0)),IFERROR(INDEX(MUSTERILER!$B$7:$B$106,MATCH($D1330,MUSTERILER!$B$7:$B$106,0)),IFERROR(INDEX(MUSTERILER!$B$7:$B$106,MATCH($D1330&amp;"*",MUSTERILER!$C$7:$C$106,0)),"TANIMSIZ MÜŞTERİ"))))</f>
        <v/>
      </c>
      <c r="D1330" s="109" t="n"/>
      <c r="E1330" s="225" t="n"/>
      <c r="F1330" s="226" t="n"/>
      <c r="G1330" s="108" t="n"/>
      <c r="H1330" s="108" t="n"/>
      <c r="I1330" s="109" t="n"/>
      <c r="J1330" s="109" t="n"/>
      <c r="K1330" s="109" t="n"/>
      <c r="L1330" s="231">
        <f>IF($E1330="","",DATE(YEAR($E1330),MONTH($E1330),1))</f>
        <v/>
      </c>
      <c r="M1330" s="113">
        <f>IF($D1330="","",IF($C1330="TANIMSIZ MÜŞTERİ","HATA",IF(OR($E1330="",$F1330&lt;=0,$G1330=""),"EKSİK",IF($E1330&gt;TODAY(),"İLERİ TARİH","UYGUN"))))</f>
        <v/>
      </c>
      <c r="N1330" s="121">
        <f>IF($C1330="","",IF($C1330="TANIMSIZ MÜŞTERİ","—",INDEX(MUSTERILER!$C$7:$C$106,MATCH($C1330,MUSTERILER!$B$7:$B$106,0))))</f>
        <v/>
      </c>
      <c r="O1330" s="6" t="n"/>
      <c r="P1330" s="6" t="n"/>
      <c r="Q1330" s="3">
        <f>IF($D1330="","",$C1330&amp;"|"&amp;COUNTIFS($C$7:$C1330,$C1330))</f>
        <v/>
      </c>
    </row>
    <row r="1331">
      <c r="A1331" s="6" t="n"/>
      <c r="B1331" s="113">
        <f>IF($D1331="","","T"&amp;TEXT(ROW()-6,"00000"))</f>
        <v/>
      </c>
      <c r="C1331" s="113">
        <f>IF($D1331="","",IFERROR(INDEX(MUSTERILER!$B$7:$B$106,MATCH($D1331,MUSTERILER!$C$7:$C$106,0)),IFERROR(INDEX(MUSTERILER!$B$7:$B$106,MATCH($D1331,MUSTERILER!$B$7:$B$106,0)),IFERROR(INDEX(MUSTERILER!$B$7:$B$106,MATCH($D1331&amp;"*",MUSTERILER!$C$7:$C$106,0)),"TANIMSIZ MÜŞTERİ"))))</f>
        <v/>
      </c>
      <c r="D1331" s="109" t="n"/>
      <c r="E1331" s="225" t="n"/>
      <c r="F1331" s="226" t="n"/>
      <c r="G1331" s="108" t="n"/>
      <c r="H1331" s="108" t="n"/>
      <c r="I1331" s="109" t="n"/>
      <c r="J1331" s="109" t="n"/>
      <c r="K1331" s="109" t="n"/>
      <c r="L1331" s="231">
        <f>IF($E1331="","",DATE(YEAR($E1331),MONTH($E1331),1))</f>
        <v/>
      </c>
      <c r="M1331" s="113">
        <f>IF($D1331="","",IF($C1331="TANIMSIZ MÜŞTERİ","HATA",IF(OR($E1331="",$F1331&lt;=0,$G1331=""),"EKSİK",IF($E1331&gt;TODAY(),"İLERİ TARİH","UYGUN"))))</f>
        <v/>
      </c>
      <c r="N1331" s="121">
        <f>IF($C1331="","",IF($C1331="TANIMSIZ MÜŞTERİ","—",INDEX(MUSTERILER!$C$7:$C$106,MATCH($C1331,MUSTERILER!$B$7:$B$106,0))))</f>
        <v/>
      </c>
      <c r="O1331" s="6" t="n"/>
      <c r="P1331" s="6" t="n"/>
      <c r="Q1331" s="3">
        <f>IF($D1331="","",$C1331&amp;"|"&amp;COUNTIFS($C$7:$C1331,$C1331))</f>
        <v/>
      </c>
    </row>
    <row r="1332">
      <c r="A1332" s="6" t="n"/>
      <c r="B1332" s="113">
        <f>IF($D1332="","","T"&amp;TEXT(ROW()-6,"00000"))</f>
        <v/>
      </c>
      <c r="C1332" s="113">
        <f>IF($D1332="","",IFERROR(INDEX(MUSTERILER!$B$7:$B$106,MATCH($D1332,MUSTERILER!$C$7:$C$106,0)),IFERROR(INDEX(MUSTERILER!$B$7:$B$106,MATCH($D1332,MUSTERILER!$B$7:$B$106,0)),IFERROR(INDEX(MUSTERILER!$B$7:$B$106,MATCH($D1332&amp;"*",MUSTERILER!$C$7:$C$106,0)),"TANIMSIZ MÜŞTERİ"))))</f>
        <v/>
      </c>
      <c r="D1332" s="109" t="n"/>
      <c r="E1332" s="225" t="n"/>
      <c r="F1332" s="226" t="n"/>
      <c r="G1332" s="108" t="n"/>
      <c r="H1332" s="108" t="n"/>
      <c r="I1332" s="109" t="n"/>
      <c r="J1332" s="109" t="n"/>
      <c r="K1332" s="109" t="n"/>
      <c r="L1332" s="231">
        <f>IF($E1332="","",DATE(YEAR($E1332),MONTH($E1332),1))</f>
        <v/>
      </c>
      <c r="M1332" s="113">
        <f>IF($D1332="","",IF($C1332="TANIMSIZ MÜŞTERİ","HATA",IF(OR($E1332="",$F1332&lt;=0,$G1332=""),"EKSİK",IF($E1332&gt;TODAY(),"İLERİ TARİH","UYGUN"))))</f>
        <v/>
      </c>
      <c r="N1332" s="121">
        <f>IF($C1332="","",IF($C1332="TANIMSIZ MÜŞTERİ","—",INDEX(MUSTERILER!$C$7:$C$106,MATCH($C1332,MUSTERILER!$B$7:$B$106,0))))</f>
        <v/>
      </c>
      <c r="O1332" s="6" t="n"/>
      <c r="P1332" s="6" t="n"/>
      <c r="Q1332" s="3">
        <f>IF($D1332="","",$C1332&amp;"|"&amp;COUNTIFS($C$7:$C1332,$C1332))</f>
        <v/>
      </c>
    </row>
    <row r="1333">
      <c r="A1333" s="6" t="n"/>
      <c r="B1333" s="113">
        <f>IF($D1333="","","T"&amp;TEXT(ROW()-6,"00000"))</f>
        <v/>
      </c>
      <c r="C1333" s="113">
        <f>IF($D1333="","",IFERROR(INDEX(MUSTERILER!$B$7:$B$106,MATCH($D1333,MUSTERILER!$C$7:$C$106,0)),IFERROR(INDEX(MUSTERILER!$B$7:$B$106,MATCH($D1333,MUSTERILER!$B$7:$B$106,0)),IFERROR(INDEX(MUSTERILER!$B$7:$B$106,MATCH($D1333&amp;"*",MUSTERILER!$C$7:$C$106,0)),"TANIMSIZ MÜŞTERİ"))))</f>
        <v/>
      </c>
      <c r="D1333" s="109" t="n"/>
      <c r="E1333" s="225" t="n"/>
      <c r="F1333" s="226" t="n"/>
      <c r="G1333" s="108" t="n"/>
      <c r="H1333" s="108" t="n"/>
      <c r="I1333" s="109" t="n"/>
      <c r="J1333" s="109" t="n"/>
      <c r="K1333" s="109" t="n"/>
      <c r="L1333" s="231">
        <f>IF($E1333="","",DATE(YEAR($E1333),MONTH($E1333),1))</f>
        <v/>
      </c>
      <c r="M1333" s="113">
        <f>IF($D1333="","",IF($C1333="TANIMSIZ MÜŞTERİ","HATA",IF(OR($E1333="",$F1333&lt;=0,$G1333=""),"EKSİK",IF($E1333&gt;TODAY(),"İLERİ TARİH","UYGUN"))))</f>
        <v/>
      </c>
      <c r="N1333" s="121">
        <f>IF($C1333="","",IF($C1333="TANIMSIZ MÜŞTERİ","—",INDEX(MUSTERILER!$C$7:$C$106,MATCH($C1333,MUSTERILER!$B$7:$B$106,0))))</f>
        <v/>
      </c>
      <c r="O1333" s="6" t="n"/>
      <c r="P1333" s="6" t="n"/>
      <c r="Q1333" s="3">
        <f>IF($D1333="","",$C1333&amp;"|"&amp;COUNTIFS($C$7:$C1333,$C1333))</f>
        <v/>
      </c>
    </row>
    <row r="1334">
      <c r="A1334" s="6" t="n"/>
      <c r="B1334" s="113">
        <f>IF($D1334="","","T"&amp;TEXT(ROW()-6,"00000"))</f>
        <v/>
      </c>
      <c r="C1334" s="113">
        <f>IF($D1334="","",IFERROR(INDEX(MUSTERILER!$B$7:$B$106,MATCH($D1334,MUSTERILER!$C$7:$C$106,0)),IFERROR(INDEX(MUSTERILER!$B$7:$B$106,MATCH($D1334,MUSTERILER!$B$7:$B$106,0)),IFERROR(INDEX(MUSTERILER!$B$7:$B$106,MATCH($D1334&amp;"*",MUSTERILER!$C$7:$C$106,0)),"TANIMSIZ MÜŞTERİ"))))</f>
        <v/>
      </c>
      <c r="D1334" s="109" t="n"/>
      <c r="E1334" s="225" t="n"/>
      <c r="F1334" s="226" t="n"/>
      <c r="G1334" s="108" t="n"/>
      <c r="H1334" s="108" t="n"/>
      <c r="I1334" s="109" t="n"/>
      <c r="J1334" s="109" t="n"/>
      <c r="K1334" s="109" t="n"/>
      <c r="L1334" s="231">
        <f>IF($E1334="","",DATE(YEAR($E1334),MONTH($E1334),1))</f>
        <v/>
      </c>
      <c r="M1334" s="113">
        <f>IF($D1334="","",IF($C1334="TANIMSIZ MÜŞTERİ","HATA",IF(OR($E1334="",$F1334&lt;=0,$G1334=""),"EKSİK",IF($E1334&gt;TODAY(),"İLERİ TARİH","UYGUN"))))</f>
        <v/>
      </c>
      <c r="N1334" s="121">
        <f>IF($C1334="","",IF($C1334="TANIMSIZ MÜŞTERİ","—",INDEX(MUSTERILER!$C$7:$C$106,MATCH($C1334,MUSTERILER!$B$7:$B$106,0))))</f>
        <v/>
      </c>
      <c r="O1334" s="6" t="n"/>
      <c r="P1334" s="6" t="n"/>
      <c r="Q1334" s="3">
        <f>IF($D1334="","",$C1334&amp;"|"&amp;COUNTIFS($C$7:$C1334,$C1334))</f>
        <v/>
      </c>
    </row>
    <row r="1335">
      <c r="A1335" s="6" t="n"/>
      <c r="B1335" s="113">
        <f>IF($D1335="","","T"&amp;TEXT(ROW()-6,"00000"))</f>
        <v/>
      </c>
      <c r="C1335" s="113">
        <f>IF($D1335="","",IFERROR(INDEX(MUSTERILER!$B$7:$B$106,MATCH($D1335,MUSTERILER!$C$7:$C$106,0)),IFERROR(INDEX(MUSTERILER!$B$7:$B$106,MATCH($D1335,MUSTERILER!$B$7:$B$106,0)),IFERROR(INDEX(MUSTERILER!$B$7:$B$106,MATCH($D1335&amp;"*",MUSTERILER!$C$7:$C$106,0)),"TANIMSIZ MÜŞTERİ"))))</f>
        <v/>
      </c>
      <c r="D1335" s="109" t="n"/>
      <c r="E1335" s="225" t="n"/>
      <c r="F1335" s="226" t="n"/>
      <c r="G1335" s="108" t="n"/>
      <c r="H1335" s="108" t="n"/>
      <c r="I1335" s="109" t="n"/>
      <c r="J1335" s="109" t="n"/>
      <c r="K1335" s="109" t="n"/>
      <c r="L1335" s="231">
        <f>IF($E1335="","",DATE(YEAR($E1335),MONTH($E1335),1))</f>
        <v/>
      </c>
      <c r="M1335" s="113">
        <f>IF($D1335="","",IF($C1335="TANIMSIZ MÜŞTERİ","HATA",IF(OR($E1335="",$F1335&lt;=0,$G1335=""),"EKSİK",IF($E1335&gt;TODAY(),"İLERİ TARİH","UYGUN"))))</f>
        <v/>
      </c>
      <c r="N1335" s="121">
        <f>IF($C1335="","",IF($C1335="TANIMSIZ MÜŞTERİ","—",INDEX(MUSTERILER!$C$7:$C$106,MATCH($C1335,MUSTERILER!$B$7:$B$106,0))))</f>
        <v/>
      </c>
      <c r="O1335" s="6" t="n"/>
      <c r="P1335" s="6" t="n"/>
      <c r="Q1335" s="3">
        <f>IF($D1335="","",$C1335&amp;"|"&amp;COUNTIFS($C$7:$C1335,$C1335))</f>
        <v/>
      </c>
    </row>
    <row r="1336">
      <c r="A1336" s="6" t="n"/>
      <c r="B1336" s="113">
        <f>IF($D1336="","","T"&amp;TEXT(ROW()-6,"00000"))</f>
        <v/>
      </c>
      <c r="C1336" s="113">
        <f>IF($D1336="","",IFERROR(INDEX(MUSTERILER!$B$7:$B$106,MATCH($D1336,MUSTERILER!$C$7:$C$106,0)),IFERROR(INDEX(MUSTERILER!$B$7:$B$106,MATCH($D1336,MUSTERILER!$B$7:$B$106,0)),IFERROR(INDEX(MUSTERILER!$B$7:$B$106,MATCH($D1336&amp;"*",MUSTERILER!$C$7:$C$106,0)),"TANIMSIZ MÜŞTERİ"))))</f>
        <v/>
      </c>
      <c r="D1336" s="109" t="n"/>
      <c r="E1336" s="225" t="n"/>
      <c r="F1336" s="226" t="n"/>
      <c r="G1336" s="108" t="n"/>
      <c r="H1336" s="108" t="n"/>
      <c r="I1336" s="109" t="n"/>
      <c r="J1336" s="109" t="n"/>
      <c r="K1336" s="109" t="n"/>
      <c r="L1336" s="231">
        <f>IF($E1336="","",DATE(YEAR($E1336),MONTH($E1336),1))</f>
        <v/>
      </c>
      <c r="M1336" s="113">
        <f>IF($D1336="","",IF($C1336="TANIMSIZ MÜŞTERİ","HATA",IF(OR($E1336="",$F1336&lt;=0,$G1336=""),"EKSİK",IF($E1336&gt;TODAY(),"İLERİ TARİH","UYGUN"))))</f>
        <v/>
      </c>
      <c r="N1336" s="121">
        <f>IF($C1336="","",IF($C1336="TANIMSIZ MÜŞTERİ","—",INDEX(MUSTERILER!$C$7:$C$106,MATCH($C1336,MUSTERILER!$B$7:$B$106,0))))</f>
        <v/>
      </c>
      <c r="O1336" s="6" t="n"/>
      <c r="P1336" s="6" t="n"/>
      <c r="Q1336" s="3">
        <f>IF($D1336="","",$C1336&amp;"|"&amp;COUNTIFS($C$7:$C1336,$C1336))</f>
        <v/>
      </c>
    </row>
    <row r="1337">
      <c r="A1337" s="6" t="n"/>
      <c r="B1337" s="113">
        <f>IF($D1337="","","T"&amp;TEXT(ROW()-6,"00000"))</f>
        <v/>
      </c>
      <c r="C1337" s="113">
        <f>IF($D1337="","",IFERROR(INDEX(MUSTERILER!$B$7:$B$106,MATCH($D1337,MUSTERILER!$C$7:$C$106,0)),IFERROR(INDEX(MUSTERILER!$B$7:$B$106,MATCH($D1337,MUSTERILER!$B$7:$B$106,0)),IFERROR(INDEX(MUSTERILER!$B$7:$B$106,MATCH($D1337&amp;"*",MUSTERILER!$C$7:$C$106,0)),"TANIMSIZ MÜŞTERİ"))))</f>
        <v/>
      </c>
      <c r="D1337" s="109" t="n"/>
      <c r="E1337" s="225" t="n"/>
      <c r="F1337" s="226" t="n"/>
      <c r="G1337" s="108" t="n"/>
      <c r="H1337" s="108" t="n"/>
      <c r="I1337" s="109" t="n"/>
      <c r="J1337" s="109" t="n"/>
      <c r="K1337" s="109" t="n"/>
      <c r="L1337" s="231">
        <f>IF($E1337="","",DATE(YEAR($E1337),MONTH($E1337),1))</f>
        <v/>
      </c>
      <c r="M1337" s="113">
        <f>IF($D1337="","",IF($C1337="TANIMSIZ MÜŞTERİ","HATA",IF(OR($E1337="",$F1337&lt;=0,$G1337=""),"EKSİK",IF($E1337&gt;TODAY(),"İLERİ TARİH","UYGUN"))))</f>
        <v/>
      </c>
      <c r="N1337" s="121">
        <f>IF($C1337="","",IF($C1337="TANIMSIZ MÜŞTERİ","—",INDEX(MUSTERILER!$C$7:$C$106,MATCH($C1337,MUSTERILER!$B$7:$B$106,0))))</f>
        <v/>
      </c>
      <c r="O1337" s="6" t="n"/>
      <c r="P1337" s="6" t="n"/>
      <c r="Q1337" s="3">
        <f>IF($D1337="","",$C1337&amp;"|"&amp;COUNTIFS($C$7:$C1337,$C1337))</f>
        <v/>
      </c>
    </row>
    <row r="1338">
      <c r="A1338" s="6" t="n"/>
      <c r="B1338" s="113">
        <f>IF($D1338="","","T"&amp;TEXT(ROW()-6,"00000"))</f>
        <v/>
      </c>
      <c r="C1338" s="113">
        <f>IF($D1338="","",IFERROR(INDEX(MUSTERILER!$B$7:$B$106,MATCH($D1338,MUSTERILER!$C$7:$C$106,0)),IFERROR(INDEX(MUSTERILER!$B$7:$B$106,MATCH($D1338,MUSTERILER!$B$7:$B$106,0)),IFERROR(INDEX(MUSTERILER!$B$7:$B$106,MATCH($D1338&amp;"*",MUSTERILER!$C$7:$C$106,0)),"TANIMSIZ MÜŞTERİ"))))</f>
        <v/>
      </c>
      <c r="D1338" s="109" t="n"/>
      <c r="E1338" s="225" t="n"/>
      <c r="F1338" s="226" t="n"/>
      <c r="G1338" s="108" t="n"/>
      <c r="H1338" s="108" t="n"/>
      <c r="I1338" s="109" t="n"/>
      <c r="J1338" s="109" t="n"/>
      <c r="K1338" s="109" t="n"/>
      <c r="L1338" s="231">
        <f>IF($E1338="","",DATE(YEAR($E1338),MONTH($E1338),1))</f>
        <v/>
      </c>
      <c r="M1338" s="113">
        <f>IF($D1338="","",IF($C1338="TANIMSIZ MÜŞTERİ","HATA",IF(OR($E1338="",$F1338&lt;=0,$G1338=""),"EKSİK",IF($E1338&gt;TODAY(),"İLERİ TARİH","UYGUN"))))</f>
        <v/>
      </c>
      <c r="N1338" s="121">
        <f>IF($C1338="","",IF($C1338="TANIMSIZ MÜŞTERİ","—",INDEX(MUSTERILER!$C$7:$C$106,MATCH($C1338,MUSTERILER!$B$7:$B$106,0))))</f>
        <v/>
      </c>
      <c r="O1338" s="6" t="n"/>
      <c r="P1338" s="6" t="n"/>
      <c r="Q1338" s="3">
        <f>IF($D1338="","",$C1338&amp;"|"&amp;COUNTIFS($C$7:$C1338,$C1338))</f>
        <v/>
      </c>
    </row>
    <row r="1339">
      <c r="A1339" s="6" t="n"/>
      <c r="B1339" s="113">
        <f>IF($D1339="","","T"&amp;TEXT(ROW()-6,"00000"))</f>
        <v/>
      </c>
      <c r="C1339" s="113">
        <f>IF($D1339="","",IFERROR(INDEX(MUSTERILER!$B$7:$B$106,MATCH($D1339,MUSTERILER!$C$7:$C$106,0)),IFERROR(INDEX(MUSTERILER!$B$7:$B$106,MATCH($D1339,MUSTERILER!$B$7:$B$106,0)),IFERROR(INDEX(MUSTERILER!$B$7:$B$106,MATCH($D1339&amp;"*",MUSTERILER!$C$7:$C$106,0)),"TANIMSIZ MÜŞTERİ"))))</f>
        <v/>
      </c>
      <c r="D1339" s="109" t="n"/>
      <c r="E1339" s="225" t="n"/>
      <c r="F1339" s="226" t="n"/>
      <c r="G1339" s="108" t="n"/>
      <c r="H1339" s="108" t="n"/>
      <c r="I1339" s="109" t="n"/>
      <c r="J1339" s="109" t="n"/>
      <c r="K1339" s="109" t="n"/>
      <c r="L1339" s="231">
        <f>IF($E1339="","",DATE(YEAR($E1339),MONTH($E1339),1))</f>
        <v/>
      </c>
      <c r="M1339" s="113">
        <f>IF($D1339="","",IF($C1339="TANIMSIZ MÜŞTERİ","HATA",IF(OR($E1339="",$F1339&lt;=0,$G1339=""),"EKSİK",IF($E1339&gt;TODAY(),"İLERİ TARİH","UYGUN"))))</f>
        <v/>
      </c>
      <c r="N1339" s="121">
        <f>IF($C1339="","",IF($C1339="TANIMSIZ MÜŞTERİ","—",INDEX(MUSTERILER!$C$7:$C$106,MATCH($C1339,MUSTERILER!$B$7:$B$106,0))))</f>
        <v/>
      </c>
      <c r="O1339" s="6" t="n"/>
      <c r="P1339" s="6" t="n"/>
      <c r="Q1339" s="3">
        <f>IF($D1339="","",$C1339&amp;"|"&amp;COUNTIFS($C$7:$C1339,$C1339))</f>
        <v/>
      </c>
    </row>
    <row r="1340">
      <c r="A1340" s="6" t="n"/>
      <c r="B1340" s="113">
        <f>IF($D1340="","","T"&amp;TEXT(ROW()-6,"00000"))</f>
        <v/>
      </c>
      <c r="C1340" s="113">
        <f>IF($D1340="","",IFERROR(INDEX(MUSTERILER!$B$7:$B$106,MATCH($D1340,MUSTERILER!$C$7:$C$106,0)),IFERROR(INDEX(MUSTERILER!$B$7:$B$106,MATCH($D1340,MUSTERILER!$B$7:$B$106,0)),IFERROR(INDEX(MUSTERILER!$B$7:$B$106,MATCH($D1340&amp;"*",MUSTERILER!$C$7:$C$106,0)),"TANIMSIZ MÜŞTERİ"))))</f>
        <v/>
      </c>
      <c r="D1340" s="109" t="n"/>
      <c r="E1340" s="225" t="n"/>
      <c r="F1340" s="226" t="n"/>
      <c r="G1340" s="108" t="n"/>
      <c r="H1340" s="108" t="n"/>
      <c r="I1340" s="109" t="n"/>
      <c r="J1340" s="109" t="n"/>
      <c r="K1340" s="109" t="n"/>
      <c r="L1340" s="231">
        <f>IF($E1340="","",DATE(YEAR($E1340),MONTH($E1340),1))</f>
        <v/>
      </c>
      <c r="M1340" s="113">
        <f>IF($D1340="","",IF($C1340="TANIMSIZ MÜŞTERİ","HATA",IF(OR($E1340="",$F1340&lt;=0,$G1340=""),"EKSİK",IF($E1340&gt;TODAY(),"İLERİ TARİH","UYGUN"))))</f>
        <v/>
      </c>
      <c r="N1340" s="121">
        <f>IF($C1340="","",IF($C1340="TANIMSIZ MÜŞTERİ","—",INDEX(MUSTERILER!$C$7:$C$106,MATCH($C1340,MUSTERILER!$B$7:$B$106,0))))</f>
        <v/>
      </c>
      <c r="O1340" s="6" t="n"/>
      <c r="P1340" s="6" t="n"/>
      <c r="Q1340" s="3">
        <f>IF($D1340="","",$C1340&amp;"|"&amp;COUNTIFS($C$7:$C1340,$C1340))</f>
        <v/>
      </c>
    </row>
    <row r="1341">
      <c r="A1341" s="6" t="n"/>
      <c r="B1341" s="113">
        <f>IF($D1341="","","T"&amp;TEXT(ROW()-6,"00000"))</f>
        <v/>
      </c>
      <c r="C1341" s="113">
        <f>IF($D1341="","",IFERROR(INDEX(MUSTERILER!$B$7:$B$106,MATCH($D1341,MUSTERILER!$C$7:$C$106,0)),IFERROR(INDEX(MUSTERILER!$B$7:$B$106,MATCH($D1341,MUSTERILER!$B$7:$B$106,0)),IFERROR(INDEX(MUSTERILER!$B$7:$B$106,MATCH($D1341&amp;"*",MUSTERILER!$C$7:$C$106,0)),"TANIMSIZ MÜŞTERİ"))))</f>
        <v/>
      </c>
      <c r="D1341" s="109" t="n"/>
      <c r="E1341" s="225" t="n"/>
      <c r="F1341" s="226" t="n"/>
      <c r="G1341" s="108" t="n"/>
      <c r="H1341" s="108" t="n"/>
      <c r="I1341" s="109" t="n"/>
      <c r="J1341" s="109" t="n"/>
      <c r="K1341" s="109" t="n"/>
      <c r="L1341" s="231">
        <f>IF($E1341="","",DATE(YEAR($E1341),MONTH($E1341),1))</f>
        <v/>
      </c>
      <c r="M1341" s="113">
        <f>IF($D1341="","",IF($C1341="TANIMSIZ MÜŞTERİ","HATA",IF(OR($E1341="",$F1341&lt;=0,$G1341=""),"EKSİK",IF($E1341&gt;TODAY(),"İLERİ TARİH","UYGUN"))))</f>
        <v/>
      </c>
      <c r="N1341" s="121">
        <f>IF($C1341="","",IF($C1341="TANIMSIZ MÜŞTERİ","—",INDEX(MUSTERILER!$C$7:$C$106,MATCH($C1341,MUSTERILER!$B$7:$B$106,0))))</f>
        <v/>
      </c>
      <c r="O1341" s="6" t="n"/>
      <c r="P1341" s="6" t="n"/>
      <c r="Q1341" s="3">
        <f>IF($D1341="","",$C1341&amp;"|"&amp;COUNTIFS($C$7:$C1341,$C1341))</f>
        <v/>
      </c>
    </row>
    <row r="1342">
      <c r="A1342" s="6" t="n"/>
      <c r="B1342" s="113">
        <f>IF($D1342="","","T"&amp;TEXT(ROW()-6,"00000"))</f>
        <v/>
      </c>
      <c r="C1342" s="113">
        <f>IF($D1342="","",IFERROR(INDEX(MUSTERILER!$B$7:$B$106,MATCH($D1342,MUSTERILER!$C$7:$C$106,0)),IFERROR(INDEX(MUSTERILER!$B$7:$B$106,MATCH($D1342,MUSTERILER!$B$7:$B$106,0)),IFERROR(INDEX(MUSTERILER!$B$7:$B$106,MATCH($D1342&amp;"*",MUSTERILER!$C$7:$C$106,0)),"TANIMSIZ MÜŞTERİ"))))</f>
        <v/>
      </c>
      <c r="D1342" s="109" t="n"/>
      <c r="E1342" s="225" t="n"/>
      <c r="F1342" s="226" t="n"/>
      <c r="G1342" s="108" t="n"/>
      <c r="H1342" s="108" t="n"/>
      <c r="I1342" s="109" t="n"/>
      <c r="J1342" s="109" t="n"/>
      <c r="K1342" s="109" t="n"/>
      <c r="L1342" s="231">
        <f>IF($E1342="","",DATE(YEAR($E1342),MONTH($E1342),1))</f>
        <v/>
      </c>
      <c r="M1342" s="113">
        <f>IF($D1342="","",IF($C1342="TANIMSIZ MÜŞTERİ","HATA",IF(OR($E1342="",$F1342&lt;=0,$G1342=""),"EKSİK",IF($E1342&gt;TODAY(),"İLERİ TARİH","UYGUN"))))</f>
        <v/>
      </c>
      <c r="N1342" s="121">
        <f>IF($C1342="","",IF($C1342="TANIMSIZ MÜŞTERİ","—",INDEX(MUSTERILER!$C$7:$C$106,MATCH($C1342,MUSTERILER!$B$7:$B$106,0))))</f>
        <v/>
      </c>
      <c r="O1342" s="6" t="n"/>
      <c r="P1342" s="6" t="n"/>
      <c r="Q1342" s="3">
        <f>IF($D1342="","",$C1342&amp;"|"&amp;COUNTIFS($C$7:$C1342,$C1342))</f>
        <v/>
      </c>
    </row>
    <row r="1343">
      <c r="A1343" s="6" t="n"/>
      <c r="B1343" s="113">
        <f>IF($D1343="","","T"&amp;TEXT(ROW()-6,"00000"))</f>
        <v/>
      </c>
      <c r="C1343" s="113">
        <f>IF($D1343="","",IFERROR(INDEX(MUSTERILER!$B$7:$B$106,MATCH($D1343,MUSTERILER!$C$7:$C$106,0)),IFERROR(INDEX(MUSTERILER!$B$7:$B$106,MATCH($D1343,MUSTERILER!$B$7:$B$106,0)),IFERROR(INDEX(MUSTERILER!$B$7:$B$106,MATCH($D1343&amp;"*",MUSTERILER!$C$7:$C$106,0)),"TANIMSIZ MÜŞTERİ"))))</f>
        <v/>
      </c>
      <c r="D1343" s="109" t="n"/>
      <c r="E1343" s="225" t="n"/>
      <c r="F1343" s="226" t="n"/>
      <c r="G1343" s="108" t="n"/>
      <c r="H1343" s="108" t="n"/>
      <c r="I1343" s="109" t="n"/>
      <c r="J1343" s="109" t="n"/>
      <c r="K1343" s="109" t="n"/>
      <c r="L1343" s="231">
        <f>IF($E1343="","",DATE(YEAR($E1343),MONTH($E1343),1))</f>
        <v/>
      </c>
      <c r="M1343" s="113">
        <f>IF($D1343="","",IF($C1343="TANIMSIZ MÜŞTERİ","HATA",IF(OR($E1343="",$F1343&lt;=0,$G1343=""),"EKSİK",IF($E1343&gt;TODAY(),"İLERİ TARİH","UYGUN"))))</f>
        <v/>
      </c>
      <c r="N1343" s="121">
        <f>IF($C1343="","",IF($C1343="TANIMSIZ MÜŞTERİ","—",INDEX(MUSTERILER!$C$7:$C$106,MATCH($C1343,MUSTERILER!$B$7:$B$106,0))))</f>
        <v/>
      </c>
      <c r="O1343" s="6" t="n"/>
      <c r="P1343" s="6" t="n"/>
      <c r="Q1343" s="3">
        <f>IF($D1343="","",$C1343&amp;"|"&amp;COUNTIFS($C$7:$C1343,$C1343))</f>
        <v/>
      </c>
    </row>
    <row r="1344">
      <c r="A1344" s="6" t="n"/>
      <c r="B1344" s="113">
        <f>IF($D1344="","","T"&amp;TEXT(ROW()-6,"00000"))</f>
        <v/>
      </c>
      <c r="C1344" s="113">
        <f>IF($D1344="","",IFERROR(INDEX(MUSTERILER!$B$7:$B$106,MATCH($D1344,MUSTERILER!$C$7:$C$106,0)),IFERROR(INDEX(MUSTERILER!$B$7:$B$106,MATCH($D1344,MUSTERILER!$B$7:$B$106,0)),IFERROR(INDEX(MUSTERILER!$B$7:$B$106,MATCH($D1344&amp;"*",MUSTERILER!$C$7:$C$106,0)),"TANIMSIZ MÜŞTERİ"))))</f>
        <v/>
      </c>
      <c r="D1344" s="109" t="n"/>
      <c r="E1344" s="225" t="n"/>
      <c r="F1344" s="226" t="n"/>
      <c r="G1344" s="108" t="n"/>
      <c r="H1344" s="108" t="n"/>
      <c r="I1344" s="109" t="n"/>
      <c r="J1344" s="109" t="n"/>
      <c r="K1344" s="109" t="n"/>
      <c r="L1344" s="231">
        <f>IF($E1344="","",DATE(YEAR($E1344),MONTH($E1344),1))</f>
        <v/>
      </c>
      <c r="M1344" s="113">
        <f>IF($D1344="","",IF($C1344="TANIMSIZ MÜŞTERİ","HATA",IF(OR($E1344="",$F1344&lt;=0,$G1344=""),"EKSİK",IF($E1344&gt;TODAY(),"İLERİ TARİH","UYGUN"))))</f>
        <v/>
      </c>
      <c r="N1344" s="121">
        <f>IF($C1344="","",IF($C1344="TANIMSIZ MÜŞTERİ","—",INDEX(MUSTERILER!$C$7:$C$106,MATCH($C1344,MUSTERILER!$B$7:$B$106,0))))</f>
        <v/>
      </c>
      <c r="O1344" s="6" t="n"/>
      <c r="P1344" s="6" t="n"/>
      <c r="Q1344" s="3">
        <f>IF($D1344="","",$C1344&amp;"|"&amp;COUNTIFS($C$7:$C1344,$C1344))</f>
        <v/>
      </c>
    </row>
    <row r="1345">
      <c r="A1345" s="6" t="n"/>
      <c r="B1345" s="113">
        <f>IF($D1345="","","T"&amp;TEXT(ROW()-6,"00000"))</f>
        <v/>
      </c>
      <c r="C1345" s="113">
        <f>IF($D1345="","",IFERROR(INDEX(MUSTERILER!$B$7:$B$106,MATCH($D1345,MUSTERILER!$C$7:$C$106,0)),IFERROR(INDEX(MUSTERILER!$B$7:$B$106,MATCH($D1345,MUSTERILER!$B$7:$B$106,0)),IFERROR(INDEX(MUSTERILER!$B$7:$B$106,MATCH($D1345&amp;"*",MUSTERILER!$C$7:$C$106,0)),"TANIMSIZ MÜŞTERİ"))))</f>
        <v/>
      </c>
      <c r="D1345" s="109" t="n"/>
      <c r="E1345" s="225" t="n"/>
      <c r="F1345" s="226" t="n"/>
      <c r="G1345" s="108" t="n"/>
      <c r="H1345" s="108" t="n"/>
      <c r="I1345" s="109" t="n"/>
      <c r="J1345" s="109" t="n"/>
      <c r="K1345" s="109" t="n"/>
      <c r="L1345" s="231">
        <f>IF($E1345="","",DATE(YEAR($E1345),MONTH($E1345),1))</f>
        <v/>
      </c>
      <c r="M1345" s="113">
        <f>IF($D1345="","",IF($C1345="TANIMSIZ MÜŞTERİ","HATA",IF(OR($E1345="",$F1345&lt;=0,$G1345=""),"EKSİK",IF($E1345&gt;TODAY(),"İLERİ TARİH","UYGUN"))))</f>
        <v/>
      </c>
      <c r="N1345" s="121">
        <f>IF($C1345="","",IF($C1345="TANIMSIZ MÜŞTERİ","—",INDEX(MUSTERILER!$C$7:$C$106,MATCH($C1345,MUSTERILER!$B$7:$B$106,0))))</f>
        <v/>
      </c>
      <c r="O1345" s="6" t="n"/>
      <c r="P1345" s="6" t="n"/>
      <c r="Q1345" s="3">
        <f>IF($D1345="","",$C1345&amp;"|"&amp;COUNTIFS($C$7:$C1345,$C1345))</f>
        <v/>
      </c>
    </row>
    <row r="1346">
      <c r="A1346" s="6" t="n"/>
      <c r="B1346" s="113">
        <f>IF($D1346="","","T"&amp;TEXT(ROW()-6,"00000"))</f>
        <v/>
      </c>
      <c r="C1346" s="113">
        <f>IF($D1346="","",IFERROR(INDEX(MUSTERILER!$B$7:$B$106,MATCH($D1346,MUSTERILER!$C$7:$C$106,0)),IFERROR(INDEX(MUSTERILER!$B$7:$B$106,MATCH($D1346,MUSTERILER!$B$7:$B$106,0)),IFERROR(INDEX(MUSTERILER!$B$7:$B$106,MATCH($D1346&amp;"*",MUSTERILER!$C$7:$C$106,0)),"TANIMSIZ MÜŞTERİ"))))</f>
        <v/>
      </c>
      <c r="D1346" s="109" t="n"/>
      <c r="E1346" s="225" t="n"/>
      <c r="F1346" s="226" t="n"/>
      <c r="G1346" s="108" t="n"/>
      <c r="H1346" s="108" t="n"/>
      <c r="I1346" s="109" t="n"/>
      <c r="J1346" s="109" t="n"/>
      <c r="K1346" s="109" t="n"/>
      <c r="L1346" s="231">
        <f>IF($E1346="","",DATE(YEAR($E1346),MONTH($E1346),1))</f>
        <v/>
      </c>
      <c r="M1346" s="113">
        <f>IF($D1346="","",IF($C1346="TANIMSIZ MÜŞTERİ","HATA",IF(OR($E1346="",$F1346&lt;=0,$G1346=""),"EKSİK",IF($E1346&gt;TODAY(),"İLERİ TARİH","UYGUN"))))</f>
        <v/>
      </c>
      <c r="N1346" s="121">
        <f>IF($C1346="","",IF($C1346="TANIMSIZ MÜŞTERİ","—",INDEX(MUSTERILER!$C$7:$C$106,MATCH($C1346,MUSTERILER!$B$7:$B$106,0))))</f>
        <v/>
      </c>
      <c r="O1346" s="6" t="n"/>
      <c r="P1346" s="6" t="n"/>
      <c r="Q1346" s="3">
        <f>IF($D1346="","",$C1346&amp;"|"&amp;COUNTIFS($C$7:$C1346,$C1346))</f>
        <v/>
      </c>
    </row>
    <row r="1347">
      <c r="A1347" s="6" t="n"/>
      <c r="B1347" s="113">
        <f>IF($D1347="","","T"&amp;TEXT(ROW()-6,"00000"))</f>
        <v/>
      </c>
      <c r="C1347" s="113">
        <f>IF($D1347="","",IFERROR(INDEX(MUSTERILER!$B$7:$B$106,MATCH($D1347,MUSTERILER!$C$7:$C$106,0)),IFERROR(INDEX(MUSTERILER!$B$7:$B$106,MATCH($D1347,MUSTERILER!$B$7:$B$106,0)),IFERROR(INDEX(MUSTERILER!$B$7:$B$106,MATCH($D1347&amp;"*",MUSTERILER!$C$7:$C$106,0)),"TANIMSIZ MÜŞTERİ"))))</f>
        <v/>
      </c>
      <c r="D1347" s="109" t="n"/>
      <c r="E1347" s="225" t="n"/>
      <c r="F1347" s="226" t="n"/>
      <c r="G1347" s="108" t="n"/>
      <c r="H1347" s="108" t="n"/>
      <c r="I1347" s="109" t="n"/>
      <c r="J1347" s="109" t="n"/>
      <c r="K1347" s="109" t="n"/>
      <c r="L1347" s="231">
        <f>IF($E1347="","",DATE(YEAR($E1347),MONTH($E1347),1))</f>
        <v/>
      </c>
      <c r="M1347" s="113">
        <f>IF($D1347="","",IF($C1347="TANIMSIZ MÜŞTERİ","HATA",IF(OR($E1347="",$F1347&lt;=0,$G1347=""),"EKSİK",IF($E1347&gt;TODAY(),"İLERİ TARİH","UYGUN"))))</f>
        <v/>
      </c>
      <c r="N1347" s="121">
        <f>IF($C1347="","",IF($C1347="TANIMSIZ MÜŞTERİ","—",INDEX(MUSTERILER!$C$7:$C$106,MATCH($C1347,MUSTERILER!$B$7:$B$106,0))))</f>
        <v/>
      </c>
      <c r="O1347" s="6" t="n"/>
      <c r="P1347" s="6" t="n"/>
      <c r="Q1347" s="3">
        <f>IF($D1347="","",$C1347&amp;"|"&amp;COUNTIFS($C$7:$C1347,$C1347))</f>
        <v/>
      </c>
    </row>
    <row r="1348">
      <c r="A1348" s="6" t="n"/>
      <c r="B1348" s="113">
        <f>IF($D1348="","","T"&amp;TEXT(ROW()-6,"00000"))</f>
        <v/>
      </c>
      <c r="C1348" s="113">
        <f>IF($D1348="","",IFERROR(INDEX(MUSTERILER!$B$7:$B$106,MATCH($D1348,MUSTERILER!$C$7:$C$106,0)),IFERROR(INDEX(MUSTERILER!$B$7:$B$106,MATCH($D1348,MUSTERILER!$B$7:$B$106,0)),IFERROR(INDEX(MUSTERILER!$B$7:$B$106,MATCH($D1348&amp;"*",MUSTERILER!$C$7:$C$106,0)),"TANIMSIZ MÜŞTERİ"))))</f>
        <v/>
      </c>
      <c r="D1348" s="109" t="n"/>
      <c r="E1348" s="225" t="n"/>
      <c r="F1348" s="226" t="n"/>
      <c r="G1348" s="108" t="n"/>
      <c r="H1348" s="108" t="n"/>
      <c r="I1348" s="109" t="n"/>
      <c r="J1348" s="109" t="n"/>
      <c r="K1348" s="109" t="n"/>
      <c r="L1348" s="231">
        <f>IF($E1348="","",DATE(YEAR($E1348),MONTH($E1348),1))</f>
        <v/>
      </c>
      <c r="M1348" s="113">
        <f>IF($D1348="","",IF($C1348="TANIMSIZ MÜŞTERİ","HATA",IF(OR($E1348="",$F1348&lt;=0,$G1348=""),"EKSİK",IF($E1348&gt;TODAY(),"İLERİ TARİH","UYGUN"))))</f>
        <v/>
      </c>
      <c r="N1348" s="121">
        <f>IF($C1348="","",IF($C1348="TANIMSIZ MÜŞTERİ","—",INDEX(MUSTERILER!$C$7:$C$106,MATCH($C1348,MUSTERILER!$B$7:$B$106,0))))</f>
        <v/>
      </c>
      <c r="O1348" s="6" t="n"/>
      <c r="P1348" s="6" t="n"/>
      <c r="Q1348" s="3">
        <f>IF($D1348="","",$C1348&amp;"|"&amp;COUNTIFS($C$7:$C1348,$C1348))</f>
        <v/>
      </c>
    </row>
    <row r="1349">
      <c r="A1349" s="6" t="n"/>
      <c r="B1349" s="113">
        <f>IF($D1349="","","T"&amp;TEXT(ROW()-6,"00000"))</f>
        <v/>
      </c>
      <c r="C1349" s="113">
        <f>IF($D1349="","",IFERROR(INDEX(MUSTERILER!$B$7:$B$106,MATCH($D1349,MUSTERILER!$C$7:$C$106,0)),IFERROR(INDEX(MUSTERILER!$B$7:$B$106,MATCH($D1349,MUSTERILER!$B$7:$B$106,0)),IFERROR(INDEX(MUSTERILER!$B$7:$B$106,MATCH($D1349&amp;"*",MUSTERILER!$C$7:$C$106,0)),"TANIMSIZ MÜŞTERİ"))))</f>
        <v/>
      </c>
      <c r="D1349" s="109" t="n"/>
      <c r="E1349" s="225" t="n"/>
      <c r="F1349" s="226" t="n"/>
      <c r="G1349" s="108" t="n"/>
      <c r="H1349" s="108" t="n"/>
      <c r="I1349" s="109" t="n"/>
      <c r="J1349" s="109" t="n"/>
      <c r="K1349" s="109" t="n"/>
      <c r="L1349" s="231">
        <f>IF($E1349="","",DATE(YEAR($E1349),MONTH($E1349),1))</f>
        <v/>
      </c>
      <c r="M1349" s="113">
        <f>IF($D1349="","",IF($C1349="TANIMSIZ MÜŞTERİ","HATA",IF(OR($E1349="",$F1349&lt;=0,$G1349=""),"EKSİK",IF($E1349&gt;TODAY(),"İLERİ TARİH","UYGUN"))))</f>
        <v/>
      </c>
      <c r="N1349" s="121">
        <f>IF($C1349="","",IF($C1349="TANIMSIZ MÜŞTERİ","—",INDEX(MUSTERILER!$C$7:$C$106,MATCH($C1349,MUSTERILER!$B$7:$B$106,0))))</f>
        <v/>
      </c>
      <c r="O1349" s="6" t="n"/>
      <c r="P1349" s="6" t="n"/>
      <c r="Q1349" s="3">
        <f>IF($D1349="","",$C1349&amp;"|"&amp;COUNTIFS($C$7:$C1349,$C1349))</f>
        <v/>
      </c>
    </row>
    <row r="1350">
      <c r="A1350" s="6" t="n"/>
      <c r="B1350" s="113">
        <f>IF($D1350="","","T"&amp;TEXT(ROW()-6,"00000"))</f>
        <v/>
      </c>
      <c r="C1350" s="113">
        <f>IF($D1350="","",IFERROR(INDEX(MUSTERILER!$B$7:$B$106,MATCH($D1350,MUSTERILER!$C$7:$C$106,0)),IFERROR(INDEX(MUSTERILER!$B$7:$B$106,MATCH($D1350,MUSTERILER!$B$7:$B$106,0)),IFERROR(INDEX(MUSTERILER!$B$7:$B$106,MATCH($D1350&amp;"*",MUSTERILER!$C$7:$C$106,0)),"TANIMSIZ MÜŞTERİ"))))</f>
        <v/>
      </c>
      <c r="D1350" s="109" t="n"/>
      <c r="E1350" s="225" t="n"/>
      <c r="F1350" s="226" t="n"/>
      <c r="G1350" s="108" t="n"/>
      <c r="H1350" s="108" t="n"/>
      <c r="I1350" s="109" t="n"/>
      <c r="J1350" s="109" t="n"/>
      <c r="K1350" s="109" t="n"/>
      <c r="L1350" s="231">
        <f>IF($E1350="","",DATE(YEAR($E1350),MONTH($E1350),1))</f>
        <v/>
      </c>
      <c r="M1350" s="113">
        <f>IF($D1350="","",IF($C1350="TANIMSIZ MÜŞTERİ","HATA",IF(OR($E1350="",$F1350&lt;=0,$G1350=""),"EKSİK",IF($E1350&gt;TODAY(),"İLERİ TARİH","UYGUN"))))</f>
        <v/>
      </c>
      <c r="N1350" s="121">
        <f>IF($C1350="","",IF($C1350="TANIMSIZ MÜŞTERİ","—",INDEX(MUSTERILER!$C$7:$C$106,MATCH($C1350,MUSTERILER!$B$7:$B$106,0))))</f>
        <v/>
      </c>
      <c r="O1350" s="6" t="n"/>
      <c r="P1350" s="6" t="n"/>
      <c r="Q1350" s="3">
        <f>IF($D1350="","",$C1350&amp;"|"&amp;COUNTIFS($C$7:$C1350,$C1350))</f>
        <v/>
      </c>
    </row>
    <row r="1351">
      <c r="A1351" s="6" t="n"/>
      <c r="B1351" s="113">
        <f>IF($D1351="","","T"&amp;TEXT(ROW()-6,"00000"))</f>
        <v/>
      </c>
      <c r="C1351" s="113">
        <f>IF($D1351="","",IFERROR(INDEX(MUSTERILER!$B$7:$B$106,MATCH($D1351,MUSTERILER!$C$7:$C$106,0)),IFERROR(INDEX(MUSTERILER!$B$7:$B$106,MATCH($D1351,MUSTERILER!$B$7:$B$106,0)),IFERROR(INDEX(MUSTERILER!$B$7:$B$106,MATCH($D1351&amp;"*",MUSTERILER!$C$7:$C$106,0)),"TANIMSIZ MÜŞTERİ"))))</f>
        <v/>
      </c>
      <c r="D1351" s="109" t="n"/>
      <c r="E1351" s="225" t="n"/>
      <c r="F1351" s="226" t="n"/>
      <c r="G1351" s="108" t="n"/>
      <c r="H1351" s="108" t="n"/>
      <c r="I1351" s="109" t="n"/>
      <c r="J1351" s="109" t="n"/>
      <c r="K1351" s="109" t="n"/>
      <c r="L1351" s="231">
        <f>IF($E1351="","",DATE(YEAR($E1351),MONTH($E1351),1))</f>
        <v/>
      </c>
      <c r="M1351" s="113">
        <f>IF($D1351="","",IF($C1351="TANIMSIZ MÜŞTERİ","HATA",IF(OR($E1351="",$F1351&lt;=0,$G1351=""),"EKSİK",IF($E1351&gt;TODAY(),"İLERİ TARİH","UYGUN"))))</f>
        <v/>
      </c>
      <c r="N1351" s="121">
        <f>IF($C1351="","",IF($C1351="TANIMSIZ MÜŞTERİ","—",INDEX(MUSTERILER!$C$7:$C$106,MATCH($C1351,MUSTERILER!$B$7:$B$106,0))))</f>
        <v/>
      </c>
      <c r="O1351" s="6" t="n"/>
      <c r="P1351" s="6" t="n"/>
      <c r="Q1351" s="3">
        <f>IF($D1351="","",$C1351&amp;"|"&amp;COUNTIFS($C$7:$C1351,$C1351))</f>
        <v/>
      </c>
    </row>
    <row r="1352">
      <c r="A1352" s="6" t="n"/>
      <c r="B1352" s="113">
        <f>IF($D1352="","","T"&amp;TEXT(ROW()-6,"00000"))</f>
        <v/>
      </c>
      <c r="C1352" s="113">
        <f>IF($D1352="","",IFERROR(INDEX(MUSTERILER!$B$7:$B$106,MATCH($D1352,MUSTERILER!$C$7:$C$106,0)),IFERROR(INDEX(MUSTERILER!$B$7:$B$106,MATCH($D1352,MUSTERILER!$B$7:$B$106,0)),IFERROR(INDEX(MUSTERILER!$B$7:$B$106,MATCH($D1352&amp;"*",MUSTERILER!$C$7:$C$106,0)),"TANIMSIZ MÜŞTERİ"))))</f>
        <v/>
      </c>
      <c r="D1352" s="109" t="n"/>
      <c r="E1352" s="225" t="n"/>
      <c r="F1352" s="226" t="n"/>
      <c r="G1352" s="108" t="n"/>
      <c r="H1352" s="108" t="n"/>
      <c r="I1352" s="109" t="n"/>
      <c r="J1352" s="109" t="n"/>
      <c r="K1352" s="109" t="n"/>
      <c r="L1352" s="231">
        <f>IF($E1352="","",DATE(YEAR($E1352),MONTH($E1352),1))</f>
        <v/>
      </c>
      <c r="M1352" s="113">
        <f>IF($D1352="","",IF($C1352="TANIMSIZ MÜŞTERİ","HATA",IF(OR($E1352="",$F1352&lt;=0,$G1352=""),"EKSİK",IF($E1352&gt;TODAY(),"İLERİ TARİH","UYGUN"))))</f>
        <v/>
      </c>
      <c r="N1352" s="121">
        <f>IF($C1352="","",IF($C1352="TANIMSIZ MÜŞTERİ","—",INDEX(MUSTERILER!$C$7:$C$106,MATCH($C1352,MUSTERILER!$B$7:$B$106,0))))</f>
        <v/>
      </c>
      <c r="O1352" s="6" t="n"/>
      <c r="P1352" s="6" t="n"/>
      <c r="Q1352" s="3">
        <f>IF($D1352="","",$C1352&amp;"|"&amp;COUNTIFS($C$7:$C1352,$C1352))</f>
        <v/>
      </c>
    </row>
    <row r="1353">
      <c r="A1353" s="6" t="n"/>
      <c r="B1353" s="113">
        <f>IF($D1353="","","T"&amp;TEXT(ROW()-6,"00000"))</f>
        <v/>
      </c>
      <c r="C1353" s="113">
        <f>IF($D1353="","",IFERROR(INDEX(MUSTERILER!$B$7:$B$106,MATCH($D1353,MUSTERILER!$C$7:$C$106,0)),IFERROR(INDEX(MUSTERILER!$B$7:$B$106,MATCH($D1353,MUSTERILER!$B$7:$B$106,0)),IFERROR(INDEX(MUSTERILER!$B$7:$B$106,MATCH($D1353&amp;"*",MUSTERILER!$C$7:$C$106,0)),"TANIMSIZ MÜŞTERİ"))))</f>
        <v/>
      </c>
      <c r="D1353" s="109" t="n"/>
      <c r="E1353" s="225" t="n"/>
      <c r="F1353" s="226" t="n"/>
      <c r="G1353" s="108" t="n"/>
      <c r="H1353" s="108" t="n"/>
      <c r="I1353" s="109" t="n"/>
      <c r="J1353" s="109" t="n"/>
      <c r="K1353" s="109" t="n"/>
      <c r="L1353" s="231">
        <f>IF($E1353="","",DATE(YEAR($E1353),MONTH($E1353),1))</f>
        <v/>
      </c>
      <c r="M1353" s="113">
        <f>IF($D1353="","",IF($C1353="TANIMSIZ MÜŞTERİ","HATA",IF(OR($E1353="",$F1353&lt;=0,$G1353=""),"EKSİK",IF($E1353&gt;TODAY(),"İLERİ TARİH","UYGUN"))))</f>
        <v/>
      </c>
      <c r="N1353" s="121">
        <f>IF($C1353="","",IF($C1353="TANIMSIZ MÜŞTERİ","—",INDEX(MUSTERILER!$C$7:$C$106,MATCH($C1353,MUSTERILER!$B$7:$B$106,0))))</f>
        <v/>
      </c>
      <c r="O1353" s="6" t="n"/>
      <c r="P1353" s="6" t="n"/>
      <c r="Q1353" s="3">
        <f>IF($D1353="","",$C1353&amp;"|"&amp;COUNTIFS($C$7:$C1353,$C1353))</f>
        <v/>
      </c>
    </row>
    <row r="1354">
      <c r="A1354" s="6" t="n"/>
      <c r="B1354" s="113">
        <f>IF($D1354="","","T"&amp;TEXT(ROW()-6,"00000"))</f>
        <v/>
      </c>
      <c r="C1354" s="113">
        <f>IF($D1354="","",IFERROR(INDEX(MUSTERILER!$B$7:$B$106,MATCH($D1354,MUSTERILER!$C$7:$C$106,0)),IFERROR(INDEX(MUSTERILER!$B$7:$B$106,MATCH($D1354,MUSTERILER!$B$7:$B$106,0)),IFERROR(INDEX(MUSTERILER!$B$7:$B$106,MATCH($D1354&amp;"*",MUSTERILER!$C$7:$C$106,0)),"TANIMSIZ MÜŞTERİ"))))</f>
        <v/>
      </c>
      <c r="D1354" s="109" t="n"/>
      <c r="E1354" s="225" t="n"/>
      <c r="F1354" s="226" t="n"/>
      <c r="G1354" s="108" t="n"/>
      <c r="H1354" s="108" t="n"/>
      <c r="I1354" s="109" t="n"/>
      <c r="J1354" s="109" t="n"/>
      <c r="K1354" s="109" t="n"/>
      <c r="L1354" s="231">
        <f>IF($E1354="","",DATE(YEAR($E1354),MONTH($E1354),1))</f>
        <v/>
      </c>
      <c r="M1354" s="113">
        <f>IF($D1354="","",IF($C1354="TANIMSIZ MÜŞTERİ","HATA",IF(OR($E1354="",$F1354&lt;=0,$G1354=""),"EKSİK",IF($E1354&gt;TODAY(),"İLERİ TARİH","UYGUN"))))</f>
        <v/>
      </c>
      <c r="N1354" s="121">
        <f>IF($C1354="","",IF($C1354="TANIMSIZ MÜŞTERİ","—",INDEX(MUSTERILER!$C$7:$C$106,MATCH($C1354,MUSTERILER!$B$7:$B$106,0))))</f>
        <v/>
      </c>
      <c r="O1354" s="6" t="n"/>
      <c r="P1354" s="6" t="n"/>
      <c r="Q1354" s="3">
        <f>IF($D1354="","",$C1354&amp;"|"&amp;COUNTIFS($C$7:$C1354,$C1354))</f>
        <v/>
      </c>
    </row>
    <row r="1355">
      <c r="A1355" s="6" t="n"/>
      <c r="B1355" s="113">
        <f>IF($D1355="","","T"&amp;TEXT(ROW()-6,"00000"))</f>
        <v/>
      </c>
      <c r="C1355" s="113">
        <f>IF($D1355="","",IFERROR(INDEX(MUSTERILER!$B$7:$B$106,MATCH($D1355,MUSTERILER!$C$7:$C$106,0)),IFERROR(INDEX(MUSTERILER!$B$7:$B$106,MATCH($D1355,MUSTERILER!$B$7:$B$106,0)),IFERROR(INDEX(MUSTERILER!$B$7:$B$106,MATCH($D1355&amp;"*",MUSTERILER!$C$7:$C$106,0)),"TANIMSIZ MÜŞTERİ"))))</f>
        <v/>
      </c>
      <c r="D1355" s="109" t="n"/>
      <c r="E1355" s="225" t="n"/>
      <c r="F1355" s="226" t="n"/>
      <c r="G1355" s="108" t="n"/>
      <c r="H1355" s="108" t="n"/>
      <c r="I1355" s="109" t="n"/>
      <c r="J1355" s="109" t="n"/>
      <c r="K1355" s="109" t="n"/>
      <c r="L1355" s="231">
        <f>IF($E1355="","",DATE(YEAR($E1355),MONTH($E1355),1))</f>
        <v/>
      </c>
      <c r="M1355" s="113">
        <f>IF($D1355="","",IF($C1355="TANIMSIZ MÜŞTERİ","HATA",IF(OR($E1355="",$F1355&lt;=0,$G1355=""),"EKSİK",IF($E1355&gt;TODAY(),"İLERİ TARİH","UYGUN"))))</f>
        <v/>
      </c>
      <c r="N1355" s="121">
        <f>IF($C1355="","",IF($C1355="TANIMSIZ MÜŞTERİ","—",INDEX(MUSTERILER!$C$7:$C$106,MATCH($C1355,MUSTERILER!$B$7:$B$106,0))))</f>
        <v/>
      </c>
      <c r="O1355" s="6" t="n"/>
      <c r="P1355" s="6" t="n"/>
      <c r="Q1355" s="3">
        <f>IF($D1355="","",$C1355&amp;"|"&amp;COUNTIFS($C$7:$C1355,$C1355))</f>
        <v/>
      </c>
    </row>
    <row r="1356">
      <c r="A1356" s="6" t="n"/>
      <c r="B1356" s="113">
        <f>IF($D1356="","","T"&amp;TEXT(ROW()-6,"00000"))</f>
        <v/>
      </c>
      <c r="C1356" s="113">
        <f>IF($D1356="","",IFERROR(INDEX(MUSTERILER!$B$7:$B$106,MATCH($D1356,MUSTERILER!$C$7:$C$106,0)),IFERROR(INDEX(MUSTERILER!$B$7:$B$106,MATCH($D1356,MUSTERILER!$B$7:$B$106,0)),IFERROR(INDEX(MUSTERILER!$B$7:$B$106,MATCH($D1356&amp;"*",MUSTERILER!$C$7:$C$106,0)),"TANIMSIZ MÜŞTERİ"))))</f>
        <v/>
      </c>
      <c r="D1356" s="109" t="n"/>
      <c r="E1356" s="225" t="n"/>
      <c r="F1356" s="226" t="n"/>
      <c r="G1356" s="108" t="n"/>
      <c r="H1356" s="108" t="n"/>
      <c r="I1356" s="109" t="n"/>
      <c r="J1356" s="109" t="n"/>
      <c r="K1356" s="109" t="n"/>
      <c r="L1356" s="231">
        <f>IF($E1356="","",DATE(YEAR($E1356),MONTH($E1356),1))</f>
        <v/>
      </c>
      <c r="M1356" s="113">
        <f>IF($D1356="","",IF($C1356="TANIMSIZ MÜŞTERİ","HATA",IF(OR($E1356="",$F1356&lt;=0,$G1356=""),"EKSİK",IF($E1356&gt;TODAY(),"İLERİ TARİH","UYGUN"))))</f>
        <v/>
      </c>
      <c r="N1356" s="121">
        <f>IF($C1356="","",IF($C1356="TANIMSIZ MÜŞTERİ","—",INDEX(MUSTERILER!$C$7:$C$106,MATCH($C1356,MUSTERILER!$B$7:$B$106,0))))</f>
        <v/>
      </c>
      <c r="O1356" s="6" t="n"/>
      <c r="P1356" s="6" t="n"/>
      <c r="Q1356" s="3">
        <f>IF($D1356="","",$C1356&amp;"|"&amp;COUNTIFS($C$7:$C1356,$C1356))</f>
        <v/>
      </c>
    </row>
    <row r="1357">
      <c r="A1357" s="6" t="n"/>
      <c r="B1357" s="113">
        <f>IF($D1357="","","T"&amp;TEXT(ROW()-6,"00000"))</f>
        <v/>
      </c>
      <c r="C1357" s="113">
        <f>IF($D1357="","",IFERROR(INDEX(MUSTERILER!$B$7:$B$106,MATCH($D1357,MUSTERILER!$C$7:$C$106,0)),IFERROR(INDEX(MUSTERILER!$B$7:$B$106,MATCH($D1357,MUSTERILER!$B$7:$B$106,0)),IFERROR(INDEX(MUSTERILER!$B$7:$B$106,MATCH($D1357&amp;"*",MUSTERILER!$C$7:$C$106,0)),"TANIMSIZ MÜŞTERİ"))))</f>
        <v/>
      </c>
      <c r="D1357" s="109" t="n"/>
      <c r="E1357" s="225" t="n"/>
      <c r="F1357" s="226" t="n"/>
      <c r="G1357" s="108" t="n"/>
      <c r="H1357" s="108" t="n"/>
      <c r="I1357" s="109" t="n"/>
      <c r="J1357" s="109" t="n"/>
      <c r="K1357" s="109" t="n"/>
      <c r="L1357" s="231">
        <f>IF($E1357="","",DATE(YEAR($E1357),MONTH($E1357),1))</f>
        <v/>
      </c>
      <c r="M1357" s="113">
        <f>IF($D1357="","",IF($C1357="TANIMSIZ MÜŞTERİ","HATA",IF(OR($E1357="",$F1357&lt;=0,$G1357=""),"EKSİK",IF($E1357&gt;TODAY(),"İLERİ TARİH","UYGUN"))))</f>
        <v/>
      </c>
      <c r="N1357" s="121">
        <f>IF($C1357="","",IF($C1357="TANIMSIZ MÜŞTERİ","—",INDEX(MUSTERILER!$C$7:$C$106,MATCH($C1357,MUSTERILER!$B$7:$B$106,0))))</f>
        <v/>
      </c>
      <c r="O1357" s="6" t="n"/>
      <c r="P1357" s="6" t="n"/>
      <c r="Q1357" s="3">
        <f>IF($D1357="","",$C1357&amp;"|"&amp;COUNTIFS($C$7:$C1357,$C1357))</f>
        <v/>
      </c>
    </row>
    <row r="1358">
      <c r="A1358" s="6" t="n"/>
      <c r="B1358" s="113">
        <f>IF($D1358="","","T"&amp;TEXT(ROW()-6,"00000"))</f>
        <v/>
      </c>
      <c r="C1358" s="113">
        <f>IF($D1358="","",IFERROR(INDEX(MUSTERILER!$B$7:$B$106,MATCH($D1358,MUSTERILER!$C$7:$C$106,0)),IFERROR(INDEX(MUSTERILER!$B$7:$B$106,MATCH($D1358,MUSTERILER!$B$7:$B$106,0)),IFERROR(INDEX(MUSTERILER!$B$7:$B$106,MATCH($D1358&amp;"*",MUSTERILER!$C$7:$C$106,0)),"TANIMSIZ MÜŞTERİ"))))</f>
        <v/>
      </c>
      <c r="D1358" s="109" t="n"/>
      <c r="E1358" s="225" t="n"/>
      <c r="F1358" s="226" t="n"/>
      <c r="G1358" s="108" t="n"/>
      <c r="H1358" s="108" t="n"/>
      <c r="I1358" s="109" t="n"/>
      <c r="J1358" s="109" t="n"/>
      <c r="K1358" s="109" t="n"/>
      <c r="L1358" s="231">
        <f>IF($E1358="","",DATE(YEAR($E1358),MONTH($E1358),1))</f>
        <v/>
      </c>
      <c r="M1358" s="113">
        <f>IF($D1358="","",IF($C1358="TANIMSIZ MÜŞTERİ","HATA",IF(OR($E1358="",$F1358&lt;=0,$G1358=""),"EKSİK",IF($E1358&gt;TODAY(),"İLERİ TARİH","UYGUN"))))</f>
        <v/>
      </c>
      <c r="N1358" s="121">
        <f>IF($C1358="","",IF($C1358="TANIMSIZ MÜŞTERİ","—",INDEX(MUSTERILER!$C$7:$C$106,MATCH($C1358,MUSTERILER!$B$7:$B$106,0))))</f>
        <v/>
      </c>
      <c r="O1358" s="6" t="n"/>
      <c r="P1358" s="6" t="n"/>
      <c r="Q1358" s="3">
        <f>IF($D1358="","",$C1358&amp;"|"&amp;COUNTIFS($C$7:$C1358,$C1358))</f>
        <v/>
      </c>
    </row>
    <row r="1359">
      <c r="A1359" s="6" t="n"/>
      <c r="B1359" s="113">
        <f>IF($D1359="","","T"&amp;TEXT(ROW()-6,"00000"))</f>
        <v/>
      </c>
      <c r="C1359" s="113">
        <f>IF($D1359="","",IFERROR(INDEX(MUSTERILER!$B$7:$B$106,MATCH($D1359,MUSTERILER!$C$7:$C$106,0)),IFERROR(INDEX(MUSTERILER!$B$7:$B$106,MATCH($D1359,MUSTERILER!$B$7:$B$106,0)),IFERROR(INDEX(MUSTERILER!$B$7:$B$106,MATCH($D1359&amp;"*",MUSTERILER!$C$7:$C$106,0)),"TANIMSIZ MÜŞTERİ"))))</f>
        <v/>
      </c>
      <c r="D1359" s="109" t="n"/>
      <c r="E1359" s="225" t="n"/>
      <c r="F1359" s="226" t="n"/>
      <c r="G1359" s="108" t="n"/>
      <c r="H1359" s="108" t="n"/>
      <c r="I1359" s="109" t="n"/>
      <c r="J1359" s="109" t="n"/>
      <c r="K1359" s="109" t="n"/>
      <c r="L1359" s="231">
        <f>IF($E1359="","",DATE(YEAR($E1359),MONTH($E1359),1))</f>
        <v/>
      </c>
      <c r="M1359" s="113">
        <f>IF($D1359="","",IF($C1359="TANIMSIZ MÜŞTERİ","HATA",IF(OR($E1359="",$F1359&lt;=0,$G1359=""),"EKSİK",IF($E1359&gt;TODAY(),"İLERİ TARİH","UYGUN"))))</f>
        <v/>
      </c>
      <c r="N1359" s="121">
        <f>IF($C1359="","",IF($C1359="TANIMSIZ MÜŞTERİ","—",INDEX(MUSTERILER!$C$7:$C$106,MATCH($C1359,MUSTERILER!$B$7:$B$106,0))))</f>
        <v/>
      </c>
      <c r="O1359" s="6" t="n"/>
      <c r="P1359" s="6" t="n"/>
      <c r="Q1359" s="3">
        <f>IF($D1359="","",$C1359&amp;"|"&amp;COUNTIFS($C$7:$C1359,$C1359))</f>
        <v/>
      </c>
    </row>
    <row r="1360">
      <c r="A1360" s="6" t="n"/>
      <c r="B1360" s="113">
        <f>IF($D1360="","","T"&amp;TEXT(ROW()-6,"00000"))</f>
        <v/>
      </c>
      <c r="C1360" s="113">
        <f>IF($D1360="","",IFERROR(INDEX(MUSTERILER!$B$7:$B$106,MATCH($D1360,MUSTERILER!$C$7:$C$106,0)),IFERROR(INDEX(MUSTERILER!$B$7:$B$106,MATCH($D1360,MUSTERILER!$B$7:$B$106,0)),IFERROR(INDEX(MUSTERILER!$B$7:$B$106,MATCH($D1360&amp;"*",MUSTERILER!$C$7:$C$106,0)),"TANIMSIZ MÜŞTERİ"))))</f>
        <v/>
      </c>
      <c r="D1360" s="109" t="n"/>
      <c r="E1360" s="225" t="n"/>
      <c r="F1360" s="226" t="n"/>
      <c r="G1360" s="108" t="n"/>
      <c r="H1360" s="108" t="n"/>
      <c r="I1360" s="109" t="n"/>
      <c r="J1360" s="109" t="n"/>
      <c r="K1360" s="109" t="n"/>
      <c r="L1360" s="231">
        <f>IF($E1360="","",DATE(YEAR($E1360),MONTH($E1360),1))</f>
        <v/>
      </c>
      <c r="M1360" s="113">
        <f>IF($D1360="","",IF($C1360="TANIMSIZ MÜŞTERİ","HATA",IF(OR($E1360="",$F1360&lt;=0,$G1360=""),"EKSİK",IF($E1360&gt;TODAY(),"İLERİ TARİH","UYGUN"))))</f>
        <v/>
      </c>
      <c r="N1360" s="121">
        <f>IF($C1360="","",IF($C1360="TANIMSIZ MÜŞTERİ","—",INDEX(MUSTERILER!$C$7:$C$106,MATCH($C1360,MUSTERILER!$B$7:$B$106,0))))</f>
        <v/>
      </c>
      <c r="O1360" s="6" t="n"/>
      <c r="P1360" s="6" t="n"/>
      <c r="Q1360" s="3">
        <f>IF($D1360="","",$C1360&amp;"|"&amp;COUNTIFS($C$7:$C1360,$C1360))</f>
        <v/>
      </c>
    </row>
    <row r="1361">
      <c r="A1361" s="6" t="n"/>
      <c r="B1361" s="113">
        <f>IF($D1361="","","T"&amp;TEXT(ROW()-6,"00000"))</f>
        <v/>
      </c>
      <c r="C1361" s="113">
        <f>IF($D1361="","",IFERROR(INDEX(MUSTERILER!$B$7:$B$106,MATCH($D1361,MUSTERILER!$C$7:$C$106,0)),IFERROR(INDEX(MUSTERILER!$B$7:$B$106,MATCH($D1361,MUSTERILER!$B$7:$B$106,0)),IFERROR(INDEX(MUSTERILER!$B$7:$B$106,MATCH($D1361&amp;"*",MUSTERILER!$C$7:$C$106,0)),"TANIMSIZ MÜŞTERİ"))))</f>
        <v/>
      </c>
      <c r="D1361" s="109" t="n"/>
      <c r="E1361" s="225" t="n"/>
      <c r="F1361" s="226" t="n"/>
      <c r="G1361" s="108" t="n"/>
      <c r="H1361" s="108" t="n"/>
      <c r="I1361" s="109" t="n"/>
      <c r="J1361" s="109" t="n"/>
      <c r="K1361" s="109" t="n"/>
      <c r="L1361" s="231">
        <f>IF($E1361="","",DATE(YEAR($E1361),MONTH($E1361),1))</f>
        <v/>
      </c>
      <c r="M1361" s="113">
        <f>IF($D1361="","",IF($C1361="TANIMSIZ MÜŞTERİ","HATA",IF(OR($E1361="",$F1361&lt;=0,$G1361=""),"EKSİK",IF($E1361&gt;TODAY(),"İLERİ TARİH","UYGUN"))))</f>
        <v/>
      </c>
      <c r="N1361" s="121">
        <f>IF($C1361="","",IF($C1361="TANIMSIZ MÜŞTERİ","—",INDEX(MUSTERILER!$C$7:$C$106,MATCH($C1361,MUSTERILER!$B$7:$B$106,0))))</f>
        <v/>
      </c>
      <c r="O1361" s="6" t="n"/>
      <c r="P1361" s="6" t="n"/>
      <c r="Q1361" s="3">
        <f>IF($D1361="","",$C1361&amp;"|"&amp;COUNTIFS($C$7:$C1361,$C1361))</f>
        <v/>
      </c>
    </row>
    <row r="1362">
      <c r="A1362" s="6" t="n"/>
      <c r="B1362" s="113">
        <f>IF($D1362="","","T"&amp;TEXT(ROW()-6,"00000"))</f>
        <v/>
      </c>
      <c r="C1362" s="113">
        <f>IF($D1362="","",IFERROR(INDEX(MUSTERILER!$B$7:$B$106,MATCH($D1362,MUSTERILER!$C$7:$C$106,0)),IFERROR(INDEX(MUSTERILER!$B$7:$B$106,MATCH($D1362,MUSTERILER!$B$7:$B$106,0)),IFERROR(INDEX(MUSTERILER!$B$7:$B$106,MATCH($D1362&amp;"*",MUSTERILER!$C$7:$C$106,0)),"TANIMSIZ MÜŞTERİ"))))</f>
        <v/>
      </c>
      <c r="D1362" s="109" t="n"/>
      <c r="E1362" s="225" t="n"/>
      <c r="F1362" s="226" t="n"/>
      <c r="G1362" s="108" t="n"/>
      <c r="H1362" s="108" t="n"/>
      <c r="I1362" s="109" t="n"/>
      <c r="J1362" s="109" t="n"/>
      <c r="K1362" s="109" t="n"/>
      <c r="L1362" s="231">
        <f>IF($E1362="","",DATE(YEAR($E1362),MONTH($E1362),1))</f>
        <v/>
      </c>
      <c r="M1362" s="113">
        <f>IF($D1362="","",IF($C1362="TANIMSIZ MÜŞTERİ","HATA",IF(OR($E1362="",$F1362&lt;=0,$G1362=""),"EKSİK",IF($E1362&gt;TODAY(),"İLERİ TARİH","UYGUN"))))</f>
        <v/>
      </c>
      <c r="N1362" s="121">
        <f>IF($C1362="","",IF($C1362="TANIMSIZ MÜŞTERİ","—",INDEX(MUSTERILER!$C$7:$C$106,MATCH($C1362,MUSTERILER!$B$7:$B$106,0))))</f>
        <v/>
      </c>
      <c r="O1362" s="6" t="n"/>
      <c r="P1362" s="6" t="n"/>
      <c r="Q1362" s="3">
        <f>IF($D1362="","",$C1362&amp;"|"&amp;COUNTIFS($C$7:$C1362,$C1362))</f>
        <v/>
      </c>
    </row>
    <row r="1363">
      <c r="A1363" s="6" t="n"/>
      <c r="B1363" s="113">
        <f>IF($D1363="","","T"&amp;TEXT(ROW()-6,"00000"))</f>
        <v/>
      </c>
      <c r="C1363" s="113">
        <f>IF($D1363="","",IFERROR(INDEX(MUSTERILER!$B$7:$B$106,MATCH($D1363,MUSTERILER!$C$7:$C$106,0)),IFERROR(INDEX(MUSTERILER!$B$7:$B$106,MATCH($D1363,MUSTERILER!$B$7:$B$106,0)),IFERROR(INDEX(MUSTERILER!$B$7:$B$106,MATCH($D1363&amp;"*",MUSTERILER!$C$7:$C$106,0)),"TANIMSIZ MÜŞTERİ"))))</f>
        <v/>
      </c>
      <c r="D1363" s="109" t="n"/>
      <c r="E1363" s="225" t="n"/>
      <c r="F1363" s="226" t="n"/>
      <c r="G1363" s="108" t="n"/>
      <c r="H1363" s="108" t="n"/>
      <c r="I1363" s="109" t="n"/>
      <c r="J1363" s="109" t="n"/>
      <c r="K1363" s="109" t="n"/>
      <c r="L1363" s="231">
        <f>IF($E1363="","",DATE(YEAR($E1363),MONTH($E1363),1))</f>
        <v/>
      </c>
      <c r="M1363" s="113">
        <f>IF($D1363="","",IF($C1363="TANIMSIZ MÜŞTERİ","HATA",IF(OR($E1363="",$F1363&lt;=0,$G1363=""),"EKSİK",IF($E1363&gt;TODAY(),"İLERİ TARİH","UYGUN"))))</f>
        <v/>
      </c>
      <c r="N1363" s="121">
        <f>IF($C1363="","",IF($C1363="TANIMSIZ MÜŞTERİ","—",INDEX(MUSTERILER!$C$7:$C$106,MATCH($C1363,MUSTERILER!$B$7:$B$106,0))))</f>
        <v/>
      </c>
      <c r="O1363" s="6" t="n"/>
      <c r="P1363" s="6" t="n"/>
      <c r="Q1363" s="3">
        <f>IF($D1363="","",$C1363&amp;"|"&amp;COUNTIFS($C$7:$C1363,$C1363))</f>
        <v/>
      </c>
    </row>
    <row r="1364">
      <c r="A1364" s="6" t="n"/>
      <c r="B1364" s="113">
        <f>IF($D1364="","","T"&amp;TEXT(ROW()-6,"00000"))</f>
        <v/>
      </c>
      <c r="C1364" s="113">
        <f>IF($D1364="","",IFERROR(INDEX(MUSTERILER!$B$7:$B$106,MATCH($D1364,MUSTERILER!$C$7:$C$106,0)),IFERROR(INDEX(MUSTERILER!$B$7:$B$106,MATCH($D1364,MUSTERILER!$B$7:$B$106,0)),IFERROR(INDEX(MUSTERILER!$B$7:$B$106,MATCH($D1364&amp;"*",MUSTERILER!$C$7:$C$106,0)),"TANIMSIZ MÜŞTERİ"))))</f>
        <v/>
      </c>
      <c r="D1364" s="109" t="n"/>
      <c r="E1364" s="225" t="n"/>
      <c r="F1364" s="226" t="n"/>
      <c r="G1364" s="108" t="n"/>
      <c r="H1364" s="108" t="n"/>
      <c r="I1364" s="109" t="n"/>
      <c r="J1364" s="109" t="n"/>
      <c r="K1364" s="109" t="n"/>
      <c r="L1364" s="231">
        <f>IF($E1364="","",DATE(YEAR($E1364),MONTH($E1364),1))</f>
        <v/>
      </c>
      <c r="M1364" s="113">
        <f>IF($D1364="","",IF($C1364="TANIMSIZ MÜŞTERİ","HATA",IF(OR($E1364="",$F1364&lt;=0,$G1364=""),"EKSİK",IF($E1364&gt;TODAY(),"İLERİ TARİH","UYGUN"))))</f>
        <v/>
      </c>
      <c r="N1364" s="121">
        <f>IF($C1364="","",IF($C1364="TANIMSIZ MÜŞTERİ","—",INDEX(MUSTERILER!$C$7:$C$106,MATCH($C1364,MUSTERILER!$B$7:$B$106,0))))</f>
        <v/>
      </c>
      <c r="O1364" s="6" t="n"/>
      <c r="P1364" s="6" t="n"/>
      <c r="Q1364" s="3">
        <f>IF($D1364="","",$C1364&amp;"|"&amp;COUNTIFS($C$7:$C1364,$C1364))</f>
        <v/>
      </c>
    </row>
    <row r="1365">
      <c r="A1365" s="6" t="n"/>
      <c r="B1365" s="113">
        <f>IF($D1365="","","T"&amp;TEXT(ROW()-6,"00000"))</f>
        <v/>
      </c>
      <c r="C1365" s="113">
        <f>IF($D1365="","",IFERROR(INDEX(MUSTERILER!$B$7:$B$106,MATCH($D1365,MUSTERILER!$C$7:$C$106,0)),IFERROR(INDEX(MUSTERILER!$B$7:$B$106,MATCH($D1365,MUSTERILER!$B$7:$B$106,0)),IFERROR(INDEX(MUSTERILER!$B$7:$B$106,MATCH($D1365&amp;"*",MUSTERILER!$C$7:$C$106,0)),"TANIMSIZ MÜŞTERİ"))))</f>
        <v/>
      </c>
      <c r="D1365" s="109" t="n"/>
      <c r="E1365" s="225" t="n"/>
      <c r="F1365" s="226" t="n"/>
      <c r="G1365" s="108" t="n"/>
      <c r="H1365" s="108" t="n"/>
      <c r="I1365" s="109" t="n"/>
      <c r="J1365" s="109" t="n"/>
      <c r="K1365" s="109" t="n"/>
      <c r="L1365" s="231">
        <f>IF($E1365="","",DATE(YEAR($E1365),MONTH($E1365),1))</f>
        <v/>
      </c>
      <c r="M1365" s="113">
        <f>IF($D1365="","",IF($C1365="TANIMSIZ MÜŞTERİ","HATA",IF(OR($E1365="",$F1365&lt;=0,$G1365=""),"EKSİK",IF($E1365&gt;TODAY(),"İLERİ TARİH","UYGUN"))))</f>
        <v/>
      </c>
      <c r="N1365" s="121">
        <f>IF($C1365="","",IF($C1365="TANIMSIZ MÜŞTERİ","—",INDEX(MUSTERILER!$C$7:$C$106,MATCH($C1365,MUSTERILER!$B$7:$B$106,0))))</f>
        <v/>
      </c>
      <c r="O1365" s="6" t="n"/>
      <c r="P1365" s="6" t="n"/>
      <c r="Q1365" s="3">
        <f>IF($D1365="","",$C1365&amp;"|"&amp;COUNTIFS($C$7:$C1365,$C1365))</f>
        <v/>
      </c>
    </row>
    <row r="1366">
      <c r="A1366" s="6" t="n"/>
      <c r="B1366" s="113">
        <f>IF($D1366="","","T"&amp;TEXT(ROW()-6,"00000"))</f>
        <v/>
      </c>
      <c r="C1366" s="113">
        <f>IF($D1366="","",IFERROR(INDEX(MUSTERILER!$B$7:$B$106,MATCH($D1366,MUSTERILER!$C$7:$C$106,0)),IFERROR(INDEX(MUSTERILER!$B$7:$B$106,MATCH($D1366,MUSTERILER!$B$7:$B$106,0)),IFERROR(INDEX(MUSTERILER!$B$7:$B$106,MATCH($D1366&amp;"*",MUSTERILER!$C$7:$C$106,0)),"TANIMSIZ MÜŞTERİ"))))</f>
        <v/>
      </c>
      <c r="D1366" s="109" t="n"/>
      <c r="E1366" s="225" t="n"/>
      <c r="F1366" s="226" t="n"/>
      <c r="G1366" s="108" t="n"/>
      <c r="H1366" s="108" t="n"/>
      <c r="I1366" s="109" t="n"/>
      <c r="J1366" s="109" t="n"/>
      <c r="K1366" s="109" t="n"/>
      <c r="L1366" s="231">
        <f>IF($E1366="","",DATE(YEAR($E1366),MONTH($E1366),1))</f>
        <v/>
      </c>
      <c r="M1366" s="113">
        <f>IF($D1366="","",IF($C1366="TANIMSIZ MÜŞTERİ","HATA",IF(OR($E1366="",$F1366&lt;=0,$G1366=""),"EKSİK",IF($E1366&gt;TODAY(),"İLERİ TARİH","UYGUN"))))</f>
        <v/>
      </c>
      <c r="N1366" s="121">
        <f>IF($C1366="","",IF($C1366="TANIMSIZ MÜŞTERİ","—",INDEX(MUSTERILER!$C$7:$C$106,MATCH($C1366,MUSTERILER!$B$7:$B$106,0))))</f>
        <v/>
      </c>
      <c r="O1366" s="6" t="n"/>
      <c r="P1366" s="6" t="n"/>
      <c r="Q1366" s="3">
        <f>IF($D1366="","",$C1366&amp;"|"&amp;COUNTIFS($C$7:$C1366,$C1366))</f>
        <v/>
      </c>
    </row>
    <row r="1367">
      <c r="A1367" s="6" t="n"/>
      <c r="B1367" s="113">
        <f>IF($D1367="","","T"&amp;TEXT(ROW()-6,"00000"))</f>
        <v/>
      </c>
      <c r="C1367" s="113">
        <f>IF($D1367="","",IFERROR(INDEX(MUSTERILER!$B$7:$B$106,MATCH($D1367,MUSTERILER!$C$7:$C$106,0)),IFERROR(INDEX(MUSTERILER!$B$7:$B$106,MATCH($D1367,MUSTERILER!$B$7:$B$106,0)),IFERROR(INDEX(MUSTERILER!$B$7:$B$106,MATCH($D1367&amp;"*",MUSTERILER!$C$7:$C$106,0)),"TANIMSIZ MÜŞTERİ"))))</f>
        <v/>
      </c>
      <c r="D1367" s="109" t="n"/>
      <c r="E1367" s="225" t="n"/>
      <c r="F1367" s="226" t="n"/>
      <c r="G1367" s="108" t="n"/>
      <c r="H1367" s="108" t="n"/>
      <c r="I1367" s="109" t="n"/>
      <c r="J1367" s="109" t="n"/>
      <c r="K1367" s="109" t="n"/>
      <c r="L1367" s="231">
        <f>IF($E1367="","",DATE(YEAR($E1367),MONTH($E1367),1))</f>
        <v/>
      </c>
      <c r="M1367" s="113">
        <f>IF($D1367="","",IF($C1367="TANIMSIZ MÜŞTERİ","HATA",IF(OR($E1367="",$F1367&lt;=0,$G1367=""),"EKSİK",IF($E1367&gt;TODAY(),"İLERİ TARİH","UYGUN"))))</f>
        <v/>
      </c>
      <c r="N1367" s="121">
        <f>IF($C1367="","",IF($C1367="TANIMSIZ MÜŞTERİ","—",INDEX(MUSTERILER!$C$7:$C$106,MATCH($C1367,MUSTERILER!$B$7:$B$106,0))))</f>
        <v/>
      </c>
      <c r="O1367" s="6" t="n"/>
      <c r="P1367" s="6" t="n"/>
      <c r="Q1367" s="3">
        <f>IF($D1367="","",$C1367&amp;"|"&amp;COUNTIFS($C$7:$C1367,$C1367))</f>
        <v/>
      </c>
    </row>
    <row r="1368">
      <c r="A1368" s="6" t="n"/>
      <c r="B1368" s="113">
        <f>IF($D1368="","","T"&amp;TEXT(ROW()-6,"00000"))</f>
        <v/>
      </c>
      <c r="C1368" s="113">
        <f>IF($D1368="","",IFERROR(INDEX(MUSTERILER!$B$7:$B$106,MATCH($D1368,MUSTERILER!$C$7:$C$106,0)),IFERROR(INDEX(MUSTERILER!$B$7:$B$106,MATCH($D1368,MUSTERILER!$B$7:$B$106,0)),IFERROR(INDEX(MUSTERILER!$B$7:$B$106,MATCH($D1368&amp;"*",MUSTERILER!$C$7:$C$106,0)),"TANIMSIZ MÜŞTERİ"))))</f>
        <v/>
      </c>
      <c r="D1368" s="109" t="n"/>
      <c r="E1368" s="225" t="n"/>
      <c r="F1368" s="226" t="n"/>
      <c r="G1368" s="108" t="n"/>
      <c r="H1368" s="108" t="n"/>
      <c r="I1368" s="109" t="n"/>
      <c r="J1368" s="109" t="n"/>
      <c r="K1368" s="109" t="n"/>
      <c r="L1368" s="231">
        <f>IF($E1368="","",DATE(YEAR($E1368),MONTH($E1368),1))</f>
        <v/>
      </c>
      <c r="M1368" s="113">
        <f>IF($D1368="","",IF($C1368="TANIMSIZ MÜŞTERİ","HATA",IF(OR($E1368="",$F1368&lt;=0,$G1368=""),"EKSİK",IF($E1368&gt;TODAY(),"İLERİ TARİH","UYGUN"))))</f>
        <v/>
      </c>
      <c r="N1368" s="121">
        <f>IF($C1368="","",IF($C1368="TANIMSIZ MÜŞTERİ","—",INDEX(MUSTERILER!$C$7:$C$106,MATCH($C1368,MUSTERILER!$B$7:$B$106,0))))</f>
        <v/>
      </c>
      <c r="O1368" s="6" t="n"/>
      <c r="P1368" s="6" t="n"/>
      <c r="Q1368" s="3">
        <f>IF($D1368="","",$C1368&amp;"|"&amp;COUNTIFS($C$7:$C1368,$C1368))</f>
        <v/>
      </c>
    </row>
    <row r="1369">
      <c r="A1369" s="6" t="n"/>
      <c r="B1369" s="113">
        <f>IF($D1369="","","T"&amp;TEXT(ROW()-6,"00000"))</f>
        <v/>
      </c>
      <c r="C1369" s="113">
        <f>IF($D1369="","",IFERROR(INDEX(MUSTERILER!$B$7:$B$106,MATCH($D1369,MUSTERILER!$C$7:$C$106,0)),IFERROR(INDEX(MUSTERILER!$B$7:$B$106,MATCH($D1369,MUSTERILER!$B$7:$B$106,0)),IFERROR(INDEX(MUSTERILER!$B$7:$B$106,MATCH($D1369&amp;"*",MUSTERILER!$C$7:$C$106,0)),"TANIMSIZ MÜŞTERİ"))))</f>
        <v/>
      </c>
      <c r="D1369" s="109" t="n"/>
      <c r="E1369" s="225" t="n"/>
      <c r="F1369" s="226" t="n"/>
      <c r="G1369" s="108" t="n"/>
      <c r="H1369" s="108" t="n"/>
      <c r="I1369" s="109" t="n"/>
      <c r="J1369" s="109" t="n"/>
      <c r="K1369" s="109" t="n"/>
      <c r="L1369" s="231">
        <f>IF($E1369="","",DATE(YEAR($E1369),MONTH($E1369),1))</f>
        <v/>
      </c>
      <c r="M1369" s="113">
        <f>IF($D1369="","",IF($C1369="TANIMSIZ MÜŞTERİ","HATA",IF(OR($E1369="",$F1369&lt;=0,$G1369=""),"EKSİK",IF($E1369&gt;TODAY(),"İLERİ TARİH","UYGUN"))))</f>
        <v/>
      </c>
      <c r="N1369" s="121">
        <f>IF($C1369="","",IF($C1369="TANIMSIZ MÜŞTERİ","—",INDEX(MUSTERILER!$C$7:$C$106,MATCH($C1369,MUSTERILER!$B$7:$B$106,0))))</f>
        <v/>
      </c>
      <c r="O1369" s="6" t="n"/>
      <c r="P1369" s="6" t="n"/>
      <c r="Q1369" s="3">
        <f>IF($D1369="","",$C1369&amp;"|"&amp;COUNTIFS($C$7:$C1369,$C1369))</f>
        <v/>
      </c>
    </row>
    <row r="1370">
      <c r="A1370" s="6" t="n"/>
      <c r="B1370" s="113">
        <f>IF($D1370="","","T"&amp;TEXT(ROW()-6,"00000"))</f>
        <v/>
      </c>
      <c r="C1370" s="113">
        <f>IF($D1370="","",IFERROR(INDEX(MUSTERILER!$B$7:$B$106,MATCH($D1370,MUSTERILER!$C$7:$C$106,0)),IFERROR(INDEX(MUSTERILER!$B$7:$B$106,MATCH($D1370,MUSTERILER!$B$7:$B$106,0)),IFERROR(INDEX(MUSTERILER!$B$7:$B$106,MATCH($D1370&amp;"*",MUSTERILER!$C$7:$C$106,0)),"TANIMSIZ MÜŞTERİ"))))</f>
        <v/>
      </c>
      <c r="D1370" s="109" t="n"/>
      <c r="E1370" s="225" t="n"/>
      <c r="F1370" s="226" t="n"/>
      <c r="G1370" s="108" t="n"/>
      <c r="H1370" s="108" t="n"/>
      <c r="I1370" s="109" t="n"/>
      <c r="J1370" s="109" t="n"/>
      <c r="K1370" s="109" t="n"/>
      <c r="L1370" s="231">
        <f>IF($E1370="","",DATE(YEAR($E1370),MONTH($E1370),1))</f>
        <v/>
      </c>
      <c r="M1370" s="113">
        <f>IF($D1370="","",IF($C1370="TANIMSIZ MÜŞTERİ","HATA",IF(OR($E1370="",$F1370&lt;=0,$G1370=""),"EKSİK",IF($E1370&gt;TODAY(),"İLERİ TARİH","UYGUN"))))</f>
        <v/>
      </c>
      <c r="N1370" s="121">
        <f>IF($C1370="","",IF($C1370="TANIMSIZ MÜŞTERİ","—",INDEX(MUSTERILER!$C$7:$C$106,MATCH($C1370,MUSTERILER!$B$7:$B$106,0))))</f>
        <v/>
      </c>
      <c r="O1370" s="6" t="n"/>
      <c r="P1370" s="6" t="n"/>
      <c r="Q1370" s="3">
        <f>IF($D1370="","",$C1370&amp;"|"&amp;COUNTIFS($C$7:$C1370,$C1370))</f>
        <v/>
      </c>
    </row>
    <row r="1371">
      <c r="A1371" s="6" t="n"/>
      <c r="B1371" s="113">
        <f>IF($D1371="","","T"&amp;TEXT(ROW()-6,"00000"))</f>
        <v/>
      </c>
      <c r="C1371" s="113">
        <f>IF($D1371="","",IFERROR(INDEX(MUSTERILER!$B$7:$B$106,MATCH($D1371,MUSTERILER!$C$7:$C$106,0)),IFERROR(INDEX(MUSTERILER!$B$7:$B$106,MATCH($D1371,MUSTERILER!$B$7:$B$106,0)),IFERROR(INDEX(MUSTERILER!$B$7:$B$106,MATCH($D1371&amp;"*",MUSTERILER!$C$7:$C$106,0)),"TANIMSIZ MÜŞTERİ"))))</f>
        <v/>
      </c>
      <c r="D1371" s="109" t="n"/>
      <c r="E1371" s="225" t="n"/>
      <c r="F1371" s="226" t="n"/>
      <c r="G1371" s="108" t="n"/>
      <c r="H1371" s="108" t="n"/>
      <c r="I1371" s="109" t="n"/>
      <c r="J1371" s="109" t="n"/>
      <c r="K1371" s="109" t="n"/>
      <c r="L1371" s="231">
        <f>IF($E1371="","",DATE(YEAR($E1371),MONTH($E1371),1))</f>
        <v/>
      </c>
      <c r="M1371" s="113">
        <f>IF($D1371="","",IF($C1371="TANIMSIZ MÜŞTERİ","HATA",IF(OR($E1371="",$F1371&lt;=0,$G1371=""),"EKSİK",IF($E1371&gt;TODAY(),"İLERİ TARİH","UYGUN"))))</f>
        <v/>
      </c>
      <c r="N1371" s="121">
        <f>IF($C1371="","",IF($C1371="TANIMSIZ MÜŞTERİ","—",INDEX(MUSTERILER!$C$7:$C$106,MATCH($C1371,MUSTERILER!$B$7:$B$106,0))))</f>
        <v/>
      </c>
      <c r="O1371" s="6" t="n"/>
      <c r="P1371" s="6" t="n"/>
      <c r="Q1371" s="3">
        <f>IF($D1371="","",$C1371&amp;"|"&amp;COUNTIFS($C$7:$C1371,$C1371))</f>
        <v/>
      </c>
    </row>
    <row r="1372">
      <c r="A1372" s="6" t="n"/>
      <c r="B1372" s="113">
        <f>IF($D1372="","","T"&amp;TEXT(ROW()-6,"00000"))</f>
        <v/>
      </c>
      <c r="C1372" s="113">
        <f>IF($D1372="","",IFERROR(INDEX(MUSTERILER!$B$7:$B$106,MATCH($D1372,MUSTERILER!$C$7:$C$106,0)),IFERROR(INDEX(MUSTERILER!$B$7:$B$106,MATCH($D1372,MUSTERILER!$B$7:$B$106,0)),IFERROR(INDEX(MUSTERILER!$B$7:$B$106,MATCH($D1372&amp;"*",MUSTERILER!$C$7:$C$106,0)),"TANIMSIZ MÜŞTERİ"))))</f>
        <v/>
      </c>
      <c r="D1372" s="109" t="n"/>
      <c r="E1372" s="225" t="n"/>
      <c r="F1372" s="226" t="n"/>
      <c r="G1372" s="108" t="n"/>
      <c r="H1372" s="108" t="n"/>
      <c r="I1372" s="109" t="n"/>
      <c r="J1372" s="109" t="n"/>
      <c r="K1372" s="109" t="n"/>
      <c r="L1372" s="231">
        <f>IF($E1372="","",DATE(YEAR($E1372),MONTH($E1372),1))</f>
        <v/>
      </c>
      <c r="M1372" s="113">
        <f>IF($D1372="","",IF($C1372="TANIMSIZ MÜŞTERİ","HATA",IF(OR($E1372="",$F1372&lt;=0,$G1372=""),"EKSİK",IF($E1372&gt;TODAY(),"İLERİ TARİH","UYGUN"))))</f>
        <v/>
      </c>
      <c r="N1372" s="121">
        <f>IF($C1372="","",IF($C1372="TANIMSIZ MÜŞTERİ","—",INDEX(MUSTERILER!$C$7:$C$106,MATCH($C1372,MUSTERILER!$B$7:$B$106,0))))</f>
        <v/>
      </c>
      <c r="O1372" s="6" t="n"/>
      <c r="P1372" s="6" t="n"/>
      <c r="Q1372" s="3">
        <f>IF($D1372="","",$C1372&amp;"|"&amp;COUNTIFS($C$7:$C1372,$C1372))</f>
        <v/>
      </c>
    </row>
    <row r="1373">
      <c r="A1373" s="6" t="n"/>
      <c r="B1373" s="113">
        <f>IF($D1373="","","T"&amp;TEXT(ROW()-6,"00000"))</f>
        <v/>
      </c>
      <c r="C1373" s="113">
        <f>IF($D1373="","",IFERROR(INDEX(MUSTERILER!$B$7:$B$106,MATCH($D1373,MUSTERILER!$C$7:$C$106,0)),IFERROR(INDEX(MUSTERILER!$B$7:$B$106,MATCH($D1373,MUSTERILER!$B$7:$B$106,0)),IFERROR(INDEX(MUSTERILER!$B$7:$B$106,MATCH($D1373&amp;"*",MUSTERILER!$C$7:$C$106,0)),"TANIMSIZ MÜŞTERİ"))))</f>
        <v/>
      </c>
      <c r="D1373" s="109" t="n"/>
      <c r="E1373" s="225" t="n"/>
      <c r="F1373" s="226" t="n"/>
      <c r="G1373" s="108" t="n"/>
      <c r="H1373" s="108" t="n"/>
      <c r="I1373" s="109" t="n"/>
      <c r="J1373" s="109" t="n"/>
      <c r="K1373" s="109" t="n"/>
      <c r="L1373" s="231">
        <f>IF($E1373="","",DATE(YEAR($E1373),MONTH($E1373),1))</f>
        <v/>
      </c>
      <c r="M1373" s="113">
        <f>IF($D1373="","",IF($C1373="TANIMSIZ MÜŞTERİ","HATA",IF(OR($E1373="",$F1373&lt;=0,$G1373=""),"EKSİK",IF($E1373&gt;TODAY(),"İLERİ TARİH","UYGUN"))))</f>
        <v/>
      </c>
      <c r="N1373" s="121">
        <f>IF($C1373="","",IF($C1373="TANIMSIZ MÜŞTERİ","—",INDEX(MUSTERILER!$C$7:$C$106,MATCH($C1373,MUSTERILER!$B$7:$B$106,0))))</f>
        <v/>
      </c>
      <c r="O1373" s="6" t="n"/>
      <c r="P1373" s="6" t="n"/>
      <c r="Q1373" s="3">
        <f>IF($D1373="","",$C1373&amp;"|"&amp;COUNTIFS($C$7:$C1373,$C1373))</f>
        <v/>
      </c>
    </row>
    <row r="1374">
      <c r="A1374" s="6" t="n"/>
      <c r="B1374" s="113">
        <f>IF($D1374="","","T"&amp;TEXT(ROW()-6,"00000"))</f>
        <v/>
      </c>
      <c r="C1374" s="113">
        <f>IF($D1374="","",IFERROR(INDEX(MUSTERILER!$B$7:$B$106,MATCH($D1374,MUSTERILER!$C$7:$C$106,0)),IFERROR(INDEX(MUSTERILER!$B$7:$B$106,MATCH($D1374,MUSTERILER!$B$7:$B$106,0)),IFERROR(INDEX(MUSTERILER!$B$7:$B$106,MATCH($D1374&amp;"*",MUSTERILER!$C$7:$C$106,0)),"TANIMSIZ MÜŞTERİ"))))</f>
        <v/>
      </c>
      <c r="D1374" s="109" t="n"/>
      <c r="E1374" s="225" t="n"/>
      <c r="F1374" s="226" t="n"/>
      <c r="G1374" s="108" t="n"/>
      <c r="H1374" s="108" t="n"/>
      <c r="I1374" s="109" t="n"/>
      <c r="J1374" s="109" t="n"/>
      <c r="K1374" s="109" t="n"/>
      <c r="L1374" s="231">
        <f>IF($E1374="","",DATE(YEAR($E1374),MONTH($E1374),1))</f>
        <v/>
      </c>
      <c r="M1374" s="113">
        <f>IF($D1374="","",IF($C1374="TANIMSIZ MÜŞTERİ","HATA",IF(OR($E1374="",$F1374&lt;=0,$G1374=""),"EKSİK",IF($E1374&gt;TODAY(),"İLERİ TARİH","UYGUN"))))</f>
        <v/>
      </c>
      <c r="N1374" s="121">
        <f>IF($C1374="","",IF($C1374="TANIMSIZ MÜŞTERİ","—",INDEX(MUSTERILER!$C$7:$C$106,MATCH($C1374,MUSTERILER!$B$7:$B$106,0))))</f>
        <v/>
      </c>
      <c r="O1374" s="6" t="n"/>
      <c r="P1374" s="6" t="n"/>
      <c r="Q1374" s="3">
        <f>IF($D1374="","",$C1374&amp;"|"&amp;COUNTIFS($C$7:$C1374,$C1374))</f>
        <v/>
      </c>
    </row>
    <row r="1375">
      <c r="A1375" s="6" t="n"/>
      <c r="B1375" s="113">
        <f>IF($D1375="","","T"&amp;TEXT(ROW()-6,"00000"))</f>
        <v/>
      </c>
      <c r="C1375" s="113">
        <f>IF($D1375="","",IFERROR(INDEX(MUSTERILER!$B$7:$B$106,MATCH($D1375,MUSTERILER!$C$7:$C$106,0)),IFERROR(INDEX(MUSTERILER!$B$7:$B$106,MATCH($D1375,MUSTERILER!$B$7:$B$106,0)),IFERROR(INDEX(MUSTERILER!$B$7:$B$106,MATCH($D1375&amp;"*",MUSTERILER!$C$7:$C$106,0)),"TANIMSIZ MÜŞTERİ"))))</f>
        <v/>
      </c>
      <c r="D1375" s="109" t="n"/>
      <c r="E1375" s="225" t="n"/>
      <c r="F1375" s="226" t="n"/>
      <c r="G1375" s="108" t="n"/>
      <c r="H1375" s="108" t="n"/>
      <c r="I1375" s="109" t="n"/>
      <c r="J1375" s="109" t="n"/>
      <c r="K1375" s="109" t="n"/>
      <c r="L1375" s="231">
        <f>IF($E1375="","",DATE(YEAR($E1375),MONTH($E1375),1))</f>
        <v/>
      </c>
      <c r="M1375" s="113">
        <f>IF($D1375="","",IF($C1375="TANIMSIZ MÜŞTERİ","HATA",IF(OR($E1375="",$F1375&lt;=0,$G1375=""),"EKSİK",IF($E1375&gt;TODAY(),"İLERİ TARİH","UYGUN"))))</f>
        <v/>
      </c>
      <c r="N1375" s="121">
        <f>IF($C1375="","",IF($C1375="TANIMSIZ MÜŞTERİ","—",INDEX(MUSTERILER!$C$7:$C$106,MATCH($C1375,MUSTERILER!$B$7:$B$106,0))))</f>
        <v/>
      </c>
      <c r="O1375" s="6" t="n"/>
      <c r="P1375" s="6" t="n"/>
      <c r="Q1375" s="3">
        <f>IF($D1375="","",$C1375&amp;"|"&amp;COUNTIFS($C$7:$C1375,$C1375))</f>
        <v/>
      </c>
    </row>
    <row r="1376">
      <c r="A1376" s="6" t="n"/>
      <c r="B1376" s="113">
        <f>IF($D1376="","","T"&amp;TEXT(ROW()-6,"00000"))</f>
        <v/>
      </c>
      <c r="C1376" s="113">
        <f>IF($D1376="","",IFERROR(INDEX(MUSTERILER!$B$7:$B$106,MATCH($D1376,MUSTERILER!$C$7:$C$106,0)),IFERROR(INDEX(MUSTERILER!$B$7:$B$106,MATCH($D1376,MUSTERILER!$B$7:$B$106,0)),IFERROR(INDEX(MUSTERILER!$B$7:$B$106,MATCH($D1376&amp;"*",MUSTERILER!$C$7:$C$106,0)),"TANIMSIZ MÜŞTERİ"))))</f>
        <v/>
      </c>
      <c r="D1376" s="109" t="n"/>
      <c r="E1376" s="225" t="n"/>
      <c r="F1376" s="226" t="n"/>
      <c r="G1376" s="108" t="n"/>
      <c r="H1376" s="108" t="n"/>
      <c r="I1376" s="109" t="n"/>
      <c r="J1376" s="109" t="n"/>
      <c r="K1376" s="109" t="n"/>
      <c r="L1376" s="231">
        <f>IF($E1376="","",DATE(YEAR($E1376),MONTH($E1376),1))</f>
        <v/>
      </c>
      <c r="M1376" s="113">
        <f>IF($D1376="","",IF($C1376="TANIMSIZ MÜŞTERİ","HATA",IF(OR($E1376="",$F1376&lt;=0,$G1376=""),"EKSİK",IF($E1376&gt;TODAY(),"İLERİ TARİH","UYGUN"))))</f>
        <v/>
      </c>
      <c r="N1376" s="121">
        <f>IF($C1376="","",IF($C1376="TANIMSIZ MÜŞTERİ","—",INDEX(MUSTERILER!$C$7:$C$106,MATCH($C1376,MUSTERILER!$B$7:$B$106,0))))</f>
        <v/>
      </c>
      <c r="O1376" s="6" t="n"/>
      <c r="P1376" s="6" t="n"/>
      <c r="Q1376" s="3">
        <f>IF($D1376="","",$C1376&amp;"|"&amp;COUNTIFS($C$7:$C1376,$C1376))</f>
        <v/>
      </c>
    </row>
    <row r="1377">
      <c r="A1377" s="6" t="n"/>
      <c r="B1377" s="113">
        <f>IF($D1377="","","T"&amp;TEXT(ROW()-6,"00000"))</f>
        <v/>
      </c>
      <c r="C1377" s="113">
        <f>IF($D1377="","",IFERROR(INDEX(MUSTERILER!$B$7:$B$106,MATCH($D1377,MUSTERILER!$C$7:$C$106,0)),IFERROR(INDEX(MUSTERILER!$B$7:$B$106,MATCH($D1377,MUSTERILER!$B$7:$B$106,0)),IFERROR(INDEX(MUSTERILER!$B$7:$B$106,MATCH($D1377&amp;"*",MUSTERILER!$C$7:$C$106,0)),"TANIMSIZ MÜŞTERİ"))))</f>
        <v/>
      </c>
      <c r="D1377" s="109" t="n"/>
      <c r="E1377" s="225" t="n"/>
      <c r="F1377" s="226" t="n"/>
      <c r="G1377" s="108" t="n"/>
      <c r="H1377" s="108" t="n"/>
      <c r="I1377" s="109" t="n"/>
      <c r="J1377" s="109" t="n"/>
      <c r="K1377" s="109" t="n"/>
      <c r="L1377" s="231">
        <f>IF($E1377="","",DATE(YEAR($E1377),MONTH($E1377),1))</f>
        <v/>
      </c>
      <c r="M1377" s="113">
        <f>IF($D1377="","",IF($C1377="TANIMSIZ MÜŞTERİ","HATA",IF(OR($E1377="",$F1377&lt;=0,$G1377=""),"EKSİK",IF($E1377&gt;TODAY(),"İLERİ TARİH","UYGUN"))))</f>
        <v/>
      </c>
      <c r="N1377" s="121">
        <f>IF($C1377="","",IF($C1377="TANIMSIZ MÜŞTERİ","—",INDEX(MUSTERILER!$C$7:$C$106,MATCH($C1377,MUSTERILER!$B$7:$B$106,0))))</f>
        <v/>
      </c>
      <c r="O1377" s="6" t="n"/>
      <c r="P1377" s="6" t="n"/>
      <c r="Q1377" s="3">
        <f>IF($D1377="","",$C1377&amp;"|"&amp;COUNTIFS($C$7:$C1377,$C1377))</f>
        <v/>
      </c>
    </row>
    <row r="1378">
      <c r="A1378" s="6" t="n"/>
      <c r="B1378" s="113">
        <f>IF($D1378="","","T"&amp;TEXT(ROW()-6,"00000"))</f>
        <v/>
      </c>
      <c r="C1378" s="113">
        <f>IF($D1378="","",IFERROR(INDEX(MUSTERILER!$B$7:$B$106,MATCH($D1378,MUSTERILER!$C$7:$C$106,0)),IFERROR(INDEX(MUSTERILER!$B$7:$B$106,MATCH($D1378,MUSTERILER!$B$7:$B$106,0)),IFERROR(INDEX(MUSTERILER!$B$7:$B$106,MATCH($D1378&amp;"*",MUSTERILER!$C$7:$C$106,0)),"TANIMSIZ MÜŞTERİ"))))</f>
        <v/>
      </c>
      <c r="D1378" s="109" t="n"/>
      <c r="E1378" s="225" t="n"/>
      <c r="F1378" s="226" t="n"/>
      <c r="G1378" s="108" t="n"/>
      <c r="H1378" s="108" t="n"/>
      <c r="I1378" s="109" t="n"/>
      <c r="J1378" s="109" t="n"/>
      <c r="K1378" s="109" t="n"/>
      <c r="L1378" s="231">
        <f>IF($E1378="","",DATE(YEAR($E1378),MONTH($E1378),1))</f>
        <v/>
      </c>
      <c r="M1378" s="113">
        <f>IF($D1378="","",IF($C1378="TANIMSIZ MÜŞTERİ","HATA",IF(OR($E1378="",$F1378&lt;=0,$G1378=""),"EKSİK",IF($E1378&gt;TODAY(),"İLERİ TARİH","UYGUN"))))</f>
        <v/>
      </c>
      <c r="N1378" s="121">
        <f>IF($C1378="","",IF($C1378="TANIMSIZ MÜŞTERİ","—",INDEX(MUSTERILER!$C$7:$C$106,MATCH($C1378,MUSTERILER!$B$7:$B$106,0))))</f>
        <v/>
      </c>
      <c r="O1378" s="6" t="n"/>
      <c r="P1378" s="6" t="n"/>
      <c r="Q1378" s="3">
        <f>IF($D1378="","",$C1378&amp;"|"&amp;COUNTIFS($C$7:$C1378,$C1378))</f>
        <v/>
      </c>
    </row>
    <row r="1379">
      <c r="A1379" s="6" t="n"/>
      <c r="B1379" s="113">
        <f>IF($D1379="","","T"&amp;TEXT(ROW()-6,"00000"))</f>
        <v/>
      </c>
      <c r="C1379" s="113">
        <f>IF($D1379="","",IFERROR(INDEX(MUSTERILER!$B$7:$B$106,MATCH($D1379,MUSTERILER!$C$7:$C$106,0)),IFERROR(INDEX(MUSTERILER!$B$7:$B$106,MATCH($D1379,MUSTERILER!$B$7:$B$106,0)),IFERROR(INDEX(MUSTERILER!$B$7:$B$106,MATCH($D1379&amp;"*",MUSTERILER!$C$7:$C$106,0)),"TANIMSIZ MÜŞTERİ"))))</f>
        <v/>
      </c>
      <c r="D1379" s="109" t="n"/>
      <c r="E1379" s="225" t="n"/>
      <c r="F1379" s="226" t="n"/>
      <c r="G1379" s="108" t="n"/>
      <c r="H1379" s="108" t="n"/>
      <c r="I1379" s="109" t="n"/>
      <c r="J1379" s="109" t="n"/>
      <c r="K1379" s="109" t="n"/>
      <c r="L1379" s="231">
        <f>IF($E1379="","",DATE(YEAR($E1379),MONTH($E1379),1))</f>
        <v/>
      </c>
      <c r="M1379" s="113">
        <f>IF($D1379="","",IF($C1379="TANIMSIZ MÜŞTERİ","HATA",IF(OR($E1379="",$F1379&lt;=0,$G1379=""),"EKSİK",IF($E1379&gt;TODAY(),"İLERİ TARİH","UYGUN"))))</f>
        <v/>
      </c>
      <c r="N1379" s="121">
        <f>IF($C1379="","",IF($C1379="TANIMSIZ MÜŞTERİ","—",INDEX(MUSTERILER!$C$7:$C$106,MATCH($C1379,MUSTERILER!$B$7:$B$106,0))))</f>
        <v/>
      </c>
      <c r="O1379" s="6" t="n"/>
      <c r="P1379" s="6" t="n"/>
      <c r="Q1379" s="3">
        <f>IF($D1379="","",$C1379&amp;"|"&amp;COUNTIFS($C$7:$C1379,$C1379))</f>
        <v/>
      </c>
    </row>
    <row r="1380">
      <c r="A1380" s="6" t="n"/>
      <c r="B1380" s="113">
        <f>IF($D1380="","","T"&amp;TEXT(ROW()-6,"00000"))</f>
        <v/>
      </c>
      <c r="C1380" s="113">
        <f>IF($D1380="","",IFERROR(INDEX(MUSTERILER!$B$7:$B$106,MATCH($D1380,MUSTERILER!$C$7:$C$106,0)),IFERROR(INDEX(MUSTERILER!$B$7:$B$106,MATCH($D1380,MUSTERILER!$B$7:$B$106,0)),IFERROR(INDEX(MUSTERILER!$B$7:$B$106,MATCH($D1380&amp;"*",MUSTERILER!$C$7:$C$106,0)),"TANIMSIZ MÜŞTERİ"))))</f>
        <v/>
      </c>
      <c r="D1380" s="109" t="n"/>
      <c r="E1380" s="225" t="n"/>
      <c r="F1380" s="226" t="n"/>
      <c r="G1380" s="108" t="n"/>
      <c r="H1380" s="108" t="n"/>
      <c r="I1380" s="109" t="n"/>
      <c r="J1380" s="109" t="n"/>
      <c r="K1380" s="109" t="n"/>
      <c r="L1380" s="231">
        <f>IF($E1380="","",DATE(YEAR($E1380),MONTH($E1380),1))</f>
        <v/>
      </c>
      <c r="M1380" s="113">
        <f>IF($D1380="","",IF($C1380="TANIMSIZ MÜŞTERİ","HATA",IF(OR($E1380="",$F1380&lt;=0,$G1380=""),"EKSİK",IF($E1380&gt;TODAY(),"İLERİ TARİH","UYGUN"))))</f>
        <v/>
      </c>
      <c r="N1380" s="121">
        <f>IF($C1380="","",IF($C1380="TANIMSIZ MÜŞTERİ","—",INDEX(MUSTERILER!$C$7:$C$106,MATCH($C1380,MUSTERILER!$B$7:$B$106,0))))</f>
        <v/>
      </c>
      <c r="O1380" s="6" t="n"/>
      <c r="P1380" s="6" t="n"/>
      <c r="Q1380" s="3">
        <f>IF($D1380="","",$C1380&amp;"|"&amp;COUNTIFS($C$7:$C1380,$C1380))</f>
        <v/>
      </c>
    </row>
    <row r="1381">
      <c r="A1381" s="6" t="n"/>
      <c r="B1381" s="113">
        <f>IF($D1381="","","T"&amp;TEXT(ROW()-6,"00000"))</f>
        <v/>
      </c>
      <c r="C1381" s="113">
        <f>IF($D1381="","",IFERROR(INDEX(MUSTERILER!$B$7:$B$106,MATCH($D1381,MUSTERILER!$C$7:$C$106,0)),IFERROR(INDEX(MUSTERILER!$B$7:$B$106,MATCH($D1381,MUSTERILER!$B$7:$B$106,0)),IFERROR(INDEX(MUSTERILER!$B$7:$B$106,MATCH($D1381&amp;"*",MUSTERILER!$C$7:$C$106,0)),"TANIMSIZ MÜŞTERİ"))))</f>
        <v/>
      </c>
      <c r="D1381" s="109" t="n"/>
      <c r="E1381" s="225" t="n"/>
      <c r="F1381" s="226" t="n"/>
      <c r="G1381" s="108" t="n"/>
      <c r="H1381" s="108" t="n"/>
      <c r="I1381" s="109" t="n"/>
      <c r="J1381" s="109" t="n"/>
      <c r="K1381" s="109" t="n"/>
      <c r="L1381" s="231">
        <f>IF($E1381="","",DATE(YEAR($E1381),MONTH($E1381),1))</f>
        <v/>
      </c>
      <c r="M1381" s="113">
        <f>IF($D1381="","",IF($C1381="TANIMSIZ MÜŞTERİ","HATA",IF(OR($E1381="",$F1381&lt;=0,$G1381=""),"EKSİK",IF($E1381&gt;TODAY(),"İLERİ TARİH","UYGUN"))))</f>
        <v/>
      </c>
      <c r="N1381" s="121">
        <f>IF($C1381="","",IF($C1381="TANIMSIZ MÜŞTERİ","—",INDEX(MUSTERILER!$C$7:$C$106,MATCH($C1381,MUSTERILER!$B$7:$B$106,0))))</f>
        <v/>
      </c>
      <c r="O1381" s="6" t="n"/>
      <c r="P1381" s="6" t="n"/>
      <c r="Q1381" s="3">
        <f>IF($D1381="","",$C1381&amp;"|"&amp;COUNTIFS($C$7:$C1381,$C1381))</f>
        <v/>
      </c>
    </row>
    <row r="1382">
      <c r="A1382" s="6" t="n"/>
      <c r="B1382" s="113">
        <f>IF($D1382="","","T"&amp;TEXT(ROW()-6,"00000"))</f>
        <v/>
      </c>
      <c r="C1382" s="113">
        <f>IF($D1382="","",IFERROR(INDEX(MUSTERILER!$B$7:$B$106,MATCH($D1382,MUSTERILER!$C$7:$C$106,0)),IFERROR(INDEX(MUSTERILER!$B$7:$B$106,MATCH($D1382,MUSTERILER!$B$7:$B$106,0)),IFERROR(INDEX(MUSTERILER!$B$7:$B$106,MATCH($D1382&amp;"*",MUSTERILER!$C$7:$C$106,0)),"TANIMSIZ MÜŞTERİ"))))</f>
        <v/>
      </c>
      <c r="D1382" s="109" t="n"/>
      <c r="E1382" s="225" t="n"/>
      <c r="F1382" s="226" t="n"/>
      <c r="G1382" s="108" t="n"/>
      <c r="H1382" s="108" t="n"/>
      <c r="I1382" s="109" t="n"/>
      <c r="J1382" s="109" t="n"/>
      <c r="K1382" s="109" t="n"/>
      <c r="L1382" s="231">
        <f>IF($E1382="","",DATE(YEAR($E1382),MONTH($E1382),1))</f>
        <v/>
      </c>
      <c r="M1382" s="113">
        <f>IF($D1382="","",IF($C1382="TANIMSIZ MÜŞTERİ","HATA",IF(OR($E1382="",$F1382&lt;=0,$G1382=""),"EKSİK",IF($E1382&gt;TODAY(),"İLERİ TARİH","UYGUN"))))</f>
        <v/>
      </c>
      <c r="N1382" s="121">
        <f>IF($C1382="","",IF($C1382="TANIMSIZ MÜŞTERİ","—",INDEX(MUSTERILER!$C$7:$C$106,MATCH($C1382,MUSTERILER!$B$7:$B$106,0))))</f>
        <v/>
      </c>
      <c r="O1382" s="6" t="n"/>
      <c r="P1382" s="6" t="n"/>
      <c r="Q1382" s="3">
        <f>IF($D1382="","",$C1382&amp;"|"&amp;COUNTIFS($C$7:$C1382,$C1382))</f>
        <v/>
      </c>
    </row>
    <row r="1383">
      <c r="A1383" s="6" t="n"/>
      <c r="B1383" s="113">
        <f>IF($D1383="","","T"&amp;TEXT(ROW()-6,"00000"))</f>
        <v/>
      </c>
      <c r="C1383" s="113">
        <f>IF($D1383="","",IFERROR(INDEX(MUSTERILER!$B$7:$B$106,MATCH($D1383,MUSTERILER!$C$7:$C$106,0)),IFERROR(INDEX(MUSTERILER!$B$7:$B$106,MATCH($D1383,MUSTERILER!$B$7:$B$106,0)),IFERROR(INDEX(MUSTERILER!$B$7:$B$106,MATCH($D1383&amp;"*",MUSTERILER!$C$7:$C$106,0)),"TANIMSIZ MÜŞTERİ"))))</f>
        <v/>
      </c>
      <c r="D1383" s="109" t="n"/>
      <c r="E1383" s="225" t="n"/>
      <c r="F1383" s="226" t="n"/>
      <c r="G1383" s="108" t="n"/>
      <c r="H1383" s="108" t="n"/>
      <c r="I1383" s="109" t="n"/>
      <c r="J1383" s="109" t="n"/>
      <c r="K1383" s="109" t="n"/>
      <c r="L1383" s="231">
        <f>IF($E1383="","",DATE(YEAR($E1383),MONTH($E1383),1))</f>
        <v/>
      </c>
      <c r="M1383" s="113">
        <f>IF($D1383="","",IF($C1383="TANIMSIZ MÜŞTERİ","HATA",IF(OR($E1383="",$F1383&lt;=0,$G1383=""),"EKSİK",IF($E1383&gt;TODAY(),"İLERİ TARİH","UYGUN"))))</f>
        <v/>
      </c>
      <c r="N1383" s="121">
        <f>IF($C1383="","",IF($C1383="TANIMSIZ MÜŞTERİ","—",INDEX(MUSTERILER!$C$7:$C$106,MATCH($C1383,MUSTERILER!$B$7:$B$106,0))))</f>
        <v/>
      </c>
      <c r="O1383" s="6" t="n"/>
      <c r="P1383" s="6" t="n"/>
      <c r="Q1383" s="3">
        <f>IF($D1383="","",$C1383&amp;"|"&amp;COUNTIFS($C$7:$C1383,$C1383))</f>
        <v/>
      </c>
    </row>
    <row r="1384">
      <c r="A1384" s="6" t="n"/>
      <c r="B1384" s="113">
        <f>IF($D1384="","","T"&amp;TEXT(ROW()-6,"00000"))</f>
        <v/>
      </c>
      <c r="C1384" s="113">
        <f>IF($D1384="","",IFERROR(INDEX(MUSTERILER!$B$7:$B$106,MATCH($D1384,MUSTERILER!$C$7:$C$106,0)),IFERROR(INDEX(MUSTERILER!$B$7:$B$106,MATCH($D1384,MUSTERILER!$B$7:$B$106,0)),IFERROR(INDEX(MUSTERILER!$B$7:$B$106,MATCH($D1384&amp;"*",MUSTERILER!$C$7:$C$106,0)),"TANIMSIZ MÜŞTERİ"))))</f>
        <v/>
      </c>
      <c r="D1384" s="109" t="n"/>
      <c r="E1384" s="225" t="n"/>
      <c r="F1384" s="226" t="n"/>
      <c r="G1384" s="108" t="n"/>
      <c r="H1384" s="108" t="n"/>
      <c r="I1384" s="109" t="n"/>
      <c r="J1384" s="109" t="n"/>
      <c r="K1384" s="109" t="n"/>
      <c r="L1384" s="231">
        <f>IF($E1384="","",DATE(YEAR($E1384),MONTH($E1384),1))</f>
        <v/>
      </c>
      <c r="M1384" s="113">
        <f>IF($D1384="","",IF($C1384="TANIMSIZ MÜŞTERİ","HATA",IF(OR($E1384="",$F1384&lt;=0,$G1384=""),"EKSİK",IF($E1384&gt;TODAY(),"İLERİ TARİH","UYGUN"))))</f>
        <v/>
      </c>
      <c r="N1384" s="121">
        <f>IF($C1384="","",IF($C1384="TANIMSIZ MÜŞTERİ","—",INDEX(MUSTERILER!$C$7:$C$106,MATCH($C1384,MUSTERILER!$B$7:$B$106,0))))</f>
        <v/>
      </c>
      <c r="O1384" s="6" t="n"/>
      <c r="P1384" s="6" t="n"/>
      <c r="Q1384" s="3">
        <f>IF($D1384="","",$C1384&amp;"|"&amp;COUNTIFS($C$7:$C1384,$C1384))</f>
        <v/>
      </c>
    </row>
    <row r="1385">
      <c r="A1385" s="6" t="n"/>
      <c r="B1385" s="113">
        <f>IF($D1385="","","T"&amp;TEXT(ROW()-6,"00000"))</f>
        <v/>
      </c>
      <c r="C1385" s="113">
        <f>IF($D1385="","",IFERROR(INDEX(MUSTERILER!$B$7:$B$106,MATCH($D1385,MUSTERILER!$C$7:$C$106,0)),IFERROR(INDEX(MUSTERILER!$B$7:$B$106,MATCH($D1385,MUSTERILER!$B$7:$B$106,0)),IFERROR(INDEX(MUSTERILER!$B$7:$B$106,MATCH($D1385&amp;"*",MUSTERILER!$C$7:$C$106,0)),"TANIMSIZ MÜŞTERİ"))))</f>
        <v/>
      </c>
      <c r="D1385" s="109" t="n"/>
      <c r="E1385" s="225" t="n"/>
      <c r="F1385" s="226" t="n"/>
      <c r="G1385" s="108" t="n"/>
      <c r="H1385" s="108" t="n"/>
      <c r="I1385" s="109" t="n"/>
      <c r="J1385" s="109" t="n"/>
      <c r="K1385" s="109" t="n"/>
      <c r="L1385" s="231">
        <f>IF($E1385="","",DATE(YEAR($E1385),MONTH($E1385),1))</f>
        <v/>
      </c>
      <c r="M1385" s="113">
        <f>IF($D1385="","",IF($C1385="TANIMSIZ MÜŞTERİ","HATA",IF(OR($E1385="",$F1385&lt;=0,$G1385=""),"EKSİK",IF($E1385&gt;TODAY(),"İLERİ TARİH","UYGUN"))))</f>
        <v/>
      </c>
      <c r="N1385" s="121">
        <f>IF($C1385="","",IF($C1385="TANIMSIZ MÜŞTERİ","—",INDEX(MUSTERILER!$C$7:$C$106,MATCH($C1385,MUSTERILER!$B$7:$B$106,0))))</f>
        <v/>
      </c>
      <c r="O1385" s="6" t="n"/>
      <c r="P1385" s="6" t="n"/>
      <c r="Q1385" s="3">
        <f>IF($D1385="","",$C1385&amp;"|"&amp;COUNTIFS($C$7:$C1385,$C1385))</f>
        <v/>
      </c>
    </row>
    <row r="1386">
      <c r="A1386" s="6" t="n"/>
      <c r="B1386" s="113">
        <f>IF($D1386="","","T"&amp;TEXT(ROW()-6,"00000"))</f>
        <v/>
      </c>
      <c r="C1386" s="113">
        <f>IF($D1386="","",IFERROR(INDEX(MUSTERILER!$B$7:$B$106,MATCH($D1386,MUSTERILER!$C$7:$C$106,0)),IFERROR(INDEX(MUSTERILER!$B$7:$B$106,MATCH($D1386,MUSTERILER!$B$7:$B$106,0)),IFERROR(INDEX(MUSTERILER!$B$7:$B$106,MATCH($D1386&amp;"*",MUSTERILER!$C$7:$C$106,0)),"TANIMSIZ MÜŞTERİ"))))</f>
        <v/>
      </c>
      <c r="D1386" s="109" t="n"/>
      <c r="E1386" s="225" t="n"/>
      <c r="F1386" s="226" t="n"/>
      <c r="G1386" s="108" t="n"/>
      <c r="H1386" s="108" t="n"/>
      <c r="I1386" s="109" t="n"/>
      <c r="J1386" s="109" t="n"/>
      <c r="K1386" s="109" t="n"/>
      <c r="L1386" s="231">
        <f>IF($E1386="","",DATE(YEAR($E1386),MONTH($E1386),1))</f>
        <v/>
      </c>
      <c r="M1386" s="113">
        <f>IF($D1386="","",IF($C1386="TANIMSIZ MÜŞTERİ","HATA",IF(OR($E1386="",$F1386&lt;=0,$G1386=""),"EKSİK",IF($E1386&gt;TODAY(),"İLERİ TARİH","UYGUN"))))</f>
        <v/>
      </c>
      <c r="N1386" s="121">
        <f>IF($C1386="","",IF($C1386="TANIMSIZ MÜŞTERİ","—",INDEX(MUSTERILER!$C$7:$C$106,MATCH($C1386,MUSTERILER!$B$7:$B$106,0))))</f>
        <v/>
      </c>
      <c r="O1386" s="6" t="n"/>
      <c r="P1386" s="6" t="n"/>
      <c r="Q1386" s="3">
        <f>IF($D1386="","",$C1386&amp;"|"&amp;COUNTIFS($C$7:$C1386,$C1386))</f>
        <v/>
      </c>
    </row>
    <row r="1387">
      <c r="A1387" s="6" t="n"/>
      <c r="B1387" s="113">
        <f>IF($D1387="","","T"&amp;TEXT(ROW()-6,"00000"))</f>
        <v/>
      </c>
      <c r="C1387" s="113">
        <f>IF($D1387="","",IFERROR(INDEX(MUSTERILER!$B$7:$B$106,MATCH($D1387,MUSTERILER!$C$7:$C$106,0)),IFERROR(INDEX(MUSTERILER!$B$7:$B$106,MATCH($D1387,MUSTERILER!$B$7:$B$106,0)),IFERROR(INDEX(MUSTERILER!$B$7:$B$106,MATCH($D1387&amp;"*",MUSTERILER!$C$7:$C$106,0)),"TANIMSIZ MÜŞTERİ"))))</f>
        <v/>
      </c>
      <c r="D1387" s="109" t="n"/>
      <c r="E1387" s="225" t="n"/>
      <c r="F1387" s="226" t="n"/>
      <c r="G1387" s="108" t="n"/>
      <c r="H1387" s="108" t="n"/>
      <c r="I1387" s="109" t="n"/>
      <c r="J1387" s="109" t="n"/>
      <c r="K1387" s="109" t="n"/>
      <c r="L1387" s="231">
        <f>IF($E1387="","",DATE(YEAR($E1387),MONTH($E1387),1))</f>
        <v/>
      </c>
      <c r="M1387" s="113">
        <f>IF($D1387="","",IF($C1387="TANIMSIZ MÜŞTERİ","HATA",IF(OR($E1387="",$F1387&lt;=0,$G1387=""),"EKSİK",IF($E1387&gt;TODAY(),"İLERİ TARİH","UYGUN"))))</f>
        <v/>
      </c>
      <c r="N1387" s="121">
        <f>IF($C1387="","",IF($C1387="TANIMSIZ MÜŞTERİ","—",INDEX(MUSTERILER!$C$7:$C$106,MATCH($C1387,MUSTERILER!$B$7:$B$106,0))))</f>
        <v/>
      </c>
      <c r="O1387" s="6" t="n"/>
      <c r="P1387" s="6" t="n"/>
      <c r="Q1387" s="3">
        <f>IF($D1387="","",$C1387&amp;"|"&amp;COUNTIFS($C$7:$C1387,$C1387))</f>
        <v/>
      </c>
    </row>
    <row r="1388">
      <c r="A1388" s="6" t="n"/>
      <c r="B1388" s="113">
        <f>IF($D1388="","","T"&amp;TEXT(ROW()-6,"00000"))</f>
        <v/>
      </c>
      <c r="C1388" s="113">
        <f>IF($D1388="","",IFERROR(INDEX(MUSTERILER!$B$7:$B$106,MATCH($D1388,MUSTERILER!$C$7:$C$106,0)),IFERROR(INDEX(MUSTERILER!$B$7:$B$106,MATCH($D1388,MUSTERILER!$B$7:$B$106,0)),IFERROR(INDEX(MUSTERILER!$B$7:$B$106,MATCH($D1388&amp;"*",MUSTERILER!$C$7:$C$106,0)),"TANIMSIZ MÜŞTERİ"))))</f>
        <v/>
      </c>
      <c r="D1388" s="109" t="n"/>
      <c r="E1388" s="225" t="n"/>
      <c r="F1388" s="226" t="n"/>
      <c r="G1388" s="108" t="n"/>
      <c r="H1388" s="108" t="n"/>
      <c r="I1388" s="109" t="n"/>
      <c r="J1388" s="109" t="n"/>
      <c r="K1388" s="109" t="n"/>
      <c r="L1388" s="231">
        <f>IF($E1388="","",DATE(YEAR($E1388),MONTH($E1388),1))</f>
        <v/>
      </c>
      <c r="M1388" s="113">
        <f>IF($D1388="","",IF($C1388="TANIMSIZ MÜŞTERİ","HATA",IF(OR($E1388="",$F1388&lt;=0,$G1388=""),"EKSİK",IF($E1388&gt;TODAY(),"İLERİ TARİH","UYGUN"))))</f>
        <v/>
      </c>
      <c r="N1388" s="121">
        <f>IF($C1388="","",IF($C1388="TANIMSIZ MÜŞTERİ","—",INDEX(MUSTERILER!$C$7:$C$106,MATCH($C1388,MUSTERILER!$B$7:$B$106,0))))</f>
        <v/>
      </c>
      <c r="O1388" s="6" t="n"/>
      <c r="P1388" s="6" t="n"/>
      <c r="Q1388" s="3">
        <f>IF($D1388="","",$C1388&amp;"|"&amp;COUNTIFS($C$7:$C1388,$C1388))</f>
        <v/>
      </c>
    </row>
    <row r="1389">
      <c r="A1389" s="6" t="n"/>
      <c r="B1389" s="113">
        <f>IF($D1389="","","T"&amp;TEXT(ROW()-6,"00000"))</f>
        <v/>
      </c>
      <c r="C1389" s="113">
        <f>IF($D1389="","",IFERROR(INDEX(MUSTERILER!$B$7:$B$106,MATCH($D1389,MUSTERILER!$C$7:$C$106,0)),IFERROR(INDEX(MUSTERILER!$B$7:$B$106,MATCH($D1389,MUSTERILER!$B$7:$B$106,0)),IFERROR(INDEX(MUSTERILER!$B$7:$B$106,MATCH($D1389&amp;"*",MUSTERILER!$C$7:$C$106,0)),"TANIMSIZ MÜŞTERİ"))))</f>
        <v/>
      </c>
      <c r="D1389" s="109" t="n"/>
      <c r="E1389" s="225" t="n"/>
      <c r="F1389" s="226" t="n"/>
      <c r="G1389" s="108" t="n"/>
      <c r="H1389" s="108" t="n"/>
      <c r="I1389" s="109" t="n"/>
      <c r="J1389" s="109" t="n"/>
      <c r="K1389" s="109" t="n"/>
      <c r="L1389" s="231">
        <f>IF($E1389="","",DATE(YEAR($E1389),MONTH($E1389),1))</f>
        <v/>
      </c>
      <c r="M1389" s="113">
        <f>IF($D1389="","",IF($C1389="TANIMSIZ MÜŞTERİ","HATA",IF(OR($E1389="",$F1389&lt;=0,$G1389=""),"EKSİK",IF($E1389&gt;TODAY(),"İLERİ TARİH","UYGUN"))))</f>
        <v/>
      </c>
      <c r="N1389" s="121">
        <f>IF($C1389="","",IF($C1389="TANIMSIZ MÜŞTERİ","—",INDEX(MUSTERILER!$C$7:$C$106,MATCH($C1389,MUSTERILER!$B$7:$B$106,0))))</f>
        <v/>
      </c>
      <c r="O1389" s="6" t="n"/>
      <c r="P1389" s="6" t="n"/>
      <c r="Q1389" s="3">
        <f>IF($D1389="","",$C1389&amp;"|"&amp;COUNTIFS($C$7:$C1389,$C1389))</f>
        <v/>
      </c>
    </row>
    <row r="1390">
      <c r="A1390" s="6" t="n"/>
      <c r="B1390" s="113">
        <f>IF($D1390="","","T"&amp;TEXT(ROW()-6,"00000"))</f>
        <v/>
      </c>
      <c r="C1390" s="113">
        <f>IF($D1390="","",IFERROR(INDEX(MUSTERILER!$B$7:$B$106,MATCH($D1390,MUSTERILER!$C$7:$C$106,0)),IFERROR(INDEX(MUSTERILER!$B$7:$B$106,MATCH($D1390,MUSTERILER!$B$7:$B$106,0)),IFERROR(INDEX(MUSTERILER!$B$7:$B$106,MATCH($D1390&amp;"*",MUSTERILER!$C$7:$C$106,0)),"TANIMSIZ MÜŞTERİ"))))</f>
        <v/>
      </c>
      <c r="D1390" s="109" t="n"/>
      <c r="E1390" s="225" t="n"/>
      <c r="F1390" s="226" t="n"/>
      <c r="G1390" s="108" t="n"/>
      <c r="H1390" s="108" t="n"/>
      <c r="I1390" s="109" t="n"/>
      <c r="J1390" s="109" t="n"/>
      <c r="K1390" s="109" t="n"/>
      <c r="L1390" s="231">
        <f>IF($E1390="","",DATE(YEAR($E1390),MONTH($E1390),1))</f>
        <v/>
      </c>
      <c r="M1390" s="113">
        <f>IF($D1390="","",IF($C1390="TANIMSIZ MÜŞTERİ","HATA",IF(OR($E1390="",$F1390&lt;=0,$G1390=""),"EKSİK",IF($E1390&gt;TODAY(),"İLERİ TARİH","UYGUN"))))</f>
        <v/>
      </c>
      <c r="N1390" s="121">
        <f>IF($C1390="","",IF($C1390="TANIMSIZ MÜŞTERİ","—",INDEX(MUSTERILER!$C$7:$C$106,MATCH($C1390,MUSTERILER!$B$7:$B$106,0))))</f>
        <v/>
      </c>
      <c r="O1390" s="6" t="n"/>
      <c r="P1390" s="6" t="n"/>
      <c r="Q1390" s="3">
        <f>IF($D1390="","",$C1390&amp;"|"&amp;COUNTIFS($C$7:$C1390,$C1390))</f>
        <v/>
      </c>
    </row>
    <row r="1391">
      <c r="A1391" s="6" t="n"/>
      <c r="B1391" s="113">
        <f>IF($D1391="","","T"&amp;TEXT(ROW()-6,"00000"))</f>
        <v/>
      </c>
      <c r="C1391" s="113">
        <f>IF($D1391="","",IFERROR(INDEX(MUSTERILER!$B$7:$B$106,MATCH($D1391,MUSTERILER!$C$7:$C$106,0)),IFERROR(INDEX(MUSTERILER!$B$7:$B$106,MATCH($D1391,MUSTERILER!$B$7:$B$106,0)),IFERROR(INDEX(MUSTERILER!$B$7:$B$106,MATCH($D1391&amp;"*",MUSTERILER!$C$7:$C$106,0)),"TANIMSIZ MÜŞTERİ"))))</f>
        <v/>
      </c>
      <c r="D1391" s="109" t="n"/>
      <c r="E1391" s="225" t="n"/>
      <c r="F1391" s="226" t="n"/>
      <c r="G1391" s="108" t="n"/>
      <c r="H1391" s="108" t="n"/>
      <c r="I1391" s="109" t="n"/>
      <c r="J1391" s="109" t="n"/>
      <c r="K1391" s="109" t="n"/>
      <c r="L1391" s="231">
        <f>IF($E1391="","",DATE(YEAR($E1391),MONTH($E1391),1))</f>
        <v/>
      </c>
      <c r="M1391" s="113">
        <f>IF($D1391="","",IF($C1391="TANIMSIZ MÜŞTERİ","HATA",IF(OR($E1391="",$F1391&lt;=0,$G1391=""),"EKSİK",IF($E1391&gt;TODAY(),"İLERİ TARİH","UYGUN"))))</f>
        <v/>
      </c>
      <c r="N1391" s="121">
        <f>IF($C1391="","",IF($C1391="TANIMSIZ MÜŞTERİ","—",INDEX(MUSTERILER!$C$7:$C$106,MATCH($C1391,MUSTERILER!$B$7:$B$106,0))))</f>
        <v/>
      </c>
      <c r="O1391" s="6" t="n"/>
      <c r="P1391" s="6" t="n"/>
      <c r="Q1391" s="3">
        <f>IF($D1391="","",$C1391&amp;"|"&amp;COUNTIFS($C$7:$C1391,$C1391))</f>
        <v/>
      </c>
    </row>
    <row r="1392">
      <c r="A1392" s="6" t="n"/>
      <c r="B1392" s="113">
        <f>IF($D1392="","","T"&amp;TEXT(ROW()-6,"00000"))</f>
        <v/>
      </c>
      <c r="C1392" s="113">
        <f>IF($D1392="","",IFERROR(INDEX(MUSTERILER!$B$7:$B$106,MATCH($D1392,MUSTERILER!$C$7:$C$106,0)),IFERROR(INDEX(MUSTERILER!$B$7:$B$106,MATCH($D1392,MUSTERILER!$B$7:$B$106,0)),IFERROR(INDEX(MUSTERILER!$B$7:$B$106,MATCH($D1392&amp;"*",MUSTERILER!$C$7:$C$106,0)),"TANIMSIZ MÜŞTERİ"))))</f>
        <v/>
      </c>
      <c r="D1392" s="109" t="n"/>
      <c r="E1392" s="225" t="n"/>
      <c r="F1392" s="226" t="n"/>
      <c r="G1392" s="108" t="n"/>
      <c r="H1392" s="108" t="n"/>
      <c r="I1392" s="109" t="n"/>
      <c r="J1392" s="109" t="n"/>
      <c r="K1392" s="109" t="n"/>
      <c r="L1392" s="231">
        <f>IF($E1392="","",DATE(YEAR($E1392),MONTH($E1392),1))</f>
        <v/>
      </c>
      <c r="M1392" s="113">
        <f>IF($D1392="","",IF($C1392="TANIMSIZ MÜŞTERİ","HATA",IF(OR($E1392="",$F1392&lt;=0,$G1392=""),"EKSİK",IF($E1392&gt;TODAY(),"İLERİ TARİH","UYGUN"))))</f>
        <v/>
      </c>
      <c r="N1392" s="121">
        <f>IF($C1392="","",IF($C1392="TANIMSIZ MÜŞTERİ","—",INDEX(MUSTERILER!$C$7:$C$106,MATCH($C1392,MUSTERILER!$B$7:$B$106,0))))</f>
        <v/>
      </c>
      <c r="O1392" s="6" t="n"/>
      <c r="P1392" s="6" t="n"/>
      <c r="Q1392" s="3">
        <f>IF($D1392="","",$C1392&amp;"|"&amp;COUNTIFS($C$7:$C1392,$C1392))</f>
        <v/>
      </c>
    </row>
    <row r="1393">
      <c r="A1393" s="6" t="n"/>
      <c r="B1393" s="113">
        <f>IF($D1393="","","T"&amp;TEXT(ROW()-6,"00000"))</f>
        <v/>
      </c>
      <c r="C1393" s="113">
        <f>IF($D1393="","",IFERROR(INDEX(MUSTERILER!$B$7:$B$106,MATCH($D1393,MUSTERILER!$C$7:$C$106,0)),IFERROR(INDEX(MUSTERILER!$B$7:$B$106,MATCH($D1393,MUSTERILER!$B$7:$B$106,0)),IFERROR(INDEX(MUSTERILER!$B$7:$B$106,MATCH($D1393&amp;"*",MUSTERILER!$C$7:$C$106,0)),"TANIMSIZ MÜŞTERİ"))))</f>
        <v/>
      </c>
      <c r="D1393" s="109" t="n"/>
      <c r="E1393" s="225" t="n"/>
      <c r="F1393" s="226" t="n"/>
      <c r="G1393" s="108" t="n"/>
      <c r="H1393" s="108" t="n"/>
      <c r="I1393" s="109" t="n"/>
      <c r="J1393" s="109" t="n"/>
      <c r="K1393" s="109" t="n"/>
      <c r="L1393" s="231">
        <f>IF($E1393="","",DATE(YEAR($E1393),MONTH($E1393),1))</f>
        <v/>
      </c>
      <c r="M1393" s="113">
        <f>IF($D1393="","",IF($C1393="TANIMSIZ MÜŞTERİ","HATA",IF(OR($E1393="",$F1393&lt;=0,$G1393=""),"EKSİK",IF($E1393&gt;TODAY(),"İLERİ TARİH","UYGUN"))))</f>
        <v/>
      </c>
      <c r="N1393" s="121">
        <f>IF($C1393="","",IF($C1393="TANIMSIZ MÜŞTERİ","—",INDEX(MUSTERILER!$C$7:$C$106,MATCH($C1393,MUSTERILER!$B$7:$B$106,0))))</f>
        <v/>
      </c>
      <c r="O1393" s="6" t="n"/>
      <c r="P1393" s="6" t="n"/>
      <c r="Q1393" s="3">
        <f>IF($D1393="","",$C1393&amp;"|"&amp;COUNTIFS($C$7:$C1393,$C1393))</f>
        <v/>
      </c>
    </row>
    <row r="1394">
      <c r="A1394" s="6" t="n"/>
      <c r="B1394" s="113">
        <f>IF($D1394="","","T"&amp;TEXT(ROW()-6,"00000"))</f>
        <v/>
      </c>
      <c r="C1394" s="113">
        <f>IF($D1394="","",IFERROR(INDEX(MUSTERILER!$B$7:$B$106,MATCH($D1394,MUSTERILER!$C$7:$C$106,0)),IFERROR(INDEX(MUSTERILER!$B$7:$B$106,MATCH($D1394,MUSTERILER!$B$7:$B$106,0)),IFERROR(INDEX(MUSTERILER!$B$7:$B$106,MATCH($D1394&amp;"*",MUSTERILER!$C$7:$C$106,0)),"TANIMSIZ MÜŞTERİ"))))</f>
        <v/>
      </c>
      <c r="D1394" s="109" t="n"/>
      <c r="E1394" s="225" t="n"/>
      <c r="F1394" s="226" t="n"/>
      <c r="G1394" s="108" t="n"/>
      <c r="H1394" s="108" t="n"/>
      <c r="I1394" s="109" t="n"/>
      <c r="J1394" s="109" t="n"/>
      <c r="K1394" s="109" t="n"/>
      <c r="L1394" s="231">
        <f>IF($E1394="","",DATE(YEAR($E1394),MONTH($E1394),1))</f>
        <v/>
      </c>
      <c r="M1394" s="113">
        <f>IF($D1394="","",IF($C1394="TANIMSIZ MÜŞTERİ","HATA",IF(OR($E1394="",$F1394&lt;=0,$G1394=""),"EKSİK",IF($E1394&gt;TODAY(),"İLERİ TARİH","UYGUN"))))</f>
        <v/>
      </c>
      <c r="N1394" s="121">
        <f>IF($C1394="","",IF($C1394="TANIMSIZ MÜŞTERİ","—",INDEX(MUSTERILER!$C$7:$C$106,MATCH($C1394,MUSTERILER!$B$7:$B$106,0))))</f>
        <v/>
      </c>
      <c r="O1394" s="6" t="n"/>
      <c r="P1394" s="6" t="n"/>
      <c r="Q1394" s="3">
        <f>IF($D1394="","",$C1394&amp;"|"&amp;COUNTIFS($C$7:$C1394,$C1394))</f>
        <v/>
      </c>
    </row>
    <row r="1395">
      <c r="A1395" s="6" t="n"/>
      <c r="B1395" s="113">
        <f>IF($D1395="","","T"&amp;TEXT(ROW()-6,"00000"))</f>
        <v/>
      </c>
      <c r="C1395" s="113">
        <f>IF($D1395="","",IFERROR(INDEX(MUSTERILER!$B$7:$B$106,MATCH($D1395,MUSTERILER!$C$7:$C$106,0)),IFERROR(INDEX(MUSTERILER!$B$7:$B$106,MATCH($D1395,MUSTERILER!$B$7:$B$106,0)),IFERROR(INDEX(MUSTERILER!$B$7:$B$106,MATCH($D1395&amp;"*",MUSTERILER!$C$7:$C$106,0)),"TANIMSIZ MÜŞTERİ"))))</f>
        <v/>
      </c>
      <c r="D1395" s="109" t="n"/>
      <c r="E1395" s="225" t="n"/>
      <c r="F1395" s="226" t="n"/>
      <c r="G1395" s="108" t="n"/>
      <c r="H1395" s="108" t="n"/>
      <c r="I1395" s="109" t="n"/>
      <c r="J1395" s="109" t="n"/>
      <c r="K1395" s="109" t="n"/>
      <c r="L1395" s="231">
        <f>IF($E1395="","",DATE(YEAR($E1395),MONTH($E1395),1))</f>
        <v/>
      </c>
      <c r="M1395" s="113">
        <f>IF($D1395="","",IF($C1395="TANIMSIZ MÜŞTERİ","HATA",IF(OR($E1395="",$F1395&lt;=0,$G1395=""),"EKSİK",IF($E1395&gt;TODAY(),"İLERİ TARİH","UYGUN"))))</f>
        <v/>
      </c>
      <c r="N1395" s="121">
        <f>IF($C1395="","",IF($C1395="TANIMSIZ MÜŞTERİ","—",INDEX(MUSTERILER!$C$7:$C$106,MATCH($C1395,MUSTERILER!$B$7:$B$106,0))))</f>
        <v/>
      </c>
      <c r="O1395" s="6" t="n"/>
      <c r="P1395" s="6" t="n"/>
      <c r="Q1395" s="3">
        <f>IF($D1395="","",$C1395&amp;"|"&amp;COUNTIFS($C$7:$C1395,$C1395))</f>
        <v/>
      </c>
    </row>
    <row r="1396">
      <c r="A1396" s="6" t="n"/>
      <c r="B1396" s="113">
        <f>IF($D1396="","","T"&amp;TEXT(ROW()-6,"00000"))</f>
        <v/>
      </c>
      <c r="C1396" s="113">
        <f>IF($D1396="","",IFERROR(INDEX(MUSTERILER!$B$7:$B$106,MATCH($D1396,MUSTERILER!$C$7:$C$106,0)),IFERROR(INDEX(MUSTERILER!$B$7:$B$106,MATCH($D1396,MUSTERILER!$B$7:$B$106,0)),IFERROR(INDEX(MUSTERILER!$B$7:$B$106,MATCH($D1396&amp;"*",MUSTERILER!$C$7:$C$106,0)),"TANIMSIZ MÜŞTERİ"))))</f>
        <v/>
      </c>
      <c r="D1396" s="109" t="n"/>
      <c r="E1396" s="225" t="n"/>
      <c r="F1396" s="226" t="n"/>
      <c r="G1396" s="108" t="n"/>
      <c r="H1396" s="108" t="n"/>
      <c r="I1396" s="109" t="n"/>
      <c r="J1396" s="109" t="n"/>
      <c r="K1396" s="109" t="n"/>
      <c r="L1396" s="231">
        <f>IF($E1396="","",DATE(YEAR($E1396),MONTH($E1396),1))</f>
        <v/>
      </c>
      <c r="M1396" s="113">
        <f>IF($D1396="","",IF($C1396="TANIMSIZ MÜŞTERİ","HATA",IF(OR($E1396="",$F1396&lt;=0,$G1396=""),"EKSİK",IF($E1396&gt;TODAY(),"İLERİ TARİH","UYGUN"))))</f>
        <v/>
      </c>
      <c r="N1396" s="121">
        <f>IF($C1396="","",IF($C1396="TANIMSIZ MÜŞTERİ","—",INDEX(MUSTERILER!$C$7:$C$106,MATCH($C1396,MUSTERILER!$B$7:$B$106,0))))</f>
        <v/>
      </c>
      <c r="O1396" s="6" t="n"/>
      <c r="P1396" s="6" t="n"/>
      <c r="Q1396" s="3">
        <f>IF($D1396="","",$C1396&amp;"|"&amp;COUNTIFS($C$7:$C1396,$C1396))</f>
        <v/>
      </c>
    </row>
    <row r="1397">
      <c r="A1397" s="6" t="n"/>
      <c r="B1397" s="113">
        <f>IF($D1397="","","T"&amp;TEXT(ROW()-6,"00000"))</f>
        <v/>
      </c>
      <c r="C1397" s="113">
        <f>IF($D1397="","",IFERROR(INDEX(MUSTERILER!$B$7:$B$106,MATCH($D1397,MUSTERILER!$C$7:$C$106,0)),IFERROR(INDEX(MUSTERILER!$B$7:$B$106,MATCH($D1397,MUSTERILER!$B$7:$B$106,0)),IFERROR(INDEX(MUSTERILER!$B$7:$B$106,MATCH($D1397&amp;"*",MUSTERILER!$C$7:$C$106,0)),"TANIMSIZ MÜŞTERİ"))))</f>
        <v/>
      </c>
      <c r="D1397" s="109" t="n"/>
      <c r="E1397" s="225" t="n"/>
      <c r="F1397" s="226" t="n"/>
      <c r="G1397" s="108" t="n"/>
      <c r="H1397" s="108" t="n"/>
      <c r="I1397" s="109" t="n"/>
      <c r="J1397" s="109" t="n"/>
      <c r="K1397" s="109" t="n"/>
      <c r="L1397" s="231">
        <f>IF($E1397="","",DATE(YEAR($E1397),MONTH($E1397),1))</f>
        <v/>
      </c>
      <c r="M1397" s="113">
        <f>IF($D1397="","",IF($C1397="TANIMSIZ MÜŞTERİ","HATA",IF(OR($E1397="",$F1397&lt;=0,$G1397=""),"EKSİK",IF($E1397&gt;TODAY(),"İLERİ TARİH","UYGUN"))))</f>
        <v/>
      </c>
      <c r="N1397" s="121">
        <f>IF($C1397="","",IF($C1397="TANIMSIZ MÜŞTERİ","—",INDEX(MUSTERILER!$C$7:$C$106,MATCH($C1397,MUSTERILER!$B$7:$B$106,0))))</f>
        <v/>
      </c>
      <c r="O1397" s="6" t="n"/>
      <c r="P1397" s="6" t="n"/>
      <c r="Q1397" s="3">
        <f>IF($D1397="","",$C1397&amp;"|"&amp;COUNTIFS($C$7:$C1397,$C1397))</f>
        <v/>
      </c>
    </row>
    <row r="1398">
      <c r="A1398" s="6" t="n"/>
      <c r="B1398" s="113">
        <f>IF($D1398="","","T"&amp;TEXT(ROW()-6,"00000"))</f>
        <v/>
      </c>
      <c r="C1398" s="113">
        <f>IF($D1398="","",IFERROR(INDEX(MUSTERILER!$B$7:$B$106,MATCH($D1398,MUSTERILER!$C$7:$C$106,0)),IFERROR(INDEX(MUSTERILER!$B$7:$B$106,MATCH($D1398,MUSTERILER!$B$7:$B$106,0)),IFERROR(INDEX(MUSTERILER!$B$7:$B$106,MATCH($D1398&amp;"*",MUSTERILER!$C$7:$C$106,0)),"TANIMSIZ MÜŞTERİ"))))</f>
        <v/>
      </c>
      <c r="D1398" s="109" t="n"/>
      <c r="E1398" s="225" t="n"/>
      <c r="F1398" s="226" t="n"/>
      <c r="G1398" s="108" t="n"/>
      <c r="H1398" s="108" t="n"/>
      <c r="I1398" s="109" t="n"/>
      <c r="J1398" s="109" t="n"/>
      <c r="K1398" s="109" t="n"/>
      <c r="L1398" s="231">
        <f>IF($E1398="","",DATE(YEAR($E1398),MONTH($E1398),1))</f>
        <v/>
      </c>
      <c r="M1398" s="113">
        <f>IF($D1398="","",IF($C1398="TANIMSIZ MÜŞTERİ","HATA",IF(OR($E1398="",$F1398&lt;=0,$G1398=""),"EKSİK",IF($E1398&gt;TODAY(),"İLERİ TARİH","UYGUN"))))</f>
        <v/>
      </c>
      <c r="N1398" s="121">
        <f>IF($C1398="","",IF($C1398="TANIMSIZ MÜŞTERİ","—",INDEX(MUSTERILER!$C$7:$C$106,MATCH($C1398,MUSTERILER!$B$7:$B$106,0))))</f>
        <v/>
      </c>
      <c r="O1398" s="6" t="n"/>
      <c r="P1398" s="6" t="n"/>
      <c r="Q1398" s="3">
        <f>IF($D1398="","",$C1398&amp;"|"&amp;COUNTIFS($C$7:$C1398,$C1398))</f>
        <v/>
      </c>
    </row>
    <row r="1399">
      <c r="A1399" s="6" t="n"/>
      <c r="B1399" s="113">
        <f>IF($D1399="","","T"&amp;TEXT(ROW()-6,"00000"))</f>
        <v/>
      </c>
      <c r="C1399" s="113">
        <f>IF($D1399="","",IFERROR(INDEX(MUSTERILER!$B$7:$B$106,MATCH($D1399,MUSTERILER!$C$7:$C$106,0)),IFERROR(INDEX(MUSTERILER!$B$7:$B$106,MATCH($D1399,MUSTERILER!$B$7:$B$106,0)),IFERROR(INDEX(MUSTERILER!$B$7:$B$106,MATCH($D1399&amp;"*",MUSTERILER!$C$7:$C$106,0)),"TANIMSIZ MÜŞTERİ"))))</f>
        <v/>
      </c>
      <c r="D1399" s="109" t="n"/>
      <c r="E1399" s="225" t="n"/>
      <c r="F1399" s="226" t="n"/>
      <c r="G1399" s="108" t="n"/>
      <c r="H1399" s="108" t="n"/>
      <c r="I1399" s="109" t="n"/>
      <c r="J1399" s="109" t="n"/>
      <c r="K1399" s="109" t="n"/>
      <c r="L1399" s="231">
        <f>IF($E1399="","",DATE(YEAR($E1399),MONTH($E1399),1))</f>
        <v/>
      </c>
      <c r="M1399" s="113">
        <f>IF($D1399="","",IF($C1399="TANIMSIZ MÜŞTERİ","HATA",IF(OR($E1399="",$F1399&lt;=0,$G1399=""),"EKSİK",IF($E1399&gt;TODAY(),"İLERİ TARİH","UYGUN"))))</f>
        <v/>
      </c>
      <c r="N1399" s="121">
        <f>IF($C1399="","",IF($C1399="TANIMSIZ MÜŞTERİ","—",INDEX(MUSTERILER!$C$7:$C$106,MATCH($C1399,MUSTERILER!$B$7:$B$106,0))))</f>
        <v/>
      </c>
      <c r="O1399" s="6" t="n"/>
      <c r="P1399" s="6" t="n"/>
      <c r="Q1399" s="3">
        <f>IF($D1399="","",$C1399&amp;"|"&amp;COUNTIFS($C$7:$C1399,$C1399))</f>
        <v/>
      </c>
    </row>
    <row r="1400">
      <c r="A1400" s="6" t="n"/>
      <c r="B1400" s="113">
        <f>IF($D1400="","","T"&amp;TEXT(ROW()-6,"00000"))</f>
        <v/>
      </c>
      <c r="C1400" s="113">
        <f>IF($D1400="","",IFERROR(INDEX(MUSTERILER!$B$7:$B$106,MATCH($D1400,MUSTERILER!$C$7:$C$106,0)),IFERROR(INDEX(MUSTERILER!$B$7:$B$106,MATCH($D1400,MUSTERILER!$B$7:$B$106,0)),IFERROR(INDEX(MUSTERILER!$B$7:$B$106,MATCH($D1400&amp;"*",MUSTERILER!$C$7:$C$106,0)),"TANIMSIZ MÜŞTERİ"))))</f>
        <v/>
      </c>
      <c r="D1400" s="109" t="n"/>
      <c r="E1400" s="225" t="n"/>
      <c r="F1400" s="226" t="n"/>
      <c r="G1400" s="108" t="n"/>
      <c r="H1400" s="108" t="n"/>
      <c r="I1400" s="109" t="n"/>
      <c r="J1400" s="109" t="n"/>
      <c r="K1400" s="109" t="n"/>
      <c r="L1400" s="231">
        <f>IF($E1400="","",DATE(YEAR($E1400),MONTH($E1400),1))</f>
        <v/>
      </c>
      <c r="M1400" s="113">
        <f>IF($D1400="","",IF($C1400="TANIMSIZ MÜŞTERİ","HATA",IF(OR($E1400="",$F1400&lt;=0,$G1400=""),"EKSİK",IF($E1400&gt;TODAY(),"İLERİ TARİH","UYGUN"))))</f>
        <v/>
      </c>
      <c r="N1400" s="121">
        <f>IF($C1400="","",IF($C1400="TANIMSIZ MÜŞTERİ","—",INDEX(MUSTERILER!$C$7:$C$106,MATCH($C1400,MUSTERILER!$B$7:$B$106,0))))</f>
        <v/>
      </c>
      <c r="O1400" s="6" t="n"/>
      <c r="P1400" s="6" t="n"/>
      <c r="Q1400" s="3">
        <f>IF($D1400="","",$C1400&amp;"|"&amp;COUNTIFS($C$7:$C1400,$C1400))</f>
        <v/>
      </c>
    </row>
    <row r="1401">
      <c r="A1401" s="6" t="n"/>
      <c r="B1401" s="113">
        <f>IF($D1401="","","T"&amp;TEXT(ROW()-6,"00000"))</f>
        <v/>
      </c>
      <c r="C1401" s="113">
        <f>IF($D1401="","",IFERROR(INDEX(MUSTERILER!$B$7:$B$106,MATCH($D1401,MUSTERILER!$C$7:$C$106,0)),IFERROR(INDEX(MUSTERILER!$B$7:$B$106,MATCH($D1401,MUSTERILER!$B$7:$B$106,0)),IFERROR(INDEX(MUSTERILER!$B$7:$B$106,MATCH($D1401&amp;"*",MUSTERILER!$C$7:$C$106,0)),"TANIMSIZ MÜŞTERİ"))))</f>
        <v/>
      </c>
      <c r="D1401" s="109" t="n"/>
      <c r="E1401" s="225" t="n"/>
      <c r="F1401" s="226" t="n"/>
      <c r="G1401" s="108" t="n"/>
      <c r="H1401" s="108" t="n"/>
      <c r="I1401" s="109" t="n"/>
      <c r="J1401" s="109" t="n"/>
      <c r="K1401" s="109" t="n"/>
      <c r="L1401" s="231">
        <f>IF($E1401="","",DATE(YEAR($E1401),MONTH($E1401),1))</f>
        <v/>
      </c>
      <c r="M1401" s="113">
        <f>IF($D1401="","",IF($C1401="TANIMSIZ MÜŞTERİ","HATA",IF(OR($E1401="",$F1401&lt;=0,$G1401=""),"EKSİK",IF($E1401&gt;TODAY(),"İLERİ TARİH","UYGUN"))))</f>
        <v/>
      </c>
      <c r="N1401" s="121">
        <f>IF($C1401="","",IF($C1401="TANIMSIZ MÜŞTERİ","—",INDEX(MUSTERILER!$C$7:$C$106,MATCH($C1401,MUSTERILER!$B$7:$B$106,0))))</f>
        <v/>
      </c>
      <c r="O1401" s="6" t="n"/>
      <c r="P1401" s="6" t="n"/>
      <c r="Q1401" s="3">
        <f>IF($D1401="","",$C1401&amp;"|"&amp;COUNTIFS($C$7:$C1401,$C1401))</f>
        <v/>
      </c>
    </row>
    <row r="1402">
      <c r="A1402" s="6" t="n"/>
      <c r="B1402" s="113">
        <f>IF($D1402="","","T"&amp;TEXT(ROW()-6,"00000"))</f>
        <v/>
      </c>
      <c r="C1402" s="113">
        <f>IF($D1402="","",IFERROR(INDEX(MUSTERILER!$B$7:$B$106,MATCH($D1402,MUSTERILER!$C$7:$C$106,0)),IFERROR(INDEX(MUSTERILER!$B$7:$B$106,MATCH($D1402,MUSTERILER!$B$7:$B$106,0)),IFERROR(INDEX(MUSTERILER!$B$7:$B$106,MATCH($D1402&amp;"*",MUSTERILER!$C$7:$C$106,0)),"TANIMSIZ MÜŞTERİ"))))</f>
        <v/>
      </c>
      <c r="D1402" s="109" t="n"/>
      <c r="E1402" s="225" t="n"/>
      <c r="F1402" s="226" t="n"/>
      <c r="G1402" s="108" t="n"/>
      <c r="H1402" s="108" t="n"/>
      <c r="I1402" s="109" t="n"/>
      <c r="J1402" s="109" t="n"/>
      <c r="K1402" s="109" t="n"/>
      <c r="L1402" s="231">
        <f>IF($E1402="","",DATE(YEAR($E1402),MONTH($E1402),1))</f>
        <v/>
      </c>
      <c r="M1402" s="113">
        <f>IF($D1402="","",IF($C1402="TANIMSIZ MÜŞTERİ","HATA",IF(OR($E1402="",$F1402&lt;=0,$G1402=""),"EKSİK",IF($E1402&gt;TODAY(),"İLERİ TARİH","UYGUN"))))</f>
        <v/>
      </c>
      <c r="N1402" s="121">
        <f>IF($C1402="","",IF($C1402="TANIMSIZ MÜŞTERİ","—",INDEX(MUSTERILER!$C$7:$C$106,MATCH($C1402,MUSTERILER!$B$7:$B$106,0))))</f>
        <v/>
      </c>
      <c r="O1402" s="6" t="n"/>
      <c r="P1402" s="6" t="n"/>
      <c r="Q1402" s="3">
        <f>IF($D1402="","",$C1402&amp;"|"&amp;COUNTIFS($C$7:$C1402,$C1402))</f>
        <v/>
      </c>
    </row>
    <row r="1403">
      <c r="A1403" s="6" t="n"/>
      <c r="B1403" s="113">
        <f>IF($D1403="","","T"&amp;TEXT(ROW()-6,"00000"))</f>
        <v/>
      </c>
      <c r="C1403" s="113">
        <f>IF($D1403="","",IFERROR(INDEX(MUSTERILER!$B$7:$B$106,MATCH($D1403,MUSTERILER!$C$7:$C$106,0)),IFERROR(INDEX(MUSTERILER!$B$7:$B$106,MATCH($D1403,MUSTERILER!$B$7:$B$106,0)),IFERROR(INDEX(MUSTERILER!$B$7:$B$106,MATCH($D1403&amp;"*",MUSTERILER!$C$7:$C$106,0)),"TANIMSIZ MÜŞTERİ"))))</f>
        <v/>
      </c>
      <c r="D1403" s="109" t="n"/>
      <c r="E1403" s="225" t="n"/>
      <c r="F1403" s="226" t="n"/>
      <c r="G1403" s="108" t="n"/>
      <c r="H1403" s="108" t="n"/>
      <c r="I1403" s="109" t="n"/>
      <c r="J1403" s="109" t="n"/>
      <c r="K1403" s="109" t="n"/>
      <c r="L1403" s="231">
        <f>IF($E1403="","",DATE(YEAR($E1403),MONTH($E1403),1))</f>
        <v/>
      </c>
      <c r="M1403" s="113">
        <f>IF($D1403="","",IF($C1403="TANIMSIZ MÜŞTERİ","HATA",IF(OR($E1403="",$F1403&lt;=0,$G1403=""),"EKSİK",IF($E1403&gt;TODAY(),"İLERİ TARİH","UYGUN"))))</f>
        <v/>
      </c>
      <c r="N1403" s="121">
        <f>IF($C1403="","",IF($C1403="TANIMSIZ MÜŞTERİ","—",INDEX(MUSTERILER!$C$7:$C$106,MATCH($C1403,MUSTERILER!$B$7:$B$106,0))))</f>
        <v/>
      </c>
      <c r="O1403" s="6" t="n"/>
      <c r="P1403" s="6" t="n"/>
      <c r="Q1403" s="3">
        <f>IF($D1403="","",$C1403&amp;"|"&amp;COUNTIFS($C$7:$C1403,$C1403))</f>
        <v/>
      </c>
    </row>
    <row r="1404">
      <c r="A1404" s="6" t="n"/>
      <c r="B1404" s="113">
        <f>IF($D1404="","","T"&amp;TEXT(ROW()-6,"00000"))</f>
        <v/>
      </c>
      <c r="C1404" s="113">
        <f>IF($D1404="","",IFERROR(INDEX(MUSTERILER!$B$7:$B$106,MATCH($D1404,MUSTERILER!$C$7:$C$106,0)),IFERROR(INDEX(MUSTERILER!$B$7:$B$106,MATCH($D1404,MUSTERILER!$B$7:$B$106,0)),IFERROR(INDEX(MUSTERILER!$B$7:$B$106,MATCH($D1404&amp;"*",MUSTERILER!$C$7:$C$106,0)),"TANIMSIZ MÜŞTERİ"))))</f>
        <v/>
      </c>
      <c r="D1404" s="109" t="n"/>
      <c r="E1404" s="225" t="n"/>
      <c r="F1404" s="226" t="n"/>
      <c r="G1404" s="108" t="n"/>
      <c r="H1404" s="108" t="n"/>
      <c r="I1404" s="109" t="n"/>
      <c r="J1404" s="109" t="n"/>
      <c r="K1404" s="109" t="n"/>
      <c r="L1404" s="231">
        <f>IF($E1404="","",DATE(YEAR($E1404),MONTH($E1404),1))</f>
        <v/>
      </c>
      <c r="M1404" s="113">
        <f>IF($D1404="","",IF($C1404="TANIMSIZ MÜŞTERİ","HATA",IF(OR($E1404="",$F1404&lt;=0,$G1404=""),"EKSİK",IF($E1404&gt;TODAY(),"İLERİ TARİH","UYGUN"))))</f>
        <v/>
      </c>
      <c r="N1404" s="121">
        <f>IF($C1404="","",IF($C1404="TANIMSIZ MÜŞTERİ","—",INDEX(MUSTERILER!$C$7:$C$106,MATCH($C1404,MUSTERILER!$B$7:$B$106,0))))</f>
        <v/>
      </c>
      <c r="O1404" s="6" t="n"/>
      <c r="P1404" s="6" t="n"/>
      <c r="Q1404" s="3">
        <f>IF($D1404="","",$C1404&amp;"|"&amp;COUNTIFS($C$7:$C1404,$C1404))</f>
        <v/>
      </c>
    </row>
    <row r="1405">
      <c r="A1405" s="6" t="n"/>
      <c r="B1405" s="113">
        <f>IF($D1405="","","T"&amp;TEXT(ROW()-6,"00000"))</f>
        <v/>
      </c>
      <c r="C1405" s="113">
        <f>IF($D1405="","",IFERROR(INDEX(MUSTERILER!$B$7:$B$106,MATCH($D1405,MUSTERILER!$C$7:$C$106,0)),IFERROR(INDEX(MUSTERILER!$B$7:$B$106,MATCH($D1405,MUSTERILER!$B$7:$B$106,0)),IFERROR(INDEX(MUSTERILER!$B$7:$B$106,MATCH($D1405&amp;"*",MUSTERILER!$C$7:$C$106,0)),"TANIMSIZ MÜŞTERİ"))))</f>
        <v/>
      </c>
      <c r="D1405" s="109" t="n"/>
      <c r="E1405" s="225" t="n"/>
      <c r="F1405" s="226" t="n"/>
      <c r="G1405" s="108" t="n"/>
      <c r="H1405" s="108" t="n"/>
      <c r="I1405" s="109" t="n"/>
      <c r="J1405" s="109" t="n"/>
      <c r="K1405" s="109" t="n"/>
      <c r="L1405" s="231">
        <f>IF($E1405="","",DATE(YEAR($E1405),MONTH($E1405),1))</f>
        <v/>
      </c>
      <c r="M1405" s="113">
        <f>IF($D1405="","",IF($C1405="TANIMSIZ MÜŞTERİ","HATA",IF(OR($E1405="",$F1405&lt;=0,$G1405=""),"EKSİK",IF($E1405&gt;TODAY(),"İLERİ TARİH","UYGUN"))))</f>
        <v/>
      </c>
      <c r="N1405" s="121">
        <f>IF($C1405="","",IF($C1405="TANIMSIZ MÜŞTERİ","—",INDEX(MUSTERILER!$C$7:$C$106,MATCH($C1405,MUSTERILER!$B$7:$B$106,0))))</f>
        <v/>
      </c>
      <c r="O1405" s="6" t="n"/>
      <c r="P1405" s="6" t="n"/>
      <c r="Q1405" s="3">
        <f>IF($D1405="","",$C1405&amp;"|"&amp;COUNTIFS($C$7:$C1405,$C1405))</f>
        <v/>
      </c>
    </row>
    <row r="1406">
      <c r="A1406" s="6" t="n"/>
      <c r="B1406" s="113">
        <f>IF($D1406="","","T"&amp;TEXT(ROW()-6,"00000"))</f>
        <v/>
      </c>
      <c r="C1406" s="113">
        <f>IF($D1406="","",IFERROR(INDEX(MUSTERILER!$B$7:$B$106,MATCH($D1406,MUSTERILER!$C$7:$C$106,0)),IFERROR(INDEX(MUSTERILER!$B$7:$B$106,MATCH($D1406,MUSTERILER!$B$7:$B$106,0)),IFERROR(INDEX(MUSTERILER!$B$7:$B$106,MATCH($D1406&amp;"*",MUSTERILER!$C$7:$C$106,0)),"TANIMSIZ MÜŞTERİ"))))</f>
        <v/>
      </c>
      <c r="D1406" s="109" t="n"/>
      <c r="E1406" s="225" t="n"/>
      <c r="F1406" s="226" t="n"/>
      <c r="G1406" s="108" t="n"/>
      <c r="H1406" s="108" t="n"/>
      <c r="I1406" s="109" t="n"/>
      <c r="J1406" s="109" t="n"/>
      <c r="K1406" s="109" t="n"/>
      <c r="L1406" s="231">
        <f>IF($E1406="","",DATE(YEAR($E1406),MONTH($E1406),1))</f>
        <v/>
      </c>
      <c r="M1406" s="113">
        <f>IF($D1406="","",IF($C1406="TANIMSIZ MÜŞTERİ","HATA",IF(OR($E1406="",$F1406&lt;=0,$G1406=""),"EKSİK",IF($E1406&gt;TODAY(),"İLERİ TARİH","UYGUN"))))</f>
        <v/>
      </c>
      <c r="N1406" s="121">
        <f>IF($C1406="","",IF($C1406="TANIMSIZ MÜŞTERİ","—",INDEX(MUSTERILER!$C$7:$C$106,MATCH($C1406,MUSTERILER!$B$7:$B$106,0))))</f>
        <v/>
      </c>
      <c r="O1406" s="6" t="n"/>
      <c r="P1406" s="6" t="n"/>
      <c r="Q1406" s="3">
        <f>IF($D1406="","",$C1406&amp;"|"&amp;COUNTIFS($C$7:$C1406,$C1406))</f>
        <v/>
      </c>
    </row>
    <row r="1407">
      <c r="A1407" s="6" t="n"/>
      <c r="B1407" s="113">
        <f>IF($D1407="","","T"&amp;TEXT(ROW()-6,"00000"))</f>
        <v/>
      </c>
      <c r="C1407" s="113">
        <f>IF($D1407="","",IFERROR(INDEX(MUSTERILER!$B$7:$B$106,MATCH($D1407,MUSTERILER!$C$7:$C$106,0)),IFERROR(INDEX(MUSTERILER!$B$7:$B$106,MATCH($D1407,MUSTERILER!$B$7:$B$106,0)),IFERROR(INDEX(MUSTERILER!$B$7:$B$106,MATCH($D1407&amp;"*",MUSTERILER!$C$7:$C$106,0)),"TANIMSIZ MÜŞTERİ"))))</f>
        <v/>
      </c>
      <c r="D1407" s="109" t="n"/>
      <c r="E1407" s="225" t="n"/>
      <c r="F1407" s="226" t="n"/>
      <c r="G1407" s="108" t="n"/>
      <c r="H1407" s="108" t="n"/>
      <c r="I1407" s="109" t="n"/>
      <c r="J1407" s="109" t="n"/>
      <c r="K1407" s="109" t="n"/>
      <c r="L1407" s="231">
        <f>IF($E1407="","",DATE(YEAR($E1407),MONTH($E1407),1))</f>
        <v/>
      </c>
      <c r="M1407" s="113">
        <f>IF($D1407="","",IF($C1407="TANIMSIZ MÜŞTERİ","HATA",IF(OR($E1407="",$F1407&lt;=0,$G1407=""),"EKSİK",IF($E1407&gt;TODAY(),"İLERİ TARİH","UYGUN"))))</f>
        <v/>
      </c>
      <c r="N1407" s="121">
        <f>IF($C1407="","",IF($C1407="TANIMSIZ MÜŞTERİ","—",INDEX(MUSTERILER!$C$7:$C$106,MATCH($C1407,MUSTERILER!$B$7:$B$106,0))))</f>
        <v/>
      </c>
      <c r="O1407" s="6" t="n"/>
      <c r="P1407" s="6" t="n"/>
      <c r="Q1407" s="3">
        <f>IF($D1407="","",$C1407&amp;"|"&amp;COUNTIFS($C$7:$C1407,$C1407))</f>
        <v/>
      </c>
    </row>
    <row r="1408">
      <c r="A1408" s="6" t="n"/>
      <c r="B1408" s="113">
        <f>IF($D1408="","","T"&amp;TEXT(ROW()-6,"00000"))</f>
        <v/>
      </c>
      <c r="C1408" s="113">
        <f>IF($D1408="","",IFERROR(INDEX(MUSTERILER!$B$7:$B$106,MATCH($D1408,MUSTERILER!$C$7:$C$106,0)),IFERROR(INDEX(MUSTERILER!$B$7:$B$106,MATCH($D1408,MUSTERILER!$B$7:$B$106,0)),IFERROR(INDEX(MUSTERILER!$B$7:$B$106,MATCH($D1408&amp;"*",MUSTERILER!$C$7:$C$106,0)),"TANIMSIZ MÜŞTERİ"))))</f>
        <v/>
      </c>
      <c r="D1408" s="109" t="n"/>
      <c r="E1408" s="225" t="n"/>
      <c r="F1408" s="226" t="n"/>
      <c r="G1408" s="108" t="n"/>
      <c r="H1408" s="108" t="n"/>
      <c r="I1408" s="109" t="n"/>
      <c r="J1408" s="109" t="n"/>
      <c r="K1408" s="109" t="n"/>
      <c r="L1408" s="231">
        <f>IF($E1408="","",DATE(YEAR($E1408),MONTH($E1408),1))</f>
        <v/>
      </c>
      <c r="M1408" s="113">
        <f>IF($D1408="","",IF($C1408="TANIMSIZ MÜŞTERİ","HATA",IF(OR($E1408="",$F1408&lt;=0,$G1408=""),"EKSİK",IF($E1408&gt;TODAY(),"İLERİ TARİH","UYGUN"))))</f>
        <v/>
      </c>
      <c r="N1408" s="121">
        <f>IF($C1408="","",IF($C1408="TANIMSIZ MÜŞTERİ","—",INDEX(MUSTERILER!$C$7:$C$106,MATCH($C1408,MUSTERILER!$B$7:$B$106,0))))</f>
        <v/>
      </c>
      <c r="O1408" s="6" t="n"/>
      <c r="P1408" s="6" t="n"/>
      <c r="Q1408" s="3">
        <f>IF($D1408="","",$C1408&amp;"|"&amp;COUNTIFS($C$7:$C1408,$C1408))</f>
        <v/>
      </c>
    </row>
    <row r="1409">
      <c r="A1409" s="6" t="n"/>
      <c r="B1409" s="113">
        <f>IF($D1409="","","T"&amp;TEXT(ROW()-6,"00000"))</f>
        <v/>
      </c>
      <c r="C1409" s="113">
        <f>IF($D1409="","",IFERROR(INDEX(MUSTERILER!$B$7:$B$106,MATCH($D1409,MUSTERILER!$C$7:$C$106,0)),IFERROR(INDEX(MUSTERILER!$B$7:$B$106,MATCH($D1409,MUSTERILER!$B$7:$B$106,0)),IFERROR(INDEX(MUSTERILER!$B$7:$B$106,MATCH($D1409&amp;"*",MUSTERILER!$C$7:$C$106,0)),"TANIMSIZ MÜŞTERİ"))))</f>
        <v/>
      </c>
      <c r="D1409" s="109" t="n"/>
      <c r="E1409" s="225" t="n"/>
      <c r="F1409" s="226" t="n"/>
      <c r="G1409" s="108" t="n"/>
      <c r="H1409" s="108" t="n"/>
      <c r="I1409" s="109" t="n"/>
      <c r="J1409" s="109" t="n"/>
      <c r="K1409" s="109" t="n"/>
      <c r="L1409" s="231">
        <f>IF($E1409="","",DATE(YEAR($E1409),MONTH($E1409),1))</f>
        <v/>
      </c>
      <c r="M1409" s="113">
        <f>IF($D1409="","",IF($C1409="TANIMSIZ MÜŞTERİ","HATA",IF(OR($E1409="",$F1409&lt;=0,$G1409=""),"EKSİK",IF($E1409&gt;TODAY(),"İLERİ TARİH","UYGUN"))))</f>
        <v/>
      </c>
      <c r="N1409" s="121">
        <f>IF($C1409="","",IF($C1409="TANIMSIZ MÜŞTERİ","—",INDEX(MUSTERILER!$C$7:$C$106,MATCH($C1409,MUSTERILER!$B$7:$B$106,0))))</f>
        <v/>
      </c>
      <c r="O1409" s="6" t="n"/>
      <c r="P1409" s="6" t="n"/>
      <c r="Q1409" s="3">
        <f>IF($D1409="","",$C1409&amp;"|"&amp;COUNTIFS($C$7:$C1409,$C1409))</f>
        <v/>
      </c>
    </row>
    <row r="1410">
      <c r="A1410" s="6" t="n"/>
      <c r="B1410" s="113">
        <f>IF($D1410="","","T"&amp;TEXT(ROW()-6,"00000"))</f>
        <v/>
      </c>
      <c r="C1410" s="113">
        <f>IF($D1410="","",IFERROR(INDEX(MUSTERILER!$B$7:$B$106,MATCH($D1410,MUSTERILER!$C$7:$C$106,0)),IFERROR(INDEX(MUSTERILER!$B$7:$B$106,MATCH($D1410,MUSTERILER!$B$7:$B$106,0)),IFERROR(INDEX(MUSTERILER!$B$7:$B$106,MATCH($D1410&amp;"*",MUSTERILER!$C$7:$C$106,0)),"TANIMSIZ MÜŞTERİ"))))</f>
        <v/>
      </c>
      <c r="D1410" s="109" t="n"/>
      <c r="E1410" s="225" t="n"/>
      <c r="F1410" s="226" t="n"/>
      <c r="G1410" s="108" t="n"/>
      <c r="H1410" s="108" t="n"/>
      <c r="I1410" s="109" t="n"/>
      <c r="J1410" s="109" t="n"/>
      <c r="K1410" s="109" t="n"/>
      <c r="L1410" s="231">
        <f>IF($E1410="","",DATE(YEAR($E1410),MONTH($E1410),1))</f>
        <v/>
      </c>
      <c r="M1410" s="113">
        <f>IF($D1410="","",IF($C1410="TANIMSIZ MÜŞTERİ","HATA",IF(OR($E1410="",$F1410&lt;=0,$G1410=""),"EKSİK",IF($E1410&gt;TODAY(),"İLERİ TARİH","UYGUN"))))</f>
        <v/>
      </c>
      <c r="N1410" s="121">
        <f>IF($C1410="","",IF($C1410="TANIMSIZ MÜŞTERİ","—",INDEX(MUSTERILER!$C$7:$C$106,MATCH($C1410,MUSTERILER!$B$7:$B$106,0))))</f>
        <v/>
      </c>
      <c r="O1410" s="6" t="n"/>
      <c r="P1410" s="6" t="n"/>
      <c r="Q1410" s="3">
        <f>IF($D1410="","",$C1410&amp;"|"&amp;COUNTIFS($C$7:$C1410,$C1410))</f>
        <v/>
      </c>
    </row>
    <row r="1411">
      <c r="A1411" s="6" t="n"/>
      <c r="B1411" s="113">
        <f>IF($D1411="","","T"&amp;TEXT(ROW()-6,"00000"))</f>
        <v/>
      </c>
      <c r="C1411" s="113">
        <f>IF($D1411="","",IFERROR(INDEX(MUSTERILER!$B$7:$B$106,MATCH($D1411,MUSTERILER!$C$7:$C$106,0)),IFERROR(INDEX(MUSTERILER!$B$7:$B$106,MATCH($D1411,MUSTERILER!$B$7:$B$106,0)),IFERROR(INDEX(MUSTERILER!$B$7:$B$106,MATCH($D1411&amp;"*",MUSTERILER!$C$7:$C$106,0)),"TANIMSIZ MÜŞTERİ"))))</f>
        <v/>
      </c>
      <c r="D1411" s="109" t="n"/>
      <c r="E1411" s="225" t="n"/>
      <c r="F1411" s="226" t="n"/>
      <c r="G1411" s="108" t="n"/>
      <c r="H1411" s="108" t="n"/>
      <c r="I1411" s="109" t="n"/>
      <c r="J1411" s="109" t="n"/>
      <c r="K1411" s="109" t="n"/>
      <c r="L1411" s="231">
        <f>IF($E1411="","",DATE(YEAR($E1411),MONTH($E1411),1))</f>
        <v/>
      </c>
      <c r="M1411" s="113">
        <f>IF($D1411="","",IF($C1411="TANIMSIZ MÜŞTERİ","HATA",IF(OR($E1411="",$F1411&lt;=0,$G1411=""),"EKSİK",IF($E1411&gt;TODAY(),"İLERİ TARİH","UYGUN"))))</f>
        <v/>
      </c>
      <c r="N1411" s="121">
        <f>IF($C1411="","",IF($C1411="TANIMSIZ MÜŞTERİ","—",INDEX(MUSTERILER!$C$7:$C$106,MATCH($C1411,MUSTERILER!$B$7:$B$106,0))))</f>
        <v/>
      </c>
      <c r="O1411" s="6" t="n"/>
      <c r="P1411" s="6" t="n"/>
      <c r="Q1411" s="3">
        <f>IF($D1411="","",$C1411&amp;"|"&amp;COUNTIFS($C$7:$C1411,$C1411))</f>
        <v/>
      </c>
    </row>
    <row r="1412">
      <c r="A1412" s="6" t="n"/>
      <c r="B1412" s="113">
        <f>IF($D1412="","","T"&amp;TEXT(ROW()-6,"00000"))</f>
        <v/>
      </c>
      <c r="C1412" s="113">
        <f>IF($D1412="","",IFERROR(INDEX(MUSTERILER!$B$7:$B$106,MATCH($D1412,MUSTERILER!$C$7:$C$106,0)),IFERROR(INDEX(MUSTERILER!$B$7:$B$106,MATCH($D1412,MUSTERILER!$B$7:$B$106,0)),IFERROR(INDEX(MUSTERILER!$B$7:$B$106,MATCH($D1412&amp;"*",MUSTERILER!$C$7:$C$106,0)),"TANIMSIZ MÜŞTERİ"))))</f>
        <v/>
      </c>
      <c r="D1412" s="109" t="n"/>
      <c r="E1412" s="225" t="n"/>
      <c r="F1412" s="226" t="n"/>
      <c r="G1412" s="108" t="n"/>
      <c r="H1412" s="108" t="n"/>
      <c r="I1412" s="109" t="n"/>
      <c r="J1412" s="109" t="n"/>
      <c r="K1412" s="109" t="n"/>
      <c r="L1412" s="231">
        <f>IF($E1412="","",DATE(YEAR($E1412),MONTH($E1412),1))</f>
        <v/>
      </c>
      <c r="M1412" s="113">
        <f>IF($D1412="","",IF($C1412="TANIMSIZ MÜŞTERİ","HATA",IF(OR($E1412="",$F1412&lt;=0,$G1412=""),"EKSİK",IF($E1412&gt;TODAY(),"İLERİ TARİH","UYGUN"))))</f>
        <v/>
      </c>
      <c r="N1412" s="121">
        <f>IF($C1412="","",IF($C1412="TANIMSIZ MÜŞTERİ","—",INDEX(MUSTERILER!$C$7:$C$106,MATCH($C1412,MUSTERILER!$B$7:$B$106,0))))</f>
        <v/>
      </c>
      <c r="O1412" s="6" t="n"/>
      <c r="P1412" s="6" t="n"/>
      <c r="Q1412" s="3">
        <f>IF($D1412="","",$C1412&amp;"|"&amp;COUNTIFS($C$7:$C1412,$C1412))</f>
        <v/>
      </c>
    </row>
    <row r="1413">
      <c r="A1413" s="6" t="n"/>
      <c r="B1413" s="113">
        <f>IF($D1413="","","T"&amp;TEXT(ROW()-6,"00000"))</f>
        <v/>
      </c>
      <c r="C1413" s="113">
        <f>IF($D1413="","",IFERROR(INDEX(MUSTERILER!$B$7:$B$106,MATCH($D1413,MUSTERILER!$C$7:$C$106,0)),IFERROR(INDEX(MUSTERILER!$B$7:$B$106,MATCH($D1413,MUSTERILER!$B$7:$B$106,0)),IFERROR(INDEX(MUSTERILER!$B$7:$B$106,MATCH($D1413&amp;"*",MUSTERILER!$C$7:$C$106,0)),"TANIMSIZ MÜŞTERİ"))))</f>
        <v/>
      </c>
      <c r="D1413" s="109" t="n"/>
      <c r="E1413" s="225" t="n"/>
      <c r="F1413" s="226" t="n"/>
      <c r="G1413" s="108" t="n"/>
      <c r="H1413" s="108" t="n"/>
      <c r="I1413" s="109" t="n"/>
      <c r="J1413" s="109" t="n"/>
      <c r="K1413" s="109" t="n"/>
      <c r="L1413" s="231">
        <f>IF($E1413="","",DATE(YEAR($E1413),MONTH($E1413),1))</f>
        <v/>
      </c>
      <c r="M1413" s="113">
        <f>IF($D1413="","",IF($C1413="TANIMSIZ MÜŞTERİ","HATA",IF(OR($E1413="",$F1413&lt;=0,$G1413=""),"EKSİK",IF($E1413&gt;TODAY(),"İLERİ TARİH","UYGUN"))))</f>
        <v/>
      </c>
      <c r="N1413" s="121">
        <f>IF($C1413="","",IF($C1413="TANIMSIZ MÜŞTERİ","—",INDEX(MUSTERILER!$C$7:$C$106,MATCH($C1413,MUSTERILER!$B$7:$B$106,0))))</f>
        <v/>
      </c>
      <c r="O1413" s="6" t="n"/>
      <c r="P1413" s="6" t="n"/>
      <c r="Q1413" s="3">
        <f>IF($D1413="","",$C1413&amp;"|"&amp;COUNTIFS($C$7:$C1413,$C1413))</f>
        <v/>
      </c>
    </row>
    <row r="1414">
      <c r="A1414" s="6" t="n"/>
      <c r="B1414" s="113">
        <f>IF($D1414="","","T"&amp;TEXT(ROW()-6,"00000"))</f>
        <v/>
      </c>
      <c r="C1414" s="113">
        <f>IF($D1414="","",IFERROR(INDEX(MUSTERILER!$B$7:$B$106,MATCH($D1414,MUSTERILER!$C$7:$C$106,0)),IFERROR(INDEX(MUSTERILER!$B$7:$B$106,MATCH($D1414,MUSTERILER!$B$7:$B$106,0)),IFERROR(INDEX(MUSTERILER!$B$7:$B$106,MATCH($D1414&amp;"*",MUSTERILER!$C$7:$C$106,0)),"TANIMSIZ MÜŞTERİ"))))</f>
        <v/>
      </c>
      <c r="D1414" s="109" t="n"/>
      <c r="E1414" s="225" t="n"/>
      <c r="F1414" s="226" t="n"/>
      <c r="G1414" s="108" t="n"/>
      <c r="H1414" s="108" t="n"/>
      <c r="I1414" s="109" t="n"/>
      <c r="J1414" s="109" t="n"/>
      <c r="K1414" s="109" t="n"/>
      <c r="L1414" s="231">
        <f>IF($E1414="","",DATE(YEAR($E1414),MONTH($E1414),1))</f>
        <v/>
      </c>
      <c r="M1414" s="113">
        <f>IF($D1414="","",IF($C1414="TANIMSIZ MÜŞTERİ","HATA",IF(OR($E1414="",$F1414&lt;=0,$G1414=""),"EKSİK",IF($E1414&gt;TODAY(),"İLERİ TARİH","UYGUN"))))</f>
        <v/>
      </c>
      <c r="N1414" s="121">
        <f>IF($C1414="","",IF($C1414="TANIMSIZ MÜŞTERİ","—",INDEX(MUSTERILER!$C$7:$C$106,MATCH($C1414,MUSTERILER!$B$7:$B$106,0))))</f>
        <v/>
      </c>
      <c r="O1414" s="6" t="n"/>
      <c r="P1414" s="6" t="n"/>
      <c r="Q1414" s="3">
        <f>IF($D1414="","",$C1414&amp;"|"&amp;COUNTIFS($C$7:$C1414,$C1414))</f>
        <v/>
      </c>
    </row>
    <row r="1415">
      <c r="A1415" s="6" t="n"/>
      <c r="B1415" s="113">
        <f>IF($D1415="","","T"&amp;TEXT(ROW()-6,"00000"))</f>
        <v/>
      </c>
      <c r="C1415" s="113">
        <f>IF($D1415="","",IFERROR(INDEX(MUSTERILER!$B$7:$B$106,MATCH($D1415,MUSTERILER!$C$7:$C$106,0)),IFERROR(INDEX(MUSTERILER!$B$7:$B$106,MATCH($D1415,MUSTERILER!$B$7:$B$106,0)),IFERROR(INDEX(MUSTERILER!$B$7:$B$106,MATCH($D1415&amp;"*",MUSTERILER!$C$7:$C$106,0)),"TANIMSIZ MÜŞTERİ"))))</f>
        <v/>
      </c>
      <c r="D1415" s="109" t="n"/>
      <c r="E1415" s="225" t="n"/>
      <c r="F1415" s="226" t="n"/>
      <c r="G1415" s="108" t="n"/>
      <c r="H1415" s="108" t="n"/>
      <c r="I1415" s="109" t="n"/>
      <c r="J1415" s="109" t="n"/>
      <c r="K1415" s="109" t="n"/>
      <c r="L1415" s="231">
        <f>IF($E1415="","",DATE(YEAR($E1415),MONTH($E1415),1))</f>
        <v/>
      </c>
      <c r="M1415" s="113">
        <f>IF($D1415="","",IF($C1415="TANIMSIZ MÜŞTERİ","HATA",IF(OR($E1415="",$F1415&lt;=0,$G1415=""),"EKSİK",IF($E1415&gt;TODAY(),"İLERİ TARİH","UYGUN"))))</f>
        <v/>
      </c>
      <c r="N1415" s="121">
        <f>IF($C1415="","",IF($C1415="TANIMSIZ MÜŞTERİ","—",INDEX(MUSTERILER!$C$7:$C$106,MATCH($C1415,MUSTERILER!$B$7:$B$106,0))))</f>
        <v/>
      </c>
      <c r="O1415" s="6" t="n"/>
      <c r="P1415" s="6" t="n"/>
      <c r="Q1415" s="3">
        <f>IF($D1415="","",$C1415&amp;"|"&amp;COUNTIFS($C$7:$C1415,$C1415))</f>
        <v/>
      </c>
    </row>
    <row r="1416">
      <c r="A1416" s="6" t="n"/>
      <c r="B1416" s="113">
        <f>IF($D1416="","","T"&amp;TEXT(ROW()-6,"00000"))</f>
        <v/>
      </c>
      <c r="C1416" s="113">
        <f>IF($D1416="","",IFERROR(INDEX(MUSTERILER!$B$7:$B$106,MATCH($D1416,MUSTERILER!$C$7:$C$106,0)),IFERROR(INDEX(MUSTERILER!$B$7:$B$106,MATCH($D1416,MUSTERILER!$B$7:$B$106,0)),IFERROR(INDEX(MUSTERILER!$B$7:$B$106,MATCH($D1416&amp;"*",MUSTERILER!$C$7:$C$106,0)),"TANIMSIZ MÜŞTERİ"))))</f>
        <v/>
      </c>
      <c r="D1416" s="109" t="n"/>
      <c r="E1416" s="225" t="n"/>
      <c r="F1416" s="226" t="n"/>
      <c r="G1416" s="108" t="n"/>
      <c r="H1416" s="108" t="n"/>
      <c r="I1416" s="109" t="n"/>
      <c r="J1416" s="109" t="n"/>
      <c r="K1416" s="109" t="n"/>
      <c r="L1416" s="231">
        <f>IF($E1416="","",DATE(YEAR($E1416),MONTH($E1416),1))</f>
        <v/>
      </c>
      <c r="M1416" s="113">
        <f>IF($D1416="","",IF($C1416="TANIMSIZ MÜŞTERİ","HATA",IF(OR($E1416="",$F1416&lt;=0,$G1416=""),"EKSİK",IF($E1416&gt;TODAY(),"İLERİ TARİH","UYGUN"))))</f>
        <v/>
      </c>
      <c r="N1416" s="121">
        <f>IF($C1416="","",IF($C1416="TANIMSIZ MÜŞTERİ","—",INDEX(MUSTERILER!$C$7:$C$106,MATCH($C1416,MUSTERILER!$B$7:$B$106,0))))</f>
        <v/>
      </c>
      <c r="O1416" s="6" t="n"/>
      <c r="P1416" s="6" t="n"/>
      <c r="Q1416" s="3">
        <f>IF($D1416="","",$C1416&amp;"|"&amp;COUNTIFS($C$7:$C1416,$C1416))</f>
        <v/>
      </c>
    </row>
    <row r="1417">
      <c r="A1417" s="6" t="n"/>
      <c r="B1417" s="113">
        <f>IF($D1417="","","T"&amp;TEXT(ROW()-6,"00000"))</f>
        <v/>
      </c>
      <c r="C1417" s="113">
        <f>IF($D1417="","",IFERROR(INDEX(MUSTERILER!$B$7:$B$106,MATCH($D1417,MUSTERILER!$C$7:$C$106,0)),IFERROR(INDEX(MUSTERILER!$B$7:$B$106,MATCH($D1417,MUSTERILER!$B$7:$B$106,0)),IFERROR(INDEX(MUSTERILER!$B$7:$B$106,MATCH($D1417&amp;"*",MUSTERILER!$C$7:$C$106,0)),"TANIMSIZ MÜŞTERİ"))))</f>
        <v/>
      </c>
      <c r="D1417" s="109" t="n"/>
      <c r="E1417" s="225" t="n"/>
      <c r="F1417" s="226" t="n"/>
      <c r="G1417" s="108" t="n"/>
      <c r="H1417" s="108" t="n"/>
      <c r="I1417" s="109" t="n"/>
      <c r="J1417" s="109" t="n"/>
      <c r="K1417" s="109" t="n"/>
      <c r="L1417" s="231">
        <f>IF($E1417="","",DATE(YEAR($E1417),MONTH($E1417),1))</f>
        <v/>
      </c>
      <c r="M1417" s="113">
        <f>IF($D1417="","",IF($C1417="TANIMSIZ MÜŞTERİ","HATA",IF(OR($E1417="",$F1417&lt;=0,$G1417=""),"EKSİK",IF($E1417&gt;TODAY(),"İLERİ TARİH","UYGUN"))))</f>
        <v/>
      </c>
      <c r="N1417" s="121">
        <f>IF($C1417="","",IF($C1417="TANIMSIZ MÜŞTERİ","—",INDEX(MUSTERILER!$C$7:$C$106,MATCH($C1417,MUSTERILER!$B$7:$B$106,0))))</f>
        <v/>
      </c>
      <c r="O1417" s="6" t="n"/>
      <c r="P1417" s="6" t="n"/>
      <c r="Q1417" s="3">
        <f>IF($D1417="","",$C1417&amp;"|"&amp;COUNTIFS($C$7:$C1417,$C1417))</f>
        <v/>
      </c>
    </row>
    <row r="1418">
      <c r="A1418" s="6" t="n"/>
      <c r="B1418" s="113">
        <f>IF($D1418="","","T"&amp;TEXT(ROW()-6,"00000"))</f>
        <v/>
      </c>
      <c r="C1418" s="113">
        <f>IF($D1418="","",IFERROR(INDEX(MUSTERILER!$B$7:$B$106,MATCH($D1418,MUSTERILER!$C$7:$C$106,0)),IFERROR(INDEX(MUSTERILER!$B$7:$B$106,MATCH($D1418,MUSTERILER!$B$7:$B$106,0)),IFERROR(INDEX(MUSTERILER!$B$7:$B$106,MATCH($D1418&amp;"*",MUSTERILER!$C$7:$C$106,0)),"TANIMSIZ MÜŞTERİ"))))</f>
        <v/>
      </c>
      <c r="D1418" s="109" t="n"/>
      <c r="E1418" s="225" t="n"/>
      <c r="F1418" s="226" t="n"/>
      <c r="G1418" s="108" t="n"/>
      <c r="H1418" s="108" t="n"/>
      <c r="I1418" s="109" t="n"/>
      <c r="J1418" s="109" t="n"/>
      <c r="K1418" s="109" t="n"/>
      <c r="L1418" s="231">
        <f>IF($E1418="","",DATE(YEAR($E1418),MONTH($E1418),1))</f>
        <v/>
      </c>
      <c r="M1418" s="113">
        <f>IF($D1418="","",IF($C1418="TANIMSIZ MÜŞTERİ","HATA",IF(OR($E1418="",$F1418&lt;=0,$G1418=""),"EKSİK",IF($E1418&gt;TODAY(),"İLERİ TARİH","UYGUN"))))</f>
        <v/>
      </c>
      <c r="N1418" s="121">
        <f>IF($C1418="","",IF($C1418="TANIMSIZ MÜŞTERİ","—",INDEX(MUSTERILER!$C$7:$C$106,MATCH($C1418,MUSTERILER!$B$7:$B$106,0))))</f>
        <v/>
      </c>
      <c r="O1418" s="6" t="n"/>
      <c r="P1418" s="6" t="n"/>
      <c r="Q1418" s="3">
        <f>IF($D1418="","",$C1418&amp;"|"&amp;COUNTIFS($C$7:$C1418,$C1418))</f>
        <v/>
      </c>
    </row>
    <row r="1419">
      <c r="A1419" s="6" t="n"/>
      <c r="B1419" s="113">
        <f>IF($D1419="","","T"&amp;TEXT(ROW()-6,"00000"))</f>
        <v/>
      </c>
      <c r="C1419" s="113">
        <f>IF($D1419="","",IFERROR(INDEX(MUSTERILER!$B$7:$B$106,MATCH($D1419,MUSTERILER!$C$7:$C$106,0)),IFERROR(INDEX(MUSTERILER!$B$7:$B$106,MATCH($D1419,MUSTERILER!$B$7:$B$106,0)),IFERROR(INDEX(MUSTERILER!$B$7:$B$106,MATCH($D1419&amp;"*",MUSTERILER!$C$7:$C$106,0)),"TANIMSIZ MÜŞTERİ"))))</f>
        <v/>
      </c>
      <c r="D1419" s="109" t="n"/>
      <c r="E1419" s="225" t="n"/>
      <c r="F1419" s="226" t="n"/>
      <c r="G1419" s="108" t="n"/>
      <c r="H1419" s="108" t="n"/>
      <c r="I1419" s="109" t="n"/>
      <c r="J1419" s="109" t="n"/>
      <c r="K1419" s="109" t="n"/>
      <c r="L1419" s="231">
        <f>IF($E1419="","",DATE(YEAR($E1419),MONTH($E1419),1))</f>
        <v/>
      </c>
      <c r="M1419" s="113">
        <f>IF($D1419="","",IF($C1419="TANIMSIZ MÜŞTERİ","HATA",IF(OR($E1419="",$F1419&lt;=0,$G1419=""),"EKSİK",IF($E1419&gt;TODAY(),"İLERİ TARİH","UYGUN"))))</f>
        <v/>
      </c>
      <c r="N1419" s="121">
        <f>IF($C1419="","",IF($C1419="TANIMSIZ MÜŞTERİ","—",INDEX(MUSTERILER!$C$7:$C$106,MATCH($C1419,MUSTERILER!$B$7:$B$106,0))))</f>
        <v/>
      </c>
      <c r="O1419" s="6" t="n"/>
      <c r="P1419" s="6" t="n"/>
      <c r="Q1419" s="3">
        <f>IF($D1419="","",$C1419&amp;"|"&amp;COUNTIFS($C$7:$C1419,$C1419))</f>
        <v/>
      </c>
    </row>
    <row r="1420">
      <c r="A1420" s="6" t="n"/>
      <c r="B1420" s="113">
        <f>IF($D1420="","","T"&amp;TEXT(ROW()-6,"00000"))</f>
        <v/>
      </c>
      <c r="C1420" s="113">
        <f>IF($D1420="","",IFERROR(INDEX(MUSTERILER!$B$7:$B$106,MATCH($D1420,MUSTERILER!$C$7:$C$106,0)),IFERROR(INDEX(MUSTERILER!$B$7:$B$106,MATCH($D1420,MUSTERILER!$B$7:$B$106,0)),IFERROR(INDEX(MUSTERILER!$B$7:$B$106,MATCH($D1420&amp;"*",MUSTERILER!$C$7:$C$106,0)),"TANIMSIZ MÜŞTERİ"))))</f>
        <v/>
      </c>
      <c r="D1420" s="109" t="n"/>
      <c r="E1420" s="225" t="n"/>
      <c r="F1420" s="226" t="n"/>
      <c r="G1420" s="108" t="n"/>
      <c r="H1420" s="108" t="n"/>
      <c r="I1420" s="109" t="n"/>
      <c r="J1420" s="109" t="n"/>
      <c r="K1420" s="109" t="n"/>
      <c r="L1420" s="231">
        <f>IF($E1420="","",DATE(YEAR($E1420),MONTH($E1420),1))</f>
        <v/>
      </c>
      <c r="M1420" s="113">
        <f>IF($D1420="","",IF($C1420="TANIMSIZ MÜŞTERİ","HATA",IF(OR($E1420="",$F1420&lt;=0,$G1420=""),"EKSİK",IF($E1420&gt;TODAY(),"İLERİ TARİH","UYGUN"))))</f>
        <v/>
      </c>
      <c r="N1420" s="121">
        <f>IF($C1420="","",IF($C1420="TANIMSIZ MÜŞTERİ","—",INDEX(MUSTERILER!$C$7:$C$106,MATCH($C1420,MUSTERILER!$B$7:$B$106,0))))</f>
        <v/>
      </c>
      <c r="O1420" s="6" t="n"/>
      <c r="P1420" s="6" t="n"/>
      <c r="Q1420" s="3">
        <f>IF($D1420="","",$C1420&amp;"|"&amp;COUNTIFS($C$7:$C1420,$C1420))</f>
        <v/>
      </c>
    </row>
    <row r="1421">
      <c r="A1421" s="6" t="n"/>
      <c r="B1421" s="113">
        <f>IF($D1421="","","T"&amp;TEXT(ROW()-6,"00000"))</f>
        <v/>
      </c>
      <c r="C1421" s="113">
        <f>IF($D1421="","",IFERROR(INDEX(MUSTERILER!$B$7:$B$106,MATCH($D1421,MUSTERILER!$C$7:$C$106,0)),IFERROR(INDEX(MUSTERILER!$B$7:$B$106,MATCH($D1421,MUSTERILER!$B$7:$B$106,0)),IFERROR(INDEX(MUSTERILER!$B$7:$B$106,MATCH($D1421&amp;"*",MUSTERILER!$C$7:$C$106,0)),"TANIMSIZ MÜŞTERİ"))))</f>
        <v/>
      </c>
      <c r="D1421" s="109" t="n"/>
      <c r="E1421" s="225" t="n"/>
      <c r="F1421" s="226" t="n"/>
      <c r="G1421" s="108" t="n"/>
      <c r="H1421" s="108" t="n"/>
      <c r="I1421" s="109" t="n"/>
      <c r="J1421" s="109" t="n"/>
      <c r="K1421" s="109" t="n"/>
      <c r="L1421" s="231">
        <f>IF($E1421="","",DATE(YEAR($E1421),MONTH($E1421),1))</f>
        <v/>
      </c>
      <c r="M1421" s="113">
        <f>IF($D1421="","",IF($C1421="TANIMSIZ MÜŞTERİ","HATA",IF(OR($E1421="",$F1421&lt;=0,$G1421=""),"EKSİK",IF($E1421&gt;TODAY(),"İLERİ TARİH","UYGUN"))))</f>
        <v/>
      </c>
      <c r="N1421" s="121">
        <f>IF($C1421="","",IF($C1421="TANIMSIZ MÜŞTERİ","—",INDEX(MUSTERILER!$C$7:$C$106,MATCH($C1421,MUSTERILER!$B$7:$B$106,0))))</f>
        <v/>
      </c>
      <c r="O1421" s="6" t="n"/>
      <c r="P1421" s="6" t="n"/>
      <c r="Q1421" s="3">
        <f>IF($D1421="","",$C1421&amp;"|"&amp;COUNTIFS($C$7:$C1421,$C1421))</f>
        <v/>
      </c>
    </row>
    <row r="1422">
      <c r="A1422" s="6" t="n"/>
      <c r="B1422" s="113">
        <f>IF($D1422="","","T"&amp;TEXT(ROW()-6,"00000"))</f>
        <v/>
      </c>
      <c r="C1422" s="113">
        <f>IF($D1422="","",IFERROR(INDEX(MUSTERILER!$B$7:$B$106,MATCH($D1422,MUSTERILER!$C$7:$C$106,0)),IFERROR(INDEX(MUSTERILER!$B$7:$B$106,MATCH($D1422,MUSTERILER!$B$7:$B$106,0)),IFERROR(INDEX(MUSTERILER!$B$7:$B$106,MATCH($D1422&amp;"*",MUSTERILER!$C$7:$C$106,0)),"TANIMSIZ MÜŞTERİ"))))</f>
        <v/>
      </c>
      <c r="D1422" s="109" t="n"/>
      <c r="E1422" s="225" t="n"/>
      <c r="F1422" s="226" t="n"/>
      <c r="G1422" s="108" t="n"/>
      <c r="H1422" s="108" t="n"/>
      <c r="I1422" s="109" t="n"/>
      <c r="J1422" s="109" t="n"/>
      <c r="K1422" s="109" t="n"/>
      <c r="L1422" s="231">
        <f>IF($E1422="","",DATE(YEAR($E1422),MONTH($E1422),1))</f>
        <v/>
      </c>
      <c r="M1422" s="113">
        <f>IF($D1422="","",IF($C1422="TANIMSIZ MÜŞTERİ","HATA",IF(OR($E1422="",$F1422&lt;=0,$G1422=""),"EKSİK",IF($E1422&gt;TODAY(),"İLERİ TARİH","UYGUN"))))</f>
        <v/>
      </c>
      <c r="N1422" s="121">
        <f>IF($C1422="","",IF($C1422="TANIMSIZ MÜŞTERİ","—",INDEX(MUSTERILER!$C$7:$C$106,MATCH($C1422,MUSTERILER!$B$7:$B$106,0))))</f>
        <v/>
      </c>
      <c r="O1422" s="6" t="n"/>
      <c r="P1422" s="6" t="n"/>
      <c r="Q1422" s="3">
        <f>IF($D1422="","",$C1422&amp;"|"&amp;COUNTIFS($C$7:$C1422,$C1422))</f>
        <v/>
      </c>
    </row>
    <row r="1423">
      <c r="A1423" s="6" t="n"/>
      <c r="B1423" s="113">
        <f>IF($D1423="","","T"&amp;TEXT(ROW()-6,"00000"))</f>
        <v/>
      </c>
      <c r="C1423" s="113">
        <f>IF($D1423="","",IFERROR(INDEX(MUSTERILER!$B$7:$B$106,MATCH($D1423,MUSTERILER!$C$7:$C$106,0)),IFERROR(INDEX(MUSTERILER!$B$7:$B$106,MATCH($D1423,MUSTERILER!$B$7:$B$106,0)),IFERROR(INDEX(MUSTERILER!$B$7:$B$106,MATCH($D1423&amp;"*",MUSTERILER!$C$7:$C$106,0)),"TANIMSIZ MÜŞTERİ"))))</f>
        <v/>
      </c>
      <c r="D1423" s="109" t="n"/>
      <c r="E1423" s="225" t="n"/>
      <c r="F1423" s="226" t="n"/>
      <c r="G1423" s="108" t="n"/>
      <c r="H1423" s="108" t="n"/>
      <c r="I1423" s="109" t="n"/>
      <c r="J1423" s="109" t="n"/>
      <c r="K1423" s="109" t="n"/>
      <c r="L1423" s="231">
        <f>IF($E1423="","",DATE(YEAR($E1423),MONTH($E1423),1))</f>
        <v/>
      </c>
      <c r="M1423" s="113">
        <f>IF($D1423="","",IF($C1423="TANIMSIZ MÜŞTERİ","HATA",IF(OR($E1423="",$F1423&lt;=0,$G1423=""),"EKSİK",IF($E1423&gt;TODAY(),"İLERİ TARİH","UYGUN"))))</f>
        <v/>
      </c>
      <c r="N1423" s="121">
        <f>IF($C1423="","",IF($C1423="TANIMSIZ MÜŞTERİ","—",INDEX(MUSTERILER!$C$7:$C$106,MATCH($C1423,MUSTERILER!$B$7:$B$106,0))))</f>
        <v/>
      </c>
      <c r="O1423" s="6" t="n"/>
      <c r="P1423" s="6" t="n"/>
      <c r="Q1423" s="3">
        <f>IF($D1423="","",$C1423&amp;"|"&amp;COUNTIFS($C$7:$C1423,$C1423))</f>
        <v/>
      </c>
    </row>
    <row r="1424">
      <c r="A1424" s="6" t="n"/>
      <c r="B1424" s="113">
        <f>IF($D1424="","","T"&amp;TEXT(ROW()-6,"00000"))</f>
        <v/>
      </c>
      <c r="C1424" s="113">
        <f>IF($D1424="","",IFERROR(INDEX(MUSTERILER!$B$7:$B$106,MATCH($D1424,MUSTERILER!$C$7:$C$106,0)),IFERROR(INDEX(MUSTERILER!$B$7:$B$106,MATCH($D1424,MUSTERILER!$B$7:$B$106,0)),IFERROR(INDEX(MUSTERILER!$B$7:$B$106,MATCH($D1424&amp;"*",MUSTERILER!$C$7:$C$106,0)),"TANIMSIZ MÜŞTERİ"))))</f>
        <v/>
      </c>
      <c r="D1424" s="109" t="n"/>
      <c r="E1424" s="225" t="n"/>
      <c r="F1424" s="226" t="n"/>
      <c r="G1424" s="108" t="n"/>
      <c r="H1424" s="108" t="n"/>
      <c r="I1424" s="109" t="n"/>
      <c r="J1424" s="109" t="n"/>
      <c r="K1424" s="109" t="n"/>
      <c r="L1424" s="231">
        <f>IF($E1424="","",DATE(YEAR($E1424),MONTH($E1424),1))</f>
        <v/>
      </c>
      <c r="M1424" s="113">
        <f>IF($D1424="","",IF($C1424="TANIMSIZ MÜŞTERİ","HATA",IF(OR($E1424="",$F1424&lt;=0,$G1424=""),"EKSİK",IF($E1424&gt;TODAY(),"İLERİ TARİH","UYGUN"))))</f>
        <v/>
      </c>
      <c r="N1424" s="121">
        <f>IF($C1424="","",IF($C1424="TANIMSIZ MÜŞTERİ","—",INDEX(MUSTERILER!$C$7:$C$106,MATCH($C1424,MUSTERILER!$B$7:$B$106,0))))</f>
        <v/>
      </c>
      <c r="O1424" s="6" t="n"/>
      <c r="P1424" s="6" t="n"/>
      <c r="Q1424" s="3">
        <f>IF($D1424="","",$C1424&amp;"|"&amp;COUNTIFS($C$7:$C1424,$C1424))</f>
        <v/>
      </c>
    </row>
    <row r="1425">
      <c r="A1425" s="6" t="n"/>
      <c r="B1425" s="113">
        <f>IF($D1425="","","T"&amp;TEXT(ROW()-6,"00000"))</f>
        <v/>
      </c>
      <c r="C1425" s="113">
        <f>IF($D1425="","",IFERROR(INDEX(MUSTERILER!$B$7:$B$106,MATCH($D1425,MUSTERILER!$C$7:$C$106,0)),IFERROR(INDEX(MUSTERILER!$B$7:$B$106,MATCH($D1425,MUSTERILER!$B$7:$B$106,0)),IFERROR(INDEX(MUSTERILER!$B$7:$B$106,MATCH($D1425&amp;"*",MUSTERILER!$C$7:$C$106,0)),"TANIMSIZ MÜŞTERİ"))))</f>
        <v/>
      </c>
      <c r="D1425" s="109" t="n"/>
      <c r="E1425" s="225" t="n"/>
      <c r="F1425" s="226" t="n"/>
      <c r="G1425" s="108" t="n"/>
      <c r="H1425" s="108" t="n"/>
      <c r="I1425" s="109" t="n"/>
      <c r="J1425" s="109" t="n"/>
      <c r="K1425" s="109" t="n"/>
      <c r="L1425" s="231">
        <f>IF($E1425="","",DATE(YEAR($E1425),MONTH($E1425),1))</f>
        <v/>
      </c>
      <c r="M1425" s="113">
        <f>IF($D1425="","",IF($C1425="TANIMSIZ MÜŞTERİ","HATA",IF(OR($E1425="",$F1425&lt;=0,$G1425=""),"EKSİK",IF($E1425&gt;TODAY(),"İLERİ TARİH","UYGUN"))))</f>
        <v/>
      </c>
      <c r="N1425" s="121">
        <f>IF($C1425="","",IF($C1425="TANIMSIZ MÜŞTERİ","—",INDEX(MUSTERILER!$C$7:$C$106,MATCH($C1425,MUSTERILER!$B$7:$B$106,0))))</f>
        <v/>
      </c>
      <c r="O1425" s="6" t="n"/>
      <c r="P1425" s="6" t="n"/>
      <c r="Q1425" s="3">
        <f>IF($D1425="","",$C1425&amp;"|"&amp;COUNTIFS($C$7:$C1425,$C1425))</f>
        <v/>
      </c>
    </row>
    <row r="1426">
      <c r="A1426" s="6" t="n"/>
      <c r="B1426" s="113">
        <f>IF($D1426="","","T"&amp;TEXT(ROW()-6,"00000"))</f>
        <v/>
      </c>
      <c r="C1426" s="113">
        <f>IF($D1426="","",IFERROR(INDEX(MUSTERILER!$B$7:$B$106,MATCH($D1426,MUSTERILER!$C$7:$C$106,0)),IFERROR(INDEX(MUSTERILER!$B$7:$B$106,MATCH($D1426,MUSTERILER!$B$7:$B$106,0)),IFERROR(INDEX(MUSTERILER!$B$7:$B$106,MATCH($D1426&amp;"*",MUSTERILER!$C$7:$C$106,0)),"TANIMSIZ MÜŞTERİ"))))</f>
        <v/>
      </c>
      <c r="D1426" s="109" t="n"/>
      <c r="E1426" s="225" t="n"/>
      <c r="F1426" s="226" t="n"/>
      <c r="G1426" s="108" t="n"/>
      <c r="H1426" s="108" t="n"/>
      <c r="I1426" s="109" t="n"/>
      <c r="J1426" s="109" t="n"/>
      <c r="K1426" s="109" t="n"/>
      <c r="L1426" s="231">
        <f>IF($E1426="","",DATE(YEAR($E1426),MONTH($E1426),1))</f>
        <v/>
      </c>
      <c r="M1426" s="113">
        <f>IF($D1426="","",IF($C1426="TANIMSIZ MÜŞTERİ","HATA",IF(OR($E1426="",$F1426&lt;=0,$G1426=""),"EKSİK",IF($E1426&gt;TODAY(),"İLERİ TARİH","UYGUN"))))</f>
        <v/>
      </c>
      <c r="N1426" s="121">
        <f>IF($C1426="","",IF($C1426="TANIMSIZ MÜŞTERİ","—",INDEX(MUSTERILER!$C$7:$C$106,MATCH($C1426,MUSTERILER!$B$7:$B$106,0))))</f>
        <v/>
      </c>
      <c r="O1426" s="6" t="n"/>
      <c r="P1426" s="6" t="n"/>
      <c r="Q1426" s="3">
        <f>IF($D1426="","",$C1426&amp;"|"&amp;COUNTIFS($C$7:$C1426,$C1426))</f>
        <v/>
      </c>
    </row>
    <row r="1427">
      <c r="A1427" s="6" t="n"/>
      <c r="B1427" s="113">
        <f>IF($D1427="","","T"&amp;TEXT(ROW()-6,"00000"))</f>
        <v/>
      </c>
      <c r="C1427" s="113">
        <f>IF($D1427="","",IFERROR(INDEX(MUSTERILER!$B$7:$B$106,MATCH($D1427,MUSTERILER!$C$7:$C$106,0)),IFERROR(INDEX(MUSTERILER!$B$7:$B$106,MATCH($D1427,MUSTERILER!$B$7:$B$106,0)),IFERROR(INDEX(MUSTERILER!$B$7:$B$106,MATCH($D1427&amp;"*",MUSTERILER!$C$7:$C$106,0)),"TANIMSIZ MÜŞTERİ"))))</f>
        <v/>
      </c>
      <c r="D1427" s="109" t="n"/>
      <c r="E1427" s="225" t="n"/>
      <c r="F1427" s="226" t="n"/>
      <c r="G1427" s="108" t="n"/>
      <c r="H1427" s="108" t="n"/>
      <c r="I1427" s="109" t="n"/>
      <c r="J1427" s="109" t="n"/>
      <c r="K1427" s="109" t="n"/>
      <c r="L1427" s="231">
        <f>IF($E1427="","",DATE(YEAR($E1427),MONTH($E1427),1))</f>
        <v/>
      </c>
      <c r="M1427" s="113">
        <f>IF($D1427="","",IF($C1427="TANIMSIZ MÜŞTERİ","HATA",IF(OR($E1427="",$F1427&lt;=0,$G1427=""),"EKSİK",IF($E1427&gt;TODAY(),"İLERİ TARİH","UYGUN"))))</f>
        <v/>
      </c>
      <c r="N1427" s="121">
        <f>IF($C1427="","",IF($C1427="TANIMSIZ MÜŞTERİ","—",INDEX(MUSTERILER!$C$7:$C$106,MATCH($C1427,MUSTERILER!$B$7:$B$106,0))))</f>
        <v/>
      </c>
      <c r="O1427" s="6" t="n"/>
      <c r="P1427" s="6" t="n"/>
      <c r="Q1427" s="3">
        <f>IF($D1427="","",$C1427&amp;"|"&amp;COUNTIFS($C$7:$C1427,$C1427))</f>
        <v/>
      </c>
    </row>
    <row r="1428">
      <c r="A1428" s="6" t="n"/>
      <c r="B1428" s="113">
        <f>IF($D1428="","","T"&amp;TEXT(ROW()-6,"00000"))</f>
        <v/>
      </c>
      <c r="C1428" s="113">
        <f>IF($D1428="","",IFERROR(INDEX(MUSTERILER!$B$7:$B$106,MATCH($D1428,MUSTERILER!$C$7:$C$106,0)),IFERROR(INDEX(MUSTERILER!$B$7:$B$106,MATCH($D1428,MUSTERILER!$B$7:$B$106,0)),IFERROR(INDEX(MUSTERILER!$B$7:$B$106,MATCH($D1428&amp;"*",MUSTERILER!$C$7:$C$106,0)),"TANIMSIZ MÜŞTERİ"))))</f>
        <v/>
      </c>
      <c r="D1428" s="109" t="n"/>
      <c r="E1428" s="225" t="n"/>
      <c r="F1428" s="226" t="n"/>
      <c r="G1428" s="108" t="n"/>
      <c r="H1428" s="108" t="n"/>
      <c r="I1428" s="109" t="n"/>
      <c r="J1428" s="109" t="n"/>
      <c r="K1428" s="109" t="n"/>
      <c r="L1428" s="231">
        <f>IF($E1428="","",DATE(YEAR($E1428),MONTH($E1428),1))</f>
        <v/>
      </c>
      <c r="M1428" s="113">
        <f>IF($D1428="","",IF($C1428="TANIMSIZ MÜŞTERİ","HATA",IF(OR($E1428="",$F1428&lt;=0,$G1428=""),"EKSİK",IF($E1428&gt;TODAY(),"İLERİ TARİH","UYGUN"))))</f>
        <v/>
      </c>
      <c r="N1428" s="121">
        <f>IF($C1428="","",IF($C1428="TANIMSIZ MÜŞTERİ","—",INDEX(MUSTERILER!$C$7:$C$106,MATCH($C1428,MUSTERILER!$B$7:$B$106,0))))</f>
        <v/>
      </c>
      <c r="O1428" s="6" t="n"/>
      <c r="P1428" s="6" t="n"/>
      <c r="Q1428" s="3">
        <f>IF($D1428="","",$C1428&amp;"|"&amp;COUNTIFS($C$7:$C1428,$C1428))</f>
        <v/>
      </c>
    </row>
    <row r="1429">
      <c r="A1429" s="6" t="n"/>
      <c r="B1429" s="113">
        <f>IF($D1429="","","T"&amp;TEXT(ROW()-6,"00000"))</f>
        <v/>
      </c>
      <c r="C1429" s="113">
        <f>IF($D1429="","",IFERROR(INDEX(MUSTERILER!$B$7:$B$106,MATCH($D1429,MUSTERILER!$C$7:$C$106,0)),IFERROR(INDEX(MUSTERILER!$B$7:$B$106,MATCH($D1429,MUSTERILER!$B$7:$B$106,0)),IFERROR(INDEX(MUSTERILER!$B$7:$B$106,MATCH($D1429&amp;"*",MUSTERILER!$C$7:$C$106,0)),"TANIMSIZ MÜŞTERİ"))))</f>
        <v/>
      </c>
      <c r="D1429" s="109" t="n"/>
      <c r="E1429" s="225" t="n"/>
      <c r="F1429" s="226" t="n"/>
      <c r="G1429" s="108" t="n"/>
      <c r="H1429" s="108" t="n"/>
      <c r="I1429" s="109" t="n"/>
      <c r="J1429" s="109" t="n"/>
      <c r="K1429" s="109" t="n"/>
      <c r="L1429" s="231">
        <f>IF($E1429="","",DATE(YEAR($E1429),MONTH($E1429),1))</f>
        <v/>
      </c>
      <c r="M1429" s="113">
        <f>IF($D1429="","",IF($C1429="TANIMSIZ MÜŞTERİ","HATA",IF(OR($E1429="",$F1429&lt;=0,$G1429=""),"EKSİK",IF($E1429&gt;TODAY(),"İLERİ TARİH","UYGUN"))))</f>
        <v/>
      </c>
      <c r="N1429" s="121">
        <f>IF($C1429="","",IF($C1429="TANIMSIZ MÜŞTERİ","—",INDEX(MUSTERILER!$C$7:$C$106,MATCH($C1429,MUSTERILER!$B$7:$B$106,0))))</f>
        <v/>
      </c>
      <c r="O1429" s="6" t="n"/>
      <c r="P1429" s="6" t="n"/>
      <c r="Q1429" s="3">
        <f>IF($D1429="","",$C1429&amp;"|"&amp;COUNTIFS($C$7:$C1429,$C1429))</f>
        <v/>
      </c>
    </row>
    <row r="1430">
      <c r="A1430" s="6" t="n"/>
      <c r="B1430" s="113">
        <f>IF($D1430="","","T"&amp;TEXT(ROW()-6,"00000"))</f>
        <v/>
      </c>
      <c r="C1430" s="113">
        <f>IF($D1430="","",IFERROR(INDEX(MUSTERILER!$B$7:$B$106,MATCH($D1430,MUSTERILER!$C$7:$C$106,0)),IFERROR(INDEX(MUSTERILER!$B$7:$B$106,MATCH($D1430,MUSTERILER!$B$7:$B$106,0)),IFERROR(INDEX(MUSTERILER!$B$7:$B$106,MATCH($D1430&amp;"*",MUSTERILER!$C$7:$C$106,0)),"TANIMSIZ MÜŞTERİ"))))</f>
        <v/>
      </c>
      <c r="D1430" s="109" t="n"/>
      <c r="E1430" s="225" t="n"/>
      <c r="F1430" s="226" t="n"/>
      <c r="G1430" s="108" t="n"/>
      <c r="H1430" s="108" t="n"/>
      <c r="I1430" s="109" t="n"/>
      <c r="J1430" s="109" t="n"/>
      <c r="K1430" s="109" t="n"/>
      <c r="L1430" s="231">
        <f>IF($E1430="","",DATE(YEAR($E1430),MONTH($E1430),1))</f>
        <v/>
      </c>
      <c r="M1430" s="113">
        <f>IF($D1430="","",IF($C1430="TANIMSIZ MÜŞTERİ","HATA",IF(OR($E1430="",$F1430&lt;=0,$G1430=""),"EKSİK",IF($E1430&gt;TODAY(),"İLERİ TARİH","UYGUN"))))</f>
        <v/>
      </c>
      <c r="N1430" s="121">
        <f>IF($C1430="","",IF($C1430="TANIMSIZ MÜŞTERİ","—",INDEX(MUSTERILER!$C$7:$C$106,MATCH($C1430,MUSTERILER!$B$7:$B$106,0))))</f>
        <v/>
      </c>
      <c r="O1430" s="6" t="n"/>
      <c r="P1430" s="6" t="n"/>
      <c r="Q1430" s="3">
        <f>IF($D1430="","",$C1430&amp;"|"&amp;COUNTIFS($C$7:$C1430,$C1430))</f>
        <v/>
      </c>
    </row>
    <row r="1431">
      <c r="A1431" s="6" t="n"/>
      <c r="B1431" s="113">
        <f>IF($D1431="","","T"&amp;TEXT(ROW()-6,"00000"))</f>
        <v/>
      </c>
      <c r="C1431" s="113">
        <f>IF($D1431="","",IFERROR(INDEX(MUSTERILER!$B$7:$B$106,MATCH($D1431,MUSTERILER!$C$7:$C$106,0)),IFERROR(INDEX(MUSTERILER!$B$7:$B$106,MATCH($D1431,MUSTERILER!$B$7:$B$106,0)),IFERROR(INDEX(MUSTERILER!$B$7:$B$106,MATCH($D1431&amp;"*",MUSTERILER!$C$7:$C$106,0)),"TANIMSIZ MÜŞTERİ"))))</f>
        <v/>
      </c>
      <c r="D1431" s="109" t="n"/>
      <c r="E1431" s="225" t="n"/>
      <c r="F1431" s="226" t="n"/>
      <c r="G1431" s="108" t="n"/>
      <c r="H1431" s="108" t="n"/>
      <c r="I1431" s="109" t="n"/>
      <c r="J1431" s="109" t="n"/>
      <c r="K1431" s="109" t="n"/>
      <c r="L1431" s="231">
        <f>IF($E1431="","",DATE(YEAR($E1431),MONTH($E1431),1))</f>
        <v/>
      </c>
      <c r="M1431" s="113">
        <f>IF($D1431="","",IF($C1431="TANIMSIZ MÜŞTERİ","HATA",IF(OR($E1431="",$F1431&lt;=0,$G1431=""),"EKSİK",IF($E1431&gt;TODAY(),"İLERİ TARİH","UYGUN"))))</f>
        <v/>
      </c>
      <c r="N1431" s="121">
        <f>IF($C1431="","",IF($C1431="TANIMSIZ MÜŞTERİ","—",INDEX(MUSTERILER!$C$7:$C$106,MATCH($C1431,MUSTERILER!$B$7:$B$106,0))))</f>
        <v/>
      </c>
      <c r="O1431" s="6" t="n"/>
      <c r="P1431" s="6" t="n"/>
      <c r="Q1431" s="3">
        <f>IF($D1431="","",$C1431&amp;"|"&amp;COUNTIFS($C$7:$C1431,$C1431))</f>
        <v/>
      </c>
    </row>
    <row r="1432">
      <c r="A1432" s="6" t="n"/>
      <c r="B1432" s="113">
        <f>IF($D1432="","","T"&amp;TEXT(ROW()-6,"00000"))</f>
        <v/>
      </c>
      <c r="C1432" s="113">
        <f>IF($D1432="","",IFERROR(INDEX(MUSTERILER!$B$7:$B$106,MATCH($D1432,MUSTERILER!$C$7:$C$106,0)),IFERROR(INDEX(MUSTERILER!$B$7:$B$106,MATCH($D1432,MUSTERILER!$B$7:$B$106,0)),IFERROR(INDEX(MUSTERILER!$B$7:$B$106,MATCH($D1432&amp;"*",MUSTERILER!$C$7:$C$106,0)),"TANIMSIZ MÜŞTERİ"))))</f>
        <v/>
      </c>
      <c r="D1432" s="109" t="n"/>
      <c r="E1432" s="225" t="n"/>
      <c r="F1432" s="226" t="n"/>
      <c r="G1432" s="108" t="n"/>
      <c r="H1432" s="108" t="n"/>
      <c r="I1432" s="109" t="n"/>
      <c r="J1432" s="109" t="n"/>
      <c r="K1432" s="109" t="n"/>
      <c r="L1432" s="231">
        <f>IF($E1432="","",DATE(YEAR($E1432),MONTH($E1432),1))</f>
        <v/>
      </c>
      <c r="M1432" s="113">
        <f>IF($D1432="","",IF($C1432="TANIMSIZ MÜŞTERİ","HATA",IF(OR($E1432="",$F1432&lt;=0,$G1432=""),"EKSİK",IF($E1432&gt;TODAY(),"İLERİ TARİH","UYGUN"))))</f>
        <v/>
      </c>
      <c r="N1432" s="121">
        <f>IF($C1432="","",IF($C1432="TANIMSIZ MÜŞTERİ","—",INDEX(MUSTERILER!$C$7:$C$106,MATCH($C1432,MUSTERILER!$B$7:$B$106,0))))</f>
        <v/>
      </c>
      <c r="O1432" s="6" t="n"/>
      <c r="P1432" s="6" t="n"/>
      <c r="Q1432" s="3">
        <f>IF($D1432="","",$C1432&amp;"|"&amp;COUNTIFS($C$7:$C1432,$C1432))</f>
        <v/>
      </c>
    </row>
    <row r="1433">
      <c r="A1433" s="6" t="n"/>
      <c r="B1433" s="113">
        <f>IF($D1433="","","T"&amp;TEXT(ROW()-6,"00000"))</f>
        <v/>
      </c>
      <c r="C1433" s="113">
        <f>IF($D1433="","",IFERROR(INDEX(MUSTERILER!$B$7:$B$106,MATCH($D1433,MUSTERILER!$C$7:$C$106,0)),IFERROR(INDEX(MUSTERILER!$B$7:$B$106,MATCH($D1433,MUSTERILER!$B$7:$B$106,0)),IFERROR(INDEX(MUSTERILER!$B$7:$B$106,MATCH($D1433&amp;"*",MUSTERILER!$C$7:$C$106,0)),"TANIMSIZ MÜŞTERİ"))))</f>
        <v/>
      </c>
      <c r="D1433" s="109" t="n"/>
      <c r="E1433" s="225" t="n"/>
      <c r="F1433" s="226" t="n"/>
      <c r="G1433" s="108" t="n"/>
      <c r="H1433" s="108" t="n"/>
      <c r="I1433" s="109" t="n"/>
      <c r="J1433" s="109" t="n"/>
      <c r="K1433" s="109" t="n"/>
      <c r="L1433" s="231">
        <f>IF($E1433="","",DATE(YEAR($E1433),MONTH($E1433),1))</f>
        <v/>
      </c>
      <c r="M1433" s="113">
        <f>IF($D1433="","",IF($C1433="TANIMSIZ MÜŞTERİ","HATA",IF(OR($E1433="",$F1433&lt;=0,$G1433=""),"EKSİK",IF($E1433&gt;TODAY(),"İLERİ TARİH","UYGUN"))))</f>
        <v/>
      </c>
      <c r="N1433" s="121">
        <f>IF($C1433="","",IF($C1433="TANIMSIZ MÜŞTERİ","—",INDEX(MUSTERILER!$C$7:$C$106,MATCH($C1433,MUSTERILER!$B$7:$B$106,0))))</f>
        <v/>
      </c>
      <c r="O1433" s="6" t="n"/>
      <c r="P1433" s="6" t="n"/>
      <c r="Q1433" s="3">
        <f>IF($D1433="","",$C1433&amp;"|"&amp;COUNTIFS($C$7:$C1433,$C1433))</f>
        <v/>
      </c>
    </row>
    <row r="1434">
      <c r="A1434" s="6" t="n"/>
      <c r="B1434" s="113">
        <f>IF($D1434="","","T"&amp;TEXT(ROW()-6,"00000"))</f>
        <v/>
      </c>
      <c r="C1434" s="113">
        <f>IF($D1434="","",IFERROR(INDEX(MUSTERILER!$B$7:$B$106,MATCH($D1434,MUSTERILER!$C$7:$C$106,0)),IFERROR(INDEX(MUSTERILER!$B$7:$B$106,MATCH($D1434,MUSTERILER!$B$7:$B$106,0)),IFERROR(INDEX(MUSTERILER!$B$7:$B$106,MATCH($D1434&amp;"*",MUSTERILER!$C$7:$C$106,0)),"TANIMSIZ MÜŞTERİ"))))</f>
        <v/>
      </c>
      <c r="D1434" s="109" t="n"/>
      <c r="E1434" s="225" t="n"/>
      <c r="F1434" s="226" t="n"/>
      <c r="G1434" s="108" t="n"/>
      <c r="H1434" s="108" t="n"/>
      <c r="I1434" s="109" t="n"/>
      <c r="J1434" s="109" t="n"/>
      <c r="K1434" s="109" t="n"/>
      <c r="L1434" s="231">
        <f>IF($E1434="","",DATE(YEAR($E1434),MONTH($E1434),1))</f>
        <v/>
      </c>
      <c r="M1434" s="113">
        <f>IF($D1434="","",IF($C1434="TANIMSIZ MÜŞTERİ","HATA",IF(OR($E1434="",$F1434&lt;=0,$G1434=""),"EKSİK",IF($E1434&gt;TODAY(),"İLERİ TARİH","UYGUN"))))</f>
        <v/>
      </c>
      <c r="N1434" s="121">
        <f>IF($C1434="","",IF($C1434="TANIMSIZ MÜŞTERİ","—",INDEX(MUSTERILER!$C$7:$C$106,MATCH($C1434,MUSTERILER!$B$7:$B$106,0))))</f>
        <v/>
      </c>
      <c r="O1434" s="6" t="n"/>
      <c r="P1434" s="6" t="n"/>
      <c r="Q1434" s="3">
        <f>IF($D1434="","",$C1434&amp;"|"&amp;COUNTIFS($C$7:$C1434,$C1434))</f>
        <v/>
      </c>
    </row>
    <row r="1435">
      <c r="A1435" s="6" t="n"/>
      <c r="B1435" s="113">
        <f>IF($D1435="","","T"&amp;TEXT(ROW()-6,"00000"))</f>
        <v/>
      </c>
      <c r="C1435" s="113">
        <f>IF($D1435="","",IFERROR(INDEX(MUSTERILER!$B$7:$B$106,MATCH($D1435,MUSTERILER!$C$7:$C$106,0)),IFERROR(INDEX(MUSTERILER!$B$7:$B$106,MATCH($D1435,MUSTERILER!$B$7:$B$106,0)),IFERROR(INDEX(MUSTERILER!$B$7:$B$106,MATCH($D1435&amp;"*",MUSTERILER!$C$7:$C$106,0)),"TANIMSIZ MÜŞTERİ"))))</f>
        <v/>
      </c>
      <c r="D1435" s="109" t="n"/>
      <c r="E1435" s="225" t="n"/>
      <c r="F1435" s="226" t="n"/>
      <c r="G1435" s="108" t="n"/>
      <c r="H1435" s="108" t="n"/>
      <c r="I1435" s="109" t="n"/>
      <c r="J1435" s="109" t="n"/>
      <c r="K1435" s="109" t="n"/>
      <c r="L1435" s="231">
        <f>IF($E1435="","",DATE(YEAR($E1435),MONTH($E1435),1))</f>
        <v/>
      </c>
      <c r="M1435" s="113">
        <f>IF($D1435="","",IF($C1435="TANIMSIZ MÜŞTERİ","HATA",IF(OR($E1435="",$F1435&lt;=0,$G1435=""),"EKSİK",IF($E1435&gt;TODAY(),"İLERİ TARİH","UYGUN"))))</f>
        <v/>
      </c>
      <c r="N1435" s="121">
        <f>IF($C1435="","",IF($C1435="TANIMSIZ MÜŞTERİ","—",INDEX(MUSTERILER!$C$7:$C$106,MATCH($C1435,MUSTERILER!$B$7:$B$106,0))))</f>
        <v/>
      </c>
      <c r="O1435" s="6" t="n"/>
      <c r="P1435" s="6" t="n"/>
      <c r="Q1435" s="3">
        <f>IF($D1435="","",$C1435&amp;"|"&amp;COUNTIFS($C$7:$C1435,$C1435))</f>
        <v/>
      </c>
    </row>
    <row r="1436">
      <c r="A1436" s="6" t="n"/>
      <c r="B1436" s="113">
        <f>IF($D1436="","","T"&amp;TEXT(ROW()-6,"00000"))</f>
        <v/>
      </c>
      <c r="C1436" s="113">
        <f>IF($D1436="","",IFERROR(INDEX(MUSTERILER!$B$7:$B$106,MATCH($D1436,MUSTERILER!$C$7:$C$106,0)),IFERROR(INDEX(MUSTERILER!$B$7:$B$106,MATCH($D1436,MUSTERILER!$B$7:$B$106,0)),IFERROR(INDEX(MUSTERILER!$B$7:$B$106,MATCH($D1436&amp;"*",MUSTERILER!$C$7:$C$106,0)),"TANIMSIZ MÜŞTERİ"))))</f>
        <v/>
      </c>
      <c r="D1436" s="109" t="n"/>
      <c r="E1436" s="225" t="n"/>
      <c r="F1436" s="226" t="n"/>
      <c r="G1436" s="108" t="n"/>
      <c r="H1436" s="108" t="n"/>
      <c r="I1436" s="109" t="n"/>
      <c r="J1436" s="109" t="n"/>
      <c r="K1436" s="109" t="n"/>
      <c r="L1436" s="231">
        <f>IF($E1436="","",DATE(YEAR($E1436),MONTH($E1436),1))</f>
        <v/>
      </c>
      <c r="M1436" s="113">
        <f>IF($D1436="","",IF($C1436="TANIMSIZ MÜŞTERİ","HATA",IF(OR($E1436="",$F1436&lt;=0,$G1436=""),"EKSİK",IF($E1436&gt;TODAY(),"İLERİ TARİH","UYGUN"))))</f>
        <v/>
      </c>
      <c r="N1436" s="121">
        <f>IF($C1436="","",IF($C1436="TANIMSIZ MÜŞTERİ","—",INDEX(MUSTERILER!$C$7:$C$106,MATCH($C1436,MUSTERILER!$B$7:$B$106,0))))</f>
        <v/>
      </c>
      <c r="O1436" s="6" t="n"/>
      <c r="P1436" s="6" t="n"/>
      <c r="Q1436" s="3">
        <f>IF($D1436="","",$C1436&amp;"|"&amp;COUNTIFS($C$7:$C1436,$C1436))</f>
        <v/>
      </c>
    </row>
    <row r="1437">
      <c r="A1437" s="6" t="n"/>
      <c r="B1437" s="113">
        <f>IF($D1437="","","T"&amp;TEXT(ROW()-6,"00000"))</f>
        <v/>
      </c>
      <c r="C1437" s="113">
        <f>IF($D1437="","",IFERROR(INDEX(MUSTERILER!$B$7:$B$106,MATCH($D1437,MUSTERILER!$C$7:$C$106,0)),IFERROR(INDEX(MUSTERILER!$B$7:$B$106,MATCH($D1437,MUSTERILER!$B$7:$B$106,0)),IFERROR(INDEX(MUSTERILER!$B$7:$B$106,MATCH($D1437&amp;"*",MUSTERILER!$C$7:$C$106,0)),"TANIMSIZ MÜŞTERİ"))))</f>
        <v/>
      </c>
      <c r="D1437" s="109" t="n"/>
      <c r="E1437" s="225" t="n"/>
      <c r="F1437" s="226" t="n"/>
      <c r="G1437" s="108" t="n"/>
      <c r="H1437" s="108" t="n"/>
      <c r="I1437" s="109" t="n"/>
      <c r="J1437" s="109" t="n"/>
      <c r="K1437" s="109" t="n"/>
      <c r="L1437" s="231">
        <f>IF($E1437="","",DATE(YEAR($E1437),MONTH($E1437),1))</f>
        <v/>
      </c>
      <c r="M1437" s="113">
        <f>IF($D1437="","",IF($C1437="TANIMSIZ MÜŞTERİ","HATA",IF(OR($E1437="",$F1437&lt;=0,$G1437=""),"EKSİK",IF($E1437&gt;TODAY(),"İLERİ TARİH","UYGUN"))))</f>
        <v/>
      </c>
      <c r="N1437" s="121">
        <f>IF($C1437="","",IF($C1437="TANIMSIZ MÜŞTERİ","—",INDEX(MUSTERILER!$C$7:$C$106,MATCH($C1437,MUSTERILER!$B$7:$B$106,0))))</f>
        <v/>
      </c>
      <c r="O1437" s="6" t="n"/>
      <c r="P1437" s="6" t="n"/>
      <c r="Q1437" s="3">
        <f>IF($D1437="","",$C1437&amp;"|"&amp;COUNTIFS($C$7:$C1437,$C1437))</f>
        <v/>
      </c>
    </row>
    <row r="1438">
      <c r="A1438" s="6" t="n"/>
      <c r="B1438" s="113">
        <f>IF($D1438="","","T"&amp;TEXT(ROW()-6,"00000"))</f>
        <v/>
      </c>
      <c r="C1438" s="113">
        <f>IF($D1438="","",IFERROR(INDEX(MUSTERILER!$B$7:$B$106,MATCH($D1438,MUSTERILER!$C$7:$C$106,0)),IFERROR(INDEX(MUSTERILER!$B$7:$B$106,MATCH($D1438,MUSTERILER!$B$7:$B$106,0)),IFERROR(INDEX(MUSTERILER!$B$7:$B$106,MATCH($D1438&amp;"*",MUSTERILER!$C$7:$C$106,0)),"TANIMSIZ MÜŞTERİ"))))</f>
        <v/>
      </c>
      <c r="D1438" s="109" t="n"/>
      <c r="E1438" s="225" t="n"/>
      <c r="F1438" s="226" t="n"/>
      <c r="G1438" s="108" t="n"/>
      <c r="H1438" s="108" t="n"/>
      <c r="I1438" s="109" t="n"/>
      <c r="J1438" s="109" t="n"/>
      <c r="K1438" s="109" t="n"/>
      <c r="L1438" s="231">
        <f>IF($E1438="","",DATE(YEAR($E1438),MONTH($E1438),1))</f>
        <v/>
      </c>
      <c r="M1438" s="113">
        <f>IF($D1438="","",IF($C1438="TANIMSIZ MÜŞTERİ","HATA",IF(OR($E1438="",$F1438&lt;=0,$G1438=""),"EKSİK",IF($E1438&gt;TODAY(),"İLERİ TARİH","UYGUN"))))</f>
        <v/>
      </c>
      <c r="N1438" s="121">
        <f>IF($C1438="","",IF($C1438="TANIMSIZ MÜŞTERİ","—",INDEX(MUSTERILER!$C$7:$C$106,MATCH($C1438,MUSTERILER!$B$7:$B$106,0))))</f>
        <v/>
      </c>
      <c r="O1438" s="6" t="n"/>
      <c r="P1438" s="6" t="n"/>
      <c r="Q1438" s="3">
        <f>IF($D1438="","",$C1438&amp;"|"&amp;COUNTIFS($C$7:$C1438,$C1438))</f>
        <v/>
      </c>
    </row>
    <row r="1439">
      <c r="A1439" s="6" t="n"/>
      <c r="B1439" s="113">
        <f>IF($D1439="","","T"&amp;TEXT(ROW()-6,"00000"))</f>
        <v/>
      </c>
      <c r="C1439" s="113">
        <f>IF($D1439="","",IFERROR(INDEX(MUSTERILER!$B$7:$B$106,MATCH($D1439,MUSTERILER!$C$7:$C$106,0)),IFERROR(INDEX(MUSTERILER!$B$7:$B$106,MATCH($D1439,MUSTERILER!$B$7:$B$106,0)),IFERROR(INDEX(MUSTERILER!$B$7:$B$106,MATCH($D1439&amp;"*",MUSTERILER!$C$7:$C$106,0)),"TANIMSIZ MÜŞTERİ"))))</f>
        <v/>
      </c>
      <c r="D1439" s="109" t="n"/>
      <c r="E1439" s="225" t="n"/>
      <c r="F1439" s="226" t="n"/>
      <c r="G1439" s="108" t="n"/>
      <c r="H1439" s="108" t="n"/>
      <c r="I1439" s="109" t="n"/>
      <c r="J1439" s="109" t="n"/>
      <c r="K1439" s="109" t="n"/>
      <c r="L1439" s="231">
        <f>IF($E1439="","",DATE(YEAR($E1439),MONTH($E1439),1))</f>
        <v/>
      </c>
      <c r="M1439" s="113">
        <f>IF($D1439="","",IF($C1439="TANIMSIZ MÜŞTERİ","HATA",IF(OR($E1439="",$F1439&lt;=0,$G1439=""),"EKSİK",IF($E1439&gt;TODAY(),"İLERİ TARİH","UYGUN"))))</f>
        <v/>
      </c>
      <c r="N1439" s="121">
        <f>IF($C1439="","",IF($C1439="TANIMSIZ MÜŞTERİ","—",INDEX(MUSTERILER!$C$7:$C$106,MATCH($C1439,MUSTERILER!$B$7:$B$106,0))))</f>
        <v/>
      </c>
      <c r="O1439" s="6" t="n"/>
      <c r="P1439" s="6" t="n"/>
      <c r="Q1439" s="3">
        <f>IF($D1439="","",$C1439&amp;"|"&amp;COUNTIFS($C$7:$C1439,$C1439))</f>
        <v/>
      </c>
    </row>
    <row r="1440">
      <c r="A1440" s="6" t="n"/>
      <c r="B1440" s="113">
        <f>IF($D1440="","","T"&amp;TEXT(ROW()-6,"00000"))</f>
        <v/>
      </c>
      <c r="C1440" s="113">
        <f>IF($D1440="","",IFERROR(INDEX(MUSTERILER!$B$7:$B$106,MATCH($D1440,MUSTERILER!$C$7:$C$106,0)),IFERROR(INDEX(MUSTERILER!$B$7:$B$106,MATCH($D1440,MUSTERILER!$B$7:$B$106,0)),IFERROR(INDEX(MUSTERILER!$B$7:$B$106,MATCH($D1440&amp;"*",MUSTERILER!$C$7:$C$106,0)),"TANIMSIZ MÜŞTERİ"))))</f>
        <v/>
      </c>
      <c r="D1440" s="109" t="n"/>
      <c r="E1440" s="225" t="n"/>
      <c r="F1440" s="226" t="n"/>
      <c r="G1440" s="108" t="n"/>
      <c r="H1440" s="108" t="n"/>
      <c r="I1440" s="109" t="n"/>
      <c r="J1440" s="109" t="n"/>
      <c r="K1440" s="109" t="n"/>
      <c r="L1440" s="231">
        <f>IF($E1440="","",DATE(YEAR($E1440),MONTH($E1440),1))</f>
        <v/>
      </c>
      <c r="M1440" s="113">
        <f>IF($D1440="","",IF($C1440="TANIMSIZ MÜŞTERİ","HATA",IF(OR($E1440="",$F1440&lt;=0,$G1440=""),"EKSİK",IF($E1440&gt;TODAY(),"İLERİ TARİH","UYGUN"))))</f>
        <v/>
      </c>
      <c r="N1440" s="121">
        <f>IF($C1440="","",IF($C1440="TANIMSIZ MÜŞTERİ","—",INDEX(MUSTERILER!$C$7:$C$106,MATCH($C1440,MUSTERILER!$B$7:$B$106,0))))</f>
        <v/>
      </c>
      <c r="O1440" s="6" t="n"/>
      <c r="P1440" s="6" t="n"/>
      <c r="Q1440" s="3">
        <f>IF($D1440="","",$C1440&amp;"|"&amp;COUNTIFS($C$7:$C1440,$C1440))</f>
        <v/>
      </c>
    </row>
    <row r="1441">
      <c r="A1441" s="6" t="n"/>
      <c r="B1441" s="113">
        <f>IF($D1441="","","T"&amp;TEXT(ROW()-6,"00000"))</f>
        <v/>
      </c>
      <c r="C1441" s="113">
        <f>IF($D1441="","",IFERROR(INDEX(MUSTERILER!$B$7:$B$106,MATCH($D1441,MUSTERILER!$C$7:$C$106,0)),IFERROR(INDEX(MUSTERILER!$B$7:$B$106,MATCH($D1441,MUSTERILER!$B$7:$B$106,0)),IFERROR(INDEX(MUSTERILER!$B$7:$B$106,MATCH($D1441&amp;"*",MUSTERILER!$C$7:$C$106,0)),"TANIMSIZ MÜŞTERİ"))))</f>
        <v/>
      </c>
      <c r="D1441" s="109" t="n"/>
      <c r="E1441" s="225" t="n"/>
      <c r="F1441" s="226" t="n"/>
      <c r="G1441" s="108" t="n"/>
      <c r="H1441" s="108" t="n"/>
      <c r="I1441" s="109" t="n"/>
      <c r="J1441" s="109" t="n"/>
      <c r="K1441" s="109" t="n"/>
      <c r="L1441" s="231">
        <f>IF($E1441="","",DATE(YEAR($E1441),MONTH($E1441),1))</f>
        <v/>
      </c>
      <c r="M1441" s="113">
        <f>IF($D1441="","",IF($C1441="TANIMSIZ MÜŞTERİ","HATA",IF(OR($E1441="",$F1441&lt;=0,$G1441=""),"EKSİK",IF($E1441&gt;TODAY(),"İLERİ TARİH","UYGUN"))))</f>
        <v/>
      </c>
      <c r="N1441" s="121">
        <f>IF($C1441="","",IF($C1441="TANIMSIZ MÜŞTERİ","—",INDEX(MUSTERILER!$C$7:$C$106,MATCH($C1441,MUSTERILER!$B$7:$B$106,0))))</f>
        <v/>
      </c>
      <c r="O1441" s="6" t="n"/>
      <c r="P1441" s="6" t="n"/>
      <c r="Q1441" s="3">
        <f>IF($D1441="","",$C1441&amp;"|"&amp;COUNTIFS($C$7:$C1441,$C1441))</f>
        <v/>
      </c>
    </row>
    <row r="1442">
      <c r="A1442" s="6" t="n"/>
      <c r="B1442" s="113">
        <f>IF($D1442="","","T"&amp;TEXT(ROW()-6,"00000"))</f>
        <v/>
      </c>
      <c r="C1442" s="113">
        <f>IF($D1442="","",IFERROR(INDEX(MUSTERILER!$B$7:$B$106,MATCH($D1442,MUSTERILER!$C$7:$C$106,0)),IFERROR(INDEX(MUSTERILER!$B$7:$B$106,MATCH($D1442,MUSTERILER!$B$7:$B$106,0)),IFERROR(INDEX(MUSTERILER!$B$7:$B$106,MATCH($D1442&amp;"*",MUSTERILER!$C$7:$C$106,0)),"TANIMSIZ MÜŞTERİ"))))</f>
        <v/>
      </c>
      <c r="D1442" s="109" t="n"/>
      <c r="E1442" s="225" t="n"/>
      <c r="F1442" s="226" t="n"/>
      <c r="G1442" s="108" t="n"/>
      <c r="H1442" s="108" t="n"/>
      <c r="I1442" s="109" t="n"/>
      <c r="J1442" s="109" t="n"/>
      <c r="K1442" s="109" t="n"/>
      <c r="L1442" s="231">
        <f>IF($E1442="","",DATE(YEAR($E1442),MONTH($E1442),1))</f>
        <v/>
      </c>
      <c r="M1442" s="113">
        <f>IF($D1442="","",IF($C1442="TANIMSIZ MÜŞTERİ","HATA",IF(OR($E1442="",$F1442&lt;=0,$G1442=""),"EKSİK",IF($E1442&gt;TODAY(),"İLERİ TARİH","UYGUN"))))</f>
        <v/>
      </c>
      <c r="N1442" s="121">
        <f>IF($C1442="","",IF($C1442="TANIMSIZ MÜŞTERİ","—",INDEX(MUSTERILER!$C$7:$C$106,MATCH($C1442,MUSTERILER!$B$7:$B$106,0))))</f>
        <v/>
      </c>
      <c r="O1442" s="6" t="n"/>
      <c r="P1442" s="6" t="n"/>
      <c r="Q1442" s="3">
        <f>IF($D1442="","",$C1442&amp;"|"&amp;COUNTIFS($C$7:$C1442,$C1442))</f>
        <v/>
      </c>
    </row>
    <row r="1443">
      <c r="A1443" s="6" t="n"/>
      <c r="B1443" s="113">
        <f>IF($D1443="","","T"&amp;TEXT(ROW()-6,"00000"))</f>
        <v/>
      </c>
      <c r="C1443" s="113">
        <f>IF($D1443="","",IFERROR(INDEX(MUSTERILER!$B$7:$B$106,MATCH($D1443,MUSTERILER!$C$7:$C$106,0)),IFERROR(INDEX(MUSTERILER!$B$7:$B$106,MATCH($D1443,MUSTERILER!$B$7:$B$106,0)),IFERROR(INDEX(MUSTERILER!$B$7:$B$106,MATCH($D1443&amp;"*",MUSTERILER!$C$7:$C$106,0)),"TANIMSIZ MÜŞTERİ"))))</f>
        <v/>
      </c>
      <c r="D1443" s="109" t="n"/>
      <c r="E1443" s="225" t="n"/>
      <c r="F1443" s="226" t="n"/>
      <c r="G1443" s="108" t="n"/>
      <c r="H1443" s="108" t="n"/>
      <c r="I1443" s="109" t="n"/>
      <c r="J1443" s="109" t="n"/>
      <c r="K1443" s="109" t="n"/>
      <c r="L1443" s="231">
        <f>IF($E1443="","",DATE(YEAR($E1443),MONTH($E1443),1))</f>
        <v/>
      </c>
      <c r="M1443" s="113">
        <f>IF($D1443="","",IF($C1443="TANIMSIZ MÜŞTERİ","HATA",IF(OR($E1443="",$F1443&lt;=0,$G1443=""),"EKSİK",IF($E1443&gt;TODAY(),"İLERİ TARİH","UYGUN"))))</f>
        <v/>
      </c>
      <c r="N1443" s="121">
        <f>IF($C1443="","",IF($C1443="TANIMSIZ MÜŞTERİ","—",INDEX(MUSTERILER!$C$7:$C$106,MATCH($C1443,MUSTERILER!$B$7:$B$106,0))))</f>
        <v/>
      </c>
      <c r="O1443" s="6" t="n"/>
      <c r="P1443" s="6" t="n"/>
      <c r="Q1443" s="3">
        <f>IF($D1443="","",$C1443&amp;"|"&amp;COUNTIFS($C$7:$C1443,$C1443))</f>
        <v/>
      </c>
    </row>
    <row r="1444">
      <c r="A1444" s="6" t="n"/>
      <c r="B1444" s="113">
        <f>IF($D1444="","","T"&amp;TEXT(ROW()-6,"00000"))</f>
        <v/>
      </c>
      <c r="C1444" s="113">
        <f>IF($D1444="","",IFERROR(INDEX(MUSTERILER!$B$7:$B$106,MATCH($D1444,MUSTERILER!$C$7:$C$106,0)),IFERROR(INDEX(MUSTERILER!$B$7:$B$106,MATCH($D1444,MUSTERILER!$B$7:$B$106,0)),IFERROR(INDEX(MUSTERILER!$B$7:$B$106,MATCH($D1444&amp;"*",MUSTERILER!$C$7:$C$106,0)),"TANIMSIZ MÜŞTERİ"))))</f>
        <v/>
      </c>
      <c r="D1444" s="109" t="n"/>
      <c r="E1444" s="225" t="n"/>
      <c r="F1444" s="226" t="n"/>
      <c r="G1444" s="108" t="n"/>
      <c r="H1444" s="108" t="n"/>
      <c r="I1444" s="109" t="n"/>
      <c r="J1444" s="109" t="n"/>
      <c r="K1444" s="109" t="n"/>
      <c r="L1444" s="231">
        <f>IF($E1444="","",DATE(YEAR($E1444),MONTH($E1444),1))</f>
        <v/>
      </c>
      <c r="M1444" s="113">
        <f>IF($D1444="","",IF($C1444="TANIMSIZ MÜŞTERİ","HATA",IF(OR($E1444="",$F1444&lt;=0,$G1444=""),"EKSİK",IF($E1444&gt;TODAY(),"İLERİ TARİH","UYGUN"))))</f>
        <v/>
      </c>
      <c r="N1444" s="121">
        <f>IF($C1444="","",IF($C1444="TANIMSIZ MÜŞTERİ","—",INDEX(MUSTERILER!$C$7:$C$106,MATCH($C1444,MUSTERILER!$B$7:$B$106,0))))</f>
        <v/>
      </c>
      <c r="O1444" s="6" t="n"/>
      <c r="P1444" s="6" t="n"/>
      <c r="Q1444" s="3">
        <f>IF($D1444="","",$C1444&amp;"|"&amp;COUNTIFS($C$7:$C1444,$C1444))</f>
        <v/>
      </c>
    </row>
    <row r="1445">
      <c r="A1445" s="6" t="n"/>
      <c r="B1445" s="113">
        <f>IF($D1445="","","T"&amp;TEXT(ROW()-6,"00000"))</f>
        <v/>
      </c>
      <c r="C1445" s="113">
        <f>IF($D1445="","",IFERROR(INDEX(MUSTERILER!$B$7:$B$106,MATCH($D1445,MUSTERILER!$C$7:$C$106,0)),IFERROR(INDEX(MUSTERILER!$B$7:$B$106,MATCH($D1445,MUSTERILER!$B$7:$B$106,0)),IFERROR(INDEX(MUSTERILER!$B$7:$B$106,MATCH($D1445&amp;"*",MUSTERILER!$C$7:$C$106,0)),"TANIMSIZ MÜŞTERİ"))))</f>
        <v/>
      </c>
      <c r="D1445" s="109" t="n"/>
      <c r="E1445" s="225" t="n"/>
      <c r="F1445" s="226" t="n"/>
      <c r="G1445" s="108" t="n"/>
      <c r="H1445" s="108" t="n"/>
      <c r="I1445" s="109" t="n"/>
      <c r="J1445" s="109" t="n"/>
      <c r="K1445" s="109" t="n"/>
      <c r="L1445" s="231">
        <f>IF($E1445="","",DATE(YEAR($E1445),MONTH($E1445),1))</f>
        <v/>
      </c>
      <c r="M1445" s="113">
        <f>IF($D1445="","",IF($C1445="TANIMSIZ MÜŞTERİ","HATA",IF(OR($E1445="",$F1445&lt;=0,$G1445=""),"EKSİK",IF($E1445&gt;TODAY(),"İLERİ TARİH","UYGUN"))))</f>
        <v/>
      </c>
      <c r="N1445" s="121">
        <f>IF($C1445="","",IF($C1445="TANIMSIZ MÜŞTERİ","—",INDEX(MUSTERILER!$C$7:$C$106,MATCH($C1445,MUSTERILER!$B$7:$B$106,0))))</f>
        <v/>
      </c>
      <c r="O1445" s="6" t="n"/>
      <c r="P1445" s="6" t="n"/>
      <c r="Q1445" s="3">
        <f>IF($D1445="","",$C1445&amp;"|"&amp;COUNTIFS($C$7:$C1445,$C1445))</f>
        <v/>
      </c>
    </row>
    <row r="1446">
      <c r="A1446" s="6" t="n"/>
      <c r="B1446" s="113">
        <f>IF($D1446="","","T"&amp;TEXT(ROW()-6,"00000"))</f>
        <v/>
      </c>
      <c r="C1446" s="113">
        <f>IF($D1446="","",IFERROR(INDEX(MUSTERILER!$B$7:$B$106,MATCH($D1446,MUSTERILER!$C$7:$C$106,0)),IFERROR(INDEX(MUSTERILER!$B$7:$B$106,MATCH($D1446,MUSTERILER!$B$7:$B$106,0)),IFERROR(INDEX(MUSTERILER!$B$7:$B$106,MATCH($D1446&amp;"*",MUSTERILER!$C$7:$C$106,0)),"TANIMSIZ MÜŞTERİ"))))</f>
        <v/>
      </c>
      <c r="D1446" s="109" t="n"/>
      <c r="E1446" s="225" t="n"/>
      <c r="F1446" s="226" t="n"/>
      <c r="G1446" s="108" t="n"/>
      <c r="H1446" s="108" t="n"/>
      <c r="I1446" s="109" t="n"/>
      <c r="J1446" s="109" t="n"/>
      <c r="K1446" s="109" t="n"/>
      <c r="L1446" s="231">
        <f>IF($E1446="","",DATE(YEAR($E1446),MONTH($E1446),1))</f>
        <v/>
      </c>
      <c r="M1446" s="113">
        <f>IF($D1446="","",IF($C1446="TANIMSIZ MÜŞTERİ","HATA",IF(OR($E1446="",$F1446&lt;=0,$G1446=""),"EKSİK",IF($E1446&gt;TODAY(),"İLERİ TARİH","UYGUN"))))</f>
        <v/>
      </c>
      <c r="N1446" s="121">
        <f>IF($C1446="","",IF($C1446="TANIMSIZ MÜŞTERİ","—",INDEX(MUSTERILER!$C$7:$C$106,MATCH($C1446,MUSTERILER!$B$7:$B$106,0))))</f>
        <v/>
      </c>
      <c r="O1446" s="6" t="n"/>
      <c r="P1446" s="6" t="n"/>
      <c r="Q1446" s="3">
        <f>IF($D1446="","",$C1446&amp;"|"&amp;COUNTIFS($C$7:$C1446,$C1446))</f>
        <v/>
      </c>
    </row>
    <row r="1447">
      <c r="A1447" s="6" t="n"/>
      <c r="B1447" s="113">
        <f>IF($D1447="","","T"&amp;TEXT(ROW()-6,"00000"))</f>
        <v/>
      </c>
      <c r="C1447" s="113">
        <f>IF($D1447="","",IFERROR(INDEX(MUSTERILER!$B$7:$B$106,MATCH($D1447,MUSTERILER!$C$7:$C$106,0)),IFERROR(INDEX(MUSTERILER!$B$7:$B$106,MATCH($D1447,MUSTERILER!$B$7:$B$106,0)),IFERROR(INDEX(MUSTERILER!$B$7:$B$106,MATCH($D1447&amp;"*",MUSTERILER!$C$7:$C$106,0)),"TANIMSIZ MÜŞTERİ"))))</f>
        <v/>
      </c>
      <c r="D1447" s="109" t="n"/>
      <c r="E1447" s="225" t="n"/>
      <c r="F1447" s="226" t="n"/>
      <c r="G1447" s="108" t="n"/>
      <c r="H1447" s="108" t="n"/>
      <c r="I1447" s="109" t="n"/>
      <c r="J1447" s="109" t="n"/>
      <c r="K1447" s="109" t="n"/>
      <c r="L1447" s="231">
        <f>IF($E1447="","",DATE(YEAR($E1447),MONTH($E1447),1))</f>
        <v/>
      </c>
      <c r="M1447" s="113">
        <f>IF($D1447="","",IF($C1447="TANIMSIZ MÜŞTERİ","HATA",IF(OR($E1447="",$F1447&lt;=0,$G1447=""),"EKSİK",IF($E1447&gt;TODAY(),"İLERİ TARİH","UYGUN"))))</f>
        <v/>
      </c>
      <c r="N1447" s="121">
        <f>IF($C1447="","",IF($C1447="TANIMSIZ MÜŞTERİ","—",INDEX(MUSTERILER!$C$7:$C$106,MATCH($C1447,MUSTERILER!$B$7:$B$106,0))))</f>
        <v/>
      </c>
      <c r="O1447" s="6" t="n"/>
      <c r="P1447" s="6" t="n"/>
      <c r="Q1447" s="3">
        <f>IF($D1447="","",$C1447&amp;"|"&amp;COUNTIFS($C$7:$C1447,$C1447))</f>
        <v/>
      </c>
    </row>
    <row r="1448">
      <c r="A1448" s="6" t="n"/>
      <c r="B1448" s="113">
        <f>IF($D1448="","","T"&amp;TEXT(ROW()-6,"00000"))</f>
        <v/>
      </c>
      <c r="C1448" s="113">
        <f>IF($D1448="","",IFERROR(INDEX(MUSTERILER!$B$7:$B$106,MATCH($D1448,MUSTERILER!$C$7:$C$106,0)),IFERROR(INDEX(MUSTERILER!$B$7:$B$106,MATCH($D1448,MUSTERILER!$B$7:$B$106,0)),IFERROR(INDEX(MUSTERILER!$B$7:$B$106,MATCH($D1448&amp;"*",MUSTERILER!$C$7:$C$106,0)),"TANIMSIZ MÜŞTERİ"))))</f>
        <v/>
      </c>
      <c r="D1448" s="109" t="n"/>
      <c r="E1448" s="225" t="n"/>
      <c r="F1448" s="226" t="n"/>
      <c r="G1448" s="108" t="n"/>
      <c r="H1448" s="108" t="n"/>
      <c r="I1448" s="109" t="n"/>
      <c r="J1448" s="109" t="n"/>
      <c r="K1448" s="109" t="n"/>
      <c r="L1448" s="231">
        <f>IF($E1448="","",DATE(YEAR($E1448),MONTH($E1448),1))</f>
        <v/>
      </c>
      <c r="M1448" s="113">
        <f>IF($D1448="","",IF($C1448="TANIMSIZ MÜŞTERİ","HATA",IF(OR($E1448="",$F1448&lt;=0,$G1448=""),"EKSİK",IF($E1448&gt;TODAY(),"İLERİ TARİH","UYGUN"))))</f>
        <v/>
      </c>
      <c r="N1448" s="121">
        <f>IF($C1448="","",IF($C1448="TANIMSIZ MÜŞTERİ","—",INDEX(MUSTERILER!$C$7:$C$106,MATCH($C1448,MUSTERILER!$B$7:$B$106,0))))</f>
        <v/>
      </c>
      <c r="O1448" s="6" t="n"/>
      <c r="P1448" s="6" t="n"/>
      <c r="Q1448" s="3">
        <f>IF($D1448="","",$C1448&amp;"|"&amp;COUNTIFS($C$7:$C1448,$C1448))</f>
        <v/>
      </c>
    </row>
    <row r="1449">
      <c r="A1449" s="6" t="n"/>
      <c r="B1449" s="113">
        <f>IF($D1449="","","T"&amp;TEXT(ROW()-6,"00000"))</f>
        <v/>
      </c>
      <c r="C1449" s="113">
        <f>IF($D1449="","",IFERROR(INDEX(MUSTERILER!$B$7:$B$106,MATCH($D1449,MUSTERILER!$C$7:$C$106,0)),IFERROR(INDEX(MUSTERILER!$B$7:$B$106,MATCH($D1449,MUSTERILER!$B$7:$B$106,0)),IFERROR(INDEX(MUSTERILER!$B$7:$B$106,MATCH($D1449&amp;"*",MUSTERILER!$C$7:$C$106,0)),"TANIMSIZ MÜŞTERİ"))))</f>
        <v/>
      </c>
      <c r="D1449" s="109" t="n"/>
      <c r="E1449" s="225" t="n"/>
      <c r="F1449" s="226" t="n"/>
      <c r="G1449" s="108" t="n"/>
      <c r="H1449" s="108" t="n"/>
      <c r="I1449" s="109" t="n"/>
      <c r="J1449" s="109" t="n"/>
      <c r="K1449" s="109" t="n"/>
      <c r="L1449" s="231">
        <f>IF($E1449="","",DATE(YEAR($E1449),MONTH($E1449),1))</f>
        <v/>
      </c>
      <c r="M1449" s="113">
        <f>IF($D1449="","",IF($C1449="TANIMSIZ MÜŞTERİ","HATA",IF(OR($E1449="",$F1449&lt;=0,$G1449=""),"EKSİK",IF($E1449&gt;TODAY(),"İLERİ TARİH","UYGUN"))))</f>
        <v/>
      </c>
      <c r="N1449" s="121">
        <f>IF($C1449="","",IF($C1449="TANIMSIZ MÜŞTERİ","—",INDEX(MUSTERILER!$C$7:$C$106,MATCH($C1449,MUSTERILER!$B$7:$B$106,0))))</f>
        <v/>
      </c>
      <c r="O1449" s="6" t="n"/>
      <c r="P1449" s="6" t="n"/>
      <c r="Q1449" s="3">
        <f>IF($D1449="","",$C1449&amp;"|"&amp;COUNTIFS($C$7:$C1449,$C1449))</f>
        <v/>
      </c>
    </row>
    <row r="1450">
      <c r="A1450" s="6" t="n"/>
      <c r="B1450" s="113">
        <f>IF($D1450="","","T"&amp;TEXT(ROW()-6,"00000"))</f>
        <v/>
      </c>
      <c r="C1450" s="113">
        <f>IF($D1450="","",IFERROR(INDEX(MUSTERILER!$B$7:$B$106,MATCH($D1450,MUSTERILER!$C$7:$C$106,0)),IFERROR(INDEX(MUSTERILER!$B$7:$B$106,MATCH($D1450,MUSTERILER!$B$7:$B$106,0)),IFERROR(INDEX(MUSTERILER!$B$7:$B$106,MATCH($D1450&amp;"*",MUSTERILER!$C$7:$C$106,0)),"TANIMSIZ MÜŞTERİ"))))</f>
        <v/>
      </c>
      <c r="D1450" s="109" t="n"/>
      <c r="E1450" s="225" t="n"/>
      <c r="F1450" s="226" t="n"/>
      <c r="G1450" s="108" t="n"/>
      <c r="H1450" s="108" t="n"/>
      <c r="I1450" s="109" t="n"/>
      <c r="J1450" s="109" t="n"/>
      <c r="K1450" s="109" t="n"/>
      <c r="L1450" s="231">
        <f>IF($E1450="","",DATE(YEAR($E1450),MONTH($E1450),1))</f>
        <v/>
      </c>
      <c r="M1450" s="113">
        <f>IF($D1450="","",IF($C1450="TANIMSIZ MÜŞTERİ","HATA",IF(OR($E1450="",$F1450&lt;=0,$G1450=""),"EKSİK",IF($E1450&gt;TODAY(),"İLERİ TARİH","UYGUN"))))</f>
        <v/>
      </c>
      <c r="N1450" s="121">
        <f>IF($C1450="","",IF($C1450="TANIMSIZ MÜŞTERİ","—",INDEX(MUSTERILER!$C$7:$C$106,MATCH($C1450,MUSTERILER!$B$7:$B$106,0))))</f>
        <v/>
      </c>
      <c r="O1450" s="6" t="n"/>
      <c r="P1450" s="6" t="n"/>
      <c r="Q1450" s="3">
        <f>IF($D1450="","",$C1450&amp;"|"&amp;COUNTIFS($C$7:$C1450,$C1450))</f>
        <v/>
      </c>
    </row>
    <row r="1451">
      <c r="A1451" s="6" t="n"/>
      <c r="B1451" s="113">
        <f>IF($D1451="","","T"&amp;TEXT(ROW()-6,"00000"))</f>
        <v/>
      </c>
      <c r="C1451" s="113">
        <f>IF($D1451="","",IFERROR(INDEX(MUSTERILER!$B$7:$B$106,MATCH($D1451,MUSTERILER!$C$7:$C$106,0)),IFERROR(INDEX(MUSTERILER!$B$7:$B$106,MATCH($D1451,MUSTERILER!$B$7:$B$106,0)),IFERROR(INDEX(MUSTERILER!$B$7:$B$106,MATCH($D1451&amp;"*",MUSTERILER!$C$7:$C$106,0)),"TANIMSIZ MÜŞTERİ"))))</f>
        <v/>
      </c>
      <c r="D1451" s="109" t="n"/>
      <c r="E1451" s="225" t="n"/>
      <c r="F1451" s="226" t="n"/>
      <c r="G1451" s="108" t="n"/>
      <c r="H1451" s="108" t="n"/>
      <c r="I1451" s="109" t="n"/>
      <c r="J1451" s="109" t="n"/>
      <c r="K1451" s="109" t="n"/>
      <c r="L1451" s="231">
        <f>IF($E1451="","",DATE(YEAR($E1451),MONTH($E1451),1))</f>
        <v/>
      </c>
      <c r="M1451" s="113">
        <f>IF($D1451="","",IF($C1451="TANIMSIZ MÜŞTERİ","HATA",IF(OR($E1451="",$F1451&lt;=0,$G1451=""),"EKSİK",IF($E1451&gt;TODAY(),"İLERİ TARİH","UYGUN"))))</f>
        <v/>
      </c>
      <c r="N1451" s="121">
        <f>IF($C1451="","",IF($C1451="TANIMSIZ MÜŞTERİ","—",INDEX(MUSTERILER!$C$7:$C$106,MATCH($C1451,MUSTERILER!$B$7:$B$106,0))))</f>
        <v/>
      </c>
      <c r="O1451" s="6" t="n"/>
      <c r="P1451" s="6" t="n"/>
      <c r="Q1451" s="3">
        <f>IF($D1451="","",$C1451&amp;"|"&amp;COUNTIFS($C$7:$C1451,$C1451))</f>
        <v/>
      </c>
    </row>
    <row r="1452">
      <c r="A1452" s="6" t="n"/>
      <c r="B1452" s="113">
        <f>IF($D1452="","","T"&amp;TEXT(ROW()-6,"00000"))</f>
        <v/>
      </c>
      <c r="C1452" s="113">
        <f>IF($D1452="","",IFERROR(INDEX(MUSTERILER!$B$7:$B$106,MATCH($D1452,MUSTERILER!$C$7:$C$106,0)),IFERROR(INDEX(MUSTERILER!$B$7:$B$106,MATCH($D1452,MUSTERILER!$B$7:$B$106,0)),IFERROR(INDEX(MUSTERILER!$B$7:$B$106,MATCH($D1452&amp;"*",MUSTERILER!$C$7:$C$106,0)),"TANIMSIZ MÜŞTERİ"))))</f>
        <v/>
      </c>
      <c r="D1452" s="109" t="n"/>
      <c r="E1452" s="225" t="n"/>
      <c r="F1452" s="226" t="n"/>
      <c r="G1452" s="108" t="n"/>
      <c r="H1452" s="108" t="n"/>
      <c r="I1452" s="109" t="n"/>
      <c r="J1452" s="109" t="n"/>
      <c r="K1452" s="109" t="n"/>
      <c r="L1452" s="231">
        <f>IF($E1452="","",DATE(YEAR($E1452),MONTH($E1452),1))</f>
        <v/>
      </c>
      <c r="M1452" s="113">
        <f>IF($D1452="","",IF($C1452="TANIMSIZ MÜŞTERİ","HATA",IF(OR($E1452="",$F1452&lt;=0,$G1452=""),"EKSİK",IF($E1452&gt;TODAY(),"İLERİ TARİH","UYGUN"))))</f>
        <v/>
      </c>
      <c r="N1452" s="121">
        <f>IF($C1452="","",IF($C1452="TANIMSIZ MÜŞTERİ","—",INDEX(MUSTERILER!$C$7:$C$106,MATCH($C1452,MUSTERILER!$B$7:$B$106,0))))</f>
        <v/>
      </c>
      <c r="O1452" s="6" t="n"/>
      <c r="P1452" s="6" t="n"/>
      <c r="Q1452" s="3">
        <f>IF($D1452="","",$C1452&amp;"|"&amp;COUNTIFS($C$7:$C1452,$C1452))</f>
        <v/>
      </c>
    </row>
    <row r="1453">
      <c r="A1453" s="6" t="n"/>
      <c r="B1453" s="113">
        <f>IF($D1453="","","T"&amp;TEXT(ROW()-6,"00000"))</f>
        <v/>
      </c>
      <c r="C1453" s="113">
        <f>IF($D1453="","",IFERROR(INDEX(MUSTERILER!$B$7:$B$106,MATCH($D1453,MUSTERILER!$C$7:$C$106,0)),IFERROR(INDEX(MUSTERILER!$B$7:$B$106,MATCH($D1453,MUSTERILER!$B$7:$B$106,0)),IFERROR(INDEX(MUSTERILER!$B$7:$B$106,MATCH($D1453&amp;"*",MUSTERILER!$C$7:$C$106,0)),"TANIMSIZ MÜŞTERİ"))))</f>
        <v/>
      </c>
      <c r="D1453" s="109" t="n"/>
      <c r="E1453" s="225" t="n"/>
      <c r="F1453" s="226" t="n"/>
      <c r="G1453" s="108" t="n"/>
      <c r="H1453" s="108" t="n"/>
      <c r="I1453" s="109" t="n"/>
      <c r="J1453" s="109" t="n"/>
      <c r="K1453" s="109" t="n"/>
      <c r="L1453" s="231">
        <f>IF($E1453="","",DATE(YEAR($E1453),MONTH($E1453),1))</f>
        <v/>
      </c>
      <c r="M1453" s="113">
        <f>IF($D1453="","",IF($C1453="TANIMSIZ MÜŞTERİ","HATA",IF(OR($E1453="",$F1453&lt;=0,$G1453=""),"EKSİK",IF($E1453&gt;TODAY(),"İLERİ TARİH","UYGUN"))))</f>
        <v/>
      </c>
      <c r="N1453" s="121">
        <f>IF($C1453="","",IF($C1453="TANIMSIZ MÜŞTERİ","—",INDEX(MUSTERILER!$C$7:$C$106,MATCH($C1453,MUSTERILER!$B$7:$B$106,0))))</f>
        <v/>
      </c>
      <c r="O1453" s="6" t="n"/>
      <c r="P1453" s="6" t="n"/>
      <c r="Q1453" s="3">
        <f>IF($D1453="","",$C1453&amp;"|"&amp;COUNTIFS($C$7:$C1453,$C1453))</f>
        <v/>
      </c>
    </row>
    <row r="1454">
      <c r="A1454" s="6" t="n"/>
      <c r="B1454" s="113">
        <f>IF($D1454="","","T"&amp;TEXT(ROW()-6,"00000"))</f>
        <v/>
      </c>
      <c r="C1454" s="113">
        <f>IF($D1454="","",IFERROR(INDEX(MUSTERILER!$B$7:$B$106,MATCH($D1454,MUSTERILER!$C$7:$C$106,0)),IFERROR(INDEX(MUSTERILER!$B$7:$B$106,MATCH($D1454,MUSTERILER!$B$7:$B$106,0)),IFERROR(INDEX(MUSTERILER!$B$7:$B$106,MATCH($D1454&amp;"*",MUSTERILER!$C$7:$C$106,0)),"TANIMSIZ MÜŞTERİ"))))</f>
        <v/>
      </c>
      <c r="D1454" s="109" t="n"/>
      <c r="E1454" s="225" t="n"/>
      <c r="F1454" s="226" t="n"/>
      <c r="G1454" s="108" t="n"/>
      <c r="H1454" s="108" t="n"/>
      <c r="I1454" s="109" t="n"/>
      <c r="J1454" s="109" t="n"/>
      <c r="K1454" s="109" t="n"/>
      <c r="L1454" s="231">
        <f>IF($E1454="","",DATE(YEAR($E1454),MONTH($E1454),1))</f>
        <v/>
      </c>
      <c r="M1454" s="113">
        <f>IF($D1454="","",IF($C1454="TANIMSIZ MÜŞTERİ","HATA",IF(OR($E1454="",$F1454&lt;=0,$G1454=""),"EKSİK",IF($E1454&gt;TODAY(),"İLERİ TARİH","UYGUN"))))</f>
        <v/>
      </c>
      <c r="N1454" s="121">
        <f>IF($C1454="","",IF($C1454="TANIMSIZ MÜŞTERİ","—",INDEX(MUSTERILER!$C$7:$C$106,MATCH($C1454,MUSTERILER!$B$7:$B$106,0))))</f>
        <v/>
      </c>
      <c r="O1454" s="6" t="n"/>
      <c r="P1454" s="6" t="n"/>
      <c r="Q1454" s="3">
        <f>IF($D1454="","",$C1454&amp;"|"&amp;COUNTIFS($C$7:$C1454,$C1454))</f>
        <v/>
      </c>
    </row>
    <row r="1455">
      <c r="A1455" s="6" t="n"/>
      <c r="B1455" s="113">
        <f>IF($D1455="","","T"&amp;TEXT(ROW()-6,"00000"))</f>
        <v/>
      </c>
      <c r="C1455" s="113">
        <f>IF($D1455="","",IFERROR(INDEX(MUSTERILER!$B$7:$B$106,MATCH($D1455,MUSTERILER!$C$7:$C$106,0)),IFERROR(INDEX(MUSTERILER!$B$7:$B$106,MATCH($D1455,MUSTERILER!$B$7:$B$106,0)),IFERROR(INDEX(MUSTERILER!$B$7:$B$106,MATCH($D1455&amp;"*",MUSTERILER!$C$7:$C$106,0)),"TANIMSIZ MÜŞTERİ"))))</f>
        <v/>
      </c>
      <c r="D1455" s="109" t="n"/>
      <c r="E1455" s="225" t="n"/>
      <c r="F1455" s="226" t="n"/>
      <c r="G1455" s="108" t="n"/>
      <c r="H1455" s="108" t="n"/>
      <c r="I1455" s="109" t="n"/>
      <c r="J1455" s="109" t="n"/>
      <c r="K1455" s="109" t="n"/>
      <c r="L1455" s="231">
        <f>IF($E1455="","",DATE(YEAR($E1455),MONTH($E1455),1))</f>
        <v/>
      </c>
      <c r="M1455" s="113">
        <f>IF($D1455="","",IF($C1455="TANIMSIZ MÜŞTERİ","HATA",IF(OR($E1455="",$F1455&lt;=0,$G1455=""),"EKSİK",IF($E1455&gt;TODAY(),"İLERİ TARİH","UYGUN"))))</f>
        <v/>
      </c>
      <c r="N1455" s="121">
        <f>IF($C1455="","",IF($C1455="TANIMSIZ MÜŞTERİ","—",INDEX(MUSTERILER!$C$7:$C$106,MATCH($C1455,MUSTERILER!$B$7:$B$106,0))))</f>
        <v/>
      </c>
      <c r="O1455" s="6" t="n"/>
      <c r="P1455" s="6" t="n"/>
      <c r="Q1455" s="3">
        <f>IF($D1455="","",$C1455&amp;"|"&amp;COUNTIFS($C$7:$C1455,$C1455))</f>
        <v/>
      </c>
    </row>
    <row r="1456">
      <c r="A1456" s="6" t="n"/>
      <c r="B1456" s="113">
        <f>IF($D1456="","","T"&amp;TEXT(ROW()-6,"00000"))</f>
        <v/>
      </c>
      <c r="C1456" s="113">
        <f>IF($D1456="","",IFERROR(INDEX(MUSTERILER!$B$7:$B$106,MATCH($D1456,MUSTERILER!$C$7:$C$106,0)),IFERROR(INDEX(MUSTERILER!$B$7:$B$106,MATCH($D1456,MUSTERILER!$B$7:$B$106,0)),IFERROR(INDEX(MUSTERILER!$B$7:$B$106,MATCH($D1456&amp;"*",MUSTERILER!$C$7:$C$106,0)),"TANIMSIZ MÜŞTERİ"))))</f>
        <v/>
      </c>
      <c r="D1456" s="109" t="n"/>
      <c r="E1456" s="225" t="n"/>
      <c r="F1456" s="226" t="n"/>
      <c r="G1456" s="108" t="n"/>
      <c r="H1456" s="108" t="n"/>
      <c r="I1456" s="109" t="n"/>
      <c r="J1456" s="109" t="n"/>
      <c r="K1456" s="109" t="n"/>
      <c r="L1456" s="231">
        <f>IF($E1456="","",DATE(YEAR($E1456),MONTH($E1456),1))</f>
        <v/>
      </c>
      <c r="M1456" s="113">
        <f>IF($D1456="","",IF($C1456="TANIMSIZ MÜŞTERİ","HATA",IF(OR($E1456="",$F1456&lt;=0,$G1456=""),"EKSİK",IF($E1456&gt;TODAY(),"İLERİ TARİH","UYGUN"))))</f>
        <v/>
      </c>
      <c r="N1456" s="121">
        <f>IF($C1456="","",IF($C1456="TANIMSIZ MÜŞTERİ","—",INDEX(MUSTERILER!$C$7:$C$106,MATCH($C1456,MUSTERILER!$B$7:$B$106,0))))</f>
        <v/>
      </c>
      <c r="O1456" s="6" t="n"/>
      <c r="P1456" s="6" t="n"/>
      <c r="Q1456" s="3">
        <f>IF($D1456="","",$C1456&amp;"|"&amp;COUNTIFS($C$7:$C1456,$C1456))</f>
        <v/>
      </c>
    </row>
    <row r="1457">
      <c r="A1457" s="6" t="n"/>
      <c r="B1457" s="113">
        <f>IF($D1457="","","T"&amp;TEXT(ROW()-6,"00000"))</f>
        <v/>
      </c>
      <c r="C1457" s="113">
        <f>IF($D1457="","",IFERROR(INDEX(MUSTERILER!$B$7:$B$106,MATCH($D1457,MUSTERILER!$C$7:$C$106,0)),IFERROR(INDEX(MUSTERILER!$B$7:$B$106,MATCH($D1457,MUSTERILER!$B$7:$B$106,0)),IFERROR(INDEX(MUSTERILER!$B$7:$B$106,MATCH($D1457&amp;"*",MUSTERILER!$C$7:$C$106,0)),"TANIMSIZ MÜŞTERİ"))))</f>
        <v/>
      </c>
      <c r="D1457" s="109" t="n"/>
      <c r="E1457" s="225" t="n"/>
      <c r="F1457" s="226" t="n"/>
      <c r="G1457" s="108" t="n"/>
      <c r="H1457" s="108" t="n"/>
      <c r="I1457" s="109" t="n"/>
      <c r="J1457" s="109" t="n"/>
      <c r="K1457" s="109" t="n"/>
      <c r="L1457" s="231">
        <f>IF($E1457="","",DATE(YEAR($E1457),MONTH($E1457),1))</f>
        <v/>
      </c>
      <c r="M1457" s="113">
        <f>IF($D1457="","",IF($C1457="TANIMSIZ MÜŞTERİ","HATA",IF(OR($E1457="",$F1457&lt;=0,$G1457=""),"EKSİK",IF($E1457&gt;TODAY(),"İLERİ TARİH","UYGUN"))))</f>
        <v/>
      </c>
      <c r="N1457" s="121">
        <f>IF($C1457="","",IF($C1457="TANIMSIZ MÜŞTERİ","—",INDEX(MUSTERILER!$C$7:$C$106,MATCH($C1457,MUSTERILER!$B$7:$B$106,0))))</f>
        <v/>
      </c>
      <c r="O1457" s="6" t="n"/>
      <c r="P1457" s="6" t="n"/>
      <c r="Q1457" s="3">
        <f>IF($D1457="","",$C1457&amp;"|"&amp;COUNTIFS($C$7:$C1457,$C1457))</f>
        <v/>
      </c>
    </row>
    <row r="1458">
      <c r="A1458" s="6" t="n"/>
      <c r="B1458" s="113">
        <f>IF($D1458="","","T"&amp;TEXT(ROW()-6,"00000"))</f>
        <v/>
      </c>
      <c r="C1458" s="113">
        <f>IF($D1458="","",IFERROR(INDEX(MUSTERILER!$B$7:$B$106,MATCH($D1458,MUSTERILER!$C$7:$C$106,0)),IFERROR(INDEX(MUSTERILER!$B$7:$B$106,MATCH($D1458,MUSTERILER!$B$7:$B$106,0)),IFERROR(INDEX(MUSTERILER!$B$7:$B$106,MATCH($D1458&amp;"*",MUSTERILER!$C$7:$C$106,0)),"TANIMSIZ MÜŞTERİ"))))</f>
        <v/>
      </c>
      <c r="D1458" s="109" t="n"/>
      <c r="E1458" s="225" t="n"/>
      <c r="F1458" s="226" t="n"/>
      <c r="G1458" s="108" t="n"/>
      <c r="H1458" s="108" t="n"/>
      <c r="I1458" s="109" t="n"/>
      <c r="J1458" s="109" t="n"/>
      <c r="K1458" s="109" t="n"/>
      <c r="L1458" s="231">
        <f>IF($E1458="","",DATE(YEAR($E1458),MONTH($E1458),1))</f>
        <v/>
      </c>
      <c r="M1458" s="113">
        <f>IF($D1458="","",IF($C1458="TANIMSIZ MÜŞTERİ","HATA",IF(OR($E1458="",$F1458&lt;=0,$G1458=""),"EKSİK",IF($E1458&gt;TODAY(),"İLERİ TARİH","UYGUN"))))</f>
        <v/>
      </c>
      <c r="N1458" s="121">
        <f>IF($C1458="","",IF($C1458="TANIMSIZ MÜŞTERİ","—",INDEX(MUSTERILER!$C$7:$C$106,MATCH($C1458,MUSTERILER!$B$7:$B$106,0))))</f>
        <v/>
      </c>
      <c r="O1458" s="6" t="n"/>
      <c r="P1458" s="6" t="n"/>
      <c r="Q1458" s="3">
        <f>IF($D1458="","",$C1458&amp;"|"&amp;COUNTIFS($C$7:$C1458,$C1458))</f>
        <v/>
      </c>
    </row>
    <row r="1459">
      <c r="A1459" s="6" t="n"/>
      <c r="B1459" s="113">
        <f>IF($D1459="","","T"&amp;TEXT(ROW()-6,"00000"))</f>
        <v/>
      </c>
      <c r="C1459" s="113">
        <f>IF($D1459="","",IFERROR(INDEX(MUSTERILER!$B$7:$B$106,MATCH($D1459,MUSTERILER!$C$7:$C$106,0)),IFERROR(INDEX(MUSTERILER!$B$7:$B$106,MATCH($D1459,MUSTERILER!$B$7:$B$106,0)),IFERROR(INDEX(MUSTERILER!$B$7:$B$106,MATCH($D1459&amp;"*",MUSTERILER!$C$7:$C$106,0)),"TANIMSIZ MÜŞTERİ"))))</f>
        <v/>
      </c>
      <c r="D1459" s="109" t="n"/>
      <c r="E1459" s="225" t="n"/>
      <c r="F1459" s="226" t="n"/>
      <c r="G1459" s="108" t="n"/>
      <c r="H1459" s="108" t="n"/>
      <c r="I1459" s="109" t="n"/>
      <c r="J1459" s="109" t="n"/>
      <c r="K1459" s="109" t="n"/>
      <c r="L1459" s="231">
        <f>IF($E1459="","",DATE(YEAR($E1459),MONTH($E1459),1))</f>
        <v/>
      </c>
      <c r="M1459" s="113">
        <f>IF($D1459="","",IF($C1459="TANIMSIZ MÜŞTERİ","HATA",IF(OR($E1459="",$F1459&lt;=0,$G1459=""),"EKSİK",IF($E1459&gt;TODAY(),"İLERİ TARİH","UYGUN"))))</f>
        <v/>
      </c>
      <c r="N1459" s="121">
        <f>IF($C1459="","",IF($C1459="TANIMSIZ MÜŞTERİ","—",INDEX(MUSTERILER!$C$7:$C$106,MATCH($C1459,MUSTERILER!$B$7:$B$106,0))))</f>
        <v/>
      </c>
      <c r="O1459" s="6" t="n"/>
      <c r="P1459" s="6" t="n"/>
      <c r="Q1459" s="3">
        <f>IF($D1459="","",$C1459&amp;"|"&amp;COUNTIFS($C$7:$C1459,$C1459))</f>
        <v/>
      </c>
    </row>
    <row r="1460">
      <c r="A1460" s="6" t="n"/>
      <c r="B1460" s="113">
        <f>IF($D1460="","","T"&amp;TEXT(ROW()-6,"00000"))</f>
        <v/>
      </c>
      <c r="C1460" s="113">
        <f>IF($D1460="","",IFERROR(INDEX(MUSTERILER!$B$7:$B$106,MATCH($D1460,MUSTERILER!$C$7:$C$106,0)),IFERROR(INDEX(MUSTERILER!$B$7:$B$106,MATCH($D1460,MUSTERILER!$B$7:$B$106,0)),IFERROR(INDEX(MUSTERILER!$B$7:$B$106,MATCH($D1460&amp;"*",MUSTERILER!$C$7:$C$106,0)),"TANIMSIZ MÜŞTERİ"))))</f>
        <v/>
      </c>
      <c r="D1460" s="109" t="n"/>
      <c r="E1460" s="225" t="n"/>
      <c r="F1460" s="226" t="n"/>
      <c r="G1460" s="108" t="n"/>
      <c r="H1460" s="108" t="n"/>
      <c r="I1460" s="109" t="n"/>
      <c r="J1460" s="109" t="n"/>
      <c r="K1460" s="109" t="n"/>
      <c r="L1460" s="231">
        <f>IF($E1460="","",DATE(YEAR($E1460),MONTH($E1460),1))</f>
        <v/>
      </c>
      <c r="M1460" s="113">
        <f>IF($D1460="","",IF($C1460="TANIMSIZ MÜŞTERİ","HATA",IF(OR($E1460="",$F1460&lt;=0,$G1460=""),"EKSİK",IF($E1460&gt;TODAY(),"İLERİ TARİH","UYGUN"))))</f>
        <v/>
      </c>
      <c r="N1460" s="121">
        <f>IF($C1460="","",IF($C1460="TANIMSIZ MÜŞTERİ","—",INDEX(MUSTERILER!$C$7:$C$106,MATCH($C1460,MUSTERILER!$B$7:$B$106,0))))</f>
        <v/>
      </c>
      <c r="O1460" s="6" t="n"/>
      <c r="P1460" s="6" t="n"/>
      <c r="Q1460" s="3">
        <f>IF($D1460="","",$C1460&amp;"|"&amp;COUNTIFS($C$7:$C1460,$C1460))</f>
        <v/>
      </c>
    </row>
    <row r="1461">
      <c r="A1461" s="6" t="n"/>
      <c r="B1461" s="113">
        <f>IF($D1461="","","T"&amp;TEXT(ROW()-6,"00000"))</f>
        <v/>
      </c>
      <c r="C1461" s="113">
        <f>IF($D1461="","",IFERROR(INDEX(MUSTERILER!$B$7:$B$106,MATCH($D1461,MUSTERILER!$C$7:$C$106,0)),IFERROR(INDEX(MUSTERILER!$B$7:$B$106,MATCH($D1461,MUSTERILER!$B$7:$B$106,0)),IFERROR(INDEX(MUSTERILER!$B$7:$B$106,MATCH($D1461&amp;"*",MUSTERILER!$C$7:$C$106,0)),"TANIMSIZ MÜŞTERİ"))))</f>
        <v/>
      </c>
      <c r="D1461" s="109" t="n"/>
      <c r="E1461" s="225" t="n"/>
      <c r="F1461" s="226" t="n"/>
      <c r="G1461" s="108" t="n"/>
      <c r="H1461" s="108" t="n"/>
      <c r="I1461" s="109" t="n"/>
      <c r="J1461" s="109" t="n"/>
      <c r="K1461" s="109" t="n"/>
      <c r="L1461" s="231">
        <f>IF($E1461="","",DATE(YEAR($E1461),MONTH($E1461),1))</f>
        <v/>
      </c>
      <c r="M1461" s="113">
        <f>IF($D1461="","",IF($C1461="TANIMSIZ MÜŞTERİ","HATA",IF(OR($E1461="",$F1461&lt;=0,$G1461=""),"EKSİK",IF($E1461&gt;TODAY(),"İLERİ TARİH","UYGUN"))))</f>
        <v/>
      </c>
      <c r="N1461" s="121">
        <f>IF($C1461="","",IF($C1461="TANIMSIZ MÜŞTERİ","—",INDEX(MUSTERILER!$C$7:$C$106,MATCH($C1461,MUSTERILER!$B$7:$B$106,0))))</f>
        <v/>
      </c>
      <c r="O1461" s="6" t="n"/>
      <c r="P1461" s="6" t="n"/>
      <c r="Q1461" s="3">
        <f>IF($D1461="","",$C1461&amp;"|"&amp;COUNTIFS($C$7:$C1461,$C1461))</f>
        <v/>
      </c>
    </row>
    <row r="1462">
      <c r="A1462" s="6" t="n"/>
      <c r="B1462" s="113">
        <f>IF($D1462="","","T"&amp;TEXT(ROW()-6,"00000"))</f>
        <v/>
      </c>
      <c r="C1462" s="113">
        <f>IF($D1462="","",IFERROR(INDEX(MUSTERILER!$B$7:$B$106,MATCH($D1462,MUSTERILER!$C$7:$C$106,0)),IFERROR(INDEX(MUSTERILER!$B$7:$B$106,MATCH($D1462,MUSTERILER!$B$7:$B$106,0)),IFERROR(INDEX(MUSTERILER!$B$7:$B$106,MATCH($D1462&amp;"*",MUSTERILER!$C$7:$C$106,0)),"TANIMSIZ MÜŞTERİ"))))</f>
        <v/>
      </c>
      <c r="D1462" s="109" t="n"/>
      <c r="E1462" s="225" t="n"/>
      <c r="F1462" s="226" t="n"/>
      <c r="G1462" s="108" t="n"/>
      <c r="H1462" s="108" t="n"/>
      <c r="I1462" s="109" t="n"/>
      <c r="J1462" s="109" t="n"/>
      <c r="K1462" s="109" t="n"/>
      <c r="L1462" s="231">
        <f>IF($E1462="","",DATE(YEAR($E1462),MONTH($E1462),1))</f>
        <v/>
      </c>
      <c r="M1462" s="113">
        <f>IF($D1462="","",IF($C1462="TANIMSIZ MÜŞTERİ","HATA",IF(OR($E1462="",$F1462&lt;=0,$G1462=""),"EKSİK",IF($E1462&gt;TODAY(),"İLERİ TARİH","UYGUN"))))</f>
        <v/>
      </c>
      <c r="N1462" s="121">
        <f>IF($C1462="","",IF($C1462="TANIMSIZ MÜŞTERİ","—",INDEX(MUSTERILER!$C$7:$C$106,MATCH($C1462,MUSTERILER!$B$7:$B$106,0))))</f>
        <v/>
      </c>
      <c r="O1462" s="6" t="n"/>
      <c r="P1462" s="6" t="n"/>
      <c r="Q1462" s="3">
        <f>IF($D1462="","",$C1462&amp;"|"&amp;COUNTIFS($C$7:$C1462,$C1462))</f>
        <v/>
      </c>
    </row>
    <row r="1463">
      <c r="A1463" s="6" t="n"/>
      <c r="B1463" s="113">
        <f>IF($D1463="","","T"&amp;TEXT(ROW()-6,"00000"))</f>
        <v/>
      </c>
      <c r="C1463" s="113">
        <f>IF($D1463="","",IFERROR(INDEX(MUSTERILER!$B$7:$B$106,MATCH($D1463,MUSTERILER!$C$7:$C$106,0)),IFERROR(INDEX(MUSTERILER!$B$7:$B$106,MATCH($D1463,MUSTERILER!$B$7:$B$106,0)),IFERROR(INDEX(MUSTERILER!$B$7:$B$106,MATCH($D1463&amp;"*",MUSTERILER!$C$7:$C$106,0)),"TANIMSIZ MÜŞTERİ"))))</f>
        <v/>
      </c>
      <c r="D1463" s="109" t="n"/>
      <c r="E1463" s="225" t="n"/>
      <c r="F1463" s="226" t="n"/>
      <c r="G1463" s="108" t="n"/>
      <c r="H1463" s="108" t="n"/>
      <c r="I1463" s="109" t="n"/>
      <c r="J1463" s="109" t="n"/>
      <c r="K1463" s="109" t="n"/>
      <c r="L1463" s="231">
        <f>IF($E1463="","",DATE(YEAR($E1463),MONTH($E1463),1))</f>
        <v/>
      </c>
      <c r="M1463" s="113">
        <f>IF($D1463="","",IF($C1463="TANIMSIZ MÜŞTERİ","HATA",IF(OR($E1463="",$F1463&lt;=0,$G1463=""),"EKSİK",IF($E1463&gt;TODAY(),"İLERİ TARİH","UYGUN"))))</f>
        <v/>
      </c>
      <c r="N1463" s="121">
        <f>IF($C1463="","",IF($C1463="TANIMSIZ MÜŞTERİ","—",INDEX(MUSTERILER!$C$7:$C$106,MATCH($C1463,MUSTERILER!$B$7:$B$106,0))))</f>
        <v/>
      </c>
      <c r="O1463" s="6" t="n"/>
      <c r="P1463" s="6" t="n"/>
      <c r="Q1463" s="3">
        <f>IF($D1463="","",$C1463&amp;"|"&amp;COUNTIFS($C$7:$C1463,$C1463))</f>
        <v/>
      </c>
    </row>
    <row r="1464">
      <c r="A1464" s="6" t="n"/>
      <c r="B1464" s="113">
        <f>IF($D1464="","","T"&amp;TEXT(ROW()-6,"00000"))</f>
        <v/>
      </c>
      <c r="C1464" s="113">
        <f>IF($D1464="","",IFERROR(INDEX(MUSTERILER!$B$7:$B$106,MATCH($D1464,MUSTERILER!$C$7:$C$106,0)),IFERROR(INDEX(MUSTERILER!$B$7:$B$106,MATCH($D1464,MUSTERILER!$B$7:$B$106,0)),IFERROR(INDEX(MUSTERILER!$B$7:$B$106,MATCH($D1464&amp;"*",MUSTERILER!$C$7:$C$106,0)),"TANIMSIZ MÜŞTERİ"))))</f>
        <v/>
      </c>
      <c r="D1464" s="109" t="n"/>
      <c r="E1464" s="225" t="n"/>
      <c r="F1464" s="226" t="n"/>
      <c r="G1464" s="108" t="n"/>
      <c r="H1464" s="108" t="n"/>
      <c r="I1464" s="109" t="n"/>
      <c r="J1464" s="109" t="n"/>
      <c r="K1464" s="109" t="n"/>
      <c r="L1464" s="231">
        <f>IF($E1464="","",DATE(YEAR($E1464),MONTH($E1464),1))</f>
        <v/>
      </c>
      <c r="M1464" s="113">
        <f>IF($D1464="","",IF($C1464="TANIMSIZ MÜŞTERİ","HATA",IF(OR($E1464="",$F1464&lt;=0,$G1464=""),"EKSİK",IF($E1464&gt;TODAY(),"İLERİ TARİH","UYGUN"))))</f>
        <v/>
      </c>
      <c r="N1464" s="121">
        <f>IF($C1464="","",IF($C1464="TANIMSIZ MÜŞTERİ","—",INDEX(MUSTERILER!$C$7:$C$106,MATCH($C1464,MUSTERILER!$B$7:$B$106,0))))</f>
        <v/>
      </c>
      <c r="O1464" s="6" t="n"/>
      <c r="P1464" s="6" t="n"/>
      <c r="Q1464" s="3">
        <f>IF($D1464="","",$C1464&amp;"|"&amp;COUNTIFS($C$7:$C1464,$C1464))</f>
        <v/>
      </c>
    </row>
    <row r="1465">
      <c r="A1465" s="6" t="n"/>
      <c r="B1465" s="113">
        <f>IF($D1465="","","T"&amp;TEXT(ROW()-6,"00000"))</f>
        <v/>
      </c>
      <c r="C1465" s="113">
        <f>IF($D1465="","",IFERROR(INDEX(MUSTERILER!$B$7:$B$106,MATCH($D1465,MUSTERILER!$C$7:$C$106,0)),IFERROR(INDEX(MUSTERILER!$B$7:$B$106,MATCH($D1465,MUSTERILER!$B$7:$B$106,0)),IFERROR(INDEX(MUSTERILER!$B$7:$B$106,MATCH($D1465&amp;"*",MUSTERILER!$C$7:$C$106,0)),"TANIMSIZ MÜŞTERİ"))))</f>
        <v/>
      </c>
      <c r="D1465" s="109" t="n"/>
      <c r="E1465" s="225" t="n"/>
      <c r="F1465" s="226" t="n"/>
      <c r="G1465" s="108" t="n"/>
      <c r="H1465" s="108" t="n"/>
      <c r="I1465" s="109" t="n"/>
      <c r="J1465" s="109" t="n"/>
      <c r="K1465" s="109" t="n"/>
      <c r="L1465" s="231">
        <f>IF($E1465="","",DATE(YEAR($E1465),MONTH($E1465),1))</f>
        <v/>
      </c>
      <c r="M1465" s="113">
        <f>IF($D1465="","",IF($C1465="TANIMSIZ MÜŞTERİ","HATA",IF(OR($E1465="",$F1465&lt;=0,$G1465=""),"EKSİK",IF($E1465&gt;TODAY(),"İLERİ TARİH","UYGUN"))))</f>
        <v/>
      </c>
      <c r="N1465" s="121">
        <f>IF($C1465="","",IF($C1465="TANIMSIZ MÜŞTERİ","—",INDEX(MUSTERILER!$C$7:$C$106,MATCH($C1465,MUSTERILER!$B$7:$B$106,0))))</f>
        <v/>
      </c>
      <c r="O1465" s="6" t="n"/>
      <c r="P1465" s="6" t="n"/>
      <c r="Q1465" s="3">
        <f>IF($D1465="","",$C1465&amp;"|"&amp;COUNTIFS($C$7:$C1465,$C1465))</f>
        <v/>
      </c>
    </row>
    <row r="1466">
      <c r="A1466" s="6" t="n"/>
      <c r="B1466" s="113">
        <f>IF($D1466="","","T"&amp;TEXT(ROW()-6,"00000"))</f>
        <v/>
      </c>
      <c r="C1466" s="113">
        <f>IF($D1466="","",IFERROR(INDEX(MUSTERILER!$B$7:$B$106,MATCH($D1466,MUSTERILER!$C$7:$C$106,0)),IFERROR(INDEX(MUSTERILER!$B$7:$B$106,MATCH($D1466,MUSTERILER!$B$7:$B$106,0)),IFERROR(INDEX(MUSTERILER!$B$7:$B$106,MATCH($D1466&amp;"*",MUSTERILER!$C$7:$C$106,0)),"TANIMSIZ MÜŞTERİ"))))</f>
        <v/>
      </c>
      <c r="D1466" s="109" t="n"/>
      <c r="E1466" s="225" t="n"/>
      <c r="F1466" s="226" t="n"/>
      <c r="G1466" s="108" t="n"/>
      <c r="H1466" s="108" t="n"/>
      <c r="I1466" s="109" t="n"/>
      <c r="J1466" s="109" t="n"/>
      <c r="K1466" s="109" t="n"/>
      <c r="L1466" s="231">
        <f>IF($E1466="","",DATE(YEAR($E1466),MONTH($E1466),1))</f>
        <v/>
      </c>
      <c r="M1466" s="113">
        <f>IF($D1466="","",IF($C1466="TANIMSIZ MÜŞTERİ","HATA",IF(OR($E1466="",$F1466&lt;=0,$G1466=""),"EKSİK",IF($E1466&gt;TODAY(),"İLERİ TARİH","UYGUN"))))</f>
        <v/>
      </c>
      <c r="N1466" s="121">
        <f>IF($C1466="","",IF($C1466="TANIMSIZ MÜŞTERİ","—",INDEX(MUSTERILER!$C$7:$C$106,MATCH($C1466,MUSTERILER!$B$7:$B$106,0))))</f>
        <v/>
      </c>
      <c r="O1466" s="6" t="n"/>
      <c r="P1466" s="6" t="n"/>
      <c r="Q1466" s="3">
        <f>IF($D1466="","",$C1466&amp;"|"&amp;COUNTIFS($C$7:$C1466,$C1466))</f>
        <v/>
      </c>
    </row>
    <row r="1467">
      <c r="A1467" s="6" t="n"/>
      <c r="B1467" s="113">
        <f>IF($D1467="","","T"&amp;TEXT(ROW()-6,"00000"))</f>
        <v/>
      </c>
      <c r="C1467" s="113">
        <f>IF($D1467="","",IFERROR(INDEX(MUSTERILER!$B$7:$B$106,MATCH($D1467,MUSTERILER!$C$7:$C$106,0)),IFERROR(INDEX(MUSTERILER!$B$7:$B$106,MATCH($D1467,MUSTERILER!$B$7:$B$106,0)),IFERROR(INDEX(MUSTERILER!$B$7:$B$106,MATCH($D1467&amp;"*",MUSTERILER!$C$7:$C$106,0)),"TANIMSIZ MÜŞTERİ"))))</f>
        <v/>
      </c>
      <c r="D1467" s="109" t="n"/>
      <c r="E1467" s="225" t="n"/>
      <c r="F1467" s="226" t="n"/>
      <c r="G1467" s="108" t="n"/>
      <c r="H1467" s="108" t="n"/>
      <c r="I1467" s="109" t="n"/>
      <c r="J1467" s="109" t="n"/>
      <c r="K1467" s="109" t="n"/>
      <c r="L1467" s="231">
        <f>IF($E1467="","",DATE(YEAR($E1467),MONTH($E1467),1))</f>
        <v/>
      </c>
      <c r="M1467" s="113">
        <f>IF($D1467="","",IF($C1467="TANIMSIZ MÜŞTERİ","HATA",IF(OR($E1467="",$F1467&lt;=0,$G1467=""),"EKSİK",IF($E1467&gt;TODAY(),"İLERİ TARİH","UYGUN"))))</f>
        <v/>
      </c>
      <c r="N1467" s="121">
        <f>IF($C1467="","",IF($C1467="TANIMSIZ MÜŞTERİ","—",INDEX(MUSTERILER!$C$7:$C$106,MATCH($C1467,MUSTERILER!$B$7:$B$106,0))))</f>
        <v/>
      </c>
      <c r="O1467" s="6" t="n"/>
      <c r="P1467" s="6" t="n"/>
      <c r="Q1467" s="3">
        <f>IF($D1467="","",$C1467&amp;"|"&amp;COUNTIFS($C$7:$C1467,$C1467))</f>
        <v/>
      </c>
    </row>
    <row r="1468">
      <c r="A1468" s="6" t="n"/>
      <c r="B1468" s="113">
        <f>IF($D1468="","","T"&amp;TEXT(ROW()-6,"00000"))</f>
        <v/>
      </c>
      <c r="C1468" s="113">
        <f>IF($D1468="","",IFERROR(INDEX(MUSTERILER!$B$7:$B$106,MATCH($D1468,MUSTERILER!$C$7:$C$106,0)),IFERROR(INDEX(MUSTERILER!$B$7:$B$106,MATCH($D1468,MUSTERILER!$B$7:$B$106,0)),IFERROR(INDEX(MUSTERILER!$B$7:$B$106,MATCH($D1468&amp;"*",MUSTERILER!$C$7:$C$106,0)),"TANIMSIZ MÜŞTERİ"))))</f>
        <v/>
      </c>
      <c r="D1468" s="109" t="n"/>
      <c r="E1468" s="225" t="n"/>
      <c r="F1468" s="226" t="n"/>
      <c r="G1468" s="108" t="n"/>
      <c r="H1468" s="108" t="n"/>
      <c r="I1468" s="109" t="n"/>
      <c r="J1468" s="109" t="n"/>
      <c r="K1468" s="109" t="n"/>
      <c r="L1468" s="231">
        <f>IF($E1468="","",DATE(YEAR($E1468),MONTH($E1468),1))</f>
        <v/>
      </c>
      <c r="M1468" s="113">
        <f>IF($D1468="","",IF($C1468="TANIMSIZ MÜŞTERİ","HATA",IF(OR($E1468="",$F1468&lt;=0,$G1468=""),"EKSİK",IF($E1468&gt;TODAY(),"İLERİ TARİH","UYGUN"))))</f>
        <v/>
      </c>
      <c r="N1468" s="121">
        <f>IF($C1468="","",IF($C1468="TANIMSIZ MÜŞTERİ","—",INDEX(MUSTERILER!$C$7:$C$106,MATCH($C1468,MUSTERILER!$B$7:$B$106,0))))</f>
        <v/>
      </c>
      <c r="O1468" s="6" t="n"/>
      <c r="P1468" s="6" t="n"/>
      <c r="Q1468" s="3">
        <f>IF($D1468="","",$C1468&amp;"|"&amp;COUNTIFS($C$7:$C1468,$C1468))</f>
        <v/>
      </c>
    </row>
    <row r="1469">
      <c r="A1469" s="6" t="n"/>
      <c r="B1469" s="113">
        <f>IF($D1469="","","T"&amp;TEXT(ROW()-6,"00000"))</f>
        <v/>
      </c>
      <c r="C1469" s="113">
        <f>IF($D1469="","",IFERROR(INDEX(MUSTERILER!$B$7:$B$106,MATCH($D1469,MUSTERILER!$C$7:$C$106,0)),IFERROR(INDEX(MUSTERILER!$B$7:$B$106,MATCH($D1469,MUSTERILER!$B$7:$B$106,0)),IFERROR(INDEX(MUSTERILER!$B$7:$B$106,MATCH($D1469&amp;"*",MUSTERILER!$C$7:$C$106,0)),"TANIMSIZ MÜŞTERİ"))))</f>
        <v/>
      </c>
      <c r="D1469" s="109" t="n"/>
      <c r="E1469" s="225" t="n"/>
      <c r="F1469" s="226" t="n"/>
      <c r="G1469" s="108" t="n"/>
      <c r="H1469" s="108" t="n"/>
      <c r="I1469" s="109" t="n"/>
      <c r="J1469" s="109" t="n"/>
      <c r="K1469" s="109" t="n"/>
      <c r="L1469" s="231">
        <f>IF($E1469="","",DATE(YEAR($E1469),MONTH($E1469),1))</f>
        <v/>
      </c>
      <c r="M1469" s="113">
        <f>IF($D1469="","",IF($C1469="TANIMSIZ MÜŞTERİ","HATA",IF(OR($E1469="",$F1469&lt;=0,$G1469=""),"EKSİK",IF($E1469&gt;TODAY(),"İLERİ TARİH","UYGUN"))))</f>
        <v/>
      </c>
      <c r="N1469" s="121">
        <f>IF($C1469="","",IF($C1469="TANIMSIZ MÜŞTERİ","—",INDEX(MUSTERILER!$C$7:$C$106,MATCH($C1469,MUSTERILER!$B$7:$B$106,0))))</f>
        <v/>
      </c>
      <c r="O1469" s="6" t="n"/>
      <c r="P1469" s="6" t="n"/>
      <c r="Q1469" s="3">
        <f>IF($D1469="","",$C1469&amp;"|"&amp;COUNTIFS($C$7:$C1469,$C1469))</f>
        <v/>
      </c>
    </row>
    <row r="1470">
      <c r="A1470" s="6" t="n"/>
      <c r="B1470" s="113">
        <f>IF($D1470="","","T"&amp;TEXT(ROW()-6,"00000"))</f>
        <v/>
      </c>
      <c r="C1470" s="113">
        <f>IF($D1470="","",IFERROR(INDEX(MUSTERILER!$B$7:$B$106,MATCH($D1470,MUSTERILER!$C$7:$C$106,0)),IFERROR(INDEX(MUSTERILER!$B$7:$B$106,MATCH($D1470,MUSTERILER!$B$7:$B$106,0)),IFERROR(INDEX(MUSTERILER!$B$7:$B$106,MATCH($D1470&amp;"*",MUSTERILER!$C$7:$C$106,0)),"TANIMSIZ MÜŞTERİ"))))</f>
        <v/>
      </c>
      <c r="D1470" s="109" t="n"/>
      <c r="E1470" s="225" t="n"/>
      <c r="F1470" s="226" t="n"/>
      <c r="G1470" s="108" t="n"/>
      <c r="H1470" s="108" t="n"/>
      <c r="I1470" s="109" t="n"/>
      <c r="J1470" s="109" t="n"/>
      <c r="K1470" s="109" t="n"/>
      <c r="L1470" s="231">
        <f>IF($E1470="","",DATE(YEAR($E1470),MONTH($E1470),1))</f>
        <v/>
      </c>
      <c r="M1470" s="113">
        <f>IF($D1470="","",IF($C1470="TANIMSIZ MÜŞTERİ","HATA",IF(OR($E1470="",$F1470&lt;=0,$G1470=""),"EKSİK",IF($E1470&gt;TODAY(),"İLERİ TARİH","UYGUN"))))</f>
        <v/>
      </c>
      <c r="N1470" s="121">
        <f>IF($C1470="","",IF($C1470="TANIMSIZ MÜŞTERİ","—",INDEX(MUSTERILER!$C$7:$C$106,MATCH($C1470,MUSTERILER!$B$7:$B$106,0))))</f>
        <v/>
      </c>
      <c r="O1470" s="6" t="n"/>
      <c r="P1470" s="6" t="n"/>
      <c r="Q1470" s="3">
        <f>IF($D1470="","",$C1470&amp;"|"&amp;COUNTIFS($C$7:$C1470,$C1470))</f>
        <v/>
      </c>
    </row>
    <row r="1471">
      <c r="A1471" s="6" t="n"/>
      <c r="B1471" s="113">
        <f>IF($D1471="","","T"&amp;TEXT(ROW()-6,"00000"))</f>
        <v/>
      </c>
      <c r="C1471" s="113">
        <f>IF($D1471="","",IFERROR(INDEX(MUSTERILER!$B$7:$B$106,MATCH($D1471,MUSTERILER!$C$7:$C$106,0)),IFERROR(INDEX(MUSTERILER!$B$7:$B$106,MATCH($D1471,MUSTERILER!$B$7:$B$106,0)),IFERROR(INDEX(MUSTERILER!$B$7:$B$106,MATCH($D1471&amp;"*",MUSTERILER!$C$7:$C$106,0)),"TANIMSIZ MÜŞTERİ"))))</f>
        <v/>
      </c>
      <c r="D1471" s="109" t="n"/>
      <c r="E1471" s="225" t="n"/>
      <c r="F1471" s="226" t="n"/>
      <c r="G1471" s="108" t="n"/>
      <c r="H1471" s="108" t="n"/>
      <c r="I1471" s="109" t="n"/>
      <c r="J1471" s="109" t="n"/>
      <c r="K1471" s="109" t="n"/>
      <c r="L1471" s="231">
        <f>IF($E1471="","",DATE(YEAR($E1471),MONTH($E1471),1))</f>
        <v/>
      </c>
      <c r="M1471" s="113">
        <f>IF($D1471="","",IF($C1471="TANIMSIZ MÜŞTERİ","HATA",IF(OR($E1471="",$F1471&lt;=0,$G1471=""),"EKSİK",IF($E1471&gt;TODAY(),"İLERİ TARİH","UYGUN"))))</f>
        <v/>
      </c>
      <c r="N1471" s="121">
        <f>IF($C1471="","",IF($C1471="TANIMSIZ MÜŞTERİ","—",INDEX(MUSTERILER!$C$7:$C$106,MATCH($C1471,MUSTERILER!$B$7:$B$106,0))))</f>
        <v/>
      </c>
      <c r="O1471" s="6" t="n"/>
      <c r="P1471" s="6" t="n"/>
      <c r="Q1471" s="3">
        <f>IF($D1471="","",$C1471&amp;"|"&amp;COUNTIFS($C$7:$C1471,$C1471))</f>
        <v/>
      </c>
    </row>
    <row r="1472">
      <c r="A1472" s="6" t="n"/>
      <c r="B1472" s="113">
        <f>IF($D1472="","","T"&amp;TEXT(ROW()-6,"00000"))</f>
        <v/>
      </c>
      <c r="C1472" s="113">
        <f>IF($D1472="","",IFERROR(INDEX(MUSTERILER!$B$7:$B$106,MATCH($D1472,MUSTERILER!$C$7:$C$106,0)),IFERROR(INDEX(MUSTERILER!$B$7:$B$106,MATCH($D1472,MUSTERILER!$B$7:$B$106,0)),IFERROR(INDEX(MUSTERILER!$B$7:$B$106,MATCH($D1472&amp;"*",MUSTERILER!$C$7:$C$106,0)),"TANIMSIZ MÜŞTERİ"))))</f>
        <v/>
      </c>
      <c r="D1472" s="109" t="n"/>
      <c r="E1472" s="225" t="n"/>
      <c r="F1472" s="226" t="n"/>
      <c r="G1472" s="108" t="n"/>
      <c r="H1472" s="108" t="n"/>
      <c r="I1472" s="109" t="n"/>
      <c r="J1472" s="109" t="n"/>
      <c r="K1472" s="109" t="n"/>
      <c r="L1472" s="231">
        <f>IF($E1472="","",DATE(YEAR($E1472),MONTH($E1472),1))</f>
        <v/>
      </c>
      <c r="M1472" s="113">
        <f>IF($D1472="","",IF($C1472="TANIMSIZ MÜŞTERİ","HATA",IF(OR($E1472="",$F1472&lt;=0,$G1472=""),"EKSİK",IF($E1472&gt;TODAY(),"İLERİ TARİH","UYGUN"))))</f>
        <v/>
      </c>
      <c r="N1472" s="121">
        <f>IF($C1472="","",IF($C1472="TANIMSIZ MÜŞTERİ","—",INDEX(MUSTERILER!$C$7:$C$106,MATCH($C1472,MUSTERILER!$B$7:$B$106,0))))</f>
        <v/>
      </c>
      <c r="O1472" s="6" t="n"/>
      <c r="P1472" s="6" t="n"/>
      <c r="Q1472" s="3">
        <f>IF($D1472="","",$C1472&amp;"|"&amp;COUNTIFS($C$7:$C1472,$C1472))</f>
        <v/>
      </c>
    </row>
    <row r="1473">
      <c r="A1473" s="6" t="n"/>
      <c r="B1473" s="113">
        <f>IF($D1473="","","T"&amp;TEXT(ROW()-6,"00000"))</f>
        <v/>
      </c>
      <c r="C1473" s="113">
        <f>IF($D1473="","",IFERROR(INDEX(MUSTERILER!$B$7:$B$106,MATCH($D1473,MUSTERILER!$C$7:$C$106,0)),IFERROR(INDEX(MUSTERILER!$B$7:$B$106,MATCH($D1473,MUSTERILER!$B$7:$B$106,0)),IFERROR(INDEX(MUSTERILER!$B$7:$B$106,MATCH($D1473&amp;"*",MUSTERILER!$C$7:$C$106,0)),"TANIMSIZ MÜŞTERİ"))))</f>
        <v/>
      </c>
      <c r="D1473" s="109" t="n"/>
      <c r="E1473" s="225" t="n"/>
      <c r="F1473" s="226" t="n"/>
      <c r="G1473" s="108" t="n"/>
      <c r="H1473" s="108" t="n"/>
      <c r="I1473" s="109" t="n"/>
      <c r="J1473" s="109" t="n"/>
      <c r="K1473" s="109" t="n"/>
      <c r="L1473" s="231">
        <f>IF($E1473="","",DATE(YEAR($E1473),MONTH($E1473),1))</f>
        <v/>
      </c>
      <c r="M1473" s="113">
        <f>IF($D1473="","",IF($C1473="TANIMSIZ MÜŞTERİ","HATA",IF(OR($E1473="",$F1473&lt;=0,$G1473=""),"EKSİK",IF($E1473&gt;TODAY(),"İLERİ TARİH","UYGUN"))))</f>
        <v/>
      </c>
      <c r="N1473" s="121">
        <f>IF($C1473="","",IF($C1473="TANIMSIZ MÜŞTERİ","—",INDEX(MUSTERILER!$C$7:$C$106,MATCH($C1473,MUSTERILER!$B$7:$B$106,0))))</f>
        <v/>
      </c>
      <c r="O1473" s="6" t="n"/>
      <c r="P1473" s="6" t="n"/>
      <c r="Q1473" s="3">
        <f>IF($D1473="","",$C1473&amp;"|"&amp;COUNTIFS($C$7:$C1473,$C1473))</f>
        <v/>
      </c>
    </row>
    <row r="1474">
      <c r="A1474" s="6" t="n"/>
      <c r="B1474" s="113">
        <f>IF($D1474="","","T"&amp;TEXT(ROW()-6,"00000"))</f>
        <v/>
      </c>
      <c r="C1474" s="113">
        <f>IF($D1474="","",IFERROR(INDEX(MUSTERILER!$B$7:$B$106,MATCH($D1474,MUSTERILER!$C$7:$C$106,0)),IFERROR(INDEX(MUSTERILER!$B$7:$B$106,MATCH($D1474,MUSTERILER!$B$7:$B$106,0)),IFERROR(INDEX(MUSTERILER!$B$7:$B$106,MATCH($D1474&amp;"*",MUSTERILER!$C$7:$C$106,0)),"TANIMSIZ MÜŞTERİ"))))</f>
        <v/>
      </c>
      <c r="D1474" s="109" t="n"/>
      <c r="E1474" s="225" t="n"/>
      <c r="F1474" s="226" t="n"/>
      <c r="G1474" s="108" t="n"/>
      <c r="H1474" s="108" t="n"/>
      <c r="I1474" s="109" t="n"/>
      <c r="J1474" s="109" t="n"/>
      <c r="K1474" s="109" t="n"/>
      <c r="L1474" s="231">
        <f>IF($E1474="","",DATE(YEAR($E1474),MONTH($E1474),1))</f>
        <v/>
      </c>
      <c r="M1474" s="113">
        <f>IF($D1474="","",IF($C1474="TANIMSIZ MÜŞTERİ","HATA",IF(OR($E1474="",$F1474&lt;=0,$G1474=""),"EKSİK",IF($E1474&gt;TODAY(),"İLERİ TARİH","UYGUN"))))</f>
        <v/>
      </c>
      <c r="N1474" s="121">
        <f>IF($C1474="","",IF($C1474="TANIMSIZ MÜŞTERİ","—",INDEX(MUSTERILER!$C$7:$C$106,MATCH($C1474,MUSTERILER!$B$7:$B$106,0))))</f>
        <v/>
      </c>
      <c r="O1474" s="6" t="n"/>
      <c r="P1474" s="6" t="n"/>
      <c r="Q1474" s="3">
        <f>IF($D1474="","",$C1474&amp;"|"&amp;COUNTIFS($C$7:$C1474,$C1474))</f>
        <v/>
      </c>
    </row>
    <row r="1475">
      <c r="A1475" s="6" t="n"/>
      <c r="B1475" s="113">
        <f>IF($D1475="","","T"&amp;TEXT(ROW()-6,"00000"))</f>
        <v/>
      </c>
      <c r="C1475" s="113">
        <f>IF($D1475="","",IFERROR(INDEX(MUSTERILER!$B$7:$B$106,MATCH($D1475,MUSTERILER!$C$7:$C$106,0)),IFERROR(INDEX(MUSTERILER!$B$7:$B$106,MATCH($D1475,MUSTERILER!$B$7:$B$106,0)),IFERROR(INDEX(MUSTERILER!$B$7:$B$106,MATCH($D1475&amp;"*",MUSTERILER!$C$7:$C$106,0)),"TANIMSIZ MÜŞTERİ"))))</f>
        <v/>
      </c>
      <c r="D1475" s="109" t="n"/>
      <c r="E1475" s="225" t="n"/>
      <c r="F1475" s="226" t="n"/>
      <c r="G1475" s="108" t="n"/>
      <c r="H1475" s="108" t="n"/>
      <c r="I1475" s="109" t="n"/>
      <c r="J1475" s="109" t="n"/>
      <c r="K1475" s="109" t="n"/>
      <c r="L1475" s="231">
        <f>IF($E1475="","",DATE(YEAR($E1475),MONTH($E1475),1))</f>
        <v/>
      </c>
      <c r="M1475" s="113">
        <f>IF($D1475="","",IF($C1475="TANIMSIZ MÜŞTERİ","HATA",IF(OR($E1475="",$F1475&lt;=0,$G1475=""),"EKSİK",IF($E1475&gt;TODAY(),"İLERİ TARİH","UYGUN"))))</f>
        <v/>
      </c>
      <c r="N1475" s="121">
        <f>IF($C1475="","",IF($C1475="TANIMSIZ MÜŞTERİ","—",INDEX(MUSTERILER!$C$7:$C$106,MATCH($C1475,MUSTERILER!$B$7:$B$106,0))))</f>
        <v/>
      </c>
      <c r="O1475" s="6" t="n"/>
      <c r="P1475" s="6" t="n"/>
      <c r="Q1475" s="3">
        <f>IF($D1475="","",$C1475&amp;"|"&amp;COUNTIFS($C$7:$C1475,$C1475))</f>
        <v/>
      </c>
    </row>
    <row r="1476">
      <c r="A1476" s="6" t="n"/>
      <c r="B1476" s="113">
        <f>IF($D1476="","","T"&amp;TEXT(ROW()-6,"00000"))</f>
        <v/>
      </c>
      <c r="C1476" s="113">
        <f>IF($D1476="","",IFERROR(INDEX(MUSTERILER!$B$7:$B$106,MATCH($D1476,MUSTERILER!$C$7:$C$106,0)),IFERROR(INDEX(MUSTERILER!$B$7:$B$106,MATCH($D1476,MUSTERILER!$B$7:$B$106,0)),IFERROR(INDEX(MUSTERILER!$B$7:$B$106,MATCH($D1476&amp;"*",MUSTERILER!$C$7:$C$106,0)),"TANIMSIZ MÜŞTERİ"))))</f>
        <v/>
      </c>
      <c r="D1476" s="109" t="n"/>
      <c r="E1476" s="225" t="n"/>
      <c r="F1476" s="226" t="n"/>
      <c r="G1476" s="108" t="n"/>
      <c r="H1476" s="108" t="n"/>
      <c r="I1476" s="109" t="n"/>
      <c r="J1476" s="109" t="n"/>
      <c r="K1476" s="109" t="n"/>
      <c r="L1476" s="231">
        <f>IF($E1476="","",DATE(YEAR($E1476),MONTH($E1476),1))</f>
        <v/>
      </c>
      <c r="M1476" s="113">
        <f>IF($D1476="","",IF($C1476="TANIMSIZ MÜŞTERİ","HATA",IF(OR($E1476="",$F1476&lt;=0,$G1476=""),"EKSİK",IF($E1476&gt;TODAY(),"İLERİ TARİH","UYGUN"))))</f>
        <v/>
      </c>
      <c r="N1476" s="121">
        <f>IF($C1476="","",IF($C1476="TANIMSIZ MÜŞTERİ","—",INDEX(MUSTERILER!$C$7:$C$106,MATCH($C1476,MUSTERILER!$B$7:$B$106,0))))</f>
        <v/>
      </c>
      <c r="O1476" s="6" t="n"/>
      <c r="P1476" s="6" t="n"/>
      <c r="Q1476" s="3">
        <f>IF($D1476="","",$C1476&amp;"|"&amp;COUNTIFS($C$7:$C1476,$C1476))</f>
        <v/>
      </c>
    </row>
    <row r="1477">
      <c r="A1477" s="6" t="n"/>
      <c r="B1477" s="113">
        <f>IF($D1477="","","T"&amp;TEXT(ROW()-6,"00000"))</f>
        <v/>
      </c>
      <c r="C1477" s="113">
        <f>IF($D1477="","",IFERROR(INDEX(MUSTERILER!$B$7:$B$106,MATCH($D1477,MUSTERILER!$C$7:$C$106,0)),IFERROR(INDEX(MUSTERILER!$B$7:$B$106,MATCH($D1477,MUSTERILER!$B$7:$B$106,0)),IFERROR(INDEX(MUSTERILER!$B$7:$B$106,MATCH($D1477&amp;"*",MUSTERILER!$C$7:$C$106,0)),"TANIMSIZ MÜŞTERİ"))))</f>
        <v/>
      </c>
      <c r="D1477" s="109" t="n"/>
      <c r="E1477" s="225" t="n"/>
      <c r="F1477" s="226" t="n"/>
      <c r="G1477" s="108" t="n"/>
      <c r="H1477" s="108" t="n"/>
      <c r="I1477" s="109" t="n"/>
      <c r="J1477" s="109" t="n"/>
      <c r="K1477" s="109" t="n"/>
      <c r="L1477" s="231">
        <f>IF($E1477="","",DATE(YEAR($E1477),MONTH($E1477),1))</f>
        <v/>
      </c>
      <c r="M1477" s="113">
        <f>IF($D1477="","",IF($C1477="TANIMSIZ MÜŞTERİ","HATA",IF(OR($E1477="",$F1477&lt;=0,$G1477=""),"EKSİK",IF($E1477&gt;TODAY(),"İLERİ TARİH","UYGUN"))))</f>
        <v/>
      </c>
      <c r="N1477" s="121">
        <f>IF($C1477="","",IF($C1477="TANIMSIZ MÜŞTERİ","—",INDEX(MUSTERILER!$C$7:$C$106,MATCH($C1477,MUSTERILER!$B$7:$B$106,0))))</f>
        <v/>
      </c>
      <c r="O1477" s="6" t="n"/>
      <c r="P1477" s="6" t="n"/>
      <c r="Q1477" s="3">
        <f>IF($D1477="","",$C1477&amp;"|"&amp;COUNTIFS($C$7:$C1477,$C1477))</f>
        <v/>
      </c>
    </row>
    <row r="1478">
      <c r="A1478" s="6" t="n"/>
      <c r="B1478" s="113">
        <f>IF($D1478="","","T"&amp;TEXT(ROW()-6,"00000"))</f>
        <v/>
      </c>
      <c r="C1478" s="113">
        <f>IF($D1478="","",IFERROR(INDEX(MUSTERILER!$B$7:$B$106,MATCH($D1478,MUSTERILER!$C$7:$C$106,0)),IFERROR(INDEX(MUSTERILER!$B$7:$B$106,MATCH($D1478,MUSTERILER!$B$7:$B$106,0)),IFERROR(INDEX(MUSTERILER!$B$7:$B$106,MATCH($D1478&amp;"*",MUSTERILER!$C$7:$C$106,0)),"TANIMSIZ MÜŞTERİ"))))</f>
        <v/>
      </c>
      <c r="D1478" s="109" t="n"/>
      <c r="E1478" s="225" t="n"/>
      <c r="F1478" s="226" t="n"/>
      <c r="G1478" s="108" t="n"/>
      <c r="H1478" s="108" t="n"/>
      <c r="I1478" s="109" t="n"/>
      <c r="J1478" s="109" t="n"/>
      <c r="K1478" s="109" t="n"/>
      <c r="L1478" s="231">
        <f>IF($E1478="","",DATE(YEAR($E1478),MONTH($E1478),1))</f>
        <v/>
      </c>
      <c r="M1478" s="113">
        <f>IF($D1478="","",IF($C1478="TANIMSIZ MÜŞTERİ","HATA",IF(OR($E1478="",$F1478&lt;=0,$G1478=""),"EKSİK",IF($E1478&gt;TODAY(),"İLERİ TARİH","UYGUN"))))</f>
        <v/>
      </c>
      <c r="N1478" s="121">
        <f>IF($C1478="","",IF($C1478="TANIMSIZ MÜŞTERİ","—",INDEX(MUSTERILER!$C$7:$C$106,MATCH($C1478,MUSTERILER!$B$7:$B$106,0))))</f>
        <v/>
      </c>
      <c r="O1478" s="6" t="n"/>
      <c r="P1478" s="6" t="n"/>
      <c r="Q1478" s="3">
        <f>IF($D1478="","",$C1478&amp;"|"&amp;COUNTIFS($C$7:$C1478,$C1478))</f>
        <v/>
      </c>
    </row>
    <row r="1479">
      <c r="A1479" s="6" t="n"/>
      <c r="B1479" s="113">
        <f>IF($D1479="","","T"&amp;TEXT(ROW()-6,"00000"))</f>
        <v/>
      </c>
      <c r="C1479" s="113">
        <f>IF($D1479="","",IFERROR(INDEX(MUSTERILER!$B$7:$B$106,MATCH($D1479,MUSTERILER!$C$7:$C$106,0)),IFERROR(INDEX(MUSTERILER!$B$7:$B$106,MATCH($D1479,MUSTERILER!$B$7:$B$106,0)),IFERROR(INDEX(MUSTERILER!$B$7:$B$106,MATCH($D1479&amp;"*",MUSTERILER!$C$7:$C$106,0)),"TANIMSIZ MÜŞTERİ"))))</f>
        <v/>
      </c>
      <c r="D1479" s="109" t="n"/>
      <c r="E1479" s="225" t="n"/>
      <c r="F1479" s="226" t="n"/>
      <c r="G1479" s="108" t="n"/>
      <c r="H1479" s="108" t="n"/>
      <c r="I1479" s="109" t="n"/>
      <c r="J1479" s="109" t="n"/>
      <c r="K1479" s="109" t="n"/>
      <c r="L1479" s="231">
        <f>IF($E1479="","",DATE(YEAR($E1479),MONTH($E1479),1))</f>
        <v/>
      </c>
      <c r="M1479" s="113">
        <f>IF($D1479="","",IF($C1479="TANIMSIZ MÜŞTERİ","HATA",IF(OR($E1479="",$F1479&lt;=0,$G1479=""),"EKSİK",IF($E1479&gt;TODAY(),"İLERİ TARİH","UYGUN"))))</f>
        <v/>
      </c>
      <c r="N1479" s="121">
        <f>IF($C1479="","",IF($C1479="TANIMSIZ MÜŞTERİ","—",INDEX(MUSTERILER!$C$7:$C$106,MATCH($C1479,MUSTERILER!$B$7:$B$106,0))))</f>
        <v/>
      </c>
      <c r="O1479" s="6" t="n"/>
      <c r="P1479" s="6" t="n"/>
      <c r="Q1479" s="3">
        <f>IF($D1479="","",$C1479&amp;"|"&amp;COUNTIFS($C$7:$C1479,$C1479))</f>
        <v/>
      </c>
    </row>
    <row r="1480">
      <c r="A1480" s="6" t="n"/>
      <c r="B1480" s="113">
        <f>IF($D1480="","","T"&amp;TEXT(ROW()-6,"00000"))</f>
        <v/>
      </c>
      <c r="C1480" s="113">
        <f>IF($D1480="","",IFERROR(INDEX(MUSTERILER!$B$7:$B$106,MATCH($D1480,MUSTERILER!$C$7:$C$106,0)),IFERROR(INDEX(MUSTERILER!$B$7:$B$106,MATCH($D1480,MUSTERILER!$B$7:$B$106,0)),IFERROR(INDEX(MUSTERILER!$B$7:$B$106,MATCH($D1480&amp;"*",MUSTERILER!$C$7:$C$106,0)),"TANIMSIZ MÜŞTERİ"))))</f>
        <v/>
      </c>
      <c r="D1480" s="109" t="n"/>
      <c r="E1480" s="225" t="n"/>
      <c r="F1480" s="226" t="n"/>
      <c r="G1480" s="108" t="n"/>
      <c r="H1480" s="108" t="n"/>
      <c r="I1480" s="109" t="n"/>
      <c r="J1480" s="109" t="n"/>
      <c r="K1480" s="109" t="n"/>
      <c r="L1480" s="231">
        <f>IF($E1480="","",DATE(YEAR($E1480),MONTH($E1480),1))</f>
        <v/>
      </c>
      <c r="M1480" s="113">
        <f>IF($D1480="","",IF($C1480="TANIMSIZ MÜŞTERİ","HATA",IF(OR($E1480="",$F1480&lt;=0,$G1480=""),"EKSİK",IF($E1480&gt;TODAY(),"İLERİ TARİH","UYGUN"))))</f>
        <v/>
      </c>
      <c r="N1480" s="121">
        <f>IF($C1480="","",IF($C1480="TANIMSIZ MÜŞTERİ","—",INDEX(MUSTERILER!$C$7:$C$106,MATCH($C1480,MUSTERILER!$B$7:$B$106,0))))</f>
        <v/>
      </c>
      <c r="O1480" s="6" t="n"/>
      <c r="P1480" s="6" t="n"/>
      <c r="Q1480" s="3">
        <f>IF($D1480="","",$C1480&amp;"|"&amp;COUNTIFS($C$7:$C1480,$C1480))</f>
        <v/>
      </c>
    </row>
    <row r="1481">
      <c r="A1481" s="6" t="n"/>
      <c r="B1481" s="113">
        <f>IF($D1481="","","T"&amp;TEXT(ROW()-6,"00000"))</f>
        <v/>
      </c>
      <c r="C1481" s="113">
        <f>IF($D1481="","",IFERROR(INDEX(MUSTERILER!$B$7:$B$106,MATCH($D1481,MUSTERILER!$C$7:$C$106,0)),IFERROR(INDEX(MUSTERILER!$B$7:$B$106,MATCH($D1481,MUSTERILER!$B$7:$B$106,0)),IFERROR(INDEX(MUSTERILER!$B$7:$B$106,MATCH($D1481&amp;"*",MUSTERILER!$C$7:$C$106,0)),"TANIMSIZ MÜŞTERİ"))))</f>
        <v/>
      </c>
      <c r="D1481" s="109" t="n"/>
      <c r="E1481" s="225" t="n"/>
      <c r="F1481" s="226" t="n"/>
      <c r="G1481" s="108" t="n"/>
      <c r="H1481" s="108" t="n"/>
      <c r="I1481" s="109" t="n"/>
      <c r="J1481" s="109" t="n"/>
      <c r="K1481" s="109" t="n"/>
      <c r="L1481" s="231">
        <f>IF($E1481="","",DATE(YEAR($E1481),MONTH($E1481),1))</f>
        <v/>
      </c>
      <c r="M1481" s="113">
        <f>IF($D1481="","",IF($C1481="TANIMSIZ MÜŞTERİ","HATA",IF(OR($E1481="",$F1481&lt;=0,$G1481=""),"EKSİK",IF($E1481&gt;TODAY(),"İLERİ TARİH","UYGUN"))))</f>
        <v/>
      </c>
      <c r="N1481" s="121">
        <f>IF($C1481="","",IF($C1481="TANIMSIZ MÜŞTERİ","—",INDEX(MUSTERILER!$C$7:$C$106,MATCH($C1481,MUSTERILER!$B$7:$B$106,0))))</f>
        <v/>
      </c>
      <c r="O1481" s="6" t="n"/>
      <c r="P1481" s="6" t="n"/>
      <c r="Q1481" s="3">
        <f>IF($D1481="","",$C1481&amp;"|"&amp;COUNTIFS($C$7:$C1481,$C1481))</f>
        <v/>
      </c>
    </row>
    <row r="1482">
      <c r="A1482" s="6" t="n"/>
      <c r="B1482" s="113">
        <f>IF($D1482="","","T"&amp;TEXT(ROW()-6,"00000"))</f>
        <v/>
      </c>
      <c r="C1482" s="113">
        <f>IF($D1482="","",IFERROR(INDEX(MUSTERILER!$B$7:$B$106,MATCH($D1482,MUSTERILER!$C$7:$C$106,0)),IFERROR(INDEX(MUSTERILER!$B$7:$B$106,MATCH($D1482,MUSTERILER!$B$7:$B$106,0)),IFERROR(INDEX(MUSTERILER!$B$7:$B$106,MATCH($D1482&amp;"*",MUSTERILER!$C$7:$C$106,0)),"TANIMSIZ MÜŞTERİ"))))</f>
        <v/>
      </c>
      <c r="D1482" s="109" t="n"/>
      <c r="E1482" s="225" t="n"/>
      <c r="F1482" s="226" t="n"/>
      <c r="G1482" s="108" t="n"/>
      <c r="H1482" s="108" t="n"/>
      <c r="I1482" s="109" t="n"/>
      <c r="J1482" s="109" t="n"/>
      <c r="K1482" s="109" t="n"/>
      <c r="L1482" s="231">
        <f>IF($E1482="","",DATE(YEAR($E1482),MONTH($E1482),1))</f>
        <v/>
      </c>
      <c r="M1482" s="113">
        <f>IF($D1482="","",IF($C1482="TANIMSIZ MÜŞTERİ","HATA",IF(OR($E1482="",$F1482&lt;=0,$G1482=""),"EKSİK",IF($E1482&gt;TODAY(),"İLERİ TARİH","UYGUN"))))</f>
        <v/>
      </c>
      <c r="N1482" s="121">
        <f>IF($C1482="","",IF($C1482="TANIMSIZ MÜŞTERİ","—",INDEX(MUSTERILER!$C$7:$C$106,MATCH($C1482,MUSTERILER!$B$7:$B$106,0))))</f>
        <v/>
      </c>
      <c r="O1482" s="6" t="n"/>
      <c r="P1482" s="6" t="n"/>
      <c r="Q1482" s="3">
        <f>IF($D1482="","",$C1482&amp;"|"&amp;COUNTIFS($C$7:$C1482,$C1482))</f>
        <v/>
      </c>
    </row>
    <row r="1483">
      <c r="A1483" s="6" t="n"/>
      <c r="B1483" s="113">
        <f>IF($D1483="","","T"&amp;TEXT(ROW()-6,"00000"))</f>
        <v/>
      </c>
      <c r="C1483" s="113">
        <f>IF($D1483="","",IFERROR(INDEX(MUSTERILER!$B$7:$B$106,MATCH($D1483,MUSTERILER!$C$7:$C$106,0)),IFERROR(INDEX(MUSTERILER!$B$7:$B$106,MATCH($D1483,MUSTERILER!$B$7:$B$106,0)),IFERROR(INDEX(MUSTERILER!$B$7:$B$106,MATCH($D1483&amp;"*",MUSTERILER!$C$7:$C$106,0)),"TANIMSIZ MÜŞTERİ"))))</f>
        <v/>
      </c>
      <c r="D1483" s="109" t="n"/>
      <c r="E1483" s="225" t="n"/>
      <c r="F1483" s="226" t="n"/>
      <c r="G1483" s="108" t="n"/>
      <c r="H1483" s="108" t="n"/>
      <c r="I1483" s="109" t="n"/>
      <c r="J1483" s="109" t="n"/>
      <c r="K1483" s="109" t="n"/>
      <c r="L1483" s="231">
        <f>IF($E1483="","",DATE(YEAR($E1483),MONTH($E1483),1))</f>
        <v/>
      </c>
      <c r="M1483" s="113">
        <f>IF($D1483="","",IF($C1483="TANIMSIZ MÜŞTERİ","HATA",IF(OR($E1483="",$F1483&lt;=0,$G1483=""),"EKSİK",IF($E1483&gt;TODAY(),"İLERİ TARİH","UYGUN"))))</f>
        <v/>
      </c>
      <c r="N1483" s="121">
        <f>IF($C1483="","",IF($C1483="TANIMSIZ MÜŞTERİ","—",INDEX(MUSTERILER!$C$7:$C$106,MATCH($C1483,MUSTERILER!$B$7:$B$106,0))))</f>
        <v/>
      </c>
      <c r="O1483" s="6" t="n"/>
      <c r="P1483" s="6" t="n"/>
      <c r="Q1483" s="3">
        <f>IF($D1483="","",$C1483&amp;"|"&amp;COUNTIFS($C$7:$C1483,$C1483))</f>
        <v/>
      </c>
    </row>
    <row r="1484">
      <c r="A1484" s="6" t="n"/>
      <c r="B1484" s="113">
        <f>IF($D1484="","","T"&amp;TEXT(ROW()-6,"00000"))</f>
        <v/>
      </c>
      <c r="C1484" s="113">
        <f>IF($D1484="","",IFERROR(INDEX(MUSTERILER!$B$7:$B$106,MATCH($D1484,MUSTERILER!$C$7:$C$106,0)),IFERROR(INDEX(MUSTERILER!$B$7:$B$106,MATCH($D1484,MUSTERILER!$B$7:$B$106,0)),IFERROR(INDEX(MUSTERILER!$B$7:$B$106,MATCH($D1484&amp;"*",MUSTERILER!$C$7:$C$106,0)),"TANIMSIZ MÜŞTERİ"))))</f>
        <v/>
      </c>
      <c r="D1484" s="109" t="n"/>
      <c r="E1484" s="225" t="n"/>
      <c r="F1484" s="226" t="n"/>
      <c r="G1484" s="108" t="n"/>
      <c r="H1484" s="108" t="n"/>
      <c r="I1484" s="109" t="n"/>
      <c r="J1484" s="109" t="n"/>
      <c r="K1484" s="109" t="n"/>
      <c r="L1484" s="231">
        <f>IF($E1484="","",DATE(YEAR($E1484),MONTH($E1484),1))</f>
        <v/>
      </c>
      <c r="M1484" s="113">
        <f>IF($D1484="","",IF($C1484="TANIMSIZ MÜŞTERİ","HATA",IF(OR($E1484="",$F1484&lt;=0,$G1484=""),"EKSİK",IF($E1484&gt;TODAY(),"İLERİ TARİH","UYGUN"))))</f>
        <v/>
      </c>
      <c r="N1484" s="121">
        <f>IF($C1484="","",IF($C1484="TANIMSIZ MÜŞTERİ","—",INDEX(MUSTERILER!$C$7:$C$106,MATCH($C1484,MUSTERILER!$B$7:$B$106,0))))</f>
        <v/>
      </c>
      <c r="O1484" s="6" t="n"/>
      <c r="P1484" s="6" t="n"/>
      <c r="Q1484" s="3">
        <f>IF($D1484="","",$C1484&amp;"|"&amp;COUNTIFS($C$7:$C1484,$C1484))</f>
        <v/>
      </c>
    </row>
    <row r="1485">
      <c r="A1485" s="6" t="n"/>
      <c r="B1485" s="113">
        <f>IF($D1485="","","T"&amp;TEXT(ROW()-6,"00000"))</f>
        <v/>
      </c>
      <c r="C1485" s="113">
        <f>IF($D1485="","",IFERROR(INDEX(MUSTERILER!$B$7:$B$106,MATCH($D1485,MUSTERILER!$C$7:$C$106,0)),IFERROR(INDEX(MUSTERILER!$B$7:$B$106,MATCH($D1485,MUSTERILER!$B$7:$B$106,0)),IFERROR(INDEX(MUSTERILER!$B$7:$B$106,MATCH($D1485&amp;"*",MUSTERILER!$C$7:$C$106,0)),"TANIMSIZ MÜŞTERİ"))))</f>
        <v/>
      </c>
      <c r="D1485" s="109" t="n"/>
      <c r="E1485" s="225" t="n"/>
      <c r="F1485" s="226" t="n"/>
      <c r="G1485" s="108" t="n"/>
      <c r="H1485" s="108" t="n"/>
      <c r="I1485" s="109" t="n"/>
      <c r="J1485" s="109" t="n"/>
      <c r="K1485" s="109" t="n"/>
      <c r="L1485" s="231">
        <f>IF($E1485="","",DATE(YEAR($E1485),MONTH($E1485),1))</f>
        <v/>
      </c>
      <c r="M1485" s="113">
        <f>IF($D1485="","",IF($C1485="TANIMSIZ MÜŞTERİ","HATA",IF(OR($E1485="",$F1485&lt;=0,$G1485=""),"EKSİK",IF($E1485&gt;TODAY(),"İLERİ TARİH","UYGUN"))))</f>
        <v/>
      </c>
      <c r="N1485" s="121">
        <f>IF($C1485="","",IF($C1485="TANIMSIZ MÜŞTERİ","—",INDEX(MUSTERILER!$C$7:$C$106,MATCH($C1485,MUSTERILER!$B$7:$B$106,0))))</f>
        <v/>
      </c>
      <c r="O1485" s="6" t="n"/>
      <c r="P1485" s="6" t="n"/>
      <c r="Q1485" s="3">
        <f>IF($D1485="","",$C1485&amp;"|"&amp;COUNTIFS($C$7:$C1485,$C1485))</f>
        <v/>
      </c>
    </row>
    <row r="1486">
      <c r="A1486" s="6" t="n"/>
      <c r="B1486" s="113">
        <f>IF($D1486="","","T"&amp;TEXT(ROW()-6,"00000"))</f>
        <v/>
      </c>
      <c r="C1486" s="113">
        <f>IF($D1486="","",IFERROR(INDEX(MUSTERILER!$B$7:$B$106,MATCH($D1486,MUSTERILER!$C$7:$C$106,0)),IFERROR(INDEX(MUSTERILER!$B$7:$B$106,MATCH($D1486,MUSTERILER!$B$7:$B$106,0)),IFERROR(INDEX(MUSTERILER!$B$7:$B$106,MATCH($D1486&amp;"*",MUSTERILER!$C$7:$C$106,0)),"TANIMSIZ MÜŞTERİ"))))</f>
        <v/>
      </c>
      <c r="D1486" s="109" t="n"/>
      <c r="E1486" s="225" t="n"/>
      <c r="F1486" s="226" t="n"/>
      <c r="G1486" s="108" t="n"/>
      <c r="H1486" s="108" t="n"/>
      <c r="I1486" s="109" t="n"/>
      <c r="J1486" s="109" t="n"/>
      <c r="K1486" s="109" t="n"/>
      <c r="L1486" s="231">
        <f>IF($E1486="","",DATE(YEAR($E1486),MONTH($E1486),1))</f>
        <v/>
      </c>
      <c r="M1486" s="113">
        <f>IF($D1486="","",IF($C1486="TANIMSIZ MÜŞTERİ","HATA",IF(OR($E1486="",$F1486&lt;=0,$G1486=""),"EKSİK",IF($E1486&gt;TODAY(),"İLERİ TARİH","UYGUN"))))</f>
        <v/>
      </c>
      <c r="N1486" s="121">
        <f>IF($C1486="","",IF($C1486="TANIMSIZ MÜŞTERİ","—",INDEX(MUSTERILER!$C$7:$C$106,MATCH($C1486,MUSTERILER!$B$7:$B$106,0))))</f>
        <v/>
      </c>
      <c r="O1486" s="6" t="n"/>
      <c r="P1486" s="6" t="n"/>
      <c r="Q1486" s="3">
        <f>IF($D1486="","",$C1486&amp;"|"&amp;COUNTIFS($C$7:$C1486,$C1486))</f>
        <v/>
      </c>
    </row>
    <row r="1487">
      <c r="A1487" s="6" t="n"/>
      <c r="B1487" s="113">
        <f>IF($D1487="","","T"&amp;TEXT(ROW()-6,"00000"))</f>
        <v/>
      </c>
      <c r="C1487" s="113">
        <f>IF($D1487="","",IFERROR(INDEX(MUSTERILER!$B$7:$B$106,MATCH($D1487,MUSTERILER!$C$7:$C$106,0)),IFERROR(INDEX(MUSTERILER!$B$7:$B$106,MATCH($D1487,MUSTERILER!$B$7:$B$106,0)),IFERROR(INDEX(MUSTERILER!$B$7:$B$106,MATCH($D1487&amp;"*",MUSTERILER!$C$7:$C$106,0)),"TANIMSIZ MÜŞTERİ"))))</f>
        <v/>
      </c>
      <c r="D1487" s="109" t="n"/>
      <c r="E1487" s="225" t="n"/>
      <c r="F1487" s="226" t="n"/>
      <c r="G1487" s="108" t="n"/>
      <c r="H1487" s="108" t="n"/>
      <c r="I1487" s="109" t="n"/>
      <c r="J1487" s="109" t="n"/>
      <c r="K1487" s="109" t="n"/>
      <c r="L1487" s="231">
        <f>IF($E1487="","",DATE(YEAR($E1487),MONTH($E1487),1))</f>
        <v/>
      </c>
      <c r="M1487" s="113">
        <f>IF($D1487="","",IF($C1487="TANIMSIZ MÜŞTERİ","HATA",IF(OR($E1487="",$F1487&lt;=0,$G1487=""),"EKSİK",IF($E1487&gt;TODAY(),"İLERİ TARİH","UYGUN"))))</f>
        <v/>
      </c>
      <c r="N1487" s="121">
        <f>IF($C1487="","",IF($C1487="TANIMSIZ MÜŞTERİ","—",INDEX(MUSTERILER!$C$7:$C$106,MATCH($C1487,MUSTERILER!$B$7:$B$106,0))))</f>
        <v/>
      </c>
      <c r="O1487" s="6" t="n"/>
      <c r="P1487" s="6" t="n"/>
      <c r="Q1487" s="3">
        <f>IF($D1487="","",$C1487&amp;"|"&amp;COUNTIFS($C$7:$C1487,$C1487))</f>
        <v/>
      </c>
    </row>
    <row r="1488">
      <c r="A1488" s="6" t="n"/>
      <c r="B1488" s="113">
        <f>IF($D1488="","","T"&amp;TEXT(ROW()-6,"00000"))</f>
        <v/>
      </c>
      <c r="C1488" s="113">
        <f>IF($D1488="","",IFERROR(INDEX(MUSTERILER!$B$7:$B$106,MATCH($D1488,MUSTERILER!$C$7:$C$106,0)),IFERROR(INDEX(MUSTERILER!$B$7:$B$106,MATCH($D1488,MUSTERILER!$B$7:$B$106,0)),IFERROR(INDEX(MUSTERILER!$B$7:$B$106,MATCH($D1488&amp;"*",MUSTERILER!$C$7:$C$106,0)),"TANIMSIZ MÜŞTERİ"))))</f>
        <v/>
      </c>
      <c r="D1488" s="109" t="n"/>
      <c r="E1488" s="225" t="n"/>
      <c r="F1488" s="226" t="n"/>
      <c r="G1488" s="108" t="n"/>
      <c r="H1488" s="108" t="n"/>
      <c r="I1488" s="109" t="n"/>
      <c r="J1488" s="109" t="n"/>
      <c r="K1488" s="109" t="n"/>
      <c r="L1488" s="231">
        <f>IF($E1488="","",DATE(YEAR($E1488),MONTH($E1488),1))</f>
        <v/>
      </c>
      <c r="M1488" s="113">
        <f>IF($D1488="","",IF($C1488="TANIMSIZ MÜŞTERİ","HATA",IF(OR($E1488="",$F1488&lt;=0,$G1488=""),"EKSİK",IF($E1488&gt;TODAY(),"İLERİ TARİH","UYGUN"))))</f>
        <v/>
      </c>
      <c r="N1488" s="121">
        <f>IF($C1488="","",IF($C1488="TANIMSIZ MÜŞTERİ","—",INDEX(MUSTERILER!$C$7:$C$106,MATCH($C1488,MUSTERILER!$B$7:$B$106,0))))</f>
        <v/>
      </c>
      <c r="O1488" s="6" t="n"/>
      <c r="P1488" s="6" t="n"/>
      <c r="Q1488" s="3">
        <f>IF($D1488="","",$C1488&amp;"|"&amp;COUNTIFS($C$7:$C1488,$C1488))</f>
        <v/>
      </c>
    </row>
    <row r="1489">
      <c r="A1489" s="6" t="n"/>
      <c r="B1489" s="113">
        <f>IF($D1489="","","T"&amp;TEXT(ROW()-6,"00000"))</f>
        <v/>
      </c>
      <c r="C1489" s="113">
        <f>IF($D1489="","",IFERROR(INDEX(MUSTERILER!$B$7:$B$106,MATCH($D1489,MUSTERILER!$C$7:$C$106,0)),IFERROR(INDEX(MUSTERILER!$B$7:$B$106,MATCH($D1489,MUSTERILER!$B$7:$B$106,0)),IFERROR(INDEX(MUSTERILER!$B$7:$B$106,MATCH($D1489&amp;"*",MUSTERILER!$C$7:$C$106,0)),"TANIMSIZ MÜŞTERİ"))))</f>
        <v/>
      </c>
      <c r="D1489" s="109" t="n"/>
      <c r="E1489" s="225" t="n"/>
      <c r="F1489" s="226" t="n"/>
      <c r="G1489" s="108" t="n"/>
      <c r="H1489" s="108" t="n"/>
      <c r="I1489" s="109" t="n"/>
      <c r="J1489" s="109" t="n"/>
      <c r="K1489" s="109" t="n"/>
      <c r="L1489" s="231">
        <f>IF($E1489="","",DATE(YEAR($E1489),MONTH($E1489),1))</f>
        <v/>
      </c>
      <c r="M1489" s="113">
        <f>IF($D1489="","",IF($C1489="TANIMSIZ MÜŞTERİ","HATA",IF(OR($E1489="",$F1489&lt;=0,$G1489=""),"EKSİK",IF($E1489&gt;TODAY(),"İLERİ TARİH","UYGUN"))))</f>
        <v/>
      </c>
      <c r="N1489" s="121">
        <f>IF($C1489="","",IF($C1489="TANIMSIZ MÜŞTERİ","—",INDEX(MUSTERILER!$C$7:$C$106,MATCH($C1489,MUSTERILER!$B$7:$B$106,0))))</f>
        <v/>
      </c>
      <c r="O1489" s="6" t="n"/>
      <c r="P1489" s="6" t="n"/>
      <c r="Q1489" s="3">
        <f>IF($D1489="","",$C1489&amp;"|"&amp;COUNTIFS($C$7:$C1489,$C1489))</f>
        <v/>
      </c>
    </row>
    <row r="1490">
      <c r="A1490" s="6" t="n"/>
      <c r="B1490" s="113">
        <f>IF($D1490="","","T"&amp;TEXT(ROW()-6,"00000"))</f>
        <v/>
      </c>
      <c r="C1490" s="113">
        <f>IF($D1490="","",IFERROR(INDEX(MUSTERILER!$B$7:$B$106,MATCH($D1490,MUSTERILER!$C$7:$C$106,0)),IFERROR(INDEX(MUSTERILER!$B$7:$B$106,MATCH($D1490,MUSTERILER!$B$7:$B$106,0)),IFERROR(INDEX(MUSTERILER!$B$7:$B$106,MATCH($D1490&amp;"*",MUSTERILER!$C$7:$C$106,0)),"TANIMSIZ MÜŞTERİ"))))</f>
        <v/>
      </c>
      <c r="D1490" s="109" t="n"/>
      <c r="E1490" s="225" t="n"/>
      <c r="F1490" s="226" t="n"/>
      <c r="G1490" s="108" t="n"/>
      <c r="H1490" s="108" t="n"/>
      <c r="I1490" s="109" t="n"/>
      <c r="J1490" s="109" t="n"/>
      <c r="K1490" s="109" t="n"/>
      <c r="L1490" s="231">
        <f>IF($E1490="","",DATE(YEAR($E1490),MONTH($E1490),1))</f>
        <v/>
      </c>
      <c r="M1490" s="113">
        <f>IF($D1490="","",IF($C1490="TANIMSIZ MÜŞTERİ","HATA",IF(OR($E1490="",$F1490&lt;=0,$G1490=""),"EKSİK",IF($E1490&gt;TODAY(),"İLERİ TARİH","UYGUN"))))</f>
        <v/>
      </c>
      <c r="N1490" s="121">
        <f>IF($C1490="","",IF($C1490="TANIMSIZ MÜŞTERİ","—",INDEX(MUSTERILER!$C$7:$C$106,MATCH($C1490,MUSTERILER!$B$7:$B$106,0))))</f>
        <v/>
      </c>
      <c r="O1490" s="6" t="n"/>
      <c r="P1490" s="6" t="n"/>
      <c r="Q1490" s="3">
        <f>IF($D1490="","",$C1490&amp;"|"&amp;COUNTIFS($C$7:$C1490,$C1490))</f>
        <v/>
      </c>
    </row>
    <row r="1491">
      <c r="A1491" s="6" t="n"/>
      <c r="B1491" s="113">
        <f>IF($D1491="","","T"&amp;TEXT(ROW()-6,"00000"))</f>
        <v/>
      </c>
      <c r="C1491" s="113">
        <f>IF($D1491="","",IFERROR(INDEX(MUSTERILER!$B$7:$B$106,MATCH($D1491,MUSTERILER!$C$7:$C$106,0)),IFERROR(INDEX(MUSTERILER!$B$7:$B$106,MATCH($D1491,MUSTERILER!$B$7:$B$106,0)),IFERROR(INDEX(MUSTERILER!$B$7:$B$106,MATCH($D1491&amp;"*",MUSTERILER!$C$7:$C$106,0)),"TANIMSIZ MÜŞTERİ"))))</f>
        <v/>
      </c>
      <c r="D1491" s="109" t="n"/>
      <c r="E1491" s="225" t="n"/>
      <c r="F1491" s="226" t="n"/>
      <c r="G1491" s="108" t="n"/>
      <c r="H1491" s="108" t="n"/>
      <c r="I1491" s="109" t="n"/>
      <c r="J1491" s="109" t="n"/>
      <c r="K1491" s="109" t="n"/>
      <c r="L1491" s="231">
        <f>IF($E1491="","",DATE(YEAR($E1491),MONTH($E1491),1))</f>
        <v/>
      </c>
      <c r="M1491" s="113">
        <f>IF($D1491="","",IF($C1491="TANIMSIZ MÜŞTERİ","HATA",IF(OR($E1491="",$F1491&lt;=0,$G1491=""),"EKSİK",IF($E1491&gt;TODAY(),"İLERİ TARİH","UYGUN"))))</f>
        <v/>
      </c>
      <c r="N1491" s="121">
        <f>IF($C1491="","",IF($C1491="TANIMSIZ MÜŞTERİ","—",INDEX(MUSTERILER!$C$7:$C$106,MATCH($C1491,MUSTERILER!$B$7:$B$106,0))))</f>
        <v/>
      </c>
      <c r="O1491" s="6" t="n"/>
      <c r="P1491" s="6" t="n"/>
      <c r="Q1491" s="3">
        <f>IF($D1491="","",$C1491&amp;"|"&amp;COUNTIFS($C$7:$C1491,$C1491))</f>
        <v/>
      </c>
    </row>
    <row r="1492">
      <c r="A1492" s="6" t="n"/>
      <c r="B1492" s="113">
        <f>IF($D1492="","","T"&amp;TEXT(ROW()-6,"00000"))</f>
        <v/>
      </c>
      <c r="C1492" s="113">
        <f>IF($D1492="","",IFERROR(INDEX(MUSTERILER!$B$7:$B$106,MATCH($D1492,MUSTERILER!$C$7:$C$106,0)),IFERROR(INDEX(MUSTERILER!$B$7:$B$106,MATCH($D1492,MUSTERILER!$B$7:$B$106,0)),IFERROR(INDEX(MUSTERILER!$B$7:$B$106,MATCH($D1492&amp;"*",MUSTERILER!$C$7:$C$106,0)),"TANIMSIZ MÜŞTERİ"))))</f>
        <v/>
      </c>
      <c r="D1492" s="109" t="n"/>
      <c r="E1492" s="225" t="n"/>
      <c r="F1492" s="226" t="n"/>
      <c r="G1492" s="108" t="n"/>
      <c r="H1492" s="108" t="n"/>
      <c r="I1492" s="109" t="n"/>
      <c r="J1492" s="109" t="n"/>
      <c r="K1492" s="109" t="n"/>
      <c r="L1492" s="231">
        <f>IF($E1492="","",DATE(YEAR($E1492),MONTH($E1492),1))</f>
        <v/>
      </c>
      <c r="M1492" s="113">
        <f>IF($D1492="","",IF($C1492="TANIMSIZ MÜŞTERİ","HATA",IF(OR($E1492="",$F1492&lt;=0,$G1492=""),"EKSİK",IF($E1492&gt;TODAY(),"İLERİ TARİH","UYGUN"))))</f>
        <v/>
      </c>
      <c r="N1492" s="121">
        <f>IF($C1492="","",IF($C1492="TANIMSIZ MÜŞTERİ","—",INDEX(MUSTERILER!$C$7:$C$106,MATCH($C1492,MUSTERILER!$B$7:$B$106,0))))</f>
        <v/>
      </c>
      <c r="O1492" s="6" t="n"/>
      <c r="P1492" s="6" t="n"/>
      <c r="Q1492" s="3">
        <f>IF($D1492="","",$C1492&amp;"|"&amp;COUNTIFS($C$7:$C1492,$C1492))</f>
        <v/>
      </c>
    </row>
    <row r="1493">
      <c r="A1493" s="6" t="n"/>
      <c r="B1493" s="113">
        <f>IF($D1493="","","T"&amp;TEXT(ROW()-6,"00000"))</f>
        <v/>
      </c>
      <c r="C1493" s="113">
        <f>IF($D1493="","",IFERROR(INDEX(MUSTERILER!$B$7:$B$106,MATCH($D1493,MUSTERILER!$C$7:$C$106,0)),IFERROR(INDEX(MUSTERILER!$B$7:$B$106,MATCH($D1493,MUSTERILER!$B$7:$B$106,0)),IFERROR(INDEX(MUSTERILER!$B$7:$B$106,MATCH($D1493&amp;"*",MUSTERILER!$C$7:$C$106,0)),"TANIMSIZ MÜŞTERİ"))))</f>
        <v/>
      </c>
      <c r="D1493" s="109" t="n"/>
      <c r="E1493" s="225" t="n"/>
      <c r="F1493" s="226" t="n"/>
      <c r="G1493" s="108" t="n"/>
      <c r="H1493" s="108" t="n"/>
      <c r="I1493" s="109" t="n"/>
      <c r="J1493" s="109" t="n"/>
      <c r="K1493" s="109" t="n"/>
      <c r="L1493" s="231">
        <f>IF($E1493="","",DATE(YEAR($E1493),MONTH($E1493),1))</f>
        <v/>
      </c>
      <c r="M1493" s="113">
        <f>IF($D1493="","",IF($C1493="TANIMSIZ MÜŞTERİ","HATA",IF(OR($E1493="",$F1493&lt;=0,$G1493=""),"EKSİK",IF($E1493&gt;TODAY(),"İLERİ TARİH","UYGUN"))))</f>
        <v/>
      </c>
      <c r="N1493" s="121">
        <f>IF($C1493="","",IF($C1493="TANIMSIZ MÜŞTERİ","—",INDEX(MUSTERILER!$C$7:$C$106,MATCH($C1493,MUSTERILER!$B$7:$B$106,0))))</f>
        <v/>
      </c>
      <c r="O1493" s="6" t="n"/>
      <c r="P1493" s="6" t="n"/>
      <c r="Q1493" s="3">
        <f>IF($D1493="","",$C1493&amp;"|"&amp;COUNTIFS($C$7:$C1493,$C1493))</f>
        <v/>
      </c>
    </row>
    <row r="1494">
      <c r="A1494" s="6" t="n"/>
      <c r="B1494" s="113">
        <f>IF($D1494="","","T"&amp;TEXT(ROW()-6,"00000"))</f>
        <v/>
      </c>
      <c r="C1494" s="113">
        <f>IF($D1494="","",IFERROR(INDEX(MUSTERILER!$B$7:$B$106,MATCH($D1494,MUSTERILER!$C$7:$C$106,0)),IFERROR(INDEX(MUSTERILER!$B$7:$B$106,MATCH($D1494,MUSTERILER!$B$7:$B$106,0)),IFERROR(INDEX(MUSTERILER!$B$7:$B$106,MATCH($D1494&amp;"*",MUSTERILER!$C$7:$C$106,0)),"TANIMSIZ MÜŞTERİ"))))</f>
        <v/>
      </c>
      <c r="D1494" s="109" t="n"/>
      <c r="E1494" s="225" t="n"/>
      <c r="F1494" s="226" t="n"/>
      <c r="G1494" s="108" t="n"/>
      <c r="H1494" s="108" t="n"/>
      <c r="I1494" s="109" t="n"/>
      <c r="J1494" s="109" t="n"/>
      <c r="K1494" s="109" t="n"/>
      <c r="L1494" s="231">
        <f>IF($E1494="","",DATE(YEAR($E1494),MONTH($E1494),1))</f>
        <v/>
      </c>
      <c r="M1494" s="113">
        <f>IF($D1494="","",IF($C1494="TANIMSIZ MÜŞTERİ","HATA",IF(OR($E1494="",$F1494&lt;=0,$G1494=""),"EKSİK",IF($E1494&gt;TODAY(),"İLERİ TARİH","UYGUN"))))</f>
        <v/>
      </c>
      <c r="N1494" s="121">
        <f>IF($C1494="","",IF($C1494="TANIMSIZ MÜŞTERİ","—",INDEX(MUSTERILER!$C$7:$C$106,MATCH($C1494,MUSTERILER!$B$7:$B$106,0))))</f>
        <v/>
      </c>
      <c r="O1494" s="6" t="n"/>
      <c r="P1494" s="6" t="n"/>
      <c r="Q1494" s="3">
        <f>IF($D1494="","",$C1494&amp;"|"&amp;COUNTIFS($C$7:$C1494,$C1494))</f>
        <v/>
      </c>
    </row>
    <row r="1495">
      <c r="A1495" s="6" t="n"/>
      <c r="B1495" s="113">
        <f>IF($D1495="","","T"&amp;TEXT(ROW()-6,"00000"))</f>
        <v/>
      </c>
      <c r="C1495" s="113">
        <f>IF($D1495="","",IFERROR(INDEX(MUSTERILER!$B$7:$B$106,MATCH($D1495,MUSTERILER!$C$7:$C$106,0)),IFERROR(INDEX(MUSTERILER!$B$7:$B$106,MATCH($D1495,MUSTERILER!$B$7:$B$106,0)),IFERROR(INDEX(MUSTERILER!$B$7:$B$106,MATCH($D1495&amp;"*",MUSTERILER!$C$7:$C$106,0)),"TANIMSIZ MÜŞTERİ"))))</f>
        <v/>
      </c>
      <c r="D1495" s="109" t="n"/>
      <c r="E1495" s="225" t="n"/>
      <c r="F1495" s="226" t="n"/>
      <c r="G1495" s="108" t="n"/>
      <c r="H1495" s="108" t="n"/>
      <c r="I1495" s="109" t="n"/>
      <c r="J1495" s="109" t="n"/>
      <c r="K1495" s="109" t="n"/>
      <c r="L1495" s="231">
        <f>IF($E1495="","",DATE(YEAR($E1495),MONTH($E1495),1))</f>
        <v/>
      </c>
      <c r="M1495" s="113">
        <f>IF($D1495="","",IF($C1495="TANIMSIZ MÜŞTERİ","HATA",IF(OR($E1495="",$F1495&lt;=0,$G1495=""),"EKSİK",IF($E1495&gt;TODAY(),"İLERİ TARİH","UYGUN"))))</f>
        <v/>
      </c>
      <c r="N1495" s="121">
        <f>IF($C1495="","",IF($C1495="TANIMSIZ MÜŞTERİ","—",INDEX(MUSTERILER!$C$7:$C$106,MATCH($C1495,MUSTERILER!$B$7:$B$106,0))))</f>
        <v/>
      </c>
      <c r="O1495" s="6" t="n"/>
      <c r="P1495" s="6" t="n"/>
      <c r="Q1495" s="3">
        <f>IF($D1495="","",$C1495&amp;"|"&amp;COUNTIFS($C$7:$C1495,$C1495))</f>
        <v/>
      </c>
    </row>
    <row r="1496">
      <c r="A1496" s="6" t="n"/>
      <c r="B1496" s="113">
        <f>IF($D1496="","","T"&amp;TEXT(ROW()-6,"00000"))</f>
        <v/>
      </c>
      <c r="C1496" s="113">
        <f>IF($D1496="","",IFERROR(INDEX(MUSTERILER!$B$7:$B$106,MATCH($D1496,MUSTERILER!$C$7:$C$106,0)),IFERROR(INDEX(MUSTERILER!$B$7:$B$106,MATCH($D1496,MUSTERILER!$B$7:$B$106,0)),IFERROR(INDEX(MUSTERILER!$B$7:$B$106,MATCH($D1496&amp;"*",MUSTERILER!$C$7:$C$106,0)),"TANIMSIZ MÜŞTERİ"))))</f>
        <v/>
      </c>
      <c r="D1496" s="109" t="n"/>
      <c r="E1496" s="225" t="n"/>
      <c r="F1496" s="226" t="n"/>
      <c r="G1496" s="108" t="n"/>
      <c r="H1496" s="108" t="n"/>
      <c r="I1496" s="109" t="n"/>
      <c r="J1496" s="109" t="n"/>
      <c r="K1496" s="109" t="n"/>
      <c r="L1496" s="231">
        <f>IF($E1496="","",DATE(YEAR($E1496),MONTH($E1496),1))</f>
        <v/>
      </c>
      <c r="M1496" s="113">
        <f>IF($D1496="","",IF($C1496="TANIMSIZ MÜŞTERİ","HATA",IF(OR($E1496="",$F1496&lt;=0,$G1496=""),"EKSİK",IF($E1496&gt;TODAY(),"İLERİ TARİH","UYGUN"))))</f>
        <v/>
      </c>
      <c r="N1496" s="121">
        <f>IF($C1496="","",IF($C1496="TANIMSIZ MÜŞTERİ","—",INDEX(MUSTERILER!$C$7:$C$106,MATCH($C1496,MUSTERILER!$B$7:$B$106,0))))</f>
        <v/>
      </c>
      <c r="O1496" s="6" t="n"/>
      <c r="P1496" s="6" t="n"/>
      <c r="Q1496" s="3">
        <f>IF($D1496="","",$C1496&amp;"|"&amp;COUNTIFS($C$7:$C1496,$C1496))</f>
        <v/>
      </c>
    </row>
    <row r="1497">
      <c r="A1497" s="6" t="n"/>
      <c r="B1497" s="113">
        <f>IF($D1497="","","T"&amp;TEXT(ROW()-6,"00000"))</f>
        <v/>
      </c>
      <c r="C1497" s="113">
        <f>IF($D1497="","",IFERROR(INDEX(MUSTERILER!$B$7:$B$106,MATCH($D1497,MUSTERILER!$C$7:$C$106,0)),IFERROR(INDEX(MUSTERILER!$B$7:$B$106,MATCH($D1497,MUSTERILER!$B$7:$B$106,0)),IFERROR(INDEX(MUSTERILER!$B$7:$B$106,MATCH($D1497&amp;"*",MUSTERILER!$C$7:$C$106,0)),"TANIMSIZ MÜŞTERİ"))))</f>
        <v/>
      </c>
      <c r="D1497" s="109" t="n"/>
      <c r="E1497" s="225" t="n"/>
      <c r="F1497" s="226" t="n"/>
      <c r="G1497" s="108" t="n"/>
      <c r="H1497" s="108" t="n"/>
      <c r="I1497" s="109" t="n"/>
      <c r="J1497" s="109" t="n"/>
      <c r="K1497" s="109" t="n"/>
      <c r="L1497" s="231">
        <f>IF($E1497="","",DATE(YEAR($E1497),MONTH($E1497),1))</f>
        <v/>
      </c>
      <c r="M1497" s="113">
        <f>IF($D1497="","",IF($C1497="TANIMSIZ MÜŞTERİ","HATA",IF(OR($E1497="",$F1497&lt;=0,$G1497=""),"EKSİK",IF($E1497&gt;TODAY(),"İLERİ TARİH","UYGUN"))))</f>
        <v/>
      </c>
      <c r="N1497" s="121">
        <f>IF($C1497="","",IF($C1497="TANIMSIZ MÜŞTERİ","—",INDEX(MUSTERILER!$C$7:$C$106,MATCH($C1497,MUSTERILER!$B$7:$B$106,0))))</f>
        <v/>
      </c>
      <c r="O1497" s="6" t="n"/>
      <c r="P1497" s="6" t="n"/>
      <c r="Q1497" s="3">
        <f>IF($D1497="","",$C1497&amp;"|"&amp;COUNTIFS($C$7:$C1497,$C1497))</f>
        <v/>
      </c>
    </row>
    <row r="1498">
      <c r="A1498" s="6" t="n"/>
      <c r="B1498" s="113">
        <f>IF($D1498="","","T"&amp;TEXT(ROW()-6,"00000"))</f>
        <v/>
      </c>
      <c r="C1498" s="113">
        <f>IF($D1498="","",IFERROR(INDEX(MUSTERILER!$B$7:$B$106,MATCH($D1498,MUSTERILER!$C$7:$C$106,0)),IFERROR(INDEX(MUSTERILER!$B$7:$B$106,MATCH($D1498,MUSTERILER!$B$7:$B$106,0)),IFERROR(INDEX(MUSTERILER!$B$7:$B$106,MATCH($D1498&amp;"*",MUSTERILER!$C$7:$C$106,0)),"TANIMSIZ MÜŞTERİ"))))</f>
        <v/>
      </c>
      <c r="D1498" s="109" t="n"/>
      <c r="E1498" s="225" t="n"/>
      <c r="F1498" s="226" t="n"/>
      <c r="G1498" s="108" t="n"/>
      <c r="H1498" s="108" t="n"/>
      <c r="I1498" s="109" t="n"/>
      <c r="J1498" s="109" t="n"/>
      <c r="K1498" s="109" t="n"/>
      <c r="L1498" s="231">
        <f>IF($E1498="","",DATE(YEAR($E1498),MONTH($E1498),1))</f>
        <v/>
      </c>
      <c r="M1498" s="113">
        <f>IF($D1498="","",IF($C1498="TANIMSIZ MÜŞTERİ","HATA",IF(OR($E1498="",$F1498&lt;=0,$G1498=""),"EKSİK",IF($E1498&gt;TODAY(),"İLERİ TARİH","UYGUN"))))</f>
        <v/>
      </c>
      <c r="N1498" s="121">
        <f>IF($C1498="","",IF($C1498="TANIMSIZ MÜŞTERİ","—",INDEX(MUSTERILER!$C$7:$C$106,MATCH($C1498,MUSTERILER!$B$7:$B$106,0))))</f>
        <v/>
      </c>
      <c r="O1498" s="6" t="n"/>
      <c r="P1498" s="6" t="n"/>
      <c r="Q1498" s="3">
        <f>IF($D1498="","",$C1498&amp;"|"&amp;COUNTIFS($C$7:$C1498,$C1498))</f>
        <v/>
      </c>
    </row>
    <row r="1499">
      <c r="A1499" s="6" t="n"/>
      <c r="B1499" s="113">
        <f>IF($D1499="","","T"&amp;TEXT(ROW()-6,"00000"))</f>
        <v/>
      </c>
      <c r="C1499" s="113">
        <f>IF($D1499="","",IFERROR(INDEX(MUSTERILER!$B$7:$B$106,MATCH($D1499,MUSTERILER!$C$7:$C$106,0)),IFERROR(INDEX(MUSTERILER!$B$7:$B$106,MATCH($D1499,MUSTERILER!$B$7:$B$106,0)),IFERROR(INDEX(MUSTERILER!$B$7:$B$106,MATCH($D1499&amp;"*",MUSTERILER!$C$7:$C$106,0)),"TANIMSIZ MÜŞTERİ"))))</f>
        <v/>
      </c>
      <c r="D1499" s="109" t="n"/>
      <c r="E1499" s="225" t="n"/>
      <c r="F1499" s="226" t="n"/>
      <c r="G1499" s="108" t="n"/>
      <c r="H1499" s="108" t="n"/>
      <c r="I1499" s="109" t="n"/>
      <c r="J1499" s="109" t="n"/>
      <c r="K1499" s="109" t="n"/>
      <c r="L1499" s="231">
        <f>IF($E1499="","",DATE(YEAR($E1499),MONTH($E1499),1))</f>
        <v/>
      </c>
      <c r="M1499" s="113">
        <f>IF($D1499="","",IF($C1499="TANIMSIZ MÜŞTERİ","HATA",IF(OR($E1499="",$F1499&lt;=0,$G1499=""),"EKSİK",IF($E1499&gt;TODAY(),"İLERİ TARİH","UYGUN"))))</f>
        <v/>
      </c>
      <c r="N1499" s="121">
        <f>IF($C1499="","",IF($C1499="TANIMSIZ MÜŞTERİ","—",INDEX(MUSTERILER!$C$7:$C$106,MATCH($C1499,MUSTERILER!$B$7:$B$106,0))))</f>
        <v/>
      </c>
      <c r="O1499" s="6" t="n"/>
      <c r="P1499" s="6" t="n"/>
      <c r="Q1499" s="3">
        <f>IF($D1499="","",$C1499&amp;"|"&amp;COUNTIFS($C$7:$C1499,$C1499))</f>
        <v/>
      </c>
    </row>
    <row r="1500">
      <c r="A1500" s="6" t="n"/>
      <c r="B1500" s="113">
        <f>IF($D1500="","","T"&amp;TEXT(ROW()-6,"00000"))</f>
        <v/>
      </c>
      <c r="C1500" s="113">
        <f>IF($D1500="","",IFERROR(INDEX(MUSTERILER!$B$7:$B$106,MATCH($D1500,MUSTERILER!$C$7:$C$106,0)),IFERROR(INDEX(MUSTERILER!$B$7:$B$106,MATCH($D1500,MUSTERILER!$B$7:$B$106,0)),IFERROR(INDEX(MUSTERILER!$B$7:$B$106,MATCH($D1500&amp;"*",MUSTERILER!$C$7:$C$106,0)),"TANIMSIZ MÜŞTERİ"))))</f>
        <v/>
      </c>
      <c r="D1500" s="109" t="n"/>
      <c r="E1500" s="225" t="n"/>
      <c r="F1500" s="226" t="n"/>
      <c r="G1500" s="108" t="n"/>
      <c r="H1500" s="108" t="n"/>
      <c r="I1500" s="109" t="n"/>
      <c r="J1500" s="109" t="n"/>
      <c r="K1500" s="109" t="n"/>
      <c r="L1500" s="231">
        <f>IF($E1500="","",DATE(YEAR($E1500),MONTH($E1500),1))</f>
        <v/>
      </c>
      <c r="M1500" s="113">
        <f>IF($D1500="","",IF($C1500="TANIMSIZ MÜŞTERİ","HATA",IF(OR($E1500="",$F1500&lt;=0,$G1500=""),"EKSİK",IF($E1500&gt;TODAY(),"İLERİ TARİH","UYGUN"))))</f>
        <v/>
      </c>
      <c r="N1500" s="121">
        <f>IF($C1500="","",IF($C1500="TANIMSIZ MÜŞTERİ","—",INDEX(MUSTERILER!$C$7:$C$106,MATCH($C1500,MUSTERILER!$B$7:$B$106,0))))</f>
        <v/>
      </c>
      <c r="O1500" s="6" t="n"/>
      <c r="P1500" s="6" t="n"/>
      <c r="Q1500" s="3">
        <f>IF($D1500="","",$C1500&amp;"|"&amp;COUNTIFS($C$7:$C1500,$C1500))</f>
        <v/>
      </c>
    </row>
    <row r="1501">
      <c r="A1501" s="6" t="n"/>
      <c r="B1501" s="113">
        <f>IF($D1501="","","T"&amp;TEXT(ROW()-6,"00000"))</f>
        <v/>
      </c>
      <c r="C1501" s="113">
        <f>IF($D1501="","",IFERROR(INDEX(MUSTERILER!$B$7:$B$106,MATCH($D1501,MUSTERILER!$C$7:$C$106,0)),IFERROR(INDEX(MUSTERILER!$B$7:$B$106,MATCH($D1501,MUSTERILER!$B$7:$B$106,0)),IFERROR(INDEX(MUSTERILER!$B$7:$B$106,MATCH($D1501&amp;"*",MUSTERILER!$C$7:$C$106,0)),"TANIMSIZ MÜŞTERİ"))))</f>
        <v/>
      </c>
      <c r="D1501" s="109" t="n"/>
      <c r="E1501" s="225" t="n"/>
      <c r="F1501" s="226" t="n"/>
      <c r="G1501" s="108" t="n"/>
      <c r="H1501" s="108" t="n"/>
      <c r="I1501" s="109" t="n"/>
      <c r="J1501" s="109" t="n"/>
      <c r="K1501" s="109" t="n"/>
      <c r="L1501" s="231">
        <f>IF($E1501="","",DATE(YEAR($E1501),MONTH($E1501),1))</f>
        <v/>
      </c>
      <c r="M1501" s="113">
        <f>IF($D1501="","",IF($C1501="TANIMSIZ MÜŞTERİ","HATA",IF(OR($E1501="",$F1501&lt;=0,$G1501=""),"EKSİK",IF($E1501&gt;TODAY(),"İLERİ TARİH","UYGUN"))))</f>
        <v/>
      </c>
      <c r="N1501" s="121">
        <f>IF($C1501="","",IF($C1501="TANIMSIZ MÜŞTERİ","—",INDEX(MUSTERILER!$C$7:$C$106,MATCH($C1501,MUSTERILER!$B$7:$B$106,0))))</f>
        <v/>
      </c>
      <c r="O1501" s="6" t="n"/>
      <c r="P1501" s="6" t="n"/>
      <c r="Q1501" s="3">
        <f>IF($D1501="","",$C1501&amp;"|"&amp;COUNTIFS($C$7:$C1501,$C1501))</f>
        <v/>
      </c>
    </row>
    <row r="1502">
      <c r="A1502" s="6" t="n"/>
      <c r="B1502" s="113">
        <f>IF($D1502="","","T"&amp;TEXT(ROW()-6,"00000"))</f>
        <v/>
      </c>
      <c r="C1502" s="113">
        <f>IF($D1502="","",IFERROR(INDEX(MUSTERILER!$B$7:$B$106,MATCH($D1502,MUSTERILER!$C$7:$C$106,0)),IFERROR(INDEX(MUSTERILER!$B$7:$B$106,MATCH($D1502,MUSTERILER!$B$7:$B$106,0)),IFERROR(INDEX(MUSTERILER!$B$7:$B$106,MATCH($D1502&amp;"*",MUSTERILER!$C$7:$C$106,0)),"TANIMSIZ MÜŞTERİ"))))</f>
        <v/>
      </c>
      <c r="D1502" s="109" t="n"/>
      <c r="E1502" s="225" t="n"/>
      <c r="F1502" s="226" t="n"/>
      <c r="G1502" s="108" t="n"/>
      <c r="H1502" s="108" t="n"/>
      <c r="I1502" s="109" t="n"/>
      <c r="J1502" s="109" t="n"/>
      <c r="K1502" s="109" t="n"/>
      <c r="L1502" s="231">
        <f>IF($E1502="","",DATE(YEAR($E1502),MONTH($E1502),1))</f>
        <v/>
      </c>
      <c r="M1502" s="113">
        <f>IF($D1502="","",IF($C1502="TANIMSIZ MÜŞTERİ","HATA",IF(OR($E1502="",$F1502&lt;=0,$G1502=""),"EKSİK",IF($E1502&gt;TODAY(),"İLERİ TARİH","UYGUN"))))</f>
        <v/>
      </c>
      <c r="N1502" s="121">
        <f>IF($C1502="","",IF($C1502="TANIMSIZ MÜŞTERİ","—",INDEX(MUSTERILER!$C$7:$C$106,MATCH($C1502,MUSTERILER!$B$7:$B$106,0))))</f>
        <v/>
      </c>
      <c r="O1502" s="6" t="n"/>
      <c r="P1502" s="6" t="n"/>
      <c r="Q1502" s="3">
        <f>IF($D1502="","",$C1502&amp;"|"&amp;COUNTIFS($C$7:$C1502,$C1502))</f>
        <v/>
      </c>
    </row>
    <row r="1503">
      <c r="A1503" s="6" t="n"/>
      <c r="B1503" s="113">
        <f>IF($D1503="","","T"&amp;TEXT(ROW()-6,"00000"))</f>
        <v/>
      </c>
      <c r="C1503" s="113">
        <f>IF($D1503="","",IFERROR(INDEX(MUSTERILER!$B$7:$B$106,MATCH($D1503,MUSTERILER!$C$7:$C$106,0)),IFERROR(INDEX(MUSTERILER!$B$7:$B$106,MATCH($D1503,MUSTERILER!$B$7:$B$106,0)),IFERROR(INDEX(MUSTERILER!$B$7:$B$106,MATCH($D1503&amp;"*",MUSTERILER!$C$7:$C$106,0)),"TANIMSIZ MÜŞTERİ"))))</f>
        <v/>
      </c>
      <c r="D1503" s="109" t="n"/>
      <c r="E1503" s="225" t="n"/>
      <c r="F1503" s="226" t="n"/>
      <c r="G1503" s="108" t="n"/>
      <c r="H1503" s="108" t="n"/>
      <c r="I1503" s="109" t="n"/>
      <c r="J1503" s="109" t="n"/>
      <c r="K1503" s="109" t="n"/>
      <c r="L1503" s="231">
        <f>IF($E1503="","",DATE(YEAR($E1503),MONTH($E1503),1))</f>
        <v/>
      </c>
      <c r="M1503" s="113">
        <f>IF($D1503="","",IF($C1503="TANIMSIZ MÜŞTERİ","HATA",IF(OR($E1503="",$F1503&lt;=0,$G1503=""),"EKSİK",IF($E1503&gt;TODAY(),"İLERİ TARİH","UYGUN"))))</f>
        <v/>
      </c>
      <c r="N1503" s="121">
        <f>IF($C1503="","",IF($C1503="TANIMSIZ MÜŞTERİ","—",INDEX(MUSTERILER!$C$7:$C$106,MATCH($C1503,MUSTERILER!$B$7:$B$106,0))))</f>
        <v/>
      </c>
      <c r="O1503" s="6" t="n"/>
      <c r="P1503" s="6" t="n"/>
      <c r="Q1503" s="3">
        <f>IF($D1503="","",$C1503&amp;"|"&amp;COUNTIFS($C$7:$C1503,$C1503))</f>
        <v/>
      </c>
    </row>
    <row r="1504">
      <c r="A1504" s="6" t="n"/>
      <c r="B1504" s="113">
        <f>IF($D1504="","","T"&amp;TEXT(ROW()-6,"00000"))</f>
        <v/>
      </c>
      <c r="C1504" s="113">
        <f>IF($D1504="","",IFERROR(INDEX(MUSTERILER!$B$7:$B$106,MATCH($D1504,MUSTERILER!$C$7:$C$106,0)),IFERROR(INDEX(MUSTERILER!$B$7:$B$106,MATCH($D1504,MUSTERILER!$B$7:$B$106,0)),IFERROR(INDEX(MUSTERILER!$B$7:$B$106,MATCH($D1504&amp;"*",MUSTERILER!$C$7:$C$106,0)),"TANIMSIZ MÜŞTERİ"))))</f>
        <v/>
      </c>
      <c r="D1504" s="109" t="n"/>
      <c r="E1504" s="225" t="n"/>
      <c r="F1504" s="226" t="n"/>
      <c r="G1504" s="108" t="n"/>
      <c r="H1504" s="108" t="n"/>
      <c r="I1504" s="109" t="n"/>
      <c r="J1504" s="109" t="n"/>
      <c r="K1504" s="109" t="n"/>
      <c r="L1504" s="231">
        <f>IF($E1504="","",DATE(YEAR($E1504),MONTH($E1504),1))</f>
        <v/>
      </c>
      <c r="M1504" s="113">
        <f>IF($D1504="","",IF($C1504="TANIMSIZ MÜŞTERİ","HATA",IF(OR($E1504="",$F1504&lt;=0,$G1504=""),"EKSİK",IF($E1504&gt;TODAY(),"İLERİ TARİH","UYGUN"))))</f>
        <v/>
      </c>
      <c r="N1504" s="121">
        <f>IF($C1504="","",IF($C1504="TANIMSIZ MÜŞTERİ","—",INDEX(MUSTERILER!$C$7:$C$106,MATCH($C1504,MUSTERILER!$B$7:$B$106,0))))</f>
        <v/>
      </c>
      <c r="O1504" s="6" t="n"/>
      <c r="P1504" s="6" t="n"/>
      <c r="Q1504" s="3">
        <f>IF($D1504="","",$C1504&amp;"|"&amp;COUNTIFS($C$7:$C1504,$C1504))</f>
        <v/>
      </c>
    </row>
    <row r="1505">
      <c r="A1505" s="6" t="n"/>
      <c r="B1505" s="113">
        <f>IF($D1505="","","T"&amp;TEXT(ROW()-6,"00000"))</f>
        <v/>
      </c>
      <c r="C1505" s="113">
        <f>IF($D1505="","",IFERROR(INDEX(MUSTERILER!$B$7:$B$106,MATCH($D1505,MUSTERILER!$C$7:$C$106,0)),IFERROR(INDEX(MUSTERILER!$B$7:$B$106,MATCH($D1505,MUSTERILER!$B$7:$B$106,0)),IFERROR(INDEX(MUSTERILER!$B$7:$B$106,MATCH($D1505&amp;"*",MUSTERILER!$C$7:$C$106,0)),"TANIMSIZ MÜŞTERİ"))))</f>
        <v/>
      </c>
      <c r="D1505" s="109" t="n"/>
      <c r="E1505" s="225" t="n"/>
      <c r="F1505" s="226" t="n"/>
      <c r="G1505" s="108" t="n"/>
      <c r="H1505" s="108" t="n"/>
      <c r="I1505" s="109" t="n"/>
      <c r="J1505" s="109" t="n"/>
      <c r="K1505" s="109" t="n"/>
      <c r="L1505" s="231">
        <f>IF($E1505="","",DATE(YEAR($E1505),MONTH($E1505),1))</f>
        <v/>
      </c>
      <c r="M1505" s="113">
        <f>IF($D1505="","",IF($C1505="TANIMSIZ MÜŞTERİ","HATA",IF(OR($E1505="",$F1505&lt;=0,$G1505=""),"EKSİK",IF($E1505&gt;TODAY(),"İLERİ TARİH","UYGUN"))))</f>
        <v/>
      </c>
      <c r="N1505" s="121">
        <f>IF($C1505="","",IF($C1505="TANIMSIZ MÜŞTERİ","—",INDEX(MUSTERILER!$C$7:$C$106,MATCH($C1505,MUSTERILER!$B$7:$B$106,0))))</f>
        <v/>
      </c>
      <c r="O1505" s="6" t="n"/>
      <c r="P1505" s="6" t="n"/>
      <c r="Q1505" s="3">
        <f>IF($D1505="","",$C1505&amp;"|"&amp;COUNTIFS($C$7:$C1505,$C1505))</f>
        <v/>
      </c>
    </row>
    <row r="1506">
      <c r="A1506" s="6" t="n"/>
      <c r="B1506" s="113">
        <f>IF($D1506="","","T"&amp;TEXT(ROW()-6,"00000"))</f>
        <v/>
      </c>
      <c r="C1506" s="113">
        <f>IF($D1506="","",IFERROR(INDEX(MUSTERILER!$B$7:$B$106,MATCH($D1506,MUSTERILER!$C$7:$C$106,0)),IFERROR(INDEX(MUSTERILER!$B$7:$B$106,MATCH($D1506,MUSTERILER!$B$7:$B$106,0)),IFERROR(INDEX(MUSTERILER!$B$7:$B$106,MATCH($D1506&amp;"*",MUSTERILER!$C$7:$C$106,0)),"TANIMSIZ MÜŞTERİ"))))</f>
        <v/>
      </c>
      <c r="D1506" s="109" t="n"/>
      <c r="E1506" s="225" t="n"/>
      <c r="F1506" s="226" t="n"/>
      <c r="G1506" s="108" t="n"/>
      <c r="H1506" s="108" t="n"/>
      <c r="I1506" s="109" t="n"/>
      <c r="J1506" s="109" t="n"/>
      <c r="K1506" s="109" t="n"/>
      <c r="L1506" s="231">
        <f>IF($E1506="","",DATE(YEAR($E1506),MONTH($E1506),1))</f>
        <v/>
      </c>
      <c r="M1506" s="113">
        <f>IF($D1506="","",IF($C1506="TANIMSIZ MÜŞTERİ","HATA",IF(OR($E1506="",$F1506&lt;=0,$G1506=""),"EKSİK",IF($E1506&gt;TODAY(),"İLERİ TARİH","UYGUN"))))</f>
        <v/>
      </c>
      <c r="N1506" s="121">
        <f>IF($C1506="","",IF($C1506="TANIMSIZ MÜŞTERİ","—",INDEX(MUSTERILER!$C$7:$C$106,MATCH($C1506,MUSTERILER!$B$7:$B$106,0))))</f>
        <v/>
      </c>
      <c r="O1506" s="6" t="n"/>
      <c r="P1506" s="6" t="n"/>
      <c r="Q1506" s="3">
        <f>IF($D1506="","",$C1506&amp;"|"&amp;COUNTIFS($C$7:$C1506,$C1506))</f>
        <v/>
      </c>
    </row>
    <row r="1507">
      <c r="A1507" s="6" t="n"/>
      <c r="B1507" s="3" t="n"/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3" t="n"/>
      <c r="L1507" s="3" t="n"/>
      <c r="M1507" s="3" t="n"/>
      <c r="N1507" s="3" t="n"/>
      <c r="O1507" s="6" t="n"/>
      <c r="P1507" s="6" t="n"/>
      <c r="Q1507" s="3" t="n"/>
    </row>
    <row r="1508">
      <c r="A1508" s="6" t="n"/>
      <c r="B1508" s="3" t="n"/>
      <c r="C1508" s="3" t="n"/>
      <c r="D1508" s="3" t="n"/>
      <c r="E1508" s="3" t="n"/>
      <c r="F1508" s="3" t="n"/>
      <c r="G1508" s="3" t="n"/>
      <c r="H1508" s="3" t="n"/>
      <c r="I1508" s="3" t="n"/>
      <c r="J1508" s="3" t="n"/>
      <c r="K1508" s="3" t="n"/>
      <c r="L1508" s="3" t="n"/>
      <c r="M1508" s="3" t="n"/>
      <c r="N1508" s="3" t="n"/>
      <c r="O1508" s="6" t="n"/>
      <c r="P1508" s="6" t="n"/>
      <c r="Q150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N1506"/>
  <mergeCells count="2">
    <mergeCell ref="A1:O1"/>
    <mergeCell ref="A2:O2"/>
  </mergeCells>
  <conditionalFormatting sqref="M7:M1506">
    <cfRule type="expression" priority="1" dxfId="3" stopIfTrue="1">
      <formula>EXACT($M7,"UYGUN")</formula>
    </cfRule>
    <cfRule type="expression" priority="2" dxfId="4" stopIfTrue="1">
      <formula>EXACT($M7,"EKSİK")</formula>
    </cfRule>
    <cfRule type="expression" priority="3" dxfId="5" stopIfTrue="1">
      <formula>EXACT($M7,"HATA")</formula>
    </cfRule>
    <cfRule type="expression" priority="4" dxfId="5" stopIfTrue="1">
      <formula>EXACT($M7,"İLERİ TARİH")</formula>
    </cfRule>
    <cfRule type="expression" priority="5" dxfId="6" stopIfTrue="1">
      <formula>EXACT($M7,"PASİF")</formula>
    </cfRule>
  </conditionalFormatting>
  <dataValidations count="3">
    <dataValidation sqref="D7:D1506" showDropDown="0" showInputMessage="1" showErrorMessage="0" allowBlank="1" errorTitle="Müşteri seçimi" error="Listeden seçebilir veya unvanın ilk harflerini (örn. PAK) yazabilirsiniz." promptTitle="Müşteri seçimi" prompt="Listeden seçebilir veya unvanın ilk harflerini (örn. PAK) yazabilirsiniz." type="list">
      <formula1>LST_MUSTERI_ADI</formula1>
    </dataValidation>
    <dataValidation sqref="G7:G15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</dataValidation>
    <dataValidation sqref="H7:H1506" showDropDown="0" showInputMessage="0" showErrorMessage="1" allowBlank="1" errorTitle="Geçersiz ödeme türü" error="Listeden seçin." promptTitle="Geçersiz ödeme türü" prompt="Listeden seçin." type="list">
      <formula1>"Nakit,Havale/EFT,Kredi Kartı,Çek,Mahsup"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 fitToPage="1"/>
  </sheetPr>
  <dimension ref="A1:W120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13" customWidth="1" min="3" max="3"/>
    <col width="12" customWidth="1" min="4" max="4"/>
    <col width="30" customWidth="1" min="5" max="5"/>
    <col width="32" customWidth="1" min="6" max="6"/>
    <col width="16" customWidth="1" min="7" max="7"/>
    <col width="18" customWidth="1" min="8" max="8"/>
    <col width="13" customWidth="1" min="9" max="9"/>
    <col width="14" customWidth="1" min="10" max="10"/>
    <col width="16" customWidth="1" min="11" max="11"/>
    <col width="26" customWidth="1" min="12" max="12"/>
    <col width="26" customWidth="1" min="13" max="13"/>
    <col width="14" customWidth="1" min="14" max="14"/>
    <col width="15" customWidth="1" min="15" max="15"/>
    <col width="2.4" customWidth="1" min="16" max="16"/>
    <col width="2.4" customWidth="1" min="17" max="17"/>
    <col width="15" customWidth="1" min="18" max="18"/>
    <col width="26" customWidth="1" min="19" max="19"/>
    <col width="28" customWidth="1" min="20" max="20"/>
    <col width="16" customWidth="1" min="21" max="21"/>
    <col width="16" customWidth="1" min="22" max="22"/>
    <col width="17" customWidth="1" min="23" max="23"/>
  </cols>
  <sheetData>
    <row r="1" ht="38" customHeight="1">
      <c r="A1" s="258" t="inlineStr">
        <is>
          <t>KILIÇ MUHASEBE   │   OFİS GELİR VE GİDERLERİ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45" t="n"/>
      <c r="R1" s="3" t="n"/>
      <c r="S1" s="3" t="n"/>
      <c r="T1" s="3" t="n"/>
      <c r="U1" s="3" t="n"/>
      <c r="V1" s="3" t="n"/>
      <c r="W1" s="3" t="n"/>
    </row>
    <row r="2" ht="22" customHeight="1">
      <c r="A2" s="4" t="inlineStr">
        <is>
          <t>Sözleşme ücreti dışındaki tüm gelir ve giderler │ Her kayıt borçlu ve alacaklı hesabını otomatik üretir</t>
        </is>
      </c>
      <c r="Q2" s="46" t="n"/>
      <c r="R2" s="3" t="n"/>
      <c r="S2" s="3" t="n"/>
      <c r="T2" s="3" t="n"/>
      <c r="U2" s="3" t="n"/>
      <c r="V2" s="3" t="n"/>
      <c r="W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3" t="n"/>
      <c r="S3" s="3" t="n"/>
      <c r="T3" s="3" t="n"/>
      <c r="U3" s="3" t="n"/>
      <c r="V3" s="3" t="n"/>
      <c r="W3" s="3" t="n"/>
    </row>
    <row r="4" ht="20" customHeight="1">
      <c r="A4" s="6" t="n"/>
      <c r="B4" s="47">
        <f>HYPERLINK("#PANO!A1","←  PANO")</f>
        <v/>
      </c>
      <c r="C4" s="6" t="n"/>
      <c r="D4" s="99">
        <f>HYPERLINK("#VIRMAN!A1","Virman")</f>
        <v/>
      </c>
      <c r="E4" s="6" t="n"/>
      <c r="F4" s="99">
        <f>HYPERLINK("#AY_SONU!A1","Ay Sonu")</f>
        <v/>
      </c>
      <c r="G4" s="6" t="n"/>
      <c r="H4" s="100" t="inlineStr">
        <is>
          <t>Sarı hücreler veri girişidir. Beyaz hücreler sistem tarafından hesaplanır ve kilitlidir. Sözleşmeli muhasebe ücreti buraya GİRİLMEZ — TAHSİLAT ekranına girilir; sağdaki panelde otomatik görünür.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3" t="n"/>
      <c r="S4" s="3" t="n"/>
      <c r="T4" s="3" t="n"/>
      <c r="U4" s="3" t="n"/>
      <c r="V4" s="3" t="n"/>
      <c r="W4" s="3" t="n"/>
    </row>
    <row r="5" ht="26" customHeight="1">
      <c r="A5" s="6" t="n"/>
      <c r="B5" s="101" t="n"/>
      <c r="C5" s="102" t="inlineStr">
        <is>
          <t>TOPLAM  │  Gerçekleşmiş gelir eksi gider</t>
        </is>
      </c>
      <c r="D5" s="101" t="n"/>
      <c r="E5" s="101" t="n"/>
      <c r="F5" s="101" t="n"/>
      <c r="G5" s="221">
        <f>SUMIFS($G$7:$G$1206,$D$7:$D$1206,"Gelir",$I$7:$I$1206,"Evet")-SUMIFS($G$7:$G$1206,$D$7:$D$1206,"Gider",$I$7:$I$1206,"Evet")</f>
        <v/>
      </c>
      <c r="H5" s="101" t="n"/>
      <c r="I5" s="101" t="n"/>
      <c r="J5" s="101" t="n"/>
      <c r="K5" s="101" t="n"/>
      <c r="L5" s="101" t="n"/>
      <c r="M5" s="101" t="n"/>
      <c r="N5" s="101" t="n"/>
      <c r="O5" s="101" t="n"/>
      <c r="P5" s="6" t="n"/>
      <c r="Q5" s="6" t="n"/>
      <c r="R5" s="122" t="inlineStr">
        <is>
          <t>OTOMATİK TAHAKKUK GELİRİ  │  SÖZLEŞME ÜCRETİ  (elle girilmez)</t>
        </is>
      </c>
    </row>
    <row r="6" ht="40" customHeight="1">
      <c r="A6" s="6" t="n"/>
      <c r="B6" s="105" t="inlineStr">
        <is>
          <t>Kayıt No</t>
        </is>
      </c>
      <c r="C6" s="105" t="inlineStr">
        <is>
          <t>Tarih</t>
        </is>
      </c>
      <c r="D6" s="105" t="inlineStr">
        <is>
          <t>Tür</t>
        </is>
      </c>
      <c r="E6" s="106" t="inlineStr">
        <is>
          <t>Kategori</t>
        </is>
      </c>
      <c r="F6" s="106" t="inlineStr">
        <is>
          <t>Açıklama</t>
        </is>
      </c>
      <c r="G6" s="107" t="inlineStr">
        <is>
          <t>Tutar</t>
        </is>
      </c>
      <c r="H6" s="105" t="inlineStr">
        <is>
          <t>Kasa / Banka</t>
        </is>
      </c>
      <c r="I6" s="105" t="inlineStr">
        <is>
          <t>Gerçekleşti</t>
        </is>
      </c>
      <c r="J6" s="106" t="inlineStr">
        <is>
          <t>Belge No</t>
        </is>
      </c>
      <c r="K6" s="106" t="inlineStr">
        <is>
          <t>Sorumlu</t>
        </is>
      </c>
      <c r="L6" s="106" t="inlineStr">
        <is>
          <t>Borçlu Hesap</t>
        </is>
      </c>
      <c r="M6" s="106" t="inlineStr">
        <is>
          <t>Alacaklı Hesap</t>
        </is>
      </c>
      <c r="N6" s="105" t="inlineStr">
        <is>
          <t>Ay</t>
        </is>
      </c>
      <c r="O6" s="105" t="inlineStr">
        <is>
          <t>Kayıt Kontrolü</t>
        </is>
      </c>
      <c r="P6" s="124" t="inlineStr">
        <is>
          <t>Kayda Alınan Müşteri</t>
        </is>
      </c>
      <c r="Q6" s="6" t="n"/>
      <c r="R6" s="125" t="inlineStr">
        <is>
          <t>Ay</t>
        </is>
      </c>
      <c r="S6" s="125" t="inlineStr">
        <is>
          <t>Borçlu Hesap</t>
        </is>
      </c>
      <c r="T6" s="125" t="inlineStr">
        <is>
          <t>Alacaklı Hesap</t>
        </is>
      </c>
      <c r="U6" s="125" t="inlineStr">
        <is>
          <t>Tahakkuk Eden</t>
        </is>
      </c>
      <c r="V6" s="125" t="inlineStr">
        <is>
          <t>Tahsil Edilen</t>
        </is>
      </c>
      <c r="W6" s="125" t="inlineStr">
        <is>
          <t>Açık Alacak Farkı</t>
        </is>
      </c>
    </row>
    <row r="7">
      <c r="A7" s="6" t="n"/>
      <c r="B7" s="113">
        <f>IF($C7="","","GG"&amp;TEXT(ROW()-6,"00000"))</f>
        <v/>
      </c>
      <c r="C7" s="225" t="n">
        <v>46035</v>
      </c>
      <c r="D7" s="108" t="inlineStr">
        <is>
          <t>Gider</t>
        </is>
      </c>
      <c r="E7" s="109" t="inlineStr">
        <is>
          <t>Kırtasiye</t>
        </is>
      </c>
      <c r="F7" s="109" t="inlineStr">
        <is>
          <t xml:space="preserve">Merdiven İki Basamaklı </t>
        </is>
      </c>
      <c r="G7" s="226" t="n">
        <v>1060</v>
      </c>
      <c r="H7" s="108" t="inlineStr">
        <is>
          <t>Merkez Kasa</t>
        </is>
      </c>
      <c r="I7" s="108" t="inlineStr">
        <is>
          <t>Evet</t>
        </is>
      </c>
      <c r="J7" s="109" t="n"/>
      <c r="K7" s="109" t="n"/>
      <c r="L7" s="121">
        <f>IF($C7="","",IF($D7="Gider",$E7,$H7))</f>
        <v/>
      </c>
      <c r="M7" s="121">
        <f>IF($C7="","",IF($D7="Gider",$H7,$E7))</f>
        <v/>
      </c>
      <c r="N7" s="231">
        <f>IF($C7="","",DATE(YEAR($C7),MONTH($C7),1))</f>
        <v/>
      </c>
      <c r="O7" s="113">
        <f>IF($C7="","",IF(AND($D7&lt;&gt;"",$E7&lt;&gt;"",$G7&gt;0,$H7&lt;&gt;"",$I7&lt;&gt;""),IF($C7&gt;TODAY(),"İLERİ TARİH","UYGUN"),"EKSİK"))</f>
        <v/>
      </c>
      <c r="P7" s="6" t="n"/>
      <c r="Q7" s="6" t="n"/>
      <c r="R7" s="231">
        <f>AY_SONU!$B7</f>
        <v/>
      </c>
      <c r="S7" s="121">
        <f>"Müşteri Carisi  (MÜŞTERİ 360)"</f>
        <v/>
      </c>
      <c r="T7" s="121">
        <f>"600 Muhasebe Hizmet Geliri  (sözleşme)"</f>
        <v/>
      </c>
      <c r="U7" s="227">
        <f>AY_SONU!$C7</f>
        <v/>
      </c>
      <c r="V7" s="227">
        <f>AY_SONU!$D7</f>
        <v/>
      </c>
      <c r="W7" s="227">
        <f>AY_SONU!$C7-AY_SONU!$D7</f>
        <v/>
      </c>
    </row>
    <row r="8">
      <c r="A8" s="6" t="n"/>
      <c r="B8" s="113">
        <f>IF($C8="","","GG"&amp;TEXT(ROW()-6,"00000"))</f>
        <v/>
      </c>
      <c r="C8" s="225" t="n">
        <v>46036</v>
      </c>
      <c r="D8" s="108" t="inlineStr">
        <is>
          <t>Gider</t>
        </is>
      </c>
      <c r="E8" s="109" t="inlineStr">
        <is>
          <t>Telefon / İnternet</t>
        </is>
      </c>
      <c r="F8" s="109" t="inlineStr">
        <is>
          <t xml:space="preserve">Ofis Whatsapp Hattı Ocak </t>
        </is>
      </c>
      <c r="G8" s="226" t="n">
        <v>800</v>
      </c>
      <c r="H8" s="108" t="inlineStr">
        <is>
          <t>Merkez Kasa</t>
        </is>
      </c>
      <c r="I8" s="108" t="inlineStr">
        <is>
          <t>Evet</t>
        </is>
      </c>
      <c r="J8" s="109" t="n"/>
      <c r="K8" s="109" t="n"/>
      <c r="L8" s="121">
        <f>IF($C8="","",IF($D8="Gider",$E8,$H8))</f>
        <v/>
      </c>
      <c r="M8" s="121">
        <f>IF($C8="","",IF($D8="Gider",$H8,$E8))</f>
        <v/>
      </c>
      <c r="N8" s="231">
        <f>IF($C8="","",DATE(YEAR($C8),MONTH($C8),1))</f>
        <v/>
      </c>
      <c r="O8" s="113">
        <f>IF($C8="","",IF(AND($D8&lt;&gt;"",$E8&lt;&gt;"",$G8&gt;0,$H8&lt;&gt;"",$I8&lt;&gt;""),IF($C8&gt;TODAY(),"İLERİ TARİH","UYGUN"),"EKSİK"))</f>
        <v/>
      </c>
      <c r="P8" s="6" t="n"/>
      <c r="Q8" s="6" t="n"/>
      <c r="R8" s="231">
        <f>AY_SONU!$B8</f>
        <v/>
      </c>
      <c r="S8" s="121">
        <f>"Müşteri Carisi  (MÜŞTERİ 360)"</f>
        <v/>
      </c>
      <c r="T8" s="121">
        <f>"600 Muhasebe Hizmet Geliri  (sözleşme)"</f>
        <v/>
      </c>
      <c r="U8" s="227">
        <f>AY_SONU!$C8</f>
        <v/>
      </c>
      <c r="V8" s="227">
        <f>AY_SONU!$D8</f>
        <v/>
      </c>
      <c r="W8" s="227">
        <f>AY_SONU!$C8-AY_SONU!$D8</f>
        <v/>
      </c>
    </row>
    <row r="9">
      <c r="A9" s="6" t="n"/>
      <c r="B9" s="113">
        <f>IF($C9="","","GG"&amp;TEXT(ROW()-6,"00000"))</f>
        <v/>
      </c>
      <c r="C9" s="225" t="n">
        <v>46044</v>
      </c>
      <c r="D9" s="108" t="inlineStr">
        <is>
          <t>Gider</t>
        </is>
      </c>
      <c r="E9" s="109" t="inlineStr">
        <is>
          <t>Diğer Gider</t>
        </is>
      </c>
      <c r="F9" s="109" t="inlineStr">
        <is>
          <t>Ofis Lavabo Su Tesisatı Tamirat ve Malzeme</t>
        </is>
      </c>
      <c r="G9" s="226" t="n">
        <v>3000</v>
      </c>
      <c r="H9" s="108" t="inlineStr">
        <is>
          <t>Merkez Kasa</t>
        </is>
      </c>
      <c r="I9" s="108" t="inlineStr">
        <is>
          <t>Evet</t>
        </is>
      </c>
      <c r="J9" s="109" t="n"/>
      <c r="K9" s="109" t="n"/>
      <c r="L9" s="121">
        <f>IF($C9="","",IF($D9="Gider",$E9,$H9))</f>
        <v/>
      </c>
      <c r="M9" s="121">
        <f>IF($C9="","",IF($D9="Gider",$H9,$E9))</f>
        <v/>
      </c>
      <c r="N9" s="231">
        <f>IF($C9="","",DATE(YEAR($C9),MONTH($C9),1))</f>
        <v/>
      </c>
      <c r="O9" s="113">
        <f>IF($C9="","",IF(AND($D9&lt;&gt;"",$E9&lt;&gt;"",$G9&gt;0,$H9&lt;&gt;"",$I9&lt;&gt;""),IF($C9&gt;TODAY(),"İLERİ TARİH","UYGUN"),"EKSİK"))</f>
        <v/>
      </c>
      <c r="P9" s="6" t="n"/>
      <c r="Q9" s="6" t="n"/>
      <c r="R9" s="231">
        <f>AY_SONU!$B9</f>
        <v/>
      </c>
      <c r="S9" s="121">
        <f>"Müşteri Carisi  (MÜŞTERİ 360)"</f>
        <v/>
      </c>
      <c r="T9" s="121">
        <f>"600 Muhasebe Hizmet Geliri  (sözleşme)"</f>
        <v/>
      </c>
      <c r="U9" s="227">
        <f>AY_SONU!$C9</f>
        <v/>
      </c>
      <c r="V9" s="227">
        <f>AY_SONU!$D9</f>
        <v/>
      </c>
      <c r="W9" s="227">
        <f>AY_SONU!$C9-AY_SONU!$D9</f>
        <v/>
      </c>
    </row>
    <row r="10">
      <c r="A10" s="6" t="n"/>
      <c r="B10" s="113">
        <f>IF($C10="","","GG"&amp;TEXT(ROW()-6,"00000"))</f>
        <v/>
      </c>
      <c r="C10" s="225" t="n">
        <v>46049</v>
      </c>
      <c r="D10" s="108" t="inlineStr">
        <is>
          <t>Gider</t>
        </is>
      </c>
      <c r="E10" s="109" t="inlineStr">
        <is>
          <t>Elektrik / Su / Doğalgaz</t>
        </is>
      </c>
      <c r="F10" s="109" t="inlineStr">
        <is>
          <t xml:space="preserve">Elektrik Ödemesi </t>
        </is>
      </c>
      <c r="G10" s="226" t="n">
        <v>1035</v>
      </c>
      <c r="H10" s="108" t="inlineStr">
        <is>
          <t>Merkez Kasa</t>
        </is>
      </c>
      <c r="I10" s="108" t="inlineStr">
        <is>
          <t>Evet</t>
        </is>
      </c>
      <c r="J10" s="109" t="n"/>
      <c r="K10" s="109" t="n"/>
      <c r="L10" s="121">
        <f>IF($C10="","",IF($D10="Gider",$E10,$H10))</f>
        <v/>
      </c>
      <c r="M10" s="121">
        <f>IF($C10="","",IF($D10="Gider",$H10,$E10))</f>
        <v/>
      </c>
      <c r="N10" s="231">
        <f>IF($C10="","",DATE(YEAR($C10),MONTH($C10),1))</f>
        <v/>
      </c>
      <c r="O10" s="113">
        <f>IF($C10="","",IF(AND($D10&lt;&gt;"",$E10&lt;&gt;"",$G10&gt;0,$H10&lt;&gt;"",$I10&lt;&gt;""),IF($C10&gt;TODAY(),"İLERİ TARİH","UYGUN"),"EKSİK"))</f>
        <v/>
      </c>
      <c r="P10" s="6" t="n"/>
      <c r="Q10" s="6" t="n"/>
      <c r="R10" s="231">
        <f>AY_SONU!$B10</f>
        <v/>
      </c>
      <c r="S10" s="121">
        <f>"Müşteri Carisi  (MÜŞTERİ 360)"</f>
        <v/>
      </c>
      <c r="T10" s="121">
        <f>"600 Muhasebe Hizmet Geliri  (sözleşme)"</f>
        <v/>
      </c>
      <c r="U10" s="227">
        <f>AY_SONU!$C10</f>
        <v/>
      </c>
      <c r="V10" s="227">
        <f>AY_SONU!$D10</f>
        <v/>
      </c>
      <c r="W10" s="227">
        <f>AY_SONU!$C10-AY_SONU!$D10</f>
        <v/>
      </c>
    </row>
    <row r="11">
      <c r="A11" s="6" t="n"/>
      <c r="B11" s="113">
        <f>IF($C11="","","GG"&amp;TEXT(ROW()-6,"00000"))</f>
        <v/>
      </c>
      <c r="C11" s="225" t="n">
        <v>46049</v>
      </c>
      <c r="D11" s="108" t="inlineStr">
        <is>
          <t>Gider</t>
        </is>
      </c>
      <c r="E11" s="109" t="inlineStr">
        <is>
          <t>Elektrik / Su / Doğalgaz</t>
        </is>
      </c>
      <c r="F11" s="109" t="inlineStr">
        <is>
          <t xml:space="preserve">Elektrik Ödemesi </t>
        </is>
      </c>
      <c r="G11" s="226" t="n">
        <v>949.97</v>
      </c>
      <c r="H11" s="108" t="inlineStr">
        <is>
          <t>Merkez Kasa</t>
        </is>
      </c>
      <c r="I11" s="108" t="inlineStr">
        <is>
          <t>Evet</t>
        </is>
      </c>
      <c r="J11" s="109" t="n"/>
      <c r="K11" s="109" t="n"/>
      <c r="L11" s="121">
        <f>IF($C11="","",IF($D11="Gider",$E11,$H11))</f>
        <v/>
      </c>
      <c r="M11" s="121">
        <f>IF($C11="","",IF($D11="Gider",$H11,$E11))</f>
        <v/>
      </c>
      <c r="N11" s="231">
        <f>IF($C11="","",DATE(YEAR($C11),MONTH($C11),1))</f>
        <v/>
      </c>
      <c r="O11" s="113">
        <f>IF($C11="","",IF(AND($D11&lt;&gt;"",$E11&lt;&gt;"",$G11&gt;0,$H11&lt;&gt;"",$I11&lt;&gt;""),IF($C11&gt;TODAY(),"İLERİ TARİH","UYGUN"),"EKSİK"))</f>
        <v/>
      </c>
      <c r="P11" s="6" t="n"/>
      <c r="Q11" s="6" t="n"/>
      <c r="R11" s="231">
        <f>AY_SONU!$B11</f>
        <v/>
      </c>
      <c r="S11" s="121">
        <f>"Müşteri Carisi  (MÜŞTERİ 360)"</f>
        <v/>
      </c>
      <c r="T11" s="121">
        <f>"600 Muhasebe Hizmet Geliri  (sözleşme)"</f>
        <v/>
      </c>
      <c r="U11" s="227">
        <f>AY_SONU!$C11</f>
        <v/>
      </c>
      <c r="V11" s="227">
        <f>AY_SONU!$D11</f>
        <v/>
      </c>
      <c r="W11" s="227">
        <f>AY_SONU!$C11-AY_SONU!$D11</f>
        <v/>
      </c>
    </row>
    <row r="12">
      <c r="A12" s="6" t="n"/>
      <c r="B12" s="113">
        <f>IF($C12="","","GG"&amp;TEXT(ROW()-6,"00000"))</f>
        <v/>
      </c>
      <c r="C12" s="225" t="n">
        <v>46049</v>
      </c>
      <c r="D12" s="108" t="inlineStr">
        <is>
          <t>Gider</t>
        </is>
      </c>
      <c r="E12" s="109" t="inlineStr">
        <is>
          <t>Elektrik / Su / Doğalgaz</t>
        </is>
      </c>
      <c r="F12" s="109" t="inlineStr">
        <is>
          <t>Su Ödemesi</t>
        </is>
      </c>
      <c r="G12" s="226" t="n">
        <v>469.9</v>
      </c>
      <c r="H12" s="108" t="inlineStr">
        <is>
          <t>Merkez Kasa</t>
        </is>
      </c>
      <c r="I12" s="108" t="inlineStr">
        <is>
          <t>Evet</t>
        </is>
      </c>
      <c r="J12" s="109" t="n"/>
      <c r="K12" s="109" t="n"/>
      <c r="L12" s="121">
        <f>IF($C12="","",IF($D12="Gider",$E12,$H12))</f>
        <v/>
      </c>
      <c r="M12" s="121">
        <f>IF($C12="","",IF($D12="Gider",$H12,$E12))</f>
        <v/>
      </c>
      <c r="N12" s="231">
        <f>IF($C12="","",DATE(YEAR($C12),MONTH($C12),1))</f>
        <v/>
      </c>
      <c r="O12" s="113">
        <f>IF($C12="","",IF(AND($D12&lt;&gt;"",$E12&lt;&gt;"",$G12&gt;0,$H12&lt;&gt;"",$I12&lt;&gt;""),IF($C12&gt;TODAY(),"İLERİ TARİH","UYGUN"),"EKSİK"))</f>
        <v/>
      </c>
      <c r="P12" s="6" t="n"/>
      <c r="Q12" s="6" t="n"/>
      <c r="R12" s="231">
        <f>AY_SONU!$B12</f>
        <v/>
      </c>
      <c r="S12" s="121">
        <f>"Müşteri Carisi  (MÜŞTERİ 360)"</f>
        <v/>
      </c>
      <c r="T12" s="121">
        <f>"600 Muhasebe Hizmet Geliri  (sözleşme)"</f>
        <v/>
      </c>
      <c r="U12" s="227">
        <f>AY_SONU!$C12</f>
        <v/>
      </c>
      <c r="V12" s="227">
        <f>AY_SONU!$D12</f>
        <v/>
      </c>
      <c r="W12" s="227">
        <f>AY_SONU!$C12-AY_SONU!$D12</f>
        <v/>
      </c>
    </row>
    <row r="13">
      <c r="A13" s="6" t="n"/>
      <c r="B13" s="113">
        <f>IF($C13="","","GG"&amp;TEXT(ROW()-6,"00000"))</f>
        <v/>
      </c>
      <c r="C13" s="225" t="n">
        <v>46049</v>
      </c>
      <c r="D13" s="108" t="inlineStr">
        <is>
          <t>Gider</t>
        </is>
      </c>
      <c r="E13" s="109" t="inlineStr">
        <is>
          <t>Elektrik / Su / Doğalgaz</t>
        </is>
      </c>
      <c r="F13" s="109" t="inlineStr">
        <is>
          <t>Su Ödemesi</t>
        </is>
      </c>
      <c r="G13" s="226" t="n">
        <v>249.5</v>
      </c>
      <c r="H13" s="108" t="inlineStr">
        <is>
          <t>Merkez Kasa</t>
        </is>
      </c>
      <c r="I13" s="108" t="inlineStr">
        <is>
          <t>Evet</t>
        </is>
      </c>
      <c r="J13" s="109" t="n"/>
      <c r="K13" s="109" t="n"/>
      <c r="L13" s="121">
        <f>IF($C13="","",IF($D13="Gider",$E13,$H13))</f>
        <v/>
      </c>
      <c r="M13" s="121">
        <f>IF($C13="","",IF($D13="Gider",$H13,$E13))</f>
        <v/>
      </c>
      <c r="N13" s="231">
        <f>IF($C13="","",DATE(YEAR($C13),MONTH($C13),1))</f>
        <v/>
      </c>
      <c r="O13" s="113">
        <f>IF($C13="","",IF(AND($D13&lt;&gt;"",$E13&lt;&gt;"",$G13&gt;0,$H13&lt;&gt;"",$I13&lt;&gt;""),IF($C13&gt;TODAY(),"İLERİ TARİH","UYGUN"),"EKSİK"))</f>
        <v/>
      </c>
      <c r="P13" s="6" t="n"/>
      <c r="Q13" s="6" t="n"/>
      <c r="R13" s="231">
        <f>AY_SONU!$B13</f>
        <v/>
      </c>
      <c r="S13" s="121">
        <f>"Müşteri Carisi  (MÜŞTERİ 360)"</f>
        <v/>
      </c>
      <c r="T13" s="121">
        <f>"600 Muhasebe Hizmet Geliri  (sözleşme)"</f>
        <v/>
      </c>
      <c r="U13" s="227">
        <f>AY_SONU!$C13</f>
        <v/>
      </c>
      <c r="V13" s="227">
        <f>AY_SONU!$D13</f>
        <v/>
      </c>
      <c r="W13" s="227">
        <f>AY_SONU!$C13-AY_SONU!$D13</f>
        <v/>
      </c>
    </row>
    <row r="14">
      <c r="A14" s="6" t="n"/>
      <c r="B14" s="113">
        <f>IF($C14="","","GG"&amp;TEXT(ROW()-6,"00000"))</f>
        <v/>
      </c>
      <c r="C14" s="225" t="n">
        <v>46049</v>
      </c>
      <c r="D14" s="108" t="inlineStr">
        <is>
          <t>Gider</t>
        </is>
      </c>
      <c r="E14" s="109" t="inlineStr">
        <is>
          <t>Elektrik / Su / Doğalgaz</t>
        </is>
      </c>
      <c r="F14" s="109" t="inlineStr">
        <is>
          <t>Su Ödemesi</t>
        </is>
      </c>
      <c r="G14" s="226" t="n">
        <v>167.45</v>
      </c>
      <c r="H14" s="108" t="inlineStr">
        <is>
          <t>Merkez Kasa</t>
        </is>
      </c>
      <c r="I14" s="108" t="inlineStr">
        <is>
          <t>Evet</t>
        </is>
      </c>
      <c r="J14" s="109" t="n"/>
      <c r="K14" s="109" t="n"/>
      <c r="L14" s="121">
        <f>IF($C14="","",IF($D14="Gider",$E14,$H14))</f>
        <v/>
      </c>
      <c r="M14" s="121">
        <f>IF($C14="","",IF($D14="Gider",$H14,$E14))</f>
        <v/>
      </c>
      <c r="N14" s="231">
        <f>IF($C14="","",DATE(YEAR($C14),MONTH($C14),1))</f>
        <v/>
      </c>
      <c r="O14" s="113">
        <f>IF($C14="","",IF(AND($D14&lt;&gt;"",$E14&lt;&gt;"",$G14&gt;0,$H14&lt;&gt;"",$I14&lt;&gt;""),IF($C14&gt;TODAY(),"İLERİ TARİH","UYGUN"),"EKSİK"))</f>
        <v/>
      </c>
      <c r="P14" s="6" t="n"/>
      <c r="Q14" s="6" t="n"/>
      <c r="R14" s="231">
        <f>AY_SONU!$B14</f>
        <v/>
      </c>
      <c r="S14" s="121">
        <f>"Müşteri Carisi  (MÜŞTERİ 360)"</f>
        <v/>
      </c>
      <c r="T14" s="121">
        <f>"600 Muhasebe Hizmet Geliri  (sözleşme)"</f>
        <v/>
      </c>
      <c r="U14" s="227">
        <f>AY_SONU!$C14</f>
        <v/>
      </c>
      <c r="V14" s="227">
        <f>AY_SONU!$D14</f>
        <v/>
      </c>
      <c r="W14" s="227">
        <f>AY_SONU!$C14-AY_SONU!$D14</f>
        <v/>
      </c>
    </row>
    <row r="15">
      <c r="A15" s="6" t="n"/>
      <c r="B15" s="113">
        <f>IF($C15="","","GG"&amp;TEXT(ROW()-6,"00000"))</f>
        <v/>
      </c>
      <c r="C15" s="225" t="n">
        <v>46049</v>
      </c>
      <c r="D15" s="108" t="inlineStr">
        <is>
          <t>Gider</t>
        </is>
      </c>
      <c r="E15" s="109" t="inlineStr">
        <is>
          <t>Telefon / İnternet</t>
        </is>
      </c>
      <c r="F15" s="109" t="inlineStr">
        <is>
          <t>İnternet Ödemesi</t>
        </is>
      </c>
      <c r="G15" s="226" t="n">
        <v>602</v>
      </c>
      <c r="H15" s="108" t="inlineStr">
        <is>
          <t>Merkez Kasa</t>
        </is>
      </c>
      <c r="I15" s="108" t="inlineStr">
        <is>
          <t>Evet</t>
        </is>
      </c>
      <c r="J15" s="109" t="n"/>
      <c r="K15" s="109" t="n"/>
      <c r="L15" s="121">
        <f>IF($C15="","",IF($D15="Gider",$E15,$H15))</f>
        <v/>
      </c>
      <c r="M15" s="121">
        <f>IF($C15="","",IF($D15="Gider",$H15,$E15))</f>
        <v/>
      </c>
      <c r="N15" s="231">
        <f>IF($C15="","",DATE(YEAR($C15),MONTH($C15),1))</f>
        <v/>
      </c>
      <c r="O15" s="113">
        <f>IF($C15="","",IF(AND($D15&lt;&gt;"",$E15&lt;&gt;"",$G15&gt;0,$H15&lt;&gt;"",$I15&lt;&gt;""),IF($C15&gt;TODAY(),"İLERİ TARİH","UYGUN"),"EKSİK"))</f>
        <v/>
      </c>
      <c r="P15" s="6" t="n"/>
      <c r="Q15" s="6" t="n"/>
      <c r="R15" s="231">
        <f>AY_SONU!$B15</f>
        <v/>
      </c>
      <c r="S15" s="121">
        <f>"Müşteri Carisi  (MÜŞTERİ 360)"</f>
        <v/>
      </c>
      <c r="T15" s="121">
        <f>"600 Muhasebe Hizmet Geliri  (sözleşme)"</f>
        <v/>
      </c>
      <c r="U15" s="227">
        <f>AY_SONU!$C15</f>
        <v/>
      </c>
      <c r="V15" s="227">
        <f>AY_SONU!$D15</f>
        <v/>
      </c>
      <c r="W15" s="227">
        <f>AY_SONU!$C15-AY_SONU!$D15</f>
        <v/>
      </c>
    </row>
    <row r="16">
      <c r="A16" s="6" t="n"/>
      <c r="B16" s="113">
        <f>IF($C16="","","GG"&amp;TEXT(ROW()-6,"00000"))</f>
        <v/>
      </c>
      <c r="C16" s="225" t="n">
        <v>46053</v>
      </c>
      <c r="D16" s="108" t="inlineStr">
        <is>
          <t>Gider</t>
        </is>
      </c>
      <c r="E16" s="109" t="inlineStr">
        <is>
          <t>Ulaşım</t>
        </is>
      </c>
      <c r="F16" s="109" t="inlineStr">
        <is>
          <t>Araç Yakıt Alımı</t>
        </is>
      </c>
      <c r="G16" s="226" t="n">
        <v>1750</v>
      </c>
      <c r="H16" s="108" t="inlineStr">
        <is>
          <t>Merkez Kasa</t>
        </is>
      </c>
      <c r="I16" s="108" t="inlineStr">
        <is>
          <t>Evet</t>
        </is>
      </c>
      <c r="J16" s="109" t="n"/>
      <c r="K16" s="109" t="n"/>
      <c r="L16" s="121">
        <f>IF($C16="","",IF($D16="Gider",$E16,$H16))</f>
        <v/>
      </c>
      <c r="M16" s="121">
        <f>IF($C16="","",IF($D16="Gider",$H16,$E16))</f>
        <v/>
      </c>
      <c r="N16" s="231">
        <f>IF($C16="","",DATE(YEAR($C16),MONTH($C16),1))</f>
        <v/>
      </c>
      <c r="O16" s="113">
        <f>IF($C16="","",IF(AND($D16&lt;&gt;"",$E16&lt;&gt;"",$G16&gt;0,$H16&lt;&gt;"",$I16&lt;&gt;""),IF($C16&gt;TODAY(),"İLERİ TARİH","UYGUN"),"EKSİK"))</f>
        <v/>
      </c>
      <c r="P16" s="6" t="n"/>
      <c r="Q16" s="6" t="n"/>
      <c r="R16" s="231">
        <f>AY_SONU!$B16</f>
        <v/>
      </c>
      <c r="S16" s="121">
        <f>"Müşteri Carisi  (MÜŞTERİ 360)"</f>
        <v/>
      </c>
      <c r="T16" s="121">
        <f>"600 Muhasebe Hizmet Geliri  (sözleşme)"</f>
        <v/>
      </c>
      <c r="U16" s="227">
        <f>AY_SONU!$C16</f>
        <v/>
      </c>
      <c r="V16" s="227">
        <f>AY_SONU!$D16</f>
        <v/>
      </c>
      <c r="W16" s="227">
        <f>AY_SONU!$C16-AY_SONU!$D16</f>
        <v/>
      </c>
    </row>
    <row r="17">
      <c r="A17" s="6" t="n"/>
      <c r="B17" s="113">
        <f>IF($C17="","","GG"&amp;TEXT(ROW()-6,"00000"))</f>
        <v/>
      </c>
      <c r="C17" s="225" t="n">
        <v>46053</v>
      </c>
      <c r="D17" s="108" t="inlineStr">
        <is>
          <t>Gider</t>
        </is>
      </c>
      <c r="E17" s="109" t="inlineStr">
        <is>
          <t>Temsil / Ağırlama</t>
        </is>
      </c>
      <c r="F17" s="109" t="inlineStr">
        <is>
          <t>Ofis Çay Kahve ve Temizlik Alışverişi</t>
        </is>
      </c>
      <c r="G17" s="226" t="n">
        <v>2000</v>
      </c>
      <c r="H17" s="108" t="inlineStr">
        <is>
          <t>Merkez Kasa</t>
        </is>
      </c>
      <c r="I17" s="108" t="inlineStr">
        <is>
          <t>Evet</t>
        </is>
      </c>
      <c r="J17" s="109" t="n"/>
      <c r="K17" s="109" t="n"/>
      <c r="L17" s="121">
        <f>IF($C17="","",IF($D17="Gider",$E17,$H17))</f>
        <v/>
      </c>
      <c r="M17" s="121">
        <f>IF($C17="","",IF($D17="Gider",$H17,$E17))</f>
        <v/>
      </c>
      <c r="N17" s="231">
        <f>IF($C17="","",DATE(YEAR($C17),MONTH($C17),1))</f>
        <v/>
      </c>
      <c r="O17" s="113">
        <f>IF($C17="","",IF(AND($D17&lt;&gt;"",$E17&lt;&gt;"",$G17&gt;0,$H17&lt;&gt;"",$I17&lt;&gt;""),IF($C17&gt;TODAY(),"İLERİ TARİH","UYGUN"),"EKSİK"))</f>
        <v/>
      </c>
      <c r="P17" s="6" t="n"/>
      <c r="Q17" s="6" t="n"/>
      <c r="R17" s="231">
        <f>AY_SONU!$B17</f>
        <v/>
      </c>
      <c r="S17" s="121">
        <f>"Müşteri Carisi  (MÜŞTERİ 360)"</f>
        <v/>
      </c>
      <c r="T17" s="121">
        <f>"600 Muhasebe Hizmet Geliri  (sözleşme)"</f>
        <v/>
      </c>
      <c r="U17" s="227">
        <f>AY_SONU!$C17</f>
        <v/>
      </c>
      <c r="V17" s="227">
        <f>AY_SONU!$D17</f>
        <v/>
      </c>
      <c r="W17" s="227">
        <f>AY_SONU!$C17-AY_SONU!$D17</f>
        <v/>
      </c>
    </row>
    <row r="18">
      <c r="A18" s="6" t="n"/>
      <c r="B18" s="113">
        <f>IF($C18="","","GG"&amp;TEXT(ROW()-6,"00000"))</f>
        <v/>
      </c>
      <c r="C18" s="225" t="n">
        <v>46056</v>
      </c>
      <c r="D18" s="108" t="inlineStr">
        <is>
          <t>Gider</t>
        </is>
      </c>
      <c r="E18" s="109" t="inlineStr">
        <is>
          <t>Personel</t>
        </is>
      </c>
      <c r="F18" s="109" t="inlineStr">
        <is>
          <t>Zeynep Hanım Maaş</t>
        </is>
      </c>
      <c r="G18" s="226" t="n">
        <v>40000</v>
      </c>
      <c r="H18" s="108" t="inlineStr">
        <is>
          <t>Merkez Kasa</t>
        </is>
      </c>
      <c r="I18" s="108" t="inlineStr">
        <is>
          <t>Evet</t>
        </is>
      </c>
      <c r="J18" s="109" t="n"/>
      <c r="K18" s="109" t="n"/>
      <c r="L18" s="121">
        <f>IF($C18="","",IF($D18="Gider",$E18,$H18))</f>
        <v/>
      </c>
      <c r="M18" s="121">
        <f>IF($C18="","",IF($D18="Gider",$H18,$E18))</f>
        <v/>
      </c>
      <c r="N18" s="231">
        <f>IF($C18="","",DATE(YEAR($C18),MONTH($C18),1))</f>
        <v/>
      </c>
      <c r="O18" s="113">
        <f>IF($C18="","",IF(AND($D18&lt;&gt;"",$E18&lt;&gt;"",$G18&gt;0,$H18&lt;&gt;"",$I18&lt;&gt;""),IF($C18&gt;TODAY(),"İLERİ TARİH","UYGUN"),"EKSİK"))</f>
        <v/>
      </c>
      <c r="P18" s="6" t="n"/>
      <c r="Q18" s="6" t="n"/>
      <c r="R18" s="231">
        <f>AY_SONU!$B18</f>
        <v/>
      </c>
      <c r="S18" s="121">
        <f>"Müşteri Carisi  (MÜŞTERİ 360)"</f>
        <v/>
      </c>
      <c r="T18" s="121">
        <f>"600 Muhasebe Hizmet Geliri  (sözleşme)"</f>
        <v/>
      </c>
      <c r="U18" s="227">
        <f>AY_SONU!$C18</f>
        <v/>
      </c>
      <c r="V18" s="227">
        <f>AY_SONU!$D18</f>
        <v/>
      </c>
      <c r="W18" s="227">
        <f>AY_SONU!$C18-AY_SONU!$D18</f>
        <v/>
      </c>
    </row>
    <row r="19">
      <c r="A19" s="6" t="n"/>
      <c r="B19" s="113">
        <f>IF($C19="","","GG"&amp;TEXT(ROW()-6,"00000"))</f>
        <v/>
      </c>
      <c r="C19" s="225" t="n">
        <v>46056</v>
      </c>
      <c r="D19" s="108" t="inlineStr">
        <is>
          <t>Gider</t>
        </is>
      </c>
      <c r="E19" s="109" t="inlineStr">
        <is>
          <t>Personel</t>
        </is>
      </c>
      <c r="F19" s="109" t="inlineStr">
        <is>
          <t>Zeynep Hanım Yemek</t>
        </is>
      </c>
      <c r="G19" s="226" t="n">
        <v>5000</v>
      </c>
      <c r="H19" s="108" t="inlineStr">
        <is>
          <t>Merkez Kasa</t>
        </is>
      </c>
      <c r="I19" s="108" t="inlineStr">
        <is>
          <t>Evet</t>
        </is>
      </c>
      <c r="J19" s="109" t="n"/>
      <c r="K19" s="109" t="n"/>
      <c r="L19" s="121">
        <f>IF($C19="","",IF($D19="Gider",$E19,$H19))</f>
        <v/>
      </c>
      <c r="M19" s="121">
        <f>IF($C19="","",IF($D19="Gider",$H19,$E19))</f>
        <v/>
      </c>
      <c r="N19" s="231">
        <f>IF($C19="","",DATE(YEAR($C19),MONTH($C19),1))</f>
        <v/>
      </c>
      <c r="O19" s="113">
        <f>IF($C19="","",IF(AND($D19&lt;&gt;"",$E19&lt;&gt;"",$G19&gt;0,$H19&lt;&gt;"",$I19&lt;&gt;""),IF($C19&gt;TODAY(),"İLERİ TARİH","UYGUN"),"EKSİK"))</f>
        <v/>
      </c>
      <c r="P19" s="6" t="n"/>
      <c r="Q19" s="6" t="n"/>
      <c r="R19" s="231">
        <f>AY_SONU!$B19</f>
        <v/>
      </c>
      <c r="S19" s="121">
        <f>"Müşteri Carisi  (MÜŞTERİ 360)"</f>
        <v/>
      </c>
      <c r="T19" s="121">
        <f>"600 Muhasebe Hizmet Geliri  (sözleşme)"</f>
        <v/>
      </c>
      <c r="U19" s="227">
        <f>AY_SONU!$C19</f>
        <v/>
      </c>
      <c r="V19" s="227">
        <f>AY_SONU!$D19</f>
        <v/>
      </c>
      <c r="W19" s="227">
        <f>AY_SONU!$C19-AY_SONU!$D19</f>
        <v/>
      </c>
    </row>
    <row r="20">
      <c r="A20" s="6" t="n"/>
      <c r="B20" s="113">
        <f>IF($C20="","","GG"&amp;TEXT(ROW()-6,"00000"))</f>
        <v/>
      </c>
      <c r="C20" s="225" t="n">
        <v>46056</v>
      </c>
      <c r="D20" s="108" t="inlineStr">
        <is>
          <t>Gider</t>
        </is>
      </c>
      <c r="E20" s="109" t="inlineStr">
        <is>
          <t>Vergi / Harç</t>
        </is>
      </c>
      <c r="F20" s="109" t="inlineStr">
        <is>
          <t>Alı Aralık Bağkur</t>
        </is>
      </c>
      <c r="G20" s="226" t="n">
        <v>9000</v>
      </c>
      <c r="H20" s="108" t="inlineStr">
        <is>
          <t>Merkez Kasa</t>
        </is>
      </c>
      <c r="I20" s="108" t="inlineStr">
        <is>
          <t>Evet</t>
        </is>
      </c>
      <c r="J20" s="109" t="n"/>
      <c r="K20" s="109" t="n"/>
      <c r="L20" s="121">
        <f>IF($C20="","",IF($D20="Gider",$E20,$H20))</f>
        <v/>
      </c>
      <c r="M20" s="121">
        <f>IF($C20="","",IF($D20="Gider",$H20,$E20))</f>
        <v/>
      </c>
      <c r="N20" s="231">
        <f>IF($C20="","",DATE(YEAR($C20),MONTH($C20),1))</f>
        <v/>
      </c>
      <c r="O20" s="113">
        <f>IF($C20="","",IF(AND($D20&lt;&gt;"",$E20&lt;&gt;"",$G20&gt;0,$H20&lt;&gt;"",$I20&lt;&gt;""),IF($C20&gt;TODAY(),"İLERİ TARİH","UYGUN"),"EKSİK"))</f>
        <v/>
      </c>
      <c r="P20" s="6" t="n"/>
      <c r="Q20" s="6" t="n"/>
      <c r="R20" s="231">
        <f>AY_SONU!$B20</f>
        <v/>
      </c>
      <c r="S20" s="121">
        <f>"Müşteri Carisi  (MÜŞTERİ 360)"</f>
        <v/>
      </c>
      <c r="T20" s="121">
        <f>"600 Muhasebe Hizmet Geliri  (sözleşme)"</f>
        <v/>
      </c>
      <c r="U20" s="227">
        <f>AY_SONU!$C20</f>
        <v/>
      </c>
      <c r="V20" s="227">
        <f>AY_SONU!$D20</f>
        <v/>
      </c>
      <c r="W20" s="227">
        <f>AY_SONU!$C20-AY_SONU!$D20</f>
        <v/>
      </c>
    </row>
    <row r="21">
      <c r="A21" s="6" t="n"/>
      <c r="B21" s="113">
        <f>IF($C21="","","GG"&amp;TEXT(ROW()-6,"00000"))</f>
        <v/>
      </c>
      <c r="C21" s="225" t="n">
        <v>46056</v>
      </c>
      <c r="D21" s="108" t="inlineStr">
        <is>
          <t>Gider</t>
        </is>
      </c>
      <c r="E21" s="109" t="inlineStr">
        <is>
          <t>Vergi / Harç</t>
        </is>
      </c>
      <c r="F21" s="109" t="inlineStr">
        <is>
          <t>Ali Ocak Bağkur</t>
        </is>
      </c>
      <c r="G21" s="226" t="n">
        <v>11810</v>
      </c>
      <c r="H21" s="108" t="inlineStr">
        <is>
          <t>Merkez Kasa</t>
        </is>
      </c>
      <c r="I21" s="108" t="inlineStr">
        <is>
          <t>Evet</t>
        </is>
      </c>
      <c r="J21" s="109" t="n"/>
      <c r="K21" s="109" t="n"/>
      <c r="L21" s="121">
        <f>IF($C21="","",IF($D21="Gider",$E21,$H21))</f>
        <v/>
      </c>
      <c r="M21" s="121">
        <f>IF($C21="","",IF($D21="Gider",$H21,$E21))</f>
        <v/>
      </c>
      <c r="N21" s="231">
        <f>IF($C21="","",DATE(YEAR($C21),MONTH($C21),1))</f>
        <v/>
      </c>
      <c r="O21" s="113">
        <f>IF($C21="","",IF(AND($D21&lt;&gt;"",$E21&lt;&gt;"",$G21&gt;0,$H21&lt;&gt;"",$I21&lt;&gt;""),IF($C21&gt;TODAY(),"İLERİ TARİH","UYGUN"),"EKSİK"))</f>
        <v/>
      </c>
      <c r="P21" s="6" t="n"/>
      <c r="Q21" s="6" t="n"/>
      <c r="R21" s="231">
        <f>AY_SONU!$B21</f>
        <v/>
      </c>
      <c r="S21" s="121">
        <f>"Müşteri Carisi  (MÜŞTERİ 360)"</f>
        <v/>
      </c>
      <c r="T21" s="121">
        <f>"600 Muhasebe Hizmet Geliri  (sözleşme)"</f>
        <v/>
      </c>
      <c r="U21" s="227">
        <f>AY_SONU!$C21</f>
        <v/>
      </c>
      <c r="V21" s="227">
        <f>AY_SONU!$D21</f>
        <v/>
      </c>
      <c r="W21" s="227">
        <f>AY_SONU!$C21-AY_SONU!$D21</f>
        <v/>
      </c>
    </row>
    <row r="22">
      <c r="A22" s="6" t="n"/>
      <c r="B22" s="113">
        <f>IF($C22="","","GG"&amp;TEXT(ROW()-6,"00000"))</f>
        <v/>
      </c>
      <c r="C22" s="225" t="n">
        <v>46056</v>
      </c>
      <c r="D22" s="108" t="inlineStr">
        <is>
          <t>Gider</t>
        </is>
      </c>
      <c r="E22" s="109" t="inlineStr">
        <is>
          <t>Vergi / Harç</t>
        </is>
      </c>
      <c r="F22" s="109" t="inlineStr">
        <is>
          <t>ASMMO Aidat Ödemesi</t>
        </is>
      </c>
      <c r="G22" s="226" t="n">
        <v>6011</v>
      </c>
      <c r="H22" s="108" t="inlineStr">
        <is>
          <t>Merkez Kasa</t>
        </is>
      </c>
      <c r="I22" s="108" t="inlineStr">
        <is>
          <t>Evet</t>
        </is>
      </c>
      <c r="J22" s="109" t="n"/>
      <c r="K22" s="109" t="n"/>
      <c r="L22" s="121">
        <f>IF($C22="","",IF($D22="Gider",$E22,$H22))</f>
        <v/>
      </c>
      <c r="M22" s="121">
        <f>IF($C22="","",IF($D22="Gider",$H22,$E22))</f>
        <v/>
      </c>
      <c r="N22" s="231">
        <f>IF($C22="","",DATE(YEAR($C22),MONTH($C22),1))</f>
        <v/>
      </c>
      <c r="O22" s="113">
        <f>IF($C22="","",IF(AND($D22&lt;&gt;"",$E22&lt;&gt;"",$G22&gt;0,$H22&lt;&gt;"",$I22&lt;&gt;""),IF($C22&gt;TODAY(),"İLERİ TARİH","UYGUN"),"EKSİK"))</f>
        <v/>
      </c>
      <c r="P22" s="6" t="n"/>
      <c r="Q22" s="6" t="n"/>
      <c r="R22" s="231">
        <f>AY_SONU!$B22</f>
        <v/>
      </c>
      <c r="S22" s="121">
        <f>"Müşteri Carisi  (MÜŞTERİ 360)"</f>
        <v/>
      </c>
      <c r="T22" s="121">
        <f>"600 Muhasebe Hizmet Geliri  (sözleşme)"</f>
        <v/>
      </c>
      <c r="U22" s="227">
        <f>AY_SONU!$C22</f>
        <v/>
      </c>
      <c r="V22" s="227">
        <f>AY_SONU!$D22</f>
        <v/>
      </c>
      <c r="W22" s="227">
        <f>AY_SONU!$C22-AY_SONU!$D22</f>
        <v/>
      </c>
    </row>
    <row r="23">
      <c r="A23" s="6" t="n"/>
      <c r="B23" s="113">
        <f>IF($C23="","","GG"&amp;TEXT(ROW()-6,"00000"))</f>
        <v/>
      </c>
      <c r="C23" s="225" t="n">
        <v>46056</v>
      </c>
      <c r="D23" s="108" t="inlineStr">
        <is>
          <t>Gider</t>
        </is>
      </c>
      <c r="E23" s="109" t="inlineStr">
        <is>
          <t>Ofis Kirası</t>
        </is>
      </c>
      <c r="F23" s="109" t="inlineStr">
        <is>
          <t>Ocak Ayı Ofis Kira Ödemesi</t>
        </is>
      </c>
      <c r="G23" s="226" t="n">
        <v>14000</v>
      </c>
      <c r="H23" s="108" t="inlineStr">
        <is>
          <t>Merkez Kasa</t>
        </is>
      </c>
      <c r="I23" s="108" t="inlineStr">
        <is>
          <t>Evet</t>
        </is>
      </c>
      <c r="J23" s="109" t="n"/>
      <c r="K23" s="109" t="n"/>
      <c r="L23" s="121">
        <f>IF($C23="","",IF($D23="Gider",$E23,$H23))</f>
        <v/>
      </c>
      <c r="M23" s="121">
        <f>IF($C23="","",IF($D23="Gider",$H23,$E23))</f>
        <v/>
      </c>
      <c r="N23" s="231">
        <f>IF($C23="","",DATE(YEAR($C23),MONTH($C23),1))</f>
        <v/>
      </c>
      <c r="O23" s="113">
        <f>IF($C23="","",IF(AND($D23&lt;&gt;"",$E23&lt;&gt;"",$G23&gt;0,$H23&lt;&gt;"",$I23&lt;&gt;""),IF($C23&gt;TODAY(),"İLERİ TARİH","UYGUN"),"EKSİK"))</f>
        <v/>
      </c>
      <c r="P23" s="6" t="n"/>
      <c r="Q23" s="6" t="n"/>
      <c r="R23" s="231">
        <f>AY_SONU!$B23</f>
        <v/>
      </c>
      <c r="S23" s="121">
        <f>"Müşteri Carisi  (MÜŞTERİ 360)"</f>
        <v/>
      </c>
      <c r="T23" s="121">
        <f>"600 Muhasebe Hizmet Geliri  (sözleşme)"</f>
        <v/>
      </c>
      <c r="U23" s="227">
        <f>AY_SONU!$C23</f>
        <v/>
      </c>
      <c r="V23" s="227">
        <f>AY_SONU!$D23</f>
        <v/>
      </c>
      <c r="W23" s="227">
        <f>AY_SONU!$C23-AY_SONU!$D23</f>
        <v/>
      </c>
    </row>
    <row r="24">
      <c r="A24" s="6" t="n"/>
      <c r="B24" s="113">
        <f>IF($C24="","","GG"&amp;TEXT(ROW()-6,"00000"))</f>
        <v/>
      </c>
      <c r="C24" s="225" t="n">
        <v>46056</v>
      </c>
      <c r="D24" s="108" t="inlineStr">
        <is>
          <t>Gider</t>
        </is>
      </c>
      <c r="E24" s="109" t="inlineStr">
        <is>
          <t>Ofis Kirası</t>
        </is>
      </c>
      <c r="F24" s="109" t="inlineStr">
        <is>
          <t>Şubat Ayı Ofis Kira Ödemesi</t>
        </is>
      </c>
      <c r="G24" s="226" t="n">
        <v>14000</v>
      </c>
      <c r="H24" s="108" t="inlineStr">
        <is>
          <t>Merkez Kasa</t>
        </is>
      </c>
      <c r="I24" s="108" t="inlineStr">
        <is>
          <t>Evet</t>
        </is>
      </c>
      <c r="J24" s="109" t="n"/>
      <c r="K24" s="109" t="n"/>
      <c r="L24" s="121">
        <f>IF($C24="","",IF($D24="Gider",$E24,$H24))</f>
        <v/>
      </c>
      <c r="M24" s="121">
        <f>IF($C24="","",IF($D24="Gider",$H24,$E24))</f>
        <v/>
      </c>
      <c r="N24" s="231">
        <f>IF($C24="","",DATE(YEAR($C24),MONTH($C24),1))</f>
        <v/>
      </c>
      <c r="O24" s="113">
        <f>IF($C24="","",IF(AND($D24&lt;&gt;"",$E24&lt;&gt;"",$G24&gt;0,$H24&lt;&gt;"",$I24&lt;&gt;""),IF($C24&gt;TODAY(),"İLERİ TARİH","UYGUN"),"EKSİK"))</f>
        <v/>
      </c>
      <c r="P24" s="6" t="n"/>
      <c r="Q24" s="6" t="n"/>
      <c r="R24" s="231">
        <f>AY_SONU!$B24</f>
        <v/>
      </c>
      <c r="S24" s="121">
        <f>"Müşteri Carisi  (MÜŞTERİ 360)"</f>
        <v/>
      </c>
      <c r="T24" s="121">
        <f>"600 Muhasebe Hizmet Geliri  (sözleşme)"</f>
        <v/>
      </c>
      <c r="U24" s="227">
        <f>AY_SONU!$C24</f>
        <v/>
      </c>
      <c r="V24" s="227">
        <f>AY_SONU!$D24</f>
        <v/>
      </c>
      <c r="W24" s="227">
        <f>AY_SONU!$C24-AY_SONU!$D24</f>
        <v/>
      </c>
    </row>
    <row r="25">
      <c r="A25" s="6" t="n"/>
      <c r="B25" s="113">
        <f>IF($C25="","","GG"&amp;TEXT(ROW()-6,"00000"))</f>
        <v/>
      </c>
      <c r="C25" s="225" t="n">
        <v>46056</v>
      </c>
      <c r="D25" s="108" t="inlineStr">
        <is>
          <t>Gider</t>
        </is>
      </c>
      <c r="E25" s="109" t="inlineStr">
        <is>
          <t>Vergi / Harç</t>
        </is>
      </c>
      <c r="F25" s="109" t="inlineStr">
        <is>
          <t>Ofis Vergi Ödemeleri</t>
        </is>
      </c>
      <c r="G25" s="226" t="n">
        <v>10260.16</v>
      </c>
      <c r="H25" s="108" t="inlineStr">
        <is>
          <t>Merkez Kasa</t>
        </is>
      </c>
      <c r="I25" s="108" t="inlineStr">
        <is>
          <t>Evet</t>
        </is>
      </c>
      <c r="J25" s="109" t="n"/>
      <c r="K25" s="109" t="n"/>
      <c r="L25" s="121">
        <f>IF($C25="","",IF($D25="Gider",$E25,$H25))</f>
        <v/>
      </c>
      <c r="M25" s="121">
        <f>IF($C25="","",IF($D25="Gider",$H25,$E25))</f>
        <v/>
      </c>
      <c r="N25" s="231">
        <f>IF($C25="","",DATE(YEAR($C25),MONTH($C25),1))</f>
        <v/>
      </c>
      <c r="O25" s="113">
        <f>IF($C25="","",IF(AND($D25&lt;&gt;"",$E25&lt;&gt;"",$G25&gt;0,$H25&lt;&gt;"",$I25&lt;&gt;""),IF($C25&gt;TODAY(),"İLERİ TARİH","UYGUN"),"EKSİK"))</f>
        <v/>
      </c>
      <c r="P25" s="6" t="n"/>
      <c r="Q25" s="6" t="n"/>
      <c r="R25" s="231">
        <f>AY_SONU!$B25</f>
        <v/>
      </c>
      <c r="S25" s="121">
        <f>"Müşteri Carisi  (MÜŞTERİ 360)"</f>
        <v/>
      </c>
      <c r="T25" s="121">
        <f>"600 Muhasebe Hizmet Geliri  (sözleşme)"</f>
        <v/>
      </c>
      <c r="U25" s="227">
        <f>AY_SONU!$C25</f>
        <v/>
      </c>
      <c r="V25" s="227">
        <f>AY_SONU!$D25</f>
        <v/>
      </c>
      <c r="W25" s="227">
        <f>AY_SONU!$C25-AY_SONU!$D25</f>
        <v/>
      </c>
    </row>
    <row r="26">
      <c r="A26" s="6" t="n"/>
      <c r="B26" s="113">
        <f>IF($C26="","","GG"&amp;TEXT(ROW()-6,"00000"))</f>
        <v/>
      </c>
      <c r="C26" s="225" t="n">
        <v>46056</v>
      </c>
      <c r="D26" s="108" t="inlineStr">
        <is>
          <t>Gider</t>
        </is>
      </c>
      <c r="E26" s="109" t="inlineStr">
        <is>
          <t>Ofis Kirası</t>
        </is>
      </c>
      <c r="F26" s="109" t="inlineStr">
        <is>
          <t>Ocak Ayı Ofis Aidatı Ödemesi</t>
        </is>
      </c>
      <c r="G26" s="226" t="n">
        <v>2000</v>
      </c>
      <c r="H26" s="108" t="inlineStr">
        <is>
          <t>Merkez Kasa</t>
        </is>
      </c>
      <c r="I26" s="108" t="inlineStr">
        <is>
          <t>Evet</t>
        </is>
      </c>
      <c r="J26" s="109" t="n"/>
      <c r="K26" s="109" t="n"/>
      <c r="L26" s="121">
        <f>IF($C26="","",IF($D26="Gider",$E26,$H26))</f>
        <v/>
      </c>
      <c r="M26" s="121">
        <f>IF($C26="","",IF($D26="Gider",$H26,$E26))</f>
        <v/>
      </c>
      <c r="N26" s="231">
        <f>IF($C26="","",DATE(YEAR($C26),MONTH($C26),1))</f>
        <v/>
      </c>
      <c r="O26" s="113">
        <f>IF($C26="","",IF(AND($D26&lt;&gt;"",$E26&lt;&gt;"",$G26&gt;0,$H26&lt;&gt;"",$I26&lt;&gt;""),IF($C26&gt;TODAY(),"İLERİ TARİH","UYGUN"),"EKSİK"))</f>
        <v/>
      </c>
      <c r="P26" s="6" t="n"/>
      <c r="Q26" s="6" t="n"/>
      <c r="R26" s="231">
        <f>AY_SONU!$B26</f>
        <v/>
      </c>
      <c r="S26" s="121">
        <f>"Müşteri Carisi  (MÜŞTERİ 360)"</f>
        <v/>
      </c>
      <c r="T26" s="121">
        <f>"600 Muhasebe Hizmet Geliri  (sözleşme)"</f>
        <v/>
      </c>
      <c r="U26" s="227">
        <f>AY_SONU!$C26</f>
        <v/>
      </c>
      <c r="V26" s="227">
        <f>AY_SONU!$D26</f>
        <v/>
      </c>
      <c r="W26" s="227">
        <f>AY_SONU!$C26-AY_SONU!$D26</f>
        <v/>
      </c>
    </row>
    <row r="27">
      <c r="A27" s="6" t="n"/>
      <c r="B27" s="113">
        <f>IF($C27="","","GG"&amp;TEXT(ROW()-6,"00000"))</f>
        <v/>
      </c>
      <c r="C27" s="225" t="n">
        <v>46056</v>
      </c>
      <c r="D27" s="108" t="inlineStr">
        <is>
          <t>Gider</t>
        </is>
      </c>
      <c r="E27" s="109" t="inlineStr">
        <is>
          <t>Ofis Kirası</t>
        </is>
      </c>
      <c r="F27" s="109" t="inlineStr">
        <is>
          <t>Şubat Ayı Ofis Aidatı Ödemesi</t>
        </is>
      </c>
      <c r="G27" s="226" t="n">
        <v>2000</v>
      </c>
      <c r="H27" s="108" t="inlineStr">
        <is>
          <t>Merkez Kasa</t>
        </is>
      </c>
      <c r="I27" s="108" t="inlineStr">
        <is>
          <t>Evet</t>
        </is>
      </c>
      <c r="J27" s="109" t="n"/>
      <c r="K27" s="109" t="n"/>
      <c r="L27" s="121">
        <f>IF($C27="","",IF($D27="Gider",$E27,$H27))</f>
        <v/>
      </c>
      <c r="M27" s="121">
        <f>IF($C27="","",IF($D27="Gider",$H27,$E27))</f>
        <v/>
      </c>
      <c r="N27" s="231">
        <f>IF($C27="","",DATE(YEAR($C27),MONTH($C27),1))</f>
        <v/>
      </c>
      <c r="O27" s="113">
        <f>IF($C27="","",IF(AND($D27&lt;&gt;"",$E27&lt;&gt;"",$G27&gt;0,$H27&lt;&gt;"",$I27&lt;&gt;""),IF($C27&gt;TODAY(),"İLERİ TARİH","UYGUN"),"EKSİK"))</f>
        <v/>
      </c>
      <c r="P27" s="6" t="n"/>
      <c r="Q27" s="6" t="n"/>
      <c r="R27" s="231">
        <f>AY_SONU!$B27</f>
        <v/>
      </c>
      <c r="S27" s="121">
        <f>"Müşteri Carisi  (MÜŞTERİ 360)"</f>
        <v/>
      </c>
      <c r="T27" s="121">
        <f>"600 Muhasebe Hizmet Geliri  (sözleşme)"</f>
        <v/>
      </c>
      <c r="U27" s="227">
        <f>AY_SONU!$C27</f>
        <v/>
      </c>
      <c r="V27" s="227">
        <f>AY_SONU!$D27</f>
        <v/>
      </c>
      <c r="W27" s="227">
        <f>AY_SONU!$C27-AY_SONU!$D27</f>
        <v/>
      </c>
    </row>
    <row r="28">
      <c r="A28" s="6" t="n"/>
      <c r="B28" s="113">
        <f>IF($C28="","","GG"&amp;TEXT(ROW()-6,"00000"))</f>
        <v/>
      </c>
      <c r="C28" s="225" t="n">
        <v>46056</v>
      </c>
      <c r="D28" s="108" t="inlineStr">
        <is>
          <t>Gider</t>
        </is>
      </c>
      <c r="E28" s="109" t="inlineStr">
        <is>
          <t>Personel</t>
        </is>
      </c>
      <c r="F28" s="109" t="inlineStr">
        <is>
          <t>İsmail Harçlık</t>
        </is>
      </c>
      <c r="G28" s="226" t="n">
        <v>4000</v>
      </c>
      <c r="H28" s="108" t="inlineStr">
        <is>
          <t>Merkez Kasa</t>
        </is>
      </c>
      <c r="I28" s="108" t="inlineStr">
        <is>
          <t>Evet</t>
        </is>
      </c>
      <c r="J28" s="109" t="n"/>
      <c r="K28" s="109" t="n"/>
      <c r="L28" s="121">
        <f>IF($C28="","",IF($D28="Gider",$E28,$H28))</f>
        <v/>
      </c>
      <c r="M28" s="121">
        <f>IF($C28="","",IF($D28="Gider",$H28,$E28))</f>
        <v/>
      </c>
      <c r="N28" s="231">
        <f>IF($C28="","",DATE(YEAR($C28),MONTH($C28),1))</f>
        <v/>
      </c>
      <c r="O28" s="113">
        <f>IF($C28="","",IF(AND($D28&lt;&gt;"",$E28&lt;&gt;"",$G28&gt;0,$H28&lt;&gt;"",$I28&lt;&gt;""),IF($C28&gt;TODAY(),"İLERİ TARİH","UYGUN"),"EKSİK"))</f>
        <v/>
      </c>
      <c r="P28" s="6" t="n"/>
      <c r="Q28" s="6" t="n"/>
      <c r="R28" s="231">
        <f>AY_SONU!$B28</f>
        <v/>
      </c>
      <c r="S28" s="121">
        <f>"Müşteri Carisi  (MÜŞTERİ 360)"</f>
        <v/>
      </c>
      <c r="T28" s="121">
        <f>"600 Muhasebe Hizmet Geliri  (sözleşme)"</f>
        <v/>
      </c>
      <c r="U28" s="227">
        <f>AY_SONU!$C28</f>
        <v/>
      </c>
      <c r="V28" s="227">
        <f>AY_SONU!$D28</f>
        <v/>
      </c>
      <c r="W28" s="227">
        <f>AY_SONU!$C28-AY_SONU!$D28</f>
        <v/>
      </c>
    </row>
    <row r="29">
      <c r="A29" s="6" t="n"/>
      <c r="B29" s="113">
        <f>IF($C29="","","GG"&amp;TEXT(ROW()-6,"00000"))</f>
        <v/>
      </c>
      <c r="C29" s="225" t="n">
        <v>46060</v>
      </c>
      <c r="D29" s="108" t="inlineStr">
        <is>
          <t>Gider</t>
        </is>
      </c>
      <c r="E29" s="109" t="inlineStr">
        <is>
          <t>Ulaşım</t>
        </is>
      </c>
      <c r="F29" s="109" t="inlineStr">
        <is>
          <t>Araç Yakıt Alımı</t>
        </is>
      </c>
      <c r="G29" s="226" t="n">
        <v>2400</v>
      </c>
      <c r="H29" s="108" t="inlineStr">
        <is>
          <t>Merkez Kasa</t>
        </is>
      </c>
      <c r="I29" s="108" t="inlineStr">
        <is>
          <t>Evet</t>
        </is>
      </c>
      <c r="J29" s="109" t="n"/>
      <c r="K29" s="109" t="n"/>
      <c r="L29" s="121">
        <f>IF($C29="","",IF($D29="Gider",$E29,$H29))</f>
        <v/>
      </c>
      <c r="M29" s="121">
        <f>IF($C29="","",IF($D29="Gider",$H29,$E29))</f>
        <v/>
      </c>
      <c r="N29" s="231">
        <f>IF($C29="","",DATE(YEAR($C29),MONTH($C29),1))</f>
        <v/>
      </c>
      <c r="O29" s="113">
        <f>IF($C29="","",IF(AND($D29&lt;&gt;"",$E29&lt;&gt;"",$G29&gt;0,$H29&lt;&gt;"",$I29&lt;&gt;""),IF($C29&gt;TODAY(),"İLERİ TARİH","UYGUN"),"EKSİK"))</f>
        <v/>
      </c>
      <c r="P29" s="6" t="n"/>
      <c r="Q29" s="6" t="n"/>
      <c r="R29" s="231">
        <f>AY_SONU!$B29</f>
        <v/>
      </c>
      <c r="S29" s="121">
        <f>"Müşteri Carisi  (MÜŞTERİ 360)"</f>
        <v/>
      </c>
      <c r="T29" s="121">
        <f>"600 Muhasebe Hizmet Geliri  (sözleşme)"</f>
        <v/>
      </c>
      <c r="U29" s="227">
        <f>AY_SONU!$C29</f>
        <v/>
      </c>
      <c r="V29" s="227">
        <f>AY_SONU!$D29</f>
        <v/>
      </c>
      <c r="W29" s="227">
        <f>AY_SONU!$C29-AY_SONU!$D29</f>
        <v/>
      </c>
    </row>
    <row r="30">
      <c r="A30" s="6" t="n"/>
      <c r="B30" s="113">
        <f>IF($C30="","","GG"&amp;TEXT(ROW()-6,"00000"))</f>
        <v/>
      </c>
      <c r="C30" s="225" t="n">
        <v>46062</v>
      </c>
      <c r="D30" s="108" t="inlineStr">
        <is>
          <t>Gider</t>
        </is>
      </c>
      <c r="E30" s="109" t="inlineStr">
        <is>
          <t>Temsil / Ağırlama</t>
        </is>
      </c>
      <c r="F30" s="109" t="inlineStr">
        <is>
          <t>Ofis Temizlik Alışverişi</t>
        </is>
      </c>
      <c r="G30" s="226" t="n">
        <v>499.3</v>
      </c>
      <c r="H30" s="108" t="inlineStr">
        <is>
          <t>Merkez Kasa</t>
        </is>
      </c>
      <c r="I30" s="108" t="inlineStr">
        <is>
          <t>Evet</t>
        </is>
      </c>
      <c r="J30" s="109" t="n"/>
      <c r="K30" s="109" t="n"/>
      <c r="L30" s="121">
        <f>IF($C30="","",IF($D30="Gider",$E30,$H30))</f>
        <v/>
      </c>
      <c r="M30" s="121">
        <f>IF($C30="","",IF($D30="Gider",$H30,$E30))</f>
        <v/>
      </c>
      <c r="N30" s="231">
        <f>IF($C30="","",DATE(YEAR($C30),MONTH($C30),1))</f>
        <v/>
      </c>
      <c r="O30" s="113">
        <f>IF($C30="","",IF(AND($D30&lt;&gt;"",$E30&lt;&gt;"",$G30&gt;0,$H30&lt;&gt;"",$I30&lt;&gt;""),IF($C30&gt;TODAY(),"İLERİ TARİH","UYGUN"),"EKSİK"))</f>
        <v/>
      </c>
      <c r="P30" s="6" t="n"/>
      <c r="Q30" s="6" t="n"/>
      <c r="R30" s="231">
        <f>AY_SONU!$B30</f>
        <v/>
      </c>
      <c r="S30" s="121">
        <f>"Müşteri Carisi  (MÜŞTERİ 360)"</f>
        <v/>
      </c>
      <c r="T30" s="121">
        <f>"600 Muhasebe Hizmet Geliri  (sözleşme)"</f>
        <v/>
      </c>
      <c r="U30" s="227">
        <f>AY_SONU!$C30</f>
        <v/>
      </c>
      <c r="V30" s="227">
        <f>AY_SONU!$D30</f>
        <v/>
      </c>
      <c r="W30" s="227">
        <f>AY_SONU!$C30-AY_SONU!$D30</f>
        <v/>
      </c>
    </row>
    <row r="31">
      <c r="A31" s="6" t="n"/>
      <c r="B31" s="113">
        <f>IF($C31="","","GG"&amp;TEXT(ROW()-6,"00000"))</f>
        <v/>
      </c>
      <c r="C31" s="225" t="n">
        <v>46064</v>
      </c>
      <c r="D31" s="108" t="inlineStr">
        <is>
          <t>Gider</t>
        </is>
      </c>
      <c r="E31" s="109" t="inlineStr">
        <is>
          <t>Temsil / Ağırlama</t>
        </is>
      </c>
      <c r="F31" s="109" t="inlineStr">
        <is>
          <t>İsmail Yemek</t>
        </is>
      </c>
      <c r="G31" s="226" t="n">
        <v>300</v>
      </c>
      <c r="H31" s="108" t="inlineStr">
        <is>
          <t>Merkez Kasa</t>
        </is>
      </c>
      <c r="I31" s="108" t="inlineStr">
        <is>
          <t>Evet</t>
        </is>
      </c>
      <c r="J31" s="109" t="n"/>
      <c r="K31" s="109" t="n"/>
      <c r="L31" s="121">
        <f>IF($C31="","",IF($D31="Gider",$E31,$H31))</f>
        <v/>
      </c>
      <c r="M31" s="121">
        <f>IF($C31="","",IF($D31="Gider",$H31,$E31))</f>
        <v/>
      </c>
      <c r="N31" s="231">
        <f>IF($C31="","",DATE(YEAR($C31),MONTH($C31),1))</f>
        <v/>
      </c>
      <c r="O31" s="113">
        <f>IF($C31="","",IF(AND($D31&lt;&gt;"",$E31&lt;&gt;"",$G31&gt;0,$H31&lt;&gt;"",$I31&lt;&gt;""),IF($C31&gt;TODAY(),"İLERİ TARİH","UYGUN"),"EKSİK"))</f>
        <v/>
      </c>
      <c r="P31" s="6" t="n"/>
      <c r="Q31" s="6" t="n"/>
      <c r="R31" s="231">
        <f>AY_SONU!$B31</f>
        <v/>
      </c>
      <c r="S31" s="121">
        <f>"Müşteri Carisi  (MÜŞTERİ 360)"</f>
        <v/>
      </c>
      <c r="T31" s="121">
        <f>"600 Muhasebe Hizmet Geliri  (sözleşme)"</f>
        <v/>
      </c>
      <c r="U31" s="227">
        <f>AY_SONU!$C31</f>
        <v/>
      </c>
      <c r="V31" s="227">
        <f>AY_SONU!$D31</f>
        <v/>
      </c>
      <c r="W31" s="227">
        <f>AY_SONU!$C31-AY_SONU!$D31</f>
        <v/>
      </c>
    </row>
    <row r="32">
      <c r="A32" s="6" t="n"/>
      <c r="B32" s="113">
        <f>IF($C32="","","GG"&amp;TEXT(ROW()-6,"00000"))</f>
        <v/>
      </c>
      <c r="C32" s="225" t="n">
        <v>46064</v>
      </c>
      <c r="D32" s="108" t="inlineStr">
        <is>
          <t>Gider</t>
        </is>
      </c>
      <c r="E32" s="109" t="inlineStr">
        <is>
          <t>Temsil / Ağırlama</t>
        </is>
      </c>
      <c r="F32" s="109" t="inlineStr">
        <is>
          <t xml:space="preserve">Baklavacı Hacıbaba </t>
        </is>
      </c>
      <c r="G32" s="226" t="n">
        <v>1530</v>
      </c>
      <c r="H32" s="108" t="inlineStr">
        <is>
          <t>Merkez Kasa</t>
        </is>
      </c>
      <c r="I32" s="108" t="inlineStr">
        <is>
          <t>Evet</t>
        </is>
      </c>
      <c r="J32" s="109" t="n"/>
      <c r="K32" s="109" t="n"/>
      <c r="L32" s="121">
        <f>IF($C32="","",IF($D32="Gider",$E32,$H32))</f>
        <v/>
      </c>
      <c r="M32" s="121">
        <f>IF($C32="","",IF($D32="Gider",$H32,$E32))</f>
        <v/>
      </c>
      <c r="N32" s="231">
        <f>IF($C32="","",DATE(YEAR($C32),MONTH($C32),1))</f>
        <v/>
      </c>
      <c r="O32" s="113">
        <f>IF($C32="","",IF(AND($D32&lt;&gt;"",$E32&lt;&gt;"",$G32&gt;0,$H32&lt;&gt;"",$I32&lt;&gt;""),IF($C32&gt;TODAY(),"İLERİ TARİH","UYGUN"),"EKSİK"))</f>
        <v/>
      </c>
      <c r="P32" s="6" t="n"/>
      <c r="Q32" s="6" t="n"/>
      <c r="R32" s="231">
        <f>AY_SONU!$B32</f>
        <v/>
      </c>
      <c r="S32" s="121">
        <f>"Müşteri Carisi  (MÜŞTERİ 360)"</f>
        <v/>
      </c>
      <c r="T32" s="121">
        <f>"600 Muhasebe Hizmet Geliri  (sözleşme)"</f>
        <v/>
      </c>
      <c r="U32" s="227">
        <f>AY_SONU!$C32</f>
        <v/>
      </c>
      <c r="V32" s="227">
        <f>AY_SONU!$D32</f>
        <v/>
      </c>
      <c r="W32" s="227">
        <f>AY_SONU!$C32-AY_SONU!$D32</f>
        <v/>
      </c>
    </row>
    <row r="33">
      <c r="A33" s="6" t="n"/>
      <c r="B33" s="113">
        <f>IF($C33="","","GG"&amp;TEXT(ROW()-6,"00000"))</f>
        <v/>
      </c>
      <c r="C33" s="225" t="n">
        <v>46067</v>
      </c>
      <c r="D33" s="108" t="inlineStr">
        <is>
          <t>Gider</t>
        </is>
      </c>
      <c r="E33" s="109" t="inlineStr">
        <is>
          <t>Temsil / Ağırlama</t>
        </is>
      </c>
      <c r="F33" s="109" t="inlineStr">
        <is>
          <t xml:space="preserve">Yemek Ömer Ali </t>
        </is>
      </c>
      <c r="G33" s="226" t="n">
        <v>930</v>
      </c>
      <c r="H33" s="108" t="inlineStr">
        <is>
          <t>Merkez Kasa</t>
        </is>
      </c>
      <c r="I33" s="108" t="inlineStr">
        <is>
          <t>Evet</t>
        </is>
      </c>
      <c r="J33" s="109" t="n"/>
      <c r="K33" s="109" t="n"/>
      <c r="L33" s="121">
        <f>IF($C33="","",IF($D33="Gider",$E33,$H33))</f>
        <v/>
      </c>
      <c r="M33" s="121">
        <f>IF($C33="","",IF($D33="Gider",$H33,$E33))</f>
        <v/>
      </c>
      <c r="N33" s="231">
        <f>IF($C33="","",DATE(YEAR($C33),MONTH($C33),1))</f>
        <v/>
      </c>
      <c r="O33" s="113">
        <f>IF($C33="","",IF(AND($D33&lt;&gt;"",$E33&lt;&gt;"",$G33&gt;0,$H33&lt;&gt;"",$I33&lt;&gt;""),IF($C33&gt;TODAY(),"İLERİ TARİH","UYGUN"),"EKSİK"))</f>
        <v/>
      </c>
      <c r="P33" s="6" t="n"/>
      <c r="Q33" s="6" t="n"/>
      <c r="R33" s="231">
        <f>AY_SONU!$B33</f>
        <v/>
      </c>
      <c r="S33" s="121">
        <f>"Müşteri Carisi  (MÜŞTERİ 360)"</f>
        <v/>
      </c>
      <c r="T33" s="121">
        <f>"600 Muhasebe Hizmet Geliri  (sözleşme)"</f>
        <v/>
      </c>
      <c r="U33" s="227">
        <f>AY_SONU!$C33</f>
        <v/>
      </c>
      <c r="V33" s="227">
        <f>AY_SONU!$D33</f>
        <v/>
      </c>
      <c r="W33" s="227">
        <f>AY_SONU!$C33-AY_SONU!$D33</f>
        <v/>
      </c>
    </row>
    <row r="34">
      <c r="A34" s="6" t="n"/>
      <c r="B34" s="113">
        <f>IF($C34="","","GG"&amp;TEXT(ROW()-6,"00000"))</f>
        <v/>
      </c>
      <c r="C34" s="225" t="n">
        <v>46067</v>
      </c>
      <c r="D34" s="108" t="inlineStr">
        <is>
          <t>Gider</t>
        </is>
      </c>
      <c r="E34" s="109" t="inlineStr">
        <is>
          <t>Ulaşım</t>
        </is>
      </c>
      <c r="F34" s="109" t="inlineStr">
        <is>
          <t xml:space="preserve">Taksi </t>
        </is>
      </c>
      <c r="G34" s="226" t="n">
        <v>800</v>
      </c>
      <c r="H34" s="108" t="inlineStr">
        <is>
          <t>Merkez Kasa</t>
        </is>
      </c>
      <c r="I34" s="108" t="inlineStr">
        <is>
          <t>Evet</t>
        </is>
      </c>
      <c r="J34" s="109" t="n"/>
      <c r="K34" s="109" t="n"/>
      <c r="L34" s="121">
        <f>IF($C34="","",IF($D34="Gider",$E34,$H34))</f>
        <v/>
      </c>
      <c r="M34" s="121">
        <f>IF($C34="","",IF($D34="Gider",$H34,$E34))</f>
        <v/>
      </c>
      <c r="N34" s="231">
        <f>IF($C34="","",DATE(YEAR($C34),MONTH($C34),1))</f>
        <v/>
      </c>
      <c r="O34" s="113">
        <f>IF($C34="","",IF(AND($D34&lt;&gt;"",$E34&lt;&gt;"",$G34&gt;0,$H34&lt;&gt;"",$I34&lt;&gt;""),IF($C34&gt;TODAY(),"İLERİ TARİH","UYGUN"),"EKSİK"))</f>
        <v/>
      </c>
      <c r="P34" s="6" t="n"/>
      <c r="Q34" s="6" t="n"/>
      <c r="R34" s="231">
        <f>AY_SONU!$B34</f>
        <v/>
      </c>
      <c r="S34" s="121">
        <f>"Müşteri Carisi  (MÜŞTERİ 360)"</f>
        <v/>
      </c>
      <c r="T34" s="121">
        <f>"600 Muhasebe Hizmet Geliri  (sözleşme)"</f>
        <v/>
      </c>
      <c r="U34" s="227">
        <f>AY_SONU!$C34</f>
        <v/>
      </c>
      <c r="V34" s="227">
        <f>AY_SONU!$D34</f>
        <v/>
      </c>
      <c r="W34" s="227">
        <f>AY_SONU!$C34-AY_SONU!$D34</f>
        <v/>
      </c>
    </row>
    <row r="35">
      <c r="A35" s="6" t="n"/>
      <c r="B35" s="113">
        <f>IF($C35="","","GG"&amp;TEXT(ROW()-6,"00000"))</f>
        <v/>
      </c>
      <c r="C35" s="225" t="n">
        <v>46069</v>
      </c>
      <c r="D35" s="108" t="inlineStr">
        <is>
          <t>Gider</t>
        </is>
      </c>
      <c r="E35" s="109" t="inlineStr">
        <is>
          <t>Telefon / İnternet</t>
        </is>
      </c>
      <c r="F35" s="109" t="inlineStr">
        <is>
          <t>Ofis Whatsapp Hattı Şubat</t>
        </is>
      </c>
      <c r="G35" s="226" t="n">
        <v>800</v>
      </c>
      <c r="H35" s="108" t="inlineStr">
        <is>
          <t>Merkez Kasa</t>
        </is>
      </c>
      <c r="I35" s="108" t="inlineStr">
        <is>
          <t>Evet</t>
        </is>
      </c>
      <c r="J35" s="109" t="n"/>
      <c r="K35" s="109" t="n"/>
      <c r="L35" s="121">
        <f>IF($C35="","",IF($D35="Gider",$E35,$H35))</f>
        <v/>
      </c>
      <c r="M35" s="121">
        <f>IF($C35="","",IF($D35="Gider",$H35,$E35))</f>
        <v/>
      </c>
      <c r="N35" s="231">
        <f>IF($C35="","",DATE(YEAR($C35),MONTH($C35),1))</f>
        <v/>
      </c>
      <c r="O35" s="113">
        <f>IF($C35="","",IF(AND($D35&lt;&gt;"",$E35&lt;&gt;"",$G35&gt;0,$H35&lt;&gt;"",$I35&lt;&gt;""),IF($C35&gt;TODAY(),"İLERİ TARİH","UYGUN"),"EKSİK"))</f>
        <v/>
      </c>
      <c r="P35" s="6" t="n"/>
      <c r="Q35" s="6" t="n"/>
      <c r="R35" s="231">
        <f>AY_SONU!$B35</f>
        <v/>
      </c>
      <c r="S35" s="121">
        <f>"Müşteri Carisi  (MÜŞTERİ 360)"</f>
        <v/>
      </c>
      <c r="T35" s="121">
        <f>"600 Muhasebe Hizmet Geliri  (sözleşme)"</f>
        <v/>
      </c>
      <c r="U35" s="227">
        <f>AY_SONU!$C35</f>
        <v/>
      </c>
      <c r="V35" s="227">
        <f>AY_SONU!$D35</f>
        <v/>
      </c>
      <c r="W35" s="227">
        <f>AY_SONU!$C35-AY_SONU!$D35</f>
        <v/>
      </c>
    </row>
    <row r="36">
      <c r="A36" s="6" t="n"/>
      <c r="B36" s="113">
        <f>IF($C36="","","GG"&amp;TEXT(ROW()-6,"00000"))</f>
        <v/>
      </c>
      <c r="C36" s="225" t="n">
        <v>46070</v>
      </c>
      <c r="D36" s="108" t="inlineStr">
        <is>
          <t>Gider</t>
        </is>
      </c>
      <c r="E36" s="109" t="inlineStr">
        <is>
          <t>Temsil / Ağırlama</t>
        </is>
      </c>
      <c r="F36" s="109" t="inlineStr">
        <is>
          <t>2 Adet Mutfak Tüpü</t>
        </is>
      </c>
      <c r="G36" s="226" t="n">
        <v>2400</v>
      </c>
      <c r="H36" s="108" t="inlineStr">
        <is>
          <t>Merkez Kasa</t>
        </is>
      </c>
      <c r="I36" s="108" t="inlineStr">
        <is>
          <t>Evet</t>
        </is>
      </c>
      <c r="J36" s="109" t="n"/>
      <c r="K36" s="109" t="n"/>
      <c r="L36" s="121">
        <f>IF($C36="","",IF($D36="Gider",$E36,$H36))</f>
        <v/>
      </c>
      <c r="M36" s="121">
        <f>IF($C36="","",IF($D36="Gider",$H36,$E36))</f>
        <v/>
      </c>
      <c r="N36" s="231">
        <f>IF($C36="","",DATE(YEAR($C36),MONTH($C36),1))</f>
        <v/>
      </c>
      <c r="O36" s="113">
        <f>IF($C36="","",IF(AND($D36&lt;&gt;"",$E36&lt;&gt;"",$G36&gt;0,$H36&lt;&gt;"",$I36&lt;&gt;""),IF($C36&gt;TODAY(),"İLERİ TARİH","UYGUN"),"EKSİK"))</f>
        <v/>
      </c>
      <c r="P36" s="6" t="n"/>
      <c r="Q36" s="6" t="n"/>
      <c r="R36" s="231">
        <f>AY_SONU!$B36</f>
        <v/>
      </c>
      <c r="S36" s="121">
        <f>"Müşteri Carisi  (MÜŞTERİ 360)"</f>
        <v/>
      </c>
      <c r="T36" s="121">
        <f>"600 Muhasebe Hizmet Geliri  (sözleşme)"</f>
        <v/>
      </c>
      <c r="U36" s="227">
        <f>AY_SONU!$C36</f>
        <v/>
      </c>
      <c r="V36" s="227">
        <f>AY_SONU!$D36</f>
        <v/>
      </c>
      <c r="W36" s="227">
        <f>AY_SONU!$C36-AY_SONU!$D36</f>
        <v/>
      </c>
    </row>
    <row r="37">
      <c r="A37" s="6" t="n"/>
      <c r="B37" s="113">
        <f>IF($C37="","","GG"&amp;TEXT(ROW()-6,"00000"))</f>
        <v/>
      </c>
      <c r="C37" s="225" t="n">
        <v>46071</v>
      </c>
      <c r="D37" s="108" t="inlineStr">
        <is>
          <t>Gider</t>
        </is>
      </c>
      <c r="E37" s="109" t="inlineStr">
        <is>
          <t>Personel</t>
        </is>
      </c>
      <c r="F37" s="109" t="inlineStr">
        <is>
          <t>Zeynep Hanım Ramazan Primi</t>
        </is>
      </c>
      <c r="G37" s="226" t="n">
        <v>5000</v>
      </c>
      <c r="H37" s="108" t="inlineStr">
        <is>
          <t>Merkez Kasa</t>
        </is>
      </c>
      <c r="I37" s="108" t="inlineStr">
        <is>
          <t>Evet</t>
        </is>
      </c>
      <c r="J37" s="109" t="n"/>
      <c r="K37" s="109" t="n"/>
      <c r="L37" s="121">
        <f>IF($C37="","",IF($D37="Gider",$E37,$H37))</f>
        <v/>
      </c>
      <c r="M37" s="121">
        <f>IF($C37="","",IF($D37="Gider",$H37,$E37))</f>
        <v/>
      </c>
      <c r="N37" s="231">
        <f>IF($C37="","",DATE(YEAR($C37),MONTH($C37),1))</f>
        <v/>
      </c>
      <c r="O37" s="113">
        <f>IF($C37="","",IF(AND($D37&lt;&gt;"",$E37&lt;&gt;"",$G37&gt;0,$H37&lt;&gt;"",$I37&lt;&gt;""),IF($C37&gt;TODAY(),"İLERİ TARİH","UYGUN"),"EKSİK"))</f>
        <v/>
      </c>
      <c r="P37" s="6" t="n"/>
      <c r="Q37" s="6" t="n"/>
      <c r="R37" s="231">
        <f>AY_SONU!$B37</f>
        <v/>
      </c>
      <c r="S37" s="121">
        <f>"Müşteri Carisi  (MÜŞTERİ 360)"</f>
        <v/>
      </c>
      <c r="T37" s="121">
        <f>"600 Muhasebe Hizmet Geliri  (sözleşme)"</f>
        <v/>
      </c>
      <c r="U37" s="227">
        <f>AY_SONU!$C37</f>
        <v/>
      </c>
      <c r="V37" s="227">
        <f>AY_SONU!$D37</f>
        <v/>
      </c>
      <c r="W37" s="227">
        <f>AY_SONU!$C37-AY_SONU!$D37</f>
        <v/>
      </c>
    </row>
    <row r="38">
      <c r="A38" s="6" t="n"/>
      <c r="B38" s="113">
        <f>IF($C38="","","GG"&amp;TEXT(ROW()-6,"00000"))</f>
        <v/>
      </c>
      <c r="C38" s="225" t="n">
        <v>46072</v>
      </c>
      <c r="D38" s="108" t="inlineStr">
        <is>
          <t>Gider</t>
        </is>
      </c>
      <c r="E38" s="109" t="inlineStr">
        <is>
          <t>Vergi / Harç</t>
        </is>
      </c>
      <c r="F38" s="109" t="inlineStr">
        <is>
          <t>Aralık KDV Ödemesi</t>
        </is>
      </c>
      <c r="G38" s="226" t="n">
        <v>136439.58</v>
      </c>
      <c r="H38" s="108" t="inlineStr">
        <is>
          <t>Merkez Kasa</t>
        </is>
      </c>
      <c r="I38" s="108" t="inlineStr">
        <is>
          <t>Evet</t>
        </is>
      </c>
      <c r="J38" s="109" t="n"/>
      <c r="K38" s="109" t="n"/>
      <c r="L38" s="121">
        <f>IF($C38="","",IF($D38="Gider",$E38,$H38))</f>
        <v/>
      </c>
      <c r="M38" s="121">
        <f>IF($C38="","",IF($D38="Gider",$H38,$E38))</f>
        <v/>
      </c>
      <c r="N38" s="231">
        <f>IF($C38="","",DATE(YEAR($C38),MONTH($C38),1))</f>
        <v/>
      </c>
      <c r="O38" s="113">
        <f>IF($C38="","",IF(AND($D38&lt;&gt;"",$E38&lt;&gt;"",$G38&gt;0,$H38&lt;&gt;"",$I38&lt;&gt;""),IF($C38&gt;TODAY(),"İLERİ TARİH","UYGUN"),"EKSİK"))</f>
        <v/>
      </c>
      <c r="P38" s="6" t="n"/>
      <c r="Q38" s="6" t="n"/>
      <c r="R38" s="231">
        <f>AY_SONU!$B38</f>
        <v/>
      </c>
      <c r="S38" s="121">
        <f>"Müşteri Carisi  (MÜŞTERİ 360)"</f>
        <v/>
      </c>
      <c r="T38" s="121">
        <f>"600 Muhasebe Hizmet Geliri  (sözleşme)"</f>
        <v/>
      </c>
      <c r="U38" s="227">
        <f>AY_SONU!$C38</f>
        <v/>
      </c>
      <c r="V38" s="227">
        <f>AY_SONU!$D38</f>
        <v/>
      </c>
      <c r="W38" s="227">
        <f>AY_SONU!$C38-AY_SONU!$D38</f>
        <v/>
      </c>
    </row>
    <row r="39">
      <c r="A39" s="6" t="n"/>
      <c r="B39" s="113">
        <f>IF($C39="","","GG"&amp;TEXT(ROW()-6,"00000"))</f>
        <v/>
      </c>
      <c r="C39" s="225" t="n">
        <v>46072</v>
      </c>
      <c r="D39" s="108" t="inlineStr">
        <is>
          <t>Gider</t>
        </is>
      </c>
      <c r="E39" s="109" t="inlineStr">
        <is>
          <t>Vergi / Harç</t>
        </is>
      </c>
      <c r="F39" s="109" t="inlineStr">
        <is>
          <t>Geçici Vergi Damga Ödeme</t>
        </is>
      </c>
      <c r="G39" s="226" t="n">
        <v>1088.15</v>
      </c>
      <c r="H39" s="108" t="inlineStr">
        <is>
          <t>Merkez Kasa</t>
        </is>
      </c>
      <c r="I39" s="108" t="inlineStr">
        <is>
          <t>Evet</t>
        </is>
      </c>
      <c r="J39" s="109" t="n"/>
      <c r="K39" s="109" t="n"/>
      <c r="L39" s="121">
        <f>IF($C39="","",IF($D39="Gider",$E39,$H39))</f>
        <v/>
      </c>
      <c r="M39" s="121">
        <f>IF($C39="","",IF($D39="Gider",$H39,$E39))</f>
        <v/>
      </c>
      <c r="N39" s="231">
        <f>IF($C39="","",DATE(YEAR($C39),MONTH($C39),1))</f>
        <v/>
      </c>
      <c r="O39" s="113">
        <f>IF($C39="","",IF(AND($D39&lt;&gt;"",$E39&lt;&gt;"",$G39&gt;0,$H39&lt;&gt;"",$I39&lt;&gt;""),IF($C39&gt;TODAY(),"İLERİ TARİH","UYGUN"),"EKSİK"))</f>
        <v/>
      </c>
      <c r="P39" s="6" t="n"/>
      <c r="Q39" s="6" t="n"/>
      <c r="R39" s="231">
        <f>AY_SONU!$B39</f>
        <v/>
      </c>
      <c r="S39" s="121">
        <f>"Müşteri Carisi  (MÜŞTERİ 360)"</f>
        <v/>
      </c>
      <c r="T39" s="121">
        <f>"600 Muhasebe Hizmet Geliri  (sözleşme)"</f>
        <v/>
      </c>
      <c r="U39" s="227">
        <f>AY_SONU!$C39</f>
        <v/>
      </c>
      <c r="V39" s="227">
        <f>AY_SONU!$D39</f>
        <v/>
      </c>
      <c r="W39" s="227">
        <f>AY_SONU!$C39-AY_SONU!$D39</f>
        <v/>
      </c>
    </row>
    <row r="40">
      <c r="A40" s="6" t="n"/>
      <c r="B40" s="113">
        <f>IF($C40="","","GG"&amp;TEXT(ROW()-6,"00000"))</f>
        <v/>
      </c>
      <c r="C40" s="225" t="n">
        <v>46081</v>
      </c>
      <c r="D40" s="108" t="inlineStr">
        <is>
          <t>Gider</t>
        </is>
      </c>
      <c r="E40" s="109" t="inlineStr">
        <is>
          <t>Vergi / Harç</t>
        </is>
      </c>
      <c r="F40" s="109" t="inlineStr">
        <is>
          <t>Şubat Bağkur Ödemesi</t>
        </is>
      </c>
      <c r="G40" s="226" t="n">
        <v>11810</v>
      </c>
      <c r="H40" s="108" t="inlineStr">
        <is>
          <t>Merkez Kasa</t>
        </is>
      </c>
      <c r="I40" s="108" t="inlineStr">
        <is>
          <t>Evet</t>
        </is>
      </c>
      <c r="J40" s="109" t="n"/>
      <c r="K40" s="109" t="n"/>
      <c r="L40" s="121">
        <f>IF($C40="","",IF($D40="Gider",$E40,$H40))</f>
        <v/>
      </c>
      <c r="M40" s="121">
        <f>IF($C40="","",IF($D40="Gider",$H40,$E40))</f>
        <v/>
      </c>
      <c r="N40" s="231">
        <f>IF($C40="","",DATE(YEAR($C40),MONTH($C40),1))</f>
        <v/>
      </c>
      <c r="O40" s="113">
        <f>IF($C40="","",IF(AND($D40&lt;&gt;"",$E40&lt;&gt;"",$G40&gt;0,$H40&lt;&gt;"",$I40&lt;&gt;""),IF($C40&gt;TODAY(),"İLERİ TARİH","UYGUN"),"EKSİK"))</f>
        <v/>
      </c>
      <c r="P40" s="6" t="n"/>
      <c r="Q40" s="6" t="n"/>
      <c r="R40" s="231">
        <f>AY_SONU!$B40</f>
        <v/>
      </c>
      <c r="S40" s="121">
        <f>"Müşteri Carisi  (MÜŞTERİ 360)"</f>
        <v/>
      </c>
      <c r="T40" s="121">
        <f>"600 Muhasebe Hizmet Geliri  (sözleşme)"</f>
        <v/>
      </c>
      <c r="U40" s="227">
        <f>AY_SONU!$C40</f>
        <v/>
      </c>
      <c r="V40" s="227">
        <f>AY_SONU!$D40</f>
        <v/>
      </c>
      <c r="W40" s="227">
        <f>AY_SONU!$C40-AY_SONU!$D40</f>
        <v/>
      </c>
    </row>
    <row r="41">
      <c r="A41" s="6" t="n"/>
      <c r="B41" s="113">
        <f>IF($C41="","","GG"&amp;TEXT(ROW()-6,"00000"))</f>
        <v/>
      </c>
      <c r="C41" s="225" t="n">
        <v>46083</v>
      </c>
      <c r="D41" s="108" t="inlineStr">
        <is>
          <t>Gider</t>
        </is>
      </c>
      <c r="E41" s="109" t="inlineStr">
        <is>
          <t>Personel</t>
        </is>
      </c>
      <c r="F41" s="109" t="inlineStr">
        <is>
          <t>Zeynep Hanım Maaş Mahsuben</t>
        </is>
      </c>
      <c r="G41" s="226" t="n">
        <v>10000</v>
      </c>
      <c r="H41" s="108" t="inlineStr">
        <is>
          <t>Merkez Kasa</t>
        </is>
      </c>
      <c r="I41" s="108" t="inlineStr">
        <is>
          <t>Evet</t>
        </is>
      </c>
      <c r="J41" s="109" t="n"/>
      <c r="K41" s="109" t="n"/>
      <c r="L41" s="121">
        <f>IF($C41="","",IF($D41="Gider",$E41,$H41))</f>
        <v/>
      </c>
      <c r="M41" s="121">
        <f>IF($C41="","",IF($D41="Gider",$H41,$E41))</f>
        <v/>
      </c>
      <c r="N41" s="231">
        <f>IF($C41="","",DATE(YEAR($C41),MONTH($C41),1))</f>
        <v/>
      </c>
      <c r="O41" s="113">
        <f>IF($C41="","",IF(AND($D41&lt;&gt;"",$E41&lt;&gt;"",$G41&gt;0,$H41&lt;&gt;"",$I41&lt;&gt;""),IF($C41&gt;TODAY(),"İLERİ TARİH","UYGUN"),"EKSİK"))</f>
        <v/>
      </c>
      <c r="P41" s="6" t="n"/>
      <c r="Q41" s="6" t="n"/>
      <c r="R41" s="231">
        <f>AY_SONU!$B41</f>
        <v/>
      </c>
      <c r="S41" s="121">
        <f>"Müşteri Carisi  (MÜŞTERİ 360)"</f>
        <v/>
      </c>
      <c r="T41" s="121">
        <f>"600 Muhasebe Hizmet Geliri  (sözleşme)"</f>
        <v/>
      </c>
      <c r="U41" s="227">
        <f>AY_SONU!$C41</f>
        <v/>
      </c>
      <c r="V41" s="227">
        <f>AY_SONU!$D41</f>
        <v/>
      </c>
      <c r="W41" s="227">
        <f>AY_SONU!$C41-AY_SONU!$D41</f>
        <v/>
      </c>
    </row>
    <row r="42">
      <c r="A42" s="6" t="n"/>
      <c r="B42" s="113">
        <f>IF($C42="","","GG"&amp;TEXT(ROW()-6,"00000"))</f>
        <v/>
      </c>
      <c r="C42" s="225" t="n">
        <v>46083</v>
      </c>
      <c r="D42" s="108" t="inlineStr">
        <is>
          <t>Gider</t>
        </is>
      </c>
      <c r="E42" s="109" t="inlineStr">
        <is>
          <t>Temsil / Ağırlama</t>
        </is>
      </c>
      <c r="F42" s="109" t="inlineStr">
        <is>
          <t>Mutfak Gereci</t>
        </is>
      </c>
      <c r="G42" s="226" t="n">
        <v>1500</v>
      </c>
      <c r="H42" s="108" t="inlineStr">
        <is>
          <t>Merkez Kasa</t>
        </is>
      </c>
      <c r="I42" s="108" t="inlineStr">
        <is>
          <t>Evet</t>
        </is>
      </c>
      <c r="J42" s="109" t="n"/>
      <c r="K42" s="109" t="n"/>
      <c r="L42" s="121">
        <f>IF($C42="","",IF($D42="Gider",$E42,$H42))</f>
        <v/>
      </c>
      <c r="M42" s="121">
        <f>IF($C42="","",IF($D42="Gider",$H42,$E42))</f>
        <v/>
      </c>
      <c r="N42" s="231">
        <f>IF($C42="","",DATE(YEAR($C42),MONTH($C42),1))</f>
        <v/>
      </c>
      <c r="O42" s="113">
        <f>IF($C42="","",IF(AND($D42&lt;&gt;"",$E42&lt;&gt;"",$G42&gt;0,$H42&lt;&gt;"",$I42&lt;&gt;""),IF($C42&gt;TODAY(),"İLERİ TARİH","UYGUN"),"EKSİK"))</f>
        <v/>
      </c>
      <c r="P42" s="6" t="n"/>
      <c r="Q42" s="6" t="n"/>
      <c r="R42" s="231">
        <f>AY_SONU!$B42</f>
        <v/>
      </c>
      <c r="S42" s="121">
        <f>"Müşteri Carisi  (MÜŞTERİ 360)"</f>
        <v/>
      </c>
      <c r="T42" s="121">
        <f>"600 Muhasebe Hizmet Geliri  (sözleşme)"</f>
        <v/>
      </c>
      <c r="U42" s="227">
        <f>AY_SONU!$C42</f>
        <v/>
      </c>
      <c r="V42" s="227">
        <f>AY_SONU!$D42</f>
        <v/>
      </c>
      <c r="W42" s="227">
        <f>AY_SONU!$C42-AY_SONU!$D42</f>
        <v/>
      </c>
    </row>
    <row r="43">
      <c r="A43" s="6" t="n"/>
      <c r="B43" s="113">
        <f>IF($C43="","","GG"&amp;TEXT(ROW()-6,"00000"))</f>
        <v/>
      </c>
      <c r="C43" s="225" t="n">
        <v>46083</v>
      </c>
      <c r="D43" s="108" t="inlineStr">
        <is>
          <t>Gider</t>
        </is>
      </c>
      <c r="E43" s="109" t="inlineStr">
        <is>
          <t>Kırtasiye</t>
        </is>
      </c>
      <c r="F43" s="109" t="inlineStr">
        <is>
          <t>Kırtasiye</t>
        </is>
      </c>
      <c r="G43" s="226" t="n">
        <v>100</v>
      </c>
      <c r="H43" s="108" t="inlineStr">
        <is>
          <t>Merkez Kasa</t>
        </is>
      </c>
      <c r="I43" s="108" t="inlineStr">
        <is>
          <t>Evet</t>
        </is>
      </c>
      <c r="J43" s="109" t="n"/>
      <c r="K43" s="109" t="n"/>
      <c r="L43" s="121">
        <f>IF($C43="","",IF($D43="Gider",$E43,$H43))</f>
        <v/>
      </c>
      <c r="M43" s="121">
        <f>IF($C43="","",IF($D43="Gider",$H43,$E43))</f>
        <v/>
      </c>
      <c r="N43" s="231">
        <f>IF($C43="","",DATE(YEAR($C43),MONTH($C43),1))</f>
        <v/>
      </c>
      <c r="O43" s="113">
        <f>IF($C43="","",IF(AND($D43&lt;&gt;"",$E43&lt;&gt;"",$G43&gt;0,$H43&lt;&gt;"",$I43&lt;&gt;""),IF($C43&gt;TODAY(),"İLERİ TARİH","UYGUN"),"EKSİK"))</f>
        <v/>
      </c>
      <c r="P43" s="6" t="n"/>
      <c r="Q43" s="6" t="n"/>
      <c r="R43" s="3" t="n"/>
      <c r="S43" s="3" t="n"/>
      <c r="T43" s="3" t="n"/>
      <c r="U43" s="3" t="n"/>
      <c r="V43" s="3" t="n"/>
      <c r="W43" s="3" t="n"/>
    </row>
    <row r="44">
      <c r="A44" s="6" t="n"/>
      <c r="B44" s="113">
        <f>IF($C44="","","GG"&amp;TEXT(ROW()-6,"00000"))</f>
        <v/>
      </c>
      <c r="C44" s="225" t="n">
        <v>46083</v>
      </c>
      <c r="D44" s="108" t="inlineStr">
        <is>
          <t>Gider</t>
        </is>
      </c>
      <c r="E44" s="109" t="inlineStr">
        <is>
          <t>Temsil / Ağırlama</t>
        </is>
      </c>
      <c r="F44" s="109" t="inlineStr">
        <is>
          <t xml:space="preserve">Gıda Alışverişi </t>
        </is>
      </c>
      <c r="G44" s="226" t="n">
        <v>860</v>
      </c>
      <c r="H44" s="108" t="inlineStr">
        <is>
          <t>Merkez Kasa</t>
        </is>
      </c>
      <c r="I44" s="108" t="inlineStr">
        <is>
          <t>Evet</t>
        </is>
      </c>
      <c r="J44" s="109" t="n"/>
      <c r="K44" s="109" t="n"/>
      <c r="L44" s="121">
        <f>IF($C44="","",IF($D44="Gider",$E44,$H44))</f>
        <v/>
      </c>
      <c r="M44" s="121">
        <f>IF($C44="","",IF($D44="Gider",$H44,$E44))</f>
        <v/>
      </c>
      <c r="N44" s="231">
        <f>IF($C44="","",DATE(YEAR($C44),MONTH($C44),1))</f>
        <v/>
      </c>
      <c r="O44" s="113">
        <f>IF($C44="","",IF(AND($D44&lt;&gt;"",$E44&lt;&gt;"",$G44&gt;0,$H44&lt;&gt;"",$I44&lt;&gt;""),IF($C44&gt;TODAY(),"İLERİ TARİH","UYGUN"),"EKSİK"))</f>
        <v/>
      </c>
      <c r="P44" s="6" t="n"/>
      <c r="Q44" s="6" t="n"/>
      <c r="R44" s="3" t="n"/>
      <c r="S44" s="3" t="n"/>
      <c r="T44" s="3" t="n"/>
      <c r="U44" s="3" t="n"/>
      <c r="V44" s="3" t="n"/>
      <c r="W44" s="3" t="n"/>
    </row>
    <row r="45">
      <c r="A45" s="6" t="n"/>
      <c r="B45" s="113">
        <f>IF($C45="","","GG"&amp;TEXT(ROW()-6,"00000"))</f>
        <v/>
      </c>
      <c r="C45" s="225" t="n">
        <v>46083</v>
      </c>
      <c r="D45" s="108" t="inlineStr">
        <is>
          <t>Gider</t>
        </is>
      </c>
      <c r="E45" s="109" t="inlineStr">
        <is>
          <t>Temsil / Ağırlama</t>
        </is>
      </c>
      <c r="F45" s="109" t="inlineStr">
        <is>
          <t>Çay</t>
        </is>
      </c>
      <c r="G45" s="226" t="n">
        <v>380</v>
      </c>
      <c r="H45" s="108" t="inlineStr">
        <is>
          <t>Merkez Kasa</t>
        </is>
      </c>
      <c r="I45" s="108" t="inlineStr">
        <is>
          <t>Evet</t>
        </is>
      </c>
      <c r="J45" s="109" t="n"/>
      <c r="K45" s="109" t="n"/>
      <c r="L45" s="121">
        <f>IF($C45="","",IF($D45="Gider",$E45,$H45))</f>
        <v/>
      </c>
      <c r="M45" s="121">
        <f>IF($C45="","",IF($D45="Gider",$H45,$E45))</f>
        <v/>
      </c>
      <c r="N45" s="231">
        <f>IF($C45="","",DATE(YEAR($C45),MONTH($C45),1))</f>
        <v/>
      </c>
      <c r="O45" s="113">
        <f>IF($C45="","",IF(AND($D45&lt;&gt;"",$E45&lt;&gt;"",$G45&gt;0,$H45&lt;&gt;"",$I45&lt;&gt;""),IF($C45&gt;TODAY(),"İLERİ TARİH","UYGUN"),"EKSİK"))</f>
        <v/>
      </c>
      <c r="P45" s="6" t="n"/>
      <c r="Q45" s="6" t="n"/>
      <c r="R45" s="3" t="n"/>
      <c r="S45" s="3" t="n"/>
      <c r="T45" s="3" t="n"/>
      <c r="U45" s="3" t="n"/>
      <c r="V45" s="3" t="n"/>
      <c r="W45" s="3" t="n"/>
    </row>
    <row r="46">
      <c r="A46" s="6" t="n"/>
      <c r="B46" s="113">
        <f>IF($C46="","","GG"&amp;TEXT(ROW()-6,"00000"))</f>
        <v/>
      </c>
      <c r="C46" s="225" t="n">
        <v>46083</v>
      </c>
      <c r="D46" s="108" t="inlineStr">
        <is>
          <t>Gider</t>
        </is>
      </c>
      <c r="E46" s="109" t="inlineStr">
        <is>
          <t>Temsil / Ağırlama</t>
        </is>
      </c>
      <c r="F46" s="109" t="inlineStr">
        <is>
          <t xml:space="preserve">Market </t>
        </is>
      </c>
      <c r="G46" s="226" t="n">
        <v>250</v>
      </c>
      <c r="H46" s="108" t="inlineStr">
        <is>
          <t>Merkez Kasa</t>
        </is>
      </c>
      <c r="I46" s="108" t="inlineStr">
        <is>
          <t>Evet</t>
        </is>
      </c>
      <c r="J46" s="109" t="n"/>
      <c r="K46" s="109" t="n"/>
      <c r="L46" s="121">
        <f>IF($C46="","",IF($D46="Gider",$E46,$H46))</f>
        <v/>
      </c>
      <c r="M46" s="121">
        <f>IF($C46="","",IF($D46="Gider",$H46,$E46))</f>
        <v/>
      </c>
      <c r="N46" s="231">
        <f>IF($C46="","",DATE(YEAR($C46),MONTH($C46),1))</f>
        <v/>
      </c>
      <c r="O46" s="113">
        <f>IF($C46="","",IF(AND($D46&lt;&gt;"",$E46&lt;&gt;"",$G46&gt;0,$H46&lt;&gt;"",$I46&lt;&gt;""),IF($C46&gt;TODAY(),"İLERİ TARİH","UYGUN"),"EKSİK"))</f>
        <v/>
      </c>
      <c r="P46" s="6" t="n"/>
      <c r="Q46" s="6" t="n"/>
      <c r="R46" s="3" t="n"/>
      <c r="S46" s="3" t="n"/>
      <c r="T46" s="3" t="n"/>
      <c r="U46" s="3" t="n"/>
      <c r="V46" s="3" t="n"/>
      <c r="W46" s="3" t="n"/>
    </row>
    <row r="47">
      <c r="A47" s="6" t="n"/>
      <c r="B47" s="113">
        <f>IF($C47="","","GG"&amp;TEXT(ROW()-6,"00000"))</f>
        <v/>
      </c>
      <c r="C47" s="225" t="n">
        <v>46083</v>
      </c>
      <c r="D47" s="108" t="inlineStr">
        <is>
          <t>Gider</t>
        </is>
      </c>
      <c r="E47" s="109" t="inlineStr">
        <is>
          <t>Telefon / İnternet</t>
        </is>
      </c>
      <c r="F47" s="109" t="inlineStr">
        <is>
          <t>Ofis İnternet</t>
        </is>
      </c>
      <c r="G47" s="226" t="n">
        <v>610</v>
      </c>
      <c r="H47" s="108" t="inlineStr">
        <is>
          <t>Merkez Kasa</t>
        </is>
      </c>
      <c r="I47" s="108" t="inlineStr">
        <is>
          <t>Evet</t>
        </is>
      </c>
      <c r="J47" s="109" t="n"/>
      <c r="K47" s="109" t="n"/>
      <c r="L47" s="121">
        <f>IF($C47="","",IF($D47="Gider",$E47,$H47))</f>
        <v/>
      </c>
      <c r="M47" s="121">
        <f>IF($C47="","",IF($D47="Gider",$H47,$E47))</f>
        <v/>
      </c>
      <c r="N47" s="231">
        <f>IF($C47="","",DATE(YEAR($C47),MONTH($C47),1))</f>
        <v/>
      </c>
      <c r="O47" s="113">
        <f>IF($C47="","",IF(AND($D47&lt;&gt;"",$E47&lt;&gt;"",$G47&gt;0,$H47&lt;&gt;"",$I47&lt;&gt;""),IF($C47&gt;TODAY(),"İLERİ TARİH","UYGUN"),"EKSİK"))</f>
        <v/>
      </c>
      <c r="P47" s="6" t="n"/>
      <c r="Q47" s="6" t="n"/>
      <c r="R47" s="3" t="n"/>
      <c r="S47" s="3" t="n"/>
      <c r="T47" s="3" t="n"/>
      <c r="U47" s="3" t="n"/>
      <c r="V47" s="3" t="n"/>
      <c r="W47" s="3" t="n"/>
    </row>
    <row r="48">
      <c r="A48" s="6" t="n"/>
      <c r="B48" s="113">
        <f>IF($C48="","","GG"&amp;TEXT(ROW()-6,"00000"))</f>
        <v/>
      </c>
      <c r="C48" s="225" t="n">
        <v>46088</v>
      </c>
      <c r="D48" s="108" t="inlineStr">
        <is>
          <t>Gider</t>
        </is>
      </c>
      <c r="E48" s="109" t="inlineStr">
        <is>
          <t>Ulaşım</t>
        </is>
      </c>
      <c r="F48" s="109" t="inlineStr">
        <is>
          <t>Araç Yakıt Alımı</t>
        </is>
      </c>
      <c r="G48" s="226" t="n">
        <v>2000</v>
      </c>
      <c r="H48" s="108" t="inlineStr">
        <is>
          <t>Merkez Kasa</t>
        </is>
      </c>
      <c r="I48" s="108" t="inlineStr">
        <is>
          <t>Evet</t>
        </is>
      </c>
      <c r="J48" s="109" t="n"/>
      <c r="K48" s="109" t="n"/>
      <c r="L48" s="121">
        <f>IF($C48="","",IF($D48="Gider",$E48,$H48))</f>
        <v/>
      </c>
      <c r="M48" s="121">
        <f>IF($C48="","",IF($D48="Gider",$H48,$E48))</f>
        <v/>
      </c>
      <c r="N48" s="231">
        <f>IF($C48="","",DATE(YEAR($C48),MONTH($C48),1))</f>
        <v/>
      </c>
      <c r="O48" s="113">
        <f>IF($C48="","",IF(AND($D48&lt;&gt;"",$E48&lt;&gt;"",$G48&gt;0,$H48&lt;&gt;"",$I48&lt;&gt;""),IF($C48&gt;TODAY(),"İLERİ TARİH","UYGUN"),"EKSİK"))</f>
        <v/>
      </c>
      <c r="P48" s="6" t="n"/>
      <c r="Q48" s="6" t="n"/>
      <c r="R48" s="3" t="n"/>
      <c r="S48" s="3" t="n"/>
      <c r="T48" s="3" t="n"/>
      <c r="U48" s="3" t="n"/>
      <c r="V48" s="3" t="n"/>
      <c r="W48" s="3" t="n"/>
    </row>
    <row r="49">
      <c r="A49" s="6" t="n"/>
      <c r="B49" s="113">
        <f>IF($C49="","","GG"&amp;TEXT(ROW()-6,"00000"))</f>
        <v/>
      </c>
      <c r="C49" s="225" t="n">
        <v>46090</v>
      </c>
      <c r="D49" s="108" t="inlineStr">
        <is>
          <t>Gider</t>
        </is>
      </c>
      <c r="E49" s="109" t="inlineStr">
        <is>
          <t>Personel</t>
        </is>
      </c>
      <c r="F49" s="109" t="inlineStr">
        <is>
          <t>Zeynep Hanım Maaş Bakiye</t>
        </is>
      </c>
      <c r="G49" s="226" t="n">
        <v>5000</v>
      </c>
      <c r="H49" s="108" t="inlineStr">
        <is>
          <t>Merkez Kasa</t>
        </is>
      </c>
      <c r="I49" s="108" t="inlineStr">
        <is>
          <t>Evet</t>
        </is>
      </c>
      <c r="J49" s="109" t="n"/>
      <c r="K49" s="109" t="n"/>
      <c r="L49" s="121">
        <f>IF($C49="","",IF($D49="Gider",$E49,$H49))</f>
        <v/>
      </c>
      <c r="M49" s="121">
        <f>IF($C49="","",IF($D49="Gider",$H49,$E49))</f>
        <v/>
      </c>
      <c r="N49" s="231">
        <f>IF($C49="","",DATE(YEAR($C49),MONTH($C49),1))</f>
        <v/>
      </c>
      <c r="O49" s="113">
        <f>IF($C49="","",IF(AND($D49&lt;&gt;"",$E49&lt;&gt;"",$G49&gt;0,$H49&lt;&gt;"",$I49&lt;&gt;""),IF($C49&gt;TODAY(),"İLERİ TARİH","UYGUN"),"EKSİK"))</f>
        <v/>
      </c>
      <c r="P49" s="6" t="n"/>
      <c r="Q49" s="6" t="n"/>
      <c r="R49" s="3" t="n"/>
      <c r="S49" s="3" t="n"/>
      <c r="T49" s="3" t="n"/>
      <c r="U49" s="3" t="n"/>
      <c r="V49" s="3" t="n"/>
      <c r="W49" s="3" t="n"/>
    </row>
    <row r="50">
      <c r="A50" s="6" t="n"/>
      <c r="B50" s="113">
        <f>IF($C50="","","GG"&amp;TEXT(ROW()-6,"00000"))</f>
        <v/>
      </c>
      <c r="C50" s="225" t="n">
        <v>46090</v>
      </c>
      <c r="D50" s="108" t="inlineStr">
        <is>
          <t>Gider</t>
        </is>
      </c>
      <c r="E50" s="109" t="inlineStr">
        <is>
          <t>Ofis Kirası</t>
        </is>
      </c>
      <c r="F50" s="109" t="inlineStr">
        <is>
          <t>Mart Ayı Ofis Kirası</t>
        </is>
      </c>
      <c r="G50" s="226" t="n">
        <v>14000</v>
      </c>
      <c r="H50" s="108" t="inlineStr">
        <is>
          <t>Merkez Kasa</t>
        </is>
      </c>
      <c r="I50" s="108" t="inlineStr">
        <is>
          <t>Evet</t>
        </is>
      </c>
      <c r="J50" s="109" t="n"/>
      <c r="K50" s="109" t="n"/>
      <c r="L50" s="121">
        <f>IF($C50="","",IF($D50="Gider",$E50,$H50))</f>
        <v/>
      </c>
      <c r="M50" s="121">
        <f>IF($C50="","",IF($D50="Gider",$H50,$E50))</f>
        <v/>
      </c>
      <c r="N50" s="231">
        <f>IF($C50="","",DATE(YEAR($C50),MONTH($C50),1))</f>
        <v/>
      </c>
      <c r="O50" s="113">
        <f>IF($C50="","",IF(AND($D50&lt;&gt;"",$E50&lt;&gt;"",$G50&gt;0,$H50&lt;&gt;"",$I50&lt;&gt;""),IF($C50&gt;TODAY(),"İLERİ TARİH","UYGUN"),"EKSİK"))</f>
        <v/>
      </c>
      <c r="P50" s="6" t="n"/>
      <c r="Q50" s="6" t="n"/>
      <c r="R50" s="3" t="n"/>
      <c r="S50" s="3" t="n"/>
      <c r="T50" s="3" t="n"/>
      <c r="U50" s="3" t="n"/>
      <c r="V50" s="3" t="n"/>
      <c r="W50" s="3" t="n"/>
    </row>
    <row r="51">
      <c r="A51" s="6" t="n"/>
      <c r="B51" s="113">
        <f>IF($C51="","","GG"&amp;TEXT(ROW()-6,"00000"))</f>
        <v/>
      </c>
      <c r="C51" s="225" t="n">
        <v>46090</v>
      </c>
      <c r="D51" s="108" t="inlineStr">
        <is>
          <t>Gider</t>
        </is>
      </c>
      <c r="E51" s="109" t="inlineStr">
        <is>
          <t>Ofis Kirası</t>
        </is>
      </c>
      <c r="F51" s="109" t="inlineStr">
        <is>
          <t>Mart Ayı Aidat</t>
        </is>
      </c>
      <c r="G51" s="226" t="n">
        <v>2000</v>
      </c>
      <c r="H51" s="108" t="inlineStr">
        <is>
          <t>Merkez Kasa</t>
        </is>
      </c>
      <c r="I51" s="108" t="inlineStr">
        <is>
          <t>Evet</t>
        </is>
      </c>
      <c r="J51" s="109" t="n"/>
      <c r="K51" s="109" t="n"/>
      <c r="L51" s="121">
        <f>IF($C51="","",IF($D51="Gider",$E51,$H51))</f>
        <v/>
      </c>
      <c r="M51" s="121">
        <f>IF($C51="","",IF($D51="Gider",$H51,$E51))</f>
        <v/>
      </c>
      <c r="N51" s="231">
        <f>IF($C51="","",DATE(YEAR($C51),MONTH($C51),1))</f>
        <v/>
      </c>
      <c r="O51" s="113">
        <f>IF($C51="","",IF(AND($D51&lt;&gt;"",$E51&lt;&gt;"",$G51&gt;0,$H51&lt;&gt;"",$I51&lt;&gt;""),IF($C51&gt;TODAY(),"İLERİ TARİH","UYGUN"),"EKSİK"))</f>
        <v/>
      </c>
      <c r="P51" s="6" t="n"/>
      <c r="Q51" s="6" t="n"/>
      <c r="R51" s="3" t="n"/>
      <c r="S51" s="3" t="n"/>
      <c r="T51" s="3" t="n"/>
      <c r="U51" s="3" t="n"/>
      <c r="V51" s="3" t="n"/>
      <c r="W51" s="3" t="n"/>
    </row>
    <row r="52">
      <c r="A52" s="6" t="n"/>
      <c r="B52" s="113">
        <f>IF($C52="","","GG"&amp;TEXT(ROW()-6,"00000"))</f>
        <v/>
      </c>
      <c r="C52" s="225" t="n">
        <v>46090</v>
      </c>
      <c r="D52" s="108" t="inlineStr">
        <is>
          <t>Gider</t>
        </is>
      </c>
      <c r="E52" s="109" t="inlineStr">
        <is>
          <t>Telefon / İnternet</t>
        </is>
      </c>
      <c r="F52" s="109" t="inlineStr">
        <is>
          <t>Şubat Ayı Fatura</t>
        </is>
      </c>
      <c r="G52" s="226" t="n">
        <v>764</v>
      </c>
      <c r="H52" s="108" t="inlineStr">
        <is>
          <t>Merkez Kasa</t>
        </is>
      </c>
      <c r="I52" s="108" t="inlineStr">
        <is>
          <t>Evet</t>
        </is>
      </c>
      <c r="J52" s="109" t="n"/>
      <c r="K52" s="109" t="n"/>
      <c r="L52" s="121">
        <f>IF($C52="","",IF($D52="Gider",$E52,$H52))</f>
        <v/>
      </c>
      <c r="M52" s="121">
        <f>IF($C52="","",IF($D52="Gider",$H52,$E52))</f>
        <v/>
      </c>
      <c r="N52" s="231">
        <f>IF($C52="","",DATE(YEAR($C52),MONTH($C52),1))</f>
        <v/>
      </c>
      <c r="O52" s="113">
        <f>IF($C52="","",IF(AND($D52&lt;&gt;"",$E52&lt;&gt;"",$G52&gt;0,$H52&lt;&gt;"",$I52&lt;&gt;""),IF($C52&gt;TODAY(),"İLERİ TARİH","UYGUN"),"EKSİK"))</f>
        <v/>
      </c>
      <c r="P52" s="6" t="n"/>
      <c r="Q52" s="6" t="n"/>
      <c r="R52" s="3" t="n"/>
      <c r="S52" s="3" t="n"/>
      <c r="T52" s="3" t="n"/>
      <c r="U52" s="3" t="n"/>
      <c r="V52" s="3" t="n"/>
      <c r="W52" s="3" t="n"/>
    </row>
    <row r="53">
      <c r="A53" s="6" t="n"/>
      <c r="B53" s="113">
        <f>IF($C53="","","GG"&amp;TEXT(ROW()-6,"00000"))</f>
        <v/>
      </c>
      <c r="C53" s="225" t="n">
        <v>46090</v>
      </c>
      <c r="D53" s="108" t="inlineStr">
        <is>
          <t>Gider</t>
        </is>
      </c>
      <c r="E53" s="109" t="inlineStr">
        <is>
          <t>Demirbaş</t>
        </is>
      </c>
      <c r="F53" s="109" t="inlineStr">
        <is>
          <t>Serkan Baş Zeynep Hanım Bilgisayar Takımı Komple</t>
        </is>
      </c>
      <c r="G53" s="226" t="n">
        <v>20000</v>
      </c>
      <c r="H53" s="108" t="inlineStr">
        <is>
          <t>Merkez Kasa</t>
        </is>
      </c>
      <c r="I53" s="108" t="inlineStr">
        <is>
          <t>Evet</t>
        </is>
      </c>
      <c r="J53" s="109" t="n"/>
      <c r="K53" s="109" t="n"/>
      <c r="L53" s="121">
        <f>IF($C53="","",IF($D53="Gider",$E53,$H53))</f>
        <v/>
      </c>
      <c r="M53" s="121">
        <f>IF($C53="","",IF($D53="Gider",$H53,$E53))</f>
        <v/>
      </c>
      <c r="N53" s="231">
        <f>IF($C53="","",DATE(YEAR($C53),MONTH($C53),1))</f>
        <v/>
      </c>
      <c r="O53" s="113">
        <f>IF($C53="","",IF(AND($D53&lt;&gt;"",$E53&lt;&gt;"",$G53&gt;0,$H53&lt;&gt;"",$I53&lt;&gt;""),IF($C53&gt;TODAY(),"İLERİ TARİH","UYGUN"),"EKSİK"))</f>
        <v/>
      </c>
      <c r="P53" s="6" t="n"/>
      <c r="Q53" s="6" t="n"/>
      <c r="R53" s="3" t="n"/>
      <c r="S53" s="3" t="n"/>
      <c r="T53" s="3" t="n"/>
      <c r="U53" s="3" t="n"/>
      <c r="V53" s="3" t="n"/>
      <c r="W53" s="3" t="n"/>
    </row>
    <row r="54">
      <c r="A54" s="6" t="n"/>
      <c r="B54" s="113">
        <f>IF($C54="","","GG"&amp;TEXT(ROW()-6,"00000"))</f>
        <v/>
      </c>
      <c r="C54" s="225" t="n">
        <v>46090</v>
      </c>
      <c r="D54" s="108" t="inlineStr">
        <is>
          <t>Gider</t>
        </is>
      </c>
      <c r="E54" s="109" t="inlineStr">
        <is>
          <t>Personel</t>
        </is>
      </c>
      <c r="F54" s="109" t="inlineStr">
        <is>
          <t>Zeynep Yalıkent ve Yalı Gazino Prim</t>
        </is>
      </c>
      <c r="G54" s="226" t="n">
        <v>5000</v>
      </c>
      <c r="H54" s="108" t="inlineStr">
        <is>
          <t>Merkez Kasa</t>
        </is>
      </c>
      <c r="I54" s="108" t="inlineStr">
        <is>
          <t>Evet</t>
        </is>
      </c>
      <c r="J54" s="109" t="n"/>
      <c r="K54" s="109" t="n"/>
      <c r="L54" s="121">
        <f>IF($C54="","",IF($D54="Gider",$E54,$H54))</f>
        <v/>
      </c>
      <c r="M54" s="121">
        <f>IF($C54="","",IF($D54="Gider",$H54,$E54))</f>
        <v/>
      </c>
      <c r="N54" s="231">
        <f>IF($C54="","",DATE(YEAR($C54),MONTH($C54),1))</f>
        <v/>
      </c>
      <c r="O54" s="113">
        <f>IF($C54="","",IF(AND($D54&lt;&gt;"",$E54&lt;&gt;"",$G54&gt;0,$H54&lt;&gt;"",$I54&lt;&gt;""),IF($C54&gt;TODAY(),"İLERİ TARİH","UYGUN"),"EKSİK"))</f>
        <v/>
      </c>
      <c r="P54" s="6" t="n"/>
      <c r="Q54" s="6" t="n"/>
      <c r="R54" s="3" t="n"/>
      <c r="S54" s="3" t="n"/>
      <c r="T54" s="3" t="n"/>
      <c r="U54" s="3" t="n"/>
      <c r="V54" s="3" t="n"/>
      <c r="W54" s="3" t="n"/>
    </row>
    <row r="55">
      <c r="A55" s="6" t="n"/>
      <c r="B55" s="113">
        <f>IF($C55="","","GG"&amp;TEXT(ROW()-6,"00000"))</f>
        <v/>
      </c>
      <c r="C55" s="225" t="n">
        <v>46096</v>
      </c>
      <c r="D55" s="108" t="inlineStr">
        <is>
          <t>Gider</t>
        </is>
      </c>
      <c r="E55" s="109" t="inlineStr">
        <is>
          <t>Ulaşım</t>
        </is>
      </c>
      <c r="F55" s="109" t="inlineStr">
        <is>
          <t>Benzin</t>
        </is>
      </c>
      <c r="G55" s="226" t="n">
        <v>4000</v>
      </c>
      <c r="H55" s="108" t="inlineStr">
        <is>
          <t>Merkez Kasa</t>
        </is>
      </c>
      <c r="I55" s="108" t="inlineStr">
        <is>
          <t>Evet</t>
        </is>
      </c>
      <c r="J55" s="109" t="n"/>
      <c r="K55" s="109" t="n"/>
      <c r="L55" s="121">
        <f>IF($C55="","",IF($D55="Gider",$E55,$H55))</f>
        <v/>
      </c>
      <c r="M55" s="121">
        <f>IF($C55="","",IF($D55="Gider",$H55,$E55))</f>
        <v/>
      </c>
      <c r="N55" s="231">
        <f>IF($C55="","",DATE(YEAR($C55),MONTH($C55),1))</f>
        <v/>
      </c>
      <c r="O55" s="113">
        <f>IF($C55="","",IF(AND($D55&lt;&gt;"",$E55&lt;&gt;"",$G55&gt;0,$H55&lt;&gt;"",$I55&lt;&gt;""),IF($C55&gt;TODAY(),"İLERİ TARİH","UYGUN"),"EKSİK"))</f>
        <v/>
      </c>
      <c r="P55" s="6" t="n"/>
      <c r="Q55" s="6" t="n"/>
      <c r="R55" s="3" t="n"/>
      <c r="S55" s="3" t="n"/>
      <c r="T55" s="3" t="n"/>
      <c r="U55" s="3" t="n"/>
      <c r="V55" s="3" t="n"/>
      <c r="W55" s="3" t="n"/>
    </row>
    <row r="56">
      <c r="A56" s="6" t="n"/>
      <c r="B56" s="113">
        <f>IF($C56="","","GG"&amp;TEXT(ROW()-6,"00000"))</f>
        <v/>
      </c>
      <c r="C56" s="225" t="n">
        <v>46096</v>
      </c>
      <c r="D56" s="108" t="inlineStr">
        <is>
          <t>Gider</t>
        </is>
      </c>
      <c r="E56" s="109" t="inlineStr">
        <is>
          <t>Telefon / İnternet</t>
        </is>
      </c>
      <c r="F56" s="109" t="inlineStr">
        <is>
          <t>Ofis Whatsapp Hattı Mart</t>
        </is>
      </c>
      <c r="G56" s="226" t="n">
        <v>800</v>
      </c>
      <c r="H56" s="108" t="inlineStr">
        <is>
          <t>Merkez Kasa</t>
        </is>
      </c>
      <c r="I56" s="108" t="inlineStr">
        <is>
          <t>Evet</t>
        </is>
      </c>
      <c r="J56" s="109" t="n"/>
      <c r="K56" s="109" t="n"/>
      <c r="L56" s="121">
        <f>IF($C56="","",IF($D56="Gider",$E56,$H56))</f>
        <v/>
      </c>
      <c r="M56" s="121">
        <f>IF($C56="","",IF($D56="Gider",$H56,$E56))</f>
        <v/>
      </c>
      <c r="N56" s="231">
        <f>IF($C56="","",DATE(YEAR($C56),MONTH($C56),1))</f>
        <v/>
      </c>
      <c r="O56" s="113">
        <f>IF($C56="","",IF(AND($D56&lt;&gt;"",$E56&lt;&gt;"",$G56&gt;0,$H56&lt;&gt;"",$I56&lt;&gt;""),IF($C56&gt;TODAY(),"İLERİ TARİH","UYGUN"),"EKSİK"))</f>
        <v/>
      </c>
      <c r="P56" s="6" t="n"/>
      <c r="Q56" s="6" t="n"/>
      <c r="R56" s="3" t="n"/>
      <c r="S56" s="3" t="n"/>
      <c r="T56" s="3" t="n"/>
      <c r="U56" s="3" t="n"/>
      <c r="V56" s="3" t="n"/>
      <c r="W56" s="3" t="n"/>
    </row>
    <row r="57">
      <c r="A57" s="6" t="n"/>
      <c r="B57" s="113">
        <f>IF($C57="","","GG"&amp;TEXT(ROW()-6,"00000"))</f>
        <v/>
      </c>
      <c r="C57" s="225" t="n">
        <v>46103</v>
      </c>
      <c r="D57" s="108" t="inlineStr">
        <is>
          <t>Gider</t>
        </is>
      </c>
      <c r="E57" s="109" t="inlineStr">
        <is>
          <t>Ulaşım</t>
        </is>
      </c>
      <c r="F57" s="109" t="inlineStr">
        <is>
          <t>Akaryakıt</t>
        </is>
      </c>
      <c r="G57" s="226" t="n">
        <v>4000</v>
      </c>
      <c r="H57" s="108" t="inlineStr">
        <is>
          <t>Merkez Kasa</t>
        </is>
      </c>
      <c r="I57" s="108" t="inlineStr">
        <is>
          <t>Evet</t>
        </is>
      </c>
      <c r="J57" s="109" t="n"/>
      <c r="K57" s="109" t="n"/>
      <c r="L57" s="121">
        <f>IF($C57="","",IF($D57="Gider",$E57,$H57))</f>
        <v/>
      </c>
      <c r="M57" s="121">
        <f>IF($C57="","",IF($D57="Gider",$H57,$E57))</f>
        <v/>
      </c>
      <c r="N57" s="231">
        <f>IF($C57="","",DATE(YEAR($C57),MONTH($C57),1))</f>
        <v/>
      </c>
      <c r="O57" s="113">
        <f>IF($C57="","",IF(AND($D57&lt;&gt;"",$E57&lt;&gt;"",$G57&gt;0,$H57&lt;&gt;"",$I57&lt;&gt;""),IF($C57&gt;TODAY(),"İLERİ TARİH","UYGUN"),"EKSİK"))</f>
        <v/>
      </c>
      <c r="P57" s="6" t="n"/>
      <c r="Q57" s="6" t="n"/>
      <c r="R57" s="3" t="n"/>
      <c r="S57" s="3" t="n"/>
      <c r="T57" s="3" t="n"/>
      <c r="U57" s="3" t="n"/>
      <c r="V57" s="3" t="n"/>
      <c r="W57" s="3" t="n"/>
    </row>
    <row r="58">
      <c r="A58" s="6" t="n"/>
      <c r="B58" s="113">
        <f>IF($C58="","","GG"&amp;TEXT(ROW()-6,"00000"))</f>
        <v/>
      </c>
      <c r="C58" s="225" t="n">
        <v>46106</v>
      </c>
      <c r="D58" s="108" t="inlineStr">
        <is>
          <t>Gider</t>
        </is>
      </c>
      <c r="E58" s="109" t="inlineStr">
        <is>
          <t>Temsil / Ağırlama</t>
        </is>
      </c>
      <c r="F58" s="109" t="inlineStr">
        <is>
          <t>Kahve</t>
        </is>
      </c>
      <c r="G58" s="226" t="n">
        <v>420</v>
      </c>
      <c r="H58" s="108" t="inlineStr">
        <is>
          <t>Merkez Kasa</t>
        </is>
      </c>
      <c r="I58" s="108" t="inlineStr">
        <is>
          <t>Evet</t>
        </is>
      </c>
      <c r="J58" s="109" t="n"/>
      <c r="K58" s="109" t="n"/>
      <c r="L58" s="121">
        <f>IF($C58="","",IF($D58="Gider",$E58,$H58))</f>
        <v/>
      </c>
      <c r="M58" s="121">
        <f>IF($C58="","",IF($D58="Gider",$H58,$E58))</f>
        <v/>
      </c>
      <c r="N58" s="231">
        <f>IF($C58="","",DATE(YEAR($C58),MONTH($C58),1))</f>
        <v/>
      </c>
      <c r="O58" s="113">
        <f>IF($C58="","",IF(AND($D58&lt;&gt;"",$E58&lt;&gt;"",$G58&gt;0,$H58&lt;&gt;"",$I58&lt;&gt;""),IF($C58&gt;TODAY(),"İLERİ TARİH","UYGUN"),"EKSİK"))</f>
        <v/>
      </c>
      <c r="P58" s="6" t="n"/>
      <c r="Q58" s="6" t="n"/>
      <c r="R58" s="3" t="n"/>
      <c r="S58" s="3" t="n"/>
      <c r="T58" s="3" t="n"/>
      <c r="U58" s="3" t="n"/>
      <c r="V58" s="3" t="n"/>
      <c r="W58" s="3" t="n"/>
    </row>
    <row r="59">
      <c r="A59" s="6" t="n"/>
      <c r="B59" s="113">
        <f>IF($C59="","","GG"&amp;TEXT(ROW()-6,"00000"))</f>
        <v/>
      </c>
      <c r="C59" s="225" t="n">
        <v>46107</v>
      </c>
      <c r="D59" s="108" t="inlineStr">
        <is>
          <t>Gider</t>
        </is>
      </c>
      <c r="E59" s="109" t="inlineStr">
        <is>
          <t>Temsil / Ağırlama</t>
        </is>
      </c>
      <c r="F59" s="109" t="inlineStr">
        <is>
          <t>İçme Suyu</t>
        </is>
      </c>
      <c r="G59" s="226" t="n">
        <v>450</v>
      </c>
      <c r="H59" s="108" t="inlineStr">
        <is>
          <t>Merkez Kasa</t>
        </is>
      </c>
      <c r="I59" s="108" t="inlineStr">
        <is>
          <t>Evet</t>
        </is>
      </c>
      <c r="J59" s="109" t="n"/>
      <c r="K59" s="109" t="n"/>
      <c r="L59" s="121">
        <f>IF($C59="","",IF($D59="Gider",$E59,$H59))</f>
        <v/>
      </c>
      <c r="M59" s="121">
        <f>IF($C59="","",IF($D59="Gider",$H59,$E59))</f>
        <v/>
      </c>
      <c r="N59" s="231">
        <f>IF($C59="","",DATE(YEAR($C59),MONTH($C59),1))</f>
        <v/>
      </c>
      <c r="O59" s="113">
        <f>IF($C59="","",IF(AND($D59&lt;&gt;"",$E59&lt;&gt;"",$G59&gt;0,$H59&lt;&gt;"",$I59&lt;&gt;""),IF($C59&gt;TODAY(),"İLERİ TARİH","UYGUN"),"EKSİK"))</f>
        <v/>
      </c>
      <c r="P59" s="6" t="n"/>
      <c r="Q59" s="6" t="n"/>
      <c r="R59" s="3" t="n"/>
      <c r="S59" s="3" t="n"/>
      <c r="T59" s="3" t="n"/>
      <c r="U59" s="3" t="n"/>
      <c r="V59" s="3" t="n"/>
      <c r="W59" s="3" t="n"/>
    </row>
    <row r="60">
      <c r="A60" s="6" t="n"/>
      <c r="B60" s="113">
        <f>IF($C60="","","GG"&amp;TEXT(ROW()-6,"00000"))</f>
        <v/>
      </c>
      <c r="C60" s="225" t="n">
        <v>46111</v>
      </c>
      <c r="D60" s="108" t="inlineStr">
        <is>
          <t>Gider</t>
        </is>
      </c>
      <c r="E60" s="109" t="inlineStr">
        <is>
          <t>Personel</t>
        </is>
      </c>
      <c r="F60" s="109" t="inlineStr">
        <is>
          <t>Zeynep Mart Maaşı Ödemesi</t>
        </is>
      </c>
      <c r="G60" s="226" t="n">
        <v>45000</v>
      </c>
      <c r="H60" s="108" t="inlineStr">
        <is>
          <t>Merkez Kasa</t>
        </is>
      </c>
      <c r="I60" s="108" t="inlineStr">
        <is>
          <t>Evet</t>
        </is>
      </c>
      <c r="J60" s="109" t="n"/>
      <c r="K60" s="109" t="n"/>
      <c r="L60" s="121">
        <f>IF($C60="","",IF($D60="Gider",$E60,$H60))</f>
        <v/>
      </c>
      <c r="M60" s="121">
        <f>IF($C60="","",IF($D60="Gider",$H60,$E60))</f>
        <v/>
      </c>
      <c r="N60" s="231">
        <f>IF($C60="","",DATE(YEAR($C60),MONTH($C60),1))</f>
        <v/>
      </c>
      <c r="O60" s="113">
        <f>IF($C60="","",IF(AND($D60&lt;&gt;"",$E60&lt;&gt;"",$G60&gt;0,$H60&lt;&gt;"",$I60&lt;&gt;""),IF($C60&gt;TODAY(),"İLERİ TARİH","UYGUN"),"EKSİK"))</f>
        <v/>
      </c>
      <c r="P60" s="6" t="n"/>
      <c r="Q60" s="6" t="n"/>
      <c r="R60" s="3" t="n"/>
      <c r="S60" s="3" t="n"/>
      <c r="T60" s="3" t="n"/>
      <c r="U60" s="3" t="n"/>
      <c r="V60" s="3" t="n"/>
      <c r="W60" s="3" t="n"/>
    </row>
    <row r="61">
      <c r="A61" s="6" t="n"/>
      <c r="B61" s="113">
        <f>IF($C61="","","GG"&amp;TEXT(ROW()-6,"00000"))</f>
        <v/>
      </c>
      <c r="C61" s="225" t="n">
        <v>46111</v>
      </c>
      <c r="D61" s="108" t="inlineStr">
        <is>
          <t>Gider</t>
        </is>
      </c>
      <c r="E61" s="109" t="inlineStr">
        <is>
          <t>Vergi / Harç</t>
        </is>
      </c>
      <c r="F61" s="109" t="inlineStr">
        <is>
          <t>Bağkur Ödemesi</t>
        </is>
      </c>
      <c r="G61" s="226" t="n">
        <v>11810</v>
      </c>
      <c r="H61" s="108" t="inlineStr">
        <is>
          <t>Merkez Kasa</t>
        </is>
      </c>
      <c r="I61" s="108" t="inlineStr">
        <is>
          <t>Evet</t>
        </is>
      </c>
      <c r="J61" s="109" t="n"/>
      <c r="K61" s="109" t="n"/>
      <c r="L61" s="121">
        <f>IF($C61="","",IF($D61="Gider",$E61,$H61))</f>
        <v/>
      </c>
      <c r="M61" s="121">
        <f>IF($C61="","",IF($D61="Gider",$H61,$E61))</f>
        <v/>
      </c>
      <c r="N61" s="231">
        <f>IF($C61="","",DATE(YEAR($C61),MONTH($C61),1))</f>
        <v/>
      </c>
      <c r="O61" s="113">
        <f>IF($C61="","",IF(AND($D61&lt;&gt;"",$E61&lt;&gt;"",$G61&gt;0,$H61&lt;&gt;"",$I61&lt;&gt;""),IF($C61&gt;TODAY(),"İLERİ TARİH","UYGUN"),"EKSİK"))</f>
        <v/>
      </c>
      <c r="P61" s="6" t="n"/>
      <c r="Q61" s="6" t="n"/>
      <c r="R61" s="3" t="n"/>
      <c r="S61" s="3" t="n"/>
      <c r="T61" s="3" t="n"/>
      <c r="U61" s="3" t="n"/>
      <c r="V61" s="3" t="n"/>
      <c r="W61" s="3" t="n"/>
    </row>
    <row r="62">
      <c r="A62" s="6" t="n"/>
      <c r="B62" s="113">
        <f>IF($C62="","","GG"&amp;TEXT(ROW()-6,"00000"))</f>
        <v/>
      </c>
      <c r="C62" s="225" t="n">
        <v>46111</v>
      </c>
      <c r="D62" s="108" t="inlineStr">
        <is>
          <t>Gider</t>
        </is>
      </c>
      <c r="E62" s="109" t="inlineStr">
        <is>
          <t>Yazılım / Abonelik</t>
        </is>
      </c>
      <c r="F62" s="109" t="inlineStr">
        <is>
          <t>Luca Güncelleme Bedeli</t>
        </is>
      </c>
      <c r="G62" s="226" t="n">
        <v>11900</v>
      </c>
      <c r="H62" s="108" t="inlineStr">
        <is>
          <t>Merkez Kasa</t>
        </is>
      </c>
      <c r="I62" s="108" t="inlineStr">
        <is>
          <t>Evet</t>
        </is>
      </c>
      <c r="J62" s="109" t="n"/>
      <c r="K62" s="109" t="n"/>
      <c r="L62" s="121">
        <f>IF($C62="","",IF($D62="Gider",$E62,$H62))</f>
        <v/>
      </c>
      <c r="M62" s="121">
        <f>IF($C62="","",IF($D62="Gider",$H62,$E62))</f>
        <v/>
      </c>
      <c r="N62" s="231">
        <f>IF($C62="","",DATE(YEAR($C62),MONTH($C62),1))</f>
        <v/>
      </c>
      <c r="O62" s="113">
        <f>IF($C62="","",IF(AND($D62&lt;&gt;"",$E62&lt;&gt;"",$G62&gt;0,$H62&lt;&gt;"",$I62&lt;&gt;""),IF($C62&gt;TODAY(),"İLERİ TARİH","UYGUN"),"EKSİK"))</f>
        <v/>
      </c>
      <c r="P62" s="6" t="n"/>
      <c r="Q62" s="6" t="n"/>
      <c r="R62" s="3" t="n"/>
      <c r="S62" s="3" t="n"/>
      <c r="T62" s="3" t="n"/>
      <c r="U62" s="3" t="n"/>
      <c r="V62" s="3" t="n"/>
      <c r="W62" s="3" t="n"/>
    </row>
    <row r="63">
      <c r="A63" s="6" t="n"/>
      <c r="B63" s="113">
        <f>IF($C63="","","GG"&amp;TEXT(ROW()-6,"00000"))</f>
        <v/>
      </c>
      <c r="C63" s="225" t="n">
        <v>46111</v>
      </c>
      <c r="D63" s="108" t="inlineStr">
        <is>
          <t>Gider</t>
        </is>
      </c>
      <c r="E63" s="109" t="inlineStr">
        <is>
          <t>Telefon / İnternet</t>
        </is>
      </c>
      <c r="F63" s="109" t="inlineStr">
        <is>
          <t>İnternet Ödemesi</t>
        </is>
      </c>
      <c r="G63" s="226" t="n">
        <v>610</v>
      </c>
      <c r="H63" s="108" t="inlineStr">
        <is>
          <t>Merkez Kasa</t>
        </is>
      </c>
      <c r="I63" s="108" t="inlineStr">
        <is>
          <t>Evet</t>
        </is>
      </c>
      <c r="J63" s="109" t="n"/>
      <c r="K63" s="109" t="n"/>
      <c r="L63" s="121">
        <f>IF($C63="","",IF($D63="Gider",$E63,$H63))</f>
        <v/>
      </c>
      <c r="M63" s="121">
        <f>IF($C63="","",IF($D63="Gider",$H63,$E63))</f>
        <v/>
      </c>
      <c r="N63" s="231">
        <f>IF($C63="","",DATE(YEAR($C63),MONTH($C63),1))</f>
        <v/>
      </c>
      <c r="O63" s="113">
        <f>IF($C63="","",IF(AND($D63&lt;&gt;"",$E63&lt;&gt;"",$G63&gt;0,$H63&lt;&gt;"",$I63&lt;&gt;""),IF($C63&gt;TODAY(),"İLERİ TARİH","UYGUN"),"EKSİK"))</f>
        <v/>
      </c>
      <c r="P63" s="6" t="n"/>
      <c r="Q63" s="6" t="n"/>
      <c r="R63" s="3" t="n"/>
      <c r="S63" s="3" t="n"/>
      <c r="T63" s="3" t="n"/>
      <c r="U63" s="3" t="n"/>
      <c r="V63" s="3" t="n"/>
      <c r="W63" s="3" t="n"/>
    </row>
    <row r="64">
      <c r="A64" s="6" t="n"/>
      <c r="B64" s="113">
        <f>IF($C64="","","GG"&amp;TEXT(ROW()-6,"00000"))</f>
        <v/>
      </c>
      <c r="C64" s="225" t="n">
        <v>46111</v>
      </c>
      <c r="D64" s="108" t="inlineStr">
        <is>
          <t>Gider</t>
        </is>
      </c>
      <c r="E64" s="109" t="inlineStr">
        <is>
          <t>Ulaşım</t>
        </is>
      </c>
      <c r="F64" s="109" t="inlineStr">
        <is>
          <t xml:space="preserve">Benzin ( Ömer ) </t>
        </is>
      </c>
      <c r="G64" s="226" t="n">
        <v>4900</v>
      </c>
      <c r="H64" s="108" t="inlineStr">
        <is>
          <t>Merkez Kasa</t>
        </is>
      </c>
      <c r="I64" s="108" t="inlineStr">
        <is>
          <t>Evet</t>
        </is>
      </c>
      <c r="J64" s="109" t="n"/>
      <c r="K64" s="109" t="n"/>
      <c r="L64" s="121">
        <f>IF($C64="","",IF($D64="Gider",$E64,$H64))</f>
        <v/>
      </c>
      <c r="M64" s="121">
        <f>IF($C64="","",IF($D64="Gider",$H64,$E64))</f>
        <v/>
      </c>
      <c r="N64" s="231">
        <f>IF($C64="","",DATE(YEAR($C64),MONTH($C64),1))</f>
        <v/>
      </c>
      <c r="O64" s="113">
        <f>IF($C64="","",IF(AND($D64&lt;&gt;"",$E64&lt;&gt;"",$G64&gt;0,$H64&lt;&gt;"",$I64&lt;&gt;""),IF($C64&gt;TODAY(),"İLERİ TARİH","UYGUN"),"EKSİK"))</f>
        <v/>
      </c>
      <c r="P64" s="6" t="n"/>
      <c r="Q64" s="6" t="n"/>
      <c r="R64" s="3" t="n"/>
      <c r="S64" s="3" t="n"/>
      <c r="T64" s="3" t="n"/>
      <c r="U64" s="3" t="n"/>
      <c r="V64" s="3" t="n"/>
      <c r="W64" s="3" t="n"/>
    </row>
    <row r="65">
      <c r="A65" s="6" t="n"/>
      <c r="B65" s="113">
        <f>IF($C65="","","GG"&amp;TEXT(ROW()-6,"00000"))</f>
        <v/>
      </c>
      <c r="C65" s="225" t="n">
        <v>46111</v>
      </c>
      <c r="D65" s="108" t="inlineStr">
        <is>
          <t>Gider</t>
        </is>
      </c>
      <c r="E65" s="109" t="inlineStr">
        <is>
          <t>Vergi / Harç</t>
        </is>
      </c>
      <c r="F65" s="109" t="inlineStr">
        <is>
          <t>M.Ali Kılıç Vergi Ödemesi</t>
        </is>
      </c>
      <c r="G65" s="226" t="n">
        <v>12303.97</v>
      </c>
      <c r="H65" s="108" t="inlineStr">
        <is>
          <t>Merkez Kasa</t>
        </is>
      </c>
      <c r="I65" s="108" t="inlineStr">
        <is>
          <t>Evet</t>
        </is>
      </c>
      <c r="J65" s="109" t="n"/>
      <c r="K65" s="109" t="n"/>
      <c r="L65" s="121">
        <f>IF($C65="","",IF($D65="Gider",$E65,$H65))</f>
        <v/>
      </c>
      <c r="M65" s="121">
        <f>IF($C65="","",IF($D65="Gider",$H65,$E65))</f>
        <v/>
      </c>
      <c r="N65" s="231">
        <f>IF($C65="","",DATE(YEAR($C65),MONTH($C65),1))</f>
        <v/>
      </c>
      <c r="O65" s="113">
        <f>IF($C65="","",IF(AND($D65&lt;&gt;"",$E65&lt;&gt;"",$G65&gt;0,$H65&lt;&gt;"",$I65&lt;&gt;""),IF($C65&gt;TODAY(),"İLERİ TARİH","UYGUN"),"EKSİK"))</f>
        <v/>
      </c>
      <c r="P65" s="6" t="n"/>
      <c r="Q65" s="6" t="n"/>
      <c r="R65" s="3" t="n"/>
      <c r="S65" s="3" t="n"/>
      <c r="T65" s="3" t="n"/>
      <c r="U65" s="3" t="n"/>
      <c r="V65" s="3" t="n"/>
      <c r="W65" s="3" t="n"/>
    </row>
    <row r="66">
      <c r="A66" s="6" t="n"/>
      <c r="B66" s="113">
        <f>IF($C66="","","GG"&amp;TEXT(ROW()-6,"00000"))</f>
        <v/>
      </c>
      <c r="C66" s="225" t="n">
        <v>46118</v>
      </c>
      <c r="D66" s="108" t="inlineStr">
        <is>
          <t>Gider</t>
        </is>
      </c>
      <c r="E66" s="109" t="inlineStr">
        <is>
          <t>Ofis Kirası</t>
        </is>
      </c>
      <c r="F66" s="109" t="inlineStr">
        <is>
          <t>Nisan Ofis Aidat Ödemesi</t>
        </is>
      </c>
      <c r="G66" s="226" t="n">
        <v>2000</v>
      </c>
      <c r="H66" s="108" t="inlineStr">
        <is>
          <t>Merkez Kasa</t>
        </is>
      </c>
      <c r="I66" s="108" t="inlineStr">
        <is>
          <t>Evet</t>
        </is>
      </c>
      <c r="J66" s="109" t="n"/>
      <c r="K66" s="109" t="n"/>
      <c r="L66" s="121">
        <f>IF($C66="","",IF($D66="Gider",$E66,$H66))</f>
        <v/>
      </c>
      <c r="M66" s="121">
        <f>IF($C66="","",IF($D66="Gider",$H66,$E66))</f>
        <v/>
      </c>
      <c r="N66" s="231">
        <f>IF($C66="","",DATE(YEAR($C66),MONTH($C66),1))</f>
        <v/>
      </c>
      <c r="O66" s="113">
        <f>IF($C66="","",IF(AND($D66&lt;&gt;"",$E66&lt;&gt;"",$G66&gt;0,$H66&lt;&gt;"",$I66&lt;&gt;""),IF($C66&gt;TODAY(),"İLERİ TARİH","UYGUN"),"EKSİK"))</f>
        <v/>
      </c>
      <c r="P66" s="6" t="n"/>
      <c r="Q66" s="6" t="n"/>
      <c r="R66" s="3" t="n"/>
      <c r="S66" s="3" t="n"/>
      <c r="T66" s="3" t="n"/>
      <c r="U66" s="3" t="n"/>
      <c r="V66" s="3" t="n"/>
      <c r="W66" s="3" t="n"/>
    </row>
    <row r="67">
      <c r="A67" s="6" t="n"/>
      <c r="B67" s="113">
        <f>IF($C67="","","GG"&amp;TEXT(ROW()-6,"00000"))</f>
        <v/>
      </c>
      <c r="C67" s="225" t="n">
        <v>46118</v>
      </c>
      <c r="D67" s="108" t="inlineStr">
        <is>
          <t>Gider</t>
        </is>
      </c>
      <c r="E67" s="109" t="inlineStr">
        <is>
          <t>Ulaşım</t>
        </is>
      </c>
      <c r="F67" s="109" t="inlineStr">
        <is>
          <t>Benzin</t>
        </is>
      </c>
      <c r="G67" s="226" t="n">
        <v>2000</v>
      </c>
      <c r="H67" s="108" t="inlineStr">
        <is>
          <t>Merkez Kasa</t>
        </is>
      </c>
      <c r="I67" s="108" t="inlineStr">
        <is>
          <t>Evet</t>
        </is>
      </c>
      <c r="J67" s="109" t="n"/>
      <c r="K67" s="109" t="n"/>
      <c r="L67" s="121">
        <f>IF($C67="","",IF($D67="Gider",$E67,$H67))</f>
        <v/>
      </c>
      <c r="M67" s="121">
        <f>IF($C67="","",IF($D67="Gider",$H67,$E67))</f>
        <v/>
      </c>
      <c r="N67" s="231">
        <f>IF($C67="","",DATE(YEAR($C67),MONTH($C67),1))</f>
        <v/>
      </c>
      <c r="O67" s="113">
        <f>IF($C67="","",IF(AND($D67&lt;&gt;"",$E67&lt;&gt;"",$G67&gt;0,$H67&lt;&gt;"",$I67&lt;&gt;""),IF($C67&gt;TODAY(),"İLERİ TARİH","UYGUN"),"EKSİK"))</f>
        <v/>
      </c>
      <c r="P67" s="6" t="n"/>
      <c r="Q67" s="6" t="n"/>
      <c r="R67" s="3" t="n"/>
      <c r="S67" s="3" t="n"/>
      <c r="T67" s="3" t="n"/>
      <c r="U67" s="3" t="n"/>
      <c r="V67" s="3" t="n"/>
      <c r="W67" s="3" t="n"/>
    </row>
    <row r="68">
      <c r="A68" s="6" t="n"/>
      <c r="B68" s="113">
        <f>IF($C68="","","GG"&amp;TEXT(ROW()-6,"00000"))</f>
        <v/>
      </c>
      <c r="C68" s="225" t="n">
        <v>46118</v>
      </c>
      <c r="D68" s="108" t="inlineStr">
        <is>
          <t>Gider</t>
        </is>
      </c>
      <c r="E68" s="109" t="inlineStr">
        <is>
          <t>Ulaşım</t>
        </is>
      </c>
      <c r="F68" s="109" t="inlineStr">
        <is>
          <t>Benzin</t>
        </is>
      </c>
      <c r="G68" s="226" t="n">
        <v>1000</v>
      </c>
      <c r="H68" s="108" t="inlineStr">
        <is>
          <t>Merkez Kasa</t>
        </is>
      </c>
      <c r="I68" s="108" t="inlineStr">
        <is>
          <t>Evet</t>
        </is>
      </c>
      <c r="J68" s="109" t="n"/>
      <c r="K68" s="109" t="n"/>
      <c r="L68" s="121">
        <f>IF($C68="","",IF($D68="Gider",$E68,$H68))</f>
        <v/>
      </c>
      <c r="M68" s="121">
        <f>IF($C68="","",IF($D68="Gider",$H68,$E68))</f>
        <v/>
      </c>
      <c r="N68" s="231">
        <f>IF($C68="","",DATE(YEAR($C68),MONTH($C68),1))</f>
        <v/>
      </c>
      <c r="O68" s="113">
        <f>IF($C68="","",IF(AND($D68&lt;&gt;"",$E68&lt;&gt;"",$G68&gt;0,$H68&lt;&gt;"",$I68&lt;&gt;""),IF($C68&gt;TODAY(),"İLERİ TARİH","UYGUN"),"EKSİK"))</f>
        <v/>
      </c>
      <c r="P68" s="6" t="n"/>
      <c r="Q68" s="6" t="n"/>
      <c r="R68" s="3" t="n"/>
      <c r="S68" s="3" t="n"/>
      <c r="T68" s="3" t="n"/>
      <c r="U68" s="3" t="n"/>
      <c r="V68" s="3" t="n"/>
      <c r="W68" s="3" t="n"/>
    </row>
    <row r="69">
      <c r="A69" s="6" t="n"/>
      <c r="B69" s="113">
        <f>IF($C69="","","GG"&amp;TEXT(ROW()-6,"00000"))</f>
        <v/>
      </c>
      <c r="C69" s="225" t="n">
        <v>46123</v>
      </c>
      <c r="D69" s="108" t="inlineStr">
        <is>
          <t>Gider</t>
        </is>
      </c>
      <c r="E69" s="109" t="inlineStr">
        <is>
          <t>Demirbaş</t>
        </is>
      </c>
      <c r="F69" s="109" t="inlineStr">
        <is>
          <t>Serkan Baş Irmak Ömer Bilgisayar Format ve Parça</t>
        </is>
      </c>
      <c r="G69" s="226" t="n">
        <v>9500</v>
      </c>
      <c r="H69" s="108" t="inlineStr">
        <is>
          <t>Merkez Kasa</t>
        </is>
      </c>
      <c r="I69" s="108" t="inlineStr">
        <is>
          <t>Evet</t>
        </is>
      </c>
      <c r="J69" s="109" t="n"/>
      <c r="K69" s="109" t="n"/>
      <c r="L69" s="121">
        <f>IF($C69="","",IF($D69="Gider",$E69,$H69))</f>
        <v/>
      </c>
      <c r="M69" s="121">
        <f>IF($C69="","",IF($D69="Gider",$H69,$E69))</f>
        <v/>
      </c>
      <c r="N69" s="231">
        <f>IF($C69="","",DATE(YEAR($C69),MONTH($C69),1))</f>
        <v/>
      </c>
      <c r="O69" s="113">
        <f>IF($C69="","",IF(AND($D69&lt;&gt;"",$E69&lt;&gt;"",$G69&gt;0,$H69&lt;&gt;"",$I69&lt;&gt;""),IF($C69&gt;TODAY(),"İLERİ TARİH","UYGUN"),"EKSİK"))</f>
        <v/>
      </c>
      <c r="P69" s="6" t="n"/>
      <c r="Q69" s="6" t="n"/>
      <c r="R69" s="3" t="n"/>
      <c r="S69" s="3" t="n"/>
      <c r="T69" s="3" t="n"/>
      <c r="U69" s="3" t="n"/>
      <c r="V69" s="3" t="n"/>
      <c r="W69" s="3" t="n"/>
    </row>
    <row r="70">
      <c r="A70" s="6" t="n"/>
      <c r="B70" s="113">
        <f>IF($C70="","","GG"&amp;TEXT(ROW()-6,"00000"))</f>
        <v/>
      </c>
      <c r="C70" s="225" t="n">
        <v>46123</v>
      </c>
      <c r="D70" s="108" t="inlineStr">
        <is>
          <t>Gider</t>
        </is>
      </c>
      <c r="E70" s="109" t="inlineStr">
        <is>
          <t>Ofis Kirası</t>
        </is>
      </c>
      <c r="F70" s="109" t="inlineStr">
        <is>
          <t>Mayıs Ofis Kira Ödemesi</t>
        </is>
      </c>
      <c r="G70" s="226" t="n">
        <v>14000</v>
      </c>
      <c r="H70" s="108" t="inlineStr">
        <is>
          <t>Merkez Kasa</t>
        </is>
      </c>
      <c r="I70" s="108" t="inlineStr">
        <is>
          <t>Evet</t>
        </is>
      </c>
      <c r="J70" s="109" t="n"/>
      <c r="K70" s="109" t="n"/>
      <c r="L70" s="121">
        <f>IF($C70="","",IF($D70="Gider",$E70,$H70))</f>
        <v/>
      </c>
      <c r="M70" s="121">
        <f>IF($C70="","",IF($D70="Gider",$H70,$E70))</f>
        <v/>
      </c>
      <c r="N70" s="231">
        <f>IF($C70="","",DATE(YEAR($C70),MONTH($C70),1))</f>
        <v/>
      </c>
      <c r="O70" s="113">
        <f>IF($C70="","",IF(AND($D70&lt;&gt;"",$E70&lt;&gt;"",$G70&gt;0,$H70&lt;&gt;"",$I70&lt;&gt;""),IF($C70&gt;TODAY(),"İLERİ TARİH","UYGUN"),"EKSİK"))</f>
        <v/>
      </c>
      <c r="P70" s="6" t="n"/>
      <c r="Q70" s="6" t="n"/>
      <c r="R70" s="3" t="n"/>
      <c r="S70" s="3" t="n"/>
      <c r="T70" s="3" t="n"/>
      <c r="U70" s="3" t="n"/>
      <c r="V70" s="3" t="n"/>
      <c r="W70" s="3" t="n"/>
    </row>
    <row r="71">
      <c r="A71" s="6" t="n"/>
      <c r="B71" s="113">
        <f>IF($C71="","","GG"&amp;TEXT(ROW()-6,"00000"))</f>
        <v/>
      </c>
      <c r="C71" s="225" t="n">
        <v>46123</v>
      </c>
      <c r="D71" s="108" t="inlineStr">
        <is>
          <t>Gider</t>
        </is>
      </c>
      <c r="E71" s="109" t="inlineStr">
        <is>
          <t>Ofis Kirası</t>
        </is>
      </c>
      <c r="F71" s="109" t="inlineStr">
        <is>
          <t>Mayıs Ofis Aidat Ödemesi</t>
        </is>
      </c>
      <c r="G71" s="226" t="n">
        <v>2000</v>
      </c>
      <c r="H71" s="108" t="inlineStr">
        <is>
          <t>Merkez Kasa</t>
        </is>
      </c>
      <c r="I71" s="108" t="inlineStr">
        <is>
          <t>Evet</t>
        </is>
      </c>
      <c r="J71" s="109" t="n"/>
      <c r="K71" s="109" t="n"/>
      <c r="L71" s="121">
        <f>IF($C71="","",IF($D71="Gider",$E71,$H71))</f>
        <v/>
      </c>
      <c r="M71" s="121">
        <f>IF($C71="","",IF($D71="Gider",$H71,$E71))</f>
        <v/>
      </c>
      <c r="N71" s="231">
        <f>IF($C71="","",DATE(YEAR($C71),MONTH($C71),1))</f>
        <v/>
      </c>
      <c r="O71" s="113">
        <f>IF($C71="","",IF(AND($D71&lt;&gt;"",$E71&lt;&gt;"",$G71&gt;0,$H71&lt;&gt;"",$I71&lt;&gt;""),IF($C71&gt;TODAY(),"İLERİ TARİH","UYGUN"),"EKSİK"))</f>
        <v/>
      </c>
      <c r="P71" s="6" t="n"/>
      <c r="Q71" s="6" t="n"/>
      <c r="R71" s="3" t="n"/>
      <c r="S71" s="3" t="n"/>
      <c r="T71" s="3" t="n"/>
      <c r="U71" s="3" t="n"/>
      <c r="V71" s="3" t="n"/>
      <c r="W71" s="3" t="n"/>
    </row>
    <row r="72">
      <c r="A72" s="6" t="n"/>
      <c r="B72" s="113">
        <f>IF($C72="","","GG"&amp;TEXT(ROW()-6,"00000"))</f>
        <v/>
      </c>
      <c r="C72" s="225" t="n">
        <v>46123</v>
      </c>
      <c r="D72" s="108" t="inlineStr">
        <is>
          <t>Gider</t>
        </is>
      </c>
      <c r="E72" s="109" t="inlineStr">
        <is>
          <t>Personel</t>
        </is>
      </c>
      <c r="F72" s="109" t="inlineStr">
        <is>
          <t>Irmak Harçlık</t>
        </is>
      </c>
      <c r="G72" s="226" t="n">
        <v>1000</v>
      </c>
      <c r="H72" s="108" t="inlineStr">
        <is>
          <t>Merkez Kasa</t>
        </is>
      </c>
      <c r="I72" s="108" t="inlineStr">
        <is>
          <t>Evet</t>
        </is>
      </c>
      <c r="J72" s="109" t="n"/>
      <c r="K72" s="109" t="n"/>
      <c r="L72" s="121">
        <f>IF($C72="","",IF($D72="Gider",$E72,$H72))</f>
        <v/>
      </c>
      <c r="M72" s="121">
        <f>IF($C72="","",IF($D72="Gider",$H72,$E72))</f>
        <v/>
      </c>
      <c r="N72" s="231">
        <f>IF($C72="","",DATE(YEAR($C72),MONTH($C72),1))</f>
        <v/>
      </c>
      <c r="O72" s="113">
        <f>IF($C72="","",IF(AND($D72&lt;&gt;"",$E72&lt;&gt;"",$G72&gt;0,$H72&lt;&gt;"",$I72&lt;&gt;""),IF($C72&gt;TODAY(),"İLERİ TARİH","UYGUN"),"EKSİK"))</f>
        <v/>
      </c>
      <c r="P72" s="6" t="n"/>
      <c r="Q72" s="6" t="n"/>
      <c r="R72" s="3" t="n"/>
      <c r="S72" s="3" t="n"/>
      <c r="T72" s="3" t="n"/>
      <c r="U72" s="3" t="n"/>
      <c r="V72" s="3" t="n"/>
      <c r="W72" s="3" t="n"/>
    </row>
    <row r="73">
      <c r="A73" s="6" t="n"/>
      <c r="B73" s="113">
        <f>IF($C73="","","GG"&amp;TEXT(ROW()-6,"00000"))</f>
        <v/>
      </c>
      <c r="C73" s="225" t="n">
        <v>46123</v>
      </c>
      <c r="D73" s="108" t="inlineStr">
        <is>
          <t>Gider</t>
        </is>
      </c>
      <c r="E73" s="109" t="inlineStr">
        <is>
          <t>Telefon / İnternet</t>
        </is>
      </c>
      <c r="F73" s="109" t="inlineStr">
        <is>
          <t>Ofis Whatsapp Hattı Nisan</t>
        </is>
      </c>
      <c r="G73" s="226" t="n">
        <v>800</v>
      </c>
      <c r="H73" s="108" t="inlineStr">
        <is>
          <t>Merkez Kasa</t>
        </is>
      </c>
      <c r="I73" s="108" t="inlineStr">
        <is>
          <t>Evet</t>
        </is>
      </c>
      <c r="J73" s="109" t="n"/>
      <c r="K73" s="109" t="n"/>
      <c r="L73" s="121">
        <f>IF($C73="","",IF($D73="Gider",$E73,$H73))</f>
        <v/>
      </c>
      <c r="M73" s="121">
        <f>IF($C73="","",IF($D73="Gider",$H73,$E73))</f>
        <v/>
      </c>
      <c r="N73" s="231">
        <f>IF($C73="","",DATE(YEAR($C73),MONTH($C73),1))</f>
        <v/>
      </c>
      <c r="O73" s="113">
        <f>IF($C73="","",IF(AND($D73&lt;&gt;"",$E73&lt;&gt;"",$G73&gt;0,$H73&lt;&gt;"",$I73&lt;&gt;""),IF($C73&gt;TODAY(),"İLERİ TARİH","UYGUN"),"EKSİK"))</f>
        <v/>
      </c>
      <c r="P73" s="6" t="n"/>
      <c r="Q73" s="6" t="n"/>
      <c r="R73" s="3" t="n"/>
      <c r="S73" s="3" t="n"/>
      <c r="T73" s="3" t="n"/>
      <c r="U73" s="3" t="n"/>
      <c r="V73" s="3" t="n"/>
      <c r="W73" s="3" t="n"/>
    </row>
    <row r="74">
      <c r="A74" s="6" t="n"/>
      <c r="B74" s="113">
        <f>IF($C74="","","GG"&amp;TEXT(ROW()-6,"00000"))</f>
        <v/>
      </c>
      <c r="C74" s="225" t="n">
        <v>46127</v>
      </c>
      <c r="D74" s="108" t="inlineStr">
        <is>
          <t>Gider</t>
        </is>
      </c>
      <c r="E74" s="109" t="inlineStr">
        <is>
          <t>Ulaşım</t>
        </is>
      </c>
      <c r="F74" s="109" t="inlineStr">
        <is>
          <t>Araç Yakıt Alımı</t>
        </is>
      </c>
      <c r="G74" s="226" t="n">
        <v>2000</v>
      </c>
      <c r="H74" s="108" t="inlineStr">
        <is>
          <t>Merkez Kasa</t>
        </is>
      </c>
      <c r="I74" s="108" t="inlineStr">
        <is>
          <t>Evet</t>
        </is>
      </c>
      <c r="J74" s="109" t="n"/>
      <c r="K74" s="109" t="n"/>
      <c r="L74" s="121">
        <f>IF($C74="","",IF($D74="Gider",$E74,$H74))</f>
        <v/>
      </c>
      <c r="M74" s="121">
        <f>IF($C74="","",IF($D74="Gider",$H74,$E74))</f>
        <v/>
      </c>
      <c r="N74" s="231">
        <f>IF($C74="","",DATE(YEAR($C74),MONTH($C74),1))</f>
        <v/>
      </c>
      <c r="O74" s="113">
        <f>IF($C74="","",IF(AND($D74&lt;&gt;"",$E74&lt;&gt;"",$G74&gt;0,$H74&lt;&gt;"",$I74&lt;&gt;""),IF($C74&gt;TODAY(),"İLERİ TARİH","UYGUN"),"EKSİK"))</f>
        <v/>
      </c>
      <c r="P74" s="6" t="n"/>
      <c r="Q74" s="6" t="n"/>
      <c r="R74" s="3" t="n"/>
      <c r="S74" s="3" t="n"/>
      <c r="T74" s="3" t="n"/>
      <c r="U74" s="3" t="n"/>
      <c r="V74" s="3" t="n"/>
      <c r="W74" s="3" t="n"/>
    </row>
    <row r="75">
      <c r="A75" s="6" t="n"/>
      <c r="B75" s="113">
        <f>IF($C75="","","GG"&amp;TEXT(ROW()-6,"00000"))</f>
        <v/>
      </c>
      <c r="C75" s="225" t="n">
        <v>46130</v>
      </c>
      <c r="D75" s="108" t="inlineStr">
        <is>
          <t>Gider</t>
        </is>
      </c>
      <c r="E75" s="109" t="inlineStr">
        <is>
          <t>Temsil / Ağırlama</t>
        </is>
      </c>
      <c r="F75" s="109" t="inlineStr">
        <is>
          <t>Ofis Gıda Alışverişi</t>
        </is>
      </c>
      <c r="G75" s="226" t="n">
        <v>784</v>
      </c>
      <c r="H75" s="108" t="inlineStr">
        <is>
          <t>Merkez Kasa</t>
        </is>
      </c>
      <c r="I75" s="108" t="inlineStr">
        <is>
          <t>Evet</t>
        </is>
      </c>
      <c r="J75" s="109" t="n"/>
      <c r="K75" s="109" t="n"/>
      <c r="L75" s="121">
        <f>IF($C75="","",IF($D75="Gider",$E75,$H75))</f>
        <v/>
      </c>
      <c r="M75" s="121">
        <f>IF($C75="","",IF($D75="Gider",$H75,$E75))</f>
        <v/>
      </c>
      <c r="N75" s="231">
        <f>IF($C75="","",DATE(YEAR($C75),MONTH($C75),1))</f>
        <v/>
      </c>
      <c r="O75" s="113">
        <f>IF($C75="","",IF(AND($D75&lt;&gt;"",$E75&lt;&gt;"",$G75&gt;0,$H75&lt;&gt;"",$I75&lt;&gt;""),IF($C75&gt;TODAY(),"İLERİ TARİH","UYGUN"),"EKSİK"))</f>
        <v/>
      </c>
      <c r="P75" s="6" t="n"/>
      <c r="Q75" s="6" t="n"/>
      <c r="R75" s="3" t="n"/>
      <c r="S75" s="3" t="n"/>
      <c r="T75" s="3" t="n"/>
      <c r="U75" s="3" t="n"/>
      <c r="V75" s="3" t="n"/>
      <c r="W75" s="3" t="n"/>
    </row>
    <row r="76">
      <c r="A76" s="6" t="n"/>
      <c r="B76" s="113">
        <f>IF($C76="","","GG"&amp;TEXT(ROW()-6,"00000"))</f>
        <v/>
      </c>
      <c r="C76" s="225" t="n">
        <v>46132</v>
      </c>
      <c r="D76" s="108" t="inlineStr">
        <is>
          <t>Gider</t>
        </is>
      </c>
      <c r="E76" s="109" t="inlineStr">
        <is>
          <t>Demirbaş</t>
        </is>
      </c>
      <c r="F76" s="109" t="inlineStr">
        <is>
          <t>Notebook Adaptör 1 Mouse ve Mouseped Toner</t>
        </is>
      </c>
      <c r="G76" s="226" t="n">
        <v>4500</v>
      </c>
      <c r="H76" s="108" t="inlineStr">
        <is>
          <t>Merkez Kasa</t>
        </is>
      </c>
      <c r="I76" s="108" t="inlineStr">
        <is>
          <t>Evet</t>
        </is>
      </c>
      <c r="J76" s="109" t="n"/>
      <c r="K76" s="109" t="n"/>
      <c r="L76" s="121">
        <f>IF($C76="","",IF($D76="Gider",$E76,$H76))</f>
        <v/>
      </c>
      <c r="M76" s="121">
        <f>IF($C76="","",IF($D76="Gider",$H76,$E76))</f>
        <v/>
      </c>
      <c r="N76" s="231">
        <f>IF($C76="","",DATE(YEAR($C76),MONTH($C76),1))</f>
        <v/>
      </c>
      <c r="O76" s="113">
        <f>IF($C76="","",IF(AND($D76&lt;&gt;"",$E76&lt;&gt;"",$G76&gt;0,$H76&lt;&gt;"",$I76&lt;&gt;""),IF($C76&gt;TODAY(),"İLERİ TARİH","UYGUN"),"EKSİK"))</f>
        <v/>
      </c>
      <c r="P76" s="6" t="n"/>
      <c r="Q76" s="6" t="n"/>
      <c r="R76" s="3" t="n"/>
      <c r="S76" s="3" t="n"/>
      <c r="T76" s="3" t="n"/>
      <c r="U76" s="3" t="n"/>
      <c r="V76" s="3" t="n"/>
      <c r="W76" s="3" t="n"/>
    </row>
    <row r="77">
      <c r="A77" s="6" t="n"/>
      <c r="B77" s="113">
        <f>IF($C77="","","GG"&amp;TEXT(ROW()-6,"00000"))</f>
        <v/>
      </c>
      <c r="C77" s="225" t="n">
        <v>46132</v>
      </c>
      <c r="D77" s="108" t="inlineStr">
        <is>
          <t>Gider</t>
        </is>
      </c>
      <c r="E77" s="109" t="inlineStr">
        <is>
          <t>Kırtasiye</t>
        </is>
      </c>
      <c r="F77" s="109" t="inlineStr">
        <is>
          <t>Şeffaf Dosya ve A4 Kağıt 1 Koli</t>
        </is>
      </c>
      <c r="G77" s="226" t="n">
        <v>5200</v>
      </c>
      <c r="H77" s="108" t="inlineStr">
        <is>
          <t>Merkez Kasa</t>
        </is>
      </c>
      <c r="I77" s="108" t="inlineStr">
        <is>
          <t>Evet</t>
        </is>
      </c>
      <c r="J77" s="109" t="n"/>
      <c r="K77" s="109" t="n"/>
      <c r="L77" s="121">
        <f>IF($C77="","",IF($D77="Gider",$E77,$H77))</f>
        <v/>
      </c>
      <c r="M77" s="121">
        <f>IF($C77="","",IF($D77="Gider",$H77,$E77))</f>
        <v/>
      </c>
      <c r="N77" s="231">
        <f>IF($C77="","",DATE(YEAR($C77),MONTH($C77),1))</f>
        <v/>
      </c>
      <c r="O77" s="113">
        <f>IF($C77="","",IF(AND($D77&lt;&gt;"",$E77&lt;&gt;"",$G77&gt;0,$H77&lt;&gt;"",$I77&lt;&gt;""),IF($C77&gt;TODAY(),"İLERİ TARİH","UYGUN"),"EKSİK"))</f>
        <v/>
      </c>
      <c r="P77" s="6" t="n"/>
      <c r="Q77" s="6" t="n"/>
      <c r="R77" s="3" t="n"/>
      <c r="S77" s="3" t="n"/>
      <c r="T77" s="3" t="n"/>
      <c r="U77" s="3" t="n"/>
      <c r="V77" s="3" t="n"/>
      <c r="W77" s="3" t="n"/>
    </row>
    <row r="78">
      <c r="A78" s="6" t="n"/>
      <c r="B78" s="113">
        <f>IF($C78="","","GG"&amp;TEXT(ROW()-6,"00000"))</f>
        <v/>
      </c>
      <c r="C78" s="225" t="n">
        <v>46132</v>
      </c>
      <c r="D78" s="108" t="inlineStr">
        <is>
          <t>Gider</t>
        </is>
      </c>
      <c r="E78" s="109" t="inlineStr">
        <is>
          <t>Telefon / İnternet</t>
        </is>
      </c>
      <c r="F78" s="109" t="inlineStr">
        <is>
          <t xml:space="preserve">Ofis Whatsapp Hattı Taahhüt Yenileme ( Powerbank ) </t>
        </is>
      </c>
      <c r="G78" s="226" t="n">
        <v>2100</v>
      </c>
      <c r="H78" s="108" t="inlineStr">
        <is>
          <t>Merkez Kasa</t>
        </is>
      </c>
      <c r="I78" s="108" t="inlineStr">
        <is>
          <t>Evet</t>
        </is>
      </c>
      <c r="J78" s="109" t="n"/>
      <c r="K78" s="109" t="n"/>
      <c r="L78" s="121">
        <f>IF($C78="","",IF($D78="Gider",$E78,$H78))</f>
        <v/>
      </c>
      <c r="M78" s="121">
        <f>IF($C78="","",IF($D78="Gider",$H78,$E78))</f>
        <v/>
      </c>
      <c r="N78" s="231">
        <f>IF($C78="","",DATE(YEAR($C78),MONTH($C78),1))</f>
        <v/>
      </c>
      <c r="O78" s="113">
        <f>IF($C78="","",IF(AND($D78&lt;&gt;"",$E78&lt;&gt;"",$G78&gt;0,$H78&lt;&gt;"",$I78&lt;&gt;""),IF($C78&gt;TODAY(),"İLERİ TARİH","UYGUN"),"EKSİK"))</f>
        <v/>
      </c>
      <c r="P78" s="6" t="n"/>
      <c r="Q78" s="6" t="n"/>
      <c r="R78" s="3" t="n"/>
      <c r="S78" s="3" t="n"/>
      <c r="T78" s="3" t="n"/>
      <c r="U78" s="3" t="n"/>
      <c r="V78" s="3" t="n"/>
      <c r="W78" s="3" t="n"/>
    </row>
    <row r="79">
      <c r="A79" s="6" t="n"/>
      <c r="B79" s="113">
        <f>IF($C79="","","GG"&amp;TEXT(ROW()-6,"00000"))</f>
        <v/>
      </c>
      <c r="C79" s="225" t="n">
        <v>46132</v>
      </c>
      <c r="D79" s="108" t="inlineStr">
        <is>
          <t>Gider</t>
        </is>
      </c>
      <c r="E79" s="109" t="inlineStr">
        <is>
          <t>Temsil / Ağırlama</t>
        </is>
      </c>
      <c r="F79" s="109" t="inlineStr">
        <is>
          <t>Ofis Tabak</t>
        </is>
      </c>
      <c r="G79" s="226" t="n">
        <v>2000</v>
      </c>
      <c r="H79" s="108" t="inlineStr">
        <is>
          <t>Merkez Kasa</t>
        </is>
      </c>
      <c r="I79" s="108" t="inlineStr">
        <is>
          <t>Evet</t>
        </is>
      </c>
      <c r="J79" s="109" t="n"/>
      <c r="K79" s="109" t="n"/>
      <c r="L79" s="121">
        <f>IF($C79="","",IF($D79="Gider",$E79,$H79))</f>
        <v/>
      </c>
      <c r="M79" s="121">
        <f>IF($C79="","",IF($D79="Gider",$H79,$E79))</f>
        <v/>
      </c>
      <c r="N79" s="231">
        <f>IF($C79="","",DATE(YEAR($C79),MONTH($C79),1))</f>
        <v/>
      </c>
      <c r="O79" s="113">
        <f>IF($C79="","",IF(AND($D79&lt;&gt;"",$E79&lt;&gt;"",$G79&gt;0,$H79&lt;&gt;"",$I79&lt;&gt;""),IF($C79&gt;TODAY(),"İLERİ TARİH","UYGUN"),"EKSİK"))</f>
        <v/>
      </c>
      <c r="P79" s="6" t="n"/>
      <c r="Q79" s="6" t="n"/>
      <c r="R79" s="3" t="n"/>
      <c r="S79" s="3" t="n"/>
      <c r="T79" s="3" t="n"/>
      <c r="U79" s="3" t="n"/>
      <c r="V79" s="3" t="n"/>
      <c r="W79" s="3" t="n"/>
    </row>
    <row r="80">
      <c r="A80" s="6" t="n"/>
      <c r="B80" s="113">
        <f>IF($C80="","","GG"&amp;TEXT(ROW()-6,"00000"))</f>
        <v/>
      </c>
      <c r="C80" s="225" t="n">
        <v>46132</v>
      </c>
      <c r="D80" s="108" t="inlineStr">
        <is>
          <t>Gider</t>
        </is>
      </c>
      <c r="E80" s="109" t="inlineStr">
        <is>
          <t>Temsil / Ağırlama</t>
        </is>
      </c>
      <c r="F80" s="109" t="inlineStr">
        <is>
          <t>Damacana</t>
        </is>
      </c>
      <c r="G80" s="226" t="n">
        <v>600</v>
      </c>
      <c r="H80" s="108" t="inlineStr">
        <is>
          <t>Merkez Kasa</t>
        </is>
      </c>
      <c r="I80" s="108" t="inlineStr">
        <is>
          <t>Evet</t>
        </is>
      </c>
      <c r="J80" s="109" t="n"/>
      <c r="K80" s="109" t="n"/>
      <c r="L80" s="121">
        <f>IF($C80="","",IF($D80="Gider",$E80,$H80))</f>
        <v/>
      </c>
      <c r="M80" s="121">
        <f>IF($C80="","",IF($D80="Gider",$H80,$E80))</f>
        <v/>
      </c>
      <c r="N80" s="231">
        <f>IF($C80="","",DATE(YEAR($C80),MONTH($C80),1))</f>
        <v/>
      </c>
      <c r="O80" s="113">
        <f>IF($C80="","",IF(AND($D80&lt;&gt;"",$E80&lt;&gt;"",$G80&gt;0,$H80&lt;&gt;"",$I80&lt;&gt;""),IF($C80&gt;TODAY(),"İLERİ TARİH","UYGUN"),"EKSİK"))</f>
        <v/>
      </c>
      <c r="P80" s="6" t="n"/>
      <c r="Q80" s="6" t="n"/>
      <c r="R80" s="3" t="n"/>
      <c r="S80" s="3" t="n"/>
      <c r="T80" s="3" t="n"/>
      <c r="U80" s="3" t="n"/>
      <c r="V80" s="3" t="n"/>
      <c r="W80" s="3" t="n"/>
    </row>
    <row r="81">
      <c r="A81" s="6" t="n"/>
      <c r="B81" s="113">
        <f>IF($C81="","","GG"&amp;TEXT(ROW()-6,"00000"))</f>
        <v/>
      </c>
      <c r="C81" s="225" t="n">
        <v>46132</v>
      </c>
      <c r="D81" s="108" t="inlineStr">
        <is>
          <t>Gider</t>
        </is>
      </c>
      <c r="E81" s="109" t="inlineStr">
        <is>
          <t>Temsil / Ağırlama</t>
        </is>
      </c>
      <c r="F81" s="109" t="inlineStr">
        <is>
          <t>Mutfak Gereci</t>
        </is>
      </c>
      <c r="G81" s="226" t="n">
        <v>400</v>
      </c>
      <c r="H81" s="108" t="inlineStr">
        <is>
          <t>Merkez Kasa</t>
        </is>
      </c>
      <c r="I81" s="108" t="inlineStr">
        <is>
          <t>Evet</t>
        </is>
      </c>
      <c r="J81" s="109" t="n"/>
      <c r="K81" s="109" t="n"/>
      <c r="L81" s="121">
        <f>IF($C81="","",IF($D81="Gider",$E81,$H81))</f>
        <v/>
      </c>
      <c r="M81" s="121">
        <f>IF($C81="","",IF($D81="Gider",$H81,$E81))</f>
        <v/>
      </c>
      <c r="N81" s="231">
        <f>IF($C81="","",DATE(YEAR($C81),MONTH($C81),1))</f>
        <v/>
      </c>
      <c r="O81" s="113">
        <f>IF($C81="","",IF(AND($D81&lt;&gt;"",$E81&lt;&gt;"",$G81&gt;0,$H81&lt;&gt;"",$I81&lt;&gt;""),IF($C81&gt;TODAY(),"İLERİ TARİH","UYGUN"),"EKSİK"))</f>
        <v/>
      </c>
      <c r="P81" s="6" t="n"/>
      <c r="Q81" s="6" t="n"/>
      <c r="R81" s="3" t="n"/>
      <c r="S81" s="3" t="n"/>
      <c r="T81" s="3" t="n"/>
      <c r="U81" s="3" t="n"/>
      <c r="V81" s="3" t="n"/>
      <c r="W81" s="3" t="n"/>
    </row>
    <row r="82">
      <c r="A82" s="6" t="n"/>
      <c r="B82" s="113">
        <f>IF($C82="","","GG"&amp;TEXT(ROW()-6,"00000"))</f>
        <v/>
      </c>
      <c r="C82" s="225" t="n">
        <v>46132</v>
      </c>
      <c r="D82" s="108" t="inlineStr">
        <is>
          <t>Gider</t>
        </is>
      </c>
      <c r="E82" s="109" t="inlineStr">
        <is>
          <t>Telefon / İnternet</t>
        </is>
      </c>
      <c r="F82" s="109" t="inlineStr">
        <is>
          <t>İnternet Ödemesi</t>
        </is>
      </c>
      <c r="G82" s="226" t="n">
        <v>630</v>
      </c>
      <c r="H82" s="108" t="inlineStr">
        <is>
          <t>Merkez Kasa</t>
        </is>
      </c>
      <c r="I82" s="108" t="inlineStr">
        <is>
          <t>Evet</t>
        </is>
      </c>
      <c r="J82" s="109" t="n"/>
      <c r="K82" s="109" t="n"/>
      <c r="L82" s="121">
        <f>IF($C82="","",IF($D82="Gider",$E82,$H82))</f>
        <v/>
      </c>
      <c r="M82" s="121">
        <f>IF($C82="","",IF($D82="Gider",$H82,$E82))</f>
        <v/>
      </c>
      <c r="N82" s="231">
        <f>IF($C82="","",DATE(YEAR($C82),MONTH($C82),1))</f>
        <v/>
      </c>
      <c r="O82" s="113">
        <f>IF($C82="","",IF(AND($D82&lt;&gt;"",$E82&lt;&gt;"",$G82&gt;0,$H82&lt;&gt;"",$I82&lt;&gt;""),IF($C82&gt;TODAY(),"İLERİ TARİH","UYGUN"),"EKSİK"))</f>
        <v/>
      </c>
      <c r="P82" s="6" t="n"/>
      <c r="Q82" s="6" t="n"/>
      <c r="R82" s="3" t="n"/>
      <c r="S82" s="3" t="n"/>
      <c r="T82" s="3" t="n"/>
      <c r="U82" s="3" t="n"/>
      <c r="V82" s="3" t="n"/>
      <c r="W82" s="3" t="n"/>
    </row>
    <row r="83">
      <c r="A83" s="6" t="n"/>
      <c r="B83" s="113">
        <f>IF($C83="","","GG"&amp;TEXT(ROW()-6,"00000"))</f>
        <v/>
      </c>
      <c r="C83" s="225" t="n">
        <v>46132</v>
      </c>
      <c r="D83" s="108" t="inlineStr">
        <is>
          <t>Gider</t>
        </is>
      </c>
      <c r="E83" s="109" t="inlineStr">
        <is>
          <t>Ulaşım</t>
        </is>
      </c>
      <c r="F83" s="109" t="inlineStr">
        <is>
          <t>Araç Yakıt Alımı</t>
        </is>
      </c>
      <c r="G83" s="226" t="n">
        <v>2000</v>
      </c>
      <c r="H83" s="108" t="inlineStr">
        <is>
          <t>Merkez Kasa</t>
        </is>
      </c>
      <c r="I83" s="108" t="inlineStr">
        <is>
          <t>Evet</t>
        </is>
      </c>
      <c r="J83" s="109" t="n"/>
      <c r="K83" s="109" t="n"/>
      <c r="L83" s="121">
        <f>IF($C83="","",IF($D83="Gider",$E83,$H83))</f>
        <v/>
      </c>
      <c r="M83" s="121">
        <f>IF($C83="","",IF($D83="Gider",$H83,$E83))</f>
        <v/>
      </c>
      <c r="N83" s="231">
        <f>IF($C83="","",DATE(YEAR($C83),MONTH($C83),1))</f>
        <v/>
      </c>
      <c r="O83" s="113">
        <f>IF($C83="","",IF(AND($D83&lt;&gt;"",$E83&lt;&gt;"",$G83&gt;0,$H83&lt;&gt;"",$I83&lt;&gt;""),IF($C83&gt;TODAY(),"İLERİ TARİH","UYGUN"),"EKSİK"))</f>
        <v/>
      </c>
      <c r="P83" s="6" t="n"/>
      <c r="Q83" s="6" t="n"/>
      <c r="R83" s="3" t="n"/>
      <c r="S83" s="3" t="n"/>
      <c r="T83" s="3" t="n"/>
      <c r="U83" s="3" t="n"/>
      <c r="V83" s="3" t="n"/>
      <c r="W83" s="3" t="n"/>
    </row>
    <row r="84">
      <c r="A84" s="6" t="n"/>
      <c r="B84" s="113">
        <f>IF($C84="","","GG"&amp;TEXT(ROW()-6,"00000"))</f>
        <v/>
      </c>
      <c r="C84" s="225" t="n">
        <v>46137</v>
      </c>
      <c r="D84" s="108" t="inlineStr">
        <is>
          <t>Gider</t>
        </is>
      </c>
      <c r="E84" s="109" t="inlineStr">
        <is>
          <t>Temsil / Ağırlama</t>
        </is>
      </c>
      <c r="F84" s="109" t="inlineStr">
        <is>
          <t>Ofis Gıda Temizlik Alışverişi</t>
        </is>
      </c>
      <c r="G84" s="226" t="n">
        <v>270</v>
      </c>
      <c r="H84" s="108" t="inlineStr">
        <is>
          <t>Merkez Kasa</t>
        </is>
      </c>
      <c r="I84" s="108" t="inlineStr">
        <is>
          <t>Evet</t>
        </is>
      </c>
      <c r="J84" s="109" t="n"/>
      <c r="K84" s="109" t="n"/>
      <c r="L84" s="121">
        <f>IF($C84="","",IF($D84="Gider",$E84,$H84))</f>
        <v/>
      </c>
      <c r="M84" s="121">
        <f>IF($C84="","",IF($D84="Gider",$H84,$E84))</f>
        <v/>
      </c>
      <c r="N84" s="231">
        <f>IF($C84="","",DATE(YEAR($C84),MONTH($C84),1))</f>
        <v/>
      </c>
      <c r="O84" s="113">
        <f>IF($C84="","",IF(AND($D84&lt;&gt;"",$E84&lt;&gt;"",$G84&gt;0,$H84&lt;&gt;"",$I84&lt;&gt;""),IF($C84&gt;TODAY(),"İLERİ TARİH","UYGUN"),"EKSİK"))</f>
        <v/>
      </c>
      <c r="P84" s="6" t="n"/>
      <c r="Q84" s="6" t="n"/>
      <c r="R84" s="3" t="n"/>
      <c r="S84" s="3" t="n"/>
      <c r="T84" s="3" t="n"/>
      <c r="U84" s="3" t="n"/>
      <c r="V84" s="3" t="n"/>
      <c r="W84" s="3" t="n"/>
    </row>
    <row r="85">
      <c r="A85" s="6" t="n"/>
      <c r="B85" s="113">
        <f>IF($C85="","","GG"&amp;TEXT(ROW()-6,"00000"))</f>
        <v/>
      </c>
      <c r="C85" s="225" t="n">
        <v>46139</v>
      </c>
      <c r="D85" s="108" t="inlineStr">
        <is>
          <t>Gider</t>
        </is>
      </c>
      <c r="E85" s="109" t="inlineStr">
        <is>
          <t>Personel</t>
        </is>
      </c>
      <c r="F85" s="109" t="inlineStr">
        <is>
          <t>Zeynep Hanım Avans</t>
        </is>
      </c>
      <c r="G85" s="226" t="n">
        <v>20000</v>
      </c>
      <c r="H85" s="108" t="inlineStr">
        <is>
          <t>Merkez Kasa</t>
        </is>
      </c>
      <c r="I85" s="108" t="inlineStr">
        <is>
          <t>Evet</t>
        </is>
      </c>
      <c r="J85" s="109" t="n"/>
      <c r="K85" s="109" t="n"/>
      <c r="L85" s="121">
        <f>IF($C85="","",IF($D85="Gider",$E85,$H85))</f>
        <v/>
      </c>
      <c r="M85" s="121">
        <f>IF($C85="","",IF($D85="Gider",$H85,$E85))</f>
        <v/>
      </c>
      <c r="N85" s="231">
        <f>IF($C85="","",DATE(YEAR($C85),MONTH($C85),1))</f>
        <v/>
      </c>
      <c r="O85" s="113">
        <f>IF($C85="","",IF(AND($D85&lt;&gt;"",$E85&lt;&gt;"",$G85&gt;0,$H85&lt;&gt;"",$I85&lt;&gt;""),IF($C85&gt;TODAY(),"İLERİ TARİH","UYGUN"),"EKSİK"))</f>
        <v/>
      </c>
      <c r="P85" s="6" t="n"/>
      <c r="Q85" s="6" t="n"/>
      <c r="R85" s="3" t="n"/>
      <c r="S85" s="3" t="n"/>
      <c r="T85" s="3" t="n"/>
      <c r="U85" s="3" t="n"/>
      <c r="V85" s="3" t="n"/>
      <c r="W85" s="3" t="n"/>
    </row>
    <row r="86">
      <c r="A86" s="6" t="n"/>
      <c r="B86" s="113">
        <f>IF($C86="","","GG"&amp;TEXT(ROW()-6,"00000"))</f>
        <v/>
      </c>
      <c r="C86" s="225" t="n">
        <v>46139</v>
      </c>
      <c r="D86" s="108" t="inlineStr">
        <is>
          <t>Gider</t>
        </is>
      </c>
      <c r="E86" s="109" t="inlineStr">
        <is>
          <t>Vergi / Harç</t>
        </is>
      </c>
      <c r="F86" s="109" t="inlineStr">
        <is>
          <t>Bağkur Ödemesi</t>
        </is>
      </c>
      <c r="G86" s="226" t="n">
        <v>11810</v>
      </c>
      <c r="H86" s="108" t="inlineStr">
        <is>
          <t>Merkez Kasa</t>
        </is>
      </c>
      <c r="I86" s="108" t="inlineStr">
        <is>
          <t>Evet</t>
        </is>
      </c>
      <c r="J86" s="109" t="n"/>
      <c r="K86" s="109" t="n"/>
      <c r="L86" s="121">
        <f>IF($C86="","",IF($D86="Gider",$E86,$H86))</f>
        <v/>
      </c>
      <c r="M86" s="121">
        <f>IF($C86="","",IF($D86="Gider",$H86,$E86))</f>
        <v/>
      </c>
      <c r="N86" s="231">
        <f>IF($C86="","",DATE(YEAR($C86),MONTH($C86),1))</f>
        <v/>
      </c>
      <c r="O86" s="113">
        <f>IF($C86="","",IF(AND($D86&lt;&gt;"",$E86&lt;&gt;"",$G86&gt;0,$H86&lt;&gt;"",$I86&lt;&gt;""),IF($C86&gt;TODAY(),"İLERİ TARİH","UYGUN"),"EKSİK"))</f>
        <v/>
      </c>
      <c r="P86" s="6" t="n"/>
      <c r="Q86" s="6" t="n"/>
      <c r="R86" s="3" t="n"/>
      <c r="S86" s="3" t="n"/>
      <c r="T86" s="3" t="n"/>
      <c r="U86" s="3" t="n"/>
      <c r="V86" s="3" t="n"/>
      <c r="W86" s="3" t="n"/>
    </row>
    <row r="87">
      <c r="A87" s="6" t="n"/>
      <c r="B87" s="113">
        <f>IF($C87="","","GG"&amp;TEXT(ROW()-6,"00000"))</f>
        <v/>
      </c>
      <c r="C87" s="225" t="n">
        <v>46142</v>
      </c>
      <c r="D87" s="108" t="inlineStr">
        <is>
          <t>Gider</t>
        </is>
      </c>
      <c r="E87" s="109" t="inlineStr">
        <is>
          <t>Personel</t>
        </is>
      </c>
      <c r="F87" s="109" t="inlineStr">
        <is>
          <t>Zeynep Hanim Nisan Maaşı</t>
        </is>
      </c>
      <c r="G87" s="226" t="n">
        <v>60000</v>
      </c>
      <c r="H87" s="108" t="inlineStr">
        <is>
          <t>Merkez Kasa</t>
        </is>
      </c>
      <c r="I87" s="108" t="inlineStr">
        <is>
          <t>Evet</t>
        </is>
      </c>
      <c r="J87" s="109" t="n"/>
      <c r="K87" s="109" t="n"/>
      <c r="L87" s="121">
        <f>IF($C87="","",IF($D87="Gider",$E87,$H87))</f>
        <v/>
      </c>
      <c r="M87" s="121">
        <f>IF($C87="","",IF($D87="Gider",$H87,$E87))</f>
        <v/>
      </c>
      <c r="N87" s="231">
        <f>IF($C87="","",DATE(YEAR($C87),MONTH($C87),1))</f>
        <v/>
      </c>
      <c r="O87" s="113">
        <f>IF($C87="","",IF(AND($D87&lt;&gt;"",$E87&lt;&gt;"",$G87&gt;0,$H87&lt;&gt;"",$I87&lt;&gt;""),IF($C87&gt;TODAY(),"İLERİ TARİH","UYGUN"),"EKSİK"))</f>
        <v/>
      </c>
      <c r="P87" s="6" t="n"/>
      <c r="Q87" s="6" t="n"/>
      <c r="R87" s="3" t="n"/>
      <c r="S87" s="3" t="n"/>
      <c r="T87" s="3" t="n"/>
      <c r="U87" s="3" t="n"/>
      <c r="V87" s="3" t="n"/>
      <c r="W87" s="3" t="n"/>
    </row>
    <row r="88">
      <c r="A88" s="6" t="n"/>
      <c r="B88" s="113">
        <f>IF($C88="","","GG"&amp;TEXT(ROW()-6,"00000"))</f>
        <v/>
      </c>
      <c r="C88" s="225" t="n">
        <v>46142</v>
      </c>
      <c r="D88" s="108" t="inlineStr">
        <is>
          <t>Gider</t>
        </is>
      </c>
      <c r="E88" s="109" t="inlineStr">
        <is>
          <t>Ulaşım</t>
        </is>
      </c>
      <c r="F88" s="109" t="inlineStr">
        <is>
          <t>Araç Benzin</t>
        </is>
      </c>
      <c r="G88" s="226" t="n">
        <v>2000</v>
      </c>
      <c r="H88" s="108" t="inlineStr">
        <is>
          <t>Merkez Kasa</t>
        </is>
      </c>
      <c r="I88" s="108" t="inlineStr">
        <is>
          <t>Evet</t>
        </is>
      </c>
      <c r="J88" s="109" t="n"/>
      <c r="K88" s="109" t="n"/>
      <c r="L88" s="121">
        <f>IF($C88="","",IF($D88="Gider",$E88,$H88))</f>
        <v/>
      </c>
      <c r="M88" s="121">
        <f>IF($C88="","",IF($D88="Gider",$H88,$E88))</f>
        <v/>
      </c>
      <c r="N88" s="231">
        <f>IF($C88="","",DATE(YEAR($C88),MONTH($C88),1))</f>
        <v/>
      </c>
      <c r="O88" s="113">
        <f>IF($C88="","",IF(AND($D88&lt;&gt;"",$E88&lt;&gt;"",$G88&gt;0,$H88&lt;&gt;"",$I88&lt;&gt;""),IF($C88&gt;TODAY(),"İLERİ TARİH","UYGUN"),"EKSİK"))</f>
        <v/>
      </c>
      <c r="P88" s="6" t="n"/>
      <c r="Q88" s="6" t="n"/>
      <c r="R88" s="3" t="n"/>
      <c r="S88" s="3" t="n"/>
      <c r="T88" s="3" t="n"/>
      <c r="U88" s="3" t="n"/>
      <c r="V88" s="3" t="n"/>
      <c r="W88" s="3" t="n"/>
    </row>
    <row r="89">
      <c r="A89" s="6" t="n"/>
      <c r="B89" s="113">
        <f>IF($C89="","","GG"&amp;TEXT(ROW()-6,"00000"))</f>
        <v/>
      </c>
      <c r="C89" s="225" t="n">
        <v>46144</v>
      </c>
      <c r="D89" s="108" t="inlineStr">
        <is>
          <t>Gider</t>
        </is>
      </c>
      <c r="E89" s="109" t="inlineStr">
        <is>
          <t>Ulaşım</t>
        </is>
      </c>
      <c r="F89" s="109" t="inlineStr">
        <is>
          <t>Ömer TAG</t>
        </is>
      </c>
      <c r="G89" s="226" t="n">
        <v>1000</v>
      </c>
      <c r="H89" s="108" t="inlineStr">
        <is>
          <t>Merkez Kasa</t>
        </is>
      </c>
      <c r="I89" s="108" t="inlineStr">
        <is>
          <t>Evet</t>
        </is>
      </c>
      <c r="J89" s="109" t="n"/>
      <c r="K89" s="109" t="n"/>
      <c r="L89" s="121">
        <f>IF($C89="","",IF($D89="Gider",$E89,$H89))</f>
        <v/>
      </c>
      <c r="M89" s="121">
        <f>IF($C89="","",IF($D89="Gider",$H89,$E89))</f>
        <v/>
      </c>
      <c r="N89" s="231">
        <f>IF($C89="","",DATE(YEAR($C89),MONTH($C89),1))</f>
        <v/>
      </c>
      <c r="O89" s="113">
        <f>IF($C89="","",IF(AND($D89&lt;&gt;"",$E89&lt;&gt;"",$G89&gt;0,$H89&lt;&gt;"",$I89&lt;&gt;""),IF($C89&gt;TODAY(),"İLERİ TARİH","UYGUN"),"EKSİK"))</f>
        <v/>
      </c>
      <c r="P89" s="6" t="n"/>
      <c r="Q89" s="6" t="n"/>
      <c r="R89" s="3" t="n"/>
      <c r="S89" s="3" t="n"/>
      <c r="T89" s="3" t="n"/>
      <c r="U89" s="3" t="n"/>
      <c r="V89" s="3" t="n"/>
      <c r="W89" s="3" t="n"/>
    </row>
    <row r="90">
      <c r="A90" s="6" t="n"/>
      <c r="B90" s="113">
        <f>IF($C90="","","GG"&amp;TEXT(ROW()-6,"00000"))</f>
        <v/>
      </c>
      <c r="C90" s="225" t="n">
        <v>46144</v>
      </c>
      <c r="D90" s="108" t="inlineStr">
        <is>
          <t>Gider</t>
        </is>
      </c>
      <c r="E90" s="109" t="inlineStr">
        <is>
          <t>Ofis Kirası</t>
        </is>
      </c>
      <c r="F90" s="109" t="inlineStr">
        <is>
          <t>Haziran Ayı Ofis Kirası</t>
        </is>
      </c>
      <c r="G90" s="226" t="n">
        <v>14000</v>
      </c>
      <c r="H90" s="108" t="inlineStr">
        <is>
          <t>Merkez Kasa</t>
        </is>
      </c>
      <c r="I90" s="108" t="inlineStr">
        <is>
          <t>Evet</t>
        </is>
      </c>
      <c r="J90" s="109" t="n"/>
      <c r="K90" s="109" t="n"/>
      <c r="L90" s="121">
        <f>IF($C90="","",IF($D90="Gider",$E90,$H90))</f>
        <v/>
      </c>
      <c r="M90" s="121">
        <f>IF($C90="","",IF($D90="Gider",$H90,$E90))</f>
        <v/>
      </c>
      <c r="N90" s="231">
        <f>IF($C90="","",DATE(YEAR($C90),MONTH($C90),1))</f>
        <v/>
      </c>
      <c r="O90" s="113">
        <f>IF($C90="","",IF(AND($D90&lt;&gt;"",$E90&lt;&gt;"",$G90&gt;0,$H90&lt;&gt;"",$I90&lt;&gt;""),IF($C90&gt;TODAY(),"İLERİ TARİH","UYGUN"),"EKSİK"))</f>
        <v/>
      </c>
      <c r="P90" s="6" t="n"/>
      <c r="Q90" s="6" t="n"/>
      <c r="R90" s="3" t="n"/>
      <c r="S90" s="3" t="n"/>
      <c r="T90" s="3" t="n"/>
      <c r="U90" s="3" t="n"/>
      <c r="V90" s="3" t="n"/>
      <c r="W90" s="3" t="n"/>
    </row>
    <row r="91">
      <c r="A91" s="6" t="n"/>
      <c r="B91" s="113">
        <f>IF($C91="","","GG"&amp;TEXT(ROW()-6,"00000"))</f>
        <v/>
      </c>
      <c r="C91" s="225" t="n">
        <v>46144</v>
      </c>
      <c r="D91" s="108" t="inlineStr">
        <is>
          <t>Gider</t>
        </is>
      </c>
      <c r="E91" s="109" t="inlineStr">
        <is>
          <t>Ofis Kirası</t>
        </is>
      </c>
      <c r="F91" s="109" t="inlineStr">
        <is>
          <t>Haziran Aidat Ödemesi</t>
        </is>
      </c>
      <c r="G91" s="226" t="n">
        <v>2000</v>
      </c>
      <c r="H91" s="108" t="inlineStr">
        <is>
          <t>Merkez Kasa</t>
        </is>
      </c>
      <c r="I91" s="108" t="inlineStr">
        <is>
          <t>Evet</t>
        </is>
      </c>
      <c r="J91" s="109" t="n"/>
      <c r="K91" s="109" t="n"/>
      <c r="L91" s="121">
        <f>IF($C91="","",IF($D91="Gider",$E91,$H91))</f>
        <v/>
      </c>
      <c r="M91" s="121">
        <f>IF($C91="","",IF($D91="Gider",$H91,$E91))</f>
        <v/>
      </c>
      <c r="N91" s="231">
        <f>IF($C91="","",DATE(YEAR($C91),MONTH($C91),1))</f>
        <v/>
      </c>
      <c r="O91" s="113">
        <f>IF($C91="","",IF(AND($D91&lt;&gt;"",$E91&lt;&gt;"",$G91&gt;0,$H91&lt;&gt;"",$I91&lt;&gt;""),IF($C91&gt;TODAY(),"İLERİ TARİH","UYGUN"),"EKSİK"))</f>
        <v/>
      </c>
      <c r="P91" s="6" t="n"/>
      <c r="Q91" s="6" t="n"/>
      <c r="R91" s="3" t="n"/>
      <c r="S91" s="3" t="n"/>
      <c r="T91" s="3" t="n"/>
      <c r="U91" s="3" t="n"/>
      <c r="V91" s="3" t="n"/>
      <c r="W91" s="3" t="n"/>
    </row>
    <row r="92">
      <c r="A92" s="6" t="n"/>
      <c r="B92" s="113">
        <f>IF($C92="","","GG"&amp;TEXT(ROW()-6,"00000"))</f>
        <v/>
      </c>
      <c r="C92" s="225" t="n">
        <v>46144</v>
      </c>
      <c r="D92" s="108" t="inlineStr">
        <is>
          <t>Gider</t>
        </is>
      </c>
      <c r="E92" s="109" t="inlineStr">
        <is>
          <t>Ulaşım</t>
        </is>
      </c>
      <c r="F92" s="109" t="inlineStr">
        <is>
          <t>Araç Yakıt Alımı</t>
        </is>
      </c>
      <c r="G92" s="226" t="n">
        <v>2000</v>
      </c>
      <c r="H92" s="108" t="inlineStr">
        <is>
          <t>Merkez Kasa</t>
        </is>
      </c>
      <c r="I92" s="108" t="inlineStr">
        <is>
          <t>Evet</t>
        </is>
      </c>
      <c r="J92" s="109" t="n"/>
      <c r="K92" s="109" t="n"/>
      <c r="L92" s="121">
        <f>IF($C92="","",IF($D92="Gider",$E92,$H92))</f>
        <v/>
      </c>
      <c r="M92" s="121">
        <f>IF($C92="","",IF($D92="Gider",$H92,$E92))</f>
        <v/>
      </c>
      <c r="N92" s="231">
        <f>IF($C92="","",DATE(YEAR($C92),MONTH($C92),1))</f>
        <v/>
      </c>
      <c r="O92" s="113">
        <f>IF($C92="","",IF(AND($D92&lt;&gt;"",$E92&lt;&gt;"",$G92&gt;0,$H92&lt;&gt;"",$I92&lt;&gt;""),IF($C92&gt;TODAY(),"İLERİ TARİH","UYGUN"),"EKSİK"))</f>
        <v/>
      </c>
      <c r="P92" s="6" t="n"/>
      <c r="Q92" s="6" t="n"/>
      <c r="R92" s="3" t="n"/>
      <c r="S92" s="3" t="n"/>
      <c r="T92" s="3" t="n"/>
      <c r="U92" s="3" t="n"/>
      <c r="V92" s="3" t="n"/>
      <c r="W92" s="3" t="n"/>
    </row>
    <row r="93">
      <c r="A93" s="6" t="n"/>
      <c r="B93" s="113">
        <f>IF($C93="","","GG"&amp;TEXT(ROW()-6,"00000"))</f>
        <v/>
      </c>
      <c r="C93" s="225" t="n">
        <v>46146</v>
      </c>
      <c r="D93" s="108" t="inlineStr">
        <is>
          <t>Gider</t>
        </is>
      </c>
      <c r="E93" s="109" t="inlineStr">
        <is>
          <t>Ulaşım</t>
        </is>
      </c>
      <c r="F93" s="109" t="inlineStr">
        <is>
          <t>Yıkama</t>
        </is>
      </c>
      <c r="G93" s="226" t="n">
        <v>600</v>
      </c>
      <c r="H93" s="108" t="inlineStr">
        <is>
          <t>Merkez Kasa</t>
        </is>
      </c>
      <c r="I93" s="108" t="inlineStr">
        <is>
          <t>Evet</t>
        </is>
      </c>
      <c r="J93" s="109" t="n"/>
      <c r="K93" s="109" t="n"/>
      <c r="L93" s="121">
        <f>IF($C93="","",IF($D93="Gider",$E93,$H93))</f>
        <v/>
      </c>
      <c r="M93" s="121">
        <f>IF($C93="","",IF($D93="Gider",$H93,$E93))</f>
        <v/>
      </c>
      <c r="N93" s="231">
        <f>IF($C93="","",DATE(YEAR($C93),MONTH($C93),1))</f>
        <v/>
      </c>
      <c r="O93" s="113">
        <f>IF($C93="","",IF(AND($D93&lt;&gt;"",$E93&lt;&gt;"",$G93&gt;0,$H93&lt;&gt;"",$I93&lt;&gt;""),IF($C93&gt;TODAY(),"İLERİ TARİH","UYGUN"),"EKSİK"))</f>
        <v/>
      </c>
      <c r="P93" s="6" t="n"/>
      <c r="Q93" s="6" t="n"/>
      <c r="R93" s="3" t="n"/>
      <c r="S93" s="3" t="n"/>
      <c r="T93" s="3" t="n"/>
      <c r="U93" s="3" t="n"/>
      <c r="V93" s="3" t="n"/>
      <c r="W93" s="3" t="n"/>
    </row>
    <row r="94">
      <c r="A94" s="6" t="n"/>
      <c r="B94" s="113">
        <f>IF($C94="","","GG"&amp;TEXT(ROW()-6,"00000"))</f>
        <v/>
      </c>
      <c r="C94" s="225" t="n">
        <v>46147</v>
      </c>
      <c r="D94" s="108" t="inlineStr">
        <is>
          <t>Gider</t>
        </is>
      </c>
      <c r="E94" s="109" t="inlineStr">
        <is>
          <t>Personel</t>
        </is>
      </c>
      <c r="F94" s="109" t="inlineStr">
        <is>
          <t>Irmak Harçlık</t>
        </is>
      </c>
      <c r="G94" s="226" t="n">
        <v>10000</v>
      </c>
      <c r="H94" s="108" t="inlineStr">
        <is>
          <t>Merkez Kasa</t>
        </is>
      </c>
      <c r="I94" s="108" t="inlineStr">
        <is>
          <t>Evet</t>
        </is>
      </c>
      <c r="J94" s="109" t="n"/>
      <c r="K94" s="109" t="n"/>
      <c r="L94" s="121">
        <f>IF($C94="","",IF($D94="Gider",$E94,$H94))</f>
        <v/>
      </c>
      <c r="M94" s="121">
        <f>IF($C94="","",IF($D94="Gider",$H94,$E94))</f>
        <v/>
      </c>
      <c r="N94" s="231">
        <f>IF($C94="","",DATE(YEAR($C94),MONTH($C94),1))</f>
        <v/>
      </c>
      <c r="O94" s="113">
        <f>IF($C94="","",IF(AND($D94&lt;&gt;"",$E94&lt;&gt;"",$G94&gt;0,$H94&lt;&gt;"",$I94&lt;&gt;""),IF($C94&gt;TODAY(),"İLERİ TARİH","UYGUN"),"EKSİK"))</f>
        <v/>
      </c>
      <c r="P94" s="6" t="n"/>
      <c r="Q94" s="6" t="n"/>
      <c r="R94" s="3" t="n"/>
      <c r="S94" s="3" t="n"/>
      <c r="T94" s="3" t="n"/>
      <c r="U94" s="3" t="n"/>
      <c r="V94" s="3" t="n"/>
      <c r="W94" s="3" t="n"/>
    </row>
    <row r="95">
      <c r="A95" s="6" t="n"/>
      <c r="B95" s="113">
        <f>IF($C95="","","GG"&amp;TEXT(ROW()-6,"00000"))</f>
        <v/>
      </c>
      <c r="C95" s="225" t="n">
        <v>46151</v>
      </c>
      <c r="D95" s="108" t="inlineStr">
        <is>
          <t>Gider</t>
        </is>
      </c>
      <c r="E95" s="109" t="inlineStr">
        <is>
          <t>Telefon / İnternet</t>
        </is>
      </c>
      <c r="F95" s="109" t="inlineStr">
        <is>
          <t>Telefon</t>
        </is>
      </c>
      <c r="G95" s="226" t="n">
        <v>964</v>
      </c>
      <c r="H95" s="108" t="inlineStr">
        <is>
          <t>Merkez Kasa</t>
        </is>
      </c>
      <c r="I95" s="108" t="inlineStr">
        <is>
          <t>Evet</t>
        </is>
      </c>
      <c r="J95" s="109" t="n"/>
      <c r="K95" s="109" t="n"/>
      <c r="L95" s="121">
        <f>IF($C95="","",IF($D95="Gider",$E95,$H95))</f>
        <v/>
      </c>
      <c r="M95" s="121">
        <f>IF($C95="","",IF($D95="Gider",$H95,$E95))</f>
        <v/>
      </c>
      <c r="N95" s="231">
        <f>IF($C95="","",DATE(YEAR($C95),MONTH($C95),1))</f>
        <v/>
      </c>
      <c r="O95" s="113">
        <f>IF($C95="","",IF(AND($D95&lt;&gt;"",$E95&lt;&gt;"",$G95&gt;0,$H95&lt;&gt;"",$I95&lt;&gt;""),IF($C95&gt;TODAY(),"İLERİ TARİH","UYGUN"),"EKSİK"))</f>
        <v/>
      </c>
      <c r="P95" s="6" t="n"/>
      <c r="Q95" s="6" t="n"/>
      <c r="R95" s="3" t="n"/>
      <c r="S95" s="3" t="n"/>
      <c r="T95" s="3" t="n"/>
      <c r="U95" s="3" t="n"/>
      <c r="V95" s="3" t="n"/>
      <c r="W95" s="3" t="n"/>
    </row>
    <row r="96">
      <c r="A96" s="6" t="n"/>
      <c r="B96" s="113">
        <f>IF($C96="","","GG"&amp;TEXT(ROW()-6,"00000"))</f>
        <v/>
      </c>
      <c r="C96" s="225" t="n">
        <v>46151</v>
      </c>
      <c r="D96" s="108" t="inlineStr">
        <is>
          <t>Gider</t>
        </is>
      </c>
      <c r="E96" s="109" t="inlineStr">
        <is>
          <t>Telefon / İnternet</t>
        </is>
      </c>
      <c r="F96" s="109" t="inlineStr">
        <is>
          <t>Ofis Whatsapp Hattı Mayıs</t>
        </is>
      </c>
      <c r="G96" s="226" t="n">
        <v>800</v>
      </c>
      <c r="H96" s="108" t="inlineStr">
        <is>
          <t>Merkez Kasa</t>
        </is>
      </c>
      <c r="I96" s="108" t="inlineStr">
        <is>
          <t>Evet</t>
        </is>
      </c>
      <c r="J96" s="109" t="n"/>
      <c r="K96" s="109" t="n"/>
      <c r="L96" s="121">
        <f>IF($C96="","",IF($D96="Gider",$E96,$H96))</f>
        <v/>
      </c>
      <c r="M96" s="121">
        <f>IF($C96="","",IF($D96="Gider",$H96,$E96))</f>
        <v/>
      </c>
      <c r="N96" s="231">
        <f>IF($C96="","",DATE(YEAR($C96),MONTH($C96),1))</f>
        <v/>
      </c>
      <c r="O96" s="113">
        <f>IF($C96="","",IF(AND($D96&lt;&gt;"",$E96&lt;&gt;"",$G96&gt;0,$H96&lt;&gt;"",$I96&lt;&gt;""),IF($C96&gt;TODAY(),"İLERİ TARİH","UYGUN"),"EKSİK"))</f>
        <v/>
      </c>
      <c r="P96" s="6" t="n"/>
      <c r="Q96" s="6" t="n"/>
      <c r="R96" s="3" t="n"/>
      <c r="S96" s="3" t="n"/>
      <c r="T96" s="3" t="n"/>
      <c r="U96" s="3" t="n"/>
      <c r="V96" s="3" t="n"/>
      <c r="W96" s="3" t="n"/>
    </row>
    <row r="97">
      <c r="A97" s="6" t="n"/>
      <c r="B97" s="113">
        <f>IF($C97="","","GG"&amp;TEXT(ROW()-6,"00000"))</f>
        <v/>
      </c>
      <c r="C97" s="225" t="n">
        <v>46151</v>
      </c>
      <c r="D97" s="108" t="inlineStr">
        <is>
          <t>Gider</t>
        </is>
      </c>
      <c r="E97" s="109" t="inlineStr">
        <is>
          <t>Diğer Gider</t>
        </is>
      </c>
      <c r="F97" s="109" t="inlineStr">
        <is>
          <t>M.Ali Kartal Nisan ve Mayıs Maaşı</t>
        </is>
      </c>
      <c r="G97" s="226" t="n">
        <v>51500</v>
      </c>
      <c r="H97" s="108" t="inlineStr">
        <is>
          <t>Merkez Kasa</t>
        </is>
      </c>
      <c r="I97" s="108" t="inlineStr">
        <is>
          <t>Evet</t>
        </is>
      </c>
      <c r="J97" s="109" t="n"/>
      <c r="K97" s="109" t="n"/>
      <c r="L97" s="121">
        <f>IF($C97="","",IF($D97="Gider",$E97,$H97))</f>
        <v/>
      </c>
      <c r="M97" s="121">
        <f>IF($C97="","",IF($D97="Gider",$H97,$E97))</f>
        <v/>
      </c>
      <c r="N97" s="231">
        <f>IF($C97="","",DATE(YEAR($C97),MONTH($C97),1))</f>
        <v/>
      </c>
      <c r="O97" s="113">
        <f>IF($C97="","",IF(AND($D97&lt;&gt;"",$E97&lt;&gt;"",$G97&gt;0,$H97&lt;&gt;"",$I97&lt;&gt;""),IF($C97&gt;TODAY(),"İLERİ TARİH","UYGUN"),"EKSİK"))</f>
        <v/>
      </c>
      <c r="P97" s="6" t="n"/>
      <c r="Q97" s="6" t="n"/>
      <c r="R97" s="3" t="n"/>
      <c r="S97" s="3" t="n"/>
      <c r="T97" s="3" t="n"/>
      <c r="U97" s="3" t="n"/>
      <c r="V97" s="3" t="n"/>
      <c r="W97" s="3" t="n"/>
    </row>
    <row r="98">
      <c r="A98" s="6" t="n"/>
      <c r="B98" s="113">
        <f>IF($C98="","","GG"&amp;TEXT(ROW()-6,"00000"))</f>
        <v/>
      </c>
      <c r="C98" s="225" t="n">
        <v>46151</v>
      </c>
      <c r="D98" s="108" t="inlineStr">
        <is>
          <t>Gider</t>
        </is>
      </c>
      <c r="E98" s="109" t="inlineStr">
        <is>
          <t>Ulaşım</t>
        </is>
      </c>
      <c r="F98" s="109" t="inlineStr">
        <is>
          <t>Araç Yakıt Alımı</t>
        </is>
      </c>
      <c r="G98" s="226" t="n">
        <v>2000</v>
      </c>
      <c r="H98" s="108" t="inlineStr">
        <is>
          <t>Merkez Kasa</t>
        </is>
      </c>
      <c r="I98" s="108" t="inlineStr">
        <is>
          <t>Evet</t>
        </is>
      </c>
      <c r="J98" s="109" t="n"/>
      <c r="K98" s="109" t="n"/>
      <c r="L98" s="121">
        <f>IF($C98="","",IF($D98="Gider",$E98,$H98))</f>
        <v/>
      </c>
      <c r="M98" s="121">
        <f>IF($C98="","",IF($D98="Gider",$H98,$E98))</f>
        <v/>
      </c>
      <c r="N98" s="231">
        <f>IF($C98="","",DATE(YEAR($C98),MONTH($C98),1))</f>
        <v/>
      </c>
      <c r="O98" s="113">
        <f>IF($C98="","",IF(AND($D98&lt;&gt;"",$E98&lt;&gt;"",$G98&gt;0,$H98&lt;&gt;"",$I98&lt;&gt;""),IF($C98&gt;TODAY(),"İLERİ TARİH","UYGUN"),"EKSİK"))</f>
        <v/>
      </c>
      <c r="P98" s="6" t="n"/>
      <c r="Q98" s="6" t="n"/>
      <c r="R98" s="3" t="n"/>
      <c r="S98" s="3" t="n"/>
      <c r="T98" s="3" t="n"/>
      <c r="U98" s="3" t="n"/>
      <c r="V98" s="3" t="n"/>
      <c r="W98" s="3" t="n"/>
    </row>
    <row r="99">
      <c r="A99" s="6" t="n"/>
      <c r="B99" s="113">
        <f>IF($C99="","","GG"&amp;TEXT(ROW()-6,"00000"))</f>
        <v/>
      </c>
      <c r="C99" s="225" t="n">
        <v>46157</v>
      </c>
      <c r="D99" s="108" t="inlineStr">
        <is>
          <t>Gider</t>
        </is>
      </c>
      <c r="E99" s="109" t="inlineStr">
        <is>
          <t>Kırtasiye</t>
        </is>
      </c>
      <c r="F99" s="109" t="inlineStr">
        <is>
          <t xml:space="preserve">Mail Depolama </t>
        </is>
      </c>
      <c r="G99" s="226" t="n">
        <v>80</v>
      </c>
      <c r="H99" s="108" t="inlineStr">
        <is>
          <t>Merkez Kasa</t>
        </is>
      </c>
      <c r="I99" s="108" t="inlineStr">
        <is>
          <t>Evet</t>
        </is>
      </c>
      <c r="J99" s="109" t="n"/>
      <c r="K99" s="109" t="n"/>
      <c r="L99" s="121">
        <f>IF($C99="","",IF($D99="Gider",$E99,$H99))</f>
        <v/>
      </c>
      <c r="M99" s="121">
        <f>IF($C99="","",IF($D99="Gider",$H99,$E99))</f>
        <v/>
      </c>
      <c r="N99" s="231">
        <f>IF($C99="","",DATE(YEAR($C99),MONTH($C99),1))</f>
        <v/>
      </c>
      <c r="O99" s="113">
        <f>IF($C99="","",IF(AND($D99&lt;&gt;"",$E99&lt;&gt;"",$G99&gt;0,$H99&lt;&gt;"",$I99&lt;&gt;""),IF($C99&gt;TODAY(),"İLERİ TARİH","UYGUN"),"EKSİK"))</f>
        <v/>
      </c>
      <c r="P99" s="6" t="n"/>
      <c r="Q99" s="6" t="n"/>
      <c r="R99" s="3" t="n"/>
      <c r="S99" s="3" t="n"/>
      <c r="T99" s="3" t="n"/>
      <c r="U99" s="3" t="n"/>
      <c r="V99" s="3" t="n"/>
      <c r="W99" s="3" t="n"/>
    </row>
    <row r="100">
      <c r="A100" s="6" t="n"/>
      <c r="B100" s="113">
        <f>IF($C100="","","GG"&amp;TEXT(ROW()-6,"00000"))</f>
        <v/>
      </c>
      <c r="C100" s="225" t="n">
        <v>46158</v>
      </c>
      <c r="D100" s="108" t="inlineStr">
        <is>
          <t>Gider</t>
        </is>
      </c>
      <c r="E100" s="109" t="inlineStr">
        <is>
          <t>Ulaşım</t>
        </is>
      </c>
      <c r="F100" s="109" t="inlineStr">
        <is>
          <t xml:space="preserve">Taksi </t>
        </is>
      </c>
      <c r="G100" s="226" t="n">
        <v>600</v>
      </c>
      <c r="H100" s="108" t="inlineStr">
        <is>
          <t>Merkez Kasa</t>
        </is>
      </c>
      <c r="I100" s="108" t="inlineStr">
        <is>
          <t>Evet</t>
        </is>
      </c>
      <c r="J100" s="109" t="n"/>
      <c r="K100" s="109" t="n"/>
      <c r="L100" s="121">
        <f>IF($C100="","",IF($D100="Gider",$E100,$H100))</f>
        <v/>
      </c>
      <c r="M100" s="121">
        <f>IF($C100="","",IF($D100="Gider",$H100,$E100))</f>
        <v/>
      </c>
      <c r="N100" s="231">
        <f>IF($C100="","",DATE(YEAR($C100),MONTH($C100),1))</f>
        <v/>
      </c>
      <c r="O100" s="113">
        <f>IF($C100="","",IF(AND($D100&lt;&gt;"",$E100&lt;&gt;"",$G100&gt;0,$H100&lt;&gt;"",$I100&lt;&gt;""),IF($C100&gt;TODAY(),"İLERİ TARİH","UYGUN"),"EKSİK"))</f>
        <v/>
      </c>
      <c r="P100" s="6" t="n"/>
      <c r="Q100" s="6" t="n"/>
      <c r="R100" s="3" t="n"/>
      <c r="S100" s="3" t="n"/>
      <c r="T100" s="3" t="n"/>
      <c r="U100" s="3" t="n"/>
      <c r="V100" s="3" t="n"/>
      <c r="W100" s="3" t="n"/>
    </row>
    <row r="101">
      <c r="A101" s="6" t="n"/>
      <c r="B101" s="113">
        <f>IF($C101="","","GG"&amp;TEXT(ROW()-6,"00000"))</f>
        <v/>
      </c>
      <c r="C101" s="225" t="n">
        <v>46158</v>
      </c>
      <c r="D101" s="108" t="inlineStr">
        <is>
          <t>Gider</t>
        </is>
      </c>
      <c r="E101" s="109" t="inlineStr">
        <is>
          <t>Personel</t>
        </is>
      </c>
      <c r="F101" s="109" t="inlineStr">
        <is>
          <t>Zeynep Nisan Maaşı Ödemesi</t>
        </is>
      </c>
      <c r="G101" s="226" t="n">
        <v>60000</v>
      </c>
      <c r="H101" s="108" t="inlineStr">
        <is>
          <t>Merkez Kasa</t>
        </is>
      </c>
      <c r="I101" s="108" t="inlineStr">
        <is>
          <t>Evet</t>
        </is>
      </c>
      <c r="J101" s="109" t="n"/>
      <c r="K101" s="109" t="n"/>
      <c r="L101" s="121">
        <f>IF($C101="","",IF($D101="Gider",$E101,$H101))</f>
        <v/>
      </c>
      <c r="M101" s="121">
        <f>IF($C101="","",IF($D101="Gider",$H101,$E101))</f>
        <v/>
      </c>
      <c r="N101" s="231">
        <f>IF($C101="","",DATE(YEAR($C101),MONTH($C101),1))</f>
        <v/>
      </c>
      <c r="O101" s="113">
        <f>IF($C101="","",IF(AND($D101&lt;&gt;"",$E101&lt;&gt;"",$G101&gt;0,$H101&lt;&gt;"",$I101&lt;&gt;""),IF($C101&gt;TODAY(),"İLERİ TARİH","UYGUN"),"EKSİK"))</f>
        <v/>
      </c>
      <c r="P101" s="6" t="n"/>
      <c r="Q101" s="6" t="n"/>
      <c r="R101" s="3" t="n"/>
      <c r="S101" s="3" t="n"/>
      <c r="T101" s="3" t="n"/>
      <c r="U101" s="3" t="n"/>
      <c r="V101" s="3" t="n"/>
      <c r="W101" s="3" t="n"/>
    </row>
    <row r="102">
      <c r="A102" s="6" t="n"/>
      <c r="B102" s="113">
        <f>IF($C102="","","GG"&amp;TEXT(ROW()-6,"00000"))</f>
        <v/>
      </c>
      <c r="C102" s="225" t="n">
        <v>46165</v>
      </c>
      <c r="D102" s="108" t="inlineStr">
        <is>
          <t>Gider</t>
        </is>
      </c>
      <c r="E102" s="109" t="inlineStr">
        <is>
          <t>Ulaşım</t>
        </is>
      </c>
      <c r="F102" s="109" t="inlineStr">
        <is>
          <t xml:space="preserve">Araç Yakıt Alımı ( Ömer ) </t>
        </is>
      </c>
      <c r="G102" s="226" t="n">
        <v>2000</v>
      </c>
      <c r="H102" s="108" t="inlineStr">
        <is>
          <t>Merkez Kasa</t>
        </is>
      </c>
      <c r="I102" s="108" t="inlineStr">
        <is>
          <t>Evet</t>
        </is>
      </c>
      <c r="J102" s="109" t="n"/>
      <c r="K102" s="109" t="n"/>
      <c r="L102" s="121">
        <f>IF($C102="","",IF($D102="Gider",$E102,$H102))</f>
        <v/>
      </c>
      <c r="M102" s="121">
        <f>IF($C102="","",IF($D102="Gider",$H102,$E102))</f>
        <v/>
      </c>
      <c r="N102" s="231">
        <f>IF($C102="","",DATE(YEAR($C102),MONTH($C102),1))</f>
        <v/>
      </c>
      <c r="O102" s="113">
        <f>IF($C102="","",IF(AND($D102&lt;&gt;"",$E102&lt;&gt;"",$G102&gt;0,$H102&lt;&gt;"",$I102&lt;&gt;""),IF($C102&gt;TODAY(),"İLERİ TARİH","UYGUN"),"EKSİK"))</f>
        <v/>
      </c>
      <c r="P102" s="6" t="n"/>
      <c r="Q102" s="6" t="n"/>
      <c r="R102" s="3" t="n"/>
      <c r="S102" s="3" t="n"/>
      <c r="T102" s="3" t="n"/>
      <c r="U102" s="3" t="n"/>
      <c r="V102" s="3" t="n"/>
      <c r="W102" s="3" t="n"/>
    </row>
    <row r="103">
      <c r="A103" s="6" t="n"/>
      <c r="B103" s="113">
        <f>IF($C103="","","GG"&amp;TEXT(ROW()-6,"00000"))</f>
        <v/>
      </c>
      <c r="C103" s="225" t="n">
        <v>46165</v>
      </c>
      <c r="D103" s="108" t="inlineStr">
        <is>
          <t>Gider</t>
        </is>
      </c>
      <c r="E103" s="109" t="inlineStr">
        <is>
          <t>Vergi / Harç</t>
        </is>
      </c>
      <c r="F103" s="109" t="inlineStr">
        <is>
          <t>Bağkur Ödemesi</t>
        </is>
      </c>
      <c r="G103" s="226" t="n">
        <v>11810</v>
      </c>
      <c r="H103" s="108" t="inlineStr">
        <is>
          <t>Merkez Kasa</t>
        </is>
      </c>
      <c r="I103" s="108" t="inlineStr">
        <is>
          <t>Evet</t>
        </is>
      </c>
      <c r="J103" s="109" t="n"/>
      <c r="K103" s="109" t="n"/>
      <c r="L103" s="121">
        <f>IF($C103="","",IF($D103="Gider",$E103,$H103))</f>
        <v/>
      </c>
      <c r="M103" s="121">
        <f>IF($C103="","",IF($D103="Gider",$H103,$E103))</f>
        <v/>
      </c>
      <c r="N103" s="231">
        <f>IF($C103="","",DATE(YEAR($C103),MONTH($C103),1))</f>
        <v/>
      </c>
      <c r="O103" s="113">
        <f>IF($C103="","",IF(AND($D103&lt;&gt;"",$E103&lt;&gt;"",$G103&gt;0,$H103&lt;&gt;"",$I103&lt;&gt;""),IF($C103&gt;TODAY(),"İLERİ TARİH","UYGUN"),"EKSİK"))</f>
        <v/>
      </c>
      <c r="P103" s="6" t="n"/>
      <c r="Q103" s="6" t="n"/>
      <c r="R103" s="3" t="n"/>
      <c r="S103" s="3" t="n"/>
      <c r="T103" s="3" t="n"/>
      <c r="U103" s="3" t="n"/>
      <c r="V103" s="3" t="n"/>
      <c r="W103" s="3" t="n"/>
    </row>
    <row r="104">
      <c r="A104" s="6" t="n"/>
      <c r="B104" s="113">
        <f>IF($C104="","","GG"&amp;TEXT(ROW()-6,"00000"))</f>
        <v/>
      </c>
      <c r="C104" s="225" t="n">
        <v>46165</v>
      </c>
      <c r="D104" s="108" t="inlineStr">
        <is>
          <t>Gider</t>
        </is>
      </c>
      <c r="E104" s="109" t="inlineStr">
        <is>
          <t>Ulaşım</t>
        </is>
      </c>
      <c r="F104" s="109" t="inlineStr">
        <is>
          <t>Araç Yakıt Alımı</t>
        </is>
      </c>
      <c r="G104" s="226" t="n">
        <v>2000</v>
      </c>
      <c r="H104" s="108" t="inlineStr">
        <is>
          <t>Merkez Kasa</t>
        </is>
      </c>
      <c r="I104" s="108" t="inlineStr">
        <is>
          <t>Evet</t>
        </is>
      </c>
      <c r="J104" s="109" t="n"/>
      <c r="K104" s="109" t="n"/>
      <c r="L104" s="121">
        <f>IF($C104="","",IF($D104="Gider",$E104,$H104))</f>
        <v/>
      </c>
      <c r="M104" s="121">
        <f>IF($C104="","",IF($D104="Gider",$H104,$E104))</f>
        <v/>
      </c>
      <c r="N104" s="231">
        <f>IF($C104="","",DATE(YEAR($C104),MONTH($C104),1))</f>
        <v/>
      </c>
      <c r="O104" s="113">
        <f>IF($C104="","",IF(AND($D104&lt;&gt;"",$E104&lt;&gt;"",$G104&gt;0,$H104&lt;&gt;"",$I104&lt;&gt;""),IF($C104&gt;TODAY(),"İLERİ TARİH","UYGUN"),"EKSİK"))</f>
        <v/>
      </c>
      <c r="P104" s="6" t="n"/>
      <c r="Q104" s="6" t="n"/>
      <c r="R104" s="3" t="n"/>
      <c r="S104" s="3" t="n"/>
      <c r="T104" s="3" t="n"/>
      <c r="U104" s="3" t="n"/>
      <c r="V104" s="3" t="n"/>
      <c r="W104" s="3" t="n"/>
    </row>
    <row r="105">
      <c r="A105" s="6" t="n"/>
      <c r="B105" s="113">
        <f>IF($C105="","","GG"&amp;TEXT(ROW()-6,"00000"))</f>
        <v/>
      </c>
      <c r="C105" s="225" t="n">
        <v>46169</v>
      </c>
      <c r="D105" s="108" t="inlineStr">
        <is>
          <t>Gider</t>
        </is>
      </c>
      <c r="E105" s="109" t="inlineStr">
        <is>
          <t>Diğer Gider</t>
        </is>
      </c>
      <c r="F105" s="109" t="inlineStr">
        <is>
          <t>Mehmet Ali Kartal Haziran Maaşı</t>
        </is>
      </c>
      <c r="G105" s="226" t="n">
        <v>30000</v>
      </c>
      <c r="H105" s="108" t="inlineStr">
        <is>
          <t>Merkez Kasa</t>
        </is>
      </c>
      <c r="I105" s="108" t="inlineStr">
        <is>
          <t>Evet</t>
        </is>
      </c>
      <c r="J105" s="109" t="n"/>
      <c r="K105" s="109" t="n"/>
      <c r="L105" s="121">
        <f>IF($C105="","",IF($D105="Gider",$E105,$H105))</f>
        <v/>
      </c>
      <c r="M105" s="121">
        <f>IF($C105="","",IF($D105="Gider",$H105,$E105))</f>
        <v/>
      </c>
      <c r="N105" s="231">
        <f>IF($C105="","",DATE(YEAR($C105),MONTH($C105),1))</f>
        <v/>
      </c>
      <c r="O105" s="113">
        <f>IF($C105="","",IF(AND($D105&lt;&gt;"",$E105&lt;&gt;"",$G105&gt;0,$H105&lt;&gt;"",$I105&lt;&gt;""),IF($C105&gt;TODAY(),"İLERİ TARİH","UYGUN"),"EKSİK"))</f>
        <v/>
      </c>
      <c r="P105" s="6" t="n"/>
      <c r="Q105" s="6" t="n"/>
      <c r="R105" s="3" t="n"/>
      <c r="S105" s="3" t="n"/>
      <c r="T105" s="3" t="n"/>
      <c r="U105" s="3" t="n"/>
      <c r="V105" s="3" t="n"/>
      <c r="W105" s="3" t="n"/>
    </row>
    <row r="106">
      <c r="A106" s="6" t="n"/>
      <c r="B106" s="113">
        <f>IF($C106="","","GG"&amp;TEXT(ROW()-6,"00000"))</f>
        <v/>
      </c>
      <c r="C106" s="225" t="n">
        <v>46173</v>
      </c>
      <c r="D106" s="108" t="inlineStr">
        <is>
          <t>Gider</t>
        </is>
      </c>
      <c r="E106" s="109" t="inlineStr">
        <is>
          <t>Ulaşım</t>
        </is>
      </c>
      <c r="F106" s="109" t="inlineStr">
        <is>
          <t>AraçYakıt</t>
        </is>
      </c>
      <c r="G106" s="226" t="n">
        <v>2000</v>
      </c>
      <c r="H106" s="108" t="inlineStr">
        <is>
          <t>Merkez Kasa</t>
        </is>
      </c>
      <c r="I106" s="108" t="inlineStr">
        <is>
          <t>Evet</t>
        </is>
      </c>
      <c r="J106" s="109" t="n"/>
      <c r="K106" s="109" t="n"/>
      <c r="L106" s="121">
        <f>IF($C106="","",IF($D106="Gider",$E106,$H106))</f>
        <v/>
      </c>
      <c r="M106" s="121">
        <f>IF($C106="","",IF($D106="Gider",$H106,$E106))</f>
        <v/>
      </c>
      <c r="N106" s="231">
        <f>IF($C106="","",DATE(YEAR($C106),MONTH($C106),1))</f>
        <v/>
      </c>
      <c r="O106" s="113">
        <f>IF($C106="","",IF(AND($D106&lt;&gt;"",$E106&lt;&gt;"",$G106&gt;0,$H106&lt;&gt;"",$I106&lt;&gt;""),IF($C106&gt;TODAY(),"İLERİ TARİH","UYGUN"),"EKSİK"))</f>
        <v/>
      </c>
      <c r="P106" s="6" t="n"/>
      <c r="Q106" s="6" t="n"/>
      <c r="R106" s="3" t="n"/>
      <c r="S106" s="3" t="n"/>
      <c r="T106" s="3" t="n"/>
      <c r="U106" s="3" t="n"/>
      <c r="V106" s="3" t="n"/>
      <c r="W106" s="3" t="n"/>
    </row>
    <row r="107">
      <c r="A107" s="6" t="n"/>
      <c r="B107" s="113">
        <f>IF($C107="","","GG"&amp;TEXT(ROW()-6,"00000"))</f>
        <v/>
      </c>
      <c r="C107" s="225" t="n">
        <v>46173</v>
      </c>
      <c r="D107" s="108" t="inlineStr">
        <is>
          <t>Gider</t>
        </is>
      </c>
      <c r="E107" s="109" t="inlineStr">
        <is>
          <t>Ulaşım</t>
        </is>
      </c>
      <c r="F107" s="109" t="inlineStr">
        <is>
          <t>Araç Yakıt Alımı</t>
        </is>
      </c>
      <c r="G107" s="226" t="n">
        <v>2000</v>
      </c>
      <c r="H107" s="108" t="inlineStr">
        <is>
          <t>Merkez Kasa</t>
        </is>
      </c>
      <c r="I107" s="108" t="inlineStr">
        <is>
          <t>Evet</t>
        </is>
      </c>
      <c r="J107" s="109" t="n"/>
      <c r="K107" s="109" t="n"/>
      <c r="L107" s="121">
        <f>IF($C107="","",IF($D107="Gider",$E107,$H107))</f>
        <v/>
      </c>
      <c r="M107" s="121">
        <f>IF($C107="","",IF($D107="Gider",$H107,$E107))</f>
        <v/>
      </c>
      <c r="N107" s="231">
        <f>IF($C107="","",DATE(YEAR($C107),MONTH($C107),1))</f>
        <v/>
      </c>
      <c r="O107" s="113">
        <f>IF($C107="","",IF(AND($D107&lt;&gt;"",$E107&lt;&gt;"",$G107&gt;0,$H107&lt;&gt;"",$I107&lt;&gt;""),IF($C107&gt;TODAY(),"İLERİ TARİH","UYGUN"),"EKSİK"))</f>
        <v/>
      </c>
      <c r="P107" s="6" t="n"/>
      <c r="Q107" s="6" t="n"/>
      <c r="R107" s="3" t="n"/>
      <c r="S107" s="3" t="n"/>
      <c r="T107" s="3" t="n"/>
      <c r="U107" s="3" t="n"/>
      <c r="V107" s="3" t="n"/>
      <c r="W107" s="3" t="n"/>
    </row>
    <row r="108">
      <c r="A108" s="6" t="n"/>
      <c r="B108" s="113">
        <f>IF($C108="","","GG"&amp;TEXT(ROW()-6,"00000"))</f>
        <v/>
      </c>
      <c r="C108" s="225" t="n">
        <v>46179</v>
      </c>
      <c r="D108" s="108" t="inlineStr">
        <is>
          <t>Gider</t>
        </is>
      </c>
      <c r="E108" s="109" t="inlineStr">
        <is>
          <t>Telefon / İnternet</t>
        </is>
      </c>
      <c r="F108" s="109" t="inlineStr">
        <is>
          <t>Ofis Whatsapp Hattı Haziran</t>
        </is>
      </c>
      <c r="G108" s="226" t="n">
        <v>800</v>
      </c>
      <c r="H108" s="108" t="inlineStr">
        <is>
          <t>Merkez Kasa</t>
        </is>
      </c>
      <c r="I108" s="108" t="inlineStr">
        <is>
          <t>Evet</t>
        </is>
      </c>
      <c r="J108" s="109" t="n"/>
      <c r="K108" s="109" t="n"/>
      <c r="L108" s="121">
        <f>IF($C108="","",IF($D108="Gider",$E108,$H108))</f>
        <v/>
      </c>
      <c r="M108" s="121">
        <f>IF($C108="","",IF($D108="Gider",$H108,$E108))</f>
        <v/>
      </c>
      <c r="N108" s="231">
        <f>IF($C108="","",DATE(YEAR($C108),MONTH($C108),1))</f>
        <v/>
      </c>
      <c r="O108" s="113">
        <f>IF($C108="","",IF(AND($D108&lt;&gt;"",$E108&lt;&gt;"",$G108&gt;0,$H108&lt;&gt;"",$I108&lt;&gt;""),IF($C108&gt;TODAY(),"İLERİ TARİH","UYGUN"),"EKSİK"))</f>
        <v/>
      </c>
      <c r="P108" s="6" t="n"/>
      <c r="Q108" s="6" t="n"/>
      <c r="R108" s="3" t="n"/>
      <c r="S108" s="3" t="n"/>
      <c r="T108" s="3" t="n"/>
      <c r="U108" s="3" t="n"/>
      <c r="V108" s="3" t="n"/>
      <c r="W108" s="3" t="n"/>
    </row>
    <row r="109">
      <c r="A109" s="6" t="n"/>
      <c r="B109" s="113">
        <f>IF($C109="","","GG"&amp;TEXT(ROW()-6,"00000"))</f>
        <v/>
      </c>
      <c r="C109" s="225" t="n">
        <v>46179</v>
      </c>
      <c r="D109" s="108" t="inlineStr">
        <is>
          <t>Gider</t>
        </is>
      </c>
      <c r="E109" s="109" t="inlineStr">
        <is>
          <t>Ulaşım</t>
        </is>
      </c>
      <c r="F109" s="109" t="inlineStr">
        <is>
          <t>Araç Yakıt Alımı</t>
        </is>
      </c>
      <c r="G109" s="226" t="n">
        <v>2000</v>
      </c>
      <c r="H109" s="108" t="inlineStr">
        <is>
          <t>Merkez Kasa</t>
        </is>
      </c>
      <c r="I109" s="108" t="inlineStr">
        <is>
          <t>Evet</t>
        </is>
      </c>
      <c r="J109" s="109" t="n"/>
      <c r="K109" s="109" t="n"/>
      <c r="L109" s="121">
        <f>IF($C109="","",IF($D109="Gider",$E109,$H109))</f>
        <v/>
      </c>
      <c r="M109" s="121">
        <f>IF($C109="","",IF($D109="Gider",$H109,$E109))</f>
        <v/>
      </c>
      <c r="N109" s="231">
        <f>IF($C109="","",DATE(YEAR($C109),MONTH($C109),1))</f>
        <v/>
      </c>
      <c r="O109" s="113">
        <f>IF($C109="","",IF(AND($D109&lt;&gt;"",$E109&lt;&gt;"",$G109&gt;0,$H109&lt;&gt;"",$I109&lt;&gt;""),IF($C109&gt;TODAY(),"İLERİ TARİH","UYGUN"),"EKSİK"))</f>
        <v/>
      </c>
      <c r="P109" s="6" t="n"/>
      <c r="Q109" s="6" t="n"/>
      <c r="R109" s="3" t="n"/>
      <c r="S109" s="3" t="n"/>
      <c r="T109" s="3" t="n"/>
      <c r="U109" s="3" t="n"/>
      <c r="V109" s="3" t="n"/>
      <c r="W109" s="3" t="n"/>
    </row>
    <row r="110">
      <c r="A110" s="6" t="n"/>
      <c r="B110" s="113">
        <f>IF($C110="","","GG"&amp;TEXT(ROW()-6,"00000"))</f>
        <v/>
      </c>
      <c r="C110" s="225" t="n">
        <v>46179</v>
      </c>
      <c r="D110" s="108" t="inlineStr">
        <is>
          <t>Gider</t>
        </is>
      </c>
      <c r="E110" s="109" t="inlineStr">
        <is>
          <t>Ulaşım</t>
        </is>
      </c>
      <c r="F110" s="109" t="inlineStr">
        <is>
          <t>Araç Lastik Değişimi Yıkama</t>
        </is>
      </c>
      <c r="G110" s="226" t="n">
        <v>2000</v>
      </c>
      <c r="H110" s="108" t="inlineStr">
        <is>
          <t>Merkez Kasa</t>
        </is>
      </c>
      <c r="I110" s="108" t="inlineStr">
        <is>
          <t>Evet</t>
        </is>
      </c>
      <c r="J110" s="109" t="n"/>
      <c r="K110" s="109" t="n"/>
      <c r="L110" s="121">
        <f>IF($C110="","",IF($D110="Gider",$E110,$H110))</f>
        <v/>
      </c>
      <c r="M110" s="121">
        <f>IF($C110="","",IF($D110="Gider",$H110,$E110))</f>
        <v/>
      </c>
      <c r="N110" s="231">
        <f>IF($C110="","",DATE(YEAR($C110),MONTH($C110),1))</f>
        <v/>
      </c>
      <c r="O110" s="113">
        <f>IF($C110="","",IF(AND($D110&lt;&gt;"",$E110&lt;&gt;"",$G110&gt;0,$H110&lt;&gt;"",$I110&lt;&gt;""),IF($C110&gt;TODAY(),"İLERİ TARİH","UYGUN"),"EKSİK"))</f>
        <v/>
      </c>
      <c r="P110" s="6" t="n"/>
      <c r="Q110" s="6" t="n"/>
      <c r="R110" s="3" t="n"/>
      <c r="S110" s="3" t="n"/>
      <c r="T110" s="3" t="n"/>
      <c r="U110" s="3" t="n"/>
      <c r="V110" s="3" t="n"/>
      <c r="W110" s="3" t="n"/>
    </row>
    <row r="111">
      <c r="A111" s="6" t="n"/>
      <c r="B111" s="113">
        <f>IF($C111="","","GG"&amp;TEXT(ROW()-6,"00000"))</f>
        <v/>
      </c>
      <c r="C111" s="225" t="n">
        <v>46186</v>
      </c>
      <c r="D111" s="108" t="inlineStr">
        <is>
          <t>Gider</t>
        </is>
      </c>
      <c r="E111" s="109" t="inlineStr">
        <is>
          <t>Personel</t>
        </is>
      </c>
      <c r="F111" s="109" t="inlineStr">
        <is>
          <t>Irmak Harçlık</t>
        </is>
      </c>
      <c r="G111" s="226" t="n">
        <v>10000</v>
      </c>
      <c r="H111" s="108" t="inlineStr">
        <is>
          <t>Merkez Kasa</t>
        </is>
      </c>
      <c r="I111" s="108" t="inlineStr">
        <is>
          <t>Evet</t>
        </is>
      </c>
      <c r="J111" s="109" t="n"/>
      <c r="K111" s="109" t="n"/>
      <c r="L111" s="121">
        <f>IF($C111="","",IF($D111="Gider",$E111,$H111))</f>
        <v/>
      </c>
      <c r="M111" s="121">
        <f>IF($C111="","",IF($D111="Gider",$H111,$E111))</f>
        <v/>
      </c>
      <c r="N111" s="231">
        <f>IF($C111="","",DATE(YEAR($C111),MONTH($C111),1))</f>
        <v/>
      </c>
      <c r="O111" s="113">
        <f>IF($C111="","",IF(AND($D111&lt;&gt;"",$E111&lt;&gt;"",$G111&gt;0,$H111&lt;&gt;"",$I111&lt;&gt;""),IF($C111&gt;TODAY(),"İLERİ TARİH","UYGUN"),"EKSİK"))</f>
        <v/>
      </c>
      <c r="P111" s="6" t="n"/>
      <c r="Q111" s="6" t="n"/>
      <c r="R111" s="3" t="n"/>
      <c r="S111" s="3" t="n"/>
      <c r="T111" s="3" t="n"/>
      <c r="U111" s="3" t="n"/>
      <c r="V111" s="3" t="n"/>
      <c r="W111" s="3" t="n"/>
    </row>
    <row r="112">
      <c r="A112" s="6" t="n"/>
      <c r="B112" s="113">
        <f>IF($C112="","","GG"&amp;TEXT(ROW()-6,"00000"))</f>
        <v/>
      </c>
      <c r="C112" s="225" t="n">
        <v>46188</v>
      </c>
      <c r="D112" s="108" t="inlineStr">
        <is>
          <t>Gider</t>
        </is>
      </c>
      <c r="E112" s="109" t="inlineStr">
        <is>
          <t>Personel</t>
        </is>
      </c>
      <c r="F112" s="109" t="inlineStr">
        <is>
          <t>Zeynep Hanım Avans</t>
        </is>
      </c>
      <c r="G112" s="226" t="n">
        <v>10000</v>
      </c>
      <c r="H112" s="108" t="inlineStr">
        <is>
          <t>Merkez Kasa</t>
        </is>
      </c>
      <c r="I112" s="108" t="inlineStr">
        <is>
          <t>Evet</t>
        </is>
      </c>
      <c r="J112" s="109" t="n"/>
      <c r="K112" s="109" t="n"/>
      <c r="L112" s="121">
        <f>IF($C112="","",IF($D112="Gider",$E112,$H112))</f>
        <v/>
      </c>
      <c r="M112" s="121">
        <f>IF($C112="","",IF($D112="Gider",$H112,$E112))</f>
        <v/>
      </c>
      <c r="N112" s="231">
        <f>IF($C112="","",DATE(YEAR($C112),MONTH($C112),1))</f>
        <v/>
      </c>
      <c r="O112" s="113">
        <f>IF($C112="","",IF(AND($D112&lt;&gt;"",$E112&lt;&gt;"",$G112&gt;0,$H112&lt;&gt;"",$I112&lt;&gt;""),IF($C112&gt;TODAY(),"İLERİ TARİH","UYGUN"),"EKSİK"))</f>
        <v/>
      </c>
      <c r="P112" s="6" t="n"/>
      <c r="Q112" s="6" t="n"/>
      <c r="R112" s="3" t="n"/>
      <c r="S112" s="3" t="n"/>
      <c r="T112" s="3" t="n"/>
      <c r="U112" s="3" t="n"/>
      <c r="V112" s="3" t="n"/>
      <c r="W112" s="3" t="n"/>
    </row>
    <row r="113">
      <c r="A113" s="6" t="n"/>
      <c r="B113" s="113">
        <f>IF($C113="","","GG"&amp;TEXT(ROW()-6,"00000"))</f>
        <v/>
      </c>
      <c r="C113" s="225" t="n">
        <v>46194</v>
      </c>
      <c r="D113" s="108" t="inlineStr">
        <is>
          <t>Gider</t>
        </is>
      </c>
      <c r="E113" s="109" t="inlineStr">
        <is>
          <t>Vergi / Harç</t>
        </is>
      </c>
      <c r="F113" s="109" t="inlineStr">
        <is>
          <t>Bağkur Ödemesi</t>
        </is>
      </c>
      <c r="G113" s="226" t="n">
        <v>11810</v>
      </c>
      <c r="H113" s="108" t="inlineStr">
        <is>
          <t>Merkez Kasa</t>
        </is>
      </c>
      <c r="I113" s="108" t="inlineStr">
        <is>
          <t>Evet</t>
        </is>
      </c>
      <c r="J113" s="109" t="n"/>
      <c r="K113" s="109" t="n"/>
      <c r="L113" s="121">
        <f>IF($C113="","",IF($D113="Gider",$E113,$H113))</f>
        <v/>
      </c>
      <c r="M113" s="121">
        <f>IF($C113="","",IF($D113="Gider",$H113,$E113))</f>
        <v/>
      </c>
      <c r="N113" s="231">
        <f>IF($C113="","",DATE(YEAR($C113),MONTH($C113),1))</f>
        <v/>
      </c>
      <c r="O113" s="113">
        <f>IF($C113="","",IF(AND($D113&lt;&gt;"",$E113&lt;&gt;"",$G113&gt;0,$H113&lt;&gt;"",$I113&lt;&gt;""),IF($C113&gt;TODAY(),"İLERİ TARİH","UYGUN"),"EKSİK"))</f>
        <v/>
      </c>
      <c r="P113" s="6" t="n"/>
      <c r="Q113" s="6" t="n"/>
      <c r="R113" s="3" t="n"/>
      <c r="S113" s="3" t="n"/>
      <c r="T113" s="3" t="n"/>
      <c r="U113" s="3" t="n"/>
      <c r="V113" s="3" t="n"/>
      <c r="W113" s="3" t="n"/>
    </row>
    <row r="114">
      <c r="A114" s="6" t="n"/>
      <c r="B114" s="113">
        <f>IF($C114="","","GG"&amp;TEXT(ROW()-6,"00000"))</f>
        <v/>
      </c>
      <c r="C114" s="225" t="n">
        <v>46194</v>
      </c>
      <c r="D114" s="108" t="inlineStr">
        <is>
          <t>Gider</t>
        </is>
      </c>
      <c r="E114" s="109" t="inlineStr">
        <is>
          <t>Personel</t>
        </is>
      </c>
      <c r="F114" s="109" t="inlineStr">
        <is>
          <t>Zeynep Hanım Avans</t>
        </is>
      </c>
      <c r="G114" s="226" t="n">
        <v>9700</v>
      </c>
      <c r="H114" s="108" t="inlineStr">
        <is>
          <t>Merkez Kasa</t>
        </is>
      </c>
      <c r="I114" s="108" t="inlineStr">
        <is>
          <t>Evet</t>
        </is>
      </c>
      <c r="J114" s="109" t="n"/>
      <c r="K114" s="109" t="n"/>
      <c r="L114" s="121">
        <f>IF($C114="","",IF($D114="Gider",$E114,$H114))</f>
        <v/>
      </c>
      <c r="M114" s="121">
        <f>IF($C114="","",IF($D114="Gider",$H114,$E114))</f>
        <v/>
      </c>
      <c r="N114" s="231">
        <f>IF($C114="","",DATE(YEAR($C114),MONTH($C114),1))</f>
        <v/>
      </c>
      <c r="O114" s="113">
        <f>IF($C114="","",IF(AND($D114&lt;&gt;"",$E114&lt;&gt;"",$G114&gt;0,$H114&lt;&gt;"",$I114&lt;&gt;""),IF($C114&gt;TODAY(),"İLERİ TARİH","UYGUN"),"EKSİK"))</f>
        <v/>
      </c>
      <c r="P114" s="6" t="n"/>
      <c r="Q114" s="6" t="n"/>
      <c r="R114" s="3" t="n"/>
      <c r="S114" s="3" t="n"/>
      <c r="T114" s="3" t="n"/>
      <c r="U114" s="3" t="n"/>
      <c r="V114" s="3" t="n"/>
      <c r="W114" s="3" t="n"/>
    </row>
    <row r="115">
      <c r="A115" s="6" t="n"/>
      <c r="B115" s="113">
        <f>IF($C115="","","GG"&amp;TEXT(ROW()-6,"00000"))</f>
        <v/>
      </c>
      <c r="C115" s="225" t="n">
        <v>46195</v>
      </c>
      <c r="D115" s="108" t="inlineStr">
        <is>
          <t>Gider</t>
        </is>
      </c>
      <c r="E115" s="109" t="inlineStr">
        <is>
          <t>Telefon / İnternet</t>
        </is>
      </c>
      <c r="F115" s="109" t="inlineStr">
        <is>
          <t>Ofis Whatsapp Hattı Temmuz</t>
        </is>
      </c>
      <c r="G115" s="226" t="n">
        <v>800</v>
      </c>
      <c r="H115" s="108" t="inlineStr">
        <is>
          <t>Merkez Kasa</t>
        </is>
      </c>
      <c r="I115" s="108" t="inlineStr">
        <is>
          <t>Evet</t>
        </is>
      </c>
      <c r="J115" s="109" t="n"/>
      <c r="K115" s="109" t="n"/>
      <c r="L115" s="121">
        <f>IF($C115="","",IF($D115="Gider",$E115,$H115))</f>
        <v/>
      </c>
      <c r="M115" s="121">
        <f>IF($C115="","",IF($D115="Gider",$H115,$E115))</f>
        <v/>
      </c>
      <c r="N115" s="231">
        <f>IF($C115="","",DATE(YEAR($C115),MONTH($C115),1))</f>
        <v/>
      </c>
      <c r="O115" s="113">
        <f>IF($C115="","",IF(AND($D115&lt;&gt;"",$E115&lt;&gt;"",$G115&gt;0,$H115&lt;&gt;"",$I115&lt;&gt;""),IF($C115&gt;TODAY(),"İLERİ TARİH","UYGUN"),"EKSİK"))</f>
        <v/>
      </c>
      <c r="P115" s="6" t="n"/>
      <c r="Q115" s="6" t="n"/>
      <c r="R115" s="3" t="n"/>
      <c r="S115" s="3" t="n"/>
      <c r="T115" s="3" t="n"/>
      <c r="U115" s="3" t="n"/>
      <c r="V115" s="3" t="n"/>
      <c r="W115" s="3" t="n"/>
    </row>
    <row r="116">
      <c r="A116" s="6" t="n"/>
      <c r="B116" s="113">
        <f>IF($C116="","","GG"&amp;TEXT(ROW()-6,"00000"))</f>
        <v/>
      </c>
      <c r="C116" s="225" t="n">
        <v>46203</v>
      </c>
      <c r="D116" s="108" t="inlineStr">
        <is>
          <t>Gider</t>
        </is>
      </c>
      <c r="E116" s="109" t="inlineStr">
        <is>
          <t>Personel</t>
        </is>
      </c>
      <c r="F116" s="109" t="inlineStr">
        <is>
          <t>Zeynep Hanım Haziran Maaş Bakiye Ödemesi</t>
        </is>
      </c>
      <c r="G116" s="226" t="n">
        <v>50000</v>
      </c>
      <c r="H116" s="108" t="inlineStr">
        <is>
          <t>Merkez Kasa</t>
        </is>
      </c>
      <c r="I116" s="108" t="inlineStr">
        <is>
          <t>Evet</t>
        </is>
      </c>
      <c r="J116" s="109" t="n"/>
      <c r="K116" s="109" t="n"/>
      <c r="L116" s="121">
        <f>IF($C116="","",IF($D116="Gider",$E116,$H116))</f>
        <v/>
      </c>
      <c r="M116" s="121">
        <f>IF($C116="","",IF($D116="Gider",$H116,$E116))</f>
        <v/>
      </c>
      <c r="N116" s="231">
        <f>IF($C116="","",DATE(YEAR($C116),MONTH($C116),1))</f>
        <v/>
      </c>
      <c r="O116" s="113">
        <f>IF($C116="","",IF(AND($D116&lt;&gt;"",$E116&lt;&gt;"",$G116&gt;0,$H116&lt;&gt;"",$I116&lt;&gt;""),IF($C116&gt;TODAY(),"İLERİ TARİH","UYGUN"),"EKSİK"))</f>
        <v/>
      </c>
      <c r="P116" s="6" t="n"/>
      <c r="Q116" s="6" t="n"/>
      <c r="R116" s="3" t="n"/>
      <c r="S116" s="3" t="n"/>
      <c r="T116" s="3" t="n"/>
      <c r="U116" s="3" t="n"/>
      <c r="V116" s="3" t="n"/>
      <c r="W116" s="3" t="n"/>
    </row>
    <row r="117">
      <c r="A117" s="6" t="n"/>
      <c r="B117" s="113">
        <f>IF($C117="","","GG"&amp;TEXT(ROW()-6,"00000"))</f>
        <v/>
      </c>
      <c r="C117" s="225" t="n">
        <v>46203</v>
      </c>
      <c r="D117" s="108" t="inlineStr">
        <is>
          <t>Gider</t>
        </is>
      </c>
      <c r="E117" s="109" t="inlineStr">
        <is>
          <t>Ulaşım</t>
        </is>
      </c>
      <c r="F117" s="109" t="inlineStr">
        <is>
          <t>Araç Yakıt</t>
        </is>
      </c>
      <c r="G117" s="226" t="n">
        <v>2000</v>
      </c>
      <c r="H117" s="108" t="inlineStr">
        <is>
          <t>Merkez Kasa</t>
        </is>
      </c>
      <c r="I117" s="108" t="inlineStr">
        <is>
          <t>Evet</t>
        </is>
      </c>
      <c r="J117" s="109" t="n"/>
      <c r="K117" s="109" t="n"/>
      <c r="L117" s="121">
        <f>IF($C117="","",IF($D117="Gider",$E117,$H117))</f>
        <v/>
      </c>
      <c r="M117" s="121">
        <f>IF($C117="","",IF($D117="Gider",$H117,$E117))</f>
        <v/>
      </c>
      <c r="N117" s="231">
        <f>IF($C117="","",DATE(YEAR($C117),MONTH($C117),1))</f>
        <v/>
      </c>
      <c r="O117" s="113">
        <f>IF($C117="","",IF(AND($D117&lt;&gt;"",$E117&lt;&gt;"",$G117&gt;0,$H117&lt;&gt;"",$I117&lt;&gt;""),IF($C117&gt;TODAY(),"İLERİ TARİH","UYGUN"),"EKSİK"))</f>
        <v/>
      </c>
      <c r="P117" s="6" t="n"/>
      <c r="Q117" s="6" t="n"/>
      <c r="R117" s="3" t="n"/>
      <c r="S117" s="3" t="n"/>
      <c r="T117" s="3" t="n"/>
      <c r="U117" s="3" t="n"/>
      <c r="V117" s="3" t="n"/>
      <c r="W117" s="3" t="n"/>
    </row>
    <row r="118">
      <c r="A118" s="6" t="n"/>
      <c r="B118" s="113">
        <f>IF($C118="","","GG"&amp;TEXT(ROW()-6,"00000"))</f>
        <v/>
      </c>
      <c r="C118" s="225" t="n">
        <v>46216</v>
      </c>
      <c r="D118" s="108" t="inlineStr">
        <is>
          <t>Gider</t>
        </is>
      </c>
      <c r="E118" s="109" t="inlineStr">
        <is>
          <t>Personel</t>
        </is>
      </c>
      <c r="F118" s="109" t="inlineStr">
        <is>
          <t>Irmak Maaş Ödemesi</t>
        </is>
      </c>
      <c r="G118" s="226" t="n">
        <v>10000</v>
      </c>
      <c r="H118" s="108" t="inlineStr">
        <is>
          <t>Merkez Kasa</t>
        </is>
      </c>
      <c r="I118" s="108" t="inlineStr">
        <is>
          <t>Evet</t>
        </is>
      </c>
      <c r="J118" s="109" t="n"/>
      <c r="K118" s="109" t="n"/>
      <c r="L118" s="121">
        <f>IF($C118="","",IF($D118="Gider",$E118,$H118))</f>
        <v/>
      </c>
      <c r="M118" s="121">
        <f>IF($C118="","",IF($D118="Gider",$H118,$E118))</f>
        <v/>
      </c>
      <c r="N118" s="231">
        <f>IF($C118="","",DATE(YEAR($C118),MONTH($C118),1))</f>
        <v/>
      </c>
      <c r="O118" s="113">
        <f>IF($C118="","",IF(AND($D118&lt;&gt;"",$E118&lt;&gt;"",$G118&gt;0,$H118&lt;&gt;"",$I118&lt;&gt;""),IF($C118&gt;TODAY(),"İLERİ TARİH","UYGUN"),"EKSİK"))</f>
        <v/>
      </c>
      <c r="P118" s="6" t="n"/>
      <c r="Q118" s="6" t="n"/>
      <c r="R118" s="3" t="n"/>
      <c r="S118" s="3" t="n"/>
      <c r="T118" s="3" t="n"/>
      <c r="U118" s="3" t="n"/>
      <c r="V118" s="3" t="n"/>
      <c r="W118" s="3" t="n"/>
    </row>
    <row r="119">
      <c r="A119" s="6" t="n"/>
      <c r="B119" s="113">
        <f>IF($C119="","","GG"&amp;TEXT(ROW()-6,"00000"))</f>
        <v/>
      </c>
      <c r="C119" s="225" t="n">
        <v>46218</v>
      </c>
      <c r="D119" s="108" t="inlineStr">
        <is>
          <t>Gider</t>
        </is>
      </c>
      <c r="E119" s="109" t="inlineStr">
        <is>
          <t>Elektrik / Su / Doğalgaz</t>
        </is>
      </c>
      <c r="F119" s="109" t="inlineStr">
        <is>
          <t>Ofis Elektrik Fatura Ödemesi 3 Adet</t>
        </is>
      </c>
      <c r="G119" s="226" t="n">
        <v>2200</v>
      </c>
      <c r="H119" s="108" t="inlineStr">
        <is>
          <t>Merkez Kasa</t>
        </is>
      </c>
      <c r="I119" s="108" t="inlineStr">
        <is>
          <t>Evet</t>
        </is>
      </c>
      <c r="J119" s="109" t="n"/>
      <c r="K119" s="109" t="n"/>
      <c r="L119" s="121">
        <f>IF($C119="","",IF($D119="Gider",$E119,$H119))</f>
        <v/>
      </c>
      <c r="M119" s="121">
        <f>IF($C119="","",IF($D119="Gider",$H119,$E119))</f>
        <v/>
      </c>
      <c r="N119" s="231">
        <f>IF($C119="","",DATE(YEAR($C119),MONTH($C119),1))</f>
        <v/>
      </c>
      <c r="O119" s="113">
        <f>IF($C119="","",IF(AND($D119&lt;&gt;"",$E119&lt;&gt;"",$G119&gt;0,$H119&lt;&gt;"",$I119&lt;&gt;""),IF($C119&gt;TODAY(),"İLERİ TARİH","UYGUN"),"EKSİK"))</f>
        <v/>
      </c>
      <c r="P119" s="6" t="n"/>
      <c r="Q119" s="6" t="n"/>
      <c r="R119" s="3" t="n"/>
      <c r="S119" s="3" t="n"/>
      <c r="T119" s="3" t="n"/>
      <c r="U119" s="3" t="n"/>
      <c r="V119" s="3" t="n"/>
      <c r="W119" s="3" t="n"/>
    </row>
    <row r="120">
      <c r="A120" s="6" t="n"/>
      <c r="B120" s="113">
        <f>IF($C120="","","GG"&amp;TEXT(ROW()-6,"00000"))</f>
        <v/>
      </c>
      <c r="C120" s="225" t="n">
        <v>46222</v>
      </c>
      <c r="D120" s="108" t="inlineStr">
        <is>
          <t>Gider</t>
        </is>
      </c>
      <c r="E120" s="109" t="inlineStr">
        <is>
          <t>Kırtasiye</t>
        </is>
      </c>
      <c r="F120" s="109" t="inlineStr">
        <is>
          <t>Serkan Baş Toner</t>
        </is>
      </c>
      <c r="G120" s="226" t="n">
        <v>3500</v>
      </c>
      <c r="H120" s="108" t="inlineStr">
        <is>
          <t>Merkez Kasa</t>
        </is>
      </c>
      <c r="I120" s="108" t="inlineStr">
        <is>
          <t>Evet</t>
        </is>
      </c>
      <c r="J120" s="109" t="n"/>
      <c r="K120" s="109" t="n"/>
      <c r="L120" s="121">
        <f>IF($C120="","",IF($D120="Gider",$E120,$H120))</f>
        <v/>
      </c>
      <c r="M120" s="121">
        <f>IF($C120="","",IF($D120="Gider",$H120,$E120))</f>
        <v/>
      </c>
      <c r="N120" s="231">
        <f>IF($C120="","",DATE(YEAR($C120),MONTH($C120),1))</f>
        <v/>
      </c>
      <c r="O120" s="113">
        <f>IF($C120="","",IF(AND($D120&lt;&gt;"",$E120&lt;&gt;"",$G120&gt;0,$H120&lt;&gt;"",$I120&lt;&gt;""),IF($C120&gt;TODAY(),"İLERİ TARİH","UYGUN"),"EKSİK"))</f>
        <v/>
      </c>
      <c r="P120" s="6" t="n"/>
      <c r="Q120" s="6" t="n"/>
      <c r="R120" s="3" t="n"/>
      <c r="S120" s="3" t="n"/>
      <c r="T120" s="3" t="n"/>
      <c r="U120" s="3" t="n"/>
      <c r="V120" s="3" t="n"/>
      <c r="W120" s="3" t="n"/>
    </row>
    <row r="121">
      <c r="A121" s="6" t="n"/>
      <c r="B121" s="113">
        <f>IF($C121="","","GG"&amp;TEXT(ROW()-6,"00000"))</f>
        <v/>
      </c>
      <c r="C121" s="225" t="n">
        <v>46222</v>
      </c>
      <c r="D121" s="108" t="inlineStr">
        <is>
          <t>Gider</t>
        </is>
      </c>
      <c r="E121" s="109" t="inlineStr">
        <is>
          <t>Ulaşım</t>
        </is>
      </c>
      <c r="F121" s="109" t="inlineStr">
        <is>
          <t>Araç Yakıt</t>
        </is>
      </c>
      <c r="G121" s="226" t="n">
        <v>2000</v>
      </c>
      <c r="H121" s="108" t="inlineStr">
        <is>
          <t>Merkez Kasa</t>
        </is>
      </c>
      <c r="I121" s="108" t="inlineStr">
        <is>
          <t>Evet</t>
        </is>
      </c>
      <c r="J121" s="109" t="n"/>
      <c r="K121" s="109" t="n"/>
      <c r="L121" s="121">
        <f>IF($C121="","",IF($D121="Gider",$E121,$H121))</f>
        <v/>
      </c>
      <c r="M121" s="121">
        <f>IF($C121="","",IF($D121="Gider",$H121,$E121))</f>
        <v/>
      </c>
      <c r="N121" s="231">
        <f>IF($C121="","",DATE(YEAR($C121),MONTH($C121),1))</f>
        <v/>
      </c>
      <c r="O121" s="113">
        <f>IF($C121="","",IF(AND($D121&lt;&gt;"",$E121&lt;&gt;"",$G121&gt;0,$H121&lt;&gt;"",$I121&lt;&gt;""),IF($C121&gt;TODAY(),"İLERİ TARİH","UYGUN"),"EKSİK"))</f>
        <v/>
      </c>
      <c r="P121" s="6" t="n"/>
      <c r="Q121" s="6" t="n"/>
      <c r="R121" s="3" t="n"/>
      <c r="S121" s="3" t="n"/>
      <c r="T121" s="3" t="n"/>
      <c r="U121" s="3" t="n"/>
      <c r="V121" s="3" t="n"/>
      <c r="W121" s="3" t="n"/>
    </row>
    <row r="122">
      <c r="A122" s="6" t="n"/>
      <c r="B122" s="113">
        <f>IF($C122="","","GG"&amp;TEXT(ROW()-6,"00000"))</f>
        <v/>
      </c>
      <c r="C122" s="225" t="n">
        <v>46224</v>
      </c>
      <c r="D122" s="108" t="inlineStr">
        <is>
          <t>Gider</t>
        </is>
      </c>
      <c r="E122" s="109" t="inlineStr">
        <is>
          <t>Vergi / Harç</t>
        </is>
      </c>
      <c r="F122" s="109" t="inlineStr">
        <is>
          <t>Bağkur Ödemesi</t>
        </is>
      </c>
      <c r="G122" s="226" t="n">
        <v>11810</v>
      </c>
      <c r="H122" s="108" t="inlineStr">
        <is>
          <t>Merkez Kasa</t>
        </is>
      </c>
      <c r="I122" s="108" t="inlineStr">
        <is>
          <t>Evet</t>
        </is>
      </c>
      <c r="J122" s="109" t="n"/>
      <c r="K122" s="109" t="n"/>
      <c r="L122" s="121">
        <f>IF($C122="","",IF($D122="Gider",$E122,$H122))</f>
        <v/>
      </c>
      <c r="M122" s="121">
        <f>IF($C122="","",IF($D122="Gider",$H122,$E122))</f>
        <v/>
      </c>
      <c r="N122" s="231">
        <f>IF($C122="","",DATE(YEAR($C122),MONTH($C122),1))</f>
        <v/>
      </c>
      <c r="O122" s="113">
        <f>IF($C122="","",IF(AND($D122&lt;&gt;"",$E122&lt;&gt;"",$G122&gt;0,$H122&lt;&gt;"",$I122&lt;&gt;""),IF($C122&gt;TODAY(),"İLERİ TARİH","UYGUN"),"EKSİK"))</f>
        <v/>
      </c>
      <c r="P122" s="6" t="n"/>
      <c r="Q122" s="6" t="n"/>
      <c r="R122" s="3" t="n"/>
      <c r="S122" s="3" t="n"/>
      <c r="T122" s="3" t="n"/>
      <c r="U122" s="3" t="n"/>
      <c r="V122" s="3" t="n"/>
      <c r="W122" s="3" t="n"/>
    </row>
    <row r="123">
      <c r="A123" s="6" t="n"/>
      <c r="B123" s="113">
        <f>IF($C123="","","GG"&amp;TEXT(ROW()-6,"00000"))</f>
        <v/>
      </c>
      <c r="C123" s="225" t="n">
        <v>46226</v>
      </c>
      <c r="D123" s="108" t="inlineStr">
        <is>
          <t>Gider</t>
        </is>
      </c>
      <c r="E123" s="109" t="inlineStr">
        <is>
          <t>Ulaşım</t>
        </is>
      </c>
      <c r="F123" s="109" t="inlineStr">
        <is>
          <t>Araç Yakıt</t>
        </is>
      </c>
      <c r="G123" s="226" t="n">
        <v>2000</v>
      </c>
      <c r="H123" s="108" t="inlineStr">
        <is>
          <t>Merkez Kasa</t>
        </is>
      </c>
      <c r="I123" s="108" t="inlineStr">
        <is>
          <t>Evet</t>
        </is>
      </c>
      <c r="J123" s="109" t="n"/>
      <c r="K123" s="109" t="n"/>
      <c r="L123" s="121">
        <f>IF($C123="","",IF($D123="Gider",$E123,$H123))</f>
        <v/>
      </c>
      <c r="M123" s="121">
        <f>IF($C123="","",IF($D123="Gider",$H123,$E123))</f>
        <v/>
      </c>
      <c r="N123" s="231">
        <f>IF($C123="","",DATE(YEAR($C123),MONTH($C123),1))</f>
        <v/>
      </c>
      <c r="O123" s="113">
        <f>IF($C123="","",IF(AND($D123&lt;&gt;"",$E123&lt;&gt;"",$G123&gt;0,$H123&lt;&gt;"",$I123&lt;&gt;""),IF($C123&gt;TODAY(),"İLERİ TARİH","UYGUN"),"EKSİK"))</f>
        <v/>
      </c>
      <c r="P123" s="6" t="n"/>
      <c r="Q123" s="6" t="n"/>
      <c r="R123" s="3" t="n"/>
      <c r="S123" s="3" t="n"/>
      <c r="T123" s="3" t="n"/>
      <c r="U123" s="3" t="n"/>
      <c r="V123" s="3" t="n"/>
      <c r="W123" s="3" t="n"/>
    </row>
    <row r="124">
      <c r="A124" s="6" t="n"/>
      <c r="B124" s="113">
        <f>IF($C124="","","GG"&amp;TEXT(ROW()-6,"00000"))</f>
        <v/>
      </c>
      <c r="C124" s="225" t="n">
        <v>46230</v>
      </c>
      <c r="D124" s="108" t="inlineStr">
        <is>
          <t>Gider</t>
        </is>
      </c>
      <c r="E124" s="109" t="inlineStr">
        <is>
          <t>Personel</t>
        </is>
      </c>
      <c r="F124" s="109" t="inlineStr">
        <is>
          <t>Zeynep Hanım Maaş</t>
        </is>
      </c>
      <c r="G124" s="226" t="n">
        <v>60000</v>
      </c>
      <c r="H124" s="108" t="inlineStr">
        <is>
          <t>Merkez Kasa</t>
        </is>
      </c>
      <c r="I124" s="108" t="inlineStr">
        <is>
          <t>Evet</t>
        </is>
      </c>
      <c r="J124" s="109" t="n"/>
      <c r="K124" s="109" t="n"/>
      <c r="L124" s="121">
        <f>IF($C124="","",IF($D124="Gider",$E124,$H124))</f>
        <v/>
      </c>
      <c r="M124" s="121">
        <f>IF($C124="","",IF($D124="Gider",$H124,$E124))</f>
        <v/>
      </c>
      <c r="N124" s="231">
        <f>IF($C124="","",DATE(YEAR($C124),MONTH($C124),1))</f>
        <v/>
      </c>
      <c r="O124" s="113">
        <f>IF($C124="","",IF(AND($D124&lt;&gt;"",$E124&lt;&gt;"",$G124&gt;0,$H124&lt;&gt;"",$I124&lt;&gt;""),IF($C124&gt;TODAY(),"İLERİ TARİH","UYGUN"),"EKSİK"))</f>
        <v/>
      </c>
      <c r="P124" s="6" t="n"/>
      <c r="Q124" s="6" t="n"/>
      <c r="R124" s="3" t="n"/>
      <c r="S124" s="3" t="n"/>
      <c r="T124" s="3" t="n"/>
      <c r="U124" s="3" t="n"/>
      <c r="V124" s="3" t="n"/>
      <c r="W124" s="3" t="n"/>
    </row>
    <row r="125">
      <c r="A125" s="6" t="n"/>
      <c r="B125" s="113">
        <f>IF($C125="","","GG"&amp;TEXT(ROW()-6,"00000"))</f>
        <v/>
      </c>
      <c r="C125" s="225" t="n">
        <v>46230</v>
      </c>
      <c r="D125" s="108" t="inlineStr">
        <is>
          <t>Gider</t>
        </is>
      </c>
      <c r="E125" s="109" t="inlineStr">
        <is>
          <t>Ulaşım</t>
        </is>
      </c>
      <c r="F125" s="109" t="inlineStr">
        <is>
          <t>Araç Yakıt</t>
        </is>
      </c>
      <c r="G125" s="226" t="n">
        <v>2000</v>
      </c>
      <c r="H125" s="108" t="inlineStr">
        <is>
          <t>Merkez Kasa</t>
        </is>
      </c>
      <c r="I125" s="108" t="inlineStr">
        <is>
          <t>Evet</t>
        </is>
      </c>
      <c r="J125" s="109" t="n"/>
      <c r="K125" s="109" t="n"/>
      <c r="L125" s="121">
        <f>IF($C125="","",IF($D125="Gider",$E125,$H125))</f>
        <v/>
      </c>
      <c r="M125" s="121">
        <f>IF($C125="","",IF($D125="Gider",$H125,$E125))</f>
        <v/>
      </c>
      <c r="N125" s="231">
        <f>IF($C125="","",DATE(YEAR($C125),MONTH($C125),1))</f>
        <v/>
      </c>
      <c r="O125" s="113">
        <f>IF($C125="","",IF(AND($D125&lt;&gt;"",$E125&lt;&gt;"",$G125&gt;0,$H125&lt;&gt;"",$I125&lt;&gt;""),IF($C125&gt;TODAY(),"İLERİ TARİH","UYGUN"),"EKSİK"))</f>
        <v/>
      </c>
      <c r="P125" s="6" t="n"/>
      <c r="Q125" s="6" t="n"/>
      <c r="R125" s="3" t="n"/>
      <c r="S125" s="3" t="n"/>
      <c r="T125" s="3" t="n"/>
      <c r="U125" s="3" t="n"/>
      <c r="V125" s="3" t="n"/>
      <c r="W125" s="3" t="n"/>
    </row>
    <row r="126">
      <c r="A126" s="6" t="n"/>
      <c r="B126" s="113">
        <f>IF($C126="","","GG"&amp;TEXT(ROW()-6,"00000"))</f>
        <v/>
      </c>
      <c r="C126" s="225" t="n">
        <v>46234</v>
      </c>
      <c r="D126" s="108" t="inlineStr">
        <is>
          <t>Gider</t>
        </is>
      </c>
      <c r="E126" s="109" t="inlineStr">
        <is>
          <t>Ofis Kirası</t>
        </is>
      </c>
      <c r="F126" s="109" t="inlineStr">
        <is>
          <t>Temmuz İşyeri Kira Ödemesi</t>
        </is>
      </c>
      <c r="G126" s="226" t="n">
        <v>14000</v>
      </c>
      <c r="H126" s="108" t="inlineStr">
        <is>
          <t>Merkez Kasa</t>
        </is>
      </c>
      <c r="I126" s="108" t="inlineStr">
        <is>
          <t>Evet</t>
        </is>
      </c>
      <c r="J126" s="109" t="n"/>
      <c r="K126" s="109" t="n"/>
      <c r="L126" s="121">
        <f>IF($C126="","",IF($D126="Gider",$E126,$H126))</f>
        <v/>
      </c>
      <c r="M126" s="121">
        <f>IF($C126="","",IF($D126="Gider",$H126,$E126))</f>
        <v/>
      </c>
      <c r="N126" s="231">
        <f>IF($C126="","",DATE(YEAR($C126),MONTH($C126),1))</f>
        <v/>
      </c>
      <c r="O126" s="113">
        <f>IF($C126="","",IF(AND($D126&lt;&gt;"",$E126&lt;&gt;"",$G126&gt;0,$H126&lt;&gt;"",$I126&lt;&gt;""),IF($C126&gt;TODAY(),"İLERİ TARİH","UYGUN"),"EKSİK"))</f>
        <v/>
      </c>
      <c r="P126" s="6" t="n"/>
      <c r="Q126" s="6" t="n"/>
      <c r="R126" s="3" t="n"/>
      <c r="S126" s="3" t="n"/>
      <c r="T126" s="3" t="n"/>
      <c r="U126" s="3" t="n"/>
      <c r="V126" s="3" t="n"/>
      <c r="W126" s="3" t="n"/>
    </row>
    <row r="127">
      <c r="A127" s="6" t="n"/>
      <c r="B127" s="113">
        <f>IF($C127="","","GG"&amp;TEXT(ROW()-6,"00000"))</f>
        <v/>
      </c>
      <c r="C127" s="225" t="n">
        <v>46235</v>
      </c>
      <c r="D127" s="108" t="inlineStr">
        <is>
          <t>Gider</t>
        </is>
      </c>
      <c r="E127" s="109" t="inlineStr">
        <is>
          <t>Ofis Kirası</t>
        </is>
      </c>
      <c r="F127" s="109" t="inlineStr">
        <is>
          <t>Ağustos İşyeri Kira Ödemesi</t>
        </is>
      </c>
      <c r="G127" s="226" t="n">
        <v>14000</v>
      </c>
      <c r="H127" s="108" t="inlineStr">
        <is>
          <t>Merkez Kasa</t>
        </is>
      </c>
      <c r="I127" s="108" t="inlineStr">
        <is>
          <t>Evet</t>
        </is>
      </c>
      <c r="J127" s="109" t="n"/>
      <c r="K127" s="109" t="n"/>
      <c r="L127" s="121">
        <f>IF($C127="","",IF($D127="Gider",$E127,$H127))</f>
        <v/>
      </c>
      <c r="M127" s="121">
        <f>IF($C127="","",IF($D127="Gider",$H127,$E127))</f>
        <v/>
      </c>
      <c r="N127" s="231">
        <f>IF($C127="","",DATE(YEAR($C127),MONTH($C127),1))</f>
        <v/>
      </c>
      <c r="O127" s="113">
        <f>IF($C127="","",IF(AND($D127&lt;&gt;"",$E127&lt;&gt;"",$G127&gt;0,$H127&lt;&gt;"",$I127&lt;&gt;""),IF($C127&gt;TODAY(),"İLERİ TARİH","UYGUN"),"EKSİK"))</f>
        <v/>
      </c>
      <c r="P127" s="6" t="n"/>
      <c r="Q127" s="6" t="n"/>
      <c r="R127" s="3" t="n"/>
      <c r="S127" s="3" t="n"/>
      <c r="T127" s="3" t="n"/>
      <c r="U127" s="3" t="n"/>
      <c r="V127" s="3" t="n"/>
      <c r="W127" s="3" t="n"/>
    </row>
    <row r="128">
      <c r="A128" s="6" t="n"/>
      <c r="B128" s="113">
        <f>IF($C128="","","GG"&amp;TEXT(ROW()-6,"00000"))</f>
        <v/>
      </c>
      <c r="C128" s="225" t="n">
        <v>46235</v>
      </c>
      <c r="D128" s="108" t="inlineStr">
        <is>
          <t>Gider</t>
        </is>
      </c>
      <c r="E128" s="109" t="inlineStr">
        <is>
          <t>Ofis Kirası</t>
        </is>
      </c>
      <c r="F128" s="109" t="inlineStr">
        <is>
          <t>Eylül İşyeri Kira Ödemesi</t>
        </is>
      </c>
      <c r="G128" s="226" t="n">
        <v>14000</v>
      </c>
      <c r="H128" s="108" t="inlineStr">
        <is>
          <t>Merkez Kasa</t>
        </is>
      </c>
      <c r="I128" s="108" t="inlineStr">
        <is>
          <t>Evet</t>
        </is>
      </c>
      <c r="J128" s="109" t="n"/>
      <c r="K128" s="109" t="n"/>
      <c r="L128" s="121">
        <f>IF($C128="","",IF($D128="Gider",$E128,$H128))</f>
        <v/>
      </c>
      <c r="M128" s="121">
        <f>IF($C128="","",IF($D128="Gider",$H128,$E128))</f>
        <v/>
      </c>
      <c r="N128" s="231">
        <f>IF($C128="","",DATE(YEAR($C128),MONTH($C128),1))</f>
        <v/>
      </c>
      <c r="O128" s="113">
        <f>IF($C128="","",IF(AND($D128&lt;&gt;"",$E128&lt;&gt;"",$G128&gt;0,$H128&lt;&gt;"",$I128&lt;&gt;""),IF($C128&gt;TODAY(),"İLERİ TARİH","UYGUN"),"EKSİK"))</f>
        <v/>
      </c>
      <c r="P128" s="6" t="n"/>
      <c r="Q128" s="6" t="n"/>
      <c r="R128" s="3" t="n"/>
      <c r="S128" s="3" t="n"/>
      <c r="T128" s="3" t="n"/>
      <c r="U128" s="3" t="n"/>
      <c r="V128" s="3" t="n"/>
      <c r="W128" s="3" t="n"/>
    </row>
    <row r="129">
      <c r="A129" s="6" t="n"/>
      <c r="B129" s="113">
        <f>IF($C129="","","GG"&amp;TEXT(ROW()-6,"00000"))</f>
        <v/>
      </c>
      <c r="C129" s="225" t="n">
        <v>46243</v>
      </c>
      <c r="D129" s="108" t="inlineStr">
        <is>
          <t>Gider</t>
        </is>
      </c>
      <c r="E129" s="109" t="inlineStr">
        <is>
          <t>Ofis Kirası</t>
        </is>
      </c>
      <c r="F129" s="109" t="inlineStr">
        <is>
          <t>Temmuz Ağustos Eylül İşyeri Aidatı Ödemesi</t>
        </is>
      </c>
      <c r="G129" s="226" t="n">
        <v>6000</v>
      </c>
      <c r="H129" s="108" t="inlineStr">
        <is>
          <t>Merkez Kasa</t>
        </is>
      </c>
      <c r="I129" s="108" t="inlineStr">
        <is>
          <t>Evet</t>
        </is>
      </c>
      <c r="J129" s="109" t="n"/>
      <c r="K129" s="109" t="n"/>
      <c r="L129" s="121">
        <f>IF($C129="","",IF($D129="Gider",$E129,$H129))</f>
        <v/>
      </c>
      <c r="M129" s="121">
        <f>IF($C129="","",IF($D129="Gider",$H129,$E129))</f>
        <v/>
      </c>
      <c r="N129" s="231">
        <f>IF($C129="","",DATE(YEAR($C129),MONTH($C129),1))</f>
        <v/>
      </c>
      <c r="O129" s="113">
        <f>IF($C129="","",IF(AND($D129&lt;&gt;"",$E129&lt;&gt;"",$G129&gt;0,$H129&lt;&gt;"",$I129&lt;&gt;""),IF($C129&gt;TODAY(),"İLERİ TARİH","UYGUN"),"EKSİK"))</f>
        <v/>
      </c>
      <c r="P129" s="6" t="n"/>
      <c r="Q129" s="6" t="n"/>
      <c r="R129" s="3" t="n"/>
      <c r="S129" s="3" t="n"/>
      <c r="T129" s="3" t="n"/>
      <c r="U129" s="3" t="n"/>
      <c r="V129" s="3" t="n"/>
      <c r="W129" s="3" t="n"/>
    </row>
    <row r="130">
      <c r="A130" s="6" t="n"/>
      <c r="B130" s="113">
        <f>IF($C130="","","GG"&amp;TEXT(ROW()-6,"00000"))</f>
        <v/>
      </c>
      <c r="C130" s="225" t="n">
        <v>46244</v>
      </c>
      <c r="D130" s="108" t="inlineStr">
        <is>
          <t>Gider</t>
        </is>
      </c>
      <c r="E130" s="109" t="inlineStr">
        <is>
          <t>Telefon / İnternet</t>
        </is>
      </c>
      <c r="F130" s="109" t="inlineStr">
        <is>
          <t>Ofis Whatsapp Hattı Ağustos</t>
        </is>
      </c>
      <c r="G130" s="226" t="n">
        <v>800</v>
      </c>
      <c r="H130" s="108" t="inlineStr">
        <is>
          <t>Merkez Kasa</t>
        </is>
      </c>
      <c r="I130" s="108" t="inlineStr">
        <is>
          <t>Evet</t>
        </is>
      </c>
      <c r="J130" s="109" t="n"/>
      <c r="K130" s="109" t="n"/>
      <c r="L130" s="121">
        <f>IF($C130="","",IF($D130="Gider",$E130,$H130))</f>
        <v/>
      </c>
      <c r="M130" s="121">
        <f>IF($C130="","",IF($D130="Gider",$H130,$E130))</f>
        <v/>
      </c>
      <c r="N130" s="231">
        <f>IF($C130="","",DATE(YEAR($C130),MONTH($C130),1))</f>
        <v/>
      </c>
      <c r="O130" s="113">
        <f>IF($C130="","",IF(AND($D130&lt;&gt;"",$E130&lt;&gt;"",$G130&gt;0,$H130&lt;&gt;"",$I130&lt;&gt;""),IF($C130&gt;TODAY(),"İLERİ TARİH","UYGUN"),"EKSİK"))</f>
        <v/>
      </c>
      <c r="P130" s="6" t="n"/>
      <c r="Q130" s="6" t="n"/>
      <c r="R130" s="3" t="n"/>
      <c r="S130" s="3" t="n"/>
      <c r="T130" s="3" t="n"/>
      <c r="U130" s="3" t="n"/>
      <c r="V130" s="3" t="n"/>
      <c r="W130" s="3" t="n"/>
    </row>
    <row r="131">
      <c r="A131" s="6" t="n"/>
      <c r="B131" s="113">
        <f>IF($C131="","","GG"&amp;TEXT(ROW()-6,"00000"))</f>
        <v/>
      </c>
      <c r="C131" s="225" t="n">
        <v>46244</v>
      </c>
      <c r="D131" s="108" t="inlineStr">
        <is>
          <t>Gider</t>
        </is>
      </c>
      <c r="E131" s="109" t="inlineStr">
        <is>
          <t>Diğer Gider</t>
        </is>
      </c>
      <c r="F131" s="109" t="inlineStr">
        <is>
          <t>Arman Dik Vergi Telafisi</t>
        </is>
      </c>
      <c r="G131" s="226" t="n">
        <v>23000</v>
      </c>
      <c r="H131" s="108" t="inlineStr">
        <is>
          <t>Merkez Kasa</t>
        </is>
      </c>
      <c r="I131" s="108" t="inlineStr">
        <is>
          <t>Evet</t>
        </is>
      </c>
      <c r="J131" s="109" t="n"/>
      <c r="K131" s="109" t="n"/>
      <c r="L131" s="121">
        <f>IF($C131="","",IF($D131="Gider",$E131,$H131))</f>
        <v/>
      </c>
      <c r="M131" s="121">
        <f>IF($C131="","",IF($D131="Gider",$H131,$E131))</f>
        <v/>
      </c>
      <c r="N131" s="231">
        <f>IF($C131="","",DATE(YEAR($C131),MONTH($C131),1))</f>
        <v/>
      </c>
      <c r="O131" s="113">
        <f>IF($C131="","",IF(AND($D131&lt;&gt;"",$E131&lt;&gt;"",$G131&gt;0,$H131&lt;&gt;"",$I131&lt;&gt;""),IF($C131&gt;TODAY(),"İLERİ TARİH","UYGUN"),"EKSİK"))</f>
        <v/>
      </c>
      <c r="P131" s="6" t="n"/>
      <c r="Q131" s="6" t="n"/>
      <c r="R131" s="3" t="n"/>
      <c r="S131" s="3" t="n"/>
      <c r="T131" s="3" t="n"/>
      <c r="U131" s="3" t="n"/>
      <c r="V131" s="3" t="n"/>
      <c r="W131" s="3" t="n"/>
    </row>
    <row r="132">
      <c r="A132" s="6" t="n"/>
      <c r="B132" s="113">
        <f>IF($C132="","","GG"&amp;TEXT(ROW()-6,"00000"))</f>
        <v/>
      </c>
      <c r="C132" s="225" t="n">
        <v>46244</v>
      </c>
      <c r="D132" s="108" t="inlineStr">
        <is>
          <t>Gider</t>
        </is>
      </c>
      <c r="E132" s="109" t="inlineStr">
        <is>
          <t>Ulaşım</t>
        </is>
      </c>
      <c r="F132" s="109" t="inlineStr">
        <is>
          <t>Araç Yakıt</t>
        </is>
      </c>
      <c r="G132" s="226" t="n">
        <v>2000</v>
      </c>
      <c r="H132" s="108" t="inlineStr">
        <is>
          <t>Merkez Kasa</t>
        </is>
      </c>
      <c r="I132" s="108" t="inlineStr">
        <is>
          <t>Evet</t>
        </is>
      </c>
      <c r="J132" s="109" t="n"/>
      <c r="K132" s="109" t="n"/>
      <c r="L132" s="121">
        <f>IF($C132="","",IF($D132="Gider",$E132,$H132))</f>
        <v/>
      </c>
      <c r="M132" s="121">
        <f>IF($C132="","",IF($D132="Gider",$H132,$E132))</f>
        <v/>
      </c>
      <c r="N132" s="231">
        <f>IF($C132="","",DATE(YEAR($C132),MONTH($C132),1))</f>
        <v/>
      </c>
      <c r="O132" s="113">
        <f>IF($C132="","",IF(AND($D132&lt;&gt;"",$E132&lt;&gt;"",$G132&gt;0,$H132&lt;&gt;"",$I132&lt;&gt;""),IF($C132&gt;TODAY(),"İLERİ TARİH","UYGUN"),"EKSİK"))</f>
        <v/>
      </c>
      <c r="P132" s="6" t="n"/>
      <c r="Q132" s="6" t="n"/>
      <c r="R132" s="3" t="n"/>
      <c r="S132" s="3" t="n"/>
      <c r="T132" s="3" t="n"/>
      <c r="U132" s="3" t="n"/>
      <c r="V132" s="3" t="n"/>
      <c r="W132" s="3" t="n"/>
    </row>
    <row r="133">
      <c r="A133" s="6" t="n"/>
      <c r="B133" s="113">
        <f>IF($C133="","","GG"&amp;TEXT(ROW()-6,"00000"))</f>
        <v/>
      </c>
      <c r="C133" s="225" t="n">
        <v>46244</v>
      </c>
      <c r="D133" s="108" t="inlineStr">
        <is>
          <t>Gider</t>
        </is>
      </c>
      <c r="E133" s="109" t="n"/>
      <c r="F133" s="109" t="n"/>
      <c r="G133" s="226" t="n"/>
      <c r="H133" s="108" t="inlineStr">
        <is>
          <t>Merkez Kasa</t>
        </is>
      </c>
      <c r="I133" s="108" t="inlineStr">
        <is>
          <t>Evet</t>
        </is>
      </c>
      <c r="J133" s="109" t="n"/>
      <c r="K133" s="109" t="n"/>
      <c r="L133" s="121">
        <f>IF($C133="","",IF($D133="Gider",$E133,$H133))</f>
        <v/>
      </c>
      <c r="M133" s="121">
        <f>IF($C133="","",IF($D133="Gider",$H133,$E133))</f>
        <v/>
      </c>
      <c r="N133" s="231">
        <f>IF($C133="","",DATE(YEAR($C133),MONTH($C133),1))</f>
        <v/>
      </c>
      <c r="O133" s="113">
        <f>IF($C133="","",IF(AND($D133&lt;&gt;"",$E133&lt;&gt;"",$G133&gt;0,$H133&lt;&gt;"",$I133&lt;&gt;""),IF($C133&gt;TODAY(),"İLERİ TARİH","UYGUN"),"EKSİK"))</f>
        <v/>
      </c>
      <c r="P133" s="6" t="n"/>
      <c r="Q133" s="6" t="n"/>
      <c r="R133" s="3" t="n"/>
      <c r="S133" s="3" t="n"/>
      <c r="T133" s="3" t="n"/>
      <c r="U133" s="3" t="n"/>
      <c r="V133" s="3" t="n"/>
      <c r="W133" s="3" t="n"/>
    </row>
    <row r="134">
      <c r="A134" s="6" t="n"/>
      <c r="B134" s="113">
        <f>IF($C134="","","GG"&amp;TEXT(ROW()-6,"00000"))</f>
        <v/>
      </c>
      <c r="C134" s="225" t="n">
        <v>46245</v>
      </c>
      <c r="D134" s="108" t="inlineStr">
        <is>
          <t>Gider</t>
        </is>
      </c>
      <c r="E134" s="109" t="n"/>
      <c r="F134" s="109" t="n"/>
      <c r="G134" s="226" t="n"/>
      <c r="H134" s="108" t="inlineStr">
        <is>
          <t>Merkez Kasa</t>
        </is>
      </c>
      <c r="I134" s="108" t="inlineStr">
        <is>
          <t>Evet</t>
        </is>
      </c>
      <c r="J134" s="109" t="n"/>
      <c r="K134" s="109" t="n"/>
      <c r="L134" s="121">
        <f>IF($C134="","",IF($D134="Gider",$E134,$H134))</f>
        <v/>
      </c>
      <c r="M134" s="121">
        <f>IF($C134="","",IF($D134="Gider",$H134,$E134))</f>
        <v/>
      </c>
      <c r="N134" s="231">
        <f>IF($C134="","",DATE(YEAR($C134),MONTH($C134),1))</f>
        <v/>
      </c>
      <c r="O134" s="113">
        <f>IF($C134="","",IF(AND($D134&lt;&gt;"",$E134&lt;&gt;"",$G134&gt;0,$H134&lt;&gt;"",$I134&lt;&gt;""),IF($C134&gt;TODAY(),"İLERİ TARİH","UYGUN"),"EKSİK"))</f>
        <v/>
      </c>
      <c r="P134" s="6" t="n"/>
      <c r="Q134" s="6" t="n"/>
      <c r="R134" s="3" t="n"/>
      <c r="S134" s="3" t="n"/>
      <c r="T134" s="3" t="n"/>
      <c r="U134" s="3" t="n"/>
      <c r="V134" s="3" t="n"/>
      <c r="W134" s="3" t="n"/>
    </row>
    <row r="135">
      <c r="A135" s="6" t="n"/>
      <c r="B135" s="113">
        <f>IF($C135="","","GG"&amp;TEXT(ROW()-6,"00000"))</f>
        <v/>
      </c>
      <c r="C135" s="225" t="n">
        <v>46245</v>
      </c>
      <c r="D135" s="108" t="inlineStr">
        <is>
          <t>Gider</t>
        </is>
      </c>
      <c r="E135" s="109" t="n"/>
      <c r="F135" s="109" t="n"/>
      <c r="G135" s="226" t="n"/>
      <c r="H135" s="108" t="inlineStr">
        <is>
          <t>Merkez Kasa</t>
        </is>
      </c>
      <c r="I135" s="108" t="inlineStr">
        <is>
          <t>Evet</t>
        </is>
      </c>
      <c r="J135" s="109" t="n"/>
      <c r="K135" s="109" t="n"/>
      <c r="L135" s="121">
        <f>IF($C135="","",IF($D135="Gider",$E135,$H135))</f>
        <v/>
      </c>
      <c r="M135" s="121">
        <f>IF($C135="","",IF($D135="Gider",$H135,$E135))</f>
        <v/>
      </c>
      <c r="N135" s="231">
        <f>IF($C135="","",DATE(YEAR($C135),MONTH($C135),1))</f>
        <v/>
      </c>
      <c r="O135" s="113">
        <f>IF($C135="","",IF(AND($D135&lt;&gt;"",$E135&lt;&gt;"",$G135&gt;0,$H135&lt;&gt;"",$I135&lt;&gt;""),IF($C135&gt;TODAY(),"İLERİ TARİH","UYGUN"),"EKSİK"))</f>
        <v/>
      </c>
      <c r="P135" s="6" t="n"/>
      <c r="Q135" s="6" t="n"/>
      <c r="R135" s="3" t="n"/>
      <c r="S135" s="3" t="n"/>
      <c r="T135" s="3" t="n"/>
      <c r="U135" s="3" t="n"/>
      <c r="V135" s="3" t="n"/>
      <c r="W135" s="3" t="n"/>
    </row>
    <row r="136">
      <c r="A136" s="6" t="n"/>
      <c r="B136" s="113">
        <f>IF($C136="","","GG"&amp;TEXT(ROW()-6,"00000"))</f>
        <v/>
      </c>
      <c r="C136" s="225" t="n">
        <v>46249</v>
      </c>
      <c r="D136" s="108" t="inlineStr">
        <is>
          <t>Gider</t>
        </is>
      </c>
      <c r="E136" s="109" t="n"/>
      <c r="F136" s="109" t="n"/>
      <c r="G136" s="226" t="n"/>
      <c r="H136" s="108" t="inlineStr">
        <is>
          <t>Merkez Kasa</t>
        </is>
      </c>
      <c r="I136" s="108" t="inlineStr">
        <is>
          <t>Evet</t>
        </is>
      </c>
      <c r="J136" s="109" t="n"/>
      <c r="K136" s="109" t="n"/>
      <c r="L136" s="121">
        <f>IF($C136="","",IF($D136="Gider",$E136,$H136))</f>
        <v/>
      </c>
      <c r="M136" s="121">
        <f>IF($C136="","",IF($D136="Gider",$H136,$E136))</f>
        <v/>
      </c>
      <c r="N136" s="231">
        <f>IF($C136="","",DATE(YEAR($C136),MONTH($C136),1))</f>
        <v/>
      </c>
      <c r="O136" s="113">
        <f>IF($C136="","",IF(AND($D136&lt;&gt;"",$E136&lt;&gt;"",$G136&gt;0,$H136&lt;&gt;"",$I136&lt;&gt;""),IF($C136&gt;TODAY(),"İLERİ TARİH","UYGUN"),"EKSİK"))</f>
        <v/>
      </c>
      <c r="P136" s="6" t="n"/>
      <c r="Q136" s="6" t="n"/>
      <c r="R136" s="3" t="n"/>
      <c r="S136" s="3" t="n"/>
      <c r="T136" s="3" t="n"/>
      <c r="U136" s="3" t="n"/>
      <c r="V136" s="3" t="n"/>
      <c r="W136" s="3" t="n"/>
    </row>
    <row r="137">
      <c r="A137" s="6" t="n"/>
      <c r="B137" s="264">
        <f>IF($C137="","","GG"&amp;TEXT(ROW()-6,"00000"))</f>
        <v/>
      </c>
      <c r="C137" s="265" t="n">
        <v>46239</v>
      </c>
      <c r="D137" s="259" t="inlineStr">
        <is>
          <t>Gider</t>
        </is>
      </c>
      <c r="E137" s="260" t="inlineStr">
        <is>
          <t>Mehmet Ali Kartal</t>
        </is>
      </c>
      <c r="F137" s="260" t="inlineStr">
        <is>
          <t>TEST – sabit ödeme</t>
        </is>
      </c>
      <c r="G137" s="266" t="n">
        <v>4000</v>
      </c>
      <c r="H137" s="259" t="inlineStr">
        <is>
          <t>MERKEZ KASA</t>
        </is>
      </c>
      <c r="I137" s="259" t="inlineStr">
        <is>
          <t>Evet</t>
        </is>
      </c>
      <c r="J137" s="260" t="n"/>
      <c r="K137" s="260" t="n"/>
      <c r="L137" s="271">
        <f>IF($C137="","",IF($D137="Gider",$E137,$H137))</f>
        <v/>
      </c>
      <c r="M137" s="271">
        <f>IF($C137="","",IF($D137="Gider",$H137,$E137))</f>
        <v/>
      </c>
      <c r="N137" s="270">
        <f>IF($C137="","",DATE(YEAR($C137),MONTH($C137),1))</f>
        <v/>
      </c>
      <c r="O137" s="264">
        <f>IF($C137="","",IF(AND($D137&lt;&gt;"",$E137&lt;&gt;"",$G137&gt;0,$H137&lt;&gt;"",$I137&lt;&gt;""),IF($C137&gt;TODAY(),"İLERİ TARİH","UYGUN"),"EKSİK"))</f>
        <v/>
      </c>
      <c r="P137" s="6" t="n"/>
      <c r="Q137" s="6" t="n"/>
      <c r="R137" s="3" t="n"/>
      <c r="S137" s="3" t="n"/>
      <c r="T137" s="3" t="n"/>
      <c r="U137" s="3" t="n"/>
      <c r="V137" s="3" t="n"/>
      <c r="W137" s="3" t="n"/>
    </row>
    <row r="138">
      <c r="A138" s="6" t="n"/>
      <c r="B138" s="264">
        <f>IF($C138="","","GG"&amp;TEXT(ROW()-6,"00000"))</f>
        <v/>
      </c>
      <c r="C138" s="265" t="n">
        <v>46240</v>
      </c>
      <c r="D138" s="259" t="inlineStr">
        <is>
          <t>Gelir</t>
        </is>
      </c>
      <c r="E138" s="260" t="inlineStr">
        <is>
          <t>Defter Tasdik Geliri</t>
        </is>
      </c>
      <c r="F138" s="260" t="inlineStr">
        <is>
          <t>TEST – defter tasdik</t>
        </is>
      </c>
      <c r="G138" s="266" t="n">
        <v>1500</v>
      </c>
      <c r="H138" s="259" t="inlineStr">
        <is>
          <t>MERKEZ KASA</t>
        </is>
      </c>
      <c r="I138" s="259" t="inlineStr">
        <is>
          <t>Evet</t>
        </is>
      </c>
      <c r="J138" s="260" t="n"/>
      <c r="K138" s="260" t="n"/>
      <c r="L138" s="271">
        <f>IF($C138="","",IF($D138="Gider",$E138,$H138))</f>
        <v/>
      </c>
      <c r="M138" s="271">
        <f>IF($C138="","",IF($D138="Gider",$H138,$E138))</f>
        <v/>
      </c>
      <c r="N138" s="270">
        <f>IF($C138="","",DATE(YEAR($C138),MONTH($C138),1))</f>
        <v/>
      </c>
      <c r="O138" s="264">
        <f>IF($C138="","",IF(AND($D138&lt;&gt;"",$E138&lt;&gt;"",$G138&gt;0,$H138&lt;&gt;"",$I138&lt;&gt;""),IF($C138&gt;TODAY(),"İLERİ TARİH","UYGUN"),"EKSİK"))</f>
        <v/>
      </c>
      <c r="P138" s="6" t="n"/>
      <c r="Q138" s="6" t="n"/>
      <c r="R138" s="3" t="n"/>
      <c r="S138" s="3" t="n"/>
      <c r="T138" s="3" t="n"/>
      <c r="U138" s="3" t="n"/>
      <c r="V138" s="3" t="n"/>
      <c r="W138" s="3" t="n"/>
    </row>
    <row r="139">
      <c r="A139" s="6" t="n"/>
      <c r="B139" s="113">
        <f>IF($C139="","","GG"&amp;TEXT(ROW()-6,"00000"))</f>
        <v/>
      </c>
      <c r="C139" s="225" t="n"/>
      <c r="D139" s="108" t="n"/>
      <c r="E139" s="109" t="n"/>
      <c r="F139" s="109" t="n"/>
      <c r="G139" s="226" t="n"/>
      <c r="H139" s="108" t="inlineStr">
        <is>
          <t>Merkez Kasa</t>
        </is>
      </c>
      <c r="I139" s="108" t="inlineStr">
        <is>
          <t>Evet</t>
        </is>
      </c>
      <c r="J139" s="109" t="n"/>
      <c r="K139" s="109" t="n"/>
      <c r="L139" s="121">
        <f>IF($C139="","",IF($D139="Gider",$E139,$H139))</f>
        <v/>
      </c>
      <c r="M139" s="121">
        <f>IF($C139="","",IF($D139="Gider",$H139,$E139))</f>
        <v/>
      </c>
      <c r="N139" s="231">
        <f>IF($C139="","",DATE(YEAR($C139),MONTH($C139),1))</f>
        <v/>
      </c>
      <c r="O139" s="113">
        <f>IF($C139="","",IF(AND($D139&lt;&gt;"",$E139&lt;&gt;"",$G139&gt;0,$H139&lt;&gt;"",$I139&lt;&gt;""),IF($C139&gt;TODAY(),"İLERİ TARİH","UYGUN"),"EKSİK"))</f>
        <v/>
      </c>
      <c r="P139" s="6" t="n"/>
      <c r="Q139" s="6" t="n"/>
      <c r="R139" s="3" t="n"/>
      <c r="S139" s="3" t="n"/>
      <c r="T139" s="3" t="n"/>
      <c r="U139" s="3" t="n"/>
      <c r="V139" s="3" t="n"/>
      <c r="W139" s="3" t="n"/>
    </row>
    <row r="140">
      <c r="A140" s="6" t="n"/>
      <c r="B140" s="113">
        <f>IF($C140="","","GG"&amp;TEXT(ROW()-6,"00000"))</f>
        <v/>
      </c>
      <c r="C140" s="225" t="n"/>
      <c r="D140" s="108" t="n"/>
      <c r="E140" s="109" t="n"/>
      <c r="F140" s="109" t="n"/>
      <c r="G140" s="226" t="n"/>
      <c r="H140" s="108" t="n"/>
      <c r="I140" s="108" t="n"/>
      <c r="J140" s="109" t="n"/>
      <c r="K140" s="109" t="n"/>
      <c r="L140" s="121">
        <f>IF($C140="","",IF($D140="Gider",$E140,$H140))</f>
        <v/>
      </c>
      <c r="M140" s="121">
        <f>IF($C140="","",IF($D140="Gider",$H140,$E140))</f>
        <v/>
      </c>
      <c r="N140" s="231">
        <f>IF($C140="","",DATE(YEAR($C140),MONTH($C140),1))</f>
        <v/>
      </c>
      <c r="O140" s="113">
        <f>IF($C140="","",IF(AND($D140&lt;&gt;"",$E140&lt;&gt;"",$G140&gt;0,$H140&lt;&gt;"",$I140&lt;&gt;""),IF($C140&gt;TODAY(),"İLERİ TARİH","UYGUN"),"EKSİK"))</f>
        <v/>
      </c>
      <c r="P140" s="6" t="n"/>
      <c r="Q140" s="6" t="n"/>
      <c r="R140" s="3" t="n"/>
      <c r="S140" s="3" t="n"/>
      <c r="T140" s="3" t="n"/>
      <c r="U140" s="3" t="n"/>
      <c r="V140" s="3" t="n"/>
      <c r="W140" s="3" t="n"/>
    </row>
    <row r="141">
      <c r="A141" s="6" t="n"/>
      <c r="B141" s="113">
        <f>IF($C141="","","GG"&amp;TEXT(ROW()-6,"00000"))</f>
        <v/>
      </c>
      <c r="C141" s="225" t="n"/>
      <c r="D141" s="108" t="n"/>
      <c r="E141" s="109" t="n"/>
      <c r="F141" s="109" t="n"/>
      <c r="G141" s="226" t="n"/>
      <c r="H141" s="108" t="n"/>
      <c r="I141" s="108" t="n"/>
      <c r="J141" s="109" t="n"/>
      <c r="K141" s="109" t="n"/>
      <c r="L141" s="121">
        <f>IF($C141="","",IF($D141="Gider",$E141,$H141))</f>
        <v/>
      </c>
      <c r="M141" s="121">
        <f>IF($C141="","",IF($D141="Gider",$H141,$E141))</f>
        <v/>
      </c>
      <c r="N141" s="231">
        <f>IF($C141="","",DATE(YEAR($C141),MONTH($C141),1))</f>
        <v/>
      </c>
      <c r="O141" s="113">
        <f>IF($C141="","",IF(AND($D141&lt;&gt;"",$E141&lt;&gt;"",$G141&gt;0,$H141&lt;&gt;"",$I141&lt;&gt;""),IF($C141&gt;TODAY(),"İLERİ TARİH","UYGUN"),"EKSİK"))</f>
        <v/>
      </c>
      <c r="P141" s="6" t="n"/>
      <c r="Q141" s="6" t="n"/>
      <c r="R141" s="3" t="n"/>
      <c r="S141" s="3" t="n"/>
      <c r="T141" s="3" t="n"/>
      <c r="U141" s="3" t="n"/>
      <c r="V141" s="3" t="n"/>
      <c r="W141" s="3" t="n"/>
    </row>
    <row r="142">
      <c r="A142" s="6" t="n"/>
      <c r="B142" s="113">
        <f>IF($C142="","","GG"&amp;TEXT(ROW()-6,"00000"))</f>
        <v/>
      </c>
      <c r="C142" s="225" t="n"/>
      <c r="D142" s="108" t="n"/>
      <c r="E142" s="109" t="n"/>
      <c r="F142" s="109" t="n"/>
      <c r="G142" s="226" t="n"/>
      <c r="H142" s="108" t="n"/>
      <c r="I142" s="108" t="n"/>
      <c r="J142" s="109" t="n"/>
      <c r="K142" s="109" t="n"/>
      <c r="L142" s="121">
        <f>IF($C142="","",IF($D142="Gider",$E142,$H142))</f>
        <v/>
      </c>
      <c r="M142" s="121">
        <f>IF($C142="","",IF($D142="Gider",$H142,$E142))</f>
        <v/>
      </c>
      <c r="N142" s="231">
        <f>IF($C142="","",DATE(YEAR($C142),MONTH($C142),1))</f>
        <v/>
      </c>
      <c r="O142" s="113">
        <f>IF($C142="","",IF(AND($D142&lt;&gt;"",$E142&lt;&gt;"",$G142&gt;0,$H142&lt;&gt;"",$I142&lt;&gt;""),IF($C142&gt;TODAY(),"İLERİ TARİH","UYGUN"),"EKSİK"))</f>
        <v/>
      </c>
      <c r="P142" s="6" t="n"/>
      <c r="Q142" s="6" t="n"/>
      <c r="R142" s="3" t="n"/>
      <c r="S142" s="3" t="n"/>
      <c r="T142" s="3" t="n"/>
      <c r="U142" s="3" t="n"/>
      <c r="V142" s="3" t="n"/>
      <c r="W142" s="3" t="n"/>
    </row>
    <row r="143">
      <c r="A143" s="6" t="n"/>
      <c r="B143" s="113">
        <f>IF($C143="","","GG"&amp;TEXT(ROW()-6,"00000"))</f>
        <v/>
      </c>
      <c r="C143" s="225" t="n"/>
      <c r="D143" s="108" t="n"/>
      <c r="E143" s="109" t="n"/>
      <c r="F143" s="109" t="n"/>
      <c r="G143" s="226" t="n"/>
      <c r="H143" s="108" t="n"/>
      <c r="I143" s="108" t="n"/>
      <c r="J143" s="109" t="n"/>
      <c r="K143" s="109" t="n"/>
      <c r="L143" s="121">
        <f>IF($C143="","",IF($D143="Gider",$E143,$H143))</f>
        <v/>
      </c>
      <c r="M143" s="121">
        <f>IF($C143="","",IF($D143="Gider",$H143,$E143))</f>
        <v/>
      </c>
      <c r="N143" s="231">
        <f>IF($C143="","",DATE(YEAR($C143),MONTH($C143),1))</f>
        <v/>
      </c>
      <c r="O143" s="113">
        <f>IF($C143="","",IF(AND($D143&lt;&gt;"",$E143&lt;&gt;"",$G143&gt;0,$H143&lt;&gt;"",$I143&lt;&gt;""),IF($C143&gt;TODAY(),"İLERİ TARİH","UYGUN"),"EKSİK"))</f>
        <v/>
      </c>
      <c r="P143" s="6" t="n"/>
      <c r="Q143" s="6" t="n"/>
      <c r="R143" s="3" t="n"/>
      <c r="S143" s="3" t="n"/>
      <c r="T143" s="3" t="n"/>
      <c r="U143" s="3" t="n"/>
      <c r="V143" s="3" t="n"/>
      <c r="W143" s="3" t="n"/>
    </row>
    <row r="144">
      <c r="A144" s="6" t="n"/>
      <c r="B144" s="113">
        <f>IF($C144="","","GG"&amp;TEXT(ROW()-6,"00000"))</f>
        <v/>
      </c>
      <c r="C144" s="225" t="n"/>
      <c r="D144" s="108" t="n"/>
      <c r="E144" s="109" t="n"/>
      <c r="F144" s="109" t="n"/>
      <c r="G144" s="226" t="n"/>
      <c r="H144" s="108" t="n"/>
      <c r="I144" s="108" t="n"/>
      <c r="J144" s="109" t="n"/>
      <c r="K144" s="109" t="n"/>
      <c r="L144" s="121">
        <f>IF($C144="","",IF($D144="Gider",$E144,$H144))</f>
        <v/>
      </c>
      <c r="M144" s="121">
        <f>IF($C144="","",IF($D144="Gider",$H144,$E144))</f>
        <v/>
      </c>
      <c r="N144" s="231">
        <f>IF($C144="","",DATE(YEAR($C144),MONTH($C144),1))</f>
        <v/>
      </c>
      <c r="O144" s="113">
        <f>IF($C144="","",IF(AND($D144&lt;&gt;"",$E144&lt;&gt;"",$G144&gt;0,$H144&lt;&gt;"",$I144&lt;&gt;""),IF($C144&gt;TODAY(),"İLERİ TARİH","UYGUN"),"EKSİK"))</f>
        <v/>
      </c>
      <c r="P144" s="6" t="n"/>
      <c r="Q144" s="6" t="n"/>
      <c r="R144" s="3" t="n"/>
      <c r="S144" s="3" t="n"/>
      <c r="T144" s="3" t="n"/>
      <c r="U144" s="3" t="n"/>
      <c r="V144" s="3" t="n"/>
      <c r="W144" s="3" t="n"/>
    </row>
    <row r="145">
      <c r="A145" s="6" t="n"/>
      <c r="B145" s="113">
        <f>IF($C145="","","GG"&amp;TEXT(ROW()-6,"00000"))</f>
        <v/>
      </c>
      <c r="C145" s="225" t="n"/>
      <c r="D145" s="108" t="n"/>
      <c r="E145" s="109" t="n"/>
      <c r="F145" s="109" t="n"/>
      <c r="G145" s="226" t="n"/>
      <c r="H145" s="108" t="n"/>
      <c r="I145" s="108" t="n"/>
      <c r="J145" s="109" t="n"/>
      <c r="K145" s="109" t="n"/>
      <c r="L145" s="121">
        <f>IF($C145="","",IF($D145="Gider",$E145,$H145))</f>
        <v/>
      </c>
      <c r="M145" s="121">
        <f>IF($C145="","",IF($D145="Gider",$H145,$E145))</f>
        <v/>
      </c>
      <c r="N145" s="231">
        <f>IF($C145="","",DATE(YEAR($C145),MONTH($C145),1))</f>
        <v/>
      </c>
      <c r="O145" s="113">
        <f>IF($C145="","",IF(AND($D145&lt;&gt;"",$E145&lt;&gt;"",$G145&gt;0,$H145&lt;&gt;"",$I145&lt;&gt;""),IF($C145&gt;TODAY(),"İLERİ TARİH","UYGUN"),"EKSİK"))</f>
        <v/>
      </c>
      <c r="P145" s="6" t="n"/>
      <c r="Q145" s="6" t="n"/>
      <c r="R145" s="3" t="n"/>
      <c r="S145" s="3" t="n"/>
      <c r="T145" s="3" t="n"/>
      <c r="U145" s="3" t="n"/>
      <c r="V145" s="3" t="n"/>
      <c r="W145" s="3" t="n"/>
    </row>
    <row r="146">
      <c r="A146" s="6" t="n"/>
      <c r="B146" s="113">
        <f>IF($C146="","","GG"&amp;TEXT(ROW()-6,"00000"))</f>
        <v/>
      </c>
      <c r="C146" s="225" t="n"/>
      <c r="D146" s="108" t="n"/>
      <c r="E146" s="109" t="n"/>
      <c r="F146" s="109" t="n"/>
      <c r="G146" s="226" t="n"/>
      <c r="H146" s="108" t="n"/>
      <c r="I146" s="108" t="n"/>
      <c r="J146" s="109" t="n"/>
      <c r="K146" s="109" t="n"/>
      <c r="L146" s="121">
        <f>IF($C146="","",IF($D146="Gider",$E146,$H146))</f>
        <v/>
      </c>
      <c r="M146" s="121">
        <f>IF($C146="","",IF($D146="Gider",$H146,$E146))</f>
        <v/>
      </c>
      <c r="N146" s="231">
        <f>IF($C146="","",DATE(YEAR($C146),MONTH($C146),1))</f>
        <v/>
      </c>
      <c r="O146" s="113">
        <f>IF($C146="","",IF(AND($D146&lt;&gt;"",$E146&lt;&gt;"",$G146&gt;0,$H146&lt;&gt;"",$I146&lt;&gt;""),IF($C146&gt;TODAY(),"İLERİ TARİH","UYGUN"),"EKSİK"))</f>
        <v/>
      </c>
      <c r="P146" s="6" t="n"/>
      <c r="Q146" s="6" t="n"/>
      <c r="R146" s="3" t="n"/>
      <c r="S146" s="3" t="n"/>
      <c r="T146" s="3" t="n"/>
      <c r="U146" s="3" t="n"/>
      <c r="V146" s="3" t="n"/>
      <c r="W146" s="3" t="n"/>
    </row>
    <row r="147">
      <c r="A147" s="6" t="n"/>
      <c r="B147" s="113">
        <f>IF($C147="","","GG"&amp;TEXT(ROW()-6,"00000"))</f>
        <v/>
      </c>
      <c r="C147" s="225" t="n"/>
      <c r="D147" s="108" t="n"/>
      <c r="E147" s="109" t="n"/>
      <c r="F147" s="109" t="n"/>
      <c r="G147" s="226" t="n"/>
      <c r="H147" s="108" t="n"/>
      <c r="I147" s="108" t="n"/>
      <c r="J147" s="109" t="n"/>
      <c r="K147" s="109" t="n"/>
      <c r="L147" s="121">
        <f>IF($C147="","",IF($D147="Gider",$E147,$H147))</f>
        <v/>
      </c>
      <c r="M147" s="121">
        <f>IF($C147="","",IF($D147="Gider",$H147,$E147))</f>
        <v/>
      </c>
      <c r="N147" s="231">
        <f>IF($C147="","",DATE(YEAR($C147),MONTH($C147),1))</f>
        <v/>
      </c>
      <c r="O147" s="113">
        <f>IF($C147="","",IF(AND($D147&lt;&gt;"",$E147&lt;&gt;"",$G147&gt;0,$H147&lt;&gt;"",$I147&lt;&gt;""),IF($C147&gt;TODAY(),"İLERİ TARİH","UYGUN"),"EKSİK"))</f>
        <v/>
      </c>
      <c r="P147" s="6" t="n"/>
      <c r="Q147" s="6" t="n"/>
      <c r="R147" s="3" t="n"/>
      <c r="S147" s="3" t="n"/>
      <c r="T147" s="3" t="n"/>
      <c r="U147" s="3" t="n"/>
      <c r="V147" s="3" t="n"/>
      <c r="W147" s="3" t="n"/>
    </row>
    <row r="148">
      <c r="A148" s="6" t="n"/>
      <c r="B148" s="113">
        <f>IF($C148="","","GG"&amp;TEXT(ROW()-6,"00000"))</f>
        <v/>
      </c>
      <c r="C148" s="225" t="n"/>
      <c r="D148" s="108" t="n"/>
      <c r="E148" s="109" t="n"/>
      <c r="F148" s="109" t="n"/>
      <c r="G148" s="226" t="n"/>
      <c r="H148" s="108" t="n"/>
      <c r="I148" s="108" t="n"/>
      <c r="J148" s="109" t="n"/>
      <c r="K148" s="109" t="n"/>
      <c r="L148" s="121">
        <f>IF($C148="","",IF($D148="Gider",$E148,$H148))</f>
        <v/>
      </c>
      <c r="M148" s="121">
        <f>IF($C148="","",IF($D148="Gider",$H148,$E148))</f>
        <v/>
      </c>
      <c r="N148" s="231">
        <f>IF($C148="","",DATE(YEAR($C148),MONTH($C148),1))</f>
        <v/>
      </c>
      <c r="O148" s="113">
        <f>IF($C148="","",IF(AND($D148&lt;&gt;"",$E148&lt;&gt;"",$G148&gt;0,$H148&lt;&gt;"",$I148&lt;&gt;""),IF($C148&gt;TODAY(),"İLERİ TARİH","UYGUN"),"EKSİK"))</f>
        <v/>
      </c>
      <c r="P148" s="6" t="n"/>
      <c r="Q148" s="6" t="n"/>
      <c r="R148" s="3" t="n"/>
      <c r="S148" s="3" t="n"/>
      <c r="T148" s="3" t="n"/>
      <c r="U148" s="3" t="n"/>
      <c r="V148" s="3" t="n"/>
      <c r="W148" s="3" t="n"/>
    </row>
    <row r="149">
      <c r="A149" s="6" t="n"/>
      <c r="B149" s="113">
        <f>IF($C149="","","GG"&amp;TEXT(ROW()-6,"00000"))</f>
        <v/>
      </c>
      <c r="C149" s="225" t="n"/>
      <c r="D149" s="108" t="n"/>
      <c r="E149" s="109" t="n"/>
      <c r="F149" s="109" t="n"/>
      <c r="G149" s="226" t="n"/>
      <c r="H149" s="108" t="n"/>
      <c r="I149" s="108" t="n"/>
      <c r="J149" s="109" t="n"/>
      <c r="K149" s="109" t="n"/>
      <c r="L149" s="121">
        <f>IF($C149="","",IF($D149="Gider",$E149,$H149))</f>
        <v/>
      </c>
      <c r="M149" s="121">
        <f>IF($C149="","",IF($D149="Gider",$H149,$E149))</f>
        <v/>
      </c>
      <c r="N149" s="231">
        <f>IF($C149="","",DATE(YEAR($C149),MONTH($C149),1))</f>
        <v/>
      </c>
      <c r="O149" s="113">
        <f>IF($C149="","",IF(AND($D149&lt;&gt;"",$E149&lt;&gt;"",$G149&gt;0,$H149&lt;&gt;"",$I149&lt;&gt;""),IF($C149&gt;TODAY(),"İLERİ TARİH","UYGUN"),"EKSİK"))</f>
        <v/>
      </c>
      <c r="P149" s="6" t="n"/>
      <c r="Q149" s="6" t="n"/>
      <c r="R149" s="3" t="n"/>
      <c r="S149" s="3" t="n"/>
      <c r="T149" s="3" t="n"/>
      <c r="U149" s="3" t="n"/>
      <c r="V149" s="3" t="n"/>
      <c r="W149" s="3" t="n"/>
    </row>
    <row r="150">
      <c r="A150" s="6" t="n"/>
      <c r="B150" s="113">
        <f>IF($C150="","","GG"&amp;TEXT(ROW()-6,"00000"))</f>
        <v/>
      </c>
      <c r="C150" s="225" t="n"/>
      <c r="D150" s="108" t="n"/>
      <c r="E150" s="109" t="n"/>
      <c r="F150" s="109" t="n"/>
      <c r="G150" s="226" t="n"/>
      <c r="H150" s="108" t="n"/>
      <c r="I150" s="108" t="n"/>
      <c r="J150" s="109" t="n"/>
      <c r="K150" s="109" t="n"/>
      <c r="L150" s="121">
        <f>IF($C150="","",IF($D150="Gider",$E150,$H150))</f>
        <v/>
      </c>
      <c r="M150" s="121">
        <f>IF($C150="","",IF($D150="Gider",$H150,$E150))</f>
        <v/>
      </c>
      <c r="N150" s="231">
        <f>IF($C150="","",DATE(YEAR($C150),MONTH($C150),1))</f>
        <v/>
      </c>
      <c r="O150" s="113">
        <f>IF($C150="","",IF(AND($D150&lt;&gt;"",$E150&lt;&gt;"",$G150&gt;0,$H150&lt;&gt;"",$I150&lt;&gt;""),IF($C150&gt;TODAY(),"İLERİ TARİH","UYGUN"),"EKSİK"))</f>
        <v/>
      </c>
      <c r="P150" s="6" t="n"/>
      <c r="Q150" s="6" t="n"/>
      <c r="R150" s="3" t="n"/>
      <c r="S150" s="3" t="n"/>
      <c r="T150" s="3" t="n"/>
      <c r="U150" s="3" t="n"/>
      <c r="V150" s="3" t="n"/>
      <c r="W150" s="3" t="n"/>
    </row>
    <row r="151">
      <c r="A151" s="6" t="n"/>
      <c r="B151" s="113">
        <f>IF($C151="","","GG"&amp;TEXT(ROW()-6,"00000"))</f>
        <v/>
      </c>
      <c r="C151" s="225" t="n"/>
      <c r="D151" s="108" t="n"/>
      <c r="E151" s="109" t="n"/>
      <c r="F151" s="109" t="n"/>
      <c r="G151" s="226" t="n"/>
      <c r="H151" s="108" t="n"/>
      <c r="I151" s="108" t="n"/>
      <c r="J151" s="109" t="n"/>
      <c r="K151" s="109" t="n"/>
      <c r="L151" s="121">
        <f>IF($C151="","",IF($D151="Gider",$E151,$H151))</f>
        <v/>
      </c>
      <c r="M151" s="121">
        <f>IF($C151="","",IF($D151="Gider",$H151,$E151))</f>
        <v/>
      </c>
      <c r="N151" s="231">
        <f>IF($C151="","",DATE(YEAR($C151),MONTH($C151),1))</f>
        <v/>
      </c>
      <c r="O151" s="113">
        <f>IF($C151="","",IF(AND($D151&lt;&gt;"",$E151&lt;&gt;"",$G151&gt;0,$H151&lt;&gt;"",$I151&lt;&gt;""),IF($C151&gt;TODAY(),"İLERİ TARİH","UYGUN"),"EKSİK"))</f>
        <v/>
      </c>
      <c r="P151" s="6" t="n"/>
      <c r="Q151" s="6" t="n"/>
      <c r="R151" s="3" t="n"/>
      <c r="S151" s="3" t="n"/>
      <c r="T151" s="3" t="n"/>
      <c r="U151" s="3" t="n"/>
      <c r="V151" s="3" t="n"/>
      <c r="W151" s="3" t="n"/>
    </row>
    <row r="152">
      <c r="A152" s="6" t="n"/>
      <c r="B152" s="113">
        <f>IF($C152="","","GG"&amp;TEXT(ROW()-6,"00000"))</f>
        <v/>
      </c>
      <c r="C152" s="225" t="n"/>
      <c r="D152" s="108" t="n"/>
      <c r="E152" s="109" t="n"/>
      <c r="F152" s="109" t="n"/>
      <c r="G152" s="226" t="n"/>
      <c r="H152" s="108" t="n"/>
      <c r="I152" s="108" t="n"/>
      <c r="J152" s="109" t="n"/>
      <c r="K152" s="109" t="n"/>
      <c r="L152" s="121">
        <f>IF($C152="","",IF($D152="Gider",$E152,$H152))</f>
        <v/>
      </c>
      <c r="M152" s="121">
        <f>IF($C152="","",IF($D152="Gider",$H152,$E152))</f>
        <v/>
      </c>
      <c r="N152" s="231">
        <f>IF($C152="","",DATE(YEAR($C152),MONTH($C152),1))</f>
        <v/>
      </c>
      <c r="O152" s="113">
        <f>IF($C152="","",IF(AND($D152&lt;&gt;"",$E152&lt;&gt;"",$G152&gt;0,$H152&lt;&gt;"",$I152&lt;&gt;""),IF($C152&gt;TODAY(),"İLERİ TARİH","UYGUN"),"EKSİK"))</f>
        <v/>
      </c>
      <c r="P152" s="6" t="n"/>
      <c r="Q152" s="6" t="n"/>
      <c r="R152" s="3" t="n"/>
      <c r="S152" s="3" t="n"/>
      <c r="T152" s="3" t="n"/>
      <c r="U152" s="3" t="n"/>
      <c r="V152" s="3" t="n"/>
      <c r="W152" s="3" t="n"/>
    </row>
    <row r="153">
      <c r="A153" s="6" t="n"/>
      <c r="B153" s="113">
        <f>IF($C153="","","GG"&amp;TEXT(ROW()-6,"00000"))</f>
        <v/>
      </c>
      <c r="C153" s="225" t="n"/>
      <c r="D153" s="108" t="n"/>
      <c r="E153" s="109" t="n"/>
      <c r="F153" s="109" t="n"/>
      <c r="G153" s="226" t="n"/>
      <c r="H153" s="108" t="n"/>
      <c r="I153" s="108" t="n"/>
      <c r="J153" s="109" t="n"/>
      <c r="K153" s="109" t="n"/>
      <c r="L153" s="121">
        <f>IF($C153="","",IF($D153="Gider",$E153,$H153))</f>
        <v/>
      </c>
      <c r="M153" s="121">
        <f>IF($C153="","",IF($D153="Gider",$H153,$E153))</f>
        <v/>
      </c>
      <c r="N153" s="231">
        <f>IF($C153="","",DATE(YEAR($C153),MONTH($C153),1))</f>
        <v/>
      </c>
      <c r="O153" s="113">
        <f>IF($C153="","",IF(AND($D153&lt;&gt;"",$E153&lt;&gt;"",$G153&gt;0,$H153&lt;&gt;"",$I153&lt;&gt;""),IF($C153&gt;TODAY(),"İLERİ TARİH","UYGUN"),"EKSİK"))</f>
        <v/>
      </c>
      <c r="P153" s="6" t="n"/>
      <c r="Q153" s="6" t="n"/>
      <c r="R153" s="3" t="n"/>
      <c r="S153" s="3" t="n"/>
      <c r="T153" s="3" t="n"/>
      <c r="U153" s="3" t="n"/>
      <c r="V153" s="3" t="n"/>
      <c r="W153" s="3" t="n"/>
    </row>
    <row r="154">
      <c r="A154" s="6" t="n"/>
      <c r="B154" s="113">
        <f>IF($C154="","","GG"&amp;TEXT(ROW()-6,"00000"))</f>
        <v/>
      </c>
      <c r="C154" s="225" t="n"/>
      <c r="D154" s="108" t="n"/>
      <c r="E154" s="109" t="n"/>
      <c r="F154" s="109" t="n"/>
      <c r="G154" s="226" t="n"/>
      <c r="H154" s="108" t="n"/>
      <c r="I154" s="108" t="n"/>
      <c r="J154" s="109" t="n"/>
      <c r="K154" s="109" t="n"/>
      <c r="L154" s="121">
        <f>IF($C154="","",IF($D154="Gider",$E154,$H154))</f>
        <v/>
      </c>
      <c r="M154" s="121">
        <f>IF($C154="","",IF($D154="Gider",$H154,$E154))</f>
        <v/>
      </c>
      <c r="N154" s="231">
        <f>IF($C154="","",DATE(YEAR($C154),MONTH($C154),1))</f>
        <v/>
      </c>
      <c r="O154" s="113">
        <f>IF($C154="","",IF(AND($D154&lt;&gt;"",$E154&lt;&gt;"",$G154&gt;0,$H154&lt;&gt;"",$I154&lt;&gt;""),IF($C154&gt;TODAY(),"İLERİ TARİH","UYGUN"),"EKSİK"))</f>
        <v/>
      </c>
      <c r="P154" s="6" t="n"/>
      <c r="Q154" s="6" t="n"/>
      <c r="R154" s="3" t="n"/>
      <c r="S154" s="3" t="n"/>
      <c r="T154" s="3" t="n"/>
      <c r="U154" s="3" t="n"/>
      <c r="V154" s="3" t="n"/>
      <c r="W154" s="3" t="n"/>
    </row>
    <row r="155">
      <c r="A155" s="6" t="n"/>
      <c r="B155" s="113">
        <f>IF($C155="","","GG"&amp;TEXT(ROW()-6,"00000"))</f>
        <v/>
      </c>
      <c r="C155" s="225" t="n"/>
      <c r="D155" s="108" t="n"/>
      <c r="E155" s="109" t="n"/>
      <c r="F155" s="109" t="n"/>
      <c r="G155" s="226" t="n"/>
      <c r="H155" s="108" t="n"/>
      <c r="I155" s="108" t="n"/>
      <c r="J155" s="109" t="n"/>
      <c r="K155" s="109" t="n"/>
      <c r="L155" s="121">
        <f>IF($C155="","",IF($D155="Gider",$E155,$H155))</f>
        <v/>
      </c>
      <c r="M155" s="121">
        <f>IF($C155="","",IF($D155="Gider",$H155,$E155))</f>
        <v/>
      </c>
      <c r="N155" s="231">
        <f>IF($C155="","",DATE(YEAR($C155),MONTH($C155),1))</f>
        <v/>
      </c>
      <c r="O155" s="113">
        <f>IF($C155="","",IF(AND($D155&lt;&gt;"",$E155&lt;&gt;"",$G155&gt;0,$H155&lt;&gt;"",$I155&lt;&gt;""),IF($C155&gt;TODAY(),"İLERİ TARİH","UYGUN"),"EKSİK"))</f>
        <v/>
      </c>
      <c r="P155" s="6" t="n"/>
      <c r="Q155" s="6" t="n"/>
      <c r="R155" s="3" t="n"/>
      <c r="S155" s="3" t="n"/>
      <c r="T155" s="3" t="n"/>
      <c r="U155" s="3" t="n"/>
      <c r="V155" s="3" t="n"/>
      <c r="W155" s="3" t="n"/>
    </row>
    <row r="156">
      <c r="A156" s="6" t="n"/>
      <c r="B156" s="113">
        <f>IF($C156="","","GG"&amp;TEXT(ROW()-6,"00000"))</f>
        <v/>
      </c>
      <c r="C156" s="225" t="n"/>
      <c r="D156" s="108" t="n"/>
      <c r="E156" s="109" t="n"/>
      <c r="F156" s="109" t="n"/>
      <c r="G156" s="226" t="n"/>
      <c r="H156" s="108" t="n"/>
      <c r="I156" s="108" t="n"/>
      <c r="J156" s="109" t="n"/>
      <c r="K156" s="109" t="n"/>
      <c r="L156" s="121">
        <f>IF($C156="","",IF($D156="Gider",$E156,$H156))</f>
        <v/>
      </c>
      <c r="M156" s="121">
        <f>IF($C156="","",IF($D156="Gider",$H156,$E156))</f>
        <v/>
      </c>
      <c r="N156" s="231">
        <f>IF($C156="","",DATE(YEAR($C156),MONTH($C156),1))</f>
        <v/>
      </c>
      <c r="O156" s="113">
        <f>IF($C156="","",IF(AND($D156&lt;&gt;"",$E156&lt;&gt;"",$G156&gt;0,$H156&lt;&gt;"",$I156&lt;&gt;""),IF($C156&gt;TODAY(),"İLERİ TARİH","UYGUN"),"EKSİK"))</f>
        <v/>
      </c>
      <c r="P156" s="6" t="n"/>
      <c r="Q156" s="6" t="n"/>
      <c r="R156" s="3" t="n"/>
      <c r="S156" s="3" t="n"/>
      <c r="T156" s="3" t="n"/>
      <c r="U156" s="3" t="n"/>
      <c r="V156" s="3" t="n"/>
      <c r="W156" s="3" t="n"/>
    </row>
    <row r="157">
      <c r="A157" s="6" t="n"/>
      <c r="B157" s="113">
        <f>IF($C157="","","GG"&amp;TEXT(ROW()-6,"00000"))</f>
        <v/>
      </c>
      <c r="C157" s="225" t="n"/>
      <c r="D157" s="108" t="n"/>
      <c r="E157" s="109" t="n"/>
      <c r="F157" s="109" t="n"/>
      <c r="G157" s="226" t="n"/>
      <c r="H157" s="108" t="n"/>
      <c r="I157" s="108" t="n"/>
      <c r="J157" s="109" t="n"/>
      <c r="K157" s="109" t="n"/>
      <c r="L157" s="121">
        <f>IF($C157="","",IF($D157="Gider",$E157,$H157))</f>
        <v/>
      </c>
      <c r="M157" s="121">
        <f>IF($C157="","",IF($D157="Gider",$H157,$E157))</f>
        <v/>
      </c>
      <c r="N157" s="231">
        <f>IF($C157="","",DATE(YEAR($C157),MONTH($C157),1))</f>
        <v/>
      </c>
      <c r="O157" s="113">
        <f>IF($C157="","",IF(AND($D157&lt;&gt;"",$E157&lt;&gt;"",$G157&gt;0,$H157&lt;&gt;"",$I157&lt;&gt;""),IF($C157&gt;TODAY(),"İLERİ TARİH","UYGUN"),"EKSİK"))</f>
        <v/>
      </c>
      <c r="P157" s="6" t="n"/>
      <c r="Q157" s="6" t="n"/>
      <c r="R157" s="3" t="n"/>
      <c r="S157" s="3" t="n"/>
      <c r="T157" s="3" t="n"/>
      <c r="U157" s="3" t="n"/>
      <c r="V157" s="3" t="n"/>
      <c r="W157" s="3" t="n"/>
    </row>
    <row r="158">
      <c r="A158" s="6" t="n"/>
      <c r="B158" s="113">
        <f>IF($C158="","","GG"&amp;TEXT(ROW()-6,"00000"))</f>
        <v/>
      </c>
      <c r="C158" s="225" t="n"/>
      <c r="D158" s="108" t="n"/>
      <c r="E158" s="109" t="n"/>
      <c r="F158" s="109" t="n"/>
      <c r="G158" s="226" t="n"/>
      <c r="H158" s="108" t="n"/>
      <c r="I158" s="108" t="n"/>
      <c r="J158" s="109" t="n"/>
      <c r="K158" s="109" t="n"/>
      <c r="L158" s="121">
        <f>IF($C158="","",IF($D158="Gider",$E158,$H158))</f>
        <v/>
      </c>
      <c r="M158" s="121">
        <f>IF($C158="","",IF($D158="Gider",$H158,$E158))</f>
        <v/>
      </c>
      <c r="N158" s="231">
        <f>IF($C158="","",DATE(YEAR($C158),MONTH($C158),1))</f>
        <v/>
      </c>
      <c r="O158" s="113">
        <f>IF($C158="","",IF(AND($D158&lt;&gt;"",$E158&lt;&gt;"",$G158&gt;0,$H158&lt;&gt;"",$I158&lt;&gt;""),IF($C158&gt;TODAY(),"İLERİ TARİH","UYGUN"),"EKSİK"))</f>
        <v/>
      </c>
      <c r="P158" s="6" t="n"/>
      <c r="Q158" s="6" t="n"/>
      <c r="R158" s="3" t="n"/>
      <c r="S158" s="3" t="n"/>
      <c r="T158" s="3" t="n"/>
      <c r="U158" s="3" t="n"/>
      <c r="V158" s="3" t="n"/>
      <c r="W158" s="3" t="n"/>
    </row>
    <row r="159">
      <c r="A159" s="6" t="n"/>
      <c r="B159" s="113">
        <f>IF($C159="","","GG"&amp;TEXT(ROW()-6,"00000"))</f>
        <v/>
      </c>
      <c r="C159" s="225" t="n"/>
      <c r="D159" s="108" t="n"/>
      <c r="E159" s="109" t="n"/>
      <c r="F159" s="109" t="n"/>
      <c r="G159" s="226" t="n"/>
      <c r="H159" s="108" t="n"/>
      <c r="I159" s="108" t="n"/>
      <c r="J159" s="109" t="n"/>
      <c r="K159" s="109" t="n"/>
      <c r="L159" s="121">
        <f>IF($C159="","",IF($D159="Gider",$E159,$H159))</f>
        <v/>
      </c>
      <c r="M159" s="121">
        <f>IF($C159="","",IF($D159="Gider",$H159,$E159))</f>
        <v/>
      </c>
      <c r="N159" s="231">
        <f>IF($C159="","",DATE(YEAR($C159),MONTH($C159),1))</f>
        <v/>
      </c>
      <c r="O159" s="113">
        <f>IF($C159="","",IF(AND($D159&lt;&gt;"",$E159&lt;&gt;"",$G159&gt;0,$H159&lt;&gt;"",$I159&lt;&gt;""),IF($C159&gt;TODAY(),"İLERİ TARİH","UYGUN"),"EKSİK"))</f>
        <v/>
      </c>
      <c r="P159" s="6" t="n"/>
      <c r="Q159" s="6" t="n"/>
      <c r="R159" s="3" t="n"/>
      <c r="S159" s="3" t="n"/>
      <c r="T159" s="3" t="n"/>
      <c r="U159" s="3" t="n"/>
      <c r="V159" s="3" t="n"/>
      <c r="W159" s="3" t="n"/>
    </row>
    <row r="160">
      <c r="A160" s="6" t="n"/>
      <c r="B160" s="113">
        <f>IF($C160="","","GG"&amp;TEXT(ROW()-6,"00000"))</f>
        <v/>
      </c>
      <c r="C160" s="225" t="n"/>
      <c r="D160" s="108" t="n"/>
      <c r="E160" s="109" t="n"/>
      <c r="F160" s="109" t="n"/>
      <c r="G160" s="226" t="n"/>
      <c r="H160" s="108" t="n"/>
      <c r="I160" s="108" t="n"/>
      <c r="J160" s="109" t="n"/>
      <c r="K160" s="109" t="n"/>
      <c r="L160" s="121">
        <f>IF($C160="","",IF($D160="Gider",$E160,$H160))</f>
        <v/>
      </c>
      <c r="M160" s="121">
        <f>IF($C160="","",IF($D160="Gider",$H160,$E160))</f>
        <v/>
      </c>
      <c r="N160" s="231">
        <f>IF($C160="","",DATE(YEAR($C160),MONTH($C160),1))</f>
        <v/>
      </c>
      <c r="O160" s="113">
        <f>IF($C160="","",IF(AND($D160&lt;&gt;"",$E160&lt;&gt;"",$G160&gt;0,$H160&lt;&gt;"",$I160&lt;&gt;""),IF($C160&gt;TODAY(),"İLERİ TARİH","UYGUN"),"EKSİK"))</f>
        <v/>
      </c>
      <c r="P160" s="6" t="n"/>
      <c r="Q160" s="6" t="n"/>
      <c r="R160" s="3" t="n"/>
      <c r="S160" s="3" t="n"/>
      <c r="T160" s="3" t="n"/>
      <c r="U160" s="3" t="n"/>
      <c r="V160" s="3" t="n"/>
      <c r="W160" s="3" t="n"/>
    </row>
    <row r="161">
      <c r="A161" s="6" t="n"/>
      <c r="B161" s="113">
        <f>IF($C161="","","GG"&amp;TEXT(ROW()-6,"00000"))</f>
        <v/>
      </c>
      <c r="C161" s="225" t="n"/>
      <c r="D161" s="108" t="n"/>
      <c r="E161" s="109" t="n"/>
      <c r="F161" s="109" t="n"/>
      <c r="G161" s="226" t="n"/>
      <c r="H161" s="108" t="n"/>
      <c r="I161" s="108" t="n"/>
      <c r="J161" s="109" t="n"/>
      <c r="K161" s="109" t="n"/>
      <c r="L161" s="121">
        <f>IF($C161="","",IF($D161="Gider",$E161,$H161))</f>
        <v/>
      </c>
      <c r="M161" s="121">
        <f>IF($C161="","",IF($D161="Gider",$H161,$E161))</f>
        <v/>
      </c>
      <c r="N161" s="231">
        <f>IF($C161="","",DATE(YEAR($C161),MONTH($C161),1))</f>
        <v/>
      </c>
      <c r="O161" s="113">
        <f>IF($C161="","",IF(AND($D161&lt;&gt;"",$E161&lt;&gt;"",$G161&gt;0,$H161&lt;&gt;"",$I161&lt;&gt;""),IF($C161&gt;TODAY(),"İLERİ TARİH","UYGUN"),"EKSİK"))</f>
        <v/>
      </c>
      <c r="P161" s="6" t="n"/>
      <c r="Q161" s="6" t="n"/>
      <c r="R161" s="3" t="n"/>
      <c r="S161" s="3" t="n"/>
      <c r="T161" s="3" t="n"/>
      <c r="U161" s="3" t="n"/>
      <c r="V161" s="3" t="n"/>
      <c r="W161" s="3" t="n"/>
    </row>
    <row r="162">
      <c r="A162" s="6" t="n"/>
      <c r="B162" s="113">
        <f>IF($C162="","","GG"&amp;TEXT(ROW()-6,"00000"))</f>
        <v/>
      </c>
      <c r="C162" s="225" t="n"/>
      <c r="D162" s="108" t="n"/>
      <c r="E162" s="109" t="n"/>
      <c r="F162" s="109" t="n"/>
      <c r="G162" s="226" t="n"/>
      <c r="H162" s="108" t="n"/>
      <c r="I162" s="108" t="n"/>
      <c r="J162" s="109" t="n"/>
      <c r="K162" s="109" t="n"/>
      <c r="L162" s="121">
        <f>IF($C162="","",IF($D162="Gider",$E162,$H162))</f>
        <v/>
      </c>
      <c r="M162" s="121">
        <f>IF($C162="","",IF($D162="Gider",$H162,$E162))</f>
        <v/>
      </c>
      <c r="N162" s="231">
        <f>IF($C162="","",DATE(YEAR($C162),MONTH($C162),1))</f>
        <v/>
      </c>
      <c r="O162" s="113">
        <f>IF($C162="","",IF(AND($D162&lt;&gt;"",$E162&lt;&gt;"",$G162&gt;0,$H162&lt;&gt;"",$I162&lt;&gt;""),IF($C162&gt;TODAY(),"İLERİ TARİH","UYGUN"),"EKSİK"))</f>
        <v/>
      </c>
      <c r="P162" s="6" t="n"/>
      <c r="Q162" s="6" t="n"/>
      <c r="R162" s="3" t="n"/>
      <c r="S162" s="3" t="n"/>
      <c r="T162" s="3" t="n"/>
      <c r="U162" s="3" t="n"/>
      <c r="V162" s="3" t="n"/>
      <c r="W162" s="3" t="n"/>
    </row>
    <row r="163">
      <c r="A163" s="6" t="n"/>
      <c r="B163" s="113">
        <f>IF($C163="","","GG"&amp;TEXT(ROW()-6,"00000"))</f>
        <v/>
      </c>
      <c r="C163" s="225" t="n"/>
      <c r="D163" s="108" t="n"/>
      <c r="E163" s="109" t="n"/>
      <c r="F163" s="109" t="n"/>
      <c r="G163" s="226" t="n"/>
      <c r="H163" s="108" t="n"/>
      <c r="I163" s="108" t="n"/>
      <c r="J163" s="109" t="n"/>
      <c r="K163" s="109" t="n"/>
      <c r="L163" s="121">
        <f>IF($C163="","",IF($D163="Gider",$E163,$H163))</f>
        <v/>
      </c>
      <c r="M163" s="121">
        <f>IF($C163="","",IF($D163="Gider",$H163,$E163))</f>
        <v/>
      </c>
      <c r="N163" s="231">
        <f>IF($C163="","",DATE(YEAR($C163),MONTH($C163),1))</f>
        <v/>
      </c>
      <c r="O163" s="113">
        <f>IF($C163="","",IF(AND($D163&lt;&gt;"",$E163&lt;&gt;"",$G163&gt;0,$H163&lt;&gt;"",$I163&lt;&gt;""),IF($C163&gt;TODAY(),"İLERİ TARİH","UYGUN"),"EKSİK"))</f>
        <v/>
      </c>
      <c r="P163" s="6" t="n"/>
      <c r="Q163" s="6" t="n"/>
      <c r="R163" s="3" t="n"/>
      <c r="S163" s="3" t="n"/>
      <c r="T163" s="3" t="n"/>
      <c r="U163" s="3" t="n"/>
      <c r="V163" s="3" t="n"/>
      <c r="W163" s="3" t="n"/>
    </row>
    <row r="164">
      <c r="A164" s="6" t="n"/>
      <c r="B164" s="113">
        <f>IF($C164="","","GG"&amp;TEXT(ROW()-6,"00000"))</f>
        <v/>
      </c>
      <c r="C164" s="225" t="n"/>
      <c r="D164" s="108" t="n"/>
      <c r="E164" s="109" t="n"/>
      <c r="F164" s="109" t="n"/>
      <c r="G164" s="226" t="n"/>
      <c r="H164" s="108" t="n"/>
      <c r="I164" s="108" t="n"/>
      <c r="J164" s="109" t="n"/>
      <c r="K164" s="109" t="n"/>
      <c r="L164" s="121">
        <f>IF($C164="","",IF($D164="Gider",$E164,$H164))</f>
        <v/>
      </c>
      <c r="M164" s="121">
        <f>IF($C164="","",IF($D164="Gider",$H164,$E164))</f>
        <v/>
      </c>
      <c r="N164" s="231">
        <f>IF($C164="","",DATE(YEAR($C164),MONTH($C164),1))</f>
        <v/>
      </c>
      <c r="O164" s="113">
        <f>IF($C164="","",IF(AND($D164&lt;&gt;"",$E164&lt;&gt;"",$G164&gt;0,$H164&lt;&gt;"",$I164&lt;&gt;""),IF($C164&gt;TODAY(),"İLERİ TARİH","UYGUN"),"EKSİK"))</f>
        <v/>
      </c>
      <c r="P164" s="6" t="n"/>
      <c r="Q164" s="6" t="n"/>
      <c r="R164" s="3" t="n"/>
      <c r="S164" s="3" t="n"/>
      <c r="T164" s="3" t="n"/>
      <c r="U164" s="3" t="n"/>
      <c r="V164" s="3" t="n"/>
      <c r="W164" s="3" t="n"/>
    </row>
    <row r="165">
      <c r="A165" s="6" t="n"/>
      <c r="B165" s="113">
        <f>IF($C165="","","GG"&amp;TEXT(ROW()-6,"00000"))</f>
        <v/>
      </c>
      <c r="C165" s="225" t="n"/>
      <c r="D165" s="108" t="n"/>
      <c r="E165" s="109" t="n"/>
      <c r="F165" s="109" t="n"/>
      <c r="G165" s="226" t="n"/>
      <c r="H165" s="108" t="n"/>
      <c r="I165" s="108" t="n"/>
      <c r="J165" s="109" t="n"/>
      <c r="K165" s="109" t="n"/>
      <c r="L165" s="121">
        <f>IF($C165="","",IF($D165="Gider",$E165,$H165))</f>
        <v/>
      </c>
      <c r="M165" s="121">
        <f>IF($C165="","",IF($D165="Gider",$H165,$E165))</f>
        <v/>
      </c>
      <c r="N165" s="231">
        <f>IF($C165="","",DATE(YEAR($C165),MONTH($C165),1))</f>
        <v/>
      </c>
      <c r="O165" s="113">
        <f>IF($C165="","",IF(AND($D165&lt;&gt;"",$E165&lt;&gt;"",$G165&gt;0,$H165&lt;&gt;"",$I165&lt;&gt;""),IF($C165&gt;TODAY(),"İLERİ TARİH","UYGUN"),"EKSİK"))</f>
        <v/>
      </c>
      <c r="P165" s="6" t="n"/>
      <c r="Q165" s="6" t="n"/>
      <c r="R165" s="3" t="n"/>
      <c r="S165" s="3" t="n"/>
      <c r="T165" s="3" t="n"/>
      <c r="U165" s="3" t="n"/>
      <c r="V165" s="3" t="n"/>
      <c r="W165" s="3" t="n"/>
    </row>
    <row r="166">
      <c r="A166" s="6" t="n"/>
      <c r="B166" s="113">
        <f>IF($C166="","","GG"&amp;TEXT(ROW()-6,"00000"))</f>
        <v/>
      </c>
      <c r="C166" s="225" t="n"/>
      <c r="D166" s="108" t="n"/>
      <c r="E166" s="109" t="n"/>
      <c r="F166" s="109" t="n"/>
      <c r="G166" s="226" t="n"/>
      <c r="H166" s="108" t="n"/>
      <c r="I166" s="108" t="n"/>
      <c r="J166" s="109" t="n"/>
      <c r="K166" s="109" t="n"/>
      <c r="L166" s="121">
        <f>IF($C166="","",IF($D166="Gider",$E166,$H166))</f>
        <v/>
      </c>
      <c r="M166" s="121">
        <f>IF($C166="","",IF($D166="Gider",$H166,$E166))</f>
        <v/>
      </c>
      <c r="N166" s="231">
        <f>IF($C166="","",DATE(YEAR($C166),MONTH($C166),1))</f>
        <v/>
      </c>
      <c r="O166" s="113">
        <f>IF($C166="","",IF(AND($D166&lt;&gt;"",$E166&lt;&gt;"",$G166&gt;0,$H166&lt;&gt;"",$I166&lt;&gt;""),IF($C166&gt;TODAY(),"İLERİ TARİH","UYGUN"),"EKSİK"))</f>
        <v/>
      </c>
      <c r="P166" s="6" t="n"/>
      <c r="Q166" s="6" t="n"/>
      <c r="R166" s="3" t="n"/>
      <c r="S166" s="3" t="n"/>
      <c r="T166" s="3" t="n"/>
      <c r="U166" s="3" t="n"/>
      <c r="V166" s="3" t="n"/>
      <c r="W166" s="3" t="n"/>
    </row>
    <row r="167">
      <c r="A167" s="6" t="n"/>
      <c r="B167" s="113">
        <f>IF($C167="","","GG"&amp;TEXT(ROW()-6,"00000"))</f>
        <v/>
      </c>
      <c r="C167" s="225" t="n"/>
      <c r="D167" s="108" t="n"/>
      <c r="E167" s="109" t="n"/>
      <c r="F167" s="109" t="n"/>
      <c r="G167" s="226" t="n"/>
      <c r="H167" s="108" t="n"/>
      <c r="I167" s="108" t="n"/>
      <c r="J167" s="109" t="n"/>
      <c r="K167" s="109" t="n"/>
      <c r="L167" s="121">
        <f>IF($C167="","",IF($D167="Gider",$E167,$H167))</f>
        <v/>
      </c>
      <c r="M167" s="121">
        <f>IF($C167="","",IF($D167="Gider",$H167,$E167))</f>
        <v/>
      </c>
      <c r="N167" s="231">
        <f>IF($C167="","",DATE(YEAR($C167),MONTH($C167),1))</f>
        <v/>
      </c>
      <c r="O167" s="113">
        <f>IF($C167="","",IF(AND($D167&lt;&gt;"",$E167&lt;&gt;"",$G167&gt;0,$H167&lt;&gt;"",$I167&lt;&gt;""),IF($C167&gt;TODAY(),"İLERİ TARİH","UYGUN"),"EKSİK"))</f>
        <v/>
      </c>
      <c r="P167" s="6" t="n"/>
      <c r="Q167" s="6" t="n"/>
      <c r="R167" s="3" t="n"/>
      <c r="S167" s="3" t="n"/>
      <c r="T167" s="3" t="n"/>
      <c r="U167" s="3" t="n"/>
      <c r="V167" s="3" t="n"/>
      <c r="W167" s="3" t="n"/>
    </row>
    <row r="168">
      <c r="A168" s="6" t="n"/>
      <c r="B168" s="113">
        <f>IF($C168="","","GG"&amp;TEXT(ROW()-6,"00000"))</f>
        <v/>
      </c>
      <c r="C168" s="225" t="n"/>
      <c r="D168" s="108" t="n"/>
      <c r="E168" s="109" t="n"/>
      <c r="F168" s="109" t="n"/>
      <c r="G168" s="226" t="n"/>
      <c r="H168" s="108" t="n"/>
      <c r="I168" s="108" t="n"/>
      <c r="J168" s="109" t="n"/>
      <c r="K168" s="109" t="n"/>
      <c r="L168" s="121">
        <f>IF($C168="","",IF($D168="Gider",$E168,$H168))</f>
        <v/>
      </c>
      <c r="M168" s="121">
        <f>IF($C168="","",IF($D168="Gider",$H168,$E168))</f>
        <v/>
      </c>
      <c r="N168" s="231">
        <f>IF($C168="","",DATE(YEAR($C168),MONTH($C168),1))</f>
        <v/>
      </c>
      <c r="O168" s="113">
        <f>IF($C168="","",IF(AND($D168&lt;&gt;"",$E168&lt;&gt;"",$G168&gt;0,$H168&lt;&gt;"",$I168&lt;&gt;""),IF($C168&gt;TODAY(),"İLERİ TARİH","UYGUN"),"EKSİK"))</f>
        <v/>
      </c>
      <c r="P168" s="6" t="n"/>
      <c r="Q168" s="6" t="n"/>
      <c r="R168" s="3" t="n"/>
      <c r="S168" s="3" t="n"/>
      <c r="T168" s="3" t="n"/>
      <c r="U168" s="3" t="n"/>
      <c r="V168" s="3" t="n"/>
      <c r="W168" s="3" t="n"/>
    </row>
    <row r="169">
      <c r="A169" s="6" t="n"/>
      <c r="B169" s="113">
        <f>IF($C169="","","GG"&amp;TEXT(ROW()-6,"00000"))</f>
        <v/>
      </c>
      <c r="C169" s="225" t="n"/>
      <c r="D169" s="108" t="n"/>
      <c r="E169" s="109" t="n"/>
      <c r="F169" s="109" t="n"/>
      <c r="G169" s="226" t="n"/>
      <c r="H169" s="108" t="n"/>
      <c r="I169" s="108" t="n"/>
      <c r="J169" s="109" t="n"/>
      <c r="K169" s="109" t="n"/>
      <c r="L169" s="121">
        <f>IF($C169="","",IF($D169="Gider",$E169,$H169))</f>
        <v/>
      </c>
      <c r="M169" s="121">
        <f>IF($C169="","",IF($D169="Gider",$H169,$E169))</f>
        <v/>
      </c>
      <c r="N169" s="231">
        <f>IF($C169="","",DATE(YEAR($C169),MONTH($C169),1))</f>
        <v/>
      </c>
      <c r="O169" s="113">
        <f>IF($C169="","",IF(AND($D169&lt;&gt;"",$E169&lt;&gt;"",$G169&gt;0,$H169&lt;&gt;"",$I169&lt;&gt;""),IF($C169&gt;TODAY(),"İLERİ TARİH","UYGUN"),"EKSİK"))</f>
        <v/>
      </c>
      <c r="P169" s="6" t="n"/>
      <c r="Q169" s="6" t="n"/>
      <c r="R169" s="3" t="n"/>
      <c r="S169" s="3" t="n"/>
      <c r="T169" s="3" t="n"/>
      <c r="U169" s="3" t="n"/>
      <c r="V169" s="3" t="n"/>
      <c r="W169" s="3" t="n"/>
    </row>
    <row r="170">
      <c r="A170" s="6" t="n"/>
      <c r="B170" s="113">
        <f>IF($C170="","","GG"&amp;TEXT(ROW()-6,"00000"))</f>
        <v/>
      </c>
      <c r="C170" s="225" t="n"/>
      <c r="D170" s="108" t="n"/>
      <c r="E170" s="109" t="n"/>
      <c r="F170" s="109" t="n"/>
      <c r="G170" s="226" t="n"/>
      <c r="H170" s="108" t="n"/>
      <c r="I170" s="108" t="n"/>
      <c r="J170" s="109" t="n"/>
      <c r="K170" s="109" t="n"/>
      <c r="L170" s="121">
        <f>IF($C170="","",IF($D170="Gider",$E170,$H170))</f>
        <v/>
      </c>
      <c r="M170" s="121">
        <f>IF($C170="","",IF($D170="Gider",$H170,$E170))</f>
        <v/>
      </c>
      <c r="N170" s="231">
        <f>IF($C170="","",DATE(YEAR($C170),MONTH($C170),1))</f>
        <v/>
      </c>
      <c r="O170" s="113">
        <f>IF($C170="","",IF(AND($D170&lt;&gt;"",$E170&lt;&gt;"",$G170&gt;0,$H170&lt;&gt;"",$I170&lt;&gt;""),IF($C170&gt;TODAY(),"İLERİ TARİH","UYGUN"),"EKSİK"))</f>
        <v/>
      </c>
      <c r="P170" s="6" t="n"/>
      <c r="Q170" s="6" t="n"/>
      <c r="R170" s="3" t="n"/>
      <c r="S170" s="3" t="n"/>
      <c r="T170" s="3" t="n"/>
      <c r="U170" s="3" t="n"/>
      <c r="V170" s="3" t="n"/>
      <c r="W170" s="3" t="n"/>
    </row>
    <row r="171">
      <c r="A171" s="6" t="n"/>
      <c r="B171" s="113">
        <f>IF($C171="","","GG"&amp;TEXT(ROW()-6,"00000"))</f>
        <v/>
      </c>
      <c r="C171" s="225" t="n"/>
      <c r="D171" s="108" t="n"/>
      <c r="E171" s="109" t="n"/>
      <c r="F171" s="109" t="n"/>
      <c r="G171" s="226" t="n"/>
      <c r="H171" s="108" t="n"/>
      <c r="I171" s="108" t="n"/>
      <c r="J171" s="109" t="n"/>
      <c r="K171" s="109" t="n"/>
      <c r="L171" s="121">
        <f>IF($C171="","",IF($D171="Gider",$E171,$H171))</f>
        <v/>
      </c>
      <c r="M171" s="121">
        <f>IF($C171="","",IF($D171="Gider",$H171,$E171))</f>
        <v/>
      </c>
      <c r="N171" s="231">
        <f>IF($C171="","",DATE(YEAR($C171),MONTH($C171),1))</f>
        <v/>
      </c>
      <c r="O171" s="113">
        <f>IF($C171="","",IF(AND($D171&lt;&gt;"",$E171&lt;&gt;"",$G171&gt;0,$H171&lt;&gt;"",$I171&lt;&gt;""),IF($C171&gt;TODAY(),"İLERİ TARİH","UYGUN"),"EKSİK"))</f>
        <v/>
      </c>
      <c r="P171" s="6" t="n"/>
      <c r="Q171" s="6" t="n"/>
      <c r="R171" s="3" t="n"/>
      <c r="S171" s="3" t="n"/>
      <c r="T171" s="3" t="n"/>
      <c r="U171" s="3" t="n"/>
      <c r="V171" s="3" t="n"/>
      <c r="W171" s="3" t="n"/>
    </row>
    <row r="172">
      <c r="A172" s="6" t="n"/>
      <c r="B172" s="113">
        <f>IF($C172="","","GG"&amp;TEXT(ROW()-6,"00000"))</f>
        <v/>
      </c>
      <c r="C172" s="225" t="n"/>
      <c r="D172" s="108" t="n"/>
      <c r="E172" s="109" t="n"/>
      <c r="F172" s="109" t="n"/>
      <c r="G172" s="226" t="n"/>
      <c r="H172" s="108" t="n"/>
      <c r="I172" s="108" t="n"/>
      <c r="J172" s="109" t="n"/>
      <c r="K172" s="109" t="n"/>
      <c r="L172" s="121">
        <f>IF($C172="","",IF($D172="Gider",$E172,$H172))</f>
        <v/>
      </c>
      <c r="M172" s="121">
        <f>IF($C172="","",IF($D172="Gider",$H172,$E172))</f>
        <v/>
      </c>
      <c r="N172" s="231">
        <f>IF($C172="","",DATE(YEAR($C172),MONTH($C172),1))</f>
        <v/>
      </c>
      <c r="O172" s="113">
        <f>IF($C172="","",IF(AND($D172&lt;&gt;"",$E172&lt;&gt;"",$G172&gt;0,$H172&lt;&gt;"",$I172&lt;&gt;""),IF($C172&gt;TODAY(),"İLERİ TARİH","UYGUN"),"EKSİK"))</f>
        <v/>
      </c>
      <c r="P172" s="6" t="n"/>
      <c r="Q172" s="6" t="n"/>
      <c r="R172" s="3" t="n"/>
      <c r="S172" s="3" t="n"/>
      <c r="T172" s="3" t="n"/>
      <c r="U172" s="3" t="n"/>
      <c r="V172" s="3" t="n"/>
      <c r="W172" s="3" t="n"/>
    </row>
    <row r="173">
      <c r="A173" s="6" t="n"/>
      <c r="B173" s="113">
        <f>IF($C173="","","GG"&amp;TEXT(ROW()-6,"00000"))</f>
        <v/>
      </c>
      <c r="C173" s="225" t="n"/>
      <c r="D173" s="108" t="n"/>
      <c r="E173" s="109" t="n"/>
      <c r="F173" s="109" t="n"/>
      <c r="G173" s="226" t="n"/>
      <c r="H173" s="108" t="n"/>
      <c r="I173" s="108" t="n"/>
      <c r="J173" s="109" t="n"/>
      <c r="K173" s="109" t="n"/>
      <c r="L173" s="121">
        <f>IF($C173="","",IF($D173="Gider",$E173,$H173))</f>
        <v/>
      </c>
      <c r="M173" s="121">
        <f>IF($C173="","",IF($D173="Gider",$H173,$E173))</f>
        <v/>
      </c>
      <c r="N173" s="231">
        <f>IF($C173="","",DATE(YEAR($C173),MONTH($C173),1))</f>
        <v/>
      </c>
      <c r="O173" s="113">
        <f>IF($C173="","",IF(AND($D173&lt;&gt;"",$E173&lt;&gt;"",$G173&gt;0,$H173&lt;&gt;"",$I173&lt;&gt;""),IF($C173&gt;TODAY(),"İLERİ TARİH","UYGUN"),"EKSİK"))</f>
        <v/>
      </c>
      <c r="P173" s="6" t="n"/>
      <c r="Q173" s="6" t="n"/>
      <c r="R173" s="3" t="n"/>
      <c r="S173" s="3" t="n"/>
      <c r="T173" s="3" t="n"/>
      <c r="U173" s="3" t="n"/>
      <c r="V173" s="3" t="n"/>
      <c r="W173" s="3" t="n"/>
    </row>
    <row r="174">
      <c r="A174" s="6" t="n"/>
      <c r="B174" s="113">
        <f>IF($C174="","","GG"&amp;TEXT(ROW()-6,"00000"))</f>
        <v/>
      </c>
      <c r="C174" s="225" t="n"/>
      <c r="D174" s="108" t="n"/>
      <c r="E174" s="109" t="n"/>
      <c r="F174" s="109" t="n"/>
      <c r="G174" s="226" t="n"/>
      <c r="H174" s="108" t="n"/>
      <c r="I174" s="108" t="n"/>
      <c r="J174" s="109" t="n"/>
      <c r="K174" s="109" t="n"/>
      <c r="L174" s="121">
        <f>IF($C174="","",IF($D174="Gider",$E174,$H174))</f>
        <v/>
      </c>
      <c r="M174" s="121">
        <f>IF($C174="","",IF($D174="Gider",$H174,$E174))</f>
        <v/>
      </c>
      <c r="N174" s="231">
        <f>IF($C174="","",DATE(YEAR($C174),MONTH($C174),1))</f>
        <v/>
      </c>
      <c r="O174" s="113">
        <f>IF($C174="","",IF(AND($D174&lt;&gt;"",$E174&lt;&gt;"",$G174&gt;0,$H174&lt;&gt;"",$I174&lt;&gt;""),IF($C174&gt;TODAY(),"İLERİ TARİH","UYGUN"),"EKSİK"))</f>
        <v/>
      </c>
      <c r="P174" s="6" t="n"/>
      <c r="Q174" s="6" t="n"/>
      <c r="R174" s="3" t="n"/>
      <c r="S174" s="3" t="n"/>
      <c r="T174" s="3" t="n"/>
      <c r="U174" s="3" t="n"/>
      <c r="V174" s="3" t="n"/>
      <c r="W174" s="3" t="n"/>
    </row>
    <row r="175">
      <c r="A175" s="6" t="n"/>
      <c r="B175" s="113">
        <f>IF($C175="","","GG"&amp;TEXT(ROW()-6,"00000"))</f>
        <v/>
      </c>
      <c r="C175" s="225" t="n"/>
      <c r="D175" s="108" t="n"/>
      <c r="E175" s="109" t="n"/>
      <c r="F175" s="109" t="n"/>
      <c r="G175" s="226" t="n"/>
      <c r="H175" s="108" t="n"/>
      <c r="I175" s="108" t="n"/>
      <c r="J175" s="109" t="n"/>
      <c r="K175" s="109" t="n"/>
      <c r="L175" s="121">
        <f>IF($C175="","",IF($D175="Gider",$E175,$H175))</f>
        <v/>
      </c>
      <c r="M175" s="121">
        <f>IF($C175="","",IF($D175="Gider",$H175,$E175))</f>
        <v/>
      </c>
      <c r="N175" s="231">
        <f>IF($C175="","",DATE(YEAR($C175),MONTH($C175),1))</f>
        <v/>
      </c>
      <c r="O175" s="113">
        <f>IF($C175="","",IF(AND($D175&lt;&gt;"",$E175&lt;&gt;"",$G175&gt;0,$H175&lt;&gt;"",$I175&lt;&gt;""),IF($C175&gt;TODAY(),"İLERİ TARİH","UYGUN"),"EKSİK"))</f>
        <v/>
      </c>
      <c r="P175" s="6" t="n"/>
      <c r="Q175" s="6" t="n"/>
      <c r="R175" s="3" t="n"/>
      <c r="S175" s="3" t="n"/>
      <c r="T175" s="3" t="n"/>
      <c r="U175" s="3" t="n"/>
      <c r="V175" s="3" t="n"/>
      <c r="W175" s="3" t="n"/>
    </row>
    <row r="176">
      <c r="A176" s="6" t="n"/>
      <c r="B176" s="113">
        <f>IF($C176="","","GG"&amp;TEXT(ROW()-6,"00000"))</f>
        <v/>
      </c>
      <c r="C176" s="225" t="n"/>
      <c r="D176" s="108" t="n"/>
      <c r="E176" s="109" t="n"/>
      <c r="F176" s="109" t="n"/>
      <c r="G176" s="226" t="n"/>
      <c r="H176" s="108" t="n"/>
      <c r="I176" s="108" t="n"/>
      <c r="J176" s="109" t="n"/>
      <c r="K176" s="109" t="n"/>
      <c r="L176" s="121">
        <f>IF($C176="","",IF($D176="Gider",$E176,$H176))</f>
        <v/>
      </c>
      <c r="M176" s="121">
        <f>IF($C176="","",IF($D176="Gider",$H176,$E176))</f>
        <v/>
      </c>
      <c r="N176" s="231">
        <f>IF($C176="","",DATE(YEAR($C176),MONTH($C176),1))</f>
        <v/>
      </c>
      <c r="O176" s="113">
        <f>IF($C176="","",IF(AND($D176&lt;&gt;"",$E176&lt;&gt;"",$G176&gt;0,$H176&lt;&gt;"",$I176&lt;&gt;""),IF($C176&gt;TODAY(),"İLERİ TARİH","UYGUN"),"EKSİK"))</f>
        <v/>
      </c>
      <c r="P176" s="6" t="n"/>
      <c r="Q176" s="6" t="n"/>
      <c r="R176" s="3" t="n"/>
      <c r="S176" s="3" t="n"/>
      <c r="T176" s="3" t="n"/>
      <c r="U176" s="3" t="n"/>
      <c r="V176" s="3" t="n"/>
      <c r="W176" s="3" t="n"/>
    </row>
    <row r="177">
      <c r="A177" s="6" t="n"/>
      <c r="B177" s="113">
        <f>IF($C177="","","GG"&amp;TEXT(ROW()-6,"00000"))</f>
        <v/>
      </c>
      <c r="C177" s="225" t="n"/>
      <c r="D177" s="108" t="n"/>
      <c r="E177" s="109" t="n"/>
      <c r="F177" s="109" t="n"/>
      <c r="G177" s="226" t="n"/>
      <c r="H177" s="108" t="n"/>
      <c r="I177" s="108" t="n"/>
      <c r="J177" s="109" t="n"/>
      <c r="K177" s="109" t="n"/>
      <c r="L177" s="121">
        <f>IF($C177="","",IF($D177="Gider",$E177,$H177))</f>
        <v/>
      </c>
      <c r="M177" s="121">
        <f>IF($C177="","",IF($D177="Gider",$H177,$E177))</f>
        <v/>
      </c>
      <c r="N177" s="231">
        <f>IF($C177="","",DATE(YEAR($C177),MONTH($C177),1))</f>
        <v/>
      </c>
      <c r="O177" s="113">
        <f>IF($C177="","",IF(AND($D177&lt;&gt;"",$E177&lt;&gt;"",$G177&gt;0,$H177&lt;&gt;"",$I177&lt;&gt;""),IF($C177&gt;TODAY(),"İLERİ TARİH","UYGUN"),"EKSİK"))</f>
        <v/>
      </c>
      <c r="P177" s="6" t="n"/>
      <c r="Q177" s="6" t="n"/>
      <c r="R177" s="3" t="n"/>
      <c r="S177" s="3" t="n"/>
      <c r="T177" s="3" t="n"/>
      <c r="U177" s="3" t="n"/>
      <c r="V177" s="3" t="n"/>
      <c r="W177" s="3" t="n"/>
    </row>
    <row r="178">
      <c r="A178" s="6" t="n"/>
      <c r="B178" s="113">
        <f>IF($C178="","","GG"&amp;TEXT(ROW()-6,"00000"))</f>
        <v/>
      </c>
      <c r="C178" s="225" t="n"/>
      <c r="D178" s="108" t="n"/>
      <c r="E178" s="109" t="n"/>
      <c r="F178" s="109" t="n"/>
      <c r="G178" s="226" t="n"/>
      <c r="H178" s="108" t="n"/>
      <c r="I178" s="108" t="n"/>
      <c r="J178" s="109" t="n"/>
      <c r="K178" s="109" t="n"/>
      <c r="L178" s="121">
        <f>IF($C178="","",IF($D178="Gider",$E178,$H178))</f>
        <v/>
      </c>
      <c r="M178" s="121">
        <f>IF($C178="","",IF($D178="Gider",$H178,$E178))</f>
        <v/>
      </c>
      <c r="N178" s="231">
        <f>IF($C178="","",DATE(YEAR($C178),MONTH($C178),1))</f>
        <v/>
      </c>
      <c r="O178" s="113">
        <f>IF($C178="","",IF(AND($D178&lt;&gt;"",$E178&lt;&gt;"",$G178&gt;0,$H178&lt;&gt;"",$I178&lt;&gt;""),IF($C178&gt;TODAY(),"İLERİ TARİH","UYGUN"),"EKSİK"))</f>
        <v/>
      </c>
      <c r="P178" s="6" t="n"/>
      <c r="Q178" s="6" t="n"/>
      <c r="R178" s="3" t="n"/>
      <c r="S178" s="3" t="n"/>
      <c r="T178" s="3" t="n"/>
      <c r="U178" s="3" t="n"/>
      <c r="V178" s="3" t="n"/>
      <c r="W178" s="3" t="n"/>
    </row>
    <row r="179">
      <c r="A179" s="6" t="n"/>
      <c r="B179" s="113">
        <f>IF($C179="","","GG"&amp;TEXT(ROW()-6,"00000"))</f>
        <v/>
      </c>
      <c r="C179" s="225" t="n"/>
      <c r="D179" s="108" t="n"/>
      <c r="E179" s="109" t="n"/>
      <c r="F179" s="109" t="n"/>
      <c r="G179" s="226" t="n"/>
      <c r="H179" s="108" t="n"/>
      <c r="I179" s="108" t="n"/>
      <c r="J179" s="109" t="n"/>
      <c r="K179" s="109" t="n"/>
      <c r="L179" s="121">
        <f>IF($C179="","",IF($D179="Gider",$E179,$H179))</f>
        <v/>
      </c>
      <c r="M179" s="121">
        <f>IF($C179="","",IF($D179="Gider",$H179,$E179))</f>
        <v/>
      </c>
      <c r="N179" s="231">
        <f>IF($C179="","",DATE(YEAR($C179),MONTH($C179),1))</f>
        <v/>
      </c>
      <c r="O179" s="113">
        <f>IF($C179="","",IF(AND($D179&lt;&gt;"",$E179&lt;&gt;"",$G179&gt;0,$H179&lt;&gt;"",$I179&lt;&gt;""),IF($C179&gt;TODAY(),"İLERİ TARİH","UYGUN"),"EKSİK"))</f>
        <v/>
      </c>
      <c r="P179" s="6" t="n"/>
      <c r="Q179" s="6" t="n"/>
      <c r="R179" s="3" t="n"/>
      <c r="S179" s="3" t="n"/>
      <c r="T179" s="3" t="n"/>
      <c r="U179" s="3" t="n"/>
      <c r="V179" s="3" t="n"/>
      <c r="W179" s="3" t="n"/>
    </row>
    <row r="180">
      <c r="A180" s="6" t="n"/>
      <c r="B180" s="113">
        <f>IF($C180="","","GG"&amp;TEXT(ROW()-6,"00000"))</f>
        <v/>
      </c>
      <c r="C180" s="225" t="n"/>
      <c r="D180" s="108" t="n"/>
      <c r="E180" s="109" t="n"/>
      <c r="F180" s="109" t="n"/>
      <c r="G180" s="226" t="n"/>
      <c r="H180" s="108" t="n"/>
      <c r="I180" s="108" t="n"/>
      <c r="J180" s="109" t="n"/>
      <c r="K180" s="109" t="n"/>
      <c r="L180" s="121">
        <f>IF($C180="","",IF($D180="Gider",$E180,$H180))</f>
        <v/>
      </c>
      <c r="M180" s="121">
        <f>IF($C180="","",IF($D180="Gider",$H180,$E180))</f>
        <v/>
      </c>
      <c r="N180" s="231">
        <f>IF($C180="","",DATE(YEAR($C180),MONTH($C180),1))</f>
        <v/>
      </c>
      <c r="O180" s="113">
        <f>IF($C180="","",IF(AND($D180&lt;&gt;"",$E180&lt;&gt;"",$G180&gt;0,$H180&lt;&gt;"",$I180&lt;&gt;""),IF($C180&gt;TODAY(),"İLERİ TARİH","UYGUN"),"EKSİK"))</f>
        <v/>
      </c>
      <c r="P180" s="6" t="n"/>
      <c r="Q180" s="6" t="n"/>
      <c r="R180" s="3" t="n"/>
      <c r="S180" s="3" t="n"/>
      <c r="T180" s="3" t="n"/>
      <c r="U180" s="3" t="n"/>
      <c r="V180" s="3" t="n"/>
      <c r="W180" s="3" t="n"/>
    </row>
    <row r="181">
      <c r="A181" s="6" t="n"/>
      <c r="B181" s="113">
        <f>IF($C181="","","GG"&amp;TEXT(ROW()-6,"00000"))</f>
        <v/>
      </c>
      <c r="C181" s="225" t="n"/>
      <c r="D181" s="108" t="n"/>
      <c r="E181" s="109" t="n"/>
      <c r="F181" s="109" t="n"/>
      <c r="G181" s="226" t="n"/>
      <c r="H181" s="108" t="n"/>
      <c r="I181" s="108" t="n"/>
      <c r="J181" s="109" t="n"/>
      <c r="K181" s="109" t="n"/>
      <c r="L181" s="121">
        <f>IF($C181="","",IF($D181="Gider",$E181,$H181))</f>
        <v/>
      </c>
      <c r="M181" s="121">
        <f>IF($C181="","",IF($D181="Gider",$H181,$E181))</f>
        <v/>
      </c>
      <c r="N181" s="231">
        <f>IF($C181="","",DATE(YEAR($C181),MONTH($C181),1))</f>
        <v/>
      </c>
      <c r="O181" s="113">
        <f>IF($C181="","",IF(AND($D181&lt;&gt;"",$E181&lt;&gt;"",$G181&gt;0,$H181&lt;&gt;"",$I181&lt;&gt;""),IF($C181&gt;TODAY(),"İLERİ TARİH","UYGUN"),"EKSİK"))</f>
        <v/>
      </c>
      <c r="P181" s="6" t="n"/>
      <c r="Q181" s="6" t="n"/>
      <c r="R181" s="3" t="n"/>
      <c r="S181" s="3" t="n"/>
      <c r="T181" s="3" t="n"/>
      <c r="U181" s="3" t="n"/>
      <c r="V181" s="3" t="n"/>
      <c r="W181" s="3" t="n"/>
    </row>
    <row r="182">
      <c r="A182" s="6" t="n"/>
      <c r="B182" s="113">
        <f>IF($C182="","","GG"&amp;TEXT(ROW()-6,"00000"))</f>
        <v/>
      </c>
      <c r="C182" s="225" t="n"/>
      <c r="D182" s="108" t="n"/>
      <c r="E182" s="109" t="n"/>
      <c r="F182" s="109" t="n"/>
      <c r="G182" s="226" t="n"/>
      <c r="H182" s="108" t="n"/>
      <c r="I182" s="108" t="n"/>
      <c r="J182" s="109" t="n"/>
      <c r="K182" s="109" t="n"/>
      <c r="L182" s="121">
        <f>IF($C182="","",IF($D182="Gider",$E182,$H182))</f>
        <v/>
      </c>
      <c r="M182" s="121">
        <f>IF($C182="","",IF($D182="Gider",$H182,$E182))</f>
        <v/>
      </c>
      <c r="N182" s="231">
        <f>IF($C182="","",DATE(YEAR($C182),MONTH($C182),1))</f>
        <v/>
      </c>
      <c r="O182" s="113">
        <f>IF($C182="","",IF(AND($D182&lt;&gt;"",$E182&lt;&gt;"",$G182&gt;0,$H182&lt;&gt;"",$I182&lt;&gt;""),IF($C182&gt;TODAY(),"İLERİ TARİH","UYGUN"),"EKSİK"))</f>
        <v/>
      </c>
      <c r="P182" s="6" t="n"/>
      <c r="Q182" s="6" t="n"/>
      <c r="R182" s="3" t="n"/>
      <c r="S182" s="3" t="n"/>
      <c r="T182" s="3" t="n"/>
      <c r="U182" s="3" t="n"/>
      <c r="V182" s="3" t="n"/>
      <c r="W182" s="3" t="n"/>
    </row>
    <row r="183">
      <c r="A183" s="6" t="n"/>
      <c r="B183" s="113">
        <f>IF($C183="","","GG"&amp;TEXT(ROW()-6,"00000"))</f>
        <v/>
      </c>
      <c r="C183" s="225" t="n"/>
      <c r="D183" s="108" t="n"/>
      <c r="E183" s="109" t="n"/>
      <c r="F183" s="109" t="n"/>
      <c r="G183" s="226" t="n"/>
      <c r="H183" s="108" t="n"/>
      <c r="I183" s="108" t="n"/>
      <c r="J183" s="109" t="n"/>
      <c r="K183" s="109" t="n"/>
      <c r="L183" s="121">
        <f>IF($C183="","",IF($D183="Gider",$E183,$H183))</f>
        <v/>
      </c>
      <c r="M183" s="121">
        <f>IF($C183="","",IF($D183="Gider",$H183,$E183))</f>
        <v/>
      </c>
      <c r="N183" s="231">
        <f>IF($C183="","",DATE(YEAR($C183),MONTH($C183),1))</f>
        <v/>
      </c>
      <c r="O183" s="113">
        <f>IF($C183="","",IF(AND($D183&lt;&gt;"",$E183&lt;&gt;"",$G183&gt;0,$H183&lt;&gt;"",$I183&lt;&gt;""),IF($C183&gt;TODAY(),"İLERİ TARİH","UYGUN"),"EKSİK"))</f>
        <v/>
      </c>
      <c r="P183" s="6" t="n"/>
      <c r="Q183" s="6" t="n"/>
      <c r="R183" s="3" t="n"/>
      <c r="S183" s="3" t="n"/>
      <c r="T183" s="3" t="n"/>
      <c r="U183" s="3" t="n"/>
      <c r="V183" s="3" t="n"/>
      <c r="W183" s="3" t="n"/>
    </row>
    <row r="184">
      <c r="A184" s="6" t="n"/>
      <c r="B184" s="113">
        <f>IF($C184="","","GG"&amp;TEXT(ROW()-6,"00000"))</f>
        <v/>
      </c>
      <c r="C184" s="225" t="n"/>
      <c r="D184" s="108" t="n"/>
      <c r="E184" s="109" t="n"/>
      <c r="F184" s="109" t="n"/>
      <c r="G184" s="226" t="n"/>
      <c r="H184" s="108" t="n"/>
      <c r="I184" s="108" t="n"/>
      <c r="J184" s="109" t="n"/>
      <c r="K184" s="109" t="n"/>
      <c r="L184" s="121">
        <f>IF($C184="","",IF($D184="Gider",$E184,$H184))</f>
        <v/>
      </c>
      <c r="M184" s="121">
        <f>IF($C184="","",IF($D184="Gider",$H184,$E184))</f>
        <v/>
      </c>
      <c r="N184" s="231">
        <f>IF($C184="","",DATE(YEAR($C184),MONTH($C184),1))</f>
        <v/>
      </c>
      <c r="O184" s="113">
        <f>IF($C184="","",IF(AND($D184&lt;&gt;"",$E184&lt;&gt;"",$G184&gt;0,$H184&lt;&gt;"",$I184&lt;&gt;""),IF($C184&gt;TODAY(),"İLERİ TARİH","UYGUN"),"EKSİK"))</f>
        <v/>
      </c>
      <c r="P184" s="6" t="n"/>
      <c r="Q184" s="6" t="n"/>
      <c r="R184" s="3" t="n"/>
      <c r="S184" s="3" t="n"/>
      <c r="T184" s="3" t="n"/>
      <c r="U184" s="3" t="n"/>
      <c r="V184" s="3" t="n"/>
      <c r="W184" s="3" t="n"/>
    </row>
    <row r="185">
      <c r="A185" s="6" t="n"/>
      <c r="B185" s="113">
        <f>IF($C185="","","GG"&amp;TEXT(ROW()-6,"00000"))</f>
        <v/>
      </c>
      <c r="C185" s="225" t="n"/>
      <c r="D185" s="108" t="n"/>
      <c r="E185" s="109" t="n"/>
      <c r="F185" s="109" t="n"/>
      <c r="G185" s="226" t="n"/>
      <c r="H185" s="108" t="n"/>
      <c r="I185" s="108" t="n"/>
      <c r="J185" s="109" t="n"/>
      <c r="K185" s="109" t="n"/>
      <c r="L185" s="121">
        <f>IF($C185="","",IF($D185="Gider",$E185,$H185))</f>
        <v/>
      </c>
      <c r="M185" s="121">
        <f>IF($C185="","",IF($D185="Gider",$H185,$E185))</f>
        <v/>
      </c>
      <c r="N185" s="231">
        <f>IF($C185="","",DATE(YEAR($C185),MONTH($C185),1))</f>
        <v/>
      </c>
      <c r="O185" s="113">
        <f>IF($C185="","",IF(AND($D185&lt;&gt;"",$E185&lt;&gt;"",$G185&gt;0,$H185&lt;&gt;"",$I185&lt;&gt;""),IF($C185&gt;TODAY(),"İLERİ TARİH","UYGUN"),"EKSİK"))</f>
        <v/>
      </c>
      <c r="P185" s="6" t="n"/>
      <c r="Q185" s="6" t="n"/>
      <c r="R185" s="3" t="n"/>
      <c r="S185" s="3" t="n"/>
      <c r="T185" s="3" t="n"/>
      <c r="U185" s="3" t="n"/>
      <c r="V185" s="3" t="n"/>
      <c r="W185" s="3" t="n"/>
    </row>
    <row r="186">
      <c r="A186" s="6" t="n"/>
      <c r="B186" s="113">
        <f>IF($C186="","","GG"&amp;TEXT(ROW()-6,"00000"))</f>
        <v/>
      </c>
      <c r="C186" s="225" t="n"/>
      <c r="D186" s="108" t="n"/>
      <c r="E186" s="109" t="n"/>
      <c r="F186" s="109" t="n"/>
      <c r="G186" s="226" t="n"/>
      <c r="H186" s="108" t="n"/>
      <c r="I186" s="108" t="n"/>
      <c r="J186" s="109" t="n"/>
      <c r="K186" s="109" t="n"/>
      <c r="L186" s="121">
        <f>IF($C186="","",IF($D186="Gider",$E186,$H186))</f>
        <v/>
      </c>
      <c r="M186" s="121">
        <f>IF($C186="","",IF($D186="Gider",$H186,$E186))</f>
        <v/>
      </c>
      <c r="N186" s="231">
        <f>IF($C186="","",DATE(YEAR($C186),MONTH($C186),1))</f>
        <v/>
      </c>
      <c r="O186" s="113">
        <f>IF($C186="","",IF(AND($D186&lt;&gt;"",$E186&lt;&gt;"",$G186&gt;0,$H186&lt;&gt;"",$I186&lt;&gt;""),IF($C186&gt;TODAY(),"İLERİ TARİH","UYGUN"),"EKSİK"))</f>
        <v/>
      </c>
      <c r="P186" s="6" t="n"/>
      <c r="Q186" s="6" t="n"/>
      <c r="R186" s="3" t="n"/>
      <c r="S186" s="3" t="n"/>
      <c r="T186" s="3" t="n"/>
      <c r="U186" s="3" t="n"/>
      <c r="V186" s="3" t="n"/>
      <c r="W186" s="3" t="n"/>
    </row>
    <row r="187">
      <c r="A187" s="6" t="n"/>
      <c r="B187" s="113">
        <f>IF($C187="","","GG"&amp;TEXT(ROW()-6,"00000"))</f>
        <v/>
      </c>
      <c r="C187" s="225" t="n"/>
      <c r="D187" s="108" t="n"/>
      <c r="E187" s="109" t="n"/>
      <c r="F187" s="109" t="n"/>
      <c r="G187" s="226" t="n"/>
      <c r="H187" s="108" t="n"/>
      <c r="I187" s="108" t="n"/>
      <c r="J187" s="109" t="n"/>
      <c r="K187" s="109" t="n"/>
      <c r="L187" s="121">
        <f>IF($C187="","",IF($D187="Gider",$E187,$H187))</f>
        <v/>
      </c>
      <c r="M187" s="121">
        <f>IF($C187="","",IF($D187="Gider",$H187,$E187))</f>
        <v/>
      </c>
      <c r="N187" s="231">
        <f>IF($C187="","",DATE(YEAR($C187),MONTH($C187),1))</f>
        <v/>
      </c>
      <c r="O187" s="113">
        <f>IF($C187="","",IF(AND($D187&lt;&gt;"",$E187&lt;&gt;"",$G187&gt;0,$H187&lt;&gt;"",$I187&lt;&gt;""),IF($C187&gt;TODAY(),"İLERİ TARİH","UYGUN"),"EKSİK"))</f>
        <v/>
      </c>
      <c r="P187" s="6" t="n"/>
      <c r="Q187" s="6" t="n"/>
      <c r="R187" s="3" t="n"/>
      <c r="S187" s="3" t="n"/>
      <c r="T187" s="3" t="n"/>
      <c r="U187" s="3" t="n"/>
      <c r="V187" s="3" t="n"/>
      <c r="W187" s="3" t="n"/>
    </row>
    <row r="188">
      <c r="A188" s="6" t="n"/>
      <c r="B188" s="113">
        <f>IF($C188="","","GG"&amp;TEXT(ROW()-6,"00000"))</f>
        <v/>
      </c>
      <c r="C188" s="225" t="n"/>
      <c r="D188" s="108" t="n"/>
      <c r="E188" s="109" t="n"/>
      <c r="F188" s="109" t="n"/>
      <c r="G188" s="226" t="n"/>
      <c r="H188" s="108" t="n"/>
      <c r="I188" s="108" t="n"/>
      <c r="J188" s="109" t="n"/>
      <c r="K188" s="109" t="n"/>
      <c r="L188" s="121">
        <f>IF($C188="","",IF($D188="Gider",$E188,$H188))</f>
        <v/>
      </c>
      <c r="M188" s="121">
        <f>IF($C188="","",IF($D188="Gider",$H188,$E188))</f>
        <v/>
      </c>
      <c r="N188" s="231">
        <f>IF($C188="","",DATE(YEAR($C188),MONTH($C188),1))</f>
        <v/>
      </c>
      <c r="O188" s="113">
        <f>IF($C188="","",IF(AND($D188&lt;&gt;"",$E188&lt;&gt;"",$G188&gt;0,$H188&lt;&gt;"",$I188&lt;&gt;""),IF($C188&gt;TODAY(),"İLERİ TARİH","UYGUN"),"EKSİK"))</f>
        <v/>
      </c>
      <c r="P188" s="6" t="n"/>
      <c r="Q188" s="6" t="n"/>
      <c r="R188" s="3" t="n"/>
      <c r="S188" s="3" t="n"/>
      <c r="T188" s="3" t="n"/>
      <c r="U188" s="3" t="n"/>
      <c r="V188" s="3" t="n"/>
      <c r="W188" s="3" t="n"/>
    </row>
    <row r="189">
      <c r="A189" s="6" t="n"/>
      <c r="B189" s="113">
        <f>IF($C189="","","GG"&amp;TEXT(ROW()-6,"00000"))</f>
        <v/>
      </c>
      <c r="C189" s="225" t="n"/>
      <c r="D189" s="108" t="n"/>
      <c r="E189" s="109" t="n"/>
      <c r="F189" s="109" t="n"/>
      <c r="G189" s="226" t="n"/>
      <c r="H189" s="108" t="n"/>
      <c r="I189" s="108" t="n"/>
      <c r="J189" s="109" t="n"/>
      <c r="K189" s="109" t="n"/>
      <c r="L189" s="121">
        <f>IF($C189="","",IF($D189="Gider",$E189,$H189))</f>
        <v/>
      </c>
      <c r="M189" s="121">
        <f>IF($C189="","",IF($D189="Gider",$H189,$E189))</f>
        <v/>
      </c>
      <c r="N189" s="231">
        <f>IF($C189="","",DATE(YEAR($C189),MONTH($C189),1))</f>
        <v/>
      </c>
      <c r="O189" s="113">
        <f>IF($C189="","",IF(AND($D189&lt;&gt;"",$E189&lt;&gt;"",$G189&gt;0,$H189&lt;&gt;"",$I189&lt;&gt;""),IF($C189&gt;TODAY(),"İLERİ TARİH","UYGUN"),"EKSİK"))</f>
        <v/>
      </c>
      <c r="P189" s="6" t="n"/>
      <c r="Q189" s="6" t="n"/>
      <c r="R189" s="3" t="n"/>
      <c r="S189" s="3" t="n"/>
      <c r="T189" s="3" t="n"/>
      <c r="U189" s="3" t="n"/>
      <c r="V189" s="3" t="n"/>
      <c r="W189" s="3" t="n"/>
    </row>
    <row r="190">
      <c r="A190" s="6" t="n"/>
      <c r="B190" s="113">
        <f>IF($C190="","","GG"&amp;TEXT(ROW()-6,"00000"))</f>
        <v/>
      </c>
      <c r="C190" s="225" t="n"/>
      <c r="D190" s="108" t="n"/>
      <c r="E190" s="109" t="n"/>
      <c r="F190" s="109" t="n"/>
      <c r="G190" s="226" t="n"/>
      <c r="H190" s="108" t="n"/>
      <c r="I190" s="108" t="n"/>
      <c r="J190" s="109" t="n"/>
      <c r="K190" s="109" t="n"/>
      <c r="L190" s="121">
        <f>IF($C190="","",IF($D190="Gider",$E190,$H190))</f>
        <v/>
      </c>
      <c r="M190" s="121">
        <f>IF($C190="","",IF($D190="Gider",$H190,$E190))</f>
        <v/>
      </c>
      <c r="N190" s="231">
        <f>IF($C190="","",DATE(YEAR($C190),MONTH($C190),1))</f>
        <v/>
      </c>
      <c r="O190" s="113">
        <f>IF($C190="","",IF(AND($D190&lt;&gt;"",$E190&lt;&gt;"",$G190&gt;0,$H190&lt;&gt;"",$I190&lt;&gt;""),IF($C190&gt;TODAY(),"İLERİ TARİH","UYGUN"),"EKSİK"))</f>
        <v/>
      </c>
      <c r="P190" s="6" t="n"/>
      <c r="Q190" s="6" t="n"/>
      <c r="R190" s="3" t="n"/>
      <c r="S190" s="3" t="n"/>
      <c r="T190" s="3" t="n"/>
      <c r="U190" s="3" t="n"/>
      <c r="V190" s="3" t="n"/>
      <c r="W190" s="3" t="n"/>
    </row>
    <row r="191">
      <c r="A191" s="6" t="n"/>
      <c r="B191" s="113">
        <f>IF($C191="","","GG"&amp;TEXT(ROW()-6,"00000"))</f>
        <v/>
      </c>
      <c r="C191" s="225" t="n"/>
      <c r="D191" s="108" t="n"/>
      <c r="E191" s="109" t="n"/>
      <c r="F191" s="109" t="n"/>
      <c r="G191" s="226" t="n"/>
      <c r="H191" s="108" t="n"/>
      <c r="I191" s="108" t="n"/>
      <c r="J191" s="109" t="n"/>
      <c r="K191" s="109" t="n"/>
      <c r="L191" s="121">
        <f>IF($C191="","",IF($D191="Gider",$E191,$H191))</f>
        <v/>
      </c>
      <c r="M191" s="121">
        <f>IF($C191="","",IF($D191="Gider",$H191,$E191))</f>
        <v/>
      </c>
      <c r="N191" s="231">
        <f>IF($C191="","",DATE(YEAR($C191),MONTH($C191),1))</f>
        <v/>
      </c>
      <c r="O191" s="113">
        <f>IF($C191="","",IF(AND($D191&lt;&gt;"",$E191&lt;&gt;"",$G191&gt;0,$H191&lt;&gt;"",$I191&lt;&gt;""),IF($C191&gt;TODAY(),"İLERİ TARİH","UYGUN"),"EKSİK"))</f>
        <v/>
      </c>
      <c r="P191" s="6" t="n"/>
      <c r="Q191" s="6" t="n"/>
      <c r="R191" s="3" t="n"/>
      <c r="S191" s="3" t="n"/>
      <c r="T191" s="3" t="n"/>
      <c r="U191" s="3" t="n"/>
      <c r="V191" s="3" t="n"/>
      <c r="W191" s="3" t="n"/>
    </row>
    <row r="192">
      <c r="A192" s="6" t="n"/>
      <c r="B192" s="113">
        <f>IF($C192="","","GG"&amp;TEXT(ROW()-6,"00000"))</f>
        <v/>
      </c>
      <c r="C192" s="225" t="n"/>
      <c r="D192" s="108" t="n"/>
      <c r="E192" s="109" t="n"/>
      <c r="F192" s="109" t="n"/>
      <c r="G192" s="226" t="n"/>
      <c r="H192" s="108" t="n"/>
      <c r="I192" s="108" t="n"/>
      <c r="J192" s="109" t="n"/>
      <c r="K192" s="109" t="n"/>
      <c r="L192" s="121">
        <f>IF($C192="","",IF($D192="Gider",$E192,$H192))</f>
        <v/>
      </c>
      <c r="M192" s="121">
        <f>IF($C192="","",IF($D192="Gider",$H192,$E192))</f>
        <v/>
      </c>
      <c r="N192" s="231">
        <f>IF($C192="","",DATE(YEAR($C192),MONTH($C192),1))</f>
        <v/>
      </c>
      <c r="O192" s="113">
        <f>IF($C192="","",IF(AND($D192&lt;&gt;"",$E192&lt;&gt;"",$G192&gt;0,$H192&lt;&gt;"",$I192&lt;&gt;""),IF($C192&gt;TODAY(),"İLERİ TARİH","UYGUN"),"EKSİK"))</f>
        <v/>
      </c>
      <c r="P192" s="6" t="n"/>
      <c r="Q192" s="6" t="n"/>
      <c r="R192" s="3" t="n"/>
      <c r="S192" s="3" t="n"/>
      <c r="T192" s="3" t="n"/>
      <c r="U192" s="3" t="n"/>
      <c r="V192" s="3" t="n"/>
      <c r="W192" s="3" t="n"/>
    </row>
    <row r="193">
      <c r="A193" s="6" t="n"/>
      <c r="B193" s="113">
        <f>IF($C193="","","GG"&amp;TEXT(ROW()-6,"00000"))</f>
        <v/>
      </c>
      <c r="C193" s="225" t="n"/>
      <c r="D193" s="108" t="n"/>
      <c r="E193" s="109" t="n"/>
      <c r="F193" s="109" t="n"/>
      <c r="G193" s="226" t="n"/>
      <c r="H193" s="108" t="n"/>
      <c r="I193" s="108" t="n"/>
      <c r="J193" s="109" t="n"/>
      <c r="K193" s="109" t="n"/>
      <c r="L193" s="121">
        <f>IF($C193="","",IF($D193="Gider",$E193,$H193))</f>
        <v/>
      </c>
      <c r="M193" s="121">
        <f>IF($C193="","",IF($D193="Gider",$H193,$E193))</f>
        <v/>
      </c>
      <c r="N193" s="231">
        <f>IF($C193="","",DATE(YEAR($C193),MONTH($C193),1))</f>
        <v/>
      </c>
      <c r="O193" s="113">
        <f>IF($C193="","",IF(AND($D193&lt;&gt;"",$E193&lt;&gt;"",$G193&gt;0,$H193&lt;&gt;"",$I193&lt;&gt;""),IF($C193&gt;TODAY(),"İLERİ TARİH","UYGUN"),"EKSİK"))</f>
        <v/>
      </c>
      <c r="P193" s="6" t="n"/>
      <c r="Q193" s="6" t="n"/>
      <c r="R193" s="3" t="n"/>
      <c r="S193" s="3" t="n"/>
      <c r="T193" s="3" t="n"/>
      <c r="U193" s="3" t="n"/>
      <c r="V193" s="3" t="n"/>
      <c r="W193" s="3" t="n"/>
    </row>
    <row r="194">
      <c r="A194" s="6" t="n"/>
      <c r="B194" s="113">
        <f>IF($C194="","","GG"&amp;TEXT(ROW()-6,"00000"))</f>
        <v/>
      </c>
      <c r="C194" s="225" t="n"/>
      <c r="D194" s="108" t="n"/>
      <c r="E194" s="109" t="n"/>
      <c r="F194" s="109" t="n"/>
      <c r="G194" s="226" t="n"/>
      <c r="H194" s="108" t="n"/>
      <c r="I194" s="108" t="n"/>
      <c r="J194" s="109" t="n"/>
      <c r="K194" s="109" t="n"/>
      <c r="L194" s="121">
        <f>IF($C194="","",IF($D194="Gider",$E194,$H194))</f>
        <v/>
      </c>
      <c r="M194" s="121">
        <f>IF($C194="","",IF($D194="Gider",$H194,$E194))</f>
        <v/>
      </c>
      <c r="N194" s="231">
        <f>IF($C194="","",DATE(YEAR($C194),MONTH($C194),1))</f>
        <v/>
      </c>
      <c r="O194" s="113">
        <f>IF($C194="","",IF(AND($D194&lt;&gt;"",$E194&lt;&gt;"",$G194&gt;0,$H194&lt;&gt;"",$I194&lt;&gt;""),IF($C194&gt;TODAY(),"İLERİ TARİH","UYGUN"),"EKSİK"))</f>
        <v/>
      </c>
      <c r="P194" s="6" t="n"/>
      <c r="Q194" s="6" t="n"/>
      <c r="R194" s="3" t="n"/>
      <c r="S194" s="3" t="n"/>
      <c r="T194" s="3" t="n"/>
      <c r="U194" s="3" t="n"/>
      <c r="V194" s="3" t="n"/>
      <c r="W194" s="3" t="n"/>
    </row>
    <row r="195">
      <c r="A195" s="6" t="n"/>
      <c r="B195" s="113">
        <f>IF($C195="","","GG"&amp;TEXT(ROW()-6,"00000"))</f>
        <v/>
      </c>
      <c r="C195" s="225" t="n"/>
      <c r="D195" s="108" t="n"/>
      <c r="E195" s="109" t="n"/>
      <c r="F195" s="109" t="n"/>
      <c r="G195" s="226" t="n"/>
      <c r="H195" s="108" t="n"/>
      <c r="I195" s="108" t="n"/>
      <c r="J195" s="109" t="n"/>
      <c r="K195" s="109" t="n"/>
      <c r="L195" s="121">
        <f>IF($C195="","",IF($D195="Gider",$E195,$H195))</f>
        <v/>
      </c>
      <c r="M195" s="121">
        <f>IF($C195="","",IF($D195="Gider",$H195,$E195))</f>
        <v/>
      </c>
      <c r="N195" s="231">
        <f>IF($C195="","",DATE(YEAR($C195),MONTH($C195),1))</f>
        <v/>
      </c>
      <c r="O195" s="113">
        <f>IF($C195="","",IF(AND($D195&lt;&gt;"",$E195&lt;&gt;"",$G195&gt;0,$H195&lt;&gt;"",$I195&lt;&gt;""),IF($C195&gt;TODAY(),"İLERİ TARİH","UYGUN"),"EKSİK"))</f>
        <v/>
      </c>
      <c r="P195" s="6" t="n"/>
      <c r="Q195" s="6" t="n"/>
      <c r="R195" s="3" t="n"/>
      <c r="S195" s="3" t="n"/>
      <c r="T195" s="3" t="n"/>
      <c r="U195" s="3" t="n"/>
      <c r="V195" s="3" t="n"/>
      <c r="W195" s="3" t="n"/>
    </row>
    <row r="196">
      <c r="A196" s="6" t="n"/>
      <c r="B196" s="113">
        <f>IF($C196="","","GG"&amp;TEXT(ROW()-6,"00000"))</f>
        <v/>
      </c>
      <c r="C196" s="225" t="n"/>
      <c r="D196" s="108" t="n"/>
      <c r="E196" s="109" t="n"/>
      <c r="F196" s="109" t="n"/>
      <c r="G196" s="226" t="n"/>
      <c r="H196" s="108" t="n"/>
      <c r="I196" s="108" t="n"/>
      <c r="J196" s="109" t="n"/>
      <c r="K196" s="109" t="n"/>
      <c r="L196" s="121">
        <f>IF($C196="","",IF($D196="Gider",$E196,$H196))</f>
        <v/>
      </c>
      <c r="M196" s="121">
        <f>IF($C196="","",IF($D196="Gider",$H196,$E196))</f>
        <v/>
      </c>
      <c r="N196" s="231">
        <f>IF($C196="","",DATE(YEAR($C196),MONTH($C196),1))</f>
        <v/>
      </c>
      <c r="O196" s="113">
        <f>IF($C196="","",IF(AND($D196&lt;&gt;"",$E196&lt;&gt;"",$G196&gt;0,$H196&lt;&gt;"",$I196&lt;&gt;""),IF($C196&gt;TODAY(),"İLERİ TARİH","UYGUN"),"EKSİK"))</f>
        <v/>
      </c>
      <c r="P196" s="6" t="n"/>
      <c r="Q196" s="6" t="n"/>
      <c r="R196" s="3" t="n"/>
      <c r="S196" s="3" t="n"/>
      <c r="T196" s="3" t="n"/>
      <c r="U196" s="3" t="n"/>
      <c r="V196" s="3" t="n"/>
      <c r="W196" s="3" t="n"/>
    </row>
    <row r="197">
      <c r="A197" s="6" t="n"/>
      <c r="B197" s="113">
        <f>IF($C197="","","GG"&amp;TEXT(ROW()-6,"00000"))</f>
        <v/>
      </c>
      <c r="C197" s="225" t="n"/>
      <c r="D197" s="108" t="n"/>
      <c r="E197" s="109" t="n"/>
      <c r="F197" s="109" t="n"/>
      <c r="G197" s="226" t="n"/>
      <c r="H197" s="108" t="n"/>
      <c r="I197" s="108" t="n"/>
      <c r="J197" s="109" t="n"/>
      <c r="K197" s="109" t="n"/>
      <c r="L197" s="121">
        <f>IF($C197="","",IF($D197="Gider",$E197,$H197))</f>
        <v/>
      </c>
      <c r="M197" s="121">
        <f>IF($C197="","",IF($D197="Gider",$H197,$E197))</f>
        <v/>
      </c>
      <c r="N197" s="231">
        <f>IF($C197="","",DATE(YEAR($C197),MONTH($C197),1))</f>
        <v/>
      </c>
      <c r="O197" s="113">
        <f>IF($C197="","",IF(AND($D197&lt;&gt;"",$E197&lt;&gt;"",$G197&gt;0,$H197&lt;&gt;"",$I197&lt;&gt;""),IF($C197&gt;TODAY(),"İLERİ TARİH","UYGUN"),"EKSİK"))</f>
        <v/>
      </c>
      <c r="P197" s="6" t="n"/>
      <c r="Q197" s="6" t="n"/>
      <c r="R197" s="3" t="n"/>
      <c r="S197" s="3" t="n"/>
      <c r="T197" s="3" t="n"/>
      <c r="U197" s="3" t="n"/>
      <c r="V197" s="3" t="n"/>
      <c r="W197" s="3" t="n"/>
    </row>
    <row r="198">
      <c r="A198" s="6" t="n"/>
      <c r="B198" s="113">
        <f>IF($C198="","","GG"&amp;TEXT(ROW()-6,"00000"))</f>
        <v/>
      </c>
      <c r="C198" s="225" t="n"/>
      <c r="D198" s="108" t="n"/>
      <c r="E198" s="109" t="n"/>
      <c r="F198" s="109" t="n"/>
      <c r="G198" s="226" t="n"/>
      <c r="H198" s="108" t="n"/>
      <c r="I198" s="108" t="n"/>
      <c r="J198" s="109" t="n"/>
      <c r="K198" s="109" t="n"/>
      <c r="L198" s="121">
        <f>IF($C198="","",IF($D198="Gider",$E198,$H198))</f>
        <v/>
      </c>
      <c r="M198" s="121">
        <f>IF($C198="","",IF($D198="Gider",$H198,$E198))</f>
        <v/>
      </c>
      <c r="N198" s="231">
        <f>IF($C198="","",DATE(YEAR($C198),MONTH($C198),1))</f>
        <v/>
      </c>
      <c r="O198" s="113">
        <f>IF($C198="","",IF(AND($D198&lt;&gt;"",$E198&lt;&gt;"",$G198&gt;0,$H198&lt;&gt;"",$I198&lt;&gt;""),IF($C198&gt;TODAY(),"İLERİ TARİH","UYGUN"),"EKSİK"))</f>
        <v/>
      </c>
      <c r="P198" s="6" t="n"/>
      <c r="Q198" s="6" t="n"/>
      <c r="R198" s="3" t="n"/>
      <c r="S198" s="3" t="n"/>
      <c r="T198" s="3" t="n"/>
      <c r="U198" s="3" t="n"/>
      <c r="V198" s="3" t="n"/>
      <c r="W198" s="3" t="n"/>
    </row>
    <row r="199">
      <c r="A199" s="6" t="n"/>
      <c r="B199" s="113">
        <f>IF($C199="","","GG"&amp;TEXT(ROW()-6,"00000"))</f>
        <v/>
      </c>
      <c r="C199" s="225" t="n"/>
      <c r="D199" s="108" t="n"/>
      <c r="E199" s="109" t="n"/>
      <c r="F199" s="109" t="n"/>
      <c r="G199" s="226" t="n"/>
      <c r="H199" s="108" t="n"/>
      <c r="I199" s="108" t="n"/>
      <c r="J199" s="109" t="n"/>
      <c r="K199" s="109" t="n"/>
      <c r="L199" s="121">
        <f>IF($C199="","",IF($D199="Gider",$E199,$H199))</f>
        <v/>
      </c>
      <c r="M199" s="121">
        <f>IF($C199="","",IF($D199="Gider",$H199,$E199))</f>
        <v/>
      </c>
      <c r="N199" s="231">
        <f>IF($C199="","",DATE(YEAR($C199),MONTH($C199),1))</f>
        <v/>
      </c>
      <c r="O199" s="113">
        <f>IF($C199="","",IF(AND($D199&lt;&gt;"",$E199&lt;&gt;"",$G199&gt;0,$H199&lt;&gt;"",$I199&lt;&gt;""),IF($C199&gt;TODAY(),"İLERİ TARİH","UYGUN"),"EKSİK"))</f>
        <v/>
      </c>
      <c r="P199" s="6" t="n"/>
      <c r="Q199" s="6" t="n"/>
      <c r="R199" s="3" t="n"/>
      <c r="S199" s="3" t="n"/>
      <c r="T199" s="3" t="n"/>
      <c r="U199" s="3" t="n"/>
      <c r="V199" s="3" t="n"/>
      <c r="W199" s="3" t="n"/>
    </row>
    <row r="200">
      <c r="A200" s="6" t="n"/>
      <c r="B200" s="113">
        <f>IF($C200="","","GG"&amp;TEXT(ROW()-6,"00000"))</f>
        <v/>
      </c>
      <c r="C200" s="225" t="n"/>
      <c r="D200" s="108" t="n"/>
      <c r="E200" s="109" t="n"/>
      <c r="F200" s="109" t="n"/>
      <c r="G200" s="226" t="n"/>
      <c r="H200" s="108" t="n"/>
      <c r="I200" s="108" t="n"/>
      <c r="J200" s="109" t="n"/>
      <c r="K200" s="109" t="n"/>
      <c r="L200" s="121">
        <f>IF($C200="","",IF($D200="Gider",$E200,$H200))</f>
        <v/>
      </c>
      <c r="M200" s="121">
        <f>IF($C200="","",IF($D200="Gider",$H200,$E200))</f>
        <v/>
      </c>
      <c r="N200" s="231">
        <f>IF($C200="","",DATE(YEAR($C200),MONTH($C200),1))</f>
        <v/>
      </c>
      <c r="O200" s="113">
        <f>IF($C200="","",IF(AND($D200&lt;&gt;"",$E200&lt;&gt;"",$G200&gt;0,$H200&lt;&gt;"",$I200&lt;&gt;""),IF($C200&gt;TODAY(),"İLERİ TARİH","UYGUN"),"EKSİK"))</f>
        <v/>
      </c>
      <c r="P200" s="6" t="n"/>
      <c r="Q200" s="6" t="n"/>
      <c r="R200" s="3" t="n"/>
      <c r="S200" s="3" t="n"/>
      <c r="T200" s="3" t="n"/>
      <c r="U200" s="3" t="n"/>
      <c r="V200" s="3" t="n"/>
      <c r="W200" s="3" t="n"/>
    </row>
    <row r="201">
      <c r="A201" s="6" t="n"/>
      <c r="B201" s="113">
        <f>IF($C201="","","GG"&amp;TEXT(ROW()-6,"00000"))</f>
        <v/>
      </c>
      <c r="C201" s="225" t="n"/>
      <c r="D201" s="108" t="n"/>
      <c r="E201" s="109" t="n"/>
      <c r="F201" s="109" t="n"/>
      <c r="G201" s="226" t="n"/>
      <c r="H201" s="108" t="n"/>
      <c r="I201" s="108" t="n"/>
      <c r="J201" s="109" t="n"/>
      <c r="K201" s="109" t="n"/>
      <c r="L201" s="121">
        <f>IF($C201="","",IF($D201="Gider",$E201,$H201))</f>
        <v/>
      </c>
      <c r="M201" s="121">
        <f>IF($C201="","",IF($D201="Gider",$H201,$E201))</f>
        <v/>
      </c>
      <c r="N201" s="231">
        <f>IF($C201="","",DATE(YEAR($C201),MONTH($C201),1))</f>
        <v/>
      </c>
      <c r="O201" s="113">
        <f>IF($C201="","",IF(AND($D201&lt;&gt;"",$E201&lt;&gt;"",$G201&gt;0,$H201&lt;&gt;"",$I201&lt;&gt;""),IF($C201&gt;TODAY(),"İLERİ TARİH","UYGUN"),"EKSİK"))</f>
        <v/>
      </c>
      <c r="P201" s="6" t="n"/>
      <c r="Q201" s="6" t="n"/>
      <c r="R201" s="3" t="n"/>
      <c r="S201" s="3" t="n"/>
      <c r="T201" s="3" t="n"/>
      <c r="U201" s="3" t="n"/>
      <c r="V201" s="3" t="n"/>
      <c r="W201" s="3" t="n"/>
    </row>
    <row r="202">
      <c r="A202" s="6" t="n"/>
      <c r="B202" s="113">
        <f>IF($C202="","","GG"&amp;TEXT(ROW()-6,"00000"))</f>
        <v/>
      </c>
      <c r="C202" s="225" t="n"/>
      <c r="D202" s="108" t="n"/>
      <c r="E202" s="109" t="n"/>
      <c r="F202" s="109" t="n"/>
      <c r="G202" s="226" t="n"/>
      <c r="H202" s="108" t="n"/>
      <c r="I202" s="108" t="n"/>
      <c r="J202" s="109" t="n"/>
      <c r="K202" s="109" t="n"/>
      <c r="L202" s="121">
        <f>IF($C202="","",IF($D202="Gider",$E202,$H202))</f>
        <v/>
      </c>
      <c r="M202" s="121">
        <f>IF($C202="","",IF($D202="Gider",$H202,$E202))</f>
        <v/>
      </c>
      <c r="N202" s="231">
        <f>IF($C202="","",DATE(YEAR($C202),MONTH($C202),1))</f>
        <v/>
      </c>
      <c r="O202" s="113">
        <f>IF($C202="","",IF(AND($D202&lt;&gt;"",$E202&lt;&gt;"",$G202&gt;0,$H202&lt;&gt;"",$I202&lt;&gt;""),IF($C202&gt;TODAY(),"İLERİ TARİH","UYGUN"),"EKSİK"))</f>
        <v/>
      </c>
      <c r="P202" s="6" t="n"/>
      <c r="Q202" s="6" t="n"/>
      <c r="R202" s="3" t="n"/>
      <c r="S202" s="3" t="n"/>
      <c r="T202" s="3" t="n"/>
      <c r="U202" s="3" t="n"/>
      <c r="V202" s="3" t="n"/>
      <c r="W202" s="3" t="n"/>
    </row>
    <row r="203">
      <c r="A203" s="6" t="n"/>
      <c r="B203" s="113">
        <f>IF($C203="","","GG"&amp;TEXT(ROW()-6,"00000"))</f>
        <v/>
      </c>
      <c r="C203" s="225" t="n"/>
      <c r="D203" s="108" t="n"/>
      <c r="E203" s="109" t="n"/>
      <c r="F203" s="109" t="n"/>
      <c r="G203" s="226" t="n"/>
      <c r="H203" s="108" t="n"/>
      <c r="I203" s="108" t="n"/>
      <c r="J203" s="109" t="n"/>
      <c r="K203" s="109" t="n"/>
      <c r="L203" s="121">
        <f>IF($C203="","",IF($D203="Gider",$E203,$H203))</f>
        <v/>
      </c>
      <c r="M203" s="121">
        <f>IF($C203="","",IF($D203="Gider",$H203,$E203))</f>
        <v/>
      </c>
      <c r="N203" s="231">
        <f>IF($C203="","",DATE(YEAR($C203),MONTH($C203),1))</f>
        <v/>
      </c>
      <c r="O203" s="113">
        <f>IF($C203="","",IF(AND($D203&lt;&gt;"",$E203&lt;&gt;"",$G203&gt;0,$H203&lt;&gt;"",$I203&lt;&gt;""),IF($C203&gt;TODAY(),"İLERİ TARİH","UYGUN"),"EKSİK"))</f>
        <v/>
      </c>
      <c r="P203" s="6" t="n"/>
      <c r="Q203" s="6" t="n"/>
      <c r="R203" s="3" t="n"/>
      <c r="S203" s="3" t="n"/>
      <c r="T203" s="3" t="n"/>
      <c r="U203" s="3" t="n"/>
      <c r="V203" s="3" t="n"/>
      <c r="W203" s="3" t="n"/>
    </row>
    <row r="204">
      <c r="A204" s="6" t="n"/>
      <c r="B204" s="113">
        <f>IF($C204="","","GG"&amp;TEXT(ROW()-6,"00000"))</f>
        <v/>
      </c>
      <c r="C204" s="225" t="n"/>
      <c r="D204" s="108" t="n"/>
      <c r="E204" s="109" t="n"/>
      <c r="F204" s="109" t="n"/>
      <c r="G204" s="226" t="n"/>
      <c r="H204" s="108" t="n"/>
      <c r="I204" s="108" t="n"/>
      <c r="J204" s="109" t="n"/>
      <c r="K204" s="109" t="n"/>
      <c r="L204" s="121">
        <f>IF($C204="","",IF($D204="Gider",$E204,$H204))</f>
        <v/>
      </c>
      <c r="M204" s="121">
        <f>IF($C204="","",IF($D204="Gider",$H204,$E204))</f>
        <v/>
      </c>
      <c r="N204" s="231">
        <f>IF($C204="","",DATE(YEAR($C204),MONTH($C204),1))</f>
        <v/>
      </c>
      <c r="O204" s="113">
        <f>IF($C204="","",IF(AND($D204&lt;&gt;"",$E204&lt;&gt;"",$G204&gt;0,$H204&lt;&gt;"",$I204&lt;&gt;""),IF($C204&gt;TODAY(),"İLERİ TARİH","UYGUN"),"EKSİK"))</f>
        <v/>
      </c>
      <c r="P204" s="6" t="n"/>
      <c r="Q204" s="6" t="n"/>
      <c r="R204" s="3" t="n"/>
      <c r="S204" s="3" t="n"/>
      <c r="T204" s="3" t="n"/>
      <c r="U204" s="3" t="n"/>
      <c r="V204" s="3" t="n"/>
      <c r="W204" s="3" t="n"/>
    </row>
    <row r="205">
      <c r="A205" s="6" t="n"/>
      <c r="B205" s="113">
        <f>IF($C205="","","GG"&amp;TEXT(ROW()-6,"00000"))</f>
        <v/>
      </c>
      <c r="C205" s="225" t="n"/>
      <c r="D205" s="108" t="n"/>
      <c r="E205" s="109" t="n"/>
      <c r="F205" s="109" t="n"/>
      <c r="G205" s="226" t="n"/>
      <c r="H205" s="108" t="n"/>
      <c r="I205" s="108" t="n"/>
      <c r="J205" s="109" t="n"/>
      <c r="K205" s="109" t="n"/>
      <c r="L205" s="121">
        <f>IF($C205="","",IF($D205="Gider",$E205,$H205))</f>
        <v/>
      </c>
      <c r="M205" s="121">
        <f>IF($C205="","",IF($D205="Gider",$H205,$E205))</f>
        <v/>
      </c>
      <c r="N205" s="231">
        <f>IF($C205="","",DATE(YEAR($C205),MONTH($C205),1))</f>
        <v/>
      </c>
      <c r="O205" s="113">
        <f>IF($C205="","",IF(AND($D205&lt;&gt;"",$E205&lt;&gt;"",$G205&gt;0,$H205&lt;&gt;"",$I205&lt;&gt;""),IF($C205&gt;TODAY(),"İLERİ TARİH","UYGUN"),"EKSİK"))</f>
        <v/>
      </c>
      <c r="P205" s="6" t="n"/>
      <c r="Q205" s="6" t="n"/>
      <c r="R205" s="3" t="n"/>
      <c r="S205" s="3" t="n"/>
      <c r="T205" s="3" t="n"/>
      <c r="U205" s="3" t="n"/>
      <c r="V205" s="3" t="n"/>
      <c r="W205" s="3" t="n"/>
    </row>
    <row r="206">
      <c r="A206" s="6" t="n"/>
      <c r="B206" s="113">
        <f>IF($C206="","","GG"&amp;TEXT(ROW()-6,"00000"))</f>
        <v/>
      </c>
      <c r="C206" s="225" t="n"/>
      <c r="D206" s="108" t="n"/>
      <c r="E206" s="109" t="n"/>
      <c r="F206" s="109" t="n"/>
      <c r="G206" s="226" t="n"/>
      <c r="H206" s="108" t="n"/>
      <c r="I206" s="108" t="n"/>
      <c r="J206" s="109" t="n"/>
      <c r="K206" s="109" t="n"/>
      <c r="L206" s="121">
        <f>IF($C206="","",IF($D206="Gider",$E206,$H206))</f>
        <v/>
      </c>
      <c r="M206" s="121">
        <f>IF($C206="","",IF($D206="Gider",$H206,$E206))</f>
        <v/>
      </c>
      <c r="N206" s="231">
        <f>IF($C206="","",DATE(YEAR($C206),MONTH($C206),1))</f>
        <v/>
      </c>
      <c r="O206" s="113">
        <f>IF($C206="","",IF(AND($D206&lt;&gt;"",$E206&lt;&gt;"",$G206&gt;0,$H206&lt;&gt;"",$I206&lt;&gt;""),IF($C206&gt;TODAY(),"İLERİ TARİH","UYGUN"),"EKSİK"))</f>
        <v/>
      </c>
      <c r="P206" s="6" t="n"/>
      <c r="Q206" s="6" t="n"/>
      <c r="R206" s="3" t="n"/>
      <c r="S206" s="3" t="n"/>
      <c r="T206" s="3" t="n"/>
      <c r="U206" s="3" t="n"/>
      <c r="V206" s="3" t="n"/>
      <c r="W206" s="3" t="n"/>
    </row>
    <row r="207">
      <c r="A207" s="6" t="n"/>
      <c r="B207" s="113">
        <f>IF($C207="","","GG"&amp;TEXT(ROW()-6,"00000"))</f>
        <v/>
      </c>
      <c r="C207" s="225" t="n"/>
      <c r="D207" s="108" t="n"/>
      <c r="E207" s="109" t="n"/>
      <c r="F207" s="109" t="n"/>
      <c r="G207" s="226" t="n"/>
      <c r="H207" s="108" t="n"/>
      <c r="I207" s="108" t="n"/>
      <c r="J207" s="109" t="n"/>
      <c r="K207" s="109" t="n"/>
      <c r="L207" s="121">
        <f>IF($C207="","",IF($D207="Gider",$E207,$H207))</f>
        <v/>
      </c>
      <c r="M207" s="121">
        <f>IF($C207="","",IF($D207="Gider",$H207,$E207))</f>
        <v/>
      </c>
      <c r="N207" s="231">
        <f>IF($C207="","",DATE(YEAR($C207),MONTH($C207),1))</f>
        <v/>
      </c>
      <c r="O207" s="113">
        <f>IF($C207="","",IF(AND($D207&lt;&gt;"",$E207&lt;&gt;"",$G207&gt;0,$H207&lt;&gt;"",$I207&lt;&gt;""),IF($C207&gt;TODAY(),"İLERİ TARİH","UYGUN"),"EKSİK"))</f>
        <v/>
      </c>
      <c r="P207" s="6" t="n"/>
      <c r="Q207" s="6" t="n"/>
      <c r="R207" s="3" t="n"/>
      <c r="S207" s="3" t="n"/>
      <c r="T207" s="3" t="n"/>
      <c r="U207" s="3" t="n"/>
      <c r="V207" s="3" t="n"/>
      <c r="W207" s="3" t="n"/>
    </row>
    <row r="208">
      <c r="A208" s="6" t="n"/>
      <c r="B208" s="113">
        <f>IF($C208="","","GG"&amp;TEXT(ROW()-6,"00000"))</f>
        <v/>
      </c>
      <c r="C208" s="225" t="n"/>
      <c r="D208" s="108" t="n"/>
      <c r="E208" s="109" t="n"/>
      <c r="F208" s="109" t="n"/>
      <c r="G208" s="226" t="n"/>
      <c r="H208" s="108" t="n"/>
      <c r="I208" s="108" t="n"/>
      <c r="J208" s="109" t="n"/>
      <c r="K208" s="109" t="n"/>
      <c r="L208" s="121">
        <f>IF($C208="","",IF($D208="Gider",$E208,$H208))</f>
        <v/>
      </c>
      <c r="M208" s="121">
        <f>IF($C208="","",IF($D208="Gider",$H208,$E208))</f>
        <v/>
      </c>
      <c r="N208" s="231">
        <f>IF($C208="","",DATE(YEAR($C208),MONTH($C208),1))</f>
        <v/>
      </c>
      <c r="O208" s="113">
        <f>IF($C208="","",IF(AND($D208&lt;&gt;"",$E208&lt;&gt;"",$G208&gt;0,$H208&lt;&gt;"",$I208&lt;&gt;""),IF($C208&gt;TODAY(),"İLERİ TARİH","UYGUN"),"EKSİK"))</f>
        <v/>
      </c>
      <c r="P208" s="6" t="n"/>
      <c r="Q208" s="6" t="n"/>
      <c r="R208" s="3" t="n"/>
      <c r="S208" s="3" t="n"/>
      <c r="T208" s="3" t="n"/>
      <c r="U208" s="3" t="n"/>
      <c r="V208" s="3" t="n"/>
      <c r="W208" s="3" t="n"/>
    </row>
    <row r="209">
      <c r="A209" s="6" t="n"/>
      <c r="B209" s="113">
        <f>IF($C209="","","GG"&amp;TEXT(ROW()-6,"00000"))</f>
        <v/>
      </c>
      <c r="C209" s="225" t="n"/>
      <c r="D209" s="108" t="n"/>
      <c r="E209" s="109" t="n"/>
      <c r="F209" s="109" t="n"/>
      <c r="G209" s="226" t="n"/>
      <c r="H209" s="108" t="n"/>
      <c r="I209" s="108" t="n"/>
      <c r="J209" s="109" t="n"/>
      <c r="K209" s="109" t="n"/>
      <c r="L209" s="121">
        <f>IF($C209="","",IF($D209="Gider",$E209,$H209))</f>
        <v/>
      </c>
      <c r="M209" s="121">
        <f>IF($C209="","",IF($D209="Gider",$H209,$E209))</f>
        <v/>
      </c>
      <c r="N209" s="231">
        <f>IF($C209="","",DATE(YEAR($C209),MONTH($C209),1))</f>
        <v/>
      </c>
      <c r="O209" s="113">
        <f>IF($C209="","",IF(AND($D209&lt;&gt;"",$E209&lt;&gt;"",$G209&gt;0,$H209&lt;&gt;"",$I209&lt;&gt;""),IF($C209&gt;TODAY(),"İLERİ TARİH","UYGUN"),"EKSİK"))</f>
        <v/>
      </c>
      <c r="P209" s="6" t="n"/>
      <c r="Q209" s="6" t="n"/>
      <c r="R209" s="3" t="n"/>
      <c r="S209" s="3" t="n"/>
      <c r="T209" s="3" t="n"/>
      <c r="U209" s="3" t="n"/>
      <c r="V209" s="3" t="n"/>
      <c r="W209" s="3" t="n"/>
    </row>
    <row r="210">
      <c r="A210" s="6" t="n"/>
      <c r="B210" s="113">
        <f>IF($C210="","","GG"&amp;TEXT(ROW()-6,"00000"))</f>
        <v/>
      </c>
      <c r="C210" s="225" t="n"/>
      <c r="D210" s="108" t="n"/>
      <c r="E210" s="109" t="n"/>
      <c r="F210" s="109" t="n"/>
      <c r="G210" s="226" t="n"/>
      <c r="H210" s="108" t="n"/>
      <c r="I210" s="108" t="n"/>
      <c r="J210" s="109" t="n"/>
      <c r="K210" s="109" t="n"/>
      <c r="L210" s="121">
        <f>IF($C210="","",IF($D210="Gider",$E210,$H210))</f>
        <v/>
      </c>
      <c r="M210" s="121">
        <f>IF($C210="","",IF($D210="Gider",$H210,$E210))</f>
        <v/>
      </c>
      <c r="N210" s="231">
        <f>IF($C210="","",DATE(YEAR($C210),MONTH($C210),1))</f>
        <v/>
      </c>
      <c r="O210" s="113">
        <f>IF($C210="","",IF(AND($D210&lt;&gt;"",$E210&lt;&gt;"",$G210&gt;0,$H210&lt;&gt;"",$I210&lt;&gt;""),IF($C210&gt;TODAY(),"İLERİ TARİH","UYGUN"),"EKSİK"))</f>
        <v/>
      </c>
      <c r="P210" s="6" t="n"/>
      <c r="Q210" s="6" t="n"/>
      <c r="R210" s="3" t="n"/>
      <c r="S210" s="3" t="n"/>
      <c r="T210" s="3" t="n"/>
      <c r="U210" s="3" t="n"/>
      <c r="V210" s="3" t="n"/>
      <c r="W210" s="3" t="n"/>
    </row>
    <row r="211">
      <c r="A211" s="6" t="n"/>
      <c r="B211" s="113">
        <f>IF($C211="","","GG"&amp;TEXT(ROW()-6,"00000"))</f>
        <v/>
      </c>
      <c r="C211" s="225" t="n"/>
      <c r="D211" s="108" t="n"/>
      <c r="E211" s="109" t="n"/>
      <c r="F211" s="109" t="n"/>
      <c r="G211" s="226" t="n"/>
      <c r="H211" s="108" t="n"/>
      <c r="I211" s="108" t="n"/>
      <c r="J211" s="109" t="n"/>
      <c r="K211" s="109" t="n"/>
      <c r="L211" s="121">
        <f>IF($C211="","",IF($D211="Gider",$E211,$H211))</f>
        <v/>
      </c>
      <c r="M211" s="121">
        <f>IF($C211="","",IF($D211="Gider",$H211,$E211))</f>
        <v/>
      </c>
      <c r="N211" s="231">
        <f>IF($C211="","",DATE(YEAR($C211),MONTH($C211),1))</f>
        <v/>
      </c>
      <c r="O211" s="113">
        <f>IF($C211="","",IF(AND($D211&lt;&gt;"",$E211&lt;&gt;"",$G211&gt;0,$H211&lt;&gt;"",$I211&lt;&gt;""),IF($C211&gt;TODAY(),"İLERİ TARİH","UYGUN"),"EKSİK"))</f>
        <v/>
      </c>
      <c r="P211" s="6" t="n"/>
      <c r="Q211" s="6" t="n"/>
      <c r="R211" s="3" t="n"/>
      <c r="S211" s="3" t="n"/>
      <c r="T211" s="3" t="n"/>
      <c r="U211" s="3" t="n"/>
      <c r="V211" s="3" t="n"/>
      <c r="W211" s="3" t="n"/>
    </row>
    <row r="212">
      <c r="A212" s="6" t="n"/>
      <c r="B212" s="113">
        <f>IF($C212="","","GG"&amp;TEXT(ROW()-6,"00000"))</f>
        <v/>
      </c>
      <c r="C212" s="225" t="n"/>
      <c r="D212" s="108" t="n"/>
      <c r="E212" s="109" t="n"/>
      <c r="F212" s="109" t="n"/>
      <c r="G212" s="226" t="n"/>
      <c r="H212" s="108" t="n"/>
      <c r="I212" s="108" t="n"/>
      <c r="J212" s="109" t="n"/>
      <c r="K212" s="109" t="n"/>
      <c r="L212" s="121">
        <f>IF($C212="","",IF($D212="Gider",$E212,$H212))</f>
        <v/>
      </c>
      <c r="M212" s="121">
        <f>IF($C212="","",IF($D212="Gider",$H212,$E212))</f>
        <v/>
      </c>
      <c r="N212" s="231">
        <f>IF($C212="","",DATE(YEAR($C212),MONTH($C212),1))</f>
        <v/>
      </c>
      <c r="O212" s="113">
        <f>IF($C212="","",IF(AND($D212&lt;&gt;"",$E212&lt;&gt;"",$G212&gt;0,$H212&lt;&gt;"",$I212&lt;&gt;""),IF($C212&gt;TODAY(),"İLERİ TARİH","UYGUN"),"EKSİK"))</f>
        <v/>
      </c>
      <c r="P212" s="6" t="n"/>
      <c r="Q212" s="6" t="n"/>
      <c r="R212" s="3" t="n"/>
      <c r="S212" s="3" t="n"/>
      <c r="T212" s="3" t="n"/>
      <c r="U212" s="3" t="n"/>
      <c r="V212" s="3" t="n"/>
      <c r="W212" s="3" t="n"/>
    </row>
    <row r="213">
      <c r="A213" s="6" t="n"/>
      <c r="B213" s="113">
        <f>IF($C213="","","GG"&amp;TEXT(ROW()-6,"00000"))</f>
        <v/>
      </c>
      <c r="C213" s="225" t="n"/>
      <c r="D213" s="108" t="n"/>
      <c r="E213" s="109" t="n"/>
      <c r="F213" s="109" t="n"/>
      <c r="G213" s="226" t="n"/>
      <c r="H213" s="108" t="n"/>
      <c r="I213" s="108" t="n"/>
      <c r="J213" s="109" t="n"/>
      <c r="K213" s="109" t="n"/>
      <c r="L213" s="121">
        <f>IF($C213="","",IF($D213="Gider",$E213,$H213))</f>
        <v/>
      </c>
      <c r="M213" s="121">
        <f>IF($C213="","",IF($D213="Gider",$H213,$E213))</f>
        <v/>
      </c>
      <c r="N213" s="231">
        <f>IF($C213="","",DATE(YEAR($C213),MONTH($C213),1))</f>
        <v/>
      </c>
      <c r="O213" s="113">
        <f>IF($C213="","",IF(AND($D213&lt;&gt;"",$E213&lt;&gt;"",$G213&gt;0,$H213&lt;&gt;"",$I213&lt;&gt;""),IF($C213&gt;TODAY(),"İLERİ TARİH","UYGUN"),"EKSİK"))</f>
        <v/>
      </c>
      <c r="P213" s="6" t="n"/>
      <c r="Q213" s="6" t="n"/>
      <c r="R213" s="3" t="n"/>
      <c r="S213" s="3" t="n"/>
      <c r="T213" s="3" t="n"/>
      <c r="U213" s="3" t="n"/>
      <c r="V213" s="3" t="n"/>
      <c r="W213" s="3" t="n"/>
    </row>
    <row r="214">
      <c r="A214" s="6" t="n"/>
      <c r="B214" s="113">
        <f>IF($C214="","","GG"&amp;TEXT(ROW()-6,"00000"))</f>
        <v/>
      </c>
      <c r="C214" s="225" t="n"/>
      <c r="D214" s="108" t="n"/>
      <c r="E214" s="109" t="n"/>
      <c r="F214" s="109" t="n"/>
      <c r="G214" s="226" t="n"/>
      <c r="H214" s="108" t="n"/>
      <c r="I214" s="108" t="n"/>
      <c r="J214" s="109" t="n"/>
      <c r="K214" s="109" t="n"/>
      <c r="L214" s="121">
        <f>IF($C214="","",IF($D214="Gider",$E214,$H214))</f>
        <v/>
      </c>
      <c r="M214" s="121">
        <f>IF($C214="","",IF($D214="Gider",$H214,$E214))</f>
        <v/>
      </c>
      <c r="N214" s="231">
        <f>IF($C214="","",DATE(YEAR($C214),MONTH($C214),1))</f>
        <v/>
      </c>
      <c r="O214" s="113">
        <f>IF($C214="","",IF(AND($D214&lt;&gt;"",$E214&lt;&gt;"",$G214&gt;0,$H214&lt;&gt;"",$I214&lt;&gt;""),IF($C214&gt;TODAY(),"İLERİ TARİH","UYGUN"),"EKSİK"))</f>
        <v/>
      </c>
      <c r="P214" s="6" t="n"/>
      <c r="Q214" s="6" t="n"/>
      <c r="R214" s="3" t="n"/>
      <c r="S214" s="3" t="n"/>
      <c r="T214" s="3" t="n"/>
      <c r="U214" s="3" t="n"/>
      <c r="V214" s="3" t="n"/>
      <c r="W214" s="3" t="n"/>
    </row>
    <row r="215">
      <c r="A215" s="6" t="n"/>
      <c r="B215" s="113">
        <f>IF($C215="","","GG"&amp;TEXT(ROW()-6,"00000"))</f>
        <v/>
      </c>
      <c r="C215" s="225" t="n"/>
      <c r="D215" s="108" t="n"/>
      <c r="E215" s="109" t="n"/>
      <c r="F215" s="109" t="n"/>
      <c r="G215" s="226" t="n"/>
      <c r="H215" s="108" t="n"/>
      <c r="I215" s="108" t="n"/>
      <c r="J215" s="109" t="n"/>
      <c r="K215" s="109" t="n"/>
      <c r="L215" s="121">
        <f>IF($C215="","",IF($D215="Gider",$E215,$H215))</f>
        <v/>
      </c>
      <c r="M215" s="121">
        <f>IF($C215="","",IF($D215="Gider",$H215,$E215))</f>
        <v/>
      </c>
      <c r="N215" s="231">
        <f>IF($C215="","",DATE(YEAR($C215),MONTH($C215),1))</f>
        <v/>
      </c>
      <c r="O215" s="113">
        <f>IF($C215="","",IF(AND($D215&lt;&gt;"",$E215&lt;&gt;"",$G215&gt;0,$H215&lt;&gt;"",$I215&lt;&gt;""),IF($C215&gt;TODAY(),"İLERİ TARİH","UYGUN"),"EKSİK"))</f>
        <v/>
      </c>
      <c r="P215" s="6" t="n"/>
      <c r="Q215" s="6" t="n"/>
      <c r="R215" s="3" t="n"/>
      <c r="S215" s="3" t="n"/>
      <c r="T215" s="3" t="n"/>
      <c r="U215" s="3" t="n"/>
      <c r="V215" s="3" t="n"/>
      <c r="W215" s="3" t="n"/>
    </row>
    <row r="216">
      <c r="A216" s="6" t="n"/>
      <c r="B216" s="113">
        <f>IF($C216="","","GG"&amp;TEXT(ROW()-6,"00000"))</f>
        <v/>
      </c>
      <c r="C216" s="225" t="n"/>
      <c r="D216" s="108" t="n"/>
      <c r="E216" s="109" t="n"/>
      <c r="F216" s="109" t="n"/>
      <c r="G216" s="226" t="n"/>
      <c r="H216" s="108" t="n"/>
      <c r="I216" s="108" t="n"/>
      <c r="J216" s="109" t="n"/>
      <c r="K216" s="109" t="n"/>
      <c r="L216" s="121">
        <f>IF($C216="","",IF($D216="Gider",$E216,$H216))</f>
        <v/>
      </c>
      <c r="M216" s="121">
        <f>IF($C216="","",IF($D216="Gider",$H216,$E216))</f>
        <v/>
      </c>
      <c r="N216" s="231">
        <f>IF($C216="","",DATE(YEAR($C216),MONTH($C216),1))</f>
        <v/>
      </c>
      <c r="O216" s="113">
        <f>IF($C216="","",IF(AND($D216&lt;&gt;"",$E216&lt;&gt;"",$G216&gt;0,$H216&lt;&gt;"",$I216&lt;&gt;""),IF($C216&gt;TODAY(),"İLERİ TARİH","UYGUN"),"EKSİK"))</f>
        <v/>
      </c>
      <c r="P216" s="6" t="n"/>
      <c r="Q216" s="6" t="n"/>
      <c r="R216" s="3" t="n"/>
      <c r="S216" s="3" t="n"/>
      <c r="T216" s="3" t="n"/>
      <c r="U216" s="3" t="n"/>
      <c r="V216" s="3" t="n"/>
      <c r="W216" s="3" t="n"/>
    </row>
    <row r="217">
      <c r="A217" s="6" t="n"/>
      <c r="B217" s="113">
        <f>IF($C217="","","GG"&amp;TEXT(ROW()-6,"00000"))</f>
        <v/>
      </c>
      <c r="C217" s="225" t="n"/>
      <c r="D217" s="108" t="n"/>
      <c r="E217" s="109" t="n"/>
      <c r="F217" s="109" t="n"/>
      <c r="G217" s="226" t="n"/>
      <c r="H217" s="108" t="n"/>
      <c r="I217" s="108" t="n"/>
      <c r="J217" s="109" t="n"/>
      <c r="K217" s="109" t="n"/>
      <c r="L217" s="121">
        <f>IF($C217="","",IF($D217="Gider",$E217,$H217))</f>
        <v/>
      </c>
      <c r="M217" s="121">
        <f>IF($C217="","",IF($D217="Gider",$H217,$E217))</f>
        <v/>
      </c>
      <c r="N217" s="231">
        <f>IF($C217="","",DATE(YEAR($C217),MONTH($C217),1))</f>
        <v/>
      </c>
      <c r="O217" s="113">
        <f>IF($C217="","",IF(AND($D217&lt;&gt;"",$E217&lt;&gt;"",$G217&gt;0,$H217&lt;&gt;"",$I217&lt;&gt;""),IF($C217&gt;TODAY(),"İLERİ TARİH","UYGUN"),"EKSİK"))</f>
        <v/>
      </c>
      <c r="P217" s="6" t="n"/>
      <c r="Q217" s="6" t="n"/>
      <c r="R217" s="3" t="n"/>
      <c r="S217" s="3" t="n"/>
      <c r="T217" s="3" t="n"/>
      <c r="U217" s="3" t="n"/>
      <c r="V217" s="3" t="n"/>
      <c r="W217" s="3" t="n"/>
    </row>
    <row r="218">
      <c r="A218" s="6" t="n"/>
      <c r="B218" s="113">
        <f>IF($C218="","","GG"&amp;TEXT(ROW()-6,"00000"))</f>
        <v/>
      </c>
      <c r="C218" s="225" t="n"/>
      <c r="D218" s="108" t="n"/>
      <c r="E218" s="109" t="n"/>
      <c r="F218" s="109" t="n"/>
      <c r="G218" s="226" t="n"/>
      <c r="H218" s="108" t="n"/>
      <c r="I218" s="108" t="n"/>
      <c r="J218" s="109" t="n"/>
      <c r="K218" s="109" t="n"/>
      <c r="L218" s="121">
        <f>IF($C218="","",IF($D218="Gider",$E218,$H218))</f>
        <v/>
      </c>
      <c r="M218" s="121">
        <f>IF($C218="","",IF($D218="Gider",$H218,$E218))</f>
        <v/>
      </c>
      <c r="N218" s="231">
        <f>IF($C218="","",DATE(YEAR($C218),MONTH($C218),1))</f>
        <v/>
      </c>
      <c r="O218" s="113">
        <f>IF($C218="","",IF(AND($D218&lt;&gt;"",$E218&lt;&gt;"",$G218&gt;0,$H218&lt;&gt;"",$I218&lt;&gt;""),IF($C218&gt;TODAY(),"İLERİ TARİH","UYGUN"),"EKSİK"))</f>
        <v/>
      </c>
      <c r="P218" s="6" t="n"/>
      <c r="Q218" s="6" t="n"/>
      <c r="R218" s="3" t="n"/>
      <c r="S218" s="3" t="n"/>
      <c r="T218" s="3" t="n"/>
      <c r="U218" s="3" t="n"/>
      <c r="V218" s="3" t="n"/>
      <c r="W218" s="3" t="n"/>
    </row>
    <row r="219">
      <c r="A219" s="6" t="n"/>
      <c r="B219" s="113">
        <f>IF($C219="","","GG"&amp;TEXT(ROW()-6,"00000"))</f>
        <v/>
      </c>
      <c r="C219" s="225" t="n"/>
      <c r="D219" s="108" t="n"/>
      <c r="E219" s="109" t="n"/>
      <c r="F219" s="109" t="n"/>
      <c r="G219" s="226" t="n"/>
      <c r="H219" s="108" t="n"/>
      <c r="I219" s="108" t="n"/>
      <c r="J219" s="109" t="n"/>
      <c r="K219" s="109" t="n"/>
      <c r="L219" s="121">
        <f>IF($C219="","",IF($D219="Gider",$E219,$H219))</f>
        <v/>
      </c>
      <c r="M219" s="121">
        <f>IF($C219="","",IF($D219="Gider",$H219,$E219))</f>
        <v/>
      </c>
      <c r="N219" s="231">
        <f>IF($C219="","",DATE(YEAR($C219),MONTH($C219),1))</f>
        <v/>
      </c>
      <c r="O219" s="113">
        <f>IF($C219="","",IF(AND($D219&lt;&gt;"",$E219&lt;&gt;"",$G219&gt;0,$H219&lt;&gt;"",$I219&lt;&gt;""),IF($C219&gt;TODAY(),"İLERİ TARİH","UYGUN"),"EKSİK"))</f>
        <v/>
      </c>
      <c r="P219" s="6" t="n"/>
      <c r="Q219" s="6" t="n"/>
      <c r="R219" s="3" t="n"/>
      <c r="S219" s="3" t="n"/>
      <c r="T219" s="3" t="n"/>
      <c r="U219" s="3" t="n"/>
      <c r="V219" s="3" t="n"/>
      <c r="W219" s="3" t="n"/>
    </row>
    <row r="220">
      <c r="A220" s="6" t="n"/>
      <c r="B220" s="113">
        <f>IF($C220="","","GG"&amp;TEXT(ROW()-6,"00000"))</f>
        <v/>
      </c>
      <c r="C220" s="225" t="n"/>
      <c r="D220" s="108" t="n"/>
      <c r="E220" s="109" t="n"/>
      <c r="F220" s="109" t="n"/>
      <c r="G220" s="226" t="n"/>
      <c r="H220" s="108" t="n"/>
      <c r="I220" s="108" t="n"/>
      <c r="J220" s="109" t="n"/>
      <c r="K220" s="109" t="n"/>
      <c r="L220" s="121">
        <f>IF($C220="","",IF($D220="Gider",$E220,$H220))</f>
        <v/>
      </c>
      <c r="M220" s="121">
        <f>IF($C220="","",IF($D220="Gider",$H220,$E220))</f>
        <v/>
      </c>
      <c r="N220" s="231">
        <f>IF($C220="","",DATE(YEAR($C220),MONTH($C220),1))</f>
        <v/>
      </c>
      <c r="O220" s="113">
        <f>IF($C220="","",IF(AND($D220&lt;&gt;"",$E220&lt;&gt;"",$G220&gt;0,$H220&lt;&gt;"",$I220&lt;&gt;""),IF($C220&gt;TODAY(),"İLERİ TARİH","UYGUN"),"EKSİK"))</f>
        <v/>
      </c>
      <c r="P220" s="6" t="n"/>
      <c r="Q220" s="6" t="n"/>
      <c r="R220" s="3" t="n"/>
      <c r="S220" s="3" t="n"/>
      <c r="T220" s="3" t="n"/>
      <c r="U220" s="3" t="n"/>
      <c r="V220" s="3" t="n"/>
      <c r="W220" s="3" t="n"/>
    </row>
    <row r="221">
      <c r="A221" s="6" t="n"/>
      <c r="B221" s="113">
        <f>IF($C221="","","GG"&amp;TEXT(ROW()-6,"00000"))</f>
        <v/>
      </c>
      <c r="C221" s="225" t="n"/>
      <c r="D221" s="108" t="n"/>
      <c r="E221" s="109" t="n"/>
      <c r="F221" s="109" t="n"/>
      <c r="G221" s="226" t="n"/>
      <c r="H221" s="108" t="n"/>
      <c r="I221" s="108" t="n"/>
      <c r="J221" s="109" t="n"/>
      <c r="K221" s="109" t="n"/>
      <c r="L221" s="121">
        <f>IF($C221="","",IF($D221="Gider",$E221,$H221))</f>
        <v/>
      </c>
      <c r="M221" s="121">
        <f>IF($C221="","",IF($D221="Gider",$H221,$E221))</f>
        <v/>
      </c>
      <c r="N221" s="231">
        <f>IF($C221="","",DATE(YEAR($C221),MONTH($C221),1))</f>
        <v/>
      </c>
      <c r="O221" s="113">
        <f>IF($C221="","",IF(AND($D221&lt;&gt;"",$E221&lt;&gt;"",$G221&gt;0,$H221&lt;&gt;"",$I221&lt;&gt;""),IF($C221&gt;TODAY(),"İLERİ TARİH","UYGUN"),"EKSİK"))</f>
        <v/>
      </c>
      <c r="P221" s="6" t="n"/>
      <c r="Q221" s="6" t="n"/>
      <c r="R221" s="3" t="n"/>
      <c r="S221" s="3" t="n"/>
      <c r="T221" s="3" t="n"/>
      <c r="U221" s="3" t="n"/>
      <c r="V221" s="3" t="n"/>
      <c r="W221" s="3" t="n"/>
    </row>
    <row r="222">
      <c r="A222" s="6" t="n"/>
      <c r="B222" s="113">
        <f>IF($C222="","","GG"&amp;TEXT(ROW()-6,"00000"))</f>
        <v/>
      </c>
      <c r="C222" s="225" t="n"/>
      <c r="D222" s="108" t="n"/>
      <c r="E222" s="109" t="n"/>
      <c r="F222" s="109" t="n"/>
      <c r="G222" s="226" t="n"/>
      <c r="H222" s="108" t="n"/>
      <c r="I222" s="108" t="n"/>
      <c r="J222" s="109" t="n"/>
      <c r="K222" s="109" t="n"/>
      <c r="L222" s="121">
        <f>IF($C222="","",IF($D222="Gider",$E222,$H222))</f>
        <v/>
      </c>
      <c r="M222" s="121">
        <f>IF($C222="","",IF($D222="Gider",$H222,$E222))</f>
        <v/>
      </c>
      <c r="N222" s="231">
        <f>IF($C222="","",DATE(YEAR($C222),MONTH($C222),1))</f>
        <v/>
      </c>
      <c r="O222" s="113">
        <f>IF($C222="","",IF(AND($D222&lt;&gt;"",$E222&lt;&gt;"",$G222&gt;0,$H222&lt;&gt;"",$I222&lt;&gt;""),IF($C222&gt;TODAY(),"İLERİ TARİH","UYGUN"),"EKSİK"))</f>
        <v/>
      </c>
      <c r="P222" s="6" t="n"/>
      <c r="Q222" s="6" t="n"/>
      <c r="R222" s="3" t="n"/>
      <c r="S222" s="3" t="n"/>
      <c r="T222" s="3" t="n"/>
      <c r="U222" s="3" t="n"/>
      <c r="V222" s="3" t="n"/>
      <c r="W222" s="3" t="n"/>
    </row>
    <row r="223">
      <c r="A223" s="6" t="n"/>
      <c r="B223" s="113">
        <f>IF($C223="","","GG"&amp;TEXT(ROW()-6,"00000"))</f>
        <v/>
      </c>
      <c r="C223" s="225" t="n"/>
      <c r="D223" s="108" t="n"/>
      <c r="E223" s="109" t="n"/>
      <c r="F223" s="109" t="n"/>
      <c r="G223" s="226" t="n"/>
      <c r="H223" s="108" t="n"/>
      <c r="I223" s="108" t="n"/>
      <c r="J223" s="109" t="n"/>
      <c r="K223" s="109" t="n"/>
      <c r="L223" s="121">
        <f>IF($C223="","",IF($D223="Gider",$E223,$H223))</f>
        <v/>
      </c>
      <c r="M223" s="121">
        <f>IF($C223="","",IF($D223="Gider",$H223,$E223))</f>
        <v/>
      </c>
      <c r="N223" s="231">
        <f>IF($C223="","",DATE(YEAR($C223),MONTH($C223),1))</f>
        <v/>
      </c>
      <c r="O223" s="113">
        <f>IF($C223="","",IF(AND($D223&lt;&gt;"",$E223&lt;&gt;"",$G223&gt;0,$H223&lt;&gt;"",$I223&lt;&gt;""),IF($C223&gt;TODAY(),"İLERİ TARİH","UYGUN"),"EKSİK"))</f>
        <v/>
      </c>
      <c r="P223" s="6" t="n"/>
      <c r="Q223" s="6" t="n"/>
      <c r="R223" s="3" t="n"/>
      <c r="S223" s="3" t="n"/>
      <c r="T223" s="3" t="n"/>
      <c r="U223" s="3" t="n"/>
      <c r="V223" s="3" t="n"/>
      <c r="W223" s="3" t="n"/>
    </row>
    <row r="224">
      <c r="A224" s="6" t="n"/>
      <c r="B224" s="113">
        <f>IF($C224="","","GG"&amp;TEXT(ROW()-6,"00000"))</f>
        <v/>
      </c>
      <c r="C224" s="225" t="n"/>
      <c r="D224" s="108" t="n"/>
      <c r="E224" s="109" t="n"/>
      <c r="F224" s="109" t="n"/>
      <c r="G224" s="226" t="n"/>
      <c r="H224" s="108" t="n"/>
      <c r="I224" s="108" t="n"/>
      <c r="J224" s="109" t="n"/>
      <c r="K224" s="109" t="n"/>
      <c r="L224" s="121">
        <f>IF($C224="","",IF($D224="Gider",$E224,$H224))</f>
        <v/>
      </c>
      <c r="M224" s="121">
        <f>IF($C224="","",IF($D224="Gider",$H224,$E224))</f>
        <v/>
      </c>
      <c r="N224" s="231">
        <f>IF($C224="","",DATE(YEAR($C224),MONTH($C224),1))</f>
        <v/>
      </c>
      <c r="O224" s="113">
        <f>IF($C224="","",IF(AND($D224&lt;&gt;"",$E224&lt;&gt;"",$G224&gt;0,$H224&lt;&gt;"",$I224&lt;&gt;""),IF($C224&gt;TODAY(),"İLERİ TARİH","UYGUN"),"EKSİK"))</f>
        <v/>
      </c>
      <c r="P224" s="6" t="n"/>
      <c r="Q224" s="6" t="n"/>
      <c r="R224" s="3" t="n"/>
      <c r="S224" s="3" t="n"/>
      <c r="T224" s="3" t="n"/>
      <c r="U224" s="3" t="n"/>
      <c r="V224" s="3" t="n"/>
      <c r="W224" s="3" t="n"/>
    </row>
    <row r="225">
      <c r="A225" s="6" t="n"/>
      <c r="B225" s="113">
        <f>IF($C225="","","GG"&amp;TEXT(ROW()-6,"00000"))</f>
        <v/>
      </c>
      <c r="C225" s="225" t="n"/>
      <c r="D225" s="108" t="n"/>
      <c r="E225" s="109" t="n"/>
      <c r="F225" s="109" t="n"/>
      <c r="G225" s="226" t="n"/>
      <c r="H225" s="108" t="n"/>
      <c r="I225" s="108" t="n"/>
      <c r="J225" s="109" t="n"/>
      <c r="K225" s="109" t="n"/>
      <c r="L225" s="121">
        <f>IF($C225="","",IF($D225="Gider",$E225,$H225))</f>
        <v/>
      </c>
      <c r="M225" s="121">
        <f>IF($C225="","",IF($D225="Gider",$H225,$E225))</f>
        <v/>
      </c>
      <c r="N225" s="231">
        <f>IF($C225="","",DATE(YEAR($C225),MONTH($C225),1))</f>
        <v/>
      </c>
      <c r="O225" s="113">
        <f>IF($C225="","",IF(AND($D225&lt;&gt;"",$E225&lt;&gt;"",$G225&gt;0,$H225&lt;&gt;"",$I225&lt;&gt;""),IF($C225&gt;TODAY(),"İLERİ TARİH","UYGUN"),"EKSİK"))</f>
        <v/>
      </c>
      <c r="P225" s="6" t="n"/>
      <c r="Q225" s="6" t="n"/>
      <c r="R225" s="3" t="n"/>
      <c r="S225" s="3" t="n"/>
      <c r="T225" s="3" t="n"/>
      <c r="U225" s="3" t="n"/>
      <c r="V225" s="3" t="n"/>
      <c r="W225" s="3" t="n"/>
    </row>
    <row r="226">
      <c r="A226" s="6" t="n"/>
      <c r="B226" s="113">
        <f>IF($C226="","","GG"&amp;TEXT(ROW()-6,"00000"))</f>
        <v/>
      </c>
      <c r="C226" s="225" t="n"/>
      <c r="D226" s="108" t="n"/>
      <c r="E226" s="109" t="n"/>
      <c r="F226" s="109" t="n"/>
      <c r="G226" s="226" t="n"/>
      <c r="H226" s="108" t="n"/>
      <c r="I226" s="108" t="n"/>
      <c r="J226" s="109" t="n"/>
      <c r="K226" s="109" t="n"/>
      <c r="L226" s="121">
        <f>IF($C226="","",IF($D226="Gider",$E226,$H226))</f>
        <v/>
      </c>
      <c r="M226" s="121">
        <f>IF($C226="","",IF($D226="Gider",$H226,$E226))</f>
        <v/>
      </c>
      <c r="N226" s="231">
        <f>IF($C226="","",DATE(YEAR($C226),MONTH($C226),1))</f>
        <v/>
      </c>
      <c r="O226" s="113">
        <f>IF($C226="","",IF(AND($D226&lt;&gt;"",$E226&lt;&gt;"",$G226&gt;0,$H226&lt;&gt;"",$I226&lt;&gt;""),IF($C226&gt;TODAY(),"İLERİ TARİH","UYGUN"),"EKSİK"))</f>
        <v/>
      </c>
      <c r="P226" s="6" t="n"/>
      <c r="Q226" s="6" t="n"/>
      <c r="R226" s="3" t="n"/>
      <c r="S226" s="3" t="n"/>
      <c r="T226" s="3" t="n"/>
      <c r="U226" s="3" t="n"/>
      <c r="V226" s="3" t="n"/>
      <c r="W226" s="3" t="n"/>
    </row>
    <row r="227">
      <c r="A227" s="6" t="n"/>
      <c r="B227" s="113">
        <f>IF($C227="","","GG"&amp;TEXT(ROW()-6,"00000"))</f>
        <v/>
      </c>
      <c r="C227" s="225" t="n"/>
      <c r="D227" s="108" t="n"/>
      <c r="E227" s="109" t="n"/>
      <c r="F227" s="109" t="n"/>
      <c r="G227" s="226" t="n"/>
      <c r="H227" s="108" t="n"/>
      <c r="I227" s="108" t="n"/>
      <c r="J227" s="109" t="n"/>
      <c r="K227" s="109" t="n"/>
      <c r="L227" s="121">
        <f>IF($C227="","",IF($D227="Gider",$E227,$H227))</f>
        <v/>
      </c>
      <c r="M227" s="121">
        <f>IF($C227="","",IF($D227="Gider",$H227,$E227))</f>
        <v/>
      </c>
      <c r="N227" s="231">
        <f>IF($C227="","",DATE(YEAR($C227),MONTH($C227),1))</f>
        <v/>
      </c>
      <c r="O227" s="113">
        <f>IF($C227="","",IF(AND($D227&lt;&gt;"",$E227&lt;&gt;"",$G227&gt;0,$H227&lt;&gt;"",$I227&lt;&gt;""),IF($C227&gt;TODAY(),"İLERİ TARİH","UYGUN"),"EKSİK"))</f>
        <v/>
      </c>
      <c r="P227" s="6" t="n"/>
      <c r="Q227" s="6" t="n"/>
      <c r="R227" s="3" t="n"/>
      <c r="S227" s="3" t="n"/>
      <c r="T227" s="3" t="n"/>
      <c r="U227" s="3" t="n"/>
      <c r="V227" s="3" t="n"/>
      <c r="W227" s="3" t="n"/>
    </row>
    <row r="228">
      <c r="A228" s="6" t="n"/>
      <c r="B228" s="113">
        <f>IF($C228="","","GG"&amp;TEXT(ROW()-6,"00000"))</f>
        <v/>
      </c>
      <c r="C228" s="225" t="n"/>
      <c r="D228" s="108" t="n"/>
      <c r="E228" s="109" t="n"/>
      <c r="F228" s="109" t="n"/>
      <c r="G228" s="226" t="n"/>
      <c r="H228" s="108" t="n"/>
      <c r="I228" s="108" t="n"/>
      <c r="J228" s="109" t="n"/>
      <c r="K228" s="109" t="n"/>
      <c r="L228" s="121">
        <f>IF($C228="","",IF($D228="Gider",$E228,$H228))</f>
        <v/>
      </c>
      <c r="M228" s="121">
        <f>IF($C228="","",IF($D228="Gider",$H228,$E228))</f>
        <v/>
      </c>
      <c r="N228" s="231">
        <f>IF($C228="","",DATE(YEAR($C228),MONTH($C228),1))</f>
        <v/>
      </c>
      <c r="O228" s="113">
        <f>IF($C228="","",IF(AND($D228&lt;&gt;"",$E228&lt;&gt;"",$G228&gt;0,$H228&lt;&gt;"",$I228&lt;&gt;""),IF($C228&gt;TODAY(),"İLERİ TARİH","UYGUN"),"EKSİK"))</f>
        <v/>
      </c>
      <c r="P228" s="6" t="n"/>
      <c r="Q228" s="6" t="n"/>
      <c r="R228" s="3" t="n"/>
      <c r="S228" s="3" t="n"/>
      <c r="T228" s="3" t="n"/>
      <c r="U228" s="3" t="n"/>
      <c r="V228" s="3" t="n"/>
      <c r="W228" s="3" t="n"/>
    </row>
    <row r="229">
      <c r="A229" s="6" t="n"/>
      <c r="B229" s="113">
        <f>IF($C229="","","GG"&amp;TEXT(ROW()-6,"00000"))</f>
        <v/>
      </c>
      <c r="C229" s="225" t="n"/>
      <c r="D229" s="108" t="n"/>
      <c r="E229" s="109" t="n"/>
      <c r="F229" s="109" t="n"/>
      <c r="G229" s="226" t="n"/>
      <c r="H229" s="108" t="n"/>
      <c r="I229" s="108" t="n"/>
      <c r="J229" s="109" t="n"/>
      <c r="K229" s="109" t="n"/>
      <c r="L229" s="121">
        <f>IF($C229="","",IF($D229="Gider",$E229,$H229))</f>
        <v/>
      </c>
      <c r="M229" s="121">
        <f>IF($C229="","",IF($D229="Gider",$H229,$E229))</f>
        <v/>
      </c>
      <c r="N229" s="231">
        <f>IF($C229="","",DATE(YEAR($C229),MONTH($C229),1))</f>
        <v/>
      </c>
      <c r="O229" s="113">
        <f>IF($C229="","",IF(AND($D229&lt;&gt;"",$E229&lt;&gt;"",$G229&gt;0,$H229&lt;&gt;"",$I229&lt;&gt;""),IF($C229&gt;TODAY(),"İLERİ TARİH","UYGUN"),"EKSİK"))</f>
        <v/>
      </c>
      <c r="P229" s="6" t="n"/>
      <c r="Q229" s="6" t="n"/>
      <c r="R229" s="3" t="n"/>
      <c r="S229" s="3" t="n"/>
      <c r="T229" s="3" t="n"/>
      <c r="U229" s="3" t="n"/>
      <c r="V229" s="3" t="n"/>
      <c r="W229" s="3" t="n"/>
    </row>
    <row r="230">
      <c r="A230" s="6" t="n"/>
      <c r="B230" s="113">
        <f>IF($C230="","","GG"&amp;TEXT(ROW()-6,"00000"))</f>
        <v/>
      </c>
      <c r="C230" s="225" t="n"/>
      <c r="D230" s="108" t="n"/>
      <c r="E230" s="109" t="n"/>
      <c r="F230" s="109" t="n"/>
      <c r="G230" s="226" t="n"/>
      <c r="H230" s="108" t="n"/>
      <c r="I230" s="108" t="n"/>
      <c r="J230" s="109" t="n"/>
      <c r="K230" s="109" t="n"/>
      <c r="L230" s="121">
        <f>IF($C230="","",IF($D230="Gider",$E230,$H230))</f>
        <v/>
      </c>
      <c r="M230" s="121">
        <f>IF($C230="","",IF($D230="Gider",$H230,$E230))</f>
        <v/>
      </c>
      <c r="N230" s="231">
        <f>IF($C230="","",DATE(YEAR($C230),MONTH($C230),1))</f>
        <v/>
      </c>
      <c r="O230" s="113">
        <f>IF($C230="","",IF(AND($D230&lt;&gt;"",$E230&lt;&gt;"",$G230&gt;0,$H230&lt;&gt;"",$I230&lt;&gt;""),IF($C230&gt;TODAY(),"İLERİ TARİH","UYGUN"),"EKSİK"))</f>
        <v/>
      </c>
      <c r="P230" s="6" t="n"/>
      <c r="Q230" s="6" t="n"/>
      <c r="R230" s="3" t="n"/>
      <c r="S230" s="3" t="n"/>
      <c r="T230" s="3" t="n"/>
      <c r="U230" s="3" t="n"/>
      <c r="V230" s="3" t="n"/>
      <c r="W230" s="3" t="n"/>
    </row>
    <row r="231">
      <c r="A231" s="6" t="n"/>
      <c r="B231" s="113">
        <f>IF($C231="","","GG"&amp;TEXT(ROW()-6,"00000"))</f>
        <v/>
      </c>
      <c r="C231" s="225" t="n"/>
      <c r="D231" s="108" t="n"/>
      <c r="E231" s="109" t="n"/>
      <c r="F231" s="109" t="n"/>
      <c r="G231" s="226" t="n"/>
      <c r="H231" s="108" t="n"/>
      <c r="I231" s="108" t="n"/>
      <c r="J231" s="109" t="n"/>
      <c r="K231" s="109" t="n"/>
      <c r="L231" s="121">
        <f>IF($C231="","",IF($D231="Gider",$E231,$H231))</f>
        <v/>
      </c>
      <c r="M231" s="121">
        <f>IF($C231="","",IF($D231="Gider",$H231,$E231))</f>
        <v/>
      </c>
      <c r="N231" s="231">
        <f>IF($C231="","",DATE(YEAR($C231),MONTH($C231),1))</f>
        <v/>
      </c>
      <c r="O231" s="113">
        <f>IF($C231="","",IF(AND($D231&lt;&gt;"",$E231&lt;&gt;"",$G231&gt;0,$H231&lt;&gt;"",$I231&lt;&gt;""),IF($C231&gt;TODAY(),"İLERİ TARİH","UYGUN"),"EKSİK"))</f>
        <v/>
      </c>
      <c r="P231" s="6" t="n"/>
      <c r="Q231" s="6" t="n"/>
      <c r="R231" s="3" t="n"/>
      <c r="S231" s="3" t="n"/>
      <c r="T231" s="3" t="n"/>
      <c r="U231" s="3" t="n"/>
      <c r="V231" s="3" t="n"/>
      <c r="W231" s="3" t="n"/>
    </row>
    <row r="232">
      <c r="A232" s="6" t="n"/>
      <c r="B232" s="113">
        <f>IF($C232="","","GG"&amp;TEXT(ROW()-6,"00000"))</f>
        <v/>
      </c>
      <c r="C232" s="225" t="n"/>
      <c r="D232" s="108" t="n"/>
      <c r="E232" s="109" t="n"/>
      <c r="F232" s="109" t="n"/>
      <c r="G232" s="226" t="n"/>
      <c r="H232" s="108" t="n"/>
      <c r="I232" s="108" t="n"/>
      <c r="J232" s="109" t="n"/>
      <c r="K232" s="109" t="n"/>
      <c r="L232" s="121">
        <f>IF($C232="","",IF($D232="Gider",$E232,$H232))</f>
        <v/>
      </c>
      <c r="M232" s="121">
        <f>IF($C232="","",IF($D232="Gider",$H232,$E232))</f>
        <v/>
      </c>
      <c r="N232" s="231">
        <f>IF($C232="","",DATE(YEAR($C232),MONTH($C232),1))</f>
        <v/>
      </c>
      <c r="O232" s="113">
        <f>IF($C232="","",IF(AND($D232&lt;&gt;"",$E232&lt;&gt;"",$G232&gt;0,$H232&lt;&gt;"",$I232&lt;&gt;""),IF($C232&gt;TODAY(),"İLERİ TARİH","UYGUN"),"EKSİK"))</f>
        <v/>
      </c>
      <c r="P232" s="6" t="n"/>
      <c r="Q232" s="6" t="n"/>
      <c r="R232" s="3" t="n"/>
      <c r="S232" s="3" t="n"/>
      <c r="T232" s="3" t="n"/>
      <c r="U232" s="3" t="n"/>
      <c r="V232" s="3" t="n"/>
      <c r="W232" s="3" t="n"/>
    </row>
    <row r="233">
      <c r="A233" s="6" t="n"/>
      <c r="B233" s="113">
        <f>IF($C233="","","GG"&amp;TEXT(ROW()-6,"00000"))</f>
        <v/>
      </c>
      <c r="C233" s="225" t="n"/>
      <c r="D233" s="108" t="n"/>
      <c r="E233" s="109" t="n"/>
      <c r="F233" s="109" t="n"/>
      <c r="G233" s="226" t="n"/>
      <c r="H233" s="108" t="n"/>
      <c r="I233" s="108" t="n"/>
      <c r="J233" s="109" t="n"/>
      <c r="K233" s="109" t="n"/>
      <c r="L233" s="121">
        <f>IF($C233="","",IF($D233="Gider",$E233,$H233))</f>
        <v/>
      </c>
      <c r="M233" s="121">
        <f>IF($C233="","",IF($D233="Gider",$H233,$E233))</f>
        <v/>
      </c>
      <c r="N233" s="231">
        <f>IF($C233="","",DATE(YEAR($C233),MONTH($C233),1))</f>
        <v/>
      </c>
      <c r="O233" s="113">
        <f>IF($C233="","",IF(AND($D233&lt;&gt;"",$E233&lt;&gt;"",$G233&gt;0,$H233&lt;&gt;"",$I233&lt;&gt;""),IF($C233&gt;TODAY(),"İLERİ TARİH","UYGUN"),"EKSİK"))</f>
        <v/>
      </c>
      <c r="P233" s="6" t="n"/>
      <c r="Q233" s="6" t="n"/>
      <c r="R233" s="3" t="n"/>
      <c r="S233" s="3" t="n"/>
      <c r="T233" s="3" t="n"/>
      <c r="U233" s="3" t="n"/>
      <c r="V233" s="3" t="n"/>
      <c r="W233" s="3" t="n"/>
    </row>
    <row r="234">
      <c r="A234" s="6" t="n"/>
      <c r="B234" s="113">
        <f>IF($C234="","","GG"&amp;TEXT(ROW()-6,"00000"))</f>
        <v/>
      </c>
      <c r="C234" s="225" t="n"/>
      <c r="D234" s="108" t="n"/>
      <c r="E234" s="109" t="n"/>
      <c r="F234" s="109" t="n"/>
      <c r="G234" s="226" t="n"/>
      <c r="H234" s="108" t="n"/>
      <c r="I234" s="108" t="n"/>
      <c r="J234" s="109" t="n"/>
      <c r="K234" s="109" t="n"/>
      <c r="L234" s="121">
        <f>IF($C234="","",IF($D234="Gider",$E234,$H234))</f>
        <v/>
      </c>
      <c r="M234" s="121">
        <f>IF($C234="","",IF($D234="Gider",$H234,$E234))</f>
        <v/>
      </c>
      <c r="N234" s="231">
        <f>IF($C234="","",DATE(YEAR($C234),MONTH($C234),1))</f>
        <v/>
      </c>
      <c r="O234" s="113">
        <f>IF($C234="","",IF(AND($D234&lt;&gt;"",$E234&lt;&gt;"",$G234&gt;0,$H234&lt;&gt;"",$I234&lt;&gt;""),IF($C234&gt;TODAY(),"İLERİ TARİH","UYGUN"),"EKSİK"))</f>
        <v/>
      </c>
      <c r="P234" s="6" t="n"/>
      <c r="Q234" s="6" t="n"/>
      <c r="R234" s="3" t="n"/>
      <c r="S234" s="3" t="n"/>
      <c r="T234" s="3" t="n"/>
      <c r="U234" s="3" t="n"/>
      <c r="V234" s="3" t="n"/>
      <c r="W234" s="3" t="n"/>
    </row>
    <row r="235">
      <c r="A235" s="6" t="n"/>
      <c r="B235" s="113">
        <f>IF($C235="","","GG"&amp;TEXT(ROW()-6,"00000"))</f>
        <v/>
      </c>
      <c r="C235" s="225" t="n"/>
      <c r="D235" s="108" t="n"/>
      <c r="E235" s="109" t="n"/>
      <c r="F235" s="109" t="n"/>
      <c r="G235" s="226" t="n"/>
      <c r="H235" s="108" t="n"/>
      <c r="I235" s="108" t="n"/>
      <c r="J235" s="109" t="n"/>
      <c r="K235" s="109" t="n"/>
      <c r="L235" s="121">
        <f>IF($C235="","",IF($D235="Gider",$E235,$H235))</f>
        <v/>
      </c>
      <c r="M235" s="121">
        <f>IF($C235="","",IF($D235="Gider",$H235,$E235))</f>
        <v/>
      </c>
      <c r="N235" s="231">
        <f>IF($C235="","",DATE(YEAR($C235),MONTH($C235),1))</f>
        <v/>
      </c>
      <c r="O235" s="113">
        <f>IF($C235="","",IF(AND($D235&lt;&gt;"",$E235&lt;&gt;"",$G235&gt;0,$H235&lt;&gt;"",$I235&lt;&gt;""),IF($C235&gt;TODAY(),"İLERİ TARİH","UYGUN"),"EKSİK"))</f>
        <v/>
      </c>
      <c r="P235" s="6" t="n"/>
      <c r="Q235" s="6" t="n"/>
      <c r="R235" s="3" t="n"/>
      <c r="S235" s="3" t="n"/>
      <c r="T235" s="3" t="n"/>
      <c r="U235" s="3" t="n"/>
      <c r="V235" s="3" t="n"/>
      <c r="W235" s="3" t="n"/>
    </row>
    <row r="236">
      <c r="A236" s="6" t="n"/>
      <c r="B236" s="113">
        <f>IF($C236="","","GG"&amp;TEXT(ROW()-6,"00000"))</f>
        <v/>
      </c>
      <c r="C236" s="225" t="n"/>
      <c r="D236" s="108" t="n"/>
      <c r="E236" s="109" t="n"/>
      <c r="F236" s="109" t="n"/>
      <c r="G236" s="226" t="n"/>
      <c r="H236" s="108" t="n"/>
      <c r="I236" s="108" t="n"/>
      <c r="J236" s="109" t="n"/>
      <c r="K236" s="109" t="n"/>
      <c r="L236" s="121">
        <f>IF($C236="","",IF($D236="Gider",$E236,$H236))</f>
        <v/>
      </c>
      <c r="M236" s="121">
        <f>IF($C236="","",IF($D236="Gider",$H236,$E236))</f>
        <v/>
      </c>
      <c r="N236" s="231">
        <f>IF($C236="","",DATE(YEAR($C236),MONTH($C236),1))</f>
        <v/>
      </c>
      <c r="O236" s="113">
        <f>IF($C236="","",IF(AND($D236&lt;&gt;"",$E236&lt;&gt;"",$G236&gt;0,$H236&lt;&gt;"",$I236&lt;&gt;""),IF($C236&gt;TODAY(),"İLERİ TARİH","UYGUN"),"EKSİK"))</f>
        <v/>
      </c>
      <c r="P236" s="6" t="n"/>
      <c r="Q236" s="6" t="n"/>
      <c r="R236" s="3" t="n"/>
      <c r="S236" s="3" t="n"/>
      <c r="T236" s="3" t="n"/>
      <c r="U236" s="3" t="n"/>
      <c r="V236" s="3" t="n"/>
      <c r="W236" s="3" t="n"/>
    </row>
    <row r="237">
      <c r="A237" s="6" t="n"/>
      <c r="B237" s="113">
        <f>IF($C237="","","GG"&amp;TEXT(ROW()-6,"00000"))</f>
        <v/>
      </c>
      <c r="C237" s="225" t="n"/>
      <c r="D237" s="108" t="n"/>
      <c r="E237" s="109" t="n"/>
      <c r="F237" s="109" t="n"/>
      <c r="G237" s="226" t="n"/>
      <c r="H237" s="108" t="n"/>
      <c r="I237" s="108" t="n"/>
      <c r="J237" s="109" t="n"/>
      <c r="K237" s="109" t="n"/>
      <c r="L237" s="121">
        <f>IF($C237="","",IF($D237="Gider",$E237,$H237))</f>
        <v/>
      </c>
      <c r="M237" s="121">
        <f>IF($C237="","",IF($D237="Gider",$H237,$E237))</f>
        <v/>
      </c>
      <c r="N237" s="231">
        <f>IF($C237="","",DATE(YEAR($C237),MONTH($C237),1))</f>
        <v/>
      </c>
      <c r="O237" s="113">
        <f>IF($C237="","",IF(AND($D237&lt;&gt;"",$E237&lt;&gt;"",$G237&gt;0,$H237&lt;&gt;"",$I237&lt;&gt;""),IF($C237&gt;TODAY(),"İLERİ TARİH","UYGUN"),"EKSİK"))</f>
        <v/>
      </c>
      <c r="P237" s="6" t="n"/>
      <c r="Q237" s="6" t="n"/>
      <c r="R237" s="3" t="n"/>
      <c r="S237" s="3" t="n"/>
      <c r="T237" s="3" t="n"/>
      <c r="U237" s="3" t="n"/>
      <c r="V237" s="3" t="n"/>
      <c r="W237" s="3" t="n"/>
    </row>
    <row r="238">
      <c r="A238" s="6" t="n"/>
      <c r="B238" s="113">
        <f>IF($C238="","","GG"&amp;TEXT(ROW()-6,"00000"))</f>
        <v/>
      </c>
      <c r="C238" s="225" t="n"/>
      <c r="D238" s="108" t="n"/>
      <c r="E238" s="109" t="n"/>
      <c r="F238" s="109" t="n"/>
      <c r="G238" s="226" t="n"/>
      <c r="H238" s="108" t="n"/>
      <c r="I238" s="108" t="n"/>
      <c r="J238" s="109" t="n"/>
      <c r="K238" s="109" t="n"/>
      <c r="L238" s="121">
        <f>IF($C238="","",IF($D238="Gider",$E238,$H238))</f>
        <v/>
      </c>
      <c r="M238" s="121">
        <f>IF($C238="","",IF($D238="Gider",$H238,$E238))</f>
        <v/>
      </c>
      <c r="N238" s="231">
        <f>IF($C238="","",DATE(YEAR($C238),MONTH($C238),1))</f>
        <v/>
      </c>
      <c r="O238" s="113">
        <f>IF($C238="","",IF(AND($D238&lt;&gt;"",$E238&lt;&gt;"",$G238&gt;0,$H238&lt;&gt;"",$I238&lt;&gt;""),IF($C238&gt;TODAY(),"İLERİ TARİH","UYGUN"),"EKSİK"))</f>
        <v/>
      </c>
      <c r="P238" s="6" t="n"/>
      <c r="Q238" s="6" t="n"/>
      <c r="R238" s="3" t="n"/>
      <c r="S238" s="3" t="n"/>
      <c r="T238" s="3" t="n"/>
      <c r="U238" s="3" t="n"/>
      <c r="V238" s="3" t="n"/>
      <c r="W238" s="3" t="n"/>
    </row>
    <row r="239">
      <c r="A239" s="6" t="n"/>
      <c r="B239" s="113">
        <f>IF($C239="","","GG"&amp;TEXT(ROW()-6,"00000"))</f>
        <v/>
      </c>
      <c r="C239" s="225" t="n"/>
      <c r="D239" s="108" t="n"/>
      <c r="E239" s="109" t="n"/>
      <c r="F239" s="109" t="n"/>
      <c r="G239" s="226" t="n"/>
      <c r="H239" s="108" t="n"/>
      <c r="I239" s="108" t="n"/>
      <c r="J239" s="109" t="n"/>
      <c r="K239" s="109" t="n"/>
      <c r="L239" s="121">
        <f>IF($C239="","",IF($D239="Gider",$E239,$H239))</f>
        <v/>
      </c>
      <c r="M239" s="121">
        <f>IF($C239="","",IF($D239="Gider",$H239,$E239))</f>
        <v/>
      </c>
      <c r="N239" s="231">
        <f>IF($C239="","",DATE(YEAR($C239),MONTH($C239),1))</f>
        <v/>
      </c>
      <c r="O239" s="113">
        <f>IF($C239="","",IF(AND($D239&lt;&gt;"",$E239&lt;&gt;"",$G239&gt;0,$H239&lt;&gt;"",$I239&lt;&gt;""),IF($C239&gt;TODAY(),"İLERİ TARİH","UYGUN"),"EKSİK"))</f>
        <v/>
      </c>
      <c r="P239" s="6" t="n"/>
      <c r="Q239" s="6" t="n"/>
      <c r="R239" s="3" t="n"/>
      <c r="S239" s="3" t="n"/>
      <c r="T239" s="3" t="n"/>
      <c r="U239" s="3" t="n"/>
      <c r="V239" s="3" t="n"/>
      <c r="W239" s="3" t="n"/>
    </row>
    <row r="240">
      <c r="A240" s="6" t="n"/>
      <c r="B240" s="113">
        <f>IF($C240="","","GG"&amp;TEXT(ROW()-6,"00000"))</f>
        <v/>
      </c>
      <c r="C240" s="225" t="n"/>
      <c r="D240" s="108" t="n"/>
      <c r="E240" s="109" t="n"/>
      <c r="F240" s="109" t="n"/>
      <c r="G240" s="226" t="n"/>
      <c r="H240" s="108" t="n"/>
      <c r="I240" s="108" t="n"/>
      <c r="J240" s="109" t="n"/>
      <c r="K240" s="109" t="n"/>
      <c r="L240" s="121">
        <f>IF($C240="","",IF($D240="Gider",$E240,$H240))</f>
        <v/>
      </c>
      <c r="M240" s="121">
        <f>IF($C240="","",IF($D240="Gider",$H240,$E240))</f>
        <v/>
      </c>
      <c r="N240" s="231">
        <f>IF($C240="","",DATE(YEAR($C240),MONTH($C240),1))</f>
        <v/>
      </c>
      <c r="O240" s="113">
        <f>IF($C240="","",IF(AND($D240&lt;&gt;"",$E240&lt;&gt;"",$G240&gt;0,$H240&lt;&gt;"",$I240&lt;&gt;""),IF($C240&gt;TODAY(),"İLERİ TARİH","UYGUN"),"EKSİK"))</f>
        <v/>
      </c>
      <c r="P240" s="6" t="n"/>
      <c r="Q240" s="6" t="n"/>
      <c r="R240" s="3" t="n"/>
      <c r="S240" s="3" t="n"/>
      <c r="T240" s="3" t="n"/>
      <c r="U240" s="3" t="n"/>
      <c r="V240" s="3" t="n"/>
      <c r="W240" s="3" t="n"/>
    </row>
    <row r="241">
      <c r="A241" s="6" t="n"/>
      <c r="B241" s="113">
        <f>IF($C241="","","GG"&amp;TEXT(ROW()-6,"00000"))</f>
        <v/>
      </c>
      <c r="C241" s="225" t="n"/>
      <c r="D241" s="108" t="n"/>
      <c r="E241" s="109" t="n"/>
      <c r="F241" s="109" t="n"/>
      <c r="G241" s="226" t="n"/>
      <c r="H241" s="108" t="n"/>
      <c r="I241" s="108" t="n"/>
      <c r="J241" s="109" t="n"/>
      <c r="K241" s="109" t="n"/>
      <c r="L241" s="121">
        <f>IF($C241="","",IF($D241="Gider",$E241,$H241))</f>
        <v/>
      </c>
      <c r="M241" s="121">
        <f>IF($C241="","",IF($D241="Gider",$H241,$E241))</f>
        <v/>
      </c>
      <c r="N241" s="231">
        <f>IF($C241="","",DATE(YEAR($C241),MONTH($C241),1))</f>
        <v/>
      </c>
      <c r="O241" s="113">
        <f>IF($C241="","",IF(AND($D241&lt;&gt;"",$E241&lt;&gt;"",$G241&gt;0,$H241&lt;&gt;"",$I241&lt;&gt;""),IF($C241&gt;TODAY(),"İLERİ TARİH","UYGUN"),"EKSİK"))</f>
        <v/>
      </c>
      <c r="P241" s="6" t="n"/>
      <c r="Q241" s="6" t="n"/>
      <c r="R241" s="3" t="n"/>
      <c r="S241" s="3" t="n"/>
      <c r="T241" s="3" t="n"/>
      <c r="U241" s="3" t="n"/>
      <c r="V241" s="3" t="n"/>
      <c r="W241" s="3" t="n"/>
    </row>
    <row r="242">
      <c r="A242" s="6" t="n"/>
      <c r="B242" s="113">
        <f>IF($C242="","","GG"&amp;TEXT(ROW()-6,"00000"))</f>
        <v/>
      </c>
      <c r="C242" s="225" t="n"/>
      <c r="D242" s="108" t="n"/>
      <c r="E242" s="109" t="n"/>
      <c r="F242" s="109" t="n"/>
      <c r="G242" s="226" t="n"/>
      <c r="H242" s="108" t="n"/>
      <c r="I242" s="108" t="n"/>
      <c r="J242" s="109" t="n"/>
      <c r="K242" s="109" t="n"/>
      <c r="L242" s="121">
        <f>IF($C242="","",IF($D242="Gider",$E242,$H242))</f>
        <v/>
      </c>
      <c r="M242" s="121">
        <f>IF($C242="","",IF($D242="Gider",$H242,$E242))</f>
        <v/>
      </c>
      <c r="N242" s="231">
        <f>IF($C242="","",DATE(YEAR($C242),MONTH($C242),1))</f>
        <v/>
      </c>
      <c r="O242" s="113">
        <f>IF($C242="","",IF(AND($D242&lt;&gt;"",$E242&lt;&gt;"",$G242&gt;0,$H242&lt;&gt;"",$I242&lt;&gt;""),IF($C242&gt;TODAY(),"İLERİ TARİH","UYGUN"),"EKSİK"))</f>
        <v/>
      </c>
      <c r="P242" s="6" t="n"/>
      <c r="Q242" s="6" t="n"/>
      <c r="R242" s="3" t="n"/>
      <c r="S242" s="3" t="n"/>
      <c r="T242" s="3" t="n"/>
      <c r="U242" s="3" t="n"/>
      <c r="V242" s="3" t="n"/>
      <c r="W242" s="3" t="n"/>
    </row>
    <row r="243">
      <c r="A243" s="6" t="n"/>
      <c r="B243" s="113">
        <f>IF($C243="","","GG"&amp;TEXT(ROW()-6,"00000"))</f>
        <v/>
      </c>
      <c r="C243" s="225" t="n"/>
      <c r="D243" s="108" t="n"/>
      <c r="E243" s="109" t="n"/>
      <c r="F243" s="109" t="n"/>
      <c r="G243" s="226" t="n"/>
      <c r="H243" s="108" t="n"/>
      <c r="I243" s="108" t="n"/>
      <c r="J243" s="109" t="n"/>
      <c r="K243" s="109" t="n"/>
      <c r="L243" s="121">
        <f>IF($C243="","",IF($D243="Gider",$E243,$H243))</f>
        <v/>
      </c>
      <c r="M243" s="121">
        <f>IF($C243="","",IF($D243="Gider",$H243,$E243))</f>
        <v/>
      </c>
      <c r="N243" s="231">
        <f>IF($C243="","",DATE(YEAR($C243),MONTH($C243),1))</f>
        <v/>
      </c>
      <c r="O243" s="113">
        <f>IF($C243="","",IF(AND($D243&lt;&gt;"",$E243&lt;&gt;"",$G243&gt;0,$H243&lt;&gt;"",$I243&lt;&gt;""),IF($C243&gt;TODAY(),"İLERİ TARİH","UYGUN"),"EKSİK"))</f>
        <v/>
      </c>
      <c r="P243" s="6" t="n"/>
      <c r="Q243" s="6" t="n"/>
      <c r="R243" s="3" t="n"/>
      <c r="S243" s="3" t="n"/>
      <c r="T243" s="3" t="n"/>
      <c r="U243" s="3" t="n"/>
      <c r="V243" s="3" t="n"/>
      <c r="W243" s="3" t="n"/>
    </row>
    <row r="244">
      <c r="A244" s="6" t="n"/>
      <c r="B244" s="113">
        <f>IF($C244="","","GG"&amp;TEXT(ROW()-6,"00000"))</f>
        <v/>
      </c>
      <c r="C244" s="225" t="n"/>
      <c r="D244" s="108" t="n"/>
      <c r="E244" s="109" t="n"/>
      <c r="F244" s="109" t="n"/>
      <c r="G244" s="226" t="n"/>
      <c r="H244" s="108" t="n"/>
      <c r="I244" s="108" t="n"/>
      <c r="J244" s="109" t="n"/>
      <c r="K244" s="109" t="n"/>
      <c r="L244" s="121">
        <f>IF($C244="","",IF($D244="Gider",$E244,$H244))</f>
        <v/>
      </c>
      <c r="M244" s="121">
        <f>IF($C244="","",IF($D244="Gider",$H244,$E244))</f>
        <v/>
      </c>
      <c r="N244" s="231">
        <f>IF($C244="","",DATE(YEAR($C244),MONTH($C244),1))</f>
        <v/>
      </c>
      <c r="O244" s="113">
        <f>IF($C244="","",IF(AND($D244&lt;&gt;"",$E244&lt;&gt;"",$G244&gt;0,$H244&lt;&gt;"",$I244&lt;&gt;""),IF($C244&gt;TODAY(),"İLERİ TARİH","UYGUN"),"EKSİK"))</f>
        <v/>
      </c>
      <c r="P244" s="6" t="n"/>
      <c r="Q244" s="6" t="n"/>
      <c r="R244" s="3" t="n"/>
      <c r="S244" s="3" t="n"/>
      <c r="T244" s="3" t="n"/>
      <c r="U244" s="3" t="n"/>
      <c r="V244" s="3" t="n"/>
      <c r="W244" s="3" t="n"/>
    </row>
    <row r="245">
      <c r="A245" s="6" t="n"/>
      <c r="B245" s="113">
        <f>IF($C245="","","GG"&amp;TEXT(ROW()-6,"00000"))</f>
        <v/>
      </c>
      <c r="C245" s="225" t="n"/>
      <c r="D245" s="108" t="n"/>
      <c r="E245" s="109" t="n"/>
      <c r="F245" s="109" t="n"/>
      <c r="G245" s="226" t="n"/>
      <c r="H245" s="108" t="n"/>
      <c r="I245" s="108" t="n"/>
      <c r="J245" s="109" t="n"/>
      <c r="K245" s="109" t="n"/>
      <c r="L245" s="121">
        <f>IF($C245="","",IF($D245="Gider",$E245,$H245))</f>
        <v/>
      </c>
      <c r="M245" s="121">
        <f>IF($C245="","",IF($D245="Gider",$H245,$E245))</f>
        <v/>
      </c>
      <c r="N245" s="231">
        <f>IF($C245="","",DATE(YEAR($C245),MONTH($C245),1))</f>
        <v/>
      </c>
      <c r="O245" s="113">
        <f>IF($C245="","",IF(AND($D245&lt;&gt;"",$E245&lt;&gt;"",$G245&gt;0,$H245&lt;&gt;"",$I245&lt;&gt;""),IF($C245&gt;TODAY(),"İLERİ TARİH","UYGUN"),"EKSİK"))</f>
        <v/>
      </c>
      <c r="P245" s="6" t="n"/>
      <c r="Q245" s="6" t="n"/>
      <c r="R245" s="3" t="n"/>
      <c r="S245" s="3" t="n"/>
      <c r="T245" s="3" t="n"/>
      <c r="U245" s="3" t="n"/>
      <c r="V245" s="3" t="n"/>
      <c r="W245" s="3" t="n"/>
    </row>
    <row r="246">
      <c r="A246" s="6" t="n"/>
      <c r="B246" s="113">
        <f>IF($C246="","","GG"&amp;TEXT(ROW()-6,"00000"))</f>
        <v/>
      </c>
      <c r="C246" s="225" t="n"/>
      <c r="D246" s="108" t="n"/>
      <c r="E246" s="109" t="n"/>
      <c r="F246" s="109" t="n"/>
      <c r="G246" s="226" t="n"/>
      <c r="H246" s="108" t="n"/>
      <c r="I246" s="108" t="n"/>
      <c r="J246" s="109" t="n"/>
      <c r="K246" s="109" t="n"/>
      <c r="L246" s="121">
        <f>IF($C246="","",IF($D246="Gider",$E246,$H246))</f>
        <v/>
      </c>
      <c r="M246" s="121">
        <f>IF($C246="","",IF($D246="Gider",$H246,$E246))</f>
        <v/>
      </c>
      <c r="N246" s="231">
        <f>IF($C246="","",DATE(YEAR($C246),MONTH($C246),1))</f>
        <v/>
      </c>
      <c r="O246" s="113">
        <f>IF($C246="","",IF(AND($D246&lt;&gt;"",$E246&lt;&gt;"",$G246&gt;0,$H246&lt;&gt;"",$I246&lt;&gt;""),IF($C246&gt;TODAY(),"İLERİ TARİH","UYGUN"),"EKSİK"))</f>
        <v/>
      </c>
      <c r="P246" s="6" t="n"/>
      <c r="Q246" s="6" t="n"/>
      <c r="R246" s="3" t="n"/>
      <c r="S246" s="3" t="n"/>
      <c r="T246" s="3" t="n"/>
      <c r="U246" s="3" t="n"/>
      <c r="V246" s="3" t="n"/>
      <c r="W246" s="3" t="n"/>
    </row>
    <row r="247">
      <c r="A247" s="6" t="n"/>
      <c r="B247" s="113">
        <f>IF($C247="","","GG"&amp;TEXT(ROW()-6,"00000"))</f>
        <v/>
      </c>
      <c r="C247" s="225" t="n"/>
      <c r="D247" s="108" t="n"/>
      <c r="E247" s="109" t="n"/>
      <c r="F247" s="109" t="n"/>
      <c r="G247" s="226" t="n"/>
      <c r="H247" s="108" t="n"/>
      <c r="I247" s="108" t="n"/>
      <c r="J247" s="109" t="n"/>
      <c r="K247" s="109" t="n"/>
      <c r="L247" s="121">
        <f>IF($C247="","",IF($D247="Gider",$E247,$H247))</f>
        <v/>
      </c>
      <c r="M247" s="121">
        <f>IF($C247="","",IF($D247="Gider",$H247,$E247))</f>
        <v/>
      </c>
      <c r="N247" s="231">
        <f>IF($C247="","",DATE(YEAR($C247),MONTH($C247),1))</f>
        <v/>
      </c>
      <c r="O247" s="113">
        <f>IF($C247="","",IF(AND($D247&lt;&gt;"",$E247&lt;&gt;"",$G247&gt;0,$H247&lt;&gt;"",$I247&lt;&gt;""),IF($C247&gt;TODAY(),"İLERİ TARİH","UYGUN"),"EKSİK"))</f>
        <v/>
      </c>
      <c r="P247" s="6" t="n"/>
      <c r="Q247" s="6" t="n"/>
      <c r="R247" s="3" t="n"/>
      <c r="S247" s="3" t="n"/>
      <c r="T247" s="3" t="n"/>
      <c r="U247" s="3" t="n"/>
      <c r="V247" s="3" t="n"/>
      <c r="W247" s="3" t="n"/>
    </row>
    <row r="248">
      <c r="A248" s="6" t="n"/>
      <c r="B248" s="113">
        <f>IF($C248="","","GG"&amp;TEXT(ROW()-6,"00000"))</f>
        <v/>
      </c>
      <c r="C248" s="225" t="n"/>
      <c r="D248" s="108" t="n"/>
      <c r="E248" s="109" t="n"/>
      <c r="F248" s="109" t="n"/>
      <c r="G248" s="226" t="n"/>
      <c r="H248" s="108" t="n"/>
      <c r="I248" s="108" t="n"/>
      <c r="J248" s="109" t="n"/>
      <c r="K248" s="109" t="n"/>
      <c r="L248" s="121">
        <f>IF($C248="","",IF($D248="Gider",$E248,$H248))</f>
        <v/>
      </c>
      <c r="M248" s="121">
        <f>IF($C248="","",IF($D248="Gider",$H248,$E248))</f>
        <v/>
      </c>
      <c r="N248" s="231">
        <f>IF($C248="","",DATE(YEAR($C248),MONTH($C248),1))</f>
        <v/>
      </c>
      <c r="O248" s="113">
        <f>IF($C248="","",IF(AND($D248&lt;&gt;"",$E248&lt;&gt;"",$G248&gt;0,$H248&lt;&gt;"",$I248&lt;&gt;""),IF($C248&gt;TODAY(),"İLERİ TARİH","UYGUN"),"EKSİK"))</f>
        <v/>
      </c>
      <c r="P248" s="6" t="n"/>
      <c r="Q248" s="6" t="n"/>
      <c r="R248" s="3" t="n"/>
      <c r="S248" s="3" t="n"/>
      <c r="T248" s="3" t="n"/>
      <c r="U248" s="3" t="n"/>
      <c r="V248" s="3" t="n"/>
      <c r="W248" s="3" t="n"/>
    </row>
    <row r="249">
      <c r="A249" s="6" t="n"/>
      <c r="B249" s="113">
        <f>IF($C249="","","GG"&amp;TEXT(ROW()-6,"00000"))</f>
        <v/>
      </c>
      <c r="C249" s="225" t="n"/>
      <c r="D249" s="108" t="n"/>
      <c r="E249" s="109" t="n"/>
      <c r="F249" s="109" t="n"/>
      <c r="G249" s="226" t="n"/>
      <c r="H249" s="108" t="n"/>
      <c r="I249" s="108" t="n"/>
      <c r="J249" s="109" t="n"/>
      <c r="K249" s="109" t="n"/>
      <c r="L249" s="121">
        <f>IF($C249="","",IF($D249="Gider",$E249,$H249))</f>
        <v/>
      </c>
      <c r="M249" s="121">
        <f>IF($C249="","",IF($D249="Gider",$H249,$E249))</f>
        <v/>
      </c>
      <c r="N249" s="231">
        <f>IF($C249="","",DATE(YEAR($C249),MONTH($C249),1))</f>
        <v/>
      </c>
      <c r="O249" s="113">
        <f>IF($C249="","",IF(AND($D249&lt;&gt;"",$E249&lt;&gt;"",$G249&gt;0,$H249&lt;&gt;"",$I249&lt;&gt;""),IF($C249&gt;TODAY(),"İLERİ TARİH","UYGUN"),"EKSİK"))</f>
        <v/>
      </c>
      <c r="P249" s="6" t="n"/>
      <c r="Q249" s="6" t="n"/>
      <c r="R249" s="3" t="n"/>
      <c r="S249" s="3" t="n"/>
      <c r="T249" s="3" t="n"/>
      <c r="U249" s="3" t="n"/>
      <c r="V249" s="3" t="n"/>
      <c r="W249" s="3" t="n"/>
    </row>
    <row r="250">
      <c r="A250" s="6" t="n"/>
      <c r="B250" s="113">
        <f>IF($C250="","","GG"&amp;TEXT(ROW()-6,"00000"))</f>
        <v/>
      </c>
      <c r="C250" s="225" t="n"/>
      <c r="D250" s="108" t="n"/>
      <c r="E250" s="109" t="n"/>
      <c r="F250" s="109" t="n"/>
      <c r="G250" s="226" t="n"/>
      <c r="H250" s="108" t="n"/>
      <c r="I250" s="108" t="n"/>
      <c r="J250" s="109" t="n"/>
      <c r="K250" s="109" t="n"/>
      <c r="L250" s="121">
        <f>IF($C250="","",IF($D250="Gider",$E250,$H250))</f>
        <v/>
      </c>
      <c r="M250" s="121">
        <f>IF($C250="","",IF($D250="Gider",$H250,$E250))</f>
        <v/>
      </c>
      <c r="N250" s="231">
        <f>IF($C250="","",DATE(YEAR($C250),MONTH($C250),1))</f>
        <v/>
      </c>
      <c r="O250" s="113">
        <f>IF($C250="","",IF(AND($D250&lt;&gt;"",$E250&lt;&gt;"",$G250&gt;0,$H250&lt;&gt;"",$I250&lt;&gt;""),IF($C250&gt;TODAY(),"İLERİ TARİH","UYGUN"),"EKSİK"))</f>
        <v/>
      </c>
      <c r="P250" s="6" t="n"/>
      <c r="Q250" s="6" t="n"/>
      <c r="R250" s="3" t="n"/>
      <c r="S250" s="3" t="n"/>
      <c r="T250" s="3" t="n"/>
      <c r="U250" s="3" t="n"/>
      <c r="V250" s="3" t="n"/>
      <c r="W250" s="3" t="n"/>
    </row>
    <row r="251">
      <c r="A251" s="6" t="n"/>
      <c r="B251" s="113">
        <f>IF($C251="","","GG"&amp;TEXT(ROW()-6,"00000"))</f>
        <v/>
      </c>
      <c r="C251" s="225" t="n"/>
      <c r="D251" s="108" t="n"/>
      <c r="E251" s="109" t="n"/>
      <c r="F251" s="109" t="n"/>
      <c r="G251" s="226" t="n"/>
      <c r="H251" s="108" t="n"/>
      <c r="I251" s="108" t="n"/>
      <c r="J251" s="109" t="n"/>
      <c r="K251" s="109" t="n"/>
      <c r="L251" s="121">
        <f>IF($C251="","",IF($D251="Gider",$E251,$H251))</f>
        <v/>
      </c>
      <c r="M251" s="121">
        <f>IF($C251="","",IF($D251="Gider",$H251,$E251))</f>
        <v/>
      </c>
      <c r="N251" s="231">
        <f>IF($C251="","",DATE(YEAR($C251),MONTH($C251),1))</f>
        <v/>
      </c>
      <c r="O251" s="113">
        <f>IF($C251="","",IF(AND($D251&lt;&gt;"",$E251&lt;&gt;"",$G251&gt;0,$H251&lt;&gt;"",$I251&lt;&gt;""),IF($C251&gt;TODAY(),"İLERİ TARİH","UYGUN"),"EKSİK"))</f>
        <v/>
      </c>
      <c r="P251" s="6" t="n"/>
      <c r="Q251" s="6" t="n"/>
      <c r="R251" s="3" t="n"/>
      <c r="S251" s="3" t="n"/>
      <c r="T251" s="3" t="n"/>
      <c r="U251" s="3" t="n"/>
      <c r="V251" s="3" t="n"/>
      <c r="W251" s="3" t="n"/>
    </row>
    <row r="252">
      <c r="A252" s="6" t="n"/>
      <c r="B252" s="113">
        <f>IF($C252="","","GG"&amp;TEXT(ROW()-6,"00000"))</f>
        <v/>
      </c>
      <c r="C252" s="225" t="n"/>
      <c r="D252" s="108" t="n"/>
      <c r="E252" s="109" t="n"/>
      <c r="F252" s="109" t="n"/>
      <c r="G252" s="226" t="n"/>
      <c r="H252" s="108" t="n"/>
      <c r="I252" s="108" t="n"/>
      <c r="J252" s="109" t="n"/>
      <c r="K252" s="109" t="n"/>
      <c r="L252" s="121">
        <f>IF($C252="","",IF($D252="Gider",$E252,$H252))</f>
        <v/>
      </c>
      <c r="M252" s="121">
        <f>IF($C252="","",IF($D252="Gider",$H252,$E252))</f>
        <v/>
      </c>
      <c r="N252" s="231">
        <f>IF($C252="","",DATE(YEAR($C252),MONTH($C252),1))</f>
        <v/>
      </c>
      <c r="O252" s="113">
        <f>IF($C252="","",IF(AND($D252&lt;&gt;"",$E252&lt;&gt;"",$G252&gt;0,$H252&lt;&gt;"",$I252&lt;&gt;""),IF($C252&gt;TODAY(),"İLERİ TARİH","UYGUN"),"EKSİK"))</f>
        <v/>
      </c>
      <c r="P252" s="6" t="n"/>
      <c r="Q252" s="6" t="n"/>
      <c r="R252" s="3" t="n"/>
      <c r="S252" s="3" t="n"/>
      <c r="T252" s="3" t="n"/>
      <c r="U252" s="3" t="n"/>
      <c r="V252" s="3" t="n"/>
      <c r="W252" s="3" t="n"/>
    </row>
    <row r="253">
      <c r="A253" s="6" t="n"/>
      <c r="B253" s="113">
        <f>IF($C253="","","GG"&amp;TEXT(ROW()-6,"00000"))</f>
        <v/>
      </c>
      <c r="C253" s="225" t="n"/>
      <c r="D253" s="108" t="n"/>
      <c r="E253" s="109" t="n"/>
      <c r="F253" s="109" t="n"/>
      <c r="G253" s="226" t="n"/>
      <c r="H253" s="108" t="n"/>
      <c r="I253" s="108" t="n"/>
      <c r="J253" s="109" t="n"/>
      <c r="K253" s="109" t="n"/>
      <c r="L253" s="121">
        <f>IF($C253="","",IF($D253="Gider",$E253,$H253))</f>
        <v/>
      </c>
      <c r="M253" s="121">
        <f>IF($C253="","",IF($D253="Gider",$H253,$E253))</f>
        <v/>
      </c>
      <c r="N253" s="231">
        <f>IF($C253="","",DATE(YEAR($C253),MONTH($C253),1))</f>
        <v/>
      </c>
      <c r="O253" s="113">
        <f>IF($C253="","",IF(AND($D253&lt;&gt;"",$E253&lt;&gt;"",$G253&gt;0,$H253&lt;&gt;"",$I253&lt;&gt;""),IF($C253&gt;TODAY(),"İLERİ TARİH","UYGUN"),"EKSİK"))</f>
        <v/>
      </c>
      <c r="P253" s="6" t="n"/>
      <c r="Q253" s="6" t="n"/>
      <c r="R253" s="3" t="n"/>
      <c r="S253" s="3" t="n"/>
      <c r="T253" s="3" t="n"/>
      <c r="U253" s="3" t="n"/>
      <c r="V253" s="3" t="n"/>
      <c r="W253" s="3" t="n"/>
    </row>
    <row r="254">
      <c r="A254" s="6" t="n"/>
      <c r="B254" s="113">
        <f>IF($C254="","","GG"&amp;TEXT(ROW()-6,"00000"))</f>
        <v/>
      </c>
      <c r="C254" s="225" t="n"/>
      <c r="D254" s="108" t="n"/>
      <c r="E254" s="109" t="n"/>
      <c r="F254" s="109" t="n"/>
      <c r="G254" s="226" t="n"/>
      <c r="H254" s="108" t="n"/>
      <c r="I254" s="108" t="n"/>
      <c r="J254" s="109" t="n"/>
      <c r="K254" s="109" t="n"/>
      <c r="L254" s="121">
        <f>IF($C254="","",IF($D254="Gider",$E254,$H254))</f>
        <v/>
      </c>
      <c r="M254" s="121">
        <f>IF($C254="","",IF($D254="Gider",$H254,$E254))</f>
        <v/>
      </c>
      <c r="N254" s="231">
        <f>IF($C254="","",DATE(YEAR($C254),MONTH($C254),1))</f>
        <v/>
      </c>
      <c r="O254" s="113">
        <f>IF($C254="","",IF(AND($D254&lt;&gt;"",$E254&lt;&gt;"",$G254&gt;0,$H254&lt;&gt;"",$I254&lt;&gt;""),IF($C254&gt;TODAY(),"İLERİ TARİH","UYGUN"),"EKSİK"))</f>
        <v/>
      </c>
      <c r="P254" s="6" t="n"/>
      <c r="Q254" s="6" t="n"/>
      <c r="R254" s="3" t="n"/>
      <c r="S254" s="3" t="n"/>
      <c r="T254" s="3" t="n"/>
      <c r="U254" s="3" t="n"/>
      <c r="V254" s="3" t="n"/>
      <c r="W254" s="3" t="n"/>
    </row>
    <row r="255">
      <c r="A255" s="6" t="n"/>
      <c r="B255" s="113">
        <f>IF($C255="","","GG"&amp;TEXT(ROW()-6,"00000"))</f>
        <v/>
      </c>
      <c r="C255" s="225" t="n"/>
      <c r="D255" s="108" t="n"/>
      <c r="E255" s="109" t="n"/>
      <c r="F255" s="109" t="n"/>
      <c r="G255" s="226" t="n"/>
      <c r="H255" s="108" t="n"/>
      <c r="I255" s="108" t="n"/>
      <c r="J255" s="109" t="n"/>
      <c r="K255" s="109" t="n"/>
      <c r="L255" s="121">
        <f>IF($C255="","",IF($D255="Gider",$E255,$H255))</f>
        <v/>
      </c>
      <c r="M255" s="121">
        <f>IF($C255="","",IF($D255="Gider",$H255,$E255))</f>
        <v/>
      </c>
      <c r="N255" s="231">
        <f>IF($C255="","",DATE(YEAR($C255),MONTH($C255),1))</f>
        <v/>
      </c>
      <c r="O255" s="113">
        <f>IF($C255="","",IF(AND($D255&lt;&gt;"",$E255&lt;&gt;"",$G255&gt;0,$H255&lt;&gt;"",$I255&lt;&gt;""),IF($C255&gt;TODAY(),"İLERİ TARİH","UYGUN"),"EKSİK"))</f>
        <v/>
      </c>
      <c r="P255" s="6" t="n"/>
      <c r="Q255" s="6" t="n"/>
      <c r="R255" s="3" t="n"/>
      <c r="S255" s="3" t="n"/>
      <c r="T255" s="3" t="n"/>
      <c r="U255" s="3" t="n"/>
      <c r="V255" s="3" t="n"/>
      <c r="W255" s="3" t="n"/>
    </row>
    <row r="256">
      <c r="A256" s="6" t="n"/>
      <c r="B256" s="113">
        <f>IF($C256="","","GG"&amp;TEXT(ROW()-6,"00000"))</f>
        <v/>
      </c>
      <c r="C256" s="225" t="n"/>
      <c r="D256" s="108" t="n"/>
      <c r="E256" s="109" t="n"/>
      <c r="F256" s="109" t="n"/>
      <c r="G256" s="226" t="n"/>
      <c r="H256" s="108" t="n"/>
      <c r="I256" s="108" t="n"/>
      <c r="J256" s="109" t="n"/>
      <c r="K256" s="109" t="n"/>
      <c r="L256" s="121">
        <f>IF($C256="","",IF($D256="Gider",$E256,$H256))</f>
        <v/>
      </c>
      <c r="M256" s="121">
        <f>IF($C256="","",IF($D256="Gider",$H256,$E256))</f>
        <v/>
      </c>
      <c r="N256" s="231">
        <f>IF($C256="","",DATE(YEAR($C256),MONTH($C256),1))</f>
        <v/>
      </c>
      <c r="O256" s="113">
        <f>IF($C256="","",IF(AND($D256&lt;&gt;"",$E256&lt;&gt;"",$G256&gt;0,$H256&lt;&gt;"",$I256&lt;&gt;""),IF($C256&gt;TODAY(),"İLERİ TARİH","UYGUN"),"EKSİK"))</f>
        <v/>
      </c>
      <c r="P256" s="6" t="n"/>
      <c r="Q256" s="6" t="n"/>
      <c r="R256" s="3" t="n"/>
      <c r="S256" s="3" t="n"/>
      <c r="T256" s="3" t="n"/>
      <c r="U256" s="3" t="n"/>
      <c r="V256" s="3" t="n"/>
      <c r="W256" s="3" t="n"/>
    </row>
    <row r="257">
      <c r="A257" s="6" t="n"/>
      <c r="B257" s="113">
        <f>IF($C257="","","GG"&amp;TEXT(ROW()-6,"00000"))</f>
        <v/>
      </c>
      <c r="C257" s="225" t="n"/>
      <c r="D257" s="108" t="n"/>
      <c r="E257" s="109" t="n"/>
      <c r="F257" s="109" t="n"/>
      <c r="G257" s="226" t="n"/>
      <c r="H257" s="108" t="n"/>
      <c r="I257" s="108" t="n"/>
      <c r="J257" s="109" t="n"/>
      <c r="K257" s="109" t="n"/>
      <c r="L257" s="121">
        <f>IF($C257="","",IF($D257="Gider",$E257,$H257))</f>
        <v/>
      </c>
      <c r="M257" s="121">
        <f>IF($C257="","",IF($D257="Gider",$H257,$E257))</f>
        <v/>
      </c>
      <c r="N257" s="231">
        <f>IF($C257="","",DATE(YEAR($C257),MONTH($C257),1))</f>
        <v/>
      </c>
      <c r="O257" s="113">
        <f>IF($C257="","",IF(AND($D257&lt;&gt;"",$E257&lt;&gt;"",$G257&gt;0,$H257&lt;&gt;"",$I257&lt;&gt;""),IF($C257&gt;TODAY(),"İLERİ TARİH","UYGUN"),"EKSİK"))</f>
        <v/>
      </c>
      <c r="P257" s="6" t="n"/>
      <c r="Q257" s="6" t="n"/>
      <c r="R257" s="3" t="n"/>
      <c r="S257" s="3" t="n"/>
      <c r="T257" s="3" t="n"/>
      <c r="U257" s="3" t="n"/>
      <c r="V257" s="3" t="n"/>
      <c r="W257" s="3" t="n"/>
    </row>
    <row r="258">
      <c r="A258" s="6" t="n"/>
      <c r="B258" s="113">
        <f>IF($C258="","","GG"&amp;TEXT(ROW()-6,"00000"))</f>
        <v/>
      </c>
      <c r="C258" s="225" t="n"/>
      <c r="D258" s="108" t="n"/>
      <c r="E258" s="109" t="n"/>
      <c r="F258" s="109" t="n"/>
      <c r="G258" s="226" t="n"/>
      <c r="H258" s="108" t="n"/>
      <c r="I258" s="108" t="n"/>
      <c r="J258" s="109" t="n"/>
      <c r="K258" s="109" t="n"/>
      <c r="L258" s="121">
        <f>IF($C258="","",IF($D258="Gider",$E258,$H258))</f>
        <v/>
      </c>
      <c r="M258" s="121">
        <f>IF($C258="","",IF($D258="Gider",$H258,$E258))</f>
        <v/>
      </c>
      <c r="N258" s="231">
        <f>IF($C258="","",DATE(YEAR($C258),MONTH($C258),1))</f>
        <v/>
      </c>
      <c r="O258" s="113">
        <f>IF($C258="","",IF(AND($D258&lt;&gt;"",$E258&lt;&gt;"",$G258&gt;0,$H258&lt;&gt;"",$I258&lt;&gt;""),IF($C258&gt;TODAY(),"İLERİ TARİH","UYGUN"),"EKSİK"))</f>
        <v/>
      </c>
      <c r="P258" s="6" t="n"/>
      <c r="Q258" s="6" t="n"/>
      <c r="R258" s="3" t="n"/>
      <c r="S258" s="3" t="n"/>
      <c r="T258" s="3" t="n"/>
      <c r="U258" s="3" t="n"/>
      <c r="V258" s="3" t="n"/>
      <c r="W258" s="3" t="n"/>
    </row>
    <row r="259">
      <c r="A259" s="6" t="n"/>
      <c r="B259" s="113">
        <f>IF($C259="","","GG"&amp;TEXT(ROW()-6,"00000"))</f>
        <v/>
      </c>
      <c r="C259" s="225" t="n"/>
      <c r="D259" s="108" t="n"/>
      <c r="E259" s="109" t="n"/>
      <c r="F259" s="109" t="n"/>
      <c r="G259" s="226" t="n"/>
      <c r="H259" s="108" t="n"/>
      <c r="I259" s="108" t="n"/>
      <c r="J259" s="109" t="n"/>
      <c r="K259" s="109" t="n"/>
      <c r="L259" s="121">
        <f>IF($C259="","",IF($D259="Gider",$E259,$H259))</f>
        <v/>
      </c>
      <c r="M259" s="121">
        <f>IF($C259="","",IF($D259="Gider",$H259,$E259))</f>
        <v/>
      </c>
      <c r="N259" s="231">
        <f>IF($C259="","",DATE(YEAR($C259),MONTH($C259),1))</f>
        <v/>
      </c>
      <c r="O259" s="113">
        <f>IF($C259="","",IF(AND($D259&lt;&gt;"",$E259&lt;&gt;"",$G259&gt;0,$H259&lt;&gt;"",$I259&lt;&gt;""),IF($C259&gt;TODAY(),"İLERİ TARİH","UYGUN"),"EKSİK"))</f>
        <v/>
      </c>
      <c r="P259" s="6" t="n"/>
      <c r="Q259" s="6" t="n"/>
      <c r="R259" s="3" t="n"/>
      <c r="S259" s="3" t="n"/>
      <c r="T259" s="3" t="n"/>
      <c r="U259" s="3" t="n"/>
      <c r="V259" s="3" t="n"/>
      <c r="W259" s="3" t="n"/>
    </row>
    <row r="260">
      <c r="A260" s="6" t="n"/>
      <c r="B260" s="113">
        <f>IF($C260="","","GG"&amp;TEXT(ROW()-6,"00000"))</f>
        <v/>
      </c>
      <c r="C260" s="225" t="n"/>
      <c r="D260" s="108" t="n"/>
      <c r="E260" s="109" t="n"/>
      <c r="F260" s="109" t="n"/>
      <c r="G260" s="226" t="n"/>
      <c r="H260" s="108" t="n"/>
      <c r="I260" s="108" t="n"/>
      <c r="J260" s="109" t="n"/>
      <c r="K260" s="109" t="n"/>
      <c r="L260" s="121">
        <f>IF($C260="","",IF($D260="Gider",$E260,$H260))</f>
        <v/>
      </c>
      <c r="M260" s="121">
        <f>IF($C260="","",IF($D260="Gider",$H260,$E260))</f>
        <v/>
      </c>
      <c r="N260" s="231">
        <f>IF($C260="","",DATE(YEAR($C260),MONTH($C260),1))</f>
        <v/>
      </c>
      <c r="O260" s="113">
        <f>IF($C260="","",IF(AND($D260&lt;&gt;"",$E260&lt;&gt;"",$G260&gt;0,$H260&lt;&gt;"",$I260&lt;&gt;""),IF($C260&gt;TODAY(),"İLERİ TARİH","UYGUN"),"EKSİK"))</f>
        <v/>
      </c>
      <c r="P260" s="6" t="n"/>
      <c r="Q260" s="6" t="n"/>
      <c r="R260" s="3" t="n"/>
      <c r="S260" s="3" t="n"/>
      <c r="T260" s="3" t="n"/>
      <c r="U260" s="3" t="n"/>
      <c r="V260" s="3" t="n"/>
      <c r="W260" s="3" t="n"/>
    </row>
    <row r="261">
      <c r="A261" s="6" t="n"/>
      <c r="B261" s="113">
        <f>IF($C261="","","GG"&amp;TEXT(ROW()-6,"00000"))</f>
        <v/>
      </c>
      <c r="C261" s="225" t="n"/>
      <c r="D261" s="108" t="n"/>
      <c r="E261" s="109" t="n"/>
      <c r="F261" s="109" t="n"/>
      <c r="G261" s="226" t="n"/>
      <c r="H261" s="108" t="n"/>
      <c r="I261" s="108" t="n"/>
      <c r="J261" s="109" t="n"/>
      <c r="K261" s="109" t="n"/>
      <c r="L261" s="121">
        <f>IF($C261="","",IF($D261="Gider",$E261,$H261))</f>
        <v/>
      </c>
      <c r="M261" s="121">
        <f>IF($C261="","",IF($D261="Gider",$H261,$E261))</f>
        <v/>
      </c>
      <c r="N261" s="231">
        <f>IF($C261="","",DATE(YEAR($C261),MONTH($C261),1))</f>
        <v/>
      </c>
      <c r="O261" s="113">
        <f>IF($C261="","",IF(AND($D261&lt;&gt;"",$E261&lt;&gt;"",$G261&gt;0,$H261&lt;&gt;"",$I261&lt;&gt;""),IF($C261&gt;TODAY(),"İLERİ TARİH","UYGUN"),"EKSİK"))</f>
        <v/>
      </c>
      <c r="P261" s="6" t="n"/>
      <c r="Q261" s="6" t="n"/>
      <c r="R261" s="3" t="n"/>
      <c r="S261" s="3" t="n"/>
      <c r="T261" s="3" t="n"/>
      <c r="U261" s="3" t="n"/>
      <c r="V261" s="3" t="n"/>
      <c r="W261" s="3" t="n"/>
    </row>
    <row r="262">
      <c r="A262" s="6" t="n"/>
      <c r="B262" s="113">
        <f>IF($C262="","","GG"&amp;TEXT(ROW()-6,"00000"))</f>
        <v/>
      </c>
      <c r="C262" s="225" t="n"/>
      <c r="D262" s="108" t="n"/>
      <c r="E262" s="109" t="n"/>
      <c r="F262" s="109" t="n"/>
      <c r="G262" s="226" t="n"/>
      <c r="H262" s="108" t="n"/>
      <c r="I262" s="108" t="n"/>
      <c r="J262" s="109" t="n"/>
      <c r="K262" s="109" t="n"/>
      <c r="L262" s="121">
        <f>IF($C262="","",IF($D262="Gider",$E262,$H262))</f>
        <v/>
      </c>
      <c r="M262" s="121">
        <f>IF($C262="","",IF($D262="Gider",$H262,$E262))</f>
        <v/>
      </c>
      <c r="N262" s="231">
        <f>IF($C262="","",DATE(YEAR($C262),MONTH($C262),1))</f>
        <v/>
      </c>
      <c r="O262" s="113">
        <f>IF($C262="","",IF(AND($D262&lt;&gt;"",$E262&lt;&gt;"",$G262&gt;0,$H262&lt;&gt;"",$I262&lt;&gt;""),IF($C262&gt;TODAY(),"İLERİ TARİH","UYGUN"),"EKSİK"))</f>
        <v/>
      </c>
      <c r="P262" s="6" t="n"/>
      <c r="Q262" s="6" t="n"/>
      <c r="R262" s="3" t="n"/>
      <c r="S262" s="3" t="n"/>
      <c r="T262" s="3" t="n"/>
      <c r="U262" s="3" t="n"/>
      <c r="V262" s="3" t="n"/>
      <c r="W262" s="3" t="n"/>
    </row>
    <row r="263">
      <c r="A263" s="6" t="n"/>
      <c r="B263" s="113">
        <f>IF($C263="","","GG"&amp;TEXT(ROW()-6,"00000"))</f>
        <v/>
      </c>
      <c r="C263" s="225" t="n"/>
      <c r="D263" s="108" t="n"/>
      <c r="E263" s="109" t="n"/>
      <c r="F263" s="109" t="n"/>
      <c r="G263" s="226" t="n"/>
      <c r="H263" s="108" t="n"/>
      <c r="I263" s="108" t="n"/>
      <c r="J263" s="109" t="n"/>
      <c r="K263" s="109" t="n"/>
      <c r="L263" s="121">
        <f>IF($C263="","",IF($D263="Gider",$E263,$H263))</f>
        <v/>
      </c>
      <c r="M263" s="121">
        <f>IF($C263="","",IF($D263="Gider",$H263,$E263))</f>
        <v/>
      </c>
      <c r="N263" s="231">
        <f>IF($C263="","",DATE(YEAR($C263),MONTH($C263),1))</f>
        <v/>
      </c>
      <c r="O263" s="113">
        <f>IF($C263="","",IF(AND($D263&lt;&gt;"",$E263&lt;&gt;"",$G263&gt;0,$H263&lt;&gt;"",$I263&lt;&gt;""),IF($C263&gt;TODAY(),"İLERİ TARİH","UYGUN"),"EKSİK"))</f>
        <v/>
      </c>
      <c r="P263" s="6" t="n"/>
      <c r="Q263" s="6" t="n"/>
      <c r="R263" s="3" t="n"/>
      <c r="S263" s="3" t="n"/>
      <c r="T263" s="3" t="n"/>
      <c r="U263" s="3" t="n"/>
      <c r="V263" s="3" t="n"/>
      <c r="W263" s="3" t="n"/>
    </row>
    <row r="264">
      <c r="A264" s="6" t="n"/>
      <c r="B264" s="113">
        <f>IF($C264="","","GG"&amp;TEXT(ROW()-6,"00000"))</f>
        <v/>
      </c>
      <c r="C264" s="225" t="n"/>
      <c r="D264" s="108" t="n"/>
      <c r="E264" s="109" t="n"/>
      <c r="F264" s="109" t="n"/>
      <c r="G264" s="226" t="n"/>
      <c r="H264" s="108" t="n"/>
      <c r="I264" s="108" t="n"/>
      <c r="J264" s="109" t="n"/>
      <c r="K264" s="109" t="n"/>
      <c r="L264" s="121">
        <f>IF($C264="","",IF($D264="Gider",$E264,$H264))</f>
        <v/>
      </c>
      <c r="M264" s="121">
        <f>IF($C264="","",IF($D264="Gider",$H264,$E264))</f>
        <v/>
      </c>
      <c r="N264" s="231">
        <f>IF($C264="","",DATE(YEAR($C264),MONTH($C264),1))</f>
        <v/>
      </c>
      <c r="O264" s="113">
        <f>IF($C264="","",IF(AND($D264&lt;&gt;"",$E264&lt;&gt;"",$G264&gt;0,$H264&lt;&gt;"",$I264&lt;&gt;""),IF($C264&gt;TODAY(),"İLERİ TARİH","UYGUN"),"EKSİK"))</f>
        <v/>
      </c>
      <c r="P264" s="6" t="n"/>
      <c r="Q264" s="6" t="n"/>
      <c r="R264" s="3" t="n"/>
      <c r="S264" s="3" t="n"/>
      <c r="T264" s="3" t="n"/>
      <c r="U264" s="3" t="n"/>
      <c r="V264" s="3" t="n"/>
      <c r="W264" s="3" t="n"/>
    </row>
    <row r="265">
      <c r="A265" s="6" t="n"/>
      <c r="B265" s="113">
        <f>IF($C265="","","GG"&amp;TEXT(ROW()-6,"00000"))</f>
        <v/>
      </c>
      <c r="C265" s="225" t="n"/>
      <c r="D265" s="108" t="n"/>
      <c r="E265" s="109" t="n"/>
      <c r="F265" s="109" t="n"/>
      <c r="G265" s="226" t="n"/>
      <c r="H265" s="108" t="n"/>
      <c r="I265" s="108" t="n"/>
      <c r="J265" s="109" t="n"/>
      <c r="K265" s="109" t="n"/>
      <c r="L265" s="121">
        <f>IF($C265="","",IF($D265="Gider",$E265,$H265))</f>
        <v/>
      </c>
      <c r="M265" s="121">
        <f>IF($C265="","",IF($D265="Gider",$H265,$E265))</f>
        <v/>
      </c>
      <c r="N265" s="231">
        <f>IF($C265="","",DATE(YEAR($C265),MONTH($C265),1))</f>
        <v/>
      </c>
      <c r="O265" s="113">
        <f>IF($C265="","",IF(AND($D265&lt;&gt;"",$E265&lt;&gt;"",$G265&gt;0,$H265&lt;&gt;"",$I265&lt;&gt;""),IF($C265&gt;TODAY(),"İLERİ TARİH","UYGUN"),"EKSİK"))</f>
        <v/>
      </c>
      <c r="P265" s="6" t="n"/>
      <c r="Q265" s="6" t="n"/>
      <c r="R265" s="3" t="n"/>
      <c r="S265" s="3" t="n"/>
      <c r="T265" s="3" t="n"/>
      <c r="U265" s="3" t="n"/>
      <c r="V265" s="3" t="n"/>
      <c r="W265" s="3" t="n"/>
    </row>
    <row r="266">
      <c r="A266" s="6" t="n"/>
      <c r="B266" s="113">
        <f>IF($C266="","","GG"&amp;TEXT(ROW()-6,"00000"))</f>
        <v/>
      </c>
      <c r="C266" s="225" t="n"/>
      <c r="D266" s="108" t="n"/>
      <c r="E266" s="109" t="n"/>
      <c r="F266" s="109" t="n"/>
      <c r="G266" s="226" t="n"/>
      <c r="H266" s="108" t="n"/>
      <c r="I266" s="108" t="n"/>
      <c r="J266" s="109" t="n"/>
      <c r="K266" s="109" t="n"/>
      <c r="L266" s="121">
        <f>IF($C266="","",IF($D266="Gider",$E266,$H266))</f>
        <v/>
      </c>
      <c r="M266" s="121">
        <f>IF($C266="","",IF($D266="Gider",$H266,$E266))</f>
        <v/>
      </c>
      <c r="N266" s="231">
        <f>IF($C266="","",DATE(YEAR($C266),MONTH($C266),1))</f>
        <v/>
      </c>
      <c r="O266" s="113">
        <f>IF($C266="","",IF(AND($D266&lt;&gt;"",$E266&lt;&gt;"",$G266&gt;0,$H266&lt;&gt;"",$I266&lt;&gt;""),IF($C266&gt;TODAY(),"İLERİ TARİH","UYGUN"),"EKSİK"))</f>
        <v/>
      </c>
      <c r="P266" s="6" t="n"/>
      <c r="Q266" s="6" t="n"/>
      <c r="R266" s="3" t="n"/>
      <c r="S266" s="3" t="n"/>
      <c r="T266" s="3" t="n"/>
      <c r="U266" s="3" t="n"/>
      <c r="V266" s="3" t="n"/>
      <c r="W266" s="3" t="n"/>
    </row>
    <row r="267">
      <c r="A267" s="6" t="n"/>
      <c r="B267" s="113">
        <f>IF($C267="","","GG"&amp;TEXT(ROW()-6,"00000"))</f>
        <v/>
      </c>
      <c r="C267" s="225" t="n"/>
      <c r="D267" s="108" t="n"/>
      <c r="E267" s="109" t="n"/>
      <c r="F267" s="109" t="n"/>
      <c r="G267" s="226" t="n"/>
      <c r="H267" s="108" t="n"/>
      <c r="I267" s="108" t="n"/>
      <c r="J267" s="109" t="n"/>
      <c r="K267" s="109" t="n"/>
      <c r="L267" s="121">
        <f>IF($C267="","",IF($D267="Gider",$E267,$H267))</f>
        <v/>
      </c>
      <c r="M267" s="121">
        <f>IF($C267="","",IF($D267="Gider",$H267,$E267))</f>
        <v/>
      </c>
      <c r="N267" s="231">
        <f>IF($C267="","",DATE(YEAR($C267),MONTH($C267),1))</f>
        <v/>
      </c>
      <c r="O267" s="113">
        <f>IF($C267="","",IF(AND($D267&lt;&gt;"",$E267&lt;&gt;"",$G267&gt;0,$H267&lt;&gt;"",$I267&lt;&gt;""),IF($C267&gt;TODAY(),"İLERİ TARİH","UYGUN"),"EKSİK"))</f>
        <v/>
      </c>
      <c r="P267" s="6" t="n"/>
      <c r="Q267" s="6" t="n"/>
      <c r="R267" s="3" t="n"/>
      <c r="S267" s="3" t="n"/>
      <c r="T267" s="3" t="n"/>
      <c r="U267" s="3" t="n"/>
      <c r="V267" s="3" t="n"/>
      <c r="W267" s="3" t="n"/>
    </row>
    <row r="268">
      <c r="A268" s="6" t="n"/>
      <c r="B268" s="113">
        <f>IF($C268="","","GG"&amp;TEXT(ROW()-6,"00000"))</f>
        <v/>
      </c>
      <c r="C268" s="225" t="n"/>
      <c r="D268" s="108" t="n"/>
      <c r="E268" s="109" t="n"/>
      <c r="F268" s="109" t="n"/>
      <c r="G268" s="226" t="n"/>
      <c r="H268" s="108" t="n"/>
      <c r="I268" s="108" t="n"/>
      <c r="J268" s="109" t="n"/>
      <c r="K268" s="109" t="n"/>
      <c r="L268" s="121">
        <f>IF($C268="","",IF($D268="Gider",$E268,$H268))</f>
        <v/>
      </c>
      <c r="M268" s="121">
        <f>IF($C268="","",IF($D268="Gider",$H268,$E268))</f>
        <v/>
      </c>
      <c r="N268" s="231">
        <f>IF($C268="","",DATE(YEAR($C268),MONTH($C268),1))</f>
        <v/>
      </c>
      <c r="O268" s="113">
        <f>IF($C268="","",IF(AND($D268&lt;&gt;"",$E268&lt;&gt;"",$G268&gt;0,$H268&lt;&gt;"",$I268&lt;&gt;""),IF($C268&gt;TODAY(),"İLERİ TARİH","UYGUN"),"EKSİK"))</f>
        <v/>
      </c>
      <c r="P268" s="6" t="n"/>
      <c r="Q268" s="6" t="n"/>
      <c r="R268" s="3" t="n"/>
      <c r="S268" s="3" t="n"/>
      <c r="T268" s="3" t="n"/>
      <c r="U268" s="3" t="n"/>
      <c r="V268" s="3" t="n"/>
      <c r="W268" s="3" t="n"/>
    </row>
    <row r="269">
      <c r="A269" s="6" t="n"/>
      <c r="B269" s="113">
        <f>IF($C269="","","GG"&amp;TEXT(ROW()-6,"00000"))</f>
        <v/>
      </c>
      <c r="C269" s="225" t="n"/>
      <c r="D269" s="108" t="n"/>
      <c r="E269" s="109" t="n"/>
      <c r="F269" s="109" t="n"/>
      <c r="G269" s="226" t="n"/>
      <c r="H269" s="108" t="n"/>
      <c r="I269" s="108" t="n"/>
      <c r="J269" s="109" t="n"/>
      <c r="K269" s="109" t="n"/>
      <c r="L269" s="121">
        <f>IF($C269="","",IF($D269="Gider",$E269,$H269))</f>
        <v/>
      </c>
      <c r="M269" s="121">
        <f>IF($C269="","",IF($D269="Gider",$H269,$E269))</f>
        <v/>
      </c>
      <c r="N269" s="231">
        <f>IF($C269="","",DATE(YEAR($C269),MONTH($C269),1))</f>
        <v/>
      </c>
      <c r="O269" s="113">
        <f>IF($C269="","",IF(AND($D269&lt;&gt;"",$E269&lt;&gt;"",$G269&gt;0,$H269&lt;&gt;"",$I269&lt;&gt;""),IF($C269&gt;TODAY(),"İLERİ TARİH","UYGUN"),"EKSİK"))</f>
        <v/>
      </c>
      <c r="P269" s="6" t="n"/>
      <c r="Q269" s="6" t="n"/>
      <c r="R269" s="3" t="n"/>
      <c r="S269" s="3" t="n"/>
      <c r="T269" s="3" t="n"/>
      <c r="U269" s="3" t="n"/>
      <c r="V269" s="3" t="n"/>
      <c r="W269" s="3" t="n"/>
    </row>
    <row r="270">
      <c r="A270" s="6" t="n"/>
      <c r="B270" s="113">
        <f>IF($C270="","","GG"&amp;TEXT(ROW()-6,"00000"))</f>
        <v/>
      </c>
      <c r="C270" s="225" t="n"/>
      <c r="D270" s="108" t="n"/>
      <c r="E270" s="109" t="n"/>
      <c r="F270" s="109" t="n"/>
      <c r="G270" s="226" t="n"/>
      <c r="H270" s="108" t="n"/>
      <c r="I270" s="108" t="n"/>
      <c r="J270" s="109" t="n"/>
      <c r="K270" s="109" t="n"/>
      <c r="L270" s="121">
        <f>IF($C270="","",IF($D270="Gider",$E270,$H270))</f>
        <v/>
      </c>
      <c r="M270" s="121">
        <f>IF($C270="","",IF($D270="Gider",$H270,$E270))</f>
        <v/>
      </c>
      <c r="N270" s="231">
        <f>IF($C270="","",DATE(YEAR($C270),MONTH($C270),1))</f>
        <v/>
      </c>
      <c r="O270" s="113">
        <f>IF($C270="","",IF(AND($D270&lt;&gt;"",$E270&lt;&gt;"",$G270&gt;0,$H270&lt;&gt;"",$I270&lt;&gt;""),IF($C270&gt;TODAY(),"İLERİ TARİH","UYGUN"),"EKSİK"))</f>
        <v/>
      </c>
      <c r="P270" s="6" t="n"/>
      <c r="Q270" s="6" t="n"/>
      <c r="R270" s="3" t="n"/>
      <c r="S270" s="3" t="n"/>
      <c r="T270" s="3" t="n"/>
      <c r="U270" s="3" t="n"/>
      <c r="V270" s="3" t="n"/>
      <c r="W270" s="3" t="n"/>
    </row>
    <row r="271">
      <c r="A271" s="6" t="n"/>
      <c r="B271" s="113">
        <f>IF($C271="","","GG"&amp;TEXT(ROW()-6,"00000"))</f>
        <v/>
      </c>
      <c r="C271" s="225" t="n"/>
      <c r="D271" s="108" t="n"/>
      <c r="E271" s="109" t="n"/>
      <c r="F271" s="109" t="n"/>
      <c r="G271" s="226" t="n"/>
      <c r="H271" s="108" t="n"/>
      <c r="I271" s="108" t="n"/>
      <c r="J271" s="109" t="n"/>
      <c r="K271" s="109" t="n"/>
      <c r="L271" s="121">
        <f>IF($C271="","",IF($D271="Gider",$E271,$H271))</f>
        <v/>
      </c>
      <c r="M271" s="121">
        <f>IF($C271="","",IF($D271="Gider",$H271,$E271))</f>
        <v/>
      </c>
      <c r="N271" s="231">
        <f>IF($C271="","",DATE(YEAR($C271),MONTH($C271),1))</f>
        <v/>
      </c>
      <c r="O271" s="113">
        <f>IF($C271="","",IF(AND($D271&lt;&gt;"",$E271&lt;&gt;"",$G271&gt;0,$H271&lt;&gt;"",$I271&lt;&gt;""),IF($C271&gt;TODAY(),"İLERİ TARİH","UYGUN"),"EKSİK"))</f>
        <v/>
      </c>
      <c r="P271" s="6" t="n"/>
      <c r="Q271" s="6" t="n"/>
      <c r="R271" s="3" t="n"/>
      <c r="S271" s="3" t="n"/>
      <c r="T271" s="3" t="n"/>
      <c r="U271" s="3" t="n"/>
      <c r="V271" s="3" t="n"/>
      <c r="W271" s="3" t="n"/>
    </row>
    <row r="272">
      <c r="A272" s="6" t="n"/>
      <c r="B272" s="113">
        <f>IF($C272="","","GG"&amp;TEXT(ROW()-6,"00000"))</f>
        <v/>
      </c>
      <c r="C272" s="225" t="n"/>
      <c r="D272" s="108" t="n"/>
      <c r="E272" s="109" t="n"/>
      <c r="F272" s="109" t="n"/>
      <c r="G272" s="226" t="n"/>
      <c r="H272" s="108" t="n"/>
      <c r="I272" s="108" t="n"/>
      <c r="J272" s="109" t="n"/>
      <c r="K272" s="109" t="n"/>
      <c r="L272" s="121">
        <f>IF($C272="","",IF($D272="Gider",$E272,$H272))</f>
        <v/>
      </c>
      <c r="M272" s="121">
        <f>IF($C272="","",IF($D272="Gider",$H272,$E272))</f>
        <v/>
      </c>
      <c r="N272" s="231">
        <f>IF($C272="","",DATE(YEAR($C272),MONTH($C272),1))</f>
        <v/>
      </c>
      <c r="O272" s="113">
        <f>IF($C272="","",IF(AND($D272&lt;&gt;"",$E272&lt;&gt;"",$G272&gt;0,$H272&lt;&gt;"",$I272&lt;&gt;""),IF($C272&gt;TODAY(),"İLERİ TARİH","UYGUN"),"EKSİK"))</f>
        <v/>
      </c>
      <c r="P272" s="6" t="n"/>
      <c r="Q272" s="6" t="n"/>
      <c r="R272" s="3" t="n"/>
      <c r="S272" s="3" t="n"/>
      <c r="T272" s="3" t="n"/>
      <c r="U272" s="3" t="n"/>
      <c r="V272" s="3" t="n"/>
      <c r="W272" s="3" t="n"/>
    </row>
    <row r="273">
      <c r="A273" s="6" t="n"/>
      <c r="B273" s="113">
        <f>IF($C273="","","GG"&amp;TEXT(ROW()-6,"00000"))</f>
        <v/>
      </c>
      <c r="C273" s="225" t="n"/>
      <c r="D273" s="108" t="n"/>
      <c r="E273" s="109" t="n"/>
      <c r="F273" s="109" t="n"/>
      <c r="G273" s="226" t="n"/>
      <c r="H273" s="108" t="n"/>
      <c r="I273" s="108" t="n"/>
      <c r="J273" s="109" t="n"/>
      <c r="K273" s="109" t="n"/>
      <c r="L273" s="121">
        <f>IF($C273="","",IF($D273="Gider",$E273,$H273))</f>
        <v/>
      </c>
      <c r="M273" s="121">
        <f>IF($C273="","",IF($D273="Gider",$H273,$E273))</f>
        <v/>
      </c>
      <c r="N273" s="231">
        <f>IF($C273="","",DATE(YEAR($C273),MONTH($C273),1))</f>
        <v/>
      </c>
      <c r="O273" s="113">
        <f>IF($C273="","",IF(AND($D273&lt;&gt;"",$E273&lt;&gt;"",$G273&gt;0,$H273&lt;&gt;"",$I273&lt;&gt;""),IF($C273&gt;TODAY(),"İLERİ TARİH","UYGUN"),"EKSİK"))</f>
        <v/>
      </c>
      <c r="P273" s="6" t="n"/>
      <c r="Q273" s="6" t="n"/>
      <c r="R273" s="3" t="n"/>
      <c r="S273" s="3" t="n"/>
      <c r="T273" s="3" t="n"/>
      <c r="U273" s="3" t="n"/>
      <c r="V273" s="3" t="n"/>
      <c r="W273" s="3" t="n"/>
    </row>
    <row r="274">
      <c r="A274" s="6" t="n"/>
      <c r="B274" s="113">
        <f>IF($C274="","","GG"&amp;TEXT(ROW()-6,"00000"))</f>
        <v/>
      </c>
      <c r="C274" s="225" t="n"/>
      <c r="D274" s="108" t="n"/>
      <c r="E274" s="109" t="n"/>
      <c r="F274" s="109" t="n"/>
      <c r="G274" s="226" t="n"/>
      <c r="H274" s="108" t="n"/>
      <c r="I274" s="108" t="n"/>
      <c r="J274" s="109" t="n"/>
      <c r="K274" s="109" t="n"/>
      <c r="L274" s="121">
        <f>IF($C274="","",IF($D274="Gider",$E274,$H274))</f>
        <v/>
      </c>
      <c r="M274" s="121">
        <f>IF($C274="","",IF($D274="Gider",$H274,$E274))</f>
        <v/>
      </c>
      <c r="N274" s="231">
        <f>IF($C274="","",DATE(YEAR($C274),MONTH($C274),1))</f>
        <v/>
      </c>
      <c r="O274" s="113">
        <f>IF($C274="","",IF(AND($D274&lt;&gt;"",$E274&lt;&gt;"",$G274&gt;0,$H274&lt;&gt;"",$I274&lt;&gt;""),IF($C274&gt;TODAY(),"İLERİ TARİH","UYGUN"),"EKSİK"))</f>
        <v/>
      </c>
      <c r="P274" s="6" t="n"/>
      <c r="Q274" s="6" t="n"/>
      <c r="R274" s="3" t="n"/>
      <c r="S274" s="3" t="n"/>
      <c r="T274" s="3" t="n"/>
      <c r="U274" s="3" t="n"/>
      <c r="V274" s="3" t="n"/>
      <c r="W274" s="3" t="n"/>
    </row>
    <row r="275">
      <c r="A275" s="6" t="n"/>
      <c r="B275" s="113">
        <f>IF($C275="","","GG"&amp;TEXT(ROW()-6,"00000"))</f>
        <v/>
      </c>
      <c r="C275" s="225" t="n"/>
      <c r="D275" s="108" t="n"/>
      <c r="E275" s="109" t="n"/>
      <c r="F275" s="109" t="n"/>
      <c r="G275" s="226" t="n"/>
      <c r="H275" s="108" t="n"/>
      <c r="I275" s="108" t="n"/>
      <c r="J275" s="109" t="n"/>
      <c r="K275" s="109" t="n"/>
      <c r="L275" s="121">
        <f>IF($C275="","",IF($D275="Gider",$E275,$H275))</f>
        <v/>
      </c>
      <c r="M275" s="121">
        <f>IF($C275="","",IF($D275="Gider",$H275,$E275))</f>
        <v/>
      </c>
      <c r="N275" s="231">
        <f>IF($C275="","",DATE(YEAR($C275),MONTH($C275),1))</f>
        <v/>
      </c>
      <c r="O275" s="113">
        <f>IF($C275="","",IF(AND($D275&lt;&gt;"",$E275&lt;&gt;"",$G275&gt;0,$H275&lt;&gt;"",$I275&lt;&gt;""),IF($C275&gt;TODAY(),"İLERİ TARİH","UYGUN"),"EKSİK"))</f>
        <v/>
      </c>
      <c r="P275" s="6" t="n"/>
      <c r="Q275" s="6" t="n"/>
      <c r="R275" s="3" t="n"/>
      <c r="S275" s="3" t="n"/>
      <c r="T275" s="3" t="n"/>
      <c r="U275" s="3" t="n"/>
      <c r="V275" s="3" t="n"/>
      <c r="W275" s="3" t="n"/>
    </row>
    <row r="276">
      <c r="A276" s="6" t="n"/>
      <c r="B276" s="113">
        <f>IF($C276="","","GG"&amp;TEXT(ROW()-6,"00000"))</f>
        <v/>
      </c>
      <c r="C276" s="225" t="n"/>
      <c r="D276" s="108" t="n"/>
      <c r="E276" s="109" t="n"/>
      <c r="F276" s="109" t="n"/>
      <c r="G276" s="226" t="n"/>
      <c r="H276" s="108" t="n"/>
      <c r="I276" s="108" t="n"/>
      <c r="J276" s="109" t="n"/>
      <c r="K276" s="109" t="n"/>
      <c r="L276" s="121">
        <f>IF($C276="","",IF($D276="Gider",$E276,$H276))</f>
        <v/>
      </c>
      <c r="M276" s="121">
        <f>IF($C276="","",IF($D276="Gider",$H276,$E276))</f>
        <v/>
      </c>
      <c r="N276" s="231">
        <f>IF($C276="","",DATE(YEAR($C276),MONTH($C276),1))</f>
        <v/>
      </c>
      <c r="O276" s="113">
        <f>IF($C276="","",IF(AND($D276&lt;&gt;"",$E276&lt;&gt;"",$G276&gt;0,$H276&lt;&gt;"",$I276&lt;&gt;""),IF($C276&gt;TODAY(),"İLERİ TARİH","UYGUN"),"EKSİK"))</f>
        <v/>
      </c>
      <c r="P276" s="6" t="n"/>
      <c r="Q276" s="6" t="n"/>
      <c r="R276" s="3" t="n"/>
      <c r="S276" s="3" t="n"/>
      <c r="T276" s="3" t="n"/>
      <c r="U276" s="3" t="n"/>
      <c r="V276" s="3" t="n"/>
      <c r="W276" s="3" t="n"/>
    </row>
    <row r="277">
      <c r="A277" s="6" t="n"/>
      <c r="B277" s="113">
        <f>IF($C277="","","GG"&amp;TEXT(ROW()-6,"00000"))</f>
        <v/>
      </c>
      <c r="C277" s="225" t="n"/>
      <c r="D277" s="108" t="n"/>
      <c r="E277" s="109" t="n"/>
      <c r="F277" s="109" t="n"/>
      <c r="G277" s="226" t="n"/>
      <c r="H277" s="108" t="n"/>
      <c r="I277" s="108" t="n"/>
      <c r="J277" s="109" t="n"/>
      <c r="K277" s="109" t="n"/>
      <c r="L277" s="121">
        <f>IF($C277="","",IF($D277="Gider",$E277,$H277))</f>
        <v/>
      </c>
      <c r="M277" s="121">
        <f>IF($C277="","",IF($D277="Gider",$H277,$E277))</f>
        <v/>
      </c>
      <c r="N277" s="231">
        <f>IF($C277="","",DATE(YEAR($C277),MONTH($C277),1))</f>
        <v/>
      </c>
      <c r="O277" s="113">
        <f>IF($C277="","",IF(AND($D277&lt;&gt;"",$E277&lt;&gt;"",$G277&gt;0,$H277&lt;&gt;"",$I277&lt;&gt;""),IF($C277&gt;TODAY(),"İLERİ TARİH","UYGUN"),"EKSİK"))</f>
        <v/>
      </c>
      <c r="P277" s="6" t="n"/>
      <c r="Q277" s="6" t="n"/>
      <c r="R277" s="3" t="n"/>
      <c r="S277" s="3" t="n"/>
      <c r="T277" s="3" t="n"/>
      <c r="U277" s="3" t="n"/>
      <c r="V277" s="3" t="n"/>
      <c r="W277" s="3" t="n"/>
    </row>
    <row r="278">
      <c r="A278" s="6" t="n"/>
      <c r="B278" s="113">
        <f>IF($C278="","","GG"&amp;TEXT(ROW()-6,"00000"))</f>
        <v/>
      </c>
      <c r="C278" s="225" t="n"/>
      <c r="D278" s="108" t="n"/>
      <c r="E278" s="109" t="n"/>
      <c r="F278" s="109" t="n"/>
      <c r="G278" s="226" t="n"/>
      <c r="H278" s="108" t="n"/>
      <c r="I278" s="108" t="n"/>
      <c r="J278" s="109" t="n"/>
      <c r="K278" s="109" t="n"/>
      <c r="L278" s="121">
        <f>IF($C278="","",IF($D278="Gider",$E278,$H278))</f>
        <v/>
      </c>
      <c r="M278" s="121">
        <f>IF($C278="","",IF($D278="Gider",$H278,$E278))</f>
        <v/>
      </c>
      <c r="N278" s="231">
        <f>IF($C278="","",DATE(YEAR($C278),MONTH($C278),1))</f>
        <v/>
      </c>
      <c r="O278" s="113">
        <f>IF($C278="","",IF(AND($D278&lt;&gt;"",$E278&lt;&gt;"",$G278&gt;0,$H278&lt;&gt;"",$I278&lt;&gt;""),IF($C278&gt;TODAY(),"İLERİ TARİH","UYGUN"),"EKSİK"))</f>
        <v/>
      </c>
      <c r="P278" s="6" t="n"/>
      <c r="Q278" s="6" t="n"/>
      <c r="R278" s="3" t="n"/>
      <c r="S278" s="3" t="n"/>
      <c r="T278" s="3" t="n"/>
      <c r="U278" s="3" t="n"/>
      <c r="V278" s="3" t="n"/>
      <c r="W278" s="3" t="n"/>
    </row>
    <row r="279">
      <c r="A279" s="6" t="n"/>
      <c r="B279" s="113">
        <f>IF($C279="","","GG"&amp;TEXT(ROW()-6,"00000"))</f>
        <v/>
      </c>
      <c r="C279" s="225" t="n"/>
      <c r="D279" s="108" t="n"/>
      <c r="E279" s="109" t="n"/>
      <c r="F279" s="109" t="n"/>
      <c r="G279" s="226" t="n"/>
      <c r="H279" s="108" t="n"/>
      <c r="I279" s="108" t="n"/>
      <c r="J279" s="109" t="n"/>
      <c r="K279" s="109" t="n"/>
      <c r="L279" s="121">
        <f>IF($C279="","",IF($D279="Gider",$E279,$H279))</f>
        <v/>
      </c>
      <c r="M279" s="121">
        <f>IF($C279="","",IF($D279="Gider",$H279,$E279))</f>
        <v/>
      </c>
      <c r="N279" s="231">
        <f>IF($C279="","",DATE(YEAR($C279),MONTH($C279),1))</f>
        <v/>
      </c>
      <c r="O279" s="113">
        <f>IF($C279="","",IF(AND($D279&lt;&gt;"",$E279&lt;&gt;"",$G279&gt;0,$H279&lt;&gt;"",$I279&lt;&gt;""),IF($C279&gt;TODAY(),"İLERİ TARİH","UYGUN"),"EKSİK"))</f>
        <v/>
      </c>
      <c r="P279" s="6" t="n"/>
      <c r="Q279" s="6" t="n"/>
      <c r="R279" s="3" t="n"/>
      <c r="S279" s="3" t="n"/>
      <c r="T279" s="3" t="n"/>
      <c r="U279" s="3" t="n"/>
      <c r="V279" s="3" t="n"/>
      <c r="W279" s="3" t="n"/>
    </row>
    <row r="280">
      <c r="A280" s="6" t="n"/>
      <c r="B280" s="113">
        <f>IF($C280="","","GG"&amp;TEXT(ROW()-6,"00000"))</f>
        <v/>
      </c>
      <c r="C280" s="225" t="n"/>
      <c r="D280" s="108" t="n"/>
      <c r="E280" s="109" t="n"/>
      <c r="F280" s="109" t="n"/>
      <c r="G280" s="226" t="n"/>
      <c r="H280" s="108" t="n"/>
      <c r="I280" s="108" t="n"/>
      <c r="J280" s="109" t="n"/>
      <c r="K280" s="109" t="n"/>
      <c r="L280" s="121">
        <f>IF($C280="","",IF($D280="Gider",$E280,$H280))</f>
        <v/>
      </c>
      <c r="M280" s="121">
        <f>IF($C280="","",IF($D280="Gider",$H280,$E280))</f>
        <v/>
      </c>
      <c r="N280" s="231">
        <f>IF($C280="","",DATE(YEAR($C280),MONTH($C280),1))</f>
        <v/>
      </c>
      <c r="O280" s="113">
        <f>IF($C280="","",IF(AND($D280&lt;&gt;"",$E280&lt;&gt;"",$G280&gt;0,$H280&lt;&gt;"",$I280&lt;&gt;""),IF($C280&gt;TODAY(),"İLERİ TARİH","UYGUN"),"EKSİK"))</f>
        <v/>
      </c>
      <c r="P280" s="6" t="n"/>
      <c r="Q280" s="6" t="n"/>
      <c r="R280" s="3" t="n"/>
      <c r="S280" s="3" t="n"/>
      <c r="T280" s="3" t="n"/>
      <c r="U280" s="3" t="n"/>
      <c r="V280" s="3" t="n"/>
      <c r="W280" s="3" t="n"/>
    </row>
    <row r="281">
      <c r="A281" s="6" t="n"/>
      <c r="B281" s="113">
        <f>IF($C281="","","GG"&amp;TEXT(ROW()-6,"00000"))</f>
        <v/>
      </c>
      <c r="C281" s="225" t="n"/>
      <c r="D281" s="108" t="n"/>
      <c r="E281" s="109" t="n"/>
      <c r="F281" s="109" t="n"/>
      <c r="G281" s="226" t="n"/>
      <c r="H281" s="108" t="n"/>
      <c r="I281" s="108" t="n"/>
      <c r="J281" s="109" t="n"/>
      <c r="K281" s="109" t="n"/>
      <c r="L281" s="121">
        <f>IF($C281="","",IF($D281="Gider",$E281,$H281))</f>
        <v/>
      </c>
      <c r="M281" s="121">
        <f>IF($C281="","",IF($D281="Gider",$H281,$E281))</f>
        <v/>
      </c>
      <c r="N281" s="231">
        <f>IF($C281="","",DATE(YEAR($C281),MONTH($C281),1))</f>
        <v/>
      </c>
      <c r="O281" s="113">
        <f>IF($C281="","",IF(AND($D281&lt;&gt;"",$E281&lt;&gt;"",$G281&gt;0,$H281&lt;&gt;"",$I281&lt;&gt;""),IF($C281&gt;TODAY(),"İLERİ TARİH","UYGUN"),"EKSİK"))</f>
        <v/>
      </c>
      <c r="P281" s="6" t="n"/>
      <c r="Q281" s="6" t="n"/>
      <c r="R281" s="3" t="n"/>
      <c r="S281" s="3" t="n"/>
      <c r="T281" s="3" t="n"/>
      <c r="U281" s="3" t="n"/>
      <c r="V281" s="3" t="n"/>
      <c r="W281" s="3" t="n"/>
    </row>
    <row r="282">
      <c r="A282" s="6" t="n"/>
      <c r="B282" s="113">
        <f>IF($C282="","","GG"&amp;TEXT(ROW()-6,"00000"))</f>
        <v/>
      </c>
      <c r="C282" s="225" t="n"/>
      <c r="D282" s="108" t="n"/>
      <c r="E282" s="109" t="n"/>
      <c r="F282" s="109" t="n"/>
      <c r="G282" s="226" t="n"/>
      <c r="H282" s="108" t="n"/>
      <c r="I282" s="108" t="n"/>
      <c r="J282" s="109" t="n"/>
      <c r="K282" s="109" t="n"/>
      <c r="L282" s="121">
        <f>IF($C282="","",IF($D282="Gider",$E282,$H282))</f>
        <v/>
      </c>
      <c r="M282" s="121">
        <f>IF($C282="","",IF($D282="Gider",$H282,$E282))</f>
        <v/>
      </c>
      <c r="N282" s="231">
        <f>IF($C282="","",DATE(YEAR($C282),MONTH($C282),1))</f>
        <v/>
      </c>
      <c r="O282" s="113">
        <f>IF($C282="","",IF(AND($D282&lt;&gt;"",$E282&lt;&gt;"",$G282&gt;0,$H282&lt;&gt;"",$I282&lt;&gt;""),IF($C282&gt;TODAY(),"İLERİ TARİH","UYGUN"),"EKSİK"))</f>
        <v/>
      </c>
      <c r="P282" s="6" t="n"/>
      <c r="Q282" s="6" t="n"/>
      <c r="R282" s="3" t="n"/>
      <c r="S282" s="3" t="n"/>
      <c r="T282" s="3" t="n"/>
      <c r="U282" s="3" t="n"/>
      <c r="V282" s="3" t="n"/>
      <c r="W282" s="3" t="n"/>
    </row>
    <row r="283">
      <c r="A283" s="6" t="n"/>
      <c r="B283" s="113">
        <f>IF($C283="","","GG"&amp;TEXT(ROW()-6,"00000"))</f>
        <v/>
      </c>
      <c r="C283" s="225" t="n"/>
      <c r="D283" s="108" t="n"/>
      <c r="E283" s="109" t="n"/>
      <c r="F283" s="109" t="n"/>
      <c r="G283" s="226" t="n"/>
      <c r="H283" s="108" t="n"/>
      <c r="I283" s="108" t="n"/>
      <c r="J283" s="109" t="n"/>
      <c r="K283" s="109" t="n"/>
      <c r="L283" s="121">
        <f>IF($C283="","",IF($D283="Gider",$E283,$H283))</f>
        <v/>
      </c>
      <c r="M283" s="121">
        <f>IF($C283="","",IF($D283="Gider",$H283,$E283))</f>
        <v/>
      </c>
      <c r="N283" s="231">
        <f>IF($C283="","",DATE(YEAR($C283),MONTH($C283),1))</f>
        <v/>
      </c>
      <c r="O283" s="113">
        <f>IF($C283="","",IF(AND($D283&lt;&gt;"",$E283&lt;&gt;"",$G283&gt;0,$H283&lt;&gt;"",$I283&lt;&gt;""),IF($C283&gt;TODAY(),"İLERİ TARİH","UYGUN"),"EKSİK"))</f>
        <v/>
      </c>
      <c r="P283" s="6" t="n"/>
      <c r="Q283" s="6" t="n"/>
      <c r="R283" s="3" t="n"/>
      <c r="S283" s="3" t="n"/>
      <c r="T283" s="3" t="n"/>
      <c r="U283" s="3" t="n"/>
      <c r="V283" s="3" t="n"/>
      <c r="W283" s="3" t="n"/>
    </row>
    <row r="284">
      <c r="A284" s="6" t="n"/>
      <c r="B284" s="113">
        <f>IF($C284="","","GG"&amp;TEXT(ROW()-6,"00000"))</f>
        <v/>
      </c>
      <c r="C284" s="225" t="n"/>
      <c r="D284" s="108" t="n"/>
      <c r="E284" s="109" t="n"/>
      <c r="F284" s="109" t="n"/>
      <c r="G284" s="226" t="n"/>
      <c r="H284" s="108" t="n"/>
      <c r="I284" s="108" t="n"/>
      <c r="J284" s="109" t="n"/>
      <c r="K284" s="109" t="n"/>
      <c r="L284" s="121">
        <f>IF($C284="","",IF($D284="Gider",$E284,$H284))</f>
        <v/>
      </c>
      <c r="M284" s="121">
        <f>IF($C284="","",IF($D284="Gider",$H284,$E284))</f>
        <v/>
      </c>
      <c r="N284" s="231">
        <f>IF($C284="","",DATE(YEAR($C284),MONTH($C284),1))</f>
        <v/>
      </c>
      <c r="O284" s="113">
        <f>IF($C284="","",IF(AND($D284&lt;&gt;"",$E284&lt;&gt;"",$G284&gt;0,$H284&lt;&gt;"",$I284&lt;&gt;""),IF($C284&gt;TODAY(),"İLERİ TARİH","UYGUN"),"EKSİK"))</f>
        <v/>
      </c>
      <c r="P284" s="6" t="n"/>
      <c r="Q284" s="6" t="n"/>
      <c r="R284" s="3" t="n"/>
      <c r="S284" s="3" t="n"/>
      <c r="T284" s="3" t="n"/>
      <c r="U284" s="3" t="n"/>
      <c r="V284" s="3" t="n"/>
      <c r="W284" s="3" t="n"/>
    </row>
    <row r="285">
      <c r="A285" s="6" t="n"/>
      <c r="B285" s="113">
        <f>IF($C285="","","GG"&amp;TEXT(ROW()-6,"00000"))</f>
        <v/>
      </c>
      <c r="C285" s="225" t="n"/>
      <c r="D285" s="108" t="n"/>
      <c r="E285" s="109" t="n"/>
      <c r="F285" s="109" t="n"/>
      <c r="G285" s="226" t="n"/>
      <c r="H285" s="108" t="n"/>
      <c r="I285" s="108" t="n"/>
      <c r="J285" s="109" t="n"/>
      <c r="K285" s="109" t="n"/>
      <c r="L285" s="121">
        <f>IF($C285="","",IF($D285="Gider",$E285,$H285))</f>
        <v/>
      </c>
      <c r="M285" s="121">
        <f>IF($C285="","",IF($D285="Gider",$H285,$E285))</f>
        <v/>
      </c>
      <c r="N285" s="231">
        <f>IF($C285="","",DATE(YEAR($C285),MONTH($C285),1))</f>
        <v/>
      </c>
      <c r="O285" s="113">
        <f>IF($C285="","",IF(AND($D285&lt;&gt;"",$E285&lt;&gt;"",$G285&gt;0,$H285&lt;&gt;"",$I285&lt;&gt;""),IF($C285&gt;TODAY(),"İLERİ TARİH","UYGUN"),"EKSİK"))</f>
        <v/>
      </c>
      <c r="P285" s="6" t="n"/>
      <c r="Q285" s="6" t="n"/>
      <c r="R285" s="3" t="n"/>
      <c r="S285" s="3" t="n"/>
      <c r="T285" s="3" t="n"/>
      <c r="U285" s="3" t="n"/>
      <c r="V285" s="3" t="n"/>
      <c r="W285" s="3" t="n"/>
    </row>
    <row r="286">
      <c r="A286" s="6" t="n"/>
      <c r="B286" s="113">
        <f>IF($C286="","","GG"&amp;TEXT(ROW()-6,"00000"))</f>
        <v/>
      </c>
      <c r="C286" s="225" t="n"/>
      <c r="D286" s="108" t="n"/>
      <c r="E286" s="109" t="n"/>
      <c r="F286" s="109" t="n"/>
      <c r="G286" s="226" t="n"/>
      <c r="H286" s="108" t="n"/>
      <c r="I286" s="108" t="n"/>
      <c r="J286" s="109" t="n"/>
      <c r="K286" s="109" t="n"/>
      <c r="L286" s="121">
        <f>IF($C286="","",IF($D286="Gider",$E286,$H286))</f>
        <v/>
      </c>
      <c r="M286" s="121">
        <f>IF($C286="","",IF($D286="Gider",$H286,$E286))</f>
        <v/>
      </c>
      <c r="N286" s="231">
        <f>IF($C286="","",DATE(YEAR($C286),MONTH($C286),1))</f>
        <v/>
      </c>
      <c r="O286" s="113">
        <f>IF($C286="","",IF(AND($D286&lt;&gt;"",$E286&lt;&gt;"",$G286&gt;0,$H286&lt;&gt;"",$I286&lt;&gt;""),IF($C286&gt;TODAY(),"İLERİ TARİH","UYGUN"),"EKSİK"))</f>
        <v/>
      </c>
      <c r="P286" s="6" t="n"/>
      <c r="Q286" s="6" t="n"/>
      <c r="R286" s="3" t="n"/>
      <c r="S286" s="3" t="n"/>
      <c r="T286" s="3" t="n"/>
      <c r="U286" s="3" t="n"/>
      <c r="V286" s="3" t="n"/>
      <c r="W286" s="3" t="n"/>
    </row>
    <row r="287">
      <c r="A287" s="6" t="n"/>
      <c r="B287" s="113">
        <f>IF($C287="","","GG"&amp;TEXT(ROW()-6,"00000"))</f>
        <v/>
      </c>
      <c r="C287" s="225" t="n"/>
      <c r="D287" s="108" t="n"/>
      <c r="E287" s="109" t="n"/>
      <c r="F287" s="109" t="n"/>
      <c r="G287" s="226" t="n"/>
      <c r="H287" s="108" t="n"/>
      <c r="I287" s="108" t="n"/>
      <c r="J287" s="109" t="n"/>
      <c r="K287" s="109" t="n"/>
      <c r="L287" s="121">
        <f>IF($C287="","",IF($D287="Gider",$E287,$H287))</f>
        <v/>
      </c>
      <c r="M287" s="121">
        <f>IF($C287="","",IF($D287="Gider",$H287,$E287))</f>
        <v/>
      </c>
      <c r="N287" s="231">
        <f>IF($C287="","",DATE(YEAR($C287),MONTH($C287),1))</f>
        <v/>
      </c>
      <c r="O287" s="113">
        <f>IF($C287="","",IF(AND($D287&lt;&gt;"",$E287&lt;&gt;"",$G287&gt;0,$H287&lt;&gt;"",$I287&lt;&gt;""),IF($C287&gt;TODAY(),"İLERİ TARİH","UYGUN"),"EKSİK"))</f>
        <v/>
      </c>
      <c r="P287" s="6" t="n"/>
      <c r="Q287" s="6" t="n"/>
      <c r="R287" s="3" t="n"/>
      <c r="S287" s="3" t="n"/>
      <c r="T287" s="3" t="n"/>
      <c r="U287" s="3" t="n"/>
      <c r="V287" s="3" t="n"/>
      <c r="W287" s="3" t="n"/>
    </row>
    <row r="288">
      <c r="A288" s="6" t="n"/>
      <c r="B288" s="113">
        <f>IF($C288="","","GG"&amp;TEXT(ROW()-6,"00000"))</f>
        <v/>
      </c>
      <c r="C288" s="225" t="n"/>
      <c r="D288" s="108" t="n"/>
      <c r="E288" s="109" t="n"/>
      <c r="F288" s="109" t="n"/>
      <c r="G288" s="226" t="n"/>
      <c r="H288" s="108" t="n"/>
      <c r="I288" s="108" t="n"/>
      <c r="J288" s="109" t="n"/>
      <c r="K288" s="109" t="n"/>
      <c r="L288" s="121">
        <f>IF($C288="","",IF($D288="Gider",$E288,$H288))</f>
        <v/>
      </c>
      <c r="M288" s="121">
        <f>IF($C288="","",IF($D288="Gider",$H288,$E288))</f>
        <v/>
      </c>
      <c r="N288" s="231">
        <f>IF($C288="","",DATE(YEAR($C288),MONTH($C288),1))</f>
        <v/>
      </c>
      <c r="O288" s="113">
        <f>IF($C288="","",IF(AND($D288&lt;&gt;"",$E288&lt;&gt;"",$G288&gt;0,$H288&lt;&gt;"",$I288&lt;&gt;""),IF($C288&gt;TODAY(),"İLERİ TARİH","UYGUN"),"EKSİK"))</f>
        <v/>
      </c>
      <c r="P288" s="6" t="n"/>
      <c r="Q288" s="6" t="n"/>
      <c r="R288" s="3" t="n"/>
      <c r="S288" s="3" t="n"/>
      <c r="T288" s="3" t="n"/>
      <c r="U288" s="3" t="n"/>
      <c r="V288" s="3" t="n"/>
      <c r="W288" s="3" t="n"/>
    </row>
    <row r="289">
      <c r="A289" s="6" t="n"/>
      <c r="B289" s="113">
        <f>IF($C289="","","GG"&amp;TEXT(ROW()-6,"00000"))</f>
        <v/>
      </c>
      <c r="C289" s="225" t="n"/>
      <c r="D289" s="108" t="n"/>
      <c r="E289" s="109" t="n"/>
      <c r="F289" s="109" t="n"/>
      <c r="G289" s="226" t="n"/>
      <c r="H289" s="108" t="n"/>
      <c r="I289" s="108" t="n"/>
      <c r="J289" s="109" t="n"/>
      <c r="K289" s="109" t="n"/>
      <c r="L289" s="121">
        <f>IF($C289="","",IF($D289="Gider",$E289,$H289))</f>
        <v/>
      </c>
      <c r="M289" s="121">
        <f>IF($C289="","",IF($D289="Gider",$H289,$E289))</f>
        <v/>
      </c>
      <c r="N289" s="231">
        <f>IF($C289="","",DATE(YEAR($C289),MONTH($C289),1))</f>
        <v/>
      </c>
      <c r="O289" s="113">
        <f>IF($C289="","",IF(AND($D289&lt;&gt;"",$E289&lt;&gt;"",$G289&gt;0,$H289&lt;&gt;"",$I289&lt;&gt;""),IF($C289&gt;TODAY(),"İLERİ TARİH","UYGUN"),"EKSİK"))</f>
        <v/>
      </c>
      <c r="P289" s="6" t="n"/>
      <c r="Q289" s="6" t="n"/>
      <c r="R289" s="3" t="n"/>
      <c r="S289" s="3" t="n"/>
      <c r="T289" s="3" t="n"/>
      <c r="U289" s="3" t="n"/>
      <c r="V289" s="3" t="n"/>
      <c r="W289" s="3" t="n"/>
    </row>
    <row r="290">
      <c r="A290" s="6" t="n"/>
      <c r="B290" s="113">
        <f>IF($C290="","","GG"&amp;TEXT(ROW()-6,"00000"))</f>
        <v/>
      </c>
      <c r="C290" s="225" t="n"/>
      <c r="D290" s="108" t="n"/>
      <c r="E290" s="109" t="n"/>
      <c r="F290" s="109" t="n"/>
      <c r="G290" s="226" t="n"/>
      <c r="H290" s="108" t="n"/>
      <c r="I290" s="108" t="n"/>
      <c r="J290" s="109" t="n"/>
      <c r="K290" s="109" t="n"/>
      <c r="L290" s="121">
        <f>IF($C290="","",IF($D290="Gider",$E290,$H290))</f>
        <v/>
      </c>
      <c r="M290" s="121">
        <f>IF($C290="","",IF($D290="Gider",$H290,$E290))</f>
        <v/>
      </c>
      <c r="N290" s="231">
        <f>IF($C290="","",DATE(YEAR($C290),MONTH($C290),1))</f>
        <v/>
      </c>
      <c r="O290" s="113">
        <f>IF($C290="","",IF(AND($D290&lt;&gt;"",$E290&lt;&gt;"",$G290&gt;0,$H290&lt;&gt;"",$I290&lt;&gt;""),IF($C290&gt;TODAY(),"İLERİ TARİH","UYGUN"),"EKSİK"))</f>
        <v/>
      </c>
      <c r="P290" s="6" t="n"/>
      <c r="Q290" s="6" t="n"/>
      <c r="R290" s="3" t="n"/>
      <c r="S290" s="3" t="n"/>
      <c r="T290" s="3" t="n"/>
      <c r="U290" s="3" t="n"/>
      <c r="V290" s="3" t="n"/>
      <c r="W290" s="3" t="n"/>
    </row>
    <row r="291">
      <c r="A291" s="6" t="n"/>
      <c r="B291" s="113">
        <f>IF($C291="","","GG"&amp;TEXT(ROW()-6,"00000"))</f>
        <v/>
      </c>
      <c r="C291" s="225" t="n"/>
      <c r="D291" s="108" t="n"/>
      <c r="E291" s="109" t="n"/>
      <c r="F291" s="109" t="n"/>
      <c r="G291" s="226" t="n"/>
      <c r="H291" s="108" t="n"/>
      <c r="I291" s="108" t="n"/>
      <c r="J291" s="109" t="n"/>
      <c r="K291" s="109" t="n"/>
      <c r="L291" s="121">
        <f>IF($C291="","",IF($D291="Gider",$E291,$H291))</f>
        <v/>
      </c>
      <c r="M291" s="121">
        <f>IF($C291="","",IF($D291="Gider",$H291,$E291))</f>
        <v/>
      </c>
      <c r="N291" s="231">
        <f>IF($C291="","",DATE(YEAR($C291),MONTH($C291),1))</f>
        <v/>
      </c>
      <c r="O291" s="113">
        <f>IF($C291="","",IF(AND($D291&lt;&gt;"",$E291&lt;&gt;"",$G291&gt;0,$H291&lt;&gt;"",$I291&lt;&gt;""),IF($C291&gt;TODAY(),"İLERİ TARİH","UYGUN"),"EKSİK"))</f>
        <v/>
      </c>
      <c r="P291" s="6" t="n"/>
      <c r="Q291" s="6" t="n"/>
      <c r="R291" s="3" t="n"/>
      <c r="S291" s="3" t="n"/>
      <c r="T291" s="3" t="n"/>
      <c r="U291" s="3" t="n"/>
      <c r="V291" s="3" t="n"/>
      <c r="W291" s="3" t="n"/>
    </row>
    <row r="292">
      <c r="A292" s="6" t="n"/>
      <c r="B292" s="113">
        <f>IF($C292="","","GG"&amp;TEXT(ROW()-6,"00000"))</f>
        <v/>
      </c>
      <c r="C292" s="225" t="n"/>
      <c r="D292" s="108" t="n"/>
      <c r="E292" s="109" t="n"/>
      <c r="F292" s="109" t="n"/>
      <c r="G292" s="226" t="n"/>
      <c r="H292" s="108" t="n"/>
      <c r="I292" s="108" t="n"/>
      <c r="J292" s="109" t="n"/>
      <c r="K292" s="109" t="n"/>
      <c r="L292" s="121">
        <f>IF($C292="","",IF($D292="Gider",$E292,$H292))</f>
        <v/>
      </c>
      <c r="M292" s="121">
        <f>IF($C292="","",IF($D292="Gider",$H292,$E292))</f>
        <v/>
      </c>
      <c r="N292" s="231">
        <f>IF($C292="","",DATE(YEAR($C292),MONTH($C292),1))</f>
        <v/>
      </c>
      <c r="O292" s="113">
        <f>IF($C292="","",IF(AND($D292&lt;&gt;"",$E292&lt;&gt;"",$G292&gt;0,$H292&lt;&gt;"",$I292&lt;&gt;""),IF($C292&gt;TODAY(),"İLERİ TARİH","UYGUN"),"EKSİK"))</f>
        <v/>
      </c>
      <c r="P292" s="6" t="n"/>
      <c r="Q292" s="6" t="n"/>
      <c r="R292" s="3" t="n"/>
      <c r="S292" s="3" t="n"/>
      <c r="T292" s="3" t="n"/>
      <c r="U292" s="3" t="n"/>
      <c r="V292" s="3" t="n"/>
      <c r="W292" s="3" t="n"/>
    </row>
    <row r="293">
      <c r="A293" s="6" t="n"/>
      <c r="B293" s="113">
        <f>IF($C293="","","GG"&amp;TEXT(ROW()-6,"00000"))</f>
        <v/>
      </c>
      <c r="C293" s="225" t="n"/>
      <c r="D293" s="108" t="n"/>
      <c r="E293" s="109" t="n"/>
      <c r="F293" s="109" t="n"/>
      <c r="G293" s="226" t="n"/>
      <c r="H293" s="108" t="n"/>
      <c r="I293" s="108" t="n"/>
      <c r="J293" s="109" t="n"/>
      <c r="K293" s="109" t="n"/>
      <c r="L293" s="121">
        <f>IF($C293="","",IF($D293="Gider",$E293,$H293))</f>
        <v/>
      </c>
      <c r="M293" s="121">
        <f>IF($C293="","",IF($D293="Gider",$H293,$E293))</f>
        <v/>
      </c>
      <c r="N293" s="231">
        <f>IF($C293="","",DATE(YEAR($C293),MONTH($C293),1))</f>
        <v/>
      </c>
      <c r="O293" s="113">
        <f>IF($C293="","",IF(AND($D293&lt;&gt;"",$E293&lt;&gt;"",$G293&gt;0,$H293&lt;&gt;"",$I293&lt;&gt;""),IF($C293&gt;TODAY(),"İLERİ TARİH","UYGUN"),"EKSİK"))</f>
        <v/>
      </c>
      <c r="P293" s="6" t="n"/>
      <c r="Q293" s="6" t="n"/>
      <c r="R293" s="3" t="n"/>
      <c r="S293" s="3" t="n"/>
      <c r="T293" s="3" t="n"/>
      <c r="U293" s="3" t="n"/>
      <c r="V293" s="3" t="n"/>
      <c r="W293" s="3" t="n"/>
    </row>
    <row r="294">
      <c r="A294" s="6" t="n"/>
      <c r="B294" s="113">
        <f>IF($C294="","","GG"&amp;TEXT(ROW()-6,"00000"))</f>
        <v/>
      </c>
      <c r="C294" s="225" t="n"/>
      <c r="D294" s="108" t="n"/>
      <c r="E294" s="109" t="n"/>
      <c r="F294" s="109" t="n"/>
      <c r="G294" s="226" t="n"/>
      <c r="H294" s="108" t="n"/>
      <c r="I294" s="108" t="n"/>
      <c r="J294" s="109" t="n"/>
      <c r="K294" s="109" t="n"/>
      <c r="L294" s="121">
        <f>IF($C294="","",IF($D294="Gider",$E294,$H294))</f>
        <v/>
      </c>
      <c r="M294" s="121">
        <f>IF($C294="","",IF($D294="Gider",$H294,$E294))</f>
        <v/>
      </c>
      <c r="N294" s="231">
        <f>IF($C294="","",DATE(YEAR($C294),MONTH($C294),1))</f>
        <v/>
      </c>
      <c r="O294" s="113">
        <f>IF($C294="","",IF(AND($D294&lt;&gt;"",$E294&lt;&gt;"",$G294&gt;0,$H294&lt;&gt;"",$I294&lt;&gt;""),IF($C294&gt;TODAY(),"İLERİ TARİH","UYGUN"),"EKSİK"))</f>
        <v/>
      </c>
      <c r="P294" s="6" t="n"/>
      <c r="Q294" s="6" t="n"/>
      <c r="R294" s="3" t="n"/>
      <c r="S294" s="3" t="n"/>
      <c r="T294" s="3" t="n"/>
      <c r="U294" s="3" t="n"/>
      <c r="V294" s="3" t="n"/>
      <c r="W294" s="3" t="n"/>
    </row>
    <row r="295">
      <c r="A295" s="6" t="n"/>
      <c r="B295" s="113">
        <f>IF($C295="","","GG"&amp;TEXT(ROW()-6,"00000"))</f>
        <v/>
      </c>
      <c r="C295" s="225" t="n"/>
      <c r="D295" s="108" t="n"/>
      <c r="E295" s="109" t="n"/>
      <c r="F295" s="109" t="n"/>
      <c r="G295" s="226" t="n"/>
      <c r="H295" s="108" t="n"/>
      <c r="I295" s="108" t="n"/>
      <c r="J295" s="109" t="n"/>
      <c r="K295" s="109" t="n"/>
      <c r="L295" s="121">
        <f>IF($C295="","",IF($D295="Gider",$E295,$H295))</f>
        <v/>
      </c>
      <c r="M295" s="121">
        <f>IF($C295="","",IF($D295="Gider",$H295,$E295))</f>
        <v/>
      </c>
      <c r="N295" s="231">
        <f>IF($C295="","",DATE(YEAR($C295),MONTH($C295),1))</f>
        <v/>
      </c>
      <c r="O295" s="113">
        <f>IF($C295="","",IF(AND($D295&lt;&gt;"",$E295&lt;&gt;"",$G295&gt;0,$H295&lt;&gt;"",$I295&lt;&gt;""),IF($C295&gt;TODAY(),"İLERİ TARİH","UYGUN"),"EKSİK"))</f>
        <v/>
      </c>
      <c r="P295" s="6" t="n"/>
      <c r="Q295" s="6" t="n"/>
      <c r="R295" s="3" t="n"/>
      <c r="S295" s="3" t="n"/>
      <c r="T295" s="3" t="n"/>
      <c r="U295" s="3" t="n"/>
      <c r="V295" s="3" t="n"/>
      <c r="W295" s="3" t="n"/>
    </row>
    <row r="296">
      <c r="A296" s="6" t="n"/>
      <c r="B296" s="113">
        <f>IF($C296="","","GG"&amp;TEXT(ROW()-6,"00000"))</f>
        <v/>
      </c>
      <c r="C296" s="225" t="n"/>
      <c r="D296" s="108" t="n"/>
      <c r="E296" s="109" t="n"/>
      <c r="F296" s="109" t="n"/>
      <c r="G296" s="226" t="n"/>
      <c r="H296" s="108" t="n"/>
      <c r="I296" s="108" t="n"/>
      <c r="J296" s="109" t="n"/>
      <c r="K296" s="109" t="n"/>
      <c r="L296" s="121">
        <f>IF($C296="","",IF($D296="Gider",$E296,$H296))</f>
        <v/>
      </c>
      <c r="M296" s="121">
        <f>IF($C296="","",IF($D296="Gider",$H296,$E296))</f>
        <v/>
      </c>
      <c r="N296" s="231">
        <f>IF($C296="","",DATE(YEAR($C296),MONTH($C296),1))</f>
        <v/>
      </c>
      <c r="O296" s="113">
        <f>IF($C296="","",IF(AND($D296&lt;&gt;"",$E296&lt;&gt;"",$G296&gt;0,$H296&lt;&gt;"",$I296&lt;&gt;""),IF($C296&gt;TODAY(),"İLERİ TARİH","UYGUN"),"EKSİK"))</f>
        <v/>
      </c>
      <c r="P296" s="6" t="n"/>
      <c r="Q296" s="6" t="n"/>
      <c r="R296" s="3" t="n"/>
      <c r="S296" s="3" t="n"/>
      <c r="T296" s="3" t="n"/>
      <c r="U296" s="3" t="n"/>
      <c r="V296" s="3" t="n"/>
      <c r="W296" s="3" t="n"/>
    </row>
    <row r="297">
      <c r="A297" s="6" t="n"/>
      <c r="B297" s="113">
        <f>IF($C297="","","GG"&amp;TEXT(ROW()-6,"00000"))</f>
        <v/>
      </c>
      <c r="C297" s="225" t="n"/>
      <c r="D297" s="108" t="n"/>
      <c r="E297" s="109" t="n"/>
      <c r="F297" s="109" t="n"/>
      <c r="G297" s="226" t="n"/>
      <c r="H297" s="108" t="n"/>
      <c r="I297" s="108" t="n"/>
      <c r="J297" s="109" t="n"/>
      <c r="K297" s="109" t="n"/>
      <c r="L297" s="121">
        <f>IF($C297="","",IF($D297="Gider",$E297,$H297))</f>
        <v/>
      </c>
      <c r="M297" s="121">
        <f>IF($C297="","",IF($D297="Gider",$H297,$E297))</f>
        <v/>
      </c>
      <c r="N297" s="231">
        <f>IF($C297="","",DATE(YEAR($C297),MONTH($C297),1))</f>
        <v/>
      </c>
      <c r="O297" s="113">
        <f>IF($C297="","",IF(AND($D297&lt;&gt;"",$E297&lt;&gt;"",$G297&gt;0,$H297&lt;&gt;"",$I297&lt;&gt;""),IF($C297&gt;TODAY(),"İLERİ TARİH","UYGUN"),"EKSİK"))</f>
        <v/>
      </c>
      <c r="P297" s="6" t="n"/>
      <c r="Q297" s="6" t="n"/>
      <c r="R297" s="3" t="n"/>
      <c r="S297" s="3" t="n"/>
      <c r="T297" s="3" t="n"/>
      <c r="U297" s="3" t="n"/>
      <c r="V297" s="3" t="n"/>
      <c r="W297" s="3" t="n"/>
    </row>
    <row r="298">
      <c r="A298" s="6" t="n"/>
      <c r="B298" s="113">
        <f>IF($C298="","","GG"&amp;TEXT(ROW()-6,"00000"))</f>
        <v/>
      </c>
      <c r="C298" s="225" t="n"/>
      <c r="D298" s="108" t="n"/>
      <c r="E298" s="109" t="n"/>
      <c r="F298" s="109" t="n"/>
      <c r="G298" s="226" t="n"/>
      <c r="H298" s="108" t="n"/>
      <c r="I298" s="108" t="n"/>
      <c r="J298" s="109" t="n"/>
      <c r="K298" s="109" t="n"/>
      <c r="L298" s="121">
        <f>IF($C298="","",IF($D298="Gider",$E298,$H298))</f>
        <v/>
      </c>
      <c r="M298" s="121">
        <f>IF($C298="","",IF($D298="Gider",$H298,$E298))</f>
        <v/>
      </c>
      <c r="N298" s="231">
        <f>IF($C298="","",DATE(YEAR($C298),MONTH($C298),1))</f>
        <v/>
      </c>
      <c r="O298" s="113">
        <f>IF($C298="","",IF(AND($D298&lt;&gt;"",$E298&lt;&gt;"",$G298&gt;0,$H298&lt;&gt;"",$I298&lt;&gt;""),IF($C298&gt;TODAY(),"İLERİ TARİH","UYGUN"),"EKSİK"))</f>
        <v/>
      </c>
      <c r="P298" s="6" t="n"/>
      <c r="Q298" s="6" t="n"/>
      <c r="R298" s="3" t="n"/>
      <c r="S298" s="3" t="n"/>
      <c r="T298" s="3" t="n"/>
      <c r="U298" s="3" t="n"/>
      <c r="V298" s="3" t="n"/>
      <c r="W298" s="3" t="n"/>
    </row>
    <row r="299">
      <c r="A299" s="6" t="n"/>
      <c r="B299" s="113">
        <f>IF($C299="","","GG"&amp;TEXT(ROW()-6,"00000"))</f>
        <v/>
      </c>
      <c r="C299" s="225" t="n"/>
      <c r="D299" s="108" t="n"/>
      <c r="E299" s="109" t="n"/>
      <c r="F299" s="109" t="n"/>
      <c r="G299" s="226" t="n"/>
      <c r="H299" s="108" t="n"/>
      <c r="I299" s="108" t="n"/>
      <c r="J299" s="109" t="n"/>
      <c r="K299" s="109" t="n"/>
      <c r="L299" s="121">
        <f>IF($C299="","",IF($D299="Gider",$E299,$H299))</f>
        <v/>
      </c>
      <c r="M299" s="121">
        <f>IF($C299="","",IF($D299="Gider",$H299,$E299))</f>
        <v/>
      </c>
      <c r="N299" s="231">
        <f>IF($C299="","",DATE(YEAR($C299),MONTH($C299),1))</f>
        <v/>
      </c>
      <c r="O299" s="113">
        <f>IF($C299="","",IF(AND($D299&lt;&gt;"",$E299&lt;&gt;"",$G299&gt;0,$H299&lt;&gt;"",$I299&lt;&gt;""),IF($C299&gt;TODAY(),"İLERİ TARİH","UYGUN"),"EKSİK"))</f>
        <v/>
      </c>
      <c r="P299" s="6" t="n"/>
      <c r="Q299" s="6" t="n"/>
      <c r="R299" s="3" t="n"/>
      <c r="S299" s="3" t="n"/>
      <c r="T299" s="3" t="n"/>
      <c r="U299" s="3" t="n"/>
      <c r="V299" s="3" t="n"/>
      <c r="W299" s="3" t="n"/>
    </row>
    <row r="300">
      <c r="A300" s="6" t="n"/>
      <c r="B300" s="113">
        <f>IF($C300="","","GG"&amp;TEXT(ROW()-6,"00000"))</f>
        <v/>
      </c>
      <c r="C300" s="225" t="n"/>
      <c r="D300" s="108" t="n"/>
      <c r="E300" s="109" t="n"/>
      <c r="F300" s="109" t="n"/>
      <c r="G300" s="226" t="n"/>
      <c r="H300" s="108" t="n"/>
      <c r="I300" s="108" t="n"/>
      <c r="J300" s="109" t="n"/>
      <c r="K300" s="109" t="n"/>
      <c r="L300" s="121">
        <f>IF($C300="","",IF($D300="Gider",$E300,$H300))</f>
        <v/>
      </c>
      <c r="M300" s="121">
        <f>IF($C300="","",IF($D300="Gider",$H300,$E300))</f>
        <v/>
      </c>
      <c r="N300" s="231">
        <f>IF($C300="","",DATE(YEAR($C300),MONTH($C300),1))</f>
        <v/>
      </c>
      <c r="O300" s="113">
        <f>IF($C300="","",IF(AND($D300&lt;&gt;"",$E300&lt;&gt;"",$G300&gt;0,$H300&lt;&gt;"",$I300&lt;&gt;""),IF($C300&gt;TODAY(),"İLERİ TARİH","UYGUN"),"EKSİK"))</f>
        <v/>
      </c>
      <c r="P300" s="6" t="n"/>
      <c r="Q300" s="6" t="n"/>
      <c r="R300" s="3" t="n"/>
      <c r="S300" s="3" t="n"/>
      <c r="T300" s="3" t="n"/>
      <c r="U300" s="3" t="n"/>
      <c r="V300" s="3" t="n"/>
      <c r="W300" s="3" t="n"/>
    </row>
    <row r="301">
      <c r="A301" s="6" t="n"/>
      <c r="B301" s="113">
        <f>IF($C301="","","GG"&amp;TEXT(ROW()-6,"00000"))</f>
        <v/>
      </c>
      <c r="C301" s="225" t="n"/>
      <c r="D301" s="108" t="n"/>
      <c r="E301" s="109" t="n"/>
      <c r="F301" s="109" t="n"/>
      <c r="G301" s="226" t="n"/>
      <c r="H301" s="108" t="n"/>
      <c r="I301" s="108" t="n"/>
      <c r="J301" s="109" t="n"/>
      <c r="K301" s="109" t="n"/>
      <c r="L301" s="121">
        <f>IF($C301="","",IF($D301="Gider",$E301,$H301))</f>
        <v/>
      </c>
      <c r="M301" s="121">
        <f>IF($C301="","",IF($D301="Gider",$H301,$E301))</f>
        <v/>
      </c>
      <c r="N301" s="231">
        <f>IF($C301="","",DATE(YEAR($C301),MONTH($C301),1))</f>
        <v/>
      </c>
      <c r="O301" s="113">
        <f>IF($C301="","",IF(AND($D301&lt;&gt;"",$E301&lt;&gt;"",$G301&gt;0,$H301&lt;&gt;"",$I301&lt;&gt;""),IF($C301&gt;TODAY(),"İLERİ TARİH","UYGUN"),"EKSİK"))</f>
        <v/>
      </c>
      <c r="P301" s="6" t="n"/>
      <c r="Q301" s="6" t="n"/>
      <c r="R301" s="3" t="n"/>
      <c r="S301" s="3" t="n"/>
      <c r="T301" s="3" t="n"/>
      <c r="U301" s="3" t="n"/>
      <c r="V301" s="3" t="n"/>
      <c r="W301" s="3" t="n"/>
    </row>
    <row r="302">
      <c r="A302" s="6" t="n"/>
      <c r="B302" s="113">
        <f>IF($C302="","","GG"&amp;TEXT(ROW()-6,"00000"))</f>
        <v/>
      </c>
      <c r="C302" s="225" t="n"/>
      <c r="D302" s="108" t="n"/>
      <c r="E302" s="109" t="n"/>
      <c r="F302" s="109" t="n"/>
      <c r="G302" s="226" t="n"/>
      <c r="H302" s="108" t="n"/>
      <c r="I302" s="108" t="n"/>
      <c r="J302" s="109" t="n"/>
      <c r="K302" s="109" t="n"/>
      <c r="L302" s="121">
        <f>IF($C302="","",IF($D302="Gider",$E302,$H302))</f>
        <v/>
      </c>
      <c r="M302" s="121">
        <f>IF($C302="","",IF($D302="Gider",$H302,$E302))</f>
        <v/>
      </c>
      <c r="N302" s="231">
        <f>IF($C302="","",DATE(YEAR($C302),MONTH($C302),1))</f>
        <v/>
      </c>
      <c r="O302" s="113">
        <f>IF($C302="","",IF(AND($D302&lt;&gt;"",$E302&lt;&gt;"",$G302&gt;0,$H302&lt;&gt;"",$I302&lt;&gt;""),IF($C302&gt;TODAY(),"İLERİ TARİH","UYGUN"),"EKSİK"))</f>
        <v/>
      </c>
      <c r="P302" s="6" t="n"/>
      <c r="Q302" s="6" t="n"/>
      <c r="R302" s="3" t="n"/>
      <c r="S302" s="3" t="n"/>
      <c r="T302" s="3" t="n"/>
      <c r="U302" s="3" t="n"/>
      <c r="V302" s="3" t="n"/>
      <c r="W302" s="3" t="n"/>
    </row>
    <row r="303">
      <c r="A303" s="6" t="n"/>
      <c r="B303" s="113">
        <f>IF($C303="","","GG"&amp;TEXT(ROW()-6,"00000"))</f>
        <v/>
      </c>
      <c r="C303" s="225" t="n"/>
      <c r="D303" s="108" t="n"/>
      <c r="E303" s="109" t="n"/>
      <c r="F303" s="109" t="n"/>
      <c r="G303" s="226" t="n"/>
      <c r="H303" s="108" t="n"/>
      <c r="I303" s="108" t="n"/>
      <c r="J303" s="109" t="n"/>
      <c r="K303" s="109" t="n"/>
      <c r="L303" s="121">
        <f>IF($C303="","",IF($D303="Gider",$E303,$H303))</f>
        <v/>
      </c>
      <c r="M303" s="121">
        <f>IF($C303="","",IF($D303="Gider",$H303,$E303))</f>
        <v/>
      </c>
      <c r="N303" s="231">
        <f>IF($C303="","",DATE(YEAR($C303),MONTH($C303),1))</f>
        <v/>
      </c>
      <c r="O303" s="113">
        <f>IF($C303="","",IF(AND($D303&lt;&gt;"",$E303&lt;&gt;"",$G303&gt;0,$H303&lt;&gt;"",$I303&lt;&gt;""),IF($C303&gt;TODAY(),"İLERİ TARİH","UYGUN"),"EKSİK"))</f>
        <v/>
      </c>
      <c r="P303" s="6" t="n"/>
      <c r="Q303" s="6" t="n"/>
      <c r="R303" s="3" t="n"/>
      <c r="S303" s="3" t="n"/>
      <c r="T303" s="3" t="n"/>
      <c r="U303" s="3" t="n"/>
      <c r="V303" s="3" t="n"/>
      <c r="W303" s="3" t="n"/>
    </row>
    <row r="304">
      <c r="A304" s="6" t="n"/>
      <c r="B304" s="113">
        <f>IF($C304="","","GG"&amp;TEXT(ROW()-6,"00000"))</f>
        <v/>
      </c>
      <c r="C304" s="225" t="n"/>
      <c r="D304" s="108" t="n"/>
      <c r="E304" s="109" t="n"/>
      <c r="F304" s="109" t="n"/>
      <c r="G304" s="226" t="n"/>
      <c r="H304" s="108" t="n"/>
      <c r="I304" s="108" t="n"/>
      <c r="J304" s="109" t="n"/>
      <c r="K304" s="109" t="n"/>
      <c r="L304" s="121">
        <f>IF($C304="","",IF($D304="Gider",$E304,$H304))</f>
        <v/>
      </c>
      <c r="M304" s="121">
        <f>IF($C304="","",IF($D304="Gider",$H304,$E304))</f>
        <v/>
      </c>
      <c r="N304" s="231">
        <f>IF($C304="","",DATE(YEAR($C304),MONTH($C304),1))</f>
        <v/>
      </c>
      <c r="O304" s="113">
        <f>IF($C304="","",IF(AND($D304&lt;&gt;"",$E304&lt;&gt;"",$G304&gt;0,$H304&lt;&gt;"",$I304&lt;&gt;""),IF($C304&gt;TODAY(),"İLERİ TARİH","UYGUN"),"EKSİK"))</f>
        <v/>
      </c>
      <c r="P304" s="6" t="n"/>
      <c r="Q304" s="6" t="n"/>
      <c r="R304" s="3" t="n"/>
      <c r="S304" s="3" t="n"/>
      <c r="T304" s="3" t="n"/>
      <c r="U304" s="3" t="n"/>
      <c r="V304" s="3" t="n"/>
      <c r="W304" s="3" t="n"/>
    </row>
    <row r="305">
      <c r="A305" s="6" t="n"/>
      <c r="B305" s="113">
        <f>IF($C305="","","GG"&amp;TEXT(ROW()-6,"00000"))</f>
        <v/>
      </c>
      <c r="C305" s="225" t="n"/>
      <c r="D305" s="108" t="n"/>
      <c r="E305" s="109" t="n"/>
      <c r="F305" s="109" t="n"/>
      <c r="G305" s="226" t="n"/>
      <c r="H305" s="108" t="n"/>
      <c r="I305" s="108" t="n"/>
      <c r="J305" s="109" t="n"/>
      <c r="K305" s="109" t="n"/>
      <c r="L305" s="121">
        <f>IF($C305="","",IF($D305="Gider",$E305,$H305))</f>
        <v/>
      </c>
      <c r="M305" s="121">
        <f>IF($C305="","",IF($D305="Gider",$H305,$E305))</f>
        <v/>
      </c>
      <c r="N305" s="231">
        <f>IF($C305="","",DATE(YEAR($C305),MONTH($C305),1))</f>
        <v/>
      </c>
      <c r="O305" s="113">
        <f>IF($C305="","",IF(AND($D305&lt;&gt;"",$E305&lt;&gt;"",$G305&gt;0,$H305&lt;&gt;"",$I305&lt;&gt;""),IF($C305&gt;TODAY(),"İLERİ TARİH","UYGUN"),"EKSİK"))</f>
        <v/>
      </c>
      <c r="P305" s="6" t="n"/>
      <c r="Q305" s="6" t="n"/>
      <c r="R305" s="3" t="n"/>
      <c r="S305" s="3" t="n"/>
      <c r="T305" s="3" t="n"/>
      <c r="U305" s="3" t="n"/>
      <c r="V305" s="3" t="n"/>
      <c r="W305" s="3" t="n"/>
    </row>
    <row r="306">
      <c r="A306" s="6" t="n"/>
      <c r="B306" s="113">
        <f>IF($C306="","","GG"&amp;TEXT(ROW()-6,"00000"))</f>
        <v/>
      </c>
      <c r="C306" s="225" t="n"/>
      <c r="D306" s="108" t="n"/>
      <c r="E306" s="109" t="n"/>
      <c r="F306" s="109" t="n"/>
      <c r="G306" s="226" t="n"/>
      <c r="H306" s="108" t="n"/>
      <c r="I306" s="108" t="n"/>
      <c r="J306" s="109" t="n"/>
      <c r="K306" s="109" t="n"/>
      <c r="L306" s="121">
        <f>IF($C306="","",IF($D306="Gider",$E306,$H306))</f>
        <v/>
      </c>
      <c r="M306" s="121">
        <f>IF($C306="","",IF($D306="Gider",$H306,$E306))</f>
        <v/>
      </c>
      <c r="N306" s="231">
        <f>IF($C306="","",DATE(YEAR($C306),MONTH($C306),1))</f>
        <v/>
      </c>
      <c r="O306" s="113">
        <f>IF($C306="","",IF(AND($D306&lt;&gt;"",$E306&lt;&gt;"",$G306&gt;0,$H306&lt;&gt;"",$I306&lt;&gt;""),IF($C306&gt;TODAY(),"İLERİ TARİH","UYGUN"),"EKSİK"))</f>
        <v/>
      </c>
      <c r="P306" s="6" t="n"/>
      <c r="Q306" s="6" t="n"/>
      <c r="R306" s="3" t="n"/>
      <c r="S306" s="3" t="n"/>
      <c r="T306" s="3" t="n"/>
      <c r="U306" s="3" t="n"/>
      <c r="V306" s="3" t="n"/>
      <c r="W306" s="3" t="n"/>
    </row>
    <row r="307">
      <c r="A307" s="6" t="n"/>
      <c r="B307" s="113">
        <f>IF($C307="","","GG"&amp;TEXT(ROW()-6,"00000"))</f>
        <v/>
      </c>
      <c r="C307" s="225" t="n"/>
      <c r="D307" s="108" t="n"/>
      <c r="E307" s="109" t="n"/>
      <c r="F307" s="109" t="n"/>
      <c r="G307" s="226" t="n"/>
      <c r="H307" s="108" t="n"/>
      <c r="I307" s="108" t="n"/>
      <c r="J307" s="109" t="n"/>
      <c r="K307" s="109" t="n"/>
      <c r="L307" s="121">
        <f>IF($C307="","",IF($D307="Gider",$E307,$H307))</f>
        <v/>
      </c>
      <c r="M307" s="121">
        <f>IF($C307="","",IF($D307="Gider",$H307,$E307))</f>
        <v/>
      </c>
      <c r="N307" s="231">
        <f>IF($C307="","",DATE(YEAR($C307),MONTH($C307),1))</f>
        <v/>
      </c>
      <c r="O307" s="113">
        <f>IF($C307="","",IF(AND($D307&lt;&gt;"",$E307&lt;&gt;"",$G307&gt;0,$H307&lt;&gt;"",$I307&lt;&gt;""),IF($C307&gt;TODAY(),"İLERİ TARİH","UYGUN"),"EKSİK"))</f>
        <v/>
      </c>
      <c r="P307" s="6" t="n"/>
      <c r="Q307" s="6" t="n"/>
      <c r="R307" s="3" t="n"/>
      <c r="S307" s="3" t="n"/>
      <c r="T307" s="3" t="n"/>
      <c r="U307" s="3" t="n"/>
      <c r="V307" s="3" t="n"/>
      <c r="W307" s="3" t="n"/>
    </row>
    <row r="308">
      <c r="A308" s="6" t="n"/>
      <c r="B308" s="113">
        <f>IF($C308="","","GG"&amp;TEXT(ROW()-6,"00000"))</f>
        <v/>
      </c>
      <c r="C308" s="225" t="n"/>
      <c r="D308" s="108" t="n"/>
      <c r="E308" s="109" t="n"/>
      <c r="F308" s="109" t="n"/>
      <c r="G308" s="226" t="n"/>
      <c r="H308" s="108" t="n"/>
      <c r="I308" s="108" t="n"/>
      <c r="J308" s="109" t="n"/>
      <c r="K308" s="109" t="n"/>
      <c r="L308" s="121">
        <f>IF($C308="","",IF($D308="Gider",$E308,$H308))</f>
        <v/>
      </c>
      <c r="M308" s="121">
        <f>IF($C308="","",IF($D308="Gider",$H308,$E308))</f>
        <v/>
      </c>
      <c r="N308" s="231">
        <f>IF($C308="","",DATE(YEAR($C308),MONTH($C308),1))</f>
        <v/>
      </c>
      <c r="O308" s="113">
        <f>IF($C308="","",IF(AND($D308&lt;&gt;"",$E308&lt;&gt;"",$G308&gt;0,$H308&lt;&gt;"",$I308&lt;&gt;""),IF($C308&gt;TODAY(),"İLERİ TARİH","UYGUN"),"EKSİK"))</f>
        <v/>
      </c>
      <c r="P308" s="6" t="n"/>
      <c r="Q308" s="6" t="n"/>
      <c r="R308" s="3" t="n"/>
      <c r="S308" s="3" t="n"/>
      <c r="T308" s="3" t="n"/>
      <c r="U308" s="3" t="n"/>
      <c r="V308" s="3" t="n"/>
      <c r="W308" s="3" t="n"/>
    </row>
    <row r="309">
      <c r="A309" s="6" t="n"/>
      <c r="B309" s="113">
        <f>IF($C309="","","GG"&amp;TEXT(ROW()-6,"00000"))</f>
        <v/>
      </c>
      <c r="C309" s="225" t="n"/>
      <c r="D309" s="108" t="n"/>
      <c r="E309" s="109" t="n"/>
      <c r="F309" s="109" t="n"/>
      <c r="G309" s="226" t="n"/>
      <c r="H309" s="108" t="n"/>
      <c r="I309" s="108" t="n"/>
      <c r="J309" s="109" t="n"/>
      <c r="K309" s="109" t="n"/>
      <c r="L309" s="121">
        <f>IF($C309="","",IF($D309="Gider",$E309,$H309))</f>
        <v/>
      </c>
      <c r="M309" s="121">
        <f>IF($C309="","",IF($D309="Gider",$H309,$E309))</f>
        <v/>
      </c>
      <c r="N309" s="231">
        <f>IF($C309="","",DATE(YEAR($C309),MONTH($C309),1))</f>
        <v/>
      </c>
      <c r="O309" s="113">
        <f>IF($C309="","",IF(AND($D309&lt;&gt;"",$E309&lt;&gt;"",$G309&gt;0,$H309&lt;&gt;"",$I309&lt;&gt;""),IF($C309&gt;TODAY(),"İLERİ TARİH","UYGUN"),"EKSİK"))</f>
        <v/>
      </c>
      <c r="P309" s="6" t="n"/>
      <c r="Q309" s="6" t="n"/>
      <c r="R309" s="3" t="n"/>
      <c r="S309" s="3" t="n"/>
      <c r="T309" s="3" t="n"/>
      <c r="U309" s="3" t="n"/>
      <c r="V309" s="3" t="n"/>
      <c r="W309" s="3" t="n"/>
    </row>
    <row r="310">
      <c r="A310" s="6" t="n"/>
      <c r="B310" s="113">
        <f>IF($C310="","","GG"&amp;TEXT(ROW()-6,"00000"))</f>
        <v/>
      </c>
      <c r="C310" s="225" t="n"/>
      <c r="D310" s="108" t="n"/>
      <c r="E310" s="109" t="n"/>
      <c r="F310" s="109" t="n"/>
      <c r="G310" s="226" t="n"/>
      <c r="H310" s="108" t="n"/>
      <c r="I310" s="108" t="n"/>
      <c r="J310" s="109" t="n"/>
      <c r="K310" s="109" t="n"/>
      <c r="L310" s="121">
        <f>IF($C310="","",IF($D310="Gider",$E310,$H310))</f>
        <v/>
      </c>
      <c r="M310" s="121">
        <f>IF($C310="","",IF($D310="Gider",$H310,$E310))</f>
        <v/>
      </c>
      <c r="N310" s="231">
        <f>IF($C310="","",DATE(YEAR($C310),MONTH($C310),1))</f>
        <v/>
      </c>
      <c r="O310" s="113">
        <f>IF($C310="","",IF(AND($D310&lt;&gt;"",$E310&lt;&gt;"",$G310&gt;0,$H310&lt;&gt;"",$I310&lt;&gt;""),IF($C310&gt;TODAY(),"İLERİ TARİH","UYGUN"),"EKSİK"))</f>
        <v/>
      </c>
      <c r="P310" s="6" t="n"/>
      <c r="Q310" s="6" t="n"/>
      <c r="R310" s="3" t="n"/>
      <c r="S310" s="3" t="n"/>
      <c r="T310" s="3" t="n"/>
      <c r="U310" s="3" t="n"/>
      <c r="V310" s="3" t="n"/>
      <c r="W310" s="3" t="n"/>
    </row>
    <row r="311">
      <c r="A311" s="6" t="n"/>
      <c r="B311" s="113">
        <f>IF($C311="","","GG"&amp;TEXT(ROW()-6,"00000"))</f>
        <v/>
      </c>
      <c r="C311" s="225" t="n"/>
      <c r="D311" s="108" t="n"/>
      <c r="E311" s="109" t="n"/>
      <c r="F311" s="109" t="n"/>
      <c r="G311" s="226" t="n"/>
      <c r="H311" s="108" t="n"/>
      <c r="I311" s="108" t="n"/>
      <c r="J311" s="109" t="n"/>
      <c r="K311" s="109" t="n"/>
      <c r="L311" s="121">
        <f>IF($C311="","",IF($D311="Gider",$E311,$H311))</f>
        <v/>
      </c>
      <c r="M311" s="121">
        <f>IF($C311="","",IF($D311="Gider",$H311,$E311))</f>
        <v/>
      </c>
      <c r="N311" s="231">
        <f>IF($C311="","",DATE(YEAR($C311),MONTH($C311),1))</f>
        <v/>
      </c>
      <c r="O311" s="113">
        <f>IF($C311="","",IF(AND($D311&lt;&gt;"",$E311&lt;&gt;"",$G311&gt;0,$H311&lt;&gt;"",$I311&lt;&gt;""),IF($C311&gt;TODAY(),"İLERİ TARİH","UYGUN"),"EKSİK"))</f>
        <v/>
      </c>
      <c r="P311" s="6" t="n"/>
      <c r="Q311" s="6" t="n"/>
      <c r="R311" s="3" t="n"/>
      <c r="S311" s="3" t="n"/>
      <c r="T311" s="3" t="n"/>
      <c r="U311" s="3" t="n"/>
      <c r="V311" s="3" t="n"/>
      <c r="W311" s="3" t="n"/>
    </row>
    <row r="312">
      <c r="A312" s="6" t="n"/>
      <c r="B312" s="113">
        <f>IF($C312="","","GG"&amp;TEXT(ROW()-6,"00000"))</f>
        <v/>
      </c>
      <c r="C312" s="225" t="n"/>
      <c r="D312" s="108" t="n"/>
      <c r="E312" s="109" t="n"/>
      <c r="F312" s="109" t="n"/>
      <c r="G312" s="226" t="n"/>
      <c r="H312" s="108" t="n"/>
      <c r="I312" s="108" t="n"/>
      <c r="J312" s="109" t="n"/>
      <c r="K312" s="109" t="n"/>
      <c r="L312" s="121">
        <f>IF($C312="","",IF($D312="Gider",$E312,$H312))</f>
        <v/>
      </c>
      <c r="M312" s="121">
        <f>IF($C312="","",IF($D312="Gider",$H312,$E312))</f>
        <v/>
      </c>
      <c r="N312" s="231">
        <f>IF($C312="","",DATE(YEAR($C312),MONTH($C312),1))</f>
        <v/>
      </c>
      <c r="O312" s="113">
        <f>IF($C312="","",IF(AND($D312&lt;&gt;"",$E312&lt;&gt;"",$G312&gt;0,$H312&lt;&gt;"",$I312&lt;&gt;""),IF($C312&gt;TODAY(),"İLERİ TARİH","UYGUN"),"EKSİK"))</f>
        <v/>
      </c>
      <c r="P312" s="6" t="n"/>
      <c r="Q312" s="6" t="n"/>
      <c r="R312" s="3" t="n"/>
      <c r="S312" s="3" t="n"/>
      <c r="T312" s="3" t="n"/>
      <c r="U312" s="3" t="n"/>
      <c r="V312" s="3" t="n"/>
      <c r="W312" s="3" t="n"/>
    </row>
    <row r="313">
      <c r="A313" s="6" t="n"/>
      <c r="B313" s="113">
        <f>IF($C313="","","GG"&amp;TEXT(ROW()-6,"00000"))</f>
        <v/>
      </c>
      <c r="C313" s="225" t="n"/>
      <c r="D313" s="108" t="n"/>
      <c r="E313" s="109" t="n"/>
      <c r="F313" s="109" t="n"/>
      <c r="G313" s="226" t="n"/>
      <c r="H313" s="108" t="n"/>
      <c r="I313" s="108" t="n"/>
      <c r="J313" s="109" t="n"/>
      <c r="K313" s="109" t="n"/>
      <c r="L313" s="121">
        <f>IF($C313="","",IF($D313="Gider",$E313,$H313))</f>
        <v/>
      </c>
      <c r="M313" s="121">
        <f>IF($C313="","",IF($D313="Gider",$H313,$E313))</f>
        <v/>
      </c>
      <c r="N313" s="231">
        <f>IF($C313="","",DATE(YEAR($C313),MONTH($C313),1))</f>
        <v/>
      </c>
      <c r="O313" s="113">
        <f>IF($C313="","",IF(AND($D313&lt;&gt;"",$E313&lt;&gt;"",$G313&gt;0,$H313&lt;&gt;"",$I313&lt;&gt;""),IF($C313&gt;TODAY(),"İLERİ TARİH","UYGUN"),"EKSİK"))</f>
        <v/>
      </c>
      <c r="P313" s="6" t="n"/>
      <c r="Q313" s="6" t="n"/>
      <c r="R313" s="3" t="n"/>
      <c r="S313" s="3" t="n"/>
      <c r="T313" s="3" t="n"/>
      <c r="U313" s="3" t="n"/>
      <c r="V313" s="3" t="n"/>
      <c r="W313" s="3" t="n"/>
    </row>
    <row r="314">
      <c r="A314" s="6" t="n"/>
      <c r="B314" s="113">
        <f>IF($C314="","","GG"&amp;TEXT(ROW()-6,"00000"))</f>
        <v/>
      </c>
      <c r="C314" s="225" t="n"/>
      <c r="D314" s="108" t="n"/>
      <c r="E314" s="109" t="n"/>
      <c r="F314" s="109" t="n"/>
      <c r="G314" s="226" t="n"/>
      <c r="H314" s="108" t="n"/>
      <c r="I314" s="108" t="n"/>
      <c r="J314" s="109" t="n"/>
      <c r="K314" s="109" t="n"/>
      <c r="L314" s="121">
        <f>IF($C314="","",IF($D314="Gider",$E314,$H314))</f>
        <v/>
      </c>
      <c r="M314" s="121">
        <f>IF($C314="","",IF($D314="Gider",$H314,$E314))</f>
        <v/>
      </c>
      <c r="N314" s="231">
        <f>IF($C314="","",DATE(YEAR($C314),MONTH($C314),1))</f>
        <v/>
      </c>
      <c r="O314" s="113">
        <f>IF($C314="","",IF(AND($D314&lt;&gt;"",$E314&lt;&gt;"",$G314&gt;0,$H314&lt;&gt;"",$I314&lt;&gt;""),IF($C314&gt;TODAY(),"İLERİ TARİH","UYGUN"),"EKSİK"))</f>
        <v/>
      </c>
      <c r="P314" s="6" t="n"/>
      <c r="Q314" s="6" t="n"/>
      <c r="R314" s="3" t="n"/>
      <c r="S314" s="3" t="n"/>
      <c r="T314" s="3" t="n"/>
      <c r="U314" s="3" t="n"/>
      <c r="V314" s="3" t="n"/>
      <c r="W314" s="3" t="n"/>
    </row>
    <row r="315">
      <c r="A315" s="6" t="n"/>
      <c r="B315" s="113">
        <f>IF($C315="","","GG"&amp;TEXT(ROW()-6,"00000"))</f>
        <v/>
      </c>
      <c r="C315" s="225" t="n"/>
      <c r="D315" s="108" t="n"/>
      <c r="E315" s="109" t="n"/>
      <c r="F315" s="109" t="n"/>
      <c r="G315" s="226" t="n"/>
      <c r="H315" s="108" t="n"/>
      <c r="I315" s="108" t="n"/>
      <c r="J315" s="109" t="n"/>
      <c r="K315" s="109" t="n"/>
      <c r="L315" s="121">
        <f>IF($C315="","",IF($D315="Gider",$E315,$H315))</f>
        <v/>
      </c>
      <c r="M315" s="121">
        <f>IF($C315="","",IF($D315="Gider",$H315,$E315))</f>
        <v/>
      </c>
      <c r="N315" s="231">
        <f>IF($C315="","",DATE(YEAR($C315),MONTH($C315),1))</f>
        <v/>
      </c>
      <c r="O315" s="113">
        <f>IF($C315="","",IF(AND($D315&lt;&gt;"",$E315&lt;&gt;"",$G315&gt;0,$H315&lt;&gt;"",$I315&lt;&gt;""),IF($C315&gt;TODAY(),"İLERİ TARİH","UYGUN"),"EKSİK"))</f>
        <v/>
      </c>
      <c r="P315" s="6" t="n"/>
      <c r="Q315" s="6" t="n"/>
      <c r="R315" s="3" t="n"/>
      <c r="S315" s="3" t="n"/>
      <c r="T315" s="3" t="n"/>
      <c r="U315" s="3" t="n"/>
      <c r="V315" s="3" t="n"/>
      <c r="W315" s="3" t="n"/>
    </row>
    <row r="316">
      <c r="A316" s="6" t="n"/>
      <c r="B316" s="113">
        <f>IF($C316="","","GG"&amp;TEXT(ROW()-6,"00000"))</f>
        <v/>
      </c>
      <c r="C316" s="225" t="n"/>
      <c r="D316" s="108" t="n"/>
      <c r="E316" s="109" t="n"/>
      <c r="F316" s="109" t="n"/>
      <c r="G316" s="226" t="n"/>
      <c r="H316" s="108" t="n"/>
      <c r="I316" s="108" t="n"/>
      <c r="J316" s="109" t="n"/>
      <c r="K316" s="109" t="n"/>
      <c r="L316" s="121">
        <f>IF($C316="","",IF($D316="Gider",$E316,$H316))</f>
        <v/>
      </c>
      <c r="M316" s="121">
        <f>IF($C316="","",IF($D316="Gider",$H316,$E316))</f>
        <v/>
      </c>
      <c r="N316" s="231">
        <f>IF($C316="","",DATE(YEAR($C316),MONTH($C316),1))</f>
        <v/>
      </c>
      <c r="O316" s="113">
        <f>IF($C316="","",IF(AND($D316&lt;&gt;"",$E316&lt;&gt;"",$G316&gt;0,$H316&lt;&gt;"",$I316&lt;&gt;""),IF($C316&gt;TODAY(),"İLERİ TARİH","UYGUN"),"EKSİK"))</f>
        <v/>
      </c>
      <c r="P316" s="6" t="n"/>
      <c r="Q316" s="6" t="n"/>
      <c r="R316" s="3" t="n"/>
      <c r="S316" s="3" t="n"/>
      <c r="T316" s="3" t="n"/>
      <c r="U316" s="3" t="n"/>
      <c r="V316" s="3" t="n"/>
      <c r="W316" s="3" t="n"/>
    </row>
    <row r="317">
      <c r="A317" s="6" t="n"/>
      <c r="B317" s="113">
        <f>IF($C317="","","GG"&amp;TEXT(ROW()-6,"00000"))</f>
        <v/>
      </c>
      <c r="C317" s="225" t="n"/>
      <c r="D317" s="108" t="n"/>
      <c r="E317" s="109" t="n"/>
      <c r="F317" s="109" t="n"/>
      <c r="G317" s="226" t="n"/>
      <c r="H317" s="108" t="n"/>
      <c r="I317" s="108" t="n"/>
      <c r="J317" s="109" t="n"/>
      <c r="K317" s="109" t="n"/>
      <c r="L317" s="121">
        <f>IF($C317="","",IF($D317="Gider",$E317,$H317))</f>
        <v/>
      </c>
      <c r="M317" s="121">
        <f>IF($C317="","",IF($D317="Gider",$H317,$E317))</f>
        <v/>
      </c>
      <c r="N317" s="231">
        <f>IF($C317="","",DATE(YEAR($C317),MONTH($C317),1))</f>
        <v/>
      </c>
      <c r="O317" s="113">
        <f>IF($C317="","",IF(AND($D317&lt;&gt;"",$E317&lt;&gt;"",$G317&gt;0,$H317&lt;&gt;"",$I317&lt;&gt;""),IF($C317&gt;TODAY(),"İLERİ TARİH","UYGUN"),"EKSİK"))</f>
        <v/>
      </c>
      <c r="P317" s="6" t="n"/>
      <c r="Q317" s="6" t="n"/>
      <c r="R317" s="3" t="n"/>
      <c r="S317" s="3" t="n"/>
      <c r="T317" s="3" t="n"/>
      <c r="U317" s="3" t="n"/>
      <c r="V317" s="3" t="n"/>
      <c r="W317" s="3" t="n"/>
    </row>
    <row r="318">
      <c r="A318" s="6" t="n"/>
      <c r="B318" s="113">
        <f>IF($C318="","","GG"&amp;TEXT(ROW()-6,"00000"))</f>
        <v/>
      </c>
      <c r="C318" s="225" t="n"/>
      <c r="D318" s="108" t="n"/>
      <c r="E318" s="109" t="n"/>
      <c r="F318" s="109" t="n"/>
      <c r="G318" s="226" t="n"/>
      <c r="H318" s="108" t="n"/>
      <c r="I318" s="108" t="n"/>
      <c r="J318" s="109" t="n"/>
      <c r="K318" s="109" t="n"/>
      <c r="L318" s="121">
        <f>IF($C318="","",IF($D318="Gider",$E318,$H318))</f>
        <v/>
      </c>
      <c r="M318" s="121">
        <f>IF($C318="","",IF($D318="Gider",$H318,$E318))</f>
        <v/>
      </c>
      <c r="N318" s="231">
        <f>IF($C318="","",DATE(YEAR($C318),MONTH($C318),1))</f>
        <v/>
      </c>
      <c r="O318" s="113">
        <f>IF($C318="","",IF(AND($D318&lt;&gt;"",$E318&lt;&gt;"",$G318&gt;0,$H318&lt;&gt;"",$I318&lt;&gt;""),IF($C318&gt;TODAY(),"İLERİ TARİH","UYGUN"),"EKSİK"))</f>
        <v/>
      </c>
      <c r="P318" s="6" t="n"/>
      <c r="Q318" s="6" t="n"/>
      <c r="R318" s="3" t="n"/>
      <c r="S318" s="3" t="n"/>
      <c r="T318" s="3" t="n"/>
      <c r="U318" s="3" t="n"/>
      <c r="V318" s="3" t="n"/>
      <c r="W318" s="3" t="n"/>
    </row>
    <row r="319">
      <c r="A319" s="6" t="n"/>
      <c r="B319" s="113">
        <f>IF($C319="","","GG"&amp;TEXT(ROW()-6,"00000"))</f>
        <v/>
      </c>
      <c r="C319" s="225" t="n"/>
      <c r="D319" s="108" t="n"/>
      <c r="E319" s="109" t="n"/>
      <c r="F319" s="109" t="n"/>
      <c r="G319" s="226" t="n"/>
      <c r="H319" s="108" t="n"/>
      <c r="I319" s="108" t="n"/>
      <c r="J319" s="109" t="n"/>
      <c r="K319" s="109" t="n"/>
      <c r="L319" s="121">
        <f>IF($C319="","",IF($D319="Gider",$E319,$H319))</f>
        <v/>
      </c>
      <c r="M319" s="121">
        <f>IF($C319="","",IF($D319="Gider",$H319,$E319))</f>
        <v/>
      </c>
      <c r="N319" s="231">
        <f>IF($C319="","",DATE(YEAR($C319),MONTH($C319),1))</f>
        <v/>
      </c>
      <c r="O319" s="113">
        <f>IF($C319="","",IF(AND($D319&lt;&gt;"",$E319&lt;&gt;"",$G319&gt;0,$H319&lt;&gt;"",$I319&lt;&gt;""),IF($C319&gt;TODAY(),"İLERİ TARİH","UYGUN"),"EKSİK"))</f>
        <v/>
      </c>
      <c r="P319" s="6" t="n"/>
      <c r="Q319" s="6" t="n"/>
      <c r="R319" s="3" t="n"/>
      <c r="S319" s="3" t="n"/>
      <c r="T319" s="3" t="n"/>
      <c r="U319" s="3" t="n"/>
      <c r="V319" s="3" t="n"/>
      <c r="W319" s="3" t="n"/>
    </row>
    <row r="320">
      <c r="A320" s="6" t="n"/>
      <c r="B320" s="113">
        <f>IF($C320="","","GG"&amp;TEXT(ROW()-6,"00000"))</f>
        <v/>
      </c>
      <c r="C320" s="225" t="n"/>
      <c r="D320" s="108" t="n"/>
      <c r="E320" s="109" t="n"/>
      <c r="F320" s="109" t="n"/>
      <c r="G320" s="226" t="n"/>
      <c r="H320" s="108" t="n"/>
      <c r="I320" s="108" t="n"/>
      <c r="J320" s="109" t="n"/>
      <c r="K320" s="109" t="n"/>
      <c r="L320" s="121">
        <f>IF($C320="","",IF($D320="Gider",$E320,$H320))</f>
        <v/>
      </c>
      <c r="M320" s="121">
        <f>IF($C320="","",IF($D320="Gider",$H320,$E320))</f>
        <v/>
      </c>
      <c r="N320" s="231">
        <f>IF($C320="","",DATE(YEAR($C320),MONTH($C320),1))</f>
        <v/>
      </c>
      <c r="O320" s="113">
        <f>IF($C320="","",IF(AND($D320&lt;&gt;"",$E320&lt;&gt;"",$G320&gt;0,$H320&lt;&gt;"",$I320&lt;&gt;""),IF($C320&gt;TODAY(),"İLERİ TARİH","UYGUN"),"EKSİK"))</f>
        <v/>
      </c>
      <c r="P320" s="6" t="n"/>
      <c r="Q320" s="6" t="n"/>
      <c r="R320" s="3" t="n"/>
      <c r="S320" s="3" t="n"/>
      <c r="T320" s="3" t="n"/>
      <c r="U320" s="3" t="n"/>
      <c r="V320" s="3" t="n"/>
      <c r="W320" s="3" t="n"/>
    </row>
    <row r="321">
      <c r="A321" s="6" t="n"/>
      <c r="B321" s="113">
        <f>IF($C321="","","GG"&amp;TEXT(ROW()-6,"00000"))</f>
        <v/>
      </c>
      <c r="C321" s="225" t="n"/>
      <c r="D321" s="108" t="n"/>
      <c r="E321" s="109" t="n"/>
      <c r="F321" s="109" t="n"/>
      <c r="G321" s="226" t="n"/>
      <c r="H321" s="108" t="n"/>
      <c r="I321" s="108" t="n"/>
      <c r="J321" s="109" t="n"/>
      <c r="K321" s="109" t="n"/>
      <c r="L321" s="121">
        <f>IF($C321="","",IF($D321="Gider",$E321,$H321))</f>
        <v/>
      </c>
      <c r="M321" s="121">
        <f>IF($C321="","",IF($D321="Gider",$H321,$E321))</f>
        <v/>
      </c>
      <c r="N321" s="231">
        <f>IF($C321="","",DATE(YEAR($C321),MONTH($C321),1))</f>
        <v/>
      </c>
      <c r="O321" s="113">
        <f>IF($C321="","",IF(AND($D321&lt;&gt;"",$E321&lt;&gt;"",$G321&gt;0,$H321&lt;&gt;"",$I321&lt;&gt;""),IF($C321&gt;TODAY(),"İLERİ TARİH","UYGUN"),"EKSİK"))</f>
        <v/>
      </c>
      <c r="P321" s="6" t="n"/>
      <c r="Q321" s="6" t="n"/>
      <c r="R321" s="3" t="n"/>
      <c r="S321" s="3" t="n"/>
      <c r="T321" s="3" t="n"/>
      <c r="U321" s="3" t="n"/>
      <c r="V321" s="3" t="n"/>
      <c r="W321" s="3" t="n"/>
    </row>
    <row r="322">
      <c r="A322" s="6" t="n"/>
      <c r="B322" s="113">
        <f>IF($C322="","","GG"&amp;TEXT(ROW()-6,"00000"))</f>
        <v/>
      </c>
      <c r="C322" s="225" t="n"/>
      <c r="D322" s="108" t="n"/>
      <c r="E322" s="109" t="n"/>
      <c r="F322" s="109" t="n"/>
      <c r="G322" s="226" t="n"/>
      <c r="H322" s="108" t="n"/>
      <c r="I322" s="108" t="n"/>
      <c r="J322" s="109" t="n"/>
      <c r="K322" s="109" t="n"/>
      <c r="L322" s="121">
        <f>IF($C322="","",IF($D322="Gider",$E322,$H322))</f>
        <v/>
      </c>
      <c r="M322" s="121">
        <f>IF($C322="","",IF($D322="Gider",$H322,$E322))</f>
        <v/>
      </c>
      <c r="N322" s="231">
        <f>IF($C322="","",DATE(YEAR($C322),MONTH($C322),1))</f>
        <v/>
      </c>
      <c r="O322" s="113">
        <f>IF($C322="","",IF(AND($D322&lt;&gt;"",$E322&lt;&gt;"",$G322&gt;0,$H322&lt;&gt;"",$I322&lt;&gt;""),IF($C322&gt;TODAY(),"İLERİ TARİH","UYGUN"),"EKSİK"))</f>
        <v/>
      </c>
      <c r="P322" s="6" t="n"/>
      <c r="Q322" s="6" t="n"/>
      <c r="R322" s="3" t="n"/>
      <c r="S322" s="3" t="n"/>
      <c r="T322" s="3" t="n"/>
      <c r="U322" s="3" t="n"/>
      <c r="V322" s="3" t="n"/>
      <c r="W322" s="3" t="n"/>
    </row>
    <row r="323">
      <c r="A323" s="6" t="n"/>
      <c r="B323" s="113">
        <f>IF($C323="","","GG"&amp;TEXT(ROW()-6,"00000"))</f>
        <v/>
      </c>
      <c r="C323" s="225" t="n"/>
      <c r="D323" s="108" t="n"/>
      <c r="E323" s="109" t="n"/>
      <c r="F323" s="109" t="n"/>
      <c r="G323" s="226" t="n"/>
      <c r="H323" s="108" t="n"/>
      <c r="I323" s="108" t="n"/>
      <c r="J323" s="109" t="n"/>
      <c r="K323" s="109" t="n"/>
      <c r="L323" s="121">
        <f>IF($C323="","",IF($D323="Gider",$E323,$H323))</f>
        <v/>
      </c>
      <c r="M323" s="121">
        <f>IF($C323="","",IF($D323="Gider",$H323,$E323))</f>
        <v/>
      </c>
      <c r="N323" s="231">
        <f>IF($C323="","",DATE(YEAR($C323),MONTH($C323),1))</f>
        <v/>
      </c>
      <c r="O323" s="113">
        <f>IF($C323="","",IF(AND($D323&lt;&gt;"",$E323&lt;&gt;"",$G323&gt;0,$H323&lt;&gt;"",$I323&lt;&gt;""),IF($C323&gt;TODAY(),"İLERİ TARİH","UYGUN"),"EKSİK"))</f>
        <v/>
      </c>
      <c r="P323" s="6" t="n"/>
      <c r="Q323" s="6" t="n"/>
      <c r="R323" s="3" t="n"/>
      <c r="S323" s="3" t="n"/>
      <c r="T323" s="3" t="n"/>
      <c r="U323" s="3" t="n"/>
      <c r="V323" s="3" t="n"/>
      <c r="W323" s="3" t="n"/>
    </row>
    <row r="324">
      <c r="A324" s="6" t="n"/>
      <c r="B324" s="113">
        <f>IF($C324="","","GG"&amp;TEXT(ROW()-6,"00000"))</f>
        <v/>
      </c>
      <c r="C324" s="225" t="n"/>
      <c r="D324" s="108" t="n"/>
      <c r="E324" s="109" t="n"/>
      <c r="F324" s="109" t="n"/>
      <c r="G324" s="226" t="n"/>
      <c r="H324" s="108" t="n"/>
      <c r="I324" s="108" t="n"/>
      <c r="J324" s="109" t="n"/>
      <c r="K324" s="109" t="n"/>
      <c r="L324" s="121">
        <f>IF($C324="","",IF($D324="Gider",$E324,$H324))</f>
        <v/>
      </c>
      <c r="M324" s="121">
        <f>IF($C324="","",IF($D324="Gider",$H324,$E324))</f>
        <v/>
      </c>
      <c r="N324" s="231">
        <f>IF($C324="","",DATE(YEAR($C324),MONTH($C324),1))</f>
        <v/>
      </c>
      <c r="O324" s="113">
        <f>IF($C324="","",IF(AND($D324&lt;&gt;"",$E324&lt;&gt;"",$G324&gt;0,$H324&lt;&gt;"",$I324&lt;&gt;""),IF($C324&gt;TODAY(),"İLERİ TARİH","UYGUN"),"EKSİK"))</f>
        <v/>
      </c>
      <c r="P324" s="6" t="n"/>
      <c r="Q324" s="6" t="n"/>
      <c r="R324" s="3" t="n"/>
      <c r="S324" s="3" t="n"/>
      <c r="T324" s="3" t="n"/>
      <c r="U324" s="3" t="n"/>
      <c r="V324" s="3" t="n"/>
      <c r="W324" s="3" t="n"/>
    </row>
    <row r="325">
      <c r="A325" s="6" t="n"/>
      <c r="B325" s="113">
        <f>IF($C325="","","GG"&amp;TEXT(ROW()-6,"00000"))</f>
        <v/>
      </c>
      <c r="C325" s="225" t="n"/>
      <c r="D325" s="108" t="n"/>
      <c r="E325" s="109" t="n"/>
      <c r="F325" s="109" t="n"/>
      <c r="G325" s="226" t="n"/>
      <c r="H325" s="108" t="n"/>
      <c r="I325" s="108" t="n"/>
      <c r="J325" s="109" t="n"/>
      <c r="K325" s="109" t="n"/>
      <c r="L325" s="121">
        <f>IF($C325="","",IF($D325="Gider",$E325,$H325))</f>
        <v/>
      </c>
      <c r="M325" s="121">
        <f>IF($C325="","",IF($D325="Gider",$H325,$E325))</f>
        <v/>
      </c>
      <c r="N325" s="231">
        <f>IF($C325="","",DATE(YEAR($C325),MONTH($C325),1))</f>
        <v/>
      </c>
      <c r="O325" s="113">
        <f>IF($C325="","",IF(AND($D325&lt;&gt;"",$E325&lt;&gt;"",$G325&gt;0,$H325&lt;&gt;"",$I325&lt;&gt;""),IF($C325&gt;TODAY(),"İLERİ TARİH","UYGUN"),"EKSİK"))</f>
        <v/>
      </c>
      <c r="P325" s="6" t="n"/>
      <c r="Q325" s="6" t="n"/>
      <c r="R325" s="3" t="n"/>
      <c r="S325" s="3" t="n"/>
      <c r="T325" s="3" t="n"/>
      <c r="U325" s="3" t="n"/>
      <c r="V325" s="3" t="n"/>
      <c r="W325" s="3" t="n"/>
    </row>
    <row r="326">
      <c r="A326" s="6" t="n"/>
      <c r="B326" s="113">
        <f>IF($C326="","","GG"&amp;TEXT(ROW()-6,"00000"))</f>
        <v/>
      </c>
      <c r="C326" s="225" t="n"/>
      <c r="D326" s="108" t="n"/>
      <c r="E326" s="109" t="n"/>
      <c r="F326" s="109" t="n"/>
      <c r="G326" s="226" t="n"/>
      <c r="H326" s="108" t="n"/>
      <c r="I326" s="108" t="n"/>
      <c r="J326" s="109" t="n"/>
      <c r="K326" s="109" t="n"/>
      <c r="L326" s="121">
        <f>IF($C326="","",IF($D326="Gider",$E326,$H326))</f>
        <v/>
      </c>
      <c r="M326" s="121">
        <f>IF($C326="","",IF($D326="Gider",$H326,$E326))</f>
        <v/>
      </c>
      <c r="N326" s="231">
        <f>IF($C326="","",DATE(YEAR($C326),MONTH($C326),1))</f>
        <v/>
      </c>
      <c r="O326" s="113">
        <f>IF($C326="","",IF(AND($D326&lt;&gt;"",$E326&lt;&gt;"",$G326&gt;0,$H326&lt;&gt;"",$I326&lt;&gt;""),IF($C326&gt;TODAY(),"İLERİ TARİH","UYGUN"),"EKSİK"))</f>
        <v/>
      </c>
      <c r="P326" s="6" t="n"/>
      <c r="Q326" s="6" t="n"/>
      <c r="R326" s="3" t="n"/>
      <c r="S326" s="3" t="n"/>
      <c r="T326" s="3" t="n"/>
      <c r="U326" s="3" t="n"/>
      <c r="V326" s="3" t="n"/>
      <c r="W326" s="3" t="n"/>
    </row>
    <row r="327">
      <c r="A327" s="6" t="n"/>
      <c r="B327" s="113">
        <f>IF($C327="","","GG"&amp;TEXT(ROW()-6,"00000"))</f>
        <v/>
      </c>
      <c r="C327" s="225" t="n"/>
      <c r="D327" s="108" t="n"/>
      <c r="E327" s="109" t="n"/>
      <c r="F327" s="109" t="n"/>
      <c r="G327" s="226" t="n"/>
      <c r="H327" s="108" t="n"/>
      <c r="I327" s="108" t="n"/>
      <c r="J327" s="109" t="n"/>
      <c r="K327" s="109" t="n"/>
      <c r="L327" s="121">
        <f>IF($C327="","",IF($D327="Gider",$E327,$H327))</f>
        <v/>
      </c>
      <c r="M327" s="121">
        <f>IF($C327="","",IF($D327="Gider",$H327,$E327))</f>
        <v/>
      </c>
      <c r="N327" s="231">
        <f>IF($C327="","",DATE(YEAR($C327),MONTH($C327),1))</f>
        <v/>
      </c>
      <c r="O327" s="113">
        <f>IF($C327="","",IF(AND($D327&lt;&gt;"",$E327&lt;&gt;"",$G327&gt;0,$H327&lt;&gt;"",$I327&lt;&gt;""),IF($C327&gt;TODAY(),"İLERİ TARİH","UYGUN"),"EKSİK"))</f>
        <v/>
      </c>
      <c r="P327" s="6" t="n"/>
      <c r="Q327" s="6" t="n"/>
      <c r="R327" s="3" t="n"/>
      <c r="S327" s="3" t="n"/>
      <c r="T327" s="3" t="n"/>
      <c r="U327" s="3" t="n"/>
      <c r="V327" s="3" t="n"/>
      <c r="W327" s="3" t="n"/>
    </row>
    <row r="328">
      <c r="A328" s="6" t="n"/>
      <c r="B328" s="113">
        <f>IF($C328="","","GG"&amp;TEXT(ROW()-6,"00000"))</f>
        <v/>
      </c>
      <c r="C328" s="225" t="n"/>
      <c r="D328" s="108" t="n"/>
      <c r="E328" s="109" t="n"/>
      <c r="F328" s="109" t="n"/>
      <c r="G328" s="226" t="n"/>
      <c r="H328" s="108" t="n"/>
      <c r="I328" s="108" t="n"/>
      <c r="J328" s="109" t="n"/>
      <c r="K328" s="109" t="n"/>
      <c r="L328" s="121">
        <f>IF($C328="","",IF($D328="Gider",$E328,$H328))</f>
        <v/>
      </c>
      <c r="M328" s="121">
        <f>IF($C328="","",IF($D328="Gider",$H328,$E328))</f>
        <v/>
      </c>
      <c r="N328" s="231">
        <f>IF($C328="","",DATE(YEAR($C328),MONTH($C328),1))</f>
        <v/>
      </c>
      <c r="O328" s="113">
        <f>IF($C328="","",IF(AND($D328&lt;&gt;"",$E328&lt;&gt;"",$G328&gt;0,$H328&lt;&gt;"",$I328&lt;&gt;""),IF($C328&gt;TODAY(),"İLERİ TARİH","UYGUN"),"EKSİK"))</f>
        <v/>
      </c>
      <c r="P328" s="6" t="n"/>
      <c r="Q328" s="6" t="n"/>
      <c r="R328" s="3" t="n"/>
      <c r="S328" s="3" t="n"/>
      <c r="T328" s="3" t="n"/>
      <c r="U328" s="3" t="n"/>
      <c r="V328" s="3" t="n"/>
      <c r="W328" s="3" t="n"/>
    </row>
    <row r="329">
      <c r="A329" s="6" t="n"/>
      <c r="B329" s="113">
        <f>IF($C329="","","GG"&amp;TEXT(ROW()-6,"00000"))</f>
        <v/>
      </c>
      <c r="C329" s="225" t="n"/>
      <c r="D329" s="108" t="n"/>
      <c r="E329" s="109" t="n"/>
      <c r="F329" s="109" t="n"/>
      <c r="G329" s="226" t="n"/>
      <c r="H329" s="108" t="n"/>
      <c r="I329" s="108" t="n"/>
      <c r="J329" s="109" t="n"/>
      <c r="K329" s="109" t="n"/>
      <c r="L329" s="121">
        <f>IF($C329="","",IF($D329="Gider",$E329,$H329))</f>
        <v/>
      </c>
      <c r="M329" s="121">
        <f>IF($C329="","",IF($D329="Gider",$H329,$E329))</f>
        <v/>
      </c>
      <c r="N329" s="231">
        <f>IF($C329="","",DATE(YEAR($C329),MONTH($C329),1))</f>
        <v/>
      </c>
      <c r="O329" s="113">
        <f>IF($C329="","",IF(AND($D329&lt;&gt;"",$E329&lt;&gt;"",$G329&gt;0,$H329&lt;&gt;"",$I329&lt;&gt;""),IF($C329&gt;TODAY(),"İLERİ TARİH","UYGUN"),"EKSİK"))</f>
        <v/>
      </c>
      <c r="P329" s="6" t="n"/>
      <c r="Q329" s="6" t="n"/>
      <c r="R329" s="3" t="n"/>
      <c r="S329" s="3" t="n"/>
      <c r="T329" s="3" t="n"/>
      <c r="U329" s="3" t="n"/>
      <c r="V329" s="3" t="n"/>
      <c r="W329" s="3" t="n"/>
    </row>
    <row r="330">
      <c r="A330" s="6" t="n"/>
      <c r="B330" s="113">
        <f>IF($C330="","","GG"&amp;TEXT(ROW()-6,"00000"))</f>
        <v/>
      </c>
      <c r="C330" s="225" t="n"/>
      <c r="D330" s="108" t="n"/>
      <c r="E330" s="109" t="n"/>
      <c r="F330" s="109" t="n"/>
      <c r="G330" s="226" t="n"/>
      <c r="H330" s="108" t="n"/>
      <c r="I330" s="108" t="n"/>
      <c r="J330" s="109" t="n"/>
      <c r="K330" s="109" t="n"/>
      <c r="L330" s="121">
        <f>IF($C330="","",IF($D330="Gider",$E330,$H330))</f>
        <v/>
      </c>
      <c r="M330" s="121">
        <f>IF($C330="","",IF($D330="Gider",$H330,$E330))</f>
        <v/>
      </c>
      <c r="N330" s="231">
        <f>IF($C330="","",DATE(YEAR($C330),MONTH($C330),1))</f>
        <v/>
      </c>
      <c r="O330" s="113">
        <f>IF($C330="","",IF(AND($D330&lt;&gt;"",$E330&lt;&gt;"",$G330&gt;0,$H330&lt;&gt;"",$I330&lt;&gt;""),IF($C330&gt;TODAY(),"İLERİ TARİH","UYGUN"),"EKSİK"))</f>
        <v/>
      </c>
      <c r="P330" s="6" t="n"/>
      <c r="Q330" s="6" t="n"/>
      <c r="R330" s="3" t="n"/>
      <c r="S330" s="3" t="n"/>
      <c r="T330" s="3" t="n"/>
      <c r="U330" s="3" t="n"/>
      <c r="V330" s="3" t="n"/>
      <c r="W330" s="3" t="n"/>
    </row>
    <row r="331">
      <c r="A331" s="6" t="n"/>
      <c r="B331" s="113">
        <f>IF($C331="","","GG"&amp;TEXT(ROW()-6,"00000"))</f>
        <v/>
      </c>
      <c r="C331" s="225" t="n"/>
      <c r="D331" s="108" t="n"/>
      <c r="E331" s="109" t="n"/>
      <c r="F331" s="109" t="n"/>
      <c r="G331" s="226" t="n"/>
      <c r="H331" s="108" t="n"/>
      <c r="I331" s="108" t="n"/>
      <c r="J331" s="109" t="n"/>
      <c r="K331" s="109" t="n"/>
      <c r="L331" s="121">
        <f>IF($C331="","",IF($D331="Gider",$E331,$H331))</f>
        <v/>
      </c>
      <c r="M331" s="121">
        <f>IF($C331="","",IF($D331="Gider",$H331,$E331))</f>
        <v/>
      </c>
      <c r="N331" s="231">
        <f>IF($C331="","",DATE(YEAR($C331),MONTH($C331),1))</f>
        <v/>
      </c>
      <c r="O331" s="113">
        <f>IF($C331="","",IF(AND($D331&lt;&gt;"",$E331&lt;&gt;"",$G331&gt;0,$H331&lt;&gt;"",$I331&lt;&gt;""),IF($C331&gt;TODAY(),"İLERİ TARİH","UYGUN"),"EKSİK"))</f>
        <v/>
      </c>
      <c r="P331" s="6" t="n"/>
      <c r="Q331" s="6" t="n"/>
      <c r="R331" s="3" t="n"/>
      <c r="S331" s="3" t="n"/>
      <c r="T331" s="3" t="n"/>
      <c r="U331" s="3" t="n"/>
      <c r="V331" s="3" t="n"/>
      <c r="W331" s="3" t="n"/>
    </row>
    <row r="332">
      <c r="A332" s="6" t="n"/>
      <c r="B332" s="113">
        <f>IF($C332="","","GG"&amp;TEXT(ROW()-6,"00000"))</f>
        <v/>
      </c>
      <c r="C332" s="225" t="n"/>
      <c r="D332" s="108" t="n"/>
      <c r="E332" s="109" t="n"/>
      <c r="F332" s="109" t="n"/>
      <c r="G332" s="226" t="n"/>
      <c r="H332" s="108" t="n"/>
      <c r="I332" s="108" t="n"/>
      <c r="J332" s="109" t="n"/>
      <c r="K332" s="109" t="n"/>
      <c r="L332" s="121">
        <f>IF($C332="","",IF($D332="Gider",$E332,$H332))</f>
        <v/>
      </c>
      <c r="M332" s="121">
        <f>IF($C332="","",IF($D332="Gider",$H332,$E332))</f>
        <v/>
      </c>
      <c r="N332" s="231">
        <f>IF($C332="","",DATE(YEAR($C332),MONTH($C332),1))</f>
        <v/>
      </c>
      <c r="O332" s="113">
        <f>IF($C332="","",IF(AND($D332&lt;&gt;"",$E332&lt;&gt;"",$G332&gt;0,$H332&lt;&gt;"",$I332&lt;&gt;""),IF($C332&gt;TODAY(),"İLERİ TARİH","UYGUN"),"EKSİK"))</f>
        <v/>
      </c>
      <c r="P332" s="6" t="n"/>
      <c r="Q332" s="6" t="n"/>
      <c r="R332" s="3" t="n"/>
      <c r="S332" s="3" t="n"/>
      <c r="T332" s="3" t="n"/>
      <c r="U332" s="3" t="n"/>
      <c r="V332" s="3" t="n"/>
      <c r="W332" s="3" t="n"/>
    </row>
    <row r="333">
      <c r="A333" s="6" t="n"/>
      <c r="B333" s="113">
        <f>IF($C333="","","GG"&amp;TEXT(ROW()-6,"00000"))</f>
        <v/>
      </c>
      <c r="C333" s="225" t="n"/>
      <c r="D333" s="108" t="n"/>
      <c r="E333" s="109" t="n"/>
      <c r="F333" s="109" t="n"/>
      <c r="G333" s="226" t="n"/>
      <c r="H333" s="108" t="n"/>
      <c r="I333" s="108" t="n"/>
      <c r="J333" s="109" t="n"/>
      <c r="K333" s="109" t="n"/>
      <c r="L333" s="121">
        <f>IF($C333="","",IF($D333="Gider",$E333,$H333))</f>
        <v/>
      </c>
      <c r="M333" s="121">
        <f>IF($C333="","",IF($D333="Gider",$H333,$E333))</f>
        <v/>
      </c>
      <c r="N333" s="231">
        <f>IF($C333="","",DATE(YEAR($C333),MONTH($C333),1))</f>
        <v/>
      </c>
      <c r="O333" s="113">
        <f>IF($C333="","",IF(AND($D333&lt;&gt;"",$E333&lt;&gt;"",$G333&gt;0,$H333&lt;&gt;"",$I333&lt;&gt;""),IF($C333&gt;TODAY(),"İLERİ TARİH","UYGUN"),"EKSİK"))</f>
        <v/>
      </c>
      <c r="P333" s="6" t="n"/>
      <c r="Q333" s="6" t="n"/>
      <c r="R333" s="3" t="n"/>
      <c r="S333" s="3" t="n"/>
      <c r="T333" s="3" t="n"/>
      <c r="U333" s="3" t="n"/>
      <c r="V333" s="3" t="n"/>
      <c r="W333" s="3" t="n"/>
    </row>
    <row r="334">
      <c r="A334" s="6" t="n"/>
      <c r="B334" s="113">
        <f>IF($C334="","","GG"&amp;TEXT(ROW()-6,"00000"))</f>
        <v/>
      </c>
      <c r="C334" s="225" t="n"/>
      <c r="D334" s="108" t="n"/>
      <c r="E334" s="109" t="n"/>
      <c r="F334" s="109" t="n"/>
      <c r="G334" s="226" t="n"/>
      <c r="H334" s="108" t="n"/>
      <c r="I334" s="108" t="n"/>
      <c r="J334" s="109" t="n"/>
      <c r="K334" s="109" t="n"/>
      <c r="L334" s="121">
        <f>IF($C334="","",IF($D334="Gider",$E334,$H334))</f>
        <v/>
      </c>
      <c r="M334" s="121">
        <f>IF($C334="","",IF($D334="Gider",$H334,$E334))</f>
        <v/>
      </c>
      <c r="N334" s="231">
        <f>IF($C334="","",DATE(YEAR($C334),MONTH($C334),1))</f>
        <v/>
      </c>
      <c r="O334" s="113">
        <f>IF($C334="","",IF(AND($D334&lt;&gt;"",$E334&lt;&gt;"",$G334&gt;0,$H334&lt;&gt;"",$I334&lt;&gt;""),IF($C334&gt;TODAY(),"İLERİ TARİH","UYGUN"),"EKSİK"))</f>
        <v/>
      </c>
      <c r="P334" s="6" t="n"/>
      <c r="Q334" s="6" t="n"/>
      <c r="R334" s="3" t="n"/>
      <c r="S334" s="3" t="n"/>
      <c r="T334" s="3" t="n"/>
      <c r="U334" s="3" t="n"/>
      <c r="V334" s="3" t="n"/>
      <c r="W334" s="3" t="n"/>
    </row>
    <row r="335">
      <c r="A335" s="6" t="n"/>
      <c r="B335" s="113">
        <f>IF($C335="","","GG"&amp;TEXT(ROW()-6,"00000"))</f>
        <v/>
      </c>
      <c r="C335" s="225" t="n"/>
      <c r="D335" s="108" t="n"/>
      <c r="E335" s="109" t="n"/>
      <c r="F335" s="109" t="n"/>
      <c r="G335" s="226" t="n"/>
      <c r="H335" s="108" t="n"/>
      <c r="I335" s="108" t="n"/>
      <c r="J335" s="109" t="n"/>
      <c r="K335" s="109" t="n"/>
      <c r="L335" s="121">
        <f>IF($C335="","",IF($D335="Gider",$E335,$H335))</f>
        <v/>
      </c>
      <c r="M335" s="121">
        <f>IF($C335="","",IF($D335="Gider",$H335,$E335))</f>
        <v/>
      </c>
      <c r="N335" s="231">
        <f>IF($C335="","",DATE(YEAR($C335),MONTH($C335),1))</f>
        <v/>
      </c>
      <c r="O335" s="113">
        <f>IF($C335="","",IF(AND($D335&lt;&gt;"",$E335&lt;&gt;"",$G335&gt;0,$H335&lt;&gt;"",$I335&lt;&gt;""),IF($C335&gt;TODAY(),"İLERİ TARİH","UYGUN"),"EKSİK"))</f>
        <v/>
      </c>
      <c r="P335" s="6" t="n"/>
      <c r="Q335" s="6" t="n"/>
      <c r="R335" s="3" t="n"/>
      <c r="S335" s="3" t="n"/>
      <c r="T335" s="3" t="n"/>
      <c r="U335" s="3" t="n"/>
      <c r="V335" s="3" t="n"/>
      <c r="W335" s="3" t="n"/>
    </row>
    <row r="336">
      <c r="A336" s="6" t="n"/>
      <c r="B336" s="113">
        <f>IF($C336="","","GG"&amp;TEXT(ROW()-6,"00000"))</f>
        <v/>
      </c>
      <c r="C336" s="225" t="n"/>
      <c r="D336" s="108" t="n"/>
      <c r="E336" s="109" t="n"/>
      <c r="F336" s="109" t="n"/>
      <c r="G336" s="226" t="n"/>
      <c r="H336" s="108" t="n"/>
      <c r="I336" s="108" t="n"/>
      <c r="J336" s="109" t="n"/>
      <c r="K336" s="109" t="n"/>
      <c r="L336" s="121">
        <f>IF($C336="","",IF($D336="Gider",$E336,$H336))</f>
        <v/>
      </c>
      <c r="M336" s="121">
        <f>IF($C336="","",IF($D336="Gider",$H336,$E336))</f>
        <v/>
      </c>
      <c r="N336" s="231">
        <f>IF($C336="","",DATE(YEAR($C336),MONTH($C336),1))</f>
        <v/>
      </c>
      <c r="O336" s="113">
        <f>IF($C336="","",IF(AND($D336&lt;&gt;"",$E336&lt;&gt;"",$G336&gt;0,$H336&lt;&gt;"",$I336&lt;&gt;""),IF($C336&gt;TODAY(),"İLERİ TARİH","UYGUN"),"EKSİK"))</f>
        <v/>
      </c>
      <c r="P336" s="6" t="n"/>
      <c r="Q336" s="6" t="n"/>
      <c r="R336" s="3" t="n"/>
      <c r="S336" s="3" t="n"/>
      <c r="T336" s="3" t="n"/>
      <c r="U336" s="3" t="n"/>
      <c r="V336" s="3" t="n"/>
      <c r="W336" s="3" t="n"/>
    </row>
    <row r="337">
      <c r="A337" s="6" t="n"/>
      <c r="B337" s="113">
        <f>IF($C337="","","GG"&amp;TEXT(ROW()-6,"00000"))</f>
        <v/>
      </c>
      <c r="C337" s="225" t="n"/>
      <c r="D337" s="108" t="n"/>
      <c r="E337" s="109" t="n"/>
      <c r="F337" s="109" t="n"/>
      <c r="G337" s="226" t="n"/>
      <c r="H337" s="108" t="n"/>
      <c r="I337" s="108" t="n"/>
      <c r="J337" s="109" t="n"/>
      <c r="K337" s="109" t="n"/>
      <c r="L337" s="121">
        <f>IF($C337="","",IF($D337="Gider",$E337,$H337))</f>
        <v/>
      </c>
      <c r="M337" s="121">
        <f>IF($C337="","",IF($D337="Gider",$H337,$E337))</f>
        <v/>
      </c>
      <c r="N337" s="231">
        <f>IF($C337="","",DATE(YEAR($C337),MONTH($C337),1))</f>
        <v/>
      </c>
      <c r="O337" s="113">
        <f>IF($C337="","",IF(AND($D337&lt;&gt;"",$E337&lt;&gt;"",$G337&gt;0,$H337&lt;&gt;"",$I337&lt;&gt;""),IF($C337&gt;TODAY(),"İLERİ TARİH","UYGUN"),"EKSİK"))</f>
        <v/>
      </c>
      <c r="P337" s="6" t="n"/>
      <c r="Q337" s="6" t="n"/>
      <c r="R337" s="3" t="n"/>
      <c r="S337" s="3" t="n"/>
      <c r="T337" s="3" t="n"/>
      <c r="U337" s="3" t="n"/>
      <c r="V337" s="3" t="n"/>
      <c r="W337" s="3" t="n"/>
    </row>
    <row r="338">
      <c r="A338" s="6" t="n"/>
      <c r="B338" s="113">
        <f>IF($C338="","","GG"&amp;TEXT(ROW()-6,"00000"))</f>
        <v/>
      </c>
      <c r="C338" s="225" t="n"/>
      <c r="D338" s="108" t="n"/>
      <c r="E338" s="109" t="n"/>
      <c r="F338" s="109" t="n"/>
      <c r="G338" s="226" t="n"/>
      <c r="H338" s="108" t="n"/>
      <c r="I338" s="108" t="n"/>
      <c r="J338" s="109" t="n"/>
      <c r="K338" s="109" t="n"/>
      <c r="L338" s="121">
        <f>IF($C338="","",IF($D338="Gider",$E338,$H338))</f>
        <v/>
      </c>
      <c r="M338" s="121">
        <f>IF($C338="","",IF($D338="Gider",$H338,$E338))</f>
        <v/>
      </c>
      <c r="N338" s="231">
        <f>IF($C338="","",DATE(YEAR($C338),MONTH($C338),1))</f>
        <v/>
      </c>
      <c r="O338" s="113">
        <f>IF($C338="","",IF(AND($D338&lt;&gt;"",$E338&lt;&gt;"",$G338&gt;0,$H338&lt;&gt;"",$I338&lt;&gt;""),IF($C338&gt;TODAY(),"İLERİ TARİH","UYGUN"),"EKSİK"))</f>
        <v/>
      </c>
      <c r="P338" s="6" t="n"/>
      <c r="Q338" s="6" t="n"/>
      <c r="R338" s="3" t="n"/>
      <c r="S338" s="3" t="n"/>
      <c r="T338" s="3" t="n"/>
      <c r="U338" s="3" t="n"/>
      <c r="V338" s="3" t="n"/>
      <c r="W338" s="3" t="n"/>
    </row>
    <row r="339">
      <c r="A339" s="6" t="n"/>
      <c r="B339" s="113">
        <f>IF($C339="","","GG"&amp;TEXT(ROW()-6,"00000"))</f>
        <v/>
      </c>
      <c r="C339" s="225" t="n"/>
      <c r="D339" s="108" t="n"/>
      <c r="E339" s="109" t="n"/>
      <c r="F339" s="109" t="n"/>
      <c r="G339" s="226" t="n"/>
      <c r="H339" s="108" t="n"/>
      <c r="I339" s="108" t="n"/>
      <c r="J339" s="109" t="n"/>
      <c r="K339" s="109" t="n"/>
      <c r="L339" s="121">
        <f>IF($C339="","",IF($D339="Gider",$E339,$H339))</f>
        <v/>
      </c>
      <c r="M339" s="121">
        <f>IF($C339="","",IF($D339="Gider",$H339,$E339))</f>
        <v/>
      </c>
      <c r="N339" s="231">
        <f>IF($C339="","",DATE(YEAR($C339),MONTH($C339),1))</f>
        <v/>
      </c>
      <c r="O339" s="113">
        <f>IF($C339="","",IF(AND($D339&lt;&gt;"",$E339&lt;&gt;"",$G339&gt;0,$H339&lt;&gt;"",$I339&lt;&gt;""),IF($C339&gt;TODAY(),"İLERİ TARİH","UYGUN"),"EKSİK"))</f>
        <v/>
      </c>
      <c r="P339" s="6" t="n"/>
      <c r="Q339" s="6" t="n"/>
      <c r="R339" s="3" t="n"/>
      <c r="S339" s="3" t="n"/>
      <c r="T339" s="3" t="n"/>
      <c r="U339" s="3" t="n"/>
      <c r="V339" s="3" t="n"/>
      <c r="W339" s="3" t="n"/>
    </row>
    <row r="340">
      <c r="A340" s="6" t="n"/>
      <c r="B340" s="113">
        <f>IF($C340="","","GG"&amp;TEXT(ROW()-6,"00000"))</f>
        <v/>
      </c>
      <c r="C340" s="225" t="n"/>
      <c r="D340" s="108" t="n"/>
      <c r="E340" s="109" t="n"/>
      <c r="F340" s="109" t="n"/>
      <c r="G340" s="226" t="n"/>
      <c r="H340" s="108" t="n"/>
      <c r="I340" s="108" t="n"/>
      <c r="J340" s="109" t="n"/>
      <c r="K340" s="109" t="n"/>
      <c r="L340" s="121">
        <f>IF($C340="","",IF($D340="Gider",$E340,$H340))</f>
        <v/>
      </c>
      <c r="M340" s="121">
        <f>IF($C340="","",IF($D340="Gider",$H340,$E340))</f>
        <v/>
      </c>
      <c r="N340" s="231">
        <f>IF($C340="","",DATE(YEAR($C340),MONTH($C340),1))</f>
        <v/>
      </c>
      <c r="O340" s="113">
        <f>IF($C340="","",IF(AND($D340&lt;&gt;"",$E340&lt;&gt;"",$G340&gt;0,$H340&lt;&gt;"",$I340&lt;&gt;""),IF($C340&gt;TODAY(),"İLERİ TARİH","UYGUN"),"EKSİK"))</f>
        <v/>
      </c>
      <c r="P340" s="6" t="n"/>
      <c r="Q340" s="6" t="n"/>
      <c r="R340" s="3" t="n"/>
      <c r="S340" s="3" t="n"/>
      <c r="T340" s="3" t="n"/>
      <c r="U340" s="3" t="n"/>
      <c r="V340" s="3" t="n"/>
      <c r="W340" s="3" t="n"/>
    </row>
    <row r="341">
      <c r="A341" s="6" t="n"/>
      <c r="B341" s="113">
        <f>IF($C341="","","GG"&amp;TEXT(ROW()-6,"00000"))</f>
        <v/>
      </c>
      <c r="C341" s="225" t="n"/>
      <c r="D341" s="108" t="n"/>
      <c r="E341" s="109" t="n"/>
      <c r="F341" s="109" t="n"/>
      <c r="G341" s="226" t="n"/>
      <c r="H341" s="108" t="n"/>
      <c r="I341" s="108" t="n"/>
      <c r="J341" s="109" t="n"/>
      <c r="K341" s="109" t="n"/>
      <c r="L341" s="121">
        <f>IF($C341="","",IF($D341="Gider",$E341,$H341))</f>
        <v/>
      </c>
      <c r="M341" s="121">
        <f>IF($C341="","",IF($D341="Gider",$H341,$E341))</f>
        <v/>
      </c>
      <c r="N341" s="231">
        <f>IF($C341="","",DATE(YEAR($C341),MONTH($C341),1))</f>
        <v/>
      </c>
      <c r="O341" s="113">
        <f>IF($C341="","",IF(AND($D341&lt;&gt;"",$E341&lt;&gt;"",$G341&gt;0,$H341&lt;&gt;"",$I341&lt;&gt;""),IF($C341&gt;TODAY(),"İLERİ TARİH","UYGUN"),"EKSİK"))</f>
        <v/>
      </c>
      <c r="P341" s="6" t="n"/>
      <c r="Q341" s="6" t="n"/>
      <c r="R341" s="3" t="n"/>
      <c r="S341" s="3" t="n"/>
      <c r="T341" s="3" t="n"/>
      <c r="U341" s="3" t="n"/>
      <c r="V341" s="3" t="n"/>
      <c r="W341" s="3" t="n"/>
    </row>
    <row r="342">
      <c r="A342" s="6" t="n"/>
      <c r="B342" s="113">
        <f>IF($C342="","","GG"&amp;TEXT(ROW()-6,"00000"))</f>
        <v/>
      </c>
      <c r="C342" s="225" t="n"/>
      <c r="D342" s="108" t="n"/>
      <c r="E342" s="109" t="n"/>
      <c r="F342" s="109" t="n"/>
      <c r="G342" s="226" t="n"/>
      <c r="H342" s="108" t="n"/>
      <c r="I342" s="108" t="n"/>
      <c r="J342" s="109" t="n"/>
      <c r="K342" s="109" t="n"/>
      <c r="L342" s="121">
        <f>IF($C342="","",IF($D342="Gider",$E342,$H342))</f>
        <v/>
      </c>
      <c r="M342" s="121">
        <f>IF($C342="","",IF($D342="Gider",$H342,$E342))</f>
        <v/>
      </c>
      <c r="N342" s="231">
        <f>IF($C342="","",DATE(YEAR($C342),MONTH($C342),1))</f>
        <v/>
      </c>
      <c r="O342" s="113">
        <f>IF($C342="","",IF(AND($D342&lt;&gt;"",$E342&lt;&gt;"",$G342&gt;0,$H342&lt;&gt;"",$I342&lt;&gt;""),IF($C342&gt;TODAY(),"İLERİ TARİH","UYGUN"),"EKSİK"))</f>
        <v/>
      </c>
      <c r="P342" s="6" t="n"/>
      <c r="Q342" s="6" t="n"/>
      <c r="R342" s="3" t="n"/>
      <c r="S342" s="3" t="n"/>
      <c r="T342" s="3" t="n"/>
      <c r="U342" s="3" t="n"/>
      <c r="V342" s="3" t="n"/>
      <c r="W342" s="3" t="n"/>
    </row>
    <row r="343">
      <c r="A343" s="6" t="n"/>
      <c r="B343" s="113">
        <f>IF($C343="","","GG"&amp;TEXT(ROW()-6,"00000"))</f>
        <v/>
      </c>
      <c r="C343" s="225" t="n"/>
      <c r="D343" s="108" t="n"/>
      <c r="E343" s="109" t="n"/>
      <c r="F343" s="109" t="n"/>
      <c r="G343" s="226" t="n"/>
      <c r="H343" s="108" t="n"/>
      <c r="I343" s="108" t="n"/>
      <c r="J343" s="109" t="n"/>
      <c r="K343" s="109" t="n"/>
      <c r="L343" s="121">
        <f>IF($C343="","",IF($D343="Gider",$E343,$H343))</f>
        <v/>
      </c>
      <c r="M343" s="121">
        <f>IF($C343="","",IF($D343="Gider",$H343,$E343))</f>
        <v/>
      </c>
      <c r="N343" s="231">
        <f>IF($C343="","",DATE(YEAR($C343),MONTH($C343),1))</f>
        <v/>
      </c>
      <c r="O343" s="113">
        <f>IF($C343="","",IF(AND($D343&lt;&gt;"",$E343&lt;&gt;"",$G343&gt;0,$H343&lt;&gt;"",$I343&lt;&gt;""),IF($C343&gt;TODAY(),"İLERİ TARİH","UYGUN"),"EKSİK"))</f>
        <v/>
      </c>
      <c r="P343" s="6" t="n"/>
      <c r="Q343" s="6" t="n"/>
      <c r="R343" s="3" t="n"/>
      <c r="S343" s="3" t="n"/>
      <c r="T343" s="3" t="n"/>
      <c r="U343" s="3" t="n"/>
      <c r="V343" s="3" t="n"/>
      <c r="W343" s="3" t="n"/>
    </row>
    <row r="344">
      <c r="A344" s="6" t="n"/>
      <c r="B344" s="113">
        <f>IF($C344="","","GG"&amp;TEXT(ROW()-6,"00000"))</f>
        <v/>
      </c>
      <c r="C344" s="225" t="n"/>
      <c r="D344" s="108" t="n"/>
      <c r="E344" s="109" t="n"/>
      <c r="F344" s="109" t="n"/>
      <c r="G344" s="226" t="n"/>
      <c r="H344" s="108" t="n"/>
      <c r="I344" s="108" t="n"/>
      <c r="J344" s="109" t="n"/>
      <c r="K344" s="109" t="n"/>
      <c r="L344" s="121">
        <f>IF($C344="","",IF($D344="Gider",$E344,$H344))</f>
        <v/>
      </c>
      <c r="M344" s="121">
        <f>IF($C344="","",IF($D344="Gider",$H344,$E344))</f>
        <v/>
      </c>
      <c r="N344" s="231">
        <f>IF($C344="","",DATE(YEAR($C344),MONTH($C344),1))</f>
        <v/>
      </c>
      <c r="O344" s="113">
        <f>IF($C344="","",IF(AND($D344&lt;&gt;"",$E344&lt;&gt;"",$G344&gt;0,$H344&lt;&gt;"",$I344&lt;&gt;""),IF($C344&gt;TODAY(),"İLERİ TARİH","UYGUN"),"EKSİK"))</f>
        <v/>
      </c>
      <c r="P344" s="6" t="n"/>
      <c r="Q344" s="6" t="n"/>
      <c r="R344" s="3" t="n"/>
      <c r="S344" s="3" t="n"/>
      <c r="T344" s="3" t="n"/>
      <c r="U344" s="3" t="n"/>
      <c r="V344" s="3" t="n"/>
      <c r="W344" s="3" t="n"/>
    </row>
    <row r="345">
      <c r="A345" s="6" t="n"/>
      <c r="B345" s="113">
        <f>IF($C345="","","GG"&amp;TEXT(ROW()-6,"00000"))</f>
        <v/>
      </c>
      <c r="C345" s="225" t="n"/>
      <c r="D345" s="108" t="n"/>
      <c r="E345" s="109" t="n"/>
      <c r="F345" s="109" t="n"/>
      <c r="G345" s="226" t="n"/>
      <c r="H345" s="108" t="n"/>
      <c r="I345" s="108" t="n"/>
      <c r="J345" s="109" t="n"/>
      <c r="K345" s="109" t="n"/>
      <c r="L345" s="121">
        <f>IF($C345="","",IF($D345="Gider",$E345,$H345))</f>
        <v/>
      </c>
      <c r="M345" s="121">
        <f>IF($C345="","",IF($D345="Gider",$H345,$E345))</f>
        <v/>
      </c>
      <c r="N345" s="231">
        <f>IF($C345="","",DATE(YEAR($C345),MONTH($C345),1))</f>
        <v/>
      </c>
      <c r="O345" s="113">
        <f>IF($C345="","",IF(AND($D345&lt;&gt;"",$E345&lt;&gt;"",$G345&gt;0,$H345&lt;&gt;"",$I345&lt;&gt;""),IF($C345&gt;TODAY(),"İLERİ TARİH","UYGUN"),"EKSİK"))</f>
        <v/>
      </c>
      <c r="P345" s="6" t="n"/>
      <c r="Q345" s="6" t="n"/>
      <c r="R345" s="3" t="n"/>
      <c r="S345" s="3" t="n"/>
      <c r="T345" s="3" t="n"/>
      <c r="U345" s="3" t="n"/>
      <c r="V345" s="3" t="n"/>
      <c r="W345" s="3" t="n"/>
    </row>
    <row r="346">
      <c r="A346" s="6" t="n"/>
      <c r="B346" s="113">
        <f>IF($C346="","","GG"&amp;TEXT(ROW()-6,"00000"))</f>
        <v/>
      </c>
      <c r="C346" s="225" t="n"/>
      <c r="D346" s="108" t="n"/>
      <c r="E346" s="109" t="n"/>
      <c r="F346" s="109" t="n"/>
      <c r="G346" s="226" t="n"/>
      <c r="H346" s="108" t="n"/>
      <c r="I346" s="108" t="n"/>
      <c r="J346" s="109" t="n"/>
      <c r="K346" s="109" t="n"/>
      <c r="L346" s="121">
        <f>IF($C346="","",IF($D346="Gider",$E346,$H346))</f>
        <v/>
      </c>
      <c r="M346" s="121">
        <f>IF($C346="","",IF($D346="Gider",$H346,$E346))</f>
        <v/>
      </c>
      <c r="N346" s="231">
        <f>IF($C346="","",DATE(YEAR($C346),MONTH($C346),1))</f>
        <v/>
      </c>
      <c r="O346" s="113">
        <f>IF($C346="","",IF(AND($D346&lt;&gt;"",$E346&lt;&gt;"",$G346&gt;0,$H346&lt;&gt;"",$I346&lt;&gt;""),IF($C346&gt;TODAY(),"İLERİ TARİH","UYGUN"),"EKSİK"))</f>
        <v/>
      </c>
      <c r="P346" s="6" t="n"/>
      <c r="Q346" s="6" t="n"/>
      <c r="R346" s="3" t="n"/>
      <c r="S346" s="3" t="n"/>
      <c r="T346" s="3" t="n"/>
      <c r="U346" s="3" t="n"/>
      <c r="V346" s="3" t="n"/>
      <c r="W346" s="3" t="n"/>
    </row>
    <row r="347">
      <c r="A347" s="6" t="n"/>
      <c r="B347" s="113">
        <f>IF($C347="","","GG"&amp;TEXT(ROW()-6,"00000"))</f>
        <v/>
      </c>
      <c r="C347" s="225" t="n"/>
      <c r="D347" s="108" t="n"/>
      <c r="E347" s="109" t="n"/>
      <c r="F347" s="109" t="n"/>
      <c r="G347" s="226" t="n"/>
      <c r="H347" s="108" t="n"/>
      <c r="I347" s="108" t="n"/>
      <c r="J347" s="109" t="n"/>
      <c r="K347" s="109" t="n"/>
      <c r="L347" s="121">
        <f>IF($C347="","",IF($D347="Gider",$E347,$H347))</f>
        <v/>
      </c>
      <c r="M347" s="121">
        <f>IF($C347="","",IF($D347="Gider",$H347,$E347))</f>
        <v/>
      </c>
      <c r="N347" s="231">
        <f>IF($C347="","",DATE(YEAR($C347),MONTH($C347),1))</f>
        <v/>
      </c>
      <c r="O347" s="113">
        <f>IF($C347="","",IF(AND($D347&lt;&gt;"",$E347&lt;&gt;"",$G347&gt;0,$H347&lt;&gt;"",$I347&lt;&gt;""),IF($C347&gt;TODAY(),"İLERİ TARİH","UYGUN"),"EKSİK"))</f>
        <v/>
      </c>
      <c r="P347" s="6" t="n"/>
      <c r="Q347" s="6" t="n"/>
      <c r="R347" s="3" t="n"/>
      <c r="S347" s="3" t="n"/>
      <c r="T347" s="3" t="n"/>
      <c r="U347" s="3" t="n"/>
      <c r="V347" s="3" t="n"/>
      <c r="W347" s="3" t="n"/>
    </row>
    <row r="348">
      <c r="A348" s="6" t="n"/>
      <c r="B348" s="113">
        <f>IF($C348="","","GG"&amp;TEXT(ROW()-6,"00000"))</f>
        <v/>
      </c>
      <c r="C348" s="225" t="n"/>
      <c r="D348" s="108" t="n"/>
      <c r="E348" s="109" t="n"/>
      <c r="F348" s="109" t="n"/>
      <c r="G348" s="226" t="n"/>
      <c r="H348" s="108" t="n"/>
      <c r="I348" s="108" t="n"/>
      <c r="J348" s="109" t="n"/>
      <c r="K348" s="109" t="n"/>
      <c r="L348" s="121">
        <f>IF($C348="","",IF($D348="Gider",$E348,$H348))</f>
        <v/>
      </c>
      <c r="M348" s="121">
        <f>IF($C348="","",IF($D348="Gider",$H348,$E348))</f>
        <v/>
      </c>
      <c r="N348" s="231">
        <f>IF($C348="","",DATE(YEAR($C348),MONTH($C348),1))</f>
        <v/>
      </c>
      <c r="O348" s="113">
        <f>IF($C348="","",IF(AND($D348&lt;&gt;"",$E348&lt;&gt;"",$G348&gt;0,$H348&lt;&gt;"",$I348&lt;&gt;""),IF($C348&gt;TODAY(),"İLERİ TARİH","UYGUN"),"EKSİK"))</f>
        <v/>
      </c>
      <c r="P348" s="6" t="n"/>
      <c r="Q348" s="6" t="n"/>
      <c r="R348" s="3" t="n"/>
      <c r="S348" s="3" t="n"/>
      <c r="T348" s="3" t="n"/>
      <c r="U348" s="3" t="n"/>
      <c r="V348" s="3" t="n"/>
      <c r="W348" s="3" t="n"/>
    </row>
    <row r="349">
      <c r="A349" s="6" t="n"/>
      <c r="B349" s="113">
        <f>IF($C349="","","GG"&amp;TEXT(ROW()-6,"00000"))</f>
        <v/>
      </c>
      <c r="C349" s="225" t="n"/>
      <c r="D349" s="108" t="n"/>
      <c r="E349" s="109" t="n"/>
      <c r="F349" s="109" t="n"/>
      <c r="G349" s="226" t="n"/>
      <c r="H349" s="108" t="n"/>
      <c r="I349" s="108" t="n"/>
      <c r="J349" s="109" t="n"/>
      <c r="K349" s="109" t="n"/>
      <c r="L349" s="121">
        <f>IF($C349="","",IF($D349="Gider",$E349,$H349))</f>
        <v/>
      </c>
      <c r="M349" s="121">
        <f>IF($C349="","",IF($D349="Gider",$H349,$E349))</f>
        <v/>
      </c>
      <c r="N349" s="231">
        <f>IF($C349="","",DATE(YEAR($C349),MONTH($C349),1))</f>
        <v/>
      </c>
      <c r="O349" s="113">
        <f>IF($C349="","",IF(AND($D349&lt;&gt;"",$E349&lt;&gt;"",$G349&gt;0,$H349&lt;&gt;"",$I349&lt;&gt;""),IF($C349&gt;TODAY(),"İLERİ TARİH","UYGUN"),"EKSİK"))</f>
        <v/>
      </c>
      <c r="P349" s="6" t="n"/>
      <c r="Q349" s="6" t="n"/>
      <c r="R349" s="3" t="n"/>
      <c r="S349" s="3" t="n"/>
      <c r="T349" s="3" t="n"/>
      <c r="U349" s="3" t="n"/>
      <c r="V349" s="3" t="n"/>
      <c r="W349" s="3" t="n"/>
    </row>
    <row r="350">
      <c r="A350" s="6" t="n"/>
      <c r="B350" s="113">
        <f>IF($C350="","","GG"&amp;TEXT(ROW()-6,"00000"))</f>
        <v/>
      </c>
      <c r="C350" s="225" t="n"/>
      <c r="D350" s="108" t="n"/>
      <c r="E350" s="109" t="n"/>
      <c r="F350" s="109" t="n"/>
      <c r="G350" s="226" t="n"/>
      <c r="H350" s="108" t="n"/>
      <c r="I350" s="108" t="n"/>
      <c r="J350" s="109" t="n"/>
      <c r="K350" s="109" t="n"/>
      <c r="L350" s="121">
        <f>IF($C350="","",IF($D350="Gider",$E350,$H350))</f>
        <v/>
      </c>
      <c r="M350" s="121">
        <f>IF($C350="","",IF($D350="Gider",$H350,$E350))</f>
        <v/>
      </c>
      <c r="N350" s="231">
        <f>IF($C350="","",DATE(YEAR($C350),MONTH($C350),1))</f>
        <v/>
      </c>
      <c r="O350" s="113">
        <f>IF($C350="","",IF(AND($D350&lt;&gt;"",$E350&lt;&gt;"",$G350&gt;0,$H350&lt;&gt;"",$I350&lt;&gt;""),IF($C350&gt;TODAY(),"İLERİ TARİH","UYGUN"),"EKSİK"))</f>
        <v/>
      </c>
      <c r="P350" s="6" t="n"/>
      <c r="Q350" s="6" t="n"/>
      <c r="R350" s="3" t="n"/>
      <c r="S350" s="3" t="n"/>
      <c r="T350" s="3" t="n"/>
      <c r="U350" s="3" t="n"/>
      <c r="V350" s="3" t="n"/>
      <c r="W350" s="3" t="n"/>
    </row>
    <row r="351">
      <c r="A351" s="6" t="n"/>
      <c r="B351" s="113">
        <f>IF($C351="","","GG"&amp;TEXT(ROW()-6,"00000"))</f>
        <v/>
      </c>
      <c r="C351" s="225" t="n"/>
      <c r="D351" s="108" t="n"/>
      <c r="E351" s="109" t="n"/>
      <c r="F351" s="109" t="n"/>
      <c r="G351" s="226" t="n"/>
      <c r="H351" s="108" t="n"/>
      <c r="I351" s="108" t="n"/>
      <c r="J351" s="109" t="n"/>
      <c r="K351" s="109" t="n"/>
      <c r="L351" s="121">
        <f>IF($C351="","",IF($D351="Gider",$E351,$H351))</f>
        <v/>
      </c>
      <c r="M351" s="121">
        <f>IF($C351="","",IF($D351="Gider",$H351,$E351))</f>
        <v/>
      </c>
      <c r="N351" s="231">
        <f>IF($C351="","",DATE(YEAR($C351),MONTH($C351),1))</f>
        <v/>
      </c>
      <c r="O351" s="113">
        <f>IF($C351="","",IF(AND($D351&lt;&gt;"",$E351&lt;&gt;"",$G351&gt;0,$H351&lt;&gt;"",$I351&lt;&gt;""),IF($C351&gt;TODAY(),"İLERİ TARİH","UYGUN"),"EKSİK"))</f>
        <v/>
      </c>
      <c r="P351" s="6" t="n"/>
      <c r="Q351" s="6" t="n"/>
      <c r="R351" s="3" t="n"/>
      <c r="S351" s="3" t="n"/>
      <c r="T351" s="3" t="n"/>
      <c r="U351" s="3" t="n"/>
      <c r="V351" s="3" t="n"/>
      <c r="W351" s="3" t="n"/>
    </row>
    <row r="352">
      <c r="A352" s="6" t="n"/>
      <c r="B352" s="113">
        <f>IF($C352="","","GG"&amp;TEXT(ROW()-6,"00000"))</f>
        <v/>
      </c>
      <c r="C352" s="225" t="n"/>
      <c r="D352" s="108" t="n"/>
      <c r="E352" s="109" t="n"/>
      <c r="F352" s="109" t="n"/>
      <c r="G352" s="226" t="n"/>
      <c r="H352" s="108" t="n"/>
      <c r="I352" s="108" t="n"/>
      <c r="J352" s="109" t="n"/>
      <c r="K352" s="109" t="n"/>
      <c r="L352" s="121">
        <f>IF($C352="","",IF($D352="Gider",$E352,$H352))</f>
        <v/>
      </c>
      <c r="M352" s="121">
        <f>IF($C352="","",IF($D352="Gider",$H352,$E352))</f>
        <v/>
      </c>
      <c r="N352" s="231">
        <f>IF($C352="","",DATE(YEAR($C352),MONTH($C352),1))</f>
        <v/>
      </c>
      <c r="O352" s="113">
        <f>IF($C352="","",IF(AND($D352&lt;&gt;"",$E352&lt;&gt;"",$G352&gt;0,$H352&lt;&gt;"",$I352&lt;&gt;""),IF($C352&gt;TODAY(),"İLERİ TARİH","UYGUN"),"EKSİK"))</f>
        <v/>
      </c>
      <c r="P352" s="6" t="n"/>
      <c r="Q352" s="6" t="n"/>
      <c r="R352" s="3" t="n"/>
      <c r="S352" s="3" t="n"/>
      <c r="T352" s="3" t="n"/>
      <c r="U352" s="3" t="n"/>
      <c r="V352" s="3" t="n"/>
      <c r="W352" s="3" t="n"/>
    </row>
    <row r="353">
      <c r="A353" s="6" t="n"/>
      <c r="B353" s="113">
        <f>IF($C353="","","GG"&amp;TEXT(ROW()-6,"00000"))</f>
        <v/>
      </c>
      <c r="C353" s="225" t="n"/>
      <c r="D353" s="108" t="n"/>
      <c r="E353" s="109" t="n"/>
      <c r="F353" s="109" t="n"/>
      <c r="G353" s="226" t="n"/>
      <c r="H353" s="108" t="n"/>
      <c r="I353" s="108" t="n"/>
      <c r="J353" s="109" t="n"/>
      <c r="K353" s="109" t="n"/>
      <c r="L353" s="121">
        <f>IF($C353="","",IF($D353="Gider",$E353,$H353))</f>
        <v/>
      </c>
      <c r="M353" s="121">
        <f>IF($C353="","",IF($D353="Gider",$H353,$E353))</f>
        <v/>
      </c>
      <c r="N353" s="231">
        <f>IF($C353="","",DATE(YEAR($C353),MONTH($C353),1))</f>
        <v/>
      </c>
      <c r="O353" s="113">
        <f>IF($C353="","",IF(AND($D353&lt;&gt;"",$E353&lt;&gt;"",$G353&gt;0,$H353&lt;&gt;"",$I353&lt;&gt;""),IF($C353&gt;TODAY(),"İLERİ TARİH","UYGUN"),"EKSİK"))</f>
        <v/>
      </c>
      <c r="P353" s="6" t="n"/>
      <c r="Q353" s="6" t="n"/>
      <c r="R353" s="3" t="n"/>
      <c r="S353" s="3" t="n"/>
      <c r="T353" s="3" t="n"/>
      <c r="U353" s="3" t="n"/>
      <c r="V353" s="3" t="n"/>
      <c r="W353" s="3" t="n"/>
    </row>
    <row r="354">
      <c r="A354" s="6" t="n"/>
      <c r="B354" s="113">
        <f>IF($C354="","","GG"&amp;TEXT(ROW()-6,"00000"))</f>
        <v/>
      </c>
      <c r="C354" s="225" t="n"/>
      <c r="D354" s="108" t="n"/>
      <c r="E354" s="109" t="n"/>
      <c r="F354" s="109" t="n"/>
      <c r="G354" s="226" t="n"/>
      <c r="H354" s="108" t="n"/>
      <c r="I354" s="108" t="n"/>
      <c r="J354" s="109" t="n"/>
      <c r="K354" s="109" t="n"/>
      <c r="L354" s="121">
        <f>IF($C354="","",IF($D354="Gider",$E354,$H354))</f>
        <v/>
      </c>
      <c r="M354" s="121">
        <f>IF($C354="","",IF($D354="Gider",$H354,$E354))</f>
        <v/>
      </c>
      <c r="N354" s="231">
        <f>IF($C354="","",DATE(YEAR($C354),MONTH($C354),1))</f>
        <v/>
      </c>
      <c r="O354" s="113">
        <f>IF($C354="","",IF(AND($D354&lt;&gt;"",$E354&lt;&gt;"",$G354&gt;0,$H354&lt;&gt;"",$I354&lt;&gt;""),IF($C354&gt;TODAY(),"İLERİ TARİH","UYGUN"),"EKSİK"))</f>
        <v/>
      </c>
      <c r="P354" s="6" t="n"/>
      <c r="Q354" s="6" t="n"/>
      <c r="R354" s="3" t="n"/>
      <c r="S354" s="3" t="n"/>
      <c r="T354" s="3" t="n"/>
      <c r="U354" s="3" t="n"/>
      <c r="V354" s="3" t="n"/>
      <c r="W354" s="3" t="n"/>
    </row>
    <row r="355">
      <c r="A355" s="6" t="n"/>
      <c r="B355" s="113">
        <f>IF($C355="","","GG"&amp;TEXT(ROW()-6,"00000"))</f>
        <v/>
      </c>
      <c r="C355" s="225" t="n"/>
      <c r="D355" s="108" t="n"/>
      <c r="E355" s="109" t="n"/>
      <c r="F355" s="109" t="n"/>
      <c r="G355" s="226" t="n"/>
      <c r="H355" s="108" t="n"/>
      <c r="I355" s="108" t="n"/>
      <c r="J355" s="109" t="n"/>
      <c r="K355" s="109" t="n"/>
      <c r="L355" s="121">
        <f>IF($C355="","",IF($D355="Gider",$E355,$H355))</f>
        <v/>
      </c>
      <c r="M355" s="121">
        <f>IF($C355="","",IF($D355="Gider",$H355,$E355))</f>
        <v/>
      </c>
      <c r="N355" s="231">
        <f>IF($C355="","",DATE(YEAR($C355),MONTH($C355),1))</f>
        <v/>
      </c>
      <c r="O355" s="113">
        <f>IF($C355="","",IF(AND($D355&lt;&gt;"",$E355&lt;&gt;"",$G355&gt;0,$H355&lt;&gt;"",$I355&lt;&gt;""),IF($C355&gt;TODAY(),"İLERİ TARİH","UYGUN"),"EKSİK"))</f>
        <v/>
      </c>
      <c r="P355" s="6" t="n"/>
      <c r="Q355" s="6" t="n"/>
      <c r="R355" s="3" t="n"/>
      <c r="S355" s="3" t="n"/>
      <c r="T355" s="3" t="n"/>
      <c r="U355" s="3" t="n"/>
      <c r="V355" s="3" t="n"/>
      <c r="W355" s="3" t="n"/>
    </row>
    <row r="356">
      <c r="A356" s="6" t="n"/>
      <c r="B356" s="113">
        <f>IF($C356="","","GG"&amp;TEXT(ROW()-6,"00000"))</f>
        <v/>
      </c>
      <c r="C356" s="225" t="n"/>
      <c r="D356" s="108" t="n"/>
      <c r="E356" s="109" t="n"/>
      <c r="F356" s="109" t="n"/>
      <c r="G356" s="226" t="n"/>
      <c r="H356" s="108" t="n"/>
      <c r="I356" s="108" t="n"/>
      <c r="J356" s="109" t="n"/>
      <c r="K356" s="109" t="n"/>
      <c r="L356" s="121">
        <f>IF($C356="","",IF($D356="Gider",$E356,$H356))</f>
        <v/>
      </c>
      <c r="M356" s="121">
        <f>IF($C356="","",IF($D356="Gider",$H356,$E356))</f>
        <v/>
      </c>
      <c r="N356" s="231">
        <f>IF($C356="","",DATE(YEAR($C356),MONTH($C356),1))</f>
        <v/>
      </c>
      <c r="O356" s="113">
        <f>IF($C356="","",IF(AND($D356&lt;&gt;"",$E356&lt;&gt;"",$G356&gt;0,$H356&lt;&gt;"",$I356&lt;&gt;""),IF($C356&gt;TODAY(),"İLERİ TARİH","UYGUN"),"EKSİK"))</f>
        <v/>
      </c>
      <c r="P356" s="6" t="n"/>
      <c r="Q356" s="6" t="n"/>
      <c r="R356" s="3" t="n"/>
      <c r="S356" s="3" t="n"/>
      <c r="T356" s="3" t="n"/>
      <c r="U356" s="3" t="n"/>
      <c r="V356" s="3" t="n"/>
      <c r="W356" s="3" t="n"/>
    </row>
    <row r="357">
      <c r="A357" s="6" t="n"/>
      <c r="B357" s="113">
        <f>IF($C357="","","GG"&amp;TEXT(ROW()-6,"00000"))</f>
        <v/>
      </c>
      <c r="C357" s="225" t="n"/>
      <c r="D357" s="108" t="n"/>
      <c r="E357" s="109" t="n"/>
      <c r="F357" s="109" t="n"/>
      <c r="G357" s="226" t="n"/>
      <c r="H357" s="108" t="n"/>
      <c r="I357" s="108" t="n"/>
      <c r="J357" s="109" t="n"/>
      <c r="K357" s="109" t="n"/>
      <c r="L357" s="121">
        <f>IF($C357="","",IF($D357="Gider",$E357,$H357))</f>
        <v/>
      </c>
      <c r="M357" s="121">
        <f>IF($C357="","",IF($D357="Gider",$H357,$E357))</f>
        <v/>
      </c>
      <c r="N357" s="231">
        <f>IF($C357="","",DATE(YEAR($C357),MONTH($C357),1))</f>
        <v/>
      </c>
      <c r="O357" s="113">
        <f>IF($C357="","",IF(AND($D357&lt;&gt;"",$E357&lt;&gt;"",$G357&gt;0,$H357&lt;&gt;"",$I357&lt;&gt;""),IF($C357&gt;TODAY(),"İLERİ TARİH","UYGUN"),"EKSİK"))</f>
        <v/>
      </c>
      <c r="P357" s="6" t="n"/>
      <c r="Q357" s="6" t="n"/>
      <c r="R357" s="3" t="n"/>
      <c r="S357" s="3" t="n"/>
      <c r="T357" s="3" t="n"/>
      <c r="U357" s="3" t="n"/>
      <c r="V357" s="3" t="n"/>
      <c r="W357" s="3" t="n"/>
    </row>
    <row r="358">
      <c r="A358" s="6" t="n"/>
      <c r="B358" s="113">
        <f>IF($C358="","","GG"&amp;TEXT(ROW()-6,"00000"))</f>
        <v/>
      </c>
      <c r="C358" s="225" t="n"/>
      <c r="D358" s="108" t="n"/>
      <c r="E358" s="109" t="n"/>
      <c r="F358" s="109" t="n"/>
      <c r="G358" s="226" t="n"/>
      <c r="H358" s="108" t="n"/>
      <c r="I358" s="108" t="n"/>
      <c r="J358" s="109" t="n"/>
      <c r="K358" s="109" t="n"/>
      <c r="L358" s="121">
        <f>IF($C358="","",IF($D358="Gider",$E358,$H358))</f>
        <v/>
      </c>
      <c r="M358" s="121">
        <f>IF($C358="","",IF($D358="Gider",$H358,$E358))</f>
        <v/>
      </c>
      <c r="N358" s="231">
        <f>IF($C358="","",DATE(YEAR($C358),MONTH($C358),1))</f>
        <v/>
      </c>
      <c r="O358" s="113">
        <f>IF($C358="","",IF(AND($D358&lt;&gt;"",$E358&lt;&gt;"",$G358&gt;0,$H358&lt;&gt;"",$I358&lt;&gt;""),IF($C358&gt;TODAY(),"İLERİ TARİH","UYGUN"),"EKSİK"))</f>
        <v/>
      </c>
      <c r="P358" s="6" t="n"/>
      <c r="Q358" s="6" t="n"/>
      <c r="R358" s="3" t="n"/>
      <c r="S358" s="3" t="n"/>
      <c r="T358" s="3" t="n"/>
      <c r="U358" s="3" t="n"/>
      <c r="V358" s="3" t="n"/>
      <c r="W358" s="3" t="n"/>
    </row>
    <row r="359">
      <c r="A359" s="6" t="n"/>
      <c r="B359" s="113">
        <f>IF($C359="","","GG"&amp;TEXT(ROW()-6,"00000"))</f>
        <v/>
      </c>
      <c r="C359" s="225" t="n"/>
      <c r="D359" s="108" t="n"/>
      <c r="E359" s="109" t="n"/>
      <c r="F359" s="109" t="n"/>
      <c r="G359" s="226" t="n"/>
      <c r="H359" s="108" t="n"/>
      <c r="I359" s="108" t="n"/>
      <c r="J359" s="109" t="n"/>
      <c r="K359" s="109" t="n"/>
      <c r="L359" s="121">
        <f>IF($C359="","",IF($D359="Gider",$E359,$H359))</f>
        <v/>
      </c>
      <c r="M359" s="121">
        <f>IF($C359="","",IF($D359="Gider",$H359,$E359))</f>
        <v/>
      </c>
      <c r="N359" s="231">
        <f>IF($C359="","",DATE(YEAR($C359),MONTH($C359),1))</f>
        <v/>
      </c>
      <c r="O359" s="113">
        <f>IF($C359="","",IF(AND($D359&lt;&gt;"",$E359&lt;&gt;"",$G359&gt;0,$H359&lt;&gt;"",$I359&lt;&gt;""),IF($C359&gt;TODAY(),"İLERİ TARİH","UYGUN"),"EKSİK"))</f>
        <v/>
      </c>
      <c r="P359" s="6" t="n"/>
      <c r="Q359" s="6" t="n"/>
      <c r="R359" s="3" t="n"/>
      <c r="S359" s="3" t="n"/>
      <c r="T359" s="3" t="n"/>
      <c r="U359" s="3" t="n"/>
      <c r="V359" s="3" t="n"/>
      <c r="W359" s="3" t="n"/>
    </row>
    <row r="360">
      <c r="A360" s="6" t="n"/>
      <c r="B360" s="113">
        <f>IF($C360="","","GG"&amp;TEXT(ROW()-6,"00000"))</f>
        <v/>
      </c>
      <c r="C360" s="225" t="n"/>
      <c r="D360" s="108" t="n"/>
      <c r="E360" s="109" t="n"/>
      <c r="F360" s="109" t="n"/>
      <c r="G360" s="226" t="n"/>
      <c r="H360" s="108" t="n"/>
      <c r="I360" s="108" t="n"/>
      <c r="J360" s="109" t="n"/>
      <c r="K360" s="109" t="n"/>
      <c r="L360" s="121">
        <f>IF($C360="","",IF($D360="Gider",$E360,$H360))</f>
        <v/>
      </c>
      <c r="M360" s="121">
        <f>IF($C360="","",IF($D360="Gider",$H360,$E360))</f>
        <v/>
      </c>
      <c r="N360" s="231">
        <f>IF($C360="","",DATE(YEAR($C360),MONTH($C360),1))</f>
        <v/>
      </c>
      <c r="O360" s="113">
        <f>IF($C360="","",IF(AND($D360&lt;&gt;"",$E360&lt;&gt;"",$G360&gt;0,$H360&lt;&gt;"",$I360&lt;&gt;""),IF($C360&gt;TODAY(),"İLERİ TARİH","UYGUN"),"EKSİK"))</f>
        <v/>
      </c>
      <c r="P360" s="6" t="n"/>
      <c r="Q360" s="6" t="n"/>
      <c r="R360" s="3" t="n"/>
      <c r="S360" s="3" t="n"/>
      <c r="T360" s="3" t="n"/>
      <c r="U360" s="3" t="n"/>
      <c r="V360" s="3" t="n"/>
      <c r="W360" s="3" t="n"/>
    </row>
    <row r="361">
      <c r="A361" s="6" t="n"/>
      <c r="B361" s="113">
        <f>IF($C361="","","GG"&amp;TEXT(ROW()-6,"00000"))</f>
        <v/>
      </c>
      <c r="C361" s="225" t="n"/>
      <c r="D361" s="108" t="n"/>
      <c r="E361" s="109" t="n"/>
      <c r="F361" s="109" t="n"/>
      <c r="G361" s="226" t="n"/>
      <c r="H361" s="108" t="n"/>
      <c r="I361" s="108" t="n"/>
      <c r="J361" s="109" t="n"/>
      <c r="K361" s="109" t="n"/>
      <c r="L361" s="121">
        <f>IF($C361="","",IF($D361="Gider",$E361,$H361))</f>
        <v/>
      </c>
      <c r="M361" s="121">
        <f>IF($C361="","",IF($D361="Gider",$H361,$E361))</f>
        <v/>
      </c>
      <c r="N361" s="231">
        <f>IF($C361="","",DATE(YEAR($C361),MONTH($C361),1))</f>
        <v/>
      </c>
      <c r="O361" s="113">
        <f>IF($C361="","",IF(AND($D361&lt;&gt;"",$E361&lt;&gt;"",$G361&gt;0,$H361&lt;&gt;"",$I361&lt;&gt;""),IF($C361&gt;TODAY(),"İLERİ TARİH","UYGUN"),"EKSİK"))</f>
        <v/>
      </c>
      <c r="P361" s="6" t="n"/>
      <c r="Q361" s="6" t="n"/>
      <c r="R361" s="3" t="n"/>
      <c r="S361" s="3" t="n"/>
      <c r="T361" s="3" t="n"/>
      <c r="U361" s="3" t="n"/>
      <c r="V361" s="3" t="n"/>
      <c r="W361" s="3" t="n"/>
    </row>
    <row r="362">
      <c r="A362" s="6" t="n"/>
      <c r="B362" s="113">
        <f>IF($C362="","","GG"&amp;TEXT(ROW()-6,"00000"))</f>
        <v/>
      </c>
      <c r="C362" s="225" t="n"/>
      <c r="D362" s="108" t="n"/>
      <c r="E362" s="109" t="n"/>
      <c r="F362" s="109" t="n"/>
      <c r="G362" s="226" t="n"/>
      <c r="H362" s="108" t="n"/>
      <c r="I362" s="108" t="n"/>
      <c r="J362" s="109" t="n"/>
      <c r="K362" s="109" t="n"/>
      <c r="L362" s="121">
        <f>IF($C362="","",IF($D362="Gider",$E362,$H362))</f>
        <v/>
      </c>
      <c r="M362" s="121">
        <f>IF($C362="","",IF($D362="Gider",$H362,$E362))</f>
        <v/>
      </c>
      <c r="N362" s="231">
        <f>IF($C362="","",DATE(YEAR($C362),MONTH($C362),1))</f>
        <v/>
      </c>
      <c r="O362" s="113">
        <f>IF($C362="","",IF(AND($D362&lt;&gt;"",$E362&lt;&gt;"",$G362&gt;0,$H362&lt;&gt;"",$I362&lt;&gt;""),IF($C362&gt;TODAY(),"İLERİ TARİH","UYGUN"),"EKSİK"))</f>
        <v/>
      </c>
      <c r="P362" s="6" t="n"/>
      <c r="Q362" s="6" t="n"/>
      <c r="R362" s="3" t="n"/>
      <c r="S362" s="3" t="n"/>
      <c r="T362" s="3" t="n"/>
      <c r="U362" s="3" t="n"/>
      <c r="V362" s="3" t="n"/>
      <c r="W362" s="3" t="n"/>
    </row>
    <row r="363">
      <c r="A363" s="6" t="n"/>
      <c r="B363" s="113">
        <f>IF($C363="","","GG"&amp;TEXT(ROW()-6,"00000"))</f>
        <v/>
      </c>
      <c r="C363" s="225" t="n"/>
      <c r="D363" s="108" t="n"/>
      <c r="E363" s="109" t="n"/>
      <c r="F363" s="109" t="n"/>
      <c r="G363" s="226" t="n"/>
      <c r="H363" s="108" t="n"/>
      <c r="I363" s="108" t="n"/>
      <c r="J363" s="109" t="n"/>
      <c r="K363" s="109" t="n"/>
      <c r="L363" s="121">
        <f>IF($C363="","",IF($D363="Gider",$E363,$H363))</f>
        <v/>
      </c>
      <c r="M363" s="121">
        <f>IF($C363="","",IF($D363="Gider",$H363,$E363))</f>
        <v/>
      </c>
      <c r="N363" s="231">
        <f>IF($C363="","",DATE(YEAR($C363),MONTH($C363),1))</f>
        <v/>
      </c>
      <c r="O363" s="113">
        <f>IF($C363="","",IF(AND($D363&lt;&gt;"",$E363&lt;&gt;"",$G363&gt;0,$H363&lt;&gt;"",$I363&lt;&gt;""),IF($C363&gt;TODAY(),"İLERİ TARİH","UYGUN"),"EKSİK"))</f>
        <v/>
      </c>
      <c r="P363" s="6" t="n"/>
      <c r="Q363" s="6" t="n"/>
      <c r="R363" s="3" t="n"/>
      <c r="S363" s="3" t="n"/>
      <c r="T363" s="3" t="n"/>
      <c r="U363" s="3" t="n"/>
      <c r="V363" s="3" t="n"/>
      <c r="W363" s="3" t="n"/>
    </row>
    <row r="364">
      <c r="A364" s="6" t="n"/>
      <c r="B364" s="113">
        <f>IF($C364="","","GG"&amp;TEXT(ROW()-6,"00000"))</f>
        <v/>
      </c>
      <c r="C364" s="225" t="n"/>
      <c r="D364" s="108" t="n"/>
      <c r="E364" s="109" t="n"/>
      <c r="F364" s="109" t="n"/>
      <c r="G364" s="226" t="n"/>
      <c r="H364" s="108" t="n"/>
      <c r="I364" s="108" t="n"/>
      <c r="J364" s="109" t="n"/>
      <c r="K364" s="109" t="n"/>
      <c r="L364" s="121">
        <f>IF($C364="","",IF($D364="Gider",$E364,$H364))</f>
        <v/>
      </c>
      <c r="M364" s="121">
        <f>IF($C364="","",IF($D364="Gider",$H364,$E364))</f>
        <v/>
      </c>
      <c r="N364" s="231">
        <f>IF($C364="","",DATE(YEAR($C364),MONTH($C364),1))</f>
        <v/>
      </c>
      <c r="O364" s="113">
        <f>IF($C364="","",IF(AND($D364&lt;&gt;"",$E364&lt;&gt;"",$G364&gt;0,$H364&lt;&gt;"",$I364&lt;&gt;""),IF($C364&gt;TODAY(),"İLERİ TARİH","UYGUN"),"EKSİK"))</f>
        <v/>
      </c>
      <c r="P364" s="6" t="n"/>
      <c r="Q364" s="6" t="n"/>
      <c r="R364" s="3" t="n"/>
      <c r="S364" s="3" t="n"/>
      <c r="T364" s="3" t="n"/>
      <c r="U364" s="3" t="n"/>
      <c r="V364" s="3" t="n"/>
      <c r="W364" s="3" t="n"/>
    </row>
    <row r="365">
      <c r="A365" s="6" t="n"/>
      <c r="B365" s="113">
        <f>IF($C365="","","GG"&amp;TEXT(ROW()-6,"00000"))</f>
        <v/>
      </c>
      <c r="C365" s="225" t="n"/>
      <c r="D365" s="108" t="n"/>
      <c r="E365" s="109" t="n"/>
      <c r="F365" s="109" t="n"/>
      <c r="G365" s="226" t="n"/>
      <c r="H365" s="108" t="n"/>
      <c r="I365" s="108" t="n"/>
      <c r="J365" s="109" t="n"/>
      <c r="K365" s="109" t="n"/>
      <c r="L365" s="121">
        <f>IF($C365="","",IF($D365="Gider",$E365,$H365))</f>
        <v/>
      </c>
      <c r="M365" s="121">
        <f>IF($C365="","",IF($D365="Gider",$H365,$E365))</f>
        <v/>
      </c>
      <c r="N365" s="231">
        <f>IF($C365="","",DATE(YEAR($C365),MONTH($C365),1))</f>
        <v/>
      </c>
      <c r="O365" s="113">
        <f>IF($C365="","",IF(AND($D365&lt;&gt;"",$E365&lt;&gt;"",$G365&gt;0,$H365&lt;&gt;"",$I365&lt;&gt;""),IF($C365&gt;TODAY(),"İLERİ TARİH","UYGUN"),"EKSİK"))</f>
        <v/>
      </c>
      <c r="P365" s="6" t="n"/>
      <c r="Q365" s="6" t="n"/>
      <c r="R365" s="3" t="n"/>
      <c r="S365" s="3" t="n"/>
      <c r="T365" s="3" t="n"/>
      <c r="U365" s="3" t="n"/>
      <c r="V365" s="3" t="n"/>
      <c r="W365" s="3" t="n"/>
    </row>
    <row r="366">
      <c r="A366" s="6" t="n"/>
      <c r="B366" s="113">
        <f>IF($C366="","","GG"&amp;TEXT(ROW()-6,"00000"))</f>
        <v/>
      </c>
      <c r="C366" s="225" t="n"/>
      <c r="D366" s="108" t="n"/>
      <c r="E366" s="109" t="n"/>
      <c r="F366" s="109" t="n"/>
      <c r="G366" s="226" t="n"/>
      <c r="H366" s="108" t="n"/>
      <c r="I366" s="108" t="n"/>
      <c r="J366" s="109" t="n"/>
      <c r="K366" s="109" t="n"/>
      <c r="L366" s="121">
        <f>IF($C366="","",IF($D366="Gider",$E366,$H366))</f>
        <v/>
      </c>
      <c r="M366" s="121">
        <f>IF($C366="","",IF($D366="Gider",$H366,$E366))</f>
        <v/>
      </c>
      <c r="N366" s="231">
        <f>IF($C366="","",DATE(YEAR($C366),MONTH($C366),1))</f>
        <v/>
      </c>
      <c r="O366" s="113">
        <f>IF($C366="","",IF(AND($D366&lt;&gt;"",$E366&lt;&gt;"",$G366&gt;0,$H366&lt;&gt;"",$I366&lt;&gt;""),IF($C366&gt;TODAY(),"İLERİ TARİH","UYGUN"),"EKSİK"))</f>
        <v/>
      </c>
      <c r="P366" s="6" t="n"/>
      <c r="Q366" s="6" t="n"/>
      <c r="R366" s="3" t="n"/>
      <c r="S366" s="3" t="n"/>
      <c r="T366" s="3" t="n"/>
      <c r="U366" s="3" t="n"/>
      <c r="V366" s="3" t="n"/>
      <c r="W366" s="3" t="n"/>
    </row>
    <row r="367">
      <c r="A367" s="6" t="n"/>
      <c r="B367" s="113">
        <f>IF($C367="","","GG"&amp;TEXT(ROW()-6,"00000"))</f>
        <v/>
      </c>
      <c r="C367" s="225" t="n"/>
      <c r="D367" s="108" t="n"/>
      <c r="E367" s="109" t="n"/>
      <c r="F367" s="109" t="n"/>
      <c r="G367" s="226" t="n"/>
      <c r="H367" s="108" t="n"/>
      <c r="I367" s="108" t="n"/>
      <c r="J367" s="109" t="n"/>
      <c r="K367" s="109" t="n"/>
      <c r="L367" s="121">
        <f>IF($C367="","",IF($D367="Gider",$E367,$H367))</f>
        <v/>
      </c>
      <c r="M367" s="121">
        <f>IF($C367="","",IF($D367="Gider",$H367,$E367))</f>
        <v/>
      </c>
      <c r="N367" s="231">
        <f>IF($C367="","",DATE(YEAR($C367),MONTH($C367),1))</f>
        <v/>
      </c>
      <c r="O367" s="113">
        <f>IF($C367="","",IF(AND($D367&lt;&gt;"",$E367&lt;&gt;"",$G367&gt;0,$H367&lt;&gt;"",$I367&lt;&gt;""),IF($C367&gt;TODAY(),"İLERİ TARİH","UYGUN"),"EKSİK"))</f>
        <v/>
      </c>
      <c r="P367" s="6" t="n"/>
      <c r="Q367" s="6" t="n"/>
      <c r="R367" s="3" t="n"/>
      <c r="S367" s="3" t="n"/>
      <c r="T367" s="3" t="n"/>
      <c r="U367" s="3" t="n"/>
      <c r="V367" s="3" t="n"/>
      <c r="W367" s="3" t="n"/>
    </row>
    <row r="368">
      <c r="A368" s="6" t="n"/>
      <c r="B368" s="113">
        <f>IF($C368="","","GG"&amp;TEXT(ROW()-6,"00000"))</f>
        <v/>
      </c>
      <c r="C368" s="225" t="n"/>
      <c r="D368" s="108" t="n"/>
      <c r="E368" s="109" t="n"/>
      <c r="F368" s="109" t="n"/>
      <c r="G368" s="226" t="n"/>
      <c r="H368" s="108" t="n"/>
      <c r="I368" s="108" t="n"/>
      <c r="J368" s="109" t="n"/>
      <c r="K368" s="109" t="n"/>
      <c r="L368" s="121">
        <f>IF($C368="","",IF($D368="Gider",$E368,$H368))</f>
        <v/>
      </c>
      <c r="M368" s="121">
        <f>IF($C368="","",IF($D368="Gider",$H368,$E368))</f>
        <v/>
      </c>
      <c r="N368" s="231">
        <f>IF($C368="","",DATE(YEAR($C368),MONTH($C368),1))</f>
        <v/>
      </c>
      <c r="O368" s="113">
        <f>IF($C368="","",IF(AND($D368&lt;&gt;"",$E368&lt;&gt;"",$G368&gt;0,$H368&lt;&gt;"",$I368&lt;&gt;""),IF($C368&gt;TODAY(),"İLERİ TARİH","UYGUN"),"EKSİK"))</f>
        <v/>
      </c>
      <c r="P368" s="6" t="n"/>
      <c r="Q368" s="6" t="n"/>
      <c r="R368" s="3" t="n"/>
      <c r="S368" s="3" t="n"/>
      <c r="T368" s="3" t="n"/>
      <c r="U368" s="3" t="n"/>
      <c r="V368" s="3" t="n"/>
      <c r="W368" s="3" t="n"/>
    </row>
    <row r="369">
      <c r="A369" s="6" t="n"/>
      <c r="B369" s="113">
        <f>IF($C369="","","GG"&amp;TEXT(ROW()-6,"00000"))</f>
        <v/>
      </c>
      <c r="C369" s="225" t="n"/>
      <c r="D369" s="108" t="n"/>
      <c r="E369" s="109" t="n"/>
      <c r="F369" s="109" t="n"/>
      <c r="G369" s="226" t="n"/>
      <c r="H369" s="108" t="n"/>
      <c r="I369" s="108" t="n"/>
      <c r="J369" s="109" t="n"/>
      <c r="K369" s="109" t="n"/>
      <c r="L369" s="121">
        <f>IF($C369="","",IF($D369="Gider",$E369,$H369))</f>
        <v/>
      </c>
      <c r="M369" s="121">
        <f>IF($C369="","",IF($D369="Gider",$H369,$E369))</f>
        <v/>
      </c>
      <c r="N369" s="231">
        <f>IF($C369="","",DATE(YEAR($C369),MONTH($C369),1))</f>
        <v/>
      </c>
      <c r="O369" s="113">
        <f>IF($C369="","",IF(AND($D369&lt;&gt;"",$E369&lt;&gt;"",$G369&gt;0,$H369&lt;&gt;"",$I369&lt;&gt;""),IF($C369&gt;TODAY(),"İLERİ TARİH","UYGUN"),"EKSİK"))</f>
        <v/>
      </c>
      <c r="P369" s="6" t="n"/>
      <c r="Q369" s="6" t="n"/>
      <c r="R369" s="3" t="n"/>
      <c r="S369" s="3" t="n"/>
      <c r="T369" s="3" t="n"/>
      <c r="U369" s="3" t="n"/>
      <c r="V369" s="3" t="n"/>
      <c r="W369" s="3" t="n"/>
    </row>
    <row r="370">
      <c r="A370" s="6" t="n"/>
      <c r="B370" s="113">
        <f>IF($C370="","","GG"&amp;TEXT(ROW()-6,"00000"))</f>
        <v/>
      </c>
      <c r="C370" s="225" t="n"/>
      <c r="D370" s="108" t="n"/>
      <c r="E370" s="109" t="n"/>
      <c r="F370" s="109" t="n"/>
      <c r="G370" s="226" t="n"/>
      <c r="H370" s="108" t="n"/>
      <c r="I370" s="108" t="n"/>
      <c r="J370" s="109" t="n"/>
      <c r="K370" s="109" t="n"/>
      <c r="L370" s="121">
        <f>IF($C370="","",IF($D370="Gider",$E370,$H370))</f>
        <v/>
      </c>
      <c r="M370" s="121">
        <f>IF($C370="","",IF($D370="Gider",$H370,$E370))</f>
        <v/>
      </c>
      <c r="N370" s="231">
        <f>IF($C370="","",DATE(YEAR($C370),MONTH($C370),1))</f>
        <v/>
      </c>
      <c r="O370" s="113">
        <f>IF($C370="","",IF(AND($D370&lt;&gt;"",$E370&lt;&gt;"",$G370&gt;0,$H370&lt;&gt;"",$I370&lt;&gt;""),IF($C370&gt;TODAY(),"İLERİ TARİH","UYGUN"),"EKSİK"))</f>
        <v/>
      </c>
      <c r="P370" s="6" t="n"/>
      <c r="Q370" s="6" t="n"/>
      <c r="R370" s="3" t="n"/>
      <c r="S370" s="3" t="n"/>
      <c r="T370" s="3" t="n"/>
      <c r="U370" s="3" t="n"/>
      <c r="V370" s="3" t="n"/>
      <c r="W370" s="3" t="n"/>
    </row>
    <row r="371">
      <c r="A371" s="6" t="n"/>
      <c r="B371" s="113">
        <f>IF($C371="","","GG"&amp;TEXT(ROW()-6,"00000"))</f>
        <v/>
      </c>
      <c r="C371" s="225" t="n"/>
      <c r="D371" s="108" t="n"/>
      <c r="E371" s="109" t="n"/>
      <c r="F371" s="109" t="n"/>
      <c r="G371" s="226" t="n"/>
      <c r="H371" s="108" t="n"/>
      <c r="I371" s="108" t="n"/>
      <c r="J371" s="109" t="n"/>
      <c r="K371" s="109" t="n"/>
      <c r="L371" s="121">
        <f>IF($C371="","",IF($D371="Gider",$E371,$H371))</f>
        <v/>
      </c>
      <c r="M371" s="121">
        <f>IF($C371="","",IF($D371="Gider",$H371,$E371))</f>
        <v/>
      </c>
      <c r="N371" s="231">
        <f>IF($C371="","",DATE(YEAR($C371),MONTH($C371),1))</f>
        <v/>
      </c>
      <c r="O371" s="113">
        <f>IF($C371="","",IF(AND($D371&lt;&gt;"",$E371&lt;&gt;"",$G371&gt;0,$H371&lt;&gt;"",$I371&lt;&gt;""),IF($C371&gt;TODAY(),"İLERİ TARİH","UYGUN"),"EKSİK"))</f>
        <v/>
      </c>
      <c r="P371" s="6" t="n"/>
      <c r="Q371" s="6" t="n"/>
      <c r="R371" s="3" t="n"/>
      <c r="S371" s="3" t="n"/>
      <c r="T371" s="3" t="n"/>
      <c r="U371" s="3" t="n"/>
      <c r="V371" s="3" t="n"/>
      <c r="W371" s="3" t="n"/>
    </row>
    <row r="372">
      <c r="A372" s="6" t="n"/>
      <c r="B372" s="113">
        <f>IF($C372="","","GG"&amp;TEXT(ROW()-6,"00000"))</f>
        <v/>
      </c>
      <c r="C372" s="225" t="n"/>
      <c r="D372" s="108" t="n"/>
      <c r="E372" s="109" t="n"/>
      <c r="F372" s="109" t="n"/>
      <c r="G372" s="226" t="n"/>
      <c r="H372" s="108" t="n"/>
      <c r="I372" s="108" t="n"/>
      <c r="J372" s="109" t="n"/>
      <c r="K372" s="109" t="n"/>
      <c r="L372" s="121">
        <f>IF($C372="","",IF($D372="Gider",$E372,$H372))</f>
        <v/>
      </c>
      <c r="M372" s="121">
        <f>IF($C372="","",IF($D372="Gider",$H372,$E372))</f>
        <v/>
      </c>
      <c r="N372" s="231">
        <f>IF($C372="","",DATE(YEAR($C372),MONTH($C372),1))</f>
        <v/>
      </c>
      <c r="O372" s="113">
        <f>IF($C372="","",IF(AND($D372&lt;&gt;"",$E372&lt;&gt;"",$G372&gt;0,$H372&lt;&gt;"",$I372&lt;&gt;""),IF($C372&gt;TODAY(),"İLERİ TARİH","UYGUN"),"EKSİK"))</f>
        <v/>
      </c>
      <c r="P372" s="6" t="n"/>
      <c r="Q372" s="6" t="n"/>
      <c r="R372" s="3" t="n"/>
      <c r="S372" s="3" t="n"/>
      <c r="T372" s="3" t="n"/>
      <c r="U372" s="3" t="n"/>
      <c r="V372" s="3" t="n"/>
      <c r="W372" s="3" t="n"/>
    </row>
    <row r="373">
      <c r="A373" s="6" t="n"/>
      <c r="B373" s="113">
        <f>IF($C373="","","GG"&amp;TEXT(ROW()-6,"00000"))</f>
        <v/>
      </c>
      <c r="C373" s="225" t="n"/>
      <c r="D373" s="108" t="n"/>
      <c r="E373" s="109" t="n"/>
      <c r="F373" s="109" t="n"/>
      <c r="G373" s="226" t="n"/>
      <c r="H373" s="108" t="n"/>
      <c r="I373" s="108" t="n"/>
      <c r="J373" s="109" t="n"/>
      <c r="K373" s="109" t="n"/>
      <c r="L373" s="121">
        <f>IF($C373="","",IF($D373="Gider",$E373,$H373))</f>
        <v/>
      </c>
      <c r="M373" s="121">
        <f>IF($C373="","",IF($D373="Gider",$H373,$E373))</f>
        <v/>
      </c>
      <c r="N373" s="231">
        <f>IF($C373="","",DATE(YEAR($C373),MONTH($C373),1))</f>
        <v/>
      </c>
      <c r="O373" s="113">
        <f>IF($C373="","",IF(AND($D373&lt;&gt;"",$E373&lt;&gt;"",$G373&gt;0,$H373&lt;&gt;"",$I373&lt;&gt;""),IF($C373&gt;TODAY(),"İLERİ TARİH","UYGUN"),"EKSİK"))</f>
        <v/>
      </c>
      <c r="P373" s="6" t="n"/>
      <c r="Q373" s="6" t="n"/>
      <c r="R373" s="3" t="n"/>
      <c r="S373" s="3" t="n"/>
      <c r="T373" s="3" t="n"/>
      <c r="U373" s="3" t="n"/>
      <c r="V373" s="3" t="n"/>
      <c r="W373" s="3" t="n"/>
    </row>
    <row r="374">
      <c r="A374" s="6" t="n"/>
      <c r="B374" s="113">
        <f>IF($C374="","","GG"&amp;TEXT(ROW()-6,"00000"))</f>
        <v/>
      </c>
      <c r="C374" s="225" t="n"/>
      <c r="D374" s="108" t="n"/>
      <c r="E374" s="109" t="n"/>
      <c r="F374" s="109" t="n"/>
      <c r="G374" s="226" t="n"/>
      <c r="H374" s="108" t="n"/>
      <c r="I374" s="108" t="n"/>
      <c r="J374" s="109" t="n"/>
      <c r="K374" s="109" t="n"/>
      <c r="L374" s="121">
        <f>IF($C374="","",IF($D374="Gider",$E374,$H374))</f>
        <v/>
      </c>
      <c r="M374" s="121">
        <f>IF($C374="","",IF($D374="Gider",$H374,$E374))</f>
        <v/>
      </c>
      <c r="N374" s="231">
        <f>IF($C374="","",DATE(YEAR($C374),MONTH($C374),1))</f>
        <v/>
      </c>
      <c r="O374" s="113">
        <f>IF($C374="","",IF(AND($D374&lt;&gt;"",$E374&lt;&gt;"",$G374&gt;0,$H374&lt;&gt;"",$I374&lt;&gt;""),IF($C374&gt;TODAY(),"İLERİ TARİH","UYGUN"),"EKSİK"))</f>
        <v/>
      </c>
      <c r="P374" s="6" t="n"/>
      <c r="Q374" s="6" t="n"/>
      <c r="R374" s="3" t="n"/>
      <c r="S374" s="3" t="n"/>
      <c r="T374" s="3" t="n"/>
      <c r="U374" s="3" t="n"/>
      <c r="V374" s="3" t="n"/>
      <c r="W374" s="3" t="n"/>
    </row>
    <row r="375">
      <c r="A375" s="6" t="n"/>
      <c r="B375" s="113">
        <f>IF($C375="","","GG"&amp;TEXT(ROW()-6,"00000"))</f>
        <v/>
      </c>
      <c r="C375" s="225" t="n"/>
      <c r="D375" s="108" t="n"/>
      <c r="E375" s="109" t="n"/>
      <c r="F375" s="109" t="n"/>
      <c r="G375" s="226" t="n"/>
      <c r="H375" s="108" t="n"/>
      <c r="I375" s="108" t="n"/>
      <c r="J375" s="109" t="n"/>
      <c r="K375" s="109" t="n"/>
      <c r="L375" s="121">
        <f>IF($C375="","",IF($D375="Gider",$E375,$H375))</f>
        <v/>
      </c>
      <c r="M375" s="121">
        <f>IF($C375="","",IF($D375="Gider",$H375,$E375))</f>
        <v/>
      </c>
      <c r="N375" s="231">
        <f>IF($C375="","",DATE(YEAR($C375),MONTH($C375),1))</f>
        <v/>
      </c>
      <c r="O375" s="113">
        <f>IF($C375="","",IF(AND($D375&lt;&gt;"",$E375&lt;&gt;"",$G375&gt;0,$H375&lt;&gt;"",$I375&lt;&gt;""),IF($C375&gt;TODAY(),"İLERİ TARİH","UYGUN"),"EKSİK"))</f>
        <v/>
      </c>
      <c r="P375" s="6" t="n"/>
      <c r="Q375" s="6" t="n"/>
      <c r="R375" s="3" t="n"/>
      <c r="S375" s="3" t="n"/>
      <c r="T375" s="3" t="n"/>
      <c r="U375" s="3" t="n"/>
      <c r="V375" s="3" t="n"/>
      <c r="W375" s="3" t="n"/>
    </row>
    <row r="376">
      <c r="A376" s="6" t="n"/>
      <c r="B376" s="113">
        <f>IF($C376="","","GG"&amp;TEXT(ROW()-6,"00000"))</f>
        <v/>
      </c>
      <c r="C376" s="225" t="n"/>
      <c r="D376" s="108" t="n"/>
      <c r="E376" s="109" t="n"/>
      <c r="F376" s="109" t="n"/>
      <c r="G376" s="226" t="n"/>
      <c r="H376" s="108" t="n"/>
      <c r="I376" s="108" t="n"/>
      <c r="J376" s="109" t="n"/>
      <c r="K376" s="109" t="n"/>
      <c r="L376" s="121">
        <f>IF($C376="","",IF($D376="Gider",$E376,$H376))</f>
        <v/>
      </c>
      <c r="M376" s="121">
        <f>IF($C376="","",IF($D376="Gider",$H376,$E376))</f>
        <v/>
      </c>
      <c r="N376" s="231">
        <f>IF($C376="","",DATE(YEAR($C376),MONTH($C376),1))</f>
        <v/>
      </c>
      <c r="O376" s="113">
        <f>IF($C376="","",IF(AND($D376&lt;&gt;"",$E376&lt;&gt;"",$G376&gt;0,$H376&lt;&gt;"",$I376&lt;&gt;""),IF($C376&gt;TODAY(),"İLERİ TARİH","UYGUN"),"EKSİK"))</f>
        <v/>
      </c>
      <c r="P376" s="6" t="n"/>
      <c r="Q376" s="6" t="n"/>
      <c r="R376" s="3" t="n"/>
      <c r="S376" s="3" t="n"/>
      <c r="T376" s="3" t="n"/>
      <c r="U376" s="3" t="n"/>
      <c r="V376" s="3" t="n"/>
      <c r="W376" s="3" t="n"/>
    </row>
    <row r="377">
      <c r="A377" s="6" t="n"/>
      <c r="B377" s="113">
        <f>IF($C377="","","GG"&amp;TEXT(ROW()-6,"00000"))</f>
        <v/>
      </c>
      <c r="C377" s="225" t="n"/>
      <c r="D377" s="108" t="n"/>
      <c r="E377" s="109" t="n"/>
      <c r="F377" s="109" t="n"/>
      <c r="G377" s="226" t="n"/>
      <c r="H377" s="108" t="n"/>
      <c r="I377" s="108" t="n"/>
      <c r="J377" s="109" t="n"/>
      <c r="K377" s="109" t="n"/>
      <c r="L377" s="121">
        <f>IF($C377="","",IF($D377="Gider",$E377,$H377))</f>
        <v/>
      </c>
      <c r="M377" s="121">
        <f>IF($C377="","",IF($D377="Gider",$H377,$E377))</f>
        <v/>
      </c>
      <c r="N377" s="231">
        <f>IF($C377="","",DATE(YEAR($C377),MONTH($C377),1))</f>
        <v/>
      </c>
      <c r="O377" s="113">
        <f>IF($C377="","",IF(AND($D377&lt;&gt;"",$E377&lt;&gt;"",$G377&gt;0,$H377&lt;&gt;"",$I377&lt;&gt;""),IF($C377&gt;TODAY(),"İLERİ TARİH","UYGUN"),"EKSİK"))</f>
        <v/>
      </c>
      <c r="P377" s="6" t="n"/>
      <c r="Q377" s="6" t="n"/>
      <c r="R377" s="3" t="n"/>
      <c r="S377" s="3" t="n"/>
      <c r="T377" s="3" t="n"/>
      <c r="U377" s="3" t="n"/>
      <c r="V377" s="3" t="n"/>
      <c r="W377" s="3" t="n"/>
    </row>
    <row r="378">
      <c r="A378" s="6" t="n"/>
      <c r="B378" s="113">
        <f>IF($C378="","","GG"&amp;TEXT(ROW()-6,"00000"))</f>
        <v/>
      </c>
      <c r="C378" s="225" t="n"/>
      <c r="D378" s="108" t="n"/>
      <c r="E378" s="109" t="n"/>
      <c r="F378" s="109" t="n"/>
      <c r="G378" s="226" t="n"/>
      <c r="H378" s="108" t="n"/>
      <c r="I378" s="108" t="n"/>
      <c r="J378" s="109" t="n"/>
      <c r="K378" s="109" t="n"/>
      <c r="L378" s="121">
        <f>IF($C378="","",IF($D378="Gider",$E378,$H378))</f>
        <v/>
      </c>
      <c r="M378" s="121">
        <f>IF($C378="","",IF($D378="Gider",$H378,$E378))</f>
        <v/>
      </c>
      <c r="N378" s="231">
        <f>IF($C378="","",DATE(YEAR($C378),MONTH($C378),1))</f>
        <v/>
      </c>
      <c r="O378" s="113">
        <f>IF($C378="","",IF(AND($D378&lt;&gt;"",$E378&lt;&gt;"",$G378&gt;0,$H378&lt;&gt;"",$I378&lt;&gt;""),IF($C378&gt;TODAY(),"İLERİ TARİH","UYGUN"),"EKSİK"))</f>
        <v/>
      </c>
      <c r="P378" s="6" t="n"/>
      <c r="Q378" s="6" t="n"/>
      <c r="R378" s="3" t="n"/>
      <c r="S378" s="3" t="n"/>
      <c r="T378" s="3" t="n"/>
      <c r="U378" s="3" t="n"/>
      <c r="V378" s="3" t="n"/>
      <c r="W378" s="3" t="n"/>
    </row>
    <row r="379">
      <c r="A379" s="6" t="n"/>
      <c r="B379" s="113">
        <f>IF($C379="","","GG"&amp;TEXT(ROW()-6,"00000"))</f>
        <v/>
      </c>
      <c r="C379" s="225" t="n"/>
      <c r="D379" s="108" t="n"/>
      <c r="E379" s="109" t="n"/>
      <c r="F379" s="109" t="n"/>
      <c r="G379" s="226" t="n"/>
      <c r="H379" s="108" t="n"/>
      <c r="I379" s="108" t="n"/>
      <c r="J379" s="109" t="n"/>
      <c r="K379" s="109" t="n"/>
      <c r="L379" s="121">
        <f>IF($C379="","",IF($D379="Gider",$E379,$H379))</f>
        <v/>
      </c>
      <c r="M379" s="121">
        <f>IF($C379="","",IF($D379="Gider",$H379,$E379))</f>
        <v/>
      </c>
      <c r="N379" s="231">
        <f>IF($C379="","",DATE(YEAR($C379),MONTH($C379),1))</f>
        <v/>
      </c>
      <c r="O379" s="113">
        <f>IF($C379="","",IF(AND($D379&lt;&gt;"",$E379&lt;&gt;"",$G379&gt;0,$H379&lt;&gt;"",$I379&lt;&gt;""),IF($C379&gt;TODAY(),"İLERİ TARİH","UYGUN"),"EKSİK"))</f>
        <v/>
      </c>
      <c r="P379" s="6" t="n"/>
      <c r="Q379" s="6" t="n"/>
      <c r="R379" s="3" t="n"/>
      <c r="S379" s="3" t="n"/>
      <c r="T379" s="3" t="n"/>
      <c r="U379" s="3" t="n"/>
      <c r="V379" s="3" t="n"/>
      <c r="W379" s="3" t="n"/>
    </row>
    <row r="380">
      <c r="A380" s="6" t="n"/>
      <c r="B380" s="113">
        <f>IF($C380="","","GG"&amp;TEXT(ROW()-6,"00000"))</f>
        <v/>
      </c>
      <c r="C380" s="225" t="n"/>
      <c r="D380" s="108" t="n"/>
      <c r="E380" s="109" t="n"/>
      <c r="F380" s="109" t="n"/>
      <c r="G380" s="226" t="n"/>
      <c r="H380" s="108" t="n"/>
      <c r="I380" s="108" t="n"/>
      <c r="J380" s="109" t="n"/>
      <c r="K380" s="109" t="n"/>
      <c r="L380" s="121">
        <f>IF($C380="","",IF($D380="Gider",$E380,$H380))</f>
        <v/>
      </c>
      <c r="M380" s="121">
        <f>IF($C380="","",IF($D380="Gider",$H380,$E380))</f>
        <v/>
      </c>
      <c r="N380" s="231">
        <f>IF($C380="","",DATE(YEAR($C380),MONTH($C380),1))</f>
        <v/>
      </c>
      <c r="O380" s="113">
        <f>IF($C380="","",IF(AND($D380&lt;&gt;"",$E380&lt;&gt;"",$G380&gt;0,$H380&lt;&gt;"",$I380&lt;&gt;""),IF($C380&gt;TODAY(),"İLERİ TARİH","UYGUN"),"EKSİK"))</f>
        <v/>
      </c>
      <c r="P380" s="6" t="n"/>
      <c r="Q380" s="6" t="n"/>
      <c r="R380" s="3" t="n"/>
      <c r="S380" s="3" t="n"/>
      <c r="T380" s="3" t="n"/>
      <c r="U380" s="3" t="n"/>
      <c r="V380" s="3" t="n"/>
      <c r="W380" s="3" t="n"/>
    </row>
    <row r="381">
      <c r="A381" s="6" t="n"/>
      <c r="B381" s="113">
        <f>IF($C381="","","GG"&amp;TEXT(ROW()-6,"00000"))</f>
        <v/>
      </c>
      <c r="C381" s="225" t="n"/>
      <c r="D381" s="108" t="n"/>
      <c r="E381" s="109" t="n"/>
      <c r="F381" s="109" t="n"/>
      <c r="G381" s="226" t="n"/>
      <c r="H381" s="108" t="n"/>
      <c r="I381" s="108" t="n"/>
      <c r="J381" s="109" t="n"/>
      <c r="K381" s="109" t="n"/>
      <c r="L381" s="121">
        <f>IF($C381="","",IF($D381="Gider",$E381,$H381))</f>
        <v/>
      </c>
      <c r="M381" s="121">
        <f>IF($C381="","",IF($D381="Gider",$H381,$E381))</f>
        <v/>
      </c>
      <c r="N381" s="231">
        <f>IF($C381="","",DATE(YEAR($C381),MONTH($C381),1))</f>
        <v/>
      </c>
      <c r="O381" s="113">
        <f>IF($C381="","",IF(AND($D381&lt;&gt;"",$E381&lt;&gt;"",$G381&gt;0,$H381&lt;&gt;"",$I381&lt;&gt;""),IF($C381&gt;TODAY(),"İLERİ TARİH","UYGUN"),"EKSİK"))</f>
        <v/>
      </c>
      <c r="P381" s="6" t="n"/>
      <c r="Q381" s="6" t="n"/>
      <c r="R381" s="3" t="n"/>
      <c r="S381" s="3" t="n"/>
      <c r="T381" s="3" t="n"/>
      <c r="U381" s="3" t="n"/>
      <c r="V381" s="3" t="n"/>
      <c r="W381" s="3" t="n"/>
    </row>
    <row r="382">
      <c r="A382" s="6" t="n"/>
      <c r="B382" s="113">
        <f>IF($C382="","","GG"&amp;TEXT(ROW()-6,"00000"))</f>
        <v/>
      </c>
      <c r="C382" s="225" t="n"/>
      <c r="D382" s="108" t="n"/>
      <c r="E382" s="109" t="n"/>
      <c r="F382" s="109" t="n"/>
      <c r="G382" s="226" t="n"/>
      <c r="H382" s="108" t="n"/>
      <c r="I382" s="108" t="n"/>
      <c r="J382" s="109" t="n"/>
      <c r="K382" s="109" t="n"/>
      <c r="L382" s="121">
        <f>IF($C382="","",IF($D382="Gider",$E382,$H382))</f>
        <v/>
      </c>
      <c r="M382" s="121">
        <f>IF($C382="","",IF($D382="Gider",$H382,$E382))</f>
        <v/>
      </c>
      <c r="N382" s="231">
        <f>IF($C382="","",DATE(YEAR($C382),MONTH($C382),1))</f>
        <v/>
      </c>
      <c r="O382" s="113">
        <f>IF($C382="","",IF(AND($D382&lt;&gt;"",$E382&lt;&gt;"",$G382&gt;0,$H382&lt;&gt;"",$I382&lt;&gt;""),IF($C382&gt;TODAY(),"İLERİ TARİH","UYGUN"),"EKSİK"))</f>
        <v/>
      </c>
      <c r="P382" s="6" t="n"/>
      <c r="Q382" s="6" t="n"/>
      <c r="R382" s="3" t="n"/>
      <c r="S382" s="3" t="n"/>
      <c r="T382" s="3" t="n"/>
      <c r="U382" s="3" t="n"/>
      <c r="V382" s="3" t="n"/>
      <c r="W382" s="3" t="n"/>
    </row>
    <row r="383">
      <c r="A383" s="6" t="n"/>
      <c r="B383" s="113">
        <f>IF($C383="","","GG"&amp;TEXT(ROW()-6,"00000"))</f>
        <v/>
      </c>
      <c r="C383" s="225" t="n"/>
      <c r="D383" s="108" t="n"/>
      <c r="E383" s="109" t="n"/>
      <c r="F383" s="109" t="n"/>
      <c r="G383" s="226" t="n"/>
      <c r="H383" s="108" t="n"/>
      <c r="I383" s="108" t="n"/>
      <c r="J383" s="109" t="n"/>
      <c r="K383" s="109" t="n"/>
      <c r="L383" s="121">
        <f>IF($C383="","",IF($D383="Gider",$E383,$H383))</f>
        <v/>
      </c>
      <c r="M383" s="121">
        <f>IF($C383="","",IF($D383="Gider",$H383,$E383))</f>
        <v/>
      </c>
      <c r="N383" s="231">
        <f>IF($C383="","",DATE(YEAR($C383),MONTH($C383),1))</f>
        <v/>
      </c>
      <c r="O383" s="113">
        <f>IF($C383="","",IF(AND($D383&lt;&gt;"",$E383&lt;&gt;"",$G383&gt;0,$H383&lt;&gt;"",$I383&lt;&gt;""),IF($C383&gt;TODAY(),"İLERİ TARİH","UYGUN"),"EKSİK"))</f>
        <v/>
      </c>
      <c r="P383" s="6" t="n"/>
      <c r="Q383" s="6" t="n"/>
      <c r="R383" s="3" t="n"/>
      <c r="S383" s="3" t="n"/>
      <c r="T383" s="3" t="n"/>
      <c r="U383" s="3" t="n"/>
      <c r="V383" s="3" t="n"/>
      <c r="W383" s="3" t="n"/>
    </row>
    <row r="384">
      <c r="A384" s="6" t="n"/>
      <c r="B384" s="113">
        <f>IF($C384="","","GG"&amp;TEXT(ROW()-6,"00000"))</f>
        <v/>
      </c>
      <c r="C384" s="225" t="n"/>
      <c r="D384" s="108" t="n"/>
      <c r="E384" s="109" t="n"/>
      <c r="F384" s="109" t="n"/>
      <c r="G384" s="226" t="n"/>
      <c r="H384" s="108" t="n"/>
      <c r="I384" s="108" t="n"/>
      <c r="J384" s="109" t="n"/>
      <c r="K384" s="109" t="n"/>
      <c r="L384" s="121">
        <f>IF($C384="","",IF($D384="Gider",$E384,$H384))</f>
        <v/>
      </c>
      <c r="M384" s="121">
        <f>IF($C384="","",IF($D384="Gider",$H384,$E384))</f>
        <v/>
      </c>
      <c r="N384" s="231">
        <f>IF($C384="","",DATE(YEAR($C384),MONTH($C384),1))</f>
        <v/>
      </c>
      <c r="O384" s="113">
        <f>IF($C384="","",IF(AND($D384&lt;&gt;"",$E384&lt;&gt;"",$G384&gt;0,$H384&lt;&gt;"",$I384&lt;&gt;""),IF($C384&gt;TODAY(),"İLERİ TARİH","UYGUN"),"EKSİK"))</f>
        <v/>
      </c>
      <c r="P384" s="6" t="n"/>
      <c r="Q384" s="6" t="n"/>
      <c r="R384" s="3" t="n"/>
      <c r="S384" s="3" t="n"/>
      <c r="T384" s="3" t="n"/>
      <c r="U384" s="3" t="n"/>
      <c r="V384" s="3" t="n"/>
      <c r="W384" s="3" t="n"/>
    </row>
    <row r="385">
      <c r="A385" s="6" t="n"/>
      <c r="B385" s="113">
        <f>IF($C385="","","GG"&amp;TEXT(ROW()-6,"00000"))</f>
        <v/>
      </c>
      <c r="C385" s="225" t="n"/>
      <c r="D385" s="108" t="n"/>
      <c r="E385" s="109" t="n"/>
      <c r="F385" s="109" t="n"/>
      <c r="G385" s="226" t="n"/>
      <c r="H385" s="108" t="n"/>
      <c r="I385" s="108" t="n"/>
      <c r="J385" s="109" t="n"/>
      <c r="K385" s="109" t="n"/>
      <c r="L385" s="121">
        <f>IF($C385="","",IF($D385="Gider",$E385,$H385))</f>
        <v/>
      </c>
      <c r="M385" s="121">
        <f>IF($C385="","",IF($D385="Gider",$H385,$E385))</f>
        <v/>
      </c>
      <c r="N385" s="231">
        <f>IF($C385="","",DATE(YEAR($C385),MONTH($C385),1))</f>
        <v/>
      </c>
      <c r="O385" s="113">
        <f>IF($C385="","",IF(AND($D385&lt;&gt;"",$E385&lt;&gt;"",$G385&gt;0,$H385&lt;&gt;"",$I385&lt;&gt;""),IF($C385&gt;TODAY(),"İLERİ TARİH","UYGUN"),"EKSİK"))</f>
        <v/>
      </c>
      <c r="P385" s="6" t="n"/>
      <c r="Q385" s="6" t="n"/>
      <c r="R385" s="3" t="n"/>
      <c r="S385" s="3" t="n"/>
      <c r="T385" s="3" t="n"/>
      <c r="U385" s="3" t="n"/>
      <c r="V385" s="3" t="n"/>
      <c r="W385" s="3" t="n"/>
    </row>
    <row r="386">
      <c r="A386" s="6" t="n"/>
      <c r="B386" s="113">
        <f>IF($C386="","","GG"&amp;TEXT(ROW()-6,"00000"))</f>
        <v/>
      </c>
      <c r="C386" s="225" t="n"/>
      <c r="D386" s="108" t="n"/>
      <c r="E386" s="109" t="n"/>
      <c r="F386" s="109" t="n"/>
      <c r="G386" s="226" t="n"/>
      <c r="H386" s="108" t="n"/>
      <c r="I386" s="108" t="n"/>
      <c r="J386" s="109" t="n"/>
      <c r="K386" s="109" t="n"/>
      <c r="L386" s="121">
        <f>IF($C386="","",IF($D386="Gider",$E386,$H386))</f>
        <v/>
      </c>
      <c r="M386" s="121">
        <f>IF($C386="","",IF($D386="Gider",$H386,$E386))</f>
        <v/>
      </c>
      <c r="N386" s="231">
        <f>IF($C386="","",DATE(YEAR($C386),MONTH($C386),1))</f>
        <v/>
      </c>
      <c r="O386" s="113">
        <f>IF($C386="","",IF(AND($D386&lt;&gt;"",$E386&lt;&gt;"",$G386&gt;0,$H386&lt;&gt;"",$I386&lt;&gt;""),IF($C386&gt;TODAY(),"İLERİ TARİH","UYGUN"),"EKSİK"))</f>
        <v/>
      </c>
      <c r="P386" s="6" t="n"/>
      <c r="Q386" s="6" t="n"/>
      <c r="R386" s="3" t="n"/>
      <c r="S386" s="3" t="n"/>
      <c r="T386" s="3" t="n"/>
      <c r="U386" s="3" t="n"/>
      <c r="V386" s="3" t="n"/>
      <c r="W386" s="3" t="n"/>
    </row>
    <row r="387">
      <c r="A387" s="6" t="n"/>
      <c r="B387" s="113">
        <f>IF($C387="","","GG"&amp;TEXT(ROW()-6,"00000"))</f>
        <v/>
      </c>
      <c r="C387" s="225" t="n"/>
      <c r="D387" s="108" t="n"/>
      <c r="E387" s="109" t="n"/>
      <c r="F387" s="109" t="n"/>
      <c r="G387" s="226" t="n"/>
      <c r="H387" s="108" t="n"/>
      <c r="I387" s="108" t="n"/>
      <c r="J387" s="109" t="n"/>
      <c r="K387" s="109" t="n"/>
      <c r="L387" s="121">
        <f>IF($C387="","",IF($D387="Gider",$E387,$H387))</f>
        <v/>
      </c>
      <c r="M387" s="121">
        <f>IF($C387="","",IF($D387="Gider",$H387,$E387))</f>
        <v/>
      </c>
      <c r="N387" s="231">
        <f>IF($C387="","",DATE(YEAR($C387),MONTH($C387),1))</f>
        <v/>
      </c>
      <c r="O387" s="113">
        <f>IF($C387="","",IF(AND($D387&lt;&gt;"",$E387&lt;&gt;"",$G387&gt;0,$H387&lt;&gt;"",$I387&lt;&gt;""),IF($C387&gt;TODAY(),"İLERİ TARİH","UYGUN"),"EKSİK"))</f>
        <v/>
      </c>
      <c r="P387" s="6" t="n"/>
      <c r="Q387" s="6" t="n"/>
      <c r="R387" s="3" t="n"/>
      <c r="S387" s="3" t="n"/>
      <c r="T387" s="3" t="n"/>
      <c r="U387" s="3" t="n"/>
      <c r="V387" s="3" t="n"/>
      <c r="W387" s="3" t="n"/>
    </row>
    <row r="388">
      <c r="A388" s="6" t="n"/>
      <c r="B388" s="113">
        <f>IF($C388="","","GG"&amp;TEXT(ROW()-6,"00000"))</f>
        <v/>
      </c>
      <c r="C388" s="225" t="n"/>
      <c r="D388" s="108" t="n"/>
      <c r="E388" s="109" t="n"/>
      <c r="F388" s="109" t="n"/>
      <c r="G388" s="226" t="n"/>
      <c r="H388" s="108" t="n"/>
      <c r="I388" s="108" t="n"/>
      <c r="J388" s="109" t="n"/>
      <c r="K388" s="109" t="n"/>
      <c r="L388" s="121">
        <f>IF($C388="","",IF($D388="Gider",$E388,$H388))</f>
        <v/>
      </c>
      <c r="M388" s="121">
        <f>IF($C388="","",IF($D388="Gider",$H388,$E388))</f>
        <v/>
      </c>
      <c r="N388" s="231">
        <f>IF($C388="","",DATE(YEAR($C388),MONTH($C388),1))</f>
        <v/>
      </c>
      <c r="O388" s="113">
        <f>IF($C388="","",IF(AND($D388&lt;&gt;"",$E388&lt;&gt;"",$G388&gt;0,$H388&lt;&gt;"",$I388&lt;&gt;""),IF($C388&gt;TODAY(),"İLERİ TARİH","UYGUN"),"EKSİK"))</f>
        <v/>
      </c>
      <c r="P388" s="6" t="n"/>
      <c r="Q388" s="6" t="n"/>
      <c r="R388" s="3" t="n"/>
      <c r="S388" s="3" t="n"/>
      <c r="T388" s="3" t="n"/>
      <c r="U388" s="3" t="n"/>
      <c r="V388" s="3" t="n"/>
      <c r="W388" s="3" t="n"/>
    </row>
    <row r="389">
      <c r="A389" s="6" t="n"/>
      <c r="B389" s="113">
        <f>IF($C389="","","GG"&amp;TEXT(ROW()-6,"00000"))</f>
        <v/>
      </c>
      <c r="C389" s="225" t="n"/>
      <c r="D389" s="108" t="n"/>
      <c r="E389" s="109" t="n"/>
      <c r="F389" s="109" t="n"/>
      <c r="G389" s="226" t="n"/>
      <c r="H389" s="108" t="n"/>
      <c r="I389" s="108" t="n"/>
      <c r="J389" s="109" t="n"/>
      <c r="K389" s="109" t="n"/>
      <c r="L389" s="121">
        <f>IF($C389="","",IF($D389="Gider",$E389,$H389))</f>
        <v/>
      </c>
      <c r="M389" s="121">
        <f>IF($C389="","",IF($D389="Gider",$H389,$E389))</f>
        <v/>
      </c>
      <c r="N389" s="231">
        <f>IF($C389="","",DATE(YEAR($C389),MONTH($C389),1))</f>
        <v/>
      </c>
      <c r="O389" s="113">
        <f>IF($C389="","",IF(AND($D389&lt;&gt;"",$E389&lt;&gt;"",$G389&gt;0,$H389&lt;&gt;"",$I389&lt;&gt;""),IF($C389&gt;TODAY(),"İLERİ TARİH","UYGUN"),"EKSİK"))</f>
        <v/>
      </c>
      <c r="P389" s="6" t="n"/>
      <c r="Q389" s="6" t="n"/>
      <c r="R389" s="3" t="n"/>
      <c r="S389" s="3" t="n"/>
      <c r="T389" s="3" t="n"/>
      <c r="U389" s="3" t="n"/>
      <c r="V389" s="3" t="n"/>
      <c r="W389" s="3" t="n"/>
    </row>
    <row r="390">
      <c r="A390" s="6" t="n"/>
      <c r="B390" s="113">
        <f>IF($C390="","","GG"&amp;TEXT(ROW()-6,"00000"))</f>
        <v/>
      </c>
      <c r="C390" s="225" t="n"/>
      <c r="D390" s="108" t="n"/>
      <c r="E390" s="109" t="n"/>
      <c r="F390" s="109" t="n"/>
      <c r="G390" s="226" t="n"/>
      <c r="H390" s="108" t="n"/>
      <c r="I390" s="108" t="n"/>
      <c r="J390" s="109" t="n"/>
      <c r="K390" s="109" t="n"/>
      <c r="L390" s="121">
        <f>IF($C390="","",IF($D390="Gider",$E390,$H390))</f>
        <v/>
      </c>
      <c r="M390" s="121">
        <f>IF($C390="","",IF($D390="Gider",$H390,$E390))</f>
        <v/>
      </c>
      <c r="N390" s="231">
        <f>IF($C390="","",DATE(YEAR($C390),MONTH($C390),1))</f>
        <v/>
      </c>
      <c r="O390" s="113">
        <f>IF($C390="","",IF(AND($D390&lt;&gt;"",$E390&lt;&gt;"",$G390&gt;0,$H390&lt;&gt;"",$I390&lt;&gt;""),IF($C390&gt;TODAY(),"İLERİ TARİH","UYGUN"),"EKSİK"))</f>
        <v/>
      </c>
      <c r="P390" s="6" t="n"/>
      <c r="Q390" s="6" t="n"/>
      <c r="R390" s="3" t="n"/>
      <c r="S390" s="3" t="n"/>
      <c r="T390" s="3" t="n"/>
      <c r="U390" s="3" t="n"/>
      <c r="V390" s="3" t="n"/>
      <c r="W390" s="3" t="n"/>
    </row>
    <row r="391">
      <c r="A391" s="6" t="n"/>
      <c r="B391" s="113">
        <f>IF($C391="","","GG"&amp;TEXT(ROW()-6,"00000"))</f>
        <v/>
      </c>
      <c r="C391" s="225" t="n"/>
      <c r="D391" s="108" t="n"/>
      <c r="E391" s="109" t="n"/>
      <c r="F391" s="109" t="n"/>
      <c r="G391" s="226" t="n"/>
      <c r="H391" s="108" t="n"/>
      <c r="I391" s="108" t="n"/>
      <c r="J391" s="109" t="n"/>
      <c r="K391" s="109" t="n"/>
      <c r="L391" s="121">
        <f>IF($C391="","",IF($D391="Gider",$E391,$H391))</f>
        <v/>
      </c>
      <c r="M391" s="121">
        <f>IF($C391="","",IF($D391="Gider",$H391,$E391))</f>
        <v/>
      </c>
      <c r="N391" s="231">
        <f>IF($C391="","",DATE(YEAR($C391),MONTH($C391),1))</f>
        <v/>
      </c>
      <c r="O391" s="113">
        <f>IF($C391="","",IF(AND($D391&lt;&gt;"",$E391&lt;&gt;"",$G391&gt;0,$H391&lt;&gt;"",$I391&lt;&gt;""),IF($C391&gt;TODAY(),"İLERİ TARİH","UYGUN"),"EKSİK"))</f>
        <v/>
      </c>
      <c r="P391" s="6" t="n"/>
      <c r="Q391" s="6" t="n"/>
      <c r="R391" s="3" t="n"/>
      <c r="S391" s="3" t="n"/>
      <c r="T391" s="3" t="n"/>
      <c r="U391" s="3" t="n"/>
      <c r="V391" s="3" t="n"/>
      <c r="W391" s="3" t="n"/>
    </row>
    <row r="392">
      <c r="A392" s="6" t="n"/>
      <c r="B392" s="113">
        <f>IF($C392="","","GG"&amp;TEXT(ROW()-6,"00000"))</f>
        <v/>
      </c>
      <c r="C392" s="225" t="n"/>
      <c r="D392" s="108" t="n"/>
      <c r="E392" s="109" t="n"/>
      <c r="F392" s="109" t="n"/>
      <c r="G392" s="226" t="n"/>
      <c r="H392" s="108" t="n"/>
      <c r="I392" s="108" t="n"/>
      <c r="J392" s="109" t="n"/>
      <c r="K392" s="109" t="n"/>
      <c r="L392" s="121">
        <f>IF($C392="","",IF($D392="Gider",$E392,$H392))</f>
        <v/>
      </c>
      <c r="M392" s="121">
        <f>IF($C392="","",IF($D392="Gider",$H392,$E392))</f>
        <v/>
      </c>
      <c r="N392" s="231">
        <f>IF($C392="","",DATE(YEAR($C392),MONTH($C392),1))</f>
        <v/>
      </c>
      <c r="O392" s="113">
        <f>IF($C392="","",IF(AND($D392&lt;&gt;"",$E392&lt;&gt;"",$G392&gt;0,$H392&lt;&gt;"",$I392&lt;&gt;""),IF($C392&gt;TODAY(),"İLERİ TARİH","UYGUN"),"EKSİK"))</f>
        <v/>
      </c>
      <c r="P392" s="6" t="n"/>
      <c r="Q392" s="6" t="n"/>
      <c r="R392" s="3" t="n"/>
      <c r="S392" s="3" t="n"/>
      <c r="T392" s="3" t="n"/>
      <c r="U392" s="3" t="n"/>
      <c r="V392" s="3" t="n"/>
      <c r="W392" s="3" t="n"/>
    </row>
    <row r="393">
      <c r="A393" s="6" t="n"/>
      <c r="B393" s="113">
        <f>IF($C393="","","GG"&amp;TEXT(ROW()-6,"00000"))</f>
        <v/>
      </c>
      <c r="C393" s="225" t="n"/>
      <c r="D393" s="108" t="n"/>
      <c r="E393" s="109" t="n"/>
      <c r="F393" s="109" t="n"/>
      <c r="G393" s="226" t="n"/>
      <c r="H393" s="108" t="n"/>
      <c r="I393" s="108" t="n"/>
      <c r="J393" s="109" t="n"/>
      <c r="K393" s="109" t="n"/>
      <c r="L393" s="121">
        <f>IF($C393="","",IF($D393="Gider",$E393,$H393))</f>
        <v/>
      </c>
      <c r="M393" s="121">
        <f>IF($C393="","",IF($D393="Gider",$H393,$E393))</f>
        <v/>
      </c>
      <c r="N393" s="231">
        <f>IF($C393="","",DATE(YEAR($C393),MONTH($C393),1))</f>
        <v/>
      </c>
      <c r="O393" s="113">
        <f>IF($C393="","",IF(AND($D393&lt;&gt;"",$E393&lt;&gt;"",$G393&gt;0,$H393&lt;&gt;"",$I393&lt;&gt;""),IF($C393&gt;TODAY(),"İLERİ TARİH","UYGUN"),"EKSİK"))</f>
        <v/>
      </c>
      <c r="P393" s="6" t="n"/>
      <c r="Q393" s="6" t="n"/>
      <c r="R393" s="3" t="n"/>
      <c r="S393" s="3" t="n"/>
      <c r="T393" s="3" t="n"/>
      <c r="U393" s="3" t="n"/>
      <c r="V393" s="3" t="n"/>
      <c r="W393" s="3" t="n"/>
    </row>
    <row r="394">
      <c r="A394" s="6" t="n"/>
      <c r="B394" s="113">
        <f>IF($C394="","","GG"&amp;TEXT(ROW()-6,"00000"))</f>
        <v/>
      </c>
      <c r="C394" s="225" t="n"/>
      <c r="D394" s="108" t="n"/>
      <c r="E394" s="109" t="n"/>
      <c r="F394" s="109" t="n"/>
      <c r="G394" s="226" t="n"/>
      <c r="H394" s="108" t="n"/>
      <c r="I394" s="108" t="n"/>
      <c r="J394" s="109" t="n"/>
      <c r="K394" s="109" t="n"/>
      <c r="L394" s="121">
        <f>IF($C394="","",IF($D394="Gider",$E394,$H394))</f>
        <v/>
      </c>
      <c r="M394" s="121">
        <f>IF($C394="","",IF($D394="Gider",$H394,$E394))</f>
        <v/>
      </c>
      <c r="N394" s="231">
        <f>IF($C394="","",DATE(YEAR($C394),MONTH($C394),1))</f>
        <v/>
      </c>
      <c r="O394" s="113">
        <f>IF($C394="","",IF(AND($D394&lt;&gt;"",$E394&lt;&gt;"",$G394&gt;0,$H394&lt;&gt;"",$I394&lt;&gt;""),IF($C394&gt;TODAY(),"İLERİ TARİH","UYGUN"),"EKSİK"))</f>
        <v/>
      </c>
      <c r="P394" s="6" t="n"/>
      <c r="Q394" s="6" t="n"/>
      <c r="R394" s="3" t="n"/>
      <c r="S394" s="3" t="n"/>
      <c r="T394" s="3" t="n"/>
      <c r="U394" s="3" t="n"/>
      <c r="V394" s="3" t="n"/>
      <c r="W394" s="3" t="n"/>
    </row>
    <row r="395">
      <c r="A395" s="6" t="n"/>
      <c r="B395" s="113">
        <f>IF($C395="","","GG"&amp;TEXT(ROW()-6,"00000"))</f>
        <v/>
      </c>
      <c r="C395" s="225" t="n"/>
      <c r="D395" s="108" t="n"/>
      <c r="E395" s="109" t="n"/>
      <c r="F395" s="109" t="n"/>
      <c r="G395" s="226" t="n"/>
      <c r="H395" s="108" t="n"/>
      <c r="I395" s="108" t="n"/>
      <c r="J395" s="109" t="n"/>
      <c r="K395" s="109" t="n"/>
      <c r="L395" s="121">
        <f>IF($C395="","",IF($D395="Gider",$E395,$H395))</f>
        <v/>
      </c>
      <c r="M395" s="121">
        <f>IF($C395="","",IF($D395="Gider",$H395,$E395))</f>
        <v/>
      </c>
      <c r="N395" s="231">
        <f>IF($C395="","",DATE(YEAR($C395),MONTH($C395),1))</f>
        <v/>
      </c>
      <c r="O395" s="113">
        <f>IF($C395="","",IF(AND($D395&lt;&gt;"",$E395&lt;&gt;"",$G395&gt;0,$H395&lt;&gt;"",$I395&lt;&gt;""),IF($C395&gt;TODAY(),"İLERİ TARİH","UYGUN"),"EKSİK"))</f>
        <v/>
      </c>
      <c r="P395" s="6" t="n"/>
      <c r="Q395" s="6" t="n"/>
      <c r="R395" s="3" t="n"/>
      <c r="S395" s="3" t="n"/>
      <c r="T395" s="3" t="n"/>
      <c r="U395" s="3" t="n"/>
      <c r="V395" s="3" t="n"/>
      <c r="W395" s="3" t="n"/>
    </row>
    <row r="396">
      <c r="A396" s="6" t="n"/>
      <c r="B396" s="113">
        <f>IF($C396="","","GG"&amp;TEXT(ROW()-6,"00000"))</f>
        <v/>
      </c>
      <c r="C396" s="225" t="n"/>
      <c r="D396" s="108" t="n"/>
      <c r="E396" s="109" t="n"/>
      <c r="F396" s="109" t="n"/>
      <c r="G396" s="226" t="n"/>
      <c r="H396" s="108" t="n"/>
      <c r="I396" s="108" t="n"/>
      <c r="J396" s="109" t="n"/>
      <c r="K396" s="109" t="n"/>
      <c r="L396" s="121">
        <f>IF($C396="","",IF($D396="Gider",$E396,$H396))</f>
        <v/>
      </c>
      <c r="M396" s="121">
        <f>IF($C396="","",IF($D396="Gider",$H396,$E396))</f>
        <v/>
      </c>
      <c r="N396" s="231">
        <f>IF($C396="","",DATE(YEAR($C396),MONTH($C396),1))</f>
        <v/>
      </c>
      <c r="O396" s="113">
        <f>IF($C396="","",IF(AND($D396&lt;&gt;"",$E396&lt;&gt;"",$G396&gt;0,$H396&lt;&gt;"",$I396&lt;&gt;""),IF($C396&gt;TODAY(),"İLERİ TARİH","UYGUN"),"EKSİK"))</f>
        <v/>
      </c>
      <c r="P396" s="6" t="n"/>
      <c r="Q396" s="6" t="n"/>
      <c r="R396" s="3" t="n"/>
      <c r="S396" s="3" t="n"/>
      <c r="T396" s="3" t="n"/>
      <c r="U396" s="3" t="n"/>
      <c r="V396" s="3" t="n"/>
      <c r="W396" s="3" t="n"/>
    </row>
    <row r="397">
      <c r="A397" s="6" t="n"/>
      <c r="B397" s="113">
        <f>IF($C397="","","GG"&amp;TEXT(ROW()-6,"00000"))</f>
        <v/>
      </c>
      <c r="C397" s="225" t="n"/>
      <c r="D397" s="108" t="n"/>
      <c r="E397" s="109" t="n"/>
      <c r="F397" s="109" t="n"/>
      <c r="G397" s="226" t="n"/>
      <c r="H397" s="108" t="n"/>
      <c r="I397" s="108" t="n"/>
      <c r="J397" s="109" t="n"/>
      <c r="K397" s="109" t="n"/>
      <c r="L397" s="121">
        <f>IF($C397="","",IF($D397="Gider",$E397,$H397))</f>
        <v/>
      </c>
      <c r="M397" s="121">
        <f>IF($C397="","",IF($D397="Gider",$H397,$E397))</f>
        <v/>
      </c>
      <c r="N397" s="231">
        <f>IF($C397="","",DATE(YEAR($C397),MONTH($C397),1))</f>
        <v/>
      </c>
      <c r="O397" s="113">
        <f>IF($C397="","",IF(AND($D397&lt;&gt;"",$E397&lt;&gt;"",$G397&gt;0,$H397&lt;&gt;"",$I397&lt;&gt;""),IF($C397&gt;TODAY(),"İLERİ TARİH","UYGUN"),"EKSİK"))</f>
        <v/>
      </c>
      <c r="P397" s="6" t="n"/>
      <c r="Q397" s="6" t="n"/>
      <c r="R397" s="3" t="n"/>
      <c r="S397" s="3" t="n"/>
      <c r="T397" s="3" t="n"/>
      <c r="U397" s="3" t="n"/>
      <c r="V397" s="3" t="n"/>
      <c r="W397" s="3" t="n"/>
    </row>
    <row r="398">
      <c r="A398" s="6" t="n"/>
      <c r="B398" s="113">
        <f>IF($C398="","","GG"&amp;TEXT(ROW()-6,"00000"))</f>
        <v/>
      </c>
      <c r="C398" s="225" t="n"/>
      <c r="D398" s="108" t="n"/>
      <c r="E398" s="109" t="n"/>
      <c r="F398" s="109" t="n"/>
      <c r="G398" s="226" t="n"/>
      <c r="H398" s="108" t="n"/>
      <c r="I398" s="108" t="n"/>
      <c r="J398" s="109" t="n"/>
      <c r="K398" s="109" t="n"/>
      <c r="L398" s="121">
        <f>IF($C398="","",IF($D398="Gider",$E398,$H398))</f>
        <v/>
      </c>
      <c r="M398" s="121">
        <f>IF($C398="","",IF($D398="Gider",$H398,$E398))</f>
        <v/>
      </c>
      <c r="N398" s="231">
        <f>IF($C398="","",DATE(YEAR($C398),MONTH($C398),1))</f>
        <v/>
      </c>
      <c r="O398" s="113">
        <f>IF($C398="","",IF(AND($D398&lt;&gt;"",$E398&lt;&gt;"",$G398&gt;0,$H398&lt;&gt;"",$I398&lt;&gt;""),IF($C398&gt;TODAY(),"İLERİ TARİH","UYGUN"),"EKSİK"))</f>
        <v/>
      </c>
      <c r="P398" s="6" t="n"/>
      <c r="Q398" s="6" t="n"/>
      <c r="R398" s="3" t="n"/>
      <c r="S398" s="3" t="n"/>
      <c r="T398" s="3" t="n"/>
      <c r="U398" s="3" t="n"/>
      <c r="V398" s="3" t="n"/>
      <c r="W398" s="3" t="n"/>
    </row>
    <row r="399">
      <c r="A399" s="6" t="n"/>
      <c r="B399" s="113">
        <f>IF($C399="","","GG"&amp;TEXT(ROW()-6,"00000"))</f>
        <v/>
      </c>
      <c r="C399" s="225" t="n"/>
      <c r="D399" s="108" t="n"/>
      <c r="E399" s="109" t="n"/>
      <c r="F399" s="109" t="n"/>
      <c r="G399" s="226" t="n"/>
      <c r="H399" s="108" t="n"/>
      <c r="I399" s="108" t="n"/>
      <c r="J399" s="109" t="n"/>
      <c r="K399" s="109" t="n"/>
      <c r="L399" s="121">
        <f>IF($C399="","",IF($D399="Gider",$E399,$H399))</f>
        <v/>
      </c>
      <c r="M399" s="121">
        <f>IF($C399="","",IF($D399="Gider",$H399,$E399))</f>
        <v/>
      </c>
      <c r="N399" s="231">
        <f>IF($C399="","",DATE(YEAR($C399),MONTH($C399),1))</f>
        <v/>
      </c>
      <c r="O399" s="113">
        <f>IF($C399="","",IF(AND($D399&lt;&gt;"",$E399&lt;&gt;"",$G399&gt;0,$H399&lt;&gt;"",$I399&lt;&gt;""),IF($C399&gt;TODAY(),"İLERİ TARİH","UYGUN"),"EKSİK"))</f>
        <v/>
      </c>
      <c r="P399" s="6" t="n"/>
      <c r="Q399" s="6" t="n"/>
      <c r="R399" s="3" t="n"/>
      <c r="S399" s="3" t="n"/>
      <c r="T399" s="3" t="n"/>
      <c r="U399" s="3" t="n"/>
      <c r="V399" s="3" t="n"/>
      <c r="W399" s="3" t="n"/>
    </row>
    <row r="400">
      <c r="A400" s="6" t="n"/>
      <c r="B400" s="113">
        <f>IF($C400="","","GG"&amp;TEXT(ROW()-6,"00000"))</f>
        <v/>
      </c>
      <c r="C400" s="225" t="n"/>
      <c r="D400" s="108" t="n"/>
      <c r="E400" s="109" t="n"/>
      <c r="F400" s="109" t="n"/>
      <c r="G400" s="226" t="n"/>
      <c r="H400" s="108" t="n"/>
      <c r="I400" s="108" t="n"/>
      <c r="J400" s="109" t="n"/>
      <c r="K400" s="109" t="n"/>
      <c r="L400" s="121">
        <f>IF($C400="","",IF($D400="Gider",$E400,$H400))</f>
        <v/>
      </c>
      <c r="M400" s="121">
        <f>IF($C400="","",IF($D400="Gider",$H400,$E400))</f>
        <v/>
      </c>
      <c r="N400" s="231">
        <f>IF($C400="","",DATE(YEAR($C400),MONTH($C400),1))</f>
        <v/>
      </c>
      <c r="O400" s="113">
        <f>IF($C400="","",IF(AND($D400&lt;&gt;"",$E400&lt;&gt;"",$G400&gt;0,$H400&lt;&gt;"",$I400&lt;&gt;""),IF($C400&gt;TODAY(),"İLERİ TARİH","UYGUN"),"EKSİK"))</f>
        <v/>
      </c>
      <c r="P400" s="6" t="n"/>
      <c r="Q400" s="6" t="n"/>
      <c r="R400" s="3" t="n"/>
      <c r="S400" s="3" t="n"/>
      <c r="T400" s="3" t="n"/>
      <c r="U400" s="3" t="n"/>
      <c r="V400" s="3" t="n"/>
      <c r="W400" s="3" t="n"/>
    </row>
    <row r="401">
      <c r="A401" s="6" t="n"/>
      <c r="B401" s="113">
        <f>IF($C401="","","GG"&amp;TEXT(ROW()-6,"00000"))</f>
        <v/>
      </c>
      <c r="C401" s="225" t="n"/>
      <c r="D401" s="108" t="n"/>
      <c r="E401" s="109" t="n"/>
      <c r="F401" s="109" t="n"/>
      <c r="G401" s="226" t="n"/>
      <c r="H401" s="108" t="n"/>
      <c r="I401" s="108" t="n"/>
      <c r="J401" s="109" t="n"/>
      <c r="K401" s="109" t="n"/>
      <c r="L401" s="121">
        <f>IF($C401="","",IF($D401="Gider",$E401,$H401))</f>
        <v/>
      </c>
      <c r="M401" s="121">
        <f>IF($C401="","",IF($D401="Gider",$H401,$E401))</f>
        <v/>
      </c>
      <c r="N401" s="231">
        <f>IF($C401="","",DATE(YEAR($C401),MONTH($C401),1))</f>
        <v/>
      </c>
      <c r="O401" s="113">
        <f>IF($C401="","",IF(AND($D401&lt;&gt;"",$E401&lt;&gt;"",$G401&gt;0,$H401&lt;&gt;"",$I401&lt;&gt;""),IF($C401&gt;TODAY(),"İLERİ TARİH","UYGUN"),"EKSİK"))</f>
        <v/>
      </c>
      <c r="P401" s="6" t="n"/>
      <c r="Q401" s="6" t="n"/>
      <c r="R401" s="3" t="n"/>
      <c r="S401" s="3" t="n"/>
      <c r="T401" s="3" t="n"/>
      <c r="U401" s="3" t="n"/>
      <c r="V401" s="3" t="n"/>
      <c r="W401" s="3" t="n"/>
    </row>
    <row r="402">
      <c r="A402" s="6" t="n"/>
      <c r="B402" s="113">
        <f>IF($C402="","","GG"&amp;TEXT(ROW()-6,"00000"))</f>
        <v/>
      </c>
      <c r="C402" s="225" t="n"/>
      <c r="D402" s="108" t="n"/>
      <c r="E402" s="109" t="n"/>
      <c r="F402" s="109" t="n"/>
      <c r="G402" s="226" t="n"/>
      <c r="H402" s="108" t="n"/>
      <c r="I402" s="108" t="n"/>
      <c r="J402" s="109" t="n"/>
      <c r="K402" s="109" t="n"/>
      <c r="L402" s="121">
        <f>IF($C402="","",IF($D402="Gider",$E402,$H402))</f>
        <v/>
      </c>
      <c r="M402" s="121">
        <f>IF($C402="","",IF($D402="Gider",$H402,$E402))</f>
        <v/>
      </c>
      <c r="N402" s="231">
        <f>IF($C402="","",DATE(YEAR($C402),MONTH($C402),1))</f>
        <v/>
      </c>
      <c r="O402" s="113">
        <f>IF($C402="","",IF(AND($D402&lt;&gt;"",$E402&lt;&gt;"",$G402&gt;0,$H402&lt;&gt;"",$I402&lt;&gt;""),IF($C402&gt;TODAY(),"İLERİ TARİH","UYGUN"),"EKSİK"))</f>
        <v/>
      </c>
      <c r="P402" s="6" t="n"/>
      <c r="Q402" s="6" t="n"/>
      <c r="R402" s="3" t="n"/>
      <c r="S402" s="3" t="n"/>
      <c r="T402" s="3" t="n"/>
      <c r="U402" s="3" t="n"/>
      <c r="V402" s="3" t="n"/>
      <c r="W402" s="3" t="n"/>
    </row>
    <row r="403">
      <c r="A403" s="6" t="n"/>
      <c r="B403" s="113">
        <f>IF($C403="","","GG"&amp;TEXT(ROW()-6,"00000"))</f>
        <v/>
      </c>
      <c r="C403" s="225" t="n"/>
      <c r="D403" s="108" t="n"/>
      <c r="E403" s="109" t="n"/>
      <c r="F403" s="109" t="n"/>
      <c r="G403" s="226" t="n"/>
      <c r="H403" s="108" t="n"/>
      <c r="I403" s="108" t="n"/>
      <c r="J403" s="109" t="n"/>
      <c r="K403" s="109" t="n"/>
      <c r="L403" s="121">
        <f>IF($C403="","",IF($D403="Gider",$E403,$H403))</f>
        <v/>
      </c>
      <c r="M403" s="121">
        <f>IF($C403="","",IF($D403="Gider",$H403,$E403))</f>
        <v/>
      </c>
      <c r="N403" s="231">
        <f>IF($C403="","",DATE(YEAR($C403),MONTH($C403),1))</f>
        <v/>
      </c>
      <c r="O403" s="113">
        <f>IF($C403="","",IF(AND($D403&lt;&gt;"",$E403&lt;&gt;"",$G403&gt;0,$H403&lt;&gt;"",$I403&lt;&gt;""),IF($C403&gt;TODAY(),"İLERİ TARİH","UYGUN"),"EKSİK"))</f>
        <v/>
      </c>
      <c r="P403" s="6" t="n"/>
      <c r="Q403" s="6" t="n"/>
      <c r="R403" s="3" t="n"/>
      <c r="S403" s="3" t="n"/>
      <c r="T403" s="3" t="n"/>
      <c r="U403" s="3" t="n"/>
      <c r="V403" s="3" t="n"/>
      <c r="W403" s="3" t="n"/>
    </row>
    <row r="404">
      <c r="A404" s="6" t="n"/>
      <c r="B404" s="113">
        <f>IF($C404="","","GG"&amp;TEXT(ROW()-6,"00000"))</f>
        <v/>
      </c>
      <c r="C404" s="225" t="n"/>
      <c r="D404" s="108" t="n"/>
      <c r="E404" s="109" t="n"/>
      <c r="F404" s="109" t="n"/>
      <c r="G404" s="226" t="n"/>
      <c r="H404" s="108" t="n"/>
      <c r="I404" s="108" t="n"/>
      <c r="J404" s="109" t="n"/>
      <c r="K404" s="109" t="n"/>
      <c r="L404" s="121">
        <f>IF($C404="","",IF($D404="Gider",$E404,$H404))</f>
        <v/>
      </c>
      <c r="M404" s="121">
        <f>IF($C404="","",IF($D404="Gider",$H404,$E404))</f>
        <v/>
      </c>
      <c r="N404" s="231">
        <f>IF($C404="","",DATE(YEAR($C404),MONTH($C404),1))</f>
        <v/>
      </c>
      <c r="O404" s="113">
        <f>IF($C404="","",IF(AND($D404&lt;&gt;"",$E404&lt;&gt;"",$G404&gt;0,$H404&lt;&gt;"",$I404&lt;&gt;""),IF($C404&gt;TODAY(),"İLERİ TARİH","UYGUN"),"EKSİK"))</f>
        <v/>
      </c>
      <c r="P404" s="6" t="n"/>
      <c r="Q404" s="6" t="n"/>
      <c r="R404" s="3" t="n"/>
      <c r="S404" s="3" t="n"/>
      <c r="T404" s="3" t="n"/>
      <c r="U404" s="3" t="n"/>
      <c r="V404" s="3" t="n"/>
      <c r="W404" s="3" t="n"/>
    </row>
    <row r="405">
      <c r="A405" s="6" t="n"/>
      <c r="B405" s="113">
        <f>IF($C405="","","GG"&amp;TEXT(ROW()-6,"00000"))</f>
        <v/>
      </c>
      <c r="C405" s="225" t="n"/>
      <c r="D405" s="108" t="n"/>
      <c r="E405" s="109" t="n"/>
      <c r="F405" s="109" t="n"/>
      <c r="G405" s="226" t="n"/>
      <c r="H405" s="108" t="n"/>
      <c r="I405" s="108" t="n"/>
      <c r="J405" s="109" t="n"/>
      <c r="K405" s="109" t="n"/>
      <c r="L405" s="121">
        <f>IF($C405="","",IF($D405="Gider",$E405,$H405))</f>
        <v/>
      </c>
      <c r="M405" s="121">
        <f>IF($C405="","",IF($D405="Gider",$H405,$E405))</f>
        <v/>
      </c>
      <c r="N405" s="231">
        <f>IF($C405="","",DATE(YEAR($C405),MONTH($C405),1))</f>
        <v/>
      </c>
      <c r="O405" s="113">
        <f>IF($C405="","",IF(AND($D405&lt;&gt;"",$E405&lt;&gt;"",$G405&gt;0,$H405&lt;&gt;"",$I405&lt;&gt;""),IF($C405&gt;TODAY(),"İLERİ TARİH","UYGUN"),"EKSİK"))</f>
        <v/>
      </c>
      <c r="P405" s="6" t="n"/>
      <c r="Q405" s="6" t="n"/>
      <c r="R405" s="3" t="n"/>
      <c r="S405" s="3" t="n"/>
      <c r="T405" s="3" t="n"/>
      <c r="U405" s="3" t="n"/>
      <c r="V405" s="3" t="n"/>
      <c r="W405" s="3" t="n"/>
    </row>
    <row r="406">
      <c r="A406" s="6" t="n"/>
      <c r="B406" s="113">
        <f>IF($C406="","","GG"&amp;TEXT(ROW()-6,"00000"))</f>
        <v/>
      </c>
      <c r="C406" s="225" t="n"/>
      <c r="D406" s="108" t="n"/>
      <c r="E406" s="109" t="n"/>
      <c r="F406" s="109" t="n"/>
      <c r="G406" s="226" t="n"/>
      <c r="H406" s="108" t="n"/>
      <c r="I406" s="108" t="n"/>
      <c r="J406" s="109" t="n"/>
      <c r="K406" s="109" t="n"/>
      <c r="L406" s="121">
        <f>IF($C406="","",IF($D406="Gider",$E406,$H406))</f>
        <v/>
      </c>
      <c r="M406" s="121">
        <f>IF($C406="","",IF($D406="Gider",$H406,$E406))</f>
        <v/>
      </c>
      <c r="N406" s="231">
        <f>IF($C406="","",DATE(YEAR($C406),MONTH($C406),1))</f>
        <v/>
      </c>
      <c r="O406" s="113">
        <f>IF($C406="","",IF(AND($D406&lt;&gt;"",$E406&lt;&gt;"",$G406&gt;0,$H406&lt;&gt;"",$I406&lt;&gt;""),IF($C406&gt;TODAY(),"İLERİ TARİH","UYGUN"),"EKSİK"))</f>
        <v/>
      </c>
      <c r="P406" s="6" t="n"/>
      <c r="Q406" s="6" t="n"/>
      <c r="R406" s="3" t="n"/>
      <c r="S406" s="3" t="n"/>
      <c r="T406" s="3" t="n"/>
      <c r="U406" s="3" t="n"/>
      <c r="V406" s="3" t="n"/>
      <c r="W406" s="3" t="n"/>
    </row>
    <row r="407">
      <c r="A407" s="6" t="n"/>
      <c r="B407" s="113">
        <f>IF($C407="","","GG"&amp;TEXT(ROW()-6,"00000"))</f>
        <v/>
      </c>
      <c r="C407" s="225" t="n"/>
      <c r="D407" s="108" t="n"/>
      <c r="E407" s="109" t="n"/>
      <c r="F407" s="109" t="n"/>
      <c r="G407" s="226" t="n"/>
      <c r="H407" s="108" t="n"/>
      <c r="I407" s="108" t="n"/>
      <c r="J407" s="109" t="n"/>
      <c r="K407" s="109" t="n"/>
      <c r="L407" s="121">
        <f>IF($C407="","",IF($D407="Gider",$E407,$H407))</f>
        <v/>
      </c>
      <c r="M407" s="121">
        <f>IF($C407="","",IF($D407="Gider",$H407,$E407))</f>
        <v/>
      </c>
      <c r="N407" s="231">
        <f>IF($C407="","",DATE(YEAR($C407),MONTH($C407),1))</f>
        <v/>
      </c>
      <c r="O407" s="113">
        <f>IF($C407="","",IF(AND($D407&lt;&gt;"",$E407&lt;&gt;"",$G407&gt;0,$H407&lt;&gt;"",$I407&lt;&gt;""),IF($C407&gt;TODAY(),"İLERİ TARİH","UYGUN"),"EKSİK"))</f>
        <v/>
      </c>
      <c r="P407" s="6" t="n"/>
      <c r="Q407" s="6" t="n"/>
      <c r="R407" s="3" t="n"/>
      <c r="S407" s="3" t="n"/>
      <c r="T407" s="3" t="n"/>
      <c r="U407" s="3" t="n"/>
      <c r="V407" s="3" t="n"/>
      <c r="W407" s="3" t="n"/>
    </row>
    <row r="408">
      <c r="A408" s="6" t="n"/>
      <c r="B408" s="113">
        <f>IF($C408="","","GG"&amp;TEXT(ROW()-6,"00000"))</f>
        <v/>
      </c>
      <c r="C408" s="225" t="n"/>
      <c r="D408" s="108" t="n"/>
      <c r="E408" s="109" t="n"/>
      <c r="F408" s="109" t="n"/>
      <c r="G408" s="226" t="n"/>
      <c r="H408" s="108" t="n"/>
      <c r="I408" s="108" t="n"/>
      <c r="J408" s="109" t="n"/>
      <c r="K408" s="109" t="n"/>
      <c r="L408" s="121">
        <f>IF($C408="","",IF($D408="Gider",$E408,$H408))</f>
        <v/>
      </c>
      <c r="M408" s="121">
        <f>IF($C408="","",IF($D408="Gider",$H408,$E408))</f>
        <v/>
      </c>
      <c r="N408" s="231">
        <f>IF($C408="","",DATE(YEAR($C408),MONTH($C408),1))</f>
        <v/>
      </c>
      <c r="O408" s="113">
        <f>IF($C408="","",IF(AND($D408&lt;&gt;"",$E408&lt;&gt;"",$G408&gt;0,$H408&lt;&gt;"",$I408&lt;&gt;""),IF($C408&gt;TODAY(),"İLERİ TARİH","UYGUN"),"EKSİK"))</f>
        <v/>
      </c>
      <c r="P408" s="6" t="n"/>
      <c r="Q408" s="6" t="n"/>
      <c r="R408" s="3" t="n"/>
      <c r="S408" s="3" t="n"/>
      <c r="T408" s="3" t="n"/>
      <c r="U408" s="3" t="n"/>
      <c r="V408" s="3" t="n"/>
      <c r="W408" s="3" t="n"/>
    </row>
    <row r="409">
      <c r="A409" s="6" t="n"/>
      <c r="B409" s="113">
        <f>IF($C409="","","GG"&amp;TEXT(ROW()-6,"00000"))</f>
        <v/>
      </c>
      <c r="C409" s="225" t="n"/>
      <c r="D409" s="108" t="n"/>
      <c r="E409" s="109" t="n"/>
      <c r="F409" s="109" t="n"/>
      <c r="G409" s="226" t="n"/>
      <c r="H409" s="108" t="n"/>
      <c r="I409" s="108" t="n"/>
      <c r="J409" s="109" t="n"/>
      <c r="K409" s="109" t="n"/>
      <c r="L409" s="121">
        <f>IF($C409="","",IF($D409="Gider",$E409,$H409))</f>
        <v/>
      </c>
      <c r="M409" s="121">
        <f>IF($C409="","",IF($D409="Gider",$H409,$E409))</f>
        <v/>
      </c>
      <c r="N409" s="231">
        <f>IF($C409="","",DATE(YEAR($C409),MONTH($C409),1))</f>
        <v/>
      </c>
      <c r="O409" s="113">
        <f>IF($C409="","",IF(AND($D409&lt;&gt;"",$E409&lt;&gt;"",$G409&gt;0,$H409&lt;&gt;"",$I409&lt;&gt;""),IF($C409&gt;TODAY(),"İLERİ TARİH","UYGUN"),"EKSİK"))</f>
        <v/>
      </c>
      <c r="P409" s="6" t="n"/>
      <c r="Q409" s="6" t="n"/>
      <c r="R409" s="3" t="n"/>
      <c r="S409" s="3" t="n"/>
      <c r="T409" s="3" t="n"/>
      <c r="U409" s="3" t="n"/>
      <c r="V409" s="3" t="n"/>
      <c r="W409" s="3" t="n"/>
    </row>
    <row r="410">
      <c r="A410" s="6" t="n"/>
      <c r="B410" s="113">
        <f>IF($C410="","","GG"&amp;TEXT(ROW()-6,"00000"))</f>
        <v/>
      </c>
      <c r="C410" s="225" t="n"/>
      <c r="D410" s="108" t="n"/>
      <c r="E410" s="109" t="n"/>
      <c r="F410" s="109" t="n"/>
      <c r="G410" s="226" t="n"/>
      <c r="H410" s="108" t="n"/>
      <c r="I410" s="108" t="n"/>
      <c r="J410" s="109" t="n"/>
      <c r="K410" s="109" t="n"/>
      <c r="L410" s="121">
        <f>IF($C410="","",IF($D410="Gider",$E410,$H410))</f>
        <v/>
      </c>
      <c r="M410" s="121">
        <f>IF($C410="","",IF($D410="Gider",$H410,$E410))</f>
        <v/>
      </c>
      <c r="N410" s="231">
        <f>IF($C410="","",DATE(YEAR($C410),MONTH($C410),1))</f>
        <v/>
      </c>
      <c r="O410" s="113">
        <f>IF($C410="","",IF(AND($D410&lt;&gt;"",$E410&lt;&gt;"",$G410&gt;0,$H410&lt;&gt;"",$I410&lt;&gt;""),IF($C410&gt;TODAY(),"İLERİ TARİH","UYGUN"),"EKSİK"))</f>
        <v/>
      </c>
      <c r="P410" s="6" t="n"/>
      <c r="Q410" s="6" t="n"/>
      <c r="R410" s="3" t="n"/>
      <c r="S410" s="3" t="n"/>
      <c r="T410" s="3" t="n"/>
      <c r="U410" s="3" t="n"/>
      <c r="V410" s="3" t="n"/>
      <c r="W410" s="3" t="n"/>
    </row>
    <row r="411">
      <c r="A411" s="6" t="n"/>
      <c r="B411" s="113">
        <f>IF($C411="","","GG"&amp;TEXT(ROW()-6,"00000"))</f>
        <v/>
      </c>
      <c r="C411" s="225" t="n"/>
      <c r="D411" s="108" t="n"/>
      <c r="E411" s="109" t="n"/>
      <c r="F411" s="109" t="n"/>
      <c r="G411" s="226" t="n"/>
      <c r="H411" s="108" t="n"/>
      <c r="I411" s="108" t="n"/>
      <c r="J411" s="109" t="n"/>
      <c r="K411" s="109" t="n"/>
      <c r="L411" s="121">
        <f>IF($C411="","",IF($D411="Gider",$E411,$H411))</f>
        <v/>
      </c>
      <c r="M411" s="121">
        <f>IF($C411="","",IF($D411="Gider",$H411,$E411))</f>
        <v/>
      </c>
      <c r="N411" s="231">
        <f>IF($C411="","",DATE(YEAR($C411),MONTH($C411),1))</f>
        <v/>
      </c>
      <c r="O411" s="113">
        <f>IF($C411="","",IF(AND($D411&lt;&gt;"",$E411&lt;&gt;"",$G411&gt;0,$H411&lt;&gt;"",$I411&lt;&gt;""),IF($C411&gt;TODAY(),"İLERİ TARİH","UYGUN"),"EKSİK"))</f>
        <v/>
      </c>
      <c r="P411" s="6" t="n"/>
      <c r="Q411" s="6" t="n"/>
      <c r="R411" s="3" t="n"/>
      <c r="S411" s="3" t="n"/>
      <c r="T411" s="3" t="n"/>
      <c r="U411" s="3" t="n"/>
      <c r="V411" s="3" t="n"/>
      <c r="W411" s="3" t="n"/>
    </row>
    <row r="412">
      <c r="A412" s="6" t="n"/>
      <c r="B412" s="113">
        <f>IF($C412="","","GG"&amp;TEXT(ROW()-6,"00000"))</f>
        <v/>
      </c>
      <c r="C412" s="225" t="n"/>
      <c r="D412" s="108" t="n"/>
      <c r="E412" s="109" t="n"/>
      <c r="F412" s="109" t="n"/>
      <c r="G412" s="226" t="n"/>
      <c r="H412" s="108" t="n"/>
      <c r="I412" s="108" t="n"/>
      <c r="J412" s="109" t="n"/>
      <c r="K412" s="109" t="n"/>
      <c r="L412" s="121">
        <f>IF($C412="","",IF($D412="Gider",$E412,$H412))</f>
        <v/>
      </c>
      <c r="M412" s="121">
        <f>IF($C412="","",IF($D412="Gider",$H412,$E412))</f>
        <v/>
      </c>
      <c r="N412" s="231">
        <f>IF($C412="","",DATE(YEAR($C412),MONTH($C412),1))</f>
        <v/>
      </c>
      <c r="O412" s="113">
        <f>IF($C412="","",IF(AND($D412&lt;&gt;"",$E412&lt;&gt;"",$G412&gt;0,$H412&lt;&gt;"",$I412&lt;&gt;""),IF($C412&gt;TODAY(),"İLERİ TARİH","UYGUN"),"EKSİK"))</f>
        <v/>
      </c>
      <c r="P412" s="6" t="n"/>
      <c r="Q412" s="6" t="n"/>
      <c r="R412" s="3" t="n"/>
      <c r="S412" s="3" t="n"/>
      <c r="T412" s="3" t="n"/>
      <c r="U412" s="3" t="n"/>
      <c r="V412" s="3" t="n"/>
      <c r="W412" s="3" t="n"/>
    </row>
    <row r="413">
      <c r="A413" s="6" t="n"/>
      <c r="B413" s="113">
        <f>IF($C413="","","GG"&amp;TEXT(ROW()-6,"00000"))</f>
        <v/>
      </c>
      <c r="C413" s="225" t="n"/>
      <c r="D413" s="108" t="n"/>
      <c r="E413" s="109" t="n"/>
      <c r="F413" s="109" t="n"/>
      <c r="G413" s="226" t="n"/>
      <c r="H413" s="108" t="n"/>
      <c r="I413" s="108" t="n"/>
      <c r="J413" s="109" t="n"/>
      <c r="K413" s="109" t="n"/>
      <c r="L413" s="121">
        <f>IF($C413="","",IF($D413="Gider",$E413,$H413))</f>
        <v/>
      </c>
      <c r="M413" s="121">
        <f>IF($C413="","",IF($D413="Gider",$H413,$E413))</f>
        <v/>
      </c>
      <c r="N413" s="231">
        <f>IF($C413="","",DATE(YEAR($C413),MONTH($C413),1))</f>
        <v/>
      </c>
      <c r="O413" s="113">
        <f>IF($C413="","",IF(AND($D413&lt;&gt;"",$E413&lt;&gt;"",$G413&gt;0,$H413&lt;&gt;"",$I413&lt;&gt;""),IF($C413&gt;TODAY(),"İLERİ TARİH","UYGUN"),"EKSİK"))</f>
        <v/>
      </c>
      <c r="P413" s="6" t="n"/>
      <c r="Q413" s="6" t="n"/>
      <c r="R413" s="3" t="n"/>
      <c r="S413" s="3" t="n"/>
      <c r="T413" s="3" t="n"/>
      <c r="U413" s="3" t="n"/>
      <c r="V413" s="3" t="n"/>
      <c r="W413" s="3" t="n"/>
    </row>
    <row r="414">
      <c r="A414" s="6" t="n"/>
      <c r="B414" s="113">
        <f>IF($C414="","","GG"&amp;TEXT(ROW()-6,"00000"))</f>
        <v/>
      </c>
      <c r="C414" s="225" t="n"/>
      <c r="D414" s="108" t="n"/>
      <c r="E414" s="109" t="n"/>
      <c r="F414" s="109" t="n"/>
      <c r="G414" s="226" t="n"/>
      <c r="H414" s="108" t="n"/>
      <c r="I414" s="108" t="n"/>
      <c r="J414" s="109" t="n"/>
      <c r="K414" s="109" t="n"/>
      <c r="L414" s="121">
        <f>IF($C414="","",IF($D414="Gider",$E414,$H414))</f>
        <v/>
      </c>
      <c r="M414" s="121">
        <f>IF($C414="","",IF($D414="Gider",$H414,$E414))</f>
        <v/>
      </c>
      <c r="N414" s="231">
        <f>IF($C414="","",DATE(YEAR($C414),MONTH($C414),1))</f>
        <v/>
      </c>
      <c r="O414" s="113">
        <f>IF($C414="","",IF(AND($D414&lt;&gt;"",$E414&lt;&gt;"",$G414&gt;0,$H414&lt;&gt;"",$I414&lt;&gt;""),IF($C414&gt;TODAY(),"İLERİ TARİH","UYGUN"),"EKSİK"))</f>
        <v/>
      </c>
      <c r="P414" s="6" t="n"/>
      <c r="Q414" s="6" t="n"/>
      <c r="R414" s="3" t="n"/>
      <c r="S414" s="3" t="n"/>
      <c r="T414" s="3" t="n"/>
      <c r="U414" s="3" t="n"/>
      <c r="V414" s="3" t="n"/>
      <c r="W414" s="3" t="n"/>
    </row>
    <row r="415">
      <c r="A415" s="6" t="n"/>
      <c r="B415" s="113">
        <f>IF($C415="","","GG"&amp;TEXT(ROW()-6,"00000"))</f>
        <v/>
      </c>
      <c r="C415" s="225" t="n"/>
      <c r="D415" s="108" t="n"/>
      <c r="E415" s="109" t="n"/>
      <c r="F415" s="109" t="n"/>
      <c r="G415" s="226" t="n"/>
      <c r="H415" s="108" t="n"/>
      <c r="I415" s="108" t="n"/>
      <c r="J415" s="109" t="n"/>
      <c r="K415" s="109" t="n"/>
      <c r="L415" s="121">
        <f>IF($C415="","",IF($D415="Gider",$E415,$H415))</f>
        <v/>
      </c>
      <c r="M415" s="121">
        <f>IF($C415="","",IF($D415="Gider",$H415,$E415))</f>
        <v/>
      </c>
      <c r="N415" s="231">
        <f>IF($C415="","",DATE(YEAR($C415),MONTH($C415),1))</f>
        <v/>
      </c>
      <c r="O415" s="113">
        <f>IF($C415="","",IF(AND($D415&lt;&gt;"",$E415&lt;&gt;"",$G415&gt;0,$H415&lt;&gt;"",$I415&lt;&gt;""),IF($C415&gt;TODAY(),"İLERİ TARİH","UYGUN"),"EKSİK"))</f>
        <v/>
      </c>
      <c r="P415" s="6" t="n"/>
      <c r="Q415" s="6" t="n"/>
      <c r="R415" s="3" t="n"/>
      <c r="S415" s="3" t="n"/>
      <c r="T415" s="3" t="n"/>
      <c r="U415" s="3" t="n"/>
      <c r="V415" s="3" t="n"/>
      <c r="W415" s="3" t="n"/>
    </row>
    <row r="416">
      <c r="A416" s="6" t="n"/>
      <c r="B416" s="113">
        <f>IF($C416="","","GG"&amp;TEXT(ROW()-6,"00000"))</f>
        <v/>
      </c>
      <c r="C416" s="225" t="n"/>
      <c r="D416" s="108" t="n"/>
      <c r="E416" s="109" t="n"/>
      <c r="F416" s="109" t="n"/>
      <c r="G416" s="226" t="n"/>
      <c r="H416" s="108" t="n"/>
      <c r="I416" s="108" t="n"/>
      <c r="J416" s="109" t="n"/>
      <c r="K416" s="109" t="n"/>
      <c r="L416" s="121">
        <f>IF($C416="","",IF($D416="Gider",$E416,$H416))</f>
        <v/>
      </c>
      <c r="M416" s="121">
        <f>IF($C416="","",IF($D416="Gider",$H416,$E416))</f>
        <v/>
      </c>
      <c r="N416" s="231">
        <f>IF($C416="","",DATE(YEAR($C416),MONTH($C416),1))</f>
        <v/>
      </c>
      <c r="O416" s="113">
        <f>IF($C416="","",IF(AND($D416&lt;&gt;"",$E416&lt;&gt;"",$G416&gt;0,$H416&lt;&gt;"",$I416&lt;&gt;""),IF($C416&gt;TODAY(),"İLERİ TARİH","UYGUN"),"EKSİK"))</f>
        <v/>
      </c>
      <c r="P416" s="6" t="n"/>
      <c r="Q416" s="6" t="n"/>
      <c r="R416" s="3" t="n"/>
      <c r="S416" s="3" t="n"/>
      <c r="T416" s="3" t="n"/>
      <c r="U416" s="3" t="n"/>
      <c r="V416" s="3" t="n"/>
      <c r="W416" s="3" t="n"/>
    </row>
    <row r="417">
      <c r="A417" s="6" t="n"/>
      <c r="B417" s="113">
        <f>IF($C417="","","GG"&amp;TEXT(ROW()-6,"00000"))</f>
        <v/>
      </c>
      <c r="C417" s="225" t="n"/>
      <c r="D417" s="108" t="n"/>
      <c r="E417" s="109" t="n"/>
      <c r="F417" s="109" t="n"/>
      <c r="G417" s="226" t="n"/>
      <c r="H417" s="108" t="n"/>
      <c r="I417" s="108" t="n"/>
      <c r="J417" s="109" t="n"/>
      <c r="K417" s="109" t="n"/>
      <c r="L417" s="121">
        <f>IF($C417="","",IF($D417="Gider",$E417,$H417))</f>
        <v/>
      </c>
      <c r="M417" s="121">
        <f>IF($C417="","",IF($D417="Gider",$H417,$E417))</f>
        <v/>
      </c>
      <c r="N417" s="231">
        <f>IF($C417="","",DATE(YEAR($C417),MONTH($C417),1))</f>
        <v/>
      </c>
      <c r="O417" s="113">
        <f>IF($C417="","",IF(AND($D417&lt;&gt;"",$E417&lt;&gt;"",$G417&gt;0,$H417&lt;&gt;"",$I417&lt;&gt;""),IF($C417&gt;TODAY(),"İLERİ TARİH","UYGUN"),"EKSİK"))</f>
        <v/>
      </c>
      <c r="P417" s="6" t="n"/>
      <c r="Q417" s="6" t="n"/>
      <c r="R417" s="3" t="n"/>
      <c r="S417" s="3" t="n"/>
      <c r="T417" s="3" t="n"/>
      <c r="U417" s="3" t="n"/>
      <c r="V417" s="3" t="n"/>
      <c r="W417" s="3" t="n"/>
    </row>
    <row r="418">
      <c r="A418" s="6" t="n"/>
      <c r="B418" s="113">
        <f>IF($C418="","","GG"&amp;TEXT(ROW()-6,"00000"))</f>
        <v/>
      </c>
      <c r="C418" s="225" t="n"/>
      <c r="D418" s="108" t="n"/>
      <c r="E418" s="109" t="n"/>
      <c r="F418" s="109" t="n"/>
      <c r="G418" s="226" t="n"/>
      <c r="H418" s="108" t="n"/>
      <c r="I418" s="108" t="n"/>
      <c r="J418" s="109" t="n"/>
      <c r="K418" s="109" t="n"/>
      <c r="L418" s="121">
        <f>IF($C418="","",IF($D418="Gider",$E418,$H418))</f>
        <v/>
      </c>
      <c r="M418" s="121">
        <f>IF($C418="","",IF($D418="Gider",$H418,$E418))</f>
        <v/>
      </c>
      <c r="N418" s="231">
        <f>IF($C418="","",DATE(YEAR($C418),MONTH($C418),1))</f>
        <v/>
      </c>
      <c r="O418" s="113">
        <f>IF($C418="","",IF(AND($D418&lt;&gt;"",$E418&lt;&gt;"",$G418&gt;0,$H418&lt;&gt;"",$I418&lt;&gt;""),IF($C418&gt;TODAY(),"İLERİ TARİH","UYGUN"),"EKSİK"))</f>
        <v/>
      </c>
      <c r="P418" s="6" t="n"/>
      <c r="Q418" s="6" t="n"/>
      <c r="R418" s="3" t="n"/>
      <c r="S418" s="3" t="n"/>
      <c r="T418" s="3" t="n"/>
      <c r="U418" s="3" t="n"/>
      <c r="V418" s="3" t="n"/>
      <c r="W418" s="3" t="n"/>
    </row>
    <row r="419">
      <c r="A419" s="6" t="n"/>
      <c r="B419" s="113">
        <f>IF($C419="","","GG"&amp;TEXT(ROW()-6,"00000"))</f>
        <v/>
      </c>
      <c r="C419" s="225" t="n"/>
      <c r="D419" s="108" t="n"/>
      <c r="E419" s="109" t="n"/>
      <c r="F419" s="109" t="n"/>
      <c r="G419" s="226" t="n"/>
      <c r="H419" s="108" t="n"/>
      <c r="I419" s="108" t="n"/>
      <c r="J419" s="109" t="n"/>
      <c r="K419" s="109" t="n"/>
      <c r="L419" s="121">
        <f>IF($C419="","",IF($D419="Gider",$E419,$H419))</f>
        <v/>
      </c>
      <c r="M419" s="121">
        <f>IF($C419="","",IF($D419="Gider",$H419,$E419))</f>
        <v/>
      </c>
      <c r="N419" s="231">
        <f>IF($C419="","",DATE(YEAR($C419),MONTH($C419),1))</f>
        <v/>
      </c>
      <c r="O419" s="113">
        <f>IF($C419="","",IF(AND($D419&lt;&gt;"",$E419&lt;&gt;"",$G419&gt;0,$H419&lt;&gt;"",$I419&lt;&gt;""),IF($C419&gt;TODAY(),"İLERİ TARİH","UYGUN"),"EKSİK"))</f>
        <v/>
      </c>
      <c r="P419" s="6" t="n"/>
      <c r="Q419" s="6" t="n"/>
      <c r="R419" s="3" t="n"/>
      <c r="S419" s="3" t="n"/>
      <c r="T419" s="3" t="n"/>
      <c r="U419" s="3" t="n"/>
      <c r="V419" s="3" t="n"/>
      <c r="W419" s="3" t="n"/>
    </row>
    <row r="420">
      <c r="A420" s="6" t="n"/>
      <c r="B420" s="113">
        <f>IF($C420="","","GG"&amp;TEXT(ROW()-6,"00000"))</f>
        <v/>
      </c>
      <c r="C420" s="225" t="n"/>
      <c r="D420" s="108" t="n"/>
      <c r="E420" s="109" t="n"/>
      <c r="F420" s="109" t="n"/>
      <c r="G420" s="226" t="n"/>
      <c r="H420" s="108" t="n"/>
      <c r="I420" s="108" t="n"/>
      <c r="J420" s="109" t="n"/>
      <c r="K420" s="109" t="n"/>
      <c r="L420" s="121">
        <f>IF($C420="","",IF($D420="Gider",$E420,$H420))</f>
        <v/>
      </c>
      <c r="M420" s="121">
        <f>IF($C420="","",IF($D420="Gider",$H420,$E420))</f>
        <v/>
      </c>
      <c r="N420" s="231">
        <f>IF($C420="","",DATE(YEAR($C420),MONTH($C420),1))</f>
        <v/>
      </c>
      <c r="O420" s="113">
        <f>IF($C420="","",IF(AND($D420&lt;&gt;"",$E420&lt;&gt;"",$G420&gt;0,$H420&lt;&gt;"",$I420&lt;&gt;""),IF($C420&gt;TODAY(),"İLERİ TARİH","UYGUN"),"EKSİK"))</f>
        <v/>
      </c>
      <c r="P420" s="6" t="n"/>
      <c r="Q420" s="6" t="n"/>
      <c r="R420" s="3" t="n"/>
      <c r="S420" s="3" t="n"/>
      <c r="T420" s="3" t="n"/>
      <c r="U420" s="3" t="n"/>
      <c r="V420" s="3" t="n"/>
      <c r="W420" s="3" t="n"/>
    </row>
    <row r="421">
      <c r="A421" s="6" t="n"/>
      <c r="B421" s="113">
        <f>IF($C421="","","GG"&amp;TEXT(ROW()-6,"00000"))</f>
        <v/>
      </c>
      <c r="C421" s="225" t="n"/>
      <c r="D421" s="108" t="n"/>
      <c r="E421" s="109" t="n"/>
      <c r="F421" s="109" t="n"/>
      <c r="G421" s="226" t="n"/>
      <c r="H421" s="108" t="n"/>
      <c r="I421" s="108" t="n"/>
      <c r="J421" s="109" t="n"/>
      <c r="K421" s="109" t="n"/>
      <c r="L421" s="121">
        <f>IF($C421="","",IF($D421="Gider",$E421,$H421))</f>
        <v/>
      </c>
      <c r="M421" s="121">
        <f>IF($C421="","",IF($D421="Gider",$H421,$E421))</f>
        <v/>
      </c>
      <c r="N421" s="231">
        <f>IF($C421="","",DATE(YEAR($C421),MONTH($C421),1))</f>
        <v/>
      </c>
      <c r="O421" s="113">
        <f>IF($C421="","",IF(AND($D421&lt;&gt;"",$E421&lt;&gt;"",$G421&gt;0,$H421&lt;&gt;"",$I421&lt;&gt;""),IF($C421&gt;TODAY(),"İLERİ TARİH","UYGUN"),"EKSİK"))</f>
        <v/>
      </c>
      <c r="P421" s="6" t="n"/>
      <c r="Q421" s="6" t="n"/>
      <c r="R421" s="3" t="n"/>
      <c r="S421" s="3" t="n"/>
      <c r="T421" s="3" t="n"/>
      <c r="U421" s="3" t="n"/>
      <c r="V421" s="3" t="n"/>
      <c r="W421" s="3" t="n"/>
    </row>
    <row r="422">
      <c r="A422" s="6" t="n"/>
      <c r="B422" s="113">
        <f>IF($C422="","","GG"&amp;TEXT(ROW()-6,"00000"))</f>
        <v/>
      </c>
      <c r="C422" s="225" t="n"/>
      <c r="D422" s="108" t="n"/>
      <c r="E422" s="109" t="n"/>
      <c r="F422" s="109" t="n"/>
      <c r="G422" s="226" t="n"/>
      <c r="H422" s="108" t="n"/>
      <c r="I422" s="108" t="n"/>
      <c r="J422" s="109" t="n"/>
      <c r="K422" s="109" t="n"/>
      <c r="L422" s="121">
        <f>IF($C422="","",IF($D422="Gider",$E422,$H422))</f>
        <v/>
      </c>
      <c r="M422" s="121">
        <f>IF($C422="","",IF($D422="Gider",$H422,$E422))</f>
        <v/>
      </c>
      <c r="N422" s="231">
        <f>IF($C422="","",DATE(YEAR($C422),MONTH($C422),1))</f>
        <v/>
      </c>
      <c r="O422" s="113">
        <f>IF($C422="","",IF(AND($D422&lt;&gt;"",$E422&lt;&gt;"",$G422&gt;0,$H422&lt;&gt;"",$I422&lt;&gt;""),IF($C422&gt;TODAY(),"İLERİ TARİH","UYGUN"),"EKSİK"))</f>
        <v/>
      </c>
      <c r="P422" s="6" t="n"/>
      <c r="Q422" s="6" t="n"/>
      <c r="R422" s="3" t="n"/>
      <c r="S422" s="3" t="n"/>
      <c r="T422" s="3" t="n"/>
      <c r="U422" s="3" t="n"/>
      <c r="V422" s="3" t="n"/>
      <c r="W422" s="3" t="n"/>
    </row>
    <row r="423">
      <c r="A423" s="6" t="n"/>
      <c r="B423" s="113">
        <f>IF($C423="","","GG"&amp;TEXT(ROW()-6,"00000"))</f>
        <v/>
      </c>
      <c r="C423" s="225" t="n"/>
      <c r="D423" s="108" t="n"/>
      <c r="E423" s="109" t="n"/>
      <c r="F423" s="109" t="n"/>
      <c r="G423" s="226" t="n"/>
      <c r="H423" s="108" t="n"/>
      <c r="I423" s="108" t="n"/>
      <c r="J423" s="109" t="n"/>
      <c r="K423" s="109" t="n"/>
      <c r="L423" s="121">
        <f>IF($C423="","",IF($D423="Gider",$E423,$H423))</f>
        <v/>
      </c>
      <c r="M423" s="121">
        <f>IF($C423="","",IF($D423="Gider",$H423,$E423))</f>
        <v/>
      </c>
      <c r="N423" s="231">
        <f>IF($C423="","",DATE(YEAR($C423),MONTH($C423),1))</f>
        <v/>
      </c>
      <c r="O423" s="113">
        <f>IF($C423="","",IF(AND($D423&lt;&gt;"",$E423&lt;&gt;"",$G423&gt;0,$H423&lt;&gt;"",$I423&lt;&gt;""),IF($C423&gt;TODAY(),"İLERİ TARİH","UYGUN"),"EKSİK"))</f>
        <v/>
      </c>
      <c r="P423" s="6" t="n"/>
      <c r="Q423" s="6" t="n"/>
      <c r="R423" s="3" t="n"/>
      <c r="S423" s="3" t="n"/>
      <c r="T423" s="3" t="n"/>
      <c r="U423" s="3" t="n"/>
      <c r="V423" s="3" t="n"/>
      <c r="W423" s="3" t="n"/>
    </row>
    <row r="424">
      <c r="A424" s="6" t="n"/>
      <c r="B424" s="113">
        <f>IF($C424="","","GG"&amp;TEXT(ROW()-6,"00000"))</f>
        <v/>
      </c>
      <c r="C424" s="225" t="n"/>
      <c r="D424" s="108" t="n"/>
      <c r="E424" s="109" t="n"/>
      <c r="F424" s="109" t="n"/>
      <c r="G424" s="226" t="n"/>
      <c r="H424" s="108" t="n"/>
      <c r="I424" s="108" t="n"/>
      <c r="J424" s="109" t="n"/>
      <c r="K424" s="109" t="n"/>
      <c r="L424" s="121">
        <f>IF($C424="","",IF($D424="Gider",$E424,$H424))</f>
        <v/>
      </c>
      <c r="M424" s="121">
        <f>IF($C424="","",IF($D424="Gider",$H424,$E424))</f>
        <v/>
      </c>
      <c r="N424" s="231">
        <f>IF($C424="","",DATE(YEAR($C424),MONTH($C424),1))</f>
        <v/>
      </c>
      <c r="O424" s="113">
        <f>IF($C424="","",IF(AND($D424&lt;&gt;"",$E424&lt;&gt;"",$G424&gt;0,$H424&lt;&gt;"",$I424&lt;&gt;""),IF($C424&gt;TODAY(),"İLERİ TARİH","UYGUN"),"EKSİK"))</f>
        <v/>
      </c>
      <c r="P424" s="6" t="n"/>
      <c r="Q424" s="6" t="n"/>
      <c r="R424" s="3" t="n"/>
      <c r="S424" s="3" t="n"/>
      <c r="T424" s="3" t="n"/>
      <c r="U424" s="3" t="n"/>
      <c r="V424" s="3" t="n"/>
      <c r="W424" s="3" t="n"/>
    </row>
    <row r="425">
      <c r="A425" s="6" t="n"/>
      <c r="B425" s="113">
        <f>IF($C425="","","GG"&amp;TEXT(ROW()-6,"00000"))</f>
        <v/>
      </c>
      <c r="C425" s="225" t="n"/>
      <c r="D425" s="108" t="n"/>
      <c r="E425" s="109" t="n"/>
      <c r="F425" s="109" t="n"/>
      <c r="G425" s="226" t="n"/>
      <c r="H425" s="108" t="n"/>
      <c r="I425" s="108" t="n"/>
      <c r="J425" s="109" t="n"/>
      <c r="K425" s="109" t="n"/>
      <c r="L425" s="121">
        <f>IF($C425="","",IF($D425="Gider",$E425,$H425))</f>
        <v/>
      </c>
      <c r="M425" s="121">
        <f>IF($C425="","",IF($D425="Gider",$H425,$E425))</f>
        <v/>
      </c>
      <c r="N425" s="231">
        <f>IF($C425="","",DATE(YEAR($C425),MONTH($C425),1))</f>
        <v/>
      </c>
      <c r="O425" s="113">
        <f>IF($C425="","",IF(AND($D425&lt;&gt;"",$E425&lt;&gt;"",$G425&gt;0,$H425&lt;&gt;"",$I425&lt;&gt;""),IF($C425&gt;TODAY(),"İLERİ TARİH","UYGUN"),"EKSİK"))</f>
        <v/>
      </c>
      <c r="P425" s="6" t="n"/>
      <c r="Q425" s="6" t="n"/>
      <c r="R425" s="3" t="n"/>
      <c r="S425" s="3" t="n"/>
      <c r="T425" s="3" t="n"/>
      <c r="U425" s="3" t="n"/>
      <c r="V425" s="3" t="n"/>
      <c r="W425" s="3" t="n"/>
    </row>
    <row r="426">
      <c r="A426" s="6" t="n"/>
      <c r="B426" s="113">
        <f>IF($C426="","","GG"&amp;TEXT(ROW()-6,"00000"))</f>
        <v/>
      </c>
      <c r="C426" s="225" t="n"/>
      <c r="D426" s="108" t="n"/>
      <c r="E426" s="109" t="n"/>
      <c r="F426" s="109" t="n"/>
      <c r="G426" s="226" t="n"/>
      <c r="H426" s="108" t="n"/>
      <c r="I426" s="108" t="n"/>
      <c r="J426" s="109" t="n"/>
      <c r="K426" s="109" t="n"/>
      <c r="L426" s="121">
        <f>IF($C426="","",IF($D426="Gider",$E426,$H426))</f>
        <v/>
      </c>
      <c r="M426" s="121">
        <f>IF($C426="","",IF($D426="Gider",$H426,$E426))</f>
        <v/>
      </c>
      <c r="N426" s="231">
        <f>IF($C426="","",DATE(YEAR($C426),MONTH($C426),1))</f>
        <v/>
      </c>
      <c r="O426" s="113">
        <f>IF($C426="","",IF(AND($D426&lt;&gt;"",$E426&lt;&gt;"",$G426&gt;0,$H426&lt;&gt;"",$I426&lt;&gt;""),IF($C426&gt;TODAY(),"İLERİ TARİH","UYGUN"),"EKSİK"))</f>
        <v/>
      </c>
      <c r="P426" s="6" t="n"/>
      <c r="Q426" s="6" t="n"/>
      <c r="R426" s="3" t="n"/>
      <c r="S426" s="3" t="n"/>
      <c r="T426" s="3" t="n"/>
      <c r="U426" s="3" t="n"/>
      <c r="V426" s="3" t="n"/>
      <c r="W426" s="3" t="n"/>
    </row>
    <row r="427">
      <c r="A427" s="6" t="n"/>
      <c r="B427" s="113">
        <f>IF($C427="","","GG"&amp;TEXT(ROW()-6,"00000"))</f>
        <v/>
      </c>
      <c r="C427" s="225" t="n"/>
      <c r="D427" s="108" t="n"/>
      <c r="E427" s="109" t="n"/>
      <c r="F427" s="109" t="n"/>
      <c r="G427" s="226" t="n"/>
      <c r="H427" s="108" t="n"/>
      <c r="I427" s="108" t="n"/>
      <c r="J427" s="109" t="n"/>
      <c r="K427" s="109" t="n"/>
      <c r="L427" s="121">
        <f>IF($C427="","",IF($D427="Gider",$E427,$H427))</f>
        <v/>
      </c>
      <c r="M427" s="121">
        <f>IF($C427="","",IF($D427="Gider",$H427,$E427))</f>
        <v/>
      </c>
      <c r="N427" s="231">
        <f>IF($C427="","",DATE(YEAR($C427),MONTH($C427),1))</f>
        <v/>
      </c>
      <c r="O427" s="113">
        <f>IF($C427="","",IF(AND($D427&lt;&gt;"",$E427&lt;&gt;"",$G427&gt;0,$H427&lt;&gt;"",$I427&lt;&gt;""),IF($C427&gt;TODAY(),"İLERİ TARİH","UYGUN"),"EKSİK"))</f>
        <v/>
      </c>
      <c r="P427" s="6" t="n"/>
      <c r="Q427" s="6" t="n"/>
      <c r="R427" s="3" t="n"/>
      <c r="S427" s="3" t="n"/>
      <c r="T427" s="3" t="n"/>
      <c r="U427" s="3" t="n"/>
      <c r="V427" s="3" t="n"/>
      <c r="W427" s="3" t="n"/>
    </row>
    <row r="428">
      <c r="A428" s="6" t="n"/>
      <c r="B428" s="113">
        <f>IF($C428="","","GG"&amp;TEXT(ROW()-6,"00000"))</f>
        <v/>
      </c>
      <c r="C428" s="225" t="n"/>
      <c r="D428" s="108" t="n"/>
      <c r="E428" s="109" t="n"/>
      <c r="F428" s="109" t="n"/>
      <c r="G428" s="226" t="n"/>
      <c r="H428" s="108" t="n"/>
      <c r="I428" s="108" t="n"/>
      <c r="J428" s="109" t="n"/>
      <c r="K428" s="109" t="n"/>
      <c r="L428" s="121">
        <f>IF($C428="","",IF($D428="Gider",$E428,$H428))</f>
        <v/>
      </c>
      <c r="M428" s="121">
        <f>IF($C428="","",IF($D428="Gider",$H428,$E428))</f>
        <v/>
      </c>
      <c r="N428" s="231">
        <f>IF($C428="","",DATE(YEAR($C428),MONTH($C428),1))</f>
        <v/>
      </c>
      <c r="O428" s="113">
        <f>IF($C428="","",IF(AND($D428&lt;&gt;"",$E428&lt;&gt;"",$G428&gt;0,$H428&lt;&gt;"",$I428&lt;&gt;""),IF($C428&gt;TODAY(),"İLERİ TARİH","UYGUN"),"EKSİK"))</f>
        <v/>
      </c>
      <c r="P428" s="6" t="n"/>
      <c r="Q428" s="6" t="n"/>
      <c r="R428" s="3" t="n"/>
      <c r="S428" s="3" t="n"/>
      <c r="T428" s="3" t="n"/>
      <c r="U428" s="3" t="n"/>
      <c r="V428" s="3" t="n"/>
      <c r="W428" s="3" t="n"/>
    </row>
    <row r="429">
      <c r="A429" s="6" t="n"/>
      <c r="B429" s="113">
        <f>IF($C429="","","GG"&amp;TEXT(ROW()-6,"00000"))</f>
        <v/>
      </c>
      <c r="C429" s="225" t="n"/>
      <c r="D429" s="108" t="n"/>
      <c r="E429" s="109" t="n"/>
      <c r="F429" s="109" t="n"/>
      <c r="G429" s="226" t="n"/>
      <c r="H429" s="108" t="n"/>
      <c r="I429" s="108" t="n"/>
      <c r="J429" s="109" t="n"/>
      <c r="K429" s="109" t="n"/>
      <c r="L429" s="121">
        <f>IF($C429="","",IF($D429="Gider",$E429,$H429))</f>
        <v/>
      </c>
      <c r="M429" s="121">
        <f>IF($C429="","",IF($D429="Gider",$H429,$E429))</f>
        <v/>
      </c>
      <c r="N429" s="231">
        <f>IF($C429="","",DATE(YEAR($C429),MONTH($C429),1))</f>
        <v/>
      </c>
      <c r="O429" s="113">
        <f>IF($C429="","",IF(AND($D429&lt;&gt;"",$E429&lt;&gt;"",$G429&gt;0,$H429&lt;&gt;"",$I429&lt;&gt;""),IF($C429&gt;TODAY(),"İLERİ TARİH","UYGUN"),"EKSİK"))</f>
        <v/>
      </c>
      <c r="P429" s="6" t="n"/>
      <c r="Q429" s="6" t="n"/>
      <c r="R429" s="3" t="n"/>
      <c r="S429" s="3" t="n"/>
      <c r="T429" s="3" t="n"/>
      <c r="U429" s="3" t="n"/>
      <c r="V429" s="3" t="n"/>
      <c r="W429" s="3" t="n"/>
    </row>
    <row r="430">
      <c r="A430" s="6" t="n"/>
      <c r="B430" s="113">
        <f>IF($C430="","","GG"&amp;TEXT(ROW()-6,"00000"))</f>
        <v/>
      </c>
      <c r="C430" s="225" t="n"/>
      <c r="D430" s="108" t="n"/>
      <c r="E430" s="109" t="n"/>
      <c r="F430" s="109" t="n"/>
      <c r="G430" s="226" t="n"/>
      <c r="H430" s="108" t="n"/>
      <c r="I430" s="108" t="n"/>
      <c r="J430" s="109" t="n"/>
      <c r="K430" s="109" t="n"/>
      <c r="L430" s="121">
        <f>IF($C430="","",IF($D430="Gider",$E430,$H430))</f>
        <v/>
      </c>
      <c r="M430" s="121">
        <f>IF($C430="","",IF($D430="Gider",$H430,$E430))</f>
        <v/>
      </c>
      <c r="N430" s="231">
        <f>IF($C430="","",DATE(YEAR($C430),MONTH($C430),1))</f>
        <v/>
      </c>
      <c r="O430" s="113">
        <f>IF($C430="","",IF(AND($D430&lt;&gt;"",$E430&lt;&gt;"",$G430&gt;0,$H430&lt;&gt;"",$I430&lt;&gt;""),IF($C430&gt;TODAY(),"İLERİ TARİH","UYGUN"),"EKSİK"))</f>
        <v/>
      </c>
      <c r="P430" s="6" t="n"/>
      <c r="Q430" s="6" t="n"/>
      <c r="R430" s="3" t="n"/>
      <c r="S430" s="3" t="n"/>
      <c r="T430" s="3" t="n"/>
      <c r="U430" s="3" t="n"/>
      <c r="V430" s="3" t="n"/>
      <c r="W430" s="3" t="n"/>
    </row>
    <row r="431">
      <c r="A431" s="6" t="n"/>
      <c r="B431" s="113">
        <f>IF($C431="","","GG"&amp;TEXT(ROW()-6,"00000"))</f>
        <v/>
      </c>
      <c r="C431" s="225" t="n"/>
      <c r="D431" s="108" t="n"/>
      <c r="E431" s="109" t="n"/>
      <c r="F431" s="109" t="n"/>
      <c r="G431" s="226" t="n"/>
      <c r="H431" s="108" t="n"/>
      <c r="I431" s="108" t="n"/>
      <c r="J431" s="109" t="n"/>
      <c r="K431" s="109" t="n"/>
      <c r="L431" s="121">
        <f>IF($C431="","",IF($D431="Gider",$E431,$H431))</f>
        <v/>
      </c>
      <c r="M431" s="121">
        <f>IF($C431="","",IF($D431="Gider",$H431,$E431))</f>
        <v/>
      </c>
      <c r="N431" s="231">
        <f>IF($C431="","",DATE(YEAR($C431),MONTH($C431),1))</f>
        <v/>
      </c>
      <c r="O431" s="113">
        <f>IF($C431="","",IF(AND($D431&lt;&gt;"",$E431&lt;&gt;"",$G431&gt;0,$H431&lt;&gt;"",$I431&lt;&gt;""),IF($C431&gt;TODAY(),"İLERİ TARİH","UYGUN"),"EKSİK"))</f>
        <v/>
      </c>
      <c r="P431" s="6" t="n"/>
      <c r="Q431" s="6" t="n"/>
      <c r="R431" s="3" t="n"/>
      <c r="S431" s="3" t="n"/>
      <c r="T431" s="3" t="n"/>
      <c r="U431" s="3" t="n"/>
      <c r="V431" s="3" t="n"/>
      <c r="W431" s="3" t="n"/>
    </row>
    <row r="432">
      <c r="A432" s="6" t="n"/>
      <c r="B432" s="113">
        <f>IF($C432="","","GG"&amp;TEXT(ROW()-6,"00000"))</f>
        <v/>
      </c>
      <c r="C432" s="225" t="n"/>
      <c r="D432" s="108" t="n"/>
      <c r="E432" s="109" t="n"/>
      <c r="F432" s="109" t="n"/>
      <c r="G432" s="226" t="n"/>
      <c r="H432" s="108" t="n"/>
      <c r="I432" s="108" t="n"/>
      <c r="J432" s="109" t="n"/>
      <c r="K432" s="109" t="n"/>
      <c r="L432" s="121">
        <f>IF($C432="","",IF($D432="Gider",$E432,$H432))</f>
        <v/>
      </c>
      <c r="M432" s="121">
        <f>IF($C432="","",IF($D432="Gider",$H432,$E432))</f>
        <v/>
      </c>
      <c r="N432" s="231">
        <f>IF($C432="","",DATE(YEAR($C432),MONTH($C432),1))</f>
        <v/>
      </c>
      <c r="O432" s="113">
        <f>IF($C432="","",IF(AND($D432&lt;&gt;"",$E432&lt;&gt;"",$G432&gt;0,$H432&lt;&gt;"",$I432&lt;&gt;""),IF($C432&gt;TODAY(),"İLERİ TARİH","UYGUN"),"EKSİK"))</f>
        <v/>
      </c>
      <c r="P432" s="6" t="n"/>
      <c r="Q432" s="6" t="n"/>
      <c r="R432" s="3" t="n"/>
      <c r="S432" s="3" t="n"/>
      <c r="T432" s="3" t="n"/>
      <c r="U432" s="3" t="n"/>
      <c r="V432" s="3" t="n"/>
      <c r="W432" s="3" t="n"/>
    </row>
    <row r="433">
      <c r="A433" s="6" t="n"/>
      <c r="B433" s="113">
        <f>IF($C433="","","GG"&amp;TEXT(ROW()-6,"00000"))</f>
        <v/>
      </c>
      <c r="C433" s="225" t="n"/>
      <c r="D433" s="108" t="n"/>
      <c r="E433" s="109" t="n"/>
      <c r="F433" s="109" t="n"/>
      <c r="G433" s="226" t="n"/>
      <c r="H433" s="108" t="n"/>
      <c r="I433" s="108" t="n"/>
      <c r="J433" s="109" t="n"/>
      <c r="K433" s="109" t="n"/>
      <c r="L433" s="121">
        <f>IF($C433="","",IF($D433="Gider",$E433,$H433))</f>
        <v/>
      </c>
      <c r="M433" s="121">
        <f>IF($C433="","",IF($D433="Gider",$H433,$E433))</f>
        <v/>
      </c>
      <c r="N433" s="231">
        <f>IF($C433="","",DATE(YEAR($C433),MONTH($C433),1))</f>
        <v/>
      </c>
      <c r="O433" s="113">
        <f>IF($C433="","",IF(AND($D433&lt;&gt;"",$E433&lt;&gt;"",$G433&gt;0,$H433&lt;&gt;"",$I433&lt;&gt;""),IF($C433&gt;TODAY(),"İLERİ TARİH","UYGUN"),"EKSİK"))</f>
        <v/>
      </c>
      <c r="P433" s="6" t="n"/>
      <c r="Q433" s="6" t="n"/>
      <c r="R433" s="3" t="n"/>
      <c r="S433" s="3" t="n"/>
      <c r="T433" s="3" t="n"/>
      <c r="U433" s="3" t="n"/>
      <c r="V433" s="3" t="n"/>
      <c r="W433" s="3" t="n"/>
    </row>
    <row r="434">
      <c r="A434" s="6" t="n"/>
      <c r="B434" s="113">
        <f>IF($C434="","","GG"&amp;TEXT(ROW()-6,"00000"))</f>
        <v/>
      </c>
      <c r="C434" s="225" t="n"/>
      <c r="D434" s="108" t="n"/>
      <c r="E434" s="109" t="n"/>
      <c r="F434" s="109" t="n"/>
      <c r="G434" s="226" t="n"/>
      <c r="H434" s="108" t="n"/>
      <c r="I434" s="108" t="n"/>
      <c r="J434" s="109" t="n"/>
      <c r="K434" s="109" t="n"/>
      <c r="L434" s="121">
        <f>IF($C434="","",IF($D434="Gider",$E434,$H434))</f>
        <v/>
      </c>
      <c r="M434" s="121">
        <f>IF($C434="","",IF($D434="Gider",$H434,$E434))</f>
        <v/>
      </c>
      <c r="N434" s="231">
        <f>IF($C434="","",DATE(YEAR($C434),MONTH($C434),1))</f>
        <v/>
      </c>
      <c r="O434" s="113">
        <f>IF($C434="","",IF(AND($D434&lt;&gt;"",$E434&lt;&gt;"",$G434&gt;0,$H434&lt;&gt;"",$I434&lt;&gt;""),IF($C434&gt;TODAY(),"İLERİ TARİH","UYGUN"),"EKSİK"))</f>
        <v/>
      </c>
      <c r="P434" s="6" t="n"/>
      <c r="Q434" s="6" t="n"/>
      <c r="R434" s="3" t="n"/>
      <c r="S434" s="3" t="n"/>
      <c r="T434" s="3" t="n"/>
      <c r="U434" s="3" t="n"/>
      <c r="V434" s="3" t="n"/>
      <c r="W434" s="3" t="n"/>
    </row>
    <row r="435">
      <c r="A435" s="6" t="n"/>
      <c r="B435" s="113">
        <f>IF($C435="","","GG"&amp;TEXT(ROW()-6,"00000"))</f>
        <v/>
      </c>
      <c r="C435" s="225" t="n"/>
      <c r="D435" s="108" t="n"/>
      <c r="E435" s="109" t="n"/>
      <c r="F435" s="109" t="n"/>
      <c r="G435" s="226" t="n"/>
      <c r="H435" s="108" t="n"/>
      <c r="I435" s="108" t="n"/>
      <c r="J435" s="109" t="n"/>
      <c r="K435" s="109" t="n"/>
      <c r="L435" s="121">
        <f>IF($C435="","",IF($D435="Gider",$E435,$H435))</f>
        <v/>
      </c>
      <c r="M435" s="121">
        <f>IF($C435="","",IF($D435="Gider",$H435,$E435))</f>
        <v/>
      </c>
      <c r="N435" s="231">
        <f>IF($C435="","",DATE(YEAR($C435),MONTH($C435),1))</f>
        <v/>
      </c>
      <c r="O435" s="113">
        <f>IF($C435="","",IF(AND($D435&lt;&gt;"",$E435&lt;&gt;"",$G435&gt;0,$H435&lt;&gt;"",$I435&lt;&gt;""),IF($C435&gt;TODAY(),"İLERİ TARİH","UYGUN"),"EKSİK"))</f>
        <v/>
      </c>
      <c r="P435" s="6" t="n"/>
      <c r="Q435" s="6" t="n"/>
      <c r="R435" s="3" t="n"/>
      <c r="S435" s="3" t="n"/>
      <c r="T435" s="3" t="n"/>
      <c r="U435" s="3" t="n"/>
      <c r="V435" s="3" t="n"/>
      <c r="W435" s="3" t="n"/>
    </row>
    <row r="436">
      <c r="A436" s="6" t="n"/>
      <c r="B436" s="113">
        <f>IF($C436="","","GG"&amp;TEXT(ROW()-6,"00000"))</f>
        <v/>
      </c>
      <c r="C436" s="225" t="n"/>
      <c r="D436" s="108" t="n"/>
      <c r="E436" s="109" t="n"/>
      <c r="F436" s="109" t="n"/>
      <c r="G436" s="226" t="n"/>
      <c r="H436" s="108" t="n"/>
      <c r="I436" s="108" t="n"/>
      <c r="J436" s="109" t="n"/>
      <c r="K436" s="109" t="n"/>
      <c r="L436" s="121">
        <f>IF($C436="","",IF($D436="Gider",$E436,$H436))</f>
        <v/>
      </c>
      <c r="M436" s="121">
        <f>IF($C436="","",IF($D436="Gider",$H436,$E436))</f>
        <v/>
      </c>
      <c r="N436" s="231">
        <f>IF($C436="","",DATE(YEAR($C436),MONTH($C436),1))</f>
        <v/>
      </c>
      <c r="O436" s="113">
        <f>IF($C436="","",IF(AND($D436&lt;&gt;"",$E436&lt;&gt;"",$G436&gt;0,$H436&lt;&gt;"",$I436&lt;&gt;""),IF($C436&gt;TODAY(),"İLERİ TARİH","UYGUN"),"EKSİK"))</f>
        <v/>
      </c>
      <c r="P436" s="6" t="n"/>
      <c r="Q436" s="6" t="n"/>
      <c r="R436" s="3" t="n"/>
      <c r="S436" s="3" t="n"/>
      <c r="T436" s="3" t="n"/>
      <c r="U436" s="3" t="n"/>
      <c r="V436" s="3" t="n"/>
      <c r="W436" s="3" t="n"/>
    </row>
    <row r="437">
      <c r="A437" s="6" t="n"/>
      <c r="B437" s="113">
        <f>IF($C437="","","GG"&amp;TEXT(ROW()-6,"00000"))</f>
        <v/>
      </c>
      <c r="C437" s="225" t="n"/>
      <c r="D437" s="108" t="n"/>
      <c r="E437" s="109" t="n"/>
      <c r="F437" s="109" t="n"/>
      <c r="G437" s="226" t="n"/>
      <c r="H437" s="108" t="n"/>
      <c r="I437" s="108" t="n"/>
      <c r="J437" s="109" t="n"/>
      <c r="K437" s="109" t="n"/>
      <c r="L437" s="121">
        <f>IF($C437="","",IF($D437="Gider",$E437,$H437))</f>
        <v/>
      </c>
      <c r="M437" s="121">
        <f>IF($C437="","",IF($D437="Gider",$H437,$E437))</f>
        <v/>
      </c>
      <c r="N437" s="231">
        <f>IF($C437="","",DATE(YEAR($C437),MONTH($C437),1))</f>
        <v/>
      </c>
      <c r="O437" s="113">
        <f>IF($C437="","",IF(AND($D437&lt;&gt;"",$E437&lt;&gt;"",$G437&gt;0,$H437&lt;&gt;"",$I437&lt;&gt;""),IF($C437&gt;TODAY(),"İLERİ TARİH","UYGUN"),"EKSİK"))</f>
        <v/>
      </c>
      <c r="P437" s="6" t="n"/>
      <c r="Q437" s="6" t="n"/>
      <c r="R437" s="3" t="n"/>
      <c r="S437" s="3" t="n"/>
      <c r="T437" s="3" t="n"/>
      <c r="U437" s="3" t="n"/>
      <c r="V437" s="3" t="n"/>
      <c r="W437" s="3" t="n"/>
    </row>
    <row r="438">
      <c r="A438" s="6" t="n"/>
      <c r="B438" s="113">
        <f>IF($C438="","","GG"&amp;TEXT(ROW()-6,"00000"))</f>
        <v/>
      </c>
      <c r="C438" s="225" t="n"/>
      <c r="D438" s="108" t="n"/>
      <c r="E438" s="109" t="n"/>
      <c r="F438" s="109" t="n"/>
      <c r="G438" s="226" t="n"/>
      <c r="H438" s="108" t="n"/>
      <c r="I438" s="108" t="n"/>
      <c r="J438" s="109" t="n"/>
      <c r="K438" s="109" t="n"/>
      <c r="L438" s="121">
        <f>IF($C438="","",IF($D438="Gider",$E438,$H438))</f>
        <v/>
      </c>
      <c r="M438" s="121">
        <f>IF($C438="","",IF($D438="Gider",$H438,$E438))</f>
        <v/>
      </c>
      <c r="N438" s="231">
        <f>IF($C438="","",DATE(YEAR($C438),MONTH($C438),1))</f>
        <v/>
      </c>
      <c r="O438" s="113">
        <f>IF($C438="","",IF(AND($D438&lt;&gt;"",$E438&lt;&gt;"",$G438&gt;0,$H438&lt;&gt;"",$I438&lt;&gt;""),IF($C438&gt;TODAY(),"İLERİ TARİH","UYGUN"),"EKSİK"))</f>
        <v/>
      </c>
      <c r="P438" s="6" t="n"/>
      <c r="Q438" s="6" t="n"/>
      <c r="R438" s="3" t="n"/>
      <c r="S438" s="3" t="n"/>
      <c r="T438" s="3" t="n"/>
      <c r="U438" s="3" t="n"/>
      <c r="V438" s="3" t="n"/>
      <c r="W438" s="3" t="n"/>
    </row>
    <row r="439">
      <c r="A439" s="6" t="n"/>
      <c r="B439" s="113">
        <f>IF($C439="","","GG"&amp;TEXT(ROW()-6,"00000"))</f>
        <v/>
      </c>
      <c r="C439" s="225" t="n"/>
      <c r="D439" s="108" t="n"/>
      <c r="E439" s="109" t="n"/>
      <c r="F439" s="109" t="n"/>
      <c r="G439" s="226" t="n"/>
      <c r="H439" s="108" t="n"/>
      <c r="I439" s="108" t="n"/>
      <c r="J439" s="109" t="n"/>
      <c r="K439" s="109" t="n"/>
      <c r="L439" s="121">
        <f>IF($C439="","",IF($D439="Gider",$E439,$H439))</f>
        <v/>
      </c>
      <c r="M439" s="121">
        <f>IF($C439="","",IF($D439="Gider",$H439,$E439))</f>
        <v/>
      </c>
      <c r="N439" s="231">
        <f>IF($C439="","",DATE(YEAR($C439),MONTH($C439),1))</f>
        <v/>
      </c>
      <c r="O439" s="113">
        <f>IF($C439="","",IF(AND($D439&lt;&gt;"",$E439&lt;&gt;"",$G439&gt;0,$H439&lt;&gt;"",$I439&lt;&gt;""),IF($C439&gt;TODAY(),"İLERİ TARİH","UYGUN"),"EKSİK"))</f>
        <v/>
      </c>
      <c r="P439" s="6" t="n"/>
      <c r="Q439" s="6" t="n"/>
      <c r="R439" s="3" t="n"/>
      <c r="S439" s="3" t="n"/>
      <c r="T439" s="3" t="n"/>
      <c r="U439" s="3" t="n"/>
      <c r="V439" s="3" t="n"/>
      <c r="W439" s="3" t="n"/>
    </row>
    <row r="440">
      <c r="A440" s="6" t="n"/>
      <c r="B440" s="113">
        <f>IF($C440="","","GG"&amp;TEXT(ROW()-6,"00000"))</f>
        <v/>
      </c>
      <c r="C440" s="225" t="n"/>
      <c r="D440" s="108" t="n"/>
      <c r="E440" s="109" t="n"/>
      <c r="F440" s="109" t="n"/>
      <c r="G440" s="226" t="n"/>
      <c r="H440" s="108" t="n"/>
      <c r="I440" s="108" t="n"/>
      <c r="J440" s="109" t="n"/>
      <c r="K440" s="109" t="n"/>
      <c r="L440" s="121">
        <f>IF($C440="","",IF($D440="Gider",$E440,$H440))</f>
        <v/>
      </c>
      <c r="M440" s="121">
        <f>IF($C440="","",IF($D440="Gider",$H440,$E440))</f>
        <v/>
      </c>
      <c r="N440" s="231">
        <f>IF($C440="","",DATE(YEAR($C440),MONTH($C440),1))</f>
        <v/>
      </c>
      <c r="O440" s="113">
        <f>IF($C440="","",IF(AND($D440&lt;&gt;"",$E440&lt;&gt;"",$G440&gt;0,$H440&lt;&gt;"",$I440&lt;&gt;""),IF($C440&gt;TODAY(),"İLERİ TARİH","UYGUN"),"EKSİK"))</f>
        <v/>
      </c>
      <c r="P440" s="6" t="n"/>
      <c r="Q440" s="6" t="n"/>
      <c r="R440" s="3" t="n"/>
      <c r="S440" s="3" t="n"/>
      <c r="T440" s="3" t="n"/>
      <c r="U440" s="3" t="n"/>
      <c r="V440" s="3" t="n"/>
      <c r="W440" s="3" t="n"/>
    </row>
    <row r="441">
      <c r="A441" s="6" t="n"/>
      <c r="B441" s="113">
        <f>IF($C441="","","GG"&amp;TEXT(ROW()-6,"00000"))</f>
        <v/>
      </c>
      <c r="C441" s="225" t="n"/>
      <c r="D441" s="108" t="n"/>
      <c r="E441" s="109" t="n"/>
      <c r="F441" s="109" t="n"/>
      <c r="G441" s="226" t="n"/>
      <c r="H441" s="108" t="n"/>
      <c r="I441" s="108" t="n"/>
      <c r="J441" s="109" t="n"/>
      <c r="K441" s="109" t="n"/>
      <c r="L441" s="121">
        <f>IF($C441="","",IF($D441="Gider",$E441,$H441))</f>
        <v/>
      </c>
      <c r="M441" s="121">
        <f>IF($C441="","",IF($D441="Gider",$H441,$E441))</f>
        <v/>
      </c>
      <c r="N441" s="231">
        <f>IF($C441="","",DATE(YEAR($C441),MONTH($C441),1))</f>
        <v/>
      </c>
      <c r="O441" s="113">
        <f>IF($C441="","",IF(AND($D441&lt;&gt;"",$E441&lt;&gt;"",$G441&gt;0,$H441&lt;&gt;"",$I441&lt;&gt;""),IF($C441&gt;TODAY(),"İLERİ TARİH","UYGUN"),"EKSİK"))</f>
        <v/>
      </c>
      <c r="P441" s="6" t="n"/>
      <c r="Q441" s="6" t="n"/>
      <c r="R441" s="3" t="n"/>
      <c r="S441" s="3" t="n"/>
      <c r="T441" s="3" t="n"/>
      <c r="U441" s="3" t="n"/>
      <c r="V441" s="3" t="n"/>
      <c r="W441" s="3" t="n"/>
    </row>
    <row r="442">
      <c r="A442" s="6" t="n"/>
      <c r="B442" s="113">
        <f>IF($C442="","","GG"&amp;TEXT(ROW()-6,"00000"))</f>
        <v/>
      </c>
      <c r="C442" s="225" t="n"/>
      <c r="D442" s="108" t="n"/>
      <c r="E442" s="109" t="n"/>
      <c r="F442" s="109" t="n"/>
      <c r="G442" s="226" t="n"/>
      <c r="H442" s="108" t="n"/>
      <c r="I442" s="108" t="n"/>
      <c r="J442" s="109" t="n"/>
      <c r="K442" s="109" t="n"/>
      <c r="L442" s="121">
        <f>IF($C442="","",IF($D442="Gider",$E442,$H442))</f>
        <v/>
      </c>
      <c r="M442" s="121">
        <f>IF($C442="","",IF($D442="Gider",$H442,$E442))</f>
        <v/>
      </c>
      <c r="N442" s="231">
        <f>IF($C442="","",DATE(YEAR($C442),MONTH($C442),1))</f>
        <v/>
      </c>
      <c r="O442" s="113">
        <f>IF($C442="","",IF(AND($D442&lt;&gt;"",$E442&lt;&gt;"",$G442&gt;0,$H442&lt;&gt;"",$I442&lt;&gt;""),IF($C442&gt;TODAY(),"İLERİ TARİH","UYGUN"),"EKSİK"))</f>
        <v/>
      </c>
      <c r="P442" s="6" t="n"/>
      <c r="Q442" s="6" t="n"/>
      <c r="R442" s="3" t="n"/>
      <c r="S442" s="3" t="n"/>
      <c r="T442" s="3" t="n"/>
      <c r="U442" s="3" t="n"/>
      <c r="V442" s="3" t="n"/>
      <c r="W442" s="3" t="n"/>
    </row>
    <row r="443">
      <c r="A443" s="6" t="n"/>
      <c r="B443" s="113">
        <f>IF($C443="","","GG"&amp;TEXT(ROW()-6,"00000"))</f>
        <v/>
      </c>
      <c r="C443" s="225" t="n"/>
      <c r="D443" s="108" t="n"/>
      <c r="E443" s="109" t="n"/>
      <c r="F443" s="109" t="n"/>
      <c r="G443" s="226" t="n"/>
      <c r="H443" s="108" t="n"/>
      <c r="I443" s="108" t="n"/>
      <c r="J443" s="109" t="n"/>
      <c r="K443" s="109" t="n"/>
      <c r="L443" s="121">
        <f>IF($C443="","",IF($D443="Gider",$E443,$H443))</f>
        <v/>
      </c>
      <c r="M443" s="121">
        <f>IF($C443="","",IF($D443="Gider",$H443,$E443))</f>
        <v/>
      </c>
      <c r="N443" s="231">
        <f>IF($C443="","",DATE(YEAR($C443),MONTH($C443),1))</f>
        <v/>
      </c>
      <c r="O443" s="113">
        <f>IF($C443="","",IF(AND($D443&lt;&gt;"",$E443&lt;&gt;"",$G443&gt;0,$H443&lt;&gt;"",$I443&lt;&gt;""),IF($C443&gt;TODAY(),"İLERİ TARİH","UYGUN"),"EKSİK"))</f>
        <v/>
      </c>
      <c r="P443" s="6" t="n"/>
      <c r="Q443" s="6" t="n"/>
      <c r="R443" s="3" t="n"/>
      <c r="S443" s="3" t="n"/>
      <c r="T443" s="3" t="n"/>
      <c r="U443" s="3" t="n"/>
      <c r="V443" s="3" t="n"/>
      <c r="W443" s="3" t="n"/>
    </row>
    <row r="444">
      <c r="A444" s="6" t="n"/>
      <c r="B444" s="113">
        <f>IF($C444="","","GG"&amp;TEXT(ROW()-6,"00000"))</f>
        <v/>
      </c>
      <c r="C444" s="225" t="n"/>
      <c r="D444" s="108" t="n"/>
      <c r="E444" s="109" t="n"/>
      <c r="F444" s="109" t="n"/>
      <c r="G444" s="226" t="n"/>
      <c r="H444" s="108" t="n"/>
      <c r="I444" s="108" t="n"/>
      <c r="J444" s="109" t="n"/>
      <c r="K444" s="109" t="n"/>
      <c r="L444" s="121">
        <f>IF($C444="","",IF($D444="Gider",$E444,$H444))</f>
        <v/>
      </c>
      <c r="M444" s="121">
        <f>IF($C444="","",IF($D444="Gider",$H444,$E444))</f>
        <v/>
      </c>
      <c r="N444" s="231">
        <f>IF($C444="","",DATE(YEAR($C444),MONTH($C444),1))</f>
        <v/>
      </c>
      <c r="O444" s="113">
        <f>IF($C444="","",IF(AND($D444&lt;&gt;"",$E444&lt;&gt;"",$G444&gt;0,$H444&lt;&gt;"",$I444&lt;&gt;""),IF($C444&gt;TODAY(),"İLERİ TARİH","UYGUN"),"EKSİK"))</f>
        <v/>
      </c>
      <c r="P444" s="6" t="n"/>
      <c r="Q444" s="6" t="n"/>
      <c r="R444" s="3" t="n"/>
      <c r="S444" s="3" t="n"/>
      <c r="T444" s="3" t="n"/>
      <c r="U444" s="3" t="n"/>
      <c r="V444" s="3" t="n"/>
      <c r="W444" s="3" t="n"/>
    </row>
    <row r="445">
      <c r="A445" s="6" t="n"/>
      <c r="B445" s="113">
        <f>IF($C445="","","GG"&amp;TEXT(ROW()-6,"00000"))</f>
        <v/>
      </c>
      <c r="C445" s="225" t="n"/>
      <c r="D445" s="108" t="n"/>
      <c r="E445" s="109" t="n"/>
      <c r="F445" s="109" t="n"/>
      <c r="G445" s="226" t="n"/>
      <c r="H445" s="108" t="n"/>
      <c r="I445" s="108" t="n"/>
      <c r="J445" s="109" t="n"/>
      <c r="K445" s="109" t="n"/>
      <c r="L445" s="121">
        <f>IF($C445="","",IF($D445="Gider",$E445,$H445))</f>
        <v/>
      </c>
      <c r="M445" s="121">
        <f>IF($C445="","",IF($D445="Gider",$H445,$E445))</f>
        <v/>
      </c>
      <c r="N445" s="231">
        <f>IF($C445="","",DATE(YEAR($C445),MONTH($C445),1))</f>
        <v/>
      </c>
      <c r="O445" s="113">
        <f>IF($C445="","",IF(AND($D445&lt;&gt;"",$E445&lt;&gt;"",$G445&gt;0,$H445&lt;&gt;"",$I445&lt;&gt;""),IF($C445&gt;TODAY(),"İLERİ TARİH","UYGUN"),"EKSİK"))</f>
        <v/>
      </c>
      <c r="P445" s="6" t="n"/>
      <c r="Q445" s="6" t="n"/>
      <c r="R445" s="3" t="n"/>
      <c r="S445" s="3" t="n"/>
      <c r="T445" s="3" t="n"/>
      <c r="U445" s="3" t="n"/>
      <c r="V445" s="3" t="n"/>
      <c r="W445" s="3" t="n"/>
    </row>
    <row r="446">
      <c r="A446" s="6" t="n"/>
      <c r="B446" s="113">
        <f>IF($C446="","","GG"&amp;TEXT(ROW()-6,"00000"))</f>
        <v/>
      </c>
      <c r="C446" s="225" t="n"/>
      <c r="D446" s="108" t="n"/>
      <c r="E446" s="109" t="n"/>
      <c r="F446" s="109" t="n"/>
      <c r="G446" s="226" t="n"/>
      <c r="H446" s="108" t="n"/>
      <c r="I446" s="108" t="n"/>
      <c r="J446" s="109" t="n"/>
      <c r="K446" s="109" t="n"/>
      <c r="L446" s="121">
        <f>IF($C446="","",IF($D446="Gider",$E446,$H446))</f>
        <v/>
      </c>
      <c r="M446" s="121">
        <f>IF($C446="","",IF($D446="Gider",$H446,$E446))</f>
        <v/>
      </c>
      <c r="N446" s="231">
        <f>IF($C446="","",DATE(YEAR($C446),MONTH($C446),1))</f>
        <v/>
      </c>
      <c r="O446" s="113">
        <f>IF($C446="","",IF(AND($D446&lt;&gt;"",$E446&lt;&gt;"",$G446&gt;0,$H446&lt;&gt;"",$I446&lt;&gt;""),IF($C446&gt;TODAY(),"İLERİ TARİH","UYGUN"),"EKSİK"))</f>
        <v/>
      </c>
      <c r="P446" s="6" t="n"/>
      <c r="Q446" s="6" t="n"/>
      <c r="R446" s="3" t="n"/>
      <c r="S446" s="3" t="n"/>
      <c r="T446" s="3" t="n"/>
      <c r="U446" s="3" t="n"/>
      <c r="V446" s="3" t="n"/>
      <c r="W446" s="3" t="n"/>
    </row>
    <row r="447">
      <c r="A447" s="6" t="n"/>
      <c r="B447" s="113">
        <f>IF($C447="","","GG"&amp;TEXT(ROW()-6,"00000"))</f>
        <v/>
      </c>
      <c r="C447" s="225" t="n"/>
      <c r="D447" s="108" t="n"/>
      <c r="E447" s="109" t="n"/>
      <c r="F447" s="109" t="n"/>
      <c r="G447" s="226" t="n"/>
      <c r="H447" s="108" t="n"/>
      <c r="I447" s="108" t="n"/>
      <c r="J447" s="109" t="n"/>
      <c r="K447" s="109" t="n"/>
      <c r="L447" s="121">
        <f>IF($C447="","",IF($D447="Gider",$E447,$H447))</f>
        <v/>
      </c>
      <c r="M447" s="121">
        <f>IF($C447="","",IF($D447="Gider",$H447,$E447))</f>
        <v/>
      </c>
      <c r="N447" s="231">
        <f>IF($C447="","",DATE(YEAR($C447),MONTH($C447),1))</f>
        <v/>
      </c>
      <c r="O447" s="113">
        <f>IF($C447="","",IF(AND($D447&lt;&gt;"",$E447&lt;&gt;"",$G447&gt;0,$H447&lt;&gt;"",$I447&lt;&gt;""),IF($C447&gt;TODAY(),"İLERİ TARİH","UYGUN"),"EKSİK"))</f>
        <v/>
      </c>
      <c r="P447" s="6" t="n"/>
      <c r="Q447" s="6" t="n"/>
      <c r="R447" s="3" t="n"/>
      <c r="S447" s="3" t="n"/>
      <c r="T447" s="3" t="n"/>
      <c r="U447" s="3" t="n"/>
      <c r="V447" s="3" t="n"/>
      <c r="W447" s="3" t="n"/>
    </row>
    <row r="448">
      <c r="A448" s="6" t="n"/>
      <c r="B448" s="113">
        <f>IF($C448="","","GG"&amp;TEXT(ROW()-6,"00000"))</f>
        <v/>
      </c>
      <c r="C448" s="225" t="n"/>
      <c r="D448" s="108" t="n"/>
      <c r="E448" s="109" t="n"/>
      <c r="F448" s="109" t="n"/>
      <c r="G448" s="226" t="n"/>
      <c r="H448" s="108" t="n"/>
      <c r="I448" s="108" t="n"/>
      <c r="J448" s="109" t="n"/>
      <c r="K448" s="109" t="n"/>
      <c r="L448" s="121">
        <f>IF($C448="","",IF($D448="Gider",$E448,$H448))</f>
        <v/>
      </c>
      <c r="M448" s="121">
        <f>IF($C448="","",IF($D448="Gider",$H448,$E448))</f>
        <v/>
      </c>
      <c r="N448" s="231">
        <f>IF($C448="","",DATE(YEAR($C448),MONTH($C448),1))</f>
        <v/>
      </c>
      <c r="O448" s="113">
        <f>IF($C448="","",IF(AND($D448&lt;&gt;"",$E448&lt;&gt;"",$G448&gt;0,$H448&lt;&gt;"",$I448&lt;&gt;""),IF($C448&gt;TODAY(),"İLERİ TARİH","UYGUN"),"EKSİK"))</f>
        <v/>
      </c>
      <c r="P448" s="6" t="n"/>
      <c r="Q448" s="6" t="n"/>
      <c r="R448" s="3" t="n"/>
      <c r="S448" s="3" t="n"/>
      <c r="T448" s="3" t="n"/>
      <c r="U448" s="3" t="n"/>
      <c r="V448" s="3" t="n"/>
      <c r="W448" s="3" t="n"/>
    </row>
    <row r="449">
      <c r="A449" s="6" t="n"/>
      <c r="B449" s="113">
        <f>IF($C449="","","GG"&amp;TEXT(ROW()-6,"00000"))</f>
        <v/>
      </c>
      <c r="C449" s="225" t="n"/>
      <c r="D449" s="108" t="n"/>
      <c r="E449" s="109" t="n"/>
      <c r="F449" s="109" t="n"/>
      <c r="G449" s="226" t="n"/>
      <c r="H449" s="108" t="n"/>
      <c r="I449" s="108" t="n"/>
      <c r="J449" s="109" t="n"/>
      <c r="K449" s="109" t="n"/>
      <c r="L449" s="121">
        <f>IF($C449="","",IF($D449="Gider",$E449,$H449))</f>
        <v/>
      </c>
      <c r="M449" s="121">
        <f>IF($C449="","",IF($D449="Gider",$H449,$E449))</f>
        <v/>
      </c>
      <c r="N449" s="231">
        <f>IF($C449="","",DATE(YEAR($C449),MONTH($C449),1))</f>
        <v/>
      </c>
      <c r="O449" s="113">
        <f>IF($C449="","",IF(AND($D449&lt;&gt;"",$E449&lt;&gt;"",$G449&gt;0,$H449&lt;&gt;"",$I449&lt;&gt;""),IF($C449&gt;TODAY(),"İLERİ TARİH","UYGUN"),"EKSİK"))</f>
        <v/>
      </c>
      <c r="P449" s="6" t="n"/>
      <c r="Q449" s="6" t="n"/>
      <c r="R449" s="3" t="n"/>
      <c r="S449" s="3" t="n"/>
      <c r="T449" s="3" t="n"/>
      <c r="U449" s="3" t="n"/>
      <c r="V449" s="3" t="n"/>
      <c r="W449" s="3" t="n"/>
    </row>
    <row r="450">
      <c r="A450" s="6" t="n"/>
      <c r="B450" s="113">
        <f>IF($C450="","","GG"&amp;TEXT(ROW()-6,"00000"))</f>
        <v/>
      </c>
      <c r="C450" s="225" t="n"/>
      <c r="D450" s="108" t="n"/>
      <c r="E450" s="109" t="n"/>
      <c r="F450" s="109" t="n"/>
      <c r="G450" s="226" t="n"/>
      <c r="H450" s="108" t="n"/>
      <c r="I450" s="108" t="n"/>
      <c r="J450" s="109" t="n"/>
      <c r="K450" s="109" t="n"/>
      <c r="L450" s="121">
        <f>IF($C450="","",IF($D450="Gider",$E450,$H450))</f>
        <v/>
      </c>
      <c r="M450" s="121">
        <f>IF($C450="","",IF($D450="Gider",$H450,$E450))</f>
        <v/>
      </c>
      <c r="N450" s="231">
        <f>IF($C450="","",DATE(YEAR($C450),MONTH($C450),1))</f>
        <v/>
      </c>
      <c r="O450" s="113">
        <f>IF($C450="","",IF(AND($D450&lt;&gt;"",$E450&lt;&gt;"",$G450&gt;0,$H450&lt;&gt;"",$I450&lt;&gt;""),IF($C450&gt;TODAY(),"İLERİ TARİH","UYGUN"),"EKSİK"))</f>
        <v/>
      </c>
      <c r="P450" s="6" t="n"/>
      <c r="Q450" s="6" t="n"/>
      <c r="R450" s="3" t="n"/>
      <c r="S450" s="3" t="n"/>
      <c r="T450" s="3" t="n"/>
      <c r="U450" s="3" t="n"/>
      <c r="V450" s="3" t="n"/>
      <c r="W450" s="3" t="n"/>
    </row>
    <row r="451">
      <c r="A451" s="6" t="n"/>
      <c r="B451" s="113">
        <f>IF($C451="","","GG"&amp;TEXT(ROW()-6,"00000"))</f>
        <v/>
      </c>
      <c r="C451" s="225" t="n"/>
      <c r="D451" s="108" t="n"/>
      <c r="E451" s="109" t="n"/>
      <c r="F451" s="109" t="n"/>
      <c r="G451" s="226" t="n"/>
      <c r="H451" s="108" t="n"/>
      <c r="I451" s="108" t="n"/>
      <c r="J451" s="109" t="n"/>
      <c r="K451" s="109" t="n"/>
      <c r="L451" s="121">
        <f>IF($C451="","",IF($D451="Gider",$E451,$H451))</f>
        <v/>
      </c>
      <c r="M451" s="121">
        <f>IF($C451="","",IF($D451="Gider",$H451,$E451))</f>
        <v/>
      </c>
      <c r="N451" s="231">
        <f>IF($C451="","",DATE(YEAR($C451),MONTH($C451),1))</f>
        <v/>
      </c>
      <c r="O451" s="113">
        <f>IF($C451="","",IF(AND($D451&lt;&gt;"",$E451&lt;&gt;"",$G451&gt;0,$H451&lt;&gt;"",$I451&lt;&gt;""),IF($C451&gt;TODAY(),"İLERİ TARİH","UYGUN"),"EKSİK"))</f>
        <v/>
      </c>
      <c r="P451" s="6" t="n"/>
      <c r="Q451" s="6" t="n"/>
      <c r="R451" s="3" t="n"/>
      <c r="S451" s="3" t="n"/>
      <c r="T451" s="3" t="n"/>
      <c r="U451" s="3" t="n"/>
      <c r="V451" s="3" t="n"/>
      <c r="W451" s="3" t="n"/>
    </row>
    <row r="452">
      <c r="A452" s="6" t="n"/>
      <c r="B452" s="113">
        <f>IF($C452="","","GG"&amp;TEXT(ROW()-6,"00000"))</f>
        <v/>
      </c>
      <c r="C452" s="225" t="n"/>
      <c r="D452" s="108" t="n"/>
      <c r="E452" s="109" t="n"/>
      <c r="F452" s="109" t="n"/>
      <c r="G452" s="226" t="n"/>
      <c r="H452" s="108" t="n"/>
      <c r="I452" s="108" t="n"/>
      <c r="J452" s="109" t="n"/>
      <c r="K452" s="109" t="n"/>
      <c r="L452" s="121">
        <f>IF($C452="","",IF($D452="Gider",$E452,$H452))</f>
        <v/>
      </c>
      <c r="M452" s="121">
        <f>IF($C452="","",IF($D452="Gider",$H452,$E452))</f>
        <v/>
      </c>
      <c r="N452" s="231">
        <f>IF($C452="","",DATE(YEAR($C452),MONTH($C452),1))</f>
        <v/>
      </c>
      <c r="O452" s="113">
        <f>IF($C452="","",IF(AND($D452&lt;&gt;"",$E452&lt;&gt;"",$G452&gt;0,$H452&lt;&gt;"",$I452&lt;&gt;""),IF($C452&gt;TODAY(),"İLERİ TARİH","UYGUN"),"EKSİK"))</f>
        <v/>
      </c>
      <c r="P452" s="6" t="n"/>
      <c r="Q452" s="6" t="n"/>
      <c r="R452" s="3" t="n"/>
      <c r="S452" s="3" t="n"/>
      <c r="T452" s="3" t="n"/>
      <c r="U452" s="3" t="n"/>
      <c r="V452" s="3" t="n"/>
      <c r="W452" s="3" t="n"/>
    </row>
    <row r="453">
      <c r="A453" s="6" t="n"/>
      <c r="B453" s="113">
        <f>IF($C453="","","GG"&amp;TEXT(ROW()-6,"00000"))</f>
        <v/>
      </c>
      <c r="C453" s="225" t="n"/>
      <c r="D453" s="108" t="n"/>
      <c r="E453" s="109" t="n"/>
      <c r="F453" s="109" t="n"/>
      <c r="G453" s="226" t="n"/>
      <c r="H453" s="108" t="n"/>
      <c r="I453" s="108" t="n"/>
      <c r="J453" s="109" t="n"/>
      <c r="K453" s="109" t="n"/>
      <c r="L453" s="121">
        <f>IF($C453="","",IF($D453="Gider",$E453,$H453))</f>
        <v/>
      </c>
      <c r="M453" s="121">
        <f>IF($C453="","",IF($D453="Gider",$H453,$E453))</f>
        <v/>
      </c>
      <c r="N453" s="231">
        <f>IF($C453="","",DATE(YEAR($C453),MONTH($C453),1))</f>
        <v/>
      </c>
      <c r="O453" s="113">
        <f>IF($C453="","",IF(AND($D453&lt;&gt;"",$E453&lt;&gt;"",$G453&gt;0,$H453&lt;&gt;"",$I453&lt;&gt;""),IF($C453&gt;TODAY(),"İLERİ TARİH","UYGUN"),"EKSİK"))</f>
        <v/>
      </c>
      <c r="P453" s="6" t="n"/>
      <c r="Q453" s="6" t="n"/>
      <c r="R453" s="3" t="n"/>
      <c r="S453" s="3" t="n"/>
      <c r="T453" s="3" t="n"/>
      <c r="U453" s="3" t="n"/>
      <c r="V453" s="3" t="n"/>
      <c r="W453" s="3" t="n"/>
    </row>
    <row r="454">
      <c r="A454" s="6" t="n"/>
      <c r="B454" s="113">
        <f>IF($C454="","","GG"&amp;TEXT(ROW()-6,"00000"))</f>
        <v/>
      </c>
      <c r="C454" s="225" t="n"/>
      <c r="D454" s="108" t="n"/>
      <c r="E454" s="109" t="n"/>
      <c r="F454" s="109" t="n"/>
      <c r="G454" s="226" t="n"/>
      <c r="H454" s="108" t="n"/>
      <c r="I454" s="108" t="n"/>
      <c r="J454" s="109" t="n"/>
      <c r="K454" s="109" t="n"/>
      <c r="L454" s="121">
        <f>IF($C454="","",IF($D454="Gider",$E454,$H454))</f>
        <v/>
      </c>
      <c r="M454" s="121">
        <f>IF($C454="","",IF($D454="Gider",$H454,$E454))</f>
        <v/>
      </c>
      <c r="N454" s="231">
        <f>IF($C454="","",DATE(YEAR($C454),MONTH($C454),1))</f>
        <v/>
      </c>
      <c r="O454" s="113">
        <f>IF($C454="","",IF(AND($D454&lt;&gt;"",$E454&lt;&gt;"",$G454&gt;0,$H454&lt;&gt;"",$I454&lt;&gt;""),IF($C454&gt;TODAY(),"İLERİ TARİH","UYGUN"),"EKSİK"))</f>
        <v/>
      </c>
      <c r="P454" s="6" t="n"/>
      <c r="Q454" s="6" t="n"/>
      <c r="R454" s="3" t="n"/>
      <c r="S454" s="3" t="n"/>
      <c r="T454" s="3" t="n"/>
      <c r="U454" s="3" t="n"/>
      <c r="V454" s="3" t="n"/>
      <c r="W454" s="3" t="n"/>
    </row>
    <row r="455">
      <c r="A455" s="6" t="n"/>
      <c r="B455" s="113">
        <f>IF($C455="","","GG"&amp;TEXT(ROW()-6,"00000"))</f>
        <v/>
      </c>
      <c r="C455" s="225" t="n"/>
      <c r="D455" s="108" t="n"/>
      <c r="E455" s="109" t="n"/>
      <c r="F455" s="109" t="n"/>
      <c r="G455" s="226" t="n"/>
      <c r="H455" s="108" t="n"/>
      <c r="I455" s="108" t="n"/>
      <c r="J455" s="109" t="n"/>
      <c r="K455" s="109" t="n"/>
      <c r="L455" s="121">
        <f>IF($C455="","",IF($D455="Gider",$E455,$H455))</f>
        <v/>
      </c>
      <c r="M455" s="121">
        <f>IF($C455="","",IF($D455="Gider",$H455,$E455))</f>
        <v/>
      </c>
      <c r="N455" s="231">
        <f>IF($C455="","",DATE(YEAR($C455),MONTH($C455),1))</f>
        <v/>
      </c>
      <c r="O455" s="113">
        <f>IF($C455="","",IF(AND($D455&lt;&gt;"",$E455&lt;&gt;"",$G455&gt;0,$H455&lt;&gt;"",$I455&lt;&gt;""),IF($C455&gt;TODAY(),"İLERİ TARİH","UYGUN"),"EKSİK"))</f>
        <v/>
      </c>
      <c r="P455" s="6" t="n"/>
      <c r="Q455" s="6" t="n"/>
      <c r="R455" s="3" t="n"/>
      <c r="S455" s="3" t="n"/>
      <c r="T455" s="3" t="n"/>
      <c r="U455" s="3" t="n"/>
      <c r="V455" s="3" t="n"/>
      <c r="W455" s="3" t="n"/>
    </row>
    <row r="456">
      <c r="A456" s="6" t="n"/>
      <c r="B456" s="113">
        <f>IF($C456="","","GG"&amp;TEXT(ROW()-6,"00000"))</f>
        <v/>
      </c>
      <c r="C456" s="225" t="n"/>
      <c r="D456" s="108" t="n"/>
      <c r="E456" s="109" t="n"/>
      <c r="F456" s="109" t="n"/>
      <c r="G456" s="226" t="n"/>
      <c r="H456" s="108" t="n"/>
      <c r="I456" s="108" t="n"/>
      <c r="J456" s="109" t="n"/>
      <c r="K456" s="109" t="n"/>
      <c r="L456" s="121">
        <f>IF($C456="","",IF($D456="Gider",$E456,$H456))</f>
        <v/>
      </c>
      <c r="M456" s="121">
        <f>IF($C456="","",IF($D456="Gider",$H456,$E456))</f>
        <v/>
      </c>
      <c r="N456" s="231">
        <f>IF($C456="","",DATE(YEAR($C456),MONTH($C456),1))</f>
        <v/>
      </c>
      <c r="O456" s="113">
        <f>IF($C456="","",IF(AND($D456&lt;&gt;"",$E456&lt;&gt;"",$G456&gt;0,$H456&lt;&gt;"",$I456&lt;&gt;""),IF($C456&gt;TODAY(),"İLERİ TARİH","UYGUN"),"EKSİK"))</f>
        <v/>
      </c>
      <c r="P456" s="6" t="n"/>
      <c r="Q456" s="6" t="n"/>
      <c r="R456" s="3" t="n"/>
      <c r="S456" s="3" t="n"/>
      <c r="T456" s="3" t="n"/>
      <c r="U456" s="3" t="n"/>
      <c r="V456" s="3" t="n"/>
      <c r="W456" s="3" t="n"/>
    </row>
    <row r="457">
      <c r="A457" s="6" t="n"/>
      <c r="B457" s="113">
        <f>IF($C457="","","GG"&amp;TEXT(ROW()-6,"00000"))</f>
        <v/>
      </c>
      <c r="C457" s="225" t="n"/>
      <c r="D457" s="108" t="n"/>
      <c r="E457" s="109" t="n"/>
      <c r="F457" s="109" t="n"/>
      <c r="G457" s="226" t="n"/>
      <c r="H457" s="108" t="n"/>
      <c r="I457" s="108" t="n"/>
      <c r="J457" s="109" t="n"/>
      <c r="K457" s="109" t="n"/>
      <c r="L457" s="121">
        <f>IF($C457="","",IF($D457="Gider",$E457,$H457))</f>
        <v/>
      </c>
      <c r="M457" s="121">
        <f>IF($C457="","",IF($D457="Gider",$H457,$E457))</f>
        <v/>
      </c>
      <c r="N457" s="231">
        <f>IF($C457="","",DATE(YEAR($C457),MONTH($C457),1))</f>
        <v/>
      </c>
      <c r="O457" s="113">
        <f>IF($C457="","",IF(AND($D457&lt;&gt;"",$E457&lt;&gt;"",$G457&gt;0,$H457&lt;&gt;"",$I457&lt;&gt;""),IF($C457&gt;TODAY(),"İLERİ TARİH","UYGUN"),"EKSİK"))</f>
        <v/>
      </c>
      <c r="P457" s="6" t="n"/>
      <c r="Q457" s="6" t="n"/>
      <c r="R457" s="3" t="n"/>
      <c r="S457" s="3" t="n"/>
      <c r="T457" s="3" t="n"/>
      <c r="U457" s="3" t="n"/>
      <c r="V457" s="3" t="n"/>
      <c r="W457" s="3" t="n"/>
    </row>
    <row r="458">
      <c r="A458" s="6" t="n"/>
      <c r="B458" s="113">
        <f>IF($C458="","","GG"&amp;TEXT(ROW()-6,"00000"))</f>
        <v/>
      </c>
      <c r="C458" s="225" t="n"/>
      <c r="D458" s="108" t="n"/>
      <c r="E458" s="109" t="n"/>
      <c r="F458" s="109" t="n"/>
      <c r="G458" s="226" t="n"/>
      <c r="H458" s="108" t="n"/>
      <c r="I458" s="108" t="n"/>
      <c r="J458" s="109" t="n"/>
      <c r="K458" s="109" t="n"/>
      <c r="L458" s="121">
        <f>IF($C458="","",IF($D458="Gider",$E458,$H458))</f>
        <v/>
      </c>
      <c r="M458" s="121">
        <f>IF($C458="","",IF($D458="Gider",$H458,$E458))</f>
        <v/>
      </c>
      <c r="N458" s="231">
        <f>IF($C458="","",DATE(YEAR($C458),MONTH($C458),1))</f>
        <v/>
      </c>
      <c r="O458" s="113">
        <f>IF($C458="","",IF(AND($D458&lt;&gt;"",$E458&lt;&gt;"",$G458&gt;0,$H458&lt;&gt;"",$I458&lt;&gt;""),IF($C458&gt;TODAY(),"İLERİ TARİH","UYGUN"),"EKSİK"))</f>
        <v/>
      </c>
      <c r="P458" s="6" t="n"/>
      <c r="Q458" s="6" t="n"/>
      <c r="R458" s="3" t="n"/>
      <c r="S458" s="3" t="n"/>
      <c r="T458" s="3" t="n"/>
      <c r="U458" s="3" t="n"/>
      <c r="V458" s="3" t="n"/>
      <c r="W458" s="3" t="n"/>
    </row>
    <row r="459">
      <c r="A459" s="6" t="n"/>
      <c r="B459" s="113">
        <f>IF($C459="","","GG"&amp;TEXT(ROW()-6,"00000"))</f>
        <v/>
      </c>
      <c r="C459" s="225" t="n"/>
      <c r="D459" s="108" t="n"/>
      <c r="E459" s="109" t="n"/>
      <c r="F459" s="109" t="n"/>
      <c r="G459" s="226" t="n"/>
      <c r="H459" s="108" t="n"/>
      <c r="I459" s="108" t="n"/>
      <c r="J459" s="109" t="n"/>
      <c r="K459" s="109" t="n"/>
      <c r="L459" s="121">
        <f>IF($C459="","",IF($D459="Gider",$E459,$H459))</f>
        <v/>
      </c>
      <c r="M459" s="121">
        <f>IF($C459="","",IF($D459="Gider",$H459,$E459))</f>
        <v/>
      </c>
      <c r="N459" s="231">
        <f>IF($C459="","",DATE(YEAR($C459),MONTH($C459),1))</f>
        <v/>
      </c>
      <c r="O459" s="113">
        <f>IF($C459="","",IF(AND($D459&lt;&gt;"",$E459&lt;&gt;"",$G459&gt;0,$H459&lt;&gt;"",$I459&lt;&gt;""),IF($C459&gt;TODAY(),"İLERİ TARİH","UYGUN"),"EKSİK"))</f>
        <v/>
      </c>
      <c r="P459" s="6" t="n"/>
      <c r="Q459" s="6" t="n"/>
      <c r="R459" s="3" t="n"/>
      <c r="S459" s="3" t="n"/>
      <c r="T459" s="3" t="n"/>
      <c r="U459" s="3" t="n"/>
      <c r="V459" s="3" t="n"/>
      <c r="W459" s="3" t="n"/>
    </row>
    <row r="460">
      <c r="A460" s="6" t="n"/>
      <c r="B460" s="113">
        <f>IF($C460="","","GG"&amp;TEXT(ROW()-6,"00000"))</f>
        <v/>
      </c>
      <c r="C460" s="225" t="n"/>
      <c r="D460" s="108" t="n"/>
      <c r="E460" s="109" t="n"/>
      <c r="F460" s="109" t="n"/>
      <c r="G460" s="226" t="n"/>
      <c r="H460" s="108" t="n"/>
      <c r="I460" s="108" t="n"/>
      <c r="J460" s="109" t="n"/>
      <c r="K460" s="109" t="n"/>
      <c r="L460" s="121">
        <f>IF($C460="","",IF($D460="Gider",$E460,$H460))</f>
        <v/>
      </c>
      <c r="M460" s="121">
        <f>IF($C460="","",IF($D460="Gider",$H460,$E460))</f>
        <v/>
      </c>
      <c r="N460" s="231">
        <f>IF($C460="","",DATE(YEAR($C460),MONTH($C460),1))</f>
        <v/>
      </c>
      <c r="O460" s="113">
        <f>IF($C460="","",IF(AND($D460&lt;&gt;"",$E460&lt;&gt;"",$G460&gt;0,$H460&lt;&gt;"",$I460&lt;&gt;""),IF($C460&gt;TODAY(),"İLERİ TARİH","UYGUN"),"EKSİK"))</f>
        <v/>
      </c>
      <c r="P460" s="6" t="n"/>
      <c r="Q460" s="6" t="n"/>
      <c r="R460" s="3" t="n"/>
      <c r="S460" s="3" t="n"/>
      <c r="T460" s="3" t="n"/>
      <c r="U460" s="3" t="n"/>
      <c r="V460" s="3" t="n"/>
      <c r="W460" s="3" t="n"/>
    </row>
    <row r="461">
      <c r="A461" s="6" t="n"/>
      <c r="B461" s="113">
        <f>IF($C461="","","GG"&amp;TEXT(ROW()-6,"00000"))</f>
        <v/>
      </c>
      <c r="C461" s="225" t="n"/>
      <c r="D461" s="108" t="n"/>
      <c r="E461" s="109" t="n"/>
      <c r="F461" s="109" t="n"/>
      <c r="G461" s="226" t="n"/>
      <c r="H461" s="108" t="n"/>
      <c r="I461" s="108" t="n"/>
      <c r="J461" s="109" t="n"/>
      <c r="K461" s="109" t="n"/>
      <c r="L461" s="121">
        <f>IF($C461="","",IF($D461="Gider",$E461,$H461))</f>
        <v/>
      </c>
      <c r="M461" s="121">
        <f>IF($C461="","",IF($D461="Gider",$H461,$E461))</f>
        <v/>
      </c>
      <c r="N461" s="231">
        <f>IF($C461="","",DATE(YEAR($C461),MONTH($C461),1))</f>
        <v/>
      </c>
      <c r="O461" s="113">
        <f>IF($C461="","",IF(AND($D461&lt;&gt;"",$E461&lt;&gt;"",$G461&gt;0,$H461&lt;&gt;"",$I461&lt;&gt;""),IF($C461&gt;TODAY(),"İLERİ TARİH","UYGUN"),"EKSİK"))</f>
        <v/>
      </c>
      <c r="P461" s="6" t="n"/>
      <c r="Q461" s="6" t="n"/>
      <c r="R461" s="3" t="n"/>
      <c r="S461" s="3" t="n"/>
      <c r="T461" s="3" t="n"/>
      <c r="U461" s="3" t="n"/>
      <c r="V461" s="3" t="n"/>
      <c r="W461" s="3" t="n"/>
    </row>
    <row r="462">
      <c r="A462" s="6" t="n"/>
      <c r="B462" s="113">
        <f>IF($C462="","","GG"&amp;TEXT(ROW()-6,"00000"))</f>
        <v/>
      </c>
      <c r="C462" s="225" t="n"/>
      <c r="D462" s="108" t="n"/>
      <c r="E462" s="109" t="n"/>
      <c r="F462" s="109" t="n"/>
      <c r="G462" s="226" t="n"/>
      <c r="H462" s="108" t="n"/>
      <c r="I462" s="108" t="n"/>
      <c r="J462" s="109" t="n"/>
      <c r="K462" s="109" t="n"/>
      <c r="L462" s="121">
        <f>IF($C462="","",IF($D462="Gider",$E462,$H462))</f>
        <v/>
      </c>
      <c r="M462" s="121">
        <f>IF($C462="","",IF($D462="Gider",$H462,$E462))</f>
        <v/>
      </c>
      <c r="N462" s="231">
        <f>IF($C462="","",DATE(YEAR($C462),MONTH($C462),1))</f>
        <v/>
      </c>
      <c r="O462" s="113">
        <f>IF($C462="","",IF(AND($D462&lt;&gt;"",$E462&lt;&gt;"",$G462&gt;0,$H462&lt;&gt;"",$I462&lt;&gt;""),IF($C462&gt;TODAY(),"İLERİ TARİH","UYGUN"),"EKSİK"))</f>
        <v/>
      </c>
      <c r="P462" s="6" t="n"/>
      <c r="Q462" s="6" t="n"/>
      <c r="R462" s="3" t="n"/>
      <c r="S462" s="3" t="n"/>
      <c r="T462" s="3" t="n"/>
      <c r="U462" s="3" t="n"/>
      <c r="V462" s="3" t="n"/>
      <c r="W462" s="3" t="n"/>
    </row>
    <row r="463">
      <c r="A463" s="6" t="n"/>
      <c r="B463" s="113">
        <f>IF($C463="","","GG"&amp;TEXT(ROW()-6,"00000"))</f>
        <v/>
      </c>
      <c r="C463" s="225" t="n"/>
      <c r="D463" s="108" t="n"/>
      <c r="E463" s="109" t="n"/>
      <c r="F463" s="109" t="n"/>
      <c r="G463" s="226" t="n"/>
      <c r="H463" s="108" t="n"/>
      <c r="I463" s="108" t="n"/>
      <c r="J463" s="109" t="n"/>
      <c r="K463" s="109" t="n"/>
      <c r="L463" s="121">
        <f>IF($C463="","",IF($D463="Gider",$E463,$H463))</f>
        <v/>
      </c>
      <c r="M463" s="121">
        <f>IF($C463="","",IF($D463="Gider",$H463,$E463))</f>
        <v/>
      </c>
      <c r="N463" s="231">
        <f>IF($C463="","",DATE(YEAR($C463),MONTH($C463),1))</f>
        <v/>
      </c>
      <c r="O463" s="113">
        <f>IF($C463="","",IF(AND($D463&lt;&gt;"",$E463&lt;&gt;"",$G463&gt;0,$H463&lt;&gt;"",$I463&lt;&gt;""),IF($C463&gt;TODAY(),"İLERİ TARİH","UYGUN"),"EKSİK"))</f>
        <v/>
      </c>
      <c r="P463" s="6" t="n"/>
      <c r="Q463" s="6" t="n"/>
      <c r="R463" s="3" t="n"/>
      <c r="S463" s="3" t="n"/>
      <c r="T463" s="3" t="n"/>
      <c r="U463" s="3" t="n"/>
      <c r="V463" s="3" t="n"/>
      <c r="W463" s="3" t="n"/>
    </row>
    <row r="464">
      <c r="A464" s="6" t="n"/>
      <c r="B464" s="113">
        <f>IF($C464="","","GG"&amp;TEXT(ROW()-6,"00000"))</f>
        <v/>
      </c>
      <c r="C464" s="225" t="n"/>
      <c r="D464" s="108" t="n"/>
      <c r="E464" s="109" t="n"/>
      <c r="F464" s="109" t="n"/>
      <c r="G464" s="226" t="n"/>
      <c r="H464" s="108" t="n"/>
      <c r="I464" s="108" t="n"/>
      <c r="J464" s="109" t="n"/>
      <c r="K464" s="109" t="n"/>
      <c r="L464" s="121">
        <f>IF($C464="","",IF($D464="Gider",$E464,$H464))</f>
        <v/>
      </c>
      <c r="M464" s="121">
        <f>IF($C464="","",IF($D464="Gider",$H464,$E464))</f>
        <v/>
      </c>
      <c r="N464" s="231">
        <f>IF($C464="","",DATE(YEAR($C464),MONTH($C464),1))</f>
        <v/>
      </c>
      <c r="O464" s="113">
        <f>IF($C464="","",IF(AND($D464&lt;&gt;"",$E464&lt;&gt;"",$G464&gt;0,$H464&lt;&gt;"",$I464&lt;&gt;""),IF($C464&gt;TODAY(),"İLERİ TARİH","UYGUN"),"EKSİK"))</f>
        <v/>
      </c>
      <c r="P464" s="6" t="n"/>
      <c r="Q464" s="6" t="n"/>
      <c r="R464" s="3" t="n"/>
      <c r="S464" s="3" t="n"/>
      <c r="T464" s="3" t="n"/>
      <c r="U464" s="3" t="n"/>
      <c r="V464" s="3" t="n"/>
      <c r="W464" s="3" t="n"/>
    </row>
    <row r="465">
      <c r="A465" s="6" t="n"/>
      <c r="B465" s="113">
        <f>IF($C465="","","GG"&amp;TEXT(ROW()-6,"00000"))</f>
        <v/>
      </c>
      <c r="C465" s="225" t="n"/>
      <c r="D465" s="108" t="n"/>
      <c r="E465" s="109" t="n"/>
      <c r="F465" s="109" t="n"/>
      <c r="G465" s="226" t="n"/>
      <c r="H465" s="108" t="n"/>
      <c r="I465" s="108" t="n"/>
      <c r="J465" s="109" t="n"/>
      <c r="K465" s="109" t="n"/>
      <c r="L465" s="121">
        <f>IF($C465="","",IF($D465="Gider",$E465,$H465))</f>
        <v/>
      </c>
      <c r="M465" s="121">
        <f>IF($C465="","",IF($D465="Gider",$H465,$E465))</f>
        <v/>
      </c>
      <c r="N465" s="231">
        <f>IF($C465="","",DATE(YEAR($C465),MONTH($C465),1))</f>
        <v/>
      </c>
      <c r="O465" s="113">
        <f>IF($C465="","",IF(AND($D465&lt;&gt;"",$E465&lt;&gt;"",$G465&gt;0,$H465&lt;&gt;"",$I465&lt;&gt;""),IF($C465&gt;TODAY(),"İLERİ TARİH","UYGUN"),"EKSİK"))</f>
        <v/>
      </c>
      <c r="P465" s="6" t="n"/>
      <c r="Q465" s="6" t="n"/>
      <c r="R465" s="3" t="n"/>
      <c r="S465" s="3" t="n"/>
      <c r="T465" s="3" t="n"/>
      <c r="U465" s="3" t="n"/>
      <c r="V465" s="3" t="n"/>
      <c r="W465" s="3" t="n"/>
    </row>
    <row r="466">
      <c r="A466" s="6" t="n"/>
      <c r="B466" s="113">
        <f>IF($C466="","","GG"&amp;TEXT(ROW()-6,"00000"))</f>
        <v/>
      </c>
      <c r="C466" s="225" t="n"/>
      <c r="D466" s="108" t="n"/>
      <c r="E466" s="109" t="n"/>
      <c r="F466" s="109" t="n"/>
      <c r="G466" s="226" t="n"/>
      <c r="H466" s="108" t="n"/>
      <c r="I466" s="108" t="n"/>
      <c r="J466" s="109" t="n"/>
      <c r="K466" s="109" t="n"/>
      <c r="L466" s="121">
        <f>IF($C466="","",IF($D466="Gider",$E466,$H466))</f>
        <v/>
      </c>
      <c r="M466" s="121">
        <f>IF($C466="","",IF($D466="Gider",$H466,$E466))</f>
        <v/>
      </c>
      <c r="N466" s="231">
        <f>IF($C466="","",DATE(YEAR($C466),MONTH($C466),1))</f>
        <v/>
      </c>
      <c r="O466" s="113">
        <f>IF($C466="","",IF(AND($D466&lt;&gt;"",$E466&lt;&gt;"",$G466&gt;0,$H466&lt;&gt;"",$I466&lt;&gt;""),IF($C466&gt;TODAY(),"İLERİ TARİH","UYGUN"),"EKSİK"))</f>
        <v/>
      </c>
      <c r="P466" s="6" t="n"/>
      <c r="Q466" s="6" t="n"/>
      <c r="R466" s="3" t="n"/>
      <c r="S466" s="3" t="n"/>
      <c r="T466" s="3" t="n"/>
      <c r="U466" s="3" t="n"/>
      <c r="V466" s="3" t="n"/>
      <c r="W466" s="3" t="n"/>
    </row>
    <row r="467">
      <c r="A467" s="6" t="n"/>
      <c r="B467" s="113">
        <f>IF($C467="","","GG"&amp;TEXT(ROW()-6,"00000"))</f>
        <v/>
      </c>
      <c r="C467" s="225" t="n"/>
      <c r="D467" s="108" t="n"/>
      <c r="E467" s="109" t="n"/>
      <c r="F467" s="109" t="n"/>
      <c r="G467" s="226" t="n"/>
      <c r="H467" s="108" t="n"/>
      <c r="I467" s="108" t="n"/>
      <c r="J467" s="109" t="n"/>
      <c r="K467" s="109" t="n"/>
      <c r="L467" s="121">
        <f>IF($C467="","",IF($D467="Gider",$E467,$H467))</f>
        <v/>
      </c>
      <c r="M467" s="121">
        <f>IF($C467="","",IF($D467="Gider",$H467,$E467))</f>
        <v/>
      </c>
      <c r="N467" s="231">
        <f>IF($C467="","",DATE(YEAR($C467),MONTH($C467),1))</f>
        <v/>
      </c>
      <c r="O467" s="113">
        <f>IF($C467="","",IF(AND($D467&lt;&gt;"",$E467&lt;&gt;"",$G467&gt;0,$H467&lt;&gt;"",$I467&lt;&gt;""),IF($C467&gt;TODAY(),"İLERİ TARİH","UYGUN"),"EKSİK"))</f>
        <v/>
      </c>
      <c r="P467" s="6" t="n"/>
      <c r="Q467" s="6" t="n"/>
      <c r="R467" s="3" t="n"/>
      <c r="S467" s="3" t="n"/>
      <c r="T467" s="3" t="n"/>
      <c r="U467" s="3" t="n"/>
      <c r="V467" s="3" t="n"/>
      <c r="W467" s="3" t="n"/>
    </row>
    <row r="468">
      <c r="A468" s="6" t="n"/>
      <c r="B468" s="113">
        <f>IF($C468="","","GG"&amp;TEXT(ROW()-6,"00000"))</f>
        <v/>
      </c>
      <c r="C468" s="225" t="n"/>
      <c r="D468" s="108" t="n"/>
      <c r="E468" s="109" t="n"/>
      <c r="F468" s="109" t="n"/>
      <c r="G468" s="226" t="n"/>
      <c r="H468" s="108" t="n"/>
      <c r="I468" s="108" t="n"/>
      <c r="J468" s="109" t="n"/>
      <c r="K468" s="109" t="n"/>
      <c r="L468" s="121">
        <f>IF($C468="","",IF($D468="Gider",$E468,$H468))</f>
        <v/>
      </c>
      <c r="M468" s="121">
        <f>IF($C468="","",IF($D468="Gider",$H468,$E468))</f>
        <v/>
      </c>
      <c r="N468" s="231">
        <f>IF($C468="","",DATE(YEAR($C468),MONTH($C468),1))</f>
        <v/>
      </c>
      <c r="O468" s="113">
        <f>IF($C468="","",IF(AND($D468&lt;&gt;"",$E468&lt;&gt;"",$G468&gt;0,$H468&lt;&gt;"",$I468&lt;&gt;""),IF($C468&gt;TODAY(),"İLERİ TARİH","UYGUN"),"EKSİK"))</f>
        <v/>
      </c>
      <c r="P468" s="6" t="n"/>
      <c r="Q468" s="6" t="n"/>
      <c r="R468" s="3" t="n"/>
      <c r="S468" s="3" t="n"/>
      <c r="T468" s="3" t="n"/>
      <c r="U468" s="3" t="n"/>
      <c r="V468" s="3" t="n"/>
      <c r="W468" s="3" t="n"/>
    </row>
    <row r="469">
      <c r="A469" s="6" t="n"/>
      <c r="B469" s="113">
        <f>IF($C469="","","GG"&amp;TEXT(ROW()-6,"00000"))</f>
        <v/>
      </c>
      <c r="C469" s="225" t="n"/>
      <c r="D469" s="108" t="n"/>
      <c r="E469" s="109" t="n"/>
      <c r="F469" s="109" t="n"/>
      <c r="G469" s="226" t="n"/>
      <c r="H469" s="108" t="n"/>
      <c r="I469" s="108" t="n"/>
      <c r="J469" s="109" t="n"/>
      <c r="K469" s="109" t="n"/>
      <c r="L469" s="121">
        <f>IF($C469="","",IF($D469="Gider",$E469,$H469))</f>
        <v/>
      </c>
      <c r="M469" s="121">
        <f>IF($C469="","",IF($D469="Gider",$H469,$E469))</f>
        <v/>
      </c>
      <c r="N469" s="231">
        <f>IF($C469="","",DATE(YEAR($C469),MONTH($C469),1))</f>
        <v/>
      </c>
      <c r="O469" s="113">
        <f>IF($C469="","",IF(AND($D469&lt;&gt;"",$E469&lt;&gt;"",$G469&gt;0,$H469&lt;&gt;"",$I469&lt;&gt;""),IF($C469&gt;TODAY(),"İLERİ TARİH","UYGUN"),"EKSİK"))</f>
        <v/>
      </c>
      <c r="P469" s="6" t="n"/>
      <c r="Q469" s="6" t="n"/>
      <c r="R469" s="3" t="n"/>
      <c r="S469" s="3" t="n"/>
      <c r="T469" s="3" t="n"/>
      <c r="U469" s="3" t="n"/>
      <c r="V469" s="3" t="n"/>
      <c r="W469" s="3" t="n"/>
    </row>
    <row r="470">
      <c r="A470" s="6" t="n"/>
      <c r="B470" s="113">
        <f>IF($C470="","","GG"&amp;TEXT(ROW()-6,"00000"))</f>
        <v/>
      </c>
      <c r="C470" s="225" t="n"/>
      <c r="D470" s="108" t="n"/>
      <c r="E470" s="109" t="n"/>
      <c r="F470" s="109" t="n"/>
      <c r="G470" s="226" t="n"/>
      <c r="H470" s="108" t="n"/>
      <c r="I470" s="108" t="n"/>
      <c r="J470" s="109" t="n"/>
      <c r="K470" s="109" t="n"/>
      <c r="L470" s="121">
        <f>IF($C470="","",IF($D470="Gider",$E470,$H470))</f>
        <v/>
      </c>
      <c r="M470" s="121">
        <f>IF($C470="","",IF($D470="Gider",$H470,$E470))</f>
        <v/>
      </c>
      <c r="N470" s="231">
        <f>IF($C470="","",DATE(YEAR($C470),MONTH($C470),1))</f>
        <v/>
      </c>
      <c r="O470" s="113">
        <f>IF($C470="","",IF(AND($D470&lt;&gt;"",$E470&lt;&gt;"",$G470&gt;0,$H470&lt;&gt;"",$I470&lt;&gt;""),IF($C470&gt;TODAY(),"İLERİ TARİH","UYGUN"),"EKSİK"))</f>
        <v/>
      </c>
      <c r="P470" s="6" t="n"/>
      <c r="Q470" s="6" t="n"/>
      <c r="R470" s="3" t="n"/>
      <c r="S470" s="3" t="n"/>
      <c r="T470" s="3" t="n"/>
      <c r="U470" s="3" t="n"/>
      <c r="V470" s="3" t="n"/>
      <c r="W470" s="3" t="n"/>
    </row>
    <row r="471">
      <c r="A471" s="6" t="n"/>
      <c r="B471" s="113">
        <f>IF($C471="","","GG"&amp;TEXT(ROW()-6,"00000"))</f>
        <v/>
      </c>
      <c r="C471" s="225" t="n"/>
      <c r="D471" s="108" t="n"/>
      <c r="E471" s="109" t="n"/>
      <c r="F471" s="109" t="n"/>
      <c r="G471" s="226" t="n"/>
      <c r="H471" s="108" t="n"/>
      <c r="I471" s="108" t="n"/>
      <c r="J471" s="109" t="n"/>
      <c r="K471" s="109" t="n"/>
      <c r="L471" s="121">
        <f>IF($C471="","",IF($D471="Gider",$E471,$H471))</f>
        <v/>
      </c>
      <c r="M471" s="121">
        <f>IF($C471="","",IF($D471="Gider",$H471,$E471))</f>
        <v/>
      </c>
      <c r="N471" s="231">
        <f>IF($C471="","",DATE(YEAR($C471),MONTH($C471),1))</f>
        <v/>
      </c>
      <c r="O471" s="113">
        <f>IF($C471="","",IF(AND($D471&lt;&gt;"",$E471&lt;&gt;"",$G471&gt;0,$H471&lt;&gt;"",$I471&lt;&gt;""),IF($C471&gt;TODAY(),"İLERİ TARİH","UYGUN"),"EKSİK"))</f>
        <v/>
      </c>
      <c r="P471" s="6" t="n"/>
      <c r="Q471" s="6" t="n"/>
      <c r="R471" s="3" t="n"/>
      <c r="S471" s="3" t="n"/>
      <c r="T471" s="3" t="n"/>
      <c r="U471" s="3" t="n"/>
      <c r="V471" s="3" t="n"/>
      <c r="W471" s="3" t="n"/>
    </row>
    <row r="472">
      <c r="A472" s="6" t="n"/>
      <c r="B472" s="113">
        <f>IF($C472="","","GG"&amp;TEXT(ROW()-6,"00000"))</f>
        <v/>
      </c>
      <c r="C472" s="225" t="n"/>
      <c r="D472" s="108" t="n"/>
      <c r="E472" s="109" t="n"/>
      <c r="F472" s="109" t="n"/>
      <c r="G472" s="226" t="n"/>
      <c r="H472" s="108" t="n"/>
      <c r="I472" s="108" t="n"/>
      <c r="J472" s="109" t="n"/>
      <c r="K472" s="109" t="n"/>
      <c r="L472" s="121">
        <f>IF($C472="","",IF($D472="Gider",$E472,$H472))</f>
        <v/>
      </c>
      <c r="M472" s="121">
        <f>IF($C472="","",IF($D472="Gider",$H472,$E472))</f>
        <v/>
      </c>
      <c r="N472" s="231">
        <f>IF($C472="","",DATE(YEAR($C472),MONTH($C472),1))</f>
        <v/>
      </c>
      <c r="O472" s="113">
        <f>IF($C472="","",IF(AND($D472&lt;&gt;"",$E472&lt;&gt;"",$G472&gt;0,$H472&lt;&gt;"",$I472&lt;&gt;""),IF($C472&gt;TODAY(),"İLERİ TARİH","UYGUN"),"EKSİK"))</f>
        <v/>
      </c>
      <c r="P472" s="6" t="n"/>
      <c r="Q472" s="6" t="n"/>
      <c r="R472" s="3" t="n"/>
      <c r="S472" s="3" t="n"/>
      <c r="T472" s="3" t="n"/>
      <c r="U472" s="3" t="n"/>
      <c r="V472" s="3" t="n"/>
      <c r="W472" s="3" t="n"/>
    </row>
    <row r="473">
      <c r="A473" s="6" t="n"/>
      <c r="B473" s="113">
        <f>IF($C473="","","GG"&amp;TEXT(ROW()-6,"00000"))</f>
        <v/>
      </c>
      <c r="C473" s="225" t="n"/>
      <c r="D473" s="108" t="n"/>
      <c r="E473" s="109" t="n"/>
      <c r="F473" s="109" t="n"/>
      <c r="G473" s="226" t="n"/>
      <c r="H473" s="108" t="n"/>
      <c r="I473" s="108" t="n"/>
      <c r="J473" s="109" t="n"/>
      <c r="K473" s="109" t="n"/>
      <c r="L473" s="121">
        <f>IF($C473="","",IF($D473="Gider",$E473,$H473))</f>
        <v/>
      </c>
      <c r="M473" s="121">
        <f>IF($C473="","",IF($D473="Gider",$H473,$E473))</f>
        <v/>
      </c>
      <c r="N473" s="231">
        <f>IF($C473="","",DATE(YEAR($C473),MONTH($C473),1))</f>
        <v/>
      </c>
      <c r="O473" s="113">
        <f>IF($C473="","",IF(AND($D473&lt;&gt;"",$E473&lt;&gt;"",$G473&gt;0,$H473&lt;&gt;"",$I473&lt;&gt;""),IF($C473&gt;TODAY(),"İLERİ TARİH","UYGUN"),"EKSİK"))</f>
        <v/>
      </c>
      <c r="P473" s="6" t="n"/>
      <c r="Q473" s="6" t="n"/>
      <c r="R473" s="3" t="n"/>
      <c r="S473" s="3" t="n"/>
      <c r="T473" s="3" t="n"/>
      <c r="U473" s="3" t="n"/>
      <c r="V473" s="3" t="n"/>
      <c r="W473" s="3" t="n"/>
    </row>
    <row r="474">
      <c r="A474" s="6" t="n"/>
      <c r="B474" s="113">
        <f>IF($C474="","","GG"&amp;TEXT(ROW()-6,"00000"))</f>
        <v/>
      </c>
      <c r="C474" s="225" t="n"/>
      <c r="D474" s="108" t="n"/>
      <c r="E474" s="109" t="n"/>
      <c r="F474" s="109" t="n"/>
      <c r="G474" s="226" t="n"/>
      <c r="H474" s="108" t="n"/>
      <c r="I474" s="108" t="n"/>
      <c r="J474" s="109" t="n"/>
      <c r="K474" s="109" t="n"/>
      <c r="L474" s="121">
        <f>IF($C474="","",IF($D474="Gider",$E474,$H474))</f>
        <v/>
      </c>
      <c r="M474" s="121">
        <f>IF($C474="","",IF($D474="Gider",$H474,$E474))</f>
        <v/>
      </c>
      <c r="N474" s="231">
        <f>IF($C474="","",DATE(YEAR($C474),MONTH($C474),1))</f>
        <v/>
      </c>
      <c r="O474" s="113">
        <f>IF($C474="","",IF(AND($D474&lt;&gt;"",$E474&lt;&gt;"",$G474&gt;0,$H474&lt;&gt;"",$I474&lt;&gt;""),IF($C474&gt;TODAY(),"İLERİ TARİH","UYGUN"),"EKSİK"))</f>
        <v/>
      </c>
      <c r="P474" s="6" t="n"/>
      <c r="Q474" s="6" t="n"/>
      <c r="R474" s="3" t="n"/>
      <c r="S474" s="3" t="n"/>
      <c r="T474" s="3" t="n"/>
      <c r="U474" s="3" t="n"/>
      <c r="V474" s="3" t="n"/>
      <c r="W474" s="3" t="n"/>
    </row>
    <row r="475">
      <c r="A475" s="6" t="n"/>
      <c r="B475" s="113">
        <f>IF($C475="","","GG"&amp;TEXT(ROW()-6,"00000"))</f>
        <v/>
      </c>
      <c r="C475" s="225" t="n"/>
      <c r="D475" s="108" t="n"/>
      <c r="E475" s="109" t="n"/>
      <c r="F475" s="109" t="n"/>
      <c r="G475" s="226" t="n"/>
      <c r="H475" s="108" t="n"/>
      <c r="I475" s="108" t="n"/>
      <c r="J475" s="109" t="n"/>
      <c r="K475" s="109" t="n"/>
      <c r="L475" s="121">
        <f>IF($C475="","",IF($D475="Gider",$E475,$H475))</f>
        <v/>
      </c>
      <c r="M475" s="121">
        <f>IF($C475="","",IF($D475="Gider",$H475,$E475))</f>
        <v/>
      </c>
      <c r="N475" s="231">
        <f>IF($C475="","",DATE(YEAR($C475),MONTH($C475),1))</f>
        <v/>
      </c>
      <c r="O475" s="113">
        <f>IF($C475="","",IF(AND($D475&lt;&gt;"",$E475&lt;&gt;"",$G475&gt;0,$H475&lt;&gt;"",$I475&lt;&gt;""),IF($C475&gt;TODAY(),"İLERİ TARİH","UYGUN"),"EKSİK"))</f>
        <v/>
      </c>
      <c r="P475" s="6" t="n"/>
      <c r="Q475" s="6" t="n"/>
      <c r="R475" s="3" t="n"/>
      <c r="S475" s="3" t="n"/>
      <c r="T475" s="3" t="n"/>
      <c r="U475" s="3" t="n"/>
      <c r="V475" s="3" t="n"/>
      <c r="W475" s="3" t="n"/>
    </row>
    <row r="476">
      <c r="A476" s="6" t="n"/>
      <c r="B476" s="113">
        <f>IF($C476="","","GG"&amp;TEXT(ROW()-6,"00000"))</f>
        <v/>
      </c>
      <c r="C476" s="225" t="n"/>
      <c r="D476" s="108" t="n"/>
      <c r="E476" s="109" t="n"/>
      <c r="F476" s="109" t="n"/>
      <c r="G476" s="226" t="n"/>
      <c r="H476" s="108" t="n"/>
      <c r="I476" s="108" t="n"/>
      <c r="J476" s="109" t="n"/>
      <c r="K476" s="109" t="n"/>
      <c r="L476" s="121">
        <f>IF($C476="","",IF($D476="Gider",$E476,$H476))</f>
        <v/>
      </c>
      <c r="M476" s="121">
        <f>IF($C476="","",IF($D476="Gider",$H476,$E476))</f>
        <v/>
      </c>
      <c r="N476" s="231">
        <f>IF($C476="","",DATE(YEAR($C476),MONTH($C476),1))</f>
        <v/>
      </c>
      <c r="O476" s="113">
        <f>IF($C476="","",IF(AND($D476&lt;&gt;"",$E476&lt;&gt;"",$G476&gt;0,$H476&lt;&gt;"",$I476&lt;&gt;""),IF($C476&gt;TODAY(),"İLERİ TARİH","UYGUN"),"EKSİK"))</f>
        <v/>
      </c>
      <c r="P476" s="6" t="n"/>
      <c r="Q476" s="6" t="n"/>
      <c r="R476" s="3" t="n"/>
      <c r="S476" s="3" t="n"/>
      <c r="T476" s="3" t="n"/>
      <c r="U476" s="3" t="n"/>
      <c r="V476" s="3" t="n"/>
      <c r="W476" s="3" t="n"/>
    </row>
    <row r="477">
      <c r="A477" s="6" t="n"/>
      <c r="B477" s="113">
        <f>IF($C477="","","GG"&amp;TEXT(ROW()-6,"00000"))</f>
        <v/>
      </c>
      <c r="C477" s="225" t="n"/>
      <c r="D477" s="108" t="n"/>
      <c r="E477" s="109" t="n"/>
      <c r="F477" s="109" t="n"/>
      <c r="G477" s="226" t="n"/>
      <c r="H477" s="108" t="n"/>
      <c r="I477" s="108" t="n"/>
      <c r="J477" s="109" t="n"/>
      <c r="K477" s="109" t="n"/>
      <c r="L477" s="121">
        <f>IF($C477="","",IF($D477="Gider",$E477,$H477))</f>
        <v/>
      </c>
      <c r="M477" s="121">
        <f>IF($C477="","",IF($D477="Gider",$H477,$E477))</f>
        <v/>
      </c>
      <c r="N477" s="231">
        <f>IF($C477="","",DATE(YEAR($C477),MONTH($C477),1))</f>
        <v/>
      </c>
      <c r="O477" s="113">
        <f>IF($C477="","",IF(AND($D477&lt;&gt;"",$E477&lt;&gt;"",$G477&gt;0,$H477&lt;&gt;"",$I477&lt;&gt;""),IF($C477&gt;TODAY(),"İLERİ TARİH","UYGUN"),"EKSİK"))</f>
        <v/>
      </c>
      <c r="P477" s="6" t="n"/>
      <c r="Q477" s="6" t="n"/>
      <c r="R477" s="3" t="n"/>
      <c r="S477" s="3" t="n"/>
      <c r="T477" s="3" t="n"/>
      <c r="U477" s="3" t="n"/>
      <c r="V477" s="3" t="n"/>
      <c r="W477" s="3" t="n"/>
    </row>
    <row r="478">
      <c r="A478" s="6" t="n"/>
      <c r="B478" s="113">
        <f>IF($C478="","","GG"&amp;TEXT(ROW()-6,"00000"))</f>
        <v/>
      </c>
      <c r="C478" s="225" t="n"/>
      <c r="D478" s="108" t="n"/>
      <c r="E478" s="109" t="n"/>
      <c r="F478" s="109" t="n"/>
      <c r="G478" s="226" t="n"/>
      <c r="H478" s="108" t="n"/>
      <c r="I478" s="108" t="n"/>
      <c r="J478" s="109" t="n"/>
      <c r="K478" s="109" t="n"/>
      <c r="L478" s="121">
        <f>IF($C478="","",IF($D478="Gider",$E478,$H478))</f>
        <v/>
      </c>
      <c r="M478" s="121">
        <f>IF($C478="","",IF($D478="Gider",$H478,$E478))</f>
        <v/>
      </c>
      <c r="N478" s="231">
        <f>IF($C478="","",DATE(YEAR($C478),MONTH($C478),1))</f>
        <v/>
      </c>
      <c r="O478" s="113">
        <f>IF($C478="","",IF(AND($D478&lt;&gt;"",$E478&lt;&gt;"",$G478&gt;0,$H478&lt;&gt;"",$I478&lt;&gt;""),IF($C478&gt;TODAY(),"İLERİ TARİH","UYGUN"),"EKSİK"))</f>
        <v/>
      </c>
      <c r="P478" s="6" t="n"/>
      <c r="Q478" s="6" t="n"/>
      <c r="R478" s="3" t="n"/>
      <c r="S478" s="3" t="n"/>
      <c r="T478" s="3" t="n"/>
      <c r="U478" s="3" t="n"/>
      <c r="V478" s="3" t="n"/>
      <c r="W478" s="3" t="n"/>
    </row>
    <row r="479">
      <c r="A479" s="6" t="n"/>
      <c r="B479" s="113">
        <f>IF($C479="","","GG"&amp;TEXT(ROW()-6,"00000"))</f>
        <v/>
      </c>
      <c r="C479" s="225" t="n"/>
      <c r="D479" s="108" t="n"/>
      <c r="E479" s="109" t="n"/>
      <c r="F479" s="109" t="n"/>
      <c r="G479" s="226" t="n"/>
      <c r="H479" s="108" t="n"/>
      <c r="I479" s="108" t="n"/>
      <c r="J479" s="109" t="n"/>
      <c r="K479" s="109" t="n"/>
      <c r="L479" s="121">
        <f>IF($C479="","",IF($D479="Gider",$E479,$H479))</f>
        <v/>
      </c>
      <c r="M479" s="121">
        <f>IF($C479="","",IF($D479="Gider",$H479,$E479))</f>
        <v/>
      </c>
      <c r="N479" s="231">
        <f>IF($C479="","",DATE(YEAR($C479),MONTH($C479),1))</f>
        <v/>
      </c>
      <c r="O479" s="113">
        <f>IF($C479="","",IF(AND($D479&lt;&gt;"",$E479&lt;&gt;"",$G479&gt;0,$H479&lt;&gt;"",$I479&lt;&gt;""),IF($C479&gt;TODAY(),"İLERİ TARİH","UYGUN"),"EKSİK"))</f>
        <v/>
      </c>
      <c r="P479" s="6" t="n"/>
      <c r="Q479" s="6" t="n"/>
      <c r="R479" s="3" t="n"/>
      <c r="S479" s="3" t="n"/>
      <c r="T479" s="3" t="n"/>
      <c r="U479" s="3" t="n"/>
      <c r="V479" s="3" t="n"/>
      <c r="W479" s="3" t="n"/>
    </row>
    <row r="480">
      <c r="A480" s="6" t="n"/>
      <c r="B480" s="113">
        <f>IF($C480="","","GG"&amp;TEXT(ROW()-6,"00000"))</f>
        <v/>
      </c>
      <c r="C480" s="225" t="n"/>
      <c r="D480" s="108" t="n"/>
      <c r="E480" s="109" t="n"/>
      <c r="F480" s="109" t="n"/>
      <c r="G480" s="226" t="n"/>
      <c r="H480" s="108" t="n"/>
      <c r="I480" s="108" t="n"/>
      <c r="J480" s="109" t="n"/>
      <c r="K480" s="109" t="n"/>
      <c r="L480" s="121">
        <f>IF($C480="","",IF($D480="Gider",$E480,$H480))</f>
        <v/>
      </c>
      <c r="M480" s="121">
        <f>IF($C480="","",IF($D480="Gider",$H480,$E480))</f>
        <v/>
      </c>
      <c r="N480" s="231">
        <f>IF($C480="","",DATE(YEAR($C480),MONTH($C480),1))</f>
        <v/>
      </c>
      <c r="O480" s="113">
        <f>IF($C480="","",IF(AND($D480&lt;&gt;"",$E480&lt;&gt;"",$G480&gt;0,$H480&lt;&gt;"",$I480&lt;&gt;""),IF($C480&gt;TODAY(),"İLERİ TARİH","UYGUN"),"EKSİK"))</f>
        <v/>
      </c>
      <c r="P480" s="6" t="n"/>
      <c r="Q480" s="6" t="n"/>
      <c r="R480" s="3" t="n"/>
      <c r="S480" s="3" t="n"/>
      <c r="T480" s="3" t="n"/>
      <c r="U480" s="3" t="n"/>
      <c r="V480" s="3" t="n"/>
      <c r="W480" s="3" t="n"/>
    </row>
    <row r="481">
      <c r="A481" s="6" t="n"/>
      <c r="B481" s="113">
        <f>IF($C481="","","GG"&amp;TEXT(ROW()-6,"00000"))</f>
        <v/>
      </c>
      <c r="C481" s="225" t="n"/>
      <c r="D481" s="108" t="n"/>
      <c r="E481" s="109" t="n"/>
      <c r="F481" s="109" t="n"/>
      <c r="G481" s="226" t="n"/>
      <c r="H481" s="108" t="n"/>
      <c r="I481" s="108" t="n"/>
      <c r="J481" s="109" t="n"/>
      <c r="K481" s="109" t="n"/>
      <c r="L481" s="121">
        <f>IF($C481="","",IF($D481="Gider",$E481,$H481))</f>
        <v/>
      </c>
      <c r="M481" s="121">
        <f>IF($C481="","",IF($D481="Gider",$H481,$E481))</f>
        <v/>
      </c>
      <c r="N481" s="231">
        <f>IF($C481="","",DATE(YEAR($C481),MONTH($C481),1))</f>
        <v/>
      </c>
      <c r="O481" s="113">
        <f>IF($C481="","",IF(AND($D481&lt;&gt;"",$E481&lt;&gt;"",$G481&gt;0,$H481&lt;&gt;"",$I481&lt;&gt;""),IF($C481&gt;TODAY(),"İLERİ TARİH","UYGUN"),"EKSİK"))</f>
        <v/>
      </c>
      <c r="P481" s="6" t="n"/>
      <c r="Q481" s="6" t="n"/>
      <c r="R481" s="3" t="n"/>
      <c r="S481" s="3" t="n"/>
      <c r="T481" s="3" t="n"/>
      <c r="U481" s="3" t="n"/>
      <c r="V481" s="3" t="n"/>
      <c r="W481" s="3" t="n"/>
    </row>
    <row r="482">
      <c r="A482" s="6" t="n"/>
      <c r="B482" s="113">
        <f>IF($C482="","","GG"&amp;TEXT(ROW()-6,"00000"))</f>
        <v/>
      </c>
      <c r="C482" s="225" t="n"/>
      <c r="D482" s="108" t="n"/>
      <c r="E482" s="109" t="n"/>
      <c r="F482" s="109" t="n"/>
      <c r="G482" s="226" t="n"/>
      <c r="H482" s="108" t="n"/>
      <c r="I482" s="108" t="n"/>
      <c r="J482" s="109" t="n"/>
      <c r="K482" s="109" t="n"/>
      <c r="L482" s="121">
        <f>IF($C482="","",IF($D482="Gider",$E482,$H482))</f>
        <v/>
      </c>
      <c r="M482" s="121">
        <f>IF($C482="","",IF($D482="Gider",$H482,$E482))</f>
        <v/>
      </c>
      <c r="N482" s="231">
        <f>IF($C482="","",DATE(YEAR($C482),MONTH($C482),1))</f>
        <v/>
      </c>
      <c r="O482" s="113">
        <f>IF($C482="","",IF(AND($D482&lt;&gt;"",$E482&lt;&gt;"",$G482&gt;0,$H482&lt;&gt;"",$I482&lt;&gt;""),IF($C482&gt;TODAY(),"İLERİ TARİH","UYGUN"),"EKSİK"))</f>
        <v/>
      </c>
      <c r="P482" s="6" t="n"/>
      <c r="Q482" s="6" t="n"/>
      <c r="R482" s="3" t="n"/>
      <c r="S482" s="3" t="n"/>
      <c r="T482" s="3" t="n"/>
      <c r="U482" s="3" t="n"/>
      <c r="V482" s="3" t="n"/>
      <c r="W482" s="3" t="n"/>
    </row>
    <row r="483">
      <c r="A483" s="6" t="n"/>
      <c r="B483" s="113">
        <f>IF($C483="","","GG"&amp;TEXT(ROW()-6,"00000"))</f>
        <v/>
      </c>
      <c r="C483" s="225" t="n"/>
      <c r="D483" s="108" t="n"/>
      <c r="E483" s="109" t="n"/>
      <c r="F483" s="109" t="n"/>
      <c r="G483" s="226" t="n"/>
      <c r="H483" s="108" t="n"/>
      <c r="I483" s="108" t="n"/>
      <c r="J483" s="109" t="n"/>
      <c r="K483" s="109" t="n"/>
      <c r="L483" s="121">
        <f>IF($C483="","",IF($D483="Gider",$E483,$H483))</f>
        <v/>
      </c>
      <c r="M483" s="121">
        <f>IF($C483="","",IF($D483="Gider",$H483,$E483))</f>
        <v/>
      </c>
      <c r="N483" s="231">
        <f>IF($C483="","",DATE(YEAR($C483),MONTH($C483),1))</f>
        <v/>
      </c>
      <c r="O483" s="113">
        <f>IF($C483="","",IF(AND($D483&lt;&gt;"",$E483&lt;&gt;"",$G483&gt;0,$H483&lt;&gt;"",$I483&lt;&gt;""),IF($C483&gt;TODAY(),"İLERİ TARİH","UYGUN"),"EKSİK"))</f>
        <v/>
      </c>
      <c r="P483" s="6" t="n"/>
      <c r="Q483" s="6" t="n"/>
      <c r="R483" s="3" t="n"/>
      <c r="S483" s="3" t="n"/>
      <c r="T483" s="3" t="n"/>
      <c r="U483" s="3" t="n"/>
      <c r="V483" s="3" t="n"/>
      <c r="W483" s="3" t="n"/>
    </row>
    <row r="484">
      <c r="A484" s="6" t="n"/>
      <c r="B484" s="113">
        <f>IF($C484="","","GG"&amp;TEXT(ROW()-6,"00000"))</f>
        <v/>
      </c>
      <c r="C484" s="225" t="n"/>
      <c r="D484" s="108" t="n"/>
      <c r="E484" s="109" t="n"/>
      <c r="F484" s="109" t="n"/>
      <c r="G484" s="226" t="n"/>
      <c r="H484" s="108" t="n"/>
      <c r="I484" s="108" t="n"/>
      <c r="J484" s="109" t="n"/>
      <c r="K484" s="109" t="n"/>
      <c r="L484" s="121">
        <f>IF($C484="","",IF($D484="Gider",$E484,$H484))</f>
        <v/>
      </c>
      <c r="M484" s="121">
        <f>IF($C484="","",IF($D484="Gider",$H484,$E484))</f>
        <v/>
      </c>
      <c r="N484" s="231">
        <f>IF($C484="","",DATE(YEAR($C484),MONTH($C484),1))</f>
        <v/>
      </c>
      <c r="O484" s="113">
        <f>IF($C484="","",IF(AND($D484&lt;&gt;"",$E484&lt;&gt;"",$G484&gt;0,$H484&lt;&gt;"",$I484&lt;&gt;""),IF($C484&gt;TODAY(),"İLERİ TARİH","UYGUN"),"EKSİK"))</f>
        <v/>
      </c>
      <c r="P484" s="6" t="n"/>
      <c r="Q484" s="6" t="n"/>
      <c r="R484" s="3" t="n"/>
      <c r="S484" s="3" t="n"/>
      <c r="T484" s="3" t="n"/>
      <c r="U484" s="3" t="n"/>
      <c r="V484" s="3" t="n"/>
      <c r="W484" s="3" t="n"/>
    </row>
    <row r="485">
      <c r="A485" s="6" t="n"/>
      <c r="B485" s="113">
        <f>IF($C485="","","GG"&amp;TEXT(ROW()-6,"00000"))</f>
        <v/>
      </c>
      <c r="C485" s="225" t="n"/>
      <c r="D485" s="108" t="n"/>
      <c r="E485" s="109" t="n"/>
      <c r="F485" s="109" t="n"/>
      <c r="G485" s="226" t="n"/>
      <c r="H485" s="108" t="n"/>
      <c r="I485" s="108" t="n"/>
      <c r="J485" s="109" t="n"/>
      <c r="K485" s="109" t="n"/>
      <c r="L485" s="121">
        <f>IF($C485="","",IF($D485="Gider",$E485,$H485))</f>
        <v/>
      </c>
      <c r="M485" s="121">
        <f>IF($C485="","",IF($D485="Gider",$H485,$E485))</f>
        <v/>
      </c>
      <c r="N485" s="231">
        <f>IF($C485="","",DATE(YEAR($C485),MONTH($C485),1))</f>
        <v/>
      </c>
      <c r="O485" s="113">
        <f>IF($C485="","",IF(AND($D485&lt;&gt;"",$E485&lt;&gt;"",$G485&gt;0,$H485&lt;&gt;"",$I485&lt;&gt;""),IF($C485&gt;TODAY(),"İLERİ TARİH","UYGUN"),"EKSİK"))</f>
        <v/>
      </c>
      <c r="P485" s="6" t="n"/>
      <c r="Q485" s="6" t="n"/>
      <c r="R485" s="3" t="n"/>
      <c r="S485" s="3" t="n"/>
      <c r="T485" s="3" t="n"/>
      <c r="U485" s="3" t="n"/>
      <c r="V485" s="3" t="n"/>
      <c r="W485" s="3" t="n"/>
    </row>
    <row r="486">
      <c r="A486" s="6" t="n"/>
      <c r="B486" s="113">
        <f>IF($C486="","","GG"&amp;TEXT(ROW()-6,"00000"))</f>
        <v/>
      </c>
      <c r="C486" s="225" t="n"/>
      <c r="D486" s="108" t="n"/>
      <c r="E486" s="109" t="n"/>
      <c r="F486" s="109" t="n"/>
      <c r="G486" s="226" t="n"/>
      <c r="H486" s="108" t="n"/>
      <c r="I486" s="108" t="n"/>
      <c r="J486" s="109" t="n"/>
      <c r="K486" s="109" t="n"/>
      <c r="L486" s="121">
        <f>IF($C486="","",IF($D486="Gider",$E486,$H486))</f>
        <v/>
      </c>
      <c r="M486" s="121">
        <f>IF($C486="","",IF($D486="Gider",$H486,$E486))</f>
        <v/>
      </c>
      <c r="N486" s="231">
        <f>IF($C486="","",DATE(YEAR($C486),MONTH($C486),1))</f>
        <v/>
      </c>
      <c r="O486" s="113">
        <f>IF($C486="","",IF(AND($D486&lt;&gt;"",$E486&lt;&gt;"",$G486&gt;0,$H486&lt;&gt;"",$I486&lt;&gt;""),IF($C486&gt;TODAY(),"İLERİ TARİH","UYGUN"),"EKSİK"))</f>
        <v/>
      </c>
      <c r="P486" s="6" t="n"/>
      <c r="Q486" s="6" t="n"/>
      <c r="R486" s="3" t="n"/>
      <c r="S486" s="3" t="n"/>
      <c r="T486" s="3" t="n"/>
      <c r="U486" s="3" t="n"/>
      <c r="V486" s="3" t="n"/>
      <c r="W486" s="3" t="n"/>
    </row>
    <row r="487">
      <c r="A487" s="6" t="n"/>
      <c r="B487" s="113">
        <f>IF($C487="","","GG"&amp;TEXT(ROW()-6,"00000"))</f>
        <v/>
      </c>
      <c r="C487" s="225" t="n"/>
      <c r="D487" s="108" t="n"/>
      <c r="E487" s="109" t="n"/>
      <c r="F487" s="109" t="n"/>
      <c r="G487" s="226" t="n"/>
      <c r="H487" s="108" t="n"/>
      <c r="I487" s="108" t="n"/>
      <c r="J487" s="109" t="n"/>
      <c r="K487" s="109" t="n"/>
      <c r="L487" s="121">
        <f>IF($C487="","",IF($D487="Gider",$E487,$H487))</f>
        <v/>
      </c>
      <c r="M487" s="121">
        <f>IF($C487="","",IF($D487="Gider",$H487,$E487))</f>
        <v/>
      </c>
      <c r="N487" s="231">
        <f>IF($C487="","",DATE(YEAR($C487),MONTH($C487),1))</f>
        <v/>
      </c>
      <c r="O487" s="113">
        <f>IF($C487="","",IF(AND($D487&lt;&gt;"",$E487&lt;&gt;"",$G487&gt;0,$H487&lt;&gt;"",$I487&lt;&gt;""),IF($C487&gt;TODAY(),"İLERİ TARİH","UYGUN"),"EKSİK"))</f>
        <v/>
      </c>
      <c r="P487" s="6" t="n"/>
      <c r="Q487" s="6" t="n"/>
      <c r="R487" s="3" t="n"/>
      <c r="S487" s="3" t="n"/>
      <c r="T487" s="3" t="n"/>
      <c r="U487" s="3" t="n"/>
      <c r="V487" s="3" t="n"/>
      <c r="W487" s="3" t="n"/>
    </row>
    <row r="488">
      <c r="A488" s="6" t="n"/>
      <c r="B488" s="113">
        <f>IF($C488="","","GG"&amp;TEXT(ROW()-6,"00000"))</f>
        <v/>
      </c>
      <c r="C488" s="225" t="n"/>
      <c r="D488" s="108" t="n"/>
      <c r="E488" s="109" t="n"/>
      <c r="F488" s="109" t="n"/>
      <c r="G488" s="226" t="n"/>
      <c r="H488" s="108" t="n"/>
      <c r="I488" s="108" t="n"/>
      <c r="J488" s="109" t="n"/>
      <c r="K488" s="109" t="n"/>
      <c r="L488" s="121">
        <f>IF($C488="","",IF($D488="Gider",$E488,$H488))</f>
        <v/>
      </c>
      <c r="M488" s="121">
        <f>IF($C488="","",IF($D488="Gider",$H488,$E488))</f>
        <v/>
      </c>
      <c r="N488" s="231">
        <f>IF($C488="","",DATE(YEAR($C488),MONTH($C488),1))</f>
        <v/>
      </c>
      <c r="O488" s="113">
        <f>IF($C488="","",IF(AND($D488&lt;&gt;"",$E488&lt;&gt;"",$G488&gt;0,$H488&lt;&gt;"",$I488&lt;&gt;""),IF($C488&gt;TODAY(),"İLERİ TARİH","UYGUN"),"EKSİK"))</f>
        <v/>
      </c>
      <c r="P488" s="6" t="n"/>
      <c r="Q488" s="6" t="n"/>
      <c r="R488" s="3" t="n"/>
      <c r="S488" s="3" t="n"/>
      <c r="T488" s="3" t="n"/>
      <c r="U488" s="3" t="n"/>
      <c r="V488" s="3" t="n"/>
      <c r="W488" s="3" t="n"/>
    </row>
    <row r="489">
      <c r="A489" s="6" t="n"/>
      <c r="B489" s="113">
        <f>IF($C489="","","GG"&amp;TEXT(ROW()-6,"00000"))</f>
        <v/>
      </c>
      <c r="C489" s="225" t="n"/>
      <c r="D489" s="108" t="n"/>
      <c r="E489" s="109" t="n"/>
      <c r="F489" s="109" t="n"/>
      <c r="G489" s="226" t="n"/>
      <c r="H489" s="108" t="n"/>
      <c r="I489" s="108" t="n"/>
      <c r="J489" s="109" t="n"/>
      <c r="K489" s="109" t="n"/>
      <c r="L489" s="121">
        <f>IF($C489="","",IF($D489="Gider",$E489,$H489))</f>
        <v/>
      </c>
      <c r="M489" s="121">
        <f>IF($C489="","",IF($D489="Gider",$H489,$E489))</f>
        <v/>
      </c>
      <c r="N489" s="231">
        <f>IF($C489="","",DATE(YEAR($C489),MONTH($C489),1))</f>
        <v/>
      </c>
      <c r="O489" s="113">
        <f>IF($C489="","",IF(AND($D489&lt;&gt;"",$E489&lt;&gt;"",$G489&gt;0,$H489&lt;&gt;"",$I489&lt;&gt;""),IF($C489&gt;TODAY(),"İLERİ TARİH","UYGUN"),"EKSİK"))</f>
        <v/>
      </c>
      <c r="P489" s="6" t="n"/>
      <c r="Q489" s="6" t="n"/>
      <c r="R489" s="3" t="n"/>
      <c r="S489" s="3" t="n"/>
      <c r="T489" s="3" t="n"/>
      <c r="U489" s="3" t="n"/>
      <c r="V489" s="3" t="n"/>
      <c r="W489" s="3" t="n"/>
    </row>
    <row r="490">
      <c r="A490" s="6" t="n"/>
      <c r="B490" s="113">
        <f>IF($C490="","","GG"&amp;TEXT(ROW()-6,"00000"))</f>
        <v/>
      </c>
      <c r="C490" s="225" t="n"/>
      <c r="D490" s="108" t="n"/>
      <c r="E490" s="109" t="n"/>
      <c r="F490" s="109" t="n"/>
      <c r="G490" s="226" t="n"/>
      <c r="H490" s="108" t="n"/>
      <c r="I490" s="108" t="n"/>
      <c r="J490" s="109" t="n"/>
      <c r="K490" s="109" t="n"/>
      <c r="L490" s="121">
        <f>IF($C490="","",IF($D490="Gider",$E490,$H490))</f>
        <v/>
      </c>
      <c r="M490" s="121">
        <f>IF($C490="","",IF($D490="Gider",$H490,$E490))</f>
        <v/>
      </c>
      <c r="N490" s="231">
        <f>IF($C490="","",DATE(YEAR($C490),MONTH($C490),1))</f>
        <v/>
      </c>
      <c r="O490" s="113">
        <f>IF($C490="","",IF(AND($D490&lt;&gt;"",$E490&lt;&gt;"",$G490&gt;0,$H490&lt;&gt;"",$I490&lt;&gt;""),IF($C490&gt;TODAY(),"İLERİ TARİH","UYGUN"),"EKSİK"))</f>
        <v/>
      </c>
      <c r="P490" s="6" t="n"/>
      <c r="Q490" s="6" t="n"/>
      <c r="R490" s="3" t="n"/>
      <c r="S490" s="3" t="n"/>
      <c r="T490" s="3" t="n"/>
      <c r="U490" s="3" t="n"/>
      <c r="V490" s="3" t="n"/>
      <c r="W490" s="3" t="n"/>
    </row>
    <row r="491">
      <c r="A491" s="6" t="n"/>
      <c r="B491" s="113">
        <f>IF($C491="","","GG"&amp;TEXT(ROW()-6,"00000"))</f>
        <v/>
      </c>
      <c r="C491" s="225" t="n"/>
      <c r="D491" s="108" t="n"/>
      <c r="E491" s="109" t="n"/>
      <c r="F491" s="109" t="n"/>
      <c r="G491" s="226" t="n"/>
      <c r="H491" s="108" t="n"/>
      <c r="I491" s="108" t="n"/>
      <c r="J491" s="109" t="n"/>
      <c r="K491" s="109" t="n"/>
      <c r="L491" s="121">
        <f>IF($C491="","",IF($D491="Gider",$E491,$H491))</f>
        <v/>
      </c>
      <c r="M491" s="121">
        <f>IF($C491="","",IF($D491="Gider",$H491,$E491))</f>
        <v/>
      </c>
      <c r="N491" s="231">
        <f>IF($C491="","",DATE(YEAR($C491),MONTH($C491),1))</f>
        <v/>
      </c>
      <c r="O491" s="113">
        <f>IF($C491="","",IF(AND($D491&lt;&gt;"",$E491&lt;&gt;"",$G491&gt;0,$H491&lt;&gt;"",$I491&lt;&gt;""),IF($C491&gt;TODAY(),"İLERİ TARİH","UYGUN"),"EKSİK"))</f>
        <v/>
      </c>
      <c r="P491" s="6" t="n"/>
      <c r="Q491" s="6" t="n"/>
      <c r="R491" s="3" t="n"/>
      <c r="S491" s="3" t="n"/>
      <c r="T491" s="3" t="n"/>
      <c r="U491" s="3" t="n"/>
      <c r="V491" s="3" t="n"/>
      <c r="W491" s="3" t="n"/>
    </row>
    <row r="492">
      <c r="A492" s="6" t="n"/>
      <c r="B492" s="113">
        <f>IF($C492="","","GG"&amp;TEXT(ROW()-6,"00000"))</f>
        <v/>
      </c>
      <c r="C492" s="225" t="n"/>
      <c r="D492" s="108" t="n"/>
      <c r="E492" s="109" t="n"/>
      <c r="F492" s="109" t="n"/>
      <c r="G492" s="226" t="n"/>
      <c r="H492" s="108" t="n"/>
      <c r="I492" s="108" t="n"/>
      <c r="J492" s="109" t="n"/>
      <c r="K492" s="109" t="n"/>
      <c r="L492" s="121">
        <f>IF($C492="","",IF($D492="Gider",$E492,$H492))</f>
        <v/>
      </c>
      <c r="M492" s="121">
        <f>IF($C492="","",IF($D492="Gider",$H492,$E492))</f>
        <v/>
      </c>
      <c r="N492" s="231">
        <f>IF($C492="","",DATE(YEAR($C492),MONTH($C492),1))</f>
        <v/>
      </c>
      <c r="O492" s="113">
        <f>IF($C492="","",IF(AND($D492&lt;&gt;"",$E492&lt;&gt;"",$G492&gt;0,$H492&lt;&gt;"",$I492&lt;&gt;""),IF($C492&gt;TODAY(),"İLERİ TARİH","UYGUN"),"EKSİK"))</f>
        <v/>
      </c>
      <c r="P492" s="6" t="n"/>
      <c r="Q492" s="6" t="n"/>
      <c r="R492" s="3" t="n"/>
      <c r="S492" s="3" t="n"/>
      <c r="T492" s="3" t="n"/>
      <c r="U492" s="3" t="n"/>
      <c r="V492" s="3" t="n"/>
      <c r="W492" s="3" t="n"/>
    </row>
    <row r="493">
      <c r="A493" s="6" t="n"/>
      <c r="B493" s="113">
        <f>IF($C493="","","GG"&amp;TEXT(ROW()-6,"00000"))</f>
        <v/>
      </c>
      <c r="C493" s="225" t="n"/>
      <c r="D493" s="108" t="n"/>
      <c r="E493" s="109" t="n"/>
      <c r="F493" s="109" t="n"/>
      <c r="G493" s="226" t="n"/>
      <c r="H493" s="108" t="n"/>
      <c r="I493" s="108" t="n"/>
      <c r="J493" s="109" t="n"/>
      <c r="K493" s="109" t="n"/>
      <c r="L493" s="121">
        <f>IF($C493="","",IF($D493="Gider",$E493,$H493))</f>
        <v/>
      </c>
      <c r="M493" s="121">
        <f>IF($C493="","",IF($D493="Gider",$H493,$E493))</f>
        <v/>
      </c>
      <c r="N493" s="231">
        <f>IF($C493="","",DATE(YEAR($C493),MONTH($C493),1))</f>
        <v/>
      </c>
      <c r="O493" s="113">
        <f>IF($C493="","",IF(AND($D493&lt;&gt;"",$E493&lt;&gt;"",$G493&gt;0,$H493&lt;&gt;"",$I493&lt;&gt;""),IF($C493&gt;TODAY(),"İLERİ TARİH","UYGUN"),"EKSİK"))</f>
        <v/>
      </c>
      <c r="P493" s="6" t="n"/>
      <c r="Q493" s="6" t="n"/>
      <c r="R493" s="3" t="n"/>
      <c r="S493" s="3" t="n"/>
      <c r="T493" s="3" t="n"/>
      <c r="U493" s="3" t="n"/>
      <c r="V493" s="3" t="n"/>
      <c r="W493" s="3" t="n"/>
    </row>
    <row r="494">
      <c r="A494" s="6" t="n"/>
      <c r="B494" s="113">
        <f>IF($C494="","","GG"&amp;TEXT(ROW()-6,"00000"))</f>
        <v/>
      </c>
      <c r="C494" s="225" t="n"/>
      <c r="D494" s="108" t="n"/>
      <c r="E494" s="109" t="n"/>
      <c r="F494" s="109" t="n"/>
      <c r="G494" s="226" t="n"/>
      <c r="H494" s="108" t="n"/>
      <c r="I494" s="108" t="n"/>
      <c r="J494" s="109" t="n"/>
      <c r="K494" s="109" t="n"/>
      <c r="L494" s="121">
        <f>IF($C494="","",IF($D494="Gider",$E494,$H494))</f>
        <v/>
      </c>
      <c r="M494" s="121">
        <f>IF($C494="","",IF($D494="Gider",$H494,$E494))</f>
        <v/>
      </c>
      <c r="N494" s="231">
        <f>IF($C494="","",DATE(YEAR($C494),MONTH($C494),1))</f>
        <v/>
      </c>
      <c r="O494" s="113">
        <f>IF($C494="","",IF(AND($D494&lt;&gt;"",$E494&lt;&gt;"",$G494&gt;0,$H494&lt;&gt;"",$I494&lt;&gt;""),IF($C494&gt;TODAY(),"İLERİ TARİH","UYGUN"),"EKSİK"))</f>
        <v/>
      </c>
      <c r="P494" s="6" t="n"/>
      <c r="Q494" s="6" t="n"/>
      <c r="R494" s="3" t="n"/>
      <c r="S494" s="3" t="n"/>
      <c r="T494" s="3" t="n"/>
      <c r="U494" s="3" t="n"/>
      <c r="V494" s="3" t="n"/>
      <c r="W494" s="3" t="n"/>
    </row>
    <row r="495">
      <c r="A495" s="6" t="n"/>
      <c r="B495" s="113">
        <f>IF($C495="","","GG"&amp;TEXT(ROW()-6,"00000"))</f>
        <v/>
      </c>
      <c r="C495" s="225" t="n"/>
      <c r="D495" s="108" t="n"/>
      <c r="E495" s="109" t="n"/>
      <c r="F495" s="109" t="n"/>
      <c r="G495" s="226" t="n"/>
      <c r="H495" s="108" t="n"/>
      <c r="I495" s="108" t="n"/>
      <c r="J495" s="109" t="n"/>
      <c r="K495" s="109" t="n"/>
      <c r="L495" s="121">
        <f>IF($C495="","",IF($D495="Gider",$E495,$H495))</f>
        <v/>
      </c>
      <c r="M495" s="121">
        <f>IF($C495="","",IF($D495="Gider",$H495,$E495))</f>
        <v/>
      </c>
      <c r="N495" s="231">
        <f>IF($C495="","",DATE(YEAR($C495),MONTH($C495),1))</f>
        <v/>
      </c>
      <c r="O495" s="113">
        <f>IF($C495="","",IF(AND($D495&lt;&gt;"",$E495&lt;&gt;"",$G495&gt;0,$H495&lt;&gt;"",$I495&lt;&gt;""),IF($C495&gt;TODAY(),"İLERİ TARİH","UYGUN"),"EKSİK"))</f>
        <v/>
      </c>
      <c r="P495" s="6" t="n"/>
      <c r="Q495" s="6" t="n"/>
      <c r="R495" s="3" t="n"/>
      <c r="S495" s="3" t="n"/>
      <c r="T495" s="3" t="n"/>
      <c r="U495" s="3" t="n"/>
      <c r="V495" s="3" t="n"/>
      <c r="W495" s="3" t="n"/>
    </row>
    <row r="496">
      <c r="A496" s="6" t="n"/>
      <c r="B496" s="113">
        <f>IF($C496="","","GG"&amp;TEXT(ROW()-6,"00000"))</f>
        <v/>
      </c>
      <c r="C496" s="225" t="n"/>
      <c r="D496" s="108" t="n"/>
      <c r="E496" s="109" t="n"/>
      <c r="F496" s="109" t="n"/>
      <c r="G496" s="226" t="n"/>
      <c r="H496" s="108" t="n"/>
      <c r="I496" s="108" t="n"/>
      <c r="J496" s="109" t="n"/>
      <c r="K496" s="109" t="n"/>
      <c r="L496" s="121">
        <f>IF($C496="","",IF($D496="Gider",$E496,$H496))</f>
        <v/>
      </c>
      <c r="M496" s="121">
        <f>IF($C496="","",IF($D496="Gider",$H496,$E496))</f>
        <v/>
      </c>
      <c r="N496" s="231">
        <f>IF($C496="","",DATE(YEAR($C496),MONTH($C496),1))</f>
        <v/>
      </c>
      <c r="O496" s="113">
        <f>IF($C496="","",IF(AND($D496&lt;&gt;"",$E496&lt;&gt;"",$G496&gt;0,$H496&lt;&gt;"",$I496&lt;&gt;""),IF($C496&gt;TODAY(),"İLERİ TARİH","UYGUN"),"EKSİK"))</f>
        <v/>
      </c>
      <c r="P496" s="6" t="n"/>
      <c r="Q496" s="6" t="n"/>
      <c r="R496" s="3" t="n"/>
      <c r="S496" s="3" t="n"/>
      <c r="T496" s="3" t="n"/>
      <c r="U496" s="3" t="n"/>
      <c r="V496" s="3" t="n"/>
      <c r="W496" s="3" t="n"/>
    </row>
    <row r="497">
      <c r="A497" s="6" t="n"/>
      <c r="B497" s="113">
        <f>IF($C497="","","GG"&amp;TEXT(ROW()-6,"00000"))</f>
        <v/>
      </c>
      <c r="C497" s="225" t="n"/>
      <c r="D497" s="108" t="n"/>
      <c r="E497" s="109" t="n"/>
      <c r="F497" s="109" t="n"/>
      <c r="G497" s="226" t="n"/>
      <c r="H497" s="108" t="n"/>
      <c r="I497" s="108" t="n"/>
      <c r="J497" s="109" t="n"/>
      <c r="K497" s="109" t="n"/>
      <c r="L497" s="121">
        <f>IF($C497="","",IF($D497="Gider",$E497,$H497))</f>
        <v/>
      </c>
      <c r="M497" s="121">
        <f>IF($C497="","",IF($D497="Gider",$H497,$E497))</f>
        <v/>
      </c>
      <c r="N497" s="231">
        <f>IF($C497="","",DATE(YEAR($C497),MONTH($C497),1))</f>
        <v/>
      </c>
      <c r="O497" s="113">
        <f>IF($C497="","",IF(AND($D497&lt;&gt;"",$E497&lt;&gt;"",$G497&gt;0,$H497&lt;&gt;"",$I497&lt;&gt;""),IF($C497&gt;TODAY(),"İLERİ TARİH","UYGUN"),"EKSİK"))</f>
        <v/>
      </c>
      <c r="P497" s="6" t="n"/>
      <c r="Q497" s="6" t="n"/>
      <c r="R497" s="3" t="n"/>
      <c r="S497" s="3" t="n"/>
      <c r="T497" s="3" t="n"/>
      <c r="U497" s="3" t="n"/>
      <c r="V497" s="3" t="n"/>
      <c r="W497" s="3" t="n"/>
    </row>
    <row r="498">
      <c r="A498" s="6" t="n"/>
      <c r="B498" s="113">
        <f>IF($C498="","","GG"&amp;TEXT(ROW()-6,"00000"))</f>
        <v/>
      </c>
      <c r="C498" s="225" t="n"/>
      <c r="D498" s="108" t="n"/>
      <c r="E498" s="109" t="n"/>
      <c r="F498" s="109" t="n"/>
      <c r="G498" s="226" t="n"/>
      <c r="H498" s="108" t="n"/>
      <c r="I498" s="108" t="n"/>
      <c r="J498" s="109" t="n"/>
      <c r="K498" s="109" t="n"/>
      <c r="L498" s="121">
        <f>IF($C498="","",IF($D498="Gider",$E498,$H498))</f>
        <v/>
      </c>
      <c r="M498" s="121">
        <f>IF($C498="","",IF($D498="Gider",$H498,$E498))</f>
        <v/>
      </c>
      <c r="N498" s="231">
        <f>IF($C498="","",DATE(YEAR($C498),MONTH($C498),1))</f>
        <v/>
      </c>
      <c r="O498" s="113">
        <f>IF($C498="","",IF(AND($D498&lt;&gt;"",$E498&lt;&gt;"",$G498&gt;0,$H498&lt;&gt;"",$I498&lt;&gt;""),IF($C498&gt;TODAY(),"İLERİ TARİH","UYGUN"),"EKSİK"))</f>
        <v/>
      </c>
      <c r="P498" s="6" t="n"/>
      <c r="Q498" s="6" t="n"/>
      <c r="R498" s="3" t="n"/>
      <c r="S498" s="3" t="n"/>
      <c r="T498" s="3" t="n"/>
      <c r="U498" s="3" t="n"/>
      <c r="V498" s="3" t="n"/>
      <c r="W498" s="3" t="n"/>
    </row>
    <row r="499">
      <c r="A499" s="6" t="n"/>
      <c r="B499" s="113">
        <f>IF($C499="","","GG"&amp;TEXT(ROW()-6,"00000"))</f>
        <v/>
      </c>
      <c r="C499" s="225" t="n"/>
      <c r="D499" s="108" t="n"/>
      <c r="E499" s="109" t="n"/>
      <c r="F499" s="109" t="n"/>
      <c r="G499" s="226" t="n"/>
      <c r="H499" s="108" t="n"/>
      <c r="I499" s="108" t="n"/>
      <c r="J499" s="109" t="n"/>
      <c r="K499" s="109" t="n"/>
      <c r="L499" s="121">
        <f>IF($C499="","",IF($D499="Gider",$E499,$H499))</f>
        <v/>
      </c>
      <c r="M499" s="121">
        <f>IF($C499="","",IF($D499="Gider",$H499,$E499))</f>
        <v/>
      </c>
      <c r="N499" s="231">
        <f>IF($C499="","",DATE(YEAR($C499),MONTH($C499),1))</f>
        <v/>
      </c>
      <c r="O499" s="113">
        <f>IF($C499="","",IF(AND($D499&lt;&gt;"",$E499&lt;&gt;"",$G499&gt;0,$H499&lt;&gt;"",$I499&lt;&gt;""),IF($C499&gt;TODAY(),"İLERİ TARİH","UYGUN"),"EKSİK"))</f>
        <v/>
      </c>
      <c r="P499" s="6" t="n"/>
      <c r="Q499" s="6" t="n"/>
      <c r="R499" s="3" t="n"/>
      <c r="S499" s="3" t="n"/>
      <c r="T499" s="3" t="n"/>
      <c r="U499" s="3" t="n"/>
      <c r="V499" s="3" t="n"/>
      <c r="W499" s="3" t="n"/>
    </row>
    <row r="500">
      <c r="A500" s="6" t="n"/>
      <c r="B500" s="113">
        <f>IF($C500="","","GG"&amp;TEXT(ROW()-6,"00000"))</f>
        <v/>
      </c>
      <c r="C500" s="225" t="n"/>
      <c r="D500" s="108" t="n"/>
      <c r="E500" s="109" t="n"/>
      <c r="F500" s="109" t="n"/>
      <c r="G500" s="226" t="n"/>
      <c r="H500" s="108" t="n"/>
      <c r="I500" s="108" t="n"/>
      <c r="J500" s="109" t="n"/>
      <c r="K500" s="109" t="n"/>
      <c r="L500" s="121">
        <f>IF($C500="","",IF($D500="Gider",$E500,$H500))</f>
        <v/>
      </c>
      <c r="M500" s="121">
        <f>IF($C500="","",IF($D500="Gider",$H500,$E500))</f>
        <v/>
      </c>
      <c r="N500" s="231">
        <f>IF($C500="","",DATE(YEAR($C500),MONTH($C500),1))</f>
        <v/>
      </c>
      <c r="O500" s="113">
        <f>IF($C500="","",IF(AND($D500&lt;&gt;"",$E500&lt;&gt;"",$G500&gt;0,$H500&lt;&gt;"",$I500&lt;&gt;""),IF($C500&gt;TODAY(),"İLERİ TARİH","UYGUN"),"EKSİK"))</f>
        <v/>
      </c>
      <c r="P500" s="6" t="n"/>
      <c r="Q500" s="6" t="n"/>
      <c r="R500" s="3" t="n"/>
      <c r="S500" s="3" t="n"/>
      <c r="T500" s="3" t="n"/>
      <c r="U500" s="3" t="n"/>
      <c r="V500" s="3" t="n"/>
      <c r="W500" s="3" t="n"/>
    </row>
    <row r="501">
      <c r="A501" s="6" t="n"/>
      <c r="B501" s="113">
        <f>IF($C501="","","GG"&amp;TEXT(ROW()-6,"00000"))</f>
        <v/>
      </c>
      <c r="C501" s="225" t="n"/>
      <c r="D501" s="108" t="n"/>
      <c r="E501" s="109" t="n"/>
      <c r="F501" s="109" t="n"/>
      <c r="G501" s="226" t="n"/>
      <c r="H501" s="108" t="n"/>
      <c r="I501" s="108" t="n"/>
      <c r="J501" s="109" t="n"/>
      <c r="K501" s="109" t="n"/>
      <c r="L501" s="121">
        <f>IF($C501="","",IF($D501="Gider",$E501,$H501))</f>
        <v/>
      </c>
      <c r="M501" s="121">
        <f>IF($C501="","",IF($D501="Gider",$H501,$E501))</f>
        <v/>
      </c>
      <c r="N501" s="231">
        <f>IF($C501="","",DATE(YEAR($C501),MONTH($C501),1))</f>
        <v/>
      </c>
      <c r="O501" s="113">
        <f>IF($C501="","",IF(AND($D501&lt;&gt;"",$E501&lt;&gt;"",$G501&gt;0,$H501&lt;&gt;"",$I501&lt;&gt;""),IF($C501&gt;TODAY(),"İLERİ TARİH","UYGUN"),"EKSİK"))</f>
        <v/>
      </c>
      <c r="P501" s="6" t="n"/>
      <c r="Q501" s="6" t="n"/>
      <c r="R501" s="3" t="n"/>
      <c r="S501" s="3" t="n"/>
      <c r="T501" s="3" t="n"/>
      <c r="U501" s="3" t="n"/>
      <c r="V501" s="3" t="n"/>
      <c r="W501" s="3" t="n"/>
    </row>
    <row r="502">
      <c r="A502" s="6" t="n"/>
      <c r="B502" s="113">
        <f>IF($C502="","","GG"&amp;TEXT(ROW()-6,"00000"))</f>
        <v/>
      </c>
      <c r="C502" s="225" t="n"/>
      <c r="D502" s="108" t="n"/>
      <c r="E502" s="109" t="n"/>
      <c r="F502" s="109" t="n"/>
      <c r="G502" s="226" t="n"/>
      <c r="H502" s="108" t="n"/>
      <c r="I502" s="108" t="n"/>
      <c r="J502" s="109" t="n"/>
      <c r="K502" s="109" t="n"/>
      <c r="L502" s="121">
        <f>IF($C502="","",IF($D502="Gider",$E502,$H502))</f>
        <v/>
      </c>
      <c r="M502" s="121">
        <f>IF($C502="","",IF($D502="Gider",$H502,$E502))</f>
        <v/>
      </c>
      <c r="N502" s="231">
        <f>IF($C502="","",DATE(YEAR($C502),MONTH($C502),1))</f>
        <v/>
      </c>
      <c r="O502" s="113">
        <f>IF($C502="","",IF(AND($D502&lt;&gt;"",$E502&lt;&gt;"",$G502&gt;0,$H502&lt;&gt;"",$I502&lt;&gt;""),IF($C502&gt;TODAY(),"İLERİ TARİH","UYGUN"),"EKSİK"))</f>
        <v/>
      </c>
      <c r="P502" s="6" t="n"/>
      <c r="Q502" s="6" t="n"/>
      <c r="R502" s="3" t="n"/>
      <c r="S502" s="3" t="n"/>
      <c r="T502" s="3" t="n"/>
      <c r="U502" s="3" t="n"/>
      <c r="V502" s="3" t="n"/>
      <c r="W502" s="3" t="n"/>
    </row>
    <row r="503">
      <c r="A503" s="6" t="n"/>
      <c r="B503" s="113">
        <f>IF($C503="","","GG"&amp;TEXT(ROW()-6,"00000"))</f>
        <v/>
      </c>
      <c r="C503" s="225" t="n"/>
      <c r="D503" s="108" t="n"/>
      <c r="E503" s="109" t="n"/>
      <c r="F503" s="109" t="n"/>
      <c r="G503" s="226" t="n"/>
      <c r="H503" s="108" t="n"/>
      <c r="I503" s="108" t="n"/>
      <c r="J503" s="109" t="n"/>
      <c r="K503" s="109" t="n"/>
      <c r="L503" s="121">
        <f>IF($C503="","",IF($D503="Gider",$E503,$H503))</f>
        <v/>
      </c>
      <c r="M503" s="121">
        <f>IF($C503="","",IF($D503="Gider",$H503,$E503))</f>
        <v/>
      </c>
      <c r="N503" s="231">
        <f>IF($C503="","",DATE(YEAR($C503),MONTH($C503),1))</f>
        <v/>
      </c>
      <c r="O503" s="113">
        <f>IF($C503="","",IF(AND($D503&lt;&gt;"",$E503&lt;&gt;"",$G503&gt;0,$H503&lt;&gt;"",$I503&lt;&gt;""),IF($C503&gt;TODAY(),"İLERİ TARİH","UYGUN"),"EKSİK"))</f>
        <v/>
      </c>
      <c r="P503" s="6" t="n"/>
      <c r="Q503" s="6" t="n"/>
      <c r="R503" s="3" t="n"/>
      <c r="S503" s="3" t="n"/>
      <c r="T503" s="3" t="n"/>
      <c r="U503" s="3" t="n"/>
      <c r="V503" s="3" t="n"/>
      <c r="W503" s="3" t="n"/>
    </row>
    <row r="504">
      <c r="A504" s="6" t="n"/>
      <c r="B504" s="113">
        <f>IF($C504="","","GG"&amp;TEXT(ROW()-6,"00000"))</f>
        <v/>
      </c>
      <c r="C504" s="225" t="n"/>
      <c r="D504" s="108" t="n"/>
      <c r="E504" s="109" t="n"/>
      <c r="F504" s="109" t="n"/>
      <c r="G504" s="226" t="n"/>
      <c r="H504" s="108" t="n"/>
      <c r="I504" s="108" t="n"/>
      <c r="J504" s="109" t="n"/>
      <c r="K504" s="109" t="n"/>
      <c r="L504" s="121">
        <f>IF($C504="","",IF($D504="Gider",$E504,$H504))</f>
        <v/>
      </c>
      <c r="M504" s="121">
        <f>IF($C504="","",IF($D504="Gider",$H504,$E504))</f>
        <v/>
      </c>
      <c r="N504" s="231">
        <f>IF($C504="","",DATE(YEAR($C504),MONTH($C504),1))</f>
        <v/>
      </c>
      <c r="O504" s="113">
        <f>IF($C504="","",IF(AND($D504&lt;&gt;"",$E504&lt;&gt;"",$G504&gt;0,$H504&lt;&gt;"",$I504&lt;&gt;""),IF($C504&gt;TODAY(),"İLERİ TARİH","UYGUN"),"EKSİK"))</f>
        <v/>
      </c>
      <c r="P504" s="6" t="n"/>
      <c r="Q504" s="6" t="n"/>
      <c r="R504" s="3" t="n"/>
      <c r="S504" s="3" t="n"/>
      <c r="T504" s="3" t="n"/>
      <c r="U504" s="3" t="n"/>
      <c r="V504" s="3" t="n"/>
      <c r="W504" s="3" t="n"/>
    </row>
    <row r="505">
      <c r="A505" s="6" t="n"/>
      <c r="B505" s="113">
        <f>IF($C505="","","GG"&amp;TEXT(ROW()-6,"00000"))</f>
        <v/>
      </c>
      <c r="C505" s="225" t="n"/>
      <c r="D505" s="108" t="n"/>
      <c r="E505" s="109" t="n"/>
      <c r="F505" s="109" t="n"/>
      <c r="G505" s="226" t="n"/>
      <c r="H505" s="108" t="n"/>
      <c r="I505" s="108" t="n"/>
      <c r="J505" s="109" t="n"/>
      <c r="K505" s="109" t="n"/>
      <c r="L505" s="121">
        <f>IF($C505="","",IF($D505="Gider",$E505,$H505))</f>
        <v/>
      </c>
      <c r="M505" s="121">
        <f>IF($C505="","",IF($D505="Gider",$H505,$E505))</f>
        <v/>
      </c>
      <c r="N505" s="231">
        <f>IF($C505="","",DATE(YEAR($C505),MONTH($C505),1))</f>
        <v/>
      </c>
      <c r="O505" s="113">
        <f>IF($C505="","",IF(AND($D505&lt;&gt;"",$E505&lt;&gt;"",$G505&gt;0,$H505&lt;&gt;"",$I505&lt;&gt;""),IF($C505&gt;TODAY(),"İLERİ TARİH","UYGUN"),"EKSİK"))</f>
        <v/>
      </c>
      <c r="P505" s="6" t="n"/>
      <c r="Q505" s="6" t="n"/>
      <c r="R505" s="3" t="n"/>
      <c r="S505" s="3" t="n"/>
      <c r="T505" s="3" t="n"/>
      <c r="U505" s="3" t="n"/>
      <c r="V505" s="3" t="n"/>
      <c r="W505" s="3" t="n"/>
    </row>
    <row r="506">
      <c r="A506" s="6" t="n"/>
      <c r="B506" s="113">
        <f>IF($C506="","","GG"&amp;TEXT(ROW()-6,"00000"))</f>
        <v/>
      </c>
      <c r="C506" s="225" t="n"/>
      <c r="D506" s="108" t="n"/>
      <c r="E506" s="109" t="n"/>
      <c r="F506" s="109" t="n"/>
      <c r="G506" s="226" t="n"/>
      <c r="H506" s="108" t="n"/>
      <c r="I506" s="108" t="n"/>
      <c r="J506" s="109" t="n"/>
      <c r="K506" s="109" t="n"/>
      <c r="L506" s="121">
        <f>IF($C506="","",IF($D506="Gider",$E506,$H506))</f>
        <v/>
      </c>
      <c r="M506" s="121">
        <f>IF($C506="","",IF($D506="Gider",$H506,$E506))</f>
        <v/>
      </c>
      <c r="N506" s="231">
        <f>IF($C506="","",DATE(YEAR($C506),MONTH($C506),1))</f>
        <v/>
      </c>
      <c r="O506" s="113">
        <f>IF($C506="","",IF(AND($D506&lt;&gt;"",$E506&lt;&gt;"",$G506&gt;0,$H506&lt;&gt;"",$I506&lt;&gt;""),IF($C506&gt;TODAY(),"İLERİ TARİH","UYGUN"),"EKSİK"))</f>
        <v/>
      </c>
      <c r="P506" s="6" t="n"/>
      <c r="Q506" s="6" t="n"/>
      <c r="R506" s="3" t="n"/>
      <c r="S506" s="3" t="n"/>
      <c r="T506" s="3" t="n"/>
      <c r="U506" s="3" t="n"/>
      <c r="V506" s="3" t="n"/>
      <c r="W506" s="3" t="n"/>
    </row>
    <row r="507">
      <c r="A507" s="6" t="n"/>
      <c r="B507" s="113">
        <f>IF($C507="","","GG"&amp;TEXT(ROW()-6,"00000"))</f>
        <v/>
      </c>
      <c r="C507" s="225" t="n"/>
      <c r="D507" s="108" t="n"/>
      <c r="E507" s="109" t="n"/>
      <c r="F507" s="109" t="n"/>
      <c r="G507" s="226" t="n"/>
      <c r="H507" s="108" t="n"/>
      <c r="I507" s="108" t="n"/>
      <c r="J507" s="109" t="n"/>
      <c r="K507" s="109" t="n"/>
      <c r="L507" s="121">
        <f>IF($C507="","",IF($D507="Gider",$E507,$H507))</f>
        <v/>
      </c>
      <c r="M507" s="121">
        <f>IF($C507="","",IF($D507="Gider",$H507,$E507))</f>
        <v/>
      </c>
      <c r="N507" s="231">
        <f>IF($C507="","",DATE(YEAR($C507),MONTH($C507),1))</f>
        <v/>
      </c>
      <c r="O507" s="113">
        <f>IF($C507="","",IF(AND($D507&lt;&gt;"",$E507&lt;&gt;"",$G507&gt;0,$H507&lt;&gt;"",$I507&lt;&gt;""),IF($C507&gt;TODAY(),"İLERİ TARİH","UYGUN"),"EKSİK"))</f>
        <v/>
      </c>
      <c r="P507" s="6" t="n"/>
      <c r="Q507" s="6" t="n"/>
      <c r="R507" s="3" t="n"/>
      <c r="S507" s="3" t="n"/>
      <c r="T507" s="3" t="n"/>
      <c r="U507" s="3" t="n"/>
      <c r="V507" s="3" t="n"/>
      <c r="W507" s="3" t="n"/>
    </row>
    <row r="508">
      <c r="A508" s="6" t="n"/>
      <c r="B508" s="113">
        <f>IF($C508="","","GG"&amp;TEXT(ROW()-6,"00000"))</f>
        <v/>
      </c>
      <c r="C508" s="225" t="n"/>
      <c r="D508" s="108" t="n"/>
      <c r="E508" s="109" t="n"/>
      <c r="F508" s="109" t="n"/>
      <c r="G508" s="226" t="n"/>
      <c r="H508" s="108" t="n"/>
      <c r="I508" s="108" t="n"/>
      <c r="J508" s="109" t="n"/>
      <c r="K508" s="109" t="n"/>
      <c r="L508" s="121">
        <f>IF($C508="","",IF($D508="Gider",$E508,$H508))</f>
        <v/>
      </c>
      <c r="M508" s="121">
        <f>IF($C508="","",IF($D508="Gider",$H508,$E508))</f>
        <v/>
      </c>
      <c r="N508" s="231">
        <f>IF($C508="","",DATE(YEAR($C508),MONTH($C508),1))</f>
        <v/>
      </c>
      <c r="O508" s="113">
        <f>IF($C508="","",IF(AND($D508&lt;&gt;"",$E508&lt;&gt;"",$G508&gt;0,$H508&lt;&gt;"",$I508&lt;&gt;""),IF($C508&gt;TODAY(),"İLERİ TARİH","UYGUN"),"EKSİK"))</f>
        <v/>
      </c>
      <c r="P508" s="6" t="n"/>
      <c r="Q508" s="6" t="n"/>
      <c r="R508" s="3" t="n"/>
      <c r="S508" s="3" t="n"/>
      <c r="T508" s="3" t="n"/>
      <c r="U508" s="3" t="n"/>
      <c r="V508" s="3" t="n"/>
      <c r="W508" s="3" t="n"/>
    </row>
    <row r="509">
      <c r="A509" s="6" t="n"/>
      <c r="B509" s="113">
        <f>IF($C509="","","GG"&amp;TEXT(ROW()-6,"00000"))</f>
        <v/>
      </c>
      <c r="C509" s="225" t="n"/>
      <c r="D509" s="108" t="n"/>
      <c r="E509" s="109" t="n"/>
      <c r="F509" s="109" t="n"/>
      <c r="G509" s="226" t="n"/>
      <c r="H509" s="108" t="n"/>
      <c r="I509" s="108" t="n"/>
      <c r="J509" s="109" t="n"/>
      <c r="K509" s="109" t="n"/>
      <c r="L509" s="121">
        <f>IF($C509="","",IF($D509="Gider",$E509,$H509))</f>
        <v/>
      </c>
      <c r="M509" s="121">
        <f>IF($C509="","",IF($D509="Gider",$H509,$E509))</f>
        <v/>
      </c>
      <c r="N509" s="231">
        <f>IF($C509="","",DATE(YEAR($C509),MONTH($C509),1))</f>
        <v/>
      </c>
      <c r="O509" s="113">
        <f>IF($C509="","",IF(AND($D509&lt;&gt;"",$E509&lt;&gt;"",$G509&gt;0,$H509&lt;&gt;"",$I509&lt;&gt;""),IF($C509&gt;TODAY(),"İLERİ TARİH","UYGUN"),"EKSİK"))</f>
        <v/>
      </c>
      <c r="P509" s="6" t="n"/>
      <c r="Q509" s="6" t="n"/>
      <c r="R509" s="3" t="n"/>
      <c r="S509" s="3" t="n"/>
      <c r="T509" s="3" t="n"/>
      <c r="U509" s="3" t="n"/>
      <c r="V509" s="3" t="n"/>
      <c r="W509" s="3" t="n"/>
    </row>
    <row r="510">
      <c r="A510" s="6" t="n"/>
      <c r="B510" s="113">
        <f>IF($C510="","","GG"&amp;TEXT(ROW()-6,"00000"))</f>
        <v/>
      </c>
      <c r="C510" s="225" t="n"/>
      <c r="D510" s="108" t="n"/>
      <c r="E510" s="109" t="n"/>
      <c r="F510" s="109" t="n"/>
      <c r="G510" s="226" t="n"/>
      <c r="H510" s="108" t="n"/>
      <c r="I510" s="108" t="n"/>
      <c r="J510" s="109" t="n"/>
      <c r="K510" s="109" t="n"/>
      <c r="L510" s="121">
        <f>IF($C510="","",IF($D510="Gider",$E510,$H510))</f>
        <v/>
      </c>
      <c r="M510" s="121">
        <f>IF($C510="","",IF($D510="Gider",$H510,$E510))</f>
        <v/>
      </c>
      <c r="N510" s="231">
        <f>IF($C510="","",DATE(YEAR($C510),MONTH($C510),1))</f>
        <v/>
      </c>
      <c r="O510" s="113">
        <f>IF($C510="","",IF(AND($D510&lt;&gt;"",$E510&lt;&gt;"",$G510&gt;0,$H510&lt;&gt;"",$I510&lt;&gt;""),IF($C510&gt;TODAY(),"İLERİ TARİH","UYGUN"),"EKSİK"))</f>
        <v/>
      </c>
      <c r="P510" s="6" t="n"/>
      <c r="Q510" s="6" t="n"/>
      <c r="R510" s="3" t="n"/>
      <c r="S510" s="3" t="n"/>
      <c r="T510" s="3" t="n"/>
      <c r="U510" s="3" t="n"/>
      <c r="V510" s="3" t="n"/>
      <c r="W510" s="3" t="n"/>
    </row>
    <row r="511">
      <c r="A511" s="6" t="n"/>
      <c r="B511" s="113">
        <f>IF($C511="","","GG"&amp;TEXT(ROW()-6,"00000"))</f>
        <v/>
      </c>
      <c r="C511" s="225" t="n"/>
      <c r="D511" s="108" t="n"/>
      <c r="E511" s="109" t="n"/>
      <c r="F511" s="109" t="n"/>
      <c r="G511" s="226" t="n"/>
      <c r="H511" s="108" t="n"/>
      <c r="I511" s="108" t="n"/>
      <c r="J511" s="109" t="n"/>
      <c r="K511" s="109" t="n"/>
      <c r="L511" s="121">
        <f>IF($C511="","",IF($D511="Gider",$E511,$H511))</f>
        <v/>
      </c>
      <c r="M511" s="121">
        <f>IF($C511="","",IF($D511="Gider",$H511,$E511))</f>
        <v/>
      </c>
      <c r="N511" s="231">
        <f>IF($C511="","",DATE(YEAR($C511),MONTH($C511),1))</f>
        <v/>
      </c>
      <c r="O511" s="113">
        <f>IF($C511="","",IF(AND($D511&lt;&gt;"",$E511&lt;&gt;"",$G511&gt;0,$H511&lt;&gt;"",$I511&lt;&gt;""),IF($C511&gt;TODAY(),"İLERİ TARİH","UYGUN"),"EKSİK"))</f>
        <v/>
      </c>
      <c r="P511" s="6" t="n"/>
      <c r="Q511" s="6" t="n"/>
      <c r="R511" s="3" t="n"/>
      <c r="S511" s="3" t="n"/>
      <c r="T511" s="3" t="n"/>
      <c r="U511" s="3" t="n"/>
      <c r="V511" s="3" t="n"/>
      <c r="W511" s="3" t="n"/>
    </row>
    <row r="512">
      <c r="A512" s="6" t="n"/>
      <c r="B512" s="113">
        <f>IF($C512="","","GG"&amp;TEXT(ROW()-6,"00000"))</f>
        <v/>
      </c>
      <c r="C512" s="225" t="n"/>
      <c r="D512" s="108" t="n"/>
      <c r="E512" s="109" t="n"/>
      <c r="F512" s="109" t="n"/>
      <c r="G512" s="226" t="n"/>
      <c r="H512" s="108" t="n"/>
      <c r="I512" s="108" t="n"/>
      <c r="J512" s="109" t="n"/>
      <c r="K512" s="109" t="n"/>
      <c r="L512" s="121">
        <f>IF($C512="","",IF($D512="Gider",$E512,$H512))</f>
        <v/>
      </c>
      <c r="M512" s="121">
        <f>IF($C512="","",IF($D512="Gider",$H512,$E512))</f>
        <v/>
      </c>
      <c r="N512" s="231">
        <f>IF($C512="","",DATE(YEAR($C512),MONTH($C512),1))</f>
        <v/>
      </c>
      <c r="O512" s="113">
        <f>IF($C512="","",IF(AND($D512&lt;&gt;"",$E512&lt;&gt;"",$G512&gt;0,$H512&lt;&gt;"",$I512&lt;&gt;""),IF($C512&gt;TODAY(),"İLERİ TARİH","UYGUN"),"EKSİK"))</f>
        <v/>
      </c>
      <c r="P512" s="6" t="n"/>
      <c r="Q512" s="6" t="n"/>
      <c r="R512" s="3" t="n"/>
      <c r="S512" s="3" t="n"/>
      <c r="T512" s="3" t="n"/>
      <c r="U512" s="3" t="n"/>
      <c r="V512" s="3" t="n"/>
      <c r="W512" s="3" t="n"/>
    </row>
    <row r="513">
      <c r="A513" s="6" t="n"/>
      <c r="B513" s="113">
        <f>IF($C513="","","GG"&amp;TEXT(ROW()-6,"00000"))</f>
        <v/>
      </c>
      <c r="C513" s="225" t="n"/>
      <c r="D513" s="108" t="n"/>
      <c r="E513" s="109" t="n"/>
      <c r="F513" s="109" t="n"/>
      <c r="G513" s="226" t="n"/>
      <c r="H513" s="108" t="n"/>
      <c r="I513" s="108" t="n"/>
      <c r="J513" s="109" t="n"/>
      <c r="K513" s="109" t="n"/>
      <c r="L513" s="121">
        <f>IF($C513="","",IF($D513="Gider",$E513,$H513))</f>
        <v/>
      </c>
      <c r="M513" s="121">
        <f>IF($C513="","",IF($D513="Gider",$H513,$E513))</f>
        <v/>
      </c>
      <c r="N513" s="231">
        <f>IF($C513="","",DATE(YEAR($C513),MONTH($C513),1))</f>
        <v/>
      </c>
      <c r="O513" s="113">
        <f>IF($C513="","",IF(AND($D513&lt;&gt;"",$E513&lt;&gt;"",$G513&gt;0,$H513&lt;&gt;"",$I513&lt;&gt;""),IF($C513&gt;TODAY(),"İLERİ TARİH","UYGUN"),"EKSİK"))</f>
        <v/>
      </c>
      <c r="P513" s="6" t="n"/>
      <c r="Q513" s="6" t="n"/>
      <c r="R513" s="3" t="n"/>
      <c r="S513" s="3" t="n"/>
      <c r="T513" s="3" t="n"/>
      <c r="U513" s="3" t="n"/>
      <c r="V513" s="3" t="n"/>
      <c r="W513" s="3" t="n"/>
    </row>
    <row r="514">
      <c r="A514" s="6" t="n"/>
      <c r="B514" s="113">
        <f>IF($C514="","","GG"&amp;TEXT(ROW()-6,"00000"))</f>
        <v/>
      </c>
      <c r="C514" s="225" t="n"/>
      <c r="D514" s="108" t="n"/>
      <c r="E514" s="109" t="n"/>
      <c r="F514" s="109" t="n"/>
      <c r="G514" s="226" t="n"/>
      <c r="H514" s="108" t="n"/>
      <c r="I514" s="108" t="n"/>
      <c r="J514" s="109" t="n"/>
      <c r="K514" s="109" t="n"/>
      <c r="L514" s="121">
        <f>IF($C514="","",IF($D514="Gider",$E514,$H514))</f>
        <v/>
      </c>
      <c r="M514" s="121">
        <f>IF($C514="","",IF($D514="Gider",$H514,$E514))</f>
        <v/>
      </c>
      <c r="N514" s="231">
        <f>IF($C514="","",DATE(YEAR($C514),MONTH($C514),1))</f>
        <v/>
      </c>
      <c r="O514" s="113">
        <f>IF($C514="","",IF(AND($D514&lt;&gt;"",$E514&lt;&gt;"",$G514&gt;0,$H514&lt;&gt;"",$I514&lt;&gt;""),IF($C514&gt;TODAY(),"İLERİ TARİH","UYGUN"),"EKSİK"))</f>
        <v/>
      </c>
      <c r="P514" s="6" t="n"/>
      <c r="Q514" s="6" t="n"/>
      <c r="R514" s="3" t="n"/>
      <c r="S514" s="3" t="n"/>
      <c r="T514" s="3" t="n"/>
      <c r="U514" s="3" t="n"/>
      <c r="V514" s="3" t="n"/>
      <c r="W514" s="3" t="n"/>
    </row>
    <row r="515">
      <c r="A515" s="6" t="n"/>
      <c r="B515" s="113">
        <f>IF($C515="","","GG"&amp;TEXT(ROW()-6,"00000"))</f>
        <v/>
      </c>
      <c r="C515" s="225" t="n"/>
      <c r="D515" s="108" t="n"/>
      <c r="E515" s="109" t="n"/>
      <c r="F515" s="109" t="n"/>
      <c r="G515" s="226" t="n"/>
      <c r="H515" s="108" t="n"/>
      <c r="I515" s="108" t="n"/>
      <c r="J515" s="109" t="n"/>
      <c r="K515" s="109" t="n"/>
      <c r="L515" s="121">
        <f>IF($C515="","",IF($D515="Gider",$E515,$H515))</f>
        <v/>
      </c>
      <c r="M515" s="121">
        <f>IF($C515="","",IF($D515="Gider",$H515,$E515))</f>
        <v/>
      </c>
      <c r="N515" s="231">
        <f>IF($C515="","",DATE(YEAR($C515),MONTH($C515),1))</f>
        <v/>
      </c>
      <c r="O515" s="113">
        <f>IF($C515="","",IF(AND($D515&lt;&gt;"",$E515&lt;&gt;"",$G515&gt;0,$H515&lt;&gt;"",$I515&lt;&gt;""),IF($C515&gt;TODAY(),"İLERİ TARİH","UYGUN"),"EKSİK"))</f>
        <v/>
      </c>
      <c r="P515" s="6" t="n"/>
      <c r="Q515" s="6" t="n"/>
      <c r="R515" s="3" t="n"/>
      <c r="S515" s="3" t="n"/>
      <c r="T515" s="3" t="n"/>
      <c r="U515" s="3" t="n"/>
      <c r="V515" s="3" t="n"/>
      <c r="W515" s="3" t="n"/>
    </row>
    <row r="516">
      <c r="A516" s="6" t="n"/>
      <c r="B516" s="113">
        <f>IF($C516="","","GG"&amp;TEXT(ROW()-6,"00000"))</f>
        <v/>
      </c>
      <c r="C516" s="225" t="n"/>
      <c r="D516" s="108" t="n"/>
      <c r="E516" s="109" t="n"/>
      <c r="F516" s="109" t="n"/>
      <c r="G516" s="226" t="n"/>
      <c r="H516" s="108" t="n"/>
      <c r="I516" s="108" t="n"/>
      <c r="J516" s="109" t="n"/>
      <c r="K516" s="109" t="n"/>
      <c r="L516" s="121">
        <f>IF($C516="","",IF($D516="Gider",$E516,$H516))</f>
        <v/>
      </c>
      <c r="M516" s="121">
        <f>IF($C516="","",IF($D516="Gider",$H516,$E516))</f>
        <v/>
      </c>
      <c r="N516" s="231">
        <f>IF($C516="","",DATE(YEAR($C516),MONTH($C516),1))</f>
        <v/>
      </c>
      <c r="O516" s="113">
        <f>IF($C516="","",IF(AND($D516&lt;&gt;"",$E516&lt;&gt;"",$G516&gt;0,$H516&lt;&gt;"",$I516&lt;&gt;""),IF($C516&gt;TODAY(),"İLERİ TARİH","UYGUN"),"EKSİK"))</f>
        <v/>
      </c>
      <c r="P516" s="6" t="n"/>
      <c r="Q516" s="6" t="n"/>
      <c r="R516" s="3" t="n"/>
      <c r="S516" s="3" t="n"/>
      <c r="T516" s="3" t="n"/>
      <c r="U516" s="3" t="n"/>
      <c r="V516" s="3" t="n"/>
      <c r="W516" s="3" t="n"/>
    </row>
    <row r="517">
      <c r="A517" s="6" t="n"/>
      <c r="B517" s="113">
        <f>IF($C517="","","GG"&amp;TEXT(ROW()-6,"00000"))</f>
        <v/>
      </c>
      <c r="C517" s="225" t="n"/>
      <c r="D517" s="108" t="n"/>
      <c r="E517" s="109" t="n"/>
      <c r="F517" s="109" t="n"/>
      <c r="G517" s="226" t="n"/>
      <c r="H517" s="108" t="n"/>
      <c r="I517" s="108" t="n"/>
      <c r="J517" s="109" t="n"/>
      <c r="K517" s="109" t="n"/>
      <c r="L517" s="121">
        <f>IF($C517="","",IF($D517="Gider",$E517,$H517))</f>
        <v/>
      </c>
      <c r="M517" s="121">
        <f>IF($C517="","",IF($D517="Gider",$H517,$E517))</f>
        <v/>
      </c>
      <c r="N517" s="231">
        <f>IF($C517="","",DATE(YEAR($C517),MONTH($C517),1))</f>
        <v/>
      </c>
      <c r="O517" s="113">
        <f>IF($C517="","",IF(AND($D517&lt;&gt;"",$E517&lt;&gt;"",$G517&gt;0,$H517&lt;&gt;"",$I517&lt;&gt;""),IF($C517&gt;TODAY(),"İLERİ TARİH","UYGUN"),"EKSİK"))</f>
        <v/>
      </c>
      <c r="P517" s="6" t="n"/>
      <c r="Q517" s="6" t="n"/>
      <c r="R517" s="3" t="n"/>
      <c r="S517" s="3" t="n"/>
      <c r="T517" s="3" t="n"/>
      <c r="U517" s="3" t="n"/>
      <c r="V517" s="3" t="n"/>
      <c r="W517" s="3" t="n"/>
    </row>
    <row r="518">
      <c r="A518" s="6" t="n"/>
      <c r="B518" s="113">
        <f>IF($C518="","","GG"&amp;TEXT(ROW()-6,"00000"))</f>
        <v/>
      </c>
      <c r="C518" s="225" t="n"/>
      <c r="D518" s="108" t="n"/>
      <c r="E518" s="109" t="n"/>
      <c r="F518" s="109" t="n"/>
      <c r="G518" s="226" t="n"/>
      <c r="H518" s="108" t="n"/>
      <c r="I518" s="108" t="n"/>
      <c r="J518" s="109" t="n"/>
      <c r="K518" s="109" t="n"/>
      <c r="L518" s="121">
        <f>IF($C518="","",IF($D518="Gider",$E518,$H518))</f>
        <v/>
      </c>
      <c r="M518" s="121">
        <f>IF($C518="","",IF($D518="Gider",$H518,$E518))</f>
        <v/>
      </c>
      <c r="N518" s="231">
        <f>IF($C518="","",DATE(YEAR($C518),MONTH($C518),1))</f>
        <v/>
      </c>
      <c r="O518" s="113">
        <f>IF($C518="","",IF(AND($D518&lt;&gt;"",$E518&lt;&gt;"",$G518&gt;0,$H518&lt;&gt;"",$I518&lt;&gt;""),IF($C518&gt;TODAY(),"İLERİ TARİH","UYGUN"),"EKSİK"))</f>
        <v/>
      </c>
      <c r="P518" s="6" t="n"/>
      <c r="Q518" s="6" t="n"/>
      <c r="R518" s="3" t="n"/>
      <c r="S518" s="3" t="n"/>
      <c r="T518" s="3" t="n"/>
      <c r="U518" s="3" t="n"/>
      <c r="V518" s="3" t="n"/>
      <c r="W518" s="3" t="n"/>
    </row>
    <row r="519">
      <c r="A519" s="6" t="n"/>
      <c r="B519" s="113">
        <f>IF($C519="","","GG"&amp;TEXT(ROW()-6,"00000"))</f>
        <v/>
      </c>
      <c r="C519" s="225" t="n"/>
      <c r="D519" s="108" t="n"/>
      <c r="E519" s="109" t="n"/>
      <c r="F519" s="109" t="n"/>
      <c r="G519" s="226" t="n"/>
      <c r="H519" s="108" t="n"/>
      <c r="I519" s="108" t="n"/>
      <c r="J519" s="109" t="n"/>
      <c r="K519" s="109" t="n"/>
      <c r="L519" s="121">
        <f>IF($C519="","",IF($D519="Gider",$E519,$H519))</f>
        <v/>
      </c>
      <c r="M519" s="121">
        <f>IF($C519="","",IF($D519="Gider",$H519,$E519))</f>
        <v/>
      </c>
      <c r="N519" s="231">
        <f>IF($C519="","",DATE(YEAR($C519),MONTH($C519),1))</f>
        <v/>
      </c>
      <c r="O519" s="113">
        <f>IF($C519="","",IF(AND($D519&lt;&gt;"",$E519&lt;&gt;"",$G519&gt;0,$H519&lt;&gt;"",$I519&lt;&gt;""),IF($C519&gt;TODAY(),"İLERİ TARİH","UYGUN"),"EKSİK"))</f>
        <v/>
      </c>
      <c r="P519" s="6" t="n"/>
      <c r="Q519" s="6" t="n"/>
      <c r="R519" s="3" t="n"/>
      <c r="S519" s="3" t="n"/>
      <c r="T519" s="3" t="n"/>
      <c r="U519" s="3" t="n"/>
      <c r="V519" s="3" t="n"/>
      <c r="W519" s="3" t="n"/>
    </row>
    <row r="520">
      <c r="A520" s="6" t="n"/>
      <c r="B520" s="113">
        <f>IF($C520="","","GG"&amp;TEXT(ROW()-6,"00000"))</f>
        <v/>
      </c>
      <c r="C520" s="225" t="n"/>
      <c r="D520" s="108" t="n"/>
      <c r="E520" s="109" t="n"/>
      <c r="F520" s="109" t="n"/>
      <c r="G520" s="226" t="n"/>
      <c r="H520" s="108" t="n"/>
      <c r="I520" s="108" t="n"/>
      <c r="J520" s="109" t="n"/>
      <c r="K520" s="109" t="n"/>
      <c r="L520" s="121">
        <f>IF($C520="","",IF($D520="Gider",$E520,$H520))</f>
        <v/>
      </c>
      <c r="M520" s="121">
        <f>IF($C520="","",IF($D520="Gider",$H520,$E520))</f>
        <v/>
      </c>
      <c r="N520" s="231">
        <f>IF($C520="","",DATE(YEAR($C520),MONTH($C520),1))</f>
        <v/>
      </c>
      <c r="O520" s="113">
        <f>IF($C520="","",IF(AND($D520&lt;&gt;"",$E520&lt;&gt;"",$G520&gt;0,$H520&lt;&gt;"",$I520&lt;&gt;""),IF($C520&gt;TODAY(),"İLERİ TARİH","UYGUN"),"EKSİK"))</f>
        <v/>
      </c>
      <c r="P520" s="6" t="n"/>
      <c r="Q520" s="6" t="n"/>
      <c r="R520" s="3" t="n"/>
      <c r="S520" s="3" t="n"/>
      <c r="T520" s="3" t="n"/>
      <c r="U520" s="3" t="n"/>
      <c r="V520" s="3" t="n"/>
      <c r="W520" s="3" t="n"/>
    </row>
    <row r="521">
      <c r="A521" s="6" t="n"/>
      <c r="B521" s="113">
        <f>IF($C521="","","GG"&amp;TEXT(ROW()-6,"00000"))</f>
        <v/>
      </c>
      <c r="C521" s="225" t="n"/>
      <c r="D521" s="108" t="n"/>
      <c r="E521" s="109" t="n"/>
      <c r="F521" s="109" t="n"/>
      <c r="G521" s="226" t="n"/>
      <c r="H521" s="108" t="n"/>
      <c r="I521" s="108" t="n"/>
      <c r="J521" s="109" t="n"/>
      <c r="K521" s="109" t="n"/>
      <c r="L521" s="121">
        <f>IF($C521="","",IF($D521="Gider",$E521,$H521))</f>
        <v/>
      </c>
      <c r="M521" s="121">
        <f>IF($C521="","",IF($D521="Gider",$H521,$E521))</f>
        <v/>
      </c>
      <c r="N521" s="231">
        <f>IF($C521="","",DATE(YEAR($C521),MONTH($C521),1))</f>
        <v/>
      </c>
      <c r="O521" s="113">
        <f>IF($C521="","",IF(AND($D521&lt;&gt;"",$E521&lt;&gt;"",$G521&gt;0,$H521&lt;&gt;"",$I521&lt;&gt;""),IF($C521&gt;TODAY(),"İLERİ TARİH","UYGUN"),"EKSİK"))</f>
        <v/>
      </c>
      <c r="P521" s="6" t="n"/>
      <c r="Q521" s="6" t="n"/>
      <c r="R521" s="3" t="n"/>
      <c r="S521" s="3" t="n"/>
      <c r="T521" s="3" t="n"/>
      <c r="U521" s="3" t="n"/>
      <c r="V521" s="3" t="n"/>
      <c r="W521" s="3" t="n"/>
    </row>
    <row r="522">
      <c r="A522" s="6" t="n"/>
      <c r="B522" s="113">
        <f>IF($C522="","","GG"&amp;TEXT(ROW()-6,"00000"))</f>
        <v/>
      </c>
      <c r="C522" s="225" t="n"/>
      <c r="D522" s="108" t="n"/>
      <c r="E522" s="109" t="n"/>
      <c r="F522" s="109" t="n"/>
      <c r="G522" s="226" t="n"/>
      <c r="H522" s="108" t="n"/>
      <c r="I522" s="108" t="n"/>
      <c r="J522" s="109" t="n"/>
      <c r="K522" s="109" t="n"/>
      <c r="L522" s="121">
        <f>IF($C522="","",IF($D522="Gider",$E522,$H522))</f>
        <v/>
      </c>
      <c r="M522" s="121">
        <f>IF($C522="","",IF($D522="Gider",$H522,$E522))</f>
        <v/>
      </c>
      <c r="N522" s="231">
        <f>IF($C522="","",DATE(YEAR($C522),MONTH($C522),1))</f>
        <v/>
      </c>
      <c r="O522" s="113">
        <f>IF($C522="","",IF(AND($D522&lt;&gt;"",$E522&lt;&gt;"",$G522&gt;0,$H522&lt;&gt;"",$I522&lt;&gt;""),IF($C522&gt;TODAY(),"İLERİ TARİH","UYGUN"),"EKSİK"))</f>
        <v/>
      </c>
      <c r="P522" s="6" t="n"/>
      <c r="Q522" s="6" t="n"/>
      <c r="R522" s="3" t="n"/>
      <c r="S522" s="3" t="n"/>
      <c r="T522" s="3" t="n"/>
      <c r="U522" s="3" t="n"/>
      <c r="V522" s="3" t="n"/>
      <c r="W522" s="3" t="n"/>
    </row>
    <row r="523">
      <c r="A523" s="6" t="n"/>
      <c r="B523" s="113">
        <f>IF($C523="","","GG"&amp;TEXT(ROW()-6,"00000"))</f>
        <v/>
      </c>
      <c r="C523" s="225" t="n"/>
      <c r="D523" s="108" t="n"/>
      <c r="E523" s="109" t="n"/>
      <c r="F523" s="109" t="n"/>
      <c r="G523" s="226" t="n"/>
      <c r="H523" s="108" t="n"/>
      <c r="I523" s="108" t="n"/>
      <c r="J523" s="109" t="n"/>
      <c r="K523" s="109" t="n"/>
      <c r="L523" s="121">
        <f>IF($C523="","",IF($D523="Gider",$E523,$H523))</f>
        <v/>
      </c>
      <c r="M523" s="121">
        <f>IF($C523="","",IF($D523="Gider",$H523,$E523))</f>
        <v/>
      </c>
      <c r="N523" s="231">
        <f>IF($C523="","",DATE(YEAR($C523),MONTH($C523),1))</f>
        <v/>
      </c>
      <c r="O523" s="113">
        <f>IF($C523="","",IF(AND($D523&lt;&gt;"",$E523&lt;&gt;"",$G523&gt;0,$H523&lt;&gt;"",$I523&lt;&gt;""),IF($C523&gt;TODAY(),"İLERİ TARİH","UYGUN"),"EKSİK"))</f>
        <v/>
      </c>
      <c r="P523" s="6" t="n"/>
      <c r="Q523" s="6" t="n"/>
      <c r="R523" s="3" t="n"/>
      <c r="S523" s="3" t="n"/>
      <c r="T523" s="3" t="n"/>
      <c r="U523" s="3" t="n"/>
      <c r="V523" s="3" t="n"/>
      <c r="W523" s="3" t="n"/>
    </row>
    <row r="524">
      <c r="A524" s="6" t="n"/>
      <c r="B524" s="113">
        <f>IF($C524="","","GG"&amp;TEXT(ROW()-6,"00000"))</f>
        <v/>
      </c>
      <c r="C524" s="225" t="n"/>
      <c r="D524" s="108" t="n"/>
      <c r="E524" s="109" t="n"/>
      <c r="F524" s="109" t="n"/>
      <c r="G524" s="226" t="n"/>
      <c r="H524" s="108" t="n"/>
      <c r="I524" s="108" t="n"/>
      <c r="J524" s="109" t="n"/>
      <c r="K524" s="109" t="n"/>
      <c r="L524" s="121">
        <f>IF($C524="","",IF($D524="Gider",$E524,$H524))</f>
        <v/>
      </c>
      <c r="M524" s="121">
        <f>IF($C524="","",IF($D524="Gider",$H524,$E524))</f>
        <v/>
      </c>
      <c r="N524" s="231">
        <f>IF($C524="","",DATE(YEAR($C524),MONTH($C524),1))</f>
        <v/>
      </c>
      <c r="O524" s="113">
        <f>IF($C524="","",IF(AND($D524&lt;&gt;"",$E524&lt;&gt;"",$G524&gt;0,$H524&lt;&gt;"",$I524&lt;&gt;""),IF($C524&gt;TODAY(),"İLERİ TARİH","UYGUN"),"EKSİK"))</f>
        <v/>
      </c>
      <c r="P524" s="6" t="n"/>
      <c r="Q524" s="6" t="n"/>
      <c r="R524" s="3" t="n"/>
      <c r="S524" s="3" t="n"/>
      <c r="T524" s="3" t="n"/>
      <c r="U524" s="3" t="n"/>
      <c r="V524" s="3" t="n"/>
      <c r="W524" s="3" t="n"/>
    </row>
    <row r="525">
      <c r="A525" s="6" t="n"/>
      <c r="B525" s="113">
        <f>IF($C525="","","GG"&amp;TEXT(ROW()-6,"00000"))</f>
        <v/>
      </c>
      <c r="C525" s="225" t="n"/>
      <c r="D525" s="108" t="n"/>
      <c r="E525" s="109" t="n"/>
      <c r="F525" s="109" t="n"/>
      <c r="G525" s="226" t="n"/>
      <c r="H525" s="108" t="n"/>
      <c r="I525" s="108" t="n"/>
      <c r="J525" s="109" t="n"/>
      <c r="K525" s="109" t="n"/>
      <c r="L525" s="121">
        <f>IF($C525="","",IF($D525="Gider",$E525,$H525))</f>
        <v/>
      </c>
      <c r="M525" s="121">
        <f>IF($C525="","",IF($D525="Gider",$H525,$E525))</f>
        <v/>
      </c>
      <c r="N525" s="231">
        <f>IF($C525="","",DATE(YEAR($C525),MONTH($C525),1))</f>
        <v/>
      </c>
      <c r="O525" s="113">
        <f>IF($C525="","",IF(AND($D525&lt;&gt;"",$E525&lt;&gt;"",$G525&gt;0,$H525&lt;&gt;"",$I525&lt;&gt;""),IF($C525&gt;TODAY(),"İLERİ TARİH","UYGUN"),"EKSİK"))</f>
        <v/>
      </c>
      <c r="P525" s="6" t="n"/>
      <c r="Q525" s="6" t="n"/>
      <c r="R525" s="3" t="n"/>
      <c r="S525" s="3" t="n"/>
      <c r="T525" s="3" t="n"/>
      <c r="U525" s="3" t="n"/>
      <c r="V525" s="3" t="n"/>
      <c r="W525" s="3" t="n"/>
    </row>
    <row r="526">
      <c r="A526" s="6" t="n"/>
      <c r="B526" s="113">
        <f>IF($C526="","","GG"&amp;TEXT(ROW()-6,"00000"))</f>
        <v/>
      </c>
      <c r="C526" s="225" t="n"/>
      <c r="D526" s="108" t="n"/>
      <c r="E526" s="109" t="n"/>
      <c r="F526" s="109" t="n"/>
      <c r="G526" s="226" t="n"/>
      <c r="H526" s="108" t="n"/>
      <c r="I526" s="108" t="n"/>
      <c r="J526" s="109" t="n"/>
      <c r="K526" s="109" t="n"/>
      <c r="L526" s="121">
        <f>IF($C526="","",IF($D526="Gider",$E526,$H526))</f>
        <v/>
      </c>
      <c r="M526" s="121">
        <f>IF($C526="","",IF($D526="Gider",$H526,$E526))</f>
        <v/>
      </c>
      <c r="N526" s="231">
        <f>IF($C526="","",DATE(YEAR($C526),MONTH($C526),1))</f>
        <v/>
      </c>
      <c r="O526" s="113">
        <f>IF($C526="","",IF(AND($D526&lt;&gt;"",$E526&lt;&gt;"",$G526&gt;0,$H526&lt;&gt;"",$I526&lt;&gt;""),IF($C526&gt;TODAY(),"İLERİ TARİH","UYGUN"),"EKSİK"))</f>
        <v/>
      </c>
      <c r="P526" s="6" t="n"/>
      <c r="Q526" s="6" t="n"/>
      <c r="R526" s="3" t="n"/>
      <c r="S526" s="3" t="n"/>
      <c r="T526" s="3" t="n"/>
      <c r="U526" s="3" t="n"/>
      <c r="V526" s="3" t="n"/>
      <c r="W526" s="3" t="n"/>
    </row>
    <row r="527">
      <c r="A527" s="6" t="n"/>
      <c r="B527" s="113">
        <f>IF($C527="","","GG"&amp;TEXT(ROW()-6,"00000"))</f>
        <v/>
      </c>
      <c r="C527" s="225" t="n"/>
      <c r="D527" s="108" t="n"/>
      <c r="E527" s="109" t="n"/>
      <c r="F527" s="109" t="n"/>
      <c r="G527" s="226" t="n"/>
      <c r="H527" s="108" t="n"/>
      <c r="I527" s="108" t="n"/>
      <c r="J527" s="109" t="n"/>
      <c r="K527" s="109" t="n"/>
      <c r="L527" s="121">
        <f>IF($C527="","",IF($D527="Gider",$E527,$H527))</f>
        <v/>
      </c>
      <c r="M527" s="121">
        <f>IF($C527="","",IF($D527="Gider",$H527,$E527))</f>
        <v/>
      </c>
      <c r="N527" s="231">
        <f>IF($C527="","",DATE(YEAR($C527),MONTH($C527),1))</f>
        <v/>
      </c>
      <c r="O527" s="113">
        <f>IF($C527="","",IF(AND($D527&lt;&gt;"",$E527&lt;&gt;"",$G527&gt;0,$H527&lt;&gt;"",$I527&lt;&gt;""),IF($C527&gt;TODAY(),"İLERİ TARİH","UYGUN"),"EKSİK"))</f>
        <v/>
      </c>
      <c r="P527" s="6" t="n"/>
      <c r="Q527" s="6" t="n"/>
      <c r="R527" s="3" t="n"/>
      <c r="S527" s="3" t="n"/>
      <c r="T527" s="3" t="n"/>
      <c r="U527" s="3" t="n"/>
      <c r="V527" s="3" t="n"/>
      <c r="W527" s="3" t="n"/>
    </row>
    <row r="528">
      <c r="A528" s="6" t="n"/>
      <c r="B528" s="113">
        <f>IF($C528="","","GG"&amp;TEXT(ROW()-6,"00000"))</f>
        <v/>
      </c>
      <c r="C528" s="225" t="n"/>
      <c r="D528" s="108" t="n"/>
      <c r="E528" s="109" t="n"/>
      <c r="F528" s="109" t="n"/>
      <c r="G528" s="226" t="n"/>
      <c r="H528" s="108" t="n"/>
      <c r="I528" s="108" t="n"/>
      <c r="J528" s="109" t="n"/>
      <c r="K528" s="109" t="n"/>
      <c r="L528" s="121">
        <f>IF($C528="","",IF($D528="Gider",$E528,$H528))</f>
        <v/>
      </c>
      <c r="M528" s="121">
        <f>IF($C528="","",IF($D528="Gider",$H528,$E528))</f>
        <v/>
      </c>
      <c r="N528" s="231">
        <f>IF($C528="","",DATE(YEAR($C528),MONTH($C528),1))</f>
        <v/>
      </c>
      <c r="O528" s="113">
        <f>IF($C528="","",IF(AND($D528&lt;&gt;"",$E528&lt;&gt;"",$G528&gt;0,$H528&lt;&gt;"",$I528&lt;&gt;""),IF($C528&gt;TODAY(),"İLERİ TARİH","UYGUN"),"EKSİK"))</f>
        <v/>
      </c>
      <c r="P528" s="6" t="n"/>
      <c r="Q528" s="6" t="n"/>
      <c r="R528" s="3" t="n"/>
      <c r="S528" s="3" t="n"/>
      <c r="T528" s="3" t="n"/>
      <c r="U528" s="3" t="n"/>
      <c r="V528" s="3" t="n"/>
      <c r="W528" s="3" t="n"/>
    </row>
    <row r="529">
      <c r="A529" s="6" t="n"/>
      <c r="B529" s="113">
        <f>IF($C529="","","GG"&amp;TEXT(ROW()-6,"00000"))</f>
        <v/>
      </c>
      <c r="C529" s="225" t="n"/>
      <c r="D529" s="108" t="n"/>
      <c r="E529" s="109" t="n"/>
      <c r="F529" s="109" t="n"/>
      <c r="G529" s="226" t="n"/>
      <c r="H529" s="108" t="n"/>
      <c r="I529" s="108" t="n"/>
      <c r="J529" s="109" t="n"/>
      <c r="K529" s="109" t="n"/>
      <c r="L529" s="121">
        <f>IF($C529="","",IF($D529="Gider",$E529,$H529))</f>
        <v/>
      </c>
      <c r="M529" s="121">
        <f>IF($C529="","",IF($D529="Gider",$H529,$E529))</f>
        <v/>
      </c>
      <c r="N529" s="231">
        <f>IF($C529="","",DATE(YEAR($C529),MONTH($C529),1))</f>
        <v/>
      </c>
      <c r="O529" s="113">
        <f>IF($C529="","",IF(AND($D529&lt;&gt;"",$E529&lt;&gt;"",$G529&gt;0,$H529&lt;&gt;"",$I529&lt;&gt;""),IF($C529&gt;TODAY(),"İLERİ TARİH","UYGUN"),"EKSİK"))</f>
        <v/>
      </c>
      <c r="P529" s="6" t="n"/>
      <c r="Q529" s="6" t="n"/>
      <c r="R529" s="3" t="n"/>
      <c r="S529" s="3" t="n"/>
      <c r="T529" s="3" t="n"/>
      <c r="U529" s="3" t="n"/>
      <c r="V529" s="3" t="n"/>
      <c r="W529" s="3" t="n"/>
    </row>
    <row r="530">
      <c r="A530" s="6" t="n"/>
      <c r="B530" s="113">
        <f>IF($C530="","","GG"&amp;TEXT(ROW()-6,"00000"))</f>
        <v/>
      </c>
      <c r="C530" s="225" t="n"/>
      <c r="D530" s="108" t="n"/>
      <c r="E530" s="109" t="n"/>
      <c r="F530" s="109" t="n"/>
      <c r="G530" s="226" t="n"/>
      <c r="H530" s="108" t="n"/>
      <c r="I530" s="108" t="n"/>
      <c r="J530" s="109" t="n"/>
      <c r="K530" s="109" t="n"/>
      <c r="L530" s="121">
        <f>IF($C530="","",IF($D530="Gider",$E530,$H530))</f>
        <v/>
      </c>
      <c r="M530" s="121">
        <f>IF($C530="","",IF($D530="Gider",$H530,$E530))</f>
        <v/>
      </c>
      <c r="N530" s="231">
        <f>IF($C530="","",DATE(YEAR($C530),MONTH($C530),1))</f>
        <v/>
      </c>
      <c r="O530" s="113">
        <f>IF($C530="","",IF(AND($D530&lt;&gt;"",$E530&lt;&gt;"",$G530&gt;0,$H530&lt;&gt;"",$I530&lt;&gt;""),IF($C530&gt;TODAY(),"İLERİ TARİH","UYGUN"),"EKSİK"))</f>
        <v/>
      </c>
      <c r="P530" s="6" t="n"/>
      <c r="Q530" s="6" t="n"/>
      <c r="R530" s="3" t="n"/>
      <c r="S530" s="3" t="n"/>
      <c r="T530" s="3" t="n"/>
      <c r="U530" s="3" t="n"/>
      <c r="V530" s="3" t="n"/>
      <c r="W530" s="3" t="n"/>
    </row>
    <row r="531">
      <c r="A531" s="6" t="n"/>
      <c r="B531" s="113">
        <f>IF($C531="","","GG"&amp;TEXT(ROW()-6,"00000"))</f>
        <v/>
      </c>
      <c r="C531" s="225" t="n"/>
      <c r="D531" s="108" t="n"/>
      <c r="E531" s="109" t="n"/>
      <c r="F531" s="109" t="n"/>
      <c r="G531" s="226" t="n"/>
      <c r="H531" s="108" t="n"/>
      <c r="I531" s="108" t="n"/>
      <c r="J531" s="109" t="n"/>
      <c r="K531" s="109" t="n"/>
      <c r="L531" s="121">
        <f>IF($C531="","",IF($D531="Gider",$E531,$H531))</f>
        <v/>
      </c>
      <c r="M531" s="121">
        <f>IF($C531="","",IF($D531="Gider",$H531,$E531))</f>
        <v/>
      </c>
      <c r="N531" s="231">
        <f>IF($C531="","",DATE(YEAR($C531),MONTH($C531),1))</f>
        <v/>
      </c>
      <c r="O531" s="113">
        <f>IF($C531="","",IF(AND($D531&lt;&gt;"",$E531&lt;&gt;"",$G531&gt;0,$H531&lt;&gt;"",$I531&lt;&gt;""),IF($C531&gt;TODAY(),"İLERİ TARİH","UYGUN"),"EKSİK"))</f>
        <v/>
      </c>
      <c r="P531" s="6" t="n"/>
      <c r="Q531" s="6" t="n"/>
      <c r="R531" s="3" t="n"/>
      <c r="S531" s="3" t="n"/>
      <c r="T531" s="3" t="n"/>
      <c r="U531" s="3" t="n"/>
      <c r="V531" s="3" t="n"/>
      <c r="W531" s="3" t="n"/>
    </row>
    <row r="532">
      <c r="A532" s="6" t="n"/>
      <c r="B532" s="113">
        <f>IF($C532="","","GG"&amp;TEXT(ROW()-6,"00000"))</f>
        <v/>
      </c>
      <c r="C532" s="225" t="n"/>
      <c r="D532" s="108" t="n"/>
      <c r="E532" s="109" t="n"/>
      <c r="F532" s="109" t="n"/>
      <c r="G532" s="226" t="n"/>
      <c r="H532" s="108" t="n"/>
      <c r="I532" s="108" t="n"/>
      <c r="J532" s="109" t="n"/>
      <c r="K532" s="109" t="n"/>
      <c r="L532" s="121">
        <f>IF($C532="","",IF($D532="Gider",$E532,$H532))</f>
        <v/>
      </c>
      <c r="M532" s="121">
        <f>IF($C532="","",IF($D532="Gider",$H532,$E532))</f>
        <v/>
      </c>
      <c r="N532" s="231">
        <f>IF($C532="","",DATE(YEAR($C532),MONTH($C532),1))</f>
        <v/>
      </c>
      <c r="O532" s="113">
        <f>IF($C532="","",IF(AND($D532&lt;&gt;"",$E532&lt;&gt;"",$G532&gt;0,$H532&lt;&gt;"",$I532&lt;&gt;""),IF($C532&gt;TODAY(),"İLERİ TARİH","UYGUN"),"EKSİK"))</f>
        <v/>
      </c>
      <c r="P532" s="6" t="n"/>
      <c r="Q532" s="6" t="n"/>
      <c r="R532" s="3" t="n"/>
      <c r="S532" s="3" t="n"/>
      <c r="T532" s="3" t="n"/>
      <c r="U532" s="3" t="n"/>
      <c r="V532" s="3" t="n"/>
      <c r="W532" s="3" t="n"/>
    </row>
    <row r="533">
      <c r="A533" s="6" t="n"/>
      <c r="B533" s="113">
        <f>IF($C533="","","GG"&amp;TEXT(ROW()-6,"00000"))</f>
        <v/>
      </c>
      <c r="C533" s="225" t="n"/>
      <c r="D533" s="108" t="n"/>
      <c r="E533" s="109" t="n"/>
      <c r="F533" s="109" t="n"/>
      <c r="G533" s="226" t="n"/>
      <c r="H533" s="108" t="n"/>
      <c r="I533" s="108" t="n"/>
      <c r="J533" s="109" t="n"/>
      <c r="K533" s="109" t="n"/>
      <c r="L533" s="121">
        <f>IF($C533="","",IF($D533="Gider",$E533,$H533))</f>
        <v/>
      </c>
      <c r="M533" s="121">
        <f>IF($C533="","",IF($D533="Gider",$H533,$E533))</f>
        <v/>
      </c>
      <c r="N533" s="231">
        <f>IF($C533="","",DATE(YEAR($C533),MONTH($C533),1))</f>
        <v/>
      </c>
      <c r="O533" s="113">
        <f>IF($C533="","",IF(AND($D533&lt;&gt;"",$E533&lt;&gt;"",$G533&gt;0,$H533&lt;&gt;"",$I533&lt;&gt;""),IF($C533&gt;TODAY(),"İLERİ TARİH","UYGUN"),"EKSİK"))</f>
        <v/>
      </c>
      <c r="P533" s="6" t="n"/>
      <c r="Q533" s="6" t="n"/>
      <c r="R533" s="3" t="n"/>
      <c r="S533" s="3" t="n"/>
      <c r="T533" s="3" t="n"/>
      <c r="U533" s="3" t="n"/>
      <c r="V533" s="3" t="n"/>
      <c r="W533" s="3" t="n"/>
    </row>
    <row r="534">
      <c r="A534" s="6" t="n"/>
      <c r="B534" s="113">
        <f>IF($C534="","","GG"&amp;TEXT(ROW()-6,"00000"))</f>
        <v/>
      </c>
      <c r="C534" s="225" t="n"/>
      <c r="D534" s="108" t="n"/>
      <c r="E534" s="109" t="n"/>
      <c r="F534" s="109" t="n"/>
      <c r="G534" s="226" t="n"/>
      <c r="H534" s="108" t="n"/>
      <c r="I534" s="108" t="n"/>
      <c r="J534" s="109" t="n"/>
      <c r="K534" s="109" t="n"/>
      <c r="L534" s="121">
        <f>IF($C534="","",IF($D534="Gider",$E534,$H534))</f>
        <v/>
      </c>
      <c r="M534" s="121">
        <f>IF($C534="","",IF($D534="Gider",$H534,$E534))</f>
        <v/>
      </c>
      <c r="N534" s="231">
        <f>IF($C534="","",DATE(YEAR($C534),MONTH($C534),1))</f>
        <v/>
      </c>
      <c r="O534" s="113">
        <f>IF($C534="","",IF(AND($D534&lt;&gt;"",$E534&lt;&gt;"",$G534&gt;0,$H534&lt;&gt;"",$I534&lt;&gt;""),IF($C534&gt;TODAY(),"İLERİ TARİH","UYGUN"),"EKSİK"))</f>
        <v/>
      </c>
      <c r="P534" s="6" t="n"/>
      <c r="Q534" s="6" t="n"/>
      <c r="R534" s="3" t="n"/>
      <c r="S534" s="3" t="n"/>
      <c r="T534" s="3" t="n"/>
      <c r="U534" s="3" t="n"/>
      <c r="V534" s="3" t="n"/>
      <c r="W534" s="3" t="n"/>
    </row>
    <row r="535">
      <c r="A535" s="6" t="n"/>
      <c r="B535" s="113">
        <f>IF($C535="","","GG"&amp;TEXT(ROW()-6,"00000"))</f>
        <v/>
      </c>
      <c r="C535" s="225" t="n"/>
      <c r="D535" s="108" t="n"/>
      <c r="E535" s="109" t="n"/>
      <c r="F535" s="109" t="n"/>
      <c r="G535" s="226" t="n"/>
      <c r="H535" s="108" t="n"/>
      <c r="I535" s="108" t="n"/>
      <c r="J535" s="109" t="n"/>
      <c r="K535" s="109" t="n"/>
      <c r="L535" s="121">
        <f>IF($C535="","",IF($D535="Gider",$E535,$H535))</f>
        <v/>
      </c>
      <c r="M535" s="121">
        <f>IF($C535="","",IF($D535="Gider",$H535,$E535))</f>
        <v/>
      </c>
      <c r="N535" s="231">
        <f>IF($C535="","",DATE(YEAR($C535),MONTH($C535),1))</f>
        <v/>
      </c>
      <c r="O535" s="113">
        <f>IF($C535="","",IF(AND($D535&lt;&gt;"",$E535&lt;&gt;"",$G535&gt;0,$H535&lt;&gt;"",$I535&lt;&gt;""),IF($C535&gt;TODAY(),"İLERİ TARİH","UYGUN"),"EKSİK"))</f>
        <v/>
      </c>
      <c r="P535" s="6" t="n"/>
      <c r="Q535" s="6" t="n"/>
      <c r="R535" s="3" t="n"/>
      <c r="S535" s="3" t="n"/>
      <c r="T535" s="3" t="n"/>
      <c r="U535" s="3" t="n"/>
      <c r="V535" s="3" t="n"/>
      <c r="W535" s="3" t="n"/>
    </row>
    <row r="536">
      <c r="A536" s="6" t="n"/>
      <c r="B536" s="113">
        <f>IF($C536="","","GG"&amp;TEXT(ROW()-6,"00000"))</f>
        <v/>
      </c>
      <c r="C536" s="225" t="n"/>
      <c r="D536" s="108" t="n"/>
      <c r="E536" s="109" t="n"/>
      <c r="F536" s="109" t="n"/>
      <c r="G536" s="226" t="n"/>
      <c r="H536" s="108" t="n"/>
      <c r="I536" s="108" t="n"/>
      <c r="J536" s="109" t="n"/>
      <c r="K536" s="109" t="n"/>
      <c r="L536" s="121">
        <f>IF($C536="","",IF($D536="Gider",$E536,$H536))</f>
        <v/>
      </c>
      <c r="M536" s="121">
        <f>IF($C536="","",IF($D536="Gider",$H536,$E536))</f>
        <v/>
      </c>
      <c r="N536" s="231">
        <f>IF($C536="","",DATE(YEAR($C536),MONTH($C536),1))</f>
        <v/>
      </c>
      <c r="O536" s="113">
        <f>IF($C536="","",IF(AND($D536&lt;&gt;"",$E536&lt;&gt;"",$G536&gt;0,$H536&lt;&gt;"",$I536&lt;&gt;""),IF($C536&gt;TODAY(),"İLERİ TARİH","UYGUN"),"EKSİK"))</f>
        <v/>
      </c>
      <c r="P536" s="6" t="n"/>
      <c r="Q536" s="6" t="n"/>
      <c r="R536" s="3" t="n"/>
      <c r="S536" s="3" t="n"/>
      <c r="T536" s="3" t="n"/>
      <c r="U536" s="3" t="n"/>
      <c r="V536" s="3" t="n"/>
      <c r="W536" s="3" t="n"/>
    </row>
    <row r="537">
      <c r="A537" s="6" t="n"/>
      <c r="B537" s="113">
        <f>IF($C537="","","GG"&amp;TEXT(ROW()-6,"00000"))</f>
        <v/>
      </c>
      <c r="C537" s="225" t="n"/>
      <c r="D537" s="108" t="n"/>
      <c r="E537" s="109" t="n"/>
      <c r="F537" s="109" t="n"/>
      <c r="G537" s="226" t="n"/>
      <c r="H537" s="108" t="n"/>
      <c r="I537" s="108" t="n"/>
      <c r="J537" s="109" t="n"/>
      <c r="K537" s="109" t="n"/>
      <c r="L537" s="121">
        <f>IF($C537="","",IF($D537="Gider",$E537,$H537))</f>
        <v/>
      </c>
      <c r="M537" s="121">
        <f>IF($C537="","",IF($D537="Gider",$H537,$E537))</f>
        <v/>
      </c>
      <c r="N537" s="231">
        <f>IF($C537="","",DATE(YEAR($C537),MONTH($C537),1))</f>
        <v/>
      </c>
      <c r="O537" s="113">
        <f>IF($C537="","",IF(AND($D537&lt;&gt;"",$E537&lt;&gt;"",$G537&gt;0,$H537&lt;&gt;"",$I537&lt;&gt;""),IF($C537&gt;TODAY(),"İLERİ TARİH","UYGUN"),"EKSİK"))</f>
        <v/>
      </c>
      <c r="P537" s="6" t="n"/>
      <c r="Q537" s="6" t="n"/>
      <c r="R537" s="3" t="n"/>
      <c r="S537" s="3" t="n"/>
      <c r="T537" s="3" t="n"/>
      <c r="U537" s="3" t="n"/>
      <c r="V537" s="3" t="n"/>
      <c r="W537" s="3" t="n"/>
    </row>
    <row r="538">
      <c r="A538" s="6" t="n"/>
      <c r="B538" s="113">
        <f>IF($C538="","","GG"&amp;TEXT(ROW()-6,"00000"))</f>
        <v/>
      </c>
      <c r="C538" s="225" t="n"/>
      <c r="D538" s="108" t="n"/>
      <c r="E538" s="109" t="n"/>
      <c r="F538" s="109" t="n"/>
      <c r="G538" s="226" t="n"/>
      <c r="H538" s="108" t="n"/>
      <c r="I538" s="108" t="n"/>
      <c r="J538" s="109" t="n"/>
      <c r="K538" s="109" t="n"/>
      <c r="L538" s="121">
        <f>IF($C538="","",IF($D538="Gider",$E538,$H538))</f>
        <v/>
      </c>
      <c r="M538" s="121">
        <f>IF($C538="","",IF($D538="Gider",$H538,$E538))</f>
        <v/>
      </c>
      <c r="N538" s="231">
        <f>IF($C538="","",DATE(YEAR($C538),MONTH($C538),1))</f>
        <v/>
      </c>
      <c r="O538" s="113">
        <f>IF($C538="","",IF(AND($D538&lt;&gt;"",$E538&lt;&gt;"",$G538&gt;0,$H538&lt;&gt;"",$I538&lt;&gt;""),IF($C538&gt;TODAY(),"İLERİ TARİH","UYGUN"),"EKSİK"))</f>
        <v/>
      </c>
      <c r="P538" s="6" t="n"/>
      <c r="Q538" s="6" t="n"/>
      <c r="R538" s="3" t="n"/>
      <c r="S538" s="3" t="n"/>
      <c r="T538" s="3" t="n"/>
      <c r="U538" s="3" t="n"/>
      <c r="V538" s="3" t="n"/>
      <c r="W538" s="3" t="n"/>
    </row>
    <row r="539">
      <c r="A539" s="6" t="n"/>
      <c r="B539" s="113">
        <f>IF($C539="","","GG"&amp;TEXT(ROW()-6,"00000"))</f>
        <v/>
      </c>
      <c r="C539" s="225" t="n"/>
      <c r="D539" s="108" t="n"/>
      <c r="E539" s="109" t="n"/>
      <c r="F539" s="109" t="n"/>
      <c r="G539" s="226" t="n"/>
      <c r="H539" s="108" t="n"/>
      <c r="I539" s="108" t="n"/>
      <c r="J539" s="109" t="n"/>
      <c r="K539" s="109" t="n"/>
      <c r="L539" s="121">
        <f>IF($C539="","",IF($D539="Gider",$E539,$H539))</f>
        <v/>
      </c>
      <c r="M539" s="121">
        <f>IF($C539="","",IF($D539="Gider",$H539,$E539))</f>
        <v/>
      </c>
      <c r="N539" s="231">
        <f>IF($C539="","",DATE(YEAR($C539),MONTH($C539),1))</f>
        <v/>
      </c>
      <c r="O539" s="113">
        <f>IF($C539="","",IF(AND($D539&lt;&gt;"",$E539&lt;&gt;"",$G539&gt;0,$H539&lt;&gt;"",$I539&lt;&gt;""),IF($C539&gt;TODAY(),"İLERİ TARİH","UYGUN"),"EKSİK"))</f>
        <v/>
      </c>
      <c r="P539" s="6" t="n"/>
      <c r="Q539" s="6" t="n"/>
      <c r="R539" s="3" t="n"/>
      <c r="S539" s="3" t="n"/>
      <c r="T539" s="3" t="n"/>
      <c r="U539" s="3" t="n"/>
      <c r="V539" s="3" t="n"/>
      <c r="W539" s="3" t="n"/>
    </row>
    <row r="540">
      <c r="A540" s="6" t="n"/>
      <c r="B540" s="113">
        <f>IF($C540="","","GG"&amp;TEXT(ROW()-6,"00000"))</f>
        <v/>
      </c>
      <c r="C540" s="225" t="n"/>
      <c r="D540" s="108" t="n"/>
      <c r="E540" s="109" t="n"/>
      <c r="F540" s="109" t="n"/>
      <c r="G540" s="226" t="n"/>
      <c r="H540" s="108" t="n"/>
      <c r="I540" s="108" t="n"/>
      <c r="J540" s="109" t="n"/>
      <c r="K540" s="109" t="n"/>
      <c r="L540" s="121">
        <f>IF($C540="","",IF($D540="Gider",$E540,$H540))</f>
        <v/>
      </c>
      <c r="M540" s="121">
        <f>IF($C540="","",IF($D540="Gider",$H540,$E540))</f>
        <v/>
      </c>
      <c r="N540" s="231">
        <f>IF($C540="","",DATE(YEAR($C540),MONTH($C540),1))</f>
        <v/>
      </c>
      <c r="O540" s="113">
        <f>IF($C540="","",IF(AND($D540&lt;&gt;"",$E540&lt;&gt;"",$G540&gt;0,$H540&lt;&gt;"",$I540&lt;&gt;""),IF($C540&gt;TODAY(),"İLERİ TARİH","UYGUN"),"EKSİK"))</f>
        <v/>
      </c>
      <c r="P540" s="6" t="n"/>
      <c r="Q540" s="6" t="n"/>
      <c r="R540" s="3" t="n"/>
      <c r="S540" s="3" t="n"/>
      <c r="T540" s="3" t="n"/>
      <c r="U540" s="3" t="n"/>
      <c r="V540" s="3" t="n"/>
      <c r="W540" s="3" t="n"/>
    </row>
    <row r="541">
      <c r="A541" s="6" t="n"/>
      <c r="B541" s="113">
        <f>IF($C541="","","GG"&amp;TEXT(ROW()-6,"00000"))</f>
        <v/>
      </c>
      <c r="C541" s="225" t="n"/>
      <c r="D541" s="108" t="n"/>
      <c r="E541" s="109" t="n"/>
      <c r="F541" s="109" t="n"/>
      <c r="G541" s="226" t="n"/>
      <c r="H541" s="108" t="n"/>
      <c r="I541" s="108" t="n"/>
      <c r="J541" s="109" t="n"/>
      <c r="K541" s="109" t="n"/>
      <c r="L541" s="121">
        <f>IF($C541="","",IF($D541="Gider",$E541,$H541))</f>
        <v/>
      </c>
      <c r="M541" s="121">
        <f>IF($C541="","",IF($D541="Gider",$H541,$E541))</f>
        <v/>
      </c>
      <c r="N541" s="231">
        <f>IF($C541="","",DATE(YEAR($C541),MONTH($C541),1))</f>
        <v/>
      </c>
      <c r="O541" s="113">
        <f>IF($C541="","",IF(AND($D541&lt;&gt;"",$E541&lt;&gt;"",$G541&gt;0,$H541&lt;&gt;"",$I541&lt;&gt;""),IF($C541&gt;TODAY(),"İLERİ TARİH","UYGUN"),"EKSİK"))</f>
        <v/>
      </c>
      <c r="P541" s="6" t="n"/>
      <c r="Q541" s="6" t="n"/>
      <c r="R541" s="3" t="n"/>
      <c r="S541" s="3" t="n"/>
      <c r="T541" s="3" t="n"/>
      <c r="U541" s="3" t="n"/>
      <c r="V541" s="3" t="n"/>
      <c r="W541" s="3" t="n"/>
    </row>
    <row r="542">
      <c r="A542" s="6" t="n"/>
      <c r="B542" s="113">
        <f>IF($C542="","","GG"&amp;TEXT(ROW()-6,"00000"))</f>
        <v/>
      </c>
      <c r="C542" s="225" t="n"/>
      <c r="D542" s="108" t="n"/>
      <c r="E542" s="109" t="n"/>
      <c r="F542" s="109" t="n"/>
      <c r="G542" s="226" t="n"/>
      <c r="H542" s="108" t="n"/>
      <c r="I542" s="108" t="n"/>
      <c r="J542" s="109" t="n"/>
      <c r="K542" s="109" t="n"/>
      <c r="L542" s="121">
        <f>IF($C542="","",IF($D542="Gider",$E542,$H542))</f>
        <v/>
      </c>
      <c r="M542" s="121">
        <f>IF($C542="","",IF($D542="Gider",$H542,$E542))</f>
        <v/>
      </c>
      <c r="N542" s="231">
        <f>IF($C542="","",DATE(YEAR($C542),MONTH($C542),1))</f>
        <v/>
      </c>
      <c r="O542" s="113">
        <f>IF($C542="","",IF(AND($D542&lt;&gt;"",$E542&lt;&gt;"",$G542&gt;0,$H542&lt;&gt;"",$I542&lt;&gt;""),IF($C542&gt;TODAY(),"İLERİ TARİH","UYGUN"),"EKSİK"))</f>
        <v/>
      </c>
      <c r="P542" s="6" t="n"/>
      <c r="Q542" s="6" t="n"/>
      <c r="R542" s="3" t="n"/>
      <c r="S542" s="3" t="n"/>
      <c r="T542" s="3" t="n"/>
      <c r="U542" s="3" t="n"/>
      <c r="V542" s="3" t="n"/>
      <c r="W542" s="3" t="n"/>
    </row>
    <row r="543">
      <c r="A543" s="6" t="n"/>
      <c r="B543" s="113">
        <f>IF($C543="","","GG"&amp;TEXT(ROW()-6,"00000"))</f>
        <v/>
      </c>
      <c r="C543" s="225" t="n"/>
      <c r="D543" s="108" t="n"/>
      <c r="E543" s="109" t="n"/>
      <c r="F543" s="109" t="n"/>
      <c r="G543" s="226" t="n"/>
      <c r="H543" s="108" t="n"/>
      <c r="I543" s="108" t="n"/>
      <c r="J543" s="109" t="n"/>
      <c r="K543" s="109" t="n"/>
      <c r="L543" s="121">
        <f>IF($C543="","",IF($D543="Gider",$E543,$H543))</f>
        <v/>
      </c>
      <c r="M543" s="121">
        <f>IF($C543="","",IF($D543="Gider",$H543,$E543))</f>
        <v/>
      </c>
      <c r="N543" s="231">
        <f>IF($C543="","",DATE(YEAR($C543),MONTH($C543),1))</f>
        <v/>
      </c>
      <c r="O543" s="113">
        <f>IF($C543="","",IF(AND($D543&lt;&gt;"",$E543&lt;&gt;"",$G543&gt;0,$H543&lt;&gt;"",$I543&lt;&gt;""),IF($C543&gt;TODAY(),"İLERİ TARİH","UYGUN"),"EKSİK"))</f>
        <v/>
      </c>
      <c r="P543" s="6" t="n"/>
      <c r="Q543" s="6" t="n"/>
      <c r="R543" s="3" t="n"/>
      <c r="S543" s="3" t="n"/>
      <c r="T543" s="3" t="n"/>
      <c r="U543" s="3" t="n"/>
      <c r="V543" s="3" t="n"/>
      <c r="W543" s="3" t="n"/>
    </row>
    <row r="544">
      <c r="A544" s="6" t="n"/>
      <c r="B544" s="113">
        <f>IF($C544="","","GG"&amp;TEXT(ROW()-6,"00000"))</f>
        <v/>
      </c>
      <c r="C544" s="225" t="n"/>
      <c r="D544" s="108" t="n"/>
      <c r="E544" s="109" t="n"/>
      <c r="F544" s="109" t="n"/>
      <c r="G544" s="226" t="n"/>
      <c r="H544" s="108" t="n"/>
      <c r="I544" s="108" t="n"/>
      <c r="J544" s="109" t="n"/>
      <c r="K544" s="109" t="n"/>
      <c r="L544" s="121">
        <f>IF($C544="","",IF($D544="Gider",$E544,$H544))</f>
        <v/>
      </c>
      <c r="M544" s="121">
        <f>IF($C544="","",IF($D544="Gider",$H544,$E544))</f>
        <v/>
      </c>
      <c r="N544" s="231">
        <f>IF($C544="","",DATE(YEAR($C544),MONTH($C544),1))</f>
        <v/>
      </c>
      <c r="O544" s="113">
        <f>IF($C544="","",IF(AND($D544&lt;&gt;"",$E544&lt;&gt;"",$G544&gt;0,$H544&lt;&gt;"",$I544&lt;&gt;""),IF($C544&gt;TODAY(),"İLERİ TARİH","UYGUN"),"EKSİK"))</f>
        <v/>
      </c>
      <c r="P544" s="6" t="n"/>
      <c r="Q544" s="6" t="n"/>
      <c r="R544" s="3" t="n"/>
      <c r="S544" s="3" t="n"/>
      <c r="T544" s="3" t="n"/>
      <c r="U544" s="3" t="n"/>
      <c r="V544" s="3" t="n"/>
      <c r="W544" s="3" t="n"/>
    </row>
    <row r="545">
      <c r="A545" s="6" t="n"/>
      <c r="B545" s="113">
        <f>IF($C545="","","GG"&amp;TEXT(ROW()-6,"00000"))</f>
        <v/>
      </c>
      <c r="C545" s="225" t="n"/>
      <c r="D545" s="108" t="n"/>
      <c r="E545" s="109" t="n"/>
      <c r="F545" s="109" t="n"/>
      <c r="G545" s="226" t="n"/>
      <c r="H545" s="108" t="n"/>
      <c r="I545" s="108" t="n"/>
      <c r="J545" s="109" t="n"/>
      <c r="K545" s="109" t="n"/>
      <c r="L545" s="121">
        <f>IF($C545="","",IF($D545="Gider",$E545,$H545))</f>
        <v/>
      </c>
      <c r="M545" s="121">
        <f>IF($C545="","",IF($D545="Gider",$H545,$E545))</f>
        <v/>
      </c>
      <c r="N545" s="231">
        <f>IF($C545="","",DATE(YEAR($C545),MONTH($C545),1))</f>
        <v/>
      </c>
      <c r="O545" s="113">
        <f>IF($C545="","",IF(AND($D545&lt;&gt;"",$E545&lt;&gt;"",$G545&gt;0,$H545&lt;&gt;"",$I545&lt;&gt;""),IF($C545&gt;TODAY(),"İLERİ TARİH","UYGUN"),"EKSİK"))</f>
        <v/>
      </c>
      <c r="P545" s="6" t="n"/>
      <c r="Q545" s="6" t="n"/>
      <c r="R545" s="3" t="n"/>
      <c r="S545" s="3" t="n"/>
      <c r="T545" s="3" t="n"/>
      <c r="U545" s="3" t="n"/>
      <c r="V545" s="3" t="n"/>
      <c r="W545" s="3" t="n"/>
    </row>
    <row r="546">
      <c r="A546" s="6" t="n"/>
      <c r="B546" s="113">
        <f>IF($C546="","","GG"&amp;TEXT(ROW()-6,"00000"))</f>
        <v/>
      </c>
      <c r="C546" s="225" t="n"/>
      <c r="D546" s="108" t="n"/>
      <c r="E546" s="109" t="n"/>
      <c r="F546" s="109" t="n"/>
      <c r="G546" s="226" t="n"/>
      <c r="H546" s="108" t="n"/>
      <c r="I546" s="108" t="n"/>
      <c r="J546" s="109" t="n"/>
      <c r="K546" s="109" t="n"/>
      <c r="L546" s="121">
        <f>IF($C546="","",IF($D546="Gider",$E546,$H546))</f>
        <v/>
      </c>
      <c r="M546" s="121">
        <f>IF($C546="","",IF($D546="Gider",$H546,$E546))</f>
        <v/>
      </c>
      <c r="N546" s="231">
        <f>IF($C546="","",DATE(YEAR($C546),MONTH($C546),1))</f>
        <v/>
      </c>
      <c r="O546" s="113">
        <f>IF($C546="","",IF(AND($D546&lt;&gt;"",$E546&lt;&gt;"",$G546&gt;0,$H546&lt;&gt;"",$I546&lt;&gt;""),IF($C546&gt;TODAY(),"İLERİ TARİH","UYGUN"),"EKSİK"))</f>
        <v/>
      </c>
      <c r="P546" s="6" t="n"/>
      <c r="Q546" s="6" t="n"/>
      <c r="R546" s="3" t="n"/>
      <c r="S546" s="3" t="n"/>
      <c r="T546" s="3" t="n"/>
      <c r="U546" s="3" t="n"/>
      <c r="V546" s="3" t="n"/>
      <c r="W546" s="3" t="n"/>
    </row>
    <row r="547">
      <c r="A547" s="6" t="n"/>
      <c r="B547" s="113">
        <f>IF($C547="","","GG"&amp;TEXT(ROW()-6,"00000"))</f>
        <v/>
      </c>
      <c r="C547" s="225" t="n"/>
      <c r="D547" s="108" t="n"/>
      <c r="E547" s="109" t="n"/>
      <c r="F547" s="109" t="n"/>
      <c r="G547" s="226" t="n"/>
      <c r="H547" s="108" t="n"/>
      <c r="I547" s="108" t="n"/>
      <c r="J547" s="109" t="n"/>
      <c r="K547" s="109" t="n"/>
      <c r="L547" s="121">
        <f>IF($C547="","",IF($D547="Gider",$E547,$H547))</f>
        <v/>
      </c>
      <c r="M547" s="121">
        <f>IF($C547="","",IF($D547="Gider",$H547,$E547))</f>
        <v/>
      </c>
      <c r="N547" s="231">
        <f>IF($C547="","",DATE(YEAR($C547),MONTH($C547),1))</f>
        <v/>
      </c>
      <c r="O547" s="113">
        <f>IF($C547="","",IF(AND($D547&lt;&gt;"",$E547&lt;&gt;"",$G547&gt;0,$H547&lt;&gt;"",$I547&lt;&gt;""),IF($C547&gt;TODAY(),"İLERİ TARİH","UYGUN"),"EKSİK"))</f>
        <v/>
      </c>
      <c r="P547" s="6" t="n"/>
      <c r="Q547" s="6" t="n"/>
      <c r="R547" s="3" t="n"/>
      <c r="S547" s="3" t="n"/>
      <c r="T547" s="3" t="n"/>
      <c r="U547" s="3" t="n"/>
      <c r="V547" s="3" t="n"/>
      <c r="W547" s="3" t="n"/>
    </row>
    <row r="548">
      <c r="A548" s="6" t="n"/>
      <c r="B548" s="113">
        <f>IF($C548="","","GG"&amp;TEXT(ROW()-6,"00000"))</f>
        <v/>
      </c>
      <c r="C548" s="225" t="n"/>
      <c r="D548" s="108" t="n"/>
      <c r="E548" s="109" t="n"/>
      <c r="F548" s="109" t="n"/>
      <c r="G548" s="226" t="n"/>
      <c r="H548" s="108" t="n"/>
      <c r="I548" s="108" t="n"/>
      <c r="J548" s="109" t="n"/>
      <c r="K548" s="109" t="n"/>
      <c r="L548" s="121">
        <f>IF($C548="","",IF($D548="Gider",$E548,$H548))</f>
        <v/>
      </c>
      <c r="M548" s="121">
        <f>IF($C548="","",IF($D548="Gider",$H548,$E548))</f>
        <v/>
      </c>
      <c r="N548" s="231">
        <f>IF($C548="","",DATE(YEAR($C548),MONTH($C548),1))</f>
        <v/>
      </c>
      <c r="O548" s="113">
        <f>IF($C548="","",IF(AND($D548&lt;&gt;"",$E548&lt;&gt;"",$G548&gt;0,$H548&lt;&gt;"",$I548&lt;&gt;""),IF($C548&gt;TODAY(),"İLERİ TARİH","UYGUN"),"EKSİK"))</f>
        <v/>
      </c>
      <c r="P548" s="6" t="n"/>
      <c r="Q548" s="6" t="n"/>
      <c r="R548" s="3" t="n"/>
      <c r="S548" s="3" t="n"/>
      <c r="T548" s="3" t="n"/>
      <c r="U548" s="3" t="n"/>
      <c r="V548" s="3" t="n"/>
      <c r="W548" s="3" t="n"/>
    </row>
    <row r="549">
      <c r="A549" s="6" t="n"/>
      <c r="B549" s="113">
        <f>IF($C549="","","GG"&amp;TEXT(ROW()-6,"00000"))</f>
        <v/>
      </c>
      <c r="C549" s="225" t="n"/>
      <c r="D549" s="108" t="n"/>
      <c r="E549" s="109" t="n"/>
      <c r="F549" s="109" t="n"/>
      <c r="G549" s="226" t="n"/>
      <c r="H549" s="108" t="n"/>
      <c r="I549" s="108" t="n"/>
      <c r="J549" s="109" t="n"/>
      <c r="K549" s="109" t="n"/>
      <c r="L549" s="121">
        <f>IF($C549="","",IF($D549="Gider",$E549,$H549))</f>
        <v/>
      </c>
      <c r="M549" s="121">
        <f>IF($C549="","",IF($D549="Gider",$H549,$E549))</f>
        <v/>
      </c>
      <c r="N549" s="231">
        <f>IF($C549="","",DATE(YEAR($C549),MONTH($C549),1))</f>
        <v/>
      </c>
      <c r="O549" s="113">
        <f>IF($C549="","",IF(AND($D549&lt;&gt;"",$E549&lt;&gt;"",$G549&gt;0,$H549&lt;&gt;"",$I549&lt;&gt;""),IF($C549&gt;TODAY(),"İLERİ TARİH","UYGUN"),"EKSİK"))</f>
        <v/>
      </c>
      <c r="P549" s="6" t="n"/>
      <c r="Q549" s="6" t="n"/>
      <c r="R549" s="3" t="n"/>
      <c r="S549" s="3" t="n"/>
      <c r="T549" s="3" t="n"/>
      <c r="U549" s="3" t="n"/>
      <c r="V549" s="3" t="n"/>
      <c r="W549" s="3" t="n"/>
    </row>
    <row r="550">
      <c r="A550" s="6" t="n"/>
      <c r="B550" s="113">
        <f>IF($C550="","","GG"&amp;TEXT(ROW()-6,"00000"))</f>
        <v/>
      </c>
      <c r="C550" s="225" t="n"/>
      <c r="D550" s="108" t="n"/>
      <c r="E550" s="109" t="n"/>
      <c r="F550" s="109" t="n"/>
      <c r="G550" s="226" t="n"/>
      <c r="H550" s="108" t="n"/>
      <c r="I550" s="108" t="n"/>
      <c r="J550" s="109" t="n"/>
      <c r="K550" s="109" t="n"/>
      <c r="L550" s="121">
        <f>IF($C550="","",IF($D550="Gider",$E550,$H550))</f>
        <v/>
      </c>
      <c r="M550" s="121">
        <f>IF($C550="","",IF($D550="Gider",$H550,$E550))</f>
        <v/>
      </c>
      <c r="N550" s="231">
        <f>IF($C550="","",DATE(YEAR($C550),MONTH($C550),1))</f>
        <v/>
      </c>
      <c r="O550" s="113">
        <f>IF($C550="","",IF(AND($D550&lt;&gt;"",$E550&lt;&gt;"",$G550&gt;0,$H550&lt;&gt;"",$I550&lt;&gt;""),IF($C550&gt;TODAY(),"İLERİ TARİH","UYGUN"),"EKSİK"))</f>
        <v/>
      </c>
      <c r="P550" s="6" t="n"/>
      <c r="Q550" s="6" t="n"/>
      <c r="R550" s="3" t="n"/>
      <c r="S550" s="3" t="n"/>
      <c r="T550" s="3" t="n"/>
      <c r="U550" s="3" t="n"/>
      <c r="V550" s="3" t="n"/>
      <c r="W550" s="3" t="n"/>
    </row>
    <row r="551">
      <c r="A551" s="6" t="n"/>
      <c r="B551" s="113">
        <f>IF($C551="","","GG"&amp;TEXT(ROW()-6,"00000"))</f>
        <v/>
      </c>
      <c r="C551" s="225" t="n"/>
      <c r="D551" s="108" t="n"/>
      <c r="E551" s="109" t="n"/>
      <c r="F551" s="109" t="n"/>
      <c r="G551" s="226" t="n"/>
      <c r="H551" s="108" t="n"/>
      <c r="I551" s="108" t="n"/>
      <c r="J551" s="109" t="n"/>
      <c r="K551" s="109" t="n"/>
      <c r="L551" s="121">
        <f>IF($C551="","",IF($D551="Gider",$E551,$H551))</f>
        <v/>
      </c>
      <c r="M551" s="121">
        <f>IF($C551="","",IF($D551="Gider",$H551,$E551))</f>
        <v/>
      </c>
      <c r="N551" s="231">
        <f>IF($C551="","",DATE(YEAR($C551),MONTH($C551),1))</f>
        <v/>
      </c>
      <c r="O551" s="113">
        <f>IF($C551="","",IF(AND($D551&lt;&gt;"",$E551&lt;&gt;"",$G551&gt;0,$H551&lt;&gt;"",$I551&lt;&gt;""),IF($C551&gt;TODAY(),"İLERİ TARİH","UYGUN"),"EKSİK"))</f>
        <v/>
      </c>
      <c r="P551" s="6" t="n"/>
      <c r="Q551" s="6" t="n"/>
      <c r="R551" s="3" t="n"/>
      <c r="S551" s="3" t="n"/>
      <c r="T551" s="3" t="n"/>
      <c r="U551" s="3" t="n"/>
      <c r="V551" s="3" t="n"/>
      <c r="W551" s="3" t="n"/>
    </row>
    <row r="552">
      <c r="A552" s="6" t="n"/>
      <c r="B552" s="113">
        <f>IF($C552="","","GG"&amp;TEXT(ROW()-6,"00000"))</f>
        <v/>
      </c>
      <c r="C552" s="225" t="n"/>
      <c r="D552" s="108" t="n"/>
      <c r="E552" s="109" t="n"/>
      <c r="F552" s="109" t="n"/>
      <c r="G552" s="226" t="n"/>
      <c r="H552" s="108" t="n"/>
      <c r="I552" s="108" t="n"/>
      <c r="J552" s="109" t="n"/>
      <c r="K552" s="109" t="n"/>
      <c r="L552" s="121">
        <f>IF($C552="","",IF($D552="Gider",$E552,$H552))</f>
        <v/>
      </c>
      <c r="M552" s="121">
        <f>IF($C552="","",IF($D552="Gider",$H552,$E552))</f>
        <v/>
      </c>
      <c r="N552" s="231">
        <f>IF($C552="","",DATE(YEAR($C552),MONTH($C552),1))</f>
        <v/>
      </c>
      <c r="O552" s="113">
        <f>IF($C552="","",IF(AND($D552&lt;&gt;"",$E552&lt;&gt;"",$G552&gt;0,$H552&lt;&gt;"",$I552&lt;&gt;""),IF($C552&gt;TODAY(),"İLERİ TARİH","UYGUN"),"EKSİK"))</f>
        <v/>
      </c>
      <c r="P552" s="6" t="n"/>
      <c r="Q552" s="6" t="n"/>
      <c r="R552" s="3" t="n"/>
      <c r="S552" s="3" t="n"/>
      <c r="T552" s="3" t="n"/>
      <c r="U552" s="3" t="n"/>
      <c r="V552" s="3" t="n"/>
      <c r="W552" s="3" t="n"/>
    </row>
    <row r="553">
      <c r="A553" s="6" t="n"/>
      <c r="B553" s="113">
        <f>IF($C553="","","GG"&amp;TEXT(ROW()-6,"00000"))</f>
        <v/>
      </c>
      <c r="C553" s="225" t="n"/>
      <c r="D553" s="108" t="n"/>
      <c r="E553" s="109" t="n"/>
      <c r="F553" s="109" t="n"/>
      <c r="G553" s="226" t="n"/>
      <c r="H553" s="108" t="n"/>
      <c r="I553" s="108" t="n"/>
      <c r="J553" s="109" t="n"/>
      <c r="K553" s="109" t="n"/>
      <c r="L553" s="121">
        <f>IF($C553="","",IF($D553="Gider",$E553,$H553))</f>
        <v/>
      </c>
      <c r="M553" s="121">
        <f>IF($C553="","",IF($D553="Gider",$H553,$E553))</f>
        <v/>
      </c>
      <c r="N553" s="231">
        <f>IF($C553="","",DATE(YEAR($C553),MONTH($C553),1))</f>
        <v/>
      </c>
      <c r="O553" s="113">
        <f>IF($C553="","",IF(AND($D553&lt;&gt;"",$E553&lt;&gt;"",$G553&gt;0,$H553&lt;&gt;"",$I553&lt;&gt;""),IF($C553&gt;TODAY(),"İLERİ TARİH","UYGUN"),"EKSİK"))</f>
        <v/>
      </c>
      <c r="P553" s="6" t="n"/>
      <c r="Q553" s="6" t="n"/>
      <c r="R553" s="3" t="n"/>
      <c r="S553" s="3" t="n"/>
      <c r="T553" s="3" t="n"/>
      <c r="U553" s="3" t="n"/>
      <c r="V553" s="3" t="n"/>
      <c r="W553" s="3" t="n"/>
    </row>
    <row r="554">
      <c r="A554" s="6" t="n"/>
      <c r="B554" s="113">
        <f>IF($C554="","","GG"&amp;TEXT(ROW()-6,"00000"))</f>
        <v/>
      </c>
      <c r="C554" s="225" t="n"/>
      <c r="D554" s="108" t="n"/>
      <c r="E554" s="109" t="n"/>
      <c r="F554" s="109" t="n"/>
      <c r="G554" s="226" t="n"/>
      <c r="H554" s="108" t="n"/>
      <c r="I554" s="108" t="n"/>
      <c r="J554" s="109" t="n"/>
      <c r="K554" s="109" t="n"/>
      <c r="L554" s="121">
        <f>IF($C554="","",IF($D554="Gider",$E554,$H554))</f>
        <v/>
      </c>
      <c r="M554" s="121">
        <f>IF($C554="","",IF($D554="Gider",$H554,$E554))</f>
        <v/>
      </c>
      <c r="N554" s="231">
        <f>IF($C554="","",DATE(YEAR($C554),MONTH($C554),1))</f>
        <v/>
      </c>
      <c r="O554" s="113">
        <f>IF($C554="","",IF(AND($D554&lt;&gt;"",$E554&lt;&gt;"",$G554&gt;0,$H554&lt;&gt;"",$I554&lt;&gt;""),IF($C554&gt;TODAY(),"İLERİ TARİH","UYGUN"),"EKSİK"))</f>
        <v/>
      </c>
      <c r="P554" s="6" t="n"/>
      <c r="Q554" s="6" t="n"/>
      <c r="R554" s="3" t="n"/>
      <c r="S554" s="3" t="n"/>
      <c r="T554" s="3" t="n"/>
      <c r="U554" s="3" t="n"/>
      <c r="V554" s="3" t="n"/>
      <c r="W554" s="3" t="n"/>
    </row>
    <row r="555">
      <c r="A555" s="6" t="n"/>
      <c r="B555" s="113">
        <f>IF($C555="","","GG"&amp;TEXT(ROW()-6,"00000"))</f>
        <v/>
      </c>
      <c r="C555" s="225" t="n"/>
      <c r="D555" s="108" t="n"/>
      <c r="E555" s="109" t="n"/>
      <c r="F555" s="109" t="n"/>
      <c r="G555" s="226" t="n"/>
      <c r="H555" s="108" t="n"/>
      <c r="I555" s="108" t="n"/>
      <c r="J555" s="109" t="n"/>
      <c r="K555" s="109" t="n"/>
      <c r="L555" s="121">
        <f>IF($C555="","",IF($D555="Gider",$E555,$H555))</f>
        <v/>
      </c>
      <c r="M555" s="121">
        <f>IF($C555="","",IF($D555="Gider",$H555,$E555))</f>
        <v/>
      </c>
      <c r="N555" s="231">
        <f>IF($C555="","",DATE(YEAR($C555),MONTH($C555),1))</f>
        <v/>
      </c>
      <c r="O555" s="113">
        <f>IF($C555="","",IF(AND($D555&lt;&gt;"",$E555&lt;&gt;"",$G555&gt;0,$H555&lt;&gt;"",$I555&lt;&gt;""),IF($C555&gt;TODAY(),"İLERİ TARİH","UYGUN"),"EKSİK"))</f>
        <v/>
      </c>
      <c r="P555" s="6" t="n"/>
      <c r="Q555" s="6" t="n"/>
      <c r="R555" s="3" t="n"/>
      <c r="S555" s="3" t="n"/>
      <c r="T555" s="3" t="n"/>
      <c r="U555" s="3" t="n"/>
      <c r="V555" s="3" t="n"/>
      <c r="W555" s="3" t="n"/>
    </row>
    <row r="556">
      <c r="A556" s="6" t="n"/>
      <c r="B556" s="113">
        <f>IF($C556="","","GG"&amp;TEXT(ROW()-6,"00000"))</f>
        <v/>
      </c>
      <c r="C556" s="225" t="n"/>
      <c r="D556" s="108" t="n"/>
      <c r="E556" s="109" t="n"/>
      <c r="F556" s="109" t="n"/>
      <c r="G556" s="226" t="n"/>
      <c r="H556" s="108" t="n"/>
      <c r="I556" s="108" t="n"/>
      <c r="J556" s="109" t="n"/>
      <c r="K556" s="109" t="n"/>
      <c r="L556" s="121">
        <f>IF($C556="","",IF($D556="Gider",$E556,$H556))</f>
        <v/>
      </c>
      <c r="M556" s="121">
        <f>IF($C556="","",IF($D556="Gider",$H556,$E556))</f>
        <v/>
      </c>
      <c r="N556" s="231">
        <f>IF($C556="","",DATE(YEAR($C556),MONTH($C556),1))</f>
        <v/>
      </c>
      <c r="O556" s="113">
        <f>IF($C556="","",IF(AND($D556&lt;&gt;"",$E556&lt;&gt;"",$G556&gt;0,$H556&lt;&gt;"",$I556&lt;&gt;""),IF($C556&gt;TODAY(),"İLERİ TARİH","UYGUN"),"EKSİK"))</f>
        <v/>
      </c>
      <c r="P556" s="6" t="n"/>
      <c r="Q556" s="6" t="n"/>
      <c r="R556" s="3" t="n"/>
      <c r="S556" s="3" t="n"/>
      <c r="T556" s="3" t="n"/>
      <c r="U556" s="3" t="n"/>
      <c r="V556" s="3" t="n"/>
      <c r="W556" s="3" t="n"/>
    </row>
    <row r="557">
      <c r="A557" s="6" t="n"/>
      <c r="B557" s="113">
        <f>IF($C557="","","GG"&amp;TEXT(ROW()-6,"00000"))</f>
        <v/>
      </c>
      <c r="C557" s="225" t="n"/>
      <c r="D557" s="108" t="n"/>
      <c r="E557" s="109" t="n"/>
      <c r="F557" s="109" t="n"/>
      <c r="G557" s="226" t="n"/>
      <c r="H557" s="108" t="n"/>
      <c r="I557" s="108" t="n"/>
      <c r="J557" s="109" t="n"/>
      <c r="K557" s="109" t="n"/>
      <c r="L557" s="121">
        <f>IF($C557="","",IF($D557="Gider",$E557,$H557))</f>
        <v/>
      </c>
      <c r="M557" s="121">
        <f>IF($C557="","",IF($D557="Gider",$H557,$E557))</f>
        <v/>
      </c>
      <c r="N557" s="231">
        <f>IF($C557="","",DATE(YEAR($C557),MONTH($C557),1))</f>
        <v/>
      </c>
      <c r="O557" s="113">
        <f>IF($C557="","",IF(AND($D557&lt;&gt;"",$E557&lt;&gt;"",$G557&gt;0,$H557&lt;&gt;"",$I557&lt;&gt;""),IF($C557&gt;TODAY(),"İLERİ TARİH","UYGUN"),"EKSİK"))</f>
        <v/>
      </c>
      <c r="P557" s="6" t="n"/>
      <c r="Q557" s="6" t="n"/>
      <c r="R557" s="3" t="n"/>
      <c r="S557" s="3" t="n"/>
      <c r="T557" s="3" t="n"/>
      <c r="U557" s="3" t="n"/>
      <c r="V557" s="3" t="n"/>
      <c r="W557" s="3" t="n"/>
    </row>
    <row r="558">
      <c r="A558" s="6" t="n"/>
      <c r="B558" s="113">
        <f>IF($C558="","","GG"&amp;TEXT(ROW()-6,"00000"))</f>
        <v/>
      </c>
      <c r="C558" s="225" t="n"/>
      <c r="D558" s="108" t="n"/>
      <c r="E558" s="109" t="n"/>
      <c r="F558" s="109" t="n"/>
      <c r="G558" s="226" t="n"/>
      <c r="H558" s="108" t="n"/>
      <c r="I558" s="108" t="n"/>
      <c r="J558" s="109" t="n"/>
      <c r="K558" s="109" t="n"/>
      <c r="L558" s="121">
        <f>IF($C558="","",IF($D558="Gider",$E558,$H558))</f>
        <v/>
      </c>
      <c r="M558" s="121">
        <f>IF($C558="","",IF($D558="Gider",$H558,$E558))</f>
        <v/>
      </c>
      <c r="N558" s="231">
        <f>IF($C558="","",DATE(YEAR($C558),MONTH($C558),1))</f>
        <v/>
      </c>
      <c r="O558" s="113">
        <f>IF($C558="","",IF(AND($D558&lt;&gt;"",$E558&lt;&gt;"",$G558&gt;0,$H558&lt;&gt;"",$I558&lt;&gt;""),IF($C558&gt;TODAY(),"İLERİ TARİH","UYGUN"),"EKSİK"))</f>
        <v/>
      </c>
      <c r="P558" s="6" t="n"/>
      <c r="Q558" s="6" t="n"/>
      <c r="R558" s="3" t="n"/>
      <c r="S558" s="3" t="n"/>
      <c r="T558" s="3" t="n"/>
      <c r="U558" s="3" t="n"/>
      <c r="V558" s="3" t="n"/>
      <c r="W558" s="3" t="n"/>
    </row>
    <row r="559">
      <c r="A559" s="6" t="n"/>
      <c r="B559" s="113">
        <f>IF($C559="","","GG"&amp;TEXT(ROW()-6,"00000"))</f>
        <v/>
      </c>
      <c r="C559" s="225" t="n"/>
      <c r="D559" s="108" t="n"/>
      <c r="E559" s="109" t="n"/>
      <c r="F559" s="109" t="n"/>
      <c r="G559" s="226" t="n"/>
      <c r="H559" s="108" t="n"/>
      <c r="I559" s="108" t="n"/>
      <c r="J559" s="109" t="n"/>
      <c r="K559" s="109" t="n"/>
      <c r="L559" s="121">
        <f>IF($C559="","",IF($D559="Gider",$E559,$H559))</f>
        <v/>
      </c>
      <c r="M559" s="121">
        <f>IF($C559="","",IF($D559="Gider",$H559,$E559))</f>
        <v/>
      </c>
      <c r="N559" s="231">
        <f>IF($C559="","",DATE(YEAR($C559),MONTH($C559),1))</f>
        <v/>
      </c>
      <c r="O559" s="113">
        <f>IF($C559="","",IF(AND($D559&lt;&gt;"",$E559&lt;&gt;"",$G559&gt;0,$H559&lt;&gt;"",$I559&lt;&gt;""),IF($C559&gt;TODAY(),"İLERİ TARİH","UYGUN"),"EKSİK"))</f>
        <v/>
      </c>
      <c r="P559" s="6" t="n"/>
      <c r="Q559" s="6" t="n"/>
      <c r="R559" s="3" t="n"/>
      <c r="S559" s="3" t="n"/>
      <c r="T559" s="3" t="n"/>
      <c r="U559" s="3" t="n"/>
      <c r="V559" s="3" t="n"/>
      <c r="W559" s="3" t="n"/>
    </row>
    <row r="560">
      <c r="A560" s="6" t="n"/>
      <c r="B560" s="113">
        <f>IF($C560="","","GG"&amp;TEXT(ROW()-6,"00000"))</f>
        <v/>
      </c>
      <c r="C560" s="225" t="n"/>
      <c r="D560" s="108" t="n"/>
      <c r="E560" s="109" t="n"/>
      <c r="F560" s="109" t="n"/>
      <c r="G560" s="226" t="n"/>
      <c r="H560" s="108" t="n"/>
      <c r="I560" s="108" t="n"/>
      <c r="J560" s="109" t="n"/>
      <c r="K560" s="109" t="n"/>
      <c r="L560" s="121">
        <f>IF($C560="","",IF($D560="Gider",$E560,$H560))</f>
        <v/>
      </c>
      <c r="M560" s="121">
        <f>IF($C560="","",IF($D560="Gider",$H560,$E560))</f>
        <v/>
      </c>
      <c r="N560" s="231">
        <f>IF($C560="","",DATE(YEAR($C560),MONTH($C560),1))</f>
        <v/>
      </c>
      <c r="O560" s="113">
        <f>IF($C560="","",IF(AND($D560&lt;&gt;"",$E560&lt;&gt;"",$G560&gt;0,$H560&lt;&gt;"",$I560&lt;&gt;""),IF($C560&gt;TODAY(),"İLERİ TARİH","UYGUN"),"EKSİK"))</f>
        <v/>
      </c>
      <c r="P560" s="6" t="n"/>
      <c r="Q560" s="6" t="n"/>
      <c r="R560" s="3" t="n"/>
      <c r="S560" s="3" t="n"/>
      <c r="T560" s="3" t="n"/>
      <c r="U560" s="3" t="n"/>
      <c r="V560" s="3" t="n"/>
      <c r="W560" s="3" t="n"/>
    </row>
    <row r="561">
      <c r="A561" s="6" t="n"/>
      <c r="B561" s="113">
        <f>IF($C561="","","GG"&amp;TEXT(ROW()-6,"00000"))</f>
        <v/>
      </c>
      <c r="C561" s="225" t="n"/>
      <c r="D561" s="108" t="n"/>
      <c r="E561" s="109" t="n"/>
      <c r="F561" s="109" t="n"/>
      <c r="G561" s="226" t="n"/>
      <c r="H561" s="108" t="n"/>
      <c r="I561" s="108" t="n"/>
      <c r="J561" s="109" t="n"/>
      <c r="K561" s="109" t="n"/>
      <c r="L561" s="121">
        <f>IF($C561="","",IF($D561="Gider",$E561,$H561))</f>
        <v/>
      </c>
      <c r="M561" s="121">
        <f>IF($C561="","",IF($D561="Gider",$H561,$E561))</f>
        <v/>
      </c>
      <c r="N561" s="231">
        <f>IF($C561="","",DATE(YEAR($C561),MONTH($C561),1))</f>
        <v/>
      </c>
      <c r="O561" s="113">
        <f>IF($C561="","",IF(AND($D561&lt;&gt;"",$E561&lt;&gt;"",$G561&gt;0,$H561&lt;&gt;"",$I561&lt;&gt;""),IF($C561&gt;TODAY(),"İLERİ TARİH","UYGUN"),"EKSİK"))</f>
        <v/>
      </c>
      <c r="P561" s="6" t="n"/>
      <c r="Q561" s="6" t="n"/>
      <c r="R561" s="3" t="n"/>
      <c r="S561" s="3" t="n"/>
      <c r="T561" s="3" t="n"/>
      <c r="U561" s="3" t="n"/>
      <c r="V561" s="3" t="n"/>
      <c r="W561" s="3" t="n"/>
    </row>
    <row r="562">
      <c r="A562" s="6" t="n"/>
      <c r="B562" s="113">
        <f>IF($C562="","","GG"&amp;TEXT(ROW()-6,"00000"))</f>
        <v/>
      </c>
      <c r="C562" s="225" t="n"/>
      <c r="D562" s="108" t="n"/>
      <c r="E562" s="109" t="n"/>
      <c r="F562" s="109" t="n"/>
      <c r="G562" s="226" t="n"/>
      <c r="H562" s="108" t="n"/>
      <c r="I562" s="108" t="n"/>
      <c r="J562" s="109" t="n"/>
      <c r="K562" s="109" t="n"/>
      <c r="L562" s="121">
        <f>IF($C562="","",IF($D562="Gider",$E562,$H562))</f>
        <v/>
      </c>
      <c r="M562" s="121">
        <f>IF($C562="","",IF($D562="Gider",$H562,$E562))</f>
        <v/>
      </c>
      <c r="N562" s="231">
        <f>IF($C562="","",DATE(YEAR($C562),MONTH($C562),1))</f>
        <v/>
      </c>
      <c r="O562" s="113">
        <f>IF($C562="","",IF(AND($D562&lt;&gt;"",$E562&lt;&gt;"",$G562&gt;0,$H562&lt;&gt;"",$I562&lt;&gt;""),IF($C562&gt;TODAY(),"İLERİ TARİH","UYGUN"),"EKSİK"))</f>
        <v/>
      </c>
      <c r="P562" s="6" t="n"/>
      <c r="Q562" s="6" t="n"/>
      <c r="R562" s="3" t="n"/>
      <c r="S562" s="3" t="n"/>
      <c r="T562" s="3" t="n"/>
      <c r="U562" s="3" t="n"/>
      <c r="V562" s="3" t="n"/>
      <c r="W562" s="3" t="n"/>
    </row>
    <row r="563">
      <c r="A563" s="6" t="n"/>
      <c r="B563" s="113">
        <f>IF($C563="","","GG"&amp;TEXT(ROW()-6,"00000"))</f>
        <v/>
      </c>
      <c r="C563" s="225" t="n"/>
      <c r="D563" s="108" t="n"/>
      <c r="E563" s="109" t="n"/>
      <c r="F563" s="109" t="n"/>
      <c r="G563" s="226" t="n"/>
      <c r="H563" s="108" t="n"/>
      <c r="I563" s="108" t="n"/>
      <c r="J563" s="109" t="n"/>
      <c r="K563" s="109" t="n"/>
      <c r="L563" s="121">
        <f>IF($C563="","",IF($D563="Gider",$E563,$H563))</f>
        <v/>
      </c>
      <c r="M563" s="121">
        <f>IF($C563="","",IF($D563="Gider",$H563,$E563))</f>
        <v/>
      </c>
      <c r="N563" s="231">
        <f>IF($C563="","",DATE(YEAR($C563),MONTH($C563),1))</f>
        <v/>
      </c>
      <c r="O563" s="113">
        <f>IF($C563="","",IF(AND($D563&lt;&gt;"",$E563&lt;&gt;"",$G563&gt;0,$H563&lt;&gt;"",$I563&lt;&gt;""),IF($C563&gt;TODAY(),"İLERİ TARİH","UYGUN"),"EKSİK"))</f>
        <v/>
      </c>
      <c r="P563" s="6" t="n"/>
      <c r="Q563" s="6" t="n"/>
      <c r="R563" s="3" t="n"/>
      <c r="S563" s="3" t="n"/>
      <c r="T563" s="3" t="n"/>
      <c r="U563" s="3" t="n"/>
      <c r="V563" s="3" t="n"/>
      <c r="W563" s="3" t="n"/>
    </row>
    <row r="564">
      <c r="A564" s="6" t="n"/>
      <c r="B564" s="113">
        <f>IF($C564="","","GG"&amp;TEXT(ROW()-6,"00000"))</f>
        <v/>
      </c>
      <c r="C564" s="225" t="n"/>
      <c r="D564" s="108" t="n"/>
      <c r="E564" s="109" t="n"/>
      <c r="F564" s="109" t="n"/>
      <c r="G564" s="226" t="n"/>
      <c r="H564" s="108" t="n"/>
      <c r="I564" s="108" t="n"/>
      <c r="J564" s="109" t="n"/>
      <c r="K564" s="109" t="n"/>
      <c r="L564" s="121">
        <f>IF($C564="","",IF($D564="Gider",$E564,$H564))</f>
        <v/>
      </c>
      <c r="M564" s="121">
        <f>IF($C564="","",IF($D564="Gider",$H564,$E564))</f>
        <v/>
      </c>
      <c r="N564" s="231">
        <f>IF($C564="","",DATE(YEAR($C564),MONTH($C564),1))</f>
        <v/>
      </c>
      <c r="O564" s="113">
        <f>IF($C564="","",IF(AND($D564&lt;&gt;"",$E564&lt;&gt;"",$G564&gt;0,$H564&lt;&gt;"",$I564&lt;&gt;""),IF($C564&gt;TODAY(),"İLERİ TARİH","UYGUN"),"EKSİK"))</f>
        <v/>
      </c>
      <c r="P564" s="6" t="n"/>
      <c r="Q564" s="6" t="n"/>
      <c r="R564" s="3" t="n"/>
      <c r="S564" s="3" t="n"/>
      <c r="T564" s="3" t="n"/>
      <c r="U564" s="3" t="n"/>
      <c r="V564" s="3" t="n"/>
      <c r="W564" s="3" t="n"/>
    </row>
    <row r="565">
      <c r="A565" s="6" t="n"/>
      <c r="B565" s="113">
        <f>IF($C565="","","GG"&amp;TEXT(ROW()-6,"00000"))</f>
        <v/>
      </c>
      <c r="C565" s="225" t="n"/>
      <c r="D565" s="108" t="n"/>
      <c r="E565" s="109" t="n"/>
      <c r="F565" s="109" t="n"/>
      <c r="G565" s="226" t="n"/>
      <c r="H565" s="108" t="n"/>
      <c r="I565" s="108" t="n"/>
      <c r="J565" s="109" t="n"/>
      <c r="K565" s="109" t="n"/>
      <c r="L565" s="121">
        <f>IF($C565="","",IF($D565="Gider",$E565,$H565))</f>
        <v/>
      </c>
      <c r="M565" s="121">
        <f>IF($C565="","",IF($D565="Gider",$H565,$E565))</f>
        <v/>
      </c>
      <c r="N565" s="231">
        <f>IF($C565="","",DATE(YEAR($C565),MONTH($C565),1))</f>
        <v/>
      </c>
      <c r="O565" s="113">
        <f>IF($C565="","",IF(AND($D565&lt;&gt;"",$E565&lt;&gt;"",$G565&gt;0,$H565&lt;&gt;"",$I565&lt;&gt;""),IF($C565&gt;TODAY(),"İLERİ TARİH","UYGUN"),"EKSİK"))</f>
        <v/>
      </c>
      <c r="P565" s="6" t="n"/>
      <c r="Q565" s="6" t="n"/>
      <c r="R565" s="3" t="n"/>
      <c r="S565" s="3" t="n"/>
      <c r="T565" s="3" t="n"/>
      <c r="U565" s="3" t="n"/>
      <c r="V565" s="3" t="n"/>
      <c r="W565" s="3" t="n"/>
    </row>
    <row r="566">
      <c r="A566" s="6" t="n"/>
      <c r="B566" s="113">
        <f>IF($C566="","","GG"&amp;TEXT(ROW()-6,"00000"))</f>
        <v/>
      </c>
      <c r="C566" s="225" t="n"/>
      <c r="D566" s="108" t="n"/>
      <c r="E566" s="109" t="n"/>
      <c r="F566" s="109" t="n"/>
      <c r="G566" s="226" t="n"/>
      <c r="H566" s="108" t="n"/>
      <c r="I566" s="108" t="n"/>
      <c r="J566" s="109" t="n"/>
      <c r="K566" s="109" t="n"/>
      <c r="L566" s="121">
        <f>IF($C566="","",IF($D566="Gider",$E566,$H566))</f>
        <v/>
      </c>
      <c r="M566" s="121">
        <f>IF($C566="","",IF($D566="Gider",$H566,$E566))</f>
        <v/>
      </c>
      <c r="N566" s="231">
        <f>IF($C566="","",DATE(YEAR($C566),MONTH($C566),1))</f>
        <v/>
      </c>
      <c r="O566" s="113">
        <f>IF($C566="","",IF(AND($D566&lt;&gt;"",$E566&lt;&gt;"",$G566&gt;0,$H566&lt;&gt;"",$I566&lt;&gt;""),IF($C566&gt;TODAY(),"İLERİ TARİH","UYGUN"),"EKSİK"))</f>
        <v/>
      </c>
      <c r="P566" s="6" t="n"/>
      <c r="Q566" s="6" t="n"/>
      <c r="R566" s="3" t="n"/>
      <c r="S566" s="3" t="n"/>
      <c r="T566" s="3" t="n"/>
      <c r="U566" s="3" t="n"/>
      <c r="V566" s="3" t="n"/>
      <c r="W566" s="3" t="n"/>
    </row>
    <row r="567">
      <c r="A567" s="6" t="n"/>
      <c r="B567" s="113">
        <f>IF($C567="","","GG"&amp;TEXT(ROW()-6,"00000"))</f>
        <v/>
      </c>
      <c r="C567" s="225" t="n"/>
      <c r="D567" s="108" t="n"/>
      <c r="E567" s="109" t="n"/>
      <c r="F567" s="109" t="n"/>
      <c r="G567" s="226" t="n"/>
      <c r="H567" s="108" t="n"/>
      <c r="I567" s="108" t="n"/>
      <c r="J567" s="109" t="n"/>
      <c r="K567" s="109" t="n"/>
      <c r="L567" s="121">
        <f>IF($C567="","",IF($D567="Gider",$E567,$H567))</f>
        <v/>
      </c>
      <c r="M567" s="121">
        <f>IF($C567="","",IF($D567="Gider",$H567,$E567))</f>
        <v/>
      </c>
      <c r="N567" s="231">
        <f>IF($C567="","",DATE(YEAR($C567),MONTH($C567),1))</f>
        <v/>
      </c>
      <c r="O567" s="113">
        <f>IF($C567="","",IF(AND($D567&lt;&gt;"",$E567&lt;&gt;"",$G567&gt;0,$H567&lt;&gt;"",$I567&lt;&gt;""),IF($C567&gt;TODAY(),"İLERİ TARİH","UYGUN"),"EKSİK"))</f>
        <v/>
      </c>
      <c r="P567" s="6" t="n"/>
      <c r="Q567" s="6" t="n"/>
      <c r="R567" s="3" t="n"/>
      <c r="S567" s="3" t="n"/>
      <c r="T567" s="3" t="n"/>
      <c r="U567" s="3" t="n"/>
      <c r="V567" s="3" t="n"/>
      <c r="W567" s="3" t="n"/>
    </row>
    <row r="568">
      <c r="A568" s="6" t="n"/>
      <c r="B568" s="113">
        <f>IF($C568="","","GG"&amp;TEXT(ROW()-6,"00000"))</f>
        <v/>
      </c>
      <c r="C568" s="225" t="n"/>
      <c r="D568" s="108" t="n"/>
      <c r="E568" s="109" t="n"/>
      <c r="F568" s="109" t="n"/>
      <c r="G568" s="226" t="n"/>
      <c r="H568" s="108" t="n"/>
      <c r="I568" s="108" t="n"/>
      <c r="J568" s="109" t="n"/>
      <c r="K568" s="109" t="n"/>
      <c r="L568" s="121">
        <f>IF($C568="","",IF($D568="Gider",$E568,$H568))</f>
        <v/>
      </c>
      <c r="M568" s="121">
        <f>IF($C568="","",IF($D568="Gider",$H568,$E568))</f>
        <v/>
      </c>
      <c r="N568" s="231">
        <f>IF($C568="","",DATE(YEAR($C568),MONTH($C568),1))</f>
        <v/>
      </c>
      <c r="O568" s="113">
        <f>IF($C568="","",IF(AND($D568&lt;&gt;"",$E568&lt;&gt;"",$G568&gt;0,$H568&lt;&gt;"",$I568&lt;&gt;""),IF($C568&gt;TODAY(),"İLERİ TARİH","UYGUN"),"EKSİK"))</f>
        <v/>
      </c>
      <c r="P568" s="6" t="n"/>
      <c r="Q568" s="6" t="n"/>
      <c r="R568" s="3" t="n"/>
      <c r="S568" s="3" t="n"/>
      <c r="T568" s="3" t="n"/>
      <c r="U568" s="3" t="n"/>
      <c r="V568" s="3" t="n"/>
      <c r="W568" s="3" t="n"/>
    </row>
    <row r="569">
      <c r="A569" s="6" t="n"/>
      <c r="B569" s="113">
        <f>IF($C569="","","GG"&amp;TEXT(ROW()-6,"00000"))</f>
        <v/>
      </c>
      <c r="C569" s="225" t="n"/>
      <c r="D569" s="108" t="n"/>
      <c r="E569" s="109" t="n"/>
      <c r="F569" s="109" t="n"/>
      <c r="G569" s="226" t="n"/>
      <c r="H569" s="108" t="n"/>
      <c r="I569" s="108" t="n"/>
      <c r="J569" s="109" t="n"/>
      <c r="K569" s="109" t="n"/>
      <c r="L569" s="121">
        <f>IF($C569="","",IF($D569="Gider",$E569,$H569))</f>
        <v/>
      </c>
      <c r="M569" s="121">
        <f>IF($C569="","",IF($D569="Gider",$H569,$E569))</f>
        <v/>
      </c>
      <c r="N569" s="231">
        <f>IF($C569="","",DATE(YEAR($C569),MONTH($C569),1))</f>
        <v/>
      </c>
      <c r="O569" s="113">
        <f>IF($C569="","",IF(AND($D569&lt;&gt;"",$E569&lt;&gt;"",$G569&gt;0,$H569&lt;&gt;"",$I569&lt;&gt;""),IF($C569&gt;TODAY(),"İLERİ TARİH","UYGUN"),"EKSİK"))</f>
        <v/>
      </c>
      <c r="P569" s="6" t="n"/>
      <c r="Q569" s="6" t="n"/>
      <c r="R569" s="3" t="n"/>
      <c r="S569" s="3" t="n"/>
      <c r="T569" s="3" t="n"/>
      <c r="U569" s="3" t="n"/>
      <c r="V569" s="3" t="n"/>
      <c r="W569" s="3" t="n"/>
    </row>
    <row r="570">
      <c r="A570" s="6" t="n"/>
      <c r="B570" s="113">
        <f>IF($C570="","","GG"&amp;TEXT(ROW()-6,"00000"))</f>
        <v/>
      </c>
      <c r="C570" s="225" t="n"/>
      <c r="D570" s="108" t="n"/>
      <c r="E570" s="109" t="n"/>
      <c r="F570" s="109" t="n"/>
      <c r="G570" s="226" t="n"/>
      <c r="H570" s="108" t="n"/>
      <c r="I570" s="108" t="n"/>
      <c r="J570" s="109" t="n"/>
      <c r="K570" s="109" t="n"/>
      <c r="L570" s="121">
        <f>IF($C570="","",IF($D570="Gider",$E570,$H570))</f>
        <v/>
      </c>
      <c r="M570" s="121">
        <f>IF($C570="","",IF($D570="Gider",$H570,$E570))</f>
        <v/>
      </c>
      <c r="N570" s="231">
        <f>IF($C570="","",DATE(YEAR($C570),MONTH($C570),1))</f>
        <v/>
      </c>
      <c r="O570" s="113">
        <f>IF($C570="","",IF(AND($D570&lt;&gt;"",$E570&lt;&gt;"",$G570&gt;0,$H570&lt;&gt;"",$I570&lt;&gt;""),IF($C570&gt;TODAY(),"İLERİ TARİH","UYGUN"),"EKSİK"))</f>
        <v/>
      </c>
      <c r="P570" s="6" t="n"/>
      <c r="Q570" s="6" t="n"/>
      <c r="R570" s="3" t="n"/>
      <c r="S570" s="3" t="n"/>
      <c r="T570" s="3" t="n"/>
      <c r="U570" s="3" t="n"/>
      <c r="V570" s="3" t="n"/>
      <c r="W570" s="3" t="n"/>
    </row>
    <row r="571">
      <c r="A571" s="6" t="n"/>
      <c r="B571" s="113">
        <f>IF($C571="","","GG"&amp;TEXT(ROW()-6,"00000"))</f>
        <v/>
      </c>
      <c r="C571" s="225" t="n"/>
      <c r="D571" s="108" t="n"/>
      <c r="E571" s="109" t="n"/>
      <c r="F571" s="109" t="n"/>
      <c r="G571" s="226" t="n"/>
      <c r="H571" s="108" t="n"/>
      <c r="I571" s="108" t="n"/>
      <c r="J571" s="109" t="n"/>
      <c r="K571" s="109" t="n"/>
      <c r="L571" s="121">
        <f>IF($C571="","",IF($D571="Gider",$E571,$H571))</f>
        <v/>
      </c>
      <c r="M571" s="121">
        <f>IF($C571="","",IF($D571="Gider",$H571,$E571))</f>
        <v/>
      </c>
      <c r="N571" s="231">
        <f>IF($C571="","",DATE(YEAR($C571),MONTH($C571),1))</f>
        <v/>
      </c>
      <c r="O571" s="113">
        <f>IF($C571="","",IF(AND($D571&lt;&gt;"",$E571&lt;&gt;"",$G571&gt;0,$H571&lt;&gt;"",$I571&lt;&gt;""),IF($C571&gt;TODAY(),"İLERİ TARİH","UYGUN"),"EKSİK"))</f>
        <v/>
      </c>
      <c r="P571" s="6" t="n"/>
      <c r="Q571" s="6" t="n"/>
      <c r="R571" s="3" t="n"/>
      <c r="S571" s="3" t="n"/>
      <c r="T571" s="3" t="n"/>
      <c r="U571" s="3" t="n"/>
      <c r="V571" s="3" t="n"/>
      <c r="W571" s="3" t="n"/>
    </row>
    <row r="572">
      <c r="A572" s="6" t="n"/>
      <c r="B572" s="113">
        <f>IF($C572="","","GG"&amp;TEXT(ROW()-6,"00000"))</f>
        <v/>
      </c>
      <c r="C572" s="225" t="n"/>
      <c r="D572" s="108" t="n"/>
      <c r="E572" s="109" t="n"/>
      <c r="F572" s="109" t="n"/>
      <c r="G572" s="226" t="n"/>
      <c r="H572" s="108" t="n"/>
      <c r="I572" s="108" t="n"/>
      <c r="J572" s="109" t="n"/>
      <c r="K572" s="109" t="n"/>
      <c r="L572" s="121">
        <f>IF($C572="","",IF($D572="Gider",$E572,$H572))</f>
        <v/>
      </c>
      <c r="M572" s="121">
        <f>IF($C572="","",IF($D572="Gider",$H572,$E572))</f>
        <v/>
      </c>
      <c r="N572" s="231">
        <f>IF($C572="","",DATE(YEAR($C572),MONTH($C572),1))</f>
        <v/>
      </c>
      <c r="O572" s="113">
        <f>IF($C572="","",IF(AND($D572&lt;&gt;"",$E572&lt;&gt;"",$G572&gt;0,$H572&lt;&gt;"",$I572&lt;&gt;""),IF($C572&gt;TODAY(),"İLERİ TARİH","UYGUN"),"EKSİK"))</f>
        <v/>
      </c>
      <c r="P572" s="6" t="n"/>
      <c r="Q572" s="6" t="n"/>
      <c r="R572" s="3" t="n"/>
      <c r="S572" s="3" t="n"/>
      <c r="T572" s="3" t="n"/>
      <c r="U572" s="3" t="n"/>
      <c r="V572" s="3" t="n"/>
      <c r="W572" s="3" t="n"/>
    </row>
    <row r="573">
      <c r="A573" s="6" t="n"/>
      <c r="B573" s="113">
        <f>IF($C573="","","GG"&amp;TEXT(ROW()-6,"00000"))</f>
        <v/>
      </c>
      <c r="C573" s="225" t="n"/>
      <c r="D573" s="108" t="n"/>
      <c r="E573" s="109" t="n"/>
      <c r="F573" s="109" t="n"/>
      <c r="G573" s="226" t="n"/>
      <c r="H573" s="108" t="n"/>
      <c r="I573" s="108" t="n"/>
      <c r="J573" s="109" t="n"/>
      <c r="K573" s="109" t="n"/>
      <c r="L573" s="121">
        <f>IF($C573="","",IF($D573="Gider",$E573,$H573))</f>
        <v/>
      </c>
      <c r="M573" s="121">
        <f>IF($C573="","",IF($D573="Gider",$H573,$E573))</f>
        <v/>
      </c>
      <c r="N573" s="231">
        <f>IF($C573="","",DATE(YEAR($C573),MONTH($C573),1))</f>
        <v/>
      </c>
      <c r="O573" s="113">
        <f>IF($C573="","",IF(AND($D573&lt;&gt;"",$E573&lt;&gt;"",$G573&gt;0,$H573&lt;&gt;"",$I573&lt;&gt;""),IF($C573&gt;TODAY(),"İLERİ TARİH","UYGUN"),"EKSİK"))</f>
        <v/>
      </c>
      <c r="P573" s="6" t="n"/>
      <c r="Q573" s="6" t="n"/>
      <c r="R573" s="3" t="n"/>
      <c r="S573" s="3" t="n"/>
      <c r="T573" s="3" t="n"/>
      <c r="U573" s="3" t="n"/>
      <c r="V573" s="3" t="n"/>
      <c r="W573" s="3" t="n"/>
    </row>
    <row r="574">
      <c r="A574" s="6" t="n"/>
      <c r="B574" s="113">
        <f>IF($C574="","","GG"&amp;TEXT(ROW()-6,"00000"))</f>
        <v/>
      </c>
      <c r="C574" s="225" t="n"/>
      <c r="D574" s="108" t="n"/>
      <c r="E574" s="109" t="n"/>
      <c r="F574" s="109" t="n"/>
      <c r="G574" s="226" t="n"/>
      <c r="H574" s="108" t="n"/>
      <c r="I574" s="108" t="n"/>
      <c r="J574" s="109" t="n"/>
      <c r="K574" s="109" t="n"/>
      <c r="L574" s="121">
        <f>IF($C574="","",IF($D574="Gider",$E574,$H574))</f>
        <v/>
      </c>
      <c r="M574" s="121">
        <f>IF($C574="","",IF($D574="Gider",$H574,$E574))</f>
        <v/>
      </c>
      <c r="N574" s="231">
        <f>IF($C574="","",DATE(YEAR($C574),MONTH($C574),1))</f>
        <v/>
      </c>
      <c r="O574" s="113">
        <f>IF($C574="","",IF(AND($D574&lt;&gt;"",$E574&lt;&gt;"",$G574&gt;0,$H574&lt;&gt;"",$I574&lt;&gt;""),IF($C574&gt;TODAY(),"İLERİ TARİH","UYGUN"),"EKSİK"))</f>
        <v/>
      </c>
      <c r="P574" s="6" t="n"/>
      <c r="Q574" s="6" t="n"/>
      <c r="R574" s="3" t="n"/>
      <c r="S574" s="3" t="n"/>
      <c r="T574" s="3" t="n"/>
      <c r="U574" s="3" t="n"/>
      <c r="V574" s="3" t="n"/>
      <c r="W574" s="3" t="n"/>
    </row>
    <row r="575">
      <c r="A575" s="6" t="n"/>
      <c r="B575" s="113">
        <f>IF($C575="","","GG"&amp;TEXT(ROW()-6,"00000"))</f>
        <v/>
      </c>
      <c r="C575" s="225" t="n"/>
      <c r="D575" s="108" t="n"/>
      <c r="E575" s="109" t="n"/>
      <c r="F575" s="109" t="n"/>
      <c r="G575" s="226" t="n"/>
      <c r="H575" s="108" t="n"/>
      <c r="I575" s="108" t="n"/>
      <c r="J575" s="109" t="n"/>
      <c r="K575" s="109" t="n"/>
      <c r="L575" s="121">
        <f>IF($C575="","",IF($D575="Gider",$E575,$H575))</f>
        <v/>
      </c>
      <c r="M575" s="121">
        <f>IF($C575="","",IF($D575="Gider",$H575,$E575))</f>
        <v/>
      </c>
      <c r="N575" s="231">
        <f>IF($C575="","",DATE(YEAR($C575),MONTH($C575),1))</f>
        <v/>
      </c>
      <c r="O575" s="113">
        <f>IF($C575="","",IF(AND($D575&lt;&gt;"",$E575&lt;&gt;"",$G575&gt;0,$H575&lt;&gt;"",$I575&lt;&gt;""),IF($C575&gt;TODAY(),"İLERİ TARİH","UYGUN"),"EKSİK"))</f>
        <v/>
      </c>
      <c r="P575" s="6" t="n"/>
      <c r="Q575" s="6" t="n"/>
      <c r="R575" s="3" t="n"/>
      <c r="S575" s="3" t="n"/>
      <c r="T575" s="3" t="n"/>
      <c r="U575" s="3" t="n"/>
      <c r="V575" s="3" t="n"/>
      <c r="W575" s="3" t="n"/>
    </row>
    <row r="576">
      <c r="A576" s="6" t="n"/>
      <c r="B576" s="113">
        <f>IF($C576="","","GG"&amp;TEXT(ROW()-6,"00000"))</f>
        <v/>
      </c>
      <c r="C576" s="225" t="n"/>
      <c r="D576" s="108" t="n"/>
      <c r="E576" s="109" t="n"/>
      <c r="F576" s="109" t="n"/>
      <c r="G576" s="226" t="n"/>
      <c r="H576" s="108" t="n"/>
      <c r="I576" s="108" t="n"/>
      <c r="J576" s="109" t="n"/>
      <c r="K576" s="109" t="n"/>
      <c r="L576" s="121">
        <f>IF($C576="","",IF($D576="Gider",$E576,$H576))</f>
        <v/>
      </c>
      <c r="M576" s="121">
        <f>IF($C576="","",IF($D576="Gider",$H576,$E576))</f>
        <v/>
      </c>
      <c r="N576" s="231">
        <f>IF($C576="","",DATE(YEAR($C576),MONTH($C576),1))</f>
        <v/>
      </c>
      <c r="O576" s="113">
        <f>IF($C576="","",IF(AND($D576&lt;&gt;"",$E576&lt;&gt;"",$G576&gt;0,$H576&lt;&gt;"",$I576&lt;&gt;""),IF($C576&gt;TODAY(),"İLERİ TARİH","UYGUN"),"EKSİK"))</f>
        <v/>
      </c>
      <c r="P576" s="6" t="n"/>
      <c r="Q576" s="6" t="n"/>
      <c r="R576" s="3" t="n"/>
      <c r="S576" s="3" t="n"/>
      <c r="T576" s="3" t="n"/>
      <c r="U576" s="3" t="n"/>
      <c r="V576" s="3" t="n"/>
      <c r="W576" s="3" t="n"/>
    </row>
    <row r="577">
      <c r="A577" s="6" t="n"/>
      <c r="B577" s="113">
        <f>IF($C577="","","GG"&amp;TEXT(ROW()-6,"00000"))</f>
        <v/>
      </c>
      <c r="C577" s="225" t="n"/>
      <c r="D577" s="108" t="n"/>
      <c r="E577" s="109" t="n"/>
      <c r="F577" s="109" t="n"/>
      <c r="G577" s="226" t="n"/>
      <c r="H577" s="108" t="n"/>
      <c r="I577" s="108" t="n"/>
      <c r="J577" s="109" t="n"/>
      <c r="K577" s="109" t="n"/>
      <c r="L577" s="121">
        <f>IF($C577="","",IF($D577="Gider",$E577,$H577))</f>
        <v/>
      </c>
      <c r="M577" s="121">
        <f>IF($C577="","",IF($D577="Gider",$H577,$E577))</f>
        <v/>
      </c>
      <c r="N577" s="231">
        <f>IF($C577="","",DATE(YEAR($C577),MONTH($C577),1))</f>
        <v/>
      </c>
      <c r="O577" s="113">
        <f>IF($C577="","",IF(AND($D577&lt;&gt;"",$E577&lt;&gt;"",$G577&gt;0,$H577&lt;&gt;"",$I577&lt;&gt;""),IF($C577&gt;TODAY(),"İLERİ TARİH","UYGUN"),"EKSİK"))</f>
        <v/>
      </c>
      <c r="P577" s="6" t="n"/>
      <c r="Q577" s="6" t="n"/>
      <c r="R577" s="3" t="n"/>
      <c r="S577" s="3" t="n"/>
      <c r="T577" s="3" t="n"/>
      <c r="U577" s="3" t="n"/>
      <c r="V577" s="3" t="n"/>
      <c r="W577" s="3" t="n"/>
    </row>
    <row r="578">
      <c r="A578" s="6" t="n"/>
      <c r="B578" s="113">
        <f>IF($C578="","","GG"&amp;TEXT(ROW()-6,"00000"))</f>
        <v/>
      </c>
      <c r="C578" s="225" t="n"/>
      <c r="D578" s="108" t="n"/>
      <c r="E578" s="109" t="n"/>
      <c r="F578" s="109" t="n"/>
      <c r="G578" s="226" t="n"/>
      <c r="H578" s="108" t="n"/>
      <c r="I578" s="108" t="n"/>
      <c r="J578" s="109" t="n"/>
      <c r="K578" s="109" t="n"/>
      <c r="L578" s="121">
        <f>IF($C578="","",IF($D578="Gider",$E578,$H578))</f>
        <v/>
      </c>
      <c r="M578" s="121">
        <f>IF($C578="","",IF($D578="Gider",$H578,$E578))</f>
        <v/>
      </c>
      <c r="N578" s="231">
        <f>IF($C578="","",DATE(YEAR($C578),MONTH($C578),1))</f>
        <v/>
      </c>
      <c r="O578" s="113">
        <f>IF($C578="","",IF(AND($D578&lt;&gt;"",$E578&lt;&gt;"",$G578&gt;0,$H578&lt;&gt;"",$I578&lt;&gt;""),IF($C578&gt;TODAY(),"İLERİ TARİH","UYGUN"),"EKSİK"))</f>
        <v/>
      </c>
      <c r="P578" s="6" t="n"/>
      <c r="Q578" s="6" t="n"/>
      <c r="R578" s="3" t="n"/>
      <c r="S578" s="3" t="n"/>
      <c r="T578" s="3" t="n"/>
      <c r="U578" s="3" t="n"/>
      <c r="V578" s="3" t="n"/>
      <c r="W578" s="3" t="n"/>
    </row>
    <row r="579">
      <c r="A579" s="6" t="n"/>
      <c r="B579" s="113">
        <f>IF($C579="","","GG"&amp;TEXT(ROW()-6,"00000"))</f>
        <v/>
      </c>
      <c r="C579" s="225" t="n"/>
      <c r="D579" s="108" t="n"/>
      <c r="E579" s="109" t="n"/>
      <c r="F579" s="109" t="n"/>
      <c r="G579" s="226" t="n"/>
      <c r="H579" s="108" t="n"/>
      <c r="I579" s="108" t="n"/>
      <c r="J579" s="109" t="n"/>
      <c r="K579" s="109" t="n"/>
      <c r="L579" s="121">
        <f>IF($C579="","",IF($D579="Gider",$E579,$H579))</f>
        <v/>
      </c>
      <c r="M579" s="121">
        <f>IF($C579="","",IF($D579="Gider",$H579,$E579))</f>
        <v/>
      </c>
      <c r="N579" s="231">
        <f>IF($C579="","",DATE(YEAR($C579),MONTH($C579),1))</f>
        <v/>
      </c>
      <c r="O579" s="113">
        <f>IF($C579="","",IF(AND($D579&lt;&gt;"",$E579&lt;&gt;"",$G579&gt;0,$H579&lt;&gt;"",$I579&lt;&gt;""),IF($C579&gt;TODAY(),"İLERİ TARİH","UYGUN"),"EKSİK"))</f>
        <v/>
      </c>
      <c r="P579" s="6" t="n"/>
      <c r="Q579" s="6" t="n"/>
      <c r="R579" s="3" t="n"/>
      <c r="S579" s="3" t="n"/>
      <c r="T579" s="3" t="n"/>
      <c r="U579" s="3" t="n"/>
      <c r="V579" s="3" t="n"/>
      <c r="W579" s="3" t="n"/>
    </row>
    <row r="580">
      <c r="A580" s="6" t="n"/>
      <c r="B580" s="113">
        <f>IF($C580="","","GG"&amp;TEXT(ROW()-6,"00000"))</f>
        <v/>
      </c>
      <c r="C580" s="225" t="n"/>
      <c r="D580" s="108" t="n"/>
      <c r="E580" s="109" t="n"/>
      <c r="F580" s="109" t="n"/>
      <c r="G580" s="226" t="n"/>
      <c r="H580" s="108" t="n"/>
      <c r="I580" s="108" t="n"/>
      <c r="J580" s="109" t="n"/>
      <c r="K580" s="109" t="n"/>
      <c r="L580" s="121">
        <f>IF($C580="","",IF($D580="Gider",$E580,$H580))</f>
        <v/>
      </c>
      <c r="M580" s="121">
        <f>IF($C580="","",IF($D580="Gider",$H580,$E580))</f>
        <v/>
      </c>
      <c r="N580" s="231">
        <f>IF($C580="","",DATE(YEAR($C580),MONTH($C580),1))</f>
        <v/>
      </c>
      <c r="O580" s="113">
        <f>IF($C580="","",IF(AND($D580&lt;&gt;"",$E580&lt;&gt;"",$G580&gt;0,$H580&lt;&gt;"",$I580&lt;&gt;""),IF($C580&gt;TODAY(),"İLERİ TARİH","UYGUN"),"EKSİK"))</f>
        <v/>
      </c>
      <c r="P580" s="6" t="n"/>
      <c r="Q580" s="6" t="n"/>
      <c r="R580" s="3" t="n"/>
      <c r="S580" s="3" t="n"/>
      <c r="T580" s="3" t="n"/>
      <c r="U580" s="3" t="n"/>
      <c r="V580" s="3" t="n"/>
      <c r="W580" s="3" t="n"/>
    </row>
    <row r="581">
      <c r="A581" s="6" t="n"/>
      <c r="B581" s="113">
        <f>IF($C581="","","GG"&amp;TEXT(ROW()-6,"00000"))</f>
        <v/>
      </c>
      <c r="C581" s="225" t="n"/>
      <c r="D581" s="108" t="n"/>
      <c r="E581" s="109" t="n"/>
      <c r="F581" s="109" t="n"/>
      <c r="G581" s="226" t="n"/>
      <c r="H581" s="108" t="n"/>
      <c r="I581" s="108" t="n"/>
      <c r="J581" s="109" t="n"/>
      <c r="K581" s="109" t="n"/>
      <c r="L581" s="121">
        <f>IF($C581="","",IF($D581="Gider",$E581,$H581))</f>
        <v/>
      </c>
      <c r="M581" s="121">
        <f>IF($C581="","",IF($D581="Gider",$H581,$E581))</f>
        <v/>
      </c>
      <c r="N581" s="231">
        <f>IF($C581="","",DATE(YEAR($C581),MONTH($C581),1))</f>
        <v/>
      </c>
      <c r="O581" s="113">
        <f>IF($C581="","",IF(AND($D581&lt;&gt;"",$E581&lt;&gt;"",$G581&gt;0,$H581&lt;&gt;"",$I581&lt;&gt;""),IF($C581&gt;TODAY(),"İLERİ TARİH","UYGUN"),"EKSİK"))</f>
        <v/>
      </c>
      <c r="P581" s="6" t="n"/>
      <c r="Q581" s="6" t="n"/>
      <c r="R581" s="3" t="n"/>
      <c r="S581" s="3" t="n"/>
      <c r="T581" s="3" t="n"/>
      <c r="U581" s="3" t="n"/>
      <c r="V581" s="3" t="n"/>
      <c r="W581" s="3" t="n"/>
    </row>
    <row r="582">
      <c r="A582" s="6" t="n"/>
      <c r="B582" s="113">
        <f>IF($C582="","","GG"&amp;TEXT(ROW()-6,"00000"))</f>
        <v/>
      </c>
      <c r="C582" s="225" t="n"/>
      <c r="D582" s="108" t="n"/>
      <c r="E582" s="109" t="n"/>
      <c r="F582" s="109" t="n"/>
      <c r="G582" s="226" t="n"/>
      <c r="H582" s="108" t="n"/>
      <c r="I582" s="108" t="n"/>
      <c r="J582" s="109" t="n"/>
      <c r="K582" s="109" t="n"/>
      <c r="L582" s="121">
        <f>IF($C582="","",IF($D582="Gider",$E582,$H582))</f>
        <v/>
      </c>
      <c r="M582" s="121">
        <f>IF($C582="","",IF($D582="Gider",$H582,$E582))</f>
        <v/>
      </c>
      <c r="N582" s="231">
        <f>IF($C582="","",DATE(YEAR($C582),MONTH($C582),1))</f>
        <v/>
      </c>
      <c r="O582" s="113">
        <f>IF($C582="","",IF(AND($D582&lt;&gt;"",$E582&lt;&gt;"",$G582&gt;0,$H582&lt;&gt;"",$I582&lt;&gt;""),IF($C582&gt;TODAY(),"İLERİ TARİH","UYGUN"),"EKSİK"))</f>
        <v/>
      </c>
      <c r="P582" s="6" t="n"/>
      <c r="Q582" s="6" t="n"/>
      <c r="R582" s="3" t="n"/>
      <c r="S582" s="3" t="n"/>
      <c r="T582" s="3" t="n"/>
      <c r="U582" s="3" t="n"/>
      <c r="V582" s="3" t="n"/>
      <c r="W582" s="3" t="n"/>
    </row>
    <row r="583">
      <c r="A583" s="6" t="n"/>
      <c r="B583" s="113">
        <f>IF($C583="","","GG"&amp;TEXT(ROW()-6,"00000"))</f>
        <v/>
      </c>
      <c r="C583" s="225" t="n"/>
      <c r="D583" s="108" t="n"/>
      <c r="E583" s="109" t="n"/>
      <c r="F583" s="109" t="n"/>
      <c r="G583" s="226" t="n"/>
      <c r="H583" s="108" t="n"/>
      <c r="I583" s="108" t="n"/>
      <c r="J583" s="109" t="n"/>
      <c r="K583" s="109" t="n"/>
      <c r="L583" s="121">
        <f>IF($C583="","",IF($D583="Gider",$E583,$H583))</f>
        <v/>
      </c>
      <c r="M583" s="121">
        <f>IF($C583="","",IF($D583="Gider",$H583,$E583))</f>
        <v/>
      </c>
      <c r="N583" s="231">
        <f>IF($C583="","",DATE(YEAR($C583),MONTH($C583),1))</f>
        <v/>
      </c>
      <c r="O583" s="113">
        <f>IF($C583="","",IF(AND($D583&lt;&gt;"",$E583&lt;&gt;"",$G583&gt;0,$H583&lt;&gt;"",$I583&lt;&gt;""),IF($C583&gt;TODAY(),"İLERİ TARİH","UYGUN"),"EKSİK"))</f>
        <v/>
      </c>
      <c r="P583" s="6" t="n"/>
      <c r="Q583" s="6" t="n"/>
      <c r="R583" s="3" t="n"/>
      <c r="S583" s="3" t="n"/>
      <c r="T583" s="3" t="n"/>
      <c r="U583" s="3" t="n"/>
      <c r="V583" s="3" t="n"/>
      <c r="W583" s="3" t="n"/>
    </row>
    <row r="584">
      <c r="A584" s="6" t="n"/>
      <c r="B584" s="113">
        <f>IF($C584="","","GG"&amp;TEXT(ROW()-6,"00000"))</f>
        <v/>
      </c>
      <c r="C584" s="225" t="n"/>
      <c r="D584" s="108" t="n"/>
      <c r="E584" s="109" t="n"/>
      <c r="F584" s="109" t="n"/>
      <c r="G584" s="226" t="n"/>
      <c r="H584" s="108" t="n"/>
      <c r="I584" s="108" t="n"/>
      <c r="J584" s="109" t="n"/>
      <c r="K584" s="109" t="n"/>
      <c r="L584" s="121">
        <f>IF($C584="","",IF($D584="Gider",$E584,$H584))</f>
        <v/>
      </c>
      <c r="M584" s="121">
        <f>IF($C584="","",IF($D584="Gider",$H584,$E584))</f>
        <v/>
      </c>
      <c r="N584" s="231">
        <f>IF($C584="","",DATE(YEAR($C584),MONTH($C584),1))</f>
        <v/>
      </c>
      <c r="O584" s="113">
        <f>IF($C584="","",IF(AND($D584&lt;&gt;"",$E584&lt;&gt;"",$G584&gt;0,$H584&lt;&gt;"",$I584&lt;&gt;""),IF($C584&gt;TODAY(),"İLERİ TARİH","UYGUN"),"EKSİK"))</f>
        <v/>
      </c>
      <c r="P584" s="6" t="n"/>
      <c r="Q584" s="6" t="n"/>
      <c r="R584" s="3" t="n"/>
      <c r="S584" s="3" t="n"/>
      <c r="T584" s="3" t="n"/>
      <c r="U584" s="3" t="n"/>
      <c r="V584" s="3" t="n"/>
      <c r="W584" s="3" t="n"/>
    </row>
    <row r="585">
      <c r="A585" s="6" t="n"/>
      <c r="B585" s="113">
        <f>IF($C585="","","GG"&amp;TEXT(ROW()-6,"00000"))</f>
        <v/>
      </c>
      <c r="C585" s="225" t="n"/>
      <c r="D585" s="108" t="n"/>
      <c r="E585" s="109" t="n"/>
      <c r="F585" s="109" t="n"/>
      <c r="G585" s="226" t="n"/>
      <c r="H585" s="108" t="n"/>
      <c r="I585" s="108" t="n"/>
      <c r="J585" s="109" t="n"/>
      <c r="K585" s="109" t="n"/>
      <c r="L585" s="121">
        <f>IF($C585="","",IF($D585="Gider",$E585,$H585))</f>
        <v/>
      </c>
      <c r="M585" s="121">
        <f>IF($C585="","",IF($D585="Gider",$H585,$E585))</f>
        <v/>
      </c>
      <c r="N585" s="231">
        <f>IF($C585="","",DATE(YEAR($C585),MONTH($C585),1))</f>
        <v/>
      </c>
      <c r="O585" s="113">
        <f>IF($C585="","",IF(AND($D585&lt;&gt;"",$E585&lt;&gt;"",$G585&gt;0,$H585&lt;&gt;"",$I585&lt;&gt;""),IF($C585&gt;TODAY(),"İLERİ TARİH","UYGUN"),"EKSİK"))</f>
        <v/>
      </c>
      <c r="P585" s="6" t="n"/>
      <c r="Q585" s="6" t="n"/>
      <c r="R585" s="3" t="n"/>
      <c r="S585" s="3" t="n"/>
      <c r="T585" s="3" t="n"/>
      <c r="U585" s="3" t="n"/>
      <c r="V585" s="3" t="n"/>
      <c r="W585" s="3" t="n"/>
    </row>
    <row r="586">
      <c r="A586" s="6" t="n"/>
      <c r="B586" s="113">
        <f>IF($C586="","","GG"&amp;TEXT(ROW()-6,"00000"))</f>
        <v/>
      </c>
      <c r="C586" s="225" t="n"/>
      <c r="D586" s="108" t="n"/>
      <c r="E586" s="109" t="n"/>
      <c r="F586" s="109" t="n"/>
      <c r="G586" s="226" t="n"/>
      <c r="H586" s="108" t="n"/>
      <c r="I586" s="108" t="n"/>
      <c r="J586" s="109" t="n"/>
      <c r="K586" s="109" t="n"/>
      <c r="L586" s="121">
        <f>IF($C586="","",IF($D586="Gider",$E586,$H586))</f>
        <v/>
      </c>
      <c r="M586" s="121">
        <f>IF($C586="","",IF($D586="Gider",$H586,$E586))</f>
        <v/>
      </c>
      <c r="N586" s="231">
        <f>IF($C586="","",DATE(YEAR($C586),MONTH($C586),1))</f>
        <v/>
      </c>
      <c r="O586" s="113">
        <f>IF($C586="","",IF(AND($D586&lt;&gt;"",$E586&lt;&gt;"",$G586&gt;0,$H586&lt;&gt;"",$I586&lt;&gt;""),IF($C586&gt;TODAY(),"İLERİ TARİH","UYGUN"),"EKSİK"))</f>
        <v/>
      </c>
      <c r="P586" s="6" t="n"/>
      <c r="Q586" s="6" t="n"/>
      <c r="R586" s="3" t="n"/>
      <c r="S586" s="3" t="n"/>
      <c r="T586" s="3" t="n"/>
      <c r="U586" s="3" t="n"/>
      <c r="V586" s="3" t="n"/>
      <c r="W586" s="3" t="n"/>
    </row>
    <row r="587">
      <c r="A587" s="6" t="n"/>
      <c r="B587" s="113">
        <f>IF($C587="","","GG"&amp;TEXT(ROW()-6,"00000"))</f>
        <v/>
      </c>
      <c r="C587" s="225" t="n"/>
      <c r="D587" s="108" t="n"/>
      <c r="E587" s="109" t="n"/>
      <c r="F587" s="109" t="n"/>
      <c r="G587" s="226" t="n"/>
      <c r="H587" s="108" t="n"/>
      <c r="I587" s="108" t="n"/>
      <c r="J587" s="109" t="n"/>
      <c r="K587" s="109" t="n"/>
      <c r="L587" s="121">
        <f>IF($C587="","",IF($D587="Gider",$E587,$H587))</f>
        <v/>
      </c>
      <c r="M587" s="121">
        <f>IF($C587="","",IF($D587="Gider",$H587,$E587))</f>
        <v/>
      </c>
      <c r="N587" s="231">
        <f>IF($C587="","",DATE(YEAR($C587),MONTH($C587),1))</f>
        <v/>
      </c>
      <c r="O587" s="113">
        <f>IF($C587="","",IF(AND($D587&lt;&gt;"",$E587&lt;&gt;"",$G587&gt;0,$H587&lt;&gt;"",$I587&lt;&gt;""),IF($C587&gt;TODAY(),"İLERİ TARİH","UYGUN"),"EKSİK"))</f>
        <v/>
      </c>
      <c r="P587" s="6" t="n"/>
      <c r="Q587" s="6" t="n"/>
      <c r="R587" s="3" t="n"/>
      <c r="S587" s="3" t="n"/>
      <c r="T587" s="3" t="n"/>
      <c r="U587" s="3" t="n"/>
      <c r="V587" s="3" t="n"/>
      <c r="W587" s="3" t="n"/>
    </row>
    <row r="588">
      <c r="A588" s="6" t="n"/>
      <c r="B588" s="113">
        <f>IF($C588="","","GG"&amp;TEXT(ROW()-6,"00000"))</f>
        <v/>
      </c>
      <c r="C588" s="225" t="n"/>
      <c r="D588" s="108" t="n"/>
      <c r="E588" s="109" t="n"/>
      <c r="F588" s="109" t="n"/>
      <c r="G588" s="226" t="n"/>
      <c r="H588" s="108" t="n"/>
      <c r="I588" s="108" t="n"/>
      <c r="J588" s="109" t="n"/>
      <c r="K588" s="109" t="n"/>
      <c r="L588" s="121">
        <f>IF($C588="","",IF($D588="Gider",$E588,$H588))</f>
        <v/>
      </c>
      <c r="M588" s="121">
        <f>IF($C588="","",IF($D588="Gider",$H588,$E588))</f>
        <v/>
      </c>
      <c r="N588" s="231">
        <f>IF($C588="","",DATE(YEAR($C588),MONTH($C588),1))</f>
        <v/>
      </c>
      <c r="O588" s="113">
        <f>IF($C588="","",IF(AND($D588&lt;&gt;"",$E588&lt;&gt;"",$G588&gt;0,$H588&lt;&gt;"",$I588&lt;&gt;""),IF($C588&gt;TODAY(),"İLERİ TARİH","UYGUN"),"EKSİK"))</f>
        <v/>
      </c>
      <c r="P588" s="6" t="n"/>
      <c r="Q588" s="6" t="n"/>
      <c r="R588" s="3" t="n"/>
      <c r="S588" s="3" t="n"/>
      <c r="T588" s="3" t="n"/>
      <c r="U588" s="3" t="n"/>
      <c r="V588" s="3" t="n"/>
      <c r="W588" s="3" t="n"/>
    </row>
    <row r="589">
      <c r="A589" s="6" t="n"/>
      <c r="B589" s="113">
        <f>IF($C589="","","GG"&amp;TEXT(ROW()-6,"00000"))</f>
        <v/>
      </c>
      <c r="C589" s="225" t="n"/>
      <c r="D589" s="108" t="n"/>
      <c r="E589" s="109" t="n"/>
      <c r="F589" s="109" t="n"/>
      <c r="G589" s="226" t="n"/>
      <c r="H589" s="108" t="n"/>
      <c r="I589" s="108" t="n"/>
      <c r="J589" s="109" t="n"/>
      <c r="K589" s="109" t="n"/>
      <c r="L589" s="121">
        <f>IF($C589="","",IF($D589="Gider",$E589,$H589))</f>
        <v/>
      </c>
      <c r="M589" s="121">
        <f>IF($C589="","",IF($D589="Gider",$H589,$E589))</f>
        <v/>
      </c>
      <c r="N589" s="231">
        <f>IF($C589="","",DATE(YEAR($C589),MONTH($C589),1))</f>
        <v/>
      </c>
      <c r="O589" s="113">
        <f>IF($C589="","",IF(AND($D589&lt;&gt;"",$E589&lt;&gt;"",$G589&gt;0,$H589&lt;&gt;"",$I589&lt;&gt;""),IF($C589&gt;TODAY(),"İLERİ TARİH","UYGUN"),"EKSİK"))</f>
        <v/>
      </c>
      <c r="P589" s="6" t="n"/>
      <c r="Q589" s="6" t="n"/>
      <c r="R589" s="3" t="n"/>
      <c r="S589" s="3" t="n"/>
      <c r="T589" s="3" t="n"/>
      <c r="U589" s="3" t="n"/>
      <c r="V589" s="3" t="n"/>
      <c r="W589" s="3" t="n"/>
    </row>
    <row r="590">
      <c r="A590" s="6" t="n"/>
      <c r="B590" s="113">
        <f>IF($C590="","","GG"&amp;TEXT(ROW()-6,"00000"))</f>
        <v/>
      </c>
      <c r="C590" s="225" t="n"/>
      <c r="D590" s="108" t="n"/>
      <c r="E590" s="109" t="n"/>
      <c r="F590" s="109" t="n"/>
      <c r="G590" s="226" t="n"/>
      <c r="H590" s="108" t="n"/>
      <c r="I590" s="108" t="n"/>
      <c r="J590" s="109" t="n"/>
      <c r="K590" s="109" t="n"/>
      <c r="L590" s="121">
        <f>IF($C590="","",IF($D590="Gider",$E590,$H590))</f>
        <v/>
      </c>
      <c r="M590" s="121">
        <f>IF($C590="","",IF($D590="Gider",$H590,$E590))</f>
        <v/>
      </c>
      <c r="N590" s="231">
        <f>IF($C590="","",DATE(YEAR($C590),MONTH($C590),1))</f>
        <v/>
      </c>
      <c r="O590" s="113">
        <f>IF($C590="","",IF(AND($D590&lt;&gt;"",$E590&lt;&gt;"",$G590&gt;0,$H590&lt;&gt;"",$I590&lt;&gt;""),IF($C590&gt;TODAY(),"İLERİ TARİH","UYGUN"),"EKSİK"))</f>
        <v/>
      </c>
      <c r="P590" s="6" t="n"/>
      <c r="Q590" s="6" t="n"/>
      <c r="R590" s="3" t="n"/>
      <c r="S590" s="3" t="n"/>
      <c r="T590" s="3" t="n"/>
      <c r="U590" s="3" t="n"/>
      <c r="V590" s="3" t="n"/>
      <c r="W590" s="3" t="n"/>
    </row>
    <row r="591">
      <c r="A591" s="6" t="n"/>
      <c r="B591" s="113">
        <f>IF($C591="","","GG"&amp;TEXT(ROW()-6,"00000"))</f>
        <v/>
      </c>
      <c r="C591" s="225" t="n"/>
      <c r="D591" s="108" t="n"/>
      <c r="E591" s="109" t="n"/>
      <c r="F591" s="109" t="n"/>
      <c r="G591" s="226" t="n"/>
      <c r="H591" s="108" t="n"/>
      <c r="I591" s="108" t="n"/>
      <c r="J591" s="109" t="n"/>
      <c r="K591" s="109" t="n"/>
      <c r="L591" s="121">
        <f>IF($C591="","",IF($D591="Gider",$E591,$H591))</f>
        <v/>
      </c>
      <c r="M591" s="121">
        <f>IF($C591="","",IF($D591="Gider",$H591,$E591))</f>
        <v/>
      </c>
      <c r="N591" s="231">
        <f>IF($C591="","",DATE(YEAR($C591),MONTH($C591),1))</f>
        <v/>
      </c>
      <c r="O591" s="113">
        <f>IF($C591="","",IF(AND($D591&lt;&gt;"",$E591&lt;&gt;"",$G591&gt;0,$H591&lt;&gt;"",$I591&lt;&gt;""),IF($C591&gt;TODAY(),"İLERİ TARİH","UYGUN"),"EKSİK"))</f>
        <v/>
      </c>
      <c r="P591" s="6" t="n"/>
      <c r="Q591" s="6" t="n"/>
      <c r="R591" s="3" t="n"/>
      <c r="S591" s="3" t="n"/>
      <c r="T591" s="3" t="n"/>
      <c r="U591" s="3" t="n"/>
      <c r="V591" s="3" t="n"/>
      <c r="W591" s="3" t="n"/>
    </row>
    <row r="592">
      <c r="A592" s="6" t="n"/>
      <c r="B592" s="113">
        <f>IF($C592="","","GG"&amp;TEXT(ROW()-6,"00000"))</f>
        <v/>
      </c>
      <c r="C592" s="225" t="n"/>
      <c r="D592" s="108" t="n"/>
      <c r="E592" s="109" t="n"/>
      <c r="F592" s="109" t="n"/>
      <c r="G592" s="226" t="n"/>
      <c r="H592" s="108" t="n"/>
      <c r="I592" s="108" t="n"/>
      <c r="J592" s="109" t="n"/>
      <c r="K592" s="109" t="n"/>
      <c r="L592" s="121">
        <f>IF($C592="","",IF($D592="Gider",$E592,$H592))</f>
        <v/>
      </c>
      <c r="M592" s="121">
        <f>IF($C592="","",IF($D592="Gider",$H592,$E592))</f>
        <v/>
      </c>
      <c r="N592" s="231">
        <f>IF($C592="","",DATE(YEAR($C592),MONTH($C592),1))</f>
        <v/>
      </c>
      <c r="O592" s="113">
        <f>IF($C592="","",IF(AND($D592&lt;&gt;"",$E592&lt;&gt;"",$G592&gt;0,$H592&lt;&gt;"",$I592&lt;&gt;""),IF($C592&gt;TODAY(),"İLERİ TARİH","UYGUN"),"EKSİK"))</f>
        <v/>
      </c>
      <c r="P592" s="6" t="n"/>
      <c r="Q592" s="6" t="n"/>
      <c r="R592" s="3" t="n"/>
      <c r="S592" s="3" t="n"/>
      <c r="T592" s="3" t="n"/>
      <c r="U592" s="3" t="n"/>
      <c r="V592" s="3" t="n"/>
      <c r="W592" s="3" t="n"/>
    </row>
    <row r="593">
      <c r="A593" s="6" t="n"/>
      <c r="B593" s="113">
        <f>IF($C593="","","GG"&amp;TEXT(ROW()-6,"00000"))</f>
        <v/>
      </c>
      <c r="C593" s="225" t="n"/>
      <c r="D593" s="108" t="n"/>
      <c r="E593" s="109" t="n"/>
      <c r="F593" s="109" t="n"/>
      <c r="G593" s="226" t="n"/>
      <c r="H593" s="108" t="n"/>
      <c r="I593" s="108" t="n"/>
      <c r="J593" s="109" t="n"/>
      <c r="K593" s="109" t="n"/>
      <c r="L593" s="121">
        <f>IF($C593="","",IF($D593="Gider",$E593,$H593))</f>
        <v/>
      </c>
      <c r="M593" s="121">
        <f>IF($C593="","",IF($D593="Gider",$H593,$E593))</f>
        <v/>
      </c>
      <c r="N593" s="231">
        <f>IF($C593="","",DATE(YEAR($C593),MONTH($C593),1))</f>
        <v/>
      </c>
      <c r="O593" s="113">
        <f>IF($C593="","",IF(AND($D593&lt;&gt;"",$E593&lt;&gt;"",$G593&gt;0,$H593&lt;&gt;"",$I593&lt;&gt;""),IF($C593&gt;TODAY(),"İLERİ TARİH","UYGUN"),"EKSİK"))</f>
        <v/>
      </c>
      <c r="P593" s="6" t="n"/>
      <c r="Q593" s="6" t="n"/>
      <c r="R593" s="3" t="n"/>
      <c r="S593" s="3" t="n"/>
      <c r="T593" s="3" t="n"/>
      <c r="U593" s="3" t="n"/>
      <c r="V593" s="3" t="n"/>
      <c r="W593" s="3" t="n"/>
    </row>
    <row r="594">
      <c r="A594" s="6" t="n"/>
      <c r="B594" s="113">
        <f>IF($C594="","","GG"&amp;TEXT(ROW()-6,"00000"))</f>
        <v/>
      </c>
      <c r="C594" s="225" t="n"/>
      <c r="D594" s="108" t="n"/>
      <c r="E594" s="109" t="n"/>
      <c r="F594" s="109" t="n"/>
      <c r="G594" s="226" t="n"/>
      <c r="H594" s="108" t="n"/>
      <c r="I594" s="108" t="n"/>
      <c r="J594" s="109" t="n"/>
      <c r="K594" s="109" t="n"/>
      <c r="L594" s="121">
        <f>IF($C594="","",IF($D594="Gider",$E594,$H594))</f>
        <v/>
      </c>
      <c r="M594" s="121">
        <f>IF($C594="","",IF($D594="Gider",$H594,$E594))</f>
        <v/>
      </c>
      <c r="N594" s="231">
        <f>IF($C594="","",DATE(YEAR($C594),MONTH($C594),1))</f>
        <v/>
      </c>
      <c r="O594" s="113">
        <f>IF($C594="","",IF(AND($D594&lt;&gt;"",$E594&lt;&gt;"",$G594&gt;0,$H594&lt;&gt;"",$I594&lt;&gt;""),IF($C594&gt;TODAY(),"İLERİ TARİH","UYGUN"),"EKSİK"))</f>
        <v/>
      </c>
      <c r="P594" s="6" t="n"/>
      <c r="Q594" s="6" t="n"/>
      <c r="R594" s="3" t="n"/>
      <c r="S594" s="3" t="n"/>
      <c r="T594" s="3" t="n"/>
      <c r="U594" s="3" t="n"/>
      <c r="V594" s="3" t="n"/>
      <c r="W594" s="3" t="n"/>
    </row>
    <row r="595">
      <c r="A595" s="6" t="n"/>
      <c r="B595" s="113">
        <f>IF($C595="","","GG"&amp;TEXT(ROW()-6,"00000"))</f>
        <v/>
      </c>
      <c r="C595" s="225" t="n"/>
      <c r="D595" s="108" t="n"/>
      <c r="E595" s="109" t="n"/>
      <c r="F595" s="109" t="n"/>
      <c r="G595" s="226" t="n"/>
      <c r="H595" s="108" t="n"/>
      <c r="I595" s="108" t="n"/>
      <c r="J595" s="109" t="n"/>
      <c r="K595" s="109" t="n"/>
      <c r="L595" s="121">
        <f>IF($C595="","",IF($D595="Gider",$E595,$H595))</f>
        <v/>
      </c>
      <c r="M595" s="121">
        <f>IF($C595="","",IF($D595="Gider",$H595,$E595))</f>
        <v/>
      </c>
      <c r="N595" s="231">
        <f>IF($C595="","",DATE(YEAR($C595),MONTH($C595),1))</f>
        <v/>
      </c>
      <c r="O595" s="113">
        <f>IF($C595="","",IF(AND($D595&lt;&gt;"",$E595&lt;&gt;"",$G595&gt;0,$H595&lt;&gt;"",$I595&lt;&gt;""),IF($C595&gt;TODAY(),"İLERİ TARİH","UYGUN"),"EKSİK"))</f>
        <v/>
      </c>
      <c r="P595" s="6" t="n"/>
      <c r="Q595" s="6" t="n"/>
      <c r="R595" s="3" t="n"/>
      <c r="S595" s="3" t="n"/>
      <c r="T595" s="3" t="n"/>
      <c r="U595" s="3" t="n"/>
      <c r="V595" s="3" t="n"/>
      <c r="W595" s="3" t="n"/>
    </row>
    <row r="596">
      <c r="A596" s="6" t="n"/>
      <c r="B596" s="113">
        <f>IF($C596="","","GG"&amp;TEXT(ROW()-6,"00000"))</f>
        <v/>
      </c>
      <c r="C596" s="225" t="n"/>
      <c r="D596" s="108" t="n"/>
      <c r="E596" s="109" t="n"/>
      <c r="F596" s="109" t="n"/>
      <c r="G596" s="226" t="n"/>
      <c r="H596" s="108" t="n"/>
      <c r="I596" s="108" t="n"/>
      <c r="J596" s="109" t="n"/>
      <c r="K596" s="109" t="n"/>
      <c r="L596" s="121">
        <f>IF($C596="","",IF($D596="Gider",$E596,$H596))</f>
        <v/>
      </c>
      <c r="M596" s="121">
        <f>IF($C596="","",IF($D596="Gider",$H596,$E596))</f>
        <v/>
      </c>
      <c r="N596" s="231">
        <f>IF($C596="","",DATE(YEAR($C596),MONTH($C596),1))</f>
        <v/>
      </c>
      <c r="O596" s="113">
        <f>IF($C596="","",IF(AND($D596&lt;&gt;"",$E596&lt;&gt;"",$G596&gt;0,$H596&lt;&gt;"",$I596&lt;&gt;""),IF($C596&gt;TODAY(),"İLERİ TARİH","UYGUN"),"EKSİK"))</f>
        <v/>
      </c>
      <c r="P596" s="6" t="n"/>
      <c r="Q596" s="6" t="n"/>
      <c r="R596" s="3" t="n"/>
      <c r="S596" s="3" t="n"/>
      <c r="T596" s="3" t="n"/>
      <c r="U596" s="3" t="n"/>
      <c r="V596" s="3" t="n"/>
      <c r="W596" s="3" t="n"/>
    </row>
    <row r="597">
      <c r="A597" s="6" t="n"/>
      <c r="B597" s="113">
        <f>IF($C597="","","GG"&amp;TEXT(ROW()-6,"00000"))</f>
        <v/>
      </c>
      <c r="C597" s="225" t="n"/>
      <c r="D597" s="108" t="n"/>
      <c r="E597" s="109" t="n"/>
      <c r="F597" s="109" t="n"/>
      <c r="G597" s="226" t="n"/>
      <c r="H597" s="108" t="n"/>
      <c r="I597" s="108" t="n"/>
      <c r="J597" s="109" t="n"/>
      <c r="K597" s="109" t="n"/>
      <c r="L597" s="121">
        <f>IF($C597="","",IF($D597="Gider",$E597,$H597))</f>
        <v/>
      </c>
      <c r="M597" s="121">
        <f>IF($C597="","",IF($D597="Gider",$H597,$E597))</f>
        <v/>
      </c>
      <c r="N597" s="231">
        <f>IF($C597="","",DATE(YEAR($C597),MONTH($C597),1))</f>
        <v/>
      </c>
      <c r="O597" s="113">
        <f>IF($C597="","",IF(AND($D597&lt;&gt;"",$E597&lt;&gt;"",$G597&gt;0,$H597&lt;&gt;"",$I597&lt;&gt;""),IF($C597&gt;TODAY(),"İLERİ TARİH","UYGUN"),"EKSİK"))</f>
        <v/>
      </c>
      <c r="P597" s="6" t="n"/>
      <c r="Q597" s="6" t="n"/>
      <c r="R597" s="3" t="n"/>
      <c r="S597" s="3" t="n"/>
      <c r="T597" s="3" t="n"/>
      <c r="U597" s="3" t="n"/>
      <c r="V597" s="3" t="n"/>
      <c r="W597" s="3" t="n"/>
    </row>
    <row r="598">
      <c r="A598" s="6" t="n"/>
      <c r="B598" s="113">
        <f>IF($C598="","","GG"&amp;TEXT(ROW()-6,"00000"))</f>
        <v/>
      </c>
      <c r="C598" s="225" t="n"/>
      <c r="D598" s="108" t="n"/>
      <c r="E598" s="109" t="n"/>
      <c r="F598" s="109" t="n"/>
      <c r="G598" s="226" t="n"/>
      <c r="H598" s="108" t="n"/>
      <c r="I598" s="108" t="n"/>
      <c r="J598" s="109" t="n"/>
      <c r="K598" s="109" t="n"/>
      <c r="L598" s="121">
        <f>IF($C598="","",IF($D598="Gider",$E598,$H598))</f>
        <v/>
      </c>
      <c r="M598" s="121">
        <f>IF($C598="","",IF($D598="Gider",$H598,$E598))</f>
        <v/>
      </c>
      <c r="N598" s="231">
        <f>IF($C598="","",DATE(YEAR($C598),MONTH($C598),1))</f>
        <v/>
      </c>
      <c r="O598" s="113">
        <f>IF($C598="","",IF(AND($D598&lt;&gt;"",$E598&lt;&gt;"",$G598&gt;0,$H598&lt;&gt;"",$I598&lt;&gt;""),IF($C598&gt;TODAY(),"İLERİ TARİH","UYGUN"),"EKSİK"))</f>
        <v/>
      </c>
      <c r="P598" s="6" t="n"/>
      <c r="Q598" s="6" t="n"/>
      <c r="R598" s="3" t="n"/>
      <c r="S598" s="3" t="n"/>
      <c r="T598" s="3" t="n"/>
      <c r="U598" s="3" t="n"/>
      <c r="V598" s="3" t="n"/>
      <c r="W598" s="3" t="n"/>
    </row>
    <row r="599">
      <c r="A599" s="6" t="n"/>
      <c r="B599" s="113">
        <f>IF($C599="","","GG"&amp;TEXT(ROW()-6,"00000"))</f>
        <v/>
      </c>
      <c r="C599" s="225" t="n"/>
      <c r="D599" s="108" t="n"/>
      <c r="E599" s="109" t="n"/>
      <c r="F599" s="109" t="n"/>
      <c r="G599" s="226" t="n"/>
      <c r="H599" s="108" t="n"/>
      <c r="I599" s="108" t="n"/>
      <c r="J599" s="109" t="n"/>
      <c r="K599" s="109" t="n"/>
      <c r="L599" s="121">
        <f>IF($C599="","",IF($D599="Gider",$E599,$H599))</f>
        <v/>
      </c>
      <c r="M599" s="121">
        <f>IF($C599="","",IF($D599="Gider",$H599,$E599))</f>
        <v/>
      </c>
      <c r="N599" s="231">
        <f>IF($C599="","",DATE(YEAR($C599),MONTH($C599),1))</f>
        <v/>
      </c>
      <c r="O599" s="113">
        <f>IF($C599="","",IF(AND($D599&lt;&gt;"",$E599&lt;&gt;"",$G599&gt;0,$H599&lt;&gt;"",$I599&lt;&gt;""),IF($C599&gt;TODAY(),"İLERİ TARİH","UYGUN"),"EKSİK"))</f>
        <v/>
      </c>
      <c r="P599" s="6" t="n"/>
      <c r="Q599" s="6" t="n"/>
      <c r="R599" s="3" t="n"/>
      <c r="S599" s="3" t="n"/>
      <c r="T599" s="3" t="n"/>
      <c r="U599" s="3" t="n"/>
      <c r="V599" s="3" t="n"/>
      <c r="W599" s="3" t="n"/>
    </row>
    <row r="600">
      <c r="A600" s="6" t="n"/>
      <c r="B600" s="113">
        <f>IF($C600="","","GG"&amp;TEXT(ROW()-6,"00000"))</f>
        <v/>
      </c>
      <c r="C600" s="225" t="n"/>
      <c r="D600" s="108" t="n"/>
      <c r="E600" s="109" t="n"/>
      <c r="F600" s="109" t="n"/>
      <c r="G600" s="226" t="n"/>
      <c r="H600" s="108" t="n"/>
      <c r="I600" s="108" t="n"/>
      <c r="J600" s="109" t="n"/>
      <c r="K600" s="109" t="n"/>
      <c r="L600" s="121">
        <f>IF($C600="","",IF($D600="Gider",$E600,$H600))</f>
        <v/>
      </c>
      <c r="M600" s="121">
        <f>IF($C600="","",IF($D600="Gider",$H600,$E600))</f>
        <v/>
      </c>
      <c r="N600" s="231">
        <f>IF($C600="","",DATE(YEAR($C600),MONTH($C600),1))</f>
        <v/>
      </c>
      <c r="O600" s="113">
        <f>IF($C600="","",IF(AND($D600&lt;&gt;"",$E600&lt;&gt;"",$G600&gt;0,$H600&lt;&gt;"",$I600&lt;&gt;""),IF($C600&gt;TODAY(),"İLERİ TARİH","UYGUN"),"EKSİK"))</f>
        <v/>
      </c>
      <c r="P600" s="6" t="n"/>
      <c r="Q600" s="6" t="n"/>
      <c r="R600" s="3" t="n"/>
      <c r="S600" s="3" t="n"/>
      <c r="T600" s="3" t="n"/>
      <c r="U600" s="3" t="n"/>
      <c r="V600" s="3" t="n"/>
      <c r="W600" s="3" t="n"/>
    </row>
    <row r="601">
      <c r="A601" s="6" t="n"/>
      <c r="B601" s="113">
        <f>IF($C601="","","GG"&amp;TEXT(ROW()-6,"00000"))</f>
        <v/>
      </c>
      <c r="C601" s="225" t="n"/>
      <c r="D601" s="108" t="n"/>
      <c r="E601" s="109" t="n"/>
      <c r="F601" s="109" t="n"/>
      <c r="G601" s="226" t="n"/>
      <c r="H601" s="108" t="n"/>
      <c r="I601" s="108" t="n"/>
      <c r="J601" s="109" t="n"/>
      <c r="K601" s="109" t="n"/>
      <c r="L601" s="121">
        <f>IF($C601="","",IF($D601="Gider",$E601,$H601))</f>
        <v/>
      </c>
      <c r="M601" s="121">
        <f>IF($C601="","",IF($D601="Gider",$H601,$E601))</f>
        <v/>
      </c>
      <c r="N601" s="231">
        <f>IF($C601="","",DATE(YEAR($C601),MONTH($C601),1))</f>
        <v/>
      </c>
      <c r="O601" s="113">
        <f>IF($C601="","",IF(AND($D601&lt;&gt;"",$E601&lt;&gt;"",$G601&gt;0,$H601&lt;&gt;"",$I601&lt;&gt;""),IF($C601&gt;TODAY(),"İLERİ TARİH","UYGUN"),"EKSİK"))</f>
        <v/>
      </c>
      <c r="P601" s="6" t="n"/>
      <c r="Q601" s="6" t="n"/>
      <c r="R601" s="3" t="n"/>
      <c r="S601" s="3" t="n"/>
      <c r="T601" s="3" t="n"/>
      <c r="U601" s="3" t="n"/>
      <c r="V601" s="3" t="n"/>
      <c r="W601" s="3" t="n"/>
    </row>
    <row r="602">
      <c r="A602" s="6" t="n"/>
      <c r="B602" s="113">
        <f>IF($C602="","","GG"&amp;TEXT(ROW()-6,"00000"))</f>
        <v/>
      </c>
      <c r="C602" s="225" t="n"/>
      <c r="D602" s="108" t="n"/>
      <c r="E602" s="109" t="n"/>
      <c r="F602" s="109" t="n"/>
      <c r="G602" s="226" t="n"/>
      <c r="H602" s="108" t="n"/>
      <c r="I602" s="108" t="n"/>
      <c r="J602" s="109" t="n"/>
      <c r="K602" s="109" t="n"/>
      <c r="L602" s="121">
        <f>IF($C602="","",IF($D602="Gider",$E602,$H602))</f>
        <v/>
      </c>
      <c r="M602" s="121">
        <f>IF($C602="","",IF($D602="Gider",$H602,$E602))</f>
        <v/>
      </c>
      <c r="N602" s="231">
        <f>IF($C602="","",DATE(YEAR($C602),MONTH($C602),1))</f>
        <v/>
      </c>
      <c r="O602" s="113">
        <f>IF($C602="","",IF(AND($D602&lt;&gt;"",$E602&lt;&gt;"",$G602&gt;0,$H602&lt;&gt;"",$I602&lt;&gt;""),IF($C602&gt;TODAY(),"İLERİ TARİH","UYGUN"),"EKSİK"))</f>
        <v/>
      </c>
      <c r="P602" s="6" t="n"/>
      <c r="Q602" s="6" t="n"/>
      <c r="R602" s="3" t="n"/>
      <c r="S602" s="3" t="n"/>
      <c r="T602" s="3" t="n"/>
      <c r="U602" s="3" t="n"/>
      <c r="V602" s="3" t="n"/>
      <c r="W602" s="3" t="n"/>
    </row>
    <row r="603">
      <c r="A603" s="6" t="n"/>
      <c r="B603" s="113">
        <f>IF($C603="","","GG"&amp;TEXT(ROW()-6,"00000"))</f>
        <v/>
      </c>
      <c r="C603" s="225" t="n"/>
      <c r="D603" s="108" t="n"/>
      <c r="E603" s="109" t="n"/>
      <c r="F603" s="109" t="n"/>
      <c r="G603" s="226" t="n"/>
      <c r="H603" s="108" t="n"/>
      <c r="I603" s="108" t="n"/>
      <c r="J603" s="109" t="n"/>
      <c r="K603" s="109" t="n"/>
      <c r="L603" s="121">
        <f>IF($C603="","",IF($D603="Gider",$E603,$H603))</f>
        <v/>
      </c>
      <c r="M603" s="121">
        <f>IF($C603="","",IF($D603="Gider",$H603,$E603))</f>
        <v/>
      </c>
      <c r="N603" s="231">
        <f>IF($C603="","",DATE(YEAR($C603),MONTH($C603),1))</f>
        <v/>
      </c>
      <c r="O603" s="113">
        <f>IF($C603="","",IF(AND($D603&lt;&gt;"",$E603&lt;&gt;"",$G603&gt;0,$H603&lt;&gt;"",$I603&lt;&gt;""),IF($C603&gt;TODAY(),"İLERİ TARİH","UYGUN"),"EKSİK"))</f>
        <v/>
      </c>
      <c r="P603" s="6" t="n"/>
      <c r="Q603" s="6" t="n"/>
      <c r="R603" s="3" t="n"/>
      <c r="S603" s="3" t="n"/>
      <c r="T603" s="3" t="n"/>
      <c r="U603" s="3" t="n"/>
      <c r="V603" s="3" t="n"/>
      <c r="W603" s="3" t="n"/>
    </row>
    <row r="604">
      <c r="A604" s="6" t="n"/>
      <c r="B604" s="113">
        <f>IF($C604="","","GG"&amp;TEXT(ROW()-6,"00000"))</f>
        <v/>
      </c>
      <c r="C604" s="225" t="n"/>
      <c r="D604" s="108" t="n"/>
      <c r="E604" s="109" t="n"/>
      <c r="F604" s="109" t="n"/>
      <c r="G604" s="226" t="n"/>
      <c r="H604" s="108" t="n"/>
      <c r="I604" s="108" t="n"/>
      <c r="J604" s="109" t="n"/>
      <c r="K604" s="109" t="n"/>
      <c r="L604" s="121">
        <f>IF($C604="","",IF($D604="Gider",$E604,$H604))</f>
        <v/>
      </c>
      <c r="M604" s="121">
        <f>IF($C604="","",IF($D604="Gider",$H604,$E604))</f>
        <v/>
      </c>
      <c r="N604" s="231">
        <f>IF($C604="","",DATE(YEAR($C604),MONTH($C604),1))</f>
        <v/>
      </c>
      <c r="O604" s="113">
        <f>IF($C604="","",IF(AND($D604&lt;&gt;"",$E604&lt;&gt;"",$G604&gt;0,$H604&lt;&gt;"",$I604&lt;&gt;""),IF($C604&gt;TODAY(),"İLERİ TARİH","UYGUN"),"EKSİK"))</f>
        <v/>
      </c>
      <c r="P604" s="6" t="n"/>
      <c r="Q604" s="6" t="n"/>
      <c r="R604" s="3" t="n"/>
      <c r="S604" s="3" t="n"/>
      <c r="T604" s="3" t="n"/>
      <c r="U604" s="3" t="n"/>
      <c r="V604" s="3" t="n"/>
      <c r="W604" s="3" t="n"/>
    </row>
    <row r="605">
      <c r="A605" s="6" t="n"/>
      <c r="B605" s="113">
        <f>IF($C605="","","GG"&amp;TEXT(ROW()-6,"00000"))</f>
        <v/>
      </c>
      <c r="C605" s="225" t="n"/>
      <c r="D605" s="108" t="n"/>
      <c r="E605" s="109" t="n"/>
      <c r="F605" s="109" t="n"/>
      <c r="G605" s="226" t="n"/>
      <c r="H605" s="108" t="n"/>
      <c r="I605" s="108" t="n"/>
      <c r="J605" s="109" t="n"/>
      <c r="K605" s="109" t="n"/>
      <c r="L605" s="121">
        <f>IF($C605="","",IF($D605="Gider",$E605,$H605))</f>
        <v/>
      </c>
      <c r="M605" s="121">
        <f>IF($C605="","",IF($D605="Gider",$H605,$E605))</f>
        <v/>
      </c>
      <c r="N605" s="231">
        <f>IF($C605="","",DATE(YEAR($C605),MONTH($C605),1))</f>
        <v/>
      </c>
      <c r="O605" s="113">
        <f>IF($C605="","",IF(AND($D605&lt;&gt;"",$E605&lt;&gt;"",$G605&gt;0,$H605&lt;&gt;"",$I605&lt;&gt;""),IF($C605&gt;TODAY(),"İLERİ TARİH","UYGUN"),"EKSİK"))</f>
        <v/>
      </c>
      <c r="P605" s="6" t="n"/>
      <c r="Q605" s="6" t="n"/>
      <c r="R605" s="3" t="n"/>
      <c r="S605" s="3" t="n"/>
      <c r="T605" s="3" t="n"/>
      <c r="U605" s="3" t="n"/>
      <c r="V605" s="3" t="n"/>
      <c r="W605" s="3" t="n"/>
    </row>
    <row r="606">
      <c r="A606" s="6" t="n"/>
      <c r="B606" s="113">
        <f>IF($C606="","","GG"&amp;TEXT(ROW()-6,"00000"))</f>
        <v/>
      </c>
      <c r="C606" s="225" t="n"/>
      <c r="D606" s="108" t="n"/>
      <c r="E606" s="109" t="n"/>
      <c r="F606" s="109" t="n"/>
      <c r="G606" s="226" t="n"/>
      <c r="H606" s="108" t="n"/>
      <c r="I606" s="108" t="n"/>
      <c r="J606" s="109" t="n"/>
      <c r="K606" s="109" t="n"/>
      <c r="L606" s="121">
        <f>IF($C606="","",IF($D606="Gider",$E606,$H606))</f>
        <v/>
      </c>
      <c r="M606" s="121">
        <f>IF($C606="","",IF($D606="Gider",$H606,$E606))</f>
        <v/>
      </c>
      <c r="N606" s="231">
        <f>IF($C606="","",DATE(YEAR($C606),MONTH($C606),1))</f>
        <v/>
      </c>
      <c r="O606" s="113">
        <f>IF($C606="","",IF(AND($D606&lt;&gt;"",$E606&lt;&gt;"",$G606&gt;0,$H606&lt;&gt;"",$I606&lt;&gt;""),IF($C606&gt;TODAY(),"İLERİ TARİH","UYGUN"),"EKSİK"))</f>
        <v/>
      </c>
      <c r="P606" s="6" t="n"/>
      <c r="Q606" s="6" t="n"/>
      <c r="R606" s="3" t="n"/>
      <c r="S606" s="3" t="n"/>
      <c r="T606" s="3" t="n"/>
      <c r="U606" s="3" t="n"/>
      <c r="V606" s="3" t="n"/>
      <c r="W606" s="3" t="n"/>
    </row>
    <row r="607">
      <c r="A607" s="6" t="n"/>
      <c r="B607" s="113">
        <f>IF($C607="","","GG"&amp;TEXT(ROW()-6,"00000"))</f>
        <v/>
      </c>
      <c r="C607" s="225" t="n"/>
      <c r="D607" s="108" t="n"/>
      <c r="E607" s="109" t="n"/>
      <c r="F607" s="109" t="n"/>
      <c r="G607" s="226" t="n"/>
      <c r="H607" s="108" t="n"/>
      <c r="I607" s="108" t="n"/>
      <c r="J607" s="109" t="n"/>
      <c r="K607" s="109" t="n"/>
      <c r="L607" s="121">
        <f>IF($C607="","",IF($D607="Gider",$E607,$H607))</f>
        <v/>
      </c>
      <c r="M607" s="121">
        <f>IF($C607="","",IF($D607="Gider",$H607,$E607))</f>
        <v/>
      </c>
      <c r="N607" s="231">
        <f>IF($C607="","",DATE(YEAR($C607),MONTH($C607),1))</f>
        <v/>
      </c>
      <c r="O607" s="113">
        <f>IF($C607="","",IF(AND($D607&lt;&gt;"",$E607&lt;&gt;"",$G607&gt;0,$H607&lt;&gt;"",$I607&lt;&gt;""),IF($C607&gt;TODAY(),"İLERİ TARİH","UYGUN"),"EKSİK"))</f>
        <v/>
      </c>
      <c r="P607" s="6" t="n"/>
      <c r="Q607" s="6" t="n"/>
      <c r="R607" s="3" t="n"/>
      <c r="S607" s="3" t="n"/>
      <c r="T607" s="3" t="n"/>
      <c r="U607" s="3" t="n"/>
      <c r="V607" s="3" t="n"/>
      <c r="W607" s="3" t="n"/>
    </row>
    <row r="608">
      <c r="A608" s="6" t="n"/>
      <c r="B608" s="113">
        <f>IF($C608="","","GG"&amp;TEXT(ROW()-6,"00000"))</f>
        <v/>
      </c>
      <c r="C608" s="225" t="n"/>
      <c r="D608" s="108" t="n"/>
      <c r="E608" s="109" t="n"/>
      <c r="F608" s="109" t="n"/>
      <c r="G608" s="226" t="n"/>
      <c r="H608" s="108" t="n"/>
      <c r="I608" s="108" t="n"/>
      <c r="J608" s="109" t="n"/>
      <c r="K608" s="109" t="n"/>
      <c r="L608" s="121">
        <f>IF($C608="","",IF($D608="Gider",$E608,$H608))</f>
        <v/>
      </c>
      <c r="M608" s="121">
        <f>IF($C608="","",IF($D608="Gider",$H608,$E608))</f>
        <v/>
      </c>
      <c r="N608" s="231">
        <f>IF($C608="","",DATE(YEAR($C608),MONTH($C608),1))</f>
        <v/>
      </c>
      <c r="O608" s="113">
        <f>IF($C608="","",IF(AND($D608&lt;&gt;"",$E608&lt;&gt;"",$G608&gt;0,$H608&lt;&gt;"",$I608&lt;&gt;""),IF($C608&gt;TODAY(),"İLERİ TARİH","UYGUN"),"EKSİK"))</f>
        <v/>
      </c>
      <c r="P608" s="6" t="n"/>
      <c r="Q608" s="6" t="n"/>
      <c r="R608" s="3" t="n"/>
      <c r="S608" s="3" t="n"/>
      <c r="T608" s="3" t="n"/>
      <c r="U608" s="3" t="n"/>
      <c r="V608" s="3" t="n"/>
      <c r="W608" s="3" t="n"/>
    </row>
    <row r="609">
      <c r="A609" s="6" t="n"/>
      <c r="B609" s="113">
        <f>IF($C609="","","GG"&amp;TEXT(ROW()-6,"00000"))</f>
        <v/>
      </c>
      <c r="C609" s="225" t="n"/>
      <c r="D609" s="108" t="n"/>
      <c r="E609" s="109" t="n"/>
      <c r="F609" s="109" t="n"/>
      <c r="G609" s="226" t="n"/>
      <c r="H609" s="108" t="n"/>
      <c r="I609" s="108" t="n"/>
      <c r="J609" s="109" t="n"/>
      <c r="K609" s="109" t="n"/>
      <c r="L609" s="121">
        <f>IF($C609="","",IF($D609="Gider",$E609,$H609))</f>
        <v/>
      </c>
      <c r="M609" s="121">
        <f>IF($C609="","",IF($D609="Gider",$H609,$E609))</f>
        <v/>
      </c>
      <c r="N609" s="231">
        <f>IF($C609="","",DATE(YEAR($C609),MONTH($C609),1))</f>
        <v/>
      </c>
      <c r="O609" s="113">
        <f>IF($C609="","",IF(AND($D609&lt;&gt;"",$E609&lt;&gt;"",$G609&gt;0,$H609&lt;&gt;"",$I609&lt;&gt;""),IF($C609&gt;TODAY(),"İLERİ TARİH","UYGUN"),"EKSİK"))</f>
        <v/>
      </c>
      <c r="P609" s="6" t="n"/>
      <c r="Q609" s="6" t="n"/>
      <c r="R609" s="3" t="n"/>
      <c r="S609" s="3" t="n"/>
      <c r="T609" s="3" t="n"/>
      <c r="U609" s="3" t="n"/>
      <c r="V609" s="3" t="n"/>
      <c r="W609" s="3" t="n"/>
    </row>
    <row r="610">
      <c r="A610" s="6" t="n"/>
      <c r="B610" s="113">
        <f>IF($C610="","","GG"&amp;TEXT(ROW()-6,"00000"))</f>
        <v/>
      </c>
      <c r="C610" s="225" t="n"/>
      <c r="D610" s="108" t="n"/>
      <c r="E610" s="109" t="n"/>
      <c r="F610" s="109" t="n"/>
      <c r="G610" s="226" t="n"/>
      <c r="H610" s="108" t="n"/>
      <c r="I610" s="108" t="n"/>
      <c r="J610" s="109" t="n"/>
      <c r="K610" s="109" t="n"/>
      <c r="L610" s="121">
        <f>IF($C610="","",IF($D610="Gider",$E610,$H610))</f>
        <v/>
      </c>
      <c r="M610" s="121">
        <f>IF($C610="","",IF($D610="Gider",$H610,$E610))</f>
        <v/>
      </c>
      <c r="N610" s="231">
        <f>IF($C610="","",DATE(YEAR($C610),MONTH($C610),1))</f>
        <v/>
      </c>
      <c r="O610" s="113">
        <f>IF($C610="","",IF(AND($D610&lt;&gt;"",$E610&lt;&gt;"",$G610&gt;0,$H610&lt;&gt;"",$I610&lt;&gt;""),IF($C610&gt;TODAY(),"İLERİ TARİH","UYGUN"),"EKSİK"))</f>
        <v/>
      </c>
      <c r="P610" s="6" t="n"/>
      <c r="Q610" s="6" t="n"/>
      <c r="R610" s="3" t="n"/>
      <c r="S610" s="3" t="n"/>
      <c r="T610" s="3" t="n"/>
      <c r="U610" s="3" t="n"/>
      <c r="V610" s="3" t="n"/>
      <c r="W610" s="3" t="n"/>
    </row>
    <row r="611">
      <c r="A611" s="6" t="n"/>
      <c r="B611" s="113">
        <f>IF($C611="","","GG"&amp;TEXT(ROW()-6,"00000"))</f>
        <v/>
      </c>
      <c r="C611" s="225" t="n"/>
      <c r="D611" s="108" t="n"/>
      <c r="E611" s="109" t="n"/>
      <c r="F611" s="109" t="n"/>
      <c r="G611" s="226" t="n"/>
      <c r="H611" s="108" t="n"/>
      <c r="I611" s="108" t="n"/>
      <c r="J611" s="109" t="n"/>
      <c r="K611" s="109" t="n"/>
      <c r="L611" s="121">
        <f>IF($C611="","",IF($D611="Gider",$E611,$H611))</f>
        <v/>
      </c>
      <c r="M611" s="121">
        <f>IF($C611="","",IF($D611="Gider",$H611,$E611))</f>
        <v/>
      </c>
      <c r="N611" s="231">
        <f>IF($C611="","",DATE(YEAR($C611),MONTH($C611),1))</f>
        <v/>
      </c>
      <c r="O611" s="113">
        <f>IF($C611="","",IF(AND($D611&lt;&gt;"",$E611&lt;&gt;"",$G611&gt;0,$H611&lt;&gt;"",$I611&lt;&gt;""),IF($C611&gt;TODAY(),"İLERİ TARİH","UYGUN"),"EKSİK"))</f>
        <v/>
      </c>
      <c r="P611" s="6" t="n"/>
      <c r="Q611" s="6" t="n"/>
      <c r="R611" s="3" t="n"/>
      <c r="S611" s="3" t="n"/>
      <c r="T611" s="3" t="n"/>
      <c r="U611" s="3" t="n"/>
      <c r="V611" s="3" t="n"/>
      <c r="W611" s="3" t="n"/>
    </row>
    <row r="612">
      <c r="A612" s="6" t="n"/>
      <c r="B612" s="113">
        <f>IF($C612="","","GG"&amp;TEXT(ROW()-6,"00000"))</f>
        <v/>
      </c>
      <c r="C612" s="225" t="n"/>
      <c r="D612" s="108" t="n"/>
      <c r="E612" s="109" t="n"/>
      <c r="F612" s="109" t="n"/>
      <c r="G612" s="226" t="n"/>
      <c r="H612" s="108" t="n"/>
      <c r="I612" s="108" t="n"/>
      <c r="J612" s="109" t="n"/>
      <c r="K612" s="109" t="n"/>
      <c r="L612" s="121">
        <f>IF($C612="","",IF($D612="Gider",$E612,$H612))</f>
        <v/>
      </c>
      <c r="M612" s="121">
        <f>IF($C612="","",IF($D612="Gider",$H612,$E612))</f>
        <v/>
      </c>
      <c r="N612" s="231">
        <f>IF($C612="","",DATE(YEAR($C612),MONTH($C612),1))</f>
        <v/>
      </c>
      <c r="O612" s="113">
        <f>IF($C612="","",IF(AND($D612&lt;&gt;"",$E612&lt;&gt;"",$G612&gt;0,$H612&lt;&gt;"",$I612&lt;&gt;""),IF($C612&gt;TODAY(),"İLERİ TARİH","UYGUN"),"EKSİK"))</f>
        <v/>
      </c>
      <c r="P612" s="6" t="n"/>
      <c r="Q612" s="6" t="n"/>
      <c r="R612" s="3" t="n"/>
      <c r="S612" s="3" t="n"/>
      <c r="T612" s="3" t="n"/>
      <c r="U612" s="3" t="n"/>
      <c r="V612" s="3" t="n"/>
      <c r="W612" s="3" t="n"/>
    </row>
    <row r="613">
      <c r="A613" s="6" t="n"/>
      <c r="B613" s="113">
        <f>IF($C613="","","GG"&amp;TEXT(ROW()-6,"00000"))</f>
        <v/>
      </c>
      <c r="C613" s="225" t="n"/>
      <c r="D613" s="108" t="n"/>
      <c r="E613" s="109" t="n"/>
      <c r="F613" s="109" t="n"/>
      <c r="G613" s="226" t="n"/>
      <c r="H613" s="108" t="n"/>
      <c r="I613" s="108" t="n"/>
      <c r="J613" s="109" t="n"/>
      <c r="K613" s="109" t="n"/>
      <c r="L613" s="121">
        <f>IF($C613="","",IF($D613="Gider",$E613,$H613))</f>
        <v/>
      </c>
      <c r="M613" s="121">
        <f>IF($C613="","",IF($D613="Gider",$H613,$E613))</f>
        <v/>
      </c>
      <c r="N613" s="231">
        <f>IF($C613="","",DATE(YEAR($C613),MONTH($C613),1))</f>
        <v/>
      </c>
      <c r="O613" s="113">
        <f>IF($C613="","",IF(AND($D613&lt;&gt;"",$E613&lt;&gt;"",$G613&gt;0,$H613&lt;&gt;"",$I613&lt;&gt;""),IF($C613&gt;TODAY(),"İLERİ TARİH","UYGUN"),"EKSİK"))</f>
        <v/>
      </c>
      <c r="P613" s="6" t="n"/>
      <c r="Q613" s="6" t="n"/>
      <c r="R613" s="3" t="n"/>
      <c r="S613" s="3" t="n"/>
      <c r="T613" s="3" t="n"/>
      <c r="U613" s="3" t="n"/>
      <c r="V613" s="3" t="n"/>
      <c r="W613" s="3" t="n"/>
    </row>
    <row r="614">
      <c r="A614" s="6" t="n"/>
      <c r="B614" s="113">
        <f>IF($C614="","","GG"&amp;TEXT(ROW()-6,"00000"))</f>
        <v/>
      </c>
      <c r="C614" s="225" t="n"/>
      <c r="D614" s="108" t="n"/>
      <c r="E614" s="109" t="n"/>
      <c r="F614" s="109" t="n"/>
      <c r="G614" s="226" t="n"/>
      <c r="H614" s="108" t="n"/>
      <c r="I614" s="108" t="n"/>
      <c r="J614" s="109" t="n"/>
      <c r="K614" s="109" t="n"/>
      <c r="L614" s="121">
        <f>IF($C614="","",IF($D614="Gider",$E614,$H614))</f>
        <v/>
      </c>
      <c r="M614" s="121">
        <f>IF($C614="","",IF($D614="Gider",$H614,$E614))</f>
        <v/>
      </c>
      <c r="N614" s="231">
        <f>IF($C614="","",DATE(YEAR($C614),MONTH($C614),1))</f>
        <v/>
      </c>
      <c r="O614" s="113">
        <f>IF($C614="","",IF(AND($D614&lt;&gt;"",$E614&lt;&gt;"",$G614&gt;0,$H614&lt;&gt;"",$I614&lt;&gt;""),IF($C614&gt;TODAY(),"İLERİ TARİH","UYGUN"),"EKSİK"))</f>
        <v/>
      </c>
      <c r="P614" s="6" t="n"/>
      <c r="Q614" s="6" t="n"/>
      <c r="R614" s="3" t="n"/>
      <c r="S614" s="3" t="n"/>
      <c r="T614" s="3" t="n"/>
      <c r="U614" s="3" t="n"/>
      <c r="V614" s="3" t="n"/>
      <c r="W614" s="3" t="n"/>
    </row>
    <row r="615">
      <c r="A615" s="6" t="n"/>
      <c r="B615" s="113">
        <f>IF($C615="","","GG"&amp;TEXT(ROW()-6,"00000"))</f>
        <v/>
      </c>
      <c r="C615" s="225" t="n"/>
      <c r="D615" s="108" t="n"/>
      <c r="E615" s="109" t="n"/>
      <c r="F615" s="109" t="n"/>
      <c r="G615" s="226" t="n"/>
      <c r="H615" s="108" t="n"/>
      <c r="I615" s="108" t="n"/>
      <c r="J615" s="109" t="n"/>
      <c r="K615" s="109" t="n"/>
      <c r="L615" s="121">
        <f>IF($C615="","",IF($D615="Gider",$E615,$H615))</f>
        <v/>
      </c>
      <c r="M615" s="121">
        <f>IF($C615="","",IF($D615="Gider",$H615,$E615))</f>
        <v/>
      </c>
      <c r="N615" s="231">
        <f>IF($C615="","",DATE(YEAR($C615),MONTH($C615),1))</f>
        <v/>
      </c>
      <c r="O615" s="113">
        <f>IF($C615="","",IF(AND($D615&lt;&gt;"",$E615&lt;&gt;"",$G615&gt;0,$H615&lt;&gt;"",$I615&lt;&gt;""),IF($C615&gt;TODAY(),"İLERİ TARİH","UYGUN"),"EKSİK"))</f>
        <v/>
      </c>
      <c r="P615" s="6" t="n"/>
      <c r="Q615" s="6" t="n"/>
      <c r="R615" s="3" t="n"/>
      <c r="S615" s="3" t="n"/>
      <c r="T615" s="3" t="n"/>
      <c r="U615" s="3" t="n"/>
      <c r="V615" s="3" t="n"/>
      <c r="W615" s="3" t="n"/>
    </row>
    <row r="616">
      <c r="A616" s="6" t="n"/>
      <c r="B616" s="113">
        <f>IF($C616="","","GG"&amp;TEXT(ROW()-6,"00000"))</f>
        <v/>
      </c>
      <c r="C616" s="225" t="n"/>
      <c r="D616" s="108" t="n"/>
      <c r="E616" s="109" t="n"/>
      <c r="F616" s="109" t="n"/>
      <c r="G616" s="226" t="n"/>
      <c r="H616" s="108" t="n"/>
      <c r="I616" s="108" t="n"/>
      <c r="J616" s="109" t="n"/>
      <c r="K616" s="109" t="n"/>
      <c r="L616" s="121">
        <f>IF($C616="","",IF($D616="Gider",$E616,$H616))</f>
        <v/>
      </c>
      <c r="M616" s="121">
        <f>IF($C616="","",IF($D616="Gider",$H616,$E616))</f>
        <v/>
      </c>
      <c r="N616" s="231">
        <f>IF($C616="","",DATE(YEAR($C616),MONTH($C616),1))</f>
        <v/>
      </c>
      <c r="O616" s="113">
        <f>IF($C616="","",IF(AND($D616&lt;&gt;"",$E616&lt;&gt;"",$G616&gt;0,$H616&lt;&gt;"",$I616&lt;&gt;""),IF($C616&gt;TODAY(),"İLERİ TARİH","UYGUN"),"EKSİK"))</f>
        <v/>
      </c>
      <c r="P616" s="6" t="n"/>
      <c r="Q616" s="6" t="n"/>
      <c r="R616" s="3" t="n"/>
      <c r="S616" s="3" t="n"/>
      <c r="T616" s="3" t="n"/>
      <c r="U616" s="3" t="n"/>
      <c r="V616" s="3" t="n"/>
      <c r="W616" s="3" t="n"/>
    </row>
    <row r="617">
      <c r="A617" s="6" t="n"/>
      <c r="B617" s="113">
        <f>IF($C617="","","GG"&amp;TEXT(ROW()-6,"00000"))</f>
        <v/>
      </c>
      <c r="C617" s="225" t="n"/>
      <c r="D617" s="108" t="n"/>
      <c r="E617" s="109" t="n"/>
      <c r="F617" s="109" t="n"/>
      <c r="G617" s="226" t="n"/>
      <c r="H617" s="108" t="n"/>
      <c r="I617" s="108" t="n"/>
      <c r="J617" s="109" t="n"/>
      <c r="K617" s="109" t="n"/>
      <c r="L617" s="121">
        <f>IF($C617="","",IF($D617="Gider",$E617,$H617))</f>
        <v/>
      </c>
      <c r="M617" s="121">
        <f>IF($C617="","",IF($D617="Gider",$H617,$E617))</f>
        <v/>
      </c>
      <c r="N617" s="231">
        <f>IF($C617="","",DATE(YEAR($C617),MONTH($C617),1))</f>
        <v/>
      </c>
      <c r="O617" s="113">
        <f>IF($C617="","",IF(AND($D617&lt;&gt;"",$E617&lt;&gt;"",$G617&gt;0,$H617&lt;&gt;"",$I617&lt;&gt;""),IF($C617&gt;TODAY(),"İLERİ TARİH","UYGUN"),"EKSİK"))</f>
        <v/>
      </c>
      <c r="P617" s="6" t="n"/>
      <c r="Q617" s="6" t="n"/>
      <c r="R617" s="3" t="n"/>
      <c r="S617" s="3" t="n"/>
      <c r="T617" s="3" t="n"/>
      <c r="U617" s="3" t="n"/>
      <c r="V617" s="3" t="n"/>
      <c r="W617" s="3" t="n"/>
    </row>
    <row r="618">
      <c r="A618" s="6" t="n"/>
      <c r="B618" s="113">
        <f>IF($C618="","","GG"&amp;TEXT(ROW()-6,"00000"))</f>
        <v/>
      </c>
      <c r="C618" s="225" t="n"/>
      <c r="D618" s="108" t="n"/>
      <c r="E618" s="109" t="n"/>
      <c r="F618" s="109" t="n"/>
      <c r="G618" s="226" t="n"/>
      <c r="H618" s="108" t="n"/>
      <c r="I618" s="108" t="n"/>
      <c r="J618" s="109" t="n"/>
      <c r="K618" s="109" t="n"/>
      <c r="L618" s="121">
        <f>IF($C618="","",IF($D618="Gider",$E618,$H618))</f>
        <v/>
      </c>
      <c r="M618" s="121">
        <f>IF($C618="","",IF($D618="Gider",$H618,$E618))</f>
        <v/>
      </c>
      <c r="N618" s="231">
        <f>IF($C618="","",DATE(YEAR($C618),MONTH($C618),1))</f>
        <v/>
      </c>
      <c r="O618" s="113">
        <f>IF($C618="","",IF(AND($D618&lt;&gt;"",$E618&lt;&gt;"",$G618&gt;0,$H618&lt;&gt;"",$I618&lt;&gt;""),IF($C618&gt;TODAY(),"İLERİ TARİH","UYGUN"),"EKSİK"))</f>
        <v/>
      </c>
      <c r="P618" s="6" t="n"/>
      <c r="Q618" s="6" t="n"/>
      <c r="R618" s="3" t="n"/>
      <c r="S618" s="3" t="n"/>
      <c r="T618" s="3" t="n"/>
      <c r="U618" s="3" t="n"/>
      <c r="V618" s="3" t="n"/>
      <c r="W618" s="3" t="n"/>
    </row>
    <row r="619">
      <c r="A619" s="6" t="n"/>
      <c r="B619" s="113">
        <f>IF($C619="","","GG"&amp;TEXT(ROW()-6,"00000"))</f>
        <v/>
      </c>
      <c r="C619" s="225" t="n"/>
      <c r="D619" s="108" t="n"/>
      <c r="E619" s="109" t="n"/>
      <c r="F619" s="109" t="n"/>
      <c r="G619" s="226" t="n"/>
      <c r="H619" s="108" t="n"/>
      <c r="I619" s="108" t="n"/>
      <c r="J619" s="109" t="n"/>
      <c r="K619" s="109" t="n"/>
      <c r="L619" s="121">
        <f>IF($C619="","",IF($D619="Gider",$E619,$H619))</f>
        <v/>
      </c>
      <c r="M619" s="121">
        <f>IF($C619="","",IF($D619="Gider",$H619,$E619))</f>
        <v/>
      </c>
      <c r="N619" s="231">
        <f>IF($C619="","",DATE(YEAR($C619),MONTH($C619),1))</f>
        <v/>
      </c>
      <c r="O619" s="113">
        <f>IF($C619="","",IF(AND($D619&lt;&gt;"",$E619&lt;&gt;"",$G619&gt;0,$H619&lt;&gt;"",$I619&lt;&gt;""),IF($C619&gt;TODAY(),"İLERİ TARİH","UYGUN"),"EKSİK"))</f>
        <v/>
      </c>
      <c r="P619" s="6" t="n"/>
      <c r="Q619" s="6" t="n"/>
      <c r="R619" s="3" t="n"/>
      <c r="S619" s="3" t="n"/>
      <c r="T619" s="3" t="n"/>
      <c r="U619" s="3" t="n"/>
      <c r="V619" s="3" t="n"/>
      <c r="W619" s="3" t="n"/>
    </row>
    <row r="620">
      <c r="A620" s="6" t="n"/>
      <c r="B620" s="113">
        <f>IF($C620="","","GG"&amp;TEXT(ROW()-6,"00000"))</f>
        <v/>
      </c>
      <c r="C620" s="225" t="n"/>
      <c r="D620" s="108" t="n"/>
      <c r="E620" s="109" t="n"/>
      <c r="F620" s="109" t="n"/>
      <c r="G620" s="226" t="n"/>
      <c r="H620" s="108" t="n"/>
      <c r="I620" s="108" t="n"/>
      <c r="J620" s="109" t="n"/>
      <c r="K620" s="109" t="n"/>
      <c r="L620" s="121">
        <f>IF($C620="","",IF($D620="Gider",$E620,$H620))</f>
        <v/>
      </c>
      <c r="M620" s="121">
        <f>IF($C620="","",IF($D620="Gider",$H620,$E620))</f>
        <v/>
      </c>
      <c r="N620" s="231">
        <f>IF($C620="","",DATE(YEAR($C620),MONTH($C620),1))</f>
        <v/>
      </c>
      <c r="O620" s="113">
        <f>IF($C620="","",IF(AND($D620&lt;&gt;"",$E620&lt;&gt;"",$G620&gt;0,$H620&lt;&gt;"",$I620&lt;&gt;""),IF($C620&gt;TODAY(),"İLERİ TARİH","UYGUN"),"EKSİK"))</f>
        <v/>
      </c>
      <c r="P620" s="6" t="n"/>
      <c r="Q620" s="6" t="n"/>
      <c r="R620" s="3" t="n"/>
      <c r="S620" s="3" t="n"/>
      <c r="T620" s="3" t="n"/>
      <c r="U620" s="3" t="n"/>
      <c r="V620" s="3" t="n"/>
      <c r="W620" s="3" t="n"/>
    </row>
    <row r="621">
      <c r="A621" s="6" t="n"/>
      <c r="B621" s="113">
        <f>IF($C621="","","GG"&amp;TEXT(ROW()-6,"00000"))</f>
        <v/>
      </c>
      <c r="C621" s="225" t="n"/>
      <c r="D621" s="108" t="n"/>
      <c r="E621" s="109" t="n"/>
      <c r="F621" s="109" t="n"/>
      <c r="G621" s="226" t="n"/>
      <c r="H621" s="108" t="n"/>
      <c r="I621" s="108" t="n"/>
      <c r="J621" s="109" t="n"/>
      <c r="K621" s="109" t="n"/>
      <c r="L621" s="121">
        <f>IF($C621="","",IF($D621="Gider",$E621,$H621))</f>
        <v/>
      </c>
      <c r="M621" s="121">
        <f>IF($C621="","",IF($D621="Gider",$H621,$E621))</f>
        <v/>
      </c>
      <c r="N621" s="231">
        <f>IF($C621="","",DATE(YEAR($C621),MONTH($C621),1))</f>
        <v/>
      </c>
      <c r="O621" s="113">
        <f>IF($C621="","",IF(AND($D621&lt;&gt;"",$E621&lt;&gt;"",$G621&gt;0,$H621&lt;&gt;"",$I621&lt;&gt;""),IF($C621&gt;TODAY(),"İLERİ TARİH","UYGUN"),"EKSİK"))</f>
        <v/>
      </c>
      <c r="P621" s="6" t="n"/>
      <c r="Q621" s="6" t="n"/>
      <c r="R621" s="3" t="n"/>
      <c r="S621" s="3" t="n"/>
      <c r="T621" s="3" t="n"/>
      <c r="U621" s="3" t="n"/>
      <c r="V621" s="3" t="n"/>
      <c r="W621" s="3" t="n"/>
    </row>
    <row r="622">
      <c r="A622" s="6" t="n"/>
      <c r="B622" s="113">
        <f>IF($C622="","","GG"&amp;TEXT(ROW()-6,"00000"))</f>
        <v/>
      </c>
      <c r="C622" s="225" t="n"/>
      <c r="D622" s="108" t="n"/>
      <c r="E622" s="109" t="n"/>
      <c r="F622" s="109" t="n"/>
      <c r="G622" s="226" t="n"/>
      <c r="H622" s="108" t="n"/>
      <c r="I622" s="108" t="n"/>
      <c r="J622" s="109" t="n"/>
      <c r="K622" s="109" t="n"/>
      <c r="L622" s="121">
        <f>IF($C622="","",IF($D622="Gider",$E622,$H622))</f>
        <v/>
      </c>
      <c r="M622" s="121">
        <f>IF($C622="","",IF($D622="Gider",$H622,$E622))</f>
        <v/>
      </c>
      <c r="N622" s="231">
        <f>IF($C622="","",DATE(YEAR($C622),MONTH($C622),1))</f>
        <v/>
      </c>
      <c r="O622" s="113">
        <f>IF($C622="","",IF(AND($D622&lt;&gt;"",$E622&lt;&gt;"",$G622&gt;0,$H622&lt;&gt;"",$I622&lt;&gt;""),IF($C622&gt;TODAY(),"İLERİ TARİH","UYGUN"),"EKSİK"))</f>
        <v/>
      </c>
      <c r="P622" s="6" t="n"/>
      <c r="Q622" s="6" t="n"/>
      <c r="R622" s="3" t="n"/>
      <c r="S622" s="3" t="n"/>
      <c r="T622" s="3" t="n"/>
      <c r="U622" s="3" t="n"/>
      <c r="V622" s="3" t="n"/>
      <c r="W622" s="3" t="n"/>
    </row>
    <row r="623">
      <c r="A623" s="6" t="n"/>
      <c r="B623" s="113">
        <f>IF($C623="","","GG"&amp;TEXT(ROW()-6,"00000"))</f>
        <v/>
      </c>
      <c r="C623" s="225" t="n"/>
      <c r="D623" s="108" t="n"/>
      <c r="E623" s="109" t="n"/>
      <c r="F623" s="109" t="n"/>
      <c r="G623" s="226" t="n"/>
      <c r="H623" s="108" t="n"/>
      <c r="I623" s="108" t="n"/>
      <c r="J623" s="109" t="n"/>
      <c r="K623" s="109" t="n"/>
      <c r="L623" s="121">
        <f>IF($C623="","",IF($D623="Gider",$E623,$H623))</f>
        <v/>
      </c>
      <c r="M623" s="121">
        <f>IF($C623="","",IF($D623="Gider",$H623,$E623))</f>
        <v/>
      </c>
      <c r="N623" s="231">
        <f>IF($C623="","",DATE(YEAR($C623),MONTH($C623),1))</f>
        <v/>
      </c>
      <c r="O623" s="113">
        <f>IF($C623="","",IF(AND($D623&lt;&gt;"",$E623&lt;&gt;"",$G623&gt;0,$H623&lt;&gt;"",$I623&lt;&gt;""),IF($C623&gt;TODAY(),"İLERİ TARİH","UYGUN"),"EKSİK"))</f>
        <v/>
      </c>
      <c r="P623" s="6" t="n"/>
      <c r="Q623" s="6" t="n"/>
      <c r="R623" s="3" t="n"/>
      <c r="S623" s="3" t="n"/>
      <c r="T623" s="3" t="n"/>
      <c r="U623" s="3" t="n"/>
      <c r="V623" s="3" t="n"/>
      <c r="W623" s="3" t="n"/>
    </row>
    <row r="624">
      <c r="A624" s="6" t="n"/>
      <c r="B624" s="113">
        <f>IF($C624="","","GG"&amp;TEXT(ROW()-6,"00000"))</f>
        <v/>
      </c>
      <c r="C624" s="225" t="n"/>
      <c r="D624" s="108" t="n"/>
      <c r="E624" s="109" t="n"/>
      <c r="F624" s="109" t="n"/>
      <c r="G624" s="226" t="n"/>
      <c r="H624" s="108" t="n"/>
      <c r="I624" s="108" t="n"/>
      <c r="J624" s="109" t="n"/>
      <c r="K624" s="109" t="n"/>
      <c r="L624" s="121">
        <f>IF($C624="","",IF($D624="Gider",$E624,$H624))</f>
        <v/>
      </c>
      <c r="M624" s="121">
        <f>IF($C624="","",IF($D624="Gider",$H624,$E624))</f>
        <v/>
      </c>
      <c r="N624" s="231">
        <f>IF($C624="","",DATE(YEAR($C624),MONTH($C624),1))</f>
        <v/>
      </c>
      <c r="O624" s="113">
        <f>IF($C624="","",IF(AND($D624&lt;&gt;"",$E624&lt;&gt;"",$G624&gt;0,$H624&lt;&gt;"",$I624&lt;&gt;""),IF($C624&gt;TODAY(),"İLERİ TARİH","UYGUN"),"EKSİK"))</f>
        <v/>
      </c>
      <c r="P624" s="6" t="n"/>
      <c r="Q624" s="6" t="n"/>
      <c r="R624" s="3" t="n"/>
      <c r="S624" s="3" t="n"/>
      <c r="T624" s="3" t="n"/>
      <c r="U624" s="3" t="n"/>
      <c r="V624" s="3" t="n"/>
      <c r="W624" s="3" t="n"/>
    </row>
    <row r="625">
      <c r="A625" s="6" t="n"/>
      <c r="B625" s="113">
        <f>IF($C625="","","GG"&amp;TEXT(ROW()-6,"00000"))</f>
        <v/>
      </c>
      <c r="C625" s="225" t="n"/>
      <c r="D625" s="108" t="n"/>
      <c r="E625" s="109" t="n"/>
      <c r="F625" s="109" t="n"/>
      <c r="G625" s="226" t="n"/>
      <c r="H625" s="108" t="n"/>
      <c r="I625" s="108" t="n"/>
      <c r="J625" s="109" t="n"/>
      <c r="K625" s="109" t="n"/>
      <c r="L625" s="121">
        <f>IF($C625="","",IF($D625="Gider",$E625,$H625))</f>
        <v/>
      </c>
      <c r="M625" s="121">
        <f>IF($C625="","",IF($D625="Gider",$H625,$E625))</f>
        <v/>
      </c>
      <c r="N625" s="231">
        <f>IF($C625="","",DATE(YEAR($C625),MONTH($C625),1))</f>
        <v/>
      </c>
      <c r="O625" s="113">
        <f>IF($C625="","",IF(AND($D625&lt;&gt;"",$E625&lt;&gt;"",$G625&gt;0,$H625&lt;&gt;"",$I625&lt;&gt;""),IF($C625&gt;TODAY(),"İLERİ TARİH","UYGUN"),"EKSİK"))</f>
        <v/>
      </c>
      <c r="P625" s="6" t="n"/>
      <c r="Q625" s="6" t="n"/>
      <c r="R625" s="3" t="n"/>
      <c r="S625" s="3" t="n"/>
      <c r="T625" s="3" t="n"/>
      <c r="U625" s="3" t="n"/>
      <c r="V625" s="3" t="n"/>
      <c r="W625" s="3" t="n"/>
    </row>
    <row r="626">
      <c r="A626" s="6" t="n"/>
      <c r="B626" s="113">
        <f>IF($C626="","","GG"&amp;TEXT(ROW()-6,"00000"))</f>
        <v/>
      </c>
      <c r="C626" s="225" t="n"/>
      <c r="D626" s="108" t="n"/>
      <c r="E626" s="109" t="n"/>
      <c r="F626" s="109" t="n"/>
      <c r="G626" s="226" t="n"/>
      <c r="H626" s="108" t="n"/>
      <c r="I626" s="108" t="n"/>
      <c r="J626" s="109" t="n"/>
      <c r="K626" s="109" t="n"/>
      <c r="L626" s="121">
        <f>IF($C626="","",IF($D626="Gider",$E626,$H626))</f>
        <v/>
      </c>
      <c r="M626" s="121">
        <f>IF($C626="","",IF($D626="Gider",$H626,$E626))</f>
        <v/>
      </c>
      <c r="N626" s="231">
        <f>IF($C626="","",DATE(YEAR($C626),MONTH($C626),1))</f>
        <v/>
      </c>
      <c r="O626" s="113">
        <f>IF($C626="","",IF(AND($D626&lt;&gt;"",$E626&lt;&gt;"",$G626&gt;0,$H626&lt;&gt;"",$I626&lt;&gt;""),IF($C626&gt;TODAY(),"İLERİ TARİH","UYGUN"),"EKSİK"))</f>
        <v/>
      </c>
      <c r="P626" s="6" t="n"/>
      <c r="Q626" s="6" t="n"/>
      <c r="R626" s="3" t="n"/>
      <c r="S626" s="3" t="n"/>
      <c r="T626" s="3" t="n"/>
      <c r="U626" s="3" t="n"/>
      <c r="V626" s="3" t="n"/>
      <c r="W626" s="3" t="n"/>
    </row>
    <row r="627">
      <c r="A627" s="6" t="n"/>
      <c r="B627" s="113">
        <f>IF($C627="","","GG"&amp;TEXT(ROW()-6,"00000"))</f>
        <v/>
      </c>
      <c r="C627" s="225" t="n"/>
      <c r="D627" s="108" t="n"/>
      <c r="E627" s="109" t="n"/>
      <c r="F627" s="109" t="n"/>
      <c r="G627" s="226" t="n"/>
      <c r="H627" s="108" t="n"/>
      <c r="I627" s="108" t="n"/>
      <c r="J627" s="109" t="n"/>
      <c r="K627" s="109" t="n"/>
      <c r="L627" s="121">
        <f>IF($C627="","",IF($D627="Gider",$E627,$H627))</f>
        <v/>
      </c>
      <c r="M627" s="121">
        <f>IF($C627="","",IF($D627="Gider",$H627,$E627))</f>
        <v/>
      </c>
      <c r="N627" s="231">
        <f>IF($C627="","",DATE(YEAR($C627),MONTH($C627),1))</f>
        <v/>
      </c>
      <c r="O627" s="113">
        <f>IF($C627="","",IF(AND($D627&lt;&gt;"",$E627&lt;&gt;"",$G627&gt;0,$H627&lt;&gt;"",$I627&lt;&gt;""),IF($C627&gt;TODAY(),"İLERİ TARİH","UYGUN"),"EKSİK"))</f>
        <v/>
      </c>
      <c r="P627" s="6" t="n"/>
      <c r="Q627" s="6" t="n"/>
      <c r="R627" s="3" t="n"/>
      <c r="S627" s="3" t="n"/>
      <c r="T627" s="3" t="n"/>
      <c r="U627" s="3" t="n"/>
      <c r="V627" s="3" t="n"/>
      <c r="W627" s="3" t="n"/>
    </row>
    <row r="628">
      <c r="A628" s="6" t="n"/>
      <c r="B628" s="113">
        <f>IF($C628="","","GG"&amp;TEXT(ROW()-6,"00000"))</f>
        <v/>
      </c>
      <c r="C628" s="225" t="n"/>
      <c r="D628" s="108" t="n"/>
      <c r="E628" s="109" t="n"/>
      <c r="F628" s="109" t="n"/>
      <c r="G628" s="226" t="n"/>
      <c r="H628" s="108" t="n"/>
      <c r="I628" s="108" t="n"/>
      <c r="J628" s="109" t="n"/>
      <c r="K628" s="109" t="n"/>
      <c r="L628" s="121">
        <f>IF($C628="","",IF($D628="Gider",$E628,$H628))</f>
        <v/>
      </c>
      <c r="M628" s="121">
        <f>IF($C628="","",IF($D628="Gider",$H628,$E628))</f>
        <v/>
      </c>
      <c r="N628" s="231">
        <f>IF($C628="","",DATE(YEAR($C628),MONTH($C628),1))</f>
        <v/>
      </c>
      <c r="O628" s="113">
        <f>IF($C628="","",IF(AND($D628&lt;&gt;"",$E628&lt;&gt;"",$G628&gt;0,$H628&lt;&gt;"",$I628&lt;&gt;""),IF($C628&gt;TODAY(),"İLERİ TARİH","UYGUN"),"EKSİK"))</f>
        <v/>
      </c>
      <c r="P628" s="6" t="n"/>
      <c r="Q628" s="6" t="n"/>
      <c r="R628" s="3" t="n"/>
      <c r="S628" s="3" t="n"/>
      <c r="T628" s="3" t="n"/>
      <c r="U628" s="3" t="n"/>
      <c r="V628" s="3" t="n"/>
      <c r="W628" s="3" t="n"/>
    </row>
    <row r="629">
      <c r="A629" s="6" t="n"/>
      <c r="B629" s="113">
        <f>IF($C629="","","GG"&amp;TEXT(ROW()-6,"00000"))</f>
        <v/>
      </c>
      <c r="C629" s="225" t="n"/>
      <c r="D629" s="108" t="n"/>
      <c r="E629" s="109" t="n"/>
      <c r="F629" s="109" t="n"/>
      <c r="G629" s="226" t="n"/>
      <c r="H629" s="108" t="n"/>
      <c r="I629" s="108" t="n"/>
      <c r="J629" s="109" t="n"/>
      <c r="K629" s="109" t="n"/>
      <c r="L629" s="121">
        <f>IF($C629="","",IF($D629="Gider",$E629,$H629))</f>
        <v/>
      </c>
      <c r="M629" s="121">
        <f>IF($C629="","",IF($D629="Gider",$H629,$E629))</f>
        <v/>
      </c>
      <c r="N629" s="231">
        <f>IF($C629="","",DATE(YEAR($C629),MONTH($C629),1))</f>
        <v/>
      </c>
      <c r="O629" s="113">
        <f>IF($C629="","",IF(AND($D629&lt;&gt;"",$E629&lt;&gt;"",$G629&gt;0,$H629&lt;&gt;"",$I629&lt;&gt;""),IF($C629&gt;TODAY(),"İLERİ TARİH","UYGUN"),"EKSİK"))</f>
        <v/>
      </c>
      <c r="P629" s="6" t="n"/>
      <c r="Q629" s="6" t="n"/>
      <c r="R629" s="3" t="n"/>
      <c r="S629" s="3" t="n"/>
      <c r="T629" s="3" t="n"/>
      <c r="U629" s="3" t="n"/>
      <c r="V629" s="3" t="n"/>
      <c r="W629" s="3" t="n"/>
    </row>
    <row r="630">
      <c r="A630" s="6" t="n"/>
      <c r="B630" s="113">
        <f>IF($C630="","","GG"&amp;TEXT(ROW()-6,"00000"))</f>
        <v/>
      </c>
      <c r="C630" s="225" t="n"/>
      <c r="D630" s="108" t="n"/>
      <c r="E630" s="109" t="n"/>
      <c r="F630" s="109" t="n"/>
      <c r="G630" s="226" t="n"/>
      <c r="H630" s="108" t="n"/>
      <c r="I630" s="108" t="n"/>
      <c r="J630" s="109" t="n"/>
      <c r="K630" s="109" t="n"/>
      <c r="L630" s="121">
        <f>IF($C630="","",IF($D630="Gider",$E630,$H630))</f>
        <v/>
      </c>
      <c r="M630" s="121">
        <f>IF($C630="","",IF($D630="Gider",$H630,$E630))</f>
        <v/>
      </c>
      <c r="N630" s="231">
        <f>IF($C630="","",DATE(YEAR($C630),MONTH($C630),1))</f>
        <v/>
      </c>
      <c r="O630" s="113">
        <f>IF($C630="","",IF(AND($D630&lt;&gt;"",$E630&lt;&gt;"",$G630&gt;0,$H630&lt;&gt;"",$I630&lt;&gt;""),IF($C630&gt;TODAY(),"İLERİ TARİH","UYGUN"),"EKSİK"))</f>
        <v/>
      </c>
      <c r="P630" s="6" t="n"/>
      <c r="Q630" s="6" t="n"/>
      <c r="R630" s="3" t="n"/>
      <c r="S630" s="3" t="n"/>
      <c r="T630" s="3" t="n"/>
      <c r="U630" s="3" t="n"/>
      <c r="V630" s="3" t="n"/>
      <c r="W630" s="3" t="n"/>
    </row>
    <row r="631">
      <c r="A631" s="6" t="n"/>
      <c r="B631" s="113">
        <f>IF($C631="","","GG"&amp;TEXT(ROW()-6,"00000"))</f>
        <v/>
      </c>
      <c r="C631" s="225" t="n"/>
      <c r="D631" s="108" t="n"/>
      <c r="E631" s="109" t="n"/>
      <c r="F631" s="109" t="n"/>
      <c r="G631" s="226" t="n"/>
      <c r="H631" s="108" t="n"/>
      <c r="I631" s="108" t="n"/>
      <c r="J631" s="109" t="n"/>
      <c r="K631" s="109" t="n"/>
      <c r="L631" s="121">
        <f>IF($C631="","",IF($D631="Gider",$E631,$H631))</f>
        <v/>
      </c>
      <c r="M631" s="121">
        <f>IF($C631="","",IF($D631="Gider",$H631,$E631))</f>
        <v/>
      </c>
      <c r="N631" s="231">
        <f>IF($C631="","",DATE(YEAR($C631),MONTH($C631),1))</f>
        <v/>
      </c>
      <c r="O631" s="113">
        <f>IF($C631="","",IF(AND($D631&lt;&gt;"",$E631&lt;&gt;"",$G631&gt;0,$H631&lt;&gt;"",$I631&lt;&gt;""),IF($C631&gt;TODAY(),"İLERİ TARİH","UYGUN"),"EKSİK"))</f>
        <v/>
      </c>
      <c r="P631" s="6" t="n"/>
      <c r="Q631" s="6" t="n"/>
      <c r="R631" s="3" t="n"/>
      <c r="S631" s="3" t="n"/>
      <c r="T631" s="3" t="n"/>
      <c r="U631" s="3" t="n"/>
      <c r="V631" s="3" t="n"/>
      <c r="W631" s="3" t="n"/>
    </row>
    <row r="632">
      <c r="A632" s="6" t="n"/>
      <c r="B632" s="113">
        <f>IF($C632="","","GG"&amp;TEXT(ROW()-6,"00000"))</f>
        <v/>
      </c>
      <c r="C632" s="225" t="n"/>
      <c r="D632" s="108" t="n"/>
      <c r="E632" s="109" t="n"/>
      <c r="F632" s="109" t="n"/>
      <c r="G632" s="226" t="n"/>
      <c r="H632" s="108" t="n"/>
      <c r="I632" s="108" t="n"/>
      <c r="J632" s="109" t="n"/>
      <c r="K632" s="109" t="n"/>
      <c r="L632" s="121">
        <f>IF($C632="","",IF($D632="Gider",$E632,$H632))</f>
        <v/>
      </c>
      <c r="M632" s="121">
        <f>IF($C632="","",IF($D632="Gider",$H632,$E632))</f>
        <v/>
      </c>
      <c r="N632" s="231">
        <f>IF($C632="","",DATE(YEAR($C632),MONTH($C632),1))</f>
        <v/>
      </c>
      <c r="O632" s="113">
        <f>IF($C632="","",IF(AND($D632&lt;&gt;"",$E632&lt;&gt;"",$G632&gt;0,$H632&lt;&gt;"",$I632&lt;&gt;""),IF($C632&gt;TODAY(),"İLERİ TARİH","UYGUN"),"EKSİK"))</f>
        <v/>
      </c>
      <c r="P632" s="6" t="n"/>
      <c r="Q632" s="6" t="n"/>
      <c r="R632" s="3" t="n"/>
      <c r="S632" s="3" t="n"/>
      <c r="T632" s="3" t="n"/>
      <c r="U632" s="3" t="n"/>
      <c r="V632" s="3" t="n"/>
      <c r="W632" s="3" t="n"/>
    </row>
    <row r="633">
      <c r="A633" s="6" t="n"/>
      <c r="B633" s="113">
        <f>IF($C633="","","GG"&amp;TEXT(ROW()-6,"00000"))</f>
        <v/>
      </c>
      <c r="C633" s="225" t="n"/>
      <c r="D633" s="108" t="n"/>
      <c r="E633" s="109" t="n"/>
      <c r="F633" s="109" t="n"/>
      <c r="G633" s="226" t="n"/>
      <c r="H633" s="108" t="n"/>
      <c r="I633" s="108" t="n"/>
      <c r="J633" s="109" t="n"/>
      <c r="K633" s="109" t="n"/>
      <c r="L633" s="121">
        <f>IF($C633="","",IF($D633="Gider",$E633,$H633))</f>
        <v/>
      </c>
      <c r="M633" s="121">
        <f>IF($C633="","",IF($D633="Gider",$H633,$E633))</f>
        <v/>
      </c>
      <c r="N633" s="231">
        <f>IF($C633="","",DATE(YEAR($C633),MONTH($C633),1))</f>
        <v/>
      </c>
      <c r="O633" s="113">
        <f>IF($C633="","",IF(AND($D633&lt;&gt;"",$E633&lt;&gt;"",$G633&gt;0,$H633&lt;&gt;"",$I633&lt;&gt;""),IF($C633&gt;TODAY(),"İLERİ TARİH","UYGUN"),"EKSİK"))</f>
        <v/>
      </c>
      <c r="P633" s="6" t="n"/>
      <c r="Q633" s="6" t="n"/>
      <c r="R633" s="3" t="n"/>
      <c r="S633" s="3" t="n"/>
      <c r="T633" s="3" t="n"/>
      <c r="U633" s="3" t="n"/>
      <c r="V633" s="3" t="n"/>
      <c r="W633" s="3" t="n"/>
    </row>
    <row r="634">
      <c r="A634" s="6" t="n"/>
      <c r="B634" s="113">
        <f>IF($C634="","","GG"&amp;TEXT(ROW()-6,"00000"))</f>
        <v/>
      </c>
      <c r="C634" s="225" t="n"/>
      <c r="D634" s="108" t="n"/>
      <c r="E634" s="109" t="n"/>
      <c r="F634" s="109" t="n"/>
      <c r="G634" s="226" t="n"/>
      <c r="H634" s="108" t="n"/>
      <c r="I634" s="108" t="n"/>
      <c r="J634" s="109" t="n"/>
      <c r="K634" s="109" t="n"/>
      <c r="L634" s="121">
        <f>IF($C634="","",IF($D634="Gider",$E634,$H634))</f>
        <v/>
      </c>
      <c r="M634" s="121">
        <f>IF($C634="","",IF($D634="Gider",$H634,$E634))</f>
        <v/>
      </c>
      <c r="N634" s="231">
        <f>IF($C634="","",DATE(YEAR($C634),MONTH($C634),1))</f>
        <v/>
      </c>
      <c r="O634" s="113">
        <f>IF($C634="","",IF(AND($D634&lt;&gt;"",$E634&lt;&gt;"",$G634&gt;0,$H634&lt;&gt;"",$I634&lt;&gt;""),IF($C634&gt;TODAY(),"İLERİ TARİH","UYGUN"),"EKSİK"))</f>
        <v/>
      </c>
      <c r="P634" s="6" t="n"/>
      <c r="Q634" s="6" t="n"/>
      <c r="R634" s="3" t="n"/>
      <c r="S634" s="3" t="n"/>
      <c r="T634" s="3" t="n"/>
      <c r="U634" s="3" t="n"/>
      <c r="V634" s="3" t="n"/>
      <c r="W634" s="3" t="n"/>
    </row>
    <row r="635">
      <c r="A635" s="6" t="n"/>
      <c r="B635" s="113">
        <f>IF($C635="","","GG"&amp;TEXT(ROW()-6,"00000"))</f>
        <v/>
      </c>
      <c r="C635" s="225" t="n"/>
      <c r="D635" s="108" t="n"/>
      <c r="E635" s="109" t="n"/>
      <c r="F635" s="109" t="n"/>
      <c r="G635" s="226" t="n"/>
      <c r="H635" s="108" t="n"/>
      <c r="I635" s="108" t="n"/>
      <c r="J635" s="109" t="n"/>
      <c r="K635" s="109" t="n"/>
      <c r="L635" s="121">
        <f>IF($C635="","",IF($D635="Gider",$E635,$H635))</f>
        <v/>
      </c>
      <c r="M635" s="121">
        <f>IF($C635="","",IF($D635="Gider",$H635,$E635))</f>
        <v/>
      </c>
      <c r="N635" s="231">
        <f>IF($C635="","",DATE(YEAR($C635),MONTH($C635),1))</f>
        <v/>
      </c>
      <c r="O635" s="113">
        <f>IF($C635="","",IF(AND($D635&lt;&gt;"",$E635&lt;&gt;"",$G635&gt;0,$H635&lt;&gt;"",$I635&lt;&gt;""),IF($C635&gt;TODAY(),"İLERİ TARİH","UYGUN"),"EKSİK"))</f>
        <v/>
      </c>
      <c r="P635" s="6" t="n"/>
      <c r="Q635" s="6" t="n"/>
      <c r="R635" s="3" t="n"/>
      <c r="S635" s="3" t="n"/>
      <c r="T635" s="3" t="n"/>
      <c r="U635" s="3" t="n"/>
      <c r="V635" s="3" t="n"/>
      <c r="W635" s="3" t="n"/>
    </row>
    <row r="636">
      <c r="A636" s="6" t="n"/>
      <c r="B636" s="113">
        <f>IF($C636="","","GG"&amp;TEXT(ROW()-6,"00000"))</f>
        <v/>
      </c>
      <c r="C636" s="225" t="n"/>
      <c r="D636" s="108" t="n"/>
      <c r="E636" s="109" t="n"/>
      <c r="F636" s="109" t="n"/>
      <c r="G636" s="226" t="n"/>
      <c r="H636" s="108" t="n"/>
      <c r="I636" s="108" t="n"/>
      <c r="J636" s="109" t="n"/>
      <c r="K636" s="109" t="n"/>
      <c r="L636" s="121">
        <f>IF($C636="","",IF($D636="Gider",$E636,$H636))</f>
        <v/>
      </c>
      <c r="M636" s="121">
        <f>IF($C636="","",IF($D636="Gider",$H636,$E636))</f>
        <v/>
      </c>
      <c r="N636" s="231">
        <f>IF($C636="","",DATE(YEAR($C636),MONTH($C636),1))</f>
        <v/>
      </c>
      <c r="O636" s="113">
        <f>IF($C636="","",IF(AND($D636&lt;&gt;"",$E636&lt;&gt;"",$G636&gt;0,$H636&lt;&gt;"",$I636&lt;&gt;""),IF($C636&gt;TODAY(),"İLERİ TARİH","UYGUN"),"EKSİK"))</f>
        <v/>
      </c>
      <c r="P636" s="6" t="n"/>
      <c r="Q636" s="6" t="n"/>
      <c r="R636" s="3" t="n"/>
      <c r="S636" s="3" t="n"/>
      <c r="T636" s="3" t="n"/>
      <c r="U636" s="3" t="n"/>
      <c r="V636" s="3" t="n"/>
      <c r="W636" s="3" t="n"/>
    </row>
    <row r="637">
      <c r="A637" s="6" t="n"/>
      <c r="B637" s="113">
        <f>IF($C637="","","GG"&amp;TEXT(ROW()-6,"00000"))</f>
        <v/>
      </c>
      <c r="C637" s="225" t="n"/>
      <c r="D637" s="108" t="n"/>
      <c r="E637" s="109" t="n"/>
      <c r="F637" s="109" t="n"/>
      <c r="G637" s="226" t="n"/>
      <c r="H637" s="108" t="n"/>
      <c r="I637" s="108" t="n"/>
      <c r="J637" s="109" t="n"/>
      <c r="K637" s="109" t="n"/>
      <c r="L637" s="121">
        <f>IF($C637="","",IF($D637="Gider",$E637,$H637))</f>
        <v/>
      </c>
      <c r="M637" s="121">
        <f>IF($C637="","",IF($D637="Gider",$H637,$E637))</f>
        <v/>
      </c>
      <c r="N637" s="231">
        <f>IF($C637="","",DATE(YEAR($C637),MONTH($C637),1))</f>
        <v/>
      </c>
      <c r="O637" s="113">
        <f>IF($C637="","",IF(AND($D637&lt;&gt;"",$E637&lt;&gt;"",$G637&gt;0,$H637&lt;&gt;"",$I637&lt;&gt;""),IF($C637&gt;TODAY(),"İLERİ TARİH","UYGUN"),"EKSİK"))</f>
        <v/>
      </c>
      <c r="P637" s="6" t="n"/>
      <c r="Q637" s="6" t="n"/>
      <c r="R637" s="3" t="n"/>
      <c r="S637" s="3" t="n"/>
      <c r="T637" s="3" t="n"/>
      <c r="U637" s="3" t="n"/>
      <c r="V637" s="3" t="n"/>
      <c r="W637" s="3" t="n"/>
    </row>
    <row r="638">
      <c r="A638" s="6" t="n"/>
      <c r="B638" s="113">
        <f>IF($C638="","","GG"&amp;TEXT(ROW()-6,"00000"))</f>
        <v/>
      </c>
      <c r="C638" s="225" t="n"/>
      <c r="D638" s="108" t="n"/>
      <c r="E638" s="109" t="n"/>
      <c r="F638" s="109" t="n"/>
      <c r="G638" s="226" t="n"/>
      <c r="H638" s="108" t="n"/>
      <c r="I638" s="108" t="n"/>
      <c r="J638" s="109" t="n"/>
      <c r="K638" s="109" t="n"/>
      <c r="L638" s="121">
        <f>IF($C638="","",IF($D638="Gider",$E638,$H638))</f>
        <v/>
      </c>
      <c r="M638" s="121">
        <f>IF($C638="","",IF($D638="Gider",$H638,$E638))</f>
        <v/>
      </c>
      <c r="N638" s="231">
        <f>IF($C638="","",DATE(YEAR($C638),MONTH($C638),1))</f>
        <v/>
      </c>
      <c r="O638" s="113">
        <f>IF($C638="","",IF(AND($D638&lt;&gt;"",$E638&lt;&gt;"",$G638&gt;0,$H638&lt;&gt;"",$I638&lt;&gt;""),IF($C638&gt;TODAY(),"İLERİ TARİH","UYGUN"),"EKSİK"))</f>
        <v/>
      </c>
      <c r="P638" s="6" t="n"/>
      <c r="Q638" s="6" t="n"/>
      <c r="R638" s="3" t="n"/>
      <c r="S638" s="3" t="n"/>
      <c r="T638" s="3" t="n"/>
      <c r="U638" s="3" t="n"/>
      <c r="V638" s="3" t="n"/>
      <c r="W638" s="3" t="n"/>
    </row>
    <row r="639">
      <c r="A639" s="6" t="n"/>
      <c r="B639" s="113">
        <f>IF($C639="","","GG"&amp;TEXT(ROW()-6,"00000"))</f>
        <v/>
      </c>
      <c r="C639" s="225" t="n"/>
      <c r="D639" s="108" t="n"/>
      <c r="E639" s="109" t="n"/>
      <c r="F639" s="109" t="n"/>
      <c r="G639" s="226" t="n"/>
      <c r="H639" s="108" t="n"/>
      <c r="I639" s="108" t="n"/>
      <c r="J639" s="109" t="n"/>
      <c r="K639" s="109" t="n"/>
      <c r="L639" s="121">
        <f>IF($C639="","",IF($D639="Gider",$E639,$H639))</f>
        <v/>
      </c>
      <c r="M639" s="121">
        <f>IF($C639="","",IF($D639="Gider",$H639,$E639))</f>
        <v/>
      </c>
      <c r="N639" s="231">
        <f>IF($C639="","",DATE(YEAR($C639),MONTH($C639),1))</f>
        <v/>
      </c>
      <c r="O639" s="113">
        <f>IF($C639="","",IF(AND($D639&lt;&gt;"",$E639&lt;&gt;"",$G639&gt;0,$H639&lt;&gt;"",$I639&lt;&gt;""),IF($C639&gt;TODAY(),"İLERİ TARİH","UYGUN"),"EKSİK"))</f>
        <v/>
      </c>
      <c r="P639" s="6" t="n"/>
      <c r="Q639" s="6" t="n"/>
      <c r="R639" s="3" t="n"/>
      <c r="S639" s="3" t="n"/>
      <c r="T639" s="3" t="n"/>
      <c r="U639" s="3" t="n"/>
      <c r="V639" s="3" t="n"/>
      <c r="W639" s="3" t="n"/>
    </row>
    <row r="640">
      <c r="A640" s="6" t="n"/>
      <c r="B640" s="113">
        <f>IF($C640="","","GG"&amp;TEXT(ROW()-6,"00000"))</f>
        <v/>
      </c>
      <c r="C640" s="225" t="n"/>
      <c r="D640" s="108" t="n"/>
      <c r="E640" s="109" t="n"/>
      <c r="F640" s="109" t="n"/>
      <c r="G640" s="226" t="n"/>
      <c r="H640" s="108" t="n"/>
      <c r="I640" s="108" t="n"/>
      <c r="J640" s="109" t="n"/>
      <c r="K640" s="109" t="n"/>
      <c r="L640" s="121">
        <f>IF($C640="","",IF($D640="Gider",$E640,$H640))</f>
        <v/>
      </c>
      <c r="M640" s="121">
        <f>IF($C640="","",IF($D640="Gider",$H640,$E640))</f>
        <v/>
      </c>
      <c r="N640" s="231">
        <f>IF($C640="","",DATE(YEAR($C640),MONTH($C640),1))</f>
        <v/>
      </c>
      <c r="O640" s="113">
        <f>IF($C640="","",IF(AND($D640&lt;&gt;"",$E640&lt;&gt;"",$G640&gt;0,$H640&lt;&gt;"",$I640&lt;&gt;""),IF($C640&gt;TODAY(),"İLERİ TARİH","UYGUN"),"EKSİK"))</f>
        <v/>
      </c>
      <c r="P640" s="6" t="n"/>
      <c r="Q640" s="6" t="n"/>
      <c r="R640" s="3" t="n"/>
      <c r="S640" s="3" t="n"/>
      <c r="T640" s="3" t="n"/>
      <c r="U640" s="3" t="n"/>
      <c r="V640" s="3" t="n"/>
      <c r="W640" s="3" t="n"/>
    </row>
    <row r="641">
      <c r="A641" s="6" t="n"/>
      <c r="B641" s="113">
        <f>IF($C641="","","GG"&amp;TEXT(ROW()-6,"00000"))</f>
        <v/>
      </c>
      <c r="C641" s="225" t="n"/>
      <c r="D641" s="108" t="n"/>
      <c r="E641" s="109" t="n"/>
      <c r="F641" s="109" t="n"/>
      <c r="G641" s="226" t="n"/>
      <c r="H641" s="108" t="n"/>
      <c r="I641" s="108" t="n"/>
      <c r="J641" s="109" t="n"/>
      <c r="K641" s="109" t="n"/>
      <c r="L641" s="121">
        <f>IF($C641="","",IF($D641="Gider",$E641,$H641))</f>
        <v/>
      </c>
      <c r="M641" s="121">
        <f>IF($C641="","",IF($D641="Gider",$H641,$E641))</f>
        <v/>
      </c>
      <c r="N641" s="231">
        <f>IF($C641="","",DATE(YEAR($C641),MONTH($C641),1))</f>
        <v/>
      </c>
      <c r="O641" s="113">
        <f>IF($C641="","",IF(AND($D641&lt;&gt;"",$E641&lt;&gt;"",$G641&gt;0,$H641&lt;&gt;"",$I641&lt;&gt;""),IF($C641&gt;TODAY(),"İLERİ TARİH","UYGUN"),"EKSİK"))</f>
        <v/>
      </c>
      <c r="P641" s="6" t="n"/>
      <c r="Q641" s="6" t="n"/>
      <c r="R641" s="3" t="n"/>
      <c r="S641" s="3" t="n"/>
      <c r="T641" s="3" t="n"/>
      <c r="U641" s="3" t="n"/>
      <c r="V641" s="3" t="n"/>
      <c r="W641" s="3" t="n"/>
    </row>
    <row r="642">
      <c r="A642" s="6" t="n"/>
      <c r="B642" s="113">
        <f>IF($C642="","","GG"&amp;TEXT(ROW()-6,"00000"))</f>
        <v/>
      </c>
      <c r="C642" s="225" t="n"/>
      <c r="D642" s="108" t="n"/>
      <c r="E642" s="109" t="n"/>
      <c r="F642" s="109" t="n"/>
      <c r="G642" s="226" t="n"/>
      <c r="H642" s="108" t="n"/>
      <c r="I642" s="108" t="n"/>
      <c r="J642" s="109" t="n"/>
      <c r="K642" s="109" t="n"/>
      <c r="L642" s="121">
        <f>IF($C642="","",IF($D642="Gider",$E642,$H642))</f>
        <v/>
      </c>
      <c r="M642" s="121">
        <f>IF($C642="","",IF($D642="Gider",$H642,$E642))</f>
        <v/>
      </c>
      <c r="N642" s="231">
        <f>IF($C642="","",DATE(YEAR($C642),MONTH($C642),1))</f>
        <v/>
      </c>
      <c r="O642" s="113">
        <f>IF($C642="","",IF(AND($D642&lt;&gt;"",$E642&lt;&gt;"",$G642&gt;0,$H642&lt;&gt;"",$I642&lt;&gt;""),IF($C642&gt;TODAY(),"İLERİ TARİH","UYGUN"),"EKSİK"))</f>
        <v/>
      </c>
      <c r="P642" s="6" t="n"/>
      <c r="Q642" s="6" t="n"/>
      <c r="R642" s="3" t="n"/>
      <c r="S642" s="3" t="n"/>
      <c r="T642" s="3" t="n"/>
      <c r="U642" s="3" t="n"/>
      <c r="V642" s="3" t="n"/>
      <c r="W642" s="3" t="n"/>
    </row>
    <row r="643">
      <c r="A643" s="6" t="n"/>
      <c r="B643" s="113">
        <f>IF($C643="","","GG"&amp;TEXT(ROW()-6,"00000"))</f>
        <v/>
      </c>
      <c r="C643" s="225" t="n"/>
      <c r="D643" s="108" t="n"/>
      <c r="E643" s="109" t="n"/>
      <c r="F643" s="109" t="n"/>
      <c r="G643" s="226" t="n"/>
      <c r="H643" s="108" t="n"/>
      <c r="I643" s="108" t="n"/>
      <c r="J643" s="109" t="n"/>
      <c r="K643" s="109" t="n"/>
      <c r="L643" s="121">
        <f>IF($C643="","",IF($D643="Gider",$E643,$H643))</f>
        <v/>
      </c>
      <c r="M643" s="121">
        <f>IF($C643="","",IF($D643="Gider",$H643,$E643))</f>
        <v/>
      </c>
      <c r="N643" s="231">
        <f>IF($C643="","",DATE(YEAR($C643),MONTH($C643),1))</f>
        <v/>
      </c>
      <c r="O643" s="113">
        <f>IF($C643="","",IF(AND($D643&lt;&gt;"",$E643&lt;&gt;"",$G643&gt;0,$H643&lt;&gt;"",$I643&lt;&gt;""),IF($C643&gt;TODAY(),"İLERİ TARİH","UYGUN"),"EKSİK"))</f>
        <v/>
      </c>
      <c r="P643" s="6" t="n"/>
      <c r="Q643" s="6" t="n"/>
      <c r="R643" s="3" t="n"/>
      <c r="S643" s="3" t="n"/>
      <c r="T643" s="3" t="n"/>
      <c r="U643" s="3" t="n"/>
      <c r="V643" s="3" t="n"/>
      <c r="W643" s="3" t="n"/>
    </row>
    <row r="644">
      <c r="A644" s="6" t="n"/>
      <c r="B644" s="113">
        <f>IF($C644="","","GG"&amp;TEXT(ROW()-6,"00000"))</f>
        <v/>
      </c>
      <c r="C644" s="225" t="n"/>
      <c r="D644" s="108" t="n"/>
      <c r="E644" s="109" t="n"/>
      <c r="F644" s="109" t="n"/>
      <c r="G644" s="226" t="n"/>
      <c r="H644" s="108" t="n"/>
      <c r="I644" s="108" t="n"/>
      <c r="J644" s="109" t="n"/>
      <c r="K644" s="109" t="n"/>
      <c r="L644" s="121">
        <f>IF($C644="","",IF($D644="Gider",$E644,$H644))</f>
        <v/>
      </c>
      <c r="M644" s="121">
        <f>IF($C644="","",IF($D644="Gider",$H644,$E644))</f>
        <v/>
      </c>
      <c r="N644" s="231">
        <f>IF($C644="","",DATE(YEAR($C644),MONTH($C644),1))</f>
        <v/>
      </c>
      <c r="O644" s="113">
        <f>IF($C644="","",IF(AND($D644&lt;&gt;"",$E644&lt;&gt;"",$G644&gt;0,$H644&lt;&gt;"",$I644&lt;&gt;""),IF($C644&gt;TODAY(),"İLERİ TARİH","UYGUN"),"EKSİK"))</f>
        <v/>
      </c>
      <c r="P644" s="6" t="n"/>
      <c r="Q644" s="6" t="n"/>
      <c r="R644" s="3" t="n"/>
      <c r="S644" s="3" t="n"/>
      <c r="T644" s="3" t="n"/>
      <c r="U644" s="3" t="n"/>
      <c r="V644" s="3" t="n"/>
      <c r="W644" s="3" t="n"/>
    </row>
    <row r="645">
      <c r="A645" s="6" t="n"/>
      <c r="B645" s="113">
        <f>IF($C645="","","GG"&amp;TEXT(ROW()-6,"00000"))</f>
        <v/>
      </c>
      <c r="C645" s="225" t="n"/>
      <c r="D645" s="108" t="n"/>
      <c r="E645" s="109" t="n"/>
      <c r="F645" s="109" t="n"/>
      <c r="G645" s="226" t="n"/>
      <c r="H645" s="108" t="n"/>
      <c r="I645" s="108" t="n"/>
      <c r="J645" s="109" t="n"/>
      <c r="K645" s="109" t="n"/>
      <c r="L645" s="121">
        <f>IF($C645="","",IF($D645="Gider",$E645,$H645))</f>
        <v/>
      </c>
      <c r="M645" s="121">
        <f>IF($C645="","",IF($D645="Gider",$H645,$E645))</f>
        <v/>
      </c>
      <c r="N645" s="231">
        <f>IF($C645="","",DATE(YEAR($C645),MONTH($C645),1))</f>
        <v/>
      </c>
      <c r="O645" s="113">
        <f>IF($C645="","",IF(AND($D645&lt;&gt;"",$E645&lt;&gt;"",$G645&gt;0,$H645&lt;&gt;"",$I645&lt;&gt;""),IF($C645&gt;TODAY(),"İLERİ TARİH","UYGUN"),"EKSİK"))</f>
        <v/>
      </c>
      <c r="P645" s="6" t="n"/>
      <c r="Q645" s="6" t="n"/>
      <c r="R645" s="3" t="n"/>
      <c r="S645" s="3" t="n"/>
      <c r="T645" s="3" t="n"/>
      <c r="U645" s="3" t="n"/>
      <c r="V645" s="3" t="n"/>
      <c r="W645" s="3" t="n"/>
    </row>
    <row r="646">
      <c r="A646" s="6" t="n"/>
      <c r="B646" s="113">
        <f>IF($C646="","","GG"&amp;TEXT(ROW()-6,"00000"))</f>
        <v/>
      </c>
      <c r="C646" s="225" t="n"/>
      <c r="D646" s="108" t="n"/>
      <c r="E646" s="109" t="n"/>
      <c r="F646" s="109" t="n"/>
      <c r="G646" s="226" t="n"/>
      <c r="H646" s="108" t="n"/>
      <c r="I646" s="108" t="n"/>
      <c r="J646" s="109" t="n"/>
      <c r="K646" s="109" t="n"/>
      <c r="L646" s="121">
        <f>IF($C646="","",IF($D646="Gider",$E646,$H646))</f>
        <v/>
      </c>
      <c r="M646" s="121">
        <f>IF($C646="","",IF($D646="Gider",$H646,$E646))</f>
        <v/>
      </c>
      <c r="N646" s="231">
        <f>IF($C646="","",DATE(YEAR($C646),MONTH($C646),1))</f>
        <v/>
      </c>
      <c r="O646" s="113">
        <f>IF($C646="","",IF(AND($D646&lt;&gt;"",$E646&lt;&gt;"",$G646&gt;0,$H646&lt;&gt;"",$I646&lt;&gt;""),IF($C646&gt;TODAY(),"İLERİ TARİH","UYGUN"),"EKSİK"))</f>
        <v/>
      </c>
      <c r="P646" s="6" t="n"/>
      <c r="Q646" s="6" t="n"/>
      <c r="R646" s="3" t="n"/>
      <c r="S646" s="3" t="n"/>
      <c r="T646" s="3" t="n"/>
      <c r="U646" s="3" t="n"/>
      <c r="V646" s="3" t="n"/>
      <c r="W646" s="3" t="n"/>
    </row>
    <row r="647">
      <c r="A647" s="6" t="n"/>
      <c r="B647" s="113">
        <f>IF($C647="","","GG"&amp;TEXT(ROW()-6,"00000"))</f>
        <v/>
      </c>
      <c r="C647" s="225" t="n"/>
      <c r="D647" s="108" t="n"/>
      <c r="E647" s="109" t="n"/>
      <c r="F647" s="109" t="n"/>
      <c r="G647" s="226" t="n"/>
      <c r="H647" s="108" t="n"/>
      <c r="I647" s="108" t="n"/>
      <c r="J647" s="109" t="n"/>
      <c r="K647" s="109" t="n"/>
      <c r="L647" s="121">
        <f>IF($C647="","",IF($D647="Gider",$E647,$H647))</f>
        <v/>
      </c>
      <c r="M647" s="121">
        <f>IF($C647="","",IF($D647="Gider",$H647,$E647))</f>
        <v/>
      </c>
      <c r="N647" s="231">
        <f>IF($C647="","",DATE(YEAR($C647),MONTH($C647),1))</f>
        <v/>
      </c>
      <c r="O647" s="113">
        <f>IF($C647="","",IF(AND($D647&lt;&gt;"",$E647&lt;&gt;"",$G647&gt;0,$H647&lt;&gt;"",$I647&lt;&gt;""),IF($C647&gt;TODAY(),"İLERİ TARİH","UYGUN"),"EKSİK"))</f>
        <v/>
      </c>
      <c r="P647" s="6" t="n"/>
      <c r="Q647" s="6" t="n"/>
      <c r="R647" s="3" t="n"/>
      <c r="S647" s="3" t="n"/>
      <c r="T647" s="3" t="n"/>
      <c r="U647" s="3" t="n"/>
      <c r="V647" s="3" t="n"/>
      <c r="W647" s="3" t="n"/>
    </row>
    <row r="648">
      <c r="A648" s="6" t="n"/>
      <c r="B648" s="113">
        <f>IF($C648="","","GG"&amp;TEXT(ROW()-6,"00000"))</f>
        <v/>
      </c>
      <c r="C648" s="225" t="n"/>
      <c r="D648" s="108" t="n"/>
      <c r="E648" s="109" t="n"/>
      <c r="F648" s="109" t="n"/>
      <c r="G648" s="226" t="n"/>
      <c r="H648" s="108" t="n"/>
      <c r="I648" s="108" t="n"/>
      <c r="J648" s="109" t="n"/>
      <c r="K648" s="109" t="n"/>
      <c r="L648" s="121">
        <f>IF($C648="","",IF($D648="Gider",$E648,$H648))</f>
        <v/>
      </c>
      <c r="M648" s="121">
        <f>IF($C648="","",IF($D648="Gider",$H648,$E648))</f>
        <v/>
      </c>
      <c r="N648" s="231">
        <f>IF($C648="","",DATE(YEAR($C648),MONTH($C648),1))</f>
        <v/>
      </c>
      <c r="O648" s="113">
        <f>IF($C648="","",IF(AND($D648&lt;&gt;"",$E648&lt;&gt;"",$G648&gt;0,$H648&lt;&gt;"",$I648&lt;&gt;""),IF($C648&gt;TODAY(),"İLERİ TARİH","UYGUN"),"EKSİK"))</f>
        <v/>
      </c>
      <c r="P648" s="6" t="n"/>
      <c r="Q648" s="6" t="n"/>
      <c r="R648" s="3" t="n"/>
      <c r="S648" s="3" t="n"/>
      <c r="T648" s="3" t="n"/>
      <c r="U648" s="3" t="n"/>
      <c r="V648" s="3" t="n"/>
      <c r="W648" s="3" t="n"/>
    </row>
    <row r="649">
      <c r="A649" s="6" t="n"/>
      <c r="B649" s="113">
        <f>IF($C649="","","GG"&amp;TEXT(ROW()-6,"00000"))</f>
        <v/>
      </c>
      <c r="C649" s="225" t="n"/>
      <c r="D649" s="108" t="n"/>
      <c r="E649" s="109" t="n"/>
      <c r="F649" s="109" t="n"/>
      <c r="G649" s="226" t="n"/>
      <c r="H649" s="108" t="n"/>
      <c r="I649" s="108" t="n"/>
      <c r="J649" s="109" t="n"/>
      <c r="K649" s="109" t="n"/>
      <c r="L649" s="121">
        <f>IF($C649="","",IF($D649="Gider",$E649,$H649))</f>
        <v/>
      </c>
      <c r="M649" s="121">
        <f>IF($C649="","",IF($D649="Gider",$H649,$E649))</f>
        <v/>
      </c>
      <c r="N649" s="231">
        <f>IF($C649="","",DATE(YEAR($C649),MONTH($C649),1))</f>
        <v/>
      </c>
      <c r="O649" s="113">
        <f>IF($C649="","",IF(AND($D649&lt;&gt;"",$E649&lt;&gt;"",$G649&gt;0,$H649&lt;&gt;"",$I649&lt;&gt;""),IF($C649&gt;TODAY(),"İLERİ TARİH","UYGUN"),"EKSİK"))</f>
        <v/>
      </c>
      <c r="P649" s="6" t="n"/>
      <c r="Q649" s="6" t="n"/>
      <c r="R649" s="3" t="n"/>
      <c r="S649" s="3" t="n"/>
      <c r="T649" s="3" t="n"/>
      <c r="U649" s="3" t="n"/>
      <c r="V649" s="3" t="n"/>
      <c r="W649" s="3" t="n"/>
    </row>
    <row r="650">
      <c r="A650" s="6" t="n"/>
      <c r="B650" s="113">
        <f>IF($C650="","","GG"&amp;TEXT(ROW()-6,"00000"))</f>
        <v/>
      </c>
      <c r="C650" s="225" t="n"/>
      <c r="D650" s="108" t="n"/>
      <c r="E650" s="109" t="n"/>
      <c r="F650" s="109" t="n"/>
      <c r="G650" s="226" t="n"/>
      <c r="H650" s="108" t="n"/>
      <c r="I650" s="108" t="n"/>
      <c r="J650" s="109" t="n"/>
      <c r="K650" s="109" t="n"/>
      <c r="L650" s="121">
        <f>IF($C650="","",IF($D650="Gider",$E650,$H650))</f>
        <v/>
      </c>
      <c r="M650" s="121">
        <f>IF($C650="","",IF($D650="Gider",$H650,$E650))</f>
        <v/>
      </c>
      <c r="N650" s="231">
        <f>IF($C650="","",DATE(YEAR($C650),MONTH($C650),1))</f>
        <v/>
      </c>
      <c r="O650" s="113">
        <f>IF($C650="","",IF(AND($D650&lt;&gt;"",$E650&lt;&gt;"",$G650&gt;0,$H650&lt;&gt;"",$I650&lt;&gt;""),IF($C650&gt;TODAY(),"İLERİ TARİH","UYGUN"),"EKSİK"))</f>
        <v/>
      </c>
      <c r="P650" s="6" t="n"/>
      <c r="Q650" s="6" t="n"/>
      <c r="R650" s="3" t="n"/>
      <c r="S650" s="3" t="n"/>
      <c r="T650" s="3" t="n"/>
      <c r="U650" s="3" t="n"/>
      <c r="V650" s="3" t="n"/>
      <c r="W650" s="3" t="n"/>
    </row>
    <row r="651">
      <c r="A651" s="6" t="n"/>
      <c r="B651" s="113">
        <f>IF($C651="","","GG"&amp;TEXT(ROW()-6,"00000"))</f>
        <v/>
      </c>
      <c r="C651" s="225" t="n"/>
      <c r="D651" s="108" t="n"/>
      <c r="E651" s="109" t="n"/>
      <c r="F651" s="109" t="n"/>
      <c r="G651" s="226" t="n"/>
      <c r="H651" s="108" t="n"/>
      <c r="I651" s="108" t="n"/>
      <c r="J651" s="109" t="n"/>
      <c r="K651" s="109" t="n"/>
      <c r="L651" s="121">
        <f>IF($C651="","",IF($D651="Gider",$E651,$H651))</f>
        <v/>
      </c>
      <c r="M651" s="121">
        <f>IF($C651="","",IF($D651="Gider",$H651,$E651))</f>
        <v/>
      </c>
      <c r="N651" s="231">
        <f>IF($C651="","",DATE(YEAR($C651),MONTH($C651),1))</f>
        <v/>
      </c>
      <c r="O651" s="113">
        <f>IF($C651="","",IF(AND($D651&lt;&gt;"",$E651&lt;&gt;"",$G651&gt;0,$H651&lt;&gt;"",$I651&lt;&gt;""),IF($C651&gt;TODAY(),"İLERİ TARİH","UYGUN"),"EKSİK"))</f>
        <v/>
      </c>
      <c r="P651" s="6" t="n"/>
      <c r="Q651" s="6" t="n"/>
      <c r="R651" s="3" t="n"/>
      <c r="S651" s="3" t="n"/>
      <c r="T651" s="3" t="n"/>
      <c r="U651" s="3" t="n"/>
      <c r="V651" s="3" t="n"/>
      <c r="W651" s="3" t="n"/>
    </row>
    <row r="652">
      <c r="A652" s="6" t="n"/>
      <c r="B652" s="113">
        <f>IF($C652="","","GG"&amp;TEXT(ROW()-6,"00000"))</f>
        <v/>
      </c>
      <c r="C652" s="225" t="n"/>
      <c r="D652" s="108" t="n"/>
      <c r="E652" s="109" t="n"/>
      <c r="F652" s="109" t="n"/>
      <c r="G652" s="226" t="n"/>
      <c r="H652" s="108" t="n"/>
      <c r="I652" s="108" t="n"/>
      <c r="J652" s="109" t="n"/>
      <c r="K652" s="109" t="n"/>
      <c r="L652" s="121">
        <f>IF($C652="","",IF($D652="Gider",$E652,$H652))</f>
        <v/>
      </c>
      <c r="M652" s="121">
        <f>IF($C652="","",IF($D652="Gider",$H652,$E652))</f>
        <v/>
      </c>
      <c r="N652" s="231">
        <f>IF($C652="","",DATE(YEAR($C652),MONTH($C652),1))</f>
        <v/>
      </c>
      <c r="O652" s="113">
        <f>IF($C652="","",IF(AND($D652&lt;&gt;"",$E652&lt;&gt;"",$G652&gt;0,$H652&lt;&gt;"",$I652&lt;&gt;""),IF($C652&gt;TODAY(),"İLERİ TARİH","UYGUN"),"EKSİK"))</f>
        <v/>
      </c>
      <c r="P652" s="6" t="n"/>
      <c r="Q652" s="6" t="n"/>
      <c r="R652" s="3" t="n"/>
      <c r="S652" s="3" t="n"/>
      <c r="T652" s="3" t="n"/>
      <c r="U652" s="3" t="n"/>
      <c r="V652" s="3" t="n"/>
      <c r="W652" s="3" t="n"/>
    </row>
    <row r="653">
      <c r="A653" s="6" t="n"/>
      <c r="B653" s="113">
        <f>IF($C653="","","GG"&amp;TEXT(ROW()-6,"00000"))</f>
        <v/>
      </c>
      <c r="C653" s="225" t="n"/>
      <c r="D653" s="108" t="n"/>
      <c r="E653" s="109" t="n"/>
      <c r="F653" s="109" t="n"/>
      <c r="G653" s="226" t="n"/>
      <c r="H653" s="108" t="n"/>
      <c r="I653" s="108" t="n"/>
      <c r="J653" s="109" t="n"/>
      <c r="K653" s="109" t="n"/>
      <c r="L653" s="121">
        <f>IF($C653="","",IF($D653="Gider",$E653,$H653))</f>
        <v/>
      </c>
      <c r="M653" s="121">
        <f>IF($C653="","",IF($D653="Gider",$H653,$E653))</f>
        <v/>
      </c>
      <c r="N653" s="231">
        <f>IF($C653="","",DATE(YEAR($C653),MONTH($C653),1))</f>
        <v/>
      </c>
      <c r="O653" s="113">
        <f>IF($C653="","",IF(AND($D653&lt;&gt;"",$E653&lt;&gt;"",$G653&gt;0,$H653&lt;&gt;"",$I653&lt;&gt;""),IF($C653&gt;TODAY(),"İLERİ TARİH","UYGUN"),"EKSİK"))</f>
        <v/>
      </c>
      <c r="P653" s="6" t="n"/>
      <c r="Q653" s="6" t="n"/>
      <c r="R653" s="3" t="n"/>
      <c r="S653" s="3" t="n"/>
      <c r="T653" s="3" t="n"/>
      <c r="U653" s="3" t="n"/>
      <c r="V653" s="3" t="n"/>
      <c r="W653" s="3" t="n"/>
    </row>
    <row r="654">
      <c r="A654" s="6" t="n"/>
      <c r="B654" s="113">
        <f>IF($C654="","","GG"&amp;TEXT(ROW()-6,"00000"))</f>
        <v/>
      </c>
      <c r="C654" s="225" t="n"/>
      <c r="D654" s="108" t="n"/>
      <c r="E654" s="109" t="n"/>
      <c r="F654" s="109" t="n"/>
      <c r="G654" s="226" t="n"/>
      <c r="H654" s="108" t="n"/>
      <c r="I654" s="108" t="n"/>
      <c r="J654" s="109" t="n"/>
      <c r="K654" s="109" t="n"/>
      <c r="L654" s="121">
        <f>IF($C654="","",IF($D654="Gider",$E654,$H654))</f>
        <v/>
      </c>
      <c r="M654" s="121">
        <f>IF($C654="","",IF($D654="Gider",$H654,$E654))</f>
        <v/>
      </c>
      <c r="N654" s="231">
        <f>IF($C654="","",DATE(YEAR($C654),MONTH($C654),1))</f>
        <v/>
      </c>
      <c r="O654" s="113">
        <f>IF($C654="","",IF(AND($D654&lt;&gt;"",$E654&lt;&gt;"",$G654&gt;0,$H654&lt;&gt;"",$I654&lt;&gt;""),IF($C654&gt;TODAY(),"İLERİ TARİH","UYGUN"),"EKSİK"))</f>
        <v/>
      </c>
      <c r="P654" s="6" t="n"/>
      <c r="Q654" s="6" t="n"/>
      <c r="R654" s="3" t="n"/>
      <c r="S654" s="3" t="n"/>
      <c r="T654" s="3" t="n"/>
      <c r="U654" s="3" t="n"/>
      <c r="V654" s="3" t="n"/>
      <c r="W654" s="3" t="n"/>
    </row>
    <row r="655">
      <c r="A655" s="6" t="n"/>
      <c r="B655" s="113">
        <f>IF($C655="","","GG"&amp;TEXT(ROW()-6,"00000"))</f>
        <v/>
      </c>
      <c r="C655" s="225" t="n"/>
      <c r="D655" s="108" t="n"/>
      <c r="E655" s="109" t="n"/>
      <c r="F655" s="109" t="n"/>
      <c r="G655" s="226" t="n"/>
      <c r="H655" s="108" t="n"/>
      <c r="I655" s="108" t="n"/>
      <c r="J655" s="109" t="n"/>
      <c r="K655" s="109" t="n"/>
      <c r="L655" s="121">
        <f>IF($C655="","",IF($D655="Gider",$E655,$H655))</f>
        <v/>
      </c>
      <c r="M655" s="121">
        <f>IF($C655="","",IF($D655="Gider",$H655,$E655))</f>
        <v/>
      </c>
      <c r="N655" s="231">
        <f>IF($C655="","",DATE(YEAR($C655),MONTH($C655),1))</f>
        <v/>
      </c>
      <c r="O655" s="113">
        <f>IF($C655="","",IF(AND($D655&lt;&gt;"",$E655&lt;&gt;"",$G655&gt;0,$H655&lt;&gt;"",$I655&lt;&gt;""),IF($C655&gt;TODAY(),"İLERİ TARİH","UYGUN"),"EKSİK"))</f>
        <v/>
      </c>
      <c r="P655" s="6" t="n"/>
      <c r="Q655" s="6" t="n"/>
      <c r="R655" s="3" t="n"/>
      <c r="S655" s="3" t="n"/>
      <c r="T655" s="3" t="n"/>
      <c r="U655" s="3" t="n"/>
      <c r="V655" s="3" t="n"/>
      <c r="W655" s="3" t="n"/>
    </row>
    <row r="656">
      <c r="A656" s="6" t="n"/>
      <c r="B656" s="113">
        <f>IF($C656="","","GG"&amp;TEXT(ROW()-6,"00000"))</f>
        <v/>
      </c>
      <c r="C656" s="225" t="n"/>
      <c r="D656" s="108" t="n"/>
      <c r="E656" s="109" t="n"/>
      <c r="F656" s="109" t="n"/>
      <c r="G656" s="226" t="n"/>
      <c r="H656" s="108" t="n"/>
      <c r="I656" s="108" t="n"/>
      <c r="J656" s="109" t="n"/>
      <c r="K656" s="109" t="n"/>
      <c r="L656" s="121">
        <f>IF($C656="","",IF($D656="Gider",$E656,$H656))</f>
        <v/>
      </c>
      <c r="M656" s="121">
        <f>IF($C656="","",IF($D656="Gider",$H656,$E656))</f>
        <v/>
      </c>
      <c r="N656" s="231">
        <f>IF($C656="","",DATE(YEAR($C656),MONTH($C656),1))</f>
        <v/>
      </c>
      <c r="O656" s="113">
        <f>IF($C656="","",IF(AND($D656&lt;&gt;"",$E656&lt;&gt;"",$G656&gt;0,$H656&lt;&gt;"",$I656&lt;&gt;""),IF($C656&gt;TODAY(),"İLERİ TARİH","UYGUN"),"EKSİK"))</f>
        <v/>
      </c>
      <c r="P656" s="6" t="n"/>
      <c r="Q656" s="6" t="n"/>
      <c r="R656" s="3" t="n"/>
      <c r="S656" s="3" t="n"/>
      <c r="T656" s="3" t="n"/>
      <c r="U656" s="3" t="n"/>
      <c r="V656" s="3" t="n"/>
      <c r="W656" s="3" t="n"/>
    </row>
    <row r="657">
      <c r="A657" s="6" t="n"/>
      <c r="B657" s="113">
        <f>IF($C657="","","GG"&amp;TEXT(ROW()-6,"00000"))</f>
        <v/>
      </c>
      <c r="C657" s="225" t="n"/>
      <c r="D657" s="108" t="n"/>
      <c r="E657" s="109" t="n"/>
      <c r="F657" s="109" t="n"/>
      <c r="G657" s="226" t="n"/>
      <c r="H657" s="108" t="n"/>
      <c r="I657" s="108" t="n"/>
      <c r="J657" s="109" t="n"/>
      <c r="K657" s="109" t="n"/>
      <c r="L657" s="121">
        <f>IF($C657="","",IF($D657="Gider",$E657,$H657))</f>
        <v/>
      </c>
      <c r="M657" s="121">
        <f>IF($C657="","",IF($D657="Gider",$H657,$E657))</f>
        <v/>
      </c>
      <c r="N657" s="231">
        <f>IF($C657="","",DATE(YEAR($C657),MONTH($C657),1))</f>
        <v/>
      </c>
      <c r="O657" s="113">
        <f>IF($C657="","",IF(AND($D657&lt;&gt;"",$E657&lt;&gt;"",$G657&gt;0,$H657&lt;&gt;"",$I657&lt;&gt;""),IF($C657&gt;TODAY(),"İLERİ TARİH","UYGUN"),"EKSİK"))</f>
        <v/>
      </c>
      <c r="P657" s="6" t="n"/>
      <c r="Q657" s="6" t="n"/>
      <c r="R657" s="3" t="n"/>
      <c r="S657" s="3" t="n"/>
      <c r="T657" s="3" t="n"/>
      <c r="U657" s="3" t="n"/>
      <c r="V657" s="3" t="n"/>
      <c r="W657" s="3" t="n"/>
    </row>
    <row r="658">
      <c r="A658" s="6" t="n"/>
      <c r="B658" s="113">
        <f>IF($C658="","","GG"&amp;TEXT(ROW()-6,"00000"))</f>
        <v/>
      </c>
      <c r="C658" s="225" t="n"/>
      <c r="D658" s="108" t="n"/>
      <c r="E658" s="109" t="n"/>
      <c r="F658" s="109" t="n"/>
      <c r="G658" s="226" t="n"/>
      <c r="H658" s="108" t="n"/>
      <c r="I658" s="108" t="n"/>
      <c r="J658" s="109" t="n"/>
      <c r="K658" s="109" t="n"/>
      <c r="L658" s="121">
        <f>IF($C658="","",IF($D658="Gider",$E658,$H658))</f>
        <v/>
      </c>
      <c r="M658" s="121">
        <f>IF($C658="","",IF($D658="Gider",$H658,$E658))</f>
        <v/>
      </c>
      <c r="N658" s="231">
        <f>IF($C658="","",DATE(YEAR($C658),MONTH($C658),1))</f>
        <v/>
      </c>
      <c r="O658" s="113">
        <f>IF($C658="","",IF(AND($D658&lt;&gt;"",$E658&lt;&gt;"",$G658&gt;0,$H658&lt;&gt;"",$I658&lt;&gt;""),IF($C658&gt;TODAY(),"İLERİ TARİH","UYGUN"),"EKSİK"))</f>
        <v/>
      </c>
      <c r="P658" s="6" t="n"/>
      <c r="Q658" s="6" t="n"/>
      <c r="R658" s="3" t="n"/>
      <c r="S658" s="3" t="n"/>
      <c r="T658" s="3" t="n"/>
      <c r="U658" s="3" t="n"/>
      <c r="V658" s="3" t="n"/>
      <c r="W658" s="3" t="n"/>
    </row>
    <row r="659">
      <c r="A659" s="6" t="n"/>
      <c r="B659" s="113">
        <f>IF($C659="","","GG"&amp;TEXT(ROW()-6,"00000"))</f>
        <v/>
      </c>
      <c r="C659" s="225" t="n"/>
      <c r="D659" s="108" t="n"/>
      <c r="E659" s="109" t="n"/>
      <c r="F659" s="109" t="n"/>
      <c r="G659" s="226" t="n"/>
      <c r="H659" s="108" t="n"/>
      <c r="I659" s="108" t="n"/>
      <c r="J659" s="109" t="n"/>
      <c r="K659" s="109" t="n"/>
      <c r="L659" s="121">
        <f>IF($C659="","",IF($D659="Gider",$E659,$H659))</f>
        <v/>
      </c>
      <c r="M659" s="121">
        <f>IF($C659="","",IF($D659="Gider",$H659,$E659))</f>
        <v/>
      </c>
      <c r="N659" s="231">
        <f>IF($C659="","",DATE(YEAR($C659),MONTH($C659),1))</f>
        <v/>
      </c>
      <c r="O659" s="113">
        <f>IF($C659="","",IF(AND($D659&lt;&gt;"",$E659&lt;&gt;"",$G659&gt;0,$H659&lt;&gt;"",$I659&lt;&gt;""),IF($C659&gt;TODAY(),"İLERİ TARİH","UYGUN"),"EKSİK"))</f>
        <v/>
      </c>
      <c r="P659" s="6" t="n"/>
      <c r="Q659" s="6" t="n"/>
      <c r="R659" s="3" t="n"/>
      <c r="S659" s="3" t="n"/>
      <c r="T659" s="3" t="n"/>
      <c r="U659" s="3" t="n"/>
      <c r="V659" s="3" t="n"/>
      <c r="W659" s="3" t="n"/>
    </row>
    <row r="660">
      <c r="A660" s="6" t="n"/>
      <c r="B660" s="113">
        <f>IF($C660="","","GG"&amp;TEXT(ROW()-6,"00000"))</f>
        <v/>
      </c>
      <c r="C660" s="225" t="n"/>
      <c r="D660" s="108" t="n"/>
      <c r="E660" s="109" t="n"/>
      <c r="F660" s="109" t="n"/>
      <c r="G660" s="226" t="n"/>
      <c r="H660" s="108" t="n"/>
      <c r="I660" s="108" t="n"/>
      <c r="J660" s="109" t="n"/>
      <c r="K660" s="109" t="n"/>
      <c r="L660" s="121">
        <f>IF($C660="","",IF($D660="Gider",$E660,$H660))</f>
        <v/>
      </c>
      <c r="M660" s="121">
        <f>IF($C660="","",IF($D660="Gider",$H660,$E660))</f>
        <v/>
      </c>
      <c r="N660" s="231">
        <f>IF($C660="","",DATE(YEAR($C660),MONTH($C660),1))</f>
        <v/>
      </c>
      <c r="O660" s="113">
        <f>IF($C660="","",IF(AND($D660&lt;&gt;"",$E660&lt;&gt;"",$G660&gt;0,$H660&lt;&gt;"",$I660&lt;&gt;""),IF($C660&gt;TODAY(),"İLERİ TARİH","UYGUN"),"EKSİK"))</f>
        <v/>
      </c>
      <c r="P660" s="6" t="n"/>
      <c r="Q660" s="6" t="n"/>
      <c r="R660" s="3" t="n"/>
      <c r="S660" s="3" t="n"/>
      <c r="T660" s="3" t="n"/>
      <c r="U660" s="3" t="n"/>
      <c r="V660" s="3" t="n"/>
      <c r="W660" s="3" t="n"/>
    </row>
    <row r="661">
      <c r="A661" s="6" t="n"/>
      <c r="B661" s="113">
        <f>IF($C661="","","GG"&amp;TEXT(ROW()-6,"00000"))</f>
        <v/>
      </c>
      <c r="C661" s="225" t="n"/>
      <c r="D661" s="108" t="n"/>
      <c r="E661" s="109" t="n"/>
      <c r="F661" s="109" t="n"/>
      <c r="G661" s="226" t="n"/>
      <c r="H661" s="108" t="n"/>
      <c r="I661" s="108" t="n"/>
      <c r="J661" s="109" t="n"/>
      <c r="K661" s="109" t="n"/>
      <c r="L661" s="121">
        <f>IF($C661="","",IF($D661="Gider",$E661,$H661))</f>
        <v/>
      </c>
      <c r="M661" s="121">
        <f>IF($C661="","",IF($D661="Gider",$H661,$E661))</f>
        <v/>
      </c>
      <c r="N661" s="231">
        <f>IF($C661="","",DATE(YEAR($C661),MONTH($C661),1))</f>
        <v/>
      </c>
      <c r="O661" s="113">
        <f>IF($C661="","",IF(AND($D661&lt;&gt;"",$E661&lt;&gt;"",$G661&gt;0,$H661&lt;&gt;"",$I661&lt;&gt;""),IF($C661&gt;TODAY(),"İLERİ TARİH","UYGUN"),"EKSİK"))</f>
        <v/>
      </c>
      <c r="P661" s="6" t="n"/>
      <c r="Q661" s="6" t="n"/>
      <c r="R661" s="3" t="n"/>
      <c r="S661" s="3" t="n"/>
      <c r="T661" s="3" t="n"/>
      <c r="U661" s="3" t="n"/>
      <c r="V661" s="3" t="n"/>
      <c r="W661" s="3" t="n"/>
    </row>
    <row r="662">
      <c r="A662" s="6" t="n"/>
      <c r="B662" s="113">
        <f>IF($C662="","","GG"&amp;TEXT(ROW()-6,"00000"))</f>
        <v/>
      </c>
      <c r="C662" s="225" t="n"/>
      <c r="D662" s="108" t="n"/>
      <c r="E662" s="109" t="n"/>
      <c r="F662" s="109" t="n"/>
      <c r="G662" s="226" t="n"/>
      <c r="H662" s="108" t="n"/>
      <c r="I662" s="108" t="n"/>
      <c r="J662" s="109" t="n"/>
      <c r="K662" s="109" t="n"/>
      <c r="L662" s="121">
        <f>IF($C662="","",IF($D662="Gider",$E662,$H662))</f>
        <v/>
      </c>
      <c r="M662" s="121">
        <f>IF($C662="","",IF($D662="Gider",$H662,$E662))</f>
        <v/>
      </c>
      <c r="N662" s="231">
        <f>IF($C662="","",DATE(YEAR($C662),MONTH($C662),1))</f>
        <v/>
      </c>
      <c r="O662" s="113">
        <f>IF($C662="","",IF(AND($D662&lt;&gt;"",$E662&lt;&gt;"",$G662&gt;0,$H662&lt;&gt;"",$I662&lt;&gt;""),IF($C662&gt;TODAY(),"İLERİ TARİH","UYGUN"),"EKSİK"))</f>
        <v/>
      </c>
      <c r="P662" s="6" t="n"/>
      <c r="Q662" s="6" t="n"/>
      <c r="R662" s="3" t="n"/>
      <c r="S662" s="3" t="n"/>
      <c r="T662" s="3" t="n"/>
      <c r="U662" s="3" t="n"/>
      <c r="V662" s="3" t="n"/>
      <c r="W662" s="3" t="n"/>
    </row>
    <row r="663">
      <c r="A663" s="6" t="n"/>
      <c r="B663" s="113">
        <f>IF($C663="","","GG"&amp;TEXT(ROW()-6,"00000"))</f>
        <v/>
      </c>
      <c r="C663" s="225" t="n"/>
      <c r="D663" s="108" t="n"/>
      <c r="E663" s="109" t="n"/>
      <c r="F663" s="109" t="n"/>
      <c r="G663" s="226" t="n"/>
      <c r="H663" s="108" t="n"/>
      <c r="I663" s="108" t="n"/>
      <c r="J663" s="109" t="n"/>
      <c r="K663" s="109" t="n"/>
      <c r="L663" s="121">
        <f>IF($C663="","",IF($D663="Gider",$E663,$H663))</f>
        <v/>
      </c>
      <c r="M663" s="121">
        <f>IF($C663="","",IF($D663="Gider",$H663,$E663))</f>
        <v/>
      </c>
      <c r="N663" s="231">
        <f>IF($C663="","",DATE(YEAR($C663),MONTH($C663),1))</f>
        <v/>
      </c>
      <c r="O663" s="113">
        <f>IF($C663="","",IF(AND($D663&lt;&gt;"",$E663&lt;&gt;"",$G663&gt;0,$H663&lt;&gt;"",$I663&lt;&gt;""),IF($C663&gt;TODAY(),"İLERİ TARİH","UYGUN"),"EKSİK"))</f>
        <v/>
      </c>
      <c r="P663" s="6" t="n"/>
      <c r="Q663" s="6" t="n"/>
      <c r="R663" s="3" t="n"/>
      <c r="S663" s="3" t="n"/>
      <c r="T663" s="3" t="n"/>
      <c r="U663" s="3" t="n"/>
      <c r="V663" s="3" t="n"/>
      <c r="W663" s="3" t="n"/>
    </row>
    <row r="664">
      <c r="A664" s="6" t="n"/>
      <c r="B664" s="113">
        <f>IF($C664="","","GG"&amp;TEXT(ROW()-6,"00000"))</f>
        <v/>
      </c>
      <c r="C664" s="225" t="n"/>
      <c r="D664" s="108" t="n"/>
      <c r="E664" s="109" t="n"/>
      <c r="F664" s="109" t="n"/>
      <c r="G664" s="226" t="n"/>
      <c r="H664" s="108" t="n"/>
      <c r="I664" s="108" t="n"/>
      <c r="J664" s="109" t="n"/>
      <c r="K664" s="109" t="n"/>
      <c r="L664" s="121">
        <f>IF($C664="","",IF($D664="Gider",$E664,$H664))</f>
        <v/>
      </c>
      <c r="M664" s="121">
        <f>IF($C664="","",IF($D664="Gider",$H664,$E664))</f>
        <v/>
      </c>
      <c r="N664" s="231">
        <f>IF($C664="","",DATE(YEAR($C664),MONTH($C664),1))</f>
        <v/>
      </c>
      <c r="O664" s="113">
        <f>IF($C664="","",IF(AND($D664&lt;&gt;"",$E664&lt;&gt;"",$G664&gt;0,$H664&lt;&gt;"",$I664&lt;&gt;""),IF($C664&gt;TODAY(),"İLERİ TARİH","UYGUN"),"EKSİK"))</f>
        <v/>
      </c>
      <c r="P664" s="6" t="n"/>
      <c r="Q664" s="6" t="n"/>
      <c r="R664" s="3" t="n"/>
      <c r="S664" s="3" t="n"/>
      <c r="T664" s="3" t="n"/>
      <c r="U664" s="3" t="n"/>
      <c r="V664" s="3" t="n"/>
      <c r="W664" s="3" t="n"/>
    </row>
    <row r="665">
      <c r="A665" s="6" t="n"/>
      <c r="B665" s="113">
        <f>IF($C665="","","GG"&amp;TEXT(ROW()-6,"00000"))</f>
        <v/>
      </c>
      <c r="C665" s="225" t="n"/>
      <c r="D665" s="108" t="n"/>
      <c r="E665" s="109" t="n"/>
      <c r="F665" s="109" t="n"/>
      <c r="G665" s="226" t="n"/>
      <c r="H665" s="108" t="n"/>
      <c r="I665" s="108" t="n"/>
      <c r="J665" s="109" t="n"/>
      <c r="K665" s="109" t="n"/>
      <c r="L665" s="121">
        <f>IF($C665="","",IF($D665="Gider",$E665,$H665))</f>
        <v/>
      </c>
      <c r="M665" s="121">
        <f>IF($C665="","",IF($D665="Gider",$H665,$E665))</f>
        <v/>
      </c>
      <c r="N665" s="231">
        <f>IF($C665="","",DATE(YEAR($C665),MONTH($C665),1))</f>
        <v/>
      </c>
      <c r="O665" s="113">
        <f>IF($C665="","",IF(AND($D665&lt;&gt;"",$E665&lt;&gt;"",$G665&gt;0,$H665&lt;&gt;"",$I665&lt;&gt;""),IF($C665&gt;TODAY(),"İLERİ TARİH","UYGUN"),"EKSİK"))</f>
        <v/>
      </c>
      <c r="P665" s="6" t="n"/>
      <c r="Q665" s="6" t="n"/>
      <c r="R665" s="3" t="n"/>
      <c r="S665" s="3" t="n"/>
      <c r="T665" s="3" t="n"/>
      <c r="U665" s="3" t="n"/>
      <c r="V665" s="3" t="n"/>
      <c r="W665" s="3" t="n"/>
    </row>
    <row r="666">
      <c r="A666" s="6" t="n"/>
      <c r="B666" s="113">
        <f>IF($C666="","","GG"&amp;TEXT(ROW()-6,"00000"))</f>
        <v/>
      </c>
      <c r="C666" s="225" t="n"/>
      <c r="D666" s="108" t="n"/>
      <c r="E666" s="109" t="n"/>
      <c r="F666" s="109" t="n"/>
      <c r="G666" s="226" t="n"/>
      <c r="H666" s="108" t="n"/>
      <c r="I666" s="108" t="n"/>
      <c r="J666" s="109" t="n"/>
      <c r="K666" s="109" t="n"/>
      <c r="L666" s="121">
        <f>IF($C666="","",IF($D666="Gider",$E666,$H666))</f>
        <v/>
      </c>
      <c r="M666" s="121">
        <f>IF($C666="","",IF($D666="Gider",$H666,$E666))</f>
        <v/>
      </c>
      <c r="N666" s="231">
        <f>IF($C666="","",DATE(YEAR($C666),MONTH($C666),1))</f>
        <v/>
      </c>
      <c r="O666" s="113">
        <f>IF($C666="","",IF(AND($D666&lt;&gt;"",$E666&lt;&gt;"",$G666&gt;0,$H666&lt;&gt;"",$I666&lt;&gt;""),IF($C666&gt;TODAY(),"İLERİ TARİH","UYGUN"),"EKSİK"))</f>
        <v/>
      </c>
      <c r="P666" s="6" t="n"/>
      <c r="Q666" s="6" t="n"/>
      <c r="R666" s="3" t="n"/>
      <c r="S666" s="3" t="n"/>
      <c r="T666" s="3" t="n"/>
      <c r="U666" s="3" t="n"/>
      <c r="V666" s="3" t="n"/>
      <c r="W666" s="3" t="n"/>
    </row>
    <row r="667">
      <c r="A667" s="6" t="n"/>
      <c r="B667" s="113">
        <f>IF($C667="","","GG"&amp;TEXT(ROW()-6,"00000"))</f>
        <v/>
      </c>
      <c r="C667" s="225" t="n"/>
      <c r="D667" s="108" t="n"/>
      <c r="E667" s="109" t="n"/>
      <c r="F667" s="109" t="n"/>
      <c r="G667" s="226" t="n"/>
      <c r="H667" s="108" t="n"/>
      <c r="I667" s="108" t="n"/>
      <c r="J667" s="109" t="n"/>
      <c r="K667" s="109" t="n"/>
      <c r="L667" s="121">
        <f>IF($C667="","",IF($D667="Gider",$E667,$H667))</f>
        <v/>
      </c>
      <c r="M667" s="121">
        <f>IF($C667="","",IF($D667="Gider",$H667,$E667))</f>
        <v/>
      </c>
      <c r="N667" s="231">
        <f>IF($C667="","",DATE(YEAR($C667),MONTH($C667),1))</f>
        <v/>
      </c>
      <c r="O667" s="113">
        <f>IF($C667="","",IF(AND($D667&lt;&gt;"",$E667&lt;&gt;"",$G667&gt;0,$H667&lt;&gt;"",$I667&lt;&gt;""),IF($C667&gt;TODAY(),"İLERİ TARİH","UYGUN"),"EKSİK"))</f>
        <v/>
      </c>
      <c r="P667" s="6" t="n"/>
      <c r="Q667" s="6" t="n"/>
      <c r="R667" s="3" t="n"/>
      <c r="S667" s="3" t="n"/>
      <c r="T667" s="3" t="n"/>
      <c r="U667" s="3" t="n"/>
      <c r="V667" s="3" t="n"/>
      <c r="W667" s="3" t="n"/>
    </row>
    <row r="668">
      <c r="A668" s="6" t="n"/>
      <c r="B668" s="113">
        <f>IF($C668="","","GG"&amp;TEXT(ROW()-6,"00000"))</f>
        <v/>
      </c>
      <c r="C668" s="225" t="n"/>
      <c r="D668" s="108" t="n"/>
      <c r="E668" s="109" t="n"/>
      <c r="F668" s="109" t="n"/>
      <c r="G668" s="226" t="n"/>
      <c r="H668" s="108" t="n"/>
      <c r="I668" s="108" t="n"/>
      <c r="J668" s="109" t="n"/>
      <c r="K668" s="109" t="n"/>
      <c r="L668" s="121">
        <f>IF($C668="","",IF($D668="Gider",$E668,$H668))</f>
        <v/>
      </c>
      <c r="M668" s="121">
        <f>IF($C668="","",IF($D668="Gider",$H668,$E668))</f>
        <v/>
      </c>
      <c r="N668" s="231">
        <f>IF($C668="","",DATE(YEAR($C668),MONTH($C668),1))</f>
        <v/>
      </c>
      <c r="O668" s="113">
        <f>IF($C668="","",IF(AND($D668&lt;&gt;"",$E668&lt;&gt;"",$G668&gt;0,$H668&lt;&gt;"",$I668&lt;&gt;""),IF($C668&gt;TODAY(),"İLERİ TARİH","UYGUN"),"EKSİK"))</f>
        <v/>
      </c>
      <c r="P668" s="6" t="n"/>
      <c r="Q668" s="6" t="n"/>
      <c r="R668" s="3" t="n"/>
      <c r="S668" s="3" t="n"/>
      <c r="T668" s="3" t="n"/>
      <c r="U668" s="3" t="n"/>
      <c r="V668" s="3" t="n"/>
      <c r="W668" s="3" t="n"/>
    </row>
    <row r="669">
      <c r="A669" s="6" t="n"/>
      <c r="B669" s="113">
        <f>IF($C669="","","GG"&amp;TEXT(ROW()-6,"00000"))</f>
        <v/>
      </c>
      <c r="C669" s="225" t="n"/>
      <c r="D669" s="108" t="n"/>
      <c r="E669" s="109" t="n"/>
      <c r="F669" s="109" t="n"/>
      <c r="G669" s="226" t="n"/>
      <c r="H669" s="108" t="n"/>
      <c r="I669" s="108" t="n"/>
      <c r="J669" s="109" t="n"/>
      <c r="K669" s="109" t="n"/>
      <c r="L669" s="121">
        <f>IF($C669="","",IF($D669="Gider",$E669,$H669))</f>
        <v/>
      </c>
      <c r="M669" s="121">
        <f>IF($C669="","",IF($D669="Gider",$H669,$E669))</f>
        <v/>
      </c>
      <c r="N669" s="231">
        <f>IF($C669="","",DATE(YEAR($C669),MONTH($C669),1))</f>
        <v/>
      </c>
      <c r="O669" s="113">
        <f>IF($C669="","",IF(AND($D669&lt;&gt;"",$E669&lt;&gt;"",$G669&gt;0,$H669&lt;&gt;"",$I669&lt;&gt;""),IF($C669&gt;TODAY(),"İLERİ TARİH","UYGUN"),"EKSİK"))</f>
        <v/>
      </c>
      <c r="P669" s="6" t="n"/>
      <c r="Q669" s="6" t="n"/>
      <c r="R669" s="3" t="n"/>
      <c r="S669" s="3" t="n"/>
      <c r="T669" s="3" t="n"/>
      <c r="U669" s="3" t="n"/>
      <c r="V669" s="3" t="n"/>
      <c r="W669" s="3" t="n"/>
    </row>
    <row r="670">
      <c r="A670" s="6" t="n"/>
      <c r="B670" s="113">
        <f>IF($C670="","","GG"&amp;TEXT(ROW()-6,"00000"))</f>
        <v/>
      </c>
      <c r="C670" s="225" t="n"/>
      <c r="D670" s="108" t="n"/>
      <c r="E670" s="109" t="n"/>
      <c r="F670" s="109" t="n"/>
      <c r="G670" s="226" t="n"/>
      <c r="H670" s="108" t="n"/>
      <c r="I670" s="108" t="n"/>
      <c r="J670" s="109" t="n"/>
      <c r="K670" s="109" t="n"/>
      <c r="L670" s="121">
        <f>IF($C670="","",IF($D670="Gider",$E670,$H670))</f>
        <v/>
      </c>
      <c r="M670" s="121">
        <f>IF($C670="","",IF($D670="Gider",$H670,$E670))</f>
        <v/>
      </c>
      <c r="N670" s="231">
        <f>IF($C670="","",DATE(YEAR($C670),MONTH($C670),1))</f>
        <v/>
      </c>
      <c r="O670" s="113">
        <f>IF($C670="","",IF(AND($D670&lt;&gt;"",$E670&lt;&gt;"",$G670&gt;0,$H670&lt;&gt;"",$I670&lt;&gt;""),IF($C670&gt;TODAY(),"İLERİ TARİH","UYGUN"),"EKSİK"))</f>
        <v/>
      </c>
      <c r="P670" s="6" t="n"/>
      <c r="Q670" s="6" t="n"/>
      <c r="R670" s="3" t="n"/>
      <c r="S670" s="3" t="n"/>
      <c r="T670" s="3" t="n"/>
      <c r="U670" s="3" t="n"/>
      <c r="V670" s="3" t="n"/>
      <c r="W670" s="3" t="n"/>
    </row>
    <row r="671">
      <c r="A671" s="6" t="n"/>
      <c r="B671" s="113">
        <f>IF($C671="","","GG"&amp;TEXT(ROW()-6,"00000"))</f>
        <v/>
      </c>
      <c r="C671" s="225" t="n"/>
      <c r="D671" s="108" t="n"/>
      <c r="E671" s="109" t="n"/>
      <c r="F671" s="109" t="n"/>
      <c r="G671" s="226" t="n"/>
      <c r="H671" s="108" t="n"/>
      <c r="I671" s="108" t="n"/>
      <c r="J671" s="109" t="n"/>
      <c r="K671" s="109" t="n"/>
      <c r="L671" s="121">
        <f>IF($C671="","",IF($D671="Gider",$E671,$H671))</f>
        <v/>
      </c>
      <c r="M671" s="121">
        <f>IF($C671="","",IF($D671="Gider",$H671,$E671))</f>
        <v/>
      </c>
      <c r="N671" s="231">
        <f>IF($C671="","",DATE(YEAR($C671),MONTH($C671),1))</f>
        <v/>
      </c>
      <c r="O671" s="113">
        <f>IF($C671="","",IF(AND($D671&lt;&gt;"",$E671&lt;&gt;"",$G671&gt;0,$H671&lt;&gt;"",$I671&lt;&gt;""),IF($C671&gt;TODAY(),"İLERİ TARİH","UYGUN"),"EKSİK"))</f>
        <v/>
      </c>
      <c r="P671" s="6" t="n"/>
      <c r="Q671" s="6" t="n"/>
      <c r="R671" s="3" t="n"/>
      <c r="S671" s="3" t="n"/>
      <c r="T671" s="3" t="n"/>
      <c r="U671" s="3" t="n"/>
      <c r="V671" s="3" t="n"/>
      <c r="W671" s="3" t="n"/>
    </row>
    <row r="672">
      <c r="A672" s="6" t="n"/>
      <c r="B672" s="113">
        <f>IF($C672="","","GG"&amp;TEXT(ROW()-6,"00000"))</f>
        <v/>
      </c>
      <c r="C672" s="225" t="n"/>
      <c r="D672" s="108" t="n"/>
      <c r="E672" s="109" t="n"/>
      <c r="F672" s="109" t="n"/>
      <c r="G672" s="226" t="n"/>
      <c r="H672" s="108" t="n"/>
      <c r="I672" s="108" t="n"/>
      <c r="J672" s="109" t="n"/>
      <c r="K672" s="109" t="n"/>
      <c r="L672" s="121">
        <f>IF($C672="","",IF($D672="Gider",$E672,$H672))</f>
        <v/>
      </c>
      <c r="M672" s="121">
        <f>IF($C672="","",IF($D672="Gider",$H672,$E672))</f>
        <v/>
      </c>
      <c r="N672" s="231">
        <f>IF($C672="","",DATE(YEAR($C672),MONTH($C672),1))</f>
        <v/>
      </c>
      <c r="O672" s="113">
        <f>IF($C672="","",IF(AND($D672&lt;&gt;"",$E672&lt;&gt;"",$G672&gt;0,$H672&lt;&gt;"",$I672&lt;&gt;""),IF($C672&gt;TODAY(),"İLERİ TARİH","UYGUN"),"EKSİK"))</f>
        <v/>
      </c>
      <c r="P672" s="6" t="n"/>
      <c r="Q672" s="6" t="n"/>
      <c r="R672" s="3" t="n"/>
      <c r="S672" s="3" t="n"/>
      <c r="T672" s="3" t="n"/>
      <c r="U672" s="3" t="n"/>
      <c r="V672" s="3" t="n"/>
      <c r="W672" s="3" t="n"/>
    </row>
    <row r="673">
      <c r="A673" s="6" t="n"/>
      <c r="B673" s="113">
        <f>IF($C673="","","GG"&amp;TEXT(ROW()-6,"00000"))</f>
        <v/>
      </c>
      <c r="C673" s="225" t="n"/>
      <c r="D673" s="108" t="n"/>
      <c r="E673" s="109" t="n"/>
      <c r="F673" s="109" t="n"/>
      <c r="G673" s="226" t="n"/>
      <c r="H673" s="108" t="n"/>
      <c r="I673" s="108" t="n"/>
      <c r="J673" s="109" t="n"/>
      <c r="K673" s="109" t="n"/>
      <c r="L673" s="121">
        <f>IF($C673="","",IF($D673="Gider",$E673,$H673))</f>
        <v/>
      </c>
      <c r="M673" s="121">
        <f>IF($C673="","",IF($D673="Gider",$H673,$E673))</f>
        <v/>
      </c>
      <c r="N673" s="231">
        <f>IF($C673="","",DATE(YEAR($C673),MONTH($C673),1))</f>
        <v/>
      </c>
      <c r="O673" s="113">
        <f>IF($C673="","",IF(AND($D673&lt;&gt;"",$E673&lt;&gt;"",$G673&gt;0,$H673&lt;&gt;"",$I673&lt;&gt;""),IF($C673&gt;TODAY(),"İLERİ TARİH","UYGUN"),"EKSİK"))</f>
        <v/>
      </c>
      <c r="P673" s="6" t="n"/>
      <c r="Q673" s="6" t="n"/>
      <c r="R673" s="3" t="n"/>
      <c r="S673" s="3" t="n"/>
      <c r="T673" s="3" t="n"/>
      <c r="U673" s="3" t="n"/>
      <c r="V673" s="3" t="n"/>
      <c r="W673" s="3" t="n"/>
    </row>
    <row r="674">
      <c r="A674" s="6" t="n"/>
      <c r="B674" s="113">
        <f>IF($C674="","","GG"&amp;TEXT(ROW()-6,"00000"))</f>
        <v/>
      </c>
      <c r="C674" s="225" t="n"/>
      <c r="D674" s="108" t="n"/>
      <c r="E674" s="109" t="n"/>
      <c r="F674" s="109" t="n"/>
      <c r="G674" s="226" t="n"/>
      <c r="H674" s="108" t="n"/>
      <c r="I674" s="108" t="n"/>
      <c r="J674" s="109" t="n"/>
      <c r="K674" s="109" t="n"/>
      <c r="L674" s="121">
        <f>IF($C674="","",IF($D674="Gider",$E674,$H674))</f>
        <v/>
      </c>
      <c r="M674" s="121">
        <f>IF($C674="","",IF($D674="Gider",$H674,$E674))</f>
        <v/>
      </c>
      <c r="N674" s="231">
        <f>IF($C674="","",DATE(YEAR($C674),MONTH($C674),1))</f>
        <v/>
      </c>
      <c r="O674" s="113">
        <f>IF($C674="","",IF(AND($D674&lt;&gt;"",$E674&lt;&gt;"",$G674&gt;0,$H674&lt;&gt;"",$I674&lt;&gt;""),IF($C674&gt;TODAY(),"İLERİ TARİH","UYGUN"),"EKSİK"))</f>
        <v/>
      </c>
      <c r="P674" s="6" t="n"/>
      <c r="Q674" s="6" t="n"/>
      <c r="R674" s="3" t="n"/>
      <c r="S674" s="3" t="n"/>
      <c r="T674" s="3" t="n"/>
      <c r="U674" s="3" t="n"/>
      <c r="V674" s="3" t="n"/>
      <c r="W674" s="3" t="n"/>
    </row>
    <row r="675">
      <c r="A675" s="6" t="n"/>
      <c r="B675" s="113">
        <f>IF($C675="","","GG"&amp;TEXT(ROW()-6,"00000"))</f>
        <v/>
      </c>
      <c r="C675" s="225" t="n"/>
      <c r="D675" s="108" t="n"/>
      <c r="E675" s="109" t="n"/>
      <c r="F675" s="109" t="n"/>
      <c r="G675" s="226" t="n"/>
      <c r="H675" s="108" t="n"/>
      <c r="I675" s="108" t="n"/>
      <c r="J675" s="109" t="n"/>
      <c r="K675" s="109" t="n"/>
      <c r="L675" s="121">
        <f>IF($C675="","",IF($D675="Gider",$E675,$H675))</f>
        <v/>
      </c>
      <c r="M675" s="121">
        <f>IF($C675="","",IF($D675="Gider",$H675,$E675))</f>
        <v/>
      </c>
      <c r="N675" s="231">
        <f>IF($C675="","",DATE(YEAR($C675),MONTH($C675),1))</f>
        <v/>
      </c>
      <c r="O675" s="113">
        <f>IF($C675="","",IF(AND($D675&lt;&gt;"",$E675&lt;&gt;"",$G675&gt;0,$H675&lt;&gt;"",$I675&lt;&gt;""),IF($C675&gt;TODAY(),"İLERİ TARİH","UYGUN"),"EKSİK"))</f>
        <v/>
      </c>
      <c r="P675" s="6" t="n"/>
      <c r="Q675" s="6" t="n"/>
      <c r="R675" s="3" t="n"/>
      <c r="S675" s="3" t="n"/>
      <c r="T675" s="3" t="n"/>
      <c r="U675" s="3" t="n"/>
      <c r="V675" s="3" t="n"/>
      <c r="W675" s="3" t="n"/>
    </row>
    <row r="676">
      <c r="A676" s="6" t="n"/>
      <c r="B676" s="113">
        <f>IF($C676="","","GG"&amp;TEXT(ROW()-6,"00000"))</f>
        <v/>
      </c>
      <c r="C676" s="225" t="n"/>
      <c r="D676" s="108" t="n"/>
      <c r="E676" s="109" t="n"/>
      <c r="F676" s="109" t="n"/>
      <c r="G676" s="226" t="n"/>
      <c r="H676" s="108" t="n"/>
      <c r="I676" s="108" t="n"/>
      <c r="J676" s="109" t="n"/>
      <c r="K676" s="109" t="n"/>
      <c r="L676" s="121">
        <f>IF($C676="","",IF($D676="Gider",$E676,$H676))</f>
        <v/>
      </c>
      <c r="M676" s="121">
        <f>IF($C676="","",IF($D676="Gider",$H676,$E676))</f>
        <v/>
      </c>
      <c r="N676" s="231">
        <f>IF($C676="","",DATE(YEAR($C676),MONTH($C676),1))</f>
        <v/>
      </c>
      <c r="O676" s="113">
        <f>IF($C676="","",IF(AND($D676&lt;&gt;"",$E676&lt;&gt;"",$G676&gt;0,$H676&lt;&gt;"",$I676&lt;&gt;""),IF($C676&gt;TODAY(),"İLERİ TARİH","UYGUN"),"EKSİK"))</f>
        <v/>
      </c>
      <c r="P676" s="6" t="n"/>
      <c r="Q676" s="6" t="n"/>
      <c r="R676" s="3" t="n"/>
      <c r="S676" s="3" t="n"/>
      <c r="T676" s="3" t="n"/>
      <c r="U676" s="3" t="n"/>
      <c r="V676" s="3" t="n"/>
      <c r="W676" s="3" t="n"/>
    </row>
    <row r="677">
      <c r="A677" s="6" t="n"/>
      <c r="B677" s="113">
        <f>IF($C677="","","GG"&amp;TEXT(ROW()-6,"00000"))</f>
        <v/>
      </c>
      <c r="C677" s="225" t="n"/>
      <c r="D677" s="108" t="n"/>
      <c r="E677" s="109" t="n"/>
      <c r="F677" s="109" t="n"/>
      <c r="G677" s="226" t="n"/>
      <c r="H677" s="108" t="n"/>
      <c r="I677" s="108" t="n"/>
      <c r="J677" s="109" t="n"/>
      <c r="K677" s="109" t="n"/>
      <c r="L677" s="121">
        <f>IF($C677="","",IF($D677="Gider",$E677,$H677))</f>
        <v/>
      </c>
      <c r="M677" s="121">
        <f>IF($C677="","",IF($D677="Gider",$H677,$E677))</f>
        <v/>
      </c>
      <c r="N677" s="231">
        <f>IF($C677="","",DATE(YEAR($C677),MONTH($C677),1))</f>
        <v/>
      </c>
      <c r="O677" s="113">
        <f>IF($C677="","",IF(AND($D677&lt;&gt;"",$E677&lt;&gt;"",$G677&gt;0,$H677&lt;&gt;"",$I677&lt;&gt;""),IF($C677&gt;TODAY(),"İLERİ TARİH","UYGUN"),"EKSİK"))</f>
        <v/>
      </c>
      <c r="P677" s="6" t="n"/>
      <c r="Q677" s="6" t="n"/>
      <c r="R677" s="3" t="n"/>
      <c r="S677" s="3" t="n"/>
      <c r="T677" s="3" t="n"/>
      <c r="U677" s="3" t="n"/>
      <c r="V677" s="3" t="n"/>
      <c r="W677" s="3" t="n"/>
    </row>
    <row r="678">
      <c r="A678" s="6" t="n"/>
      <c r="B678" s="113">
        <f>IF($C678="","","GG"&amp;TEXT(ROW()-6,"00000"))</f>
        <v/>
      </c>
      <c r="C678" s="225" t="n"/>
      <c r="D678" s="108" t="n"/>
      <c r="E678" s="109" t="n"/>
      <c r="F678" s="109" t="n"/>
      <c r="G678" s="226" t="n"/>
      <c r="H678" s="108" t="n"/>
      <c r="I678" s="108" t="n"/>
      <c r="J678" s="109" t="n"/>
      <c r="K678" s="109" t="n"/>
      <c r="L678" s="121">
        <f>IF($C678="","",IF($D678="Gider",$E678,$H678))</f>
        <v/>
      </c>
      <c r="M678" s="121">
        <f>IF($C678="","",IF($D678="Gider",$H678,$E678))</f>
        <v/>
      </c>
      <c r="N678" s="231">
        <f>IF($C678="","",DATE(YEAR($C678),MONTH($C678),1))</f>
        <v/>
      </c>
      <c r="O678" s="113">
        <f>IF($C678="","",IF(AND($D678&lt;&gt;"",$E678&lt;&gt;"",$G678&gt;0,$H678&lt;&gt;"",$I678&lt;&gt;""),IF($C678&gt;TODAY(),"İLERİ TARİH","UYGUN"),"EKSİK"))</f>
        <v/>
      </c>
      <c r="P678" s="6" t="n"/>
      <c r="Q678" s="6" t="n"/>
      <c r="R678" s="3" t="n"/>
      <c r="S678" s="3" t="n"/>
      <c r="T678" s="3" t="n"/>
      <c r="U678" s="3" t="n"/>
      <c r="V678" s="3" t="n"/>
      <c r="W678" s="3" t="n"/>
    </row>
    <row r="679">
      <c r="A679" s="6" t="n"/>
      <c r="B679" s="113">
        <f>IF($C679="","","GG"&amp;TEXT(ROW()-6,"00000"))</f>
        <v/>
      </c>
      <c r="C679" s="225" t="n"/>
      <c r="D679" s="108" t="n"/>
      <c r="E679" s="109" t="n"/>
      <c r="F679" s="109" t="n"/>
      <c r="G679" s="226" t="n"/>
      <c r="H679" s="108" t="n"/>
      <c r="I679" s="108" t="n"/>
      <c r="J679" s="109" t="n"/>
      <c r="K679" s="109" t="n"/>
      <c r="L679" s="121">
        <f>IF($C679="","",IF($D679="Gider",$E679,$H679))</f>
        <v/>
      </c>
      <c r="M679" s="121">
        <f>IF($C679="","",IF($D679="Gider",$H679,$E679))</f>
        <v/>
      </c>
      <c r="N679" s="231">
        <f>IF($C679="","",DATE(YEAR($C679),MONTH($C679),1))</f>
        <v/>
      </c>
      <c r="O679" s="113">
        <f>IF($C679="","",IF(AND($D679&lt;&gt;"",$E679&lt;&gt;"",$G679&gt;0,$H679&lt;&gt;"",$I679&lt;&gt;""),IF($C679&gt;TODAY(),"İLERİ TARİH","UYGUN"),"EKSİK"))</f>
        <v/>
      </c>
      <c r="P679" s="6" t="n"/>
      <c r="Q679" s="6" t="n"/>
      <c r="R679" s="3" t="n"/>
      <c r="S679" s="3" t="n"/>
      <c r="T679" s="3" t="n"/>
      <c r="U679" s="3" t="n"/>
      <c r="V679" s="3" t="n"/>
      <c r="W679" s="3" t="n"/>
    </row>
    <row r="680">
      <c r="A680" s="6" t="n"/>
      <c r="B680" s="113">
        <f>IF($C680="","","GG"&amp;TEXT(ROW()-6,"00000"))</f>
        <v/>
      </c>
      <c r="C680" s="225" t="n"/>
      <c r="D680" s="108" t="n"/>
      <c r="E680" s="109" t="n"/>
      <c r="F680" s="109" t="n"/>
      <c r="G680" s="226" t="n"/>
      <c r="H680" s="108" t="n"/>
      <c r="I680" s="108" t="n"/>
      <c r="J680" s="109" t="n"/>
      <c r="K680" s="109" t="n"/>
      <c r="L680" s="121">
        <f>IF($C680="","",IF($D680="Gider",$E680,$H680))</f>
        <v/>
      </c>
      <c r="M680" s="121">
        <f>IF($C680="","",IF($D680="Gider",$H680,$E680))</f>
        <v/>
      </c>
      <c r="N680" s="231">
        <f>IF($C680="","",DATE(YEAR($C680),MONTH($C680),1))</f>
        <v/>
      </c>
      <c r="O680" s="113">
        <f>IF($C680="","",IF(AND($D680&lt;&gt;"",$E680&lt;&gt;"",$G680&gt;0,$H680&lt;&gt;"",$I680&lt;&gt;""),IF($C680&gt;TODAY(),"İLERİ TARİH","UYGUN"),"EKSİK"))</f>
        <v/>
      </c>
      <c r="P680" s="6" t="n"/>
      <c r="Q680" s="6" t="n"/>
      <c r="R680" s="3" t="n"/>
      <c r="S680" s="3" t="n"/>
      <c r="T680" s="3" t="n"/>
      <c r="U680" s="3" t="n"/>
      <c r="V680" s="3" t="n"/>
      <c r="W680" s="3" t="n"/>
    </row>
    <row r="681">
      <c r="A681" s="6" t="n"/>
      <c r="B681" s="113">
        <f>IF($C681="","","GG"&amp;TEXT(ROW()-6,"00000"))</f>
        <v/>
      </c>
      <c r="C681" s="225" t="n"/>
      <c r="D681" s="108" t="n"/>
      <c r="E681" s="109" t="n"/>
      <c r="F681" s="109" t="n"/>
      <c r="G681" s="226" t="n"/>
      <c r="H681" s="108" t="n"/>
      <c r="I681" s="108" t="n"/>
      <c r="J681" s="109" t="n"/>
      <c r="K681" s="109" t="n"/>
      <c r="L681" s="121">
        <f>IF($C681="","",IF($D681="Gider",$E681,$H681))</f>
        <v/>
      </c>
      <c r="M681" s="121">
        <f>IF($C681="","",IF($D681="Gider",$H681,$E681))</f>
        <v/>
      </c>
      <c r="N681" s="231">
        <f>IF($C681="","",DATE(YEAR($C681),MONTH($C681),1))</f>
        <v/>
      </c>
      <c r="O681" s="113">
        <f>IF($C681="","",IF(AND($D681&lt;&gt;"",$E681&lt;&gt;"",$G681&gt;0,$H681&lt;&gt;"",$I681&lt;&gt;""),IF($C681&gt;TODAY(),"İLERİ TARİH","UYGUN"),"EKSİK"))</f>
        <v/>
      </c>
      <c r="P681" s="6" t="n"/>
      <c r="Q681" s="6" t="n"/>
      <c r="R681" s="3" t="n"/>
      <c r="S681" s="3" t="n"/>
      <c r="T681" s="3" t="n"/>
      <c r="U681" s="3" t="n"/>
      <c r="V681" s="3" t="n"/>
      <c r="W681" s="3" t="n"/>
    </row>
    <row r="682">
      <c r="A682" s="6" t="n"/>
      <c r="B682" s="113">
        <f>IF($C682="","","GG"&amp;TEXT(ROW()-6,"00000"))</f>
        <v/>
      </c>
      <c r="C682" s="225" t="n"/>
      <c r="D682" s="108" t="n"/>
      <c r="E682" s="109" t="n"/>
      <c r="F682" s="109" t="n"/>
      <c r="G682" s="226" t="n"/>
      <c r="H682" s="108" t="n"/>
      <c r="I682" s="108" t="n"/>
      <c r="J682" s="109" t="n"/>
      <c r="K682" s="109" t="n"/>
      <c r="L682" s="121">
        <f>IF($C682="","",IF($D682="Gider",$E682,$H682))</f>
        <v/>
      </c>
      <c r="M682" s="121">
        <f>IF($C682="","",IF($D682="Gider",$H682,$E682))</f>
        <v/>
      </c>
      <c r="N682" s="231">
        <f>IF($C682="","",DATE(YEAR($C682),MONTH($C682),1))</f>
        <v/>
      </c>
      <c r="O682" s="113">
        <f>IF($C682="","",IF(AND($D682&lt;&gt;"",$E682&lt;&gt;"",$G682&gt;0,$H682&lt;&gt;"",$I682&lt;&gt;""),IF($C682&gt;TODAY(),"İLERİ TARİH","UYGUN"),"EKSİK"))</f>
        <v/>
      </c>
      <c r="P682" s="6" t="n"/>
      <c r="Q682" s="6" t="n"/>
      <c r="R682" s="3" t="n"/>
      <c r="S682" s="3" t="n"/>
      <c r="T682" s="3" t="n"/>
      <c r="U682" s="3" t="n"/>
      <c r="V682" s="3" t="n"/>
      <c r="W682" s="3" t="n"/>
    </row>
    <row r="683">
      <c r="A683" s="6" t="n"/>
      <c r="B683" s="113">
        <f>IF($C683="","","GG"&amp;TEXT(ROW()-6,"00000"))</f>
        <v/>
      </c>
      <c r="C683" s="225" t="n"/>
      <c r="D683" s="108" t="n"/>
      <c r="E683" s="109" t="n"/>
      <c r="F683" s="109" t="n"/>
      <c r="G683" s="226" t="n"/>
      <c r="H683" s="108" t="n"/>
      <c r="I683" s="108" t="n"/>
      <c r="J683" s="109" t="n"/>
      <c r="K683" s="109" t="n"/>
      <c r="L683" s="121">
        <f>IF($C683="","",IF($D683="Gider",$E683,$H683))</f>
        <v/>
      </c>
      <c r="M683" s="121">
        <f>IF($C683="","",IF($D683="Gider",$H683,$E683))</f>
        <v/>
      </c>
      <c r="N683" s="231">
        <f>IF($C683="","",DATE(YEAR($C683),MONTH($C683),1))</f>
        <v/>
      </c>
      <c r="O683" s="113">
        <f>IF($C683="","",IF(AND($D683&lt;&gt;"",$E683&lt;&gt;"",$G683&gt;0,$H683&lt;&gt;"",$I683&lt;&gt;""),IF($C683&gt;TODAY(),"İLERİ TARİH","UYGUN"),"EKSİK"))</f>
        <v/>
      </c>
      <c r="P683" s="6" t="n"/>
      <c r="Q683" s="6" t="n"/>
      <c r="R683" s="3" t="n"/>
      <c r="S683" s="3" t="n"/>
      <c r="T683" s="3" t="n"/>
      <c r="U683" s="3" t="n"/>
      <c r="V683" s="3" t="n"/>
      <c r="W683" s="3" t="n"/>
    </row>
    <row r="684">
      <c r="A684" s="6" t="n"/>
      <c r="B684" s="113">
        <f>IF($C684="","","GG"&amp;TEXT(ROW()-6,"00000"))</f>
        <v/>
      </c>
      <c r="C684" s="225" t="n"/>
      <c r="D684" s="108" t="n"/>
      <c r="E684" s="109" t="n"/>
      <c r="F684" s="109" t="n"/>
      <c r="G684" s="226" t="n"/>
      <c r="H684" s="108" t="n"/>
      <c r="I684" s="108" t="n"/>
      <c r="J684" s="109" t="n"/>
      <c r="K684" s="109" t="n"/>
      <c r="L684" s="121">
        <f>IF($C684="","",IF($D684="Gider",$E684,$H684))</f>
        <v/>
      </c>
      <c r="M684" s="121">
        <f>IF($C684="","",IF($D684="Gider",$H684,$E684))</f>
        <v/>
      </c>
      <c r="N684" s="231">
        <f>IF($C684="","",DATE(YEAR($C684),MONTH($C684),1))</f>
        <v/>
      </c>
      <c r="O684" s="113">
        <f>IF($C684="","",IF(AND($D684&lt;&gt;"",$E684&lt;&gt;"",$G684&gt;0,$H684&lt;&gt;"",$I684&lt;&gt;""),IF($C684&gt;TODAY(),"İLERİ TARİH","UYGUN"),"EKSİK"))</f>
        <v/>
      </c>
      <c r="P684" s="6" t="n"/>
      <c r="Q684" s="6" t="n"/>
      <c r="R684" s="3" t="n"/>
      <c r="S684" s="3" t="n"/>
      <c r="T684" s="3" t="n"/>
      <c r="U684" s="3" t="n"/>
      <c r="V684" s="3" t="n"/>
      <c r="W684" s="3" t="n"/>
    </row>
    <row r="685">
      <c r="A685" s="6" t="n"/>
      <c r="B685" s="113">
        <f>IF($C685="","","GG"&amp;TEXT(ROW()-6,"00000"))</f>
        <v/>
      </c>
      <c r="C685" s="225" t="n"/>
      <c r="D685" s="108" t="n"/>
      <c r="E685" s="109" t="n"/>
      <c r="F685" s="109" t="n"/>
      <c r="G685" s="226" t="n"/>
      <c r="H685" s="108" t="n"/>
      <c r="I685" s="108" t="n"/>
      <c r="J685" s="109" t="n"/>
      <c r="K685" s="109" t="n"/>
      <c r="L685" s="121">
        <f>IF($C685="","",IF($D685="Gider",$E685,$H685))</f>
        <v/>
      </c>
      <c r="M685" s="121">
        <f>IF($C685="","",IF($D685="Gider",$H685,$E685))</f>
        <v/>
      </c>
      <c r="N685" s="231">
        <f>IF($C685="","",DATE(YEAR($C685),MONTH($C685),1))</f>
        <v/>
      </c>
      <c r="O685" s="113">
        <f>IF($C685="","",IF(AND($D685&lt;&gt;"",$E685&lt;&gt;"",$G685&gt;0,$H685&lt;&gt;"",$I685&lt;&gt;""),IF($C685&gt;TODAY(),"İLERİ TARİH","UYGUN"),"EKSİK"))</f>
        <v/>
      </c>
      <c r="P685" s="6" t="n"/>
      <c r="Q685" s="6" t="n"/>
      <c r="R685" s="3" t="n"/>
      <c r="S685" s="3" t="n"/>
      <c r="T685" s="3" t="n"/>
      <c r="U685" s="3" t="n"/>
      <c r="V685" s="3" t="n"/>
      <c r="W685" s="3" t="n"/>
    </row>
    <row r="686">
      <c r="A686" s="6" t="n"/>
      <c r="B686" s="113">
        <f>IF($C686="","","GG"&amp;TEXT(ROW()-6,"00000"))</f>
        <v/>
      </c>
      <c r="C686" s="225" t="n"/>
      <c r="D686" s="108" t="n"/>
      <c r="E686" s="109" t="n"/>
      <c r="F686" s="109" t="n"/>
      <c r="G686" s="226" t="n"/>
      <c r="H686" s="108" t="n"/>
      <c r="I686" s="108" t="n"/>
      <c r="J686" s="109" t="n"/>
      <c r="K686" s="109" t="n"/>
      <c r="L686" s="121">
        <f>IF($C686="","",IF($D686="Gider",$E686,$H686))</f>
        <v/>
      </c>
      <c r="M686" s="121">
        <f>IF($C686="","",IF($D686="Gider",$H686,$E686))</f>
        <v/>
      </c>
      <c r="N686" s="231">
        <f>IF($C686="","",DATE(YEAR($C686),MONTH($C686),1))</f>
        <v/>
      </c>
      <c r="O686" s="113">
        <f>IF($C686="","",IF(AND($D686&lt;&gt;"",$E686&lt;&gt;"",$G686&gt;0,$H686&lt;&gt;"",$I686&lt;&gt;""),IF($C686&gt;TODAY(),"İLERİ TARİH","UYGUN"),"EKSİK"))</f>
        <v/>
      </c>
      <c r="P686" s="6" t="n"/>
      <c r="Q686" s="6" t="n"/>
      <c r="R686" s="3" t="n"/>
      <c r="S686" s="3" t="n"/>
      <c r="T686" s="3" t="n"/>
      <c r="U686" s="3" t="n"/>
      <c r="V686" s="3" t="n"/>
      <c r="W686" s="3" t="n"/>
    </row>
    <row r="687">
      <c r="A687" s="6" t="n"/>
      <c r="B687" s="113">
        <f>IF($C687="","","GG"&amp;TEXT(ROW()-6,"00000"))</f>
        <v/>
      </c>
      <c r="C687" s="225" t="n"/>
      <c r="D687" s="108" t="n"/>
      <c r="E687" s="109" t="n"/>
      <c r="F687" s="109" t="n"/>
      <c r="G687" s="226" t="n"/>
      <c r="H687" s="108" t="n"/>
      <c r="I687" s="108" t="n"/>
      <c r="J687" s="109" t="n"/>
      <c r="K687" s="109" t="n"/>
      <c r="L687" s="121">
        <f>IF($C687="","",IF($D687="Gider",$E687,$H687))</f>
        <v/>
      </c>
      <c r="M687" s="121">
        <f>IF($C687="","",IF($D687="Gider",$H687,$E687))</f>
        <v/>
      </c>
      <c r="N687" s="231">
        <f>IF($C687="","",DATE(YEAR($C687),MONTH($C687),1))</f>
        <v/>
      </c>
      <c r="O687" s="113">
        <f>IF($C687="","",IF(AND($D687&lt;&gt;"",$E687&lt;&gt;"",$G687&gt;0,$H687&lt;&gt;"",$I687&lt;&gt;""),IF($C687&gt;TODAY(),"İLERİ TARİH","UYGUN"),"EKSİK"))</f>
        <v/>
      </c>
      <c r="P687" s="6" t="n"/>
      <c r="Q687" s="6" t="n"/>
      <c r="R687" s="3" t="n"/>
      <c r="S687" s="3" t="n"/>
      <c r="T687" s="3" t="n"/>
      <c r="U687" s="3" t="n"/>
      <c r="V687" s="3" t="n"/>
      <c r="W687" s="3" t="n"/>
    </row>
    <row r="688">
      <c r="A688" s="6" t="n"/>
      <c r="B688" s="113">
        <f>IF($C688="","","GG"&amp;TEXT(ROW()-6,"00000"))</f>
        <v/>
      </c>
      <c r="C688" s="225" t="n"/>
      <c r="D688" s="108" t="n"/>
      <c r="E688" s="109" t="n"/>
      <c r="F688" s="109" t="n"/>
      <c r="G688" s="226" t="n"/>
      <c r="H688" s="108" t="n"/>
      <c r="I688" s="108" t="n"/>
      <c r="J688" s="109" t="n"/>
      <c r="K688" s="109" t="n"/>
      <c r="L688" s="121">
        <f>IF($C688="","",IF($D688="Gider",$E688,$H688))</f>
        <v/>
      </c>
      <c r="M688" s="121">
        <f>IF($C688="","",IF($D688="Gider",$H688,$E688))</f>
        <v/>
      </c>
      <c r="N688" s="231">
        <f>IF($C688="","",DATE(YEAR($C688),MONTH($C688),1))</f>
        <v/>
      </c>
      <c r="O688" s="113">
        <f>IF($C688="","",IF(AND($D688&lt;&gt;"",$E688&lt;&gt;"",$G688&gt;0,$H688&lt;&gt;"",$I688&lt;&gt;""),IF($C688&gt;TODAY(),"İLERİ TARİH","UYGUN"),"EKSİK"))</f>
        <v/>
      </c>
      <c r="P688" s="6" t="n"/>
      <c r="Q688" s="6" t="n"/>
      <c r="R688" s="3" t="n"/>
      <c r="S688" s="3" t="n"/>
      <c r="T688" s="3" t="n"/>
      <c r="U688" s="3" t="n"/>
      <c r="V688" s="3" t="n"/>
      <c r="W688" s="3" t="n"/>
    </row>
    <row r="689">
      <c r="A689" s="6" t="n"/>
      <c r="B689" s="113">
        <f>IF($C689="","","GG"&amp;TEXT(ROW()-6,"00000"))</f>
        <v/>
      </c>
      <c r="C689" s="225" t="n"/>
      <c r="D689" s="108" t="n"/>
      <c r="E689" s="109" t="n"/>
      <c r="F689" s="109" t="n"/>
      <c r="G689" s="226" t="n"/>
      <c r="H689" s="108" t="n"/>
      <c r="I689" s="108" t="n"/>
      <c r="J689" s="109" t="n"/>
      <c r="K689" s="109" t="n"/>
      <c r="L689" s="121">
        <f>IF($C689="","",IF($D689="Gider",$E689,$H689))</f>
        <v/>
      </c>
      <c r="M689" s="121">
        <f>IF($C689="","",IF($D689="Gider",$H689,$E689))</f>
        <v/>
      </c>
      <c r="N689" s="231">
        <f>IF($C689="","",DATE(YEAR($C689),MONTH($C689),1))</f>
        <v/>
      </c>
      <c r="O689" s="113">
        <f>IF($C689="","",IF(AND($D689&lt;&gt;"",$E689&lt;&gt;"",$G689&gt;0,$H689&lt;&gt;"",$I689&lt;&gt;""),IF($C689&gt;TODAY(),"İLERİ TARİH","UYGUN"),"EKSİK"))</f>
        <v/>
      </c>
      <c r="P689" s="6" t="n"/>
      <c r="Q689" s="6" t="n"/>
      <c r="R689" s="3" t="n"/>
      <c r="S689" s="3" t="n"/>
      <c r="T689" s="3" t="n"/>
      <c r="U689" s="3" t="n"/>
      <c r="V689" s="3" t="n"/>
      <c r="W689" s="3" t="n"/>
    </row>
    <row r="690">
      <c r="A690" s="6" t="n"/>
      <c r="B690" s="113">
        <f>IF($C690="","","GG"&amp;TEXT(ROW()-6,"00000"))</f>
        <v/>
      </c>
      <c r="C690" s="225" t="n"/>
      <c r="D690" s="108" t="n"/>
      <c r="E690" s="109" t="n"/>
      <c r="F690" s="109" t="n"/>
      <c r="G690" s="226" t="n"/>
      <c r="H690" s="108" t="n"/>
      <c r="I690" s="108" t="n"/>
      <c r="J690" s="109" t="n"/>
      <c r="K690" s="109" t="n"/>
      <c r="L690" s="121">
        <f>IF($C690="","",IF($D690="Gider",$E690,$H690))</f>
        <v/>
      </c>
      <c r="M690" s="121">
        <f>IF($C690="","",IF($D690="Gider",$H690,$E690))</f>
        <v/>
      </c>
      <c r="N690" s="231">
        <f>IF($C690="","",DATE(YEAR($C690),MONTH($C690),1))</f>
        <v/>
      </c>
      <c r="O690" s="113">
        <f>IF($C690="","",IF(AND($D690&lt;&gt;"",$E690&lt;&gt;"",$G690&gt;0,$H690&lt;&gt;"",$I690&lt;&gt;""),IF($C690&gt;TODAY(),"İLERİ TARİH","UYGUN"),"EKSİK"))</f>
        <v/>
      </c>
      <c r="P690" s="6" t="n"/>
      <c r="Q690" s="6" t="n"/>
      <c r="R690" s="3" t="n"/>
      <c r="S690" s="3" t="n"/>
      <c r="T690" s="3" t="n"/>
      <c r="U690" s="3" t="n"/>
      <c r="V690" s="3" t="n"/>
      <c r="W690" s="3" t="n"/>
    </row>
    <row r="691">
      <c r="A691" s="6" t="n"/>
      <c r="B691" s="113">
        <f>IF($C691="","","GG"&amp;TEXT(ROW()-6,"00000"))</f>
        <v/>
      </c>
      <c r="C691" s="225" t="n"/>
      <c r="D691" s="108" t="n"/>
      <c r="E691" s="109" t="n"/>
      <c r="F691" s="109" t="n"/>
      <c r="G691" s="226" t="n"/>
      <c r="H691" s="108" t="n"/>
      <c r="I691" s="108" t="n"/>
      <c r="J691" s="109" t="n"/>
      <c r="K691" s="109" t="n"/>
      <c r="L691" s="121">
        <f>IF($C691="","",IF($D691="Gider",$E691,$H691))</f>
        <v/>
      </c>
      <c r="M691" s="121">
        <f>IF($C691="","",IF($D691="Gider",$H691,$E691))</f>
        <v/>
      </c>
      <c r="N691" s="231">
        <f>IF($C691="","",DATE(YEAR($C691),MONTH($C691),1))</f>
        <v/>
      </c>
      <c r="O691" s="113">
        <f>IF($C691="","",IF(AND($D691&lt;&gt;"",$E691&lt;&gt;"",$G691&gt;0,$H691&lt;&gt;"",$I691&lt;&gt;""),IF($C691&gt;TODAY(),"İLERİ TARİH","UYGUN"),"EKSİK"))</f>
        <v/>
      </c>
      <c r="P691" s="6" t="n"/>
      <c r="Q691" s="6" t="n"/>
      <c r="R691" s="3" t="n"/>
      <c r="S691" s="3" t="n"/>
      <c r="T691" s="3" t="n"/>
      <c r="U691" s="3" t="n"/>
      <c r="V691" s="3" t="n"/>
      <c r="W691" s="3" t="n"/>
    </row>
    <row r="692">
      <c r="A692" s="6" t="n"/>
      <c r="B692" s="113">
        <f>IF($C692="","","GG"&amp;TEXT(ROW()-6,"00000"))</f>
        <v/>
      </c>
      <c r="C692" s="225" t="n"/>
      <c r="D692" s="108" t="n"/>
      <c r="E692" s="109" t="n"/>
      <c r="F692" s="109" t="n"/>
      <c r="G692" s="226" t="n"/>
      <c r="H692" s="108" t="n"/>
      <c r="I692" s="108" t="n"/>
      <c r="J692" s="109" t="n"/>
      <c r="K692" s="109" t="n"/>
      <c r="L692" s="121">
        <f>IF($C692="","",IF($D692="Gider",$E692,$H692))</f>
        <v/>
      </c>
      <c r="M692" s="121">
        <f>IF($C692="","",IF($D692="Gider",$H692,$E692))</f>
        <v/>
      </c>
      <c r="N692" s="231">
        <f>IF($C692="","",DATE(YEAR($C692),MONTH($C692),1))</f>
        <v/>
      </c>
      <c r="O692" s="113">
        <f>IF($C692="","",IF(AND($D692&lt;&gt;"",$E692&lt;&gt;"",$G692&gt;0,$H692&lt;&gt;"",$I692&lt;&gt;""),IF($C692&gt;TODAY(),"İLERİ TARİH","UYGUN"),"EKSİK"))</f>
        <v/>
      </c>
      <c r="P692" s="6" t="n"/>
      <c r="Q692" s="6" t="n"/>
      <c r="R692" s="3" t="n"/>
      <c r="S692" s="3" t="n"/>
      <c r="T692" s="3" t="n"/>
      <c r="U692" s="3" t="n"/>
      <c r="V692" s="3" t="n"/>
      <c r="W692" s="3" t="n"/>
    </row>
    <row r="693">
      <c r="A693" s="6" t="n"/>
      <c r="B693" s="113">
        <f>IF($C693="","","GG"&amp;TEXT(ROW()-6,"00000"))</f>
        <v/>
      </c>
      <c r="C693" s="225" t="n"/>
      <c r="D693" s="108" t="n"/>
      <c r="E693" s="109" t="n"/>
      <c r="F693" s="109" t="n"/>
      <c r="G693" s="226" t="n"/>
      <c r="H693" s="108" t="n"/>
      <c r="I693" s="108" t="n"/>
      <c r="J693" s="109" t="n"/>
      <c r="K693" s="109" t="n"/>
      <c r="L693" s="121">
        <f>IF($C693="","",IF($D693="Gider",$E693,$H693))</f>
        <v/>
      </c>
      <c r="M693" s="121">
        <f>IF($C693="","",IF($D693="Gider",$H693,$E693))</f>
        <v/>
      </c>
      <c r="N693" s="231">
        <f>IF($C693="","",DATE(YEAR($C693),MONTH($C693),1))</f>
        <v/>
      </c>
      <c r="O693" s="113">
        <f>IF($C693="","",IF(AND($D693&lt;&gt;"",$E693&lt;&gt;"",$G693&gt;0,$H693&lt;&gt;"",$I693&lt;&gt;""),IF($C693&gt;TODAY(),"İLERİ TARİH","UYGUN"),"EKSİK"))</f>
        <v/>
      </c>
      <c r="P693" s="6" t="n"/>
      <c r="Q693" s="6" t="n"/>
      <c r="R693" s="3" t="n"/>
      <c r="S693" s="3" t="n"/>
      <c r="T693" s="3" t="n"/>
      <c r="U693" s="3" t="n"/>
      <c r="V693" s="3" t="n"/>
      <c r="W693" s="3" t="n"/>
    </row>
    <row r="694">
      <c r="A694" s="6" t="n"/>
      <c r="B694" s="113">
        <f>IF($C694="","","GG"&amp;TEXT(ROW()-6,"00000"))</f>
        <v/>
      </c>
      <c r="C694" s="225" t="n"/>
      <c r="D694" s="108" t="n"/>
      <c r="E694" s="109" t="n"/>
      <c r="F694" s="109" t="n"/>
      <c r="G694" s="226" t="n"/>
      <c r="H694" s="108" t="n"/>
      <c r="I694" s="108" t="n"/>
      <c r="J694" s="109" t="n"/>
      <c r="K694" s="109" t="n"/>
      <c r="L694" s="121">
        <f>IF($C694="","",IF($D694="Gider",$E694,$H694))</f>
        <v/>
      </c>
      <c r="M694" s="121">
        <f>IF($C694="","",IF($D694="Gider",$H694,$E694))</f>
        <v/>
      </c>
      <c r="N694" s="231">
        <f>IF($C694="","",DATE(YEAR($C694),MONTH($C694),1))</f>
        <v/>
      </c>
      <c r="O694" s="113">
        <f>IF($C694="","",IF(AND($D694&lt;&gt;"",$E694&lt;&gt;"",$G694&gt;0,$H694&lt;&gt;"",$I694&lt;&gt;""),IF($C694&gt;TODAY(),"İLERİ TARİH","UYGUN"),"EKSİK"))</f>
        <v/>
      </c>
      <c r="P694" s="6" t="n"/>
      <c r="Q694" s="6" t="n"/>
      <c r="R694" s="3" t="n"/>
      <c r="S694" s="3" t="n"/>
      <c r="T694" s="3" t="n"/>
      <c r="U694" s="3" t="n"/>
      <c r="V694" s="3" t="n"/>
      <c r="W694" s="3" t="n"/>
    </row>
    <row r="695">
      <c r="A695" s="6" t="n"/>
      <c r="B695" s="113">
        <f>IF($C695="","","GG"&amp;TEXT(ROW()-6,"00000"))</f>
        <v/>
      </c>
      <c r="C695" s="225" t="n"/>
      <c r="D695" s="108" t="n"/>
      <c r="E695" s="109" t="n"/>
      <c r="F695" s="109" t="n"/>
      <c r="G695" s="226" t="n"/>
      <c r="H695" s="108" t="n"/>
      <c r="I695" s="108" t="n"/>
      <c r="J695" s="109" t="n"/>
      <c r="K695" s="109" t="n"/>
      <c r="L695" s="121">
        <f>IF($C695="","",IF($D695="Gider",$E695,$H695))</f>
        <v/>
      </c>
      <c r="M695" s="121">
        <f>IF($C695="","",IF($D695="Gider",$H695,$E695))</f>
        <v/>
      </c>
      <c r="N695" s="231">
        <f>IF($C695="","",DATE(YEAR($C695),MONTH($C695),1))</f>
        <v/>
      </c>
      <c r="O695" s="113">
        <f>IF($C695="","",IF(AND($D695&lt;&gt;"",$E695&lt;&gt;"",$G695&gt;0,$H695&lt;&gt;"",$I695&lt;&gt;""),IF($C695&gt;TODAY(),"İLERİ TARİH","UYGUN"),"EKSİK"))</f>
        <v/>
      </c>
      <c r="P695" s="6" t="n"/>
      <c r="Q695" s="6" t="n"/>
      <c r="R695" s="3" t="n"/>
      <c r="S695" s="3" t="n"/>
      <c r="T695" s="3" t="n"/>
      <c r="U695" s="3" t="n"/>
      <c r="V695" s="3" t="n"/>
      <c r="W695" s="3" t="n"/>
    </row>
    <row r="696">
      <c r="A696" s="6" t="n"/>
      <c r="B696" s="113">
        <f>IF($C696="","","GG"&amp;TEXT(ROW()-6,"00000"))</f>
        <v/>
      </c>
      <c r="C696" s="225" t="n"/>
      <c r="D696" s="108" t="n"/>
      <c r="E696" s="109" t="n"/>
      <c r="F696" s="109" t="n"/>
      <c r="G696" s="226" t="n"/>
      <c r="H696" s="108" t="n"/>
      <c r="I696" s="108" t="n"/>
      <c r="J696" s="109" t="n"/>
      <c r="K696" s="109" t="n"/>
      <c r="L696" s="121">
        <f>IF($C696="","",IF($D696="Gider",$E696,$H696))</f>
        <v/>
      </c>
      <c r="M696" s="121">
        <f>IF($C696="","",IF($D696="Gider",$H696,$E696))</f>
        <v/>
      </c>
      <c r="N696" s="231">
        <f>IF($C696="","",DATE(YEAR($C696),MONTH($C696),1))</f>
        <v/>
      </c>
      <c r="O696" s="113">
        <f>IF($C696="","",IF(AND($D696&lt;&gt;"",$E696&lt;&gt;"",$G696&gt;0,$H696&lt;&gt;"",$I696&lt;&gt;""),IF($C696&gt;TODAY(),"İLERİ TARİH","UYGUN"),"EKSİK"))</f>
        <v/>
      </c>
      <c r="P696" s="6" t="n"/>
      <c r="Q696" s="6" t="n"/>
      <c r="R696" s="3" t="n"/>
      <c r="S696" s="3" t="n"/>
      <c r="T696" s="3" t="n"/>
      <c r="U696" s="3" t="n"/>
      <c r="V696" s="3" t="n"/>
      <c r="W696" s="3" t="n"/>
    </row>
    <row r="697">
      <c r="A697" s="6" t="n"/>
      <c r="B697" s="113">
        <f>IF($C697="","","GG"&amp;TEXT(ROW()-6,"00000"))</f>
        <v/>
      </c>
      <c r="C697" s="225" t="n"/>
      <c r="D697" s="108" t="n"/>
      <c r="E697" s="109" t="n"/>
      <c r="F697" s="109" t="n"/>
      <c r="G697" s="226" t="n"/>
      <c r="H697" s="108" t="n"/>
      <c r="I697" s="108" t="n"/>
      <c r="J697" s="109" t="n"/>
      <c r="K697" s="109" t="n"/>
      <c r="L697" s="121">
        <f>IF($C697="","",IF($D697="Gider",$E697,$H697))</f>
        <v/>
      </c>
      <c r="M697" s="121">
        <f>IF($C697="","",IF($D697="Gider",$H697,$E697))</f>
        <v/>
      </c>
      <c r="N697" s="231">
        <f>IF($C697="","",DATE(YEAR($C697),MONTH($C697),1))</f>
        <v/>
      </c>
      <c r="O697" s="113">
        <f>IF($C697="","",IF(AND($D697&lt;&gt;"",$E697&lt;&gt;"",$G697&gt;0,$H697&lt;&gt;"",$I697&lt;&gt;""),IF($C697&gt;TODAY(),"İLERİ TARİH","UYGUN"),"EKSİK"))</f>
        <v/>
      </c>
      <c r="P697" s="6" t="n"/>
      <c r="Q697" s="6" t="n"/>
      <c r="R697" s="3" t="n"/>
      <c r="S697" s="3" t="n"/>
      <c r="T697" s="3" t="n"/>
      <c r="U697" s="3" t="n"/>
      <c r="V697" s="3" t="n"/>
      <c r="W697" s="3" t="n"/>
    </row>
    <row r="698">
      <c r="A698" s="6" t="n"/>
      <c r="B698" s="113">
        <f>IF($C698="","","GG"&amp;TEXT(ROW()-6,"00000"))</f>
        <v/>
      </c>
      <c r="C698" s="225" t="n"/>
      <c r="D698" s="108" t="n"/>
      <c r="E698" s="109" t="n"/>
      <c r="F698" s="109" t="n"/>
      <c r="G698" s="226" t="n"/>
      <c r="H698" s="108" t="n"/>
      <c r="I698" s="108" t="n"/>
      <c r="J698" s="109" t="n"/>
      <c r="K698" s="109" t="n"/>
      <c r="L698" s="121">
        <f>IF($C698="","",IF($D698="Gider",$E698,$H698))</f>
        <v/>
      </c>
      <c r="M698" s="121">
        <f>IF($C698="","",IF($D698="Gider",$H698,$E698))</f>
        <v/>
      </c>
      <c r="N698" s="231">
        <f>IF($C698="","",DATE(YEAR($C698),MONTH($C698),1))</f>
        <v/>
      </c>
      <c r="O698" s="113">
        <f>IF($C698="","",IF(AND($D698&lt;&gt;"",$E698&lt;&gt;"",$G698&gt;0,$H698&lt;&gt;"",$I698&lt;&gt;""),IF($C698&gt;TODAY(),"İLERİ TARİH","UYGUN"),"EKSİK"))</f>
        <v/>
      </c>
      <c r="P698" s="6" t="n"/>
      <c r="Q698" s="6" t="n"/>
      <c r="R698" s="3" t="n"/>
      <c r="S698" s="3" t="n"/>
      <c r="T698" s="3" t="n"/>
      <c r="U698" s="3" t="n"/>
      <c r="V698" s="3" t="n"/>
      <c r="W698" s="3" t="n"/>
    </row>
    <row r="699">
      <c r="A699" s="6" t="n"/>
      <c r="B699" s="113">
        <f>IF($C699="","","GG"&amp;TEXT(ROW()-6,"00000"))</f>
        <v/>
      </c>
      <c r="C699" s="225" t="n"/>
      <c r="D699" s="108" t="n"/>
      <c r="E699" s="109" t="n"/>
      <c r="F699" s="109" t="n"/>
      <c r="G699" s="226" t="n"/>
      <c r="H699" s="108" t="n"/>
      <c r="I699" s="108" t="n"/>
      <c r="J699" s="109" t="n"/>
      <c r="K699" s="109" t="n"/>
      <c r="L699" s="121">
        <f>IF($C699="","",IF($D699="Gider",$E699,$H699))</f>
        <v/>
      </c>
      <c r="M699" s="121">
        <f>IF($C699="","",IF($D699="Gider",$H699,$E699))</f>
        <v/>
      </c>
      <c r="N699" s="231">
        <f>IF($C699="","",DATE(YEAR($C699),MONTH($C699),1))</f>
        <v/>
      </c>
      <c r="O699" s="113">
        <f>IF($C699="","",IF(AND($D699&lt;&gt;"",$E699&lt;&gt;"",$G699&gt;0,$H699&lt;&gt;"",$I699&lt;&gt;""),IF($C699&gt;TODAY(),"İLERİ TARİH","UYGUN"),"EKSİK"))</f>
        <v/>
      </c>
      <c r="P699" s="6" t="n"/>
      <c r="Q699" s="6" t="n"/>
      <c r="R699" s="3" t="n"/>
      <c r="S699" s="3" t="n"/>
      <c r="T699" s="3" t="n"/>
      <c r="U699" s="3" t="n"/>
      <c r="V699" s="3" t="n"/>
      <c r="W699" s="3" t="n"/>
    </row>
    <row r="700">
      <c r="A700" s="6" t="n"/>
      <c r="B700" s="113">
        <f>IF($C700="","","GG"&amp;TEXT(ROW()-6,"00000"))</f>
        <v/>
      </c>
      <c r="C700" s="225" t="n"/>
      <c r="D700" s="108" t="n"/>
      <c r="E700" s="109" t="n"/>
      <c r="F700" s="109" t="n"/>
      <c r="G700" s="226" t="n"/>
      <c r="H700" s="108" t="n"/>
      <c r="I700" s="108" t="n"/>
      <c r="J700" s="109" t="n"/>
      <c r="K700" s="109" t="n"/>
      <c r="L700" s="121">
        <f>IF($C700="","",IF($D700="Gider",$E700,$H700))</f>
        <v/>
      </c>
      <c r="M700" s="121">
        <f>IF($C700="","",IF($D700="Gider",$H700,$E700))</f>
        <v/>
      </c>
      <c r="N700" s="231">
        <f>IF($C700="","",DATE(YEAR($C700),MONTH($C700),1))</f>
        <v/>
      </c>
      <c r="O700" s="113">
        <f>IF($C700="","",IF(AND($D700&lt;&gt;"",$E700&lt;&gt;"",$G700&gt;0,$H700&lt;&gt;"",$I700&lt;&gt;""),IF($C700&gt;TODAY(),"İLERİ TARİH","UYGUN"),"EKSİK"))</f>
        <v/>
      </c>
      <c r="P700" s="6" t="n"/>
      <c r="Q700" s="6" t="n"/>
      <c r="R700" s="3" t="n"/>
      <c r="S700" s="3" t="n"/>
      <c r="T700" s="3" t="n"/>
      <c r="U700" s="3" t="n"/>
      <c r="V700" s="3" t="n"/>
      <c r="W700" s="3" t="n"/>
    </row>
    <row r="701">
      <c r="A701" s="6" t="n"/>
      <c r="B701" s="113">
        <f>IF($C701="","","GG"&amp;TEXT(ROW()-6,"00000"))</f>
        <v/>
      </c>
      <c r="C701" s="225" t="n"/>
      <c r="D701" s="108" t="n"/>
      <c r="E701" s="109" t="n"/>
      <c r="F701" s="109" t="n"/>
      <c r="G701" s="226" t="n"/>
      <c r="H701" s="108" t="n"/>
      <c r="I701" s="108" t="n"/>
      <c r="J701" s="109" t="n"/>
      <c r="K701" s="109" t="n"/>
      <c r="L701" s="121">
        <f>IF($C701="","",IF($D701="Gider",$E701,$H701))</f>
        <v/>
      </c>
      <c r="M701" s="121">
        <f>IF($C701="","",IF($D701="Gider",$H701,$E701))</f>
        <v/>
      </c>
      <c r="N701" s="231">
        <f>IF($C701="","",DATE(YEAR($C701),MONTH($C701),1))</f>
        <v/>
      </c>
      <c r="O701" s="113">
        <f>IF($C701="","",IF(AND($D701&lt;&gt;"",$E701&lt;&gt;"",$G701&gt;0,$H701&lt;&gt;"",$I701&lt;&gt;""),IF($C701&gt;TODAY(),"İLERİ TARİH","UYGUN"),"EKSİK"))</f>
        <v/>
      </c>
      <c r="P701" s="6" t="n"/>
      <c r="Q701" s="6" t="n"/>
      <c r="R701" s="3" t="n"/>
      <c r="S701" s="3" t="n"/>
      <c r="T701" s="3" t="n"/>
      <c r="U701" s="3" t="n"/>
      <c r="V701" s="3" t="n"/>
      <c r="W701" s="3" t="n"/>
    </row>
    <row r="702">
      <c r="A702" s="6" t="n"/>
      <c r="B702" s="113">
        <f>IF($C702="","","GG"&amp;TEXT(ROW()-6,"00000"))</f>
        <v/>
      </c>
      <c r="C702" s="225" t="n"/>
      <c r="D702" s="108" t="n"/>
      <c r="E702" s="109" t="n"/>
      <c r="F702" s="109" t="n"/>
      <c r="G702" s="226" t="n"/>
      <c r="H702" s="108" t="n"/>
      <c r="I702" s="108" t="n"/>
      <c r="J702" s="109" t="n"/>
      <c r="K702" s="109" t="n"/>
      <c r="L702" s="121">
        <f>IF($C702="","",IF($D702="Gider",$E702,$H702))</f>
        <v/>
      </c>
      <c r="M702" s="121">
        <f>IF($C702="","",IF($D702="Gider",$H702,$E702))</f>
        <v/>
      </c>
      <c r="N702" s="231">
        <f>IF($C702="","",DATE(YEAR($C702),MONTH($C702),1))</f>
        <v/>
      </c>
      <c r="O702" s="113">
        <f>IF($C702="","",IF(AND($D702&lt;&gt;"",$E702&lt;&gt;"",$G702&gt;0,$H702&lt;&gt;"",$I702&lt;&gt;""),IF($C702&gt;TODAY(),"İLERİ TARİH","UYGUN"),"EKSİK"))</f>
        <v/>
      </c>
      <c r="P702" s="6" t="n"/>
      <c r="Q702" s="6" t="n"/>
      <c r="R702" s="3" t="n"/>
      <c r="S702" s="3" t="n"/>
      <c r="T702" s="3" t="n"/>
      <c r="U702" s="3" t="n"/>
      <c r="V702" s="3" t="n"/>
      <c r="W702" s="3" t="n"/>
    </row>
    <row r="703">
      <c r="A703" s="6" t="n"/>
      <c r="B703" s="113">
        <f>IF($C703="","","GG"&amp;TEXT(ROW()-6,"00000"))</f>
        <v/>
      </c>
      <c r="C703" s="225" t="n"/>
      <c r="D703" s="108" t="n"/>
      <c r="E703" s="109" t="n"/>
      <c r="F703" s="109" t="n"/>
      <c r="G703" s="226" t="n"/>
      <c r="H703" s="108" t="n"/>
      <c r="I703" s="108" t="n"/>
      <c r="J703" s="109" t="n"/>
      <c r="K703" s="109" t="n"/>
      <c r="L703" s="121">
        <f>IF($C703="","",IF($D703="Gider",$E703,$H703))</f>
        <v/>
      </c>
      <c r="M703" s="121">
        <f>IF($C703="","",IF($D703="Gider",$H703,$E703))</f>
        <v/>
      </c>
      <c r="N703" s="231">
        <f>IF($C703="","",DATE(YEAR($C703),MONTH($C703),1))</f>
        <v/>
      </c>
      <c r="O703" s="113">
        <f>IF($C703="","",IF(AND($D703&lt;&gt;"",$E703&lt;&gt;"",$G703&gt;0,$H703&lt;&gt;"",$I703&lt;&gt;""),IF($C703&gt;TODAY(),"İLERİ TARİH","UYGUN"),"EKSİK"))</f>
        <v/>
      </c>
      <c r="P703" s="6" t="n"/>
      <c r="Q703" s="6" t="n"/>
      <c r="R703" s="3" t="n"/>
      <c r="S703" s="3" t="n"/>
      <c r="T703" s="3" t="n"/>
      <c r="U703" s="3" t="n"/>
      <c r="V703" s="3" t="n"/>
      <c r="W703" s="3" t="n"/>
    </row>
    <row r="704">
      <c r="A704" s="6" t="n"/>
      <c r="B704" s="113">
        <f>IF($C704="","","GG"&amp;TEXT(ROW()-6,"00000"))</f>
        <v/>
      </c>
      <c r="C704" s="225" t="n"/>
      <c r="D704" s="108" t="n"/>
      <c r="E704" s="109" t="n"/>
      <c r="F704" s="109" t="n"/>
      <c r="G704" s="226" t="n"/>
      <c r="H704" s="108" t="n"/>
      <c r="I704" s="108" t="n"/>
      <c r="J704" s="109" t="n"/>
      <c r="K704" s="109" t="n"/>
      <c r="L704" s="121">
        <f>IF($C704="","",IF($D704="Gider",$E704,$H704))</f>
        <v/>
      </c>
      <c r="M704" s="121">
        <f>IF($C704="","",IF($D704="Gider",$H704,$E704))</f>
        <v/>
      </c>
      <c r="N704" s="231">
        <f>IF($C704="","",DATE(YEAR($C704),MONTH($C704),1))</f>
        <v/>
      </c>
      <c r="O704" s="113">
        <f>IF($C704="","",IF(AND($D704&lt;&gt;"",$E704&lt;&gt;"",$G704&gt;0,$H704&lt;&gt;"",$I704&lt;&gt;""),IF($C704&gt;TODAY(),"İLERİ TARİH","UYGUN"),"EKSİK"))</f>
        <v/>
      </c>
      <c r="P704" s="6" t="n"/>
      <c r="Q704" s="6" t="n"/>
      <c r="R704" s="3" t="n"/>
      <c r="S704" s="3" t="n"/>
      <c r="T704" s="3" t="n"/>
      <c r="U704" s="3" t="n"/>
      <c r="V704" s="3" t="n"/>
      <c r="W704" s="3" t="n"/>
    </row>
    <row r="705">
      <c r="A705" s="6" t="n"/>
      <c r="B705" s="113">
        <f>IF($C705="","","GG"&amp;TEXT(ROW()-6,"00000"))</f>
        <v/>
      </c>
      <c r="C705" s="225" t="n"/>
      <c r="D705" s="108" t="n"/>
      <c r="E705" s="109" t="n"/>
      <c r="F705" s="109" t="n"/>
      <c r="G705" s="226" t="n"/>
      <c r="H705" s="108" t="n"/>
      <c r="I705" s="108" t="n"/>
      <c r="J705" s="109" t="n"/>
      <c r="K705" s="109" t="n"/>
      <c r="L705" s="121">
        <f>IF($C705="","",IF($D705="Gider",$E705,$H705))</f>
        <v/>
      </c>
      <c r="M705" s="121">
        <f>IF($C705="","",IF($D705="Gider",$H705,$E705))</f>
        <v/>
      </c>
      <c r="N705" s="231">
        <f>IF($C705="","",DATE(YEAR($C705),MONTH($C705),1))</f>
        <v/>
      </c>
      <c r="O705" s="113">
        <f>IF($C705="","",IF(AND($D705&lt;&gt;"",$E705&lt;&gt;"",$G705&gt;0,$H705&lt;&gt;"",$I705&lt;&gt;""),IF($C705&gt;TODAY(),"İLERİ TARİH","UYGUN"),"EKSİK"))</f>
        <v/>
      </c>
      <c r="P705" s="6" t="n"/>
      <c r="Q705" s="6" t="n"/>
      <c r="R705" s="3" t="n"/>
      <c r="S705" s="3" t="n"/>
      <c r="T705" s="3" t="n"/>
      <c r="U705" s="3" t="n"/>
      <c r="V705" s="3" t="n"/>
      <c r="W705" s="3" t="n"/>
    </row>
    <row r="706">
      <c r="A706" s="6" t="n"/>
      <c r="B706" s="113">
        <f>IF($C706="","","GG"&amp;TEXT(ROW()-6,"00000"))</f>
        <v/>
      </c>
      <c r="C706" s="225" t="n"/>
      <c r="D706" s="108" t="n"/>
      <c r="E706" s="109" t="n"/>
      <c r="F706" s="109" t="n"/>
      <c r="G706" s="226" t="n"/>
      <c r="H706" s="108" t="n"/>
      <c r="I706" s="108" t="n"/>
      <c r="J706" s="109" t="n"/>
      <c r="K706" s="109" t="n"/>
      <c r="L706" s="121">
        <f>IF($C706="","",IF($D706="Gider",$E706,$H706))</f>
        <v/>
      </c>
      <c r="M706" s="121">
        <f>IF($C706="","",IF($D706="Gider",$H706,$E706))</f>
        <v/>
      </c>
      <c r="N706" s="231">
        <f>IF($C706="","",DATE(YEAR($C706),MONTH($C706),1))</f>
        <v/>
      </c>
      <c r="O706" s="113">
        <f>IF($C706="","",IF(AND($D706&lt;&gt;"",$E706&lt;&gt;"",$G706&gt;0,$H706&lt;&gt;"",$I706&lt;&gt;""),IF($C706&gt;TODAY(),"İLERİ TARİH","UYGUN"),"EKSİK"))</f>
        <v/>
      </c>
      <c r="P706" s="6" t="n"/>
      <c r="Q706" s="6" t="n"/>
      <c r="R706" s="3" t="n"/>
      <c r="S706" s="3" t="n"/>
      <c r="T706" s="3" t="n"/>
      <c r="U706" s="3" t="n"/>
      <c r="V706" s="3" t="n"/>
      <c r="W706" s="3" t="n"/>
    </row>
    <row r="707">
      <c r="A707" s="6" t="n"/>
      <c r="B707" s="113">
        <f>IF($C707="","","GG"&amp;TEXT(ROW()-6,"00000"))</f>
        <v/>
      </c>
      <c r="C707" s="225" t="n"/>
      <c r="D707" s="108" t="n"/>
      <c r="E707" s="109" t="n"/>
      <c r="F707" s="109" t="n"/>
      <c r="G707" s="226" t="n"/>
      <c r="H707" s="108" t="n"/>
      <c r="I707" s="108" t="n"/>
      <c r="J707" s="109" t="n"/>
      <c r="K707" s="109" t="n"/>
      <c r="L707" s="121">
        <f>IF($C707="","",IF($D707="Gider",$E707,$H707))</f>
        <v/>
      </c>
      <c r="M707" s="121">
        <f>IF($C707="","",IF($D707="Gider",$H707,$E707))</f>
        <v/>
      </c>
      <c r="N707" s="231">
        <f>IF($C707="","",DATE(YEAR($C707),MONTH($C707),1))</f>
        <v/>
      </c>
      <c r="O707" s="113">
        <f>IF($C707="","",IF(AND($D707&lt;&gt;"",$E707&lt;&gt;"",$G707&gt;0,$H707&lt;&gt;"",$I707&lt;&gt;""),IF($C707&gt;TODAY(),"İLERİ TARİH","UYGUN"),"EKSİK"))</f>
        <v/>
      </c>
      <c r="P707" s="6" t="n"/>
      <c r="Q707" s="6" t="n"/>
      <c r="R707" s="3" t="n"/>
      <c r="S707" s="3" t="n"/>
      <c r="T707" s="3" t="n"/>
      <c r="U707" s="3" t="n"/>
      <c r="V707" s="3" t="n"/>
      <c r="W707" s="3" t="n"/>
    </row>
    <row r="708">
      <c r="A708" s="6" t="n"/>
      <c r="B708" s="113">
        <f>IF($C708="","","GG"&amp;TEXT(ROW()-6,"00000"))</f>
        <v/>
      </c>
      <c r="C708" s="225" t="n"/>
      <c r="D708" s="108" t="n"/>
      <c r="E708" s="109" t="n"/>
      <c r="F708" s="109" t="n"/>
      <c r="G708" s="226" t="n"/>
      <c r="H708" s="108" t="n"/>
      <c r="I708" s="108" t="n"/>
      <c r="J708" s="109" t="n"/>
      <c r="K708" s="109" t="n"/>
      <c r="L708" s="121">
        <f>IF($C708="","",IF($D708="Gider",$E708,$H708))</f>
        <v/>
      </c>
      <c r="M708" s="121">
        <f>IF($C708="","",IF($D708="Gider",$H708,$E708))</f>
        <v/>
      </c>
      <c r="N708" s="231">
        <f>IF($C708="","",DATE(YEAR($C708),MONTH($C708),1))</f>
        <v/>
      </c>
      <c r="O708" s="113">
        <f>IF($C708="","",IF(AND($D708&lt;&gt;"",$E708&lt;&gt;"",$G708&gt;0,$H708&lt;&gt;"",$I708&lt;&gt;""),IF($C708&gt;TODAY(),"İLERİ TARİH","UYGUN"),"EKSİK"))</f>
        <v/>
      </c>
      <c r="P708" s="6" t="n"/>
      <c r="Q708" s="6" t="n"/>
      <c r="R708" s="3" t="n"/>
      <c r="S708" s="3" t="n"/>
      <c r="T708" s="3" t="n"/>
      <c r="U708" s="3" t="n"/>
      <c r="V708" s="3" t="n"/>
      <c r="W708" s="3" t="n"/>
    </row>
    <row r="709">
      <c r="A709" s="6" t="n"/>
      <c r="B709" s="113">
        <f>IF($C709="","","GG"&amp;TEXT(ROW()-6,"00000"))</f>
        <v/>
      </c>
      <c r="C709" s="225" t="n"/>
      <c r="D709" s="108" t="n"/>
      <c r="E709" s="109" t="n"/>
      <c r="F709" s="109" t="n"/>
      <c r="G709" s="226" t="n"/>
      <c r="H709" s="108" t="n"/>
      <c r="I709" s="108" t="n"/>
      <c r="J709" s="109" t="n"/>
      <c r="K709" s="109" t="n"/>
      <c r="L709" s="121">
        <f>IF($C709="","",IF($D709="Gider",$E709,$H709))</f>
        <v/>
      </c>
      <c r="M709" s="121">
        <f>IF($C709="","",IF($D709="Gider",$H709,$E709))</f>
        <v/>
      </c>
      <c r="N709" s="231">
        <f>IF($C709="","",DATE(YEAR($C709),MONTH($C709),1))</f>
        <v/>
      </c>
      <c r="O709" s="113">
        <f>IF($C709="","",IF(AND($D709&lt;&gt;"",$E709&lt;&gt;"",$G709&gt;0,$H709&lt;&gt;"",$I709&lt;&gt;""),IF($C709&gt;TODAY(),"İLERİ TARİH","UYGUN"),"EKSİK"))</f>
        <v/>
      </c>
      <c r="P709" s="6" t="n"/>
      <c r="Q709" s="6" t="n"/>
      <c r="R709" s="3" t="n"/>
      <c r="S709" s="3" t="n"/>
      <c r="T709" s="3" t="n"/>
      <c r="U709" s="3" t="n"/>
      <c r="V709" s="3" t="n"/>
      <c r="W709" s="3" t="n"/>
    </row>
    <row r="710">
      <c r="A710" s="6" t="n"/>
      <c r="B710" s="113">
        <f>IF($C710="","","GG"&amp;TEXT(ROW()-6,"00000"))</f>
        <v/>
      </c>
      <c r="C710" s="225" t="n"/>
      <c r="D710" s="108" t="n"/>
      <c r="E710" s="109" t="n"/>
      <c r="F710" s="109" t="n"/>
      <c r="G710" s="226" t="n"/>
      <c r="H710" s="108" t="n"/>
      <c r="I710" s="108" t="n"/>
      <c r="J710" s="109" t="n"/>
      <c r="K710" s="109" t="n"/>
      <c r="L710" s="121">
        <f>IF($C710="","",IF($D710="Gider",$E710,$H710))</f>
        <v/>
      </c>
      <c r="M710" s="121">
        <f>IF($C710="","",IF($D710="Gider",$H710,$E710))</f>
        <v/>
      </c>
      <c r="N710" s="231">
        <f>IF($C710="","",DATE(YEAR($C710),MONTH($C710),1))</f>
        <v/>
      </c>
      <c r="O710" s="113">
        <f>IF($C710="","",IF(AND($D710&lt;&gt;"",$E710&lt;&gt;"",$G710&gt;0,$H710&lt;&gt;"",$I710&lt;&gt;""),IF($C710&gt;TODAY(),"İLERİ TARİH","UYGUN"),"EKSİK"))</f>
        <v/>
      </c>
      <c r="P710" s="6" t="n"/>
      <c r="Q710" s="6" t="n"/>
      <c r="R710" s="3" t="n"/>
      <c r="S710" s="3" t="n"/>
      <c r="T710" s="3" t="n"/>
      <c r="U710" s="3" t="n"/>
      <c r="V710" s="3" t="n"/>
      <c r="W710" s="3" t="n"/>
    </row>
    <row r="711">
      <c r="A711" s="6" t="n"/>
      <c r="B711" s="113">
        <f>IF($C711="","","GG"&amp;TEXT(ROW()-6,"00000"))</f>
        <v/>
      </c>
      <c r="C711" s="225" t="n"/>
      <c r="D711" s="108" t="n"/>
      <c r="E711" s="109" t="n"/>
      <c r="F711" s="109" t="n"/>
      <c r="G711" s="226" t="n"/>
      <c r="H711" s="108" t="n"/>
      <c r="I711" s="108" t="n"/>
      <c r="J711" s="109" t="n"/>
      <c r="K711" s="109" t="n"/>
      <c r="L711" s="121">
        <f>IF($C711="","",IF($D711="Gider",$E711,$H711))</f>
        <v/>
      </c>
      <c r="M711" s="121">
        <f>IF($C711="","",IF($D711="Gider",$H711,$E711))</f>
        <v/>
      </c>
      <c r="N711" s="231">
        <f>IF($C711="","",DATE(YEAR($C711),MONTH($C711),1))</f>
        <v/>
      </c>
      <c r="O711" s="113">
        <f>IF($C711="","",IF(AND($D711&lt;&gt;"",$E711&lt;&gt;"",$G711&gt;0,$H711&lt;&gt;"",$I711&lt;&gt;""),IF($C711&gt;TODAY(),"İLERİ TARİH","UYGUN"),"EKSİK"))</f>
        <v/>
      </c>
      <c r="P711" s="6" t="n"/>
      <c r="Q711" s="6" t="n"/>
      <c r="R711" s="3" t="n"/>
      <c r="S711" s="3" t="n"/>
      <c r="T711" s="3" t="n"/>
      <c r="U711" s="3" t="n"/>
      <c r="V711" s="3" t="n"/>
      <c r="W711" s="3" t="n"/>
    </row>
    <row r="712">
      <c r="A712" s="6" t="n"/>
      <c r="B712" s="113">
        <f>IF($C712="","","GG"&amp;TEXT(ROW()-6,"00000"))</f>
        <v/>
      </c>
      <c r="C712" s="225" t="n"/>
      <c r="D712" s="108" t="n"/>
      <c r="E712" s="109" t="n"/>
      <c r="F712" s="109" t="n"/>
      <c r="G712" s="226" t="n"/>
      <c r="H712" s="108" t="n"/>
      <c r="I712" s="108" t="n"/>
      <c r="J712" s="109" t="n"/>
      <c r="K712" s="109" t="n"/>
      <c r="L712" s="121">
        <f>IF($C712="","",IF($D712="Gider",$E712,$H712))</f>
        <v/>
      </c>
      <c r="M712" s="121">
        <f>IF($C712="","",IF($D712="Gider",$H712,$E712))</f>
        <v/>
      </c>
      <c r="N712" s="231">
        <f>IF($C712="","",DATE(YEAR($C712),MONTH($C712),1))</f>
        <v/>
      </c>
      <c r="O712" s="113">
        <f>IF($C712="","",IF(AND($D712&lt;&gt;"",$E712&lt;&gt;"",$G712&gt;0,$H712&lt;&gt;"",$I712&lt;&gt;""),IF($C712&gt;TODAY(),"İLERİ TARİH","UYGUN"),"EKSİK"))</f>
        <v/>
      </c>
      <c r="P712" s="6" t="n"/>
      <c r="Q712" s="6" t="n"/>
      <c r="R712" s="3" t="n"/>
      <c r="S712" s="3" t="n"/>
      <c r="T712" s="3" t="n"/>
      <c r="U712" s="3" t="n"/>
      <c r="V712" s="3" t="n"/>
      <c r="W712" s="3" t="n"/>
    </row>
    <row r="713">
      <c r="A713" s="6" t="n"/>
      <c r="B713" s="113">
        <f>IF($C713="","","GG"&amp;TEXT(ROW()-6,"00000"))</f>
        <v/>
      </c>
      <c r="C713" s="225" t="n"/>
      <c r="D713" s="108" t="n"/>
      <c r="E713" s="109" t="n"/>
      <c r="F713" s="109" t="n"/>
      <c r="G713" s="226" t="n"/>
      <c r="H713" s="108" t="n"/>
      <c r="I713" s="108" t="n"/>
      <c r="J713" s="109" t="n"/>
      <c r="K713" s="109" t="n"/>
      <c r="L713" s="121">
        <f>IF($C713="","",IF($D713="Gider",$E713,$H713))</f>
        <v/>
      </c>
      <c r="M713" s="121">
        <f>IF($C713="","",IF($D713="Gider",$H713,$E713))</f>
        <v/>
      </c>
      <c r="N713" s="231">
        <f>IF($C713="","",DATE(YEAR($C713),MONTH($C713),1))</f>
        <v/>
      </c>
      <c r="O713" s="113">
        <f>IF($C713="","",IF(AND($D713&lt;&gt;"",$E713&lt;&gt;"",$G713&gt;0,$H713&lt;&gt;"",$I713&lt;&gt;""),IF($C713&gt;TODAY(),"İLERİ TARİH","UYGUN"),"EKSİK"))</f>
        <v/>
      </c>
      <c r="P713" s="6" t="n"/>
      <c r="Q713" s="6" t="n"/>
      <c r="R713" s="3" t="n"/>
      <c r="S713" s="3" t="n"/>
      <c r="T713" s="3" t="n"/>
      <c r="U713" s="3" t="n"/>
      <c r="V713" s="3" t="n"/>
      <c r="W713" s="3" t="n"/>
    </row>
    <row r="714">
      <c r="A714" s="6" t="n"/>
      <c r="B714" s="113">
        <f>IF($C714="","","GG"&amp;TEXT(ROW()-6,"00000"))</f>
        <v/>
      </c>
      <c r="C714" s="225" t="n"/>
      <c r="D714" s="108" t="n"/>
      <c r="E714" s="109" t="n"/>
      <c r="F714" s="109" t="n"/>
      <c r="G714" s="226" t="n"/>
      <c r="H714" s="108" t="n"/>
      <c r="I714" s="108" t="n"/>
      <c r="J714" s="109" t="n"/>
      <c r="K714" s="109" t="n"/>
      <c r="L714" s="121">
        <f>IF($C714="","",IF($D714="Gider",$E714,$H714))</f>
        <v/>
      </c>
      <c r="M714" s="121">
        <f>IF($C714="","",IF($D714="Gider",$H714,$E714))</f>
        <v/>
      </c>
      <c r="N714" s="231">
        <f>IF($C714="","",DATE(YEAR($C714),MONTH($C714),1))</f>
        <v/>
      </c>
      <c r="O714" s="113">
        <f>IF($C714="","",IF(AND($D714&lt;&gt;"",$E714&lt;&gt;"",$G714&gt;0,$H714&lt;&gt;"",$I714&lt;&gt;""),IF($C714&gt;TODAY(),"İLERİ TARİH","UYGUN"),"EKSİK"))</f>
        <v/>
      </c>
      <c r="P714" s="6" t="n"/>
      <c r="Q714" s="6" t="n"/>
      <c r="R714" s="3" t="n"/>
      <c r="S714" s="3" t="n"/>
      <c r="T714" s="3" t="n"/>
      <c r="U714" s="3" t="n"/>
      <c r="V714" s="3" t="n"/>
      <c r="W714" s="3" t="n"/>
    </row>
    <row r="715">
      <c r="A715" s="6" t="n"/>
      <c r="B715" s="113">
        <f>IF($C715="","","GG"&amp;TEXT(ROW()-6,"00000"))</f>
        <v/>
      </c>
      <c r="C715" s="225" t="n"/>
      <c r="D715" s="108" t="n"/>
      <c r="E715" s="109" t="n"/>
      <c r="F715" s="109" t="n"/>
      <c r="G715" s="226" t="n"/>
      <c r="H715" s="108" t="n"/>
      <c r="I715" s="108" t="n"/>
      <c r="J715" s="109" t="n"/>
      <c r="K715" s="109" t="n"/>
      <c r="L715" s="121">
        <f>IF($C715="","",IF($D715="Gider",$E715,$H715))</f>
        <v/>
      </c>
      <c r="M715" s="121">
        <f>IF($C715="","",IF($D715="Gider",$H715,$E715))</f>
        <v/>
      </c>
      <c r="N715" s="231">
        <f>IF($C715="","",DATE(YEAR($C715),MONTH($C715),1))</f>
        <v/>
      </c>
      <c r="O715" s="113">
        <f>IF($C715="","",IF(AND($D715&lt;&gt;"",$E715&lt;&gt;"",$G715&gt;0,$H715&lt;&gt;"",$I715&lt;&gt;""),IF($C715&gt;TODAY(),"İLERİ TARİH","UYGUN"),"EKSİK"))</f>
        <v/>
      </c>
      <c r="P715" s="6" t="n"/>
      <c r="Q715" s="6" t="n"/>
      <c r="R715" s="3" t="n"/>
      <c r="S715" s="3" t="n"/>
      <c r="T715" s="3" t="n"/>
      <c r="U715" s="3" t="n"/>
      <c r="V715" s="3" t="n"/>
      <c r="W715" s="3" t="n"/>
    </row>
    <row r="716">
      <c r="A716" s="6" t="n"/>
      <c r="B716" s="113">
        <f>IF($C716="","","GG"&amp;TEXT(ROW()-6,"00000"))</f>
        <v/>
      </c>
      <c r="C716" s="225" t="n"/>
      <c r="D716" s="108" t="n"/>
      <c r="E716" s="109" t="n"/>
      <c r="F716" s="109" t="n"/>
      <c r="G716" s="226" t="n"/>
      <c r="H716" s="108" t="n"/>
      <c r="I716" s="108" t="n"/>
      <c r="J716" s="109" t="n"/>
      <c r="K716" s="109" t="n"/>
      <c r="L716" s="121">
        <f>IF($C716="","",IF($D716="Gider",$E716,$H716))</f>
        <v/>
      </c>
      <c r="M716" s="121">
        <f>IF($C716="","",IF($D716="Gider",$H716,$E716))</f>
        <v/>
      </c>
      <c r="N716" s="231">
        <f>IF($C716="","",DATE(YEAR($C716),MONTH($C716),1))</f>
        <v/>
      </c>
      <c r="O716" s="113">
        <f>IF($C716="","",IF(AND($D716&lt;&gt;"",$E716&lt;&gt;"",$G716&gt;0,$H716&lt;&gt;"",$I716&lt;&gt;""),IF($C716&gt;TODAY(),"İLERİ TARİH","UYGUN"),"EKSİK"))</f>
        <v/>
      </c>
      <c r="P716" s="6" t="n"/>
      <c r="Q716" s="6" t="n"/>
      <c r="R716" s="3" t="n"/>
      <c r="S716" s="3" t="n"/>
      <c r="T716" s="3" t="n"/>
      <c r="U716" s="3" t="n"/>
      <c r="V716" s="3" t="n"/>
      <c r="W716" s="3" t="n"/>
    </row>
    <row r="717">
      <c r="A717" s="6" t="n"/>
      <c r="B717" s="113">
        <f>IF($C717="","","GG"&amp;TEXT(ROW()-6,"00000"))</f>
        <v/>
      </c>
      <c r="C717" s="225" t="n"/>
      <c r="D717" s="108" t="n"/>
      <c r="E717" s="109" t="n"/>
      <c r="F717" s="109" t="n"/>
      <c r="G717" s="226" t="n"/>
      <c r="H717" s="108" t="n"/>
      <c r="I717" s="108" t="n"/>
      <c r="J717" s="109" t="n"/>
      <c r="K717" s="109" t="n"/>
      <c r="L717" s="121">
        <f>IF($C717="","",IF($D717="Gider",$E717,$H717))</f>
        <v/>
      </c>
      <c r="M717" s="121">
        <f>IF($C717="","",IF($D717="Gider",$H717,$E717))</f>
        <v/>
      </c>
      <c r="N717" s="231">
        <f>IF($C717="","",DATE(YEAR($C717),MONTH($C717),1))</f>
        <v/>
      </c>
      <c r="O717" s="113">
        <f>IF($C717="","",IF(AND($D717&lt;&gt;"",$E717&lt;&gt;"",$G717&gt;0,$H717&lt;&gt;"",$I717&lt;&gt;""),IF($C717&gt;TODAY(),"İLERİ TARİH","UYGUN"),"EKSİK"))</f>
        <v/>
      </c>
      <c r="P717" s="6" t="n"/>
      <c r="Q717" s="6" t="n"/>
      <c r="R717" s="3" t="n"/>
      <c r="S717" s="3" t="n"/>
      <c r="T717" s="3" t="n"/>
      <c r="U717" s="3" t="n"/>
      <c r="V717" s="3" t="n"/>
      <c r="W717" s="3" t="n"/>
    </row>
    <row r="718">
      <c r="A718" s="6" t="n"/>
      <c r="B718" s="113">
        <f>IF($C718="","","GG"&amp;TEXT(ROW()-6,"00000"))</f>
        <v/>
      </c>
      <c r="C718" s="225" t="n"/>
      <c r="D718" s="108" t="n"/>
      <c r="E718" s="109" t="n"/>
      <c r="F718" s="109" t="n"/>
      <c r="G718" s="226" t="n"/>
      <c r="H718" s="108" t="n"/>
      <c r="I718" s="108" t="n"/>
      <c r="J718" s="109" t="n"/>
      <c r="K718" s="109" t="n"/>
      <c r="L718" s="121">
        <f>IF($C718="","",IF($D718="Gider",$E718,$H718))</f>
        <v/>
      </c>
      <c r="M718" s="121">
        <f>IF($C718="","",IF($D718="Gider",$H718,$E718))</f>
        <v/>
      </c>
      <c r="N718" s="231">
        <f>IF($C718="","",DATE(YEAR($C718),MONTH($C718),1))</f>
        <v/>
      </c>
      <c r="O718" s="113">
        <f>IF($C718="","",IF(AND($D718&lt;&gt;"",$E718&lt;&gt;"",$G718&gt;0,$H718&lt;&gt;"",$I718&lt;&gt;""),IF($C718&gt;TODAY(),"İLERİ TARİH","UYGUN"),"EKSİK"))</f>
        <v/>
      </c>
      <c r="P718" s="6" t="n"/>
      <c r="Q718" s="6" t="n"/>
      <c r="R718" s="3" t="n"/>
      <c r="S718" s="3" t="n"/>
      <c r="T718" s="3" t="n"/>
      <c r="U718" s="3" t="n"/>
      <c r="V718" s="3" t="n"/>
      <c r="W718" s="3" t="n"/>
    </row>
    <row r="719">
      <c r="A719" s="6" t="n"/>
      <c r="B719" s="113">
        <f>IF($C719="","","GG"&amp;TEXT(ROW()-6,"00000"))</f>
        <v/>
      </c>
      <c r="C719" s="225" t="n"/>
      <c r="D719" s="108" t="n"/>
      <c r="E719" s="109" t="n"/>
      <c r="F719" s="109" t="n"/>
      <c r="G719" s="226" t="n"/>
      <c r="H719" s="108" t="n"/>
      <c r="I719" s="108" t="n"/>
      <c r="J719" s="109" t="n"/>
      <c r="K719" s="109" t="n"/>
      <c r="L719" s="121">
        <f>IF($C719="","",IF($D719="Gider",$E719,$H719))</f>
        <v/>
      </c>
      <c r="M719" s="121">
        <f>IF($C719="","",IF($D719="Gider",$H719,$E719))</f>
        <v/>
      </c>
      <c r="N719" s="231">
        <f>IF($C719="","",DATE(YEAR($C719),MONTH($C719),1))</f>
        <v/>
      </c>
      <c r="O719" s="113">
        <f>IF($C719="","",IF(AND($D719&lt;&gt;"",$E719&lt;&gt;"",$G719&gt;0,$H719&lt;&gt;"",$I719&lt;&gt;""),IF($C719&gt;TODAY(),"İLERİ TARİH","UYGUN"),"EKSİK"))</f>
        <v/>
      </c>
      <c r="P719" s="6" t="n"/>
      <c r="Q719" s="6" t="n"/>
      <c r="R719" s="3" t="n"/>
      <c r="S719" s="3" t="n"/>
      <c r="T719" s="3" t="n"/>
      <c r="U719" s="3" t="n"/>
      <c r="V719" s="3" t="n"/>
      <c r="W719" s="3" t="n"/>
    </row>
    <row r="720">
      <c r="A720" s="6" t="n"/>
      <c r="B720" s="113">
        <f>IF($C720="","","GG"&amp;TEXT(ROW()-6,"00000"))</f>
        <v/>
      </c>
      <c r="C720" s="225" t="n"/>
      <c r="D720" s="108" t="n"/>
      <c r="E720" s="109" t="n"/>
      <c r="F720" s="109" t="n"/>
      <c r="G720" s="226" t="n"/>
      <c r="H720" s="108" t="n"/>
      <c r="I720" s="108" t="n"/>
      <c r="J720" s="109" t="n"/>
      <c r="K720" s="109" t="n"/>
      <c r="L720" s="121">
        <f>IF($C720="","",IF($D720="Gider",$E720,$H720))</f>
        <v/>
      </c>
      <c r="M720" s="121">
        <f>IF($C720="","",IF($D720="Gider",$H720,$E720))</f>
        <v/>
      </c>
      <c r="N720" s="231">
        <f>IF($C720="","",DATE(YEAR($C720),MONTH($C720),1))</f>
        <v/>
      </c>
      <c r="O720" s="113">
        <f>IF($C720="","",IF(AND($D720&lt;&gt;"",$E720&lt;&gt;"",$G720&gt;0,$H720&lt;&gt;"",$I720&lt;&gt;""),IF($C720&gt;TODAY(),"İLERİ TARİH","UYGUN"),"EKSİK"))</f>
        <v/>
      </c>
      <c r="P720" s="6" t="n"/>
      <c r="Q720" s="6" t="n"/>
      <c r="R720" s="3" t="n"/>
      <c r="S720" s="3" t="n"/>
      <c r="T720" s="3" t="n"/>
      <c r="U720" s="3" t="n"/>
      <c r="V720" s="3" t="n"/>
      <c r="W720" s="3" t="n"/>
    </row>
    <row r="721">
      <c r="A721" s="6" t="n"/>
      <c r="B721" s="113">
        <f>IF($C721="","","GG"&amp;TEXT(ROW()-6,"00000"))</f>
        <v/>
      </c>
      <c r="C721" s="225" t="n"/>
      <c r="D721" s="108" t="n"/>
      <c r="E721" s="109" t="n"/>
      <c r="F721" s="109" t="n"/>
      <c r="G721" s="226" t="n"/>
      <c r="H721" s="108" t="n"/>
      <c r="I721" s="108" t="n"/>
      <c r="J721" s="109" t="n"/>
      <c r="K721" s="109" t="n"/>
      <c r="L721" s="121">
        <f>IF($C721="","",IF($D721="Gider",$E721,$H721))</f>
        <v/>
      </c>
      <c r="M721" s="121">
        <f>IF($C721="","",IF($D721="Gider",$H721,$E721))</f>
        <v/>
      </c>
      <c r="N721" s="231">
        <f>IF($C721="","",DATE(YEAR($C721),MONTH($C721),1))</f>
        <v/>
      </c>
      <c r="O721" s="113">
        <f>IF($C721="","",IF(AND($D721&lt;&gt;"",$E721&lt;&gt;"",$G721&gt;0,$H721&lt;&gt;"",$I721&lt;&gt;""),IF($C721&gt;TODAY(),"İLERİ TARİH","UYGUN"),"EKSİK"))</f>
        <v/>
      </c>
      <c r="P721" s="6" t="n"/>
      <c r="Q721" s="6" t="n"/>
      <c r="R721" s="3" t="n"/>
      <c r="S721" s="3" t="n"/>
      <c r="T721" s="3" t="n"/>
      <c r="U721" s="3" t="n"/>
      <c r="V721" s="3" t="n"/>
      <c r="W721" s="3" t="n"/>
    </row>
    <row r="722">
      <c r="A722" s="6" t="n"/>
      <c r="B722" s="113">
        <f>IF($C722="","","GG"&amp;TEXT(ROW()-6,"00000"))</f>
        <v/>
      </c>
      <c r="C722" s="225" t="n"/>
      <c r="D722" s="108" t="n"/>
      <c r="E722" s="109" t="n"/>
      <c r="F722" s="109" t="n"/>
      <c r="G722" s="226" t="n"/>
      <c r="H722" s="108" t="n"/>
      <c r="I722" s="108" t="n"/>
      <c r="J722" s="109" t="n"/>
      <c r="K722" s="109" t="n"/>
      <c r="L722" s="121">
        <f>IF($C722="","",IF($D722="Gider",$E722,$H722))</f>
        <v/>
      </c>
      <c r="M722" s="121">
        <f>IF($C722="","",IF($D722="Gider",$H722,$E722))</f>
        <v/>
      </c>
      <c r="N722" s="231">
        <f>IF($C722="","",DATE(YEAR($C722),MONTH($C722),1))</f>
        <v/>
      </c>
      <c r="O722" s="113">
        <f>IF($C722="","",IF(AND($D722&lt;&gt;"",$E722&lt;&gt;"",$G722&gt;0,$H722&lt;&gt;"",$I722&lt;&gt;""),IF($C722&gt;TODAY(),"İLERİ TARİH","UYGUN"),"EKSİK"))</f>
        <v/>
      </c>
      <c r="P722" s="6" t="n"/>
      <c r="Q722" s="6" t="n"/>
      <c r="R722" s="3" t="n"/>
      <c r="S722" s="3" t="n"/>
      <c r="T722" s="3" t="n"/>
      <c r="U722" s="3" t="n"/>
      <c r="V722" s="3" t="n"/>
      <c r="W722" s="3" t="n"/>
    </row>
    <row r="723">
      <c r="A723" s="6" t="n"/>
      <c r="B723" s="113">
        <f>IF($C723="","","GG"&amp;TEXT(ROW()-6,"00000"))</f>
        <v/>
      </c>
      <c r="C723" s="225" t="n"/>
      <c r="D723" s="108" t="n"/>
      <c r="E723" s="109" t="n"/>
      <c r="F723" s="109" t="n"/>
      <c r="G723" s="226" t="n"/>
      <c r="H723" s="108" t="n"/>
      <c r="I723" s="108" t="n"/>
      <c r="J723" s="109" t="n"/>
      <c r="K723" s="109" t="n"/>
      <c r="L723" s="121">
        <f>IF($C723="","",IF($D723="Gider",$E723,$H723))</f>
        <v/>
      </c>
      <c r="M723" s="121">
        <f>IF($C723="","",IF($D723="Gider",$H723,$E723))</f>
        <v/>
      </c>
      <c r="N723" s="231">
        <f>IF($C723="","",DATE(YEAR($C723),MONTH($C723),1))</f>
        <v/>
      </c>
      <c r="O723" s="113">
        <f>IF($C723="","",IF(AND($D723&lt;&gt;"",$E723&lt;&gt;"",$G723&gt;0,$H723&lt;&gt;"",$I723&lt;&gt;""),IF($C723&gt;TODAY(),"İLERİ TARİH","UYGUN"),"EKSİK"))</f>
        <v/>
      </c>
      <c r="P723" s="6" t="n"/>
      <c r="Q723" s="6" t="n"/>
      <c r="R723" s="3" t="n"/>
      <c r="S723" s="3" t="n"/>
      <c r="T723" s="3" t="n"/>
      <c r="U723" s="3" t="n"/>
      <c r="V723" s="3" t="n"/>
      <c r="W723" s="3" t="n"/>
    </row>
    <row r="724">
      <c r="A724" s="6" t="n"/>
      <c r="B724" s="113">
        <f>IF($C724="","","GG"&amp;TEXT(ROW()-6,"00000"))</f>
        <v/>
      </c>
      <c r="C724" s="225" t="n"/>
      <c r="D724" s="108" t="n"/>
      <c r="E724" s="109" t="n"/>
      <c r="F724" s="109" t="n"/>
      <c r="G724" s="226" t="n"/>
      <c r="H724" s="108" t="n"/>
      <c r="I724" s="108" t="n"/>
      <c r="J724" s="109" t="n"/>
      <c r="K724" s="109" t="n"/>
      <c r="L724" s="121">
        <f>IF($C724="","",IF($D724="Gider",$E724,$H724))</f>
        <v/>
      </c>
      <c r="M724" s="121">
        <f>IF($C724="","",IF($D724="Gider",$H724,$E724))</f>
        <v/>
      </c>
      <c r="N724" s="231">
        <f>IF($C724="","",DATE(YEAR($C724),MONTH($C724),1))</f>
        <v/>
      </c>
      <c r="O724" s="113">
        <f>IF($C724="","",IF(AND($D724&lt;&gt;"",$E724&lt;&gt;"",$G724&gt;0,$H724&lt;&gt;"",$I724&lt;&gt;""),IF($C724&gt;TODAY(),"İLERİ TARİH","UYGUN"),"EKSİK"))</f>
        <v/>
      </c>
      <c r="P724" s="6" t="n"/>
      <c r="Q724" s="6" t="n"/>
      <c r="R724" s="3" t="n"/>
      <c r="S724" s="3" t="n"/>
      <c r="T724" s="3" t="n"/>
      <c r="U724" s="3" t="n"/>
      <c r="V724" s="3" t="n"/>
      <c r="W724" s="3" t="n"/>
    </row>
    <row r="725">
      <c r="A725" s="6" t="n"/>
      <c r="B725" s="113">
        <f>IF($C725="","","GG"&amp;TEXT(ROW()-6,"00000"))</f>
        <v/>
      </c>
      <c r="C725" s="225" t="n"/>
      <c r="D725" s="108" t="n"/>
      <c r="E725" s="109" t="n"/>
      <c r="F725" s="109" t="n"/>
      <c r="G725" s="226" t="n"/>
      <c r="H725" s="108" t="n"/>
      <c r="I725" s="108" t="n"/>
      <c r="J725" s="109" t="n"/>
      <c r="K725" s="109" t="n"/>
      <c r="L725" s="121">
        <f>IF($C725="","",IF($D725="Gider",$E725,$H725))</f>
        <v/>
      </c>
      <c r="M725" s="121">
        <f>IF($C725="","",IF($D725="Gider",$H725,$E725))</f>
        <v/>
      </c>
      <c r="N725" s="231">
        <f>IF($C725="","",DATE(YEAR($C725),MONTH($C725),1))</f>
        <v/>
      </c>
      <c r="O725" s="113">
        <f>IF($C725="","",IF(AND($D725&lt;&gt;"",$E725&lt;&gt;"",$G725&gt;0,$H725&lt;&gt;"",$I725&lt;&gt;""),IF($C725&gt;TODAY(),"İLERİ TARİH","UYGUN"),"EKSİK"))</f>
        <v/>
      </c>
      <c r="P725" s="6" t="n"/>
      <c r="Q725" s="6" t="n"/>
      <c r="R725" s="3" t="n"/>
      <c r="S725" s="3" t="n"/>
      <c r="T725" s="3" t="n"/>
      <c r="U725" s="3" t="n"/>
      <c r="V725" s="3" t="n"/>
      <c r="W725" s="3" t="n"/>
    </row>
    <row r="726">
      <c r="A726" s="6" t="n"/>
      <c r="B726" s="113">
        <f>IF($C726="","","GG"&amp;TEXT(ROW()-6,"00000"))</f>
        <v/>
      </c>
      <c r="C726" s="225" t="n"/>
      <c r="D726" s="108" t="n"/>
      <c r="E726" s="109" t="n"/>
      <c r="F726" s="109" t="n"/>
      <c r="G726" s="226" t="n"/>
      <c r="H726" s="108" t="n"/>
      <c r="I726" s="108" t="n"/>
      <c r="J726" s="109" t="n"/>
      <c r="K726" s="109" t="n"/>
      <c r="L726" s="121">
        <f>IF($C726="","",IF($D726="Gider",$E726,$H726))</f>
        <v/>
      </c>
      <c r="M726" s="121">
        <f>IF($C726="","",IF($D726="Gider",$H726,$E726))</f>
        <v/>
      </c>
      <c r="N726" s="231">
        <f>IF($C726="","",DATE(YEAR($C726),MONTH($C726),1))</f>
        <v/>
      </c>
      <c r="O726" s="113">
        <f>IF($C726="","",IF(AND($D726&lt;&gt;"",$E726&lt;&gt;"",$G726&gt;0,$H726&lt;&gt;"",$I726&lt;&gt;""),IF($C726&gt;TODAY(),"İLERİ TARİH","UYGUN"),"EKSİK"))</f>
        <v/>
      </c>
      <c r="P726" s="6" t="n"/>
      <c r="Q726" s="6" t="n"/>
      <c r="R726" s="3" t="n"/>
      <c r="S726" s="3" t="n"/>
      <c r="T726" s="3" t="n"/>
      <c r="U726" s="3" t="n"/>
      <c r="V726" s="3" t="n"/>
      <c r="W726" s="3" t="n"/>
    </row>
    <row r="727">
      <c r="A727" s="6" t="n"/>
      <c r="B727" s="113">
        <f>IF($C727="","","GG"&amp;TEXT(ROW()-6,"00000"))</f>
        <v/>
      </c>
      <c r="C727" s="225" t="n"/>
      <c r="D727" s="108" t="n"/>
      <c r="E727" s="109" t="n"/>
      <c r="F727" s="109" t="n"/>
      <c r="G727" s="226" t="n"/>
      <c r="H727" s="108" t="n"/>
      <c r="I727" s="108" t="n"/>
      <c r="J727" s="109" t="n"/>
      <c r="K727" s="109" t="n"/>
      <c r="L727" s="121">
        <f>IF($C727="","",IF($D727="Gider",$E727,$H727))</f>
        <v/>
      </c>
      <c r="M727" s="121">
        <f>IF($C727="","",IF($D727="Gider",$H727,$E727))</f>
        <v/>
      </c>
      <c r="N727" s="231">
        <f>IF($C727="","",DATE(YEAR($C727),MONTH($C727),1))</f>
        <v/>
      </c>
      <c r="O727" s="113">
        <f>IF($C727="","",IF(AND($D727&lt;&gt;"",$E727&lt;&gt;"",$G727&gt;0,$H727&lt;&gt;"",$I727&lt;&gt;""),IF($C727&gt;TODAY(),"İLERİ TARİH","UYGUN"),"EKSİK"))</f>
        <v/>
      </c>
      <c r="P727" s="6" t="n"/>
      <c r="Q727" s="6" t="n"/>
      <c r="R727" s="3" t="n"/>
      <c r="S727" s="3" t="n"/>
      <c r="T727" s="3" t="n"/>
      <c r="U727" s="3" t="n"/>
      <c r="V727" s="3" t="n"/>
      <c r="W727" s="3" t="n"/>
    </row>
    <row r="728">
      <c r="A728" s="6" t="n"/>
      <c r="B728" s="113">
        <f>IF($C728="","","GG"&amp;TEXT(ROW()-6,"00000"))</f>
        <v/>
      </c>
      <c r="C728" s="225" t="n"/>
      <c r="D728" s="108" t="n"/>
      <c r="E728" s="109" t="n"/>
      <c r="F728" s="109" t="n"/>
      <c r="G728" s="226" t="n"/>
      <c r="H728" s="108" t="n"/>
      <c r="I728" s="108" t="n"/>
      <c r="J728" s="109" t="n"/>
      <c r="K728" s="109" t="n"/>
      <c r="L728" s="121">
        <f>IF($C728="","",IF($D728="Gider",$E728,$H728))</f>
        <v/>
      </c>
      <c r="M728" s="121">
        <f>IF($C728="","",IF($D728="Gider",$H728,$E728))</f>
        <v/>
      </c>
      <c r="N728" s="231">
        <f>IF($C728="","",DATE(YEAR($C728),MONTH($C728),1))</f>
        <v/>
      </c>
      <c r="O728" s="113">
        <f>IF($C728="","",IF(AND($D728&lt;&gt;"",$E728&lt;&gt;"",$G728&gt;0,$H728&lt;&gt;"",$I728&lt;&gt;""),IF($C728&gt;TODAY(),"İLERİ TARİH","UYGUN"),"EKSİK"))</f>
        <v/>
      </c>
      <c r="P728" s="6" t="n"/>
      <c r="Q728" s="6" t="n"/>
      <c r="R728" s="3" t="n"/>
      <c r="S728" s="3" t="n"/>
      <c r="T728" s="3" t="n"/>
      <c r="U728" s="3" t="n"/>
      <c r="V728" s="3" t="n"/>
      <c r="W728" s="3" t="n"/>
    </row>
    <row r="729">
      <c r="A729" s="6" t="n"/>
      <c r="B729" s="113">
        <f>IF($C729="","","GG"&amp;TEXT(ROW()-6,"00000"))</f>
        <v/>
      </c>
      <c r="C729" s="225" t="n"/>
      <c r="D729" s="108" t="n"/>
      <c r="E729" s="109" t="n"/>
      <c r="F729" s="109" t="n"/>
      <c r="G729" s="226" t="n"/>
      <c r="H729" s="108" t="n"/>
      <c r="I729" s="108" t="n"/>
      <c r="J729" s="109" t="n"/>
      <c r="K729" s="109" t="n"/>
      <c r="L729" s="121">
        <f>IF($C729="","",IF($D729="Gider",$E729,$H729))</f>
        <v/>
      </c>
      <c r="M729" s="121">
        <f>IF($C729="","",IF($D729="Gider",$H729,$E729))</f>
        <v/>
      </c>
      <c r="N729" s="231">
        <f>IF($C729="","",DATE(YEAR($C729),MONTH($C729),1))</f>
        <v/>
      </c>
      <c r="O729" s="113">
        <f>IF($C729="","",IF(AND($D729&lt;&gt;"",$E729&lt;&gt;"",$G729&gt;0,$H729&lt;&gt;"",$I729&lt;&gt;""),IF($C729&gt;TODAY(),"İLERİ TARİH","UYGUN"),"EKSİK"))</f>
        <v/>
      </c>
      <c r="P729" s="6" t="n"/>
      <c r="Q729" s="6" t="n"/>
      <c r="R729" s="3" t="n"/>
      <c r="S729" s="3" t="n"/>
      <c r="T729" s="3" t="n"/>
      <c r="U729" s="3" t="n"/>
      <c r="V729" s="3" t="n"/>
      <c r="W729" s="3" t="n"/>
    </row>
    <row r="730">
      <c r="A730" s="6" t="n"/>
      <c r="B730" s="113">
        <f>IF($C730="","","GG"&amp;TEXT(ROW()-6,"00000"))</f>
        <v/>
      </c>
      <c r="C730" s="225" t="n"/>
      <c r="D730" s="108" t="n"/>
      <c r="E730" s="109" t="n"/>
      <c r="F730" s="109" t="n"/>
      <c r="G730" s="226" t="n"/>
      <c r="H730" s="108" t="n"/>
      <c r="I730" s="108" t="n"/>
      <c r="J730" s="109" t="n"/>
      <c r="K730" s="109" t="n"/>
      <c r="L730" s="121">
        <f>IF($C730="","",IF($D730="Gider",$E730,$H730))</f>
        <v/>
      </c>
      <c r="M730" s="121">
        <f>IF($C730="","",IF($D730="Gider",$H730,$E730))</f>
        <v/>
      </c>
      <c r="N730" s="231">
        <f>IF($C730="","",DATE(YEAR($C730),MONTH($C730),1))</f>
        <v/>
      </c>
      <c r="O730" s="113">
        <f>IF($C730="","",IF(AND($D730&lt;&gt;"",$E730&lt;&gt;"",$G730&gt;0,$H730&lt;&gt;"",$I730&lt;&gt;""),IF($C730&gt;TODAY(),"İLERİ TARİH","UYGUN"),"EKSİK"))</f>
        <v/>
      </c>
      <c r="P730" s="6" t="n"/>
      <c r="Q730" s="6" t="n"/>
      <c r="R730" s="3" t="n"/>
      <c r="S730" s="3" t="n"/>
      <c r="T730" s="3" t="n"/>
      <c r="U730" s="3" t="n"/>
      <c r="V730" s="3" t="n"/>
      <c r="W730" s="3" t="n"/>
    </row>
    <row r="731">
      <c r="A731" s="6" t="n"/>
      <c r="B731" s="113">
        <f>IF($C731="","","GG"&amp;TEXT(ROW()-6,"00000"))</f>
        <v/>
      </c>
      <c r="C731" s="225" t="n"/>
      <c r="D731" s="108" t="n"/>
      <c r="E731" s="109" t="n"/>
      <c r="F731" s="109" t="n"/>
      <c r="G731" s="226" t="n"/>
      <c r="H731" s="108" t="n"/>
      <c r="I731" s="108" t="n"/>
      <c r="J731" s="109" t="n"/>
      <c r="K731" s="109" t="n"/>
      <c r="L731" s="121">
        <f>IF($C731="","",IF($D731="Gider",$E731,$H731))</f>
        <v/>
      </c>
      <c r="M731" s="121">
        <f>IF($C731="","",IF($D731="Gider",$H731,$E731))</f>
        <v/>
      </c>
      <c r="N731" s="231">
        <f>IF($C731="","",DATE(YEAR($C731),MONTH($C731),1))</f>
        <v/>
      </c>
      <c r="O731" s="113">
        <f>IF($C731="","",IF(AND($D731&lt;&gt;"",$E731&lt;&gt;"",$G731&gt;0,$H731&lt;&gt;"",$I731&lt;&gt;""),IF($C731&gt;TODAY(),"İLERİ TARİH","UYGUN"),"EKSİK"))</f>
        <v/>
      </c>
      <c r="P731" s="6" t="n"/>
      <c r="Q731" s="6" t="n"/>
      <c r="R731" s="3" t="n"/>
      <c r="S731" s="3" t="n"/>
      <c r="T731" s="3" t="n"/>
      <c r="U731" s="3" t="n"/>
      <c r="V731" s="3" t="n"/>
      <c r="W731" s="3" t="n"/>
    </row>
    <row r="732">
      <c r="A732" s="6" t="n"/>
      <c r="B732" s="113">
        <f>IF($C732="","","GG"&amp;TEXT(ROW()-6,"00000"))</f>
        <v/>
      </c>
      <c r="C732" s="225" t="n"/>
      <c r="D732" s="108" t="n"/>
      <c r="E732" s="109" t="n"/>
      <c r="F732" s="109" t="n"/>
      <c r="G732" s="226" t="n"/>
      <c r="H732" s="108" t="n"/>
      <c r="I732" s="108" t="n"/>
      <c r="J732" s="109" t="n"/>
      <c r="K732" s="109" t="n"/>
      <c r="L732" s="121">
        <f>IF($C732="","",IF($D732="Gider",$E732,$H732))</f>
        <v/>
      </c>
      <c r="M732" s="121">
        <f>IF($C732="","",IF($D732="Gider",$H732,$E732))</f>
        <v/>
      </c>
      <c r="N732" s="231">
        <f>IF($C732="","",DATE(YEAR($C732),MONTH($C732),1))</f>
        <v/>
      </c>
      <c r="O732" s="113">
        <f>IF($C732="","",IF(AND($D732&lt;&gt;"",$E732&lt;&gt;"",$G732&gt;0,$H732&lt;&gt;"",$I732&lt;&gt;""),IF($C732&gt;TODAY(),"İLERİ TARİH","UYGUN"),"EKSİK"))</f>
        <v/>
      </c>
      <c r="P732" s="6" t="n"/>
      <c r="Q732" s="6" t="n"/>
      <c r="R732" s="3" t="n"/>
      <c r="S732" s="3" t="n"/>
      <c r="T732" s="3" t="n"/>
      <c r="U732" s="3" t="n"/>
      <c r="V732" s="3" t="n"/>
      <c r="W732" s="3" t="n"/>
    </row>
    <row r="733">
      <c r="A733" s="6" t="n"/>
      <c r="B733" s="113">
        <f>IF($C733="","","GG"&amp;TEXT(ROW()-6,"00000"))</f>
        <v/>
      </c>
      <c r="C733" s="225" t="n"/>
      <c r="D733" s="108" t="n"/>
      <c r="E733" s="109" t="n"/>
      <c r="F733" s="109" t="n"/>
      <c r="G733" s="226" t="n"/>
      <c r="H733" s="108" t="n"/>
      <c r="I733" s="108" t="n"/>
      <c r="J733" s="109" t="n"/>
      <c r="K733" s="109" t="n"/>
      <c r="L733" s="121">
        <f>IF($C733="","",IF($D733="Gider",$E733,$H733))</f>
        <v/>
      </c>
      <c r="M733" s="121">
        <f>IF($C733="","",IF($D733="Gider",$H733,$E733))</f>
        <v/>
      </c>
      <c r="N733" s="231">
        <f>IF($C733="","",DATE(YEAR($C733),MONTH($C733),1))</f>
        <v/>
      </c>
      <c r="O733" s="113">
        <f>IF($C733="","",IF(AND($D733&lt;&gt;"",$E733&lt;&gt;"",$G733&gt;0,$H733&lt;&gt;"",$I733&lt;&gt;""),IF($C733&gt;TODAY(),"İLERİ TARİH","UYGUN"),"EKSİK"))</f>
        <v/>
      </c>
      <c r="P733" s="6" t="n"/>
      <c r="Q733" s="6" t="n"/>
      <c r="R733" s="3" t="n"/>
      <c r="S733" s="3" t="n"/>
      <c r="T733" s="3" t="n"/>
      <c r="U733" s="3" t="n"/>
      <c r="V733" s="3" t="n"/>
      <c r="W733" s="3" t="n"/>
    </row>
    <row r="734">
      <c r="A734" s="6" t="n"/>
      <c r="B734" s="113">
        <f>IF($C734="","","GG"&amp;TEXT(ROW()-6,"00000"))</f>
        <v/>
      </c>
      <c r="C734" s="225" t="n"/>
      <c r="D734" s="108" t="n"/>
      <c r="E734" s="109" t="n"/>
      <c r="F734" s="109" t="n"/>
      <c r="G734" s="226" t="n"/>
      <c r="H734" s="108" t="n"/>
      <c r="I734" s="108" t="n"/>
      <c r="J734" s="109" t="n"/>
      <c r="K734" s="109" t="n"/>
      <c r="L734" s="121">
        <f>IF($C734="","",IF($D734="Gider",$E734,$H734))</f>
        <v/>
      </c>
      <c r="M734" s="121">
        <f>IF($C734="","",IF($D734="Gider",$H734,$E734))</f>
        <v/>
      </c>
      <c r="N734" s="231">
        <f>IF($C734="","",DATE(YEAR($C734),MONTH($C734),1))</f>
        <v/>
      </c>
      <c r="O734" s="113">
        <f>IF($C734="","",IF(AND($D734&lt;&gt;"",$E734&lt;&gt;"",$G734&gt;0,$H734&lt;&gt;"",$I734&lt;&gt;""),IF($C734&gt;TODAY(),"İLERİ TARİH","UYGUN"),"EKSİK"))</f>
        <v/>
      </c>
      <c r="P734" s="6" t="n"/>
      <c r="Q734" s="6" t="n"/>
      <c r="R734" s="3" t="n"/>
      <c r="S734" s="3" t="n"/>
      <c r="T734" s="3" t="n"/>
      <c r="U734" s="3" t="n"/>
      <c r="V734" s="3" t="n"/>
      <c r="W734" s="3" t="n"/>
    </row>
    <row r="735">
      <c r="A735" s="6" t="n"/>
      <c r="B735" s="113">
        <f>IF($C735="","","GG"&amp;TEXT(ROW()-6,"00000"))</f>
        <v/>
      </c>
      <c r="C735" s="225" t="n"/>
      <c r="D735" s="108" t="n"/>
      <c r="E735" s="109" t="n"/>
      <c r="F735" s="109" t="n"/>
      <c r="G735" s="226" t="n"/>
      <c r="H735" s="108" t="n"/>
      <c r="I735" s="108" t="n"/>
      <c r="J735" s="109" t="n"/>
      <c r="K735" s="109" t="n"/>
      <c r="L735" s="121">
        <f>IF($C735="","",IF($D735="Gider",$E735,$H735))</f>
        <v/>
      </c>
      <c r="M735" s="121">
        <f>IF($C735="","",IF($D735="Gider",$H735,$E735))</f>
        <v/>
      </c>
      <c r="N735" s="231">
        <f>IF($C735="","",DATE(YEAR($C735),MONTH($C735),1))</f>
        <v/>
      </c>
      <c r="O735" s="113">
        <f>IF($C735="","",IF(AND($D735&lt;&gt;"",$E735&lt;&gt;"",$G735&gt;0,$H735&lt;&gt;"",$I735&lt;&gt;""),IF($C735&gt;TODAY(),"İLERİ TARİH","UYGUN"),"EKSİK"))</f>
        <v/>
      </c>
      <c r="P735" s="6" t="n"/>
      <c r="Q735" s="6" t="n"/>
      <c r="R735" s="3" t="n"/>
      <c r="S735" s="3" t="n"/>
      <c r="T735" s="3" t="n"/>
      <c r="U735" s="3" t="n"/>
      <c r="V735" s="3" t="n"/>
      <c r="W735" s="3" t="n"/>
    </row>
    <row r="736">
      <c r="A736" s="6" t="n"/>
      <c r="B736" s="113">
        <f>IF($C736="","","GG"&amp;TEXT(ROW()-6,"00000"))</f>
        <v/>
      </c>
      <c r="C736" s="225" t="n"/>
      <c r="D736" s="108" t="n"/>
      <c r="E736" s="109" t="n"/>
      <c r="F736" s="109" t="n"/>
      <c r="G736" s="226" t="n"/>
      <c r="H736" s="108" t="n"/>
      <c r="I736" s="108" t="n"/>
      <c r="J736" s="109" t="n"/>
      <c r="K736" s="109" t="n"/>
      <c r="L736" s="121">
        <f>IF($C736="","",IF($D736="Gider",$E736,$H736))</f>
        <v/>
      </c>
      <c r="M736" s="121">
        <f>IF($C736="","",IF($D736="Gider",$H736,$E736))</f>
        <v/>
      </c>
      <c r="N736" s="231">
        <f>IF($C736="","",DATE(YEAR($C736),MONTH($C736),1))</f>
        <v/>
      </c>
      <c r="O736" s="113">
        <f>IF($C736="","",IF(AND($D736&lt;&gt;"",$E736&lt;&gt;"",$G736&gt;0,$H736&lt;&gt;"",$I736&lt;&gt;""),IF($C736&gt;TODAY(),"İLERİ TARİH","UYGUN"),"EKSİK"))</f>
        <v/>
      </c>
      <c r="P736" s="6" t="n"/>
      <c r="Q736" s="6" t="n"/>
      <c r="R736" s="3" t="n"/>
      <c r="S736" s="3" t="n"/>
      <c r="T736" s="3" t="n"/>
      <c r="U736" s="3" t="n"/>
      <c r="V736" s="3" t="n"/>
      <c r="W736" s="3" t="n"/>
    </row>
    <row r="737">
      <c r="A737" s="6" t="n"/>
      <c r="B737" s="113">
        <f>IF($C737="","","GG"&amp;TEXT(ROW()-6,"00000"))</f>
        <v/>
      </c>
      <c r="C737" s="225" t="n"/>
      <c r="D737" s="108" t="n"/>
      <c r="E737" s="109" t="n"/>
      <c r="F737" s="109" t="n"/>
      <c r="G737" s="226" t="n"/>
      <c r="H737" s="108" t="n"/>
      <c r="I737" s="108" t="n"/>
      <c r="J737" s="109" t="n"/>
      <c r="K737" s="109" t="n"/>
      <c r="L737" s="121">
        <f>IF($C737="","",IF($D737="Gider",$E737,$H737))</f>
        <v/>
      </c>
      <c r="M737" s="121">
        <f>IF($C737="","",IF($D737="Gider",$H737,$E737))</f>
        <v/>
      </c>
      <c r="N737" s="231">
        <f>IF($C737="","",DATE(YEAR($C737),MONTH($C737),1))</f>
        <v/>
      </c>
      <c r="O737" s="113">
        <f>IF($C737="","",IF(AND($D737&lt;&gt;"",$E737&lt;&gt;"",$G737&gt;0,$H737&lt;&gt;"",$I737&lt;&gt;""),IF($C737&gt;TODAY(),"İLERİ TARİH","UYGUN"),"EKSİK"))</f>
        <v/>
      </c>
      <c r="P737" s="6" t="n"/>
      <c r="Q737" s="6" t="n"/>
      <c r="R737" s="3" t="n"/>
      <c r="S737" s="3" t="n"/>
      <c r="T737" s="3" t="n"/>
      <c r="U737" s="3" t="n"/>
      <c r="V737" s="3" t="n"/>
      <c r="W737" s="3" t="n"/>
    </row>
    <row r="738">
      <c r="A738" s="6" t="n"/>
      <c r="B738" s="113">
        <f>IF($C738="","","GG"&amp;TEXT(ROW()-6,"00000"))</f>
        <v/>
      </c>
      <c r="C738" s="225" t="n"/>
      <c r="D738" s="108" t="n"/>
      <c r="E738" s="109" t="n"/>
      <c r="F738" s="109" t="n"/>
      <c r="G738" s="226" t="n"/>
      <c r="H738" s="108" t="n"/>
      <c r="I738" s="108" t="n"/>
      <c r="J738" s="109" t="n"/>
      <c r="K738" s="109" t="n"/>
      <c r="L738" s="121">
        <f>IF($C738="","",IF($D738="Gider",$E738,$H738))</f>
        <v/>
      </c>
      <c r="M738" s="121">
        <f>IF($C738="","",IF($D738="Gider",$H738,$E738))</f>
        <v/>
      </c>
      <c r="N738" s="231">
        <f>IF($C738="","",DATE(YEAR($C738),MONTH($C738),1))</f>
        <v/>
      </c>
      <c r="O738" s="113">
        <f>IF($C738="","",IF(AND($D738&lt;&gt;"",$E738&lt;&gt;"",$G738&gt;0,$H738&lt;&gt;"",$I738&lt;&gt;""),IF($C738&gt;TODAY(),"İLERİ TARİH","UYGUN"),"EKSİK"))</f>
        <v/>
      </c>
      <c r="P738" s="6" t="n"/>
      <c r="Q738" s="6" t="n"/>
      <c r="R738" s="3" t="n"/>
      <c r="S738" s="3" t="n"/>
      <c r="T738" s="3" t="n"/>
      <c r="U738" s="3" t="n"/>
      <c r="V738" s="3" t="n"/>
      <c r="W738" s="3" t="n"/>
    </row>
    <row r="739">
      <c r="A739" s="6" t="n"/>
      <c r="B739" s="113">
        <f>IF($C739="","","GG"&amp;TEXT(ROW()-6,"00000"))</f>
        <v/>
      </c>
      <c r="C739" s="225" t="n"/>
      <c r="D739" s="108" t="n"/>
      <c r="E739" s="109" t="n"/>
      <c r="F739" s="109" t="n"/>
      <c r="G739" s="226" t="n"/>
      <c r="H739" s="108" t="n"/>
      <c r="I739" s="108" t="n"/>
      <c r="J739" s="109" t="n"/>
      <c r="K739" s="109" t="n"/>
      <c r="L739" s="121">
        <f>IF($C739="","",IF($D739="Gider",$E739,$H739))</f>
        <v/>
      </c>
      <c r="M739" s="121">
        <f>IF($C739="","",IF($D739="Gider",$H739,$E739))</f>
        <v/>
      </c>
      <c r="N739" s="231">
        <f>IF($C739="","",DATE(YEAR($C739),MONTH($C739),1))</f>
        <v/>
      </c>
      <c r="O739" s="113">
        <f>IF($C739="","",IF(AND($D739&lt;&gt;"",$E739&lt;&gt;"",$G739&gt;0,$H739&lt;&gt;"",$I739&lt;&gt;""),IF($C739&gt;TODAY(),"İLERİ TARİH","UYGUN"),"EKSİK"))</f>
        <v/>
      </c>
      <c r="P739" s="6" t="n"/>
      <c r="Q739" s="6" t="n"/>
      <c r="R739" s="3" t="n"/>
      <c r="S739" s="3" t="n"/>
      <c r="T739" s="3" t="n"/>
      <c r="U739" s="3" t="n"/>
      <c r="V739" s="3" t="n"/>
      <c r="W739" s="3" t="n"/>
    </row>
    <row r="740">
      <c r="A740" s="6" t="n"/>
      <c r="B740" s="113">
        <f>IF($C740="","","GG"&amp;TEXT(ROW()-6,"00000"))</f>
        <v/>
      </c>
      <c r="C740" s="225" t="n"/>
      <c r="D740" s="108" t="n"/>
      <c r="E740" s="109" t="n"/>
      <c r="F740" s="109" t="n"/>
      <c r="G740" s="226" t="n"/>
      <c r="H740" s="108" t="n"/>
      <c r="I740" s="108" t="n"/>
      <c r="J740" s="109" t="n"/>
      <c r="K740" s="109" t="n"/>
      <c r="L740" s="121">
        <f>IF($C740="","",IF($D740="Gider",$E740,$H740))</f>
        <v/>
      </c>
      <c r="M740" s="121">
        <f>IF($C740="","",IF($D740="Gider",$H740,$E740))</f>
        <v/>
      </c>
      <c r="N740" s="231">
        <f>IF($C740="","",DATE(YEAR($C740),MONTH($C740),1))</f>
        <v/>
      </c>
      <c r="O740" s="113">
        <f>IF($C740="","",IF(AND($D740&lt;&gt;"",$E740&lt;&gt;"",$G740&gt;0,$H740&lt;&gt;"",$I740&lt;&gt;""),IF($C740&gt;TODAY(),"İLERİ TARİH","UYGUN"),"EKSİK"))</f>
        <v/>
      </c>
      <c r="P740" s="6" t="n"/>
      <c r="Q740" s="6" t="n"/>
      <c r="R740" s="3" t="n"/>
      <c r="S740" s="3" t="n"/>
      <c r="T740" s="3" t="n"/>
      <c r="U740" s="3" t="n"/>
      <c r="V740" s="3" t="n"/>
      <c r="W740" s="3" t="n"/>
    </row>
    <row r="741">
      <c r="A741" s="6" t="n"/>
      <c r="B741" s="113">
        <f>IF($C741="","","GG"&amp;TEXT(ROW()-6,"00000"))</f>
        <v/>
      </c>
      <c r="C741" s="225" t="n"/>
      <c r="D741" s="108" t="n"/>
      <c r="E741" s="109" t="n"/>
      <c r="F741" s="109" t="n"/>
      <c r="G741" s="226" t="n"/>
      <c r="H741" s="108" t="n"/>
      <c r="I741" s="108" t="n"/>
      <c r="J741" s="109" t="n"/>
      <c r="K741" s="109" t="n"/>
      <c r="L741" s="121">
        <f>IF($C741="","",IF($D741="Gider",$E741,$H741))</f>
        <v/>
      </c>
      <c r="M741" s="121">
        <f>IF($C741="","",IF($D741="Gider",$H741,$E741))</f>
        <v/>
      </c>
      <c r="N741" s="231">
        <f>IF($C741="","",DATE(YEAR($C741),MONTH($C741),1))</f>
        <v/>
      </c>
      <c r="O741" s="113">
        <f>IF($C741="","",IF(AND($D741&lt;&gt;"",$E741&lt;&gt;"",$G741&gt;0,$H741&lt;&gt;"",$I741&lt;&gt;""),IF($C741&gt;TODAY(),"İLERİ TARİH","UYGUN"),"EKSİK"))</f>
        <v/>
      </c>
      <c r="P741" s="6" t="n"/>
      <c r="Q741" s="6" t="n"/>
      <c r="R741" s="3" t="n"/>
      <c r="S741" s="3" t="n"/>
      <c r="T741" s="3" t="n"/>
      <c r="U741" s="3" t="n"/>
      <c r="V741" s="3" t="n"/>
      <c r="W741" s="3" t="n"/>
    </row>
    <row r="742">
      <c r="A742" s="6" t="n"/>
      <c r="B742" s="113">
        <f>IF($C742="","","GG"&amp;TEXT(ROW()-6,"00000"))</f>
        <v/>
      </c>
      <c r="C742" s="225" t="n"/>
      <c r="D742" s="108" t="n"/>
      <c r="E742" s="109" t="n"/>
      <c r="F742" s="109" t="n"/>
      <c r="G742" s="226" t="n"/>
      <c r="H742" s="108" t="n"/>
      <c r="I742" s="108" t="n"/>
      <c r="J742" s="109" t="n"/>
      <c r="K742" s="109" t="n"/>
      <c r="L742" s="121">
        <f>IF($C742="","",IF($D742="Gider",$E742,$H742))</f>
        <v/>
      </c>
      <c r="M742" s="121">
        <f>IF($C742="","",IF($D742="Gider",$H742,$E742))</f>
        <v/>
      </c>
      <c r="N742" s="231">
        <f>IF($C742="","",DATE(YEAR($C742),MONTH($C742),1))</f>
        <v/>
      </c>
      <c r="O742" s="113">
        <f>IF($C742="","",IF(AND($D742&lt;&gt;"",$E742&lt;&gt;"",$G742&gt;0,$H742&lt;&gt;"",$I742&lt;&gt;""),IF($C742&gt;TODAY(),"İLERİ TARİH","UYGUN"),"EKSİK"))</f>
        <v/>
      </c>
      <c r="P742" s="6" t="n"/>
      <c r="Q742" s="6" t="n"/>
      <c r="R742" s="3" t="n"/>
      <c r="S742" s="3" t="n"/>
      <c r="T742" s="3" t="n"/>
      <c r="U742" s="3" t="n"/>
      <c r="V742" s="3" t="n"/>
      <c r="W742" s="3" t="n"/>
    </row>
    <row r="743">
      <c r="A743" s="6" t="n"/>
      <c r="B743" s="113">
        <f>IF($C743="","","GG"&amp;TEXT(ROW()-6,"00000"))</f>
        <v/>
      </c>
      <c r="C743" s="225" t="n"/>
      <c r="D743" s="108" t="n"/>
      <c r="E743" s="109" t="n"/>
      <c r="F743" s="109" t="n"/>
      <c r="G743" s="226" t="n"/>
      <c r="H743" s="108" t="n"/>
      <c r="I743" s="108" t="n"/>
      <c r="J743" s="109" t="n"/>
      <c r="K743" s="109" t="n"/>
      <c r="L743" s="121">
        <f>IF($C743="","",IF($D743="Gider",$E743,$H743))</f>
        <v/>
      </c>
      <c r="M743" s="121">
        <f>IF($C743="","",IF($D743="Gider",$H743,$E743))</f>
        <v/>
      </c>
      <c r="N743" s="231">
        <f>IF($C743="","",DATE(YEAR($C743),MONTH($C743),1))</f>
        <v/>
      </c>
      <c r="O743" s="113">
        <f>IF($C743="","",IF(AND($D743&lt;&gt;"",$E743&lt;&gt;"",$G743&gt;0,$H743&lt;&gt;"",$I743&lt;&gt;""),IF($C743&gt;TODAY(),"İLERİ TARİH","UYGUN"),"EKSİK"))</f>
        <v/>
      </c>
      <c r="P743" s="6" t="n"/>
      <c r="Q743" s="6" t="n"/>
      <c r="R743" s="3" t="n"/>
      <c r="S743" s="3" t="n"/>
      <c r="T743" s="3" t="n"/>
      <c r="U743" s="3" t="n"/>
      <c r="V743" s="3" t="n"/>
      <c r="W743" s="3" t="n"/>
    </row>
    <row r="744">
      <c r="A744" s="6" t="n"/>
      <c r="B744" s="113">
        <f>IF($C744="","","GG"&amp;TEXT(ROW()-6,"00000"))</f>
        <v/>
      </c>
      <c r="C744" s="225" t="n"/>
      <c r="D744" s="108" t="n"/>
      <c r="E744" s="109" t="n"/>
      <c r="F744" s="109" t="n"/>
      <c r="G744" s="226" t="n"/>
      <c r="H744" s="108" t="n"/>
      <c r="I744" s="108" t="n"/>
      <c r="J744" s="109" t="n"/>
      <c r="K744" s="109" t="n"/>
      <c r="L744" s="121">
        <f>IF($C744="","",IF($D744="Gider",$E744,$H744))</f>
        <v/>
      </c>
      <c r="M744" s="121">
        <f>IF($C744="","",IF($D744="Gider",$H744,$E744))</f>
        <v/>
      </c>
      <c r="N744" s="231">
        <f>IF($C744="","",DATE(YEAR($C744),MONTH($C744),1))</f>
        <v/>
      </c>
      <c r="O744" s="113">
        <f>IF($C744="","",IF(AND($D744&lt;&gt;"",$E744&lt;&gt;"",$G744&gt;0,$H744&lt;&gt;"",$I744&lt;&gt;""),IF($C744&gt;TODAY(),"İLERİ TARİH","UYGUN"),"EKSİK"))</f>
        <v/>
      </c>
      <c r="P744" s="6" t="n"/>
      <c r="Q744" s="6" t="n"/>
      <c r="R744" s="3" t="n"/>
      <c r="S744" s="3" t="n"/>
      <c r="T744" s="3" t="n"/>
      <c r="U744" s="3" t="n"/>
      <c r="V744" s="3" t="n"/>
      <c r="W744" s="3" t="n"/>
    </row>
    <row r="745">
      <c r="A745" s="6" t="n"/>
      <c r="B745" s="113">
        <f>IF($C745="","","GG"&amp;TEXT(ROW()-6,"00000"))</f>
        <v/>
      </c>
      <c r="C745" s="225" t="n"/>
      <c r="D745" s="108" t="n"/>
      <c r="E745" s="109" t="n"/>
      <c r="F745" s="109" t="n"/>
      <c r="G745" s="226" t="n"/>
      <c r="H745" s="108" t="n"/>
      <c r="I745" s="108" t="n"/>
      <c r="J745" s="109" t="n"/>
      <c r="K745" s="109" t="n"/>
      <c r="L745" s="121">
        <f>IF($C745="","",IF($D745="Gider",$E745,$H745))</f>
        <v/>
      </c>
      <c r="M745" s="121">
        <f>IF($C745="","",IF($D745="Gider",$H745,$E745))</f>
        <v/>
      </c>
      <c r="N745" s="231">
        <f>IF($C745="","",DATE(YEAR($C745),MONTH($C745),1))</f>
        <v/>
      </c>
      <c r="O745" s="113">
        <f>IF($C745="","",IF(AND($D745&lt;&gt;"",$E745&lt;&gt;"",$G745&gt;0,$H745&lt;&gt;"",$I745&lt;&gt;""),IF($C745&gt;TODAY(),"İLERİ TARİH","UYGUN"),"EKSİK"))</f>
        <v/>
      </c>
      <c r="P745" s="6" t="n"/>
      <c r="Q745" s="6" t="n"/>
      <c r="R745" s="3" t="n"/>
      <c r="S745" s="3" t="n"/>
      <c r="T745" s="3" t="n"/>
      <c r="U745" s="3" t="n"/>
      <c r="V745" s="3" t="n"/>
      <c r="W745" s="3" t="n"/>
    </row>
    <row r="746">
      <c r="A746" s="6" t="n"/>
      <c r="B746" s="113">
        <f>IF($C746="","","GG"&amp;TEXT(ROW()-6,"00000"))</f>
        <v/>
      </c>
      <c r="C746" s="225" t="n"/>
      <c r="D746" s="108" t="n"/>
      <c r="E746" s="109" t="n"/>
      <c r="F746" s="109" t="n"/>
      <c r="G746" s="226" t="n"/>
      <c r="H746" s="108" t="n"/>
      <c r="I746" s="108" t="n"/>
      <c r="J746" s="109" t="n"/>
      <c r="K746" s="109" t="n"/>
      <c r="L746" s="121">
        <f>IF($C746="","",IF($D746="Gider",$E746,$H746))</f>
        <v/>
      </c>
      <c r="M746" s="121">
        <f>IF($C746="","",IF($D746="Gider",$H746,$E746))</f>
        <v/>
      </c>
      <c r="N746" s="231">
        <f>IF($C746="","",DATE(YEAR($C746),MONTH($C746),1))</f>
        <v/>
      </c>
      <c r="O746" s="113">
        <f>IF($C746="","",IF(AND($D746&lt;&gt;"",$E746&lt;&gt;"",$G746&gt;0,$H746&lt;&gt;"",$I746&lt;&gt;""),IF($C746&gt;TODAY(),"İLERİ TARİH","UYGUN"),"EKSİK"))</f>
        <v/>
      </c>
      <c r="P746" s="6" t="n"/>
      <c r="Q746" s="6" t="n"/>
      <c r="R746" s="3" t="n"/>
      <c r="S746" s="3" t="n"/>
      <c r="T746" s="3" t="n"/>
      <c r="U746" s="3" t="n"/>
      <c r="V746" s="3" t="n"/>
      <c r="W746" s="3" t="n"/>
    </row>
    <row r="747">
      <c r="A747" s="6" t="n"/>
      <c r="B747" s="113">
        <f>IF($C747="","","GG"&amp;TEXT(ROW()-6,"00000"))</f>
        <v/>
      </c>
      <c r="C747" s="225" t="n"/>
      <c r="D747" s="108" t="n"/>
      <c r="E747" s="109" t="n"/>
      <c r="F747" s="109" t="n"/>
      <c r="G747" s="226" t="n"/>
      <c r="H747" s="108" t="n"/>
      <c r="I747" s="108" t="n"/>
      <c r="J747" s="109" t="n"/>
      <c r="K747" s="109" t="n"/>
      <c r="L747" s="121">
        <f>IF($C747="","",IF($D747="Gider",$E747,$H747))</f>
        <v/>
      </c>
      <c r="M747" s="121">
        <f>IF($C747="","",IF($D747="Gider",$H747,$E747))</f>
        <v/>
      </c>
      <c r="N747" s="231">
        <f>IF($C747="","",DATE(YEAR($C747),MONTH($C747),1))</f>
        <v/>
      </c>
      <c r="O747" s="113">
        <f>IF($C747="","",IF(AND($D747&lt;&gt;"",$E747&lt;&gt;"",$G747&gt;0,$H747&lt;&gt;"",$I747&lt;&gt;""),IF($C747&gt;TODAY(),"İLERİ TARİH","UYGUN"),"EKSİK"))</f>
        <v/>
      </c>
      <c r="P747" s="6" t="n"/>
      <c r="Q747" s="6" t="n"/>
      <c r="R747" s="3" t="n"/>
      <c r="S747" s="3" t="n"/>
      <c r="T747" s="3" t="n"/>
      <c r="U747" s="3" t="n"/>
      <c r="V747" s="3" t="n"/>
      <c r="W747" s="3" t="n"/>
    </row>
    <row r="748">
      <c r="A748" s="6" t="n"/>
      <c r="B748" s="113">
        <f>IF($C748="","","GG"&amp;TEXT(ROW()-6,"00000"))</f>
        <v/>
      </c>
      <c r="C748" s="225" t="n"/>
      <c r="D748" s="108" t="n"/>
      <c r="E748" s="109" t="n"/>
      <c r="F748" s="109" t="n"/>
      <c r="G748" s="226" t="n"/>
      <c r="H748" s="108" t="n"/>
      <c r="I748" s="108" t="n"/>
      <c r="J748" s="109" t="n"/>
      <c r="K748" s="109" t="n"/>
      <c r="L748" s="121">
        <f>IF($C748="","",IF($D748="Gider",$E748,$H748))</f>
        <v/>
      </c>
      <c r="M748" s="121">
        <f>IF($C748="","",IF($D748="Gider",$H748,$E748))</f>
        <v/>
      </c>
      <c r="N748" s="231">
        <f>IF($C748="","",DATE(YEAR($C748),MONTH($C748),1))</f>
        <v/>
      </c>
      <c r="O748" s="113">
        <f>IF($C748="","",IF(AND($D748&lt;&gt;"",$E748&lt;&gt;"",$G748&gt;0,$H748&lt;&gt;"",$I748&lt;&gt;""),IF($C748&gt;TODAY(),"İLERİ TARİH","UYGUN"),"EKSİK"))</f>
        <v/>
      </c>
      <c r="P748" s="6" t="n"/>
      <c r="Q748" s="6" t="n"/>
      <c r="R748" s="3" t="n"/>
      <c r="S748" s="3" t="n"/>
      <c r="T748" s="3" t="n"/>
      <c r="U748" s="3" t="n"/>
      <c r="V748" s="3" t="n"/>
      <c r="W748" s="3" t="n"/>
    </row>
    <row r="749">
      <c r="A749" s="6" t="n"/>
      <c r="B749" s="113">
        <f>IF($C749="","","GG"&amp;TEXT(ROW()-6,"00000"))</f>
        <v/>
      </c>
      <c r="C749" s="225" t="n"/>
      <c r="D749" s="108" t="n"/>
      <c r="E749" s="109" t="n"/>
      <c r="F749" s="109" t="n"/>
      <c r="G749" s="226" t="n"/>
      <c r="H749" s="108" t="n"/>
      <c r="I749" s="108" t="n"/>
      <c r="J749" s="109" t="n"/>
      <c r="K749" s="109" t="n"/>
      <c r="L749" s="121">
        <f>IF($C749="","",IF($D749="Gider",$E749,$H749))</f>
        <v/>
      </c>
      <c r="M749" s="121">
        <f>IF($C749="","",IF($D749="Gider",$H749,$E749))</f>
        <v/>
      </c>
      <c r="N749" s="231">
        <f>IF($C749="","",DATE(YEAR($C749),MONTH($C749),1))</f>
        <v/>
      </c>
      <c r="O749" s="113">
        <f>IF($C749="","",IF(AND($D749&lt;&gt;"",$E749&lt;&gt;"",$G749&gt;0,$H749&lt;&gt;"",$I749&lt;&gt;""),IF($C749&gt;TODAY(),"İLERİ TARİH","UYGUN"),"EKSİK"))</f>
        <v/>
      </c>
      <c r="P749" s="6" t="n"/>
      <c r="Q749" s="6" t="n"/>
      <c r="R749" s="3" t="n"/>
      <c r="S749" s="3" t="n"/>
      <c r="T749" s="3" t="n"/>
      <c r="U749" s="3" t="n"/>
      <c r="V749" s="3" t="n"/>
      <c r="W749" s="3" t="n"/>
    </row>
    <row r="750">
      <c r="A750" s="6" t="n"/>
      <c r="B750" s="113">
        <f>IF($C750="","","GG"&amp;TEXT(ROW()-6,"00000"))</f>
        <v/>
      </c>
      <c r="C750" s="225" t="n"/>
      <c r="D750" s="108" t="n"/>
      <c r="E750" s="109" t="n"/>
      <c r="F750" s="109" t="n"/>
      <c r="G750" s="226" t="n"/>
      <c r="H750" s="108" t="n"/>
      <c r="I750" s="108" t="n"/>
      <c r="J750" s="109" t="n"/>
      <c r="K750" s="109" t="n"/>
      <c r="L750" s="121">
        <f>IF($C750="","",IF($D750="Gider",$E750,$H750))</f>
        <v/>
      </c>
      <c r="M750" s="121">
        <f>IF($C750="","",IF($D750="Gider",$H750,$E750))</f>
        <v/>
      </c>
      <c r="N750" s="231">
        <f>IF($C750="","",DATE(YEAR($C750),MONTH($C750),1))</f>
        <v/>
      </c>
      <c r="O750" s="113">
        <f>IF($C750="","",IF(AND($D750&lt;&gt;"",$E750&lt;&gt;"",$G750&gt;0,$H750&lt;&gt;"",$I750&lt;&gt;""),IF($C750&gt;TODAY(),"İLERİ TARİH","UYGUN"),"EKSİK"))</f>
        <v/>
      </c>
      <c r="P750" s="6" t="n"/>
      <c r="Q750" s="6" t="n"/>
      <c r="R750" s="3" t="n"/>
      <c r="S750" s="3" t="n"/>
      <c r="T750" s="3" t="n"/>
      <c r="U750" s="3" t="n"/>
      <c r="V750" s="3" t="n"/>
      <c r="W750" s="3" t="n"/>
    </row>
    <row r="751">
      <c r="A751" s="6" t="n"/>
      <c r="B751" s="113">
        <f>IF($C751="","","GG"&amp;TEXT(ROW()-6,"00000"))</f>
        <v/>
      </c>
      <c r="C751" s="225" t="n"/>
      <c r="D751" s="108" t="n"/>
      <c r="E751" s="109" t="n"/>
      <c r="F751" s="109" t="n"/>
      <c r="G751" s="226" t="n"/>
      <c r="H751" s="108" t="n"/>
      <c r="I751" s="108" t="n"/>
      <c r="J751" s="109" t="n"/>
      <c r="K751" s="109" t="n"/>
      <c r="L751" s="121">
        <f>IF($C751="","",IF($D751="Gider",$E751,$H751))</f>
        <v/>
      </c>
      <c r="M751" s="121">
        <f>IF($C751="","",IF($D751="Gider",$H751,$E751))</f>
        <v/>
      </c>
      <c r="N751" s="231">
        <f>IF($C751="","",DATE(YEAR($C751),MONTH($C751),1))</f>
        <v/>
      </c>
      <c r="O751" s="113">
        <f>IF($C751="","",IF(AND($D751&lt;&gt;"",$E751&lt;&gt;"",$G751&gt;0,$H751&lt;&gt;"",$I751&lt;&gt;""),IF($C751&gt;TODAY(),"İLERİ TARİH","UYGUN"),"EKSİK"))</f>
        <v/>
      </c>
      <c r="P751" s="6" t="n"/>
      <c r="Q751" s="6" t="n"/>
      <c r="R751" s="3" t="n"/>
      <c r="S751" s="3" t="n"/>
      <c r="T751" s="3" t="n"/>
      <c r="U751" s="3" t="n"/>
      <c r="V751" s="3" t="n"/>
      <c r="W751" s="3" t="n"/>
    </row>
    <row r="752">
      <c r="A752" s="6" t="n"/>
      <c r="B752" s="113">
        <f>IF($C752="","","GG"&amp;TEXT(ROW()-6,"00000"))</f>
        <v/>
      </c>
      <c r="C752" s="225" t="n"/>
      <c r="D752" s="108" t="n"/>
      <c r="E752" s="109" t="n"/>
      <c r="F752" s="109" t="n"/>
      <c r="G752" s="226" t="n"/>
      <c r="H752" s="108" t="n"/>
      <c r="I752" s="108" t="n"/>
      <c r="J752" s="109" t="n"/>
      <c r="K752" s="109" t="n"/>
      <c r="L752" s="121">
        <f>IF($C752="","",IF($D752="Gider",$E752,$H752))</f>
        <v/>
      </c>
      <c r="M752" s="121">
        <f>IF($C752="","",IF($D752="Gider",$H752,$E752))</f>
        <v/>
      </c>
      <c r="N752" s="231">
        <f>IF($C752="","",DATE(YEAR($C752),MONTH($C752),1))</f>
        <v/>
      </c>
      <c r="O752" s="113">
        <f>IF($C752="","",IF(AND($D752&lt;&gt;"",$E752&lt;&gt;"",$G752&gt;0,$H752&lt;&gt;"",$I752&lt;&gt;""),IF($C752&gt;TODAY(),"İLERİ TARİH","UYGUN"),"EKSİK"))</f>
        <v/>
      </c>
      <c r="P752" s="6" t="n"/>
      <c r="Q752" s="6" t="n"/>
      <c r="R752" s="3" t="n"/>
      <c r="S752" s="3" t="n"/>
      <c r="T752" s="3" t="n"/>
      <c r="U752" s="3" t="n"/>
      <c r="V752" s="3" t="n"/>
      <c r="W752" s="3" t="n"/>
    </row>
    <row r="753">
      <c r="A753" s="6" t="n"/>
      <c r="B753" s="113">
        <f>IF($C753="","","GG"&amp;TEXT(ROW()-6,"00000"))</f>
        <v/>
      </c>
      <c r="C753" s="225" t="n"/>
      <c r="D753" s="108" t="n"/>
      <c r="E753" s="109" t="n"/>
      <c r="F753" s="109" t="n"/>
      <c r="G753" s="226" t="n"/>
      <c r="H753" s="108" t="n"/>
      <c r="I753" s="108" t="n"/>
      <c r="J753" s="109" t="n"/>
      <c r="K753" s="109" t="n"/>
      <c r="L753" s="121">
        <f>IF($C753="","",IF($D753="Gider",$E753,$H753))</f>
        <v/>
      </c>
      <c r="M753" s="121">
        <f>IF($C753="","",IF($D753="Gider",$H753,$E753))</f>
        <v/>
      </c>
      <c r="N753" s="231">
        <f>IF($C753="","",DATE(YEAR($C753),MONTH($C753),1))</f>
        <v/>
      </c>
      <c r="O753" s="113">
        <f>IF($C753="","",IF(AND($D753&lt;&gt;"",$E753&lt;&gt;"",$G753&gt;0,$H753&lt;&gt;"",$I753&lt;&gt;""),IF($C753&gt;TODAY(),"İLERİ TARİH","UYGUN"),"EKSİK"))</f>
        <v/>
      </c>
      <c r="P753" s="6" t="n"/>
      <c r="Q753" s="6" t="n"/>
      <c r="R753" s="3" t="n"/>
      <c r="S753" s="3" t="n"/>
      <c r="T753" s="3" t="n"/>
      <c r="U753" s="3" t="n"/>
      <c r="V753" s="3" t="n"/>
      <c r="W753" s="3" t="n"/>
    </row>
    <row r="754">
      <c r="A754" s="6" t="n"/>
      <c r="B754" s="113">
        <f>IF($C754="","","GG"&amp;TEXT(ROW()-6,"00000"))</f>
        <v/>
      </c>
      <c r="C754" s="225" t="n"/>
      <c r="D754" s="108" t="n"/>
      <c r="E754" s="109" t="n"/>
      <c r="F754" s="109" t="n"/>
      <c r="G754" s="226" t="n"/>
      <c r="H754" s="108" t="n"/>
      <c r="I754" s="108" t="n"/>
      <c r="J754" s="109" t="n"/>
      <c r="K754" s="109" t="n"/>
      <c r="L754" s="121">
        <f>IF($C754="","",IF($D754="Gider",$E754,$H754))</f>
        <v/>
      </c>
      <c r="M754" s="121">
        <f>IF($C754="","",IF($D754="Gider",$H754,$E754))</f>
        <v/>
      </c>
      <c r="N754" s="231">
        <f>IF($C754="","",DATE(YEAR($C754),MONTH($C754),1))</f>
        <v/>
      </c>
      <c r="O754" s="113">
        <f>IF($C754="","",IF(AND($D754&lt;&gt;"",$E754&lt;&gt;"",$G754&gt;0,$H754&lt;&gt;"",$I754&lt;&gt;""),IF($C754&gt;TODAY(),"İLERİ TARİH","UYGUN"),"EKSİK"))</f>
        <v/>
      </c>
      <c r="P754" s="6" t="n"/>
      <c r="Q754" s="6" t="n"/>
      <c r="R754" s="3" t="n"/>
      <c r="S754" s="3" t="n"/>
      <c r="T754" s="3" t="n"/>
      <c r="U754" s="3" t="n"/>
      <c r="V754" s="3" t="n"/>
      <c r="W754" s="3" t="n"/>
    </row>
    <row r="755">
      <c r="A755" s="6" t="n"/>
      <c r="B755" s="113">
        <f>IF($C755="","","GG"&amp;TEXT(ROW()-6,"00000"))</f>
        <v/>
      </c>
      <c r="C755" s="225" t="n"/>
      <c r="D755" s="108" t="n"/>
      <c r="E755" s="109" t="n"/>
      <c r="F755" s="109" t="n"/>
      <c r="G755" s="226" t="n"/>
      <c r="H755" s="108" t="n"/>
      <c r="I755" s="108" t="n"/>
      <c r="J755" s="109" t="n"/>
      <c r="K755" s="109" t="n"/>
      <c r="L755" s="121">
        <f>IF($C755="","",IF($D755="Gider",$E755,$H755))</f>
        <v/>
      </c>
      <c r="M755" s="121">
        <f>IF($C755="","",IF($D755="Gider",$H755,$E755))</f>
        <v/>
      </c>
      <c r="N755" s="231">
        <f>IF($C755="","",DATE(YEAR($C755),MONTH($C755),1))</f>
        <v/>
      </c>
      <c r="O755" s="113">
        <f>IF($C755="","",IF(AND($D755&lt;&gt;"",$E755&lt;&gt;"",$G755&gt;0,$H755&lt;&gt;"",$I755&lt;&gt;""),IF($C755&gt;TODAY(),"İLERİ TARİH","UYGUN"),"EKSİK"))</f>
        <v/>
      </c>
      <c r="P755" s="6" t="n"/>
      <c r="Q755" s="6" t="n"/>
      <c r="R755" s="3" t="n"/>
      <c r="S755" s="3" t="n"/>
      <c r="T755" s="3" t="n"/>
      <c r="U755" s="3" t="n"/>
      <c r="V755" s="3" t="n"/>
      <c r="W755" s="3" t="n"/>
    </row>
    <row r="756">
      <c r="A756" s="6" t="n"/>
      <c r="B756" s="113">
        <f>IF($C756="","","GG"&amp;TEXT(ROW()-6,"00000"))</f>
        <v/>
      </c>
      <c r="C756" s="225" t="n"/>
      <c r="D756" s="108" t="n"/>
      <c r="E756" s="109" t="n"/>
      <c r="F756" s="109" t="n"/>
      <c r="G756" s="226" t="n"/>
      <c r="H756" s="108" t="n"/>
      <c r="I756" s="108" t="n"/>
      <c r="J756" s="109" t="n"/>
      <c r="K756" s="109" t="n"/>
      <c r="L756" s="121">
        <f>IF($C756="","",IF($D756="Gider",$E756,$H756))</f>
        <v/>
      </c>
      <c r="M756" s="121">
        <f>IF($C756="","",IF($D756="Gider",$H756,$E756))</f>
        <v/>
      </c>
      <c r="N756" s="231">
        <f>IF($C756="","",DATE(YEAR($C756),MONTH($C756),1))</f>
        <v/>
      </c>
      <c r="O756" s="113">
        <f>IF($C756="","",IF(AND($D756&lt;&gt;"",$E756&lt;&gt;"",$G756&gt;0,$H756&lt;&gt;"",$I756&lt;&gt;""),IF($C756&gt;TODAY(),"İLERİ TARİH","UYGUN"),"EKSİK"))</f>
        <v/>
      </c>
      <c r="P756" s="6" t="n"/>
      <c r="Q756" s="6" t="n"/>
      <c r="R756" s="3" t="n"/>
      <c r="S756" s="3" t="n"/>
      <c r="T756" s="3" t="n"/>
      <c r="U756" s="3" t="n"/>
      <c r="V756" s="3" t="n"/>
      <c r="W756" s="3" t="n"/>
    </row>
    <row r="757">
      <c r="A757" s="6" t="n"/>
      <c r="B757" s="113">
        <f>IF($C757="","","GG"&amp;TEXT(ROW()-6,"00000"))</f>
        <v/>
      </c>
      <c r="C757" s="225" t="n"/>
      <c r="D757" s="108" t="n"/>
      <c r="E757" s="109" t="n"/>
      <c r="F757" s="109" t="n"/>
      <c r="G757" s="226" t="n"/>
      <c r="H757" s="108" t="n"/>
      <c r="I757" s="108" t="n"/>
      <c r="J757" s="109" t="n"/>
      <c r="K757" s="109" t="n"/>
      <c r="L757" s="121">
        <f>IF($C757="","",IF($D757="Gider",$E757,$H757))</f>
        <v/>
      </c>
      <c r="M757" s="121">
        <f>IF($C757="","",IF($D757="Gider",$H757,$E757))</f>
        <v/>
      </c>
      <c r="N757" s="231">
        <f>IF($C757="","",DATE(YEAR($C757),MONTH($C757),1))</f>
        <v/>
      </c>
      <c r="O757" s="113">
        <f>IF($C757="","",IF(AND($D757&lt;&gt;"",$E757&lt;&gt;"",$G757&gt;0,$H757&lt;&gt;"",$I757&lt;&gt;""),IF($C757&gt;TODAY(),"İLERİ TARİH","UYGUN"),"EKSİK"))</f>
        <v/>
      </c>
      <c r="P757" s="6" t="n"/>
      <c r="Q757" s="6" t="n"/>
      <c r="R757" s="3" t="n"/>
      <c r="S757" s="3" t="n"/>
      <c r="T757" s="3" t="n"/>
      <c r="U757" s="3" t="n"/>
      <c r="V757" s="3" t="n"/>
      <c r="W757" s="3" t="n"/>
    </row>
    <row r="758">
      <c r="A758" s="6" t="n"/>
      <c r="B758" s="113">
        <f>IF($C758="","","GG"&amp;TEXT(ROW()-6,"00000"))</f>
        <v/>
      </c>
      <c r="C758" s="225" t="n"/>
      <c r="D758" s="108" t="n"/>
      <c r="E758" s="109" t="n"/>
      <c r="F758" s="109" t="n"/>
      <c r="G758" s="226" t="n"/>
      <c r="H758" s="108" t="n"/>
      <c r="I758" s="108" t="n"/>
      <c r="J758" s="109" t="n"/>
      <c r="K758" s="109" t="n"/>
      <c r="L758" s="121">
        <f>IF($C758="","",IF($D758="Gider",$E758,$H758))</f>
        <v/>
      </c>
      <c r="M758" s="121">
        <f>IF($C758="","",IF($D758="Gider",$H758,$E758))</f>
        <v/>
      </c>
      <c r="N758" s="231">
        <f>IF($C758="","",DATE(YEAR($C758),MONTH($C758),1))</f>
        <v/>
      </c>
      <c r="O758" s="113">
        <f>IF($C758="","",IF(AND($D758&lt;&gt;"",$E758&lt;&gt;"",$G758&gt;0,$H758&lt;&gt;"",$I758&lt;&gt;""),IF($C758&gt;TODAY(),"İLERİ TARİH","UYGUN"),"EKSİK"))</f>
        <v/>
      </c>
      <c r="P758" s="6" t="n"/>
      <c r="Q758" s="6" t="n"/>
      <c r="R758" s="3" t="n"/>
      <c r="S758" s="3" t="n"/>
      <c r="T758" s="3" t="n"/>
      <c r="U758" s="3" t="n"/>
      <c r="V758" s="3" t="n"/>
      <c r="W758" s="3" t="n"/>
    </row>
    <row r="759">
      <c r="A759" s="6" t="n"/>
      <c r="B759" s="113">
        <f>IF($C759="","","GG"&amp;TEXT(ROW()-6,"00000"))</f>
        <v/>
      </c>
      <c r="C759" s="225" t="n"/>
      <c r="D759" s="108" t="n"/>
      <c r="E759" s="109" t="n"/>
      <c r="F759" s="109" t="n"/>
      <c r="G759" s="226" t="n"/>
      <c r="H759" s="108" t="n"/>
      <c r="I759" s="108" t="n"/>
      <c r="J759" s="109" t="n"/>
      <c r="K759" s="109" t="n"/>
      <c r="L759" s="121">
        <f>IF($C759="","",IF($D759="Gider",$E759,$H759))</f>
        <v/>
      </c>
      <c r="M759" s="121">
        <f>IF($C759="","",IF($D759="Gider",$H759,$E759))</f>
        <v/>
      </c>
      <c r="N759" s="231">
        <f>IF($C759="","",DATE(YEAR($C759),MONTH($C759),1))</f>
        <v/>
      </c>
      <c r="O759" s="113">
        <f>IF($C759="","",IF(AND($D759&lt;&gt;"",$E759&lt;&gt;"",$G759&gt;0,$H759&lt;&gt;"",$I759&lt;&gt;""),IF($C759&gt;TODAY(),"İLERİ TARİH","UYGUN"),"EKSİK"))</f>
        <v/>
      </c>
      <c r="P759" s="6" t="n"/>
      <c r="Q759" s="6" t="n"/>
      <c r="R759" s="3" t="n"/>
      <c r="S759" s="3" t="n"/>
      <c r="T759" s="3" t="n"/>
      <c r="U759" s="3" t="n"/>
      <c r="V759" s="3" t="n"/>
      <c r="W759" s="3" t="n"/>
    </row>
    <row r="760">
      <c r="A760" s="6" t="n"/>
      <c r="B760" s="113">
        <f>IF($C760="","","GG"&amp;TEXT(ROW()-6,"00000"))</f>
        <v/>
      </c>
      <c r="C760" s="225" t="n"/>
      <c r="D760" s="108" t="n"/>
      <c r="E760" s="109" t="n"/>
      <c r="F760" s="109" t="n"/>
      <c r="G760" s="226" t="n"/>
      <c r="H760" s="108" t="n"/>
      <c r="I760" s="108" t="n"/>
      <c r="J760" s="109" t="n"/>
      <c r="K760" s="109" t="n"/>
      <c r="L760" s="121">
        <f>IF($C760="","",IF($D760="Gider",$E760,$H760))</f>
        <v/>
      </c>
      <c r="M760" s="121">
        <f>IF($C760="","",IF($D760="Gider",$H760,$E760))</f>
        <v/>
      </c>
      <c r="N760" s="231">
        <f>IF($C760="","",DATE(YEAR($C760),MONTH($C760),1))</f>
        <v/>
      </c>
      <c r="O760" s="113">
        <f>IF($C760="","",IF(AND($D760&lt;&gt;"",$E760&lt;&gt;"",$G760&gt;0,$H760&lt;&gt;"",$I760&lt;&gt;""),IF($C760&gt;TODAY(),"İLERİ TARİH","UYGUN"),"EKSİK"))</f>
        <v/>
      </c>
      <c r="P760" s="6" t="n"/>
      <c r="Q760" s="6" t="n"/>
      <c r="R760" s="3" t="n"/>
      <c r="S760" s="3" t="n"/>
      <c r="T760" s="3" t="n"/>
      <c r="U760" s="3" t="n"/>
      <c r="V760" s="3" t="n"/>
      <c r="W760" s="3" t="n"/>
    </row>
    <row r="761">
      <c r="A761" s="6" t="n"/>
      <c r="B761" s="113">
        <f>IF($C761="","","GG"&amp;TEXT(ROW()-6,"00000"))</f>
        <v/>
      </c>
      <c r="C761" s="225" t="n"/>
      <c r="D761" s="108" t="n"/>
      <c r="E761" s="109" t="n"/>
      <c r="F761" s="109" t="n"/>
      <c r="G761" s="226" t="n"/>
      <c r="H761" s="108" t="n"/>
      <c r="I761" s="108" t="n"/>
      <c r="J761" s="109" t="n"/>
      <c r="K761" s="109" t="n"/>
      <c r="L761" s="121">
        <f>IF($C761="","",IF($D761="Gider",$E761,$H761))</f>
        <v/>
      </c>
      <c r="M761" s="121">
        <f>IF($C761="","",IF($D761="Gider",$H761,$E761))</f>
        <v/>
      </c>
      <c r="N761" s="231">
        <f>IF($C761="","",DATE(YEAR($C761),MONTH($C761),1))</f>
        <v/>
      </c>
      <c r="O761" s="113">
        <f>IF($C761="","",IF(AND($D761&lt;&gt;"",$E761&lt;&gt;"",$G761&gt;0,$H761&lt;&gt;"",$I761&lt;&gt;""),IF($C761&gt;TODAY(),"İLERİ TARİH","UYGUN"),"EKSİK"))</f>
        <v/>
      </c>
      <c r="P761" s="6" t="n"/>
      <c r="Q761" s="6" t="n"/>
      <c r="R761" s="3" t="n"/>
      <c r="S761" s="3" t="n"/>
      <c r="T761" s="3" t="n"/>
      <c r="U761" s="3" t="n"/>
      <c r="V761" s="3" t="n"/>
      <c r="W761" s="3" t="n"/>
    </row>
    <row r="762">
      <c r="A762" s="6" t="n"/>
      <c r="B762" s="113">
        <f>IF($C762="","","GG"&amp;TEXT(ROW()-6,"00000"))</f>
        <v/>
      </c>
      <c r="C762" s="225" t="n"/>
      <c r="D762" s="108" t="n"/>
      <c r="E762" s="109" t="n"/>
      <c r="F762" s="109" t="n"/>
      <c r="G762" s="226" t="n"/>
      <c r="H762" s="108" t="n"/>
      <c r="I762" s="108" t="n"/>
      <c r="J762" s="109" t="n"/>
      <c r="K762" s="109" t="n"/>
      <c r="L762" s="121">
        <f>IF($C762="","",IF($D762="Gider",$E762,$H762))</f>
        <v/>
      </c>
      <c r="M762" s="121">
        <f>IF($C762="","",IF($D762="Gider",$H762,$E762))</f>
        <v/>
      </c>
      <c r="N762" s="231">
        <f>IF($C762="","",DATE(YEAR($C762),MONTH($C762),1))</f>
        <v/>
      </c>
      <c r="O762" s="113">
        <f>IF($C762="","",IF(AND($D762&lt;&gt;"",$E762&lt;&gt;"",$G762&gt;0,$H762&lt;&gt;"",$I762&lt;&gt;""),IF($C762&gt;TODAY(),"İLERİ TARİH","UYGUN"),"EKSİK"))</f>
        <v/>
      </c>
      <c r="P762" s="6" t="n"/>
      <c r="Q762" s="6" t="n"/>
      <c r="R762" s="3" t="n"/>
      <c r="S762" s="3" t="n"/>
      <c r="T762" s="3" t="n"/>
      <c r="U762" s="3" t="n"/>
      <c r="V762" s="3" t="n"/>
      <c r="W762" s="3" t="n"/>
    </row>
    <row r="763">
      <c r="A763" s="6" t="n"/>
      <c r="B763" s="113">
        <f>IF($C763="","","GG"&amp;TEXT(ROW()-6,"00000"))</f>
        <v/>
      </c>
      <c r="C763" s="225" t="n"/>
      <c r="D763" s="108" t="n"/>
      <c r="E763" s="109" t="n"/>
      <c r="F763" s="109" t="n"/>
      <c r="G763" s="226" t="n"/>
      <c r="H763" s="108" t="n"/>
      <c r="I763" s="108" t="n"/>
      <c r="J763" s="109" t="n"/>
      <c r="K763" s="109" t="n"/>
      <c r="L763" s="121">
        <f>IF($C763="","",IF($D763="Gider",$E763,$H763))</f>
        <v/>
      </c>
      <c r="M763" s="121">
        <f>IF($C763="","",IF($D763="Gider",$H763,$E763))</f>
        <v/>
      </c>
      <c r="N763" s="231">
        <f>IF($C763="","",DATE(YEAR($C763),MONTH($C763),1))</f>
        <v/>
      </c>
      <c r="O763" s="113">
        <f>IF($C763="","",IF(AND($D763&lt;&gt;"",$E763&lt;&gt;"",$G763&gt;0,$H763&lt;&gt;"",$I763&lt;&gt;""),IF($C763&gt;TODAY(),"İLERİ TARİH","UYGUN"),"EKSİK"))</f>
        <v/>
      </c>
      <c r="P763" s="6" t="n"/>
      <c r="Q763" s="6" t="n"/>
      <c r="R763" s="3" t="n"/>
      <c r="S763" s="3" t="n"/>
      <c r="T763" s="3" t="n"/>
      <c r="U763" s="3" t="n"/>
      <c r="V763" s="3" t="n"/>
      <c r="W763" s="3" t="n"/>
    </row>
    <row r="764">
      <c r="A764" s="6" t="n"/>
      <c r="B764" s="113">
        <f>IF($C764="","","GG"&amp;TEXT(ROW()-6,"00000"))</f>
        <v/>
      </c>
      <c r="C764" s="225" t="n"/>
      <c r="D764" s="108" t="n"/>
      <c r="E764" s="109" t="n"/>
      <c r="F764" s="109" t="n"/>
      <c r="G764" s="226" t="n"/>
      <c r="H764" s="108" t="n"/>
      <c r="I764" s="108" t="n"/>
      <c r="J764" s="109" t="n"/>
      <c r="K764" s="109" t="n"/>
      <c r="L764" s="121">
        <f>IF($C764="","",IF($D764="Gider",$E764,$H764))</f>
        <v/>
      </c>
      <c r="M764" s="121">
        <f>IF($C764="","",IF($D764="Gider",$H764,$E764))</f>
        <v/>
      </c>
      <c r="N764" s="231">
        <f>IF($C764="","",DATE(YEAR($C764),MONTH($C764),1))</f>
        <v/>
      </c>
      <c r="O764" s="113">
        <f>IF($C764="","",IF(AND($D764&lt;&gt;"",$E764&lt;&gt;"",$G764&gt;0,$H764&lt;&gt;"",$I764&lt;&gt;""),IF($C764&gt;TODAY(),"İLERİ TARİH","UYGUN"),"EKSİK"))</f>
        <v/>
      </c>
      <c r="P764" s="6" t="n"/>
      <c r="Q764" s="6" t="n"/>
      <c r="R764" s="3" t="n"/>
      <c r="S764" s="3" t="n"/>
      <c r="T764" s="3" t="n"/>
      <c r="U764" s="3" t="n"/>
      <c r="V764" s="3" t="n"/>
      <c r="W764" s="3" t="n"/>
    </row>
    <row r="765">
      <c r="A765" s="6" t="n"/>
      <c r="B765" s="113">
        <f>IF($C765="","","GG"&amp;TEXT(ROW()-6,"00000"))</f>
        <v/>
      </c>
      <c r="C765" s="225" t="n"/>
      <c r="D765" s="108" t="n"/>
      <c r="E765" s="109" t="n"/>
      <c r="F765" s="109" t="n"/>
      <c r="G765" s="226" t="n"/>
      <c r="H765" s="108" t="n"/>
      <c r="I765" s="108" t="n"/>
      <c r="J765" s="109" t="n"/>
      <c r="K765" s="109" t="n"/>
      <c r="L765" s="121">
        <f>IF($C765="","",IF($D765="Gider",$E765,$H765))</f>
        <v/>
      </c>
      <c r="M765" s="121">
        <f>IF($C765="","",IF($D765="Gider",$H765,$E765))</f>
        <v/>
      </c>
      <c r="N765" s="231">
        <f>IF($C765="","",DATE(YEAR($C765),MONTH($C765),1))</f>
        <v/>
      </c>
      <c r="O765" s="113">
        <f>IF($C765="","",IF(AND($D765&lt;&gt;"",$E765&lt;&gt;"",$G765&gt;0,$H765&lt;&gt;"",$I765&lt;&gt;""),IF($C765&gt;TODAY(),"İLERİ TARİH","UYGUN"),"EKSİK"))</f>
        <v/>
      </c>
      <c r="P765" s="6" t="n"/>
      <c r="Q765" s="6" t="n"/>
      <c r="R765" s="3" t="n"/>
      <c r="S765" s="3" t="n"/>
      <c r="T765" s="3" t="n"/>
      <c r="U765" s="3" t="n"/>
      <c r="V765" s="3" t="n"/>
      <c r="W765" s="3" t="n"/>
    </row>
    <row r="766">
      <c r="A766" s="6" t="n"/>
      <c r="B766" s="113">
        <f>IF($C766="","","GG"&amp;TEXT(ROW()-6,"00000"))</f>
        <v/>
      </c>
      <c r="C766" s="225" t="n"/>
      <c r="D766" s="108" t="n"/>
      <c r="E766" s="109" t="n"/>
      <c r="F766" s="109" t="n"/>
      <c r="G766" s="226" t="n"/>
      <c r="H766" s="108" t="n"/>
      <c r="I766" s="108" t="n"/>
      <c r="J766" s="109" t="n"/>
      <c r="K766" s="109" t="n"/>
      <c r="L766" s="121">
        <f>IF($C766="","",IF($D766="Gider",$E766,$H766))</f>
        <v/>
      </c>
      <c r="M766" s="121">
        <f>IF($C766="","",IF($D766="Gider",$H766,$E766))</f>
        <v/>
      </c>
      <c r="N766" s="231">
        <f>IF($C766="","",DATE(YEAR($C766),MONTH($C766),1))</f>
        <v/>
      </c>
      <c r="O766" s="113">
        <f>IF($C766="","",IF(AND($D766&lt;&gt;"",$E766&lt;&gt;"",$G766&gt;0,$H766&lt;&gt;"",$I766&lt;&gt;""),IF($C766&gt;TODAY(),"İLERİ TARİH","UYGUN"),"EKSİK"))</f>
        <v/>
      </c>
      <c r="P766" s="6" t="n"/>
      <c r="Q766" s="6" t="n"/>
      <c r="R766" s="3" t="n"/>
      <c r="S766" s="3" t="n"/>
      <c r="T766" s="3" t="n"/>
      <c r="U766" s="3" t="n"/>
      <c r="V766" s="3" t="n"/>
      <c r="W766" s="3" t="n"/>
    </row>
    <row r="767">
      <c r="A767" s="6" t="n"/>
      <c r="B767" s="113">
        <f>IF($C767="","","GG"&amp;TEXT(ROW()-6,"00000"))</f>
        <v/>
      </c>
      <c r="C767" s="225" t="n"/>
      <c r="D767" s="108" t="n"/>
      <c r="E767" s="109" t="n"/>
      <c r="F767" s="109" t="n"/>
      <c r="G767" s="226" t="n"/>
      <c r="H767" s="108" t="n"/>
      <c r="I767" s="108" t="n"/>
      <c r="J767" s="109" t="n"/>
      <c r="K767" s="109" t="n"/>
      <c r="L767" s="121">
        <f>IF($C767="","",IF($D767="Gider",$E767,$H767))</f>
        <v/>
      </c>
      <c r="M767" s="121">
        <f>IF($C767="","",IF($D767="Gider",$H767,$E767))</f>
        <v/>
      </c>
      <c r="N767" s="231">
        <f>IF($C767="","",DATE(YEAR($C767),MONTH($C767),1))</f>
        <v/>
      </c>
      <c r="O767" s="113">
        <f>IF($C767="","",IF(AND($D767&lt;&gt;"",$E767&lt;&gt;"",$G767&gt;0,$H767&lt;&gt;"",$I767&lt;&gt;""),IF($C767&gt;TODAY(),"İLERİ TARİH","UYGUN"),"EKSİK"))</f>
        <v/>
      </c>
      <c r="P767" s="6" t="n"/>
      <c r="Q767" s="6" t="n"/>
      <c r="R767" s="3" t="n"/>
      <c r="S767" s="3" t="n"/>
      <c r="T767" s="3" t="n"/>
      <c r="U767" s="3" t="n"/>
      <c r="V767" s="3" t="n"/>
      <c r="W767" s="3" t="n"/>
    </row>
    <row r="768">
      <c r="A768" s="6" t="n"/>
      <c r="B768" s="113">
        <f>IF($C768="","","GG"&amp;TEXT(ROW()-6,"00000"))</f>
        <v/>
      </c>
      <c r="C768" s="225" t="n"/>
      <c r="D768" s="108" t="n"/>
      <c r="E768" s="109" t="n"/>
      <c r="F768" s="109" t="n"/>
      <c r="G768" s="226" t="n"/>
      <c r="H768" s="108" t="n"/>
      <c r="I768" s="108" t="n"/>
      <c r="J768" s="109" t="n"/>
      <c r="K768" s="109" t="n"/>
      <c r="L768" s="121">
        <f>IF($C768="","",IF($D768="Gider",$E768,$H768))</f>
        <v/>
      </c>
      <c r="M768" s="121">
        <f>IF($C768="","",IF($D768="Gider",$H768,$E768))</f>
        <v/>
      </c>
      <c r="N768" s="231">
        <f>IF($C768="","",DATE(YEAR($C768),MONTH($C768),1))</f>
        <v/>
      </c>
      <c r="O768" s="113">
        <f>IF($C768="","",IF(AND($D768&lt;&gt;"",$E768&lt;&gt;"",$G768&gt;0,$H768&lt;&gt;"",$I768&lt;&gt;""),IF($C768&gt;TODAY(),"İLERİ TARİH","UYGUN"),"EKSİK"))</f>
        <v/>
      </c>
      <c r="P768" s="6" t="n"/>
      <c r="Q768" s="6" t="n"/>
      <c r="R768" s="3" t="n"/>
      <c r="S768" s="3" t="n"/>
      <c r="T768" s="3" t="n"/>
      <c r="U768" s="3" t="n"/>
      <c r="V768" s="3" t="n"/>
      <c r="W768" s="3" t="n"/>
    </row>
    <row r="769">
      <c r="A769" s="6" t="n"/>
      <c r="B769" s="113">
        <f>IF($C769="","","GG"&amp;TEXT(ROW()-6,"00000"))</f>
        <v/>
      </c>
      <c r="C769" s="225" t="n"/>
      <c r="D769" s="108" t="n"/>
      <c r="E769" s="109" t="n"/>
      <c r="F769" s="109" t="n"/>
      <c r="G769" s="226" t="n"/>
      <c r="H769" s="108" t="n"/>
      <c r="I769" s="108" t="n"/>
      <c r="J769" s="109" t="n"/>
      <c r="K769" s="109" t="n"/>
      <c r="L769" s="121">
        <f>IF($C769="","",IF($D769="Gider",$E769,$H769))</f>
        <v/>
      </c>
      <c r="M769" s="121">
        <f>IF($C769="","",IF($D769="Gider",$H769,$E769))</f>
        <v/>
      </c>
      <c r="N769" s="231">
        <f>IF($C769="","",DATE(YEAR($C769),MONTH($C769),1))</f>
        <v/>
      </c>
      <c r="O769" s="113">
        <f>IF($C769="","",IF(AND($D769&lt;&gt;"",$E769&lt;&gt;"",$G769&gt;0,$H769&lt;&gt;"",$I769&lt;&gt;""),IF($C769&gt;TODAY(),"İLERİ TARİH","UYGUN"),"EKSİK"))</f>
        <v/>
      </c>
      <c r="P769" s="6" t="n"/>
      <c r="Q769" s="6" t="n"/>
      <c r="R769" s="3" t="n"/>
      <c r="S769" s="3" t="n"/>
      <c r="T769" s="3" t="n"/>
      <c r="U769" s="3" t="n"/>
      <c r="V769" s="3" t="n"/>
      <c r="W769" s="3" t="n"/>
    </row>
    <row r="770">
      <c r="A770" s="6" t="n"/>
      <c r="B770" s="113">
        <f>IF($C770="","","GG"&amp;TEXT(ROW()-6,"00000"))</f>
        <v/>
      </c>
      <c r="C770" s="225" t="n"/>
      <c r="D770" s="108" t="n"/>
      <c r="E770" s="109" t="n"/>
      <c r="F770" s="109" t="n"/>
      <c r="G770" s="226" t="n"/>
      <c r="H770" s="108" t="n"/>
      <c r="I770" s="108" t="n"/>
      <c r="J770" s="109" t="n"/>
      <c r="K770" s="109" t="n"/>
      <c r="L770" s="121">
        <f>IF($C770="","",IF($D770="Gider",$E770,$H770))</f>
        <v/>
      </c>
      <c r="M770" s="121">
        <f>IF($C770="","",IF($D770="Gider",$H770,$E770))</f>
        <v/>
      </c>
      <c r="N770" s="231">
        <f>IF($C770="","",DATE(YEAR($C770),MONTH($C770),1))</f>
        <v/>
      </c>
      <c r="O770" s="113">
        <f>IF($C770="","",IF(AND($D770&lt;&gt;"",$E770&lt;&gt;"",$G770&gt;0,$H770&lt;&gt;"",$I770&lt;&gt;""),IF($C770&gt;TODAY(),"İLERİ TARİH","UYGUN"),"EKSİK"))</f>
        <v/>
      </c>
      <c r="P770" s="6" t="n"/>
      <c r="Q770" s="6" t="n"/>
      <c r="R770" s="3" t="n"/>
      <c r="S770" s="3" t="n"/>
      <c r="T770" s="3" t="n"/>
      <c r="U770" s="3" t="n"/>
      <c r="V770" s="3" t="n"/>
      <c r="W770" s="3" t="n"/>
    </row>
    <row r="771">
      <c r="A771" s="6" t="n"/>
      <c r="B771" s="113">
        <f>IF($C771="","","GG"&amp;TEXT(ROW()-6,"00000"))</f>
        <v/>
      </c>
      <c r="C771" s="225" t="n"/>
      <c r="D771" s="108" t="n"/>
      <c r="E771" s="109" t="n"/>
      <c r="F771" s="109" t="n"/>
      <c r="G771" s="226" t="n"/>
      <c r="H771" s="108" t="n"/>
      <c r="I771" s="108" t="n"/>
      <c r="J771" s="109" t="n"/>
      <c r="K771" s="109" t="n"/>
      <c r="L771" s="121">
        <f>IF($C771="","",IF($D771="Gider",$E771,$H771))</f>
        <v/>
      </c>
      <c r="M771" s="121">
        <f>IF($C771="","",IF($D771="Gider",$H771,$E771))</f>
        <v/>
      </c>
      <c r="N771" s="231">
        <f>IF($C771="","",DATE(YEAR($C771),MONTH($C771),1))</f>
        <v/>
      </c>
      <c r="O771" s="113">
        <f>IF($C771="","",IF(AND($D771&lt;&gt;"",$E771&lt;&gt;"",$G771&gt;0,$H771&lt;&gt;"",$I771&lt;&gt;""),IF($C771&gt;TODAY(),"İLERİ TARİH","UYGUN"),"EKSİK"))</f>
        <v/>
      </c>
      <c r="P771" s="6" t="n"/>
      <c r="Q771" s="6" t="n"/>
      <c r="R771" s="3" t="n"/>
      <c r="S771" s="3" t="n"/>
      <c r="T771" s="3" t="n"/>
      <c r="U771" s="3" t="n"/>
      <c r="V771" s="3" t="n"/>
      <c r="W771" s="3" t="n"/>
    </row>
    <row r="772">
      <c r="A772" s="6" t="n"/>
      <c r="B772" s="113">
        <f>IF($C772="","","GG"&amp;TEXT(ROW()-6,"00000"))</f>
        <v/>
      </c>
      <c r="C772" s="225" t="n"/>
      <c r="D772" s="108" t="n"/>
      <c r="E772" s="109" t="n"/>
      <c r="F772" s="109" t="n"/>
      <c r="G772" s="226" t="n"/>
      <c r="H772" s="108" t="n"/>
      <c r="I772" s="108" t="n"/>
      <c r="J772" s="109" t="n"/>
      <c r="K772" s="109" t="n"/>
      <c r="L772" s="121">
        <f>IF($C772="","",IF($D772="Gider",$E772,$H772))</f>
        <v/>
      </c>
      <c r="M772" s="121">
        <f>IF($C772="","",IF($D772="Gider",$H772,$E772))</f>
        <v/>
      </c>
      <c r="N772" s="231">
        <f>IF($C772="","",DATE(YEAR($C772),MONTH($C772),1))</f>
        <v/>
      </c>
      <c r="O772" s="113">
        <f>IF($C772="","",IF(AND($D772&lt;&gt;"",$E772&lt;&gt;"",$G772&gt;0,$H772&lt;&gt;"",$I772&lt;&gt;""),IF($C772&gt;TODAY(),"İLERİ TARİH","UYGUN"),"EKSİK"))</f>
        <v/>
      </c>
      <c r="P772" s="6" t="n"/>
      <c r="Q772" s="6" t="n"/>
      <c r="R772" s="3" t="n"/>
      <c r="S772" s="3" t="n"/>
      <c r="T772" s="3" t="n"/>
      <c r="U772" s="3" t="n"/>
      <c r="V772" s="3" t="n"/>
      <c r="W772" s="3" t="n"/>
    </row>
    <row r="773">
      <c r="A773" s="6" t="n"/>
      <c r="B773" s="113">
        <f>IF($C773="","","GG"&amp;TEXT(ROW()-6,"00000"))</f>
        <v/>
      </c>
      <c r="C773" s="225" t="n"/>
      <c r="D773" s="108" t="n"/>
      <c r="E773" s="109" t="n"/>
      <c r="F773" s="109" t="n"/>
      <c r="G773" s="226" t="n"/>
      <c r="H773" s="108" t="n"/>
      <c r="I773" s="108" t="n"/>
      <c r="J773" s="109" t="n"/>
      <c r="K773" s="109" t="n"/>
      <c r="L773" s="121">
        <f>IF($C773="","",IF($D773="Gider",$E773,$H773))</f>
        <v/>
      </c>
      <c r="M773" s="121">
        <f>IF($C773="","",IF($D773="Gider",$H773,$E773))</f>
        <v/>
      </c>
      <c r="N773" s="231">
        <f>IF($C773="","",DATE(YEAR($C773),MONTH($C773),1))</f>
        <v/>
      </c>
      <c r="O773" s="113">
        <f>IF($C773="","",IF(AND($D773&lt;&gt;"",$E773&lt;&gt;"",$G773&gt;0,$H773&lt;&gt;"",$I773&lt;&gt;""),IF($C773&gt;TODAY(),"İLERİ TARİH","UYGUN"),"EKSİK"))</f>
        <v/>
      </c>
      <c r="P773" s="6" t="n"/>
      <c r="Q773" s="6" t="n"/>
      <c r="R773" s="3" t="n"/>
      <c r="S773" s="3" t="n"/>
      <c r="T773" s="3" t="n"/>
      <c r="U773" s="3" t="n"/>
      <c r="V773" s="3" t="n"/>
      <c r="W773" s="3" t="n"/>
    </row>
    <row r="774">
      <c r="A774" s="6" t="n"/>
      <c r="B774" s="113">
        <f>IF($C774="","","GG"&amp;TEXT(ROW()-6,"00000"))</f>
        <v/>
      </c>
      <c r="C774" s="225" t="n"/>
      <c r="D774" s="108" t="n"/>
      <c r="E774" s="109" t="n"/>
      <c r="F774" s="109" t="n"/>
      <c r="G774" s="226" t="n"/>
      <c r="H774" s="108" t="n"/>
      <c r="I774" s="108" t="n"/>
      <c r="J774" s="109" t="n"/>
      <c r="K774" s="109" t="n"/>
      <c r="L774" s="121">
        <f>IF($C774="","",IF($D774="Gider",$E774,$H774))</f>
        <v/>
      </c>
      <c r="M774" s="121">
        <f>IF($C774="","",IF($D774="Gider",$H774,$E774))</f>
        <v/>
      </c>
      <c r="N774" s="231">
        <f>IF($C774="","",DATE(YEAR($C774),MONTH($C774),1))</f>
        <v/>
      </c>
      <c r="O774" s="113">
        <f>IF($C774="","",IF(AND($D774&lt;&gt;"",$E774&lt;&gt;"",$G774&gt;0,$H774&lt;&gt;"",$I774&lt;&gt;""),IF($C774&gt;TODAY(),"İLERİ TARİH","UYGUN"),"EKSİK"))</f>
        <v/>
      </c>
      <c r="P774" s="6" t="n"/>
      <c r="Q774" s="6" t="n"/>
      <c r="R774" s="3" t="n"/>
      <c r="S774" s="3" t="n"/>
      <c r="T774" s="3" t="n"/>
      <c r="U774" s="3" t="n"/>
      <c r="V774" s="3" t="n"/>
      <c r="W774" s="3" t="n"/>
    </row>
    <row r="775">
      <c r="A775" s="6" t="n"/>
      <c r="B775" s="113">
        <f>IF($C775="","","GG"&amp;TEXT(ROW()-6,"00000"))</f>
        <v/>
      </c>
      <c r="C775" s="225" t="n"/>
      <c r="D775" s="108" t="n"/>
      <c r="E775" s="109" t="n"/>
      <c r="F775" s="109" t="n"/>
      <c r="G775" s="226" t="n"/>
      <c r="H775" s="108" t="n"/>
      <c r="I775" s="108" t="n"/>
      <c r="J775" s="109" t="n"/>
      <c r="K775" s="109" t="n"/>
      <c r="L775" s="121">
        <f>IF($C775="","",IF($D775="Gider",$E775,$H775))</f>
        <v/>
      </c>
      <c r="M775" s="121">
        <f>IF($C775="","",IF($D775="Gider",$H775,$E775))</f>
        <v/>
      </c>
      <c r="N775" s="231">
        <f>IF($C775="","",DATE(YEAR($C775),MONTH($C775),1))</f>
        <v/>
      </c>
      <c r="O775" s="113">
        <f>IF($C775="","",IF(AND($D775&lt;&gt;"",$E775&lt;&gt;"",$G775&gt;0,$H775&lt;&gt;"",$I775&lt;&gt;""),IF($C775&gt;TODAY(),"İLERİ TARİH","UYGUN"),"EKSİK"))</f>
        <v/>
      </c>
      <c r="P775" s="6" t="n"/>
      <c r="Q775" s="6" t="n"/>
      <c r="R775" s="3" t="n"/>
      <c r="S775" s="3" t="n"/>
      <c r="T775" s="3" t="n"/>
      <c r="U775" s="3" t="n"/>
      <c r="V775" s="3" t="n"/>
      <c r="W775" s="3" t="n"/>
    </row>
    <row r="776">
      <c r="A776" s="6" t="n"/>
      <c r="B776" s="113">
        <f>IF($C776="","","GG"&amp;TEXT(ROW()-6,"00000"))</f>
        <v/>
      </c>
      <c r="C776" s="225" t="n"/>
      <c r="D776" s="108" t="n"/>
      <c r="E776" s="109" t="n"/>
      <c r="F776" s="109" t="n"/>
      <c r="G776" s="226" t="n"/>
      <c r="H776" s="108" t="n"/>
      <c r="I776" s="108" t="n"/>
      <c r="J776" s="109" t="n"/>
      <c r="K776" s="109" t="n"/>
      <c r="L776" s="121">
        <f>IF($C776="","",IF($D776="Gider",$E776,$H776))</f>
        <v/>
      </c>
      <c r="M776" s="121">
        <f>IF($C776="","",IF($D776="Gider",$H776,$E776))</f>
        <v/>
      </c>
      <c r="N776" s="231">
        <f>IF($C776="","",DATE(YEAR($C776),MONTH($C776),1))</f>
        <v/>
      </c>
      <c r="O776" s="113">
        <f>IF($C776="","",IF(AND($D776&lt;&gt;"",$E776&lt;&gt;"",$G776&gt;0,$H776&lt;&gt;"",$I776&lt;&gt;""),IF($C776&gt;TODAY(),"İLERİ TARİH","UYGUN"),"EKSİK"))</f>
        <v/>
      </c>
      <c r="P776" s="6" t="n"/>
      <c r="Q776" s="6" t="n"/>
      <c r="R776" s="3" t="n"/>
      <c r="S776" s="3" t="n"/>
      <c r="T776" s="3" t="n"/>
      <c r="U776" s="3" t="n"/>
      <c r="V776" s="3" t="n"/>
      <c r="W776" s="3" t="n"/>
    </row>
    <row r="777">
      <c r="A777" s="6" t="n"/>
      <c r="B777" s="113">
        <f>IF($C777="","","GG"&amp;TEXT(ROW()-6,"00000"))</f>
        <v/>
      </c>
      <c r="C777" s="225" t="n"/>
      <c r="D777" s="108" t="n"/>
      <c r="E777" s="109" t="n"/>
      <c r="F777" s="109" t="n"/>
      <c r="G777" s="226" t="n"/>
      <c r="H777" s="108" t="n"/>
      <c r="I777" s="108" t="n"/>
      <c r="J777" s="109" t="n"/>
      <c r="K777" s="109" t="n"/>
      <c r="L777" s="121">
        <f>IF($C777="","",IF($D777="Gider",$E777,$H777))</f>
        <v/>
      </c>
      <c r="M777" s="121">
        <f>IF($C777="","",IF($D777="Gider",$H777,$E777))</f>
        <v/>
      </c>
      <c r="N777" s="231">
        <f>IF($C777="","",DATE(YEAR($C777),MONTH($C777),1))</f>
        <v/>
      </c>
      <c r="O777" s="113">
        <f>IF($C777="","",IF(AND($D777&lt;&gt;"",$E777&lt;&gt;"",$G777&gt;0,$H777&lt;&gt;"",$I777&lt;&gt;""),IF($C777&gt;TODAY(),"İLERİ TARİH","UYGUN"),"EKSİK"))</f>
        <v/>
      </c>
      <c r="P777" s="6" t="n"/>
      <c r="Q777" s="6" t="n"/>
      <c r="R777" s="3" t="n"/>
      <c r="S777" s="3" t="n"/>
      <c r="T777" s="3" t="n"/>
      <c r="U777" s="3" t="n"/>
      <c r="V777" s="3" t="n"/>
      <c r="W777" s="3" t="n"/>
    </row>
    <row r="778">
      <c r="A778" s="6" t="n"/>
      <c r="B778" s="113">
        <f>IF($C778="","","GG"&amp;TEXT(ROW()-6,"00000"))</f>
        <v/>
      </c>
      <c r="C778" s="225" t="n"/>
      <c r="D778" s="108" t="n"/>
      <c r="E778" s="109" t="n"/>
      <c r="F778" s="109" t="n"/>
      <c r="G778" s="226" t="n"/>
      <c r="H778" s="108" t="n"/>
      <c r="I778" s="108" t="n"/>
      <c r="J778" s="109" t="n"/>
      <c r="K778" s="109" t="n"/>
      <c r="L778" s="121">
        <f>IF($C778="","",IF($D778="Gider",$E778,$H778))</f>
        <v/>
      </c>
      <c r="M778" s="121">
        <f>IF($C778="","",IF($D778="Gider",$H778,$E778))</f>
        <v/>
      </c>
      <c r="N778" s="231">
        <f>IF($C778="","",DATE(YEAR($C778),MONTH($C778),1))</f>
        <v/>
      </c>
      <c r="O778" s="113">
        <f>IF($C778="","",IF(AND($D778&lt;&gt;"",$E778&lt;&gt;"",$G778&gt;0,$H778&lt;&gt;"",$I778&lt;&gt;""),IF($C778&gt;TODAY(),"İLERİ TARİH","UYGUN"),"EKSİK"))</f>
        <v/>
      </c>
      <c r="P778" s="6" t="n"/>
      <c r="Q778" s="6" t="n"/>
      <c r="R778" s="3" t="n"/>
      <c r="S778" s="3" t="n"/>
      <c r="T778" s="3" t="n"/>
      <c r="U778" s="3" t="n"/>
      <c r="V778" s="3" t="n"/>
      <c r="W778" s="3" t="n"/>
    </row>
    <row r="779">
      <c r="A779" s="6" t="n"/>
      <c r="B779" s="113">
        <f>IF($C779="","","GG"&amp;TEXT(ROW()-6,"00000"))</f>
        <v/>
      </c>
      <c r="C779" s="225" t="n"/>
      <c r="D779" s="108" t="n"/>
      <c r="E779" s="109" t="n"/>
      <c r="F779" s="109" t="n"/>
      <c r="G779" s="226" t="n"/>
      <c r="H779" s="108" t="n"/>
      <c r="I779" s="108" t="n"/>
      <c r="J779" s="109" t="n"/>
      <c r="K779" s="109" t="n"/>
      <c r="L779" s="121">
        <f>IF($C779="","",IF($D779="Gider",$E779,$H779))</f>
        <v/>
      </c>
      <c r="M779" s="121">
        <f>IF($C779="","",IF($D779="Gider",$H779,$E779))</f>
        <v/>
      </c>
      <c r="N779" s="231">
        <f>IF($C779="","",DATE(YEAR($C779),MONTH($C779),1))</f>
        <v/>
      </c>
      <c r="O779" s="113">
        <f>IF($C779="","",IF(AND($D779&lt;&gt;"",$E779&lt;&gt;"",$G779&gt;0,$H779&lt;&gt;"",$I779&lt;&gt;""),IF($C779&gt;TODAY(),"İLERİ TARİH","UYGUN"),"EKSİK"))</f>
        <v/>
      </c>
      <c r="P779" s="6" t="n"/>
      <c r="Q779" s="6" t="n"/>
      <c r="R779" s="3" t="n"/>
      <c r="S779" s="3" t="n"/>
      <c r="T779" s="3" t="n"/>
      <c r="U779" s="3" t="n"/>
      <c r="V779" s="3" t="n"/>
      <c r="W779" s="3" t="n"/>
    </row>
    <row r="780">
      <c r="A780" s="6" t="n"/>
      <c r="B780" s="113">
        <f>IF($C780="","","GG"&amp;TEXT(ROW()-6,"00000"))</f>
        <v/>
      </c>
      <c r="C780" s="225" t="n"/>
      <c r="D780" s="108" t="n"/>
      <c r="E780" s="109" t="n"/>
      <c r="F780" s="109" t="n"/>
      <c r="G780" s="226" t="n"/>
      <c r="H780" s="108" t="n"/>
      <c r="I780" s="108" t="n"/>
      <c r="J780" s="109" t="n"/>
      <c r="K780" s="109" t="n"/>
      <c r="L780" s="121">
        <f>IF($C780="","",IF($D780="Gider",$E780,$H780))</f>
        <v/>
      </c>
      <c r="M780" s="121">
        <f>IF($C780="","",IF($D780="Gider",$H780,$E780))</f>
        <v/>
      </c>
      <c r="N780" s="231">
        <f>IF($C780="","",DATE(YEAR($C780),MONTH($C780),1))</f>
        <v/>
      </c>
      <c r="O780" s="113">
        <f>IF($C780="","",IF(AND($D780&lt;&gt;"",$E780&lt;&gt;"",$G780&gt;0,$H780&lt;&gt;"",$I780&lt;&gt;""),IF($C780&gt;TODAY(),"İLERİ TARİH","UYGUN"),"EKSİK"))</f>
        <v/>
      </c>
      <c r="P780" s="6" t="n"/>
      <c r="Q780" s="6" t="n"/>
      <c r="R780" s="3" t="n"/>
      <c r="S780" s="3" t="n"/>
      <c r="T780" s="3" t="n"/>
      <c r="U780" s="3" t="n"/>
      <c r="V780" s="3" t="n"/>
      <c r="W780" s="3" t="n"/>
    </row>
    <row r="781">
      <c r="A781" s="6" t="n"/>
      <c r="B781" s="113">
        <f>IF($C781="","","GG"&amp;TEXT(ROW()-6,"00000"))</f>
        <v/>
      </c>
      <c r="C781" s="225" t="n"/>
      <c r="D781" s="108" t="n"/>
      <c r="E781" s="109" t="n"/>
      <c r="F781" s="109" t="n"/>
      <c r="G781" s="226" t="n"/>
      <c r="H781" s="108" t="n"/>
      <c r="I781" s="108" t="n"/>
      <c r="J781" s="109" t="n"/>
      <c r="K781" s="109" t="n"/>
      <c r="L781" s="121">
        <f>IF($C781="","",IF($D781="Gider",$E781,$H781))</f>
        <v/>
      </c>
      <c r="M781" s="121">
        <f>IF($C781="","",IF($D781="Gider",$H781,$E781))</f>
        <v/>
      </c>
      <c r="N781" s="231">
        <f>IF($C781="","",DATE(YEAR($C781),MONTH($C781),1))</f>
        <v/>
      </c>
      <c r="O781" s="113">
        <f>IF($C781="","",IF(AND($D781&lt;&gt;"",$E781&lt;&gt;"",$G781&gt;0,$H781&lt;&gt;"",$I781&lt;&gt;""),IF($C781&gt;TODAY(),"İLERİ TARİH","UYGUN"),"EKSİK"))</f>
        <v/>
      </c>
      <c r="P781" s="6" t="n"/>
      <c r="Q781" s="6" t="n"/>
      <c r="R781" s="3" t="n"/>
      <c r="S781" s="3" t="n"/>
      <c r="T781" s="3" t="n"/>
      <c r="U781" s="3" t="n"/>
      <c r="V781" s="3" t="n"/>
      <c r="W781" s="3" t="n"/>
    </row>
    <row r="782">
      <c r="A782" s="6" t="n"/>
      <c r="B782" s="113">
        <f>IF($C782="","","GG"&amp;TEXT(ROW()-6,"00000"))</f>
        <v/>
      </c>
      <c r="C782" s="225" t="n"/>
      <c r="D782" s="108" t="n"/>
      <c r="E782" s="109" t="n"/>
      <c r="F782" s="109" t="n"/>
      <c r="G782" s="226" t="n"/>
      <c r="H782" s="108" t="n"/>
      <c r="I782" s="108" t="n"/>
      <c r="J782" s="109" t="n"/>
      <c r="K782" s="109" t="n"/>
      <c r="L782" s="121">
        <f>IF($C782="","",IF($D782="Gider",$E782,$H782))</f>
        <v/>
      </c>
      <c r="M782" s="121">
        <f>IF($C782="","",IF($D782="Gider",$H782,$E782))</f>
        <v/>
      </c>
      <c r="N782" s="231">
        <f>IF($C782="","",DATE(YEAR($C782),MONTH($C782),1))</f>
        <v/>
      </c>
      <c r="O782" s="113">
        <f>IF($C782="","",IF(AND($D782&lt;&gt;"",$E782&lt;&gt;"",$G782&gt;0,$H782&lt;&gt;"",$I782&lt;&gt;""),IF($C782&gt;TODAY(),"İLERİ TARİH","UYGUN"),"EKSİK"))</f>
        <v/>
      </c>
      <c r="P782" s="6" t="n"/>
      <c r="Q782" s="6" t="n"/>
      <c r="R782" s="3" t="n"/>
      <c r="S782" s="3" t="n"/>
      <c r="T782" s="3" t="n"/>
      <c r="U782" s="3" t="n"/>
      <c r="V782" s="3" t="n"/>
      <c r="W782" s="3" t="n"/>
    </row>
    <row r="783">
      <c r="A783" s="6" t="n"/>
      <c r="B783" s="113">
        <f>IF($C783="","","GG"&amp;TEXT(ROW()-6,"00000"))</f>
        <v/>
      </c>
      <c r="C783" s="225" t="n"/>
      <c r="D783" s="108" t="n"/>
      <c r="E783" s="109" t="n"/>
      <c r="F783" s="109" t="n"/>
      <c r="G783" s="226" t="n"/>
      <c r="H783" s="108" t="n"/>
      <c r="I783" s="108" t="n"/>
      <c r="J783" s="109" t="n"/>
      <c r="K783" s="109" t="n"/>
      <c r="L783" s="121">
        <f>IF($C783="","",IF($D783="Gider",$E783,$H783))</f>
        <v/>
      </c>
      <c r="M783" s="121">
        <f>IF($C783="","",IF($D783="Gider",$H783,$E783))</f>
        <v/>
      </c>
      <c r="N783" s="231">
        <f>IF($C783="","",DATE(YEAR($C783),MONTH($C783),1))</f>
        <v/>
      </c>
      <c r="O783" s="113">
        <f>IF($C783="","",IF(AND($D783&lt;&gt;"",$E783&lt;&gt;"",$G783&gt;0,$H783&lt;&gt;"",$I783&lt;&gt;""),IF($C783&gt;TODAY(),"İLERİ TARİH","UYGUN"),"EKSİK"))</f>
        <v/>
      </c>
      <c r="P783" s="6" t="n"/>
      <c r="Q783" s="6" t="n"/>
      <c r="R783" s="3" t="n"/>
      <c r="S783" s="3" t="n"/>
      <c r="T783" s="3" t="n"/>
      <c r="U783" s="3" t="n"/>
      <c r="V783" s="3" t="n"/>
      <c r="W783" s="3" t="n"/>
    </row>
    <row r="784">
      <c r="A784" s="6" t="n"/>
      <c r="B784" s="113">
        <f>IF($C784="","","GG"&amp;TEXT(ROW()-6,"00000"))</f>
        <v/>
      </c>
      <c r="C784" s="225" t="n"/>
      <c r="D784" s="108" t="n"/>
      <c r="E784" s="109" t="n"/>
      <c r="F784" s="109" t="n"/>
      <c r="G784" s="226" t="n"/>
      <c r="H784" s="108" t="n"/>
      <c r="I784" s="108" t="n"/>
      <c r="J784" s="109" t="n"/>
      <c r="K784" s="109" t="n"/>
      <c r="L784" s="121">
        <f>IF($C784="","",IF($D784="Gider",$E784,$H784))</f>
        <v/>
      </c>
      <c r="M784" s="121">
        <f>IF($C784="","",IF($D784="Gider",$H784,$E784))</f>
        <v/>
      </c>
      <c r="N784" s="231">
        <f>IF($C784="","",DATE(YEAR($C784),MONTH($C784),1))</f>
        <v/>
      </c>
      <c r="O784" s="113">
        <f>IF($C784="","",IF(AND($D784&lt;&gt;"",$E784&lt;&gt;"",$G784&gt;0,$H784&lt;&gt;"",$I784&lt;&gt;""),IF($C784&gt;TODAY(),"İLERİ TARİH","UYGUN"),"EKSİK"))</f>
        <v/>
      </c>
      <c r="P784" s="6" t="n"/>
      <c r="Q784" s="6" t="n"/>
      <c r="R784" s="3" t="n"/>
      <c r="S784" s="3" t="n"/>
      <c r="T784" s="3" t="n"/>
      <c r="U784" s="3" t="n"/>
      <c r="V784" s="3" t="n"/>
      <c r="W784" s="3" t="n"/>
    </row>
    <row r="785">
      <c r="A785" s="6" t="n"/>
      <c r="B785" s="113">
        <f>IF($C785="","","GG"&amp;TEXT(ROW()-6,"00000"))</f>
        <v/>
      </c>
      <c r="C785" s="225" t="n"/>
      <c r="D785" s="108" t="n"/>
      <c r="E785" s="109" t="n"/>
      <c r="F785" s="109" t="n"/>
      <c r="G785" s="226" t="n"/>
      <c r="H785" s="108" t="n"/>
      <c r="I785" s="108" t="n"/>
      <c r="J785" s="109" t="n"/>
      <c r="K785" s="109" t="n"/>
      <c r="L785" s="121">
        <f>IF($C785="","",IF($D785="Gider",$E785,$H785))</f>
        <v/>
      </c>
      <c r="M785" s="121">
        <f>IF($C785="","",IF($D785="Gider",$H785,$E785))</f>
        <v/>
      </c>
      <c r="N785" s="231">
        <f>IF($C785="","",DATE(YEAR($C785),MONTH($C785),1))</f>
        <v/>
      </c>
      <c r="O785" s="113">
        <f>IF($C785="","",IF(AND($D785&lt;&gt;"",$E785&lt;&gt;"",$G785&gt;0,$H785&lt;&gt;"",$I785&lt;&gt;""),IF($C785&gt;TODAY(),"İLERİ TARİH","UYGUN"),"EKSİK"))</f>
        <v/>
      </c>
      <c r="P785" s="6" t="n"/>
      <c r="Q785" s="6" t="n"/>
      <c r="R785" s="3" t="n"/>
      <c r="S785" s="3" t="n"/>
      <c r="T785" s="3" t="n"/>
      <c r="U785" s="3" t="n"/>
      <c r="V785" s="3" t="n"/>
      <c r="W785" s="3" t="n"/>
    </row>
    <row r="786">
      <c r="A786" s="6" t="n"/>
      <c r="B786" s="113">
        <f>IF($C786="","","GG"&amp;TEXT(ROW()-6,"00000"))</f>
        <v/>
      </c>
      <c r="C786" s="225" t="n"/>
      <c r="D786" s="108" t="n"/>
      <c r="E786" s="109" t="n"/>
      <c r="F786" s="109" t="n"/>
      <c r="G786" s="226" t="n"/>
      <c r="H786" s="108" t="n"/>
      <c r="I786" s="108" t="n"/>
      <c r="J786" s="109" t="n"/>
      <c r="K786" s="109" t="n"/>
      <c r="L786" s="121">
        <f>IF($C786="","",IF($D786="Gider",$E786,$H786))</f>
        <v/>
      </c>
      <c r="M786" s="121">
        <f>IF($C786="","",IF($D786="Gider",$H786,$E786))</f>
        <v/>
      </c>
      <c r="N786" s="231">
        <f>IF($C786="","",DATE(YEAR($C786),MONTH($C786),1))</f>
        <v/>
      </c>
      <c r="O786" s="113">
        <f>IF($C786="","",IF(AND($D786&lt;&gt;"",$E786&lt;&gt;"",$G786&gt;0,$H786&lt;&gt;"",$I786&lt;&gt;""),IF($C786&gt;TODAY(),"İLERİ TARİH","UYGUN"),"EKSİK"))</f>
        <v/>
      </c>
      <c r="P786" s="6" t="n"/>
      <c r="Q786" s="6" t="n"/>
      <c r="R786" s="3" t="n"/>
      <c r="S786" s="3" t="n"/>
      <c r="T786" s="3" t="n"/>
      <c r="U786" s="3" t="n"/>
      <c r="V786" s="3" t="n"/>
      <c r="W786" s="3" t="n"/>
    </row>
    <row r="787">
      <c r="A787" s="6" t="n"/>
      <c r="B787" s="113">
        <f>IF($C787="","","GG"&amp;TEXT(ROW()-6,"00000"))</f>
        <v/>
      </c>
      <c r="C787" s="225" t="n"/>
      <c r="D787" s="108" t="n"/>
      <c r="E787" s="109" t="n"/>
      <c r="F787" s="109" t="n"/>
      <c r="G787" s="226" t="n"/>
      <c r="H787" s="108" t="n"/>
      <c r="I787" s="108" t="n"/>
      <c r="J787" s="109" t="n"/>
      <c r="K787" s="109" t="n"/>
      <c r="L787" s="121">
        <f>IF($C787="","",IF($D787="Gider",$E787,$H787))</f>
        <v/>
      </c>
      <c r="M787" s="121">
        <f>IF($C787="","",IF($D787="Gider",$H787,$E787))</f>
        <v/>
      </c>
      <c r="N787" s="231">
        <f>IF($C787="","",DATE(YEAR($C787),MONTH($C787),1))</f>
        <v/>
      </c>
      <c r="O787" s="113">
        <f>IF($C787="","",IF(AND($D787&lt;&gt;"",$E787&lt;&gt;"",$G787&gt;0,$H787&lt;&gt;"",$I787&lt;&gt;""),IF($C787&gt;TODAY(),"İLERİ TARİH","UYGUN"),"EKSİK"))</f>
        <v/>
      </c>
      <c r="P787" s="6" t="n"/>
      <c r="Q787" s="6" t="n"/>
      <c r="R787" s="3" t="n"/>
      <c r="S787" s="3" t="n"/>
      <c r="T787" s="3" t="n"/>
      <c r="U787" s="3" t="n"/>
      <c r="V787" s="3" t="n"/>
      <c r="W787" s="3" t="n"/>
    </row>
    <row r="788">
      <c r="A788" s="6" t="n"/>
      <c r="B788" s="113">
        <f>IF($C788="","","GG"&amp;TEXT(ROW()-6,"00000"))</f>
        <v/>
      </c>
      <c r="C788" s="225" t="n"/>
      <c r="D788" s="108" t="n"/>
      <c r="E788" s="109" t="n"/>
      <c r="F788" s="109" t="n"/>
      <c r="G788" s="226" t="n"/>
      <c r="H788" s="108" t="n"/>
      <c r="I788" s="108" t="n"/>
      <c r="J788" s="109" t="n"/>
      <c r="K788" s="109" t="n"/>
      <c r="L788" s="121">
        <f>IF($C788="","",IF($D788="Gider",$E788,$H788))</f>
        <v/>
      </c>
      <c r="M788" s="121">
        <f>IF($C788="","",IF($D788="Gider",$H788,$E788))</f>
        <v/>
      </c>
      <c r="N788" s="231">
        <f>IF($C788="","",DATE(YEAR($C788),MONTH($C788),1))</f>
        <v/>
      </c>
      <c r="O788" s="113">
        <f>IF($C788="","",IF(AND($D788&lt;&gt;"",$E788&lt;&gt;"",$G788&gt;0,$H788&lt;&gt;"",$I788&lt;&gt;""),IF($C788&gt;TODAY(),"İLERİ TARİH","UYGUN"),"EKSİK"))</f>
        <v/>
      </c>
      <c r="P788" s="6" t="n"/>
      <c r="Q788" s="6" t="n"/>
      <c r="R788" s="3" t="n"/>
      <c r="S788" s="3" t="n"/>
      <c r="T788" s="3" t="n"/>
      <c r="U788" s="3" t="n"/>
      <c r="V788" s="3" t="n"/>
      <c r="W788" s="3" t="n"/>
    </row>
    <row r="789">
      <c r="A789" s="6" t="n"/>
      <c r="B789" s="113">
        <f>IF($C789="","","GG"&amp;TEXT(ROW()-6,"00000"))</f>
        <v/>
      </c>
      <c r="C789" s="225" t="n"/>
      <c r="D789" s="108" t="n"/>
      <c r="E789" s="109" t="n"/>
      <c r="F789" s="109" t="n"/>
      <c r="G789" s="226" t="n"/>
      <c r="H789" s="108" t="n"/>
      <c r="I789" s="108" t="n"/>
      <c r="J789" s="109" t="n"/>
      <c r="K789" s="109" t="n"/>
      <c r="L789" s="121">
        <f>IF($C789="","",IF($D789="Gider",$E789,$H789))</f>
        <v/>
      </c>
      <c r="M789" s="121">
        <f>IF($C789="","",IF($D789="Gider",$H789,$E789))</f>
        <v/>
      </c>
      <c r="N789" s="231">
        <f>IF($C789="","",DATE(YEAR($C789),MONTH($C789),1))</f>
        <v/>
      </c>
      <c r="O789" s="113">
        <f>IF($C789="","",IF(AND($D789&lt;&gt;"",$E789&lt;&gt;"",$G789&gt;0,$H789&lt;&gt;"",$I789&lt;&gt;""),IF($C789&gt;TODAY(),"İLERİ TARİH","UYGUN"),"EKSİK"))</f>
        <v/>
      </c>
      <c r="P789" s="6" t="n"/>
      <c r="Q789" s="6" t="n"/>
      <c r="R789" s="3" t="n"/>
      <c r="S789" s="3" t="n"/>
      <c r="T789" s="3" t="n"/>
      <c r="U789" s="3" t="n"/>
      <c r="V789" s="3" t="n"/>
      <c r="W789" s="3" t="n"/>
    </row>
    <row r="790">
      <c r="A790" s="6" t="n"/>
      <c r="B790" s="113">
        <f>IF($C790="","","GG"&amp;TEXT(ROW()-6,"00000"))</f>
        <v/>
      </c>
      <c r="C790" s="225" t="n"/>
      <c r="D790" s="108" t="n"/>
      <c r="E790" s="109" t="n"/>
      <c r="F790" s="109" t="n"/>
      <c r="G790" s="226" t="n"/>
      <c r="H790" s="108" t="n"/>
      <c r="I790" s="108" t="n"/>
      <c r="J790" s="109" t="n"/>
      <c r="K790" s="109" t="n"/>
      <c r="L790" s="121">
        <f>IF($C790="","",IF($D790="Gider",$E790,$H790))</f>
        <v/>
      </c>
      <c r="M790" s="121">
        <f>IF($C790="","",IF($D790="Gider",$H790,$E790))</f>
        <v/>
      </c>
      <c r="N790" s="231">
        <f>IF($C790="","",DATE(YEAR($C790),MONTH($C790),1))</f>
        <v/>
      </c>
      <c r="O790" s="113">
        <f>IF($C790="","",IF(AND($D790&lt;&gt;"",$E790&lt;&gt;"",$G790&gt;0,$H790&lt;&gt;"",$I790&lt;&gt;""),IF($C790&gt;TODAY(),"İLERİ TARİH","UYGUN"),"EKSİK"))</f>
        <v/>
      </c>
      <c r="P790" s="6" t="n"/>
      <c r="Q790" s="6" t="n"/>
      <c r="R790" s="3" t="n"/>
      <c r="S790" s="3" t="n"/>
      <c r="T790" s="3" t="n"/>
      <c r="U790" s="3" t="n"/>
      <c r="V790" s="3" t="n"/>
      <c r="W790" s="3" t="n"/>
    </row>
    <row r="791">
      <c r="A791" s="6" t="n"/>
      <c r="B791" s="113">
        <f>IF($C791="","","GG"&amp;TEXT(ROW()-6,"00000"))</f>
        <v/>
      </c>
      <c r="C791" s="225" t="n"/>
      <c r="D791" s="108" t="n"/>
      <c r="E791" s="109" t="n"/>
      <c r="F791" s="109" t="n"/>
      <c r="G791" s="226" t="n"/>
      <c r="H791" s="108" t="n"/>
      <c r="I791" s="108" t="n"/>
      <c r="J791" s="109" t="n"/>
      <c r="K791" s="109" t="n"/>
      <c r="L791" s="121">
        <f>IF($C791="","",IF($D791="Gider",$E791,$H791))</f>
        <v/>
      </c>
      <c r="M791" s="121">
        <f>IF($C791="","",IF($D791="Gider",$H791,$E791))</f>
        <v/>
      </c>
      <c r="N791" s="231">
        <f>IF($C791="","",DATE(YEAR($C791),MONTH($C791),1))</f>
        <v/>
      </c>
      <c r="O791" s="113">
        <f>IF($C791="","",IF(AND($D791&lt;&gt;"",$E791&lt;&gt;"",$G791&gt;0,$H791&lt;&gt;"",$I791&lt;&gt;""),IF($C791&gt;TODAY(),"İLERİ TARİH","UYGUN"),"EKSİK"))</f>
        <v/>
      </c>
      <c r="P791" s="6" t="n"/>
      <c r="Q791" s="6" t="n"/>
      <c r="R791" s="3" t="n"/>
      <c r="S791" s="3" t="n"/>
      <c r="T791" s="3" t="n"/>
      <c r="U791" s="3" t="n"/>
      <c r="V791" s="3" t="n"/>
      <c r="W791" s="3" t="n"/>
    </row>
    <row r="792">
      <c r="A792" s="6" t="n"/>
      <c r="B792" s="113">
        <f>IF($C792="","","GG"&amp;TEXT(ROW()-6,"00000"))</f>
        <v/>
      </c>
      <c r="C792" s="225" t="n"/>
      <c r="D792" s="108" t="n"/>
      <c r="E792" s="109" t="n"/>
      <c r="F792" s="109" t="n"/>
      <c r="G792" s="226" t="n"/>
      <c r="H792" s="108" t="n"/>
      <c r="I792" s="108" t="n"/>
      <c r="J792" s="109" t="n"/>
      <c r="K792" s="109" t="n"/>
      <c r="L792" s="121">
        <f>IF($C792="","",IF($D792="Gider",$E792,$H792))</f>
        <v/>
      </c>
      <c r="M792" s="121">
        <f>IF($C792="","",IF($D792="Gider",$H792,$E792))</f>
        <v/>
      </c>
      <c r="N792" s="231">
        <f>IF($C792="","",DATE(YEAR($C792),MONTH($C792),1))</f>
        <v/>
      </c>
      <c r="O792" s="113">
        <f>IF($C792="","",IF(AND($D792&lt;&gt;"",$E792&lt;&gt;"",$G792&gt;0,$H792&lt;&gt;"",$I792&lt;&gt;""),IF($C792&gt;TODAY(),"İLERİ TARİH","UYGUN"),"EKSİK"))</f>
        <v/>
      </c>
      <c r="P792" s="6" t="n"/>
      <c r="Q792" s="6" t="n"/>
      <c r="R792" s="3" t="n"/>
      <c r="S792" s="3" t="n"/>
      <c r="T792" s="3" t="n"/>
      <c r="U792" s="3" t="n"/>
      <c r="V792" s="3" t="n"/>
      <c r="W792" s="3" t="n"/>
    </row>
    <row r="793">
      <c r="A793" s="6" t="n"/>
      <c r="B793" s="113">
        <f>IF($C793="","","GG"&amp;TEXT(ROW()-6,"00000"))</f>
        <v/>
      </c>
      <c r="C793" s="225" t="n"/>
      <c r="D793" s="108" t="n"/>
      <c r="E793" s="109" t="n"/>
      <c r="F793" s="109" t="n"/>
      <c r="G793" s="226" t="n"/>
      <c r="H793" s="108" t="n"/>
      <c r="I793" s="108" t="n"/>
      <c r="J793" s="109" t="n"/>
      <c r="K793" s="109" t="n"/>
      <c r="L793" s="121">
        <f>IF($C793="","",IF($D793="Gider",$E793,$H793))</f>
        <v/>
      </c>
      <c r="M793" s="121">
        <f>IF($C793="","",IF($D793="Gider",$H793,$E793))</f>
        <v/>
      </c>
      <c r="N793" s="231">
        <f>IF($C793="","",DATE(YEAR($C793),MONTH($C793),1))</f>
        <v/>
      </c>
      <c r="O793" s="113">
        <f>IF($C793="","",IF(AND($D793&lt;&gt;"",$E793&lt;&gt;"",$G793&gt;0,$H793&lt;&gt;"",$I793&lt;&gt;""),IF($C793&gt;TODAY(),"İLERİ TARİH","UYGUN"),"EKSİK"))</f>
        <v/>
      </c>
      <c r="P793" s="6" t="n"/>
      <c r="Q793" s="6" t="n"/>
      <c r="R793" s="3" t="n"/>
      <c r="S793" s="3" t="n"/>
      <c r="T793" s="3" t="n"/>
      <c r="U793" s="3" t="n"/>
      <c r="V793" s="3" t="n"/>
      <c r="W793" s="3" t="n"/>
    </row>
    <row r="794">
      <c r="A794" s="6" t="n"/>
      <c r="B794" s="113">
        <f>IF($C794="","","GG"&amp;TEXT(ROW()-6,"00000"))</f>
        <v/>
      </c>
      <c r="C794" s="225" t="n"/>
      <c r="D794" s="108" t="n"/>
      <c r="E794" s="109" t="n"/>
      <c r="F794" s="109" t="n"/>
      <c r="G794" s="226" t="n"/>
      <c r="H794" s="108" t="n"/>
      <c r="I794" s="108" t="n"/>
      <c r="J794" s="109" t="n"/>
      <c r="K794" s="109" t="n"/>
      <c r="L794" s="121">
        <f>IF($C794="","",IF($D794="Gider",$E794,$H794))</f>
        <v/>
      </c>
      <c r="M794" s="121">
        <f>IF($C794="","",IF($D794="Gider",$H794,$E794))</f>
        <v/>
      </c>
      <c r="N794" s="231">
        <f>IF($C794="","",DATE(YEAR($C794),MONTH($C794),1))</f>
        <v/>
      </c>
      <c r="O794" s="113">
        <f>IF($C794="","",IF(AND($D794&lt;&gt;"",$E794&lt;&gt;"",$G794&gt;0,$H794&lt;&gt;"",$I794&lt;&gt;""),IF($C794&gt;TODAY(),"İLERİ TARİH","UYGUN"),"EKSİK"))</f>
        <v/>
      </c>
      <c r="P794" s="6" t="n"/>
      <c r="Q794" s="6" t="n"/>
      <c r="R794" s="3" t="n"/>
      <c r="S794" s="3" t="n"/>
      <c r="T794" s="3" t="n"/>
      <c r="U794" s="3" t="n"/>
      <c r="V794" s="3" t="n"/>
      <c r="W794" s="3" t="n"/>
    </row>
    <row r="795">
      <c r="A795" s="6" t="n"/>
      <c r="B795" s="113">
        <f>IF($C795="","","GG"&amp;TEXT(ROW()-6,"00000"))</f>
        <v/>
      </c>
      <c r="C795" s="225" t="n"/>
      <c r="D795" s="108" t="n"/>
      <c r="E795" s="109" t="n"/>
      <c r="F795" s="109" t="n"/>
      <c r="G795" s="226" t="n"/>
      <c r="H795" s="108" t="n"/>
      <c r="I795" s="108" t="n"/>
      <c r="J795" s="109" t="n"/>
      <c r="K795" s="109" t="n"/>
      <c r="L795" s="121">
        <f>IF($C795="","",IF($D795="Gider",$E795,$H795))</f>
        <v/>
      </c>
      <c r="M795" s="121">
        <f>IF($C795="","",IF($D795="Gider",$H795,$E795))</f>
        <v/>
      </c>
      <c r="N795" s="231">
        <f>IF($C795="","",DATE(YEAR($C795),MONTH($C795),1))</f>
        <v/>
      </c>
      <c r="O795" s="113">
        <f>IF($C795="","",IF(AND($D795&lt;&gt;"",$E795&lt;&gt;"",$G795&gt;0,$H795&lt;&gt;"",$I795&lt;&gt;""),IF($C795&gt;TODAY(),"İLERİ TARİH","UYGUN"),"EKSİK"))</f>
        <v/>
      </c>
      <c r="P795" s="6" t="n"/>
      <c r="Q795" s="6" t="n"/>
      <c r="R795" s="3" t="n"/>
      <c r="S795" s="3" t="n"/>
      <c r="T795" s="3" t="n"/>
      <c r="U795" s="3" t="n"/>
      <c r="V795" s="3" t="n"/>
      <c r="W795" s="3" t="n"/>
    </row>
    <row r="796">
      <c r="A796" s="6" t="n"/>
      <c r="B796" s="113">
        <f>IF($C796="","","GG"&amp;TEXT(ROW()-6,"00000"))</f>
        <v/>
      </c>
      <c r="C796" s="225" t="n"/>
      <c r="D796" s="108" t="n"/>
      <c r="E796" s="109" t="n"/>
      <c r="F796" s="109" t="n"/>
      <c r="G796" s="226" t="n"/>
      <c r="H796" s="108" t="n"/>
      <c r="I796" s="108" t="n"/>
      <c r="J796" s="109" t="n"/>
      <c r="K796" s="109" t="n"/>
      <c r="L796" s="121">
        <f>IF($C796="","",IF($D796="Gider",$E796,$H796))</f>
        <v/>
      </c>
      <c r="M796" s="121">
        <f>IF($C796="","",IF($D796="Gider",$H796,$E796))</f>
        <v/>
      </c>
      <c r="N796" s="231">
        <f>IF($C796="","",DATE(YEAR($C796),MONTH($C796),1))</f>
        <v/>
      </c>
      <c r="O796" s="113">
        <f>IF($C796="","",IF(AND($D796&lt;&gt;"",$E796&lt;&gt;"",$G796&gt;0,$H796&lt;&gt;"",$I796&lt;&gt;""),IF($C796&gt;TODAY(),"İLERİ TARİH","UYGUN"),"EKSİK"))</f>
        <v/>
      </c>
      <c r="P796" s="6" t="n"/>
      <c r="Q796" s="6" t="n"/>
      <c r="R796" s="3" t="n"/>
      <c r="S796" s="3" t="n"/>
      <c r="T796" s="3" t="n"/>
      <c r="U796" s="3" t="n"/>
      <c r="V796" s="3" t="n"/>
      <c r="W796" s="3" t="n"/>
    </row>
    <row r="797">
      <c r="A797" s="6" t="n"/>
      <c r="B797" s="113">
        <f>IF($C797="","","GG"&amp;TEXT(ROW()-6,"00000"))</f>
        <v/>
      </c>
      <c r="C797" s="225" t="n"/>
      <c r="D797" s="108" t="n"/>
      <c r="E797" s="109" t="n"/>
      <c r="F797" s="109" t="n"/>
      <c r="G797" s="226" t="n"/>
      <c r="H797" s="108" t="n"/>
      <c r="I797" s="108" t="n"/>
      <c r="J797" s="109" t="n"/>
      <c r="K797" s="109" t="n"/>
      <c r="L797" s="121">
        <f>IF($C797="","",IF($D797="Gider",$E797,$H797))</f>
        <v/>
      </c>
      <c r="M797" s="121">
        <f>IF($C797="","",IF($D797="Gider",$H797,$E797))</f>
        <v/>
      </c>
      <c r="N797" s="231">
        <f>IF($C797="","",DATE(YEAR($C797),MONTH($C797),1))</f>
        <v/>
      </c>
      <c r="O797" s="113">
        <f>IF($C797="","",IF(AND($D797&lt;&gt;"",$E797&lt;&gt;"",$G797&gt;0,$H797&lt;&gt;"",$I797&lt;&gt;""),IF($C797&gt;TODAY(),"İLERİ TARİH","UYGUN"),"EKSİK"))</f>
        <v/>
      </c>
      <c r="P797" s="6" t="n"/>
      <c r="Q797" s="6" t="n"/>
      <c r="R797" s="3" t="n"/>
      <c r="S797" s="3" t="n"/>
      <c r="T797" s="3" t="n"/>
      <c r="U797" s="3" t="n"/>
      <c r="V797" s="3" t="n"/>
      <c r="W797" s="3" t="n"/>
    </row>
    <row r="798">
      <c r="A798" s="6" t="n"/>
      <c r="B798" s="113">
        <f>IF($C798="","","GG"&amp;TEXT(ROW()-6,"00000"))</f>
        <v/>
      </c>
      <c r="C798" s="225" t="n"/>
      <c r="D798" s="108" t="n"/>
      <c r="E798" s="109" t="n"/>
      <c r="F798" s="109" t="n"/>
      <c r="G798" s="226" t="n"/>
      <c r="H798" s="108" t="n"/>
      <c r="I798" s="108" t="n"/>
      <c r="J798" s="109" t="n"/>
      <c r="K798" s="109" t="n"/>
      <c r="L798" s="121">
        <f>IF($C798="","",IF($D798="Gider",$E798,$H798))</f>
        <v/>
      </c>
      <c r="M798" s="121">
        <f>IF($C798="","",IF($D798="Gider",$H798,$E798))</f>
        <v/>
      </c>
      <c r="N798" s="231">
        <f>IF($C798="","",DATE(YEAR($C798),MONTH($C798),1))</f>
        <v/>
      </c>
      <c r="O798" s="113">
        <f>IF($C798="","",IF(AND($D798&lt;&gt;"",$E798&lt;&gt;"",$G798&gt;0,$H798&lt;&gt;"",$I798&lt;&gt;""),IF($C798&gt;TODAY(),"İLERİ TARİH","UYGUN"),"EKSİK"))</f>
        <v/>
      </c>
      <c r="P798" s="6" t="n"/>
      <c r="Q798" s="6" t="n"/>
      <c r="R798" s="3" t="n"/>
      <c r="S798" s="3" t="n"/>
      <c r="T798" s="3" t="n"/>
      <c r="U798" s="3" t="n"/>
      <c r="V798" s="3" t="n"/>
      <c r="W798" s="3" t="n"/>
    </row>
    <row r="799">
      <c r="A799" s="6" t="n"/>
      <c r="B799" s="113">
        <f>IF($C799="","","GG"&amp;TEXT(ROW()-6,"00000"))</f>
        <v/>
      </c>
      <c r="C799" s="225" t="n"/>
      <c r="D799" s="108" t="n"/>
      <c r="E799" s="109" t="n"/>
      <c r="F799" s="109" t="n"/>
      <c r="G799" s="226" t="n"/>
      <c r="H799" s="108" t="n"/>
      <c r="I799" s="108" t="n"/>
      <c r="J799" s="109" t="n"/>
      <c r="K799" s="109" t="n"/>
      <c r="L799" s="121">
        <f>IF($C799="","",IF($D799="Gider",$E799,$H799))</f>
        <v/>
      </c>
      <c r="M799" s="121">
        <f>IF($C799="","",IF($D799="Gider",$H799,$E799))</f>
        <v/>
      </c>
      <c r="N799" s="231">
        <f>IF($C799="","",DATE(YEAR($C799),MONTH($C799),1))</f>
        <v/>
      </c>
      <c r="O799" s="113">
        <f>IF($C799="","",IF(AND($D799&lt;&gt;"",$E799&lt;&gt;"",$G799&gt;0,$H799&lt;&gt;"",$I799&lt;&gt;""),IF($C799&gt;TODAY(),"İLERİ TARİH","UYGUN"),"EKSİK"))</f>
        <v/>
      </c>
      <c r="P799" s="6" t="n"/>
      <c r="Q799" s="6" t="n"/>
      <c r="R799" s="3" t="n"/>
      <c r="S799" s="3" t="n"/>
      <c r="T799" s="3" t="n"/>
      <c r="U799" s="3" t="n"/>
      <c r="V799" s="3" t="n"/>
      <c r="W799" s="3" t="n"/>
    </row>
    <row r="800">
      <c r="A800" s="6" t="n"/>
      <c r="B800" s="113">
        <f>IF($C800="","","GG"&amp;TEXT(ROW()-6,"00000"))</f>
        <v/>
      </c>
      <c r="C800" s="225" t="n"/>
      <c r="D800" s="108" t="n"/>
      <c r="E800" s="109" t="n"/>
      <c r="F800" s="109" t="n"/>
      <c r="G800" s="226" t="n"/>
      <c r="H800" s="108" t="n"/>
      <c r="I800" s="108" t="n"/>
      <c r="J800" s="109" t="n"/>
      <c r="K800" s="109" t="n"/>
      <c r="L800" s="121">
        <f>IF($C800="","",IF($D800="Gider",$E800,$H800))</f>
        <v/>
      </c>
      <c r="M800" s="121">
        <f>IF($C800="","",IF($D800="Gider",$H800,$E800))</f>
        <v/>
      </c>
      <c r="N800" s="231">
        <f>IF($C800="","",DATE(YEAR($C800),MONTH($C800),1))</f>
        <v/>
      </c>
      <c r="O800" s="113">
        <f>IF($C800="","",IF(AND($D800&lt;&gt;"",$E800&lt;&gt;"",$G800&gt;0,$H800&lt;&gt;"",$I800&lt;&gt;""),IF($C800&gt;TODAY(),"İLERİ TARİH","UYGUN"),"EKSİK"))</f>
        <v/>
      </c>
      <c r="P800" s="6" t="n"/>
      <c r="Q800" s="6" t="n"/>
      <c r="R800" s="3" t="n"/>
      <c r="S800" s="3" t="n"/>
      <c r="T800" s="3" t="n"/>
      <c r="U800" s="3" t="n"/>
      <c r="V800" s="3" t="n"/>
      <c r="W800" s="3" t="n"/>
    </row>
    <row r="801">
      <c r="A801" s="6" t="n"/>
      <c r="B801" s="113">
        <f>IF($C801="","","GG"&amp;TEXT(ROW()-6,"00000"))</f>
        <v/>
      </c>
      <c r="C801" s="225" t="n"/>
      <c r="D801" s="108" t="n"/>
      <c r="E801" s="109" t="n"/>
      <c r="F801" s="109" t="n"/>
      <c r="G801" s="226" t="n"/>
      <c r="H801" s="108" t="n"/>
      <c r="I801" s="108" t="n"/>
      <c r="J801" s="109" t="n"/>
      <c r="K801" s="109" t="n"/>
      <c r="L801" s="121">
        <f>IF($C801="","",IF($D801="Gider",$E801,$H801))</f>
        <v/>
      </c>
      <c r="M801" s="121">
        <f>IF($C801="","",IF($D801="Gider",$H801,$E801))</f>
        <v/>
      </c>
      <c r="N801" s="231">
        <f>IF($C801="","",DATE(YEAR($C801),MONTH($C801),1))</f>
        <v/>
      </c>
      <c r="O801" s="113">
        <f>IF($C801="","",IF(AND($D801&lt;&gt;"",$E801&lt;&gt;"",$G801&gt;0,$H801&lt;&gt;"",$I801&lt;&gt;""),IF($C801&gt;TODAY(),"İLERİ TARİH","UYGUN"),"EKSİK"))</f>
        <v/>
      </c>
      <c r="P801" s="6" t="n"/>
      <c r="Q801" s="6" t="n"/>
      <c r="R801" s="3" t="n"/>
      <c r="S801" s="3" t="n"/>
      <c r="T801" s="3" t="n"/>
      <c r="U801" s="3" t="n"/>
      <c r="V801" s="3" t="n"/>
      <c r="W801" s="3" t="n"/>
    </row>
    <row r="802">
      <c r="A802" s="6" t="n"/>
      <c r="B802" s="113">
        <f>IF($C802="","","GG"&amp;TEXT(ROW()-6,"00000"))</f>
        <v/>
      </c>
      <c r="C802" s="225" t="n"/>
      <c r="D802" s="108" t="n"/>
      <c r="E802" s="109" t="n"/>
      <c r="F802" s="109" t="n"/>
      <c r="G802" s="226" t="n"/>
      <c r="H802" s="108" t="n"/>
      <c r="I802" s="108" t="n"/>
      <c r="J802" s="109" t="n"/>
      <c r="K802" s="109" t="n"/>
      <c r="L802" s="121">
        <f>IF($C802="","",IF($D802="Gider",$E802,$H802))</f>
        <v/>
      </c>
      <c r="M802" s="121">
        <f>IF($C802="","",IF($D802="Gider",$H802,$E802))</f>
        <v/>
      </c>
      <c r="N802" s="231">
        <f>IF($C802="","",DATE(YEAR($C802),MONTH($C802),1))</f>
        <v/>
      </c>
      <c r="O802" s="113">
        <f>IF($C802="","",IF(AND($D802&lt;&gt;"",$E802&lt;&gt;"",$G802&gt;0,$H802&lt;&gt;"",$I802&lt;&gt;""),IF($C802&gt;TODAY(),"İLERİ TARİH","UYGUN"),"EKSİK"))</f>
        <v/>
      </c>
      <c r="P802" s="6" t="n"/>
      <c r="Q802" s="6" t="n"/>
      <c r="R802" s="3" t="n"/>
      <c r="S802" s="3" t="n"/>
      <c r="T802" s="3" t="n"/>
      <c r="U802" s="3" t="n"/>
      <c r="V802" s="3" t="n"/>
      <c r="W802" s="3" t="n"/>
    </row>
    <row r="803">
      <c r="A803" s="6" t="n"/>
      <c r="B803" s="113">
        <f>IF($C803="","","GG"&amp;TEXT(ROW()-6,"00000"))</f>
        <v/>
      </c>
      <c r="C803" s="225" t="n"/>
      <c r="D803" s="108" t="n"/>
      <c r="E803" s="109" t="n"/>
      <c r="F803" s="109" t="n"/>
      <c r="G803" s="226" t="n"/>
      <c r="H803" s="108" t="n"/>
      <c r="I803" s="108" t="n"/>
      <c r="J803" s="109" t="n"/>
      <c r="K803" s="109" t="n"/>
      <c r="L803" s="121">
        <f>IF($C803="","",IF($D803="Gider",$E803,$H803))</f>
        <v/>
      </c>
      <c r="M803" s="121">
        <f>IF($C803="","",IF($D803="Gider",$H803,$E803))</f>
        <v/>
      </c>
      <c r="N803" s="231">
        <f>IF($C803="","",DATE(YEAR($C803),MONTH($C803),1))</f>
        <v/>
      </c>
      <c r="O803" s="113">
        <f>IF($C803="","",IF(AND($D803&lt;&gt;"",$E803&lt;&gt;"",$G803&gt;0,$H803&lt;&gt;"",$I803&lt;&gt;""),IF($C803&gt;TODAY(),"İLERİ TARİH","UYGUN"),"EKSİK"))</f>
        <v/>
      </c>
      <c r="P803" s="6" t="n"/>
      <c r="Q803" s="6" t="n"/>
      <c r="R803" s="3" t="n"/>
      <c r="S803" s="3" t="n"/>
      <c r="T803" s="3" t="n"/>
      <c r="U803" s="3" t="n"/>
      <c r="V803" s="3" t="n"/>
      <c r="W803" s="3" t="n"/>
    </row>
    <row r="804">
      <c r="A804" s="6" t="n"/>
      <c r="B804" s="113">
        <f>IF($C804="","","GG"&amp;TEXT(ROW()-6,"00000"))</f>
        <v/>
      </c>
      <c r="C804" s="225" t="n"/>
      <c r="D804" s="108" t="n"/>
      <c r="E804" s="109" t="n"/>
      <c r="F804" s="109" t="n"/>
      <c r="G804" s="226" t="n"/>
      <c r="H804" s="108" t="n"/>
      <c r="I804" s="108" t="n"/>
      <c r="J804" s="109" t="n"/>
      <c r="K804" s="109" t="n"/>
      <c r="L804" s="121">
        <f>IF($C804="","",IF($D804="Gider",$E804,$H804))</f>
        <v/>
      </c>
      <c r="M804" s="121">
        <f>IF($C804="","",IF($D804="Gider",$H804,$E804))</f>
        <v/>
      </c>
      <c r="N804" s="231">
        <f>IF($C804="","",DATE(YEAR($C804),MONTH($C804),1))</f>
        <v/>
      </c>
      <c r="O804" s="113">
        <f>IF($C804="","",IF(AND($D804&lt;&gt;"",$E804&lt;&gt;"",$G804&gt;0,$H804&lt;&gt;"",$I804&lt;&gt;""),IF($C804&gt;TODAY(),"İLERİ TARİH","UYGUN"),"EKSİK"))</f>
        <v/>
      </c>
      <c r="P804" s="6" t="n"/>
      <c r="Q804" s="6" t="n"/>
      <c r="R804" s="3" t="n"/>
      <c r="S804" s="3" t="n"/>
      <c r="T804" s="3" t="n"/>
      <c r="U804" s="3" t="n"/>
      <c r="V804" s="3" t="n"/>
      <c r="W804" s="3" t="n"/>
    </row>
    <row r="805">
      <c r="A805" s="6" t="n"/>
      <c r="B805" s="113">
        <f>IF($C805="","","GG"&amp;TEXT(ROW()-6,"00000"))</f>
        <v/>
      </c>
      <c r="C805" s="225" t="n"/>
      <c r="D805" s="108" t="n"/>
      <c r="E805" s="109" t="n"/>
      <c r="F805" s="109" t="n"/>
      <c r="G805" s="226" t="n"/>
      <c r="H805" s="108" t="n"/>
      <c r="I805" s="108" t="n"/>
      <c r="J805" s="109" t="n"/>
      <c r="K805" s="109" t="n"/>
      <c r="L805" s="121">
        <f>IF($C805="","",IF($D805="Gider",$E805,$H805))</f>
        <v/>
      </c>
      <c r="M805" s="121">
        <f>IF($C805="","",IF($D805="Gider",$H805,$E805))</f>
        <v/>
      </c>
      <c r="N805" s="231">
        <f>IF($C805="","",DATE(YEAR($C805),MONTH($C805),1))</f>
        <v/>
      </c>
      <c r="O805" s="113">
        <f>IF($C805="","",IF(AND($D805&lt;&gt;"",$E805&lt;&gt;"",$G805&gt;0,$H805&lt;&gt;"",$I805&lt;&gt;""),IF($C805&gt;TODAY(),"İLERİ TARİH","UYGUN"),"EKSİK"))</f>
        <v/>
      </c>
      <c r="P805" s="6" t="n"/>
      <c r="Q805" s="6" t="n"/>
      <c r="R805" s="3" t="n"/>
      <c r="S805" s="3" t="n"/>
      <c r="T805" s="3" t="n"/>
      <c r="U805" s="3" t="n"/>
      <c r="V805" s="3" t="n"/>
      <c r="W805" s="3" t="n"/>
    </row>
    <row r="806">
      <c r="A806" s="6" t="n"/>
      <c r="B806" s="113">
        <f>IF($C806="","","GG"&amp;TEXT(ROW()-6,"00000"))</f>
        <v/>
      </c>
      <c r="C806" s="225" t="n"/>
      <c r="D806" s="108" t="n"/>
      <c r="E806" s="109" t="n"/>
      <c r="F806" s="109" t="n"/>
      <c r="G806" s="226" t="n"/>
      <c r="H806" s="108" t="n"/>
      <c r="I806" s="108" t="n"/>
      <c r="J806" s="109" t="n"/>
      <c r="K806" s="109" t="n"/>
      <c r="L806" s="121">
        <f>IF($C806="","",IF($D806="Gider",$E806,$H806))</f>
        <v/>
      </c>
      <c r="M806" s="121">
        <f>IF($C806="","",IF($D806="Gider",$H806,$E806))</f>
        <v/>
      </c>
      <c r="N806" s="231">
        <f>IF($C806="","",DATE(YEAR($C806),MONTH($C806),1))</f>
        <v/>
      </c>
      <c r="O806" s="113">
        <f>IF($C806="","",IF(AND($D806&lt;&gt;"",$E806&lt;&gt;"",$G806&gt;0,$H806&lt;&gt;"",$I806&lt;&gt;""),IF($C806&gt;TODAY(),"İLERİ TARİH","UYGUN"),"EKSİK"))</f>
        <v/>
      </c>
      <c r="P806" s="6" t="n"/>
      <c r="Q806" s="6" t="n"/>
      <c r="R806" s="3" t="n"/>
      <c r="S806" s="3" t="n"/>
      <c r="T806" s="3" t="n"/>
      <c r="U806" s="3" t="n"/>
      <c r="V806" s="3" t="n"/>
      <c r="W806" s="3" t="n"/>
    </row>
    <row r="807">
      <c r="A807" s="6" t="n"/>
      <c r="B807" s="113">
        <f>IF($C807="","","GG"&amp;TEXT(ROW()-6,"00000"))</f>
        <v/>
      </c>
      <c r="C807" s="225" t="n"/>
      <c r="D807" s="108" t="n"/>
      <c r="E807" s="109" t="n"/>
      <c r="F807" s="109" t="n"/>
      <c r="G807" s="226" t="n"/>
      <c r="H807" s="108" t="n"/>
      <c r="I807" s="108" t="n"/>
      <c r="J807" s="109" t="n"/>
      <c r="K807" s="109" t="n"/>
      <c r="L807" s="121">
        <f>IF($C807="","",IF($D807="Gider",$E807,$H807))</f>
        <v/>
      </c>
      <c r="M807" s="121">
        <f>IF($C807="","",IF($D807="Gider",$H807,$E807))</f>
        <v/>
      </c>
      <c r="N807" s="231">
        <f>IF($C807="","",DATE(YEAR($C807),MONTH($C807),1))</f>
        <v/>
      </c>
      <c r="O807" s="113">
        <f>IF($C807="","",IF(AND($D807&lt;&gt;"",$E807&lt;&gt;"",$G807&gt;0,$H807&lt;&gt;"",$I807&lt;&gt;""),IF($C807&gt;TODAY(),"İLERİ TARİH","UYGUN"),"EKSİK"))</f>
        <v/>
      </c>
      <c r="P807" s="6" t="n"/>
      <c r="Q807" s="6" t="n"/>
      <c r="R807" s="3" t="n"/>
      <c r="S807" s="3" t="n"/>
      <c r="T807" s="3" t="n"/>
      <c r="U807" s="3" t="n"/>
      <c r="V807" s="3" t="n"/>
      <c r="W807" s="3" t="n"/>
    </row>
    <row r="808">
      <c r="A808" s="6" t="n"/>
      <c r="B808" s="113">
        <f>IF($C808="","","GG"&amp;TEXT(ROW()-6,"00000"))</f>
        <v/>
      </c>
      <c r="C808" s="225" t="n"/>
      <c r="D808" s="108" t="n"/>
      <c r="E808" s="109" t="n"/>
      <c r="F808" s="109" t="n"/>
      <c r="G808" s="226" t="n"/>
      <c r="H808" s="108" t="n"/>
      <c r="I808" s="108" t="n"/>
      <c r="J808" s="109" t="n"/>
      <c r="K808" s="109" t="n"/>
      <c r="L808" s="121">
        <f>IF($C808="","",IF($D808="Gider",$E808,$H808))</f>
        <v/>
      </c>
      <c r="M808" s="121">
        <f>IF($C808="","",IF($D808="Gider",$H808,$E808))</f>
        <v/>
      </c>
      <c r="N808" s="231">
        <f>IF($C808="","",DATE(YEAR($C808),MONTH($C808),1))</f>
        <v/>
      </c>
      <c r="O808" s="113">
        <f>IF($C808="","",IF(AND($D808&lt;&gt;"",$E808&lt;&gt;"",$G808&gt;0,$H808&lt;&gt;"",$I808&lt;&gt;""),IF($C808&gt;TODAY(),"İLERİ TARİH","UYGUN"),"EKSİK"))</f>
        <v/>
      </c>
      <c r="P808" s="6" t="n"/>
      <c r="Q808" s="6" t="n"/>
      <c r="R808" s="3" t="n"/>
      <c r="S808" s="3" t="n"/>
      <c r="T808" s="3" t="n"/>
      <c r="U808" s="3" t="n"/>
      <c r="V808" s="3" t="n"/>
      <c r="W808" s="3" t="n"/>
    </row>
    <row r="809">
      <c r="A809" s="6" t="n"/>
      <c r="B809" s="113">
        <f>IF($C809="","","GG"&amp;TEXT(ROW()-6,"00000"))</f>
        <v/>
      </c>
      <c r="C809" s="225" t="n"/>
      <c r="D809" s="108" t="n"/>
      <c r="E809" s="109" t="n"/>
      <c r="F809" s="109" t="n"/>
      <c r="G809" s="226" t="n"/>
      <c r="H809" s="108" t="n"/>
      <c r="I809" s="108" t="n"/>
      <c r="J809" s="109" t="n"/>
      <c r="K809" s="109" t="n"/>
      <c r="L809" s="121">
        <f>IF($C809="","",IF($D809="Gider",$E809,$H809))</f>
        <v/>
      </c>
      <c r="M809" s="121">
        <f>IF($C809="","",IF($D809="Gider",$H809,$E809))</f>
        <v/>
      </c>
      <c r="N809" s="231">
        <f>IF($C809="","",DATE(YEAR($C809),MONTH($C809),1))</f>
        <v/>
      </c>
      <c r="O809" s="113">
        <f>IF($C809="","",IF(AND($D809&lt;&gt;"",$E809&lt;&gt;"",$G809&gt;0,$H809&lt;&gt;"",$I809&lt;&gt;""),IF($C809&gt;TODAY(),"İLERİ TARİH","UYGUN"),"EKSİK"))</f>
        <v/>
      </c>
      <c r="P809" s="6" t="n"/>
      <c r="Q809" s="6" t="n"/>
      <c r="R809" s="3" t="n"/>
      <c r="S809" s="3" t="n"/>
      <c r="T809" s="3" t="n"/>
      <c r="U809" s="3" t="n"/>
      <c r="V809" s="3" t="n"/>
      <c r="W809" s="3" t="n"/>
    </row>
    <row r="810">
      <c r="A810" s="6" t="n"/>
      <c r="B810" s="113">
        <f>IF($C810="","","GG"&amp;TEXT(ROW()-6,"00000"))</f>
        <v/>
      </c>
      <c r="C810" s="225" t="n"/>
      <c r="D810" s="108" t="n"/>
      <c r="E810" s="109" t="n"/>
      <c r="F810" s="109" t="n"/>
      <c r="G810" s="226" t="n"/>
      <c r="H810" s="108" t="n"/>
      <c r="I810" s="108" t="n"/>
      <c r="J810" s="109" t="n"/>
      <c r="K810" s="109" t="n"/>
      <c r="L810" s="121">
        <f>IF($C810="","",IF($D810="Gider",$E810,$H810))</f>
        <v/>
      </c>
      <c r="M810" s="121">
        <f>IF($C810="","",IF($D810="Gider",$H810,$E810))</f>
        <v/>
      </c>
      <c r="N810" s="231">
        <f>IF($C810="","",DATE(YEAR($C810),MONTH($C810),1))</f>
        <v/>
      </c>
      <c r="O810" s="113">
        <f>IF($C810="","",IF(AND($D810&lt;&gt;"",$E810&lt;&gt;"",$G810&gt;0,$H810&lt;&gt;"",$I810&lt;&gt;""),IF($C810&gt;TODAY(),"İLERİ TARİH","UYGUN"),"EKSİK"))</f>
        <v/>
      </c>
      <c r="P810" s="6" t="n"/>
      <c r="Q810" s="6" t="n"/>
      <c r="R810" s="3" t="n"/>
      <c r="S810" s="3" t="n"/>
      <c r="T810" s="3" t="n"/>
      <c r="U810" s="3" t="n"/>
      <c r="V810" s="3" t="n"/>
      <c r="W810" s="3" t="n"/>
    </row>
    <row r="811">
      <c r="A811" s="6" t="n"/>
      <c r="B811" s="113">
        <f>IF($C811="","","GG"&amp;TEXT(ROW()-6,"00000"))</f>
        <v/>
      </c>
      <c r="C811" s="225" t="n"/>
      <c r="D811" s="108" t="n"/>
      <c r="E811" s="109" t="n"/>
      <c r="F811" s="109" t="n"/>
      <c r="G811" s="226" t="n"/>
      <c r="H811" s="108" t="n"/>
      <c r="I811" s="108" t="n"/>
      <c r="J811" s="109" t="n"/>
      <c r="K811" s="109" t="n"/>
      <c r="L811" s="121">
        <f>IF($C811="","",IF($D811="Gider",$E811,$H811))</f>
        <v/>
      </c>
      <c r="M811" s="121">
        <f>IF($C811="","",IF($D811="Gider",$H811,$E811))</f>
        <v/>
      </c>
      <c r="N811" s="231">
        <f>IF($C811="","",DATE(YEAR($C811),MONTH($C811),1))</f>
        <v/>
      </c>
      <c r="O811" s="113">
        <f>IF($C811="","",IF(AND($D811&lt;&gt;"",$E811&lt;&gt;"",$G811&gt;0,$H811&lt;&gt;"",$I811&lt;&gt;""),IF($C811&gt;TODAY(),"İLERİ TARİH","UYGUN"),"EKSİK"))</f>
        <v/>
      </c>
      <c r="P811" s="6" t="n"/>
      <c r="Q811" s="6" t="n"/>
      <c r="R811" s="3" t="n"/>
      <c r="S811" s="3" t="n"/>
      <c r="T811" s="3" t="n"/>
      <c r="U811" s="3" t="n"/>
      <c r="V811" s="3" t="n"/>
      <c r="W811" s="3" t="n"/>
    </row>
    <row r="812">
      <c r="A812" s="6" t="n"/>
      <c r="B812" s="113">
        <f>IF($C812="","","GG"&amp;TEXT(ROW()-6,"00000"))</f>
        <v/>
      </c>
      <c r="C812" s="225" t="n"/>
      <c r="D812" s="108" t="n"/>
      <c r="E812" s="109" t="n"/>
      <c r="F812" s="109" t="n"/>
      <c r="G812" s="226" t="n"/>
      <c r="H812" s="108" t="n"/>
      <c r="I812" s="108" t="n"/>
      <c r="J812" s="109" t="n"/>
      <c r="K812" s="109" t="n"/>
      <c r="L812" s="121">
        <f>IF($C812="","",IF($D812="Gider",$E812,$H812))</f>
        <v/>
      </c>
      <c r="M812" s="121">
        <f>IF($C812="","",IF($D812="Gider",$H812,$E812))</f>
        <v/>
      </c>
      <c r="N812" s="231">
        <f>IF($C812="","",DATE(YEAR($C812),MONTH($C812),1))</f>
        <v/>
      </c>
      <c r="O812" s="113">
        <f>IF($C812="","",IF(AND($D812&lt;&gt;"",$E812&lt;&gt;"",$G812&gt;0,$H812&lt;&gt;"",$I812&lt;&gt;""),IF($C812&gt;TODAY(),"İLERİ TARİH","UYGUN"),"EKSİK"))</f>
        <v/>
      </c>
      <c r="P812" s="6" t="n"/>
      <c r="Q812" s="6" t="n"/>
      <c r="R812" s="3" t="n"/>
      <c r="S812" s="3" t="n"/>
      <c r="T812" s="3" t="n"/>
      <c r="U812" s="3" t="n"/>
      <c r="V812" s="3" t="n"/>
      <c r="W812" s="3" t="n"/>
    </row>
    <row r="813">
      <c r="A813" s="6" t="n"/>
      <c r="B813" s="113">
        <f>IF($C813="","","GG"&amp;TEXT(ROW()-6,"00000"))</f>
        <v/>
      </c>
      <c r="C813" s="225" t="n"/>
      <c r="D813" s="108" t="n"/>
      <c r="E813" s="109" t="n"/>
      <c r="F813" s="109" t="n"/>
      <c r="G813" s="226" t="n"/>
      <c r="H813" s="108" t="n"/>
      <c r="I813" s="108" t="n"/>
      <c r="J813" s="109" t="n"/>
      <c r="K813" s="109" t="n"/>
      <c r="L813" s="121">
        <f>IF($C813="","",IF($D813="Gider",$E813,$H813))</f>
        <v/>
      </c>
      <c r="M813" s="121">
        <f>IF($C813="","",IF($D813="Gider",$H813,$E813))</f>
        <v/>
      </c>
      <c r="N813" s="231">
        <f>IF($C813="","",DATE(YEAR($C813),MONTH($C813),1))</f>
        <v/>
      </c>
      <c r="O813" s="113">
        <f>IF($C813="","",IF(AND($D813&lt;&gt;"",$E813&lt;&gt;"",$G813&gt;0,$H813&lt;&gt;"",$I813&lt;&gt;""),IF($C813&gt;TODAY(),"İLERİ TARİH","UYGUN"),"EKSİK"))</f>
        <v/>
      </c>
      <c r="P813" s="6" t="n"/>
      <c r="Q813" s="6" t="n"/>
      <c r="R813" s="3" t="n"/>
      <c r="S813" s="3" t="n"/>
      <c r="T813" s="3" t="n"/>
      <c r="U813" s="3" t="n"/>
      <c r="V813" s="3" t="n"/>
      <c r="W813" s="3" t="n"/>
    </row>
    <row r="814">
      <c r="A814" s="6" t="n"/>
      <c r="B814" s="113">
        <f>IF($C814="","","GG"&amp;TEXT(ROW()-6,"00000"))</f>
        <v/>
      </c>
      <c r="C814" s="225" t="n"/>
      <c r="D814" s="108" t="n"/>
      <c r="E814" s="109" t="n"/>
      <c r="F814" s="109" t="n"/>
      <c r="G814" s="226" t="n"/>
      <c r="H814" s="108" t="n"/>
      <c r="I814" s="108" t="n"/>
      <c r="J814" s="109" t="n"/>
      <c r="K814" s="109" t="n"/>
      <c r="L814" s="121">
        <f>IF($C814="","",IF($D814="Gider",$E814,$H814))</f>
        <v/>
      </c>
      <c r="M814" s="121">
        <f>IF($C814="","",IF($D814="Gider",$H814,$E814))</f>
        <v/>
      </c>
      <c r="N814" s="231">
        <f>IF($C814="","",DATE(YEAR($C814),MONTH($C814),1))</f>
        <v/>
      </c>
      <c r="O814" s="113">
        <f>IF($C814="","",IF(AND($D814&lt;&gt;"",$E814&lt;&gt;"",$G814&gt;0,$H814&lt;&gt;"",$I814&lt;&gt;""),IF($C814&gt;TODAY(),"İLERİ TARİH","UYGUN"),"EKSİK"))</f>
        <v/>
      </c>
      <c r="P814" s="6" t="n"/>
      <c r="Q814" s="6" t="n"/>
      <c r="R814" s="3" t="n"/>
      <c r="S814" s="3" t="n"/>
      <c r="T814" s="3" t="n"/>
      <c r="U814" s="3" t="n"/>
      <c r="V814" s="3" t="n"/>
      <c r="W814" s="3" t="n"/>
    </row>
    <row r="815">
      <c r="A815" s="6" t="n"/>
      <c r="B815" s="113">
        <f>IF($C815="","","GG"&amp;TEXT(ROW()-6,"00000"))</f>
        <v/>
      </c>
      <c r="C815" s="225" t="n"/>
      <c r="D815" s="108" t="n"/>
      <c r="E815" s="109" t="n"/>
      <c r="F815" s="109" t="n"/>
      <c r="G815" s="226" t="n"/>
      <c r="H815" s="108" t="n"/>
      <c r="I815" s="108" t="n"/>
      <c r="J815" s="109" t="n"/>
      <c r="K815" s="109" t="n"/>
      <c r="L815" s="121">
        <f>IF($C815="","",IF($D815="Gider",$E815,$H815))</f>
        <v/>
      </c>
      <c r="M815" s="121">
        <f>IF($C815="","",IF($D815="Gider",$H815,$E815))</f>
        <v/>
      </c>
      <c r="N815" s="231">
        <f>IF($C815="","",DATE(YEAR($C815),MONTH($C815),1))</f>
        <v/>
      </c>
      <c r="O815" s="113">
        <f>IF($C815="","",IF(AND($D815&lt;&gt;"",$E815&lt;&gt;"",$G815&gt;0,$H815&lt;&gt;"",$I815&lt;&gt;""),IF($C815&gt;TODAY(),"İLERİ TARİH","UYGUN"),"EKSİK"))</f>
        <v/>
      </c>
      <c r="P815" s="6" t="n"/>
      <c r="Q815" s="6" t="n"/>
      <c r="R815" s="3" t="n"/>
      <c r="S815" s="3" t="n"/>
      <c r="T815" s="3" t="n"/>
      <c r="U815" s="3" t="n"/>
      <c r="V815" s="3" t="n"/>
      <c r="W815" s="3" t="n"/>
    </row>
    <row r="816">
      <c r="A816" s="6" t="n"/>
      <c r="B816" s="113">
        <f>IF($C816="","","GG"&amp;TEXT(ROW()-6,"00000"))</f>
        <v/>
      </c>
      <c r="C816" s="225" t="n"/>
      <c r="D816" s="108" t="n"/>
      <c r="E816" s="109" t="n"/>
      <c r="F816" s="109" t="n"/>
      <c r="G816" s="226" t="n"/>
      <c r="H816" s="108" t="n"/>
      <c r="I816" s="108" t="n"/>
      <c r="J816" s="109" t="n"/>
      <c r="K816" s="109" t="n"/>
      <c r="L816" s="121">
        <f>IF($C816="","",IF($D816="Gider",$E816,$H816))</f>
        <v/>
      </c>
      <c r="M816" s="121">
        <f>IF($C816="","",IF($D816="Gider",$H816,$E816))</f>
        <v/>
      </c>
      <c r="N816" s="231">
        <f>IF($C816="","",DATE(YEAR($C816),MONTH($C816),1))</f>
        <v/>
      </c>
      <c r="O816" s="113">
        <f>IF($C816="","",IF(AND($D816&lt;&gt;"",$E816&lt;&gt;"",$G816&gt;0,$H816&lt;&gt;"",$I816&lt;&gt;""),IF($C816&gt;TODAY(),"İLERİ TARİH","UYGUN"),"EKSİK"))</f>
        <v/>
      </c>
      <c r="P816" s="6" t="n"/>
      <c r="Q816" s="6" t="n"/>
      <c r="R816" s="3" t="n"/>
      <c r="S816" s="3" t="n"/>
      <c r="T816" s="3" t="n"/>
      <c r="U816" s="3" t="n"/>
      <c r="V816" s="3" t="n"/>
      <c r="W816" s="3" t="n"/>
    </row>
    <row r="817">
      <c r="A817" s="6" t="n"/>
      <c r="B817" s="113">
        <f>IF($C817="","","GG"&amp;TEXT(ROW()-6,"00000"))</f>
        <v/>
      </c>
      <c r="C817" s="225" t="n"/>
      <c r="D817" s="108" t="n"/>
      <c r="E817" s="109" t="n"/>
      <c r="F817" s="109" t="n"/>
      <c r="G817" s="226" t="n"/>
      <c r="H817" s="108" t="n"/>
      <c r="I817" s="108" t="n"/>
      <c r="J817" s="109" t="n"/>
      <c r="K817" s="109" t="n"/>
      <c r="L817" s="121">
        <f>IF($C817="","",IF($D817="Gider",$E817,$H817))</f>
        <v/>
      </c>
      <c r="M817" s="121">
        <f>IF($C817="","",IF($D817="Gider",$H817,$E817))</f>
        <v/>
      </c>
      <c r="N817" s="231">
        <f>IF($C817="","",DATE(YEAR($C817),MONTH($C817),1))</f>
        <v/>
      </c>
      <c r="O817" s="113">
        <f>IF($C817="","",IF(AND($D817&lt;&gt;"",$E817&lt;&gt;"",$G817&gt;0,$H817&lt;&gt;"",$I817&lt;&gt;""),IF($C817&gt;TODAY(),"İLERİ TARİH","UYGUN"),"EKSİK"))</f>
        <v/>
      </c>
      <c r="P817" s="6" t="n"/>
      <c r="Q817" s="6" t="n"/>
      <c r="R817" s="3" t="n"/>
      <c r="S817" s="3" t="n"/>
      <c r="T817" s="3" t="n"/>
      <c r="U817" s="3" t="n"/>
      <c r="V817" s="3" t="n"/>
      <c r="W817" s="3" t="n"/>
    </row>
    <row r="818">
      <c r="A818" s="6" t="n"/>
      <c r="B818" s="113">
        <f>IF($C818="","","GG"&amp;TEXT(ROW()-6,"00000"))</f>
        <v/>
      </c>
      <c r="C818" s="225" t="n"/>
      <c r="D818" s="108" t="n"/>
      <c r="E818" s="109" t="n"/>
      <c r="F818" s="109" t="n"/>
      <c r="G818" s="226" t="n"/>
      <c r="H818" s="108" t="n"/>
      <c r="I818" s="108" t="n"/>
      <c r="J818" s="109" t="n"/>
      <c r="K818" s="109" t="n"/>
      <c r="L818" s="121">
        <f>IF($C818="","",IF($D818="Gider",$E818,$H818))</f>
        <v/>
      </c>
      <c r="M818" s="121">
        <f>IF($C818="","",IF($D818="Gider",$H818,$E818))</f>
        <v/>
      </c>
      <c r="N818" s="231">
        <f>IF($C818="","",DATE(YEAR($C818),MONTH($C818),1))</f>
        <v/>
      </c>
      <c r="O818" s="113">
        <f>IF($C818="","",IF(AND($D818&lt;&gt;"",$E818&lt;&gt;"",$G818&gt;0,$H818&lt;&gt;"",$I818&lt;&gt;""),IF($C818&gt;TODAY(),"İLERİ TARİH","UYGUN"),"EKSİK"))</f>
        <v/>
      </c>
      <c r="P818" s="6" t="n"/>
      <c r="Q818" s="6" t="n"/>
      <c r="R818" s="3" t="n"/>
      <c r="S818" s="3" t="n"/>
      <c r="T818" s="3" t="n"/>
      <c r="U818" s="3" t="n"/>
      <c r="V818" s="3" t="n"/>
      <c r="W818" s="3" t="n"/>
    </row>
    <row r="819">
      <c r="A819" s="6" t="n"/>
      <c r="B819" s="113">
        <f>IF($C819="","","GG"&amp;TEXT(ROW()-6,"00000"))</f>
        <v/>
      </c>
      <c r="C819" s="225" t="n"/>
      <c r="D819" s="108" t="n"/>
      <c r="E819" s="109" t="n"/>
      <c r="F819" s="109" t="n"/>
      <c r="G819" s="226" t="n"/>
      <c r="H819" s="108" t="n"/>
      <c r="I819" s="108" t="n"/>
      <c r="J819" s="109" t="n"/>
      <c r="K819" s="109" t="n"/>
      <c r="L819" s="121">
        <f>IF($C819="","",IF($D819="Gider",$E819,$H819))</f>
        <v/>
      </c>
      <c r="M819" s="121">
        <f>IF($C819="","",IF($D819="Gider",$H819,$E819))</f>
        <v/>
      </c>
      <c r="N819" s="231">
        <f>IF($C819="","",DATE(YEAR($C819),MONTH($C819),1))</f>
        <v/>
      </c>
      <c r="O819" s="113">
        <f>IF($C819="","",IF(AND($D819&lt;&gt;"",$E819&lt;&gt;"",$G819&gt;0,$H819&lt;&gt;"",$I819&lt;&gt;""),IF($C819&gt;TODAY(),"İLERİ TARİH","UYGUN"),"EKSİK"))</f>
        <v/>
      </c>
      <c r="P819" s="6" t="n"/>
      <c r="Q819" s="6" t="n"/>
      <c r="R819" s="3" t="n"/>
      <c r="S819" s="3" t="n"/>
      <c r="T819" s="3" t="n"/>
      <c r="U819" s="3" t="n"/>
      <c r="V819" s="3" t="n"/>
      <c r="W819" s="3" t="n"/>
    </row>
    <row r="820">
      <c r="A820" s="6" t="n"/>
      <c r="B820" s="113">
        <f>IF($C820="","","GG"&amp;TEXT(ROW()-6,"00000"))</f>
        <v/>
      </c>
      <c r="C820" s="225" t="n"/>
      <c r="D820" s="108" t="n"/>
      <c r="E820" s="109" t="n"/>
      <c r="F820" s="109" t="n"/>
      <c r="G820" s="226" t="n"/>
      <c r="H820" s="108" t="n"/>
      <c r="I820" s="108" t="n"/>
      <c r="J820" s="109" t="n"/>
      <c r="K820" s="109" t="n"/>
      <c r="L820" s="121">
        <f>IF($C820="","",IF($D820="Gider",$E820,$H820))</f>
        <v/>
      </c>
      <c r="M820" s="121">
        <f>IF($C820="","",IF($D820="Gider",$H820,$E820))</f>
        <v/>
      </c>
      <c r="N820" s="231">
        <f>IF($C820="","",DATE(YEAR($C820),MONTH($C820),1))</f>
        <v/>
      </c>
      <c r="O820" s="113">
        <f>IF($C820="","",IF(AND($D820&lt;&gt;"",$E820&lt;&gt;"",$G820&gt;0,$H820&lt;&gt;"",$I820&lt;&gt;""),IF($C820&gt;TODAY(),"İLERİ TARİH","UYGUN"),"EKSİK"))</f>
        <v/>
      </c>
      <c r="P820" s="6" t="n"/>
      <c r="Q820" s="6" t="n"/>
      <c r="R820" s="3" t="n"/>
      <c r="S820" s="3" t="n"/>
      <c r="T820" s="3" t="n"/>
      <c r="U820" s="3" t="n"/>
      <c r="V820" s="3" t="n"/>
      <c r="W820" s="3" t="n"/>
    </row>
    <row r="821">
      <c r="A821" s="6" t="n"/>
      <c r="B821" s="113">
        <f>IF($C821="","","GG"&amp;TEXT(ROW()-6,"00000"))</f>
        <v/>
      </c>
      <c r="C821" s="225" t="n"/>
      <c r="D821" s="108" t="n"/>
      <c r="E821" s="109" t="n"/>
      <c r="F821" s="109" t="n"/>
      <c r="G821" s="226" t="n"/>
      <c r="H821" s="108" t="n"/>
      <c r="I821" s="108" t="n"/>
      <c r="J821" s="109" t="n"/>
      <c r="K821" s="109" t="n"/>
      <c r="L821" s="121">
        <f>IF($C821="","",IF($D821="Gider",$E821,$H821))</f>
        <v/>
      </c>
      <c r="M821" s="121">
        <f>IF($C821="","",IF($D821="Gider",$H821,$E821))</f>
        <v/>
      </c>
      <c r="N821" s="231">
        <f>IF($C821="","",DATE(YEAR($C821),MONTH($C821),1))</f>
        <v/>
      </c>
      <c r="O821" s="113">
        <f>IF($C821="","",IF(AND($D821&lt;&gt;"",$E821&lt;&gt;"",$G821&gt;0,$H821&lt;&gt;"",$I821&lt;&gt;""),IF($C821&gt;TODAY(),"İLERİ TARİH","UYGUN"),"EKSİK"))</f>
        <v/>
      </c>
      <c r="P821" s="6" t="n"/>
      <c r="Q821" s="6" t="n"/>
      <c r="R821" s="3" t="n"/>
      <c r="S821" s="3" t="n"/>
      <c r="T821" s="3" t="n"/>
      <c r="U821" s="3" t="n"/>
      <c r="V821" s="3" t="n"/>
      <c r="W821" s="3" t="n"/>
    </row>
    <row r="822">
      <c r="A822" s="6" t="n"/>
      <c r="B822" s="113">
        <f>IF($C822="","","GG"&amp;TEXT(ROW()-6,"00000"))</f>
        <v/>
      </c>
      <c r="C822" s="225" t="n"/>
      <c r="D822" s="108" t="n"/>
      <c r="E822" s="109" t="n"/>
      <c r="F822" s="109" t="n"/>
      <c r="G822" s="226" t="n"/>
      <c r="H822" s="108" t="n"/>
      <c r="I822" s="108" t="n"/>
      <c r="J822" s="109" t="n"/>
      <c r="K822" s="109" t="n"/>
      <c r="L822" s="121">
        <f>IF($C822="","",IF($D822="Gider",$E822,$H822))</f>
        <v/>
      </c>
      <c r="M822" s="121">
        <f>IF($C822="","",IF($D822="Gider",$H822,$E822))</f>
        <v/>
      </c>
      <c r="N822" s="231">
        <f>IF($C822="","",DATE(YEAR($C822),MONTH($C822),1))</f>
        <v/>
      </c>
      <c r="O822" s="113">
        <f>IF($C822="","",IF(AND($D822&lt;&gt;"",$E822&lt;&gt;"",$G822&gt;0,$H822&lt;&gt;"",$I822&lt;&gt;""),IF($C822&gt;TODAY(),"İLERİ TARİH","UYGUN"),"EKSİK"))</f>
        <v/>
      </c>
      <c r="P822" s="6" t="n"/>
      <c r="Q822" s="6" t="n"/>
      <c r="R822" s="3" t="n"/>
      <c r="S822" s="3" t="n"/>
      <c r="T822" s="3" t="n"/>
      <c r="U822" s="3" t="n"/>
      <c r="V822" s="3" t="n"/>
      <c r="W822" s="3" t="n"/>
    </row>
    <row r="823">
      <c r="A823" s="6" t="n"/>
      <c r="B823" s="113">
        <f>IF($C823="","","GG"&amp;TEXT(ROW()-6,"00000"))</f>
        <v/>
      </c>
      <c r="C823" s="225" t="n"/>
      <c r="D823" s="108" t="n"/>
      <c r="E823" s="109" t="n"/>
      <c r="F823" s="109" t="n"/>
      <c r="G823" s="226" t="n"/>
      <c r="H823" s="108" t="n"/>
      <c r="I823" s="108" t="n"/>
      <c r="J823" s="109" t="n"/>
      <c r="K823" s="109" t="n"/>
      <c r="L823" s="121">
        <f>IF($C823="","",IF($D823="Gider",$E823,$H823))</f>
        <v/>
      </c>
      <c r="M823" s="121">
        <f>IF($C823="","",IF($D823="Gider",$H823,$E823))</f>
        <v/>
      </c>
      <c r="N823" s="231">
        <f>IF($C823="","",DATE(YEAR($C823),MONTH($C823),1))</f>
        <v/>
      </c>
      <c r="O823" s="113">
        <f>IF($C823="","",IF(AND($D823&lt;&gt;"",$E823&lt;&gt;"",$G823&gt;0,$H823&lt;&gt;"",$I823&lt;&gt;""),IF($C823&gt;TODAY(),"İLERİ TARİH","UYGUN"),"EKSİK"))</f>
        <v/>
      </c>
      <c r="P823" s="6" t="n"/>
      <c r="Q823" s="6" t="n"/>
      <c r="R823" s="3" t="n"/>
      <c r="S823" s="3" t="n"/>
      <c r="T823" s="3" t="n"/>
      <c r="U823" s="3" t="n"/>
      <c r="V823" s="3" t="n"/>
      <c r="W823" s="3" t="n"/>
    </row>
    <row r="824">
      <c r="A824" s="6" t="n"/>
      <c r="B824" s="113">
        <f>IF($C824="","","GG"&amp;TEXT(ROW()-6,"00000"))</f>
        <v/>
      </c>
      <c r="C824" s="225" t="n"/>
      <c r="D824" s="108" t="n"/>
      <c r="E824" s="109" t="n"/>
      <c r="F824" s="109" t="n"/>
      <c r="G824" s="226" t="n"/>
      <c r="H824" s="108" t="n"/>
      <c r="I824" s="108" t="n"/>
      <c r="J824" s="109" t="n"/>
      <c r="K824" s="109" t="n"/>
      <c r="L824" s="121">
        <f>IF($C824="","",IF($D824="Gider",$E824,$H824))</f>
        <v/>
      </c>
      <c r="M824" s="121">
        <f>IF($C824="","",IF($D824="Gider",$H824,$E824))</f>
        <v/>
      </c>
      <c r="N824" s="231">
        <f>IF($C824="","",DATE(YEAR($C824),MONTH($C824),1))</f>
        <v/>
      </c>
      <c r="O824" s="113">
        <f>IF($C824="","",IF(AND($D824&lt;&gt;"",$E824&lt;&gt;"",$G824&gt;0,$H824&lt;&gt;"",$I824&lt;&gt;""),IF($C824&gt;TODAY(),"İLERİ TARİH","UYGUN"),"EKSİK"))</f>
        <v/>
      </c>
      <c r="P824" s="6" t="n"/>
      <c r="Q824" s="6" t="n"/>
      <c r="R824" s="3" t="n"/>
      <c r="S824" s="3" t="n"/>
      <c r="T824" s="3" t="n"/>
      <c r="U824" s="3" t="n"/>
      <c r="V824" s="3" t="n"/>
      <c r="W824" s="3" t="n"/>
    </row>
    <row r="825">
      <c r="A825" s="6" t="n"/>
      <c r="B825" s="113">
        <f>IF($C825="","","GG"&amp;TEXT(ROW()-6,"00000"))</f>
        <v/>
      </c>
      <c r="C825" s="225" t="n"/>
      <c r="D825" s="108" t="n"/>
      <c r="E825" s="109" t="n"/>
      <c r="F825" s="109" t="n"/>
      <c r="G825" s="226" t="n"/>
      <c r="H825" s="108" t="n"/>
      <c r="I825" s="108" t="n"/>
      <c r="J825" s="109" t="n"/>
      <c r="K825" s="109" t="n"/>
      <c r="L825" s="121">
        <f>IF($C825="","",IF($D825="Gider",$E825,$H825))</f>
        <v/>
      </c>
      <c r="M825" s="121">
        <f>IF($C825="","",IF($D825="Gider",$H825,$E825))</f>
        <v/>
      </c>
      <c r="N825" s="231">
        <f>IF($C825="","",DATE(YEAR($C825),MONTH($C825),1))</f>
        <v/>
      </c>
      <c r="O825" s="113">
        <f>IF($C825="","",IF(AND($D825&lt;&gt;"",$E825&lt;&gt;"",$G825&gt;0,$H825&lt;&gt;"",$I825&lt;&gt;""),IF($C825&gt;TODAY(),"İLERİ TARİH","UYGUN"),"EKSİK"))</f>
        <v/>
      </c>
      <c r="P825" s="6" t="n"/>
      <c r="Q825" s="6" t="n"/>
      <c r="R825" s="3" t="n"/>
      <c r="S825" s="3" t="n"/>
      <c r="T825" s="3" t="n"/>
      <c r="U825" s="3" t="n"/>
      <c r="V825" s="3" t="n"/>
      <c r="W825" s="3" t="n"/>
    </row>
    <row r="826">
      <c r="A826" s="6" t="n"/>
      <c r="B826" s="113">
        <f>IF($C826="","","GG"&amp;TEXT(ROW()-6,"00000"))</f>
        <v/>
      </c>
      <c r="C826" s="225" t="n"/>
      <c r="D826" s="108" t="n"/>
      <c r="E826" s="109" t="n"/>
      <c r="F826" s="109" t="n"/>
      <c r="G826" s="226" t="n"/>
      <c r="H826" s="108" t="n"/>
      <c r="I826" s="108" t="n"/>
      <c r="J826" s="109" t="n"/>
      <c r="K826" s="109" t="n"/>
      <c r="L826" s="121">
        <f>IF($C826="","",IF($D826="Gider",$E826,$H826))</f>
        <v/>
      </c>
      <c r="M826" s="121">
        <f>IF($C826="","",IF($D826="Gider",$H826,$E826))</f>
        <v/>
      </c>
      <c r="N826" s="231">
        <f>IF($C826="","",DATE(YEAR($C826),MONTH($C826),1))</f>
        <v/>
      </c>
      <c r="O826" s="113">
        <f>IF($C826="","",IF(AND($D826&lt;&gt;"",$E826&lt;&gt;"",$G826&gt;0,$H826&lt;&gt;"",$I826&lt;&gt;""),IF($C826&gt;TODAY(),"İLERİ TARİH","UYGUN"),"EKSİK"))</f>
        <v/>
      </c>
      <c r="P826" s="6" t="n"/>
      <c r="Q826" s="6" t="n"/>
      <c r="R826" s="3" t="n"/>
      <c r="S826" s="3" t="n"/>
      <c r="T826" s="3" t="n"/>
      <c r="U826" s="3" t="n"/>
      <c r="V826" s="3" t="n"/>
      <c r="W826" s="3" t="n"/>
    </row>
    <row r="827">
      <c r="A827" s="6" t="n"/>
      <c r="B827" s="113">
        <f>IF($C827="","","GG"&amp;TEXT(ROW()-6,"00000"))</f>
        <v/>
      </c>
      <c r="C827" s="225" t="n"/>
      <c r="D827" s="108" t="n"/>
      <c r="E827" s="109" t="n"/>
      <c r="F827" s="109" t="n"/>
      <c r="G827" s="226" t="n"/>
      <c r="H827" s="108" t="n"/>
      <c r="I827" s="108" t="n"/>
      <c r="J827" s="109" t="n"/>
      <c r="K827" s="109" t="n"/>
      <c r="L827" s="121">
        <f>IF($C827="","",IF($D827="Gider",$E827,$H827))</f>
        <v/>
      </c>
      <c r="M827" s="121">
        <f>IF($C827="","",IF($D827="Gider",$H827,$E827))</f>
        <v/>
      </c>
      <c r="N827" s="231">
        <f>IF($C827="","",DATE(YEAR($C827),MONTH($C827),1))</f>
        <v/>
      </c>
      <c r="O827" s="113">
        <f>IF($C827="","",IF(AND($D827&lt;&gt;"",$E827&lt;&gt;"",$G827&gt;0,$H827&lt;&gt;"",$I827&lt;&gt;""),IF($C827&gt;TODAY(),"İLERİ TARİH","UYGUN"),"EKSİK"))</f>
        <v/>
      </c>
      <c r="P827" s="6" t="n"/>
      <c r="Q827" s="6" t="n"/>
      <c r="R827" s="3" t="n"/>
      <c r="S827" s="3" t="n"/>
      <c r="T827" s="3" t="n"/>
      <c r="U827" s="3" t="n"/>
      <c r="V827" s="3" t="n"/>
      <c r="W827" s="3" t="n"/>
    </row>
    <row r="828">
      <c r="A828" s="6" t="n"/>
      <c r="B828" s="113">
        <f>IF($C828="","","GG"&amp;TEXT(ROW()-6,"00000"))</f>
        <v/>
      </c>
      <c r="C828" s="225" t="n"/>
      <c r="D828" s="108" t="n"/>
      <c r="E828" s="109" t="n"/>
      <c r="F828" s="109" t="n"/>
      <c r="G828" s="226" t="n"/>
      <c r="H828" s="108" t="n"/>
      <c r="I828" s="108" t="n"/>
      <c r="J828" s="109" t="n"/>
      <c r="K828" s="109" t="n"/>
      <c r="L828" s="121">
        <f>IF($C828="","",IF($D828="Gider",$E828,$H828))</f>
        <v/>
      </c>
      <c r="M828" s="121">
        <f>IF($C828="","",IF($D828="Gider",$H828,$E828))</f>
        <v/>
      </c>
      <c r="N828" s="231">
        <f>IF($C828="","",DATE(YEAR($C828),MONTH($C828),1))</f>
        <v/>
      </c>
      <c r="O828" s="113">
        <f>IF($C828="","",IF(AND($D828&lt;&gt;"",$E828&lt;&gt;"",$G828&gt;0,$H828&lt;&gt;"",$I828&lt;&gt;""),IF($C828&gt;TODAY(),"İLERİ TARİH","UYGUN"),"EKSİK"))</f>
        <v/>
      </c>
      <c r="P828" s="6" t="n"/>
      <c r="Q828" s="6" t="n"/>
      <c r="R828" s="3" t="n"/>
      <c r="S828" s="3" t="n"/>
      <c r="T828" s="3" t="n"/>
      <c r="U828" s="3" t="n"/>
      <c r="V828" s="3" t="n"/>
      <c r="W828" s="3" t="n"/>
    </row>
    <row r="829">
      <c r="A829" s="6" t="n"/>
      <c r="B829" s="113">
        <f>IF($C829="","","GG"&amp;TEXT(ROW()-6,"00000"))</f>
        <v/>
      </c>
      <c r="C829" s="225" t="n"/>
      <c r="D829" s="108" t="n"/>
      <c r="E829" s="109" t="n"/>
      <c r="F829" s="109" t="n"/>
      <c r="G829" s="226" t="n"/>
      <c r="H829" s="108" t="n"/>
      <c r="I829" s="108" t="n"/>
      <c r="J829" s="109" t="n"/>
      <c r="K829" s="109" t="n"/>
      <c r="L829" s="121">
        <f>IF($C829="","",IF($D829="Gider",$E829,$H829))</f>
        <v/>
      </c>
      <c r="M829" s="121">
        <f>IF($C829="","",IF($D829="Gider",$H829,$E829))</f>
        <v/>
      </c>
      <c r="N829" s="231">
        <f>IF($C829="","",DATE(YEAR($C829),MONTH($C829),1))</f>
        <v/>
      </c>
      <c r="O829" s="113">
        <f>IF($C829="","",IF(AND($D829&lt;&gt;"",$E829&lt;&gt;"",$G829&gt;0,$H829&lt;&gt;"",$I829&lt;&gt;""),IF($C829&gt;TODAY(),"İLERİ TARİH","UYGUN"),"EKSİK"))</f>
        <v/>
      </c>
      <c r="P829" s="6" t="n"/>
      <c r="Q829" s="6" t="n"/>
      <c r="R829" s="3" t="n"/>
      <c r="S829" s="3" t="n"/>
      <c r="T829" s="3" t="n"/>
      <c r="U829" s="3" t="n"/>
      <c r="V829" s="3" t="n"/>
      <c r="W829" s="3" t="n"/>
    </row>
    <row r="830">
      <c r="A830" s="6" t="n"/>
      <c r="B830" s="113">
        <f>IF($C830="","","GG"&amp;TEXT(ROW()-6,"00000"))</f>
        <v/>
      </c>
      <c r="C830" s="225" t="n"/>
      <c r="D830" s="108" t="n"/>
      <c r="E830" s="109" t="n"/>
      <c r="F830" s="109" t="n"/>
      <c r="G830" s="226" t="n"/>
      <c r="H830" s="108" t="n"/>
      <c r="I830" s="108" t="n"/>
      <c r="J830" s="109" t="n"/>
      <c r="K830" s="109" t="n"/>
      <c r="L830" s="121">
        <f>IF($C830="","",IF($D830="Gider",$E830,$H830))</f>
        <v/>
      </c>
      <c r="M830" s="121">
        <f>IF($C830="","",IF($D830="Gider",$H830,$E830))</f>
        <v/>
      </c>
      <c r="N830" s="231">
        <f>IF($C830="","",DATE(YEAR($C830),MONTH($C830),1))</f>
        <v/>
      </c>
      <c r="O830" s="113">
        <f>IF($C830="","",IF(AND($D830&lt;&gt;"",$E830&lt;&gt;"",$G830&gt;0,$H830&lt;&gt;"",$I830&lt;&gt;""),IF($C830&gt;TODAY(),"İLERİ TARİH","UYGUN"),"EKSİK"))</f>
        <v/>
      </c>
      <c r="P830" s="6" t="n"/>
      <c r="Q830" s="6" t="n"/>
      <c r="R830" s="3" t="n"/>
      <c r="S830" s="3" t="n"/>
      <c r="T830" s="3" t="n"/>
      <c r="U830" s="3" t="n"/>
      <c r="V830" s="3" t="n"/>
      <c r="W830" s="3" t="n"/>
    </row>
    <row r="831">
      <c r="A831" s="6" t="n"/>
      <c r="B831" s="113">
        <f>IF($C831="","","GG"&amp;TEXT(ROW()-6,"00000"))</f>
        <v/>
      </c>
      <c r="C831" s="225" t="n"/>
      <c r="D831" s="108" t="n"/>
      <c r="E831" s="109" t="n"/>
      <c r="F831" s="109" t="n"/>
      <c r="G831" s="226" t="n"/>
      <c r="H831" s="108" t="n"/>
      <c r="I831" s="108" t="n"/>
      <c r="J831" s="109" t="n"/>
      <c r="K831" s="109" t="n"/>
      <c r="L831" s="121">
        <f>IF($C831="","",IF($D831="Gider",$E831,$H831))</f>
        <v/>
      </c>
      <c r="M831" s="121">
        <f>IF($C831="","",IF($D831="Gider",$H831,$E831))</f>
        <v/>
      </c>
      <c r="N831" s="231">
        <f>IF($C831="","",DATE(YEAR($C831),MONTH($C831),1))</f>
        <v/>
      </c>
      <c r="O831" s="113">
        <f>IF($C831="","",IF(AND($D831&lt;&gt;"",$E831&lt;&gt;"",$G831&gt;0,$H831&lt;&gt;"",$I831&lt;&gt;""),IF($C831&gt;TODAY(),"İLERİ TARİH","UYGUN"),"EKSİK"))</f>
        <v/>
      </c>
      <c r="P831" s="6" t="n"/>
      <c r="Q831" s="6" t="n"/>
      <c r="R831" s="3" t="n"/>
      <c r="S831" s="3" t="n"/>
      <c r="T831" s="3" t="n"/>
      <c r="U831" s="3" t="n"/>
      <c r="V831" s="3" t="n"/>
      <c r="W831" s="3" t="n"/>
    </row>
    <row r="832">
      <c r="A832" s="6" t="n"/>
      <c r="B832" s="113">
        <f>IF($C832="","","GG"&amp;TEXT(ROW()-6,"00000"))</f>
        <v/>
      </c>
      <c r="C832" s="225" t="n"/>
      <c r="D832" s="108" t="n"/>
      <c r="E832" s="109" t="n"/>
      <c r="F832" s="109" t="n"/>
      <c r="G832" s="226" t="n"/>
      <c r="H832" s="108" t="n"/>
      <c r="I832" s="108" t="n"/>
      <c r="J832" s="109" t="n"/>
      <c r="K832" s="109" t="n"/>
      <c r="L832" s="121">
        <f>IF($C832="","",IF($D832="Gider",$E832,$H832))</f>
        <v/>
      </c>
      <c r="M832" s="121">
        <f>IF($C832="","",IF($D832="Gider",$H832,$E832))</f>
        <v/>
      </c>
      <c r="N832" s="231">
        <f>IF($C832="","",DATE(YEAR($C832),MONTH($C832),1))</f>
        <v/>
      </c>
      <c r="O832" s="113">
        <f>IF($C832="","",IF(AND($D832&lt;&gt;"",$E832&lt;&gt;"",$G832&gt;0,$H832&lt;&gt;"",$I832&lt;&gt;""),IF($C832&gt;TODAY(),"İLERİ TARİH","UYGUN"),"EKSİK"))</f>
        <v/>
      </c>
      <c r="P832" s="6" t="n"/>
      <c r="Q832" s="6" t="n"/>
      <c r="R832" s="3" t="n"/>
      <c r="S832" s="3" t="n"/>
      <c r="T832" s="3" t="n"/>
      <c r="U832" s="3" t="n"/>
      <c r="V832" s="3" t="n"/>
      <c r="W832" s="3" t="n"/>
    </row>
    <row r="833">
      <c r="A833" s="6" t="n"/>
      <c r="B833" s="113">
        <f>IF($C833="","","GG"&amp;TEXT(ROW()-6,"00000"))</f>
        <v/>
      </c>
      <c r="C833" s="225" t="n"/>
      <c r="D833" s="108" t="n"/>
      <c r="E833" s="109" t="n"/>
      <c r="F833" s="109" t="n"/>
      <c r="G833" s="226" t="n"/>
      <c r="H833" s="108" t="n"/>
      <c r="I833" s="108" t="n"/>
      <c r="J833" s="109" t="n"/>
      <c r="K833" s="109" t="n"/>
      <c r="L833" s="121">
        <f>IF($C833="","",IF($D833="Gider",$E833,$H833))</f>
        <v/>
      </c>
      <c r="M833" s="121">
        <f>IF($C833="","",IF($D833="Gider",$H833,$E833))</f>
        <v/>
      </c>
      <c r="N833" s="231">
        <f>IF($C833="","",DATE(YEAR($C833),MONTH($C833),1))</f>
        <v/>
      </c>
      <c r="O833" s="113">
        <f>IF($C833="","",IF(AND($D833&lt;&gt;"",$E833&lt;&gt;"",$G833&gt;0,$H833&lt;&gt;"",$I833&lt;&gt;""),IF($C833&gt;TODAY(),"İLERİ TARİH","UYGUN"),"EKSİK"))</f>
        <v/>
      </c>
      <c r="P833" s="6" t="n"/>
      <c r="Q833" s="6" t="n"/>
      <c r="R833" s="3" t="n"/>
      <c r="S833" s="3" t="n"/>
      <c r="T833" s="3" t="n"/>
      <c r="U833" s="3" t="n"/>
      <c r="V833" s="3" t="n"/>
      <c r="W833" s="3" t="n"/>
    </row>
    <row r="834">
      <c r="A834" s="6" t="n"/>
      <c r="B834" s="113">
        <f>IF($C834="","","GG"&amp;TEXT(ROW()-6,"00000"))</f>
        <v/>
      </c>
      <c r="C834" s="225" t="n"/>
      <c r="D834" s="108" t="n"/>
      <c r="E834" s="109" t="n"/>
      <c r="F834" s="109" t="n"/>
      <c r="G834" s="226" t="n"/>
      <c r="H834" s="108" t="n"/>
      <c r="I834" s="108" t="n"/>
      <c r="J834" s="109" t="n"/>
      <c r="K834" s="109" t="n"/>
      <c r="L834" s="121">
        <f>IF($C834="","",IF($D834="Gider",$E834,$H834))</f>
        <v/>
      </c>
      <c r="M834" s="121">
        <f>IF($C834="","",IF($D834="Gider",$H834,$E834))</f>
        <v/>
      </c>
      <c r="N834" s="231">
        <f>IF($C834="","",DATE(YEAR($C834),MONTH($C834),1))</f>
        <v/>
      </c>
      <c r="O834" s="113">
        <f>IF($C834="","",IF(AND($D834&lt;&gt;"",$E834&lt;&gt;"",$G834&gt;0,$H834&lt;&gt;"",$I834&lt;&gt;""),IF($C834&gt;TODAY(),"İLERİ TARİH","UYGUN"),"EKSİK"))</f>
        <v/>
      </c>
      <c r="P834" s="6" t="n"/>
      <c r="Q834" s="6" t="n"/>
      <c r="R834" s="3" t="n"/>
      <c r="S834" s="3" t="n"/>
      <c r="T834" s="3" t="n"/>
      <c r="U834" s="3" t="n"/>
      <c r="V834" s="3" t="n"/>
      <c r="W834" s="3" t="n"/>
    </row>
    <row r="835">
      <c r="A835" s="6" t="n"/>
      <c r="B835" s="113">
        <f>IF($C835="","","GG"&amp;TEXT(ROW()-6,"00000"))</f>
        <v/>
      </c>
      <c r="C835" s="225" t="n"/>
      <c r="D835" s="108" t="n"/>
      <c r="E835" s="109" t="n"/>
      <c r="F835" s="109" t="n"/>
      <c r="G835" s="226" t="n"/>
      <c r="H835" s="108" t="n"/>
      <c r="I835" s="108" t="n"/>
      <c r="J835" s="109" t="n"/>
      <c r="K835" s="109" t="n"/>
      <c r="L835" s="121">
        <f>IF($C835="","",IF($D835="Gider",$E835,$H835))</f>
        <v/>
      </c>
      <c r="M835" s="121">
        <f>IF($C835="","",IF($D835="Gider",$H835,$E835))</f>
        <v/>
      </c>
      <c r="N835" s="231">
        <f>IF($C835="","",DATE(YEAR($C835),MONTH($C835),1))</f>
        <v/>
      </c>
      <c r="O835" s="113">
        <f>IF($C835="","",IF(AND($D835&lt;&gt;"",$E835&lt;&gt;"",$G835&gt;0,$H835&lt;&gt;"",$I835&lt;&gt;""),IF($C835&gt;TODAY(),"İLERİ TARİH","UYGUN"),"EKSİK"))</f>
        <v/>
      </c>
      <c r="P835" s="6" t="n"/>
      <c r="Q835" s="6" t="n"/>
      <c r="R835" s="3" t="n"/>
      <c r="S835" s="3" t="n"/>
      <c r="T835" s="3" t="n"/>
      <c r="U835" s="3" t="n"/>
      <c r="V835" s="3" t="n"/>
      <c r="W835" s="3" t="n"/>
    </row>
    <row r="836">
      <c r="A836" s="6" t="n"/>
      <c r="B836" s="113">
        <f>IF($C836="","","GG"&amp;TEXT(ROW()-6,"00000"))</f>
        <v/>
      </c>
      <c r="C836" s="225" t="n"/>
      <c r="D836" s="108" t="n"/>
      <c r="E836" s="109" t="n"/>
      <c r="F836" s="109" t="n"/>
      <c r="G836" s="226" t="n"/>
      <c r="H836" s="108" t="n"/>
      <c r="I836" s="108" t="n"/>
      <c r="J836" s="109" t="n"/>
      <c r="K836" s="109" t="n"/>
      <c r="L836" s="121">
        <f>IF($C836="","",IF($D836="Gider",$E836,$H836))</f>
        <v/>
      </c>
      <c r="M836" s="121">
        <f>IF($C836="","",IF($D836="Gider",$H836,$E836))</f>
        <v/>
      </c>
      <c r="N836" s="231">
        <f>IF($C836="","",DATE(YEAR($C836),MONTH($C836),1))</f>
        <v/>
      </c>
      <c r="O836" s="113">
        <f>IF($C836="","",IF(AND($D836&lt;&gt;"",$E836&lt;&gt;"",$G836&gt;0,$H836&lt;&gt;"",$I836&lt;&gt;""),IF($C836&gt;TODAY(),"İLERİ TARİH","UYGUN"),"EKSİK"))</f>
        <v/>
      </c>
      <c r="P836" s="6" t="n"/>
      <c r="Q836" s="6" t="n"/>
      <c r="R836" s="3" t="n"/>
      <c r="S836" s="3" t="n"/>
      <c r="T836" s="3" t="n"/>
      <c r="U836" s="3" t="n"/>
      <c r="V836" s="3" t="n"/>
      <c r="W836" s="3" t="n"/>
    </row>
    <row r="837">
      <c r="A837" s="6" t="n"/>
      <c r="B837" s="113">
        <f>IF($C837="","","GG"&amp;TEXT(ROW()-6,"00000"))</f>
        <v/>
      </c>
      <c r="C837" s="225" t="n"/>
      <c r="D837" s="108" t="n"/>
      <c r="E837" s="109" t="n"/>
      <c r="F837" s="109" t="n"/>
      <c r="G837" s="226" t="n"/>
      <c r="H837" s="108" t="n"/>
      <c r="I837" s="108" t="n"/>
      <c r="J837" s="109" t="n"/>
      <c r="K837" s="109" t="n"/>
      <c r="L837" s="121">
        <f>IF($C837="","",IF($D837="Gider",$E837,$H837))</f>
        <v/>
      </c>
      <c r="M837" s="121">
        <f>IF($C837="","",IF($D837="Gider",$H837,$E837))</f>
        <v/>
      </c>
      <c r="N837" s="231">
        <f>IF($C837="","",DATE(YEAR($C837),MONTH($C837),1))</f>
        <v/>
      </c>
      <c r="O837" s="113">
        <f>IF($C837="","",IF(AND($D837&lt;&gt;"",$E837&lt;&gt;"",$G837&gt;0,$H837&lt;&gt;"",$I837&lt;&gt;""),IF($C837&gt;TODAY(),"İLERİ TARİH","UYGUN"),"EKSİK"))</f>
        <v/>
      </c>
      <c r="P837" s="6" t="n"/>
      <c r="Q837" s="6" t="n"/>
      <c r="R837" s="3" t="n"/>
      <c r="S837" s="3" t="n"/>
      <c r="T837" s="3" t="n"/>
      <c r="U837" s="3" t="n"/>
      <c r="V837" s="3" t="n"/>
      <c r="W837" s="3" t="n"/>
    </row>
    <row r="838">
      <c r="A838" s="6" t="n"/>
      <c r="B838" s="113">
        <f>IF($C838="","","GG"&amp;TEXT(ROW()-6,"00000"))</f>
        <v/>
      </c>
      <c r="C838" s="225" t="n"/>
      <c r="D838" s="108" t="n"/>
      <c r="E838" s="109" t="n"/>
      <c r="F838" s="109" t="n"/>
      <c r="G838" s="226" t="n"/>
      <c r="H838" s="108" t="n"/>
      <c r="I838" s="108" t="n"/>
      <c r="J838" s="109" t="n"/>
      <c r="K838" s="109" t="n"/>
      <c r="L838" s="121">
        <f>IF($C838="","",IF($D838="Gider",$E838,$H838))</f>
        <v/>
      </c>
      <c r="M838" s="121">
        <f>IF($C838="","",IF($D838="Gider",$H838,$E838))</f>
        <v/>
      </c>
      <c r="N838" s="231">
        <f>IF($C838="","",DATE(YEAR($C838),MONTH($C838),1))</f>
        <v/>
      </c>
      <c r="O838" s="113">
        <f>IF($C838="","",IF(AND($D838&lt;&gt;"",$E838&lt;&gt;"",$G838&gt;0,$H838&lt;&gt;"",$I838&lt;&gt;""),IF($C838&gt;TODAY(),"İLERİ TARİH","UYGUN"),"EKSİK"))</f>
        <v/>
      </c>
      <c r="P838" s="6" t="n"/>
      <c r="Q838" s="6" t="n"/>
      <c r="R838" s="3" t="n"/>
      <c r="S838" s="3" t="n"/>
      <c r="T838" s="3" t="n"/>
      <c r="U838" s="3" t="n"/>
      <c r="V838" s="3" t="n"/>
      <c r="W838" s="3" t="n"/>
    </row>
    <row r="839">
      <c r="A839" s="6" t="n"/>
      <c r="B839" s="113">
        <f>IF($C839="","","GG"&amp;TEXT(ROW()-6,"00000"))</f>
        <v/>
      </c>
      <c r="C839" s="225" t="n"/>
      <c r="D839" s="108" t="n"/>
      <c r="E839" s="109" t="n"/>
      <c r="F839" s="109" t="n"/>
      <c r="G839" s="226" t="n"/>
      <c r="H839" s="108" t="n"/>
      <c r="I839" s="108" t="n"/>
      <c r="J839" s="109" t="n"/>
      <c r="K839" s="109" t="n"/>
      <c r="L839" s="121">
        <f>IF($C839="","",IF($D839="Gider",$E839,$H839))</f>
        <v/>
      </c>
      <c r="M839" s="121">
        <f>IF($C839="","",IF($D839="Gider",$H839,$E839))</f>
        <v/>
      </c>
      <c r="N839" s="231">
        <f>IF($C839="","",DATE(YEAR($C839),MONTH($C839),1))</f>
        <v/>
      </c>
      <c r="O839" s="113">
        <f>IF($C839="","",IF(AND($D839&lt;&gt;"",$E839&lt;&gt;"",$G839&gt;0,$H839&lt;&gt;"",$I839&lt;&gt;""),IF($C839&gt;TODAY(),"İLERİ TARİH","UYGUN"),"EKSİK"))</f>
        <v/>
      </c>
      <c r="P839" s="6" t="n"/>
      <c r="Q839" s="6" t="n"/>
      <c r="R839" s="3" t="n"/>
      <c r="S839" s="3" t="n"/>
      <c r="T839" s="3" t="n"/>
      <c r="U839" s="3" t="n"/>
      <c r="V839" s="3" t="n"/>
      <c r="W839" s="3" t="n"/>
    </row>
    <row r="840">
      <c r="A840" s="6" t="n"/>
      <c r="B840" s="113">
        <f>IF($C840="","","GG"&amp;TEXT(ROW()-6,"00000"))</f>
        <v/>
      </c>
      <c r="C840" s="225" t="n"/>
      <c r="D840" s="108" t="n"/>
      <c r="E840" s="109" t="n"/>
      <c r="F840" s="109" t="n"/>
      <c r="G840" s="226" t="n"/>
      <c r="H840" s="108" t="n"/>
      <c r="I840" s="108" t="n"/>
      <c r="J840" s="109" t="n"/>
      <c r="K840" s="109" t="n"/>
      <c r="L840" s="121">
        <f>IF($C840="","",IF($D840="Gider",$E840,$H840))</f>
        <v/>
      </c>
      <c r="M840" s="121">
        <f>IF($C840="","",IF($D840="Gider",$H840,$E840))</f>
        <v/>
      </c>
      <c r="N840" s="231">
        <f>IF($C840="","",DATE(YEAR($C840),MONTH($C840),1))</f>
        <v/>
      </c>
      <c r="O840" s="113">
        <f>IF($C840="","",IF(AND($D840&lt;&gt;"",$E840&lt;&gt;"",$G840&gt;0,$H840&lt;&gt;"",$I840&lt;&gt;""),IF($C840&gt;TODAY(),"İLERİ TARİH","UYGUN"),"EKSİK"))</f>
        <v/>
      </c>
      <c r="P840" s="6" t="n"/>
      <c r="Q840" s="6" t="n"/>
      <c r="R840" s="3" t="n"/>
      <c r="S840" s="3" t="n"/>
      <c r="T840" s="3" t="n"/>
      <c r="U840" s="3" t="n"/>
      <c r="V840" s="3" t="n"/>
      <c r="W840" s="3" t="n"/>
    </row>
    <row r="841">
      <c r="A841" s="6" t="n"/>
      <c r="B841" s="113">
        <f>IF($C841="","","GG"&amp;TEXT(ROW()-6,"00000"))</f>
        <v/>
      </c>
      <c r="C841" s="225" t="n"/>
      <c r="D841" s="108" t="n"/>
      <c r="E841" s="109" t="n"/>
      <c r="F841" s="109" t="n"/>
      <c r="G841" s="226" t="n"/>
      <c r="H841" s="108" t="n"/>
      <c r="I841" s="108" t="n"/>
      <c r="J841" s="109" t="n"/>
      <c r="K841" s="109" t="n"/>
      <c r="L841" s="121">
        <f>IF($C841="","",IF($D841="Gider",$E841,$H841))</f>
        <v/>
      </c>
      <c r="M841" s="121">
        <f>IF($C841="","",IF($D841="Gider",$H841,$E841))</f>
        <v/>
      </c>
      <c r="N841" s="231">
        <f>IF($C841="","",DATE(YEAR($C841),MONTH($C841),1))</f>
        <v/>
      </c>
      <c r="O841" s="113">
        <f>IF($C841="","",IF(AND($D841&lt;&gt;"",$E841&lt;&gt;"",$G841&gt;0,$H841&lt;&gt;"",$I841&lt;&gt;""),IF($C841&gt;TODAY(),"İLERİ TARİH","UYGUN"),"EKSİK"))</f>
        <v/>
      </c>
      <c r="P841" s="6" t="n"/>
      <c r="Q841" s="6" t="n"/>
      <c r="R841" s="3" t="n"/>
      <c r="S841" s="3" t="n"/>
      <c r="T841" s="3" t="n"/>
      <c r="U841" s="3" t="n"/>
      <c r="V841" s="3" t="n"/>
      <c r="W841" s="3" t="n"/>
    </row>
    <row r="842">
      <c r="A842" s="6" t="n"/>
      <c r="B842" s="113">
        <f>IF($C842="","","GG"&amp;TEXT(ROW()-6,"00000"))</f>
        <v/>
      </c>
      <c r="C842" s="225" t="n"/>
      <c r="D842" s="108" t="n"/>
      <c r="E842" s="109" t="n"/>
      <c r="F842" s="109" t="n"/>
      <c r="G842" s="226" t="n"/>
      <c r="H842" s="108" t="n"/>
      <c r="I842" s="108" t="n"/>
      <c r="J842" s="109" t="n"/>
      <c r="K842" s="109" t="n"/>
      <c r="L842" s="121">
        <f>IF($C842="","",IF($D842="Gider",$E842,$H842))</f>
        <v/>
      </c>
      <c r="M842" s="121">
        <f>IF($C842="","",IF($D842="Gider",$H842,$E842))</f>
        <v/>
      </c>
      <c r="N842" s="231">
        <f>IF($C842="","",DATE(YEAR($C842),MONTH($C842),1))</f>
        <v/>
      </c>
      <c r="O842" s="113">
        <f>IF($C842="","",IF(AND($D842&lt;&gt;"",$E842&lt;&gt;"",$G842&gt;0,$H842&lt;&gt;"",$I842&lt;&gt;""),IF($C842&gt;TODAY(),"İLERİ TARİH","UYGUN"),"EKSİK"))</f>
        <v/>
      </c>
      <c r="P842" s="6" t="n"/>
      <c r="Q842" s="6" t="n"/>
      <c r="R842" s="3" t="n"/>
      <c r="S842" s="3" t="n"/>
      <c r="T842" s="3" t="n"/>
      <c r="U842" s="3" t="n"/>
      <c r="V842" s="3" t="n"/>
      <c r="W842" s="3" t="n"/>
    </row>
    <row r="843">
      <c r="A843" s="6" t="n"/>
      <c r="B843" s="113">
        <f>IF($C843="","","GG"&amp;TEXT(ROW()-6,"00000"))</f>
        <v/>
      </c>
      <c r="C843" s="225" t="n"/>
      <c r="D843" s="108" t="n"/>
      <c r="E843" s="109" t="n"/>
      <c r="F843" s="109" t="n"/>
      <c r="G843" s="226" t="n"/>
      <c r="H843" s="108" t="n"/>
      <c r="I843" s="108" t="n"/>
      <c r="J843" s="109" t="n"/>
      <c r="K843" s="109" t="n"/>
      <c r="L843" s="121">
        <f>IF($C843="","",IF($D843="Gider",$E843,$H843))</f>
        <v/>
      </c>
      <c r="M843" s="121">
        <f>IF($C843="","",IF($D843="Gider",$H843,$E843))</f>
        <v/>
      </c>
      <c r="N843" s="231">
        <f>IF($C843="","",DATE(YEAR($C843),MONTH($C843),1))</f>
        <v/>
      </c>
      <c r="O843" s="113">
        <f>IF($C843="","",IF(AND($D843&lt;&gt;"",$E843&lt;&gt;"",$G843&gt;0,$H843&lt;&gt;"",$I843&lt;&gt;""),IF($C843&gt;TODAY(),"İLERİ TARİH","UYGUN"),"EKSİK"))</f>
        <v/>
      </c>
      <c r="P843" s="6" t="n"/>
      <c r="Q843" s="6" t="n"/>
      <c r="R843" s="3" t="n"/>
      <c r="S843" s="3" t="n"/>
      <c r="T843" s="3" t="n"/>
      <c r="U843" s="3" t="n"/>
      <c r="V843" s="3" t="n"/>
      <c r="W843" s="3" t="n"/>
    </row>
    <row r="844">
      <c r="A844" s="6" t="n"/>
      <c r="B844" s="113">
        <f>IF($C844="","","GG"&amp;TEXT(ROW()-6,"00000"))</f>
        <v/>
      </c>
      <c r="C844" s="225" t="n"/>
      <c r="D844" s="108" t="n"/>
      <c r="E844" s="109" t="n"/>
      <c r="F844" s="109" t="n"/>
      <c r="G844" s="226" t="n"/>
      <c r="H844" s="108" t="n"/>
      <c r="I844" s="108" t="n"/>
      <c r="J844" s="109" t="n"/>
      <c r="K844" s="109" t="n"/>
      <c r="L844" s="121">
        <f>IF($C844="","",IF($D844="Gider",$E844,$H844))</f>
        <v/>
      </c>
      <c r="M844" s="121">
        <f>IF($C844="","",IF($D844="Gider",$H844,$E844))</f>
        <v/>
      </c>
      <c r="N844" s="231">
        <f>IF($C844="","",DATE(YEAR($C844),MONTH($C844),1))</f>
        <v/>
      </c>
      <c r="O844" s="113">
        <f>IF($C844="","",IF(AND($D844&lt;&gt;"",$E844&lt;&gt;"",$G844&gt;0,$H844&lt;&gt;"",$I844&lt;&gt;""),IF($C844&gt;TODAY(),"İLERİ TARİH","UYGUN"),"EKSİK"))</f>
        <v/>
      </c>
      <c r="P844" s="6" t="n"/>
      <c r="Q844" s="6" t="n"/>
      <c r="R844" s="3" t="n"/>
      <c r="S844" s="3" t="n"/>
      <c r="T844" s="3" t="n"/>
      <c r="U844" s="3" t="n"/>
      <c r="V844" s="3" t="n"/>
      <c r="W844" s="3" t="n"/>
    </row>
    <row r="845">
      <c r="A845" s="6" t="n"/>
      <c r="B845" s="113">
        <f>IF($C845="","","GG"&amp;TEXT(ROW()-6,"00000"))</f>
        <v/>
      </c>
      <c r="C845" s="225" t="n"/>
      <c r="D845" s="108" t="n"/>
      <c r="E845" s="109" t="n"/>
      <c r="F845" s="109" t="n"/>
      <c r="G845" s="226" t="n"/>
      <c r="H845" s="108" t="n"/>
      <c r="I845" s="108" t="n"/>
      <c r="J845" s="109" t="n"/>
      <c r="K845" s="109" t="n"/>
      <c r="L845" s="121">
        <f>IF($C845="","",IF($D845="Gider",$E845,$H845))</f>
        <v/>
      </c>
      <c r="M845" s="121">
        <f>IF($C845="","",IF($D845="Gider",$H845,$E845))</f>
        <v/>
      </c>
      <c r="N845" s="231">
        <f>IF($C845="","",DATE(YEAR($C845),MONTH($C845),1))</f>
        <v/>
      </c>
      <c r="O845" s="113">
        <f>IF($C845="","",IF(AND($D845&lt;&gt;"",$E845&lt;&gt;"",$G845&gt;0,$H845&lt;&gt;"",$I845&lt;&gt;""),IF($C845&gt;TODAY(),"İLERİ TARİH","UYGUN"),"EKSİK"))</f>
        <v/>
      </c>
      <c r="P845" s="6" t="n"/>
      <c r="Q845" s="6" t="n"/>
      <c r="R845" s="3" t="n"/>
      <c r="S845" s="3" t="n"/>
      <c r="T845" s="3" t="n"/>
      <c r="U845" s="3" t="n"/>
      <c r="V845" s="3" t="n"/>
      <c r="W845" s="3" t="n"/>
    </row>
    <row r="846">
      <c r="A846" s="6" t="n"/>
      <c r="B846" s="113">
        <f>IF($C846="","","GG"&amp;TEXT(ROW()-6,"00000"))</f>
        <v/>
      </c>
      <c r="C846" s="225" t="n"/>
      <c r="D846" s="108" t="n"/>
      <c r="E846" s="109" t="n"/>
      <c r="F846" s="109" t="n"/>
      <c r="G846" s="226" t="n"/>
      <c r="H846" s="108" t="n"/>
      <c r="I846" s="108" t="n"/>
      <c r="J846" s="109" t="n"/>
      <c r="K846" s="109" t="n"/>
      <c r="L846" s="121">
        <f>IF($C846="","",IF($D846="Gider",$E846,$H846))</f>
        <v/>
      </c>
      <c r="M846" s="121">
        <f>IF($C846="","",IF($D846="Gider",$H846,$E846))</f>
        <v/>
      </c>
      <c r="N846" s="231">
        <f>IF($C846="","",DATE(YEAR($C846),MONTH($C846),1))</f>
        <v/>
      </c>
      <c r="O846" s="113">
        <f>IF($C846="","",IF(AND($D846&lt;&gt;"",$E846&lt;&gt;"",$G846&gt;0,$H846&lt;&gt;"",$I846&lt;&gt;""),IF($C846&gt;TODAY(),"İLERİ TARİH","UYGUN"),"EKSİK"))</f>
        <v/>
      </c>
      <c r="P846" s="6" t="n"/>
      <c r="Q846" s="6" t="n"/>
      <c r="R846" s="3" t="n"/>
      <c r="S846" s="3" t="n"/>
      <c r="T846" s="3" t="n"/>
      <c r="U846" s="3" t="n"/>
      <c r="V846" s="3" t="n"/>
      <c r="W846" s="3" t="n"/>
    </row>
    <row r="847">
      <c r="A847" s="6" t="n"/>
      <c r="B847" s="113">
        <f>IF($C847="","","GG"&amp;TEXT(ROW()-6,"00000"))</f>
        <v/>
      </c>
      <c r="C847" s="225" t="n"/>
      <c r="D847" s="108" t="n"/>
      <c r="E847" s="109" t="n"/>
      <c r="F847" s="109" t="n"/>
      <c r="G847" s="226" t="n"/>
      <c r="H847" s="108" t="n"/>
      <c r="I847" s="108" t="n"/>
      <c r="J847" s="109" t="n"/>
      <c r="K847" s="109" t="n"/>
      <c r="L847" s="121">
        <f>IF($C847="","",IF($D847="Gider",$E847,$H847))</f>
        <v/>
      </c>
      <c r="M847" s="121">
        <f>IF($C847="","",IF($D847="Gider",$H847,$E847))</f>
        <v/>
      </c>
      <c r="N847" s="231">
        <f>IF($C847="","",DATE(YEAR($C847),MONTH($C847),1))</f>
        <v/>
      </c>
      <c r="O847" s="113">
        <f>IF($C847="","",IF(AND($D847&lt;&gt;"",$E847&lt;&gt;"",$G847&gt;0,$H847&lt;&gt;"",$I847&lt;&gt;""),IF($C847&gt;TODAY(),"İLERİ TARİH","UYGUN"),"EKSİK"))</f>
        <v/>
      </c>
      <c r="P847" s="6" t="n"/>
      <c r="Q847" s="6" t="n"/>
      <c r="R847" s="3" t="n"/>
      <c r="S847" s="3" t="n"/>
      <c r="T847" s="3" t="n"/>
      <c r="U847" s="3" t="n"/>
      <c r="V847" s="3" t="n"/>
      <c r="W847" s="3" t="n"/>
    </row>
    <row r="848">
      <c r="A848" s="6" t="n"/>
      <c r="B848" s="113">
        <f>IF($C848="","","GG"&amp;TEXT(ROW()-6,"00000"))</f>
        <v/>
      </c>
      <c r="C848" s="225" t="n"/>
      <c r="D848" s="108" t="n"/>
      <c r="E848" s="109" t="n"/>
      <c r="F848" s="109" t="n"/>
      <c r="G848" s="226" t="n"/>
      <c r="H848" s="108" t="n"/>
      <c r="I848" s="108" t="n"/>
      <c r="J848" s="109" t="n"/>
      <c r="K848" s="109" t="n"/>
      <c r="L848" s="121">
        <f>IF($C848="","",IF($D848="Gider",$E848,$H848))</f>
        <v/>
      </c>
      <c r="M848" s="121">
        <f>IF($C848="","",IF($D848="Gider",$H848,$E848))</f>
        <v/>
      </c>
      <c r="N848" s="231">
        <f>IF($C848="","",DATE(YEAR($C848),MONTH($C848),1))</f>
        <v/>
      </c>
      <c r="O848" s="113">
        <f>IF($C848="","",IF(AND($D848&lt;&gt;"",$E848&lt;&gt;"",$G848&gt;0,$H848&lt;&gt;"",$I848&lt;&gt;""),IF($C848&gt;TODAY(),"İLERİ TARİH","UYGUN"),"EKSİK"))</f>
        <v/>
      </c>
      <c r="P848" s="6" t="n"/>
      <c r="Q848" s="6" t="n"/>
      <c r="R848" s="3" t="n"/>
      <c r="S848" s="3" t="n"/>
      <c r="T848" s="3" t="n"/>
      <c r="U848" s="3" t="n"/>
      <c r="V848" s="3" t="n"/>
      <c r="W848" s="3" t="n"/>
    </row>
    <row r="849">
      <c r="A849" s="6" t="n"/>
      <c r="B849" s="113">
        <f>IF($C849="","","GG"&amp;TEXT(ROW()-6,"00000"))</f>
        <v/>
      </c>
      <c r="C849" s="225" t="n"/>
      <c r="D849" s="108" t="n"/>
      <c r="E849" s="109" t="n"/>
      <c r="F849" s="109" t="n"/>
      <c r="G849" s="226" t="n"/>
      <c r="H849" s="108" t="n"/>
      <c r="I849" s="108" t="n"/>
      <c r="J849" s="109" t="n"/>
      <c r="K849" s="109" t="n"/>
      <c r="L849" s="121">
        <f>IF($C849="","",IF($D849="Gider",$E849,$H849))</f>
        <v/>
      </c>
      <c r="M849" s="121">
        <f>IF($C849="","",IF($D849="Gider",$H849,$E849))</f>
        <v/>
      </c>
      <c r="N849" s="231">
        <f>IF($C849="","",DATE(YEAR($C849),MONTH($C849),1))</f>
        <v/>
      </c>
      <c r="O849" s="113">
        <f>IF($C849="","",IF(AND($D849&lt;&gt;"",$E849&lt;&gt;"",$G849&gt;0,$H849&lt;&gt;"",$I849&lt;&gt;""),IF($C849&gt;TODAY(),"İLERİ TARİH","UYGUN"),"EKSİK"))</f>
        <v/>
      </c>
      <c r="P849" s="6" t="n"/>
      <c r="Q849" s="6" t="n"/>
      <c r="R849" s="3" t="n"/>
      <c r="S849" s="3" t="n"/>
      <c r="T849" s="3" t="n"/>
      <c r="U849" s="3" t="n"/>
      <c r="V849" s="3" t="n"/>
      <c r="W849" s="3" t="n"/>
    </row>
    <row r="850">
      <c r="A850" s="6" t="n"/>
      <c r="B850" s="113">
        <f>IF($C850="","","GG"&amp;TEXT(ROW()-6,"00000"))</f>
        <v/>
      </c>
      <c r="C850" s="225" t="n"/>
      <c r="D850" s="108" t="n"/>
      <c r="E850" s="109" t="n"/>
      <c r="F850" s="109" t="n"/>
      <c r="G850" s="226" t="n"/>
      <c r="H850" s="108" t="n"/>
      <c r="I850" s="108" t="n"/>
      <c r="J850" s="109" t="n"/>
      <c r="K850" s="109" t="n"/>
      <c r="L850" s="121">
        <f>IF($C850="","",IF($D850="Gider",$E850,$H850))</f>
        <v/>
      </c>
      <c r="M850" s="121">
        <f>IF($C850="","",IF($D850="Gider",$H850,$E850))</f>
        <v/>
      </c>
      <c r="N850" s="231">
        <f>IF($C850="","",DATE(YEAR($C850),MONTH($C850),1))</f>
        <v/>
      </c>
      <c r="O850" s="113">
        <f>IF($C850="","",IF(AND($D850&lt;&gt;"",$E850&lt;&gt;"",$G850&gt;0,$H850&lt;&gt;"",$I850&lt;&gt;""),IF($C850&gt;TODAY(),"İLERİ TARİH","UYGUN"),"EKSİK"))</f>
        <v/>
      </c>
      <c r="P850" s="6" t="n"/>
      <c r="Q850" s="6" t="n"/>
      <c r="R850" s="3" t="n"/>
      <c r="S850" s="3" t="n"/>
      <c r="T850" s="3" t="n"/>
      <c r="U850" s="3" t="n"/>
      <c r="V850" s="3" t="n"/>
      <c r="W850" s="3" t="n"/>
    </row>
    <row r="851">
      <c r="A851" s="6" t="n"/>
      <c r="B851" s="113">
        <f>IF($C851="","","GG"&amp;TEXT(ROW()-6,"00000"))</f>
        <v/>
      </c>
      <c r="C851" s="225" t="n"/>
      <c r="D851" s="108" t="n"/>
      <c r="E851" s="109" t="n"/>
      <c r="F851" s="109" t="n"/>
      <c r="G851" s="226" t="n"/>
      <c r="H851" s="108" t="n"/>
      <c r="I851" s="108" t="n"/>
      <c r="J851" s="109" t="n"/>
      <c r="K851" s="109" t="n"/>
      <c r="L851" s="121">
        <f>IF($C851="","",IF($D851="Gider",$E851,$H851))</f>
        <v/>
      </c>
      <c r="M851" s="121">
        <f>IF($C851="","",IF($D851="Gider",$H851,$E851))</f>
        <v/>
      </c>
      <c r="N851" s="231">
        <f>IF($C851="","",DATE(YEAR($C851),MONTH($C851),1))</f>
        <v/>
      </c>
      <c r="O851" s="113">
        <f>IF($C851="","",IF(AND($D851&lt;&gt;"",$E851&lt;&gt;"",$G851&gt;0,$H851&lt;&gt;"",$I851&lt;&gt;""),IF($C851&gt;TODAY(),"İLERİ TARİH","UYGUN"),"EKSİK"))</f>
        <v/>
      </c>
      <c r="P851" s="6" t="n"/>
      <c r="Q851" s="6" t="n"/>
      <c r="R851" s="3" t="n"/>
      <c r="S851" s="3" t="n"/>
      <c r="T851" s="3" t="n"/>
      <c r="U851" s="3" t="n"/>
      <c r="V851" s="3" t="n"/>
      <c r="W851" s="3" t="n"/>
    </row>
    <row r="852">
      <c r="A852" s="6" t="n"/>
      <c r="B852" s="113">
        <f>IF($C852="","","GG"&amp;TEXT(ROW()-6,"00000"))</f>
        <v/>
      </c>
      <c r="C852" s="225" t="n"/>
      <c r="D852" s="108" t="n"/>
      <c r="E852" s="109" t="n"/>
      <c r="F852" s="109" t="n"/>
      <c r="G852" s="226" t="n"/>
      <c r="H852" s="108" t="n"/>
      <c r="I852" s="108" t="n"/>
      <c r="J852" s="109" t="n"/>
      <c r="K852" s="109" t="n"/>
      <c r="L852" s="121">
        <f>IF($C852="","",IF($D852="Gider",$E852,$H852))</f>
        <v/>
      </c>
      <c r="M852" s="121">
        <f>IF($C852="","",IF($D852="Gider",$H852,$E852))</f>
        <v/>
      </c>
      <c r="N852" s="231">
        <f>IF($C852="","",DATE(YEAR($C852),MONTH($C852),1))</f>
        <v/>
      </c>
      <c r="O852" s="113">
        <f>IF($C852="","",IF(AND($D852&lt;&gt;"",$E852&lt;&gt;"",$G852&gt;0,$H852&lt;&gt;"",$I852&lt;&gt;""),IF($C852&gt;TODAY(),"İLERİ TARİH","UYGUN"),"EKSİK"))</f>
        <v/>
      </c>
      <c r="P852" s="6" t="n"/>
      <c r="Q852" s="6" t="n"/>
      <c r="R852" s="3" t="n"/>
      <c r="S852" s="3" t="n"/>
      <c r="T852" s="3" t="n"/>
      <c r="U852" s="3" t="n"/>
      <c r="V852" s="3" t="n"/>
      <c r="W852" s="3" t="n"/>
    </row>
    <row r="853">
      <c r="A853" s="6" t="n"/>
      <c r="B853" s="113">
        <f>IF($C853="","","GG"&amp;TEXT(ROW()-6,"00000"))</f>
        <v/>
      </c>
      <c r="C853" s="225" t="n"/>
      <c r="D853" s="108" t="n"/>
      <c r="E853" s="109" t="n"/>
      <c r="F853" s="109" t="n"/>
      <c r="G853" s="226" t="n"/>
      <c r="H853" s="108" t="n"/>
      <c r="I853" s="108" t="n"/>
      <c r="J853" s="109" t="n"/>
      <c r="K853" s="109" t="n"/>
      <c r="L853" s="121">
        <f>IF($C853="","",IF($D853="Gider",$E853,$H853))</f>
        <v/>
      </c>
      <c r="M853" s="121">
        <f>IF($C853="","",IF($D853="Gider",$H853,$E853))</f>
        <v/>
      </c>
      <c r="N853" s="231">
        <f>IF($C853="","",DATE(YEAR($C853),MONTH($C853),1))</f>
        <v/>
      </c>
      <c r="O853" s="113">
        <f>IF($C853="","",IF(AND($D853&lt;&gt;"",$E853&lt;&gt;"",$G853&gt;0,$H853&lt;&gt;"",$I853&lt;&gt;""),IF($C853&gt;TODAY(),"İLERİ TARİH","UYGUN"),"EKSİK"))</f>
        <v/>
      </c>
      <c r="P853" s="6" t="n"/>
      <c r="Q853" s="6" t="n"/>
      <c r="R853" s="3" t="n"/>
      <c r="S853" s="3" t="n"/>
      <c r="T853" s="3" t="n"/>
      <c r="U853" s="3" t="n"/>
      <c r="V853" s="3" t="n"/>
      <c r="W853" s="3" t="n"/>
    </row>
    <row r="854">
      <c r="A854" s="6" t="n"/>
      <c r="B854" s="113">
        <f>IF($C854="","","GG"&amp;TEXT(ROW()-6,"00000"))</f>
        <v/>
      </c>
      <c r="C854" s="225" t="n"/>
      <c r="D854" s="108" t="n"/>
      <c r="E854" s="109" t="n"/>
      <c r="F854" s="109" t="n"/>
      <c r="G854" s="226" t="n"/>
      <c r="H854" s="108" t="n"/>
      <c r="I854" s="108" t="n"/>
      <c r="J854" s="109" t="n"/>
      <c r="K854" s="109" t="n"/>
      <c r="L854" s="121">
        <f>IF($C854="","",IF($D854="Gider",$E854,$H854))</f>
        <v/>
      </c>
      <c r="M854" s="121">
        <f>IF($C854="","",IF($D854="Gider",$H854,$E854))</f>
        <v/>
      </c>
      <c r="N854" s="231">
        <f>IF($C854="","",DATE(YEAR($C854),MONTH($C854),1))</f>
        <v/>
      </c>
      <c r="O854" s="113">
        <f>IF($C854="","",IF(AND($D854&lt;&gt;"",$E854&lt;&gt;"",$G854&gt;0,$H854&lt;&gt;"",$I854&lt;&gt;""),IF($C854&gt;TODAY(),"İLERİ TARİH","UYGUN"),"EKSİK"))</f>
        <v/>
      </c>
      <c r="P854" s="6" t="n"/>
      <c r="Q854" s="6" t="n"/>
      <c r="R854" s="3" t="n"/>
      <c r="S854" s="3" t="n"/>
      <c r="T854" s="3" t="n"/>
      <c r="U854" s="3" t="n"/>
      <c r="V854" s="3" t="n"/>
      <c r="W854" s="3" t="n"/>
    </row>
    <row r="855">
      <c r="A855" s="6" t="n"/>
      <c r="B855" s="113">
        <f>IF($C855="","","GG"&amp;TEXT(ROW()-6,"00000"))</f>
        <v/>
      </c>
      <c r="C855" s="225" t="n"/>
      <c r="D855" s="108" t="n"/>
      <c r="E855" s="109" t="n"/>
      <c r="F855" s="109" t="n"/>
      <c r="G855" s="226" t="n"/>
      <c r="H855" s="108" t="n"/>
      <c r="I855" s="108" t="n"/>
      <c r="J855" s="109" t="n"/>
      <c r="K855" s="109" t="n"/>
      <c r="L855" s="121">
        <f>IF($C855="","",IF($D855="Gider",$E855,$H855))</f>
        <v/>
      </c>
      <c r="M855" s="121">
        <f>IF($C855="","",IF($D855="Gider",$H855,$E855))</f>
        <v/>
      </c>
      <c r="N855" s="231">
        <f>IF($C855="","",DATE(YEAR($C855),MONTH($C855),1))</f>
        <v/>
      </c>
      <c r="O855" s="113">
        <f>IF($C855="","",IF(AND($D855&lt;&gt;"",$E855&lt;&gt;"",$G855&gt;0,$H855&lt;&gt;"",$I855&lt;&gt;""),IF($C855&gt;TODAY(),"İLERİ TARİH","UYGUN"),"EKSİK"))</f>
        <v/>
      </c>
      <c r="P855" s="6" t="n"/>
      <c r="Q855" s="6" t="n"/>
      <c r="R855" s="3" t="n"/>
      <c r="S855" s="3" t="n"/>
      <c r="T855" s="3" t="n"/>
      <c r="U855" s="3" t="n"/>
      <c r="V855" s="3" t="n"/>
      <c r="W855" s="3" t="n"/>
    </row>
    <row r="856">
      <c r="A856" s="6" t="n"/>
      <c r="B856" s="113">
        <f>IF($C856="","","GG"&amp;TEXT(ROW()-6,"00000"))</f>
        <v/>
      </c>
      <c r="C856" s="225" t="n"/>
      <c r="D856" s="108" t="n"/>
      <c r="E856" s="109" t="n"/>
      <c r="F856" s="109" t="n"/>
      <c r="G856" s="226" t="n"/>
      <c r="H856" s="108" t="n"/>
      <c r="I856" s="108" t="n"/>
      <c r="J856" s="109" t="n"/>
      <c r="K856" s="109" t="n"/>
      <c r="L856" s="121">
        <f>IF($C856="","",IF($D856="Gider",$E856,$H856))</f>
        <v/>
      </c>
      <c r="M856" s="121">
        <f>IF($C856="","",IF($D856="Gider",$H856,$E856))</f>
        <v/>
      </c>
      <c r="N856" s="231">
        <f>IF($C856="","",DATE(YEAR($C856),MONTH($C856),1))</f>
        <v/>
      </c>
      <c r="O856" s="113">
        <f>IF($C856="","",IF(AND($D856&lt;&gt;"",$E856&lt;&gt;"",$G856&gt;0,$H856&lt;&gt;"",$I856&lt;&gt;""),IF($C856&gt;TODAY(),"İLERİ TARİH","UYGUN"),"EKSİK"))</f>
        <v/>
      </c>
      <c r="P856" s="6" t="n"/>
      <c r="Q856" s="6" t="n"/>
      <c r="R856" s="3" t="n"/>
      <c r="S856" s="3" t="n"/>
      <c r="T856" s="3" t="n"/>
      <c r="U856" s="3" t="n"/>
      <c r="V856" s="3" t="n"/>
      <c r="W856" s="3" t="n"/>
    </row>
    <row r="857">
      <c r="A857" s="6" t="n"/>
      <c r="B857" s="113">
        <f>IF($C857="","","GG"&amp;TEXT(ROW()-6,"00000"))</f>
        <v/>
      </c>
      <c r="C857" s="225" t="n"/>
      <c r="D857" s="108" t="n"/>
      <c r="E857" s="109" t="n"/>
      <c r="F857" s="109" t="n"/>
      <c r="G857" s="226" t="n"/>
      <c r="H857" s="108" t="n"/>
      <c r="I857" s="108" t="n"/>
      <c r="J857" s="109" t="n"/>
      <c r="K857" s="109" t="n"/>
      <c r="L857" s="121">
        <f>IF($C857="","",IF($D857="Gider",$E857,$H857))</f>
        <v/>
      </c>
      <c r="M857" s="121">
        <f>IF($C857="","",IF($D857="Gider",$H857,$E857))</f>
        <v/>
      </c>
      <c r="N857" s="231">
        <f>IF($C857="","",DATE(YEAR($C857),MONTH($C857),1))</f>
        <v/>
      </c>
      <c r="O857" s="113">
        <f>IF($C857="","",IF(AND($D857&lt;&gt;"",$E857&lt;&gt;"",$G857&gt;0,$H857&lt;&gt;"",$I857&lt;&gt;""),IF($C857&gt;TODAY(),"İLERİ TARİH","UYGUN"),"EKSİK"))</f>
        <v/>
      </c>
      <c r="P857" s="6" t="n"/>
      <c r="Q857" s="6" t="n"/>
      <c r="R857" s="3" t="n"/>
      <c r="S857" s="3" t="n"/>
      <c r="T857" s="3" t="n"/>
      <c r="U857" s="3" t="n"/>
      <c r="V857" s="3" t="n"/>
      <c r="W857" s="3" t="n"/>
    </row>
    <row r="858">
      <c r="A858" s="6" t="n"/>
      <c r="B858" s="113">
        <f>IF($C858="","","GG"&amp;TEXT(ROW()-6,"00000"))</f>
        <v/>
      </c>
      <c r="C858" s="225" t="n"/>
      <c r="D858" s="108" t="n"/>
      <c r="E858" s="109" t="n"/>
      <c r="F858" s="109" t="n"/>
      <c r="G858" s="226" t="n"/>
      <c r="H858" s="108" t="n"/>
      <c r="I858" s="108" t="n"/>
      <c r="J858" s="109" t="n"/>
      <c r="K858" s="109" t="n"/>
      <c r="L858" s="121">
        <f>IF($C858="","",IF($D858="Gider",$E858,$H858))</f>
        <v/>
      </c>
      <c r="M858" s="121">
        <f>IF($C858="","",IF($D858="Gider",$H858,$E858))</f>
        <v/>
      </c>
      <c r="N858" s="231">
        <f>IF($C858="","",DATE(YEAR($C858),MONTH($C858),1))</f>
        <v/>
      </c>
      <c r="O858" s="113">
        <f>IF($C858="","",IF(AND($D858&lt;&gt;"",$E858&lt;&gt;"",$G858&gt;0,$H858&lt;&gt;"",$I858&lt;&gt;""),IF($C858&gt;TODAY(),"İLERİ TARİH","UYGUN"),"EKSİK"))</f>
        <v/>
      </c>
      <c r="P858" s="6" t="n"/>
      <c r="Q858" s="6" t="n"/>
      <c r="R858" s="3" t="n"/>
      <c r="S858" s="3" t="n"/>
      <c r="T858" s="3" t="n"/>
      <c r="U858" s="3" t="n"/>
      <c r="V858" s="3" t="n"/>
      <c r="W858" s="3" t="n"/>
    </row>
    <row r="859">
      <c r="A859" s="6" t="n"/>
      <c r="B859" s="113">
        <f>IF($C859="","","GG"&amp;TEXT(ROW()-6,"00000"))</f>
        <v/>
      </c>
      <c r="C859" s="225" t="n"/>
      <c r="D859" s="108" t="n"/>
      <c r="E859" s="109" t="n"/>
      <c r="F859" s="109" t="n"/>
      <c r="G859" s="226" t="n"/>
      <c r="H859" s="108" t="n"/>
      <c r="I859" s="108" t="n"/>
      <c r="J859" s="109" t="n"/>
      <c r="K859" s="109" t="n"/>
      <c r="L859" s="121">
        <f>IF($C859="","",IF($D859="Gider",$E859,$H859))</f>
        <v/>
      </c>
      <c r="M859" s="121">
        <f>IF($C859="","",IF($D859="Gider",$H859,$E859))</f>
        <v/>
      </c>
      <c r="N859" s="231">
        <f>IF($C859="","",DATE(YEAR($C859),MONTH($C859),1))</f>
        <v/>
      </c>
      <c r="O859" s="113">
        <f>IF($C859="","",IF(AND($D859&lt;&gt;"",$E859&lt;&gt;"",$G859&gt;0,$H859&lt;&gt;"",$I859&lt;&gt;""),IF($C859&gt;TODAY(),"İLERİ TARİH","UYGUN"),"EKSİK"))</f>
        <v/>
      </c>
      <c r="P859" s="6" t="n"/>
      <c r="Q859" s="6" t="n"/>
      <c r="R859" s="3" t="n"/>
      <c r="S859" s="3" t="n"/>
      <c r="T859" s="3" t="n"/>
      <c r="U859" s="3" t="n"/>
      <c r="V859" s="3" t="n"/>
      <c r="W859" s="3" t="n"/>
    </row>
    <row r="860">
      <c r="A860" s="6" t="n"/>
      <c r="B860" s="113">
        <f>IF($C860="","","GG"&amp;TEXT(ROW()-6,"00000"))</f>
        <v/>
      </c>
      <c r="C860" s="225" t="n"/>
      <c r="D860" s="108" t="n"/>
      <c r="E860" s="109" t="n"/>
      <c r="F860" s="109" t="n"/>
      <c r="G860" s="226" t="n"/>
      <c r="H860" s="108" t="n"/>
      <c r="I860" s="108" t="n"/>
      <c r="J860" s="109" t="n"/>
      <c r="K860" s="109" t="n"/>
      <c r="L860" s="121">
        <f>IF($C860="","",IF($D860="Gider",$E860,$H860))</f>
        <v/>
      </c>
      <c r="M860" s="121">
        <f>IF($C860="","",IF($D860="Gider",$H860,$E860))</f>
        <v/>
      </c>
      <c r="N860" s="231">
        <f>IF($C860="","",DATE(YEAR($C860),MONTH($C860),1))</f>
        <v/>
      </c>
      <c r="O860" s="113">
        <f>IF($C860="","",IF(AND($D860&lt;&gt;"",$E860&lt;&gt;"",$G860&gt;0,$H860&lt;&gt;"",$I860&lt;&gt;""),IF($C860&gt;TODAY(),"İLERİ TARİH","UYGUN"),"EKSİK"))</f>
        <v/>
      </c>
      <c r="P860" s="6" t="n"/>
      <c r="Q860" s="6" t="n"/>
      <c r="R860" s="3" t="n"/>
      <c r="S860" s="3" t="n"/>
      <c r="T860" s="3" t="n"/>
      <c r="U860" s="3" t="n"/>
      <c r="V860" s="3" t="n"/>
      <c r="W860" s="3" t="n"/>
    </row>
    <row r="861">
      <c r="A861" s="6" t="n"/>
      <c r="B861" s="113">
        <f>IF($C861="","","GG"&amp;TEXT(ROW()-6,"00000"))</f>
        <v/>
      </c>
      <c r="C861" s="225" t="n"/>
      <c r="D861" s="108" t="n"/>
      <c r="E861" s="109" t="n"/>
      <c r="F861" s="109" t="n"/>
      <c r="G861" s="226" t="n"/>
      <c r="H861" s="108" t="n"/>
      <c r="I861" s="108" t="n"/>
      <c r="J861" s="109" t="n"/>
      <c r="K861" s="109" t="n"/>
      <c r="L861" s="121">
        <f>IF($C861="","",IF($D861="Gider",$E861,$H861))</f>
        <v/>
      </c>
      <c r="M861" s="121">
        <f>IF($C861="","",IF($D861="Gider",$H861,$E861))</f>
        <v/>
      </c>
      <c r="N861" s="231">
        <f>IF($C861="","",DATE(YEAR($C861),MONTH($C861),1))</f>
        <v/>
      </c>
      <c r="O861" s="113">
        <f>IF($C861="","",IF(AND($D861&lt;&gt;"",$E861&lt;&gt;"",$G861&gt;0,$H861&lt;&gt;"",$I861&lt;&gt;""),IF($C861&gt;TODAY(),"İLERİ TARİH","UYGUN"),"EKSİK"))</f>
        <v/>
      </c>
      <c r="P861" s="6" t="n"/>
      <c r="Q861" s="6" t="n"/>
      <c r="R861" s="3" t="n"/>
      <c r="S861" s="3" t="n"/>
      <c r="T861" s="3" t="n"/>
      <c r="U861" s="3" t="n"/>
      <c r="V861" s="3" t="n"/>
      <c r="W861" s="3" t="n"/>
    </row>
    <row r="862">
      <c r="A862" s="6" t="n"/>
      <c r="B862" s="113">
        <f>IF($C862="","","GG"&amp;TEXT(ROW()-6,"00000"))</f>
        <v/>
      </c>
      <c r="C862" s="225" t="n"/>
      <c r="D862" s="108" t="n"/>
      <c r="E862" s="109" t="n"/>
      <c r="F862" s="109" t="n"/>
      <c r="G862" s="226" t="n"/>
      <c r="H862" s="108" t="n"/>
      <c r="I862" s="108" t="n"/>
      <c r="J862" s="109" t="n"/>
      <c r="K862" s="109" t="n"/>
      <c r="L862" s="121">
        <f>IF($C862="","",IF($D862="Gider",$E862,$H862))</f>
        <v/>
      </c>
      <c r="M862" s="121">
        <f>IF($C862="","",IF($D862="Gider",$H862,$E862))</f>
        <v/>
      </c>
      <c r="N862" s="231">
        <f>IF($C862="","",DATE(YEAR($C862),MONTH($C862),1))</f>
        <v/>
      </c>
      <c r="O862" s="113">
        <f>IF($C862="","",IF(AND($D862&lt;&gt;"",$E862&lt;&gt;"",$G862&gt;0,$H862&lt;&gt;"",$I862&lt;&gt;""),IF($C862&gt;TODAY(),"İLERİ TARİH","UYGUN"),"EKSİK"))</f>
        <v/>
      </c>
      <c r="P862" s="6" t="n"/>
      <c r="Q862" s="6" t="n"/>
      <c r="R862" s="3" t="n"/>
      <c r="S862" s="3" t="n"/>
      <c r="T862" s="3" t="n"/>
      <c r="U862" s="3" t="n"/>
      <c r="V862" s="3" t="n"/>
      <c r="W862" s="3" t="n"/>
    </row>
    <row r="863">
      <c r="A863" s="6" t="n"/>
      <c r="B863" s="113">
        <f>IF($C863="","","GG"&amp;TEXT(ROW()-6,"00000"))</f>
        <v/>
      </c>
      <c r="C863" s="225" t="n"/>
      <c r="D863" s="108" t="n"/>
      <c r="E863" s="109" t="n"/>
      <c r="F863" s="109" t="n"/>
      <c r="G863" s="226" t="n"/>
      <c r="H863" s="108" t="n"/>
      <c r="I863" s="108" t="n"/>
      <c r="J863" s="109" t="n"/>
      <c r="K863" s="109" t="n"/>
      <c r="L863" s="121">
        <f>IF($C863="","",IF($D863="Gider",$E863,$H863))</f>
        <v/>
      </c>
      <c r="M863" s="121">
        <f>IF($C863="","",IF($D863="Gider",$H863,$E863))</f>
        <v/>
      </c>
      <c r="N863" s="231">
        <f>IF($C863="","",DATE(YEAR($C863),MONTH($C863),1))</f>
        <v/>
      </c>
      <c r="O863" s="113">
        <f>IF($C863="","",IF(AND($D863&lt;&gt;"",$E863&lt;&gt;"",$G863&gt;0,$H863&lt;&gt;"",$I863&lt;&gt;""),IF($C863&gt;TODAY(),"İLERİ TARİH","UYGUN"),"EKSİK"))</f>
        <v/>
      </c>
      <c r="P863" s="6" t="n"/>
      <c r="Q863" s="6" t="n"/>
      <c r="R863" s="3" t="n"/>
      <c r="S863" s="3" t="n"/>
      <c r="T863" s="3" t="n"/>
      <c r="U863" s="3" t="n"/>
      <c r="V863" s="3" t="n"/>
      <c r="W863" s="3" t="n"/>
    </row>
    <row r="864">
      <c r="A864" s="6" t="n"/>
      <c r="B864" s="113">
        <f>IF($C864="","","GG"&amp;TEXT(ROW()-6,"00000"))</f>
        <v/>
      </c>
      <c r="C864" s="225" t="n"/>
      <c r="D864" s="108" t="n"/>
      <c r="E864" s="109" t="n"/>
      <c r="F864" s="109" t="n"/>
      <c r="G864" s="226" t="n"/>
      <c r="H864" s="108" t="n"/>
      <c r="I864" s="108" t="n"/>
      <c r="J864" s="109" t="n"/>
      <c r="K864" s="109" t="n"/>
      <c r="L864" s="121">
        <f>IF($C864="","",IF($D864="Gider",$E864,$H864))</f>
        <v/>
      </c>
      <c r="M864" s="121">
        <f>IF($C864="","",IF($D864="Gider",$H864,$E864))</f>
        <v/>
      </c>
      <c r="N864" s="231">
        <f>IF($C864="","",DATE(YEAR($C864),MONTH($C864),1))</f>
        <v/>
      </c>
      <c r="O864" s="113">
        <f>IF($C864="","",IF(AND($D864&lt;&gt;"",$E864&lt;&gt;"",$G864&gt;0,$H864&lt;&gt;"",$I864&lt;&gt;""),IF($C864&gt;TODAY(),"İLERİ TARİH","UYGUN"),"EKSİK"))</f>
        <v/>
      </c>
      <c r="P864" s="6" t="n"/>
      <c r="Q864" s="6" t="n"/>
      <c r="R864" s="3" t="n"/>
      <c r="S864" s="3" t="n"/>
      <c r="T864" s="3" t="n"/>
      <c r="U864" s="3" t="n"/>
      <c r="V864" s="3" t="n"/>
      <c r="W864" s="3" t="n"/>
    </row>
    <row r="865">
      <c r="A865" s="6" t="n"/>
      <c r="B865" s="113">
        <f>IF($C865="","","GG"&amp;TEXT(ROW()-6,"00000"))</f>
        <v/>
      </c>
      <c r="C865" s="225" t="n"/>
      <c r="D865" s="108" t="n"/>
      <c r="E865" s="109" t="n"/>
      <c r="F865" s="109" t="n"/>
      <c r="G865" s="226" t="n"/>
      <c r="H865" s="108" t="n"/>
      <c r="I865" s="108" t="n"/>
      <c r="J865" s="109" t="n"/>
      <c r="K865" s="109" t="n"/>
      <c r="L865" s="121">
        <f>IF($C865="","",IF($D865="Gider",$E865,$H865))</f>
        <v/>
      </c>
      <c r="M865" s="121">
        <f>IF($C865="","",IF($D865="Gider",$H865,$E865))</f>
        <v/>
      </c>
      <c r="N865" s="231">
        <f>IF($C865="","",DATE(YEAR($C865),MONTH($C865),1))</f>
        <v/>
      </c>
      <c r="O865" s="113">
        <f>IF($C865="","",IF(AND($D865&lt;&gt;"",$E865&lt;&gt;"",$G865&gt;0,$H865&lt;&gt;"",$I865&lt;&gt;""),IF($C865&gt;TODAY(),"İLERİ TARİH","UYGUN"),"EKSİK"))</f>
        <v/>
      </c>
      <c r="P865" s="6" t="n"/>
      <c r="Q865" s="6" t="n"/>
      <c r="R865" s="3" t="n"/>
      <c r="S865" s="3" t="n"/>
      <c r="T865" s="3" t="n"/>
      <c r="U865" s="3" t="n"/>
      <c r="V865" s="3" t="n"/>
      <c r="W865" s="3" t="n"/>
    </row>
    <row r="866">
      <c r="A866" s="6" t="n"/>
      <c r="B866" s="113">
        <f>IF($C866="","","GG"&amp;TEXT(ROW()-6,"00000"))</f>
        <v/>
      </c>
      <c r="C866" s="225" t="n"/>
      <c r="D866" s="108" t="n"/>
      <c r="E866" s="109" t="n"/>
      <c r="F866" s="109" t="n"/>
      <c r="G866" s="226" t="n"/>
      <c r="H866" s="108" t="n"/>
      <c r="I866" s="108" t="n"/>
      <c r="J866" s="109" t="n"/>
      <c r="K866" s="109" t="n"/>
      <c r="L866" s="121">
        <f>IF($C866="","",IF($D866="Gider",$E866,$H866))</f>
        <v/>
      </c>
      <c r="M866" s="121">
        <f>IF($C866="","",IF($D866="Gider",$H866,$E866))</f>
        <v/>
      </c>
      <c r="N866" s="231">
        <f>IF($C866="","",DATE(YEAR($C866),MONTH($C866),1))</f>
        <v/>
      </c>
      <c r="O866" s="113">
        <f>IF($C866="","",IF(AND($D866&lt;&gt;"",$E866&lt;&gt;"",$G866&gt;0,$H866&lt;&gt;"",$I866&lt;&gt;""),IF($C866&gt;TODAY(),"İLERİ TARİH","UYGUN"),"EKSİK"))</f>
        <v/>
      </c>
      <c r="P866" s="6" t="n"/>
      <c r="Q866" s="6" t="n"/>
      <c r="R866" s="3" t="n"/>
      <c r="S866" s="3" t="n"/>
      <c r="T866" s="3" t="n"/>
      <c r="U866" s="3" t="n"/>
      <c r="V866" s="3" t="n"/>
      <c r="W866" s="3" t="n"/>
    </row>
    <row r="867">
      <c r="A867" s="6" t="n"/>
      <c r="B867" s="113">
        <f>IF($C867="","","GG"&amp;TEXT(ROW()-6,"00000"))</f>
        <v/>
      </c>
      <c r="C867" s="225" t="n"/>
      <c r="D867" s="108" t="n"/>
      <c r="E867" s="109" t="n"/>
      <c r="F867" s="109" t="n"/>
      <c r="G867" s="226" t="n"/>
      <c r="H867" s="108" t="n"/>
      <c r="I867" s="108" t="n"/>
      <c r="J867" s="109" t="n"/>
      <c r="K867" s="109" t="n"/>
      <c r="L867" s="121">
        <f>IF($C867="","",IF($D867="Gider",$E867,$H867))</f>
        <v/>
      </c>
      <c r="M867" s="121">
        <f>IF($C867="","",IF($D867="Gider",$H867,$E867))</f>
        <v/>
      </c>
      <c r="N867" s="231">
        <f>IF($C867="","",DATE(YEAR($C867),MONTH($C867),1))</f>
        <v/>
      </c>
      <c r="O867" s="113">
        <f>IF($C867="","",IF(AND($D867&lt;&gt;"",$E867&lt;&gt;"",$G867&gt;0,$H867&lt;&gt;"",$I867&lt;&gt;""),IF($C867&gt;TODAY(),"İLERİ TARİH","UYGUN"),"EKSİK"))</f>
        <v/>
      </c>
      <c r="P867" s="6" t="n"/>
      <c r="Q867" s="6" t="n"/>
      <c r="R867" s="3" t="n"/>
      <c r="S867" s="3" t="n"/>
      <c r="T867" s="3" t="n"/>
      <c r="U867" s="3" t="n"/>
      <c r="V867" s="3" t="n"/>
      <c r="W867" s="3" t="n"/>
    </row>
    <row r="868">
      <c r="A868" s="6" t="n"/>
      <c r="B868" s="113">
        <f>IF($C868="","","GG"&amp;TEXT(ROW()-6,"00000"))</f>
        <v/>
      </c>
      <c r="C868" s="225" t="n"/>
      <c r="D868" s="108" t="n"/>
      <c r="E868" s="109" t="n"/>
      <c r="F868" s="109" t="n"/>
      <c r="G868" s="226" t="n"/>
      <c r="H868" s="108" t="n"/>
      <c r="I868" s="108" t="n"/>
      <c r="J868" s="109" t="n"/>
      <c r="K868" s="109" t="n"/>
      <c r="L868" s="121">
        <f>IF($C868="","",IF($D868="Gider",$E868,$H868))</f>
        <v/>
      </c>
      <c r="M868" s="121">
        <f>IF($C868="","",IF($D868="Gider",$H868,$E868))</f>
        <v/>
      </c>
      <c r="N868" s="231">
        <f>IF($C868="","",DATE(YEAR($C868),MONTH($C868),1))</f>
        <v/>
      </c>
      <c r="O868" s="113">
        <f>IF($C868="","",IF(AND($D868&lt;&gt;"",$E868&lt;&gt;"",$G868&gt;0,$H868&lt;&gt;"",$I868&lt;&gt;""),IF($C868&gt;TODAY(),"İLERİ TARİH","UYGUN"),"EKSİK"))</f>
        <v/>
      </c>
      <c r="P868" s="6" t="n"/>
      <c r="Q868" s="6" t="n"/>
      <c r="R868" s="3" t="n"/>
      <c r="S868" s="3" t="n"/>
      <c r="T868" s="3" t="n"/>
      <c r="U868" s="3" t="n"/>
      <c r="V868" s="3" t="n"/>
      <c r="W868" s="3" t="n"/>
    </row>
    <row r="869">
      <c r="A869" s="6" t="n"/>
      <c r="B869" s="113">
        <f>IF($C869="","","GG"&amp;TEXT(ROW()-6,"00000"))</f>
        <v/>
      </c>
      <c r="C869" s="225" t="n"/>
      <c r="D869" s="108" t="n"/>
      <c r="E869" s="109" t="n"/>
      <c r="F869" s="109" t="n"/>
      <c r="G869" s="226" t="n"/>
      <c r="H869" s="108" t="n"/>
      <c r="I869" s="108" t="n"/>
      <c r="J869" s="109" t="n"/>
      <c r="K869" s="109" t="n"/>
      <c r="L869" s="121">
        <f>IF($C869="","",IF($D869="Gider",$E869,$H869))</f>
        <v/>
      </c>
      <c r="M869" s="121">
        <f>IF($C869="","",IF($D869="Gider",$H869,$E869))</f>
        <v/>
      </c>
      <c r="N869" s="231">
        <f>IF($C869="","",DATE(YEAR($C869),MONTH($C869),1))</f>
        <v/>
      </c>
      <c r="O869" s="113">
        <f>IF($C869="","",IF(AND($D869&lt;&gt;"",$E869&lt;&gt;"",$G869&gt;0,$H869&lt;&gt;"",$I869&lt;&gt;""),IF($C869&gt;TODAY(),"İLERİ TARİH","UYGUN"),"EKSİK"))</f>
        <v/>
      </c>
      <c r="P869" s="6" t="n"/>
      <c r="Q869" s="6" t="n"/>
      <c r="R869" s="3" t="n"/>
      <c r="S869" s="3" t="n"/>
      <c r="T869" s="3" t="n"/>
      <c r="U869" s="3" t="n"/>
      <c r="V869" s="3" t="n"/>
      <c r="W869" s="3" t="n"/>
    </row>
    <row r="870">
      <c r="A870" s="6" t="n"/>
      <c r="B870" s="113">
        <f>IF($C870="","","GG"&amp;TEXT(ROW()-6,"00000"))</f>
        <v/>
      </c>
      <c r="C870" s="225" t="n"/>
      <c r="D870" s="108" t="n"/>
      <c r="E870" s="109" t="n"/>
      <c r="F870" s="109" t="n"/>
      <c r="G870" s="226" t="n"/>
      <c r="H870" s="108" t="n"/>
      <c r="I870" s="108" t="n"/>
      <c r="J870" s="109" t="n"/>
      <c r="K870" s="109" t="n"/>
      <c r="L870" s="121">
        <f>IF($C870="","",IF($D870="Gider",$E870,$H870))</f>
        <v/>
      </c>
      <c r="M870" s="121">
        <f>IF($C870="","",IF($D870="Gider",$H870,$E870))</f>
        <v/>
      </c>
      <c r="N870" s="231">
        <f>IF($C870="","",DATE(YEAR($C870),MONTH($C870),1))</f>
        <v/>
      </c>
      <c r="O870" s="113">
        <f>IF($C870="","",IF(AND($D870&lt;&gt;"",$E870&lt;&gt;"",$G870&gt;0,$H870&lt;&gt;"",$I870&lt;&gt;""),IF($C870&gt;TODAY(),"İLERİ TARİH","UYGUN"),"EKSİK"))</f>
        <v/>
      </c>
      <c r="P870" s="6" t="n"/>
      <c r="Q870" s="6" t="n"/>
      <c r="R870" s="3" t="n"/>
      <c r="S870" s="3" t="n"/>
      <c r="T870" s="3" t="n"/>
      <c r="U870" s="3" t="n"/>
      <c r="V870" s="3" t="n"/>
      <c r="W870" s="3" t="n"/>
    </row>
    <row r="871">
      <c r="A871" s="6" t="n"/>
      <c r="B871" s="113">
        <f>IF($C871="","","GG"&amp;TEXT(ROW()-6,"00000"))</f>
        <v/>
      </c>
      <c r="C871" s="225" t="n"/>
      <c r="D871" s="108" t="n"/>
      <c r="E871" s="109" t="n"/>
      <c r="F871" s="109" t="n"/>
      <c r="G871" s="226" t="n"/>
      <c r="H871" s="108" t="n"/>
      <c r="I871" s="108" t="n"/>
      <c r="J871" s="109" t="n"/>
      <c r="K871" s="109" t="n"/>
      <c r="L871" s="121">
        <f>IF($C871="","",IF($D871="Gider",$E871,$H871))</f>
        <v/>
      </c>
      <c r="M871" s="121">
        <f>IF($C871="","",IF($D871="Gider",$H871,$E871))</f>
        <v/>
      </c>
      <c r="N871" s="231">
        <f>IF($C871="","",DATE(YEAR($C871),MONTH($C871),1))</f>
        <v/>
      </c>
      <c r="O871" s="113">
        <f>IF($C871="","",IF(AND($D871&lt;&gt;"",$E871&lt;&gt;"",$G871&gt;0,$H871&lt;&gt;"",$I871&lt;&gt;""),IF($C871&gt;TODAY(),"İLERİ TARİH","UYGUN"),"EKSİK"))</f>
        <v/>
      </c>
      <c r="P871" s="6" t="n"/>
      <c r="Q871" s="6" t="n"/>
      <c r="R871" s="3" t="n"/>
      <c r="S871" s="3" t="n"/>
      <c r="T871" s="3" t="n"/>
      <c r="U871" s="3" t="n"/>
      <c r="V871" s="3" t="n"/>
      <c r="W871" s="3" t="n"/>
    </row>
    <row r="872">
      <c r="A872" s="6" t="n"/>
      <c r="B872" s="113">
        <f>IF($C872="","","GG"&amp;TEXT(ROW()-6,"00000"))</f>
        <v/>
      </c>
      <c r="C872" s="225" t="n"/>
      <c r="D872" s="108" t="n"/>
      <c r="E872" s="109" t="n"/>
      <c r="F872" s="109" t="n"/>
      <c r="G872" s="226" t="n"/>
      <c r="H872" s="108" t="n"/>
      <c r="I872" s="108" t="n"/>
      <c r="J872" s="109" t="n"/>
      <c r="K872" s="109" t="n"/>
      <c r="L872" s="121">
        <f>IF($C872="","",IF($D872="Gider",$E872,$H872))</f>
        <v/>
      </c>
      <c r="M872" s="121">
        <f>IF($C872="","",IF($D872="Gider",$H872,$E872))</f>
        <v/>
      </c>
      <c r="N872" s="231">
        <f>IF($C872="","",DATE(YEAR($C872),MONTH($C872),1))</f>
        <v/>
      </c>
      <c r="O872" s="113">
        <f>IF($C872="","",IF(AND($D872&lt;&gt;"",$E872&lt;&gt;"",$G872&gt;0,$H872&lt;&gt;"",$I872&lt;&gt;""),IF($C872&gt;TODAY(),"İLERİ TARİH","UYGUN"),"EKSİK"))</f>
        <v/>
      </c>
      <c r="P872" s="6" t="n"/>
      <c r="Q872" s="6" t="n"/>
      <c r="R872" s="3" t="n"/>
      <c r="S872" s="3" t="n"/>
      <c r="T872" s="3" t="n"/>
      <c r="U872" s="3" t="n"/>
      <c r="V872" s="3" t="n"/>
      <c r="W872" s="3" t="n"/>
    </row>
    <row r="873">
      <c r="A873" s="6" t="n"/>
      <c r="B873" s="113">
        <f>IF($C873="","","GG"&amp;TEXT(ROW()-6,"00000"))</f>
        <v/>
      </c>
      <c r="C873" s="225" t="n"/>
      <c r="D873" s="108" t="n"/>
      <c r="E873" s="109" t="n"/>
      <c r="F873" s="109" t="n"/>
      <c r="G873" s="226" t="n"/>
      <c r="H873" s="108" t="n"/>
      <c r="I873" s="108" t="n"/>
      <c r="J873" s="109" t="n"/>
      <c r="K873" s="109" t="n"/>
      <c r="L873" s="121">
        <f>IF($C873="","",IF($D873="Gider",$E873,$H873))</f>
        <v/>
      </c>
      <c r="M873" s="121">
        <f>IF($C873="","",IF($D873="Gider",$H873,$E873))</f>
        <v/>
      </c>
      <c r="N873" s="231">
        <f>IF($C873="","",DATE(YEAR($C873),MONTH($C873),1))</f>
        <v/>
      </c>
      <c r="O873" s="113">
        <f>IF($C873="","",IF(AND($D873&lt;&gt;"",$E873&lt;&gt;"",$G873&gt;0,$H873&lt;&gt;"",$I873&lt;&gt;""),IF($C873&gt;TODAY(),"İLERİ TARİH","UYGUN"),"EKSİK"))</f>
        <v/>
      </c>
      <c r="P873" s="6" t="n"/>
      <c r="Q873" s="6" t="n"/>
      <c r="R873" s="3" t="n"/>
      <c r="S873" s="3" t="n"/>
      <c r="T873" s="3" t="n"/>
      <c r="U873" s="3" t="n"/>
      <c r="V873" s="3" t="n"/>
      <c r="W873" s="3" t="n"/>
    </row>
    <row r="874">
      <c r="A874" s="6" t="n"/>
      <c r="B874" s="113">
        <f>IF($C874="","","GG"&amp;TEXT(ROW()-6,"00000"))</f>
        <v/>
      </c>
      <c r="C874" s="225" t="n"/>
      <c r="D874" s="108" t="n"/>
      <c r="E874" s="109" t="n"/>
      <c r="F874" s="109" t="n"/>
      <c r="G874" s="226" t="n"/>
      <c r="H874" s="108" t="n"/>
      <c r="I874" s="108" t="n"/>
      <c r="J874" s="109" t="n"/>
      <c r="K874" s="109" t="n"/>
      <c r="L874" s="121">
        <f>IF($C874="","",IF($D874="Gider",$E874,$H874))</f>
        <v/>
      </c>
      <c r="M874" s="121">
        <f>IF($C874="","",IF($D874="Gider",$H874,$E874))</f>
        <v/>
      </c>
      <c r="N874" s="231">
        <f>IF($C874="","",DATE(YEAR($C874),MONTH($C874),1))</f>
        <v/>
      </c>
      <c r="O874" s="113">
        <f>IF($C874="","",IF(AND($D874&lt;&gt;"",$E874&lt;&gt;"",$G874&gt;0,$H874&lt;&gt;"",$I874&lt;&gt;""),IF($C874&gt;TODAY(),"İLERİ TARİH","UYGUN"),"EKSİK"))</f>
        <v/>
      </c>
      <c r="P874" s="6" t="n"/>
      <c r="Q874" s="6" t="n"/>
      <c r="R874" s="3" t="n"/>
      <c r="S874" s="3" t="n"/>
      <c r="T874" s="3" t="n"/>
      <c r="U874" s="3" t="n"/>
      <c r="V874" s="3" t="n"/>
      <c r="W874" s="3" t="n"/>
    </row>
    <row r="875">
      <c r="A875" s="6" t="n"/>
      <c r="B875" s="113">
        <f>IF($C875="","","GG"&amp;TEXT(ROW()-6,"00000"))</f>
        <v/>
      </c>
      <c r="C875" s="225" t="n"/>
      <c r="D875" s="108" t="n"/>
      <c r="E875" s="109" t="n"/>
      <c r="F875" s="109" t="n"/>
      <c r="G875" s="226" t="n"/>
      <c r="H875" s="108" t="n"/>
      <c r="I875" s="108" t="n"/>
      <c r="J875" s="109" t="n"/>
      <c r="K875" s="109" t="n"/>
      <c r="L875" s="121">
        <f>IF($C875="","",IF($D875="Gider",$E875,$H875))</f>
        <v/>
      </c>
      <c r="M875" s="121">
        <f>IF($C875="","",IF($D875="Gider",$H875,$E875))</f>
        <v/>
      </c>
      <c r="N875" s="231">
        <f>IF($C875="","",DATE(YEAR($C875),MONTH($C875),1))</f>
        <v/>
      </c>
      <c r="O875" s="113">
        <f>IF($C875="","",IF(AND($D875&lt;&gt;"",$E875&lt;&gt;"",$G875&gt;0,$H875&lt;&gt;"",$I875&lt;&gt;""),IF($C875&gt;TODAY(),"İLERİ TARİH","UYGUN"),"EKSİK"))</f>
        <v/>
      </c>
      <c r="P875" s="6" t="n"/>
      <c r="Q875" s="6" t="n"/>
      <c r="R875" s="3" t="n"/>
      <c r="S875" s="3" t="n"/>
      <c r="T875" s="3" t="n"/>
      <c r="U875" s="3" t="n"/>
      <c r="V875" s="3" t="n"/>
      <c r="W875" s="3" t="n"/>
    </row>
    <row r="876">
      <c r="A876" s="6" t="n"/>
      <c r="B876" s="113">
        <f>IF($C876="","","GG"&amp;TEXT(ROW()-6,"00000"))</f>
        <v/>
      </c>
      <c r="C876" s="225" t="n"/>
      <c r="D876" s="108" t="n"/>
      <c r="E876" s="109" t="n"/>
      <c r="F876" s="109" t="n"/>
      <c r="G876" s="226" t="n"/>
      <c r="H876" s="108" t="n"/>
      <c r="I876" s="108" t="n"/>
      <c r="J876" s="109" t="n"/>
      <c r="K876" s="109" t="n"/>
      <c r="L876" s="121">
        <f>IF($C876="","",IF($D876="Gider",$E876,$H876))</f>
        <v/>
      </c>
      <c r="M876" s="121">
        <f>IF($C876="","",IF($D876="Gider",$H876,$E876))</f>
        <v/>
      </c>
      <c r="N876" s="231">
        <f>IF($C876="","",DATE(YEAR($C876),MONTH($C876),1))</f>
        <v/>
      </c>
      <c r="O876" s="113">
        <f>IF($C876="","",IF(AND($D876&lt;&gt;"",$E876&lt;&gt;"",$G876&gt;0,$H876&lt;&gt;"",$I876&lt;&gt;""),IF($C876&gt;TODAY(),"İLERİ TARİH","UYGUN"),"EKSİK"))</f>
        <v/>
      </c>
      <c r="P876" s="6" t="n"/>
      <c r="Q876" s="6" t="n"/>
      <c r="R876" s="3" t="n"/>
      <c r="S876" s="3" t="n"/>
      <c r="T876" s="3" t="n"/>
      <c r="U876" s="3" t="n"/>
      <c r="V876" s="3" t="n"/>
      <c r="W876" s="3" t="n"/>
    </row>
    <row r="877">
      <c r="A877" s="6" t="n"/>
      <c r="B877" s="113">
        <f>IF($C877="","","GG"&amp;TEXT(ROW()-6,"00000"))</f>
        <v/>
      </c>
      <c r="C877" s="225" t="n"/>
      <c r="D877" s="108" t="n"/>
      <c r="E877" s="109" t="n"/>
      <c r="F877" s="109" t="n"/>
      <c r="G877" s="226" t="n"/>
      <c r="H877" s="108" t="n"/>
      <c r="I877" s="108" t="n"/>
      <c r="J877" s="109" t="n"/>
      <c r="K877" s="109" t="n"/>
      <c r="L877" s="121">
        <f>IF($C877="","",IF($D877="Gider",$E877,$H877))</f>
        <v/>
      </c>
      <c r="M877" s="121">
        <f>IF($C877="","",IF($D877="Gider",$H877,$E877))</f>
        <v/>
      </c>
      <c r="N877" s="231">
        <f>IF($C877="","",DATE(YEAR($C877),MONTH($C877),1))</f>
        <v/>
      </c>
      <c r="O877" s="113">
        <f>IF($C877="","",IF(AND($D877&lt;&gt;"",$E877&lt;&gt;"",$G877&gt;0,$H877&lt;&gt;"",$I877&lt;&gt;""),IF($C877&gt;TODAY(),"İLERİ TARİH","UYGUN"),"EKSİK"))</f>
        <v/>
      </c>
      <c r="P877" s="6" t="n"/>
      <c r="Q877" s="6" t="n"/>
      <c r="R877" s="3" t="n"/>
      <c r="S877" s="3" t="n"/>
      <c r="T877" s="3" t="n"/>
      <c r="U877" s="3" t="n"/>
      <c r="V877" s="3" t="n"/>
      <c r="W877" s="3" t="n"/>
    </row>
    <row r="878">
      <c r="A878" s="6" t="n"/>
      <c r="B878" s="113">
        <f>IF($C878="","","GG"&amp;TEXT(ROW()-6,"00000"))</f>
        <v/>
      </c>
      <c r="C878" s="225" t="n"/>
      <c r="D878" s="108" t="n"/>
      <c r="E878" s="109" t="n"/>
      <c r="F878" s="109" t="n"/>
      <c r="G878" s="226" t="n"/>
      <c r="H878" s="108" t="n"/>
      <c r="I878" s="108" t="n"/>
      <c r="J878" s="109" t="n"/>
      <c r="K878" s="109" t="n"/>
      <c r="L878" s="121">
        <f>IF($C878="","",IF($D878="Gider",$E878,$H878))</f>
        <v/>
      </c>
      <c r="M878" s="121">
        <f>IF($C878="","",IF($D878="Gider",$H878,$E878))</f>
        <v/>
      </c>
      <c r="N878" s="231">
        <f>IF($C878="","",DATE(YEAR($C878),MONTH($C878),1))</f>
        <v/>
      </c>
      <c r="O878" s="113">
        <f>IF($C878="","",IF(AND($D878&lt;&gt;"",$E878&lt;&gt;"",$G878&gt;0,$H878&lt;&gt;"",$I878&lt;&gt;""),IF($C878&gt;TODAY(),"İLERİ TARİH","UYGUN"),"EKSİK"))</f>
        <v/>
      </c>
      <c r="P878" s="6" t="n"/>
      <c r="Q878" s="6" t="n"/>
      <c r="R878" s="3" t="n"/>
      <c r="S878" s="3" t="n"/>
      <c r="T878" s="3" t="n"/>
      <c r="U878" s="3" t="n"/>
      <c r="V878" s="3" t="n"/>
      <c r="W878" s="3" t="n"/>
    </row>
    <row r="879">
      <c r="A879" s="6" t="n"/>
      <c r="B879" s="113">
        <f>IF($C879="","","GG"&amp;TEXT(ROW()-6,"00000"))</f>
        <v/>
      </c>
      <c r="C879" s="225" t="n"/>
      <c r="D879" s="108" t="n"/>
      <c r="E879" s="109" t="n"/>
      <c r="F879" s="109" t="n"/>
      <c r="G879" s="226" t="n"/>
      <c r="H879" s="108" t="n"/>
      <c r="I879" s="108" t="n"/>
      <c r="J879" s="109" t="n"/>
      <c r="K879" s="109" t="n"/>
      <c r="L879" s="121">
        <f>IF($C879="","",IF($D879="Gider",$E879,$H879))</f>
        <v/>
      </c>
      <c r="M879" s="121">
        <f>IF($C879="","",IF($D879="Gider",$H879,$E879))</f>
        <v/>
      </c>
      <c r="N879" s="231">
        <f>IF($C879="","",DATE(YEAR($C879),MONTH($C879),1))</f>
        <v/>
      </c>
      <c r="O879" s="113">
        <f>IF($C879="","",IF(AND($D879&lt;&gt;"",$E879&lt;&gt;"",$G879&gt;0,$H879&lt;&gt;"",$I879&lt;&gt;""),IF($C879&gt;TODAY(),"İLERİ TARİH","UYGUN"),"EKSİK"))</f>
        <v/>
      </c>
      <c r="P879" s="6" t="n"/>
      <c r="Q879" s="6" t="n"/>
      <c r="R879" s="3" t="n"/>
      <c r="S879" s="3" t="n"/>
      <c r="T879" s="3" t="n"/>
      <c r="U879" s="3" t="n"/>
      <c r="V879" s="3" t="n"/>
      <c r="W879" s="3" t="n"/>
    </row>
    <row r="880">
      <c r="A880" s="6" t="n"/>
      <c r="B880" s="113">
        <f>IF($C880="","","GG"&amp;TEXT(ROW()-6,"00000"))</f>
        <v/>
      </c>
      <c r="C880" s="225" t="n"/>
      <c r="D880" s="108" t="n"/>
      <c r="E880" s="109" t="n"/>
      <c r="F880" s="109" t="n"/>
      <c r="G880" s="226" t="n"/>
      <c r="H880" s="108" t="n"/>
      <c r="I880" s="108" t="n"/>
      <c r="J880" s="109" t="n"/>
      <c r="K880" s="109" t="n"/>
      <c r="L880" s="121">
        <f>IF($C880="","",IF($D880="Gider",$E880,$H880))</f>
        <v/>
      </c>
      <c r="M880" s="121">
        <f>IF($C880="","",IF($D880="Gider",$H880,$E880))</f>
        <v/>
      </c>
      <c r="N880" s="231">
        <f>IF($C880="","",DATE(YEAR($C880),MONTH($C880),1))</f>
        <v/>
      </c>
      <c r="O880" s="113">
        <f>IF($C880="","",IF(AND($D880&lt;&gt;"",$E880&lt;&gt;"",$G880&gt;0,$H880&lt;&gt;"",$I880&lt;&gt;""),IF($C880&gt;TODAY(),"İLERİ TARİH","UYGUN"),"EKSİK"))</f>
        <v/>
      </c>
      <c r="P880" s="6" t="n"/>
      <c r="Q880" s="6" t="n"/>
      <c r="R880" s="3" t="n"/>
      <c r="S880" s="3" t="n"/>
      <c r="T880" s="3" t="n"/>
      <c r="U880" s="3" t="n"/>
      <c r="V880" s="3" t="n"/>
      <c r="W880" s="3" t="n"/>
    </row>
    <row r="881">
      <c r="A881" s="6" t="n"/>
      <c r="B881" s="113">
        <f>IF($C881="","","GG"&amp;TEXT(ROW()-6,"00000"))</f>
        <v/>
      </c>
      <c r="C881" s="225" t="n"/>
      <c r="D881" s="108" t="n"/>
      <c r="E881" s="109" t="n"/>
      <c r="F881" s="109" t="n"/>
      <c r="G881" s="226" t="n"/>
      <c r="H881" s="108" t="n"/>
      <c r="I881" s="108" t="n"/>
      <c r="J881" s="109" t="n"/>
      <c r="K881" s="109" t="n"/>
      <c r="L881" s="121">
        <f>IF($C881="","",IF($D881="Gider",$E881,$H881))</f>
        <v/>
      </c>
      <c r="M881" s="121">
        <f>IF($C881="","",IF($D881="Gider",$H881,$E881))</f>
        <v/>
      </c>
      <c r="N881" s="231">
        <f>IF($C881="","",DATE(YEAR($C881),MONTH($C881),1))</f>
        <v/>
      </c>
      <c r="O881" s="113">
        <f>IF($C881="","",IF(AND($D881&lt;&gt;"",$E881&lt;&gt;"",$G881&gt;0,$H881&lt;&gt;"",$I881&lt;&gt;""),IF($C881&gt;TODAY(),"İLERİ TARİH","UYGUN"),"EKSİK"))</f>
        <v/>
      </c>
      <c r="P881" s="6" t="n"/>
      <c r="Q881" s="6" t="n"/>
      <c r="R881" s="3" t="n"/>
      <c r="S881" s="3" t="n"/>
      <c r="T881" s="3" t="n"/>
      <c r="U881" s="3" t="n"/>
      <c r="V881" s="3" t="n"/>
      <c r="W881" s="3" t="n"/>
    </row>
    <row r="882">
      <c r="A882" s="6" t="n"/>
      <c r="B882" s="113">
        <f>IF($C882="","","GG"&amp;TEXT(ROW()-6,"00000"))</f>
        <v/>
      </c>
      <c r="C882" s="225" t="n"/>
      <c r="D882" s="108" t="n"/>
      <c r="E882" s="109" t="n"/>
      <c r="F882" s="109" t="n"/>
      <c r="G882" s="226" t="n"/>
      <c r="H882" s="108" t="n"/>
      <c r="I882" s="108" t="n"/>
      <c r="J882" s="109" t="n"/>
      <c r="K882" s="109" t="n"/>
      <c r="L882" s="121">
        <f>IF($C882="","",IF($D882="Gider",$E882,$H882))</f>
        <v/>
      </c>
      <c r="M882" s="121">
        <f>IF($C882="","",IF($D882="Gider",$H882,$E882))</f>
        <v/>
      </c>
      <c r="N882" s="231">
        <f>IF($C882="","",DATE(YEAR($C882),MONTH($C882),1))</f>
        <v/>
      </c>
      <c r="O882" s="113">
        <f>IF($C882="","",IF(AND($D882&lt;&gt;"",$E882&lt;&gt;"",$G882&gt;0,$H882&lt;&gt;"",$I882&lt;&gt;""),IF($C882&gt;TODAY(),"İLERİ TARİH","UYGUN"),"EKSİK"))</f>
        <v/>
      </c>
      <c r="P882" s="6" t="n"/>
      <c r="Q882" s="6" t="n"/>
      <c r="R882" s="3" t="n"/>
      <c r="S882" s="3" t="n"/>
      <c r="T882" s="3" t="n"/>
      <c r="U882" s="3" t="n"/>
      <c r="V882" s="3" t="n"/>
      <c r="W882" s="3" t="n"/>
    </row>
    <row r="883">
      <c r="A883" s="6" t="n"/>
      <c r="B883" s="113">
        <f>IF($C883="","","GG"&amp;TEXT(ROW()-6,"00000"))</f>
        <v/>
      </c>
      <c r="C883" s="225" t="n"/>
      <c r="D883" s="108" t="n"/>
      <c r="E883" s="109" t="n"/>
      <c r="F883" s="109" t="n"/>
      <c r="G883" s="226" t="n"/>
      <c r="H883" s="108" t="n"/>
      <c r="I883" s="108" t="n"/>
      <c r="J883" s="109" t="n"/>
      <c r="K883" s="109" t="n"/>
      <c r="L883" s="121">
        <f>IF($C883="","",IF($D883="Gider",$E883,$H883))</f>
        <v/>
      </c>
      <c r="M883" s="121">
        <f>IF($C883="","",IF($D883="Gider",$H883,$E883))</f>
        <v/>
      </c>
      <c r="N883" s="231">
        <f>IF($C883="","",DATE(YEAR($C883),MONTH($C883),1))</f>
        <v/>
      </c>
      <c r="O883" s="113">
        <f>IF($C883="","",IF(AND($D883&lt;&gt;"",$E883&lt;&gt;"",$G883&gt;0,$H883&lt;&gt;"",$I883&lt;&gt;""),IF($C883&gt;TODAY(),"İLERİ TARİH","UYGUN"),"EKSİK"))</f>
        <v/>
      </c>
      <c r="P883" s="6" t="n"/>
      <c r="Q883" s="6" t="n"/>
      <c r="R883" s="3" t="n"/>
      <c r="S883" s="3" t="n"/>
      <c r="T883" s="3" t="n"/>
      <c r="U883" s="3" t="n"/>
      <c r="V883" s="3" t="n"/>
      <c r="W883" s="3" t="n"/>
    </row>
    <row r="884">
      <c r="A884" s="6" t="n"/>
      <c r="B884" s="113">
        <f>IF($C884="","","GG"&amp;TEXT(ROW()-6,"00000"))</f>
        <v/>
      </c>
      <c r="C884" s="225" t="n"/>
      <c r="D884" s="108" t="n"/>
      <c r="E884" s="109" t="n"/>
      <c r="F884" s="109" t="n"/>
      <c r="G884" s="226" t="n"/>
      <c r="H884" s="108" t="n"/>
      <c r="I884" s="108" t="n"/>
      <c r="J884" s="109" t="n"/>
      <c r="K884" s="109" t="n"/>
      <c r="L884" s="121">
        <f>IF($C884="","",IF($D884="Gider",$E884,$H884))</f>
        <v/>
      </c>
      <c r="M884" s="121">
        <f>IF($C884="","",IF($D884="Gider",$H884,$E884))</f>
        <v/>
      </c>
      <c r="N884" s="231">
        <f>IF($C884="","",DATE(YEAR($C884),MONTH($C884),1))</f>
        <v/>
      </c>
      <c r="O884" s="113">
        <f>IF($C884="","",IF(AND($D884&lt;&gt;"",$E884&lt;&gt;"",$G884&gt;0,$H884&lt;&gt;"",$I884&lt;&gt;""),IF($C884&gt;TODAY(),"İLERİ TARİH","UYGUN"),"EKSİK"))</f>
        <v/>
      </c>
      <c r="P884" s="6" t="n"/>
      <c r="Q884" s="6" t="n"/>
      <c r="R884" s="3" t="n"/>
      <c r="S884" s="3" t="n"/>
      <c r="T884" s="3" t="n"/>
      <c r="U884" s="3" t="n"/>
      <c r="V884" s="3" t="n"/>
      <c r="W884" s="3" t="n"/>
    </row>
    <row r="885">
      <c r="A885" s="6" t="n"/>
      <c r="B885" s="113">
        <f>IF($C885="","","GG"&amp;TEXT(ROW()-6,"00000"))</f>
        <v/>
      </c>
      <c r="C885" s="225" t="n"/>
      <c r="D885" s="108" t="n"/>
      <c r="E885" s="109" t="n"/>
      <c r="F885" s="109" t="n"/>
      <c r="G885" s="226" t="n"/>
      <c r="H885" s="108" t="n"/>
      <c r="I885" s="108" t="n"/>
      <c r="J885" s="109" t="n"/>
      <c r="K885" s="109" t="n"/>
      <c r="L885" s="121">
        <f>IF($C885="","",IF($D885="Gider",$E885,$H885))</f>
        <v/>
      </c>
      <c r="M885" s="121">
        <f>IF($C885="","",IF($D885="Gider",$H885,$E885))</f>
        <v/>
      </c>
      <c r="N885" s="231">
        <f>IF($C885="","",DATE(YEAR($C885),MONTH($C885),1))</f>
        <v/>
      </c>
      <c r="O885" s="113">
        <f>IF($C885="","",IF(AND($D885&lt;&gt;"",$E885&lt;&gt;"",$G885&gt;0,$H885&lt;&gt;"",$I885&lt;&gt;""),IF($C885&gt;TODAY(),"İLERİ TARİH","UYGUN"),"EKSİK"))</f>
        <v/>
      </c>
      <c r="P885" s="6" t="n"/>
      <c r="Q885" s="6" t="n"/>
      <c r="R885" s="3" t="n"/>
      <c r="S885" s="3" t="n"/>
      <c r="T885" s="3" t="n"/>
      <c r="U885" s="3" t="n"/>
      <c r="V885" s="3" t="n"/>
      <c r="W885" s="3" t="n"/>
    </row>
    <row r="886">
      <c r="A886" s="6" t="n"/>
      <c r="B886" s="113">
        <f>IF($C886="","","GG"&amp;TEXT(ROW()-6,"00000"))</f>
        <v/>
      </c>
      <c r="C886" s="225" t="n"/>
      <c r="D886" s="108" t="n"/>
      <c r="E886" s="109" t="n"/>
      <c r="F886" s="109" t="n"/>
      <c r="G886" s="226" t="n"/>
      <c r="H886" s="108" t="n"/>
      <c r="I886" s="108" t="n"/>
      <c r="J886" s="109" t="n"/>
      <c r="K886" s="109" t="n"/>
      <c r="L886" s="121">
        <f>IF($C886="","",IF($D886="Gider",$E886,$H886))</f>
        <v/>
      </c>
      <c r="M886" s="121">
        <f>IF($C886="","",IF($D886="Gider",$H886,$E886))</f>
        <v/>
      </c>
      <c r="N886" s="231">
        <f>IF($C886="","",DATE(YEAR($C886),MONTH($C886),1))</f>
        <v/>
      </c>
      <c r="O886" s="113">
        <f>IF($C886="","",IF(AND($D886&lt;&gt;"",$E886&lt;&gt;"",$G886&gt;0,$H886&lt;&gt;"",$I886&lt;&gt;""),IF($C886&gt;TODAY(),"İLERİ TARİH","UYGUN"),"EKSİK"))</f>
        <v/>
      </c>
      <c r="P886" s="6" t="n"/>
      <c r="Q886" s="6" t="n"/>
      <c r="R886" s="3" t="n"/>
      <c r="S886" s="3" t="n"/>
      <c r="T886" s="3" t="n"/>
      <c r="U886" s="3" t="n"/>
      <c r="V886" s="3" t="n"/>
      <c r="W886" s="3" t="n"/>
    </row>
    <row r="887">
      <c r="A887" s="6" t="n"/>
      <c r="B887" s="113">
        <f>IF($C887="","","GG"&amp;TEXT(ROW()-6,"00000"))</f>
        <v/>
      </c>
      <c r="C887" s="225" t="n"/>
      <c r="D887" s="108" t="n"/>
      <c r="E887" s="109" t="n"/>
      <c r="F887" s="109" t="n"/>
      <c r="G887" s="226" t="n"/>
      <c r="H887" s="108" t="n"/>
      <c r="I887" s="108" t="n"/>
      <c r="J887" s="109" t="n"/>
      <c r="K887" s="109" t="n"/>
      <c r="L887" s="121">
        <f>IF($C887="","",IF($D887="Gider",$E887,$H887))</f>
        <v/>
      </c>
      <c r="M887" s="121">
        <f>IF($C887="","",IF($D887="Gider",$H887,$E887))</f>
        <v/>
      </c>
      <c r="N887" s="231">
        <f>IF($C887="","",DATE(YEAR($C887),MONTH($C887),1))</f>
        <v/>
      </c>
      <c r="O887" s="113">
        <f>IF($C887="","",IF(AND($D887&lt;&gt;"",$E887&lt;&gt;"",$G887&gt;0,$H887&lt;&gt;"",$I887&lt;&gt;""),IF($C887&gt;TODAY(),"İLERİ TARİH","UYGUN"),"EKSİK"))</f>
        <v/>
      </c>
      <c r="P887" s="6" t="n"/>
      <c r="Q887" s="6" t="n"/>
      <c r="R887" s="3" t="n"/>
      <c r="S887" s="3" t="n"/>
      <c r="T887" s="3" t="n"/>
      <c r="U887" s="3" t="n"/>
      <c r="V887" s="3" t="n"/>
      <c r="W887" s="3" t="n"/>
    </row>
    <row r="888">
      <c r="A888" s="6" t="n"/>
      <c r="B888" s="113">
        <f>IF($C888="","","GG"&amp;TEXT(ROW()-6,"00000"))</f>
        <v/>
      </c>
      <c r="C888" s="225" t="n"/>
      <c r="D888" s="108" t="n"/>
      <c r="E888" s="109" t="n"/>
      <c r="F888" s="109" t="n"/>
      <c r="G888" s="226" t="n"/>
      <c r="H888" s="108" t="n"/>
      <c r="I888" s="108" t="n"/>
      <c r="J888" s="109" t="n"/>
      <c r="K888" s="109" t="n"/>
      <c r="L888" s="121">
        <f>IF($C888="","",IF($D888="Gider",$E888,$H888))</f>
        <v/>
      </c>
      <c r="M888" s="121">
        <f>IF($C888="","",IF($D888="Gider",$H888,$E888))</f>
        <v/>
      </c>
      <c r="N888" s="231">
        <f>IF($C888="","",DATE(YEAR($C888),MONTH($C888),1))</f>
        <v/>
      </c>
      <c r="O888" s="113">
        <f>IF($C888="","",IF(AND($D888&lt;&gt;"",$E888&lt;&gt;"",$G888&gt;0,$H888&lt;&gt;"",$I888&lt;&gt;""),IF($C888&gt;TODAY(),"İLERİ TARİH","UYGUN"),"EKSİK"))</f>
        <v/>
      </c>
      <c r="P888" s="6" t="n"/>
      <c r="Q888" s="6" t="n"/>
      <c r="R888" s="3" t="n"/>
      <c r="S888" s="3" t="n"/>
      <c r="T888" s="3" t="n"/>
      <c r="U888" s="3" t="n"/>
      <c r="V888" s="3" t="n"/>
      <c r="W888" s="3" t="n"/>
    </row>
    <row r="889">
      <c r="A889" s="6" t="n"/>
      <c r="B889" s="113">
        <f>IF($C889="","","GG"&amp;TEXT(ROW()-6,"00000"))</f>
        <v/>
      </c>
      <c r="C889" s="225" t="n"/>
      <c r="D889" s="108" t="n"/>
      <c r="E889" s="109" t="n"/>
      <c r="F889" s="109" t="n"/>
      <c r="G889" s="226" t="n"/>
      <c r="H889" s="108" t="n"/>
      <c r="I889" s="108" t="n"/>
      <c r="J889" s="109" t="n"/>
      <c r="K889" s="109" t="n"/>
      <c r="L889" s="121">
        <f>IF($C889="","",IF($D889="Gider",$E889,$H889))</f>
        <v/>
      </c>
      <c r="M889" s="121">
        <f>IF($C889="","",IF($D889="Gider",$H889,$E889))</f>
        <v/>
      </c>
      <c r="N889" s="231">
        <f>IF($C889="","",DATE(YEAR($C889),MONTH($C889),1))</f>
        <v/>
      </c>
      <c r="O889" s="113">
        <f>IF($C889="","",IF(AND($D889&lt;&gt;"",$E889&lt;&gt;"",$G889&gt;0,$H889&lt;&gt;"",$I889&lt;&gt;""),IF($C889&gt;TODAY(),"İLERİ TARİH","UYGUN"),"EKSİK"))</f>
        <v/>
      </c>
      <c r="P889" s="6" t="n"/>
      <c r="Q889" s="6" t="n"/>
      <c r="R889" s="3" t="n"/>
      <c r="S889" s="3" t="n"/>
      <c r="T889" s="3" t="n"/>
      <c r="U889" s="3" t="n"/>
      <c r="V889" s="3" t="n"/>
      <c r="W889" s="3" t="n"/>
    </row>
    <row r="890">
      <c r="A890" s="6" t="n"/>
      <c r="B890" s="113">
        <f>IF($C890="","","GG"&amp;TEXT(ROW()-6,"00000"))</f>
        <v/>
      </c>
      <c r="C890" s="225" t="n"/>
      <c r="D890" s="108" t="n"/>
      <c r="E890" s="109" t="n"/>
      <c r="F890" s="109" t="n"/>
      <c r="G890" s="226" t="n"/>
      <c r="H890" s="108" t="n"/>
      <c r="I890" s="108" t="n"/>
      <c r="J890" s="109" t="n"/>
      <c r="K890" s="109" t="n"/>
      <c r="L890" s="121">
        <f>IF($C890="","",IF($D890="Gider",$E890,$H890))</f>
        <v/>
      </c>
      <c r="M890" s="121">
        <f>IF($C890="","",IF($D890="Gider",$H890,$E890))</f>
        <v/>
      </c>
      <c r="N890" s="231">
        <f>IF($C890="","",DATE(YEAR($C890),MONTH($C890),1))</f>
        <v/>
      </c>
      <c r="O890" s="113">
        <f>IF($C890="","",IF(AND($D890&lt;&gt;"",$E890&lt;&gt;"",$G890&gt;0,$H890&lt;&gt;"",$I890&lt;&gt;""),IF($C890&gt;TODAY(),"İLERİ TARİH","UYGUN"),"EKSİK"))</f>
        <v/>
      </c>
      <c r="P890" s="6" t="n"/>
      <c r="Q890" s="6" t="n"/>
      <c r="R890" s="3" t="n"/>
      <c r="S890" s="3" t="n"/>
      <c r="T890" s="3" t="n"/>
      <c r="U890" s="3" t="n"/>
      <c r="V890" s="3" t="n"/>
      <c r="W890" s="3" t="n"/>
    </row>
    <row r="891">
      <c r="A891" s="6" t="n"/>
      <c r="B891" s="113">
        <f>IF($C891="","","GG"&amp;TEXT(ROW()-6,"00000"))</f>
        <v/>
      </c>
      <c r="C891" s="225" t="n"/>
      <c r="D891" s="108" t="n"/>
      <c r="E891" s="109" t="n"/>
      <c r="F891" s="109" t="n"/>
      <c r="G891" s="226" t="n"/>
      <c r="H891" s="108" t="n"/>
      <c r="I891" s="108" t="n"/>
      <c r="J891" s="109" t="n"/>
      <c r="K891" s="109" t="n"/>
      <c r="L891" s="121">
        <f>IF($C891="","",IF($D891="Gider",$E891,$H891))</f>
        <v/>
      </c>
      <c r="M891" s="121">
        <f>IF($C891="","",IF($D891="Gider",$H891,$E891))</f>
        <v/>
      </c>
      <c r="N891" s="231">
        <f>IF($C891="","",DATE(YEAR($C891),MONTH($C891),1))</f>
        <v/>
      </c>
      <c r="O891" s="113">
        <f>IF($C891="","",IF(AND($D891&lt;&gt;"",$E891&lt;&gt;"",$G891&gt;0,$H891&lt;&gt;"",$I891&lt;&gt;""),IF($C891&gt;TODAY(),"İLERİ TARİH","UYGUN"),"EKSİK"))</f>
        <v/>
      </c>
      <c r="P891" s="6" t="n"/>
      <c r="Q891" s="6" t="n"/>
      <c r="R891" s="3" t="n"/>
      <c r="S891" s="3" t="n"/>
      <c r="T891" s="3" t="n"/>
      <c r="U891" s="3" t="n"/>
      <c r="V891" s="3" t="n"/>
      <c r="W891" s="3" t="n"/>
    </row>
    <row r="892">
      <c r="A892" s="6" t="n"/>
      <c r="B892" s="113">
        <f>IF($C892="","","GG"&amp;TEXT(ROW()-6,"00000"))</f>
        <v/>
      </c>
      <c r="C892" s="225" t="n"/>
      <c r="D892" s="108" t="n"/>
      <c r="E892" s="109" t="n"/>
      <c r="F892" s="109" t="n"/>
      <c r="G892" s="226" t="n"/>
      <c r="H892" s="108" t="n"/>
      <c r="I892" s="108" t="n"/>
      <c r="J892" s="109" t="n"/>
      <c r="K892" s="109" t="n"/>
      <c r="L892" s="121">
        <f>IF($C892="","",IF($D892="Gider",$E892,$H892))</f>
        <v/>
      </c>
      <c r="M892" s="121">
        <f>IF($C892="","",IF($D892="Gider",$H892,$E892))</f>
        <v/>
      </c>
      <c r="N892" s="231">
        <f>IF($C892="","",DATE(YEAR($C892),MONTH($C892),1))</f>
        <v/>
      </c>
      <c r="O892" s="113">
        <f>IF($C892="","",IF(AND($D892&lt;&gt;"",$E892&lt;&gt;"",$G892&gt;0,$H892&lt;&gt;"",$I892&lt;&gt;""),IF($C892&gt;TODAY(),"İLERİ TARİH","UYGUN"),"EKSİK"))</f>
        <v/>
      </c>
      <c r="P892" s="6" t="n"/>
      <c r="Q892" s="6" t="n"/>
      <c r="R892" s="3" t="n"/>
      <c r="S892" s="3" t="n"/>
      <c r="T892" s="3" t="n"/>
      <c r="U892" s="3" t="n"/>
      <c r="V892" s="3" t="n"/>
      <c r="W892" s="3" t="n"/>
    </row>
    <row r="893">
      <c r="A893" s="6" t="n"/>
      <c r="B893" s="113">
        <f>IF($C893="","","GG"&amp;TEXT(ROW()-6,"00000"))</f>
        <v/>
      </c>
      <c r="C893" s="225" t="n"/>
      <c r="D893" s="108" t="n"/>
      <c r="E893" s="109" t="n"/>
      <c r="F893" s="109" t="n"/>
      <c r="G893" s="226" t="n"/>
      <c r="H893" s="108" t="n"/>
      <c r="I893" s="108" t="n"/>
      <c r="J893" s="109" t="n"/>
      <c r="K893" s="109" t="n"/>
      <c r="L893" s="121">
        <f>IF($C893="","",IF($D893="Gider",$E893,$H893))</f>
        <v/>
      </c>
      <c r="M893" s="121">
        <f>IF($C893="","",IF($D893="Gider",$H893,$E893))</f>
        <v/>
      </c>
      <c r="N893" s="231">
        <f>IF($C893="","",DATE(YEAR($C893),MONTH($C893),1))</f>
        <v/>
      </c>
      <c r="O893" s="113">
        <f>IF($C893="","",IF(AND($D893&lt;&gt;"",$E893&lt;&gt;"",$G893&gt;0,$H893&lt;&gt;"",$I893&lt;&gt;""),IF($C893&gt;TODAY(),"İLERİ TARİH","UYGUN"),"EKSİK"))</f>
        <v/>
      </c>
      <c r="P893" s="6" t="n"/>
      <c r="Q893" s="6" t="n"/>
      <c r="R893" s="3" t="n"/>
      <c r="S893" s="3" t="n"/>
      <c r="T893" s="3" t="n"/>
      <c r="U893" s="3" t="n"/>
      <c r="V893" s="3" t="n"/>
      <c r="W893" s="3" t="n"/>
    </row>
    <row r="894">
      <c r="A894" s="6" t="n"/>
      <c r="B894" s="113">
        <f>IF($C894="","","GG"&amp;TEXT(ROW()-6,"00000"))</f>
        <v/>
      </c>
      <c r="C894" s="225" t="n"/>
      <c r="D894" s="108" t="n"/>
      <c r="E894" s="109" t="n"/>
      <c r="F894" s="109" t="n"/>
      <c r="G894" s="226" t="n"/>
      <c r="H894" s="108" t="n"/>
      <c r="I894" s="108" t="n"/>
      <c r="J894" s="109" t="n"/>
      <c r="K894" s="109" t="n"/>
      <c r="L894" s="121">
        <f>IF($C894="","",IF($D894="Gider",$E894,$H894))</f>
        <v/>
      </c>
      <c r="M894" s="121">
        <f>IF($C894="","",IF($D894="Gider",$H894,$E894))</f>
        <v/>
      </c>
      <c r="N894" s="231">
        <f>IF($C894="","",DATE(YEAR($C894),MONTH($C894),1))</f>
        <v/>
      </c>
      <c r="O894" s="113">
        <f>IF($C894="","",IF(AND($D894&lt;&gt;"",$E894&lt;&gt;"",$G894&gt;0,$H894&lt;&gt;"",$I894&lt;&gt;""),IF($C894&gt;TODAY(),"İLERİ TARİH","UYGUN"),"EKSİK"))</f>
        <v/>
      </c>
      <c r="P894" s="6" t="n"/>
      <c r="Q894" s="6" t="n"/>
      <c r="R894" s="3" t="n"/>
      <c r="S894" s="3" t="n"/>
      <c r="T894" s="3" t="n"/>
      <c r="U894" s="3" t="n"/>
      <c r="V894" s="3" t="n"/>
      <c r="W894" s="3" t="n"/>
    </row>
    <row r="895">
      <c r="A895" s="6" t="n"/>
      <c r="B895" s="113">
        <f>IF($C895="","","GG"&amp;TEXT(ROW()-6,"00000"))</f>
        <v/>
      </c>
      <c r="C895" s="225" t="n"/>
      <c r="D895" s="108" t="n"/>
      <c r="E895" s="109" t="n"/>
      <c r="F895" s="109" t="n"/>
      <c r="G895" s="226" t="n"/>
      <c r="H895" s="108" t="n"/>
      <c r="I895" s="108" t="n"/>
      <c r="J895" s="109" t="n"/>
      <c r="K895" s="109" t="n"/>
      <c r="L895" s="121">
        <f>IF($C895="","",IF($D895="Gider",$E895,$H895))</f>
        <v/>
      </c>
      <c r="M895" s="121">
        <f>IF($C895="","",IF($D895="Gider",$H895,$E895))</f>
        <v/>
      </c>
      <c r="N895" s="231">
        <f>IF($C895="","",DATE(YEAR($C895),MONTH($C895),1))</f>
        <v/>
      </c>
      <c r="O895" s="113">
        <f>IF($C895="","",IF(AND($D895&lt;&gt;"",$E895&lt;&gt;"",$G895&gt;0,$H895&lt;&gt;"",$I895&lt;&gt;""),IF($C895&gt;TODAY(),"İLERİ TARİH","UYGUN"),"EKSİK"))</f>
        <v/>
      </c>
      <c r="P895" s="6" t="n"/>
      <c r="Q895" s="6" t="n"/>
      <c r="R895" s="3" t="n"/>
      <c r="S895" s="3" t="n"/>
      <c r="T895" s="3" t="n"/>
      <c r="U895" s="3" t="n"/>
      <c r="V895" s="3" t="n"/>
      <c r="W895" s="3" t="n"/>
    </row>
    <row r="896">
      <c r="A896" s="6" t="n"/>
      <c r="B896" s="113">
        <f>IF($C896="","","GG"&amp;TEXT(ROW()-6,"00000"))</f>
        <v/>
      </c>
      <c r="C896" s="225" t="n"/>
      <c r="D896" s="108" t="n"/>
      <c r="E896" s="109" t="n"/>
      <c r="F896" s="109" t="n"/>
      <c r="G896" s="226" t="n"/>
      <c r="H896" s="108" t="n"/>
      <c r="I896" s="108" t="n"/>
      <c r="J896" s="109" t="n"/>
      <c r="K896" s="109" t="n"/>
      <c r="L896" s="121">
        <f>IF($C896="","",IF($D896="Gider",$E896,$H896))</f>
        <v/>
      </c>
      <c r="M896" s="121">
        <f>IF($C896="","",IF($D896="Gider",$H896,$E896))</f>
        <v/>
      </c>
      <c r="N896" s="231">
        <f>IF($C896="","",DATE(YEAR($C896),MONTH($C896),1))</f>
        <v/>
      </c>
      <c r="O896" s="113">
        <f>IF($C896="","",IF(AND($D896&lt;&gt;"",$E896&lt;&gt;"",$G896&gt;0,$H896&lt;&gt;"",$I896&lt;&gt;""),IF($C896&gt;TODAY(),"İLERİ TARİH","UYGUN"),"EKSİK"))</f>
        <v/>
      </c>
      <c r="P896" s="6" t="n"/>
      <c r="Q896" s="6" t="n"/>
      <c r="R896" s="3" t="n"/>
      <c r="S896" s="3" t="n"/>
      <c r="T896" s="3" t="n"/>
      <c r="U896" s="3" t="n"/>
      <c r="V896" s="3" t="n"/>
      <c r="W896" s="3" t="n"/>
    </row>
    <row r="897">
      <c r="A897" s="6" t="n"/>
      <c r="B897" s="113">
        <f>IF($C897="","","GG"&amp;TEXT(ROW()-6,"00000"))</f>
        <v/>
      </c>
      <c r="C897" s="225" t="n"/>
      <c r="D897" s="108" t="n"/>
      <c r="E897" s="109" t="n"/>
      <c r="F897" s="109" t="n"/>
      <c r="G897" s="226" t="n"/>
      <c r="H897" s="108" t="n"/>
      <c r="I897" s="108" t="n"/>
      <c r="J897" s="109" t="n"/>
      <c r="K897" s="109" t="n"/>
      <c r="L897" s="121">
        <f>IF($C897="","",IF($D897="Gider",$E897,$H897))</f>
        <v/>
      </c>
      <c r="M897" s="121">
        <f>IF($C897="","",IF($D897="Gider",$H897,$E897))</f>
        <v/>
      </c>
      <c r="N897" s="231">
        <f>IF($C897="","",DATE(YEAR($C897),MONTH($C897),1))</f>
        <v/>
      </c>
      <c r="O897" s="113">
        <f>IF($C897="","",IF(AND($D897&lt;&gt;"",$E897&lt;&gt;"",$G897&gt;0,$H897&lt;&gt;"",$I897&lt;&gt;""),IF($C897&gt;TODAY(),"İLERİ TARİH","UYGUN"),"EKSİK"))</f>
        <v/>
      </c>
      <c r="P897" s="6" t="n"/>
      <c r="Q897" s="6" t="n"/>
      <c r="R897" s="3" t="n"/>
      <c r="S897" s="3" t="n"/>
      <c r="T897" s="3" t="n"/>
      <c r="U897" s="3" t="n"/>
      <c r="V897" s="3" t="n"/>
      <c r="W897" s="3" t="n"/>
    </row>
    <row r="898">
      <c r="A898" s="6" t="n"/>
      <c r="B898" s="113">
        <f>IF($C898="","","GG"&amp;TEXT(ROW()-6,"00000"))</f>
        <v/>
      </c>
      <c r="C898" s="225" t="n"/>
      <c r="D898" s="108" t="n"/>
      <c r="E898" s="109" t="n"/>
      <c r="F898" s="109" t="n"/>
      <c r="G898" s="226" t="n"/>
      <c r="H898" s="108" t="n"/>
      <c r="I898" s="108" t="n"/>
      <c r="J898" s="109" t="n"/>
      <c r="K898" s="109" t="n"/>
      <c r="L898" s="121">
        <f>IF($C898="","",IF($D898="Gider",$E898,$H898))</f>
        <v/>
      </c>
      <c r="M898" s="121">
        <f>IF($C898="","",IF($D898="Gider",$H898,$E898))</f>
        <v/>
      </c>
      <c r="N898" s="231">
        <f>IF($C898="","",DATE(YEAR($C898),MONTH($C898),1))</f>
        <v/>
      </c>
      <c r="O898" s="113">
        <f>IF($C898="","",IF(AND($D898&lt;&gt;"",$E898&lt;&gt;"",$G898&gt;0,$H898&lt;&gt;"",$I898&lt;&gt;""),IF($C898&gt;TODAY(),"İLERİ TARİH","UYGUN"),"EKSİK"))</f>
        <v/>
      </c>
      <c r="P898" s="6" t="n"/>
      <c r="Q898" s="6" t="n"/>
      <c r="R898" s="3" t="n"/>
      <c r="S898" s="3" t="n"/>
      <c r="T898" s="3" t="n"/>
      <c r="U898" s="3" t="n"/>
      <c r="V898" s="3" t="n"/>
      <c r="W898" s="3" t="n"/>
    </row>
    <row r="899">
      <c r="A899" s="6" t="n"/>
      <c r="B899" s="113">
        <f>IF($C899="","","GG"&amp;TEXT(ROW()-6,"00000"))</f>
        <v/>
      </c>
      <c r="C899" s="225" t="n"/>
      <c r="D899" s="108" t="n"/>
      <c r="E899" s="109" t="n"/>
      <c r="F899" s="109" t="n"/>
      <c r="G899" s="226" t="n"/>
      <c r="H899" s="108" t="n"/>
      <c r="I899" s="108" t="n"/>
      <c r="J899" s="109" t="n"/>
      <c r="K899" s="109" t="n"/>
      <c r="L899" s="121">
        <f>IF($C899="","",IF($D899="Gider",$E899,$H899))</f>
        <v/>
      </c>
      <c r="M899" s="121">
        <f>IF($C899="","",IF($D899="Gider",$H899,$E899))</f>
        <v/>
      </c>
      <c r="N899" s="231">
        <f>IF($C899="","",DATE(YEAR($C899),MONTH($C899),1))</f>
        <v/>
      </c>
      <c r="O899" s="113">
        <f>IF($C899="","",IF(AND($D899&lt;&gt;"",$E899&lt;&gt;"",$G899&gt;0,$H899&lt;&gt;"",$I899&lt;&gt;""),IF($C899&gt;TODAY(),"İLERİ TARİH","UYGUN"),"EKSİK"))</f>
        <v/>
      </c>
      <c r="P899" s="6" t="n"/>
      <c r="Q899" s="6" t="n"/>
      <c r="R899" s="3" t="n"/>
      <c r="S899" s="3" t="n"/>
      <c r="T899" s="3" t="n"/>
      <c r="U899" s="3" t="n"/>
      <c r="V899" s="3" t="n"/>
      <c r="W899" s="3" t="n"/>
    </row>
    <row r="900">
      <c r="A900" s="6" t="n"/>
      <c r="B900" s="113">
        <f>IF($C900="","","GG"&amp;TEXT(ROW()-6,"00000"))</f>
        <v/>
      </c>
      <c r="C900" s="225" t="n"/>
      <c r="D900" s="108" t="n"/>
      <c r="E900" s="109" t="n"/>
      <c r="F900" s="109" t="n"/>
      <c r="G900" s="226" t="n"/>
      <c r="H900" s="108" t="n"/>
      <c r="I900" s="108" t="n"/>
      <c r="J900" s="109" t="n"/>
      <c r="K900" s="109" t="n"/>
      <c r="L900" s="121">
        <f>IF($C900="","",IF($D900="Gider",$E900,$H900))</f>
        <v/>
      </c>
      <c r="M900" s="121">
        <f>IF($C900="","",IF($D900="Gider",$H900,$E900))</f>
        <v/>
      </c>
      <c r="N900" s="231">
        <f>IF($C900="","",DATE(YEAR($C900),MONTH($C900),1))</f>
        <v/>
      </c>
      <c r="O900" s="113">
        <f>IF($C900="","",IF(AND($D900&lt;&gt;"",$E900&lt;&gt;"",$G900&gt;0,$H900&lt;&gt;"",$I900&lt;&gt;""),IF($C900&gt;TODAY(),"İLERİ TARİH","UYGUN"),"EKSİK"))</f>
        <v/>
      </c>
      <c r="P900" s="6" t="n"/>
      <c r="Q900" s="6" t="n"/>
      <c r="R900" s="3" t="n"/>
      <c r="S900" s="3" t="n"/>
      <c r="T900" s="3" t="n"/>
      <c r="U900" s="3" t="n"/>
      <c r="V900" s="3" t="n"/>
      <c r="W900" s="3" t="n"/>
    </row>
    <row r="901">
      <c r="A901" s="6" t="n"/>
      <c r="B901" s="113">
        <f>IF($C901="","","GG"&amp;TEXT(ROW()-6,"00000"))</f>
        <v/>
      </c>
      <c r="C901" s="225" t="n"/>
      <c r="D901" s="108" t="n"/>
      <c r="E901" s="109" t="n"/>
      <c r="F901" s="109" t="n"/>
      <c r="G901" s="226" t="n"/>
      <c r="H901" s="108" t="n"/>
      <c r="I901" s="108" t="n"/>
      <c r="J901" s="109" t="n"/>
      <c r="K901" s="109" t="n"/>
      <c r="L901" s="121">
        <f>IF($C901="","",IF($D901="Gider",$E901,$H901))</f>
        <v/>
      </c>
      <c r="M901" s="121">
        <f>IF($C901="","",IF($D901="Gider",$H901,$E901))</f>
        <v/>
      </c>
      <c r="N901" s="231">
        <f>IF($C901="","",DATE(YEAR($C901),MONTH($C901),1))</f>
        <v/>
      </c>
      <c r="O901" s="113">
        <f>IF($C901="","",IF(AND($D901&lt;&gt;"",$E901&lt;&gt;"",$G901&gt;0,$H901&lt;&gt;"",$I901&lt;&gt;""),IF($C901&gt;TODAY(),"İLERİ TARİH","UYGUN"),"EKSİK"))</f>
        <v/>
      </c>
      <c r="P901" s="6" t="n"/>
      <c r="Q901" s="6" t="n"/>
      <c r="R901" s="3" t="n"/>
      <c r="S901" s="3" t="n"/>
      <c r="T901" s="3" t="n"/>
      <c r="U901" s="3" t="n"/>
      <c r="V901" s="3" t="n"/>
      <c r="W901" s="3" t="n"/>
    </row>
    <row r="902">
      <c r="A902" s="6" t="n"/>
      <c r="B902" s="113">
        <f>IF($C902="","","GG"&amp;TEXT(ROW()-6,"00000"))</f>
        <v/>
      </c>
      <c r="C902" s="225" t="n"/>
      <c r="D902" s="108" t="n"/>
      <c r="E902" s="109" t="n"/>
      <c r="F902" s="109" t="n"/>
      <c r="G902" s="226" t="n"/>
      <c r="H902" s="108" t="n"/>
      <c r="I902" s="108" t="n"/>
      <c r="J902" s="109" t="n"/>
      <c r="K902" s="109" t="n"/>
      <c r="L902" s="121">
        <f>IF($C902="","",IF($D902="Gider",$E902,$H902))</f>
        <v/>
      </c>
      <c r="M902" s="121">
        <f>IF($C902="","",IF($D902="Gider",$H902,$E902))</f>
        <v/>
      </c>
      <c r="N902" s="231">
        <f>IF($C902="","",DATE(YEAR($C902),MONTH($C902),1))</f>
        <v/>
      </c>
      <c r="O902" s="113">
        <f>IF($C902="","",IF(AND($D902&lt;&gt;"",$E902&lt;&gt;"",$G902&gt;0,$H902&lt;&gt;"",$I902&lt;&gt;""),IF($C902&gt;TODAY(),"İLERİ TARİH","UYGUN"),"EKSİK"))</f>
        <v/>
      </c>
      <c r="P902" s="6" t="n"/>
      <c r="Q902" s="6" t="n"/>
      <c r="R902" s="3" t="n"/>
      <c r="S902" s="3" t="n"/>
      <c r="T902" s="3" t="n"/>
      <c r="U902" s="3" t="n"/>
      <c r="V902" s="3" t="n"/>
      <c r="W902" s="3" t="n"/>
    </row>
    <row r="903">
      <c r="A903" s="6" t="n"/>
      <c r="B903" s="113">
        <f>IF($C903="","","GG"&amp;TEXT(ROW()-6,"00000"))</f>
        <v/>
      </c>
      <c r="C903" s="225" t="n"/>
      <c r="D903" s="108" t="n"/>
      <c r="E903" s="109" t="n"/>
      <c r="F903" s="109" t="n"/>
      <c r="G903" s="226" t="n"/>
      <c r="H903" s="108" t="n"/>
      <c r="I903" s="108" t="n"/>
      <c r="J903" s="109" t="n"/>
      <c r="K903" s="109" t="n"/>
      <c r="L903" s="121">
        <f>IF($C903="","",IF($D903="Gider",$E903,$H903))</f>
        <v/>
      </c>
      <c r="M903" s="121">
        <f>IF($C903="","",IF($D903="Gider",$H903,$E903))</f>
        <v/>
      </c>
      <c r="N903" s="231">
        <f>IF($C903="","",DATE(YEAR($C903),MONTH($C903),1))</f>
        <v/>
      </c>
      <c r="O903" s="113">
        <f>IF($C903="","",IF(AND($D903&lt;&gt;"",$E903&lt;&gt;"",$G903&gt;0,$H903&lt;&gt;"",$I903&lt;&gt;""),IF($C903&gt;TODAY(),"İLERİ TARİH","UYGUN"),"EKSİK"))</f>
        <v/>
      </c>
      <c r="P903" s="6" t="n"/>
      <c r="Q903" s="6" t="n"/>
      <c r="R903" s="3" t="n"/>
      <c r="S903" s="3" t="n"/>
      <c r="T903" s="3" t="n"/>
      <c r="U903" s="3" t="n"/>
      <c r="V903" s="3" t="n"/>
      <c r="W903" s="3" t="n"/>
    </row>
    <row r="904">
      <c r="A904" s="6" t="n"/>
      <c r="B904" s="113">
        <f>IF($C904="","","GG"&amp;TEXT(ROW()-6,"00000"))</f>
        <v/>
      </c>
      <c r="C904" s="225" t="n"/>
      <c r="D904" s="108" t="n"/>
      <c r="E904" s="109" t="n"/>
      <c r="F904" s="109" t="n"/>
      <c r="G904" s="226" t="n"/>
      <c r="H904" s="108" t="n"/>
      <c r="I904" s="108" t="n"/>
      <c r="J904" s="109" t="n"/>
      <c r="K904" s="109" t="n"/>
      <c r="L904" s="121">
        <f>IF($C904="","",IF($D904="Gider",$E904,$H904))</f>
        <v/>
      </c>
      <c r="M904" s="121">
        <f>IF($C904="","",IF($D904="Gider",$H904,$E904))</f>
        <v/>
      </c>
      <c r="N904" s="231">
        <f>IF($C904="","",DATE(YEAR($C904),MONTH($C904),1))</f>
        <v/>
      </c>
      <c r="O904" s="113">
        <f>IF($C904="","",IF(AND($D904&lt;&gt;"",$E904&lt;&gt;"",$G904&gt;0,$H904&lt;&gt;"",$I904&lt;&gt;""),IF($C904&gt;TODAY(),"İLERİ TARİH","UYGUN"),"EKSİK"))</f>
        <v/>
      </c>
      <c r="P904" s="6" t="n"/>
      <c r="Q904" s="6" t="n"/>
      <c r="R904" s="3" t="n"/>
      <c r="S904" s="3" t="n"/>
      <c r="T904" s="3" t="n"/>
      <c r="U904" s="3" t="n"/>
      <c r="V904" s="3" t="n"/>
      <c r="W904" s="3" t="n"/>
    </row>
    <row r="905">
      <c r="A905" s="6" t="n"/>
      <c r="B905" s="113">
        <f>IF($C905="","","GG"&amp;TEXT(ROW()-6,"00000"))</f>
        <v/>
      </c>
      <c r="C905" s="225" t="n"/>
      <c r="D905" s="108" t="n"/>
      <c r="E905" s="109" t="n"/>
      <c r="F905" s="109" t="n"/>
      <c r="G905" s="226" t="n"/>
      <c r="H905" s="108" t="n"/>
      <c r="I905" s="108" t="n"/>
      <c r="J905" s="109" t="n"/>
      <c r="K905" s="109" t="n"/>
      <c r="L905" s="121">
        <f>IF($C905="","",IF($D905="Gider",$E905,$H905))</f>
        <v/>
      </c>
      <c r="M905" s="121">
        <f>IF($C905="","",IF($D905="Gider",$H905,$E905))</f>
        <v/>
      </c>
      <c r="N905" s="231">
        <f>IF($C905="","",DATE(YEAR($C905),MONTH($C905),1))</f>
        <v/>
      </c>
      <c r="O905" s="113">
        <f>IF($C905="","",IF(AND($D905&lt;&gt;"",$E905&lt;&gt;"",$G905&gt;0,$H905&lt;&gt;"",$I905&lt;&gt;""),IF($C905&gt;TODAY(),"İLERİ TARİH","UYGUN"),"EKSİK"))</f>
        <v/>
      </c>
      <c r="P905" s="6" t="n"/>
      <c r="Q905" s="6" t="n"/>
      <c r="R905" s="3" t="n"/>
      <c r="S905" s="3" t="n"/>
      <c r="T905" s="3" t="n"/>
      <c r="U905" s="3" t="n"/>
      <c r="V905" s="3" t="n"/>
      <c r="W905" s="3" t="n"/>
    </row>
    <row r="906">
      <c r="A906" s="6" t="n"/>
      <c r="B906" s="113">
        <f>IF($C906="","","GG"&amp;TEXT(ROW()-6,"00000"))</f>
        <v/>
      </c>
      <c r="C906" s="225" t="n"/>
      <c r="D906" s="108" t="n"/>
      <c r="E906" s="109" t="n"/>
      <c r="F906" s="109" t="n"/>
      <c r="G906" s="226" t="n"/>
      <c r="H906" s="108" t="n"/>
      <c r="I906" s="108" t="n"/>
      <c r="J906" s="109" t="n"/>
      <c r="K906" s="109" t="n"/>
      <c r="L906" s="121">
        <f>IF($C906="","",IF($D906="Gider",$E906,$H906))</f>
        <v/>
      </c>
      <c r="M906" s="121">
        <f>IF($C906="","",IF($D906="Gider",$H906,$E906))</f>
        <v/>
      </c>
      <c r="N906" s="231">
        <f>IF($C906="","",DATE(YEAR($C906),MONTH($C906),1))</f>
        <v/>
      </c>
      <c r="O906" s="113">
        <f>IF($C906="","",IF(AND($D906&lt;&gt;"",$E906&lt;&gt;"",$G906&gt;0,$H906&lt;&gt;"",$I906&lt;&gt;""),IF($C906&gt;TODAY(),"İLERİ TARİH","UYGUN"),"EKSİK"))</f>
        <v/>
      </c>
      <c r="P906" s="6" t="n"/>
      <c r="Q906" s="6" t="n"/>
      <c r="R906" s="3" t="n"/>
      <c r="S906" s="3" t="n"/>
      <c r="T906" s="3" t="n"/>
      <c r="U906" s="3" t="n"/>
      <c r="V906" s="3" t="n"/>
      <c r="W906" s="3" t="n"/>
    </row>
    <row r="907">
      <c r="A907" s="6" t="n"/>
      <c r="B907" s="113">
        <f>IF($C907="","","GG"&amp;TEXT(ROW()-6,"00000"))</f>
        <v/>
      </c>
      <c r="C907" s="225" t="n"/>
      <c r="D907" s="108" t="n"/>
      <c r="E907" s="109" t="n"/>
      <c r="F907" s="109" t="n"/>
      <c r="G907" s="226" t="n"/>
      <c r="H907" s="108" t="n"/>
      <c r="I907" s="108" t="n"/>
      <c r="J907" s="109" t="n"/>
      <c r="K907" s="109" t="n"/>
      <c r="L907" s="121">
        <f>IF($C907="","",IF($D907="Gider",$E907,$H907))</f>
        <v/>
      </c>
      <c r="M907" s="121">
        <f>IF($C907="","",IF($D907="Gider",$H907,$E907))</f>
        <v/>
      </c>
      <c r="N907" s="231">
        <f>IF($C907="","",DATE(YEAR($C907),MONTH($C907),1))</f>
        <v/>
      </c>
      <c r="O907" s="113">
        <f>IF($C907="","",IF(AND($D907&lt;&gt;"",$E907&lt;&gt;"",$G907&gt;0,$H907&lt;&gt;"",$I907&lt;&gt;""),IF($C907&gt;TODAY(),"İLERİ TARİH","UYGUN"),"EKSİK"))</f>
        <v/>
      </c>
      <c r="P907" s="6" t="n"/>
      <c r="Q907" s="6" t="n"/>
      <c r="R907" s="3" t="n"/>
      <c r="S907" s="3" t="n"/>
      <c r="T907" s="3" t="n"/>
      <c r="U907" s="3" t="n"/>
      <c r="V907" s="3" t="n"/>
      <c r="W907" s="3" t="n"/>
    </row>
    <row r="908">
      <c r="A908" s="6" t="n"/>
      <c r="B908" s="113">
        <f>IF($C908="","","GG"&amp;TEXT(ROW()-6,"00000"))</f>
        <v/>
      </c>
      <c r="C908" s="225" t="n"/>
      <c r="D908" s="108" t="n"/>
      <c r="E908" s="109" t="n"/>
      <c r="F908" s="109" t="n"/>
      <c r="G908" s="226" t="n"/>
      <c r="H908" s="108" t="n"/>
      <c r="I908" s="108" t="n"/>
      <c r="J908" s="109" t="n"/>
      <c r="K908" s="109" t="n"/>
      <c r="L908" s="121">
        <f>IF($C908="","",IF($D908="Gider",$E908,$H908))</f>
        <v/>
      </c>
      <c r="M908" s="121">
        <f>IF($C908="","",IF($D908="Gider",$H908,$E908))</f>
        <v/>
      </c>
      <c r="N908" s="231">
        <f>IF($C908="","",DATE(YEAR($C908),MONTH($C908),1))</f>
        <v/>
      </c>
      <c r="O908" s="113">
        <f>IF($C908="","",IF(AND($D908&lt;&gt;"",$E908&lt;&gt;"",$G908&gt;0,$H908&lt;&gt;"",$I908&lt;&gt;""),IF($C908&gt;TODAY(),"İLERİ TARİH","UYGUN"),"EKSİK"))</f>
        <v/>
      </c>
      <c r="P908" s="6" t="n"/>
      <c r="Q908" s="6" t="n"/>
      <c r="R908" s="3" t="n"/>
      <c r="S908" s="3" t="n"/>
      <c r="T908" s="3" t="n"/>
      <c r="U908" s="3" t="n"/>
      <c r="V908" s="3" t="n"/>
      <c r="W908" s="3" t="n"/>
    </row>
    <row r="909">
      <c r="A909" s="6" t="n"/>
      <c r="B909" s="113">
        <f>IF($C909="","","GG"&amp;TEXT(ROW()-6,"00000"))</f>
        <v/>
      </c>
      <c r="C909" s="225" t="n"/>
      <c r="D909" s="108" t="n"/>
      <c r="E909" s="109" t="n"/>
      <c r="F909" s="109" t="n"/>
      <c r="G909" s="226" t="n"/>
      <c r="H909" s="108" t="n"/>
      <c r="I909" s="108" t="n"/>
      <c r="J909" s="109" t="n"/>
      <c r="K909" s="109" t="n"/>
      <c r="L909" s="121">
        <f>IF($C909="","",IF($D909="Gider",$E909,$H909))</f>
        <v/>
      </c>
      <c r="M909" s="121">
        <f>IF($C909="","",IF($D909="Gider",$H909,$E909))</f>
        <v/>
      </c>
      <c r="N909" s="231">
        <f>IF($C909="","",DATE(YEAR($C909),MONTH($C909),1))</f>
        <v/>
      </c>
      <c r="O909" s="113">
        <f>IF($C909="","",IF(AND($D909&lt;&gt;"",$E909&lt;&gt;"",$G909&gt;0,$H909&lt;&gt;"",$I909&lt;&gt;""),IF($C909&gt;TODAY(),"İLERİ TARİH","UYGUN"),"EKSİK"))</f>
        <v/>
      </c>
      <c r="P909" s="6" t="n"/>
      <c r="Q909" s="6" t="n"/>
      <c r="R909" s="3" t="n"/>
      <c r="S909" s="3" t="n"/>
      <c r="T909" s="3" t="n"/>
      <c r="U909" s="3" t="n"/>
      <c r="V909" s="3" t="n"/>
      <c r="W909" s="3" t="n"/>
    </row>
    <row r="910">
      <c r="A910" s="6" t="n"/>
      <c r="B910" s="113">
        <f>IF($C910="","","GG"&amp;TEXT(ROW()-6,"00000"))</f>
        <v/>
      </c>
      <c r="C910" s="225" t="n"/>
      <c r="D910" s="108" t="n"/>
      <c r="E910" s="109" t="n"/>
      <c r="F910" s="109" t="n"/>
      <c r="G910" s="226" t="n"/>
      <c r="H910" s="108" t="n"/>
      <c r="I910" s="108" t="n"/>
      <c r="J910" s="109" t="n"/>
      <c r="K910" s="109" t="n"/>
      <c r="L910" s="121">
        <f>IF($C910="","",IF($D910="Gider",$E910,$H910))</f>
        <v/>
      </c>
      <c r="M910" s="121">
        <f>IF($C910="","",IF($D910="Gider",$H910,$E910))</f>
        <v/>
      </c>
      <c r="N910" s="231">
        <f>IF($C910="","",DATE(YEAR($C910),MONTH($C910),1))</f>
        <v/>
      </c>
      <c r="O910" s="113">
        <f>IF($C910="","",IF(AND($D910&lt;&gt;"",$E910&lt;&gt;"",$G910&gt;0,$H910&lt;&gt;"",$I910&lt;&gt;""),IF($C910&gt;TODAY(),"İLERİ TARİH","UYGUN"),"EKSİK"))</f>
        <v/>
      </c>
      <c r="P910" s="6" t="n"/>
      <c r="Q910" s="6" t="n"/>
      <c r="R910" s="3" t="n"/>
      <c r="S910" s="3" t="n"/>
      <c r="T910" s="3" t="n"/>
      <c r="U910" s="3" t="n"/>
      <c r="V910" s="3" t="n"/>
      <c r="W910" s="3" t="n"/>
    </row>
    <row r="911">
      <c r="A911" s="6" t="n"/>
      <c r="B911" s="113">
        <f>IF($C911="","","GG"&amp;TEXT(ROW()-6,"00000"))</f>
        <v/>
      </c>
      <c r="C911" s="225" t="n"/>
      <c r="D911" s="108" t="n"/>
      <c r="E911" s="109" t="n"/>
      <c r="F911" s="109" t="n"/>
      <c r="G911" s="226" t="n"/>
      <c r="H911" s="108" t="n"/>
      <c r="I911" s="108" t="n"/>
      <c r="J911" s="109" t="n"/>
      <c r="K911" s="109" t="n"/>
      <c r="L911" s="121">
        <f>IF($C911="","",IF($D911="Gider",$E911,$H911))</f>
        <v/>
      </c>
      <c r="M911" s="121">
        <f>IF($C911="","",IF($D911="Gider",$H911,$E911))</f>
        <v/>
      </c>
      <c r="N911" s="231">
        <f>IF($C911="","",DATE(YEAR($C911),MONTH($C911),1))</f>
        <v/>
      </c>
      <c r="O911" s="113">
        <f>IF($C911="","",IF(AND($D911&lt;&gt;"",$E911&lt;&gt;"",$G911&gt;0,$H911&lt;&gt;"",$I911&lt;&gt;""),IF($C911&gt;TODAY(),"İLERİ TARİH","UYGUN"),"EKSİK"))</f>
        <v/>
      </c>
      <c r="P911" s="6" t="n"/>
      <c r="Q911" s="6" t="n"/>
      <c r="R911" s="3" t="n"/>
      <c r="S911" s="3" t="n"/>
      <c r="T911" s="3" t="n"/>
      <c r="U911" s="3" t="n"/>
      <c r="V911" s="3" t="n"/>
      <c r="W911" s="3" t="n"/>
    </row>
    <row r="912">
      <c r="A912" s="6" t="n"/>
      <c r="B912" s="113">
        <f>IF($C912="","","GG"&amp;TEXT(ROW()-6,"00000"))</f>
        <v/>
      </c>
      <c r="C912" s="225" t="n"/>
      <c r="D912" s="108" t="n"/>
      <c r="E912" s="109" t="n"/>
      <c r="F912" s="109" t="n"/>
      <c r="G912" s="226" t="n"/>
      <c r="H912" s="108" t="n"/>
      <c r="I912" s="108" t="n"/>
      <c r="J912" s="109" t="n"/>
      <c r="K912" s="109" t="n"/>
      <c r="L912" s="121">
        <f>IF($C912="","",IF($D912="Gider",$E912,$H912))</f>
        <v/>
      </c>
      <c r="M912" s="121">
        <f>IF($C912="","",IF($D912="Gider",$H912,$E912))</f>
        <v/>
      </c>
      <c r="N912" s="231">
        <f>IF($C912="","",DATE(YEAR($C912),MONTH($C912),1))</f>
        <v/>
      </c>
      <c r="O912" s="113">
        <f>IF($C912="","",IF(AND($D912&lt;&gt;"",$E912&lt;&gt;"",$G912&gt;0,$H912&lt;&gt;"",$I912&lt;&gt;""),IF($C912&gt;TODAY(),"İLERİ TARİH","UYGUN"),"EKSİK"))</f>
        <v/>
      </c>
      <c r="P912" s="6" t="n"/>
      <c r="Q912" s="6" t="n"/>
      <c r="R912" s="3" t="n"/>
      <c r="S912" s="3" t="n"/>
      <c r="T912" s="3" t="n"/>
      <c r="U912" s="3" t="n"/>
      <c r="V912" s="3" t="n"/>
      <c r="W912" s="3" t="n"/>
    </row>
    <row r="913">
      <c r="A913" s="6" t="n"/>
      <c r="B913" s="113">
        <f>IF($C913="","","GG"&amp;TEXT(ROW()-6,"00000"))</f>
        <v/>
      </c>
      <c r="C913" s="225" t="n"/>
      <c r="D913" s="108" t="n"/>
      <c r="E913" s="109" t="n"/>
      <c r="F913" s="109" t="n"/>
      <c r="G913" s="226" t="n"/>
      <c r="H913" s="108" t="n"/>
      <c r="I913" s="108" t="n"/>
      <c r="J913" s="109" t="n"/>
      <c r="K913" s="109" t="n"/>
      <c r="L913" s="121">
        <f>IF($C913="","",IF($D913="Gider",$E913,$H913))</f>
        <v/>
      </c>
      <c r="M913" s="121">
        <f>IF($C913="","",IF($D913="Gider",$H913,$E913))</f>
        <v/>
      </c>
      <c r="N913" s="231">
        <f>IF($C913="","",DATE(YEAR($C913),MONTH($C913),1))</f>
        <v/>
      </c>
      <c r="O913" s="113">
        <f>IF($C913="","",IF(AND($D913&lt;&gt;"",$E913&lt;&gt;"",$G913&gt;0,$H913&lt;&gt;"",$I913&lt;&gt;""),IF($C913&gt;TODAY(),"İLERİ TARİH","UYGUN"),"EKSİK"))</f>
        <v/>
      </c>
      <c r="P913" s="6" t="n"/>
      <c r="Q913" s="6" t="n"/>
      <c r="R913" s="3" t="n"/>
      <c r="S913" s="3" t="n"/>
      <c r="T913" s="3" t="n"/>
      <c r="U913" s="3" t="n"/>
      <c r="V913" s="3" t="n"/>
      <c r="W913" s="3" t="n"/>
    </row>
    <row r="914">
      <c r="A914" s="6" t="n"/>
      <c r="B914" s="113">
        <f>IF($C914="","","GG"&amp;TEXT(ROW()-6,"00000"))</f>
        <v/>
      </c>
      <c r="C914" s="225" t="n"/>
      <c r="D914" s="108" t="n"/>
      <c r="E914" s="109" t="n"/>
      <c r="F914" s="109" t="n"/>
      <c r="G914" s="226" t="n"/>
      <c r="H914" s="108" t="n"/>
      <c r="I914" s="108" t="n"/>
      <c r="J914" s="109" t="n"/>
      <c r="K914" s="109" t="n"/>
      <c r="L914" s="121">
        <f>IF($C914="","",IF($D914="Gider",$E914,$H914))</f>
        <v/>
      </c>
      <c r="M914" s="121">
        <f>IF($C914="","",IF($D914="Gider",$H914,$E914))</f>
        <v/>
      </c>
      <c r="N914" s="231">
        <f>IF($C914="","",DATE(YEAR($C914),MONTH($C914),1))</f>
        <v/>
      </c>
      <c r="O914" s="113">
        <f>IF($C914="","",IF(AND($D914&lt;&gt;"",$E914&lt;&gt;"",$G914&gt;0,$H914&lt;&gt;"",$I914&lt;&gt;""),IF($C914&gt;TODAY(),"İLERİ TARİH","UYGUN"),"EKSİK"))</f>
        <v/>
      </c>
      <c r="P914" s="6" t="n"/>
      <c r="Q914" s="6" t="n"/>
      <c r="R914" s="3" t="n"/>
      <c r="S914" s="3" t="n"/>
      <c r="T914" s="3" t="n"/>
      <c r="U914" s="3" t="n"/>
      <c r="V914" s="3" t="n"/>
      <c r="W914" s="3" t="n"/>
    </row>
    <row r="915">
      <c r="A915" s="6" t="n"/>
      <c r="B915" s="113">
        <f>IF($C915="","","GG"&amp;TEXT(ROW()-6,"00000"))</f>
        <v/>
      </c>
      <c r="C915" s="225" t="n"/>
      <c r="D915" s="108" t="n"/>
      <c r="E915" s="109" t="n"/>
      <c r="F915" s="109" t="n"/>
      <c r="G915" s="226" t="n"/>
      <c r="H915" s="108" t="n"/>
      <c r="I915" s="108" t="n"/>
      <c r="J915" s="109" t="n"/>
      <c r="K915" s="109" t="n"/>
      <c r="L915" s="121">
        <f>IF($C915="","",IF($D915="Gider",$E915,$H915))</f>
        <v/>
      </c>
      <c r="M915" s="121">
        <f>IF($C915="","",IF($D915="Gider",$H915,$E915))</f>
        <v/>
      </c>
      <c r="N915" s="231">
        <f>IF($C915="","",DATE(YEAR($C915),MONTH($C915),1))</f>
        <v/>
      </c>
      <c r="O915" s="113">
        <f>IF($C915="","",IF(AND($D915&lt;&gt;"",$E915&lt;&gt;"",$G915&gt;0,$H915&lt;&gt;"",$I915&lt;&gt;""),IF($C915&gt;TODAY(),"İLERİ TARİH","UYGUN"),"EKSİK"))</f>
        <v/>
      </c>
      <c r="P915" s="6" t="n"/>
      <c r="Q915" s="6" t="n"/>
      <c r="R915" s="3" t="n"/>
      <c r="S915" s="3" t="n"/>
      <c r="T915" s="3" t="n"/>
      <c r="U915" s="3" t="n"/>
      <c r="V915" s="3" t="n"/>
      <c r="W915" s="3" t="n"/>
    </row>
    <row r="916">
      <c r="A916" s="6" t="n"/>
      <c r="B916" s="113">
        <f>IF($C916="","","GG"&amp;TEXT(ROW()-6,"00000"))</f>
        <v/>
      </c>
      <c r="C916" s="225" t="n"/>
      <c r="D916" s="108" t="n"/>
      <c r="E916" s="109" t="n"/>
      <c r="F916" s="109" t="n"/>
      <c r="G916" s="226" t="n"/>
      <c r="H916" s="108" t="n"/>
      <c r="I916" s="108" t="n"/>
      <c r="J916" s="109" t="n"/>
      <c r="K916" s="109" t="n"/>
      <c r="L916" s="121">
        <f>IF($C916="","",IF($D916="Gider",$E916,$H916))</f>
        <v/>
      </c>
      <c r="M916" s="121">
        <f>IF($C916="","",IF($D916="Gider",$H916,$E916))</f>
        <v/>
      </c>
      <c r="N916" s="231">
        <f>IF($C916="","",DATE(YEAR($C916),MONTH($C916),1))</f>
        <v/>
      </c>
      <c r="O916" s="113">
        <f>IF($C916="","",IF(AND($D916&lt;&gt;"",$E916&lt;&gt;"",$G916&gt;0,$H916&lt;&gt;"",$I916&lt;&gt;""),IF($C916&gt;TODAY(),"İLERİ TARİH","UYGUN"),"EKSİK"))</f>
        <v/>
      </c>
      <c r="P916" s="6" t="n"/>
      <c r="Q916" s="6" t="n"/>
      <c r="R916" s="3" t="n"/>
      <c r="S916" s="3" t="n"/>
      <c r="T916" s="3" t="n"/>
      <c r="U916" s="3" t="n"/>
      <c r="V916" s="3" t="n"/>
      <c r="W916" s="3" t="n"/>
    </row>
    <row r="917">
      <c r="A917" s="6" t="n"/>
      <c r="B917" s="113">
        <f>IF($C917="","","GG"&amp;TEXT(ROW()-6,"00000"))</f>
        <v/>
      </c>
      <c r="C917" s="225" t="n"/>
      <c r="D917" s="108" t="n"/>
      <c r="E917" s="109" t="n"/>
      <c r="F917" s="109" t="n"/>
      <c r="G917" s="226" t="n"/>
      <c r="H917" s="108" t="n"/>
      <c r="I917" s="108" t="n"/>
      <c r="J917" s="109" t="n"/>
      <c r="K917" s="109" t="n"/>
      <c r="L917" s="121">
        <f>IF($C917="","",IF($D917="Gider",$E917,$H917))</f>
        <v/>
      </c>
      <c r="M917" s="121">
        <f>IF($C917="","",IF($D917="Gider",$H917,$E917))</f>
        <v/>
      </c>
      <c r="N917" s="231">
        <f>IF($C917="","",DATE(YEAR($C917),MONTH($C917),1))</f>
        <v/>
      </c>
      <c r="O917" s="113">
        <f>IF($C917="","",IF(AND($D917&lt;&gt;"",$E917&lt;&gt;"",$G917&gt;0,$H917&lt;&gt;"",$I917&lt;&gt;""),IF($C917&gt;TODAY(),"İLERİ TARİH","UYGUN"),"EKSİK"))</f>
        <v/>
      </c>
      <c r="P917" s="6" t="n"/>
      <c r="Q917" s="6" t="n"/>
      <c r="R917" s="3" t="n"/>
      <c r="S917" s="3" t="n"/>
      <c r="T917" s="3" t="n"/>
      <c r="U917" s="3" t="n"/>
      <c r="V917" s="3" t="n"/>
      <c r="W917" s="3" t="n"/>
    </row>
    <row r="918">
      <c r="A918" s="6" t="n"/>
      <c r="B918" s="113">
        <f>IF($C918="","","GG"&amp;TEXT(ROW()-6,"00000"))</f>
        <v/>
      </c>
      <c r="C918" s="225" t="n"/>
      <c r="D918" s="108" t="n"/>
      <c r="E918" s="109" t="n"/>
      <c r="F918" s="109" t="n"/>
      <c r="G918" s="226" t="n"/>
      <c r="H918" s="108" t="n"/>
      <c r="I918" s="108" t="n"/>
      <c r="J918" s="109" t="n"/>
      <c r="K918" s="109" t="n"/>
      <c r="L918" s="121">
        <f>IF($C918="","",IF($D918="Gider",$E918,$H918))</f>
        <v/>
      </c>
      <c r="M918" s="121">
        <f>IF($C918="","",IF($D918="Gider",$H918,$E918))</f>
        <v/>
      </c>
      <c r="N918" s="231">
        <f>IF($C918="","",DATE(YEAR($C918),MONTH($C918),1))</f>
        <v/>
      </c>
      <c r="O918" s="113">
        <f>IF($C918="","",IF(AND($D918&lt;&gt;"",$E918&lt;&gt;"",$G918&gt;0,$H918&lt;&gt;"",$I918&lt;&gt;""),IF($C918&gt;TODAY(),"İLERİ TARİH","UYGUN"),"EKSİK"))</f>
        <v/>
      </c>
      <c r="P918" s="6" t="n"/>
      <c r="Q918" s="6" t="n"/>
      <c r="R918" s="3" t="n"/>
      <c r="S918" s="3" t="n"/>
      <c r="T918" s="3" t="n"/>
      <c r="U918" s="3" t="n"/>
      <c r="V918" s="3" t="n"/>
      <c r="W918" s="3" t="n"/>
    </row>
    <row r="919">
      <c r="A919" s="6" t="n"/>
      <c r="B919" s="113">
        <f>IF($C919="","","GG"&amp;TEXT(ROW()-6,"00000"))</f>
        <v/>
      </c>
      <c r="C919" s="225" t="n"/>
      <c r="D919" s="108" t="n"/>
      <c r="E919" s="109" t="n"/>
      <c r="F919" s="109" t="n"/>
      <c r="G919" s="226" t="n"/>
      <c r="H919" s="108" t="n"/>
      <c r="I919" s="108" t="n"/>
      <c r="J919" s="109" t="n"/>
      <c r="K919" s="109" t="n"/>
      <c r="L919" s="121">
        <f>IF($C919="","",IF($D919="Gider",$E919,$H919))</f>
        <v/>
      </c>
      <c r="M919" s="121">
        <f>IF($C919="","",IF($D919="Gider",$H919,$E919))</f>
        <v/>
      </c>
      <c r="N919" s="231">
        <f>IF($C919="","",DATE(YEAR($C919),MONTH($C919),1))</f>
        <v/>
      </c>
      <c r="O919" s="113">
        <f>IF($C919="","",IF(AND($D919&lt;&gt;"",$E919&lt;&gt;"",$G919&gt;0,$H919&lt;&gt;"",$I919&lt;&gt;""),IF($C919&gt;TODAY(),"İLERİ TARİH","UYGUN"),"EKSİK"))</f>
        <v/>
      </c>
      <c r="P919" s="6" t="n"/>
      <c r="Q919" s="6" t="n"/>
      <c r="R919" s="3" t="n"/>
      <c r="S919" s="3" t="n"/>
      <c r="T919" s="3" t="n"/>
      <c r="U919" s="3" t="n"/>
      <c r="V919" s="3" t="n"/>
      <c r="W919" s="3" t="n"/>
    </row>
    <row r="920">
      <c r="A920" s="6" t="n"/>
      <c r="B920" s="113">
        <f>IF($C920="","","GG"&amp;TEXT(ROW()-6,"00000"))</f>
        <v/>
      </c>
      <c r="C920" s="225" t="n"/>
      <c r="D920" s="108" t="n"/>
      <c r="E920" s="109" t="n"/>
      <c r="F920" s="109" t="n"/>
      <c r="G920" s="226" t="n"/>
      <c r="H920" s="108" t="n"/>
      <c r="I920" s="108" t="n"/>
      <c r="J920" s="109" t="n"/>
      <c r="K920" s="109" t="n"/>
      <c r="L920" s="121">
        <f>IF($C920="","",IF($D920="Gider",$E920,$H920))</f>
        <v/>
      </c>
      <c r="M920" s="121">
        <f>IF($C920="","",IF($D920="Gider",$H920,$E920))</f>
        <v/>
      </c>
      <c r="N920" s="231">
        <f>IF($C920="","",DATE(YEAR($C920),MONTH($C920),1))</f>
        <v/>
      </c>
      <c r="O920" s="113">
        <f>IF($C920="","",IF(AND($D920&lt;&gt;"",$E920&lt;&gt;"",$G920&gt;0,$H920&lt;&gt;"",$I920&lt;&gt;""),IF($C920&gt;TODAY(),"İLERİ TARİH","UYGUN"),"EKSİK"))</f>
        <v/>
      </c>
      <c r="P920" s="6" t="n"/>
      <c r="Q920" s="6" t="n"/>
      <c r="R920" s="3" t="n"/>
      <c r="S920" s="3" t="n"/>
      <c r="T920" s="3" t="n"/>
      <c r="U920" s="3" t="n"/>
      <c r="V920" s="3" t="n"/>
      <c r="W920" s="3" t="n"/>
    </row>
    <row r="921">
      <c r="A921" s="6" t="n"/>
      <c r="B921" s="113">
        <f>IF($C921="","","GG"&amp;TEXT(ROW()-6,"00000"))</f>
        <v/>
      </c>
      <c r="C921" s="225" t="n"/>
      <c r="D921" s="108" t="n"/>
      <c r="E921" s="109" t="n"/>
      <c r="F921" s="109" t="n"/>
      <c r="G921" s="226" t="n"/>
      <c r="H921" s="108" t="n"/>
      <c r="I921" s="108" t="n"/>
      <c r="J921" s="109" t="n"/>
      <c r="K921" s="109" t="n"/>
      <c r="L921" s="121">
        <f>IF($C921="","",IF($D921="Gider",$E921,$H921))</f>
        <v/>
      </c>
      <c r="M921" s="121">
        <f>IF($C921="","",IF($D921="Gider",$H921,$E921))</f>
        <v/>
      </c>
      <c r="N921" s="231">
        <f>IF($C921="","",DATE(YEAR($C921),MONTH($C921),1))</f>
        <v/>
      </c>
      <c r="O921" s="113">
        <f>IF($C921="","",IF(AND($D921&lt;&gt;"",$E921&lt;&gt;"",$G921&gt;0,$H921&lt;&gt;"",$I921&lt;&gt;""),IF($C921&gt;TODAY(),"İLERİ TARİH","UYGUN"),"EKSİK"))</f>
        <v/>
      </c>
      <c r="P921" s="6" t="n"/>
      <c r="Q921" s="6" t="n"/>
      <c r="R921" s="3" t="n"/>
      <c r="S921" s="3" t="n"/>
      <c r="T921" s="3" t="n"/>
      <c r="U921" s="3" t="n"/>
      <c r="V921" s="3" t="n"/>
      <c r="W921" s="3" t="n"/>
    </row>
    <row r="922">
      <c r="A922" s="6" t="n"/>
      <c r="B922" s="113">
        <f>IF($C922="","","GG"&amp;TEXT(ROW()-6,"00000"))</f>
        <v/>
      </c>
      <c r="C922" s="225" t="n"/>
      <c r="D922" s="108" t="n"/>
      <c r="E922" s="109" t="n"/>
      <c r="F922" s="109" t="n"/>
      <c r="G922" s="226" t="n"/>
      <c r="H922" s="108" t="n"/>
      <c r="I922" s="108" t="n"/>
      <c r="J922" s="109" t="n"/>
      <c r="K922" s="109" t="n"/>
      <c r="L922" s="121">
        <f>IF($C922="","",IF($D922="Gider",$E922,$H922))</f>
        <v/>
      </c>
      <c r="M922" s="121">
        <f>IF($C922="","",IF($D922="Gider",$H922,$E922))</f>
        <v/>
      </c>
      <c r="N922" s="231">
        <f>IF($C922="","",DATE(YEAR($C922),MONTH($C922),1))</f>
        <v/>
      </c>
      <c r="O922" s="113">
        <f>IF($C922="","",IF(AND($D922&lt;&gt;"",$E922&lt;&gt;"",$G922&gt;0,$H922&lt;&gt;"",$I922&lt;&gt;""),IF($C922&gt;TODAY(),"İLERİ TARİH","UYGUN"),"EKSİK"))</f>
        <v/>
      </c>
      <c r="P922" s="6" t="n"/>
      <c r="Q922" s="6" t="n"/>
      <c r="R922" s="3" t="n"/>
      <c r="S922" s="3" t="n"/>
      <c r="T922" s="3" t="n"/>
      <c r="U922" s="3" t="n"/>
      <c r="V922" s="3" t="n"/>
      <c r="W922" s="3" t="n"/>
    </row>
    <row r="923">
      <c r="A923" s="6" t="n"/>
      <c r="B923" s="113">
        <f>IF($C923="","","GG"&amp;TEXT(ROW()-6,"00000"))</f>
        <v/>
      </c>
      <c r="C923" s="225" t="n"/>
      <c r="D923" s="108" t="n"/>
      <c r="E923" s="109" t="n"/>
      <c r="F923" s="109" t="n"/>
      <c r="G923" s="226" t="n"/>
      <c r="H923" s="108" t="n"/>
      <c r="I923" s="108" t="n"/>
      <c r="J923" s="109" t="n"/>
      <c r="K923" s="109" t="n"/>
      <c r="L923" s="121">
        <f>IF($C923="","",IF($D923="Gider",$E923,$H923))</f>
        <v/>
      </c>
      <c r="M923" s="121">
        <f>IF($C923="","",IF($D923="Gider",$H923,$E923))</f>
        <v/>
      </c>
      <c r="N923" s="231">
        <f>IF($C923="","",DATE(YEAR($C923),MONTH($C923),1))</f>
        <v/>
      </c>
      <c r="O923" s="113">
        <f>IF($C923="","",IF(AND($D923&lt;&gt;"",$E923&lt;&gt;"",$G923&gt;0,$H923&lt;&gt;"",$I923&lt;&gt;""),IF($C923&gt;TODAY(),"İLERİ TARİH","UYGUN"),"EKSİK"))</f>
        <v/>
      </c>
      <c r="P923" s="6" t="n"/>
      <c r="Q923" s="6" t="n"/>
      <c r="R923" s="3" t="n"/>
      <c r="S923" s="3" t="n"/>
      <c r="T923" s="3" t="n"/>
      <c r="U923" s="3" t="n"/>
      <c r="V923" s="3" t="n"/>
      <c r="W923" s="3" t="n"/>
    </row>
    <row r="924">
      <c r="A924" s="6" t="n"/>
      <c r="B924" s="113">
        <f>IF($C924="","","GG"&amp;TEXT(ROW()-6,"00000"))</f>
        <v/>
      </c>
      <c r="C924" s="225" t="n"/>
      <c r="D924" s="108" t="n"/>
      <c r="E924" s="109" t="n"/>
      <c r="F924" s="109" t="n"/>
      <c r="G924" s="226" t="n"/>
      <c r="H924" s="108" t="n"/>
      <c r="I924" s="108" t="n"/>
      <c r="J924" s="109" t="n"/>
      <c r="K924" s="109" t="n"/>
      <c r="L924" s="121">
        <f>IF($C924="","",IF($D924="Gider",$E924,$H924))</f>
        <v/>
      </c>
      <c r="M924" s="121">
        <f>IF($C924="","",IF($D924="Gider",$H924,$E924))</f>
        <v/>
      </c>
      <c r="N924" s="231">
        <f>IF($C924="","",DATE(YEAR($C924),MONTH($C924),1))</f>
        <v/>
      </c>
      <c r="O924" s="113">
        <f>IF($C924="","",IF(AND($D924&lt;&gt;"",$E924&lt;&gt;"",$G924&gt;0,$H924&lt;&gt;"",$I924&lt;&gt;""),IF($C924&gt;TODAY(),"İLERİ TARİH","UYGUN"),"EKSİK"))</f>
        <v/>
      </c>
      <c r="P924" s="6" t="n"/>
      <c r="Q924" s="6" t="n"/>
      <c r="R924" s="3" t="n"/>
      <c r="S924" s="3" t="n"/>
      <c r="T924" s="3" t="n"/>
      <c r="U924" s="3" t="n"/>
      <c r="V924" s="3" t="n"/>
      <c r="W924" s="3" t="n"/>
    </row>
    <row r="925">
      <c r="A925" s="6" t="n"/>
      <c r="B925" s="113">
        <f>IF($C925="","","GG"&amp;TEXT(ROW()-6,"00000"))</f>
        <v/>
      </c>
      <c r="C925" s="225" t="n"/>
      <c r="D925" s="108" t="n"/>
      <c r="E925" s="109" t="n"/>
      <c r="F925" s="109" t="n"/>
      <c r="G925" s="226" t="n"/>
      <c r="H925" s="108" t="n"/>
      <c r="I925" s="108" t="n"/>
      <c r="J925" s="109" t="n"/>
      <c r="K925" s="109" t="n"/>
      <c r="L925" s="121">
        <f>IF($C925="","",IF($D925="Gider",$E925,$H925))</f>
        <v/>
      </c>
      <c r="M925" s="121">
        <f>IF($C925="","",IF($D925="Gider",$H925,$E925))</f>
        <v/>
      </c>
      <c r="N925" s="231">
        <f>IF($C925="","",DATE(YEAR($C925),MONTH($C925),1))</f>
        <v/>
      </c>
      <c r="O925" s="113">
        <f>IF($C925="","",IF(AND($D925&lt;&gt;"",$E925&lt;&gt;"",$G925&gt;0,$H925&lt;&gt;"",$I925&lt;&gt;""),IF($C925&gt;TODAY(),"İLERİ TARİH","UYGUN"),"EKSİK"))</f>
        <v/>
      </c>
      <c r="P925" s="6" t="n"/>
      <c r="Q925" s="6" t="n"/>
      <c r="R925" s="3" t="n"/>
      <c r="S925" s="3" t="n"/>
      <c r="T925" s="3" t="n"/>
      <c r="U925" s="3" t="n"/>
      <c r="V925" s="3" t="n"/>
      <c r="W925" s="3" t="n"/>
    </row>
    <row r="926">
      <c r="A926" s="6" t="n"/>
      <c r="B926" s="113">
        <f>IF($C926="","","GG"&amp;TEXT(ROW()-6,"00000"))</f>
        <v/>
      </c>
      <c r="C926" s="225" t="n"/>
      <c r="D926" s="108" t="n"/>
      <c r="E926" s="109" t="n"/>
      <c r="F926" s="109" t="n"/>
      <c r="G926" s="226" t="n"/>
      <c r="H926" s="108" t="n"/>
      <c r="I926" s="108" t="n"/>
      <c r="J926" s="109" t="n"/>
      <c r="K926" s="109" t="n"/>
      <c r="L926" s="121">
        <f>IF($C926="","",IF($D926="Gider",$E926,$H926))</f>
        <v/>
      </c>
      <c r="M926" s="121">
        <f>IF($C926="","",IF($D926="Gider",$H926,$E926))</f>
        <v/>
      </c>
      <c r="N926" s="231">
        <f>IF($C926="","",DATE(YEAR($C926),MONTH($C926),1))</f>
        <v/>
      </c>
      <c r="O926" s="113">
        <f>IF($C926="","",IF(AND($D926&lt;&gt;"",$E926&lt;&gt;"",$G926&gt;0,$H926&lt;&gt;"",$I926&lt;&gt;""),IF($C926&gt;TODAY(),"İLERİ TARİH","UYGUN"),"EKSİK"))</f>
        <v/>
      </c>
      <c r="P926" s="6" t="n"/>
      <c r="Q926" s="6" t="n"/>
      <c r="R926" s="3" t="n"/>
      <c r="S926" s="3" t="n"/>
      <c r="T926" s="3" t="n"/>
      <c r="U926" s="3" t="n"/>
      <c r="V926" s="3" t="n"/>
      <c r="W926" s="3" t="n"/>
    </row>
    <row r="927">
      <c r="A927" s="6" t="n"/>
      <c r="B927" s="113">
        <f>IF($C927="","","GG"&amp;TEXT(ROW()-6,"00000"))</f>
        <v/>
      </c>
      <c r="C927" s="225" t="n"/>
      <c r="D927" s="108" t="n"/>
      <c r="E927" s="109" t="n"/>
      <c r="F927" s="109" t="n"/>
      <c r="G927" s="226" t="n"/>
      <c r="H927" s="108" t="n"/>
      <c r="I927" s="108" t="n"/>
      <c r="J927" s="109" t="n"/>
      <c r="K927" s="109" t="n"/>
      <c r="L927" s="121">
        <f>IF($C927="","",IF($D927="Gider",$E927,$H927))</f>
        <v/>
      </c>
      <c r="M927" s="121">
        <f>IF($C927="","",IF($D927="Gider",$H927,$E927))</f>
        <v/>
      </c>
      <c r="N927" s="231">
        <f>IF($C927="","",DATE(YEAR($C927),MONTH($C927),1))</f>
        <v/>
      </c>
      <c r="O927" s="113">
        <f>IF($C927="","",IF(AND($D927&lt;&gt;"",$E927&lt;&gt;"",$G927&gt;0,$H927&lt;&gt;"",$I927&lt;&gt;""),IF($C927&gt;TODAY(),"İLERİ TARİH","UYGUN"),"EKSİK"))</f>
        <v/>
      </c>
      <c r="P927" s="6" t="n"/>
      <c r="Q927" s="6" t="n"/>
      <c r="R927" s="3" t="n"/>
      <c r="S927" s="3" t="n"/>
      <c r="T927" s="3" t="n"/>
      <c r="U927" s="3" t="n"/>
      <c r="V927" s="3" t="n"/>
      <c r="W927" s="3" t="n"/>
    </row>
    <row r="928">
      <c r="A928" s="6" t="n"/>
      <c r="B928" s="113">
        <f>IF($C928="","","GG"&amp;TEXT(ROW()-6,"00000"))</f>
        <v/>
      </c>
      <c r="C928" s="225" t="n"/>
      <c r="D928" s="108" t="n"/>
      <c r="E928" s="109" t="n"/>
      <c r="F928" s="109" t="n"/>
      <c r="G928" s="226" t="n"/>
      <c r="H928" s="108" t="n"/>
      <c r="I928" s="108" t="n"/>
      <c r="J928" s="109" t="n"/>
      <c r="K928" s="109" t="n"/>
      <c r="L928" s="121">
        <f>IF($C928="","",IF($D928="Gider",$E928,$H928))</f>
        <v/>
      </c>
      <c r="M928" s="121">
        <f>IF($C928="","",IF($D928="Gider",$H928,$E928))</f>
        <v/>
      </c>
      <c r="N928" s="231">
        <f>IF($C928="","",DATE(YEAR($C928),MONTH($C928),1))</f>
        <v/>
      </c>
      <c r="O928" s="113">
        <f>IF($C928="","",IF(AND($D928&lt;&gt;"",$E928&lt;&gt;"",$G928&gt;0,$H928&lt;&gt;"",$I928&lt;&gt;""),IF($C928&gt;TODAY(),"İLERİ TARİH","UYGUN"),"EKSİK"))</f>
        <v/>
      </c>
      <c r="P928" s="6" t="n"/>
      <c r="Q928" s="6" t="n"/>
      <c r="R928" s="3" t="n"/>
      <c r="S928" s="3" t="n"/>
      <c r="T928" s="3" t="n"/>
      <c r="U928" s="3" t="n"/>
      <c r="V928" s="3" t="n"/>
      <c r="W928" s="3" t="n"/>
    </row>
    <row r="929">
      <c r="A929" s="6" t="n"/>
      <c r="B929" s="113">
        <f>IF($C929="","","GG"&amp;TEXT(ROW()-6,"00000"))</f>
        <v/>
      </c>
      <c r="C929" s="225" t="n"/>
      <c r="D929" s="108" t="n"/>
      <c r="E929" s="109" t="n"/>
      <c r="F929" s="109" t="n"/>
      <c r="G929" s="226" t="n"/>
      <c r="H929" s="108" t="n"/>
      <c r="I929" s="108" t="n"/>
      <c r="J929" s="109" t="n"/>
      <c r="K929" s="109" t="n"/>
      <c r="L929" s="121">
        <f>IF($C929="","",IF($D929="Gider",$E929,$H929))</f>
        <v/>
      </c>
      <c r="M929" s="121">
        <f>IF($C929="","",IF($D929="Gider",$H929,$E929))</f>
        <v/>
      </c>
      <c r="N929" s="231">
        <f>IF($C929="","",DATE(YEAR($C929),MONTH($C929),1))</f>
        <v/>
      </c>
      <c r="O929" s="113">
        <f>IF($C929="","",IF(AND($D929&lt;&gt;"",$E929&lt;&gt;"",$G929&gt;0,$H929&lt;&gt;"",$I929&lt;&gt;""),IF($C929&gt;TODAY(),"İLERİ TARİH","UYGUN"),"EKSİK"))</f>
        <v/>
      </c>
      <c r="P929" s="6" t="n"/>
      <c r="Q929" s="6" t="n"/>
      <c r="R929" s="3" t="n"/>
      <c r="S929" s="3" t="n"/>
      <c r="T929" s="3" t="n"/>
      <c r="U929" s="3" t="n"/>
      <c r="V929" s="3" t="n"/>
      <c r="W929" s="3" t="n"/>
    </row>
    <row r="930">
      <c r="A930" s="6" t="n"/>
      <c r="B930" s="113">
        <f>IF($C930="","","GG"&amp;TEXT(ROW()-6,"00000"))</f>
        <v/>
      </c>
      <c r="C930" s="225" t="n"/>
      <c r="D930" s="108" t="n"/>
      <c r="E930" s="109" t="n"/>
      <c r="F930" s="109" t="n"/>
      <c r="G930" s="226" t="n"/>
      <c r="H930" s="108" t="n"/>
      <c r="I930" s="108" t="n"/>
      <c r="J930" s="109" t="n"/>
      <c r="K930" s="109" t="n"/>
      <c r="L930" s="121">
        <f>IF($C930="","",IF($D930="Gider",$E930,$H930))</f>
        <v/>
      </c>
      <c r="M930" s="121">
        <f>IF($C930="","",IF($D930="Gider",$H930,$E930))</f>
        <v/>
      </c>
      <c r="N930" s="231">
        <f>IF($C930="","",DATE(YEAR($C930),MONTH($C930),1))</f>
        <v/>
      </c>
      <c r="O930" s="113">
        <f>IF($C930="","",IF(AND($D930&lt;&gt;"",$E930&lt;&gt;"",$G930&gt;0,$H930&lt;&gt;"",$I930&lt;&gt;""),IF($C930&gt;TODAY(),"İLERİ TARİH","UYGUN"),"EKSİK"))</f>
        <v/>
      </c>
      <c r="P930" s="6" t="n"/>
      <c r="Q930" s="6" t="n"/>
      <c r="R930" s="3" t="n"/>
      <c r="S930" s="3" t="n"/>
      <c r="T930" s="3" t="n"/>
      <c r="U930" s="3" t="n"/>
      <c r="V930" s="3" t="n"/>
      <c r="W930" s="3" t="n"/>
    </row>
    <row r="931">
      <c r="A931" s="6" t="n"/>
      <c r="B931" s="113">
        <f>IF($C931="","","GG"&amp;TEXT(ROW()-6,"00000"))</f>
        <v/>
      </c>
      <c r="C931" s="225" t="n"/>
      <c r="D931" s="108" t="n"/>
      <c r="E931" s="109" t="n"/>
      <c r="F931" s="109" t="n"/>
      <c r="G931" s="226" t="n"/>
      <c r="H931" s="108" t="n"/>
      <c r="I931" s="108" t="n"/>
      <c r="J931" s="109" t="n"/>
      <c r="K931" s="109" t="n"/>
      <c r="L931" s="121">
        <f>IF($C931="","",IF($D931="Gider",$E931,$H931))</f>
        <v/>
      </c>
      <c r="M931" s="121">
        <f>IF($C931="","",IF($D931="Gider",$H931,$E931))</f>
        <v/>
      </c>
      <c r="N931" s="231">
        <f>IF($C931="","",DATE(YEAR($C931),MONTH($C931),1))</f>
        <v/>
      </c>
      <c r="O931" s="113">
        <f>IF($C931="","",IF(AND($D931&lt;&gt;"",$E931&lt;&gt;"",$G931&gt;0,$H931&lt;&gt;"",$I931&lt;&gt;""),IF($C931&gt;TODAY(),"İLERİ TARİH","UYGUN"),"EKSİK"))</f>
        <v/>
      </c>
      <c r="P931" s="6" t="n"/>
      <c r="Q931" s="6" t="n"/>
      <c r="R931" s="3" t="n"/>
      <c r="S931" s="3" t="n"/>
      <c r="T931" s="3" t="n"/>
      <c r="U931" s="3" t="n"/>
      <c r="V931" s="3" t="n"/>
      <c r="W931" s="3" t="n"/>
    </row>
    <row r="932">
      <c r="A932" s="6" t="n"/>
      <c r="B932" s="113">
        <f>IF($C932="","","GG"&amp;TEXT(ROW()-6,"00000"))</f>
        <v/>
      </c>
      <c r="C932" s="225" t="n"/>
      <c r="D932" s="108" t="n"/>
      <c r="E932" s="109" t="n"/>
      <c r="F932" s="109" t="n"/>
      <c r="G932" s="226" t="n"/>
      <c r="H932" s="108" t="n"/>
      <c r="I932" s="108" t="n"/>
      <c r="J932" s="109" t="n"/>
      <c r="K932" s="109" t="n"/>
      <c r="L932" s="121">
        <f>IF($C932="","",IF($D932="Gider",$E932,$H932))</f>
        <v/>
      </c>
      <c r="M932" s="121">
        <f>IF($C932="","",IF($D932="Gider",$H932,$E932))</f>
        <v/>
      </c>
      <c r="N932" s="231">
        <f>IF($C932="","",DATE(YEAR($C932),MONTH($C932),1))</f>
        <v/>
      </c>
      <c r="O932" s="113">
        <f>IF($C932="","",IF(AND($D932&lt;&gt;"",$E932&lt;&gt;"",$G932&gt;0,$H932&lt;&gt;"",$I932&lt;&gt;""),IF($C932&gt;TODAY(),"İLERİ TARİH","UYGUN"),"EKSİK"))</f>
        <v/>
      </c>
      <c r="P932" s="6" t="n"/>
      <c r="Q932" s="6" t="n"/>
      <c r="R932" s="3" t="n"/>
      <c r="S932" s="3" t="n"/>
      <c r="T932" s="3" t="n"/>
      <c r="U932" s="3" t="n"/>
      <c r="V932" s="3" t="n"/>
      <c r="W932" s="3" t="n"/>
    </row>
    <row r="933">
      <c r="A933" s="6" t="n"/>
      <c r="B933" s="113">
        <f>IF($C933="","","GG"&amp;TEXT(ROW()-6,"00000"))</f>
        <v/>
      </c>
      <c r="C933" s="225" t="n"/>
      <c r="D933" s="108" t="n"/>
      <c r="E933" s="109" t="n"/>
      <c r="F933" s="109" t="n"/>
      <c r="G933" s="226" t="n"/>
      <c r="H933" s="108" t="n"/>
      <c r="I933" s="108" t="n"/>
      <c r="J933" s="109" t="n"/>
      <c r="K933" s="109" t="n"/>
      <c r="L933" s="121">
        <f>IF($C933="","",IF($D933="Gider",$E933,$H933))</f>
        <v/>
      </c>
      <c r="M933" s="121">
        <f>IF($C933="","",IF($D933="Gider",$H933,$E933))</f>
        <v/>
      </c>
      <c r="N933" s="231">
        <f>IF($C933="","",DATE(YEAR($C933),MONTH($C933),1))</f>
        <v/>
      </c>
      <c r="O933" s="113">
        <f>IF($C933="","",IF(AND($D933&lt;&gt;"",$E933&lt;&gt;"",$G933&gt;0,$H933&lt;&gt;"",$I933&lt;&gt;""),IF($C933&gt;TODAY(),"İLERİ TARİH","UYGUN"),"EKSİK"))</f>
        <v/>
      </c>
      <c r="P933" s="6" t="n"/>
      <c r="Q933" s="6" t="n"/>
      <c r="R933" s="3" t="n"/>
      <c r="S933" s="3" t="n"/>
      <c r="T933" s="3" t="n"/>
      <c r="U933" s="3" t="n"/>
      <c r="V933" s="3" t="n"/>
      <c r="W933" s="3" t="n"/>
    </row>
    <row r="934">
      <c r="A934" s="6" t="n"/>
      <c r="B934" s="113">
        <f>IF($C934="","","GG"&amp;TEXT(ROW()-6,"00000"))</f>
        <v/>
      </c>
      <c r="C934" s="225" t="n"/>
      <c r="D934" s="108" t="n"/>
      <c r="E934" s="109" t="n"/>
      <c r="F934" s="109" t="n"/>
      <c r="G934" s="226" t="n"/>
      <c r="H934" s="108" t="n"/>
      <c r="I934" s="108" t="n"/>
      <c r="J934" s="109" t="n"/>
      <c r="K934" s="109" t="n"/>
      <c r="L934" s="121">
        <f>IF($C934="","",IF($D934="Gider",$E934,$H934))</f>
        <v/>
      </c>
      <c r="M934" s="121">
        <f>IF($C934="","",IF($D934="Gider",$H934,$E934))</f>
        <v/>
      </c>
      <c r="N934" s="231">
        <f>IF($C934="","",DATE(YEAR($C934),MONTH($C934),1))</f>
        <v/>
      </c>
      <c r="O934" s="113">
        <f>IF($C934="","",IF(AND($D934&lt;&gt;"",$E934&lt;&gt;"",$G934&gt;0,$H934&lt;&gt;"",$I934&lt;&gt;""),IF($C934&gt;TODAY(),"İLERİ TARİH","UYGUN"),"EKSİK"))</f>
        <v/>
      </c>
      <c r="P934" s="6" t="n"/>
      <c r="Q934" s="6" t="n"/>
      <c r="R934" s="3" t="n"/>
      <c r="S934" s="3" t="n"/>
      <c r="T934" s="3" t="n"/>
      <c r="U934" s="3" t="n"/>
      <c r="V934" s="3" t="n"/>
      <c r="W934" s="3" t="n"/>
    </row>
    <row r="935">
      <c r="A935" s="6" t="n"/>
      <c r="B935" s="113">
        <f>IF($C935="","","GG"&amp;TEXT(ROW()-6,"00000"))</f>
        <v/>
      </c>
      <c r="C935" s="225" t="n"/>
      <c r="D935" s="108" t="n"/>
      <c r="E935" s="109" t="n"/>
      <c r="F935" s="109" t="n"/>
      <c r="G935" s="226" t="n"/>
      <c r="H935" s="108" t="n"/>
      <c r="I935" s="108" t="n"/>
      <c r="J935" s="109" t="n"/>
      <c r="K935" s="109" t="n"/>
      <c r="L935" s="121">
        <f>IF($C935="","",IF($D935="Gider",$E935,$H935))</f>
        <v/>
      </c>
      <c r="M935" s="121">
        <f>IF($C935="","",IF($D935="Gider",$H935,$E935))</f>
        <v/>
      </c>
      <c r="N935" s="231">
        <f>IF($C935="","",DATE(YEAR($C935),MONTH($C935),1))</f>
        <v/>
      </c>
      <c r="O935" s="113">
        <f>IF($C935="","",IF(AND($D935&lt;&gt;"",$E935&lt;&gt;"",$G935&gt;0,$H935&lt;&gt;"",$I935&lt;&gt;""),IF($C935&gt;TODAY(),"İLERİ TARİH","UYGUN"),"EKSİK"))</f>
        <v/>
      </c>
      <c r="P935" s="6" t="n"/>
      <c r="Q935" s="6" t="n"/>
      <c r="R935" s="3" t="n"/>
      <c r="S935" s="3" t="n"/>
      <c r="T935" s="3" t="n"/>
      <c r="U935" s="3" t="n"/>
      <c r="V935" s="3" t="n"/>
      <c r="W935" s="3" t="n"/>
    </row>
    <row r="936">
      <c r="A936" s="6" t="n"/>
      <c r="B936" s="113">
        <f>IF($C936="","","GG"&amp;TEXT(ROW()-6,"00000"))</f>
        <v/>
      </c>
      <c r="C936" s="225" t="n"/>
      <c r="D936" s="108" t="n"/>
      <c r="E936" s="109" t="n"/>
      <c r="F936" s="109" t="n"/>
      <c r="G936" s="226" t="n"/>
      <c r="H936" s="108" t="n"/>
      <c r="I936" s="108" t="n"/>
      <c r="J936" s="109" t="n"/>
      <c r="K936" s="109" t="n"/>
      <c r="L936" s="121">
        <f>IF($C936="","",IF($D936="Gider",$E936,$H936))</f>
        <v/>
      </c>
      <c r="M936" s="121">
        <f>IF($C936="","",IF($D936="Gider",$H936,$E936))</f>
        <v/>
      </c>
      <c r="N936" s="231">
        <f>IF($C936="","",DATE(YEAR($C936),MONTH($C936),1))</f>
        <v/>
      </c>
      <c r="O936" s="113">
        <f>IF($C936="","",IF(AND($D936&lt;&gt;"",$E936&lt;&gt;"",$G936&gt;0,$H936&lt;&gt;"",$I936&lt;&gt;""),IF($C936&gt;TODAY(),"İLERİ TARİH","UYGUN"),"EKSİK"))</f>
        <v/>
      </c>
      <c r="P936" s="6" t="n"/>
      <c r="Q936" s="6" t="n"/>
      <c r="R936" s="3" t="n"/>
      <c r="S936" s="3" t="n"/>
      <c r="T936" s="3" t="n"/>
      <c r="U936" s="3" t="n"/>
      <c r="V936" s="3" t="n"/>
      <c r="W936" s="3" t="n"/>
    </row>
    <row r="937">
      <c r="A937" s="6" t="n"/>
      <c r="B937" s="113">
        <f>IF($C937="","","GG"&amp;TEXT(ROW()-6,"00000"))</f>
        <v/>
      </c>
      <c r="C937" s="225" t="n"/>
      <c r="D937" s="108" t="n"/>
      <c r="E937" s="109" t="n"/>
      <c r="F937" s="109" t="n"/>
      <c r="G937" s="226" t="n"/>
      <c r="H937" s="108" t="n"/>
      <c r="I937" s="108" t="n"/>
      <c r="J937" s="109" t="n"/>
      <c r="K937" s="109" t="n"/>
      <c r="L937" s="121">
        <f>IF($C937="","",IF($D937="Gider",$E937,$H937))</f>
        <v/>
      </c>
      <c r="M937" s="121">
        <f>IF($C937="","",IF($D937="Gider",$H937,$E937))</f>
        <v/>
      </c>
      <c r="N937" s="231">
        <f>IF($C937="","",DATE(YEAR($C937),MONTH($C937),1))</f>
        <v/>
      </c>
      <c r="O937" s="113">
        <f>IF($C937="","",IF(AND($D937&lt;&gt;"",$E937&lt;&gt;"",$G937&gt;0,$H937&lt;&gt;"",$I937&lt;&gt;""),IF($C937&gt;TODAY(),"İLERİ TARİH","UYGUN"),"EKSİK"))</f>
        <v/>
      </c>
      <c r="P937" s="6" t="n"/>
      <c r="Q937" s="6" t="n"/>
      <c r="R937" s="3" t="n"/>
      <c r="S937" s="3" t="n"/>
      <c r="T937" s="3" t="n"/>
      <c r="U937" s="3" t="n"/>
      <c r="V937" s="3" t="n"/>
      <c r="W937" s="3" t="n"/>
    </row>
    <row r="938">
      <c r="A938" s="6" t="n"/>
      <c r="B938" s="113">
        <f>IF($C938="","","GG"&amp;TEXT(ROW()-6,"00000"))</f>
        <v/>
      </c>
      <c r="C938" s="225" t="n"/>
      <c r="D938" s="108" t="n"/>
      <c r="E938" s="109" t="n"/>
      <c r="F938" s="109" t="n"/>
      <c r="G938" s="226" t="n"/>
      <c r="H938" s="108" t="n"/>
      <c r="I938" s="108" t="n"/>
      <c r="J938" s="109" t="n"/>
      <c r="K938" s="109" t="n"/>
      <c r="L938" s="121">
        <f>IF($C938="","",IF($D938="Gider",$E938,$H938))</f>
        <v/>
      </c>
      <c r="M938" s="121">
        <f>IF($C938="","",IF($D938="Gider",$H938,$E938))</f>
        <v/>
      </c>
      <c r="N938" s="231">
        <f>IF($C938="","",DATE(YEAR($C938),MONTH($C938),1))</f>
        <v/>
      </c>
      <c r="O938" s="113">
        <f>IF($C938="","",IF(AND($D938&lt;&gt;"",$E938&lt;&gt;"",$G938&gt;0,$H938&lt;&gt;"",$I938&lt;&gt;""),IF($C938&gt;TODAY(),"İLERİ TARİH","UYGUN"),"EKSİK"))</f>
        <v/>
      </c>
      <c r="P938" s="6" t="n"/>
      <c r="Q938" s="6" t="n"/>
      <c r="R938" s="3" t="n"/>
      <c r="S938" s="3" t="n"/>
      <c r="T938" s="3" t="n"/>
      <c r="U938" s="3" t="n"/>
      <c r="V938" s="3" t="n"/>
      <c r="W938" s="3" t="n"/>
    </row>
    <row r="939">
      <c r="A939" s="6" t="n"/>
      <c r="B939" s="113">
        <f>IF($C939="","","GG"&amp;TEXT(ROW()-6,"00000"))</f>
        <v/>
      </c>
      <c r="C939" s="225" t="n"/>
      <c r="D939" s="108" t="n"/>
      <c r="E939" s="109" t="n"/>
      <c r="F939" s="109" t="n"/>
      <c r="G939" s="226" t="n"/>
      <c r="H939" s="108" t="n"/>
      <c r="I939" s="108" t="n"/>
      <c r="J939" s="109" t="n"/>
      <c r="K939" s="109" t="n"/>
      <c r="L939" s="121">
        <f>IF($C939="","",IF($D939="Gider",$E939,$H939))</f>
        <v/>
      </c>
      <c r="M939" s="121">
        <f>IF($C939="","",IF($D939="Gider",$H939,$E939))</f>
        <v/>
      </c>
      <c r="N939" s="231">
        <f>IF($C939="","",DATE(YEAR($C939),MONTH($C939),1))</f>
        <v/>
      </c>
      <c r="O939" s="113">
        <f>IF($C939="","",IF(AND($D939&lt;&gt;"",$E939&lt;&gt;"",$G939&gt;0,$H939&lt;&gt;"",$I939&lt;&gt;""),IF($C939&gt;TODAY(),"İLERİ TARİH","UYGUN"),"EKSİK"))</f>
        <v/>
      </c>
      <c r="P939" s="6" t="n"/>
      <c r="Q939" s="6" t="n"/>
      <c r="R939" s="3" t="n"/>
      <c r="S939" s="3" t="n"/>
      <c r="T939" s="3" t="n"/>
      <c r="U939" s="3" t="n"/>
      <c r="V939" s="3" t="n"/>
      <c r="W939" s="3" t="n"/>
    </row>
    <row r="940">
      <c r="A940" s="6" t="n"/>
      <c r="B940" s="113">
        <f>IF($C940="","","GG"&amp;TEXT(ROW()-6,"00000"))</f>
        <v/>
      </c>
      <c r="C940" s="225" t="n"/>
      <c r="D940" s="108" t="n"/>
      <c r="E940" s="109" t="n"/>
      <c r="F940" s="109" t="n"/>
      <c r="G940" s="226" t="n"/>
      <c r="H940" s="108" t="n"/>
      <c r="I940" s="108" t="n"/>
      <c r="J940" s="109" t="n"/>
      <c r="K940" s="109" t="n"/>
      <c r="L940" s="121">
        <f>IF($C940="","",IF($D940="Gider",$E940,$H940))</f>
        <v/>
      </c>
      <c r="M940" s="121">
        <f>IF($C940="","",IF($D940="Gider",$H940,$E940))</f>
        <v/>
      </c>
      <c r="N940" s="231">
        <f>IF($C940="","",DATE(YEAR($C940),MONTH($C940),1))</f>
        <v/>
      </c>
      <c r="O940" s="113">
        <f>IF($C940="","",IF(AND($D940&lt;&gt;"",$E940&lt;&gt;"",$G940&gt;0,$H940&lt;&gt;"",$I940&lt;&gt;""),IF($C940&gt;TODAY(),"İLERİ TARİH","UYGUN"),"EKSİK"))</f>
        <v/>
      </c>
      <c r="P940" s="6" t="n"/>
      <c r="Q940" s="6" t="n"/>
      <c r="R940" s="3" t="n"/>
      <c r="S940" s="3" t="n"/>
      <c r="T940" s="3" t="n"/>
      <c r="U940" s="3" t="n"/>
      <c r="V940" s="3" t="n"/>
      <c r="W940" s="3" t="n"/>
    </row>
    <row r="941">
      <c r="A941" s="6" t="n"/>
      <c r="B941" s="113">
        <f>IF($C941="","","GG"&amp;TEXT(ROW()-6,"00000"))</f>
        <v/>
      </c>
      <c r="C941" s="225" t="n"/>
      <c r="D941" s="108" t="n"/>
      <c r="E941" s="109" t="n"/>
      <c r="F941" s="109" t="n"/>
      <c r="G941" s="226" t="n"/>
      <c r="H941" s="108" t="n"/>
      <c r="I941" s="108" t="n"/>
      <c r="J941" s="109" t="n"/>
      <c r="K941" s="109" t="n"/>
      <c r="L941" s="121">
        <f>IF($C941="","",IF($D941="Gider",$E941,$H941))</f>
        <v/>
      </c>
      <c r="M941" s="121">
        <f>IF($C941="","",IF($D941="Gider",$H941,$E941))</f>
        <v/>
      </c>
      <c r="N941" s="231">
        <f>IF($C941="","",DATE(YEAR($C941),MONTH($C941),1))</f>
        <v/>
      </c>
      <c r="O941" s="113">
        <f>IF($C941="","",IF(AND($D941&lt;&gt;"",$E941&lt;&gt;"",$G941&gt;0,$H941&lt;&gt;"",$I941&lt;&gt;""),IF($C941&gt;TODAY(),"İLERİ TARİH","UYGUN"),"EKSİK"))</f>
        <v/>
      </c>
      <c r="P941" s="6" t="n"/>
      <c r="Q941" s="6" t="n"/>
      <c r="R941" s="3" t="n"/>
      <c r="S941" s="3" t="n"/>
      <c r="T941" s="3" t="n"/>
      <c r="U941" s="3" t="n"/>
      <c r="V941" s="3" t="n"/>
      <c r="W941" s="3" t="n"/>
    </row>
    <row r="942">
      <c r="A942" s="6" t="n"/>
      <c r="B942" s="113">
        <f>IF($C942="","","GG"&amp;TEXT(ROW()-6,"00000"))</f>
        <v/>
      </c>
      <c r="C942" s="225" t="n"/>
      <c r="D942" s="108" t="n"/>
      <c r="E942" s="109" t="n"/>
      <c r="F942" s="109" t="n"/>
      <c r="G942" s="226" t="n"/>
      <c r="H942" s="108" t="n"/>
      <c r="I942" s="108" t="n"/>
      <c r="J942" s="109" t="n"/>
      <c r="K942" s="109" t="n"/>
      <c r="L942" s="121">
        <f>IF($C942="","",IF($D942="Gider",$E942,$H942))</f>
        <v/>
      </c>
      <c r="M942" s="121">
        <f>IF($C942="","",IF($D942="Gider",$H942,$E942))</f>
        <v/>
      </c>
      <c r="N942" s="231">
        <f>IF($C942="","",DATE(YEAR($C942),MONTH($C942),1))</f>
        <v/>
      </c>
      <c r="O942" s="113">
        <f>IF($C942="","",IF(AND($D942&lt;&gt;"",$E942&lt;&gt;"",$G942&gt;0,$H942&lt;&gt;"",$I942&lt;&gt;""),IF($C942&gt;TODAY(),"İLERİ TARİH","UYGUN"),"EKSİK"))</f>
        <v/>
      </c>
      <c r="P942" s="6" t="n"/>
      <c r="Q942" s="6" t="n"/>
      <c r="R942" s="3" t="n"/>
      <c r="S942" s="3" t="n"/>
      <c r="T942" s="3" t="n"/>
      <c r="U942" s="3" t="n"/>
      <c r="V942" s="3" t="n"/>
      <c r="W942" s="3" t="n"/>
    </row>
    <row r="943">
      <c r="A943" s="6" t="n"/>
      <c r="B943" s="113">
        <f>IF($C943="","","GG"&amp;TEXT(ROW()-6,"00000"))</f>
        <v/>
      </c>
      <c r="C943" s="225" t="n"/>
      <c r="D943" s="108" t="n"/>
      <c r="E943" s="109" t="n"/>
      <c r="F943" s="109" t="n"/>
      <c r="G943" s="226" t="n"/>
      <c r="H943" s="108" t="n"/>
      <c r="I943" s="108" t="n"/>
      <c r="J943" s="109" t="n"/>
      <c r="K943" s="109" t="n"/>
      <c r="L943" s="121">
        <f>IF($C943="","",IF($D943="Gider",$E943,$H943))</f>
        <v/>
      </c>
      <c r="M943" s="121">
        <f>IF($C943="","",IF($D943="Gider",$H943,$E943))</f>
        <v/>
      </c>
      <c r="N943" s="231">
        <f>IF($C943="","",DATE(YEAR($C943),MONTH($C943),1))</f>
        <v/>
      </c>
      <c r="O943" s="113">
        <f>IF($C943="","",IF(AND($D943&lt;&gt;"",$E943&lt;&gt;"",$G943&gt;0,$H943&lt;&gt;"",$I943&lt;&gt;""),IF($C943&gt;TODAY(),"İLERİ TARİH","UYGUN"),"EKSİK"))</f>
        <v/>
      </c>
      <c r="P943" s="6" t="n"/>
      <c r="Q943" s="6" t="n"/>
      <c r="R943" s="3" t="n"/>
      <c r="S943" s="3" t="n"/>
      <c r="T943" s="3" t="n"/>
      <c r="U943" s="3" t="n"/>
      <c r="V943" s="3" t="n"/>
      <c r="W943" s="3" t="n"/>
    </row>
    <row r="944">
      <c r="A944" s="6" t="n"/>
      <c r="B944" s="113">
        <f>IF($C944="","","GG"&amp;TEXT(ROW()-6,"00000"))</f>
        <v/>
      </c>
      <c r="C944" s="225" t="n"/>
      <c r="D944" s="108" t="n"/>
      <c r="E944" s="109" t="n"/>
      <c r="F944" s="109" t="n"/>
      <c r="G944" s="226" t="n"/>
      <c r="H944" s="108" t="n"/>
      <c r="I944" s="108" t="n"/>
      <c r="J944" s="109" t="n"/>
      <c r="K944" s="109" t="n"/>
      <c r="L944" s="121">
        <f>IF($C944="","",IF($D944="Gider",$E944,$H944))</f>
        <v/>
      </c>
      <c r="M944" s="121">
        <f>IF($C944="","",IF($D944="Gider",$H944,$E944))</f>
        <v/>
      </c>
      <c r="N944" s="231">
        <f>IF($C944="","",DATE(YEAR($C944),MONTH($C944),1))</f>
        <v/>
      </c>
      <c r="O944" s="113">
        <f>IF($C944="","",IF(AND($D944&lt;&gt;"",$E944&lt;&gt;"",$G944&gt;0,$H944&lt;&gt;"",$I944&lt;&gt;""),IF($C944&gt;TODAY(),"İLERİ TARİH","UYGUN"),"EKSİK"))</f>
        <v/>
      </c>
      <c r="P944" s="6" t="n"/>
      <c r="Q944" s="6" t="n"/>
      <c r="R944" s="3" t="n"/>
      <c r="S944" s="3" t="n"/>
      <c r="T944" s="3" t="n"/>
      <c r="U944" s="3" t="n"/>
      <c r="V944" s="3" t="n"/>
      <c r="W944" s="3" t="n"/>
    </row>
    <row r="945">
      <c r="A945" s="6" t="n"/>
      <c r="B945" s="113">
        <f>IF($C945="","","GG"&amp;TEXT(ROW()-6,"00000"))</f>
        <v/>
      </c>
      <c r="C945" s="225" t="n"/>
      <c r="D945" s="108" t="n"/>
      <c r="E945" s="109" t="n"/>
      <c r="F945" s="109" t="n"/>
      <c r="G945" s="226" t="n"/>
      <c r="H945" s="108" t="n"/>
      <c r="I945" s="108" t="n"/>
      <c r="J945" s="109" t="n"/>
      <c r="K945" s="109" t="n"/>
      <c r="L945" s="121">
        <f>IF($C945="","",IF($D945="Gider",$E945,$H945))</f>
        <v/>
      </c>
      <c r="M945" s="121">
        <f>IF($C945="","",IF($D945="Gider",$H945,$E945))</f>
        <v/>
      </c>
      <c r="N945" s="231">
        <f>IF($C945="","",DATE(YEAR($C945),MONTH($C945),1))</f>
        <v/>
      </c>
      <c r="O945" s="113">
        <f>IF($C945="","",IF(AND($D945&lt;&gt;"",$E945&lt;&gt;"",$G945&gt;0,$H945&lt;&gt;"",$I945&lt;&gt;""),IF($C945&gt;TODAY(),"İLERİ TARİH","UYGUN"),"EKSİK"))</f>
        <v/>
      </c>
      <c r="P945" s="6" t="n"/>
      <c r="Q945" s="6" t="n"/>
      <c r="R945" s="3" t="n"/>
      <c r="S945" s="3" t="n"/>
      <c r="T945" s="3" t="n"/>
      <c r="U945" s="3" t="n"/>
      <c r="V945" s="3" t="n"/>
      <c r="W945" s="3" t="n"/>
    </row>
    <row r="946">
      <c r="A946" s="6" t="n"/>
      <c r="B946" s="113">
        <f>IF($C946="","","GG"&amp;TEXT(ROW()-6,"00000"))</f>
        <v/>
      </c>
      <c r="C946" s="225" t="n"/>
      <c r="D946" s="108" t="n"/>
      <c r="E946" s="109" t="n"/>
      <c r="F946" s="109" t="n"/>
      <c r="G946" s="226" t="n"/>
      <c r="H946" s="108" t="n"/>
      <c r="I946" s="108" t="n"/>
      <c r="J946" s="109" t="n"/>
      <c r="K946" s="109" t="n"/>
      <c r="L946" s="121">
        <f>IF($C946="","",IF($D946="Gider",$E946,$H946))</f>
        <v/>
      </c>
      <c r="M946" s="121">
        <f>IF($C946="","",IF($D946="Gider",$H946,$E946))</f>
        <v/>
      </c>
      <c r="N946" s="231">
        <f>IF($C946="","",DATE(YEAR($C946),MONTH($C946),1))</f>
        <v/>
      </c>
      <c r="O946" s="113">
        <f>IF($C946="","",IF(AND($D946&lt;&gt;"",$E946&lt;&gt;"",$G946&gt;0,$H946&lt;&gt;"",$I946&lt;&gt;""),IF($C946&gt;TODAY(),"İLERİ TARİH","UYGUN"),"EKSİK"))</f>
        <v/>
      </c>
      <c r="P946" s="6" t="n"/>
      <c r="Q946" s="6" t="n"/>
      <c r="R946" s="3" t="n"/>
      <c r="S946" s="3" t="n"/>
      <c r="T946" s="3" t="n"/>
      <c r="U946" s="3" t="n"/>
      <c r="V946" s="3" t="n"/>
      <c r="W946" s="3" t="n"/>
    </row>
    <row r="947">
      <c r="A947" s="6" t="n"/>
      <c r="B947" s="113">
        <f>IF($C947="","","GG"&amp;TEXT(ROW()-6,"00000"))</f>
        <v/>
      </c>
      <c r="C947" s="225" t="n"/>
      <c r="D947" s="108" t="n"/>
      <c r="E947" s="109" t="n"/>
      <c r="F947" s="109" t="n"/>
      <c r="G947" s="226" t="n"/>
      <c r="H947" s="108" t="n"/>
      <c r="I947" s="108" t="n"/>
      <c r="J947" s="109" t="n"/>
      <c r="K947" s="109" t="n"/>
      <c r="L947" s="121">
        <f>IF($C947="","",IF($D947="Gider",$E947,$H947))</f>
        <v/>
      </c>
      <c r="M947" s="121">
        <f>IF($C947="","",IF($D947="Gider",$H947,$E947))</f>
        <v/>
      </c>
      <c r="N947" s="231">
        <f>IF($C947="","",DATE(YEAR($C947),MONTH($C947),1))</f>
        <v/>
      </c>
      <c r="O947" s="113">
        <f>IF($C947="","",IF(AND($D947&lt;&gt;"",$E947&lt;&gt;"",$G947&gt;0,$H947&lt;&gt;"",$I947&lt;&gt;""),IF($C947&gt;TODAY(),"İLERİ TARİH","UYGUN"),"EKSİK"))</f>
        <v/>
      </c>
      <c r="P947" s="6" t="n"/>
      <c r="Q947" s="6" t="n"/>
      <c r="R947" s="3" t="n"/>
      <c r="S947" s="3" t="n"/>
      <c r="T947" s="3" t="n"/>
      <c r="U947" s="3" t="n"/>
      <c r="V947" s="3" t="n"/>
      <c r="W947" s="3" t="n"/>
    </row>
    <row r="948">
      <c r="A948" s="6" t="n"/>
      <c r="B948" s="113">
        <f>IF($C948="","","GG"&amp;TEXT(ROW()-6,"00000"))</f>
        <v/>
      </c>
      <c r="C948" s="225" t="n"/>
      <c r="D948" s="108" t="n"/>
      <c r="E948" s="109" t="n"/>
      <c r="F948" s="109" t="n"/>
      <c r="G948" s="226" t="n"/>
      <c r="H948" s="108" t="n"/>
      <c r="I948" s="108" t="n"/>
      <c r="J948" s="109" t="n"/>
      <c r="K948" s="109" t="n"/>
      <c r="L948" s="121">
        <f>IF($C948="","",IF($D948="Gider",$E948,$H948))</f>
        <v/>
      </c>
      <c r="M948" s="121">
        <f>IF($C948="","",IF($D948="Gider",$H948,$E948))</f>
        <v/>
      </c>
      <c r="N948" s="231">
        <f>IF($C948="","",DATE(YEAR($C948),MONTH($C948),1))</f>
        <v/>
      </c>
      <c r="O948" s="113">
        <f>IF($C948="","",IF(AND($D948&lt;&gt;"",$E948&lt;&gt;"",$G948&gt;0,$H948&lt;&gt;"",$I948&lt;&gt;""),IF($C948&gt;TODAY(),"İLERİ TARİH","UYGUN"),"EKSİK"))</f>
        <v/>
      </c>
      <c r="P948" s="6" t="n"/>
      <c r="Q948" s="6" t="n"/>
      <c r="R948" s="3" t="n"/>
      <c r="S948" s="3" t="n"/>
      <c r="T948" s="3" t="n"/>
      <c r="U948" s="3" t="n"/>
      <c r="V948" s="3" t="n"/>
      <c r="W948" s="3" t="n"/>
    </row>
    <row r="949">
      <c r="A949" s="6" t="n"/>
      <c r="B949" s="113">
        <f>IF($C949="","","GG"&amp;TEXT(ROW()-6,"00000"))</f>
        <v/>
      </c>
      <c r="C949" s="225" t="n"/>
      <c r="D949" s="108" t="n"/>
      <c r="E949" s="109" t="n"/>
      <c r="F949" s="109" t="n"/>
      <c r="G949" s="226" t="n"/>
      <c r="H949" s="108" t="n"/>
      <c r="I949" s="108" t="n"/>
      <c r="J949" s="109" t="n"/>
      <c r="K949" s="109" t="n"/>
      <c r="L949" s="121">
        <f>IF($C949="","",IF($D949="Gider",$E949,$H949))</f>
        <v/>
      </c>
      <c r="M949" s="121">
        <f>IF($C949="","",IF($D949="Gider",$H949,$E949))</f>
        <v/>
      </c>
      <c r="N949" s="231">
        <f>IF($C949="","",DATE(YEAR($C949),MONTH($C949),1))</f>
        <v/>
      </c>
      <c r="O949" s="113">
        <f>IF($C949="","",IF(AND($D949&lt;&gt;"",$E949&lt;&gt;"",$G949&gt;0,$H949&lt;&gt;"",$I949&lt;&gt;""),IF($C949&gt;TODAY(),"İLERİ TARİH","UYGUN"),"EKSİK"))</f>
        <v/>
      </c>
      <c r="P949" s="6" t="n"/>
      <c r="Q949" s="6" t="n"/>
      <c r="R949" s="3" t="n"/>
      <c r="S949" s="3" t="n"/>
      <c r="T949" s="3" t="n"/>
      <c r="U949" s="3" t="n"/>
      <c r="V949" s="3" t="n"/>
      <c r="W949" s="3" t="n"/>
    </row>
    <row r="950">
      <c r="A950" s="6" t="n"/>
      <c r="B950" s="113">
        <f>IF($C950="","","GG"&amp;TEXT(ROW()-6,"00000"))</f>
        <v/>
      </c>
      <c r="C950" s="225" t="n"/>
      <c r="D950" s="108" t="n"/>
      <c r="E950" s="109" t="n"/>
      <c r="F950" s="109" t="n"/>
      <c r="G950" s="226" t="n"/>
      <c r="H950" s="108" t="n"/>
      <c r="I950" s="108" t="n"/>
      <c r="J950" s="109" t="n"/>
      <c r="K950" s="109" t="n"/>
      <c r="L950" s="121">
        <f>IF($C950="","",IF($D950="Gider",$E950,$H950))</f>
        <v/>
      </c>
      <c r="M950" s="121">
        <f>IF($C950="","",IF($D950="Gider",$H950,$E950))</f>
        <v/>
      </c>
      <c r="N950" s="231">
        <f>IF($C950="","",DATE(YEAR($C950),MONTH($C950),1))</f>
        <v/>
      </c>
      <c r="O950" s="113">
        <f>IF($C950="","",IF(AND($D950&lt;&gt;"",$E950&lt;&gt;"",$G950&gt;0,$H950&lt;&gt;"",$I950&lt;&gt;""),IF($C950&gt;TODAY(),"İLERİ TARİH","UYGUN"),"EKSİK"))</f>
        <v/>
      </c>
      <c r="P950" s="6" t="n"/>
      <c r="Q950" s="6" t="n"/>
      <c r="R950" s="3" t="n"/>
      <c r="S950" s="3" t="n"/>
      <c r="T950" s="3" t="n"/>
      <c r="U950" s="3" t="n"/>
      <c r="V950" s="3" t="n"/>
      <c r="W950" s="3" t="n"/>
    </row>
    <row r="951">
      <c r="A951" s="6" t="n"/>
      <c r="B951" s="113">
        <f>IF($C951="","","GG"&amp;TEXT(ROW()-6,"00000"))</f>
        <v/>
      </c>
      <c r="C951" s="225" t="n"/>
      <c r="D951" s="108" t="n"/>
      <c r="E951" s="109" t="n"/>
      <c r="F951" s="109" t="n"/>
      <c r="G951" s="226" t="n"/>
      <c r="H951" s="108" t="n"/>
      <c r="I951" s="108" t="n"/>
      <c r="J951" s="109" t="n"/>
      <c r="K951" s="109" t="n"/>
      <c r="L951" s="121">
        <f>IF($C951="","",IF($D951="Gider",$E951,$H951))</f>
        <v/>
      </c>
      <c r="M951" s="121">
        <f>IF($C951="","",IF($D951="Gider",$H951,$E951))</f>
        <v/>
      </c>
      <c r="N951" s="231">
        <f>IF($C951="","",DATE(YEAR($C951),MONTH($C951),1))</f>
        <v/>
      </c>
      <c r="O951" s="113">
        <f>IF($C951="","",IF(AND($D951&lt;&gt;"",$E951&lt;&gt;"",$G951&gt;0,$H951&lt;&gt;"",$I951&lt;&gt;""),IF($C951&gt;TODAY(),"İLERİ TARİH","UYGUN"),"EKSİK"))</f>
        <v/>
      </c>
      <c r="P951" s="6" t="n"/>
      <c r="Q951" s="6" t="n"/>
      <c r="R951" s="3" t="n"/>
      <c r="S951" s="3" t="n"/>
      <c r="T951" s="3" t="n"/>
      <c r="U951" s="3" t="n"/>
      <c r="V951" s="3" t="n"/>
      <c r="W951" s="3" t="n"/>
    </row>
    <row r="952">
      <c r="A952" s="6" t="n"/>
      <c r="B952" s="113">
        <f>IF($C952="","","GG"&amp;TEXT(ROW()-6,"00000"))</f>
        <v/>
      </c>
      <c r="C952" s="225" t="n"/>
      <c r="D952" s="108" t="n"/>
      <c r="E952" s="109" t="n"/>
      <c r="F952" s="109" t="n"/>
      <c r="G952" s="226" t="n"/>
      <c r="H952" s="108" t="n"/>
      <c r="I952" s="108" t="n"/>
      <c r="J952" s="109" t="n"/>
      <c r="K952" s="109" t="n"/>
      <c r="L952" s="121">
        <f>IF($C952="","",IF($D952="Gider",$E952,$H952))</f>
        <v/>
      </c>
      <c r="M952" s="121">
        <f>IF($C952="","",IF($D952="Gider",$H952,$E952))</f>
        <v/>
      </c>
      <c r="N952" s="231">
        <f>IF($C952="","",DATE(YEAR($C952),MONTH($C952),1))</f>
        <v/>
      </c>
      <c r="O952" s="113">
        <f>IF($C952="","",IF(AND($D952&lt;&gt;"",$E952&lt;&gt;"",$G952&gt;0,$H952&lt;&gt;"",$I952&lt;&gt;""),IF($C952&gt;TODAY(),"İLERİ TARİH","UYGUN"),"EKSİK"))</f>
        <v/>
      </c>
      <c r="P952" s="6" t="n"/>
      <c r="Q952" s="6" t="n"/>
      <c r="R952" s="3" t="n"/>
      <c r="S952" s="3" t="n"/>
      <c r="T952" s="3" t="n"/>
      <c r="U952" s="3" t="n"/>
      <c r="V952" s="3" t="n"/>
      <c r="W952" s="3" t="n"/>
    </row>
    <row r="953">
      <c r="A953" s="6" t="n"/>
      <c r="B953" s="113">
        <f>IF($C953="","","GG"&amp;TEXT(ROW()-6,"00000"))</f>
        <v/>
      </c>
      <c r="C953" s="225" t="n"/>
      <c r="D953" s="108" t="n"/>
      <c r="E953" s="109" t="n"/>
      <c r="F953" s="109" t="n"/>
      <c r="G953" s="226" t="n"/>
      <c r="H953" s="108" t="n"/>
      <c r="I953" s="108" t="n"/>
      <c r="J953" s="109" t="n"/>
      <c r="K953" s="109" t="n"/>
      <c r="L953" s="121">
        <f>IF($C953="","",IF($D953="Gider",$E953,$H953))</f>
        <v/>
      </c>
      <c r="M953" s="121">
        <f>IF($C953="","",IF($D953="Gider",$H953,$E953))</f>
        <v/>
      </c>
      <c r="N953" s="231">
        <f>IF($C953="","",DATE(YEAR($C953),MONTH($C953),1))</f>
        <v/>
      </c>
      <c r="O953" s="113">
        <f>IF($C953="","",IF(AND($D953&lt;&gt;"",$E953&lt;&gt;"",$G953&gt;0,$H953&lt;&gt;"",$I953&lt;&gt;""),IF($C953&gt;TODAY(),"İLERİ TARİH","UYGUN"),"EKSİK"))</f>
        <v/>
      </c>
      <c r="P953" s="6" t="n"/>
      <c r="Q953" s="6" t="n"/>
      <c r="R953" s="3" t="n"/>
      <c r="S953" s="3" t="n"/>
      <c r="T953" s="3" t="n"/>
      <c r="U953" s="3" t="n"/>
      <c r="V953" s="3" t="n"/>
      <c r="W953" s="3" t="n"/>
    </row>
    <row r="954">
      <c r="A954" s="6" t="n"/>
      <c r="B954" s="113">
        <f>IF($C954="","","GG"&amp;TEXT(ROW()-6,"00000"))</f>
        <v/>
      </c>
      <c r="C954" s="225" t="n"/>
      <c r="D954" s="108" t="n"/>
      <c r="E954" s="109" t="n"/>
      <c r="F954" s="109" t="n"/>
      <c r="G954" s="226" t="n"/>
      <c r="H954" s="108" t="n"/>
      <c r="I954" s="108" t="n"/>
      <c r="J954" s="109" t="n"/>
      <c r="K954" s="109" t="n"/>
      <c r="L954" s="121">
        <f>IF($C954="","",IF($D954="Gider",$E954,$H954))</f>
        <v/>
      </c>
      <c r="M954" s="121">
        <f>IF($C954="","",IF($D954="Gider",$H954,$E954))</f>
        <v/>
      </c>
      <c r="N954" s="231">
        <f>IF($C954="","",DATE(YEAR($C954),MONTH($C954),1))</f>
        <v/>
      </c>
      <c r="O954" s="113">
        <f>IF($C954="","",IF(AND($D954&lt;&gt;"",$E954&lt;&gt;"",$G954&gt;0,$H954&lt;&gt;"",$I954&lt;&gt;""),IF($C954&gt;TODAY(),"İLERİ TARİH","UYGUN"),"EKSİK"))</f>
        <v/>
      </c>
      <c r="P954" s="6" t="n"/>
      <c r="Q954" s="6" t="n"/>
      <c r="R954" s="3" t="n"/>
      <c r="S954" s="3" t="n"/>
      <c r="T954" s="3" t="n"/>
      <c r="U954" s="3" t="n"/>
      <c r="V954" s="3" t="n"/>
      <c r="W954" s="3" t="n"/>
    </row>
    <row r="955">
      <c r="A955" s="6" t="n"/>
      <c r="B955" s="113">
        <f>IF($C955="","","GG"&amp;TEXT(ROW()-6,"00000"))</f>
        <v/>
      </c>
      <c r="C955" s="225" t="n"/>
      <c r="D955" s="108" t="n"/>
      <c r="E955" s="109" t="n"/>
      <c r="F955" s="109" t="n"/>
      <c r="G955" s="226" t="n"/>
      <c r="H955" s="108" t="n"/>
      <c r="I955" s="108" t="n"/>
      <c r="J955" s="109" t="n"/>
      <c r="K955" s="109" t="n"/>
      <c r="L955" s="121">
        <f>IF($C955="","",IF($D955="Gider",$E955,$H955))</f>
        <v/>
      </c>
      <c r="M955" s="121">
        <f>IF($C955="","",IF($D955="Gider",$H955,$E955))</f>
        <v/>
      </c>
      <c r="N955" s="231">
        <f>IF($C955="","",DATE(YEAR($C955),MONTH($C955),1))</f>
        <v/>
      </c>
      <c r="O955" s="113">
        <f>IF($C955="","",IF(AND($D955&lt;&gt;"",$E955&lt;&gt;"",$G955&gt;0,$H955&lt;&gt;"",$I955&lt;&gt;""),IF($C955&gt;TODAY(),"İLERİ TARİH","UYGUN"),"EKSİK"))</f>
        <v/>
      </c>
      <c r="P955" s="6" t="n"/>
      <c r="Q955" s="6" t="n"/>
      <c r="R955" s="3" t="n"/>
      <c r="S955" s="3" t="n"/>
      <c r="T955" s="3" t="n"/>
      <c r="U955" s="3" t="n"/>
      <c r="V955" s="3" t="n"/>
      <c r="W955" s="3" t="n"/>
    </row>
    <row r="956">
      <c r="A956" s="6" t="n"/>
      <c r="B956" s="113">
        <f>IF($C956="","","GG"&amp;TEXT(ROW()-6,"00000"))</f>
        <v/>
      </c>
      <c r="C956" s="225" t="n"/>
      <c r="D956" s="108" t="n"/>
      <c r="E956" s="109" t="n"/>
      <c r="F956" s="109" t="n"/>
      <c r="G956" s="226" t="n"/>
      <c r="H956" s="108" t="n"/>
      <c r="I956" s="108" t="n"/>
      <c r="J956" s="109" t="n"/>
      <c r="K956" s="109" t="n"/>
      <c r="L956" s="121">
        <f>IF($C956="","",IF($D956="Gider",$E956,$H956))</f>
        <v/>
      </c>
      <c r="M956" s="121">
        <f>IF($C956="","",IF($D956="Gider",$H956,$E956))</f>
        <v/>
      </c>
      <c r="N956" s="231">
        <f>IF($C956="","",DATE(YEAR($C956),MONTH($C956),1))</f>
        <v/>
      </c>
      <c r="O956" s="113">
        <f>IF($C956="","",IF(AND($D956&lt;&gt;"",$E956&lt;&gt;"",$G956&gt;0,$H956&lt;&gt;"",$I956&lt;&gt;""),IF($C956&gt;TODAY(),"İLERİ TARİH","UYGUN"),"EKSİK"))</f>
        <v/>
      </c>
      <c r="P956" s="6" t="n"/>
      <c r="Q956" s="6" t="n"/>
      <c r="R956" s="3" t="n"/>
      <c r="S956" s="3" t="n"/>
      <c r="T956" s="3" t="n"/>
      <c r="U956" s="3" t="n"/>
      <c r="V956" s="3" t="n"/>
      <c r="W956" s="3" t="n"/>
    </row>
    <row r="957">
      <c r="A957" s="6" t="n"/>
      <c r="B957" s="113">
        <f>IF($C957="","","GG"&amp;TEXT(ROW()-6,"00000"))</f>
        <v/>
      </c>
      <c r="C957" s="225" t="n"/>
      <c r="D957" s="108" t="n"/>
      <c r="E957" s="109" t="n"/>
      <c r="F957" s="109" t="n"/>
      <c r="G957" s="226" t="n"/>
      <c r="H957" s="108" t="n"/>
      <c r="I957" s="108" t="n"/>
      <c r="J957" s="109" t="n"/>
      <c r="K957" s="109" t="n"/>
      <c r="L957" s="121">
        <f>IF($C957="","",IF($D957="Gider",$E957,$H957))</f>
        <v/>
      </c>
      <c r="M957" s="121">
        <f>IF($C957="","",IF($D957="Gider",$H957,$E957))</f>
        <v/>
      </c>
      <c r="N957" s="231">
        <f>IF($C957="","",DATE(YEAR($C957),MONTH($C957),1))</f>
        <v/>
      </c>
      <c r="O957" s="113">
        <f>IF($C957="","",IF(AND($D957&lt;&gt;"",$E957&lt;&gt;"",$G957&gt;0,$H957&lt;&gt;"",$I957&lt;&gt;""),IF($C957&gt;TODAY(),"İLERİ TARİH","UYGUN"),"EKSİK"))</f>
        <v/>
      </c>
      <c r="P957" s="6" t="n"/>
      <c r="Q957" s="6" t="n"/>
      <c r="R957" s="3" t="n"/>
      <c r="S957" s="3" t="n"/>
      <c r="T957" s="3" t="n"/>
      <c r="U957" s="3" t="n"/>
      <c r="V957" s="3" t="n"/>
      <c r="W957" s="3" t="n"/>
    </row>
    <row r="958">
      <c r="A958" s="6" t="n"/>
      <c r="B958" s="113">
        <f>IF($C958="","","GG"&amp;TEXT(ROW()-6,"00000"))</f>
        <v/>
      </c>
      <c r="C958" s="225" t="n"/>
      <c r="D958" s="108" t="n"/>
      <c r="E958" s="109" t="n"/>
      <c r="F958" s="109" t="n"/>
      <c r="G958" s="226" t="n"/>
      <c r="H958" s="108" t="n"/>
      <c r="I958" s="108" t="n"/>
      <c r="J958" s="109" t="n"/>
      <c r="K958" s="109" t="n"/>
      <c r="L958" s="121">
        <f>IF($C958="","",IF($D958="Gider",$E958,$H958))</f>
        <v/>
      </c>
      <c r="M958" s="121">
        <f>IF($C958="","",IF($D958="Gider",$H958,$E958))</f>
        <v/>
      </c>
      <c r="N958" s="231">
        <f>IF($C958="","",DATE(YEAR($C958),MONTH($C958),1))</f>
        <v/>
      </c>
      <c r="O958" s="113">
        <f>IF($C958="","",IF(AND($D958&lt;&gt;"",$E958&lt;&gt;"",$G958&gt;0,$H958&lt;&gt;"",$I958&lt;&gt;""),IF($C958&gt;TODAY(),"İLERİ TARİH","UYGUN"),"EKSİK"))</f>
        <v/>
      </c>
      <c r="P958" s="6" t="n"/>
      <c r="Q958" s="6" t="n"/>
      <c r="R958" s="3" t="n"/>
      <c r="S958" s="3" t="n"/>
      <c r="T958" s="3" t="n"/>
      <c r="U958" s="3" t="n"/>
      <c r="V958" s="3" t="n"/>
      <c r="W958" s="3" t="n"/>
    </row>
    <row r="959">
      <c r="A959" s="6" t="n"/>
      <c r="B959" s="113">
        <f>IF($C959="","","GG"&amp;TEXT(ROW()-6,"00000"))</f>
        <v/>
      </c>
      <c r="C959" s="225" t="n"/>
      <c r="D959" s="108" t="n"/>
      <c r="E959" s="109" t="n"/>
      <c r="F959" s="109" t="n"/>
      <c r="G959" s="226" t="n"/>
      <c r="H959" s="108" t="n"/>
      <c r="I959" s="108" t="n"/>
      <c r="J959" s="109" t="n"/>
      <c r="K959" s="109" t="n"/>
      <c r="L959" s="121">
        <f>IF($C959="","",IF($D959="Gider",$E959,$H959))</f>
        <v/>
      </c>
      <c r="M959" s="121">
        <f>IF($C959="","",IF($D959="Gider",$H959,$E959))</f>
        <v/>
      </c>
      <c r="N959" s="231">
        <f>IF($C959="","",DATE(YEAR($C959),MONTH($C959),1))</f>
        <v/>
      </c>
      <c r="O959" s="113">
        <f>IF($C959="","",IF(AND($D959&lt;&gt;"",$E959&lt;&gt;"",$G959&gt;0,$H959&lt;&gt;"",$I959&lt;&gt;""),IF($C959&gt;TODAY(),"İLERİ TARİH","UYGUN"),"EKSİK"))</f>
        <v/>
      </c>
      <c r="P959" s="6" t="n"/>
      <c r="Q959" s="6" t="n"/>
      <c r="R959" s="3" t="n"/>
      <c r="S959" s="3" t="n"/>
      <c r="T959" s="3" t="n"/>
      <c r="U959" s="3" t="n"/>
      <c r="V959" s="3" t="n"/>
      <c r="W959" s="3" t="n"/>
    </row>
    <row r="960">
      <c r="A960" s="6" t="n"/>
      <c r="B960" s="113">
        <f>IF($C960="","","GG"&amp;TEXT(ROW()-6,"00000"))</f>
        <v/>
      </c>
      <c r="C960" s="225" t="n"/>
      <c r="D960" s="108" t="n"/>
      <c r="E960" s="109" t="n"/>
      <c r="F960" s="109" t="n"/>
      <c r="G960" s="226" t="n"/>
      <c r="H960" s="108" t="n"/>
      <c r="I960" s="108" t="n"/>
      <c r="J960" s="109" t="n"/>
      <c r="K960" s="109" t="n"/>
      <c r="L960" s="121">
        <f>IF($C960="","",IF($D960="Gider",$E960,$H960))</f>
        <v/>
      </c>
      <c r="M960" s="121">
        <f>IF($C960="","",IF($D960="Gider",$H960,$E960))</f>
        <v/>
      </c>
      <c r="N960" s="231">
        <f>IF($C960="","",DATE(YEAR($C960),MONTH($C960),1))</f>
        <v/>
      </c>
      <c r="O960" s="113">
        <f>IF($C960="","",IF(AND($D960&lt;&gt;"",$E960&lt;&gt;"",$G960&gt;0,$H960&lt;&gt;"",$I960&lt;&gt;""),IF($C960&gt;TODAY(),"İLERİ TARİH","UYGUN"),"EKSİK"))</f>
        <v/>
      </c>
      <c r="P960" s="6" t="n"/>
      <c r="Q960" s="6" t="n"/>
      <c r="R960" s="3" t="n"/>
      <c r="S960" s="3" t="n"/>
      <c r="T960" s="3" t="n"/>
      <c r="U960" s="3" t="n"/>
      <c r="V960" s="3" t="n"/>
      <c r="W960" s="3" t="n"/>
    </row>
    <row r="961">
      <c r="A961" s="6" t="n"/>
      <c r="B961" s="113">
        <f>IF($C961="","","GG"&amp;TEXT(ROW()-6,"00000"))</f>
        <v/>
      </c>
      <c r="C961" s="225" t="n"/>
      <c r="D961" s="108" t="n"/>
      <c r="E961" s="109" t="n"/>
      <c r="F961" s="109" t="n"/>
      <c r="G961" s="226" t="n"/>
      <c r="H961" s="108" t="n"/>
      <c r="I961" s="108" t="n"/>
      <c r="J961" s="109" t="n"/>
      <c r="K961" s="109" t="n"/>
      <c r="L961" s="121">
        <f>IF($C961="","",IF($D961="Gider",$E961,$H961))</f>
        <v/>
      </c>
      <c r="M961" s="121">
        <f>IF($C961="","",IF($D961="Gider",$H961,$E961))</f>
        <v/>
      </c>
      <c r="N961" s="231">
        <f>IF($C961="","",DATE(YEAR($C961),MONTH($C961),1))</f>
        <v/>
      </c>
      <c r="O961" s="113">
        <f>IF($C961="","",IF(AND($D961&lt;&gt;"",$E961&lt;&gt;"",$G961&gt;0,$H961&lt;&gt;"",$I961&lt;&gt;""),IF($C961&gt;TODAY(),"İLERİ TARİH","UYGUN"),"EKSİK"))</f>
        <v/>
      </c>
      <c r="P961" s="6" t="n"/>
      <c r="Q961" s="6" t="n"/>
      <c r="R961" s="3" t="n"/>
      <c r="S961" s="3" t="n"/>
      <c r="T961" s="3" t="n"/>
      <c r="U961" s="3" t="n"/>
      <c r="V961" s="3" t="n"/>
      <c r="W961" s="3" t="n"/>
    </row>
    <row r="962">
      <c r="A962" s="6" t="n"/>
      <c r="B962" s="113">
        <f>IF($C962="","","GG"&amp;TEXT(ROW()-6,"00000"))</f>
        <v/>
      </c>
      <c r="C962" s="225" t="n"/>
      <c r="D962" s="108" t="n"/>
      <c r="E962" s="109" t="n"/>
      <c r="F962" s="109" t="n"/>
      <c r="G962" s="226" t="n"/>
      <c r="H962" s="108" t="n"/>
      <c r="I962" s="108" t="n"/>
      <c r="J962" s="109" t="n"/>
      <c r="K962" s="109" t="n"/>
      <c r="L962" s="121">
        <f>IF($C962="","",IF($D962="Gider",$E962,$H962))</f>
        <v/>
      </c>
      <c r="M962" s="121">
        <f>IF($C962="","",IF($D962="Gider",$H962,$E962))</f>
        <v/>
      </c>
      <c r="N962" s="231">
        <f>IF($C962="","",DATE(YEAR($C962),MONTH($C962),1))</f>
        <v/>
      </c>
      <c r="O962" s="113">
        <f>IF($C962="","",IF(AND($D962&lt;&gt;"",$E962&lt;&gt;"",$G962&gt;0,$H962&lt;&gt;"",$I962&lt;&gt;""),IF($C962&gt;TODAY(),"İLERİ TARİH","UYGUN"),"EKSİK"))</f>
        <v/>
      </c>
      <c r="P962" s="6" t="n"/>
      <c r="Q962" s="6" t="n"/>
      <c r="R962" s="3" t="n"/>
      <c r="S962" s="3" t="n"/>
      <c r="T962" s="3" t="n"/>
      <c r="U962" s="3" t="n"/>
      <c r="V962" s="3" t="n"/>
      <c r="W962" s="3" t="n"/>
    </row>
    <row r="963">
      <c r="A963" s="6" t="n"/>
      <c r="B963" s="113">
        <f>IF($C963="","","GG"&amp;TEXT(ROW()-6,"00000"))</f>
        <v/>
      </c>
      <c r="C963" s="225" t="n"/>
      <c r="D963" s="108" t="n"/>
      <c r="E963" s="109" t="n"/>
      <c r="F963" s="109" t="n"/>
      <c r="G963" s="226" t="n"/>
      <c r="H963" s="108" t="n"/>
      <c r="I963" s="108" t="n"/>
      <c r="J963" s="109" t="n"/>
      <c r="K963" s="109" t="n"/>
      <c r="L963" s="121">
        <f>IF($C963="","",IF($D963="Gider",$E963,$H963))</f>
        <v/>
      </c>
      <c r="M963" s="121">
        <f>IF($C963="","",IF($D963="Gider",$H963,$E963))</f>
        <v/>
      </c>
      <c r="N963" s="231">
        <f>IF($C963="","",DATE(YEAR($C963),MONTH($C963),1))</f>
        <v/>
      </c>
      <c r="O963" s="113">
        <f>IF($C963="","",IF(AND($D963&lt;&gt;"",$E963&lt;&gt;"",$G963&gt;0,$H963&lt;&gt;"",$I963&lt;&gt;""),IF($C963&gt;TODAY(),"İLERİ TARİH","UYGUN"),"EKSİK"))</f>
        <v/>
      </c>
      <c r="P963" s="6" t="n"/>
      <c r="Q963" s="6" t="n"/>
      <c r="R963" s="3" t="n"/>
      <c r="S963" s="3" t="n"/>
      <c r="T963" s="3" t="n"/>
      <c r="U963" s="3" t="n"/>
      <c r="V963" s="3" t="n"/>
      <c r="W963" s="3" t="n"/>
    </row>
    <row r="964">
      <c r="A964" s="6" t="n"/>
      <c r="B964" s="113">
        <f>IF($C964="","","GG"&amp;TEXT(ROW()-6,"00000"))</f>
        <v/>
      </c>
      <c r="C964" s="225" t="n"/>
      <c r="D964" s="108" t="n"/>
      <c r="E964" s="109" t="n"/>
      <c r="F964" s="109" t="n"/>
      <c r="G964" s="226" t="n"/>
      <c r="H964" s="108" t="n"/>
      <c r="I964" s="108" t="n"/>
      <c r="J964" s="109" t="n"/>
      <c r="K964" s="109" t="n"/>
      <c r="L964" s="121">
        <f>IF($C964="","",IF($D964="Gider",$E964,$H964))</f>
        <v/>
      </c>
      <c r="M964" s="121">
        <f>IF($C964="","",IF($D964="Gider",$H964,$E964))</f>
        <v/>
      </c>
      <c r="N964" s="231">
        <f>IF($C964="","",DATE(YEAR($C964),MONTH($C964),1))</f>
        <v/>
      </c>
      <c r="O964" s="113">
        <f>IF($C964="","",IF(AND($D964&lt;&gt;"",$E964&lt;&gt;"",$G964&gt;0,$H964&lt;&gt;"",$I964&lt;&gt;""),IF($C964&gt;TODAY(),"İLERİ TARİH","UYGUN"),"EKSİK"))</f>
        <v/>
      </c>
      <c r="P964" s="6" t="n"/>
      <c r="Q964" s="6" t="n"/>
      <c r="R964" s="3" t="n"/>
      <c r="S964" s="3" t="n"/>
      <c r="T964" s="3" t="n"/>
      <c r="U964" s="3" t="n"/>
      <c r="V964" s="3" t="n"/>
      <c r="W964" s="3" t="n"/>
    </row>
    <row r="965">
      <c r="A965" s="6" t="n"/>
      <c r="B965" s="113">
        <f>IF($C965="","","GG"&amp;TEXT(ROW()-6,"00000"))</f>
        <v/>
      </c>
      <c r="C965" s="225" t="n"/>
      <c r="D965" s="108" t="n"/>
      <c r="E965" s="109" t="n"/>
      <c r="F965" s="109" t="n"/>
      <c r="G965" s="226" t="n"/>
      <c r="H965" s="108" t="n"/>
      <c r="I965" s="108" t="n"/>
      <c r="J965" s="109" t="n"/>
      <c r="K965" s="109" t="n"/>
      <c r="L965" s="121">
        <f>IF($C965="","",IF($D965="Gider",$E965,$H965))</f>
        <v/>
      </c>
      <c r="M965" s="121">
        <f>IF($C965="","",IF($D965="Gider",$H965,$E965))</f>
        <v/>
      </c>
      <c r="N965" s="231">
        <f>IF($C965="","",DATE(YEAR($C965),MONTH($C965),1))</f>
        <v/>
      </c>
      <c r="O965" s="113">
        <f>IF($C965="","",IF(AND($D965&lt;&gt;"",$E965&lt;&gt;"",$G965&gt;0,$H965&lt;&gt;"",$I965&lt;&gt;""),IF($C965&gt;TODAY(),"İLERİ TARİH","UYGUN"),"EKSİK"))</f>
        <v/>
      </c>
      <c r="P965" s="6" t="n"/>
      <c r="Q965" s="6" t="n"/>
      <c r="R965" s="3" t="n"/>
      <c r="S965" s="3" t="n"/>
      <c r="T965" s="3" t="n"/>
      <c r="U965" s="3" t="n"/>
      <c r="V965" s="3" t="n"/>
      <c r="W965" s="3" t="n"/>
    </row>
    <row r="966">
      <c r="A966" s="6" t="n"/>
      <c r="B966" s="113">
        <f>IF($C966="","","GG"&amp;TEXT(ROW()-6,"00000"))</f>
        <v/>
      </c>
      <c r="C966" s="225" t="n"/>
      <c r="D966" s="108" t="n"/>
      <c r="E966" s="109" t="n"/>
      <c r="F966" s="109" t="n"/>
      <c r="G966" s="226" t="n"/>
      <c r="H966" s="108" t="n"/>
      <c r="I966" s="108" t="n"/>
      <c r="J966" s="109" t="n"/>
      <c r="K966" s="109" t="n"/>
      <c r="L966" s="121">
        <f>IF($C966="","",IF($D966="Gider",$E966,$H966))</f>
        <v/>
      </c>
      <c r="M966" s="121">
        <f>IF($C966="","",IF($D966="Gider",$H966,$E966))</f>
        <v/>
      </c>
      <c r="N966" s="231">
        <f>IF($C966="","",DATE(YEAR($C966),MONTH($C966),1))</f>
        <v/>
      </c>
      <c r="O966" s="113">
        <f>IF($C966="","",IF(AND($D966&lt;&gt;"",$E966&lt;&gt;"",$G966&gt;0,$H966&lt;&gt;"",$I966&lt;&gt;""),IF($C966&gt;TODAY(),"İLERİ TARİH","UYGUN"),"EKSİK"))</f>
        <v/>
      </c>
      <c r="P966" s="6" t="n"/>
      <c r="Q966" s="6" t="n"/>
      <c r="R966" s="3" t="n"/>
      <c r="S966" s="3" t="n"/>
      <c r="T966" s="3" t="n"/>
      <c r="U966" s="3" t="n"/>
      <c r="V966" s="3" t="n"/>
      <c r="W966" s="3" t="n"/>
    </row>
    <row r="967">
      <c r="A967" s="6" t="n"/>
      <c r="B967" s="113">
        <f>IF($C967="","","GG"&amp;TEXT(ROW()-6,"00000"))</f>
        <v/>
      </c>
      <c r="C967" s="225" t="n"/>
      <c r="D967" s="108" t="n"/>
      <c r="E967" s="109" t="n"/>
      <c r="F967" s="109" t="n"/>
      <c r="G967" s="226" t="n"/>
      <c r="H967" s="108" t="n"/>
      <c r="I967" s="108" t="n"/>
      <c r="J967" s="109" t="n"/>
      <c r="K967" s="109" t="n"/>
      <c r="L967" s="121">
        <f>IF($C967="","",IF($D967="Gider",$E967,$H967))</f>
        <v/>
      </c>
      <c r="M967" s="121">
        <f>IF($C967="","",IF($D967="Gider",$H967,$E967))</f>
        <v/>
      </c>
      <c r="N967" s="231">
        <f>IF($C967="","",DATE(YEAR($C967),MONTH($C967),1))</f>
        <v/>
      </c>
      <c r="O967" s="113">
        <f>IF($C967="","",IF(AND($D967&lt;&gt;"",$E967&lt;&gt;"",$G967&gt;0,$H967&lt;&gt;"",$I967&lt;&gt;""),IF($C967&gt;TODAY(),"İLERİ TARİH","UYGUN"),"EKSİK"))</f>
        <v/>
      </c>
      <c r="P967" s="6" t="n"/>
      <c r="Q967" s="6" t="n"/>
      <c r="R967" s="3" t="n"/>
      <c r="S967" s="3" t="n"/>
      <c r="T967" s="3" t="n"/>
      <c r="U967" s="3" t="n"/>
      <c r="V967" s="3" t="n"/>
      <c r="W967" s="3" t="n"/>
    </row>
    <row r="968">
      <c r="A968" s="6" t="n"/>
      <c r="B968" s="113">
        <f>IF($C968="","","GG"&amp;TEXT(ROW()-6,"00000"))</f>
        <v/>
      </c>
      <c r="C968" s="225" t="n"/>
      <c r="D968" s="108" t="n"/>
      <c r="E968" s="109" t="n"/>
      <c r="F968" s="109" t="n"/>
      <c r="G968" s="226" t="n"/>
      <c r="H968" s="108" t="n"/>
      <c r="I968" s="108" t="n"/>
      <c r="J968" s="109" t="n"/>
      <c r="K968" s="109" t="n"/>
      <c r="L968" s="121">
        <f>IF($C968="","",IF($D968="Gider",$E968,$H968))</f>
        <v/>
      </c>
      <c r="M968" s="121">
        <f>IF($C968="","",IF($D968="Gider",$H968,$E968))</f>
        <v/>
      </c>
      <c r="N968" s="231">
        <f>IF($C968="","",DATE(YEAR($C968),MONTH($C968),1))</f>
        <v/>
      </c>
      <c r="O968" s="113">
        <f>IF($C968="","",IF(AND($D968&lt;&gt;"",$E968&lt;&gt;"",$G968&gt;0,$H968&lt;&gt;"",$I968&lt;&gt;""),IF($C968&gt;TODAY(),"İLERİ TARİH","UYGUN"),"EKSİK"))</f>
        <v/>
      </c>
      <c r="P968" s="6" t="n"/>
      <c r="Q968" s="6" t="n"/>
      <c r="R968" s="3" t="n"/>
      <c r="S968" s="3" t="n"/>
      <c r="T968" s="3" t="n"/>
      <c r="U968" s="3" t="n"/>
      <c r="V968" s="3" t="n"/>
      <c r="W968" s="3" t="n"/>
    </row>
    <row r="969">
      <c r="A969" s="6" t="n"/>
      <c r="B969" s="113">
        <f>IF($C969="","","GG"&amp;TEXT(ROW()-6,"00000"))</f>
        <v/>
      </c>
      <c r="C969" s="225" t="n"/>
      <c r="D969" s="108" t="n"/>
      <c r="E969" s="109" t="n"/>
      <c r="F969" s="109" t="n"/>
      <c r="G969" s="226" t="n"/>
      <c r="H969" s="108" t="n"/>
      <c r="I969" s="108" t="n"/>
      <c r="J969" s="109" t="n"/>
      <c r="K969" s="109" t="n"/>
      <c r="L969" s="121">
        <f>IF($C969="","",IF($D969="Gider",$E969,$H969))</f>
        <v/>
      </c>
      <c r="M969" s="121">
        <f>IF($C969="","",IF($D969="Gider",$H969,$E969))</f>
        <v/>
      </c>
      <c r="N969" s="231">
        <f>IF($C969="","",DATE(YEAR($C969),MONTH($C969),1))</f>
        <v/>
      </c>
      <c r="O969" s="113">
        <f>IF($C969="","",IF(AND($D969&lt;&gt;"",$E969&lt;&gt;"",$G969&gt;0,$H969&lt;&gt;"",$I969&lt;&gt;""),IF($C969&gt;TODAY(),"İLERİ TARİH","UYGUN"),"EKSİK"))</f>
        <v/>
      </c>
      <c r="P969" s="6" t="n"/>
      <c r="Q969" s="6" t="n"/>
      <c r="R969" s="3" t="n"/>
      <c r="S969" s="3" t="n"/>
      <c r="T969" s="3" t="n"/>
      <c r="U969" s="3" t="n"/>
      <c r="V969" s="3" t="n"/>
      <c r="W969" s="3" t="n"/>
    </row>
    <row r="970">
      <c r="A970" s="6" t="n"/>
      <c r="B970" s="113">
        <f>IF($C970="","","GG"&amp;TEXT(ROW()-6,"00000"))</f>
        <v/>
      </c>
      <c r="C970" s="225" t="n"/>
      <c r="D970" s="108" t="n"/>
      <c r="E970" s="109" t="n"/>
      <c r="F970" s="109" t="n"/>
      <c r="G970" s="226" t="n"/>
      <c r="H970" s="108" t="n"/>
      <c r="I970" s="108" t="n"/>
      <c r="J970" s="109" t="n"/>
      <c r="K970" s="109" t="n"/>
      <c r="L970" s="121">
        <f>IF($C970="","",IF($D970="Gider",$E970,$H970))</f>
        <v/>
      </c>
      <c r="M970" s="121">
        <f>IF($C970="","",IF($D970="Gider",$H970,$E970))</f>
        <v/>
      </c>
      <c r="N970" s="231">
        <f>IF($C970="","",DATE(YEAR($C970),MONTH($C970),1))</f>
        <v/>
      </c>
      <c r="O970" s="113">
        <f>IF($C970="","",IF(AND($D970&lt;&gt;"",$E970&lt;&gt;"",$G970&gt;0,$H970&lt;&gt;"",$I970&lt;&gt;""),IF($C970&gt;TODAY(),"İLERİ TARİH","UYGUN"),"EKSİK"))</f>
        <v/>
      </c>
      <c r="P970" s="6" t="n"/>
      <c r="Q970" s="6" t="n"/>
      <c r="R970" s="3" t="n"/>
      <c r="S970" s="3" t="n"/>
      <c r="T970" s="3" t="n"/>
      <c r="U970" s="3" t="n"/>
      <c r="V970" s="3" t="n"/>
      <c r="W970" s="3" t="n"/>
    </row>
    <row r="971">
      <c r="A971" s="6" t="n"/>
      <c r="B971" s="113">
        <f>IF($C971="","","GG"&amp;TEXT(ROW()-6,"00000"))</f>
        <v/>
      </c>
      <c r="C971" s="225" t="n"/>
      <c r="D971" s="108" t="n"/>
      <c r="E971" s="109" t="n"/>
      <c r="F971" s="109" t="n"/>
      <c r="G971" s="226" t="n"/>
      <c r="H971" s="108" t="n"/>
      <c r="I971" s="108" t="n"/>
      <c r="J971" s="109" t="n"/>
      <c r="K971" s="109" t="n"/>
      <c r="L971" s="121">
        <f>IF($C971="","",IF($D971="Gider",$E971,$H971))</f>
        <v/>
      </c>
      <c r="M971" s="121">
        <f>IF($C971="","",IF($D971="Gider",$H971,$E971))</f>
        <v/>
      </c>
      <c r="N971" s="231">
        <f>IF($C971="","",DATE(YEAR($C971),MONTH($C971),1))</f>
        <v/>
      </c>
      <c r="O971" s="113">
        <f>IF($C971="","",IF(AND($D971&lt;&gt;"",$E971&lt;&gt;"",$G971&gt;0,$H971&lt;&gt;"",$I971&lt;&gt;""),IF($C971&gt;TODAY(),"İLERİ TARİH","UYGUN"),"EKSİK"))</f>
        <v/>
      </c>
      <c r="P971" s="6" t="n"/>
      <c r="Q971" s="6" t="n"/>
      <c r="R971" s="3" t="n"/>
      <c r="S971" s="3" t="n"/>
      <c r="T971" s="3" t="n"/>
      <c r="U971" s="3" t="n"/>
      <c r="V971" s="3" t="n"/>
      <c r="W971" s="3" t="n"/>
    </row>
    <row r="972">
      <c r="A972" s="6" t="n"/>
      <c r="B972" s="113">
        <f>IF($C972="","","GG"&amp;TEXT(ROW()-6,"00000"))</f>
        <v/>
      </c>
      <c r="C972" s="225" t="n"/>
      <c r="D972" s="108" t="n"/>
      <c r="E972" s="109" t="n"/>
      <c r="F972" s="109" t="n"/>
      <c r="G972" s="226" t="n"/>
      <c r="H972" s="108" t="n"/>
      <c r="I972" s="108" t="n"/>
      <c r="J972" s="109" t="n"/>
      <c r="K972" s="109" t="n"/>
      <c r="L972" s="121">
        <f>IF($C972="","",IF($D972="Gider",$E972,$H972))</f>
        <v/>
      </c>
      <c r="M972" s="121">
        <f>IF($C972="","",IF($D972="Gider",$H972,$E972))</f>
        <v/>
      </c>
      <c r="N972" s="231">
        <f>IF($C972="","",DATE(YEAR($C972),MONTH($C972),1))</f>
        <v/>
      </c>
      <c r="O972" s="113">
        <f>IF($C972="","",IF(AND($D972&lt;&gt;"",$E972&lt;&gt;"",$G972&gt;0,$H972&lt;&gt;"",$I972&lt;&gt;""),IF($C972&gt;TODAY(),"İLERİ TARİH","UYGUN"),"EKSİK"))</f>
        <v/>
      </c>
      <c r="P972" s="6" t="n"/>
      <c r="Q972" s="6" t="n"/>
      <c r="R972" s="3" t="n"/>
      <c r="S972" s="3" t="n"/>
      <c r="T972" s="3" t="n"/>
      <c r="U972" s="3" t="n"/>
      <c r="V972" s="3" t="n"/>
      <c r="W972" s="3" t="n"/>
    </row>
    <row r="973">
      <c r="A973" s="6" t="n"/>
      <c r="B973" s="113">
        <f>IF($C973="","","GG"&amp;TEXT(ROW()-6,"00000"))</f>
        <v/>
      </c>
      <c r="C973" s="225" t="n"/>
      <c r="D973" s="108" t="n"/>
      <c r="E973" s="109" t="n"/>
      <c r="F973" s="109" t="n"/>
      <c r="G973" s="226" t="n"/>
      <c r="H973" s="108" t="n"/>
      <c r="I973" s="108" t="n"/>
      <c r="J973" s="109" t="n"/>
      <c r="K973" s="109" t="n"/>
      <c r="L973" s="121">
        <f>IF($C973="","",IF($D973="Gider",$E973,$H973))</f>
        <v/>
      </c>
      <c r="M973" s="121">
        <f>IF($C973="","",IF($D973="Gider",$H973,$E973))</f>
        <v/>
      </c>
      <c r="N973" s="231">
        <f>IF($C973="","",DATE(YEAR($C973),MONTH($C973),1))</f>
        <v/>
      </c>
      <c r="O973" s="113">
        <f>IF($C973="","",IF(AND($D973&lt;&gt;"",$E973&lt;&gt;"",$G973&gt;0,$H973&lt;&gt;"",$I973&lt;&gt;""),IF($C973&gt;TODAY(),"İLERİ TARİH","UYGUN"),"EKSİK"))</f>
        <v/>
      </c>
      <c r="P973" s="6" t="n"/>
      <c r="Q973" s="6" t="n"/>
      <c r="R973" s="3" t="n"/>
      <c r="S973" s="3" t="n"/>
      <c r="T973" s="3" t="n"/>
      <c r="U973" s="3" t="n"/>
      <c r="V973" s="3" t="n"/>
      <c r="W973" s="3" t="n"/>
    </row>
    <row r="974">
      <c r="A974" s="6" t="n"/>
      <c r="B974" s="113">
        <f>IF($C974="","","GG"&amp;TEXT(ROW()-6,"00000"))</f>
        <v/>
      </c>
      <c r="C974" s="225" t="n"/>
      <c r="D974" s="108" t="n"/>
      <c r="E974" s="109" t="n"/>
      <c r="F974" s="109" t="n"/>
      <c r="G974" s="226" t="n"/>
      <c r="H974" s="108" t="n"/>
      <c r="I974" s="108" t="n"/>
      <c r="J974" s="109" t="n"/>
      <c r="K974" s="109" t="n"/>
      <c r="L974" s="121">
        <f>IF($C974="","",IF($D974="Gider",$E974,$H974))</f>
        <v/>
      </c>
      <c r="M974" s="121">
        <f>IF($C974="","",IF($D974="Gider",$H974,$E974))</f>
        <v/>
      </c>
      <c r="N974" s="231">
        <f>IF($C974="","",DATE(YEAR($C974),MONTH($C974),1))</f>
        <v/>
      </c>
      <c r="O974" s="113">
        <f>IF($C974="","",IF(AND($D974&lt;&gt;"",$E974&lt;&gt;"",$G974&gt;0,$H974&lt;&gt;"",$I974&lt;&gt;""),IF($C974&gt;TODAY(),"İLERİ TARİH","UYGUN"),"EKSİK"))</f>
        <v/>
      </c>
      <c r="P974" s="6" t="n"/>
      <c r="Q974" s="6" t="n"/>
      <c r="R974" s="3" t="n"/>
      <c r="S974" s="3" t="n"/>
      <c r="T974" s="3" t="n"/>
      <c r="U974" s="3" t="n"/>
      <c r="V974" s="3" t="n"/>
      <c r="W974" s="3" t="n"/>
    </row>
    <row r="975">
      <c r="A975" s="6" t="n"/>
      <c r="B975" s="113">
        <f>IF($C975="","","GG"&amp;TEXT(ROW()-6,"00000"))</f>
        <v/>
      </c>
      <c r="C975" s="225" t="n"/>
      <c r="D975" s="108" t="n"/>
      <c r="E975" s="109" t="n"/>
      <c r="F975" s="109" t="n"/>
      <c r="G975" s="226" t="n"/>
      <c r="H975" s="108" t="n"/>
      <c r="I975" s="108" t="n"/>
      <c r="J975" s="109" t="n"/>
      <c r="K975" s="109" t="n"/>
      <c r="L975" s="121">
        <f>IF($C975="","",IF($D975="Gider",$E975,$H975))</f>
        <v/>
      </c>
      <c r="M975" s="121">
        <f>IF($C975="","",IF($D975="Gider",$H975,$E975))</f>
        <v/>
      </c>
      <c r="N975" s="231">
        <f>IF($C975="","",DATE(YEAR($C975),MONTH($C975),1))</f>
        <v/>
      </c>
      <c r="O975" s="113">
        <f>IF($C975="","",IF(AND($D975&lt;&gt;"",$E975&lt;&gt;"",$G975&gt;0,$H975&lt;&gt;"",$I975&lt;&gt;""),IF($C975&gt;TODAY(),"İLERİ TARİH","UYGUN"),"EKSİK"))</f>
        <v/>
      </c>
      <c r="P975" s="6" t="n"/>
      <c r="Q975" s="6" t="n"/>
      <c r="R975" s="3" t="n"/>
      <c r="S975" s="3" t="n"/>
      <c r="T975" s="3" t="n"/>
      <c r="U975" s="3" t="n"/>
      <c r="V975" s="3" t="n"/>
      <c r="W975" s="3" t="n"/>
    </row>
    <row r="976">
      <c r="A976" s="6" t="n"/>
      <c r="B976" s="113">
        <f>IF($C976="","","GG"&amp;TEXT(ROW()-6,"00000"))</f>
        <v/>
      </c>
      <c r="C976" s="225" t="n"/>
      <c r="D976" s="108" t="n"/>
      <c r="E976" s="109" t="n"/>
      <c r="F976" s="109" t="n"/>
      <c r="G976" s="226" t="n"/>
      <c r="H976" s="108" t="n"/>
      <c r="I976" s="108" t="n"/>
      <c r="J976" s="109" t="n"/>
      <c r="K976" s="109" t="n"/>
      <c r="L976" s="121">
        <f>IF($C976="","",IF($D976="Gider",$E976,$H976))</f>
        <v/>
      </c>
      <c r="M976" s="121">
        <f>IF($C976="","",IF($D976="Gider",$H976,$E976))</f>
        <v/>
      </c>
      <c r="N976" s="231">
        <f>IF($C976="","",DATE(YEAR($C976),MONTH($C976),1))</f>
        <v/>
      </c>
      <c r="O976" s="113">
        <f>IF($C976="","",IF(AND($D976&lt;&gt;"",$E976&lt;&gt;"",$G976&gt;0,$H976&lt;&gt;"",$I976&lt;&gt;""),IF($C976&gt;TODAY(),"İLERİ TARİH","UYGUN"),"EKSİK"))</f>
        <v/>
      </c>
      <c r="P976" s="6" t="n"/>
      <c r="Q976" s="6" t="n"/>
      <c r="R976" s="3" t="n"/>
      <c r="S976" s="3" t="n"/>
      <c r="T976" s="3" t="n"/>
      <c r="U976" s="3" t="n"/>
      <c r="V976" s="3" t="n"/>
      <c r="W976" s="3" t="n"/>
    </row>
    <row r="977">
      <c r="A977" s="6" t="n"/>
      <c r="B977" s="113">
        <f>IF($C977="","","GG"&amp;TEXT(ROW()-6,"00000"))</f>
        <v/>
      </c>
      <c r="C977" s="225" t="n"/>
      <c r="D977" s="108" t="n"/>
      <c r="E977" s="109" t="n"/>
      <c r="F977" s="109" t="n"/>
      <c r="G977" s="226" t="n"/>
      <c r="H977" s="108" t="n"/>
      <c r="I977" s="108" t="n"/>
      <c r="J977" s="109" t="n"/>
      <c r="K977" s="109" t="n"/>
      <c r="L977" s="121">
        <f>IF($C977="","",IF($D977="Gider",$E977,$H977))</f>
        <v/>
      </c>
      <c r="M977" s="121">
        <f>IF($C977="","",IF($D977="Gider",$H977,$E977))</f>
        <v/>
      </c>
      <c r="N977" s="231">
        <f>IF($C977="","",DATE(YEAR($C977),MONTH($C977),1))</f>
        <v/>
      </c>
      <c r="O977" s="113">
        <f>IF($C977="","",IF(AND($D977&lt;&gt;"",$E977&lt;&gt;"",$G977&gt;0,$H977&lt;&gt;"",$I977&lt;&gt;""),IF($C977&gt;TODAY(),"İLERİ TARİH","UYGUN"),"EKSİK"))</f>
        <v/>
      </c>
      <c r="P977" s="6" t="n"/>
      <c r="Q977" s="6" t="n"/>
      <c r="R977" s="3" t="n"/>
      <c r="S977" s="3" t="n"/>
      <c r="T977" s="3" t="n"/>
      <c r="U977" s="3" t="n"/>
      <c r="V977" s="3" t="n"/>
      <c r="W977" s="3" t="n"/>
    </row>
    <row r="978">
      <c r="A978" s="6" t="n"/>
      <c r="B978" s="113">
        <f>IF($C978="","","GG"&amp;TEXT(ROW()-6,"00000"))</f>
        <v/>
      </c>
      <c r="C978" s="225" t="n"/>
      <c r="D978" s="108" t="n"/>
      <c r="E978" s="109" t="n"/>
      <c r="F978" s="109" t="n"/>
      <c r="G978" s="226" t="n"/>
      <c r="H978" s="108" t="n"/>
      <c r="I978" s="108" t="n"/>
      <c r="J978" s="109" t="n"/>
      <c r="K978" s="109" t="n"/>
      <c r="L978" s="121">
        <f>IF($C978="","",IF($D978="Gider",$E978,$H978))</f>
        <v/>
      </c>
      <c r="M978" s="121">
        <f>IF($C978="","",IF($D978="Gider",$H978,$E978))</f>
        <v/>
      </c>
      <c r="N978" s="231">
        <f>IF($C978="","",DATE(YEAR($C978),MONTH($C978),1))</f>
        <v/>
      </c>
      <c r="O978" s="113">
        <f>IF($C978="","",IF(AND($D978&lt;&gt;"",$E978&lt;&gt;"",$G978&gt;0,$H978&lt;&gt;"",$I978&lt;&gt;""),IF($C978&gt;TODAY(),"İLERİ TARİH","UYGUN"),"EKSİK"))</f>
        <v/>
      </c>
      <c r="P978" s="6" t="n"/>
      <c r="Q978" s="6" t="n"/>
      <c r="R978" s="3" t="n"/>
      <c r="S978" s="3" t="n"/>
      <c r="T978" s="3" t="n"/>
      <c r="U978" s="3" t="n"/>
      <c r="V978" s="3" t="n"/>
      <c r="W978" s="3" t="n"/>
    </row>
    <row r="979">
      <c r="A979" s="6" t="n"/>
      <c r="B979" s="113">
        <f>IF($C979="","","GG"&amp;TEXT(ROW()-6,"00000"))</f>
        <v/>
      </c>
      <c r="C979" s="225" t="n"/>
      <c r="D979" s="108" t="n"/>
      <c r="E979" s="109" t="n"/>
      <c r="F979" s="109" t="n"/>
      <c r="G979" s="226" t="n"/>
      <c r="H979" s="108" t="n"/>
      <c r="I979" s="108" t="n"/>
      <c r="J979" s="109" t="n"/>
      <c r="K979" s="109" t="n"/>
      <c r="L979" s="121">
        <f>IF($C979="","",IF($D979="Gider",$E979,$H979))</f>
        <v/>
      </c>
      <c r="M979" s="121">
        <f>IF($C979="","",IF($D979="Gider",$H979,$E979))</f>
        <v/>
      </c>
      <c r="N979" s="231">
        <f>IF($C979="","",DATE(YEAR($C979),MONTH($C979),1))</f>
        <v/>
      </c>
      <c r="O979" s="113">
        <f>IF($C979="","",IF(AND($D979&lt;&gt;"",$E979&lt;&gt;"",$G979&gt;0,$H979&lt;&gt;"",$I979&lt;&gt;""),IF($C979&gt;TODAY(),"İLERİ TARİH","UYGUN"),"EKSİK"))</f>
        <v/>
      </c>
      <c r="P979" s="6" t="n"/>
      <c r="Q979" s="6" t="n"/>
      <c r="R979" s="3" t="n"/>
      <c r="S979" s="3" t="n"/>
      <c r="T979" s="3" t="n"/>
      <c r="U979" s="3" t="n"/>
      <c r="V979" s="3" t="n"/>
      <c r="W979" s="3" t="n"/>
    </row>
    <row r="980">
      <c r="A980" s="6" t="n"/>
      <c r="B980" s="113">
        <f>IF($C980="","","GG"&amp;TEXT(ROW()-6,"00000"))</f>
        <v/>
      </c>
      <c r="C980" s="225" t="n"/>
      <c r="D980" s="108" t="n"/>
      <c r="E980" s="109" t="n"/>
      <c r="F980" s="109" t="n"/>
      <c r="G980" s="226" t="n"/>
      <c r="H980" s="108" t="n"/>
      <c r="I980" s="108" t="n"/>
      <c r="J980" s="109" t="n"/>
      <c r="K980" s="109" t="n"/>
      <c r="L980" s="121">
        <f>IF($C980="","",IF($D980="Gider",$E980,$H980))</f>
        <v/>
      </c>
      <c r="M980" s="121">
        <f>IF($C980="","",IF($D980="Gider",$H980,$E980))</f>
        <v/>
      </c>
      <c r="N980" s="231">
        <f>IF($C980="","",DATE(YEAR($C980),MONTH($C980),1))</f>
        <v/>
      </c>
      <c r="O980" s="113">
        <f>IF($C980="","",IF(AND($D980&lt;&gt;"",$E980&lt;&gt;"",$G980&gt;0,$H980&lt;&gt;"",$I980&lt;&gt;""),IF($C980&gt;TODAY(),"İLERİ TARİH","UYGUN"),"EKSİK"))</f>
        <v/>
      </c>
      <c r="P980" s="6" t="n"/>
      <c r="Q980" s="6" t="n"/>
      <c r="R980" s="3" t="n"/>
      <c r="S980" s="3" t="n"/>
      <c r="T980" s="3" t="n"/>
      <c r="U980" s="3" t="n"/>
      <c r="V980" s="3" t="n"/>
      <c r="W980" s="3" t="n"/>
    </row>
    <row r="981">
      <c r="A981" s="6" t="n"/>
      <c r="B981" s="113">
        <f>IF($C981="","","GG"&amp;TEXT(ROW()-6,"00000"))</f>
        <v/>
      </c>
      <c r="C981" s="225" t="n"/>
      <c r="D981" s="108" t="n"/>
      <c r="E981" s="109" t="n"/>
      <c r="F981" s="109" t="n"/>
      <c r="G981" s="226" t="n"/>
      <c r="H981" s="108" t="n"/>
      <c r="I981" s="108" t="n"/>
      <c r="J981" s="109" t="n"/>
      <c r="K981" s="109" t="n"/>
      <c r="L981" s="121">
        <f>IF($C981="","",IF($D981="Gider",$E981,$H981))</f>
        <v/>
      </c>
      <c r="M981" s="121">
        <f>IF($C981="","",IF($D981="Gider",$H981,$E981))</f>
        <v/>
      </c>
      <c r="N981" s="231">
        <f>IF($C981="","",DATE(YEAR($C981),MONTH($C981),1))</f>
        <v/>
      </c>
      <c r="O981" s="113">
        <f>IF($C981="","",IF(AND($D981&lt;&gt;"",$E981&lt;&gt;"",$G981&gt;0,$H981&lt;&gt;"",$I981&lt;&gt;""),IF($C981&gt;TODAY(),"İLERİ TARİH","UYGUN"),"EKSİK"))</f>
        <v/>
      </c>
      <c r="P981" s="6" t="n"/>
      <c r="Q981" s="6" t="n"/>
      <c r="R981" s="3" t="n"/>
      <c r="S981" s="3" t="n"/>
      <c r="T981" s="3" t="n"/>
      <c r="U981" s="3" t="n"/>
      <c r="V981" s="3" t="n"/>
      <c r="W981" s="3" t="n"/>
    </row>
    <row r="982">
      <c r="A982" s="6" t="n"/>
      <c r="B982" s="113">
        <f>IF($C982="","","GG"&amp;TEXT(ROW()-6,"00000"))</f>
        <v/>
      </c>
      <c r="C982" s="225" t="n"/>
      <c r="D982" s="108" t="n"/>
      <c r="E982" s="109" t="n"/>
      <c r="F982" s="109" t="n"/>
      <c r="G982" s="226" t="n"/>
      <c r="H982" s="108" t="n"/>
      <c r="I982" s="108" t="n"/>
      <c r="J982" s="109" t="n"/>
      <c r="K982" s="109" t="n"/>
      <c r="L982" s="121">
        <f>IF($C982="","",IF($D982="Gider",$E982,$H982))</f>
        <v/>
      </c>
      <c r="M982" s="121">
        <f>IF($C982="","",IF($D982="Gider",$H982,$E982))</f>
        <v/>
      </c>
      <c r="N982" s="231">
        <f>IF($C982="","",DATE(YEAR($C982),MONTH($C982),1))</f>
        <v/>
      </c>
      <c r="O982" s="113">
        <f>IF($C982="","",IF(AND($D982&lt;&gt;"",$E982&lt;&gt;"",$G982&gt;0,$H982&lt;&gt;"",$I982&lt;&gt;""),IF($C982&gt;TODAY(),"İLERİ TARİH","UYGUN"),"EKSİK"))</f>
        <v/>
      </c>
      <c r="P982" s="6" t="n"/>
      <c r="Q982" s="6" t="n"/>
      <c r="R982" s="3" t="n"/>
      <c r="S982" s="3" t="n"/>
      <c r="T982" s="3" t="n"/>
      <c r="U982" s="3" t="n"/>
      <c r="V982" s="3" t="n"/>
      <c r="W982" s="3" t="n"/>
    </row>
    <row r="983">
      <c r="A983" s="6" t="n"/>
      <c r="B983" s="113">
        <f>IF($C983="","","GG"&amp;TEXT(ROW()-6,"00000"))</f>
        <v/>
      </c>
      <c r="C983" s="225" t="n"/>
      <c r="D983" s="108" t="n"/>
      <c r="E983" s="109" t="n"/>
      <c r="F983" s="109" t="n"/>
      <c r="G983" s="226" t="n"/>
      <c r="H983" s="108" t="n"/>
      <c r="I983" s="108" t="n"/>
      <c r="J983" s="109" t="n"/>
      <c r="K983" s="109" t="n"/>
      <c r="L983" s="121">
        <f>IF($C983="","",IF($D983="Gider",$E983,$H983))</f>
        <v/>
      </c>
      <c r="M983" s="121">
        <f>IF($C983="","",IF($D983="Gider",$H983,$E983))</f>
        <v/>
      </c>
      <c r="N983" s="231">
        <f>IF($C983="","",DATE(YEAR($C983),MONTH($C983),1))</f>
        <v/>
      </c>
      <c r="O983" s="113">
        <f>IF($C983="","",IF(AND($D983&lt;&gt;"",$E983&lt;&gt;"",$G983&gt;0,$H983&lt;&gt;"",$I983&lt;&gt;""),IF($C983&gt;TODAY(),"İLERİ TARİH","UYGUN"),"EKSİK"))</f>
        <v/>
      </c>
      <c r="P983" s="6" t="n"/>
      <c r="Q983" s="6" t="n"/>
      <c r="R983" s="3" t="n"/>
      <c r="S983" s="3" t="n"/>
      <c r="T983" s="3" t="n"/>
      <c r="U983" s="3" t="n"/>
      <c r="V983" s="3" t="n"/>
      <c r="W983" s="3" t="n"/>
    </row>
    <row r="984">
      <c r="A984" s="6" t="n"/>
      <c r="B984" s="113">
        <f>IF($C984="","","GG"&amp;TEXT(ROW()-6,"00000"))</f>
        <v/>
      </c>
      <c r="C984" s="225" t="n"/>
      <c r="D984" s="108" t="n"/>
      <c r="E984" s="109" t="n"/>
      <c r="F984" s="109" t="n"/>
      <c r="G984" s="226" t="n"/>
      <c r="H984" s="108" t="n"/>
      <c r="I984" s="108" t="n"/>
      <c r="J984" s="109" t="n"/>
      <c r="K984" s="109" t="n"/>
      <c r="L984" s="121">
        <f>IF($C984="","",IF($D984="Gider",$E984,$H984))</f>
        <v/>
      </c>
      <c r="M984" s="121">
        <f>IF($C984="","",IF($D984="Gider",$H984,$E984))</f>
        <v/>
      </c>
      <c r="N984" s="231">
        <f>IF($C984="","",DATE(YEAR($C984),MONTH($C984),1))</f>
        <v/>
      </c>
      <c r="O984" s="113">
        <f>IF($C984="","",IF(AND($D984&lt;&gt;"",$E984&lt;&gt;"",$G984&gt;0,$H984&lt;&gt;"",$I984&lt;&gt;""),IF($C984&gt;TODAY(),"İLERİ TARİH","UYGUN"),"EKSİK"))</f>
        <v/>
      </c>
      <c r="P984" s="6" t="n"/>
      <c r="Q984" s="6" t="n"/>
      <c r="R984" s="3" t="n"/>
      <c r="S984" s="3" t="n"/>
      <c r="T984" s="3" t="n"/>
      <c r="U984" s="3" t="n"/>
      <c r="V984" s="3" t="n"/>
      <c r="W984" s="3" t="n"/>
    </row>
    <row r="985">
      <c r="A985" s="6" t="n"/>
      <c r="B985" s="113">
        <f>IF($C985="","","GG"&amp;TEXT(ROW()-6,"00000"))</f>
        <v/>
      </c>
      <c r="C985" s="225" t="n"/>
      <c r="D985" s="108" t="n"/>
      <c r="E985" s="109" t="n"/>
      <c r="F985" s="109" t="n"/>
      <c r="G985" s="226" t="n"/>
      <c r="H985" s="108" t="n"/>
      <c r="I985" s="108" t="n"/>
      <c r="J985" s="109" t="n"/>
      <c r="K985" s="109" t="n"/>
      <c r="L985" s="121">
        <f>IF($C985="","",IF($D985="Gider",$E985,$H985))</f>
        <v/>
      </c>
      <c r="M985" s="121">
        <f>IF($C985="","",IF($D985="Gider",$H985,$E985))</f>
        <v/>
      </c>
      <c r="N985" s="231">
        <f>IF($C985="","",DATE(YEAR($C985),MONTH($C985),1))</f>
        <v/>
      </c>
      <c r="O985" s="113">
        <f>IF($C985="","",IF(AND($D985&lt;&gt;"",$E985&lt;&gt;"",$G985&gt;0,$H985&lt;&gt;"",$I985&lt;&gt;""),IF($C985&gt;TODAY(),"İLERİ TARİH","UYGUN"),"EKSİK"))</f>
        <v/>
      </c>
      <c r="P985" s="6" t="n"/>
      <c r="Q985" s="6" t="n"/>
      <c r="R985" s="3" t="n"/>
      <c r="S985" s="3" t="n"/>
      <c r="T985" s="3" t="n"/>
      <c r="U985" s="3" t="n"/>
      <c r="V985" s="3" t="n"/>
      <c r="W985" s="3" t="n"/>
    </row>
    <row r="986">
      <c r="A986" s="6" t="n"/>
      <c r="B986" s="113">
        <f>IF($C986="","","GG"&amp;TEXT(ROW()-6,"00000"))</f>
        <v/>
      </c>
      <c r="C986" s="225" t="n"/>
      <c r="D986" s="108" t="n"/>
      <c r="E986" s="109" t="n"/>
      <c r="F986" s="109" t="n"/>
      <c r="G986" s="226" t="n"/>
      <c r="H986" s="108" t="n"/>
      <c r="I986" s="108" t="n"/>
      <c r="J986" s="109" t="n"/>
      <c r="K986" s="109" t="n"/>
      <c r="L986" s="121">
        <f>IF($C986="","",IF($D986="Gider",$E986,$H986))</f>
        <v/>
      </c>
      <c r="M986" s="121">
        <f>IF($C986="","",IF($D986="Gider",$H986,$E986))</f>
        <v/>
      </c>
      <c r="N986" s="231">
        <f>IF($C986="","",DATE(YEAR($C986),MONTH($C986),1))</f>
        <v/>
      </c>
      <c r="O986" s="113">
        <f>IF($C986="","",IF(AND($D986&lt;&gt;"",$E986&lt;&gt;"",$G986&gt;0,$H986&lt;&gt;"",$I986&lt;&gt;""),IF($C986&gt;TODAY(),"İLERİ TARİH","UYGUN"),"EKSİK"))</f>
        <v/>
      </c>
      <c r="P986" s="6" t="n"/>
      <c r="Q986" s="6" t="n"/>
      <c r="R986" s="3" t="n"/>
      <c r="S986" s="3" t="n"/>
      <c r="T986" s="3" t="n"/>
      <c r="U986" s="3" t="n"/>
      <c r="V986" s="3" t="n"/>
      <c r="W986" s="3" t="n"/>
    </row>
    <row r="987">
      <c r="A987" s="6" t="n"/>
      <c r="B987" s="113">
        <f>IF($C987="","","GG"&amp;TEXT(ROW()-6,"00000"))</f>
        <v/>
      </c>
      <c r="C987" s="225" t="n"/>
      <c r="D987" s="108" t="n"/>
      <c r="E987" s="109" t="n"/>
      <c r="F987" s="109" t="n"/>
      <c r="G987" s="226" t="n"/>
      <c r="H987" s="108" t="n"/>
      <c r="I987" s="108" t="n"/>
      <c r="J987" s="109" t="n"/>
      <c r="K987" s="109" t="n"/>
      <c r="L987" s="121">
        <f>IF($C987="","",IF($D987="Gider",$E987,$H987))</f>
        <v/>
      </c>
      <c r="M987" s="121">
        <f>IF($C987="","",IF($D987="Gider",$H987,$E987))</f>
        <v/>
      </c>
      <c r="N987" s="231">
        <f>IF($C987="","",DATE(YEAR($C987),MONTH($C987),1))</f>
        <v/>
      </c>
      <c r="O987" s="113">
        <f>IF($C987="","",IF(AND($D987&lt;&gt;"",$E987&lt;&gt;"",$G987&gt;0,$H987&lt;&gt;"",$I987&lt;&gt;""),IF($C987&gt;TODAY(),"İLERİ TARİH","UYGUN"),"EKSİK"))</f>
        <v/>
      </c>
      <c r="P987" s="6" t="n"/>
      <c r="Q987" s="6" t="n"/>
      <c r="R987" s="3" t="n"/>
      <c r="S987" s="3" t="n"/>
      <c r="T987" s="3" t="n"/>
      <c r="U987" s="3" t="n"/>
      <c r="V987" s="3" t="n"/>
      <c r="W987" s="3" t="n"/>
    </row>
    <row r="988">
      <c r="A988" s="6" t="n"/>
      <c r="B988" s="113">
        <f>IF($C988="","","GG"&amp;TEXT(ROW()-6,"00000"))</f>
        <v/>
      </c>
      <c r="C988" s="225" t="n"/>
      <c r="D988" s="108" t="n"/>
      <c r="E988" s="109" t="n"/>
      <c r="F988" s="109" t="n"/>
      <c r="G988" s="226" t="n"/>
      <c r="H988" s="108" t="n"/>
      <c r="I988" s="108" t="n"/>
      <c r="J988" s="109" t="n"/>
      <c r="K988" s="109" t="n"/>
      <c r="L988" s="121">
        <f>IF($C988="","",IF($D988="Gider",$E988,$H988))</f>
        <v/>
      </c>
      <c r="M988" s="121">
        <f>IF($C988="","",IF($D988="Gider",$H988,$E988))</f>
        <v/>
      </c>
      <c r="N988" s="231">
        <f>IF($C988="","",DATE(YEAR($C988),MONTH($C988),1))</f>
        <v/>
      </c>
      <c r="O988" s="113">
        <f>IF($C988="","",IF(AND($D988&lt;&gt;"",$E988&lt;&gt;"",$G988&gt;0,$H988&lt;&gt;"",$I988&lt;&gt;""),IF($C988&gt;TODAY(),"İLERİ TARİH","UYGUN"),"EKSİK"))</f>
        <v/>
      </c>
      <c r="P988" s="6" t="n"/>
      <c r="Q988" s="6" t="n"/>
      <c r="R988" s="3" t="n"/>
      <c r="S988" s="3" t="n"/>
      <c r="T988" s="3" t="n"/>
      <c r="U988" s="3" t="n"/>
      <c r="V988" s="3" t="n"/>
      <c r="W988" s="3" t="n"/>
    </row>
    <row r="989">
      <c r="A989" s="6" t="n"/>
      <c r="B989" s="113">
        <f>IF($C989="","","GG"&amp;TEXT(ROW()-6,"00000"))</f>
        <v/>
      </c>
      <c r="C989" s="225" t="n"/>
      <c r="D989" s="108" t="n"/>
      <c r="E989" s="109" t="n"/>
      <c r="F989" s="109" t="n"/>
      <c r="G989" s="226" t="n"/>
      <c r="H989" s="108" t="n"/>
      <c r="I989" s="108" t="n"/>
      <c r="J989" s="109" t="n"/>
      <c r="K989" s="109" t="n"/>
      <c r="L989" s="121">
        <f>IF($C989="","",IF($D989="Gider",$E989,$H989))</f>
        <v/>
      </c>
      <c r="M989" s="121">
        <f>IF($C989="","",IF($D989="Gider",$H989,$E989))</f>
        <v/>
      </c>
      <c r="N989" s="231">
        <f>IF($C989="","",DATE(YEAR($C989),MONTH($C989),1))</f>
        <v/>
      </c>
      <c r="O989" s="113">
        <f>IF($C989="","",IF(AND($D989&lt;&gt;"",$E989&lt;&gt;"",$G989&gt;0,$H989&lt;&gt;"",$I989&lt;&gt;""),IF($C989&gt;TODAY(),"İLERİ TARİH","UYGUN"),"EKSİK"))</f>
        <v/>
      </c>
      <c r="P989" s="6" t="n"/>
      <c r="Q989" s="6" t="n"/>
      <c r="R989" s="3" t="n"/>
      <c r="S989" s="3" t="n"/>
      <c r="T989" s="3" t="n"/>
      <c r="U989" s="3" t="n"/>
      <c r="V989" s="3" t="n"/>
      <c r="W989" s="3" t="n"/>
    </row>
    <row r="990">
      <c r="A990" s="6" t="n"/>
      <c r="B990" s="113">
        <f>IF($C990="","","GG"&amp;TEXT(ROW()-6,"00000"))</f>
        <v/>
      </c>
      <c r="C990" s="225" t="n"/>
      <c r="D990" s="108" t="n"/>
      <c r="E990" s="109" t="n"/>
      <c r="F990" s="109" t="n"/>
      <c r="G990" s="226" t="n"/>
      <c r="H990" s="108" t="n"/>
      <c r="I990" s="108" t="n"/>
      <c r="J990" s="109" t="n"/>
      <c r="K990" s="109" t="n"/>
      <c r="L990" s="121">
        <f>IF($C990="","",IF($D990="Gider",$E990,$H990))</f>
        <v/>
      </c>
      <c r="M990" s="121">
        <f>IF($C990="","",IF($D990="Gider",$H990,$E990))</f>
        <v/>
      </c>
      <c r="N990" s="231">
        <f>IF($C990="","",DATE(YEAR($C990),MONTH($C990),1))</f>
        <v/>
      </c>
      <c r="O990" s="113">
        <f>IF($C990="","",IF(AND($D990&lt;&gt;"",$E990&lt;&gt;"",$G990&gt;0,$H990&lt;&gt;"",$I990&lt;&gt;""),IF($C990&gt;TODAY(),"İLERİ TARİH","UYGUN"),"EKSİK"))</f>
        <v/>
      </c>
      <c r="P990" s="6" t="n"/>
      <c r="Q990" s="6" t="n"/>
      <c r="R990" s="3" t="n"/>
      <c r="S990" s="3" t="n"/>
      <c r="T990" s="3" t="n"/>
      <c r="U990" s="3" t="n"/>
      <c r="V990" s="3" t="n"/>
      <c r="W990" s="3" t="n"/>
    </row>
    <row r="991">
      <c r="A991" s="6" t="n"/>
      <c r="B991" s="113">
        <f>IF($C991="","","GG"&amp;TEXT(ROW()-6,"00000"))</f>
        <v/>
      </c>
      <c r="C991" s="225" t="n"/>
      <c r="D991" s="108" t="n"/>
      <c r="E991" s="109" t="n"/>
      <c r="F991" s="109" t="n"/>
      <c r="G991" s="226" t="n"/>
      <c r="H991" s="108" t="n"/>
      <c r="I991" s="108" t="n"/>
      <c r="J991" s="109" t="n"/>
      <c r="K991" s="109" t="n"/>
      <c r="L991" s="121">
        <f>IF($C991="","",IF($D991="Gider",$E991,$H991))</f>
        <v/>
      </c>
      <c r="M991" s="121">
        <f>IF($C991="","",IF($D991="Gider",$H991,$E991))</f>
        <v/>
      </c>
      <c r="N991" s="231">
        <f>IF($C991="","",DATE(YEAR($C991),MONTH($C991),1))</f>
        <v/>
      </c>
      <c r="O991" s="113">
        <f>IF($C991="","",IF(AND($D991&lt;&gt;"",$E991&lt;&gt;"",$G991&gt;0,$H991&lt;&gt;"",$I991&lt;&gt;""),IF($C991&gt;TODAY(),"İLERİ TARİH","UYGUN"),"EKSİK"))</f>
        <v/>
      </c>
      <c r="P991" s="6" t="n"/>
      <c r="Q991" s="6" t="n"/>
      <c r="R991" s="3" t="n"/>
      <c r="S991" s="3" t="n"/>
      <c r="T991" s="3" t="n"/>
      <c r="U991" s="3" t="n"/>
      <c r="V991" s="3" t="n"/>
      <c r="W991" s="3" t="n"/>
    </row>
    <row r="992">
      <c r="A992" s="6" t="n"/>
      <c r="B992" s="113">
        <f>IF($C992="","","GG"&amp;TEXT(ROW()-6,"00000"))</f>
        <v/>
      </c>
      <c r="C992" s="225" t="n"/>
      <c r="D992" s="108" t="n"/>
      <c r="E992" s="109" t="n"/>
      <c r="F992" s="109" t="n"/>
      <c r="G992" s="226" t="n"/>
      <c r="H992" s="108" t="n"/>
      <c r="I992" s="108" t="n"/>
      <c r="J992" s="109" t="n"/>
      <c r="K992" s="109" t="n"/>
      <c r="L992" s="121">
        <f>IF($C992="","",IF($D992="Gider",$E992,$H992))</f>
        <v/>
      </c>
      <c r="M992" s="121">
        <f>IF($C992="","",IF($D992="Gider",$H992,$E992))</f>
        <v/>
      </c>
      <c r="N992" s="231">
        <f>IF($C992="","",DATE(YEAR($C992),MONTH($C992),1))</f>
        <v/>
      </c>
      <c r="O992" s="113">
        <f>IF($C992="","",IF(AND($D992&lt;&gt;"",$E992&lt;&gt;"",$G992&gt;0,$H992&lt;&gt;"",$I992&lt;&gt;""),IF($C992&gt;TODAY(),"İLERİ TARİH","UYGUN"),"EKSİK"))</f>
        <v/>
      </c>
      <c r="P992" s="6" t="n"/>
      <c r="Q992" s="6" t="n"/>
      <c r="R992" s="3" t="n"/>
      <c r="S992" s="3" t="n"/>
      <c r="T992" s="3" t="n"/>
      <c r="U992" s="3" t="n"/>
      <c r="V992" s="3" t="n"/>
      <c r="W992" s="3" t="n"/>
    </row>
    <row r="993">
      <c r="A993" s="6" t="n"/>
      <c r="B993" s="113">
        <f>IF($C993="","","GG"&amp;TEXT(ROW()-6,"00000"))</f>
        <v/>
      </c>
      <c r="C993" s="225" t="n"/>
      <c r="D993" s="108" t="n"/>
      <c r="E993" s="109" t="n"/>
      <c r="F993" s="109" t="n"/>
      <c r="G993" s="226" t="n"/>
      <c r="H993" s="108" t="n"/>
      <c r="I993" s="108" t="n"/>
      <c r="J993" s="109" t="n"/>
      <c r="K993" s="109" t="n"/>
      <c r="L993" s="121">
        <f>IF($C993="","",IF($D993="Gider",$E993,$H993))</f>
        <v/>
      </c>
      <c r="M993" s="121">
        <f>IF($C993="","",IF($D993="Gider",$H993,$E993))</f>
        <v/>
      </c>
      <c r="N993" s="231">
        <f>IF($C993="","",DATE(YEAR($C993),MONTH($C993),1))</f>
        <v/>
      </c>
      <c r="O993" s="113">
        <f>IF($C993="","",IF(AND($D993&lt;&gt;"",$E993&lt;&gt;"",$G993&gt;0,$H993&lt;&gt;"",$I993&lt;&gt;""),IF($C993&gt;TODAY(),"İLERİ TARİH","UYGUN"),"EKSİK"))</f>
        <v/>
      </c>
      <c r="P993" s="6" t="n"/>
      <c r="Q993" s="6" t="n"/>
      <c r="R993" s="3" t="n"/>
      <c r="S993" s="3" t="n"/>
      <c r="T993" s="3" t="n"/>
      <c r="U993" s="3" t="n"/>
      <c r="V993" s="3" t="n"/>
      <c r="W993" s="3" t="n"/>
    </row>
    <row r="994">
      <c r="A994" s="6" t="n"/>
      <c r="B994" s="113">
        <f>IF($C994="","","GG"&amp;TEXT(ROW()-6,"00000"))</f>
        <v/>
      </c>
      <c r="C994" s="225" t="n"/>
      <c r="D994" s="108" t="n"/>
      <c r="E994" s="109" t="n"/>
      <c r="F994" s="109" t="n"/>
      <c r="G994" s="226" t="n"/>
      <c r="H994" s="108" t="n"/>
      <c r="I994" s="108" t="n"/>
      <c r="J994" s="109" t="n"/>
      <c r="K994" s="109" t="n"/>
      <c r="L994" s="121">
        <f>IF($C994="","",IF($D994="Gider",$E994,$H994))</f>
        <v/>
      </c>
      <c r="M994" s="121">
        <f>IF($C994="","",IF($D994="Gider",$H994,$E994))</f>
        <v/>
      </c>
      <c r="N994" s="231">
        <f>IF($C994="","",DATE(YEAR($C994),MONTH($C994),1))</f>
        <v/>
      </c>
      <c r="O994" s="113">
        <f>IF($C994="","",IF(AND($D994&lt;&gt;"",$E994&lt;&gt;"",$G994&gt;0,$H994&lt;&gt;"",$I994&lt;&gt;""),IF($C994&gt;TODAY(),"İLERİ TARİH","UYGUN"),"EKSİK"))</f>
        <v/>
      </c>
      <c r="P994" s="6" t="n"/>
      <c r="Q994" s="6" t="n"/>
      <c r="R994" s="3" t="n"/>
      <c r="S994" s="3" t="n"/>
      <c r="T994" s="3" t="n"/>
      <c r="U994" s="3" t="n"/>
      <c r="V994" s="3" t="n"/>
      <c r="W994" s="3" t="n"/>
    </row>
    <row r="995">
      <c r="A995" s="6" t="n"/>
      <c r="B995" s="113">
        <f>IF($C995="","","GG"&amp;TEXT(ROW()-6,"00000"))</f>
        <v/>
      </c>
      <c r="C995" s="225" t="n"/>
      <c r="D995" s="108" t="n"/>
      <c r="E995" s="109" t="n"/>
      <c r="F995" s="109" t="n"/>
      <c r="G995" s="226" t="n"/>
      <c r="H995" s="108" t="n"/>
      <c r="I995" s="108" t="n"/>
      <c r="J995" s="109" t="n"/>
      <c r="K995" s="109" t="n"/>
      <c r="L995" s="121">
        <f>IF($C995="","",IF($D995="Gider",$E995,$H995))</f>
        <v/>
      </c>
      <c r="M995" s="121">
        <f>IF($C995="","",IF($D995="Gider",$H995,$E995))</f>
        <v/>
      </c>
      <c r="N995" s="231">
        <f>IF($C995="","",DATE(YEAR($C995),MONTH($C995),1))</f>
        <v/>
      </c>
      <c r="O995" s="113">
        <f>IF($C995="","",IF(AND($D995&lt;&gt;"",$E995&lt;&gt;"",$G995&gt;0,$H995&lt;&gt;"",$I995&lt;&gt;""),IF($C995&gt;TODAY(),"İLERİ TARİH","UYGUN"),"EKSİK"))</f>
        <v/>
      </c>
      <c r="P995" s="6" t="n"/>
      <c r="Q995" s="6" t="n"/>
      <c r="R995" s="3" t="n"/>
      <c r="S995" s="3" t="n"/>
      <c r="T995" s="3" t="n"/>
      <c r="U995" s="3" t="n"/>
      <c r="V995" s="3" t="n"/>
      <c r="W995" s="3" t="n"/>
    </row>
    <row r="996">
      <c r="A996" s="6" t="n"/>
      <c r="B996" s="113">
        <f>IF($C996="","","GG"&amp;TEXT(ROW()-6,"00000"))</f>
        <v/>
      </c>
      <c r="C996" s="225" t="n"/>
      <c r="D996" s="108" t="n"/>
      <c r="E996" s="109" t="n"/>
      <c r="F996" s="109" t="n"/>
      <c r="G996" s="226" t="n"/>
      <c r="H996" s="108" t="n"/>
      <c r="I996" s="108" t="n"/>
      <c r="J996" s="109" t="n"/>
      <c r="K996" s="109" t="n"/>
      <c r="L996" s="121">
        <f>IF($C996="","",IF($D996="Gider",$E996,$H996))</f>
        <v/>
      </c>
      <c r="M996" s="121">
        <f>IF($C996="","",IF($D996="Gider",$H996,$E996))</f>
        <v/>
      </c>
      <c r="N996" s="231">
        <f>IF($C996="","",DATE(YEAR($C996),MONTH($C996),1))</f>
        <v/>
      </c>
      <c r="O996" s="113">
        <f>IF($C996="","",IF(AND($D996&lt;&gt;"",$E996&lt;&gt;"",$G996&gt;0,$H996&lt;&gt;"",$I996&lt;&gt;""),IF($C996&gt;TODAY(),"İLERİ TARİH","UYGUN"),"EKSİK"))</f>
        <v/>
      </c>
      <c r="P996" s="6" t="n"/>
      <c r="Q996" s="6" t="n"/>
      <c r="R996" s="3" t="n"/>
      <c r="S996" s="3" t="n"/>
      <c r="T996" s="3" t="n"/>
      <c r="U996" s="3" t="n"/>
      <c r="V996" s="3" t="n"/>
      <c r="W996" s="3" t="n"/>
    </row>
    <row r="997">
      <c r="A997" s="6" t="n"/>
      <c r="B997" s="113">
        <f>IF($C997="","","GG"&amp;TEXT(ROW()-6,"00000"))</f>
        <v/>
      </c>
      <c r="C997" s="225" t="n"/>
      <c r="D997" s="108" t="n"/>
      <c r="E997" s="109" t="n"/>
      <c r="F997" s="109" t="n"/>
      <c r="G997" s="226" t="n"/>
      <c r="H997" s="108" t="n"/>
      <c r="I997" s="108" t="n"/>
      <c r="J997" s="109" t="n"/>
      <c r="K997" s="109" t="n"/>
      <c r="L997" s="121">
        <f>IF($C997="","",IF($D997="Gider",$E997,$H997))</f>
        <v/>
      </c>
      <c r="M997" s="121">
        <f>IF($C997="","",IF($D997="Gider",$H997,$E997))</f>
        <v/>
      </c>
      <c r="N997" s="231">
        <f>IF($C997="","",DATE(YEAR($C997),MONTH($C997),1))</f>
        <v/>
      </c>
      <c r="O997" s="113">
        <f>IF($C997="","",IF(AND($D997&lt;&gt;"",$E997&lt;&gt;"",$G997&gt;0,$H997&lt;&gt;"",$I997&lt;&gt;""),IF($C997&gt;TODAY(),"İLERİ TARİH","UYGUN"),"EKSİK"))</f>
        <v/>
      </c>
      <c r="P997" s="6" t="n"/>
      <c r="Q997" s="6" t="n"/>
      <c r="R997" s="3" t="n"/>
      <c r="S997" s="3" t="n"/>
      <c r="T997" s="3" t="n"/>
      <c r="U997" s="3" t="n"/>
      <c r="V997" s="3" t="n"/>
      <c r="W997" s="3" t="n"/>
    </row>
    <row r="998">
      <c r="A998" s="6" t="n"/>
      <c r="B998" s="113">
        <f>IF($C998="","","GG"&amp;TEXT(ROW()-6,"00000"))</f>
        <v/>
      </c>
      <c r="C998" s="225" t="n"/>
      <c r="D998" s="108" t="n"/>
      <c r="E998" s="109" t="n"/>
      <c r="F998" s="109" t="n"/>
      <c r="G998" s="226" t="n"/>
      <c r="H998" s="108" t="n"/>
      <c r="I998" s="108" t="n"/>
      <c r="J998" s="109" t="n"/>
      <c r="K998" s="109" t="n"/>
      <c r="L998" s="121">
        <f>IF($C998="","",IF($D998="Gider",$E998,$H998))</f>
        <v/>
      </c>
      <c r="M998" s="121">
        <f>IF($C998="","",IF($D998="Gider",$H998,$E998))</f>
        <v/>
      </c>
      <c r="N998" s="231">
        <f>IF($C998="","",DATE(YEAR($C998),MONTH($C998),1))</f>
        <v/>
      </c>
      <c r="O998" s="113">
        <f>IF($C998="","",IF(AND($D998&lt;&gt;"",$E998&lt;&gt;"",$G998&gt;0,$H998&lt;&gt;"",$I998&lt;&gt;""),IF($C998&gt;TODAY(),"İLERİ TARİH","UYGUN"),"EKSİK"))</f>
        <v/>
      </c>
      <c r="P998" s="6" t="n"/>
      <c r="Q998" s="6" t="n"/>
      <c r="R998" s="3" t="n"/>
      <c r="S998" s="3" t="n"/>
      <c r="T998" s="3" t="n"/>
      <c r="U998" s="3" t="n"/>
      <c r="V998" s="3" t="n"/>
      <c r="W998" s="3" t="n"/>
    </row>
    <row r="999">
      <c r="A999" s="6" t="n"/>
      <c r="B999" s="113">
        <f>IF($C999="","","GG"&amp;TEXT(ROW()-6,"00000"))</f>
        <v/>
      </c>
      <c r="C999" s="225" t="n"/>
      <c r="D999" s="108" t="n"/>
      <c r="E999" s="109" t="n"/>
      <c r="F999" s="109" t="n"/>
      <c r="G999" s="226" t="n"/>
      <c r="H999" s="108" t="n"/>
      <c r="I999" s="108" t="n"/>
      <c r="J999" s="109" t="n"/>
      <c r="K999" s="109" t="n"/>
      <c r="L999" s="121">
        <f>IF($C999="","",IF($D999="Gider",$E999,$H999))</f>
        <v/>
      </c>
      <c r="M999" s="121">
        <f>IF($C999="","",IF($D999="Gider",$H999,$E999))</f>
        <v/>
      </c>
      <c r="N999" s="231">
        <f>IF($C999="","",DATE(YEAR($C999),MONTH($C999),1))</f>
        <v/>
      </c>
      <c r="O999" s="113">
        <f>IF($C999="","",IF(AND($D999&lt;&gt;"",$E999&lt;&gt;"",$G999&gt;0,$H999&lt;&gt;"",$I999&lt;&gt;""),IF($C999&gt;TODAY(),"İLERİ TARİH","UYGUN"),"EKSİK"))</f>
        <v/>
      </c>
      <c r="P999" s="6" t="n"/>
      <c r="Q999" s="6" t="n"/>
      <c r="R999" s="3" t="n"/>
      <c r="S999" s="3" t="n"/>
      <c r="T999" s="3" t="n"/>
      <c r="U999" s="3" t="n"/>
      <c r="V999" s="3" t="n"/>
      <c r="W999" s="3" t="n"/>
    </row>
    <row r="1000">
      <c r="A1000" s="6" t="n"/>
      <c r="B1000" s="113">
        <f>IF($C1000="","","GG"&amp;TEXT(ROW()-6,"00000"))</f>
        <v/>
      </c>
      <c r="C1000" s="225" t="n"/>
      <c r="D1000" s="108" t="n"/>
      <c r="E1000" s="109" t="n"/>
      <c r="F1000" s="109" t="n"/>
      <c r="G1000" s="226" t="n"/>
      <c r="H1000" s="108" t="n"/>
      <c r="I1000" s="108" t="n"/>
      <c r="J1000" s="109" t="n"/>
      <c r="K1000" s="109" t="n"/>
      <c r="L1000" s="121">
        <f>IF($C1000="","",IF($D1000="Gider",$E1000,$H1000))</f>
        <v/>
      </c>
      <c r="M1000" s="121">
        <f>IF($C1000="","",IF($D1000="Gider",$H1000,$E1000))</f>
        <v/>
      </c>
      <c r="N1000" s="231">
        <f>IF($C1000="","",DATE(YEAR($C1000),MONTH($C1000),1))</f>
        <v/>
      </c>
      <c r="O1000" s="113">
        <f>IF($C1000="","",IF(AND($D1000&lt;&gt;"",$E1000&lt;&gt;"",$G1000&gt;0,$H1000&lt;&gt;"",$I1000&lt;&gt;""),IF($C1000&gt;TODAY(),"İLERİ TARİH","UYGUN"),"EKSİK"))</f>
        <v/>
      </c>
      <c r="P1000" s="6" t="n"/>
      <c r="Q1000" s="6" t="n"/>
      <c r="R1000" s="3" t="n"/>
      <c r="S1000" s="3" t="n"/>
      <c r="T1000" s="3" t="n"/>
      <c r="U1000" s="3" t="n"/>
      <c r="V1000" s="3" t="n"/>
      <c r="W1000" s="3" t="n"/>
    </row>
    <row r="1001">
      <c r="A1001" s="6" t="n"/>
      <c r="B1001" s="113">
        <f>IF($C1001="","","GG"&amp;TEXT(ROW()-6,"00000"))</f>
        <v/>
      </c>
      <c r="C1001" s="225" t="n"/>
      <c r="D1001" s="108" t="n"/>
      <c r="E1001" s="109" t="n"/>
      <c r="F1001" s="109" t="n"/>
      <c r="G1001" s="226" t="n"/>
      <c r="H1001" s="108" t="n"/>
      <c r="I1001" s="108" t="n"/>
      <c r="J1001" s="109" t="n"/>
      <c r="K1001" s="109" t="n"/>
      <c r="L1001" s="121">
        <f>IF($C1001="","",IF($D1001="Gider",$E1001,$H1001))</f>
        <v/>
      </c>
      <c r="M1001" s="121">
        <f>IF($C1001="","",IF($D1001="Gider",$H1001,$E1001))</f>
        <v/>
      </c>
      <c r="N1001" s="231">
        <f>IF($C1001="","",DATE(YEAR($C1001),MONTH($C1001),1))</f>
        <v/>
      </c>
      <c r="O1001" s="113">
        <f>IF($C1001="","",IF(AND($D1001&lt;&gt;"",$E1001&lt;&gt;"",$G1001&gt;0,$H1001&lt;&gt;"",$I1001&lt;&gt;""),IF($C1001&gt;TODAY(),"İLERİ TARİH","UYGUN"),"EKSİK"))</f>
        <v/>
      </c>
      <c r="P1001" s="6" t="n"/>
      <c r="Q1001" s="6" t="n"/>
      <c r="R1001" s="3" t="n"/>
      <c r="S1001" s="3" t="n"/>
      <c r="T1001" s="3" t="n"/>
      <c r="U1001" s="3" t="n"/>
      <c r="V1001" s="3" t="n"/>
      <c r="W1001" s="3" t="n"/>
    </row>
    <row r="1002">
      <c r="A1002" s="6" t="n"/>
      <c r="B1002" s="113">
        <f>IF($C1002="","","GG"&amp;TEXT(ROW()-6,"00000"))</f>
        <v/>
      </c>
      <c r="C1002" s="225" t="n"/>
      <c r="D1002" s="108" t="n"/>
      <c r="E1002" s="109" t="n"/>
      <c r="F1002" s="109" t="n"/>
      <c r="G1002" s="226" t="n"/>
      <c r="H1002" s="108" t="n"/>
      <c r="I1002" s="108" t="n"/>
      <c r="J1002" s="109" t="n"/>
      <c r="K1002" s="109" t="n"/>
      <c r="L1002" s="121">
        <f>IF($C1002="","",IF($D1002="Gider",$E1002,$H1002))</f>
        <v/>
      </c>
      <c r="M1002" s="121">
        <f>IF($C1002="","",IF($D1002="Gider",$H1002,$E1002))</f>
        <v/>
      </c>
      <c r="N1002" s="231">
        <f>IF($C1002="","",DATE(YEAR($C1002),MONTH($C1002),1))</f>
        <v/>
      </c>
      <c r="O1002" s="113">
        <f>IF($C1002="","",IF(AND($D1002&lt;&gt;"",$E1002&lt;&gt;"",$G1002&gt;0,$H1002&lt;&gt;"",$I1002&lt;&gt;""),IF($C1002&gt;TODAY(),"İLERİ TARİH","UYGUN"),"EKSİK"))</f>
        <v/>
      </c>
      <c r="P1002" s="6" t="n"/>
      <c r="Q1002" s="6" t="n"/>
      <c r="R1002" s="3" t="n"/>
      <c r="S1002" s="3" t="n"/>
      <c r="T1002" s="3" t="n"/>
      <c r="U1002" s="3" t="n"/>
      <c r="V1002" s="3" t="n"/>
      <c r="W1002" s="3" t="n"/>
    </row>
    <row r="1003">
      <c r="A1003" s="6" t="n"/>
      <c r="B1003" s="113">
        <f>IF($C1003="","","GG"&amp;TEXT(ROW()-6,"00000"))</f>
        <v/>
      </c>
      <c r="C1003" s="225" t="n"/>
      <c r="D1003" s="108" t="n"/>
      <c r="E1003" s="109" t="n"/>
      <c r="F1003" s="109" t="n"/>
      <c r="G1003" s="226" t="n"/>
      <c r="H1003" s="108" t="n"/>
      <c r="I1003" s="108" t="n"/>
      <c r="J1003" s="109" t="n"/>
      <c r="K1003" s="109" t="n"/>
      <c r="L1003" s="121">
        <f>IF($C1003="","",IF($D1003="Gider",$E1003,$H1003))</f>
        <v/>
      </c>
      <c r="M1003" s="121">
        <f>IF($C1003="","",IF($D1003="Gider",$H1003,$E1003))</f>
        <v/>
      </c>
      <c r="N1003" s="231">
        <f>IF($C1003="","",DATE(YEAR($C1003),MONTH($C1003),1))</f>
        <v/>
      </c>
      <c r="O1003" s="113">
        <f>IF($C1003="","",IF(AND($D1003&lt;&gt;"",$E1003&lt;&gt;"",$G1003&gt;0,$H1003&lt;&gt;"",$I1003&lt;&gt;""),IF($C1003&gt;TODAY(),"İLERİ TARİH","UYGUN"),"EKSİK"))</f>
        <v/>
      </c>
      <c r="P1003" s="6" t="n"/>
      <c r="Q1003" s="6" t="n"/>
      <c r="R1003" s="3" t="n"/>
      <c r="S1003" s="3" t="n"/>
      <c r="T1003" s="3" t="n"/>
      <c r="U1003" s="3" t="n"/>
      <c r="V1003" s="3" t="n"/>
      <c r="W1003" s="3" t="n"/>
    </row>
    <row r="1004">
      <c r="A1004" s="6" t="n"/>
      <c r="B1004" s="113">
        <f>IF($C1004="","","GG"&amp;TEXT(ROW()-6,"00000"))</f>
        <v/>
      </c>
      <c r="C1004" s="225" t="n"/>
      <c r="D1004" s="108" t="n"/>
      <c r="E1004" s="109" t="n"/>
      <c r="F1004" s="109" t="n"/>
      <c r="G1004" s="226" t="n"/>
      <c r="H1004" s="108" t="n"/>
      <c r="I1004" s="108" t="n"/>
      <c r="J1004" s="109" t="n"/>
      <c r="K1004" s="109" t="n"/>
      <c r="L1004" s="121">
        <f>IF($C1004="","",IF($D1004="Gider",$E1004,$H1004))</f>
        <v/>
      </c>
      <c r="M1004" s="121">
        <f>IF($C1004="","",IF($D1004="Gider",$H1004,$E1004))</f>
        <v/>
      </c>
      <c r="N1004" s="231">
        <f>IF($C1004="","",DATE(YEAR($C1004),MONTH($C1004),1))</f>
        <v/>
      </c>
      <c r="O1004" s="113">
        <f>IF($C1004="","",IF(AND($D1004&lt;&gt;"",$E1004&lt;&gt;"",$G1004&gt;0,$H1004&lt;&gt;"",$I1004&lt;&gt;""),IF($C1004&gt;TODAY(),"İLERİ TARİH","UYGUN"),"EKSİK"))</f>
        <v/>
      </c>
      <c r="P1004" s="6" t="n"/>
      <c r="Q1004" s="6" t="n"/>
      <c r="R1004" s="3" t="n"/>
      <c r="S1004" s="3" t="n"/>
      <c r="T1004" s="3" t="n"/>
      <c r="U1004" s="3" t="n"/>
      <c r="V1004" s="3" t="n"/>
      <c r="W1004" s="3" t="n"/>
    </row>
    <row r="1005">
      <c r="A1005" s="6" t="n"/>
      <c r="B1005" s="113">
        <f>IF($C1005="","","GG"&amp;TEXT(ROW()-6,"00000"))</f>
        <v/>
      </c>
      <c r="C1005" s="225" t="n"/>
      <c r="D1005" s="108" t="n"/>
      <c r="E1005" s="109" t="n"/>
      <c r="F1005" s="109" t="n"/>
      <c r="G1005" s="226" t="n"/>
      <c r="H1005" s="108" t="n"/>
      <c r="I1005" s="108" t="n"/>
      <c r="J1005" s="109" t="n"/>
      <c r="K1005" s="109" t="n"/>
      <c r="L1005" s="121">
        <f>IF($C1005="","",IF($D1005="Gider",$E1005,$H1005))</f>
        <v/>
      </c>
      <c r="M1005" s="121">
        <f>IF($C1005="","",IF($D1005="Gider",$H1005,$E1005))</f>
        <v/>
      </c>
      <c r="N1005" s="231">
        <f>IF($C1005="","",DATE(YEAR($C1005),MONTH($C1005),1))</f>
        <v/>
      </c>
      <c r="O1005" s="113">
        <f>IF($C1005="","",IF(AND($D1005&lt;&gt;"",$E1005&lt;&gt;"",$G1005&gt;0,$H1005&lt;&gt;"",$I1005&lt;&gt;""),IF($C1005&gt;TODAY(),"İLERİ TARİH","UYGUN"),"EKSİK"))</f>
        <v/>
      </c>
      <c r="P1005" s="6" t="n"/>
      <c r="Q1005" s="6" t="n"/>
      <c r="R1005" s="3" t="n"/>
      <c r="S1005" s="3" t="n"/>
      <c r="T1005" s="3" t="n"/>
      <c r="U1005" s="3" t="n"/>
      <c r="V1005" s="3" t="n"/>
      <c r="W1005" s="3" t="n"/>
    </row>
    <row r="1006">
      <c r="A1006" s="6" t="n"/>
      <c r="B1006" s="113">
        <f>IF($C1006="","","GG"&amp;TEXT(ROW()-6,"00000"))</f>
        <v/>
      </c>
      <c r="C1006" s="225" t="n"/>
      <c r="D1006" s="108" t="n"/>
      <c r="E1006" s="109" t="n"/>
      <c r="F1006" s="109" t="n"/>
      <c r="G1006" s="226" t="n"/>
      <c r="H1006" s="108" t="n"/>
      <c r="I1006" s="108" t="n"/>
      <c r="J1006" s="109" t="n"/>
      <c r="K1006" s="109" t="n"/>
      <c r="L1006" s="121">
        <f>IF($C1006="","",IF($D1006="Gider",$E1006,$H1006))</f>
        <v/>
      </c>
      <c r="M1006" s="121">
        <f>IF($C1006="","",IF($D1006="Gider",$H1006,$E1006))</f>
        <v/>
      </c>
      <c r="N1006" s="231">
        <f>IF($C1006="","",DATE(YEAR($C1006),MONTH($C1006),1))</f>
        <v/>
      </c>
      <c r="O1006" s="113">
        <f>IF($C1006="","",IF(AND($D1006&lt;&gt;"",$E1006&lt;&gt;"",$G1006&gt;0,$H1006&lt;&gt;"",$I1006&lt;&gt;""),IF($C1006&gt;TODAY(),"İLERİ TARİH","UYGUN"),"EKSİK"))</f>
        <v/>
      </c>
      <c r="P1006" s="6" t="n"/>
      <c r="Q1006" s="6" t="n"/>
      <c r="R1006" s="3" t="n"/>
      <c r="S1006" s="3" t="n"/>
      <c r="T1006" s="3" t="n"/>
      <c r="U1006" s="3" t="n"/>
      <c r="V1006" s="3" t="n"/>
      <c r="W1006" s="3" t="n"/>
    </row>
    <row r="1007">
      <c r="A1007" s="6" t="n"/>
      <c r="B1007" s="113">
        <f>IF($C1007="","","GG"&amp;TEXT(ROW()-6,"00000"))</f>
        <v/>
      </c>
      <c r="C1007" s="225" t="n"/>
      <c r="D1007" s="108" t="n"/>
      <c r="E1007" s="109" t="n"/>
      <c r="F1007" s="109" t="n"/>
      <c r="G1007" s="226" t="n"/>
      <c r="H1007" s="108" t="n"/>
      <c r="I1007" s="108" t="n"/>
      <c r="J1007" s="109" t="n"/>
      <c r="K1007" s="109" t="n"/>
      <c r="L1007" s="121">
        <f>IF($C1007="","",IF($D1007="Gider",$E1007,$H1007))</f>
        <v/>
      </c>
      <c r="M1007" s="121">
        <f>IF($C1007="","",IF($D1007="Gider",$H1007,$E1007))</f>
        <v/>
      </c>
      <c r="N1007" s="231">
        <f>IF($C1007="","",DATE(YEAR($C1007),MONTH($C1007),1))</f>
        <v/>
      </c>
      <c r="O1007" s="113">
        <f>IF($C1007="","",IF(AND($D1007&lt;&gt;"",$E1007&lt;&gt;"",$G1007&gt;0,$H1007&lt;&gt;"",$I1007&lt;&gt;""),IF($C1007&gt;TODAY(),"İLERİ TARİH","UYGUN"),"EKSİK"))</f>
        <v/>
      </c>
      <c r="P1007" s="6" t="n"/>
      <c r="Q1007" s="6" t="n"/>
      <c r="R1007" s="3" t="n"/>
      <c r="S1007" s="3" t="n"/>
      <c r="T1007" s="3" t="n"/>
      <c r="U1007" s="3" t="n"/>
      <c r="V1007" s="3" t="n"/>
      <c r="W1007" s="3" t="n"/>
    </row>
    <row r="1008">
      <c r="A1008" s="6" t="n"/>
      <c r="B1008" s="113">
        <f>IF($C1008="","","GG"&amp;TEXT(ROW()-6,"00000"))</f>
        <v/>
      </c>
      <c r="C1008" s="225" t="n"/>
      <c r="D1008" s="108" t="n"/>
      <c r="E1008" s="109" t="n"/>
      <c r="F1008" s="109" t="n"/>
      <c r="G1008" s="226" t="n"/>
      <c r="H1008" s="108" t="n"/>
      <c r="I1008" s="108" t="n"/>
      <c r="J1008" s="109" t="n"/>
      <c r="K1008" s="109" t="n"/>
      <c r="L1008" s="121">
        <f>IF($C1008="","",IF($D1008="Gider",$E1008,$H1008))</f>
        <v/>
      </c>
      <c r="M1008" s="121">
        <f>IF($C1008="","",IF($D1008="Gider",$H1008,$E1008))</f>
        <v/>
      </c>
      <c r="N1008" s="231">
        <f>IF($C1008="","",DATE(YEAR($C1008),MONTH($C1008),1))</f>
        <v/>
      </c>
      <c r="O1008" s="113">
        <f>IF($C1008="","",IF(AND($D1008&lt;&gt;"",$E1008&lt;&gt;"",$G1008&gt;0,$H1008&lt;&gt;"",$I1008&lt;&gt;""),IF($C1008&gt;TODAY(),"İLERİ TARİH","UYGUN"),"EKSİK"))</f>
        <v/>
      </c>
      <c r="P1008" s="6" t="n"/>
      <c r="Q1008" s="6" t="n"/>
      <c r="R1008" s="3" t="n"/>
      <c r="S1008" s="3" t="n"/>
      <c r="T1008" s="3" t="n"/>
      <c r="U1008" s="3" t="n"/>
      <c r="V1008" s="3" t="n"/>
      <c r="W1008" s="3" t="n"/>
    </row>
    <row r="1009">
      <c r="A1009" s="6" t="n"/>
      <c r="B1009" s="113">
        <f>IF($C1009="","","GG"&amp;TEXT(ROW()-6,"00000"))</f>
        <v/>
      </c>
      <c r="C1009" s="225" t="n"/>
      <c r="D1009" s="108" t="n"/>
      <c r="E1009" s="109" t="n"/>
      <c r="F1009" s="109" t="n"/>
      <c r="G1009" s="226" t="n"/>
      <c r="H1009" s="108" t="n"/>
      <c r="I1009" s="108" t="n"/>
      <c r="J1009" s="109" t="n"/>
      <c r="K1009" s="109" t="n"/>
      <c r="L1009" s="121">
        <f>IF($C1009="","",IF($D1009="Gider",$E1009,$H1009))</f>
        <v/>
      </c>
      <c r="M1009" s="121">
        <f>IF($C1009="","",IF($D1009="Gider",$H1009,$E1009))</f>
        <v/>
      </c>
      <c r="N1009" s="231">
        <f>IF($C1009="","",DATE(YEAR($C1009),MONTH($C1009),1))</f>
        <v/>
      </c>
      <c r="O1009" s="113">
        <f>IF($C1009="","",IF(AND($D1009&lt;&gt;"",$E1009&lt;&gt;"",$G1009&gt;0,$H1009&lt;&gt;"",$I1009&lt;&gt;""),IF($C1009&gt;TODAY(),"İLERİ TARİH","UYGUN"),"EKSİK"))</f>
        <v/>
      </c>
      <c r="P1009" s="6" t="n"/>
      <c r="Q1009" s="6" t="n"/>
      <c r="R1009" s="3" t="n"/>
      <c r="S1009" s="3" t="n"/>
      <c r="T1009" s="3" t="n"/>
      <c r="U1009" s="3" t="n"/>
      <c r="V1009" s="3" t="n"/>
      <c r="W1009" s="3" t="n"/>
    </row>
    <row r="1010">
      <c r="A1010" s="6" t="n"/>
      <c r="B1010" s="113">
        <f>IF($C1010="","","GG"&amp;TEXT(ROW()-6,"00000"))</f>
        <v/>
      </c>
      <c r="C1010" s="225" t="n"/>
      <c r="D1010" s="108" t="n"/>
      <c r="E1010" s="109" t="n"/>
      <c r="F1010" s="109" t="n"/>
      <c r="G1010" s="226" t="n"/>
      <c r="H1010" s="108" t="n"/>
      <c r="I1010" s="108" t="n"/>
      <c r="J1010" s="109" t="n"/>
      <c r="K1010" s="109" t="n"/>
      <c r="L1010" s="121">
        <f>IF($C1010="","",IF($D1010="Gider",$E1010,$H1010))</f>
        <v/>
      </c>
      <c r="M1010" s="121">
        <f>IF($C1010="","",IF($D1010="Gider",$H1010,$E1010))</f>
        <v/>
      </c>
      <c r="N1010" s="231">
        <f>IF($C1010="","",DATE(YEAR($C1010),MONTH($C1010),1))</f>
        <v/>
      </c>
      <c r="O1010" s="113">
        <f>IF($C1010="","",IF(AND($D1010&lt;&gt;"",$E1010&lt;&gt;"",$G1010&gt;0,$H1010&lt;&gt;"",$I1010&lt;&gt;""),IF($C1010&gt;TODAY(),"İLERİ TARİH","UYGUN"),"EKSİK"))</f>
        <v/>
      </c>
      <c r="P1010" s="6" t="n"/>
      <c r="Q1010" s="6" t="n"/>
      <c r="R1010" s="3" t="n"/>
      <c r="S1010" s="3" t="n"/>
      <c r="T1010" s="3" t="n"/>
      <c r="U1010" s="3" t="n"/>
      <c r="V1010" s="3" t="n"/>
      <c r="W1010" s="3" t="n"/>
    </row>
    <row r="1011">
      <c r="A1011" s="6" t="n"/>
      <c r="B1011" s="113">
        <f>IF($C1011="","","GG"&amp;TEXT(ROW()-6,"00000"))</f>
        <v/>
      </c>
      <c r="C1011" s="225" t="n"/>
      <c r="D1011" s="108" t="n"/>
      <c r="E1011" s="109" t="n"/>
      <c r="F1011" s="109" t="n"/>
      <c r="G1011" s="226" t="n"/>
      <c r="H1011" s="108" t="n"/>
      <c r="I1011" s="108" t="n"/>
      <c r="J1011" s="109" t="n"/>
      <c r="K1011" s="109" t="n"/>
      <c r="L1011" s="121">
        <f>IF($C1011="","",IF($D1011="Gider",$E1011,$H1011))</f>
        <v/>
      </c>
      <c r="M1011" s="121">
        <f>IF($C1011="","",IF($D1011="Gider",$H1011,$E1011))</f>
        <v/>
      </c>
      <c r="N1011" s="231">
        <f>IF($C1011="","",DATE(YEAR($C1011),MONTH($C1011),1))</f>
        <v/>
      </c>
      <c r="O1011" s="113">
        <f>IF($C1011="","",IF(AND($D1011&lt;&gt;"",$E1011&lt;&gt;"",$G1011&gt;0,$H1011&lt;&gt;"",$I1011&lt;&gt;""),IF($C1011&gt;TODAY(),"İLERİ TARİH","UYGUN"),"EKSİK"))</f>
        <v/>
      </c>
      <c r="P1011" s="6" t="n"/>
      <c r="Q1011" s="6" t="n"/>
      <c r="R1011" s="3" t="n"/>
      <c r="S1011" s="3" t="n"/>
      <c r="T1011" s="3" t="n"/>
      <c r="U1011" s="3" t="n"/>
      <c r="V1011" s="3" t="n"/>
      <c r="W1011" s="3" t="n"/>
    </row>
    <row r="1012">
      <c r="A1012" s="6" t="n"/>
      <c r="B1012" s="113">
        <f>IF($C1012="","","GG"&amp;TEXT(ROW()-6,"00000"))</f>
        <v/>
      </c>
      <c r="C1012" s="225" t="n"/>
      <c r="D1012" s="108" t="n"/>
      <c r="E1012" s="109" t="n"/>
      <c r="F1012" s="109" t="n"/>
      <c r="G1012" s="226" t="n"/>
      <c r="H1012" s="108" t="n"/>
      <c r="I1012" s="108" t="n"/>
      <c r="J1012" s="109" t="n"/>
      <c r="K1012" s="109" t="n"/>
      <c r="L1012" s="121">
        <f>IF($C1012="","",IF($D1012="Gider",$E1012,$H1012))</f>
        <v/>
      </c>
      <c r="M1012" s="121">
        <f>IF($C1012="","",IF($D1012="Gider",$H1012,$E1012))</f>
        <v/>
      </c>
      <c r="N1012" s="231">
        <f>IF($C1012="","",DATE(YEAR($C1012),MONTH($C1012),1))</f>
        <v/>
      </c>
      <c r="O1012" s="113">
        <f>IF($C1012="","",IF(AND($D1012&lt;&gt;"",$E1012&lt;&gt;"",$G1012&gt;0,$H1012&lt;&gt;"",$I1012&lt;&gt;""),IF($C1012&gt;TODAY(),"İLERİ TARİH","UYGUN"),"EKSİK"))</f>
        <v/>
      </c>
      <c r="P1012" s="6" t="n"/>
      <c r="Q1012" s="6" t="n"/>
      <c r="R1012" s="3" t="n"/>
      <c r="S1012" s="3" t="n"/>
      <c r="T1012" s="3" t="n"/>
      <c r="U1012" s="3" t="n"/>
      <c r="V1012" s="3" t="n"/>
      <c r="W1012" s="3" t="n"/>
    </row>
    <row r="1013">
      <c r="A1013" s="6" t="n"/>
      <c r="B1013" s="113">
        <f>IF($C1013="","","GG"&amp;TEXT(ROW()-6,"00000"))</f>
        <v/>
      </c>
      <c r="C1013" s="225" t="n"/>
      <c r="D1013" s="108" t="n"/>
      <c r="E1013" s="109" t="n"/>
      <c r="F1013" s="109" t="n"/>
      <c r="G1013" s="226" t="n"/>
      <c r="H1013" s="108" t="n"/>
      <c r="I1013" s="108" t="n"/>
      <c r="J1013" s="109" t="n"/>
      <c r="K1013" s="109" t="n"/>
      <c r="L1013" s="121">
        <f>IF($C1013="","",IF($D1013="Gider",$E1013,$H1013))</f>
        <v/>
      </c>
      <c r="M1013" s="121">
        <f>IF($C1013="","",IF($D1013="Gider",$H1013,$E1013))</f>
        <v/>
      </c>
      <c r="N1013" s="231">
        <f>IF($C1013="","",DATE(YEAR($C1013),MONTH($C1013),1))</f>
        <v/>
      </c>
      <c r="O1013" s="113">
        <f>IF($C1013="","",IF(AND($D1013&lt;&gt;"",$E1013&lt;&gt;"",$G1013&gt;0,$H1013&lt;&gt;"",$I1013&lt;&gt;""),IF($C1013&gt;TODAY(),"İLERİ TARİH","UYGUN"),"EKSİK"))</f>
        <v/>
      </c>
      <c r="P1013" s="6" t="n"/>
      <c r="Q1013" s="6" t="n"/>
      <c r="R1013" s="3" t="n"/>
      <c r="S1013" s="3" t="n"/>
      <c r="T1013" s="3" t="n"/>
      <c r="U1013" s="3" t="n"/>
      <c r="V1013" s="3" t="n"/>
      <c r="W1013" s="3" t="n"/>
    </row>
    <row r="1014">
      <c r="A1014" s="6" t="n"/>
      <c r="B1014" s="113">
        <f>IF($C1014="","","GG"&amp;TEXT(ROW()-6,"00000"))</f>
        <v/>
      </c>
      <c r="C1014" s="225" t="n"/>
      <c r="D1014" s="108" t="n"/>
      <c r="E1014" s="109" t="n"/>
      <c r="F1014" s="109" t="n"/>
      <c r="G1014" s="226" t="n"/>
      <c r="H1014" s="108" t="n"/>
      <c r="I1014" s="108" t="n"/>
      <c r="J1014" s="109" t="n"/>
      <c r="K1014" s="109" t="n"/>
      <c r="L1014" s="121">
        <f>IF($C1014="","",IF($D1014="Gider",$E1014,$H1014))</f>
        <v/>
      </c>
      <c r="M1014" s="121">
        <f>IF($C1014="","",IF($D1014="Gider",$H1014,$E1014))</f>
        <v/>
      </c>
      <c r="N1014" s="231">
        <f>IF($C1014="","",DATE(YEAR($C1014),MONTH($C1014),1))</f>
        <v/>
      </c>
      <c r="O1014" s="113">
        <f>IF($C1014="","",IF(AND($D1014&lt;&gt;"",$E1014&lt;&gt;"",$G1014&gt;0,$H1014&lt;&gt;"",$I1014&lt;&gt;""),IF($C1014&gt;TODAY(),"İLERİ TARİH","UYGUN"),"EKSİK"))</f>
        <v/>
      </c>
      <c r="P1014" s="6" t="n"/>
      <c r="Q1014" s="6" t="n"/>
      <c r="R1014" s="3" t="n"/>
      <c r="S1014" s="3" t="n"/>
      <c r="T1014" s="3" t="n"/>
      <c r="U1014" s="3" t="n"/>
      <c r="V1014" s="3" t="n"/>
      <c r="W1014" s="3" t="n"/>
    </row>
    <row r="1015">
      <c r="A1015" s="6" t="n"/>
      <c r="B1015" s="113">
        <f>IF($C1015="","","GG"&amp;TEXT(ROW()-6,"00000"))</f>
        <v/>
      </c>
      <c r="C1015" s="225" t="n"/>
      <c r="D1015" s="108" t="n"/>
      <c r="E1015" s="109" t="n"/>
      <c r="F1015" s="109" t="n"/>
      <c r="G1015" s="226" t="n"/>
      <c r="H1015" s="108" t="n"/>
      <c r="I1015" s="108" t="n"/>
      <c r="J1015" s="109" t="n"/>
      <c r="K1015" s="109" t="n"/>
      <c r="L1015" s="121">
        <f>IF($C1015="","",IF($D1015="Gider",$E1015,$H1015))</f>
        <v/>
      </c>
      <c r="M1015" s="121">
        <f>IF($C1015="","",IF($D1015="Gider",$H1015,$E1015))</f>
        <v/>
      </c>
      <c r="N1015" s="231">
        <f>IF($C1015="","",DATE(YEAR($C1015),MONTH($C1015),1))</f>
        <v/>
      </c>
      <c r="O1015" s="113">
        <f>IF($C1015="","",IF(AND($D1015&lt;&gt;"",$E1015&lt;&gt;"",$G1015&gt;0,$H1015&lt;&gt;"",$I1015&lt;&gt;""),IF($C1015&gt;TODAY(),"İLERİ TARİH","UYGUN"),"EKSİK"))</f>
        <v/>
      </c>
      <c r="P1015" s="6" t="n"/>
      <c r="Q1015" s="6" t="n"/>
      <c r="R1015" s="3" t="n"/>
      <c r="S1015" s="3" t="n"/>
      <c r="T1015" s="3" t="n"/>
      <c r="U1015" s="3" t="n"/>
      <c r="V1015" s="3" t="n"/>
      <c r="W1015" s="3" t="n"/>
    </row>
    <row r="1016">
      <c r="A1016" s="6" t="n"/>
      <c r="B1016" s="113">
        <f>IF($C1016="","","GG"&amp;TEXT(ROW()-6,"00000"))</f>
        <v/>
      </c>
      <c r="C1016" s="225" t="n"/>
      <c r="D1016" s="108" t="n"/>
      <c r="E1016" s="109" t="n"/>
      <c r="F1016" s="109" t="n"/>
      <c r="G1016" s="226" t="n"/>
      <c r="H1016" s="108" t="n"/>
      <c r="I1016" s="108" t="n"/>
      <c r="J1016" s="109" t="n"/>
      <c r="K1016" s="109" t="n"/>
      <c r="L1016" s="121">
        <f>IF($C1016="","",IF($D1016="Gider",$E1016,$H1016))</f>
        <v/>
      </c>
      <c r="M1016" s="121">
        <f>IF($C1016="","",IF($D1016="Gider",$H1016,$E1016))</f>
        <v/>
      </c>
      <c r="N1016" s="231">
        <f>IF($C1016="","",DATE(YEAR($C1016),MONTH($C1016),1))</f>
        <v/>
      </c>
      <c r="O1016" s="113">
        <f>IF($C1016="","",IF(AND($D1016&lt;&gt;"",$E1016&lt;&gt;"",$G1016&gt;0,$H1016&lt;&gt;"",$I1016&lt;&gt;""),IF($C1016&gt;TODAY(),"İLERİ TARİH","UYGUN"),"EKSİK"))</f>
        <v/>
      </c>
      <c r="P1016" s="6" t="n"/>
      <c r="Q1016" s="6" t="n"/>
      <c r="R1016" s="3" t="n"/>
      <c r="S1016" s="3" t="n"/>
      <c r="T1016" s="3" t="n"/>
      <c r="U1016" s="3" t="n"/>
      <c r="V1016" s="3" t="n"/>
      <c r="W1016" s="3" t="n"/>
    </row>
    <row r="1017">
      <c r="A1017" s="6" t="n"/>
      <c r="B1017" s="113">
        <f>IF($C1017="","","GG"&amp;TEXT(ROW()-6,"00000"))</f>
        <v/>
      </c>
      <c r="C1017" s="225" t="n"/>
      <c r="D1017" s="108" t="n"/>
      <c r="E1017" s="109" t="n"/>
      <c r="F1017" s="109" t="n"/>
      <c r="G1017" s="226" t="n"/>
      <c r="H1017" s="108" t="n"/>
      <c r="I1017" s="108" t="n"/>
      <c r="J1017" s="109" t="n"/>
      <c r="K1017" s="109" t="n"/>
      <c r="L1017" s="121">
        <f>IF($C1017="","",IF($D1017="Gider",$E1017,$H1017))</f>
        <v/>
      </c>
      <c r="M1017" s="121">
        <f>IF($C1017="","",IF($D1017="Gider",$H1017,$E1017))</f>
        <v/>
      </c>
      <c r="N1017" s="231">
        <f>IF($C1017="","",DATE(YEAR($C1017),MONTH($C1017),1))</f>
        <v/>
      </c>
      <c r="O1017" s="113">
        <f>IF($C1017="","",IF(AND($D1017&lt;&gt;"",$E1017&lt;&gt;"",$G1017&gt;0,$H1017&lt;&gt;"",$I1017&lt;&gt;""),IF($C1017&gt;TODAY(),"İLERİ TARİH","UYGUN"),"EKSİK"))</f>
        <v/>
      </c>
      <c r="P1017" s="6" t="n"/>
      <c r="Q1017" s="6" t="n"/>
      <c r="R1017" s="3" t="n"/>
      <c r="S1017" s="3" t="n"/>
      <c r="T1017" s="3" t="n"/>
      <c r="U1017" s="3" t="n"/>
      <c r="V1017" s="3" t="n"/>
      <c r="W1017" s="3" t="n"/>
    </row>
    <row r="1018">
      <c r="A1018" s="6" t="n"/>
      <c r="B1018" s="113">
        <f>IF($C1018="","","GG"&amp;TEXT(ROW()-6,"00000"))</f>
        <v/>
      </c>
      <c r="C1018" s="225" t="n"/>
      <c r="D1018" s="108" t="n"/>
      <c r="E1018" s="109" t="n"/>
      <c r="F1018" s="109" t="n"/>
      <c r="G1018" s="226" t="n"/>
      <c r="H1018" s="108" t="n"/>
      <c r="I1018" s="108" t="n"/>
      <c r="J1018" s="109" t="n"/>
      <c r="K1018" s="109" t="n"/>
      <c r="L1018" s="121">
        <f>IF($C1018="","",IF($D1018="Gider",$E1018,$H1018))</f>
        <v/>
      </c>
      <c r="M1018" s="121">
        <f>IF($C1018="","",IF($D1018="Gider",$H1018,$E1018))</f>
        <v/>
      </c>
      <c r="N1018" s="231">
        <f>IF($C1018="","",DATE(YEAR($C1018),MONTH($C1018),1))</f>
        <v/>
      </c>
      <c r="O1018" s="113">
        <f>IF($C1018="","",IF(AND($D1018&lt;&gt;"",$E1018&lt;&gt;"",$G1018&gt;0,$H1018&lt;&gt;"",$I1018&lt;&gt;""),IF($C1018&gt;TODAY(),"İLERİ TARİH","UYGUN"),"EKSİK"))</f>
        <v/>
      </c>
      <c r="P1018" s="6" t="n"/>
      <c r="Q1018" s="6" t="n"/>
      <c r="R1018" s="3" t="n"/>
      <c r="S1018" s="3" t="n"/>
      <c r="T1018" s="3" t="n"/>
      <c r="U1018" s="3" t="n"/>
      <c r="V1018" s="3" t="n"/>
      <c r="W1018" s="3" t="n"/>
    </row>
    <row r="1019">
      <c r="A1019" s="6" t="n"/>
      <c r="B1019" s="113">
        <f>IF($C1019="","","GG"&amp;TEXT(ROW()-6,"00000"))</f>
        <v/>
      </c>
      <c r="C1019" s="225" t="n"/>
      <c r="D1019" s="108" t="n"/>
      <c r="E1019" s="109" t="n"/>
      <c r="F1019" s="109" t="n"/>
      <c r="G1019" s="226" t="n"/>
      <c r="H1019" s="108" t="n"/>
      <c r="I1019" s="108" t="n"/>
      <c r="J1019" s="109" t="n"/>
      <c r="K1019" s="109" t="n"/>
      <c r="L1019" s="121">
        <f>IF($C1019="","",IF($D1019="Gider",$E1019,$H1019))</f>
        <v/>
      </c>
      <c r="M1019" s="121">
        <f>IF($C1019="","",IF($D1019="Gider",$H1019,$E1019))</f>
        <v/>
      </c>
      <c r="N1019" s="231">
        <f>IF($C1019="","",DATE(YEAR($C1019),MONTH($C1019),1))</f>
        <v/>
      </c>
      <c r="O1019" s="113">
        <f>IF($C1019="","",IF(AND($D1019&lt;&gt;"",$E1019&lt;&gt;"",$G1019&gt;0,$H1019&lt;&gt;"",$I1019&lt;&gt;""),IF($C1019&gt;TODAY(),"İLERİ TARİH","UYGUN"),"EKSİK"))</f>
        <v/>
      </c>
      <c r="P1019" s="6" t="n"/>
      <c r="Q1019" s="6" t="n"/>
      <c r="R1019" s="3" t="n"/>
      <c r="S1019" s="3" t="n"/>
      <c r="T1019" s="3" t="n"/>
      <c r="U1019" s="3" t="n"/>
      <c r="V1019" s="3" t="n"/>
      <c r="W1019" s="3" t="n"/>
    </row>
    <row r="1020">
      <c r="A1020" s="6" t="n"/>
      <c r="B1020" s="113">
        <f>IF($C1020="","","GG"&amp;TEXT(ROW()-6,"00000"))</f>
        <v/>
      </c>
      <c r="C1020" s="225" t="n"/>
      <c r="D1020" s="108" t="n"/>
      <c r="E1020" s="109" t="n"/>
      <c r="F1020" s="109" t="n"/>
      <c r="G1020" s="226" t="n"/>
      <c r="H1020" s="108" t="n"/>
      <c r="I1020" s="108" t="n"/>
      <c r="J1020" s="109" t="n"/>
      <c r="K1020" s="109" t="n"/>
      <c r="L1020" s="121">
        <f>IF($C1020="","",IF($D1020="Gider",$E1020,$H1020))</f>
        <v/>
      </c>
      <c r="M1020" s="121">
        <f>IF($C1020="","",IF($D1020="Gider",$H1020,$E1020))</f>
        <v/>
      </c>
      <c r="N1020" s="231">
        <f>IF($C1020="","",DATE(YEAR($C1020),MONTH($C1020),1))</f>
        <v/>
      </c>
      <c r="O1020" s="113">
        <f>IF($C1020="","",IF(AND($D1020&lt;&gt;"",$E1020&lt;&gt;"",$G1020&gt;0,$H1020&lt;&gt;"",$I1020&lt;&gt;""),IF($C1020&gt;TODAY(),"İLERİ TARİH","UYGUN"),"EKSİK"))</f>
        <v/>
      </c>
      <c r="P1020" s="6" t="n"/>
      <c r="Q1020" s="6" t="n"/>
      <c r="R1020" s="3" t="n"/>
      <c r="S1020" s="3" t="n"/>
      <c r="T1020" s="3" t="n"/>
      <c r="U1020" s="3" t="n"/>
      <c r="V1020" s="3" t="n"/>
      <c r="W1020" s="3" t="n"/>
    </row>
    <row r="1021">
      <c r="A1021" s="6" t="n"/>
      <c r="B1021" s="113">
        <f>IF($C1021="","","GG"&amp;TEXT(ROW()-6,"00000"))</f>
        <v/>
      </c>
      <c r="C1021" s="225" t="n"/>
      <c r="D1021" s="108" t="n"/>
      <c r="E1021" s="109" t="n"/>
      <c r="F1021" s="109" t="n"/>
      <c r="G1021" s="226" t="n"/>
      <c r="H1021" s="108" t="n"/>
      <c r="I1021" s="108" t="n"/>
      <c r="J1021" s="109" t="n"/>
      <c r="K1021" s="109" t="n"/>
      <c r="L1021" s="121">
        <f>IF($C1021="","",IF($D1021="Gider",$E1021,$H1021))</f>
        <v/>
      </c>
      <c r="M1021" s="121">
        <f>IF($C1021="","",IF($D1021="Gider",$H1021,$E1021))</f>
        <v/>
      </c>
      <c r="N1021" s="231">
        <f>IF($C1021="","",DATE(YEAR($C1021),MONTH($C1021),1))</f>
        <v/>
      </c>
      <c r="O1021" s="113">
        <f>IF($C1021="","",IF(AND($D1021&lt;&gt;"",$E1021&lt;&gt;"",$G1021&gt;0,$H1021&lt;&gt;"",$I1021&lt;&gt;""),IF($C1021&gt;TODAY(),"İLERİ TARİH","UYGUN"),"EKSİK"))</f>
        <v/>
      </c>
      <c r="P1021" s="6" t="n"/>
      <c r="Q1021" s="6" t="n"/>
      <c r="R1021" s="3" t="n"/>
      <c r="S1021" s="3" t="n"/>
      <c r="T1021" s="3" t="n"/>
      <c r="U1021" s="3" t="n"/>
      <c r="V1021" s="3" t="n"/>
      <c r="W1021" s="3" t="n"/>
    </row>
    <row r="1022">
      <c r="A1022" s="6" t="n"/>
      <c r="B1022" s="113">
        <f>IF($C1022="","","GG"&amp;TEXT(ROW()-6,"00000"))</f>
        <v/>
      </c>
      <c r="C1022" s="225" t="n"/>
      <c r="D1022" s="108" t="n"/>
      <c r="E1022" s="109" t="n"/>
      <c r="F1022" s="109" t="n"/>
      <c r="G1022" s="226" t="n"/>
      <c r="H1022" s="108" t="n"/>
      <c r="I1022" s="108" t="n"/>
      <c r="J1022" s="109" t="n"/>
      <c r="K1022" s="109" t="n"/>
      <c r="L1022" s="121">
        <f>IF($C1022="","",IF($D1022="Gider",$E1022,$H1022))</f>
        <v/>
      </c>
      <c r="M1022" s="121">
        <f>IF($C1022="","",IF($D1022="Gider",$H1022,$E1022))</f>
        <v/>
      </c>
      <c r="N1022" s="231">
        <f>IF($C1022="","",DATE(YEAR($C1022),MONTH($C1022),1))</f>
        <v/>
      </c>
      <c r="O1022" s="113">
        <f>IF($C1022="","",IF(AND($D1022&lt;&gt;"",$E1022&lt;&gt;"",$G1022&gt;0,$H1022&lt;&gt;"",$I1022&lt;&gt;""),IF($C1022&gt;TODAY(),"İLERİ TARİH","UYGUN"),"EKSİK"))</f>
        <v/>
      </c>
      <c r="P1022" s="6" t="n"/>
      <c r="Q1022" s="6" t="n"/>
      <c r="R1022" s="3" t="n"/>
      <c r="S1022" s="3" t="n"/>
      <c r="T1022" s="3" t="n"/>
      <c r="U1022" s="3" t="n"/>
      <c r="V1022" s="3" t="n"/>
      <c r="W1022" s="3" t="n"/>
    </row>
    <row r="1023">
      <c r="A1023" s="6" t="n"/>
      <c r="B1023" s="113">
        <f>IF($C1023="","","GG"&amp;TEXT(ROW()-6,"00000"))</f>
        <v/>
      </c>
      <c r="C1023" s="225" t="n"/>
      <c r="D1023" s="108" t="n"/>
      <c r="E1023" s="109" t="n"/>
      <c r="F1023" s="109" t="n"/>
      <c r="G1023" s="226" t="n"/>
      <c r="H1023" s="108" t="n"/>
      <c r="I1023" s="108" t="n"/>
      <c r="J1023" s="109" t="n"/>
      <c r="K1023" s="109" t="n"/>
      <c r="L1023" s="121">
        <f>IF($C1023="","",IF($D1023="Gider",$E1023,$H1023))</f>
        <v/>
      </c>
      <c r="M1023" s="121">
        <f>IF($C1023="","",IF($D1023="Gider",$H1023,$E1023))</f>
        <v/>
      </c>
      <c r="N1023" s="231">
        <f>IF($C1023="","",DATE(YEAR($C1023),MONTH($C1023),1))</f>
        <v/>
      </c>
      <c r="O1023" s="113">
        <f>IF($C1023="","",IF(AND($D1023&lt;&gt;"",$E1023&lt;&gt;"",$G1023&gt;0,$H1023&lt;&gt;"",$I1023&lt;&gt;""),IF($C1023&gt;TODAY(),"İLERİ TARİH","UYGUN"),"EKSİK"))</f>
        <v/>
      </c>
      <c r="P1023" s="6" t="n"/>
      <c r="Q1023" s="6" t="n"/>
      <c r="R1023" s="3" t="n"/>
      <c r="S1023" s="3" t="n"/>
      <c r="T1023" s="3" t="n"/>
      <c r="U1023" s="3" t="n"/>
      <c r="V1023" s="3" t="n"/>
      <c r="W1023" s="3" t="n"/>
    </row>
    <row r="1024">
      <c r="A1024" s="6" t="n"/>
      <c r="B1024" s="113">
        <f>IF($C1024="","","GG"&amp;TEXT(ROW()-6,"00000"))</f>
        <v/>
      </c>
      <c r="C1024" s="225" t="n"/>
      <c r="D1024" s="108" t="n"/>
      <c r="E1024" s="109" t="n"/>
      <c r="F1024" s="109" t="n"/>
      <c r="G1024" s="226" t="n"/>
      <c r="H1024" s="108" t="n"/>
      <c r="I1024" s="108" t="n"/>
      <c r="J1024" s="109" t="n"/>
      <c r="K1024" s="109" t="n"/>
      <c r="L1024" s="121">
        <f>IF($C1024="","",IF($D1024="Gider",$E1024,$H1024))</f>
        <v/>
      </c>
      <c r="M1024" s="121">
        <f>IF($C1024="","",IF($D1024="Gider",$H1024,$E1024))</f>
        <v/>
      </c>
      <c r="N1024" s="231">
        <f>IF($C1024="","",DATE(YEAR($C1024),MONTH($C1024),1))</f>
        <v/>
      </c>
      <c r="O1024" s="113">
        <f>IF($C1024="","",IF(AND($D1024&lt;&gt;"",$E1024&lt;&gt;"",$G1024&gt;0,$H1024&lt;&gt;"",$I1024&lt;&gt;""),IF($C1024&gt;TODAY(),"İLERİ TARİH","UYGUN"),"EKSİK"))</f>
        <v/>
      </c>
      <c r="P1024" s="6" t="n"/>
      <c r="Q1024" s="6" t="n"/>
      <c r="R1024" s="3" t="n"/>
      <c r="S1024" s="3" t="n"/>
      <c r="T1024" s="3" t="n"/>
      <c r="U1024" s="3" t="n"/>
      <c r="V1024" s="3" t="n"/>
      <c r="W1024" s="3" t="n"/>
    </row>
    <row r="1025">
      <c r="A1025" s="6" t="n"/>
      <c r="B1025" s="113">
        <f>IF($C1025="","","GG"&amp;TEXT(ROW()-6,"00000"))</f>
        <v/>
      </c>
      <c r="C1025" s="225" t="n"/>
      <c r="D1025" s="108" t="n"/>
      <c r="E1025" s="109" t="n"/>
      <c r="F1025" s="109" t="n"/>
      <c r="G1025" s="226" t="n"/>
      <c r="H1025" s="108" t="n"/>
      <c r="I1025" s="108" t="n"/>
      <c r="J1025" s="109" t="n"/>
      <c r="K1025" s="109" t="n"/>
      <c r="L1025" s="121">
        <f>IF($C1025="","",IF($D1025="Gider",$E1025,$H1025))</f>
        <v/>
      </c>
      <c r="M1025" s="121">
        <f>IF($C1025="","",IF($D1025="Gider",$H1025,$E1025))</f>
        <v/>
      </c>
      <c r="N1025" s="231">
        <f>IF($C1025="","",DATE(YEAR($C1025),MONTH($C1025),1))</f>
        <v/>
      </c>
      <c r="O1025" s="113">
        <f>IF($C1025="","",IF(AND($D1025&lt;&gt;"",$E1025&lt;&gt;"",$G1025&gt;0,$H1025&lt;&gt;"",$I1025&lt;&gt;""),IF($C1025&gt;TODAY(),"İLERİ TARİH","UYGUN"),"EKSİK"))</f>
        <v/>
      </c>
      <c r="P1025" s="6" t="n"/>
      <c r="Q1025" s="6" t="n"/>
      <c r="R1025" s="3" t="n"/>
      <c r="S1025" s="3" t="n"/>
      <c r="T1025" s="3" t="n"/>
      <c r="U1025" s="3" t="n"/>
      <c r="V1025" s="3" t="n"/>
      <c r="W1025" s="3" t="n"/>
    </row>
    <row r="1026">
      <c r="A1026" s="6" t="n"/>
      <c r="B1026" s="113">
        <f>IF($C1026="","","GG"&amp;TEXT(ROW()-6,"00000"))</f>
        <v/>
      </c>
      <c r="C1026" s="225" t="n"/>
      <c r="D1026" s="108" t="n"/>
      <c r="E1026" s="109" t="n"/>
      <c r="F1026" s="109" t="n"/>
      <c r="G1026" s="226" t="n"/>
      <c r="H1026" s="108" t="n"/>
      <c r="I1026" s="108" t="n"/>
      <c r="J1026" s="109" t="n"/>
      <c r="K1026" s="109" t="n"/>
      <c r="L1026" s="121">
        <f>IF($C1026="","",IF($D1026="Gider",$E1026,$H1026))</f>
        <v/>
      </c>
      <c r="M1026" s="121">
        <f>IF($C1026="","",IF($D1026="Gider",$H1026,$E1026))</f>
        <v/>
      </c>
      <c r="N1026" s="231">
        <f>IF($C1026="","",DATE(YEAR($C1026),MONTH($C1026),1))</f>
        <v/>
      </c>
      <c r="O1026" s="113">
        <f>IF($C1026="","",IF(AND($D1026&lt;&gt;"",$E1026&lt;&gt;"",$G1026&gt;0,$H1026&lt;&gt;"",$I1026&lt;&gt;""),IF($C1026&gt;TODAY(),"İLERİ TARİH","UYGUN"),"EKSİK"))</f>
        <v/>
      </c>
      <c r="P1026" s="6" t="n"/>
      <c r="Q1026" s="6" t="n"/>
      <c r="R1026" s="3" t="n"/>
      <c r="S1026" s="3" t="n"/>
      <c r="T1026" s="3" t="n"/>
      <c r="U1026" s="3" t="n"/>
      <c r="V1026" s="3" t="n"/>
      <c r="W1026" s="3" t="n"/>
    </row>
    <row r="1027">
      <c r="A1027" s="6" t="n"/>
      <c r="B1027" s="113">
        <f>IF($C1027="","","GG"&amp;TEXT(ROW()-6,"00000"))</f>
        <v/>
      </c>
      <c r="C1027" s="225" t="n"/>
      <c r="D1027" s="108" t="n"/>
      <c r="E1027" s="109" t="n"/>
      <c r="F1027" s="109" t="n"/>
      <c r="G1027" s="226" t="n"/>
      <c r="H1027" s="108" t="n"/>
      <c r="I1027" s="108" t="n"/>
      <c r="J1027" s="109" t="n"/>
      <c r="K1027" s="109" t="n"/>
      <c r="L1027" s="121">
        <f>IF($C1027="","",IF($D1027="Gider",$E1027,$H1027))</f>
        <v/>
      </c>
      <c r="M1027" s="121">
        <f>IF($C1027="","",IF($D1027="Gider",$H1027,$E1027))</f>
        <v/>
      </c>
      <c r="N1027" s="231">
        <f>IF($C1027="","",DATE(YEAR($C1027),MONTH($C1027),1))</f>
        <v/>
      </c>
      <c r="O1027" s="113">
        <f>IF($C1027="","",IF(AND($D1027&lt;&gt;"",$E1027&lt;&gt;"",$G1027&gt;0,$H1027&lt;&gt;"",$I1027&lt;&gt;""),IF($C1027&gt;TODAY(),"İLERİ TARİH","UYGUN"),"EKSİK"))</f>
        <v/>
      </c>
      <c r="P1027" s="6" t="n"/>
      <c r="Q1027" s="6" t="n"/>
      <c r="R1027" s="3" t="n"/>
      <c r="S1027" s="3" t="n"/>
      <c r="T1027" s="3" t="n"/>
      <c r="U1027" s="3" t="n"/>
      <c r="V1027" s="3" t="n"/>
      <c r="W1027" s="3" t="n"/>
    </row>
    <row r="1028">
      <c r="A1028" s="6" t="n"/>
      <c r="B1028" s="113">
        <f>IF($C1028="","","GG"&amp;TEXT(ROW()-6,"00000"))</f>
        <v/>
      </c>
      <c r="C1028" s="225" t="n"/>
      <c r="D1028" s="108" t="n"/>
      <c r="E1028" s="109" t="n"/>
      <c r="F1028" s="109" t="n"/>
      <c r="G1028" s="226" t="n"/>
      <c r="H1028" s="108" t="n"/>
      <c r="I1028" s="108" t="n"/>
      <c r="J1028" s="109" t="n"/>
      <c r="K1028" s="109" t="n"/>
      <c r="L1028" s="121">
        <f>IF($C1028="","",IF($D1028="Gider",$E1028,$H1028))</f>
        <v/>
      </c>
      <c r="M1028" s="121">
        <f>IF($C1028="","",IF($D1028="Gider",$H1028,$E1028))</f>
        <v/>
      </c>
      <c r="N1028" s="231">
        <f>IF($C1028="","",DATE(YEAR($C1028),MONTH($C1028),1))</f>
        <v/>
      </c>
      <c r="O1028" s="113">
        <f>IF($C1028="","",IF(AND($D1028&lt;&gt;"",$E1028&lt;&gt;"",$G1028&gt;0,$H1028&lt;&gt;"",$I1028&lt;&gt;""),IF($C1028&gt;TODAY(),"İLERİ TARİH","UYGUN"),"EKSİK"))</f>
        <v/>
      </c>
      <c r="P1028" s="6" t="n"/>
      <c r="Q1028" s="6" t="n"/>
      <c r="R1028" s="3" t="n"/>
      <c r="S1028" s="3" t="n"/>
      <c r="T1028" s="3" t="n"/>
      <c r="U1028" s="3" t="n"/>
      <c r="V1028" s="3" t="n"/>
      <c r="W1028" s="3" t="n"/>
    </row>
    <row r="1029">
      <c r="A1029" s="6" t="n"/>
      <c r="B1029" s="113">
        <f>IF($C1029="","","GG"&amp;TEXT(ROW()-6,"00000"))</f>
        <v/>
      </c>
      <c r="C1029" s="225" t="n"/>
      <c r="D1029" s="108" t="n"/>
      <c r="E1029" s="109" t="n"/>
      <c r="F1029" s="109" t="n"/>
      <c r="G1029" s="226" t="n"/>
      <c r="H1029" s="108" t="n"/>
      <c r="I1029" s="108" t="n"/>
      <c r="J1029" s="109" t="n"/>
      <c r="K1029" s="109" t="n"/>
      <c r="L1029" s="121">
        <f>IF($C1029="","",IF($D1029="Gider",$E1029,$H1029))</f>
        <v/>
      </c>
      <c r="M1029" s="121">
        <f>IF($C1029="","",IF($D1029="Gider",$H1029,$E1029))</f>
        <v/>
      </c>
      <c r="N1029" s="231">
        <f>IF($C1029="","",DATE(YEAR($C1029),MONTH($C1029),1))</f>
        <v/>
      </c>
      <c r="O1029" s="113">
        <f>IF($C1029="","",IF(AND($D1029&lt;&gt;"",$E1029&lt;&gt;"",$G1029&gt;0,$H1029&lt;&gt;"",$I1029&lt;&gt;""),IF($C1029&gt;TODAY(),"İLERİ TARİH","UYGUN"),"EKSİK"))</f>
        <v/>
      </c>
      <c r="P1029" s="6" t="n"/>
      <c r="Q1029" s="6" t="n"/>
      <c r="R1029" s="3" t="n"/>
      <c r="S1029" s="3" t="n"/>
      <c r="T1029" s="3" t="n"/>
      <c r="U1029" s="3" t="n"/>
      <c r="V1029" s="3" t="n"/>
      <c r="W1029" s="3" t="n"/>
    </row>
    <row r="1030">
      <c r="A1030" s="6" t="n"/>
      <c r="B1030" s="113">
        <f>IF($C1030="","","GG"&amp;TEXT(ROW()-6,"00000"))</f>
        <v/>
      </c>
      <c r="C1030" s="225" t="n"/>
      <c r="D1030" s="108" t="n"/>
      <c r="E1030" s="109" t="n"/>
      <c r="F1030" s="109" t="n"/>
      <c r="G1030" s="226" t="n"/>
      <c r="H1030" s="108" t="n"/>
      <c r="I1030" s="108" t="n"/>
      <c r="J1030" s="109" t="n"/>
      <c r="K1030" s="109" t="n"/>
      <c r="L1030" s="121">
        <f>IF($C1030="","",IF($D1030="Gider",$E1030,$H1030))</f>
        <v/>
      </c>
      <c r="M1030" s="121">
        <f>IF($C1030="","",IF($D1030="Gider",$H1030,$E1030))</f>
        <v/>
      </c>
      <c r="N1030" s="231">
        <f>IF($C1030="","",DATE(YEAR($C1030),MONTH($C1030),1))</f>
        <v/>
      </c>
      <c r="O1030" s="113">
        <f>IF($C1030="","",IF(AND($D1030&lt;&gt;"",$E1030&lt;&gt;"",$G1030&gt;0,$H1030&lt;&gt;"",$I1030&lt;&gt;""),IF($C1030&gt;TODAY(),"İLERİ TARİH","UYGUN"),"EKSİK"))</f>
        <v/>
      </c>
      <c r="P1030" s="6" t="n"/>
      <c r="Q1030" s="6" t="n"/>
      <c r="R1030" s="3" t="n"/>
      <c r="S1030" s="3" t="n"/>
      <c r="T1030" s="3" t="n"/>
      <c r="U1030" s="3" t="n"/>
      <c r="V1030" s="3" t="n"/>
      <c r="W1030" s="3" t="n"/>
    </row>
    <row r="1031">
      <c r="A1031" s="6" t="n"/>
      <c r="B1031" s="113">
        <f>IF($C1031="","","GG"&amp;TEXT(ROW()-6,"00000"))</f>
        <v/>
      </c>
      <c r="C1031" s="225" t="n"/>
      <c r="D1031" s="108" t="n"/>
      <c r="E1031" s="109" t="n"/>
      <c r="F1031" s="109" t="n"/>
      <c r="G1031" s="226" t="n"/>
      <c r="H1031" s="108" t="n"/>
      <c r="I1031" s="108" t="n"/>
      <c r="J1031" s="109" t="n"/>
      <c r="K1031" s="109" t="n"/>
      <c r="L1031" s="121">
        <f>IF($C1031="","",IF($D1031="Gider",$E1031,$H1031))</f>
        <v/>
      </c>
      <c r="M1031" s="121">
        <f>IF($C1031="","",IF($D1031="Gider",$H1031,$E1031))</f>
        <v/>
      </c>
      <c r="N1031" s="231">
        <f>IF($C1031="","",DATE(YEAR($C1031),MONTH($C1031),1))</f>
        <v/>
      </c>
      <c r="O1031" s="113">
        <f>IF($C1031="","",IF(AND($D1031&lt;&gt;"",$E1031&lt;&gt;"",$G1031&gt;0,$H1031&lt;&gt;"",$I1031&lt;&gt;""),IF($C1031&gt;TODAY(),"İLERİ TARİH","UYGUN"),"EKSİK"))</f>
        <v/>
      </c>
      <c r="P1031" s="6" t="n"/>
      <c r="Q1031" s="6" t="n"/>
      <c r="R1031" s="3" t="n"/>
      <c r="S1031" s="3" t="n"/>
      <c r="T1031" s="3" t="n"/>
      <c r="U1031" s="3" t="n"/>
      <c r="V1031" s="3" t="n"/>
      <c r="W1031" s="3" t="n"/>
    </row>
    <row r="1032">
      <c r="A1032" s="6" t="n"/>
      <c r="B1032" s="113">
        <f>IF($C1032="","","GG"&amp;TEXT(ROW()-6,"00000"))</f>
        <v/>
      </c>
      <c r="C1032" s="225" t="n"/>
      <c r="D1032" s="108" t="n"/>
      <c r="E1032" s="109" t="n"/>
      <c r="F1032" s="109" t="n"/>
      <c r="G1032" s="226" t="n"/>
      <c r="H1032" s="108" t="n"/>
      <c r="I1032" s="108" t="n"/>
      <c r="J1032" s="109" t="n"/>
      <c r="K1032" s="109" t="n"/>
      <c r="L1032" s="121">
        <f>IF($C1032="","",IF($D1032="Gider",$E1032,$H1032))</f>
        <v/>
      </c>
      <c r="M1032" s="121">
        <f>IF($C1032="","",IF($D1032="Gider",$H1032,$E1032))</f>
        <v/>
      </c>
      <c r="N1032" s="231">
        <f>IF($C1032="","",DATE(YEAR($C1032),MONTH($C1032),1))</f>
        <v/>
      </c>
      <c r="O1032" s="113">
        <f>IF($C1032="","",IF(AND($D1032&lt;&gt;"",$E1032&lt;&gt;"",$G1032&gt;0,$H1032&lt;&gt;"",$I1032&lt;&gt;""),IF($C1032&gt;TODAY(),"İLERİ TARİH","UYGUN"),"EKSİK"))</f>
        <v/>
      </c>
      <c r="P1032" s="6" t="n"/>
      <c r="Q1032" s="6" t="n"/>
      <c r="R1032" s="3" t="n"/>
      <c r="S1032" s="3" t="n"/>
      <c r="T1032" s="3" t="n"/>
      <c r="U1032" s="3" t="n"/>
      <c r="V1032" s="3" t="n"/>
      <c r="W1032" s="3" t="n"/>
    </row>
    <row r="1033">
      <c r="A1033" s="6" t="n"/>
      <c r="B1033" s="113">
        <f>IF($C1033="","","GG"&amp;TEXT(ROW()-6,"00000"))</f>
        <v/>
      </c>
      <c r="C1033" s="225" t="n"/>
      <c r="D1033" s="108" t="n"/>
      <c r="E1033" s="109" t="n"/>
      <c r="F1033" s="109" t="n"/>
      <c r="G1033" s="226" t="n"/>
      <c r="H1033" s="108" t="n"/>
      <c r="I1033" s="108" t="n"/>
      <c r="J1033" s="109" t="n"/>
      <c r="K1033" s="109" t="n"/>
      <c r="L1033" s="121">
        <f>IF($C1033="","",IF($D1033="Gider",$E1033,$H1033))</f>
        <v/>
      </c>
      <c r="M1033" s="121">
        <f>IF($C1033="","",IF($D1033="Gider",$H1033,$E1033))</f>
        <v/>
      </c>
      <c r="N1033" s="231">
        <f>IF($C1033="","",DATE(YEAR($C1033),MONTH($C1033),1))</f>
        <v/>
      </c>
      <c r="O1033" s="113">
        <f>IF($C1033="","",IF(AND($D1033&lt;&gt;"",$E1033&lt;&gt;"",$G1033&gt;0,$H1033&lt;&gt;"",$I1033&lt;&gt;""),IF($C1033&gt;TODAY(),"İLERİ TARİH","UYGUN"),"EKSİK"))</f>
        <v/>
      </c>
      <c r="P1033" s="6" t="n"/>
      <c r="Q1033" s="6" t="n"/>
      <c r="R1033" s="3" t="n"/>
      <c r="S1033" s="3" t="n"/>
      <c r="T1033" s="3" t="n"/>
      <c r="U1033" s="3" t="n"/>
      <c r="V1033" s="3" t="n"/>
      <c r="W1033" s="3" t="n"/>
    </row>
    <row r="1034">
      <c r="A1034" s="6" t="n"/>
      <c r="B1034" s="113">
        <f>IF($C1034="","","GG"&amp;TEXT(ROW()-6,"00000"))</f>
        <v/>
      </c>
      <c r="C1034" s="225" t="n"/>
      <c r="D1034" s="108" t="n"/>
      <c r="E1034" s="109" t="n"/>
      <c r="F1034" s="109" t="n"/>
      <c r="G1034" s="226" t="n"/>
      <c r="H1034" s="108" t="n"/>
      <c r="I1034" s="108" t="n"/>
      <c r="J1034" s="109" t="n"/>
      <c r="K1034" s="109" t="n"/>
      <c r="L1034" s="121">
        <f>IF($C1034="","",IF($D1034="Gider",$E1034,$H1034))</f>
        <v/>
      </c>
      <c r="M1034" s="121">
        <f>IF($C1034="","",IF($D1034="Gider",$H1034,$E1034))</f>
        <v/>
      </c>
      <c r="N1034" s="231">
        <f>IF($C1034="","",DATE(YEAR($C1034),MONTH($C1034),1))</f>
        <v/>
      </c>
      <c r="O1034" s="113">
        <f>IF($C1034="","",IF(AND($D1034&lt;&gt;"",$E1034&lt;&gt;"",$G1034&gt;0,$H1034&lt;&gt;"",$I1034&lt;&gt;""),IF($C1034&gt;TODAY(),"İLERİ TARİH","UYGUN"),"EKSİK"))</f>
        <v/>
      </c>
      <c r="P1034" s="6" t="n"/>
      <c r="Q1034" s="6" t="n"/>
      <c r="R1034" s="3" t="n"/>
      <c r="S1034" s="3" t="n"/>
      <c r="T1034" s="3" t="n"/>
      <c r="U1034" s="3" t="n"/>
      <c r="V1034" s="3" t="n"/>
      <c r="W1034" s="3" t="n"/>
    </row>
    <row r="1035">
      <c r="A1035" s="6" t="n"/>
      <c r="B1035" s="113">
        <f>IF($C1035="","","GG"&amp;TEXT(ROW()-6,"00000"))</f>
        <v/>
      </c>
      <c r="C1035" s="225" t="n"/>
      <c r="D1035" s="108" t="n"/>
      <c r="E1035" s="109" t="n"/>
      <c r="F1035" s="109" t="n"/>
      <c r="G1035" s="226" t="n"/>
      <c r="H1035" s="108" t="n"/>
      <c r="I1035" s="108" t="n"/>
      <c r="J1035" s="109" t="n"/>
      <c r="K1035" s="109" t="n"/>
      <c r="L1035" s="121">
        <f>IF($C1035="","",IF($D1035="Gider",$E1035,$H1035))</f>
        <v/>
      </c>
      <c r="M1035" s="121">
        <f>IF($C1035="","",IF($D1035="Gider",$H1035,$E1035))</f>
        <v/>
      </c>
      <c r="N1035" s="231">
        <f>IF($C1035="","",DATE(YEAR($C1035),MONTH($C1035),1))</f>
        <v/>
      </c>
      <c r="O1035" s="113">
        <f>IF($C1035="","",IF(AND($D1035&lt;&gt;"",$E1035&lt;&gt;"",$G1035&gt;0,$H1035&lt;&gt;"",$I1035&lt;&gt;""),IF($C1035&gt;TODAY(),"İLERİ TARİH","UYGUN"),"EKSİK"))</f>
        <v/>
      </c>
      <c r="P1035" s="6" t="n"/>
      <c r="Q1035" s="6" t="n"/>
      <c r="R1035" s="3" t="n"/>
      <c r="S1035" s="3" t="n"/>
      <c r="T1035" s="3" t="n"/>
      <c r="U1035" s="3" t="n"/>
      <c r="V1035" s="3" t="n"/>
      <c r="W1035" s="3" t="n"/>
    </row>
    <row r="1036">
      <c r="A1036" s="6" t="n"/>
      <c r="B1036" s="113">
        <f>IF($C1036="","","GG"&amp;TEXT(ROW()-6,"00000"))</f>
        <v/>
      </c>
      <c r="C1036" s="225" t="n"/>
      <c r="D1036" s="108" t="n"/>
      <c r="E1036" s="109" t="n"/>
      <c r="F1036" s="109" t="n"/>
      <c r="G1036" s="226" t="n"/>
      <c r="H1036" s="108" t="n"/>
      <c r="I1036" s="108" t="n"/>
      <c r="J1036" s="109" t="n"/>
      <c r="K1036" s="109" t="n"/>
      <c r="L1036" s="121">
        <f>IF($C1036="","",IF($D1036="Gider",$E1036,$H1036))</f>
        <v/>
      </c>
      <c r="M1036" s="121">
        <f>IF($C1036="","",IF($D1036="Gider",$H1036,$E1036))</f>
        <v/>
      </c>
      <c r="N1036" s="231">
        <f>IF($C1036="","",DATE(YEAR($C1036),MONTH($C1036),1))</f>
        <v/>
      </c>
      <c r="O1036" s="113">
        <f>IF($C1036="","",IF(AND($D1036&lt;&gt;"",$E1036&lt;&gt;"",$G1036&gt;0,$H1036&lt;&gt;"",$I1036&lt;&gt;""),IF($C1036&gt;TODAY(),"İLERİ TARİH","UYGUN"),"EKSİK"))</f>
        <v/>
      </c>
      <c r="P1036" s="6" t="n"/>
      <c r="Q1036" s="6" t="n"/>
      <c r="R1036" s="3" t="n"/>
      <c r="S1036" s="3" t="n"/>
      <c r="T1036" s="3" t="n"/>
      <c r="U1036" s="3" t="n"/>
      <c r="V1036" s="3" t="n"/>
      <c r="W1036" s="3" t="n"/>
    </row>
    <row r="1037">
      <c r="A1037" s="6" t="n"/>
      <c r="B1037" s="113">
        <f>IF($C1037="","","GG"&amp;TEXT(ROW()-6,"00000"))</f>
        <v/>
      </c>
      <c r="C1037" s="225" t="n"/>
      <c r="D1037" s="108" t="n"/>
      <c r="E1037" s="109" t="n"/>
      <c r="F1037" s="109" t="n"/>
      <c r="G1037" s="226" t="n"/>
      <c r="H1037" s="108" t="n"/>
      <c r="I1037" s="108" t="n"/>
      <c r="J1037" s="109" t="n"/>
      <c r="K1037" s="109" t="n"/>
      <c r="L1037" s="121">
        <f>IF($C1037="","",IF($D1037="Gider",$E1037,$H1037))</f>
        <v/>
      </c>
      <c r="M1037" s="121">
        <f>IF($C1037="","",IF($D1037="Gider",$H1037,$E1037))</f>
        <v/>
      </c>
      <c r="N1037" s="231">
        <f>IF($C1037="","",DATE(YEAR($C1037),MONTH($C1037),1))</f>
        <v/>
      </c>
      <c r="O1037" s="113">
        <f>IF($C1037="","",IF(AND($D1037&lt;&gt;"",$E1037&lt;&gt;"",$G1037&gt;0,$H1037&lt;&gt;"",$I1037&lt;&gt;""),IF($C1037&gt;TODAY(),"İLERİ TARİH","UYGUN"),"EKSİK"))</f>
        <v/>
      </c>
      <c r="P1037" s="6" t="n"/>
      <c r="Q1037" s="6" t="n"/>
      <c r="R1037" s="3" t="n"/>
      <c r="S1037" s="3" t="n"/>
      <c r="T1037" s="3" t="n"/>
      <c r="U1037" s="3" t="n"/>
      <c r="V1037" s="3" t="n"/>
      <c r="W1037" s="3" t="n"/>
    </row>
    <row r="1038">
      <c r="A1038" s="6" t="n"/>
      <c r="B1038" s="113">
        <f>IF($C1038="","","GG"&amp;TEXT(ROW()-6,"00000"))</f>
        <v/>
      </c>
      <c r="C1038" s="225" t="n"/>
      <c r="D1038" s="108" t="n"/>
      <c r="E1038" s="109" t="n"/>
      <c r="F1038" s="109" t="n"/>
      <c r="G1038" s="226" t="n"/>
      <c r="H1038" s="108" t="n"/>
      <c r="I1038" s="108" t="n"/>
      <c r="J1038" s="109" t="n"/>
      <c r="K1038" s="109" t="n"/>
      <c r="L1038" s="121">
        <f>IF($C1038="","",IF($D1038="Gider",$E1038,$H1038))</f>
        <v/>
      </c>
      <c r="M1038" s="121">
        <f>IF($C1038="","",IF($D1038="Gider",$H1038,$E1038))</f>
        <v/>
      </c>
      <c r="N1038" s="231">
        <f>IF($C1038="","",DATE(YEAR($C1038),MONTH($C1038),1))</f>
        <v/>
      </c>
      <c r="O1038" s="113">
        <f>IF($C1038="","",IF(AND($D1038&lt;&gt;"",$E1038&lt;&gt;"",$G1038&gt;0,$H1038&lt;&gt;"",$I1038&lt;&gt;""),IF($C1038&gt;TODAY(),"İLERİ TARİH","UYGUN"),"EKSİK"))</f>
        <v/>
      </c>
      <c r="P1038" s="6" t="n"/>
      <c r="Q1038" s="6" t="n"/>
      <c r="R1038" s="3" t="n"/>
      <c r="S1038" s="3" t="n"/>
      <c r="T1038" s="3" t="n"/>
      <c r="U1038" s="3" t="n"/>
      <c r="V1038" s="3" t="n"/>
      <c r="W1038" s="3" t="n"/>
    </row>
    <row r="1039">
      <c r="A1039" s="6" t="n"/>
      <c r="B1039" s="113">
        <f>IF($C1039="","","GG"&amp;TEXT(ROW()-6,"00000"))</f>
        <v/>
      </c>
      <c r="C1039" s="225" t="n"/>
      <c r="D1039" s="108" t="n"/>
      <c r="E1039" s="109" t="n"/>
      <c r="F1039" s="109" t="n"/>
      <c r="G1039" s="226" t="n"/>
      <c r="H1039" s="108" t="n"/>
      <c r="I1039" s="108" t="n"/>
      <c r="J1039" s="109" t="n"/>
      <c r="K1039" s="109" t="n"/>
      <c r="L1039" s="121">
        <f>IF($C1039="","",IF($D1039="Gider",$E1039,$H1039))</f>
        <v/>
      </c>
      <c r="M1039" s="121">
        <f>IF($C1039="","",IF($D1039="Gider",$H1039,$E1039))</f>
        <v/>
      </c>
      <c r="N1039" s="231">
        <f>IF($C1039="","",DATE(YEAR($C1039),MONTH($C1039),1))</f>
        <v/>
      </c>
      <c r="O1039" s="113">
        <f>IF($C1039="","",IF(AND($D1039&lt;&gt;"",$E1039&lt;&gt;"",$G1039&gt;0,$H1039&lt;&gt;"",$I1039&lt;&gt;""),IF($C1039&gt;TODAY(),"İLERİ TARİH","UYGUN"),"EKSİK"))</f>
        <v/>
      </c>
      <c r="P1039" s="6" t="n"/>
      <c r="Q1039" s="6" t="n"/>
      <c r="R1039" s="3" t="n"/>
      <c r="S1039" s="3" t="n"/>
      <c r="T1039" s="3" t="n"/>
      <c r="U1039" s="3" t="n"/>
      <c r="V1039" s="3" t="n"/>
      <c r="W1039" s="3" t="n"/>
    </row>
    <row r="1040">
      <c r="A1040" s="6" t="n"/>
      <c r="B1040" s="113">
        <f>IF($C1040="","","GG"&amp;TEXT(ROW()-6,"00000"))</f>
        <v/>
      </c>
      <c r="C1040" s="225" t="n"/>
      <c r="D1040" s="108" t="n"/>
      <c r="E1040" s="109" t="n"/>
      <c r="F1040" s="109" t="n"/>
      <c r="G1040" s="226" t="n"/>
      <c r="H1040" s="108" t="n"/>
      <c r="I1040" s="108" t="n"/>
      <c r="J1040" s="109" t="n"/>
      <c r="K1040" s="109" t="n"/>
      <c r="L1040" s="121">
        <f>IF($C1040="","",IF($D1040="Gider",$E1040,$H1040))</f>
        <v/>
      </c>
      <c r="M1040" s="121">
        <f>IF($C1040="","",IF($D1040="Gider",$H1040,$E1040))</f>
        <v/>
      </c>
      <c r="N1040" s="231">
        <f>IF($C1040="","",DATE(YEAR($C1040),MONTH($C1040),1))</f>
        <v/>
      </c>
      <c r="O1040" s="113">
        <f>IF($C1040="","",IF(AND($D1040&lt;&gt;"",$E1040&lt;&gt;"",$G1040&gt;0,$H1040&lt;&gt;"",$I1040&lt;&gt;""),IF($C1040&gt;TODAY(),"İLERİ TARİH","UYGUN"),"EKSİK"))</f>
        <v/>
      </c>
      <c r="P1040" s="6" t="n"/>
      <c r="Q1040" s="6" t="n"/>
      <c r="R1040" s="3" t="n"/>
      <c r="S1040" s="3" t="n"/>
      <c r="T1040" s="3" t="n"/>
      <c r="U1040" s="3" t="n"/>
      <c r="V1040" s="3" t="n"/>
      <c r="W1040" s="3" t="n"/>
    </row>
    <row r="1041">
      <c r="A1041" s="6" t="n"/>
      <c r="B1041" s="113">
        <f>IF($C1041="","","GG"&amp;TEXT(ROW()-6,"00000"))</f>
        <v/>
      </c>
      <c r="C1041" s="225" t="n"/>
      <c r="D1041" s="108" t="n"/>
      <c r="E1041" s="109" t="n"/>
      <c r="F1041" s="109" t="n"/>
      <c r="G1041" s="226" t="n"/>
      <c r="H1041" s="108" t="n"/>
      <c r="I1041" s="108" t="n"/>
      <c r="J1041" s="109" t="n"/>
      <c r="K1041" s="109" t="n"/>
      <c r="L1041" s="121">
        <f>IF($C1041="","",IF($D1041="Gider",$E1041,$H1041))</f>
        <v/>
      </c>
      <c r="M1041" s="121">
        <f>IF($C1041="","",IF($D1041="Gider",$H1041,$E1041))</f>
        <v/>
      </c>
      <c r="N1041" s="231">
        <f>IF($C1041="","",DATE(YEAR($C1041),MONTH($C1041),1))</f>
        <v/>
      </c>
      <c r="O1041" s="113">
        <f>IF($C1041="","",IF(AND($D1041&lt;&gt;"",$E1041&lt;&gt;"",$G1041&gt;0,$H1041&lt;&gt;"",$I1041&lt;&gt;""),IF($C1041&gt;TODAY(),"İLERİ TARİH","UYGUN"),"EKSİK"))</f>
        <v/>
      </c>
      <c r="P1041" s="6" t="n"/>
      <c r="Q1041" s="6" t="n"/>
      <c r="R1041" s="3" t="n"/>
      <c r="S1041" s="3" t="n"/>
      <c r="T1041" s="3" t="n"/>
      <c r="U1041" s="3" t="n"/>
      <c r="V1041" s="3" t="n"/>
      <c r="W1041" s="3" t="n"/>
    </row>
    <row r="1042">
      <c r="A1042" s="6" t="n"/>
      <c r="B1042" s="113">
        <f>IF($C1042="","","GG"&amp;TEXT(ROW()-6,"00000"))</f>
        <v/>
      </c>
      <c r="C1042" s="225" t="n"/>
      <c r="D1042" s="108" t="n"/>
      <c r="E1042" s="109" t="n"/>
      <c r="F1042" s="109" t="n"/>
      <c r="G1042" s="226" t="n"/>
      <c r="H1042" s="108" t="n"/>
      <c r="I1042" s="108" t="n"/>
      <c r="J1042" s="109" t="n"/>
      <c r="K1042" s="109" t="n"/>
      <c r="L1042" s="121">
        <f>IF($C1042="","",IF($D1042="Gider",$E1042,$H1042))</f>
        <v/>
      </c>
      <c r="M1042" s="121">
        <f>IF($C1042="","",IF($D1042="Gider",$H1042,$E1042))</f>
        <v/>
      </c>
      <c r="N1042" s="231">
        <f>IF($C1042="","",DATE(YEAR($C1042),MONTH($C1042),1))</f>
        <v/>
      </c>
      <c r="O1042" s="113">
        <f>IF($C1042="","",IF(AND($D1042&lt;&gt;"",$E1042&lt;&gt;"",$G1042&gt;0,$H1042&lt;&gt;"",$I1042&lt;&gt;""),IF($C1042&gt;TODAY(),"İLERİ TARİH","UYGUN"),"EKSİK"))</f>
        <v/>
      </c>
      <c r="P1042" s="6" t="n"/>
      <c r="Q1042" s="6" t="n"/>
      <c r="R1042" s="3" t="n"/>
      <c r="S1042" s="3" t="n"/>
      <c r="T1042" s="3" t="n"/>
      <c r="U1042" s="3" t="n"/>
      <c r="V1042" s="3" t="n"/>
      <c r="W1042" s="3" t="n"/>
    </row>
    <row r="1043">
      <c r="A1043" s="6" t="n"/>
      <c r="B1043" s="113">
        <f>IF($C1043="","","GG"&amp;TEXT(ROW()-6,"00000"))</f>
        <v/>
      </c>
      <c r="C1043" s="225" t="n"/>
      <c r="D1043" s="108" t="n"/>
      <c r="E1043" s="109" t="n"/>
      <c r="F1043" s="109" t="n"/>
      <c r="G1043" s="226" t="n"/>
      <c r="H1043" s="108" t="n"/>
      <c r="I1043" s="108" t="n"/>
      <c r="J1043" s="109" t="n"/>
      <c r="K1043" s="109" t="n"/>
      <c r="L1043" s="121">
        <f>IF($C1043="","",IF($D1043="Gider",$E1043,$H1043))</f>
        <v/>
      </c>
      <c r="M1043" s="121">
        <f>IF($C1043="","",IF($D1043="Gider",$H1043,$E1043))</f>
        <v/>
      </c>
      <c r="N1043" s="231">
        <f>IF($C1043="","",DATE(YEAR($C1043),MONTH($C1043),1))</f>
        <v/>
      </c>
      <c r="O1043" s="113">
        <f>IF($C1043="","",IF(AND($D1043&lt;&gt;"",$E1043&lt;&gt;"",$G1043&gt;0,$H1043&lt;&gt;"",$I1043&lt;&gt;""),IF($C1043&gt;TODAY(),"İLERİ TARİH","UYGUN"),"EKSİK"))</f>
        <v/>
      </c>
      <c r="P1043" s="6" t="n"/>
      <c r="Q1043" s="6" t="n"/>
      <c r="R1043" s="3" t="n"/>
      <c r="S1043" s="3" t="n"/>
      <c r="T1043" s="3" t="n"/>
      <c r="U1043" s="3" t="n"/>
      <c r="V1043" s="3" t="n"/>
      <c r="W1043" s="3" t="n"/>
    </row>
    <row r="1044">
      <c r="A1044" s="6" t="n"/>
      <c r="B1044" s="113">
        <f>IF($C1044="","","GG"&amp;TEXT(ROW()-6,"00000"))</f>
        <v/>
      </c>
      <c r="C1044" s="225" t="n"/>
      <c r="D1044" s="108" t="n"/>
      <c r="E1044" s="109" t="n"/>
      <c r="F1044" s="109" t="n"/>
      <c r="G1044" s="226" t="n"/>
      <c r="H1044" s="108" t="n"/>
      <c r="I1044" s="108" t="n"/>
      <c r="J1044" s="109" t="n"/>
      <c r="K1044" s="109" t="n"/>
      <c r="L1044" s="121">
        <f>IF($C1044="","",IF($D1044="Gider",$E1044,$H1044))</f>
        <v/>
      </c>
      <c r="M1044" s="121">
        <f>IF($C1044="","",IF($D1044="Gider",$H1044,$E1044))</f>
        <v/>
      </c>
      <c r="N1044" s="231">
        <f>IF($C1044="","",DATE(YEAR($C1044),MONTH($C1044),1))</f>
        <v/>
      </c>
      <c r="O1044" s="113">
        <f>IF($C1044="","",IF(AND($D1044&lt;&gt;"",$E1044&lt;&gt;"",$G1044&gt;0,$H1044&lt;&gt;"",$I1044&lt;&gt;""),IF($C1044&gt;TODAY(),"İLERİ TARİH","UYGUN"),"EKSİK"))</f>
        <v/>
      </c>
      <c r="P1044" s="6" t="n"/>
      <c r="Q1044" s="6" t="n"/>
      <c r="R1044" s="3" t="n"/>
      <c r="S1044" s="3" t="n"/>
      <c r="T1044" s="3" t="n"/>
      <c r="U1044" s="3" t="n"/>
      <c r="V1044" s="3" t="n"/>
      <c r="W1044" s="3" t="n"/>
    </row>
    <row r="1045">
      <c r="A1045" s="6" t="n"/>
      <c r="B1045" s="113">
        <f>IF($C1045="","","GG"&amp;TEXT(ROW()-6,"00000"))</f>
        <v/>
      </c>
      <c r="C1045" s="225" t="n"/>
      <c r="D1045" s="108" t="n"/>
      <c r="E1045" s="109" t="n"/>
      <c r="F1045" s="109" t="n"/>
      <c r="G1045" s="226" t="n"/>
      <c r="H1045" s="108" t="n"/>
      <c r="I1045" s="108" t="n"/>
      <c r="J1045" s="109" t="n"/>
      <c r="K1045" s="109" t="n"/>
      <c r="L1045" s="121">
        <f>IF($C1045="","",IF($D1045="Gider",$E1045,$H1045))</f>
        <v/>
      </c>
      <c r="M1045" s="121">
        <f>IF($C1045="","",IF($D1045="Gider",$H1045,$E1045))</f>
        <v/>
      </c>
      <c r="N1045" s="231">
        <f>IF($C1045="","",DATE(YEAR($C1045),MONTH($C1045),1))</f>
        <v/>
      </c>
      <c r="O1045" s="113">
        <f>IF($C1045="","",IF(AND($D1045&lt;&gt;"",$E1045&lt;&gt;"",$G1045&gt;0,$H1045&lt;&gt;"",$I1045&lt;&gt;""),IF($C1045&gt;TODAY(),"İLERİ TARİH","UYGUN"),"EKSİK"))</f>
        <v/>
      </c>
      <c r="P1045" s="6" t="n"/>
      <c r="Q1045" s="6" t="n"/>
      <c r="R1045" s="3" t="n"/>
      <c r="S1045" s="3" t="n"/>
      <c r="T1045" s="3" t="n"/>
      <c r="U1045" s="3" t="n"/>
      <c r="V1045" s="3" t="n"/>
      <c r="W1045" s="3" t="n"/>
    </row>
    <row r="1046">
      <c r="A1046" s="6" t="n"/>
      <c r="B1046" s="113">
        <f>IF($C1046="","","GG"&amp;TEXT(ROW()-6,"00000"))</f>
        <v/>
      </c>
      <c r="C1046" s="225" t="n"/>
      <c r="D1046" s="108" t="n"/>
      <c r="E1046" s="109" t="n"/>
      <c r="F1046" s="109" t="n"/>
      <c r="G1046" s="226" t="n"/>
      <c r="H1046" s="108" t="n"/>
      <c r="I1046" s="108" t="n"/>
      <c r="J1046" s="109" t="n"/>
      <c r="K1046" s="109" t="n"/>
      <c r="L1046" s="121">
        <f>IF($C1046="","",IF($D1046="Gider",$E1046,$H1046))</f>
        <v/>
      </c>
      <c r="M1046" s="121">
        <f>IF($C1046="","",IF($D1046="Gider",$H1046,$E1046))</f>
        <v/>
      </c>
      <c r="N1046" s="231">
        <f>IF($C1046="","",DATE(YEAR($C1046),MONTH($C1046),1))</f>
        <v/>
      </c>
      <c r="O1046" s="113">
        <f>IF($C1046="","",IF(AND($D1046&lt;&gt;"",$E1046&lt;&gt;"",$G1046&gt;0,$H1046&lt;&gt;"",$I1046&lt;&gt;""),IF($C1046&gt;TODAY(),"İLERİ TARİH","UYGUN"),"EKSİK"))</f>
        <v/>
      </c>
      <c r="P1046" s="6" t="n"/>
      <c r="Q1046" s="6" t="n"/>
      <c r="R1046" s="3" t="n"/>
      <c r="S1046" s="3" t="n"/>
      <c r="T1046" s="3" t="n"/>
      <c r="U1046" s="3" t="n"/>
      <c r="V1046" s="3" t="n"/>
      <c r="W1046" s="3" t="n"/>
    </row>
    <row r="1047">
      <c r="A1047" s="6" t="n"/>
      <c r="B1047" s="113">
        <f>IF($C1047="","","GG"&amp;TEXT(ROW()-6,"00000"))</f>
        <v/>
      </c>
      <c r="C1047" s="225" t="n"/>
      <c r="D1047" s="108" t="n"/>
      <c r="E1047" s="109" t="n"/>
      <c r="F1047" s="109" t="n"/>
      <c r="G1047" s="226" t="n"/>
      <c r="H1047" s="108" t="n"/>
      <c r="I1047" s="108" t="n"/>
      <c r="J1047" s="109" t="n"/>
      <c r="K1047" s="109" t="n"/>
      <c r="L1047" s="121">
        <f>IF($C1047="","",IF($D1047="Gider",$E1047,$H1047))</f>
        <v/>
      </c>
      <c r="M1047" s="121">
        <f>IF($C1047="","",IF($D1047="Gider",$H1047,$E1047))</f>
        <v/>
      </c>
      <c r="N1047" s="231">
        <f>IF($C1047="","",DATE(YEAR($C1047),MONTH($C1047),1))</f>
        <v/>
      </c>
      <c r="O1047" s="113">
        <f>IF($C1047="","",IF(AND($D1047&lt;&gt;"",$E1047&lt;&gt;"",$G1047&gt;0,$H1047&lt;&gt;"",$I1047&lt;&gt;""),IF($C1047&gt;TODAY(),"İLERİ TARİH","UYGUN"),"EKSİK"))</f>
        <v/>
      </c>
      <c r="P1047" s="6" t="n"/>
      <c r="Q1047" s="6" t="n"/>
      <c r="R1047" s="3" t="n"/>
      <c r="S1047" s="3" t="n"/>
      <c r="T1047" s="3" t="n"/>
      <c r="U1047" s="3" t="n"/>
      <c r="V1047" s="3" t="n"/>
      <c r="W1047" s="3" t="n"/>
    </row>
    <row r="1048">
      <c r="A1048" s="6" t="n"/>
      <c r="B1048" s="113">
        <f>IF($C1048="","","GG"&amp;TEXT(ROW()-6,"00000"))</f>
        <v/>
      </c>
      <c r="C1048" s="225" t="n"/>
      <c r="D1048" s="108" t="n"/>
      <c r="E1048" s="109" t="n"/>
      <c r="F1048" s="109" t="n"/>
      <c r="G1048" s="226" t="n"/>
      <c r="H1048" s="108" t="n"/>
      <c r="I1048" s="108" t="n"/>
      <c r="J1048" s="109" t="n"/>
      <c r="K1048" s="109" t="n"/>
      <c r="L1048" s="121">
        <f>IF($C1048="","",IF($D1048="Gider",$E1048,$H1048))</f>
        <v/>
      </c>
      <c r="M1048" s="121">
        <f>IF($C1048="","",IF($D1048="Gider",$H1048,$E1048))</f>
        <v/>
      </c>
      <c r="N1048" s="231">
        <f>IF($C1048="","",DATE(YEAR($C1048),MONTH($C1048),1))</f>
        <v/>
      </c>
      <c r="O1048" s="113">
        <f>IF($C1048="","",IF(AND($D1048&lt;&gt;"",$E1048&lt;&gt;"",$G1048&gt;0,$H1048&lt;&gt;"",$I1048&lt;&gt;""),IF($C1048&gt;TODAY(),"İLERİ TARİH","UYGUN"),"EKSİK"))</f>
        <v/>
      </c>
      <c r="P1048" s="6" t="n"/>
      <c r="Q1048" s="6" t="n"/>
      <c r="R1048" s="3" t="n"/>
      <c r="S1048" s="3" t="n"/>
      <c r="T1048" s="3" t="n"/>
      <c r="U1048" s="3" t="n"/>
      <c r="V1048" s="3" t="n"/>
      <c r="W1048" s="3" t="n"/>
    </row>
    <row r="1049">
      <c r="A1049" s="6" t="n"/>
      <c r="B1049" s="113">
        <f>IF($C1049="","","GG"&amp;TEXT(ROW()-6,"00000"))</f>
        <v/>
      </c>
      <c r="C1049" s="225" t="n"/>
      <c r="D1049" s="108" t="n"/>
      <c r="E1049" s="109" t="n"/>
      <c r="F1049" s="109" t="n"/>
      <c r="G1049" s="226" t="n"/>
      <c r="H1049" s="108" t="n"/>
      <c r="I1049" s="108" t="n"/>
      <c r="J1049" s="109" t="n"/>
      <c r="K1049" s="109" t="n"/>
      <c r="L1049" s="121">
        <f>IF($C1049="","",IF($D1049="Gider",$E1049,$H1049))</f>
        <v/>
      </c>
      <c r="M1049" s="121">
        <f>IF($C1049="","",IF($D1049="Gider",$H1049,$E1049))</f>
        <v/>
      </c>
      <c r="N1049" s="231">
        <f>IF($C1049="","",DATE(YEAR($C1049),MONTH($C1049),1))</f>
        <v/>
      </c>
      <c r="O1049" s="113">
        <f>IF($C1049="","",IF(AND($D1049&lt;&gt;"",$E1049&lt;&gt;"",$G1049&gt;0,$H1049&lt;&gt;"",$I1049&lt;&gt;""),IF($C1049&gt;TODAY(),"İLERİ TARİH","UYGUN"),"EKSİK"))</f>
        <v/>
      </c>
      <c r="P1049" s="6" t="n"/>
      <c r="Q1049" s="6" t="n"/>
      <c r="R1049" s="3" t="n"/>
      <c r="S1049" s="3" t="n"/>
      <c r="T1049" s="3" t="n"/>
      <c r="U1049" s="3" t="n"/>
      <c r="V1049" s="3" t="n"/>
      <c r="W1049" s="3" t="n"/>
    </row>
    <row r="1050">
      <c r="A1050" s="6" t="n"/>
      <c r="B1050" s="113">
        <f>IF($C1050="","","GG"&amp;TEXT(ROW()-6,"00000"))</f>
        <v/>
      </c>
      <c r="C1050" s="225" t="n"/>
      <c r="D1050" s="108" t="n"/>
      <c r="E1050" s="109" t="n"/>
      <c r="F1050" s="109" t="n"/>
      <c r="G1050" s="226" t="n"/>
      <c r="H1050" s="108" t="n"/>
      <c r="I1050" s="108" t="n"/>
      <c r="J1050" s="109" t="n"/>
      <c r="K1050" s="109" t="n"/>
      <c r="L1050" s="121">
        <f>IF($C1050="","",IF($D1050="Gider",$E1050,$H1050))</f>
        <v/>
      </c>
      <c r="M1050" s="121">
        <f>IF($C1050="","",IF($D1050="Gider",$H1050,$E1050))</f>
        <v/>
      </c>
      <c r="N1050" s="231">
        <f>IF($C1050="","",DATE(YEAR($C1050),MONTH($C1050),1))</f>
        <v/>
      </c>
      <c r="O1050" s="113">
        <f>IF($C1050="","",IF(AND($D1050&lt;&gt;"",$E1050&lt;&gt;"",$G1050&gt;0,$H1050&lt;&gt;"",$I1050&lt;&gt;""),IF($C1050&gt;TODAY(),"İLERİ TARİH","UYGUN"),"EKSİK"))</f>
        <v/>
      </c>
      <c r="P1050" s="6" t="n"/>
      <c r="Q1050" s="6" t="n"/>
      <c r="R1050" s="3" t="n"/>
      <c r="S1050" s="3" t="n"/>
      <c r="T1050" s="3" t="n"/>
      <c r="U1050" s="3" t="n"/>
      <c r="V1050" s="3" t="n"/>
      <c r="W1050" s="3" t="n"/>
    </row>
    <row r="1051">
      <c r="A1051" s="6" t="n"/>
      <c r="B1051" s="113">
        <f>IF($C1051="","","GG"&amp;TEXT(ROW()-6,"00000"))</f>
        <v/>
      </c>
      <c r="C1051" s="225" t="n"/>
      <c r="D1051" s="108" t="n"/>
      <c r="E1051" s="109" t="n"/>
      <c r="F1051" s="109" t="n"/>
      <c r="G1051" s="226" t="n"/>
      <c r="H1051" s="108" t="n"/>
      <c r="I1051" s="108" t="n"/>
      <c r="J1051" s="109" t="n"/>
      <c r="K1051" s="109" t="n"/>
      <c r="L1051" s="121">
        <f>IF($C1051="","",IF($D1051="Gider",$E1051,$H1051))</f>
        <v/>
      </c>
      <c r="M1051" s="121">
        <f>IF($C1051="","",IF($D1051="Gider",$H1051,$E1051))</f>
        <v/>
      </c>
      <c r="N1051" s="231">
        <f>IF($C1051="","",DATE(YEAR($C1051),MONTH($C1051),1))</f>
        <v/>
      </c>
      <c r="O1051" s="113">
        <f>IF($C1051="","",IF(AND($D1051&lt;&gt;"",$E1051&lt;&gt;"",$G1051&gt;0,$H1051&lt;&gt;"",$I1051&lt;&gt;""),IF($C1051&gt;TODAY(),"İLERİ TARİH","UYGUN"),"EKSİK"))</f>
        <v/>
      </c>
      <c r="P1051" s="6" t="n"/>
      <c r="Q1051" s="6" t="n"/>
      <c r="R1051" s="3" t="n"/>
      <c r="S1051" s="3" t="n"/>
      <c r="T1051" s="3" t="n"/>
      <c r="U1051" s="3" t="n"/>
      <c r="V1051" s="3" t="n"/>
      <c r="W1051" s="3" t="n"/>
    </row>
    <row r="1052">
      <c r="A1052" s="6" t="n"/>
      <c r="B1052" s="113">
        <f>IF($C1052="","","GG"&amp;TEXT(ROW()-6,"00000"))</f>
        <v/>
      </c>
      <c r="C1052" s="225" t="n"/>
      <c r="D1052" s="108" t="n"/>
      <c r="E1052" s="109" t="n"/>
      <c r="F1052" s="109" t="n"/>
      <c r="G1052" s="226" t="n"/>
      <c r="H1052" s="108" t="n"/>
      <c r="I1052" s="108" t="n"/>
      <c r="J1052" s="109" t="n"/>
      <c r="K1052" s="109" t="n"/>
      <c r="L1052" s="121">
        <f>IF($C1052="","",IF($D1052="Gider",$E1052,$H1052))</f>
        <v/>
      </c>
      <c r="M1052" s="121">
        <f>IF($C1052="","",IF($D1052="Gider",$H1052,$E1052))</f>
        <v/>
      </c>
      <c r="N1052" s="231">
        <f>IF($C1052="","",DATE(YEAR($C1052),MONTH($C1052),1))</f>
        <v/>
      </c>
      <c r="O1052" s="113">
        <f>IF($C1052="","",IF(AND($D1052&lt;&gt;"",$E1052&lt;&gt;"",$G1052&gt;0,$H1052&lt;&gt;"",$I1052&lt;&gt;""),IF($C1052&gt;TODAY(),"İLERİ TARİH","UYGUN"),"EKSİK"))</f>
        <v/>
      </c>
      <c r="P1052" s="6" t="n"/>
      <c r="Q1052" s="6" t="n"/>
      <c r="R1052" s="3" t="n"/>
      <c r="S1052" s="3" t="n"/>
      <c r="T1052" s="3" t="n"/>
      <c r="U1052" s="3" t="n"/>
      <c r="V1052" s="3" t="n"/>
      <c r="W1052" s="3" t="n"/>
    </row>
    <row r="1053">
      <c r="A1053" s="6" t="n"/>
      <c r="B1053" s="113">
        <f>IF($C1053="","","GG"&amp;TEXT(ROW()-6,"00000"))</f>
        <v/>
      </c>
      <c r="C1053" s="225" t="n"/>
      <c r="D1053" s="108" t="n"/>
      <c r="E1053" s="109" t="n"/>
      <c r="F1053" s="109" t="n"/>
      <c r="G1053" s="226" t="n"/>
      <c r="H1053" s="108" t="n"/>
      <c r="I1053" s="108" t="n"/>
      <c r="J1053" s="109" t="n"/>
      <c r="K1053" s="109" t="n"/>
      <c r="L1053" s="121">
        <f>IF($C1053="","",IF($D1053="Gider",$E1053,$H1053))</f>
        <v/>
      </c>
      <c r="M1053" s="121">
        <f>IF($C1053="","",IF($D1053="Gider",$H1053,$E1053))</f>
        <v/>
      </c>
      <c r="N1053" s="231">
        <f>IF($C1053="","",DATE(YEAR($C1053),MONTH($C1053),1))</f>
        <v/>
      </c>
      <c r="O1053" s="113">
        <f>IF($C1053="","",IF(AND($D1053&lt;&gt;"",$E1053&lt;&gt;"",$G1053&gt;0,$H1053&lt;&gt;"",$I1053&lt;&gt;""),IF($C1053&gt;TODAY(),"İLERİ TARİH","UYGUN"),"EKSİK"))</f>
        <v/>
      </c>
      <c r="P1053" s="6" t="n"/>
      <c r="Q1053" s="6" t="n"/>
      <c r="R1053" s="3" t="n"/>
      <c r="S1053" s="3" t="n"/>
      <c r="T1053" s="3" t="n"/>
      <c r="U1053" s="3" t="n"/>
      <c r="V1053" s="3" t="n"/>
      <c r="W1053" s="3" t="n"/>
    </row>
    <row r="1054">
      <c r="A1054" s="6" t="n"/>
      <c r="B1054" s="113">
        <f>IF($C1054="","","GG"&amp;TEXT(ROW()-6,"00000"))</f>
        <v/>
      </c>
      <c r="C1054" s="225" t="n"/>
      <c r="D1054" s="108" t="n"/>
      <c r="E1054" s="109" t="n"/>
      <c r="F1054" s="109" t="n"/>
      <c r="G1054" s="226" t="n"/>
      <c r="H1054" s="108" t="n"/>
      <c r="I1054" s="108" t="n"/>
      <c r="J1054" s="109" t="n"/>
      <c r="K1054" s="109" t="n"/>
      <c r="L1054" s="121">
        <f>IF($C1054="","",IF($D1054="Gider",$E1054,$H1054))</f>
        <v/>
      </c>
      <c r="M1054" s="121">
        <f>IF($C1054="","",IF($D1054="Gider",$H1054,$E1054))</f>
        <v/>
      </c>
      <c r="N1054" s="231">
        <f>IF($C1054="","",DATE(YEAR($C1054),MONTH($C1054),1))</f>
        <v/>
      </c>
      <c r="O1054" s="113">
        <f>IF($C1054="","",IF(AND($D1054&lt;&gt;"",$E1054&lt;&gt;"",$G1054&gt;0,$H1054&lt;&gt;"",$I1054&lt;&gt;""),IF($C1054&gt;TODAY(),"İLERİ TARİH","UYGUN"),"EKSİK"))</f>
        <v/>
      </c>
      <c r="P1054" s="6" t="n"/>
      <c r="Q1054" s="6" t="n"/>
      <c r="R1054" s="3" t="n"/>
      <c r="S1054" s="3" t="n"/>
      <c r="T1054" s="3" t="n"/>
      <c r="U1054" s="3" t="n"/>
      <c r="V1054" s="3" t="n"/>
      <c r="W1054" s="3" t="n"/>
    </row>
    <row r="1055">
      <c r="A1055" s="6" t="n"/>
      <c r="B1055" s="113">
        <f>IF($C1055="","","GG"&amp;TEXT(ROW()-6,"00000"))</f>
        <v/>
      </c>
      <c r="C1055" s="225" t="n"/>
      <c r="D1055" s="108" t="n"/>
      <c r="E1055" s="109" t="n"/>
      <c r="F1055" s="109" t="n"/>
      <c r="G1055" s="226" t="n"/>
      <c r="H1055" s="108" t="n"/>
      <c r="I1055" s="108" t="n"/>
      <c r="J1055" s="109" t="n"/>
      <c r="K1055" s="109" t="n"/>
      <c r="L1055" s="121">
        <f>IF($C1055="","",IF($D1055="Gider",$E1055,$H1055))</f>
        <v/>
      </c>
      <c r="M1055" s="121">
        <f>IF($C1055="","",IF($D1055="Gider",$H1055,$E1055))</f>
        <v/>
      </c>
      <c r="N1055" s="231">
        <f>IF($C1055="","",DATE(YEAR($C1055),MONTH($C1055),1))</f>
        <v/>
      </c>
      <c r="O1055" s="113">
        <f>IF($C1055="","",IF(AND($D1055&lt;&gt;"",$E1055&lt;&gt;"",$G1055&gt;0,$H1055&lt;&gt;"",$I1055&lt;&gt;""),IF($C1055&gt;TODAY(),"İLERİ TARİH","UYGUN"),"EKSİK"))</f>
        <v/>
      </c>
      <c r="P1055" s="6" t="n"/>
      <c r="Q1055" s="6" t="n"/>
      <c r="R1055" s="3" t="n"/>
      <c r="S1055" s="3" t="n"/>
      <c r="T1055" s="3" t="n"/>
      <c r="U1055" s="3" t="n"/>
      <c r="V1055" s="3" t="n"/>
      <c r="W1055" s="3" t="n"/>
    </row>
    <row r="1056">
      <c r="A1056" s="6" t="n"/>
      <c r="B1056" s="113">
        <f>IF($C1056="","","GG"&amp;TEXT(ROW()-6,"00000"))</f>
        <v/>
      </c>
      <c r="C1056" s="225" t="n"/>
      <c r="D1056" s="108" t="n"/>
      <c r="E1056" s="109" t="n"/>
      <c r="F1056" s="109" t="n"/>
      <c r="G1056" s="226" t="n"/>
      <c r="H1056" s="108" t="n"/>
      <c r="I1056" s="108" t="n"/>
      <c r="J1056" s="109" t="n"/>
      <c r="K1056" s="109" t="n"/>
      <c r="L1056" s="121">
        <f>IF($C1056="","",IF($D1056="Gider",$E1056,$H1056))</f>
        <v/>
      </c>
      <c r="M1056" s="121">
        <f>IF($C1056="","",IF($D1056="Gider",$H1056,$E1056))</f>
        <v/>
      </c>
      <c r="N1056" s="231">
        <f>IF($C1056="","",DATE(YEAR($C1056),MONTH($C1056),1))</f>
        <v/>
      </c>
      <c r="O1056" s="113">
        <f>IF($C1056="","",IF(AND($D1056&lt;&gt;"",$E1056&lt;&gt;"",$G1056&gt;0,$H1056&lt;&gt;"",$I1056&lt;&gt;""),IF($C1056&gt;TODAY(),"İLERİ TARİH","UYGUN"),"EKSİK"))</f>
        <v/>
      </c>
      <c r="P1056" s="6" t="n"/>
      <c r="Q1056" s="6" t="n"/>
      <c r="R1056" s="3" t="n"/>
      <c r="S1056" s="3" t="n"/>
      <c r="T1056" s="3" t="n"/>
      <c r="U1056" s="3" t="n"/>
      <c r="V1056" s="3" t="n"/>
      <c r="W1056" s="3" t="n"/>
    </row>
    <row r="1057">
      <c r="A1057" s="6" t="n"/>
      <c r="B1057" s="113">
        <f>IF($C1057="","","GG"&amp;TEXT(ROW()-6,"00000"))</f>
        <v/>
      </c>
      <c r="C1057" s="225" t="n"/>
      <c r="D1057" s="108" t="n"/>
      <c r="E1057" s="109" t="n"/>
      <c r="F1057" s="109" t="n"/>
      <c r="G1057" s="226" t="n"/>
      <c r="H1057" s="108" t="n"/>
      <c r="I1057" s="108" t="n"/>
      <c r="J1057" s="109" t="n"/>
      <c r="K1057" s="109" t="n"/>
      <c r="L1057" s="121">
        <f>IF($C1057="","",IF($D1057="Gider",$E1057,$H1057))</f>
        <v/>
      </c>
      <c r="M1057" s="121">
        <f>IF($C1057="","",IF($D1057="Gider",$H1057,$E1057))</f>
        <v/>
      </c>
      <c r="N1057" s="231">
        <f>IF($C1057="","",DATE(YEAR($C1057),MONTH($C1057),1))</f>
        <v/>
      </c>
      <c r="O1057" s="113">
        <f>IF($C1057="","",IF(AND($D1057&lt;&gt;"",$E1057&lt;&gt;"",$G1057&gt;0,$H1057&lt;&gt;"",$I1057&lt;&gt;""),IF($C1057&gt;TODAY(),"İLERİ TARİH","UYGUN"),"EKSİK"))</f>
        <v/>
      </c>
      <c r="P1057" s="6" t="n"/>
      <c r="Q1057" s="6" t="n"/>
      <c r="R1057" s="3" t="n"/>
      <c r="S1057" s="3" t="n"/>
      <c r="T1057" s="3" t="n"/>
      <c r="U1057" s="3" t="n"/>
      <c r="V1057" s="3" t="n"/>
      <c r="W1057" s="3" t="n"/>
    </row>
    <row r="1058">
      <c r="A1058" s="6" t="n"/>
      <c r="B1058" s="113">
        <f>IF($C1058="","","GG"&amp;TEXT(ROW()-6,"00000"))</f>
        <v/>
      </c>
      <c r="C1058" s="225" t="n"/>
      <c r="D1058" s="108" t="n"/>
      <c r="E1058" s="109" t="n"/>
      <c r="F1058" s="109" t="n"/>
      <c r="G1058" s="226" t="n"/>
      <c r="H1058" s="108" t="n"/>
      <c r="I1058" s="108" t="n"/>
      <c r="J1058" s="109" t="n"/>
      <c r="K1058" s="109" t="n"/>
      <c r="L1058" s="121">
        <f>IF($C1058="","",IF($D1058="Gider",$E1058,$H1058))</f>
        <v/>
      </c>
      <c r="M1058" s="121">
        <f>IF($C1058="","",IF($D1058="Gider",$H1058,$E1058))</f>
        <v/>
      </c>
      <c r="N1058" s="231">
        <f>IF($C1058="","",DATE(YEAR($C1058),MONTH($C1058),1))</f>
        <v/>
      </c>
      <c r="O1058" s="113">
        <f>IF($C1058="","",IF(AND($D1058&lt;&gt;"",$E1058&lt;&gt;"",$G1058&gt;0,$H1058&lt;&gt;"",$I1058&lt;&gt;""),IF($C1058&gt;TODAY(),"İLERİ TARİH","UYGUN"),"EKSİK"))</f>
        <v/>
      </c>
      <c r="P1058" s="6" t="n"/>
      <c r="Q1058" s="6" t="n"/>
      <c r="R1058" s="3" t="n"/>
      <c r="S1058" s="3" t="n"/>
      <c r="T1058" s="3" t="n"/>
      <c r="U1058" s="3" t="n"/>
      <c r="V1058" s="3" t="n"/>
      <c r="W1058" s="3" t="n"/>
    </row>
    <row r="1059">
      <c r="A1059" s="6" t="n"/>
      <c r="B1059" s="113">
        <f>IF($C1059="","","GG"&amp;TEXT(ROW()-6,"00000"))</f>
        <v/>
      </c>
      <c r="C1059" s="225" t="n"/>
      <c r="D1059" s="108" t="n"/>
      <c r="E1059" s="109" t="n"/>
      <c r="F1059" s="109" t="n"/>
      <c r="G1059" s="226" t="n"/>
      <c r="H1059" s="108" t="n"/>
      <c r="I1059" s="108" t="n"/>
      <c r="J1059" s="109" t="n"/>
      <c r="K1059" s="109" t="n"/>
      <c r="L1059" s="121">
        <f>IF($C1059="","",IF($D1059="Gider",$E1059,$H1059))</f>
        <v/>
      </c>
      <c r="M1059" s="121">
        <f>IF($C1059="","",IF($D1059="Gider",$H1059,$E1059))</f>
        <v/>
      </c>
      <c r="N1059" s="231">
        <f>IF($C1059="","",DATE(YEAR($C1059),MONTH($C1059),1))</f>
        <v/>
      </c>
      <c r="O1059" s="113">
        <f>IF($C1059="","",IF(AND($D1059&lt;&gt;"",$E1059&lt;&gt;"",$G1059&gt;0,$H1059&lt;&gt;"",$I1059&lt;&gt;""),IF($C1059&gt;TODAY(),"İLERİ TARİH","UYGUN"),"EKSİK"))</f>
        <v/>
      </c>
      <c r="P1059" s="6" t="n"/>
      <c r="Q1059" s="6" t="n"/>
      <c r="R1059" s="3" t="n"/>
      <c r="S1059" s="3" t="n"/>
      <c r="T1059" s="3" t="n"/>
      <c r="U1059" s="3" t="n"/>
      <c r="V1059" s="3" t="n"/>
      <c r="W1059" s="3" t="n"/>
    </row>
    <row r="1060">
      <c r="A1060" s="6" t="n"/>
      <c r="B1060" s="113">
        <f>IF($C1060="","","GG"&amp;TEXT(ROW()-6,"00000"))</f>
        <v/>
      </c>
      <c r="C1060" s="225" t="n"/>
      <c r="D1060" s="108" t="n"/>
      <c r="E1060" s="109" t="n"/>
      <c r="F1060" s="109" t="n"/>
      <c r="G1060" s="226" t="n"/>
      <c r="H1060" s="108" t="n"/>
      <c r="I1060" s="108" t="n"/>
      <c r="J1060" s="109" t="n"/>
      <c r="K1060" s="109" t="n"/>
      <c r="L1060" s="121">
        <f>IF($C1060="","",IF($D1060="Gider",$E1060,$H1060))</f>
        <v/>
      </c>
      <c r="M1060" s="121">
        <f>IF($C1060="","",IF($D1060="Gider",$H1060,$E1060))</f>
        <v/>
      </c>
      <c r="N1060" s="231">
        <f>IF($C1060="","",DATE(YEAR($C1060),MONTH($C1060),1))</f>
        <v/>
      </c>
      <c r="O1060" s="113">
        <f>IF($C1060="","",IF(AND($D1060&lt;&gt;"",$E1060&lt;&gt;"",$G1060&gt;0,$H1060&lt;&gt;"",$I1060&lt;&gt;""),IF($C1060&gt;TODAY(),"İLERİ TARİH","UYGUN"),"EKSİK"))</f>
        <v/>
      </c>
      <c r="P1060" s="6" t="n"/>
      <c r="Q1060" s="6" t="n"/>
      <c r="R1060" s="3" t="n"/>
      <c r="S1060" s="3" t="n"/>
      <c r="T1060" s="3" t="n"/>
      <c r="U1060" s="3" t="n"/>
      <c r="V1060" s="3" t="n"/>
      <c r="W1060" s="3" t="n"/>
    </row>
    <row r="1061">
      <c r="A1061" s="6" t="n"/>
      <c r="B1061" s="113">
        <f>IF($C1061="","","GG"&amp;TEXT(ROW()-6,"00000"))</f>
        <v/>
      </c>
      <c r="C1061" s="225" t="n"/>
      <c r="D1061" s="108" t="n"/>
      <c r="E1061" s="109" t="n"/>
      <c r="F1061" s="109" t="n"/>
      <c r="G1061" s="226" t="n"/>
      <c r="H1061" s="108" t="n"/>
      <c r="I1061" s="108" t="n"/>
      <c r="J1061" s="109" t="n"/>
      <c r="K1061" s="109" t="n"/>
      <c r="L1061" s="121">
        <f>IF($C1061="","",IF($D1061="Gider",$E1061,$H1061))</f>
        <v/>
      </c>
      <c r="M1061" s="121">
        <f>IF($C1061="","",IF($D1061="Gider",$H1061,$E1061))</f>
        <v/>
      </c>
      <c r="N1061" s="231">
        <f>IF($C1061="","",DATE(YEAR($C1061),MONTH($C1061),1))</f>
        <v/>
      </c>
      <c r="O1061" s="113">
        <f>IF($C1061="","",IF(AND($D1061&lt;&gt;"",$E1061&lt;&gt;"",$G1061&gt;0,$H1061&lt;&gt;"",$I1061&lt;&gt;""),IF($C1061&gt;TODAY(),"İLERİ TARİH","UYGUN"),"EKSİK"))</f>
        <v/>
      </c>
      <c r="P1061" s="6" t="n"/>
      <c r="Q1061" s="6" t="n"/>
      <c r="R1061" s="3" t="n"/>
      <c r="S1061" s="3" t="n"/>
      <c r="T1061" s="3" t="n"/>
      <c r="U1061" s="3" t="n"/>
      <c r="V1061" s="3" t="n"/>
      <c r="W1061" s="3" t="n"/>
    </row>
    <row r="1062">
      <c r="A1062" s="6" t="n"/>
      <c r="B1062" s="113">
        <f>IF($C1062="","","GG"&amp;TEXT(ROW()-6,"00000"))</f>
        <v/>
      </c>
      <c r="C1062" s="225" t="n"/>
      <c r="D1062" s="108" t="n"/>
      <c r="E1062" s="109" t="n"/>
      <c r="F1062" s="109" t="n"/>
      <c r="G1062" s="226" t="n"/>
      <c r="H1062" s="108" t="n"/>
      <c r="I1062" s="108" t="n"/>
      <c r="J1062" s="109" t="n"/>
      <c r="K1062" s="109" t="n"/>
      <c r="L1062" s="121">
        <f>IF($C1062="","",IF($D1062="Gider",$E1062,$H1062))</f>
        <v/>
      </c>
      <c r="M1062" s="121">
        <f>IF($C1062="","",IF($D1062="Gider",$H1062,$E1062))</f>
        <v/>
      </c>
      <c r="N1062" s="231">
        <f>IF($C1062="","",DATE(YEAR($C1062),MONTH($C1062),1))</f>
        <v/>
      </c>
      <c r="O1062" s="113">
        <f>IF($C1062="","",IF(AND($D1062&lt;&gt;"",$E1062&lt;&gt;"",$G1062&gt;0,$H1062&lt;&gt;"",$I1062&lt;&gt;""),IF($C1062&gt;TODAY(),"İLERİ TARİH","UYGUN"),"EKSİK"))</f>
        <v/>
      </c>
      <c r="P1062" s="6" t="n"/>
      <c r="Q1062" s="6" t="n"/>
      <c r="R1062" s="3" t="n"/>
      <c r="S1062" s="3" t="n"/>
      <c r="T1062" s="3" t="n"/>
      <c r="U1062" s="3" t="n"/>
      <c r="V1062" s="3" t="n"/>
      <c r="W1062" s="3" t="n"/>
    </row>
    <row r="1063">
      <c r="A1063" s="6" t="n"/>
      <c r="B1063" s="113">
        <f>IF($C1063="","","GG"&amp;TEXT(ROW()-6,"00000"))</f>
        <v/>
      </c>
      <c r="C1063" s="225" t="n"/>
      <c r="D1063" s="108" t="n"/>
      <c r="E1063" s="109" t="n"/>
      <c r="F1063" s="109" t="n"/>
      <c r="G1063" s="226" t="n"/>
      <c r="H1063" s="108" t="n"/>
      <c r="I1063" s="108" t="n"/>
      <c r="J1063" s="109" t="n"/>
      <c r="K1063" s="109" t="n"/>
      <c r="L1063" s="121">
        <f>IF($C1063="","",IF($D1063="Gider",$E1063,$H1063))</f>
        <v/>
      </c>
      <c r="M1063" s="121">
        <f>IF($C1063="","",IF($D1063="Gider",$H1063,$E1063))</f>
        <v/>
      </c>
      <c r="N1063" s="231">
        <f>IF($C1063="","",DATE(YEAR($C1063),MONTH($C1063),1))</f>
        <v/>
      </c>
      <c r="O1063" s="113">
        <f>IF($C1063="","",IF(AND($D1063&lt;&gt;"",$E1063&lt;&gt;"",$G1063&gt;0,$H1063&lt;&gt;"",$I1063&lt;&gt;""),IF($C1063&gt;TODAY(),"İLERİ TARİH","UYGUN"),"EKSİK"))</f>
        <v/>
      </c>
      <c r="P1063" s="6" t="n"/>
      <c r="Q1063" s="6" t="n"/>
      <c r="R1063" s="3" t="n"/>
      <c r="S1063" s="3" t="n"/>
      <c r="T1063" s="3" t="n"/>
      <c r="U1063" s="3" t="n"/>
      <c r="V1063" s="3" t="n"/>
      <c r="W1063" s="3" t="n"/>
    </row>
    <row r="1064">
      <c r="A1064" s="6" t="n"/>
      <c r="B1064" s="113">
        <f>IF($C1064="","","GG"&amp;TEXT(ROW()-6,"00000"))</f>
        <v/>
      </c>
      <c r="C1064" s="225" t="n"/>
      <c r="D1064" s="108" t="n"/>
      <c r="E1064" s="109" t="n"/>
      <c r="F1064" s="109" t="n"/>
      <c r="G1064" s="226" t="n"/>
      <c r="H1064" s="108" t="n"/>
      <c r="I1064" s="108" t="n"/>
      <c r="J1064" s="109" t="n"/>
      <c r="K1064" s="109" t="n"/>
      <c r="L1064" s="121">
        <f>IF($C1064="","",IF($D1064="Gider",$E1064,$H1064))</f>
        <v/>
      </c>
      <c r="M1064" s="121">
        <f>IF($C1064="","",IF($D1064="Gider",$H1064,$E1064))</f>
        <v/>
      </c>
      <c r="N1064" s="231">
        <f>IF($C1064="","",DATE(YEAR($C1064),MONTH($C1064),1))</f>
        <v/>
      </c>
      <c r="O1064" s="113">
        <f>IF($C1064="","",IF(AND($D1064&lt;&gt;"",$E1064&lt;&gt;"",$G1064&gt;0,$H1064&lt;&gt;"",$I1064&lt;&gt;""),IF($C1064&gt;TODAY(),"İLERİ TARİH","UYGUN"),"EKSİK"))</f>
        <v/>
      </c>
      <c r="P1064" s="6" t="n"/>
      <c r="Q1064" s="6" t="n"/>
      <c r="R1064" s="3" t="n"/>
      <c r="S1064" s="3" t="n"/>
      <c r="T1064" s="3" t="n"/>
      <c r="U1064" s="3" t="n"/>
      <c r="V1064" s="3" t="n"/>
      <c r="W1064" s="3" t="n"/>
    </row>
    <row r="1065">
      <c r="A1065" s="6" t="n"/>
      <c r="B1065" s="113">
        <f>IF($C1065="","","GG"&amp;TEXT(ROW()-6,"00000"))</f>
        <v/>
      </c>
      <c r="C1065" s="225" t="n"/>
      <c r="D1065" s="108" t="n"/>
      <c r="E1065" s="109" t="n"/>
      <c r="F1065" s="109" t="n"/>
      <c r="G1065" s="226" t="n"/>
      <c r="H1065" s="108" t="n"/>
      <c r="I1065" s="108" t="n"/>
      <c r="J1065" s="109" t="n"/>
      <c r="K1065" s="109" t="n"/>
      <c r="L1065" s="121">
        <f>IF($C1065="","",IF($D1065="Gider",$E1065,$H1065))</f>
        <v/>
      </c>
      <c r="M1065" s="121">
        <f>IF($C1065="","",IF($D1065="Gider",$H1065,$E1065))</f>
        <v/>
      </c>
      <c r="N1065" s="231">
        <f>IF($C1065="","",DATE(YEAR($C1065),MONTH($C1065),1))</f>
        <v/>
      </c>
      <c r="O1065" s="113">
        <f>IF($C1065="","",IF(AND($D1065&lt;&gt;"",$E1065&lt;&gt;"",$G1065&gt;0,$H1065&lt;&gt;"",$I1065&lt;&gt;""),IF($C1065&gt;TODAY(),"İLERİ TARİH","UYGUN"),"EKSİK"))</f>
        <v/>
      </c>
      <c r="P1065" s="6" t="n"/>
      <c r="Q1065" s="6" t="n"/>
      <c r="R1065" s="3" t="n"/>
      <c r="S1065" s="3" t="n"/>
      <c r="T1065" s="3" t="n"/>
      <c r="U1065" s="3" t="n"/>
      <c r="V1065" s="3" t="n"/>
      <c r="W1065" s="3" t="n"/>
    </row>
    <row r="1066">
      <c r="A1066" s="6" t="n"/>
      <c r="B1066" s="113">
        <f>IF($C1066="","","GG"&amp;TEXT(ROW()-6,"00000"))</f>
        <v/>
      </c>
      <c r="C1066" s="225" t="n"/>
      <c r="D1066" s="108" t="n"/>
      <c r="E1066" s="109" t="n"/>
      <c r="F1066" s="109" t="n"/>
      <c r="G1066" s="226" t="n"/>
      <c r="H1066" s="108" t="n"/>
      <c r="I1066" s="108" t="n"/>
      <c r="J1066" s="109" t="n"/>
      <c r="K1066" s="109" t="n"/>
      <c r="L1066" s="121">
        <f>IF($C1066="","",IF($D1066="Gider",$E1066,$H1066))</f>
        <v/>
      </c>
      <c r="M1066" s="121">
        <f>IF($C1066="","",IF($D1066="Gider",$H1066,$E1066))</f>
        <v/>
      </c>
      <c r="N1066" s="231">
        <f>IF($C1066="","",DATE(YEAR($C1066),MONTH($C1066),1))</f>
        <v/>
      </c>
      <c r="O1066" s="113">
        <f>IF($C1066="","",IF(AND($D1066&lt;&gt;"",$E1066&lt;&gt;"",$G1066&gt;0,$H1066&lt;&gt;"",$I1066&lt;&gt;""),IF($C1066&gt;TODAY(),"İLERİ TARİH","UYGUN"),"EKSİK"))</f>
        <v/>
      </c>
      <c r="P1066" s="6" t="n"/>
      <c r="Q1066" s="6" t="n"/>
      <c r="R1066" s="3" t="n"/>
      <c r="S1066" s="3" t="n"/>
      <c r="T1066" s="3" t="n"/>
      <c r="U1066" s="3" t="n"/>
      <c r="V1066" s="3" t="n"/>
      <c r="W1066" s="3" t="n"/>
    </row>
    <row r="1067">
      <c r="A1067" s="6" t="n"/>
      <c r="B1067" s="113">
        <f>IF($C1067="","","GG"&amp;TEXT(ROW()-6,"00000"))</f>
        <v/>
      </c>
      <c r="C1067" s="225" t="n"/>
      <c r="D1067" s="108" t="n"/>
      <c r="E1067" s="109" t="n"/>
      <c r="F1067" s="109" t="n"/>
      <c r="G1067" s="226" t="n"/>
      <c r="H1067" s="108" t="n"/>
      <c r="I1067" s="108" t="n"/>
      <c r="J1067" s="109" t="n"/>
      <c r="K1067" s="109" t="n"/>
      <c r="L1067" s="121">
        <f>IF($C1067="","",IF($D1067="Gider",$E1067,$H1067))</f>
        <v/>
      </c>
      <c r="M1067" s="121">
        <f>IF($C1067="","",IF($D1067="Gider",$H1067,$E1067))</f>
        <v/>
      </c>
      <c r="N1067" s="231">
        <f>IF($C1067="","",DATE(YEAR($C1067),MONTH($C1067),1))</f>
        <v/>
      </c>
      <c r="O1067" s="113">
        <f>IF($C1067="","",IF(AND($D1067&lt;&gt;"",$E1067&lt;&gt;"",$G1067&gt;0,$H1067&lt;&gt;"",$I1067&lt;&gt;""),IF($C1067&gt;TODAY(),"İLERİ TARİH","UYGUN"),"EKSİK"))</f>
        <v/>
      </c>
      <c r="P1067" s="6" t="n"/>
      <c r="Q1067" s="6" t="n"/>
      <c r="R1067" s="3" t="n"/>
      <c r="S1067" s="3" t="n"/>
      <c r="T1067" s="3" t="n"/>
      <c r="U1067" s="3" t="n"/>
      <c r="V1067" s="3" t="n"/>
      <c r="W1067" s="3" t="n"/>
    </row>
    <row r="1068">
      <c r="A1068" s="6" t="n"/>
      <c r="B1068" s="113">
        <f>IF($C1068="","","GG"&amp;TEXT(ROW()-6,"00000"))</f>
        <v/>
      </c>
      <c r="C1068" s="225" t="n"/>
      <c r="D1068" s="108" t="n"/>
      <c r="E1068" s="109" t="n"/>
      <c r="F1068" s="109" t="n"/>
      <c r="G1068" s="226" t="n"/>
      <c r="H1068" s="108" t="n"/>
      <c r="I1068" s="108" t="n"/>
      <c r="J1068" s="109" t="n"/>
      <c r="K1068" s="109" t="n"/>
      <c r="L1068" s="121">
        <f>IF($C1068="","",IF($D1068="Gider",$E1068,$H1068))</f>
        <v/>
      </c>
      <c r="M1068" s="121">
        <f>IF($C1068="","",IF($D1068="Gider",$H1068,$E1068))</f>
        <v/>
      </c>
      <c r="N1068" s="231">
        <f>IF($C1068="","",DATE(YEAR($C1068),MONTH($C1068),1))</f>
        <v/>
      </c>
      <c r="O1068" s="113">
        <f>IF($C1068="","",IF(AND($D1068&lt;&gt;"",$E1068&lt;&gt;"",$G1068&gt;0,$H1068&lt;&gt;"",$I1068&lt;&gt;""),IF($C1068&gt;TODAY(),"İLERİ TARİH","UYGUN"),"EKSİK"))</f>
        <v/>
      </c>
      <c r="P1068" s="6" t="n"/>
      <c r="Q1068" s="6" t="n"/>
      <c r="R1068" s="3" t="n"/>
      <c r="S1068" s="3" t="n"/>
      <c r="T1068" s="3" t="n"/>
      <c r="U1068" s="3" t="n"/>
      <c r="V1068" s="3" t="n"/>
      <c r="W1068" s="3" t="n"/>
    </row>
    <row r="1069">
      <c r="A1069" s="6" t="n"/>
      <c r="B1069" s="113">
        <f>IF($C1069="","","GG"&amp;TEXT(ROW()-6,"00000"))</f>
        <v/>
      </c>
      <c r="C1069" s="225" t="n"/>
      <c r="D1069" s="108" t="n"/>
      <c r="E1069" s="109" t="n"/>
      <c r="F1069" s="109" t="n"/>
      <c r="G1069" s="226" t="n"/>
      <c r="H1069" s="108" t="n"/>
      <c r="I1069" s="108" t="n"/>
      <c r="J1069" s="109" t="n"/>
      <c r="K1069" s="109" t="n"/>
      <c r="L1069" s="121">
        <f>IF($C1069="","",IF($D1069="Gider",$E1069,$H1069))</f>
        <v/>
      </c>
      <c r="M1069" s="121">
        <f>IF($C1069="","",IF($D1069="Gider",$H1069,$E1069))</f>
        <v/>
      </c>
      <c r="N1069" s="231">
        <f>IF($C1069="","",DATE(YEAR($C1069),MONTH($C1069),1))</f>
        <v/>
      </c>
      <c r="O1069" s="113">
        <f>IF($C1069="","",IF(AND($D1069&lt;&gt;"",$E1069&lt;&gt;"",$G1069&gt;0,$H1069&lt;&gt;"",$I1069&lt;&gt;""),IF($C1069&gt;TODAY(),"İLERİ TARİH","UYGUN"),"EKSİK"))</f>
        <v/>
      </c>
      <c r="P1069" s="6" t="n"/>
      <c r="Q1069" s="6" t="n"/>
      <c r="R1069" s="3" t="n"/>
      <c r="S1069" s="3" t="n"/>
      <c r="T1069" s="3" t="n"/>
      <c r="U1069" s="3" t="n"/>
      <c r="V1069" s="3" t="n"/>
      <c r="W1069" s="3" t="n"/>
    </row>
    <row r="1070">
      <c r="A1070" s="6" t="n"/>
      <c r="B1070" s="113">
        <f>IF($C1070="","","GG"&amp;TEXT(ROW()-6,"00000"))</f>
        <v/>
      </c>
      <c r="C1070" s="225" t="n"/>
      <c r="D1070" s="108" t="n"/>
      <c r="E1070" s="109" t="n"/>
      <c r="F1070" s="109" t="n"/>
      <c r="G1070" s="226" t="n"/>
      <c r="H1070" s="108" t="n"/>
      <c r="I1070" s="108" t="n"/>
      <c r="J1070" s="109" t="n"/>
      <c r="K1070" s="109" t="n"/>
      <c r="L1070" s="121">
        <f>IF($C1070="","",IF($D1070="Gider",$E1070,$H1070))</f>
        <v/>
      </c>
      <c r="M1070" s="121">
        <f>IF($C1070="","",IF($D1070="Gider",$H1070,$E1070))</f>
        <v/>
      </c>
      <c r="N1070" s="231">
        <f>IF($C1070="","",DATE(YEAR($C1070),MONTH($C1070),1))</f>
        <v/>
      </c>
      <c r="O1070" s="113">
        <f>IF($C1070="","",IF(AND($D1070&lt;&gt;"",$E1070&lt;&gt;"",$G1070&gt;0,$H1070&lt;&gt;"",$I1070&lt;&gt;""),IF($C1070&gt;TODAY(),"İLERİ TARİH","UYGUN"),"EKSİK"))</f>
        <v/>
      </c>
      <c r="P1070" s="6" t="n"/>
      <c r="Q1070" s="6" t="n"/>
      <c r="R1070" s="3" t="n"/>
      <c r="S1070" s="3" t="n"/>
      <c r="T1070" s="3" t="n"/>
      <c r="U1070" s="3" t="n"/>
      <c r="V1070" s="3" t="n"/>
      <c r="W1070" s="3" t="n"/>
    </row>
    <row r="1071">
      <c r="A1071" s="6" t="n"/>
      <c r="B1071" s="113">
        <f>IF($C1071="","","GG"&amp;TEXT(ROW()-6,"00000"))</f>
        <v/>
      </c>
      <c r="C1071" s="225" t="n"/>
      <c r="D1071" s="108" t="n"/>
      <c r="E1071" s="109" t="n"/>
      <c r="F1071" s="109" t="n"/>
      <c r="G1071" s="226" t="n"/>
      <c r="H1071" s="108" t="n"/>
      <c r="I1071" s="108" t="n"/>
      <c r="J1071" s="109" t="n"/>
      <c r="K1071" s="109" t="n"/>
      <c r="L1071" s="121">
        <f>IF($C1071="","",IF($D1071="Gider",$E1071,$H1071))</f>
        <v/>
      </c>
      <c r="M1071" s="121">
        <f>IF($C1071="","",IF($D1071="Gider",$H1071,$E1071))</f>
        <v/>
      </c>
      <c r="N1071" s="231">
        <f>IF($C1071="","",DATE(YEAR($C1071),MONTH($C1071),1))</f>
        <v/>
      </c>
      <c r="O1071" s="113">
        <f>IF($C1071="","",IF(AND($D1071&lt;&gt;"",$E1071&lt;&gt;"",$G1071&gt;0,$H1071&lt;&gt;"",$I1071&lt;&gt;""),IF($C1071&gt;TODAY(),"İLERİ TARİH","UYGUN"),"EKSİK"))</f>
        <v/>
      </c>
      <c r="P1071" s="6" t="n"/>
      <c r="Q1071" s="6" t="n"/>
      <c r="R1071" s="3" t="n"/>
      <c r="S1071" s="3" t="n"/>
      <c r="T1071" s="3" t="n"/>
      <c r="U1071" s="3" t="n"/>
      <c r="V1071" s="3" t="n"/>
      <c r="W1071" s="3" t="n"/>
    </row>
    <row r="1072">
      <c r="A1072" s="6" t="n"/>
      <c r="B1072" s="113">
        <f>IF($C1072="","","GG"&amp;TEXT(ROW()-6,"00000"))</f>
        <v/>
      </c>
      <c r="C1072" s="225" t="n"/>
      <c r="D1072" s="108" t="n"/>
      <c r="E1072" s="109" t="n"/>
      <c r="F1072" s="109" t="n"/>
      <c r="G1072" s="226" t="n"/>
      <c r="H1072" s="108" t="n"/>
      <c r="I1072" s="108" t="n"/>
      <c r="J1072" s="109" t="n"/>
      <c r="K1072" s="109" t="n"/>
      <c r="L1072" s="121">
        <f>IF($C1072="","",IF($D1072="Gider",$E1072,$H1072))</f>
        <v/>
      </c>
      <c r="M1072" s="121">
        <f>IF($C1072="","",IF($D1072="Gider",$H1072,$E1072))</f>
        <v/>
      </c>
      <c r="N1072" s="231">
        <f>IF($C1072="","",DATE(YEAR($C1072),MONTH($C1072),1))</f>
        <v/>
      </c>
      <c r="O1072" s="113">
        <f>IF($C1072="","",IF(AND($D1072&lt;&gt;"",$E1072&lt;&gt;"",$G1072&gt;0,$H1072&lt;&gt;"",$I1072&lt;&gt;""),IF($C1072&gt;TODAY(),"İLERİ TARİH","UYGUN"),"EKSİK"))</f>
        <v/>
      </c>
      <c r="P1072" s="6" t="n"/>
      <c r="Q1072" s="6" t="n"/>
      <c r="R1072" s="3" t="n"/>
      <c r="S1072" s="3" t="n"/>
      <c r="T1072" s="3" t="n"/>
      <c r="U1072" s="3" t="n"/>
      <c r="V1072" s="3" t="n"/>
      <c r="W1072" s="3" t="n"/>
    </row>
    <row r="1073">
      <c r="A1073" s="6" t="n"/>
      <c r="B1073" s="113">
        <f>IF($C1073="","","GG"&amp;TEXT(ROW()-6,"00000"))</f>
        <v/>
      </c>
      <c r="C1073" s="225" t="n"/>
      <c r="D1073" s="108" t="n"/>
      <c r="E1073" s="109" t="n"/>
      <c r="F1073" s="109" t="n"/>
      <c r="G1073" s="226" t="n"/>
      <c r="H1073" s="108" t="n"/>
      <c r="I1073" s="108" t="n"/>
      <c r="J1073" s="109" t="n"/>
      <c r="K1073" s="109" t="n"/>
      <c r="L1073" s="121">
        <f>IF($C1073="","",IF($D1073="Gider",$E1073,$H1073))</f>
        <v/>
      </c>
      <c r="M1073" s="121">
        <f>IF($C1073="","",IF($D1073="Gider",$H1073,$E1073))</f>
        <v/>
      </c>
      <c r="N1073" s="231">
        <f>IF($C1073="","",DATE(YEAR($C1073),MONTH($C1073),1))</f>
        <v/>
      </c>
      <c r="O1073" s="113">
        <f>IF($C1073="","",IF(AND($D1073&lt;&gt;"",$E1073&lt;&gt;"",$G1073&gt;0,$H1073&lt;&gt;"",$I1073&lt;&gt;""),IF($C1073&gt;TODAY(),"İLERİ TARİH","UYGUN"),"EKSİK"))</f>
        <v/>
      </c>
      <c r="P1073" s="6" t="n"/>
      <c r="Q1073" s="6" t="n"/>
      <c r="R1073" s="3" t="n"/>
      <c r="S1073" s="3" t="n"/>
      <c r="T1073" s="3" t="n"/>
      <c r="U1073" s="3" t="n"/>
      <c r="V1073" s="3" t="n"/>
      <c r="W1073" s="3" t="n"/>
    </row>
    <row r="1074">
      <c r="A1074" s="6" t="n"/>
      <c r="B1074" s="113">
        <f>IF($C1074="","","GG"&amp;TEXT(ROW()-6,"00000"))</f>
        <v/>
      </c>
      <c r="C1074" s="225" t="n"/>
      <c r="D1074" s="108" t="n"/>
      <c r="E1074" s="109" t="n"/>
      <c r="F1074" s="109" t="n"/>
      <c r="G1074" s="226" t="n"/>
      <c r="H1074" s="108" t="n"/>
      <c r="I1074" s="108" t="n"/>
      <c r="J1074" s="109" t="n"/>
      <c r="K1074" s="109" t="n"/>
      <c r="L1074" s="121">
        <f>IF($C1074="","",IF($D1074="Gider",$E1074,$H1074))</f>
        <v/>
      </c>
      <c r="M1074" s="121">
        <f>IF($C1074="","",IF($D1074="Gider",$H1074,$E1074))</f>
        <v/>
      </c>
      <c r="N1074" s="231">
        <f>IF($C1074="","",DATE(YEAR($C1074),MONTH($C1074),1))</f>
        <v/>
      </c>
      <c r="O1074" s="113">
        <f>IF($C1074="","",IF(AND($D1074&lt;&gt;"",$E1074&lt;&gt;"",$G1074&gt;0,$H1074&lt;&gt;"",$I1074&lt;&gt;""),IF($C1074&gt;TODAY(),"İLERİ TARİH","UYGUN"),"EKSİK"))</f>
        <v/>
      </c>
      <c r="P1074" s="6" t="n"/>
      <c r="Q1074" s="6" t="n"/>
      <c r="R1074" s="3" t="n"/>
      <c r="S1074" s="3" t="n"/>
      <c r="T1074" s="3" t="n"/>
      <c r="U1074" s="3" t="n"/>
      <c r="V1074" s="3" t="n"/>
      <c r="W1074" s="3" t="n"/>
    </row>
    <row r="1075">
      <c r="A1075" s="6" t="n"/>
      <c r="B1075" s="113">
        <f>IF($C1075="","","GG"&amp;TEXT(ROW()-6,"00000"))</f>
        <v/>
      </c>
      <c r="C1075" s="225" t="n"/>
      <c r="D1075" s="108" t="n"/>
      <c r="E1075" s="109" t="n"/>
      <c r="F1075" s="109" t="n"/>
      <c r="G1075" s="226" t="n"/>
      <c r="H1075" s="108" t="n"/>
      <c r="I1075" s="108" t="n"/>
      <c r="J1075" s="109" t="n"/>
      <c r="K1075" s="109" t="n"/>
      <c r="L1075" s="121">
        <f>IF($C1075="","",IF($D1075="Gider",$E1075,$H1075))</f>
        <v/>
      </c>
      <c r="M1075" s="121">
        <f>IF($C1075="","",IF($D1075="Gider",$H1075,$E1075))</f>
        <v/>
      </c>
      <c r="N1075" s="231">
        <f>IF($C1075="","",DATE(YEAR($C1075),MONTH($C1075),1))</f>
        <v/>
      </c>
      <c r="O1075" s="113">
        <f>IF($C1075="","",IF(AND($D1075&lt;&gt;"",$E1075&lt;&gt;"",$G1075&gt;0,$H1075&lt;&gt;"",$I1075&lt;&gt;""),IF($C1075&gt;TODAY(),"İLERİ TARİH","UYGUN"),"EKSİK"))</f>
        <v/>
      </c>
      <c r="P1075" s="6" t="n"/>
      <c r="Q1075" s="6" t="n"/>
      <c r="R1075" s="3" t="n"/>
      <c r="S1075" s="3" t="n"/>
      <c r="T1075" s="3" t="n"/>
      <c r="U1075" s="3" t="n"/>
      <c r="V1075" s="3" t="n"/>
      <c r="W1075" s="3" t="n"/>
    </row>
    <row r="1076">
      <c r="A1076" s="6" t="n"/>
      <c r="B1076" s="113">
        <f>IF($C1076="","","GG"&amp;TEXT(ROW()-6,"00000"))</f>
        <v/>
      </c>
      <c r="C1076" s="225" t="n"/>
      <c r="D1076" s="108" t="n"/>
      <c r="E1076" s="109" t="n"/>
      <c r="F1076" s="109" t="n"/>
      <c r="G1076" s="226" t="n"/>
      <c r="H1076" s="108" t="n"/>
      <c r="I1076" s="108" t="n"/>
      <c r="J1076" s="109" t="n"/>
      <c r="K1076" s="109" t="n"/>
      <c r="L1076" s="121">
        <f>IF($C1076="","",IF($D1076="Gider",$E1076,$H1076))</f>
        <v/>
      </c>
      <c r="M1076" s="121">
        <f>IF($C1076="","",IF($D1076="Gider",$H1076,$E1076))</f>
        <v/>
      </c>
      <c r="N1076" s="231">
        <f>IF($C1076="","",DATE(YEAR($C1076),MONTH($C1076),1))</f>
        <v/>
      </c>
      <c r="O1076" s="113">
        <f>IF($C1076="","",IF(AND($D1076&lt;&gt;"",$E1076&lt;&gt;"",$G1076&gt;0,$H1076&lt;&gt;"",$I1076&lt;&gt;""),IF($C1076&gt;TODAY(),"İLERİ TARİH","UYGUN"),"EKSİK"))</f>
        <v/>
      </c>
      <c r="P1076" s="6" t="n"/>
      <c r="Q1076" s="6" t="n"/>
      <c r="R1076" s="3" t="n"/>
      <c r="S1076" s="3" t="n"/>
      <c r="T1076" s="3" t="n"/>
      <c r="U1076" s="3" t="n"/>
      <c r="V1076" s="3" t="n"/>
      <c r="W1076" s="3" t="n"/>
    </row>
    <row r="1077">
      <c r="A1077" s="6" t="n"/>
      <c r="B1077" s="113">
        <f>IF($C1077="","","GG"&amp;TEXT(ROW()-6,"00000"))</f>
        <v/>
      </c>
      <c r="C1077" s="225" t="n"/>
      <c r="D1077" s="108" t="n"/>
      <c r="E1077" s="109" t="n"/>
      <c r="F1077" s="109" t="n"/>
      <c r="G1077" s="226" t="n"/>
      <c r="H1077" s="108" t="n"/>
      <c r="I1077" s="108" t="n"/>
      <c r="J1077" s="109" t="n"/>
      <c r="K1077" s="109" t="n"/>
      <c r="L1077" s="121">
        <f>IF($C1077="","",IF($D1077="Gider",$E1077,$H1077))</f>
        <v/>
      </c>
      <c r="M1077" s="121">
        <f>IF($C1077="","",IF($D1077="Gider",$H1077,$E1077))</f>
        <v/>
      </c>
      <c r="N1077" s="231">
        <f>IF($C1077="","",DATE(YEAR($C1077),MONTH($C1077),1))</f>
        <v/>
      </c>
      <c r="O1077" s="113">
        <f>IF($C1077="","",IF(AND($D1077&lt;&gt;"",$E1077&lt;&gt;"",$G1077&gt;0,$H1077&lt;&gt;"",$I1077&lt;&gt;""),IF($C1077&gt;TODAY(),"İLERİ TARİH","UYGUN"),"EKSİK"))</f>
        <v/>
      </c>
      <c r="P1077" s="6" t="n"/>
      <c r="Q1077" s="6" t="n"/>
      <c r="R1077" s="3" t="n"/>
      <c r="S1077" s="3" t="n"/>
      <c r="T1077" s="3" t="n"/>
      <c r="U1077" s="3" t="n"/>
      <c r="V1077" s="3" t="n"/>
      <c r="W1077" s="3" t="n"/>
    </row>
    <row r="1078">
      <c r="A1078" s="6" t="n"/>
      <c r="B1078" s="113">
        <f>IF($C1078="","","GG"&amp;TEXT(ROW()-6,"00000"))</f>
        <v/>
      </c>
      <c r="C1078" s="225" t="n"/>
      <c r="D1078" s="108" t="n"/>
      <c r="E1078" s="109" t="n"/>
      <c r="F1078" s="109" t="n"/>
      <c r="G1078" s="226" t="n"/>
      <c r="H1078" s="108" t="n"/>
      <c r="I1078" s="108" t="n"/>
      <c r="J1078" s="109" t="n"/>
      <c r="K1078" s="109" t="n"/>
      <c r="L1078" s="121">
        <f>IF($C1078="","",IF($D1078="Gider",$E1078,$H1078))</f>
        <v/>
      </c>
      <c r="M1078" s="121">
        <f>IF($C1078="","",IF($D1078="Gider",$H1078,$E1078))</f>
        <v/>
      </c>
      <c r="N1078" s="231">
        <f>IF($C1078="","",DATE(YEAR($C1078),MONTH($C1078),1))</f>
        <v/>
      </c>
      <c r="O1078" s="113">
        <f>IF($C1078="","",IF(AND($D1078&lt;&gt;"",$E1078&lt;&gt;"",$G1078&gt;0,$H1078&lt;&gt;"",$I1078&lt;&gt;""),IF($C1078&gt;TODAY(),"İLERİ TARİH","UYGUN"),"EKSİK"))</f>
        <v/>
      </c>
      <c r="P1078" s="6" t="n"/>
      <c r="Q1078" s="6" t="n"/>
      <c r="R1078" s="3" t="n"/>
      <c r="S1078" s="3" t="n"/>
      <c r="T1078" s="3" t="n"/>
      <c r="U1078" s="3" t="n"/>
      <c r="V1078" s="3" t="n"/>
      <c r="W1078" s="3" t="n"/>
    </row>
    <row r="1079">
      <c r="A1079" s="6" t="n"/>
      <c r="B1079" s="113">
        <f>IF($C1079="","","GG"&amp;TEXT(ROW()-6,"00000"))</f>
        <v/>
      </c>
      <c r="C1079" s="225" t="n"/>
      <c r="D1079" s="108" t="n"/>
      <c r="E1079" s="109" t="n"/>
      <c r="F1079" s="109" t="n"/>
      <c r="G1079" s="226" t="n"/>
      <c r="H1079" s="108" t="n"/>
      <c r="I1079" s="108" t="n"/>
      <c r="J1079" s="109" t="n"/>
      <c r="K1079" s="109" t="n"/>
      <c r="L1079" s="121">
        <f>IF($C1079="","",IF($D1079="Gider",$E1079,$H1079))</f>
        <v/>
      </c>
      <c r="M1079" s="121">
        <f>IF($C1079="","",IF($D1079="Gider",$H1079,$E1079))</f>
        <v/>
      </c>
      <c r="N1079" s="231">
        <f>IF($C1079="","",DATE(YEAR($C1079),MONTH($C1079),1))</f>
        <v/>
      </c>
      <c r="O1079" s="113">
        <f>IF($C1079="","",IF(AND($D1079&lt;&gt;"",$E1079&lt;&gt;"",$G1079&gt;0,$H1079&lt;&gt;"",$I1079&lt;&gt;""),IF($C1079&gt;TODAY(),"İLERİ TARİH","UYGUN"),"EKSİK"))</f>
        <v/>
      </c>
      <c r="P1079" s="6" t="n"/>
      <c r="Q1079" s="6" t="n"/>
      <c r="R1079" s="3" t="n"/>
      <c r="S1079" s="3" t="n"/>
      <c r="T1079" s="3" t="n"/>
      <c r="U1079" s="3" t="n"/>
      <c r="V1079" s="3" t="n"/>
      <c r="W1079" s="3" t="n"/>
    </row>
    <row r="1080">
      <c r="A1080" s="6" t="n"/>
      <c r="B1080" s="113">
        <f>IF($C1080="","","GG"&amp;TEXT(ROW()-6,"00000"))</f>
        <v/>
      </c>
      <c r="C1080" s="225" t="n"/>
      <c r="D1080" s="108" t="n"/>
      <c r="E1080" s="109" t="n"/>
      <c r="F1080" s="109" t="n"/>
      <c r="G1080" s="226" t="n"/>
      <c r="H1080" s="108" t="n"/>
      <c r="I1080" s="108" t="n"/>
      <c r="J1080" s="109" t="n"/>
      <c r="K1080" s="109" t="n"/>
      <c r="L1080" s="121">
        <f>IF($C1080="","",IF($D1080="Gider",$E1080,$H1080))</f>
        <v/>
      </c>
      <c r="M1080" s="121">
        <f>IF($C1080="","",IF($D1080="Gider",$H1080,$E1080))</f>
        <v/>
      </c>
      <c r="N1080" s="231">
        <f>IF($C1080="","",DATE(YEAR($C1080),MONTH($C1080),1))</f>
        <v/>
      </c>
      <c r="O1080" s="113">
        <f>IF($C1080="","",IF(AND($D1080&lt;&gt;"",$E1080&lt;&gt;"",$G1080&gt;0,$H1080&lt;&gt;"",$I1080&lt;&gt;""),IF($C1080&gt;TODAY(),"İLERİ TARİH","UYGUN"),"EKSİK"))</f>
        <v/>
      </c>
      <c r="P1080" s="6" t="n"/>
      <c r="Q1080" s="6" t="n"/>
      <c r="R1080" s="3" t="n"/>
      <c r="S1080" s="3" t="n"/>
      <c r="T1080" s="3" t="n"/>
      <c r="U1080" s="3" t="n"/>
      <c r="V1080" s="3" t="n"/>
      <c r="W1080" s="3" t="n"/>
    </row>
    <row r="1081">
      <c r="A1081" s="6" t="n"/>
      <c r="B1081" s="113">
        <f>IF($C1081="","","GG"&amp;TEXT(ROW()-6,"00000"))</f>
        <v/>
      </c>
      <c r="C1081" s="225" t="n"/>
      <c r="D1081" s="108" t="n"/>
      <c r="E1081" s="109" t="n"/>
      <c r="F1081" s="109" t="n"/>
      <c r="G1081" s="226" t="n"/>
      <c r="H1081" s="108" t="n"/>
      <c r="I1081" s="108" t="n"/>
      <c r="J1081" s="109" t="n"/>
      <c r="K1081" s="109" t="n"/>
      <c r="L1081" s="121">
        <f>IF($C1081="","",IF($D1081="Gider",$E1081,$H1081))</f>
        <v/>
      </c>
      <c r="M1081" s="121">
        <f>IF($C1081="","",IF($D1081="Gider",$H1081,$E1081))</f>
        <v/>
      </c>
      <c r="N1081" s="231">
        <f>IF($C1081="","",DATE(YEAR($C1081),MONTH($C1081),1))</f>
        <v/>
      </c>
      <c r="O1081" s="113">
        <f>IF($C1081="","",IF(AND($D1081&lt;&gt;"",$E1081&lt;&gt;"",$G1081&gt;0,$H1081&lt;&gt;"",$I1081&lt;&gt;""),IF($C1081&gt;TODAY(),"İLERİ TARİH","UYGUN"),"EKSİK"))</f>
        <v/>
      </c>
      <c r="P1081" s="6" t="n"/>
      <c r="Q1081" s="6" t="n"/>
      <c r="R1081" s="3" t="n"/>
      <c r="S1081" s="3" t="n"/>
      <c r="T1081" s="3" t="n"/>
      <c r="U1081" s="3" t="n"/>
      <c r="V1081" s="3" t="n"/>
      <c r="W1081" s="3" t="n"/>
    </row>
    <row r="1082">
      <c r="A1082" s="6" t="n"/>
      <c r="B1082" s="113">
        <f>IF($C1082="","","GG"&amp;TEXT(ROW()-6,"00000"))</f>
        <v/>
      </c>
      <c r="C1082" s="225" t="n"/>
      <c r="D1082" s="108" t="n"/>
      <c r="E1082" s="109" t="n"/>
      <c r="F1082" s="109" t="n"/>
      <c r="G1082" s="226" t="n"/>
      <c r="H1082" s="108" t="n"/>
      <c r="I1082" s="108" t="n"/>
      <c r="J1082" s="109" t="n"/>
      <c r="K1082" s="109" t="n"/>
      <c r="L1082" s="121">
        <f>IF($C1082="","",IF($D1082="Gider",$E1082,$H1082))</f>
        <v/>
      </c>
      <c r="M1082" s="121">
        <f>IF($C1082="","",IF($D1082="Gider",$H1082,$E1082))</f>
        <v/>
      </c>
      <c r="N1082" s="231">
        <f>IF($C1082="","",DATE(YEAR($C1082),MONTH($C1082),1))</f>
        <v/>
      </c>
      <c r="O1082" s="113">
        <f>IF($C1082="","",IF(AND($D1082&lt;&gt;"",$E1082&lt;&gt;"",$G1082&gt;0,$H1082&lt;&gt;"",$I1082&lt;&gt;""),IF($C1082&gt;TODAY(),"İLERİ TARİH","UYGUN"),"EKSİK"))</f>
        <v/>
      </c>
      <c r="P1082" s="6" t="n"/>
      <c r="Q1082" s="6" t="n"/>
      <c r="R1082" s="3" t="n"/>
      <c r="S1082" s="3" t="n"/>
      <c r="T1082" s="3" t="n"/>
      <c r="U1082" s="3" t="n"/>
      <c r="V1082" s="3" t="n"/>
      <c r="W1082" s="3" t="n"/>
    </row>
    <row r="1083">
      <c r="A1083" s="6" t="n"/>
      <c r="B1083" s="113">
        <f>IF($C1083="","","GG"&amp;TEXT(ROW()-6,"00000"))</f>
        <v/>
      </c>
      <c r="C1083" s="225" t="n"/>
      <c r="D1083" s="108" t="n"/>
      <c r="E1083" s="109" t="n"/>
      <c r="F1083" s="109" t="n"/>
      <c r="G1083" s="226" t="n"/>
      <c r="H1083" s="108" t="n"/>
      <c r="I1083" s="108" t="n"/>
      <c r="J1083" s="109" t="n"/>
      <c r="K1083" s="109" t="n"/>
      <c r="L1083" s="121">
        <f>IF($C1083="","",IF($D1083="Gider",$E1083,$H1083))</f>
        <v/>
      </c>
      <c r="M1083" s="121">
        <f>IF($C1083="","",IF($D1083="Gider",$H1083,$E1083))</f>
        <v/>
      </c>
      <c r="N1083" s="231">
        <f>IF($C1083="","",DATE(YEAR($C1083),MONTH($C1083),1))</f>
        <v/>
      </c>
      <c r="O1083" s="113">
        <f>IF($C1083="","",IF(AND($D1083&lt;&gt;"",$E1083&lt;&gt;"",$G1083&gt;0,$H1083&lt;&gt;"",$I1083&lt;&gt;""),IF($C1083&gt;TODAY(),"İLERİ TARİH","UYGUN"),"EKSİK"))</f>
        <v/>
      </c>
      <c r="P1083" s="6" t="n"/>
      <c r="Q1083" s="6" t="n"/>
      <c r="R1083" s="3" t="n"/>
      <c r="S1083" s="3" t="n"/>
      <c r="T1083" s="3" t="n"/>
      <c r="U1083" s="3" t="n"/>
      <c r="V1083" s="3" t="n"/>
      <c r="W1083" s="3" t="n"/>
    </row>
    <row r="1084">
      <c r="A1084" s="6" t="n"/>
      <c r="B1084" s="113">
        <f>IF($C1084="","","GG"&amp;TEXT(ROW()-6,"00000"))</f>
        <v/>
      </c>
      <c r="C1084" s="225" t="n"/>
      <c r="D1084" s="108" t="n"/>
      <c r="E1084" s="109" t="n"/>
      <c r="F1084" s="109" t="n"/>
      <c r="G1084" s="226" t="n"/>
      <c r="H1084" s="108" t="n"/>
      <c r="I1084" s="108" t="n"/>
      <c r="J1084" s="109" t="n"/>
      <c r="K1084" s="109" t="n"/>
      <c r="L1084" s="121">
        <f>IF($C1084="","",IF($D1084="Gider",$E1084,$H1084))</f>
        <v/>
      </c>
      <c r="M1084" s="121">
        <f>IF($C1084="","",IF($D1084="Gider",$H1084,$E1084))</f>
        <v/>
      </c>
      <c r="N1084" s="231">
        <f>IF($C1084="","",DATE(YEAR($C1084),MONTH($C1084),1))</f>
        <v/>
      </c>
      <c r="O1084" s="113">
        <f>IF($C1084="","",IF(AND($D1084&lt;&gt;"",$E1084&lt;&gt;"",$G1084&gt;0,$H1084&lt;&gt;"",$I1084&lt;&gt;""),IF($C1084&gt;TODAY(),"İLERİ TARİH","UYGUN"),"EKSİK"))</f>
        <v/>
      </c>
      <c r="P1084" s="6" t="n"/>
      <c r="Q1084" s="6" t="n"/>
      <c r="R1084" s="3" t="n"/>
      <c r="S1084" s="3" t="n"/>
      <c r="T1084" s="3" t="n"/>
      <c r="U1084" s="3" t="n"/>
      <c r="V1084" s="3" t="n"/>
      <c r="W1084" s="3" t="n"/>
    </row>
    <row r="1085">
      <c r="A1085" s="6" t="n"/>
      <c r="B1085" s="113">
        <f>IF($C1085="","","GG"&amp;TEXT(ROW()-6,"00000"))</f>
        <v/>
      </c>
      <c r="C1085" s="225" t="n"/>
      <c r="D1085" s="108" t="n"/>
      <c r="E1085" s="109" t="n"/>
      <c r="F1085" s="109" t="n"/>
      <c r="G1085" s="226" t="n"/>
      <c r="H1085" s="108" t="n"/>
      <c r="I1085" s="108" t="n"/>
      <c r="J1085" s="109" t="n"/>
      <c r="K1085" s="109" t="n"/>
      <c r="L1085" s="121">
        <f>IF($C1085="","",IF($D1085="Gider",$E1085,$H1085))</f>
        <v/>
      </c>
      <c r="M1085" s="121">
        <f>IF($C1085="","",IF($D1085="Gider",$H1085,$E1085))</f>
        <v/>
      </c>
      <c r="N1085" s="231">
        <f>IF($C1085="","",DATE(YEAR($C1085),MONTH($C1085),1))</f>
        <v/>
      </c>
      <c r="O1085" s="113">
        <f>IF($C1085="","",IF(AND($D1085&lt;&gt;"",$E1085&lt;&gt;"",$G1085&gt;0,$H1085&lt;&gt;"",$I1085&lt;&gt;""),IF($C1085&gt;TODAY(),"İLERİ TARİH","UYGUN"),"EKSİK"))</f>
        <v/>
      </c>
      <c r="P1085" s="6" t="n"/>
      <c r="Q1085" s="6" t="n"/>
      <c r="R1085" s="3" t="n"/>
      <c r="S1085" s="3" t="n"/>
      <c r="T1085" s="3" t="n"/>
      <c r="U1085" s="3" t="n"/>
      <c r="V1085" s="3" t="n"/>
      <c r="W1085" s="3" t="n"/>
    </row>
    <row r="1086">
      <c r="A1086" s="6" t="n"/>
      <c r="B1086" s="113">
        <f>IF($C1086="","","GG"&amp;TEXT(ROW()-6,"00000"))</f>
        <v/>
      </c>
      <c r="C1086" s="225" t="n"/>
      <c r="D1086" s="108" t="n"/>
      <c r="E1086" s="109" t="n"/>
      <c r="F1086" s="109" t="n"/>
      <c r="G1086" s="226" t="n"/>
      <c r="H1086" s="108" t="n"/>
      <c r="I1086" s="108" t="n"/>
      <c r="J1086" s="109" t="n"/>
      <c r="K1086" s="109" t="n"/>
      <c r="L1086" s="121">
        <f>IF($C1086="","",IF($D1086="Gider",$E1086,$H1086))</f>
        <v/>
      </c>
      <c r="M1086" s="121">
        <f>IF($C1086="","",IF($D1086="Gider",$H1086,$E1086))</f>
        <v/>
      </c>
      <c r="N1086" s="231">
        <f>IF($C1086="","",DATE(YEAR($C1086),MONTH($C1086),1))</f>
        <v/>
      </c>
      <c r="O1086" s="113">
        <f>IF($C1086="","",IF(AND($D1086&lt;&gt;"",$E1086&lt;&gt;"",$G1086&gt;0,$H1086&lt;&gt;"",$I1086&lt;&gt;""),IF($C1086&gt;TODAY(),"İLERİ TARİH","UYGUN"),"EKSİK"))</f>
        <v/>
      </c>
      <c r="P1086" s="6" t="n"/>
      <c r="Q1086" s="6" t="n"/>
      <c r="R1086" s="3" t="n"/>
      <c r="S1086" s="3" t="n"/>
      <c r="T1086" s="3" t="n"/>
      <c r="U1086" s="3" t="n"/>
      <c r="V1086" s="3" t="n"/>
      <c r="W1086" s="3" t="n"/>
    </row>
    <row r="1087">
      <c r="A1087" s="6" t="n"/>
      <c r="B1087" s="113">
        <f>IF($C1087="","","GG"&amp;TEXT(ROW()-6,"00000"))</f>
        <v/>
      </c>
      <c r="C1087" s="225" t="n"/>
      <c r="D1087" s="108" t="n"/>
      <c r="E1087" s="109" t="n"/>
      <c r="F1087" s="109" t="n"/>
      <c r="G1087" s="226" t="n"/>
      <c r="H1087" s="108" t="n"/>
      <c r="I1087" s="108" t="n"/>
      <c r="J1087" s="109" t="n"/>
      <c r="K1087" s="109" t="n"/>
      <c r="L1087" s="121">
        <f>IF($C1087="","",IF($D1087="Gider",$E1087,$H1087))</f>
        <v/>
      </c>
      <c r="M1087" s="121">
        <f>IF($C1087="","",IF($D1087="Gider",$H1087,$E1087))</f>
        <v/>
      </c>
      <c r="N1087" s="231">
        <f>IF($C1087="","",DATE(YEAR($C1087),MONTH($C1087),1))</f>
        <v/>
      </c>
      <c r="O1087" s="113">
        <f>IF($C1087="","",IF(AND($D1087&lt;&gt;"",$E1087&lt;&gt;"",$G1087&gt;0,$H1087&lt;&gt;"",$I1087&lt;&gt;""),IF($C1087&gt;TODAY(),"İLERİ TARİH","UYGUN"),"EKSİK"))</f>
        <v/>
      </c>
      <c r="P1087" s="6" t="n"/>
      <c r="Q1087" s="6" t="n"/>
      <c r="R1087" s="3" t="n"/>
      <c r="S1087" s="3" t="n"/>
      <c r="T1087" s="3" t="n"/>
      <c r="U1087" s="3" t="n"/>
      <c r="V1087" s="3" t="n"/>
      <c r="W1087" s="3" t="n"/>
    </row>
    <row r="1088">
      <c r="A1088" s="6" t="n"/>
      <c r="B1088" s="113">
        <f>IF($C1088="","","GG"&amp;TEXT(ROW()-6,"00000"))</f>
        <v/>
      </c>
      <c r="C1088" s="225" t="n"/>
      <c r="D1088" s="108" t="n"/>
      <c r="E1088" s="109" t="n"/>
      <c r="F1088" s="109" t="n"/>
      <c r="G1088" s="226" t="n"/>
      <c r="H1088" s="108" t="n"/>
      <c r="I1088" s="108" t="n"/>
      <c r="J1088" s="109" t="n"/>
      <c r="K1088" s="109" t="n"/>
      <c r="L1088" s="121">
        <f>IF($C1088="","",IF($D1088="Gider",$E1088,$H1088))</f>
        <v/>
      </c>
      <c r="M1088" s="121">
        <f>IF($C1088="","",IF($D1088="Gider",$H1088,$E1088))</f>
        <v/>
      </c>
      <c r="N1088" s="231">
        <f>IF($C1088="","",DATE(YEAR($C1088),MONTH($C1088),1))</f>
        <v/>
      </c>
      <c r="O1088" s="113">
        <f>IF($C1088="","",IF(AND($D1088&lt;&gt;"",$E1088&lt;&gt;"",$G1088&gt;0,$H1088&lt;&gt;"",$I1088&lt;&gt;""),IF($C1088&gt;TODAY(),"İLERİ TARİH","UYGUN"),"EKSİK"))</f>
        <v/>
      </c>
      <c r="P1088" s="6" t="n"/>
      <c r="Q1088" s="6" t="n"/>
      <c r="R1088" s="3" t="n"/>
      <c r="S1088" s="3" t="n"/>
      <c r="T1088" s="3" t="n"/>
      <c r="U1088" s="3" t="n"/>
      <c r="V1088" s="3" t="n"/>
      <c r="W1088" s="3" t="n"/>
    </row>
    <row r="1089">
      <c r="A1089" s="6" t="n"/>
      <c r="B1089" s="113">
        <f>IF($C1089="","","GG"&amp;TEXT(ROW()-6,"00000"))</f>
        <v/>
      </c>
      <c r="C1089" s="225" t="n"/>
      <c r="D1089" s="108" t="n"/>
      <c r="E1089" s="109" t="n"/>
      <c r="F1089" s="109" t="n"/>
      <c r="G1089" s="226" t="n"/>
      <c r="H1089" s="108" t="n"/>
      <c r="I1089" s="108" t="n"/>
      <c r="J1089" s="109" t="n"/>
      <c r="K1089" s="109" t="n"/>
      <c r="L1089" s="121">
        <f>IF($C1089="","",IF($D1089="Gider",$E1089,$H1089))</f>
        <v/>
      </c>
      <c r="M1089" s="121">
        <f>IF($C1089="","",IF($D1089="Gider",$H1089,$E1089))</f>
        <v/>
      </c>
      <c r="N1089" s="231">
        <f>IF($C1089="","",DATE(YEAR($C1089),MONTH($C1089),1))</f>
        <v/>
      </c>
      <c r="O1089" s="113">
        <f>IF($C1089="","",IF(AND($D1089&lt;&gt;"",$E1089&lt;&gt;"",$G1089&gt;0,$H1089&lt;&gt;"",$I1089&lt;&gt;""),IF($C1089&gt;TODAY(),"İLERİ TARİH","UYGUN"),"EKSİK"))</f>
        <v/>
      </c>
      <c r="P1089" s="6" t="n"/>
      <c r="Q1089" s="6" t="n"/>
      <c r="R1089" s="3" t="n"/>
      <c r="S1089" s="3" t="n"/>
      <c r="T1089" s="3" t="n"/>
      <c r="U1089" s="3" t="n"/>
      <c r="V1089" s="3" t="n"/>
      <c r="W1089" s="3" t="n"/>
    </row>
    <row r="1090">
      <c r="A1090" s="6" t="n"/>
      <c r="B1090" s="113">
        <f>IF($C1090="","","GG"&amp;TEXT(ROW()-6,"00000"))</f>
        <v/>
      </c>
      <c r="C1090" s="225" t="n"/>
      <c r="D1090" s="108" t="n"/>
      <c r="E1090" s="109" t="n"/>
      <c r="F1090" s="109" t="n"/>
      <c r="G1090" s="226" t="n"/>
      <c r="H1090" s="108" t="n"/>
      <c r="I1090" s="108" t="n"/>
      <c r="J1090" s="109" t="n"/>
      <c r="K1090" s="109" t="n"/>
      <c r="L1090" s="121">
        <f>IF($C1090="","",IF($D1090="Gider",$E1090,$H1090))</f>
        <v/>
      </c>
      <c r="M1090" s="121">
        <f>IF($C1090="","",IF($D1090="Gider",$H1090,$E1090))</f>
        <v/>
      </c>
      <c r="N1090" s="231">
        <f>IF($C1090="","",DATE(YEAR($C1090),MONTH($C1090),1))</f>
        <v/>
      </c>
      <c r="O1090" s="113">
        <f>IF($C1090="","",IF(AND($D1090&lt;&gt;"",$E1090&lt;&gt;"",$G1090&gt;0,$H1090&lt;&gt;"",$I1090&lt;&gt;""),IF($C1090&gt;TODAY(),"İLERİ TARİH","UYGUN"),"EKSİK"))</f>
        <v/>
      </c>
      <c r="P1090" s="6" t="n"/>
      <c r="Q1090" s="6" t="n"/>
      <c r="R1090" s="3" t="n"/>
      <c r="S1090" s="3" t="n"/>
      <c r="T1090" s="3" t="n"/>
      <c r="U1090" s="3" t="n"/>
      <c r="V1090" s="3" t="n"/>
      <c r="W1090" s="3" t="n"/>
    </row>
    <row r="1091">
      <c r="A1091" s="6" t="n"/>
      <c r="B1091" s="113">
        <f>IF($C1091="","","GG"&amp;TEXT(ROW()-6,"00000"))</f>
        <v/>
      </c>
      <c r="C1091" s="225" t="n"/>
      <c r="D1091" s="108" t="n"/>
      <c r="E1091" s="109" t="n"/>
      <c r="F1091" s="109" t="n"/>
      <c r="G1091" s="226" t="n"/>
      <c r="H1091" s="108" t="n"/>
      <c r="I1091" s="108" t="n"/>
      <c r="J1091" s="109" t="n"/>
      <c r="K1091" s="109" t="n"/>
      <c r="L1091" s="121">
        <f>IF($C1091="","",IF($D1091="Gider",$E1091,$H1091))</f>
        <v/>
      </c>
      <c r="M1091" s="121">
        <f>IF($C1091="","",IF($D1091="Gider",$H1091,$E1091))</f>
        <v/>
      </c>
      <c r="N1091" s="231">
        <f>IF($C1091="","",DATE(YEAR($C1091),MONTH($C1091),1))</f>
        <v/>
      </c>
      <c r="O1091" s="113">
        <f>IF($C1091="","",IF(AND($D1091&lt;&gt;"",$E1091&lt;&gt;"",$G1091&gt;0,$H1091&lt;&gt;"",$I1091&lt;&gt;""),IF($C1091&gt;TODAY(),"İLERİ TARİH","UYGUN"),"EKSİK"))</f>
        <v/>
      </c>
      <c r="P1091" s="6" t="n"/>
      <c r="Q1091" s="6" t="n"/>
      <c r="R1091" s="3" t="n"/>
      <c r="S1091" s="3" t="n"/>
      <c r="T1091" s="3" t="n"/>
      <c r="U1091" s="3" t="n"/>
      <c r="V1091" s="3" t="n"/>
      <c r="W1091" s="3" t="n"/>
    </row>
    <row r="1092">
      <c r="A1092" s="6" t="n"/>
      <c r="B1092" s="113">
        <f>IF($C1092="","","GG"&amp;TEXT(ROW()-6,"00000"))</f>
        <v/>
      </c>
      <c r="C1092" s="225" t="n"/>
      <c r="D1092" s="108" t="n"/>
      <c r="E1092" s="109" t="n"/>
      <c r="F1092" s="109" t="n"/>
      <c r="G1092" s="226" t="n"/>
      <c r="H1092" s="108" t="n"/>
      <c r="I1092" s="108" t="n"/>
      <c r="J1092" s="109" t="n"/>
      <c r="K1092" s="109" t="n"/>
      <c r="L1092" s="121">
        <f>IF($C1092="","",IF($D1092="Gider",$E1092,$H1092))</f>
        <v/>
      </c>
      <c r="M1092" s="121">
        <f>IF($C1092="","",IF($D1092="Gider",$H1092,$E1092))</f>
        <v/>
      </c>
      <c r="N1092" s="231">
        <f>IF($C1092="","",DATE(YEAR($C1092),MONTH($C1092),1))</f>
        <v/>
      </c>
      <c r="O1092" s="113">
        <f>IF($C1092="","",IF(AND($D1092&lt;&gt;"",$E1092&lt;&gt;"",$G1092&gt;0,$H1092&lt;&gt;"",$I1092&lt;&gt;""),IF($C1092&gt;TODAY(),"İLERİ TARİH","UYGUN"),"EKSİK"))</f>
        <v/>
      </c>
      <c r="P1092" s="6" t="n"/>
      <c r="Q1092" s="6" t="n"/>
      <c r="R1092" s="3" t="n"/>
      <c r="S1092" s="3" t="n"/>
      <c r="T1092" s="3" t="n"/>
      <c r="U1092" s="3" t="n"/>
      <c r="V1092" s="3" t="n"/>
      <c r="W1092" s="3" t="n"/>
    </row>
    <row r="1093">
      <c r="A1093" s="6" t="n"/>
      <c r="B1093" s="113">
        <f>IF($C1093="","","GG"&amp;TEXT(ROW()-6,"00000"))</f>
        <v/>
      </c>
      <c r="C1093" s="225" t="n"/>
      <c r="D1093" s="108" t="n"/>
      <c r="E1093" s="109" t="n"/>
      <c r="F1093" s="109" t="n"/>
      <c r="G1093" s="226" t="n"/>
      <c r="H1093" s="108" t="n"/>
      <c r="I1093" s="108" t="n"/>
      <c r="J1093" s="109" t="n"/>
      <c r="K1093" s="109" t="n"/>
      <c r="L1093" s="121">
        <f>IF($C1093="","",IF($D1093="Gider",$E1093,$H1093))</f>
        <v/>
      </c>
      <c r="M1093" s="121">
        <f>IF($C1093="","",IF($D1093="Gider",$H1093,$E1093))</f>
        <v/>
      </c>
      <c r="N1093" s="231">
        <f>IF($C1093="","",DATE(YEAR($C1093),MONTH($C1093),1))</f>
        <v/>
      </c>
      <c r="O1093" s="113">
        <f>IF($C1093="","",IF(AND($D1093&lt;&gt;"",$E1093&lt;&gt;"",$G1093&gt;0,$H1093&lt;&gt;"",$I1093&lt;&gt;""),IF($C1093&gt;TODAY(),"İLERİ TARİH","UYGUN"),"EKSİK"))</f>
        <v/>
      </c>
      <c r="P1093" s="6" t="n"/>
      <c r="Q1093" s="6" t="n"/>
      <c r="R1093" s="3" t="n"/>
      <c r="S1093" s="3" t="n"/>
      <c r="T1093" s="3" t="n"/>
      <c r="U1093" s="3" t="n"/>
      <c r="V1093" s="3" t="n"/>
      <c r="W1093" s="3" t="n"/>
    </row>
    <row r="1094">
      <c r="A1094" s="6" t="n"/>
      <c r="B1094" s="113">
        <f>IF($C1094="","","GG"&amp;TEXT(ROW()-6,"00000"))</f>
        <v/>
      </c>
      <c r="C1094" s="225" t="n"/>
      <c r="D1094" s="108" t="n"/>
      <c r="E1094" s="109" t="n"/>
      <c r="F1094" s="109" t="n"/>
      <c r="G1094" s="226" t="n"/>
      <c r="H1094" s="108" t="n"/>
      <c r="I1094" s="108" t="n"/>
      <c r="J1094" s="109" t="n"/>
      <c r="K1094" s="109" t="n"/>
      <c r="L1094" s="121">
        <f>IF($C1094="","",IF($D1094="Gider",$E1094,$H1094))</f>
        <v/>
      </c>
      <c r="M1094" s="121">
        <f>IF($C1094="","",IF($D1094="Gider",$H1094,$E1094))</f>
        <v/>
      </c>
      <c r="N1094" s="231">
        <f>IF($C1094="","",DATE(YEAR($C1094),MONTH($C1094),1))</f>
        <v/>
      </c>
      <c r="O1094" s="113">
        <f>IF($C1094="","",IF(AND($D1094&lt;&gt;"",$E1094&lt;&gt;"",$G1094&gt;0,$H1094&lt;&gt;"",$I1094&lt;&gt;""),IF($C1094&gt;TODAY(),"İLERİ TARİH","UYGUN"),"EKSİK"))</f>
        <v/>
      </c>
      <c r="P1094" s="6" t="n"/>
      <c r="Q1094" s="6" t="n"/>
      <c r="R1094" s="3" t="n"/>
      <c r="S1094" s="3" t="n"/>
      <c r="T1094" s="3" t="n"/>
      <c r="U1094" s="3" t="n"/>
      <c r="V1094" s="3" t="n"/>
      <c r="W1094" s="3" t="n"/>
    </row>
    <row r="1095">
      <c r="A1095" s="6" t="n"/>
      <c r="B1095" s="113">
        <f>IF($C1095="","","GG"&amp;TEXT(ROW()-6,"00000"))</f>
        <v/>
      </c>
      <c r="C1095" s="225" t="n"/>
      <c r="D1095" s="108" t="n"/>
      <c r="E1095" s="109" t="n"/>
      <c r="F1095" s="109" t="n"/>
      <c r="G1095" s="226" t="n"/>
      <c r="H1095" s="108" t="n"/>
      <c r="I1095" s="108" t="n"/>
      <c r="J1095" s="109" t="n"/>
      <c r="K1095" s="109" t="n"/>
      <c r="L1095" s="121">
        <f>IF($C1095="","",IF($D1095="Gider",$E1095,$H1095))</f>
        <v/>
      </c>
      <c r="M1095" s="121">
        <f>IF($C1095="","",IF($D1095="Gider",$H1095,$E1095))</f>
        <v/>
      </c>
      <c r="N1095" s="231">
        <f>IF($C1095="","",DATE(YEAR($C1095),MONTH($C1095),1))</f>
        <v/>
      </c>
      <c r="O1095" s="113">
        <f>IF($C1095="","",IF(AND($D1095&lt;&gt;"",$E1095&lt;&gt;"",$G1095&gt;0,$H1095&lt;&gt;"",$I1095&lt;&gt;""),IF($C1095&gt;TODAY(),"İLERİ TARİH","UYGUN"),"EKSİK"))</f>
        <v/>
      </c>
      <c r="P1095" s="6" t="n"/>
      <c r="Q1095" s="6" t="n"/>
      <c r="R1095" s="3" t="n"/>
      <c r="S1095" s="3" t="n"/>
      <c r="T1095" s="3" t="n"/>
      <c r="U1095" s="3" t="n"/>
      <c r="V1095" s="3" t="n"/>
      <c r="W1095" s="3" t="n"/>
    </row>
    <row r="1096">
      <c r="A1096" s="6" t="n"/>
      <c r="B1096" s="113">
        <f>IF($C1096="","","GG"&amp;TEXT(ROW()-6,"00000"))</f>
        <v/>
      </c>
      <c r="C1096" s="225" t="n"/>
      <c r="D1096" s="108" t="n"/>
      <c r="E1096" s="109" t="n"/>
      <c r="F1096" s="109" t="n"/>
      <c r="G1096" s="226" t="n"/>
      <c r="H1096" s="108" t="n"/>
      <c r="I1096" s="108" t="n"/>
      <c r="J1096" s="109" t="n"/>
      <c r="K1096" s="109" t="n"/>
      <c r="L1096" s="121">
        <f>IF($C1096="","",IF($D1096="Gider",$E1096,$H1096))</f>
        <v/>
      </c>
      <c r="M1096" s="121">
        <f>IF($C1096="","",IF($D1096="Gider",$H1096,$E1096))</f>
        <v/>
      </c>
      <c r="N1096" s="231">
        <f>IF($C1096="","",DATE(YEAR($C1096),MONTH($C1096),1))</f>
        <v/>
      </c>
      <c r="O1096" s="113">
        <f>IF($C1096="","",IF(AND($D1096&lt;&gt;"",$E1096&lt;&gt;"",$G1096&gt;0,$H1096&lt;&gt;"",$I1096&lt;&gt;""),IF($C1096&gt;TODAY(),"İLERİ TARİH","UYGUN"),"EKSİK"))</f>
        <v/>
      </c>
      <c r="P1096" s="6" t="n"/>
      <c r="Q1096" s="6" t="n"/>
      <c r="R1096" s="3" t="n"/>
      <c r="S1096" s="3" t="n"/>
      <c r="T1096" s="3" t="n"/>
      <c r="U1096" s="3" t="n"/>
      <c r="V1096" s="3" t="n"/>
      <c r="W1096" s="3" t="n"/>
    </row>
    <row r="1097">
      <c r="A1097" s="6" t="n"/>
      <c r="B1097" s="113">
        <f>IF($C1097="","","GG"&amp;TEXT(ROW()-6,"00000"))</f>
        <v/>
      </c>
      <c r="C1097" s="225" t="n"/>
      <c r="D1097" s="108" t="n"/>
      <c r="E1097" s="109" t="n"/>
      <c r="F1097" s="109" t="n"/>
      <c r="G1097" s="226" t="n"/>
      <c r="H1097" s="108" t="n"/>
      <c r="I1097" s="108" t="n"/>
      <c r="J1097" s="109" t="n"/>
      <c r="K1097" s="109" t="n"/>
      <c r="L1097" s="121">
        <f>IF($C1097="","",IF($D1097="Gider",$E1097,$H1097))</f>
        <v/>
      </c>
      <c r="M1097" s="121">
        <f>IF($C1097="","",IF($D1097="Gider",$H1097,$E1097))</f>
        <v/>
      </c>
      <c r="N1097" s="231">
        <f>IF($C1097="","",DATE(YEAR($C1097),MONTH($C1097),1))</f>
        <v/>
      </c>
      <c r="O1097" s="113">
        <f>IF($C1097="","",IF(AND($D1097&lt;&gt;"",$E1097&lt;&gt;"",$G1097&gt;0,$H1097&lt;&gt;"",$I1097&lt;&gt;""),IF($C1097&gt;TODAY(),"İLERİ TARİH","UYGUN"),"EKSİK"))</f>
        <v/>
      </c>
      <c r="P1097" s="6" t="n"/>
      <c r="Q1097" s="6" t="n"/>
      <c r="R1097" s="3" t="n"/>
      <c r="S1097" s="3" t="n"/>
      <c r="T1097" s="3" t="n"/>
      <c r="U1097" s="3" t="n"/>
      <c r="V1097" s="3" t="n"/>
      <c r="W1097" s="3" t="n"/>
    </row>
    <row r="1098">
      <c r="A1098" s="6" t="n"/>
      <c r="B1098" s="113">
        <f>IF($C1098="","","GG"&amp;TEXT(ROW()-6,"00000"))</f>
        <v/>
      </c>
      <c r="C1098" s="225" t="n"/>
      <c r="D1098" s="108" t="n"/>
      <c r="E1098" s="109" t="n"/>
      <c r="F1098" s="109" t="n"/>
      <c r="G1098" s="226" t="n"/>
      <c r="H1098" s="108" t="n"/>
      <c r="I1098" s="108" t="n"/>
      <c r="J1098" s="109" t="n"/>
      <c r="K1098" s="109" t="n"/>
      <c r="L1098" s="121">
        <f>IF($C1098="","",IF($D1098="Gider",$E1098,$H1098))</f>
        <v/>
      </c>
      <c r="M1098" s="121">
        <f>IF($C1098="","",IF($D1098="Gider",$H1098,$E1098))</f>
        <v/>
      </c>
      <c r="N1098" s="231">
        <f>IF($C1098="","",DATE(YEAR($C1098),MONTH($C1098),1))</f>
        <v/>
      </c>
      <c r="O1098" s="113">
        <f>IF($C1098="","",IF(AND($D1098&lt;&gt;"",$E1098&lt;&gt;"",$G1098&gt;0,$H1098&lt;&gt;"",$I1098&lt;&gt;""),IF($C1098&gt;TODAY(),"İLERİ TARİH","UYGUN"),"EKSİK"))</f>
        <v/>
      </c>
      <c r="P1098" s="6" t="n"/>
      <c r="Q1098" s="6" t="n"/>
      <c r="R1098" s="3" t="n"/>
      <c r="S1098" s="3" t="n"/>
      <c r="T1098" s="3" t="n"/>
      <c r="U1098" s="3" t="n"/>
      <c r="V1098" s="3" t="n"/>
      <c r="W1098" s="3" t="n"/>
    </row>
    <row r="1099">
      <c r="A1099" s="6" t="n"/>
      <c r="B1099" s="113">
        <f>IF($C1099="","","GG"&amp;TEXT(ROW()-6,"00000"))</f>
        <v/>
      </c>
      <c r="C1099" s="225" t="n"/>
      <c r="D1099" s="108" t="n"/>
      <c r="E1099" s="109" t="n"/>
      <c r="F1099" s="109" t="n"/>
      <c r="G1099" s="226" t="n"/>
      <c r="H1099" s="108" t="n"/>
      <c r="I1099" s="108" t="n"/>
      <c r="J1099" s="109" t="n"/>
      <c r="K1099" s="109" t="n"/>
      <c r="L1099" s="121">
        <f>IF($C1099="","",IF($D1099="Gider",$E1099,$H1099))</f>
        <v/>
      </c>
      <c r="M1099" s="121">
        <f>IF($C1099="","",IF($D1099="Gider",$H1099,$E1099))</f>
        <v/>
      </c>
      <c r="N1099" s="231">
        <f>IF($C1099="","",DATE(YEAR($C1099),MONTH($C1099),1))</f>
        <v/>
      </c>
      <c r="O1099" s="113">
        <f>IF($C1099="","",IF(AND($D1099&lt;&gt;"",$E1099&lt;&gt;"",$G1099&gt;0,$H1099&lt;&gt;"",$I1099&lt;&gt;""),IF($C1099&gt;TODAY(),"İLERİ TARİH","UYGUN"),"EKSİK"))</f>
        <v/>
      </c>
      <c r="P1099" s="6" t="n"/>
      <c r="Q1099" s="6" t="n"/>
      <c r="R1099" s="3" t="n"/>
      <c r="S1099" s="3" t="n"/>
      <c r="T1099" s="3" t="n"/>
      <c r="U1099" s="3" t="n"/>
      <c r="V1099" s="3" t="n"/>
      <c r="W1099" s="3" t="n"/>
    </row>
    <row r="1100">
      <c r="A1100" s="6" t="n"/>
      <c r="B1100" s="113">
        <f>IF($C1100="","","GG"&amp;TEXT(ROW()-6,"00000"))</f>
        <v/>
      </c>
      <c r="C1100" s="225" t="n"/>
      <c r="D1100" s="108" t="n"/>
      <c r="E1100" s="109" t="n"/>
      <c r="F1100" s="109" t="n"/>
      <c r="G1100" s="226" t="n"/>
      <c r="H1100" s="108" t="n"/>
      <c r="I1100" s="108" t="n"/>
      <c r="J1100" s="109" t="n"/>
      <c r="K1100" s="109" t="n"/>
      <c r="L1100" s="121">
        <f>IF($C1100="","",IF($D1100="Gider",$E1100,$H1100))</f>
        <v/>
      </c>
      <c r="M1100" s="121">
        <f>IF($C1100="","",IF($D1100="Gider",$H1100,$E1100))</f>
        <v/>
      </c>
      <c r="N1100" s="231">
        <f>IF($C1100="","",DATE(YEAR($C1100),MONTH($C1100),1))</f>
        <v/>
      </c>
      <c r="O1100" s="113">
        <f>IF($C1100="","",IF(AND($D1100&lt;&gt;"",$E1100&lt;&gt;"",$G1100&gt;0,$H1100&lt;&gt;"",$I1100&lt;&gt;""),IF($C1100&gt;TODAY(),"İLERİ TARİH","UYGUN"),"EKSİK"))</f>
        <v/>
      </c>
      <c r="P1100" s="6" t="n"/>
      <c r="Q1100" s="6" t="n"/>
      <c r="R1100" s="3" t="n"/>
      <c r="S1100" s="3" t="n"/>
      <c r="T1100" s="3" t="n"/>
      <c r="U1100" s="3" t="n"/>
      <c r="V1100" s="3" t="n"/>
      <c r="W1100" s="3" t="n"/>
    </row>
    <row r="1101">
      <c r="A1101" s="6" t="n"/>
      <c r="B1101" s="113">
        <f>IF($C1101="","","GG"&amp;TEXT(ROW()-6,"00000"))</f>
        <v/>
      </c>
      <c r="C1101" s="225" t="n"/>
      <c r="D1101" s="108" t="n"/>
      <c r="E1101" s="109" t="n"/>
      <c r="F1101" s="109" t="n"/>
      <c r="G1101" s="226" t="n"/>
      <c r="H1101" s="108" t="n"/>
      <c r="I1101" s="108" t="n"/>
      <c r="J1101" s="109" t="n"/>
      <c r="K1101" s="109" t="n"/>
      <c r="L1101" s="121">
        <f>IF($C1101="","",IF($D1101="Gider",$E1101,$H1101))</f>
        <v/>
      </c>
      <c r="M1101" s="121">
        <f>IF($C1101="","",IF($D1101="Gider",$H1101,$E1101))</f>
        <v/>
      </c>
      <c r="N1101" s="231">
        <f>IF($C1101="","",DATE(YEAR($C1101),MONTH($C1101),1))</f>
        <v/>
      </c>
      <c r="O1101" s="113">
        <f>IF($C1101="","",IF(AND($D1101&lt;&gt;"",$E1101&lt;&gt;"",$G1101&gt;0,$H1101&lt;&gt;"",$I1101&lt;&gt;""),IF($C1101&gt;TODAY(),"İLERİ TARİH","UYGUN"),"EKSİK"))</f>
        <v/>
      </c>
      <c r="P1101" s="6" t="n"/>
      <c r="Q1101" s="6" t="n"/>
      <c r="R1101" s="3" t="n"/>
      <c r="S1101" s="3" t="n"/>
      <c r="T1101" s="3" t="n"/>
      <c r="U1101" s="3" t="n"/>
      <c r="V1101" s="3" t="n"/>
      <c r="W1101" s="3" t="n"/>
    </row>
    <row r="1102">
      <c r="A1102" s="6" t="n"/>
      <c r="B1102" s="113">
        <f>IF($C1102="","","GG"&amp;TEXT(ROW()-6,"00000"))</f>
        <v/>
      </c>
      <c r="C1102" s="225" t="n"/>
      <c r="D1102" s="108" t="n"/>
      <c r="E1102" s="109" t="n"/>
      <c r="F1102" s="109" t="n"/>
      <c r="G1102" s="226" t="n"/>
      <c r="H1102" s="108" t="n"/>
      <c r="I1102" s="108" t="n"/>
      <c r="J1102" s="109" t="n"/>
      <c r="K1102" s="109" t="n"/>
      <c r="L1102" s="121">
        <f>IF($C1102="","",IF($D1102="Gider",$E1102,$H1102))</f>
        <v/>
      </c>
      <c r="M1102" s="121">
        <f>IF($C1102="","",IF($D1102="Gider",$H1102,$E1102))</f>
        <v/>
      </c>
      <c r="N1102" s="231">
        <f>IF($C1102="","",DATE(YEAR($C1102),MONTH($C1102),1))</f>
        <v/>
      </c>
      <c r="O1102" s="113">
        <f>IF($C1102="","",IF(AND($D1102&lt;&gt;"",$E1102&lt;&gt;"",$G1102&gt;0,$H1102&lt;&gt;"",$I1102&lt;&gt;""),IF($C1102&gt;TODAY(),"İLERİ TARİH","UYGUN"),"EKSİK"))</f>
        <v/>
      </c>
      <c r="P1102" s="6" t="n"/>
      <c r="Q1102" s="6" t="n"/>
      <c r="R1102" s="3" t="n"/>
      <c r="S1102" s="3" t="n"/>
      <c r="T1102" s="3" t="n"/>
      <c r="U1102" s="3" t="n"/>
      <c r="V1102" s="3" t="n"/>
      <c r="W1102" s="3" t="n"/>
    </row>
    <row r="1103">
      <c r="A1103" s="6" t="n"/>
      <c r="B1103" s="113">
        <f>IF($C1103="","","GG"&amp;TEXT(ROW()-6,"00000"))</f>
        <v/>
      </c>
      <c r="C1103" s="225" t="n"/>
      <c r="D1103" s="108" t="n"/>
      <c r="E1103" s="109" t="n"/>
      <c r="F1103" s="109" t="n"/>
      <c r="G1103" s="226" t="n"/>
      <c r="H1103" s="108" t="n"/>
      <c r="I1103" s="108" t="n"/>
      <c r="J1103" s="109" t="n"/>
      <c r="K1103" s="109" t="n"/>
      <c r="L1103" s="121">
        <f>IF($C1103="","",IF($D1103="Gider",$E1103,$H1103))</f>
        <v/>
      </c>
      <c r="M1103" s="121">
        <f>IF($C1103="","",IF($D1103="Gider",$H1103,$E1103))</f>
        <v/>
      </c>
      <c r="N1103" s="231">
        <f>IF($C1103="","",DATE(YEAR($C1103),MONTH($C1103),1))</f>
        <v/>
      </c>
      <c r="O1103" s="113">
        <f>IF($C1103="","",IF(AND($D1103&lt;&gt;"",$E1103&lt;&gt;"",$G1103&gt;0,$H1103&lt;&gt;"",$I1103&lt;&gt;""),IF($C1103&gt;TODAY(),"İLERİ TARİH","UYGUN"),"EKSİK"))</f>
        <v/>
      </c>
      <c r="P1103" s="6" t="n"/>
      <c r="Q1103" s="6" t="n"/>
      <c r="R1103" s="3" t="n"/>
      <c r="S1103" s="3" t="n"/>
      <c r="T1103" s="3" t="n"/>
      <c r="U1103" s="3" t="n"/>
      <c r="V1103" s="3" t="n"/>
      <c r="W1103" s="3" t="n"/>
    </row>
    <row r="1104">
      <c r="A1104" s="6" t="n"/>
      <c r="B1104" s="113">
        <f>IF($C1104="","","GG"&amp;TEXT(ROW()-6,"00000"))</f>
        <v/>
      </c>
      <c r="C1104" s="225" t="n"/>
      <c r="D1104" s="108" t="n"/>
      <c r="E1104" s="109" t="n"/>
      <c r="F1104" s="109" t="n"/>
      <c r="G1104" s="226" t="n"/>
      <c r="H1104" s="108" t="n"/>
      <c r="I1104" s="108" t="n"/>
      <c r="J1104" s="109" t="n"/>
      <c r="K1104" s="109" t="n"/>
      <c r="L1104" s="121">
        <f>IF($C1104="","",IF($D1104="Gider",$E1104,$H1104))</f>
        <v/>
      </c>
      <c r="M1104" s="121">
        <f>IF($C1104="","",IF($D1104="Gider",$H1104,$E1104))</f>
        <v/>
      </c>
      <c r="N1104" s="231">
        <f>IF($C1104="","",DATE(YEAR($C1104),MONTH($C1104),1))</f>
        <v/>
      </c>
      <c r="O1104" s="113">
        <f>IF($C1104="","",IF(AND($D1104&lt;&gt;"",$E1104&lt;&gt;"",$G1104&gt;0,$H1104&lt;&gt;"",$I1104&lt;&gt;""),IF($C1104&gt;TODAY(),"İLERİ TARİH","UYGUN"),"EKSİK"))</f>
        <v/>
      </c>
      <c r="P1104" s="6" t="n"/>
      <c r="Q1104" s="6" t="n"/>
      <c r="R1104" s="3" t="n"/>
      <c r="S1104" s="3" t="n"/>
      <c r="T1104" s="3" t="n"/>
      <c r="U1104" s="3" t="n"/>
      <c r="V1104" s="3" t="n"/>
      <c r="W1104" s="3" t="n"/>
    </row>
    <row r="1105">
      <c r="A1105" s="6" t="n"/>
      <c r="B1105" s="113">
        <f>IF($C1105="","","GG"&amp;TEXT(ROW()-6,"00000"))</f>
        <v/>
      </c>
      <c r="C1105" s="225" t="n"/>
      <c r="D1105" s="108" t="n"/>
      <c r="E1105" s="109" t="n"/>
      <c r="F1105" s="109" t="n"/>
      <c r="G1105" s="226" t="n"/>
      <c r="H1105" s="108" t="n"/>
      <c r="I1105" s="108" t="n"/>
      <c r="J1105" s="109" t="n"/>
      <c r="K1105" s="109" t="n"/>
      <c r="L1105" s="121">
        <f>IF($C1105="","",IF($D1105="Gider",$E1105,$H1105))</f>
        <v/>
      </c>
      <c r="M1105" s="121">
        <f>IF($C1105="","",IF($D1105="Gider",$H1105,$E1105))</f>
        <v/>
      </c>
      <c r="N1105" s="231">
        <f>IF($C1105="","",DATE(YEAR($C1105),MONTH($C1105),1))</f>
        <v/>
      </c>
      <c r="O1105" s="113">
        <f>IF($C1105="","",IF(AND($D1105&lt;&gt;"",$E1105&lt;&gt;"",$G1105&gt;0,$H1105&lt;&gt;"",$I1105&lt;&gt;""),IF($C1105&gt;TODAY(),"İLERİ TARİH","UYGUN"),"EKSİK"))</f>
        <v/>
      </c>
      <c r="P1105" s="6" t="n"/>
      <c r="Q1105" s="6" t="n"/>
      <c r="R1105" s="3" t="n"/>
      <c r="S1105" s="3" t="n"/>
      <c r="T1105" s="3" t="n"/>
      <c r="U1105" s="3" t="n"/>
      <c r="V1105" s="3" t="n"/>
      <c r="W1105" s="3" t="n"/>
    </row>
    <row r="1106">
      <c r="A1106" s="6" t="n"/>
      <c r="B1106" s="113">
        <f>IF($C1106="","","GG"&amp;TEXT(ROW()-6,"00000"))</f>
        <v/>
      </c>
      <c r="C1106" s="225" t="n"/>
      <c r="D1106" s="108" t="n"/>
      <c r="E1106" s="109" t="n"/>
      <c r="F1106" s="109" t="n"/>
      <c r="G1106" s="226" t="n"/>
      <c r="H1106" s="108" t="n"/>
      <c r="I1106" s="108" t="n"/>
      <c r="J1106" s="109" t="n"/>
      <c r="K1106" s="109" t="n"/>
      <c r="L1106" s="121">
        <f>IF($C1106="","",IF($D1106="Gider",$E1106,$H1106))</f>
        <v/>
      </c>
      <c r="M1106" s="121">
        <f>IF($C1106="","",IF($D1106="Gider",$H1106,$E1106))</f>
        <v/>
      </c>
      <c r="N1106" s="231">
        <f>IF($C1106="","",DATE(YEAR($C1106),MONTH($C1106),1))</f>
        <v/>
      </c>
      <c r="O1106" s="113">
        <f>IF($C1106="","",IF(AND($D1106&lt;&gt;"",$E1106&lt;&gt;"",$G1106&gt;0,$H1106&lt;&gt;"",$I1106&lt;&gt;""),IF($C1106&gt;TODAY(),"İLERİ TARİH","UYGUN"),"EKSİK"))</f>
        <v/>
      </c>
      <c r="P1106" s="6" t="n"/>
      <c r="Q1106" s="6" t="n"/>
      <c r="R1106" s="3" t="n"/>
      <c r="S1106" s="3" t="n"/>
      <c r="T1106" s="3" t="n"/>
      <c r="U1106" s="3" t="n"/>
      <c r="V1106" s="3" t="n"/>
      <c r="W1106" s="3" t="n"/>
    </row>
    <row r="1107">
      <c r="A1107" s="6" t="n"/>
      <c r="B1107" s="113">
        <f>IF($C1107="","","GG"&amp;TEXT(ROW()-6,"00000"))</f>
        <v/>
      </c>
      <c r="C1107" s="225" t="n"/>
      <c r="D1107" s="108" t="n"/>
      <c r="E1107" s="109" t="n"/>
      <c r="F1107" s="109" t="n"/>
      <c r="G1107" s="226" t="n"/>
      <c r="H1107" s="108" t="n"/>
      <c r="I1107" s="108" t="n"/>
      <c r="J1107" s="109" t="n"/>
      <c r="K1107" s="109" t="n"/>
      <c r="L1107" s="121">
        <f>IF($C1107="","",IF($D1107="Gider",$E1107,$H1107))</f>
        <v/>
      </c>
      <c r="M1107" s="121">
        <f>IF($C1107="","",IF($D1107="Gider",$H1107,$E1107))</f>
        <v/>
      </c>
      <c r="N1107" s="231">
        <f>IF($C1107="","",DATE(YEAR($C1107),MONTH($C1107),1))</f>
        <v/>
      </c>
      <c r="O1107" s="113">
        <f>IF($C1107="","",IF(AND($D1107&lt;&gt;"",$E1107&lt;&gt;"",$G1107&gt;0,$H1107&lt;&gt;"",$I1107&lt;&gt;""),IF($C1107&gt;TODAY(),"İLERİ TARİH","UYGUN"),"EKSİK"))</f>
        <v/>
      </c>
      <c r="P1107" s="6" t="n"/>
      <c r="Q1107" s="6" t="n"/>
      <c r="R1107" s="3" t="n"/>
      <c r="S1107" s="3" t="n"/>
      <c r="T1107" s="3" t="n"/>
      <c r="U1107" s="3" t="n"/>
      <c r="V1107" s="3" t="n"/>
      <c r="W1107" s="3" t="n"/>
    </row>
    <row r="1108">
      <c r="A1108" s="6" t="n"/>
      <c r="B1108" s="113">
        <f>IF($C1108="","","GG"&amp;TEXT(ROW()-6,"00000"))</f>
        <v/>
      </c>
      <c r="C1108" s="225" t="n"/>
      <c r="D1108" s="108" t="n"/>
      <c r="E1108" s="109" t="n"/>
      <c r="F1108" s="109" t="n"/>
      <c r="G1108" s="226" t="n"/>
      <c r="H1108" s="108" t="n"/>
      <c r="I1108" s="108" t="n"/>
      <c r="J1108" s="109" t="n"/>
      <c r="K1108" s="109" t="n"/>
      <c r="L1108" s="121">
        <f>IF($C1108="","",IF($D1108="Gider",$E1108,$H1108))</f>
        <v/>
      </c>
      <c r="M1108" s="121">
        <f>IF($C1108="","",IF($D1108="Gider",$H1108,$E1108))</f>
        <v/>
      </c>
      <c r="N1108" s="231">
        <f>IF($C1108="","",DATE(YEAR($C1108),MONTH($C1108),1))</f>
        <v/>
      </c>
      <c r="O1108" s="113">
        <f>IF($C1108="","",IF(AND($D1108&lt;&gt;"",$E1108&lt;&gt;"",$G1108&gt;0,$H1108&lt;&gt;"",$I1108&lt;&gt;""),IF($C1108&gt;TODAY(),"İLERİ TARİH","UYGUN"),"EKSİK"))</f>
        <v/>
      </c>
      <c r="P1108" s="6" t="n"/>
      <c r="Q1108" s="6" t="n"/>
      <c r="R1108" s="3" t="n"/>
      <c r="S1108" s="3" t="n"/>
      <c r="T1108" s="3" t="n"/>
      <c r="U1108" s="3" t="n"/>
      <c r="V1108" s="3" t="n"/>
      <c r="W1108" s="3" t="n"/>
    </row>
    <row r="1109">
      <c r="A1109" s="6" t="n"/>
      <c r="B1109" s="113">
        <f>IF($C1109="","","GG"&amp;TEXT(ROW()-6,"00000"))</f>
        <v/>
      </c>
      <c r="C1109" s="225" t="n"/>
      <c r="D1109" s="108" t="n"/>
      <c r="E1109" s="109" t="n"/>
      <c r="F1109" s="109" t="n"/>
      <c r="G1109" s="226" t="n"/>
      <c r="H1109" s="108" t="n"/>
      <c r="I1109" s="108" t="n"/>
      <c r="J1109" s="109" t="n"/>
      <c r="K1109" s="109" t="n"/>
      <c r="L1109" s="121">
        <f>IF($C1109="","",IF($D1109="Gider",$E1109,$H1109))</f>
        <v/>
      </c>
      <c r="M1109" s="121">
        <f>IF($C1109="","",IF($D1109="Gider",$H1109,$E1109))</f>
        <v/>
      </c>
      <c r="N1109" s="231">
        <f>IF($C1109="","",DATE(YEAR($C1109),MONTH($C1109),1))</f>
        <v/>
      </c>
      <c r="O1109" s="113">
        <f>IF($C1109="","",IF(AND($D1109&lt;&gt;"",$E1109&lt;&gt;"",$G1109&gt;0,$H1109&lt;&gt;"",$I1109&lt;&gt;""),IF($C1109&gt;TODAY(),"İLERİ TARİH","UYGUN"),"EKSİK"))</f>
        <v/>
      </c>
      <c r="P1109" s="6" t="n"/>
      <c r="Q1109" s="6" t="n"/>
      <c r="R1109" s="3" t="n"/>
      <c r="S1109" s="3" t="n"/>
      <c r="T1109" s="3" t="n"/>
      <c r="U1109" s="3" t="n"/>
      <c r="V1109" s="3" t="n"/>
      <c r="W1109" s="3" t="n"/>
    </row>
    <row r="1110">
      <c r="A1110" s="6" t="n"/>
      <c r="B1110" s="113">
        <f>IF($C1110="","","GG"&amp;TEXT(ROW()-6,"00000"))</f>
        <v/>
      </c>
      <c r="C1110" s="225" t="n"/>
      <c r="D1110" s="108" t="n"/>
      <c r="E1110" s="109" t="n"/>
      <c r="F1110" s="109" t="n"/>
      <c r="G1110" s="226" t="n"/>
      <c r="H1110" s="108" t="n"/>
      <c r="I1110" s="108" t="n"/>
      <c r="J1110" s="109" t="n"/>
      <c r="K1110" s="109" t="n"/>
      <c r="L1110" s="121">
        <f>IF($C1110="","",IF($D1110="Gider",$E1110,$H1110))</f>
        <v/>
      </c>
      <c r="M1110" s="121">
        <f>IF($C1110="","",IF($D1110="Gider",$H1110,$E1110))</f>
        <v/>
      </c>
      <c r="N1110" s="231">
        <f>IF($C1110="","",DATE(YEAR($C1110),MONTH($C1110),1))</f>
        <v/>
      </c>
      <c r="O1110" s="113">
        <f>IF($C1110="","",IF(AND($D1110&lt;&gt;"",$E1110&lt;&gt;"",$G1110&gt;0,$H1110&lt;&gt;"",$I1110&lt;&gt;""),IF($C1110&gt;TODAY(),"İLERİ TARİH","UYGUN"),"EKSİK"))</f>
        <v/>
      </c>
      <c r="P1110" s="6" t="n"/>
      <c r="Q1110" s="6" t="n"/>
      <c r="R1110" s="3" t="n"/>
      <c r="S1110" s="3" t="n"/>
      <c r="T1110" s="3" t="n"/>
      <c r="U1110" s="3" t="n"/>
      <c r="V1110" s="3" t="n"/>
      <c r="W1110" s="3" t="n"/>
    </row>
    <row r="1111">
      <c r="A1111" s="6" t="n"/>
      <c r="B1111" s="113">
        <f>IF($C1111="","","GG"&amp;TEXT(ROW()-6,"00000"))</f>
        <v/>
      </c>
      <c r="C1111" s="225" t="n"/>
      <c r="D1111" s="108" t="n"/>
      <c r="E1111" s="109" t="n"/>
      <c r="F1111" s="109" t="n"/>
      <c r="G1111" s="226" t="n"/>
      <c r="H1111" s="108" t="n"/>
      <c r="I1111" s="108" t="n"/>
      <c r="J1111" s="109" t="n"/>
      <c r="K1111" s="109" t="n"/>
      <c r="L1111" s="121">
        <f>IF($C1111="","",IF($D1111="Gider",$E1111,$H1111))</f>
        <v/>
      </c>
      <c r="M1111" s="121">
        <f>IF($C1111="","",IF($D1111="Gider",$H1111,$E1111))</f>
        <v/>
      </c>
      <c r="N1111" s="231">
        <f>IF($C1111="","",DATE(YEAR($C1111),MONTH($C1111),1))</f>
        <v/>
      </c>
      <c r="O1111" s="113">
        <f>IF($C1111="","",IF(AND($D1111&lt;&gt;"",$E1111&lt;&gt;"",$G1111&gt;0,$H1111&lt;&gt;"",$I1111&lt;&gt;""),IF($C1111&gt;TODAY(),"İLERİ TARİH","UYGUN"),"EKSİK"))</f>
        <v/>
      </c>
      <c r="P1111" s="6" t="n"/>
      <c r="Q1111" s="6" t="n"/>
      <c r="R1111" s="3" t="n"/>
      <c r="S1111" s="3" t="n"/>
      <c r="T1111" s="3" t="n"/>
      <c r="U1111" s="3" t="n"/>
      <c r="V1111" s="3" t="n"/>
      <c r="W1111" s="3" t="n"/>
    </row>
    <row r="1112">
      <c r="A1112" s="6" t="n"/>
      <c r="B1112" s="113">
        <f>IF($C1112="","","GG"&amp;TEXT(ROW()-6,"00000"))</f>
        <v/>
      </c>
      <c r="C1112" s="225" t="n"/>
      <c r="D1112" s="108" t="n"/>
      <c r="E1112" s="109" t="n"/>
      <c r="F1112" s="109" t="n"/>
      <c r="G1112" s="226" t="n"/>
      <c r="H1112" s="108" t="n"/>
      <c r="I1112" s="108" t="n"/>
      <c r="J1112" s="109" t="n"/>
      <c r="K1112" s="109" t="n"/>
      <c r="L1112" s="121">
        <f>IF($C1112="","",IF($D1112="Gider",$E1112,$H1112))</f>
        <v/>
      </c>
      <c r="M1112" s="121">
        <f>IF($C1112="","",IF($D1112="Gider",$H1112,$E1112))</f>
        <v/>
      </c>
      <c r="N1112" s="231">
        <f>IF($C1112="","",DATE(YEAR($C1112),MONTH($C1112),1))</f>
        <v/>
      </c>
      <c r="O1112" s="113">
        <f>IF($C1112="","",IF(AND($D1112&lt;&gt;"",$E1112&lt;&gt;"",$G1112&gt;0,$H1112&lt;&gt;"",$I1112&lt;&gt;""),IF($C1112&gt;TODAY(),"İLERİ TARİH","UYGUN"),"EKSİK"))</f>
        <v/>
      </c>
      <c r="P1112" s="6" t="n"/>
      <c r="Q1112" s="6" t="n"/>
      <c r="R1112" s="3" t="n"/>
      <c r="S1112" s="3" t="n"/>
      <c r="T1112" s="3" t="n"/>
      <c r="U1112" s="3" t="n"/>
      <c r="V1112" s="3" t="n"/>
      <c r="W1112" s="3" t="n"/>
    </row>
    <row r="1113">
      <c r="A1113" s="6" t="n"/>
      <c r="B1113" s="113">
        <f>IF($C1113="","","GG"&amp;TEXT(ROW()-6,"00000"))</f>
        <v/>
      </c>
      <c r="C1113" s="225" t="n"/>
      <c r="D1113" s="108" t="n"/>
      <c r="E1113" s="109" t="n"/>
      <c r="F1113" s="109" t="n"/>
      <c r="G1113" s="226" t="n"/>
      <c r="H1113" s="108" t="n"/>
      <c r="I1113" s="108" t="n"/>
      <c r="J1113" s="109" t="n"/>
      <c r="K1113" s="109" t="n"/>
      <c r="L1113" s="121">
        <f>IF($C1113="","",IF($D1113="Gider",$E1113,$H1113))</f>
        <v/>
      </c>
      <c r="M1113" s="121">
        <f>IF($C1113="","",IF($D1113="Gider",$H1113,$E1113))</f>
        <v/>
      </c>
      <c r="N1113" s="231">
        <f>IF($C1113="","",DATE(YEAR($C1113),MONTH($C1113),1))</f>
        <v/>
      </c>
      <c r="O1113" s="113">
        <f>IF($C1113="","",IF(AND($D1113&lt;&gt;"",$E1113&lt;&gt;"",$G1113&gt;0,$H1113&lt;&gt;"",$I1113&lt;&gt;""),IF($C1113&gt;TODAY(),"İLERİ TARİH","UYGUN"),"EKSİK"))</f>
        <v/>
      </c>
      <c r="P1113" s="6" t="n"/>
      <c r="Q1113" s="6" t="n"/>
      <c r="R1113" s="3" t="n"/>
      <c r="S1113" s="3" t="n"/>
      <c r="T1113" s="3" t="n"/>
      <c r="U1113" s="3" t="n"/>
      <c r="V1113" s="3" t="n"/>
      <c r="W1113" s="3" t="n"/>
    </row>
    <row r="1114">
      <c r="A1114" s="6" t="n"/>
      <c r="B1114" s="113">
        <f>IF($C1114="","","GG"&amp;TEXT(ROW()-6,"00000"))</f>
        <v/>
      </c>
      <c r="C1114" s="225" t="n"/>
      <c r="D1114" s="108" t="n"/>
      <c r="E1114" s="109" t="n"/>
      <c r="F1114" s="109" t="n"/>
      <c r="G1114" s="226" t="n"/>
      <c r="H1114" s="108" t="n"/>
      <c r="I1114" s="108" t="n"/>
      <c r="J1114" s="109" t="n"/>
      <c r="K1114" s="109" t="n"/>
      <c r="L1114" s="121">
        <f>IF($C1114="","",IF($D1114="Gider",$E1114,$H1114))</f>
        <v/>
      </c>
      <c r="M1114" s="121">
        <f>IF($C1114="","",IF($D1114="Gider",$H1114,$E1114))</f>
        <v/>
      </c>
      <c r="N1114" s="231">
        <f>IF($C1114="","",DATE(YEAR($C1114),MONTH($C1114),1))</f>
        <v/>
      </c>
      <c r="O1114" s="113">
        <f>IF($C1114="","",IF(AND($D1114&lt;&gt;"",$E1114&lt;&gt;"",$G1114&gt;0,$H1114&lt;&gt;"",$I1114&lt;&gt;""),IF($C1114&gt;TODAY(),"İLERİ TARİH","UYGUN"),"EKSİK"))</f>
        <v/>
      </c>
      <c r="P1114" s="6" t="n"/>
      <c r="Q1114" s="6" t="n"/>
      <c r="R1114" s="3" t="n"/>
      <c r="S1114" s="3" t="n"/>
      <c r="T1114" s="3" t="n"/>
      <c r="U1114" s="3" t="n"/>
      <c r="V1114" s="3" t="n"/>
      <c r="W1114" s="3" t="n"/>
    </row>
    <row r="1115">
      <c r="A1115" s="6" t="n"/>
      <c r="B1115" s="113">
        <f>IF($C1115="","","GG"&amp;TEXT(ROW()-6,"00000"))</f>
        <v/>
      </c>
      <c r="C1115" s="225" t="n"/>
      <c r="D1115" s="108" t="n"/>
      <c r="E1115" s="109" t="n"/>
      <c r="F1115" s="109" t="n"/>
      <c r="G1115" s="226" t="n"/>
      <c r="H1115" s="108" t="n"/>
      <c r="I1115" s="108" t="n"/>
      <c r="J1115" s="109" t="n"/>
      <c r="K1115" s="109" t="n"/>
      <c r="L1115" s="121">
        <f>IF($C1115="","",IF($D1115="Gider",$E1115,$H1115))</f>
        <v/>
      </c>
      <c r="M1115" s="121">
        <f>IF($C1115="","",IF($D1115="Gider",$H1115,$E1115))</f>
        <v/>
      </c>
      <c r="N1115" s="231">
        <f>IF($C1115="","",DATE(YEAR($C1115),MONTH($C1115),1))</f>
        <v/>
      </c>
      <c r="O1115" s="113">
        <f>IF($C1115="","",IF(AND($D1115&lt;&gt;"",$E1115&lt;&gt;"",$G1115&gt;0,$H1115&lt;&gt;"",$I1115&lt;&gt;""),IF($C1115&gt;TODAY(),"İLERİ TARİH","UYGUN"),"EKSİK"))</f>
        <v/>
      </c>
      <c r="P1115" s="6" t="n"/>
      <c r="Q1115" s="6" t="n"/>
      <c r="R1115" s="3" t="n"/>
      <c r="S1115" s="3" t="n"/>
      <c r="T1115" s="3" t="n"/>
      <c r="U1115" s="3" t="n"/>
      <c r="V1115" s="3" t="n"/>
      <c r="W1115" s="3" t="n"/>
    </row>
    <row r="1116">
      <c r="A1116" s="6" t="n"/>
      <c r="B1116" s="113">
        <f>IF($C1116="","","GG"&amp;TEXT(ROW()-6,"00000"))</f>
        <v/>
      </c>
      <c r="C1116" s="225" t="n"/>
      <c r="D1116" s="108" t="n"/>
      <c r="E1116" s="109" t="n"/>
      <c r="F1116" s="109" t="n"/>
      <c r="G1116" s="226" t="n"/>
      <c r="H1116" s="108" t="n"/>
      <c r="I1116" s="108" t="n"/>
      <c r="J1116" s="109" t="n"/>
      <c r="K1116" s="109" t="n"/>
      <c r="L1116" s="121">
        <f>IF($C1116="","",IF($D1116="Gider",$E1116,$H1116))</f>
        <v/>
      </c>
      <c r="M1116" s="121">
        <f>IF($C1116="","",IF($D1116="Gider",$H1116,$E1116))</f>
        <v/>
      </c>
      <c r="N1116" s="231">
        <f>IF($C1116="","",DATE(YEAR($C1116),MONTH($C1116),1))</f>
        <v/>
      </c>
      <c r="O1116" s="113">
        <f>IF($C1116="","",IF(AND($D1116&lt;&gt;"",$E1116&lt;&gt;"",$G1116&gt;0,$H1116&lt;&gt;"",$I1116&lt;&gt;""),IF($C1116&gt;TODAY(),"İLERİ TARİH","UYGUN"),"EKSİK"))</f>
        <v/>
      </c>
      <c r="P1116" s="6" t="n"/>
      <c r="Q1116" s="6" t="n"/>
      <c r="R1116" s="3" t="n"/>
      <c r="S1116" s="3" t="n"/>
      <c r="T1116" s="3" t="n"/>
      <c r="U1116" s="3" t="n"/>
      <c r="V1116" s="3" t="n"/>
      <c r="W1116" s="3" t="n"/>
    </row>
    <row r="1117">
      <c r="A1117" s="6" t="n"/>
      <c r="B1117" s="113">
        <f>IF($C1117="","","GG"&amp;TEXT(ROW()-6,"00000"))</f>
        <v/>
      </c>
      <c r="C1117" s="225" t="n"/>
      <c r="D1117" s="108" t="n"/>
      <c r="E1117" s="109" t="n"/>
      <c r="F1117" s="109" t="n"/>
      <c r="G1117" s="226" t="n"/>
      <c r="H1117" s="108" t="n"/>
      <c r="I1117" s="108" t="n"/>
      <c r="J1117" s="109" t="n"/>
      <c r="K1117" s="109" t="n"/>
      <c r="L1117" s="121">
        <f>IF($C1117="","",IF($D1117="Gider",$E1117,$H1117))</f>
        <v/>
      </c>
      <c r="M1117" s="121">
        <f>IF($C1117="","",IF($D1117="Gider",$H1117,$E1117))</f>
        <v/>
      </c>
      <c r="N1117" s="231">
        <f>IF($C1117="","",DATE(YEAR($C1117),MONTH($C1117),1))</f>
        <v/>
      </c>
      <c r="O1117" s="113">
        <f>IF($C1117="","",IF(AND($D1117&lt;&gt;"",$E1117&lt;&gt;"",$G1117&gt;0,$H1117&lt;&gt;"",$I1117&lt;&gt;""),IF($C1117&gt;TODAY(),"İLERİ TARİH","UYGUN"),"EKSİK"))</f>
        <v/>
      </c>
      <c r="P1117" s="6" t="n"/>
      <c r="Q1117" s="6" t="n"/>
      <c r="R1117" s="3" t="n"/>
      <c r="S1117" s="3" t="n"/>
      <c r="T1117" s="3" t="n"/>
      <c r="U1117" s="3" t="n"/>
      <c r="V1117" s="3" t="n"/>
      <c r="W1117" s="3" t="n"/>
    </row>
    <row r="1118">
      <c r="A1118" s="6" t="n"/>
      <c r="B1118" s="113">
        <f>IF($C1118="","","GG"&amp;TEXT(ROW()-6,"00000"))</f>
        <v/>
      </c>
      <c r="C1118" s="225" t="n"/>
      <c r="D1118" s="108" t="n"/>
      <c r="E1118" s="109" t="n"/>
      <c r="F1118" s="109" t="n"/>
      <c r="G1118" s="226" t="n"/>
      <c r="H1118" s="108" t="n"/>
      <c r="I1118" s="108" t="n"/>
      <c r="J1118" s="109" t="n"/>
      <c r="K1118" s="109" t="n"/>
      <c r="L1118" s="121">
        <f>IF($C1118="","",IF($D1118="Gider",$E1118,$H1118))</f>
        <v/>
      </c>
      <c r="M1118" s="121">
        <f>IF($C1118="","",IF($D1118="Gider",$H1118,$E1118))</f>
        <v/>
      </c>
      <c r="N1118" s="231">
        <f>IF($C1118="","",DATE(YEAR($C1118),MONTH($C1118),1))</f>
        <v/>
      </c>
      <c r="O1118" s="113">
        <f>IF($C1118="","",IF(AND($D1118&lt;&gt;"",$E1118&lt;&gt;"",$G1118&gt;0,$H1118&lt;&gt;"",$I1118&lt;&gt;""),IF($C1118&gt;TODAY(),"İLERİ TARİH","UYGUN"),"EKSİK"))</f>
        <v/>
      </c>
      <c r="P1118" s="6" t="n"/>
      <c r="Q1118" s="6" t="n"/>
      <c r="R1118" s="3" t="n"/>
      <c r="S1118" s="3" t="n"/>
      <c r="T1118" s="3" t="n"/>
      <c r="U1118" s="3" t="n"/>
      <c r="V1118" s="3" t="n"/>
      <c r="W1118" s="3" t="n"/>
    </row>
    <row r="1119">
      <c r="A1119" s="6" t="n"/>
      <c r="B1119" s="113">
        <f>IF($C1119="","","GG"&amp;TEXT(ROW()-6,"00000"))</f>
        <v/>
      </c>
      <c r="C1119" s="225" t="n"/>
      <c r="D1119" s="108" t="n"/>
      <c r="E1119" s="109" t="n"/>
      <c r="F1119" s="109" t="n"/>
      <c r="G1119" s="226" t="n"/>
      <c r="H1119" s="108" t="n"/>
      <c r="I1119" s="108" t="n"/>
      <c r="J1119" s="109" t="n"/>
      <c r="K1119" s="109" t="n"/>
      <c r="L1119" s="121">
        <f>IF($C1119="","",IF($D1119="Gider",$E1119,$H1119))</f>
        <v/>
      </c>
      <c r="M1119" s="121">
        <f>IF($C1119="","",IF($D1119="Gider",$H1119,$E1119))</f>
        <v/>
      </c>
      <c r="N1119" s="231">
        <f>IF($C1119="","",DATE(YEAR($C1119),MONTH($C1119),1))</f>
        <v/>
      </c>
      <c r="O1119" s="113">
        <f>IF($C1119="","",IF(AND($D1119&lt;&gt;"",$E1119&lt;&gt;"",$G1119&gt;0,$H1119&lt;&gt;"",$I1119&lt;&gt;""),IF($C1119&gt;TODAY(),"İLERİ TARİH","UYGUN"),"EKSİK"))</f>
        <v/>
      </c>
      <c r="P1119" s="6" t="n"/>
      <c r="Q1119" s="6" t="n"/>
      <c r="R1119" s="3" t="n"/>
      <c r="S1119" s="3" t="n"/>
      <c r="T1119" s="3" t="n"/>
      <c r="U1119" s="3" t="n"/>
      <c r="V1119" s="3" t="n"/>
      <c r="W1119" s="3" t="n"/>
    </row>
    <row r="1120">
      <c r="A1120" s="6" t="n"/>
      <c r="B1120" s="113">
        <f>IF($C1120="","","GG"&amp;TEXT(ROW()-6,"00000"))</f>
        <v/>
      </c>
      <c r="C1120" s="225" t="n"/>
      <c r="D1120" s="108" t="n"/>
      <c r="E1120" s="109" t="n"/>
      <c r="F1120" s="109" t="n"/>
      <c r="G1120" s="226" t="n"/>
      <c r="H1120" s="108" t="n"/>
      <c r="I1120" s="108" t="n"/>
      <c r="J1120" s="109" t="n"/>
      <c r="K1120" s="109" t="n"/>
      <c r="L1120" s="121">
        <f>IF($C1120="","",IF($D1120="Gider",$E1120,$H1120))</f>
        <v/>
      </c>
      <c r="M1120" s="121">
        <f>IF($C1120="","",IF($D1120="Gider",$H1120,$E1120))</f>
        <v/>
      </c>
      <c r="N1120" s="231">
        <f>IF($C1120="","",DATE(YEAR($C1120),MONTH($C1120),1))</f>
        <v/>
      </c>
      <c r="O1120" s="113">
        <f>IF($C1120="","",IF(AND($D1120&lt;&gt;"",$E1120&lt;&gt;"",$G1120&gt;0,$H1120&lt;&gt;"",$I1120&lt;&gt;""),IF($C1120&gt;TODAY(),"İLERİ TARİH","UYGUN"),"EKSİK"))</f>
        <v/>
      </c>
      <c r="P1120" s="6" t="n"/>
      <c r="Q1120" s="6" t="n"/>
      <c r="R1120" s="3" t="n"/>
      <c r="S1120" s="3" t="n"/>
      <c r="T1120" s="3" t="n"/>
      <c r="U1120" s="3" t="n"/>
      <c r="V1120" s="3" t="n"/>
      <c r="W1120" s="3" t="n"/>
    </row>
    <row r="1121">
      <c r="A1121" s="6" t="n"/>
      <c r="B1121" s="113">
        <f>IF($C1121="","","GG"&amp;TEXT(ROW()-6,"00000"))</f>
        <v/>
      </c>
      <c r="C1121" s="225" t="n"/>
      <c r="D1121" s="108" t="n"/>
      <c r="E1121" s="109" t="n"/>
      <c r="F1121" s="109" t="n"/>
      <c r="G1121" s="226" t="n"/>
      <c r="H1121" s="108" t="n"/>
      <c r="I1121" s="108" t="n"/>
      <c r="J1121" s="109" t="n"/>
      <c r="K1121" s="109" t="n"/>
      <c r="L1121" s="121">
        <f>IF($C1121="","",IF($D1121="Gider",$E1121,$H1121))</f>
        <v/>
      </c>
      <c r="M1121" s="121">
        <f>IF($C1121="","",IF($D1121="Gider",$H1121,$E1121))</f>
        <v/>
      </c>
      <c r="N1121" s="231">
        <f>IF($C1121="","",DATE(YEAR($C1121),MONTH($C1121),1))</f>
        <v/>
      </c>
      <c r="O1121" s="113">
        <f>IF($C1121="","",IF(AND($D1121&lt;&gt;"",$E1121&lt;&gt;"",$G1121&gt;0,$H1121&lt;&gt;"",$I1121&lt;&gt;""),IF($C1121&gt;TODAY(),"İLERİ TARİH","UYGUN"),"EKSİK"))</f>
        <v/>
      </c>
      <c r="P1121" s="6" t="n"/>
      <c r="Q1121" s="6" t="n"/>
      <c r="R1121" s="3" t="n"/>
      <c r="S1121" s="3" t="n"/>
      <c r="T1121" s="3" t="n"/>
      <c r="U1121" s="3" t="n"/>
      <c r="V1121" s="3" t="n"/>
      <c r="W1121" s="3" t="n"/>
    </row>
    <row r="1122">
      <c r="A1122" s="6" t="n"/>
      <c r="B1122" s="113">
        <f>IF($C1122="","","GG"&amp;TEXT(ROW()-6,"00000"))</f>
        <v/>
      </c>
      <c r="C1122" s="225" t="n"/>
      <c r="D1122" s="108" t="n"/>
      <c r="E1122" s="109" t="n"/>
      <c r="F1122" s="109" t="n"/>
      <c r="G1122" s="226" t="n"/>
      <c r="H1122" s="108" t="n"/>
      <c r="I1122" s="108" t="n"/>
      <c r="J1122" s="109" t="n"/>
      <c r="K1122" s="109" t="n"/>
      <c r="L1122" s="121">
        <f>IF($C1122="","",IF($D1122="Gider",$E1122,$H1122))</f>
        <v/>
      </c>
      <c r="M1122" s="121">
        <f>IF($C1122="","",IF($D1122="Gider",$H1122,$E1122))</f>
        <v/>
      </c>
      <c r="N1122" s="231">
        <f>IF($C1122="","",DATE(YEAR($C1122),MONTH($C1122),1))</f>
        <v/>
      </c>
      <c r="O1122" s="113">
        <f>IF($C1122="","",IF(AND($D1122&lt;&gt;"",$E1122&lt;&gt;"",$G1122&gt;0,$H1122&lt;&gt;"",$I1122&lt;&gt;""),IF($C1122&gt;TODAY(),"İLERİ TARİH","UYGUN"),"EKSİK"))</f>
        <v/>
      </c>
      <c r="P1122" s="6" t="n"/>
      <c r="Q1122" s="6" t="n"/>
      <c r="R1122" s="3" t="n"/>
      <c r="S1122" s="3" t="n"/>
      <c r="T1122" s="3" t="n"/>
      <c r="U1122" s="3" t="n"/>
      <c r="V1122" s="3" t="n"/>
      <c r="W1122" s="3" t="n"/>
    </row>
    <row r="1123">
      <c r="A1123" s="6" t="n"/>
      <c r="B1123" s="113">
        <f>IF($C1123="","","GG"&amp;TEXT(ROW()-6,"00000"))</f>
        <v/>
      </c>
      <c r="C1123" s="225" t="n"/>
      <c r="D1123" s="108" t="n"/>
      <c r="E1123" s="109" t="n"/>
      <c r="F1123" s="109" t="n"/>
      <c r="G1123" s="226" t="n"/>
      <c r="H1123" s="108" t="n"/>
      <c r="I1123" s="108" t="n"/>
      <c r="J1123" s="109" t="n"/>
      <c r="K1123" s="109" t="n"/>
      <c r="L1123" s="121">
        <f>IF($C1123="","",IF($D1123="Gider",$E1123,$H1123))</f>
        <v/>
      </c>
      <c r="M1123" s="121">
        <f>IF($C1123="","",IF($D1123="Gider",$H1123,$E1123))</f>
        <v/>
      </c>
      <c r="N1123" s="231">
        <f>IF($C1123="","",DATE(YEAR($C1123),MONTH($C1123),1))</f>
        <v/>
      </c>
      <c r="O1123" s="113">
        <f>IF($C1123="","",IF(AND($D1123&lt;&gt;"",$E1123&lt;&gt;"",$G1123&gt;0,$H1123&lt;&gt;"",$I1123&lt;&gt;""),IF($C1123&gt;TODAY(),"İLERİ TARİH","UYGUN"),"EKSİK"))</f>
        <v/>
      </c>
      <c r="P1123" s="6" t="n"/>
      <c r="Q1123" s="6" t="n"/>
      <c r="R1123" s="3" t="n"/>
      <c r="S1123" s="3" t="n"/>
      <c r="T1123" s="3" t="n"/>
      <c r="U1123" s="3" t="n"/>
      <c r="V1123" s="3" t="n"/>
      <c r="W1123" s="3" t="n"/>
    </row>
    <row r="1124">
      <c r="A1124" s="6" t="n"/>
      <c r="B1124" s="113">
        <f>IF($C1124="","","GG"&amp;TEXT(ROW()-6,"00000"))</f>
        <v/>
      </c>
      <c r="C1124" s="225" t="n"/>
      <c r="D1124" s="108" t="n"/>
      <c r="E1124" s="109" t="n"/>
      <c r="F1124" s="109" t="n"/>
      <c r="G1124" s="226" t="n"/>
      <c r="H1124" s="108" t="n"/>
      <c r="I1124" s="108" t="n"/>
      <c r="J1124" s="109" t="n"/>
      <c r="K1124" s="109" t="n"/>
      <c r="L1124" s="121">
        <f>IF($C1124="","",IF($D1124="Gider",$E1124,$H1124))</f>
        <v/>
      </c>
      <c r="M1124" s="121">
        <f>IF($C1124="","",IF($D1124="Gider",$H1124,$E1124))</f>
        <v/>
      </c>
      <c r="N1124" s="231">
        <f>IF($C1124="","",DATE(YEAR($C1124),MONTH($C1124),1))</f>
        <v/>
      </c>
      <c r="O1124" s="113">
        <f>IF($C1124="","",IF(AND($D1124&lt;&gt;"",$E1124&lt;&gt;"",$G1124&gt;0,$H1124&lt;&gt;"",$I1124&lt;&gt;""),IF($C1124&gt;TODAY(),"İLERİ TARİH","UYGUN"),"EKSİK"))</f>
        <v/>
      </c>
      <c r="P1124" s="6" t="n"/>
      <c r="Q1124" s="6" t="n"/>
      <c r="R1124" s="3" t="n"/>
      <c r="S1124" s="3" t="n"/>
      <c r="T1124" s="3" t="n"/>
      <c r="U1124" s="3" t="n"/>
      <c r="V1124" s="3" t="n"/>
      <c r="W1124" s="3" t="n"/>
    </row>
    <row r="1125">
      <c r="A1125" s="6" t="n"/>
      <c r="B1125" s="113">
        <f>IF($C1125="","","GG"&amp;TEXT(ROW()-6,"00000"))</f>
        <v/>
      </c>
      <c r="C1125" s="225" t="n"/>
      <c r="D1125" s="108" t="n"/>
      <c r="E1125" s="109" t="n"/>
      <c r="F1125" s="109" t="n"/>
      <c r="G1125" s="226" t="n"/>
      <c r="H1125" s="108" t="n"/>
      <c r="I1125" s="108" t="n"/>
      <c r="J1125" s="109" t="n"/>
      <c r="K1125" s="109" t="n"/>
      <c r="L1125" s="121">
        <f>IF($C1125="","",IF($D1125="Gider",$E1125,$H1125))</f>
        <v/>
      </c>
      <c r="M1125" s="121">
        <f>IF($C1125="","",IF($D1125="Gider",$H1125,$E1125))</f>
        <v/>
      </c>
      <c r="N1125" s="231">
        <f>IF($C1125="","",DATE(YEAR($C1125),MONTH($C1125),1))</f>
        <v/>
      </c>
      <c r="O1125" s="113">
        <f>IF($C1125="","",IF(AND($D1125&lt;&gt;"",$E1125&lt;&gt;"",$G1125&gt;0,$H1125&lt;&gt;"",$I1125&lt;&gt;""),IF($C1125&gt;TODAY(),"İLERİ TARİH","UYGUN"),"EKSİK"))</f>
        <v/>
      </c>
      <c r="P1125" s="6" t="n"/>
      <c r="Q1125" s="6" t="n"/>
      <c r="R1125" s="3" t="n"/>
      <c r="S1125" s="3" t="n"/>
      <c r="T1125" s="3" t="n"/>
      <c r="U1125" s="3" t="n"/>
      <c r="V1125" s="3" t="n"/>
      <c r="W1125" s="3" t="n"/>
    </row>
    <row r="1126">
      <c r="A1126" s="6" t="n"/>
      <c r="B1126" s="113">
        <f>IF($C1126="","","GG"&amp;TEXT(ROW()-6,"00000"))</f>
        <v/>
      </c>
      <c r="C1126" s="225" t="n"/>
      <c r="D1126" s="108" t="n"/>
      <c r="E1126" s="109" t="n"/>
      <c r="F1126" s="109" t="n"/>
      <c r="G1126" s="226" t="n"/>
      <c r="H1126" s="108" t="n"/>
      <c r="I1126" s="108" t="n"/>
      <c r="J1126" s="109" t="n"/>
      <c r="K1126" s="109" t="n"/>
      <c r="L1126" s="121">
        <f>IF($C1126="","",IF($D1126="Gider",$E1126,$H1126))</f>
        <v/>
      </c>
      <c r="M1126" s="121">
        <f>IF($C1126="","",IF($D1126="Gider",$H1126,$E1126))</f>
        <v/>
      </c>
      <c r="N1126" s="231">
        <f>IF($C1126="","",DATE(YEAR($C1126),MONTH($C1126),1))</f>
        <v/>
      </c>
      <c r="O1126" s="113">
        <f>IF($C1126="","",IF(AND($D1126&lt;&gt;"",$E1126&lt;&gt;"",$G1126&gt;0,$H1126&lt;&gt;"",$I1126&lt;&gt;""),IF($C1126&gt;TODAY(),"İLERİ TARİH","UYGUN"),"EKSİK"))</f>
        <v/>
      </c>
      <c r="P1126" s="6" t="n"/>
      <c r="Q1126" s="6" t="n"/>
      <c r="R1126" s="3" t="n"/>
      <c r="S1126" s="3" t="n"/>
      <c r="T1126" s="3" t="n"/>
      <c r="U1126" s="3" t="n"/>
      <c r="V1126" s="3" t="n"/>
      <c r="W1126" s="3" t="n"/>
    </row>
    <row r="1127">
      <c r="A1127" s="6" t="n"/>
      <c r="B1127" s="113">
        <f>IF($C1127="","","GG"&amp;TEXT(ROW()-6,"00000"))</f>
        <v/>
      </c>
      <c r="C1127" s="225" t="n"/>
      <c r="D1127" s="108" t="n"/>
      <c r="E1127" s="109" t="n"/>
      <c r="F1127" s="109" t="n"/>
      <c r="G1127" s="226" t="n"/>
      <c r="H1127" s="108" t="n"/>
      <c r="I1127" s="108" t="n"/>
      <c r="J1127" s="109" t="n"/>
      <c r="K1127" s="109" t="n"/>
      <c r="L1127" s="121">
        <f>IF($C1127="","",IF($D1127="Gider",$E1127,$H1127))</f>
        <v/>
      </c>
      <c r="M1127" s="121">
        <f>IF($C1127="","",IF($D1127="Gider",$H1127,$E1127))</f>
        <v/>
      </c>
      <c r="N1127" s="231">
        <f>IF($C1127="","",DATE(YEAR($C1127),MONTH($C1127),1))</f>
        <v/>
      </c>
      <c r="O1127" s="113">
        <f>IF($C1127="","",IF(AND($D1127&lt;&gt;"",$E1127&lt;&gt;"",$G1127&gt;0,$H1127&lt;&gt;"",$I1127&lt;&gt;""),IF($C1127&gt;TODAY(),"İLERİ TARİH","UYGUN"),"EKSİK"))</f>
        <v/>
      </c>
      <c r="P1127" s="6" t="n"/>
      <c r="Q1127" s="6" t="n"/>
      <c r="R1127" s="3" t="n"/>
      <c r="S1127" s="3" t="n"/>
      <c r="T1127" s="3" t="n"/>
      <c r="U1127" s="3" t="n"/>
      <c r="V1127" s="3" t="n"/>
      <c r="W1127" s="3" t="n"/>
    </row>
    <row r="1128">
      <c r="A1128" s="6" t="n"/>
      <c r="B1128" s="113">
        <f>IF($C1128="","","GG"&amp;TEXT(ROW()-6,"00000"))</f>
        <v/>
      </c>
      <c r="C1128" s="225" t="n"/>
      <c r="D1128" s="108" t="n"/>
      <c r="E1128" s="109" t="n"/>
      <c r="F1128" s="109" t="n"/>
      <c r="G1128" s="226" t="n"/>
      <c r="H1128" s="108" t="n"/>
      <c r="I1128" s="108" t="n"/>
      <c r="J1128" s="109" t="n"/>
      <c r="K1128" s="109" t="n"/>
      <c r="L1128" s="121">
        <f>IF($C1128="","",IF($D1128="Gider",$E1128,$H1128))</f>
        <v/>
      </c>
      <c r="M1128" s="121">
        <f>IF($C1128="","",IF($D1128="Gider",$H1128,$E1128))</f>
        <v/>
      </c>
      <c r="N1128" s="231">
        <f>IF($C1128="","",DATE(YEAR($C1128),MONTH($C1128),1))</f>
        <v/>
      </c>
      <c r="O1128" s="113">
        <f>IF($C1128="","",IF(AND($D1128&lt;&gt;"",$E1128&lt;&gt;"",$G1128&gt;0,$H1128&lt;&gt;"",$I1128&lt;&gt;""),IF($C1128&gt;TODAY(),"İLERİ TARİH","UYGUN"),"EKSİK"))</f>
        <v/>
      </c>
      <c r="P1128" s="6" t="n"/>
      <c r="Q1128" s="6" t="n"/>
      <c r="R1128" s="3" t="n"/>
      <c r="S1128" s="3" t="n"/>
      <c r="T1128" s="3" t="n"/>
      <c r="U1128" s="3" t="n"/>
      <c r="V1128" s="3" t="n"/>
      <c r="W1128" s="3" t="n"/>
    </row>
    <row r="1129">
      <c r="A1129" s="6" t="n"/>
      <c r="B1129" s="113">
        <f>IF($C1129="","","GG"&amp;TEXT(ROW()-6,"00000"))</f>
        <v/>
      </c>
      <c r="C1129" s="225" t="n"/>
      <c r="D1129" s="108" t="n"/>
      <c r="E1129" s="109" t="n"/>
      <c r="F1129" s="109" t="n"/>
      <c r="G1129" s="226" t="n"/>
      <c r="H1129" s="108" t="n"/>
      <c r="I1129" s="108" t="n"/>
      <c r="J1129" s="109" t="n"/>
      <c r="K1129" s="109" t="n"/>
      <c r="L1129" s="121">
        <f>IF($C1129="","",IF($D1129="Gider",$E1129,$H1129))</f>
        <v/>
      </c>
      <c r="M1129" s="121">
        <f>IF($C1129="","",IF($D1129="Gider",$H1129,$E1129))</f>
        <v/>
      </c>
      <c r="N1129" s="231">
        <f>IF($C1129="","",DATE(YEAR($C1129),MONTH($C1129),1))</f>
        <v/>
      </c>
      <c r="O1129" s="113">
        <f>IF($C1129="","",IF(AND($D1129&lt;&gt;"",$E1129&lt;&gt;"",$G1129&gt;0,$H1129&lt;&gt;"",$I1129&lt;&gt;""),IF($C1129&gt;TODAY(),"İLERİ TARİH","UYGUN"),"EKSİK"))</f>
        <v/>
      </c>
      <c r="P1129" s="6" t="n"/>
      <c r="Q1129" s="6" t="n"/>
      <c r="R1129" s="3" t="n"/>
      <c r="S1129" s="3" t="n"/>
      <c r="T1129" s="3" t="n"/>
      <c r="U1129" s="3" t="n"/>
      <c r="V1129" s="3" t="n"/>
      <c r="W1129" s="3" t="n"/>
    </row>
    <row r="1130">
      <c r="A1130" s="6" t="n"/>
      <c r="B1130" s="113">
        <f>IF($C1130="","","GG"&amp;TEXT(ROW()-6,"00000"))</f>
        <v/>
      </c>
      <c r="C1130" s="225" t="n"/>
      <c r="D1130" s="108" t="n"/>
      <c r="E1130" s="109" t="n"/>
      <c r="F1130" s="109" t="n"/>
      <c r="G1130" s="226" t="n"/>
      <c r="H1130" s="108" t="n"/>
      <c r="I1130" s="108" t="n"/>
      <c r="J1130" s="109" t="n"/>
      <c r="K1130" s="109" t="n"/>
      <c r="L1130" s="121">
        <f>IF($C1130="","",IF($D1130="Gider",$E1130,$H1130))</f>
        <v/>
      </c>
      <c r="M1130" s="121">
        <f>IF($C1130="","",IF($D1130="Gider",$H1130,$E1130))</f>
        <v/>
      </c>
      <c r="N1130" s="231">
        <f>IF($C1130="","",DATE(YEAR($C1130),MONTH($C1130),1))</f>
        <v/>
      </c>
      <c r="O1130" s="113">
        <f>IF($C1130="","",IF(AND($D1130&lt;&gt;"",$E1130&lt;&gt;"",$G1130&gt;0,$H1130&lt;&gt;"",$I1130&lt;&gt;""),IF($C1130&gt;TODAY(),"İLERİ TARİH","UYGUN"),"EKSİK"))</f>
        <v/>
      </c>
      <c r="P1130" s="6" t="n"/>
      <c r="Q1130" s="6" t="n"/>
      <c r="R1130" s="3" t="n"/>
      <c r="S1130" s="3" t="n"/>
      <c r="T1130" s="3" t="n"/>
      <c r="U1130" s="3" t="n"/>
      <c r="V1130" s="3" t="n"/>
      <c r="W1130" s="3" t="n"/>
    </row>
    <row r="1131">
      <c r="A1131" s="6" t="n"/>
      <c r="B1131" s="113">
        <f>IF($C1131="","","GG"&amp;TEXT(ROW()-6,"00000"))</f>
        <v/>
      </c>
      <c r="C1131" s="225" t="n"/>
      <c r="D1131" s="108" t="n"/>
      <c r="E1131" s="109" t="n"/>
      <c r="F1131" s="109" t="n"/>
      <c r="G1131" s="226" t="n"/>
      <c r="H1131" s="108" t="n"/>
      <c r="I1131" s="108" t="n"/>
      <c r="J1131" s="109" t="n"/>
      <c r="K1131" s="109" t="n"/>
      <c r="L1131" s="121">
        <f>IF($C1131="","",IF($D1131="Gider",$E1131,$H1131))</f>
        <v/>
      </c>
      <c r="M1131" s="121">
        <f>IF($C1131="","",IF($D1131="Gider",$H1131,$E1131))</f>
        <v/>
      </c>
      <c r="N1131" s="231">
        <f>IF($C1131="","",DATE(YEAR($C1131),MONTH($C1131),1))</f>
        <v/>
      </c>
      <c r="O1131" s="113">
        <f>IF($C1131="","",IF(AND($D1131&lt;&gt;"",$E1131&lt;&gt;"",$G1131&gt;0,$H1131&lt;&gt;"",$I1131&lt;&gt;""),IF($C1131&gt;TODAY(),"İLERİ TARİH","UYGUN"),"EKSİK"))</f>
        <v/>
      </c>
      <c r="P1131" s="6" t="n"/>
      <c r="Q1131" s="6" t="n"/>
      <c r="R1131" s="3" t="n"/>
      <c r="S1131" s="3" t="n"/>
      <c r="T1131" s="3" t="n"/>
      <c r="U1131" s="3" t="n"/>
      <c r="V1131" s="3" t="n"/>
      <c r="W1131" s="3" t="n"/>
    </row>
    <row r="1132">
      <c r="A1132" s="6" t="n"/>
      <c r="B1132" s="113">
        <f>IF($C1132="","","GG"&amp;TEXT(ROW()-6,"00000"))</f>
        <v/>
      </c>
      <c r="C1132" s="225" t="n"/>
      <c r="D1132" s="108" t="n"/>
      <c r="E1132" s="109" t="n"/>
      <c r="F1132" s="109" t="n"/>
      <c r="G1132" s="226" t="n"/>
      <c r="H1132" s="108" t="n"/>
      <c r="I1132" s="108" t="n"/>
      <c r="J1132" s="109" t="n"/>
      <c r="K1132" s="109" t="n"/>
      <c r="L1132" s="121">
        <f>IF($C1132="","",IF($D1132="Gider",$E1132,$H1132))</f>
        <v/>
      </c>
      <c r="M1132" s="121">
        <f>IF($C1132="","",IF($D1132="Gider",$H1132,$E1132))</f>
        <v/>
      </c>
      <c r="N1132" s="231">
        <f>IF($C1132="","",DATE(YEAR($C1132),MONTH($C1132),1))</f>
        <v/>
      </c>
      <c r="O1132" s="113">
        <f>IF($C1132="","",IF(AND($D1132&lt;&gt;"",$E1132&lt;&gt;"",$G1132&gt;0,$H1132&lt;&gt;"",$I1132&lt;&gt;""),IF($C1132&gt;TODAY(),"İLERİ TARİH","UYGUN"),"EKSİK"))</f>
        <v/>
      </c>
      <c r="P1132" s="6" t="n"/>
      <c r="Q1132" s="6" t="n"/>
      <c r="R1132" s="3" t="n"/>
      <c r="S1132" s="3" t="n"/>
      <c r="T1132" s="3" t="n"/>
      <c r="U1132" s="3" t="n"/>
      <c r="V1132" s="3" t="n"/>
      <c r="W1132" s="3" t="n"/>
    </row>
    <row r="1133">
      <c r="A1133" s="6" t="n"/>
      <c r="B1133" s="113">
        <f>IF($C1133="","","GG"&amp;TEXT(ROW()-6,"00000"))</f>
        <v/>
      </c>
      <c r="C1133" s="225" t="n"/>
      <c r="D1133" s="108" t="n"/>
      <c r="E1133" s="109" t="n"/>
      <c r="F1133" s="109" t="n"/>
      <c r="G1133" s="226" t="n"/>
      <c r="H1133" s="108" t="n"/>
      <c r="I1133" s="108" t="n"/>
      <c r="J1133" s="109" t="n"/>
      <c r="K1133" s="109" t="n"/>
      <c r="L1133" s="121">
        <f>IF($C1133="","",IF($D1133="Gider",$E1133,$H1133))</f>
        <v/>
      </c>
      <c r="M1133" s="121">
        <f>IF($C1133="","",IF($D1133="Gider",$H1133,$E1133))</f>
        <v/>
      </c>
      <c r="N1133" s="231">
        <f>IF($C1133="","",DATE(YEAR($C1133),MONTH($C1133),1))</f>
        <v/>
      </c>
      <c r="O1133" s="113">
        <f>IF($C1133="","",IF(AND($D1133&lt;&gt;"",$E1133&lt;&gt;"",$G1133&gt;0,$H1133&lt;&gt;"",$I1133&lt;&gt;""),IF($C1133&gt;TODAY(),"İLERİ TARİH","UYGUN"),"EKSİK"))</f>
        <v/>
      </c>
      <c r="P1133" s="6" t="n"/>
      <c r="Q1133" s="6" t="n"/>
      <c r="R1133" s="3" t="n"/>
      <c r="S1133" s="3" t="n"/>
      <c r="T1133" s="3" t="n"/>
      <c r="U1133" s="3" t="n"/>
      <c r="V1133" s="3" t="n"/>
      <c r="W1133" s="3" t="n"/>
    </row>
    <row r="1134">
      <c r="A1134" s="6" t="n"/>
      <c r="B1134" s="113">
        <f>IF($C1134="","","GG"&amp;TEXT(ROW()-6,"00000"))</f>
        <v/>
      </c>
      <c r="C1134" s="225" t="n"/>
      <c r="D1134" s="108" t="n"/>
      <c r="E1134" s="109" t="n"/>
      <c r="F1134" s="109" t="n"/>
      <c r="G1134" s="226" t="n"/>
      <c r="H1134" s="108" t="n"/>
      <c r="I1134" s="108" t="n"/>
      <c r="J1134" s="109" t="n"/>
      <c r="K1134" s="109" t="n"/>
      <c r="L1134" s="121">
        <f>IF($C1134="","",IF($D1134="Gider",$E1134,$H1134))</f>
        <v/>
      </c>
      <c r="M1134" s="121">
        <f>IF($C1134="","",IF($D1134="Gider",$H1134,$E1134))</f>
        <v/>
      </c>
      <c r="N1134" s="231">
        <f>IF($C1134="","",DATE(YEAR($C1134),MONTH($C1134),1))</f>
        <v/>
      </c>
      <c r="O1134" s="113">
        <f>IF($C1134="","",IF(AND($D1134&lt;&gt;"",$E1134&lt;&gt;"",$G1134&gt;0,$H1134&lt;&gt;"",$I1134&lt;&gt;""),IF($C1134&gt;TODAY(),"İLERİ TARİH","UYGUN"),"EKSİK"))</f>
        <v/>
      </c>
      <c r="P1134" s="6" t="n"/>
      <c r="Q1134" s="6" t="n"/>
      <c r="R1134" s="3" t="n"/>
      <c r="S1134" s="3" t="n"/>
      <c r="T1134" s="3" t="n"/>
      <c r="U1134" s="3" t="n"/>
      <c r="V1134" s="3" t="n"/>
      <c r="W1134" s="3" t="n"/>
    </row>
    <row r="1135">
      <c r="A1135" s="6" t="n"/>
      <c r="B1135" s="113">
        <f>IF($C1135="","","GG"&amp;TEXT(ROW()-6,"00000"))</f>
        <v/>
      </c>
      <c r="C1135" s="225" t="n"/>
      <c r="D1135" s="108" t="n"/>
      <c r="E1135" s="109" t="n"/>
      <c r="F1135" s="109" t="n"/>
      <c r="G1135" s="226" t="n"/>
      <c r="H1135" s="108" t="n"/>
      <c r="I1135" s="108" t="n"/>
      <c r="J1135" s="109" t="n"/>
      <c r="K1135" s="109" t="n"/>
      <c r="L1135" s="121">
        <f>IF($C1135="","",IF($D1135="Gider",$E1135,$H1135))</f>
        <v/>
      </c>
      <c r="M1135" s="121">
        <f>IF($C1135="","",IF($D1135="Gider",$H1135,$E1135))</f>
        <v/>
      </c>
      <c r="N1135" s="231">
        <f>IF($C1135="","",DATE(YEAR($C1135),MONTH($C1135),1))</f>
        <v/>
      </c>
      <c r="O1135" s="113">
        <f>IF($C1135="","",IF(AND($D1135&lt;&gt;"",$E1135&lt;&gt;"",$G1135&gt;0,$H1135&lt;&gt;"",$I1135&lt;&gt;""),IF($C1135&gt;TODAY(),"İLERİ TARİH","UYGUN"),"EKSİK"))</f>
        <v/>
      </c>
      <c r="P1135" s="6" t="n"/>
      <c r="Q1135" s="6" t="n"/>
      <c r="R1135" s="3" t="n"/>
      <c r="S1135" s="3" t="n"/>
      <c r="T1135" s="3" t="n"/>
      <c r="U1135" s="3" t="n"/>
      <c r="V1135" s="3" t="n"/>
      <c r="W1135" s="3" t="n"/>
    </row>
    <row r="1136">
      <c r="A1136" s="6" t="n"/>
      <c r="B1136" s="113">
        <f>IF($C1136="","","GG"&amp;TEXT(ROW()-6,"00000"))</f>
        <v/>
      </c>
      <c r="C1136" s="225" t="n"/>
      <c r="D1136" s="108" t="n"/>
      <c r="E1136" s="109" t="n"/>
      <c r="F1136" s="109" t="n"/>
      <c r="G1136" s="226" t="n"/>
      <c r="H1136" s="108" t="n"/>
      <c r="I1136" s="108" t="n"/>
      <c r="J1136" s="109" t="n"/>
      <c r="K1136" s="109" t="n"/>
      <c r="L1136" s="121">
        <f>IF($C1136="","",IF($D1136="Gider",$E1136,$H1136))</f>
        <v/>
      </c>
      <c r="M1136" s="121">
        <f>IF($C1136="","",IF($D1136="Gider",$H1136,$E1136))</f>
        <v/>
      </c>
      <c r="N1136" s="231">
        <f>IF($C1136="","",DATE(YEAR($C1136),MONTH($C1136),1))</f>
        <v/>
      </c>
      <c r="O1136" s="113">
        <f>IF($C1136="","",IF(AND($D1136&lt;&gt;"",$E1136&lt;&gt;"",$G1136&gt;0,$H1136&lt;&gt;"",$I1136&lt;&gt;""),IF($C1136&gt;TODAY(),"İLERİ TARİH","UYGUN"),"EKSİK"))</f>
        <v/>
      </c>
      <c r="P1136" s="6" t="n"/>
      <c r="Q1136" s="6" t="n"/>
      <c r="R1136" s="3" t="n"/>
      <c r="S1136" s="3" t="n"/>
      <c r="T1136" s="3" t="n"/>
      <c r="U1136" s="3" t="n"/>
      <c r="V1136" s="3" t="n"/>
      <c r="W1136" s="3" t="n"/>
    </row>
    <row r="1137">
      <c r="A1137" s="6" t="n"/>
      <c r="B1137" s="113">
        <f>IF($C1137="","","GG"&amp;TEXT(ROW()-6,"00000"))</f>
        <v/>
      </c>
      <c r="C1137" s="225" t="n"/>
      <c r="D1137" s="108" t="n"/>
      <c r="E1137" s="109" t="n"/>
      <c r="F1137" s="109" t="n"/>
      <c r="G1137" s="226" t="n"/>
      <c r="H1137" s="108" t="n"/>
      <c r="I1137" s="108" t="n"/>
      <c r="J1137" s="109" t="n"/>
      <c r="K1137" s="109" t="n"/>
      <c r="L1137" s="121">
        <f>IF($C1137="","",IF($D1137="Gider",$E1137,$H1137))</f>
        <v/>
      </c>
      <c r="M1137" s="121">
        <f>IF($C1137="","",IF($D1137="Gider",$H1137,$E1137))</f>
        <v/>
      </c>
      <c r="N1137" s="231">
        <f>IF($C1137="","",DATE(YEAR($C1137),MONTH($C1137),1))</f>
        <v/>
      </c>
      <c r="O1137" s="113">
        <f>IF($C1137="","",IF(AND($D1137&lt;&gt;"",$E1137&lt;&gt;"",$G1137&gt;0,$H1137&lt;&gt;"",$I1137&lt;&gt;""),IF($C1137&gt;TODAY(),"İLERİ TARİH","UYGUN"),"EKSİK"))</f>
        <v/>
      </c>
      <c r="P1137" s="6" t="n"/>
      <c r="Q1137" s="6" t="n"/>
      <c r="R1137" s="3" t="n"/>
      <c r="S1137" s="3" t="n"/>
      <c r="T1137" s="3" t="n"/>
      <c r="U1137" s="3" t="n"/>
      <c r="V1137" s="3" t="n"/>
      <c r="W1137" s="3" t="n"/>
    </row>
    <row r="1138">
      <c r="A1138" s="6" t="n"/>
      <c r="B1138" s="113">
        <f>IF($C1138="","","GG"&amp;TEXT(ROW()-6,"00000"))</f>
        <v/>
      </c>
      <c r="C1138" s="225" t="n"/>
      <c r="D1138" s="108" t="n"/>
      <c r="E1138" s="109" t="n"/>
      <c r="F1138" s="109" t="n"/>
      <c r="G1138" s="226" t="n"/>
      <c r="H1138" s="108" t="n"/>
      <c r="I1138" s="108" t="n"/>
      <c r="J1138" s="109" t="n"/>
      <c r="K1138" s="109" t="n"/>
      <c r="L1138" s="121">
        <f>IF($C1138="","",IF($D1138="Gider",$E1138,$H1138))</f>
        <v/>
      </c>
      <c r="M1138" s="121">
        <f>IF($C1138="","",IF($D1138="Gider",$H1138,$E1138))</f>
        <v/>
      </c>
      <c r="N1138" s="231">
        <f>IF($C1138="","",DATE(YEAR($C1138),MONTH($C1138),1))</f>
        <v/>
      </c>
      <c r="O1138" s="113">
        <f>IF($C1138="","",IF(AND($D1138&lt;&gt;"",$E1138&lt;&gt;"",$G1138&gt;0,$H1138&lt;&gt;"",$I1138&lt;&gt;""),IF($C1138&gt;TODAY(),"İLERİ TARİH","UYGUN"),"EKSİK"))</f>
        <v/>
      </c>
      <c r="P1138" s="6" t="n"/>
      <c r="Q1138" s="6" t="n"/>
      <c r="R1138" s="3" t="n"/>
      <c r="S1138" s="3" t="n"/>
      <c r="T1138" s="3" t="n"/>
      <c r="U1138" s="3" t="n"/>
      <c r="V1138" s="3" t="n"/>
      <c r="W1138" s="3" t="n"/>
    </row>
    <row r="1139">
      <c r="A1139" s="6" t="n"/>
      <c r="B1139" s="113">
        <f>IF($C1139="","","GG"&amp;TEXT(ROW()-6,"00000"))</f>
        <v/>
      </c>
      <c r="C1139" s="225" t="n"/>
      <c r="D1139" s="108" t="n"/>
      <c r="E1139" s="109" t="n"/>
      <c r="F1139" s="109" t="n"/>
      <c r="G1139" s="226" t="n"/>
      <c r="H1139" s="108" t="n"/>
      <c r="I1139" s="108" t="n"/>
      <c r="J1139" s="109" t="n"/>
      <c r="K1139" s="109" t="n"/>
      <c r="L1139" s="121">
        <f>IF($C1139="","",IF($D1139="Gider",$E1139,$H1139))</f>
        <v/>
      </c>
      <c r="M1139" s="121">
        <f>IF($C1139="","",IF($D1139="Gider",$H1139,$E1139))</f>
        <v/>
      </c>
      <c r="N1139" s="231">
        <f>IF($C1139="","",DATE(YEAR($C1139),MONTH($C1139),1))</f>
        <v/>
      </c>
      <c r="O1139" s="113">
        <f>IF($C1139="","",IF(AND($D1139&lt;&gt;"",$E1139&lt;&gt;"",$G1139&gt;0,$H1139&lt;&gt;"",$I1139&lt;&gt;""),IF($C1139&gt;TODAY(),"İLERİ TARİH","UYGUN"),"EKSİK"))</f>
        <v/>
      </c>
      <c r="P1139" s="6" t="n"/>
      <c r="Q1139" s="6" t="n"/>
      <c r="R1139" s="3" t="n"/>
      <c r="S1139" s="3" t="n"/>
      <c r="T1139" s="3" t="n"/>
      <c r="U1139" s="3" t="n"/>
      <c r="V1139" s="3" t="n"/>
      <c r="W1139" s="3" t="n"/>
    </row>
    <row r="1140">
      <c r="A1140" s="6" t="n"/>
      <c r="B1140" s="113">
        <f>IF($C1140="","","GG"&amp;TEXT(ROW()-6,"00000"))</f>
        <v/>
      </c>
      <c r="C1140" s="225" t="n"/>
      <c r="D1140" s="108" t="n"/>
      <c r="E1140" s="109" t="n"/>
      <c r="F1140" s="109" t="n"/>
      <c r="G1140" s="226" t="n"/>
      <c r="H1140" s="108" t="n"/>
      <c r="I1140" s="108" t="n"/>
      <c r="J1140" s="109" t="n"/>
      <c r="K1140" s="109" t="n"/>
      <c r="L1140" s="121">
        <f>IF($C1140="","",IF($D1140="Gider",$E1140,$H1140))</f>
        <v/>
      </c>
      <c r="M1140" s="121">
        <f>IF($C1140="","",IF($D1140="Gider",$H1140,$E1140))</f>
        <v/>
      </c>
      <c r="N1140" s="231">
        <f>IF($C1140="","",DATE(YEAR($C1140),MONTH($C1140),1))</f>
        <v/>
      </c>
      <c r="O1140" s="113">
        <f>IF($C1140="","",IF(AND($D1140&lt;&gt;"",$E1140&lt;&gt;"",$G1140&gt;0,$H1140&lt;&gt;"",$I1140&lt;&gt;""),IF($C1140&gt;TODAY(),"İLERİ TARİH","UYGUN"),"EKSİK"))</f>
        <v/>
      </c>
      <c r="P1140" s="6" t="n"/>
      <c r="Q1140" s="6" t="n"/>
      <c r="R1140" s="3" t="n"/>
      <c r="S1140" s="3" t="n"/>
      <c r="T1140" s="3" t="n"/>
      <c r="U1140" s="3" t="n"/>
      <c r="V1140" s="3" t="n"/>
      <c r="W1140" s="3" t="n"/>
    </row>
    <row r="1141">
      <c r="A1141" s="6" t="n"/>
      <c r="B1141" s="113">
        <f>IF($C1141="","","GG"&amp;TEXT(ROW()-6,"00000"))</f>
        <v/>
      </c>
      <c r="C1141" s="225" t="n"/>
      <c r="D1141" s="108" t="n"/>
      <c r="E1141" s="109" t="n"/>
      <c r="F1141" s="109" t="n"/>
      <c r="G1141" s="226" t="n"/>
      <c r="H1141" s="108" t="n"/>
      <c r="I1141" s="108" t="n"/>
      <c r="J1141" s="109" t="n"/>
      <c r="K1141" s="109" t="n"/>
      <c r="L1141" s="121">
        <f>IF($C1141="","",IF($D1141="Gider",$E1141,$H1141))</f>
        <v/>
      </c>
      <c r="M1141" s="121">
        <f>IF($C1141="","",IF($D1141="Gider",$H1141,$E1141))</f>
        <v/>
      </c>
      <c r="N1141" s="231">
        <f>IF($C1141="","",DATE(YEAR($C1141),MONTH($C1141),1))</f>
        <v/>
      </c>
      <c r="O1141" s="113">
        <f>IF($C1141="","",IF(AND($D1141&lt;&gt;"",$E1141&lt;&gt;"",$G1141&gt;0,$H1141&lt;&gt;"",$I1141&lt;&gt;""),IF($C1141&gt;TODAY(),"İLERİ TARİH","UYGUN"),"EKSİK"))</f>
        <v/>
      </c>
      <c r="P1141" s="6" t="n"/>
      <c r="Q1141" s="6" t="n"/>
      <c r="R1141" s="3" t="n"/>
      <c r="S1141" s="3" t="n"/>
      <c r="T1141" s="3" t="n"/>
      <c r="U1141" s="3" t="n"/>
      <c r="V1141" s="3" t="n"/>
      <c r="W1141" s="3" t="n"/>
    </row>
    <row r="1142">
      <c r="A1142" s="6" t="n"/>
      <c r="B1142" s="113">
        <f>IF($C1142="","","GG"&amp;TEXT(ROW()-6,"00000"))</f>
        <v/>
      </c>
      <c r="C1142" s="225" t="n"/>
      <c r="D1142" s="108" t="n"/>
      <c r="E1142" s="109" t="n"/>
      <c r="F1142" s="109" t="n"/>
      <c r="G1142" s="226" t="n"/>
      <c r="H1142" s="108" t="n"/>
      <c r="I1142" s="108" t="n"/>
      <c r="J1142" s="109" t="n"/>
      <c r="K1142" s="109" t="n"/>
      <c r="L1142" s="121">
        <f>IF($C1142="","",IF($D1142="Gider",$E1142,$H1142))</f>
        <v/>
      </c>
      <c r="M1142" s="121">
        <f>IF($C1142="","",IF($D1142="Gider",$H1142,$E1142))</f>
        <v/>
      </c>
      <c r="N1142" s="231">
        <f>IF($C1142="","",DATE(YEAR($C1142),MONTH($C1142),1))</f>
        <v/>
      </c>
      <c r="O1142" s="113">
        <f>IF($C1142="","",IF(AND($D1142&lt;&gt;"",$E1142&lt;&gt;"",$G1142&gt;0,$H1142&lt;&gt;"",$I1142&lt;&gt;""),IF($C1142&gt;TODAY(),"İLERİ TARİH","UYGUN"),"EKSİK"))</f>
        <v/>
      </c>
      <c r="P1142" s="6" t="n"/>
      <c r="Q1142" s="6" t="n"/>
      <c r="R1142" s="3" t="n"/>
      <c r="S1142" s="3" t="n"/>
      <c r="T1142" s="3" t="n"/>
      <c r="U1142" s="3" t="n"/>
      <c r="V1142" s="3" t="n"/>
      <c r="W1142" s="3" t="n"/>
    </row>
    <row r="1143">
      <c r="A1143" s="6" t="n"/>
      <c r="B1143" s="113">
        <f>IF($C1143="","","GG"&amp;TEXT(ROW()-6,"00000"))</f>
        <v/>
      </c>
      <c r="C1143" s="225" t="n"/>
      <c r="D1143" s="108" t="n"/>
      <c r="E1143" s="109" t="n"/>
      <c r="F1143" s="109" t="n"/>
      <c r="G1143" s="226" t="n"/>
      <c r="H1143" s="108" t="n"/>
      <c r="I1143" s="108" t="n"/>
      <c r="J1143" s="109" t="n"/>
      <c r="K1143" s="109" t="n"/>
      <c r="L1143" s="121">
        <f>IF($C1143="","",IF($D1143="Gider",$E1143,$H1143))</f>
        <v/>
      </c>
      <c r="M1143" s="121">
        <f>IF($C1143="","",IF($D1143="Gider",$H1143,$E1143))</f>
        <v/>
      </c>
      <c r="N1143" s="231">
        <f>IF($C1143="","",DATE(YEAR($C1143),MONTH($C1143),1))</f>
        <v/>
      </c>
      <c r="O1143" s="113">
        <f>IF($C1143="","",IF(AND($D1143&lt;&gt;"",$E1143&lt;&gt;"",$G1143&gt;0,$H1143&lt;&gt;"",$I1143&lt;&gt;""),IF($C1143&gt;TODAY(),"İLERİ TARİH","UYGUN"),"EKSİK"))</f>
        <v/>
      </c>
      <c r="P1143" s="6" t="n"/>
      <c r="Q1143" s="6" t="n"/>
      <c r="R1143" s="3" t="n"/>
      <c r="S1143" s="3" t="n"/>
      <c r="T1143" s="3" t="n"/>
      <c r="U1143" s="3" t="n"/>
      <c r="V1143" s="3" t="n"/>
      <c r="W1143" s="3" t="n"/>
    </row>
    <row r="1144">
      <c r="A1144" s="6" t="n"/>
      <c r="B1144" s="113">
        <f>IF($C1144="","","GG"&amp;TEXT(ROW()-6,"00000"))</f>
        <v/>
      </c>
      <c r="C1144" s="225" t="n"/>
      <c r="D1144" s="108" t="n"/>
      <c r="E1144" s="109" t="n"/>
      <c r="F1144" s="109" t="n"/>
      <c r="G1144" s="226" t="n"/>
      <c r="H1144" s="108" t="n"/>
      <c r="I1144" s="108" t="n"/>
      <c r="J1144" s="109" t="n"/>
      <c r="K1144" s="109" t="n"/>
      <c r="L1144" s="121">
        <f>IF($C1144="","",IF($D1144="Gider",$E1144,$H1144))</f>
        <v/>
      </c>
      <c r="M1144" s="121">
        <f>IF($C1144="","",IF($D1144="Gider",$H1144,$E1144))</f>
        <v/>
      </c>
      <c r="N1144" s="231">
        <f>IF($C1144="","",DATE(YEAR($C1144),MONTH($C1144),1))</f>
        <v/>
      </c>
      <c r="O1144" s="113">
        <f>IF($C1144="","",IF(AND($D1144&lt;&gt;"",$E1144&lt;&gt;"",$G1144&gt;0,$H1144&lt;&gt;"",$I1144&lt;&gt;""),IF($C1144&gt;TODAY(),"İLERİ TARİH","UYGUN"),"EKSİK"))</f>
        <v/>
      </c>
      <c r="P1144" s="6" t="n"/>
      <c r="Q1144" s="6" t="n"/>
      <c r="R1144" s="3" t="n"/>
      <c r="S1144" s="3" t="n"/>
      <c r="T1144" s="3" t="n"/>
      <c r="U1144" s="3" t="n"/>
      <c r="V1144" s="3" t="n"/>
      <c r="W1144" s="3" t="n"/>
    </row>
    <row r="1145">
      <c r="A1145" s="6" t="n"/>
      <c r="B1145" s="113">
        <f>IF($C1145="","","GG"&amp;TEXT(ROW()-6,"00000"))</f>
        <v/>
      </c>
      <c r="C1145" s="225" t="n"/>
      <c r="D1145" s="108" t="n"/>
      <c r="E1145" s="109" t="n"/>
      <c r="F1145" s="109" t="n"/>
      <c r="G1145" s="226" t="n"/>
      <c r="H1145" s="108" t="n"/>
      <c r="I1145" s="108" t="n"/>
      <c r="J1145" s="109" t="n"/>
      <c r="K1145" s="109" t="n"/>
      <c r="L1145" s="121">
        <f>IF($C1145="","",IF($D1145="Gider",$E1145,$H1145))</f>
        <v/>
      </c>
      <c r="M1145" s="121">
        <f>IF($C1145="","",IF($D1145="Gider",$H1145,$E1145))</f>
        <v/>
      </c>
      <c r="N1145" s="231">
        <f>IF($C1145="","",DATE(YEAR($C1145),MONTH($C1145),1))</f>
        <v/>
      </c>
      <c r="O1145" s="113">
        <f>IF($C1145="","",IF(AND($D1145&lt;&gt;"",$E1145&lt;&gt;"",$G1145&gt;0,$H1145&lt;&gt;"",$I1145&lt;&gt;""),IF($C1145&gt;TODAY(),"İLERİ TARİH","UYGUN"),"EKSİK"))</f>
        <v/>
      </c>
      <c r="P1145" s="6" t="n"/>
      <c r="Q1145" s="6" t="n"/>
      <c r="R1145" s="3" t="n"/>
      <c r="S1145" s="3" t="n"/>
      <c r="T1145" s="3" t="n"/>
      <c r="U1145" s="3" t="n"/>
      <c r="V1145" s="3" t="n"/>
      <c r="W1145" s="3" t="n"/>
    </row>
    <row r="1146">
      <c r="A1146" s="6" t="n"/>
      <c r="B1146" s="113">
        <f>IF($C1146="","","GG"&amp;TEXT(ROW()-6,"00000"))</f>
        <v/>
      </c>
      <c r="C1146" s="225" t="n"/>
      <c r="D1146" s="108" t="n"/>
      <c r="E1146" s="109" t="n"/>
      <c r="F1146" s="109" t="n"/>
      <c r="G1146" s="226" t="n"/>
      <c r="H1146" s="108" t="n"/>
      <c r="I1146" s="108" t="n"/>
      <c r="J1146" s="109" t="n"/>
      <c r="K1146" s="109" t="n"/>
      <c r="L1146" s="121">
        <f>IF($C1146="","",IF($D1146="Gider",$E1146,$H1146))</f>
        <v/>
      </c>
      <c r="M1146" s="121">
        <f>IF($C1146="","",IF($D1146="Gider",$H1146,$E1146))</f>
        <v/>
      </c>
      <c r="N1146" s="231">
        <f>IF($C1146="","",DATE(YEAR($C1146),MONTH($C1146),1))</f>
        <v/>
      </c>
      <c r="O1146" s="113">
        <f>IF($C1146="","",IF(AND($D1146&lt;&gt;"",$E1146&lt;&gt;"",$G1146&gt;0,$H1146&lt;&gt;"",$I1146&lt;&gt;""),IF($C1146&gt;TODAY(),"İLERİ TARİH","UYGUN"),"EKSİK"))</f>
        <v/>
      </c>
      <c r="P1146" s="6" t="n"/>
      <c r="Q1146" s="6" t="n"/>
      <c r="R1146" s="3" t="n"/>
      <c r="S1146" s="3" t="n"/>
      <c r="T1146" s="3" t="n"/>
      <c r="U1146" s="3" t="n"/>
      <c r="V1146" s="3" t="n"/>
      <c r="W1146" s="3" t="n"/>
    </row>
    <row r="1147">
      <c r="A1147" s="6" t="n"/>
      <c r="B1147" s="113">
        <f>IF($C1147="","","GG"&amp;TEXT(ROW()-6,"00000"))</f>
        <v/>
      </c>
      <c r="C1147" s="225" t="n"/>
      <c r="D1147" s="108" t="n"/>
      <c r="E1147" s="109" t="n"/>
      <c r="F1147" s="109" t="n"/>
      <c r="G1147" s="226" t="n"/>
      <c r="H1147" s="108" t="n"/>
      <c r="I1147" s="108" t="n"/>
      <c r="J1147" s="109" t="n"/>
      <c r="K1147" s="109" t="n"/>
      <c r="L1147" s="121">
        <f>IF($C1147="","",IF($D1147="Gider",$E1147,$H1147))</f>
        <v/>
      </c>
      <c r="M1147" s="121">
        <f>IF($C1147="","",IF($D1147="Gider",$H1147,$E1147))</f>
        <v/>
      </c>
      <c r="N1147" s="231">
        <f>IF($C1147="","",DATE(YEAR($C1147),MONTH($C1147),1))</f>
        <v/>
      </c>
      <c r="O1147" s="113">
        <f>IF($C1147="","",IF(AND($D1147&lt;&gt;"",$E1147&lt;&gt;"",$G1147&gt;0,$H1147&lt;&gt;"",$I1147&lt;&gt;""),IF($C1147&gt;TODAY(),"İLERİ TARİH","UYGUN"),"EKSİK"))</f>
        <v/>
      </c>
      <c r="P1147" s="6" t="n"/>
      <c r="Q1147" s="6" t="n"/>
      <c r="R1147" s="3" t="n"/>
      <c r="S1147" s="3" t="n"/>
      <c r="T1147" s="3" t="n"/>
      <c r="U1147" s="3" t="n"/>
      <c r="V1147" s="3" t="n"/>
      <c r="W1147" s="3" t="n"/>
    </row>
    <row r="1148">
      <c r="A1148" s="6" t="n"/>
      <c r="B1148" s="113">
        <f>IF($C1148="","","GG"&amp;TEXT(ROW()-6,"00000"))</f>
        <v/>
      </c>
      <c r="C1148" s="225" t="n"/>
      <c r="D1148" s="108" t="n"/>
      <c r="E1148" s="109" t="n"/>
      <c r="F1148" s="109" t="n"/>
      <c r="G1148" s="226" t="n"/>
      <c r="H1148" s="108" t="n"/>
      <c r="I1148" s="108" t="n"/>
      <c r="J1148" s="109" t="n"/>
      <c r="K1148" s="109" t="n"/>
      <c r="L1148" s="121">
        <f>IF($C1148="","",IF($D1148="Gider",$E1148,$H1148))</f>
        <v/>
      </c>
      <c r="M1148" s="121">
        <f>IF($C1148="","",IF($D1148="Gider",$H1148,$E1148))</f>
        <v/>
      </c>
      <c r="N1148" s="231">
        <f>IF($C1148="","",DATE(YEAR($C1148),MONTH($C1148),1))</f>
        <v/>
      </c>
      <c r="O1148" s="113">
        <f>IF($C1148="","",IF(AND($D1148&lt;&gt;"",$E1148&lt;&gt;"",$G1148&gt;0,$H1148&lt;&gt;"",$I1148&lt;&gt;""),IF($C1148&gt;TODAY(),"İLERİ TARİH","UYGUN"),"EKSİK"))</f>
        <v/>
      </c>
      <c r="P1148" s="6" t="n"/>
      <c r="Q1148" s="6" t="n"/>
      <c r="R1148" s="3" t="n"/>
      <c r="S1148" s="3" t="n"/>
      <c r="T1148" s="3" t="n"/>
      <c r="U1148" s="3" t="n"/>
      <c r="V1148" s="3" t="n"/>
      <c r="W1148" s="3" t="n"/>
    </row>
    <row r="1149">
      <c r="A1149" s="6" t="n"/>
      <c r="B1149" s="113">
        <f>IF($C1149="","","GG"&amp;TEXT(ROW()-6,"00000"))</f>
        <v/>
      </c>
      <c r="C1149" s="225" t="n"/>
      <c r="D1149" s="108" t="n"/>
      <c r="E1149" s="109" t="n"/>
      <c r="F1149" s="109" t="n"/>
      <c r="G1149" s="226" t="n"/>
      <c r="H1149" s="108" t="n"/>
      <c r="I1149" s="108" t="n"/>
      <c r="J1149" s="109" t="n"/>
      <c r="K1149" s="109" t="n"/>
      <c r="L1149" s="121">
        <f>IF($C1149="","",IF($D1149="Gider",$E1149,$H1149))</f>
        <v/>
      </c>
      <c r="M1149" s="121">
        <f>IF($C1149="","",IF($D1149="Gider",$H1149,$E1149))</f>
        <v/>
      </c>
      <c r="N1149" s="231">
        <f>IF($C1149="","",DATE(YEAR($C1149),MONTH($C1149),1))</f>
        <v/>
      </c>
      <c r="O1149" s="113">
        <f>IF($C1149="","",IF(AND($D1149&lt;&gt;"",$E1149&lt;&gt;"",$G1149&gt;0,$H1149&lt;&gt;"",$I1149&lt;&gt;""),IF($C1149&gt;TODAY(),"İLERİ TARİH","UYGUN"),"EKSİK"))</f>
        <v/>
      </c>
      <c r="P1149" s="6" t="n"/>
      <c r="Q1149" s="6" t="n"/>
      <c r="R1149" s="3" t="n"/>
      <c r="S1149" s="3" t="n"/>
      <c r="T1149" s="3" t="n"/>
      <c r="U1149" s="3" t="n"/>
      <c r="V1149" s="3" t="n"/>
      <c r="W1149" s="3" t="n"/>
    </row>
    <row r="1150">
      <c r="A1150" s="6" t="n"/>
      <c r="B1150" s="113">
        <f>IF($C1150="","","GG"&amp;TEXT(ROW()-6,"00000"))</f>
        <v/>
      </c>
      <c r="C1150" s="225" t="n"/>
      <c r="D1150" s="108" t="n"/>
      <c r="E1150" s="109" t="n"/>
      <c r="F1150" s="109" t="n"/>
      <c r="G1150" s="226" t="n"/>
      <c r="H1150" s="108" t="n"/>
      <c r="I1150" s="108" t="n"/>
      <c r="J1150" s="109" t="n"/>
      <c r="K1150" s="109" t="n"/>
      <c r="L1150" s="121">
        <f>IF($C1150="","",IF($D1150="Gider",$E1150,$H1150))</f>
        <v/>
      </c>
      <c r="M1150" s="121">
        <f>IF($C1150="","",IF($D1150="Gider",$H1150,$E1150))</f>
        <v/>
      </c>
      <c r="N1150" s="231">
        <f>IF($C1150="","",DATE(YEAR($C1150),MONTH($C1150),1))</f>
        <v/>
      </c>
      <c r="O1150" s="113">
        <f>IF($C1150="","",IF(AND($D1150&lt;&gt;"",$E1150&lt;&gt;"",$G1150&gt;0,$H1150&lt;&gt;"",$I1150&lt;&gt;""),IF($C1150&gt;TODAY(),"İLERİ TARİH","UYGUN"),"EKSİK"))</f>
        <v/>
      </c>
      <c r="P1150" s="6" t="n"/>
      <c r="Q1150" s="6" t="n"/>
      <c r="R1150" s="3" t="n"/>
      <c r="S1150" s="3" t="n"/>
      <c r="T1150" s="3" t="n"/>
      <c r="U1150" s="3" t="n"/>
      <c r="V1150" s="3" t="n"/>
      <c r="W1150" s="3" t="n"/>
    </row>
    <row r="1151">
      <c r="A1151" s="6" t="n"/>
      <c r="B1151" s="113">
        <f>IF($C1151="","","GG"&amp;TEXT(ROW()-6,"00000"))</f>
        <v/>
      </c>
      <c r="C1151" s="225" t="n"/>
      <c r="D1151" s="108" t="n"/>
      <c r="E1151" s="109" t="n"/>
      <c r="F1151" s="109" t="n"/>
      <c r="G1151" s="226" t="n"/>
      <c r="H1151" s="108" t="n"/>
      <c r="I1151" s="108" t="n"/>
      <c r="J1151" s="109" t="n"/>
      <c r="K1151" s="109" t="n"/>
      <c r="L1151" s="121">
        <f>IF($C1151="","",IF($D1151="Gider",$E1151,$H1151))</f>
        <v/>
      </c>
      <c r="M1151" s="121">
        <f>IF($C1151="","",IF($D1151="Gider",$H1151,$E1151))</f>
        <v/>
      </c>
      <c r="N1151" s="231">
        <f>IF($C1151="","",DATE(YEAR($C1151),MONTH($C1151),1))</f>
        <v/>
      </c>
      <c r="O1151" s="113">
        <f>IF($C1151="","",IF(AND($D1151&lt;&gt;"",$E1151&lt;&gt;"",$G1151&gt;0,$H1151&lt;&gt;"",$I1151&lt;&gt;""),IF($C1151&gt;TODAY(),"İLERİ TARİH","UYGUN"),"EKSİK"))</f>
        <v/>
      </c>
      <c r="P1151" s="6" t="n"/>
      <c r="Q1151" s="6" t="n"/>
      <c r="R1151" s="3" t="n"/>
      <c r="S1151" s="3" t="n"/>
      <c r="T1151" s="3" t="n"/>
      <c r="U1151" s="3" t="n"/>
      <c r="V1151" s="3" t="n"/>
      <c r="W1151" s="3" t="n"/>
    </row>
    <row r="1152">
      <c r="A1152" s="6" t="n"/>
      <c r="B1152" s="113">
        <f>IF($C1152="","","GG"&amp;TEXT(ROW()-6,"00000"))</f>
        <v/>
      </c>
      <c r="C1152" s="225" t="n"/>
      <c r="D1152" s="108" t="n"/>
      <c r="E1152" s="109" t="n"/>
      <c r="F1152" s="109" t="n"/>
      <c r="G1152" s="226" t="n"/>
      <c r="H1152" s="108" t="n"/>
      <c r="I1152" s="108" t="n"/>
      <c r="J1152" s="109" t="n"/>
      <c r="K1152" s="109" t="n"/>
      <c r="L1152" s="121">
        <f>IF($C1152="","",IF($D1152="Gider",$E1152,$H1152))</f>
        <v/>
      </c>
      <c r="M1152" s="121">
        <f>IF($C1152="","",IF($D1152="Gider",$H1152,$E1152))</f>
        <v/>
      </c>
      <c r="N1152" s="231">
        <f>IF($C1152="","",DATE(YEAR($C1152),MONTH($C1152),1))</f>
        <v/>
      </c>
      <c r="O1152" s="113">
        <f>IF($C1152="","",IF(AND($D1152&lt;&gt;"",$E1152&lt;&gt;"",$G1152&gt;0,$H1152&lt;&gt;"",$I1152&lt;&gt;""),IF($C1152&gt;TODAY(),"İLERİ TARİH","UYGUN"),"EKSİK"))</f>
        <v/>
      </c>
      <c r="P1152" s="6" t="n"/>
      <c r="Q1152" s="6" t="n"/>
      <c r="R1152" s="3" t="n"/>
      <c r="S1152" s="3" t="n"/>
      <c r="T1152" s="3" t="n"/>
      <c r="U1152" s="3" t="n"/>
      <c r="V1152" s="3" t="n"/>
      <c r="W1152" s="3" t="n"/>
    </row>
    <row r="1153">
      <c r="A1153" s="6" t="n"/>
      <c r="B1153" s="113">
        <f>IF($C1153="","","GG"&amp;TEXT(ROW()-6,"00000"))</f>
        <v/>
      </c>
      <c r="C1153" s="225" t="n"/>
      <c r="D1153" s="108" t="n"/>
      <c r="E1153" s="109" t="n"/>
      <c r="F1153" s="109" t="n"/>
      <c r="G1153" s="226" t="n"/>
      <c r="H1153" s="108" t="n"/>
      <c r="I1153" s="108" t="n"/>
      <c r="J1153" s="109" t="n"/>
      <c r="K1153" s="109" t="n"/>
      <c r="L1153" s="121">
        <f>IF($C1153="","",IF($D1153="Gider",$E1153,$H1153))</f>
        <v/>
      </c>
      <c r="M1153" s="121">
        <f>IF($C1153="","",IF($D1153="Gider",$H1153,$E1153))</f>
        <v/>
      </c>
      <c r="N1153" s="231">
        <f>IF($C1153="","",DATE(YEAR($C1153),MONTH($C1153),1))</f>
        <v/>
      </c>
      <c r="O1153" s="113">
        <f>IF($C1153="","",IF(AND($D1153&lt;&gt;"",$E1153&lt;&gt;"",$G1153&gt;0,$H1153&lt;&gt;"",$I1153&lt;&gt;""),IF($C1153&gt;TODAY(),"İLERİ TARİH","UYGUN"),"EKSİK"))</f>
        <v/>
      </c>
      <c r="P1153" s="6" t="n"/>
      <c r="Q1153" s="6" t="n"/>
      <c r="R1153" s="3" t="n"/>
      <c r="S1153" s="3" t="n"/>
      <c r="T1153" s="3" t="n"/>
      <c r="U1153" s="3" t="n"/>
      <c r="V1153" s="3" t="n"/>
      <c r="W1153" s="3" t="n"/>
    </row>
    <row r="1154">
      <c r="A1154" s="6" t="n"/>
      <c r="B1154" s="113">
        <f>IF($C1154="","","GG"&amp;TEXT(ROW()-6,"00000"))</f>
        <v/>
      </c>
      <c r="C1154" s="225" t="n"/>
      <c r="D1154" s="108" t="n"/>
      <c r="E1154" s="109" t="n"/>
      <c r="F1154" s="109" t="n"/>
      <c r="G1154" s="226" t="n"/>
      <c r="H1154" s="108" t="n"/>
      <c r="I1154" s="108" t="n"/>
      <c r="J1154" s="109" t="n"/>
      <c r="K1154" s="109" t="n"/>
      <c r="L1154" s="121">
        <f>IF($C1154="","",IF($D1154="Gider",$E1154,$H1154))</f>
        <v/>
      </c>
      <c r="M1154" s="121">
        <f>IF($C1154="","",IF($D1154="Gider",$H1154,$E1154))</f>
        <v/>
      </c>
      <c r="N1154" s="231">
        <f>IF($C1154="","",DATE(YEAR($C1154),MONTH($C1154),1))</f>
        <v/>
      </c>
      <c r="O1154" s="113">
        <f>IF($C1154="","",IF(AND($D1154&lt;&gt;"",$E1154&lt;&gt;"",$G1154&gt;0,$H1154&lt;&gt;"",$I1154&lt;&gt;""),IF($C1154&gt;TODAY(),"İLERİ TARİH","UYGUN"),"EKSİK"))</f>
        <v/>
      </c>
      <c r="P1154" s="6" t="n"/>
      <c r="Q1154" s="6" t="n"/>
      <c r="R1154" s="3" t="n"/>
      <c r="S1154" s="3" t="n"/>
      <c r="T1154" s="3" t="n"/>
      <c r="U1154" s="3" t="n"/>
      <c r="V1154" s="3" t="n"/>
      <c r="W1154" s="3" t="n"/>
    </row>
    <row r="1155">
      <c r="A1155" s="6" t="n"/>
      <c r="B1155" s="113">
        <f>IF($C1155="","","GG"&amp;TEXT(ROW()-6,"00000"))</f>
        <v/>
      </c>
      <c r="C1155" s="225" t="n"/>
      <c r="D1155" s="108" t="n"/>
      <c r="E1155" s="109" t="n"/>
      <c r="F1155" s="109" t="n"/>
      <c r="G1155" s="226" t="n"/>
      <c r="H1155" s="108" t="n"/>
      <c r="I1155" s="108" t="n"/>
      <c r="J1155" s="109" t="n"/>
      <c r="K1155" s="109" t="n"/>
      <c r="L1155" s="121">
        <f>IF($C1155="","",IF($D1155="Gider",$E1155,$H1155))</f>
        <v/>
      </c>
      <c r="M1155" s="121">
        <f>IF($C1155="","",IF($D1155="Gider",$H1155,$E1155))</f>
        <v/>
      </c>
      <c r="N1155" s="231">
        <f>IF($C1155="","",DATE(YEAR($C1155),MONTH($C1155),1))</f>
        <v/>
      </c>
      <c r="O1155" s="113">
        <f>IF($C1155="","",IF(AND($D1155&lt;&gt;"",$E1155&lt;&gt;"",$G1155&gt;0,$H1155&lt;&gt;"",$I1155&lt;&gt;""),IF($C1155&gt;TODAY(),"İLERİ TARİH","UYGUN"),"EKSİK"))</f>
        <v/>
      </c>
      <c r="P1155" s="6" t="n"/>
      <c r="Q1155" s="6" t="n"/>
      <c r="R1155" s="3" t="n"/>
      <c r="S1155" s="3" t="n"/>
      <c r="T1155" s="3" t="n"/>
      <c r="U1155" s="3" t="n"/>
      <c r="V1155" s="3" t="n"/>
      <c r="W1155" s="3" t="n"/>
    </row>
    <row r="1156">
      <c r="A1156" s="6" t="n"/>
      <c r="B1156" s="113">
        <f>IF($C1156="","","GG"&amp;TEXT(ROW()-6,"00000"))</f>
        <v/>
      </c>
      <c r="C1156" s="225" t="n"/>
      <c r="D1156" s="108" t="n"/>
      <c r="E1156" s="109" t="n"/>
      <c r="F1156" s="109" t="n"/>
      <c r="G1156" s="226" t="n"/>
      <c r="H1156" s="108" t="n"/>
      <c r="I1156" s="108" t="n"/>
      <c r="J1156" s="109" t="n"/>
      <c r="K1156" s="109" t="n"/>
      <c r="L1156" s="121">
        <f>IF($C1156="","",IF($D1156="Gider",$E1156,$H1156))</f>
        <v/>
      </c>
      <c r="M1156" s="121">
        <f>IF($C1156="","",IF($D1156="Gider",$H1156,$E1156))</f>
        <v/>
      </c>
      <c r="N1156" s="231">
        <f>IF($C1156="","",DATE(YEAR($C1156),MONTH($C1156),1))</f>
        <v/>
      </c>
      <c r="O1156" s="113">
        <f>IF($C1156="","",IF(AND($D1156&lt;&gt;"",$E1156&lt;&gt;"",$G1156&gt;0,$H1156&lt;&gt;"",$I1156&lt;&gt;""),IF($C1156&gt;TODAY(),"İLERİ TARİH","UYGUN"),"EKSİK"))</f>
        <v/>
      </c>
      <c r="P1156" s="6" t="n"/>
      <c r="Q1156" s="6" t="n"/>
      <c r="R1156" s="3" t="n"/>
      <c r="S1156" s="3" t="n"/>
      <c r="T1156" s="3" t="n"/>
      <c r="U1156" s="3" t="n"/>
      <c r="V1156" s="3" t="n"/>
      <c r="W1156" s="3" t="n"/>
    </row>
    <row r="1157">
      <c r="A1157" s="6" t="n"/>
      <c r="B1157" s="113">
        <f>IF($C1157="","","GG"&amp;TEXT(ROW()-6,"00000"))</f>
        <v/>
      </c>
      <c r="C1157" s="225" t="n"/>
      <c r="D1157" s="108" t="n"/>
      <c r="E1157" s="109" t="n"/>
      <c r="F1157" s="109" t="n"/>
      <c r="G1157" s="226" t="n"/>
      <c r="H1157" s="108" t="n"/>
      <c r="I1157" s="108" t="n"/>
      <c r="J1157" s="109" t="n"/>
      <c r="K1157" s="109" t="n"/>
      <c r="L1157" s="121">
        <f>IF($C1157="","",IF($D1157="Gider",$E1157,$H1157))</f>
        <v/>
      </c>
      <c r="M1157" s="121">
        <f>IF($C1157="","",IF($D1157="Gider",$H1157,$E1157))</f>
        <v/>
      </c>
      <c r="N1157" s="231">
        <f>IF($C1157="","",DATE(YEAR($C1157),MONTH($C1157),1))</f>
        <v/>
      </c>
      <c r="O1157" s="113">
        <f>IF($C1157="","",IF(AND($D1157&lt;&gt;"",$E1157&lt;&gt;"",$G1157&gt;0,$H1157&lt;&gt;"",$I1157&lt;&gt;""),IF($C1157&gt;TODAY(),"İLERİ TARİH","UYGUN"),"EKSİK"))</f>
        <v/>
      </c>
      <c r="P1157" s="6" t="n"/>
      <c r="Q1157" s="6" t="n"/>
      <c r="R1157" s="3" t="n"/>
      <c r="S1157" s="3" t="n"/>
      <c r="T1157" s="3" t="n"/>
      <c r="U1157" s="3" t="n"/>
      <c r="V1157" s="3" t="n"/>
      <c r="W1157" s="3" t="n"/>
    </row>
    <row r="1158">
      <c r="A1158" s="6" t="n"/>
      <c r="B1158" s="113">
        <f>IF($C1158="","","GG"&amp;TEXT(ROW()-6,"00000"))</f>
        <v/>
      </c>
      <c r="C1158" s="225" t="n"/>
      <c r="D1158" s="108" t="n"/>
      <c r="E1158" s="109" t="n"/>
      <c r="F1158" s="109" t="n"/>
      <c r="G1158" s="226" t="n"/>
      <c r="H1158" s="108" t="n"/>
      <c r="I1158" s="108" t="n"/>
      <c r="J1158" s="109" t="n"/>
      <c r="K1158" s="109" t="n"/>
      <c r="L1158" s="121">
        <f>IF($C1158="","",IF($D1158="Gider",$E1158,$H1158))</f>
        <v/>
      </c>
      <c r="M1158" s="121">
        <f>IF($C1158="","",IF($D1158="Gider",$H1158,$E1158))</f>
        <v/>
      </c>
      <c r="N1158" s="231">
        <f>IF($C1158="","",DATE(YEAR($C1158),MONTH($C1158),1))</f>
        <v/>
      </c>
      <c r="O1158" s="113">
        <f>IF($C1158="","",IF(AND($D1158&lt;&gt;"",$E1158&lt;&gt;"",$G1158&gt;0,$H1158&lt;&gt;"",$I1158&lt;&gt;""),IF($C1158&gt;TODAY(),"İLERİ TARİH","UYGUN"),"EKSİK"))</f>
        <v/>
      </c>
      <c r="P1158" s="6" t="n"/>
      <c r="Q1158" s="6" t="n"/>
      <c r="R1158" s="3" t="n"/>
      <c r="S1158" s="3" t="n"/>
      <c r="T1158" s="3" t="n"/>
      <c r="U1158" s="3" t="n"/>
      <c r="V1158" s="3" t="n"/>
      <c r="W1158" s="3" t="n"/>
    </row>
    <row r="1159">
      <c r="A1159" s="6" t="n"/>
      <c r="B1159" s="113">
        <f>IF($C1159="","","GG"&amp;TEXT(ROW()-6,"00000"))</f>
        <v/>
      </c>
      <c r="C1159" s="225" t="n"/>
      <c r="D1159" s="108" t="n"/>
      <c r="E1159" s="109" t="n"/>
      <c r="F1159" s="109" t="n"/>
      <c r="G1159" s="226" t="n"/>
      <c r="H1159" s="108" t="n"/>
      <c r="I1159" s="108" t="n"/>
      <c r="J1159" s="109" t="n"/>
      <c r="K1159" s="109" t="n"/>
      <c r="L1159" s="121">
        <f>IF($C1159="","",IF($D1159="Gider",$E1159,$H1159))</f>
        <v/>
      </c>
      <c r="M1159" s="121">
        <f>IF($C1159="","",IF($D1159="Gider",$H1159,$E1159))</f>
        <v/>
      </c>
      <c r="N1159" s="231">
        <f>IF($C1159="","",DATE(YEAR($C1159),MONTH($C1159),1))</f>
        <v/>
      </c>
      <c r="O1159" s="113">
        <f>IF($C1159="","",IF(AND($D1159&lt;&gt;"",$E1159&lt;&gt;"",$G1159&gt;0,$H1159&lt;&gt;"",$I1159&lt;&gt;""),IF($C1159&gt;TODAY(),"İLERİ TARİH","UYGUN"),"EKSİK"))</f>
        <v/>
      </c>
      <c r="P1159" s="6" t="n"/>
      <c r="Q1159" s="6" t="n"/>
      <c r="R1159" s="3" t="n"/>
      <c r="S1159" s="3" t="n"/>
      <c r="T1159" s="3" t="n"/>
      <c r="U1159" s="3" t="n"/>
      <c r="V1159" s="3" t="n"/>
      <c r="W1159" s="3" t="n"/>
    </row>
    <row r="1160">
      <c r="A1160" s="6" t="n"/>
      <c r="B1160" s="113">
        <f>IF($C1160="","","GG"&amp;TEXT(ROW()-6,"00000"))</f>
        <v/>
      </c>
      <c r="C1160" s="225" t="n"/>
      <c r="D1160" s="108" t="n"/>
      <c r="E1160" s="109" t="n"/>
      <c r="F1160" s="109" t="n"/>
      <c r="G1160" s="226" t="n"/>
      <c r="H1160" s="108" t="n"/>
      <c r="I1160" s="108" t="n"/>
      <c r="J1160" s="109" t="n"/>
      <c r="K1160" s="109" t="n"/>
      <c r="L1160" s="121">
        <f>IF($C1160="","",IF($D1160="Gider",$E1160,$H1160))</f>
        <v/>
      </c>
      <c r="M1160" s="121">
        <f>IF($C1160="","",IF($D1160="Gider",$H1160,$E1160))</f>
        <v/>
      </c>
      <c r="N1160" s="231">
        <f>IF($C1160="","",DATE(YEAR($C1160),MONTH($C1160),1))</f>
        <v/>
      </c>
      <c r="O1160" s="113">
        <f>IF($C1160="","",IF(AND($D1160&lt;&gt;"",$E1160&lt;&gt;"",$G1160&gt;0,$H1160&lt;&gt;"",$I1160&lt;&gt;""),IF($C1160&gt;TODAY(),"İLERİ TARİH","UYGUN"),"EKSİK"))</f>
        <v/>
      </c>
      <c r="P1160" s="6" t="n"/>
      <c r="Q1160" s="6" t="n"/>
      <c r="R1160" s="3" t="n"/>
      <c r="S1160" s="3" t="n"/>
      <c r="T1160" s="3" t="n"/>
      <c r="U1160" s="3" t="n"/>
      <c r="V1160" s="3" t="n"/>
      <c r="W1160" s="3" t="n"/>
    </row>
    <row r="1161">
      <c r="A1161" s="6" t="n"/>
      <c r="B1161" s="113">
        <f>IF($C1161="","","GG"&amp;TEXT(ROW()-6,"00000"))</f>
        <v/>
      </c>
      <c r="C1161" s="225" t="n"/>
      <c r="D1161" s="108" t="n"/>
      <c r="E1161" s="109" t="n"/>
      <c r="F1161" s="109" t="n"/>
      <c r="G1161" s="226" t="n"/>
      <c r="H1161" s="108" t="n"/>
      <c r="I1161" s="108" t="n"/>
      <c r="J1161" s="109" t="n"/>
      <c r="K1161" s="109" t="n"/>
      <c r="L1161" s="121">
        <f>IF($C1161="","",IF($D1161="Gider",$E1161,$H1161))</f>
        <v/>
      </c>
      <c r="M1161" s="121">
        <f>IF($C1161="","",IF($D1161="Gider",$H1161,$E1161))</f>
        <v/>
      </c>
      <c r="N1161" s="231">
        <f>IF($C1161="","",DATE(YEAR($C1161),MONTH($C1161),1))</f>
        <v/>
      </c>
      <c r="O1161" s="113">
        <f>IF($C1161="","",IF(AND($D1161&lt;&gt;"",$E1161&lt;&gt;"",$G1161&gt;0,$H1161&lt;&gt;"",$I1161&lt;&gt;""),IF($C1161&gt;TODAY(),"İLERİ TARİH","UYGUN"),"EKSİK"))</f>
        <v/>
      </c>
      <c r="P1161" s="6" t="n"/>
      <c r="Q1161" s="6" t="n"/>
      <c r="R1161" s="3" t="n"/>
      <c r="S1161" s="3" t="n"/>
      <c r="T1161" s="3" t="n"/>
      <c r="U1161" s="3" t="n"/>
      <c r="V1161" s="3" t="n"/>
      <c r="W1161" s="3" t="n"/>
    </row>
    <row r="1162">
      <c r="A1162" s="6" t="n"/>
      <c r="B1162" s="113">
        <f>IF($C1162="","","GG"&amp;TEXT(ROW()-6,"00000"))</f>
        <v/>
      </c>
      <c r="C1162" s="225" t="n"/>
      <c r="D1162" s="108" t="n"/>
      <c r="E1162" s="109" t="n"/>
      <c r="F1162" s="109" t="n"/>
      <c r="G1162" s="226" t="n"/>
      <c r="H1162" s="108" t="n"/>
      <c r="I1162" s="108" t="n"/>
      <c r="J1162" s="109" t="n"/>
      <c r="K1162" s="109" t="n"/>
      <c r="L1162" s="121">
        <f>IF($C1162="","",IF($D1162="Gider",$E1162,$H1162))</f>
        <v/>
      </c>
      <c r="M1162" s="121">
        <f>IF($C1162="","",IF($D1162="Gider",$H1162,$E1162))</f>
        <v/>
      </c>
      <c r="N1162" s="231">
        <f>IF($C1162="","",DATE(YEAR($C1162),MONTH($C1162),1))</f>
        <v/>
      </c>
      <c r="O1162" s="113">
        <f>IF($C1162="","",IF(AND($D1162&lt;&gt;"",$E1162&lt;&gt;"",$G1162&gt;0,$H1162&lt;&gt;"",$I1162&lt;&gt;""),IF($C1162&gt;TODAY(),"İLERİ TARİH","UYGUN"),"EKSİK"))</f>
        <v/>
      </c>
      <c r="P1162" s="6" t="n"/>
      <c r="Q1162" s="6" t="n"/>
      <c r="R1162" s="3" t="n"/>
      <c r="S1162" s="3" t="n"/>
      <c r="T1162" s="3" t="n"/>
      <c r="U1162" s="3" t="n"/>
      <c r="V1162" s="3" t="n"/>
      <c r="W1162" s="3" t="n"/>
    </row>
    <row r="1163">
      <c r="A1163" s="6" t="n"/>
      <c r="B1163" s="113">
        <f>IF($C1163="","","GG"&amp;TEXT(ROW()-6,"00000"))</f>
        <v/>
      </c>
      <c r="C1163" s="225" t="n"/>
      <c r="D1163" s="108" t="n"/>
      <c r="E1163" s="109" t="n"/>
      <c r="F1163" s="109" t="n"/>
      <c r="G1163" s="226" t="n"/>
      <c r="H1163" s="108" t="n"/>
      <c r="I1163" s="108" t="n"/>
      <c r="J1163" s="109" t="n"/>
      <c r="K1163" s="109" t="n"/>
      <c r="L1163" s="121">
        <f>IF($C1163="","",IF($D1163="Gider",$E1163,$H1163))</f>
        <v/>
      </c>
      <c r="M1163" s="121">
        <f>IF($C1163="","",IF($D1163="Gider",$H1163,$E1163))</f>
        <v/>
      </c>
      <c r="N1163" s="231">
        <f>IF($C1163="","",DATE(YEAR($C1163),MONTH($C1163),1))</f>
        <v/>
      </c>
      <c r="O1163" s="113">
        <f>IF($C1163="","",IF(AND($D1163&lt;&gt;"",$E1163&lt;&gt;"",$G1163&gt;0,$H1163&lt;&gt;"",$I1163&lt;&gt;""),IF($C1163&gt;TODAY(),"İLERİ TARİH","UYGUN"),"EKSİK"))</f>
        <v/>
      </c>
      <c r="P1163" s="6" t="n"/>
      <c r="Q1163" s="6" t="n"/>
      <c r="R1163" s="3" t="n"/>
      <c r="S1163" s="3" t="n"/>
      <c r="T1163" s="3" t="n"/>
      <c r="U1163" s="3" t="n"/>
      <c r="V1163" s="3" t="n"/>
      <c r="W1163" s="3" t="n"/>
    </row>
    <row r="1164">
      <c r="A1164" s="6" t="n"/>
      <c r="B1164" s="113">
        <f>IF($C1164="","","GG"&amp;TEXT(ROW()-6,"00000"))</f>
        <v/>
      </c>
      <c r="C1164" s="225" t="n"/>
      <c r="D1164" s="108" t="n"/>
      <c r="E1164" s="109" t="n"/>
      <c r="F1164" s="109" t="n"/>
      <c r="G1164" s="226" t="n"/>
      <c r="H1164" s="108" t="n"/>
      <c r="I1164" s="108" t="n"/>
      <c r="J1164" s="109" t="n"/>
      <c r="K1164" s="109" t="n"/>
      <c r="L1164" s="121">
        <f>IF($C1164="","",IF($D1164="Gider",$E1164,$H1164))</f>
        <v/>
      </c>
      <c r="M1164" s="121">
        <f>IF($C1164="","",IF($D1164="Gider",$H1164,$E1164))</f>
        <v/>
      </c>
      <c r="N1164" s="231">
        <f>IF($C1164="","",DATE(YEAR($C1164),MONTH($C1164),1))</f>
        <v/>
      </c>
      <c r="O1164" s="113">
        <f>IF($C1164="","",IF(AND($D1164&lt;&gt;"",$E1164&lt;&gt;"",$G1164&gt;0,$H1164&lt;&gt;"",$I1164&lt;&gt;""),IF($C1164&gt;TODAY(),"İLERİ TARİH","UYGUN"),"EKSİK"))</f>
        <v/>
      </c>
      <c r="P1164" s="6" t="n"/>
      <c r="Q1164" s="6" t="n"/>
      <c r="R1164" s="3" t="n"/>
      <c r="S1164" s="3" t="n"/>
      <c r="T1164" s="3" t="n"/>
      <c r="U1164" s="3" t="n"/>
      <c r="V1164" s="3" t="n"/>
      <c r="W1164" s="3" t="n"/>
    </row>
    <row r="1165">
      <c r="A1165" s="6" t="n"/>
      <c r="B1165" s="113">
        <f>IF($C1165="","","GG"&amp;TEXT(ROW()-6,"00000"))</f>
        <v/>
      </c>
      <c r="C1165" s="225" t="n"/>
      <c r="D1165" s="108" t="n"/>
      <c r="E1165" s="109" t="n"/>
      <c r="F1165" s="109" t="n"/>
      <c r="G1165" s="226" t="n"/>
      <c r="H1165" s="108" t="n"/>
      <c r="I1165" s="108" t="n"/>
      <c r="J1165" s="109" t="n"/>
      <c r="K1165" s="109" t="n"/>
      <c r="L1165" s="121">
        <f>IF($C1165="","",IF($D1165="Gider",$E1165,$H1165))</f>
        <v/>
      </c>
      <c r="M1165" s="121">
        <f>IF($C1165="","",IF($D1165="Gider",$H1165,$E1165))</f>
        <v/>
      </c>
      <c r="N1165" s="231">
        <f>IF($C1165="","",DATE(YEAR($C1165),MONTH($C1165),1))</f>
        <v/>
      </c>
      <c r="O1165" s="113">
        <f>IF($C1165="","",IF(AND($D1165&lt;&gt;"",$E1165&lt;&gt;"",$G1165&gt;0,$H1165&lt;&gt;"",$I1165&lt;&gt;""),IF($C1165&gt;TODAY(),"İLERİ TARİH","UYGUN"),"EKSİK"))</f>
        <v/>
      </c>
      <c r="P1165" s="6" t="n"/>
      <c r="Q1165" s="6" t="n"/>
      <c r="R1165" s="3" t="n"/>
      <c r="S1165" s="3" t="n"/>
      <c r="T1165" s="3" t="n"/>
      <c r="U1165" s="3" t="n"/>
      <c r="V1165" s="3" t="n"/>
      <c r="W1165" s="3" t="n"/>
    </row>
    <row r="1166">
      <c r="A1166" s="6" t="n"/>
      <c r="B1166" s="113">
        <f>IF($C1166="","","GG"&amp;TEXT(ROW()-6,"00000"))</f>
        <v/>
      </c>
      <c r="C1166" s="225" t="n"/>
      <c r="D1166" s="108" t="n"/>
      <c r="E1166" s="109" t="n"/>
      <c r="F1166" s="109" t="n"/>
      <c r="G1166" s="226" t="n"/>
      <c r="H1166" s="108" t="n"/>
      <c r="I1166" s="108" t="n"/>
      <c r="J1166" s="109" t="n"/>
      <c r="K1166" s="109" t="n"/>
      <c r="L1166" s="121">
        <f>IF($C1166="","",IF($D1166="Gider",$E1166,$H1166))</f>
        <v/>
      </c>
      <c r="M1166" s="121">
        <f>IF($C1166="","",IF($D1166="Gider",$H1166,$E1166))</f>
        <v/>
      </c>
      <c r="N1166" s="231">
        <f>IF($C1166="","",DATE(YEAR($C1166),MONTH($C1166),1))</f>
        <v/>
      </c>
      <c r="O1166" s="113">
        <f>IF($C1166="","",IF(AND($D1166&lt;&gt;"",$E1166&lt;&gt;"",$G1166&gt;0,$H1166&lt;&gt;"",$I1166&lt;&gt;""),IF($C1166&gt;TODAY(),"İLERİ TARİH","UYGUN"),"EKSİK"))</f>
        <v/>
      </c>
      <c r="P1166" s="6" t="n"/>
      <c r="Q1166" s="6" t="n"/>
      <c r="R1166" s="3" t="n"/>
      <c r="S1166" s="3" t="n"/>
      <c r="T1166" s="3" t="n"/>
      <c r="U1166" s="3" t="n"/>
      <c r="V1166" s="3" t="n"/>
      <c r="W1166" s="3" t="n"/>
    </row>
    <row r="1167">
      <c r="A1167" s="6" t="n"/>
      <c r="B1167" s="113">
        <f>IF($C1167="","","GG"&amp;TEXT(ROW()-6,"00000"))</f>
        <v/>
      </c>
      <c r="C1167" s="225" t="n"/>
      <c r="D1167" s="108" t="n"/>
      <c r="E1167" s="109" t="n"/>
      <c r="F1167" s="109" t="n"/>
      <c r="G1167" s="226" t="n"/>
      <c r="H1167" s="108" t="n"/>
      <c r="I1167" s="108" t="n"/>
      <c r="J1167" s="109" t="n"/>
      <c r="K1167" s="109" t="n"/>
      <c r="L1167" s="121">
        <f>IF($C1167="","",IF($D1167="Gider",$E1167,$H1167))</f>
        <v/>
      </c>
      <c r="M1167" s="121">
        <f>IF($C1167="","",IF($D1167="Gider",$H1167,$E1167))</f>
        <v/>
      </c>
      <c r="N1167" s="231">
        <f>IF($C1167="","",DATE(YEAR($C1167),MONTH($C1167),1))</f>
        <v/>
      </c>
      <c r="O1167" s="113">
        <f>IF($C1167="","",IF(AND($D1167&lt;&gt;"",$E1167&lt;&gt;"",$G1167&gt;0,$H1167&lt;&gt;"",$I1167&lt;&gt;""),IF($C1167&gt;TODAY(),"İLERİ TARİH","UYGUN"),"EKSİK"))</f>
        <v/>
      </c>
      <c r="P1167" s="6" t="n"/>
      <c r="Q1167" s="6" t="n"/>
      <c r="R1167" s="3" t="n"/>
      <c r="S1167" s="3" t="n"/>
      <c r="T1167" s="3" t="n"/>
      <c r="U1167" s="3" t="n"/>
      <c r="V1167" s="3" t="n"/>
      <c r="W1167" s="3" t="n"/>
    </row>
    <row r="1168">
      <c r="A1168" s="6" t="n"/>
      <c r="B1168" s="113">
        <f>IF($C1168="","","GG"&amp;TEXT(ROW()-6,"00000"))</f>
        <v/>
      </c>
      <c r="C1168" s="225" t="n"/>
      <c r="D1168" s="108" t="n"/>
      <c r="E1168" s="109" t="n"/>
      <c r="F1168" s="109" t="n"/>
      <c r="G1168" s="226" t="n"/>
      <c r="H1168" s="108" t="n"/>
      <c r="I1168" s="108" t="n"/>
      <c r="J1168" s="109" t="n"/>
      <c r="K1168" s="109" t="n"/>
      <c r="L1168" s="121">
        <f>IF($C1168="","",IF($D1168="Gider",$E1168,$H1168))</f>
        <v/>
      </c>
      <c r="M1168" s="121">
        <f>IF($C1168="","",IF($D1168="Gider",$H1168,$E1168))</f>
        <v/>
      </c>
      <c r="N1168" s="231">
        <f>IF($C1168="","",DATE(YEAR($C1168),MONTH($C1168),1))</f>
        <v/>
      </c>
      <c r="O1168" s="113">
        <f>IF($C1168="","",IF(AND($D1168&lt;&gt;"",$E1168&lt;&gt;"",$G1168&gt;0,$H1168&lt;&gt;"",$I1168&lt;&gt;""),IF($C1168&gt;TODAY(),"İLERİ TARİH","UYGUN"),"EKSİK"))</f>
        <v/>
      </c>
      <c r="P1168" s="6" t="n"/>
      <c r="Q1168" s="6" t="n"/>
      <c r="R1168" s="3" t="n"/>
      <c r="S1168" s="3" t="n"/>
      <c r="T1168" s="3" t="n"/>
      <c r="U1168" s="3" t="n"/>
      <c r="V1168" s="3" t="n"/>
      <c r="W1168" s="3" t="n"/>
    </row>
    <row r="1169">
      <c r="A1169" s="6" t="n"/>
      <c r="B1169" s="113">
        <f>IF($C1169="","","GG"&amp;TEXT(ROW()-6,"00000"))</f>
        <v/>
      </c>
      <c r="C1169" s="225" t="n"/>
      <c r="D1169" s="108" t="n"/>
      <c r="E1169" s="109" t="n"/>
      <c r="F1169" s="109" t="n"/>
      <c r="G1169" s="226" t="n"/>
      <c r="H1169" s="108" t="n"/>
      <c r="I1169" s="108" t="n"/>
      <c r="J1169" s="109" t="n"/>
      <c r="K1169" s="109" t="n"/>
      <c r="L1169" s="121">
        <f>IF($C1169="","",IF($D1169="Gider",$E1169,$H1169))</f>
        <v/>
      </c>
      <c r="M1169" s="121">
        <f>IF($C1169="","",IF($D1169="Gider",$H1169,$E1169))</f>
        <v/>
      </c>
      <c r="N1169" s="231">
        <f>IF($C1169="","",DATE(YEAR($C1169),MONTH($C1169),1))</f>
        <v/>
      </c>
      <c r="O1169" s="113">
        <f>IF($C1169="","",IF(AND($D1169&lt;&gt;"",$E1169&lt;&gt;"",$G1169&gt;0,$H1169&lt;&gt;"",$I1169&lt;&gt;""),IF($C1169&gt;TODAY(),"İLERİ TARİH","UYGUN"),"EKSİK"))</f>
        <v/>
      </c>
      <c r="P1169" s="6" t="n"/>
      <c r="Q1169" s="6" t="n"/>
      <c r="R1169" s="3" t="n"/>
      <c r="S1169" s="3" t="n"/>
      <c r="T1169" s="3" t="n"/>
      <c r="U1169" s="3" t="n"/>
      <c r="V1169" s="3" t="n"/>
      <c r="W1169" s="3" t="n"/>
    </row>
    <row r="1170">
      <c r="A1170" s="6" t="n"/>
      <c r="B1170" s="113">
        <f>IF($C1170="","","GG"&amp;TEXT(ROW()-6,"00000"))</f>
        <v/>
      </c>
      <c r="C1170" s="225" t="n"/>
      <c r="D1170" s="108" t="n"/>
      <c r="E1170" s="109" t="n"/>
      <c r="F1170" s="109" t="n"/>
      <c r="G1170" s="226" t="n"/>
      <c r="H1170" s="108" t="n"/>
      <c r="I1170" s="108" t="n"/>
      <c r="J1170" s="109" t="n"/>
      <c r="K1170" s="109" t="n"/>
      <c r="L1170" s="121">
        <f>IF($C1170="","",IF($D1170="Gider",$E1170,$H1170))</f>
        <v/>
      </c>
      <c r="M1170" s="121">
        <f>IF($C1170="","",IF($D1170="Gider",$H1170,$E1170))</f>
        <v/>
      </c>
      <c r="N1170" s="231">
        <f>IF($C1170="","",DATE(YEAR($C1170),MONTH($C1170),1))</f>
        <v/>
      </c>
      <c r="O1170" s="113">
        <f>IF($C1170="","",IF(AND($D1170&lt;&gt;"",$E1170&lt;&gt;"",$G1170&gt;0,$H1170&lt;&gt;"",$I1170&lt;&gt;""),IF($C1170&gt;TODAY(),"İLERİ TARİH","UYGUN"),"EKSİK"))</f>
        <v/>
      </c>
      <c r="P1170" s="6" t="n"/>
      <c r="Q1170" s="6" t="n"/>
      <c r="R1170" s="3" t="n"/>
      <c r="S1170" s="3" t="n"/>
      <c r="T1170" s="3" t="n"/>
      <c r="U1170" s="3" t="n"/>
      <c r="V1170" s="3" t="n"/>
      <c r="W1170" s="3" t="n"/>
    </row>
    <row r="1171">
      <c r="A1171" s="6" t="n"/>
      <c r="B1171" s="113">
        <f>IF($C1171="","","GG"&amp;TEXT(ROW()-6,"00000"))</f>
        <v/>
      </c>
      <c r="C1171" s="225" t="n"/>
      <c r="D1171" s="108" t="n"/>
      <c r="E1171" s="109" t="n"/>
      <c r="F1171" s="109" t="n"/>
      <c r="G1171" s="226" t="n"/>
      <c r="H1171" s="108" t="n"/>
      <c r="I1171" s="108" t="n"/>
      <c r="J1171" s="109" t="n"/>
      <c r="K1171" s="109" t="n"/>
      <c r="L1171" s="121">
        <f>IF($C1171="","",IF($D1171="Gider",$E1171,$H1171))</f>
        <v/>
      </c>
      <c r="M1171" s="121">
        <f>IF($C1171="","",IF($D1171="Gider",$H1171,$E1171))</f>
        <v/>
      </c>
      <c r="N1171" s="231">
        <f>IF($C1171="","",DATE(YEAR($C1171),MONTH($C1171),1))</f>
        <v/>
      </c>
      <c r="O1171" s="113">
        <f>IF($C1171="","",IF(AND($D1171&lt;&gt;"",$E1171&lt;&gt;"",$G1171&gt;0,$H1171&lt;&gt;"",$I1171&lt;&gt;""),IF($C1171&gt;TODAY(),"İLERİ TARİH","UYGUN"),"EKSİK"))</f>
        <v/>
      </c>
      <c r="P1171" s="6" t="n"/>
      <c r="Q1171" s="6" t="n"/>
      <c r="R1171" s="3" t="n"/>
      <c r="S1171" s="3" t="n"/>
      <c r="T1171" s="3" t="n"/>
      <c r="U1171" s="3" t="n"/>
      <c r="V1171" s="3" t="n"/>
      <c r="W1171" s="3" t="n"/>
    </row>
    <row r="1172">
      <c r="A1172" s="6" t="n"/>
      <c r="B1172" s="113">
        <f>IF($C1172="","","GG"&amp;TEXT(ROW()-6,"00000"))</f>
        <v/>
      </c>
      <c r="C1172" s="225" t="n"/>
      <c r="D1172" s="108" t="n"/>
      <c r="E1172" s="109" t="n"/>
      <c r="F1172" s="109" t="n"/>
      <c r="G1172" s="226" t="n"/>
      <c r="H1172" s="108" t="n"/>
      <c r="I1172" s="108" t="n"/>
      <c r="J1172" s="109" t="n"/>
      <c r="K1172" s="109" t="n"/>
      <c r="L1172" s="121">
        <f>IF($C1172="","",IF($D1172="Gider",$E1172,$H1172))</f>
        <v/>
      </c>
      <c r="M1172" s="121">
        <f>IF($C1172="","",IF($D1172="Gider",$H1172,$E1172))</f>
        <v/>
      </c>
      <c r="N1172" s="231">
        <f>IF($C1172="","",DATE(YEAR($C1172),MONTH($C1172),1))</f>
        <v/>
      </c>
      <c r="O1172" s="113">
        <f>IF($C1172="","",IF(AND($D1172&lt;&gt;"",$E1172&lt;&gt;"",$G1172&gt;0,$H1172&lt;&gt;"",$I1172&lt;&gt;""),IF($C1172&gt;TODAY(),"İLERİ TARİH","UYGUN"),"EKSİK"))</f>
        <v/>
      </c>
      <c r="P1172" s="6" t="n"/>
      <c r="Q1172" s="6" t="n"/>
      <c r="R1172" s="3" t="n"/>
      <c r="S1172" s="3" t="n"/>
      <c r="T1172" s="3" t="n"/>
      <c r="U1172" s="3" t="n"/>
      <c r="V1172" s="3" t="n"/>
      <c r="W1172" s="3" t="n"/>
    </row>
    <row r="1173">
      <c r="A1173" s="6" t="n"/>
      <c r="B1173" s="113">
        <f>IF($C1173="","","GG"&amp;TEXT(ROW()-6,"00000"))</f>
        <v/>
      </c>
      <c r="C1173" s="225" t="n"/>
      <c r="D1173" s="108" t="n"/>
      <c r="E1173" s="109" t="n"/>
      <c r="F1173" s="109" t="n"/>
      <c r="G1173" s="226" t="n"/>
      <c r="H1173" s="108" t="n"/>
      <c r="I1173" s="108" t="n"/>
      <c r="J1173" s="109" t="n"/>
      <c r="K1173" s="109" t="n"/>
      <c r="L1173" s="121">
        <f>IF($C1173="","",IF($D1173="Gider",$E1173,$H1173))</f>
        <v/>
      </c>
      <c r="M1173" s="121">
        <f>IF($C1173="","",IF($D1173="Gider",$H1173,$E1173))</f>
        <v/>
      </c>
      <c r="N1173" s="231">
        <f>IF($C1173="","",DATE(YEAR($C1173),MONTH($C1173),1))</f>
        <v/>
      </c>
      <c r="O1173" s="113">
        <f>IF($C1173="","",IF(AND($D1173&lt;&gt;"",$E1173&lt;&gt;"",$G1173&gt;0,$H1173&lt;&gt;"",$I1173&lt;&gt;""),IF($C1173&gt;TODAY(),"İLERİ TARİH","UYGUN"),"EKSİK"))</f>
        <v/>
      </c>
      <c r="P1173" s="6" t="n"/>
      <c r="Q1173" s="6" t="n"/>
      <c r="R1173" s="3" t="n"/>
      <c r="S1173" s="3" t="n"/>
      <c r="T1173" s="3" t="n"/>
      <c r="U1173" s="3" t="n"/>
      <c r="V1173" s="3" t="n"/>
      <c r="W1173" s="3" t="n"/>
    </row>
    <row r="1174">
      <c r="A1174" s="6" t="n"/>
      <c r="B1174" s="113">
        <f>IF($C1174="","","GG"&amp;TEXT(ROW()-6,"00000"))</f>
        <v/>
      </c>
      <c r="C1174" s="225" t="n"/>
      <c r="D1174" s="108" t="n"/>
      <c r="E1174" s="109" t="n"/>
      <c r="F1174" s="109" t="n"/>
      <c r="G1174" s="226" t="n"/>
      <c r="H1174" s="108" t="n"/>
      <c r="I1174" s="108" t="n"/>
      <c r="J1174" s="109" t="n"/>
      <c r="K1174" s="109" t="n"/>
      <c r="L1174" s="121">
        <f>IF($C1174="","",IF($D1174="Gider",$E1174,$H1174))</f>
        <v/>
      </c>
      <c r="M1174" s="121">
        <f>IF($C1174="","",IF($D1174="Gider",$H1174,$E1174))</f>
        <v/>
      </c>
      <c r="N1174" s="231">
        <f>IF($C1174="","",DATE(YEAR($C1174),MONTH($C1174),1))</f>
        <v/>
      </c>
      <c r="O1174" s="113">
        <f>IF($C1174="","",IF(AND($D1174&lt;&gt;"",$E1174&lt;&gt;"",$G1174&gt;0,$H1174&lt;&gt;"",$I1174&lt;&gt;""),IF($C1174&gt;TODAY(),"İLERİ TARİH","UYGUN"),"EKSİK"))</f>
        <v/>
      </c>
      <c r="P1174" s="6" t="n"/>
      <c r="Q1174" s="6" t="n"/>
      <c r="R1174" s="3" t="n"/>
      <c r="S1174" s="3" t="n"/>
      <c r="T1174" s="3" t="n"/>
      <c r="U1174" s="3" t="n"/>
      <c r="V1174" s="3" t="n"/>
      <c r="W1174" s="3" t="n"/>
    </row>
    <row r="1175">
      <c r="A1175" s="6" t="n"/>
      <c r="B1175" s="113">
        <f>IF($C1175="","","GG"&amp;TEXT(ROW()-6,"00000"))</f>
        <v/>
      </c>
      <c r="C1175" s="225" t="n"/>
      <c r="D1175" s="108" t="n"/>
      <c r="E1175" s="109" t="n"/>
      <c r="F1175" s="109" t="n"/>
      <c r="G1175" s="226" t="n"/>
      <c r="H1175" s="108" t="n"/>
      <c r="I1175" s="108" t="n"/>
      <c r="J1175" s="109" t="n"/>
      <c r="K1175" s="109" t="n"/>
      <c r="L1175" s="121">
        <f>IF($C1175="","",IF($D1175="Gider",$E1175,$H1175))</f>
        <v/>
      </c>
      <c r="M1175" s="121">
        <f>IF($C1175="","",IF($D1175="Gider",$H1175,$E1175))</f>
        <v/>
      </c>
      <c r="N1175" s="231">
        <f>IF($C1175="","",DATE(YEAR($C1175),MONTH($C1175),1))</f>
        <v/>
      </c>
      <c r="O1175" s="113">
        <f>IF($C1175="","",IF(AND($D1175&lt;&gt;"",$E1175&lt;&gt;"",$G1175&gt;0,$H1175&lt;&gt;"",$I1175&lt;&gt;""),IF($C1175&gt;TODAY(),"İLERİ TARİH","UYGUN"),"EKSİK"))</f>
        <v/>
      </c>
      <c r="P1175" s="6" t="n"/>
      <c r="Q1175" s="6" t="n"/>
      <c r="R1175" s="3" t="n"/>
      <c r="S1175" s="3" t="n"/>
      <c r="T1175" s="3" t="n"/>
      <c r="U1175" s="3" t="n"/>
      <c r="V1175" s="3" t="n"/>
      <c r="W1175" s="3" t="n"/>
    </row>
    <row r="1176">
      <c r="A1176" s="6" t="n"/>
      <c r="B1176" s="113">
        <f>IF($C1176="","","GG"&amp;TEXT(ROW()-6,"00000"))</f>
        <v/>
      </c>
      <c r="C1176" s="225" t="n"/>
      <c r="D1176" s="108" t="n"/>
      <c r="E1176" s="109" t="n"/>
      <c r="F1176" s="109" t="n"/>
      <c r="G1176" s="226" t="n"/>
      <c r="H1176" s="108" t="n"/>
      <c r="I1176" s="108" t="n"/>
      <c r="J1176" s="109" t="n"/>
      <c r="K1176" s="109" t="n"/>
      <c r="L1176" s="121">
        <f>IF($C1176="","",IF($D1176="Gider",$E1176,$H1176))</f>
        <v/>
      </c>
      <c r="M1176" s="121">
        <f>IF($C1176="","",IF($D1176="Gider",$H1176,$E1176))</f>
        <v/>
      </c>
      <c r="N1176" s="231">
        <f>IF($C1176="","",DATE(YEAR($C1176),MONTH($C1176),1))</f>
        <v/>
      </c>
      <c r="O1176" s="113">
        <f>IF($C1176="","",IF(AND($D1176&lt;&gt;"",$E1176&lt;&gt;"",$G1176&gt;0,$H1176&lt;&gt;"",$I1176&lt;&gt;""),IF($C1176&gt;TODAY(),"İLERİ TARİH","UYGUN"),"EKSİK"))</f>
        <v/>
      </c>
      <c r="P1176" s="6" t="n"/>
      <c r="Q1176" s="6" t="n"/>
      <c r="R1176" s="3" t="n"/>
      <c r="S1176" s="3" t="n"/>
      <c r="T1176" s="3" t="n"/>
      <c r="U1176" s="3" t="n"/>
      <c r="V1176" s="3" t="n"/>
      <c r="W1176" s="3" t="n"/>
    </row>
    <row r="1177">
      <c r="A1177" s="6" t="n"/>
      <c r="B1177" s="113">
        <f>IF($C1177="","","GG"&amp;TEXT(ROW()-6,"00000"))</f>
        <v/>
      </c>
      <c r="C1177" s="225" t="n"/>
      <c r="D1177" s="108" t="n"/>
      <c r="E1177" s="109" t="n"/>
      <c r="F1177" s="109" t="n"/>
      <c r="G1177" s="226" t="n"/>
      <c r="H1177" s="108" t="n"/>
      <c r="I1177" s="108" t="n"/>
      <c r="J1177" s="109" t="n"/>
      <c r="K1177" s="109" t="n"/>
      <c r="L1177" s="121">
        <f>IF($C1177="","",IF($D1177="Gider",$E1177,$H1177))</f>
        <v/>
      </c>
      <c r="M1177" s="121">
        <f>IF($C1177="","",IF($D1177="Gider",$H1177,$E1177))</f>
        <v/>
      </c>
      <c r="N1177" s="231">
        <f>IF($C1177="","",DATE(YEAR($C1177),MONTH($C1177),1))</f>
        <v/>
      </c>
      <c r="O1177" s="113">
        <f>IF($C1177="","",IF(AND($D1177&lt;&gt;"",$E1177&lt;&gt;"",$G1177&gt;0,$H1177&lt;&gt;"",$I1177&lt;&gt;""),IF($C1177&gt;TODAY(),"İLERİ TARİH","UYGUN"),"EKSİK"))</f>
        <v/>
      </c>
      <c r="P1177" s="6" t="n"/>
      <c r="Q1177" s="6" t="n"/>
      <c r="R1177" s="3" t="n"/>
      <c r="S1177" s="3" t="n"/>
      <c r="T1177" s="3" t="n"/>
      <c r="U1177" s="3" t="n"/>
      <c r="V1177" s="3" t="n"/>
      <c r="W1177" s="3" t="n"/>
    </row>
    <row r="1178">
      <c r="A1178" s="6" t="n"/>
      <c r="B1178" s="113">
        <f>IF($C1178="","","GG"&amp;TEXT(ROW()-6,"00000"))</f>
        <v/>
      </c>
      <c r="C1178" s="225" t="n"/>
      <c r="D1178" s="108" t="n"/>
      <c r="E1178" s="109" t="n"/>
      <c r="F1178" s="109" t="n"/>
      <c r="G1178" s="226" t="n"/>
      <c r="H1178" s="108" t="n"/>
      <c r="I1178" s="108" t="n"/>
      <c r="J1178" s="109" t="n"/>
      <c r="K1178" s="109" t="n"/>
      <c r="L1178" s="121">
        <f>IF($C1178="","",IF($D1178="Gider",$E1178,$H1178))</f>
        <v/>
      </c>
      <c r="M1178" s="121">
        <f>IF($C1178="","",IF($D1178="Gider",$H1178,$E1178))</f>
        <v/>
      </c>
      <c r="N1178" s="231">
        <f>IF($C1178="","",DATE(YEAR($C1178),MONTH($C1178),1))</f>
        <v/>
      </c>
      <c r="O1178" s="113">
        <f>IF($C1178="","",IF(AND($D1178&lt;&gt;"",$E1178&lt;&gt;"",$G1178&gt;0,$H1178&lt;&gt;"",$I1178&lt;&gt;""),IF($C1178&gt;TODAY(),"İLERİ TARİH","UYGUN"),"EKSİK"))</f>
        <v/>
      </c>
      <c r="P1178" s="6" t="n"/>
      <c r="Q1178" s="6" t="n"/>
      <c r="R1178" s="3" t="n"/>
      <c r="S1178" s="3" t="n"/>
      <c r="T1178" s="3" t="n"/>
      <c r="U1178" s="3" t="n"/>
      <c r="V1178" s="3" t="n"/>
      <c r="W1178" s="3" t="n"/>
    </row>
    <row r="1179">
      <c r="A1179" s="6" t="n"/>
      <c r="B1179" s="113">
        <f>IF($C1179="","","GG"&amp;TEXT(ROW()-6,"00000"))</f>
        <v/>
      </c>
      <c r="C1179" s="225" t="n"/>
      <c r="D1179" s="108" t="n"/>
      <c r="E1179" s="109" t="n"/>
      <c r="F1179" s="109" t="n"/>
      <c r="G1179" s="226" t="n"/>
      <c r="H1179" s="108" t="n"/>
      <c r="I1179" s="108" t="n"/>
      <c r="J1179" s="109" t="n"/>
      <c r="K1179" s="109" t="n"/>
      <c r="L1179" s="121">
        <f>IF($C1179="","",IF($D1179="Gider",$E1179,$H1179))</f>
        <v/>
      </c>
      <c r="M1179" s="121">
        <f>IF($C1179="","",IF($D1179="Gider",$H1179,$E1179))</f>
        <v/>
      </c>
      <c r="N1179" s="231">
        <f>IF($C1179="","",DATE(YEAR($C1179),MONTH($C1179),1))</f>
        <v/>
      </c>
      <c r="O1179" s="113">
        <f>IF($C1179="","",IF(AND($D1179&lt;&gt;"",$E1179&lt;&gt;"",$G1179&gt;0,$H1179&lt;&gt;"",$I1179&lt;&gt;""),IF($C1179&gt;TODAY(),"İLERİ TARİH","UYGUN"),"EKSİK"))</f>
        <v/>
      </c>
      <c r="P1179" s="6" t="n"/>
      <c r="Q1179" s="6" t="n"/>
      <c r="R1179" s="3" t="n"/>
      <c r="S1179" s="3" t="n"/>
      <c r="T1179" s="3" t="n"/>
      <c r="U1179" s="3" t="n"/>
      <c r="V1179" s="3" t="n"/>
      <c r="W1179" s="3" t="n"/>
    </row>
    <row r="1180">
      <c r="A1180" s="6" t="n"/>
      <c r="B1180" s="113">
        <f>IF($C1180="","","GG"&amp;TEXT(ROW()-6,"00000"))</f>
        <v/>
      </c>
      <c r="C1180" s="225" t="n"/>
      <c r="D1180" s="108" t="n"/>
      <c r="E1180" s="109" t="n"/>
      <c r="F1180" s="109" t="n"/>
      <c r="G1180" s="226" t="n"/>
      <c r="H1180" s="108" t="n"/>
      <c r="I1180" s="108" t="n"/>
      <c r="J1180" s="109" t="n"/>
      <c r="K1180" s="109" t="n"/>
      <c r="L1180" s="121">
        <f>IF($C1180="","",IF($D1180="Gider",$E1180,$H1180))</f>
        <v/>
      </c>
      <c r="M1180" s="121">
        <f>IF($C1180="","",IF($D1180="Gider",$H1180,$E1180))</f>
        <v/>
      </c>
      <c r="N1180" s="231">
        <f>IF($C1180="","",DATE(YEAR($C1180),MONTH($C1180),1))</f>
        <v/>
      </c>
      <c r="O1180" s="113">
        <f>IF($C1180="","",IF(AND($D1180&lt;&gt;"",$E1180&lt;&gt;"",$G1180&gt;0,$H1180&lt;&gt;"",$I1180&lt;&gt;""),IF($C1180&gt;TODAY(),"İLERİ TARİH","UYGUN"),"EKSİK"))</f>
        <v/>
      </c>
      <c r="P1180" s="6" t="n"/>
      <c r="Q1180" s="6" t="n"/>
      <c r="R1180" s="3" t="n"/>
      <c r="S1180" s="3" t="n"/>
      <c r="T1180" s="3" t="n"/>
      <c r="U1180" s="3" t="n"/>
      <c r="V1180" s="3" t="n"/>
      <c r="W1180" s="3" t="n"/>
    </row>
    <row r="1181">
      <c r="A1181" s="6" t="n"/>
      <c r="B1181" s="113">
        <f>IF($C1181="","","GG"&amp;TEXT(ROW()-6,"00000"))</f>
        <v/>
      </c>
      <c r="C1181" s="225" t="n"/>
      <c r="D1181" s="108" t="n"/>
      <c r="E1181" s="109" t="n"/>
      <c r="F1181" s="109" t="n"/>
      <c r="G1181" s="226" t="n"/>
      <c r="H1181" s="108" t="n"/>
      <c r="I1181" s="108" t="n"/>
      <c r="J1181" s="109" t="n"/>
      <c r="K1181" s="109" t="n"/>
      <c r="L1181" s="121">
        <f>IF($C1181="","",IF($D1181="Gider",$E1181,$H1181))</f>
        <v/>
      </c>
      <c r="M1181" s="121">
        <f>IF($C1181="","",IF($D1181="Gider",$H1181,$E1181))</f>
        <v/>
      </c>
      <c r="N1181" s="231">
        <f>IF($C1181="","",DATE(YEAR($C1181),MONTH($C1181),1))</f>
        <v/>
      </c>
      <c r="O1181" s="113">
        <f>IF($C1181="","",IF(AND($D1181&lt;&gt;"",$E1181&lt;&gt;"",$G1181&gt;0,$H1181&lt;&gt;"",$I1181&lt;&gt;""),IF($C1181&gt;TODAY(),"İLERİ TARİH","UYGUN"),"EKSİK"))</f>
        <v/>
      </c>
      <c r="P1181" s="6" t="n"/>
      <c r="Q1181" s="6" t="n"/>
      <c r="R1181" s="3" t="n"/>
      <c r="S1181" s="3" t="n"/>
      <c r="T1181" s="3" t="n"/>
      <c r="U1181" s="3" t="n"/>
      <c r="V1181" s="3" t="n"/>
      <c r="W1181" s="3" t="n"/>
    </row>
    <row r="1182">
      <c r="A1182" s="6" t="n"/>
      <c r="B1182" s="113">
        <f>IF($C1182="","","GG"&amp;TEXT(ROW()-6,"00000"))</f>
        <v/>
      </c>
      <c r="C1182" s="225" t="n"/>
      <c r="D1182" s="108" t="n"/>
      <c r="E1182" s="109" t="n"/>
      <c r="F1182" s="109" t="n"/>
      <c r="G1182" s="226" t="n"/>
      <c r="H1182" s="108" t="n"/>
      <c r="I1182" s="108" t="n"/>
      <c r="J1182" s="109" t="n"/>
      <c r="K1182" s="109" t="n"/>
      <c r="L1182" s="121">
        <f>IF($C1182="","",IF($D1182="Gider",$E1182,$H1182))</f>
        <v/>
      </c>
      <c r="M1182" s="121">
        <f>IF($C1182="","",IF($D1182="Gider",$H1182,$E1182))</f>
        <v/>
      </c>
      <c r="N1182" s="231">
        <f>IF($C1182="","",DATE(YEAR($C1182),MONTH($C1182),1))</f>
        <v/>
      </c>
      <c r="O1182" s="113">
        <f>IF($C1182="","",IF(AND($D1182&lt;&gt;"",$E1182&lt;&gt;"",$G1182&gt;0,$H1182&lt;&gt;"",$I1182&lt;&gt;""),IF($C1182&gt;TODAY(),"İLERİ TARİH","UYGUN"),"EKSİK"))</f>
        <v/>
      </c>
      <c r="P1182" s="6" t="n"/>
      <c r="Q1182" s="6" t="n"/>
      <c r="R1182" s="3" t="n"/>
      <c r="S1182" s="3" t="n"/>
      <c r="T1182" s="3" t="n"/>
      <c r="U1182" s="3" t="n"/>
      <c r="V1182" s="3" t="n"/>
      <c r="W1182" s="3" t="n"/>
    </row>
    <row r="1183">
      <c r="A1183" s="6" t="n"/>
      <c r="B1183" s="113">
        <f>IF($C1183="","","GG"&amp;TEXT(ROW()-6,"00000"))</f>
        <v/>
      </c>
      <c r="C1183" s="225" t="n"/>
      <c r="D1183" s="108" t="n"/>
      <c r="E1183" s="109" t="n"/>
      <c r="F1183" s="109" t="n"/>
      <c r="G1183" s="226" t="n"/>
      <c r="H1183" s="108" t="n"/>
      <c r="I1183" s="108" t="n"/>
      <c r="J1183" s="109" t="n"/>
      <c r="K1183" s="109" t="n"/>
      <c r="L1183" s="121">
        <f>IF($C1183="","",IF($D1183="Gider",$E1183,$H1183))</f>
        <v/>
      </c>
      <c r="M1183" s="121">
        <f>IF($C1183="","",IF($D1183="Gider",$H1183,$E1183))</f>
        <v/>
      </c>
      <c r="N1183" s="231">
        <f>IF($C1183="","",DATE(YEAR($C1183),MONTH($C1183),1))</f>
        <v/>
      </c>
      <c r="O1183" s="113">
        <f>IF($C1183="","",IF(AND($D1183&lt;&gt;"",$E1183&lt;&gt;"",$G1183&gt;0,$H1183&lt;&gt;"",$I1183&lt;&gt;""),IF($C1183&gt;TODAY(),"İLERİ TARİH","UYGUN"),"EKSİK"))</f>
        <v/>
      </c>
      <c r="P1183" s="6" t="n"/>
      <c r="Q1183" s="6" t="n"/>
      <c r="R1183" s="3" t="n"/>
      <c r="S1183" s="3" t="n"/>
      <c r="T1183" s="3" t="n"/>
      <c r="U1183" s="3" t="n"/>
      <c r="V1183" s="3" t="n"/>
      <c r="W1183" s="3" t="n"/>
    </row>
    <row r="1184">
      <c r="A1184" s="6" t="n"/>
      <c r="B1184" s="113">
        <f>IF($C1184="","","GG"&amp;TEXT(ROW()-6,"00000"))</f>
        <v/>
      </c>
      <c r="C1184" s="225" t="n"/>
      <c r="D1184" s="108" t="n"/>
      <c r="E1184" s="109" t="n"/>
      <c r="F1184" s="109" t="n"/>
      <c r="G1184" s="226" t="n"/>
      <c r="H1184" s="108" t="n"/>
      <c r="I1184" s="108" t="n"/>
      <c r="J1184" s="109" t="n"/>
      <c r="K1184" s="109" t="n"/>
      <c r="L1184" s="121">
        <f>IF($C1184="","",IF($D1184="Gider",$E1184,$H1184))</f>
        <v/>
      </c>
      <c r="M1184" s="121">
        <f>IF($C1184="","",IF($D1184="Gider",$H1184,$E1184))</f>
        <v/>
      </c>
      <c r="N1184" s="231">
        <f>IF($C1184="","",DATE(YEAR($C1184),MONTH($C1184),1))</f>
        <v/>
      </c>
      <c r="O1184" s="113">
        <f>IF($C1184="","",IF(AND($D1184&lt;&gt;"",$E1184&lt;&gt;"",$G1184&gt;0,$H1184&lt;&gt;"",$I1184&lt;&gt;""),IF($C1184&gt;TODAY(),"İLERİ TARİH","UYGUN"),"EKSİK"))</f>
        <v/>
      </c>
      <c r="P1184" s="6" t="n"/>
      <c r="Q1184" s="6" t="n"/>
      <c r="R1184" s="3" t="n"/>
      <c r="S1184" s="3" t="n"/>
      <c r="T1184" s="3" t="n"/>
      <c r="U1184" s="3" t="n"/>
      <c r="V1184" s="3" t="n"/>
      <c r="W1184" s="3" t="n"/>
    </row>
    <row r="1185">
      <c r="A1185" s="6" t="n"/>
      <c r="B1185" s="113">
        <f>IF($C1185="","","GG"&amp;TEXT(ROW()-6,"00000"))</f>
        <v/>
      </c>
      <c r="C1185" s="225" t="n"/>
      <c r="D1185" s="108" t="n"/>
      <c r="E1185" s="109" t="n"/>
      <c r="F1185" s="109" t="n"/>
      <c r="G1185" s="226" t="n"/>
      <c r="H1185" s="108" t="n"/>
      <c r="I1185" s="108" t="n"/>
      <c r="J1185" s="109" t="n"/>
      <c r="K1185" s="109" t="n"/>
      <c r="L1185" s="121">
        <f>IF($C1185="","",IF($D1185="Gider",$E1185,$H1185))</f>
        <v/>
      </c>
      <c r="M1185" s="121">
        <f>IF($C1185="","",IF($D1185="Gider",$H1185,$E1185))</f>
        <v/>
      </c>
      <c r="N1185" s="231">
        <f>IF($C1185="","",DATE(YEAR($C1185),MONTH($C1185),1))</f>
        <v/>
      </c>
      <c r="O1185" s="113">
        <f>IF($C1185="","",IF(AND($D1185&lt;&gt;"",$E1185&lt;&gt;"",$G1185&gt;0,$H1185&lt;&gt;"",$I1185&lt;&gt;""),IF($C1185&gt;TODAY(),"İLERİ TARİH","UYGUN"),"EKSİK"))</f>
        <v/>
      </c>
      <c r="P1185" s="6" t="n"/>
      <c r="Q1185" s="6" t="n"/>
      <c r="R1185" s="3" t="n"/>
      <c r="S1185" s="3" t="n"/>
      <c r="T1185" s="3" t="n"/>
      <c r="U1185" s="3" t="n"/>
      <c r="V1185" s="3" t="n"/>
      <c r="W1185" s="3" t="n"/>
    </row>
    <row r="1186">
      <c r="A1186" s="6" t="n"/>
      <c r="B1186" s="113">
        <f>IF($C1186="","","GG"&amp;TEXT(ROW()-6,"00000"))</f>
        <v/>
      </c>
      <c r="C1186" s="225" t="n"/>
      <c r="D1186" s="108" t="n"/>
      <c r="E1186" s="109" t="n"/>
      <c r="F1186" s="109" t="n"/>
      <c r="G1186" s="226" t="n"/>
      <c r="H1186" s="108" t="n"/>
      <c r="I1186" s="108" t="n"/>
      <c r="J1186" s="109" t="n"/>
      <c r="K1186" s="109" t="n"/>
      <c r="L1186" s="121">
        <f>IF($C1186="","",IF($D1186="Gider",$E1186,$H1186))</f>
        <v/>
      </c>
      <c r="M1186" s="121">
        <f>IF($C1186="","",IF($D1186="Gider",$H1186,$E1186))</f>
        <v/>
      </c>
      <c r="N1186" s="231">
        <f>IF($C1186="","",DATE(YEAR($C1186),MONTH($C1186),1))</f>
        <v/>
      </c>
      <c r="O1186" s="113">
        <f>IF($C1186="","",IF(AND($D1186&lt;&gt;"",$E1186&lt;&gt;"",$G1186&gt;0,$H1186&lt;&gt;"",$I1186&lt;&gt;""),IF($C1186&gt;TODAY(),"İLERİ TARİH","UYGUN"),"EKSİK"))</f>
        <v/>
      </c>
      <c r="P1186" s="6" t="n"/>
      <c r="Q1186" s="6" t="n"/>
      <c r="R1186" s="3" t="n"/>
      <c r="S1186" s="3" t="n"/>
      <c r="T1186" s="3" t="n"/>
      <c r="U1186" s="3" t="n"/>
      <c r="V1186" s="3" t="n"/>
      <c r="W1186" s="3" t="n"/>
    </row>
    <row r="1187">
      <c r="A1187" s="6" t="n"/>
      <c r="B1187" s="113">
        <f>IF($C1187="","","GG"&amp;TEXT(ROW()-6,"00000"))</f>
        <v/>
      </c>
      <c r="C1187" s="225" t="n"/>
      <c r="D1187" s="108" t="n"/>
      <c r="E1187" s="109" t="n"/>
      <c r="F1187" s="109" t="n"/>
      <c r="G1187" s="226" t="n"/>
      <c r="H1187" s="108" t="n"/>
      <c r="I1187" s="108" t="n"/>
      <c r="J1187" s="109" t="n"/>
      <c r="K1187" s="109" t="n"/>
      <c r="L1187" s="121">
        <f>IF($C1187="","",IF($D1187="Gider",$E1187,$H1187))</f>
        <v/>
      </c>
      <c r="M1187" s="121">
        <f>IF($C1187="","",IF($D1187="Gider",$H1187,$E1187))</f>
        <v/>
      </c>
      <c r="N1187" s="231">
        <f>IF($C1187="","",DATE(YEAR($C1187),MONTH($C1187),1))</f>
        <v/>
      </c>
      <c r="O1187" s="113">
        <f>IF($C1187="","",IF(AND($D1187&lt;&gt;"",$E1187&lt;&gt;"",$G1187&gt;0,$H1187&lt;&gt;"",$I1187&lt;&gt;""),IF($C1187&gt;TODAY(),"İLERİ TARİH","UYGUN"),"EKSİK"))</f>
        <v/>
      </c>
      <c r="P1187" s="6" t="n"/>
      <c r="Q1187" s="6" t="n"/>
      <c r="R1187" s="3" t="n"/>
      <c r="S1187" s="3" t="n"/>
      <c r="T1187" s="3" t="n"/>
      <c r="U1187" s="3" t="n"/>
      <c r="V1187" s="3" t="n"/>
      <c r="W1187" s="3" t="n"/>
    </row>
    <row r="1188">
      <c r="A1188" s="6" t="n"/>
      <c r="B1188" s="113">
        <f>IF($C1188="","","GG"&amp;TEXT(ROW()-6,"00000"))</f>
        <v/>
      </c>
      <c r="C1188" s="225" t="n"/>
      <c r="D1188" s="108" t="n"/>
      <c r="E1188" s="109" t="n"/>
      <c r="F1188" s="109" t="n"/>
      <c r="G1188" s="226" t="n"/>
      <c r="H1188" s="108" t="n"/>
      <c r="I1188" s="108" t="n"/>
      <c r="J1188" s="109" t="n"/>
      <c r="K1188" s="109" t="n"/>
      <c r="L1188" s="121">
        <f>IF($C1188="","",IF($D1188="Gider",$E1188,$H1188))</f>
        <v/>
      </c>
      <c r="M1188" s="121">
        <f>IF($C1188="","",IF($D1188="Gider",$H1188,$E1188))</f>
        <v/>
      </c>
      <c r="N1188" s="231">
        <f>IF($C1188="","",DATE(YEAR($C1188),MONTH($C1188),1))</f>
        <v/>
      </c>
      <c r="O1188" s="113">
        <f>IF($C1188="","",IF(AND($D1188&lt;&gt;"",$E1188&lt;&gt;"",$G1188&gt;0,$H1188&lt;&gt;"",$I1188&lt;&gt;""),IF($C1188&gt;TODAY(),"İLERİ TARİH","UYGUN"),"EKSİK"))</f>
        <v/>
      </c>
      <c r="P1188" s="6" t="n"/>
      <c r="Q1188" s="6" t="n"/>
      <c r="R1188" s="3" t="n"/>
      <c r="S1188" s="3" t="n"/>
      <c r="T1188" s="3" t="n"/>
      <c r="U1188" s="3" t="n"/>
      <c r="V1188" s="3" t="n"/>
      <c r="W1188" s="3" t="n"/>
    </row>
    <row r="1189">
      <c r="A1189" s="6" t="n"/>
      <c r="B1189" s="113">
        <f>IF($C1189="","","GG"&amp;TEXT(ROW()-6,"00000"))</f>
        <v/>
      </c>
      <c r="C1189" s="225" t="n"/>
      <c r="D1189" s="108" t="n"/>
      <c r="E1189" s="109" t="n"/>
      <c r="F1189" s="109" t="n"/>
      <c r="G1189" s="226" t="n"/>
      <c r="H1189" s="108" t="n"/>
      <c r="I1189" s="108" t="n"/>
      <c r="J1189" s="109" t="n"/>
      <c r="K1189" s="109" t="n"/>
      <c r="L1189" s="121">
        <f>IF($C1189="","",IF($D1189="Gider",$E1189,$H1189))</f>
        <v/>
      </c>
      <c r="M1189" s="121">
        <f>IF($C1189="","",IF($D1189="Gider",$H1189,$E1189))</f>
        <v/>
      </c>
      <c r="N1189" s="231">
        <f>IF($C1189="","",DATE(YEAR($C1189),MONTH($C1189),1))</f>
        <v/>
      </c>
      <c r="O1189" s="113">
        <f>IF($C1189="","",IF(AND($D1189&lt;&gt;"",$E1189&lt;&gt;"",$G1189&gt;0,$H1189&lt;&gt;"",$I1189&lt;&gt;""),IF($C1189&gt;TODAY(),"İLERİ TARİH","UYGUN"),"EKSİK"))</f>
        <v/>
      </c>
      <c r="P1189" s="6" t="n"/>
      <c r="Q1189" s="6" t="n"/>
      <c r="R1189" s="3" t="n"/>
      <c r="S1189" s="3" t="n"/>
      <c r="T1189" s="3" t="n"/>
      <c r="U1189" s="3" t="n"/>
      <c r="V1189" s="3" t="n"/>
      <c r="W1189" s="3" t="n"/>
    </row>
    <row r="1190">
      <c r="A1190" s="6" t="n"/>
      <c r="B1190" s="113">
        <f>IF($C1190="","","GG"&amp;TEXT(ROW()-6,"00000"))</f>
        <v/>
      </c>
      <c r="C1190" s="225" t="n"/>
      <c r="D1190" s="108" t="n"/>
      <c r="E1190" s="109" t="n"/>
      <c r="F1190" s="109" t="n"/>
      <c r="G1190" s="226" t="n"/>
      <c r="H1190" s="108" t="n"/>
      <c r="I1190" s="108" t="n"/>
      <c r="J1190" s="109" t="n"/>
      <c r="K1190" s="109" t="n"/>
      <c r="L1190" s="121">
        <f>IF($C1190="","",IF($D1190="Gider",$E1190,$H1190))</f>
        <v/>
      </c>
      <c r="M1190" s="121">
        <f>IF($C1190="","",IF($D1190="Gider",$H1190,$E1190))</f>
        <v/>
      </c>
      <c r="N1190" s="231">
        <f>IF($C1190="","",DATE(YEAR($C1190),MONTH($C1190),1))</f>
        <v/>
      </c>
      <c r="O1190" s="113">
        <f>IF($C1190="","",IF(AND($D1190&lt;&gt;"",$E1190&lt;&gt;"",$G1190&gt;0,$H1190&lt;&gt;"",$I1190&lt;&gt;""),IF($C1190&gt;TODAY(),"İLERİ TARİH","UYGUN"),"EKSİK"))</f>
        <v/>
      </c>
      <c r="P1190" s="6" t="n"/>
      <c r="Q1190" s="6" t="n"/>
      <c r="R1190" s="3" t="n"/>
      <c r="S1190" s="3" t="n"/>
      <c r="T1190" s="3" t="n"/>
      <c r="U1190" s="3" t="n"/>
      <c r="V1190" s="3" t="n"/>
      <c r="W1190" s="3" t="n"/>
    </row>
    <row r="1191">
      <c r="A1191" s="6" t="n"/>
      <c r="B1191" s="113">
        <f>IF($C1191="","","GG"&amp;TEXT(ROW()-6,"00000"))</f>
        <v/>
      </c>
      <c r="C1191" s="225" t="n"/>
      <c r="D1191" s="108" t="n"/>
      <c r="E1191" s="109" t="n"/>
      <c r="F1191" s="109" t="n"/>
      <c r="G1191" s="226" t="n"/>
      <c r="H1191" s="108" t="n"/>
      <c r="I1191" s="108" t="n"/>
      <c r="J1191" s="109" t="n"/>
      <c r="K1191" s="109" t="n"/>
      <c r="L1191" s="121">
        <f>IF($C1191="","",IF($D1191="Gider",$E1191,$H1191))</f>
        <v/>
      </c>
      <c r="M1191" s="121">
        <f>IF($C1191="","",IF($D1191="Gider",$H1191,$E1191))</f>
        <v/>
      </c>
      <c r="N1191" s="231">
        <f>IF($C1191="","",DATE(YEAR($C1191),MONTH($C1191),1))</f>
        <v/>
      </c>
      <c r="O1191" s="113">
        <f>IF($C1191="","",IF(AND($D1191&lt;&gt;"",$E1191&lt;&gt;"",$G1191&gt;0,$H1191&lt;&gt;"",$I1191&lt;&gt;""),IF($C1191&gt;TODAY(),"İLERİ TARİH","UYGUN"),"EKSİK"))</f>
        <v/>
      </c>
      <c r="P1191" s="6" t="n"/>
      <c r="Q1191" s="6" t="n"/>
      <c r="R1191" s="3" t="n"/>
      <c r="S1191" s="3" t="n"/>
      <c r="T1191" s="3" t="n"/>
      <c r="U1191" s="3" t="n"/>
      <c r="V1191" s="3" t="n"/>
      <c r="W1191" s="3" t="n"/>
    </row>
    <row r="1192">
      <c r="A1192" s="6" t="n"/>
      <c r="B1192" s="113">
        <f>IF($C1192="","","GG"&amp;TEXT(ROW()-6,"00000"))</f>
        <v/>
      </c>
      <c r="C1192" s="225" t="n"/>
      <c r="D1192" s="108" t="n"/>
      <c r="E1192" s="109" t="n"/>
      <c r="F1192" s="109" t="n"/>
      <c r="G1192" s="226" t="n"/>
      <c r="H1192" s="108" t="n"/>
      <c r="I1192" s="108" t="n"/>
      <c r="J1192" s="109" t="n"/>
      <c r="K1192" s="109" t="n"/>
      <c r="L1192" s="121">
        <f>IF($C1192="","",IF($D1192="Gider",$E1192,$H1192))</f>
        <v/>
      </c>
      <c r="M1192" s="121">
        <f>IF($C1192="","",IF($D1192="Gider",$H1192,$E1192))</f>
        <v/>
      </c>
      <c r="N1192" s="231">
        <f>IF($C1192="","",DATE(YEAR($C1192),MONTH($C1192),1))</f>
        <v/>
      </c>
      <c r="O1192" s="113">
        <f>IF($C1192="","",IF(AND($D1192&lt;&gt;"",$E1192&lt;&gt;"",$G1192&gt;0,$H1192&lt;&gt;"",$I1192&lt;&gt;""),IF($C1192&gt;TODAY(),"İLERİ TARİH","UYGUN"),"EKSİK"))</f>
        <v/>
      </c>
      <c r="P1192" s="6" t="n"/>
      <c r="Q1192" s="6" t="n"/>
      <c r="R1192" s="3" t="n"/>
      <c r="S1192" s="3" t="n"/>
      <c r="T1192" s="3" t="n"/>
      <c r="U1192" s="3" t="n"/>
      <c r="V1192" s="3" t="n"/>
      <c r="W1192" s="3" t="n"/>
    </row>
    <row r="1193">
      <c r="A1193" s="6" t="n"/>
      <c r="B1193" s="113">
        <f>IF($C1193="","","GG"&amp;TEXT(ROW()-6,"00000"))</f>
        <v/>
      </c>
      <c r="C1193" s="225" t="n"/>
      <c r="D1193" s="108" t="n"/>
      <c r="E1193" s="109" t="n"/>
      <c r="F1193" s="109" t="n"/>
      <c r="G1193" s="226" t="n"/>
      <c r="H1193" s="108" t="n"/>
      <c r="I1193" s="108" t="n"/>
      <c r="J1193" s="109" t="n"/>
      <c r="K1193" s="109" t="n"/>
      <c r="L1193" s="121">
        <f>IF($C1193="","",IF($D1193="Gider",$E1193,$H1193))</f>
        <v/>
      </c>
      <c r="M1193" s="121">
        <f>IF($C1193="","",IF($D1193="Gider",$H1193,$E1193))</f>
        <v/>
      </c>
      <c r="N1193" s="231">
        <f>IF($C1193="","",DATE(YEAR($C1193),MONTH($C1193),1))</f>
        <v/>
      </c>
      <c r="O1193" s="113">
        <f>IF($C1193="","",IF(AND($D1193&lt;&gt;"",$E1193&lt;&gt;"",$G1193&gt;0,$H1193&lt;&gt;"",$I1193&lt;&gt;""),IF($C1193&gt;TODAY(),"İLERİ TARİH","UYGUN"),"EKSİK"))</f>
        <v/>
      </c>
      <c r="P1193" s="6" t="n"/>
      <c r="Q1193" s="6" t="n"/>
      <c r="R1193" s="3" t="n"/>
      <c r="S1193" s="3" t="n"/>
      <c r="T1193" s="3" t="n"/>
      <c r="U1193" s="3" t="n"/>
      <c r="V1193" s="3" t="n"/>
      <c r="W1193" s="3" t="n"/>
    </row>
    <row r="1194">
      <c r="A1194" s="6" t="n"/>
      <c r="B1194" s="113">
        <f>IF($C1194="","","GG"&amp;TEXT(ROW()-6,"00000"))</f>
        <v/>
      </c>
      <c r="C1194" s="225" t="n"/>
      <c r="D1194" s="108" t="n"/>
      <c r="E1194" s="109" t="n"/>
      <c r="F1194" s="109" t="n"/>
      <c r="G1194" s="226" t="n"/>
      <c r="H1194" s="108" t="n"/>
      <c r="I1194" s="108" t="n"/>
      <c r="J1194" s="109" t="n"/>
      <c r="K1194" s="109" t="n"/>
      <c r="L1194" s="121">
        <f>IF($C1194="","",IF($D1194="Gider",$E1194,$H1194))</f>
        <v/>
      </c>
      <c r="M1194" s="121">
        <f>IF($C1194="","",IF($D1194="Gider",$H1194,$E1194))</f>
        <v/>
      </c>
      <c r="N1194" s="231">
        <f>IF($C1194="","",DATE(YEAR($C1194),MONTH($C1194),1))</f>
        <v/>
      </c>
      <c r="O1194" s="113">
        <f>IF($C1194="","",IF(AND($D1194&lt;&gt;"",$E1194&lt;&gt;"",$G1194&gt;0,$H1194&lt;&gt;"",$I1194&lt;&gt;""),IF($C1194&gt;TODAY(),"İLERİ TARİH","UYGUN"),"EKSİK"))</f>
        <v/>
      </c>
      <c r="P1194" s="6" t="n"/>
      <c r="Q1194" s="6" t="n"/>
      <c r="R1194" s="3" t="n"/>
      <c r="S1194" s="3" t="n"/>
      <c r="T1194" s="3" t="n"/>
      <c r="U1194" s="3" t="n"/>
      <c r="V1194" s="3" t="n"/>
      <c r="W1194" s="3" t="n"/>
    </row>
    <row r="1195">
      <c r="A1195" s="6" t="n"/>
      <c r="B1195" s="113">
        <f>IF($C1195="","","GG"&amp;TEXT(ROW()-6,"00000"))</f>
        <v/>
      </c>
      <c r="C1195" s="225" t="n"/>
      <c r="D1195" s="108" t="n"/>
      <c r="E1195" s="109" t="n"/>
      <c r="F1195" s="109" t="n"/>
      <c r="G1195" s="226" t="n"/>
      <c r="H1195" s="108" t="n"/>
      <c r="I1195" s="108" t="n"/>
      <c r="J1195" s="109" t="n"/>
      <c r="K1195" s="109" t="n"/>
      <c r="L1195" s="121">
        <f>IF($C1195="","",IF($D1195="Gider",$E1195,$H1195))</f>
        <v/>
      </c>
      <c r="M1195" s="121">
        <f>IF($C1195="","",IF($D1195="Gider",$H1195,$E1195))</f>
        <v/>
      </c>
      <c r="N1195" s="231">
        <f>IF($C1195="","",DATE(YEAR($C1195),MONTH($C1195),1))</f>
        <v/>
      </c>
      <c r="O1195" s="113">
        <f>IF($C1195="","",IF(AND($D1195&lt;&gt;"",$E1195&lt;&gt;"",$G1195&gt;0,$H1195&lt;&gt;"",$I1195&lt;&gt;""),IF($C1195&gt;TODAY(),"İLERİ TARİH","UYGUN"),"EKSİK"))</f>
        <v/>
      </c>
      <c r="P1195" s="6" t="n"/>
      <c r="Q1195" s="6" t="n"/>
      <c r="R1195" s="3" t="n"/>
      <c r="S1195" s="3" t="n"/>
      <c r="T1195" s="3" t="n"/>
      <c r="U1195" s="3" t="n"/>
      <c r="V1195" s="3" t="n"/>
      <c r="W1195" s="3" t="n"/>
    </row>
    <row r="1196">
      <c r="A1196" s="6" t="n"/>
      <c r="B1196" s="113">
        <f>IF($C1196="","","GG"&amp;TEXT(ROW()-6,"00000"))</f>
        <v/>
      </c>
      <c r="C1196" s="225" t="n"/>
      <c r="D1196" s="108" t="n"/>
      <c r="E1196" s="109" t="n"/>
      <c r="F1196" s="109" t="n"/>
      <c r="G1196" s="226" t="n"/>
      <c r="H1196" s="108" t="n"/>
      <c r="I1196" s="108" t="n"/>
      <c r="J1196" s="109" t="n"/>
      <c r="K1196" s="109" t="n"/>
      <c r="L1196" s="121">
        <f>IF($C1196="","",IF($D1196="Gider",$E1196,$H1196))</f>
        <v/>
      </c>
      <c r="M1196" s="121">
        <f>IF($C1196="","",IF($D1196="Gider",$H1196,$E1196))</f>
        <v/>
      </c>
      <c r="N1196" s="231">
        <f>IF($C1196="","",DATE(YEAR($C1196),MONTH($C1196),1))</f>
        <v/>
      </c>
      <c r="O1196" s="113">
        <f>IF($C1196="","",IF(AND($D1196&lt;&gt;"",$E1196&lt;&gt;"",$G1196&gt;0,$H1196&lt;&gt;"",$I1196&lt;&gt;""),IF($C1196&gt;TODAY(),"İLERİ TARİH","UYGUN"),"EKSİK"))</f>
        <v/>
      </c>
      <c r="P1196" s="6" t="n"/>
      <c r="Q1196" s="6" t="n"/>
      <c r="R1196" s="3" t="n"/>
      <c r="S1196" s="3" t="n"/>
      <c r="T1196" s="3" t="n"/>
      <c r="U1196" s="3" t="n"/>
      <c r="V1196" s="3" t="n"/>
      <c r="W1196" s="3" t="n"/>
    </row>
    <row r="1197">
      <c r="A1197" s="6" t="n"/>
      <c r="B1197" s="113">
        <f>IF($C1197="","","GG"&amp;TEXT(ROW()-6,"00000"))</f>
        <v/>
      </c>
      <c r="C1197" s="225" t="n"/>
      <c r="D1197" s="108" t="n"/>
      <c r="E1197" s="109" t="n"/>
      <c r="F1197" s="109" t="n"/>
      <c r="G1197" s="226" t="n"/>
      <c r="H1197" s="108" t="n"/>
      <c r="I1197" s="108" t="n"/>
      <c r="J1197" s="109" t="n"/>
      <c r="K1197" s="109" t="n"/>
      <c r="L1197" s="121">
        <f>IF($C1197="","",IF($D1197="Gider",$E1197,$H1197))</f>
        <v/>
      </c>
      <c r="M1197" s="121">
        <f>IF($C1197="","",IF($D1197="Gider",$H1197,$E1197))</f>
        <v/>
      </c>
      <c r="N1197" s="231">
        <f>IF($C1197="","",DATE(YEAR($C1197),MONTH($C1197),1))</f>
        <v/>
      </c>
      <c r="O1197" s="113">
        <f>IF($C1197="","",IF(AND($D1197&lt;&gt;"",$E1197&lt;&gt;"",$G1197&gt;0,$H1197&lt;&gt;"",$I1197&lt;&gt;""),IF($C1197&gt;TODAY(),"İLERİ TARİH","UYGUN"),"EKSİK"))</f>
        <v/>
      </c>
      <c r="P1197" s="6" t="n"/>
      <c r="Q1197" s="6" t="n"/>
      <c r="R1197" s="3" t="n"/>
      <c r="S1197" s="3" t="n"/>
      <c r="T1197" s="3" t="n"/>
      <c r="U1197" s="3" t="n"/>
      <c r="V1197" s="3" t="n"/>
      <c r="W1197" s="3" t="n"/>
    </row>
    <row r="1198">
      <c r="A1198" s="6" t="n"/>
      <c r="B1198" s="113">
        <f>IF($C1198="","","GG"&amp;TEXT(ROW()-6,"00000"))</f>
        <v/>
      </c>
      <c r="C1198" s="225" t="n"/>
      <c r="D1198" s="108" t="n"/>
      <c r="E1198" s="109" t="n"/>
      <c r="F1198" s="109" t="n"/>
      <c r="G1198" s="226" t="n"/>
      <c r="H1198" s="108" t="n"/>
      <c r="I1198" s="108" t="n"/>
      <c r="J1198" s="109" t="n"/>
      <c r="K1198" s="109" t="n"/>
      <c r="L1198" s="121">
        <f>IF($C1198="","",IF($D1198="Gider",$E1198,$H1198))</f>
        <v/>
      </c>
      <c r="M1198" s="121">
        <f>IF($C1198="","",IF($D1198="Gider",$H1198,$E1198))</f>
        <v/>
      </c>
      <c r="N1198" s="231">
        <f>IF($C1198="","",DATE(YEAR($C1198),MONTH($C1198),1))</f>
        <v/>
      </c>
      <c r="O1198" s="113">
        <f>IF($C1198="","",IF(AND($D1198&lt;&gt;"",$E1198&lt;&gt;"",$G1198&gt;0,$H1198&lt;&gt;"",$I1198&lt;&gt;""),IF($C1198&gt;TODAY(),"İLERİ TARİH","UYGUN"),"EKSİK"))</f>
        <v/>
      </c>
      <c r="P1198" s="6" t="n"/>
      <c r="Q1198" s="6" t="n"/>
      <c r="R1198" s="3" t="n"/>
      <c r="S1198" s="3" t="n"/>
      <c r="T1198" s="3" t="n"/>
      <c r="U1198" s="3" t="n"/>
      <c r="V1198" s="3" t="n"/>
      <c r="W1198" s="3" t="n"/>
    </row>
    <row r="1199">
      <c r="A1199" s="6" t="n"/>
      <c r="B1199" s="113">
        <f>IF($C1199="","","GG"&amp;TEXT(ROW()-6,"00000"))</f>
        <v/>
      </c>
      <c r="C1199" s="225" t="n"/>
      <c r="D1199" s="108" t="n"/>
      <c r="E1199" s="109" t="n"/>
      <c r="F1199" s="109" t="n"/>
      <c r="G1199" s="226" t="n"/>
      <c r="H1199" s="108" t="n"/>
      <c r="I1199" s="108" t="n"/>
      <c r="J1199" s="109" t="n"/>
      <c r="K1199" s="109" t="n"/>
      <c r="L1199" s="121">
        <f>IF($C1199="","",IF($D1199="Gider",$E1199,$H1199))</f>
        <v/>
      </c>
      <c r="M1199" s="121">
        <f>IF($C1199="","",IF($D1199="Gider",$H1199,$E1199))</f>
        <v/>
      </c>
      <c r="N1199" s="231">
        <f>IF($C1199="","",DATE(YEAR($C1199),MONTH($C1199),1))</f>
        <v/>
      </c>
      <c r="O1199" s="113">
        <f>IF($C1199="","",IF(AND($D1199&lt;&gt;"",$E1199&lt;&gt;"",$G1199&gt;0,$H1199&lt;&gt;"",$I1199&lt;&gt;""),IF($C1199&gt;TODAY(),"İLERİ TARİH","UYGUN"),"EKSİK"))</f>
        <v/>
      </c>
      <c r="P1199" s="6" t="n"/>
      <c r="Q1199" s="6" t="n"/>
      <c r="R1199" s="3" t="n"/>
      <c r="S1199" s="3" t="n"/>
      <c r="T1199" s="3" t="n"/>
      <c r="U1199" s="3" t="n"/>
      <c r="V1199" s="3" t="n"/>
      <c r="W1199" s="3" t="n"/>
    </row>
    <row r="1200">
      <c r="A1200" s="6" t="n"/>
      <c r="B1200" s="113">
        <f>IF($C1200="","","GG"&amp;TEXT(ROW()-6,"00000"))</f>
        <v/>
      </c>
      <c r="C1200" s="225" t="n"/>
      <c r="D1200" s="108" t="n"/>
      <c r="E1200" s="109" t="n"/>
      <c r="F1200" s="109" t="n"/>
      <c r="G1200" s="226" t="n"/>
      <c r="H1200" s="108" t="n"/>
      <c r="I1200" s="108" t="n"/>
      <c r="J1200" s="109" t="n"/>
      <c r="K1200" s="109" t="n"/>
      <c r="L1200" s="121">
        <f>IF($C1200="","",IF($D1200="Gider",$E1200,$H1200))</f>
        <v/>
      </c>
      <c r="M1200" s="121">
        <f>IF($C1200="","",IF($D1200="Gider",$H1200,$E1200))</f>
        <v/>
      </c>
      <c r="N1200" s="231">
        <f>IF($C1200="","",DATE(YEAR($C1200),MONTH($C1200),1))</f>
        <v/>
      </c>
      <c r="O1200" s="113">
        <f>IF($C1200="","",IF(AND($D1200&lt;&gt;"",$E1200&lt;&gt;"",$G1200&gt;0,$H1200&lt;&gt;"",$I1200&lt;&gt;""),IF($C1200&gt;TODAY(),"İLERİ TARİH","UYGUN"),"EKSİK"))</f>
        <v/>
      </c>
      <c r="P1200" s="6" t="n"/>
      <c r="Q1200" s="6" t="n"/>
      <c r="R1200" s="3" t="n"/>
      <c r="S1200" s="3" t="n"/>
      <c r="T1200" s="3" t="n"/>
      <c r="U1200" s="3" t="n"/>
      <c r="V1200" s="3" t="n"/>
      <c r="W1200" s="3" t="n"/>
    </row>
    <row r="1201">
      <c r="A1201" s="6" t="n"/>
      <c r="B1201" s="113">
        <f>IF($C1201="","","GG"&amp;TEXT(ROW()-6,"00000"))</f>
        <v/>
      </c>
      <c r="C1201" s="225" t="n"/>
      <c r="D1201" s="108" t="n"/>
      <c r="E1201" s="109" t="n"/>
      <c r="F1201" s="109" t="n"/>
      <c r="G1201" s="226" t="n"/>
      <c r="H1201" s="108" t="n"/>
      <c r="I1201" s="108" t="n"/>
      <c r="J1201" s="109" t="n"/>
      <c r="K1201" s="109" t="n"/>
      <c r="L1201" s="121">
        <f>IF($C1201="","",IF($D1201="Gider",$E1201,$H1201))</f>
        <v/>
      </c>
      <c r="M1201" s="121">
        <f>IF($C1201="","",IF($D1201="Gider",$H1201,$E1201))</f>
        <v/>
      </c>
      <c r="N1201" s="231">
        <f>IF($C1201="","",DATE(YEAR($C1201),MONTH($C1201),1))</f>
        <v/>
      </c>
      <c r="O1201" s="113">
        <f>IF($C1201="","",IF(AND($D1201&lt;&gt;"",$E1201&lt;&gt;"",$G1201&gt;0,$H1201&lt;&gt;"",$I1201&lt;&gt;""),IF($C1201&gt;TODAY(),"İLERİ TARİH","UYGUN"),"EKSİK"))</f>
        <v/>
      </c>
      <c r="P1201" s="6" t="n"/>
      <c r="Q1201" s="6" t="n"/>
      <c r="R1201" s="3" t="n"/>
      <c r="S1201" s="3" t="n"/>
      <c r="T1201" s="3" t="n"/>
      <c r="U1201" s="3" t="n"/>
      <c r="V1201" s="3" t="n"/>
      <c r="W1201" s="3" t="n"/>
    </row>
    <row r="1202">
      <c r="A1202" s="6" t="n"/>
      <c r="B1202" s="113">
        <f>IF($C1202="","","GG"&amp;TEXT(ROW()-6,"00000"))</f>
        <v/>
      </c>
      <c r="C1202" s="225" t="n"/>
      <c r="D1202" s="108" t="n"/>
      <c r="E1202" s="109" t="n"/>
      <c r="F1202" s="109" t="n"/>
      <c r="G1202" s="226" t="n"/>
      <c r="H1202" s="108" t="n"/>
      <c r="I1202" s="108" t="n"/>
      <c r="J1202" s="109" t="n"/>
      <c r="K1202" s="109" t="n"/>
      <c r="L1202" s="121">
        <f>IF($C1202="","",IF($D1202="Gider",$E1202,$H1202))</f>
        <v/>
      </c>
      <c r="M1202" s="121">
        <f>IF($C1202="","",IF($D1202="Gider",$H1202,$E1202))</f>
        <v/>
      </c>
      <c r="N1202" s="231">
        <f>IF($C1202="","",DATE(YEAR($C1202),MONTH($C1202),1))</f>
        <v/>
      </c>
      <c r="O1202" s="113">
        <f>IF($C1202="","",IF(AND($D1202&lt;&gt;"",$E1202&lt;&gt;"",$G1202&gt;0,$H1202&lt;&gt;"",$I1202&lt;&gt;""),IF($C1202&gt;TODAY(),"İLERİ TARİH","UYGUN"),"EKSİK"))</f>
        <v/>
      </c>
      <c r="P1202" s="6" t="n"/>
      <c r="Q1202" s="6" t="n"/>
      <c r="R1202" s="3" t="n"/>
      <c r="S1202" s="3" t="n"/>
      <c r="T1202" s="3" t="n"/>
      <c r="U1202" s="3" t="n"/>
      <c r="V1202" s="3" t="n"/>
      <c r="W1202" s="3" t="n"/>
    </row>
    <row r="1203">
      <c r="A1203" s="6" t="n"/>
      <c r="B1203" s="113">
        <f>IF($C1203="","","GG"&amp;TEXT(ROW()-6,"00000"))</f>
        <v/>
      </c>
      <c r="C1203" s="225" t="n"/>
      <c r="D1203" s="108" t="n"/>
      <c r="E1203" s="109" t="n"/>
      <c r="F1203" s="109" t="n"/>
      <c r="G1203" s="226" t="n"/>
      <c r="H1203" s="108" t="n"/>
      <c r="I1203" s="108" t="n"/>
      <c r="J1203" s="109" t="n"/>
      <c r="K1203" s="109" t="n"/>
      <c r="L1203" s="121">
        <f>IF($C1203="","",IF($D1203="Gider",$E1203,$H1203))</f>
        <v/>
      </c>
      <c r="M1203" s="121">
        <f>IF($C1203="","",IF($D1203="Gider",$H1203,$E1203))</f>
        <v/>
      </c>
      <c r="N1203" s="231">
        <f>IF($C1203="","",DATE(YEAR($C1203),MONTH($C1203),1))</f>
        <v/>
      </c>
      <c r="O1203" s="113">
        <f>IF($C1203="","",IF(AND($D1203&lt;&gt;"",$E1203&lt;&gt;"",$G1203&gt;0,$H1203&lt;&gt;"",$I1203&lt;&gt;""),IF($C1203&gt;TODAY(),"İLERİ TARİH","UYGUN"),"EKSİK"))</f>
        <v/>
      </c>
      <c r="P1203" s="6" t="n"/>
      <c r="Q1203" s="6" t="n"/>
      <c r="R1203" s="3" t="n"/>
      <c r="S1203" s="3" t="n"/>
      <c r="T1203" s="3" t="n"/>
      <c r="U1203" s="3" t="n"/>
      <c r="V1203" s="3" t="n"/>
      <c r="W1203" s="3" t="n"/>
    </row>
    <row r="1204">
      <c r="A1204" s="6" t="n"/>
      <c r="B1204" s="113">
        <f>IF($C1204="","","GG"&amp;TEXT(ROW()-6,"00000"))</f>
        <v/>
      </c>
      <c r="C1204" s="225" t="n"/>
      <c r="D1204" s="108" t="n"/>
      <c r="E1204" s="109" t="n"/>
      <c r="F1204" s="109" t="n"/>
      <c r="G1204" s="226" t="n"/>
      <c r="H1204" s="108" t="n"/>
      <c r="I1204" s="108" t="n"/>
      <c r="J1204" s="109" t="n"/>
      <c r="K1204" s="109" t="n"/>
      <c r="L1204" s="121">
        <f>IF($C1204="","",IF($D1204="Gider",$E1204,$H1204))</f>
        <v/>
      </c>
      <c r="M1204" s="121">
        <f>IF($C1204="","",IF($D1204="Gider",$H1204,$E1204))</f>
        <v/>
      </c>
      <c r="N1204" s="231">
        <f>IF($C1204="","",DATE(YEAR($C1204),MONTH($C1204),1))</f>
        <v/>
      </c>
      <c r="O1204" s="113">
        <f>IF($C1204="","",IF(AND($D1204&lt;&gt;"",$E1204&lt;&gt;"",$G1204&gt;0,$H1204&lt;&gt;"",$I1204&lt;&gt;""),IF($C1204&gt;TODAY(),"İLERİ TARİH","UYGUN"),"EKSİK"))</f>
        <v/>
      </c>
      <c r="P1204" s="6" t="n"/>
      <c r="Q1204" s="6" t="n"/>
      <c r="R1204" s="3" t="n"/>
      <c r="S1204" s="3" t="n"/>
      <c r="T1204" s="3" t="n"/>
      <c r="U1204" s="3" t="n"/>
      <c r="V1204" s="3" t="n"/>
      <c r="W1204" s="3" t="n"/>
    </row>
    <row r="1205">
      <c r="A1205" s="6" t="n"/>
      <c r="B1205" s="113">
        <f>IF($C1205="","","GG"&amp;TEXT(ROW()-6,"00000"))</f>
        <v/>
      </c>
      <c r="C1205" s="225" t="n"/>
      <c r="D1205" s="108" t="n"/>
      <c r="E1205" s="109" t="n"/>
      <c r="F1205" s="109" t="n"/>
      <c r="G1205" s="226" t="n"/>
      <c r="H1205" s="108" t="n"/>
      <c r="I1205" s="108" t="n"/>
      <c r="J1205" s="109" t="n"/>
      <c r="K1205" s="109" t="n"/>
      <c r="L1205" s="121">
        <f>IF($C1205="","",IF($D1205="Gider",$E1205,$H1205))</f>
        <v/>
      </c>
      <c r="M1205" s="121">
        <f>IF($C1205="","",IF($D1205="Gider",$H1205,$E1205))</f>
        <v/>
      </c>
      <c r="N1205" s="231">
        <f>IF($C1205="","",DATE(YEAR($C1205),MONTH($C1205),1))</f>
        <v/>
      </c>
      <c r="O1205" s="113">
        <f>IF($C1205="","",IF(AND($D1205&lt;&gt;"",$E1205&lt;&gt;"",$G1205&gt;0,$H1205&lt;&gt;"",$I1205&lt;&gt;""),IF($C1205&gt;TODAY(),"İLERİ TARİH","UYGUN"),"EKSİK"))</f>
        <v/>
      </c>
      <c r="P1205" s="6" t="n"/>
      <c r="Q1205" s="6" t="n"/>
      <c r="R1205" s="3" t="n"/>
      <c r="S1205" s="3" t="n"/>
      <c r="T1205" s="3" t="n"/>
      <c r="U1205" s="3" t="n"/>
      <c r="V1205" s="3" t="n"/>
      <c r="W1205" s="3" t="n"/>
    </row>
    <row r="1206">
      <c r="A1206" s="6" t="n"/>
      <c r="B1206" s="113">
        <f>IF($C1206="","","GG"&amp;TEXT(ROW()-6,"00000"))</f>
        <v/>
      </c>
      <c r="C1206" s="225" t="n"/>
      <c r="D1206" s="108" t="n"/>
      <c r="E1206" s="109" t="n"/>
      <c r="F1206" s="109" t="n"/>
      <c r="G1206" s="226" t="n"/>
      <c r="H1206" s="108" t="n"/>
      <c r="I1206" s="108" t="n"/>
      <c r="J1206" s="109" t="n"/>
      <c r="K1206" s="109" t="n"/>
      <c r="L1206" s="121">
        <f>IF($C1206="","",IF($D1206="Gider",$E1206,$H1206))</f>
        <v/>
      </c>
      <c r="M1206" s="121">
        <f>IF($C1206="","",IF($D1206="Gider",$H1206,$E1206))</f>
        <v/>
      </c>
      <c r="N1206" s="231">
        <f>IF($C1206="","",DATE(YEAR($C1206),MONTH($C1206),1))</f>
        <v/>
      </c>
      <c r="O1206" s="113">
        <f>IF($C1206="","",IF(AND($D1206&lt;&gt;"",$E1206&lt;&gt;"",$G1206&gt;0,$H1206&lt;&gt;"",$I1206&lt;&gt;""),IF($C1206&gt;TODAY(),"İLERİ TARİH","UYGUN"),"EKSİK"))</f>
        <v/>
      </c>
      <c r="P1206" s="6" t="n"/>
      <c r="Q1206" s="6" t="n"/>
      <c r="R1206" s="3" t="n"/>
      <c r="S1206" s="3" t="n"/>
      <c r="T1206" s="3" t="n"/>
      <c r="U1206" s="3" t="n"/>
      <c r="V1206" s="3" t="n"/>
      <c r="W1206" s="3" t="n"/>
    </row>
    <row r="1207">
      <c r="A1207" s="6" t="n"/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  <c r="P1207" s="6" t="n"/>
      <c r="Q1207" s="6" t="n"/>
      <c r="R1207" s="3" t="n"/>
      <c r="S1207" s="3" t="n"/>
      <c r="T1207" s="3" t="n"/>
      <c r="U1207" s="3" t="n"/>
      <c r="V1207" s="3" t="n"/>
      <c r="W1207" s="3" t="n"/>
    </row>
    <row r="1208">
      <c r="A1208" s="6" t="n"/>
      <c r="B1208" s="3" t="n"/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  <c r="P1208" s="6" t="n"/>
      <c r="Q1208" s="6" t="n"/>
      <c r="R1208" s="3" t="n"/>
      <c r="S1208" s="3" t="n"/>
      <c r="T1208" s="3" t="n"/>
      <c r="U1208" s="3" t="n"/>
      <c r="V1208" s="3" t="n"/>
      <c r="W120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O1206"/>
  <mergeCells count="3">
    <mergeCell ref="R5:W5"/>
    <mergeCell ref="A1:P1"/>
    <mergeCell ref="A2:P2"/>
  </mergeCells>
  <conditionalFormatting sqref="O7:O1206">
    <cfRule type="expression" priority="1" dxfId="3" stopIfTrue="1">
      <formula>EXACT($O7,"UYGUN")</formula>
    </cfRule>
    <cfRule type="expression" priority="2" dxfId="4" stopIfTrue="1">
      <formula>EXACT($O7,"EKSİK")</formula>
    </cfRule>
    <cfRule type="expression" priority="3" dxfId="5" stopIfTrue="1">
      <formula>EXACT($O7,"HATA")</formula>
    </cfRule>
    <cfRule type="expression" priority="4" dxfId="5" stopIfTrue="1">
      <formula>EXACT($O7,"İLERİ TARİH")</formula>
    </cfRule>
    <cfRule type="expression" priority="5" dxfId="6" stopIfTrue="1">
      <formula>EXACT($O7,"PASİF")</formula>
    </cfRule>
  </conditionalFormatting>
  <dataValidations count="4">
    <dataValidation sqref="D7:D1206" showDropDown="0" showInputMessage="0" showErrorMessage="1" allowBlank="1" errorTitle="Geçersiz tür" error="Gelir veya Gider seçin." promptTitle="Geçersiz tür" prompt="Gelir veya Gider seçin." type="list">
      <formula1>"Gelir,Gider"</formula1>
    </dataValidation>
    <dataValidation sqref="E7:E1206" showDropDown="0" showInputMessage="0" showErrorMessage="1" allowBlank="1" errorTitle="Tanımsız kategori" error="SISTEM ekranındaki kategori listesinden seçin." promptTitle="Tanımsız kategori" prompt="SISTEM ekranındaki kategori listesinden seçin." type="list">
      <formula1>LST_KATEGORI</formula1>
    </dataValidation>
    <dataValidation sqref="H7:H12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</dataValidation>
    <dataValidation sqref="I7:I1206" showDropDown="0" showInputMessage="0" showErrorMessage="1" allowBlank="1" errorTitle="Geçersiz değer" error="Evet veya Hayır seçin." promptTitle="Geçersiz değer" prompt="Evet veya Hayır seçin." type="list">
      <formula1>"Evet,Hayır"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L40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13" customWidth="1" min="3" max="3"/>
    <col width="22" customWidth="1" min="4" max="4"/>
    <col width="22" customWidth="1" min="5" max="5"/>
    <col width="16" customWidth="1" min="6" max="6"/>
    <col width="34" customWidth="1" min="7" max="7"/>
    <col width="14" customWidth="1" min="8" max="8"/>
    <col width="16" customWidth="1" min="9" max="9"/>
    <col width="15" customWidth="1" min="10" max="10"/>
    <col width="2.4" customWidth="1" min="11" max="11"/>
    <col width="2.4" customWidth="1" min="12" max="12"/>
  </cols>
  <sheetData>
    <row r="1" ht="38" customHeight="1">
      <c r="A1" s="258" t="inlineStr">
        <is>
          <t>KILIÇ MUHASEBE   │   KASA / BANKA ARASI VİRMAN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45" t="n"/>
    </row>
    <row r="2" ht="22" customHeight="1">
      <c r="A2" s="4" t="inlineStr">
        <is>
          <t>Hesaplar arası para geçişi gelir veya gider değildir │ Toplam nakit değişmez</t>
        </is>
      </c>
      <c r="L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20" customHeight="1">
      <c r="A4" s="6" t="n"/>
      <c r="B4" s="47">
        <f>HYPERLINK("#PANO!A1","←  PANO")</f>
        <v/>
      </c>
      <c r="C4" s="6" t="n"/>
      <c r="D4" s="99">
        <f>HYPERLINK("#HESAPLAR!A1","Hesaplar")</f>
        <v/>
      </c>
      <c r="E4" s="6" t="n"/>
      <c r="F4" s="100" t="inlineStr">
        <is>
          <t>Sarı hücreler veri girişidir. Beyaz hücreler sistem tarafından hesaplanır ve kilitlidir. Çıkan ve giren hesap aynı olamaz.</t>
        </is>
      </c>
      <c r="G4" s="6" t="n"/>
      <c r="H4" s="6" t="n"/>
      <c r="I4" s="6" t="n"/>
      <c r="J4" s="6" t="n"/>
      <c r="K4" s="6" t="n"/>
      <c r="L4" s="6" t="n"/>
    </row>
    <row r="5" ht="26" customHeight="1">
      <c r="A5" s="6" t="n"/>
      <c r="B5" s="101" t="n"/>
      <c r="C5" s="102" t="inlineStr">
        <is>
          <t>TOPLAM  │  Virman hacmi</t>
        </is>
      </c>
      <c r="D5" s="101" t="n"/>
      <c r="E5" s="101" t="n"/>
      <c r="F5" s="221">
        <f>SUM($F$7:$F$406)</f>
        <v/>
      </c>
      <c r="G5" s="101" t="n"/>
      <c r="H5" s="101" t="n"/>
      <c r="I5" s="101" t="n"/>
      <c r="J5" s="101" t="n"/>
      <c r="K5" s="6" t="n"/>
      <c r="L5" s="6" t="n"/>
    </row>
    <row r="6" ht="40" customHeight="1">
      <c r="A6" s="6" t="n"/>
      <c r="B6" s="105" t="inlineStr">
        <is>
          <t>İşlem No</t>
        </is>
      </c>
      <c r="C6" s="105" t="inlineStr">
        <is>
          <t>Tarih</t>
        </is>
      </c>
      <c r="D6" s="105" t="inlineStr">
        <is>
          <t>Para Çıkan Hesap</t>
        </is>
      </c>
      <c r="E6" s="105" t="inlineStr">
        <is>
          <t>Para Giren Hesap</t>
        </is>
      </c>
      <c r="F6" s="107" t="inlineStr">
        <is>
          <t>Tutar</t>
        </is>
      </c>
      <c r="G6" s="106" t="inlineStr">
        <is>
          <t>Açıklama</t>
        </is>
      </c>
      <c r="H6" s="106" t="inlineStr">
        <is>
          <t>Belge No</t>
        </is>
      </c>
      <c r="I6" s="106" t="inlineStr">
        <is>
          <t>İşlemi Giren</t>
        </is>
      </c>
      <c r="J6" s="105" t="inlineStr">
        <is>
          <t>Sistem Kontrolü</t>
        </is>
      </c>
      <c r="K6" s="6" t="n"/>
      <c r="L6" s="6" t="n"/>
    </row>
    <row r="7">
      <c r="A7" s="6" t="n"/>
      <c r="B7" s="113">
        <f>IF($C7="","","V"&amp;TEXT(ROW()-6,"00000"))</f>
        <v/>
      </c>
      <c r="C7" s="225" t="n">
        <v>46137</v>
      </c>
      <c r="D7" s="108" t="inlineStr">
        <is>
          <t>Merkez Kasa</t>
        </is>
      </c>
      <c r="E7" s="108" t="inlineStr">
        <is>
          <t>ÖMER KARTAL</t>
        </is>
      </c>
      <c r="F7" s="226" t="n">
        <v>20000</v>
      </c>
      <c r="G7" s="109" t="inlineStr">
        <is>
          <t xml:space="preserve">Damla Sabancı Havale ( Ömer ) </t>
        </is>
      </c>
      <c r="H7" s="109" t="n"/>
      <c r="I7" s="109" t="n"/>
      <c r="J7" s="113">
        <f>IF($C7="","",IF(AND($D7&lt;&gt;"",$E7&lt;&gt;"",$D7&lt;&gt;$E7,$F7&gt;0),"UYGUN","HATA"))</f>
        <v/>
      </c>
      <c r="K7" s="6" t="n"/>
      <c r="L7" s="6" t="n"/>
    </row>
    <row r="8">
      <c r="A8" s="6" t="n"/>
      <c r="B8" s="113">
        <f>IF($C8="","","V"&amp;TEXT(ROW()-6,"00000"))</f>
        <v/>
      </c>
      <c r="C8" s="225" t="n">
        <v>46144</v>
      </c>
      <c r="D8" s="108" t="inlineStr">
        <is>
          <t>Merkez Kasa</t>
        </is>
      </c>
      <c r="E8" s="108" t="inlineStr">
        <is>
          <t>ÖMER KARTAL</t>
        </is>
      </c>
      <c r="F8" s="226" t="n">
        <v>1000</v>
      </c>
      <c r="G8" s="109" t="inlineStr">
        <is>
          <t>Ömer Nakit Ödenen ATO</t>
        </is>
      </c>
      <c r="H8" s="109" t="n"/>
      <c r="I8" s="109" t="n"/>
      <c r="J8" s="113">
        <f>IF($C8="","",IF(AND($D8&lt;&gt;"",$E8&lt;&gt;"",$D8&lt;&gt;$E8,$F8&gt;0),"UYGUN","HATA"))</f>
        <v/>
      </c>
      <c r="K8" s="6" t="n"/>
      <c r="L8" s="6" t="n"/>
    </row>
    <row r="9">
      <c r="A9" s="6" t="n"/>
      <c r="B9" s="113">
        <f>IF($C9="","","V"&amp;TEXT(ROW()-6,"00000"))</f>
        <v/>
      </c>
      <c r="C9" s="225" t="n">
        <v>46173</v>
      </c>
      <c r="D9" s="108" t="inlineStr">
        <is>
          <t>Merkez Kasa</t>
        </is>
      </c>
      <c r="E9" s="108" t="inlineStr">
        <is>
          <t>ÖMER KARTAL</t>
        </is>
      </c>
      <c r="F9" s="226" t="n">
        <v>17000</v>
      </c>
      <c r="G9" s="109" t="inlineStr">
        <is>
          <t>Ömer Nakit Ödenen</t>
        </is>
      </c>
      <c r="H9" s="109" t="n"/>
      <c r="I9" s="109" t="n"/>
      <c r="J9" s="113">
        <f>IF($C9="","",IF(AND($D9&lt;&gt;"",$E9&lt;&gt;"",$D9&lt;&gt;$E9,$F9&gt;0),"UYGUN","HATA"))</f>
        <v/>
      </c>
      <c r="K9" s="6" t="n"/>
      <c r="L9" s="6" t="n"/>
    </row>
    <row r="10">
      <c r="A10" s="6" t="n"/>
      <c r="B10" s="264">
        <f>IF($C10="","","V"&amp;TEXT(ROW()-6,"00000"))</f>
        <v/>
      </c>
      <c r="C10" s="265" t="n">
        <v>46241</v>
      </c>
      <c r="D10" s="259" t="inlineStr">
        <is>
          <t>MERKEZ KASA</t>
        </is>
      </c>
      <c r="E10" s="259" t="inlineStr">
        <is>
          <t>Banka Ortak 1</t>
        </is>
      </c>
      <c r="F10" s="266" t="n">
        <v>3000</v>
      </c>
      <c r="G10" s="260" t="inlineStr">
        <is>
          <t>TEST – kasadan bankaya</t>
        </is>
      </c>
      <c r="H10" s="260" t="n"/>
      <c r="I10" s="260" t="n"/>
      <c r="J10" s="264">
        <f>IF($C10="","",IF(AND($D10&lt;&gt;"",$E10&lt;&gt;"",$D10&lt;&gt;$E10,$F10&gt;0),"UYGUN","HATA"))</f>
        <v/>
      </c>
      <c r="K10" s="6" t="n"/>
      <c r="L10" s="6" t="n"/>
    </row>
    <row r="11">
      <c r="A11" s="6" t="n"/>
      <c r="B11" s="113">
        <f>IF($C11="","","V"&amp;TEXT(ROW()-6,"00000"))</f>
        <v/>
      </c>
      <c r="C11" s="225" t="n"/>
      <c r="D11" s="108" t="n"/>
      <c r="E11" s="108" t="n"/>
      <c r="F11" s="226" t="n"/>
      <c r="G11" s="109" t="n"/>
      <c r="H11" s="109" t="n"/>
      <c r="I11" s="109" t="n"/>
      <c r="J11" s="113">
        <f>IF($C11="","",IF(AND($D11&lt;&gt;"",$E11&lt;&gt;"",$D11&lt;&gt;$E11,$F11&gt;0),"UYGUN","HATA"))</f>
        <v/>
      </c>
      <c r="K11" s="6" t="n"/>
      <c r="L11" s="6" t="n"/>
    </row>
    <row r="12">
      <c r="A12" s="6" t="n"/>
      <c r="B12" s="113">
        <f>IF($C12="","","V"&amp;TEXT(ROW()-6,"00000"))</f>
        <v/>
      </c>
      <c r="C12" s="225" t="n"/>
      <c r="D12" s="108" t="n"/>
      <c r="E12" s="108" t="n"/>
      <c r="F12" s="226" t="n"/>
      <c r="G12" s="109" t="n"/>
      <c r="H12" s="109" t="n"/>
      <c r="I12" s="109" t="n"/>
      <c r="J12" s="113">
        <f>IF($C12="","",IF(AND($D12&lt;&gt;"",$E12&lt;&gt;"",$D12&lt;&gt;$E12,$F12&gt;0),"UYGUN","HATA"))</f>
        <v/>
      </c>
      <c r="K12" s="6" t="n"/>
      <c r="L12" s="6" t="n"/>
    </row>
    <row r="13">
      <c r="A13" s="6" t="n"/>
      <c r="B13" s="113">
        <f>IF($C13="","","V"&amp;TEXT(ROW()-6,"00000"))</f>
        <v/>
      </c>
      <c r="C13" s="225" t="n"/>
      <c r="D13" s="108" t="n"/>
      <c r="E13" s="108" t="n"/>
      <c r="F13" s="226" t="n"/>
      <c r="G13" s="109" t="n"/>
      <c r="H13" s="109" t="n"/>
      <c r="I13" s="109" t="n"/>
      <c r="J13" s="113">
        <f>IF($C13="","",IF(AND($D13&lt;&gt;"",$E13&lt;&gt;"",$D13&lt;&gt;$E13,$F13&gt;0),"UYGUN","HATA"))</f>
        <v/>
      </c>
      <c r="K13" s="6" t="n"/>
      <c r="L13" s="6" t="n"/>
    </row>
    <row r="14">
      <c r="A14" s="6" t="n"/>
      <c r="B14" s="113">
        <f>IF($C14="","","V"&amp;TEXT(ROW()-6,"00000"))</f>
        <v/>
      </c>
      <c r="C14" s="225" t="n"/>
      <c r="D14" s="108" t="n"/>
      <c r="E14" s="108" t="n"/>
      <c r="F14" s="226" t="n"/>
      <c r="G14" s="109" t="n"/>
      <c r="H14" s="109" t="n"/>
      <c r="I14" s="109" t="n"/>
      <c r="J14" s="113">
        <f>IF($C14="","",IF(AND($D14&lt;&gt;"",$E14&lt;&gt;"",$D14&lt;&gt;$E14,$F14&gt;0),"UYGUN","HATA"))</f>
        <v/>
      </c>
      <c r="K14" s="6" t="n"/>
      <c r="L14" s="6" t="n"/>
    </row>
    <row r="15">
      <c r="A15" s="6" t="n"/>
      <c r="B15" s="113">
        <f>IF($C15="","","V"&amp;TEXT(ROW()-6,"00000"))</f>
        <v/>
      </c>
      <c r="C15" s="225" t="n"/>
      <c r="D15" s="108" t="n"/>
      <c r="E15" s="108" t="n"/>
      <c r="F15" s="226" t="n"/>
      <c r="G15" s="109" t="n"/>
      <c r="H15" s="109" t="n"/>
      <c r="I15" s="109" t="n"/>
      <c r="J15" s="113">
        <f>IF($C15="","",IF(AND($D15&lt;&gt;"",$E15&lt;&gt;"",$D15&lt;&gt;$E15,$F15&gt;0),"UYGUN","HATA"))</f>
        <v/>
      </c>
      <c r="K15" s="6" t="n"/>
      <c r="L15" s="6" t="n"/>
    </row>
    <row r="16">
      <c r="A16" s="6" t="n"/>
      <c r="B16" s="113">
        <f>IF($C16="","","V"&amp;TEXT(ROW()-6,"00000"))</f>
        <v/>
      </c>
      <c r="C16" s="225" t="n"/>
      <c r="D16" s="108" t="n"/>
      <c r="E16" s="108" t="n"/>
      <c r="F16" s="226" t="n"/>
      <c r="G16" s="109" t="n"/>
      <c r="H16" s="109" t="n"/>
      <c r="I16" s="109" t="n"/>
      <c r="J16" s="113">
        <f>IF($C16="","",IF(AND($D16&lt;&gt;"",$E16&lt;&gt;"",$D16&lt;&gt;$E16,$F16&gt;0),"UYGUN","HATA"))</f>
        <v/>
      </c>
      <c r="K16" s="6" t="n"/>
      <c r="L16" s="6" t="n"/>
    </row>
    <row r="17">
      <c r="A17" s="6" t="n"/>
      <c r="B17" s="113">
        <f>IF($C17="","","V"&amp;TEXT(ROW()-6,"00000"))</f>
        <v/>
      </c>
      <c r="C17" s="225" t="n"/>
      <c r="D17" s="108" t="n"/>
      <c r="E17" s="108" t="n"/>
      <c r="F17" s="226" t="n"/>
      <c r="G17" s="109" t="n"/>
      <c r="H17" s="109" t="n"/>
      <c r="I17" s="109" t="n"/>
      <c r="J17" s="113">
        <f>IF($C17="","",IF(AND($D17&lt;&gt;"",$E17&lt;&gt;"",$D17&lt;&gt;$E17,$F17&gt;0),"UYGUN","HATA"))</f>
        <v/>
      </c>
      <c r="K17" s="6" t="n"/>
      <c r="L17" s="6" t="n"/>
    </row>
    <row r="18">
      <c r="A18" s="6" t="n"/>
      <c r="B18" s="113">
        <f>IF($C18="","","V"&amp;TEXT(ROW()-6,"00000"))</f>
        <v/>
      </c>
      <c r="C18" s="225" t="n"/>
      <c r="D18" s="108" t="n"/>
      <c r="E18" s="108" t="n"/>
      <c r="F18" s="226" t="n"/>
      <c r="G18" s="109" t="n"/>
      <c r="H18" s="109" t="n"/>
      <c r="I18" s="109" t="n"/>
      <c r="J18" s="113">
        <f>IF($C18="","",IF(AND($D18&lt;&gt;"",$E18&lt;&gt;"",$D18&lt;&gt;$E18,$F18&gt;0),"UYGUN","HATA"))</f>
        <v/>
      </c>
      <c r="K18" s="6" t="n"/>
      <c r="L18" s="6" t="n"/>
    </row>
    <row r="19">
      <c r="A19" s="6" t="n"/>
      <c r="B19" s="113">
        <f>IF($C19="","","V"&amp;TEXT(ROW()-6,"00000"))</f>
        <v/>
      </c>
      <c r="C19" s="225" t="n"/>
      <c r="D19" s="108" t="n"/>
      <c r="E19" s="108" t="n"/>
      <c r="F19" s="226" t="n"/>
      <c r="G19" s="109" t="n"/>
      <c r="H19" s="109" t="n"/>
      <c r="I19" s="109" t="n"/>
      <c r="J19" s="113">
        <f>IF($C19="","",IF(AND($D19&lt;&gt;"",$E19&lt;&gt;"",$D19&lt;&gt;$E19,$F19&gt;0),"UYGUN","HATA"))</f>
        <v/>
      </c>
      <c r="K19" s="6" t="n"/>
      <c r="L19" s="6" t="n"/>
    </row>
    <row r="20">
      <c r="A20" s="6" t="n"/>
      <c r="B20" s="113">
        <f>IF($C20="","","V"&amp;TEXT(ROW()-6,"00000"))</f>
        <v/>
      </c>
      <c r="C20" s="225" t="n"/>
      <c r="D20" s="108" t="n"/>
      <c r="E20" s="108" t="n"/>
      <c r="F20" s="226" t="n"/>
      <c r="G20" s="109" t="n"/>
      <c r="H20" s="109" t="n"/>
      <c r="I20" s="109" t="n"/>
      <c r="J20" s="113">
        <f>IF($C20="","",IF(AND($D20&lt;&gt;"",$E20&lt;&gt;"",$D20&lt;&gt;$E20,$F20&gt;0),"UYGUN","HATA"))</f>
        <v/>
      </c>
      <c r="K20" s="6" t="n"/>
      <c r="L20" s="6" t="n"/>
    </row>
    <row r="21">
      <c r="A21" s="6" t="n"/>
      <c r="B21" s="113">
        <f>IF($C21="","","V"&amp;TEXT(ROW()-6,"00000"))</f>
        <v/>
      </c>
      <c r="C21" s="225" t="n"/>
      <c r="D21" s="108" t="n"/>
      <c r="E21" s="108" t="n"/>
      <c r="F21" s="226" t="n"/>
      <c r="G21" s="109" t="n"/>
      <c r="H21" s="109" t="n"/>
      <c r="I21" s="109" t="n"/>
      <c r="J21" s="113">
        <f>IF($C21="","",IF(AND($D21&lt;&gt;"",$E21&lt;&gt;"",$D21&lt;&gt;$E21,$F21&gt;0),"UYGUN","HATA"))</f>
        <v/>
      </c>
      <c r="K21" s="6" t="n"/>
      <c r="L21" s="6" t="n"/>
    </row>
    <row r="22">
      <c r="A22" s="6" t="n"/>
      <c r="B22" s="113">
        <f>IF($C22="","","V"&amp;TEXT(ROW()-6,"00000"))</f>
        <v/>
      </c>
      <c r="C22" s="225" t="n"/>
      <c r="D22" s="108" t="n"/>
      <c r="E22" s="108" t="n"/>
      <c r="F22" s="226" t="n"/>
      <c r="G22" s="109" t="n"/>
      <c r="H22" s="109" t="n"/>
      <c r="I22" s="109" t="n"/>
      <c r="J22" s="113">
        <f>IF($C22="","",IF(AND($D22&lt;&gt;"",$E22&lt;&gt;"",$D22&lt;&gt;$E22,$F22&gt;0),"UYGUN","HATA"))</f>
        <v/>
      </c>
      <c r="K22" s="6" t="n"/>
      <c r="L22" s="6" t="n"/>
    </row>
    <row r="23">
      <c r="A23" s="6" t="n"/>
      <c r="B23" s="113">
        <f>IF($C23="","","V"&amp;TEXT(ROW()-6,"00000"))</f>
        <v/>
      </c>
      <c r="C23" s="225" t="n"/>
      <c r="D23" s="108" t="n"/>
      <c r="E23" s="108" t="n"/>
      <c r="F23" s="226" t="n"/>
      <c r="G23" s="109" t="n"/>
      <c r="H23" s="109" t="n"/>
      <c r="I23" s="109" t="n"/>
      <c r="J23" s="113">
        <f>IF($C23="","",IF(AND($D23&lt;&gt;"",$E23&lt;&gt;"",$D23&lt;&gt;$E23,$F23&gt;0),"UYGUN","HATA"))</f>
        <v/>
      </c>
      <c r="K23" s="6" t="n"/>
      <c r="L23" s="6" t="n"/>
    </row>
    <row r="24">
      <c r="A24" s="6" t="n"/>
      <c r="B24" s="113">
        <f>IF($C24="","","V"&amp;TEXT(ROW()-6,"00000"))</f>
        <v/>
      </c>
      <c r="C24" s="225" t="n"/>
      <c r="D24" s="108" t="n"/>
      <c r="E24" s="108" t="n"/>
      <c r="F24" s="226" t="n"/>
      <c r="G24" s="109" t="n"/>
      <c r="H24" s="109" t="n"/>
      <c r="I24" s="109" t="n"/>
      <c r="J24" s="113">
        <f>IF($C24="","",IF(AND($D24&lt;&gt;"",$E24&lt;&gt;"",$D24&lt;&gt;$E24,$F24&gt;0),"UYGUN","HATA"))</f>
        <v/>
      </c>
      <c r="K24" s="6" t="n"/>
      <c r="L24" s="6" t="n"/>
    </row>
    <row r="25">
      <c r="A25" s="6" t="n"/>
      <c r="B25" s="113">
        <f>IF($C25="","","V"&amp;TEXT(ROW()-6,"00000"))</f>
        <v/>
      </c>
      <c r="C25" s="225" t="n"/>
      <c r="D25" s="108" t="n"/>
      <c r="E25" s="108" t="n"/>
      <c r="F25" s="226" t="n"/>
      <c r="G25" s="109" t="n"/>
      <c r="H25" s="109" t="n"/>
      <c r="I25" s="109" t="n"/>
      <c r="J25" s="113">
        <f>IF($C25="","",IF(AND($D25&lt;&gt;"",$E25&lt;&gt;"",$D25&lt;&gt;$E25,$F25&gt;0),"UYGUN","HATA"))</f>
        <v/>
      </c>
      <c r="K25" s="6" t="n"/>
      <c r="L25" s="6" t="n"/>
    </row>
    <row r="26">
      <c r="A26" s="6" t="n"/>
      <c r="B26" s="113">
        <f>IF($C26="","","V"&amp;TEXT(ROW()-6,"00000"))</f>
        <v/>
      </c>
      <c r="C26" s="225" t="n"/>
      <c r="D26" s="108" t="n"/>
      <c r="E26" s="108" t="n"/>
      <c r="F26" s="226" t="n"/>
      <c r="G26" s="109" t="n"/>
      <c r="H26" s="109" t="n"/>
      <c r="I26" s="109" t="n"/>
      <c r="J26" s="113">
        <f>IF($C26="","",IF(AND($D26&lt;&gt;"",$E26&lt;&gt;"",$D26&lt;&gt;$E26,$F26&gt;0),"UYGUN","HATA"))</f>
        <v/>
      </c>
      <c r="K26" s="6" t="n"/>
      <c r="L26" s="6" t="n"/>
    </row>
    <row r="27">
      <c r="A27" s="6" t="n"/>
      <c r="B27" s="113">
        <f>IF($C27="","","V"&amp;TEXT(ROW()-6,"00000"))</f>
        <v/>
      </c>
      <c r="C27" s="225" t="n"/>
      <c r="D27" s="108" t="n"/>
      <c r="E27" s="108" t="n"/>
      <c r="F27" s="226" t="n"/>
      <c r="G27" s="109" t="n"/>
      <c r="H27" s="109" t="n"/>
      <c r="I27" s="109" t="n"/>
      <c r="J27" s="113">
        <f>IF($C27="","",IF(AND($D27&lt;&gt;"",$E27&lt;&gt;"",$D27&lt;&gt;$E27,$F27&gt;0),"UYGUN","HATA"))</f>
        <v/>
      </c>
      <c r="K27" s="6" t="n"/>
      <c r="L27" s="6" t="n"/>
    </row>
    <row r="28">
      <c r="A28" s="6" t="n"/>
      <c r="B28" s="113">
        <f>IF($C28="","","V"&amp;TEXT(ROW()-6,"00000"))</f>
        <v/>
      </c>
      <c r="C28" s="225" t="n"/>
      <c r="D28" s="108" t="n"/>
      <c r="E28" s="108" t="n"/>
      <c r="F28" s="226" t="n"/>
      <c r="G28" s="109" t="n"/>
      <c r="H28" s="109" t="n"/>
      <c r="I28" s="109" t="n"/>
      <c r="J28" s="113">
        <f>IF($C28="","",IF(AND($D28&lt;&gt;"",$E28&lt;&gt;"",$D28&lt;&gt;$E28,$F28&gt;0),"UYGUN","HATA"))</f>
        <v/>
      </c>
      <c r="K28" s="6" t="n"/>
      <c r="L28" s="6" t="n"/>
    </row>
    <row r="29">
      <c r="A29" s="6" t="n"/>
      <c r="B29" s="113">
        <f>IF($C29="","","V"&amp;TEXT(ROW()-6,"00000"))</f>
        <v/>
      </c>
      <c r="C29" s="225" t="n"/>
      <c r="D29" s="108" t="n"/>
      <c r="E29" s="108" t="n"/>
      <c r="F29" s="226" t="n"/>
      <c r="G29" s="109" t="n"/>
      <c r="H29" s="109" t="n"/>
      <c r="I29" s="109" t="n"/>
      <c r="J29" s="113">
        <f>IF($C29="","",IF(AND($D29&lt;&gt;"",$E29&lt;&gt;"",$D29&lt;&gt;$E29,$F29&gt;0),"UYGUN","HATA"))</f>
        <v/>
      </c>
      <c r="K29" s="6" t="n"/>
      <c r="L29" s="6" t="n"/>
    </row>
    <row r="30">
      <c r="A30" s="6" t="n"/>
      <c r="B30" s="113">
        <f>IF($C30="","","V"&amp;TEXT(ROW()-6,"00000"))</f>
        <v/>
      </c>
      <c r="C30" s="225" t="n"/>
      <c r="D30" s="108" t="n"/>
      <c r="E30" s="108" t="n"/>
      <c r="F30" s="226" t="n"/>
      <c r="G30" s="109" t="n"/>
      <c r="H30" s="109" t="n"/>
      <c r="I30" s="109" t="n"/>
      <c r="J30" s="113">
        <f>IF($C30="","",IF(AND($D30&lt;&gt;"",$E30&lt;&gt;"",$D30&lt;&gt;$E30,$F30&gt;0),"UYGUN","HATA"))</f>
        <v/>
      </c>
      <c r="K30" s="6" t="n"/>
      <c r="L30" s="6" t="n"/>
    </row>
    <row r="31">
      <c r="A31" s="6" t="n"/>
      <c r="B31" s="113">
        <f>IF($C31="","","V"&amp;TEXT(ROW()-6,"00000"))</f>
        <v/>
      </c>
      <c r="C31" s="225" t="n"/>
      <c r="D31" s="108" t="n"/>
      <c r="E31" s="108" t="n"/>
      <c r="F31" s="226" t="n"/>
      <c r="G31" s="109" t="n"/>
      <c r="H31" s="109" t="n"/>
      <c r="I31" s="109" t="n"/>
      <c r="J31" s="113">
        <f>IF($C31="","",IF(AND($D31&lt;&gt;"",$E31&lt;&gt;"",$D31&lt;&gt;$E31,$F31&gt;0),"UYGUN","HATA"))</f>
        <v/>
      </c>
      <c r="K31" s="6" t="n"/>
      <c r="L31" s="6" t="n"/>
    </row>
    <row r="32">
      <c r="A32" s="6" t="n"/>
      <c r="B32" s="113">
        <f>IF($C32="","","V"&amp;TEXT(ROW()-6,"00000"))</f>
        <v/>
      </c>
      <c r="C32" s="225" t="n"/>
      <c r="D32" s="108" t="n"/>
      <c r="E32" s="108" t="n"/>
      <c r="F32" s="226" t="n"/>
      <c r="G32" s="109" t="n"/>
      <c r="H32" s="109" t="n"/>
      <c r="I32" s="109" t="n"/>
      <c r="J32" s="113">
        <f>IF($C32="","",IF(AND($D32&lt;&gt;"",$E32&lt;&gt;"",$D32&lt;&gt;$E32,$F32&gt;0),"UYGUN","HATA"))</f>
        <v/>
      </c>
      <c r="K32" s="6" t="n"/>
      <c r="L32" s="6" t="n"/>
    </row>
    <row r="33">
      <c r="A33" s="6" t="n"/>
      <c r="B33" s="113">
        <f>IF($C33="","","V"&amp;TEXT(ROW()-6,"00000"))</f>
        <v/>
      </c>
      <c r="C33" s="225" t="n"/>
      <c r="D33" s="108" t="n"/>
      <c r="E33" s="108" t="n"/>
      <c r="F33" s="226" t="n"/>
      <c r="G33" s="109" t="n"/>
      <c r="H33" s="109" t="n"/>
      <c r="I33" s="109" t="n"/>
      <c r="J33" s="113">
        <f>IF($C33="","",IF(AND($D33&lt;&gt;"",$E33&lt;&gt;"",$D33&lt;&gt;$E33,$F33&gt;0),"UYGUN","HATA"))</f>
        <v/>
      </c>
      <c r="K33" s="6" t="n"/>
      <c r="L33" s="6" t="n"/>
    </row>
    <row r="34">
      <c r="A34" s="6" t="n"/>
      <c r="B34" s="113">
        <f>IF($C34="","","V"&amp;TEXT(ROW()-6,"00000"))</f>
        <v/>
      </c>
      <c r="C34" s="225" t="n"/>
      <c r="D34" s="108" t="n"/>
      <c r="E34" s="108" t="n"/>
      <c r="F34" s="226" t="n"/>
      <c r="G34" s="109" t="n"/>
      <c r="H34" s="109" t="n"/>
      <c r="I34" s="109" t="n"/>
      <c r="J34" s="113">
        <f>IF($C34="","",IF(AND($D34&lt;&gt;"",$E34&lt;&gt;"",$D34&lt;&gt;$E34,$F34&gt;0),"UYGUN","HATA"))</f>
        <v/>
      </c>
      <c r="K34" s="6" t="n"/>
      <c r="L34" s="6" t="n"/>
    </row>
    <row r="35">
      <c r="A35" s="6" t="n"/>
      <c r="B35" s="113">
        <f>IF($C35="","","V"&amp;TEXT(ROW()-6,"00000"))</f>
        <v/>
      </c>
      <c r="C35" s="225" t="n"/>
      <c r="D35" s="108" t="n"/>
      <c r="E35" s="108" t="n"/>
      <c r="F35" s="226" t="n"/>
      <c r="G35" s="109" t="n"/>
      <c r="H35" s="109" t="n"/>
      <c r="I35" s="109" t="n"/>
      <c r="J35" s="113">
        <f>IF($C35="","",IF(AND($D35&lt;&gt;"",$E35&lt;&gt;"",$D35&lt;&gt;$E35,$F35&gt;0),"UYGUN","HATA"))</f>
        <v/>
      </c>
      <c r="K35" s="6" t="n"/>
      <c r="L35" s="6" t="n"/>
    </row>
    <row r="36">
      <c r="A36" s="6" t="n"/>
      <c r="B36" s="113">
        <f>IF($C36="","","V"&amp;TEXT(ROW()-6,"00000"))</f>
        <v/>
      </c>
      <c r="C36" s="225" t="n"/>
      <c r="D36" s="108" t="n"/>
      <c r="E36" s="108" t="n"/>
      <c r="F36" s="226" t="n"/>
      <c r="G36" s="109" t="n"/>
      <c r="H36" s="109" t="n"/>
      <c r="I36" s="109" t="n"/>
      <c r="J36" s="113">
        <f>IF($C36="","",IF(AND($D36&lt;&gt;"",$E36&lt;&gt;"",$D36&lt;&gt;$E36,$F36&gt;0),"UYGUN","HATA"))</f>
        <v/>
      </c>
      <c r="K36" s="6" t="n"/>
      <c r="L36" s="6" t="n"/>
    </row>
    <row r="37">
      <c r="A37" s="6" t="n"/>
      <c r="B37" s="113">
        <f>IF($C37="","","V"&amp;TEXT(ROW()-6,"00000"))</f>
        <v/>
      </c>
      <c r="C37" s="225" t="n"/>
      <c r="D37" s="108" t="n"/>
      <c r="E37" s="108" t="n"/>
      <c r="F37" s="226" t="n"/>
      <c r="G37" s="109" t="n"/>
      <c r="H37" s="109" t="n"/>
      <c r="I37" s="109" t="n"/>
      <c r="J37" s="113">
        <f>IF($C37="","",IF(AND($D37&lt;&gt;"",$E37&lt;&gt;"",$D37&lt;&gt;$E37,$F37&gt;0),"UYGUN","HATA"))</f>
        <v/>
      </c>
      <c r="K37" s="6" t="n"/>
      <c r="L37" s="6" t="n"/>
    </row>
    <row r="38">
      <c r="A38" s="6" t="n"/>
      <c r="B38" s="113">
        <f>IF($C38="","","V"&amp;TEXT(ROW()-6,"00000"))</f>
        <v/>
      </c>
      <c r="C38" s="225" t="n"/>
      <c r="D38" s="108" t="n"/>
      <c r="E38" s="108" t="n"/>
      <c r="F38" s="226" t="n"/>
      <c r="G38" s="109" t="n"/>
      <c r="H38" s="109" t="n"/>
      <c r="I38" s="109" t="n"/>
      <c r="J38" s="113">
        <f>IF($C38="","",IF(AND($D38&lt;&gt;"",$E38&lt;&gt;"",$D38&lt;&gt;$E38,$F38&gt;0),"UYGUN","HATA"))</f>
        <v/>
      </c>
      <c r="K38" s="6" t="n"/>
      <c r="L38" s="6" t="n"/>
    </row>
    <row r="39">
      <c r="A39" s="6" t="n"/>
      <c r="B39" s="113">
        <f>IF($C39="","","V"&amp;TEXT(ROW()-6,"00000"))</f>
        <v/>
      </c>
      <c r="C39" s="225" t="n"/>
      <c r="D39" s="108" t="n"/>
      <c r="E39" s="108" t="n"/>
      <c r="F39" s="226" t="n"/>
      <c r="G39" s="109" t="n"/>
      <c r="H39" s="109" t="n"/>
      <c r="I39" s="109" t="n"/>
      <c r="J39" s="113">
        <f>IF($C39="","",IF(AND($D39&lt;&gt;"",$E39&lt;&gt;"",$D39&lt;&gt;$E39,$F39&gt;0),"UYGUN","HATA"))</f>
        <v/>
      </c>
      <c r="K39" s="6" t="n"/>
      <c r="L39" s="6" t="n"/>
    </row>
    <row r="40">
      <c r="A40" s="6" t="n"/>
      <c r="B40" s="113">
        <f>IF($C40="","","V"&amp;TEXT(ROW()-6,"00000"))</f>
        <v/>
      </c>
      <c r="C40" s="225" t="n"/>
      <c r="D40" s="108" t="n"/>
      <c r="E40" s="108" t="n"/>
      <c r="F40" s="226" t="n"/>
      <c r="G40" s="109" t="n"/>
      <c r="H40" s="109" t="n"/>
      <c r="I40" s="109" t="n"/>
      <c r="J40" s="113">
        <f>IF($C40="","",IF(AND($D40&lt;&gt;"",$E40&lt;&gt;"",$D40&lt;&gt;$E40,$F40&gt;0),"UYGUN","HATA"))</f>
        <v/>
      </c>
      <c r="K40" s="6" t="n"/>
      <c r="L40" s="6" t="n"/>
    </row>
    <row r="41">
      <c r="A41" s="6" t="n"/>
      <c r="B41" s="113">
        <f>IF($C41="","","V"&amp;TEXT(ROW()-6,"00000"))</f>
        <v/>
      </c>
      <c r="C41" s="225" t="n"/>
      <c r="D41" s="108" t="n"/>
      <c r="E41" s="108" t="n"/>
      <c r="F41" s="226" t="n"/>
      <c r="G41" s="109" t="n"/>
      <c r="H41" s="109" t="n"/>
      <c r="I41" s="109" t="n"/>
      <c r="J41" s="113">
        <f>IF($C41="","",IF(AND($D41&lt;&gt;"",$E41&lt;&gt;"",$D41&lt;&gt;$E41,$F41&gt;0),"UYGUN","HATA"))</f>
        <v/>
      </c>
      <c r="K41" s="6" t="n"/>
      <c r="L41" s="6" t="n"/>
    </row>
    <row r="42">
      <c r="A42" s="6" t="n"/>
      <c r="B42" s="113">
        <f>IF($C42="","","V"&amp;TEXT(ROW()-6,"00000"))</f>
        <v/>
      </c>
      <c r="C42" s="225" t="n"/>
      <c r="D42" s="108" t="n"/>
      <c r="E42" s="108" t="n"/>
      <c r="F42" s="226" t="n"/>
      <c r="G42" s="109" t="n"/>
      <c r="H42" s="109" t="n"/>
      <c r="I42" s="109" t="n"/>
      <c r="J42" s="113">
        <f>IF($C42="","",IF(AND($D42&lt;&gt;"",$E42&lt;&gt;"",$D42&lt;&gt;$E42,$F42&gt;0),"UYGUN","HATA"))</f>
        <v/>
      </c>
      <c r="K42" s="6" t="n"/>
      <c r="L42" s="6" t="n"/>
    </row>
    <row r="43">
      <c r="A43" s="6" t="n"/>
      <c r="B43" s="113">
        <f>IF($C43="","","V"&amp;TEXT(ROW()-6,"00000"))</f>
        <v/>
      </c>
      <c r="C43" s="225" t="n"/>
      <c r="D43" s="108" t="n"/>
      <c r="E43" s="108" t="n"/>
      <c r="F43" s="226" t="n"/>
      <c r="G43" s="109" t="n"/>
      <c r="H43" s="109" t="n"/>
      <c r="I43" s="109" t="n"/>
      <c r="J43" s="113">
        <f>IF($C43="","",IF(AND($D43&lt;&gt;"",$E43&lt;&gt;"",$D43&lt;&gt;$E43,$F43&gt;0),"UYGUN","HATA"))</f>
        <v/>
      </c>
      <c r="K43" s="6" t="n"/>
      <c r="L43" s="6" t="n"/>
    </row>
    <row r="44">
      <c r="A44" s="6" t="n"/>
      <c r="B44" s="113">
        <f>IF($C44="","","V"&amp;TEXT(ROW()-6,"00000"))</f>
        <v/>
      </c>
      <c r="C44" s="225" t="n"/>
      <c r="D44" s="108" t="n"/>
      <c r="E44" s="108" t="n"/>
      <c r="F44" s="226" t="n"/>
      <c r="G44" s="109" t="n"/>
      <c r="H44" s="109" t="n"/>
      <c r="I44" s="109" t="n"/>
      <c r="J44" s="113">
        <f>IF($C44="","",IF(AND($D44&lt;&gt;"",$E44&lt;&gt;"",$D44&lt;&gt;$E44,$F44&gt;0),"UYGUN","HATA"))</f>
        <v/>
      </c>
      <c r="K44" s="6" t="n"/>
      <c r="L44" s="6" t="n"/>
    </row>
    <row r="45">
      <c r="A45" s="6" t="n"/>
      <c r="B45" s="113">
        <f>IF($C45="","","V"&amp;TEXT(ROW()-6,"00000"))</f>
        <v/>
      </c>
      <c r="C45" s="225" t="n"/>
      <c r="D45" s="108" t="n"/>
      <c r="E45" s="108" t="n"/>
      <c r="F45" s="226" t="n"/>
      <c r="G45" s="109" t="n"/>
      <c r="H45" s="109" t="n"/>
      <c r="I45" s="109" t="n"/>
      <c r="J45" s="113">
        <f>IF($C45="","",IF(AND($D45&lt;&gt;"",$E45&lt;&gt;"",$D45&lt;&gt;$E45,$F45&gt;0),"UYGUN","HATA"))</f>
        <v/>
      </c>
      <c r="K45" s="6" t="n"/>
      <c r="L45" s="6" t="n"/>
    </row>
    <row r="46">
      <c r="A46" s="6" t="n"/>
      <c r="B46" s="113">
        <f>IF($C46="","","V"&amp;TEXT(ROW()-6,"00000"))</f>
        <v/>
      </c>
      <c r="C46" s="225" t="n"/>
      <c r="D46" s="108" t="n"/>
      <c r="E46" s="108" t="n"/>
      <c r="F46" s="226" t="n"/>
      <c r="G46" s="109" t="n"/>
      <c r="H46" s="109" t="n"/>
      <c r="I46" s="109" t="n"/>
      <c r="J46" s="113">
        <f>IF($C46="","",IF(AND($D46&lt;&gt;"",$E46&lt;&gt;"",$D46&lt;&gt;$E46,$F46&gt;0),"UYGUN","HATA"))</f>
        <v/>
      </c>
      <c r="K46" s="6" t="n"/>
      <c r="L46" s="6" t="n"/>
    </row>
    <row r="47">
      <c r="A47" s="6" t="n"/>
      <c r="B47" s="113">
        <f>IF($C47="","","V"&amp;TEXT(ROW()-6,"00000"))</f>
        <v/>
      </c>
      <c r="C47" s="225" t="n"/>
      <c r="D47" s="108" t="n"/>
      <c r="E47" s="108" t="n"/>
      <c r="F47" s="226" t="n"/>
      <c r="G47" s="109" t="n"/>
      <c r="H47" s="109" t="n"/>
      <c r="I47" s="109" t="n"/>
      <c r="J47" s="113">
        <f>IF($C47="","",IF(AND($D47&lt;&gt;"",$E47&lt;&gt;"",$D47&lt;&gt;$E47,$F47&gt;0),"UYGUN","HATA"))</f>
        <v/>
      </c>
      <c r="K47" s="6" t="n"/>
      <c r="L47" s="6" t="n"/>
    </row>
    <row r="48">
      <c r="A48" s="6" t="n"/>
      <c r="B48" s="113">
        <f>IF($C48="","","V"&amp;TEXT(ROW()-6,"00000"))</f>
        <v/>
      </c>
      <c r="C48" s="225" t="n"/>
      <c r="D48" s="108" t="n"/>
      <c r="E48" s="108" t="n"/>
      <c r="F48" s="226" t="n"/>
      <c r="G48" s="109" t="n"/>
      <c r="H48" s="109" t="n"/>
      <c r="I48" s="109" t="n"/>
      <c r="J48" s="113">
        <f>IF($C48="","",IF(AND($D48&lt;&gt;"",$E48&lt;&gt;"",$D48&lt;&gt;$E48,$F48&gt;0),"UYGUN","HATA"))</f>
        <v/>
      </c>
      <c r="K48" s="6" t="n"/>
      <c r="L48" s="6" t="n"/>
    </row>
    <row r="49">
      <c r="A49" s="6" t="n"/>
      <c r="B49" s="113">
        <f>IF($C49="","","V"&amp;TEXT(ROW()-6,"00000"))</f>
        <v/>
      </c>
      <c r="C49" s="225" t="n"/>
      <c r="D49" s="108" t="n"/>
      <c r="E49" s="108" t="n"/>
      <c r="F49" s="226" t="n"/>
      <c r="G49" s="109" t="n"/>
      <c r="H49" s="109" t="n"/>
      <c r="I49" s="109" t="n"/>
      <c r="J49" s="113">
        <f>IF($C49="","",IF(AND($D49&lt;&gt;"",$E49&lt;&gt;"",$D49&lt;&gt;$E49,$F49&gt;0),"UYGUN","HATA"))</f>
        <v/>
      </c>
      <c r="K49" s="6" t="n"/>
      <c r="L49" s="6" t="n"/>
    </row>
    <row r="50">
      <c r="A50" s="6" t="n"/>
      <c r="B50" s="113">
        <f>IF($C50="","","V"&amp;TEXT(ROW()-6,"00000"))</f>
        <v/>
      </c>
      <c r="C50" s="225" t="n"/>
      <c r="D50" s="108" t="n"/>
      <c r="E50" s="108" t="n"/>
      <c r="F50" s="226" t="n"/>
      <c r="G50" s="109" t="n"/>
      <c r="H50" s="109" t="n"/>
      <c r="I50" s="109" t="n"/>
      <c r="J50" s="113">
        <f>IF($C50="","",IF(AND($D50&lt;&gt;"",$E50&lt;&gt;"",$D50&lt;&gt;$E50,$F50&gt;0),"UYGUN","HATA"))</f>
        <v/>
      </c>
      <c r="K50" s="6" t="n"/>
      <c r="L50" s="6" t="n"/>
    </row>
    <row r="51">
      <c r="A51" s="6" t="n"/>
      <c r="B51" s="113">
        <f>IF($C51="","","V"&amp;TEXT(ROW()-6,"00000"))</f>
        <v/>
      </c>
      <c r="C51" s="225" t="n"/>
      <c r="D51" s="108" t="n"/>
      <c r="E51" s="108" t="n"/>
      <c r="F51" s="226" t="n"/>
      <c r="G51" s="109" t="n"/>
      <c r="H51" s="109" t="n"/>
      <c r="I51" s="109" t="n"/>
      <c r="J51" s="113">
        <f>IF($C51="","",IF(AND($D51&lt;&gt;"",$E51&lt;&gt;"",$D51&lt;&gt;$E51,$F51&gt;0),"UYGUN","HATA"))</f>
        <v/>
      </c>
      <c r="K51" s="6" t="n"/>
      <c r="L51" s="6" t="n"/>
    </row>
    <row r="52">
      <c r="A52" s="6" t="n"/>
      <c r="B52" s="113">
        <f>IF($C52="","","V"&amp;TEXT(ROW()-6,"00000"))</f>
        <v/>
      </c>
      <c r="C52" s="225" t="n"/>
      <c r="D52" s="108" t="n"/>
      <c r="E52" s="108" t="n"/>
      <c r="F52" s="226" t="n"/>
      <c r="G52" s="109" t="n"/>
      <c r="H52" s="109" t="n"/>
      <c r="I52" s="109" t="n"/>
      <c r="J52" s="113">
        <f>IF($C52="","",IF(AND($D52&lt;&gt;"",$E52&lt;&gt;"",$D52&lt;&gt;$E52,$F52&gt;0),"UYGUN","HATA"))</f>
        <v/>
      </c>
      <c r="K52" s="6" t="n"/>
      <c r="L52" s="6" t="n"/>
    </row>
    <row r="53">
      <c r="A53" s="6" t="n"/>
      <c r="B53" s="113">
        <f>IF($C53="","","V"&amp;TEXT(ROW()-6,"00000"))</f>
        <v/>
      </c>
      <c r="C53" s="225" t="n"/>
      <c r="D53" s="108" t="n"/>
      <c r="E53" s="108" t="n"/>
      <c r="F53" s="226" t="n"/>
      <c r="G53" s="109" t="n"/>
      <c r="H53" s="109" t="n"/>
      <c r="I53" s="109" t="n"/>
      <c r="J53" s="113">
        <f>IF($C53="","",IF(AND($D53&lt;&gt;"",$E53&lt;&gt;"",$D53&lt;&gt;$E53,$F53&gt;0),"UYGUN","HATA"))</f>
        <v/>
      </c>
      <c r="K53" s="6" t="n"/>
      <c r="L53" s="6" t="n"/>
    </row>
    <row r="54">
      <c r="A54" s="6" t="n"/>
      <c r="B54" s="113">
        <f>IF($C54="","","V"&amp;TEXT(ROW()-6,"00000"))</f>
        <v/>
      </c>
      <c r="C54" s="225" t="n"/>
      <c r="D54" s="108" t="n"/>
      <c r="E54" s="108" t="n"/>
      <c r="F54" s="226" t="n"/>
      <c r="G54" s="109" t="n"/>
      <c r="H54" s="109" t="n"/>
      <c r="I54" s="109" t="n"/>
      <c r="J54" s="113">
        <f>IF($C54="","",IF(AND($D54&lt;&gt;"",$E54&lt;&gt;"",$D54&lt;&gt;$E54,$F54&gt;0),"UYGUN","HATA"))</f>
        <v/>
      </c>
      <c r="K54" s="6" t="n"/>
      <c r="L54" s="6" t="n"/>
    </row>
    <row r="55">
      <c r="A55" s="6" t="n"/>
      <c r="B55" s="113">
        <f>IF($C55="","","V"&amp;TEXT(ROW()-6,"00000"))</f>
        <v/>
      </c>
      <c r="C55" s="225" t="n"/>
      <c r="D55" s="108" t="n"/>
      <c r="E55" s="108" t="n"/>
      <c r="F55" s="226" t="n"/>
      <c r="G55" s="109" t="n"/>
      <c r="H55" s="109" t="n"/>
      <c r="I55" s="109" t="n"/>
      <c r="J55" s="113">
        <f>IF($C55="","",IF(AND($D55&lt;&gt;"",$E55&lt;&gt;"",$D55&lt;&gt;$E55,$F55&gt;0),"UYGUN","HATA"))</f>
        <v/>
      </c>
      <c r="K55" s="6" t="n"/>
      <c r="L55" s="6" t="n"/>
    </row>
    <row r="56">
      <c r="A56" s="6" t="n"/>
      <c r="B56" s="113">
        <f>IF($C56="","","V"&amp;TEXT(ROW()-6,"00000"))</f>
        <v/>
      </c>
      <c r="C56" s="225" t="n"/>
      <c r="D56" s="108" t="n"/>
      <c r="E56" s="108" t="n"/>
      <c r="F56" s="226" t="n"/>
      <c r="G56" s="109" t="n"/>
      <c r="H56" s="109" t="n"/>
      <c r="I56" s="109" t="n"/>
      <c r="J56" s="113">
        <f>IF($C56="","",IF(AND($D56&lt;&gt;"",$E56&lt;&gt;"",$D56&lt;&gt;$E56,$F56&gt;0),"UYGUN","HATA"))</f>
        <v/>
      </c>
      <c r="K56" s="6" t="n"/>
      <c r="L56" s="6" t="n"/>
    </row>
    <row r="57">
      <c r="A57" s="6" t="n"/>
      <c r="B57" s="113">
        <f>IF($C57="","","V"&amp;TEXT(ROW()-6,"00000"))</f>
        <v/>
      </c>
      <c r="C57" s="225" t="n"/>
      <c r="D57" s="108" t="n"/>
      <c r="E57" s="108" t="n"/>
      <c r="F57" s="226" t="n"/>
      <c r="G57" s="109" t="n"/>
      <c r="H57" s="109" t="n"/>
      <c r="I57" s="109" t="n"/>
      <c r="J57" s="113">
        <f>IF($C57="","",IF(AND($D57&lt;&gt;"",$E57&lt;&gt;"",$D57&lt;&gt;$E57,$F57&gt;0),"UYGUN","HATA"))</f>
        <v/>
      </c>
      <c r="K57" s="6" t="n"/>
      <c r="L57" s="6" t="n"/>
    </row>
    <row r="58">
      <c r="A58" s="6" t="n"/>
      <c r="B58" s="113">
        <f>IF($C58="","","V"&amp;TEXT(ROW()-6,"00000"))</f>
        <v/>
      </c>
      <c r="C58" s="225" t="n"/>
      <c r="D58" s="108" t="n"/>
      <c r="E58" s="108" t="n"/>
      <c r="F58" s="226" t="n"/>
      <c r="G58" s="109" t="n"/>
      <c r="H58" s="109" t="n"/>
      <c r="I58" s="109" t="n"/>
      <c r="J58" s="113">
        <f>IF($C58="","",IF(AND($D58&lt;&gt;"",$E58&lt;&gt;"",$D58&lt;&gt;$E58,$F58&gt;0),"UYGUN","HATA"))</f>
        <v/>
      </c>
      <c r="K58" s="6" t="n"/>
      <c r="L58" s="6" t="n"/>
    </row>
    <row r="59">
      <c r="A59" s="6" t="n"/>
      <c r="B59" s="113">
        <f>IF($C59="","","V"&amp;TEXT(ROW()-6,"00000"))</f>
        <v/>
      </c>
      <c r="C59" s="225" t="n"/>
      <c r="D59" s="108" t="n"/>
      <c r="E59" s="108" t="n"/>
      <c r="F59" s="226" t="n"/>
      <c r="G59" s="109" t="n"/>
      <c r="H59" s="109" t="n"/>
      <c r="I59" s="109" t="n"/>
      <c r="J59" s="113">
        <f>IF($C59="","",IF(AND($D59&lt;&gt;"",$E59&lt;&gt;"",$D59&lt;&gt;$E59,$F59&gt;0),"UYGUN","HATA"))</f>
        <v/>
      </c>
      <c r="K59" s="6" t="n"/>
      <c r="L59" s="6" t="n"/>
    </row>
    <row r="60">
      <c r="A60" s="6" t="n"/>
      <c r="B60" s="113">
        <f>IF($C60="","","V"&amp;TEXT(ROW()-6,"00000"))</f>
        <v/>
      </c>
      <c r="C60" s="225" t="n"/>
      <c r="D60" s="108" t="n"/>
      <c r="E60" s="108" t="n"/>
      <c r="F60" s="226" t="n"/>
      <c r="G60" s="109" t="n"/>
      <c r="H60" s="109" t="n"/>
      <c r="I60" s="109" t="n"/>
      <c r="J60" s="113">
        <f>IF($C60="","",IF(AND($D60&lt;&gt;"",$E60&lt;&gt;"",$D60&lt;&gt;$E60,$F60&gt;0),"UYGUN","HATA"))</f>
        <v/>
      </c>
      <c r="K60" s="6" t="n"/>
      <c r="L60" s="6" t="n"/>
    </row>
    <row r="61">
      <c r="A61" s="6" t="n"/>
      <c r="B61" s="113">
        <f>IF($C61="","","V"&amp;TEXT(ROW()-6,"00000"))</f>
        <v/>
      </c>
      <c r="C61" s="225" t="n"/>
      <c r="D61" s="108" t="n"/>
      <c r="E61" s="108" t="n"/>
      <c r="F61" s="226" t="n"/>
      <c r="G61" s="109" t="n"/>
      <c r="H61" s="109" t="n"/>
      <c r="I61" s="109" t="n"/>
      <c r="J61" s="113">
        <f>IF($C61="","",IF(AND($D61&lt;&gt;"",$E61&lt;&gt;"",$D61&lt;&gt;$E61,$F61&gt;0),"UYGUN","HATA"))</f>
        <v/>
      </c>
      <c r="K61" s="6" t="n"/>
      <c r="L61" s="6" t="n"/>
    </row>
    <row r="62">
      <c r="A62" s="6" t="n"/>
      <c r="B62" s="113">
        <f>IF($C62="","","V"&amp;TEXT(ROW()-6,"00000"))</f>
        <v/>
      </c>
      <c r="C62" s="225" t="n"/>
      <c r="D62" s="108" t="n"/>
      <c r="E62" s="108" t="n"/>
      <c r="F62" s="226" t="n"/>
      <c r="G62" s="109" t="n"/>
      <c r="H62" s="109" t="n"/>
      <c r="I62" s="109" t="n"/>
      <c r="J62" s="113">
        <f>IF($C62="","",IF(AND($D62&lt;&gt;"",$E62&lt;&gt;"",$D62&lt;&gt;$E62,$F62&gt;0),"UYGUN","HATA"))</f>
        <v/>
      </c>
      <c r="K62" s="6" t="n"/>
      <c r="L62" s="6" t="n"/>
    </row>
    <row r="63">
      <c r="A63" s="6" t="n"/>
      <c r="B63" s="113">
        <f>IF($C63="","","V"&amp;TEXT(ROW()-6,"00000"))</f>
        <v/>
      </c>
      <c r="C63" s="225" t="n"/>
      <c r="D63" s="108" t="n"/>
      <c r="E63" s="108" t="n"/>
      <c r="F63" s="226" t="n"/>
      <c r="G63" s="109" t="n"/>
      <c r="H63" s="109" t="n"/>
      <c r="I63" s="109" t="n"/>
      <c r="J63" s="113">
        <f>IF($C63="","",IF(AND($D63&lt;&gt;"",$E63&lt;&gt;"",$D63&lt;&gt;$E63,$F63&gt;0),"UYGUN","HATA"))</f>
        <v/>
      </c>
      <c r="K63" s="6" t="n"/>
      <c r="L63" s="6" t="n"/>
    </row>
    <row r="64">
      <c r="A64" s="6" t="n"/>
      <c r="B64" s="113">
        <f>IF($C64="","","V"&amp;TEXT(ROW()-6,"00000"))</f>
        <v/>
      </c>
      <c r="C64" s="225" t="n"/>
      <c r="D64" s="108" t="n"/>
      <c r="E64" s="108" t="n"/>
      <c r="F64" s="226" t="n"/>
      <c r="G64" s="109" t="n"/>
      <c r="H64" s="109" t="n"/>
      <c r="I64" s="109" t="n"/>
      <c r="J64" s="113">
        <f>IF($C64="","",IF(AND($D64&lt;&gt;"",$E64&lt;&gt;"",$D64&lt;&gt;$E64,$F64&gt;0),"UYGUN","HATA"))</f>
        <v/>
      </c>
      <c r="K64" s="6" t="n"/>
      <c r="L64" s="6" t="n"/>
    </row>
    <row r="65">
      <c r="A65" s="6" t="n"/>
      <c r="B65" s="113">
        <f>IF($C65="","","V"&amp;TEXT(ROW()-6,"00000"))</f>
        <v/>
      </c>
      <c r="C65" s="225" t="n"/>
      <c r="D65" s="108" t="n"/>
      <c r="E65" s="108" t="n"/>
      <c r="F65" s="226" t="n"/>
      <c r="G65" s="109" t="n"/>
      <c r="H65" s="109" t="n"/>
      <c r="I65" s="109" t="n"/>
      <c r="J65" s="113">
        <f>IF($C65="","",IF(AND($D65&lt;&gt;"",$E65&lt;&gt;"",$D65&lt;&gt;$E65,$F65&gt;0),"UYGUN","HATA"))</f>
        <v/>
      </c>
      <c r="K65" s="6" t="n"/>
      <c r="L65" s="6" t="n"/>
    </row>
    <row r="66">
      <c r="A66" s="6" t="n"/>
      <c r="B66" s="113">
        <f>IF($C66="","","V"&amp;TEXT(ROW()-6,"00000"))</f>
        <v/>
      </c>
      <c r="C66" s="225" t="n"/>
      <c r="D66" s="108" t="n"/>
      <c r="E66" s="108" t="n"/>
      <c r="F66" s="226" t="n"/>
      <c r="G66" s="109" t="n"/>
      <c r="H66" s="109" t="n"/>
      <c r="I66" s="109" t="n"/>
      <c r="J66" s="113">
        <f>IF($C66="","",IF(AND($D66&lt;&gt;"",$E66&lt;&gt;"",$D66&lt;&gt;$E66,$F66&gt;0),"UYGUN","HATA"))</f>
        <v/>
      </c>
      <c r="K66" s="6" t="n"/>
      <c r="L66" s="6" t="n"/>
    </row>
    <row r="67">
      <c r="A67" s="6" t="n"/>
      <c r="B67" s="113">
        <f>IF($C67="","","V"&amp;TEXT(ROW()-6,"00000"))</f>
        <v/>
      </c>
      <c r="C67" s="225" t="n"/>
      <c r="D67" s="108" t="n"/>
      <c r="E67" s="108" t="n"/>
      <c r="F67" s="226" t="n"/>
      <c r="G67" s="109" t="n"/>
      <c r="H67" s="109" t="n"/>
      <c r="I67" s="109" t="n"/>
      <c r="J67" s="113">
        <f>IF($C67="","",IF(AND($D67&lt;&gt;"",$E67&lt;&gt;"",$D67&lt;&gt;$E67,$F67&gt;0),"UYGUN","HATA"))</f>
        <v/>
      </c>
      <c r="K67" s="6" t="n"/>
      <c r="L67" s="6" t="n"/>
    </row>
    <row r="68">
      <c r="A68" s="6" t="n"/>
      <c r="B68" s="113">
        <f>IF($C68="","","V"&amp;TEXT(ROW()-6,"00000"))</f>
        <v/>
      </c>
      <c r="C68" s="225" t="n"/>
      <c r="D68" s="108" t="n"/>
      <c r="E68" s="108" t="n"/>
      <c r="F68" s="226" t="n"/>
      <c r="G68" s="109" t="n"/>
      <c r="H68" s="109" t="n"/>
      <c r="I68" s="109" t="n"/>
      <c r="J68" s="113">
        <f>IF($C68="","",IF(AND($D68&lt;&gt;"",$E68&lt;&gt;"",$D68&lt;&gt;$E68,$F68&gt;0),"UYGUN","HATA"))</f>
        <v/>
      </c>
      <c r="K68" s="6" t="n"/>
      <c r="L68" s="6" t="n"/>
    </row>
    <row r="69">
      <c r="A69" s="6" t="n"/>
      <c r="B69" s="113">
        <f>IF($C69="","","V"&amp;TEXT(ROW()-6,"00000"))</f>
        <v/>
      </c>
      <c r="C69" s="225" t="n"/>
      <c r="D69" s="108" t="n"/>
      <c r="E69" s="108" t="n"/>
      <c r="F69" s="226" t="n"/>
      <c r="G69" s="109" t="n"/>
      <c r="H69" s="109" t="n"/>
      <c r="I69" s="109" t="n"/>
      <c r="J69" s="113">
        <f>IF($C69="","",IF(AND($D69&lt;&gt;"",$E69&lt;&gt;"",$D69&lt;&gt;$E69,$F69&gt;0),"UYGUN","HATA"))</f>
        <v/>
      </c>
      <c r="K69" s="6" t="n"/>
      <c r="L69" s="6" t="n"/>
    </row>
    <row r="70">
      <c r="A70" s="6" t="n"/>
      <c r="B70" s="113">
        <f>IF($C70="","","V"&amp;TEXT(ROW()-6,"00000"))</f>
        <v/>
      </c>
      <c r="C70" s="225" t="n"/>
      <c r="D70" s="108" t="n"/>
      <c r="E70" s="108" t="n"/>
      <c r="F70" s="226" t="n"/>
      <c r="G70" s="109" t="n"/>
      <c r="H70" s="109" t="n"/>
      <c r="I70" s="109" t="n"/>
      <c r="J70" s="113">
        <f>IF($C70="","",IF(AND($D70&lt;&gt;"",$E70&lt;&gt;"",$D70&lt;&gt;$E70,$F70&gt;0),"UYGUN","HATA"))</f>
        <v/>
      </c>
      <c r="K70" s="6" t="n"/>
      <c r="L70" s="6" t="n"/>
    </row>
    <row r="71">
      <c r="A71" s="6" t="n"/>
      <c r="B71" s="113">
        <f>IF($C71="","","V"&amp;TEXT(ROW()-6,"00000"))</f>
        <v/>
      </c>
      <c r="C71" s="225" t="n"/>
      <c r="D71" s="108" t="n"/>
      <c r="E71" s="108" t="n"/>
      <c r="F71" s="226" t="n"/>
      <c r="G71" s="109" t="n"/>
      <c r="H71" s="109" t="n"/>
      <c r="I71" s="109" t="n"/>
      <c r="J71" s="113">
        <f>IF($C71="","",IF(AND($D71&lt;&gt;"",$E71&lt;&gt;"",$D71&lt;&gt;$E71,$F71&gt;0),"UYGUN","HATA"))</f>
        <v/>
      </c>
      <c r="K71" s="6" t="n"/>
      <c r="L71" s="6" t="n"/>
    </row>
    <row r="72">
      <c r="A72" s="6" t="n"/>
      <c r="B72" s="113">
        <f>IF($C72="","","V"&amp;TEXT(ROW()-6,"00000"))</f>
        <v/>
      </c>
      <c r="C72" s="225" t="n"/>
      <c r="D72" s="108" t="n"/>
      <c r="E72" s="108" t="n"/>
      <c r="F72" s="226" t="n"/>
      <c r="G72" s="109" t="n"/>
      <c r="H72" s="109" t="n"/>
      <c r="I72" s="109" t="n"/>
      <c r="J72" s="113">
        <f>IF($C72="","",IF(AND($D72&lt;&gt;"",$E72&lt;&gt;"",$D72&lt;&gt;$E72,$F72&gt;0),"UYGUN","HATA"))</f>
        <v/>
      </c>
      <c r="K72" s="6" t="n"/>
      <c r="L72" s="6" t="n"/>
    </row>
    <row r="73">
      <c r="A73" s="6" t="n"/>
      <c r="B73" s="113">
        <f>IF($C73="","","V"&amp;TEXT(ROW()-6,"00000"))</f>
        <v/>
      </c>
      <c r="C73" s="225" t="n"/>
      <c r="D73" s="108" t="n"/>
      <c r="E73" s="108" t="n"/>
      <c r="F73" s="226" t="n"/>
      <c r="G73" s="109" t="n"/>
      <c r="H73" s="109" t="n"/>
      <c r="I73" s="109" t="n"/>
      <c r="J73" s="113">
        <f>IF($C73="","",IF(AND($D73&lt;&gt;"",$E73&lt;&gt;"",$D73&lt;&gt;$E73,$F73&gt;0),"UYGUN","HATA"))</f>
        <v/>
      </c>
      <c r="K73" s="6" t="n"/>
      <c r="L73" s="6" t="n"/>
    </row>
    <row r="74">
      <c r="A74" s="6" t="n"/>
      <c r="B74" s="113">
        <f>IF($C74="","","V"&amp;TEXT(ROW()-6,"00000"))</f>
        <v/>
      </c>
      <c r="C74" s="225" t="n"/>
      <c r="D74" s="108" t="n"/>
      <c r="E74" s="108" t="n"/>
      <c r="F74" s="226" t="n"/>
      <c r="G74" s="109" t="n"/>
      <c r="H74" s="109" t="n"/>
      <c r="I74" s="109" t="n"/>
      <c r="J74" s="113">
        <f>IF($C74="","",IF(AND($D74&lt;&gt;"",$E74&lt;&gt;"",$D74&lt;&gt;$E74,$F74&gt;0),"UYGUN","HATA"))</f>
        <v/>
      </c>
      <c r="K74" s="6" t="n"/>
      <c r="L74" s="6" t="n"/>
    </row>
    <row r="75">
      <c r="A75" s="6" t="n"/>
      <c r="B75" s="113">
        <f>IF($C75="","","V"&amp;TEXT(ROW()-6,"00000"))</f>
        <v/>
      </c>
      <c r="C75" s="225" t="n"/>
      <c r="D75" s="108" t="n"/>
      <c r="E75" s="108" t="n"/>
      <c r="F75" s="226" t="n"/>
      <c r="G75" s="109" t="n"/>
      <c r="H75" s="109" t="n"/>
      <c r="I75" s="109" t="n"/>
      <c r="J75" s="113">
        <f>IF($C75="","",IF(AND($D75&lt;&gt;"",$E75&lt;&gt;"",$D75&lt;&gt;$E75,$F75&gt;0),"UYGUN","HATA"))</f>
        <v/>
      </c>
      <c r="K75" s="6" t="n"/>
      <c r="L75" s="6" t="n"/>
    </row>
    <row r="76">
      <c r="A76" s="6" t="n"/>
      <c r="B76" s="113">
        <f>IF($C76="","","V"&amp;TEXT(ROW()-6,"00000"))</f>
        <v/>
      </c>
      <c r="C76" s="225" t="n"/>
      <c r="D76" s="108" t="n"/>
      <c r="E76" s="108" t="n"/>
      <c r="F76" s="226" t="n"/>
      <c r="G76" s="109" t="n"/>
      <c r="H76" s="109" t="n"/>
      <c r="I76" s="109" t="n"/>
      <c r="J76" s="113">
        <f>IF($C76="","",IF(AND($D76&lt;&gt;"",$E76&lt;&gt;"",$D76&lt;&gt;$E76,$F76&gt;0),"UYGUN","HATA"))</f>
        <v/>
      </c>
      <c r="K76" s="6" t="n"/>
      <c r="L76" s="6" t="n"/>
    </row>
    <row r="77">
      <c r="A77" s="6" t="n"/>
      <c r="B77" s="113">
        <f>IF($C77="","","V"&amp;TEXT(ROW()-6,"00000"))</f>
        <v/>
      </c>
      <c r="C77" s="225" t="n"/>
      <c r="D77" s="108" t="n"/>
      <c r="E77" s="108" t="n"/>
      <c r="F77" s="226" t="n"/>
      <c r="G77" s="109" t="n"/>
      <c r="H77" s="109" t="n"/>
      <c r="I77" s="109" t="n"/>
      <c r="J77" s="113">
        <f>IF($C77="","",IF(AND($D77&lt;&gt;"",$E77&lt;&gt;"",$D77&lt;&gt;$E77,$F77&gt;0),"UYGUN","HATA"))</f>
        <v/>
      </c>
      <c r="K77" s="6" t="n"/>
      <c r="L77" s="6" t="n"/>
    </row>
    <row r="78">
      <c r="A78" s="6" t="n"/>
      <c r="B78" s="113">
        <f>IF($C78="","","V"&amp;TEXT(ROW()-6,"00000"))</f>
        <v/>
      </c>
      <c r="C78" s="225" t="n"/>
      <c r="D78" s="108" t="n"/>
      <c r="E78" s="108" t="n"/>
      <c r="F78" s="226" t="n"/>
      <c r="G78" s="109" t="n"/>
      <c r="H78" s="109" t="n"/>
      <c r="I78" s="109" t="n"/>
      <c r="J78" s="113">
        <f>IF($C78="","",IF(AND($D78&lt;&gt;"",$E78&lt;&gt;"",$D78&lt;&gt;$E78,$F78&gt;0),"UYGUN","HATA"))</f>
        <v/>
      </c>
      <c r="K78" s="6" t="n"/>
      <c r="L78" s="6" t="n"/>
    </row>
    <row r="79">
      <c r="A79" s="6" t="n"/>
      <c r="B79" s="113">
        <f>IF($C79="","","V"&amp;TEXT(ROW()-6,"00000"))</f>
        <v/>
      </c>
      <c r="C79" s="225" t="n"/>
      <c r="D79" s="108" t="n"/>
      <c r="E79" s="108" t="n"/>
      <c r="F79" s="226" t="n"/>
      <c r="G79" s="109" t="n"/>
      <c r="H79" s="109" t="n"/>
      <c r="I79" s="109" t="n"/>
      <c r="J79" s="113">
        <f>IF($C79="","",IF(AND($D79&lt;&gt;"",$E79&lt;&gt;"",$D79&lt;&gt;$E79,$F79&gt;0),"UYGUN","HATA"))</f>
        <v/>
      </c>
      <c r="K79" s="6" t="n"/>
      <c r="L79" s="6" t="n"/>
    </row>
    <row r="80">
      <c r="A80" s="6" t="n"/>
      <c r="B80" s="113">
        <f>IF($C80="","","V"&amp;TEXT(ROW()-6,"00000"))</f>
        <v/>
      </c>
      <c r="C80" s="225" t="n"/>
      <c r="D80" s="108" t="n"/>
      <c r="E80" s="108" t="n"/>
      <c r="F80" s="226" t="n"/>
      <c r="G80" s="109" t="n"/>
      <c r="H80" s="109" t="n"/>
      <c r="I80" s="109" t="n"/>
      <c r="J80" s="113">
        <f>IF($C80="","",IF(AND($D80&lt;&gt;"",$E80&lt;&gt;"",$D80&lt;&gt;$E80,$F80&gt;0),"UYGUN","HATA"))</f>
        <v/>
      </c>
      <c r="K80" s="6" t="n"/>
      <c r="L80" s="6" t="n"/>
    </row>
    <row r="81">
      <c r="A81" s="6" t="n"/>
      <c r="B81" s="113">
        <f>IF($C81="","","V"&amp;TEXT(ROW()-6,"00000"))</f>
        <v/>
      </c>
      <c r="C81" s="225" t="n"/>
      <c r="D81" s="108" t="n"/>
      <c r="E81" s="108" t="n"/>
      <c r="F81" s="226" t="n"/>
      <c r="G81" s="109" t="n"/>
      <c r="H81" s="109" t="n"/>
      <c r="I81" s="109" t="n"/>
      <c r="J81" s="113">
        <f>IF($C81="","",IF(AND($D81&lt;&gt;"",$E81&lt;&gt;"",$D81&lt;&gt;$E81,$F81&gt;0),"UYGUN","HATA"))</f>
        <v/>
      </c>
      <c r="K81" s="6" t="n"/>
      <c r="L81" s="6" t="n"/>
    </row>
    <row r="82">
      <c r="A82" s="6" t="n"/>
      <c r="B82" s="113">
        <f>IF($C82="","","V"&amp;TEXT(ROW()-6,"00000"))</f>
        <v/>
      </c>
      <c r="C82" s="225" t="n"/>
      <c r="D82" s="108" t="n"/>
      <c r="E82" s="108" t="n"/>
      <c r="F82" s="226" t="n"/>
      <c r="G82" s="109" t="n"/>
      <c r="H82" s="109" t="n"/>
      <c r="I82" s="109" t="n"/>
      <c r="J82" s="113">
        <f>IF($C82="","",IF(AND($D82&lt;&gt;"",$E82&lt;&gt;"",$D82&lt;&gt;$E82,$F82&gt;0),"UYGUN","HATA"))</f>
        <v/>
      </c>
      <c r="K82" s="6" t="n"/>
      <c r="L82" s="6" t="n"/>
    </row>
    <row r="83">
      <c r="A83" s="6" t="n"/>
      <c r="B83" s="113">
        <f>IF($C83="","","V"&amp;TEXT(ROW()-6,"00000"))</f>
        <v/>
      </c>
      <c r="C83" s="225" t="n"/>
      <c r="D83" s="108" t="n"/>
      <c r="E83" s="108" t="n"/>
      <c r="F83" s="226" t="n"/>
      <c r="G83" s="109" t="n"/>
      <c r="H83" s="109" t="n"/>
      <c r="I83" s="109" t="n"/>
      <c r="J83" s="113">
        <f>IF($C83="","",IF(AND($D83&lt;&gt;"",$E83&lt;&gt;"",$D83&lt;&gt;$E83,$F83&gt;0),"UYGUN","HATA"))</f>
        <v/>
      </c>
      <c r="K83" s="6" t="n"/>
      <c r="L83" s="6" t="n"/>
    </row>
    <row r="84">
      <c r="A84" s="6" t="n"/>
      <c r="B84" s="113">
        <f>IF($C84="","","V"&amp;TEXT(ROW()-6,"00000"))</f>
        <v/>
      </c>
      <c r="C84" s="225" t="n"/>
      <c r="D84" s="108" t="n"/>
      <c r="E84" s="108" t="n"/>
      <c r="F84" s="226" t="n"/>
      <c r="G84" s="109" t="n"/>
      <c r="H84" s="109" t="n"/>
      <c r="I84" s="109" t="n"/>
      <c r="J84" s="113">
        <f>IF($C84="","",IF(AND($D84&lt;&gt;"",$E84&lt;&gt;"",$D84&lt;&gt;$E84,$F84&gt;0),"UYGUN","HATA"))</f>
        <v/>
      </c>
      <c r="K84" s="6" t="n"/>
      <c r="L84" s="6" t="n"/>
    </row>
    <row r="85">
      <c r="A85" s="6" t="n"/>
      <c r="B85" s="113">
        <f>IF($C85="","","V"&amp;TEXT(ROW()-6,"00000"))</f>
        <v/>
      </c>
      <c r="C85" s="225" t="n"/>
      <c r="D85" s="108" t="n"/>
      <c r="E85" s="108" t="n"/>
      <c r="F85" s="226" t="n"/>
      <c r="G85" s="109" t="n"/>
      <c r="H85" s="109" t="n"/>
      <c r="I85" s="109" t="n"/>
      <c r="J85" s="113">
        <f>IF($C85="","",IF(AND($D85&lt;&gt;"",$E85&lt;&gt;"",$D85&lt;&gt;$E85,$F85&gt;0),"UYGUN","HATA"))</f>
        <v/>
      </c>
      <c r="K85" s="6" t="n"/>
      <c r="L85" s="6" t="n"/>
    </row>
    <row r="86">
      <c r="A86" s="6" t="n"/>
      <c r="B86" s="113">
        <f>IF($C86="","","V"&amp;TEXT(ROW()-6,"00000"))</f>
        <v/>
      </c>
      <c r="C86" s="225" t="n"/>
      <c r="D86" s="108" t="n"/>
      <c r="E86" s="108" t="n"/>
      <c r="F86" s="226" t="n"/>
      <c r="G86" s="109" t="n"/>
      <c r="H86" s="109" t="n"/>
      <c r="I86" s="109" t="n"/>
      <c r="J86" s="113">
        <f>IF($C86="","",IF(AND($D86&lt;&gt;"",$E86&lt;&gt;"",$D86&lt;&gt;$E86,$F86&gt;0),"UYGUN","HATA"))</f>
        <v/>
      </c>
      <c r="K86" s="6" t="n"/>
      <c r="L86" s="6" t="n"/>
    </row>
    <row r="87">
      <c r="A87" s="6" t="n"/>
      <c r="B87" s="113">
        <f>IF($C87="","","V"&amp;TEXT(ROW()-6,"00000"))</f>
        <v/>
      </c>
      <c r="C87" s="225" t="n"/>
      <c r="D87" s="108" t="n"/>
      <c r="E87" s="108" t="n"/>
      <c r="F87" s="226" t="n"/>
      <c r="G87" s="109" t="n"/>
      <c r="H87" s="109" t="n"/>
      <c r="I87" s="109" t="n"/>
      <c r="J87" s="113">
        <f>IF($C87="","",IF(AND($D87&lt;&gt;"",$E87&lt;&gt;"",$D87&lt;&gt;$E87,$F87&gt;0),"UYGUN","HATA"))</f>
        <v/>
      </c>
      <c r="K87" s="6" t="n"/>
      <c r="L87" s="6" t="n"/>
    </row>
    <row r="88">
      <c r="A88" s="6" t="n"/>
      <c r="B88" s="113">
        <f>IF($C88="","","V"&amp;TEXT(ROW()-6,"00000"))</f>
        <v/>
      </c>
      <c r="C88" s="225" t="n"/>
      <c r="D88" s="108" t="n"/>
      <c r="E88" s="108" t="n"/>
      <c r="F88" s="226" t="n"/>
      <c r="G88" s="109" t="n"/>
      <c r="H88" s="109" t="n"/>
      <c r="I88" s="109" t="n"/>
      <c r="J88" s="113">
        <f>IF($C88="","",IF(AND($D88&lt;&gt;"",$E88&lt;&gt;"",$D88&lt;&gt;$E88,$F88&gt;0),"UYGUN","HATA"))</f>
        <v/>
      </c>
      <c r="K88" s="6" t="n"/>
      <c r="L88" s="6" t="n"/>
    </row>
    <row r="89">
      <c r="A89" s="6" t="n"/>
      <c r="B89" s="113">
        <f>IF($C89="","","V"&amp;TEXT(ROW()-6,"00000"))</f>
        <v/>
      </c>
      <c r="C89" s="225" t="n"/>
      <c r="D89" s="108" t="n"/>
      <c r="E89" s="108" t="n"/>
      <c r="F89" s="226" t="n"/>
      <c r="G89" s="109" t="n"/>
      <c r="H89" s="109" t="n"/>
      <c r="I89" s="109" t="n"/>
      <c r="J89" s="113">
        <f>IF($C89="","",IF(AND($D89&lt;&gt;"",$E89&lt;&gt;"",$D89&lt;&gt;$E89,$F89&gt;0),"UYGUN","HATA"))</f>
        <v/>
      </c>
      <c r="K89" s="6" t="n"/>
      <c r="L89" s="6" t="n"/>
    </row>
    <row r="90">
      <c r="A90" s="6" t="n"/>
      <c r="B90" s="113">
        <f>IF($C90="","","V"&amp;TEXT(ROW()-6,"00000"))</f>
        <v/>
      </c>
      <c r="C90" s="225" t="n"/>
      <c r="D90" s="108" t="n"/>
      <c r="E90" s="108" t="n"/>
      <c r="F90" s="226" t="n"/>
      <c r="G90" s="109" t="n"/>
      <c r="H90" s="109" t="n"/>
      <c r="I90" s="109" t="n"/>
      <c r="J90" s="113">
        <f>IF($C90="","",IF(AND($D90&lt;&gt;"",$E90&lt;&gt;"",$D90&lt;&gt;$E90,$F90&gt;0),"UYGUN","HATA"))</f>
        <v/>
      </c>
      <c r="K90" s="6" t="n"/>
      <c r="L90" s="6" t="n"/>
    </row>
    <row r="91">
      <c r="A91" s="6" t="n"/>
      <c r="B91" s="113">
        <f>IF($C91="","","V"&amp;TEXT(ROW()-6,"00000"))</f>
        <v/>
      </c>
      <c r="C91" s="225" t="n"/>
      <c r="D91" s="108" t="n"/>
      <c r="E91" s="108" t="n"/>
      <c r="F91" s="226" t="n"/>
      <c r="G91" s="109" t="n"/>
      <c r="H91" s="109" t="n"/>
      <c r="I91" s="109" t="n"/>
      <c r="J91" s="113">
        <f>IF($C91="","",IF(AND($D91&lt;&gt;"",$E91&lt;&gt;"",$D91&lt;&gt;$E91,$F91&gt;0),"UYGUN","HATA"))</f>
        <v/>
      </c>
      <c r="K91" s="6" t="n"/>
      <c r="L91" s="6" t="n"/>
    </row>
    <row r="92">
      <c r="A92" s="6" t="n"/>
      <c r="B92" s="113">
        <f>IF($C92="","","V"&amp;TEXT(ROW()-6,"00000"))</f>
        <v/>
      </c>
      <c r="C92" s="225" t="n"/>
      <c r="D92" s="108" t="n"/>
      <c r="E92" s="108" t="n"/>
      <c r="F92" s="226" t="n"/>
      <c r="G92" s="109" t="n"/>
      <c r="H92" s="109" t="n"/>
      <c r="I92" s="109" t="n"/>
      <c r="J92" s="113">
        <f>IF($C92="","",IF(AND($D92&lt;&gt;"",$E92&lt;&gt;"",$D92&lt;&gt;$E92,$F92&gt;0),"UYGUN","HATA"))</f>
        <v/>
      </c>
      <c r="K92" s="6" t="n"/>
      <c r="L92" s="6" t="n"/>
    </row>
    <row r="93">
      <c r="A93" s="6" t="n"/>
      <c r="B93" s="113">
        <f>IF($C93="","","V"&amp;TEXT(ROW()-6,"00000"))</f>
        <v/>
      </c>
      <c r="C93" s="225" t="n"/>
      <c r="D93" s="108" t="n"/>
      <c r="E93" s="108" t="n"/>
      <c r="F93" s="226" t="n"/>
      <c r="G93" s="109" t="n"/>
      <c r="H93" s="109" t="n"/>
      <c r="I93" s="109" t="n"/>
      <c r="J93" s="113">
        <f>IF($C93="","",IF(AND($D93&lt;&gt;"",$E93&lt;&gt;"",$D93&lt;&gt;$E93,$F93&gt;0),"UYGUN","HATA"))</f>
        <v/>
      </c>
      <c r="K93" s="6" t="n"/>
      <c r="L93" s="6" t="n"/>
    </row>
    <row r="94">
      <c r="A94" s="6" t="n"/>
      <c r="B94" s="113">
        <f>IF($C94="","","V"&amp;TEXT(ROW()-6,"00000"))</f>
        <v/>
      </c>
      <c r="C94" s="225" t="n"/>
      <c r="D94" s="108" t="n"/>
      <c r="E94" s="108" t="n"/>
      <c r="F94" s="226" t="n"/>
      <c r="G94" s="109" t="n"/>
      <c r="H94" s="109" t="n"/>
      <c r="I94" s="109" t="n"/>
      <c r="J94" s="113">
        <f>IF($C94="","",IF(AND($D94&lt;&gt;"",$E94&lt;&gt;"",$D94&lt;&gt;$E94,$F94&gt;0),"UYGUN","HATA"))</f>
        <v/>
      </c>
      <c r="K94" s="6" t="n"/>
      <c r="L94" s="6" t="n"/>
    </row>
    <row r="95">
      <c r="A95" s="6" t="n"/>
      <c r="B95" s="113">
        <f>IF($C95="","","V"&amp;TEXT(ROW()-6,"00000"))</f>
        <v/>
      </c>
      <c r="C95" s="225" t="n"/>
      <c r="D95" s="108" t="n"/>
      <c r="E95" s="108" t="n"/>
      <c r="F95" s="226" t="n"/>
      <c r="G95" s="109" t="n"/>
      <c r="H95" s="109" t="n"/>
      <c r="I95" s="109" t="n"/>
      <c r="J95" s="113">
        <f>IF($C95="","",IF(AND($D95&lt;&gt;"",$E95&lt;&gt;"",$D95&lt;&gt;$E95,$F95&gt;0),"UYGUN","HATA"))</f>
        <v/>
      </c>
      <c r="K95" s="6" t="n"/>
      <c r="L95" s="6" t="n"/>
    </row>
    <row r="96">
      <c r="A96" s="6" t="n"/>
      <c r="B96" s="113">
        <f>IF($C96="","","V"&amp;TEXT(ROW()-6,"00000"))</f>
        <v/>
      </c>
      <c r="C96" s="225" t="n"/>
      <c r="D96" s="108" t="n"/>
      <c r="E96" s="108" t="n"/>
      <c r="F96" s="226" t="n"/>
      <c r="G96" s="109" t="n"/>
      <c r="H96" s="109" t="n"/>
      <c r="I96" s="109" t="n"/>
      <c r="J96" s="113">
        <f>IF($C96="","",IF(AND($D96&lt;&gt;"",$E96&lt;&gt;"",$D96&lt;&gt;$E96,$F96&gt;0),"UYGUN","HATA"))</f>
        <v/>
      </c>
      <c r="K96" s="6" t="n"/>
      <c r="L96" s="6" t="n"/>
    </row>
    <row r="97">
      <c r="A97" s="6" t="n"/>
      <c r="B97" s="113">
        <f>IF($C97="","","V"&amp;TEXT(ROW()-6,"00000"))</f>
        <v/>
      </c>
      <c r="C97" s="225" t="n"/>
      <c r="D97" s="108" t="n"/>
      <c r="E97" s="108" t="n"/>
      <c r="F97" s="226" t="n"/>
      <c r="G97" s="109" t="n"/>
      <c r="H97" s="109" t="n"/>
      <c r="I97" s="109" t="n"/>
      <c r="J97" s="113">
        <f>IF($C97="","",IF(AND($D97&lt;&gt;"",$E97&lt;&gt;"",$D97&lt;&gt;$E97,$F97&gt;0),"UYGUN","HATA"))</f>
        <v/>
      </c>
      <c r="K97" s="6" t="n"/>
      <c r="L97" s="6" t="n"/>
    </row>
    <row r="98">
      <c r="A98" s="6" t="n"/>
      <c r="B98" s="113">
        <f>IF($C98="","","V"&amp;TEXT(ROW()-6,"00000"))</f>
        <v/>
      </c>
      <c r="C98" s="225" t="n"/>
      <c r="D98" s="108" t="n"/>
      <c r="E98" s="108" t="n"/>
      <c r="F98" s="226" t="n"/>
      <c r="G98" s="109" t="n"/>
      <c r="H98" s="109" t="n"/>
      <c r="I98" s="109" t="n"/>
      <c r="J98" s="113">
        <f>IF($C98="","",IF(AND($D98&lt;&gt;"",$E98&lt;&gt;"",$D98&lt;&gt;$E98,$F98&gt;0),"UYGUN","HATA"))</f>
        <v/>
      </c>
      <c r="K98" s="6" t="n"/>
      <c r="L98" s="6" t="n"/>
    </row>
    <row r="99">
      <c r="A99" s="6" t="n"/>
      <c r="B99" s="113">
        <f>IF($C99="","","V"&amp;TEXT(ROW()-6,"00000"))</f>
        <v/>
      </c>
      <c r="C99" s="225" t="n"/>
      <c r="D99" s="108" t="n"/>
      <c r="E99" s="108" t="n"/>
      <c r="F99" s="226" t="n"/>
      <c r="G99" s="109" t="n"/>
      <c r="H99" s="109" t="n"/>
      <c r="I99" s="109" t="n"/>
      <c r="J99" s="113">
        <f>IF($C99="","",IF(AND($D99&lt;&gt;"",$E99&lt;&gt;"",$D99&lt;&gt;$E99,$F99&gt;0),"UYGUN","HATA"))</f>
        <v/>
      </c>
      <c r="K99" s="6" t="n"/>
      <c r="L99" s="6" t="n"/>
    </row>
    <row r="100">
      <c r="A100" s="6" t="n"/>
      <c r="B100" s="113">
        <f>IF($C100="","","V"&amp;TEXT(ROW()-6,"00000"))</f>
        <v/>
      </c>
      <c r="C100" s="225" t="n"/>
      <c r="D100" s="108" t="n"/>
      <c r="E100" s="108" t="n"/>
      <c r="F100" s="226" t="n"/>
      <c r="G100" s="109" t="n"/>
      <c r="H100" s="109" t="n"/>
      <c r="I100" s="109" t="n"/>
      <c r="J100" s="113">
        <f>IF($C100="","",IF(AND($D100&lt;&gt;"",$E100&lt;&gt;"",$D100&lt;&gt;$E100,$F100&gt;0),"UYGUN","HATA"))</f>
        <v/>
      </c>
      <c r="K100" s="6" t="n"/>
      <c r="L100" s="6" t="n"/>
    </row>
    <row r="101">
      <c r="A101" s="6" t="n"/>
      <c r="B101" s="113">
        <f>IF($C101="","","V"&amp;TEXT(ROW()-6,"00000"))</f>
        <v/>
      </c>
      <c r="C101" s="225" t="n"/>
      <c r="D101" s="108" t="n"/>
      <c r="E101" s="108" t="n"/>
      <c r="F101" s="226" t="n"/>
      <c r="G101" s="109" t="n"/>
      <c r="H101" s="109" t="n"/>
      <c r="I101" s="109" t="n"/>
      <c r="J101" s="113">
        <f>IF($C101="","",IF(AND($D101&lt;&gt;"",$E101&lt;&gt;"",$D101&lt;&gt;$E101,$F101&gt;0),"UYGUN","HATA"))</f>
        <v/>
      </c>
      <c r="K101" s="6" t="n"/>
      <c r="L101" s="6" t="n"/>
    </row>
    <row r="102">
      <c r="A102" s="6" t="n"/>
      <c r="B102" s="113">
        <f>IF($C102="","","V"&amp;TEXT(ROW()-6,"00000"))</f>
        <v/>
      </c>
      <c r="C102" s="225" t="n"/>
      <c r="D102" s="108" t="n"/>
      <c r="E102" s="108" t="n"/>
      <c r="F102" s="226" t="n"/>
      <c r="G102" s="109" t="n"/>
      <c r="H102" s="109" t="n"/>
      <c r="I102" s="109" t="n"/>
      <c r="J102" s="113">
        <f>IF($C102="","",IF(AND($D102&lt;&gt;"",$E102&lt;&gt;"",$D102&lt;&gt;$E102,$F102&gt;0),"UYGUN","HATA"))</f>
        <v/>
      </c>
      <c r="K102" s="6" t="n"/>
      <c r="L102" s="6" t="n"/>
    </row>
    <row r="103">
      <c r="A103" s="6" t="n"/>
      <c r="B103" s="113">
        <f>IF($C103="","","V"&amp;TEXT(ROW()-6,"00000"))</f>
        <v/>
      </c>
      <c r="C103" s="225" t="n"/>
      <c r="D103" s="108" t="n"/>
      <c r="E103" s="108" t="n"/>
      <c r="F103" s="226" t="n"/>
      <c r="G103" s="109" t="n"/>
      <c r="H103" s="109" t="n"/>
      <c r="I103" s="109" t="n"/>
      <c r="J103" s="113">
        <f>IF($C103="","",IF(AND($D103&lt;&gt;"",$E103&lt;&gt;"",$D103&lt;&gt;$E103,$F103&gt;0),"UYGUN","HATA"))</f>
        <v/>
      </c>
      <c r="K103" s="6" t="n"/>
      <c r="L103" s="6" t="n"/>
    </row>
    <row r="104">
      <c r="A104" s="6" t="n"/>
      <c r="B104" s="113">
        <f>IF($C104="","","V"&amp;TEXT(ROW()-6,"00000"))</f>
        <v/>
      </c>
      <c r="C104" s="225" t="n"/>
      <c r="D104" s="108" t="n"/>
      <c r="E104" s="108" t="n"/>
      <c r="F104" s="226" t="n"/>
      <c r="G104" s="109" t="n"/>
      <c r="H104" s="109" t="n"/>
      <c r="I104" s="109" t="n"/>
      <c r="J104" s="113">
        <f>IF($C104="","",IF(AND($D104&lt;&gt;"",$E104&lt;&gt;"",$D104&lt;&gt;$E104,$F104&gt;0),"UYGUN","HATA"))</f>
        <v/>
      </c>
      <c r="K104" s="6" t="n"/>
      <c r="L104" s="6" t="n"/>
    </row>
    <row r="105">
      <c r="A105" s="6" t="n"/>
      <c r="B105" s="113">
        <f>IF($C105="","","V"&amp;TEXT(ROW()-6,"00000"))</f>
        <v/>
      </c>
      <c r="C105" s="225" t="n"/>
      <c r="D105" s="108" t="n"/>
      <c r="E105" s="108" t="n"/>
      <c r="F105" s="226" t="n"/>
      <c r="G105" s="109" t="n"/>
      <c r="H105" s="109" t="n"/>
      <c r="I105" s="109" t="n"/>
      <c r="J105" s="113">
        <f>IF($C105="","",IF(AND($D105&lt;&gt;"",$E105&lt;&gt;"",$D105&lt;&gt;$E105,$F105&gt;0),"UYGUN","HATA"))</f>
        <v/>
      </c>
      <c r="K105" s="6" t="n"/>
      <c r="L105" s="6" t="n"/>
    </row>
    <row r="106">
      <c r="A106" s="6" t="n"/>
      <c r="B106" s="113">
        <f>IF($C106="","","V"&amp;TEXT(ROW()-6,"00000"))</f>
        <v/>
      </c>
      <c r="C106" s="225" t="n"/>
      <c r="D106" s="108" t="n"/>
      <c r="E106" s="108" t="n"/>
      <c r="F106" s="226" t="n"/>
      <c r="G106" s="109" t="n"/>
      <c r="H106" s="109" t="n"/>
      <c r="I106" s="109" t="n"/>
      <c r="J106" s="113">
        <f>IF($C106="","",IF(AND($D106&lt;&gt;"",$E106&lt;&gt;"",$D106&lt;&gt;$E106,$F106&gt;0),"UYGUN","HATA"))</f>
        <v/>
      </c>
      <c r="K106" s="6" t="n"/>
      <c r="L106" s="6" t="n"/>
    </row>
    <row r="107">
      <c r="A107" s="6" t="n"/>
      <c r="B107" s="113">
        <f>IF($C107="","","V"&amp;TEXT(ROW()-6,"00000"))</f>
        <v/>
      </c>
      <c r="C107" s="225" t="n"/>
      <c r="D107" s="108" t="n"/>
      <c r="E107" s="108" t="n"/>
      <c r="F107" s="226" t="n"/>
      <c r="G107" s="109" t="n"/>
      <c r="H107" s="109" t="n"/>
      <c r="I107" s="109" t="n"/>
      <c r="J107" s="113">
        <f>IF($C107="","",IF(AND($D107&lt;&gt;"",$E107&lt;&gt;"",$D107&lt;&gt;$E107,$F107&gt;0),"UYGUN","HATA"))</f>
        <v/>
      </c>
      <c r="K107" s="6" t="n"/>
      <c r="L107" s="6" t="n"/>
    </row>
    <row r="108">
      <c r="A108" s="6" t="n"/>
      <c r="B108" s="113">
        <f>IF($C108="","","V"&amp;TEXT(ROW()-6,"00000"))</f>
        <v/>
      </c>
      <c r="C108" s="225" t="n"/>
      <c r="D108" s="108" t="n"/>
      <c r="E108" s="108" t="n"/>
      <c r="F108" s="226" t="n"/>
      <c r="G108" s="109" t="n"/>
      <c r="H108" s="109" t="n"/>
      <c r="I108" s="109" t="n"/>
      <c r="J108" s="113">
        <f>IF($C108="","",IF(AND($D108&lt;&gt;"",$E108&lt;&gt;"",$D108&lt;&gt;$E108,$F108&gt;0),"UYGUN","HATA"))</f>
        <v/>
      </c>
      <c r="K108" s="6" t="n"/>
      <c r="L108" s="6" t="n"/>
    </row>
    <row r="109">
      <c r="A109" s="6" t="n"/>
      <c r="B109" s="113">
        <f>IF($C109="","","V"&amp;TEXT(ROW()-6,"00000"))</f>
        <v/>
      </c>
      <c r="C109" s="225" t="n"/>
      <c r="D109" s="108" t="n"/>
      <c r="E109" s="108" t="n"/>
      <c r="F109" s="226" t="n"/>
      <c r="G109" s="109" t="n"/>
      <c r="H109" s="109" t="n"/>
      <c r="I109" s="109" t="n"/>
      <c r="J109" s="113">
        <f>IF($C109="","",IF(AND($D109&lt;&gt;"",$E109&lt;&gt;"",$D109&lt;&gt;$E109,$F109&gt;0),"UYGUN","HATA"))</f>
        <v/>
      </c>
      <c r="K109" s="6" t="n"/>
      <c r="L109" s="6" t="n"/>
    </row>
    <row r="110">
      <c r="A110" s="6" t="n"/>
      <c r="B110" s="113">
        <f>IF($C110="","","V"&amp;TEXT(ROW()-6,"00000"))</f>
        <v/>
      </c>
      <c r="C110" s="225" t="n"/>
      <c r="D110" s="108" t="n"/>
      <c r="E110" s="108" t="n"/>
      <c r="F110" s="226" t="n"/>
      <c r="G110" s="109" t="n"/>
      <c r="H110" s="109" t="n"/>
      <c r="I110" s="109" t="n"/>
      <c r="J110" s="113">
        <f>IF($C110="","",IF(AND($D110&lt;&gt;"",$E110&lt;&gt;"",$D110&lt;&gt;$E110,$F110&gt;0),"UYGUN","HATA"))</f>
        <v/>
      </c>
      <c r="K110" s="6" t="n"/>
      <c r="L110" s="6" t="n"/>
    </row>
    <row r="111">
      <c r="A111" s="6" t="n"/>
      <c r="B111" s="113">
        <f>IF($C111="","","V"&amp;TEXT(ROW()-6,"00000"))</f>
        <v/>
      </c>
      <c r="C111" s="225" t="n"/>
      <c r="D111" s="108" t="n"/>
      <c r="E111" s="108" t="n"/>
      <c r="F111" s="226" t="n"/>
      <c r="G111" s="109" t="n"/>
      <c r="H111" s="109" t="n"/>
      <c r="I111" s="109" t="n"/>
      <c r="J111" s="113">
        <f>IF($C111="","",IF(AND($D111&lt;&gt;"",$E111&lt;&gt;"",$D111&lt;&gt;$E111,$F111&gt;0),"UYGUN","HATA"))</f>
        <v/>
      </c>
      <c r="K111" s="6" t="n"/>
      <c r="L111" s="6" t="n"/>
    </row>
    <row r="112">
      <c r="A112" s="6" t="n"/>
      <c r="B112" s="113">
        <f>IF($C112="","","V"&amp;TEXT(ROW()-6,"00000"))</f>
        <v/>
      </c>
      <c r="C112" s="225" t="n"/>
      <c r="D112" s="108" t="n"/>
      <c r="E112" s="108" t="n"/>
      <c r="F112" s="226" t="n"/>
      <c r="G112" s="109" t="n"/>
      <c r="H112" s="109" t="n"/>
      <c r="I112" s="109" t="n"/>
      <c r="J112" s="113">
        <f>IF($C112="","",IF(AND($D112&lt;&gt;"",$E112&lt;&gt;"",$D112&lt;&gt;$E112,$F112&gt;0),"UYGUN","HATA"))</f>
        <v/>
      </c>
      <c r="K112" s="6" t="n"/>
      <c r="L112" s="6" t="n"/>
    </row>
    <row r="113">
      <c r="A113" s="6" t="n"/>
      <c r="B113" s="113">
        <f>IF($C113="","","V"&amp;TEXT(ROW()-6,"00000"))</f>
        <v/>
      </c>
      <c r="C113" s="225" t="n"/>
      <c r="D113" s="108" t="n"/>
      <c r="E113" s="108" t="n"/>
      <c r="F113" s="226" t="n"/>
      <c r="G113" s="109" t="n"/>
      <c r="H113" s="109" t="n"/>
      <c r="I113" s="109" t="n"/>
      <c r="J113" s="113">
        <f>IF($C113="","",IF(AND($D113&lt;&gt;"",$E113&lt;&gt;"",$D113&lt;&gt;$E113,$F113&gt;0),"UYGUN","HATA"))</f>
        <v/>
      </c>
      <c r="K113" s="6" t="n"/>
      <c r="L113" s="6" t="n"/>
    </row>
    <row r="114">
      <c r="A114" s="6" t="n"/>
      <c r="B114" s="113">
        <f>IF($C114="","","V"&amp;TEXT(ROW()-6,"00000"))</f>
        <v/>
      </c>
      <c r="C114" s="225" t="n"/>
      <c r="D114" s="108" t="n"/>
      <c r="E114" s="108" t="n"/>
      <c r="F114" s="226" t="n"/>
      <c r="G114" s="109" t="n"/>
      <c r="H114" s="109" t="n"/>
      <c r="I114" s="109" t="n"/>
      <c r="J114" s="113">
        <f>IF($C114="","",IF(AND($D114&lt;&gt;"",$E114&lt;&gt;"",$D114&lt;&gt;$E114,$F114&gt;0),"UYGUN","HATA"))</f>
        <v/>
      </c>
      <c r="K114" s="6" t="n"/>
      <c r="L114" s="6" t="n"/>
    </row>
    <row r="115">
      <c r="A115" s="6" t="n"/>
      <c r="B115" s="113">
        <f>IF($C115="","","V"&amp;TEXT(ROW()-6,"00000"))</f>
        <v/>
      </c>
      <c r="C115" s="225" t="n"/>
      <c r="D115" s="108" t="n"/>
      <c r="E115" s="108" t="n"/>
      <c r="F115" s="226" t="n"/>
      <c r="G115" s="109" t="n"/>
      <c r="H115" s="109" t="n"/>
      <c r="I115" s="109" t="n"/>
      <c r="J115" s="113">
        <f>IF($C115="","",IF(AND($D115&lt;&gt;"",$E115&lt;&gt;"",$D115&lt;&gt;$E115,$F115&gt;0),"UYGUN","HATA"))</f>
        <v/>
      </c>
      <c r="K115" s="6" t="n"/>
      <c r="L115" s="6" t="n"/>
    </row>
    <row r="116">
      <c r="A116" s="6" t="n"/>
      <c r="B116" s="113">
        <f>IF($C116="","","V"&amp;TEXT(ROW()-6,"00000"))</f>
        <v/>
      </c>
      <c r="C116" s="225" t="n"/>
      <c r="D116" s="108" t="n"/>
      <c r="E116" s="108" t="n"/>
      <c r="F116" s="226" t="n"/>
      <c r="G116" s="109" t="n"/>
      <c r="H116" s="109" t="n"/>
      <c r="I116" s="109" t="n"/>
      <c r="J116" s="113">
        <f>IF($C116="","",IF(AND($D116&lt;&gt;"",$E116&lt;&gt;"",$D116&lt;&gt;$E116,$F116&gt;0),"UYGUN","HATA"))</f>
        <v/>
      </c>
      <c r="K116" s="6" t="n"/>
      <c r="L116" s="6" t="n"/>
    </row>
    <row r="117">
      <c r="A117" s="6" t="n"/>
      <c r="B117" s="113">
        <f>IF($C117="","","V"&amp;TEXT(ROW()-6,"00000"))</f>
        <v/>
      </c>
      <c r="C117" s="225" t="n"/>
      <c r="D117" s="108" t="n"/>
      <c r="E117" s="108" t="n"/>
      <c r="F117" s="226" t="n"/>
      <c r="G117" s="109" t="n"/>
      <c r="H117" s="109" t="n"/>
      <c r="I117" s="109" t="n"/>
      <c r="J117" s="113">
        <f>IF($C117="","",IF(AND($D117&lt;&gt;"",$E117&lt;&gt;"",$D117&lt;&gt;$E117,$F117&gt;0),"UYGUN","HATA"))</f>
        <v/>
      </c>
      <c r="K117" s="6" t="n"/>
      <c r="L117" s="6" t="n"/>
    </row>
    <row r="118">
      <c r="A118" s="6" t="n"/>
      <c r="B118" s="113">
        <f>IF($C118="","","V"&amp;TEXT(ROW()-6,"00000"))</f>
        <v/>
      </c>
      <c r="C118" s="225" t="n"/>
      <c r="D118" s="108" t="n"/>
      <c r="E118" s="108" t="n"/>
      <c r="F118" s="226" t="n"/>
      <c r="G118" s="109" t="n"/>
      <c r="H118" s="109" t="n"/>
      <c r="I118" s="109" t="n"/>
      <c r="J118" s="113">
        <f>IF($C118="","",IF(AND($D118&lt;&gt;"",$E118&lt;&gt;"",$D118&lt;&gt;$E118,$F118&gt;0),"UYGUN","HATA"))</f>
        <v/>
      </c>
      <c r="K118" s="6" t="n"/>
      <c r="L118" s="6" t="n"/>
    </row>
    <row r="119">
      <c r="A119" s="6" t="n"/>
      <c r="B119" s="113">
        <f>IF($C119="","","V"&amp;TEXT(ROW()-6,"00000"))</f>
        <v/>
      </c>
      <c r="C119" s="225" t="n"/>
      <c r="D119" s="108" t="n"/>
      <c r="E119" s="108" t="n"/>
      <c r="F119" s="226" t="n"/>
      <c r="G119" s="109" t="n"/>
      <c r="H119" s="109" t="n"/>
      <c r="I119" s="109" t="n"/>
      <c r="J119" s="113">
        <f>IF($C119="","",IF(AND($D119&lt;&gt;"",$E119&lt;&gt;"",$D119&lt;&gt;$E119,$F119&gt;0),"UYGUN","HATA"))</f>
        <v/>
      </c>
      <c r="K119" s="6" t="n"/>
      <c r="L119" s="6" t="n"/>
    </row>
    <row r="120">
      <c r="A120" s="6" t="n"/>
      <c r="B120" s="113">
        <f>IF($C120="","","V"&amp;TEXT(ROW()-6,"00000"))</f>
        <v/>
      </c>
      <c r="C120" s="225" t="n"/>
      <c r="D120" s="108" t="n"/>
      <c r="E120" s="108" t="n"/>
      <c r="F120" s="226" t="n"/>
      <c r="G120" s="109" t="n"/>
      <c r="H120" s="109" t="n"/>
      <c r="I120" s="109" t="n"/>
      <c r="J120" s="113">
        <f>IF($C120="","",IF(AND($D120&lt;&gt;"",$E120&lt;&gt;"",$D120&lt;&gt;$E120,$F120&gt;0),"UYGUN","HATA"))</f>
        <v/>
      </c>
      <c r="K120" s="6" t="n"/>
      <c r="L120" s="6" t="n"/>
    </row>
    <row r="121">
      <c r="A121" s="6" t="n"/>
      <c r="B121" s="113">
        <f>IF($C121="","","V"&amp;TEXT(ROW()-6,"00000"))</f>
        <v/>
      </c>
      <c r="C121" s="225" t="n"/>
      <c r="D121" s="108" t="n"/>
      <c r="E121" s="108" t="n"/>
      <c r="F121" s="226" t="n"/>
      <c r="G121" s="109" t="n"/>
      <c r="H121" s="109" t="n"/>
      <c r="I121" s="109" t="n"/>
      <c r="J121" s="113">
        <f>IF($C121="","",IF(AND($D121&lt;&gt;"",$E121&lt;&gt;"",$D121&lt;&gt;$E121,$F121&gt;0),"UYGUN","HATA"))</f>
        <v/>
      </c>
      <c r="K121" s="6" t="n"/>
      <c r="L121" s="6" t="n"/>
    </row>
    <row r="122">
      <c r="A122" s="6" t="n"/>
      <c r="B122" s="113">
        <f>IF($C122="","","V"&amp;TEXT(ROW()-6,"00000"))</f>
        <v/>
      </c>
      <c r="C122" s="225" t="n"/>
      <c r="D122" s="108" t="n"/>
      <c r="E122" s="108" t="n"/>
      <c r="F122" s="226" t="n"/>
      <c r="G122" s="109" t="n"/>
      <c r="H122" s="109" t="n"/>
      <c r="I122" s="109" t="n"/>
      <c r="J122" s="113">
        <f>IF($C122="","",IF(AND($D122&lt;&gt;"",$E122&lt;&gt;"",$D122&lt;&gt;$E122,$F122&gt;0),"UYGUN","HATA"))</f>
        <v/>
      </c>
      <c r="K122" s="6" t="n"/>
      <c r="L122" s="6" t="n"/>
    </row>
    <row r="123">
      <c r="A123" s="6" t="n"/>
      <c r="B123" s="113">
        <f>IF($C123="","","V"&amp;TEXT(ROW()-6,"00000"))</f>
        <v/>
      </c>
      <c r="C123" s="225" t="n"/>
      <c r="D123" s="108" t="n"/>
      <c r="E123" s="108" t="n"/>
      <c r="F123" s="226" t="n"/>
      <c r="G123" s="109" t="n"/>
      <c r="H123" s="109" t="n"/>
      <c r="I123" s="109" t="n"/>
      <c r="J123" s="113">
        <f>IF($C123="","",IF(AND($D123&lt;&gt;"",$E123&lt;&gt;"",$D123&lt;&gt;$E123,$F123&gt;0),"UYGUN","HATA"))</f>
        <v/>
      </c>
      <c r="K123" s="6" t="n"/>
      <c r="L123" s="6" t="n"/>
    </row>
    <row r="124">
      <c r="A124" s="6" t="n"/>
      <c r="B124" s="113">
        <f>IF($C124="","","V"&amp;TEXT(ROW()-6,"00000"))</f>
        <v/>
      </c>
      <c r="C124" s="225" t="n"/>
      <c r="D124" s="108" t="n"/>
      <c r="E124" s="108" t="n"/>
      <c r="F124" s="226" t="n"/>
      <c r="G124" s="109" t="n"/>
      <c r="H124" s="109" t="n"/>
      <c r="I124" s="109" t="n"/>
      <c r="J124" s="113">
        <f>IF($C124="","",IF(AND($D124&lt;&gt;"",$E124&lt;&gt;"",$D124&lt;&gt;$E124,$F124&gt;0),"UYGUN","HATA"))</f>
        <v/>
      </c>
      <c r="K124" s="6" t="n"/>
      <c r="L124" s="6" t="n"/>
    </row>
    <row r="125">
      <c r="A125" s="6" t="n"/>
      <c r="B125" s="113">
        <f>IF($C125="","","V"&amp;TEXT(ROW()-6,"00000"))</f>
        <v/>
      </c>
      <c r="C125" s="225" t="n"/>
      <c r="D125" s="108" t="n"/>
      <c r="E125" s="108" t="n"/>
      <c r="F125" s="226" t="n"/>
      <c r="G125" s="109" t="n"/>
      <c r="H125" s="109" t="n"/>
      <c r="I125" s="109" t="n"/>
      <c r="J125" s="113">
        <f>IF($C125="","",IF(AND($D125&lt;&gt;"",$E125&lt;&gt;"",$D125&lt;&gt;$E125,$F125&gt;0),"UYGUN","HATA"))</f>
        <v/>
      </c>
      <c r="K125" s="6" t="n"/>
      <c r="L125" s="6" t="n"/>
    </row>
    <row r="126">
      <c r="A126" s="6" t="n"/>
      <c r="B126" s="113">
        <f>IF($C126="","","V"&amp;TEXT(ROW()-6,"00000"))</f>
        <v/>
      </c>
      <c r="C126" s="225" t="n"/>
      <c r="D126" s="108" t="n"/>
      <c r="E126" s="108" t="n"/>
      <c r="F126" s="226" t="n"/>
      <c r="G126" s="109" t="n"/>
      <c r="H126" s="109" t="n"/>
      <c r="I126" s="109" t="n"/>
      <c r="J126" s="113">
        <f>IF($C126="","",IF(AND($D126&lt;&gt;"",$E126&lt;&gt;"",$D126&lt;&gt;$E126,$F126&gt;0),"UYGUN","HATA"))</f>
        <v/>
      </c>
      <c r="K126" s="6" t="n"/>
      <c r="L126" s="6" t="n"/>
    </row>
    <row r="127">
      <c r="A127" s="6" t="n"/>
      <c r="B127" s="113">
        <f>IF($C127="","","V"&amp;TEXT(ROW()-6,"00000"))</f>
        <v/>
      </c>
      <c r="C127" s="225" t="n"/>
      <c r="D127" s="108" t="n"/>
      <c r="E127" s="108" t="n"/>
      <c r="F127" s="226" t="n"/>
      <c r="G127" s="109" t="n"/>
      <c r="H127" s="109" t="n"/>
      <c r="I127" s="109" t="n"/>
      <c r="J127" s="113">
        <f>IF($C127="","",IF(AND($D127&lt;&gt;"",$E127&lt;&gt;"",$D127&lt;&gt;$E127,$F127&gt;0),"UYGUN","HATA"))</f>
        <v/>
      </c>
      <c r="K127" s="6" t="n"/>
      <c r="L127" s="6" t="n"/>
    </row>
    <row r="128">
      <c r="A128" s="6" t="n"/>
      <c r="B128" s="113">
        <f>IF($C128="","","V"&amp;TEXT(ROW()-6,"00000"))</f>
        <v/>
      </c>
      <c r="C128" s="225" t="n"/>
      <c r="D128" s="108" t="n"/>
      <c r="E128" s="108" t="n"/>
      <c r="F128" s="226" t="n"/>
      <c r="G128" s="109" t="n"/>
      <c r="H128" s="109" t="n"/>
      <c r="I128" s="109" t="n"/>
      <c r="J128" s="113">
        <f>IF($C128="","",IF(AND($D128&lt;&gt;"",$E128&lt;&gt;"",$D128&lt;&gt;$E128,$F128&gt;0),"UYGUN","HATA"))</f>
        <v/>
      </c>
      <c r="K128" s="6" t="n"/>
      <c r="L128" s="6" t="n"/>
    </row>
    <row r="129">
      <c r="A129" s="6" t="n"/>
      <c r="B129" s="113">
        <f>IF($C129="","","V"&amp;TEXT(ROW()-6,"00000"))</f>
        <v/>
      </c>
      <c r="C129" s="225" t="n"/>
      <c r="D129" s="108" t="n"/>
      <c r="E129" s="108" t="n"/>
      <c r="F129" s="226" t="n"/>
      <c r="G129" s="109" t="n"/>
      <c r="H129" s="109" t="n"/>
      <c r="I129" s="109" t="n"/>
      <c r="J129" s="113">
        <f>IF($C129="","",IF(AND($D129&lt;&gt;"",$E129&lt;&gt;"",$D129&lt;&gt;$E129,$F129&gt;0),"UYGUN","HATA"))</f>
        <v/>
      </c>
      <c r="K129" s="6" t="n"/>
      <c r="L129" s="6" t="n"/>
    </row>
    <row r="130">
      <c r="A130" s="6" t="n"/>
      <c r="B130" s="113">
        <f>IF($C130="","","V"&amp;TEXT(ROW()-6,"00000"))</f>
        <v/>
      </c>
      <c r="C130" s="225" t="n"/>
      <c r="D130" s="108" t="n"/>
      <c r="E130" s="108" t="n"/>
      <c r="F130" s="226" t="n"/>
      <c r="G130" s="109" t="n"/>
      <c r="H130" s="109" t="n"/>
      <c r="I130" s="109" t="n"/>
      <c r="J130" s="113">
        <f>IF($C130="","",IF(AND($D130&lt;&gt;"",$E130&lt;&gt;"",$D130&lt;&gt;$E130,$F130&gt;0),"UYGUN","HATA"))</f>
        <v/>
      </c>
      <c r="K130" s="6" t="n"/>
      <c r="L130" s="6" t="n"/>
    </row>
    <row r="131">
      <c r="A131" s="6" t="n"/>
      <c r="B131" s="113">
        <f>IF($C131="","","V"&amp;TEXT(ROW()-6,"00000"))</f>
        <v/>
      </c>
      <c r="C131" s="225" t="n"/>
      <c r="D131" s="108" t="n"/>
      <c r="E131" s="108" t="n"/>
      <c r="F131" s="226" t="n"/>
      <c r="G131" s="109" t="n"/>
      <c r="H131" s="109" t="n"/>
      <c r="I131" s="109" t="n"/>
      <c r="J131" s="113">
        <f>IF($C131="","",IF(AND($D131&lt;&gt;"",$E131&lt;&gt;"",$D131&lt;&gt;$E131,$F131&gt;0),"UYGUN","HATA"))</f>
        <v/>
      </c>
      <c r="K131" s="6" t="n"/>
      <c r="L131" s="6" t="n"/>
    </row>
    <row r="132">
      <c r="A132" s="6" t="n"/>
      <c r="B132" s="113">
        <f>IF($C132="","","V"&amp;TEXT(ROW()-6,"00000"))</f>
        <v/>
      </c>
      <c r="C132" s="225" t="n"/>
      <c r="D132" s="108" t="n"/>
      <c r="E132" s="108" t="n"/>
      <c r="F132" s="226" t="n"/>
      <c r="G132" s="109" t="n"/>
      <c r="H132" s="109" t="n"/>
      <c r="I132" s="109" t="n"/>
      <c r="J132" s="113">
        <f>IF($C132="","",IF(AND($D132&lt;&gt;"",$E132&lt;&gt;"",$D132&lt;&gt;$E132,$F132&gt;0),"UYGUN","HATA"))</f>
        <v/>
      </c>
      <c r="K132" s="6" t="n"/>
      <c r="L132" s="6" t="n"/>
    </row>
    <row r="133">
      <c r="A133" s="6" t="n"/>
      <c r="B133" s="113">
        <f>IF($C133="","","V"&amp;TEXT(ROW()-6,"00000"))</f>
        <v/>
      </c>
      <c r="C133" s="225" t="n"/>
      <c r="D133" s="108" t="n"/>
      <c r="E133" s="108" t="n"/>
      <c r="F133" s="226" t="n"/>
      <c r="G133" s="109" t="n"/>
      <c r="H133" s="109" t="n"/>
      <c r="I133" s="109" t="n"/>
      <c r="J133" s="113">
        <f>IF($C133="","",IF(AND($D133&lt;&gt;"",$E133&lt;&gt;"",$D133&lt;&gt;$E133,$F133&gt;0),"UYGUN","HATA"))</f>
        <v/>
      </c>
      <c r="K133" s="6" t="n"/>
      <c r="L133" s="6" t="n"/>
    </row>
    <row r="134">
      <c r="A134" s="6" t="n"/>
      <c r="B134" s="113">
        <f>IF($C134="","","V"&amp;TEXT(ROW()-6,"00000"))</f>
        <v/>
      </c>
      <c r="C134" s="225" t="n"/>
      <c r="D134" s="108" t="n"/>
      <c r="E134" s="108" t="n"/>
      <c r="F134" s="226" t="n"/>
      <c r="G134" s="109" t="n"/>
      <c r="H134" s="109" t="n"/>
      <c r="I134" s="109" t="n"/>
      <c r="J134" s="113">
        <f>IF($C134="","",IF(AND($D134&lt;&gt;"",$E134&lt;&gt;"",$D134&lt;&gt;$E134,$F134&gt;0),"UYGUN","HATA"))</f>
        <v/>
      </c>
      <c r="K134" s="6" t="n"/>
      <c r="L134" s="6" t="n"/>
    </row>
    <row r="135">
      <c r="A135" s="6" t="n"/>
      <c r="B135" s="113">
        <f>IF($C135="","","V"&amp;TEXT(ROW()-6,"00000"))</f>
        <v/>
      </c>
      <c r="C135" s="225" t="n"/>
      <c r="D135" s="108" t="n"/>
      <c r="E135" s="108" t="n"/>
      <c r="F135" s="226" t="n"/>
      <c r="G135" s="109" t="n"/>
      <c r="H135" s="109" t="n"/>
      <c r="I135" s="109" t="n"/>
      <c r="J135" s="113">
        <f>IF($C135="","",IF(AND($D135&lt;&gt;"",$E135&lt;&gt;"",$D135&lt;&gt;$E135,$F135&gt;0),"UYGUN","HATA"))</f>
        <v/>
      </c>
      <c r="K135" s="6" t="n"/>
      <c r="L135" s="6" t="n"/>
    </row>
    <row r="136">
      <c r="A136" s="6" t="n"/>
      <c r="B136" s="113">
        <f>IF($C136="","","V"&amp;TEXT(ROW()-6,"00000"))</f>
        <v/>
      </c>
      <c r="C136" s="225" t="n"/>
      <c r="D136" s="108" t="n"/>
      <c r="E136" s="108" t="n"/>
      <c r="F136" s="226" t="n"/>
      <c r="G136" s="109" t="n"/>
      <c r="H136" s="109" t="n"/>
      <c r="I136" s="109" t="n"/>
      <c r="J136" s="113">
        <f>IF($C136="","",IF(AND($D136&lt;&gt;"",$E136&lt;&gt;"",$D136&lt;&gt;$E136,$F136&gt;0),"UYGUN","HATA"))</f>
        <v/>
      </c>
      <c r="K136" s="6" t="n"/>
      <c r="L136" s="6" t="n"/>
    </row>
    <row r="137">
      <c r="A137" s="6" t="n"/>
      <c r="B137" s="113">
        <f>IF($C137="","","V"&amp;TEXT(ROW()-6,"00000"))</f>
        <v/>
      </c>
      <c r="C137" s="225" t="n"/>
      <c r="D137" s="108" t="n"/>
      <c r="E137" s="108" t="n"/>
      <c r="F137" s="226" t="n"/>
      <c r="G137" s="109" t="n"/>
      <c r="H137" s="109" t="n"/>
      <c r="I137" s="109" t="n"/>
      <c r="J137" s="113">
        <f>IF($C137="","",IF(AND($D137&lt;&gt;"",$E137&lt;&gt;"",$D137&lt;&gt;$E137,$F137&gt;0),"UYGUN","HATA"))</f>
        <v/>
      </c>
      <c r="K137" s="6" t="n"/>
      <c r="L137" s="6" t="n"/>
    </row>
    <row r="138">
      <c r="A138" s="6" t="n"/>
      <c r="B138" s="113">
        <f>IF($C138="","","V"&amp;TEXT(ROW()-6,"00000"))</f>
        <v/>
      </c>
      <c r="C138" s="225" t="n"/>
      <c r="D138" s="108" t="n"/>
      <c r="E138" s="108" t="n"/>
      <c r="F138" s="226" t="n"/>
      <c r="G138" s="109" t="n"/>
      <c r="H138" s="109" t="n"/>
      <c r="I138" s="109" t="n"/>
      <c r="J138" s="113">
        <f>IF($C138="","",IF(AND($D138&lt;&gt;"",$E138&lt;&gt;"",$D138&lt;&gt;$E138,$F138&gt;0),"UYGUN","HATA"))</f>
        <v/>
      </c>
      <c r="K138" s="6" t="n"/>
      <c r="L138" s="6" t="n"/>
    </row>
    <row r="139">
      <c r="A139" s="6" t="n"/>
      <c r="B139" s="113">
        <f>IF($C139="","","V"&amp;TEXT(ROW()-6,"00000"))</f>
        <v/>
      </c>
      <c r="C139" s="225" t="n"/>
      <c r="D139" s="108" t="n"/>
      <c r="E139" s="108" t="n"/>
      <c r="F139" s="226" t="n"/>
      <c r="G139" s="109" t="n"/>
      <c r="H139" s="109" t="n"/>
      <c r="I139" s="109" t="n"/>
      <c r="J139" s="113">
        <f>IF($C139="","",IF(AND($D139&lt;&gt;"",$E139&lt;&gt;"",$D139&lt;&gt;$E139,$F139&gt;0),"UYGUN","HATA"))</f>
        <v/>
      </c>
      <c r="K139" s="6" t="n"/>
      <c r="L139" s="6" t="n"/>
    </row>
    <row r="140">
      <c r="A140" s="6" t="n"/>
      <c r="B140" s="113">
        <f>IF($C140="","","V"&amp;TEXT(ROW()-6,"00000"))</f>
        <v/>
      </c>
      <c r="C140" s="225" t="n"/>
      <c r="D140" s="108" t="n"/>
      <c r="E140" s="108" t="n"/>
      <c r="F140" s="226" t="n"/>
      <c r="G140" s="109" t="n"/>
      <c r="H140" s="109" t="n"/>
      <c r="I140" s="109" t="n"/>
      <c r="J140" s="113">
        <f>IF($C140="","",IF(AND($D140&lt;&gt;"",$E140&lt;&gt;"",$D140&lt;&gt;$E140,$F140&gt;0),"UYGUN","HATA"))</f>
        <v/>
      </c>
      <c r="K140" s="6" t="n"/>
      <c r="L140" s="6" t="n"/>
    </row>
    <row r="141">
      <c r="A141" s="6" t="n"/>
      <c r="B141" s="113">
        <f>IF($C141="","","V"&amp;TEXT(ROW()-6,"00000"))</f>
        <v/>
      </c>
      <c r="C141" s="225" t="n"/>
      <c r="D141" s="108" t="n"/>
      <c r="E141" s="108" t="n"/>
      <c r="F141" s="226" t="n"/>
      <c r="G141" s="109" t="n"/>
      <c r="H141" s="109" t="n"/>
      <c r="I141" s="109" t="n"/>
      <c r="J141" s="113">
        <f>IF($C141="","",IF(AND($D141&lt;&gt;"",$E141&lt;&gt;"",$D141&lt;&gt;$E141,$F141&gt;0),"UYGUN","HATA"))</f>
        <v/>
      </c>
      <c r="K141" s="6" t="n"/>
      <c r="L141" s="6" t="n"/>
    </row>
    <row r="142">
      <c r="A142" s="6" t="n"/>
      <c r="B142" s="113">
        <f>IF($C142="","","V"&amp;TEXT(ROW()-6,"00000"))</f>
        <v/>
      </c>
      <c r="C142" s="225" t="n"/>
      <c r="D142" s="108" t="n"/>
      <c r="E142" s="108" t="n"/>
      <c r="F142" s="226" t="n"/>
      <c r="G142" s="109" t="n"/>
      <c r="H142" s="109" t="n"/>
      <c r="I142" s="109" t="n"/>
      <c r="J142" s="113">
        <f>IF($C142="","",IF(AND($D142&lt;&gt;"",$E142&lt;&gt;"",$D142&lt;&gt;$E142,$F142&gt;0),"UYGUN","HATA"))</f>
        <v/>
      </c>
      <c r="K142" s="6" t="n"/>
      <c r="L142" s="6" t="n"/>
    </row>
    <row r="143">
      <c r="A143" s="6" t="n"/>
      <c r="B143" s="113">
        <f>IF($C143="","","V"&amp;TEXT(ROW()-6,"00000"))</f>
        <v/>
      </c>
      <c r="C143" s="225" t="n"/>
      <c r="D143" s="108" t="n"/>
      <c r="E143" s="108" t="n"/>
      <c r="F143" s="226" t="n"/>
      <c r="G143" s="109" t="n"/>
      <c r="H143" s="109" t="n"/>
      <c r="I143" s="109" t="n"/>
      <c r="J143" s="113">
        <f>IF($C143="","",IF(AND($D143&lt;&gt;"",$E143&lt;&gt;"",$D143&lt;&gt;$E143,$F143&gt;0),"UYGUN","HATA"))</f>
        <v/>
      </c>
      <c r="K143" s="6" t="n"/>
      <c r="L143" s="6" t="n"/>
    </row>
    <row r="144">
      <c r="A144" s="6" t="n"/>
      <c r="B144" s="113">
        <f>IF($C144="","","V"&amp;TEXT(ROW()-6,"00000"))</f>
        <v/>
      </c>
      <c r="C144" s="225" t="n"/>
      <c r="D144" s="108" t="n"/>
      <c r="E144" s="108" t="n"/>
      <c r="F144" s="226" t="n"/>
      <c r="G144" s="109" t="n"/>
      <c r="H144" s="109" t="n"/>
      <c r="I144" s="109" t="n"/>
      <c r="J144" s="113">
        <f>IF($C144="","",IF(AND($D144&lt;&gt;"",$E144&lt;&gt;"",$D144&lt;&gt;$E144,$F144&gt;0),"UYGUN","HATA"))</f>
        <v/>
      </c>
      <c r="K144" s="6" t="n"/>
      <c r="L144" s="6" t="n"/>
    </row>
    <row r="145">
      <c r="A145" s="6" t="n"/>
      <c r="B145" s="113">
        <f>IF($C145="","","V"&amp;TEXT(ROW()-6,"00000"))</f>
        <v/>
      </c>
      <c r="C145" s="225" t="n"/>
      <c r="D145" s="108" t="n"/>
      <c r="E145" s="108" t="n"/>
      <c r="F145" s="226" t="n"/>
      <c r="G145" s="109" t="n"/>
      <c r="H145" s="109" t="n"/>
      <c r="I145" s="109" t="n"/>
      <c r="J145" s="113">
        <f>IF($C145="","",IF(AND($D145&lt;&gt;"",$E145&lt;&gt;"",$D145&lt;&gt;$E145,$F145&gt;0),"UYGUN","HATA"))</f>
        <v/>
      </c>
      <c r="K145" s="6" t="n"/>
      <c r="L145" s="6" t="n"/>
    </row>
    <row r="146">
      <c r="A146" s="6" t="n"/>
      <c r="B146" s="113">
        <f>IF($C146="","","V"&amp;TEXT(ROW()-6,"00000"))</f>
        <v/>
      </c>
      <c r="C146" s="225" t="n"/>
      <c r="D146" s="108" t="n"/>
      <c r="E146" s="108" t="n"/>
      <c r="F146" s="226" t="n"/>
      <c r="G146" s="109" t="n"/>
      <c r="H146" s="109" t="n"/>
      <c r="I146" s="109" t="n"/>
      <c r="J146" s="113">
        <f>IF($C146="","",IF(AND($D146&lt;&gt;"",$E146&lt;&gt;"",$D146&lt;&gt;$E146,$F146&gt;0),"UYGUN","HATA"))</f>
        <v/>
      </c>
      <c r="K146" s="6" t="n"/>
      <c r="L146" s="6" t="n"/>
    </row>
    <row r="147">
      <c r="A147" s="6" t="n"/>
      <c r="B147" s="113">
        <f>IF($C147="","","V"&amp;TEXT(ROW()-6,"00000"))</f>
        <v/>
      </c>
      <c r="C147" s="225" t="n"/>
      <c r="D147" s="108" t="n"/>
      <c r="E147" s="108" t="n"/>
      <c r="F147" s="226" t="n"/>
      <c r="G147" s="109" t="n"/>
      <c r="H147" s="109" t="n"/>
      <c r="I147" s="109" t="n"/>
      <c r="J147" s="113">
        <f>IF($C147="","",IF(AND($D147&lt;&gt;"",$E147&lt;&gt;"",$D147&lt;&gt;$E147,$F147&gt;0),"UYGUN","HATA"))</f>
        <v/>
      </c>
      <c r="K147" s="6" t="n"/>
      <c r="L147" s="6" t="n"/>
    </row>
    <row r="148">
      <c r="A148" s="6" t="n"/>
      <c r="B148" s="113">
        <f>IF($C148="","","V"&amp;TEXT(ROW()-6,"00000"))</f>
        <v/>
      </c>
      <c r="C148" s="225" t="n"/>
      <c r="D148" s="108" t="n"/>
      <c r="E148" s="108" t="n"/>
      <c r="F148" s="226" t="n"/>
      <c r="G148" s="109" t="n"/>
      <c r="H148" s="109" t="n"/>
      <c r="I148" s="109" t="n"/>
      <c r="J148" s="113">
        <f>IF($C148="","",IF(AND($D148&lt;&gt;"",$E148&lt;&gt;"",$D148&lt;&gt;$E148,$F148&gt;0),"UYGUN","HATA"))</f>
        <v/>
      </c>
      <c r="K148" s="6" t="n"/>
      <c r="L148" s="6" t="n"/>
    </row>
    <row r="149">
      <c r="A149" s="6" t="n"/>
      <c r="B149" s="113">
        <f>IF($C149="","","V"&amp;TEXT(ROW()-6,"00000"))</f>
        <v/>
      </c>
      <c r="C149" s="225" t="n"/>
      <c r="D149" s="108" t="n"/>
      <c r="E149" s="108" t="n"/>
      <c r="F149" s="226" t="n"/>
      <c r="G149" s="109" t="n"/>
      <c r="H149" s="109" t="n"/>
      <c r="I149" s="109" t="n"/>
      <c r="J149" s="113">
        <f>IF($C149="","",IF(AND($D149&lt;&gt;"",$E149&lt;&gt;"",$D149&lt;&gt;$E149,$F149&gt;0),"UYGUN","HATA"))</f>
        <v/>
      </c>
      <c r="K149" s="6" t="n"/>
      <c r="L149" s="6" t="n"/>
    </row>
    <row r="150">
      <c r="A150" s="6" t="n"/>
      <c r="B150" s="113">
        <f>IF($C150="","","V"&amp;TEXT(ROW()-6,"00000"))</f>
        <v/>
      </c>
      <c r="C150" s="225" t="n"/>
      <c r="D150" s="108" t="n"/>
      <c r="E150" s="108" t="n"/>
      <c r="F150" s="226" t="n"/>
      <c r="G150" s="109" t="n"/>
      <c r="H150" s="109" t="n"/>
      <c r="I150" s="109" t="n"/>
      <c r="J150" s="113">
        <f>IF($C150="","",IF(AND($D150&lt;&gt;"",$E150&lt;&gt;"",$D150&lt;&gt;$E150,$F150&gt;0),"UYGUN","HATA"))</f>
        <v/>
      </c>
      <c r="K150" s="6" t="n"/>
      <c r="L150" s="6" t="n"/>
    </row>
    <row r="151">
      <c r="A151" s="6" t="n"/>
      <c r="B151" s="113">
        <f>IF($C151="","","V"&amp;TEXT(ROW()-6,"00000"))</f>
        <v/>
      </c>
      <c r="C151" s="225" t="n"/>
      <c r="D151" s="108" t="n"/>
      <c r="E151" s="108" t="n"/>
      <c r="F151" s="226" t="n"/>
      <c r="G151" s="109" t="n"/>
      <c r="H151" s="109" t="n"/>
      <c r="I151" s="109" t="n"/>
      <c r="J151" s="113">
        <f>IF($C151="","",IF(AND($D151&lt;&gt;"",$E151&lt;&gt;"",$D151&lt;&gt;$E151,$F151&gt;0),"UYGUN","HATA"))</f>
        <v/>
      </c>
      <c r="K151" s="6" t="n"/>
      <c r="L151" s="6" t="n"/>
    </row>
    <row r="152">
      <c r="A152" s="6" t="n"/>
      <c r="B152" s="113">
        <f>IF($C152="","","V"&amp;TEXT(ROW()-6,"00000"))</f>
        <v/>
      </c>
      <c r="C152" s="225" t="n"/>
      <c r="D152" s="108" t="n"/>
      <c r="E152" s="108" t="n"/>
      <c r="F152" s="226" t="n"/>
      <c r="G152" s="109" t="n"/>
      <c r="H152" s="109" t="n"/>
      <c r="I152" s="109" t="n"/>
      <c r="J152" s="113">
        <f>IF($C152="","",IF(AND($D152&lt;&gt;"",$E152&lt;&gt;"",$D152&lt;&gt;$E152,$F152&gt;0),"UYGUN","HATA"))</f>
        <v/>
      </c>
      <c r="K152" s="6" t="n"/>
      <c r="L152" s="6" t="n"/>
    </row>
    <row r="153">
      <c r="A153" s="6" t="n"/>
      <c r="B153" s="113">
        <f>IF($C153="","","V"&amp;TEXT(ROW()-6,"00000"))</f>
        <v/>
      </c>
      <c r="C153" s="225" t="n"/>
      <c r="D153" s="108" t="n"/>
      <c r="E153" s="108" t="n"/>
      <c r="F153" s="226" t="n"/>
      <c r="G153" s="109" t="n"/>
      <c r="H153" s="109" t="n"/>
      <c r="I153" s="109" t="n"/>
      <c r="J153" s="113">
        <f>IF($C153="","",IF(AND($D153&lt;&gt;"",$E153&lt;&gt;"",$D153&lt;&gt;$E153,$F153&gt;0),"UYGUN","HATA"))</f>
        <v/>
      </c>
      <c r="K153" s="6" t="n"/>
      <c r="L153" s="6" t="n"/>
    </row>
    <row r="154">
      <c r="A154" s="6" t="n"/>
      <c r="B154" s="113">
        <f>IF($C154="","","V"&amp;TEXT(ROW()-6,"00000"))</f>
        <v/>
      </c>
      <c r="C154" s="225" t="n"/>
      <c r="D154" s="108" t="n"/>
      <c r="E154" s="108" t="n"/>
      <c r="F154" s="226" t="n"/>
      <c r="G154" s="109" t="n"/>
      <c r="H154" s="109" t="n"/>
      <c r="I154" s="109" t="n"/>
      <c r="J154" s="113">
        <f>IF($C154="","",IF(AND($D154&lt;&gt;"",$E154&lt;&gt;"",$D154&lt;&gt;$E154,$F154&gt;0),"UYGUN","HATA"))</f>
        <v/>
      </c>
      <c r="K154" s="6" t="n"/>
      <c r="L154" s="6" t="n"/>
    </row>
    <row r="155">
      <c r="A155" s="6" t="n"/>
      <c r="B155" s="113">
        <f>IF($C155="","","V"&amp;TEXT(ROW()-6,"00000"))</f>
        <v/>
      </c>
      <c r="C155" s="225" t="n"/>
      <c r="D155" s="108" t="n"/>
      <c r="E155" s="108" t="n"/>
      <c r="F155" s="226" t="n"/>
      <c r="G155" s="109" t="n"/>
      <c r="H155" s="109" t="n"/>
      <c r="I155" s="109" t="n"/>
      <c r="J155" s="113">
        <f>IF($C155="","",IF(AND($D155&lt;&gt;"",$E155&lt;&gt;"",$D155&lt;&gt;$E155,$F155&gt;0),"UYGUN","HATA"))</f>
        <v/>
      </c>
      <c r="K155" s="6" t="n"/>
      <c r="L155" s="6" t="n"/>
    </row>
    <row r="156">
      <c r="A156" s="6" t="n"/>
      <c r="B156" s="113">
        <f>IF($C156="","","V"&amp;TEXT(ROW()-6,"00000"))</f>
        <v/>
      </c>
      <c r="C156" s="225" t="n"/>
      <c r="D156" s="108" t="n"/>
      <c r="E156" s="108" t="n"/>
      <c r="F156" s="226" t="n"/>
      <c r="G156" s="109" t="n"/>
      <c r="H156" s="109" t="n"/>
      <c r="I156" s="109" t="n"/>
      <c r="J156" s="113">
        <f>IF($C156="","",IF(AND($D156&lt;&gt;"",$E156&lt;&gt;"",$D156&lt;&gt;$E156,$F156&gt;0),"UYGUN","HATA"))</f>
        <v/>
      </c>
      <c r="K156" s="6" t="n"/>
      <c r="L156" s="6" t="n"/>
    </row>
    <row r="157">
      <c r="A157" s="6" t="n"/>
      <c r="B157" s="113">
        <f>IF($C157="","","V"&amp;TEXT(ROW()-6,"00000"))</f>
        <v/>
      </c>
      <c r="C157" s="225" t="n"/>
      <c r="D157" s="108" t="n"/>
      <c r="E157" s="108" t="n"/>
      <c r="F157" s="226" t="n"/>
      <c r="G157" s="109" t="n"/>
      <c r="H157" s="109" t="n"/>
      <c r="I157" s="109" t="n"/>
      <c r="J157" s="113">
        <f>IF($C157="","",IF(AND($D157&lt;&gt;"",$E157&lt;&gt;"",$D157&lt;&gt;$E157,$F157&gt;0),"UYGUN","HATA"))</f>
        <v/>
      </c>
      <c r="K157" s="6" t="n"/>
      <c r="L157" s="6" t="n"/>
    </row>
    <row r="158">
      <c r="A158" s="6" t="n"/>
      <c r="B158" s="113">
        <f>IF($C158="","","V"&amp;TEXT(ROW()-6,"00000"))</f>
        <v/>
      </c>
      <c r="C158" s="225" t="n"/>
      <c r="D158" s="108" t="n"/>
      <c r="E158" s="108" t="n"/>
      <c r="F158" s="226" t="n"/>
      <c r="G158" s="109" t="n"/>
      <c r="H158" s="109" t="n"/>
      <c r="I158" s="109" t="n"/>
      <c r="J158" s="113">
        <f>IF($C158="","",IF(AND($D158&lt;&gt;"",$E158&lt;&gt;"",$D158&lt;&gt;$E158,$F158&gt;0),"UYGUN","HATA"))</f>
        <v/>
      </c>
      <c r="K158" s="6" t="n"/>
      <c r="L158" s="6" t="n"/>
    </row>
    <row r="159">
      <c r="A159" s="6" t="n"/>
      <c r="B159" s="113">
        <f>IF($C159="","","V"&amp;TEXT(ROW()-6,"00000"))</f>
        <v/>
      </c>
      <c r="C159" s="225" t="n"/>
      <c r="D159" s="108" t="n"/>
      <c r="E159" s="108" t="n"/>
      <c r="F159" s="226" t="n"/>
      <c r="G159" s="109" t="n"/>
      <c r="H159" s="109" t="n"/>
      <c r="I159" s="109" t="n"/>
      <c r="J159" s="113">
        <f>IF($C159="","",IF(AND($D159&lt;&gt;"",$E159&lt;&gt;"",$D159&lt;&gt;$E159,$F159&gt;0),"UYGUN","HATA"))</f>
        <v/>
      </c>
      <c r="K159" s="6" t="n"/>
      <c r="L159" s="6" t="n"/>
    </row>
    <row r="160">
      <c r="A160" s="6" t="n"/>
      <c r="B160" s="113">
        <f>IF($C160="","","V"&amp;TEXT(ROW()-6,"00000"))</f>
        <v/>
      </c>
      <c r="C160" s="225" t="n"/>
      <c r="D160" s="108" t="n"/>
      <c r="E160" s="108" t="n"/>
      <c r="F160" s="226" t="n"/>
      <c r="G160" s="109" t="n"/>
      <c r="H160" s="109" t="n"/>
      <c r="I160" s="109" t="n"/>
      <c r="J160" s="113">
        <f>IF($C160="","",IF(AND($D160&lt;&gt;"",$E160&lt;&gt;"",$D160&lt;&gt;$E160,$F160&gt;0),"UYGUN","HATA"))</f>
        <v/>
      </c>
      <c r="K160" s="6" t="n"/>
      <c r="L160" s="6" t="n"/>
    </row>
    <row r="161">
      <c r="A161" s="6" t="n"/>
      <c r="B161" s="113">
        <f>IF($C161="","","V"&amp;TEXT(ROW()-6,"00000"))</f>
        <v/>
      </c>
      <c r="C161" s="225" t="n"/>
      <c r="D161" s="108" t="n"/>
      <c r="E161" s="108" t="n"/>
      <c r="F161" s="226" t="n"/>
      <c r="G161" s="109" t="n"/>
      <c r="H161" s="109" t="n"/>
      <c r="I161" s="109" t="n"/>
      <c r="J161" s="113">
        <f>IF($C161="","",IF(AND($D161&lt;&gt;"",$E161&lt;&gt;"",$D161&lt;&gt;$E161,$F161&gt;0),"UYGUN","HATA"))</f>
        <v/>
      </c>
      <c r="K161" s="6" t="n"/>
      <c r="L161" s="6" t="n"/>
    </row>
    <row r="162">
      <c r="A162" s="6" t="n"/>
      <c r="B162" s="113">
        <f>IF($C162="","","V"&amp;TEXT(ROW()-6,"00000"))</f>
        <v/>
      </c>
      <c r="C162" s="225" t="n"/>
      <c r="D162" s="108" t="n"/>
      <c r="E162" s="108" t="n"/>
      <c r="F162" s="226" t="n"/>
      <c r="G162" s="109" t="n"/>
      <c r="H162" s="109" t="n"/>
      <c r="I162" s="109" t="n"/>
      <c r="J162" s="113">
        <f>IF($C162="","",IF(AND($D162&lt;&gt;"",$E162&lt;&gt;"",$D162&lt;&gt;$E162,$F162&gt;0),"UYGUN","HATA"))</f>
        <v/>
      </c>
      <c r="K162" s="6" t="n"/>
      <c r="L162" s="6" t="n"/>
    </row>
    <row r="163">
      <c r="A163" s="6" t="n"/>
      <c r="B163" s="113">
        <f>IF($C163="","","V"&amp;TEXT(ROW()-6,"00000"))</f>
        <v/>
      </c>
      <c r="C163" s="225" t="n"/>
      <c r="D163" s="108" t="n"/>
      <c r="E163" s="108" t="n"/>
      <c r="F163" s="226" t="n"/>
      <c r="G163" s="109" t="n"/>
      <c r="H163" s="109" t="n"/>
      <c r="I163" s="109" t="n"/>
      <c r="J163" s="113">
        <f>IF($C163="","",IF(AND($D163&lt;&gt;"",$E163&lt;&gt;"",$D163&lt;&gt;$E163,$F163&gt;0),"UYGUN","HATA"))</f>
        <v/>
      </c>
      <c r="K163" s="6" t="n"/>
      <c r="L163" s="6" t="n"/>
    </row>
    <row r="164">
      <c r="A164" s="6" t="n"/>
      <c r="B164" s="113">
        <f>IF($C164="","","V"&amp;TEXT(ROW()-6,"00000"))</f>
        <v/>
      </c>
      <c r="C164" s="225" t="n"/>
      <c r="D164" s="108" t="n"/>
      <c r="E164" s="108" t="n"/>
      <c r="F164" s="226" t="n"/>
      <c r="G164" s="109" t="n"/>
      <c r="H164" s="109" t="n"/>
      <c r="I164" s="109" t="n"/>
      <c r="J164" s="113">
        <f>IF($C164="","",IF(AND($D164&lt;&gt;"",$E164&lt;&gt;"",$D164&lt;&gt;$E164,$F164&gt;0),"UYGUN","HATA"))</f>
        <v/>
      </c>
      <c r="K164" s="6" t="n"/>
      <c r="L164" s="6" t="n"/>
    </row>
    <row r="165">
      <c r="A165" s="6" t="n"/>
      <c r="B165" s="113">
        <f>IF($C165="","","V"&amp;TEXT(ROW()-6,"00000"))</f>
        <v/>
      </c>
      <c r="C165" s="225" t="n"/>
      <c r="D165" s="108" t="n"/>
      <c r="E165" s="108" t="n"/>
      <c r="F165" s="226" t="n"/>
      <c r="G165" s="109" t="n"/>
      <c r="H165" s="109" t="n"/>
      <c r="I165" s="109" t="n"/>
      <c r="J165" s="113">
        <f>IF($C165="","",IF(AND($D165&lt;&gt;"",$E165&lt;&gt;"",$D165&lt;&gt;$E165,$F165&gt;0),"UYGUN","HATA"))</f>
        <v/>
      </c>
      <c r="K165" s="6" t="n"/>
      <c r="L165" s="6" t="n"/>
    </row>
    <row r="166">
      <c r="A166" s="6" t="n"/>
      <c r="B166" s="113">
        <f>IF($C166="","","V"&amp;TEXT(ROW()-6,"00000"))</f>
        <v/>
      </c>
      <c r="C166" s="225" t="n"/>
      <c r="D166" s="108" t="n"/>
      <c r="E166" s="108" t="n"/>
      <c r="F166" s="226" t="n"/>
      <c r="G166" s="109" t="n"/>
      <c r="H166" s="109" t="n"/>
      <c r="I166" s="109" t="n"/>
      <c r="J166" s="113">
        <f>IF($C166="","",IF(AND($D166&lt;&gt;"",$E166&lt;&gt;"",$D166&lt;&gt;$E166,$F166&gt;0),"UYGUN","HATA"))</f>
        <v/>
      </c>
      <c r="K166" s="6" t="n"/>
      <c r="L166" s="6" t="n"/>
    </row>
    <row r="167">
      <c r="A167" s="6" t="n"/>
      <c r="B167" s="113">
        <f>IF($C167="","","V"&amp;TEXT(ROW()-6,"00000"))</f>
        <v/>
      </c>
      <c r="C167" s="225" t="n"/>
      <c r="D167" s="108" t="n"/>
      <c r="E167" s="108" t="n"/>
      <c r="F167" s="226" t="n"/>
      <c r="G167" s="109" t="n"/>
      <c r="H167" s="109" t="n"/>
      <c r="I167" s="109" t="n"/>
      <c r="J167" s="113">
        <f>IF($C167="","",IF(AND($D167&lt;&gt;"",$E167&lt;&gt;"",$D167&lt;&gt;$E167,$F167&gt;0),"UYGUN","HATA"))</f>
        <v/>
      </c>
      <c r="K167" s="6" t="n"/>
      <c r="L167" s="6" t="n"/>
    </row>
    <row r="168">
      <c r="A168" s="6" t="n"/>
      <c r="B168" s="113">
        <f>IF($C168="","","V"&amp;TEXT(ROW()-6,"00000"))</f>
        <v/>
      </c>
      <c r="C168" s="225" t="n"/>
      <c r="D168" s="108" t="n"/>
      <c r="E168" s="108" t="n"/>
      <c r="F168" s="226" t="n"/>
      <c r="G168" s="109" t="n"/>
      <c r="H168" s="109" t="n"/>
      <c r="I168" s="109" t="n"/>
      <c r="J168" s="113">
        <f>IF($C168="","",IF(AND($D168&lt;&gt;"",$E168&lt;&gt;"",$D168&lt;&gt;$E168,$F168&gt;0),"UYGUN","HATA"))</f>
        <v/>
      </c>
      <c r="K168" s="6" t="n"/>
      <c r="L168" s="6" t="n"/>
    </row>
    <row r="169">
      <c r="A169" s="6" t="n"/>
      <c r="B169" s="113">
        <f>IF($C169="","","V"&amp;TEXT(ROW()-6,"00000"))</f>
        <v/>
      </c>
      <c r="C169" s="225" t="n"/>
      <c r="D169" s="108" t="n"/>
      <c r="E169" s="108" t="n"/>
      <c r="F169" s="226" t="n"/>
      <c r="G169" s="109" t="n"/>
      <c r="H169" s="109" t="n"/>
      <c r="I169" s="109" t="n"/>
      <c r="J169" s="113">
        <f>IF($C169="","",IF(AND($D169&lt;&gt;"",$E169&lt;&gt;"",$D169&lt;&gt;$E169,$F169&gt;0),"UYGUN","HATA"))</f>
        <v/>
      </c>
      <c r="K169" s="6" t="n"/>
      <c r="L169" s="6" t="n"/>
    </row>
    <row r="170">
      <c r="A170" s="6" t="n"/>
      <c r="B170" s="113">
        <f>IF($C170="","","V"&amp;TEXT(ROW()-6,"00000"))</f>
        <v/>
      </c>
      <c r="C170" s="225" t="n"/>
      <c r="D170" s="108" t="n"/>
      <c r="E170" s="108" t="n"/>
      <c r="F170" s="226" t="n"/>
      <c r="G170" s="109" t="n"/>
      <c r="H170" s="109" t="n"/>
      <c r="I170" s="109" t="n"/>
      <c r="J170" s="113">
        <f>IF($C170="","",IF(AND($D170&lt;&gt;"",$E170&lt;&gt;"",$D170&lt;&gt;$E170,$F170&gt;0),"UYGUN","HATA"))</f>
        <v/>
      </c>
      <c r="K170" s="6" t="n"/>
      <c r="L170" s="6" t="n"/>
    </row>
    <row r="171">
      <c r="A171" s="6" t="n"/>
      <c r="B171" s="113">
        <f>IF($C171="","","V"&amp;TEXT(ROW()-6,"00000"))</f>
        <v/>
      </c>
      <c r="C171" s="225" t="n"/>
      <c r="D171" s="108" t="n"/>
      <c r="E171" s="108" t="n"/>
      <c r="F171" s="226" t="n"/>
      <c r="G171" s="109" t="n"/>
      <c r="H171" s="109" t="n"/>
      <c r="I171" s="109" t="n"/>
      <c r="J171" s="113">
        <f>IF($C171="","",IF(AND($D171&lt;&gt;"",$E171&lt;&gt;"",$D171&lt;&gt;$E171,$F171&gt;0),"UYGUN","HATA"))</f>
        <v/>
      </c>
      <c r="K171" s="6" t="n"/>
      <c r="L171" s="6" t="n"/>
    </row>
    <row r="172">
      <c r="A172" s="6" t="n"/>
      <c r="B172" s="113">
        <f>IF($C172="","","V"&amp;TEXT(ROW()-6,"00000"))</f>
        <v/>
      </c>
      <c r="C172" s="225" t="n"/>
      <c r="D172" s="108" t="n"/>
      <c r="E172" s="108" t="n"/>
      <c r="F172" s="226" t="n"/>
      <c r="G172" s="109" t="n"/>
      <c r="H172" s="109" t="n"/>
      <c r="I172" s="109" t="n"/>
      <c r="J172" s="113">
        <f>IF($C172="","",IF(AND($D172&lt;&gt;"",$E172&lt;&gt;"",$D172&lt;&gt;$E172,$F172&gt;0),"UYGUN","HATA"))</f>
        <v/>
      </c>
      <c r="K172" s="6" t="n"/>
      <c r="L172" s="6" t="n"/>
    </row>
    <row r="173">
      <c r="A173" s="6" t="n"/>
      <c r="B173" s="113">
        <f>IF($C173="","","V"&amp;TEXT(ROW()-6,"00000"))</f>
        <v/>
      </c>
      <c r="C173" s="225" t="n"/>
      <c r="D173" s="108" t="n"/>
      <c r="E173" s="108" t="n"/>
      <c r="F173" s="226" t="n"/>
      <c r="G173" s="109" t="n"/>
      <c r="H173" s="109" t="n"/>
      <c r="I173" s="109" t="n"/>
      <c r="J173" s="113">
        <f>IF($C173="","",IF(AND($D173&lt;&gt;"",$E173&lt;&gt;"",$D173&lt;&gt;$E173,$F173&gt;0),"UYGUN","HATA"))</f>
        <v/>
      </c>
      <c r="K173" s="6" t="n"/>
      <c r="L173" s="6" t="n"/>
    </row>
    <row r="174">
      <c r="A174" s="6" t="n"/>
      <c r="B174" s="113">
        <f>IF($C174="","","V"&amp;TEXT(ROW()-6,"00000"))</f>
        <v/>
      </c>
      <c r="C174" s="225" t="n"/>
      <c r="D174" s="108" t="n"/>
      <c r="E174" s="108" t="n"/>
      <c r="F174" s="226" t="n"/>
      <c r="G174" s="109" t="n"/>
      <c r="H174" s="109" t="n"/>
      <c r="I174" s="109" t="n"/>
      <c r="J174" s="113">
        <f>IF($C174="","",IF(AND($D174&lt;&gt;"",$E174&lt;&gt;"",$D174&lt;&gt;$E174,$F174&gt;0),"UYGUN","HATA"))</f>
        <v/>
      </c>
      <c r="K174" s="6" t="n"/>
      <c r="L174" s="6" t="n"/>
    </row>
    <row r="175">
      <c r="A175" s="6" t="n"/>
      <c r="B175" s="113">
        <f>IF($C175="","","V"&amp;TEXT(ROW()-6,"00000"))</f>
        <v/>
      </c>
      <c r="C175" s="225" t="n"/>
      <c r="D175" s="108" t="n"/>
      <c r="E175" s="108" t="n"/>
      <c r="F175" s="226" t="n"/>
      <c r="G175" s="109" t="n"/>
      <c r="H175" s="109" t="n"/>
      <c r="I175" s="109" t="n"/>
      <c r="J175" s="113">
        <f>IF($C175="","",IF(AND($D175&lt;&gt;"",$E175&lt;&gt;"",$D175&lt;&gt;$E175,$F175&gt;0),"UYGUN","HATA"))</f>
        <v/>
      </c>
      <c r="K175" s="6" t="n"/>
      <c r="L175" s="6" t="n"/>
    </row>
    <row r="176">
      <c r="A176" s="6" t="n"/>
      <c r="B176" s="113">
        <f>IF($C176="","","V"&amp;TEXT(ROW()-6,"00000"))</f>
        <v/>
      </c>
      <c r="C176" s="225" t="n"/>
      <c r="D176" s="108" t="n"/>
      <c r="E176" s="108" t="n"/>
      <c r="F176" s="226" t="n"/>
      <c r="G176" s="109" t="n"/>
      <c r="H176" s="109" t="n"/>
      <c r="I176" s="109" t="n"/>
      <c r="J176" s="113">
        <f>IF($C176="","",IF(AND($D176&lt;&gt;"",$E176&lt;&gt;"",$D176&lt;&gt;$E176,$F176&gt;0),"UYGUN","HATA"))</f>
        <v/>
      </c>
      <c r="K176" s="6" t="n"/>
      <c r="L176" s="6" t="n"/>
    </row>
    <row r="177">
      <c r="A177" s="6" t="n"/>
      <c r="B177" s="113">
        <f>IF($C177="","","V"&amp;TEXT(ROW()-6,"00000"))</f>
        <v/>
      </c>
      <c r="C177" s="225" t="n"/>
      <c r="D177" s="108" t="n"/>
      <c r="E177" s="108" t="n"/>
      <c r="F177" s="226" t="n"/>
      <c r="G177" s="109" t="n"/>
      <c r="H177" s="109" t="n"/>
      <c r="I177" s="109" t="n"/>
      <c r="J177" s="113">
        <f>IF($C177="","",IF(AND($D177&lt;&gt;"",$E177&lt;&gt;"",$D177&lt;&gt;$E177,$F177&gt;0),"UYGUN","HATA"))</f>
        <v/>
      </c>
      <c r="K177" s="6" t="n"/>
      <c r="L177" s="6" t="n"/>
    </row>
    <row r="178">
      <c r="A178" s="6" t="n"/>
      <c r="B178" s="113">
        <f>IF($C178="","","V"&amp;TEXT(ROW()-6,"00000"))</f>
        <v/>
      </c>
      <c r="C178" s="225" t="n"/>
      <c r="D178" s="108" t="n"/>
      <c r="E178" s="108" t="n"/>
      <c r="F178" s="226" t="n"/>
      <c r="G178" s="109" t="n"/>
      <c r="H178" s="109" t="n"/>
      <c r="I178" s="109" t="n"/>
      <c r="J178" s="113">
        <f>IF($C178="","",IF(AND($D178&lt;&gt;"",$E178&lt;&gt;"",$D178&lt;&gt;$E178,$F178&gt;0),"UYGUN","HATA"))</f>
        <v/>
      </c>
      <c r="K178" s="6" t="n"/>
      <c r="L178" s="6" t="n"/>
    </row>
    <row r="179">
      <c r="A179" s="6" t="n"/>
      <c r="B179" s="113">
        <f>IF($C179="","","V"&amp;TEXT(ROW()-6,"00000"))</f>
        <v/>
      </c>
      <c r="C179" s="225" t="n"/>
      <c r="D179" s="108" t="n"/>
      <c r="E179" s="108" t="n"/>
      <c r="F179" s="226" t="n"/>
      <c r="G179" s="109" t="n"/>
      <c r="H179" s="109" t="n"/>
      <c r="I179" s="109" t="n"/>
      <c r="J179" s="113">
        <f>IF($C179="","",IF(AND($D179&lt;&gt;"",$E179&lt;&gt;"",$D179&lt;&gt;$E179,$F179&gt;0),"UYGUN","HATA"))</f>
        <v/>
      </c>
      <c r="K179" s="6" t="n"/>
      <c r="L179" s="6" t="n"/>
    </row>
    <row r="180">
      <c r="A180" s="6" t="n"/>
      <c r="B180" s="113">
        <f>IF($C180="","","V"&amp;TEXT(ROW()-6,"00000"))</f>
        <v/>
      </c>
      <c r="C180" s="225" t="n"/>
      <c r="D180" s="108" t="n"/>
      <c r="E180" s="108" t="n"/>
      <c r="F180" s="226" t="n"/>
      <c r="G180" s="109" t="n"/>
      <c r="H180" s="109" t="n"/>
      <c r="I180" s="109" t="n"/>
      <c r="J180" s="113">
        <f>IF($C180="","",IF(AND($D180&lt;&gt;"",$E180&lt;&gt;"",$D180&lt;&gt;$E180,$F180&gt;0),"UYGUN","HATA"))</f>
        <v/>
      </c>
      <c r="K180" s="6" t="n"/>
      <c r="L180" s="6" t="n"/>
    </row>
    <row r="181">
      <c r="A181" s="6" t="n"/>
      <c r="B181" s="113">
        <f>IF($C181="","","V"&amp;TEXT(ROW()-6,"00000"))</f>
        <v/>
      </c>
      <c r="C181" s="225" t="n"/>
      <c r="D181" s="108" t="n"/>
      <c r="E181" s="108" t="n"/>
      <c r="F181" s="226" t="n"/>
      <c r="G181" s="109" t="n"/>
      <c r="H181" s="109" t="n"/>
      <c r="I181" s="109" t="n"/>
      <c r="J181" s="113">
        <f>IF($C181="","",IF(AND($D181&lt;&gt;"",$E181&lt;&gt;"",$D181&lt;&gt;$E181,$F181&gt;0),"UYGUN","HATA"))</f>
        <v/>
      </c>
      <c r="K181" s="6" t="n"/>
      <c r="L181" s="6" t="n"/>
    </row>
    <row r="182">
      <c r="A182" s="6" t="n"/>
      <c r="B182" s="113">
        <f>IF($C182="","","V"&amp;TEXT(ROW()-6,"00000"))</f>
        <v/>
      </c>
      <c r="C182" s="225" t="n"/>
      <c r="D182" s="108" t="n"/>
      <c r="E182" s="108" t="n"/>
      <c r="F182" s="226" t="n"/>
      <c r="G182" s="109" t="n"/>
      <c r="H182" s="109" t="n"/>
      <c r="I182" s="109" t="n"/>
      <c r="J182" s="113">
        <f>IF($C182="","",IF(AND($D182&lt;&gt;"",$E182&lt;&gt;"",$D182&lt;&gt;$E182,$F182&gt;0),"UYGUN","HATA"))</f>
        <v/>
      </c>
      <c r="K182" s="6" t="n"/>
      <c r="L182" s="6" t="n"/>
    </row>
    <row r="183">
      <c r="A183" s="6" t="n"/>
      <c r="B183" s="113">
        <f>IF($C183="","","V"&amp;TEXT(ROW()-6,"00000"))</f>
        <v/>
      </c>
      <c r="C183" s="225" t="n"/>
      <c r="D183" s="108" t="n"/>
      <c r="E183" s="108" t="n"/>
      <c r="F183" s="226" t="n"/>
      <c r="G183" s="109" t="n"/>
      <c r="H183" s="109" t="n"/>
      <c r="I183" s="109" t="n"/>
      <c r="J183" s="113">
        <f>IF($C183="","",IF(AND($D183&lt;&gt;"",$E183&lt;&gt;"",$D183&lt;&gt;$E183,$F183&gt;0),"UYGUN","HATA"))</f>
        <v/>
      </c>
      <c r="K183" s="6" t="n"/>
      <c r="L183" s="6" t="n"/>
    </row>
    <row r="184">
      <c r="A184" s="6" t="n"/>
      <c r="B184" s="113">
        <f>IF($C184="","","V"&amp;TEXT(ROW()-6,"00000"))</f>
        <v/>
      </c>
      <c r="C184" s="225" t="n"/>
      <c r="D184" s="108" t="n"/>
      <c r="E184" s="108" t="n"/>
      <c r="F184" s="226" t="n"/>
      <c r="G184" s="109" t="n"/>
      <c r="H184" s="109" t="n"/>
      <c r="I184" s="109" t="n"/>
      <c r="J184" s="113">
        <f>IF($C184="","",IF(AND($D184&lt;&gt;"",$E184&lt;&gt;"",$D184&lt;&gt;$E184,$F184&gt;0),"UYGUN","HATA"))</f>
        <v/>
      </c>
      <c r="K184" s="6" t="n"/>
      <c r="L184" s="6" t="n"/>
    </row>
    <row r="185">
      <c r="A185" s="6" t="n"/>
      <c r="B185" s="113">
        <f>IF($C185="","","V"&amp;TEXT(ROW()-6,"00000"))</f>
        <v/>
      </c>
      <c r="C185" s="225" t="n"/>
      <c r="D185" s="108" t="n"/>
      <c r="E185" s="108" t="n"/>
      <c r="F185" s="226" t="n"/>
      <c r="G185" s="109" t="n"/>
      <c r="H185" s="109" t="n"/>
      <c r="I185" s="109" t="n"/>
      <c r="J185" s="113">
        <f>IF($C185="","",IF(AND($D185&lt;&gt;"",$E185&lt;&gt;"",$D185&lt;&gt;$E185,$F185&gt;0),"UYGUN","HATA"))</f>
        <v/>
      </c>
      <c r="K185" s="6" t="n"/>
      <c r="L185" s="6" t="n"/>
    </row>
    <row r="186">
      <c r="A186" s="6" t="n"/>
      <c r="B186" s="113">
        <f>IF($C186="","","V"&amp;TEXT(ROW()-6,"00000"))</f>
        <v/>
      </c>
      <c r="C186" s="225" t="n"/>
      <c r="D186" s="108" t="n"/>
      <c r="E186" s="108" t="n"/>
      <c r="F186" s="226" t="n"/>
      <c r="G186" s="109" t="n"/>
      <c r="H186" s="109" t="n"/>
      <c r="I186" s="109" t="n"/>
      <c r="J186" s="113">
        <f>IF($C186="","",IF(AND($D186&lt;&gt;"",$E186&lt;&gt;"",$D186&lt;&gt;$E186,$F186&gt;0),"UYGUN","HATA"))</f>
        <v/>
      </c>
      <c r="K186" s="6" t="n"/>
      <c r="L186" s="6" t="n"/>
    </row>
    <row r="187">
      <c r="A187" s="6" t="n"/>
      <c r="B187" s="113">
        <f>IF($C187="","","V"&amp;TEXT(ROW()-6,"00000"))</f>
        <v/>
      </c>
      <c r="C187" s="225" t="n"/>
      <c r="D187" s="108" t="n"/>
      <c r="E187" s="108" t="n"/>
      <c r="F187" s="226" t="n"/>
      <c r="G187" s="109" t="n"/>
      <c r="H187" s="109" t="n"/>
      <c r="I187" s="109" t="n"/>
      <c r="J187" s="113">
        <f>IF($C187="","",IF(AND($D187&lt;&gt;"",$E187&lt;&gt;"",$D187&lt;&gt;$E187,$F187&gt;0),"UYGUN","HATA"))</f>
        <v/>
      </c>
      <c r="K187" s="6" t="n"/>
      <c r="L187" s="6" t="n"/>
    </row>
    <row r="188">
      <c r="A188" s="6" t="n"/>
      <c r="B188" s="113">
        <f>IF($C188="","","V"&amp;TEXT(ROW()-6,"00000"))</f>
        <v/>
      </c>
      <c r="C188" s="225" t="n"/>
      <c r="D188" s="108" t="n"/>
      <c r="E188" s="108" t="n"/>
      <c r="F188" s="226" t="n"/>
      <c r="G188" s="109" t="n"/>
      <c r="H188" s="109" t="n"/>
      <c r="I188" s="109" t="n"/>
      <c r="J188" s="113">
        <f>IF($C188="","",IF(AND($D188&lt;&gt;"",$E188&lt;&gt;"",$D188&lt;&gt;$E188,$F188&gt;0),"UYGUN","HATA"))</f>
        <v/>
      </c>
      <c r="K188" s="6" t="n"/>
      <c r="L188" s="6" t="n"/>
    </row>
    <row r="189">
      <c r="A189" s="6" t="n"/>
      <c r="B189" s="113">
        <f>IF($C189="","","V"&amp;TEXT(ROW()-6,"00000"))</f>
        <v/>
      </c>
      <c r="C189" s="225" t="n"/>
      <c r="D189" s="108" t="n"/>
      <c r="E189" s="108" t="n"/>
      <c r="F189" s="226" t="n"/>
      <c r="G189" s="109" t="n"/>
      <c r="H189" s="109" t="n"/>
      <c r="I189" s="109" t="n"/>
      <c r="J189" s="113">
        <f>IF($C189="","",IF(AND($D189&lt;&gt;"",$E189&lt;&gt;"",$D189&lt;&gt;$E189,$F189&gt;0),"UYGUN","HATA"))</f>
        <v/>
      </c>
      <c r="K189" s="6" t="n"/>
      <c r="L189" s="6" t="n"/>
    </row>
    <row r="190">
      <c r="A190" s="6" t="n"/>
      <c r="B190" s="113">
        <f>IF($C190="","","V"&amp;TEXT(ROW()-6,"00000"))</f>
        <v/>
      </c>
      <c r="C190" s="225" t="n"/>
      <c r="D190" s="108" t="n"/>
      <c r="E190" s="108" t="n"/>
      <c r="F190" s="226" t="n"/>
      <c r="G190" s="109" t="n"/>
      <c r="H190" s="109" t="n"/>
      <c r="I190" s="109" t="n"/>
      <c r="J190" s="113">
        <f>IF($C190="","",IF(AND($D190&lt;&gt;"",$E190&lt;&gt;"",$D190&lt;&gt;$E190,$F190&gt;0),"UYGUN","HATA"))</f>
        <v/>
      </c>
      <c r="K190" s="6" t="n"/>
      <c r="L190" s="6" t="n"/>
    </row>
    <row r="191">
      <c r="A191" s="6" t="n"/>
      <c r="B191" s="113">
        <f>IF($C191="","","V"&amp;TEXT(ROW()-6,"00000"))</f>
        <v/>
      </c>
      <c r="C191" s="225" t="n"/>
      <c r="D191" s="108" t="n"/>
      <c r="E191" s="108" t="n"/>
      <c r="F191" s="226" t="n"/>
      <c r="G191" s="109" t="n"/>
      <c r="H191" s="109" t="n"/>
      <c r="I191" s="109" t="n"/>
      <c r="J191" s="113">
        <f>IF($C191="","",IF(AND($D191&lt;&gt;"",$E191&lt;&gt;"",$D191&lt;&gt;$E191,$F191&gt;0),"UYGUN","HATA"))</f>
        <v/>
      </c>
      <c r="K191" s="6" t="n"/>
      <c r="L191" s="6" t="n"/>
    </row>
    <row r="192">
      <c r="A192" s="6" t="n"/>
      <c r="B192" s="113">
        <f>IF($C192="","","V"&amp;TEXT(ROW()-6,"00000"))</f>
        <v/>
      </c>
      <c r="C192" s="225" t="n"/>
      <c r="D192" s="108" t="n"/>
      <c r="E192" s="108" t="n"/>
      <c r="F192" s="226" t="n"/>
      <c r="G192" s="109" t="n"/>
      <c r="H192" s="109" t="n"/>
      <c r="I192" s="109" t="n"/>
      <c r="J192" s="113">
        <f>IF($C192="","",IF(AND($D192&lt;&gt;"",$E192&lt;&gt;"",$D192&lt;&gt;$E192,$F192&gt;0),"UYGUN","HATA"))</f>
        <v/>
      </c>
      <c r="K192" s="6" t="n"/>
      <c r="L192" s="6" t="n"/>
    </row>
    <row r="193">
      <c r="A193" s="6" t="n"/>
      <c r="B193" s="113">
        <f>IF($C193="","","V"&amp;TEXT(ROW()-6,"00000"))</f>
        <v/>
      </c>
      <c r="C193" s="225" t="n"/>
      <c r="D193" s="108" t="n"/>
      <c r="E193" s="108" t="n"/>
      <c r="F193" s="226" t="n"/>
      <c r="G193" s="109" t="n"/>
      <c r="H193" s="109" t="n"/>
      <c r="I193" s="109" t="n"/>
      <c r="J193" s="113">
        <f>IF($C193="","",IF(AND($D193&lt;&gt;"",$E193&lt;&gt;"",$D193&lt;&gt;$E193,$F193&gt;0),"UYGUN","HATA"))</f>
        <v/>
      </c>
      <c r="K193" s="6" t="n"/>
      <c r="L193" s="6" t="n"/>
    </row>
    <row r="194">
      <c r="A194" s="6" t="n"/>
      <c r="B194" s="113">
        <f>IF($C194="","","V"&amp;TEXT(ROW()-6,"00000"))</f>
        <v/>
      </c>
      <c r="C194" s="225" t="n"/>
      <c r="D194" s="108" t="n"/>
      <c r="E194" s="108" t="n"/>
      <c r="F194" s="226" t="n"/>
      <c r="G194" s="109" t="n"/>
      <c r="H194" s="109" t="n"/>
      <c r="I194" s="109" t="n"/>
      <c r="J194" s="113">
        <f>IF($C194="","",IF(AND($D194&lt;&gt;"",$E194&lt;&gt;"",$D194&lt;&gt;$E194,$F194&gt;0),"UYGUN","HATA"))</f>
        <v/>
      </c>
      <c r="K194" s="6" t="n"/>
      <c r="L194" s="6" t="n"/>
    </row>
    <row r="195">
      <c r="A195" s="6" t="n"/>
      <c r="B195" s="113">
        <f>IF($C195="","","V"&amp;TEXT(ROW()-6,"00000"))</f>
        <v/>
      </c>
      <c r="C195" s="225" t="n"/>
      <c r="D195" s="108" t="n"/>
      <c r="E195" s="108" t="n"/>
      <c r="F195" s="226" t="n"/>
      <c r="G195" s="109" t="n"/>
      <c r="H195" s="109" t="n"/>
      <c r="I195" s="109" t="n"/>
      <c r="J195" s="113">
        <f>IF($C195="","",IF(AND($D195&lt;&gt;"",$E195&lt;&gt;"",$D195&lt;&gt;$E195,$F195&gt;0),"UYGUN","HATA"))</f>
        <v/>
      </c>
      <c r="K195" s="6" t="n"/>
      <c r="L195" s="6" t="n"/>
    </row>
    <row r="196">
      <c r="A196" s="6" t="n"/>
      <c r="B196" s="113">
        <f>IF($C196="","","V"&amp;TEXT(ROW()-6,"00000"))</f>
        <v/>
      </c>
      <c r="C196" s="225" t="n"/>
      <c r="D196" s="108" t="n"/>
      <c r="E196" s="108" t="n"/>
      <c r="F196" s="226" t="n"/>
      <c r="G196" s="109" t="n"/>
      <c r="H196" s="109" t="n"/>
      <c r="I196" s="109" t="n"/>
      <c r="J196" s="113">
        <f>IF($C196="","",IF(AND($D196&lt;&gt;"",$E196&lt;&gt;"",$D196&lt;&gt;$E196,$F196&gt;0),"UYGUN","HATA"))</f>
        <v/>
      </c>
      <c r="K196" s="6" t="n"/>
      <c r="L196" s="6" t="n"/>
    </row>
    <row r="197">
      <c r="A197" s="6" t="n"/>
      <c r="B197" s="113">
        <f>IF($C197="","","V"&amp;TEXT(ROW()-6,"00000"))</f>
        <v/>
      </c>
      <c r="C197" s="225" t="n"/>
      <c r="D197" s="108" t="n"/>
      <c r="E197" s="108" t="n"/>
      <c r="F197" s="226" t="n"/>
      <c r="G197" s="109" t="n"/>
      <c r="H197" s="109" t="n"/>
      <c r="I197" s="109" t="n"/>
      <c r="J197" s="113">
        <f>IF($C197="","",IF(AND($D197&lt;&gt;"",$E197&lt;&gt;"",$D197&lt;&gt;$E197,$F197&gt;0),"UYGUN","HATA"))</f>
        <v/>
      </c>
      <c r="K197" s="6" t="n"/>
      <c r="L197" s="6" t="n"/>
    </row>
    <row r="198">
      <c r="A198" s="6" t="n"/>
      <c r="B198" s="113">
        <f>IF($C198="","","V"&amp;TEXT(ROW()-6,"00000"))</f>
        <v/>
      </c>
      <c r="C198" s="225" t="n"/>
      <c r="D198" s="108" t="n"/>
      <c r="E198" s="108" t="n"/>
      <c r="F198" s="226" t="n"/>
      <c r="G198" s="109" t="n"/>
      <c r="H198" s="109" t="n"/>
      <c r="I198" s="109" t="n"/>
      <c r="J198" s="113">
        <f>IF($C198="","",IF(AND($D198&lt;&gt;"",$E198&lt;&gt;"",$D198&lt;&gt;$E198,$F198&gt;0),"UYGUN","HATA"))</f>
        <v/>
      </c>
      <c r="K198" s="6" t="n"/>
      <c r="L198" s="6" t="n"/>
    </row>
    <row r="199">
      <c r="A199" s="6" t="n"/>
      <c r="B199" s="113">
        <f>IF($C199="","","V"&amp;TEXT(ROW()-6,"00000"))</f>
        <v/>
      </c>
      <c r="C199" s="225" t="n"/>
      <c r="D199" s="108" t="n"/>
      <c r="E199" s="108" t="n"/>
      <c r="F199" s="226" t="n"/>
      <c r="G199" s="109" t="n"/>
      <c r="H199" s="109" t="n"/>
      <c r="I199" s="109" t="n"/>
      <c r="J199" s="113">
        <f>IF($C199="","",IF(AND($D199&lt;&gt;"",$E199&lt;&gt;"",$D199&lt;&gt;$E199,$F199&gt;0),"UYGUN","HATA"))</f>
        <v/>
      </c>
      <c r="K199" s="6" t="n"/>
      <c r="L199" s="6" t="n"/>
    </row>
    <row r="200">
      <c r="A200" s="6" t="n"/>
      <c r="B200" s="113">
        <f>IF($C200="","","V"&amp;TEXT(ROW()-6,"00000"))</f>
        <v/>
      </c>
      <c r="C200" s="225" t="n"/>
      <c r="D200" s="108" t="n"/>
      <c r="E200" s="108" t="n"/>
      <c r="F200" s="226" t="n"/>
      <c r="G200" s="109" t="n"/>
      <c r="H200" s="109" t="n"/>
      <c r="I200" s="109" t="n"/>
      <c r="J200" s="113">
        <f>IF($C200="","",IF(AND($D200&lt;&gt;"",$E200&lt;&gt;"",$D200&lt;&gt;$E200,$F200&gt;0),"UYGUN","HATA"))</f>
        <v/>
      </c>
      <c r="K200" s="6" t="n"/>
      <c r="L200" s="6" t="n"/>
    </row>
    <row r="201">
      <c r="A201" s="6" t="n"/>
      <c r="B201" s="113">
        <f>IF($C201="","","V"&amp;TEXT(ROW()-6,"00000"))</f>
        <v/>
      </c>
      <c r="C201" s="225" t="n"/>
      <c r="D201" s="108" t="n"/>
      <c r="E201" s="108" t="n"/>
      <c r="F201" s="226" t="n"/>
      <c r="G201" s="109" t="n"/>
      <c r="H201" s="109" t="n"/>
      <c r="I201" s="109" t="n"/>
      <c r="J201" s="113">
        <f>IF($C201="","",IF(AND($D201&lt;&gt;"",$E201&lt;&gt;"",$D201&lt;&gt;$E201,$F201&gt;0),"UYGUN","HATA"))</f>
        <v/>
      </c>
      <c r="K201" s="6" t="n"/>
      <c r="L201" s="6" t="n"/>
    </row>
    <row r="202">
      <c r="A202" s="6" t="n"/>
      <c r="B202" s="113">
        <f>IF($C202="","","V"&amp;TEXT(ROW()-6,"00000"))</f>
        <v/>
      </c>
      <c r="C202" s="225" t="n"/>
      <c r="D202" s="108" t="n"/>
      <c r="E202" s="108" t="n"/>
      <c r="F202" s="226" t="n"/>
      <c r="G202" s="109" t="n"/>
      <c r="H202" s="109" t="n"/>
      <c r="I202" s="109" t="n"/>
      <c r="J202" s="113">
        <f>IF($C202="","",IF(AND($D202&lt;&gt;"",$E202&lt;&gt;"",$D202&lt;&gt;$E202,$F202&gt;0),"UYGUN","HATA"))</f>
        <v/>
      </c>
      <c r="K202" s="6" t="n"/>
      <c r="L202" s="6" t="n"/>
    </row>
    <row r="203">
      <c r="A203" s="6" t="n"/>
      <c r="B203" s="113">
        <f>IF($C203="","","V"&amp;TEXT(ROW()-6,"00000"))</f>
        <v/>
      </c>
      <c r="C203" s="225" t="n"/>
      <c r="D203" s="108" t="n"/>
      <c r="E203" s="108" t="n"/>
      <c r="F203" s="226" t="n"/>
      <c r="G203" s="109" t="n"/>
      <c r="H203" s="109" t="n"/>
      <c r="I203" s="109" t="n"/>
      <c r="J203" s="113">
        <f>IF($C203="","",IF(AND($D203&lt;&gt;"",$E203&lt;&gt;"",$D203&lt;&gt;$E203,$F203&gt;0),"UYGUN","HATA"))</f>
        <v/>
      </c>
      <c r="K203" s="6" t="n"/>
      <c r="L203" s="6" t="n"/>
    </row>
    <row r="204">
      <c r="A204" s="6" t="n"/>
      <c r="B204" s="113">
        <f>IF($C204="","","V"&amp;TEXT(ROW()-6,"00000"))</f>
        <v/>
      </c>
      <c r="C204" s="225" t="n"/>
      <c r="D204" s="108" t="n"/>
      <c r="E204" s="108" t="n"/>
      <c r="F204" s="226" t="n"/>
      <c r="G204" s="109" t="n"/>
      <c r="H204" s="109" t="n"/>
      <c r="I204" s="109" t="n"/>
      <c r="J204" s="113">
        <f>IF($C204="","",IF(AND($D204&lt;&gt;"",$E204&lt;&gt;"",$D204&lt;&gt;$E204,$F204&gt;0),"UYGUN","HATA"))</f>
        <v/>
      </c>
      <c r="K204" s="6" t="n"/>
      <c r="L204" s="6" t="n"/>
    </row>
    <row r="205">
      <c r="A205" s="6" t="n"/>
      <c r="B205" s="113">
        <f>IF($C205="","","V"&amp;TEXT(ROW()-6,"00000"))</f>
        <v/>
      </c>
      <c r="C205" s="225" t="n"/>
      <c r="D205" s="108" t="n"/>
      <c r="E205" s="108" t="n"/>
      <c r="F205" s="226" t="n"/>
      <c r="G205" s="109" t="n"/>
      <c r="H205" s="109" t="n"/>
      <c r="I205" s="109" t="n"/>
      <c r="J205" s="113">
        <f>IF($C205="","",IF(AND($D205&lt;&gt;"",$E205&lt;&gt;"",$D205&lt;&gt;$E205,$F205&gt;0),"UYGUN","HATA"))</f>
        <v/>
      </c>
      <c r="K205" s="6" t="n"/>
      <c r="L205" s="6" t="n"/>
    </row>
    <row r="206">
      <c r="A206" s="6" t="n"/>
      <c r="B206" s="113">
        <f>IF($C206="","","V"&amp;TEXT(ROW()-6,"00000"))</f>
        <v/>
      </c>
      <c r="C206" s="225" t="n"/>
      <c r="D206" s="108" t="n"/>
      <c r="E206" s="108" t="n"/>
      <c r="F206" s="226" t="n"/>
      <c r="G206" s="109" t="n"/>
      <c r="H206" s="109" t="n"/>
      <c r="I206" s="109" t="n"/>
      <c r="J206" s="113">
        <f>IF($C206="","",IF(AND($D206&lt;&gt;"",$E206&lt;&gt;"",$D206&lt;&gt;$E206,$F206&gt;0),"UYGUN","HATA"))</f>
        <v/>
      </c>
      <c r="K206" s="6" t="n"/>
      <c r="L206" s="6" t="n"/>
    </row>
    <row r="207">
      <c r="A207" s="6" t="n"/>
      <c r="B207" s="113">
        <f>IF($C207="","","V"&amp;TEXT(ROW()-6,"00000"))</f>
        <v/>
      </c>
      <c r="C207" s="225" t="n"/>
      <c r="D207" s="108" t="n"/>
      <c r="E207" s="108" t="n"/>
      <c r="F207" s="226" t="n"/>
      <c r="G207" s="109" t="n"/>
      <c r="H207" s="109" t="n"/>
      <c r="I207" s="109" t="n"/>
      <c r="J207" s="113">
        <f>IF($C207="","",IF(AND($D207&lt;&gt;"",$E207&lt;&gt;"",$D207&lt;&gt;$E207,$F207&gt;0),"UYGUN","HATA"))</f>
        <v/>
      </c>
      <c r="K207" s="6" t="n"/>
      <c r="L207" s="6" t="n"/>
    </row>
    <row r="208">
      <c r="A208" s="6" t="n"/>
      <c r="B208" s="113">
        <f>IF($C208="","","V"&amp;TEXT(ROW()-6,"00000"))</f>
        <v/>
      </c>
      <c r="C208" s="225" t="n"/>
      <c r="D208" s="108" t="n"/>
      <c r="E208" s="108" t="n"/>
      <c r="F208" s="226" t="n"/>
      <c r="G208" s="109" t="n"/>
      <c r="H208" s="109" t="n"/>
      <c r="I208" s="109" t="n"/>
      <c r="J208" s="113">
        <f>IF($C208="","",IF(AND($D208&lt;&gt;"",$E208&lt;&gt;"",$D208&lt;&gt;$E208,$F208&gt;0),"UYGUN","HATA"))</f>
        <v/>
      </c>
      <c r="K208" s="6" t="n"/>
      <c r="L208" s="6" t="n"/>
    </row>
    <row r="209">
      <c r="A209" s="6" t="n"/>
      <c r="B209" s="113">
        <f>IF($C209="","","V"&amp;TEXT(ROW()-6,"00000"))</f>
        <v/>
      </c>
      <c r="C209" s="225" t="n"/>
      <c r="D209" s="108" t="n"/>
      <c r="E209" s="108" t="n"/>
      <c r="F209" s="226" t="n"/>
      <c r="G209" s="109" t="n"/>
      <c r="H209" s="109" t="n"/>
      <c r="I209" s="109" t="n"/>
      <c r="J209" s="113">
        <f>IF($C209="","",IF(AND($D209&lt;&gt;"",$E209&lt;&gt;"",$D209&lt;&gt;$E209,$F209&gt;0),"UYGUN","HATA"))</f>
        <v/>
      </c>
      <c r="K209" s="6" t="n"/>
      <c r="L209" s="6" t="n"/>
    </row>
    <row r="210">
      <c r="A210" s="6" t="n"/>
      <c r="B210" s="113">
        <f>IF($C210="","","V"&amp;TEXT(ROW()-6,"00000"))</f>
        <v/>
      </c>
      <c r="C210" s="225" t="n"/>
      <c r="D210" s="108" t="n"/>
      <c r="E210" s="108" t="n"/>
      <c r="F210" s="226" t="n"/>
      <c r="G210" s="109" t="n"/>
      <c r="H210" s="109" t="n"/>
      <c r="I210" s="109" t="n"/>
      <c r="J210" s="113">
        <f>IF($C210="","",IF(AND($D210&lt;&gt;"",$E210&lt;&gt;"",$D210&lt;&gt;$E210,$F210&gt;0),"UYGUN","HATA"))</f>
        <v/>
      </c>
      <c r="K210" s="6" t="n"/>
      <c r="L210" s="6" t="n"/>
    </row>
    <row r="211">
      <c r="A211" s="6" t="n"/>
      <c r="B211" s="113">
        <f>IF($C211="","","V"&amp;TEXT(ROW()-6,"00000"))</f>
        <v/>
      </c>
      <c r="C211" s="225" t="n"/>
      <c r="D211" s="108" t="n"/>
      <c r="E211" s="108" t="n"/>
      <c r="F211" s="226" t="n"/>
      <c r="G211" s="109" t="n"/>
      <c r="H211" s="109" t="n"/>
      <c r="I211" s="109" t="n"/>
      <c r="J211" s="113">
        <f>IF($C211="","",IF(AND($D211&lt;&gt;"",$E211&lt;&gt;"",$D211&lt;&gt;$E211,$F211&gt;0),"UYGUN","HATA"))</f>
        <v/>
      </c>
      <c r="K211" s="6" t="n"/>
      <c r="L211" s="6" t="n"/>
    </row>
    <row r="212">
      <c r="A212" s="6" t="n"/>
      <c r="B212" s="113">
        <f>IF($C212="","","V"&amp;TEXT(ROW()-6,"00000"))</f>
        <v/>
      </c>
      <c r="C212" s="225" t="n"/>
      <c r="D212" s="108" t="n"/>
      <c r="E212" s="108" t="n"/>
      <c r="F212" s="226" t="n"/>
      <c r="G212" s="109" t="n"/>
      <c r="H212" s="109" t="n"/>
      <c r="I212" s="109" t="n"/>
      <c r="J212" s="113">
        <f>IF($C212="","",IF(AND($D212&lt;&gt;"",$E212&lt;&gt;"",$D212&lt;&gt;$E212,$F212&gt;0),"UYGUN","HATA"))</f>
        <v/>
      </c>
      <c r="K212" s="6" t="n"/>
      <c r="L212" s="6" t="n"/>
    </row>
    <row r="213">
      <c r="A213" s="6" t="n"/>
      <c r="B213" s="113">
        <f>IF($C213="","","V"&amp;TEXT(ROW()-6,"00000"))</f>
        <v/>
      </c>
      <c r="C213" s="225" t="n"/>
      <c r="D213" s="108" t="n"/>
      <c r="E213" s="108" t="n"/>
      <c r="F213" s="226" t="n"/>
      <c r="G213" s="109" t="n"/>
      <c r="H213" s="109" t="n"/>
      <c r="I213" s="109" t="n"/>
      <c r="J213" s="113">
        <f>IF($C213="","",IF(AND($D213&lt;&gt;"",$E213&lt;&gt;"",$D213&lt;&gt;$E213,$F213&gt;0),"UYGUN","HATA"))</f>
        <v/>
      </c>
      <c r="K213" s="6" t="n"/>
      <c r="L213" s="6" t="n"/>
    </row>
    <row r="214">
      <c r="A214" s="6" t="n"/>
      <c r="B214" s="113">
        <f>IF($C214="","","V"&amp;TEXT(ROW()-6,"00000"))</f>
        <v/>
      </c>
      <c r="C214" s="225" t="n"/>
      <c r="D214" s="108" t="n"/>
      <c r="E214" s="108" t="n"/>
      <c r="F214" s="226" t="n"/>
      <c r="G214" s="109" t="n"/>
      <c r="H214" s="109" t="n"/>
      <c r="I214" s="109" t="n"/>
      <c r="J214" s="113">
        <f>IF($C214="","",IF(AND($D214&lt;&gt;"",$E214&lt;&gt;"",$D214&lt;&gt;$E214,$F214&gt;0),"UYGUN","HATA"))</f>
        <v/>
      </c>
      <c r="K214" s="6" t="n"/>
      <c r="L214" s="6" t="n"/>
    </row>
    <row r="215">
      <c r="A215" s="6" t="n"/>
      <c r="B215" s="113">
        <f>IF($C215="","","V"&amp;TEXT(ROW()-6,"00000"))</f>
        <v/>
      </c>
      <c r="C215" s="225" t="n"/>
      <c r="D215" s="108" t="n"/>
      <c r="E215" s="108" t="n"/>
      <c r="F215" s="226" t="n"/>
      <c r="G215" s="109" t="n"/>
      <c r="H215" s="109" t="n"/>
      <c r="I215" s="109" t="n"/>
      <c r="J215" s="113">
        <f>IF($C215="","",IF(AND($D215&lt;&gt;"",$E215&lt;&gt;"",$D215&lt;&gt;$E215,$F215&gt;0),"UYGUN","HATA"))</f>
        <v/>
      </c>
      <c r="K215" s="6" t="n"/>
      <c r="L215" s="6" t="n"/>
    </row>
    <row r="216">
      <c r="A216" s="6" t="n"/>
      <c r="B216" s="113">
        <f>IF($C216="","","V"&amp;TEXT(ROW()-6,"00000"))</f>
        <v/>
      </c>
      <c r="C216" s="225" t="n"/>
      <c r="D216" s="108" t="n"/>
      <c r="E216" s="108" t="n"/>
      <c r="F216" s="226" t="n"/>
      <c r="G216" s="109" t="n"/>
      <c r="H216" s="109" t="n"/>
      <c r="I216" s="109" t="n"/>
      <c r="J216" s="113">
        <f>IF($C216="","",IF(AND($D216&lt;&gt;"",$E216&lt;&gt;"",$D216&lt;&gt;$E216,$F216&gt;0),"UYGUN","HATA"))</f>
        <v/>
      </c>
      <c r="K216" s="6" t="n"/>
      <c r="L216" s="6" t="n"/>
    </row>
    <row r="217">
      <c r="A217" s="6" t="n"/>
      <c r="B217" s="113">
        <f>IF($C217="","","V"&amp;TEXT(ROW()-6,"00000"))</f>
        <v/>
      </c>
      <c r="C217" s="225" t="n"/>
      <c r="D217" s="108" t="n"/>
      <c r="E217" s="108" t="n"/>
      <c r="F217" s="226" t="n"/>
      <c r="G217" s="109" t="n"/>
      <c r="H217" s="109" t="n"/>
      <c r="I217" s="109" t="n"/>
      <c r="J217" s="113">
        <f>IF($C217="","",IF(AND($D217&lt;&gt;"",$E217&lt;&gt;"",$D217&lt;&gt;$E217,$F217&gt;0),"UYGUN","HATA"))</f>
        <v/>
      </c>
      <c r="K217" s="6" t="n"/>
      <c r="L217" s="6" t="n"/>
    </row>
    <row r="218">
      <c r="A218" s="6" t="n"/>
      <c r="B218" s="113">
        <f>IF($C218="","","V"&amp;TEXT(ROW()-6,"00000"))</f>
        <v/>
      </c>
      <c r="C218" s="225" t="n"/>
      <c r="D218" s="108" t="n"/>
      <c r="E218" s="108" t="n"/>
      <c r="F218" s="226" t="n"/>
      <c r="G218" s="109" t="n"/>
      <c r="H218" s="109" t="n"/>
      <c r="I218" s="109" t="n"/>
      <c r="J218" s="113">
        <f>IF($C218="","",IF(AND($D218&lt;&gt;"",$E218&lt;&gt;"",$D218&lt;&gt;$E218,$F218&gt;0),"UYGUN","HATA"))</f>
        <v/>
      </c>
      <c r="K218" s="6" t="n"/>
      <c r="L218" s="6" t="n"/>
    </row>
    <row r="219">
      <c r="A219" s="6" t="n"/>
      <c r="B219" s="113">
        <f>IF($C219="","","V"&amp;TEXT(ROW()-6,"00000"))</f>
        <v/>
      </c>
      <c r="C219" s="225" t="n"/>
      <c r="D219" s="108" t="n"/>
      <c r="E219" s="108" t="n"/>
      <c r="F219" s="226" t="n"/>
      <c r="G219" s="109" t="n"/>
      <c r="H219" s="109" t="n"/>
      <c r="I219" s="109" t="n"/>
      <c r="J219" s="113">
        <f>IF($C219="","",IF(AND($D219&lt;&gt;"",$E219&lt;&gt;"",$D219&lt;&gt;$E219,$F219&gt;0),"UYGUN","HATA"))</f>
        <v/>
      </c>
      <c r="K219" s="6" t="n"/>
      <c r="L219" s="6" t="n"/>
    </row>
    <row r="220">
      <c r="A220" s="6" t="n"/>
      <c r="B220" s="113">
        <f>IF($C220="","","V"&amp;TEXT(ROW()-6,"00000"))</f>
        <v/>
      </c>
      <c r="C220" s="225" t="n"/>
      <c r="D220" s="108" t="n"/>
      <c r="E220" s="108" t="n"/>
      <c r="F220" s="226" t="n"/>
      <c r="G220" s="109" t="n"/>
      <c r="H220" s="109" t="n"/>
      <c r="I220" s="109" t="n"/>
      <c r="J220" s="113">
        <f>IF($C220="","",IF(AND($D220&lt;&gt;"",$E220&lt;&gt;"",$D220&lt;&gt;$E220,$F220&gt;0),"UYGUN","HATA"))</f>
        <v/>
      </c>
      <c r="K220" s="6" t="n"/>
      <c r="L220" s="6" t="n"/>
    </row>
    <row r="221">
      <c r="A221" s="6" t="n"/>
      <c r="B221" s="113">
        <f>IF($C221="","","V"&amp;TEXT(ROW()-6,"00000"))</f>
        <v/>
      </c>
      <c r="C221" s="225" t="n"/>
      <c r="D221" s="108" t="n"/>
      <c r="E221" s="108" t="n"/>
      <c r="F221" s="226" t="n"/>
      <c r="G221" s="109" t="n"/>
      <c r="H221" s="109" t="n"/>
      <c r="I221" s="109" t="n"/>
      <c r="J221" s="113">
        <f>IF($C221="","",IF(AND($D221&lt;&gt;"",$E221&lt;&gt;"",$D221&lt;&gt;$E221,$F221&gt;0),"UYGUN","HATA"))</f>
        <v/>
      </c>
      <c r="K221" s="6" t="n"/>
      <c r="L221" s="6" t="n"/>
    </row>
    <row r="222">
      <c r="A222" s="6" t="n"/>
      <c r="B222" s="113">
        <f>IF($C222="","","V"&amp;TEXT(ROW()-6,"00000"))</f>
        <v/>
      </c>
      <c r="C222" s="225" t="n"/>
      <c r="D222" s="108" t="n"/>
      <c r="E222" s="108" t="n"/>
      <c r="F222" s="226" t="n"/>
      <c r="G222" s="109" t="n"/>
      <c r="H222" s="109" t="n"/>
      <c r="I222" s="109" t="n"/>
      <c r="J222" s="113">
        <f>IF($C222="","",IF(AND($D222&lt;&gt;"",$E222&lt;&gt;"",$D222&lt;&gt;$E222,$F222&gt;0),"UYGUN","HATA"))</f>
        <v/>
      </c>
      <c r="K222" s="6" t="n"/>
      <c r="L222" s="6" t="n"/>
    </row>
    <row r="223">
      <c r="A223" s="6" t="n"/>
      <c r="B223" s="113">
        <f>IF($C223="","","V"&amp;TEXT(ROW()-6,"00000"))</f>
        <v/>
      </c>
      <c r="C223" s="225" t="n"/>
      <c r="D223" s="108" t="n"/>
      <c r="E223" s="108" t="n"/>
      <c r="F223" s="226" t="n"/>
      <c r="G223" s="109" t="n"/>
      <c r="H223" s="109" t="n"/>
      <c r="I223" s="109" t="n"/>
      <c r="J223" s="113">
        <f>IF($C223="","",IF(AND($D223&lt;&gt;"",$E223&lt;&gt;"",$D223&lt;&gt;$E223,$F223&gt;0),"UYGUN","HATA"))</f>
        <v/>
      </c>
      <c r="K223" s="6" t="n"/>
      <c r="L223" s="6" t="n"/>
    </row>
    <row r="224">
      <c r="A224" s="6" t="n"/>
      <c r="B224" s="113">
        <f>IF($C224="","","V"&amp;TEXT(ROW()-6,"00000"))</f>
        <v/>
      </c>
      <c r="C224" s="225" t="n"/>
      <c r="D224" s="108" t="n"/>
      <c r="E224" s="108" t="n"/>
      <c r="F224" s="226" t="n"/>
      <c r="G224" s="109" t="n"/>
      <c r="H224" s="109" t="n"/>
      <c r="I224" s="109" t="n"/>
      <c r="J224" s="113">
        <f>IF($C224="","",IF(AND($D224&lt;&gt;"",$E224&lt;&gt;"",$D224&lt;&gt;$E224,$F224&gt;0),"UYGUN","HATA"))</f>
        <v/>
      </c>
      <c r="K224" s="6" t="n"/>
      <c r="L224" s="6" t="n"/>
    </row>
    <row r="225">
      <c r="A225" s="6" t="n"/>
      <c r="B225" s="113">
        <f>IF($C225="","","V"&amp;TEXT(ROW()-6,"00000"))</f>
        <v/>
      </c>
      <c r="C225" s="225" t="n"/>
      <c r="D225" s="108" t="n"/>
      <c r="E225" s="108" t="n"/>
      <c r="F225" s="226" t="n"/>
      <c r="G225" s="109" t="n"/>
      <c r="H225" s="109" t="n"/>
      <c r="I225" s="109" t="n"/>
      <c r="J225" s="113">
        <f>IF($C225="","",IF(AND($D225&lt;&gt;"",$E225&lt;&gt;"",$D225&lt;&gt;$E225,$F225&gt;0),"UYGUN","HATA"))</f>
        <v/>
      </c>
      <c r="K225" s="6" t="n"/>
      <c r="L225" s="6" t="n"/>
    </row>
    <row r="226">
      <c r="A226" s="6" t="n"/>
      <c r="B226" s="113">
        <f>IF($C226="","","V"&amp;TEXT(ROW()-6,"00000"))</f>
        <v/>
      </c>
      <c r="C226" s="225" t="n"/>
      <c r="D226" s="108" t="n"/>
      <c r="E226" s="108" t="n"/>
      <c r="F226" s="226" t="n"/>
      <c r="G226" s="109" t="n"/>
      <c r="H226" s="109" t="n"/>
      <c r="I226" s="109" t="n"/>
      <c r="J226" s="113">
        <f>IF($C226="","",IF(AND($D226&lt;&gt;"",$E226&lt;&gt;"",$D226&lt;&gt;$E226,$F226&gt;0),"UYGUN","HATA"))</f>
        <v/>
      </c>
      <c r="K226" s="6" t="n"/>
      <c r="L226" s="6" t="n"/>
    </row>
    <row r="227">
      <c r="A227" s="6" t="n"/>
      <c r="B227" s="113">
        <f>IF($C227="","","V"&amp;TEXT(ROW()-6,"00000"))</f>
        <v/>
      </c>
      <c r="C227" s="225" t="n"/>
      <c r="D227" s="108" t="n"/>
      <c r="E227" s="108" t="n"/>
      <c r="F227" s="226" t="n"/>
      <c r="G227" s="109" t="n"/>
      <c r="H227" s="109" t="n"/>
      <c r="I227" s="109" t="n"/>
      <c r="J227" s="113">
        <f>IF($C227="","",IF(AND($D227&lt;&gt;"",$E227&lt;&gt;"",$D227&lt;&gt;$E227,$F227&gt;0),"UYGUN","HATA"))</f>
        <v/>
      </c>
      <c r="K227" s="6" t="n"/>
      <c r="L227" s="6" t="n"/>
    </row>
    <row r="228">
      <c r="A228" s="6" t="n"/>
      <c r="B228" s="113">
        <f>IF($C228="","","V"&amp;TEXT(ROW()-6,"00000"))</f>
        <v/>
      </c>
      <c r="C228" s="225" t="n"/>
      <c r="D228" s="108" t="n"/>
      <c r="E228" s="108" t="n"/>
      <c r="F228" s="226" t="n"/>
      <c r="G228" s="109" t="n"/>
      <c r="H228" s="109" t="n"/>
      <c r="I228" s="109" t="n"/>
      <c r="J228" s="113">
        <f>IF($C228="","",IF(AND($D228&lt;&gt;"",$E228&lt;&gt;"",$D228&lt;&gt;$E228,$F228&gt;0),"UYGUN","HATA"))</f>
        <v/>
      </c>
      <c r="K228" s="6" t="n"/>
      <c r="L228" s="6" t="n"/>
    </row>
    <row r="229">
      <c r="A229" s="6" t="n"/>
      <c r="B229" s="113">
        <f>IF($C229="","","V"&amp;TEXT(ROW()-6,"00000"))</f>
        <v/>
      </c>
      <c r="C229" s="225" t="n"/>
      <c r="D229" s="108" t="n"/>
      <c r="E229" s="108" t="n"/>
      <c r="F229" s="226" t="n"/>
      <c r="G229" s="109" t="n"/>
      <c r="H229" s="109" t="n"/>
      <c r="I229" s="109" t="n"/>
      <c r="J229" s="113">
        <f>IF($C229="","",IF(AND($D229&lt;&gt;"",$E229&lt;&gt;"",$D229&lt;&gt;$E229,$F229&gt;0),"UYGUN","HATA"))</f>
        <v/>
      </c>
      <c r="K229" s="6" t="n"/>
      <c r="L229" s="6" t="n"/>
    </row>
    <row r="230">
      <c r="A230" s="6" t="n"/>
      <c r="B230" s="113">
        <f>IF($C230="","","V"&amp;TEXT(ROW()-6,"00000"))</f>
        <v/>
      </c>
      <c r="C230" s="225" t="n"/>
      <c r="D230" s="108" t="n"/>
      <c r="E230" s="108" t="n"/>
      <c r="F230" s="226" t="n"/>
      <c r="G230" s="109" t="n"/>
      <c r="H230" s="109" t="n"/>
      <c r="I230" s="109" t="n"/>
      <c r="J230" s="113">
        <f>IF($C230="","",IF(AND($D230&lt;&gt;"",$E230&lt;&gt;"",$D230&lt;&gt;$E230,$F230&gt;0),"UYGUN","HATA"))</f>
        <v/>
      </c>
      <c r="K230" s="6" t="n"/>
      <c r="L230" s="6" t="n"/>
    </row>
    <row r="231">
      <c r="A231" s="6" t="n"/>
      <c r="B231" s="113">
        <f>IF($C231="","","V"&amp;TEXT(ROW()-6,"00000"))</f>
        <v/>
      </c>
      <c r="C231" s="225" t="n"/>
      <c r="D231" s="108" t="n"/>
      <c r="E231" s="108" t="n"/>
      <c r="F231" s="226" t="n"/>
      <c r="G231" s="109" t="n"/>
      <c r="H231" s="109" t="n"/>
      <c r="I231" s="109" t="n"/>
      <c r="J231" s="113">
        <f>IF($C231="","",IF(AND($D231&lt;&gt;"",$E231&lt;&gt;"",$D231&lt;&gt;$E231,$F231&gt;0),"UYGUN","HATA"))</f>
        <v/>
      </c>
      <c r="K231" s="6" t="n"/>
      <c r="L231" s="6" t="n"/>
    </row>
    <row r="232">
      <c r="A232" s="6" t="n"/>
      <c r="B232" s="113">
        <f>IF($C232="","","V"&amp;TEXT(ROW()-6,"00000"))</f>
        <v/>
      </c>
      <c r="C232" s="225" t="n"/>
      <c r="D232" s="108" t="n"/>
      <c r="E232" s="108" t="n"/>
      <c r="F232" s="226" t="n"/>
      <c r="G232" s="109" t="n"/>
      <c r="H232" s="109" t="n"/>
      <c r="I232" s="109" t="n"/>
      <c r="J232" s="113">
        <f>IF($C232="","",IF(AND($D232&lt;&gt;"",$E232&lt;&gt;"",$D232&lt;&gt;$E232,$F232&gt;0),"UYGUN","HATA"))</f>
        <v/>
      </c>
      <c r="K232" s="6" t="n"/>
      <c r="L232" s="6" t="n"/>
    </row>
    <row r="233">
      <c r="A233" s="6" t="n"/>
      <c r="B233" s="113">
        <f>IF($C233="","","V"&amp;TEXT(ROW()-6,"00000"))</f>
        <v/>
      </c>
      <c r="C233" s="225" t="n"/>
      <c r="D233" s="108" t="n"/>
      <c r="E233" s="108" t="n"/>
      <c r="F233" s="226" t="n"/>
      <c r="G233" s="109" t="n"/>
      <c r="H233" s="109" t="n"/>
      <c r="I233" s="109" t="n"/>
      <c r="J233" s="113">
        <f>IF($C233="","",IF(AND($D233&lt;&gt;"",$E233&lt;&gt;"",$D233&lt;&gt;$E233,$F233&gt;0),"UYGUN","HATA"))</f>
        <v/>
      </c>
      <c r="K233" s="6" t="n"/>
      <c r="L233" s="6" t="n"/>
    </row>
    <row r="234">
      <c r="A234" s="6" t="n"/>
      <c r="B234" s="113">
        <f>IF($C234="","","V"&amp;TEXT(ROW()-6,"00000"))</f>
        <v/>
      </c>
      <c r="C234" s="225" t="n"/>
      <c r="D234" s="108" t="n"/>
      <c r="E234" s="108" t="n"/>
      <c r="F234" s="226" t="n"/>
      <c r="G234" s="109" t="n"/>
      <c r="H234" s="109" t="n"/>
      <c r="I234" s="109" t="n"/>
      <c r="J234" s="113">
        <f>IF($C234="","",IF(AND($D234&lt;&gt;"",$E234&lt;&gt;"",$D234&lt;&gt;$E234,$F234&gt;0),"UYGUN","HATA"))</f>
        <v/>
      </c>
      <c r="K234" s="6" t="n"/>
      <c r="L234" s="6" t="n"/>
    </row>
    <row r="235">
      <c r="A235" s="6" t="n"/>
      <c r="B235" s="113">
        <f>IF($C235="","","V"&amp;TEXT(ROW()-6,"00000"))</f>
        <v/>
      </c>
      <c r="C235" s="225" t="n"/>
      <c r="D235" s="108" t="n"/>
      <c r="E235" s="108" t="n"/>
      <c r="F235" s="226" t="n"/>
      <c r="G235" s="109" t="n"/>
      <c r="H235" s="109" t="n"/>
      <c r="I235" s="109" t="n"/>
      <c r="J235" s="113">
        <f>IF($C235="","",IF(AND($D235&lt;&gt;"",$E235&lt;&gt;"",$D235&lt;&gt;$E235,$F235&gt;0),"UYGUN","HATA"))</f>
        <v/>
      </c>
      <c r="K235" s="6" t="n"/>
      <c r="L235" s="6" t="n"/>
    </row>
    <row r="236">
      <c r="A236" s="6" t="n"/>
      <c r="B236" s="113">
        <f>IF($C236="","","V"&amp;TEXT(ROW()-6,"00000"))</f>
        <v/>
      </c>
      <c r="C236" s="225" t="n"/>
      <c r="D236" s="108" t="n"/>
      <c r="E236" s="108" t="n"/>
      <c r="F236" s="226" t="n"/>
      <c r="G236" s="109" t="n"/>
      <c r="H236" s="109" t="n"/>
      <c r="I236" s="109" t="n"/>
      <c r="J236" s="113">
        <f>IF($C236="","",IF(AND($D236&lt;&gt;"",$E236&lt;&gt;"",$D236&lt;&gt;$E236,$F236&gt;0),"UYGUN","HATA"))</f>
        <v/>
      </c>
      <c r="K236" s="6" t="n"/>
      <c r="L236" s="6" t="n"/>
    </row>
    <row r="237">
      <c r="A237" s="6" t="n"/>
      <c r="B237" s="113">
        <f>IF($C237="","","V"&amp;TEXT(ROW()-6,"00000"))</f>
        <v/>
      </c>
      <c r="C237" s="225" t="n"/>
      <c r="D237" s="108" t="n"/>
      <c r="E237" s="108" t="n"/>
      <c r="F237" s="226" t="n"/>
      <c r="G237" s="109" t="n"/>
      <c r="H237" s="109" t="n"/>
      <c r="I237" s="109" t="n"/>
      <c r="J237" s="113">
        <f>IF($C237="","",IF(AND($D237&lt;&gt;"",$E237&lt;&gt;"",$D237&lt;&gt;$E237,$F237&gt;0),"UYGUN","HATA"))</f>
        <v/>
      </c>
      <c r="K237" s="6" t="n"/>
      <c r="L237" s="6" t="n"/>
    </row>
    <row r="238">
      <c r="A238" s="6" t="n"/>
      <c r="B238" s="113">
        <f>IF($C238="","","V"&amp;TEXT(ROW()-6,"00000"))</f>
        <v/>
      </c>
      <c r="C238" s="225" t="n"/>
      <c r="D238" s="108" t="n"/>
      <c r="E238" s="108" t="n"/>
      <c r="F238" s="226" t="n"/>
      <c r="G238" s="109" t="n"/>
      <c r="H238" s="109" t="n"/>
      <c r="I238" s="109" t="n"/>
      <c r="J238" s="113">
        <f>IF($C238="","",IF(AND($D238&lt;&gt;"",$E238&lt;&gt;"",$D238&lt;&gt;$E238,$F238&gt;0),"UYGUN","HATA"))</f>
        <v/>
      </c>
      <c r="K238" s="6" t="n"/>
      <c r="L238" s="6" t="n"/>
    </row>
    <row r="239">
      <c r="A239" s="6" t="n"/>
      <c r="B239" s="113">
        <f>IF($C239="","","V"&amp;TEXT(ROW()-6,"00000"))</f>
        <v/>
      </c>
      <c r="C239" s="225" t="n"/>
      <c r="D239" s="108" t="n"/>
      <c r="E239" s="108" t="n"/>
      <c r="F239" s="226" t="n"/>
      <c r="G239" s="109" t="n"/>
      <c r="H239" s="109" t="n"/>
      <c r="I239" s="109" t="n"/>
      <c r="J239" s="113">
        <f>IF($C239="","",IF(AND($D239&lt;&gt;"",$E239&lt;&gt;"",$D239&lt;&gt;$E239,$F239&gt;0),"UYGUN","HATA"))</f>
        <v/>
      </c>
      <c r="K239" s="6" t="n"/>
      <c r="L239" s="6" t="n"/>
    </row>
    <row r="240">
      <c r="A240" s="6" t="n"/>
      <c r="B240" s="113">
        <f>IF($C240="","","V"&amp;TEXT(ROW()-6,"00000"))</f>
        <v/>
      </c>
      <c r="C240" s="225" t="n"/>
      <c r="D240" s="108" t="n"/>
      <c r="E240" s="108" t="n"/>
      <c r="F240" s="226" t="n"/>
      <c r="G240" s="109" t="n"/>
      <c r="H240" s="109" t="n"/>
      <c r="I240" s="109" t="n"/>
      <c r="J240" s="113">
        <f>IF($C240="","",IF(AND($D240&lt;&gt;"",$E240&lt;&gt;"",$D240&lt;&gt;$E240,$F240&gt;0),"UYGUN","HATA"))</f>
        <v/>
      </c>
      <c r="K240" s="6" t="n"/>
      <c r="L240" s="6" t="n"/>
    </row>
    <row r="241">
      <c r="A241" s="6" t="n"/>
      <c r="B241" s="113">
        <f>IF($C241="","","V"&amp;TEXT(ROW()-6,"00000"))</f>
        <v/>
      </c>
      <c r="C241" s="225" t="n"/>
      <c r="D241" s="108" t="n"/>
      <c r="E241" s="108" t="n"/>
      <c r="F241" s="226" t="n"/>
      <c r="G241" s="109" t="n"/>
      <c r="H241" s="109" t="n"/>
      <c r="I241" s="109" t="n"/>
      <c r="J241" s="113">
        <f>IF($C241="","",IF(AND($D241&lt;&gt;"",$E241&lt;&gt;"",$D241&lt;&gt;$E241,$F241&gt;0),"UYGUN","HATA"))</f>
        <v/>
      </c>
      <c r="K241" s="6" t="n"/>
      <c r="L241" s="6" t="n"/>
    </row>
    <row r="242">
      <c r="A242" s="6" t="n"/>
      <c r="B242" s="113">
        <f>IF($C242="","","V"&amp;TEXT(ROW()-6,"00000"))</f>
        <v/>
      </c>
      <c r="C242" s="225" t="n"/>
      <c r="D242" s="108" t="n"/>
      <c r="E242" s="108" t="n"/>
      <c r="F242" s="226" t="n"/>
      <c r="G242" s="109" t="n"/>
      <c r="H242" s="109" t="n"/>
      <c r="I242" s="109" t="n"/>
      <c r="J242" s="113">
        <f>IF($C242="","",IF(AND($D242&lt;&gt;"",$E242&lt;&gt;"",$D242&lt;&gt;$E242,$F242&gt;0),"UYGUN","HATA"))</f>
        <v/>
      </c>
      <c r="K242" s="6" t="n"/>
      <c r="L242" s="6" t="n"/>
    </row>
    <row r="243">
      <c r="A243" s="6" t="n"/>
      <c r="B243" s="113">
        <f>IF($C243="","","V"&amp;TEXT(ROW()-6,"00000"))</f>
        <v/>
      </c>
      <c r="C243" s="225" t="n"/>
      <c r="D243" s="108" t="n"/>
      <c r="E243" s="108" t="n"/>
      <c r="F243" s="226" t="n"/>
      <c r="G243" s="109" t="n"/>
      <c r="H243" s="109" t="n"/>
      <c r="I243" s="109" t="n"/>
      <c r="J243" s="113">
        <f>IF($C243="","",IF(AND($D243&lt;&gt;"",$E243&lt;&gt;"",$D243&lt;&gt;$E243,$F243&gt;0),"UYGUN","HATA"))</f>
        <v/>
      </c>
      <c r="K243" s="6" t="n"/>
      <c r="L243" s="6" t="n"/>
    </row>
    <row r="244">
      <c r="A244" s="6" t="n"/>
      <c r="B244" s="113">
        <f>IF($C244="","","V"&amp;TEXT(ROW()-6,"00000"))</f>
        <v/>
      </c>
      <c r="C244" s="225" t="n"/>
      <c r="D244" s="108" t="n"/>
      <c r="E244" s="108" t="n"/>
      <c r="F244" s="226" t="n"/>
      <c r="G244" s="109" t="n"/>
      <c r="H244" s="109" t="n"/>
      <c r="I244" s="109" t="n"/>
      <c r="J244" s="113">
        <f>IF($C244="","",IF(AND($D244&lt;&gt;"",$E244&lt;&gt;"",$D244&lt;&gt;$E244,$F244&gt;0),"UYGUN","HATA"))</f>
        <v/>
      </c>
      <c r="K244" s="6" t="n"/>
      <c r="L244" s="6" t="n"/>
    </row>
    <row r="245">
      <c r="A245" s="6" t="n"/>
      <c r="B245" s="113">
        <f>IF($C245="","","V"&amp;TEXT(ROW()-6,"00000"))</f>
        <v/>
      </c>
      <c r="C245" s="225" t="n"/>
      <c r="D245" s="108" t="n"/>
      <c r="E245" s="108" t="n"/>
      <c r="F245" s="226" t="n"/>
      <c r="G245" s="109" t="n"/>
      <c r="H245" s="109" t="n"/>
      <c r="I245" s="109" t="n"/>
      <c r="J245" s="113">
        <f>IF($C245="","",IF(AND($D245&lt;&gt;"",$E245&lt;&gt;"",$D245&lt;&gt;$E245,$F245&gt;0),"UYGUN","HATA"))</f>
        <v/>
      </c>
      <c r="K245" s="6" t="n"/>
      <c r="L245" s="6" t="n"/>
    </row>
    <row r="246">
      <c r="A246" s="6" t="n"/>
      <c r="B246" s="113">
        <f>IF($C246="","","V"&amp;TEXT(ROW()-6,"00000"))</f>
        <v/>
      </c>
      <c r="C246" s="225" t="n"/>
      <c r="D246" s="108" t="n"/>
      <c r="E246" s="108" t="n"/>
      <c r="F246" s="226" t="n"/>
      <c r="G246" s="109" t="n"/>
      <c r="H246" s="109" t="n"/>
      <c r="I246" s="109" t="n"/>
      <c r="J246" s="113">
        <f>IF($C246="","",IF(AND($D246&lt;&gt;"",$E246&lt;&gt;"",$D246&lt;&gt;$E246,$F246&gt;0),"UYGUN","HATA"))</f>
        <v/>
      </c>
      <c r="K246" s="6" t="n"/>
      <c r="L246" s="6" t="n"/>
    </row>
    <row r="247">
      <c r="A247" s="6" t="n"/>
      <c r="B247" s="113">
        <f>IF($C247="","","V"&amp;TEXT(ROW()-6,"00000"))</f>
        <v/>
      </c>
      <c r="C247" s="225" t="n"/>
      <c r="D247" s="108" t="n"/>
      <c r="E247" s="108" t="n"/>
      <c r="F247" s="226" t="n"/>
      <c r="G247" s="109" t="n"/>
      <c r="H247" s="109" t="n"/>
      <c r="I247" s="109" t="n"/>
      <c r="J247" s="113">
        <f>IF($C247="","",IF(AND($D247&lt;&gt;"",$E247&lt;&gt;"",$D247&lt;&gt;$E247,$F247&gt;0),"UYGUN","HATA"))</f>
        <v/>
      </c>
      <c r="K247" s="6" t="n"/>
      <c r="L247" s="6" t="n"/>
    </row>
    <row r="248">
      <c r="A248" s="6" t="n"/>
      <c r="B248" s="113">
        <f>IF($C248="","","V"&amp;TEXT(ROW()-6,"00000"))</f>
        <v/>
      </c>
      <c r="C248" s="225" t="n"/>
      <c r="D248" s="108" t="n"/>
      <c r="E248" s="108" t="n"/>
      <c r="F248" s="226" t="n"/>
      <c r="G248" s="109" t="n"/>
      <c r="H248" s="109" t="n"/>
      <c r="I248" s="109" t="n"/>
      <c r="J248" s="113">
        <f>IF($C248="","",IF(AND($D248&lt;&gt;"",$E248&lt;&gt;"",$D248&lt;&gt;$E248,$F248&gt;0),"UYGUN","HATA"))</f>
        <v/>
      </c>
      <c r="K248" s="6" t="n"/>
      <c r="L248" s="6" t="n"/>
    </row>
    <row r="249">
      <c r="A249" s="6" t="n"/>
      <c r="B249" s="113">
        <f>IF($C249="","","V"&amp;TEXT(ROW()-6,"00000"))</f>
        <v/>
      </c>
      <c r="C249" s="225" t="n"/>
      <c r="D249" s="108" t="n"/>
      <c r="E249" s="108" t="n"/>
      <c r="F249" s="226" t="n"/>
      <c r="G249" s="109" t="n"/>
      <c r="H249" s="109" t="n"/>
      <c r="I249" s="109" t="n"/>
      <c r="J249" s="113">
        <f>IF($C249="","",IF(AND($D249&lt;&gt;"",$E249&lt;&gt;"",$D249&lt;&gt;$E249,$F249&gt;0),"UYGUN","HATA"))</f>
        <v/>
      </c>
      <c r="K249" s="6" t="n"/>
      <c r="L249" s="6" t="n"/>
    </row>
    <row r="250">
      <c r="A250" s="6" t="n"/>
      <c r="B250" s="113">
        <f>IF($C250="","","V"&amp;TEXT(ROW()-6,"00000"))</f>
        <v/>
      </c>
      <c r="C250" s="225" t="n"/>
      <c r="D250" s="108" t="n"/>
      <c r="E250" s="108" t="n"/>
      <c r="F250" s="226" t="n"/>
      <c r="G250" s="109" t="n"/>
      <c r="H250" s="109" t="n"/>
      <c r="I250" s="109" t="n"/>
      <c r="J250" s="113">
        <f>IF($C250="","",IF(AND($D250&lt;&gt;"",$E250&lt;&gt;"",$D250&lt;&gt;$E250,$F250&gt;0),"UYGUN","HATA"))</f>
        <v/>
      </c>
      <c r="K250" s="6" t="n"/>
      <c r="L250" s="6" t="n"/>
    </row>
    <row r="251">
      <c r="A251" s="6" t="n"/>
      <c r="B251" s="113">
        <f>IF($C251="","","V"&amp;TEXT(ROW()-6,"00000"))</f>
        <v/>
      </c>
      <c r="C251" s="225" t="n"/>
      <c r="D251" s="108" t="n"/>
      <c r="E251" s="108" t="n"/>
      <c r="F251" s="226" t="n"/>
      <c r="G251" s="109" t="n"/>
      <c r="H251" s="109" t="n"/>
      <c r="I251" s="109" t="n"/>
      <c r="J251" s="113">
        <f>IF($C251="","",IF(AND($D251&lt;&gt;"",$E251&lt;&gt;"",$D251&lt;&gt;$E251,$F251&gt;0),"UYGUN","HATA"))</f>
        <v/>
      </c>
      <c r="K251" s="6" t="n"/>
      <c r="L251" s="6" t="n"/>
    </row>
    <row r="252">
      <c r="A252" s="6" t="n"/>
      <c r="B252" s="113">
        <f>IF($C252="","","V"&amp;TEXT(ROW()-6,"00000"))</f>
        <v/>
      </c>
      <c r="C252" s="225" t="n"/>
      <c r="D252" s="108" t="n"/>
      <c r="E252" s="108" t="n"/>
      <c r="F252" s="226" t="n"/>
      <c r="G252" s="109" t="n"/>
      <c r="H252" s="109" t="n"/>
      <c r="I252" s="109" t="n"/>
      <c r="J252" s="113">
        <f>IF($C252="","",IF(AND($D252&lt;&gt;"",$E252&lt;&gt;"",$D252&lt;&gt;$E252,$F252&gt;0),"UYGUN","HATA"))</f>
        <v/>
      </c>
      <c r="K252" s="6" t="n"/>
      <c r="L252" s="6" t="n"/>
    </row>
    <row r="253">
      <c r="A253" s="6" t="n"/>
      <c r="B253" s="113">
        <f>IF($C253="","","V"&amp;TEXT(ROW()-6,"00000"))</f>
        <v/>
      </c>
      <c r="C253" s="225" t="n"/>
      <c r="D253" s="108" t="n"/>
      <c r="E253" s="108" t="n"/>
      <c r="F253" s="226" t="n"/>
      <c r="G253" s="109" t="n"/>
      <c r="H253" s="109" t="n"/>
      <c r="I253" s="109" t="n"/>
      <c r="J253" s="113">
        <f>IF($C253="","",IF(AND($D253&lt;&gt;"",$E253&lt;&gt;"",$D253&lt;&gt;$E253,$F253&gt;0),"UYGUN","HATA"))</f>
        <v/>
      </c>
      <c r="K253" s="6" t="n"/>
      <c r="L253" s="6" t="n"/>
    </row>
    <row r="254">
      <c r="A254" s="6" t="n"/>
      <c r="B254" s="113">
        <f>IF($C254="","","V"&amp;TEXT(ROW()-6,"00000"))</f>
        <v/>
      </c>
      <c r="C254" s="225" t="n"/>
      <c r="D254" s="108" t="n"/>
      <c r="E254" s="108" t="n"/>
      <c r="F254" s="226" t="n"/>
      <c r="G254" s="109" t="n"/>
      <c r="H254" s="109" t="n"/>
      <c r="I254" s="109" t="n"/>
      <c r="J254" s="113">
        <f>IF($C254="","",IF(AND($D254&lt;&gt;"",$E254&lt;&gt;"",$D254&lt;&gt;$E254,$F254&gt;0),"UYGUN","HATA"))</f>
        <v/>
      </c>
      <c r="K254" s="6" t="n"/>
      <c r="L254" s="6" t="n"/>
    </row>
    <row r="255">
      <c r="A255" s="6" t="n"/>
      <c r="B255" s="113">
        <f>IF($C255="","","V"&amp;TEXT(ROW()-6,"00000"))</f>
        <v/>
      </c>
      <c r="C255" s="225" t="n"/>
      <c r="D255" s="108" t="n"/>
      <c r="E255" s="108" t="n"/>
      <c r="F255" s="226" t="n"/>
      <c r="G255" s="109" t="n"/>
      <c r="H255" s="109" t="n"/>
      <c r="I255" s="109" t="n"/>
      <c r="J255" s="113">
        <f>IF($C255="","",IF(AND($D255&lt;&gt;"",$E255&lt;&gt;"",$D255&lt;&gt;$E255,$F255&gt;0),"UYGUN","HATA"))</f>
        <v/>
      </c>
      <c r="K255" s="6" t="n"/>
      <c r="L255" s="6" t="n"/>
    </row>
    <row r="256">
      <c r="A256" s="6" t="n"/>
      <c r="B256" s="113">
        <f>IF($C256="","","V"&amp;TEXT(ROW()-6,"00000"))</f>
        <v/>
      </c>
      <c r="C256" s="225" t="n"/>
      <c r="D256" s="108" t="n"/>
      <c r="E256" s="108" t="n"/>
      <c r="F256" s="226" t="n"/>
      <c r="G256" s="109" t="n"/>
      <c r="H256" s="109" t="n"/>
      <c r="I256" s="109" t="n"/>
      <c r="J256" s="113">
        <f>IF($C256="","",IF(AND($D256&lt;&gt;"",$E256&lt;&gt;"",$D256&lt;&gt;$E256,$F256&gt;0),"UYGUN","HATA"))</f>
        <v/>
      </c>
      <c r="K256" s="6" t="n"/>
      <c r="L256" s="6" t="n"/>
    </row>
    <row r="257">
      <c r="A257" s="6" t="n"/>
      <c r="B257" s="113">
        <f>IF($C257="","","V"&amp;TEXT(ROW()-6,"00000"))</f>
        <v/>
      </c>
      <c r="C257" s="225" t="n"/>
      <c r="D257" s="108" t="n"/>
      <c r="E257" s="108" t="n"/>
      <c r="F257" s="226" t="n"/>
      <c r="G257" s="109" t="n"/>
      <c r="H257" s="109" t="n"/>
      <c r="I257" s="109" t="n"/>
      <c r="J257" s="113">
        <f>IF($C257="","",IF(AND($D257&lt;&gt;"",$E257&lt;&gt;"",$D257&lt;&gt;$E257,$F257&gt;0),"UYGUN","HATA"))</f>
        <v/>
      </c>
      <c r="K257" s="6" t="n"/>
      <c r="L257" s="6" t="n"/>
    </row>
    <row r="258">
      <c r="A258" s="6" t="n"/>
      <c r="B258" s="113">
        <f>IF($C258="","","V"&amp;TEXT(ROW()-6,"00000"))</f>
        <v/>
      </c>
      <c r="C258" s="225" t="n"/>
      <c r="D258" s="108" t="n"/>
      <c r="E258" s="108" t="n"/>
      <c r="F258" s="226" t="n"/>
      <c r="G258" s="109" t="n"/>
      <c r="H258" s="109" t="n"/>
      <c r="I258" s="109" t="n"/>
      <c r="J258" s="113">
        <f>IF($C258="","",IF(AND($D258&lt;&gt;"",$E258&lt;&gt;"",$D258&lt;&gt;$E258,$F258&gt;0),"UYGUN","HATA"))</f>
        <v/>
      </c>
      <c r="K258" s="6" t="n"/>
      <c r="L258" s="6" t="n"/>
    </row>
    <row r="259">
      <c r="A259" s="6" t="n"/>
      <c r="B259" s="113">
        <f>IF($C259="","","V"&amp;TEXT(ROW()-6,"00000"))</f>
        <v/>
      </c>
      <c r="C259" s="225" t="n"/>
      <c r="D259" s="108" t="n"/>
      <c r="E259" s="108" t="n"/>
      <c r="F259" s="226" t="n"/>
      <c r="G259" s="109" t="n"/>
      <c r="H259" s="109" t="n"/>
      <c r="I259" s="109" t="n"/>
      <c r="J259" s="113">
        <f>IF($C259="","",IF(AND($D259&lt;&gt;"",$E259&lt;&gt;"",$D259&lt;&gt;$E259,$F259&gt;0),"UYGUN","HATA"))</f>
        <v/>
      </c>
      <c r="K259" s="6" t="n"/>
      <c r="L259" s="6" t="n"/>
    </row>
    <row r="260">
      <c r="A260" s="6" t="n"/>
      <c r="B260" s="113">
        <f>IF($C260="","","V"&amp;TEXT(ROW()-6,"00000"))</f>
        <v/>
      </c>
      <c r="C260" s="225" t="n"/>
      <c r="D260" s="108" t="n"/>
      <c r="E260" s="108" t="n"/>
      <c r="F260" s="226" t="n"/>
      <c r="G260" s="109" t="n"/>
      <c r="H260" s="109" t="n"/>
      <c r="I260" s="109" t="n"/>
      <c r="J260" s="113">
        <f>IF($C260="","",IF(AND($D260&lt;&gt;"",$E260&lt;&gt;"",$D260&lt;&gt;$E260,$F260&gt;0),"UYGUN","HATA"))</f>
        <v/>
      </c>
      <c r="K260" s="6" t="n"/>
      <c r="L260" s="6" t="n"/>
    </row>
    <row r="261">
      <c r="A261" s="6" t="n"/>
      <c r="B261" s="113">
        <f>IF($C261="","","V"&amp;TEXT(ROW()-6,"00000"))</f>
        <v/>
      </c>
      <c r="C261" s="225" t="n"/>
      <c r="D261" s="108" t="n"/>
      <c r="E261" s="108" t="n"/>
      <c r="F261" s="226" t="n"/>
      <c r="G261" s="109" t="n"/>
      <c r="H261" s="109" t="n"/>
      <c r="I261" s="109" t="n"/>
      <c r="J261" s="113">
        <f>IF($C261="","",IF(AND($D261&lt;&gt;"",$E261&lt;&gt;"",$D261&lt;&gt;$E261,$F261&gt;0),"UYGUN","HATA"))</f>
        <v/>
      </c>
      <c r="K261" s="6" t="n"/>
      <c r="L261" s="6" t="n"/>
    </row>
    <row r="262">
      <c r="A262" s="6" t="n"/>
      <c r="B262" s="113">
        <f>IF($C262="","","V"&amp;TEXT(ROW()-6,"00000"))</f>
        <v/>
      </c>
      <c r="C262" s="225" t="n"/>
      <c r="D262" s="108" t="n"/>
      <c r="E262" s="108" t="n"/>
      <c r="F262" s="226" t="n"/>
      <c r="G262" s="109" t="n"/>
      <c r="H262" s="109" t="n"/>
      <c r="I262" s="109" t="n"/>
      <c r="J262" s="113">
        <f>IF($C262="","",IF(AND($D262&lt;&gt;"",$E262&lt;&gt;"",$D262&lt;&gt;$E262,$F262&gt;0),"UYGUN","HATA"))</f>
        <v/>
      </c>
      <c r="K262" s="6" t="n"/>
      <c r="L262" s="6" t="n"/>
    </row>
    <row r="263">
      <c r="A263" s="6" t="n"/>
      <c r="B263" s="113">
        <f>IF($C263="","","V"&amp;TEXT(ROW()-6,"00000"))</f>
        <v/>
      </c>
      <c r="C263" s="225" t="n"/>
      <c r="D263" s="108" t="n"/>
      <c r="E263" s="108" t="n"/>
      <c r="F263" s="226" t="n"/>
      <c r="G263" s="109" t="n"/>
      <c r="H263" s="109" t="n"/>
      <c r="I263" s="109" t="n"/>
      <c r="J263" s="113">
        <f>IF($C263="","",IF(AND($D263&lt;&gt;"",$E263&lt;&gt;"",$D263&lt;&gt;$E263,$F263&gt;0),"UYGUN","HATA"))</f>
        <v/>
      </c>
      <c r="K263" s="6" t="n"/>
      <c r="L263" s="6" t="n"/>
    </row>
    <row r="264">
      <c r="A264" s="6" t="n"/>
      <c r="B264" s="113">
        <f>IF($C264="","","V"&amp;TEXT(ROW()-6,"00000"))</f>
        <v/>
      </c>
      <c r="C264" s="225" t="n"/>
      <c r="D264" s="108" t="n"/>
      <c r="E264" s="108" t="n"/>
      <c r="F264" s="226" t="n"/>
      <c r="G264" s="109" t="n"/>
      <c r="H264" s="109" t="n"/>
      <c r="I264" s="109" t="n"/>
      <c r="J264" s="113">
        <f>IF($C264="","",IF(AND($D264&lt;&gt;"",$E264&lt;&gt;"",$D264&lt;&gt;$E264,$F264&gt;0),"UYGUN","HATA"))</f>
        <v/>
      </c>
      <c r="K264" s="6" t="n"/>
      <c r="L264" s="6" t="n"/>
    </row>
    <row r="265">
      <c r="A265" s="6" t="n"/>
      <c r="B265" s="113">
        <f>IF($C265="","","V"&amp;TEXT(ROW()-6,"00000"))</f>
        <v/>
      </c>
      <c r="C265" s="225" t="n"/>
      <c r="D265" s="108" t="n"/>
      <c r="E265" s="108" t="n"/>
      <c r="F265" s="226" t="n"/>
      <c r="G265" s="109" t="n"/>
      <c r="H265" s="109" t="n"/>
      <c r="I265" s="109" t="n"/>
      <c r="J265" s="113">
        <f>IF($C265="","",IF(AND($D265&lt;&gt;"",$E265&lt;&gt;"",$D265&lt;&gt;$E265,$F265&gt;0),"UYGUN","HATA"))</f>
        <v/>
      </c>
      <c r="K265" s="6" t="n"/>
      <c r="L265" s="6" t="n"/>
    </row>
    <row r="266">
      <c r="A266" s="6" t="n"/>
      <c r="B266" s="113">
        <f>IF($C266="","","V"&amp;TEXT(ROW()-6,"00000"))</f>
        <v/>
      </c>
      <c r="C266" s="225" t="n"/>
      <c r="D266" s="108" t="n"/>
      <c r="E266" s="108" t="n"/>
      <c r="F266" s="226" t="n"/>
      <c r="G266" s="109" t="n"/>
      <c r="H266" s="109" t="n"/>
      <c r="I266" s="109" t="n"/>
      <c r="J266" s="113">
        <f>IF($C266="","",IF(AND($D266&lt;&gt;"",$E266&lt;&gt;"",$D266&lt;&gt;$E266,$F266&gt;0),"UYGUN","HATA"))</f>
        <v/>
      </c>
      <c r="K266" s="6" t="n"/>
      <c r="L266" s="6" t="n"/>
    </row>
    <row r="267">
      <c r="A267" s="6" t="n"/>
      <c r="B267" s="113">
        <f>IF($C267="","","V"&amp;TEXT(ROW()-6,"00000"))</f>
        <v/>
      </c>
      <c r="C267" s="225" t="n"/>
      <c r="D267" s="108" t="n"/>
      <c r="E267" s="108" t="n"/>
      <c r="F267" s="226" t="n"/>
      <c r="G267" s="109" t="n"/>
      <c r="H267" s="109" t="n"/>
      <c r="I267" s="109" t="n"/>
      <c r="J267" s="113">
        <f>IF($C267="","",IF(AND($D267&lt;&gt;"",$E267&lt;&gt;"",$D267&lt;&gt;$E267,$F267&gt;0),"UYGUN","HATA"))</f>
        <v/>
      </c>
      <c r="K267" s="6" t="n"/>
      <c r="L267" s="6" t="n"/>
    </row>
    <row r="268">
      <c r="A268" s="6" t="n"/>
      <c r="B268" s="113">
        <f>IF($C268="","","V"&amp;TEXT(ROW()-6,"00000"))</f>
        <v/>
      </c>
      <c r="C268" s="225" t="n"/>
      <c r="D268" s="108" t="n"/>
      <c r="E268" s="108" t="n"/>
      <c r="F268" s="226" t="n"/>
      <c r="G268" s="109" t="n"/>
      <c r="H268" s="109" t="n"/>
      <c r="I268" s="109" t="n"/>
      <c r="J268" s="113">
        <f>IF($C268="","",IF(AND($D268&lt;&gt;"",$E268&lt;&gt;"",$D268&lt;&gt;$E268,$F268&gt;0),"UYGUN","HATA"))</f>
        <v/>
      </c>
      <c r="K268" s="6" t="n"/>
      <c r="L268" s="6" t="n"/>
    </row>
    <row r="269">
      <c r="A269" s="6" t="n"/>
      <c r="B269" s="113">
        <f>IF($C269="","","V"&amp;TEXT(ROW()-6,"00000"))</f>
        <v/>
      </c>
      <c r="C269" s="225" t="n"/>
      <c r="D269" s="108" t="n"/>
      <c r="E269" s="108" t="n"/>
      <c r="F269" s="226" t="n"/>
      <c r="G269" s="109" t="n"/>
      <c r="H269" s="109" t="n"/>
      <c r="I269" s="109" t="n"/>
      <c r="J269" s="113">
        <f>IF($C269="","",IF(AND($D269&lt;&gt;"",$E269&lt;&gt;"",$D269&lt;&gt;$E269,$F269&gt;0),"UYGUN","HATA"))</f>
        <v/>
      </c>
      <c r="K269" s="6" t="n"/>
      <c r="L269" s="6" t="n"/>
    </row>
    <row r="270">
      <c r="A270" s="6" t="n"/>
      <c r="B270" s="113">
        <f>IF($C270="","","V"&amp;TEXT(ROW()-6,"00000"))</f>
        <v/>
      </c>
      <c r="C270" s="225" t="n"/>
      <c r="D270" s="108" t="n"/>
      <c r="E270" s="108" t="n"/>
      <c r="F270" s="226" t="n"/>
      <c r="G270" s="109" t="n"/>
      <c r="H270" s="109" t="n"/>
      <c r="I270" s="109" t="n"/>
      <c r="J270" s="113">
        <f>IF($C270="","",IF(AND($D270&lt;&gt;"",$E270&lt;&gt;"",$D270&lt;&gt;$E270,$F270&gt;0),"UYGUN","HATA"))</f>
        <v/>
      </c>
      <c r="K270" s="6" t="n"/>
      <c r="L270" s="6" t="n"/>
    </row>
    <row r="271">
      <c r="A271" s="6" t="n"/>
      <c r="B271" s="113">
        <f>IF($C271="","","V"&amp;TEXT(ROW()-6,"00000"))</f>
        <v/>
      </c>
      <c r="C271" s="225" t="n"/>
      <c r="D271" s="108" t="n"/>
      <c r="E271" s="108" t="n"/>
      <c r="F271" s="226" t="n"/>
      <c r="G271" s="109" t="n"/>
      <c r="H271" s="109" t="n"/>
      <c r="I271" s="109" t="n"/>
      <c r="J271" s="113">
        <f>IF($C271="","",IF(AND($D271&lt;&gt;"",$E271&lt;&gt;"",$D271&lt;&gt;$E271,$F271&gt;0),"UYGUN","HATA"))</f>
        <v/>
      </c>
      <c r="K271" s="6" t="n"/>
      <c r="L271" s="6" t="n"/>
    </row>
    <row r="272">
      <c r="A272" s="6" t="n"/>
      <c r="B272" s="113">
        <f>IF($C272="","","V"&amp;TEXT(ROW()-6,"00000"))</f>
        <v/>
      </c>
      <c r="C272" s="225" t="n"/>
      <c r="D272" s="108" t="n"/>
      <c r="E272" s="108" t="n"/>
      <c r="F272" s="226" t="n"/>
      <c r="G272" s="109" t="n"/>
      <c r="H272" s="109" t="n"/>
      <c r="I272" s="109" t="n"/>
      <c r="J272" s="113">
        <f>IF($C272="","",IF(AND($D272&lt;&gt;"",$E272&lt;&gt;"",$D272&lt;&gt;$E272,$F272&gt;0),"UYGUN","HATA"))</f>
        <v/>
      </c>
      <c r="K272" s="6" t="n"/>
      <c r="L272" s="6" t="n"/>
    </row>
    <row r="273">
      <c r="A273" s="6" t="n"/>
      <c r="B273" s="113">
        <f>IF($C273="","","V"&amp;TEXT(ROW()-6,"00000"))</f>
        <v/>
      </c>
      <c r="C273" s="225" t="n"/>
      <c r="D273" s="108" t="n"/>
      <c r="E273" s="108" t="n"/>
      <c r="F273" s="226" t="n"/>
      <c r="G273" s="109" t="n"/>
      <c r="H273" s="109" t="n"/>
      <c r="I273" s="109" t="n"/>
      <c r="J273" s="113">
        <f>IF($C273="","",IF(AND($D273&lt;&gt;"",$E273&lt;&gt;"",$D273&lt;&gt;$E273,$F273&gt;0),"UYGUN","HATA"))</f>
        <v/>
      </c>
      <c r="K273" s="6" t="n"/>
      <c r="L273" s="6" t="n"/>
    </row>
    <row r="274">
      <c r="A274" s="6" t="n"/>
      <c r="B274" s="113">
        <f>IF($C274="","","V"&amp;TEXT(ROW()-6,"00000"))</f>
        <v/>
      </c>
      <c r="C274" s="225" t="n"/>
      <c r="D274" s="108" t="n"/>
      <c r="E274" s="108" t="n"/>
      <c r="F274" s="226" t="n"/>
      <c r="G274" s="109" t="n"/>
      <c r="H274" s="109" t="n"/>
      <c r="I274" s="109" t="n"/>
      <c r="J274" s="113">
        <f>IF($C274="","",IF(AND($D274&lt;&gt;"",$E274&lt;&gt;"",$D274&lt;&gt;$E274,$F274&gt;0),"UYGUN","HATA"))</f>
        <v/>
      </c>
      <c r="K274" s="6" t="n"/>
      <c r="L274" s="6" t="n"/>
    </row>
    <row r="275">
      <c r="A275" s="6" t="n"/>
      <c r="B275" s="113">
        <f>IF($C275="","","V"&amp;TEXT(ROW()-6,"00000"))</f>
        <v/>
      </c>
      <c r="C275" s="225" t="n"/>
      <c r="D275" s="108" t="n"/>
      <c r="E275" s="108" t="n"/>
      <c r="F275" s="226" t="n"/>
      <c r="G275" s="109" t="n"/>
      <c r="H275" s="109" t="n"/>
      <c r="I275" s="109" t="n"/>
      <c r="J275" s="113">
        <f>IF($C275="","",IF(AND($D275&lt;&gt;"",$E275&lt;&gt;"",$D275&lt;&gt;$E275,$F275&gt;0),"UYGUN","HATA"))</f>
        <v/>
      </c>
      <c r="K275" s="6" t="n"/>
      <c r="L275" s="6" t="n"/>
    </row>
    <row r="276">
      <c r="A276" s="6" t="n"/>
      <c r="B276" s="113">
        <f>IF($C276="","","V"&amp;TEXT(ROW()-6,"00000"))</f>
        <v/>
      </c>
      <c r="C276" s="225" t="n"/>
      <c r="D276" s="108" t="n"/>
      <c r="E276" s="108" t="n"/>
      <c r="F276" s="226" t="n"/>
      <c r="G276" s="109" t="n"/>
      <c r="H276" s="109" t="n"/>
      <c r="I276" s="109" t="n"/>
      <c r="J276" s="113">
        <f>IF($C276="","",IF(AND($D276&lt;&gt;"",$E276&lt;&gt;"",$D276&lt;&gt;$E276,$F276&gt;0),"UYGUN","HATA"))</f>
        <v/>
      </c>
      <c r="K276" s="6" t="n"/>
      <c r="L276" s="6" t="n"/>
    </row>
    <row r="277">
      <c r="A277" s="6" t="n"/>
      <c r="B277" s="113">
        <f>IF($C277="","","V"&amp;TEXT(ROW()-6,"00000"))</f>
        <v/>
      </c>
      <c r="C277" s="225" t="n"/>
      <c r="D277" s="108" t="n"/>
      <c r="E277" s="108" t="n"/>
      <c r="F277" s="226" t="n"/>
      <c r="G277" s="109" t="n"/>
      <c r="H277" s="109" t="n"/>
      <c r="I277" s="109" t="n"/>
      <c r="J277" s="113">
        <f>IF($C277="","",IF(AND($D277&lt;&gt;"",$E277&lt;&gt;"",$D277&lt;&gt;$E277,$F277&gt;0),"UYGUN","HATA"))</f>
        <v/>
      </c>
      <c r="K277" s="6" t="n"/>
      <c r="L277" s="6" t="n"/>
    </row>
    <row r="278">
      <c r="A278" s="6" t="n"/>
      <c r="B278" s="113">
        <f>IF($C278="","","V"&amp;TEXT(ROW()-6,"00000"))</f>
        <v/>
      </c>
      <c r="C278" s="225" t="n"/>
      <c r="D278" s="108" t="n"/>
      <c r="E278" s="108" t="n"/>
      <c r="F278" s="226" t="n"/>
      <c r="G278" s="109" t="n"/>
      <c r="H278" s="109" t="n"/>
      <c r="I278" s="109" t="n"/>
      <c r="J278" s="113">
        <f>IF($C278="","",IF(AND($D278&lt;&gt;"",$E278&lt;&gt;"",$D278&lt;&gt;$E278,$F278&gt;0),"UYGUN","HATA"))</f>
        <v/>
      </c>
      <c r="K278" s="6" t="n"/>
      <c r="L278" s="6" t="n"/>
    </row>
    <row r="279">
      <c r="A279" s="6" t="n"/>
      <c r="B279" s="113">
        <f>IF($C279="","","V"&amp;TEXT(ROW()-6,"00000"))</f>
        <v/>
      </c>
      <c r="C279" s="225" t="n"/>
      <c r="D279" s="108" t="n"/>
      <c r="E279" s="108" t="n"/>
      <c r="F279" s="226" t="n"/>
      <c r="G279" s="109" t="n"/>
      <c r="H279" s="109" t="n"/>
      <c r="I279" s="109" t="n"/>
      <c r="J279" s="113">
        <f>IF($C279="","",IF(AND($D279&lt;&gt;"",$E279&lt;&gt;"",$D279&lt;&gt;$E279,$F279&gt;0),"UYGUN","HATA"))</f>
        <v/>
      </c>
      <c r="K279" s="6" t="n"/>
      <c r="L279" s="6" t="n"/>
    </row>
    <row r="280">
      <c r="A280" s="6" t="n"/>
      <c r="B280" s="113">
        <f>IF($C280="","","V"&amp;TEXT(ROW()-6,"00000"))</f>
        <v/>
      </c>
      <c r="C280" s="225" t="n"/>
      <c r="D280" s="108" t="n"/>
      <c r="E280" s="108" t="n"/>
      <c r="F280" s="226" t="n"/>
      <c r="G280" s="109" t="n"/>
      <c r="H280" s="109" t="n"/>
      <c r="I280" s="109" t="n"/>
      <c r="J280" s="113">
        <f>IF($C280="","",IF(AND($D280&lt;&gt;"",$E280&lt;&gt;"",$D280&lt;&gt;$E280,$F280&gt;0),"UYGUN","HATA"))</f>
        <v/>
      </c>
      <c r="K280" s="6" t="n"/>
      <c r="L280" s="6" t="n"/>
    </row>
    <row r="281">
      <c r="A281" s="6" t="n"/>
      <c r="B281" s="113">
        <f>IF($C281="","","V"&amp;TEXT(ROW()-6,"00000"))</f>
        <v/>
      </c>
      <c r="C281" s="225" t="n"/>
      <c r="D281" s="108" t="n"/>
      <c r="E281" s="108" t="n"/>
      <c r="F281" s="226" t="n"/>
      <c r="G281" s="109" t="n"/>
      <c r="H281" s="109" t="n"/>
      <c r="I281" s="109" t="n"/>
      <c r="J281" s="113">
        <f>IF($C281="","",IF(AND($D281&lt;&gt;"",$E281&lt;&gt;"",$D281&lt;&gt;$E281,$F281&gt;0),"UYGUN","HATA"))</f>
        <v/>
      </c>
      <c r="K281" s="6" t="n"/>
      <c r="L281" s="6" t="n"/>
    </row>
    <row r="282">
      <c r="A282" s="6" t="n"/>
      <c r="B282" s="113">
        <f>IF($C282="","","V"&amp;TEXT(ROW()-6,"00000"))</f>
        <v/>
      </c>
      <c r="C282" s="225" t="n"/>
      <c r="D282" s="108" t="n"/>
      <c r="E282" s="108" t="n"/>
      <c r="F282" s="226" t="n"/>
      <c r="G282" s="109" t="n"/>
      <c r="H282" s="109" t="n"/>
      <c r="I282" s="109" t="n"/>
      <c r="J282" s="113">
        <f>IF($C282="","",IF(AND($D282&lt;&gt;"",$E282&lt;&gt;"",$D282&lt;&gt;$E282,$F282&gt;0),"UYGUN","HATA"))</f>
        <v/>
      </c>
      <c r="K282" s="6" t="n"/>
      <c r="L282" s="6" t="n"/>
    </row>
    <row r="283">
      <c r="A283" s="6" t="n"/>
      <c r="B283" s="113">
        <f>IF($C283="","","V"&amp;TEXT(ROW()-6,"00000"))</f>
        <v/>
      </c>
      <c r="C283" s="225" t="n"/>
      <c r="D283" s="108" t="n"/>
      <c r="E283" s="108" t="n"/>
      <c r="F283" s="226" t="n"/>
      <c r="G283" s="109" t="n"/>
      <c r="H283" s="109" t="n"/>
      <c r="I283" s="109" t="n"/>
      <c r="J283" s="113">
        <f>IF($C283="","",IF(AND($D283&lt;&gt;"",$E283&lt;&gt;"",$D283&lt;&gt;$E283,$F283&gt;0),"UYGUN","HATA"))</f>
        <v/>
      </c>
      <c r="K283" s="6" t="n"/>
      <c r="L283" s="6" t="n"/>
    </row>
    <row r="284">
      <c r="A284" s="6" t="n"/>
      <c r="B284" s="113">
        <f>IF($C284="","","V"&amp;TEXT(ROW()-6,"00000"))</f>
        <v/>
      </c>
      <c r="C284" s="225" t="n"/>
      <c r="D284" s="108" t="n"/>
      <c r="E284" s="108" t="n"/>
      <c r="F284" s="226" t="n"/>
      <c r="G284" s="109" t="n"/>
      <c r="H284" s="109" t="n"/>
      <c r="I284" s="109" t="n"/>
      <c r="J284" s="113">
        <f>IF($C284="","",IF(AND($D284&lt;&gt;"",$E284&lt;&gt;"",$D284&lt;&gt;$E284,$F284&gt;0),"UYGUN","HATA"))</f>
        <v/>
      </c>
      <c r="K284" s="6" t="n"/>
      <c r="L284" s="6" t="n"/>
    </row>
    <row r="285">
      <c r="A285" s="6" t="n"/>
      <c r="B285" s="113">
        <f>IF($C285="","","V"&amp;TEXT(ROW()-6,"00000"))</f>
        <v/>
      </c>
      <c r="C285" s="225" t="n"/>
      <c r="D285" s="108" t="n"/>
      <c r="E285" s="108" t="n"/>
      <c r="F285" s="226" t="n"/>
      <c r="G285" s="109" t="n"/>
      <c r="H285" s="109" t="n"/>
      <c r="I285" s="109" t="n"/>
      <c r="J285" s="113">
        <f>IF($C285="","",IF(AND($D285&lt;&gt;"",$E285&lt;&gt;"",$D285&lt;&gt;$E285,$F285&gt;0),"UYGUN","HATA"))</f>
        <v/>
      </c>
      <c r="K285" s="6" t="n"/>
      <c r="L285" s="6" t="n"/>
    </row>
    <row r="286">
      <c r="A286" s="6" t="n"/>
      <c r="B286" s="113">
        <f>IF($C286="","","V"&amp;TEXT(ROW()-6,"00000"))</f>
        <v/>
      </c>
      <c r="C286" s="225" t="n"/>
      <c r="D286" s="108" t="n"/>
      <c r="E286" s="108" t="n"/>
      <c r="F286" s="226" t="n"/>
      <c r="G286" s="109" t="n"/>
      <c r="H286" s="109" t="n"/>
      <c r="I286" s="109" t="n"/>
      <c r="J286" s="113">
        <f>IF($C286="","",IF(AND($D286&lt;&gt;"",$E286&lt;&gt;"",$D286&lt;&gt;$E286,$F286&gt;0),"UYGUN","HATA"))</f>
        <v/>
      </c>
      <c r="K286" s="6" t="n"/>
      <c r="L286" s="6" t="n"/>
    </row>
    <row r="287">
      <c r="A287" s="6" t="n"/>
      <c r="B287" s="113">
        <f>IF($C287="","","V"&amp;TEXT(ROW()-6,"00000"))</f>
        <v/>
      </c>
      <c r="C287" s="225" t="n"/>
      <c r="D287" s="108" t="n"/>
      <c r="E287" s="108" t="n"/>
      <c r="F287" s="226" t="n"/>
      <c r="G287" s="109" t="n"/>
      <c r="H287" s="109" t="n"/>
      <c r="I287" s="109" t="n"/>
      <c r="J287" s="113">
        <f>IF($C287="","",IF(AND($D287&lt;&gt;"",$E287&lt;&gt;"",$D287&lt;&gt;$E287,$F287&gt;0),"UYGUN","HATA"))</f>
        <v/>
      </c>
      <c r="K287" s="6" t="n"/>
      <c r="L287" s="6" t="n"/>
    </row>
    <row r="288">
      <c r="A288" s="6" t="n"/>
      <c r="B288" s="113">
        <f>IF($C288="","","V"&amp;TEXT(ROW()-6,"00000"))</f>
        <v/>
      </c>
      <c r="C288" s="225" t="n"/>
      <c r="D288" s="108" t="n"/>
      <c r="E288" s="108" t="n"/>
      <c r="F288" s="226" t="n"/>
      <c r="G288" s="109" t="n"/>
      <c r="H288" s="109" t="n"/>
      <c r="I288" s="109" t="n"/>
      <c r="J288" s="113">
        <f>IF($C288="","",IF(AND($D288&lt;&gt;"",$E288&lt;&gt;"",$D288&lt;&gt;$E288,$F288&gt;0),"UYGUN","HATA"))</f>
        <v/>
      </c>
      <c r="K288" s="6" t="n"/>
      <c r="L288" s="6" t="n"/>
    </row>
    <row r="289">
      <c r="A289" s="6" t="n"/>
      <c r="B289" s="113">
        <f>IF($C289="","","V"&amp;TEXT(ROW()-6,"00000"))</f>
        <v/>
      </c>
      <c r="C289" s="225" t="n"/>
      <c r="D289" s="108" t="n"/>
      <c r="E289" s="108" t="n"/>
      <c r="F289" s="226" t="n"/>
      <c r="G289" s="109" t="n"/>
      <c r="H289" s="109" t="n"/>
      <c r="I289" s="109" t="n"/>
      <c r="J289" s="113">
        <f>IF($C289="","",IF(AND($D289&lt;&gt;"",$E289&lt;&gt;"",$D289&lt;&gt;$E289,$F289&gt;0),"UYGUN","HATA"))</f>
        <v/>
      </c>
      <c r="K289" s="6" t="n"/>
      <c r="L289" s="6" t="n"/>
    </row>
    <row r="290">
      <c r="A290" s="6" t="n"/>
      <c r="B290" s="113">
        <f>IF($C290="","","V"&amp;TEXT(ROW()-6,"00000"))</f>
        <v/>
      </c>
      <c r="C290" s="225" t="n"/>
      <c r="D290" s="108" t="n"/>
      <c r="E290" s="108" t="n"/>
      <c r="F290" s="226" t="n"/>
      <c r="G290" s="109" t="n"/>
      <c r="H290" s="109" t="n"/>
      <c r="I290" s="109" t="n"/>
      <c r="J290" s="113">
        <f>IF($C290="","",IF(AND($D290&lt;&gt;"",$E290&lt;&gt;"",$D290&lt;&gt;$E290,$F290&gt;0),"UYGUN","HATA"))</f>
        <v/>
      </c>
      <c r="K290" s="6" t="n"/>
      <c r="L290" s="6" t="n"/>
    </row>
    <row r="291">
      <c r="A291" s="6" t="n"/>
      <c r="B291" s="113">
        <f>IF($C291="","","V"&amp;TEXT(ROW()-6,"00000"))</f>
        <v/>
      </c>
      <c r="C291" s="225" t="n"/>
      <c r="D291" s="108" t="n"/>
      <c r="E291" s="108" t="n"/>
      <c r="F291" s="226" t="n"/>
      <c r="G291" s="109" t="n"/>
      <c r="H291" s="109" t="n"/>
      <c r="I291" s="109" t="n"/>
      <c r="J291" s="113">
        <f>IF($C291="","",IF(AND($D291&lt;&gt;"",$E291&lt;&gt;"",$D291&lt;&gt;$E291,$F291&gt;0),"UYGUN","HATA"))</f>
        <v/>
      </c>
      <c r="K291" s="6" t="n"/>
      <c r="L291" s="6" t="n"/>
    </row>
    <row r="292">
      <c r="A292" s="6" t="n"/>
      <c r="B292" s="113">
        <f>IF($C292="","","V"&amp;TEXT(ROW()-6,"00000"))</f>
        <v/>
      </c>
      <c r="C292" s="225" t="n"/>
      <c r="D292" s="108" t="n"/>
      <c r="E292" s="108" t="n"/>
      <c r="F292" s="226" t="n"/>
      <c r="G292" s="109" t="n"/>
      <c r="H292" s="109" t="n"/>
      <c r="I292" s="109" t="n"/>
      <c r="J292" s="113">
        <f>IF($C292="","",IF(AND($D292&lt;&gt;"",$E292&lt;&gt;"",$D292&lt;&gt;$E292,$F292&gt;0),"UYGUN","HATA"))</f>
        <v/>
      </c>
      <c r="K292" s="6" t="n"/>
      <c r="L292" s="6" t="n"/>
    </row>
    <row r="293">
      <c r="A293" s="6" t="n"/>
      <c r="B293" s="113">
        <f>IF($C293="","","V"&amp;TEXT(ROW()-6,"00000"))</f>
        <v/>
      </c>
      <c r="C293" s="225" t="n"/>
      <c r="D293" s="108" t="n"/>
      <c r="E293" s="108" t="n"/>
      <c r="F293" s="226" t="n"/>
      <c r="G293" s="109" t="n"/>
      <c r="H293" s="109" t="n"/>
      <c r="I293" s="109" t="n"/>
      <c r="J293" s="113">
        <f>IF($C293="","",IF(AND($D293&lt;&gt;"",$E293&lt;&gt;"",$D293&lt;&gt;$E293,$F293&gt;0),"UYGUN","HATA"))</f>
        <v/>
      </c>
      <c r="K293" s="6" t="n"/>
      <c r="L293" s="6" t="n"/>
    </row>
    <row r="294">
      <c r="A294" s="6" t="n"/>
      <c r="B294" s="113">
        <f>IF($C294="","","V"&amp;TEXT(ROW()-6,"00000"))</f>
        <v/>
      </c>
      <c r="C294" s="225" t="n"/>
      <c r="D294" s="108" t="n"/>
      <c r="E294" s="108" t="n"/>
      <c r="F294" s="226" t="n"/>
      <c r="G294" s="109" t="n"/>
      <c r="H294" s="109" t="n"/>
      <c r="I294" s="109" t="n"/>
      <c r="J294" s="113">
        <f>IF($C294="","",IF(AND($D294&lt;&gt;"",$E294&lt;&gt;"",$D294&lt;&gt;$E294,$F294&gt;0),"UYGUN","HATA"))</f>
        <v/>
      </c>
      <c r="K294" s="6" t="n"/>
      <c r="L294" s="6" t="n"/>
    </row>
    <row r="295">
      <c r="A295" s="6" t="n"/>
      <c r="B295" s="113">
        <f>IF($C295="","","V"&amp;TEXT(ROW()-6,"00000"))</f>
        <v/>
      </c>
      <c r="C295" s="225" t="n"/>
      <c r="D295" s="108" t="n"/>
      <c r="E295" s="108" t="n"/>
      <c r="F295" s="226" t="n"/>
      <c r="G295" s="109" t="n"/>
      <c r="H295" s="109" t="n"/>
      <c r="I295" s="109" t="n"/>
      <c r="J295" s="113">
        <f>IF($C295="","",IF(AND($D295&lt;&gt;"",$E295&lt;&gt;"",$D295&lt;&gt;$E295,$F295&gt;0),"UYGUN","HATA"))</f>
        <v/>
      </c>
      <c r="K295" s="6" t="n"/>
      <c r="L295" s="6" t="n"/>
    </row>
    <row r="296">
      <c r="A296" s="6" t="n"/>
      <c r="B296" s="113">
        <f>IF($C296="","","V"&amp;TEXT(ROW()-6,"00000"))</f>
        <v/>
      </c>
      <c r="C296" s="225" t="n"/>
      <c r="D296" s="108" t="n"/>
      <c r="E296" s="108" t="n"/>
      <c r="F296" s="226" t="n"/>
      <c r="G296" s="109" t="n"/>
      <c r="H296" s="109" t="n"/>
      <c r="I296" s="109" t="n"/>
      <c r="J296" s="113">
        <f>IF($C296="","",IF(AND($D296&lt;&gt;"",$E296&lt;&gt;"",$D296&lt;&gt;$E296,$F296&gt;0),"UYGUN","HATA"))</f>
        <v/>
      </c>
      <c r="K296" s="6" t="n"/>
      <c r="L296" s="6" t="n"/>
    </row>
    <row r="297">
      <c r="A297" s="6" t="n"/>
      <c r="B297" s="113">
        <f>IF($C297="","","V"&amp;TEXT(ROW()-6,"00000"))</f>
        <v/>
      </c>
      <c r="C297" s="225" t="n"/>
      <c r="D297" s="108" t="n"/>
      <c r="E297" s="108" t="n"/>
      <c r="F297" s="226" t="n"/>
      <c r="G297" s="109" t="n"/>
      <c r="H297" s="109" t="n"/>
      <c r="I297" s="109" t="n"/>
      <c r="J297" s="113">
        <f>IF($C297="","",IF(AND($D297&lt;&gt;"",$E297&lt;&gt;"",$D297&lt;&gt;$E297,$F297&gt;0),"UYGUN","HATA"))</f>
        <v/>
      </c>
      <c r="K297" s="6" t="n"/>
      <c r="L297" s="6" t="n"/>
    </row>
    <row r="298">
      <c r="A298" s="6" t="n"/>
      <c r="B298" s="113">
        <f>IF($C298="","","V"&amp;TEXT(ROW()-6,"00000"))</f>
        <v/>
      </c>
      <c r="C298" s="225" t="n"/>
      <c r="D298" s="108" t="n"/>
      <c r="E298" s="108" t="n"/>
      <c r="F298" s="226" t="n"/>
      <c r="G298" s="109" t="n"/>
      <c r="H298" s="109" t="n"/>
      <c r="I298" s="109" t="n"/>
      <c r="J298" s="113">
        <f>IF($C298="","",IF(AND($D298&lt;&gt;"",$E298&lt;&gt;"",$D298&lt;&gt;$E298,$F298&gt;0),"UYGUN","HATA"))</f>
        <v/>
      </c>
      <c r="K298" s="6" t="n"/>
      <c r="L298" s="6" t="n"/>
    </row>
    <row r="299">
      <c r="A299" s="6" t="n"/>
      <c r="B299" s="113">
        <f>IF($C299="","","V"&amp;TEXT(ROW()-6,"00000"))</f>
        <v/>
      </c>
      <c r="C299" s="225" t="n"/>
      <c r="D299" s="108" t="n"/>
      <c r="E299" s="108" t="n"/>
      <c r="F299" s="226" t="n"/>
      <c r="G299" s="109" t="n"/>
      <c r="H299" s="109" t="n"/>
      <c r="I299" s="109" t="n"/>
      <c r="J299" s="113">
        <f>IF($C299="","",IF(AND($D299&lt;&gt;"",$E299&lt;&gt;"",$D299&lt;&gt;$E299,$F299&gt;0),"UYGUN","HATA"))</f>
        <v/>
      </c>
      <c r="K299" s="6" t="n"/>
      <c r="L299" s="6" t="n"/>
    </row>
    <row r="300">
      <c r="A300" s="6" t="n"/>
      <c r="B300" s="113">
        <f>IF($C300="","","V"&amp;TEXT(ROW()-6,"00000"))</f>
        <v/>
      </c>
      <c r="C300" s="225" t="n"/>
      <c r="D300" s="108" t="n"/>
      <c r="E300" s="108" t="n"/>
      <c r="F300" s="226" t="n"/>
      <c r="G300" s="109" t="n"/>
      <c r="H300" s="109" t="n"/>
      <c r="I300" s="109" t="n"/>
      <c r="J300" s="113">
        <f>IF($C300="","",IF(AND($D300&lt;&gt;"",$E300&lt;&gt;"",$D300&lt;&gt;$E300,$F300&gt;0),"UYGUN","HATA"))</f>
        <v/>
      </c>
      <c r="K300" s="6" t="n"/>
      <c r="L300" s="6" t="n"/>
    </row>
    <row r="301">
      <c r="A301" s="6" t="n"/>
      <c r="B301" s="113">
        <f>IF($C301="","","V"&amp;TEXT(ROW()-6,"00000"))</f>
        <v/>
      </c>
      <c r="C301" s="225" t="n"/>
      <c r="D301" s="108" t="n"/>
      <c r="E301" s="108" t="n"/>
      <c r="F301" s="226" t="n"/>
      <c r="G301" s="109" t="n"/>
      <c r="H301" s="109" t="n"/>
      <c r="I301" s="109" t="n"/>
      <c r="J301" s="113">
        <f>IF($C301="","",IF(AND($D301&lt;&gt;"",$E301&lt;&gt;"",$D301&lt;&gt;$E301,$F301&gt;0),"UYGUN","HATA"))</f>
        <v/>
      </c>
      <c r="K301" s="6" t="n"/>
      <c r="L301" s="6" t="n"/>
    </row>
    <row r="302">
      <c r="A302" s="6" t="n"/>
      <c r="B302" s="113">
        <f>IF($C302="","","V"&amp;TEXT(ROW()-6,"00000"))</f>
        <v/>
      </c>
      <c r="C302" s="225" t="n"/>
      <c r="D302" s="108" t="n"/>
      <c r="E302" s="108" t="n"/>
      <c r="F302" s="226" t="n"/>
      <c r="G302" s="109" t="n"/>
      <c r="H302" s="109" t="n"/>
      <c r="I302" s="109" t="n"/>
      <c r="J302" s="113">
        <f>IF($C302="","",IF(AND($D302&lt;&gt;"",$E302&lt;&gt;"",$D302&lt;&gt;$E302,$F302&gt;0),"UYGUN","HATA"))</f>
        <v/>
      </c>
      <c r="K302" s="6" t="n"/>
      <c r="L302" s="6" t="n"/>
    </row>
    <row r="303">
      <c r="A303" s="6" t="n"/>
      <c r="B303" s="113">
        <f>IF($C303="","","V"&amp;TEXT(ROW()-6,"00000"))</f>
        <v/>
      </c>
      <c r="C303" s="225" t="n"/>
      <c r="D303" s="108" t="n"/>
      <c r="E303" s="108" t="n"/>
      <c r="F303" s="226" t="n"/>
      <c r="G303" s="109" t="n"/>
      <c r="H303" s="109" t="n"/>
      <c r="I303" s="109" t="n"/>
      <c r="J303" s="113">
        <f>IF($C303="","",IF(AND($D303&lt;&gt;"",$E303&lt;&gt;"",$D303&lt;&gt;$E303,$F303&gt;0),"UYGUN","HATA"))</f>
        <v/>
      </c>
      <c r="K303" s="6" t="n"/>
      <c r="L303" s="6" t="n"/>
    </row>
    <row r="304">
      <c r="A304" s="6" t="n"/>
      <c r="B304" s="113">
        <f>IF($C304="","","V"&amp;TEXT(ROW()-6,"00000"))</f>
        <v/>
      </c>
      <c r="C304" s="225" t="n"/>
      <c r="D304" s="108" t="n"/>
      <c r="E304" s="108" t="n"/>
      <c r="F304" s="226" t="n"/>
      <c r="G304" s="109" t="n"/>
      <c r="H304" s="109" t="n"/>
      <c r="I304" s="109" t="n"/>
      <c r="J304" s="113">
        <f>IF($C304="","",IF(AND($D304&lt;&gt;"",$E304&lt;&gt;"",$D304&lt;&gt;$E304,$F304&gt;0),"UYGUN","HATA"))</f>
        <v/>
      </c>
      <c r="K304" s="6" t="n"/>
      <c r="L304" s="6" t="n"/>
    </row>
    <row r="305">
      <c r="A305" s="6" t="n"/>
      <c r="B305" s="113">
        <f>IF($C305="","","V"&amp;TEXT(ROW()-6,"00000"))</f>
        <v/>
      </c>
      <c r="C305" s="225" t="n"/>
      <c r="D305" s="108" t="n"/>
      <c r="E305" s="108" t="n"/>
      <c r="F305" s="226" t="n"/>
      <c r="G305" s="109" t="n"/>
      <c r="H305" s="109" t="n"/>
      <c r="I305" s="109" t="n"/>
      <c r="J305" s="113">
        <f>IF($C305="","",IF(AND($D305&lt;&gt;"",$E305&lt;&gt;"",$D305&lt;&gt;$E305,$F305&gt;0),"UYGUN","HATA"))</f>
        <v/>
      </c>
      <c r="K305" s="6" t="n"/>
      <c r="L305" s="6" t="n"/>
    </row>
    <row r="306">
      <c r="A306" s="6" t="n"/>
      <c r="B306" s="113">
        <f>IF($C306="","","V"&amp;TEXT(ROW()-6,"00000"))</f>
        <v/>
      </c>
      <c r="C306" s="225" t="n"/>
      <c r="D306" s="108" t="n"/>
      <c r="E306" s="108" t="n"/>
      <c r="F306" s="226" t="n"/>
      <c r="G306" s="109" t="n"/>
      <c r="H306" s="109" t="n"/>
      <c r="I306" s="109" t="n"/>
      <c r="J306" s="113">
        <f>IF($C306="","",IF(AND($D306&lt;&gt;"",$E306&lt;&gt;"",$D306&lt;&gt;$E306,$F306&gt;0),"UYGUN","HATA"))</f>
        <v/>
      </c>
      <c r="K306" s="6" t="n"/>
      <c r="L306" s="6" t="n"/>
    </row>
    <row r="307">
      <c r="A307" s="6" t="n"/>
      <c r="B307" s="113">
        <f>IF($C307="","","V"&amp;TEXT(ROW()-6,"00000"))</f>
        <v/>
      </c>
      <c r="C307" s="225" t="n"/>
      <c r="D307" s="108" t="n"/>
      <c r="E307" s="108" t="n"/>
      <c r="F307" s="226" t="n"/>
      <c r="G307" s="109" t="n"/>
      <c r="H307" s="109" t="n"/>
      <c r="I307" s="109" t="n"/>
      <c r="J307" s="113">
        <f>IF($C307="","",IF(AND($D307&lt;&gt;"",$E307&lt;&gt;"",$D307&lt;&gt;$E307,$F307&gt;0),"UYGUN","HATA"))</f>
        <v/>
      </c>
      <c r="K307" s="6" t="n"/>
      <c r="L307" s="6" t="n"/>
    </row>
    <row r="308">
      <c r="A308" s="6" t="n"/>
      <c r="B308" s="113">
        <f>IF($C308="","","V"&amp;TEXT(ROW()-6,"00000"))</f>
        <v/>
      </c>
      <c r="C308" s="225" t="n"/>
      <c r="D308" s="108" t="n"/>
      <c r="E308" s="108" t="n"/>
      <c r="F308" s="226" t="n"/>
      <c r="G308" s="109" t="n"/>
      <c r="H308" s="109" t="n"/>
      <c r="I308" s="109" t="n"/>
      <c r="J308" s="113">
        <f>IF($C308="","",IF(AND($D308&lt;&gt;"",$E308&lt;&gt;"",$D308&lt;&gt;$E308,$F308&gt;0),"UYGUN","HATA"))</f>
        <v/>
      </c>
      <c r="K308" s="6" t="n"/>
      <c r="L308" s="6" t="n"/>
    </row>
    <row r="309">
      <c r="A309" s="6" t="n"/>
      <c r="B309" s="113">
        <f>IF($C309="","","V"&amp;TEXT(ROW()-6,"00000"))</f>
        <v/>
      </c>
      <c r="C309" s="225" t="n"/>
      <c r="D309" s="108" t="n"/>
      <c r="E309" s="108" t="n"/>
      <c r="F309" s="226" t="n"/>
      <c r="G309" s="109" t="n"/>
      <c r="H309" s="109" t="n"/>
      <c r="I309" s="109" t="n"/>
      <c r="J309" s="113">
        <f>IF($C309="","",IF(AND($D309&lt;&gt;"",$E309&lt;&gt;"",$D309&lt;&gt;$E309,$F309&gt;0),"UYGUN","HATA"))</f>
        <v/>
      </c>
      <c r="K309" s="6" t="n"/>
      <c r="L309" s="6" t="n"/>
    </row>
    <row r="310">
      <c r="A310" s="6" t="n"/>
      <c r="B310" s="113">
        <f>IF($C310="","","V"&amp;TEXT(ROW()-6,"00000"))</f>
        <v/>
      </c>
      <c r="C310" s="225" t="n"/>
      <c r="D310" s="108" t="n"/>
      <c r="E310" s="108" t="n"/>
      <c r="F310" s="226" t="n"/>
      <c r="G310" s="109" t="n"/>
      <c r="H310" s="109" t="n"/>
      <c r="I310" s="109" t="n"/>
      <c r="J310" s="113">
        <f>IF($C310="","",IF(AND($D310&lt;&gt;"",$E310&lt;&gt;"",$D310&lt;&gt;$E310,$F310&gt;0),"UYGUN","HATA"))</f>
        <v/>
      </c>
      <c r="K310" s="6" t="n"/>
      <c r="L310" s="6" t="n"/>
    </row>
    <row r="311">
      <c r="A311" s="6" t="n"/>
      <c r="B311" s="113">
        <f>IF($C311="","","V"&amp;TEXT(ROW()-6,"00000"))</f>
        <v/>
      </c>
      <c r="C311" s="225" t="n"/>
      <c r="D311" s="108" t="n"/>
      <c r="E311" s="108" t="n"/>
      <c r="F311" s="226" t="n"/>
      <c r="G311" s="109" t="n"/>
      <c r="H311" s="109" t="n"/>
      <c r="I311" s="109" t="n"/>
      <c r="J311" s="113">
        <f>IF($C311="","",IF(AND($D311&lt;&gt;"",$E311&lt;&gt;"",$D311&lt;&gt;$E311,$F311&gt;0),"UYGUN","HATA"))</f>
        <v/>
      </c>
      <c r="K311" s="6" t="n"/>
      <c r="L311" s="6" t="n"/>
    </row>
    <row r="312">
      <c r="A312" s="6" t="n"/>
      <c r="B312" s="113">
        <f>IF($C312="","","V"&amp;TEXT(ROW()-6,"00000"))</f>
        <v/>
      </c>
      <c r="C312" s="225" t="n"/>
      <c r="D312" s="108" t="n"/>
      <c r="E312" s="108" t="n"/>
      <c r="F312" s="226" t="n"/>
      <c r="G312" s="109" t="n"/>
      <c r="H312" s="109" t="n"/>
      <c r="I312" s="109" t="n"/>
      <c r="J312" s="113">
        <f>IF($C312="","",IF(AND($D312&lt;&gt;"",$E312&lt;&gt;"",$D312&lt;&gt;$E312,$F312&gt;0),"UYGUN","HATA"))</f>
        <v/>
      </c>
      <c r="K312" s="6" t="n"/>
      <c r="L312" s="6" t="n"/>
    </row>
    <row r="313">
      <c r="A313" s="6" t="n"/>
      <c r="B313" s="113">
        <f>IF($C313="","","V"&amp;TEXT(ROW()-6,"00000"))</f>
        <v/>
      </c>
      <c r="C313" s="225" t="n"/>
      <c r="D313" s="108" t="n"/>
      <c r="E313" s="108" t="n"/>
      <c r="F313" s="226" t="n"/>
      <c r="G313" s="109" t="n"/>
      <c r="H313" s="109" t="n"/>
      <c r="I313" s="109" t="n"/>
      <c r="J313" s="113">
        <f>IF($C313="","",IF(AND($D313&lt;&gt;"",$E313&lt;&gt;"",$D313&lt;&gt;$E313,$F313&gt;0),"UYGUN","HATA"))</f>
        <v/>
      </c>
      <c r="K313" s="6" t="n"/>
      <c r="L313" s="6" t="n"/>
    </row>
    <row r="314">
      <c r="A314" s="6" t="n"/>
      <c r="B314" s="113">
        <f>IF($C314="","","V"&amp;TEXT(ROW()-6,"00000"))</f>
        <v/>
      </c>
      <c r="C314" s="225" t="n"/>
      <c r="D314" s="108" t="n"/>
      <c r="E314" s="108" t="n"/>
      <c r="F314" s="226" t="n"/>
      <c r="G314" s="109" t="n"/>
      <c r="H314" s="109" t="n"/>
      <c r="I314" s="109" t="n"/>
      <c r="J314" s="113">
        <f>IF($C314="","",IF(AND($D314&lt;&gt;"",$E314&lt;&gt;"",$D314&lt;&gt;$E314,$F314&gt;0),"UYGUN","HATA"))</f>
        <v/>
      </c>
      <c r="K314" s="6" t="n"/>
      <c r="L314" s="6" t="n"/>
    </row>
    <row r="315">
      <c r="A315" s="6" t="n"/>
      <c r="B315" s="113">
        <f>IF($C315="","","V"&amp;TEXT(ROW()-6,"00000"))</f>
        <v/>
      </c>
      <c r="C315" s="225" t="n"/>
      <c r="D315" s="108" t="n"/>
      <c r="E315" s="108" t="n"/>
      <c r="F315" s="226" t="n"/>
      <c r="G315" s="109" t="n"/>
      <c r="H315" s="109" t="n"/>
      <c r="I315" s="109" t="n"/>
      <c r="J315" s="113">
        <f>IF($C315="","",IF(AND($D315&lt;&gt;"",$E315&lt;&gt;"",$D315&lt;&gt;$E315,$F315&gt;0),"UYGUN","HATA"))</f>
        <v/>
      </c>
      <c r="K315" s="6" t="n"/>
      <c r="L315" s="6" t="n"/>
    </row>
    <row r="316">
      <c r="A316" s="6" t="n"/>
      <c r="B316" s="113">
        <f>IF($C316="","","V"&amp;TEXT(ROW()-6,"00000"))</f>
        <v/>
      </c>
      <c r="C316" s="225" t="n"/>
      <c r="D316" s="108" t="n"/>
      <c r="E316" s="108" t="n"/>
      <c r="F316" s="226" t="n"/>
      <c r="G316" s="109" t="n"/>
      <c r="H316" s="109" t="n"/>
      <c r="I316" s="109" t="n"/>
      <c r="J316" s="113">
        <f>IF($C316="","",IF(AND($D316&lt;&gt;"",$E316&lt;&gt;"",$D316&lt;&gt;$E316,$F316&gt;0),"UYGUN","HATA"))</f>
        <v/>
      </c>
      <c r="K316" s="6" t="n"/>
      <c r="L316" s="6" t="n"/>
    </row>
    <row r="317">
      <c r="A317" s="6" t="n"/>
      <c r="B317" s="113">
        <f>IF($C317="","","V"&amp;TEXT(ROW()-6,"00000"))</f>
        <v/>
      </c>
      <c r="C317" s="225" t="n"/>
      <c r="D317" s="108" t="n"/>
      <c r="E317" s="108" t="n"/>
      <c r="F317" s="226" t="n"/>
      <c r="G317" s="109" t="n"/>
      <c r="H317" s="109" t="n"/>
      <c r="I317" s="109" t="n"/>
      <c r="J317" s="113">
        <f>IF($C317="","",IF(AND($D317&lt;&gt;"",$E317&lt;&gt;"",$D317&lt;&gt;$E317,$F317&gt;0),"UYGUN","HATA"))</f>
        <v/>
      </c>
      <c r="K317" s="6" t="n"/>
      <c r="L317" s="6" t="n"/>
    </row>
    <row r="318">
      <c r="A318" s="6" t="n"/>
      <c r="B318" s="113">
        <f>IF($C318="","","V"&amp;TEXT(ROW()-6,"00000"))</f>
        <v/>
      </c>
      <c r="C318" s="225" t="n"/>
      <c r="D318" s="108" t="n"/>
      <c r="E318" s="108" t="n"/>
      <c r="F318" s="226" t="n"/>
      <c r="G318" s="109" t="n"/>
      <c r="H318" s="109" t="n"/>
      <c r="I318" s="109" t="n"/>
      <c r="J318" s="113">
        <f>IF($C318="","",IF(AND($D318&lt;&gt;"",$E318&lt;&gt;"",$D318&lt;&gt;$E318,$F318&gt;0),"UYGUN","HATA"))</f>
        <v/>
      </c>
      <c r="K318" s="6" t="n"/>
      <c r="L318" s="6" t="n"/>
    </row>
    <row r="319">
      <c r="A319" s="6" t="n"/>
      <c r="B319" s="113">
        <f>IF($C319="","","V"&amp;TEXT(ROW()-6,"00000"))</f>
        <v/>
      </c>
      <c r="C319" s="225" t="n"/>
      <c r="D319" s="108" t="n"/>
      <c r="E319" s="108" t="n"/>
      <c r="F319" s="226" t="n"/>
      <c r="G319" s="109" t="n"/>
      <c r="H319" s="109" t="n"/>
      <c r="I319" s="109" t="n"/>
      <c r="J319" s="113">
        <f>IF($C319="","",IF(AND($D319&lt;&gt;"",$E319&lt;&gt;"",$D319&lt;&gt;$E319,$F319&gt;0),"UYGUN","HATA"))</f>
        <v/>
      </c>
      <c r="K319" s="6" t="n"/>
      <c r="L319" s="6" t="n"/>
    </row>
    <row r="320">
      <c r="A320" s="6" t="n"/>
      <c r="B320" s="113">
        <f>IF($C320="","","V"&amp;TEXT(ROW()-6,"00000"))</f>
        <v/>
      </c>
      <c r="C320" s="225" t="n"/>
      <c r="D320" s="108" t="n"/>
      <c r="E320" s="108" t="n"/>
      <c r="F320" s="226" t="n"/>
      <c r="G320" s="109" t="n"/>
      <c r="H320" s="109" t="n"/>
      <c r="I320" s="109" t="n"/>
      <c r="J320" s="113">
        <f>IF($C320="","",IF(AND($D320&lt;&gt;"",$E320&lt;&gt;"",$D320&lt;&gt;$E320,$F320&gt;0),"UYGUN","HATA"))</f>
        <v/>
      </c>
      <c r="K320" s="6" t="n"/>
      <c r="L320" s="6" t="n"/>
    </row>
    <row r="321">
      <c r="A321" s="6" t="n"/>
      <c r="B321" s="113">
        <f>IF($C321="","","V"&amp;TEXT(ROW()-6,"00000"))</f>
        <v/>
      </c>
      <c r="C321" s="225" t="n"/>
      <c r="D321" s="108" t="n"/>
      <c r="E321" s="108" t="n"/>
      <c r="F321" s="226" t="n"/>
      <c r="G321" s="109" t="n"/>
      <c r="H321" s="109" t="n"/>
      <c r="I321" s="109" t="n"/>
      <c r="J321" s="113">
        <f>IF($C321="","",IF(AND($D321&lt;&gt;"",$E321&lt;&gt;"",$D321&lt;&gt;$E321,$F321&gt;0),"UYGUN","HATA"))</f>
        <v/>
      </c>
      <c r="K321" s="6" t="n"/>
      <c r="L321" s="6" t="n"/>
    </row>
    <row r="322">
      <c r="A322" s="6" t="n"/>
      <c r="B322" s="113">
        <f>IF($C322="","","V"&amp;TEXT(ROW()-6,"00000"))</f>
        <v/>
      </c>
      <c r="C322" s="225" t="n"/>
      <c r="D322" s="108" t="n"/>
      <c r="E322" s="108" t="n"/>
      <c r="F322" s="226" t="n"/>
      <c r="G322" s="109" t="n"/>
      <c r="H322" s="109" t="n"/>
      <c r="I322" s="109" t="n"/>
      <c r="J322" s="113">
        <f>IF($C322="","",IF(AND($D322&lt;&gt;"",$E322&lt;&gt;"",$D322&lt;&gt;$E322,$F322&gt;0),"UYGUN","HATA"))</f>
        <v/>
      </c>
      <c r="K322" s="6" t="n"/>
      <c r="L322" s="6" t="n"/>
    </row>
    <row r="323">
      <c r="A323" s="6" t="n"/>
      <c r="B323" s="113">
        <f>IF($C323="","","V"&amp;TEXT(ROW()-6,"00000"))</f>
        <v/>
      </c>
      <c r="C323" s="225" t="n"/>
      <c r="D323" s="108" t="n"/>
      <c r="E323" s="108" t="n"/>
      <c r="F323" s="226" t="n"/>
      <c r="G323" s="109" t="n"/>
      <c r="H323" s="109" t="n"/>
      <c r="I323" s="109" t="n"/>
      <c r="J323" s="113">
        <f>IF($C323="","",IF(AND($D323&lt;&gt;"",$E323&lt;&gt;"",$D323&lt;&gt;$E323,$F323&gt;0),"UYGUN","HATA"))</f>
        <v/>
      </c>
      <c r="K323" s="6" t="n"/>
      <c r="L323" s="6" t="n"/>
    </row>
    <row r="324">
      <c r="A324" s="6" t="n"/>
      <c r="B324" s="113">
        <f>IF($C324="","","V"&amp;TEXT(ROW()-6,"00000"))</f>
        <v/>
      </c>
      <c r="C324" s="225" t="n"/>
      <c r="D324" s="108" t="n"/>
      <c r="E324" s="108" t="n"/>
      <c r="F324" s="226" t="n"/>
      <c r="G324" s="109" t="n"/>
      <c r="H324" s="109" t="n"/>
      <c r="I324" s="109" t="n"/>
      <c r="J324" s="113">
        <f>IF($C324="","",IF(AND($D324&lt;&gt;"",$E324&lt;&gt;"",$D324&lt;&gt;$E324,$F324&gt;0),"UYGUN","HATA"))</f>
        <v/>
      </c>
      <c r="K324" s="6" t="n"/>
      <c r="L324" s="6" t="n"/>
    </row>
    <row r="325">
      <c r="A325" s="6" t="n"/>
      <c r="B325" s="113">
        <f>IF($C325="","","V"&amp;TEXT(ROW()-6,"00000"))</f>
        <v/>
      </c>
      <c r="C325" s="225" t="n"/>
      <c r="D325" s="108" t="n"/>
      <c r="E325" s="108" t="n"/>
      <c r="F325" s="226" t="n"/>
      <c r="G325" s="109" t="n"/>
      <c r="H325" s="109" t="n"/>
      <c r="I325" s="109" t="n"/>
      <c r="J325" s="113">
        <f>IF($C325="","",IF(AND($D325&lt;&gt;"",$E325&lt;&gt;"",$D325&lt;&gt;$E325,$F325&gt;0),"UYGUN","HATA"))</f>
        <v/>
      </c>
      <c r="K325" s="6" t="n"/>
      <c r="L325" s="6" t="n"/>
    </row>
    <row r="326">
      <c r="A326" s="6" t="n"/>
      <c r="B326" s="113">
        <f>IF($C326="","","V"&amp;TEXT(ROW()-6,"00000"))</f>
        <v/>
      </c>
      <c r="C326" s="225" t="n"/>
      <c r="D326" s="108" t="n"/>
      <c r="E326" s="108" t="n"/>
      <c r="F326" s="226" t="n"/>
      <c r="G326" s="109" t="n"/>
      <c r="H326" s="109" t="n"/>
      <c r="I326" s="109" t="n"/>
      <c r="J326" s="113">
        <f>IF($C326="","",IF(AND($D326&lt;&gt;"",$E326&lt;&gt;"",$D326&lt;&gt;$E326,$F326&gt;0),"UYGUN","HATA"))</f>
        <v/>
      </c>
      <c r="K326" s="6" t="n"/>
      <c r="L326" s="6" t="n"/>
    </row>
    <row r="327">
      <c r="A327" s="6" t="n"/>
      <c r="B327" s="113">
        <f>IF($C327="","","V"&amp;TEXT(ROW()-6,"00000"))</f>
        <v/>
      </c>
      <c r="C327" s="225" t="n"/>
      <c r="D327" s="108" t="n"/>
      <c r="E327" s="108" t="n"/>
      <c r="F327" s="226" t="n"/>
      <c r="G327" s="109" t="n"/>
      <c r="H327" s="109" t="n"/>
      <c r="I327" s="109" t="n"/>
      <c r="J327" s="113">
        <f>IF($C327="","",IF(AND($D327&lt;&gt;"",$E327&lt;&gt;"",$D327&lt;&gt;$E327,$F327&gt;0),"UYGUN","HATA"))</f>
        <v/>
      </c>
      <c r="K327" s="6" t="n"/>
      <c r="L327" s="6" t="n"/>
    </row>
    <row r="328">
      <c r="A328" s="6" t="n"/>
      <c r="B328" s="113">
        <f>IF($C328="","","V"&amp;TEXT(ROW()-6,"00000"))</f>
        <v/>
      </c>
      <c r="C328" s="225" t="n"/>
      <c r="D328" s="108" t="n"/>
      <c r="E328" s="108" t="n"/>
      <c r="F328" s="226" t="n"/>
      <c r="G328" s="109" t="n"/>
      <c r="H328" s="109" t="n"/>
      <c r="I328" s="109" t="n"/>
      <c r="J328" s="113">
        <f>IF($C328="","",IF(AND($D328&lt;&gt;"",$E328&lt;&gt;"",$D328&lt;&gt;$E328,$F328&gt;0),"UYGUN","HATA"))</f>
        <v/>
      </c>
      <c r="K328" s="6" t="n"/>
      <c r="L328" s="6" t="n"/>
    </row>
    <row r="329">
      <c r="A329" s="6" t="n"/>
      <c r="B329" s="113">
        <f>IF($C329="","","V"&amp;TEXT(ROW()-6,"00000"))</f>
        <v/>
      </c>
      <c r="C329" s="225" t="n"/>
      <c r="D329" s="108" t="n"/>
      <c r="E329" s="108" t="n"/>
      <c r="F329" s="226" t="n"/>
      <c r="G329" s="109" t="n"/>
      <c r="H329" s="109" t="n"/>
      <c r="I329" s="109" t="n"/>
      <c r="J329" s="113">
        <f>IF($C329="","",IF(AND($D329&lt;&gt;"",$E329&lt;&gt;"",$D329&lt;&gt;$E329,$F329&gt;0),"UYGUN","HATA"))</f>
        <v/>
      </c>
      <c r="K329" s="6" t="n"/>
      <c r="L329" s="6" t="n"/>
    </row>
    <row r="330">
      <c r="A330" s="6" t="n"/>
      <c r="B330" s="113">
        <f>IF($C330="","","V"&amp;TEXT(ROW()-6,"00000"))</f>
        <v/>
      </c>
      <c r="C330" s="225" t="n"/>
      <c r="D330" s="108" t="n"/>
      <c r="E330" s="108" t="n"/>
      <c r="F330" s="226" t="n"/>
      <c r="G330" s="109" t="n"/>
      <c r="H330" s="109" t="n"/>
      <c r="I330" s="109" t="n"/>
      <c r="J330" s="113">
        <f>IF($C330="","",IF(AND($D330&lt;&gt;"",$E330&lt;&gt;"",$D330&lt;&gt;$E330,$F330&gt;0),"UYGUN","HATA"))</f>
        <v/>
      </c>
      <c r="K330" s="6" t="n"/>
      <c r="L330" s="6" t="n"/>
    </row>
    <row r="331">
      <c r="A331" s="6" t="n"/>
      <c r="B331" s="113">
        <f>IF($C331="","","V"&amp;TEXT(ROW()-6,"00000"))</f>
        <v/>
      </c>
      <c r="C331" s="225" t="n"/>
      <c r="D331" s="108" t="n"/>
      <c r="E331" s="108" t="n"/>
      <c r="F331" s="226" t="n"/>
      <c r="G331" s="109" t="n"/>
      <c r="H331" s="109" t="n"/>
      <c r="I331" s="109" t="n"/>
      <c r="J331" s="113">
        <f>IF($C331="","",IF(AND($D331&lt;&gt;"",$E331&lt;&gt;"",$D331&lt;&gt;$E331,$F331&gt;0),"UYGUN","HATA"))</f>
        <v/>
      </c>
      <c r="K331" s="6" t="n"/>
      <c r="L331" s="6" t="n"/>
    </row>
    <row r="332">
      <c r="A332" s="6" t="n"/>
      <c r="B332" s="113">
        <f>IF($C332="","","V"&amp;TEXT(ROW()-6,"00000"))</f>
        <v/>
      </c>
      <c r="C332" s="225" t="n"/>
      <c r="D332" s="108" t="n"/>
      <c r="E332" s="108" t="n"/>
      <c r="F332" s="226" t="n"/>
      <c r="G332" s="109" t="n"/>
      <c r="H332" s="109" t="n"/>
      <c r="I332" s="109" t="n"/>
      <c r="J332" s="113">
        <f>IF($C332="","",IF(AND($D332&lt;&gt;"",$E332&lt;&gt;"",$D332&lt;&gt;$E332,$F332&gt;0),"UYGUN","HATA"))</f>
        <v/>
      </c>
      <c r="K332" s="6" t="n"/>
      <c r="L332" s="6" t="n"/>
    </row>
    <row r="333">
      <c r="A333" s="6" t="n"/>
      <c r="B333" s="113">
        <f>IF($C333="","","V"&amp;TEXT(ROW()-6,"00000"))</f>
        <v/>
      </c>
      <c r="C333" s="225" t="n"/>
      <c r="D333" s="108" t="n"/>
      <c r="E333" s="108" t="n"/>
      <c r="F333" s="226" t="n"/>
      <c r="G333" s="109" t="n"/>
      <c r="H333" s="109" t="n"/>
      <c r="I333" s="109" t="n"/>
      <c r="J333" s="113">
        <f>IF($C333="","",IF(AND($D333&lt;&gt;"",$E333&lt;&gt;"",$D333&lt;&gt;$E333,$F333&gt;0),"UYGUN","HATA"))</f>
        <v/>
      </c>
      <c r="K333" s="6" t="n"/>
      <c r="L333" s="6" t="n"/>
    </row>
    <row r="334">
      <c r="A334" s="6" t="n"/>
      <c r="B334" s="113">
        <f>IF($C334="","","V"&amp;TEXT(ROW()-6,"00000"))</f>
        <v/>
      </c>
      <c r="C334" s="225" t="n"/>
      <c r="D334" s="108" t="n"/>
      <c r="E334" s="108" t="n"/>
      <c r="F334" s="226" t="n"/>
      <c r="G334" s="109" t="n"/>
      <c r="H334" s="109" t="n"/>
      <c r="I334" s="109" t="n"/>
      <c r="J334" s="113">
        <f>IF($C334="","",IF(AND($D334&lt;&gt;"",$E334&lt;&gt;"",$D334&lt;&gt;$E334,$F334&gt;0),"UYGUN","HATA"))</f>
        <v/>
      </c>
      <c r="K334" s="6" t="n"/>
      <c r="L334" s="6" t="n"/>
    </row>
    <row r="335">
      <c r="A335" s="6" t="n"/>
      <c r="B335" s="113">
        <f>IF($C335="","","V"&amp;TEXT(ROW()-6,"00000"))</f>
        <v/>
      </c>
      <c r="C335" s="225" t="n"/>
      <c r="D335" s="108" t="n"/>
      <c r="E335" s="108" t="n"/>
      <c r="F335" s="226" t="n"/>
      <c r="G335" s="109" t="n"/>
      <c r="H335" s="109" t="n"/>
      <c r="I335" s="109" t="n"/>
      <c r="J335" s="113">
        <f>IF($C335="","",IF(AND($D335&lt;&gt;"",$E335&lt;&gt;"",$D335&lt;&gt;$E335,$F335&gt;0),"UYGUN","HATA"))</f>
        <v/>
      </c>
      <c r="K335" s="6" t="n"/>
      <c r="L335" s="6" t="n"/>
    </row>
    <row r="336">
      <c r="A336" s="6" t="n"/>
      <c r="B336" s="113">
        <f>IF($C336="","","V"&amp;TEXT(ROW()-6,"00000"))</f>
        <v/>
      </c>
      <c r="C336" s="225" t="n"/>
      <c r="D336" s="108" t="n"/>
      <c r="E336" s="108" t="n"/>
      <c r="F336" s="226" t="n"/>
      <c r="G336" s="109" t="n"/>
      <c r="H336" s="109" t="n"/>
      <c r="I336" s="109" t="n"/>
      <c r="J336" s="113">
        <f>IF($C336="","",IF(AND($D336&lt;&gt;"",$E336&lt;&gt;"",$D336&lt;&gt;$E336,$F336&gt;0),"UYGUN","HATA"))</f>
        <v/>
      </c>
      <c r="K336" s="6" t="n"/>
      <c r="L336" s="6" t="n"/>
    </row>
    <row r="337">
      <c r="A337" s="6" t="n"/>
      <c r="B337" s="113">
        <f>IF($C337="","","V"&amp;TEXT(ROW()-6,"00000"))</f>
        <v/>
      </c>
      <c r="C337" s="225" t="n"/>
      <c r="D337" s="108" t="n"/>
      <c r="E337" s="108" t="n"/>
      <c r="F337" s="226" t="n"/>
      <c r="G337" s="109" t="n"/>
      <c r="H337" s="109" t="n"/>
      <c r="I337" s="109" t="n"/>
      <c r="J337" s="113">
        <f>IF($C337="","",IF(AND($D337&lt;&gt;"",$E337&lt;&gt;"",$D337&lt;&gt;$E337,$F337&gt;0),"UYGUN","HATA"))</f>
        <v/>
      </c>
      <c r="K337" s="6" t="n"/>
      <c r="L337" s="6" t="n"/>
    </row>
    <row r="338">
      <c r="A338" s="6" t="n"/>
      <c r="B338" s="113">
        <f>IF($C338="","","V"&amp;TEXT(ROW()-6,"00000"))</f>
        <v/>
      </c>
      <c r="C338" s="225" t="n"/>
      <c r="D338" s="108" t="n"/>
      <c r="E338" s="108" t="n"/>
      <c r="F338" s="226" t="n"/>
      <c r="G338" s="109" t="n"/>
      <c r="H338" s="109" t="n"/>
      <c r="I338" s="109" t="n"/>
      <c r="J338" s="113">
        <f>IF($C338="","",IF(AND($D338&lt;&gt;"",$E338&lt;&gt;"",$D338&lt;&gt;$E338,$F338&gt;0),"UYGUN","HATA"))</f>
        <v/>
      </c>
      <c r="K338" s="6" t="n"/>
      <c r="L338" s="6" t="n"/>
    </row>
    <row r="339">
      <c r="A339" s="6" t="n"/>
      <c r="B339" s="113">
        <f>IF($C339="","","V"&amp;TEXT(ROW()-6,"00000"))</f>
        <v/>
      </c>
      <c r="C339" s="225" t="n"/>
      <c r="D339" s="108" t="n"/>
      <c r="E339" s="108" t="n"/>
      <c r="F339" s="226" t="n"/>
      <c r="G339" s="109" t="n"/>
      <c r="H339" s="109" t="n"/>
      <c r="I339" s="109" t="n"/>
      <c r="J339" s="113">
        <f>IF($C339="","",IF(AND($D339&lt;&gt;"",$E339&lt;&gt;"",$D339&lt;&gt;$E339,$F339&gt;0),"UYGUN","HATA"))</f>
        <v/>
      </c>
      <c r="K339" s="6" t="n"/>
      <c r="L339" s="6" t="n"/>
    </row>
    <row r="340">
      <c r="A340" s="6" t="n"/>
      <c r="B340" s="113">
        <f>IF($C340="","","V"&amp;TEXT(ROW()-6,"00000"))</f>
        <v/>
      </c>
      <c r="C340" s="225" t="n"/>
      <c r="D340" s="108" t="n"/>
      <c r="E340" s="108" t="n"/>
      <c r="F340" s="226" t="n"/>
      <c r="G340" s="109" t="n"/>
      <c r="H340" s="109" t="n"/>
      <c r="I340" s="109" t="n"/>
      <c r="J340" s="113">
        <f>IF($C340="","",IF(AND($D340&lt;&gt;"",$E340&lt;&gt;"",$D340&lt;&gt;$E340,$F340&gt;0),"UYGUN","HATA"))</f>
        <v/>
      </c>
      <c r="K340" s="6" t="n"/>
      <c r="L340" s="6" t="n"/>
    </row>
    <row r="341">
      <c r="A341" s="6" t="n"/>
      <c r="B341" s="113">
        <f>IF($C341="","","V"&amp;TEXT(ROW()-6,"00000"))</f>
        <v/>
      </c>
      <c r="C341" s="225" t="n"/>
      <c r="D341" s="108" t="n"/>
      <c r="E341" s="108" t="n"/>
      <c r="F341" s="226" t="n"/>
      <c r="G341" s="109" t="n"/>
      <c r="H341" s="109" t="n"/>
      <c r="I341" s="109" t="n"/>
      <c r="J341" s="113">
        <f>IF($C341="","",IF(AND($D341&lt;&gt;"",$E341&lt;&gt;"",$D341&lt;&gt;$E341,$F341&gt;0),"UYGUN","HATA"))</f>
        <v/>
      </c>
      <c r="K341" s="6" t="n"/>
      <c r="L341" s="6" t="n"/>
    </row>
    <row r="342">
      <c r="A342" s="6" t="n"/>
      <c r="B342" s="113">
        <f>IF($C342="","","V"&amp;TEXT(ROW()-6,"00000"))</f>
        <v/>
      </c>
      <c r="C342" s="225" t="n"/>
      <c r="D342" s="108" t="n"/>
      <c r="E342" s="108" t="n"/>
      <c r="F342" s="226" t="n"/>
      <c r="G342" s="109" t="n"/>
      <c r="H342" s="109" t="n"/>
      <c r="I342" s="109" t="n"/>
      <c r="J342" s="113">
        <f>IF($C342="","",IF(AND($D342&lt;&gt;"",$E342&lt;&gt;"",$D342&lt;&gt;$E342,$F342&gt;0),"UYGUN","HATA"))</f>
        <v/>
      </c>
      <c r="K342" s="6" t="n"/>
      <c r="L342" s="6" t="n"/>
    </row>
    <row r="343">
      <c r="A343" s="6" t="n"/>
      <c r="B343" s="113">
        <f>IF($C343="","","V"&amp;TEXT(ROW()-6,"00000"))</f>
        <v/>
      </c>
      <c r="C343" s="225" t="n"/>
      <c r="D343" s="108" t="n"/>
      <c r="E343" s="108" t="n"/>
      <c r="F343" s="226" t="n"/>
      <c r="G343" s="109" t="n"/>
      <c r="H343" s="109" t="n"/>
      <c r="I343" s="109" t="n"/>
      <c r="J343" s="113">
        <f>IF($C343="","",IF(AND($D343&lt;&gt;"",$E343&lt;&gt;"",$D343&lt;&gt;$E343,$F343&gt;0),"UYGUN","HATA"))</f>
        <v/>
      </c>
      <c r="K343" s="6" t="n"/>
      <c r="L343" s="6" t="n"/>
    </row>
    <row r="344">
      <c r="A344" s="6" t="n"/>
      <c r="B344" s="113">
        <f>IF($C344="","","V"&amp;TEXT(ROW()-6,"00000"))</f>
        <v/>
      </c>
      <c r="C344" s="225" t="n"/>
      <c r="D344" s="108" t="n"/>
      <c r="E344" s="108" t="n"/>
      <c r="F344" s="226" t="n"/>
      <c r="G344" s="109" t="n"/>
      <c r="H344" s="109" t="n"/>
      <c r="I344" s="109" t="n"/>
      <c r="J344" s="113">
        <f>IF($C344="","",IF(AND($D344&lt;&gt;"",$E344&lt;&gt;"",$D344&lt;&gt;$E344,$F344&gt;0),"UYGUN","HATA"))</f>
        <v/>
      </c>
      <c r="K344" s="6" t="n"/>
      <c r="L344" s="6" t="n"/>
    </row>
    <row r="345">
      <c r="A345" s="6" t="n"/>
      <c r="B345" s="113">
        <f>IF($C345="","","V"&amp;TEXT(ROW()-6,"00000"))</f>
        <v/>
      </c>
      <c r="C345" s="225" t="n"/>
      <c r="D345" s="108" t="n"/>
      <c r="E345" s="108" t="n"/>
      <c r="F345" s="226" t="n"/>
      <c r="G345" s="109" t="n"/>
      <c r="H345" s="109" t="n"/>
      <c r="I345" s="109" t="n"/>
      <c r="J345" s="113">
        <f>IF($C345="","",IF(AND($D345&lt;&gt;"",$E345&lt;&gt;"",$D345&lt;&gt;$E345,$F345&gt;0),"UYGUN","HATA"))</f>
        <v/>
      </c>
      <c r="K345" s="6" t="n"/>
      <c r="L345" s="6" t="n"/>
    </row>
    <row r="346">
      <c r="A346" s="6" t="n"/>
      <c r="B346" s="113">
        <f>IF($C346="","","V"&amp;TEXT(ROW()-6,"00000"))</f>
        <v/>
      </c>
      <c r="C346" s="225" t="n"/>
      <c r="D346" s="108" t="n"/>
      <c r="E346" s="108" t="n"/>
      <c r="F346" s="226" t="n"/>
      <c r="G346" s="109" t="n"/>
      <c r="H346" s="109" t="n"/>
      <c r="I346" s="109" t="n"/>
      <c r="J346" s="113">
        <f>IF($C346="","",IF(AND($D346&lt;&gt;"",$E346&lt;&gt;"",$D346&lt;&gt;$E346,$F346&gt;0),"UYGUN","HATA"))</f>
        <v/>
      </c>
      <c r="K346" s="6" t="n"/>
      <c r="L346" s="6" t="n"/>
    </row>
    <row r="347">
      <c r="A347" s="6" t="n"/>
      <c r="B347" s="113">
        <f>IF($C347="","","V"&amp;TEXT(ROW()-6,"00000"))</f>
        <v/>
      </c>
      <c r="C347" s="225" t="n"/>
      <c r="D347" s="108" t="n"/>
      <c r="E347" s="108" t="n"/>
      <c r="F347" s="226" t="n"/>
      <c r="G347" s="109" t="n"/>
      <c r="H347" s="109" t="n"/>
      <c r="I347" s="109" t="n"/>
      <c r="J347" s="113">
        <f>IF($C347="","",IF(AND($D347&lt;&gt;"",$E347&lt;&gt;"",$D347&lt;&gt;$E347,$F347&gt;0),"UYGUN","HATA"))</f>
        <v/>
      </c>
      <c r="K347" s="6" t="n"/>
      <c r="L347" s="6" t="n"/>
    </row>
    <row r="348">
      <c r="A348" s="6" t="n"/>
      <c r="B348" s="113">
        <f>IF($C348="","","V"&amp;TEXT(ROW()-6,"00000"))</f>
        <v/>
      </c>
      <c r="C348" s="225" t="n"/>
      <c r="D348" s="108" t="n"/>
      <c r="E348" s="108" t="n"/>
      <c r="F348" s="226" t="n"/>
      <c r="G348" s="109" t="n"/>
      <c r="H348" s="109" t="n"/>
      <c r="I348" s="109" t="n"/>
      <c r="J348" s="113">
        <f>IF($C348="","",IF(AND($D348&lt;&gt;"",$E348&lt;&gt;"",$D348&lt;&gt;$E348,$F348&gt;0),"UYGUN","HATA"))</f>
        <v/>
      </c>
      <c r="K348" s="6" t="n"/>
      <c r="L348" s="6" t="n"/>
    </row>
    <row r="349">
      <c r="A349" s="6" t="n"/>
      <c r="B349" s="113">
        <f>IF($C349="","","V"&amp;TEXT(ROW()-6,"00000"))</f>
        <v/>
      </c>
      <c r="C349" s="225" t="n"/>
      <c r="D349" s="108" t="n"/>
      <c r="E349" s="108" t="n"/>
      <c r="F349" s="226" t="n"/>
      <c r="G349" s="109" t="n"/>
      <c r="H349" s="109" t="n"/>
      <c r="I349" s="109" t="n"/>
      <c r="J349" s="113">
        <f>IF($C349="","",IF(AND($D349&lt;&gt;"",$E349&lt;&gt;"",$D349&lt;&gt;$E349,$F349&gt;0),"UYGUN","HATA"))</f>
        <v/>
      </c>
      <c r="K349" s="6" t="n"/>
      <c r="L349" s="6" t="n"/>
    </row>
    <row r="350">
      <c r="A350" s="6" t="n"/>
      <c r="B350" s="113">
        <f>IF($C350="","","V"&amp;TEXT(ROW()-6,"00000"))</f>
        <v/>
      </c>
      <c r="C350" s="225" t="n"/>
      <c r="D350" s="108" t="n"/>
      <c r="E350" s="108" t="n"/>
      <c r="F350" s="226" t="n"/>
      <c r="G350" s="109" t="n"/>
      <c r="H350" s="109" t="n"/>
      <c r="I350" s="109" t="n"/>
      <c r="J350" s="113">
        <f>IF($C350="","",IF(AND($D350&lt;&gt;"",$E350&lt;&gt;"",$D350&lt;&gt;$E350,$F350&gt;0),"UYGUN","HATA"))</f>
        <v/>
      </c>
      <c r="K350" s="6" t="n"/>
      <c r="L350" s="6" t="n"/>
    </row>
    <row r="351">
      <c r="A351" s="6" t="n"/>
      <c r="B351" s="113">
        <f>IF($C351="","","V"&amp;TEXT(ROW()-6,"00000"))</f>
        <v/>
      </c>
      <c r="C351" s="225" t="n"/>
      <c r="D351" s="108" t="n"/>
      <c r="E351" s="108" t="n"/>
      <c r="F351" s="226" t="n"/>
      <c r="G351" s="109" t="n"/>
      <c r="H351" s="109" t="n"/>
      <c r="I351" s="109" t="n"/>
      <c r="J351" s="113">
        <f>IF($C351="","",IF(AND($D351&lt;&gt;"",$E351&lt;&gt;"",$D351&lt;&gt;$E351,$F351&gt;0),"UYGUN","HATA"))</f>
        <v/>
      </c>
      <c r="K351" s="6" t="n"/>
      <c r="L351" s="6" t="n"/>
    </row>
    <row r="352">
      <c r="A352" s="6" t="n"/>
      <c r="B352" s="113">
        <f>IF($C352="","","V"&amp;TEXT(ROW()-6,"00000"))</f>
        <v/>
      </c>
      <c r="C352" s="225" t="n"/>
      <c r="D352" s="108" t="n"/>
      <c r="E352" s="108" t="n"/>
      <c r="F352" s="226" t="n"/>
      <c r="G352" s="109" t="n"/>
      <c r="H352" s="109" t="n"/>
      <c r="I352" s="109" t="n"/>
      <c r="J352" s="113">
        <f>IF($C352="","",IF(AND($D352&lt;&gt;"",$E352&lt;&gt;"",$D352&lt;&gt;$E352,$F352&gt;0),"UYGUN","HATA"))</f>
        <v/>
      </c>
      <c r="K352" s="6" t="n"/>
      <c r="L352" s="6" t="n"/>
    </row>
    <row r="353">
      <c r="A353" s="6" t="n"/>
      <c r="B353" s="113">
        <f>IF($C353="","","V"&amp;TEXT(ROW()-6,"00000"))</f>
        <v/>
      </c>
      <c r="C353" s="225" t="n"/>
      <c r="D353" s="108" t="n"/>
      <c r="E353" s="108" t="n"/>
      <c r="F353" s="226" t="n"/>
      <c r="G353" s="109" t="n"/>
      <c r="H353" s="109" t="n"/>
      <c r="I353" s="109" t="n"/>
      <c r="J353" s="113">
        <f>IF($C353="","",IF(AND($D353&lt;&gt;"",$E353&lt;&gt;"",$D353&lt;&gt;$E353,$F353&gt;0),"UYGUN","HATA"))</f>
        <v/>
      </c>
      <c r="K353" s="6" t="n"/>
      <c r="L353" s="6" t="n"/>
    </row>
    <row r="354">
      <c r="A354" s="6" t="n"/>
      <c r="B354" s="113">
        <f>IF($C354="","","V"&amp;TEXT(ROW()-6,"00000"))</f>
        <v/>
      </c>
      <c r="C354" s="225" t="n"/>
      <c r="D354" s="108" t="n"/>
      <c r="E354" s="108" t="n"/>
      <c r="F354" s="226" t="n"/>
      <c r="G354" s="109" t="n"/>
      <c r="H354" s="109" t="n"/>
      <c r="I354" s="109" t="n"/>
      <c r="J354" s="113">
        <f>IF($C354="","",IF(AND($D354&lt;&gt;"",$E354&lt;&gt;"",$D354&lt;&gt;$E354,$F354&gt;0),"UYGUN","HATA"))</f>
        <v/>
      </c>
      <c r="K354" s="6" t="n"/>
      <c r="L354" s="6" t="n"/>
    </row>
    <row r="355">
      <c r="A355" s="6" t="n"/>
      <c r="B355" s="113">
        <f>IF($C355="","","V"&amp;TEXT(ROW()-6,"00000"))</f>
        <v/>
      </c>
      <c r="C355" s="225" t="n"/>
      <c r="D355" s="108" t="n"/>
      <c r="E355" s="108" t="n"/>
      <c r="F355" s="226" t="n"/>
      <c r="G355" s="109" t="n"/>
      <c r="H355" s="109" t="n"/>
      <c r="I355" s="109" t="n"/>
      <c r="J355" s="113">
        <f>IF($C355="","",IF(AND($D355&lt;&gt;"",$E355&lt;&gt;"",$D355&lt;&gt;$E355,$F355&gt;0),"UYGUN","HATA"))</f>
        <v/>
      </c>
      <c r="K355" s="6" t="n"/>
      <c r="L355" s="6" t="n"/>
    </row>
    <row r="356">
      <c r="A356" s="6" t="n"/>
      <c r="B356" s="113">
        <f>IF($C356="","","V"&amp;TEXT(ROW()-6,"00000"))</f>
        <v/>
      </c>
      <c r="C356" s="225" t="n"/>
      <c r="D356" s="108" t="n"/>
      <c r="E356" s="108" t="n"/>
      <c r="F356" s="226" t="n"/>
      <c r="G356" s="109" t="n"/>
      <c r="H356" s="109" t="n"/>
      <c r="I356" s="109" t="n"/>
      <c r="J356" s="113">
        <f>IF($C356="","",IF(AND($D356&lt;&gt;"",$E356&lt;&gt;"",$D356&lt;&gt;$E356,$F356&gt;0),"UYGUN","HATA"))</f>
        <v/>
      </c>
      <c r="K356" s="6" t="n"/>
      <c r="L356" s="6" t="n"/>
    </row>
    <row r="357">
      <c r="A357" s="6" t="n"/>
      <c r="B357" s="113">
        <f>IF($C357="","","V"&amp;TEXT(ROW()-6,"00000"))</f>
        <v/>
      </c>
      <c r="C357" s="225" t="n"/>
      <c r="D357" s="108" t="n"/>
      <c r="E357" s="108" t="n"/>
      <c r="F357" s="226" t="n"/>
      <c r="G357" s="109" t="n"/>
      <c r="H357" s="109" t="n"/>
      <c r="I357" s="109" t="n"/>
      <c r="J357" s="113">
        <f>IF($C357="","",IF(AND($D357&lt;&gt;"",$E357&lt;&gt;"",$D357&lt;&gt;$E357,$F357&gt;0),"UYGUN","HATA"))</f>
        <v/>
      </c>
      <c r="K357" s="6" t="n"/>
      <c r="L357" s="6" t="n"/>
    </row>
    <row r="358">
      <c r="A358" s="6" t="n"/>
      <c r="B358" s="113">
        <f>IF($C358="","","V"&amp;TEXT(ROW()-6,"00000"))</f>
        <v/>
      </c>
      <c r="C358" s="225" t="n"/>
      <c r="D358" s="108" t="n"/>
      <c r="E358" s="108" t="n"/>
      <c r="F358" s="226" t="n"/>
      <c r="G358" s="109" t="n"/>
      <c r="H358" s="109" t="n"/>
      <c r="I358" s="109" t="n"/>
      <c r="J358" s="113">
        <f>IF($C358="","",IF(AND($D358&lt;&gt;"",$E358&lt;&gt;"",$D358&lt;&gt;$E358,$F358&gt;0),"UYGUN","HATA"))</f>
        <v/>
      </c>
      <c r="K358" s="6" t="n"/>
      <c r="L358" s="6" t="n"/>
    </row>
    <row r="359">
      <c r="A359" s="6" t="n"/>
      <c r="B359" s="113">
        <f>IF($C359="","","V"&amp;TEXT(ROW()-6,"00000"))</f>
        <v/>
      </c>
      <c r="C359" s="225" t="n"/>
      <c r="D359" s="108" t="n"/>
      <c r="E359" s="108" t="n"/>
      <c r="F359" s="226" t="n"/>
      <c r="G359" s="109" t="n"/>
      <c r="H359" s="109" t="n"/>
      <c r="I359" s="109" t="n"/>
      <c r="J359" s="113">
        <f>IF($C359="","",IF(AND($D359&lt;&gt;"",$E359&lt;&gt;"",$D359&lt;&gt;$E359,$F359&gt;0),"UYGUN","HATA"))</f>
        <v/>
      </c>
      <c r="K359" s="6" t="n"/>
      <c r="L359" s="6" t="n"/>
    </row>
    <row r="360">
      <c r="A360" s="6" t="n"/>
      <c r="B360" s="113">
        <f>IF($C360="","","V"&amp;TEXT(ROW()-6,"00000"))</f>
        <v/>
      </c>
      <c r="C360" s="225" t="n"/>
      <c r="D360" s="108" t="n"/>
      <c r="E360" s="108" t="n"/>
      <c r="F360" s="226" t="n"/>
      <c r="G360" s="109" t="n"/>
      <c r="H360" s="109" t="n"/>
      <c r="I360" s="109" t="n"/>
      <c r="J360" s="113">
        <f>IF($C360="","",IF(AND($D360&lt;&gt;"",$E360&lt;&gt;"",$D360&lt;&gt;$E360,$F360&gt;0),"UYGUN","HATA"))</f>
        <v/>
      </c>
      <c r="K360" s="6" t="n"/>
      <c r="L360" s="6" t="n"/>
    </row>
    <row r="361">
      <c r="A361" s="6" t="n"/>
      <c r="B361" s="113">
        <f>IF($C361="","","V"&amp;TEXT(ROW()-6,"00000"))</f>
        <v/>
      </c>
      <c r="C361" s="225" t="n"/>
      <c r="D361" s="108" t="n"/>
      <c r="E361" s="108" t="n"/>
      <c r="F361" s="226" t="n"/>
      <c r="G361" s="109" t="n"/>
      <c r="H361" s="109" t="n"/>
      <c r="I361" s="109" t="n"/>
      <c r="J361" s="113">
        <f>IF($C361="","",IF(AND($D361&lt;&gt;"",$E361&lt;&gt;"",$D361&lt;&gt;$E361,$F361&gt;0),"UYGUN","HATA"))</f>
        <v/>
      </c>
      <c r="K361" s="6" t="n"/>
      <c r="L361" s="6" t="n"/>
    </row>
    <row r="362">
      <c r="A362" s="6" t="n"/>
      <c r="B362" s="113">
        <f>IF($C362="","","V"&amp;TEXT(ROW()-6,"00000"))</f>
        <v/>
      </c>
      <c r="C362" s="225" t="n"/>
      <c r="D362" s="108" t="n"/>
      <c r="E362" s="108" t="n"/>
      <c r="F362" s="226" t="n"/>
      <c r="G362" s="109" t="n"/>
      <c r="H362" s="109" t="n"/>
      <c r="I362" s="109" t="n"/>
      <c r="J362" s="113">
        <f>IF($C362="","",IF(AND($D362&lt;&gt;"",$E362&lt;&gt;"",$D362&lt;&gt;$E362,$F362&gt;0),"UYGUN","HATA"))</f>
        <v/>
      </c>
      <c r="K362" s="6" t="n"/>
      <c r="L362" s="6" t="n"/>
    </row>
    <row r="363">
      <c r="A363" s="6" t="n"/>
      <c r="B363" s="113">
        <f>IF($C363="","","V"&amp;TEXT(ROW()-6,"00000"))</f>
        <v/>
      </c>
      <c r="C363" s="225" t="n"/>
      <c r="D363" s="108" t="n"/>
      <c r="E363" s="108" t="n"/>
      <c r="F363" s="226" t="n"/>
      <c r="G363" s="109" t="n"/>
      <c r="H363" s="109" t="n"/>
      <c r="I363" s="109" t="n"/>
      <c r="J363" s="113">
        <f>IF($C363="","",IF(AND($D363&lt;&gt;"",$E363&lt;&gt;"",$D363&lt;&gt;$E363,$F363&gt;0),"UYGUN","HATA"))</f>
        <v/>
      </c>
      <c r="K363" s="6" t="n"/>
      <c r="L363" s="6" t="n"/>
    </row>
    <row r="364">
      <c r="A364" s="6" t="n"/>
      <c r="B364" s="113">
        <f>IF($C364="","","V"&amp;TEXT(ROW()-6,"00000"))</f>
        <v/>
      </c>
      <c r="C364" s="225" t="n"/>
      <c r="D364" s="108" t="n"/>
      <c r="E364" s="108" t="n"/>
      <c r="F364" s="226" t="n"/>
      <c r="G364" s="109" t="n"/>
      <c r="H364" s="109" t="n"/>
      <c r="I364" s="109" t="n"/>
      <c r="J364" s="113">
        <f>IF($C364="","",IF(AND($D364&lt;&gt;"",$E364&lt;&gt;"",$D364&lt;&gt;$E364,$F364&gt;0),"UYGUN","HATA"))</f>
        <v/>
      </c>
      <c r="K364" s="6" t="n"/>
      <c r="L364" s="6" t="n"/>
    </row>
    <row r="365">
      <c r="A365" s="6" t="n"/>
      <c r="B365" s="113">
        <f>IF($C365="","","V"&amp;TEXT(ROW()-6,"00000"))</f>
        <v/>
      </c>
      <c r="C365" s="225" t="n"/>
      <c r="D365" s="108" t="n"/>
      <c r="E365" s="108" t="n"/>
      <c r="F365" s="226" t="n"/>
      <c r="G365" s="109" t="n"/>
      <c r="H365" s="109" t="n"/>
      <c r="I365" s="109" t="n"/>
      <c r="J365" s="113">
        <f>IF($C365="","",IF(AND($D365&lt;&gt;"",$E365&lt;&gt;"",$D365&lt;&gt;$E365,$F365&gt;0),"UYGUN","HATA"))</f>
        <v/>
      </c>
      <c r="K365" s="6" t="n"/>
      <c r="L365" s="6" t="n"/>
    </row>
    <row r="366">
      <c r="A366" s="6" t="n"/>
      <c r="B366" s="113">
        <f>IF($C366="","","V"&amp;TEXT(ROW()-6,"00000"))</f>
        <v/>
      </c>
      <c r="C366" s="225" t="n"/>
      <c r="D366" s="108" t="n"/>
      <c r="E366" s="108" t="n"/>
      <c r="F366" s="226" t="n"/>
      <c r="G366" s="109" t="n"/>
      <c r="H366" s="109" t="n"/>
      <c r="I366" s="109" t="n"/>
      <c r="J366" s="113">
        <f>IF($C366="","",IF(AND($D366&lt;&gt;"",$E366&lt;&gt;"",$D366&lt;&gt;$E366,$F366&gt;0),"UYGUN","HATA"))</f>
        <v/>
      </c>
      <c r="K366" s="6" t="n"/>
      <c r="L366" s="6" t="n"/>
    </row>
    <row r="367">
      <c r="A367" s="6" t="n"/>
      <c r="B367" s="113">
        <f>IF($C367="","","V"&amp;TEXT(ROW()-6,"00000"))</f>
        <v/>
      </c>
      <c r="C367" s="225" t="n"/>
      <c r="D367" s="108" t="n"/>
      <c r="E367" s="108" t="n"/>
      <c r="F367" s="226" t="n"/>
      <c r="G367" s="109" t="n"/>
      <c r="H367" s="109" t="n"/>
      <c r="I367" s="109" t="n"/>
      <c r="J367" s="113">
        <f>IF($C367="","",IF(AND($D367&lt;&gt;"",$E367&lt;&gt;"",$D367&lt;&gt;$E367,$F367&gt;0),"UYGUN","HATA"))</f>
        <v/>
      </c>
      <c r="K367" s="6" t="n"/>
      <c r="L367" s="6" t="n"/>
    </row>
    <row r="368">
      <c r="A368" s="6" t="n"/>
      <c r="B368" s="113">
        <f>IF($C368="","","V"&amp;TEXT(ROW()-6,"00000"))</f>
        <v/>
      </c>
      <c r="C368" s="225" t="n"/>
      <c r="D368" s="108" t="n"/>
      <c r="E368" s="108" t="n"/>
      <c r="F368" s="226" t="n"/>
      <c r="G368" s="109" t="n"/>
      <c r="H368" s="109" t="n"/>
      <c r="I368" s="109" t="n"/>
      <c r="J368" s="113">
        <f>IF($C368="","",IF(AND($D368&lt;&gt;"",$E368&lt;&gt;"",$D368&lt;&gt;$E368,$F368&gt;0),"UYGUN","HATA"))</f>
        <v/>
      </c>
      <c r="K368" s="6" t="n"/>
      <c r="L368" s="6" t="n"/>
    </row>
    <row r="369">
      <c r="A369" s="6" t="n"/>
      <c r="B369" s="113">
        <f>IF($C369="","","V"&amp;TEXT(ROW()-6,"00000"))</f>
        <v/>
      </c>
      <c r="C369" s="225" t="n"/>
      <c r="D369" s="108" t="n"/>
      <c r="E369" s="108" t="n"/>
      <c r="F369" s="226" t="n"/>
      <c r="G369" s="109" t="n"/>
      <c r="H369" s="109" t="n"/>
      <c r="I369" s="109" t="n"/>
      <c r="J369" s="113">
        <f>IF($C369="","",IF(AND($D369&lt;&gt;"",$E369&lt;&gt;"",$D369&lt;&gt;$E369,$F369&gt;0),"UYGUN","HATA"))</f>
        <v/>
      </c>
      <c r="K369" s="6" t="n"/>
      <c r="L369" s="6" t="n"/>
    </row>
    <row r="370">
      <c r="A370" s="6" t="n"/>
      <c r="B370" s="113">
        <f>IF($C370="","","V"&amp;TEXT(ROW()-6,"00000"))</f>
        <v/>
      </c>
      <c r="C370" s="225" t="n"/>
      <c r="D370" s="108" t="n"/>
      <c r="E370" s="108" t="n"/>
      <c r="F370" s="226" t="n"/>
      <c r="G370" s="109" t="n"/>
      <c r="H370" s="109" t="n"/>
      <c r="I370" s="109" t="n"/>
      <c r="J370" s="113">
        <f>IF($C370="","",IF(AND($D370&lt;&gt;"",$E370&lt;&gt;"",$D370&lt;&gt;$E370,$F370&gt;0),"UYGUN","HATA"))</f>
        <v/>
      </c>
      <c r="K370" s="6" t="n"/>
      <c r="L370" s="6" t="n"/>
    </row>
    <row r="371">
      <c r="A371" s="6" t="n"/>
      <c r="B371" s="113">
        <f>IF($C371="","","V"&amp;TEXT(ROW()-6,"00000"))</f>
        <v/>
      </c>
      <c r="C371" s="225" t="n"/>
      <c r="D371" s="108" t="n"/>
      <c r="E371" s="108" t="n"/>
      <c r="F371" s="226" t="n"/>
      <c r="G371" s="109" t="n"/>
      <c r="H371" s="109" t="n"/>
      <c r="I371" s="109" t="n"/>
      <c r="J371" s="113">
        <f>IF($C371="","",IF(AND($D371&lt;&gt;"",$E371&lt;&gt;"",$D371&lt;&gt;$E371,$F371&gt;0),"UYGUN","HATA"))</f>
        <v/>
      </c>
      <c r="K371" s="6" t="n"/>
      <c r="L371" s="6" t="n"/>
    </row>
    <row r="372">
      <c r="A372" s="6" t="n"/>
      <c r="B372" s="113">
        <f>IF($C372="","","V"&amp;TEXT(ROW()-6,"00000"))</f>
        <v/>
      </c>
      <c r="C372" s="225" t="n"/>
      <c r="D372" s="108" t="n"/>
      <c r="E372" s="108" t="n"/>
      <c r="F372" s="226" t="n"/>
      <c r="G372" s="109" t="n"/>
      <c r="H372" s="109" t="n"/>
      <c r="I372" s="109" t="n"/>
      <c r="J372" s="113">
        <f>IF($C372="","",IF(AND($D372&lt;&gt;"",$E372&lt;&gt;"",$D372&lt;&gt;$E372,$F372&gt;0),"UYGUN","HATA"))</f>
        <v/>
      </c>
      <c r="K372" s="6" t="n"/>
      <c r="L372" s="6" t="n"/>
    </row>
    <row r="373">
      <c r="A373" s="6" t="n"/>
      <c r="B373" s="113">
        <f>IF($C373="","","V"&amp;TEXT(ROW()-6,"00000"))</f>
        <v/>
      </c>
      <c r="C373" s="225" t="n"/>
      <c r="D373" s="108" t="n"/>
      <c r="E373" s="108" t="n"/>
      <c r="F373" s="226" t="n"/>
      <c r="G373" s="109" t="n"/>
      <c r="H373" s="109" t="n"/>
      <c r="I373" s="109" t="n"/>
      <c r="J373" s="113">
        <f>IF($C373="","",IF(AND($D373&lt;&gt;"",$E373&lt;&gt;"",$D373&lt;&gt;$E373,$F373&gt;0),"UYGUN","HATA"))</f>
        <v/>
      </c>
      <c r="K373" s="6" t="n"/>
      <c r="L373" s="6" t="n"/>
    </row>
    <row r="374">
      <c r="A374" s="6" t="n"/>
      <c r="B374" s="113">
        <f>IF($C374="","","V"&amp;TEXT(ROW()-6,"00000"))</f>
        <v/>
      </c>
      <c r="C374" s="225" t="n"/>
      <c r="D374" s="108" t="n"/>
      <c r="E374" s="108" t="n"/>
      <c r="F374" s="226" t="n"/>
      <c r="G374" s="109" t="n"/>
      <c r="H374" s="109" t="n"/>
      <c r="I374" s="109" t="n"/>
      <c r="J374" s="113">
        <f>IF($C374="","",IF(AND($D374&lt;&gt;"",$E374&lt;&gt;"",$D374&lt;&gt;$E374,$F374&gt;0),"UYGUN","HATA"))</f>
        <v/>
      </c>
      <c r="K374" s="6" t="n"/>
      <c r="L374" s="6" t="n"/>
    </row>
    <row r="375">
      <c r="A375" s="6" t="n"/>
      <c r="B375" s="113">
        <f>IF($C375="","","V"&amp;TEXT(ROW()-6,"00000"))</f>
        <v/>
      </c>
      <c r="C375" s="225" t="n"/>
      <c r="D375" s="108" t="n"/>
      <c r="E375" s="108" t="n"/>
      <c r="F375" s="226" t="n"/>
      <c r="G375" s="109" t="n"/>
      <c r="H375" s="109" t="n"/>
      <c r="I375" s="109" t="n"/>
      <c r="J375" s="113">
        <f>IF($C375="","",IF(AND($D375&lt;&gt;"",$E375&lt;&gt;"",$D375&lt;&gt;$E375,$F375&gt;0),"UYGUN","HATA"))</f>
        <v/>
      </c>
      <c r="K375" s="6" t="n"/>
      <c r="L375" s="6" t="n"/>
    </row>
    <row r="376">
      <c r="A376" s="6" t="n"/>
      <c r="B376" s="113">
        <f>IF($C376="","","V"&amp;TEXT(ROW()-6,"00000"))</f>
        <v/>
      </c>
      <c r="C376" s="225" t="n"/>
      <c r="D376" s="108" t="n"/>
      <c r="E376" s="108" t="n"/>
      <c r="F376" s="226" t="n"/>
      <c r="G376" s="109" t="n"/>
      <c r="H376" s="109" t="n"/>
      <c r="I376" s="109" t="n"/>
      <c r="J376" s="113">
        <f>IF($C376="","",IF(AND($D376&lt;&gt;"",$E376&lt;&gt;"",$D376&lt;&gt;$E376,$F376&gt;0),"UYGUN","HATA"))</f>
        <v/>
      </c>
      <c r="K376" s="6" t="n"/>
      <c r="L376" s="6" t="n"/>
    </row>
    <row r="377">
      <c r="A377" s="6" t="n"/>
      <c r="B377" s="113">
        <f>IF($C377="","","V"&amp;TEXT(ROW()-6,"00000"))</f>
        <v/>
      </c>
      <c r="C377" s="225" t="n"/>
      <c r="D377" s="108" t="n"/>
      <c r="E377" s="108" t="n"/>
      <c r="F377" s="226" t="n"/>
      <c r="G377" s="109" t="n"/>
      <c r="H377" s="109" t="n"/>
      <c r="I377" s="109" t="n"/>
      <c r="J377" s="113">
        <f>IF($C377="","",IF(AND($D377&lt;&gt;"",$E377&lt;&gt;"",$D377&lt;&gt;$E377,$F377&gt;0),"UYGUN","HATA"))</f>
        <v/>
      </c>
      <c r="K377" s="6" t="n"/>
      <c r="L377" s="6" t="n"/>
    </row>
    <row r="378">
      <c r="A378" s="6" t="n"/>
      <c r="B378" s="113">
        <f>IF($C378="","","V"&amp;TEXT(ROW()-6,"00000"))</f>
        <v/>
      </c>
      <c r="C378" s="225" t="n"/>
      <c r="D378" s="108" t="n"/>
      <c r="E378" s="108" t="n"/>
      <c r="F378" s="226" t="n"/>
      <c r="G378" s="109" t="n"/>
      <c r="H378" s="109" t="n"/>
      <c r="I378" s="109" t="n"/>
      <c r="J378" s="113">
        <f>IF($C378="","",IF(AND($D378&lt;&gt;"",$E378&lt;&gt;"",$D378&lt;&gt;$E378,$F378&gt;0),"UYGUN","HATA"))</f>
        <v/>
      </c>
      <c r="K378" s="6" t="n"/>
      <c r="L378" s="6" t="n"/>
    </row>
    <row r="379">
      <c r="A379" s="6" t="n"/>
      <c r="B379" s="113">
        <f>IF($C379="","","V"&amp;TEXT(ROW()-6,"00000"))</f>
        <v/>
      </c>
      <c r="C379" s="225" t="n"/>
      <c r="D379" s="108" t="n"/>
      <c r="E379" s="108" t="n"/>
      <c r="F379" s="226" t="n"/>
      <c r="G379" s="109" t="n"/>
      <c r="H379" s="109" t="n"/>
      <c r="I379" s="109" t="n"/>
      <c r="J379" s="113">
        <f>IF($C379="","",IF(AND($D379&lt;&gt;"",$E379&lt;&gt;"",$D379&lt;&gt;$E379,$F379&gt;0),"UYGUN","HATA"))</f>
        <v/>
      </c>
      <c r="K379" s="6" t="n"/>
      <c r="L379" s="6" t="n"/>
    </row>
    <row r="380">
      <c r="A380" s="6" t="n"/>
      <c r="B380" s="113">
        <f>IF($C380="","","V"&amp;TEXT(ROW()-6,"00000"))</f>
        <v/>
      </c>
      <c r="C380" s="225" t="n"/>
      <c r="D380" s="108" t="n"/>
      <c r="E380" s="108" t="n"/>
      <c r="F380" s="226" t="n"/>
      <c r="G380" s="109" t="n"/>
      <c r="H380" s="109" t="n"/>
      <c r="I380" s="109" t="n"/>
      <c r="J380" s="113">
        <f>IF($C380="","",IF(AND($D380&lt;&gt;"",$E380&lt;&gt;"",$D380&lt;&gt;$E380,$F380&gt;0),"UYGUN","HATA"))</f>
        <v/>
      </c>
      <c r="K380" s="6" t="n"/>
      <c r="L380" s="6" t="n"/>
    </row>
    <row r="381">
      <c r="A381" s="6" t="n"/>
      <c r="B381" s="113">
        <f>IF($C381="","","V"&amp;TEXT(ROW()-6,"00000"))</f>
        <v/>
      </c>
      <c r="C381" s="225" t="n"/>
      <c r="D381" s="108" t="n"/>
      <c r="E381" s="108" t="n"/>
      <c r="F381" s="226" t="n"/>
      <c r="G381" s="109" t="n"/>
      <c r="H381" s="109" t="n"/>
      <c r="I381" s="109" t="n"/>
      <c r="J381" s="113">
        <f>IF($C381="","",IF(AND($D381&lt;&gt;"",$E381&lt;&gt;"",$D381&lt;&gt;$E381,$F381&gt;0),"UYGUN","HATA"))</f>
        <v/>
      </c>
      <c r="K381" s="6" t="n"/>
      <c r="L381" s="6" t="n"/>
    </row>
    <row r="382">
      <c r="A382" s="6" t="n"/>
      <c r="B382" s="113">
        <f>IF($C382="","","V"&amp;TEXT(ROW()-6,"00000"))</f>
        <v/>
      </c>
      <c r="C382" s="225" t="n"/>
      <c r="D382" s="108" t="n"/>
      <c r="E382" s="108" t="n"/>
      <c r="F382" s="226" t="n"/>
      <c r="G382" s="109" t="n"/>
      <c r="H382" s="109" t="n"/>
      <c r="I382" s="109" t="n"/>
      <c r="J382" s="113">
        <f>IF($C382="","",IF(AND($D382&lt;&gt;"",$E382&lt;&gt;"",$D382&lt;&gt;$E382,$F382&gt;0),"UYGUN","HATA"))</f>
        <v/>
      </c>
      <c r="K382" s="6" t="n"/>
      <c r="L382" s="6" t="n"/>
    </row>
    <row r="383">
      <c r="A383" s="6" t="n"/>
      <c r="B383" s="113">
        <f>IF($C383="","","V"&amp;TEXT(ROW()-6,"00000"))</f>
        <v/>
      </c>
      <c r="C383" s="225" t="n"/>
      <c r="D383" s="108" t="n"/>
      <c r="E383" s="108" t="n"/>
      <c r="F383" s="226" t="n"/>
      <c r="G383" s="109" t="n"/>
      <c r="H383" s="109" t="n"/>
      <c r="I383" s="109" t="n"/>
      <c r="J383" s="113">
        <f>IF($C383="","",IF(AND($D383&lt;&gt;"",$E383&lt;&gt;"",$D383&lt;&gt;$E383,$F383&gt;0),"UYGUN","HATA"))</f>
        <v/>
      </c>
      <c r="K383" s="6" t="n"/>
      <c r="L383" s="6" t="n"/>
    </row>
    <row r="384">
      <c r="A384" s="6" t="n"/>
      <c r="B384" s="113">
        <f>IF($C384="","","V"&amp;TEXT(ROW()-6,"00000"))</f>
        <v/>
      </c>
      <c r="C384" s="225" t="n"/>
      <c r="D384" s="108" t="n"/>
      <c r="E384" s="108" t="n"/>
      <c r="F384" s="226" t="n"/>
      <c r="G384" s="109" t="n"/>
      <c r="H384" s="109" t="n"/>
      <c r="I384" s="109" t="n"/>
      <c r="J384" s="113">
        <f>IF($C384="","",IF(AND($D384&lt;&gt;"",$E384&lt;&gt;"",$D384&lt;&gt;$E384,$F384&gt;0),"UYGUN","HATA"))</f>
        <v/>
      </c>
      <c r="K384" s="6" t="n"/>
      <c r="L384" s="6" t="n"/>
    </row>
    <row r="385">
      <c r="A385" s="6" t="n"/>
      <c r="B385" s="113">
        <f>IF($C385="","","V"&amp;TEXT(ROW()-6,"00000"))</f>
        <v/>
      </c>
      <c r="C385" s="225" t="n"/>
      <c r="D385" s="108" t="n"/>
      <c r="E385" s="108" t="n"/>
      <c r="F385" s="226" t="n"/>
      <c r="G385" s="109" t="n"/>
      <c r="H385" s="109" t="n"/>
      <c r="I385" s="109" t="n"/>
      <c r="J385" s="113">
        <f>IF($C385="","",IF(AND($D385&lt;&gt;"",$E385&lt;&gt;"",$D385&lt;&gt;$E385,$F385&gt;0),"UYGUN","HATA"))</f>
        <v/>
      </c>
      <c r="K385" s="6" t="n"/>
      <c r="L385" s="6" t="n"/>
    </row>
    <row r="386">
      <c r="A386" s="6" t="n"/>
      <c r="B386" s="113">
        <f>IF($C386="","","V"&amp;TEXT(ROW()-6,"00000"))</f>
        <v/>
      </c>
      <c r="C386" s="225" t="n"/>
      <c r="D386" s="108" t="n"/>
      <c r="E386" s="108" t="n"/>
      <c r="F386" s="226" t="n"/>
      <c r="G386" s="109" t="n"/>
      <c r="H386" s="109" t="n"/>
      <c r="I386" s="109" t="n"/>
      <c r="J386" s="113">
        <f>IF($C386="","",IF(AND($D386&lt;&gt;"",$E386&lt;&gt;"",$D386&lt;&gt;$E386,$F386&gt;0),"UYGUN","HATA"))</f>
        <v/>
      </c>
      <c r="K386" s="6" t="n"/>
      <c r="L386" s="6" t="n"/>
    </row>
    <row r="387">
      <c r="A387" s="6" t="n"/>
      <c r="B387" s="113">
        <f>IF($C387="","","V"&amp;TEXT(ROW()-6,"00000"))</f>
        <v/>
      </c>
      <c r="C387" s="225" t="n"/>
      <c r="D387" s="108" t="n"/>
      <c r="E387" s="108" t="n"/>
      <c r="F387" s="226" t="n"/>
      <c r="G387" s="109" t="n"/>
      <c r="H387" s="109" t="n"/>
      <c r="I387" s="109" t="n"/>
      <c r="J387" s="113">
        <f>IF($C387="","",IF(AND($D387&lt;&gt;"",$E387&lt;&gt;"",$D387&lt;&gt;$E387,$F387&gt;0),"UYGUN","HATA"))</f>
        <v/>
      </c>
      <c r="K387" s="6" t="n"/>
      <c r="L387" s="6" t="n"/>
    </row>
    <row r="388">
      <c r="A388" s="6" t="n"/>
      <c r="B388" s="113">
        <f>IF($C388="","","V"&amp;TEXT(ROW()-6,"00000"))</f>
        <v/>
      </c>
      <c r="C388" s="225" t="n"/>
      <c r="D388" s="108" t="n"/>
      <c r="E388" s="108" t="n"/>
      <c r="F388" s="226" t="n"/>
      <c r="G388" s="109" t="n"/>
      <c r="H388" s="109" t="n"/>
      <c r="I388" s="109" t="n"/>
      <c r="J388" s="113">
        <f>IF($C388="","",IF(AND($D388&lt;&gt;"",$E388&lt;&gt;"",$D388&lt;&gt;$E388,$F388&gt;0),"UYGUN","HATA"))</f>
        <v/>
      </c>
      <c r="K388" s="6" t="n"/>
      <c r="L388" s="6" t="n"/>
    </row>
    <row r="389">
      <c r="A389" s="6" t="n"/>
      <c r="B389" s="113">
        <f>IF($C389="","","V"&amp;TEXT(ROW()-6,"00000"))</f>
        <v/>
      </c>
      <c r="C389" s="225" t="n"/>
      <c r="D389" s="108" t="n"/>
      <c r="E389" s="108" t="n"/>
      <c r="F389" s="226" t="n"/>
      <c r="G389" s="109" t="n"/>
      <c r="H389" s="109" t="n"/>
      <c r="I389" s="109" t="n"/>
      <c r="J389" s="113">
        <f>IF($C389="","",IF(AND($D389&lt;&gt;"",$E389&lt;&gt;"",$D389&lt;&gt;$E389,$F389&gt;0),"UYGUN","HATA"))</f>
        <v/>
      </c>
      <c r="K389" s="6" t="n"/>
      <c r="L389" s="6" t="n"/>
    </row>
    <row r="390">
      <c r="A390" s="6" t="n"/>
      <c r="B390" s="113">
        <f>IF($C390="","","V"&amp;TEXT(ROW()-6,"00000"))</f>
        <v/>
      </c>
      <c r="C390" s="225" t="n"/>
      <c r="D390" s="108" t="n"/>
      <c r="E390" s="108" t="n"/>
      <c r="F390" s="226" t="n"/>
      <c r="G390" s="109" t="n"/>
      <c r="H390" s="109" t="n"/>
      <c r="I390" s="109" t="n"/>
      <c r="J390" s="113">
        <f>IF($C390="","",IF(AND($D390&lt;&gt;"",$E390&lt;&gt;"",$D390&lt;&gt;$E390,$F390&gt;0),"UYGUN","HATA"))</f>
        <v/>
      </c>
      <c r="K390" s="6" t="n"/>
      <c r="L390" s="6" t="n"/>
    </row>
    <row r="391">
      <c r="A391" s="6" t="n"/>
      <c r="B391" s="113">
        <f>IF($C391="","","V"&amp;TEXT(ROW()-6,"00000"))</f>
        <v/>
      </c>
      <c r="C391" s="225" t="n"/>
      <c r="D391" s="108" t="n"/>
      <c r="E391" s="108" t="n"/>
      <c r="F391" s="226" t="n"/>
      <c r="G391" s="109" t="n"/>
      <c r="H391" s="109" t="n"/>
      <c r="I391" s="109" t="n"/>
      <c r="J391" s="113">
        <f>IF($C391="","",IF(AND($D391&lt;&gt;"",$E391&lt;&gt;"",$D391&lt;&gt;$E391,$F391&gt;0),"UYGUN","HATA"))</f>
        <v/>
      </c>
      <c r="K391" s="6" t="n"/>
      <c r="L391" s="6" t="n"/>
    </row>
    <row r="392">
      <c r="A392" s="6" t="n"/>
      <c r="B392" s="113">
        <f>IF($C392="","","V"&amp;TEXT(ROW()-6,"00000"))</f>
        <v/>
      </c>
      <c r="C392" s="225" t="n"/>
      <c r="D392" s="108" t="n"/>
      <c r="E392" s="108" t="n"/>
      <c r="F392" s="226" t="n"/>
      <c r="G392" s="109" t="n"/>
      <c r="H392" s="109" t="n"/>
      <c r="I392" s="109" t="n"/>
      <c r="J392" s="113">
        <f>IF($C392="","",IF(AND($D392&lt;&gt;"",$E392&lt;&gt;"",$D392&lt;&gt;$E392,$F392&gt;0),"UYGUN","HATA"))</f>
        <v/>
      </c>
      <c r="K392" s="6" t="n"/>
      <c r="L392" s="6" t="n"/>
    </row>
    <row r="393">
      <c r="A393" s="6" t="n"/>
      <c r="B393" s="113">
        <f>IF($C393="","","V"&amp;TEXT(ROW()-6,"00000"))</f>
        <v/>
      </c>
      <c r="C393" s="225" t="n"/>
      <c r="D393" s="108" t="n"/>
      <c r="E393" s="108" t="n"/>
      <c r="F393" s="226" t="n"/>
      <c r="G393" s="109" t="n"/>
      <c r="H393" s="109" t="n"/>
      <c r="I393" s="109" t="n"/>
      <c r="J393" s="113">
        <f>IF($C393="","",IF(AND($D393&lt;&gt;"",$E393&lt;&gt;"",$D393&lt;&gt;$E393,$F393&gt;0),"UYGUN","HATA"))</f>
        <v/>
      </c>
      <c r="K393" s="6" t="n"/>
      <c r="L393" s="6" t="n"/>
    </row>
    <row r="394">
      <c r="A394" s="6" t="n"/>
      <c r="B394" s="113">
        <f>IF($C394="","","V"&amp;TEXT(ROW()-6,"00000"))</f>
        <v/>
      </c>
      <c r="C394" s="225" t="n"/>
      <c r="D394" s="108" t="n"/>
      <c r="E394" s="108" t="n"/>
      <c r="F394" s="226" t="n"/>
      <c r="G394" s="109" t="n"/>
      <c r="H394" s="109" t="n"/>
      <c r="I394" s="109" t="n"/>
      <c r="J394" s="113">
        <f>IF($C394="","",IF(AND($D394&lt;&gt;"",$E394&lt;&gt;"",$D394&lt;&gt;$E394,$F394&gt;0),"UYGUN","HATA"))</f>
        <v/>
      </c>
      <c r="K394" s="6" t="n"/>
      <c r="L394" s="6" t="n"/>
    </row>
    <row r="395">
      <c r="A395" s="6" t="n"/>
      <c r="B395" s="113">
        <f>IF($C395="","","V"&amp;TEXT(ROW()-6,"00000"))</f>
        <v/>
      </c>
      <c r="C395" s="225" t="n"/>
      <c r="D395" s="108" t="n"/>
      <c r="E395" s="108" t="n"/>
      <c r="F395" s="226" t="n"/>
      <c r="G395" s="109" t="n"/>
      <c r="H395" s="109" t="n"/>
      <c r="I395" s="109" t="n"/>
      <c r="J395" s="113">
        <f>IF($C395="","",IF(AND($D395&lt;&gt;"",$E395&lt;&gt;"",$D395&lt;&gt;$E395,$F395&gt;0),"UYGUN","HATA"))</f>
        <v/>
      </c>
      <c r="K395" s="6" t="n"/>
      <c r="L395" s="6" t="n"/>
    </row>
    <row r="396">
      <c r="A396" s="6" t="n"/>
      <c r="B396" s="113">
        <f>IF($C396="","","V"&amp;TEXT(ROW()-6,"00000"))</f>
        <v/>
      </c>
      <c r="C396" s="225" t="n"/>
      <c r="D396" s="108" t="n"/>
      <c r="E396" s="108" t="n"/>
      <c r="F396" s="226" t="n"/>
      <c r="G396" s="109" t="n"/>
      <c r="H396" s="109" t="n"/>
      <c r="I396" s="109" t="n"/>
      <c r="J396" s="113">
        <f>IF($C396="","",IF(AND($D396&lt;&gt;"",$E396&lt;&gt;"",$D396&lt;&gt;$E396,$F396&gt;0),"UYGUN","HATA"))</f>
        <v/>
      </c>
      <c r="K396" s="6" t="n"/>
      <c r="L396" s="6" t="n"/>
    </row>
    <row r="397">
      <c r="A397" s="6" t="n"/>
      <c r="B397" s="113">
        <f>IF($C397="","","V"&amp;TEXT(ROW()-6,"00000"))</f>
        <v/>
      </c>
      <c r="C397" s="225" t="n"/>
      <c r="D397" s="108" t="n"/>
      <c r="E397" s="108" t="n"/>
      <c r="F397" s="226" t="n"/>
      <c r="G397" s="109" t="n"/>
      <c r="H397" s="109" t="n"/>
      <c r="I397" s="109" t="n"/>
      <c r="J397" s="113">
        <f>IF($C397="","",IF(AND($D397&lt;&gt;"",$E397&lt;&gt;"",$D397&lt;&gt;$E397,$F397&gt;0),"UYGUN","HATA"))</f>
        <v/>
      </c>
      <c r="K397" s="6" t="n"/>
      <c r="L397" s="6" t="n"/>
    </row>
    <row r="398">
      <c r="A398" s="6" t="n"/>
      <c r="B398" s="113">
        <f>IF($C398="","","V"&amp;TEXT(ROW()-6,"00000"))</f>
        <v/>
      </c>
      <c r="C398" s="225" t="n"/>
      <c r="D398" s="108" t="n"/>
      <c r="E398" s="108" t="n"/>
      <c r="F398" s="226" t="n"/>
      <c r="G398" s="109" t="n"/>
      <c r="H398" s="109" t="n"/>
      <c r="I398" s="109" t="n"/>
      <c r="J398" s="113">
        <f>IF($C398="","",IF(AND($D398&lt;&gt;"",$E398&lt;&gt;"",$D398&lt;&gt;$E398,$F398&gt;0),"UYGUN","HATA"))</f>
        <v/>
      </c>
      <c r="K398" s="6" t="n"/>
      <c r="L398" s="6" t="n"/>
    </row>
    <row r="399">
      <c r="A399" s="6" t="n"/>
      <c r="B399" s="113">
        <f>IF($C399="","","V"&amp;TEXT(ROW()-6,"00000"))</f>
        <v/>
      </c>
      <c r="C399" s="225" t="n"/>
      <c r="D399" s="108" t="n"/>
      <c r="E399" s="108" t="n"/>
      <c r="F399" s="226" t="n"/>
      <c r="G399" s="109" t="n"/>
      <c r="H399" s="109" t="n"/>
      <c r="I399" s="109" t="n"/>
      <c r="J399" s="113">
        <f>IF($C399="","",IF(AND($D399&lt;&gt;"",$E399&lt;&gt;"",$D399&lt;&gt;$E399,$F399&gt;0),"UYGUN","HATA"))</f>
        <v/>
      </c>
      <c r="K399" s="6" t="n"/>
      <c r="L399" s="6" t="n"/>
    </row>
    <row r="400">
      <c r="A400" s="6" t="n"/>
      <c r="B400" s="113">
        <f>IF($C400="","","V"&amp;TEXT(ROW()-6,"00000"))</f>
        <v/>
      </c>
      <c r="C400" s="225" t="n"/>
      <c r="D400" s="108" t="n"/>
      <c r="E400" s="108" t="n"/>
      <c r="F400" s="226" t="n"/>
      <c r="G400" s="109" t="n"/>
      <c r="H400" s="109" t="n"/>
      <c r="I400" s="109" t="n"/>
      <c r="J400" s="113">
        <f>IF($C400="","",IF(AND($D400&lt;&gt;"",$E400&lt;&gt;"",$D400&lt;&gt;$E400,$F400&gt;0),"UYGUN","HATA"))</f>
        <v/>
      </c>
      <c r="K400" s="6" t="n"/>
      <c r="L400" s="6" t="n"/>
    </row>
    <row r="401">
      <c r="A401" s="6" t="n"/>
      <c r="B401" s="113">
        <f>IF($C401="","","V"&amp;TEXT(ROW()-6,"00000"))</f>
        <v/>
      </c>
      <c r="C401" s="225" t="n"/>
      <c r="D401" s="108" t="n"/>
      <c r="E401" s="108" t="n"/>
      <c r="F401" s="226" t="n"/>
      <c r="G401" s="109" t="n"/>
      <c r="H401" s="109" t="n"/>
      <c r="I401" s="109" t="n"/>
      <c r="J401" s="113">
        <f>IF($C401="","",IF(AND($D401&lt;&gt;"",$E401&lt;&gt;"",$D401&lt;&gt;$E401,$F401&gt;0),"UYGUN","HATA"))</f>
        <v/>
      </c>
      <c r="K401" s="6" t="n"/>
      <c r="L401" s="6" t="n"/>
    </row>
    <row r="402">
      <c r="A402" s="6" t="n"/>
      <c r="B402" s="113">
        <f>IF($C402="","","V"&amp;TEXT(ROW()-6,"00000"))</f>
        <v/>
      </c>
      <c r="C402" s="225" t="n"/>
      <c r="D402" s="108" t="n"/>
      <c r="E402" s="108" t="n"/>
      <c r="F402" s="226" t="n"/>
      <c r="G402" s="109" t="n"/>
      <c r="H402" s="109" t="n"/>
      <c r="I402" s="109" t="n"/>
      <c r="J402" s="113">
        <f>IF($C402="","",IF(AND($D402&lt;&gt;"",$E402&lt;&gt;"",$D402&lt;&gt;$E402,$F402&gt;0),"UYGUN","HATA"))</f>
        <v/>
      </c>
      <c r="K402" s="6" t="n"/>
      <c r="L402" s="6" t="n"/>
    </row>
    <row r="403">
      <c r="A403" s="6" t="n"/>
      <c r="B403" s="113">
        <f>IF($C403="","","V"&amp;TEXT(ROW()-6,"00000"))</f>
        <v/>
      </c>
      <c r="C403" s="225" t="n"/>
      <c r="D403" s="108" t="n"/>
      <c r="E403" s="108" t="n"/>
      <c r="F403" s="226" t="n"/>
      <c r="G403" s="109" t="n"/>
      <c r="H403" s="109" t="n"/>
      <c r="I403" s="109" t="n"/>
      <c r="J403" s="113">
        <f>IF($C403="","",IF(AND($D403&lt;&gt;"",$E403&lt;&gt;"",$D403&lt;&gt;$E403,$F403&gt;0),"UYGUN","HATA"))</f>
        <v/>
      </c>
      <c r="K403" s="6" t="n"/>
      <c r="L403" s="6" t="n"/>
    </row>
    <row r="404">
      <c r="A404" s="6" t="n"/>
      <c r="B404" s="113">
        <f>IF($C404="","","V"&amp;TEXT(ROW()-6,"00000"))</f>
        <v/>
      </c>
      <c r="C404" s="225" t="n"/>
      <c r="D404" s="108" t="n"/>
      <c r="E404" s="108" t="n"/>
      <c r="F404" s="226" t="n"/>
      <c r="G404" s="109" t="n"/>
      <c r="H404" s="109" t="n"/>
      <c r="I404" s="109" t="n"/>
      <c r="J404" s="113">
        <f>IF($C404="","",IF(AND($D404&lt;&gt;"",$E404&lt;&gt;"",$D404&lt;&gt;$E404,$F404&gt;0),"UYGUN","HATA"))</f>
        <v/>
      </c>
      <c r="K404" s="6" t="n"/>
      <c r="L404" s="6" t="n"/>
    </row>
    <row r="405">
      <c r="A405" s="6" t="n"/>
      <c r="B405" s="113">
        <f>IF($C405="","","V"&amp;TEXT(ROW()-6,"00000"))</f>
        <v/>
      </c>
      <c r="C405" s="225" t="n"/>
      <c r="D405" s="108" t="n"/>
      <c r="E405" s="108" t="n"/>
      <c r="F405" s="226" t="n"/>
      <c r="G405" s="109" t="n"/>
      <c r="H405" s="109" t="n"/>
      <c r="I405" s="109" t="n"/>
      <c r="J405" s="113">
        <f>IF($C405="","",IF(AND($D405&lt;&gt;"",$E405&lt;&gt;"",$D405&lt;&gt;$E405,$F405&gt;0),"UYGUN","HATA"))</f>
        <v/>
      </c>
      <c r="K405" s="6" t="n"/>
      <c r="L405" s="6" t="n"/>
    </row>
    <row r="406">
      <c r="A406" s="6" t="n"/>
      <c r="B406" s="113">
        <f>IF($C406="","","V"&amp;TEXT(ROW()-6,"00000"))</f>
        <v/>
      </c>
      <c r="C406" s="225" t="n"/>
      <c r="D406" s="108" t="n"/>
      <c r="E406" s="108" t="n"/>
      <c r="F406" s="226" t="n"/>
      <c r="G406" s="109" t="n"/>
      <c r="H406" s="109" t="n"/>
      <c r="I406" s="109" t="n"/>
      <c r="J406" s="113">
        <f>IF($C406="","",IF(AND($D406&lt;&gt;"",$E406&lt;&gt;"",$D406&lt;&gt;$E406,$F406&gt;0),"UYGUN","HATA"))</f>
        <v/>
      </c>
      <c r="K406" s="6" t="n"/>
      <c r="L406" s="6" t="n"/>
    </row>
    <row r="407">
      <c r="A407" s="6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6" t="n"/>
      <c r="L407" s="6" t="n"/>
    </row>
    <row r="408">
      <c r="A408" s="6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6" t="n"/>
      <c r="L408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J406"/>
  <mergeCells count="2">
    <mergeCell ref="A2:K2"/>
    <mergeCell ref="A1:K1"/>
  </mergeCells>
  <conditionalFormatting sqref="J7:J406">
    <cfRule type="expression" priority="1" dxfId="3" stopIfTrue="1">
      <formula>EXACT($J7,"UYGUN")</formula>
    </cfRule>
    <cfRule type="expression" priority="2" dxfId="4" stopIfTrue="1">
      <formula>EXACT($J7,"EKSİK")</formula>
    </cfRule>
    <cfRule type="expression" priority="3" dxfId="5" stopIfTrue="1">
      <formula>EXACT($J7,"HATA")</formula>
    </cfRule>
    <cfRule type="expression" priority="4" dxfId="5" stopIfTrue="1">
      <formula>EXACT($J7,"İLERİ TARİH")</formula>
    </cfRule>
    <cfRule type="expression" priority="5" dxfId="6" stopIfTrue="1">
      <formula>EXACT($J7,"PASİF")</formula>
    </cfRule>
  </conditionalFormatting>
  <dataValidations count="2">
    <dataValidation sqref="D7:D4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</dataValidation>
    <dataValidation sqref="E7:E4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S1008"/>
  <sheetViews>
    <sheetView showGridLines="0" tabSelected="0" zoomScale="100" workbookViewId="0">
      <pane xSplit="5" ySplit="6" topLeftCell="F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1" customWidth="1" min="2" max="2"/>
    <col width="12" customWidth="1" min="3" max="3"/>
    <col width="12" customWidth="1" min="4" max="4"/>
    <col width="30" customWidth="1" min="5" max="5"/>
    <col width="24" customWidth="1" min="6" max="6"/>
    <col width="14" customWidth="1" min="7" max="7"/>
    <col width="13" customWidth="1" min="8" max="8"/>
    <col width="15" customWidth="1" min="9" max="9"/>
    <col width="15" customWidth="1" min="10" max="10"/>
    <col width="12" customWidth="1" min="11" max="11"/>
    <col width="18" customWidth="1" min="12" max="12"/>
    <col width="34" customWidth="1" min="13" max="13"/>
    <col width="30" customWidth="1" min="14" max="14"/>
    <col width="13" customWidth="1" min="15" max="15"/>
    <col width="12" customWidth="1" min="16" max="16"/>
    <col width="16" customWidth="1" min="17" max="17"/>
    <col width="2.4" customWidth="1" min="18" max="18"/>
    <col width="2.4" customWidth="1" min="19" max="19"/>
  </cols>
  <sheetData>
    <row r="1" ht="38" customHeight="1">
      <c r="A1" s="258" t="inlineStr">
        <is>
          <t>KILIÇ MUHASEBE   │   MÜŞTERİ AKTİVİTESİ  │  İşLER VE GÖRÜŞMELER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4" t="n"/>
      <c r="S1" s="45" t="n"/>
    </row>
    <row r="2" ht="22" customHeight="1">
      <c r="A2" s="4" t="inlineStr">
        <is>
          <t>Beyanname, bildirim, telefon, toplantı │ Her kayıt son tarih ve sonraki adım üretir</t>
        </is>
      </c>
      <c r="S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</row>
    <row r="4" ht="20" customHeight="1">
      <c r="A4" s="6" t="n"/>
      <c r="B4" s="47">
        <f>HYPERLINK("#PANO!A1","←  PANO")</f>
        <v/>
      </c>
      <c r="C4" s="6" t="n"/>
      <c r="D4" s="99">
        <f>HYPERLINK("#MUSTERILER!A1","Müşteriler")</f>
        <v/>
      </c>
      <c r="E4" s="6" t="n"/>
      <c r="F4" s="100" t="inlineStr">
        <is>
          <t>Sarı hücreler veri girişidir. Beyaz hücreler sistem tarafından hesaplanır ve kilitlidir. Tür = Görüşme seçildiğinde Sonraki İşlem zorunludur.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</row>
    <row r="5" ht="26" customHeight="1">
      <c r="A5" s="6" t="n"/>
      <c r="B5" s="101" t="n"/>
      <c r="C5" s="102" t="inlineStr">
        <is>
          <t>TOPLAM  │  Açık iş ve gecikmiş uyarı</t>
        </is>
      </c>
      <c r="D5" s="101" t="n"/>
      <c r="E5" s="101" t="n"/>
      <c r="F5" s="101" t="n"/>
      <c r="G5" s="101" t="n"/>
      <c r="H5" s="101" t="n"/>
      <c r="I5" s="101" t="n"/>
      <c r="J5" s="101" t="n"/>
      <c r="K5" s="101" t="n"/>
      <c r="L5" s="101" t="n"/>
      <c r="M5" s="101" t="n"/>
      <c r="N5" s="101" t="n"/>
      <c r="O5" s="101" t="n"/>
      <c r="P5" s="101" t="n"/>
      <c r="Q5" s="230">
        <f>COUNTIF($Q$7:$Q$1006,"GECİKMİŞ")</f>
        <v/>
      </c>
      <c r="R5" s="6" t="n"/>
      <c r="S5" s="6" t="n"/>
    </row>
    <row r="6" ht="40" customHeight="1">
      <c r="A6" s="6" t="n"/>
      <c r="B6" s="105" t="inlineStr">
        <is>
          <t>Kayıt No</t>
        </is>
      </c>
      <c r="C6" s="105" t="inlineStr">
        <is>
          <t>Tür</t>
        </is>
      </c>
      <c r="D6" s="105" t="inlineStr">
        <is>
          <t>Müşteri No</t>
        </is>
      </c>
      <c r="E6" s="106" t="inlineStr">
        <is>
          <t>Müşteri  (listeden seçin)</t>
        </is>
      </c>
      <c r="F6" s="106" t="inlineStr">
        <is>
          <t>Konu / İş Türü</t>
        </is>
      </c>
      <c r="G6" s="105" t="inlineStr">
        <is>
          <t>Dönem</t>
        </is>
      </c>
      <c r="H6" s="105" t="inlineStr">
        <is>
          <t>Kayıt Tarihi</t>
        </is>
      </c>
      <c r="I6" s="105" t="inlineStr">
        <is>
          <t>Son Tarih / Sonraki Temas</t>
        </is>
      </c>
      <c r="J6" s="105" t="inlineStr">
        <is>
          <t>Durum</t>
        </is>
      </c>
      <c r="K6" s="105" t="inlineStr">
        <is>
          <t>Öncelik</t>
        </is>
      </c>
      <c r="L6" s="106" t="inlineStr">
        <is>
          <t>Sorumlu Kişi</t>
        </is>
      </c>
      <c r="M6" s="106" t="inlineStr">
        <is>
          <t>Sonuç / Not</t>
        </is>
      </c>
      <c r="N6" s="106" t="inlineStr">
        <is>
          <t>Sonraki İşlem</t>
        </is>
      </c>
      <c r="O6" s="105" t="inlineStr">
        <is>
          <t>Tamamlanma</t>
        </is>
      </c>
      <c r="P6" s="105" t="inlineStr">
        <is>
          <t>Kalan Gün</t>
        </is>
      </c>
      <c r="Q6" s="105" t="inlineStr">
        <is>
          <t>Uyarı</t>
        </is>
      </c>
      <c r="R6" s="6" t="n"/>
      <c r="S6" s="6" t="n"/>
    </row>
    <row r="7">
      <c r="A7" s="6" t="n"/>
      <c r="B7" s="264">
        <f>IF($E7="","","A"&amp;TEXT(ROW()-6,"00000"))</f>
        <v/>
      </c>
      <c r="C7" s="259" t="inlineStr">
        <is>
          <t>İş</t>
        </is>
      </c>
      <c r="D7" s="264">
        <f>IF($E7="","",IFERROR(INDEX(MUSTERILER!$B$7:$B$106,MATCH($E7,MUSTERILER!$C$7:$C$106,0)),IFERROR(INDEX(MUSTERILER!$B$7:$B$106,MATCH($E7,MUSTERILER!$B$7:$B$106,0)),IFERROR(INDEX(MUSTERILER!$B$7:$B$106,MATCH($E7&amp;"*",MUSTERILER!$C$7:$C$106,0)),"TANIMSIZ MÜŞTERİ"))))</f>
        <v/>
      </c>
      <c r="E7" s="260" t="inlineStr">
        <is>
          <t>TEST HAFTALIK A.Ş.</t>
        </is>
      </c>
      <c r="F7" s="260" t="inlineStr">
        <is>
          <t>TEST – KDV beyannamesi</t>
        </is>
      </c>
      <c r="G7" s="259" t="inlineStr">
        <is>
          <t>2026/07</t>
        </is>
      </c>
      <c r="H7" s="265" t="n">
        <v>46235</v>
      </c>
      <c r="I7" s="265" t="n">
        <v>46244</v>
      </c>
      <c r="J7" s="259" t="inlineStr">
        <is>
          <t>Planlandı</t>
        </is>
      </c>
      <c r="K7" s="259" t="inlineStr">
        <is>
          <t>Yüksek</t>
        </is>
      </c>
      <c r="L7" s="260" t="n"/>
      <c r="M7" s="260" t="n"/>
      <c r="N7" s="260" t="n"/>
      <c r="O7" s="265" t="n"/>
      <c r="P7" s="272">
        <f>IF(OR($E7="",$I7=""),"",IF(OR($J7="Tamamlandı",$J7="İptal"),"",$I7-TODAY()))</f>
        <v/>
      </c>
      <c r="Q7" s="264">
        <f>IF($E7="","",IF($D7="TANIMSIZ MÜŞTERİ","HATA",IF(OR($J7="Tamamlandı",$J7="İptal"),"KAPALI",IF(AND($C7="Görüşme",$N7=""),"SONRAKİ İŞLEM EKSİK",IF($I7="","TARİH EKSİK",IF($I7&lt;TODAY(),"GECİKMİŞ",IF($I7=TODAY(),"BUGÜN",IF($I7&lt;=TODAY()+7,"7 GÜN İÇİNDE","PLANLI"))))))))</f>
        <v/>
      </c>
      <c r="R7" s="6" t="n"/>
      <c r="S7" s="6" t="n"/>
    </row>
    <row r="8">
      <c r="A8" s="6" t="n"/>
      <c r="B8" s="264">
        <f>IF($E8="","","A"&amp;TEXT(ROW()-6,"00000"))</f>
        <v/>
      </c>
      <c r="C8" s="259" t="inlineStr">
        <is>
          <t>Görüşme</t>
        </is>
      </c>
      <c r="D8" s="264">
        <f>IF($E8="","",IFERROR(INDEX(MUSTERILER!$B$7:$B$106,MATCH($E8,MUSTERILER!$C$7:$C$106,0)),IFERROR(INDEX(MUSTERILER!$B$7:$B$106,MATCH($E8,MUSTERILER!$B$7:$B$106,0)),IFERROR(INDEX(MUSTERILER!$B$7:$B$106,MATCH($E8&amp;"*",MUSTERILER!$C$7:$C$106,0)),"TANIMSIZ MÜŞTERİ"))))</f>
        <v/>
      </c>
      <c r="E8" s="260" t="inlineStr">
        <is>
          <t>TEST AYLIK LTD.</t>
        </is>
      </c>
      <c r="F8" s="260" t="inlineStr">
        <is>
          <t>TEST – tahsilat görüşmesi</t>
        </is>
      </c>
      <c r="G8" s="259" t="n"/>
      <c r="H8" s="265" t="n">
        <v>46254</v>
      </c>
      <c r="I8" s="265" t="n">
        <v>46259</v>
      </c>
      <c r="J8" s="259" t="inlineStr">
        <is>
          <t>Devam Ediyor</t>
        </is>
      </c>
      <c r="K8" s="259" t="inlineStr">
        <is>
          <t>Orta</t>
        </is>
      </c>
      <c r="L8" s="260" t="n"/>
      <c r="M8" s="260" t="n"/>
      <c r="N8" s="260" t="inlineStr">
        <is>
          <t>TEST – hatırlatma gönderilecek</t>
        </is>
      </c>
      <c r="O8" s="265" t="n"/>
      <c r="P8" s="272">
        <f>IF(OR($E8="",$I8=""),"",IF(OR($J8="Tamamlandı",$J8="İptal"),"",$I8-TODAY()))</f>
        <v/>
      </c>
      <c r="Q8" s="264">
        <f>IF($E8="","",IF($D8="TANIMSIZ MÜŞTERİ","HATA",IF(OR($J8="Tamamlandı",$J8="İptal"),"KAPALI",IF(AND($C8="Görüşme",$N8=""),"SONRAKİ İŞLEM EKSİK",IF($I8="","TARİH EKSİK",IF($I8&lt;TODAY(),"GECİKMİŞ",IF($I8=TODAY(),"BUGÜN",IF($I8&lt;=TODAY()+7,"7 GÜN İÇİNDE","PLANLI"))))))))</f>
        <v/>
      </c>
      <c r="R8" s="6" t="n"/>
      <c r="S8" s="6" t="n"/>
    </row>
    <row r="9">
      <c r="A9" s="6" t="n"/>
      <c r="B9" s="113">
        <f>IF($E9="","","A"&amp;TEXT(ROW()-6,"00000"))</f>
        <v/>
      </c>
      <c r="C9" s="108" t="n"/>
      <c r="D9" s="113">
        <f>IF($E9="","",IFERROR(INDEX(MUSTERILER!$B$7:$B$106,MATCH($E9,MUSTERILER!$C$7:$C$106,0)),IFERROR(INDEX(MUSTERILER!$B$7:$B$106,MATCH($E9,MUSTERILER!$B$7:$B$106,0)),IFERROR(INDEX(MUSTERILER!$B$7:$B$106,MATCH($E9&amp;"*",MUSTERILER!$C$7:$C$106,0)),"TANIMSIZ MÜŞTERİ"))))</f>
        <v/>
      </c>
      <c r="E9" s="109" t="n"/>
      <c r="F9" s="109" t="n"/>
      <c r="G9" s="108" t="n"/>
      <c r="H9" s="225" t="n"/>
      <c r="I9" s="225" t="n"/>
      <c r="J9" s="108" t="n"/>
      <c r="K9" s="108" t="n"/>
      <c r="L9" s="109" t="n"/>
      <c r="M9" s="109" t="n"/>
      <c r="N9" s="109" t="n"/>
      <c r="O9" s="225" t="n"/>
      <c r="P9" s="232">
        <f>IF(OR($E9="",$I9=""),"",IF(OR($J9="Tamamlandı",$J9="İptal"),"",$I9-TODAY()))</f>
        <v/>
      </c>
      <c r="Q9" s="113">
        <f>IF($E9="","",IF($D9="TANIMSIZ MÜŞTERİ","HATA",IF(OR($J9="Tamamlandı",$J9="İptal"),"KAPALI",IF(AND($C9="Görüşme",$N9=""),"SONRAKİ İŞLEM EKSİK",IF($I9="","TARİH EKSİK",IF($I9&lt;TODAY(),"GECİKMİŞ",IF($I9=TODAY(),"BUGÜN",IF($I9&lt;=TODAY()+7,"7 GÜN İÇİNDE","PLANLI"))))))))</f>
        <v/>
      </c>
      <c r="R9" s="6" t="n"/>
      <c r="S9" s="6" t="n"/>
    </row>
    <row r="10">
      <c r="A10" s="6" t="n"/>
      <c r="B10" s="113">
        <f>IF($E10="","","A"&amp;TEXT(ROW()-6,"00000"))</f>
        <v/>
      </c>
      <c r="C10" s="108" t="n"/>
      <c r="D10" s="113">
        <f>IF($E10="","",IFERROR(INDEX(MUSTERILER!$B$7:$B$106,MATCH($E10,MUSTERILER!$C$7:$C$106,0)),IFERROR(INDEX(MUSTERILER!$B$7:$B$106,MATCH($E10,MUSTERILER!$B$7:$B$106,0)),IFERROR(INDEX(MUSTERILER!$B$7:$B$106,MATCH($E10&amp;"*",MUSTERILER!$C$7:$C$106,0)),"TANIMSIZ MÜŞTERİ"))))</f>
        <v/>
      </c>
      <c r="E10" s="109" t="n"/>
      <c r="F10" s="109" t="n"/>
      <c r="G10" s="108" t="n"/>
      <c r="H10" s="225" t="n"/>
      <c r="I10" s="225" t="n"/>
      <c r="J10" s="108" t="n"/>
      <c r="K10" s="108" t="n"/>
      <c r="L10" s="109" t="n"/>
      <c r="M10" s="109" t="n"/>
      <c r="N10" s="109" t="n"/>
      <c r="O10" s="225" t="n"/>
      <c r="P10" s="232">
        <f>IF(OR($E10="",$I10=""),"",IF(OR($J10="Tamamlandı",$J10="İptal"),"",$I10-TODAY()))</f>
        <v/>
      </c>
      <c r="Q10" s="113">
        <f>IF($E10="","",IF($D10="TANIMSIZ MÜŞTERİ","HATA",IF(OR($J10="Tamamlandı",$J10="İptal"),"KAPALI",IF(AND($C10="Görüşme",$N10=""),"SONRAKİ İŞLEM EKSİK",IF($I10="","TARİH EKSİK",IF($I10&lt;TODAY(),"GECİKMİŞ",IF($I10=TODAY(),"BUGÜN",IF($I10&lt;=TODAY()+7,"7 GÜN İÇİNDE","PLANLI"))))))))</f>
        <v/>
      </c>
      <c r="R10" s="6" t="n"/>
      <c r="S10" s="6" t="n"/>
    </row>
    <row r="11">
      <c r="A11" s="6" t="n"/>
      <c r="B11" s="113">
        <f>IF($E11="","","A"&amp;TEXT(ROW()-6,"00000"))</f>
        <v/>
      </c>
      <c r="C11" s="108" t="n"/>
      <c r="D11" s="113">
        <f>IF($E11="","",IFERROR(INDEX(MUSTERILER!$B$7:$B$106,MATCH($E11,MUSTERILER!$C$7:$C$106,0)),IFERROR(INDEX(MUSTERILER!$B$7:$B$106,MATCH($E11,MUSTERILER!$B$7:$B$106,0)),IFERROR(INDEX(MUSTERILER!$B$7:$B$106,MATCH($E11&amp;"*",MUSTERILER!$C$7:$C$106,0)),"TANIMSIZ MÜŞTERİ"))))</f>
        <v/>
      </c>
      <c r="E11" s="109" t="n"/>
      <c r="F11" s="109" t="n"/>
      <c r="G11" s="108" t="n"/>
      <c r="H11" s="225" t="n"/>
      <c r="I11" s="225" t="n"/>
      <c r="J11" s="108" t="n"/>
      <c r="K11" s="108" t="n"/>
      <c r="L11" s="109" t="n"/>
      <c r="M11" s="109" t="n"/>
      <c r="N11" s="109" t="n"/>
      <c r="O11" s="225" t="n"/>
      <c r="P11" s="232">
        <f>IF(OR($E11="",$I11=""),"",IF(OR($J11="Tamamlandı",$J11="İptal"),"",$I11-TODAY()))</f>
        <v/>
      </c>
      <c r="Q11" s="113">
        <f>IF($E11="","",IF($D11="TANIMSIZ MÜŞTERİ","HATA",IF(OR($J11="Tamamlandı",$J11="İptal"),"KAPALI",IF(AND($C11="Görüşme",$N11=""),"SONRAKİ İŞLEM EKSİK",IF($I11="","TARİH EKSİK",IF($I11&lt;TODAY(),"GECİKMİŞ",IF($I11=TODAY(),"BUGÜN",IF($I11&lt;=TODAY()+7,"7 GÜN İÇİNDE","PLANLI"))))))))</f>
        <v/>
      </c>
      <c r="R11" s="6" t="n"/>
      <c r="S11" s="6" t="n"/>
    </row>
    <row r="12">
      <c r="A12" s="6" t="n"/>
      <c r="B12" s="113">
        <f>IF($E12="","","A"&amp;TEXT(ROW()-6,"00000"))</f>
        <v/>
      </c>
      <c r="C12" s="108" t="n"/>
      <c r="D12" s="113">
        <f>IF($E12="","",IFERROR(INDEX(MUSTERILER!$B$7:$B$106,MATCH($E12,MUSTERILER!$C$7:$C$106,0)),IFERROR(INDEX(MUSTERILER!$B$7:$B$106,MATCH($E12,MUSTERILER!$B$7:$B$106,0)),IFERROR(INDEX(MUSTERILER!$B$7:$B$106,MATCH($E12&amp;"*",MUSTERILER!$C$7:$C$106,0)),"TANIMSIZ MÜŞTERİ"))))</f>
        <v/>
      </c>
      <c r="E12" s="109" t="n"/>
      <c r="F12" s="109" t="n"/>
      <c r="G12" s="108" t="n"/>
      <c r="H12" s="225" t="n"/>
      <c r="I12" s="225" t="n"/>
      <c r="J12" s="108" t="n"/>
      <c r="K12" s="108" t="n"/>
      <c r="L12" s="109" t="n"/>
      <c r="M12" s="109" t="n"/>
      <c r="N12" s="109" t="n"/>
      <c r="O12" s="225" t="n"/>
      <c r="P12" s="232">
        <f>IF(OR($E12="",$I12=""),"",IF(OR($J12="Tamamlandı",$J12="İptal"),"",$I12-TODAY()))</f>
        <v/>
      </c>
      <c r="Q12" s="113">
        <f>IF($E12="","",IF($D12="TANIMSIZ MÜŞTERİ","HATA",IF(OR($J12="Tamamlandı",$J12="İptal"),"KAPALI",IF(AND($C12="Görüşme",$N12=""),"SONRAKİ İŞLEM EKSİK",IF($I12="","TARİH EKSİK",IF($I12&lt;TODAY(),"GECİKMİŞ",IF($I12=TODAY(),"BUGÜN",IF($I12&lt;=TODAY()+7,"7 GÜN İÇİNDE","PLANLI"))))))))</f>
        <v/>
      </c>
      <c r="R12" s="6" t="n"/>
      <c r="S12" s="6" t="n"/>
    </row>
    <row r="13">
      <c r="A13" s="6" t="n"/>
      <c r="B13" s="113">
        <f>IF($E13="","","A"&amp;TEXT(ROW()-6,"00000"))</f>
        <v/>
      </c>
      <c r="C13" s="108" t="n"/>
      <c r="D13" s="113">
        <f>IF($E13="","",IFERROR(INDEX(MUSTERILER!$B$7:$B$106,MATCH($E13,MUSTERILER!$C$7:$C$106,0)),IFERROR(INDEX(MUSTERILER!$B$7:$B$106,MATCH($E13,MUSTERILER!$B$7:$B$106,0)),IFERROR(INDEX(MUSTERILER!$B$7:$B$106,MATCH($E13&amp;"*",MUSTERILER!$C$7:$C$106,0)),"TANIMSIZ MÜŞTERİ"))))</f>
        <v/>
      </c>
      <c r="E13" s="109" t="n"/>
      <c r="F13" s="109" t="n"/>
      <c r="G13" s="108" t="n"/>
      <c r="H13" s="225" t="n"/>
      <c r="I13" s="225" t="n"/>
      <c r="J13" s="108" t="n"/>
      <c r="K13" s="108" t="n"/>
      <c r="L13" s="109" t="n"/>
      <c r="M13" s="109" t="n"/>
      <c r="N13" s="109" t="n"/>
      <c r="O13" s="225" t="n"/>
      <c r="P13" s="232">
        <f>IF(OR($E13="",$I13=""),"",IF(OR($J13="Tamamlandı",$J13="İptal"),"",$I13-TODAY()))</f>
        <v/>
      </c>
      <c r="Q13" s="113">
        <f>IF($E13="","",IF($D13="TANIMSIZ MÜŞTERİ","HATA",IF(OR($J13="Tamamlandı",$J13="İptal"),"KAPALI",IF(AND($C13="Görüşme",$N13=""),"SONRAKİ İŞLEM EKSİK",IF($I13="","TARİH EKSİK",IF($I13&lt;TODAY(),"GECİKMİŞ",IF($I13=TODAY(),"BUGÜN",IF($I13&lt;=TODAY()+7,"7 GÜN İÇİNDE","PLANLI"))))))))</f>
        <v/>
      </c>
      <c r="R13" s="6" t="n"/>
      <c r="S13" s="6" t="n"/>
    </row>
    <row r="14">
      <c r="A14" s="6" t="n"/>
      <c r="B14" s="113">
        <f>IF($E14="","","A"&amp;TEXT(ROW()-6,"00000"))</f>
        <v/>
      </c>
      <c r="C14" s="108" t="n"/>
      <c r="D14" s="113">
        <f>IF($E14="","",IFERROR(INDEX(MUSTERILER!$B$7:$B$106,MATCH($E14,MUSTERILER!$C$7:$C$106,0)),IFERROR(INDEX(MUSTERILER!$B$7:$B$106,MATCH($E14,MUSTERILER!$B$7:$B$106,0)),IFERROR(INDEX(MUSTERILER!$B$7:$B$106,MATCH($E14&amp;"*",MUSTERILER!$C$7:$C$106,0)),"TANIMSIZ MÜŞTERİ"))))</f>
        <v/>
      </c>
      <c r="E14" s="109" t="n"/>
      <c r="F14" s="109" t="n"/>
      <c r="G14" s="108" t="n"/>
      <c r="H14" s="225" t="n"/>
      <c r="I14" s="225" t="n"/>
      <c r="J14" s="108" t="n"/>
      <c r="K14" s="108" t="n"/>
      <c r="L14" s="109" t="n"/>
      <c r="M14" s="109" t="n"/>
      <c r="N14" s="109" t="n"/>
      <c r="O14" s="225" t="n"/>
      <c r="P14" s="232">
        <f>IF(OR($E14="",$I14=""),"",IF(OR($J14="Tamamlandı",$J14="İptal"),"",$I14-TODAY()))</f>
        <v/>
      </c>
      <c r="Q14" s="113">
        <f>IF($E14="","",IF($D14="TANIMSIZ MÜŞTERİ","HATA",IF(OR($J14="Tamamlandı",$J14="İptal"),"KAPALI",IF(AND($C14="Görüşme",$N14=""),"SONRAKİ İŞLEM EKSİK",IF($I14="","TARİH EKSİK",IF($I14&lt;TODAY(),"GECİKMİŞ",IF($I14=TODAY(),"BUGÜN",IF($I14&lt;=TODAY()+7,"7 GÜN İÇİNDE","PLANLI"))))))))</f>
        <v/>
      </c>
      <c r="R14" s="6" t="n"/>
      <c r="S14" s="6" t="n"/>
    </row>
    <row r="15">
      <c r="A15" s="6" t="n"/>
      <c r="B15" s="113">
        <f>IF($E15="","","A"&amp;TEXT(ROW()-6,"00000"))</f>
        <v/>
      </c>
      <c r="C15" s="108" t="n"/>
      <c r="D15" s="113">
        <f>IF($E15="","",IFERROR(INDEX(MUSTERILER!$B$7:$B$106,MATCH($E15,MUSTERILER!$C$7:$C$106,0)),IFERROR(INDEX(MUSTERILER!$B$7:$B$106,MATCH($E15,MUSTERILER!$B$7:$B$106,0)),IFERROR(INDEX(MUSTERILER!$B$7:$B$106,MATCH($E15&amp;"*",MUSTERILER!$C$7:$C$106,0)),"TANIMSIZ MÜŞTERİ"))))</f>
        <v/>
      </c>
      <c r="E15" s="109" t="n"/>
      <c r="F15" s="109" t="n"/>
      <c r="G15" s="108" t="n"/>
      <c r="H15" s="225" t="n"/>
      <c r="I15" s="225" t="n"/>
      <c r="J15" s="108" t="n"/>
      <c r="K15" s="108" t="n"/>
      <c r="L15" s="109" t="n"/>
      <c r="M15" s="109" t="n"/>
      <c r="N15" s="109" t="n"/>
      <c r="O15" s="225" t="n"/>
      <c r="P15" s="232">
        <f>IF(OR($E15="",$I15=""),"",IF(OR($J15="Tamamlandı",$J15="İptal"),"",$I15-TODAY()))</f>
        <v/>
      </c>
      <c r="Q15" s="113">
        <f>IF($E15="","",IF($D15="TANIMSIZ MÜŞTERİ","HATA",IF(OR($J15="Tamamlandı",$J15="İptal"),"KAPALI",IF(AND($C15="Görüşme",$N15=""),"SONRAKİ İŞLEM EKSİK",IF($I15="","TARİH EKSİK",IF($I15&lt;TODAY(),"GECİKMİŞ",IF($I15=TODAY(),"BUGÜN",IF($I15&lt;=TODAY()+7,"7 GÜN İÇİNDE","PLANLI"))))))))</f>
        <v/>
      </c>
      <c r="R15" s="6" t="n"/>
      <c r="S15" s="6" t="n"/>
    </row>
    <row r="16">
      <c r="A16" s="6" t="n"/>
      <c r="B16" s="113">
        <f>IF($E16="","","A"&amp;TEXT(ROW()-6,"00000"))</f>
        <v/>
      </c>
      <c r="C16" s="108" t="n"/>
      <c r="D16" s="113">
        <f>IF($E16="","",IFERROR(INDEX(MUSTERILER!$B$7:$B$106,MATCH($E16,MUSTERILER!$C$7:$C$106,0)),IFERROR(INDEX(MUSTERILER!$B$7:$B$106,MATCH($E16,MUSTERILER!$B$7:$B$106,0)),IFERROR(INDEX(MUSTERILER!$B$7:$B$106,MATCH($E16&amp;"*",MUSTERILER!$C$7:$C$106,0)),"TANIMSIZ MÜŞTERİ"))))</f>
        <v/>
      </c>
      <c r="E16" s="109" t="n"/>
      <c r="F16" s="109" t="n"/>
      <c r="G16" s="108" t="n"/>
      <c r="H16" s="225" t="n"/>
      <c r="I16" s="225" t="n"/>
      <c r="J16" s="108" t="n"/>
      <c r="K16" s="108" t="n"/>
      <c r="L16" s="109" t="n"/>
      <c r="M16" s="109" t="n"/>
      <c r="N16" s="109" t="n"/>
      <c r="O16" s="225" t="n"/>
      <c r="P16" s="232">
        <f>IF(OR($E16="",$I16=""),"",IF(OR($J16="Tamamlandı",$J16="İptal"),"",$I16-TODAY()))</f>
        <v/>
      </c>
      <c r="Q16" s="113">
        <f>IF($E16="","",IF($D16="TANIMSIZ MÜŞTERİ","HATA",IF(OR($J16="Tamamlandı",$J16="İptal"),"KAPALI",IF(AND($C16="Görüşme",$N16=""),"SONRAKİ İŞLEM EKSİK",IF($I16="","TARİH EKSİK",IF($I16&lt;TODAY(),"GECİKMİŞ",IF($I16=TODAY(),"BUGÜN",IF($I16&lt;=TODAY()+7,"7 GÜN İÇİNDE","PLANLI"))))))))</f>
        <v/>
      </c>
      <c r="R16" s="6" t="n"/>
      <c r="S16" s="6" t="n"/>
    </row>
    <row r="17">
      <c r="A17" s="6" t="n"/>
      <c r="B17" s="113">
        <f>IF($E17="","","A"&amp;TEXT(ROW()-6,"00000"))</f>
        <v/>
      </c>
      <c r="C17" s="108" t="n"/>
      <c r="D17" s="113">
        <f>IF($E17="","",IFERROR(INDEX(MUSTERILER!$B$7:$B$106,MATCH($E17,MUSTERILER!$C$7:$C$106,0)),IFERROR(INDEX(MUSTERILER!$B$7:$B$106,MATCH($E17,MUSTERILER!$B$7:$B$106,0)),IFERROR(INDEX(MUSTERILER!$B$7:$B$106,MATCH($E17&amp;"*",MUSTERILER!$C$7:$C$106,0)),"TANIMSIZ MÜŞTERİ"))))</f>
        <v/>
      </c>
      <c r="E17" s="109" t="n"/>
      <c r="F17" s="109" t="n"/>
      <c r="G17" s="108" t="n"/>
      <c r="H17" s="225" t="n"/>
      <c r="I17" s="225" t="n"/>
      <c r="J17" s="108" t="n"/>
      <c r="K17" s="108" t="n"/>
      <c r="L17" s="109" t="n"/>
      <c r="M17" s="109" t="n"/>
      <c r="N17" s="109" t="n"/>
      <c r="O17" s="225" t="n"/>
      <c r="P17" s="232">
        <f>IF(OR($E17="",$I17=""),"",IF(OR($J17="Tamamlandı",$J17="İptal"),"",$I17-TODAY()))</f>
        <v/>
      </c>
      <c r="Q17" s="113">
        <f>IF($E17="","",IF($D17="TANIMSIZ MÜŞTERİ","HATA",IF(OR($J17="Tamamlandı",$J17="İptal"),"KAPALI",IF(AND($C17="Görüşme",$N17=""),"SONRAKİ İŞLEM EKSİK",IF($I17="","TARİH EKSİK",IF($I17&lt;TODAY(),"GECİKMİŞ",IF($I17=TODAY(),"BUGÜN",IF($I17&lt;=TODAY()+7,"7 GÜN İÇİNDE","PLANLI"))))))))</f>
        <v/>
      </c>
      <c r="R17" s="6" t="n"/>
      <c r="S17" s="6" t="n"/>
    </row>
    <row r="18">
      <c r="A18" s="6" t="n"/>
      <c r="B18" s="113">
        <f>IF($E18="","","A"&amp;TEXT(ROW()-6,"00000"))</f>
        <v/>
      </c>
      <c r="C18" s="108" t="n"/>
      <c r="D18" s="113">
        <f>IF($E18="","",IFERROR(INDEX(MUSTERILER!$B$7:$B$106,MATCH($E18,MUSTERILER!$C$7:$C$106,0)),IFERROR(INDEX(MUSTERILER!$B$7:$B$106,MATCH($E18,MUSTERILER!$B$7:$B$106,0)),IFERROR(INDEX(MUSTERILER!$B$7:$B$106,MATCH($E18&amp;"*",MUSTERILER!$C$7:$C$106,0)),"TANIMSIZ MÜŞTERİ"))))</f>
        <v/>
      </c>
      <c r="E18" s="109" t="n"/>
      <c r="F18" s="109" t="n"/>
      <c r="G18" s="108" t="n"/>
      <c r="H18" s="225" t="n"/>
      <c r="I18" s="225" t="n"/>
      <c r="J18" s="108" t="n"/>
      <c r="K18" s="108" t="n"/>
      <c r="L18" s="109" t="n"/>
      <c r="M18" s="109" t="n"/>
      <c r="N18" s="109" t="n"/>
      <c r="O18" s="225" t="n"/>
      <c r="P18" s="232">
        <f>IF(OR($E18="",$I18=""),"",IF(OR($J18="Tamamlandı",$J18="İptal"),"",$I18-TODAY()))</f>
        <v/>
      </c>
      <c r="Q18" s="113">
        <f>IF($E18="","",IF($D18="TANIMSIZ MÜŞTERİ","HATA",IF(OR($J18="Tamamlandı",$J18="İptal"),"KAPALI",IF(AND($C18="Görüşme",$N18=""),"SONRAKİ İŞLEM EKSİK",IF($I18="","TARİH EKSİK",IF($I18&lt;TODAY(),"GECİKMİŞ",IF($I18=TODAY(),"BUGÜN",IF($I18&lt;=TODAY()+7,"7 GÜN İÇİNDE","PLANLI"))))))))</f>
        <v/>
      </c>
      <c r="R18" s="6" t="n"/>
      <c r="S18" s="6" t="n"/>
    </row>
    <row r="19">
      <c r="A19" s="6" t="n"/>
      <c r="B19" s="113">
        <f>IF($E19="","","A"&amp;TEXT(ROW()-6,"00000"))</f>
        <v/>
      </c>
      <c r="C19" s="108" t="n"/>
      <c r="D19" s="113">
        <f>IF($E19="","",IFERROR(INDEX(MUSTERILER!$B$7:$B$106,MATCH($E19,MUSTERILER!$C$7:$C$106,0)),IFERROR(INDEX(MUSTERILER!$B$7:$B$106,MATCH($E19,MUSTERILER!$B$7:$B$106,0)),IFERROR(INDEX(MUSTERILER!$B$7:$B$106,MATCH($E19&amp;"*",MUSTERILER!$C$7:$C$106,0)),"TANIMSIZ MÜŞTERİ"))))</f>
        <v/>
      </c>
      <c r="E19" s="109" t="n"/>
      <c r="F19" s="109" t="n"/>
      <c r="G19" s="108" t="n"/>
      <c r="H19" s="225" t="n"/>
      <c r="I19" s="225" t="n"/>
      <c r="J19" s="108" t="n"/>
      <c r="K19" s="108" t="n"/>
      <c r="L19" s="109" t="n"/>
      <c r="M19" s="109" t="n"/>
      <c r="N19" s="109" t="n"/>
      <c r="O19" s="225" t="n"/>
      <c r="P19" s="232">
        <f>IF(OR($E19="",$I19=""),"",IF(OR($J19="Tamamlandı",$J19="İptal"),"",$I19-TODAY()))</f>
        <v/>
      </c>
      <c r="Q19" s="113">
        <f>IF($E19="","",IF($D19="TANIMSIZ MÜŞTERİ","HATA",IF(OR($J19="Tamamlandı",$J19="İptal"),"KAPALI",IF(AND($C19="Görüşme",$N19=""),"SONRAKİ İŞLEM EKSİK",IF($I19="","TARİH EKSİK",IF($I19&lt;TODAY(),"GECİKMİŞ",IF($I19=TODAY(),"BUGÜN",IF($I19&lt;=TODAY()+7,"7 GÜN İÇİNDE","PLANLI"))))))))</f>
        <v/>
      </c>
      <c r="R19" s="6" t="n"/>
      <c r="S19" s="6" t="n"/>
    </row>
    <row r="20">
      <c r="A20" s="6" t="n"/>
      <c r="B20" s="113">
        <f>IF($E20="","","A"&amp;TEXT(ROW()-6,"00000"))</f>
        <v/>
      </c>
      <c r="C20" s="108" t="n"/>
      <c r="D20" s="113">
        <f>IF($E20="","",IFERROR(INDEX(MUSTERILER!$B$7:$B$106,MATCH($E20,MUSTERILER!$C$7:$C$106,0)),IFERROR(INDEX(MUSTERILER!$B$7:$B$106,MATCH($E20,MUSTERILER!$B$7:$B$106,0)),IFERROR(INDEX(MUSTERILER!$B$7:$B$106,MATCH($E20&amp;"*",MUSTERILER!$C$7:$C$106,0)),"TANIMSIZ MÜŞTERİ"))))</f>
        <v/>
      </c>
      <c r="E20" s="109" t="n"/>
      <c r="F20" s="109" t="n"/>
      <c r="G20" s="108" t="n"/>
      <c r="H20" s="225" t="n"/>
      <c r="I20" s="225" t="n"/>
      <c r="J20" s="108" t="n"/>
      <c r="K20" s="108" t="n"/>
      <c r="L20" s="109" t="n"/>
      <c r="M20" s="109" t="n"/>
      <c r="N20" s="109" t="n"/>
      <c r="O20" s="225" t="n"/>
      <c r="P20" s="232">
        <f>IF(OR($E20="",$I20=""),"",IF(OR($J20="Tamamlandı",$J20="İptal"),"",$I20-TODAY()))</f>
        <v/>
      </c>
      <c r="Q20" s="113">
        <f>IF($E20="","",IF($D20="TANIMSIZ MÜŞTERİ","HATA",IF(OR($J20="Tamamlandı",$J20="İptal"),"KAPALI",IF(AND($C20="Görüşme",$N20=""),"SONRAKİ İŞLEM EKSİK",IF($I20="","TARİH EKSİK",IF($I20&lt;TODAY(),"GECİKMİŞ",IF($I20=TODAY(),"BUGÜN",IF($I20&lt;=TODAY()+7,"7 GÜN İÇİNDE","PLANLI"))))))))</f>
        <v/>
      </c>
      <c r="R20" s="6" t="n"/>
      <c r="S20" s="6" t="n"/>
    </row>
    <row r="21">
      <c r="A21" s="6" t="n"/>
      <c r="B21" s="113">
        <f>IF($E21="","","A"&amp;TEXT(ROW()-6,"00000"))</f>
        <v/>
      </c>
      <c r="C21" s="108" t="n"/>
      <c r="D21" s="113">
        <f>IF($E21="","",IFERROR(INDEX(MUSTERILER!$B$7:$B$106,MATCH($E21,MUSTERILER!$C$7:$C$106,0)),IFERROR(INDEX(MUSTERILER!$B$7:$B$106,MATCH($E21,MUSTERILER!$B$7:$B$106,0)),IFERROR(INDEX(MUSTERILER!$B$7:$B$106,MATCH($E21&amp;"*",MUSTERILER!$C$7:$C$106,0)),"TANIMSIZ MÜŞTERİ"))))</f>
        <v/>
      </c>
      <c r="E21" s="109" t="n"/>
      <c r="F21" s="109" t="n"/>
      <c r="G21" s="108" t="n"/>
      <c r="H21" s="225" t="n"/>
      <c r="I21" s="225" t="n"/>
      <c r="J21" s="108" t="n"/>
      <c r="K21" s="108" t="n"/>
      <c r="L21" s="109" t="n"/>
      <c r="M21" s="109" t="n"/>
      <c r="N21" s="109" t="n"/>
      <c r="O21" s="225" t="n"/>
      <c r="P21" s="232">
        <f>IF(OR($E21="",$I21=""),"",IF(OR($J21="Tamamlandı",$J21="İptal"),"",$I21-TODAY()))</f>
        <v/>
      </c>
      <c r="Q21" s="113">
        <f>IF($E21="","",IF($D21="TANIMSIZ MÜŞTERİ","HATA",IF(OR($J21="Tamamlandı",$J21="İptal"),"KAPALI",IF(AND($C21="Görüşme",$N21=""),"SONRAKİ İŞLEM EKSİK",IF($I21="","TARİH EKSİK",IF($I21&lt;TODAY(),"GECİKMİŞ",IF($I21=TODAY(),"BUGÜN",IF($I21&lt;=TODAY()+7,"7 GÜN İÇİNDE","PLANLI"))))))))</f>
        <v/>
      </c>
      <c r="R21" s="6" t="n"/>
      <c r="S21" s="6" t="n"/>
    </row>
    <row r="22">
      <c r="A22" s="6" t="n"/>
      <c r="B22" s="113">
        <f>IF($E22="","","A"&amp;TEXT(ROW()-6,"00000"))</f>
        <v/>
      </c>
      <c r="C22" s="108" t="n"/>
      <c r="D22" s="113">
        <f>IF($E22="","",IFERROR(INDEX(MUSTERILER!$B$7:$B$106,MATCH($E22,MUSTERILER!$C$7:$C$106,0)),IFERROR(INDEX(MUSTERILER!$B$7:$B$106,MATCH($E22,MUSTERILER!$B$7:$B$106,0)),IFERROR(INDEX(MUSTERILER!$B$7:$B$106,MATCH($E22&amp;"*",MUSTERILER!$C$7:$C$106,0)),"TANIMSIZ MÜŞTERİ"))))</f>
        <v/>
      </c>
      <c r="E22" s="109" t="n"/>
      <c r="F22" s="109" t="n"/>
      <c r="G22" s="108" t="n"/>
      <c r="H22" s="225" t="n"/>
      <c r="I22" s="225" t="n"/>
      <c r="J22" s="108" t="n"/>
      <c r="K22" s="108" t="n"/>
      <c r="L22" s="109" t="n"/>
      <c r="M22" s="109" t="n"/>
      <c r="N22" s="109" t="n"/>
      <c r="O22" s="225" t="n"/>
      <c r="P22" s="232">
        <f>IF(OR($E22="",$I22=""),"",IF(OR($J22="Tamamlandı",$J22="İptal"),"",$I22-TODAY()))</f>
        <v/>
      </c>
      <c r="Q22" s="113">
        <f>IF($E22="","",IF($D22="TANIMSIZ MÜŞTERİ","HATA",IF(OR($J22="Tamamlandı",$J22="İptal"),"KAPALI",IF(AND($C22="Görüşme",$N22=""),"SONRAKİ İŞLEM EKSİK",IF($I22="","TARİH EKSİK",IF($I22&lt;TODAY(),"GECİKMİŞ",IF($I22=TODAY(),"BUGÜN",IF($I22&lt;=TODAY()+7,"7 GÜN İÇİNDE","PLANLI"))))))))</f>
        <v/>
      </c>
      <c r="R22" s="6" t="n"/>
      <c r="S22" s="6" t="n"/>
    </row>
    <row r="23">
      <c r="A23" s="6" t="n"/>
      <c r="B23" s="113">
        <f>IF($E23="","","A"&amp;TEXT(ROW()-6,"00000"))</f>
        <v/>
      </c>
      <c r="C23" s="108" t="n"/>
      <c r="D23" s="113">
        <f>IF($E23="","",IFERROR(INDEX(MUSTERILER!$B$7:$B$106,MATCH($E23,MUSTERILER!$C$7:$C$106,0)),IFERROR(INDEX(MUSTERILER!$B$7:$B$106,MATCH($E23,MUSTERILER!$B$7:$B$106,0)),IFERROR(INDEX(MUSTERILER!$B$7:$B$106,MATCH($E23&amp;"*",MUSTERILER!$C$7:$C$106,0)),"TANIMSIZ MÜŞTERİ"))))</f>
        <v/>
      </c>
      <c r="E23" s="109" t="n"/>
      <c r="F23" s="109" t="n"/>
      <c r="G23" s="108" t="n"/>
      <c r="H23" s="225" t="n"/>
      <c r="I23" s="225" t="n"/>
      <c r="J23" s="108" t="n"/>
      <c r="K23" s="108" t="n"/>
      <c r="L23" s="109" t="n"/>
      <c r="M23" s="109" t="n"/>
      <c r="N23" s="109" t="n"/>
      <c r="O23" s="225" t="n"/>
      <c r="P23" s="232">
        <f>IF(OR($E23="",$I23=""),"",IF(OR($J23="Tamamlandı",$J23="İptal"),"",$I23-TODAY()))</f>
        <v/>
      </c>
      <c r="Q23" s="113">
        <f>IF($E23="","",IF($D23="TANIMSIZ MÜŞTERİ","HATA",IF(OR($J23="Tamamlandı",$J23="İptal"),"KAPALI",IF(AND($C23="Görüşme",$N23=""),"SONRAKİ İŞLEM EKSİK",IF($I23="","TARİH EKSİK",IF($I23&lt;TODAY(),"GECİKMİŞ",IF($I23=TODAY(),"BUGÜN",IF($I23&lt;=TODAY()+7,"7 GÜN İÇİNDE","PLANLI"))))))))</f>
        <v/>
      </c>
      <c r="R23" s="6" t="n"/>
      <c r="S23" s="6" t="n"/>
    </row>
    <row r="24">
      <c r="A24" s="6" t="n"/>
      <c r="B24" s="113">
        <f>IF($E24="","","A"&amp;TEXT(ROW()-6,"00000"))</f>
        <v/>
      </c>
      <c r="C24" s="108" t="n"/>
      <c r="D24" s="113">
        <f>IF($E24="","",IFERROR(INDEX(MUSTERILER!$B$7:$B$106,MATCH($E24,MUSTERILER!$C$7:$C$106,0)),IFERROR(INDEX(MUSTERILER!$B$7:$B$106,MATCH($E24,MUSTERILER!$B$7:$B$106,0)),IFERROR(INDEX(MUSTERILER!$B$7:$B$106,MATCH($E24&amp;"*",MUSTERILER!$C$7:$C$106,0)),"TANIMSIZ MÜŞTERİ"))))</f>
        <v/>
      </c>
      <c r="E24" s="109" t="n"/>
      <c r="F24" s="109" t="n"/>
      <c r="G24" s="108" t="n"/>
      <c r="H24" s="225" t="n"/>
      <c r="I24" s="225" t="n"/>
      <c r="J24" s="108" t="n"/>
      <c r="K24" s="108" t="n"/>
      <c r="L24" s="109" t="n"/>
      <c r="M24" s="109" t="n"/>
      <c r="N24" s="109" t="n"/>
      <c r="O24" s="225" t="n"/>
      <c r="P24" s="232">
        <f>IF(OR($E24="",$I24=""),"",IF(OR($J24="Tamamlandı",$J24="İptal"),"",$I24-TODAY()))</f>
        <v/>
      </c>
      <c r="Q24" s="113">
        <f>IF($E24="","",IF($D24="TANIMSIZ MÜŞTERİ","HATA",IF(OR($J24="Tamamlandı",$J24="İptal"),"KAPALI",IF(AND($C24="Görüşme",$N24=""),"SONRAKİ İŞLEM EKSİK",IF($I24="","TARİH EKSİK",IF($I24&lt;TODAY(),"GECİKMİŞ",IF($I24=TODAY(),"BUGÜN",IF($I24&lt;=TODAY()+7,"7 GÜN İÇİNDE","PLANLI"))))))))</f>
        <v/>
      </c>
      <c r="R24" s="6" t="n"/>
      <c r="S24" s="6" t="n"/>
    </row>
    <row r="25">
      <c r="A25" s="6" t="n"/>
      <c r="B25" s="113">
        <f>IF($E25="","","A"&amp;TEXT(ROW()-6,"00000"))</f>
        <v/>
      </c>
      <c r="C25" s="108" t="n"/>
      <c r="D25" s="113">
        <f>IF($E25="","",IFERROR(INDEX(MUSTERILER!$B$7:$B$106,MATCH($E25,MUSTERILER!$C$7:$C$106,0)),IFERROR(INDEX(MUSTERILER!$B$7:$B$106,MATCH($E25,MUSTERILER!$B$7:$B$106,0)),IFERROR(INDEX(MUSTERILER!$B$7:$B$106,MATCH($E25&amp;"*",MUSTERILER!$C$7:$C$106,0)),"TANIMSIZ MÜŞTERİ"))))</f>
        <v/>
      </c>
      <c r="E25" s="109" t="n"/>
      <c r="F25" s="109" t="n"/>
      <c r="G25" s="108" t="n"/>
      <c r="H25" s="225" t="n"/>
      <c r="I25" s="225" t="n"/>
      <c r="J25" s="108" t="n"/>
      <c r="K25" s="108" t="n"/>
      <c r="L25" s="109" t="n"/>
      <c r="M25" s="109" t="n"/>
      <c r="N25" s="109" t="n"/>
      <c r="O25" s="225" t="n"/>
      <c r="P25" s="232">
        <f>IF(OR($E25="",$I25=""),"",IF(OR($J25="Tamamlandı",$J25="İptal"),"",$I25-TODAY()))</f>
        <v/>
      </c>
      <c r="Q25" s="113">
        <f>IF($E25="","",IF($D25="TANIMSIZ MÜŞTERİ","HATA",IF(OR($J25="Tamamlandı",$J25="İptal"),"KAPALI",IF(AND($C25="Görüşme",$N25=""),"SONRAKİ İŞLEM EKSİK",IF($I25="","TARİH EKSİK",IF($I25&lt;TODAY(),"GECİKMİŞ",IF($I25=TODAY(),"BUGÜN",IF($I25&lt;=TODAY()+7,"7 GÜN İÇİNDE","PLANLI"))))))))</f>
        <v/>
      </c>
      <c r="R25" s="6" t="n"/>
      <c r="S25" s="6" t="n"/>
    </row>
    <row r="26">
      <c r="A26" s="6" t="n"/>
      <c r="B26" s="113">
        <f>IF($E26="","","A"&amp;TEXT(ROW()-6,"00000"))</f>
        <v/>
      </c>
      <c r="C26" s="108" t="n"/>
      <c r="D26" s="113">
        <f>IF($E26="","",IFERROR(INDEX(MUSTERILER!$B$7:$B$106,MATCH($E26,MUSTERILER!$C$7:$C$106,0)),IFERROR(INDEX(MUSTERILER!$B$7:$B$106,MATCH($E26,MUSTERILER!$B$7:$B$106,0)),IFERROR(INDEX(MUSTERILER!$B$7:$B$106,MATCH($E26&amp;"*",MUSTERILER!$C$7:$C$106,0)),"TANIMSIZ MÜŞTERİ"))))</f>
        <v/>
      </c>
      <c r="E26" s="109" t="n"/>
      <c r="F26" s="109" t="n"/>
      <c r="G26" s="108" t="n"/>
      <c r="H26" s="225" t="n"/>
      <c r="I26" s="225" t="n"/>
      <c r="J26" s="108" t="n"/>
      <c r="K26" s="108" t="n"/>
      <c r="L26" s="109" t="n"/>
      <c r="M26" s="109" t="n"/>
      <c r="N26" s="109" t="n"/>
      <c r="O26" s="225" t="n"/>
      <c r="P26" s="232">
        <f>IF(OR($E26="",$I26=""),"",IF(OR($J26="Tamamlandı",$J26="İptal"),"",$I26-TODAY()))</f>
        <v/>
      </c>
      <c r="Q26" s="113">
        <f>IF($E26="","",IF($D26="TANIMSIZ MÜŞTERİ","HATA",IF(OR($J26="Tamamlandı",$J26="İptal"),"KAPALI",IF(AND($C26="Görüşme",$N26=""),"SONRAKİ İŞLEM EKSİK",IF($I26="","TARİH EKSİK",IF($I26&lt;TODAY(),"GECİKMİŞ",IF($I26=TODAY(),"BUGÜN",IF($I26&lt;=TODAY()+7,"7 GÜN İÇİNDE","PLANLI"))))))))</f>
        <v/>
      </c>
      <c r="R26" s="6" t="n"/>
      <c r="S26" s="6" t="n"/>
    </row>
    <row r="27">
      <c r="A27" s="6" t="n"/>
      <c r="B27" s="113">
        <f>IF($E27="","","A"&amp;TEXT(ROW()-6,"00000"))</f>
        <v/>
      </c>
      <c r="C27" s="108" t="n"/>
      <c r="D27" s="113">
        <f>IF($E27="","",IFERROR(INDEX(MUSTERILER!$B$7:$B$106,MATCH($E27,MUSTERILER!$C$7:$C$106,0)),IFERROR(INDEX(MUSTERILER!$B$7:$B$106,MATCH($E27,MUSTERILER!$B$7:$B$106,0)),IFERROR(INDEX(MUSTERILER!$B$7:$B$106,MATCH($E27&amp;"*",MUSTERILER!$C$7:$C$106,0)),"TANIMSIZ MÜŞTERİ"))))</f>
        <v/>
      </c>
      <c r="E27" s="109" t="n"/>
      <c r="F27" s="109" t="n"/>
      <c r="G27" s="108" t="n"/>
      <c r="H27" s="225" t="n"/>
      <c r="I27" s="225" t="n"/>
      <c r="J27" s="108" t="n"/>
      <c r="K27" s="108" t="n"/>
      <c r="L27" s="109" t="n"/>
      <c r="M27" s="109" t="n"/>
      <c r="N27" s="109" t="n"/>
      <c r="O27" s="225" t="n"/>
      <c r="P27" s="232">
        <f>IF(OR($E27="",$I27=""),"",IF(OR($J27="Tamamlandı",$J27="İptal"),"",$I27-TODAY()))</f>
        <v/>
      </c>
      <c r="Q27" s="113">
        <f>IF($E27="","",IF($D27="TANIMSIZ MÜŞTERİ","HATA",IF(OR($J27="Tamamlandı",$J27="İptal"),"KAPALI",IF(AND($C27="Görüşme",$N27=""),"SONRAKİ İŞLEM EKSİK",IF($I27="","TARİH EKSİK",IF($I27&lt;TODAY(),"GECİKMİŞ",IF($I27=TODAY(),"BUGÜN",IF($I27&lt;=TODAY()+7,"7 GÜN İÇİNDE","PLANLI"))))))))</f>
        <v/>
      </c>
      <c r="R27" s="6" t="n"/>
      <c r="S27" s="6" t="n"/>
    </row>
    <row r="28">
      <c r="A28" s="6" t="n"/>
      <c r="B28" s="113">
        <f>IF($E28="","","A"&amp;TEXT(ROW()-6,"00000"))</f>
        <v/>
      </c>
      <c r="C28" s="108" t="n"/>
      <c r="D28" s="113">
        <f>IF($E28="","",IFERROR(INDEX(MUSTERILER!$B$7:$B$106,MATCH($E28,MUSTERILER!$C$7:$C$106,0)),IFERROR(INDEX(MUSTERILER!$B$7:$B$106,MATCH($E28,MUSTERILER!$B$7:$B$106,0)),IFERROR(INDEX(MUSTERILER!$B$7:$B$106,MATCH($E28&amp;"*",MUSTERILER!$C$7:$C$106,0)),"TANIMSIZ MÜŞTERİ"))))</f>
        <v/>
      </c>
      <c r="E28" s="109" t="n"/>
      <c r="F28" s="109" t="n"/>
      <c r="G28" s="108" t="n"/>
      <c r="H28" s="225" t="n"/>
      <c r="I28" s="225" t="n"/>
      <c r="J28" s="108" t="n"/>
      <c r="K28" s="108" t="n"/>
      <c r="L28" s="109" t="n"/>
      <c r="M28" s="109" t="n"/>
      <c r="N28" s="109" t="n"/>
      <c r="O28" s="225" t="n"/>
      <c r="P28" s="232">
        <f>IF(OR($E28="",$I28=""),"",IF(OR($J28="Tamamlandı",$J28="İptal"),"",$I28-TODAY()))</f>
        <v/>
      </c>
      <c r="Q28" s="113">
        <f>IF($E28="","",IF($D28="TANIMSIZ MÜŞTERİ","HATA",IF(OR($J28="Tamamlandı",$J28="İptal"),"KAPALI",IF(AND($C28="Görüşme",$N28=""),"SONRAKİ İŞLEM EKSİK",IF($I28="","TARİH EKSİK",IF($I28&lt;TODAY(),"GECİKMİŞ",IF($I28=TODAY(),"BUGÜN",IF($I28&lt;=TODAY()+7,"7 GÜN İÇİNDE","PLANLI"))))))))</f>
        <v/>
      </c>
      <c r="R28" s="6" t="n"/>
      <c r="S28" s="6" t="n"/>
    </row>
    <row r="29">
      <c r="A29" s="6" t="n"/>
      <c r="B29" s="113">
        <f>IF($E29="","","A"&amp;TEXT(ROW()-6,"00000"))</f>
        <v/>
      </c>
      <c r="C29" s="108" t="n"/>
      <c r="D29" s="113">
        <f>IF($E29="","",IFERROR(INDEX(MUSTERILER!$B$7:$B$106,MATCH($E29,MUSTERILER!$C$7:$C$106,0)),IFERROR(INDEX(MUSTERILER!$B$7:$B$106,MATCH($E29,MUSTERILER!$B$7:$B$106,0)),IFERROR(INDEX(MUSTERILER!$B$7:$B$106,MATCH($E29&amp;"*",MUSTERILER!$C$7:$C$106,0)),"TANIMSIZ MÜŞTERİ"))))</f>
        <v/>
      </c>
      <c r="E29" s="109" t="n"/>
      <c r="F29" s="109" t="n"/>
      <c r="G29" s="108" t="n"/>
      <c r="H29" s="225" t="n"/>
      <c r="I29" s="225" t="n"/>
      <c r="J29" s="108" t="n"/>
      <c r="K29" s="108" t="n"/>
      <c r="L29" s="109" t="n"/>
      <c r="M29" s="109" t="n"/>
      <c r="N29" s="109" t="n"/>
      <c r="O29" s="225" t="n"/>
      <c r="P29" s="232">
        <f>IF(OR($E29="",$I29=""),"",IF(OR($J29="Tamamlandı",$J29="İptal"),"",$I29-TODAY()))</f>
        <v/>
      </c>
      <c r="Q29" s="113">
        <f>IF($E29="","",IF($D29="TANIMSIZ MÜŞTERİ","HATA",IF(OR($J29="Tamamlandı",$J29="İptal"),"KAPALI",IF(AND($C29="Görüşme",$N29=""),"SONRAKİ İŞLEM EKSİK",IF($I29="","TARİH EKSİK",IF($I29&lt;TODAY(),"GECİKMİŞ",IF($I29=TODAY(),"BUGÜN",IF($I29&lt;=TODAY()+7,"7 GÜN İÇİNDE","PLANLI"))))))))</f>
        <v/>
      </c>
      <c r="R29" s="6" t="n"/>
      <c r="S29" s="6" t="n"/>
    </row>
    <row r="30">
      <c r="A30" s="6" t="n"/>
      <c r="B30" s="113">
        <f>IF($E30="","","A"&amp;TEXT(ROW()-6,"00000"))</f>
        <v/>
      </c>
      <c r="C30" s="108" t="n"/>
      <c r="D30" s="113">
        <f>IF($E30="","",IFERROR(INDEX(MUSTERILER!$B$7:$B$106,MATCH($E30,MUSTERILER!$C$7:$C$106,0)),IFERROR(INDEX(MUSTERILER!$B$7:$B$106,MATCH($E30,MUSTERILER!$B$7:$B$106,0)),IFERROR(INDEX(MUSTERILER!$B$7:$B$106,MATCH($E30&amp;"*",MUSTERILER!$C$7:$C$106,0)),"TANIMSIZ MÜŞTERİ"))))</f>
        <v/>
      </c>
      <c r="E30" s="109" t="n"/>
      <c r="F30" s="109" t="n"/>
      <c r="G30" s="108" t="n"/>
      <c r="H30" s="225" t="n"/>
      <c r="I30" s="225" t="n"/>
      <c r="J30" s="108" t="n"/>
      <c r="K30" s="108" t="n"/>
      <c r="L30" s="109" t="n"/>
      <c r="M30" s="109" t="n"/>
      <c r="N30" s="109" t="n"/>
      <c r="O30" s="225" t="n"/>
      <c r="P30" s="232">
        <f>IF(OR($E30="",$I30=""),"",IF(OR($J30="Tamamlandı",$J30="İptal"),"",$I30-TODAY()))</f>
        <v/>
      </c>
      <c r="Q30" s="113">
        <f>IF($E30="","",IF($D30="TANIMSIZ MÜŞTERİ","HATA",IF(OR($J30="Tamamlandı",$J30="İptal"),"KAPALI",IF(AND($C30="Görüşme",$N30=""),"SONRAKİ İŞLEM EKSİK",IF($I30="","TARİH EKSİK",IF($I30&lt;TODAY(),"GECİKMİŞ",IF($I30=TODAY(),"BUGÜN",IF($I30&lt;=TODAY()+7,"7 GÜN İÇİNDE","PLANLI"))))))))</f>
        <v/>
      </c>
      <c r="R30" s="6" t="n"/>
      <c r="S30" s="6" t="n"/>
    </row>
    <row r="31">
      <c r="A31" s="6" t="n"/>
      <c r="B31" s="113">
        <f>IF($E31="","","A"&amp;TEXT(ROW()-6,"00000"))</f>
        <v/>
      </c>
      <c r="C31" s="108" t="n"/>
      <c r="D31" s="113">
        <f>IF($E31="","",IFERROR(INDEX(MUSTERILER!$B$7:$B$106,MATCH($E31,MUSTERILER!$C$7:$C$106,0)),IFERROR(INDEX(MUSTERILER!$B$7:$B$106,MATCH($E31,MUSTERILER!$B$7:$B$106,0)),IFERROR(INDEX(MUSTERILER!$B$7:$B$106,MATCH($E31&amp;"*",MUSTERILER!$C$7:$C$106,0)),"TANIMSIZ MÜŞTERİ"))))</f>
        <v/>
      </c>
      <c r="E31" s="109" t="n"/>
      <c r="F31" s="109" t="n"/>
      <c r="G31" s="108" t="n"/>
      <c r="H31" s="225" t="n"/>
      <c r="I31" s="225" t="n"/>
      <c r="J31" s="108" t="n"/>
      <c r="K31" s="108" t="n"/>
      <c r="L31" s="109" t="n"/>
      <c r="M31" s="109" t="n"/>
      <c r="N31" s="109" t="n"/>
      <c r="O31" s="225" t="n"/>
      <c r="P31" s="232">
        <f>IF(OR($E31="",$I31=""),"",IF(OR($J31="Tamamlandı",$J31="İptal"),"",$I31-TODAY()))</f>
        <v/>
      </c>
      <c r="Q31" s="113">
        <f>IF($E31="","",IF($D31="TANIMSIZ MÜŞTERİ","HATA",IF(OR($J31="Tamamlandı",$J31="İptal"),"KAPALI",IF(AND($C31="Görüşme",$N31=""),"SONRAKİ İŞLEM EKSİK",IF($I31="","TARİH EKSİK",IF($I31&lt;TODAY(),"GECİKMİŞ",IF($I31=TODAY(),"BUGÜN",IF($I31&lt;=TODAY()+7,"7 GÜN İÇİNDE","PLANLI"))))))))</f>
        <v/>
      </c>
      <c r="R31" s="6" t="n"/>
      <c r="S31" s="6" t="n"/>
    </row>
    <row r="32">
      <c r="A32" s="6" t="n"/>
      <c r="B32" s="113">
        <f>IF($E32="","","A"&amp;TEXT(ROW()-6,"00000"))</f>
        <v/>
      </c>
      <c r="C32" s="108" t="n"/>
      <c r="D32" s="113">
        <f>IF($E32="","",IFERROR(INDEX(MUSTERILER!$B$7:$B$106,MATCH($E32,MUSTERILER!$C$7:$C$106,0)),IFERROR(INDEX(MUSTERILER!$B$7:$B$106,MATCH($E32,MUSTERILER!$B$7:$B$106,0)),IFERROR(INDEX(MUSTERILER!$B$7:$B$106,MATCH($E32&amp;"*",MUSTERILER!$C$7:$C$106,0)),"TANIMSIZ MÜŞTERİ"))))</f>
        <v/>
      </c>
      <c r="E32" s="109" t="n"/>
      <c r="F32" s="109" t="n"/>
      <c r="G32" s="108" t="n"/>
      <c r="H32" s="225" t="n"/>
      <c r="I32" s="225" t="n"/>
      <c r="J32" s="108" t="n"/>
      <c r="K32" s="108" t="n"/>
      <c r="L32" s="109" t="n"/>
      <c r="M32" s="109" t="n"/>
      <c r="N32" s="109" t="n"/>
      <c r="O32" s="225" t="n"/>
      <c r="P32" s="232">
        <f>IF(OR($E32="",$I32=""),"",IF(OR($J32="Tamamlandı",$J32="İptal"),"",$I32-TODAY()))</f>
        <v/>
      </c>
      <c r="Q32" s="113">
        <f>IF($E32="","",IF($D32="TANIMSIZ MÜŞTERİ","HATA",IF(OR($J32="Tamamlandı",$J32="İptal"),"KAPALI",IF(AND($C32="Görüşme",$N32=""),"SONRAKİ İŞLEM EKSİK",IF($I32="","TARİH EKSİK",IF($I32&lt;TODAY(),"GECİKMİŞ",IF($I32=TODAY(),"BUGÜN",IF($I32&lt;=TODAY()+7,"7 GÜN İÇİNDE","PLANLI"))))))))</f>
        <v/>
      </c>
      <c r="R32" s="6" t="n"/>
      <c r="S32" s="6" t="n"/>
    </row>
    <row r="33">
      <c r="A33" s="6" t="n"/>
      <c r="B33" s="113">
        <f>IF($E33="","","A"&amp;TEXT(ROW()-6,"00000"))</f>
        <v/>
      </c>
      <c r="C33" s="108" t="n"/>
      <c r="D33" s="113">
        <f>IF($E33="","",IFERROR(INDEX(MUSTERILER!$B$7:$B$106,MATCH($E33,MUSTERILER!$C$7:$C$106,0)),IFERROR(INDEX(MUSTERILER!$B$7:$B$106,MATCH($E33,MUSTERILER!$B$7:$B$106,0)),IFERROR(INDEX(MUSTERILER!$B$7:$B$106,MATCH($E33&amp;"*",MUSTERILER!$C$7:$C$106,0)),"TANIMSIZ MÜŞTERİ"))))</f>
        <v/>
      </c>
      <c r="E33" s="109" t="n"/>
      <c r="F33" s="109" t="n"/>
      <c r="G33" s="108" t="n"/>
      <c r="H33" s="225" t="n"/>
      <c r="I33" s="225" t="n"/>
      <c r="J33" s="108" t="n"/>
      <c r="K33" s="108" t="n"/>
      <c r="L33" s="109" t="n"/>
      <c r="M33" s="109" t="n"/>
      <c r="N33" s="109" t="n"/>
      <c r="O33" s="225" t="n"/>
      <c r="P33" s="232">
        <f>IF(OR($E33="",$I33=""),"",IF(OR($J33="Tamamlandı",$J33="İptal"),"",$I33-TODAY()))</f>
        <v/>
      </c>
      <c r="Q33" s="113">
        <f>IF($E33="","",IF($D33="TANIMSIZ MÜŞTERİ","HATA",IF(OR($J33="Tamamlandı",$J33="İptal"),"KAPALI",IF(AND($C33="Görüşme",$N33=""),"SONRAKİ İŞLEM EKSİK",IF($I33="","TARİH EKSİK",IF($I33&lt;TODAY(),"GECİKMİŞ",IF($I33=TODAY(),"BUGÜN",IF($I33&lt;=TODAY()+7,"7 GÜN İÇİNDE","PLANLI"))))))))</f>
        <v/>
      </c>
      <c r="R33" s="6" t="n"/>
      <c r="S33" s="6" t="n"/>
    </row>
    <row r="34">
      <c r="A34" s="6" t="n"/>
      <c r="B34" s="113">
        <f>IF($E34="","","A"&amp;TEXT(ROW()-6,"00000"))</f>
        <v/>
      </c>
      <c r="C34" s="108" t="n"/>
      <c r="D34" s="113">
        <f>IF($E34="","",IFERROR(INDEX(MUSTERILER!$B$7:$B$106,MATCH($E34,MUSTERILER!$C$7:$C$106,0)),IFERROR(INDEX(MUSTERILER!$B$7:$B$106,MATCH($E34,MUSTERILER!$B$7:$B$106,0)),IFERROR(INDEX(MUSTERILER!$B$7:$B$106,MATCH($E34&amp;"*",MUSTERILER!$C$7:$C$106,0)),"TANIMSIZ MÜŞTERİ"))))</f>
        <v/>
      </c>
      <c r="E34" s="109" t="n"/>
      <c r="F34" s="109" t="n"/>
      <c r="G34" s="108" t="n"/>
      <c r="H34" s="225" t="n"/>
      <c r="I34" s="225" t="n"/>
      <c r="J34" s="108" t="n"/>
      <c r="K34" s="108" t="n"/>
      <c r="L34" s="109" t="n"/>
      <c r="M34" s="109" t="n"/>
      <c r="N34" s="109" t="n"/>
      <c r="O34" s="225" t="n"/>
      <c r="P34" s="232">
        <f>IF(OR($E34="",$I34=""),"",IF(OR($J34="Tamamlandı",$J34="İptal"),"",$I34-TODAY()))</f>
        <v/>
      </c>
      <c r="Q34" s="113">
        <f>IF($E34="","",IF($D34="TANIMSIZ MÜŞTERİ","HATA",IF(OR($J34="Tamamlandı",$J34="İptal"),"KAPALI",IF(AND($C34="Görüşme",$N34=""),"SONRAKİ İŞLEM EKSİK",IF($I34="","TARİH EKSİK",IF($I34&lt;TODAY(),"GECİKMİŞ",IF($I34=TODAY(),"BUGÜN",IF($I34&lt;=TODAY()+7,"7 GÜN İÇİNDE","PLANLI"))))))))</f>
        <v/>
      </c>
      <c r="R34" s="6" t="n"/>
      <c r="S34" s="6" t="n"/>
    </row>
    <row r="35">
      <c r="A35" s="6" t="n"/>
      <c r="B35" s="113">
        <f>IF($E35="","","A"&amp;TEXT(ROW()-6,"00000"))</f>
        <v/>
      </c>
      <c r="C35" s="108" t="n"/>
      <c r="D35" s="113">
        <f>IF($E35="","",IFERROR(INDEX(MUSTERILER!$B$7:$B$106,MATCH($E35,MUSTERILER!$C$7:$C$106,0)),IFERROR(INDEX(MUSTERILER!$B$7:$B$106,MATCH($E35,MUSTERILER!$B$7:$B$106,0)),IFERROR(INDEX(MUSTERILER!$B$7:$B$106,MATCH($E35&amp;"*",MUSTERILER!$C$7:$C$106,0)),"TANIMSIZ MÜŞTERİ"))))</f>
        <v/>
      </c>
      <c r="E35" s="109" t="n"/>
      <c r="F35" s="109" t="n"/>
      <c r="G35" s="108" t="n"/>
      <c r="H35" s="225" t="n"/>
      <c r="I35" s="225" t="n"/>
      <c r="J35" s="108" t="n"/>
      <c r="K35" s="108" t="n"/>
      <c r="L35" s="109" t="n"/>
      <c r="M35" s="109" t="n"/>
      <c r="N35" s="109" t="n"/>
      <c r="O35" s="225" t="n"/>
      <c r="P35" s="232">
        <f>IF(OR($E35="",$I35=""),"",IF(OR($J35="Tamamlandı",$J35="İptal"),"",$I35-TODAY()))</f>
        <v/>
      </c>
      <c r="Q35" s="113">
        <f>IF($E35="","",IF($D35="TANIMSIZ MÜŞTERİ","HATA",IF(OR($J35="Tamamlandı",$J35="İptal"),"KAPALI",IF(AND($C35="Görüşme",$N35=""),"SONRAKİ İŞLEM EKSİK",IF($I35="","TARİH EKSİK",IF($I35&lt;TODAY(),"GECİKMİŞ",IF($I35=TODAY(),"BUGÜN",IF($I35&lt;=TODAY()+7,"7 GÜN İÇİNDE","PLANLI"))))))))</f>
        <v/>
      </c>
      <c r="R35" s="6" t="n"/>
      <c r="S35" s="6" t="n"/>
    </row>
    <row r="36">
      <c r="A36" s="6" t="n"/>
      <c r="B36" s="113">
        <f>IF($E36="","","A"&amp;TEXT(ROW()-6,"00000"))</f>
        <v/>
      </c>
      <c r="C36" s="108" t="n"/>
      <c r="D36" s="113">
        <f>IF($E36="","",IFERROR(INDEX(MUSTERILER!$B$7:$B$106,MATCH($E36,MUSTERILER!$C$7:$C$106,0)),IFERROR(INDEX(MUSTERILER!$B$7:$B$106,MATCH($E36,MUSTERILER!$B$7:$B$106,0)),IFERROR(INDEX(MUSTERILER!$B$7:$B$106,MATCH($E36&amp;"*",MUSTERILER!$C$7:$C$106,0)),"TANIMSIZ MÜŞTERİ"))))</f>
        <v/>
      </c>
      <c r="E36" s="109" t="n"/>
      <c r="F36" s="109" t="n"/>
      <c r="G36" s="108" t="n"/>
      <c r="H36" s="225" t="n"/>
      <c r="I36" s="225" t="n"/>
      <c r="J36" s="108" t="n"/>
      <c r="K36" s="108" t="n"/>
      <c r="L36" s="109" t="n"/>
      <c r="M36" s="109" t="n"/>
      <c r="N36" s="109" t="n"/>
      <c r="O36" s="225" t="n"/>
      <c r="P36" s="232">
        <f>IF(OR($E36="",$I36=""),"",IF(OR($J36="Tamamlandı",$J36="İptal"),"",$I36-TODAY()))</f>
        <v/>
      </c>
      <c r="Q36" s="113">
        <f>IF($E36="","",IF($D36="TANIMSIZ MÜŞTERİ","HATA",IF(OR($J36="Tamamlandı",$J36="İptal"),"KAPALI",IF(AND($C36="Görüşme",$N36=""),"SONRAKİ İŞLEM EKSİK",IF($I36="","TARİH EKSİK",IF($I36&lt;TODAY(),"GECİKMİŞ",IF($I36=TODAY(),"BUGÜN",IF($I36&lt;=TODAY()+7,"7 GÜN İÇİNDE","PLANLI"))))))))</f>
        <v/>
      </c>
      <c r="R36" s="6" t="n"/>
      <c r="S36" s="6" t="n"/>
    </row>
    <row r="37">
      <c r="A37" s="6" t="n"/>
      <c r="B37" s="113">
        <f>IF($E37="","","A"&amp;TEXT(ROW()-6,"00000"))</f>
        <v/>
      </c>
      <c r="C37" s="108" t="n"/>
      <c r="D37" s="113">
        <f>IF($E37="","",IFERROR(INDEX(MUSTERILER!$B$7:$B$106,MATCH($E37,MUSTERILER!$C$7:$C$106,0)),IFERROR(INDEX(MUSTERILER!$B$7:$B$106,MATCH($E37,MUSTERILER!$B$7:$B$106,0)),IFERROR(INDEX(MUSTERILER!$B$7:$B$106,MATCH($E37&amp;"*",MUSTERILER!$C$7:$C$106,0)),"TANIMSIZ MÜŞTERİ"))))</f>
        <v/>
      </c>
      <c r="E37" s="109" t="n"/>
      <c r="F37" s="109" t="n"/>
      <c r="G37" s="108" t="n"/>
      <c r="H37" s="225" t="n"/>
      <c r="I37" s="225" t="n"/>
      <c r="J37" s="108" t="n"/>
      <c r="K37" s="108" t="n"/>
      <c r="L37" s="109" t="n"/>
      <c r="M37" s="109" t="n"/>
      <c r="N37" s="109" t="n"/>
      <c r="O37" s="225" t="n"/>
      <c r="P37" s="232">
        <f>IF(OR($E37="",$I37=""),"",IF(OR($J37="Tamamlandı",$J37="İptal"),"",$I37-TODAY()))</f>
        <v/>
      </c>
      <c r="Q37" s="113">
        <f>IF($E37="","",IF($D37="TANIMSIZ MÜŞTERİ","HATA",IF(OR($J37="Tamamlandı",$J37="İptal"),"KAPALI",IF(AND($C37="Görüşme",$N37=""),"SONRAKİ İŞLEM EKSİK",IF($I37="","TARİH EKSİK",IF($I37&lt;TODAY(),"GECİKMİŞ",IF($I37=TODAY(),"BUGÜN",IF($I37&lt;=TODAY()+7,"7 GÜN İÇİNDE","PLANLI"))))))))</f>
        <v/>
      </c>
      <c r="R37" s="6" t="n"/>
      <c r="S37" s="6" t="n"/>
    </row>
    <row r="38">
      <c r="A38" s="6" t="n"/>
      <c r="B38" s="113">
        <f>IF($E38="","","A"&amp;TEXT(ROW()-6,"00000"))</f>
        <v/>
      </c>
      <c r="C38" s="108" t="n"/>
      <c r="D38" s="113">
        <f>IF($E38="","",IFERROR(INDEX(MUSTERILER!$B$7:$B$106,MATCH($E38,MUSTERILER!$C$7:$C$106,0)),IFERROR(INDEX(MUSTERILER!$B$7:$B$106,MATCH($E38,MUSTERILER!$B$7:$B$106,0)),IFERROR(INDEX(MUSTERILER!$B$7:$B$106,MATCH($E38&amp;"*",MUSTERILER!$C$7:$C$106,0)),"TANIMSIZ MÜŞTERİ"))))</f>
        <v/>
      </c>
      <c r="E38" s="109" t="n"/>
      <c r="F38" s="109" t="n"/>
      <c r="G38" s="108" t="n"/>
      <c r="H38" s="225" t="n"/>
      <c r="I38" s="225" t="n"/>
      <c r="J38" s="108" t="n"/>
      <c r="K38" s="108" t="n"/>
      <c r="L38" s="109" t="n"/>
      <c r="M38" s="109" t="n"/>
      <c r="N38" s="109" t="n"/>
      <c r="O38" s="225" t="n"/>
      <c r="P38" s="232">
        <f>IF(OR($E38="",$I38=""),"",IF(OR($J38="Tamamlandı",$J38="İptal"),"",$I38-TODAY()))</f>
        <v/>
      </c>
      <c r="Q38" s="113">
        <f>IF($E38="","",IF($D38="TANIMSIZ MÜŞTERİ","HATA",IF(OR($J38="Tamamlandı",$J38="İptal"),"KAPALI",IF(AND($C38="Görüşme",$N38=""),"SONRAKİ İŞLEM EKSİK",IF($I38="","TARİH EKSİK",IF($I38&lt;TODAY(),"GECİKMİŞ",IF($I38=TODAY(),"BUGÜN",IF($I38&lt;=TODAY()+7,"7 GÜN İÇİNDE","PLANLI"))))))))</f>
        <v/>
      </c>
      <c r="R38" s="6" t="n"/>
      <c r="S38" s="6" t="n"/>
    </row>
    <row r="39">
      <c r="A39" s="6" t="n"/>
      <c r="B39" s="113">
        <f>IF($E39="","","A"&amp;TEXT(ROW()-6,"00000"))</f>
        <v/>
      </c>
      <c r="C39" s="108" t="n"/>
      <c r="D39" s="113">
        <f>IF($E39="","",IFERROR(INDEX(MUSTERILER!$B$7:$B$106,MATCH($E39,MUSTERILER!$C$7:$C$106,0)),IFERROR(INDEX(MUSTERILER!$B$7:$B$106,MATCH($E39,MUSTERILER!$B$7:$B$106,0)),IFERROR(INDEX(MUSTERILER!$B$7:$B$106,MATCH($E39&amp;"*",MUSTERILER!$C$7:$C$106,0)),"TANIMSIZ MÜŞTERİ"))))</f>
        <v/>
      </c>
      <c r="E39" s="109" t="n"/>
      <c r="F39" s="109" t="n"/>
      <c r="G39" s="108" t="n"/>
      <c r="H39" s="225" t="n"/>
      <c r="I39" s="225" t="n"/>
      <c r="J39" s="108" t="n"/>
      <c r="K39" s="108" t="n"/>
      <c r="L39" s="109" t="n"/>
      <c r="M39" s="109" t="n"/>
      <c r="N39" s="109" t="n"/>
      <c r="O39" s="225" t="n"/>
      <c r="P39" s="232">
        <f>IF(OR($E39="",$I39=""),"",IF(OR($J39="Tamamlandı",$J39="İptal"),"",$I39-TODAY()))</f>
        <v/>
      </c>
      <c r="Q39" s="113">
        <f>IF($E39="","",IF($D39="TANIMSIZ MÜŞTERİ","HATA",IF(OR($J39="Tamamlandı",$J39="İptal"),"KAPALI",IF(AND($C39="Görüşme",$N39=""),"SONRAKİ İŞLEM EKSİK",IF($I39="","TARİH EKSİK",IF($I39&lt;TODAY(),"GECİKMİŞ",IF($I39=TODAY(),"BUGÜN",IF($I39&lt;=TODAY()+7,"7 GÜN İÇİNDE","PLANLI"))))))))</f>
        <v/>
      </c>
      <c r="R39" s="6" t="n"/>
      <c r="S39" s="6" t="n"/>
    </row>
    <row r="40">
      <c r="A40" s="6" t="n"/>
      <c r="B40" s="113">
        <f>IF($E40="","","A"&amp;TEXT(ROW()-6,"00000"))</f>
        <v/>
      </c>
      <c r="C40" s="108" t="n"/>
      <c r="D40" s="113">
        <f>IF($E40="","",IFERROR(INDEX(MUSTERILER!$B$7:$B$106,MATCH($E40,MUSTERILER!$C$7:$C$106,0)),IFERROR(INDEX(MUSTERILER!$B$7:$B$106,MATCH($E40,MUSTERILER!$B$7:$B$106,0)),IFERROR(INDEX(MUSTERILER!$B$7:$B$106,MATCH($E40&amp;"*",MUSTERILER!$C$7:$C$106,0)),"TANIMSIZ MÜŞTERİ"))))</f>
        <v/>
      </c>
      <c r="E40" s="109" t="n"/>
      <c r="F40" s="109" t="n"/>
      <c r="G40" s="108" t="n"/>
      <c r="H40" s="225" t="n"/>
      <c r="I40" s="225" t="n"/>
      <c r="J40" s="108" t="n"/>
      <c r="K40" s="108" t="n"/>
      <c r="L40" s="109" t="n"/>
      <c r="M40" s="109" t="n"/>
      <c r="N40" s="109" t="n"/>
      <c r="O40" s="225" t="n"/>
      <c r="P40" s="232">
        <f>IF(OR($E40="",$I40=""),"",IF(OR($J40="Tamamlandı",$J40="İptal"),"",$I40-TODAY()))</f>
        <v/>
      </c>
      <c r="Q40" s="113">
        <f>IF($E40="","",IF($D40="TANIMSIZ MÜŞTERİ","HATA",IF(OR($J40="Tamamlandı",$J40="İptal"),"KAPALI",IF(AND($C40="Görüşme",$N40=""),"SONRAKİ İŞLEM EKSİK",IF($I40="","TARİH EKSİK",IF($I40&lt;TODAY(),"GECİKMİŞ",IF($I40=TODAY(),"BUGÜN",IF($I40&lt;=TODAY()+7,"7 GÜN İÇİNDE","PLANLI"))))))))</f>
        <v/>
      </c>
      <c r="R40" s="6" t="n"/>
      <c r="S40" s="6" t="n"/>
    </row>
    <row r="41">
      <c r="A41" s="6" t="n"/>
      <c r="B41" s="113">
        <f>IF($E41="","","A"&amp;TEXT(ROW()-6,"00000"))</f>
        <v/>
      </c>
      <c r="C41" s="108" t="n"/>
      <c r="D41" s="113">
        <f>IF($E41="","",IFERROR(INDEX(MUSTERILER!$B$7:$B$106,MATCH($E41,MUSTERILER!$C$7:$C$106,0)),IFERROR(INDEX(MUSTERILER!$B$7:$B$106,MATCH($E41,MUSTERILER!$B$7:$B$106,0)),IFERROR(INDEX(MUSTERILER!$B$7:$B$106,MATCH($E41&amp;"*",MUSTERILER!$C$7:$C$106,0)),"TANIMSIZ MÜŞTERİ"))))</f>
        <v/>
      </c>
      <c r="E41" s="109" t="n"/>
      <c r="F41" s="109" t="n"/>
      <c r="G41" s="108" t="n"/>
      <c r="H41" s="225" t="n"/>
      <c r="I41" s="225" t="n"/>
      <c r="J41" s="108" t="n"/>
      <c r="K41" s="108" t="n"/>
      <c r="L41" s="109" t="n"/>
      <c r="M41" s="109" t="n"/>
      <c r="N41" s="109" t="n"/>
      <c r="O41" s="225" t="n"/>
      <c r="P41" s="232">
        <f>IF(OR($E41="",$I41=""),"",IF(OR($J41="Tamamlandı",$J41="İptal"),"",$I41-TODAY()))</f>
        <v/>
      </c>
      <c r="Q41" s="113">
        <f>IF($E41="","",IF($D41="TANIMSIZ MÜŞTERİ","HATA",IF(OR($J41="Tamamlandı",$J41="İptal"),"KAPALI",IF(AND($C41="Görüşme",$N41=""),"SONRAKİ İŞLEM EKSİK",IF($I41="","TARİH EKSİK",IF($I41&lt;TODAY(),"GECİKMİŞ",IF($I41=TODAY(),"BUGÜN",IF($I41&lt;=TODAY()+7,"7 GÜN İÇİNDE","PLANLI"))))))))</f>
        <v/>
      </c>
      <c r="R41" s="6" t="n"/>
      <c r="S41" s="6" t="n"/>
    </row>
    <row r="42">
      <c r="A42" s="6" t="n"/>
      <c r="B42" s="113">
        <f>IF($E42="","","A"&amp;TEXT(ROW()-6,"00000"))</f>
        <v/>
      </c>
      <c r="C42" s="108" t="n"/>
      <c r="D42" s="113">
        <f>IF($E42="","",IFERROR(INDEX(MUSTERILER!$B$7:$B$106,MATCH($E42,MUSTERILER!$C$7:$C$106,0)),IFERROR(INDEX(MUSTERILER!$B$7:$B$106,MATCH($E42,MUSTERILER!$B$7:$B$106,0)),IFERROR(INDEX(MUSTERILER!$B$7:$B$106,MATCH($E42&amp;"*",MUSTERILER!$C$7:$C$106,0)),"TANIMSIZ MÜŞTERİ"))))</f>
        <v/>
      </c>
      <c r="E42" s="109" t="n"/>
      <c r="F42" s="109" t="n"/>
      <c r="G42" s="108" t="n"/>
      <c r="H42" s="225" t="n"/>
      <c r="I42" s="225" t="n"/>
      <c r="J42" s="108" t="n"/>
      <c r="K42" s="108" t="n"/>
      <c r="L42" s="109" t="n"/>
      <c r="M42" s="109" t="n"/>
      <c r="N42" s="109" t="n"/>
      <c r="O42" s="225" t="n"/>
      <c r="P42" s="232">
        <f>IF(OR($E42="",$I42=""),"",IF(OR($J42="Tamamlandı",$J42="İptal"),"",$I42-TODAY()))</f>
        <v/>
      </c>
      <c r="Q42" s="113">
        <f>IF($E42="","",IF($D42="TANIMSIZ MÜŞTERİ","HATA",IF(OR($J42="Tamamlandı",$J42="İptal"),"KAPALI",IF(AND($C42="Görüşme",$N42=""),"SONRAKİ İŞLEM EKSİK",IF($I42="","TARİH EKSİK",IF($I42&lt;TODAY(),"GECİKMİŞ",IF($I42=TODAY(),"BUGÜN",IF($I42&lt;=TODAY()+7,"7 GÜN İÇİNDE","PLANLI"))))))))</f>
        <v/>
      </c>
      <c r="R42" s="6" t="n"/>
      <c r="S42" s="6" t="n"/>
    </row>
    <row r="43">
      <c r="A43" s="6" t="n"/>
      <c r="B43" s="113">
        <f>IF($E43="","","A"&amp;TEXT(ROW()-6,"00000"))</f>
        <v/>
      </c>
      <c r="C43" s="108" t="n"/>
      <c r="D43" s="113">
        <f>IF($E43="","",IFERROR(INDEX(MUSTERILER!$B$7:$B$106,MATCH($E43,MUSTERILER!$C$7:$C$106,0)),IFERROR(INDEX(MUSTERILER!$B$7:$B$106,MATCH($E43,MUSTERILER!$B$7:$B$106,0)),IFERROR(INDEX(MUSTERILER!$B$7:$B$106,MATCH($E43&amp;"*",MUSTERILER!$C$7:$C$106,0)),"TANIMSIZ MÜŞTERİ"))))</f>
        <v/>
      </c>
      <c r="E43" s="109" t="n"/>
      <c r="F43" s="109" t="n"/>
      <c r="G43" s="108" t="n"/>
      <c r="H43" s="225" t="n"/>
      <c r="I43" s="225" t="n"/>
      <c r="J43" s="108" t="n"/>
      <c r="K43" s="108" t="n"/>
      <c r="L43" s="109" t="n"/>
      <c r="M43" s="109" t="n"/>
      <c r="N43" s="109" t="n"/>
      <c r="O43" s="225" t="n"/>
      <c r="P43" s="232">
        <f>IF(OR($E43="",$I43=""),"",IF(OR($J43="Tamamlandı",$J43="İptal"),"",$I43-TODAY()))</f>
        <v/>
      </c>
      <c r="Q43" s="113">
        <f>IF($E43="","",IF($D43="TANIMSIZ MÜŞTERİ","HATA",IF(OR($J43="Tamamlandı",$J43="İptal"),"KAPALI",IF(AND($C43="Görüşme",$N43=""),"SONRAKİ İŞLEM EKSİK",IF($I43="","TARİH EKSİK",IF($I43&lt;TODAY(),"GECİKMİŞ",IF($I43=TODAY(),"BUGÜN",IF($I43&lt;=TODAY()+7,"7 GÜN İÇİNDE","PLANLI"))))))))</f>
        <v/>
      </c>
      <c r="R43" s="6" t="n"/>
      <c r="S43" s="6" t="n"/>
    </row>
    <row r="44">
      <c r="A44" s="6" t="n"/>
      <c r="B44" s="113">
        <f>IF($E44="","","A"&amp;TEXT(ROW()-6,"00000"))</f>
        <v/>
      </c>
      <c r="C44" s="108" t="n"/>
      <c r="D44" s="113">
        <f>IF($E44="","",IFERROR(INDEX(MUSTERILER!$B$7:$B$106,MATCH($E44,MUSTERILER!$C$7:$C$106,0)),IFERROR(INDEX(MUSTERILER!$B$7:$B$106,MATCH($E44,MUSTERILER!$B$7:$B$106,0)),IFERROR(INDEX(MUSTERILER!$B$7:$B$106,MATCH($E44&amp;"*",MUSTERILER!$C$7:$C$106,0)),"TANIMSIZ MÜŞTERİ"))))</f>
        <v/>
      </c>
      <c r="E44" s="109" t="n"/>
      <c r="F44" s="109" t="n"/>
      <c r="G44" s="108" t="n"/>
      <c r="H44" s="225" t="n"/>
      <c r="I44" s="225" t="n"/>
      <c r="J44" s="108" t="n"/>
      <c r="K44" s="108" t="n"/>
      <c r="L44" s="109" t="n"/>
      <c r="M44" s="109" t="n"/>
      <c r="N44" s="109" t="n"/>
      <c r="O44" s="225" t="n"/>
      <c r="P44" s="232">
        <f>IF(OR($E44="",$I44=""),"",IF(OR($J44="Tamamlandı",$J44="İptal"),"",$I44-TODAY()))</f>
        <v/>
      </c>
      <c r="Q44" s="113">
        <f>IF($E44="","",IF($D44="TANIMSIZ MÜŞTERİ","HATA",IF(OR($J44="Tamamlandı",$J44="İptal"),"KAPALI",IF(AND($C44="Görüşme",$N44=""),"SONRAKİ İŞLEM EKSİK",IF($I44="","TARİH EKSİK",IF($I44&lt;TODAY(),"GECİKMİŞ",IF($I44=TODAY(),"BUGÜN",IF($I44&lt;=TODAY()+7,"7 GÜN İÇİNDE","PLANLI"))))))))</f>
        <v/>
      </c>
      <c r="R44" s="6" t="n"/>
      <c r="S44" s="6" t="n"/>
    </row>
    <row r="45">
      <c r="A45" s="6" t="n"/>
      <c r="B45" s="113">
        <f>IF($E45="","","A"&amp;TEXT(ROW()-6,"00000"))</f>
        <v/>
      </c>
      <c r="C45" s="108" t="n"/>
      <c r="D45" s="113">
        <f>IF($E45="","",IFERROR(INDEX(MUSTERILER!$B$7:$B$106,MATCH($E45,MUSTERILER!$C$7:$C$106,0)),IFERROR(INDEX(MUSTERILER!$B$7:$B$106,MATCH($E45,MUSTERILER!$B$7:$B$106,0)),IFERROR(INDEX(MUSTERILER!$B$7:$B$106,MATCH($E45&amp;"*",MUSTERILER!$C$7:$C$106,0)),"TANIMSIZ MÜŞTERİ"))))</f>
        <v/>
      </c>
      <c r="E45" s="109" t="n"/>
      <c r="F45" s="109" t="n"/>
      <c r="G45" s="108" t="n"/>
      <c r="H45" s="225" t="n"/>
      <c r="I45" s="225" t="n"/>
      <c r="J45" s="108" t="n"/>
      <c r="K45" s="108" t="n"/>
      <c r="L45" s="109" t="n"/>
      <c r="M45" s="109" t="n"/>
      <c r="N45" s="109" t="n"/>
      <c r="O45" s="225" t="n"/>
      <c r="P45" s="232">
        <f>IF(OR($E45="",$I45=""),"",IF(OR($J45="Tamamlandı",$J45="İptal"),"",$I45-TODAY()))</f>
        <v/>
      </c>
      <c r="Q45" s="113">
        <f>IF($E45="","",IF($D45="TANIMSIZ MÜŞTERİ","HATA",IF(OR($J45="Tamamlandı",$J45="İptal"),"KAPALI",IF(AND($C45="Görüşme",$N45=""),"SONRAKİ İŞLEM EKSİK",IF($I45="","TARİH EKSİK",IF($I45&lt;TODAY(),"GECİKMİŞ",IF($I45=TODAY(),"BUGÜN",IF($I45&lt;=TODAY()+7,"7 GÜN İÇİNDE","PLANLI"))))))))</f>
        <v/>
      </c>
      <c r="R45" s="6" t="n"/>
      <c r="S45" s="6" t="n"/>
    </row>
    <row r="46">
      <c r="A46" s="6" t="n"/>
      <c r="B46" s="113">
        <f>IF($E46="","","A"&amp;TEXT(ROW()-6,"00000"))</f>
        <v/>
      </c>
      <c r="C46" s="108" t="n"/>
      <c r="D46" s="113">
        <f>IF($E46="","",IFERROR(INDEX(MUSTERILER!$B$7:$B$106,MATCH($E46,MUSTERILER!$C$7:$C$106,0)),IFERROR(INDEX(MUSTERILER!$B$7:$B$106,MATCH($E46,MUSTERILER!$B$7:$B$106,0)),IFERROR(INDEX(MUSTERILER!$B$7:$B$106,MATCH($E46&amp;"*",MUSTERILER!$C$7:$C$106,0)),"TANIMSIZ MÜŞTERİ"))))</f>
        <v/>
      </c>
      <c r="E46" s="109" t="n"/>
      <c r="F46" s="109" t="n"/>
      <c r="G46" s="108" t="n"/>
      <c r="H46" s="225" t="n"/>
      <c r="I46" s="225" t="n"/>
      <c r="J46" s="108" t="n"/>
      <c r="K46" s="108" t="n"/>
      <c r="L46" s="109" t="n"/>
      <c r="M46" s="109" t="n"/>
      <c r="N46" s="109" t="n"/>
      <c r="O46" s="225" t="n"/>
      <c r="P46" s="232">
        <f>IF(OR($E46="",$I46=""),"",IF(OR($J46="Tamamlandı",$J46="İptal"),"",$I46-TODAY()))</f>
        <v/>
      </c>
      <c r="Q46" s="113">
        <f>IF($E46="","",IF($D46="TANIMSIZ MÜŞTERİ","HATA",IF(OR($J46="Tamamlandı",$J46="İptal"),"KAPALI",IF(AND($C46="Görüşme",$N46=""),"SONRAKİ İŞLEM EKSİK",IF($I46="","TARİH EKSİK",IF($I46&lt;TODAY(),"GECİKMİŞ",IF($I46=TODAY(),"BUGÜN",IF($I46&lt;=TODAY()+7,"7 GÜN İÇİNDE","PLANLI"))))))))</f>
        <v/>
      </c>
      <c r="R46" s="6" t="n"/>
      <c r="S46" s="6" t="n"/>
    </row>
    <row r="47">
      <c r="A47" s="6" t="n"/>
      <c r="B47" s="113">
        <f>IF($E47="","","A"&amp;TEXT(ROW()-6,"00000"))</f>
        <v/>
      </c>
      <c r="C47" s="108" t="n"/>
      <c r="D47" s="113">
        <f>IF($E47="","",IFERROR(INDEX(MUSTERILER!$B$7:$B$106,MATCH($E47,MUSTERILER!$C$7:$C$106,0)),IFERROR(INDEX(MUSTERILER!$B$7:$B$106,MATCH($E47,MUSTERILER!$B$7:$B$106,0)),IFERROR(INDEX(MUSTERILER!$B$7:$B$106,MATCH($E47&amp;"*",MUSTERILER!$C$7:$C$106,0)),"TANIMSIZ MÜŞTERİ"))))</f>
        <v/>
      </c>
      <c r="E47" s="109" t="n"/>
      <c r="F47" s="109" t="n"/>
      <c r="G47" s="108" t="n"/>
      <c r="H47" s="225" t="n"/>
      <c r="I47" s="225" t="n"/>
      <c r="J47" s="108" t="n"/>
      <c r="K47" s="108" t="n"/>
      <c r="L47" s="109" t="n"/>
      <c r="M47" s="109" t="n"/>
      <c r="N47" s="109" t="n"/>
      <c r="O47" s="225" t="n"/>
      <c r="P47" s="232">
        <f>IF(OR($E47="",$I47=""),"",IF(OR($J47="Tamamlandı",$J47="İptal"),"",$I47-TODAY()))</f>
        <v/>
      </c>
      <c r="Q47" s="113">
        <f>IF($E47="","",IF($D47="TANIMSIZ MÜŞTERİ","HATA",IF(OR($J47="Tamamlandı",$J47="İptal"),"KAPALI",IF(AND($C47="Görüşme",$N47=""),"SONRAKİ İŞLEM EKSİK",IF($I47="","TARİH EKSİK",IF($I47&lt;TODAY(),"GECİKMİŞ",IF($I47=TODAY(),"BUGÜN",IF($I47&lt;=TODAY()+7,"7 GÜN İÇİNDE","PLANLI"))))))))</f>
        <v/>
      </c>
      <c r="R47" s="6" t="n"/>
      <c r="S47" s="6" t="n"/>
    </row>
    <row r="48">
      <c r="A48" s="6" t="n"/>
      <c r="B48" s="113">
        <f>IF($E48="","","A"&amp;TEXT(ROW()-6,"00000"))</f>
        <v/>
      </c>
      <c r="C48" s="108" t="n"/>
      <c r="D48" s="113">
        <f>IF($E48="","",IFERROR(INDEX(MUSTERILER!$B$7:$B$106,MATCH($E48,MUSTERILER!$C$7:$C$106,0)),IFERROR(INDEX(MUSTERILER!$B$7:$B$106,MATCH($E48,MUSTERILER!$B$7:$B$106,0)),IFERROR(INDEX(MUSTERILER!$B$7:$B$106,MATCH($E48&amp;"*",MUSTERILER!$C$7:$C$106,0)),"TANIMSIZ MÜŞTERİ"))))</f>
        <v/>
      </c>
      <c r="E48" s="109" t="n"/>
      <c r="F48" s="109" t="n"/>
      <c r="G48" s="108" t="n"/>
      <c r="H48" s="225" t="n"/>
      <c r="I48" s="225" t="n"/>
      <c r="J48" s="108" t="n"/>
      <c r="K48" s="108" t="n"/>
      <c r="L48" s="109" t="n"/>
      <c r="M48" s="109" t="n"/>
      <c r="N48" s="109" t="n"/>
      <c r="O48" s="225" t="n"/>
      <c r="P48" s="232">
        <f>IF(OR($E48="",$I48=""),"",IF(OR($J48="Tamamlandı",$J48="İptal"),"",$I48-TODAY()))</f>
        <v/>
      </c>
      <c r="Q48" s="113">
        <f>IF($E48="","",IF($D48="TANIMSIZ MÜŞTERİ","HATA",IF(OR($J48="Tamamlandı",$J48="İptal"),"KAPALI",IF(AND($C48="Görüşme",$N48=""),"SONRAKİ İŞLEM EKSİK",IF($I48="","TARİH EKSİK",IF($I48&lt;TODAY(),"GECİKMİŞ",IF($I48=TODAY(),"BUGÜN",IF($I48&lt;=TODAY()+7,"7 GÜN İÇİNDE","PLANLI"))))))))</f>
        <v/>
      </c>
      <c r="R48" s="6" t="n"/>
      <c r="S48" s="6" t="n"/>
    </row>
    <row r="49">
      <c r="A49" s="6" t="n"/>
      <c r="B49" s="113">
        <f>IF($E49="","","A"&amp;TEXT(ROW()-6,"00000"))</f>
        <v/>
      </c>
      <c r="C49" s="108" t="n"/>
      <c r="D49" s="113">
        <f>IF($E49="","",IFERROR(INDEX(MUSTERILER!$B$7:$B$106,MATCH($E49,MUSTERILER!$C$7:$C$106,0)),IFERROR(INDEX(MUSTERILER!$B$7:$B$106,MATCH($E49,MUSTERILER!$B$7:$B$106,0)),IFERROR(INDEX(MUSTERILER!$B$7:$B$106,MATCH($E49&amp;"*",MUSTERILER!$C$7:$C$106,0)),"TANIMSIZ MÜŞTERİ"))))</f>
        <v/>
      </c>
      <c r="E49" s="109" t="n"/>
      <c r="F49" s="109" t="n"/>
      <c r="G49" s="108" t="n"/>
      <c r="H49" s="225" t="n"/>
      <c r="I49" s="225" t="n"/>
      <c r="J49" s="108" t="n"/>
      <c r="K49" s="108" t="n"/>
      <c r="L49" s="109" t="n"/>
      <c r="M49" s="109" t="n"/>
      <c r="N49" s="109" t="n"/>
      <c r="O49" s="225" t="n"/>
      <c r="P49" s="232">
        <f>IF(OR($E49="",$I49=""),"",IF(OR($J49="Tamamlandı",$J49="İptal"),"",$I49-TODAY()))</f>
        <v/>
      </c>
      <c r="Q49" s="113">
        <f>IF($E49="","",IF($D49="TANIMSIZ MÜŞTERİ","HATA",IF(OR($J49="Tamamlandı",$J49="İptal"),"KAPALI",IF(AND($C49="Görüşme",$N49=""),"SONRAKİ İŞLEM EKSİK",IF($I49="","TARİH EKSİK",IF($I49&lt;TODAY(),"GECİKMİŞ",IF($I49=TODAY(),"BUGÜN",IF($I49&lt;=TODAY()+7,"7 GÜN İÇİNDE","PLANLI"))))))))</f>
        <v/>
      </c>
      <c r="R49" s="6" t="n"/>
      <c r="S49" s="6" t="n"/>
    </row>
    <row r="50">
      <c r="A50" s="6" t="n"/>
      <c r="B50" s="113">
        <f>IF($E50="","","A"&amp;TEXT(ROW()-6,"00000"))</f>
        <v/>
      </c>
      <c r="C50" s="108" t="n"/>
      <c r="D50" s="113">
        <f>IF($E50="","",IFERROR(INDEX(MUSTERILER!$B$7:$B$106,MATCH($E50,MUSTERILER!$C$7:$C$106,0)),IFERROR(INDEX(MUSTERILER!$B$7:$B$106,MATCH($E50,MUSTERILER!$B$7:$B$106,0)),IFERROR(INDEX(MUSTERILER!$B$7:$B$106,MATCH($E50&amp;"*",MUSTERILER!$C$7:$C$106,0)),"TANIMSIZ MÜŞTERİ"))))</f>
        <v/>
      </c>
      <c r="E50" s="109" t="n"/>
      <c r="F50" s="109" t="n"/>
      <c r="G50" s="108" t="n"/>
      <c r="H50" s="225" t="n"/>
      <c r="I50" s="225" t="n"/>
      <c r="J50" s="108" t="n"/>
      <c r="K50" s="108" t="n"/>
      <c r="L50" s="109" t="n"/>
      <c r="M50" s="109" t="n"/>
      <c r="N50" s="109" t="n"/>
      <c r="O50" s="225" t="n"/>
      <c r="P50" s="232">
        <f>IF(OR($E50="",$I50=""),"",IF(OR($J50="Tamamlandı",$J50="İptal"),"",$I50-TODAY()))</f>
        <v/>
      </c>
      <c r="Q50" s="113">
        <f>IF($E50="","",IF($D50="TANIMSIZ MÜŞTERİ","HATA",IF(OR($J50="Tamamlandı",$J50="İptal"),"KAPALI",IF(AND($C50="Görüşme",$N50=""),"SONRAKİ İŞLEM EKSİK",IF($I50="","TARİH EKSİK",IF($I50&lt;TODAY(),"GECİKMİŞ",IF($I50=TODAY(),"BUGÜN",IF($I50&lt;=TODAY()+7,"7 GÜN İÇİNDE","PLANLI"))))))))</f>
        <v/>
      </c>
      <c r="R50" s="6" t="n"/>
      <c r="S50" s="6" t="n"/>
    </row>
    <row r="51">
      <c r="A51" s="6" t="n"/>
      <c r="B51" s="113">
        <f>IF($E51="","","A"&amp;TEXT(ROW()-6,"00000"))</f>
        <v/>
      </c>
      <c r="C51" s="108" t="n"/>
      <c r="D51" s="113">
        <f>IF($E51="","",IFERROR(INDEX(MUSTERILER!$B$7:$B$106,MATCH($E51,MUSTERILER!$C$7:$C$106,0)),IFERROR(INDEX(MUSTERILER!$B$7:$B$106,MATCH($E51,MUSTERILER!$B$7:$B$106,0)),IFERROR(INDEX(MUSTERILER!$B$7:$B$106,MATCH($E51&amp;"*",MUSTERILER!$C$7:$C$106,0)),"TANIMSIZ MÜŞTERİ"))))</f>
        <v/>
      </c>
      <c r="E51" s="109" t="n"/>
      <c r="F51" s="109" t="n"/>
      <c r="G51" s="108" t="n"/>
      <c r="H51" s="225" t="n"/>
      <c r="I51" s="225" t="n"/>
      <c r="J51" s="108" t="n"/>
      <c r="K51" s="108" t="n"/>
      <c r="L51" s="109" t="n"/>
      <c r="M51" s="109" t="n"/>
      <c r="N51" s="109" t="n"/>
      <c r="O51" s="225" t="n"/>
      <c r="P51" s="232">
        <f>IF(OR($E51="",$I51=""),"",IF(OR($J51="Tamamlandı",$J51="İptal"),"",$I51-TODAY()))</f>
        <v/>
      </c>
      <c r="Q51" s="113">
        <f>IF($E51="","",IF($D51="TANIMSIZ MÜŞTERİ","HATA",IF(OR($J51="Tamamlandı",$J51="İptal"),"KAPALI",IF(AND($C51="Görüşme",$N51=""),"SONRAKİ İŞLEM EKSİK",IF($I51="","TARİH EKSİK",IF($I51&lt;TODAY(),"GECİKMİŞ",IF($I51=TODAY(),"BUGÜN",IF($I51&lt;=TODAY()+7,"7 GÜN İÇİNDE","PLANLI"))))))))</f>
        <v/>
      </c>
      <c r="R51" s="6" t="n"/>
      <c r="S51" s="6" t="n"/>
    </row>
    <row r="52">
      <c r="A52" s="6" t="n"/>
      <c r="B52" s="113">
        <f>IF($E52="","","A"&amp;TEXT(ROW()-6,"00000"))</f>
        <v/>
      </c>
      <c r="C52" s="108" t="n"/>
      <c r="D52" s="113">
        <f>IF($E52="","",IFERROR(INDEX(MUSTERILER!$B$7:$B$106,MATCH($E52,MUSTERILER!$C$7:$C$106,0)),IFERROR(INDEX(MUSTERILER!$B$7:$B$106,MATCH($E52,MUSTERILER!$B$7:$B$106,0)),IFERROR(INDEX(MUSTERILER!$B$7:$B$106,MATCH($E52&amp;"*",MUSTERILER!$C$7:$C$106,0)),"TANIMSIZ MÜŞTERİ"))))</f>
        <v/>
      </c>
      <c r="E52" s="109" t="n"/>
      <c r="F52" s="109" t="n"/>
      <c r="G52" s="108" t="n"/>
      <c r="H52" s="225" t="n"/>
      <c r="I52" s="225" t="n"/>
      <c r="J52" s="108" t="n"/>
      <c r="K52" s="108" t="n"/>
      <c r="L52" s="109" t="n"/>
      <c r="M52" s="109" t="n"/>
      <c r="N52" s="109" t="n"/>
      <c r="O52" s="225" t="n"/>
      <c r="P52" s="232">
        <f>IF(OR($E52="",$I52=""),"",IF(OR($J52="Tamamlandı",$J52="İptal"),"",$I52-TODAY()))</f>
        <v/>
      </c>
      <c r="Q52" s="113">
        <f>IF($E52="","",IF($D52="TANIMSIZ MÜŞTERİ","HATA",IF(OR($J52="Tamamlandı",$J52="İptal"),"KAPALI",IF(AND($C52="Görüşme",$N52=""),"SONRAKİ İŞLEM EKSİK",IF($I52="","TARİH EKSİK",IF($I52&lt;TODAY(),"GECİKMİŞ",IF($I52=TODAY(),"BUGÜN",IF($I52&lt;=TODAY()+7,"7 GÜN İÇİNDE","PLANLI"))))))))</f>
        <v/>
      </c>
      <c r="R52" s="6" t="n"/>
      <c r="S52" s="6" t="n"/>
    </row>
    <row r="53">
      <c r="A53" s="6" t="n"/>
      <c r="B53" s="113">
        <f>IF($E53="","","A"&amp;TEXT(ROW()-6,"00000"))</f>
        <v/>
      </c>
      <c r="C53" s="108" t="n"/>
      <c r="D53" s="113">
        <f>IF($E53="","",IFERROR(INDEX(MUSTERILER!$B$7:$B$106,MATCH($E53,MUSTERILER!$C$7:$C$106,0)),IFERROR(INDEX(MUSTERILER!$B$7:$B$106,MATCH($E53,MUSTERILER!$B$7:$B$106,0)),IFERROR(INDEX(MUSTERILER!$B$7:$B$106,MATCH($E53&amp;"*",MUSTERILER!$C$7:$C$106,0)),"TANIMSIZ MÜŞTERİ"))))</f>
        <v/>
      </c>
      <c r="E53" s="109" t="n"/>
      <c r="F53" s="109" t="n"/>
      <c r="G53" s="108" t="n"/>
      <c r="H53" s="225" t="n"/>
      <c r="I53" s="225" t="n"/>
      <c r="J53" s="108" t="n"/>
      <c r="K53" s="108" t="n"/>
      <c r="L53" s="109" t="n"/>
      <c r="M53" s="109" t="n"/>
      <c r="N53" s="109" t="n"/>
      <c r="O53" s="225" t="n"/>
      <c r="P53" s="232">
        <f>IF(OR($E53="",$I53=""),"",IF(OR($J53="Tamamlandı",$J53="İptal"),"",$I53-TODAY()))</f>
        <v/>
      </c>
      <c r="Q53" s="113">
        <f>IF($E53="","",IF($D53="TANIMSIZ MÜŞTERİ","HATA",IF(OR($J53="Tamamlandı",$J53="İptal"),"KAPALI",IF(AND($C53="Görüşme",$N53=""),"SONRAKİ İŞLEM EKSİK",IF($I53="","TARİH EKSİK",IF($I53&lt;TODAY(),"GECİKMİŞ",IF($I53=TODAY(),"BUGÜN",IF($I53&lt;=TODAY()+7,"7 GÜN İÇİNDE","PLANLI"))))))))</f>
        <v/>
      </c>
      <c r="R53" s="6" t="n"/>
      <c r="S53" s="6" t="n"/>
    </row>
    <row r="54">
      <c r="A54" s="6" t="n"/>
      <c r="B54" s="113">
        <f>IF($E54="","","A"&amp;TEXT(ROW()-6,"00000"))</f>
        <v/>
      </c>
      <c r="C54" s="108" t="n"/>
      <c r="D54" s="113">
        <f>IF($E54="","",IFERROR(INDEX(MUSTERILER!$B$7:$B$106,MATCH($E54,MUSTERILER!$C$7:$C$106,0)),IFERROR(INDEX(MUSTERILER!$B$7:$B$106,MATCH($E54,MUSTERILER!$B$7:$B$106,0)),IFERROR(INDEX(MUSTERILER!$B$7:$B$106,MATCH($E54&amp;"*",MUSTERILER!$C$7:$C$106,0)),"TANIMSIZ MÜŞTERİ"))))</f>
        <v/>
      </c>
      <c r="E54" s="109" t="n"/>
      <c r="F54" s="109" t="n"/>
      <c r="G54" s="108" t="n"/>
      <c r="H54" s="225" t="n"/>
      <c r="I54" s="225" t="n"/>
      <c r="J54" s="108" t="n"/>
      <c r="K54" s="108" t="n"/>
      <c r="L54" s="109" t="n"/>
      <c r="M54" s="109" t="n"/>
      <c r="N54" s="109" t="n"/>
      <c r="O54" s="225" t="n"/>
      <c r="P54" s="232">
        <f>IF(OR($E54="",$I54=""),"",IF(OR($J54="Tamamlandı",$J54="İptal"),"",$I54-TODAY()))</f>
        <v/>
      </c>
      <c r="Q54" s="113">
        <f>IF($E54="","",IF($D54="TANIMSIZ MÜŞTERİ","HATA",IF(OR($J54="Tamamlandı",$J54="İptal"),"KAPALI",IF(AND($C54="Görüşme",$N54=""),"SONRAKİ İŞLEM EKSİK",IF($I54="","TARİH EKSİK",IF($I54&lt;TODAY(),"GECİKMİŞ",IF($I54=TODAY(),"BUGÜN",IF($I54&lt;=TODAY()+7,"7 GÜN İÇİNDE","PLANLI"))))))))</f>
        <v/>
      </c>
      <c r="R54" s="6" t="n"/>
      <c r="S54" s="6" t="n"/>
    </row>
    <row r="55">
      <c r="A55" s="6" t="n"/>
      <c r="B55" s="113">
        <f>IF($E55="","","A"&amp;TEXT(ROW()-6,"00000"))</f>
        <v/>
      </c>
      <c r="C55" s="108" t="n"/>
      <c r="D55" s="113">
        <f>IF($E55="","",IFERROR(INDEX(MUSTERILER!$B$7:$B$106,MATCH($E55,MUSTERILER!$C$7:$C$106,0)),IFERROR(INDEX(MUSTERILER!$B$7:$B$106,MATCH($E55,MUSTERILER!$B$7:$B$106,0)),IFERROR(INDEX(MUSTERILER!$B$7:$B$106,MATCH($E55&amp;"*",MUSTERILER!$C$7:$C$106,0)),"TANIMSIZ MÜŞTERİ"))))</f>
        <v/>
      </c>
      <c r="E55" s="109" t="n"/>
      <c r="F55" s="109" t="n"/>
      <c r="G55" s="108" t="n"/>
      <c r="H55" s="225" t="n"/>
      <c r="I55" s="225" t="n"/>
      <c r="J55" s="108" t="n"/>
      <c r="K55" s="108" t="n"/>
      <c r="L55" s="109" t="n"/>
      <c r="M55" s="109" t="n"/>
      <c r="N55" s="109" t="n"/>
      <c r="O55" s="225" t="n"/>
      <c r="P55" s="232">
        <f>IF(OR($E55="",$I55=""),"",IF(OR($J55="Tamamlandı",$J55="İptal"),"",$I55-TODAY()))</f>
        <v/>
      </c>
      <c r="Q55" s="113">
        <f>IF($E55="","",IF($D55="TANIMSIZ MÜŞTERİ","HATA",IF(OR($J55="Tamamlandı",$J55="İptal"),"KAPALI",IF(AND($C55="Görüşme",$N55=""),"SONRAKİ İŞLEM EKSİK",IF($I55="","TARİH EKSİK",IF($I55&lt;TODAY(),"GECİKMİŞ",IF($I55=TODAY(),"BUGÜN",IF($I55&lt;=TODAY()+7,"7 GÜN İÇİNDE","PLANLI"))))))))</f>
        <v/>
      </c>
      <c r="R55" s="6" t="n"/>
      <c r="S55" s="6" t="n"/>
    </row>
    <row r="56">
      <c r="A56" s="6" t="n"/>
      <c r="B56" s="113">
        <f>IF($E56="","","A"&amp;TEXT(ROW()-6,"00000"))</f>
        <v/>
      </c>
      <c r="C56" s="108" t="n"/>
      <c r="D56" s="113">
        <f>IF($E56="","",IFERROR(INDEX(MUSTERILER!$B$7:$B$106,MATCH($E56,MUSTERILER!$C$7:$C$106,0)),IFERROR(INDEX(MUSTERILER!$B$7:$B$106,MATCH($E56,MUSTERILER!$B$7:$B$106,0)),IFERROR(INDEX(MUSTERILER!$B$7:$B$106,MATCH($E56&amp;"*",MUSTERILER!$C$7:$C$106,0)),"TANIMSIZ MÜŞTERİ"))))</f>
        <v/>
      </c>
      <c r="E56" s="109" t="n"/>
      <c r="F56" s="109" t="n"/>
      <c r="G56" s="108" t="n"/>
      <c r="H56" s="225" t="n"/>
      <c r="I56" s="225" t="n"/>
      <c r="J56" s="108" t="n"/>
      <c r="K56" s="108" t="n"/>
      <c r="L56" s="109" t="n"/>
      <c r="M56" s="109" t="n"/>
      <c r="N56" s="109" t="n"/>
      <c r="O56" s="225" t="n"/>
      <c r="P56" s="232">
        <f>IF(OR($E56="",$I56=""),"",IF(OR($J56="Tamamlandı",$J56="İptal"),"",$I56-TODAY()))</f>
        <v/>
      </c>
      <c r="Q56" s="113">
        <f>IF($E56="","",IF($D56="TANIMSIZ MÜŞTERİ","HATA",IF(OR($J56="Tamamlandı",$J56="İptal"),"KAPALI",IF(AND($C56="Görüşme",$N56=""),"SONRAKİ İŞLEM EKSİK",IF($I56="","TARİH EKSİK",IF($I56&lt;TODAY(),"GECİKMİŞ",IF($I56=TODAY(),"BUGÜN",IF($I56&lt;=TODAY()+7,"7 GÜN İÇİNDE","PLANLI"))))))))</f>
        <v/>
      </c>
      <c r="R56" s="6" t="n"/>
      <c r="S56" s="6" t="n"/>
    </row>
    <row r="57">
      <c r="A57" s="6" t="n"/>
      <c r="B57" s="113">
        <f>IF($E57="","","A"&amp;TEXT(ROW()-6,"00000"))</f>
        <v/>
      </c>
      <c r="C57" s="108" t="n"/>
      <c r="D57" s="113">
        <f>IF($E57="","",IFERROR(INDEX(MUSTERILER!$B$7:$B$106,MATCH($E57,MUSTERILER!$C$7:$C$106,0)),IFERROR(INDEX(MUSTERILER!$B$7:$B$106,MATCH($E57,MUSTERILER!$B$7:$B$106,0)),IFERROR(INDEX(MUSTERILER!$B$7:$B$106,MATCH($E57&amp;"*",MUSTERILER!$C$7:$C$106,0)),"TANIMSIZ MÜŞTERİ"))))</f>
        <v/>
      </c>
      <c r="E57" s="109" t="n"/>
      <c r="F57" s="109" t="n"/>
      <c r="G57" s="108" t="n"/>
      <c r="H57" s="225" t="n"/>
      <c r="I57" s="225" t="n"/>
      <c r="J57" s="108" t="n"/>
      <c r="K57" s="108" t="n"/>
      <c r="L57" s="109" t="n"/>
      <c r="M57" s="109" t="n"/>
      <c r="N57" s="109" t="n"/>
      <c r="O57" s="225" t="n"/>
      <c r="P57" s="232">
        <f>IF(OR($E57="",$I57=""),"",IF(OR($J57="Tamamlandı",$J57="İptal"),"",$I57-TODAY()))</f>
        <v/>
      </c>
      <c r="Q57" s="113">
        <f>IF($E57="","",IF($D57="TANIMSIZ MÜŞTERİ","HATA",IF(OR($J57="Tamamlandı",$J57="İptal"),"KAPALI",IF(AND($C57="Görüşme",$N57=""),"SONRAKİ İŞLEM EKSİK",IF($I57="","TARİH EKSİK",IF($I57&lt;TODAY(),"GECİKMİŞ",IF($I57=TODAY(),"BUGÜN",IF($I57&lt;=TODAY()+7,"7 GÜN İÇİNDE","PLANLI"))))))))</f>
        <v/>
      </c>
      <c r="R57" s="6" t="n"/>
      <c r="S57" s="6" t="n"/>
    </row>
    <row r="58">
      <c r="A58" s="6" t="n"/>
      <c r="B58" s="113">
        <f>IF($E58="","","A"&amp;TEXT(ROW()-6,"00000"))</f>
        <v/>
      </c>
      <c r="C58" s="108" t="n"/>
      <c r="D58" s="113">
        <f>IF($E58="","",IFERROR(INDEX(MUSTERILER!$B$7:$B$106,MATCH($E58,MUSTERILER!$C$7:$C$106,0)),IFERROR(INDEX(MUSTERILER!$B$7:$B$106,MATCH($E58,MUSTERILER!$B$7:$B$106,0)),IFERROR(INDEX(MUSTERILER!$B$7:$B$106,MATCH($E58&amp;"*",MUSTERILER!$C$7:$C$106,0)),"TANIMSIZ MÜŞTERİ"))))</f>
        <v/>
      </c>
      <c r="E58" s="109" t="n"/>
      <c r="F58" s="109" t="n"/>
      <c r="G58" s="108" t="n"/>
      <c r="H58" s="225" t="n"/>
      <c r="I58" s="225" t="n"/>
      <c r="J58" s="108" t="n"/>
      <c r="K58" s="108" t="n"/>
      <c r="L58" s="109" t="n"/>
      <c r="M58" s="109" t="n"/>
      <c r="N58" s="109" t="n"/>
      <c r="O58" s="225" t="n"/>
      <c r="P58" s="232">
        <f>IF(OR($E58="",$I58=""),"",IF(OR($J58="Tamamlandı",$J58="İptal"),"",$I58-TODAY()))</f>
        <v/>
      </c>
      <c r="Q58" s="113">
        <f>IF($E58="","",IF($D58="TANIMSIZ MÜŞTERİ","HATA",IF(OR($J58="Tamamlandı",$J58="İptal"),"KAPALI",IF(AND($C58="Görüşme",$N58=""),"SONRAKİ İŞLEM EKSİK",IF($I58="","TARİH EKSİK",IF($I58&lt;TODAY(),"GECİKMİŞ",IF($I58=TODAY(),"BUGÜN",IF($I58&lt;=TODAY()+7,"7 GÜN İÇİNDE","PLANLI"))))))))</f>
        <v/>
      </c>
      <c r="R58" s="6" t="n"/>
      <c r="S58" s="6" t="n"/>
    </row>
    <row r="59">
      <c r="A59" s="6" t="n"/>
      <c r="B59" s="113">
        <f>IF($E59="","","A"&amp;TEXT(ROW()-6,"00000"))</f>
        <v/>
      </c>
      <c r="C59" s="108" t="n"/>
      <c r="D59" s="113">
        <f>IF($E59="","",IFERROR(INDEX(MUSTERILER!$B$7:$B$106,MATCH($E59,MUSTERILER!$C$7:$C$106,0)),IFERROR(INDEX(MUSTERILER!$B$7:$B$106,MATCH($E59,MUSTERILER!$B$7:$B$106,0)),IFERROR(INDEX(MUSTERILER!$B$7:$B$106,MATCH($E59&amp;"*",MUSTERILER!$C$7:$C$106,0)),"TANIMSIZ MÜŞTERİ"))))</f>
        <v/>
      </c>
      <c r="E59" s="109" t="n"/>
      <c r="F59" s="109" t="n"/>
      <c r="G59" s="108" t="n"/>
      <c r="H59" s="225" t="n"/>
      <c r="I59" s="225" t="n"/>
      <c r="J59" s="108" t="n"/>
      <c r="K59" s="108" t="n"/>
      <c r="L59" s="109" t="n"/>
      <c r="M59" s="109" t="n"/>
      <c r="N59" s="109" t="n"/>
      <c r="O59" s="225" t="n"/>
      <c r="P59" s="232">
        <f>IF(OR($E59="",$I59=""),"",IF(OR($J59="Tamamlandı",$J59="İptal"),"",$I59-TODAY()))</f>
        <v/>
      </c>
      <c r="Q59" s="113">
        <f>IF($E59="","",IF($D59="TANIMSIZ MÜŞTERİ","HATA",IF(OR($J59="Tamamlandı",$J59="İptal"),"KAPALI",IF(AND($C59="Görüşme",$N59=""),"SONRAKİ İŞLEM EKSİK",IF($I59="","TARİH EKSİK",IF($I59&lt;TODAY(),"GECİKMİŞ",IF($I59=TODAY(),"BUGÜN",IF($I59&lt;=TODAY()+7,"7 GÜN İÇİNDE","PLANLI"))))))))</f>
        <v/>
      </c>
      <c r="R59" s="6" t="n"/>
      <c r="S59" s="6" t="n"/>
    </row>
    <row r="60">
      <c r="A60" s="6" t="n"/>
      <c r="B60" s="113">
        <f>IF($E60="","","A"&amp;TEXT(ROW()-6,"00000"))</f>
        <v/>
      </c>
      <c r="C60" s="108" t="n"/>
      <c r="D60" s="113">
        <f>IF($E60="","",IFERROR(INDEX(MUSTERILER!$B$7:$B$106,MATCH($E60,MUSTERILER!$C$7:$C$106,0)),IFERROR(INDEX(MUSTERILER!$B$7:$B$106,MATCH($E60,MUSTERILER!$B$7:$B$106,0)),IFERROR(INDEX(MUSTERILER!$B$7:$B$106,MATCH($E60&amp;"*",MUSTERILER!$C$7:$C$106,0)),"TANIMSIZ MÜŞTERİ"))))</f>
        <v/>
      </c>
      <c r="E60" s="109" t="n"/>
      <c r="F60" s="109" t="n"/>
      <c r="G60" s="108" t="n"/>
      <c r="H60" s="225" t="n"/>
      <c r="I60" s="225" t="n"/>
      <c r="J60" s="108" t="n"/>
      <c r="K60" s="108" t="n"/>
      <c r="L60" s="109" t="n"/>
      <c r="M60" s="109" t="n"/>
      <c r="N60" s="109" t="n"/>
      <c r="O60" s="225" t="n"/>
      <c r="P60" s="232">
        <f>IF(OR($E60="",$I60=""),"",IF(OR($J60="Tamamlandı",$J60="İptal"),"",$I60-TODAY()))</f>
        <v/>
      </c>
      <c r="Q60" s="113">
        <f>IF($E60="","",IF($D60="TANIMSIZ MÜŞTERİ","HATA",IF(OR($J60="Tamamlandı",$J60="İptal"),"KAPALI",IF(AND($C60="Görüşme",$N60=""),"SONRAKİ İŞLEM EKSİK",IF($I60="","TARİH EKSİK",IF($I60&lt;TODAY(),"GECİKMİŞ",IF($I60=TODAY(),"BUGÜN",IF($I60&lt;=TODAY()+7,"7 GÜN İÇİNDE","PLANLI"))))))))</f>
        <v/>
      </c>
      <c r="R60" s="6" t="n"/>
      <c r="S60" s="6" t="n"/>
    </row>
    <row r="61">
      <c r="A61" s="6" t="n"/>
      <c r="B61" s="113">
        <f>IF($E61="","","A"&amp;TEXT(ROW()-6,"00000"))</f>
        <v/>
      </c>
      <c r="C61" s="108" t="n"/>
      <c r="D61" s="113">
        <f>IF($E61="","",IFERROR(INDEX(MUSTERILER!$B$7:$B$106,MATCH($E61,MUSTERILER!$C$7:$C$106,0)),IFERROR(INDEX(MUSTERILER!$B$7:$B$106,MATCH($E61,MUSTERILER!$B$7:$B$106,0)),IFERROR(INDEX(MUSTERILER!$B$7:$B$106,MATCH($E61&amp;"*",MUSTERILER!$C$7:$C$106,0)),"TANIMSIZ MÜŞTERİ"))))</f>
        <v/>
      </c>
      <c r="E61" s="109" t="n"/>
      <c r="F61" s="109" t="n"/>
      <c r="G61" s="108" t="n"/>
      <c r="H61" s="225" t="n"/>
      <c r="I61" s="225" t="n"/>
      <c r="J61" s="108" t="n"/>
      <c r="K61" s="108" t="n"/>
      <c r="L61" s="109" t="n"/>
      <c r="M61" s="109" t="n"/>
      <c r="N61" s="109" t="n"/>
      <c r="O61" s="225" t="n"/>
      <c r="P61" s="232">
        <f>IF(OR($E61="",$I61=""),"",IF(OR($J61="Tamamlandı",$J61="İptal"),"",$I61-TODAY()))</f>
        <v/>
      </c>
      <c r="Q61" s="113">
        <f>IF($E61="","",IF($D61="TANIMSIZ MÜŞTERİ","HATA",IF(OR($J61="Tamamlandı",$J61="İptal"),"KAPALI",IF(AND($C61="Görüşme",$N61=""),"SONRAKİ İŞLEM EKSİK",IF($I61="","TARİH EKSİK",IF($I61&lt;TODAY(),"GECİKMİŞ",IF($I61=TODAY(),"BUGÜN",IF($I61&lt;=TODAY()+7,"7 GÜN İÇİNDE","PLANLI"))))))))</f>
        <v/>
      </c>
      <c r="R61" s="6" t="n"/>
      <c r="S61" s="6" t="n"/>
    </row>
    <row r="62">
      <c r="A62" s="6" t="n"/>
      <c r="B62" s="113">
        <f>IF($E62="","","A"&amp;TEXT(ROW()-6,"00000"))</f>
        <v/>
      </c>
      <c r="C62" s="108" t="n"/>
      <c r="D62" s="113">
        <f>IF($E62="","",IFERROR(INDEX(MUSTERILER!$B$7:$B$106,MATCH($E62,MUSTERILER!$C$7:$C$106,0)),IFERROR(INDEX(MUSTERILER!$B$7:$B$106,MATCH($E62,MUSTERILER!$B$7:$B$106,0)),IFERROR(INDEX(MUSTERILER!$B$7:$B$106,MATCH($E62&amp;"*",MUSTERILER!$C$7:$C$106,0)),"TANIMSIZ MÜŞTERİ"))))</f>
        <v/>
      </c>
      <c r="E62" s="109" t="n"/>
      <c r="F62" s="109" t="n"/>
      <c r="G62" s="108" t="n"/>
      <c r="H62" s="225" t="n"/>
      <c r="I62" s="225" t="n"/>
      <c r="J62" s="108" t="n"/>
      <c r="K62" s="108" t="n"/>
      <c r="L62" s="109" t="n"/>
      <c r="M62" s="109" t="n"/>
      <c r="N62" s="109" t="n"/>
      <c r="O62" s="225" t="n"/>
      <c r="P62" s="232">
        <f>IF(OR($E62="",$I62=""),"",IF(OR($J62="Tamamlandı",$J62="İptal"),"",$I62-TODAY()))</f>
        <v/>
      </c>
      <c r="Q62" s="113">
        <f>IF($E62="","",IF($D62="TANIMSIZ MÜŞTERİ","HATA",IF(OR($J62="Tamamlandı",$J62="İptal"),"KAPALI",IF(AND($C62="Görüşme",$N62=""),"SONRAKİ İŞLEM EKSİK",IF($I62="","TARİH EKSİK",IF($I62&lt;TODAY(),"GECİKMİŞ",IF($I62=TODAY(),"BUGÜN",IF($I62&lt;=TODAY()+7,"7 GÜN İÇİNDE","PLANLI"))))))))</f>
        <v/>
      </c>
      <c r="R62" s="6" t="n"/>
      <c r="S62" s="6" t="n"/>
    </row>
    <row r="63">
      <c r="A63" s="6" t="n"/>
      <c r="B63" s="113">
        <f>IF($E63="","","A"&amp;TEXT(ROW()-6,"00000"))</f>
        <v/>
      </c>
      <c r="C63" s="108" t="n"/>
      <c r="D63" s="113">
        <f>IF($E63="","",IFERROR(INDEX(MUSTERILER!$B$7:$B$106,MATCH($E63,MUSTERILER!$C$7:$C$106,0)),IFERROR(INDEX(MUSTERILER!$B$7:$B$106,MATCH($E63,MUSTERILER!$B$7:$B$106,0)),IFERROR(INDEX(MUSTERILER!$B$7:$B$106,MATCH($E63&amp;"*",MUSTERILER!$C$7:$C$106,0)),"TANIMSIZ MÜŞTERİ"))))</f>
        <v/>
      </c>
      <c r="E63" s="109" t="n"/>
      <c r="F63" s="109" t="n"/>
      <c r="G63" s="108" t="n"/>
      <c r="H63" s="225" t="n"/>
      <c r="I63" s="225" t="n"/>
      <c r="J63" s="108" t="n"/>
      <c r="K63" s="108" t="n"/>
      <c r="L63" s="109" t="n"/>
      <c r="M63" s="109" t="n"/>
      <c r="N63" s="109" t="n"/>
      <c r="O63" s="225" t="n"/>
      <c r="P63" s="232">
        <f>IF(OR($E63="",$I63=""),"",IF(OR($J63="Tamamlandı",$J63="İptal"),"",$I63-TODAY()))</f>
        <v/>
      </c>
      <c r="Q63" s="113">
        <f>IF($E63="","",IF($D63="TANIMSIZ MÜŞTERİ","HATA",IF(OR($J63="Tamamlandı",$J63="İptal"),"KAPALI",IF(AND($C63="Görüşme",$N63=""),"SONRAKİ İŞLEM EKSİK",IF($I63="","TARİH EKSİK",IF($I63&lt;TODAY(),"GECİKMİŞ",IF($I63=TODAY(),"BUGÜN",IF($I63&lt;=TODAY()+7,"7 GÜN İÇİNDE","PLANLI"))))))))</f>
        <v/>
      </c>
      <c r="R63" s="6" t="n"/>
      <c r="S63" s="6" t="n"/>
    </row>
    <row r="64">
      <c r="A64" s="6" t="n"/>
      <c r="B64" s="113">
        <f>IF($E64="","","A"&amp;TEXT(ROW()-6,"00000"))</f>
        <v/>
      </c>
      <c r="C64" s="108" t="n"/>
      <c r="D64" s="113">
        <f>IF($E64="","",IFERROR(INDEX(MUSTERILER!$B$7:$B$106,MATCH($E64,MUSTERILER!$C$7:$C$106,0)),IFERROR(INDEX(MUSTERILER!$B$7:$B$106,MATCH($E64,MUSTERILER!$B$7:$B$106,0)),IFERROR(INDEX(MUSTERILER!$B$7:$B$106,MATCH($E64&amp;"*",MUSTERILER!$C$7:$C$106,0)),"TANIMSIZ MÜŞTERİ"))))</f>
        <v/>
      </c>
      <c r="E64" s="109" t="n"/>
      <c r="F64" s="109" t="n"/>
      <c r="G64" s="108" t="n"/>
      <c r="H64" s="225" t="n"/>
      <c r="I64" s="225" t="n"/>
      <c r="J64" s="108" t="n"/>
      <c r="K64" s="108" t="n"/>
      <c r="L64" s="109" t="n"/>
      <c r="M64" s="109" t="n"/>
      <c r="N64" s="109" t="n"/>
      <c r="O64" s="225" t="n"/>
      <c r="P64" s="232">
        <f>IF(OR($E64="",$I64=""),"",IF(OR($J64="Tamamlandı",$J64="İptal"),"",$I64-TODAY()))</f>
        <v/>
      </c>
      <c r="Q64" s="113">
        <f>IF($E64="","",IF($D64="TANIMSIZ MÜŞTERİ","HATA",IF(OR($J64="Tamamlandı",$J64="İptal"),"KAPALI",IF(AND($C64="Görüşme",$N64=""),"SONRAKİ İŞLEM EKSİK",IF($I64="","TARİH EKSİK",IF($I64&lt;TODAY(),"GECİKMİŞ",IF($I64=TODAY(),"BUGÜN",IF($I64&lt;=TODAY()+7,"7 GÜN İÇİNDE","PLANLI"))))))))</f>
        <v/>
      </c>
      <c r="R64" s="6" t="n"/>
      <c r="S64" s="6" t="n"/>
    </row>
    <row r="65">
      <c r="A65" s="6" t="n"/>
      <c r="B65" s="113">
        <f>IF($E65="","","A"&amp;TEXT(ROW()-6,"00000"))</f>
        <v/>
      </c>
      <c r="C65" s="108" t="n"/>
      <c r="D65" s="113">
        <f>IF($E65="","",IFERROR(INDEX(MUSTERILER!$B$7:$B$106,MATCH($E65,MUSTERILER!$C$7:$C$106,0)),IFERROR(INDEX(MUSTERILER!$B$7:$B$106,MATCH($E65,MUSTERILER!$B$7:$B$106,0)),IFERROR(INDEX(MUSTERILER!$B$7:$B$106,MATCH($E65&amp;"*",MUSTERILER!$C$7:$C$106,0)),"TANIMSIZ MÜŞTERİ"))))</f>
        <v/>
      </c>
      <c r="E65" s="109" t="n"/>
      <c r="F65" s="109" t="n"/>
      <c r="G65" s="108" t="n"/>
      <c r="H65" s="225" t="n"/>
      <c r="I65" s="225" t="n"/>
      <c r="J65" s="108" t="n"/>
      <c r="K65" s="108" t="n"/>
      <c r="L65" s="109" t="n"/>
      <c r="M65" s="109" t="n"/>
      <c r="N65" s="109" t="n"/>
      <c r="O65" s="225" t="n"/>
      <c r="P65" s="232">
        <f>IF(OR($E65="",$I65=""),"",IF(OR($J65="Tamamlandı",$J65="İptal"),"",$I65-TODAY()))</f>
        <v/>
      </c>
      <c r="Q65" s="113">
        <f>IF($E65="","",IF($D65="TANIMSIZ MÜŞTERİ","HATA",IF(OR($J65="Tamamlandı",$J65="İptal"),"KAPALI",IF(AND($C65="Görüşme",$N65=""),"SONRAKİ İŞLEM EKSİK",IF($I65="","TARİH EKSİK",IF($I65&lt;TODAY(),"GECİKMİŞ",IF($I65=TODAY(),"BUGÜN",IF($I65&lt;=TODAY()+7,"7 GÜN İÇİNDE","PLANLI"))))))))</f>
        <v/>
      </c>
      <c r="R65" s="6" t="n"/>
      <c r="S65" s="6" t="n"/>
    </row>
    <row r="66">
      <c r="A66" s="6" t="n"/>
      <c r="B66" s="113">
        <f>IF($E66="","","A"&amp;TEXT(ROW()-6,"00000"))</f>
        <v/>
      </c>
      <c r="C66" s="108" t="n"/>
      <c r="D66" s="113">
        <f>IF($E66="","",IFERROR(INDEX(MUSTERILER!$B$7:$B$106,MATCH($E66,MUSTERILER!$C$7:$C$106,0)),IFERROR(INDEX(MUSTERILER!$B$7:$B$106,MATCH($E66,MUSTERILER!$B$7:$B$106,0)),IFERROR(INDEX(MUSTERILER!$B$7:$B$106,MATCH($E66&amp;"*",MUSTERILER!$C$7:$C$106,0)),"TANIMSIZ MÜŞTERİ"))))</f>
        <v/>
      </c>
      <c r="E66" s="109" t="n"/>
      <c r="F66" s="109" t="n"/>
      <c r="G66" s="108" t="n"/>
      <c r="H66" s="225" t="n"/>
      <c r="I66" s="225" t="n"/>
      <c r="J66" s="108" t="n"/>
      <c r="K66" s="108" t="n"/>
      <c r="L66" s="109" t="n"/>
      <c r="M66" s="109" t="n"/>
      <c r="N66" s="109" t="n"/>
      <c r="O66" s="225" t="n"/>
      <c r="P66" s="232">
        <f>IF(OR($E66="",$I66=""),"",IF(OR($J66="Tamamlandı",$J66="İptal"),"",$I66-TODAY()))</f>
        <v/>
      </c>
      <c r="Q66" s="113">
        <f>IF($E66="","",IF($D66="TANIMSIZ MÜŞTERİ","HATA",IF(OR($J66="Tamamlandı",$J66="İptal"),"KAPALI",IF(AND($C66="Görüşme",$N66=""),"SONRAKİ İŞLEM EKSİK",IF($I66="","TARİH EKSİK",IF($I66&lt;TODAY(),"GECİKMİŞ",IF($I66=TODAY(),"BUGÜN",IF($I66&lt;=TODAY()+7,"7 GÜN İÇİNDE","PLANLI"))))))))</f>
        <v/>
      </c>
      <c r="R66" s="6" t="n"/>
      <c r="S66" s="6" t="n"/>
    </row>
    <row r="67">
      <c r="A67" s="6" t="n"/>
      <c r="B67" s="113">
        <f>IF($E67="","","A"&amp;TEXT(ROW()-6,"00000"))</f>
        <v/>
      </c>
      <c r="C67" s="108" t="n"/>
      <c r="D67" s="113">
        <f>IF($E67="","",IFERROR(INDEX(MUSTERILER!$B$7:$B$106,MATCH($E67,MUSTERILER!$C$7:$C$106,0)),IFERROR(INDEX(MUSTERILER!$B$7:$B$106,MATCH($E67,MUSTERILER!$B$7:$B$106,0)),IFERROR(INDEX(MUSTERILER!$B$7:$B$106,MATCH($E67&amp;"*",MUSTERILER!$C$7:$C$106,0)),"TANIMSIZ MÜŞTERİ"))))</f>
        <v/>
      </c>
      <c r="E67" s="109" t="n"/>
      <c r="F67" s="109" t="n"/>
      <c r="G67" s="108" t="n"/>
      <c r="H67" s="225" t="n"/>
      <c r="I67" s="225" t="n"/>
      <c r="J67" s="108" t="n"/>
      <c r="K67" s="108" t="n"/>
      <c r="L67" s="109" t="n"/>
      <c r="M67" s="109" t="n"/>
      <c r="N67" s="109" t="n"/>
      <c r="O67" s="225" t="n"/>
      <c r="P67" s="232">
        <f>IF(OR($E67="",$I67=""),"",IF(OR($J67="Tamamlandı",$J67="İptal"),"",$I67-TODAY()))</f>
        <v/>
      </c>
      <c r="Q67" s="113">
        <f>IF($E67="","",IF($D67="TANIMSIZ MÜŞTERİ","HATA",IF(OR($J67="Tamamlandı",$J67="İptal"),"KAPALI",IF(AND($C67="Görüşme",$N67=""),"SONRAKİ İŞLEM EKSİK",IF($I67="","TARİH EKSİK",IF($I67&lt;TODAY(),"GECİKMİŞ",IF($I67=TODAY(),"BUGÜN",IF($I67&lt;=TODAY()+7,"7 GÜN İÇİNDE","PLANLI"))))))))</f>
        <v/>
      </c>
      <c r="R67" s="6" t="n"/>
      <c r="S67" s="6" t="n"/>
    </row>
    <row r="68">
      <c r="A68" s="6" t="n"/>
      <c r="B68" s="113">
        <f>IF($E68="","","A"&amp;TEXT(ROW()-6,"00000"))</f>
        <v/>
      </c>
      <c r="C68" s="108" t="n"/>
      <c r="D68" s="113">
        <f>IF($E68="","",IFERROR(INDEX(MUSTERILER!$B$7:$B$106,MATCH($E68,MUSTERILER!$C$7:$C$106,0)),IFERROR(INDEX(MUSTERILER!$B$7:$B$106,MATCH($E68,MUSTERILER!$B$7:$B$106,0)),IFERROR(INDEX(MUSTERILER!$B$7:$B$106,MATCH($E68&amp;"*",MUSTERILER!$C$7:$C$106,0)),"TANIMSIZ MÜŞTERİ"))))</f>
        <v/>
      </c>
      <c r="E68" s="109" t="n"/>
      <c r="F68" s="109" t="n"/>
      <c r="G68" s="108" t="n"/>
      <c r="H68" s="225" t="n"/>
      <c r="I68" s="225" t="n"/>
      <c r="J68" s="108" t="n"/>
      <c r="K68" s="108" t="n"/>
      <c r="L68" s="109" t="n"/>
      <c r="M68" s="109" t="n"/>
      <c r="N68" s="109" t="n"/>
      <c r="O68" s="225" t="n"/>
      <c r="P68" s="232">
        <f>IF(OR($E68="",$I68=""),"",IF(OR($J68="Tamamlandı",$J68="İptal"),"",$I68-TODAY()))</f>
        <v/>
      </c>
      <c r="Q68" s="113">
        <f>IF($E68="","",IF($D68="TANIMSIZ MÜŞTERİ","HATA",IF(OR($J68="Tamamlandı",$J68="İptal"),"KAPALI",IF(AND($C68="Görüşme",$N68=""),"SONRAKİ İŞLEM EKSİK",IF($I68="","TARİH EKSİK",IF($I68&lt;TODAY(),"GECİKMİŞ",IF($I68=TODAY(),"BUGÜN",IF($I68&lt;=TODAY()+7,"7 GÜN İÇİNDE","PLANLI"))))))))</f>
        <v/>
      </c>
      <c r="R68" s="6" t="n"/>
      <c r="S68" s="6" t="n"/>
    </row>
    <row r="69">
      <c r="A69" s="6" t="n"/>
      <c r="B69" s="113">
        <f>IF($E69="","","A"&amp;TEXT(ROW()-6,"00000"))</f>
        <v/>
      </c>
      <c r="C69" s="108" t="n"/>
      <c r="D69" s="113">
        <f>IF($E69="","",IFERROR(INDEX(MUSTERILER!$B$7:$B$106,MATCH($E69,MUSTERILER!$C$7:$C$106,0)),IFERROR(INDEX(MUSTERILER!$B$7:$B$106,MATCH($E69,MUSTERILER!$B$7:$B$106,0)),IFERROR(INDEX(MUSTERILER!$B$7:$B$106,MATCH($E69&amp;"*",MUSTERILER!$C$7:$C$106,0)),"TANIMSIZ MÜŞTERİ"))))</f>
        <v/>
      </c>
      <c r="E69" s="109" t="n"/>
      <c r="F69" s="109" t="n"/>
      <c r="G69" s="108" t="n"/>
      <c r="H69" s="225" t="n"/>
      <c r="I69" s="225" t="n"/>
      <c r="J69" s="108" t="n"/>
      <c r="K69" s="108" t="n"/>
      <c r="L69" s="109" t="n"/>
      <c r="M69" s="109" t="n"/>
      <c r="N69" s="109" t="n"/>
      <c r="O69" s="225" t="n"/>
      <c r="P69" s="232">
        <f>IF(OR($E69="",$I69=""),"",IF(OR($J69="Tamamlandı",$J69="İptal"),"",$I69-TODAY()))</f>
        <v/>
      </c>
      <c r="Q69" s="113">
        <f>IF($E69="","",IF($D69="TANIMSIZ MÜŞTERİ","HATA",IF(OR($J69="Tamamlandı",$J69="İptal"),"KAPALI",IF(AND($C69="Görüşme",$N69=""),"SONRAKİ İŞLEM EKSİK",IF($I69="","TARİH EKSİK",IF($I69&lt;TODAY(),"GECİKMİŞ",IF($I69=TODAY(),"BUGÜN",IF($I69&lt;=TODAY()+7,"7 GÜN İÇİNDE","PLANLI"))))))))</f>
        <v/>
      </c>
      <c r="R69" s="6" t="n"/>
      <c r="S69" s="6" t="n"/>
    </row>
    <row r="70">
      <c r="A70" s="6" t="n"/>
      <c r="B70" s="113">
        <f>IF($E70="","","A"&amp;TEXT(ROW()-6,"00000"))</f>
        <v/>
      </c>
      <c r="C70" s="108" t="n"/>
      <c r="D70" s="113">
        <f>IF($E70="","",IFERROR(INDEX(MUSTERILER!$B$7:$B$106,MATCH($E70,MUSTERILER!$C$7:$C$106,0)),IFERROR(INDEX(MUSTERILER!$B$7:$B$106,MATCH($E70,MUSTERILER!$B$7:$B$106,0)),IFERROR(INDEX(MUSTERILER!$B$7:$B$106,MATCH($E70&amp;"*",MUSTERILER!$C$7:$C$106,0)),"TANIMSIZ MÜŞTERİ"))))</f>
        <v/>
      </c>
      <c r="E70" s="109" t="n"/>
      <c r="F70" s="109" t="n"/>
      <c r="G70" s="108" t="n"/>
      <c r="H70" s="225" t="n"/>
      <c r="I70" s="225" t="n"/>
      <c r="J70" s="108" t="n"/>
      <c r="K70" s="108" t="n"/>
      <c r="L70" s="109" t="n"/>
      <c r="M70" s="109" t="n"/>
      <c r="N70" s="109" t="n"/>
      <c r="O70" s="225" t="n"/>
      <c r="P70" s="232">
        <f>IF(OR($E70="",$I70=""),"",IF(OR($J70="Tamamlandı",$J70="İptal"),"",$I70-TODAY()))</f>
        <v/>
      </c>
      <c r="Q70" s="113">
        <f>IF($E70="","",IF($D70="TANIMSIZ MÜŞTERİ","HATA",IF(OR($J70="Tamamlandı",$J70="İptal"),"KAPALI",IF(AND($C70="Görüşme",$N70=""),"SONRAKİ İŞLEM EKSİK",IF($I70="","TARİH EKSİK",IF($I70&lt;TODAY(),"GECİKMİŞ",IF($I70=TODAY(),"BUGÜN",IF($I70&lt;=TODAY()+7,"7 GÜN İÇİNDE","PLANLI"))))))))</f>
        <v/>
      </c>
      <c r="R70" s="6" t="n"/>
      <c r="S70" s="6" t="n"/>
    </row>
    <row r="71">
      <c r="A71" s="6" t="n"/>
      <c r="B71" s="113">
        <f>IF($E71="","","A"&amp;TEXT(ROW()-6,"00000"))</f>
        <v/>
      </c>
      <c r="C71" s="108" t="n"/>
      <c r="D71" s="113">
        <f>IF($E71="","",IFERROR(INDEX(MUSTERILER!$B$7:$B$106,MATCH($E71,MUSTERILER!$C$7:$C$106,0)),IFERROR(INDEX(MUSTERILER!$B$7:$B$106,MATCH($E71,MUSTERILER!$B$7:$B$106,0)),IFERROR(INDEX(MUSTERILER!$B$7:$B$106,MATCH($E71&amp;"*",MUSTERILER!$C$7:$C$106,0)),"TANIMSIZ MÜŞTERİ"))))</f>
        <v/>
      </c>
      <c r="E71" s="109" t="n"/>
      <c r="F71" s="109" t="n"/>
      <c r="G71" s="108" t="n"/>
      <c r="H71" s="225" t="n"/>
      <c r="I71" s="225" t="n"/>
      <c r="J71" s="108" t="n"/>
      <c r="K71" s="108" t="n"/>
      <c r="L71" s="109" t="n"/>
      <c r="M71" s="109" t="n"/>
      <c r="N71" s="109" t="n"/>
      <c r="O71" s="225" t="n"/>
      <c r="P71" s="232">
        <f>IF(OR($E71="",$I71=""),"",IF(OR($J71="Tamamlandı",$J71="İptal"),"",$I71-TODAY()))</f>
        <v/>
      </c>
      <c r="Q71" s="113">
        <f>IF($E71="","",IF($D71="TANIMSIZ MÜŞTERİ","HATA",IF(OR($J71="Tamamlandı",$J71="İptal"),"KAPALI",IF(AND($C71="Görüşme",$N71=""),"SONRAKİ İŞLEM EKSİK",IF($I71="","TARİH EKSİK",IF($I71&lt;TODAY(),"GECİKMİŞ",IF($I71=TODAY(),"BUGÜN",IF($I71&lt;=TODAY()+7,"7 GÜN İÇİNDE","PLANLI"))))))))</f>
        <v/>
      </c>
      <c r="R71" s="6" t="n"/>
      <c r="S71" s="6" t="n"/>
    </row>
    <row r="72">
      <c r="A72" s="6" t="n"/>
      <c r="B72" s="113">
        <f>IF($E72="","","A"&amp;TEXT(ROW()-6,"00000"))</f>
        <v/>
      </c>
      <c r="C72" s="108" t="n"/>
      <c r="D72" s="113">
        <f>IF($E72="","",IFERROR(INDEX(MUSTERILER!$B$7:$B$106,MATCH($E72,MUSTERILER!$C$7:$C$106,0)),IFERROR(INDEX(MUSTERILER!$B$7:$B$106,MATCH($E72,MUSTERILER!$B$7:$B$106,0)),IFERROR(INDEX(MUSTERILER!$B$7:$B$106,MATCH($E72&amp;"*",MUSTERILER!$C$7:$C$106,0)),"TANIMSIZ MÜŞTERİ"))))</f>
        <v/>
      </c>
      <c r="E72" s="109" t="n"/>
      <c r="F72" s="109" t="n"/>
      <c r="G72" s="108" t="n"/>
      <c r="H72" s="225" t="n"/>
      <c r="I72" s="225" t="n"/>
      <c r="J72" s="108" t="n"/>
      <c r="K72" s="108" t="n"/>
      <c r="L72" s="109" t="n"/>
      <c r="M72" s="109" t="n"/>
      <c r="N72" s="109" t="n"/>
      <c r="O72" s="225" t="n"/>
      <c r="P72" s="232">
        <f>IF(OR($E72="",$I72=""),"",IF(OR($J72="Tamamlandı",$J72="İptal"),"",$I72-TODAY()))</f>
        <v/>
      </c>
      <c r="Q72" s="113">
        <f>IF($E72="","",IF($D72="TANIMSIZ MÜŞTERİ","HATA",IF(OR($J72="Tamamlandı",$J72="İptal"),"KAPALI",IF(AND($C72="Görüşme",$N72=""),"SONRAKİ İŞLEM EKSİK",IF($I72="","TARİH EKSİK",IF($I72&lt;TODAY(),"GECİKMİŞ",IF($I72=TODAY(),"BUGÜN",IF($I72&lt;=TODAY()+7,"7 GÜN İÇİNDE","PLANLI"))))))))</f>
        <v/>
      </c>
      <c r="R72" s="6" t="n"/>
      <c r="S72" s="6" t="n"/>
    </row>
    <row r="73">
      <c r="A73" s="6" t="n"/>
      <c r="B73" s="113">
        <f>IF($E73="","","A"&amp;TEXT(ROW()-6,"00000"))</f>
        <v/>
      </c>
      <c r="C73" s="108" t="n"/>
      <c r="D73" s="113">
        <f>IF($E73="","",IFERROR(INDEX(MUSTERILER!$B$7:$B$106,MATCH($E73,MUSTERILER!$C$7:$C$106,0)),IFERROR(INDEX(MUSTERILER!$B$7:$B$106,MATCH($E73,MUSTERILER!$B$7:$B$106,0)),IFERROR(INDEX(MUSTERILER!$B$7:$B$106,MATCH($E73&amp;"*",MUSTERILER!$C$7:$C$106,0)),"TANIMSIZ MÜŞTERİ"))))</f>
        <v/>
      </c>
      <c r="E73" s="109" t="n"/>
      <c r="F73" s="109" t="n"/>
      <c r="G73" s="108" t="n"/>
      <c r="H73" s="225" t="n"/>
      <c r="I73" s="225" t="n"/>
      <c r="J73" s="108" t="n"/>
      <c r="K73" s="108" t="n"/>
      <c r="L73" s="109" t="n"/>
      <c r="M73" s="109" t="n"/>
      <c r="N73" s="109" t="n"/>
      <c r="O73" s="225" t="n"/>
      <c r="P73" s="232">
        <f>IF(OR($E73="",$I73=""),"",IF(OR($J73="Tamamlandı",$J73="İptal"),"",$I73-TODAY()))</f>
        <v/>
      </c>
      <c r="Q73" s="113">
        <f>IF($E73="","",IF($D73="TANIMSIZ MÜŞTERİ","HATA",IF(OR($J73="Tamamlandı",$J73="İptal"),"KAPALI",IF(AND($C73="Görüşme",$N73=""),"SONRAKİ İŞLEM EKSİK",IF($I73="","TARİH EKSİK",IF($I73&lt;TODAY(),"GECİKMİŞ",IF($I73=TODAY(),"BUGÜN",IF($I73&lt;=TODAY()+7,"7 GÜN İÇİNDE","PLANLI"))))))))</f>
        <v/>
      </c>
      <c r="R73" s="6" t="n"/>
      <c r="S73" s="6" t="n"/>
    </row>
    <row r="74">
      <c r="A74" s="6" t="n"/>
      <c r="B74" s="113">
        <f>IF($E74="","","A"&amp;TEXT(ROW()-6,"00000"))</f>
        <v/>
      </c>
      <c r="C74" s="108" t="n"/>
      <c r="D74" s="113">
        <f>IF($E74="","",IFERROR(INDEX(MUSTERILER!$B$7:$B$106,MATCH($E74,MUSTERILER!$C$7:$C$106,0)),IFERROR(INDEX(MUSTERILER!$B$7:$B$106,MATCH($E74,MUSTERILER!$B$7:$B$106,0)),IFERROR(INDEX(MUSTERILER!$B$7:$B$106,MATCH($E74&amp;"*",MUSTERILER!$C$7:$C$106,0)),"TANIMSIZ MÜŞTERİ"))))</f>
        <v/>
      </c>
      <c r="E74" s="109" t="n"/>
      <c r="F74" s="109" t="n"/>
      <c r="G74" s="108" t="n"/>
      <c r="H74" s="225" t="n"/>
      <c r="I74" s="225" t="n"/>
      <c r="J74" s="108" t="n"/>
      <c r="K74" s="108" t="n"/>
      <c r="L74" s="109" t="n"/>
      <c r="M74" s="109" t="n"/>
      <c r="N74" s="109" t="n"/>
      <c r="O74" s="225" t="n"/>
      <c r="P74" s="232">
        <f>IF(OR($E74="",$I74=""),"",IF(OR($J74="Tamamlandı",$J74="İptal"),"",$I74-TODAY()))</f>
        <v/>
      </c>
      <c r="Q74" s="113">
        <f>IF($E74="","",IF($D74="TANIMSIZ MÜŞTERİ","HATA",IF(OR($J74="Tamamlandı",$J74="İptal"),"KAPALI",IF(AND($C74="Görüşme",$N74=""),"SONRAKİ İŞLEM EKSİK",IF($I74="","TARİH EKSİK",IF($I74&lt;TODAY(),"GECİKMİŞ",IF($I74=TODAY(),"BUGÜN",IF($I74&lt;=TODAY()+7,"7 GÜN İÇİNDE","PLANLI"))))))))</f>
        <v/>
      </c>
      <c r="R74" s="6" t="n"/>
      <c r="S74" s="6" t="n"/>
    </row>
    <row r="75">
      <c r="A75" s="6" t="n"/>
      <c r="B75" s="113">
        <f>IF($E75="","","A"&amp;TEXT(ROW()-6,"00000"))</f>
        <v/>
      </c>
      <c r="C75" s="108" t="n"/>
      <c r="D75" s="113">
        <f>IF($E75="","",IFERROR(INDEX(MUSTERILER!$B$7:$B$106,MATCH($E75,MUSTERILER!$C$7:$C$106,0)),IFERROR(INDEX(MUSTERILER!$B$7:$B$106,MATCH($E75,MUSTERILER!$B$7:$B$106,0)),IFERROR(INDEX(MUSTERILER!$B$7:$B$106,MATCH($E75&amp;"*",MUSTERILER!$C$7:$C$106,0)),"TANIMSIZ MÜŞTERİ"))))</f>
        <v/>
      </c>
      <c r="E75" s="109" t="n"/>
      <c r="F75" s="109" t="n"/>
      <c r="G75" s="108" t="n"/>
      <c r="H75" s="225" t="n"/>
      <c r="I75" s="225" t="n"/>
      <c r="J75" s="108" t="n"/>
      <c r="K75" s="108" t="n"/>
      <c r="L75" s="109" t="n"/>
      <c r="M75" s="109" t="n"/>
      <c r="N75" s="109" t="n"/>
      <c r="O75" s="225" t="n"/>
      <c r="P75" s="232">
        <f>IF(OR($E75="",$I75=""),"",IF(OR($J75="Tamamlandı",$J75="İptal"),"",$I75-TODAY()))</f>
        <v/>
      </c>
      <c r="Q75" s="113">
        <f>IF($E75="","",IF($D75="TANIMSIZ MÜŞTERİ","HATA",IF(OR($J75="Tamamlandı",$J75="İptal"),"KAPALI",IF(AND($C75="Görüşme",$N75=""),"SONRAKİ İŞLEM EKSİK",IF($I75="","TARİH EKSİK",IF($I75&lt;TODAY(),"GECİKMİŞ",IF($I75=TODAY(),"BUGÜN",IF($I75&lt;=TODAY()+7,"7 GÜN İÇİNDE","PLANLI"))))))))</f>
        <v/>
      </c>
      <c r="R75" s="6" t="n"/>
      <c r="S75" s="6" t="n"/>
    </row>
    <row r="76">
      <c r="A76" s="6" t="n"/>
      <c r="B76" s="113">
        <f>IF($E76="","","A"&amp;TEXT(ROW()-6,"00000"))</f>
        <v/>
      </c>
      <c r="C76" s="108" t="n"/>
      <c r="D76" s="113">
        <f>IF($E76="","",IFERROR(INDEX(MUSTERILER!$B$7:$B$106,MATCH($E76,MUSTERILER!$C$7:$C$106,0)),IFERROR(INDEX(MUSTERILER!$B$7:$B$106,MATCH($E76,MUSTERILER!$B$7:$B$106,0)),IFERROR(INDEX(MUSTERILER!$B$7:$B$106,MATCH($E76&amp;"*",MUSTERILER!$C$7:$C$106,0)),"TANIMSIZ MÜŞTERİ"))))</f>
        <v/>
      </c>
      <c r="E76" s="109" t="n"/>
      <c r="F76" s="109" t="n"/>
      <c r="G76" s="108" t="n"/>
      <c r="H76" s="225" t="n"/>
      <c r="I76" s="225" t="n"/>
      <c r="J76" s="108" t="n"/>
      <c r="K76" s="108" t="n"/>
      <c r="L76" s="109" t="n"/>
      <c r="M76" s="109" t="n"/>
      <c r="N76" s="109" t="n"/>
      <c r="O76" s="225" t="n"/>
      <c r="P76" s="232">
        <f>IF(OR($E76="",$I76=""),"",IF(OR($J76="Tamamlandı",$J76="İptal"),"",$I76-TODAY()))</f>
        <v/>
      </c>
      <c r="Q76" s="113">
        <f>IF($E76="","",IF($D76="TANIMSIZ MÜŞTERİ","HATA",IF(OR($J76="Tamamlandı",$J76="İptal"),"KAPALI",IF(AND($C76="Görüşme",$N76=""),"SONRAKİ İŞLEM EKSİK",IF($I76="","TARİH EKSİK",IF($I76&lt;TODAY(),"GECİKMİŞ",IF($I76=TODAY(),"BUGÜN",IF($I76&lt;=TODAY()+7,"7 GÜN İÇİNDE","PLANLI"))))))))</f>
        <v/>
      </c>
      <c r="R76" s="6" t="n"/>
      <c r="S76" s="6" t="n"/>
    </row>
    <row r="77">
      <c r="A77" s="6" t="n"/>
      <c r="B77" s="113">
        <f>IF($E77="","","A"&amp;TEXT(ROW()-6,"00000"))</f>
        <v/>
      </c>
      <c r="C77" s="108" t="n"/>
      <c r="D77" s="113">
        <f>IF($E77="","",IFERROR(INDEX(MUSTERILER!$B$7:$B$106,MATCH($E77,MUSTERILER!$C$7:$C$106,0)),IFERROR(INDEX(MUSTERILER!$B$7:$B$106,MATCH($E77,MUSTERILER!$B$7:$B$106,0)),IFERROR(INDEX(MUSTERILER!$B$7:$B$106,MATCH($E77&amp;"*",MUSTERILER!$C$7:$C$106,0)),"TANIMSIZ MÜŞTERİ"))))</f>
        <v/>
      </c>
      <c r="E77" s="109" t="n"/>
      <c r="F77" s="109" t="n"/>
      <c r="G77" s="108" t="n"/>
      <c r="H77" s="225" t="n"/>
      <c r="I77" s="225" t="n"/>
      <c r="J77" s="108" t="n"/>
      <c r="K77" s="108" t="n"/>
      <c r="L77" s="109" t="n"/>
      <c r="M77" s="109" t="n"/>
      <c r="N77" s="109" t="n"/>
      <c r="O77" s="225" t="n"/>
      <c r="P77" s="232">
        <f>IF(OR($E77="",$I77=""),"",IF(OR($J77="Tamamlandı",$J77="İptal"),"",$I77-TODAY()))</f>
        <v/>
      </c>
      <c r="Q77" s="113">
        <f>IF($E77="","",IF($D77="TANIMSIZ MÜŞTERİ","HATA",IF(OR($J77="Tamamlandı",$J77="İptal"),"KAPALI",IF(AND($C77="Görüşme",$N77=""),"SONRAKİ İŞLEM EKSİK",IF($I77="","TARİH EKSİK",IF($I77&lt;TODAY(),"GECİKMİŞ",IF($I77=TODAY(),"BUGÜN",IF($I77&lt;=TODAY()+7,"7 GÜN İÇİNDE","PLANLI"))))))))</f>
        <v/>
      </c>
      <c r="R77" s="6" t="n"/>
      <c r="S77" s="6" t="n"/>
    </row>
    <row r="78">
      <c r="A78" s="6" t="n"/>
      <c r="B78" s="113">
        <f>IF($E78="","","A"&amp;TEXT(ROW()-6,"00000"))</f>
        <v/>
      </c>
      <c r="C78" s="108" t="n"/>
      <c r="D78" s="113">
        <f>IF($E78="","",IFERROR(INDEX(MUSTERILER!$B$7:$B$106,MATCH($E78,MUSTERILER!$C$7:$C$106,0)),IFERROR(INDEX(MUSTERILER!$B$7:$B$106,MATCH($E78,MUSTERILER!$B$7:$B$106,0)),IFERROR(INDEX(MUSTERILER!$B$7:$B$106,MATCH($E78&amp;"*",MUSTERILER!$C$7:$C$106,0)),"TANIMSIZ MÜŞTERİ"))))</f>
        <v/>
      </c>
      <c r="E78" s="109" t="n"/>
      <c r="F78" s="109" t="n"/>
      <c r="G78" s="108" t="n"/>
      <c r="H78" s="225" t="n"/>
      <c r="I78" s="225" t="n"/>
      <c r="J78" s="108" t="n"/>
      <c r="K78" s="108" t="n"/>
      <c r="L78" s="109" t="n"/>
      <c r="M78" s="109" t="n"/>
      <c r="N78" s="109" t="n"/>
      <c r="O78" s="225" t="n"/>
      <c r="P78" s="232">
        <f>IF(OR($E78="",$I78=""),"",IF(OR($J78="Tamamlandı",$J78="İptal"),"",$I78-TODAY()))</f>
        <v/>
      </c>
      <c r="Q78" s="113">
        <f>IF($E78="","",IF($D78="TANIMSIZ MÜŞTERİ","HATA",IF(OR($J78="Tamamlandı",$J78="İptal"),"KAPALI",IF(AND($C78="Görüşme",$N78=""),"SONRAKİ İŞLEM EKSİK",IF($I78="","TARİH EKSİK",IF($I78&lt;TODAY(),"GECİKMİŞ",IF($I78=TODAY(),"BUGÜN",IF($I78&lt;=TODAY()+7,"7 GÜN İÇİNDE","PLANLI"))))))))</f>
        <v/>
      </c>
      <c r="R78" s="6" t="n"/>
      <c r="S78" s="6" t="n"/>
    </row>
    <row r="79">
      <c r="A79" s="6" t="n"/>
      <c r="B79" s="113">
        <f>IF($E79="","","A"&amp;TEXT(ROW()-6,"00000"))</f>
        <v/>
      </c>
      <c r="C79" s="108" t="n"/>
      <c r="D79" s="113">
        <f>IF($E79="","",IFERROR(INDEX(MUSTERILER!$B$7:$B$106,MATCH($E79,MUSTERILER!$C$7:$C$106,0)),IFERROR(INDEX(MUSTERILER!$B$7:$B$106,MATCH($E79,MUSTERILER!$B$7:$B$106,0)),IFERROR(INDEX(MUSTERILER!$B$7:$B$106,MATCH($E79&amp;"*",MUSTERILER!$C$7:$C$106,0)),"TANIMSIZ MÜŞTERİ"))))</f>
        <v/>
      </c>
      <c r="E79" s="109" t="n"/>
      <c r="F79" s="109" t="n"/>
      <c r="G79" s="108" t="n"/>
      <c r="H79" s="225" t="n"/>
      <c r="I79" s="225" t="n"/>
      <c r="J79" s="108" t="n"/>
      <c r="K79" s="108" t="n"/>
      <c r="L79" s="109" t="n"/>
      <c r="M79" s="109" t="n"/>
      <c r="N79" s="109" t="n"/>
      <c r="O79" s="225" t="n"/>
      <c r="P79" s="232">
        <f>IF(OR($E79="",$I79=""),"",IF(OR($J79="Tamamlandı",$J79="İptal"),"",$I79-TODAY()))</f>
        <v/>
      </c>
      <c r="Q79" s="113">
        <f>IF($E79="","",IF($D79="TANIMSIZ MÜŞTERİ","HATA",IF(OR($J79="Tamamlandı",$J79="İptal"),"KAPALI",IF(AND($C79="Görüşme",$N79=""),"SONRAKİ İŞLEM EKSİK",IF($I79="","TARİH EKSİK",IF($I79&lt;TODAY(),"GECİKMİŞ",IF($I79=TODAY(),"BUGÜN",IF($I79&lt;=TODAY()+7,"7 GÜN İÇİNDE","PLANLI"))))))))</f>
        <v/>
      </c>
      <c r="R79" s="6" t="n"/>
      <c r="S79" s="6" t="n"/>
    </row>
    <row r="80">
      <c r="A80" s="6" t="n"/>
      <c r="B80" s="113">
        <f>IF($E80="","","A"&amp;TEXT(ROW()-6,"00000"))</f>
        <v/>
      </c>
      <c r="C80" s="108" t="n"/>
      <c r="D80" s="113">
        <f>IF($E80="","",IFERROR(INDEX(MUSTERILER!$B$7:$B$106,MATCH($E80,MUSTERILER!$C$7:$C$106,0)),IFERROR(INDEX(MUSTERILER!$B$7:$B$106,MATCH($E80,MUSTERILER!$B$7:$B$106,0)),IFERROR(INDEX(MUSTERILER!$B$7:$B$106,MATCH($E80&amp;"*",MUSTERILER!$C$7:$C$106,0)),"TANIMSIZ MÜŞTERİ"))))</f>
        <v/>
      </c>
      <c r="E80" s="109" t="n"/>
      <c r="F80" s="109" t="n"/>
      <c r="G80" s="108" t="n"/>
      <c r="H80" s="225" t="n"/>
      <c r="I80" s="225" t="n"/>
      <c r="J80" s="108" t="n"/>
      <c r="K80" s="108" t="n"/>
      <c r="L80" s="109" t="n"/>
      <c r="M80" s="109" t="n"/>
      <c r="N80" s="109" t="n"/>
      <c r="O80" s="225" t="n"/>
      <c r="P80" s="232">
        <f>IF(OR($E80="",$I80=""),"",IF(OR($J80="Tamamlandı",$J80="İptal"),"",$I80-TODAY()))</f>
        <v/>
      </c>
      <c r="Q80" s="113">
        <f>IF($E80="","",IF($D80="TANIMSIZ MÜŞTERİ","HATA",IF(OR($J80="Tamamlandı",$J80="İptal"),"KAPALI",IF(AND($C80="Görüşme",$N80=""),"SONRAKİ İŞLEM EKSİK",IF($I80="","TARİH EKSİK",IF($I80&lt;TODAY(),"GECİKMİŞ",IF($I80=TODAY(),"BUGÜN",IF($I80&lt;=TODAY()+7,"7 GÜN İÇİNDE","PLANLI"))))))))</f>
        <v/>
      </c>
      <c r="R80" s="6" t="n"/>
      <c r="S80" s="6" t="n"/>
    </row>
    <row r="81">
      <c r="A81" s="6" t="n"/>
      <c r="B81" s="113">
        <f>IF($E81="","","A"&amp;TEXT(ROW()-6,"00000"))</f>
        <v/>
      </c>
      <c r="C81" s="108" t="n"/>
      <c r="D81" s="113">
        <f>IF($E81="","",IFERROR(INDEX(MUSTERILER!$B$7:$B$106,MATCH($E81,MUSTERILER!$C$7:$C$106,0)),IFERROR(INDEX(MUSTERILER!$B$7:$B$106,MATCH($E81,MUSTERILER!$B$7:$B$106,0)),IFERROR(INDEX(MUSTERILER!$B$7:$B$106,MATCH($E81&amp;"*",MUSTERILER!$C$7:$C$106,0)),"TANIMSIZ MÜŞTERİ"))))</f>
        <v/>
      </c>
      <c r="E81" s="109" t="n"/>
      <c r="F81" s="109" t="n"/>
      <c r="G81" s="108" t="n"/>
      <c r="H81" s="225" t="n"/>
      <c r="I81" s="225" t="n"/>
      <c r="J81" s="108" t="n"/>
      <c r="K81" s="108" t="n"/>
      <c r="L81" s="109" t="n"/>
      <c r="M81" s="109" t="n"/>
      <c r="N81" s="109" t="n"/>
      <c r="O81" s="225" t="n"/>
      <c r="P81" s="232">
        <f>IF(OR($E81="",$I81=""),"",IF(OR($J81="Tamamlandı",$J81="İptal"),"",$I81-TODAY()))</f>
        <v/>
      </c>
      <c r="Q81" s="113">
        <f>IF($E81="","",IF($D81="TANIMSIZ MÜŞTERİ","HATA",IF(OR($J81="Tamamlandı",$J81="İptal"),"KAPALI",IF(AND($C81="Görüşme",$N81=""),"SONRAKİ İŞLEM EKSİK",IF($I81="","TARİH EKSİK",IF($I81&lt;TODAY(),"GECİKMİŞ",IF($I81=TODAY(),"BUGÜN",IF($I81&lt;=TODAY()+7,"7 GÜN İÇİNDE","PLANLI"))))))))</f>
        <v/>
      </c>
      <c r="R81" s="6" t="n"/>
      <c r="S81" s="6" t="n"/>
    </row>
    <row r="82">
      <c r="A82" s="6" t="n"/>
      <c r="B82" s="113">
        <f>IF($E82="","","A"&amp;TEXT(ROW()-6,"00000"))</f>
        <v/>
      </c>
      <c r="C82" s="108" t="n"/>
      <c r="D82" s="113">
        <f>IF($E82="","",IFERROR(INDEX(MUSTERILER!$B$7:$B$106,MATCH($E82,MUSTERILER!$C$7:$C$106,0)),IFERROR(INDEX(MUSTERILER!$B$7:$B$106,MATCH($E82,MUSTERILER!$B$7:$B$106,0)),IFERROR(INDEX(MUSTERILER!$B$7:$B$106,MATCH($E82&amp;"*",MUSTERILER!$C$7:$C$106,0)),"TANIMSIZ MÜŞTERİ"))))</f>
        <v/>
      </c>
      <c r="E82" s="109" t="n"/>
      <c r="F82" s="109" t="n"/>
      <c r="G82" s="108" t="n"/>
      <c r="H82" s="225" t="n"/>
      <c r="I82" s="225" t="n"/>
      <c r="J82" s="108" t="n"/>
      <c r="K82" s="108" t="n"/>
      <c r="L82" s="109" t="n"/>
      <c r="M82" s="109" t="n"/>
      <c r="N82" s="109" t="n"/>
      <c r="O82" s="225" t="n"/>
      <c r="P82" s="232">
        <f>IF(OR($E82="",$I82=""),"",IF(OR($J82="Tamamlandı",$J82="İptal"),"",$I82-TODAY()))</f>
        <v/>
      </c>
      <c r="Q82" s="113">
        <f>IF($E82="","",IF($D82="TANIMSIZ MÜŞTERİ","HATA",IF(OR($J82="Tamamlandı",$J82="İptal"),"KAPALI",IF(AND($C82="Görüşme",$N82=""),"SONRAKİ İŞLEM EKSİK",IF($I82="","TARİH EKSİK",IF($I82&lt;TODAY(),"GECİKMİŞ",IF($I82=TODAY(),"BUGÜN",IF($I82&lt;=TODAY()+7,"7 GÜN İÇİNDE","PLANLI"))))))))</f>
        <v/>
      </c>
      <c r="R82" s="6" t="n"/>
      <c r="S82" s="6" t="n"/>
    </row>
    <row r="83">
      <c r="A83" s="6" t="n"/>
      <c r="B83" s="113">
        <f>IF($E83="","","A"&amp;TEXT(ROW()-6,"00000"))</f>
        <v/>
      </c>
      <c r="C83" s="108" t="n"/>
      <c r="D83" s="113">
        <f>IF($E83="","",IFERROR(INDEX(MUSTERILER!$B$7:$B$106,MATCH($E83,MUSTERILER!$C$7:$C$106,0)),IFERROR(INDEX(MUSTERILER!$B$7:$B$106,MATCH($E83,MUSTERILER!$B$7:$B$106,0)),IFERROR(INDEX(MUSTERILER!$B$7:$B$106,MATCH($E83&amp;"*",MUSTERILER!$C$7:$C$106,0)),"TANIMSIZ MÜŞTERİ"))))</f>
        <v/>
      </c>
      <c r="E83" s="109" t="n"/>
      <c r="F83" s="109" t="n"/>
      <c r="G83" s="108" t="n"/>
      <c r="H83" s="225" t="n"/>
      <c r="I83" s="225" t="n"/>
      <c r="J83" s="108" t="n"/>
      <c r="K83" s="108" t="n"/>
      <c r="L83" s="109" t="n"/>
      <c r="M83" s="109" t="n"/>
      <c r="N83" s="109" t="n"/>
      <c r="O83" s="225" t="n"/>
      <c r="P83" s="232">
        <f>IF(OR($E83="",$I83=""),"",IF(OR($J83="Tamamlandı",$J83="İptal"),"",$I83-TODAY()))</f>
        <v/>
      </c>
      <c r="Q83" s="113">
        <f>IF($E83="","",IF($D83="TANIMSIZ MÜŞTERİ","HATA",IF(OR($J83="Tamamlandı",$J83="İptal"),"KAPALI",IF(AND($C83="Görüşme",$N83=""),"SONRAKİ İŞLEM EKSİK",IF($I83="","TARİH EKSİK",IF($I83&lt;TODAY(),"GECİKMİŞ",IF($I83=TODAY(),"BUGÜN",IF($I83&lt;=TODAY()+7,"7 GÜN İÇİNDE","PLANLI"))))))))</f>
        <v/>
      </c>
      <c r="R83" s="6" t="n"/>
      <c r="S83" s="6" t="n"/>
    </row>
    <row r="84">
      <c r="A84" s="6" t="n"/>
      <c r="B84" s="113">
        <f>IF($E84="","","A"&amp;TEXT(ROW()-6,"00000"))</f>
        <v/>
      </c>
      <c r="C84" s="108" t="n"/>
      <c r="D84" s="113">
        <f>IF($E84="","",IFERROR(INDEX(MUSTERILER!$B$7:$B$106,MATCH($E84,MUSTERILER!$C$7:$C$106,0)),IFERROR(INDEX(MUSTERILER!$B$7:$B$106,MATCH($E84,MUSTERILER!$B$7:$B$106,0)),IFERROR(INDEX(MUSTERILER!$B$7:$B$106,MATCH($E84&amp;"*",MUSTERILER!$C$7:$C$106,0)),"TANIMSIZ MÜŞTERİ"))))</f>
        <v/>
      </c>
      <c r="E84" s="109" t="n"/>
      <c r="F84" s="109" t="n"/>
      <c r="G84" s="108" t="n"/>
      <c r="H84" s="225" t="n"/>
      <c r="I84" s="225" t="n"/>
      <c r="J84" s="108" t="n"/>
      <c r="K84" s="108" t="n"/>
      <c r="L84" s="109" t="n"/>
      <c r="M84" s="109" t="n"/>
      <c r="N84" s="109" t="n"/>
      <c r="O84" s="225" t="n"/>
      <c r="P84" s="232">
        <f>IF(OR($E84="",$I84=""),"",IF(OR($J84="Tamamlandı",$J84="İptal"),"",$I84-TODAY()))</f>
        <v/>
      </c>
      <c r="Q84" s="113">
        <f>IF($E84="","",IF($D84="TANIMSIZ MÜŞTERİ","HATA",IF(OR($J84="Tamamlandı",$J84="İptal"),"KAPALI",IF(AND($C84="Görüşme",$N84=""),"SONRAKİ İŞLEM EKSİK",IF($I84="","TARİH EKSİK",IF($I84&lt;TODAY(),"GECİKMİŞ",IF($I84=TODAY(),"BUGÜN",IF($I84&lt;=TODAY()+7,"7 GÜN İÇİNDE","PLANLI"))))))))</f>
        <v/>
      </c>
      <c r="R84" s="6" t="n"/>
      <c r="S84" s="6" t="n"/>
    </row>
    <row r="85">
      <c r="A85" s="6" t="n"/>
      <c r="B85" s="113">
        <f>IF($E85="","","A"&amp;TEXT(ROW()-6,"00000"))</f>
        <v/>
      </c>
      <c r="C85" s="108" t="n"/>
      <c r="D85" s="113">
        <f>IF($E85="","",IFERROR(INDEX(MUSTERILER!$B$7:$B$106,MATCH($E85,MUSTERILER!$C$7:$C$106,0)),IFERROR(INDEX(MUSTERILER!$B$7:$B$106,MATCH($E85,MUSTERILER!$B$7:$B$106,0)),IFERROR(INDEX(MUSTERILER!$B$7:$B$106,MATCH($E85&amp;"*",MUSTERILER!$C$7:$C$106,0)),"TANIMSIZ MÜŞTERİ"))))</f>
        <v/>
      </c>
      <c r="E85" s="109" t="n"/>
      <c r="F85" s="109" t="n"/>
      <c r="G85" s="108" t="n"/>
      <c r="H85" s="225" t="n"/>
      <c r="I85" s="225" t="n"/>
      <c r="J85" s="108" t="n"/>
      <c r="K85" s="108" t="n"/>
      <c r="L85" s="109" t="n"/>
      <c r="M85" s="109" t="n"/>
      <c r="N85" s="109" t="n"/>
      <c r="O85" s="225" t="n"/>
      <c r="P85" s="232">
        <f>IF(OR($E85="",$I85=""),"",IF(OR($J85="Tamamlandı",$J85="İptal"),"",$I85-TODAY()))</f>
        <v/>
      </c>
      <c r="Q85" s="113">
        <f>IF($E85="","",IF($D85="TANIMSIZ MÜŞTERİ","HATA",IF(OR($J85="Tamamlandı",$J85="İptal"),"KAPALI",IF(AND($C85="Görüşme",$N85=""),"SONRAKİ İŞLEM EKSİK",IF($I85="","TARİH EKSİK",IF($I85&lt;TODAY(),"GECİKMİŞ",IF($I85=TODAY(),"BUGÜN",IF($I85&lt;=TODAY()+7,"7 GÜN İÇİNDE","PLANLI"))))))))</f>
        <v/>
      </c>
      <c r="R85" s="6" t="n"/>
      <c r="S85" s="6" t="n"/>
    </row>
    <row r="86">
      <c r="A86" s="6" t="n"/>
      <c r="B86" s="113">
        <f>IF($E86="","","A"&amp;TEXT(ROW()-6,"00000"))</f>
        <v/>
      </c>
      <c r="C86" s="108" t="n"/>
      <c r="D86" s="113">
        <f>IF($E86="","",IFERROR(INDEX(MUSTERILER!$B$7:$B$106,MATCH($E86,MUSTERILER!$C$7:$C$106,0)),IFERROR(INDEX(MUSTERILER!$B$7:$B$106,MATCH($E86,MUSTERILER!$B$7:$B$106,0)),IFERROR(INDEX(MUSTERILER!$B$7:$B$106,MATCH($E86&amp;"*",MUSTERILER!$C$7:$C$106,0)),"TANIMSIZ MÜŞTERİ"))))</f>
        <v/>
      </c>
      <c r="E86" s="109" t="n"/>
      <c r="F86" s="109" t="n"/>
      <c r="G86" s="108" t="n"/>
      <c r="H86" s="225" t="n"/>
      <c r="I86" s="225" t="n"/>
      <c r="J86" s="108" t="n"/>
      <c r="K86" s="108" t="n"/>
      <c r="L86" s="109" t="n"/>
      <c r="M86" s="109" t="n"/>
      <c r="N86" s="109" t="n"/>
      <c r="O86" s="225" t="n"/>
      <c r="P86" s="232">
        <f>IF(OR($E86="",$I86=""),"",IF(OR($J86="Tamamlandı",$J86="İptal"),"",$I86-TODAY()))</f>
        <v/>
      </c>
      <c r="Q86" s="113">
        <f>IF($E86="","",IF($D86="TANIMSIZ MÜŞTERİ","HATA",IF(OR($J86="Tamamlandı",$J86="İptal"),"KAPALI",IF(AND($C86="Görüşme",$N86=""),"SONRAKİ İŞLEM EKSİK",IF($I86="","TARİH EKSİK",IF($I86&lt;TODAY(),"GECİKMİŞ",IF($I86=TODAY(),"BUGÜN",IF($I86&lt;=TODAY()+7,"7 GÜN İÇİNDE","PLANLI"))))))))</f>
        <v/>
      </c>
      <c r="R86" s="6" t="n"/>
      <c r="S86" s="6" t="n"/>
    </row>
    <row r="87">
      <c r="A87" s="6" t="n"/>
      <c r="B87" s="113">
        <f>IF($E87="","","A"&amp;TEXT(ROW()-6,"00000"))</f>
        <v/>
      </c>
      <c r="C87" s="108" t="n"/>
      <c r="D87" s="113">
        <f>IF($E87="","",IFERROR(INDEX(MUSTERILER!$B$7:$B$106,MATCH($E87,MUSTERILER!$C$7:$C$106,0)),IFERROR(INDEX(MUSTERILER!$B$7:$B$106,MATCH($E87,MUSTERILER!$B$7:$B$106,0)),IFERROR(INDEX(MUSTERILER!$B$7:$B$106,MATCH($E87&amp;"*",MUSTERILER!$C$7:$C$106,0)),"TANIMSIZ MÜŞTERİ"))))</f>
        <v/>
      </c>
      <c r="E87" s="109" t="n"/>
      <c r="F87" s="109" t="n"/>
      <c r="G87" s="108" t="n"/>
      <c r="H87" s="225" t="n"/>
      <c r="I87" s="225" t="n"/>
      <c r="J87" s="108" t="n"/>
      <c r="K87" s="108" t="n"/>
      <c r="L87" s="109" t="n"/>
      <c r="M87" s="109" t="n"/>
      <c r="N87" s="109" t="n"/>
      <c r="O87" s="225" t="n"/>
      <c r="P87" s="232">
        <f>IF(OR($E87="",$I87=""),"",IF(OR($J87="Tamamlandı",$J87="İptal"),"",$I87-TODAY()))</f>
        <v/>
      </c>
      <c r="Q87" s="113">
        <f>IF($E87="","",IF($D87="TANIMSIZ MÜŞTERİ","HATA",IF(OR($J87="Tamamlandı",$J87="İptal"),"KAPALI",IF(AND($C87="Görüşme",$N87=""),"SONRAKİ İŞLEM EKSİK",IF($I87="","TARİH EKSİK",IF($I87&lt;TODAY(),"GECİKMİŞ",IF($I87=TODAY(),"BUGÜN",IF($I87&lt;=TODAY()+7,"7 GÜN İÇİNDE","PLANLI"))))))))</f>
        <v/>
      </c>
      <c r="R87" s="6" t="n"/>
      <c r="S87" s="6" t="n"/>
    </row>
    <row r="88">
      <c r="A88" s="6" t="n"/>
      <c r="B88" s="113">
        <f>IF($E88="","","A"&amp;TEXT(ROW()-6,"00000"))</f>
        <v/>
      </c>
      <c r="C88" s="108" t="n"/>
      <c r="D88" s="113">
        <f>IF($E88="","",IFERROR(INDEX(MUSTERILER!$B$7:$B$106,MATCH($E88,MUSTERILER!$C$7:$C$106,0)),IFERROR(INDEX(MUSTERILER!$B$7:$B$106,MATCH($E88,MUSTERILER!$B$7:$B$106,0)),IFERROR(INDEX(MUSTERILER!$B$7:$B$106,MATCH($E88&amp;"*",MUSTERILER!$C$7:$C$106,0)),"TANIMSIZ MÜŞTERİ"))))</f>
        <v/>
      </c>
      <c r="E88" s="109" t="n"/>
      <c r="F88" s="109" t="n"/>
      <c r="G88" s="108" t="n"/>
      <c r="H88" s="225" t="n"/>
      <c r="I88" s="225" t="n"/>
      <c r="J88" s="108" t="n"/>
      <c r="K88" s="108" t="n"/>
      <c r="L88" s="109" t="n"/>
      <c r="M88" s="109" t="n"/>
      <c r="N88" s="109" t="n"/>
      <c r="O88" s="225" t="n"/>
      <c r="P88" s="232">
        <f>IF(OR($E88="",$I88=""),"",IF(OR($J88="Tamamlandı",$J88="İptal"),"",$I88-TODAY()))</f>
        <v/>
      </c>
      <c r="Q88" s="113">
        <f>IF($E88="","",IF($D88="TANIMSIZ MÜŞTERİ","HATA",IF(OR($J88="Tamamlandı",$J88="İptal"),"KAPALI",IF(AND($C88="Görüşme",$N88=""),"SONRAKİ İŞLEM EKSİK",IF($I88="","TARİH EKSİK",IF($I88&lt;TODAY(),"GECİKMİŞ",IF($I88=TODAY(),"BUGÜN",IF($I88&lt;=TODAY()+7,"7 GÜN İÇİNDE","PLANLI"))))))))</f>
        <v/>
      </c>
      <c r="R88" s="6" t="n"/>
      <c r="S88" s="6" t="n"/>
    </row>
    <row r="89">
      <c r="A89" s="6" t="n"/>
      <c r="B89" s="113">
        <f>IF($E89="","","A"&amp;TEXT(ROW()-6,"00000"))</f>
        <v/>
      </c>
      <c r="C89" s="108" t="n"/>
      <c r="D89" s="113">
        <f>IF($E89="","",IFERROR(INDEX(MUSTERILER!$B$7:$B$106,MATCH($E89,MUSTERILER!$C$7:$C$106,0)),IFERROR(INDEX(MUSTERILER!$B$7:$B$106,MATCH($E89,MUSTERILER!$B$7:$B$106,0)),IFERROR(INDEX(MUSTERILER!$B$7:$B$106,MATCH($E89&amp;"*",MUSTERILER!$C$7:$C$106,0)),"TANIMSIZ MÜŞTERİ"))))</f>
        <v/>
      </c>
      <c r="E89" s="109" t="n"/>
      <c r="F89" s="109" t="n"/>
      <c r="G89" s="108" t="n"/>
      <c r="H89" s="225" t="n"/>
      <c r="I89" s="225" t="n"/>
      <c r="J89" s="108" t="n"/>
      <c r="K89" s="108" t="n"/>
      <c r="L89" s="109" t="n"/>
      <c r="M89" s="109" t="n"/>
      <c r="N89" s="109" t="n"/>
      <c r="O89" s="225" t="n"/>
      <c r="P89" s="232">
        <f>IF(OR($E89="",$I89=""),"",IF(OR($J89="Tamamlandı",$J89="İptal"),"",$I89-TODAY()))</f>
        <v/>
      </c>
      <c r="Q89" s="113">
        <f>IF($E89="","",IF($D89="TANIMSIZ MÜŞTERİ","HATA",IF(OR($J89="Tamamlandı",$J89="İptal"),"KAPALI",IF(AND($C89="Görüşme",$N89=""),"SONRAKİ İŞLEM EKSİK",IF($I89="","TARİH EKSİK",IF($I89&lt;TODAY(),"GECİKMİŞ",IF($I89=TODAY(),"BUGÜN",IF($I89&lt;=TODAY()+7,"7 GÜN İÇİNDE","PLANLI"))))))))</f>
        <v/>
      </c>
      <c r="R89" s="6" t="n"/>
      <c r="S89" s="6" t="n"/>
    </row>
    <row r="90">
      <c r="A90" s="6" t="n"/>
      <c r="B90" s="113">
        <f>IF($E90="","","A"&amp;TEXT(ROW()-6,"00000"))</f>
        <v/>
      </c>
      <c r="C90" s="108" t="n"/>
      <c r="D90" s="113">
        <f>IF($E90="","",IFERROR(INDEX(MUSTERILER!$B$7:$B$106,MATCH($E90,MUSTERILER!$C$7:$C$106,0)),IFERROR(INDEX(MUSTERILER!$B$7:$B$106,MATCH($E90,MUSTERILER!$B$7:$B$106,0)),IFERROR(INDEX(MUSTERILER!$B$7:$B$106,MATCH($E90&amp;"*",MUSTERILER!$C$7:$C$106,0)),"TANIMSIZ MÜŞTERİ"))))</f>
        <v/>
      </c>
      <c r="E90" s="109" t="n"/>
      <c r="F90" s="109" t="n"/>
      <c r="G90" s="108" t="n"/>
      <c r="H90" s="225" t="n"/>
      <c r="I90" s="225" t="n"/>
      <c r="J90" s="108" t="n"/>
      <c r="K90" s="108" t="n"/>
      <c r="L90" s="109" t="n"/>
      <c r="M90" s="109" t="n"/>
      <c r="N90" s="109" t="n"/>
      <c r="O90" s="225" t="n"/>
      <c r="P90" s="232">
        <f>IF(OR($E90="",$I90=""),"",IF(OR($J90="Tamamlandı",$J90="İptal"),"",$I90-TODAY()))</f>
        <v/>
      </c>
      <c r="Q90" s="113">
        <f>IF($E90="","",IF($D90="TANIMSIZ MÜŞTERİ","HATA",IF(OR($J90="Tamamlandı",$J90="İptal"),"KAPALI",IF(AND($C90="Görüşme",$N90=""),"SONRAKİ İŞLEM EKSİK",IF($I90="","TARİH EKSİK",IF($I90&lt;TODAY(),"GECİKMİŞ",IF($I90=TODAY(),"BUGÜN",IF($I90&lt;=TODAY()+7,"7 GÜN İÇİNDE","PLANLI"))))))))</f>
        <v/>
      </c>
      <c r="R90" s="6" t="n"/>
      <c r="S90" s="6" t="n"/>
    </row>
    <row r="91">
      <c r="A91" s="6" t="n"/>
      <c r="B91" s="113">
        <f>IF($E91="","","A"&amp;TEXT(ROW()-6,"00000"))</f>
        <v/>
      </c>
      <c r="C91" s="108" t="n"/>
      <c r="D91" s="113">
        <f>IF($E91="","",IFERROR(INDEX(MUSTERILER!$B$7:$B$106,MATCH($E91,MUSTERILER!$C$7:$C$106,0)),IFERROR(INDEX(MUSTERILER!$B$7:$B$106,MATCH($E91,MUSTERILER!$B$7:$B$106,0)),IFERROR(INDEX(MUSTERILER!$B$7:$B$106,MATCH($E91&amp;"*",MUSTERILER!$C$7:$C$106,0)),"TANIMSIZ MÜŞTERİ"))))</f>
        <v/>
      </c>
      <c r="E91" s="109" t="n"/>
      <c r="F91" s="109" t="n"/>
      <c r="G91" s="108" t="n"/>
      <c r="H91" s="225" t="n"/>
      <c r="I91" s="225" t="n"/>
      <c r="J91" s="108" t="n"/>
      <c r="K91" s="108" t="n"/>
      <c r="L91" s="109" t="n"/>
      <c r="M91" s="109" t="n"/>
      <c r="N91" s="109" t="n"/>
      <c r="O91" s="225" t="n"/>
      <c r="P91" s="232">
        <f>IF(OR($E91="",$I91=""),"",IF(OR($J91="Tamamlandı",$J91="İptal"),"",$I91-TODAY()))</f>
        <v/>
      </c>
      <c r="Q91" s="113">
        <f>IF($E91="","",IF($D91="TANIMSIZ MÜŞTERİ","HATA",IF(OR($J91="Tamamlandı",$J91="İptal"),"KAPALI",IF(AND($C91="Görüşme",$N91=""),"SONRAKİ İŞLEM EKSİK",IF($I91="","TARİH EKSİK",IF($I91&lt;TODAY(),"GECİKMİŞ",IF($I91=TODAY(),"BUGÜN",IF($I91&lt;=TODAY()+7,"7 GÜN İÇİNDE","PLANLI"))))))))</f>
        <v/>
      </c>
      <c r="R91" s="6" t="n"/>
      <c r="S91" s="6" t="n"/>
    </row>
    <row r="92">
      <c r="A92" s="6" t="n"/>
      <c r="B92" s="113">
        <f>IF($E92="","","A"&amp;TEXT(ROW()-6,"00000"))</f>
        <v/>
      </c>
      <c r="C92" s="108" t="n"/>
      <c r="D92" s="113">
        <f>IF($E92="","",IFERROR(INDEX(MUSTERILER!$B$7:$B$106,MATCH($E92,MUSTERILER!$C$7:$C$106,0)),IFERROR(INDEX(MUSTERILER!$B$7:$B$106,MATCH($E92,MUSTERILER!$B$7:$B$106,0)),IFERROR(INDEX(MUSTERILER!$B$7:$B$106,MATCH($E92&amp;"*",MUSTERILER!$C$7:$C$106,0)),"TANIMSIZ MÜŞTERİ"))))</f>
        <v/>
      </c>
      <c r="E92" s="109" t="n"/>
      <c r="F92" s="109" t="n"/>
      <c r="G92" s="108" t="n"/>
      <c r="H92" s="225" t="n"/>
      <c r="I92" s="225" t="n"/>
      <c r="J92" s="108" t="n"/>
      <c r="K92" s="108" t="n"/>
      <c r="L92" s="109" t="n"/>
      <c r="M92" s="109" t="n"/>
      <c r="N92" s="109" t="n"/>
      <c r="O92" s="225" t="n"/>
      <c r="P92" s="232">
        <f>IF(OR($E92="",$I92=""),"",IF(OR($J92="Tamamlandı",$J92="İptal"),"",$I92-TODAY()))</f>
        <v/>
      </c>
      <c r="Q92" s="113">
        <f>IF($E92="","",IF($D92="TANIMSIZ MÜŞTERİ","HATA",IF(OR($J92="Tamamlandı",$J92="İptal"),"KAPALI",IF(AND($C92="Görüşme",$N92=""),"SONRAKİ İŞLEM EKSİK",IF($I92="","TARİH EKSİK",IF($I92&lt;TODAY(),"GECİKMİŞ",IF($I92=TODAY(),"BUGÜN",IF($I92&lt;=TODAY()+7,"7 GÜN İÇİNDE","PLANLI"))))))))</f>
        <v/>
      </c>
      <c r="R92" s="6" t="n"/>
      <c r="S92" s="6" t="n"/>
    </row>
    <row r="93">
      <c r="A93" s="6" t="n"/>
      <c r="B93" s="113">
        <f>IF($E93="","","A"&amp;TEXT(ROW()-6,"00000"))</f>
        <v/>
      </c>
      <c r="C93" s="108" t="n"/>
      <c r="D93" s="113">
        <f>IF($E93="","",IFERROR(INDEX(MUSTERILER!$B$7:$B$106,MATCH($E93,MUSTERILER!$C$7:$C$106,0)),IFERROR(INDEX(MUSTERILER!$B$7:$B$106,MATCH($E93,MUSTERILER!$B$7:$B$106,0)),IFERROR(INDEX(MUSTERILER!$B$7:$B$106,MATCH($E93&amp;"*",MUSTERILER!$C$7:$C$106,0)),"TANIMSIZ MÜŞTERİ"))))</f>
        <v/>
      </c>
      <c r="E93" s="109" t="n"/>
      <c r="F93" s="109" t="n"/>
      <c r="G93" s="108" t="n"/>
      <c r="H93" s="225" t="n"/>
      <c r="I93" s="225" t="n"/>
      <c r="J93" s="108" t="n"/>
      <c r="K93" s="108" t="n"/>
      <c r="L93" s="109" t="n"/>
      <c r="M93" s="109" t="n"/>
      <c r="N93" s="109" t="n"/>
      <c r="O93" s="225" t="n"/>
      <c r="P93" s="232">
        <f>IF(OR($E93="",$I93=""),"",IF(OR($J93="Tamamlandı",$J93="İptal"),"",$I93-TODAY()))</f>
        <v/>
      </c>
      <c r="Q93" s="113">
        <f>IF($E93="","",IF($D93="TANIMSIZ MÜŞTERİ","HATA",IF(OR($J93="Tamamlandı",$J93="İptal"),"KAPALI",IF(AND($C93="Görüşme",$N93=""),"SONRAKİ İŞLEM EKSİK",IF($I93="","TARİH EKSİK",IF($I93&lt;TODAY(),"GECİKMİŞ",IF($I93=TODAY(),"BUGÜN",IF($I93&lt;=TODAY()+7,"7 GÜN İÇİNDE","PLANLI"))))))))</f>
        <v/>
      </c>
      <c r="R93" s="6" t="n"/>
      <c r="S93" s="6" t="n"/>
    </row>
    <row r="94">
      <c r="A94" s="6" t="n"/>
      <c r="B94" s="113">
        <f>IF($E94="","","A"&amp;TEXT(ROW()-6,"00000"))</f>
        <v/>
      </c>
      <c r="C94" s="108" t="n"/>
      <c r="D94" s="113">
        <f>IF($E94="","",IFERROR(INDEX(MUSTERILER!$B$7:$B$106,MATCH($E94,MUSTERILER!$C$7:$C$106,0)),IFERROR(INDEX(MUSTERILER!$B$7:$B$106,MATCH($E94,MUSTERILER!$B$7:$B$106,0)),IFERROR(INDEX(MUSTERILER!$B$7:$B$106,MATCH($E94&amp;"*",MUSTERILER!$C$7:$C$106,0)),"TANIMSIZ MÜŞTERİ"))))</f>
        <v/>
      </c>
      <c r="E94" s="109" t="n"/>
      <c r="F94" s="109" t="n"/>
      <c r="G94" s="108" t="n"/>
      <c r="H94" s="225" t="n"/>
      <c r="I94" s="225" t="n"/>
      <c r="J94" s="108" t="n"/>
      <c r="K94" s="108" t="n"/>
      <c r="L94" s="109" t="n"/>
      <c r="M94" s="109" t="n"/>
      <c r="N94" s="109" t="n"/>
      <c r="O94" s="225" t="n"/>
      <c r="P94" s="232">
        <f>IF(OR($E94="",$I94=""),"",IF(OR($J94="Tamamlandı",$J94="İptal"),"",$I94-TODAY()))</f>
        <v/>
      </c>
      <c r="Q94" s="113">
        <f>IF($E94="","",IF($D94="TANIMSIZ MÜŞTERİ","HATA",IF(OR($J94="Tamamlandı",$J94="İptal"),"KAPALI",IF(AND($C94="Görüşme",$N94=""),"SONRAKİ İŞLEM EKSİK",IF($I94="","TARİH EKSİK",IF($I94&lt;TODAY(),"GECİKMİŞ",IF($I94=TODAY(),"BUGÜN",IF($I94&lt;=TODAY()+7,"7 GÜN İÇİNDE","PLANLI"))))))))</f>
        <v/>
      </c>
      <c r="R94" s="6" t="n"/>
      <c r="S94" s="6" t="n"/>
    </row>
    <row r="95">
      <c r="A95" s="6" t="n"/>
      <c r="B95" s="113">
        <f>IF($E95="","","A"&amp;TEXT(ROW()-6,"00000"))</f>
        <v/>
      </c>
      <c r="C95" s="108" t="n"/>
      <c r="D95" s="113">
        <f>IF($E95="","",IFERROR(INDEX(MUSTERILER!$B$7:$B$106,MATCH($E95,MUSTERILER!$C$7:$C$106,0)),IFERROR(INDEX(MUSTERILER!$B$7:$B$106,MATCH($E95,MUSTERILER!$B$7:$B$106,0)),IFERROR(INDEX(MUSTERILER!$B$7:$B$106,MATCH($E95&amp;"*",MUSTERILER!$C$7:$C$106,0)),"TANIMSIZ MÜŞTERİ"))))</f>
        <v/>
      </c>
      <c r="E95" s="109" t="n"/>
      <c r="F95" s="109" t="n"/>
      <c r="G95" s="108" t="n"/>
      <c r="H95" s="225" t="n"/>
      <c r="I95" s="225" t="n"/>
      <c r="J95" s="108" t="n"/>
      <c r="K95" s="108" t="n"/>
      <c r="L95" s="109" t="n"/>
      <c r="M95" s="109" t="n"/>
      <c r="N95" s="109" t="n"/>
      <c r="O95" s="225" t="n"/>
      <c r="P95" s="232">
        <f>IF(OR($E95="",$I95=""),"",IF(OR($J95="Tamamlandı",$J95="İptal"),"",$I95-TODAY()))</f>
        <v/>
      </c>
      <c r="Q95" s="113">
        <f>IF($E95="","",IF($D95="TANIMSIZ MÜŞTERİ","HATA",IF(OR($J95="Tamamlandı",$J95="İptal"),"KAPALI",IF(AND($C95="Görüşme",$N95=""),"SONRAKİ İŞLEM EKSİK",IF($I95="","TARİH EKSİK",IF($I95&lt;TODAY(),"GECİKMİŞ",IF($I95=TODAY(),"BUGÜN",IF($I95&lt;=TODAY()+7,"7 GÜN İÇİNDE","PLANLI"))))))))</f>
        <v/>
      </c>
      <c r="R95" s="6" t="n"/>
      <c r="S95" s="6" t="n"/>
    </row>
    <row r="96">
      <c r="A96" s="6" t="n"/>
      <c r="B96" s="113">
        <f>IF($E96="","","A"&amp;TEXT(ROW()-6,"00000"))</f>
        <v/>
      </c>
      <c r="C96" s="108" t="n"/>
      <c r="D96" s="113">
        <f>IF($E96="","",IFERROR(INDEX(MUSTERILER!$B$7:$B$106,MATCH($E96,MUSTERILER!$C$7:$C$106,0)),IFERROR(INDEX(MUSTERILER!$B$7:$B$106,MATCH($E96,MUSTERILER!$B$7:$B$106,0)),IFERROR(INDEX(MUSTERILER!$B$7:$B$106,MATCH($E96&amp;"*",MUSTERILER!$C$7:$C$106,0)),"TANIMSIZ MÜŞTERİ"))))</f>
        <v/>
      </c>
      <c r="E96" s="109" t="n"/>
      <c r="F96" s="109" t="n"/>
      <c r="G96" s="108" t="n"/>
      <c r="H96" s="225" t="n"/>
      <c r="I96" s="225" t="n"/>
      <c r="J96" s="108" t="n"/>
      <c r="K96" s="108" t="n"/>
      <c r="L96" s="109" t="n"/>
      <c r="M96" s="109" t="n"/>
      <c r="N96" s="109" t="n"/>
      <c r="O96" s="225" t="n"/>
      <c r="P96" s="232">
        <f>IF(OR($E96="",$I96=""),"",IF(OR($J96="Tamamlandı",$J96="İptal"),"",$I96-TODAY()))</f>
        <v/>
      </c>
      <c r="Q96" s="113">
        <f>IF($E96="","",IF($D96="TANIMSIZ MÜŞTERİ","HATA",IF(OR($J96="Tamamlandı",$J96="İptal"),"KAPALI",IF(AND($C96="Görüşme",$N96=""),"SONRAKİ İŞLEM EKSİK",IF($I96="","TARİH EKSİK",IF($I96&lt;TODAY(),"GECİKMİŞ",IF($I96=TODAY(),"BUGÜN",IF($I96&lt;=TODAY()+7,"7 GÜN İÇİNDE","PLANLI"))))))))</f>
        <v/>
      </c>
      <c r="R96" s="6" t="n"/>
      <c r="S96" s="6" t="n"/>
    </row>
    <row r="97">
      <c r="A97" s="6" t="n"/>
      <c r="B97" s="113">
        <f>IF($E97="","","A"&amp;TEXT(ROW()-6,"00000"))</f>
        <v/>
      </c>
      <c r="C97" s="108" t="n"/>
      <c r="D97" s="113">
        <f>IF($E97="","",IFERROR(INDEX(MUSTERILER!$B$7:$B$106,MATCH($E97,MUSTERILER!$C$7:$C$106,0)),IFERROR(INDEX(MUSTERILER!$B$7:$B$106,MATCH($E97,MUSTERILER!$B$7:$B$106,0)),IFERROR(INDEX(MUSTERILER!$B$7:$B$106,MATCH($E97&amp;"*",MUSTERILER!$C$7:$C$106,0)),"TANIMSIZ MÜŞTERİ"))))</f>
        <v/>
      </c>
      <c r="E97" s="109" t="n"/>
      <c r="F97" s="109" t="n"/>
      <c r="G97" s="108" t="n"/>
      <c r="H97" s="225" t="n"/>
      <c r="I97" s="225" t="n"/>
      <c r="J97" s="108" t="n"/>
      <c r="K97" s="108" t="n"/>
      <c r="L97" s="109" t="n"/>
      <c r="M97" s="109" t="n"/>
      <c r="N97" s="109" t="n"/>
      <c r="O97" s="225" t="n"/>
      <c r="P97" s="232">
        <f>IF(OR($E97="",$I97=""),"",IF(OR($J97="Tamamlandı",$J97="İptal"),"",$I97-TODAY()))</f>
        <v/>
      </c>
      <c r="Q97" s="113">
        <f>IF($E97="","",IF($D97="TANIMSIZ MÜŞTERİ","HATA",IF(OR($J97="Tamamlandı",$J97="İptal"),"KAPALI",IF(AND($C97="Görüşme",$N97=""),"SONRAKİ İŞLEM EKSİK",IF($I97="","TARİH EKSİK",IF($I97&lt;TODAY(),"GECİKMİŞ",IF($I97=TODAY(),"BUGÜN",IF($I97&lt;=TODAY()+7,"7 GÜN İÇİNDE","PLANLI"))))))))</f>
        <v/>
      </c>
      <c r="R97" s="6" t="n"/>
      <c r="S97" s="6" t="n"/>
    </row>
    <row r="98">
      <c r="A98" s="6" t="n"/>
      <c r="B98" s="113">
        <f>IF($E98="","","A"&amp;TEXT(ROW()-6,"00000"))</f>
        <v/>
      </c>
      <c r="C98" s="108" t="n"/>
      <c r="D98" s="113">
        <f>IF($E98="","",IFERROR(INDEX(MUSTERILER!$B$7:$B$106,MATCH($E98,MUSTERILER!$C$7:$C$106,0)),IFERROR(INDEX(MUSTERILER!$B$7:$B$106,MATCH($E98,MUSTERILER!$B$7:$B$106,0)),IFERROR(INDEX(MUSTERILER!$B$7:$B$106,MATCH($E98&amp;"*",MUSTERILER!$C$7:$C$106,0)),"TANIMSIZ MÜŞTERİ"))))</f>
        <v/>
      </c>
      <c r="E98" s="109" t="n"/>
      <c r="F98" s="109" t="n"/>
      <c r="G98" s="108" t="n"/>
      <c r="H98" s="225" t="n"/>
      <c r="I98" s="225" t="n"/>
      <c r="J98" s="108" t="n"/>
      <c r="K98" s="108" t="n"/>
      <c r="L98" s="109" t="n"/>
      <c r="M98" s="109" t="n"/>
      <c r="N98" s="109" t="n"/>
      <c r="O98" s="225" t="n"/>
      <c r="P98" s="232">
        <f>IF(OR($E98="",$I98=""),"",IF(OR($J98="Tamamlandı",$J98="İptal"),"",$I98-TODAY()))</f>
        <v/>
      </c>
      <c r="Q98" s="113">
        <f>IF($E98="","",IF($D98="TANIMSIZ MÜŞTERİ","HATA",IF(OR($J98="Tamamlandı",$J98="İptal"),"KAPALI",IF(AND($C98="Görüşme",$N98=""),"SONRAKİ İŞLEM EKSİK",IF($I98="","TARİH EKSİK",IF($I98&lt;TODAY(),"GECİKMİŞ",IF($I98=TODAY(),"BUGÜN",IF($I98&lt;=TODAY()+7,"7 GÜN İÇİNDE","PLANLI"))))))))</f>
        <v/>
      </c>
      <c r="R98" s="6" t="n"/>
      <c r="S98" s="6" t="n"/>
    </row>
    <row r="99">
      <c r="A99" s="6" t="n"/>
      <c r="B99" s="113">
        <f>IF($E99="","","A"&amp;TEXT(ROW()-6,"00000"))</f>
        <v/>
      </c>
      <c r="C99" s="108" t="n"/>
      <c r="D99" s="113">
        <f>IF($E99="","",IFERROR(INDEX(MUSTERILER!$B$7:$B$106,MATCH($E99,MUSTERILER!$C$7:$C$106,0)),IFERROR(INDEX(MUSTERILER!$B$7:$B$106,MATCH($E99,MUSTERILER!$B$7:$B$106,0)),IFERROR(INDEX(MUSTERILER!$B$7:$B$106,MATCH($E99&amp;"*",MUSTERILER!$C$7:$C$106,0)),"TANIMSIZ MÜŞTERİ"))))</f>
        <v/>
      </c>
      <c r="E99" s="109" t="n"/>
      <c r="F99" s="109" t="n"/>
      <c r="G99" s="108" t="n"/>
      <c r="H99" s="225" t="n"/>
      <c r="I99" s="225" t="n"/>
      <c r="J99" s="108" t="n"/>
      <c r="K99" s="108" t="n"/>
      <c r="L99" s="109" t="n"/>
      <c r="M99" s="109" t="n"/>
      <c r="N99" s="109" t="n"/>
      <c r="O99" s="225" t="n"/>
      <c r="P99" s="232">
        <f>IF(OR($E99="",$I99=""),"",IF(OR($J99="Tamamlandı",$J99="İptal"),"",$I99-TODAY()))</f>
        <v/>
      </c>
      <c r="Q99" s="113">
        <f>IF($E99="","",IF($D99="TANIMSIZ MÜŞTERİ","HATA",IF(OR($J99="Tamamlandı",$J99="İptal"),"KAPALI",IF(AND($C99="Görüşme",$N99=""),"SONRAKİ İŞLEM EKSİK",IF($I99="","TARİH EKSİK",IF($I99&lt;TODAY(),"GECİKMİŞ",IF($I99=TODAY(),"BUGÜN",IF($I99&lt;=TODAY()+7,"7 GÜN İÇİNDE","PLANLI"))))))))</f>
        <v/>
      </c>
      <c r="R99" s="6" t="n"/>
      <c r="S99" s="6" t="n"/>
    </row>
    <row r="100">
      <c r="A100" s="6" t="n"/>
      <c r="B100" s="113">
        <f>IF($E100="","","A"&amp;TEXT(ROW()-6,"00000"))</f>
        <v/>
      </c>
      <c r="C100" s="108" t="n"/>
      <c r="D100" s="113">
        <f>IF($E100="","",IFERROR(INDEX(MUSTERILER!$B$7:$B$106,MATCH($E100,MUSTERILER!$C$7:$C$106,0)),IFERROR(INDEX(MUSTERILER!$B$7:$B$106,MATCH($E100,MUSTERILER!$B$7:$B$106,0)),IFERROR(INDEX(MUSTERILER!$B$7:$B$106,MATCH($E100&amp;"*",MUSTERILER!$C$7:$C$106,0)),"TANIMSIZ MÜŞTERİ"))))</f>
        <v/>
      </c>
      <c r="E100" s="109" t="n"/>
      <c r="F100" s="109" t="n"/>
      <c r="G100" s="108" t="n"/>
      <c r="H100" s="225" t="n"/>
      <c r="I100" s="225" t="n"/>
      <c r="J100" s="108" t="n"/>
      <c r="K100" s="108" t="n"/>
      <c r="L100" s="109" t="n"/>
      <c r="M100" s="109" t="n"/>
      <c r="N100" s="109" t="n"/>
      <c r="O100" s="225" t="n"/>
      <c r="P100" s="232">
        <f>IF(OR($E100="",$I100=""),"",IF(OR($J100="Tamamlandı",$J100="İptal"),"",$I100-TODAY()))</f>
        <v/>
      </c>
      <c r="Q100" s="113">
        <f>IF($E100="","",IF($D100="TANIMSIZ MÜŞTERİ","HATA",IF(OR($J100="Tamamlandı",$J100="İptal"),"KAPALI",IF(AND($C100="Görüşme",$N100=""),"SONRAKİ İŞLEM EKSİK",IF($I100="","TARİH EKSİK",IF($I100&lt;TODAY(),"GECİKMİŞ",IF($I100=TODAY(),"BUGÜN",IF($I100&lt;=TODAY()+7,"7 GÜN İÇİNDE","PLANLI"))))))))</f>
        <v/>
      </c>
      <c r="R100" s="6" t="n"/>
      <c r="S100" s="6" t="n"/>
    </row>
    <row r="101">
      <c r="A101" s="6" t="n"/>
      <c r="B101" s="113">
        <f>IF($E101="","","A"&amp;TEXT(ROW()-6,"00000"))</f>
        <v/>
      </c>
      <c r="C101" s="108" t="n"/>
      <c r="D101" s="113">
        <f>IF($E101="","",IFERROR(INDEX(MUSTERILER!$B$7:$B$106,MATCH($E101,MUSTERILER!$C$7:$C$106,0)),IFERROR(INDEX(MUSTERILER!$B$7:$B$106,MATCH($E101,MUSTERILER!$B$7:$B$106,0)),IFERROR(INDEX(MUSTERILER!$B$7:$B$106,MATCH($E101&amp;"*",MUSTERILER!$C$7:$C$106,0)),"TANIMSIZ MÜŞTERİ"))))</f>
        <v/>
      </c>
      <c r="E101" s="109" t="n"/>
      <c r="F101" s="109" t="n"/>
      <c r="G101" s="108" t="n"/>
      <c r="H101" s="225" t="n"/>
      <c r="I101" s="225" t="n"/>
      <c r="J101" s="108" t="n"/>
      <c r="K101" s="108" t="n"/>
      <c r="L101" s="109" t="n"/>
      <c r="M101" s="109" t="n"/>
      <c r="N101" s="109" t="n"/>
      <c r="O101" s="225" t="n"/>
      <c r="P101" s="232">
        <f>IF(OR($E101="",$I101=""),"",IF(OR($J101="Tamamlandı",$J101="İptal"),"",$I101-TODAY()))</f>
        <v/>
      </c>
      <c r="Q101" s="113">
        <f>IF($E101="","",IF($D101="TANIMSIZ MÜŞTERİ","HATA",IF(OR($J101="Tamamlandı",$J101="İptal"),"KAPALI",IF(AND($C101="Görüşme",$N101=""),"SONRAKİ İŞLEM EKSİK",IF($I101="","TARİH EKSİK",IF($I101&lt;TODAY(),"GECİKMİŞ",IF($I101=TODAY(),"BUGÜN",IF($I101&lt;=TODAY()+7,"7 GÜN İÇİNDE","PLANLI"))))))))</f>
        <v/>
      </c>
      <c r="R101" s="6" t="n"/>
      <c r="S101" s="6" t="n"/>
    </row>
    <row r="102">
      <c r="A102" s="6" t="n"/>
      <c r="B102" s="113">
        <f>IF($E102="","","A"&amp;TEXT(ROW()-6,"00000"))</f>
        <v/>
      </c>
      <c r="C102" s="108" t="n"/>
      <c r="D102" s="113">
        <f>IF($E102="","",IFERROR(INDEX(MUSTERILER!$B$7:$B$106,MATCH($E102,MUSTERILER!$C$7:$C$106,0)),IFERROR(INDEX(MUSTERILER!$B$7:$B$106,MATCH($E102,MUSTERILER!$B$7:$B$106,0)),IFERROR(INDEX(MUSTERILER!$B$7:$B$106,MATCH($E102&amp;"*",MUSTERILER!$C$7:$C$106,0)),"TANIMSIZ MÜŞTERİ"))))</f>
        <v/>
      </c>
      <c r="E102" s="109" t="n"/>
      <c r="F102" s="109" t="n"/>
      <c r="G102" s="108" t="n"/>
      <c r="H102" s="225" t="n"/>
      <c r="I102" s="225" t="n"/>
      <c r="J102" s="108" t="n"/>
      <c r="K102" s="108" t="n"/>
      <c r="L102" s="109" t="n"/>
      <c r="M102" s="109" t="n"/>
      <c r="N102" s="109" t="n"/>
      <c r="O102" s="225" t="n"/>
      <c r="P102" s="232">
        <f>IF(OR($E102="",$I102=""),"",IF(OR($J102="Tamamlandı",$J102="İptal"),"",$I102-TODAY()))</f>
        <v/>
      </c>
      <c r="Q102" s="113">
        <f>IF($E102="","",IF($D102="TANIMSIZ MÜŞTERİ","HATA",IF(OR($J102="Tamamlandı",$J102="İptal"),"KAPALI",IF(AND($C102="Görüşme",$N102=""),"SONRAKİ İŞLEM EKSİK",IF($I102="","TARİH EKSİK",IF($I102&lt;TODAY(),"GECİKMİŞ",IF($I102=TODAY(),"BUGÜN",IF($I102&lt;=TODAY()+7,"7 GÜN İÇİNDE","PLANLI"))))))))</f>
        <v/>
      </c>
      <c r="R102" s="6" t="n"/>
      <c r="S102" s="6" t="n"/>
    </row>
    <row r="103">
      <c r="A103" s="6" t="n"/>
      <c r="B103" s="113">
        <f>IF($E103="","","A"&amp;TEXT(ROW()-6,"00000"))</f>
        <v/>
      </c>
      <c r="C103" s="108" t="n"/>
      <c r="D103" s="113">
        <f>IF($E103="","",IFERROR(INDEX(MUSTERILER!$B$7:$B$106,MATCH($E103,MUSTERILER!$C$7:$C$106,0)),IFERROR(INDEX(MUSTERILER!$B$7:$B$106,MATCH($E103,MUSTERILER!$B$7:$B$106,0)),IFERROR(INDEX(MUSTERILER!$B$7:$B$106,MATCH($E103&amp;"*",MUSTERILER!$C$7:$C$106,0)),"TANIMSIZ MÜŞTERİ"))))</f>
        <v/>
      </c>
      <c r="E103" s="109" t="n"/>
      <c r="F103" s="109" t="n"/>
      <c r="G103" s="108" t="n"/>
      <c r="H103" s="225" t="n"/>
      <c r="I103" s="225" t="n"/>
      <c r="J103" s="108" t="n"/>
      <c r="K103" s="108" t="n"/>
      <c r="L103" s="109" t="n"/>
      <c r="M103" s="109" t="n"/>
      <c r="N103" s="109" t="n"/>
      <c r="O103" s="225" t="n"/>
      <c r="P103" s="232">
        <f>IF(OR($E103="",$I103=""),"",IF(OR($J103="Tamamlandı",$J103="İptal"),"",$I103-TODAY()))</f>
        <v/>
      </c>
      <c r="Q103" s="113">
        <f>IF($E103="","",IF($D103="TANIMSIZ MÜŞTERİ","HATA",IF(OR($J103="Tamamlandı",$J103="İptal"),"KAPALI",IF(AND($C103="Görüşme",$N103=""),"SONRAKİ İŞLEM EKSİK",IF($I103="","TARİH EKSİK",IF($I103&lt;TODAY(),"GECİKMİŞ",IF($I103=TODAY(),"BUGÜN",IF($I103&lt;=TODAY()+7,"7 GÜN İÇİNDE","PLANLI"))))))))</f>
        <v/>
      </c>
      <c r="R103" s="6" t="n"/>
      <c r="S103" s="6" t="n"/>
    </row>
    <row r="104">
      <c r="A104" s="6" t="n"/>
      <c r="B104" s="113">
        <f>IF($E104="","","A"&amp;TEXT(ROW()-6,"00000"))</f>
        <v/>
      </c>
      <c r="C104" s="108" t="n"/>
      <c r="D104" s="113">
        <f>IF($E104="","",IFERROR(INDEX(MUSTERILER!$B$7:$B$106,MATCH($E104,MUSTERILER!$C$7:$C$106,0)),IFERROR(INDEX(MUSTERILER!$B$7:$B$106,MATCH($E104,MUSTERILER!$B$7:$B$106,0)),IFERROR(INDEX(MUSTERILER!$B$7:$B$106,MATCH($E104&amp;"*",MUSTERILER!$C$7:$C$106,0)),"TANIMSIZ MÜŞTERİ"))))</f>
        <v/>
      </c>
      <c r="E104" s="109" t="n"/>
      <c r="F104" s="109" t="n"/>
      <c r="G104" s="108" t="n"/>
      <c r="H104" s="225" t="n"/>
      <c r="I104" s="225" t="n"/>
      <c r="J104" s="108" t="n"/>
      <c r="K104" s="108" t="n"/>
      <c r="L104" s="109" t="n"/>
      <c r="M104" s="109" t="n"/>
      <c r="N104" s="109" t="n"/>
      <c r="O104" s="225" t="n"/>
      <c r="P104" s="232">
        <f>IF(OR($E104="",$I104=""),"",IF(OR($J104="Tamamlandı",$J104="İptal"),"",$I104-TODAY()))</f>
        <v/>
      </c>
      <c r="Q104" s="113">
        <f>IF($E104="","",IF($D104="TANIMSIZ MÜŞTERİ","HATA",IF(OR($J104="Tamamlandı",$J104="İptal"),"KAPALI",IF(AND($C104="Görüşme",$N104=""),"SONRAKİ İŞLEM EKSİK",IF($I104="","TARİH EKSİK",IF($I104&lt;TODAY(),"GECİKMİŞ",IF($I104=TODAY(),"BUGÜN",IF($I104&lt;=TODAY()+7,"7 GÜN İÇİNDE","PLANLI"))))))))</f>
        <v/>
      </c>
      <c r="R104" s="6" t="n"/>
      <c r="S104" s="6" t="n"/>
    </row>
    <row r="105">
      <c r="A105" s="6" t="n"/>
      <c r="B105" s="113">
        <f>IF($E105="","","A"&amp;TEXT(ROW()-6,"00000"))</f>
        <v/>
      </c>
      <c r="C105" s="108" t="n"/>
      <c r="D105" s="113">
        <f>IF($E105="","",IFERROR(INDEX(MUSTERILER!$B$7:$B$106,MATCH($E105,MUSTERILER!$C$7:$C$106,0)),IFERROR(INDEX(MUSTERILER!$B$7:$B$106,MATCH($E105,MUSTERILER!$B$7:$B$106,0)),IFERROR(INDEX(MUSTERILER!$B$7:$B$106,MATCH($E105&amp;"*",MUSTERILER!$C$7:$C$106,0)),"TANIMSIZ MÜŞTERİ"))))</f>
        <v/>
      </c>
      <c r="E105" s="109" t="n"/>
      <c r="F105" s="109" t="n"/>
      <c r="G105" s="108" t="n"/>
      <c r="H105" s="225" t="n"/>
      <c r="I105" s="225" t="n"/>
      <c r="J105" s="108" t="n"/>
      <c r="K105" s="108" t="n"/>
      <c r="L105" s="109" t="n"/>
      <c r="M105" s="109" t="n"/>
      <c r="N105" s="109" t="n"/>
      <c r="O105" s="225" t="n"/>
      <c r="P105" s="232">
        <f>IF(OR($E105="",$I105=""),"",IF(OR($J105="Tamamlandı",$J105="İptal"),"",$I105-TODAY()))</f>
        <v/>
      </c>
      <c r="Q105" s="113">
        <f>IF($E105="","",IF($D105="TANIMSIZ MÜŞTERİ","HATA",IF(OR($J105="Tamamlandı",$J105="İptal"),"KAPALI",IF(AND($C105="Görüşme",$N105=""),"SONRAKİ İŞLEM EKSİK",IF($I105="","TARİH EKSİK",IF($I105&lt;TODAY(),"GECİKMİŞ",IF($I105=TODAY(),"BUGÜN",IF($I105&lt;=TODAY()+7,"7 GÜN İÇİNDE","PLANLI"))))))))</f>
        <v/>
      </c>
      <c r="R105" s="6" t="n"/>
      <c r="S105" s="6" t="n"/>
    </row>
    <row r="106">
      <c r="A106" s="6" t="n"/>
      <c r="B106" s="113">
        <f>IF($E106="","","A"&amp;TEXT(ROW()-6,"00000"))</f>
        <v/>
      </c>
      <c r="C106" s="108" t="n"/>
      <c r="D106" s="113">
        <f>IF($E106="","",IFERROR(INDEX(MUSTERILER!$B$7:$B$106,MATCH($E106,MUSTERILER!$C$7:$C$106,0)),IFERROR(INDEX(MUSTERILER!$B$7:$B$106,MATCH($E106,MUSTERILER!$B$7:$B$106,0)),IFERROR(INDEX(MUSTERILER!$B$7:$B$106,MATCH($E106&amp;"*",MUSTERILER!$C$7:$C$106,0)),"TANIMSIZ MÜŞTERİ"))))</f>
        <v/>
      </c>
      <c r="E106" s="109" t="n"/>
      <c r="F106" s="109" t="n"/>
      <c r="G106" s="108" t="n"/>
      <c r="H106" s="225" t="n"/>
      <c r="I106" s="225" t="n"/>
      <c r="J106" s="108" t="n"/>
      <c r="K106" s="108" t="n"/>
      <c r="L106" s="109" t="n"/>
      <c r="M106" s="109" t="n"/>
      <c r="N106" s="109" t="n"/>
      <c r="O106" s="225" t="n"/>
      <c r="P106" s="232">
        <f>IF(OR($E106="",$I106=""),"",IF(OR($J106="Tamamlandı",$J106="İptal"),"",$I106-TODAY()))</f>
        <v/>
      </c>
      <c r="Q106" s="113">
        <f>IF($E106="","",IF($D106="TANIMSIZ MÜŞTERİ","HATA",IF(OR($J106="Tamamlandı",$J106="İptal"),"KAPALI",IF(AND($C106="Görüşme",$N106=""),"SONRAKİ İŞLEM EKSİK",IF($I106="","TARİH EKSİK",IF($I106&lt;TODAY(),"GECİKMİŞ",IF($I106=TODAY(),"BUGÜN",IF($I106&lt;=TODAY()+7,"7 GÜN İÇİNDE","PLANLI"))))))))</f>
        <v/>
      </c>
      <c r="R106" s="6" t="n"/>
      <c r="S106" s="6" t="n"/>
    </row>
    <row r="107">
      <c r="A107" s="6" t="n"/>
      <c r="B107" s="113">
        <f>IF($E107="","","A"&amp;TEXT(ROW()-6,"00000"))</f>
        <v/>
      </c>
      <c r="C107" s="108" t="n"/>
      <c r="D107" s="113">
        <f>IF($E107="","",IFERROR(INDEX(MUSTERILER!$B$7:$B$106,MATCH($E107,MUSTERILER!$C$7:$C$106,0)),IFERROR(INDEX(MUSTERILER!$B$7:$B$106,MATCH($E107,MUSTERILER!$B$7:$B$106,0)),IFERROR(INDEX(MUSTERILER!$B$7:$B$106,MATCH($E107&amp;"*",MUSTERILER!$C$7:$C$106,0)),"TANIMSIZ MÜŞTERİ"))))</f>
        <v/>
      </c>
      <c r="E107" s="109" t="n"/>
      <c r="F107" s="109" t="n"/>
      <c r="G107" s="108" t="n"/>
      <c r="H107" s="225" t="n"/>
      <c r="I107" s="225" t="n"/>
      <c r="J107" s="108" t="n"/>
      <c r="K107" s="108" t="n"/>
      <c r="L107" s="109" t="n"/>
      <c r="M107" s="109" t="n"/>
      <c r="N107" s="109" t="n"/>
      <c r="O107" s="225" t="n"/>
      <c r="P107" s="232">
        <f>IF(OR($E107="",$I107=""),"",IF(OR($J107="Tamamlandı",$J107="İptal"),"",$I107-TODAY()))</f>
        <v/>
      </c>
      <c r="Q107" s="113">
        <f>IF($E107="","",IF($D107="TANIMSIZ MÜŞTERİ","HATA",IF(OR($J107="Tamamlandı",$J107="İptal"),"KAPALI",IF(AND($C107="Görüşme",$N107=""),"SONRAKİ İŞLEM EKSİK",IF($I107="","TARİH EKSİK",IF($I107&lt;TODAY(),"GECİKMİŞ",IF($I107=TODAY(),"BUGÜN",IF($I107&lt;=TODAY()+7,"7 GÜN İÇİNDE","PLANLI"))))))))</f>
        <v/>
      </c>
      <c r="R107" s="6" t="n"/>
      <c r="S107" s="6" t="n"/>
    </row>
    <row r="108">
      <c r="A108" s="6" t="n"/>
      <c r="B108" s="113">
        <f>IF($E108="","","A"&amp;TEXT(ROW()-6,"00000"))</f>
        <v/>
      </c>
      <c r="C108" s="108" t="n"/>
      <c r="D108" s="113">
        <f>IF($E108="","",IFERROR(INDEX(MUSTERILER!$B$7:$B$106,MATCH($E108,MUSTERILER!$C$7:$C$106,0)),IFERROR(INDEX(MUSTERILER!$B$7:$B$106,MATCH($E108,MUSTERILER!$B$7:$B$106,0)),IFERROR(INDEX(MUSTERILER!$B$7:$B$106,MATCH($E108&amp;"*",MUSTERILER!$C$7:$C$106,0)),"TANIMSIZ MÜŞTERİ"))))</f>
        <v/>
      </c>
      <c r="E108" s="109" t="n"/>
      <c r="F108" s="109" t="n"/>
      <c r="G108" s="108" t="n"/>
      <c r="H108" s="225" t="n"/>
      <c r="I108" s="225" t="n"/>
      <c r="J108" s="108" t="n"/>
      <c r="K108" s="108" t="n"/>
      <c r="L108" s="109" t="n"/>
      <c r="M108" s="109" t="n"/>
      <c r="N108" s="109" t="n"/>
      <c r="O108" s="225" t="n"/>
      <c r="P108" s="232">
        <f>IF(OR($E108="",$I108=""),"",IF(OR($J108="Tamamlandı",$J108="İptal"),"",$I108-TODAY()))</f>
        <v/>
      </c>
      <c r="Q108" s="113">
        <f>IF($E108="","",IF($D108="TANIMSIZ MÜŞTERİ","HATA",IF(OR($J108="Tamamlandı",$J108="İptal"),"KAPALI",IF(AND($C108="Görüşme",$N108=""),"SONRAKİ İŞLEM EKSİK",IF($I108="","TARİH EKSİK",IF($I108&lt;TODAY(),"GECİKMİŞ",IF($I108=TODAY(),"BUGÜN",IF($I108&lt;=TODAY()+7,"7 GÜN İÇİNDE","PLANLI"))))))))</f>
        <v/>
      </c>
      <c r="R108" s="6" t="n"/>
      <c r="S108" s="6" t="n"/>
    </row>
    <row r="109">
      <c r="A109" s="6" t="n"/>
      <c r="B109" s="113">
        <f>IF($E109="","","A"&amp;TEXT(ROW()-6,"00000"))</f>
        <v/>
      </c>
      <c r="C109" s="108" t="n"/>
      <c r="D109" s="113">
        <f>IF($E109="","",IFERROR(INDEX(MUSTERILER!$B$7:$B$106,MATCH($E109,MUSTERILER!$C$7:$C$106,0)),IFERROR(INDEX(MUSTERILER!$B$7:$B$106,MATCH($E109,MUSTERILER!$B$7:$B$106,0)),IFERROR(INDEX(MUSTERILER!$B$7:$B$106,MATCH($E109&amp;"*",MUSTERILER!$C$7:$C$106,0)),"TANIMSIZ MÜŞTERİ"))))</f>
        <v/>
      </c>
      <c r="E109" s="109" t="n"/>
      <c r="F109" s="109" t="n"/>
      <c r="G109" s="108" t="n"/>
      <c r="H109" s="225" t="n"/>
      <c r="I109" s="225" t="n"/>
      <c r="J109" s="108" t="n"/>
      <c r="K109" s="108" t="n"/>
      <c r="L109" s="109" t="n"/>
      <c r="M109" s="109" t="n"/>
      <c r="N109" s="109" t="n"/>
      <c r="O109" s="225" t="n"/>
      <c r="P109" s="232">
        <f>IF(OR($E109="",$I109=""),"",IF(OR($J109="Tamamlandı",$J109="İptal"),"",$I109-TODAY()))</f>
        <v/>
      </c>
      <c r="Q109" s="113">
        <f>IF($E109="","",IF($D109="TANIMSIZ MÜŞTERİ","HATA",IF(OR($J109="Tamamlandı",$J109="İptal"),"KAPALI",IF(AND($C109="Görüşme",$N109=""),"SONRAKİ İŞLEM EKSİK",IF($I109="","TARİH EKSİK",IF($I109&lt;TODAY(),"GECİKMİŞ",IF($I109=TODAY(),"BUGÜN",IF($I109&lt;=TODAY()+7,"7 GÜN İÇİNDE","PLANLI"))))))))</f>
        <v/>
      </c>
      <c r="R109" s="6" t="n"/>
      <c r="S109" s="6" t="n"/>
    </row>
    <row r="110">
      <c r="A110" s="6" t="n"/>
      <c r="B110" s="113">
        <f>IF($E110="","","A"&amp;TEXT(ROW()-6,"00000"))</f>
        <v/>
      </c>
      <c r="C110" s="108" t="n"/>
      <c r="D110" s="113">
        <f>IF($E110="","",IFERROR(INDEX(MUSTERILER!$B$7:$B$106,MATCH($E110,MUSTERILER!$C$7:$C$106,0)),IFERROR(INDEX(MUSTERILER!$B$7:$B$106,MATCH($E110,MUSTERILER!$B$7:$B$106,0)),IFERROR(INDEX(MUSTERILER!$B$7:$B$106,MATCH($E110&amp;"*",MUSTERILER!$C$7:$C$106,0)),"TANIMSIZ MÜŞTERİ"))))</f>
        <v/>
      </c>
      <c r="E110" s="109" t="n"/>
      <c r="F110" s="109" t="n"/>
      <c r="G110" s="108" t="n"/>
      <c r="H110" s="225" t="n"/>
      <c r="I110" s="225" t="n"/>
      <c r="J110" s="108" t="n"/>
      <c r="K110" s="108" t="n"/>
      <c r="L110" s="109" t="n"/>
      <c r="M110" s="109" t="n"/>
      <c r="N110" s="109" t="n"/>
      <c r="O110" s="225" t="n"/>
      <c r="P110" s="232">
        <f>IF(OR($E110="",$I110=""),"",IF(OR($J110="Tamamlandı",$J110="İptal"),"",$I110-TODAY()))</f>
        <v/>
      </c>
      <c r="Q110" s="113">
        <f>IF($E110="","",IF($D110="TANIMSIZ MÜŞTERİ","HATA",IF(OR($J110="Tamamlandı",$J110="İptal"),"KAPALI",IF(AND($C110="Görüşme",$N110=""),"SONRAKİ İŞLEM EKSİK",IF($I110="","TARİH EKSİK",IF($I110&lt;TODAY(),"GECİKMİŞ",IF($I110=TODAY(),"BUGÜN",IF($I110&lt;=TODAY()+7,"7 GÜN İÇİNDE","PLANLI"))))))))</f>
        <v/>
      </c>
      <c r="R110" s="6" t="n"/>
      <c r="S110" s="6" t="n"/>
    </row>
    <row r="111">
      <c r="A111" s="6" t="n"/>
      <c r="B111" s="113">
        <f>IF($E111="","","A"&amp;TEXT(ROW()-6,"00000"))</f>
        <v/>
      </c>
      <c r="C111" s="108" t="n"/>
      <c r="D111" s="113">
        <f>IF($E111="","",IFERROR(INDEX(MUSTERILER!$B$7:$B$106,MATCH($E111,MUSTERILER!$C$7:$C$106,0)),IFERROR(INDEX(MUSTERILER!$B$7:$B$106,MATCH($E111,MUSTERILER!$B$7:$B$106,0)),IFERROR(INDEX(MUSTERILER!$B$7:$B$106,MATCH($E111&amp;"*",MUSTERILER!$C$7:$C$106,0)),"TANIMSIZ MÜŞTERİ"))))</f>
        <v/>
      </c>
      <c r="E111" s="109" t="n"/>
      <c r="F111" s="109" t="n"/>
      <c r="G111" s="108" t="n"/>
      <c r="H111" s="225" t="n"/>
      <c r="I111" s="225" t="n"/>
      <c r="J111" s="108" t="n"/>
      <c r="K111" s="108" t="n"/>
      <c r="L111" s="109" t="n"/>
      <c r="M111" s="109" t="n"/>
      <c r="N111" s="109" t="n"/>
      <c r="O111" s="225" t="n"/>
      <c r="P111" s="232">
        <f>IF(OR($E111="",$I111=""),"",IF(OR($J111="Tamamlandı",$J111="İptal"),"",$I111-TODAY()))</f>
        <v/>
      </c>
      <c r="Q111" s="113">
        <f>IF($E111="","",IF($D111="TANIMSIZ MÜŞTERİ","HATA",IF(OR($J111="Tamamlandı",$J111="İptal"),"KAPALI",IF(AND($C111="Görüşme",$N111=""),"SONRAKİ İŞLEM EKSİK",IF($I111="","TARİH EKSİK",IF($I111&lt;TODAY(),"GECİKMİŞ",IF($I111=TODAY(),"BUGÜN",IF($I111&lt;=TODAY()+7,"7 GÜN İÇİNDE","PLANLI"))))))))</f>
        <v/>
      </c>
      <c r="R111" s="6" t="n"/>
      <c r="S111" s="6" t="n"/>
    </row>
    <row r="112">
      <c r="A112" s="6" t="n"/>
      <c r="B112" s="113">
        <f>IF($E112="","","A"&amp;TEXT(ROW()-6,"00000"))</f>
        <v/>
      </c>
      <c r="C112" s="108" t="n"/>
      <c r="D112" s="113">
        <f>IF($E112="","",IFERROR(INDEX(MUSTERILER!$B$7:$B$106,MATCH($E112,MUSTERILER!$C$7:$C$106,0)),IFERROR(INDEX(MUSTERILER!$B$7:$B$106,MATCH($E112,MUSTERILER!$B$7:$B$106,0)),IFERROR(INDEX(MUSTERILER!$B$7:$B$106,MATCH($E112&amp;"*",MUSTERILER!$C$7:$C$106,0)),"TANIMSIZ MÜŞTERİ"))))</f>
        <v/>
      </c>
      <c r="E112" s="109" t="n"/>
      <c r="F112" s="109" t="n"/>
      <c r="G112" s="108" t="n"/>
      <c r="H112" s="225" t="n"/>
      <c r="I112" s="225" t="n"/>
      <c r="J112" s="108" t="n"/>
      <c r="K112" s="108" t="n"/>
      <c r="L112" s="109" t="n"/>
      <c r="M112" s="109" t="n"/>
      <c r="N112" s="109" t="n"/>
      <c r="O112" s="225" t="n"/>
      <c r="P112" s="232">
        <f>IF(OR($E112="",$I112=""),"",IF(OR($J112="Tamamlandı",$J112="İptal"),"",$I112-TODAY()))</f>
        <v/>
      </c>
      <c r="Q112" s="113">
        <f>IF($E112="","",IF($D112="TANIMSIZ MÜŞTERİ","HATA",IF(OR($J112="Tamamlandı",$J112="İptal"),"KAPALI",IF(AND($C112="Görüşme",$N112=""),"SONRAKİ İŞLEM EKSİK",IF($I112="","TARİH EKSİK",IF($I112&lt;TODAY(),"GECİKMİŞ",IF($I112=TODAY(),"BUGÜN",IF($I112&lt;=TODAY()+7,"7 GÜN İÇİNDE","PLANLI"))))))))</f>
        <v/>
      </c>
      <c r="R112" s="6" t="n"/>
      <c r="S112" s="6" t="n"/>
    </row>
    <row r="113">
      <c r="A113" s="6" t="n"/>
      <c r="B113" s="113">
        <f>IF($E113="","","A"&amp;TEXT(ROW()-6,"00000"))</f>
        <v/>
      </c>
      <c r="C113" s="108" t="n"/>
      <c r="D113" s="113">
        <f>IF($E113="","",IFERROR(INDEX(MUSTERILER!$B$7:$B$106,MATCH($E113,MUSTERILER!$C$7:$C$106,0)),IFERROR(INDEX(MUSTERILER!$B$7:$B$106,MATCH($E113,MUSTERILER!$B$7:$B$106,0)),IFERROR(INDEX(MUSTERILER!$B$7:$B$106,MATCH($E113&amp;"*",MUSTERILER!$C$7:$C$106,0)),"TANIMSIZ MÜŞTERİ"))))</f>
        <v/>
      </c>
      <c r="E113" s="109" t="n"/>
      <c r="F113" s="109" t="n"/>
      <c r="G113" s="108" t="n"/>
      <c r="H113" s="225" t="n"/>
      <c r="I113" s="225" t="n"/>
      <c r="J113" s="108" t="n"/>
      <c r="K113" s="108" t="n"/>
      <c r="L113" s="109" t="n"/>
      <c r="M113" s="109" t="n"/>
      <c r="N113" s="109" t="n"/>
      <c r="O113" s="225" t="n"/>
      <c r="P113" s="232">
        <f>IF(OR($E113="",$I113=""),"",IF(OR($J113="Tamamlandı",$J113="İptal"),"",$I113-TODAY()))</f>
        <v/>
      </c>
      <c r="Q113" s="113">
        <f>IF($E113="","",IF($D113="TANIMSIZ MÜŞTERİ","HATA",IF(OR($J113="Tamamlandı",$J113="İptal"),"KAPALI",IF(AND($C113="Görüşme",$N113=""),"SONRAKİ İŞLEM EKSİK",IF($I113="","TARİH EKSİK",IF($I113&lt;TODAY(),"GECİKMİŞ",IF($I113=TODAY(),"BUGÜN",IF($I113&lt;=TODAY()+7,"7 GÜN İÇİNDE","PLANLI"))))))))</f>
        <v/>
      </c>
      <c r="R113" s="6" t="n"/>
      <c r="S113" s="6" t="n"/>
    </row>
    <row r="114">
      <c r="A114" s="6" t="n"/>
      <c r="B114" s="113">
        <f>IF($E114="","","A"&amp;TEXT(ROW()-6,"00000"))</f>
        <v/>
      </c>
      <c r="C114" s="108" t="n"/>
      <c r="D114" s="113">
        <f>IF($E114="","",IFERROR(INDEX(MUSTERILER!$B$7:$B$106,MATCH($E114,MUSTERILER!$C$7:$C$106,0)),IFERROR(INDEX(MUSTERILER!$B$7:$B$106,MATCH($E114,MUSTERILER!$B$7:$B$106,0)),IFERROR(INDEX(MUSTERILER!$B$7:$B$106,MATCH($E114&amp;"*",MUSTERILER!$C$7:$C$106,0)),"TANIMSIZ MÜŞTERİ"))))</f>
        <v/>
      </c>
      <c r="E114" s="109" t="n"/>
      <c r="F114" s="109" t="n"/>
      <c r="G114" s="108" t="n"/>
      <c r="H114" s="225" t="n"/>
      <c r="I114" s="225" t="n"/>
      <c r="J114" s="108" t="n"/>
      <c r="K114" s="108" t="n"/>
      <c r="L114" s="109" t="n"/>
      <c r="M114" s="109" t="n"/>
      <c r="N114" s="109" t="n"/>
      <c r="O114" s="225" t="n"/>
      <c r="P114" s="232">
        <f>IF(OR($E114="",$I114=""),"",IF(OR($J114="Tamamlandı",$J114="İptal"),"",$I114-TODAY()))</f>
        <v/>
      </c>
      <c r="Q114" s="113">
        <f>IF($E114="","",IF($D114="TANIMSIZ MÜŞTERİ","HATA",IF(OR($J114="Tamamlandı",$J114="İptal"),"KAPALI",IF(AND($C114="Görüşme",$N114=""),"SONRAKİ İŞLEM EKSİK",IF($I114="","TARİH EKSİK",IF($I114&lt;TODAY(),"GECİKMİŞ",IF($I114=TODAY(),"BUGÜN",IF($I114&lt;=TODAY()+7,"7 GÜN İÇİNDE","PLANLI"))))))))</f>
        <v/>
      </c>
      <c r="R114" s="6" t="n"/>
      <c r="S114" s="6" t="n"/>
    </row>
    <row r="115">
      <c r="A115" s="6" t="n"/>
      <c r="B115" s="113">
        <f>IF($E115="","","A"&amp;TEXT(ROW()-6,"00000"))</f>
        <v/>
      </c>
      <c r="C115" s="108" t="n"/>
      <c r="D115" s="113">
        <f>IF($E115="","",IFERROR(INDEX(MUSTERILER!$B$7:$B$106,MATCH($E115,MUSTERILER!$C$7:$C$106,0)),IFERROR(INDEX(MUSTERILER!$B$7:$B$106,MATCH($E115,MUSTERILER!$B$7:$B$106,0)),IFERROR(INDEX(MUSTERILER!$B$7:$B$106,MATCH($E115&amp;"*",MUSTERILER!$C$7:$C$106,0)),"TANIMSIZ MÜŞTERİ"))))</f>
        <v/>
      </c>
      <c r="E115" s="109" t="n"/>
      <c r="F115" s="109" t="n"/>
      <c r="G115" s="108" t="n"/>
      <c r="H115" s="225" t="n"/>
      <c r="I115" s="225" t="n"/>
      <c r="J115" s="108" t="n"/>
      <c r="K115" s="108" t="n"/>
      <c r="L115" s="109" t="n"/>
      <c r="M115" s="109" t="n"/>
      <c r="N115" s="109" t="n"/>
      <c r="O115" s="225" t="n"/>
      <c r="P115" s="232">
        <f>IF(OR($E115="",$I115=""),"",IF(OR($J115="Tamamlandı",$J115="İptal"),"",$I115-TODAY()))</f>
        <v/>
      </c>
      <c r="Q115" s="113">
        <f>IF($E115="","",IF($D115="TANIMSIZ MÜŞTERİ","HATA",IF(OR($J115="Tamamlandı",$J115="İptal"),"KAPALI",IF(AND($C115="Görüşme",$N115=""),"SONRAKİ İŞLEM EKSİK",IF($I115="","TARİH EKSİK",IF($I115&lt;TODAY(),"GECİKMİŞ",IF($I115=TODAY(),"BUGÜN",IF($I115&lt;=TODAY()+7,"7 GÜN İÇİNDE","PLANLI"))))))))</f>
        <v/>
      </c>
      <c r="R115" s="6" t="n"/>
      <c r="S115" s="6" t="n"/>
    </row>
    <row r="116">
      <c r="A116" s="6" t="n"/>
      <c r="B116" s="113">
        <f>IF($E116="","","A"&amp;TEXT(ROW()-6,"00000"))</f>
        <v/>
      </c>
      <c r="C116" s="108" t="n"/>
      <c r="D116" s="113">
        <f>IF($E116="","",IFERROR(INDEX(MUSTERILER!$B$7:$B$106,MATCH($E116,MUSTERILER!$C$7:$C$106,0)),IFERROR(INDEX(MUSTERILER!$B$7:$B$106,MATCH($E116,MUSTERILER!$B$7:$B$106,0)),IFERROR(INDEX(MUSTERILER!$B$7:$B$106,MATCH($E116&amp;"*",MUSTERILER!$C$7:$C$106,0)),"TANIMSIZ MÜŞTERİ"))))</f>
        <v/>
      </c>
      <c r="E116" s="109" t="n"/>
      <c r="F116" s="109" t="n"/>
      <c r="G116" s="108" t="n"/>
      <c r="H116" s="225" t="n"/>
      <c r="I116" s="225" t="n"/>
      <c r="J116" s="108" t="n"/>
      <c r="K116" s="108" t="n"/>
      <c r="L116" s="109" t="n"/>
      <c r="M116" s="109" t="n"/>
      <c r="N116" s="109" t="n"/>
      <c r="O116" s="225" t="n"/>
      <c r="P116" s="232">
        <f>IF(OR($E116="",$I116=""),"",IF(OR($J116="Tamamlandı",$J116="İptal"),"",$I116-TODAY()))</f>
        <v/>
      </c>
      <c r="Q116" s="113">
        <f>IF($E116="","",IF($D116="TANIMSIZ MÜŞTERİ","HATA",IF(OR($J116="Tamamlandı",$J116="İptal"),"KAPALI",IF(AND($C116="Görüşme",$N116=""),"SONRAKİ İŞLEM EKSİK",IF($I116="","TARİH EKSİK",IF($I116&lt;TODAY(),"GECİKMİŞ",IF($I116=TODAY(),"BUGÜN",IF($I116&lt;=TODAY()+7,"7 GÜN İÇİNDE","PLANLI"))))))))</f>
        <v/>
      </c>
      <c r="R116" s="6" t="n"/>
      <c r="S116" s="6" t="n"/>
    </row>
    <row r="117">
      <c r="A117" s="6" t="n"/>
      <c r="B117" s="113">
        <f>IF($E117="","","A"&amp;TEXT(ROW()-6,"00000"))</f>
        <v/>
      </c>
      <c r="C117" s="108" t="n"/>
      <c r="D117" s="113">
        <f>IF($E117="","",IFERROR(INDEX(MUSTERILER!$B$7:$B$106,MATCH($E117,MUSTERILER!$C$7:$C$106,0)),IFERROR(INDEX(MUSTERILER!$B$7:$B$106,MATCH($E117,MUSTERILER!$B$7:$B$106,0)),IFERROR(INDEX(MUSTERILER!$B$7:$B$106,MATCH($E117&amp;"*",MUSTERILER!$C$7:$C$106,0)),"TANIMSIZ MÜŞTERİ"))))</f>
        <v/>
      </c>
      <c r="E117" s="109" t="n"/>
      <c r="F117" s="109" t="n"/>
      <c r="G117" s="108" t="n"/>
      <c r="H117" s="225" t="n"/>
      <c r="I117" s="225" t="n"/>
      <c r="J117" s="108" t="n"/>
      <c r="K117" s="108" t="n"/>
      <c r="L117" s="109" t="n"/>
      <c r="M117" s="109" t="n"/>
      <c r="N117" s="109" t="n"/>
      <c r="O117" s="225" t="n"/>
      <c r="P117" s="232">
        <f>IF(OR($E117="",$I117=""),"",IF(OR($J117="Tamamlandı",$J117="İptal"),"",$I117-TODAY()))</f>
        <v/>
      </c>
      <c r="Q117" s="113">
        <f>IF($E117="","",IF($D117="TANIMSIZ MÜŞTERİ","HATA",IF(OR($J117="Tamamlandı",$J117="İptal"),"KAPALI",IF(AND($C117="Görüşme",$N117=""),"SONRAKİ İŞLEM EKSİK",IF($I117="","TARİH EKSİK",IF($I117&lt;TODAY(),"GECİKMİŞ",IF($I117=TODAY(),"BUGÜN",IF($I117&lt;=TODAY()+7,"7 GÜN İÇİNDE","PLANLI"))))))))</f>
        <v/>
      </c>
      <c r="R117" s="6" t="n"/>
      <c r="S117" s="6" t="n"/>
    </row>
    <row r="118">
      <c r="A118" s="6" t="n"/>
      <c r="B118" s="113">
        <f>IF($E118="","","A"&amp;TEXT(ROW()-6,"00000"))</f>
        <v/>
      </c>
      <c r="C118" s="108" t="n"/>
      <c r="D118" s="113">
        <f>IF($E118="","",IFERROR(INDEX(MUSTERILER!$B$7:$B$106,MATCH($E118,MUSTERILER!$C$7:$C$106,0)),IFERROR(INDEX(MUSTERILER!$B$7:$B$106,MATCH($E118,MUSTERILER!$B$7:$B$106,0)),IFERROR(INDEX(MUSTERILER!$B$7:$B$106,MATCH($E118&amp;"*",MUSTERILER!$C$7:$C$106,0)),"TANIMSIZ MÜŞTERİ"))))</f>
        <v/>
      </c>
      <c r="E118" s="109" t="n"/>
      <c r="F118" s="109" t="n"/>
      <c r="G118" s="108" t="n"/>
      <c r="H118" s="225" t="n"/>
      <c r="I118" s="225" t="n"/>
      <c r="J118" s="108" t="n"/>
      <c r="K118" s="108" t="n"/>
      <c r="L118" s="109" t="n"/>
      <c r="M118" s="109" t="n"/>
      <c r="N118" s="109" t="n"/>
      <c r="O118" s="225" t="n"/>
      <c r="P118" s="232">
        <f>IF(OR($E118="",$I118=""),"",IF(OR($J118="Tamamlandı",$J118="İptal"),"",$I118-TODAY()))</f>
        <v/>
      </c>
      <c r="Q118" s="113">
        <f>IF($E118="","",IF($D118="TANIMSIZ MÜŞTERİ","HATA",IF(OR($J118="Tamamlandı",$J118="İptal"),"KAPALI",IF(AND($C118="Görüşme",$N118=""),"SONRAKİ İŞLEM EKSİK",IF($I118="","TARİH EKSİK",IF($I118&lt;TODAY(),"GECİKMİŞ",IF($I118=TODAY(),"BUGÜN",IF($I118&lt;=TODAY()+7,"7 GÜN İÇİNDE","PLANLI"))))))))</f>
        <v/>
      </c>
      <c r="R118" s="6" t="n"/>
      <c r="S118" s="6" t="n"/>
    </row>
    <row r="119">
      <c r="A119" s="6" t="n"/>
      <c r="B119" s="113">
        <f>IF($E119="","","A"&amp;TEXT(ROW()-6,"00000"))</f>
        <v/>
      </c>
      <c r="C119" s="108" t="n"/>
      <c r="D119" s="113">
        <f>IF($E119="","",IFERROR(INDEX(MUSTERILER!$B$7:$B$106,MATCH($E119,MUSTERILER!$C$7:$C$106,0)),IFERROR(INDEX(MUSTERILER!$B$7:$B$106,MATCH($E119,MUSTERILER!$B$7:$B$106,0)),IFERROR(INDEX(MUSTERILER!$B$7:$B$106,MATCH($E119&amp;"*",MUSTERILER!$C$7:$C$106,0)),"TANIMSIZ MÜŞTERİ"))))</f>
        <v/>
      </c>
      <c r="E119" s="109" t="n"/>
      <c r="F119" s="109" t="n"/>
      <c r="G119" s="108" t="n"/>
      <c r="H119" s="225" t="n"/>
      <c r="I119" s="225" t="n"/>
      <c r="J119" s="108" t="n"/>
      <c r="K119" s="108" t="n"/>
      <c r="L119" s="109" t="n"/>
      <c r="M119" s="109" t="n"/>
      <c r="N119" s="109" t="n"/>
      <c r="O119" s="225" t="n"/>
      <c r="P119" s="232">
        <f>IF(OR($E119="",$I119=""),"",IF(OR($J119="Tamamlandı",$J119="İptal"),"",$I119-TODAY()))</f>
        <v/>
      </c>
      <c r="Q119" s="113">
        <f>IF($E119="","",IF($D119="TANIMSIZ MÜŞTERİ","HATA",IF(OR($J119="Tamamlandı",$J119="İptal"),"KAPALI",IF(AND($C119="Görüşme",$N119=""),"SONRAKİ İŞLEM EKSİK",IF($I119="","TARİH EKSİK",IF($I119&lt;TODAY(),"GECİKMİŞ",IF($I119=TODAY(),"BUGÜN",IF($I119&lt;=TODAY()+7,"7 GÜN İÇİNDE","PLANLI"))))))))</f>
        <v/>
      </c>
      <c r="R119" s="6" t="n"/>
      <c r="S119" s="6" t="n"/>
    </row>
    <row r="120">
      <c r="A120" s="6" t="n"/>
      <c r="B120" s="113">
        <f>IF($E120="","","A"&amp;TEXT(ROW()-6,"00000"))</f>
        <v/>
      </c>
      <c r="C120" s="108" t="n"/>
      <c r="D120" s="113">
        <f>IF($E120="","",IFERROR(INDEX(MUSTERILER!$B$7:$B$106,MATCH($E120,MUSTERILER!$C$7:$C$106,0)),IFERROR(INDEX(MUSTERILER!$B$7:$B$106,MATCH($E120,MUSTERILER!$B$7:$B$106,0)),IFERROR(INDEX(MUSTERILER!$B$7:$B$106,MATCH($E120&amp;"*",MUSTERILER!$C$7:$C$106,0)),"TANIMSIZ MÜŞTERİ"))))</f>
        <v/>
      </c>
      <c r="E120" s="109" t="n"/>
      <c r="F120" s="109" t="n"/>
      <c r="G120" s="108" t="n"/>
      <c r="H120" s="225" t="n"/>
      <c r="I120" s="225" t="n"/>
      <c r="J120" s="108" t="n"/>
      <c r="K120" s="108" t="n"/>
      <c r="L120" s="109" t="n"/>
      <c r="M120" s="109" t="n"/>
      <c r="N120" s="109" t="n"/>
      <c r="O120" s="225" t="n"/>
      <c r="P120" s="232">
        <f>IF(OR($E120="",$I120=""),"",IF(OR($J120="Tamamlandı",$J120="İptal"),"",$I120-TODAY()))</f>
        <v/>
      </c>
      <c r="Q120" s="113">
        <f>IF($E120="","",IF($D120="TANIMSIZ MÜŞTERİ","HATA",IF(OR($J120="Tamamlandı",$J120="İptal"),"KAPALI",IF(AND($C120="Görüşme",$N120=""),"SONRAKİ İŞLEM EKSİK",IF($I120="","TARİH EKSİK",IF($I120&lt;TODAY(),"GECİKMİŞ",IF($I120=TODAY(),"BUGÜN",IF($I120&lt;=TODAY()+7,"7 GÜN İÇİNDE","PLANLI"))))))))</f>
        <v/>
      </c>
      <c r="R120" s="6" t="n"/>
      <c r="S120" s="6" t="n"/>
    </row>
    <row r="121">
      <c r="A121" s="6" t="n"/>
      <c r="B121" s="113">
        <f>IF($E121="","","A"&amp;TEXT(ROW()-6,"00000"))</f>
        <v/>
      </c>
      <c r="C121" s="108" t="n"/>
      <c r="D121" s="113">
        <f>IF($E121="","",IFERROR(INDEX(MUSTERILER!$B$7:$B$106,MATCH($E121,MUSTERILER!$C$7:$C$106,0)),IFERROR(INDEX(MUSTERILER!$B$7:$B$106,MATCH($E121,MUSTERILER!$B$7:$B$106,0)),IFERROR(INDEX(MUSTERILER!$B$7:$B$106,MATCH($E121&amp;"*",MUSTERILER!$C$7:$C$106,0)),"TANIMSIZ MÜŞTERİ"))))</f>
        <v/>
      </c>
      <c r="E121" s="109" t="n"/>
      <c r="F121" s="109" t="n"/>
      <c r="G121" s="108" t="n"/>
      <c r="H121" s="225" t="n"/>
      <c r="I121" s="225" t="n"/>
      <c r="J121" s="108" t="n"/>
      <c r="K121" s="108" t="n"/>
      <c r="L121" s="109" t="n"/>
      <c r="M121" s="109" t="n"/>
      <c r="N121" s="109" t="n"/>
      <c r="O121" s="225" t="n"/>
      <c r="P121" s="232">
        <f>IF(OR($E121="",$I121=""),"",IF(OR($J121="Tamamlandı",$J121="İptal"),"",$I121-TODAY()))</f>
        <v/>
      </c>
      <c r="Q121" s="113">
        <f>IF($E121="","",IF($D121="TANIMSIZ MÜŞTERİ","HATA",IF(OR($J121="Tamamlandı",$J121="İptal"),"KAPALI",IF(AND($C121="Görüşme",$N121=""),"SONRAKİ İŞLEM EKSİK",IF($I121="","TARİH EKSİK",IF($I121&lt;TODAY(),"GECİKMİŞ",IF($I121=TODAY(),"BUGÜN",IF($I121&lt;=TODAY()+7,"7 GÜN İÇİNDE","PLANLI"))))))))</f>
        <v/>
      </c>
      <c r="R121" s="6" t="n"/>
      <c r="S121" s="6" t="n"/>
    </row>
    <row r="122">
      <c r="A122" s="6" t="n"/>
      <c r="B122" s="113">
        <f>IF($E122="","","A"&amp;TEXT(ROW()-6,"00000"))</f>
        <v/>
      </c>
      <c r="C122" s="108" t="n"/>
      <c r="D122" s="113">
        <f>IF($E122="","",IFERROR(INDEX(MUSTERILER!$B$7:$B$106,MATCH($E122,MUSTERILER!$C$7:$C$106,0)),IFERROR(INDEX(MUSTERILER!$B$7:$B$106,MATCH($E122,MUSTERILER!$B$7:$B$106,0)),IFERROR(INDEX(MUSTERILER!$B$7:$B$106,MATCH($E122&amp;"*",MUSTERILER!$C$7:$C$106,0)),"TANIMSIZ MÜŞTERİ"))))</f>
        <v/>
      </c>
      <c r="E122" s="109" t="n"/>
      <c r="F122" s="109" t="n"/>
      <c r="G122" s="108" t="n"/>
      <c r="H122" s="225" t="n"/>
      <c r="I122" s="225" t="n"/>
      <c r="J122" s="108" t="n"/>
      <c r="K122" s="108" t="n"/>
      <c r="L122" s="109" t="n"/>
      <c r="M122" s="109" t="n"/>
      <c r="N122" s="109" t="n"/>
      <c r="O122" s="225" t="n"/>
      <c r="P122" s="232">
        <f>IF(OR($E122="",$I122=""),"",IF(OR($J122="Tamamlandı",$J122="İptal"),"",$I122-TODAY()))</f>
        <v/>
      </c>
      <c r="Q122" s="113">
        <f>IF($E122="","",IF($D122="TANIMSIZ MÜŞTERİ","HATA",IF(OR($J122="Tamamlandı",$J122="İptal"),"KAPALI",IF(AND($C122="Görüşme",$N122=""),"SONRAKİ İŞLEM EKSİK",IF($I122="","TARİH EKSİK",IF($I122&lt;TODAY(),"GECİKMİŞ",IF($I122=TODAY(),"BUGÜN",IF($I122&lt;=TODAY()+7,"7 GÜN İÇİNDE","PLANLI"))))))))</f>
        <v/>
      </c>
      <c r="R122" s="6" t="n"/>
      <c r="S122" s="6" t="n"/>
    </row>
    <row r="123">
      <c r="A123" s="6" t="n"/>
      <c r="B123" s="113">
        <f>IF($E123="","","A"&amp;TEXT(ROW()-6,"00000"))</f>
        <v/>
      </c>
      <c r="C123" s="108" t="n"/>
      <c r="D123" s="113">
        <f>IF($E123="","",IFERROR(INDEX(MUSTERILER!$B$7:$B$106,MATCH($E123,MUSTERILER!$C$7:$C$106,0)),IFERROR(INDEX(MUSTERILER!$B$7:$B$106,MATCH($E123,MUSTERILER!$B$7:$B$106,0)),IFERROR(INDEX(MUSTERILER!$B$7:$B$106,MATCH($E123&amp;"*",MUSTERILER!$C$7:$C$106,0)),"TANIMSIZ MÜŞTERİ"))))</f>
        <v/>
      </c>
      <c r="E123" s="109" t="n"/>
      <c r="F123" s="109" t="n"/>
      <c r="G123" s="108" t="n"/>
      <c r="H123" s="225" t="n"/>
      <c r="I123" s="225" t="n"/>
      <c r="J123" s="108" t="n"/>
      <c r="K123" s="108" t="n"/>
      <c r="L123" s="109" t="n"/>
      <c r="M123" s="109" t="n"/>
      <c r="N123" s="109" t="n"/>
      <c r="O123" s="225" t="n"/>
      <c r="P123" s="232">
        <f>IF(OR($E123="",$I123=""),"",IF(OR($J123="Tamamlandı",$J123="İptal"),"",$I123-TODAY()))</f>
        <v/>
      </c>
      <c r="Q123" s="113">
        <f>IF($E123="","",IF($D123="TANIMSIZ MÜŞTERİ","HATA",IF(OR($J123="Tamamlandı",$J123="İptal"),"KAPALI",IF(AND($C123="Görüşme",$N123=""),"SONRAKİ İŞLEM EKSİK",IF($I123="","TARİH EKSİK",IF($I123&lt;TODAY(),"GECİKMİŞ",IF($I123=TODAY(),"BUGÜN",IF($I123&lt;=TODAY()+7,"7 GÜN İÇİNDE","PLANLI"))))))))</f>
        <v/>
      </c>
      <c r="R123" s="6" t="n"/>
      <c r="S123" s="6" t="n"/>
    </row>
    <row r="124">
      <c r="A124" s="6" t="n"/>
      <c r="B124" s="113">
        <f>IF($E124="","","A"&amp;TEXT(ROW()-6,"00000"))</f>
        <v/>
      </c>
      <c r="C124" s="108" t="n"/>
      <c r="D124" s="113">
        <f>IF($E124="","",IFERROR(INDEX(MUSTERILER!$B$7:$B$106,MATCH($E124,MUSTERILER!$C$7:$C$106,0)),IFERROR(INDEX(MUSTERILER!$B$7:$B$106,MATCH($E124,MUSTERILER!$B$7:$B$106,0)),IFERROR(INDEX(MUSTERILER!$B$7:$B$106,MATCH($E124&amp;"*",MUSTERILER!$C$7:$C$106,0)),"TANIMSIZ MÜŞTERİ"))))</f>
        <v/>
      </c>
      <c r="E124" s="109" t="n"/>
      <c r="F124" s="109" t="n"/>
      <c r="G124" s="108" t="n"/>
      <c r="H124" s="225" t="n"/>
      <c r="I124" s="225" t="n"/>
      <c r="J124" s="108" t="n"/>
      <c r="K124" s="108" t="n"/>
      <c r="L124" s="109" t="n"/>
      <c r="M124" s="109" t="n"/>
      <c r="N124" s="109" t="n"/>
      <c r="O124" s="225" t="n"/>
      <c r="P124" s="232">
        <f>IF(OR($E124="",$I124=""),"",IF(OR($J124="Tamamlandı",$J124="İptal"),"",$I124-TODAY()))</f>
        <v/>
      </c>
      <c r="Q124" s="113">
        <f>IF($E124="","",IF($D124="TANIMSIZ MÜŞTERİ","HATA",IF(OR($J124="Tamamlandı",$J124="İptal"),"KAPALI",IF(AND($C124="Görüşme",$N124=""),"SONRAKİ İŞLEM EKSİK",IF($I124="","TARİH EKSİK",IF($I124&lt;TODAY(),"GECİKMİŞ",IF($I124=TODAY(),"BUGÜN",IF($I124&lt;=TODAY()+7,"7 GÜN İÇİNDE","PLANLI"))))))))</f>
        <v/>
      </c>
      <c r="R124" s="6" t="n"/>
      <c r="S124" s="6" t="n"/>
    </row>
    <row r="125">
      <c r="A125" s="6" t="n"/>
      <c r="B125" s="113">
        <f>IF($E125="","","A"&amp;TEXT(ROW()-6,"00000"))</f>
        <v/>
      </c>
      <c r="C125" s="108" t="n"/>
      <c r="D125" s="113">
        <f>IF($E125="","",IFERROR(INDEX(MUSTERILER!$B$7:$B$106,MATCH($E125,MUSTERILER!$C$7:$C$106,0)),IFERROR(INDEX(MUSTERILER!$B$7:$B$106,MATCH($E125,MUSTERILER!$B$7:$B$106,0)),IFERROR(INDEX(MUSTERILER!$B$7:$B$106,MATCH($E125&amp;"*",MUSTERILER!$C$7:$C$106,0)),"TANIMSIZ MÜŞTERİ"))))</f>
        <v/>
      </c>
      <c r="E125" s="109" t="n"/>
      <c r="F125" s="109" t="n"/>
      <c r="G125" s="108" t="n"/>
      <c r="H125" s="225" t="n"/>
      <c r="I125" s="225" t="n"/>
      <c r="J125" s="108" t="n"/>
      <c r="K125" s="108" t="n"/>
      <c r="L125" s="109" t="n"/>
      <c r="M125" s="109" t="n"/>
      <c r="N125" s="109" t="n"/>
      <c r="O125" s="225" t="n"/>
      <c r="P125" s="232">
        <f>IF(OR($E125="",$I125=""),"",IF(OR($J125="Tamamlandı",$J125="İptal"),"",$I125-TODAY()))</f>
        <v/>
      </c>
      <c r="Q125" s="113">
        <f>IF($E125="","",IF($D125="TANIMSIZ MÜŞTERİ","HATA",IF(OR($J125="Tamamlandı",$J125="İptal"),"KAPALI",IF(AND($C125="Görüşme",$N125=""),"SONRAKİ İŞLEM EKSİK",IF($I125="","TARİH EKSİK",IF($I125&lt;TODAY(),"GECİKMİŞ",IF($I125=TODAY(),"BUGÜN",IF($I125&lt;=TODAY()+7,"7 GÜN İÇİNDE","PLANLI"))))))))</f>
        <v/>
      </c>
      <c r="R125" s="6" t="n"/>
      <c r="S125" s="6" t="n"/>
    </row>
    <row r="126">
      <c r="A126" s="6" t="n"/>
      <c r="B126" s="113">
        <f>IF($E126="","","A"&amp;TEXT(ROW()-6,"00000"))</f>
        <v/>
      </c>
      <c r="C126" s="108" t="n"/>
      <c r="D126" s="113">
        <f>IF($E126="","",IFERROR(INDEX(MUSTERILER!$B$7:$B$106,MATCH($E126,MUSTERILER!$C$7:$C$106,0)),IFERROR(INDEX(MUSTERILER!$B$7:$B$106,MATCH($E126,MUSTERILER!$B$7:$B$106,0)),IFERROR(INDEX(MUSTERILER!$B$7:$B$106,MATCH($E126&amp;"*",MUSTERILER!$C$7:$C$106,0)),"TANIMSIZ MÜŞTERİ"))))</f>
        <v/>
      </c>
      <c r="E126" s="109" t="n"/>
      <c r="F126" s="109" t="n"/>
      <c r="G126" s="108" t="n"/>
      <c r="H126" s="225" t="n"/>
      <c r="I126" s="225" t="n"/>
      <c r="J126" s="108" t="n"/>
      <c r="K126" s="108" t="n"/>
      <c r="L126" s="109" t="n"/>
      <c r="M126" s="109" t="n"/>
      <c r="N126" s="109" t="n"/>
      <c r="O126" s="225" t="n"/>
      <c r="P126" s="232">
        <f>IF(OR($E126="",$I126=""),"",IF(OR($J126="Tamamlandı",$J126="İptal"),"",$I126-TODAY()))</f>
        <v/>
      </c>
      <c r="Q126" s="113">
        <f>IF($E126="","",IF($D126="TANIMSIZ MÜŞTERİ","HATA",IF(OR($J126="Tamamlandı",$J126="İptal"),"KAPALI",IF(AND($C126="Görüşme",$N126=""),"SONRAKİ İŞLEM EKSİK",IF($I126="","TARİH EKSİK",IF($I126&lt;TODAY(),"GECİKMİŞ",IF($I126=TODAY(),"BUGÜN",IF($I126&lt;=TODAY()+7,"7 GÜN İÇİNDE","PLANLI"))))))))</f>
        <v/>
      </c>
      <c r="R126" s="6" t="n"/>
      <c r="S126" s="6" t="n"/>
    </row>
    <row r="127">
      <c r="A127" s="6" t="n"/>
      <c r="B127" s="113">
        <f>IF($E127="","","A"&amp;TEXT(ROW()-6,"00000"))</f>
        <v/>
      </c>
      <c r="C127" s="108" t="n"/>
      <c r="D127" s="113">
        <f>IF($E127="","",IFERROR(INDEX(MUSTERILER!$B$7:$B$106,MATCH($E127,MUSTERILER!$C$7:$C$106,0)),IFERROR(INDEX(MUSTERILER!$B$7:$B$106,MATCH($E127,MUSTERILER!$B$7:$B$106,0)),IFERROR(INDEX(MUSTERILER!$B$7:$B$106,MATCH($E127&amp;"*",MUSTERILER!$C$7:$C$106,0)),"TANIMSIZ MÜŞTERİ"))))</f>
        <v/>
      </c>
      <c r="E127" s="109" t="n"/>
      <c r="F127" s="109" t="n"/>
      <c r="G127" s="108" t="n"/>
      <c r="H127" s="225" t="n"/>
      <c r="I127" s="225" t="n"/>
      <c r="J127" s="108" t="n"/>
      <c r="K127" s="108" t="n"/>
      <c r="L127" s="109" t="n"/>
      <c r="M127" s="109" t="n"/>
      <c r="N127" s="109" t="n"/>
      <c r="O127" s="225" t="n"/>
      <c r="P127" s="232">
        <f>IF(OR($E127="",$I127=""),"",IF(OR($J127="Tamamlandı",$J127="İptal"),"",$I127-TODAY()))</f>
        <v/>
      </c>
      <c r="Q127" s="113">
        <f>IF($E127="","",IF($D127="TANIMSIZ MÜŞTERİ","HATA",IF(OR($J127="Tamamlandı",$J127="İptal"),"KAPALI",IF(AND($C127="Görüşme",$N127=""),"SONRAKİ İŞLEM EKSİK",IF($I127="","TARİH EKSİK",IF($I127&lt;TODAY(),"GECİKMİŞ",IF($I127=TODAY(),"BUGÜN",IF($I127&lt;=TODAY()+7,"7 GÜN İÇİNDE","PLANLI"))))))))</f>
        <v/>
      </c>
      <c r="R127" s="6" t="n"/>
      <c r="S127" s="6" t="n"/>
    </row>
    <row r="128">
      <c r="A128" s="6" t="n"/>
      <c r="B128" s="113">
        <f>IF($E128="","","A"&amp;TEXT(ROW()-6,"00000"))</f>
        <v/>
      </c>
      <c r="C128" s="108" t="n"/>
      <c r="D128" s="113">
        <f>IF($E128="","",IFERROR(INDEX(MUSTERILER!$B$7:$B$106,MATCH($E128,MUSTERILER!$C$7:$C$106,0)),IFERROR(INDEX(MUSTERILER!$B$7:$B$106,MATCH($E128,MUSTERILER!$B$7:$B$106,0)),IFERROR(INDEX(MUSTERILER!$B$7:$B$106,MATCH($E128&amp;"*",MUSTERILER!$C$7:$C$106,0)),"TANIMSIZ MÜŞTERİ"))))</f>
        <v/>
      </c>
      <c r="E128" s="109" t="n"/>
      <c r="F128" s="109" t="n"/>
      <c r="G128" s="108" t="n"/>
      <c r="H128" s="225" t="n"/>
      <c r="I128" s="225" t="n"/>
      <c r="J128" s="108" t="n"/>
      <c r="K128" s="108" t="n"/>
      <c r="L128" s="109" t="n"/>
      <c r="M128" s="109" t="n"/>
      <c r="N128" s="109" t="n"/>
      <c r="O128" s="225" t="n"/>
      <c r="P128" s="232">
        <f>IF(OR($E128="",$I128=""),"",IF(OR($J128="Tamamlandı",$J128="İptal"),"",$I128-TODAY()))</f>
        <v/>
      </c>
      <c r="Q128" s="113">
        <f>IF($E128="","",IF($D128="TANIMSIZ MÜŞTERİ","HATA",IF(OR($J128="Tamamlandı",$J128="İptal"),"KAPALI",IF(AND($C128="Görüşme",$N128=""),"SONRAKİ İŞLEM EKSİK",IF($I128="","TARİH EKSİK",IF($I128&lt;TODAY(),"GECİKMİŞ",IF($I128=TODAY(),"BUGÜN",IF($I128&lt;=TODAY()+7,"7 GÜN İÇİNDE","PLANLI"))))))))</f>
        <v/>
      </c>
      <c r="R128" s="6" t="n"/>
      <c r="S128" s="6" t="n"/>
    </row>
    <row r="129">
      <c r="A129" s="6" t="n"/>
      <c r="B129" s="113">
        <f>IF($E129="","","A"&amp;TEXT(ROW()-6,"00000"))</f>
        <v/>
      </c>
      <c r="C129" s="108" t="n"/>
      <c r="D129" s="113">
        <f>IF($E129="","",IFERROR(INDEX(MUSTERILER!$B$7:$B$106,MATCH($E129,MUSTERILER!$C$7:$C$106,0)),IFERROR(INDEX(MUSTERILER!$B$7:$B$106,MATCH($E129,MUSTERILER!$B$7:$B$106,0)),IFERROR(INDEX(MUSTERILER!$B$7:$B$106,MATCH($E129&amp;"*",MUSTERILER!$C$7:$C$106,0)),"TANIMSIZ MÜŞTERİ"))))</f>
        <v/>
      </c>
      <c r="E129" s="109" t="n"/>
      <c r="F129" s="109" t="n"/>
      <c r="G129" s="108" t="n"/>
      <c r="H129" s="225" t="n"/>
      <c r="I129" s="225" t="n"/>
      <c r="J129" s="108" t="n"/>
      <c r="K129" s="108" t="n"/>
      <c r="L129" s="109" t="n"/>
      <c r="M129" s="109" t="n"/>
      <c r="N129" s="109" t="n"/>
      <c r="O129" s="225" t="n"/>
      <c r="P129" s="232">
        <f>IF(OR($E129="",$I129=""),"",IF(OR($J129="Tamamlandı",$J129="İptal"),"",$I129-TODAY()))</f>
        <v/>
      </c>
      <c r="Q129" s="113">
        <f>IF($E129="","",IF($D129="TANIMSIZ MÜŞTERİ","HATA",IF(OR($J129="Tamamlandı",$J129="İptal"),"KAPALI",IF(AND($C129="Görüşme",$N129=""),"SONRAKİ İŞLEM EKSİK",IF($I129="","TARİH EKSİK",IF($I129&lt;TODAY(),"GECİKMİŞ",IF($I129=TODAY(),"BUGÜN",IF($I129&lt;=TODAY()+7,"7 GÜN İÇİNDE","PLANLI"))))))))</f>
        <v/>
      </c>
      <c r="R129" s="6" t="n"/>
      <c r="S129" s="6" t="n"/>
    </row>
    <row r="130">
      <c r="A130" s="6" t="n"/>
      <c r="B130" s="113">
        <f>IF($E130="","","A"&amp;TEXT(ROW()-6,"00000"))</f>
        <v/>
      </c>
      <c r="C130" s="108" t="n"/>
      <c r="D130" s="113">
        <f>IF($E130="","",IFERROR(INDEX(MUSTERILER!$B$7:$B$106,MATCH($E130,MUSTERILER!$C$7:$C$106,0)),IFERROR(INDEX(MUSTERILER!$B$7:$B$106,MATCH($E130,MUSTERILER!$B$7:$B$106,0)),IFERROR(INDEX(MUSTERILER!$B$7:$B$106,MATCH($E130&amp;"*",MUSTERILER!$C$7:$C$106,0)),"TANIMSIZ MÜŞTERİ"))))</f>
        <v/>
      </c>
      <c r="E130" s="109" t="n"/>
      <c r="F130" s="109" t="n"/>
      <c r="G130" s="108" t="n"/>
      <c r="H130" s="225" t="n"/>
      <c r="I130" s="225" t="n"/>
      <c r="J130" s="108" t="n"/>
      <c r="K130" s="108" t="n"/>
      <c r="L130" s="109" t="n"/>
      <c r="M130" s="109" t="n"/>
      <c r="N130" s="109" t="n"/>
      <c r="O130" s="225" t="n"/>
      <c r="P130" s="232">
        <f>IF(OR($E130="",$I130=""),"",IF(OR($J130="Tamamlandı",$J130="İptal"),"",$I130-TODAY()))</f>
        <v/>
      </c>
      <c r="Q130" s="113">
        <f>IF($E130="","",IF($D130="TANIMSIZ MÜŞTERİ","HATA",IF(OR($J130="Tamamlandı",$J130="İptal"),"KAPALI",IF(AND($C130="Görüşme",$N130=""),"SONRAKİ İŞLEM EKSİK",IF($I130="","TARİH EKSİK",IF($I130&lt;TODAY(),"GECİKMİŞ",IF($I130=TODAY(),"BUGÜN",IF($I130&lt;=TODAY()+7,"7 GÜN İÇİNDE","PLANLI"))))))))</f>
        <v/>
      </c>
      <c r="R130" s="6" t="n"/>
      <c r="S130" s="6" t="n"/>
    </row>
    <row r="131">
      <c r="A131" s="6" t="n"/>
      <c r="B131" s="113">
        <f>IF($E131="","","A"&amp;TEXT(ROW()-6,"00000"))</f>
        <v/>
      </c>
      <c r="C131" s="108" t="n"/>
      <c r="D131" s="113">
        <f>IF($E131="","",IFERROR(INDEX(MUSTERILER!$B$7:$B$106,MATCH($E131,MUSTERILER!$C$7:$C$106,0)),IFERROR(INDEX(MUSTERILER!$B$7:$B$106,MATCH($E131,MUSTERILER!$B$7:$B$106,0)),IFERROR(INDEX(MUSTERILER!$B$7:$B$106,MATCH($E131&amp;"*",MUSTERILER!$C$7:$C$106,0)),"TANIMSIZ MÜŞTERİ"))))</f>
        <v/>
      </c>
      <c r="E131" s="109" t="n"/>
      <c r="F131" s="109" t="n"/>
      <c r="G131" s="108" t="n"/>
      <c r="H131" s="225" t="n"/>
      <c r="I131" s="225" t="n"/>
      <c r="J131" s="108" t="n"/>
      <c r="K131" s="108" t="n"/>
      <c r="L131" s="109" t="n"/>
      <c r="M131" s="109" t="n"/>
      <c r="N131" s="109" t="n"/>
      <c r="O131" s="225" t="n"/>
      <c r="P131" s="232">
        <f>IF(OR($E131="",$I131=""),"",IF(OR($J131="Tamamlandı",$J131="İptal"),"",$I131-TODAY()))</f>
        <v/>
      </c>
      <c r="Q131" s="113">
        <f>IF($E131="","",IF($D131="TANIMSIZ MÜŞTERİ","HATA",IF(OR($J131="Tamamlandı",$J131="İptal"),"KAPALI",IF(AND($C131="Görüşme",$N131=""),"SONRAKİ İŞLEM EKSİK",IF($I131="","TARİH EKSİK",IF($I131&lt;TODAY(),"GECİKMİŞ",IF($I131=TODAY(),"BUGÜN",IF($I131&lt;=TODAY()+7,"7 GÜN İÇİNDE","PLANLI"))))))))</f>
        <v/>
      </c>
      <c r="R131" s="6" t="n"/>
      <c r="S131" s="6" t="n"/>
    </row>
    <row r="132">
      <c r="A132" s="6" t="n"/>
      <c r="B132" s="113">
        <f>IF($E132="","","A"&amp;TEXT(ROW()-6,"00000"))</f>
        <v/>
      </c>
      <c r="C132" s="108" t="n"/>
      <c r="D132" s="113">
        <f>IF($E132="","",IFERROR(INDEX(MUSTERILER!$B$7:$B$106,MATCH($E132,MUSTERILER!$C$7:$C$106,0)),IFERROR(INDEX(MUSTERILER!$B$7:$B$106,MATCH($E132,MUSTERILER!$B$7:$B$106,0)),IFERROR(INDEX(MUSTERILER!$B$7:$B$106,MATCH($E132&amp;"*",MUSTERILER!$C$7:$C$106,0)),"TANIMSIZ MÜŞTERİ"))))</f>
        <v/>
      </c>
      <c r="E132" s="109" t="n"/>
      <c r="F132" s="109" t="n"/>
      <c r="G132" s="108" t="n"/>
      <c r="H132" s="225" t="n"/>
      <c r="I132" s="225" t="n"/>
      <c r="J132" s="108" t="n"/>
      <c r="K132" s="108" t="n"/>
      <c r="L132" s="109" t="n"/>
      <c r="M132" s="109" t="n"/>
      <c r="N132" s="109" t="n"/>
      <c r="O132" s="225" t="n"/>
      <c r="P132" s="232">
        <f>IF(OR($E132="",$I132=""),"",IF(OR($J132="Tamamlandı",$J132="İptal"),"",$I132-TODAY()))</f>
        <v/>
      </c>
      <c r="Q132" s="113">
        <f>IF($E132="","",IF($D132="TANIMSIZ MÜŞTERİ","HATA",IF(OR($J132="Tamamlandı",$J132="İptal"),"KAPALI",IF(AND($C132="Görüşme",$N132=""),"SONRAKİ İŞLEM EKSİK",IF($I132="","TARİH EKSİK",IF($I132&lt;TODAY(),"GECİKMİŞ",IF($I132=TODAY(),"BUGÜN",IF($I132&lt;=TODAY()+7,"7 GÜN İÇİNDE","PLANLI"))))))))</f>
        <v/>
      </c>
      <c r="R132" s="6" t="n"/>
      <c r="S132" s="6" t="n"/>
    </row>
    <row r="133">
      <c r="A133" s="6" t="n"/>
      <c r="B133" s="113">
        <f>IF($E133="","","A"&amp;TEXT(ROW()-6,"00000"))</f>
        <v/>
      </c>
      <c r="C133" s="108" t="n"/>
      <c r="D133" s="113">
        <f>IF($E133="","",IFERROR(INDEX(MUSTERILER!$B$7:$B$106,MATCH($E133,MUSTERILER!$C$7:$C$106,0)),IFERROR(INDEX(MUSTERILER!$B$7:$B$106,MATCH($E133,MUSTERILER!$B$7:$B$106,0)),IFERROR(INDEX(MUSTERILER!$B$7:$B$106,MATCH($E133&amp;"*",MUSTERILER!$C$7:$C$106,0)),"TANIMSIZ MÜŞTERİ"))))</f>
        <v/>
      </c>
      <c r="E133" s="109" t="n"/>
      <c r="F133" s="109" t="n"/>
      <c r="G133" s="108" t="n"/>
      <c r="H133" s="225" t="n"/>
      <c r="I133" s="225" t="n"/>
      <c r="J133" s="108" t="n"/>
      <c r="K133" s="108" t="n"/>
      <c r="L133" s="109" t="n"/>
      <c r="M133" s="109" t="n"/>
      <c r="N133" s="109" t="n"/>
      <c r="O133" s="225" t="n"/>
      <c r="P133" s="232">
        <f>IF(OR($E133="",$I133=""),"",IF(OR($J133="Tamamlandı",$J133="İptal"),"",$I133-TODAY()))</f>
        <v/>
      </c>
      <c r="Q133" s="113">
        <f>IF($E133="","",IF($D133="TANIMSIZ MÜŞTERİ","HATA",IF(OR($J133="Tamamlandı",$J133="İptal"),"KAPALI",IF(AND($C133="Görüşme",$N133=""),"SONRAKİ İŞLEM EKSİK",IF($I133="","TARİH EKSİK",IF($I133&lt;TODAY(),"GECİKMİŞ",IF($I133=TODAY(),"BUGÜN",IF($I133&lt;=TODAY()+7,"7 GÜN İÇİNDE","PLANLI"))))))))</f>
        <v/>
      </c>
      <c r="R133" s="6" t="n"/>
      <c r="S133" s="6" t="n"/>
    </row>
    <row r="134">
      <c r="A134" s="6" t="n"/>
      <c r="B134" s="113">
        <f>IF($E134="","","A"&amp;TEXT(ROW()-6,"00000"))</f>
        <v/>
      </c>
      <c r="C134" s="108" t="n"/>
      <c r="D134" s="113">
        <f>IF($E134="","",IFERROR(INDEX(MUSTERILER!$B$7:$B$106,MATCH($E134,MUSTERILER!$C$7:$C$106,0)),IFERROR(INDEX(MUSTERILER!$B$7:$B$106,MATCH($E134,MUSTERILER!$B$7:$B$106,0)),IFERROR(INDEX(MUSTERILER!$B$7:$B$106,MATCH($E134&amp;"*",MUSTERILER!$C$7:$C$106,0)),"TANIMSIZ MÜŞTERİ"))))</f>
        <v/>
      </c>
      <c r="E134" s="109" t="n"/>
      <c r="F134" s="109" t="n"/>
      <c r="G134" s="108" t="n"/>
      <c r="H134" s="225" t="n"/>
      <c r="I134" s="225" t="n"/>
      <c r="J134" s="108" t="n"/>
      <c r="K134" s="108" t="n"/>
      <c r="L134" s="109" t="n"/>
      <c r="M134" s="109" t="n"/>
      <c r="N134" s="109" t="n"/>
      <c r="O134" s="225" t="n"/>
      <c r="P134" s="232">
        <f>IF(OR($E134="",$I134=""),"",IF(OR($J134="Tamamlandı",$J134="İptal"),"",$I134-TODAY()))</f>
        <v/>
      </c>
      <c r="Q134" s="113">
        <f>IF($E134="","",IF($D134="TANIMSIZ MÜŞTERİ","HATA",IF(OR($J134="Tamamlandı",$J134="İptal"),"KAPALI",IF(AND($C134="Görüşme",$N134=""),"SONRAKİ İŞLEM EKSİK",IF($I134="","TARİH EKSİK",IF($I134&lt;TODAY(),"GECİKMİŞ",IF($I134=TODAY(),"BUGÜN",IF($I134&lt;=TODAY()+7,"7 GÜN İÇİNDE","PLANLI"))))))))</f>
        <v/>
      </c>
      <c r="R134" s="6" t="n"/>
      <c r="S134" s="6" t="n"/>
    </row>
    <row r="135">
      <c r="A135" s="6" t="n"/>
      <c r="B135" s="113">
        <f>IF($E135="","","A"&amp;TEXT(ROW()-6,"00000"))</f>
        <v/>
      </c>
      <c r="C135" s="108" t="n"/>
      <c r="D135" s="113">
        <f>IF($E135="","",IFERROR(INDEX(MUSTERILER!$B$7:$B$106,MATCH($E135,MUSTERILER!$C$7:$C$106,0)),IFERROR(INDEX(MUSTERILER!$B$7:$B$106,MATCH($E135,MUSTERILER!$B$7:$B$106,0)),IFERROR(INDEX(MUSTERILER!$B$7:$B$106,MATCH($E135&amp;"*",MUSTERILER!$C$7:$C$106,0)),"TANIMSIZ MÜŞTERİ"))))</f>
        <v/>
      </c>
      <c r="E135" s="109" t="n"/>
      <c r="F135" s="109" t="n"/>
      <c r="G135" s="108" t="n"/>
      <c r="H135" s="225" t="n"/>
      <c r="I135" s="225" t="n"/>
      <c r="J135" s="108" t="n"/>
      <c r="K135" s="108" t="n"/>
      <c r="L135" s="109" t="n"/>
      <c r="M135" s="109" t="n"/>
      <c r="N135" s="109" t="n"/>
      <c r="O135" s="225" t="n"/>
      <c r="P135" s="232">
        <f>IF(OR($E135="",$I135=""),"",IF(OR($J135="Tamamlandı",$J135="İptal"),"",$I135-TODAY()))</f>
        <v/>
      </c>
      <c r="Q135" s="113">
        <f>IF($E135="","",IF($D135="TANIMSIZ MÜŞTERİ","HATA",IF(OR($J135="Tamamlandı",$J135="İptal"),"KAPALI",IF(AND($C135="Görüşme",$N135=""),"SONRAKİ İŞLEM EKSİK",IF($I135="","TARİH EKSİK",IF($I135&lt;TODAY(),"GECİKMİŞ",IF($I135=TODAY(),"BUGÜN",IF($I135&lt;=TODAY()+7,"7 GÜN İÇİNDE","PLANLI"))))))))</f>
        <v/>
      </c>
      <c r="R135" s="6" t="n"/>
      <c r="S135" s="6" t="n"/>
    </row>
    <row r="136">
      <c r="A136" s="6" t="n"/>
      <c r="B136" s="113">
        <f>IF($E136="","","A"&amp;TEXT(ROW()-6,"00000"))</f>
        <v/>
      </c>
      <c r="C136" s="108" t="n"/>
      <c r="D136" s="113">
        <f>IF($E136="","",IFERROR(INDEX(MUSTERILER!$B$7:$B$106,MATCH($E136,MUSTERILER!$C$7:$C$106,0)),IFERROR(INDEX(MUSTERILER!$B$7:$B$106,MATCH($E136,MUSTERILER!$B$7:$B$106,0)),IFERROR(INDEX(MUSTERILER!$B$7:$B$106,MATCH($E136&amp;"*",MUSTERILER!$C$7:$C$106,0)),"TANIMSIZ MÜŞTERİ"))))</f>
        <v/>
      </c>
      <c r="E136" s="109" t="n"/>
      <c r="F136" s="109" t="n"/>
      <c r="G136" s="108" t="n"/>
      <c r="H136" s="225" t="n"/>
      <c r="I136" s="225" t="n"/>
      <c r="J136" s="108" t="n"/>
      <c r="K136" s="108" t="n"/>
      <c r="L136" s="109" t="n"/>
      <c r="M136" s="109" t="n"/>
      <c r="N136" s="109" t="n"/>
      <c r="O136" s="225" t="n"/>
      <c r="P136" s="232">
        <f>IF(OR($E136="",$I136=""),"",IF(OR($J136="Tamamlandı",$J136="İptal"),"",$I136-TODAY()))</f>
        <v/>
      </c>
      <c r="Q136" s="113">
        <f>IF($E136="","",IF($D136="TANIMSIZ MÜŞTERİ","HATA",IF(OR($J136="Tamamlandı",$J136="İptal"),"KAPALI",IF(AND($C136="Görüşme",$N136=""),"SONRAKİ İŞLEM EKSİK",IF($I136="","TARİH EKSİK",IF($I136&lt;TODAY(),"GECİKMİŞ",IF($I136=TODAY(),"BUGÜN",IF($I136&lt;=TODAY()+7,"7 GÜN İÇİNDE","PLANLI"))))))))</f>
        <v/>
      </c>
      <c r="R136" s="6" t="n"/>
      <c r="S136" s="6" t="n"/>
    </row>
    <row r="137">
      <c r="A137" s="6" t="n"/>
      <c r="B137" s="113">
        <f>IF($E137="","","A"&amp;TEXT(ROW()-6,"00000"))</f>
        <v/>
      </c>
      <c r="C137" s="108" t="n"/>
      <c r="D137" s="113">
        <f>IF($E137="","",IFERROR(INDEX(MUSTERILER!$B$7:$B$106,MATCH($E137,MUSTERILER!$C$7:$C$106,0)),IFERROR(INDEX(MUSTERILER!$B$7:$B$106,MATCH($E137,MUSTERILER!$B$7:$B$106,0)),IFERROR(INDEX(MUSTERILER!$B$7:$B$106,MATCH($E137&amp;"*",MUSTERILER!$C$7:$C$106,0)),"TANIMSIZ MÜŞTERİ"))))</f>
        <v/>
      </c>
      <c r="E137" s="109" t="n"/>
      <c r="F137" s="109" t="n"/>
      <c r="G137" s="108" t="n"/>
      <c r="H137" s="225" t="n"/>
      <c r="I137" s="225" t="n"/>
      <c r="J137" s="108" t="n"/>
      <c r="K137" s="108" t="n"/>
      <c r="L137" s="109" t="n"/>
      <c r="M137" s="109" t="n"/>
      <c r="N137" s="109" t="n"/>
      <c r="O137" s="225" t="n"/>
      <c r="P137" s="232">
        <f>IF(OR($E137="",$I137=""),"",IF(OR($J137="Tamamlandı",$J137="İptal"),"",$I137-TODAY()))</f>
        <v/>
      </c>
      <c r="Q137" s="113">
        <f>IF($E137="","",IF($D137="TANIMSIZ MÜŞTERİ","HATA",IF(OR($J137="Tamamlandı",$J137="İptal"),"KAPALI",IF(AND($C137="Görüşme",$N137=""),"SONRAKİ İŞLEM EKSİK",IF($I137="","TARİH EKSİK",IF($I137&lt;TODAY(),"GECİKMİŞ",IF($I137=TODAY(),"BUGÜN",IF($I137&lt;=TODAY()+7,"7 GÜN İÇİNDE","PLANLI"))))))))</f>
        <v/>
      </c>
      <c r="R137" s="6" t="n"/>
      <c r="S137" s="6" t="n"/>
    </row>
    <row r="138">
      <c r="A138" s="6" t="n"/>
      <c r="B138" s="113">
        <f>IF($E138="","","A"&amp;TEXT(ROW()-6,"00000"))</f>
        <v/>
      </c>
      <c r="C138" s="108" t="n"/>
      <c r="D138" s="113">
        <f>IF($E138="","",IFERROR(INDEX(MUSTERILER!$B$7:$B$106,MATCH($E138,MUSTERILER!$C$7:$C$106,0)),IFERROR(INDEX(MUSTERILER!$B$7:$B$106,MATCH($E138,MUSTERILER!$B$7:$B$106,0)),IFERROR(INDEX(MUSTERILER!$B$7:$B$106,MATCH($E138&amp;"*",MUSTERILER!$C$7:$C$106,0)),"TANIMSIZ MÜŞTERİ"))))</f>
        <v/>
      </c>
      <c r="E138" s="109" t="n"/>
      <c r="F138" s="109" t="n"/>
      <c r="G138" s="108" t="n"/>
      <c r="H138" s="225" t="n"/>
      <c r="I138" s="225" t="n"/>
      <c r="J138" s="108" t="n"/>
      <c r="K138" s="108" t="n"/>
      <c r="L138" s="109" t="n"/>
      <c r="M138" s="109" t="n"/>
      <c r="N138" s="109" t="n"/>
      <c r="O138" s="225" t="n"/>
      <c r="P138" s="232">
        <f>IF(OR($E138="",$I138=""),"",IF(OR($J138="Tamamlandı",$J138="İptal"),"",$I138-TODAY()))</f>
        <v/>
      </c>
      <c r="Q138" s="113">
        <f>IF($E138="","",IF($D138="TANIMSIZ MÜŞTERİ","HATA",IF(OR($J138="Tamamlandı",$J138="İptal"),"KAPALI",IF(AND($C138="Görüşme",$N138=""),"SONRAKİ İŞLEM EKSİK",IF($I138="","TARİH EKSİK",IF($I138&lt;TODAY(),"GECİKMİŞ",IF($I138=TODAY(),"BUGÜN",IF($I138&lt;=TODAY()+7,"7 GÜN İÇİNDE","PLANLI"))))))))</f>
        <v/>
      </c>
      <c r="R138" s="6" t="n"/>
      <c r="S138" s="6" t="n"/>
    </row>
    <row r="139">
      <c r="A139" s="6" t="n"/>
      <c r="B139" s="113">
        <f>IF($E139="","","A"&amp;TEXT(ROW()-6,"00000"))</f>
        <v/>
      </c>
      <c r="C139" s="108" t="n"/>
      <c r="D139" s="113">
        <f>IF($E139="","",IFERROR(INDEX(MUSTERILER!$B$7:$B$106,MATCH($E139,MUSTERILER!$C$7:$C$106,0)),IFERROR(INDEX(MUSTERILER!$B$7:$B$106,MATCH($E139,MUSTERILER!$B$7:$B$106,0)),IFERROR(INDEX(MUSTERILER!$B$7:$B$106,MATCH($E139&amp;"*",MUSTERILER!$C$7:$C$106,0)),"TANIMSIZ MÜŞTERİ"))))</f>
        <v/>
      </c>
      <c r="E139" s="109" t="n"/>
      <c r="F139" s="109" t="n"/>
      <c r="G139" s="108" t="n"/>
      <c r="H139" s="225" t="n"/>
      <c r="I139" s="225" t="n"/>
      <c r="J139" s="108" t="n"/>
      <c r="K139" s="108" t="n"/>
      <c r="L139" s="109" t="n"/>
      <c r="M139" s="109" t="n"/>
      <c r="N139" s="109" t="n"/>
      <c r="O139" s="225" t="n"/>
      <c r="P139" s="232">
        <f>IF(OR($E139="",$I139=""),"",IF(OR($J139="Tamamlandı",$J139="İptal"),"",$I139-TODAY()))</f>
        <v/>
      </c>
      <c r="Q139" s="113">
        <f>IF($E139="","",IF($D139="TANIMSIZ MÜŞTERİ","HATA",IF(OR($J139="Tamamlandı",$J139="İptal"),"KAPALI",IF(AND($C139="Görüşme",$N139=""),"SONRAKİ İŞLEM EKSİK",IF($I139="","TARİH EKSİK",IF($I139&lt;TODAY(),"GECİKMİŞ",IF($I139=TODAY(),"BUGÜN",IF($I139&lt;=TODAY()+7,"7 GÜN İÇİNDE","PLANLI"))))))))</f>
        <v/>
      </c>
      <c r="R139" s="6" t="n"/>
      <c r="S139" s="6" t="n"/>
    </row>
    <row r="140">
      <c r="A140" s="6" t="n"/>
      <c r="B140" s="113">
        <f>IF($E140="","","A"&amp;TEXT(ROW()-6,"00000"))</f>
        <v/>
      </c>
      <c r="C140" s="108" t="n"/>
      <c r="D140" s="113">
        <f>IF($E140="","",IFERROR(INDEX(MUSTERILER!$B$7:$B$106,MATCH($E140,MUSTERILER!$C$7:$C$106,0)),IFERROR(INDEX(MUSTERILER!$B$7:$B$106,MATCH($E140,MUSTERILER!$B$7:$B$106,0)),IFERROR(INDEX(MUSTERILER!$B$7:$B$106,MATCH($E140&amp;"*",MUSTERILER!$C$7:$C$106,0)),"TANIMSIZ MÜŞTERİ"))))</f>
        <v/>
      </c>
      <c r="E140" s="109" t="n"/>
      <c r="F140" s="109" t="n"/>
      <c r="G140" s="108" t="n"/>
      <c r="H140" s="225" t="n"/>
      <c r="I140" s="225" t="n"/>
      <c r="J140" s="108" t="n"/>
      <c r="K140" s="108" t="n"/>
      <c r="L140" s="109" t="n"/>
      <c r="M140" s="109" t="n"/>
      <c r="N140" s="109" t="n"/>
      <c r="O140" s="225" t="n"/>
      <c r="P140" s="232">
        <f>IF(OR($E140="",$I140=""),"",IF(OR($J140="Tamamlandı",$J140="İptal"),"",$I140-TODAY()))</f>
        <v/>
      </c>
      <c r="Q140" s="113">
        <f>IF($E140="","",IF($D140="TANIMSIZ MÜŞTERİ","HATA",IF(OR($J140="Tamamlandı",$J140="İptal"),"KAPALI",IF(AND($C140="Görüşme",$N140=""),"SONRAKİ İŞLEM EKSİK",IF($I140="","TARİH EKSİK",IF($I140&lt;TODAY(),"GECİKMİŞ",IF($I140=TODAY(),"BUGÜN",IF($I140&lt;=TODAY()+7,"7 GÜN İÇİNDE","PLANLI"))))))))</f>
        <v/>
      </c>
      <c r="R140" s="6" t="n"/>
      <c r="S140" s="6" t="n"/>
    </row>
    <row r="141">
      <c r="A141" s="6" t="n"/>
      <c r="B141" s="113">
        <f>IF($E141="","","A"&amp;TEXT(ROW()-6,"00000"))</f>
        <v/>
      </c>
      <c r="C141" s="108" t="n"/>
      <c r="D141" s="113">
        <f>IF($E141="","",IFERROR(INDEX(MUSTERILER!$B$7:$B$106,MATCH($E141,MUSTERILER!$C$7:$C$106,0)),IFERROR(INDEX(MUSTERILER!$B$7:$B$106,MATCH($E141,MUSTERILER!$B$7:$B$106,0)),IFERROR(INDEX(MUSTERILER!$B$7:$B$106,MATCH($E141&amp;"*",MUSTERILER!$C$7:$C$106,0)),"TANIMSIZ MÜŞTERİ"))))</f>
        <v/>
      </c>
      <c r="E141" s="109" t="n"/>
      <c r="F141" s="109" t="n"/>
      <c r="G141" s="108" t="n"/>
      <c r="H141" s="225" t="n"/>
      <c r="I141" s="225" t="n"/>
      <c r="J141" s="108" t="n"/>
      <c r="K141" s="108" t="n"/>
      <c r="L141" s="109" t="n"/>
      <c r="M141" s="109" t="n"/>
      <c r="N141" s="109" t="n"/>
      <c r="O141" s="225" t="n"/>
      <c r="P141" s="232">
        <f>IF(OR($E141="",$I141=""),"",IF(OR($J141="Tamamlandı",$J141="İptal"),"",$I141-TODAY()))</f>
        <v/>
      </c>
      <c r="Q141" s="113">
        <f>IF($E141="","",IF($D141="TANIMSIZ MÜŞTERİ","HATA",IF(OR($J141="Tamamlandı",$J141="İptal"),"KAPALI",IF(AND($C141="Görüşme",$N141=""),"SONRAKİ İŞLEM EKSİK",IF($I141="","TARİH EKSİK",IF($I141&lt;TODAY(),"GECİKMİŞ",IF($I141=TODAY(),"BUGÜN",IF($I141&lt;=TODAY()+7,"7 GÜN İÇİNDE","PLANLI"))))))))</f>
        <v/>
      </c>
      <c r="R141" s="6" t="n"/>
      <c r="S141" s="6" t="n"/>
    </row>
    <row r="142">
      <c r="A142" s="6" t="n"/>
      <c r="B142" s="113">
        <f>IF($E142="","","A"&amp;TEXT(ROW()-6,"00000"))</f>
        <v/>
      </c>
      <c r="C142" s="108" t="n"/>
      <c r="D142" s="113">
        <f>IF($E142="","",IFERROR(INDEX(MUSTERILER!$B$7:$B$106,MATCH($E142,MUSTERILER!$C$7:$C$106,0)),IFERROR(INDEX(MUSTERILER!$B$7:$B$106,MATCH($E142,MUSTERILER!$B$7:$B$106,0)),IFERROR(INDEX(MUSTERILER!$B$7:$B$106,MATCH($E142&amp;"*",MUSTERILER!$C$7:$C$106,0)),"TANIMSIZ MÜŞTERİ"))))</f>
        <v/>
      </c>
      <c r="E142" s="109" t="n"/>
      <c r="F142" s="109" t="n"/>
      <c r="G142" s="108" t="n"/>
      <c r="H142" s="225" t="n"/>
      <c r="I142" s="225" t="n"/>
      <c r="J142" s="108" t="n"/>
      <c r="K142" s="108" t="n"/>
      <c r="L142" s="109" t="n"/>
      <c r="M142" s="109" t="n"/>
      <c r="N142" s="109" t="n"/>
      <c r="O142" s="225" t="n"/>
      <c r="P142" s="232">
        <f>IF(OR($E142="",$I142=""),"",IF(OR($J142="Tamamlandı",$J142="İptal"),"",$I142-TODAY()))</f>
        <v/>
      </c>
      <c r="Q142" s="113">
        <f>IF($E142="","",IF($D142="TANIMSIZ MÜŞTERİ","HATA",IF(OR($J142="Tamamlandı",$J142="İptal"),"KAPALI",IF(AND($C142="Görüşme",$N142=""),"SONRAKİ İŞLEM EKSİK",IF($I142="","TARİH EKSİK",IF($I142&lt;TODAY(),"GECİKMİŞ",IF($I142=TODAY(),"BUGÜN",IF($I142&lt;=TODAY()+7,"7 GÜN İÇİNDE","PLANLI"))))))))</f>
        <v/>
      </c>
      <c r="R142" s="6" t="n"/>
      <c r="S142" s="6" t="n"/>
    </row>
    <row r="143">
      <c r="A143" s="6" t="n"/>
      <c r="B143" s="113">
        <f>IF($E143="","","A"&amp;TEXT(ROW()-6,"00000"))</f>
        <v/>
      </c>
      <c r="C143" s="108" t="n"/>
      <c r="D143" s="113">
        <f>IF($E143="","",IFERROR(INDEX(MUSTERILER!$B$7:$B$106,MATCH($E143,MUSTERILER!$C$7:$C$106,0)),IFERROR(INDEX(MUSTERILER!$B$7:$B$106,MATCH($E143,MUSTERILER!$B$7:$B$106,0)),IFERROR(INDEX(MUSTERILER!$B$7:$B$106,MATCH($E143&amp;"*",MUSTERILER!$C$7:$C$106,0)),"TANIMSIZ MÜŞTERİ"))))</f>
        <v/>
      </c>
      <c r="E143" s="109" t="n"/>
      <c r="F143" s="109" t="n"/>
      <c r="G143" s="108" t="n"/>
      <c r="H143" s="225" t="n"/>
      <c r="I143" s="225" t="n"/>
      <c r="J143" s="108" t="n"/>
      <c r="K143" s="108" t="n"/>
      <c r="L143" s="109" t="n"/>
      <c r="M143" s="109" t="n"/>
      <c r="N143" s="109" t="n"/>
      <c r="O143" s="225" t="n"/>
      <c r="P143" s="232">
        <f>IF(OR($E143="",$I143=""),"",IF(OR($J143="Tamamlandı",$J143="İptal"),"",$I143-TODAY()))</f>
        <v/>
      </c>
      <c r="Q143" s="113">
        <f>IF($E143="","",IF($D143="TANIMSIZ MÜŞTERİ","HATA",IF(OR($J143="Tamamlandı",$J143="İptal"),"KAPALI",IF(AND($C143="Görüşme",$N143=""),"SONRAKİ İŞLEM EKSİK",IF($I143="","TARİH EKSİK",IF($I143&lt;TODAY(),"GECİKMİŞ",IF($I143=TODAY(),"BUGÜN",IF($I143&lt;=TODAY()+7,"7 GÜN İÇİNDE","PLANLI"))))))))</f>
        <v/>
      </c>
      <c r="R143" s="6" t="n"/>
      <c r="S143" s="6" t="n"/>
    </row>
    <row r="144">
      <c r="A144" s="6" t="n"/>
      <c r="B144" s="113">
        <f>IF($E144="","","A"&amp;TEXT(ROW()-6,"00000"))</f>
        <v/>
      </c>
      <c r="C144" s="108" t="n"/>
      <c r="D144" s="113">
        <f>IF($E144="","",IFERROR(INDEX(MUSTERILER!$B$7:$B$106,MATCH($E144,MUSTERILER!$C$7:$C$106,0)),IFERROR(INDEX(MUSTERILER!$B$7:$B$106,MATCH($E144,MUSTERILER!$B$7:$B$106,0)),IFERROR(INDEX(MUSTERILER!$B$7:$B$106,MATCH($E144&amp;"*",MUSTERILER!$C$7:$C$106,0)),"TANIMSIZ MÜŞTERİ"))))</f>
        <v/>
      </c>
      <c r="E144" s="109" t="n"/>
      <c r="F144" s="109" t="n"/>
      <c r="G144" s="108" t="n"/>
      <c r="H144" s="225" t="n"/>
      <c r="I144" s="225" t="n"/>
      <c r="J144" s="108" t="n"/>
      <c r="K144" s="108" t="n"/>
      <c r="L144" s="109" t="n"/>
      <c r="M144" s="109" t="n"/>
      <c r="N144" s="109" t="n"/>
      <c r="O144" s="225" t="n"/>
      <c r="P144" s="232">
        <f>IF(OR($E144="",$I144=""),"",IF(OR($J144="Tamamlandı",$J144="İptal"),"",$I144-TODAY()))</f>
        <v/>
      </c>
      <c r="Q144" s="113">
        <f>IF($E144="","",IF($D144="TANIMSIZ MÜŞTERİ","HATA",IF(OR($J144="Tamamlandı",$J144="İptal"),"KAPALI",IF(AND($C144="Görüşme",$N144=""),"SONRAKİ İŞLEM EKSİK",IF($I144="","TARİH EKSİK",IF($I144&lt;TODAY(),"GECİKMİŞ",IF($I144=TODAY(),"BUGÜN",IF($I144&lt;=TODAY()+7,"7 GÜN İÇİNDE","PLANLI"))))))))</f>
        <v/>
      </c>
      <c r="R144" s="6" t="n"/>
      <c r="S144" s="6" t="n"/>
    </row>
    <row r="145">
      <c r="A145" s="6" t="n"/>
      <c r="B145" s="113">
        <f>IF($E145="","","A"&amp;TEXT(ROW()-6,"00000"))</f>
        <v/>
      </c>
      <c r="C145" s="108" t="n"/>
      <c r="D145" s="113">
        <f>IF($E145="","",IFERROR(INDEX(MUSTERILER!$B$7:$B$106,MATCH($E145,MUSTERILER!$C$7:$C$106,0)),IFERROR(INDEX(MUSTERILER!$B$7:$B$106,MATCH($E145,MUSTERILER!$B$7:$B$106,0)),IFERROR(INDEX(MUSTERILER!$B$7:$B$106,MATCH($E145&amp;"*",MUSTERILER!$C$7:$C$106,0)),"TANIMSIZ MÜŞTERİ"))))</f>
        <v/>
      </c>
      <c r="E145" s="109" t="n"/>
      <c r="F145" s="109" t="n"/>
      <c r="G145" s="108" t="n"/>
      <c r="H145" s="225" t="n"/>
      <c r="I145" s="225" t="n"/>
      <c r="J145" s="108" t="n"/>
      <c r="K145" s="108" t="n"/>
      <c r="L145" s="109" t="n"/>
      <c r="M145" s="109" t="n"/>
      <c r="N145" s="109" t="n"/>
      <c r="O145" s="225" t="n"/>
      <c r="P145" s="232">
        <f>IF(OR($E145="",$I145=""),"",IF(OR($J145="Tamamlandı",$J145="İptal"),"",$I145-TODAY()))</f>
        <v/>
      </c>
      <c r="Q145" s="113">
        <f>IF($E145="","",IF($D145="TANIMSIZ MÜŞTERİ","HATA",IF(OR($J145="Tamamlandı",$J145="İptal"),"KAPALI",IF(AND($C145="Görüşme",$N145=""),"SONRAKİ İŞLEM EKSİK",IF($I145="","TARİH EKSİK",IF($I145&lt;TODAY(),"GECİKMİŞ",IF($I145=TODAY(),"BUGÜN",IF($I145&lt;=TODAY()+7,"7 GÜN İÇİNDE","PLANLI"))))))))</f>
        <v/>
      </c>
      <c r="R145" s="6" t="n"/>
      <c r="S145" s="6" t="n"/>
    </row>
    <row r="146">
      <c r="A146" s="6" t="n"/>
      <c r="B146" s="113">
        <f>IF($E146="","","A"&amp;TEXT(ROW()-6,"00000"))</f>
        <v/>
      </c>
      <c r="C146" s="108" t="n"/>
      <c r="D146" s="113">
        <f>IF($E146="","",IFERROR(INDEX(MUSTERILER!$B$7:$B$106,MATCH($E146,MUSTERILER!$C$7:$C$106,0)),IFERROR(INDEX(MUSTERILER!$B$7:$B$106,MATCH($E146,MUSTERILER!$B$7:$B$106,0)),IFERROR(INDEX(MUSTERILER!$B$7:$B$106,MATCH($E146&amp;"*",MUSTERILER!$C$7:$C$106,0)),"TANIMSIZ MÜŞTERİ"))))</f>
        <v/>
      </c>
      <c r="E146" s="109" t="n"/>
      <c r="F146" s="109" t="n"/>
      <c r="G146" s="108" t="n"/>
      <c r="H146" s="225" t="n"/>
      <c r="I146" s="225" t="n"/>
      <c r="J146" s="108" t="n"/>
      <c r="K146" s="108" t="n"/>
      <c r="L146" s="109" t="n"/>
      <c r="M146" s="109" t="n"/>
      <c r="N146" s="109" t="n"/>
      <c r="O146" s="225" t="n"/>
      <c r="P146" s="232">
        <f>IF(OR($E146="",$I146=""),"",IF(OR($J146="Tamamlandı",$J146="İptal"),"",$I146-TODAY()))</f>
        <v/>
      </c>
      <c r="Q146" s="113">
        <f>IF($E146="","",IF($D146="TANIMSIZ MÜŞTERİ","HATA",IF(OR($J146="Tamamlandı",$J146="İptal"),"KAPALI",IF(AND($C146="Görüşme",$N146=""),"SONRAKİ İŞLEM EKSİK",IF($I146="","TARİH EKSİK",IF($I146&lt;TODAY(),"GECİKMİŞ",IF($I146=TODAY(),"BUGÜN",IF($I146&lt;=TODAY()+7,"7 GÜN İÇİNDE","PLANLI"))))))))</f>
        <v/>
      </c>
      <c r="R146" s="6" t="n"/>
      <c r="S146" s="6" t="n"/>
    </row>
    <row r="147">
      <c r="A147" s="6" t="n"/>
      <c r="B147" s="113">
        <f>IF($E147="","","A"&amp;TEXT(ROW()-6,"00000"))</f>
        <v/>
      </c>
      <c r="C147" s="108" t="n"/>
      <c r="D147" s="113">
        <f>IF($E147="","",IFERROR(INDEX(MUSTERILER!$B$7:$B$106,MATCH($E147,MUSTERILER!$C$7:$C$106,0)),IFERROR(INDEX(MUSTERILER!$B$7:$B$106,MATCH($E147,MUSTERILER!$B$7:$B$106,0)),IFERROR(INDEX(MUSTERILER!$B$7:$B$106,MATCH($E147&amp;"*",MUSTERILER!$C$7:$C$106,0)),"TANIMSIZ MÜŞTERİ"))))</f>
        <v/>
      </c>
      <c r="E147" s="109" t="n"/>
      <c r="F147" s="109" t="n"/>
      <c r="G147" s="108" t="n"/>
      <c r="H147" s="225" t="n"/>
      <c r="I147" s="225" t="n"/>
      <c r="J147" s="108" t="n"/>
      <c r="K147" s="108" t="n"/>
      <c r="L147" s="109" t="n"/>
      <c r="M147" s="109" t="n"/>
      <c r="N147" s="109" t="n"/>
      <c r="O147" s="225" t="n"/>
      <c r="P147" s="232">
        <f>IF(OR($E147="",$I147=""),"",IF(OR($J147="Tamamlandı",$J147="İptal"),"",$I147-TODAY()))</f>
        <v/>
      </c>
      <c r="Q147" s="113">
        <f>IF($E147="","",IF($D147="TANIMSIZ MÜŞTERİ","HATA",IF(OR($J147="Tamamlandı",$J147="İptal"),"KAPALI",IF(AND($C147="Görüşme",$N147=""),"SONRAKİ İŞLEM EKSİK",IF($I147="","TARİH EKSİK",IF($I147&lt;TODAY(),"GECİKMİŞ",IF($I147=TODAY(),"BUGÜN",IF($I147&lt;=TODAY()+7,"7 GÜN İÇİNDE","PLANLI"))))))))</f>
        <v/>
      </c>
      <c r="R147" s="6" t="n"/>
      <c r="S147" s="6" t="n"/>
    </row>
    <row r="148">
      <c r="A148" s="6" t="n"/>
      <c r="B148" s="113">
        <f>IF($E148="","","A"&amp;TEXT(ROW()-6,"00000"))</f>
        <v/>
      </c>
      <c r="C148" s="108" t="n"/>
      <c r="D148" s="113">
        <f>IF($E148="","",IFERROR(INDEX(MUSTERILER!$B$7:$B$106,MATCH($E148,MUSTERILER!$C$7:$C$106,0)),IFERROR(INDEX(MUSTERILER!$B$7:$B$106,MATCH($E148,MUSTERILER!$B$7:$B$106,0)),IFERROR(INDEX(MUSTERILER!$B$7:$B$106,MATCH($E148&amp;"*",MUSTERILER!$C$7:$C$106,0)),"TANIMSIZ MÜŞTERİ"))))</f>
        <v/>
      </c>
      <c r="E148" s="109" t="n"/>
      <c r="F148" s="109" t="n"/>
      <c r="G148" s="108" t="n"/>
      <c r="H148" s="225" t="n"/>
      <c r="I148" s="225" t="n"/>
      <c r="J148" s="108" t="n"/>
      <c r="K148" s="108" t="n"/>
      <c r="L148" s="109" t="n"/>
      <c r="M148" s="109" t="n"/>
      <c r="N148" s="109" t="n"/>
      <c r="O148" s="225" t="n"/>
      <c r="P148" s="232">
        <f>IF(OR($E148="",$I148=""),"",IF(OR($J148="Tamamlandı",$J148="İptal"),"",$I148-TODAY()))</f>
        <v/>
      </c>
      <c r="Q148" s="113">
        <f>IF($E148="","",IF($D148="TANIMSIZ MÜŞTERİ","HATA",IF(OR($J148="Tamamlandı",$J148="İptal"),"KAPALI",IF(AND($C148="Görüşme",$N148=""),"SONRAKİ İŞLEM EKSİK",IF($I148="","TARİH EKSİK",IF($I148&lt;TODAY(),"GECİKMİŞ",IF($I148=TODAY(),"BUGÜN",IF($I148&lt;=TODAY()+7,"7 GÜN İÇİNDE","PLANLI"))))))))</f>
        <v/>
      </c>
      <c r="R148" s="6" t="n"/>
      <c r="S148" s="6" t="n"/>
    </row>
    <row r="149">
      <c r="A149" s="6" t="n"/>
      <c r="B149" s="113">
        <f>IF($E149="","","A"&amp;TEXT(ROW()-6,"00000"))</f>
        <v/>
      </c>
      <c r="C149" s="108" t="n"/>
      <c r="D149" s="113">
        <f>IF($E149="","",IFERROR(INDEX(MUSTERILER!$B$7:$B$106,MATCH($E149,MUSTERILER!$C$7:$C$106,0)),IFERROR(INDEX(MUSTERILER!$B$7:$B$106,MATCH($E149,MUSTERILER!$B$7:$B$106,0)),IFERROR(INDEX(MUSTERILER!$B$7:$B$106,MATCH($E149&amp;"*",MUSTERILER!$C$7:$C$106,0)),"TANIMSIZ MÜŞTERİ"))))</f>
        <v/>
      </c>
      <c r="E149" s="109" t="n"/>
      <c r="F149" s="109" t="n"/>
      <c r="G149" s="108" t="n"/>
      <c r="H149" s="225" t="n"/>
      <c r="I149" s="225" t="n"/>
      <c r="J149" s="108" t="n"/>
      <c r="K149" s="108" t="n"/>
      <c r="L149" s="109" t="n"/>
      <c r="M149" s="109" t="n"/>
      <c r="N149" s="109" t="n"/>
      <c r="O149" s="225" t="n"/>
      <c r="P149" s="232">
        <f>IF(OR($E149="",$I149=""),"",IF(OR($J149="Tamamlandı",$J149="İptal"),"",$I149-TODAY()))</f>
        <v/>
      </c>
      <c r="Q149" s="113">
        <f>IF($E149="","",IF($D149="TANIMSIZ MÜŞTERİ","HATA",IF(OR($J149="Tamamlandı",$J149="İptal"),"KAPALI",IF(AND($C149="Görüşme",$N149=""),"SONRAKİ İŞLEM EKSİK",IF($I149="","TARİH EKSİK",IF($I149&lt;TODAY(),"GECİKMİŞ",IF($I149=TODAY(),"BUGÜN",IF($I149&lt;=TODAY()+7,"7 GÜN İÇİNDE","PLANLI"))))))))</f>
        <v/>
      </c>
      <c r="R149" s="6" t="n"/>
      <c r="S149" s="6" t="n"/>
    </row>
    <row r="150">
      <c r="A150" s="6" t="n"/>
      <c r="B150" s="113">
        <f>IF($E150="","","A"&amp;TEXT(ROW()-6,"00000"))</f>
        <v/>
      </c>
      <c r="C150" s="108" t="n"/>
      <c r="D150" s="113">
        <f>IF($E150="","",IFERROR(INDEX(MUSTERILER!$B$7:$B$106,MATCH($E150,MUSTERILER!$C$7:$C$106,0)),IFERROR(INDEX(MUSTERILER!$B$7:$B$106,MATCH($E150,MUSTERILER!$B$7:$B$106,0)),IFERROR(INDEX(MUSTERILER!$B$7:$B$106,MATCH($E150&amp;"*",MUSTERILER!$C$7:$C$106,0)),"TANIMSIZ MÜŞTERİ"))))</f>
        <v/>
      </c>
      <c r="E150" s="109" t="n"/>
      <c r="F150" s="109" t="n"/>
      <c r="G150" s="108" t="n"/>
      <c r="H150" s="225" t="n"/>
      <c r="I150" s="225" t="n"/>
      <c r="J150" s="108" t="n"/>
      <c r="K150" s="108" t="n"/>
      <c r="L150" s="109" t="n"/>
      <c r="M150" s="109" t="n"/>
      <c r="N150" s="109" t="n"/>
      <c r="O150" s="225" t="n"/>
      <c r="P150" s="232">
        <f>IF(OR($E150="",$I150=""),"",IF(OR($J150="Tamamlandı",$J150="İptal"),"",$I150-TODAY()))</f>
        <v/>
      </c>
      <c r="Q150" s="113">
        <f>IF($E150="","",IF($D150="TANIMSIZ MÜŞTERİ","HATA",IF(OR($J150="Tamamlandı",$J150="İptal"),"KAPALI",IF(AND($C150="Görüşme",$N150=""),"SONRAKİ İŞLEM EKSİK",IF($I150="","TARİH EKSİK",IF($I150&lt;TODAY(),"GECİKMİŞ",IF($I150=TODAY(),"BUGÜN",IF($I150&lt;=TODAY()+7,"7 GÜN İÇİNDE","PLANLI"))))))))</f>
        <v/>
      </c>
      <c r="R150" s="6" t="n"/>
      <c r="S150" s="6" t="n"/>
    </row>
    <row r="151">
      <c r="A151" s="6" t="n"/>
      <c r="B151" s="113">
        <f>IF($E151="","","A"&amp;TEXT(ROW()-6,"00000"))</f>
        <v/>
      </c>
      <c r="C151" s="108" t="n"/>
      <c r="D151" s="113">
        <f>IF($E151="","",IFERROR(INDEX(MUSTERILER!$B$7:$B$106,MATCH($E151,MUSTERILER!$C$7:$C$106,0)),IFERROR(INDEX(MUSTERILER!$B$7:$B$106,MATCH($E151,MUSTERILER!$B$7:$B$106,0)),IFERROR(INDEX(MUSTERILER!$B$7:$B$106,MATCH($E151&amp;"*",MUSTERILER!$C$7:$C$106,0)),"TANIMSIZ MÜŞTERİ"))))</f>
        <v/>
      </c>
      <c r="E151" s="109" t="n"/>
      <c r="F151" s="109" t="n"/>
      <c r="G151" s="108" t="n"/>
      <c r="H151" s="225" t="n"/>
      <c r="I151" s="225" t="n"/>
      <c r="J151" s="108" t="n"/>
      <c r="K151" s="108" t="n"/>
      <c r="L151" s="109" t="n"/>
      <c r="M151" s="109" t="n"/>
      <c r="N151" s="109" t="n"/>
      <c r="O151" s="225" t="n"/>
      <c r="P151" s="232">
        <f>IF(OR($E151="",$I151=""),"",IF(OR($J151="Tamamlandı",$J151="İptal"),"",$I151-TODAY()))</f>
        <v/>
      </c>
      <c r="Q151" s="113">
        <f>IF($E151="","",IF($D151="TANIMSIZ MÜŞTERİ","HATA",IF(OR($J151="Tamamlandı",$J151="İptal"),"KAPALI",IF(AND($C151="Görüşme",$N151=""),"SONRAKİ İŞLEM EKSİK",IF($I151="","TARİH EKSİK",IF($I151&lt;TODAY(),"GECİKMİŞ",IF($I151=TODAY(),"BUGÜN",IF($I151&lt;=TODAY()+7,"7 GÜN İÇİNDE","PLANLI"))))))))</f>
        <v/>
      </c>
      <c r="R151" s="6" t="n"/>
      <c r="S151" s="6" t="n"/>
    </row>
    <row r="152">
      <c r="A152" s="6" t="n"/>
      <c r="B152" s="113">
        <f>IF($E152="","","A"&amp;TEXT(ROW()-6,"00000"))</f>
        <v/>
      </c>
      <c r="C152" s="108" t="n"/>
      <c r="D152" s="113">
        <f>IF($E152="","",IFERROR(INDEX(MUSTERILER!$B$7:$B$106,MATCH($E152,MUSTERILER!$C$7:$C$106,0)),IFERROR(INDEX(MUSTERILER!$B$7:$B$106,MATCH($E152,MUSTERILER!$B$7:$B$106,0)),IFERROR(INDEX(MUSTERILER!$B$7:$B$106,MATCH($E152&amp;"*",MUSTERILER!$C$7:$C$106,0)),"TANIMSIZ MÜŞTERİ"))))</f>
        <v/>
      </c>
      <c r="E152" s="109" t="n"/>
      <c r="F152" s="109" t="n"/>
      <c r="G152" s="108" t="n"/>
      <c r="H152" s="225" t="n"/>
      <c r="I152" s="225" t="n"/>
      <c r="J152" s="108" t="n"/>
      <c r="K152" s="108" t="n"/>
      <c r="L152" s="109" t="n"/>
      <c r="M152" s="109" t="n"/>
      <c r="N152" s="109" t="n"/>
      <c r="O152" s="225" t="n"/>
      <c r="P152" s="232">
        <f>IF(OR($E152="",$I152=""),"",IF(OR($J152="Tamamlandı",$J152="İptal"),"",$I152-TODAY()))</f>
        <v/>
      </c>
      <c r="Q152" s="113">
        <f>IF($E152="","",IF($D152="TANIMSIZ MÜŞTERİ","HATA",IF(OR($J152="Tamamlandı",$J152="İptal"),"KAPALI",IF(AND($C152="Görüşme",$N152=""),"SONRAKİ İŞLEM EKSİK",IF($I152="","TARİH EKSİK",IF($I152&lt;TODAY(),"GECİKMİŞ",IF($I152=TODAY(),"BUGÜN",IF($I152&lt;=TODAY()+7,"7 GÜN İÇİNDE","PLANLI"))))))))</f>
        <v/>
      </c>
      <c r="R152" s="6" t="n"/>
      <c r="S152" s="6" t="n"/>
    </row>
    <row r="153">
      <c r="A153" s="6" t="n"/>
      <c r="B153" s="113">
        <f>IF($E153="","","A"&amp;TEXT(ROW()-6,"00000"))</f>
        <v/>
      </c>
      <c r="C153" s="108" t="n"/>
      <c r="D153" s="113">
        <f>IF($E153="","",IFERROR(INDEX(MUSTERILER!$B$7:$B$106,MATCH($E153,MUSTERILER!$C$7:$C$106,0)),IFERROR(INDEX(MUSTERILER!$B$7:$B$106,MATCH($E153,MUSTERILER!$B$7:$B$106,0)),IFERROR(INDEX(MUSTERILER!$B$7:$B$106,MATCH($E153&amp;"*",MUSTERILER!$C$7:$C$106,0)),"TANIMSIZ MÜŞTERİ"))))</f>
        <v/>
      </c>
      <c r="E153" s="109" t="n"/>
      <c r="F153" s="109" t="n"/>
      <c r="G153" s="108" t="n"/>
      <c r="H153" s="225" t="n"/>
      <c r="I153" s="225" t="n"/>
      <c r="J153" s="108" t="n"/>
      <c r="K153" s="108" t="n"/>
      <c r="L153" s="109" t="n"/>
      <c r="M153" s="109" t="n"/>
      <c r="N153" s="109" t="n"/>
      <c r="O153" s="225" t="n"/>
      <c r="P153" s="232">
        <f>IF(OR($E153="",$I153=""),"",IF(OR($J153="Tamamlandı",$J153="İptal"),"",$I153-TODAY()))</f>
        <v/>
      </c>
      <c r="Q153" s="113">
        <f>IF($E153="","",IF($D153="TANIMSIZ MÜŞTERİ","HATA",IF(OR($J153="Tamamlandı",$J153="İptal"),"KAPALI",IF(AND($C153="Görüşme",$N153=""),"SONRAKİ İŞLEM EKSİK",IF($I153="","TARİH EKSİK",IF($I153&lt;TODAY(),"GECİKMİŞ",IF($I153=TODAY(),"BUGÜN",IF($I153&lt;=TODAY()+7,"7 GÜN İÇİNDE","PLANLI"))))))))</f>
        <v/>
      </c>
      <c r="R153" s="6" t="n"/>
      <c r="S153" s="6" t="n"/>
    </row>
    <row r="154">
      <c r="A154" s="6" t="n"/>
      <c r="B154" s="113">
        <f>IF($E154="","","A"&amp;TEXT(ROW()-6,"00000"))</f>
        <v/>
      </c>
      <c r="C154" s="108" t="n"/>
      <c r="D154" s="113">
        <f>IF($E154="","",IFERROR(INDEX(MUSTERILER!$B$7:$B$106,MATCH($E154,MUSTERILER!$C$7:$C$106,0)),IFERROR(INDEX(MUSTERILER!$B$7:$B$106,MATCH($E154,MUSTERILER!$B$7:$B$106,0)),IFERROR(INDEX(MUSTERILER!$B$7:$B$106,MATCH($E154&amp;"*",MUSTERILER!$C$7:$C$106,0)),"TANIMSIZ MÜŞTERİ"))))</f>
        <v/>
      </c>
      <c r="E154" s="109" t="n"/>
      <c r="F154" s="109" t="n"/>
      <c r="G154" s="108" t="n"/>
      <c r="H154" s="225" t="n"/>
      <c r="I154" s="225" t="n"/>
      <c r="J154" s="108" t="n"/>
      <c r="K154" s="108" t="n"/>
      <c r="L154" s="109" t="n"/>
      <c r="M154" s="109" t="n"/>
      <c r="N154" s="109" t="n"/>
      <c r="O154" s="225" t="n"/>
      <c r="P154" s="232">
        <f>IF(OR($E154="",$I154=""),"",IF(OR($J154="Tamamlandı",$J154="İptal"),"",$I154-TODAY()))</f>
        <v/>
      </c>
      <c r="Q154" s="113">
        <f>IF($E154="","",IF($D154="TANIMSIZ MÜŞTERİ","HATA",IF(OR($J154="Tamamlandı",$J154="İptal"),"KAPALI",IF(AND($C154="Görüşme",$N154=""),"SONRAKİ İŞLEM EKSİK",IF($I154="","TARİH EKSİK",IF($I154&lt;TODAY(),"GECİKMİŞ",IF($I154=TODAY(),"BUGÜN",IF($I154&lt;=TODAY()+7,"7 GÜN İÇİNDE","PLANLI"))))))))</f>
        <v/>
      </c>
      <c r="R154" s="6" t="n"/>
      <c r="S154" s="6" t="n"/>
    </row>
    <row r="155">
      <c r="A155" s="6" t="n"/>
      <c r="B155" s="113">
        <f>IF($E155="","","A"&amp;TEXT(ROW()-6,"00000"))</f>
        <v/>
      </c>
      <c r="C155" s="108" t="n"/>
      <c r="D155" s="113">
        <f>IF($E155="","",IFERROR(INDEX(MUSTERILER!$B$7:$B$106,MATCH($E155,MUSTERILER!$C$7:$C$106,0)),IFERROR(INDEX(MUSTERILER!$B$7:$B$106,MATCH($E155,MUSTERILER!$B$7:$B$106,0)),IFERROR(INDEX(MUSTERILER!$B$7:$B$106,MATCH($E155&amp;"*",MUSTERILER!$C$7:$C$106,0)),"TANIMSIZ MÜŞTERİ"))))</f>
        <v/>
      </c>
      <c r="E155" s="109" t="n"/>
      <c r="F155" s="109" t="n"/>
      <c r="G155" s="108" t="n"/>
      <c r="H155" s="225" t="n"/>
      <c r="I155" s="225" t="n"/>
      <c r="J155" s="108" t="n"/>
      <c r="K155" s="108" t="n"/>
      <c r="L155" s="109" t="n"/>
      <c r="M155" s="109" t="n"/>
      <c r="N155" s="109" t="n"/>
      <c r="O155" s="225" t="n"/>
      <c r="P155" s="232">
        <f>IF(OR($E155="",$I155=""),"",IF(OR($J155="Tamamlandı",$J155="İptal"),"",$I155-TODAY()))</f>
        <v/>
      </c>
      <c r="Q155" s="113">
        <f>IF($E155="","",IF($D155="TANIMSIZ MÜŞTERİ","HATA",IF(OR($J155="Tamamlandı",$J155="İptal"),"KAPALI",IF(AND($C155="Görüşme",$N155=""),"SONRAKİ İŞLEM EKSİK",IF($I155="","TARİH EKSİK",IF($I155&lt;TODAY(),"GECİKMİŞ",IF($I155=TODAY(),"BUGÜN",IF($I155&lt;=TODAY()+7,"7 GÜN İÇİNDE","PLANLI"))))))))</f>
        <v/>
      </c>
      <c r="R155" s="6" t="n"/>
      <c r="S155" s="6" t="n"/>
    </row>
    <row r="156">
      <c r="A156" s="6" t="n"/>
      <c r="B156" s="113">
        <f>IF($E156="","","A"&amp;TEXT(ROW()-6,"00000"))</f>
        <v/>
      </c>
      <c r="C156" s="108" t="n"/>
      <c r="D156" s="113">
        <f>IF($E156="","",IFERROR(INDEX(MUSTERILER!$B$7:$B$106,MATCH($E156,MUSTERILER!$C$7:$C$106,0)),IFERROR(INDEX(MUSTERILER!$B$7:$B$106,MATCH($E156,MUSTERILER!$B$7:$B$106,0)),IFERROR(INDEX(MUSTERILER!$B$7:$B$106,MATCH($E156&amp;"*",MUSTERILER!$C$7:$C$106,0)),"TANIMSIZ MÜŞTERİ"))))</f>
        <v/>
      </c>
      <c r="E156" s="109" t="n"/>
      <c r="F156" s="109" t="n"/>
      <c r="G156" s="108" t="n"/>
      <c r="H156" s="225" t="n"/>
      <c r="I156" s="225" t="n"/>
      <c r="J156" s="108" t="n"/>
      <c r="K156" s="108" t="n"/>
      <c r="L156" s="109" t="n"/>
      <c r="M156" s="109" t="n"/>
      <c r="N156" s="109" t="n"/>
      <c r="O156" s="225" t="n"/>
      <c r="P156" s="232">
        <f>IF(OR($E156="",$I156=""),"",IF(OR($J156="Tamamlandı",$J156="İptal"),"",$I156-TODAY()))</f>
        <v/>
      </c>
      <c r="Q156" s="113">
        <f>IF($E156="","",IF($D156="TANIMSIZ MÜŞTERİ","HATA",IF(OR($J156="Tamamlandı",$J156="İptal"),"KAPALI",IF(AND($C156="Görüşme",$N156=""),"SONRAKİ İŞLEM EKSİK",IF($I156="","TARİH EKSİK",IF($I156&lt;TODAY(),"GECİKMİŞ",IF($I156=TODAY(),"BUGÜN",IF($I156&lt;=TODAY()+7,"7 GÜN İÇİNDE","PLANLI"))))))))</f>
        <v/>
      </c>
      <c r="R156" s="6" t="n"/>
      <c r="S156" s="6" t="n"/>
    </row>
    <row r="157">
      <c r="A157" s="6" t="n"/>
      <c r="B157" s="113">
        <f>IF($E157="","","A"&amp;TEXT(ROW()-6,"00000"))</f>
        <v/>
      </c>
      <c r="C157" s="108" t="n"/>
      <c r="D157" s="113">
        <f>IF($E157="","",IFERROR(INDEX(MUSTERILER!$B$7:$B$106,MATCH($E157,MUSTERILER!$C$7:$C$106,0)),IFERROR(INDEX(MUSTERILER!$B$7:$B$106,MATCH($E157,MUSTERILER!$B$7:$B$106,0)),IFERROR(INDEX(MUSTERILER!$B$7:$B$106,MATCH($E157&amp;"*",MUSTERILER!$C$7:$C$106,0)),"TANIMSIZ MÜŞTERİ"))))</f>
        <v/>
      </c>
      <c r="E157" s="109" t="n"/>
      <c r="F157" s="109" t="n"/>
      <c r="G157" s="108" t="n"/>
      <c r="H157" s="225" t="n"/>
      <c r="I157" s="225" t="n"/>
      <c r="J157" s="108" t="n"/>
      <c r="K157" s="108" t="n"/>
      <c r="L157" s="109" t="n"/>
      <c r="M157" s="109" t="n"/>
      <c r="N157" s="109" t="n"/>
      <c r="O157" s="225" t="n"/>
      <c r="P157" s="232">
        <f>IF(OR($E157="",$I157=""),"",IF(OR($J157="Tamamlandı",$J157="İptal"),"",$I157-TODAY()))</f>
        <v/>
      </c>
      <c r="Q157" s="113">
        <f>IF($E157="","",IF($D157="TANIMSIZ MÜŞTERİ","HATA",IF(OR($J157="Tamamlandı",$J157="İptal"),"KAPALI",IF(AND($C157="Görüşme",$N157=""),"SONRAKİ İŞLEM EKSİK",IF($I157="","TARİH EKSİK",IF($I157&lt;TODAY(),"GECİKMİŞ",IF($I157=TODAY(),"BUGÜN",IF($I157&lt;=TODAY()+7,"7 GÜN İÇİNDE","PLANLI"))))))))</f>
        <v/>
      </c>
      <c r="R157" s="6" t="n"/>
      <c r="S157" s="6" t="n"/>
    </row>
    <row r="158">
      <c r="A158" s="6" t="n"/>
      <c r="B158" s="113">
        <f>IF($E158="","","A"&amp;TEXT(ROW()-6,"00000"))</f>
        <v/>
      </c>
      <c r="C158" s="108" t="n"/>
      <c r="D158" s="113">
        <f>IF($E158="","",IFERROR(INDEX(MUSTERILER!$B$7:$B$106,MATCH($E158,MUSTERILER!$C$7:$C$106,0)),IFERROR(INDEX(MUSTERILER!$B$7:$B$106,MATCH($E158,MUSTERILER!$B$7:$B$106,0)),IFERROR(INDEX(MUSTERILER!$B$7:$B$106,MATCH($E158&amp;"*",MUSTERILER!$C$7:$C$106,0)),"TANIMSIZ MÜŞTERİ"))))</f>
        <v/>
      </c>
      <c r="E158" s="109" t="n"/>
      <c r="F158" s="109" t="n"/>
      <c r="G158" s="108" t="n"/>
      <c r="H158" s="225" t="n"/>
      <c r="I158" s="225" t="n"/>
      <c r="J158" s="108" t="n"/>
      <c r="K158" s="108" t="n"/>
      <c r="L158" s="109" t="n"/>
      <c r="M158" s="109" t="n"/>
      <c r="N158" s="109" t="n"/>
      <c r="O158" s="225" t="n"/>
      <c r="P158" s="232">
        <f>IF(OR($E158="",$I158=""),"",IF(OR($J158="Tamamlandı",$J158="İptal"),"",$I158-TODAY()))</f>
        <v/>
      </c>
      <c r="Q158" s="113">
        <f>IF($E158="","",IF($D158="TANIMSIZ MÜŞTERİ","HATA",IF(OR($J158="Tamamlandı",$J158="İptal"),"KAPALI",IF(AND($C158="Görüşme",$N158=""),"SONRAKİ İŞLEM EKSİK",IF($I158="","TARİH EKSİK",IF($I158&lt;TODAY(),"GECİKMİŞ",IF($I158=TODAY(),"BUGÜN",IF($I158&lt;=TODAY()+7,"7 GÜN İÇİNDE","PLANLI"))))))))</f>
        <v/>
      </c>
      <c r="R158" s="6" t="n"/>
      <c r="S158" s="6" t="n"/>
    </row>
    <row r="159">
      <c r="A159" s="6" t="n"/>
      <c r="B159" s="113">
        <f>IF($E159="","","A"&amp;TEXT(ROW()-6,"00000"))</f>
        <v/>
      </c>
      <c r="C159" s="108" t="n"/>
      <c r="D159" s="113">
        <f>IF($E159="","",IFERROR(INDEX(MUSTERILER!$B$7:$B$106,MATCH($E159,MUSTERILER!$C$7:$C$106,0)),IFERROR(INDEX(MUSTERILER!$B$7:$B$106,MATCH($E159,MUSTERILER!$B$7:$B$106,0)),IFERROR(INDEX(MUSTERILER!$B$7:$B$106,MATCH($E159&amp;"*",MUSTERILER!$C$7:$C$106,0)),"TANIMSIZ MÜŞTERİ"))))</f>
        <v/>
      </c>
      <c r="E159" s="109" t="n"/>
      <c r="F159" s="109" t="n"/>
      <c r="G159" s="108" t="n"/>
      <c r="H159" s="225" t="n"/>
      <c r="I159" s="225" t="n"/>
      <c r="J159" s="108" t="n"/>
      <c r="K159" s="108" t="n"/>
      <c r="L159" s="109" t="n"/>
      <c r="M159" s="109" t="n"/>
      <c r="N159" s="109" t="n"/>
      <c r="O159" s="225" t="n"/>
      <c r="P159" s="232">
        <f>IF(OR($E159="",$I159=""),"",IF(OR($J159="Tamamlandı",$J159="İptal"),"",$I159-TODAY()))</f>
        <v/>
      </c>
      <c r="Q159" s="113">
        <f>IF($E159="","",IF($D159="TANIMSIZ MÜŞTERİ","HATA",IF(OR($J159="Tamamlandı",$J159="İptal"),"KAPALI",IF(AND($C159="Görüşme",$N159=""),"SONRAKİ İŞLEM EKSİK",IF($I159="","TARİH EKSİK",IF($I159&lt;TODAY(),"GECİKMİŞ",IF($I159=TODAY(),"BUGÜN",IF($I159&lt;=TODAY()+7,"7 GÜN İÇİNDE","PLANLI"))))))))</f>
        <v/>
      </c>
      <c r="R159" s="6" t="n"/>
      <c r="S159" s="6" t="n"/>
    </row>
    <row r="160">
      <c r="A160" s="6" t="n"/>
      <c r="B160" s="113">
        <f>IF($E160="","","A"&amp;TEXT(ROW()-6,"00000"))</f>
        <v/>
      </c>
      <c r="C160" s="108" t="n"/>
      <c r="D160" s="113">
        <f>IF($E160="","",IFERROR(INDEX(MUSTERILER!$B$7:$B$106,MATCH($E160,MUSTERILER!$C$7:$C$106,0)),IFERROR(INDEX(MUSTERILER!$B$7:$B$106,MATCH($E160,MUSTERILER!$B$7:$B$106,0)),IFERROR(INDEX(MUSTERILER!$B$7:$B$106,MATCH($E160&amp;"*",MUSTERILER!$C$7:$C$106,0)),"TANIMSIZ MÜŞTERİ"))))</f>
        <v/>
      </c>
      <c r="E160" s="109" t="n"/>
      <c r="F160" s="109" t="n"/>
      <c r="G160" s="108" t="n"/>
      <c r="H160" s="225" t="n"/>
      <c r="I160" s="225" t="n"/>
      <c r="J160" s="108" t="n"/>
      <c r="K160" s="108" t="n"/>
      <c r="L160" s="109" t="n"/>
      <c r="M160" s="109" t="n"/>
      <c r="N160" s="109" t="n"/>
      <c r="O160" s="225" t="n"/>
      <c r="P160" s="232">
        <f>IF(OR($E160="",$I160=""),"",IF(OR($J160="Tamamlandı",$J160="İptal"),"",$I160-TODAY()))</f>
        <v/>
      </c>
      <c r="Q160" s="113">
        <f>IF($E160="","",IF($D160="TANIMSIZ MÜŞTERİ","HATA",IF(OR($J160="Tamamlandı",$J160="İptal"),"KAPALI",IF(AND($C160="Görüşme",$N160=""),"SONRAKİ İŞLEM EKSİK",IF($I160="","TARİH EKSİK",IF($I160&lt;TODAY(),"GECİKMİŞ",IF($I160=TODAY(),"BUGÜN",IF($I160&lt;=TODAY()+7,"7 GÜN İÇİNDE","PLANLI"))))))))</f>
        <v/>
      </c>
      <c r="R160" s="6" t="n"/>
      <c r="S160" s="6" t="n"/>
    </row>
    <row r="161">
      <c r="A161" s="6" t="n"/>
      <c r="B161" s="113">
        <f>IF($E161="","","A"&amp;TEXT(ROW()-6,"00000"))</f>
        <v/>
      </c>
      <c r="C161" s="108" t="n"/>
      <c r="D161" s="113">
        <f>IF($E161="","",IFERROR(INDEX(MUSTERILER!$B$7:$B$106,MATCH($E161,MUSTERILER!$C$7:$C$106,0)),IFERROR(INDEX(MUSTERILER!$B$7:$B$106,MATCH($E161,MUSTERILER!$B$7:$B$106,0)),IFERROR(INDEX(MUSTERILER!$B$7:$B$106,MATCH($E161&amp;"*",MUSTERILER!$C$7:$C$106,0)),"TANIMSIZ MÜŞTERİ"))))</f>
        <v/>
      </c>
      <c r="E161" s="109" t="n"/>
      <c r="F161" s="109" t="n"/>
      <c r="G161" s="108" t="n"/>
      <c r="H161" s="225" t="n"/>
      <c r="I161" s="225" t="n"/>
      <c r="J161" s="108" t="n"/>
      <c r="K161" s="108" t="n"/>
      <c r="L161" s="109" t="n"/>
      <c r="M161" s="109" t="n"/>
      <c r="N161" s="109" t="n"/>
      <c r="O161" s="225" t="n"/>
      <c r="P161" s="232">
        <f>IF(OR($E161="",$I161=""),"",IF(OR($J161="Tamamlandı",$J161="İptal"),"",$I161-TODAY()))</f>
        <v/>
      </c>
      <c r="Q161" s="113">
        <f>IF($E161="","",IF($D161="TANIMSIZ MÜŞTERİ","HATA",IF(OR($J161="Tamamlandı",$J161="İptal"),"KAPALI",IF(AND($C161="Görüşme",$N161=""),"SONRAKİ İŞLEM EKSİK",IF($I161="","TARİH EKSİK",IF($I161&lt;TODAY(),"GECİKMİŞ",IF($I161=TODAY(),"BUGÜN",IF($I161&lt;=TODAY()+7,"7 GÜN İÇİNDE","PLANLI"))))))))</f>
        <v/>
      </c>
      <c r="R161" s="6" t="n"/>
      <c r="S161" s="6" t="n"/>
    </row>
    <row r="162">
      <c r="A162" s="6" t="n"/>
      <c r="B162" s="113">
        <f>IF($E162="","","A"&amp;TEXT(ROW()-6,"00000"))</f>
        <v/>
      </c>
      <c r="C162" s="108" t="n"/>
      <c r="D162" s="113">
        <f>IF($E162="","",IFERROR(INDEX(MUSTERILER!$B$7:$B$106,MATCH($E162,MUSTERILER!$C$7:$C$106,0)),IFERROR(INDEX(MUSTERILER!$B$7:$B$106,MATCH($E162,MUSTERILER!$B$7:$B$106,0)),IFERROR(INDEX(MUSTERILER!$B$7:$B$106,MATCH($E162&amp;"*",MUSTERILER!$C$7:$C$106,0)),"TANIMSIZ MÜŞTERİ"))))</f>
        <v/>
      </c>
      <c r="E162" s="109" t="n"/>
      <c r="F162" s="109" t="n"/>
      <c r="G162" s="108" t="n"/>
      <c r="H162" s="225" t="n"/>
      <c r="I162" s="225" t="n"/>
      <c r="J162" s="108" t="n"/>
      <c r="K162" s="108" t="n"/>
      <c r="L162" s="109" t="n"/>
      <c r="M162" s="109" t="n"/>
      <c r="N162" s="109" t="n"/>
      <c r="O162" s="225" t="n"/>
      <c r="P162" s="232">
        <f>IF(OR($E162="",$I162=""),"",IF(OR($J162="Tamamlandı",$J162="İptal"),"",$I162-TODAY()))</f>
        <v/>
      </c>
      <c r="Q162" s="113">
        <f>IF($E162="","",IF($D162="TANIMSIZ MÜŞTERİ","HATA",IF(OR($J162="Tamamlandı",$J162="İptal"),"KAPALI",IF(AND($C162="Görüşme",$N162=""),"SONRAKİ İŞLEM EKSİK",IF($I162="","TARİH EKSİK",IF($I162&lt;TODAY(),"GECİKMİŞ",IF($I162=TODAY(),"BUGÜN",IF($I162&lt;=TODAY()+7,"7 GÜN İÇİNDE","PLANLI"))))))))</f>
        <v/>
      </c>
      <c r="R162" s="6" t="n"/>
      <c r="S162" s="6" t="n"/>
    </row>
    <row r="163">
      <c r="A163" s="6" t="n"/>
      <c r="B163" s="113">
        <f>IF($E163="","","A"&amp;TEXT(ROW()-6,"00000"))</f>
        <v/>
      </c>
      <c r="C163" s="108" t="n"/>
      <c r="D163" s="113">
        <f>IF($E163="","",IFERROR(INDEX(MUSTERILER!$B$7:$B$106,MATCH($E163,MUSTERILER!$C$7:$C$106,0)),IFERROR(INDEX(MUSTERILER!$B$7:$B$106,MATCH($E163,MUSTERILER!$B$7:$B$106,0)),IFERROR(INDEX(MUSTERILER!$B$7:$B$106,MATCH($E163&amp;"*",MUSTERILER!$C$7:$C$106,0)),"TANIMSIZ MÜŞTERİ"))))</f>
        <v/>
      </c>
      <c r="E163" s="109" t="n"/>
      <c r="F163" s="109" t="n"/>
      <c r="G163" s="108" t="n"/>
      <c r="H163" s="225" t="n"/>
      <c r="I163" s="225" t="n"/>
      <c r="J163" s="108" t="n"/>
      <c r="K163" s="108" t="n"/>
      <c r="L163" s="109" t="n"/>
      <c r="M163" s="109" t="n"/>
      <c r="N163" s="109" t="n"/>
      <c r="O163" s="225" t="n"/>
      <c r="P163" s="232">
        <f>IF(OR($E163="",$I163=""),"",IF(OR($J163="Tamamlandı",$J163="İptal"),"",$I163-TODAY()))</f>
        <v/>
      </c>
      <c r="Q163" s="113">
        <f>IF($E163="","",IF($D163="TANIMSIZ MÜŞTERİ","HATA",IF(OR($J163="Tamamlandı",$J163="İptal"),"KAPALI",IF(AND($C163="Görüşme",$N163=""),"SONRAKİ İŞLEM EKSİK",IF($I163="","TARİH EKSİK",IF($I163&lt;TODAY(),"GECİKMİŞ",IF($I163=TODAY(),"BUGÜN",IF($I163&lt;=TODAY()+7,"7 GÜN İÇİNDE","PLANLI"))))))))</f>
        <v/>
      </c>
      <c r="R163" s="6" t="n"/>
      <c r="S163" s="6" t="n"/>
    </row>
    <row r="164">
      <c r="A164" s="6" t="n"/>
      <c r="B164" s="113">
        <f>IF($E164="","","A"&amp;TEXT(ROW()-6,"00000"))</f>
        <v/>
      </c>
      <c r="C164" s="108" t="n"/>
      <c r="D164" s="113">
        <f>IF($E164="","",IFERROR(INDEX(MUSTERILER!$B$7:$B$106,MATCH($E164,MUSTERILER!$C$7:$C$106,0)),IFERROR(INDEX(MUSTERILER!$B$7:$B$106,MATCH($E164,MUSTERILER!$B$7:$B$106,0)),IFERROR(INDEX(MUSTERILER!$B$7:$B$106,MATCH($E164&amp;"*",MUSTERILER!$C$7:$C$106,0)),"TANIMSIZ MÜŞTERİ"))))</f>
        <v/>
      </c>
      <c r="E164" s="109" t="n"/>
      <c r="F164" s="109" t="n"/>
      <c r="G164" s="108" t="n"/>
      <c r="H164" s="225" t="n"/>
      <c r="I164" s="225" t="n"/>
      <c r="J164" s="108" t="n"/>
      <c r="K164" s="108" t="n"/>
      <c r="L164" s="109" t="n"/>
      <c r="M164" s="109" t="n"/>
      <c r="N164" s="109" t="n"/>
      <c r="O164" s="225" t="n"/>
      <c r="P164" s="232">
        <f>IF(OR($E164="",$I164=""),"",IF(OR($J164="Tamamlandı",$J164="İptal"),"",$I164-TODAY()))</f>
        <v/>
      </c>
      <c r="Q164" s="113">
        <f>IF($E164="","",IF($D164="TANIMSIZ MÜŞTERİ","HATA",IF(OR($J164="Tamamlandı",$J164="İptal"),"KAPALI",IF(AND($C164="Görüşme",$N164=""),"SONRAKİ İŞLEM EKSİK",IF($I164="","TARİH EKSİK",IF($I164&lt;TODAY(),"GECİKMİŞ",IF($I164=TODAY(),"BUGÜN",IF($I164&lt;=TODAY()+7,"7 GÜN İÇİNDE","PLANLI"))))))))</f>
        <v/>
      </c>
      <c r="R164" s="6" t="n"/>
      <c r="S164" s="6" t="n"/>
    </row>
    <row r="165">
      <c r="A165" s="6" t="n"/>
      <c r="B165" s="113">
        <f>IF($E165="","","A"&amp;TEXT(ROW()-6,"00000"))</f>
        <v/>
      </c>
      <c r="C165" s="108" t="n"/>
      <c r="D165" s="113">
        <f>IF($E165="","",IFERROR(INDEX(MUSTERILER!$B$7:$B$106,MATCH($E165,MUSTERILER!$C$7:$C$106,0)),IFERROR(INDEX(MUSTERILER!$B$7:$B$106,MATCH($E165,MUSTERILER!$B$7:$B$106,0)),IFERROR(INDEX(MUSTERILER!$B$7:$B$106,MATCH($E165&amp;"*",MUSTERILER!$C$7:$C$106,0)),"TANIMSIZ MÜŞTERİ"))))</f>
        <v/>
      </c>
      <c r="E165" s="109" t="n"/>
      <c r="F165" s="109" t="n"/>
      <c r="G165" s="108" t="n"/>
      <c r="H165" s="225" t="n"/>
      <c r="I165" s="225" t="n"/>
      <c r="J165" s="108" t="n"/>
      <c r="K165" s="108" t="n"/>
      <c r="L165" s="109" t="n"/>
      <c r="M165" s="109" t="n"/>
      <c r="N165" s="109" t="n"/>
      <c r="O165" s="225" t="n"/>
      <c r="P165" s="232">
        <f>IF(OR($E165="",$I165=""),"",IF(OR($J165="Tamamlandı",$J165="İptal"),"",$I165-TODAY()))</f>
        <v/>
      </c>
      <c r="Q165" s="113">
        <f>IF($E165="","",IF($D165="TANIMSIZ MÜŞTERİ","HATA",IF(OR($J165="Tamamlandı",$J165="İptal"),"KAPALI",IF(AND($C165="Görüşme",$N165=""),"SONRAKİ İŞLEM EKSİK",IF($I165="","TARİH EKSİK",IF($I165&lt;TODAY(),"GECİKMİŞ",IF($I165=TODAY(),"BUGÜN",IF($I165&lt;=TODAY()+7,"7 GÜN İÇİNDE","PLANLI"))))))))</f>
        <v/>
      </c>
      <c r="R165" s="6" t="n"/>
      <c r="S165" s="6" t="n"/>
    </row>
    <row r="166">
      <c r="A166" s="6" t="n"/>
      <c r="B166" s="113">
        <f>IF($E166="","","A"&amp;TEXT(ROW()-6,"00000"))</f>
        <v/>
      </c>
      <c r="C166" s="108" t="n"/>
      <c r="D166" s="113">
        <f>IF($E166="","",IFERROR(INDEX(MUSTERILER!$B$7:$B$106,MATCH($E166,MUSTERILER!$C$7:$C$106,0)),IFERROR(INDEX(MUSTERILER!$B$7:$B$106,MATCH($E166,MUSTERILER!$B$7:$B$106,0)),IFERROR(INDEX(MUSTERILER!$B$7:$B$106,MATCH($E166&amp;"*",MUSTERILER!$C$7:$C$106,0)),"TANIMSIZ MÜŞTERİ"))))</f>
        <v/>
      </c>
      <c r="E166" s="109" t="n"/>
      <c r="F166" s="109" t="n"/>
      <c r="G166" s="108" t="n"/>
      <c r="H166" s="225" t="n"/>
      <c r="I166" s="225" t="n"/>
      <c r="J166" s="108" t="n"/>
      <c r="K166" s="108" t="n"/>
      <c r="L166" s="109" t="n"/>
      <c r="M166" s="109" t="n"/>
      <c r="N166" s="109" t="n"/>
      <c r="O166" s="225" t="n"/>
      <c r="P166" s="232">
        <f>IF(OR($E166="",$I166=""),"",IF(OR($J166="Tamamlandı",$J166="İptal"),"",$I166-TODAY()))</f>
        <v/>
      </c>
      <c r="Q166" s="113">
        <f>IF($E166="","",IF($D166="TANIMSIZ MÜŞTERİ","HATA",IF(OR($J166="Tamamlandı",$J166="İptal"),"KAPALI",IF(AND($C166="Görüşme",$N166=""),"SONRAKİ İŞLEM EKSİK",IF($I166="","TARİH EKSİK",IF($I166&lt;TODAY(),"GECİKMİŞ",IF($I166=TODAY(),"BUGÜN",IF($I166&lt;=TODAY()+7,"7 GÜN İÇİNDE","PLANLI"))))))))</f>
        <v/>
      </c>
      <c r="R166" s="6" t="n"/>
      <c r="S166" s="6" t="n"/>
    </row>
    <row r="167">
      <c r="A167" s="6" t="n"/>
      <c r="B167" s="113">
        <f>IF($E167="","","A"&amp;TEXT(ROW()-6,"00000"))</f>
        <v/>
      </c>
      <c r="C167" s="108" t="n"/>
      <c r="D167" s="113">
        <f>IF($E167="","",IFERROR(INDEX(MUSTERILER!$B$7:$B$106,MATCH($E167,MUSTERILER!$C$7:$C$106,0)),IFERROR(INDEX(MUSTERILER!$B$7:$B$106,MATCH($E167,MUSTERILER!$B$7:$B$106,0)),IFERROR(INDEX(MUSTERILER!$B$7:$B$106,MATCH($E167&amp;"*",MUSTERILER!$C$7:$C$106,0)),"TANIMSIZ MÜŞTERİ"))))</f>
        <v/>
      </c>
      <c r="E167" s="109" t="n"/>
      <c r="F167" s="109" t="n"/>
      <c r="G167" s="108" t="n"/>
      <c r="H167" s="225" t="n"/>
      <c r="I167" s="225" t="n"/>
      <c r="J167" s="108" t="n"/>
      <c r="K167" s="108" t="n"/>
      <c r="L167" s="109" t="n"/>
      <c r="M167" s="109" t="n"/>
      <c r="N167" s="109" t="n"/>
      <c r="O167" s="225" t="n"/>
      <c r="P167" s="232">
        <f>IF(OR($E167="",$I167=""),"",IF(OR($J167="Tamamlandı",$J167="İptal"),"",$I167-TODAY()))</f>
        <v/>
      </c>
      <c r="Q167" s="113">
        <f>IF($E167="","",IF($D167="TANIMSIZ MÜŞTERİ","HATA",IF(OR($J167="Tamamlandı",$J167="İptal"),"KAPALI",IF(AND($C167="Görüşme",$N167=""),"SONRAKİ İŞLEM EKSİK",IF($I167="","TARİH EKSİK",IF($I167&lt;TODAY(),"GECİKMİŞ",IF($I167=TODAY(),"BUGÜN",IF($I167&lt;=TODAY()+7,"7 GÜN İÇİNDE","PLANLI"))))))))</f>
        <v/>
      </c>
      <c r="R167" s="6" t="n"/>
      <c r="S167" s="6" t="n"/>
    </row>
    <row r="168">
      <c r="A168" s="6" t="n"/>
      <c r="B168" s="113">
        <f>IF($E168="","","A"&amp;TEXT(ROW()-6,"00000"))</f>
        <v/>
      </c>
      <c r="C168" s="108" t="n"/>
      <c r="D168" s="113">
        <f>IF($E168="","",IFERROR(INDEX(MUSTERILER!$B$7:$B$106,MATCH($E168,MUSTERILER!$C$7:$C$106,0)),IFERROR(INDEX(MUSTERILER!$B$7:$B$106,MATCH($E168,MUSTERILER!$B$7:$B$106,0)),IFERROR(INDEX(MUSTERILER!$B$7:$B$106,MATCH($E168&amp;"*",MUSTERILER!$C$7:$C$106,0)),"TANIMSIZ MÜŞTERİ"))))</f>
        <v/>
      </c>
      <c r="E168" s="109" t="n"/>
      <c r="F168" s="109" t="n"/>
      <c r="G168" s="108" t="n"/>
      <c r="H168" s="225" t="n"/>
      <c r="I168" s="225" t="n"/>
      <c r="J168" s="108" t="n"/>
      <c r="K168" s="108" t="n"/>
      <c r="L168" s="109" t="n"/>
      <c r="M168" s="109" t="n"/>
      <c r="N168" s="109" t="n"/>
      <c r="O168" s="225" t="n"/>
      <c r="P168" s="232">
        <f>IF(OR($E168="",$I168=""),"",IF(OR($J168="Tamamlandı",$J168="İptal"),"",$I168-TODAY()))</f>
        <v/>
      </c>
      <c r="Q168" s="113">
        <f>IF($E168="","",IF($D168="TANIMSIZ MÜŞTERİ","HATA",IF(OR($J168="Tamamlandı",$J168="İptal"),"KAPALI",IF(AND($C168="Görüşme",$N168=""),"SONRAKİ İŞLEM EKSİK",IF($I168="","TARİH EKSİK",IF($I168&lt;TODAY(),"GECİKMİŞ",IF($I168=TODAY(),"BUGÜN",IF($I168&lt;=TODAY()+7,"7 GÜN İÇİNDE","PLANLI"))))))))</f>
        <v/>
      </c>
      <c r="R168" s="6" t="n"/>
      <c r="S168" s="6" t="n"/>
    </row>
    <row r="169">
      <c r="A169" s="6" t="n"/>
      <c r="B169" s="113">
        <f>IF($E169="","","A"&amp;TEXT(ROW()-6,"00000"))</f>
        <v/>
      </c>
      <c r="C169" s="108" t="n"/>
      <c r="D169" s="113">
        <f>IF($E169="","",IFERROR(INDEX(MUSTERILER!$B$7:$B$106,MATCH($E169,MUSTERILER!$C$7:$C$106,0)),IFERROR(INDEX(MUSTERILER!$B$7:$B$106,MATCH($E169,MUSTERILER!$B$7:$B$106,0)),IFERROR(INDEX(MUSTERILER!$B$7:$B$106,MATCH($E169&amp;"*",MUSTERILER!$C$7:$C$106,0)),"TANIMSIZ MÜŞTERİ"))))</f>
        <v/>
      </c>
      <c r="E169" s="109" t="n"/>
      <c r="F169" s="109" t="n"/>
      <c r="G169" s="108" t="n"/>
      <c r="H169" s="225" t="n"/>
      <c r="I169" s="225" t="n"/>
      <c r="J169" s="108" t="n"/>
      <c r="K169" s="108" t="n"/>
      <c r="L169" s="109" t="n"/>
      <c r="M169" s="109" t="n"/>
      <c r="N169" s="109" t="n"/>
      <c r="O169" s="225" t="n"/>
      <c r="P169" s="232">
        <f>IF(OR($E169="",$I169=""),"",IF(OR($J169="Tamamlandı",$J169="İptal"),"",$I169-TODAY()))</f>
        <v/>
      </c>
      <c r="Q169" s="113">
        <f>IF($E169="","",IF($D169="TANIMSIZ MÜŞTERİ","HATA",IF(OR($J169="Tamamlandı",$J169="İptal"),"KAPALI",IF(AND($C169="Görüşme",$N169=""),"SONRAKİ İŞLEM EKSİK",IF($I169="","TARİH EKSİK",IF($I169&lt;TODAY(),"GECİKMİŞ",IF($I169=TODAY(),"BUGÜN",IF($I169&lt;=TODAY()+7,"7 GÜN İÇİNDE","PLANLI"))))))))</f>
        <v/>
      </c>
      <c r="R169" s="6" t="n"/>
      <c r="S169" s="6" t="n"/>
    </row>
    <row r="170">
      <c r="A170" s="6" t="n"/>
      <c r="B170" s="113">
        <f>IF($E170="","","A"&amp;TEXT(ROW()-6,"00000"))</f>
        <v/>
      </c>
      <c r="C170" s="108" t="n"/>
      <c r="D170" s="113">
        <f>IF($E170="","",IFERROR(INDEX(MUSTERILER!$B$7:$B$106,MATCH($E170,MUSTERILER!$C$7:$C$106,0)),IFERROR(INDEX(MUSTERILER!$B$7:$B$106,MATCH($E170,MUSTERILER!$B$7:$B$106,0)),IFERROR(INDEX(MUSTERILER!$B$7:$B$106,MATCH($E170&amp;"*",MUSTERILER!$C$7:$C$106,0)),"TANIMSIZ MÜŞTERİ"))))</f>
        <v/>
      </c>
      <c r="E170" s="109" t="n"/>
      <c r="F170" s="109" t="n"/>
      <c r="G170" s="108" t="n"/>
      <c r="H170" s="225" t="n"/>
      <c r="I170" s="225" t="n"/>
      <c r="J170" s="108" t="n"/>
      <c r="K170" s="108" t="n"/>
      <c r="L170" s="109" t="n"/>
      <c r="M170" s="109" t="n"/>
      <c r="N170" s="109" t="n"/>
      <c r="O170" s="225" t="n"/>
      <c r="P170" s="232">
        <f>IF(OR($E170="",$I170=""),"",IF(OR($J170="Tamamlandı",$J170="İptal"),"",$I170-TODAY()))</f>
        <v/>
      </c>
      <c r="Q170" s="113">
        <f>IF($E170="","",IF($D170="TANIMSIZ MÜŞTERİ","HATA",IF(OR($J170="Tamamlandı",$J170="İptal"),"KAPALI",IF(AND($C170="Görüşme",$N170=""),"SONRAKİ İŞLEM EKSİK",IF($I170="","TARİH EKSİK",IF($I170&lt;TODAY(),"GECİKMİŞ",IF($I170=TODAY(),"BUGÜN",IF($I170&lt;=TODAY()+7,"7 GÜN İÇİNDE","PLANLI"))))))))</f>
        <v/>
      </c>
      <c r="R170" s="6" t="n"/>
      <c r="S170" s="6" t="n"/>
    </row>
    <row r="171">
      <c r="A171" s="6" t="n"/>
      <c r="B171" s="113">
        <f>IF($E171="","","A"&amp;TEXT(ROW()-6,"00000"))</f>
        <v/>
      </c>
      <c r="C171" s="108" t="n"/>
      <c r="D171" s="113">
        <f>IF($E171="","",IFERROR(INDEX(MUSTERILER!$B$7:$B$106,MATCH($E171,MUSTERILER!$C$7:$C$106,0)),IFERROR(INDEX(MUSTERILER!$B$7:$B$106,MATCH($E171,MUSTERILER!$B$7:$B$106,0)),IFERROR(INDEX(MUSTERILER!$B$7:$B$106,MATCH($E171&amp;"*",MUSTERILER!$C$7:$C$106,0)),"TANIMSIZ MÜŞTERİ"))))</f>
        <v/>
      </c>
      <c r="E171" s="109" t="n"/>
      <c r="F171" s="109" t="n"/>
      <c r="G171" s="108" t="n"/>
      <c r="H171" s="225" t="n"/>
      <c r="I171" s="225" t="n"/>
      <c r="J171" s="108" t="n"/>
      <c r="K171" s="108" t="n"/>
      <c r="L171" s="109" t="n"/>
      <c r="M171" s="109" t="n"/>
      <c r="N171" s="109" t="n"/>
      <c r="O171" s="225" t="n"/>
      <c r="P171" s="232">
        <f>IF(OR($E171="",$I171=""),"",IF(OR($J171="Tamamlandı",$J171="İptal"),"",$I171-TODAY()))</f>
        <v/>
      </c>
      <c r="Q171" s="113">
        <f>IF($E171="","",IF($D171="TANIMSIZ MÜŞTERİ","HATA",IF(OR($J171="Tamamlandı",$J171="İptal"),"KAPALI",IF(AND($C171="Görüşme",$N171=""),"SONRAKİ İŞLEM EKSİK",IF($I171="","TARİH EKSİK",IF($I171&lt;TODAY(),"GECİKMİŞ",IF($I171=TODAY(),"BUGÜN",IF($I171&lt;=TODAY()+7,"7 GÜN İÇİNDE","PLANLI"))))))))</f>
        <v/>
      </c>
      <c r="R171" s="6" t="n"/>
      <c r="S171" s="6" t="n"/>
    </row>
    <row r="172">
      <c r="A172" s="6" t="n"/>
      <c r="B172" s="113">
        <f>IF($E172="","","A"&amp;TEXT(ROW()-6,"00000"))</f>
        <v/>
      </c>
      <c r="C172" s="108" t="n"/>
      <c r="D172" s="113">
        <f>IF($E172="","",IFERROR(INDEX(MUSTERILER!$B$7:$B$106,MATCH($E172,MUSTERILER!$C$7:$C$106,0)),IFERROR(INDEX(MUSTERILER!$B$7:$B$106,MATCH($E172,MUSTERILER!$B$7:$B$106,0)),IFERROR(INDEX(MUSTERILER!$B$7:$B$106,MATCH($E172&amp;"*",MUSTERILER!$C$7:$C$106,0)),"TANIMSIZ MÜŞTERİ"))))</f>
        <v/>
      </c>
      <c r="E172" s="109" t="n"/>
      <c r="F172" s="109" t="n"/>
      <c r="G172" s="108" t="n"/>
      <c r="H172" s="225" t="n"/>
      <c r="I172" s="225" t="n"/>
      <c r="J172" s="108" t="n"/>
      <c r="K172" s="108" t="n"/>
      <c r="L172" s="109" t="n"/>
      <c r="M172" s="109" t="n"/>
      <c r="N172" s="109" t="n"/>
      <c r="O172" s="225" t="n"/>
      <c r="P172" s="232">
        <f>IF(OR($E172="",$I172=""),"",IF(OR($J172="Tamamlandı",$J172="İptal"),"",$I172-TODAY()))</f>
        <v/>
      </c>
      <c r="Q172" s="113">
        <f>IF($E172="","",IF($D172="TANIMSIZ MÜŞTERİ","HATA",IF(OR($J172="Tamamlandı",$J172="İptal"),"KAPALI",IF(AND($C172="Görüşme",$N172=""),"SONRAKİ İŞLEM EKSİK",IF($I172="","TARİH EKSİK",IF($I172&lt;TODAY(),"GECİKMİŞ",IF($I172=TODAY(),"BUGÜN",IF($I172&lt;=TODAY()+7,"7 GÜN İÇİNDE","PLANLI"))))))))</f>
        <v/>
      </c>
      <c r="R172" s="6" t="n"/>
      <c r="S172" s="6" t="n"/>
    </row>
    <row r="173">
      <c r="A173" s="6" t="n"/>
      <c r="B173" s="113">
        <f>IF($E173="","","A"&amp;TEXT(ROW()-6,"00000"))</f>
        <v/>
      </c>
      <c r="C173" s="108" t="n"/>
      <c r="D173" s="113">
        <f>IF($E173="","",IFERROR(INDEX(MUSTERILER!$B$7:$B$106,MATCH($E173,MUSTERILER!$C$7:$C$106,0)),IFERROR(INDEX(MUSTERILER!$B$7:$B$106,MATCH($E173,MUSTERILER!$B$7:$B$106,0)),IFERROR(INDEX(MUSTERILER!$B$7:$B$106,MATCH($E173&amp;"*",MUSTERILER!$C$7:$C$106,0)),"TANIMSIZ MÜŞTERİ"))))</f>
        <v/>
      </c>
      <c r="E173" s="109" t="n"/>
      <c r="F173" s="109" t="n"/>
      <c r="G173" s="108" t="n"/>
      <c r="H173" s="225" t="n"/>
      <c r="I173" s="225" t="n"/>
      <c r="J173" s="108" t="n"/>
      <c r="K173" s="108" t="n"/>
      <c r="L173" s="109" t="n"/>
      <c r="M173" s="109" t="n"/>
      <c r="N173" s="109" t="n"/>
      <c r="O173" s="225" t="n"/>
      <c r="P173" s="232">
        <f>IF(OR($E173="",$I173=""),"",IF(OR($J173="Tamamlandı",$J173="İptal"),"",$I173-TODAY()))</f>
        <v/>
      </c>
      <c r="Q173" s="113">
        <f>IF($E173="","",IF($D173="TANIMSIZ MÜŞTERİ","HATA",IF(OR($J173="Tamamlandı",$J173="İptal"),"KAPALI",IF(AND($C173="Görüşme",$N173=""),"SONRAKİ İŞLEM EKSİK",IF($I173="","TARİH EKSİK",IF($I173&lt;TODAY(),"GECİKMİŞ",IF($I173=TODAY(),"BUGÜN",IF($I173&lt;=TODAY()+7,"7 GÜN İÇİNDE","PLANLI"))))))))</f>
        <v/>
      </c>
      <c r="R173" s="6" t="n"/>
      <c r="S173" s="6" t="n"/>
    </row>
    <row r="174">
      <c r="A174" s="6" t="n"/>
      <c r="B174" s="113">
        <f>IF($E174="","","A"&amp;TEXT(ROW()-6,"00000"))</f>
        <v/>
      </c>
      <c r="C174" s="108" t="n"/>
      <c r="D174" s="113">
        <f>IF($E174="","",IFERROR(INDEX(MUSTERILER!$B$7:$B$106,MATCH($E174,MUSTERILER!$C$7:$C$106,0)),IFERROR(INDEX(MUSTERILER!$B$7:$B$106,MATCH($E174,MUSTERILER!$B$7:$B$106,0)),IFERROR(INDEX(MUSTERILER!$B$7:$B$106,MATCH($E174&amp;"*",MUSTERILER!$C$7:$C$106,0)),"TANIMSIZ MÜŞTERİ"))))</f>
        <v/>
      </c>
      <c r="E174" s="109" t="n"/>
      <c r="F174" s="109" t="n"/>
      <c r="G174" s="108" t="n"/>
      <c r="H174" s="225" t="n"/>
      <c r="I174" s="225" t="n"/>
      <c r="J174" s="108" t="n"/>
      <c r="K174" s="108" t="n"/>
      <c r="L174" s="109" t="n"/>
      <c r="M174" s="109" t="n"/>
      <c r="N174" s="109" t="n"/>
      <c r="O174" s="225" t="n"/>
      <c r="P174" s="232">
        <f>IF(OR($E174="",$I174=""),"",IF(OR($J174="Tamamlandı",$J174="İptal"),"",$I174-TODAY()))</f>
        <v/>
      </c>
      <c r="Q174" s="113">
        <f>IF($E174="","",IF($D174="TANIMSIZ MÜŞTERİ","HATA",IF(OR($J174="Tamamlandı",$J174="İptal"),"KAPALI",IF(AND($C174="Görüşme",$N174=""),"SONRAKİ İŞLEM EKSİK",IF($I174="","TARİH EKSİK",IF($I174&lt;TODAY(),"GECİKMİŞ",IF($I174=TODAY(),"BUGÜN",IF($I174&lt;=TODAY()+7,"7 GÜN İÇİNDE","PLANLI"))))))))</f>
        <v/>
      </c>
      <c r="R174" s="6" t="n"/>
      <c r="S174" s="6" t="n"/>
    </row>
    <row r="175">
      <c r="A175" s="6" t="n"/>
      <c r="B175" s="113">
        <f>IF($E175="","","A"&amp;TEXT(ROW()-6,"00000"))</f>
        <v/>
      </c>
      <c r="C175" s="108" t="n"/>
      <c r="D175" s="113">
        <f>IF($E175="","",IFERROR(INDEX(MUSTERILER!$B$7:$B$106,MATCH($E175,MUSTERILER!$C$7:$C$106,0)),IFERROR(INDEX(MUSTERILER!$B$7:$B$106,MATCH($E175,MUSTERILER!$B$7:$B$106,0)),IFERROR(INDEX(MUSTERILER!$B$7:$B$106,MATCH($E175&amp;"*",MUSTERILER!$C$7:$C$106,0)),"TANIMSIZ MÜŞTERİ"))))</f>
        <v/>
      </c>
      <c r="E175" s="109" t="n"/>
      <c r="F175" s="109" t="n"/>
      <c r="G175" s="108" t="n"/>
      <c r="H175" s="225" t="n"/>
      <c r="I175" s="225" t="n"/>
      <c r="J175" s="108" t="n"/>
      <c r="K175" s="108" t="n"/>
      <c r="L175" s="109" t="n"/>
      <c r="M175" s="109" t="n"/>
      <c r="N175" s="109" t="n"/>
      <c r="O175" s="225" t="n"/>
      <c r="P175" s="232">
        <f>IF(OR($E175="",$I175=""),"",IF(OR($J175="Tamamlandı",$J175="İptal"),"",$I175-TODAY()))</f>
        <v/>
      </c>
      <c r="Q175" s="113">
        <f>IF($E175="","",IF($D175="TANIMSIZ MÜŞTERİ","HATA",IF(OR($J175="Tamamlandı",$J175="İptal"),"KAPALI",IF(AND($C175="Görüşme",$N175=""),"SONRAKİ İŞLEM EKSİK",IF($I175="","TARİH EKSİK",IF($I175&lt;TODAY(),"GECİKMİŞ",IF($I175=TODAY(),"BUGÜN",IF($I175&lt;=TODAY()+7,"7 GÜN İÇİNDE","PLANLI"))))))))</f>
        <v/>
      </c>
      <c r="R175" s="6" t="n"/>
      <c r="S175" s="6" t="n"/>
    </row>
    <row r="176">
      <c r="A176" s="6" t="n"/>
      <c r="B176" s="113">
        <f>IF($E176="","","A"&amp;TEXT(ROW()-6,"00000"))</f>
        <v/>
      </c>
      <c r="C176" s="108" t="n"/>
      <c r="D176" s="113">
        <f>IF($E176="","",IFERROR(INDEX(MUSTERILER!$B$7:$B$106,MATCH($E176,MUSTERILER!$C$7:$C$106,0)),IFERROR(INDEX(MUSTERILER!$B$7:$B$106,MATCH($E176,MUSTERILER!$B$7:$B$106,0)),IFERROR(INDEX(MUSTERILER!$B$7:$B$106,MATCH($E176&amp;"*",MUSTERILER!$C$7:$C$106,0)),"TANIMSIZ MÜŞTERİ"))))</f>
        <v/>
      </c>
      <c r="E176" s="109" t="n"/>
      <c r="F176" s="109" t="n"/>
      <c r="G176" s="108" t="n"/>
      <c r="H176" s="225" t="n"/>
      <c r="I176" s="225" t="n"/>
      <c r="J176" s="108" t="n"/>
      <c r="K176" s="108" t="n"/>
      <c r="L176" s="109" t="n"/>
      <c r="M176" s="109" t="n"/>
      <c r="N176" s="109" t="n"/>
      <c r="O176" s="225" t="n"/>
      <c r="P176" s="232">
        <f>IF(OR($E176="",$I176=""),"",IF(OR($J176="Tamamlandı",$J176="İptal"),"",$I176-TODAY()))</f>
        <v/>
      </c>
      <c r="Q176" s="113">
        <f>IF($E176="","",IF($D176="TANIMSIZ MÜŞTERİ","HATA",IF(OR($J176="Tamamlandı",$J176="İptal"),"KAPALI",IF(AND($C176="Görüşme",$N176=""),"SONRAKİ İŞLEM EKSİK",IF($I176="","TARİH EKSİK",IF($I176&lt;TODAY(),"GECİKMİŞ",IF($I176=TODAY(),"BUGÜN",IF($I176&lt;=TODAY()+7,"7 GÜN İÇİNDE","PLANLI"))))))))</f>
        <v/>
      </c>
      <c r="R176" s="6" t="n"/>
      <c r="S176" s="6" t="n"/>
    </row>
    <row r="177">
      <c r="A177" s="6" t="n"/>
      <c r="B177" s="113">
        <f>IF($E177="","","A"&amp;TEXT(ROW()-6,"00000"))</f>
        <v/>
      </c>
      <c r="C177" s="108" t="n"/>
      <c r="D177" s="113">
        <f>IF($E177="","",IFERROR(INDEX(MUSTERILER!$B$7:$B$106,MATCH($E177,MUSTERILER!$C$7:$C$106,0)),IFERROR(INDEX(MUSTERILER!$B$7:$B$106,MATCH($E177,MUSTERILER!$B$7:$B$106,0)),IFERROR(INDEX(MUSTERILER!$B$7:$B$106,MATCH($E177&amp;"*",MUSTERILER!$C$7:$C$106,0)),"TANIMSIZ MÜŞTERİ"))))</f>
        <v/>
      </c>
      <c r="E177" s="109" t="n"/>
      <c r="F177" s="109" t="n"/>
      <c r="G177" s="108" t="n"/>
      <c r="H177" s="225" t="n"/>
      <c r="I177" s="225" t="n"/>
      <c r="J177" s="108" t="n"/>
      <c r="K177" s="108" t="n"/>
      <c r="L177" s="109" t="n"/>
      <c r="M177" s="109" t="n"/>
      <c r="N177" s="109" t="n"/>
      <c r="O177" s="225" t="n"/>
      <c r="P177" s="232">
        <f>IF(OR($E177="",$I177=""),"",IF(OR($J177="Tamamlandı",$J177="İptal"),"",$I177-TODAY()))</f>
        <v/>
      </c>
      <c r="Q177" s="113">
        <f>IF($E177="","",IF($D177="TANIMSIZ MÜŞTERİ","HATA",IF(OR($J177="Tamamlandı",$J177="İptal"),"KAPALI",IF(AND($C177="Görüşme",$N177=""),"SONRAKİ İŞLEM EKSİK",IF($I177="","TARİH EKSİK",IF($I177&lt;TODAY(),"GECİKMİŞ",IF($I177=TODAY(),"BUGÜN",IF($I177&lt;=TODAY()+7,"7 GÜN İÇİNDE","PLANLI"))))))))</f>
        <v/>
      </c>
      <c r="R177" s="6" t="n"/>
      <c r="S177" s="6" t="n"/>
    </row>
    <row r="178">
      <c r="A178" s="6" t="n"/>
      <c r="B178" s="113">
        <f>IF($E178="","","A"&amp;TEXT(ROW()-6,"00000"))</f>
        <v/>
      </c>
      <c r="C178" s="108" t="n"/>
      <c r="D178" s="113">
        <f>IF($E178="","",IFERROR(INDEX(MUSTERILER!$B$7:$B$106,MATCH($E178,MUSTERILER!$C$7:$C$106,0)),IFERROR(INDEX(MUSTERILER!$B$7:$B$106,MATCH($E178,MUSTERILER!$B$7:$B$106,0)),IFERROR(INDEX(MUSTERILER!$B$7:$B$106,MATCH($E178&amp;"*",MUSTERILER!$C$7:$C$106,0)),"TANIMSIZ MÜŞTERİ"))))</f>
        <v/>
      </c>
      <c r="E178" s="109" t="n"/>
      <c r="F178" s="109" t="n"/>
      <c r="G178" s="108" t="n"/>
      <c r="H178" s="225" t="n"/>
      <c r="I178" s="225" t="n"/>
      <c r="J178" s="108" t="n"/>
      <c r="K178" s="108" t="n"/>
      <c r="L178" s="109" t="n"/>
      <c r="M178" s="109" t="n"/>
      <c r="N178" s="109" t="n"/>
      <c r="O178" s="225" t="n"/>
      <c r="P178" s="232">
        <f>IF(OR($E178="",$I178=""),"",IF(OR($J178="Tamamlandı",$J178="İptal"),"",$I178-TODAY()))</f>
        <v/>
      </c>
      <c r="Q178" s="113">
        <f>IF($E178="","",IF($D178="TANIMSIZ MÜŞTERİ","HATA",IF(OR($J178="Tamamlandı",$J178="İptal"),"KAPALI",IF(AND($C178="Görüşme",$N178=""),"SONRAKİ İŞLEM EKSİK",IF($I178="","TARİH EKSİK",IF($I178&lt;TODAY(),"GECİKMİŞ",IF($I178=TODAY(),"BUGÜN",IF($I178&lt;=TODAY()+7,"7 GÜN İÇİNDE","PLANLI"))))))))</f>
        <v/>
      </c>
      <c r="R178" s="6" t="n"/>
      <c r="S178" s="6" t="n"/>
    </row>
    <row r="179">
      <c r="A179" s="6" t="n"/>
      <c r="B179" s="113">
        <f>IF($E179="","","A"&amp;TEXT(ROW()-6,"00000"))</f>
        <v/>
      </c>
      <c r="C179" s="108" t="n"/>
      <c r="D179" s="113">
        <f>IF($E179="","",IFERROR(INDEX(MUSTERILER!$B$7:$B$106,MATCH($E179,MUSTERILER!$C$7:$C$106,0)),IFERROR(INDEX(MUSTERILER!$B$7:$B$106,MATCH($E179,MUSTERILER!$B$7:$B$106,0)),IFERROR(INDEX(MUSTERILER!$B$7:$B$106,MATCH($E179&amp;"*",MUSTERILER!$C$7:$C$106,0)),"TANIMSIZ MÜŞTERİ"))))</f>
        <v/>
      </c>
      <c r="E179" s="109" t="n"/>
      <c r="F179" s="109" t="n"/>
      <c r="G179" s="108" t="n"/>
      <c r="H179" s="225" t="n"/>
      <c r="I179" s="225" t="n"/>
      <c r="J179" s="108" t="n"/>
      <c r="K179" s="108" t="n"/>
      <c r="L179" s="109" t="n"/>
      <c r="M179" s="109" t="n"/>
      <c r="N179" s="109" t="n"/>
      <c r="O179" s="225" t="n"/>
      <c r="P179" s="232">
        <f>IF(OR($E179="",$I179=""),"",IF(OR($J179="Tamamlandı",$J179="İptal"),"",$I179-TODAY()))</f>
        <v/>
      </c>
      <c r="Q179" s="113">
        <f>IF($E179="","",IF($D179="TANIMSIZ MÜŞTERİ","HATA",IF(OR($J179="Tamamlandı",$J179="İptal"),"KAPALI",IF(AND($C179="Görüşme",$N179=""),"SONRAKİ İŞLEM EKSİK",IF($I179="","TARİH EKSİK",IF($I179&lt;TODAY(),"GECİKMİŞ",IF($I179=TODAY(),"BUGÜN",IF($I179&lt;=TODAY()+7,"7 GÜN İÇİNDE","PLANLI"))))))))</f>
        <v/>
      </c>
      <c r="R179" s="6" t="n"/>
      <c r="S179" s="6" t="n"/>
    </row>
    <row r="180">
      <c r="A180" s="6" t="n"/>
      <c r="B180" s="113">
        <f>IF($E180="","","A"&amp;TEXT(ROW()-6,"00000"))</f>
        <v/>
      </c>
      <c r="C180" s="108" t="n"/>
      <c r="D180" s="113">
        <f>IF($E180="","",IFERROR(INDEX(MUSTERILER!$B$7:$B$106,MATCH($E180,MUSTERILER!$C$7:$C$106,0)),IFERROR(INDEX(MUSTERILER!$B$7:$B$106,MATCH($E180,MUSTERILER!$B$7:$B$106,0)),IFERROR(INDEX(MUSTERILER!$B$7:$B$106,MATCH($E180&amp;"*",MUSTERILER!$C$7:$C$106,0)),"TANIMSIZ MÜŞTERİ"))))</f>
        <v/>
      </c>
      <c r="E180" s="109" t="n"/>
      <c r="F180" s="109" t="n"/>
      <c r="G180" s="108" t="n"/>
      <c r="H180" s="225" t="n"/>
      <c r="I180" s="225" t="n"/>
      <c r="J180" s="108" t="n"/>
      <c r="K180" s="108" t="n"/>
      <c r="L180" s="109" t="n"/>
      <c r="M180" s="109" t="n"/>
      <c r="N180" s="109" t="n"/>
      <c r="O180" s="225" t="n"/>
      <c r="P180" s="232">
        <f>IF(OR($E180="",$I180=""),"",IF(OR($J180="Tamamlandı",$J180="İptal"),"",$I180-TODAY()))</f>
        <v/>
      </c>
      <c r="Q180" s="113">
        <f>IF($E180="","",IF($D180="TANIMSIZ MÜŞTERİ","HATA",IF(OR($J180="Tamamlandı",$J180="İptal"),"KAPALI",IF(AND($C180="Görüşme",$N180=""),"SONRAKİ İŞLEM EKSİK",IF($I180="","TARİH EKSİK",IF($I180&lt;TODAY(),"GECİKMİŞ",IF($I180=TODAY(),"BUGÜN",IF($I180&lt;=TODAY()+7,"7 GÜN İÇİNDE","PLANLI"))))))))</f>
        <v/>
      </c>
      <c r="R180" s="6" t="n"/>
      <c r="S180" s="6" t="n"/>
    </row>
    <row r="181">
      <c r="A181" s="6" t="n"/>
      <c r="B181" s="113">
        <f>IF($E181="","","A"&amp;TEXT(ROW()-6,"00000"))</f>
        <v/>
      </c>
      <c r="C181" s="108" t="n"/>
      <c r="D181" s="113">
        <f>IF($E181="","",IFERROR(INDEX(MUSTERILER!$B$7:$B$106,MATCH($E181,MUSTERILER!$C$7:$C$106,0)),IFERROR(INDEX(MUSTERILER!$B$7:$B$106,MATCH($E181,MUSTERILER!$B$7:$B$106,0)),IFERROR(INDEX(MUSTERILER!$B$7:$B$106,MATCH($E181&amp;"*",MUSTERILER!$C$7:$C$106,0)),"TANIMSIZ MÜŞTERİ"))))</f>
        <v/>
      </c>
      <c r="E181" s="109" t="n"/>
      <c r="F181" s="109" t="n"/>
      <c r="G181" s="108" t="n"/>
      <c r="H181" s="225" t="n"/>
      <c r="I181" s="225" t="n"/>
      <c r="J181" s="108" t="n"/>
      <c r="K181" s="108" t="n"/>
      <c r="L181" s="109" t="n"/>
      <c r="M181" s="109" t="n"/>
      <c r="N181" s="109" t="n"/>
      <c r="O181" s="225" t="n"/>
      <c r="P181" s="232">
        <f>IF(OR($E181="",$I181=""),"",IF(OR($J181="Tamamlandı",$J181="İptal"),"",$I181-TODAY()))</f>
        <v/>
      </c>
      <c r="Q181" s="113">
        <f>IF($E181="","",IF($D181="TANIMSIZ MÜŞTERİ","HATA",IF(OR($J181="Tamamlandı",$J181="İptal"),"KAPALI",IF(AND($C181="Görüşme",$N181=""),"SONRAKİ İŞLEM EKSİK",IF($I181="","TARİH EKSİK",IF($I181&lt;TODAY(),"GECİKMİŞ",IF($I181=TODAY(),"BUGÜN",IF($I181&lt;=TODAY()+7,"7 GÜN İÇİNDE","PLANLI"))))))))</f>
        <v/>
      </c>
      <c r="R181" s="6" t="n"/>
      <c r="S181" s="6" t="n"/>
    </row>
    <row r="182">
      <c r="A182" s="6" t="n"/>
      <c r="B182" s="113">
        <f>IF($E182="","","A"&amp;TEXT(ROW()-6,"00000"))</f>
        <v/>
      </c>
      <c r="C182" s="108" t="n"/>
      <c r="D182" s="113">
        <f>IF($E182="","",IFERROR(INDEX(MUSTERILER!$B$7:$B$106,MATCH($E182,MUSTERILER!$C$7:$C$106,0)),IFERROR(INDEX(MUSTERILER!$B$7:$B$106,MATCH($E182,MUSTERILER!$B$7:$B$106,0)),IFERROR(INDEX(MUSTERILER!$B$7:$B$106,MATCH($E182&amp;"*",MUSTERILER!$C$7:$C$106,0)),"TANIMSIZ MÜŞTERİ"))))</f>
        <v/>
      </c>
      <c r="E182" s="109" t="n"/>
      <c r="F182" s="109" t="n"/>
      <c r="G182" s="108" t="n"/>
      <c r="H182" s="225" t="n"/>
      <c r="I182" s="225" t="n"/>
      <c r="J182" s="108" t="n"/>
      <c r="K182" s="108" t="n"/>
      <c r="L182" s="109" t="n"/>
      <c r="M182" s="109" t="n"/>
      <c r="N182" s="109" t="n"/>
      <c r="O182" s="225" t="n"/>
      <c r="P182" s="232">
        <f>IF(OR($E182="",$I182=""),"",IF(OR($J182="Tamamlandı",$J182="İptal"),"",$I182-TODAY()))</f>
        <v/>
      </c>
      <c r="Q182" s="113">
        <f>IF($E182="","",IF($D182="TANIMSIZ MÜŞTERİ","HATA",IF(OR($J182="Tamamlandı",$J182="İptal"),"KAPALI",IF(AND($C182="Görüşme",$N182=""),"SONRAKİ İŞLEM EKSİK",IF($I182="","TARİH EKSİK",IF($I182&lt;TODAY(),"GECİKMİŞ",IF($I182=TODAY(),"BUGÜN",IF($I182&lt;=TODAY()+7,"7 GÜN İÇİNDE","PLANLI"))))))))</f>
        <v/>
      </c>
      <c r="R182" s="6" t="n"/>
      <c r="S182" s="6" t="n"/>
    </row>
    <row r="183">
      <c r="A183" s="6" t="n"/>
      <c r="B183" s="113">
        <f>IF($E183="","","A"&amp;TEXT(ROW()-6,"00000"))</f>
        <v/>
      </c>
      <c r="C183" s="108" t="n"/>
      <c r="D183" s="113">
        <f>IF($E183="","",IFERROR(INDEX(MUSTERILER!$B$7:$B$106,MATCH($E183,MUSTERILER!$C$7:$C$106,0)),IFERROR(INDEX(MUSTERILER!$B$7:$B$106,MATCH($E183,MUSTERILER!$B$7:$B$106,0)),IFERROR(INDEX(MUSTERILER!$B$7:$B$106,MATCH($E183&amp;"*",MUSTERILER!$C$7:$C$106,0)),"TANIMSIZ MÜŞTERİ"))))</f>
        <v/>
      </c>
      <c r="E183" s="109" t="n"/>
      <c r="F183" s="109" t="n"/>
      <c r="G183" s="108" t="n"/>
      <c r="H183" s="225" t="n"/>
      <c r="I183" s="225" t="n"/>
      <c r="J183" s="108" t="n"/>
      <c r="K183" s="108" t="n"/>
      <c r="L183" s="109" t="n"/>
      <c r="M183" s="109" t="n"/>
      <c r="N183" s="109" t="n"/>
      <c r="O183" s="225" t="n"/>
      <c r="P183" s="232">
        <f>IF(OR($E183="",$I183=""),"",IF(OR($J183="Tamamlandı",$J183="İptal"),"",$I183-TODAY()))</f>
        <v/>
      </c>
      <c r="Q183" s="113">
        <f>IF($E183="","",IF($D183="TANIMSIZ MÜŞTERİ","HATA",IF(OR($J183="Tamamlandı",$J183="İptal"),"KAPALI",IF(AND($C183="Görüşme",$N183=""),"SONRAKİ İŞLEM EKSİK",IF($I183="","TARİH EKSİK",IF($I183&lt;TODAY(),"GECİKMİŞ",IF($I183=TODAY(),"BUGÜN",IF($I183&lt;=TODAY()+7,"7 GÜN İÇİNDE","PLANLI"))))))))</f>
        <v/>
      </c>
      <c r="R183" s="6" t="n"/>
      <c r="S183" s="6" t="n"/>
    </row>
    <row r="184">
      <c r="A184" s="6" t="n"/>
      <c r="B184" s="113">
        <f>IF($E184="","","A"&amp;TEXT(ROW()-6,"00000"))</f>
        <v/>
      </c>
      <c r="C184" s="108" t="n"/>
      <c r="D184" s="113">
        <f>IF($E184="","",IFERROR(INDEX(MUSTERILER!$B$7:$B$106,MATCH($E184,MUSTERILER!$C$7:$C$106,0)),IFERROR(INDEX(MUSTERILER!$B$7:$B$106,MATCH($E184,MUSTERILER!$B$7:$B$106,0)),IFERROR(INDEX(MUSTERILER!$B$7:$B$106,MATCH($E184&amp;"*",MUSTERILER!$C$7:$C$106,0)),"TANIMSIZ MÜŞTERİ"))))</f>
        <v/>
      </c>
      <c r="E184" s="109" t="n"/>
      <c r="F184" s="109" t="n"/>
      <c r="G184" s="108" t="n"/>
      <c r="H184" s="225" t="n"/>
      <c r="I184" s="225" t="n"/>
      <c r="J184" s="108" t="n"/>
      <c r="K184" s="108" t="n"/>
      <c r="L184" s="109" t="n"/>
      <c r="M184" s="109" t="n"/>
      <c r="N184" s="109" t="n"/>
      <c r="O184" s="225" t="n"/>
      <c r="P184" s="232">
        <f>IF(OR($E184="",$I184=""),"",IF(OR($J184="Tamamlandı",$J184="İptal"),"",$I184-TODAY()))</f>
        <v/>
      </c>
      <c r="Q184" s="113">
        <f>IF($E184="","",IF($D184="TANIMSIZ MÜŞTERİ","HATA",IF(OR($J184="Tamamlandı",$J184="İptal"),"KAPALI",IF(AND($C184="Görüşme",$N184=""),"SONRAKİ İŞLEM EKSİK",IF($I184="","TARİH EKSİK",IF($I184&lt;TODAY(),"GECİKMİŞ",IF($I184=TODAY(),"BUGÜN",IF($I184&lt;=TODAY()+7,"7 GÜN İÇİNDE","PLANLI"))))))))</f>
        <v/>
      </c>
      <c r="R184" s="6" t="n"/>
      <c r="S184" s="6" t="n"/>
    </row>
    <row r="185">
      <c r="A185" s="6" t="n"/>
      <c r="B185" s="113">
        <f>IF($E185="","","A"&amp;TEXT(ROW()-6,"00000"))</f>
        <v/>
      </c>
      <c r="C185" s="108" t="n"/>
      <c r="D185" s="113">
        <f>IF($E185="","",IFERROR(INDEX(MUSTERILER!$B$7:$B$106,MATCH($E185,MUSTERILER!$C$7:$C$106,0)),IFERROR(INDEX(MUSTERILER!$B$7:$B$106,MATCH($E185,MUSTERILER!$B$7:$B$106,0)),IFERROR(INDEX(MUSTERILER!$B$7:$B$106,MATCH($E185&amp;"*",MUSTERILER!$C$7:$C$106,0)),"TANIMSIZ MÜŞTERİ"))))</f>
        <v/>
      </c>
      <c r="E185" s="109" t="n"/>
      <c r="F185" s="109" t="n"/>
      <c r="G185" s="108" t="n"/>
      <c r="H185" s="225" t="n"/>
      <c r="I185" s="225" t="n"/>
      <c r="J185" s="108" t="n"/>
      <c r="K185" s="108" t="n"/>
      <c r="L185" s="109" t="n"/>
      <c r="M185" s="109" t="n"/>
      <c r="N185" s="109" t="n"/>
      <c r="O185" s="225" t="n"/>
      <c r="P185" s="232">
        <f>IF(OR($E185="",$I185=""),"",IF(OR($J185="Tamamlandı",$J185="İptal"),"",$I185-TODAY()))</f>
        <v/>
      </c>
      <c r="Q185" s="113">
        <f>IF($E185="","",IF($D185="TANIMSIZ MÜŞTERİ","HATA",IF(OR($J185="Tamamlandı",$J185="İptal"),"KAPALI",IF(AND($C185="Görüşme",$N185=""),"SONRAKİ İŞLEM EKSİK",IF($I185="","TARİH EKSİK",IF($I185&lt;TODAY(),"GECİKMİŞ",IF($I185=TODAY(),"BUGÜN",IF($I185&lt;=TODAY()+7,"7 GÜN İÇİNDE","PLANLI"))))))))</f>
        <v/>
      </c>
      <c r="R185" s="6" t="n"/>
      <c r="S185" s="6" t="n"/>
    </row>
    <row r="186">
      <c r="A186" s="6" t="n"/>
      <c r="B186" s="113">
        <f>IF($E186="","","A"&amp;TEXT(ROW()-6,"00000"))</f>
        <v/>
      </c>
      <c r="C186" s="108" t="n"/>
      <c r="D186" s="113">
        <f>IF($E186="","",IFERROR(INDEX(MUSTERILER!$B$7:$B$106,MATCH($E186,MUSTERILER!$C$7:$C$106,0)),IFERROR(INDEX(MUSTERILER!$B$7:$B$106,MATCH($E186,MUSTERILER!$B$7:$B$106,0)),IFERROR(INDEX(MUSTERILER!$B$7:$B$106,MATCH($E186&amp;"*",MUSTERILER!$C$7:$C$106,0)),"TANIMSIZ MÜŞTERİ"))))</f>
        <v/>
      </c>
      <c r="E186" s="109" t="n"/>
      <c r="F186" s="109" t="n"/>
      <c r="G186" s="108" t="n"/>
      <c r="H186" s="225" t="n"/>
      <c r="I186" s="225" t="n"/>
      <c r="J186" s="108" t="n"/>
      <c r="K186" s="108" t="n"/>
      <c r="L186" s="109" t="n"/>
      <c r="M186" s="109" t="n"/>
      <c r="N186" s="109" t="n"/>
      <c r="O186" s="225" t="n"/>
      <c r="P186" s="232">
        <f>IF(OR($E186="",$I186=""),"",IF(OR($J186="Tamamlandı",$J186="İptal"),"",$I186-TODAY()))</f>
        <v/>
      </c>
      <c r="Q186" s="113">
        <f>IF($E186="","",IF($D186="TANIMSIZ MÜŞTERİ","HATA",IF(OR($J186="Tamamlandı",$J186="İptal"),"KAPALI",IF(AND($C186="Görüşme",$N186=""),"SONRAKİ İŞLEM EKSİK",IF($I186="","TARİH EKSİK",IF($I186&lt;TODAY(),"GECİKMİŞ",IF($I186=TODAY(),"BUGÜN",IF($I186&lt;=TODAY()+7,"7 GÜN İÇİNDE","PLANLI"))))))))</f>
        <v/>
      </c>
      <c r="R186" s="6" t="n"/>
      <c r="S186" s="6" t="n"/>
    </row>
    <row r="187">
      <c r="A187" s="6" t="n"/>
      <c r="B187" s="113">
        <f>IF($E187="","","A"&amp;TEXT(ROW()-6,"00000"))</f>
        <v/>
      </c>
      <c r="C187" s="108" t="n"/>
      <c r="D187" s="113">
        <f>IF($E187="","",IFERROR(INDEX(MUSTERILER!$B$7:$B$106,MATCH($E187,MUSTERILER!$C$7:$C$106,0)),IFERROR(INDEX(MUSTERILER!$B$7:$B$106,MATCH($E187,MUSTERILER!$B$7:$B$106,0)),IFERROR(INDEX(MUSTERILER!$B$7:$B$106,MATCH($E187&amp;"*",MUSTERILER!$C$7:$C$106,0)),"TANIMSIZ MÜŞTERİ"))))</f>
        <v/>
      </c>
      <c r="E187" s="109" t="n"/>
      <c r="F187" s="109" t="n"/>
      <c r="G187" s="108" t="n"/>
      <c r="H187" s="225" t="n"/>
      <c r="I187" s="225" t="n"/>
      <c r="J187" s="108" t="n"/>
      <c r="K187" s="108" t="n"/>
      <c r="L187" s="109" t="n"/>
      <c r="M187" s="109" t="n"/>
      <c r="N187" s="109" t="n"/>
      <c r="O187" s="225" t="n"/>
      <c r="P187" s="232">
        <f>IF(OR($E187="",$I187=""),"",IF(OR($J187="Tamamlandı",$J187="İptal"),"",$I187-TODAY()))</f>
        <v/>
      </c>
      <c r="Q187" s="113">
        <f>IF($E187="","",IF($D187="TANIMSIZ MÜŞTERİ","HATA",IF(OR($J187="Tamamlandı",$J187="İptal"),"KAPALI",IF(AND($C187="Görüşme",$N187=""),"SONRAKİ İŞLEM EKSİK",IF($I187="","TARİH EKSİK",IF($I187&lt;TODAY(),"GECİKMİŞ",IF($I187=TODAY(),"BUGÜN",IF($I187&lt;=TODAY()+7,"7 GÜN İÇİNDE","PLANLI"))))))))</f>
        <v/>
      </c>
      <c r="R187" s="6" t="n"/>
      <c r="S187" s="6" t="n"/>
    </row>
    <row r="188">
      <c r="A188" s="6" t="n"/>
      <c r="B188" s="113">
        <f>IF($E188="","","A"&amp;TEXT(ROW()-6,"00000"))</f>
        <v/>
      </c>
      <c r="C188" s="108" t="n"/>
      <c r="D188" s="113">
        <f>IF($E188="","",IFERROR(INDEX(MUSTERILER!$B$7:$B$106,MATCH($E188,MUSTERILER!$C$7:$C$106,0)),IFERROR(INDEX(MUSTERILER!$B$7:$B$106,MATCH($E188,MUSTERILER!$B$7:$B$106,0)),IFERROR(INDEX(MUSTERILER!$B$7:$B$106,MATCH($E188&amp;"*",MUSTERILER!$C$7:$C$106,0)),"TANIMSIZ MÜŞTERİ"))))</f>
        <v/>
      </c>
      <c r="E188" s="109" t="n"/>
      <c r="F188" s="109" t="n"/>
      <c r="G188" s="108" t="n"/>
      <c r="H188" s="225" t="n"/>
      <c r="I188" s="225" t="n"/>
      <c r="J188" s="108" t="n"/>
      <c r="K188" s="108" t="n"/>
      <c r="L188" s="109" t="n"/>
      <c r="M188" s="109" t="n"/>
      <c r="N188" s="109" t="n"/>
      <c r="O188" s="225" t="n"/>
      <c r="P188" s="232">
        <f>IF(OR($E188="",$I188=""),"",IF(OR($J188="Tamamlandı",$J188="İptal"),"",$I188-TODAY()))</f>
        <v/>
      </c>
      <c r="Q188" s="113">
        <f>IF($E188="","",IF($D188="TANIMSIZ MÜŞTERİ","HATA",IF(OR($J188="Tamamlandı",$J188="İptal"),"KAPALI",IF(AND($C188="Görüşme",$N188=""),"SONRAKİ İŞLEM EKSİK",IF($I188="","TARİH EKSİK",IF($I188&lt;TODAY(),"GECİKMİŞ",IF($I188=TODAY(),"BUGÜN",IF($I188&lt;=TODAY()+7,"7 GÜN İÇİNDE","PLANLI"))))))))</f>
        <v/>
      </c>
      <c r="R188" s="6" t="n"/>
      <c r="S188" s="6" t="n"/>
    </row>
    <row r="189">
      <c r="A189" s="6" t="n"/>
      <c r="B189" s="113">
        <f>IF($E189="","","A"&amp;TEXT(ROW()-6,"00000"))</f>
        <v/>
      </c>
      <c r="C189" s="108" t="n"/>
      <c r="D189" s="113">
        <f>IF($E189="","",IFERROR(INDEX(MUSTERILER!$B$7:$B$106,MATCH($E189,MUSTERILER!$C$7:$C$106,0)),IFERROR(INDEX(MUSTERILER!$B$7:$B$106,MATCH($E189,MUSTERILER!$B$7:$B$106,0)),IFERROR(INDEX(MUSTERILER!$B$7:$B$106,MATCH($E189&amp;"*",MUSTERILER!$C$7:$C$106,0)),"TANIMSIZ MÜŞTERİ"))))</f>
        <v/>
      </c>
      <c r="E189" s="109" t="n"/>
      <c r="F189" s="109" t="n"/>
      <c r="G189" s="108" t="n"/>
      <c r="H189" s="225" t="n"/>
      <c r="I189" s="225" t="n"/>
      <c r="J189" s="108" t="n"/>
      <c r="K189" s="108" t="n"/>
      <c r="L189" s="109" t="n"/>
      <c r="M189" s="109" t="n"/>
      <c r="N189" s="109" t="n"/>
      <c r="O189" s="225" t="n"/>
      <c r="P189" s="232">
        <f>IF(OR($E189="",$I189=""),"",IF(OR($J189="Tamamlandı",$J189="İptal"),"",$I189-TODAY()))</f>
        <v/>
      </c>
      <c r="Q189" s="113">
        <f>IF($E189="","",IF($D189="TANIMSIZ MÜŞTERİ","HATA",IF(OR($J189="Tamamlandı",$J189="İptal"),"KAPALI",IF(AND($C189="Görüşme",$N189=""),"SONRAKİ İŞLEM EKSİK",IF($I189="","TARİH EKSİK",IF($I189&lt;TODAY(),"GECİKMİŞ",IF($I189=TODAY(),"BUGÜN",IF($I189&lt;=TODAY()+7,"7 GÜN İÇİNDE","PLANLI"))))))))</f>
        <v/>
      </c>
      <c r="R189" s="6" t="n"/>
      <c r="S189" s="6" t="n"/>
    </row>
    <row r="190">
      <c r="A190" s="6" t="n"/>
      <c r="B190" s="113">
        <f>IF($E190="","","A"&amp;TEXT(ROW()-6,"00000"))</f>
        <v/>
      </c>
      <c r="C190" s="108" t="n"/>
      <c r="D190" s="113">
        <f>IF($E190="","",IFERROR(INDEX(MUSTERILER!$B$7:$B$106,MATCH($E190,MUSTERILER!$C$7:$C$106,0)),IFERROR(INDEX(MUSTERILER!$B$7:$B$106,MATCH($E190,MUSTERILER!$B$7:$B$106,0)),IFERROR(INDEX(MUSTERILER!$B$7:$B$106,MATCH($E190&amp;"*",MUSTERILER!$C$7:$C$106,0)),"TANIMSIZ MÜŞTERİ"))))</f>
        <v/>
      </c>
      <c r="E190" s="109" t="n"/>
      <c r="F190" s="109" t="n"/>
      <c r="G190" s="108" t="n"/>
      <c r="H190" s="225" t="n"/>
      <c r="I190" s="225" t="n"/>
      <c r="J190" s="108" t="n"/>
      <c r="K190" s="108" t="n"/>
      <c r="L190" s="109" t="n"/>
      <c r="M190" s="109" t="n"/>
      <c r="N190" s="109" t="n"/>
      <c r="O190" s="225" t="n"/>
      <c r="P190" s="232">
        <f>IF(OR($E190="",$I190=""),"",IF(OR($J190="Tamamlandı",$J190="İptal"),"",$I190-TODAY()))</f>
        <v/>
      </c>
      <c r="Q190" s="113">
        <f>IF($E190="","",IF($D190="TANIMSIZ MÜŞTERİ","HATA",IF(OR($J190="Tamamlandı",$J190="İptal"),"KAPALI",IF(AND($C190="Görüşme",$N190=""),"SONRAKİ İŞLEM EKSİK",IF($I190="","TARİH EKSİK",IF($I190&lt;TODAY(),"GECİKMİŞ",IF($I190=TODAY(),"BUGÜN",IF($I190&lt;=TODAY()+7,"7 GÜN İÇİNDE","PLANLI"))))))))</f>
        <v/>
      </c>
      <c r="R190" s="6" t="n"/>
      <c r="S190" s="6" t="n"/>
    </row>
    <row r="191">
      <c r="A191" s="6" t="n"/>
      <c r="B191" s="113">
        <f>IF($E191="","","A"&amp;TEXT(ROW()-6,"00000"))</f>
        <v/>
      </c>
      <c r="C191" s="108" t="n"/>
      <c r="D191" s="113">
        <f>IF($E191="","",IFERROR(INDEX(MUSTERILER!$B$7:$B$106,MATCH($E191,MUSTERILER!$C$7:$C$106,0)),IFERROR(INDEX(MUSTERILER!$B$7:$B$106,MATCH($E191,MUSTERILER!$B$7:$B$106,0)),IFERROR(INDEX(MUSTERILER!$B$7:$B$106,MATCH($E191&amp;"*",MUSTERILER!$C$7:$C$106,0)),"TANIMSIZ MÜŞTERİ"))))</f>
        <v/>
      </c>
      <c r="E191" s="109" t="n"/>
      <c r="F191" s="109" t="n"/>
      <c r="G191" s="108" t="n"/>
      <c r="H191" s="225" t="n"/>
      <c r="I191" s="225" t="n"/>
      <c r="J191" s="108" t="n"/>
      <c r="K191" s="108" t="n"/>
      <c r="L191" s="109" t="n"/>
      <c r="M191" s="109" t="n"/>
      <c r="N191" s="109" t="n"/>
      <c r="O191" s="225" t="n"/>
      <c r="P191" s="232">
        <f>IF(OR($E191="",$I191=""),"",IF(OR($J191="Tamamlandı",$J191="İptal"),"",$I191-TODAY()))</f>
        <v/>
      </c>
      <c r="Q191" s="113">
        <f>IF($E191="","",IF($D191="TANIMSIZ MÜŞTERİ","HATA",IF(OR($J191="Tamamlandı",$J191="İptal"),"KAPALI",IF(AND($C191="Görüşme",$N191=""),"SONRAKİ İŞLEM EKSİK",IF($I191="","TARİH EKSİK",IF($I191&lt;TODAY(),"GECİKMİŞ",IF($I191=TODAY(),"BUGÜN",IF($I191&lt;=TODAY()+7,"7 GÜN İÇİNDE","PLANLI"))))))))</f>
        <v/>
      </c>
      <c r="R191" s="6" t="n"/>
      <c r="S191" s="6" t="n"/>
    </row>
    <row r="192">
      <c r="A192" s="6" t="n"/>
      <c r="B192" s="113">
        <f>IF($E192="","","A"&amp;TEXT(ROW()-6,"00000"))</f>
        <v/>
      </c>
      <c r="C192" s="108" t="n"/>
      <c r="D192" s="113">
        <f>IF($E192="","",IFERROR(INDEX(MUSTERILER!$B$7:$B$106,MATCH($E192,MUSTERILER!$C$7:$C$106,0)),IFERROR(INDEX(MUSTERILER!$B$7:$B$106,MATCH($E192,MUSTERILER!$B$7:$B$106,0)),IFERROR(INDEX(MUSTERILER!$B$7:$B$106,MATCH($E192&amp;"*",MUSTERILER!$C$7:$C$106,0)),"TANIMSIZ MÜŞTERİ"))))</f>
        <v/>
      </c>
      <c r="E192" s="109" t="n"/>
      <c r="F192" s="109" t="n"/>
      <c r="G192" s="108" t="n"/>
      <c r="H192" s="225" t="n"/>
      <c r="I192" s="225" t="n"/>
      <c r="J192" s="108" t="n"/>
      <c r="K192" s="108" t="n"/>
      <c r="L192" s="109" t="n"/>
      <c r="M192" s="109" t="n"/>
      <c r="N192" s="109" t="n"/>
      <c r="O192" s="225" t="n"/>
      <c r="P192" s="232">
        <f>IF(OR($E192="",$I192=""),"",IF(OR($J192="Tamamlandı",$J192="İptal"),"",$I192-TODAY()))</f>
        <v/>
      </c>
      <c r="Q192" s="113">
        <f>IF($E192="","",IF($D192="TANIMSIZ MÜŞTERİ","HATA",IF(OR($J192="Tamamlandı",$J192="İptal"),"KAPALI",IF(AND($C192="Görüşme",$N192=""),"SONRAKİ İŞLEM EKSİK",IF($I192="","TARİH EKSİK",IF($I192&lt;TODAY(),"GECİKMİŞ",IF($I192=TODAY(),"BUGÜN",IF($I192&lt;=TODAY()+7,"7 GÜN İÇİNDE","PLANLI"))))))))</f>
        <v/>
      </c>
      <c r="R192" s="6" t="n"/>
      <c r="S192" s="6" t="n"/>
    </row>
    <row r="193">
      <c r="A193" s="6" t="n"/>
      <c r="B193" s="113">
        <f>IF($E193="","","A"&amp;TEXT(ROW()-6,"00000"))</f>
        <v/>
      </c>
      <c r="C193" s="108" t="n"/>
      <c r="D193" s="113">
        <f>IF($E193="","",IFERROR(INDEX(MUSTERILER!$B$7:$B$106,MATCH($E193,MUSTERILER!$C$7:$C$106,0)),IFERROR(INDEX(MUSTERILER!$B$7:$B$106,MATCH($E193,MUSTERILER!$B$7:$B$106,0)),IFERROR(INDEX(MUSTERILER!$B$7:$B$106,MATCH($E193&amp;"*",MUSTERILER!$C$7:$C$106,0)),"TANIMSIZ MÜŞTERİ"))))</f>
        <v/>
      </c>
      <c r="E193" s="109" t="n"/>
      <c r="F193" s="109" t="n"/>
      <c r="G193" s="108" t="n"/>
      <c r="H193" s="225" t="n"/>
      <c r="I193" s="225" t="n"/>
      <c r="J193" s="108" t="n"/>
      <c r="K193" s="108" t="n"/>
      <c r="L193" s="109" t="n"/>
      <c r="M193" s="109" t="n"/>
      <c r="N193" s="109" t="n"/>
      <c r="O193" s="225" t="n"/>
      <c r="P193" s="232">
        <f>IF(OR($E193="",$I193=""),"",IF(OR($J193="Tamamlandı",$J193="İptal"),"",$I193-TODAY()))</f>
        <v/>
      </c>
      <c r="Q193" s="113">
        <f>IF($E193="","",IF($D193="TANIMSIZ MÜŞTERİ","HATA",IF(OR($J193="Tamamlandı",$J193="İptal"),"KAPALI",IF(AND($C193="Görüşme",$N193=""),"SONRAKİ İŞLEM EKSİK",IF($I193="","TARİH EKSİK",IF($I193&lt;TODAY(),"GECİKMİŞ",IF($I193=TODAY(),"BUGÜN",IF($I193&lt;=TODAY()+7,"7 GÜN İÇİNDE","PLANLI"))))))))</f>
        <v/>
      </c>
      <c r="R193" s="6" t="n"/>
      <c r="S193" s="6" t="n"/>
    </row>
    <row r="194">
      <c r="A194" s="6" t="n"/>
      <c r="B194" s="113">
        <f>IF($E194="","","A"&amp;TEXT(ROW()-6,"00000"))</f>
        <v/>
      </c>
      <c r="C194" s="108" t="n"/>
      <c r="D194" s="113">
        <f>IF($E194="","",IFERROR(INDEX(MUSTERILER!$B$7:$B$106,MATCH($E194,MUSTERILER!$C$7:$C$106,0)),IFERROR(INDEX(MUSTERILER!$B$7:$B$106,MATCH($E194,MUSTERILER!$B$7:$B$106,0)),IFERROR(INDEX(MUSTERILER!$B$7:$B$106,MATCH($E194&amp;"*",MUSTERILER!$C$7:$C$106,0)),"TANIMSIZ MÜŞTERİ"))))</f>
        <v/>
      </c>
      <c r="E194" s="109" t="n"/>
      <c r="F194" s="109" t="n"/>
      <c r="G194" s="108" t="n"/>
      <c r="H194" s="225" t="n"/>
      <c r="I194" s="225" t="n"/>
      <c r="J194" s="108" t="n"/>
      <c r="K194" s="108" t="n"/>
      <c r="L194" s="109" t="n"/>
      <c r="M194" s="109" t="n"/>
      <c r="N194" s="109" t="n"/>
      <c r="O194" s="225" t="n"/>
      <c r="P194" s="232">
        <f>IF(OR($E194="",$I194=""),"",IF(OR($J194="Tamamlandı",$J194="İptal"),"",$I194-TODAY()))</f>
        <v/>
      </c>
      <c r="Q194" s="113">
        <f>IF($E194="","",IF($D194="TANIMSIZ MÜŞTERİ","HATA",IF(OR($J194="Tamamlandı",$J194="İptal"),"KAPALI",IF(AND($C194="Görüşme",$N194=""),"SONRAKİ İŞLEM EKSİK",IF($I194="","TARİH EKSİK",IF($I194&lt;TODAY(),"GECİKMİŞ",IF($I194=TODAY(),"BUGÜN",IF($I194&lt;=TODAY()+7,"7 GÜN İÇİNDE","PLANLI"))))))))</f>
        <v/>
      </c>
      <c r="R194" s="6" t="n"/>
      <c r="S194" s="6" t="n"/>
    </row>
    <row r="195">
      <c r="A195" s="6" t="n"/>
      <c r="B195" s="113">
        <f>IF($E195="","","A"&amp;TEXT(ROW()-6,"00000"))</f>
        <v/>
      </c>
      <c r="C195" s="108" t="n"/>
      <c r="D195" s="113">
        <f>IF($E195="","",IFERROR(INDEX(MUSTERILER!$B$7:$B$106,MATCH($E195,MUSTERILER!$C$7:$C$106,0)),IFERROR(INDEX(MUSTERILER!$B$7:$B$106,MATCH($E195,MUSTERILER!$B$7:$B$106,0)),IFERROR(INDEX(MUSTERILER!$B$7:$B$106,MATCH($E195&amp;"*",MUSTERILER!$C$7:$C$106,0)),"TANIMSIZ MÜŞTERİ"))))</f>
        <v/>
      </c>
      <c r="E195" s="109" t="n"/>
      <c r="F195" s="109" t="n"/>
      <c r="G195" s="108" t="n"/>
      <c r="H195" s="225" t="n"/>
      <c r="I195" s="225" t="n"/>
      <c r="J195" s="108" t="n"/>
      <c r="K195" s="108" t="n"/>
      <c r="L195" s="109" t="n"/>
      <c r="M195" s="109" t="n"/>
      <c r="N195" s="109" t="n"/>
      <c r="O195" s="225" t="n"/>
      <c r="P195" s="232">
        <f>IF(OR($E195="",$I195=""),"",IF(OR($J195="Tamamlandı",$J195="İptal"),"",$I195-TODAY()))</f>
        <v/>
      </c>
      <c r="Q195" s="113">
        <f>IF($E195="","",IF($D195="TANIMSIZ MÜŞTERİ","HATA",IF(OR($J195="Tamamlandı",$J195="İptal"),"KAPALI",IF(AND($C195="Görüşme",$N195=""),"SONRAKİ İŞLEM EKSİK",IF($I195="","TARİH EKSİK",IF($I195&lt;TODAY(),"GECİKMİŞ",IF($I195=TODAY(),"BUGÜN",IF($I195&lt;=TODAY()+7,"7 GÜN İÇİNDE","PLANLI"))))))))</f>
        <v/>
      </c>
      <c r="R195" s="6" t="n"/>
      <c r="S195" s="6" t="n"/>
    </row>
    <row r="196">
      <c r="A196" s="6" t="n"/>
      <c r="B196" s="113">
        <f>IF($E196="","","A"&amp;TEXT(ROW()-6,"00000"))</f>
        <v/>
      </c>
      <c r="C196" s="108" t="n"/>
      <c r="D196" s="113">
        <f>IF($E196="","",IFERROR(INDEX(MUSTERILER!$B$7:$B$106,MATCH($E196,MUSTERILER!$C$7:$C$106,0)),IFERROR(INDEX(MUSTERILER!$B$7:$B$106,MATCH($E196,MUSTERILER!$B$7:$B$106,0)),IFERROR(INDEX(MUSTERILER!$B$7:$B$106,MATCH($E196&amp;"*",MUSTERILER!$C$7:$C$106,0)),"TANIMSIZ MÜŞTERİ"))))</f>
        <v/>
      </c>
      <c r="E196" s="109" t="n"/>
      <c r="F196" s="109" t="n"/>
      <c r="G196" s="108" t="n"/>
      <c r="H196" s="225" t="n"/>
      <c r="I196" s="225" t="n"/>
      <c r="J196" s="108" t="n"/>
      <c r="K196" s="108" t="n"/>
      <c r="L196" s="109" t="n"/>
      <c r="M196" s="109" t="n"/>
      <c r="N196" s="109" t="n"/>
      <c r="O196" s="225" t="n"/>
      <c r="P196" s="232">
        <f>IF(OR($E196="",$I196=""),"",IF(OR($J196="Tamamlandı",$J196="İptal"),"",$I196-TODAY()))</f>
        <v/>
      </c>
      <c r="Q196" s="113">
        <f>IF($E196="","",IF($D196="TANIMSIZ MÜŞTERİ","HATA",IF(OR($J196="Tamamlandı",$J196="İptal"),"KAPALI",IF(AND($C196="Görüşme",$N196=""),"SONRAKİ İŞLEM EKSİK",IF($I196="","TARİH EKSİK",IF($I196&lt;TODAY(),"GECİKMİŞ",IF($I196=TODAY(),"BUGÜN",IF($I196&lt;=TODAY()+7,"7 GÜN İÇİNDE","PLANLI"))))))))</f>
        <v/>
      </c>
      <c r="R196" s="6" t="n"/>
      <c r="S196" s="6" t="n"/>
    </row>
    <row r="197">
      <c r="A197" s="6" t="n"/>
      <c r="B197" s="113">
        <f>IF($E197="","","A"&amp;TEXT(ROW()-6,"00000"))</f>
        <v/>
      </c>
      <c r="C197" s="108" t="n"/>
      <c r="D197" s="113">
        <f>IF($E197="","",IFERROR(INDEX(MUSTERILER!$B$7:$B$106,MATCH($E197,MUSTERILER!$C$7:$C$106,0)),IFERROR(INDEX(MUSTERILER!$B$7:$B$106,MATCH($E197,MUSTERILER!$B$7:$B$106,0)),IFERROR(INDEX(MUSTERILER!$B$7:$B$106,MATCH($E197&amp;"*",MUSTERILER!$C$7:$C$106,0)),"TANIMSIZ MÜŞTERİ"))))</f>
        <v/>
      </c>
      <c r="E197" s="109" t="n"/>
      <c r="F197" s="109" t="n"/>
      <c r="G197" s="108" t="n"/>
      <c r="H197" s="225" t="n"/>
      <c r="I197" s="225" t="n"/>
      <c r="J197" s="108" t="n"/>
      <c r="K197" s="108" t="n"/>
      <c r="L197" s="109" t="n"/>
      <c r="M197" s="109" t="n"/>
      <c r="N197" s="109" t="n"/>
      <c r="O197" s="225" t="n"/>
      <c r="P197" s="232">
        <f>IF(OR($E197="",$I197=""),"",IF(OR($J197="Tamamlandı",$J197="İptal"),"",$I197-TODAY()))</f>
        <v/>
      </c>
      <c r="Q197" s="113">
        <f>IF($E197="","",IF($D197="TANIMSIZ MÜŞTERİ","HATA",IF(OR($J197="Tamamlandı",$J197="İptal"),"KAPALI",IF(AND($C197="Görüşme",$N197=""),"SONRAKİ İŞLEM EKSİK",IF($I197="","TARİH EKSİK",IF($I197&lt;TODAY(),"GECİKMİŞ",IF($I197=TODAY(),"BUGÜN",IF($I197&lt;=TODAY()+7,"7 GÜN İÇİNDE","PLANLI"))))))))</f>
        <v/>
      </c>
      <c r="R197" s="6" t="n"/>
      <c r="S197" s="6" t="n"/>
    </row>
    <row r="198">
      <c r="A198" s="6" t="n"/>
      <c r="B198" s="113">
        <f>IF($E198="","","A"&amp;TEXT(ROW()-6,"00000"))</f>
        <v/>
      </c>
      <c r="C198" s="108" t="n"/>
      <c r="D198" s="113">
        <f>IF($E198="","",IFERROR(INDEX(MUSTERILER!$B$7:$B$106,MATCH($E198,MUSTERILER!$C$7:$C$106,0)),IFERROR(INDEX(MUSTERILER!$B$7:$B$106,MATCH($E198,MUSTERILER!$B$7:$B$106,0)),IFERROR(INDEX(MUSTERILER!$B$7:$B$106,MATCH($E198&amp;"*",MUSTERILER!$C$7:$C$106,0)),"TANIMSIZ MÜŞTERİ"))))</f>
        <v/>
      </c>
      <c r="E198" s="109" t="n"/>
      <c r="F198" s="109" t="n"/>
      <c r="G198" s="108" t="n"/>
      <c r="H198" s="225" t="n"/>
      <c r="I198" s="225" t="n"/>
      <c r="J198" s="108" t="n"/>
      <c r="K198" s="108" t="n"/>
      <c r="L198" s="109" t="n"/>
      <c r="M198" s="109" t="n"/>
      <c r="N198" s="109" t="n"/>
      <c r="O198" s="225" t="n"/>
      <c r="P198" s="232">
        <f>IF(OR($E198="",$I198=""),"",IF(OR($J198="Tamamlandı",$J198="İptal"),"",$I198-TODAY()))</f>
        <v/>
      </c>
      <c r="Q198" s="113">
        <f>IF($E198="","",IF($D198="TANIMSIZ MÜŞTERİ","HATA",IF(OR($J198="Tamamlandı",$J198="İptal"),"KAPALI",IF(AND($C198="Görüşme",$N198=""),"SONRAKİ İŞLEM EKSİK",IF($I198="","TARİH EKSİK",IF($I198&lt;TODAY(),"GECİKMİŞ",IF($I198=TODAY(),"BUGÜN",IF($I198&lt;=TODAY()+7,"7 GÜN İÇİNDE","PLANLI"))))))))</f>
        <v/>
      </c>
      <c r="R198" s="6" t="n"/>
      <c r="S198" s="6" t="n"/>
    </row>
    <row r="199">
      <c r="A199" s="6" t="n"/>
      <c r="B199" s="113">
        <f>IF($E199="","","A"&amp;TEXT(ROW()-6,"00000"))</f>
        <v/>
      </c>
      <c r="C199" s="108" t="n"/>
      <c r="D199" s="113">
        <f>IF($E199="","",IFERROR(INDEX(MUSTERILER!$B$7:$B$106,MATCH($E199,MUSTERILER!$C$7:$C$106,0)),IFERROR(INDEX(MUSTERILER!$B$7:$B$106,MATCH($E199,MUSTERILER!$B$7:$B$106,0)),IFERROR(INDEX(MUSTERILER!$B$7:$B$106,MATCH($E199&amp;"*",MUSTERILER!$C$7:$C$106,0)),"TANIMSIZ MÜŞTERİ"))))</f>
        <v/>
      </c>
      <c r="E199" s="109" t="n"/>
      <c r="F199" s="109" t="n"/>
      <c r="G199" s="108" t="n"/>
      <c r="H199" s="225" t="n"/>
      <c r="I199" s="225" t="n"/>
      <c r="J199" s="108" t="n"/>
      <c r="K199" s="108" t="n"/>
      <c r="L199" s="109" t="n"/>
      <c r="M199" s="109" t="n"/>
      <c r="N199" s="109" t="n"/>
      <c r="O199" s="225" t="n"/>
      <c r="P199" s="232">
        <f>IF(OR($E199="",$I199=""),"",IF(OR($J199="Tamamlandı",$J199="İptal"),"",$I199-TODAY()))</f>
        <v/>
      </c>
      <c r="Q199" s="113">
        <f>IF($E199="","",IF($D199="TANIMSIZ MÜŞTERİ","HATA",IF(OR($J199="Tamamlandı",$J199="İptal"),"KAPALI",IF(AND($C199="Görüşme",$N199=""),"SONRAKİ İŞLEM EKSİK",IF($I199="","TARİH EKSİK",IF($I199&lt;TODAY(),"GECİKMİŞ",IF($I199=TODAY(),"BUGÜN",IF($I199&lt;=TODAY()+7,"7 GÜN İÇİNDE","PLANLI"))))))))</f>
        <v/>
      </c>
      <c r="R199" s="6" t="n"/>
      <c r="S199" s="6" t="n"/>
    </row>
    <row r="200">
      <c r="A200" s="6" t="n"/>
      <c r="B200" s="113">
        <f>IF($E200="","","A"&amp;TEXT(ROW()-6,"00000"))</f>
        <v/>
      </c>
      <c r="C200" s="108" t="n"/>
      <c r="D200" s="113">
        <f>IF($E200="","",IFERROR(INDEX(MUSTERILER!$B$7:$B$106,MATCH($E200,MUSTERILER!$C$7:$C$106,0)),IFERROR(INDEX(MUSTERILER!$B$7:$B$106,MATCH($E200,MUSTERILER!$B$7:$B$106,0)),IFERROR(INDEX(MUSTERILER!$B$7:$B$106,MATCH($E200&amp;"*",MUSTERILER!$C$7:$C$106,0)),"TANIMSIZ MÜŞTERİ"))))</f>
        <v/>
      </c>
      <c r="E200" s="109" t="n"/>
      <c r="F200" s="109" t="n"/>
      <c r="G200" s="108" t="n"/>
      <c r="H200" s="225" t="n"/>
      <c r="I200" s="225" t="n"/>
      <c r="J200" s="108" t="n"/>
      <c r="K200" s="108" t="n"/>
      <c r="L200" s="109" t="n"/>
      <c r="M200" s="109" t="n"/>
      <c r="N200" s="109" t="n"/>
      <c r="O200" s="225" t="n"/>
      <c r="P200" s="232">
        <f>IF(OR($E200="",$I200=""),"",IF(OR($J200="Tamamlandı",$J200="İptal"),"",$I200-TODAY()))</f>
        <v/>
      </c>
      <c r="Q200" s="113">
        <f>IF($E200="","",IF($D200="TANIMSIZ MÜŞTERİ","HATA",IF(OR($J200="Tamamlandı",$J200="İptal"),"KAPALI",IF(AND($C200="Görüşme",$N200=""),"SONRAKİ İŞLEM EKSİK",IF($I200="","TARİH EKSİK",IF($I200&lt;TODAY(),"GECİKMİŞ",IF($I200=TODAY(),"BUGÜN",IF($I200&lt;=TODAY()+7,"7 GÜN İÇİNDE","PLANLI"))))))))</f>
        <v/>
      </c>
      <c r="R200" s="6" t="n"/>
      <c r="S200" s="6" t="n"/>
    </row>
    <row r="201">
      <c r="A201" s="6" t="n"/>
      <c r="B201" s="113">
        <f>IF($E201="","","A"&amp;TEXT(ROW()-6,"00000"))</f>
        <v/>
      </c>
      <c r="C201" s="108" t="n"/>
      <c r="D201" s="113">
        <f>IF($E201="","",IFERROR(INDEX(MUSTERILER!$B$7:$B$106,MATCH($E201,MUSTERILER!$C$7:$C$106,0)),IFERROR(INDEX(MUSTERILER!$B$7:$B$106,MATCH($E201,MUSTERILER!$B$7:$B$106,0)),IFERROR(INDEX(MUSTERILER!$B$7:$B$106,MATCH($E201&amp;"*",MUSTERILER!$C$7:$C$106,0)),"TANIMSIZ MÜŞTERİ"))))</f>
        <v/>
      </c>
      <c r="E201" s="109" t="n"/>
      <c r="F201" s="109" t="n"/>
      <c r="G201" s="108" t="n"/>
      <c r="H201" s="225" t="n"/>
      <c r="I201" s="225" t="n"/>
      <c r="J201" s="108" t="n"/>
      <c r="K201" s="108" t="n"/>
      <c r="L201" s="109" t="n"/>
      <c r="M201" s="109" t="n"/>
      <c r="N201" s="109" t="n"/>
      <c r="O201" s="225" t="n"/>
      <c r="P201" s="232">
        <f>IF(OR($E201="",$I201=""),"",IF(OR($J201="Tamamlandı",$J201="İptal"),"",$I201-TODAY()))</f>
        <v/>
      </c>
      <c r="Q201" s="113">
        <f>IF($E201="","",IF($D201="TANIMSIZ MÜŞTERİ","HATA",IF(OR($J201="Tamamlandı",$J201="İptal"),"KAPALI",IF(AND($C201="Görüşme",$N201=""),"SONRAKİ İŞLEM EKSİK",IF($I201="","TARİH EKSİK",IF($I201&lt;TODAY(),"GECİKMİŞ",IF($I201=TODAY(),"BUGÜN",IF($I201&lt;=TODAY()+7,"7 GÜN İÇİNDE","PLANLI"))))))))</f>
        <v/>
      </c>
      <c r="R201" s="6" t="n"/>
      <c r="S201" s="6" t="n"/>
    </row>
    <row r="202">
      <c r="A202" s="6" t="n"/>
      <c r="B202" s="113">
        <f>IF($E202="","","A"&amp;TEXT(ROW()-6,"00000"))</f>
        <v/>
      </c>
      <c r="C202" s="108" t="n"/>
      <c r="D202" s="113">
        <f>IF($E202="","",IFERROR(INDEX(MUSTERILER!$B$7:$B$106,MATCH($E202,MUSTERILER!$C$7:$C$106,0)),IFERROR(INDEX(MUSTERILER!$B$7:$B$106,MATCH($E202,MUSTERILER!$B$7:$B$106,0)),IFERROR(INDEX(MUSTERILER!$B$7:$B$106,MATCH($E202&amp;"*",MUSTERILER!$C$7:$C$106,0)),"TANIMSIZ MÜŞTERİ"))))</f>
        <v/>
      </c>
      <c r="E202" s="109" t="n"/>
      <c r="F202" s="109" t="n"/>
      <c r="G202" s="108" t="n"/>
      <c r="H202" s="225" t="n"/>
      <c r="I202" s="225" t="n"/>
      <c r="J202" s="108" t="n"/>
      <c r="K202" s="108" t="n"/>
      <c r="L202" s="109" t="n"/>
      <c r="M202" s="109" t="n"/>
      <c r="N202" s="109" t="n"/>
      <c r="O202" s="225" t="n"/>
      <c r="P202" s="232">
        <f>IF(OR($E202="",$I202=""),"",IF(OR($J202="Tamamlandı",$J202="İptal"),"",$I202-TODAY()))</f>
        <v/>
      </c>
      <c r="Q202" s="113">
        <f>IF($E202="","",IF($D202="TANIMSIZ MÜŞTERİ","HATA",IF(OR($J202="Tamamlandı",$J202="İptal"),"KAPALI",IF(AND($C202="Görüşme",$N202=""),"SONRAKİ İŞLEM EKSİK",IF($I202="","TARİH EKSİK",IF($I202&lt;TODAY(),"GECİKMİŞ",IF($I202=TODAY(),"BUGÜN",IF($I202&lt;=TODAY()+7,"7 GÜN İÇİNDE","PLANLI"))))))))</f>
        <v/>
      </c>
      <c r="R202" s="6" t="n"/>
      <c r="S202" s="6" t="n"/>
    </row>
    <row r="203">
      <c r="A203" s="6" t="n"/>
      <c r="B203" s="113">
        <f>IF($E203="","","A"&amp;TEXT(ROW()-6,"00000"))</f>
        <v/>
      </c>
      <c r="C203" s="108" t="n"/>
      <c r="D203" s="113">
        <f>IF($E203="","",IFERROR(INDEX(MUSTERILER!$B$7:$B$106,MATCH($E203,MUSTERILER!$C$7:$C$106,0)),IFERROR(INDEX(MUSTERILER!$B$7:$B$106,MATCH($E203,MUSTERILER!$B$7:$B$106,0)),IFERROR(INDEX(MUSTERILER!$B$7:$B$106,MATCH($E203&amp;"*",MUSTERILER!$C$7:$C$106,0)),"TANIMSIZ MÜŞTERİ"))))</f>
        <v/>
      </c>
      <c r="E203" s="109" t="n"/>
      <c r="F203" s="109" t="n"/>
      <c r="G203" s="108" t="n"/>
      <c r="H203" s="225" t="n"/>
      <c r="I203" s="225" t="n"/>
      <c r="J203" s="108" t="n"/>
      <c r="K203" s="108" t="n"/>
      <c r="L203" s="109" t="n"/>
      <c r="M203" s="109" t="n"/>
      <c r="N203" s="109" t="n"/>
      <c r="O203" s="225" t="n"/>
      <c r="P203" s="232">
        <f>IF(OR($E203="",$I203=""),"",IF(OR($J203="Tamamlandı",$J203="İptal"),"",$I203-TODAY()))</f>
        <v/>
      </c>
      <c r="Q203" s="113">
        <f>IF($E203="","",IF($D203="TANIMSIZ MÜŞTERİ","HATA",IF(OR($J203="Tamamlandı",$J203="İptal"),"KAPALI",IF(AND($C203="Görüşme",$N203=""),"SONRAKİ İŞLEM EKSİK",IF($I203="","TARİH EKSİK",IF($I203&lt;TODAY(),"GECİKMİŞ",IF($I203=TODAY(),"BUGÜN",IF($I203&lt;=TODAY()+7,"7 GÜN İÇİNDE","PLANLI"))))))))</f>
        <v/>
      </c>
      <c r="R203" s="6" t="n"/>
      <c r="S203" s="6" t="n"/>
    </row>
    <row r="204">
      <c r="A204" s="6" t="n"/>
      <c r="B204" s="113">
        <f>IF($E204="","","A"&amp;TEXT(ROW()-6,"00000"))</f>
        <v/>
      </c>
      <c r="C204" s="108" t="n"/>
      <c r="D204" s="113">
        <f>IF($E204="","",IFERROR(INDEX(MUSTERILER!$B$7:$B$106,MATCH($E204,MUSTERILER!$C$7:$C$106,0)),IFERROR(INDEX(MUSTERILER!$B$7:$B$106,MATCH($E204,MUSTERILER!$B$7:$B$106,0)),IFERROR(INDEX(MUSTERILER!$B$7:$B$106,MATCH($E204&amp;"*",MUSTERILER!$C$7:$C$106,0)),"TANIMSIZ MÜŞTERİ"))))</f>
        <v/>
      </c>
      <c r="E204" s="109" t="n"/>
      <c r="F204" s="109" t="n"/>
      <c r="G204" s="108" t="n"/>
      <c r="H204" s="225" t="n"/>
      <c r="I204" s="225" t="n"/>
      <c r="J204" s="108" t="n"/>
      <c r="K204" s="108" t="n"/>
      <c r="L204" s="109" t="n"/>
      <c r="M204" s="109" t="n"/>
      <c r="N204" s="109" t="n"/>
      <c r="O204" s="225" t="n"/>
      <c r="P204" s="232">
        <f>IF(OR($E204="",$I204=""),"",IF(OR($J204="Tamamlandı",$J204="İptal"),"",$I204-TODAY()))</f>
        <v/>
      </c>
      <c r="Q204" s="113">
        <f>IF($E204="","",IF($D204="TANIMSIZ MÜŞTERİ","HATA",IF(OR($J204="Tamamlandı",$J204="İptal"),"KAPALI",IF(AND($C204="Görüşme",$N204=""),"SONRAKİ İŞLEM EKSİK",IF($I204="","TARİH EKSİK",IF($I204&lt;TODAY(),"GECİKMİŞ",IF($I204=TODAY(),"BUGÜN",IF($I204&lt;=TODAY()+7,"7 GÜN İÇİNDE","PLANLI"))))))))</f>
        <v/>
      </c>
      <c r="R204" s="6" t="n"/>
      <c r="S204" s="6" t="n"/>
    </row>
    <row r="205">
      <c r="A205" s="6" t="n"/>
      <c r="B205" s="113">
        <f>IF($E205="","","A"&amp;TEXT(ROW()-6,"00000"))</f>
        <v/>
      </c>
      <c r="C205" s="108" t="n"/>
      <c r="D205" s="113">
        <f>IF($E205="","",IFERROR(INDEX(MUSTERILER!$B$7:$B$106,MATCH($E205,MUSTERILER!$C$7:$C$106,0)),IFERROR(INDEX(MUSTERILER!$B$7:$B$106,MATCH($E205,MUSTERILER!$B$7:$B$106,0)),IFERROR(INDEX(MUSTERILER!$B$7:$B$106,MATCH($E205&amp;"*",MUSTERILER!$C$7:$C$106,0)),"TANIMSIZ MÜŞTERİ"))))</f>
        <v/>
      </c>
      <c r="E205" s="109" t="n"/>
      <c r="F205" s="109" t="n"/>
      <c r="G205" s="108" t="n"/>
      <c r="H205" s="225" t="n"/>
      <c r="I205" s="225" t="n"/>
      <c r="J205" s="108" t="n"/>
      <c r="K205" s="108" t="n"/>
      <c r="L205" s="109" t="n"/>
      <c r="M205" s="109" t="n"/>
      <c r="N205" s="109" t="n"/>
      <c r="O205" s="225" t="n"/>
      <c r="P205" s="232">
        <f>IF(OR($E205="",$I205=""),"",IF(OR($J205="Tamamlandı",$J205="İptal"),"",$I205-TODAY()))</f>
        <v/>
      </c>
      <c r="Q205" s="113">
        <f>IF($E205="","",IF($D205="TANIMSIZ MÜŞTERİ","HATA",IF(OR($J205="Tamamlandı",$J205="İptal"),"KAPALI",IF(AND($C205="Görüşme",$N205=""),"SONRAKİ İŞLEM EKSİK",IF($I205="","TARİH EKSİK",IF($I205&lt;TODAY(),"GECİKMİŞ",IF($I205=TODAY(),"BUGÜN",IF($I205&lt;=TODAY()+7,"7 GÜN İÇİNDE","PLANLI"))))))))</f>
        <v/>
      </c>
      <c r="R205" s="6" t="n"/>
      <c r="S205" s="6" t="n"/>
    </row>
    <row r="206">
      <c r="A206" s="6" t="n"/>
      <c r="B206" s="113">
        <f>IF($E206="","","A"&amp;TEXT(ROW()-6,"00000"))</f>
        <v/>
      </c>
      <c r="C206" s="108" t="n"/>
      <c r="D206" s="113">
        <f>IF($E206="","",IFERROR(INDEX(MUSTERILER!$B$7:$B$106,MATCH($E206,MUSTERILER!$C$7:$C$106,0)),IFERROR(INDEX(MUSTERILER!$B$7:$B$106,MATCH($E206,MUSTERILER!$B$7:$B$106,0)),IFERROR(INDEX(MUSTERILER!$B$7:$B$106,MATCH($E206&amp;"*",MUSTERILER!$C$7:$C$106,0)),"TANIMSIZ MÜŞTERİ"))))</f>
        <v/>
      </c>
      <c r="E206" s="109" t="n"/>
      <c r="F206" s="109" t="n"/>
      <c r="G206" s="108" t="n"/>
      <c r="H206" s="225" t="n"/>
      <c r="I206" s="225" t="n"/>
      <c r="J206" s="108" t="n"/>
      <c r="K206" s="108" t="n"/>
      <c r="L206" s="109" t="n"/>
      <c r="M206" s="109" t="n"/>
      <c r="N206" s="109" t="n"/>
      <c r="O206" s="225" t="n"/>
      <c r="P206" s="232">
        <f>IF(OR($E206="",$I206=""),"",IF(OR($J206="Tamamlandı",$J206="İptal"),"",$I206-TODAY()))</f>
        <v/>
      </c>
      <c r="Q206" s="113">
        <f>IF($E206="","",IF($D206="TANIMSIZ MÜŞTERİ","HATA",IF(OR($J206="Tamamlandı",$J206="İptal"),"KAPALI",IF(AND($C206="Görüşme",$N206=""),"SONRAKİ İŞLEM EKSİK",IF($I206="","TARİH EKSİK",IF($I206&lt;TODAY(),"GECİKMİŞ",IF($I206=TODAY(),"BUGÜN",IF($I206&lt;=TODAY()+7,"7 GÜN İÇİNDE","PLANLI"))))))))</f>
        <v/>
      </c>
      <c r="R206" s="6" t="n"/>
      <c r="S206" s="6" t="n"/>
    </row>
    <row r="207">
      <c r="A207" s="6" t="n"/>
      <c r="B207" s="113">
        <f>IF($E207="","","A"&amp;TEXT(ROW()-6,"00000"))</f>
        <v/>
      </c>
      <c r="C207" s="108" t="n"/>
      <c r="D207" s="113">
        <f>IF($E207="","",IFERROR(INDEX(MUSTERILER!$B$7:$B$106,MATCH($E207,MUSTERILER!$C$7:$C$106,0)),IFERROR(INDEX(MUSTERILER!$B$7:$B$106,MATCH($E207,MUSTERILER!$B$7:$B$106,0)),IFERROR(INDEX(MUSTERILER!$B$7:$B$106,MATCH($E207&amp;"*",MUSTERILER!$C$7:$C$106,0)),"TANIMSIZ MÜŞTERİ"))))</f>
        <v/>
      </c>
      <c r="E207" s="109" t="n"/>
      <c r="F207" s="109" t="n"/>
      <c r="G207" s="108" t="n"/>
      <c r="H207" s="225" t="n"/>
      <c r="I207" s="225" t="n"/>
      <c r="J207" s="108" t="n"/>
      <c r="K207" s="108" t="n"/>
      <c r="L207" s="109" t="n"/>
      <c r="M207" s="109" t="n"/>
      <c r="N207" s="109" t="n"/>
      <c r="O207" s="225" t="n"/>
      <c r="P207" s="232">
        <f>IF(OR($E207="",$I207=""),"",IF(OR($J207="Tamamlandı",$J207="İptal"),"",$I207-TODAY()))</f>
        <v/>
      </c>
      <c r="Q207" s="113">
        <f>IF($E207="","",IF($D207="TANIMSIZ MÜŞTERİ","HATA",IF(OR($J207="Tamamlandı",$J207="İptal"),"KAPALI",IF(AND($C207="Görüşme",$N207=""),"SONRAKİ İŞLEM EKSİK",IF($I207="","TARİH EKSİK",IF($I207&lt;TODAY(),"GECİKMİŞ",IF($I207=TODAY(),"BUGÜN",IF($I207&lt;=TODAY()+7,"7 GÜN İÇİNDE","PLANLI"))))))))</f>
        <v/>
      </c>
      <c r="R207" s="6" t="n"/>
      <c r="S207" s="6" t="n"/>
    </row>
    <row r="208">
      <c r="A208" s="6" t="n"/>
      <c r="B208" s="113">
        <f>IF($E208="","","A"&amp;TEXT(ROW()-6,"00000"))</f>
        <v/>
      </c>
      <c r="C208" s="108" t="n"/>
      <c r="D208" s="113">
        <f>IF($E208="","",IFERROR(INDEX(MUSTERILER!$B$7:$B$106,MATCH($E208,MUSTERILER!$C$7:$C$106,0)),IFERROR(INDEX(MUSTERILER!$B$7:$B$106,MATCH($E208,MUSTERILER!$B$7:$B$106,0)),IFERROR(INDEX(MUSTERILER!$B$7:$B$106,MATCH($E208&amp;"*",MUSTERILER!$C$7:$C$106,0)),"TANIMSIZ MÜŞTERİ"))))</f>
        <v/>
      </c>
      <c r="E208" s="109" t="n"/>
      <c r="F208" s="109" t="n"/>
      <c r="G208" s="108" t="n"/>
      <c r="H208" s="225" t="n"/>
      <c r="I208" s="225" t="n"/>
      <c r="J208" s="108" t="n"/>
      <c r="K208" s="108" t="n"/>
      <c r="L208" s="109" t="n"/>
      <c r="M208" s="109" t="n"/>
      <c r="N208" s="109" t="n"/>
      <c r="O208" s="225" t="n"/>
      <c r="P208" s="232">
        <f>IF(OR($E208="",$I208=""),"",IF(OR($J208="Tamamlandı",$J208="İptal"),"",$I208-TODAY()))</f>
        <v/>
      </c>
      <c r="Q208" s="113">
        <f>IF($E208="","",IF($D208="TANIMSIZ MÜŞTERİ","HATA",IF(OR($J208="Tamamlandı",$J208="İptal"),"KAPALI",IF(AND($C208="Görüşme",$N208=""),"SONRAKİ İŞLEM EKSİK",IF($I208="","TARİH EKSİK",IF($I208&lt;TODAY(),"GECİKMİŞ",IF($I208=TODAY(),"BUGÜN",IF($I208&lt;=TODAY()+7,"7 GÜN İÇİNDE","PLANLI"))))))))</f>
        <v/>
      </c>
      <c r="R208" s="6" t="n"/>
      <c r="S208" s="6" t="n"/>
    </row>
    <row r="209">
      <c r="A209" s="6" t="n"/>
      <c r="B209" s="113">
        <f>IF($E209="","","A"&amp;TEXT(ROW()-6,"00000"))</f>
        <v/>
      </c>
      <c r="C209" s="108" t="n"/>
      <c r="D209" s="113">
        <f>IF($E209="","",IFERROR(INDEX(MUSTERILER!$B$7:$B$106,MATCH($E209,MUSTERILER!$C$7:$C$106,0)),IFERROR(INDEX(MUSTERILER!$B$7:$B$106,MATCH($E209,MUSTERILER!$B$7:$B$106,0)),IFERROR(INDEX(MUSTERILER!$B$7:$B$106,MATCH($E209&amp;"*",MUSTERILER!$C$7:$C$106,0)),"TANIMSIZ MÜŞTERİ"))))</f>
        <v/>
      </c>
      <c r="E209" s="109" t="n"/>
      <c r="F209" s="109" t="n"/>
      <c r="G209" s="108" t="n"/>
      <c r="H209" s="225" t="n"/>
      <c r="I209" s="225" t="n"/>
      <c r="J209" s="108" t="n"/>
      <c r="K209" s="108" t="n"/>
      <c r="L209" s="109" t="n"/>
      <c r="M209" s="109" t="n"/>
      <c r="N209" s="109" t="n"/>
      <c r="O209" s="225" t="n"/>
      <c r="P209" s="232">
        <f>IF(OR($E209="",$I209=""),"",IF(OR($J209="Tamamlandı",$J209="İptal"),"",$I209-TODAY()))</f>
        <v/>
      </c>
      <c r="Q209" s="113">
        <f>IF($E209="","",IF($D209="TANIMSIZ MÜŞTERİ","HATA",IF(OR($J209="Tamamlandı",$J209="İptal"),"KAPALI",IF(AND($C209="Görüşme",$N209=""),"SONRAKİ İŞLEM EKSİK",IF($I209="","TARİH EKSİK",IF($I209&lt;TODAY(),"GECİKMİŞ",IF($I209=TODAY(),"BUGÜN",IF($I209&lt;=TODAY()+7,"7 GÜN İÇİNDE","PLANLI"))))))))</f>
        <v/>
      </c>
      <c r="R209" s="6" t="n"/>
      <c r="S209" s="6" t="n"/>
    </row>
    <row r="210">
      <c r="A210" s="6" t="n"/>
      <c r="B210" s="113">
        <f>IF($E210="","","A"&amp;TEXT(ROW()-6,"00000"))</f>
        <v/>
      </c>
      <c r="C210" s="108" t="n"/>
      <c r="D210" s="113">
        <f>IF($E210="","",IFERROR(INDEX(MUSTERILER!$B$7:$B$106,MATCH($E210,MUSTERILER!$C$7:$C$106,0)),IFERROR(INDEX(MUSTERILER!$B$7:$B$106,MATCH($E210,MUSTERILER!$B$7:$B$106,0)),IFERROR(INDEX(MUSTERILER!$B$7:$B$106,MATCH($E210&amp;"*",MUSTERILER!$C$7:$C$106,0)),"TANIMSIZ MÜŞTERİ"))))</f>
        <v/>
      </c>
      <c r="E210" s="109" t="n"/>
      <c r="F210" s="109" t="n"/>
      <c r="G210" s="108" t="n"/>
      <c r="H210" s="225" t="n"/>
      <c r="I210" s="225" t="n"/>
      <c r="J210" s="108" t="n"/>
      <c r="K210" s="108" t="n"/>
      <c r="L210" s="109" t="n"/>
      <c r="M210" s="109" t="n"/>
      <c r="N210" s="109" t="n"/>
      <c r="O210" s="225" t="n"/>
      <c r="P210" s="232">
        <f>IF(OR($E210="",$I210=""),"",IF(OR($J210="Tamamlandı",$J210="İptal"),"",$I210-TODAY()))</f>
        <v/>
      </c>
      <c r="Q210" s="113">
        <f>IF($E210="","",IF($D210="TANIMSIZ MÜŞTERİ","HATA",IF(OR($J210="Tamamlandı",$J210="İptal"),"KAPALI",IF(AND($C210="Görüşme",$N210=""),"SONRAKİ İŞLEM EKSİK",IF($I210="","TARİH EKSİK",IF($I210&lt;TODAY(),"GECİKMİŞ",IF($I210=TODAY(),"BUGÜN",IF($I210&lt;=TODAY()+7,"7 GÜN İÇİNDE","PLANLI"))))))))</f>
        <v/>
      </c>
      <c r="R210" s="6" t="n"/>
      <c r="S210" s="6" t="n"/>
    </row>
    <row r="211">
      <c r="A211" s="6" t="n"/>
      <c r="B211" s="113">
        <f>IF($E211="","","A"&amp;TEXT(ROW()-6,"00000"))</f>
        <v/>
      </c>
      <c r="C211" s="108" t="n"/>
      <c r="D211" s="113">
        <f>IF($E211="","",IFERROR(INDEX(MUSTERILER!$B$7:$B$106,MATCH($E211,MUSTERILER!$C$7:$C$106,0)),IFERROR(INDEX(MUSTERILER!$B$7:$B$106,MATCH($E211,MUSTERILER!$B$7:$B$106,0)),IFERROR(INDEX(MUSTERILER!$B$7:$B$106,MATCH($E211&amp;"*",MUSTERILER!$C$7:$C$106,0)),"TANIMSIZ MÜŞTERİ"))))</f>
        <v/>
      </c>
      <c r="E211" s="109" t="n"/>
      <c r="F211" s="109" t="n"/>
      <c r="G211" s="108" t="n"/>
      <c r="H211" s="225" t="n"/>
      <c r="I211" s="225" t="n"/>
      <c r="J211" s="108" t="n"/>
      <c r="K211" s="108" t="n"/>
      <c r="L211" s="109" t="n"/>
      <c r="M211" s="109" t="n"/>
      <c r="N211" s="109" t="n"/>
      <c r="O211" s="225" t="n"/>
      <c r="P211" s="232">
        <f>IF(OR($E211="",$I211=""),"",IF(OR($J211="Tamamlandı",$J211="İptal"),"",$I211-TODAY()))</f>
        <v/>
      </c>
      <c r="Q211" s="113">
        <f>IF($E211="","",IF($D211="TANIMSIZ MÜŞTERİ","HATA",IF(OR($J211="Tamamlandı",$J211="İptal"),"KAPALI",IF(AND($C211="Görüşme",$N211=""),"SONRAKİ İŞLEM EKSİK",IF($I211="","TARİH EKSİK",IF($I211&lt;TODAY(),"GECİKMİŞ",IF($I211=TODAY(),"BUGÜN",IF($I211&lt;=TODAY()+7,"7 GÜN İÇİNDE","PLANLI"))))))))</f>
        <v/>
      </c>
      <c r="R211" s="6" t="n"/>
      <c r="S211" s="6" t="n"/>
    </row>
    <row r="212">
      <c r="A212" s="6" t="n"/>
      <c r="B212" s="113">
        <f>IF($E212="","","A"&amp;TEXT(ROW()-6,"00000"))</f>
        <v/>
      </c>
      <c r="C212" s="108" t="n"/>
      <c r="D212" s="113">
        <f>IF($E212="","",IFERROR(INDEX(MUSTERILER!$B$7:$B$106,MATCH($E212,MUSTERILER!$C$7:$C$106,0)),IFERROR(INDEX(MUSTERILER!$B$7:$B$106,MATCH($E212,MUSTERILER!$B$7:$B$106,0)),IFERROR(INDEX(MUSTERILER!$B$7:$B$106,MATCH($E212&amp;"*",MUSTERILER!$C$7:$C$106,0)),"TANIMSIZ MÜŞTERİ"))))</f>
        <v/>
      </c>
      <c r="E212" s="109" t="n"/>
      <c r="F212" s="109" t="n"/>
      <c r="G212" s="108" t="n"/>
      <c r="H212" s="225" t="n"/>
      <c r="I212" s="225" t="n"/>
      <c r="J212" s="108" t="n"/>
      <c r="K212" s="108" t="n"/>
      <c r="L212" s="109" t="n"/>
      <c r="M212" s="109" t="n"/>
      <c r="N212" s="109" t="n"/>
      <c r="O212" s="225" t="n"/>
      <c r="P212" s="232">
        <f>IF(OR($E212="",$I212=""),"",IF(OR($J212="Tamamlandı",$J212="İptal"),"",$I212-TODAY()))</f>
        <v/>
      </c>
      <c r="Q212" s="113">
        <f>IF($E212="","",IF($D212="TANIMSIZ MÜŞTERİ","HATA",IF(OR($J212="Tamamlandı",$J212="İptal"),"KAPALI",IF(AND($C212="Görüşme",$N212=""),"SONRAKİ İŞLEM EKSİK",IF($I212="","TARİH EKSİK",IF($I212&lt;TODAY(),"GECİKMİŞ",IF($I212=TODAY(),"BUGÜN",IF($I212&lt;=TODAY()+7,"7 GÜN İÇİNDE","PLANLI"))))))))</f>
        <v/>
      </c>
      <c r="R212" s="6" t="n"/>
      <c r="S212" s="6" t="n"/>
    </row>
    <row r="213">
      <c r="A213" s="6" t="n"/>
      <c r="B213" s="113">
        <f>IF($E213="","","A"&amp;TEXT(ROW()-6,"00000"))</f>
        <v/>
      </c>
      <c r="C213" s="108" t="n"/>
      <c r="D213" s="113">
        <f>IF($E213="","",IFERROR(INDEX(MUSTERILER!$B$7:$B$106,MATCH($E213,MUSTERILER!$C$7:$C$106,0)),IFERROR(INDEX(MUSTERILER!$B$7:$B$106,MATCH($E213,MUSTERILER!$B$7:$B$106,0)),IFERROR(INDEX(MUSTERILER!$B$7:$B$106,MATCH($E213&amp;"*",MUSTERILER!$C$7:$C$106,0)),"TANIMSIZ MÜŞTERİ"))))</f>
        <v/>
      </c>
      <c r="E213" s="109" t="n"/>
      <c r="F213" s="109" t="n"/>
      <c r="G213" s="108" t="n"/>
      <c r="H213" s="225" t="n"/>
      <c r="I213" s="225" t="n"/>
      <c r="J213" s="108" t="n"/>
      <c r="K213" s="108" t="n"/>
      <c r="L213" s="109" t="n"/>
      <c r="M213" s="109" t="n"/>
      <c r="N213" s="109" t="n"/>
      <c r="O213" s="225" t="n"/>
      <c r="P213" s="232">
        <f>IF(OR($E213="",$I213=""),"",IF(OR($J213="Tamamlandı",$J213="İptal"),"",$I213-TODAY()))</f>
        <v/>
      </c>
      <c r="Q213" s="113">
        <f>IF($E213="","",IF($D213="TANIMSIZ MÜŞTERİ","HATA",IF(OR($J213="Tamamlandı",$J213="İptal"),"KAPALI",IF(AND($C213="Görüşme",$N213=""),"SONRAKİ İŞLEM EKSİK",IF($I213="","TARİH EKSİK",IF($I213&lt;TODAY(),"GECİKMİŞ",IF($I213=TODAY(),"BUGÜN",IF($I213&lt;=TODAY()+7,"7 GÜN İÇİNDE","PLANLI"))))))))</f>
        <v/>
      </c>
      <c r="R213" s="6" t="n"/>
      <c r="S213" s="6" t="n"/>
    </row>
    <row r="214">
      <c r="A214" s="6" t="n"/>
      <c r="B214" s="113">
        <f>IF($E214="","","A"&amp;TEXT(ROW()-6,"00000"))</f>
        <v/>
      </c>
      <c r="C214" s="108" t="n"/>
      <c r="D214" s="113">
        <f>IF($E214="","",IFERROR(INDEX(MUSTERILER!$B$7:$B$106,MATCH($E214,MUSTERILER!$C$7:$C$106,0)),IFERROR(INDEX(MUSTERILER!$B$7:$B$106,MATCH($E214,MUSTERILER!$B$7:$B$106,0)),IFERROR(INDEX(MUSTERILER!$B$7:$B$106,MATCH($E214&amp;"*",MUSTERILER!$C$7:$C$106,0)),"TANIMSIZ MÜŞTERİ"))))</f>
        <v/>
      </c>
      <c r="E214" s="109" t="n"/>
      <c r="F214" s="109" t="n"/>
      <c r="G214" s="108" t="n"/>
      <c r="H214" s="225" t="n"/>
      <c r="I214" s="225" t="n"/>
      <c r="J214" s="108" t="n"/>
      <c r="K214" s="108" t="n"/>
      <c r="L214" s="109" t="n"/>
      <c r="M214" s="109" t="n"/>
      <c r="N214" s="109" t="n"/>
      <c r="O214" s="225" t="n"/>
      <c r="P214" s="232">
        <f>IF(OR($E214="",$I214=""),"",IF(OR($J214="Tamamlandı",$J214="İptal"),"",$I214-TODAY()))</f>
        <v/>
      </c>
      <c r="Q214" s="113">
        <f>IF($E214="","",IF($D214="TANIMSIZ MÜŞTERİ","HATA",IF(OR($J214="Tamamlandı",$J214="İptal"),"KAPALI",IF(AND($C214="Görüşme",$N214=""),"SONRAKİ İŞLEM EKSİK",IF($I214="","TARİH EKSİK",IF($I214&lt;TODAY(),"GECİKMİŞ",IF($I214=TODAY(),"BUGÜN",IF($I214&lt;=TODAY()+7,"7 GÜN İÇİNDE","PLANLI"))))))))</f>
        <v/>
      </c>
      <c r="R214" s="6" t="n"/>
      <c r="S214" s="6" t="n"/>
    </row>
    <row r="215">
      <c r="A215" s="6" t="n"/>
      <c r="B215" s="113">
        <f>IF($E215="","","A"&amp;TEXT(ROW()-6,"00000"))</f>
        <v/>
      </c>
      <c r="C215" s="108" t="n"/>
      <c r="D215" s="113">
        <f>IF($E215="","",IFERROR(INDEX(MUSTERILER!$B$7:$B$106,MATCH($E215,MUSTERILER!$C$7:$C$106,0)),IFERROR(INDEX(MUSTERILER!$B$7:$B$106,MATCH($E215,MUSTERILER!$B$7:$B$106,0)),IFERROR(INDEX(MUSTERILER!$B$7:$B$106,MATCH($E215&amp;"*",MUSTERILER!$C$7:$C$106,0)),"TANIMSIZ MÜŞTERİ"))))</f>
        <v/>
      </c>
      <c r="E215" s="109" t="n"/>
      <c r="F215" s="109" t="n"/>
      <c r="G215" s="108" t="n"/>
      <c r="H215" s="225" t="n"/>
      <c r="I215" s="225" t="n"/>
      <c r="J215" s="108" t="n"/>
      <c r="K215" s="108" t="n"/>
      <c r="L215" s="109" t="n"/>
      <c r="M215" s="109" t="n"/>
      <c r="N215" s="109" t="n"/>
      <c r="O215" s="225" t="n"/>
      <c r="P215" s="232">
        <f>IF(OR($E215="",$I215=""),"",IF(OR($J215="Tamamlandı",$J215="İptal"),"",$I215-TODAY()))</f>
        <v/>
      </c>
      <c r="Q215" s="113">
        <f>IF($E215="","",IF($D215="TANIMSIZ MÜŞTERİ","HATA",IF(OR($J215="Tamamlandı",$J215="İptal"),"KAPALI",IF(AND($C215="Görüşme",$N215=""),"SONRAKİ İŞLEM EKSİK",IF($I215="","TARİH EKSİK",IF($I215&lt;TODAY(),"GECİKMİŞ",IF($I215=TODAY(),"BUGÜN",IF($I215&lt;=TODAY()+7,"7 GÜN İÇİNDE","PLANLI"))))))))</f>
        <v/>
      </c>
      <c r="R215" s="6" t="n"/>
      <c r="S215" s="6" t="n"/>
    </row>
    <row r="216">
      <c r="A216" s="6" t="n"/>
      <c r="B216" s="113">
        <f>IF($E216="","","A"&amp;TEXT(ROW()-6,"00000"))</f>
        <v/>
      </c>
      <c r="C216" s="108" t="n"/>
      <c r="D216" s="113">
        <f>IF($E216="","",IFERROR(INDEX(MUSTERILER!$B$7:$B$106,MATCH($E216,MUSTERILER!$C$7:$C$106,0)),IFERROR(INDEX(MUSTERILER!$B$7:$B$106,MATCH($E216,MUSTERILER!$B$7:$B$106,0)),IFERROR(INDEX(MUSTERILER!$B$7:$B$106,MATCH($E216&amp;"*",MUSTERILER!$C$7:$C$106,0)),"TANIMSIZ MÜŞTERİ"))))</f>
        <v/>
      </c>
      <c r="E216" s="109" t="n"/>
      <c r="F216" s="109" t="n"/>
      <c r="G216" s="108" t="n"/>
      <c r="H216" s="225" t="n"/>
      <c r="I216" s="225" t="n"/>
      <c r="J216" s="108" t="n"/>
      <c r="K216" s="108" t="n"/>
      <c r="L216" s="109" t="n"/>
      <c r="M216" s="109" t="n"/>
      <c r="N216" s="109" t="n"/>
      <c r="O216" s="225" t="n"/>
      <c r="P216" s="232">
        <f>IF(OR($E216="",$I216=""),"",IF(OR($J216="Tamamlandı",$J216="İptal"),"",$I216-TODAY()))</f>
        <v/>
      </c>
      <c r="Q216" s="113">
        <f>IF($E216="","",IF($D216="TANIMSIZ MÜŞTERİ","HATA",IF(OR($J216="Tamamlandı",$J216="İptal"),"KAPALI",IF(AND($C216="Görüşme",$N216=""),"SONRAKİ İŞLEM EKSİK",IF($I216="","TARİH EKSİK",IF($I216&lt;TODAY(),"GECİKMİŞ",IF($I216=TODAY(),"BUGÜN",IF($I216&lt;=TODAY()+7,"7 GÜN İÇİNDE","PLANLI"))))))))</f>
        <v/>
      </c>
      <c r="R216" s="6" t="n"/>
      <c r="S216" s="6" t="n"/>
    </row>
    <row r="217">
      <c r="A217" s="6" t="n"/>
      <c r="B217" s="113">
        <f>IF($E217="","","A"&amp;TEXT(ROW()-6,"00000"))</f>
        <v/>
      </c>
      <c r="C217" s="108" t="n"/>
      <c r="D217" s="113">
        <f>IF($E217="","",IFERROR(INDEX(MUSTERILER!$B$7:$B$106,MATCH($E217,MUSTERILER!$C$7:$C$106,0)),IFERROR(INDEX(MUSTERILER!$B$7:$B$106,MATCH($E217,MUSTERILER!$B$7:$B$106,0)),IFERROR(INDEX(MUSTERILER!$B$7:$B$106,MATCH($E217&amp;"*",MUSTERILER!$C$7:$C$106,0)),"TANIMSIZ MÜŞTERİ"))))</f>
        <v/>
      </c>
      <c r="E217" s="109" t="n"/>
      <c r="F217" s="109" t="n"/>
      <c r="G217" s="108" t="n"/>
      <c r="H217" s="225" t="n"/>
      <c r="I217" s="225" t="n"/>
      <c r="J217" s="108" t="n"/>
      <c r="K217" s="108" t="n"/>
      <c r="L217" s="109" t="n"/>
      <c r="M217" s="109" t="n"/>
      <c r="N217" s="109" t="n"/>
      <c r="O217" s="225" t="n"/>
      <c r="P217" s="232">
        <f>IF(OR($E217="",$I217=""),"",IF(OR($J217="Tamamlandı",$J217="İptal"),"",$I217-TODAY()))</f>
        <v/>
      </c>
      <c r="Q217" s="113">
        <f>IF($E217="","",IF($D217="TANIMSIZ MÜŞTERİ","HATA",IF(OR($J217="Tamamlandı",$J217="İptal"),"KAPALI",IF(AND($C217="Görüşme",$N217=""),"SONRAKİ İŞLEM EKSİK",IF($I217="","TARİH EKSİK",IF($I217&lt;TODAY(),"GECİKMİŞ",IF($I217=TODAY(),"BUGÜN",IF($I217&lt;=TODAY()+7,"7 GÜN İÇİNDE","PLANLI"))))))))</f>
        <v/>
      </c>
      <c r="R217" s="6" t="n"/>
      <c r="S217" s="6" t="n"/>
    </row>
    <row r="218">
      <c r="A218" s="6" t="n"/>
      <c r="B218" s="113">
        <f>IF($E218="","","A"&amp;TEXT(ROW()-6,"00000"))</f>
        <v/>
      </c>
      <c r="C218" s="108" t="n"/>
      <c r="D218" s="113">
        <f>IF($E218="","",IFERROR(INDEX(MUSTERILER!$B$7:$B$106,MATCH($E218,MUSTERILER!$C$7:$C$106,0)),IFERROR(INDEX(MUSTERILER!$B$7:$B$106,MATCH($E218,MUSTERILER!$B$7:$B$106,0)),IFERROR(INDEX(MUSTERILER!$B$7:$B$106,MATCH($E218&amp;"*",MUSTERILER!$C$7:$C$106,0)),"TANIMSIZ MÜŞTERİ"))))</f>
        <v/>
      </c>
      <c r="E218" s="109" t="n"/>
      <c r="F218" s="109" t="n"/>
      <c r="G218" s="108" t="n"/>
      <c r="H218" s="225" t="n"/>
      <c r="I218" s="225" t="n"/>
      <c r="J218" s="108" t="n"/>
      <c r="K218" s="108" t="n"/>
      <c r="L218" s="109" t="n"/>
      <c r="M218" s="109" t="n"/>
      <c r="N218" s="109" t="n"/>
      <c r="O218" s="225" t="n"/>
      <c r="P218" s="232">
        <f>IF(OR($E218="",$I218=""),"",IF(OR($J218="Tamamlandı",$J218="İptal"),"",$I218-TODAY()))</f>
        <v/>
      </c>
      <c r="Q218" s="113">
        <f>IF($E218="","",IF($D218="TANIMSIZ MÜŞTERİ","HATA",IF(OR($J218="Tamamlandı",$J218="İptal"),"KAPALI",IF(AND($C218="Görüşme",$N218=""),"SONRAKİ İŞLEM EKSİK",IF($I218="","TARİH EKSİK",IF($I218&lt;TODAY(),"GECİKMİŞ",IF($I218=TODAY(),"BUGÜN",IF($I218&lt;=TODAY()+7,"7 GÜN İÇİNDE","PLANLI"))))))))</f>
        <v/>
      </c>
      <c r="R218" s="6" t="n"/>
      <c r="S218" s="6" t="n"/>
    </row>
    <row r="219">
      <c r="A219" s="6" t="n"/>
      <c r="B219" s="113">
        <f>IF($E219="","","A"&amp;TEXT(ROW()-6,"00000"))</f>
        <v/>
      </c>
      <c r="C219" s="108" t="n"/>
      <c r="D219" s="113">
        <f>IF($E219="","",IFERROR(INDEX(MUSTERILER!$B$7:$B$106,MATCH($E219,MUSTERILER!$C$7:$C$106,0)),IFERROR(INDEX(MUSTERILER!$B$7:$B$106,MATCH($E219,MUSTERILER!$B$7:$B$106,0)),IFERROR(INDEX(MUSTERILER!$B$7:$B$106,MATCH($E219&amp;"*",MUSTERILER!$C$7:$C$106,0)),"TANIMSIZ MÜŞTERİ"))))</f>
        <v/>
      </c>
      <c r="E219" s="109" t="n"/>
      <c r="F219" s="109" t="n"/>
      <c r="G219" s="108" t="n"/>
      <c r="H219" s="225" t="n"/>
      <c r="I219" s="225" t="n"/>
      <c r="J219" s="108" t="n"/>
      <c r="K219" s="108" t="n"/>
      <c r="L219" s="109" t="n"/>
      <c r="M219" s="109" t="n"/>
      <c r="N219" s="109" t="n"/>
      <c r="O219" s="225" t="n"/>
      <c r="P219" s="232">
        <f>IF(OR($E219="",$I219=""),"",IF(OR($J219="Tamamlandı",$J219="İptal"),"",$I219-TODAY()))</f>
        <v/>
      </c>
      <c r="Q219" s="113">
        <f>IF($E219="","",IF($D219="TANIMSIZ MÜŞTERİ","HATA",IF(OR($J219="Tamamlandı",$J219="İptal"),"KAPALI",IF(AND($C219="Görüşme",$N219=""),"SONRAKİ İŞLEM EKSİK",IF($I219="","TARİH EKSİK",IF($I219&lt;TODAY(),"GECİKMİŞ",IF($I219=TODAY(),"BUGÜN",IF($I219&lt;=TODAY()+7,"7 GÜN İÇİNDE","PLANLI"))))))))</f>
        <v/>
      </c>
      <c r="R219" s="6" t="n"/>
      <c r="S219" s="6" t="n"/>
    </row>
    <row r="220">
      <c r="A220" s="6" t="n"/>
      <c r="B220" s="113">
        <f>IF($E220="","","A"&amp;TEXT(ROW()-6,"00000"))</f>
        <v/>
      </c>
      <c r="C220" s="108" t="n"/>
      <c r="D220" s="113">
        <f>IF($E220="","",IFERROR(INDEX(MUSTERILER!$B$7:$B$106,MATCH($E220,MUSTERILER!$C$7:$C$106,0)),IFERROR(INDEX(MUSTERILER!$B$7:$B$106,MATCH($E220,MUSTERILER!$B$7:$B$106,0)),IFERROR(INDEX(MUSTERILER!$B$7:$B$106,MATCH($E220&amp;"*",MUSTERILER!$C$7:$C$106,0)),"TANIMSIZ MÜŞTERİ"))))</f>
        <v/>
      </c>
      <c r="E220" s="109" t="n"/>
      <c r="F220" s="109" t="n"/>
      <c r="G220" s="108" t="n"/>
      <c r="H220" s="225" t="n"/>
      <c r="I220" s="225" t="n"/>
      <c r="J220" s="108" t="n"/>
      <c r="K220" s="108" t="n"/>
      <c r="L220" s="109" t="n"/>
      <c r="M220" s="109" t="n"/>
      <c r="N220" s="109" t="n"/>
      <c r="O220" s="225" t="n"/>
      <c r="P220" s="232">
        <f>IF(OR($E220="",$I220=""),"",IF(OR($J220="Tamamlandı",$J220="İptal"),"",$I220-TODAY()))</f>
        <v/>
      </c>
      <c r="Q220" s="113">
        <f>IF($E220="","",IF($D220="TANIMSIZ MÜŞTERİ","HATA",IF(OR($J220="Tamamlandı",$J220="İptal"),"KAPALI",IF(AND($C220="Görüşme",$N220=""),"SONRAKİ İŞLEM EKSİK",IF($I220="","TARİH EKSİK",IF($I220&lt;TODAY(),"GECİKMİŞ",IF($I220=TODAY(),"BUGÜN",IF($I220&lt;=TODAY()+7,"7 GÜN İÇİNDE","PLANLI"))))))))</f>
        <v/>
      </c>
      <c r="R220" s="6" t="n"/>
      <c r="S220" s="6" t="n"/>
    </row>
    <row r="221">
      <c r="A221" s="6" t="n"/>
      <c r="B221" s="113">
        <f>IF($E221="","","A"&amp;TEXT(ROW()-6,"00000"))</f>
        <v/>
      </c>
      <c r="C221" s="108" t="n"/>
      <c r="D221" s="113">
        <f>IF($E221="","",IFERROR(INDEX(MUSTERILER!$B$7:$B$106,MATCH($E221,MUSTERILER!$C$7:$C$106,0)),IFERROR(INDEX(MUSTERILER!$B$7:$B$106,MATCH($E221,MUSTERILER!$B$7:$B$106,0)),IFERROR(INDEX(MUSTERILER!$B$7:$B$106,MATCH($E221&amp;"*",MUSTERILER!$C$7:$C$106,0)),"TANIMSIZ MÜŞTERİ"))))</f>
        <v/>
      </c>
      <c r="E221" s="109" t="n"/>
      <c r="F221" s="109" t="n"/>
      <c r="G221" s="108" t="n"/>
      <c r="H221" s="225" t="n"/>
      <c r="I221" s="225" t="n"/>
      <c r="J221" s="108" t="n"/>
      <c r="K221" s="108" t="n"/>
      <c r="L221" s="109" t="n"/>
      <c r="M221" s="109" t="n"/>
      <c r="N221" s="109" t="n"/>
      <c r="O221" s="225" t="n"/>
      <c r="P221" s="232">
        <f>IF(OR($E221="",$I221=""),"",IF(OR($J221="Tamamlandı",$J221="İptal"),"",$I221-TODAY()))</f>
        <v/>
      </c>
      <c r="Q221" s="113">
        <f>IF($E221="","",IF($D221="TANIMSIZ MÜŞTERİ","HATA",IF(OR($J221="Tamamlandı",$J221="İptal"),"KAPALI",IF(AND($C221="Görüşme",$N221=""),"SONRAKİ İŞLEM EKSİK",IF($I221="","TARİH EKSİK",IF($I221&lt;TODAY(),"GECİKMİŞ",IF($I221=TODAY(),"BUGÜN",IF($I221&lt;=TODAY()+7,"7 GÜN İÇİNDE","PLANLI"))))))))</f>
        <v/>
      </c>
      <c r="R221" s="6" t="n"/>
      <c r="S221" s="6" t="n"/>
    </row>
    <row r="222">
      <c r="A222" s="6" t="n"/>
      <c r="B222" s="113">
        <f>IF($E222="","","A"&amp;TEXT(ROW()-6,"00000"))</f>
        <v/>
      </c>
      <c r="C222" s="108" t="n"/>
      <c r="D222" s="113">
        <f>IF($E222="","",IFERROR(INDEX(MUSTERILER!$B$7:$B$106,MATCH($E222,MUSTERILER!$C$7:$C$106,0)),IFERROR(INDEX(MUSTERILER!$B$7:$B$106,MATCH($E222,MUSTERILER!$B$7:$B$106,0)),IFERROR(INDEX(MUSTERILER!$B$7:$B$106,MATCH($E222&amp;"*",MUSTERILER!$C$7:$C$106,0)),"TANIMSIZ MÜŞTERİ"))))</f>
        <v/>
      </c>
      <c r="E222" s="109" t="n"/>
      <c r="F222" s="109" t="n"/>
      <c r="G222" s="108" t="n"/>
      <c r="H222" s="225" t="n"/>
      <c r="I222" s="225" t="n"/>
      <c r="J222" s="108" t="n"/>
      <c r="K222" s="108" t="n"/>
      <c r="L222" s="109" t="n"/>
      <c r="M222" s="109" t="n"/>
      <c r="N222" s="109" t="n"/>
      <c r="O222" s="225" t="n"/>
      <c r="P222" s="232">
        <f>IF(OR($E222="",$I222=""),"",IF(OR($J222="Tamamlandı",$J222="İptal"),"",$I222-TODAY()))</f>
        <v/>
      </c>
      <c r="Q222" s="113">
        <f>IF($E222="","",IF($D222="TANIMSIZ MÜŞTERİ","HATA",IF(OR($J222="Tamamlandı",$J222="İptal"),"KAPALI",IF(AND($C222="Görüşme",$N222=""),"SONRAKİ İŞLEM EKSİK",IF($I222="","TARİH EKSİK",IF($I222&lt;TODAY(),"GECİKMİŞ",IF($I222=TODAY(),"BUGÜN",IF($I222&lt;=TODAY()+7,"7 GÜN İÇİNDE","PLANLI"))))))))</f>
        <v/>
      </c>
      <c r="R222" s="6" t="n"/>
      <c r="S222" s="6" t="n"/>
    </row>
    <row r="223">
      <c r="A223" s="6" t="n"/>
      <c r="B223" s="113">
        <f>IF($E223="","","A"&amp;TEXT(ROW()-6,"00000"))</f>
        <v/>
      </c>
      <c r="C223" s="108" t="n"/>
      <c r="D223" s="113">
        <f>IF($E223="","",IFERROR(INDEX(MUSTERILER!$B$7:$B$106,MATCH($E223,MUSTERILER!$C$7:$C$106,0)),IFERROR(INDEX(MUSTERILER!$B$7:$B$106,MATCH($E223,MUSTERILER!$B$7:$B$106,0)),IFERROR(INDEX(MUSTERILER!$B$7:$B$106,MATCH($E223&amp;"*",MUSTERILER!$C$7:$C$106,0)),"TANIMSIZ MÜŞTERİ"))))</f>
        <v/>
      </c>
      <c r="E223" s="109" t="n"/>
      <c r="F223" s="109" t="n"/>
      <c r="G223" s="108" t="n"/>
      <c r="H223" s="225" t="n"/>
      <c r="I223" s="225" t="n"/>
      <c r="J223" s="108" t="n"/>
      <c r="K223" s="108" t="n"/>
      <c r="L223" s="109" t="n"/>
      <c r="M223" s="109" t="n"/>
      <c r="N223" s="109" t="n"/>
      <c r="O223" s="225" t="n"/>
      <c r="P223" s="232">
        <f>IF(OR($E223="",$I223=""),"",IF(OR($J223="Tamamlandı",$J223="İptal"),"",$I223-TODAY()))</f>
        <v/>
      </c>
      <c r="Q223" s="113">
        <f>IF($E223="","",IF($D223="TANIMSIZ MÜŞTERİ","HATA",IF(OR($J223="Tamamlandı",$J223="İptal"),"KAPALI",IF(AND($C223="Görüşme",$N223=""),"SONRAKİ İŞLEM EKSİK",IF($I223="","TARİH EKSİK",IF($I223&lt;TODAY(),"GECİKMİŞ",IF($I223=TODAY(),"BUGÜN",IF($I223&lt;=TODAY()+7,"7 GÜN İÇİNDE","PLANLI"))))))))</f>
        <v/>
      </c>
      <c r="R223" s="6" t="n"/>
      <c r="S223" s="6" t="n"/>
    </row>
    <row r="224">
      <c r="A224" s="6" t="n"/>
      <c r="B224" s="113">
        <f>IF($E224="","","A"&amp;TEXT(ROW()-6,"00000"))</f>
        <v/>
      </c>
      <c r="C224" s="108" t="n"/>
      <c r="D224" s="113">
        <f>IF($E224="","",IFERROR(INDEX(MUSTERILER!$B$7:$B$106,MATCH($E224,MUSTERILER!$C$7:$C$106,0)),IFERROR(INDEX(MUSTERILER!$B$7:$B$106,MATCH($E224,MUSTERILER!$B$7:$B$106,0)),IFERROR(INDEX(MUSTERILER!$B$7:$B$106,MATCH($E224&amp;"*",MUSTERILER!$C$7:$C$106,0)),"TANIMSIZ MÜŞTERİ"))))</f>
        <v/>
      </c>
      <c r="E224" s="109" t="n"/>
      <c r="F224" s="109" t="n"/>
      <c r="G224" s="108" t="n"/>
      <c r="H224" s="225" t="n"/>
      <c r="I224" s="225" t="n"/>
      <c r="J224" s="108" t="n"/>
      <c r="K224" s="108" t="n"/>
      <c r="L224" s="109" t="n"/>
      <c r="M224" s="109" t="n"/>
      <c r="N224" s="109" t="n"/>
      <c r="O224" s="225" t="n"/>
      <c r="P224" s="232">
        <f>IF(OR($E224="",$I224=""),"",IF(OR($J224="Tamamlandı",$J224="İptal"),"",$I224-TODAY()))</f>
        <v/>
      </c>
      <c r="Q224" s="113">
        <f>IF($E224="","",IF($D224="TANIMSIZ MÜŞTERİ","HATA",IF(OR($J224="Tamamlandı",$J224="İptal"),"KAPALI",IF(AND($C224="Görüşme",$N224=""),"SONRAKİ İŞLEM EKSİK",IF($I224="","TARİH EKSİK",IF($I224&lt;TODAY(),"GECİKMİŞ",IF($I224=TODAY(),"BUGÜN",IF($I224&lt;=TODAY()+7,"7 GÜN İÇİNDE","PLANLI"))))))))</f>
        <v/>
      </c>
      <c r="R224" s="6" t="n"/>
      <c r="S224" s="6" t="n"/>
    </row>
    <row r="225">
      <c r="A225" s="6" t="n"/>
      <c r="B225" s="113">
        <f>IF($E225="","","A"&amp;TEXT(ROW()-6,"00000"))</f>
        <v/>
      </c>
      <c r="C225" s="108" t="n"/>
      <c r="D225" s="113">
        <f>IF($E225="","",IFERROR(INDEX(MUSTERILER!$B$7:$B$106,MATCH($E225,MUSTERILER!$C$7:$C$106,0)),IFERROR(INDEX(MUSTERILER!$B$7:$B$106,MATCH($E225,MUSTERILER!$B$7:$B$106,0)),IFERROR(INDEX(MUSTERILER!$B$7:$B$106,MATCH($E225&amp;"*",MUSTERILER!$C$7:$C$106,0)),"TANIMSIZ MÜŞTERİ"))))</f>
        <v/>
      </c>
      <c r="E225" s="109" t="n"/>
      <c r="F225" s="109" t="n"/>
      <c r="G225" s="108" t="n"/>
      <c r="H225" s="225" t="n"/>
      <c r="I225" s="225" t="n"/>
      <c r="J225" s="108" t="n"/>
      <c r="K225" s="108" t="n"/>
      <c r="L225" s="109" t="n"/>
      <c r="M225" s="109" t="n"/>
      <c r="N225" s="109" t="n"/>
      <c r="O225" s="225" t="n"/>
      <c r="P225" s="232">
        <f>IF(OR($E225="",$I225=""),"",IF(OR($J225="Tamamlandı",$J225="İptal"),"",$I225-TODAY()))</f>
        <v/>
      </c>
      <c r="Q225" s="113">
        <f>IF($E225="","",IF($D225="TANIMSIZ MÜŞTERİ","HATA",IF(OR($J225="Tamamlandı",$J225="İptal"),"KAPALI",IF(AND($C225="Görüşme",$N225=""),"SONRAKİ İŞLEM EKSİK",IF($I225="","TARİH EKSİK",IF($I225&lt;TODAY(),"GECİKMİŞ",IF($I225=TODAY(),"BUGÜN",IF($I225&lt;=TODAY()+7,"7 GÜN İÇİNDE","PLANLI"))))))))</f>
        <v/>
      </c>
      <c r="R225" s="6" t="n"/>
      <c r="S225" s="6" t="n"/>
    </row>
    <row r="226">
      <c r="A226" s="6" t="n"/>
      <c r="B226" s="113">
        <f>IF($E226="","","A"&amp;TEXT(ROW()-6,"00000"))</f>
        <v/>
      </c>
      <c r="C226" s="108" t="n"/>
      <c r="D226" s="113">
        <f>IF($E226="","",IFERROR(INDEX(MUSTERILER!$B$7:$B$106,MATCH($E226,MUSTERILER!$C$7:$C$106,0)),IFERROR(INDEX(MUSTERILER!$B$7:$B$106,MATCH($E226,MUSTERILER!$B$7:$B$106,0)),IFERROR(INDEX(MUSTERILER!$B$7:$B$106,MATCH($E226&amp;"*",MUSTERILER!$C$7:$C$106,0)),"TANIMSIZ MÜŞTERİ"))))</f>
        <v/>
      </c>
      <c r="E226" s="109" t="n"/>
      <c r="F226" s="109" t="n"/>
      <c r="G226" s="108" t="n"/>
      <c r="H226" s="225" t="n"/>
      <c r="I226" s="225" t="n"/>
      <c r="J226" s="108" t="n"/>
      <c r="K226" s="108" t="n"/>
      <c r="L226" s="109" t="n"/>
      <c r="M226" s="109" t="n"/>
      <c r="N226" s="109" t="n"/>
      <c r="O226" s="225" t="n"/>
      <c r="P226" s="232">
        <f>IF(OR($E226="",$I226=""),"",IF(OR($J226="Tamamlandı",$J226="İptal"),"",$I226-TODAY()))</f>
        <v/>
      </c>
      <c r="Q226" s="113">
        <f>IF($E226="","",IF($D226="TANIMSIZ MÜŞTERİ","HATA",IF(OR($J226="Tamamlandı",$J226="İptal"),"KAPALI",IF(AND($C226="Görüşme",$N226=""),"SONRAKİ İŞLEM EKSİK",IF($I226="","TARİH EKSİK",IF($I226&lt;TODAY(),"GECİKMİŞ",IF($I226=TODAY(),"BUGÜN",IF($I226&lt;=TODAY()+7,"7 GÜN İÇİNDE","PLANLI"))))))))</f>
        <v/>
      </c>
      <c r="R226" s="6" t="n"/>
      <c r="S226" s="6" t="n"/>
    </row>
    <row r="227">
      <c r="A227" s="6" t="n"/>
      <c r="B227" s="113">
        <f>IF($E227="","","A"&amp;TEXT(ROW()-6,"00000"))</f>
        <v/>
      </c>
      <c r="C227" s="108" t="n"/>
      <c r="D227" s="113">
        <f>IF($E227="","",IFERROR(INDEX(MUSTERILER!$B$7:$B$106,MATCH($E227,MUSTERILER!$C$7:$C$106,0)),IFERROR(INDEX(MUSTERILER!$B$7:$B$106,MATCH($E227,MUSTERILER!$B$7:$B$106,0)),IFERROR(INDEX(MUSTERILER!$B$7:$B$106,MATCH($E227&amp;"*",MUSTERILER!$C$7:$C$106,0)),"TANIMSIZ MÜŞTERİ"))))</f>
        <v/>
      </c>
      <c r="E227" s="109" t="n"/>
      <c r="F227" s="109" t="n"/>
      <c r="G227" s="108" t="n"/>
      <c r="H227" s="225" t="n"/>
      <c r="I227" s="225" t="n"/>
      <c r="J227" s="108" t="n"/>
      <c r="K227" s="108" t="n"/>
      <c r="L227" s="109" t="n"/>
      <c r="M227" s="109" t="n"/>
      <c r="N227" s="109" t="n"/>
      <c r="O227" s="225" t="n"/>
      <c r="P227" s="232">
        <f>IF(OR($E227="",$I227=""),"",IF(OR($J227="Tamamlandı",$J227="İptal"),"",$I227-TODAY()))</f>
        <v/>
      </c>
      <c r="Q227" s="113">
        <f>IF($E227="","",IF($D227="TANIMSIZ MÜŞTERİ","HATA",IF(OR($J227="Tamamlandı",$J227="İptal"),"KAPALI",IF(AND($C227="Görüşme",$N227=""),"SONRAKİ İŞLEM EKSİK",IF($I227="","TARİH EKSİK",IF($I227&lt;TODAY(),"GECİKMİŞ",IF($I227=TODAY(),"BUGÜN",IF($I227&lt;=TODAY()+7,"7 GÜN İÇİNDE","PLANLI"))))))))</f>
        <v/>
      </c>
      <c r="R227" s="6" t="n"/>
      <c r="S227" s="6" t="n"/>
    </row>
    <row r="228">
      <c r="A228" s="6" t="n"/>
      <c r="B228" s="113">
        <f>IF($E228="","","A"&amp;TEXT(ROW()-6,"00000"))</f>
        <v/>
      </c>
      <c r="C228" s="108" t="n"/>
      <c r="D228" s="113">
        <f>IF($E228="","",IFERROR(INDEX(MUSTERILER!$B$7:$B$106,MATCH($E228,MUSTERILER!$C$7:$C$106,0)),IFERROR(INDEX(MUSTERILER!$B$7:$B$106,MATCH($E228,MUSTERILER!$B$7:$B$106,0)),IFERROR(INDEX(MUSTERILER!$B$7:$B$106,MATCH($E228&amp;"*",MUSTERILER!$C$7:$C$106,0)),"TANIMSIZ MÜŞTERİ"))))</f>
        <v/>
      </c>
      <c r="E228" s="109" t="n"/>
      <c r="F228" s="109" t="n"/>
      <c r="G228" s="108" t="n"/>
      <c r="H228" s="225" t="n"/>
      <c r="I228" s="225" t="n"/>
      <c r="J228" s="108" t="n"/>
      <c r="K228" s="108" t="n"/>
      <c r="L228" s="109" t="n"/>
      <c r="M228" s="109" t="n"/>
      <c r="N228" s="109" t="n"/>
      <c r="O228" s="225" t="n"/>
      <c r="P228" s="232">
        <f>IF(OR($E228="",$I228=""),"",IF(OR($J228="Tamamlandı",$J228="İptal"),"",$I228-TODAY()))</f>
        <v/>
      </c>
      <c r="Q228" s="113">
        <f>IF($E228="","",IF($D228="TANIMSIZ MÜŞTERİ","HATA",IF(OR($J228="Tamamlandı",$J228="İptal"),"KAPALI",IF(AND($C228="Görüşme",$N228=""),"SONRAKİ İŞLEM EKSİK",IF($I228="","TARİH EKSİK",IF($I228&lt;TODAY(),"GECİKMİŞ",IF($I228=TODAY(),"BUGÜN",IF($I228&lt;=TODAY()+7,"7 GÜN İÇİNDE","PLANLI"))))))))</f>
        <v/>
      </c>
      <c r="R228" s="6" t="n"/>
      <c r="S228" s="6" t="n"/>
    </row>
    <row r="229">
      <c r="A229" s="6" t="n"/>
      <c r="B229" s="113">
        <f>IF($E229="","","A"&amp;TEXT(ROW()-6,"00000"))</f>
        <v/>
      </c>
      <c r="C229" s="108" t="n"/>
      <c r="D229" s="113">
        <f>IF($E229="","",IFERROR(INDEX(MUSTERILER!$B$7:$B$106,MATCH($E229,MUSTERILER!$C$7:$C$106,0)),IFERROR(INDEX(MUSTERILER!$B$7:$B$106,MATCH($E229,MUSTERILER!$B$7:$B$106,0)),IFERROR(INDEX(MUSTERILER!$B$7:$B$106,MATCH($E229&amp;"*",MUSTERILER!$C$7:$C$106,0)),"TANIMSIZ MÜŞTERİ"))))</f>
        <v/>
      </c>
      <c r="E229" s="109" t="n"/>
      <c r="F229" s="109" t="n"/>
      <c r="G229" s="108" t="n"/>
      <c r="H229" s="225" t="n"/>
      <c r="I229" s="225" t="n"/>
      <c r="J229" s="108" t="n"/>
      <c r="K229" s="108" t="n"/>
      <c r="L229" s="109" t="n"/>
      <c r="M229" s="109" t="n"/>
      <c r="N229" s="109" t="n"/>
      <c r="O229" s="225" t="n"/>
      <c r="P229" s="232">
        <f>IF(OR($E229="",$I229=""),"",IF(OR($J229="Tamamlandı",$J229="İptal"),"",$I229-TODAY()))</f>
        <v/>
      </c>
      <c r="Q229" s="113">
        <f>IF($E229="","",IF($D229="TANIMSIZ MÜŞTERİ","HATA",IF(OR($J229="Tamamlandı",$J229="İptal"),"KAPALI",IF(AND($C229="Görüşme",$N229=""),"SONRAKİ İŞLEM EKSİK",IF($I229="","TARİH EKSİK",IF($I229&lt;TODAY(),"GECİKMİŞ",IF($I229=TODAY(),"BUGÜN",IF($I229&lt;=TODAY()+7,"7 GÜN İÇİNDE","PLANLI"))))))))</f>
        <v/>
      </c>
      <c r="R229" s="6" t="n"/>
      <c r="S229" s="6" t="n"/>
    </row>
    <row r="230">
      <c r="A230" s="6" t="n"/>
      <c r="B230" s="113">
        <f>IF($E230="","","A"&amp;TEXT(ROW()-6,"00000"))</f>
        <v/>
      </c>
      <c r="C230" s="108" t="n"/>
      <c r="D230" s="113">
        <f>IF($E230="","",IFERROR(INDEX(MUSTERILER!$B$7:$B$106,MATCH($E230,MUSTERILER!$C$7:$C$106,0)),IFERROR(INDEX(MUSTERILER!$B$7:$B$106,MATCH($E230,MUSTERILER!$B$7:$B$106,0)),IFERROR(INDEX(MUSTERILER!$B$7:$B$106,MATCH($E230&amp;"*",MUSTERILER!$C$7:$C$106,0)),"TANIMSIZ MÜŞTERİ"))))</f>
        <v/>
      </c>
      <c r="E230" s="109" t="n"/>
      <c r="F230" s="109" t="n"/>
      <c r="G230" s="108" t="n"/>
      <c r="H230" s="225" t="n"/>
      <c r="I230" s="225" t="n"/>
      <c r="J230" s="108" t="n"/>
      <c r="K230" s="108" t="n"/>
      <c r="L230" s="109" t="n"/>
      <c r="M230" s="109" t="n"/>
      <c r="N230" s="109" t="n"/>
      <c r="O230" s="225" t="n"/>
      <c r="P230" s="232">
        <f>IF(OR($E230="",$I230=""),"",IF(OR($J230="Tamamlandı",$J230="İptal"),"",$I230-TODAY()))</f>
        <v/>
      </c>
      <c r="Q230" s="113">
        <f>IF($E230="","",IF($D230="TANIMSIZ MÜŞTERİ","HATA",IF(OR($J230="Tamamlandı",$J230="İptal"),"KAPALI",IF(AND($C230="Görüşme",$N230=""),"SONRAKİ İŞLEM EKSİK",IF($I230="","TARİH EKSİK",IF($I230&lt;TODAY(),"GECİKMİŞ",IF($I230=TODAY(),"BUGÜN",IF($I230&lt;=TODAY()+7,"7 GÜN İÇİNDE","PLANLI"))))))))</f>
        <v/>
      </c>
      <c r="R230" s="6" t="n"/>
      <c r="S230" s="6" t="n"/>
    </row>
    <row r="231">
      <c r="A231" s="6" t="n"/>
      <c r="B231" s="113">
        <f>IF($E231="","","A"&amp;TEXT(ROW()-6,"00000"))</f>
        <v/>
      </c>
      <c r="C231" s="108" t="n"/>
      <c r="D231" s="113">
        <f>IF($E231="","",IFERROR(INDEX(MUSTERILER!$B$7:$B$106,MATCH($E231,MUSTERILER!$C$7:$C$106,0)),IFERROR(INDEX(MUSTERILER!$B$7:$B$106,MATCH($E231,MUSTERILER!$B$7:$B$106,0)),IFERROR(INDEX(MUSTERILER!$B$7:$B$106,MATCH($E231&amp;"*",MUSTERILER!$C$7:$C$106,0)),"TANIMSIZ MÜŞTERİ"))))</f>
        <v/>
      </c>
      <c r="E231" s="109" t="n"/>
      <c r="F231" s="109" t="n"/>
      <c r="G231" s="108" t="n"/>
      <c r="H231" s="225" t="n"/>
      <c r="I231" s="225" t="n"/>
      <c r="J231" s="108" t="n"/>
      <c r="K231" s="108" t="n"/>
      <c r="L231" s="109" t="n"/>
      <c r="M231" s="109" t="n"/>
      <c r="N231" s="109" t="n"/>
      <c r="O231" s="225" t="n"/>
      <c r="P231" s="232">
        <f>IF(OR($E231="",$I231=""),"",IF(OR($J231="Tamamlandı",$J231="İptal"),"",$I231-TODAY()))</f>
        <v/>
      </c>
      <c r="Q231" s="113">
        <f>IF($E231="","",IF($D231="TANIMSIZ MÜŞTERİ","HATA",IF(OR($J231="Tamamlandı",$J231="İptal"),"KAPALI",IF(AND($C231="Görüşme",$N231=""),"SONRAKİ İŞLEM EKSİK",IF($I231="","TARİH EKSİK",IF($I231&lt;TODAY(),"GECİKMİŞ",IF($I231=TODAY(),"BUGÜN",IF($I231&lt;=TODAY()+7,"7 GÜN İÇİNDE","PLANLI"))))))))</f>
        <v/>
      </c>
      <c r="R231" s="6" t="n"/>
      <c r="S231" s="6" t="n"/>
    </row>
    <row r="232">
      <c r="A232" s="6" t="n"/>
      <c r="B232" s="113">
        <f>IF($E232="","","A"&amp;TEXT(ROW()-6,"00000"))</f>
        <v/>
      </c>
      <c r="C232" s="108" t="n"/>
      <c r="D232" s="113">
        <f>IF($E232="","",IFERROR(INDEX(MUSTERILER!$B$7:$B$106,MATCH($E232,MUSTERILER!$C$7:$C$106,0)),IFERROR(INDEX(MUSTERILER!$B$7:$B$106,MATCH($E232,MUSTERILER!$B$7:$B$106,0)),IFERROR(INDEX(MUSTERILER!$B$7:$B$106,MATCH($E232&amp;"*",MUSTERILER!$C$7:$C$106,0)),"TANIMSIZ MÜŞTERİ"))))</f>
        <v/>
      </c>
      <c r="E232" s="109" t="n"/>
      <c r="F232" s="109" t="n"/>
      <c r="G232" s="108" t="n"/>
      <c r="H232" s="225" t="n"/>
      <c r="I232" s="225" t="n"/>
      <c r="J232" s="108" t="n"/>
      <c r="K232" s="108" t="n"/>
      <c r="L232" s="109" t="n"/>
      <c r="M232" s="109" t="n"/>
      <c r="N232" s="109" t="n"/>
      <c r="O232" s="225" t="n"/>
      <c r="P232" s="232">
        <f>IF(OR($E232="",$I232=""),"",IF(OR($J232="Tamamlandı",$J232="İptal"),"",$I232-TODAY()))</f>
        <v/>
      </c>
      <c r="Q232" s="113">
        <f>IF($E232="","",IF($D232="TANIMSIZ MÜŞTERİ","HATA",IF(OR($J232="Tamamlandı",$J232="İptal"),"KAPALI",IF(AND($C232="Görüşme",$N232=""),"SONRAKİ İŞLEM EKSİK",IF($I232="","TARİH EKSİK",IF($I232&lt;TODAY(),"GECİKMİŞ",IF($I232=TODAY(),"BUGÜN",IF($I232&lt;=TODAY()+7,"7 GÜN İÇİNDE","PLANLI"))))))))</f>
        <v/>
      </c>
      <c r="R232" s="6" t="n"/>
      <c r="S232" s="6" t="n"/>
    </row>
    <row r="233">
      <c r="A233" s="6" t="n"/>
      <c r="B233" s="113">
        <f>IF($E233="","","A"&amp;TEXT(ROW()-6,"00000"))</f>
        <v/>
      </c>
      <c r="C233" s="108" t="n"/>
      <c r="D233" s="113">
        <f>IF($E233="","",IFERROR(INDEX(MUSTERILER!$B$7:$B$106,MATCH($E233,MUSTERILER!$C$7:$C$106,0)),IFERROR(INDEX(MUSTERILER!$B$7:$B$106,MATCH($E233,MUSTERILER!$B$7:$B$106,0)),IFERROR(INDEX(MUSTERILER!$B$7:$B$106,MATCH($E233&amp;"*",MUSTERILER!$C$7:$C$106,0)),"TANIMSIZ MÜŞTERİ"))))</f>
        <v/>
      </c>
      <c r="E233" s="109" t="n"/>
      <c r="F233" s="109" t="n"/>
      <c r="G233" s="108" t="n"/>
      <c r="H233" s="225" t="n"/>
      <c r="I233" s="225" t="n"/>
      <c r="J233" s="108" t="n"/>
      <c r="K233" s="108" t="n"/>
      <c r="L233" s="109" t="n"/>
      <c r="M233" s="109" t="n"/>
      <c r="N233" s="109" t="n"/>
      <c r="O233" s="225" t="n"/>
      <c r="P233" s="232">
        <f>IF(OR($E233="",$I233=""),"",IF(OR($J233="Tamamlandı",$J233="İptal"),"",$I233-TODAY()))</f>
        <v/>
      </c>
      <c r="Q233" s="113">
        <f>IF($E233="","",IF($D233="TANIMSIZ MÜŞTERİ","HATA",IF(OR($J233="Tamamlandı",$J233="İptal"),"KAPALI",IF(AND($C233="Görüşme",$N233=""),"SONRAKİ İŞLEM EKSİK",IF($I233="","TARİH EKSİK",IF($I233&lt;TODAY(),"GECİKMİŞ",IF($I233=TODAY(),"BUGÜN",IF($I233&lt;=TODAY()+7,"7 GÜN İÇİNDE","PLANLI"))))))))</f>
        <v/>
      </c>
      <c r="R233" s="6" t="n"/>
      <c r="S233" s="6" t="n"/>
    </row>
    <row r="234">
      <c r="A234" s="6" t="n"/>
      <c r="B234" s="113">
        <f>IF($E234="","","A"&amp;TEXT(ROW()-6,"00000"))</f>
        <v/>
      </c>
      <c r="C234" s="108" t="n"/>
      <c r="D234" s="113">
        <f>IF($E234="","",IFERROR(INDEX(MUSTERILER!$B$7:$B$106,MATCH($E234,MUSTERILER!$C$7:$C$106,0)),IFERROR(INDEX(MUSTERILER!$B$7:$B$106,MATCH($E234,MUSTERILER!$B$7:$B$106,0)),IFERROR(INDEX(MUSTERILER!$B$7:$B$106,MATCH($E234&amp;"*",MUSTERILER!$C$7:$C$106,0)),"TANIMSIZ MÜŞTERİ"))))</f>
        <v/>
      </c>
      <c r="E234" s="109" t="n"/>
      <c r="F234" s="109" t="n"/>
      <c r="G234" s="108" t="n"/>
      <c r="H234" s="225" t="n"/>
      <c r="I234" s="225" t="n"/>
      <c r="J234" s="108" t="n"/>
      <c r="K234" s="108" t="n"/>
      <c r="L234" s="109" t="n"/>
      <c r="M234" s="109" t="n"/>
      <c r="N234" s="109" t="n"/>
      <c r="O234" s="225" t="n"/>
      <c r="P234" s="232">
        <f>IF(OR($E234="",$I234=""),"",IF(OR($J234="Tamamlandı",$J234="İptal"),"",$I234-TODAY()))</f>
        <v/>
      </c>
      <c r="Q234" s="113">
        <f>IF($E234="","",IF($D234="TANIMSIZ MÜŞTERİ","HATA",IF(OR($J234="Tamamlandı",$J234="İptal"),"KAPALI",IF(AND($C234="Görüşme",$N234=""),"SONRAKİ İŞLEM EKSİK",IF($I234="","TARİH EKSİK",IF($I234&lt;TODAY(),"GECİKMİŞ",IF($I234=TODAY(),"BUGÜN",IF($I234&lt;=TODAY()+7,"7 GÜN İÇİNDE","PLANLI"))))))))</f>
        <v/>
      </c>
      <c r="R234" s="6" t="n"/>
      <c r="S234" s="6" t="n"/>
    </row>
    <row r="235">
      <c r="A235" s="6" t="n"/>
      <c r="B235" s="113">
        <f>IF($E235="","","A"&amp;TEXT(ROW()-6,"00000"))</f>
        <v/>
      </c>
      <c r="C235" s="108" t="n"/>
      <c r="D235" s="113">
        <f>IF($E235="","",IFERROR(INDEX(MUSTERILER!$B$7:$B$106,MATCH($E235,MUSTERILER!$C$7:$C$106,0)),IFERROR(INDEX(MUSTERILER!$B$7:$B$106,MATCH($E235,MUSTERILER!$B$7:$B$106,0)),IFERROR(INDEX(MUSTERILER!$B$7:$B$106,MATCH($E235&amp;"*",MUSTERILER!$C$7:$C$106,0)),"TANIMSIZ MÜŞTERİ"))))</f>
        <v/>
      </c>
      <c r="E235" s="109" t="n"/>
      <c r="F235" s="109" t="n"/>
      <c r="G235" s="108" t="n"/>
      <c r="H235" s="225" t="n"/>
      <c r="I235" s="225" t="n"/>
      <c r="J235" s="108" t="n"/>
      <c r="K235" s="108" t="n"/>
      <c r="L235" s="109" t="n"/>
      <c r="M235" s="109" t="n"/>
      <c r="N235" s="109" t="n"/>
      <c r="O235" s="225" t="n"/>
      <c r="P235" s="232">
        <f>IF(OR($E235="",$I235=""),"",IF(OR($J235="Tamamlandı",$J235="İptal"),"",$I235-TODAY()))</f>
        <v/>
      </c>
      <c r="Q235" s="113">
        <f>IF($E235="","",IF($D235="TANIMSIZ MÜŞTERİ","HATA",IF(OR($J235="Tamamlandı",$J235="İptal"),"KAPALI",IF(AND($C235="Görüşme",$N235=""),"SONRAKİ İŞLEM EKSİK",IF($I235="","TARİH EKSİK",IF($I235&lt;TODAY(),"GECİKMİŞ",IF($I235=TODAY(),"BUGÜN",IF($I235&lt;=TODAY()+7,"7 GÜN İÇİNDE","PLANLI"))))))))</f>
        <v/>
      </c>
      <c r="R235" s="6" t="n"/>
      <c r="S235" s="6" t="n"/>
    </row>
    <row r="236">
      <c r="A236" s="6" t="n"/>
      <c r="B236" s="113">
        <f>IF($E236="","","A"&amp;TEXT(ROW()-6,"00000"))</f>
        <v/>
      </c>
      <c r="C236" s="108" t="n"/>
      <c r="D236" s="113">
        <f>IF($E236="","",IFERROR(INDEX(MUSTERILER!$B$7:$B$106,MATCH($E236,MUSTERILER!$C$7:$C$106,0)),IFERROR(INDEX(MUSTERILER!$B$7:$B$106,MATCH($E236,MUSTERILER!$B$7:$B$106,0)),IFERROR(INDEX(MUSTERILER!$B$7:$B$106,MATCH($E236&amp;"*",MUSTERILER!$C$7:$C$106,0)),"TANIMSIZ MÜŞTERİ"))))</f>
        <v/>
      </c>
      <c r="E236" s="109" t="n"/>
      <c r="F236" s="109" t="n"/>
      <c r="G236" s="108" t="n"/>
      <c r="H236" s="225" t="n"/>
      <c r="I236" s="225" t="n"/>
      <c r="J236" s="108" t="n"/>
      <c r="K236" s="108" t="n"/>
      <c r="L236" s="109" t="n"/>
      <c r="M236" s="109" t="n"/>
      <c r="N236" s="109" t="n"/>
      <c r="O236" s="225" t="n"/>
      <c r="P236" s="232">
        <f>IF(OR($E236="",$I236=""),"",IF(OR($J236="Tamamlandı",$J236="İptal"),"",$I236-TODAY()))</f>
        <v/>
      </c>
      <c r="Q236" s="113">
        <f>IF($E236="","",IF($D236="TANIMSIZ MÜŞTERİ","HATA",IF(OR($J236="Tamamlandı",$J236="İptal"),"KAPALI",IF(AND($C236="Görüşme",$N236=""),"SONRAKİ İŞLEM EKSİK",IF($I236="","TARİH EKSİK",IF($I236&lt;TODAY(),"GECİKMİŞ",IF($I236=TODAY(),"BUGÜN",IF($I236&lt;=TODAY()+7,"7 GÜN İÇİNDE","PLANLI"))))))))</f>
        <v/>
      </c>
      <c r="R236" s="6" t="n"/>
      <c r="S236" s="6" t="n"/>
    </row>
    <row r="237">
      <c r="A237" s="6" t="n"/>
      <c r="B237" s="113">
        <f>IF($E237="","","A"&amp;TEXT(ROW()-6,"00000"))</f>
        <v/>
      </c>
      <c r="C237" s="108" t="n"/>
      <c r="D237" s="113">
        <f>IF($E237="","",IFERROR(INDEX(MUSTERILER!$B$7:$B$106,MATCH($E237,MUSTERILER!$C$7:$C$106,0)),IFERROR(INDEX(MUSTERILER!$B$7:$B$106,MATCH($E237,MUSTERILER!$B$7:$B$106,0)),IFERROR(INDEX(MUSTERILER!$B$7:$B$106,MATCH($E237&amp;"*",MUSTERILER!$C$7:$C$106,0)),"TANIMSIZ MÜŞTERİ"))))</f>
        <v/>
      </c>
      <c r="E237" s="109" t="n"/>
      <c r="F237" s="109" t="n"/>
      <c r="G237" s="108" t="n"/>
      <c r="H237" s="225" t="n"/>
      <c r="I237" s="225" t="n"/>
      <c r="J237" s="108" t="n"/>
      <c r="K237" s="108" t="n"/>
      <c r="L237" s="109" t="n"/>
      <c r="M237" s="109" t="n"/>
      <c r="N237" s="109" t="n"/>
      <c r="O237" s="225" t="n"/>
      <c r="P237" s="232">
        <f>IF(OR($E237="",$I237=""),"",IF(OR($J237="Tamamlandı",$J237="İptal"),"",$I237-TODAY()))</f>
        <v/>
      </c>
      <c r="Q237" s="113">
        <f>IF($E237="","",IF($D237="TANIMSIZ MÜŞTERİ","HATA",IF(OR($J237="Tamamlandı",$J237="İptal"),"KAPALI",IF(AND($C237="Görüşme",$N237=""),"SONRAKİ İŞLEM EKSİK",IF($I237="","TARİH EKSİK",IF($I237&lt;TODAY(),"GECİKMİŞ",IF($I237=TODAY(),"BUGÜN",IF($I237&lt;=TODAY()+7,"7 GÜN İÇİNDE","PLANLI"))))))))</f>
        <v/>
      </c>
      <c r="R237" s="6" t="n"/>
      <c r="S237" s="6" t="n"/>
    </row>
    <row r="238">
      <c r="A238" s="6" t="n"/>
      <c r="B238" s="113">
        <f>IF($E238="","","A"&amp;TEXT(ROW()-6,"00000"))</f>
        <v/>
      </c>
      <c r="C238" s="108" t="n"/>
      <c r="D238" s="113">
        <f>IF($E238="","",IFERROR(INDEX(MUSTERILER!$B$7:$B$106,MATCH($E238,MUSTERILER!$C$7:$C$106,0)),IFERROR(INDEX(MUSTERILER!$B$7:$B$106,MATCH($E238,MUSTERILER!$B$7:$B$106,0)),IFERROR(INDEX(MUSTERILER!$B$7:$B$106,MATCH($E238&amp;"*",MUSTERILER!$C$7:$C$106,0)),"TANIMSIZ MÜŞTERİ"))))</f>
        <v/>
      </c>
      <c r="E238" s="109" t="n"/>
      <c r="F238" s="109" t="n"/>
      <c r="G238" s="108" t="n"/>
      <c r="H238" s="225" t="n"/>
      <c r="I238" s="225" t="n"/>
      <c r="J238" s="108" t="n"/>
      <c r="K238" s="108" t="n"/>
      <c r="L238" s="109" t="n"/>
      <c r="M238" s="109" t="n"/>
      <c r="N238" s="109" t="n"/>
      <c r="O238" s="225" t="n"/>
      <c r="P238" s="232">
        <f>IF(OR($E238="",$I238=""),"",IF(OR($J238="Tamamlandı",$J238="İptal"),"",$I238-TODAY()))</f>
        <v/>
      </c>
      <c r="Q238" s="113">
        <f>IF($E238="","",IF($D238="TANIMSIZ MÜŞTERİ","HATA",IF(OR($J238="Tamamlandı",$J238="İptal"),"KAPALI",IF(AND($C238="Görüşme",$N238=""),"SONRAKİ İŞLEM EKSİK",IF($I238="","TARİH EKSİK",IF($I238&lt;TODAY(),"GECİKMİŞ",IF($I238=TODAY(),"BUGÜN",IF($I238&lt;=TODAY()+7,"7 GÜN İÇİNDE","PLANLI"))))))))</f>
        <v/>
      </c>
      <c r="R238" s="6" t="n"/>
      <c r="S238" s="6" t="n"/>
    </row>
    <row r="239">
      <c r="A239" s="6" t="n"/>
      <c r="B239" s="113">
        <f>IF($E239="","","A"&amp;TEXT(ROW()-6,"00000"))</f>
        <v/>
      </c>
      <c r="C239" s="108" t="n"/>
      <c r="D239" s="113">
        <f>IF($E239="","",IFERROR(INDEX(MUSTERILER!$B$7:$B$106,MATCH($E239,MUSTERILER!$C$7:$C$106,0)),IFERROR(INDEX(MUSTERILER!$B$7:$B$106,MATCH($E239,MUSTERILER!$B$7:$B$106,0)),IFERROR(INDEX(MUSTERILER!$B$7:$B$106,MATCH($E239&amp;"*",MUSTERILER!$C$7:$C$106,0)),"TANIMSIZ MÜŞTERİ"))))</f>
        <v/>
      </c>
      <c r="E239" s="109" t="n"/>
      <c r="F239" s="109" t="n"/>
      <c r="G239" s="108" t="n"/>
      <c r="H239" s="225" t="n"/>
      <c r="I239" s="225" t="n"/>
      <c r="J239" s="108" t="n"/>
      <c r="K239" s="108" t="n"/>
      <c r="L239" s="109" t="n"/>
      <c r="M239" s="109" t="n"/>
      <c r="N239" s="109" t="n"/>
      <c r="O239" s="225" t="n"/>
      <c r="P239" s="232">
        <f>IF(OR($E239="",$I239=""),"",IF(OR($J239="Tamamlandı",$J239="İptal"),"",$I239-TODAY()))</f>
        <v/>
      </c>
      <c r="Q239" s="113">
        <f>IF($E239="","",IF($D239="TANIMSIZ MÜŞTERİ","HATA",IF(OR($J239="Tamamlandı",$J239="İptal"),"KAPALI",IF(AND($C239="Görüşme",$N239=""),"SONRAKİ İŞLEM EKSİK",IF($I239="","TARİH EKSİK",IF($I239&lt;TODAY(),"GECİKMİŞ",IF($I239=TODAY(),"BUGÜN",IF($I239&lt;=TODAY()+7,"7 GÜN İÇİNDE","PLANLI"))))))))</f>
        <v/>
      </c>
      <c r="R239" s="6" t="n"/>
      <c r="S239" s="6" t="n"/>
    </row>
    <row r="240">
      <c r="A240" s="6" t="n"/>
      <c r="B240" s="113">
        <f>IF($E240="","","A"&amp;TEXT(ROW()-6,"00000"))</f>
        <v/>
      </c>
      <c r="C240" s="108" t="n"/>
      <c r="D240" s="113">
        <f>IF($E240="","",IFERROR(INDEX(MUSTERILER!$B$7:$B$106,MATCH($E240,MUSTERILER!$C$7:$C$106,0)),IFERROR(INDEX(MUSTERILER!$B$7:$B$106,MATCH($E240,MUSTERILER!$B$7:$B$106,0)),IFERROR(INDEX(MUSTERILER!$B$7:$B$106,MATCH($E240&amp;"*",MUSTERILER!$C$7:$C$106,0)),"TANIMSIZ MÜŞTERİ"))))</f>
        <v/>
      </c>
      <c r="E240" s="109" t="n"/>
      <c r="F240" s="109" t="n"/>
      <c r="G240" s="108" t="n"/>
      <c r="H240" s="225" t="n"/>
      <c r="I240" s="225" t="n"/>
      <c r="J240" s="108" t="n"/>
      <c r="K240" s="108" t="n"/>
      <c r="L240" s="109" t="n"/>
      <c r="M240" s="109" t="n"/>
      <c r="N240" s="109" t="n"/>
      <c r="O240" s="225" t="n"/>
      <c r="P240" s="232">
        <f>IF(OR($E240="",$I240=""),"",IF(OR($J240="Tamamlandı",$J240="İptal"),"",$I240-TODAY()))</f>
        <v/>
      </c>
      <c r="Q240" s="113">
        <f>IF($E240="","",IF($D240="TANIMSIZ MÜŞTERİ","HATA",IF(OR($J240="Tamamlandı",$J240="İptal"),"KAPALI",IF(AND($C240="Görüşme",$N240=""),"SONRAKİ İŞLEM EKSİK",IF($I240="","TARİH EKSİK",IF($I240&lt;TODAY(),"GECİKMİŞ",IF($I240=TODAY(),"BUGÜN",IF($I240&lt;=TODAY()+7,"7 GÜN İÇİNDE","PLANLI"))))))))</f>
        <v/>
      </c>
      <c r="R240" s="6" t="n"/>
      <c r="S240" s="6" t="n"/>
    </row>
    <row r="241">
      <c r="A241" s="6" t="n"/>
      <c r="B241" s="113">
        <f>IF($E241="","","A"&amp;TEXT(ROW()-6,"00000"))</f>
        <v/>
      </c>
      <c r="C241" s="108" t="n"/>
      <c r="D241" s="113">
        <f>IF($E241="","",IFERROR(INDEX(MUSTERILER!$B$7:$B$106,MATCH($E241,MUSTERILER!$C$7:$C$106,0)),IFERROR(INDEX(MUSTERILER!$B$7:$B$106,MATCH($E241,MUSTERILER!$B$7:$B$106,0)),IFERROR(INDEX(MUSTERILER!$B$7:$B$106,MATCH($E241&amp;"*",MUSTERILER!$C$7:$C$106,0)),"TANIMSIZ MÜŞTERİ"))))</f>
        <v/>
      </c>
      <c r="E241" s="109" t="n"/>
      <c r="F241" s="109" t="n"/>
      <c r="G241" s="108" t="n"/>
      <c r="H241" s="225" t="n"/>
      <c r="I241" s="225" t="n"/>
      <c r="J241" s="108" t="n"/>
      <c r="K241" s="108" t="n"/>
      <c r="L241" s="109" t="n"/>
      <c r="M241" s="109" t="n"/>
      <c r="N241" s="109" t="n"/>
      <c r="O241" s="225" t="n"/>
      <c r="P241" s="232">
        <f>IF(OR($E241="",$I241=""),"",IF(OR($J241="Tamamlandı",$J241="İptal"),"",$I241-TODAY()))</f>
        <v/>
      </c>
      <c r="Q241" s="113">
        <f>IF($E241="","",IF($D241="TANIMSIZ MÜŞTERİ","HATA",IF(OR($J241="Tamamlandı",$J241="İptal"),"KAPALI",IF(AND($C241="Görüşme",$N241=""),"SONRAKİ İŞLEM EKSİK",IF($I241="","TARİH EKSİK",IF($I241&lt;TODAY(),"GECİKMİŞ",IF($I241=TODAY(),"BUGÜN",IF($I241&lt;=TODAY()+7,"7 GÜN İÇİNDE","PLANLI"))))))))</f>
        <v/>
      </c>
      <c r="R241" s="6" t="n"/>
      <c r="S241" s="6" t="n"/>
    </row>
    <row r="242">
      <c r="A242" s="6" t="n"/>
      <c r="B242" s="113">
        <f>IF($E242="","","A"&amp;TEXT(ROW()-6,"00000"))</f>
        <v/>
      </c>
      <c r="C242" s="108" t="n"/>
      <c r="D242" s="113">
        <f>IF($E242="","",IFERROR(INDEX(MUSTERILER!$B$7:$B$106,MATCH($E242,MUSTERILER!$C$7:$C$106,0)),IFERROR(INDEX(MUSTERILER!$B$7:$B$106,MATCH($E242,MUSTERILER!$B$7:$B$106,0)),IFERROR(INDEX(MUSTERILER!$B$7:$B$106,MATCH($E242&amp;"*",MUSTERILER!$C$7:$C$106,0)),"TANIMSIZ MÜŞTERİ"))))</f>
        <v/>
      </c>
      <c r="E242" s="109" t="n"/>
      <c r="F242" s="109" t="n"/>
      <c r="G242" s="108" t="n"/>
      <c r="H242" s="225" t="n"/>
      <c r="I242" s="225" t="n"/>
      <c r="J242" s="108" t="n"/>
      <c r="K242" s="108" t="n"/>
      <c r="L242" s="109" t="n"/>
      <c r="M242" s="109" t="n"/>
      <c r="N242" s="109" t="n"/>
      <c r="O242" s="225" t="n"/>
      <c r="P242" s="232">
        <f>IF(OR($E242="",$I242=""),"",IF(OR($J242="Tamamlandı",$J242="İptal"),"",$I242-TODAY()))</f>
        <v/>
      </c>
      <c r="Q242" s="113">
        <f>IF($E242="","",IF($D242="TANIMSIZ MÜŞTERİ","HATA",IF(OR($J242="Tamamlandı",$J242="İptal"),"KAPALI",IF(AND($C242="Görüşme",$N242=""),"SONRAKİ İŞLEM EKSİK",IF($I242="","TARİH EKSİK",IF($I242&lt;TODAY(),"GECİKMİŞ",IF($I242=TODAY(),"BUGÜN",IF($I242&lt;=TODAY()+7,"7 GÜN İÇİNDE","PLANLI"))))))))</f>
        <v/>
      </c>
      <c r="R242" s="6" t="n"/>
      <c r="S242" s="6" t="n"/>
    </row>
    <row r="243">
      <c r="A243" s="6" t="n"/>
      <c r="B243" s="113">
        <f>IF($E243="","","A"&amp;TEXT(ROW()-6,"00000"))</f>
        <v/>
      </c>
      <c r="C243" s="108" t="n"/>
      <c r="D243" s="113">
        <f>IF($E243="","",IFERROR(INDEX(MUSTERILER!$B$7:$B$106,MATCH($E243,MUSTERILER!$C$7:$C$106,0)),IFERROR(INDEX(MUSTERILER!$B$7:$B$106,MATCH($E243,MUSTERILER!$B$7:$B$106,0)),IFERROR(INDEX(MUSTERILER!$B$7:$B$106,MATCH($E243&amp;"*",MUSTERILER!$C$7:$C$106,0)),"TANIMSIZ MÜŞTERİ"))))</f>
        <v/>
      </c>
      <c r="E243" s="109" t="n"/>
      <c r="F243" s="109" t="n"/>
      <c r="G243" s="108" t="n"/>
      <c r="H243" s="225" t="n"/>
      <c r="I243" s="225" t="n"/>
      <c r="J243" s="108" t="n"/>
      <c r="K243" s="108" t="n"/>
      <c r="L243" s="109" t="n"/>
      <c r="M243" s="109" t="n"/>
      <c r="N243" s="109" t="n"/>
      <c r="O243" s="225" t="n"/>
      <c r="P243" s="232">
        <f>IF(OR($E243="",$I243=""),"",IF(OR($J243="Tamamlandı",$J243="İptal"),"",$I243-TODAY()))</f>
        <v/>
      </c>
      <c r="Q243" s="113">
        <f>IF($E243="","",IF($D243="TANIMSIZ MÜŞTERİ","HATA",IF(OR($J243="Tamamlandı",$J243="İptal"),"KAPALI",IF(AND($C243="Görüşme",$N243=""),"SONRAKİ İŞLEM EKSİK",IF($I243="","TARİH EKSİK",IF($I243&lt;TODAY(),"GECİKMİŞ",IF($I243=TODAY(),"BUGÜN",IF($I243&lt;=TODAY()+7,"7 GÜN İÇİNDE","PLANLI"))))))))</f>
        <v/>
      </c>
      <c r="R243" s="6" t="n"/>
      <c r="S243" s="6" t="n"/>
    </row>
    <row r="244">
      <c r="A244" s="6" t="n"/>
      <c r="B244" s="113">
        <f>IF($E244="","","A"&amp;TEXT(ROW()-6,"00000"))</f>
        <v/>
      </c>
      <c r="C244" s="108" t="n"/>
      <c r="D244" s="113">
        <f>IF($E244="","",IFERROR(INDEX(MUSTERILER!$B$7:$B$106,MATCH($E244,MUSTERILER!$C$7:$C$106,0)),IFERROR(INDEX(MUSTERILER!$B$7:$B$106,MATCH($E244,MUSTERILER!$B$7:$B$106,0)),IFERROR(INDEX(MUSTERILER!$B$7:$B$106,MATCH($E244&amp;"*",MUSTERILER!$C$7:$C$106,0)),"TANIMSIZ MÜŞTERİ"))))</f>
        <v/>
      </c>
      <c r="E244" s="109" t="n"/>
      <c r="F244" s="109" t="n"/>
      <c r="G244" s="108" t="n"/>
      <c r="H244" s="225" t="n"/>
      <c r="I244" s="225" t="n"/>
      <c r="J244" s="108" t="n"/>
      <c r="K244" s="108" t="n"/>
      <c r="L244" s="109" t="n"/>
      <c r="M244" s="109" t="n"/>
      <c r="N244" s="109" t="n"/>
      <c r="O244" s="225" t="n"/>
      <c r="P244" s="232">
        <f>IF(OR($E244="",$I244=""),"",IF(OR($J244="Tamamlandı",$J244="İptal"),"",$I244-TODAY()))</f>
        <v/>
      </c>
      <c r="Q244" s="113">
        <f>IF($E244="","",IF($D244="TANIMSIZ MÜŞTERİ","HATA",IF(OR($J244="Tamamlandı",$J244="İptal"),"KAPALI",IF(AND($C244="Görüşme",$N244=""),"SONRAKİ İŞLEM EKSİK",IF($I244="","TARİH EKSİK",IF($I244&lt;TODAY(),"GECİKMİŞ",IF($I244=TODAY(),"BUGÜN",IF($I244&lt;=TODAY()+7,"7 GÜN İÇİNDE","PLANLI"))))))))</f>
        <v/>
      </c>
      <c r="R244" s="6" t="n"/>
      <c r="S244" s="6" t="n"/>
    </row>
    <row r="245">
      <c r="A245" s="6" t="n"/>
      <c r="B245" s="113">
        <f>IF($E245="","","A"&amp;TEXT(ROW()-6,"00000"))</f>
        <v/>
      </c>
      <c r="C245" s="108" t="n"/>
      <c r="D245" s="113">
        <f>IF($E245="","",IFERROR(INDEX(MUSTERILER!$B$7:$B$106,MATCH($E245,MUSTERILER!$C$7:$C$106,0)),IFERROR(INDEX(MUSTERILER!$B$7:$B$106,MATCH($E245,MUSTERILER!$B$7:$B$106,0)),IFERROR(INDEX(MUSTERILER!$B$7:$B$106,MATCH($E245&amp;"*",MUSTERILER!$C$7:$C$106,0)),"TANIMSIZ MÜŞTERİ"))))</f>
        <v/>
      </c>
      <c r="E245" s="109" t="n"/>
      <c r="F245" s="109" t="n"/>
      <c r="G245" s="108" t="n"/>
      <c r="H245" s="225" t="n"/>
      <c r="I245" s="225" t="n"/>
      <c r="J245" s="108" t="n"/>
      <c r="K245" s="108" t="n"/>
      <c r="L245" s="109" t="n"/>
      <c r="M245" s="109" t="n"/>
      <c r="N245" s="109" t="n"/>
      <c r="O245" s="225" t="n"/>
      <c r="P245" s="232">
        <f>IF(OR($E245="",$I245=""),"",IF(OR($J245="Tamamlandı",$J245="İptal"),"",$I245-TODAY()))</f>
        <v/>
      </c>
      <c r="Q245" s="113">
        <f>IF($E245="","",IF($D245="TANIMSIZ MÜŞTERİ","HATA",IF(OR($J245="Tamamlandı",$J245="İptal"),"KAPALI",IF(AND($C245="Görüşme",$N245=""),"SONRAKİ İŞLEM EKSİK",IF($I245="","TARİH EKSİK",IF($I245&lt;TODAY(),"GECİKMİŞ",IF($I245=TODAY(),"BUGÜN",IF($I245&lt;=TODAY()+7,"7 GÜN İÇİNDE","PLANLI"))))))))</f>
        <v/>
      </c>
      <c r="R245" s="6" t="n"/>
      <c r="S245" s="6" t="n"/>
    </row>
    <row r="246">
      <c r="A246" s="6" t="n"/>
      <c r="B246" s="113">
        <f>IF($E246="","","A"&amp;TEXT(ROW()-6,"00000"))</f>
        <v/>
      </c>
      <c r="C246" s="108" t="n"/>
      <c r="D246" s="113">
        <f>IF($E246="","",IFERROR(INDEX(MUSTERILER!$B$7:$B$106,MATCH($E246,MUSTERILER!$C$7:$C$106,0)),IFERROR(INDEX(MUSTERILER!$B$7:$B$106,MATCH($E246,MUSTERILER!$B$7:$B$106,0)),IFERROR(INDEX(MUSTERILER!$B$7:$B$106,MATCH($E246&amp;"*",MUSTERILER!$C$7:$C$106,0)),"TANIMSIZ MÜŞTERİ"))))</f>
        <v/>
      </c>
      <c r="E246" s="109" t="n"/>
      <c r="F246" s="109" t="n"/>
      <c r="G246" s="108" t="n"/>
      <c r="H246" s="225" t="n"/>
      <c r="I246" s="225" t="n"/>
      <c r="J246" s="108" t="n"/>
      <c r="K246" s="108" t="n"/>
      <c r="L246" s="109" t="n"/>
      <c r="M246" s="109" t="n"/>
      <c r="N246" s="109" t="n"/>
      <c r="O246" s="225" t="n"/>
      <c r="P246" s="232">
        <f>IF(OR($E246="",$I246=""),"",IF(OR($J246="Tamamlandı",$J246="İptal"),"",$I246-TODAY()))</f>
        <v/>
      </c>
      <c r="Q246" s="113">
        <f>IF($E246="","",IF($D246="TANIMSIZ MÜŞTERİ","HATA",IF(OR($J246="Tamamlandı",$J246="İptal"),"KAPALI",IF(AND($C246="Görüşme",$N246=""),"SONRAKİ İŞLEM EKSİK",IF($I246="","TARİH EKSİK",IF($I246&lt;TODAY(),"GECİKMİŞ",IF($I246=TODAY(),"BUGÜN",IF($I246&lt;=TODAY()+7,"7 GÜN İÇİNDE","PLANLI"))))))))</f>
        <v/>
      </c>
      <c r="R246" s="6" t="n"/>
      <c r="S246" s="6" t="n"/>
    </row>
    <row r="247">
      <c r="A247" s="6" t="n"/>
      <c r="B247" s="113">
        <f>IF($E247="","","A"&amp;TEXT(ROW()-6,"00000"))</f>
        <v/>
      </c>
      <c r="C247" s="108" t="n"/>
      <c r="D247" s="113">
        <f>IF($E247="","",IFERROR(INDEX(MUSTERILER!$B$7:$B$106,MATCH($E247,MUSTERILER!$C$7:$C$106,0)),IFERROR(INDEX(MUSTERILER!$B$7:$B$106,MATCH($E247,MUSTERILER!$B$7:$B$106,0)),IFERROR(INDEX(MUSTERILER!$B$7:$B$106,MATCH($E247&amp;"*",MUSTERILER!$C$7:$C$106,0)),"TANIMSIZ MÜŞTERİ"))))</f>
        <v/>
      </c>
      <c r="E247" s="109" t="n"/>
      <c r="F247" s="109" t="n"/>
      <c r="G247" s="108" t="n"/>
      <c r="H247" s="225" t="n"/>
      <c r="I247" s="225" t="n"/>
      <c r="J247" s="108" t="n"/>
      <c r="K247" s="108" t="n"/>
      <c r="L247" s="109" t="n"/>
      <c r="M247" s="109" t="n"/>
      <c r="N247" s="109" t="n"/>
      <c r="O247" s="225" t="n"/>
      <c r="P247" s="232">
        <f>IF(OR($E247="",$I247=""),"",IF(OR($J247="Tamamlandı",$J247="İptal"),"",$I247-TODAY()))</f>
        <v/>
      </c>
      <c r="Q247" s="113">
        <f>IF($E247="","",IF($D247="TANIMSIZ MÜŞTERİ","HATA",IF(OR($J247="Tamamlandı",$J247="İptal"),"KAPALI",IF(AND($C247="Görüşme",$N247=""),"SONRAKİ İŞLEM EKSİK",IF($I247="","TARİH EKSİK",IF($I247&lt;TODAY(),"GECİKMİŞ",IF($I247=TODAY(),"BUGÜN",IF($I247&lt;=TODAY()+7,"7 GÜN İÇİNDE","PLANLI"))))))))</f>
        <v/>
      </c>
      <c r="R247" s="6" t="n"/>
      <c r="S247" s="6" t="n"/>
    </row>
    <row r="248">
      <c r="A248" s="6" t="n"/>
      <c r="B248" s="113">
        <f>IF($E248="","","A"&amp;TEXT(ROW()-6,"00000"))</f>
        <v/>
      </c>
      <c r="C248" s="108" t="n"/>
      <c r="D248" s="113">
        <f>IF($E248="","",IFERROR(INDEX(MUSTERILER!$B$7:$B$106,MATCH($E248,MUSTERILER!$C$7:$C$106,0)),IFERROR(INDEX(MUSTERILER!$B$7:$B$106,MATCH($E248,MUSTERILER!$B$7:$B$106,0)),IFERROR(INDEX(MUSTERILER!$B$7:$B$106,MATCH($E248&amp;"*",MUSTERILER!$C$7:$C$106,0)),"TANIMSIZ MÜŞTERİ"))))</f>
        <v/>
      </c>
      <c r="E248" s="109" t="n"/>
      <c r="F248" s="109" t="n"/>
      <c r="G248" s="108" t="n"/>
      <c r="H248" s="225" t="n"/>
      <c r="I248" s="225" t="n"/>
      <c r="J248" s="108" t="n"/>
      <c r="K248" s="108" t="n"/>
      <c r="L248" s="109" t="n"/>
      <c r="M248" s="109" t="n"/>
      <c r="N248" s="109" t="n"/>
      <c r="O248" s="225" t="n"/>
      <c r="P248" s="232">
        <f>IF(OR($E248="",$I248=""),"",IF(OR($J248="Tamamlandı",$J248="İptal"),"",$I248-TODAY()))</f>
        <v/>
      </c>
      <c r="Q248" s="113">
        <f>IF($E248="","",IF($D248="TANIMSIZ MÜŞTERİ","HATA",IF(OR($J248="Tamamlandı",$J248="İptal"),"KAPALI",IF(AND($C248="Görüşme",$N248=""),"SONRAKİ İŞLEM EKSİK",IF($I248="","TARİH EKSİK",IF($I248&lt;TODAY(),"GECİKMİŞ",IF($I248=TODAY(),"BUGÜN",IF($I248&lt;=TODAY()+7,"7 GÜN İÇİNDE","PLANLI"))))))))</f>
        <v/>
      </c>
      <c r="R248" s="6" t="n"/>
      <c r="S248" s="6" t="n"/>
    </row>
    <row r="249">
      <c r="A249" s="6" t="n"/>
      <c r="B249" s="113">
        <f>IF($E249="","","A"&amp;TEXT(ROW()-6,"00000"))</f>
        <v/>
      </c>
      <c r="C249" s="108" t="n"/>
      <c r="D249" s="113">
        <f>IF($E249="","",IFERROR(INDEX(MUSTERILER!$B$7:$B$106,MATCH($E249,MUSTERILER!$C$7:$C$106,0)),IFERROR(INDEX(MUSTERILER!$B$7:$B$106,MATCH($E249,MUSTERILER!$B$7:$B$106,0)),IFERROR(INDEX(MUSTERILER!$B$7:$B$106,MATCH($E249&amp;"*",MUSTERILER!$C$7:$C$106,0)),"TANIMSIZ MÜŞTERİ"))))</f>
        <v/>
      </c>
      <c r="E249" s="109" t="n"/>
      <c r="F249" s="109" t="n"/>
      <c r="G249" s="108" t="n"/>
      <c r="H249" s="225" t="n"/>
      <c r="I249" s="225" t="n"/>
      <c r="J249" s="108" t="n"/>
      <c r="K249" s="108" t="n"/>
      <c r="L249" s="109" t="n"/>
      <c r="M249" s="109" t="n"/>
      <c r="N249" s="109" t="n"/>
      <c r="O249" s="225" t="n"/>
      <c r="P249" s="232">
        <f>IF(OR($E249="",$I249=""),"",IF(OR($J249="Tamamlandı",$J249="İptal"),"",$I249-TODAY()))</f>
        <v/>
      </c>
      <c r="Q249" s="113">
        <f>IF($E249="","",IF($D249="TANIMSIZ MÜŞTERİ","HATA",IF(OR($J249="Tamamlandı",$J249="İptal"),"KAPALI",IF(AND($C249="Görüşme",$N249=""),"SONRAKİ İŞLEM EKSİK",IF($I249="","TARİH EKSİK",IF($I249&lt;TODAY(),"GECİKMİŞ",IF($I249=TODAY(),"BUGÜN",IF($I249&lt;=TODAY()+7,"7 GÜN İÇİNDE","PLANLI"))))))))</f>
        <v/>
      </c>
      <c r="R249" s="6" t="n"/>
      <c r="S249" s="6" t="n"/>
    </row>
    <row r="250">
      <c r="A250" s="6" t="n"/>
      <c r="B250" s="113">
        <f>IF($E250="","","A"&amp;TEXT(ROW()-6,"00000"))</f>
        <v/>
      </c>
      <c r="C250" s="108" t="n"/>
      <c r="D250" s="113">
        <f>IF($E250="","",IFERROR(INDEX(MUSTERILER!$B$7:$B$106,MATCH($E250,MUSTERILER!$C$7:$C$106,0)),IFERROR(INDEX(MUSTERILER!$B$7:$B$106,MATCH($E250,MUSTERILER!$B$7:$B$106,0)),IFERROR(INDEX(MUSTERILER!$B$7:$B$106,MATCH($E250&amp;"*",MUSTERILER!$C$7:$C$106,0)),"TANIMSIZ MÜŞTERİ"))))</f>
        <v/>
      </c>
      <c r="E250" s="109" t="n"/>
      <c r="F250" s="109" t="n"/>
      <c r="G250" s="108" t="n"/>
      <c r="H250" s="225" t="n"/>
      <c r="I250" s="225" t="n"/>
      <c r="J250" s="108" t="n"/>
      <c r="K250" s="108" t="n"/>
      <c r="L250" s="109" t="n"/>
      <c r="M250" s="109" t="n"/>
      <c r="N250" s="109" t="n"/>
      <c r="O250" s="225" t="n"/>
      <c r="P250" s="232">
        <f>IF(OR($E250="",$I250=""),"",IF(OR($J250="Tamamlandı",$J250="İptal"),"",$I250-TODAY()))</f>
        <v/>
      </c>
      <c r="Q250" s="113">
        <f>IF($E250="","",IF($D250="TANIMSIZ MÜŞTERİ","HATA",IF(OR($J250="Tamamlandı",$J250="İptal"),"KAPALI",IF(AND($C250="Görüşme",$N250=""),"SONRAKİ İŞLEM EKSİK",IF($I250="","TARİH EKSİK",IF($I250&lt;TODAY(),"GECİKMİŞ",IF($I250=TODAY(),"BUGÜN",IF($I250&lt;=TODAY()+7,"7 GÜN İÇİNDE","PLANLI"))))))))</f>
        <v/>
      </c>
      <c r="R250" s="6" t="n"/>
      <c r="S250" s="6" t="n"/>
    </row>
    <row r="251">
      <c r="A251" s="6" t="n"/>
      <c r="B251" s="113">
        <f>IF($E251="","","A"&amp;TEXT(ROW()-6,"00000"))</f>
        <v/>
      </c>
      <c r="C251" s="108" t="n"/>
      <c r="D251" s="113">
        <f>IF($E251="","",IFERROR(INDEX(MUSTERILER!$B$7:$B$106,MATCH($E251,MUSTERILER!$C$7:$C$106,0)),IFERROR(INDEX(MUSTERILER!$B$7:$B$106,MATCH($E251,MUSTERILER!$B$7:$B$106,0)),IFERROR(INDEX(MUSTERILER!$B$7:$B$106,MATCH($E251&amp;"*",MUSTERILER!$C$7:$C$106,0)),"TANIMSIZ MÜŞTERİ"))))</f>
        <v/>
      </c>
      <c r="E251" s="109" t="n"/>
      <c r="F251" s="109" t="n"/>
      <c r="G251" s="108" t="n"/>
      <c r="H251" s="225" t="n"/>
      <c r="I251" s="225" t="n"/>
      <c r="J251" s="108" t="n"/>
      <c r="K251" s="108" t="n"/>
      <c r="L251" s="109" t="n"/>
      <c r="M251" s="109" t="n"/>
      <c r="N251" s="109" t="n"/>
      <c r="O251" s="225" t="n"/>
      <c r="P251" s="232">
        <f>IF(OR($E251="",$I251=""),"",IF(OR($J251="Tamamlandı",$J251="İptal"),"",$I251-TODAY()))</f>
        <v/>
      </c>
      <c r="Q251" s="113">
        <f>IF($E251="","",IF($D251="TANIMSIZ MÜŞTERİ","HATA",IF(OR($J251="Tamamlandı",$J251="İptal"),"KAPALI",IF(AND($C251="Görüşme",$N251=""),"SONRAKİ İŞLEM EKSİK",IF($I251="","TARİH EKSİK",IF($I251&lt;TODAY(),"GECİKMİŞ",IF($I251=TODAY(),"BUGÜN",IF($I251&lt;=TODAY()+7,"7 GÜN İÇİNDE","PLANLI"))))))))</f>
        <v/>
      </c>
      <c r="R251" s="6" t="n"/>
      <c r="S251" s="6" t="n"/>
    </row>
    <row r="252">
      <c r="A252" s="6" t="n"/>
      <c r="B252" s="113">
        <f>IF($E252="","","A"&amp;TEXT(ROW()-6,"00000"))</f>
        <v/>
      </c>
      <c r="C252" s="108" t="n"/>
      <c r="D252" s="113">
        <f>IF($E252="","",IFERROR(INDEX(MUSTERILER!$B$7:$B$106,MATCH($E252,MUSTERILER!$C$7:$C$106,0)),IFERROR(INDEX(MUSTERILER!$B$7:$B$106,MATCH($E252,MUSTERILER!$B$7:$B$106,0)),IFERROR(INDEX(MUSTERILER!$B$7:$B$106,MATCH($E252&amp;"*",MUSTERILER!$C$7:$C$106,0)),"TANIMSIZ MÜŞTERİ"))))</f>
        <v/>
      </c>
      <c r="E252" s="109" t="n"/>
      <c r="F252" s="109" t="n"/>
      <c r="G252" s="108" t="n"/>
      <c r="H252" s="225" t="n"/>
      <c r="I252" s="225" t="n"/>
      <c r="J252" s="108" t="n"/>
      <c r="K252" s="108" t="n"/>
      <c r="L252" s="109" t="n"/>
      <c r="M252" s="109" t="n"/>
      <c r="N252" s="109" t="n"/>
      <c r="O252" s="225" t="n"/>
      <c r="P252" s="232">
        <f>IF(OR($E252="",$I252=""),"",IF(OR($J252="Tamamlandı",$J252="İptal"),"",$I252-TODAY()))</f>
        <v/>
      </c>
      <c r="Q252" s="113">
        <f>IF($E252="","",IF($D252="TANIMSIZ MÜŞTERİ","HATA",IF(OR($J252="Tamamlandı",$J252="İptal"),"KAPALI",IF(AND($C252="Görüşme",$N252=""),"SONRAKİ İŞLEM EKSİK",IF($I252="","TARİH EKSİK",IF($I252&lt;TODAY(),"GECİKMİŞ",IF($I252=TODAY(),"BUGÜN",IF($I252&lt;=TODAY()+7,"7 GÜN İÇİNDE","PLANLI"))))))))</f>
        <v/>
      </c>
      <c r="R252" s="6" t="n"/>
      <c r="S252" s="6" t="n"/>
    </row>
    <row r="253">
      <c r="A253" s="6" t="n"/>
      <c r="B253" s="113">
        <f>IF($E253="","","A"&amp;TEXT(ROW()-6,"00000"))</f>
        <v/>
      </c>
      <c r="C253" s="108" t="n"/>
      <c r="D253" s="113">
        <f>IF($E253="","",IFERROR(INDEX(MUSTERILER!$B$7:$B$106,MATCH($E253,MUSTERILER!$C$7:$C$106,0)),IFERROR(INDEX(MUSTERILER!$B$7:$B$106,MATCH($E253,MUSTERILER!$B$7:$B$106,0)),IFERROR(INDEX(MUSTERILER!$B$7:$B$106,MATCH($E253&amp;"*",MUSTERILER!$C$7:$C$106,0)),"TANIMSIZ MÜŞTERİ"))))</f>
        <v/>
      </c>
      <c r="E253" s="109" t="n"/>
      <c r="F253" s="109" t="n"/>
      <c r="G253" s="108" t="n"/>
      <c r="H253" s="225" t="n"/>
      <c r="I253" s="225" t="n"/>
      <c r="J253" s="108" t="n"/>
      <c r="K253" s="108" t="n"/>
      <c r="L253" s="109" t="n"/>
      <c r="M253" s="109" t="n"/>
      <c r="N253" s="109" t="n"/>
      <c r="O253" s="225" t="n"/>
      <c r="P253" s="232">
        <f>IF(OR($E253="",$I253=""),"",IF(OR($J253="Tamamlandı",$J253="İptal"),"",$I253-TODAY()))</f>
        <v/>
      </c>
      <c r="Q253" s="113">
        <f>IF($E253="","",IF($D253="TANIMSIZ MÜŞTERİ","HATA",IF(OR($J253="Tamamlandı",$J253="İptal"),"KAPALI",IF(AND($C253="Görüşme",$N253=""),"SONRAKİ İŞLEM EKSİK",IF($I253="","TARİH EKSİK",IF($I253&lt;TODAY(),"GECİKMİŞ",IF($I253=TODAY(),"BUGÜN",IF($I253&lt;=TODAY()+7,"7 GÜN İÇİNDE","PLANLI"))))))))</f>
        <v/>
      </c>
      <c r="R253" s="6" t="n"/>
      <c r="S253" s="6" t="n"/>
    </row>
    <row r="254">
      <c r="A254" s="6" t="n"/>
      <c r="B254" s="113">
        <f>IF($E254="","","A"&amp;TEXT(ROW()-6,"00000"))</f>
        <v/>
      </c>
      <c r="C254" s="108" t="n"/>
      <c r="D254" s="113">
        <f>IF($E254="","",IFERROR(INDEX(MUSTERILER!$B$7:$B$106,MATCH($E254,MUSTERILER!$C$7:$C$106,0)),IFERROR(INDEX(MUSTERILER!$B$7:$B$106,MATCH($E254,MUSTERILER!$B$7:$B$106,0)),IFERROR(INDEX(MUSTERILER!$B$7:$B$106,MATCH($E254&amp;"*",MUSTERILER!$C$7:$C$106,0)),"TANIMSIZ MÜŞTERİ"))))</f>
        <v/>
      </c>
      <c r="E254" s="109" t="n"/>
      <c r="F254" s="109" t="n"/>
      <c r="G254" s="108" t="n"/>
      <c r="H254" s="225" t="n"/>
      <c r="I254" s="225" t="n"/>
      <c r="J254" s="108" t="n"/>
      <c r="K254" s="108" t="n"/>
      <c r="L254" s="109" t="n"/>
      <c r="M254" s="109" t="n"/>
      <c r="N254" s="109" t="n"/>
      <c r="O254" s="225" t="n"/>
      <c r="P254" s="232">
        <f>IF(OR($E254="",$I254=""),"",IF(OR($J254="Tamamlandı",$J254="İptal"),"",$I254-TODAY()))</f>
        <v/>
      </c>
      <c r="Q254" s="113">
        <f>IF($E254="","",IF($D254="TANIMSIZ MÜŞTERİ","HATA",IF(OR($J254="Tamamlandı",$J254="İptal"),"KAPALI",IF(AND($C254="Görüşme",$N254=""),"SONRAKİ İŞLEM EKSİK",IF($I254="","TARİH EKSİK",IF($I254&lt;TODAY(),"GECİKMİŞ",IF($I254=TODAY(),"BUGÜN",IF($I254&lt;=TODAY()+7,"7 GÜN İÇİNDE","PLANLI"))))))))</f>
        <v/>
      </c>
      <c r="R254" s="6" t="n"/>
      <c r="S254" s="6" t="n"/>
    </row>
    <row r="255">
      <c r="A255" s="6" t="n"/>
      <c r="B255" s="113">
        <f>IF($E255="","","A"&amp;TEXT(ROW()-6,"00000"))</f>
        <v/>
      </c>
      <c r="C255" s="108" t="n"/>
      <c r="D255" s="113">
        <f>IF($E255="","",IFERROR(INDEX(MUSTERILER!$B$7:$B$106,MATCH($E255,MUSTERILER!$C$7:$C$106,0)),IFERROR(INDEX(MUSTERILER!$B$7:$B$106,MATCH($E255,MUSTERILER!$B$7:$B$106,0)),IFERROR(INDEX(MUSTERILER!$B$7:$B$106,MATCH($E255&amp;"*",MUSTERILER!$C$7:$C$106,0)),"TANIMSIZ MÜŞTERİ"))))</f>
        <v/>
      </c>
      <c r="E255" s="109" t="n"/>
      <c r="F255" s="109" t="n"/>
      <c r="G255" s="108" t="n"/>
      <c r="H255" s="225" t="n"/>
      <c r="I255" s="225" t="n"/>
      <c r="J255" s="108" t="n"/>
      <c r="K255" s="108" t="n"/>
      <c r="L255" s="109" t="n"/>
      <c r="M255" s="109" t="n"/>
      <c r="N255" s="109" t="n"/>
      <c r="O255" s="225" t="n"/>
      <c r="P255" s="232">
        <f>IF(OR($E255="",$I255=""),"",IF(OR($J255="Tamamlandı",$J255="İptal"),"",$I255-TODAY()))</f>
        <v/>
      </c>
      <c r="Q255" s="113">
        <f>IF($E255="","",IF($D255="TANIMSIZ MÜŞTERİ","HATA",IF(OR($J255="Tamamlandı",$J255="İptal"),"KAPALI",IF(AND($C255="Görüşme",$N255=""),"SONRAKİ İŞLEM EKSİK",IF($I255="","TARİH EKSİK",IF($I255&lt;TODAY(),"GECİKMİŞ",IF($I255=TODAY(),"BUGÜN",IF($I255&lt;=TODAY()+7,"7 GÜN İÇİNDE","PLANLI"))))))))</f>
        <v/>
      </c>
      <c r="R255" s="6" t="n"/>
      <c r="S255" s="6" t="n"/>
    </row>
    <row r="256">
      <c r="A256" s="6" t="n"/>
      <c r="B256" s="113">
        <f>IF($E256="","","A"&amp;TEXT(ROW()-6,"00000"))</f>
        <v/>
      </c>
      <c r="C256" s="108" t="n"/>
      <c r="D256" s="113">
        <f>IF($E256="","",IFERROR(INDEX(MUSTERILER!$B$7:$B$106,MATCH($E256,MUSTERILER!$C$7:$C$106,0)),IFERROR(INDEX(MUSTERILER!$B$7:$B$106,MATCH($E256,MUSTERILER!$B$7:$B$106,0)),IFERROR(INDEX(MUSTERILER!$B$7:$B$106,MATCH($E256&amp;"*",MUSTERILER!$C$7:$C$106,0)),"TANIMSIZ MÜŞTERİ"))))</f>
        <v/>
      </c>
      <c r="E256" s="109" t="n"/>
      <c r="F256" s="109" t="n"/>
      <c r="G256" s="108" t="n"/>
      <c r="H256" s="225" t="n"/>
      <c r="I256" s="225" t="n"/>
      <c r="J256" s="108" t="n"/>
      <c r="K256" s="108" t="n"/>
      <c r="L256" s="109" t="n"/>
      <c r="M256" s="109" t="n"/>
      <c r="N256" s="109" t="n"/>
      <c r="O256" s="225" t="n"/>
      <c r="P256" s="232">
        <f>IF(OR($E256="",$I256=""),"",IF(OR($J256="Tamamlandı",$J256="İptal"),"",$I256-TODAY()))</f>
        <v/>
      </c>
      <c r="Q256" s="113">
        <f>IF($E256="","",IF($D256="TANIMSIZ MÜŞTERİ","HATA",IF(OR($J256="Tamamlandı",$J256="İptal"),"KAPALI",IF(AND($C256="Görüşme",$N256=""),"SONRAKİ İŞLEM EKSİK",IF($I256="","TARİH EKSİK",IF($I256&lt;TODAY(),"GECİKMİŞ",IF($I256=TODAY(),"BUGÜN",IF($I256&lt;=TODAY()+7,"7 GÜN İÇİNDE","PLANLI"))))))))</f>
        <v/>
      </c>
      <c r="R256" s="6" t="n"/>
      <c r="S256" s="6" t="n"/>
    </row>
    <row r="257">
      <c r="A257" s="6" t="n"/>
      <c r="B257" s="113">
        <f>IF($E257="","","A"&amp;TEXT(ROW()-6,"00000"))</f>
        <v/>
      </c>
      <c r="C257" s="108" t="n"/>
      <c r="D257" s="113">
        <f>IF($E257="","",IFERROR(INDEX(MUSTERILER!$B$7:$B$106,MATCH($E257,MUSTERILER!$C$7:$C$106,0)),IFERROR(INDEX(MUSTERILER!$B$7:$B$106,MATCH($E257,MUSTERILER!$B$7:$B$106,0)),IFERROR(INDEX(MUSTERILER!$B$7:$B$106,MATCH($E257&amp;"*",MUSTERILER!$C$7:$C$106,0)),"TANIMSIZ MÜŞTERİ"))))</f>
        <v/>
      </c>
      <c r="E257" s="109" t="n"/>
      <c r="F257" s="109" t="n"/>
      <c r="G257" s="108" t="n"/>
      <c r="H257" s="225" t="n"/>
      <c r="I257" s="225" t="n"/>
      <c r="J257" s="108" t="n"/>
      <c r="K257" s="108" t="n"/>
      <c r="L257" s="109" t="n"/>
      <c r="M257" s="109" t="n"/>
      <c r="N257" s="109" t="n"/>
      <c r="O257" s="225" t="n"/>
      <c r="P257" s="232">
        <f>IF(OR($E257="",$I257=""),"",IF(OR($J257="Tamamlandı",$J257="İptal"),"",$I257-TODAY()))</f>
        <v/>
      </c>
      <c r="Q257" s="113">
        <f>IF($E257="","",IF($D257="TANIMSIZ MÜŞTERİ","HATA",IF(OR($J257="Tamamlandı",$J257="İptal"),"KAPALI",IF(AND($C257="Görüşme",$N257=""),"SONRAKİ İŞLEM EKSİK",IF($I257="","TARİH EKSİK",IF($I257&lt;TODAY(),"GECİKMİŞ",IF($I257=TODAY(),"BUGÜN",IF($I257&lt;=TODAY()+7,"7 GÜN İÇİNDE","PLANLI"))))))))</f>
        <v/>
      </c>
      <c r="R257" s="6" t="n"/>
      <c r="S257" s="6" t="n"/>
    </row>
    <row r="258">
      <c r="A258" s="6" t="n"/>
      <c r="B258" s="113">
        <f>IF($E258="","","A"&amp;TEXT(ROW()-6,"00000"))</f>
        <v/>
      </c>
      <c r="C258" s="108" t="n"/>
      <c r="D258" s="113">
        <f>IF($E258="","",IFERROR(INDEX(MUSTERILER!$B$7:$B$106,MATCH($E258,MUSTERILER!$C$7:$C$106,0)),IFERROR(INDEX(MUSTERILER!$B$7:$B$106,MATCH($E258,MUSTERILER!$B$7:$B$106,0)),IFERROR(INDEX(MUSTERILER!$B$7:$B$106,MATCH($E258&amp;"*",MUSTERILER!$C$7:$C$106,0)),"TANIMSIZ MÜŞTERİ"))))</f>
        <v/>
      </c>
      <c r="E258" s="109" t="n"/>
      <c r="F258" s="109" t="n"/>
      <c r="G258" s="108" t="n"/>
      <c r="H258" s="225" t="n"/>
      <c r="I258" s="225" t="n"/>
      <c r="J258" s="108" t="n"/>
      <c r="K258" s="108" t="n"/>
      <c r="L258" s="109" t="n"/>
      <c r="M258" s="109" t="n"/>
      <c r="N258" s="109" t="n"/>
      <c r="O258" s="225" t="n"/>
      <c r="P258" s="232">
        <f>IF(OR($E258="",$I258=""),"",IF(OR($J258="Tamamlandı",$J258="İptal"),"",$I258-TODAY()))</f>
        <v/>
      </c>
      <c r="Q258" s="113">
        <f>IF($E258="","",IF($D258="TANIMSIZ MÜŞTERİ","HATA",IF(OR($J258="Tamamlandı",$J258="İptal"),"KAPALI",IF(AND($C258="Görüşme",$N258=""),"SONRAKİ İŞLEM EKSİK",IF($I258="","TARİH EKSİK",IF($I258&lt;TODAY(),"GECİKMİŞ",IF($I258=TODAY(),"BUGÜN",IF($I258&lt;=TODAY()+7,"7 GÜN İÇİNDE","PLANLI"))))))))</f>
        <v/>
      </c>
      <c r="R258" s="6" t="n"/>
      <c r="S258" s="6" t="n"/>
    </row>
    <row r="259">
      <c r="A259" s="6" t="n"/>
      <c r="B259" s="113">
        <f>IF($E259="","","A"&amp;TEXT(ROW()-6,"00000"))</f>
        <v/>
      </c>
      <c r="C259" s="108" t="n"/>
      <c r="D259" s="113">
        <f>IF($E259="","",IFERROR(INDEX(MUSTERILER!$B$7:$B$106,MATCH($E259,MUSTERILER!$C$7:$C$106,0)),IFERROR(INDEX(MUSTERILER!$B$7:$B$106,MATCH($E259,MUSTERILER!$B$7:$B$106,0)),IFERROR(INDEX(MUSTERILER!$B$7:$B$106,MATCH($E259&amp;"*",MUSTERILER!$C$7:$C$106,0)),"TANIMSIZ MÜŞTERİ"))))</f>
        <v/>
      </c>
      <c r="E259" s="109" t="n"/>
      <c r="F259" s="109" t="n"/>
      <c r="G259" s="108" t="n"/>
      <c r="H259" s="225" t="n"/>
      <c r="I259" s="225" t="n"/>
      <c r="J259" s="108" t="n"/>
      <c r="K259" s="108" t="n"/>
      <c r="L259" s="109" t="n"/>
      <c r="M259" s="109" t="n"/>
      <c r="N259" s="109" t="n"/>
      <c r="O259" s="225" t="n"/>
      <c r="P259" s="232">
        <f>IF(OR($E259="",$I259=""),"",IF(OR($J259="Tamamlandı",$J259="İptal"),"",$I259-TODAY()))</f>
        <v/>
      </c>
      <c r="Q259" s="113">
        <f>IF($E259="","",IF($D259="TANIMSIZ MÜŞTERİ","HATA",IF(OR($J259="Tamamlandı",$J259="İptal"),"KAPALI",IF(AND($C259="Görüşme",$N259=""),"SONRAKİ İŞLEM EKSİK",IF($I259="","TARİH EKSİK",IF($I259&lt;TODAY(),"GECİKMİŞ",IF($I259=TODAY(),"BUGÜN",IF($I259&lt;=TODAY()+7,"7 GÜN İÇİNDE","PLANLI"))))))))</f>
        <v/>
      </c>
      <c r="R259" s="6" t="n"/>
      <c r="S259" s="6" t="n"/>
    </row>
    <row r="260">
      <c r="A260" s="6" t="n"/>
      <c r="B260" s="113">
        <f>IF($E260="","","A"&amp;TEXT(ROW()-6,"00000"))</f>
        <v/>
      </c>
      <c r="C260" s="108" t="n"/>
      <c r="D260" s="113">
        <f>IF($E260="","",IFERROR(INDEX(MUSTERILER!$B$7:$B$106,MATCH($E260,MUSTERILER!$C$7:$C$106,0)),IFERROR(INDEX(MUSTERILER!$B$7:$B$106,MATCH($E260,MUSTERILER!$B$7:$B$106,0)),IFERROR(INDEX(MUSTERILER!$B$7:$B$106,MATCH($E260&amp;"*",MUSTERILER!$C$7:$C$106,0)),"TANIMSIZ MÜŞTERİ"))))</f>
        <v/>
      </c>
      <c r="E260" s="109" t="n"/>
      <c r="F260" s="109" t="n"/>
      <c r="G260" s="108" t="n"/>
      <c r="H260" s="225" t="n"/>
      <c r="I260" s="225" t="n"/>
      <c r="J260" s="108" t="n"/>
      <c r="K260" s="108" t="n"/>
      <c r="L260" s="109" t="n"/>
      <c r="M260" s="109" t="n"/>
      <c r="N260" s="109" t="n"/>
      <c r="O260" s="225" t="n"/>
      <c r="P260" s="232">
        <f>IF(OR($E260="",$I260=""),"",IF(OR($J260="Tamamlandı",$J260="İptal"),"",$I260-TODAY()))</f>
        <v/>
      </c>
      <c r="Q260" s="113">
        <f>IF($E260="","",IF($D260="TANIMSIZ MÜŞTERİ","HATA",IF(OR($J260="Tamamlandı",$J260="İptal"),"KAPALI",IF(AND($C260="Görüşme",$N260=""),"SONRAKİ İŞLEM EKSİK",IF($I260="","TARİH EKSİK",IF($I260&lt;TODAY(),"GECİKMİŞ",IF($I260=TODAY(),"BUGÜN",IF($I260&lt;=TODAY()+7,"7 GÜN İÇİNDE","PLANLI"))))))))</f>
        <v/>
      </c>
      <c r="R260" s="6" t="n"/>
      <c r="S260" s="6" t="n"/>
    </row>
    <row r="261">
      <c r="A261" s="6" t="n"/>
      <c r="B261" s="113">
        <f>IF($E261="","","A"&amp;TEXT(ROW()-6,"00000"))</f>
        <v/>
      </c>
      <c r="C261" s="108" t="n"/>
      <c r="D261" s="113">
        <f>IF($E261="","",IFERROR(INDEX(MUSTERILER!$B$7:$B$106,MATCH($E261,MUSTERILER!$C$7:$C$106,0)),IFERROR(INDEX(MUSTERILER!$B$7:$B$106,MATCH($E261,MUSTERILER!$B$7:$B$106,0)),IFERROR(INDEX(MUSTERILER!$B$7:$B$106,MATCH($E261&amp;"*",MUSTERILER!$C$7:$C$106,0)),"TANIMSIZ MÜŞTERİ"))))</f>
        <v/>
      </c>
      <c r="E261" s="109" t="n"/>
      <c r="F261" s="109" t="n"/>
      <c r="G261" s="108" t="n"/>
      <c r="H261" s="225" t="n"/>
      <c r="I261" s="225" t="n"/>
      <c r="J261" s="108" t="n"/>
      <c r="K261" s="108" t="n"/>
      <c r="L261" s="109" t="n"/>
      <c r="M261" s="109" t="n"/>
      <c r="N261" s="109" t="n"/>
      <c r="O261" s="225" t="n"/>
      <c r="P261" s="232">
        <f>IF(OR($E261="",$I261=""),"",IF(OR($J261="Tamamlandı",$J261="İptal"),"",$I261-TODAY()))</f>
        <v/>
      </c>
      <c r="Q261" s="113">
        <f>IF($E261="","",IF($D261="TANIMSIZ MÜŞTERİ","HATA",IF(OR($J261="Tamamlandı",$J261="İptal"),"KAPALI",IF(AND($C261="Görüşme",$N261=""),"SONRAKİ İŞLEM EKSİK",IF($I261="","TARİH EKSİK",IF($I261&lt;TODAY(),"GECİKMİŞ",IF($I261=TODAY(),"BUGÜN",IF($I261&lt;=TODAY()+7,"7 GÜN İÇİNDE","PLANLI"))))))))</f>
        <v/>
      </c>
      <c r="R261" s="6" t="n"/>
      <c r="S261" s="6" t="n"/>
    </row>
    <row r="262">
      <c r="A262" s="6" t="n"/>
      <c r="B262" s="113">
        <f>IF($E262="","","A"&amp;TEXT(ROW()-6,"00000"))</f>
        <v/>
      </c>
      <c r="C262" s="108" t="n"/>
      <c r="D262" s="113">
        <f>IF($E262="","",IFERROR(INDEX(MUSTERILER!$B$7:$B$106,MATCH($E262,MUSTERILER!$C$7:$C$106,0)),IFERROR(INDEX(MUSTERILER!$B$7:$B$106,MATCH($E262,MUSTERILER!$B$7:$B$106,0)),IFERROR(INDEX(MUSTERILER!$B$7:$B$106,MATCH($E262&amp;"*",MUSTERILER!$C$7:$C$106,0)),"TANIMSIZ MÜŞTERİ"))))</f>
        <v/>
      </c>
      <c r="E262" s="109" t="n"/>
      <c r="F262" s="109" t="n"/>
      <c r="G262" s="108" t="n"/>
      <c r="H262" s="225" t="n"/>
      <c r="I262" s="225" t="n"/>
      <c r="J262" s="108" t="n"/>
      <c r="K262" s="108" t="n"/>
      <c r="L262" s="109" t="n"/>
      <c r="M262" s="109" t="n"/>
      <c r="N262" s="109" t="n"/>
      <c r="O262" s="225" t="n"/>
      <c r="P262" s="232">
        <f>IF(OR($E262="",$I262=""),"",IF(OR($J262="Tamamlandı",$J262="İptal"),"",$I262-TODAY()))</f>
        <v/>
      </c>
      <c r="Q262" s="113">
        <f>IF($E262="","",IF($D262="TANIMSIZ MÜŞTERİ","HATA",IF(OR($J262="Tamamlandı",$J262="İptal"),"KAPALI",IF(AND($C262="Görüşme",$N262=""),"SONRAKİ İŞLEM EKSİK",IF($I262="","TARİH EKSİK",IF($I262&lt;TODAY(),"GECİKMİŞ",IF($I262=TODAY(),"BUGÜN",IF($I262&lt;=TODAY()+7,"7 GÜN İÇİNDE","PLANLI"))))))))</f>
        <v/>
      </c>
      <c r="R262" s="6" t="n"/>
      <c r="S262" s="6" t="n"/>
    </row>
    <row r="263">
      <c r="A263" s="6" t="n"/>
      <c r="B263" s="113">
        <f>IF($E263="","","A"&amp;TEXT(ROW()-6,"00000"))</f>
        <v/>
      </c>
      <c r="C263" s="108" t="n"/>
      <c r="D263" s="113">
        <f>IF($E263="","",IFERROR(INDEX(MUSTERILER!$B$7:$B$106,MATCH($E263,MUSTERILER!$C$7:$C$106,0)),IFERROR(INDEX(MUSTERILER!$B$7:$B$106,MATCH($E263,MUSTERILER!$B$7:$B$106,0)),IFERROR(INDEX(MUSTERILER!$B$7:$B$106,MATCH($E263&amp;"*",MUSTERILER!$C$7:$C$106,0)),"TANIMSIZ MÜŞTERİ"))))</f>
        <v/>
      </c>
      <c r="E263" s="109" t="n"/>
      <c r="F263" s="109" t="n"/>
      <c r="G263" s="108" t="n"/>
      <c r="H263" s="225" t="n"/>
      <c r="I263" s="225" t="n"/>
      <c r="J263" s="108" t="n"/>
      <c r="K263" s="108" t="n"/>
      <c r="L263" s="109" t="n"/>
      <c r="M263" s="109" t="n"/>
      <c r="N263" s="109" t="n"/>
      <c r="O263" s="225" t="n"/>
      <c r="P263" s="232">
        <f>IF(OR($E263="",$I263=""),"",IF(OR($J263="Tamamlandı",$J263="İptal"),"",$I263-TODAY()))</f>
        <v/>
      </c>
      <c r="Q263" s="113">
        <f>IF($E263="","",IF($D263="TANIMSIZ MÜŞTERİ","HATA",IF(OR($J263="Tamamlandı",$J263="İptal"),"KAPALI",IF(AND($C263="Görüşme",$N263=""),"SONRAKİ İŞLEM EKSİK",IF($I263="","TARİH EKSİK",IF($I263&lt;TODAY(),"GECİKMİŞ",IF($I263=TODAY(),"BUGÜN",IF($I263&lt;=TODAY()+7,"7 GÜN İÇİNDE","PLANLI"))))))))</f>
        <v/>
      </c>
      <c r="R263" s="6" t="n"/>
      <c r="S263" s="6" t="n"/>
    </row>
    <row r="264">
      <c r="A264" s="6" t="n"/>
      <c r="B264" s="113">
        <f>IF($E264="","","A"&amp;TEXT(ROW()-6,"00000"))</f>
        <v/>
      </c>
      <c r="C264" s="108" t="n"/>
      <c r="D264" s="113">
        <f>IF($E264="","",IFERROR(INDEX(MUSTERILER!$B$7:$B$106,MATCH($E264,MUSTERILER!$C$7:$C$106,0)),IFERROR(INDEX(MUSTERILER!$B$7:$B$106,MATCH($E264,MUSTERILER!$B$7:$B$106,0)),IFERROR(INDEX(MUSTERILER!$B$7:$B$106,MATCH($E264&amp;"*",MUSTERILER!$C$7:$C$106,0)),"TANIMSIZ MÜŞTERİ"))))</f>
        <v/>
      </c>
      <c r="E264" s="109" t="n"/>
      <c r="F264" s="109" t="n"/>
      <c r="G264" s="108" t="n"/>
      <c r="H264" s="225" t="n"/>
      <c r="I264" s="225" t="n"/>
      <c r="J264" s="108" t="n"/>
      <c r="K264" s="108" t="n"/>
      <c r="L264" s="109" t="n"/>
      <c r="M264" s="109" t="n"/>
      <c r="N264" s="109" t="n"/>
      <c r="O264" s="225" t="n"/>
      <c r="P264" s="232">
        <f>IF(OR($E264="",$I264=""),"",IF(OR($J264="Tamamlandı",$J264="İptal"),"",$I264-TODAY()))</f>
        <v/>
      </c>
      <c r="Q264" s="113">
        <f>IF($E264="","",IF($D264="TANIMSIZ MÜŞTERİ","HATA",IF(OR($J264="Tamamlandı",$J264="İptal"),"KAPALI",IF(AND($C264="Görüşme",$N264=""),"SONRAKİ İŞLEM EKSİK",IF($I264="","TARİH EKSİK",IF($I264&lt;TODAY(),"GECİKMİŞ",IF($I264=TODAY(),"BUGÜN",IF($I264&lt;=TODAY()+7,"7 GÜN İÇİNDE","PLANLI"))))))))</f>
        <v/>
      </c>
      <c r="R264" s="6" t="n"/>
      <c r="S264" s="6" t="n"/>
    </row>
    <row r="265">
      <c r="A265" s="6" t="n"/>
      <c r="B265" s="113">
        <f>IF($E265="","","A"&amp;TEXT(ROW()-6,"00000"))</f>
        <v/>
      </c>
      <c r="C265" s="108" t="n"/>
      <c r="D265" s="113">
        <f>IF($E265="","",IFERROR(INDEX(MUSTERILER!$B$7:$B$106,MATCH($E265,MUSTERILER!$C$7:$C$106,0)),IFERROR(INDEX(MUSTERILER!$B$7:$B$106,MATCH($E265,MUSTERILER!$B$7:$B$106,0)),IFERROR(INDEX(MUSTERILER!$B$7:$B$106,MATCH($E265&amp;"*",MUSTERILER!$C$7:$C$106,0)),"TANIMSIZ MÜŞTERİ"))))</f>
        <v/>
      </c>
      <c r="E265" s="109" t="n"/>
      <c r="F265" s="109" t="n"/>
      <c r="G265" s="108" t="n"/>
      <c r="H265" s="225" t="n"/>
      <c r="I265" s="225" t="n"/>
      <c r="J265" s="108" t="n"/>
      <c r="K265" s="108" t="n"/>
      <c r="L265" s="109" t="n"/>
      <c r="M265" s="109" t="n"/>
      <c r="N265" s="109" t="n"/>
      <c r="O265" s="225" t="n"/>
      <c r="P265" s="232">
        <f>IF(OR($E265="",$I265=""),"",IF(OR($J265="Tamamlandı",$J265="İptal"),"",$I265-TODAY()))</f>
        <v/>
      </c>
      <c r="Q265" s="113">
        <f>IF($E265="","",IF($D265="TANIMSIZ MÜŞTERİ","HATA",IF(OR($J265="Tamamlandı",$J265="İptal"),"KAPALI",IF(AND($C265="Görüşme",$N265=""),"SONRAKİ İŞLEM EKSİK",IF($I265="","TARİH EKSİK",IF($I265&lt;TODAY(),"GECİKMİŞ",IF($I265=TODAY(),"BUGÜN",IF($I265&lt;=TODAY()+7,"7 GÜN İÇİNDE","PLANLI"))))))))</f>
        <v/>
      </c>
      <c r="R265" s="6" t="n"/>
      <c r="S265" s="6" t="n"/>
    </row>
    <row r="266">
      <c r="A266" s="6" t="n"/>
      <c r="B266" s="113">
        <f>IF($E266="","","A"&amp;TEXT(ROW()-6,"00000"))</f>
        <v/>
      </c>
      <c r="C266" s="108" t="n"/>
      <c r="D266" s="113">
        <f>IF($E266="","",IFERROR(INDEX(MUSTERILER!$B$7:$B$106,MATCH($E266,MUSTERILER!$C$7:$C$106,0)),IFERROR(INDEX(MUSTERILER!$B$7:$B$106,MATCH($E266,MUSTERILER!$B$7:$B$106,0)),IFERROR(INDEX(MUSTERILER!$B$7:$B$106,MATCH($E266&amp;"*",MUSTERILER!$C$7:$C$106,0)),"TANIMSIZ MÜŞTERİ"))))</f>
        <v/>
      </c>
      <c r="E266" s="109" t="n"/>
      <c r="F266" s="109" t="n"/>
      <c r="G266" s="108" t="n"/>
      <c r="H266" s="225" t="n"/>
      <c r="I266" s="225" t="n"/>
      <c r="J266" s="108" t="n"/>
      <c r="K266" s="108" t="n"/>
      <c r="L266" s="109" t="n"/>
      <c r="M266" s="109" t="n"/>
      <c r="N266" s="109" t="n"/>
      <c r="O266" s="225" t="n"/>
      <c r="P266" s="232">
        <f>IF(OR($E266="",$I266=""),"",IF(OR($J266="Tamamlandı",$J266="İptal"),"",$I266-TODAY()))</f>
        <v/>
      </c>
      <c r="Q266" s="113">
        <f>IF($E266="","",IF($D266="TANIMSIZ MÜŞTERİ","HATA",IF(OR($J266="Tamamlandı",$J266="İptal"),"KAPALI",IF(AND($C266="Görüşme",$N266=""),"SONRAKİ İŞLEM EKSİK",IF($I266="","TARİH EKSİK",IF($I266&lt;TODAY(),"GECİKMİŞ",IF($I266=TODAY(),"BUGÜN",IF($I266&lt;=TODAY()+7,"7 GÜN İÇİNDE","PLANLI"))))))))</f>
        <v/>
      </c>
      <c r="R266" s="6" t="n"/>
      <c r="S266" s="6" t="n"/>
    </row>
    <row r="267">
      <c r="A267" s="6" t="n"/>
      <c r="B267" s="113">
        <f>IF($E267="","","A"&amp;TEXT(ROW()-6,"00000"))</f>
        <v/>
      </c>
      <c r="C267" s="108" t="n"/>
      <c r="D267" s="113">
        <f>IF($E267="","",IFERROR(INDEX(MUSTERILER!$B$7:$B$106,MATCH($E267,MUSTERILER!$C$7:$C$106,0)),IFERROR(INDEX(MUSTERILER!$B$7:$B$106,MATCH($E267,MUSTERILER!$B$7:$B$106,0)),IFERROR(INDEX(MUSTERILER!$B$7:$B$106,MATCH($E267&amp;"*",MUSTERILER!$C$7:$C$106,0)),"TANIMSIZ MÜŞTERİ"))))</f>
        <v/>
      </c>
      <c r="E267" s="109" t="n"/>
      <c r="F267" s="109" t="n"/>
      <c r="G267" s="108" t="n"/>
      <c r="H267" s="225" t="n"/>
      <c r="I267" s="225" t="n"/>
      <c r="J267" s="108" t="n"/>
      <c r="K267" s="108" t="n"/>
      <c r="L267" s="109" t="n"/>
      <c r="M267" s="109" t="n"/>
      <c r="N267" s="109" t="n"/>
      <c r="O267" s="225" t="n"/>
      <c r="P267" s="232">
        <f>IF(OR($E267="",$I267=""),"",IF(OR($J267="Tamamlandı",$J267="İptal"),"",$I267-TODAY()))</f>
        <v/>
      </c>
      <c r="Q267" s="113">
        <f>IF($E267="","",IF($D267="TANIMSIZ MÜŞTERİ","HATA",IF(OR($J267="Tamamlandı",$J267="İptal"),"KAPALI",IF(AND($C267="Görüşme",$N267=""),"SONRAKİ İŞLEM EKSİK",IF($I267="","TARİH EKSİK",IF($I267&lt;TODAY(),"GECİKMİŞ",IF($I267=TODAY(),"BUGÜN",IF($I267&lt;=TODAY()+7,"7 GÜN İÇİNDE","PLANLI"))))))))</f>
        <v/>
      </c>
      <c r="R267" s="6" t="n"/>
      <c r="S267" s="6" t="n"/>
    </row>
    <row r="268">
      <c r="A268" s="6" t="n"/>
      <c r="B268" s="113">
        <f>IF($E268="","","A"&amp;TEXT(ROW()-6,"00000"))</f>
        <v/>
      </c>
      <c r="C268" s="108" t="n"/>
      <c r="D268" s="113">
        <f>IF($E268="","",IFERROR(INDEX(MUSTERILER!$B$7:$B$106,MATCH($E268,MUSTERILER!$C$7:$C$106,0)),IFERROR(INDEX(MUSTERILER!$B$7:$B$106,MATCH($E268,MUSTERILER!$B$7:$B$106,0)),IFERROR(INDEX(MUSTERILER!$B$7:$B$106,MATCH($E268&amp;"*",MUSTERILER!$C$7:$C$106,0)),"TANIMSIZ MÜŞTERİ"))))</f>
        <v/>
      </c>
      <c r="E268" s="109" t="n"/>
      <c r="F268" s="109" t="n"/>
      <c r="G268" s="108" t="n"/>
      <c r="H268" s="225" t="n"/>
      <c r="I268" s="225" t="n"/>
      <c r="J268" s="108" t="n"/>
      <c r="K268" s="108" t="n"/>
      <c r="L268" s="109" t="n"/>
      <c r="M268" s="109" t="n"/>
      <c r="N268" s="109" t="n"/>
      <c r="O268" s="225" t="n"/>
      <c r="P268" s="232">
        <f>IF(OR($E268="",$I268=""),"",IF(OR($J268="Tamamlandı",$J268="İptal"),"",$I268-TODAY()))</f>
        <v/>
      </c>
      <c r="Q268" s="113">
        <f>IF($E268="","",IF($D268="TANIMSIZ MÜŞTERİ","HATA",IF(OR($J268="Tamamlandı",$J268="İptal"),"KAPALI",IF(AND($C268="Görüşme",$N268=""),"SONRAKİ İŞLEM EKSİK",IF($I268="","TARİH EKSİK",IF($I268&lt;TODAY(),"GECİKMİŞ",IF($I268=TODAY(),"BUGÜN",IF($I268&lt;=TODAY()+7,"7 GÜN İÇİNDE","PLANLI"))))))))</f>
        <v/>
      </c>
      <c r="R268" s="6" t="n"/>
      <c r="S268" s="6" t="n"/>
    </row>
    <row r="269">
      <c r="A269" s="6" t="n"/>
      <c r="B269" s="113">
        <f>IF($E269="","","A"&amp;TEXT(ROW()-6,"00000"))</f>
        <v/>
      </c>
      <c r="C269" s="108" t="n"/>
      <c r="D269" s="113">
        <f>IF($E269="","",IFERROR(INDEX(MUSTERILER!$B$7:$B$106,MATCH($E269,MUSTERILER!$C$7:$C$106,0)),IFERROR(INDEX(MUSTERILER!$B$7:$B$106,MATCH($E269,MUSTERILER!$B$7:$B$106,0)),IFERROR(INDEX(MUSTERILER!$B$7:$B$106,MATCH($E269&amp;"*",MUSTERILER!$C$7:$C$106,0)),"TANIMSIZ MÜŞTERİ"))))</f>
        <v/>
      </c>
      <c r="E269" s="109" t="n"/>
      <c r="F269" s="109" t="n"/>
      <c r="G269" s="108" t="n"/>
      <c r="H269" s="225" t="n"/>
      <c r="I269" s="225" t="n"/>
      <c r="J269" s="108" t="n"/>
      <c r="K269" s="108" t="n"/>
      <c r="L269" s="109" t="n"/>
      <c r="M269" s="109" t="n"/>
      <c r="N269" s="109" t="n"/>
      <c r="O269" s="225" t="n"/>
      <c r="P269" s="232">
        <f>IF(OR($E269="",$I269=""),"",IF(OR($J269="Tamamlandı",$J269="İptal"),"",$I269-TODAY()))</f>
        <v/>
      </c>
      <c r="Q269" s="113">
        <f>IF($E269="","",IF($D269="TANIMSIZ MÜŞTERİ","HATA",IF(OR($J269="Tamamlandı",$J269="İptal"),"KAPALI",IF(AND($C269="Görüşme",$N269=""),"SONRAKİ İŞLEM EKSİK",IF($I269="","TARİH EKSİK",IF($I269&lt;TODAY(),"GECİKMİŞ",IF($I269=TODAY(),"BUGÜN",IF($I269&lt;=TODAY()+7,"7 GÜN İÇİNDE","PLANLI"))))))))</f>
        <v/>
      </c>
      <c r="R269" s="6" t="n"/>
      <c r="S269" s="6" t="n"/>
    </row>
    <row r="270">
      <c r="A270" s="6" t="n"/>
      <c r="B270" s="113">
        <f>IF($E270="","","A"&amp;TEXT(ROW()-6,"00000"))</f>
        <v/>
      </c>
      <c r="C270" s="108" t="n"/>
      <c r="D270" s="113">
        <f>IF($E270="","",IFERROR(INDEX(MUSTERILER!$B$7:$B$106,MATCH($E270,MUSTERILER!$C$7:$C$106,0)),IFERROR(INDEX(MUSTERILER!$B$7:$B$106,MATCH($E270,MUSTERILER!$B$7:$B$106,0)),IFERROR(INDEX(MUSTERILER!$B$7:$B$106,MATCH($E270&amp;"*",MUSTERILER!$C$7:$C$106,0)),"TANIMSIZ MÜŞTERİ"))))</f>
        <v/>
      </c>
      <c r="E270" s="109" t="n"/>
      <c r="F270" s="109" t="n"/>
      <c r="G270" s="108" t="n"/>
      <c r="H270" s="225" t="n"/>
      <c r="I270" s="225" t="n"/>
      <c r="J270" s="108" t="n"/>
      <c r="K270" s="108" t="n"/>
      <c r="L270" s="109" t="n"/>
      <c r="M270" s="109" t="n"/>
      <c r="N270" s="109" t="n"/>
      <c r="O270" s="225" t="n"/>
      <c r="P270" s="232">
        <f>IF(OR($E270="",$I270=""),"",IF(OR($J270="Tamamlandı",$J270="İptal"),"",$I270-TODAY()))</f>
        <v/>
      </c>
      <c r="Q270" s="113">
        <f>IF($E270="","",IF($D270="TANIMSIZ MÜŞTERİ","HATA",IF(OR($J270="Tamamlandı",$J270="İptal"),"KAPALI",IF(AND($C270="Görüşme",$N270=""),"SONRAKİ İŞLEM EKSİK",IF($I270="","TARİH EKSİK",IF($I270&lt;TODAY(),"GECİKMİŞ",IF($I270=TODAY(),"BUGÜN",IF($I270&lt;=TODAY()+7,"7 GÜN İÇİNDE","PLANLI"))))))))</f>
        <v/>
      </c>
      <c r="R270" s="6" t="n"/>
      <c r="S270" s="6" t="n"/>
    </row>
    <row r="271">
      <c r="A271" s="6" t="n"/>
      <c r="B271" s="113">
        <f>IF($E271="","","A"&amp;TEXT(ROW()-6,"00000"))</f>
        <v/>
      </c>
      <c r="C271" s="108" t="n"/>
      <c r="D271" s="113">
        <f>IF($E271="","",IFERROR(INDEX(MUSTERILER!$B$7:$B$106,MATCH($E271,MUSTERILER!$C$7:$C$106,0)),IFERROR(INDEX(MUSTERILER!$B$7:$B$106,MATCH($E271,MUSTERILER!$B$7:$B$106,0)),IFERROR(INDEX(MUSTERILER!$B$7:$B$106,MATCH($E271&amp;"*",MUSTERILER!$C$7:$C$106,0)),"TANIMSIZ MÜŞTERİ"))))</f>
        <v/>
      </c>
      <c r="E271" s="109" t="n"/>
      <c r="F271" s="109" t="n"/>
      <c r="G271" s="108" t="n"/>
      <c r="H271" s="225" t="n"/>
      <c r="I271" s="225" t="n"/>
      <c r="J271" s="108" t="n"/>
      <c r="K271" s="108" t="n"/>
      <c r="L271" s="109" t="n"/>
      <c r="M271" s="109" t="n"/>
      <c r="N271" s="109" t="n"/>
      <c r="O271" s="225" t="n"/>
      <c r="P271" s="232">
        <f>IF(OR($E271="",$I271=""),"",IF(OR($J271="Tamamlandı",$J271="İptal"),"",$I271-TODAY()))</f>
        <v/>
      </c>
      <c r="Q271" s="113">
        <f>IF($E271="","",IF($D271="TANIMSIZ MÜŞTERİ","HATA",IF(OR($J271="Tamamlandı",$J271="İptal"),"KAPALI",IF(AND($C271="Görüşme",$N271=""),"SONRAKİ İŞLEM EKSİK",IF($I271="","TARİH EKSİK",IF($I271&lt;TODAY(),"GECİKMİŞ",IF($I271=TODAY(),"BUGÜN",IF($I271&lt;=TODAY()+7,"7 GÜN İÇİNDE","PLANLI"))))))))</f>
        <v/>
      </c>
      <c r="R271" s="6" t="n"/>
      <c r="S271" s="6" t="n"/>
    </row>
    <row r="272">
      <c r="A272" s="6" t="n"/>
      <c r="B272" s="113">
        <f>IF($E272="","","A"&amp;TEXT(ROW()-6,"00000"))</f>
        <v/>
      </c>
      <c r="C272" s="108" t="n"/>
      <c r="D272" s="113">
        <f>IF($E272="","",IFERROR(INDEX(MUSTERILER!$B$7:$B$106,MATCH($E272,MUSTERILER!$C$7:$C$106,0)),IFERROR(INDEX(MUSTERILER!$B$7:$B$106,MATCH($E272,MUSTERILER!$B$7:$B$106,0)),IFERROR(INDEX(MUSTERILER!$B$7:$B$106,MATCH($E272&amp;"*",MUSTERILER!$C$7:$C$106,0)),"TANIMSIZ MÜŞTERİ"))))</f>
        <v/>
      </c>
      <c r="E272" s="109" t="n"/>
      <c r="F272" s="109" t="n"/>
      <c r="G272" s="108" t="n"/>
      <c r="H272" s="225" t="n"/>
      <c r="I272" s="225" t="n"/>
      <c r="J272" s="108" t="n"/>
      <c r="K272" s="108" t="n"/>
      <c r="L272" s="109" t="n"/>
      <c r="M272" s="109" t="n"/>
      <c r="N272" s="109" t="n"/>
      <c r="O272" s="225" t="n"/>
      <c r="P272" s="232">
        <f>IF(OR($E272="",$I272=""),"",IF(OR($J272="Tamamlandı",$J272="İptal"),"",$I272-TODAY()))</f>
        <v/>
      </c>
      <c r="Q272" s="113">
        <f>IF($E272="","",IF($D272="TANIMSIZ MÜŞTERİ","HATA",IF(OR($J272="Tamamlandı",$J272="İptal"),"KAPALI",IF(AND($C272="Görüşme",$N272=""),"SONRAKİ İŞLEM EKSİK",IF($I272="","TARİH EKSİK",IF($I272&lt;TODAY(),"GECİKMİŞ",IF($I272=TODAY(),"BUGÜN",IF($I272&lt;=TODAY()+7,"7 GÜN İÇİNDE","PLANLI"))))))))</f>
        <v/>
      </c>
      <c r="R272" s="6" t="n"/>
      <c r="S272" s="6" t="n"/>
    </row>
    <row r="273">
      <c r="A273" s="6" t="n"/>
      <c r="B273" s="113">
        <f>IF($E273="","","A"&amp;TEXT(ROW()-6,"00000"))</f>
        <v/>
      </c>
      <c r="C273" s="108" t="n"/>
      <c r="D273" s="113">
        <f>IF($E273="","",IFERROR(INDEX(MUSTERILER!$B$7:$B$106,MATCH($E273,MUSTERILER!$C$7:$C$106,0)),IFERROR(INDEX(MUSTERILER!$B$7:$B$106,MATCH($E273,MUSTERILER!$B$7:$B$106,0)),IFERROR(INDEX(MUSTERILER!$B$7:$B$106,MATCH($E273&amp;"*",MUSTERILER!$C$7:$C$106,0)),"TANIMSIZ MÜŞTERİ"))))</f>
        <v/>
      </c>
      <c r="E273" s="109" t="n"/>
      <c r="F273" s="109" t="n"/>
      <c r="G273" s="108" t="n"/>
      <c r="H273" s="225" t="n"/>
      <c r="I273" s="225" t="n"/>
      <c r="J273" s="108" t="n"/>
      <c r="K273" s="108" t="n"/>
      <c r="L273" s="109" t="n"/>
      <c r="M273" s="109" t="n"/>
      <c r="N273" s="109" t="n"/>
      <c r="O273" s="225" t="n"/>
      <c r="P273" s="232">
        <f>IF(OR($E273="",$I273=""),"",IF(OR($J273="Tamamlandı",$J273="İptal"),"",$I273-TODAY()))</f>
        <v/>
      </c>
      <c r="Q273" s="113">
        <f>IF($E273="","",IF($D273="TANIMSIZ MÜŞTERİ","HATA",IF(OR($J273="Tamamlandı",$J273="İptal"),"KAPALI",IF(AND($C273="Görüşme",$N273=""),"SONRAKİ İŞLEM EKSİK",IF($I273="","TARİH EKSİK",IF($I273&lt;TODAY(),"GECİKMİŞ",IF($I273=TODAY(),"BUGÜN",IF($I273&lt;=TODAY()+7,"7 GÜN İÇİNDE","PLANLI"))))))))</f>
        <v/>
      </c>
      <c r="R273" s="6" t="n"/>
      <c r="S273" s="6" t="n"/>
    </row>
    <row r="274">
      <c r="A274" s="6" t="n"/>
      <c r="B274" s="113">
        <f>IF($E274="","","A"&amp;TEXT(ROW()-6,"00000"))</f>
        <v/>
      </c>
      <c r="C274" s="108" t="n"/>
      <c r="D274" s="113">
        <f>IF($E274="","",IFERROR(INDEX(MUSTERILER!$B$7:$B$106,MATCH($E274,MUSTERILER!$C$7:$C$106,0)),IFERROR(INDEX(MUSTERILER!$B$7:$B$106,MATCH($E274,MUSTERILER!$B$7:$B$106,0)),IFERROR(INDEX(MUSTERILER!$B$7:$B$106,MATCH($E274&amp;"*",MUSTERILER!$C$7:$C$106,0)),"TANIMSIZ MÜŞTERİ"))))</f>
        <v/>
      </c>
      <c r="E274" s="109" t="n"/>
      <c r="F274" s="109" t="n"/>
      <c r="G274" s="108" t="n"/>
      <c r="H274" s="225" t="n"/>
      <c r="I274" s="225" t="n"/>
      <c r="J274" s="108" t="n"/>
      <c r="K274" s="108" t="n"/>
      <c r="L274" s="109" t="n"/>
      <c r="M274" s="109" t="n"/>
      <c r="N274" s="109" t="n"/>
      <c r="O274" s="225" t="n"/>
      <c r="P274" s="232">
        <f>IF(OR($E274="",$I274=""),"",IF(OR($J274="Tamamlandı",$J274="İptal"),"",$I274-TODAY()))</f>
        <v/>
      </c>
      <c r="Q274" s="113">
        <f>IF($E274="","",IF($D274="TANIMSIZ MÜŞTERİ","HATA",IF(OR($J274="Tamamlandı",$J274="İptal"),"KAPALI",IF(AND($C274="Görüşme",$N274=""),"SONRAKİ İŞLEM EKSİK",IF($I274="","TARİH EKSİK",IF($I274&lt;TODAY(),"GECİKMİŞ",IF($I274=TODAY(),"BUGÜN",IF($I274&lt;=TODAY()+7,"7 GÜN İÇİNDE","PLANLI"))))))))</f>
        <v/>
      </c>
      <c r="R274" s="6" t="n"/>
      <c r="S274" s="6" t="n"/>
    </row>
    <row r="275">
      <c r="A275" s="6" t="n"/>
      <c r="B275" s="113">
        <f>IF($E275="","","A"&amp;TEXT(ROW()-6,"00000"))</f>
        <v/>
      </c>
      <c r="C275" s="108" t="n"/>
      <c r="D275" s="113">
        <f>IF($E275="","",IFERROR(INDEX(MUSTERILER!$B$7:$B$106,MATCH($E275,MUSTERILER!$C$7:$C$106,0)),IFERROR(INDEX(MUSTERILER!$B$7:$B$106,MATCH($E275,MUSTERILER!$B$7:$B$106,0)),IFERROR(INDEX(MUSTERILER!$B$7:$B$106,MATCH($E275&amp;"*",MUSTERILER!$C$7:$C$106,0)),"TANIMSIZ MÜŞTERİ"))))</f>
        <v/>
      </c>
      <c r="E275" s="109" t="n"/>
      <c r="F275" s="109" t="n"/>
      <c r="G275" s="108" t="n"/>
      <c r="H275" s="225" t="n"/>
      <c r="I275" s="225" t="n"/>
      <c r="J275" s="108" t="n"/>
      <c r="K275" s="108" t="n"/>
      <c r="L275" s="109" t="n"/>
      <c r="M275" s="109" t="n"/>
      <c r="N275" s="109" t="n"/>
      <c r="O275" s="225" t="n"/>
      <c r="P275" s="232">
        <f>IF(OR($E275="",$I275=""),"",IF(OR($J275="Tamamlandı",$J275="İptal"),"",$I275-TODAY()))</f>
        <v/>
      </c>
      <c r="Q275" s="113">
        <f>IF($E275="","",IF($D275="TANIMSIZ MÜŞTERİ","HATA",IF(OR($J275="Tamamlandı",$J275="İptal"),"KAPALI",IF(AND($C275="Görüşme",$N275=""),"SONRAKİ İŞLEM EKSİK",IF($I275="","TARİH EKSİK",IF($I275&lt;TODAY(),"GECİKMİŞ",IF($I275=TODAY(),"BUGÜN",IF($I275&lt;=TODAY()+7,"7 GÜN İÇİNDE","PLANLI"))))))))</f>
        <v/>
      </c>
      <c r="R275" s="6" t="n"/>
      <c r="S275" s="6" t="n"/>
    </row>
    <row r="276">
      <c r="A276" s="6" t="n"/>
      <c r="B276" s="113">
        <f>IF($E276="","","A"&amp;TEXT(ROW()-6,"00000"))</f>
        <v/>
      </c>
      <c r="C276" s="108" t="n"/>
      <c r="D276" s="113">
        <f>IF($E276="","",IFERROR(INDEX(MUSTERILER!$B$7:$B$106,MATCH($E276,MUSTERILER!$C$7:$C$106,0)),IFERROR(INDEX(MUSTERILER!$B$7:$B$106,MATCH($E276,MUSTERILER!$B$7:$B$106,0)),IFERROR(INDEX(MUSTERILER!$B$7:$B$106,MATCH($E276&amp;"*",MUSTERILER!$C$7:$C$106,0)),"TANIMSIZ MÜŞTERİ"))))</f>
        <v/>
      </c>
      <c r="E276" s="109" t="n"/>
      <c r="F276" s="109" t="n"/>
      <c r="G276" s="108" t="n"/>
      <c r="H276" s="225" t="n"/>
      <c r="I276" s="225" t="n"/>
      <c r="J276" s="108" t="n"/>
      <c r="K276" s="108" t="n"/>
      <c r="L276" s="109" t="n"/>
      <c r="M276" s="109" t="n"/>
      <c r="N276" s="109" t="n"/>
      <c r="O276" s="225" t="n"/>
      <c r="P276" s="232">
        <f>IF(OR($E276="",$I276=""),"",IF(OR($J276="Tamamlandı",$J276="İptal"),"",$I276-TODAY()))</f>
        <v/>
      </c>
      <c r="Q276" s="113">
        <f>IF($E276="","",IF($D276="TANIMSIZ MÜŞTERİ","HATA",IF(OR($J276="Tamamlandı",$J276="İptal"),"KAPALI",IF(AND($C276="Görüşme",$N276=""),"SONRAKİ İŞLEM EKSİK",IF($I276="","TARİH EKSİK",IF($I276&lt;TODAY(),"GECİKMİŞ",IF($I276=TODAY(),"BUGÜN",IF($I276&lt;=TODAY()+7,"7 GÜN İÇİNDE","PLANLI"))))))))</f>
        <v/>
      </c>
      <c r="R276" s="6" t="n"/>
      <c r="S276" s="6" t="n"/>
    </row>
    <row r="277">
      <c r="A277" s="6" t="n"/>
      <c r="B277" s="113">
        <f>IF($E277="","","A"&amp;TEXT(ROW()-6,"00000"))</f>
        <v/>
      </c>
      <c r="C277" s="108" t="n"/>
      <c r="D277" s="113">
        <f>IF($E277="","",IFERROR(INDEX(MUSTERILER!$B$7:$B$106,MATCH($E277,MUSTERILER!$C$7:$C$106,0)),IFERROR(INDEX(MUSTERILER!$B$7:$B$106,MATCH($E277,MUSTERILER!$B$7:$B$106,0)),IFERROR(INDEX(MUSTERILER!$B$7:$B$106,MATCH($E277&amp;"*",MUSTERILER!$C$7:$C$106,0)),"TANIMSIZ MÜŞTERİ"))))</f>
        <v/>
      </c>
      <c r="E277" s="109" t="n"/>
      <c r="F277" s="109" t="n"/>
      <c r="G277" s="108" t="n"/>
      <c r="H277" s="225" t="n"/>
      <c r="I277" s="225" t="n"/>
      <c r="J277" s="108" t="n"/>
      <c r="K277" s="108" t="n"/>
      <c r="L277" s="109" t="n"/>
      <c r="M277" s="109" t="n"/>
      <c r="N277" s="109" t="n"/>
      <c r="O277" s="225" t="n"/>
      <c r="P277" s="232">
        <f>IF(OR($E277="",$I277=""),"",IF(OR($J277="Tamamlandı",$J277="İptal"),"",$I277-TODAY()))</f>
        <v/>
      </c>
      <c r="Q277" s="113">
        <f>IF($E277="","",IF($D277="TANIMSIZ MÜŞTERİ","HATA",IF(OR($J277="Tamamlandı",$J277="İptal"),"KAPALI",IF(AND($C277="Görüşme",$N277=""),"SONRAKİ İŞLEM EKSİK",IF($I277="","TARİH EKSİK",IF($I277&lt;TODAY(),"GECİKMİŞ",IF($I277=TODAY(),"BUGÜN",IF($I277&lt;=TODAY()+7,"7 GÜN İÇİNDE","PLANLI"))))))))</f>
        <v/>
      </c>
      <c r="R277" s="6" t="n"/>
      <c r="S277" s="6" t="n"/>
    </row>
    <row r="278">
      <c r="A278" s="6" t="n"/>
      <c r="B278" s="113">
        <f>IF($E278="","","A"&amp;TEXT(ROW()-6,"00000"))</f>
        <v/>
      </c>
      <c r="C278" s="108" t="n"/>
      <c r="D278" s="113">
        <f>IF($E278="","",IFERROR(INDEX(MUSTERILER!$B$7:$B$106,MATCH($E278,MUSTERILER!$C$7:$C$106,0)),IFERROR(INDEX(MUSTERILER!$B$7:$B$106,MATCH($E278,MUSTERILER!$B$7:$B$106,0)),IFERROR(INDEX(MUSTERILER!$B$7:$B$106,MATCH($E278&amp;"*",MUSTERILER!$C$7:$C$106,0)),"TANIMSIZ MÜŞTERİ"))))</f>
        <v/>
      </c>
      <c r="E278" s="109" t="n"/>
      <c r="F278" s="109" t="n"/>
      <c r="G278" s="108" t="n"/>
      <c r="H278" s="225" t="n"/>
      <c r="I278" s="225" t="n"/>
      <c r="J278" s="108" t="n"/>
      <c r="K278" s="108" t="n"/>
      <c r="L278" s="109" t="n"/>
      <c r="M278" s="109" t="n"/>
      <c r="N278" s="109" t="n"/>
      <c r="O278" s="225" t="n"/>
      <c r="P278" s="232">
        <f>IF(OR($E278="",$I278=""),"",IF(OR($J278="Tamamlandı",$J278="İptal"),"",$I278-TODAY()))</f>
        <v/>
      </c>
      <c r="Q278" s="113">
        <f>IF($E278="","",IF($D278="TANIMSIZ MÜŞTERİ","HATA",IF(OR($J278="Tamamlandı",$J278="İptal"),"KAPALI",IF(AND($C278="Görüşme",$N278=""),"SONRAKİ İŞLEM EKSİK",IF($I278="","TARİH EKSİK",IF($I278&lt;TODAY(),"GECİKMİŞ",IF($I278=TODAY(),"BUGÜN",IF($I278&lt;=TODAY()+7,"7 GÜN İÇİNDE","PLANLI"))))))))</f>
        <v/>
      </c>
      <c r="R278" s="6" t="n"/>
      <c r="S278" s="6" t="n"/>
    </row>
    <row r="279">
      <c r="A279" s="6" t="n"/>
      <c r="B279" s="113">
        <f>IF($E279="","","A"&amp;TEXT(ROW()-6,"00000"))</f>
        <v/>
      </c>
      <c r="C279" s="108" t="n"/>
      <c r="D279" s="113">
        <f>IF($E279="","",IFERROR(INDEX(MUSTERILER!$B$7:$B$106,MATCH($E279,MUSTERILER!$C$7:$C$106,0)),IFERROR(INDEX(MUSTERILER!$B$7:$B$106,MATCH($E279,MUSTERILER!$B$7:$B$106,0)),IFERROR(INDEX(MUSTERILER!$B$7:$B$106,MATCH($E279&amp;"*",MUSTERILER!$C$7:$C$106,0)),"TANIMSIZ MÜŞTERİ"))))</f>
        <v/>
      </c>
      <c r="E279" s="109" t="n"/>
      <c r="F279" s="109" t="n"/>
      <c r="G279" s="108" t="n"/>
      <c r="H279" s="225" t="n"/>
      <c r="I279" s="225" t="n"/>
      <c r="J279" s="108" t="n"/>
      <c r="K279" s="108" t="n"/>
      <c r="L279" s="109" t="n"/>
      <c r="M279" s="109" t="n"/>
      <c r="N279" s="109" t="n"/>
      <c r="O279" s="225" t="n"/>
      <c r="P279" s="232">
        <f>IF(OR($E279="",$I279=""),"",IF(OR($J279="Tamamlandı",$J279="İptal"),"",$I279-TODAY()))</f>
        <v/>
      </c>
      <c r="Q279" s="113">
        <f>IF($E279="","",IF($D279="TANIMSIZ MÜŞTERİ","HATA",IF(OR($J279="Tamamlandı",$J279="İptal"),"KAPALI",IF(AND($C279="Görüşme",$N279=""),"SONRAKİ İŞLEM EKSİK",IF($I279="","TARİH EKSİK",IF($I279&lt;TODAY(),"GECİKMİŞ",IF($I279=TODAY(),"BUGÜN",IF($I279&lt;=TODAY()+7,"7 GÜN İÇİNDE","PLANLI"))))))))</f>
        <v/>
      </c>
      <c r="R279" s="6" t="n"/>
      <c r="S279" s="6" t="n"/>
    </row>
    <row r="280">
      <c r="A280" s="6" t="n"/>
      <c r="B280" s="113">
        <f>IF($E280="","","A"&amp;TEXT(ROW()-6,"00000"))</f>
        <v/>
      </c>
      <c r="C280" s="108" t="n"/>
      <c r="D280" s="113">
        <f>IF($E280="","",IFERROR(INDEX(MUSTERILER!$B$7:$B$106,MATCH($E280,MUSTERILER!$C$7:$C$106,0)),IFERROR(INDEX(MUSTERILER!$B$7:$B$106,MATCH($E280,MUSTERILER!$B$7:$B$106,0)),IFERROR(INDEX(MUSTERILER!$B$7:$B$106,MATCH($E280&amp;"*",MUSTERILER!$C$7:$C$106,0)),"TANIMSIZ MÜŞTERİ"))))</f>
        <v/>
      </c>
      <c r="E280" s="109" t="n"/>
      <c r="F280" s="109" t="n"/>
      <c r="G280" s="108" t="n"/>
      <c r="H280" s="225" t="n"/>
      <c r="I280" s="225" t="n"/>
      <c r="J280" s="108" t="n"/>
      <c r="K280" s="108" t="n"/>
      <c r="L280" s="109" t="n"/>
      <c r="M280" s="109" t="n"/>
      <c r="N280" s="109" t="n"/>
      <c r="O280" s="225" t="n"/>
      <c r="P280" s="232">
        <f>IF(OR($E280="",$I280=""),"",IF(OR($J280="Tamamlandı",$J280="İptal"),"",$I280-TODAY()))</f>
        <v/>
      </c>
      <c r="Q280" s="113">
        <f>IF($E280="","",IF($D280="TANIMSIZ MÜŞTERİ","HATA",IF(OR($J280="Tamamlandı",$J280="İptal"),"KAPALI",IF(AND($C280="Görüşme",$N280=""),"SONRAKİ İŞLEM EKSİK",IF($I280="","TARİH EKSİK",IF($I280&lt;TODAY(),"GECİKMİŞ",IF($I280=TODAY(),"BUGÜN",IF($I280&lt;=TODAY()+7,"7 GÜN İÇİNDE","PLANLI"))))))))</f>
        <v/>
      </c>
      <c r="R280" s="6" t="n"/>
      <c r="S280" s="6" t="n"/>
    </row>
    <row r="281">
      <c r="A281" s="6" t="n"/>
      <c r="B281" s="113">
        <f>IF($E281="","","A"&amp;TEXT(ROW()-6,"00000"))</f>
        <v/>
      </c>
      <c r="C281" s="108" t="n"/>
      <c r="D281" s="113">
        <f>IF($E281="","",IFERROR(INDEX(MUSTERILER!$B$7:$B$106,MATCH($E281,MUSTERILER!$C$7:$C$106,0)),IFERROR(INDEX(MUSTERILER!$B$7:$B$106,MATCH($E281,MUSTERILER!$B$7:$B$106,0)),IFERROR(INDEX(MUSTERILER!$B$7:$B$106,MATCH($E281&amp;"*",MUSTERILER!$C$7:$C$106,0)),"TANIMSIZ MÜŞTERİ"))))</f>
        <v/>
      </c>
      <c r="E281" s="109" t="n"/>
      <c r="F281" s="109" t="n"/>
      <c r="G281" s="108" t="n"/>
      <c r="H281" s="225" t="n"/>
      <c r="I281" s="225" t="n"/>
      <c r="J281" s="108" t="n"/>
      <c r="K281" s="108" t="n"/>
      <c r="L281" s="109" t="n"/>
      <c r="M281" s="109" t="n"/>
      <c r="N281" s="109" t="n"/>
      <c r="O281" s="225" t="n"/>
      <c r="P281" s="232">
        <f>IF(OR($E281="",$I281=""),"",IF(OR($J281="Tamamlandı",$J281="İptal"),"",$I281-TODAY()))</f>
        <v/>
      </c>
      <c r="Q281" s="113">
        <f>IF($E281="","",IF($D281="TANIMSIZ MÜŞTERİ","HATA",IF(OR($J281="Tamamlandı",$J281="İptal"),"KAPALI",IF(AND($C281="Görüşme",$N281=""),"SONRAKİ İŞLEM EKSİK",IF($I281="","TARİH EKSİK",IF($I281&lt;TODAY(),"GECİKMİŞ",IF($I281=TODAY(),"BUGÜN",IF($I281&lt;=TODAY()+7,"7 GÜN İÇİNDE","PLANLI"))))))))</f>
        <v/>
      </c>
      <c r="R281" s="6" t="n"/>
      <c r="S281" s="6" t="n"/>
    </row>
    <row r="282">
      <c r="A282" s="6" t="n"/>
      <c r="B282" s="113">
        <f>IF($E282="","","A"&amp;TEXT(ROW()-6,"00000"))</f>
        <v/>
      </c>
      <c r="C282" s="108" t="n"/>
      <c r="D282" s="113">
        <f>IF($E282="","",IFERROR(INDEX(MUSTERILER!$B$7:$B$106,MATCH($E282,MUSTERILER!$C$7:$C$106,0)),IFERROR(INDEX(MUSTERILER!$B$7:$B$106,MATCH($E282,MUSTERILER!$B$7:$B$106,0)),IFERROR(INDEX(MUSTERILER!$B$7:$B$106,MATCH($E282&amp;"*",MUSTERILER!$C$7:$C$106,0)),"TANIMSIZ MÜŞTERİ"))))</f>
        <v/>
      </c>
      <c r="E282" s="109" t="n"/>
      <c r="F282" s="109" t="n"/>
      <c r="G282" s="108" t="n"/>
      <c r="H282" s="225" t="n"/>
      <c r="I282" s="225" t="n"/>
      <c r="J282" s="108" t="n"/>
      <c r="K282" s="108" t="n"/>
      <c r="L282" s="109" t="n"/>
      <c r="M282" s="109" t="n"/>
      <c r="N282" s="109" t="n"/>
      <c r="O282" s="225" t="n"/>
      <c r="P282" s="232">
        <f>IF(OR($E282="",$I282=""),"",IF(OR($J282="Tamamlandı",$J282="İptal"),"",$I282-TODAY()))</f>
        <v/>
      </c>
      <c r="Q282" s="113">
        <f>IF($E282="","",IF($D282="TANIMSIZ MÜŞTERİ","HATA",IF(OR($J282="Tamamlandı",$J282="İptal"),"KAPALI",IF(AND($C282="Görüşme",$N282=""),"SONRAKİ İŞLEM EKSİK",IF($I282="","TARİH EKSİK",IF($I282&lt;TODAY(),"GECİKMİŞ",IF($I282=TODAY(),"BUGÜN",IF($I282&lt;=TODAY()+7,"7 GÜN İÇİNDE","PLANLI"))))))))</f>
        <v/>
      </c>
      <c r="R282" s="6" t="n"/>
      <c r="S282" s="6" t="n"/>
    </row>
    <row r="283">
      <c r="A283" s="6" t="n"/>
      <c r="B283" s="113">
        <f>IF($E283="","","A"&amp;TEXT(ROW()-6,"00000"))</f>
        <v/>
      </c>
      <c r="C283" s="108" t="n"/>
      <c r="D283" s="113">
        <f>IF($E283="","",IFERROR(INDEX(MUSTERILER!$B$7:$B$106,MATCH($E283,MUSTERILER!$C$7:$C$106,0)),IFERROR(INDEX(MUSTERILER!$B$7:$B$106,MATCH($E283,MUSTERILER!$B$7:$B$106,0)),IFERROR(INDEX(MUSTERILER!$B$7:$B$106,MATCH($E283&amp;"*",MUSTERILER!$C$7:$C$106,0)),"TANIMSIZ MÜŞTERİ"))))</f>
        <v/>
      </c>
      <c r="E283" s="109" t="n"/>
      <c r="F283" s="109" t="n"/>
      <c r="G283" s="108" t="n"/>
      <c r="H283" s="225" t="n"/>
      <c r="I283" s="225" t="n"/>
      <c r="J283" s="108" t="n"/>
      <c r="K283" s="108" t="n"/>
      <c r="L283" s="109" t="n"/>
      <c r="M283" s="109" t="n"/>
      <c r="N283" s="109" t="n"/>
      <c r="O283" s="225" t="n"/>
      <c r="P283" s="232">
        <f>IF(OR($E283="",$I283=""),"",IF(OR($J283="Tamamlandı",$J283="İptal"),"",$I283-TODAY()))</f>
        <v/>
      </c>
      <c r="Q283" s="113">
        <f>IF($E283="","",IF($D283="TANIMSIZ MÜŞTERİ","HATA",IF(OR($J283="Tamamlandı",$J283="İptal"),"KAPALI",IF(AND($C283="Görüşme",$N283=""),"SONRAKİ İŞLEM EKSİK",IF($I283="","TARİH EKSİK",IF($I283&lt;TODAY(),"GECİKMİŞ",IF($I283=TODAY(),"BUGÜN",IF($I283&lt;=TODAY()+7,"7 GÜN İÇİNDE","PLANLI"))))))))</f>
        <v/>
      </c>
      <c r="R283" s="6" t="n"/>
      <c r="S283" s="6" t="n"/>
    </row>
    <row r="284">
      <c r="A284" s="6" t="n"/>
      <c r="B284" s="113">
        <f>IF($E284="","","A"&amp;TEXT(ROW()-6,"00000"))</f>
        <v/>
      </c>
      <c r="C284" s="108" t="n"/>
      <c r="D284" s="113">
        <f>IF($E284="","",IFERROR(INDEX(MUSTERILER!$B$7:$B$106,MATCH($E284,MUSTERILER!$C$7:$C$106,0)),IFERROR(INDEX(MUSTERILER!$B$7:$B$106,MATCH($E284,MUSTERILER!$B$7:$B$106,0)),IFERROR(INDEX(MUSTERILER!$B$7:$B$106,MATCH($E284&amp;"*",MUSTERILER!$C$7:$C$106,0)),"TANIMSIZ MÜŞTERİ"))))</f>
        <v/>
      </c>
      <c r="E284" s="109" t="n"/>
      <c r="F284" s="109" t="n"/>
      <c r="G284" s="108" t="n"/>
      <c r="H284" s="225" t="n"/>
      <c r="I284" s="225" t="n"/>
      <c r="J284" s="108" t="n"/>
      <c r="K284" s="108" t="n"/>
      <c r="L284" s="109" t="n"/>
      <c r="M284" s="109" t="n"/>
      <c r="N284" s="109" t="n"/>
      <c r="O284" s="225" t="n"/>
      <c r="P284" s="232">
        <f>IF(OR($E284="",$I284=""),"",IF(OR($J284="Tamamlandı",$J284="İptal"),"",$I284-TODAY()))</f>
        <v/>
      </c>
      <c r="Q284" s="113">
        <f>IF($E284="","",IF($D284="TANIMSIZ MÜŞTERİ","HATA",IF(OR($J284="Tamamlandı",$J284="İptal"),"KAPALI",IF(AND($C284="Görüşme",$N284=""),"SONRAKİ İŞLEM EKSİK",IF($I284="","TARİH EKSİK",IF($I284&lt;TODAY(),"GECİKMİŞ",IF($I284=TODAY(),"BUGÜN",IF($I284&lt;=TODAY()+7,"7 GÜN İÇİNDE","PLANLI"))))))))</f>
        <v/>
      </c>
      <c r="R284" s="6" t="n"/>
      <c r="S284" s="6" t="n"/>
    </row>
    <row r="285">
      <c r="A285" s="6" t="n"/>
      <c r="B285" s="113">
        <f>IF($E285="","","A"&amp;TEXT(ROW()-6,"00000"))</f>
        <v/>
      </c>
      <c r="C285" s="108" t="n"/>
      <c r="D285" s="113">
        <f>IF($E285="","",IFERROR(INDEX(MUSTERILER!$B$7:$B$106,MATCH($E285,MUSTERILER!$C$7:$C$106,0)),IFERROR(INDEX(MUSTERILER!$B$7:$B$106,MATCH($E285,MUSTERILER!$B$7:$B$106,0)),IFERROR(INDEX(MUSTERILER!$B$7:$B$106,MATCH($E285&amp;"*",MUSTERILER!$C$7:$C$106,0)),"TANIMSIZ MÜŞTERİ"))))</f>
        <v/>
      </c>
      <c r="E285" s="109" t="n"/>
      <c r="F285" s="109" t="n"/>
      <c r="G285" s="108" t="n"/>
      <c r="H285" s="225" t="n"/>
      <c r="I285" s="225" t="n"/>
      <c r="J285" s="108" t="n"/>
      <c r="K285" s="108" t="n"/>
      <c r="L285" s="109" t="n"/>
      <c r="M285" s="109" t="n"/>
      <c r="N285" s="109" t="n"/>
      <c r="O285" s="225" t="n"/>
      <c r="P285" s="232">
        <f>IF(OR($E285="",$I285=""),"",IF(OR($J285="Tamamlandı",$J285="İptal"),"",$I285-TODAY()))</f>
        <v/>
      </c>
      <c r="Q285" s="113">
        <f>IF($E285="","",IF($D285="TANIMSIZ MÜŞTERİ","HATA",IF(OR($J285="Tamamlandı",$J285="İptal"),"KAPALI",IF(AND($C285="Görüşme",$N285=""),"SONRAKİ İŞLEM EKSİK",IF($I285="","TARİH EKSİK",IF($I285&lt;TODAY(),"GECİKMİŞ",IF($I285=TODAY(),"BUGÜN",IF($I285&lt;=TODAY()+7,"7 GÜN İÇİNDE","PLANLI"))))))))</f>
        <v/>
      </c>
      <c r="R285" s="6" t="n"/>
      <c r="S285" s="6" t="n"/>
    </row>
    <row r="286">
      <c r="A286" s="6" t="n"/>
      <c r="B286" s="113">
        <f>IF($E286="","","A"&amp;TEXT(ROW()-6,"00000"))</f>
        <v/>
      </c>
      <c r="C286" s="108" t="n"/>
      <c r="D286" s="113">
        <f>IF($E286="","",IFERROR(INDEX(MUSTERILER!$B$7:$B$106,MATCH($E286,MUSTERILER!$C$7:$C$106,0)),IFERROR(INDEX(MUSTERILER!$B$7:$B$106,MATCH($E286,MUSTERILER!$B$7:$B$106,0)),IFERROR(INDEX(MUSTERILER!$B$7:$B$106,MATCH($E286&amp;"*",MUSTERILER!$C$7:$C$106,0)),"TANIMSIZ MÜŞTERİ"))))</f>
        <v/>
      </c>
      <c r="E286" s="109" t="n"/>
      <c r="F286" s="109" t="n"/>
      <c r="G286" s="108" t="n"/>
      <c r="H286" s="225" t="n"/>
      <c r="I286" s="225" t="n"/>
      <c r="J286" s="108" t="n"/>
      <c r="K286" s="108" t="n"/>
      <c r="L286" s="109" t="n"/>
      <c r="M286" s="109" t="n"/>
      <c r="N286" s="109" t="n"/>
      <c r="O286" s="225" t="n"/>
      <c r="P286" s="232">
        <f>IF(OR($E286="",$I286=""),"",IF(OR($J286="Tamamlandı",$J286="İptal"),"",$I286-TODAY()))</f>
        <v/>
      </c>
      <c r="Q286" s="113">
        <f>IF($E286="","",IF($D286="TANIMSIZ MÜŞTERİ","HATA",IF(OR($J286="Tamamlandı",$J286="İptal"),"KAPALI",IF(AND($C286="Görüşme",$N286=""),"SONRAKİ İŞLEM EKSİK",IF($I286="","TARİH EKSİK",IF($I286&lt;TODAY(),"GECİKMİŞ",IF($I286=TODAY(),"BUGÜN",IF($I286&lt;=TODAY()+7,"7 GÜN İÇİNDE","PLANLI"))))))))</f>
        <v/>
      </c>
      <c r="R286" s="6" t="n"/>
      <c r="S286" s="6" t="n"/>
    </row>
    <row r="287">
      <c r="A287" s="6" t="n"/>
      <c r="B287" s="113">
        <f>IF($E287="","","A"&amp;TEXT(ROW()-6,"00000"))</f>
        <v/>
      </c>
      <c r="C287" s="108" t="n"/>
      <c r="D287" s="113">
        <f>IF($E287="","",IFERROR(INDEX(MUSTERILER!$B$7:$B$106,MATCH($E287,MUSTERILER!$C$7:$C$106,0)),IFERROR(INDEX(MUSTERILER!$B$7:$B$106,MATCH($E287,MUSTERILER!$B$7:$B$106,0)),IFERROR(INDEX(MUSTERILER!$B$7:$B$106,MATCH($E287&amp;"*",MUSTERILER!$C$7:$C$106,0)),"TANIMSIZ MÜŞTERİ"))))</f>
        <v/>
      </c>
      <c r="E287" s="109" t="n"/>
      <c r="F287" s="109" t="n"/>
      <c r="G287" s="108" t="n"/>
      <c r="H287" s="225" t="n"/>
      <c r="I287" s="225" t="n"/>
      <c r="J287" s="108" t="n"/>
      <c r="K287" s="108" t="n"/>
      <c r="L287" s="109" t="n"/>
      <c r="M287" s="109" t="n"/>
      <c r="N287" s="109" t="n"/>
      <c r="O287" s="225" t="n"/>
      <c r="P287" s="232">
        <f>IF(OR($E287="",$I287=""),"",IF(OR($J287="Tamamlandı",$J287="İptal"),"",$I287-TODAY()))</f>
        <v/>
      </c>
      <c r="Q287" s="113">
        <f>IF($E287="","",IF($D287="TANIMSIZ MÜŞTERİ","HATA",IF(OR($J287="Tamamlandı",$J287="İptal"),"KAPALI",IF(AND($C287="Görüşme",$N287=""),"SONRAKİ İŞLEM EKSİK",IF($I287="","TARİH EKSİK",IF($I287&lt;TODAY(),"GECİKMİŞ",IF($I287=TODAY(),"BUGÜN",IF($I287&lt;=TODAY()+7,"7 GÜN İÇİNDE","PLANLI"))))))))</f>
        <v/>
      </c>
      <c r="R287" s="6" t="n"/>
      <c r="S287" s="6" t="n"/>
    </row>
    <row r="288">
      <c r="A288" s="6" t="n"/>
      <c r="B288" s="113">
        <f>IF($E288="","","A"&amp;TEXT(ROW()-6,"00000"))</f>
        <v/>
      </c>
      <c r="C288" s="108" t="n"/>
      <c r="D288" s="113">
        <f>IF($E288="","",IFERROR(INDEX(MUSTERILER!$B$7:$B$106,MATCH($E288,MUSTERILER!$C$7:$C$106,0)),IFERROR(INDEX(MUSTERILER!$B$7:$B$106,MATCH($E288,MUSTERILER!$B$7:$B$106,0)),IFERROR(INDEX(MUSTERILER!$B$7:$B$106,MATCH($E288&amp;"*",MUSTERILER!$C$7:$C$106,0)),"TANIMSIZ MÜŞTERİ"))))</f>
        <v/>
      </c>
      <c r="E288" s="109" t="n"/>
      <c r="F288" s="109" t="n"/>
      <c r="G288" s="108" t="n"/>
      <c r="H288" s="225" t="n"/>
      <c r="I288" s="225" t="n"/>
      <c r="J288" s="108" t="n"/>
      <c r="K288" s="108" t="n"/>
      <c r="L288" s="109" t="n"/>
      <c r="M288" s="109" t="n"/>
      <c r="N288" s="109" t="n"/>
      <c r="O288" s="225" t="n"/>
      <c r="P288" s="232">
        <f>IF(OR($E288="",$I288=""),"",IF(OR($J288="Tamamlandı",$J288="İptal"),"",$I288-TODAY()))</f>
        <v/>
      </c>
      <c r="Q288" s="113">
        <f>IF($E288="","",IF($D288="TANIMSIZ MÜŞTERİ","HATA",IF(OR($J288="Tamamlandı",$J288="İptal"),"KAPALI",IF(AND($C288="Görüşme",$N288=""),"SONRAKİ İŞLEM EKSİK",IF($I288="","TARİH EKSİK",IF($I288&lt;TODAY(),"GECİKMİŞ",IF($I288=TODAY(),"BUGÜN",IF($I288&lt;=TODAY()+7,"7 GÜN İÇİNDE","PLANLI"))))))))</f>
        <v/>
      </c>
      <c r="R288" s="6" t="n"/>
      <c r="S288" s="6" t="n"/>
    </row>
    <row r="289">
      <c r="A289" s="6" t="n"/>
      <c r="B289" s="113">
        <f>IF($E289="","","A"&amp;TEXT(ROW()-6,"00000"))</f>
        <v/>
      </c>
      <c r="C289" s="108" t="n"/>
      <c r="D289" s="113">
        <f>IF($E289="","",IFERROR(INDEX(MUSTERILER!$B$7:$B$106,MATCH($E289,MUSTERILER!$C$7:$C$106,0)),IFERROR(INDEX(MUSTERILER!$B$7:$B$106,MATCH($E289,MUSTERILER!$B$7:$B$106,0)),IFERROR(INDEX(MUSTERILER!$B$7:$B$106,MATCH($E289&amp;"*",MUSTERILER!$C$7:$C$106,0)),"TANIMSIZ MÜŞTERİ"))))</f>
        <v/>
      </c>
      <c r="E289" s="109" t="n"/>
      <c r="F289" s="109" t="n"/>
      <c r="G289" s="108" t="n"/>
      <c r="H289" s="225" t="n"/>
      <c r="I289" s="225" t="n"/>
      <c r="J289" s="108" t="n"/>
      <c r="K289" s="108" t="n"/>
      <c r="L289" s="109" t="n"/>
      <c r="M289" s="109" t="n"/>
      <c r="N289" s="109" t="n"/>
      <c r="O289" s="225" t="n"/>
      <c r="P289" s="232">
        <f>IF(OR($E289="",$I289=""),"",IF(OR($J289="Tamamlandı",$J289="İptal"),"",$I289-TODAY()))</f>
        <v/>
      </c>
      <c r="Q289" s="113">
        <f>IF($E289="","",IF($D289="TANIMSIZ MÜŞTERİ","HATA",IF(OR($J289="Tamamlandı",$J289="İptal"),"KAPALI",IF(AND($C289="Görüşme",$N289=""),"SONRAKİ İŞLEM EKSİK",IF($I289="","TARİH EKSİK",IF($I289&lt;TODAY(),"GECİKMİŞ",IF($I289=TODAY(),"BUGÜN",IF($I289&lt;=TODAY()+7,"7 GÜN İÇİNDE","PLANLI"))))))))</f>
        <v/>
      </c>
      <c r="R289" s="6" t="n"/>
      <c r="S289" s="6" t="n"/>
    </row>
    <row r="290">
      <c r="A290" s="6" t="n"/>
      <c r="B290" s="113">
        <f>IF($E290="","","A"&amp;TEXT(ROW()-6,"00000"))</f>
        <v/>
      </c>
      <c r="C290" s="108" t="n"/>
      <c r="D290" s="113">
        <f>IF($E290="","",IFERROR(INDEX(MUSTERILER!$B$7:$B$106,MATCH($E290,MUSTERILER!$C$7:$C$106,0)),IFERROR(INDEX(MUSTERILER!$B$7:$B$106,MATCH($E290,MUSTERILER!$B$7:$B$106,0)),IFERROR(INDEX(MUSTERILER!$B$7:$B$106,MATCH($E290&amp;"*",MUSTERILER!$C$7:$C$106,0)),"TANIMSIZ MÜŞTERİ"))))</f>
        <v/>
      </c>
      <c r="E290" s="109" t="n"/>
      <c r="F290" s="109" t="n"/>
      <c r="G290" s="108" t="n"/>
      <c r="H290" s="225" t="n"/>
      <c r="I290" s="225" t="n"/>
      <c r="J290" s="108" t="n"/>
      <c r="K290" s="108" t="n"/>
      <c r="L290" s="109" t="n"/>
      <c r="M290" s="109" t="n"/>
      <c r="N290" s="109" t="n"/>
      <c r="O290" s="225" t="n"/>
      <c r="P290" s="232">
        <f>IF(OR($E290="",$I290=""),"",IF(OR($J290="Tamamlandı",$J290="İptal"),"",$I290-TODAY()))</f>
        <v/>
      </c>
      <c r="Q290" s="113">
        <f>IF($E290="","",IF($D290="TANIMSIZ MÜŞTERİ","HATA",IF(OR($J290="Tamamlandı",$J290="İptal"),"KAPALI",IF(AND($C290="Görüşme",$N290=""),"SONRAKİ İŞLEM EKSİK",IF($I290="","TARİH EKSİK",IF($I290&lt;TODAY(),"GECİKMİŞ",IF($I290=TODAY(),"BUGÜN",IF($I290&lt;=TODAY()+7,"7 GÜN İÇİNDE","PLANLI"))))))))</f>
        <v/>
      </c>
      <c r="R290" s="6" t="n"/>
      <c r="S290" s="6" t="n"/>
    </row>
    <row r="291">
      <c r="A291" s="6" t="n"/>
      <c r="B291" s="113">
        <f>IF($E291="","","A"&amp;TEXT(ROW()-6,"00000"))</f>
        <v/>
      </c>
      <c r="C291" s="108" t="n"/>
      <c r="D291" s="113">
        <f>IF($E291="","",IFERROR(INDEX(MUSTERILER!$B$7:$B$106,MATCH($E291,MUSTERILER!$C$7:$C$106,0)),IFERROR(INDEX(MUSTERILER!$B$7:$B$106,MATCH($E291,MUSTERILER!$B$7:$B$106,0)),IFERROR(INDEX(MUSTERILER!$B$7:$B$106,MATCH($E291&amp;"*",MUSTERILER!$C$7:$C$106,0)),"TANIMSIZ MÜŞTERİ"))))</f>
        <v/>
      </c>
      <c r="E291" s="109" t="n"/>
      <c r="F291" s="109" t="n"/>
      <c r="G291" s="108" t="n"/>
      <c r="H291" s="225" t="n"/>
      <c r="I291" s="225" t="n"/>
      <c r="J291" s="108" t="n"/>
      <c r="K291" s="108" t="n"/>
      <c r="L291" s="109" t="n"/>
      <c r="M291" s="109" t="n"/>
      <c r="N291" s="109" t="n"/>
      <c r="O291" s="225" t="n"/>
      <c r="P291" s="232">
        <f>IF(OR($E291="",$I291=""),"",IF(OR($J291="Tamamlandı",$J291="İptal"),"",$I291-TODAY()))</f>
        <v/>
      </c>
      <c r="Q291" s="113">
        <f>IF($E291="","",IF($D291="TANIMSIZ MÜŞTERİ","HATA",IF(OR($J291="Tamamlandı",$J291="İptal"),"KAPALI",IF(AND($C291="Görüşme",$N291=""),"SONRAKİ İŞLEM EKSİK",IF($I291="","TARİH EKSİK",IF($I291&lt;TODAY(),"GECİKMİŞ",IF($I291=TODAY(),"BUGÜN",IF($I291&lt;=TODAY()+7,"7 GÜN İÇİNDE","PLANLI"))))))))</f>
        <v/>
      </c>
      <c r="R291" s="6" t="n"/>
      <c r="S291" s="6" t="n"/>
    </row>
    <row r="292">
      <c r="A292" s="6" t="n"/>
      <c r="B292" s="113">
        <f>IF($E292="","","A"&amp;TEXT(ROW()-6,"00000"))</f>
        <v/>
      </c>
      <c r="C292" s="108" t="n"/>
      <c r="D292" s="113">
        <f>IF($E292="","",IFERROR(INDEX(MUSTERILER!$B$7:$B$106,MATCH($E292,MUSTERILER!$C$7:$C$106,0)),IFERROR(INDEX(MUSTERILER!$B$7:$B$106,MATCH($E292,MUSTERILER!$B$7:$B$106,0)),IFERROR(INDEX(MUSTERILER!$B$7:$B$106,MATCH($E292&amp;"*",MUSTERILER!$C$7:$C$106,0)),"TANIMSIZ MÜŞTERİ"))))</f>
        <v/>
      </c>
      <c r="E292" s="109" t="n"/>
      <c r="F292" s="109" t="n"/>
      <c r="G292" s="108" t="n"/>
      <c r="H292" s="225" t="n"/>
      <c r="I292" s="225" t="n"/>
      <c r="J292" s="108" t="n"/>
      <c r="K292" s="108" t="n"/>
      <c r="L292" s="109" t="n"/>
      <c r="M292" s="109" t="n"/>
      <c r="N292" s="109" t="n"/>
      <c r="O292" s="225" t="n"/>
      <c r="P292" s="232">
        <f>IF(OR($E292="",$I292=""),"",IF(OR($J292="Tamamlandı",$J292="İptal"),"",$I292-TODAY()))</f>
        <v/>
      </c>
      <c r="Q292" s="113">
        <f>IF($E292="","",IF($D292="TANIMSIZ MÜŞTERİ","HATA",IF(OR($J292="Tamamlandı",$J292="İptal"),"KAPALI",IF(AND($C292="Görüşme",$N292=""),"SONRAKİ İŞLEM EKSİK",IF($I292="","TARİH EKSİK",IF($I292&lt;TODAY(),"GECİKMİŞ",IF($I292=TODAY(),"BUGÜN",IF($I292&lt;=TODAY()+7,"7 GÜN İÇİNDE","PLANLI"))))))))</f>
        <v/>
      </c>
      <c r="R292" s="6" t="n"/>
      <c r="S292" s="6" t="n"/>
    </row>
    <row r="293">
      <c r="A293" s="6" t="n"/>
      <c r="B293" s="113">
        <f>IF($E293="","","A"&amp;TEXT(ROW()-6,"00000"))</f>
        <v/>
      </c>
      <c r="C293" s="108" t="n"/>
      <c r="D293" s="113">
        <f>IF($E293="","",IFERROR(INDEX(MUSTERILER!$B$7:$B$106,MATCH($E293,MUSTERILER!$C$7:$C$106,0)),IFERROR(INDEX(MUSTERILER!$B$7:$B$106,MATCH($E293,MUSTERILER!$B$7:$B$106,0)),IFERROR(INDEX(MUSTERILER!$B$7:$B$106,MATCH($E293&amp;"*",MUSTERILER!$C$7:$C$106,0)),"TANIMSIZ MÜŞTERİ"))))</f>
        <v/>
      </c>
      <c r="E293" s="109" t="n"/>
      <c r="F293" s="109" t="n"/>
      <c r="G293" s="108" t="n"/>
      <c r="H293" s="225" t="n"/>
      <c r="I293" s="225" t="n"/>
      <c r="J293" s="108" t="n"/>
      <c r="K293" s="108" t="n"/>
      <c r="L293" s="109" t="n"/>
      <c r="M293" s="109" t="n"/>
      <c r="N293" s="109" t="n"/>
      <c r="O293" s="225" t="n"/>
      <c r="P293" s="232">
        <f>IF(OR($E293="",$I293=""),"",IF(OR($J293="Tamamlandı",$J293="İptal"),"",$I293-TODAY()))</f>
        <v/>
      </c>
      <c r="Q293" s="113">
        <f>IF($E293="","",IF($D293="TANIMSIZ MÜŞTERİ","HATA",IF(OR($J293="Tamamlandı",$J293="İptal"),"KAPALI",IF(AND($C293="Görüşme",$N293=""),"SONRAKİ İŞLEM EKSİK",IF($I293="","TARİH EKSİK",IF($I293&lt;TODAY(),"GECİKMİŞ",IF($I293=TODAY(),"BUGÜN",IF($I293&lt;=TODAY()+7,"7 GÜN İÇİNDE","PLANLI"))))))))</f>
        <v/>
      </c>
      <c r="R293" s="6" t="n"/>
      <c r="S293" s="6" t="n"/>
    </row>
    <row r="294">
      <c r="A294" s="6" t="n"/>
      <c r="B294" s="113">
        <f>IF($E294="","","A"&amp;TEXT(ROW()-6,"00000"))</f>
        <v/>
      </c>
      <c r="C294" s="108" t="n"/>
      <c r="D294" s="113">
        <f>IF($E294="","",IFERROR(INDEX(MUSTERILER!$B$7:$B$106,MATCH($E294,MUSTERILER!$C$7:$C$106,0)),IFERROR(INDEX(MUSTERILER!$B$7:$B$106,MATCH($E294,MUSTERILER!$B$7:$B$106,0)),IFERROR(INDEX(MUSTERILER!$B$7:$B$106,MATCH($E294&amp;"*",MUSTERILER!$C$7:$C$106,0)),"TANIMSIZ MÜŞTERİ"))))</f>
        <v/>
      </c>
      <c r="E294" s="109" t="n"/>
      <c r="F294" s="109" t="n"/>
      <c r="G294" s="108" t="n"/>
      <c r="H294" s="225" t="n"/>
      <c r="I294" s="225" t="n"/>
      <c r="J294" s="108" t="n"/>
      <c r="K294" s="108" t="n"/>
      <c r="L294" s="109" t="n"/>
      <c r="M294" s="109" t="n"/>
      <c r="N294" s="109" t="n"/>
      <c r="O294" s="225" t="n"/>
      <c r="P294" s="232">
        <f>IF(OR($E294="",$I294=""),"",IF(OR($J294="Tamamlandı",$J294="İptal"),"",$I294-TODAY()))</f>
        <v/>
      </c>
      <c r="Q294" s="113">
        <f>IF($E294="","",IF($D294="TANIMSIZ MÜŞTERİ","HATA",IF(OR($J294="Tamamlandı",$J294="İptal"),"KAPALI",IF(AND($C294="Görüşme",$N294=""),"SONRAKİ İŞLEM EKSİK",IF($I294="","TARİH EKSİK",IF($I294&lt;TODAY(),"GECİKMİŞ",IF($I294=TODAY(),"BUGÜN",IF($I294&lt;=TODAY()+7,"7 GÜN İÇİNDE","PLANLI"))))))))</f>
        <v/>
      </c>
      <c r="R294" s="6" t="n"/>
      <c r="S294" s="6" t="n"/>
    </row>
    <row r="295">
      <c r="A295" s="6" t="n"/>
      <c r="B295" s="113">
        <f>IF($E295="","","A"&amp;TEXT(ROW()-6,"00000"))</f>
        <v/>
      </c>
      <c r="C295" s="108" t="n"/>
      <c r="D295" s="113">
        <f>IF($E295="","",IFERROR(INDEX(MUSTERILER!$B$7:$B$106,MATCH($E295,MUSTERILER!$C$7:$C$106,0)),IFERROR(INDEX(MUSTERILER!$B$7:$B$106,MATCH($E295,MUSTERILER!$B$7:$B$106,0)),IFERROR(INDEX(MUSTERILER!$B$7:$B$106,MATCH($E295&amp;"*",MUSTERILER!$C$7:$C$106,0)),"TANIMSIZ MÜŞTERİ"))))</f>
        <v/>
      </c>
      <c r="E295" s="109" t="n"/>
      <c r="F295" s="109" t="n"/>
      <c r="G295" s="108" t="n"/>
      <c r="H295" s="225" t="n"/>
      <c r="I295" s="225" t="n"/>
      <c r="J295" s="108" t="n"/>
      <c r="K295" s="108" t="n"/>
      <c r="L295" s="109" t="n"/>
      <c r="M295" s="109" t="n"/>
      <c r="N295" s="109" t="n"/>
      <c r="O295" s="225" t="n"/>
      <c r="P295" s="232">
        <f>IF(OR($E295="",$I295=""),"",IF(OR($J295="Tamamlandı",$J295="İptal"),"",$I295-TODAY()))</f>
        <v/>
      </c>
      <c r="Q295" s="113">
        <f>IF($E295="","",IF($D295="TANIMSIZ MÜŞTERİ","HATA",IF(OR($J295="Tamamlandı",$J295="İptal"),"KAPALI",IF(AND($C295="Görüşme",$N295=""),"SONRAKİ İŞLEM EKSİK",IF($I295="","TARİH EKSİK",IF($I295&lt;TODAY(),"GECİKMİŞ",IF($I295=TODAY(),"BUGÜN",IF($I295&lt;=TODAY()+7,"7 GÜN İÇİNDE","PLANLI"))))))))</f>
        <v/>
      </c>
      <c r="R295" s="6" t="n"/>
      <c r="S295" s="6" t="n"/>
    </row>
    <row r="296">
      <c r="A296" s="6" t="n"/>
      <c r="B296" s="113">
        <f>IF($E296="","","A"&amp;TEXT(ROW()-6,"00000"))</f>
        <v/>
      </c>
      <c r="C296" s="108" t="n"/>
      <c r="D296" s="113">
        <f>IF($E296="","",IFERROR(INDEX(MUSTERILER!$B$7:$B$106,MATCH($E296,MUSTERILER!$C$7:$C$106,0)),IFERROR(INDEX(MUSTERILER!$B$7:$B$106,MATCH($E296,MUSTERILER!$B$7:$B$106,0)),IFERROR(INDEX(MUSTERILER!$B$7:$B$106,MATCH($E296&amp;"*",MUSTERILER!$C$7:$C$106,0)),"TANIMSIZ MÜŞTERİ"))))</f>
        <v/>
      </c>
      <c r="E296" s="109" t="n"/>
      <c r="F296" s="109" t="n"/>
      <c r="G296" s="108" t="n"/>
      <c r="H296" s="225" t="n"/>
      <c r="I296" s="225" t="n"/>
      <c r="J296" s="108" t="n"/>
      <c r="K296" s="108" t="n"/>
      <c r="L296" s="109" t="n"/>
      <c r="M296" s="109" t="n"/>
      <c r="N296" s="109" t="n"/>
      <c r="O296" s="225" t="n"/>
      <c r="P296" s="232">
        <f>IF(OR($E296="",$I296=""),"",IF(OR($J296="Tamamlandı",$J296="İptal"),"",$I296-TODAY()))</f>
        <v/>
      </c>
      <c r="Q296" s="113">
        <f>IF($E296="","",IF($D296="TANIMSIZ MÜŞTERİ","HATA",IF(OR($J296="Tamamlandı",$J296="İptal"),"KAPALI",IF(AND($C296="Görüşme",$N296=""),"SONRAKİ İŞLEM EKSİK",IF($I296="","TARİH EKSİK",IF($I296&lt;TODAY(),"GECİKMİŞ",IF($I296=TODAY(),"BUGÜN",IF($I296&lt;=TODAY()+7,"7 GÜN İÇİNDE","PLANLI"))))))))</f>
        <v/>
      </c>
      <c r="R296" s="6" t="n"/>
      <c r="S296" s="6" t="n"/>
    </row>
    <row r="297">
      <c r="A297" s="6" t="n"/>
      <c r="B297" s="113">
        <f>IF($E297="","","A"&amp;TEXT(ROW()-6,"00000"))</f>
        <v/>
      </c>
      <c r="C297" s="108" t="n"/>
      <c r="D297" s="113">
        <f>IF($E297="","",IFERROR(INDEX(MUSTERILER!$B$7:$B$106,MATCH($E297,MUSTERILER!$C$7:$C$106,0)),IFERROR(INDEX(MUSTERILER!$B$7:$B$106,MATCH($E297,MUSTERILER!$B$7:$B$106,0)),IFERROR(INDEX(MUSTERILER!$B$7:$B$106,MATCH($E297&amp;"*",MUSTERILER!$C$7:$C$106,0)),"TANIMSIZ MÜŞTERİ"))))</f>
        <v/>
      </c>
      <c r="E297" s="109" t="n"/>
      <c r="F297" s="109" t="n"/>
      <c r="G297" s="108" t="n"/>
      <c r="H297" s="225" t="n"/>
      <c r="I297" s="225" t="n"/>
      <c r="J297" s="108" t="n"/>
      <c r="K297" s="108" t="n"/>
      <c r="L297" s="109" t="n"/>
      <c r="M297" s="109" t="n"/>
      <c r="N297" s="109" t="n"/>
      <c r="O297" s="225" t="n"/>
      <c r="P297" s="232">
        <f>IF(OR($E297="",$I297=""),"",IF(OR($J297="Tamamlandı",$J297="İptal"),"",$I297-TODAY()))</f>
        <v/>
      </c>
      <c r="Q297" s="113">
        <f>IF($E297="","",IF($D297="TANIMSIZ MÜŞTERİ","HATA",IF(OR($J297="Tamamlandı",$J297="İptal"),"KAPALI",IF(AND($C297="Görüşme",$N297=""),"SONRAKİ İŞLEM EKSİK",IF($I297="","TARİH EKSİK",IF($I297&lt;TODAY(),"GECİKMİŞ",IF($I297=TODAY(),"BUGÜN",IF($I297&lt;=TODAY()+7,"7 GÜN İÇİNDE","PLANLI"))))))))</f>
        <v/>
      </c>
      <c r="R297" s="6" t="n"/>
      <c r="S297" s="6" t="n"/>
    </row>
    <row r="298">
      <c r="A298" s="6" t="n"/>
      <c r="B298" s="113">
        <f>IF($E298="","","A"&amp;TEXT(ROW()-6,"00000"))</f>
        <v/>
      </c>
      <c r="C298" s="108" t="n"/>
      <c r="D298" s="113">
        <f>IF($E298="","",IFERROR(INDEX(MUSTERILER!$B$7:$B$106,MATCH($E298,MUSTERILER!$C$7:$C$106,0)),IFERROR(INDEX(MUSTERILER!$B$7:$B$106,MATCH($E298,MUSTERILER!$B$7:$B$106,0)),IFERROR(INDEX(MUSTERILER!$B$7:$B$106,MATCH($E298&amp;"*",MUSTERILER!$C$7:$C$106,0)),"TANIMSIZ MÜŞTERİ"))))</f>
        <v/>
      </c>
      <c r="E298" s="109" t="n"/>
      <c r="F298" s="109" t="n"/>
      <c r="G298" s="108" t="n"/>
      <c r="H298" s="225" t="n"/>
      <c r="I298" s="225" t="n"/>
      <c r="J298" s="108" t="n"/>
      <c r="K298" s="108" t="n"/>
      <c r="L298" s="109" t="n"/>
      <c r="M298" s="109" t="n"/>
      <c r="N298" s="109" t="n"/>
      <c r="O298" s="225" t="n"/>
      <c r="P298" s="232">
        <f>IF(OR($E298="",$I298=""),"",IF(OR($J298="Tamamlandı",$J298="İptal"),"",$I298-TODAY()))</f>
        <v/>
      </c>
      <c r="Q298" s="113">
        <f>IF($E298="","",IF($D298="TANIMSIZ MÜŞTERİ","HATA",IF(OR($J298="Tamamlandı",$J298="İptal"),"KAPALI",IF(AND($C298="Görüşme",$N298=""),"SONRAKİ İŞLEM EKSİK",IF($I298="","TARİH EKSİK",IF($I298&lt;TODAY(),"GECİKMİŞ",IF($I298=TODAY(),"BUGÜN",IF($I298&lt;=TODAY()+7,"7 GÜN İÇİNDE","PLANLI"))))))))</f>
        <v/>
      </c>
      <c r="R298" s="6" t="n"/>
      <c r="S298" s="6" t="n"/>
    </row>
    <row r="299">
      <c r="A299" s="6" t="n"/>
      <c r="B299" s="113">
        <f>IF($E299="","","A"&amp;TEXT(ROW()-6,"00000"))</f>
        <v/>
      </c>
      <c r="C299" s="108" t="n"/>
      <c r="D299" s="113">
        <f>IF($E299="","",IFERROR(INDEX(MUSTERILER!$B$7:$B$106,MATCH($E299,MUSTERILER!$C$7:$C$106,0)),IFERROR(INDEX(MUSTERILER!$B$7:$B$106,MATCH($E299,MUSTERILER!$B$7:$B$106,0)),IFERROR(INDEX(MUSTERILER!$B$7:$B$106,MATCH($E299&amp;"*",MUSTERILER!$C$7:$C$106,0)),"TANIMSIZ MÜŞTERİ"))))</f>
        <v/>
      </c>
      <c r="E299" s="109" t="n"/>
      <c r="F299" s="109" t="n"/>
      <c r="G299" s="108" t="n"/>
      <c r="H299" s="225" t="n"/>
      <c r="I299" s="225" t="n"/>
      <c r="J299" s="108" t="n"/>
      <c r="K299" s="108" t="n"/>
      <c r="L299" s="109" t="n"/>
      <c r="M299" s="109" t="n"/>
      <c r="N299" s="109" t="n"/>
      <c r="O299" s="225" t="n"/>
      <c r="P299" s="232">
        <f>IF(OR($E299="",$I299=""),"",IF(OR($J299="Tamamlandı",$J299="İptal"),"",$I299-TODAY()))</f>
        <v/>
      </c>
      <c r="Q299" s="113">
        <f>IF($E299="","",IF($D299="TANIMSIZ MÜŞTERİ","HATA",IF(OR($J299="Tamamlandı",$J299="İptal"),"KAPALI",IF(AND($C299="Görüşme",$N299=""),"SONRAKİ İŞLEM EKSİK",IF($I299="","TARİH EKSİK",IF($I299&lt;TODAY(),"GECİKMİŞ",IF($I299=TODAY(),"BUGÜN",IF($I299&lt;=TODAY()+7,"7 GÜN İÇİNDE","PLANLI"))))))))</f>
        <v/>
      </c>
      <c r="R299" s="6" t="n"/>
      <c r="S299" s="6" t="n"/>
    </row>
    <row r="300">
      <c r="A300" s="6" t="n"/>
      <c r="B300" s="113">
        <f>IF($E300="","","A"&amp;TEXT(ROW()-6,"00000"))</f>
        <v/>
      </c>
      <c r="C300" s="108" t="n"/>
      <c r="D300" s="113">
        <f>IF($E300="","",IFERROR(INDEX(MUSTERILER!$B$7:$B$106,MATCH($E300,MUSTERILER!$C$7:$C$106,0)),IFERROR(INDEX(MUSTERILER!$B$7:$B$106,MATCH($E300,MUSTERILER!$B$7:$B$106,0)),IFERROR(INDEX(MUSTERILER!$B$7:$B$106,MATCH($E300&amp;"*",MUSTERILER!$C$7:$C$106,0)),"TANIMSIZ MÜŞTERİ"))))</f>
        <v/>
      </c>
      <c r="E300" s="109" t="n"/>
      <c r="F300" s="109" t="n"/>
      <c r="G300" s="108" t="n"/>
      <c r="H300" s="225" t="n"/>
      <c r="I300" s="225" t="n"/>
      <c r="J300" s="108" t="n"/>
      <c r="K300" s="108" t="n"/>
      <c r="L300" s="109" t="n"/>
      <c r="M300" s="109" t="n"/>
      <c r="N300" s="109" t="n"/>
      <c r="O300" s="225" t="n"/>
      <c r="P300" s="232">
        <f>IF(OR($E300="",$I300=""),"",IF(OR($J300="Tamamlandı",$J300="İptal"),"",$I300-TODAY()))</f>
        <v/>
      </c>
      <c r="Q300" s="113">
        <f>IF($E300="","",IF($D300="TANIMSIZ MÜŞTERİ","HATA",IF(OR($J300="Tamamlandı",$J300="İptal"),"KAPALI",IF(AND($C300="Görüşme",$N300=""),"SONRAKİ İŞLEM EKSİK",IF($I300="","TARİH EKSİK",IF($I300&lt;TODAY(),"GECİKMİŞ",IF($I300=TODAY(),"BUGÜN",IF($I300&lt;=TODAY()+7,"7 GÜN İÇİNDE","PLANLI"))))))))</f>
        <v/>
      </c>
      <c r="R300" s="6" t="n"/>
      <c r="S300" s="6" t="n"/>
    </row>
    <row r="301">
      <c r="A301" s="6" t="n"/>
      <c r="B301" s="113">
        <f>IF($E301="","","A"&amp;TEXT(ROW()-6,"00000"))</f>
        <v/>
      </c>
      <c r="C301" s="108" t="n"/>
      <c r="D301" s="113">
        <f>IF($E301="","",IFERROR(INDEX(MUSTERILER!$B$7:$B$106,MATCH($E301,MUSTERILER!$C$7:$C$106,0)),IFERROR(INDEX(MUSTERILER!$B$7:$B$106,MATCH($E301,MUSTERILER!$B$7:$B$106,0)),IFERROR(INDEX(MUSTERILER!$B$7:$B$106,MATCH($E301&amp;"*",MUSTERILER!$C$7:$C$106,0)),"TANIMSIZ MÜŞTERİ"))))</f>
        <v/>
      </c>
      <c r="E301" s="109" t="n"/>
      <c r="F301" s="109" t="n"/>
      <c r="G301" s="108" t="n"/>
      <c r="H301" s="225" t="n"/>
      <c r="I301" s="225" t="n"/>
      <c r="J301" s="108" t="n"/>
      <c r="K301" s="108" t="n"/>
      <c r="L301" s="109" t="n"/>
      <c r="M301" s="109" t="n"/>
      <c r="N301" s="109" t="n"/>
      <c r="O301" s="225" t="n"/>
      <c r="P301" s="232">
        <f>IF(OR($E301="",$I301=""),"",IF(OR($J301="Tamamlandı",$J301="İptal"),"",$I301-TODAY()))</f>
        <v/>
      </c>
      <c r="Q301" s="113">
        <f>IF($E301="","",IF($D301="TANIMSIZ MÜŞTERİ","HATA",IF(OR($J301="Tamamlandı",$J301="İptal"),"KAPALI",IF(AND($C301="Görüşme",$N301=""),"SONRAKİ İŞLEM EKSİK",IF($I301="","TARİH EKSİK",IF($I301&lt;TODAY(),"GECİKMİŞ",IF($I301=TODAY(),"BUGÜN",IF($I301&lt;=TODAY()+7,"7 GÜN İÇİNDE","PLANLI"))))))))</f>
        <v/>
      </c>
      <c r="R301" s="6" t="n"/>
      <c r="S301" s="6" t="n"/>
    </row>
    <row r="302">
      <c r="A302" s="6" t="n"/>
      <c r="B302" s="113">
        <f>IF($E302="","","A"&amp;TEXT(ROW()-6,"00000"))</f>
        <v/>
      </c>
      <c r="C302" s="108" t="n"/>
      <c r="D302" s="113">
        <f>IF($E302="","",IFERROR(INDEX(MUSTERILER!$B$7:$B$106,MATCH($E302,MUSTERILER!$C$7:$C$106,0)),IFERROR(INDEX(MUSTERILER!$B$7:$B$106,MATCH($E302,MUSTERILER!$B$7:$B$106,0)),IFERROR(INDEX(MUSTERILER!$B$7:$B$106,MATCH($E302&amp;"*",MUSTERILER!$C$7:$C$106,0)),"TANIMSIZ MÜŞTERİ"))))</f>
        <v/>
      </c>
      <c r="E302" s="109" t="n"/>
      <c r="F302" s="109" t="n"/>
      <c r="G302" s="108" t="n"/>
      <c r="H302" s="225" t="n"/>
      <c r="I302" s="225" t="n"/>
      <c r="J302" s="108" t="n"/>
      <c r="K302" s="108" t="n"/>
      <c r="L302" s="109" t="n"/>
      <c r="M302" s="109" t="n"/>
      <c r="N302" s="109" t="n"/>
      <c r="O302" s="225" t="n"/>
      <c r="P302" s="232">
        <f>IF(OR($E302="",$I302=""),"",IF(OR($J302="Tamamlandı",$J302="İptal"),"",$I302-TODAY()))</f>
        <v/>
      </c>
      <c r="Q302" s="113">
        <f>IF($E302="","",IF($D302="TANIMSIZ MÜŞTERİ","HATA",IF(OR($J302="Tamamlandı",$J302="İptal"),"KAPALI",IF(AND($C302="Görüşme",$N302=""),"SONRAKİ İŞLEM EKSİK",IF($I302="","TARİH EKSİK",IF($I302&lt;TODAY(),"GECİKMİŞ",IF($I302=TODAY(),"BUGÜN",IF($I302&lt;=TODAY()+7,"7 GÜN İÇİNDE","PLANLI"))))))))</f>
        <v/>
      </c>
      <c r="R302" s="6" t="n"/>
      <c r="S302" s="6" t="n"/>
    </row>
    <row r="303">
      <c r="A303" s="6" t="n"/>
      <c r="B303" s="113">
        <f>IF($E303="","","A"&amp;TEXT(ROW()-6,"00000"))</f>
        <v/>
      </c>
      <c r="C303" s="108" t="n"/>
      <c r="D303" s="113">
        <f>IF($E303="","",IFERROR(INDEX(MUSTERILER!$B$7:$B$106,MATCH($E303,MUSTERILER!$C$7:$C$106,0)),IFERROR(INDEX(MUSTERILER!$B$7:$B$106,MATCH($E303,MUSTERILER!$B$7:$B$106,0)),IFERROR(INDEX(MUSTERILER!$B$7:$B$106,MATCH($E303&amp;"*",MUSTERILER!$C$7:$C$106,0)),"TANIMSIZ MÜŞTERİ"))))</f>
        <v/>
      </c>
      <c r="E303" s="109" t="n"/>
      <c r="F303" s="109" t="n"/>
      <c r="G303" s="108" t="n"/>
      <c r="H303" s="225" t="n"/>
      <c r="I303" s="225" t="n"/>
      <c r="J303" s="108" t="n"/>
      <c r="K303" s="108" t="n"/>
      <c r="L303" s="109" t="n"/>
      <c r="M303" s="109" t="n"/>
      <c r="N303" s="109" t="n"/>
      <c r="O303" s="225" t="n"/>
      <c r="P303" s="232">
        <f>IF(OR($E303="",$I303=""),"",IF(OR($J303="Tamamlandı",$J303="İptal"),"",$I303-TODAY()))</f>
        <v/>
      </c>
      <c r="Q303" s="113">
        <f>IF($E303="","",IF($D303="TANIMSIZ MÜŞTERİ","HATA",IF(OR($J303="Tamamlandı",$J303="İptal"),"KAPALI",IF(AND($C303="Görüşme",$N303=""),"SONRAKİ İŞLEM EKSİK",IF($I303="","TARİH EKSİK",IF($I303&lt;TODAY(),"GECİKMİŞ",IF($I303=TODAY(),"BUGÜN",IF($I303&lt;=TODAY()+7,"7 GÜN İÇİNDE","PLANLI"))))))))</f>
        <v/>
      </c>
      <c r="R303" s="6" t="n"/>
      <c r="S303" s="6" t="n"/>
    </row>
    <row r="304">
      <c r="A304" s="6" t="n"/>
      <c r="B304" s="113">
        <f>IF($E304="","","A"&amp;TEXT(ROW()-6,"00000"))</f>
        <v/>
      </c>
      <c r="C304" s="108" t="n"/>
      <c r="D304" s="113">
        <f>IF($E304="","",IFERROR(INDEX(MUSTERILER!$B$7:$B$106,MATCH($E304,MUSTERILER!$C$7:$C$106,0)),IFERROR(INDEX(MUSTERILER!$B$7:$B$106,MATCH($E304,MUSTERILER!$B$7:$B$106,0)),IFERROR(INDEX(MUSTERILER!$B$7:$B$106,MATCH($E304&amp;"*",MUSTERILER!$C$7:$C$106,0)),"TANIMSIZ MÜŞTERİ"))))</f>
        <v/>
      </c>
      <c r="E304" s="109" t="n"/>
      <c r="F304" s="109" t="n"/>
      <c r="G304" s="108" t="n"/>
      <c r="H304" s="225" t="n"/>
      <c r="I304" s="225" t="n"/>
      <c r="J304" s="108" t="n"/>
      <c r="K304" s="108" t="n"/>
      <c r="L304" s="109" t="n"/>
      <c r="M304" s="109" t="n"/>
      <c r="N304" s="109" t="n"/>
      <c r="O304" s="225" t="n"/>
      <c r="P304" s="232">
        <f>IF(OR($E304="",$I304=""),"",IF(OR($J304="Tamamlandı",$J304="İptal"),"",$I304-TODAY()))</f>
        <v/>
      </c>
      <c r="Q304" s="113">
        <f>IF($E304="","",IF($D304="TANIMSIZ MÜŞTERİ","HATA",IF(OR($J304="Tamamlandı",$J304="İptal"),"KAPALI",IF(AND($C304="Görüşme",$N304=""),"SONRAKİ İŞLEM EKSİK",IF($I304="","TARİH EKSİK",IF($I304&lt;TODAY(),"GECİKMİŞ",IF($I304=TODAY(),"BUGÜN",IF($I304&lt;=TODAY()+7,"7 GÜN İÇİNDE","PLANLI"))))))))</f>
        <v/>
      </c>
      <c r="R304" s="6" t="n"/>
      <c r="S304" s="6" t="n"/>
    </row>
    <row r="305">
      <c r="A305" s="6" t="n"/>
      <c r="B305" s="113">
        <f>IF($E305="","","A"&amp;TEXT(ROW()-6,"00000"))</f>
        <v/>
      </c>
      <c r="C305" s="108" t="n"/>
      <c r="D305" s="113">
        <f>IF($E305="","",IFERROR(INDEX(MUSTERILER!$B$7:$B$106,MATCH($E305,MUSTERILER!$C$7:$C$106,0)),IFERROR(INDEX(MUSTERILER!$B$7:$B$106,MATCH($E305,MUSTERILER!$B$7:$B$106,0)),IFERROR(INDEX(MUSTERILER!$B$7:$B$106,MATCH($E305&amp;"*",MUSTERILER!$C$7:$C$106,0)),"TANIMSIZ MÜŞTERİ"))))</f>
        <v/>
      </c>
      <c r="E305" s="109" t="n"/>
      <c r="F305" s="109" t="n"/>
      <c r="G305" s="108" t="n"/>
      <c r="H305" s="225" t="n"/>
      <c r="I305" s="225" t="n"/>
      <c r="J305" s="108" t="n"/>
      <c r="K305" s="108" t="n"/>
      <c r="L305" s="109" t="n"/>
      <c r="M305" s="109" t="n"/>
      <c r="N305" s="109" t="n"/>
      <c r="O305" s="225" t="n"/>
      <c r="P305" s="232">
        <f>IF(OR($E305="",$I305=""),"",IF(OR($J305="Tamamlandı",$J305="İptal"),"",$I305-TODAY()))</f>
        <v/>
      </c>
      <c r="Q305" s="113">
        <f>IF($E305="","",IF($D305="TANIMSIZ MÜŞTERİ","HATA",IF(OR($J305="Tamamlandı",$J305="İptal"),"KAPALI",IF(AND($C305="Görüşme",$N305=""),"SONRAKİ İŞLEM EKSİK",IF($I305="","TARİH EKSİK",IF($I305&lt;TODAY(),"GECİKMİŞ",IF($I305=TODAY(),"BUGÜN",IF($I305&lt;=TODAY()+7,"7 GÜN İÇİNDE","PLANLI"))))))))</f>
        <v/>
      </c>
      <c r="R305" s="6" t="n"/>
      <c r="S305" s="6" t="n"/>
    </row>
    <row r="306">
      <c r="A306" s="6" t="n"/>
      <c r="B306" s="113">
        <f>IF($E306="","","A"&amp;TEXT(ROW()-6,"00000"))</f>
        <v/>
      </c>
      <c r="C306" s="108" t="n"/>
      <c r="D306" s="113">
        <f>IF($E306="","",IFERROR(INDEX(MUSTERILER!$B$7:$B$106,MATCH($E306,MUSTERILER!$C$7:$C$106,0)),IFERROR(INDEX(MUSTERILER!$B$7:$B$106,MATCH($E306,MUSTERILER!$B$7:$B$106,0)),IFERROR(INDEX(MUSTERILER!$B$7:$B$106,MATCH($E306&amp;"*",MUSTERILER!$C$7:$C$106,0)),"TANIMSIZ MÜŞTERİ"))))</f>
        <v/>
      </c>
      <c r="E306" s="109" t="n"/>
      <c r="F306" s="109" t="n"/>
      <c r="G306" s="108" t="n"/>
      <c r="H306" s="225" t="n"/>
      <c r="I306" s="225" t="n"/>
      <c r="J306" s="108" t="n"/>
      <c r="K306" s="108" t="n"/>
      <c r="L306" s="109" t="n"/>
      <c r="M306" s="109" t="n"/>
      <c r="N306" s="109" t="n"/>
      <c r="O306" s="225" t="n"/>
      <c r="P306" s="232">
        <f>IF(OR($E306="",$I306=""),"",IF(OR($J306="Tamamlandı",$J306="İptal"),"",$I306-TODAY()))</f>
        <v/>
      </c>
      <c r="Q306" s="113">
        <f>IF($E306="","",IF($D306="TANIMSIZ MÜŞTERİ","HATA",IF(OR($J306="Tamamlandı",$J306="İptal"),"KAPALI",IF(AND($C306="Görüşme",$N306=""),"SONRAKİ İŞLEM EKSİK",IF($I306="","TARİH EKSİK",IF($I306&lt;TODAY(),"GECİKMİŞ",IF($I306=TODAY(),"BUGÜN",IF($I306&lt;=TODAY()+7,"7 GÜN İÇİNDE","PLANLI"))))))))</f>
        <v/>
      </c>
      <c r="R306" s="6" t="n"/>
      <c r="S306" s="6" t="n"/>
    </row>
    <row r="307">
      <c r="A307" s="6" t="n"/>
      <c r="B307" s="113">
        <f>IF($E307="","","A"&amp;TEXT(ROW()-6,"00000"))</f>
        <v/>
      </c>
      <c r="C307" s="108" t="n"/>
      <c r="D307" s="113">
        <f>IF($E307="","",IFERROR(INDEX(MUSTERILER!$B$7:$B$106,MATCH($E307,MUSTERILER!$C$7:$C$106,0)),IFERROR(INDEX(MUSTERILER!$B$7:$B$106,MATCH($E307,MUSTERILER!$B$7:$B$106,0)),IFERROR(INDEX(MUSTERILER!$B$7:$B$106,MATCH($E307&amp;"*",MUSTERILER!$C$7:$C$106,0)),"TANIMSIZ MÜŞTERİ"))))</f>
        <v/>
      </c>
      <c r="E307" s="109" t="n"/>
      <c r="F307" s="109" t="n"/>
      <c r="G307" s="108" t="n"/>
      <c r="H307" s="225" t="n"/>
      <c r="I307" s="225" t="n"/>
      <c r="J307" s="108" t="n"/>
      <c r="K307" s="108" t="n"/>
      <c r="L307" s="109" t="n"/>
      <c r="M307" s="109" t="n"/>
      <c r="N307" s="109" t="n"/>
      <c r="O307" s="225" t="n"/>
      <c r="P307" s="232">
        <f>IF(OR($E307="",$I307=""),"",IF(OR($J307="Tamamlandı",$J307="İptal"),"",$I307-TODAY()))</f>
        <v/>
      </c>
      <c r="Q307" s="113">
        <f>IF($E307="","",IF($D307="TANIMSIZ MÜŞTERİ","HATA",IF(OR($J307="Tamamlandı",$J307="İptal"),"KAPALI",IF(AND($C307="Görüşme",$N307=""),"SONRAKİ İŞLEM EKSİK",IF($I307="","TARİH EKSİK",IF($I307&lt;TODAY(),"GECİKMİŞ",IF($I307=TODAY(),"BUGÜN",IF($I307&lt;=TODAY()+7,"7 GÜN İÇİNDE","PLANLI"))))))))</f>
        <v/>
      </c>
      <c r="R307" s="6" t="n"/>
      <c r="S307" s="6" t="n"/>
    </row>
    <row r="308">
      <c r="A308" s="6" t="n"/>
      <c r="B308" s="113">
        <f>IF($E308="","","A"&amp;TEXT(ROW()-6,"00000"))</f>
        <v/>
      </c>
      <c r="C308" s="108" t="n"/>
      <c r="D308" s="113">
        <f>IF($E308="","",IFERROR(INDEX(MUSTERILER!$B$7:$B$106,MATCH($E308,MUSTERILER!$C$7:$C$106,0)),IFERROR(INDEX(MUSTERILER!$B$7:$B$106,MATCH($E308,MUSTERILER!$B$7:$B$106,0)),IFERROR(INDEX(MUSTERILER!$B$7:$B$106,MATCH($E308&amp;"*",MUSTERILER!$C$7:$C$106,0)),"TANIMSIZ MÜŞTERİ"))))</f>
        <v/>
      </c>
      <c r="E308" s="109" t="n"/>
      <c r="F308" s="109" t="n"/>
      <c r="G308" s="108" t="n"/>
      <c r="H308" s="225" t="n"/>
      <c r="I308" s="225" t="n"/>
      <c r="J308" s="108" t="n"/>
      <c r="K308" s="108" t="n"/>
      <c r="L308" s="109" t="n"/>
      <c r="M308" s="109" t="n"/>
      <c r="N308" s="109" t="n"/>
      <c r="O308" s="225" t="n"/>
      <c r="P308" s="232">
        <f>IF(OR($E308="",$I308=""),"",IF(OR($J308="Tamamlandı",$J308="İptal"),"",$I308-TODAY()))</f>
        <v/>
      </c>
      <c r="Q308" s="113">
        <f>IF($E308="","",IF($D308="TANIMSIZ MÜŞTERİ","HATA",IF(OR($J308="Tamamlandı",$J308="İptal"),"KAPALI",IF(AND($C308="Görüşme",$N308=""),"SONRAKİ İŞLEM EKSİK",IF($I308="","TARİH EKSİK",IF($I308&lt;TODAY(),"GECİKMİŞ",IF($I308=TODAY(),"BUGÜN",IF($I308&lt;=TODAY()+7,"7 GÜN İÇİNDE","PLANLI"))))))))</f>
        <v/>
      </c>
      <c r="R308" s="6" t="n"/>
      <c r="S308" s="6" t="n"/>
    </row>
    <row r="309">
      <c r="A309" s="6" t="n"/>
      <c r="B309" s="113">
        <f>IF($E309="","","A"&amp;TEXT(ROW()-6,"00000"))</f>
        <v/>
      </c>
      <c r="C309" s="108" t="n"/>
      <c r="D309" s="113">
        <f>IF($E309="","",IFERROR(INDEX(MUSTERILER!$B$7:$B$106,MATCH($E309,MUSTERILER!$C$7:$C$106,0)),IFERROR(INDEX(MUSTERILER!$B$7:$B$106,MATCH($E309,MUSTERILER!$B$7:$B$106,0)),IFERROR(INDEX(MUSTERILER!$B$7:$B$106,MATCH($E309&amp;"*",MUSTERILER!$C$7:$C$106,0)),"TANIMSIZ MÜŞTERİ"))))</f>
        <v/>
      </c>
      <c r="E309" s="109" t="n"/>
      <c r="F309" s="109" t="n"/>
      <c r="G309" s="108" t="n"/>
      <c r="H309" s="225" t="n"/>
      <c r="I309" s="225" t="n"/>
      <c r="J309" s="108" t="n"/>
      <c r="K309" s="108" t="n"/>
      <c r="L309" s="109" t="n"/>
      <c r="M309" s="109" t="n"/>
      <c r="N309" s="109" t="n"/>
      <c r="O309" s="225" t="n"/>
      <c r="P309" s="232">
        <f>IF(OR($E309="",$I309=""),"",IF(OR($J309="Tamamlandı",$J309="İptal"),"",$I309-TODAY()))</f>
        <v/>
      </c>
      <c r="Q309" s="113">
        <f>IF($E309="","",IF($D309="TANIMSIZ MÜŞTERİ","HATA",IF(OR($J309="Tamamlandı",$J309="İptal"),"KAPALI",IF(AND($C309="Görüşme",$N309=""),"SONRAKİ İŞLEM EKSİK",IF($I309="","TARİH EKSİK",IF($I309&lt;TODAY(),"GECİKMİŞ",IF($I309=TODAY(),"BUGÜN",IF($I309&lt;=TODAY()+7,"7 GÜN İÇİNDE","PLANLI"))))))))</f>
        <v/>
      </c>
      <c r="R309" s="6" t="n"/>
      <c r="S309" s="6" t="n"/>
    </row>
    <row r="310">
      <c r="A310" s="6" t="n"/>
      <c r="B310" s="113">
        <f>IF($E310="","","A"&amp;TEXT(ROW()-6,"00000"))</f>
        <v/>
      </c>
      <c r="C310" s="108" t="n"/>
      <c r="D310" s="113">
        <f>IF($E310="","",IFERROR(INDEX(MUSTERILER!$B$7:$B$106,MATCH($E310,MUSTERILER!$C$7:$C$106,0)),IFERROR(INDEX(MUSTERILER!$B$7:$B$106,MATCH($E310,MUSTERILER!$B$7:$B$106,0)),IFERROR(INDEX(MUSTERILER!$B$7:$B$106,MATCH($E310&amp;"*",MUSTERILER!$C$7:$C$106,0)),"TANIMSIZ MÜŞTERİ"))))</f>
        <v/>
      </c>
      <c r="E310" s="109" t="n"/>
      <c r="F310" s="109" t="n"/>
      <c r="G310" s="108" t="n"/>
      <c r="H310" s="225" t="n"/>
      <c r="I310" s="225" t="n"/>
      <c r="J310" s="108" t="n"/>
      <c r="K310" s="108" t="n"/>
      <c r="L310" s="109" t="n"/>
      <c r="M310" s="109" t="n"/>
      <c r="N310" s="109" t="n"/>
      <c r="O310" s="225" t="n"/>
      <c r="P310" s="232">
        <f>IF(OR($E310="",$I310=""),"",IF(OR($J310="Tamamlandı",$J310="İptal"),"",$I310-TODAY()))</f>
        <v/>
      </c>
      <c r="Q310" s="113">
        <f>IF($E310="","",IF($D310="TANIMSIZ MÜŞTERİ","HATA",IF(OR($J310="Tamamlandı",$J310="İptal"),"KAPALI",IF(AND($C310="Görüşme",$N310=""),"SONRAKİ İŞLEM EKSİK",IF($I310="","TARİH EKSİK",IF($I310&lt;TODAY(),"GECİKMİŞ",IF($I310=TODAY(),"BUGÜN",IF($I310&lt;=TODAY()+7,"7 GÜN İÇİNDE","PLANLI"))))))))</f>
        <v/>
      </c>
      <c r="R310" s="6" t="n"/>
      <c r="S310" s="6" t="n"/>
    </row>
    <row r="311">
      <c r="A311" s="6" t="n"/>
      <c r="B311" s="113">
        <f>IF($E311="","","A"&amp;TEXT(ROW()-6,"00000"))</f>
        <v/>
      </c>
      <c r="C311" s="108" t="n"/>
      <c r="D311" s="113">
        <f>IF($E311="","",IFERROR(INDEX(MUSTERILER!$B$7:$B$106,MATCH($E311,MUSTERILER!$C$7:$C$106,0)),IFERROR(INDEX(MUSTERILER!$B$7:$B$106,MATCH($E311,MUSTERILER!$B$7:$B$106,0)),IFERROR(INDEX(MUSTERILER!$B$7:$B$106,MATCH($E311&amp;"*",MUSTERILER!$C$7:$C$106,0)),"TANIMSIZ MÜŞTERİ"))))</f>
        <v/>
      </c>
      <c r="E311" s="109" t="n"/>
      <c r="F311" s="109" t="n"/>
      <c r="G311" s="108" t="n"/>
      <c r="H311" s="225" t="n"/>
      <c r="I311" s="225" t="n"/>
      <c r="J311" s="108" t="n"/>
      <c r="K311" s="108" t="n"/>
      <c r="L311" s="109" t="n"/>
      <c r="M311" s="109" t="n"/>
      <c r="N311" s="109" t="n"/>
      <c r="O311" s="225" t="n"/>
      <c r="P311" s="232">
        <f>IF(OR($E311="",$I311=""),"",IF(OR($J311="Tamamlandı",$J311="İptal"),"",$I311-TODAY()))</f>
        <v/>
      </c>
      <c r="Q311" s="113">
        <f>IF($E311="","",IF($D311="TANIMSIZ MÜŞTERİ","HATA",IF(OR($J311="Tamamlandı",$J311="İptal"),"KAPALI",IF(AND($C311="Görüşme",$N311=""),"SONRAKİ İŞLEM EKSİK",IF($I311="","TARİH EKSİK",IF($I311&lt;TODAY(),"GECİKMİŞ",IF($I311=TODAY(),"BUGÜN",IF($I311&lt;=TODAY()+7,"7 GÜN İÇİNDE","PLANLI"))))))))</f>
        <v/>
      </c>
      <c r="R311" s="6" t="n"/>
      <c r="S311" s="6" t="n"/>
    </row>
    <row r="312">
      <c r="A312" s="6" t="n"/>
      <c r="B312" s="113">
        <f>IF($E312="","","A"&amp;TEXT(ROW()-6,"00000"))</f>
        <v/>
      </c>
      <c r="C312" s="108" t="n"/>
      <c r="D312" s="113">
        <f>IF($E312="","",IFERROR(INDEX(MUSTERILER!$B$7:$B$106,MATCH($E312,MUSTERILER!$C$7:$C$106,0)),IFERROR(INDEX(MUSTERILER!$B$7:$B$106,MATCH($E312,MUSTERILER!$B$7:$B$106,0)),IFERROR(INDEX(MUSTERILER!$B$7:$B$106,MATCH($E312&amp;"*",MUSTERILER!$C$7:$C$106,0)),"TANIMSIZ MÜŞTERİ"))))</f>
        <v/>
      </c>
      <c r="E312" s="109" t="n"/>
      <c r="F312" s="109" t="n"/>
      <c r="G312" s="108" t="n"/>
      <c r="H312" s="225" t="n"/>
      <c r="I312" s="225" t="n"/>
      <c r="J312" s="108" t="n"/>
      <c r="K312" s="108" t="n"/>
      <c r="L312" s="109" t="n"/>
      <c r="M312" s="109" t="n"/>
      <c r="N312" s="109" t="n"/>
      <c r="O312" s="225" t="n"/>
      <c r="P312" s="232">
        <f>IF(OR($E312="",$I312=""),"",IF(OR($J312="Tamamlandı",$J312="İptal"),"",$I312-TODAY()))</f>
        <v/>
      </c>
      <c r="Q312" s="113">
        <f>IF($E312="","",IF($D312="TANIMSIZ MÜŞTERİ","HATA",IF(OR($J312="Tamamlandı",$J312="İptal"),"KAPALI",IF(AND($C312="Görüşme",$N312=""),"SONRAKİ İŞLEM EKSİK",IF($I312="","TARİH EKSİK",IF($I312&lt;TODAY(),"GECİKMİŞ",IF($I312=TODAY(),"BUGÜN",IF($I312&lt;=TODAY()+7,"7 GÜN İÇİNDE","PLANLI"))))))))</f>
        <v/>
      </c>
      <c r="R312" s="6" t="n"/>
      <c r="S312" s="6" t="n"/>
    </row>
    <row r="313">
      <c r="A313" s="6" t="n"/>
      <c r="B313" s="113">
        <f>IF($E313="","","A"&amp;TEXT(ROW()-6,"00000"))</f>
        <v/>
      </c>
      <c r="C313" s="108" t="n"/>
      <c r="D313" s="113">
        <f>IF($E313="","",IFERROR(INDEX(MUSTERILER!$B$7:$B$106,MATCH($E313,MUSTERILER!$C$7:$C$106,0)),IFERROR(INDEX(MUSTERILER!$B$7:$B$106,MATCH($E313,MUSTERILER!$B$7:$B$106,0)),IFERROR(INDEX(MUSTERILER!$B$7:$B$106,MATCH($E313&amp;"*",MUSTERILER!$C$7:$C$106,0)),"TANIMSIZ MÜŞTERİ"))))</f>
        <v/>
      </c>
      <c r="E313" s="109" t="n"/>
      <c r="F313" s="109" t="n"/>
      <c r="G313" s="108" t="n"/>
      <c r="H313" s="225" t="n"/>
      <c r="I313" s="225" t="n"/>
      <c r="J313" s="108" t="n"/>
      <c r="K313" s="108" t="n"/>
      <c r="L313" s="109" t="n"/>
      <c r="M313" s="109" t="n"/>
      <c r="N313" s="109" t="n"/>
      <c r="O313" s="225" t="n"/>
      <c r="P313" s="232">
        <f>IF(OR($E313="",$I313=""),"",IF(OR($J313="Tamamlandı",$J313="İptal"),"",$I313-TODAY()))</f>
        <v/>
      </c>
      <c r="Q313" s="113">
        <f>IF($E313="","",IF($D313="TANIMSIZ MÜŞTERİ","HATA",IF(OR($J313="Tamamlandı",$J313="İptal"),"KAPALI",IF(AND($C313="Görüşme",$N313=""),"SONRAKİ İŞLEM EKSİK",IF($I313="","TARİH EKSİK",IF($I313&lt;TODAY(),"GECİKMİŞ",IF($I313=TODAY(),"BUGÜN",IF($I313&lt;=TODAY()+7,"7 GÜN İÇİNDE","PLANLI"))))))))</f>
        <v/>
      </c>
      <c r="R313" s="6" t="n"/>
      <c r="S313" s="6" t="n"/>
    </row>
    <row r="314">
      <c r="A314" s="6" t="n"/>
      <c r="B314" s="113">
        <f>IF($E314="","","A"&amp;TEXT(ROW()-6,"00000"))</f>
        <v/>
      </c>
      <c r="C314" s="108" t="n"/>
      <c r="D314" s="113">
        <f>IF($E314="","",IFERROR(INDEX(MUSTERILER!$B$7:$B$106,MATCH($E314,MUSTERILER!$C$7:$C$106,0)),IFERROR(INDEX(MUSTERILER!$B$7:$B$106,MATCH($E314,MUSTERILER!$B$7:$B$106,0)),IFERROR(INDEX(MUSTERILER!$B$7:$B$106,MATCH($E314&amp;"*",MUSTERILER!$C$7:$C$106,0)),"TANIMSIZ MÜŞTERİ"))))</f>
        <v/>
      </c>
      <c r="E314" s="109" t="n"/>
      <c r="F314" s="109" t="n"/>
      <c r="G314" s="108" t="n"/>
      <c r="H314" s="225" t="n"/>
      <c r="I314" s="225" t="n"/>
      <c r="J314" s="108" t="n"/>
      <c r="K314" s="108" t="n"/>
      <c r="L314" s="109" t="n"/>
      <c r="M314" s="109" t="n"/>
      <c r="N314" s="109" t="n"/>
      <c r="O314" s="225" t="n"/>
      <c r="P314" s="232">
        <f>IF(OR($E314="",$I314=""),"",IF(OR($J314="Tamamlandı",$J314="İptal"),"",$I314-TODAY()))</f>
        <v/>
      </c>
      <c r="Q314" s="113">
        <f>IF($E314="","",IF($D314="TANIMSIZ MÜŞTERİ","HATA",IF(OR($J314="Tamamlandı",$J314="İptal"),"KAPALI",IF(AND($C314="Görüşme",$N314=""),"SONRAKİ İŞLEM EKSİK",IF($I314="","TARİH EKSİK",IF($I314&lt;TODAY(),"GECİKMİŞ",IF($I314=TODAY(),"BUGÜN",IF($I314&lt;=TODAY()+7,"7 GÜN İÇİNDE","PLANLI"))))))))</f>
        <v/>
      </c>
      <c r="R314" s="6" t="n"/>
      <c r="S314" s="6" t="n"/>
    </row>
    <row r="315">
      <c r="A315" s="6" t="n"/>
      <c r="B315" s="113">
        <f>IF($E315="","","A"&amp;TEXT(ROW()-6,"00000"))</f>
        <v/>
      </c>
      <c r="C315" s="108" t="n"/>
      <c r="D315" s="113">
        <f>IF($E315="","",IFERROR(INDEX(MUSTERILER!$B$7:$B$106,MATCH($E315,MUSTERILER!$C$7:$C$106,0)),IFERROR(INDEX(MUSTERILER!$B$7:$B$106,MATCH($E315,MUSTERILER!$B$7:$B$106,0)),IFERROR(INDEX(MUSTERILER!$B$7:$B$106,MATCH($E315&amp;"*",MUSTERILER!$C$7:$C$106,0)),"TANIMSIZ MÜŞTERİ"))))</f>
        <v/>
      </c>
      <c r="E315" s="109" t="n"/>
      <c r="F315" s="109" t="n"/>
      <c r="G315" s="108" t="n"/>
      <c r="H315" s="225" t="n"/>
      <c r="I315" s="225" t="n"/>
      <c r="J315" s="108" t="n"/>
      <c r="K315" s="108" t="n"/>
      <c r="L315" s="109" t="n"/>
      <c r="M315" s="109" t="n"/>
      <c r="N315" s="109" t="n"/>
      <c r="O315" s="225" t="n"/>
      <c r="P315" s="232">
        <f>IF(OR($E315="",$I315=""),"",IF(OR($J315="Tamamlandı",$J315="İptal"),"",$I315-TODAY()))</f>
        <v/>
      </c>
      <c r="Q315" s="113">
        <f>IF($E315="","",IF($D315="TANIMSIZ MÜŞTERİ","HATA",IF(OR($J315="Tamamlandı",$J315="İptal"),"KAPALI",IF(AND($C315="Görüşme",$N315=""),"SONRAKİ İŞLEM EKSİK",IF($I315="","TARİH EKSİK",IF($I315&lt;TODAY(),"GECİKMİŞ",IF($I315=TODAY(),"BUGÜN",IF($I315&lt;=TODAY()+7,"7 GÜN İÇİNDE","PLANLI"))))))))</f>
        <v/>
      </c>
      <c r="R315" s="6" t="n"/>
      <c r="S315" s="6" t="n"/>
    </row>
    <row r="316">
      <c r="A316" s="6" t="n"/>
      <c r="B316" s="113">
        <f>IF($E316="","","A"&amp;TEXT(ROW()-6,"00000"))</f>
        <v/>
      </c>
      <c r="C316" s="108" t="n"/>
      <c r="D316" s="113">
        <f>IF($E316="","",IFERROR(INDEX(MUSTERILER!$B$7:$B$106,MATCH($E316,MUSTERILER!$C$7:$C$106,0)),IFERROR(INDEX(MUSTERILER!$B$7:$B$106,MATCH($E316,MUSTERILER!$B$7:$B$106,0)),IFERROR(INDEX(MUSTERILER!$B$7:$B$106,MATCH($E316&amp;"*",MUSTERILER!$C$7:$C$106,0)),"TANIMSIZ MÜŞTERİ"))))</f>
        <v/>
      </c>
      <c r="E316" s="109" t="n"/>
      <c r="F316" s="109" t="n"/>
      <c r="G316" s="108" t="n"/>
      <c r="H316" s="225" t="n"/>
      <c r="I316" s="225" t="n"/>
      <c r="J316" s="108" t="n"/>
      <c r="K316" s="108" t="n"/>
      <c r="L316" s="109" t="n"/>
      <c r="M316" s="109" t="n"/>
      <c r="N316" s="109" t="n"/>
      <c r="O316" s="225" t="n"/>
      <c r="P316" s="232">
        <f>IF(OR($E316="",$I316=""),"",IF(OR($J316="Tamamlandı",$J316="İptal"),"",$I316-TODAY()))</f>
        <v/>
      </c>
      <c r="Q316" s="113">
        <f>IF($E316="","",IF($D316="TANIMSIZ MÜŞTERİ","HATA",IF(OR($J316="Tamamlandı",$J316="İptal"),"KAPALI",IF(AND($C316="Görüşme",$N316=""),"SONRAKİ İŞLEM EKSİK",IF($I316="","TARİH EKSİK",IF($I316&lt;TODAY(),"GECİKMİŞ",IF($I316=TODAY(),"BUGÜN",IF($I316&lt;=TODAY()+7,"7 GÜN İÇİNDE","PLANLI"))))))))</f>
        <v/>
      </c>
      <c r="R316" s="6" t="n"/>
      <c r="S316" s="6" t="n"/>
    </row>
    <row r="317">
      <c r="A317" s="6" t="n"/>
      <c r="B317" s="113">
        <f>IF($E317="","","A"&amp;TEXT(ROW()-6,"00000"))</f>
        <v/>
      </c>
      <c r="C317" s="108" t="n"/>
      <c r="D317" s="113">
        <f>IF($E317="","",IFERROR(INDEX(MUSTERILER!$B$7:$B$106,MATCH($E317,MUSTERILER!$C$7:$C$106,0)),IFERROR(INDEX(MUSTERILER!$B$7:$B$106,MATCH($E317,MUSTERILER!$B$7:$B$106,0)),IFERROR(INDEX(MUSTERILER!$B$7:$B$106,MATCH($E317&amp;"*",MUSTERILER!$C$7:$C$106,0)),"TANIMSIZ MÜŞTERİ"))))</f>
        <v/>
      </c>
      <c r="E317" s="109" t="n"/>
      <c r="F317" s="109" t="n"/>
      <c r="G317" s="108" t="n"/>
      <c r="H317" s="225" t="n"/>
      <c r="I317" s="225" t="n"/>
      <c r="J317" s="108" t="n"/>
      <c r="K317" s="108" t="n"/>
      <c r="L317" s="109" t="n"/>
      <c r="M317" s="109" t="n"/>
      <c r="N317" s="109" t="n"/>
      <c r="O317" s="225" t="n"/>
      <c r="P317" s="232">
        <f>IF(OR($E317="",$I317=""),"",IF(OR($J317="Tamamlandı",$J317="İptal"),"",$I317-TODAY()))</f>
        <v/>
      </c>
      <c r="Q317" s="113">
        <f>IF($E317="","",IF($D317="TANIMSIZ MÜŞTERİ","HATA",IF(OR($J317="Tamamlandı",$J317="İptal"),"KAPALI",IF(AND($C317="Görüşme",$N317=""),"SONRAKİ İŞLEM EKSİK",IF($I317="","TARİH EKSİK",IF($I317&lt;TODAY(),"GECİKMİŞ",IF($I317=TODAY(),"BUGÜN",IF($I317&lt;=TODAY()+7,"7 GÜN İÇİNDE","PLANLI"))))))))</f>
        <v/>
      </c>
      <c r="R317" s="6" t="n"/>
      <c r="S317" s="6" t="n"/>
    </row>
    <row r="318">
      <c r="A318" s="6" t="n"/>
      <c r="B318" s="113">
        <f>IF($E318="","","A"&amp;TEXT(ROW()-6,"00000"))</f>
        <v/>
      </c>
      <c r="C318" s="108" t="n"/>
      <c r="D318" s="113">
        <f>IF($E318="","",IFERROR(INDEX(MUSTERILER!$B$7:$B$106,MATCH($E318,MUSTERILER!$C$7:$C$106,0)),IFERROR(INDEX(MUSTERILER!$B$7:$B$106,MATCH($E318,MUSTERILER!$B$7:$B$106,0)),IFERROR(INDEX(MUSTERILER!$B$7:$B$106,MATCH($E318&amp;"*",MUSTERILER!$C$7:$C$106,0)),"TANIMSIZ MÜŞTERİ"))))</f>
        <v/>
      </c>
      <c r="E318" s="109" t="n"/>
      <c r="F318" s="109" t="n"/>
      <c r="G318" s="108" t="n"/>
      <c r="H318" s="225" t="n"/>
      <c r="I318" s="225" t="n"/>
      <c r="J318" s="108" t="n"/>
      <c r="K318" s="108" t="n"/>
      <c r="L318" s="109" t="n"/>
      <c r="M318" s="109" t="n"/>
      <c r="N318" s="109" t="n"/>
      <c r="O318" s="225" t="n"/>
      <c r="P318" s="232">
        <f>IF(OR($E318="",$I318=""),"",IF(OR($J318="Tamamlandı",$J318="İptal"),"",$I318-TODAY()))</f>
        <v/>
      </c>
      <c r="Q318" s="113">
        <f>IF($E318="","",IF($D318="TANIMSIZ MÜŞTERİ","HATA",IF(OR($J318="Tamamlandı",$J318="İptal"),"KAPALI",IF(AND($C318="Görüşme",$N318=""),"SONRAKİ İŞLEM EKSİK",IF($I318="","TARİH EKSİK",IF($I318&lt;TODAY(),"GECİKMİŞ",IF($I318=TODAY(),"BUGÜN",IF($I318&lt;=TODAY()+7,"7 GÜN İÇİNDE","PLANLI"))))))))</f>
        <v/>
      </c>
      <c r="R318" s="6" t="n"/>
      <c r="S318" s="6" t="n"/>
    </row>
    <row r="319">
      <c r="A319" s="6" t="n"/>
      <c r="B319" s="113">
        <f>IF($E319="","","A"&amp;TEXT(ROW()-6,"00000"))</f>
        <v/>
      </c>
      <c r="C319" s="108" t="n"/>
      <c r="D319" s="113">
        <f>IF($E319="","",IFERROR(INDEX(MUSTERILER!$B$7:$B$106,MATCH($E319,MUSTERILER!$C$7:$C$106,0)),IFERROR(INDEX(MUSTERILER!$B$7:$B$106,MATCH($E319,MUSTERILER!$B$7:$B$106,0)),IFERROR(INDEX(MUSTERILER!$B$7:$B$106,MATCH($E319&amp;"*",MUSTERILER!$C$7:$C$106,0)),"TANIMSIZ MÜŞTERİ"))))</f>
        <v/>
      </c>
      <c r="E319" s="109" t="n"/>
      <c r="F319" s="109" t="n"/>
      <c r="G319" s="108" t="n"/>
      <c r="H319" s="225" t="n"/>
      <c r="I319" s="225" t="n"/>
      <c r="J319" s="108" t="n"/>
      <c r="K319" s="108" t="n"/>
      <c r="L319" s="109" t="n"/>
      <c r="M319" s="109" t="n"/>
      <c r="N319" s="109" t="n"/>
      <c r="O319" s="225" t="n"/>
      <c r="P319" s="232">
        <f>IF(OR($E319="",$I319=""),"",IF(OR($J319="Tamamlandı",$J319="İptal"),"",$I319-TODAY()))</f>
        <v/>
      </c>
      <c r="Q319" s="113">
        <f>IF($E319="","",IF($D319="TANIMSIZ MÜŞTERİ","HATA",IF(OR($J319="Tamamlandı",$J319="İptal"),"KAPALI",IF(AND($C319="Görüşme",$N319=""),"SONRAKİ İŞLEM EKSİK",IF($I319="","TARİH EKSİK",IF($I319&lt;TODAY(),"GECİKMİŞ",IF($I319=TODAY(),"BUGÜN",IF($I319&lt;=TODAY()+7,"7 GÜN İÇİNDE","PLANLI"))))))))</f>
        <v/>
      </c>
      <c r="R319" s="6" t="n"/>
      <c r="S319" s="6" t="n"/>
    </row>
    <row r="320">
      <c r="A320" s="6" t="n"/>
      <c r="B320" s="113">
        <f>IF($E320="","","A"&amp;TEXT(ROW()-6,"00000"))</f>
        <v/>
      </c>
      <c r="C320" s="108" t="n"/>
      <c r="D320" s="113">
        <f>IF($E320="","",IFERROR(INDEX(MUSTERILER!$B$7:$B$106,MATCH($E320,MUSTERILER!$C$7:$C$106,0)),IFERROR(INDEX(MUSTERILER!$B$7:$B$106,MATCH($E320,MUSTERILER!$B$7:$B$106,0)),IFERROR(INDEX(MUSTERILER!$B$7:$B$106,MATCH($E320&amp;"*",MUSTERILER!$C$7:$C$106,0)),"TANIMSIZ MÜŞTERİ"))))</f>
        <v/>
      </c>
      <c r="E320" s="109" t="n"/>
      <c r="F320" s="109" t="n"/>
      <c r="G320" s="108" t="n"/>
      <c r="H320" s="225" t="n"/>
      <c r="I320" s="225" t="n"/>
      <c r="J320" s="108" t="n"/>
      <c r="K320" s="108" t="n"/>
      <c r="L320" s="109" t="n"/>
      <c r="M320" s="109" t="n"/>
      <c r="N320" s="109" t="n"/>
      <c r="O320" s="225" t="n"/>
      <c r="P320" s="232">
        <f>IF(OR($E320="",$I320=""),"",IF(OR($J320="Tamamlandı",$J320="İptal"),"",$I320-TODAY()))</f>
        <v/>
      </c>
      <c r="Q320" s="113">
        <f>IF($E320="","",IF($D320="TANIMSIZ MÜŞTERİ","HATA",IF(OR($J320="Tamamlandı",$J320="İptal"),"KAPALI",IF(AND($C320="Görüşme",$N320=""),"SONRAKİ İŞLEM EKSİK",IF($I320="","TARİH EKSİK",IF($I320&lt;TODAY(),"GECİKMİŞ",IF($I320=TODAY(),"BUGÜN",IF($I320&lt;=TODAY()+7,"7 GÜN İÇİNDE","PLANLI"))))))))</f>
        <v/>
      </c>
      <c r="R320" s="6" t="n"/>
      <c r="S320" s="6" t="n"/>
    </row>
    <row r="321">
      <c r="A321" s="6" t="n"/>
      <c r="B321" s="113">
        <f>IF($E321="","","A"&amp;TEXT(ROW()-6,"00000"))</f>
        <v/>
      </c>
      <c r="C321" s="108" t="n"/>
      <c r="D321" s="113">
        <f>IF($E321="","",IFERROR(INDEX(MUSTERILER!$B$7:$B$106,MATCH($E321,MUSTERILER!$C$7:$C$106,0)),IFERROR(INDEX(MUSTERILER!$B$7:$B$106,MATCH($E321,MUSTERILER!$B$7:$B$106,0)),IFERROR(INDEX(MUSTERILER!$B$7:$B$106,MATCH($E321&amp;"*",MUSTERILER!$C$7:$C$106,0)),"TANIMSIZ MÜŞTERİ"))))</f>
        <v/>
      </c>
      <c r="E321" s="109" t="n"/>
      <c r="F321" s="109" t="n"/>
      <c r="G321" s="108" t="n"/>
      <c r="H321" s="225" t="n"/>
      <c r="I321" s="225" t="n"/>
      <c r="J321" s="108" t="n"/>
      <c r="K321" s="108" t="n"/>
      <c r="L321" s="109" t="n"/>
      <c r="M321" s="109" t="n"/>
      <c r="N321" s="109" t="n"/>
      <c r="O321" s="225" t="n"/>
      <c r="P321" s="232">
        <f>IF(OR($E321="",$I321=""),"",IF(OR($J321="Tamamlandı",$J321="İptal"),"",$I321-TODAY()))</f>
        <v/>
      </c>
      <c r="Q321" s="113">
        <f>IF($E321="","",IF($D321="TANIMSIZ MÜŞTERİ","HATA",IF(OR($J321="Tamamlandı",$J321="İptal"),"KAPALI",IF(AND($C321="Görüşme",$N321=""),"SONRAKİ İŞLEM EKSİK",IF($I321="","TARİH EKSİK",IF($I321&lt;TODAY(),"GECİKMİŞ",IF($I321=TODAY(),"BUGÜN",IF($I321&lt;=TODAY()+7,"7 GÜN İÇİNDE","PLANLI"))))))))</f>
        <v/>
      </c>
      <c r="R321" s="6" t="n"/>
      <c r="S321" s="6" t="n"/>
    </row>
    <row r="322">
      <c r="A322" s="6" t="n"/>
      <c r="B322" s="113">
        <f>IF($E322="","","A"&amp;TEXT(ROW()-6,"00000"))</f>
        <v/>
      </c>
      <c r="C322" s="108" t="n"/>
      <c r="D322" s="113">
        <f>IF($E322="","",IFERROR(INDEX(MUSTERILER!$B$7:$B$106,MATCH($E322,MUSTERILER!$C$7:$C$106,0)),IFERROR(INDEX(MUSTERILER!$B$7:$B$106,MATCH($E322,MUSTERILER!$B$7:$B$106,0)),IFERROR(INDEX(MUSTERILER!$B$7:$B$106,MATCH($E322&amp;"*",MUSTERILER!$C$7:$C$106,0)),"TANIMSIZ MÜŞTERİ"))))</f>
        <v/>
      </c>
      <c r="E322" s="109" t="n"/>
      <c r="F322" s="109" t="n"/>
      <c r="G322" s="108" t="n"/>
      <c r="H322" s="225" t="n"/>
      <c r="I322" s="225" t="n"/>
      <c r="J322" s="108" t="n"/>
      <c r="K322" s="108" t="n"/>
      <c r="L322" s="109" t="n"/>
      <c r="M322" s="109" t="n"/>
      <c r="N322" s="109" t="n"/>
      <c r="O322" s="225" t="n"/>
      <c r="P322" s="232">
        <f>IF(OR($E322="",$I322=""),"",IF(OR($J322="Tamamlandı",$J322="İptal"),"",$I322-TODAY()))</f>
        <v/>
      </c>
      <c r="Q322" s="113">
        <f>IF($E322="","",IF($D322="TANIMSIZ MÜŞTERİ","HATA",IF(OR($J322="Tamamlandı",$J322="İptal"),"KAPALI",IF(AND($C322="Görüşme",$N322=""),"SONRAKİ İŞLEM EKSİK",IF($I322="","TARİH EKSİK",IF($I322&lt;TODAY(),"GECİKMİŞ",IF($I322=TODAY(),"BUGÜN",IF($I322&lt;=TODAY()+7,"7 GÜN İÇİNDE","PLANLI"))))))))</f>
        <v/>
      </c>
      <c r="R322" s="6" t="n"/>
      <c r="S322" s="6" t="n"/>
    </row>
    <row r="323">
      <c r="A323" s="6" t="n"/>
      <c r="B323" s="113">
        <f>IF($E323="","","A"&amp;TEXT(ROW()-6,"00000"))</f>
        <v/>
      </c>
      <c r="C323" s="108" t="n"/>
      <c r="D323" s="113">
        <f>IF($E323="","",IFERROR(INDEX(MUSTERILER!$B$7:$B$106,MATCH($E323,MUSTERILER!$C$7:$C$106,0)),IFERROR(INDEX(MUSTERILER!$B$7:$B$106,MATCH($E323,MUSTERILER!$B$7:$B$106,0)),IFERROR(INDEX(MUSTERILER!$B$7:$B$106,MATCH($E323&amp;"*",MUSTERILER!$C$7:$C$106,0)),"TANIMSIZ MÜŞTERİ"))))</f>
        <v/>
      </c>
      <c r="E323" s="109" t="n"/>
      <c r="F323" s="109" t="n"/>
      <c r="G323" s="108" t="n"/>
      <c r="H323" s="225" t="n"/>
      <c r="I323" s="225" t="n"/>
      <c r="J323" s="108" t="n"/>
      <c r="K323" s="108" t="n"/>
      <c r="L323" s="109" t="n"/>
      <c r="M323" s="109" t="n"/>
      <c r="N323" s="109" t="n"/>
      <c r="O323" s="225" t="n"/>
      <c r="P323" s="232">
        <f>IF(OR($E323="",$I323=""),"",IF(OR($J323="Tamamlandı",$J323="İptal"),"",$I323-TODAY()))</f>
        <v/>
      </c>
      <c r="Q323" s="113">
        <f>IF($E323="","",IF($D323="TANIMSIZ MÜŞTERİ","HATA",IF(OR($J323="Tamamlandı",$J323="İptal"),"KAPALI",IF(AND($C323="Görüşme",$N323=""),"SONRAKİ İŞLEM EKSİK",IF($I323="","TARİH EKSİK",IF($I323&lt;TODAY(),"GECİKMİŞ",IF($I323=TODAY(),"BUGÜN",IF($I323&lt;=TODAY()+7,"7 GÜN İÇİNDE","PLANLI"))))))))</f>
        <v/>
      </c>
      <c r="R323" s="6" t="n"/>
      <c r="S323" s="6" t="n"/>
    </row>
    <row r="324">
      <c r="A324" s="6" t="n"/>
      <c r="B324" s="113">
        <f>IF($E324="","","A"&amp;TEXT(ROW()-6,"00000"))</f>
        <v/>
      </c>
      <c r="C324" s="108" t="n"/>
      <c r="D324" s="113">
        <f>IF($E324="","",IFERROR(INDEX(MUSTERILER!$B$7:$B$106,MATCH($E324,MUSTERILER!$C$7:$C$106,0)),IFERROR(INDEX(MUSTERILER!$B$7:$B$106,MATCH($E324,MUSTERILER!$B$7:$B$106,0)),IFERROR(INDEX(MUSTERILER!$B$7:$B$106,MATCH($E324&amp;"*",MUSTERILER!$C$7:$C$106,0)),"TANIMSIZ MÜŞTERİ"))))</f>
        <v/>
      </c>
      <c r="E324" s="109" t="n"/>
      <c r="F324" s="109" t="n"/>
      <c r="G324" s="108" t="n"/>
      <c r="H324" s="225" t="n"/>
      <c r="I324" s="225" t="n"/>
      <c r="J324" s="108" t="n"/>
      <c r="K324" s="108" t="n"/>
      <c r="L324" s="109" t="n"/>
      <c r="M324" s="109" t="n"/>
      <c r="N324" s="109" t="n"/>
      <c r="O324" s="225" t="n"/>
      <c r="P324" s="232">
        <f>IF(OR($E324="",$I324=""),"",IF(OR($J324="Tamamlandı",$J324="İptal"),"",$I324-TODAY()))</f>
        <v/>
      </c>
      <c r="Q324" s="113">
        <f>IF($E324="","",IF($D324="TANIMSIZ MÜŞTERİ","HATA",IF(OR($J324="Tamamlandı",$J324="İptal"),"KAPALI",IF(AND($C324="Görüşme",$N324=""),"SONRAKİ İŞLEM EKSİK",IF($I324="","TARİH EKSİK",IF($I324&lt;TODAY(),"GECİKMİŞ",IF($I324=TODAY(),"BUGÜN",IF($I324&lt;=TODAY()+7,"7 GÜN İÇİNDE","PLANLI"))))))))</f>
        <v/>
      </c>
      <c r="R324" s="6" t="n"/>
      <c r="S324" s="6" t="n"/>
    </row>
    <row r="325">
      <c r="A325" s="6" t="n"/>
      <c r="B325" s="113">
        <f>IF($E325="","","A"&amp;TEXT(ROW()-6,"00000"))</f>
        <v/>
      </c>
      <c r="C325" s="108" t="n"/>
      <c r="D325" s="113">
        <f>IF($E325="","",IFERROR(INDEX(MUSTERILER!$B$7:$B$106,MATCH($E325,MUSTERILER!$C$7:$C$106,0)),IFERROR(INDEX(MUSTERILER!$B$7:$B$106,MATCH($E325,MUSTERILER!$B$7:$B$106,0)),IFERROR(INDEX(MUSTERILER!$B$7:$B$106,MATCH($E325&amp;"*",MUSTERILER!$C$7:$C$106,0)),"TANIMSIZ MÜŞTERİ"))))</f>
        <v/>
      </c>
      <c r="E325" s="109" t="n"/>
      <c r="F325" s="109" t="n"/>
      <c r="G325" s="108" t="n"/>
      <c r="H325" s="225" t="n"/>
      <c r="I325" s="225" t="n"/>
      <c r="J325" s="108" t="n"/>
      <c r="K325" s="108" t="n"/>
      <c r="L325" s="109" t="n"/>
      <c r="M325" s="109" t="n"/>
      <c r="N325" s="109" t="n"/>
      <c r="O325" s="225" t="n"/>
      <c r="P325" s="232">
        <f>IF(OR($E325="",$I325=""),"",IF(OR($J325="Tamamlandı",$J325="İptal"),"",$I325-TODAY()))</f>
        <v/>
      </c>
      <c r="Q325" s="113">
        <f>IF($E325="","",IF($D325="TANIMSIZ MÜŞTERİ","HATA",IF(OR($J325="Tamamlandı",$J325="İptal"),"KAPALI",IF(AND($C325="Görüşme",$N325=""),"SONRAKİ İŞLEM EKSİK",IF($I325="","TARİH EKSİK",IF($I325&lt;TODAY(),"GECİKMİŞ",IF($I325=TODAY(),"BUGÜN",IF($I325&lt;=TODAY()+7,"7 GÜN İÇİNDE","PLANLI"))))))))</f>
        <v/>
      </c>
      <c r="R325" s="6" t="n"/>
      <c r="S325" s="6" t="n"/>
    </row>
    <row r="326">
      <c r="A326" s="6" t="n"/>
      <c r="B326" s="113">
        <f>IF($E326="","","A"&amp;TEXT(ROW()-6,"00000"))</f>
        <v/>
      </c>
      <c r="C326" s="108" t="n"/>
      <c r="D326" s="113">
        <f>IF($E326="","",IFERROR(INDEX(MUSTERILER!$B$7:$B$106,MATCH($E326,MUSTERILER!$C$7:$C$106,0)),IFERROR(INDEX(MUSTERILER!$B$7:$B$106,MATCH($E326,MUSTERILER!$B$7:$B$106,0)),IFERROR(INDEX(MUSTERILER!$B$7:$B$106,MATCH($E326&amp;"*",MUSTERILER!$C$7:$C$106,0)),"TANIMSIZ MÜŞTERİ"))))</f>
        <v/>
      </c>
      <c r="E326" s="109" t="n"/>
      <c r="F326" s="109" t="n"/>
      <c r="G326" s="108" t="n"/>
      <c r="H326" s="225" t="n"/>
      <c r="I326" s="225" t="n"/>
      <c r="J326" s="108" t="n"/>
      <c r="K326" s="108" t="n"/>
      <c r="L326" s="109" t="n"/>
      <c r="M326" s="109" t="n"/>
      <c r="N326" s="109" t="n"/>
      <c r="O326" s="225" t="n"/>
      <c r="P326" s="232">
        <f>IF(OR($E326="",$I326=""),"",IF(OR($J326="Tamamlandı",$J326="İptal"),"",$I326-TODAY()))</f>
        <v/>
      </c>
      <c r="Q326" s="113">
        <f>IF($E326="","",IF($D326="TANIMSIZ MÜŞTERİ","HATA",IF(OR($J326="Tamamlandı",$J326="İptal"),"KAPALI",IF(AND($C326="Görüşme",$N326=""),"SONRAKİ İŞLEM EKSİK",IF($I326="","TARİH EKSİK",IF($I326&lt;TODAY(),"GECİKMİŞ",IF($I326=TODAY(),"BUGÜN",IF($I326&lt;=TODAY()+7,"7 GÜN İÇİNDE","PLANLI"))))))))</f>
        <v/>
      </c>
      <c r="R326" s="6" t="n"/>
      <c r="S326" s="6" t="n"/>
    </row>
    <row r="327">
      <c r="A327" s="6" t="n"/>
      <c r="B327" s="113">
        <f>IF($E327="","","A"&amp;TEXT(ROW()-6,"00000"))</f>
        <v/>
      </c>
      <c r="C327" s="108" t="n"/>
      <c r="D327" s="113">
        <f>IF($E327="","",IFERROR(INDEX(MUSTERILER!$B$7:$B$106,MATCH($E327,MUSTERILER!$C$7:$C$106,0)),IFERROR(INDEX(MUSTERILER!$B$7:$B$106,MATCH($E327,MUSTERILER!$B$7:$B$106,0)),IFERROR(INDEX(MUSTERILER!$B$7:$B$106,MATCH($E327&amp;"*",MUSTERILER!$C$7:$C$106,0)),"TANIMSIZ MÜŞTERİ"))))</f>
        <v/>
      </c>
      <c r="E327" s="109" t="n"/>
      <c r="F327" s="109" t="n"/>
      <c r="G327" s="108" t="n"/>
      <c r="H327" s="225" t="n"/>
      <c r="I327" s="225" t="n"/>
      <c r="J327" s="108" t="n"/>
      <c r="K327" s="108" t="n"/>
      <c r="L327" s="109" t="n"/>
      <c r="M327" s="109" t="n"/>
      <c r="N327" s="109" t="n"/>
      <c r="O327" s="225" t="n"/>
      <c r="P327" s="232">
        <f>IF(OR($E327="",$I327=""),"",IF(OR($J327="Tamamlandı",$J327="İptal"),"",$I327-TODAY()))</f>
        <v/>
      </c>
      <c r="Q327" s="113">
        <f>IF($E327="","",IF($D327="TANIMSIZ MÜŞTERİ","HATA",IF(OR($J327="Tamamlandı",$J327="İptal"),"KAPALI",IF(AND($C327="Görüşme",$N327=""),"SONRAKİ İŞLEM EKSİK",IF($I327="","TARİH EKSİK",IF($I327&lt;TODAY(),"GECİKMİŞ",IF($I327=TODAY(),"BUGÜN",IF($I327&lt;=TODAY()+7,"7 GÜN İÇİNDE","PLANLI"))))))))</f>
        <v/>
      </c>
      <c r="R327" s="6" t="n"/>
      <c r="S327" s="6" t="n"/>
    </row>
    <row r="328">
      <c r="A328" s="6" t="n"/>
      <c r="B328" s="113">
        <f>IF($E328="","","A"&amp;TEXT(ROW()-6,"00000"))</f>
        <v/>
      </c>
      <c r="C328" s="108" t="n"/>
      <c r="D328" s="113">
        <f>IF($E328="","",IFERROR(INDEX(MUSTERILER!$B$7:$B$106,MATCH($E328,MUSTERILER!$C$7:$C$106,0)),IFERROR(INDEX(MUSTERILER!$B$7:$B$106,MATCH($E328,MUSTERILER!$B$7:$B$106,0)),IFERROR(INDEX(MUSTERILER!$B$7:$B$106,MATCH($E328&amp;"*",MUSTERILER!$C$7:$C$106,0)),"TANIMSIZ MÜŞTERİ"))))</f>
        <v/>
      </c>
      <c r="E328" s="109" t="n"/>
      <c r="F328" s="109" t="n"/>
      <c r="G328" s="108" t="n"/>
      <c r="H328" s="225" t="n"/>
      <c r="I328" s="225" t="n"/>
      <c r="J328" s="108" t="n"/>
      <c r="K328" s="108" t="n"/>
      <c r="L328" s="109" t="n"/>
      <c r="M328" s="109" t="n"/>
      <c r="N328" s="109" t="n"/>
      <c r="O328" s="225" t="n"/>
      <c r="P328" s="232">
        <f>IF(OR($E328="",$I328=""),"",IF(OR($J328="Tamamlandı",$J328="İptal"),"",$I328-TODAY()))</f>
        <v/>
      </c>
      <c r="Q328" s="113">
        <f>IF($E328="","",IF($D328="TANIMSIZ MÜŞTERİ","HATA",IF(OR($J328="Tamamlandı",$J328="İptal"),"KAPALI",IF(AND($C328="Görüşme",$N328=""),"SONRAKİ İŞLEM EKSİK",IF($I328="","TARİH EKSİK",IF($I328&lt;TODAY(),"GECİKMİŞ",IF($I328=TODAY(),"BUGÜN",IF($I328&lt;=TODAY()+7,"7 GÜN İÇİNDE","PLANLI"))))))))</f>
        <v/>
      </c>
      <c r="R328" s="6" t="n"/>
      <c r="S328" s="6" t="n"/>
    </row>
    <row r="329">
      <c r="A329" s="6" t="n"/>
      <c r="B329" s="113">
        <f>IF($E329="","","A"&amp;TEXT(ROW()-6,"00000"))</f>
        <v/>
      </c>
      <c r="C329" s="108" t="n"/>
      <c r="D329" s="113">
        <f>IF($E329="","",IFERROR(INDEX(MUSTERILER!$B$7:$B$106,MATCH($E329,MUSTERILER!$C$7:$C$106,0)),IFERROR(INDEX(MUSTERILER!$B$7:$B$106,MATCH($E329,MUSTERILER!$B$7:$B$106,0)),IFERROR(INDEX(MUSTERILER!$B$7:$B$106,MATCH($E329&amp;"*",MUSTERILER!$C$7:$C$106,0)),"TANIMSIZ MÜŞTERİ"))))</f>
        <v/>
      </c>
      <c r="E329" s="109" t="n"/>
      <c r="F329" s="109" t="n"/>
      <c r="G329" s="108" t="n"/>
      <c r="H329" s="225" t="n"/>
      <c r="I329" s="225" t="n"/>
      <c r="J329" s="108" t="n"/>
      <c r="K329" s="108" t="n"/>
      <c r="L329" s="109" t="n"/>
      <c r="M329" s="109" t="n"/>
      <c r="N329" s="109" t="n"/>
      <c r="O329" s="225" t="n"/>
      <c r="P329" s="232">
        <f>IF(OR($E329="",$I329=""),"",IF(OR($J329="Tamamlandı",$J329="İptal"),"",$I329-TODAY()))</f>
        <v/>
      </c>
      <c r="Q329" s="113">
        <f>IF($E329="","",IF($D329="TANIMSIZ MÜŞTERİ","HATA",IF(OR($J329="Tamamlandı",$J329="İptal"),"KAPALI",IF(AND($C329="Görüşme",$N329=""),"SONRAKİ İŞLEM EKSİK",IF($I329="","TARİH EKSİK",IF($I329&lt;TODAY(),"GECİKMİŞ",IF($I329=TODAY(),"BUGÜN",IF($I329&lt;=TODAY()+7,"7 GÜN İÇİNDE","PLANLI"))))))))</f>
        <v/>
      </c>
      <c r="R329" s="6" t="n"/>
      <c r="S329" s="6" t="n"/>
    </row>
    <row r="330">
      <c r="A330" s="6" t="n"/>
      <c r="B330" s="113">
        <f>IF($E330="","","A"&amp;TEXT(ROW()-6,"00000"))</f>
        <v/>
      </c>
      <c r="C330" s="108" t="n"/>
      <c r="D330" s="113">
        <f>IF($E330="","",IFERROR(INDEX(MUSTERILER!$B$7:$B$106,MATCH($E330,MUSTERILER!$C$7:$C$106,0)),IFERROR(INDEX(MUSTERILER!$B$7:$B$106,MATCH($E330,MUSTERILER!$B$7:$B$106,0)),IFERROR(INDEX(MUSTERILER!$B$7:$B$106,MATCH($E330&amp;"*",MUSTERILER!$C$7:$C$106,0)),"TANIMSIZ MÜŞTERİ"))))</f>
        <v/>
      </c>
      <c r="E330" s="109" t="n"/>
      <c r="F330" s="109" t="n"/>
      <c r="G330" s="108" t="n"/>
      <c r="H330" s="225" t="n"/>
      <c r="I330" s="225" t="n"/>
      <c r="J330" s="108" t="n"/>
      <c r="K330" s="108" t="n"/>
      <c r="L330" s="109" t="n"/>
      <c r="M330" s="109" t="n"/>
      <c r="N330" s="109" t="n"/>
      <c r="O330" s="225" t="n"/>
      <c r="P330" s="232">
        <f>IF(OR($E330="",$I330=""),"",IF(OR($J330="Tamamlandı",$J330="İptal"),"",$I330-TODAY()))</f>
        <v/>
      </c>
      <c r="Q330" s="113">
        <f>IF($E330="","",IF($D330="TANIMSIZ MÜŞTERİ","HATA",IF(OR($J330="Tamamlandı",$J330="İptal"),"KAPALI",IF(AND($C330="Görüşme",$N330=""),"SONRAKİ İŞLEM EKSİK",IF($I330="","TARİH EKSİK",IF($I330&lt;TODAY(),"GECİKMİŞ",IF($I330=TODAY(),"BUGÜN",IF($I330&lt;=TODAY()+7,"7 GÜN İÇİNDE","PLANLI"))))))))</f>
        <v/>
      </c>
      <c r="R330" s="6" t="n"/>
      <c r="S330" s="6" t="n"/>
    </row>
    <row r="331">
      <c r="A331" s="6" t="n"/>
      <c r="B331" s="113">
        <f>IF($E331="","","A"&amp;TEXT(ROW()-6,"00000"))</f>
        <v/>
      </c>
      <c r="C331" s="108" t="n"/>
      <c r="D331" s="113">
        <f>IF($E331="","",IFERROR(INDEX(MUSTERILER!$B$7:$B$106,MATCH($E331,MUSTERILER!$C$7:$C$106,0)),IFERROR(INDEX(MUSTERILER!$B$7:$B$106,MATCH($E331,MUSTERILER!$B$7:$B$106,0)),IFERROR(INDEX(MUSTERILER!$B$7:$B$106,MATCH($E331&amp;"*",MUSTERILER!$C$7:$C$106,0)),"TANIMSIZ MÜŞTERİ"))))</f>
        <v/>
      </c>
      <c r="E331" s="109" t="n"/>
      <c r="F331" s="109" t="n"/>
      <c r="G331" s="108" t="n"/>
      <c r="H331" s="225" t="n"/>
      <c r="I331" s="225" t="n"/>
      <c r="J331" s="108" t="n"/>
      <c r="K331" s="108" t="n"/>
      <c r="L331" s="109" t="n"/>
      <c r="M331" s="109" t="n"/>
      <c r="N331" s="109" t="n"/>
      <c r="O331" s="225" t="n"/>
      <c r="P331" s="232">
        <f>IF(OR($E331="",$I331=""),"",IF(OR($J331="Tamamlandı",$J331="İptal"),"",$I331-TODAY()))</f>
        <v/>
      </c>
      <c r="Q331" s="113">
        <f>IF($E331="","",IF($D331="TANIMSIZ MÜŞTERİ","HATA",IF(OR($J331="Tamamlandı",$J331="İptal"),"KAPALI",IF(AND($C331="Görüşme",$N331=""),"SONRAKİ İŞLEM EKSİK",IF($I331="","TARİH EKSİK",IF($I331&lt;TODAY(),"GECİKMİŞ",IF($I331=TODAY(),"BUGÜN",IF($I331&lt;=TODAY()+7,"7 GÜN İÇİNDE","PLANLI"))))))))</f>
        <v/>
      </c>
      <c r="R331" s="6" t="n"/>
      <c r="S331" s="6" t="n"/>
    </row>
    <row r="332">
      <c r="A332" s="6" t="n"/>
      <c r="B332" s="113">
        <f>IF($E332="","","A"&amp;TEXT(ROW()-6,"00000"))</f>
        <v/>
      </c>
      <c r="C332" s="108" t="n"/>
      <c r="D332" s="113">
        <f>IF($E332="","",IFERROR(INDEX(MUSTERILER!$B$7:$B$106,MATCH($E332,MUSTERILER!$C$7:$C$106,0)),IFERROR(INDEX(MUSTERILER!$B$7:$B$106,MATCH($E332,MUSTERILER!$B$7:$B$106,0)),IFERROR(INDEX(MUSTERILER!$B$7:$B$106,MATCH($E332&amp;"*",MUSTERILER!$C$7:$C$106,0)),"TANIMSIZ MÜŞTERİ"))))</f>
        <v/>
      </c>
      <c r="E332" s="109" t="n"/>
      <c r="F332" s="109" t="n"/>
      <c r="G332" s="108" t="n"/>
      <c r="H332" s="225" t="n"/>
      <c r="I332" s="225" t="n"/>
      <c r="J332" s="108" t="n"/>
      <c r="K332" s="108" t="n"/>
      <c r="L332" s="109" t="n"/>
      <c r="M332" s="109" t="n"/>
      <c r="N332" s="109" t="n"/>
      <c r="O332" s="225" t="n"/>
      <c r="P332" s="232">
        <f>IF(OR($E332="",$I332=""),"",IF(OR($J332="Tamamlandı",$J332="İptal"),"",$I332-TODAY()))</f>
        <v/>
      </c>
      <c r="Q332" s="113">
        <f>IF($E332="","",IF($D332="TANIMSIZ MÜŞTERİ","HATA",IF(OR($J332="Tamamlandı",$J332="İptal"),"KAPALI",IF(AND($C332="Görüşme",$N332=""),"SONRAKİ İŞLEM EKSİK",IF($I332="","TARİH EKSİK",IF($I332&lt;TODAY(),"GECİKMİŞ",IF($I332=TODAY(),"BUGÜN",IF($I332&lt;=TODAY()+7,"7 GÜN İÇİNDE","PLANLI"))))))))</f>
        <v/>
      </c>
      <c r="R332" s="6" t="n"/>
      <c r="S332" s="6" t="n"/>
    </row>
    <row r="333">
      <c r="A333" s="6" t="n"/>
      <c r="B333" s="113">
        <f>IF($E333="","","A"&amp;TEXT(ROW()-6,"00000"))</f>
        <v/>
      </c>
      <c r="C333" s="108" t="n"/>
      <c r="D333" s="113">
        <f>IF($E333="","",IFERROR(INDEX(MUSTERILER!$B$7:$B$106,MATCH($E333,MUSTERILER!$C$7:$C$106,0)),IFERROR(INDEX(MUSTERILER!$B$7:$B$106,MATCH($E333,MUSTERILER!$B$7:$B$106,0)),IFERROR(INDEX(MUSTERILER!$B$7:$B$106,MATCH($E333&amp;"*",MUSTERILER!$C$7:$C$106,0)),"TANIMSIZ MÜŞTERİ"))))</f>
        <v/>
      </c>
      <c r="E333" s="109" t="n"/>
      <c r="F333" s="109" t="n"/>
      <c r="G333" s="108" t="n"/>
      <c r="H333" s="225" t="n"/>
      <c r="I333" s="225" t="n"/>
      <c r="J333" s="108" t="n"/>
      <c r="K333" s="108" t="n"/>
      <c r="L333" s="109" t="n"/>
      <c r="M333" s="109" t="n"/>
      <c r="N333" s="109" t="n"/>
      <c r="O333" s="225" t="n"/>
      <c r="P333" s="232">
        <f>IF(OR($E333="",$I333=""),"",IF(OR($J333="Tamamlandı",$J333="İptal"),"",$I333-TODAY()))</f>
        <v/>
      </c>
      <c r="Q333" s="113">
        <f>IF($E333="","",IF($D333="TANIMSIZ MÜŞTERİ","HATA",IF(OR($J333="Tamamlandı",$J333="İptal"),"KAPALI",IF(AND($C333="Görüşme",$N333=""),"SONRAKİ İŞLEM EKSİK",IF($I333="","TARİH EKSİK",IF($I333&lt;TODAY(),"GECİKMİŞ",IF($I333=TODAY(),"BUGÜN",IF($I333&lt;=TODAY()+7,"7 GÜN İÇİNDE","PLANLI"))))))))</f>
        <v/>
      </c>
      <c r="R333" s="6" t="n"/>
      <c r="S333" s="6" t="n"/>
    </row>
    <row r="334">
      <c r="A334" s="6" t="n"/>
      <c r="B334" s="113">
        <f>IF($E334="","","A"&amp;TEXT(ROW()-6,"00000"))</f>
        <v/>
      </c>
      <c r="C334" s="108" t="n"/>
      <c r="D334" s="113">
        <f>IF($E334="","",IFERROR(INDEX(MUSTERILER!$B$7:$B$106,MATCH($E334,MUSTERILER!$C$7:$C$106,0)),IFERROR(INDEX(MUSTERILER!$B$7:$B$106,MATCH($E334,MUSTERILER!$B$7:$B$106,0)),IFERROR(INDEX(MUSTERILER!$B$7:$B$106,MATCH($E334&amp;"*",MUSTERILER!$C$7:$C$106,0)),"TANIMSIZ MÜŞTERİ"))))</f>
        <v/>
      </c>
      <c r="E334" s="109" t="n"/>
      <c r="F334" s="109" t="n"/>
      <c r="G334" s="108" t="n"/>
      <c r="H334" s="225" t="n"/>
      <c r="I334" s="225" t="n"/>
      <c r="J334" s="108" t="n"/>
      <c r="K334" s="108" t="n"/>
      <c r="L334" s="109" t="n"/>
      <c r="M334" s="109" t="n"/>
      <c r="N334" s="109" t="n"/>
      <c r="O334" s="225" t="n"/>
      <c r="P334" s="232">
        <f>IF(OR($E334="",$I334=""),"",IF(OR($J334="Tamamlandı",$J334="İptal"),"",$I334-TODAY()))</f>
        <v/>
      </c>
      <c r="Q334" s="113">
        <f>IF($E334="","",IF($D334="TANIMSIZ MÜŞTERİ","HATA",IF(OR($J334="Tamamlandı",$J334="İptal"),"KAPALI",IF(AND($C334="Görüşme",$N334=""),"SONRAKİ İŞLEM EKSİK",IF($I334="","TARİH EKSİK",IF($I334&lt;TODAY(),"GECİKMİŞ",IF($I334=TODAY(),"BUGÜN",IF($I334&lt;=TODAY()+7,"7 GÜN İÇİNDE","PLANLI"))))))))</f>
        <v/>
      </c>
      <c r="R334" s="6" t="n"/>
      <c r="S334" s="6" t="n"/>
    </row>
    <row r="335">
      <c r="A335" s="6" t="n"/>
      <c r="B335" s="113">
        <f>IF($E335="","","A"&amp;TEXT(ROW()-6,"00000"))</f>
        <v/>
      </c>
      <c r="C335" s="108" t="n"/>
      <c r="D335" s="113">
        <f>IF($E335="","",IFERROR(INDEX(MUSTERILER!$B$7:$B$106,MATCH($E335,MUSTERILER!$C$7:$C$106,0)),IFERROR(INDEX(MUSTERILER!$B$7:$B$106,MATCH($E335,MUSTERILER!$B$7:$B$106,0)),IFERROR(INDEX(MUSTERILER!$B$7:$B$106,MATCH($E335&amp;"*",MUSTERILER!$C$7:$C$106,0)),"TANIMSIZ MÜŞTERİ"))))</f>
        <v/>
      </c>
      <c r="E335" s="109" t="n"/>
      <c r="F335" s="109" t="n"/>
      <c r="G335" s="108" t="n"/>
      <c r="H335" s="225" t="n"/>
      <c r="I335" s="225" t="n"/>
      <c r="J335" s="108" t="n"/>
      <c r="K335" s="108" t="n"/>
      <c r="L335" s="109" t="n"/>
      <c r="M335" s="109" t="n"/>
      <c r="N335" s="109" t="n"/>
      <c r="O335" s="225" t="n"/>
      <c r="P335" s="232">
        <f>IF(OR($E335="",$I335=""),"",IF(OR($J335="Tamamlandı",$J335="İptal"),"",$I335-TODAY()))</f>
        <v/>
      </c>
      <c r="Q335" s="113">
        <f>IF($E335="","",IF($D335="TANIMSIZ MÜŞTERİ","HATA",IF(OR($J335="Tamamlandı",$J335="İptal"),"KAPALI",IF(AND($C335="Görüşme",$N335=""),"SONRAKİ İŞLEM EKSİK",IF($I335="","TARİH EKSİK",IF($I335&lt;TODAY(),"GECİKMİŞ",IF($I335=TODAY(),"BUGÜN",IF($I335&lt;=TODAY()+7,"7 GÜN İÇİNDE","PLANLI"))))))))</f>
        <v/>
      </c>
      <c r="R335" s="6" t="n"/>
      <c r="S335" s="6" t="n"/>
    </row>
    <row r="336">
      <c r="A336" s="6" t="n"/>
      <c r="B336" s="113">
        <f>IF($E336="","","A"&amp;TEXT(ROW()-6,"00000"))</f>
        <v/>
      </c>
      <c r="C336" s="108" t="n"/>
      <c r="D336" s="113">
        <f>IF($E336="","",IFERROR(INDEX(MUSTERILER!$B$7:$B$106,MATCH($E336,MUSTERILER!$C$7:$C$106,0)),IFERROR(INDEX(MUSTERILER!$B$7:$B$106,MATCH($E336,MUSTERILER!$B$7:$B$106,0)),IFERROR(INDEX(MUSTERILER!$B$7:$B$106,MATCH($E336&amp;"*",MUSTERILER!$C$7:$C$106,0)),"TANIMSIZ MÜŞTERİ"))))</f>
        <v/>
      </c>
      <c r="E336" s="109" t="n"/>
      <c r="F336" s="109" t="n"/>
      <c r="G336" s="108" t="n"/>
      <c r="H336" s="225" t="n"/>
      <c r="I336" s="225" t="n"/>
      <c r="J336" s="108" t="n"/>
      <c r="K336" s="108" t="n"/>
      <c r="L336" s="109" t="n"/>
      <c r="M336" s="109" t="n"/>
      <c r="N336" s="109" t="n"/>
      <c r="O336" s="225" t="n"/>
      <c r="P336" s="232">
        <f>IF(OR($E336="",$I336=""),"",IF(OR($J336="Tamamlandı",$J336="İptal"),"",$I336-TODAY()))</f>
        <v/>
      </c>
      <c r="Q336" s="113">
        <f>IF($E336="","",IF($D336="TANIMSIZ MÜŞTERİ","HATA",IF(OR($J336="Tamamlandı",$J336="İptal"),"KAPALI",IF(AND($C336="Görüşme",$N336=""),"SONRAKİ İŞLEM EKSİK",IF($I336="","TARİH EKSİK",IF($I336&lt;TODAY(),"GECİKMİŞ",IF($I336=TODAY(),"BUGÜN",IF($I336&lt;=TODAY()+7,"7 GÜN İÇİNDE","PLANLI"))))))))</f>
        <v/>
      </c>
      <c r="R336" s="6" t="n"/>
      <c r="S336" s="6" t="n"/>
    </row>
    <row r="337">
      <c r="A337" s="6" t="n"/>
      <c r="B337" s="113">
        <f>IF($E337="","","A"&amp;TEXT(ROW()-6,"00000"))</f>
        <v/>
      </c>
      <c r="C337" s="108" t="n"/>
      <c r="D337" s="113">
        <f>IF($E337="","",IFERROR(INDEX(MUSTERILER!$B$7:$B$106,MATCH($E337,MUSTERILER!$C$7:$C$106,0)),IFERROR(INDEX(MUSTERILER!$B$7:$B$106,MATCH($E337,MUSTERILER!$B$7:$B$106,0)),IFERROR(INDEX(MUSTERILER!$B$7:$B$106,MATCH($E337&amp;"*",MUSTERILER!$C$7:$C$106,0)),"TANIMSIZ MÜŞTERİ"))))</f>
        <v/>
      </c>
      <c r="E337" s="109" t="n"/>
      <c r="F337" s="109" t="n"/>
      <c r="G337" s="108" t="n"/>
      <c r="H337" s="225" t="n"/>
      <c r="I337" s="225" t="n"/>
      <c r="J337" s="108" t="n"/>
      <c r="K337" s="108" t="n"/>
      <c r="L337" s="109" t="n"/>
      <c r="M337" s="109" t="n"/>
      <c r="N337" s="109" t="n"/>
      <c r="O337" s="225" t="n"/>
      <c r="P337" s="232">
        <f>IF(OR($E337="",$I337=""),"",IF(OR($J337="Tamamlandı",$J337="İptal"),"",$I337-TODAY()))</f>
        <v/>
      </c>
      <c r="Q337" s="113">
        <f>IF($E337="","",IF($D337="TANIMSIZ MÜŞTERİ","HATA",IF(OR($J337="Tamamlandı",$J337="İptal"),"KAPALI",IF(AND($C337="Görüşme",$N337=""),"SONRAKİ İŞLEM EKSİK",IF($I337="","TARİH EKSİK",IF($I337&lt;TODAY(),"GECİKMİŞ",IF($I337=TODAY(),"BUGÜN",IF($I337&lt;=TODAY()+7,"7 GÜN İÇİNDE","PLANLI"))))))))</f>
        <v/>
      </c>
      <c r="R337" s="6" t="n"/>
      <c r="S337" s="6" t="n"/>
    </row>
    <row r="338">
      <c r="A338" s="6" t="n"/>
      <c r="B338" s="113">
        <f>IF($E338="","","A"&amp;TEXT(ROW()-6,"00000"))</f>
        <v/>
      </c>
      <c r="C338" s="108" t="n"/>
      <c r="D338" s="113">
        <f>IF($E338="","",IFERROR(INDEX(MUSTERILER!$B$7:$B$106,MATCH($E338,MUSTERILER!$C$7:$C$106,0)),IFERROR(INDEX(MUSTERILER!$B$7:$B$106,MATCH($E338,MUSTERILER!$B$7:$B$106,0)),IFERROR(INDEX(MUSTERILER!$B$7:$B$106,MATCH($E338&amp;"*",MUSTERILER!$C$7:$C$106,0)),"TANIMSIZ MÜŞTERİ"))))</f>
        <v/>
      </c>
      <c r="E338" s="109" t="n"/>
      <c r="F338" s="109" t="n"/>
      <c r="G338" s="108" t="n"/>
      <c r="H338" s="225" t="n"/>
      <c r="I338" s="225" t="n"/>
      <c r="J338" s="108" t="n"/>
      <c r="K338" s="108" t="n"/>
      <c r="L338" s="109" t="n"/>
      <c r="M338" s="109" t="n"/>
      <c r="N338" s="109" t="n"/>
      <c r="O338" s="225" t="n"/>
      <c r="P338" s="232">
        <f>IF(OR($E338="",$I338=""),"",IF(OR($J338="Tamamlandı",$J338="İptal"),"",$I338-TODAY()))</f>
        <v/>
      </c>
      <c r="Q338" s="113">
        <f>IF($E338="","",IF($D338="TANIMSIZ MÜŞTERİ","HATA",IF(OR($J338="Tamamlandı",$J338="İptal"),"KAPALI",IF(AND($C338="Görüşme",$N338=""),"SONRAKİ İŞLEM EKSİK",IF($I338="","TARİH EKSİK",IF($I338&lt;TODAY(),"GECİKMİŞ",IF($I338=TODAY(),"BUGÜN",IF($I338&lt;=TODAY()+7,"7 GÜN İÇİNDE","PLANLI"))))))))</f>
        <v/>
      </c>
      <c r="R338" s="6" t="n"/>
      <c r="S338" s="6" t="n"/>
    </row>
    <row r="339">
      <c r="A339" s="6" t="n"/>
      <c r="B339" s="113">
        <f>IF($E339="","","A"&amp;TEXT(ROW()-6,"00000"))</f>
        <v/>
      </c>
      <c r="C339" s="108" t="n"/>
      <c r="D339" s="113">
        <f>IF($E339="","",IFERROR(INDEX(MUSTERILER!$B$7:$B$106,MATCH($E339,MUSTERILER!$C$7:$C$106,0)),IFERROR(INDEX(MUSTERILER!$B$7:$B$106,MATCH($E339,MUSTERILER!$B$7:$B$106,0)),IFERROR(INDEX(MUSTERILER!$B$7:$B$106,MATCH($E339&amp;"*",MUSTERILER!$C$7:$C$106,0)),"TANIMSIZ MÜŞTERİ"))))</f>
        <v/>
      </c>
      <c r="E339" s="109" t="n"/>
      <c r="F339" s="109" t="n"/>
      <c r="G339" s="108" t="n"/>
      <c r="H339" s="225" t="n"/>
      <c r="I339" s="225" t="n"/>
      <c r="J339" s="108" t="n"/>
      <c r="K339" s="108" t="n"/>
      <c r="L339" s="109" t="n"/>
      <c r="M339" s="109" t="n"/>
      <c r="N339" s="109" t="n"/>
      <c r="O339" s="225" t="n"/>
      <c r="P339" s="232">
        <f>IF(OR($E339="",$I339=""),"",IF(OR($J339="Tamamlandı",$J339="İptal"),"",$I339-TODAY()))</f>
        <v/>
      </c>
      <c r="Q339" s="113">
        <f>IF($E339="","",IF($D339="TANIMSIZ MÜŞTERİ","HATA",IF(OR($J339="Tamamlandı",$J339="İptal"),"KAPALI",IF(AND($C339="Görüşme",$N339=""),"SONRAKİ İŞLEM EKSİK",IF($I339="","TARİH EKSİK",IF($I339&lt;TODAY(),"GECİKMİŞ",IF($I339=TODAY(),"BUGÜN",IF($I339&lt;=TODAY()+7,"7 GÜN İÇİNDE","PLANLI"))))))))</f>
        <v/>
      </c>
      <c r="R339" s="6" t="n"/>
      <c r="S339" s="6" t="n"/>
    </row>
    <row r="340">
      <c r="A340" s="6" t="n"/>
      <c r="B340" s="113">
        <f>IF($E340="","","A"&amp;TEXT(ROW()-6,"00000"))</f>
        <v/>
      </c>
      <c r="C340" s="108" t="n"/>
      <c r="D340" s="113">
        <f>IF($E340="","",IFERROR(INDEX(MUSTERILER!$B$7:$B$106,MATCH($E340,MUSTERILER!$C$7:$C$106,0)),IFERROR(INDEX(MUSTERILER!$B$7:$B$106,MATCH($E340,MUSTERILER!$B$7:$B$106,0)),IFERROR(INDEX(MUSTERILER!$B$7:$B$106,MATCH($E340&amp;"*",MUSTERILER!$C$7:$C$106,0)),"TANIMSIZ MÜŞTERİ"))))</f>
        <v/>
      </c>
      <c r="E340" s="109" t="n"/>
      <c r="F340" s="109" t="n"/>
      <c r="G340" s="108" t="n"/>
      <c r="H340" s="225" t="n"/>
      <c r="I340" s="225" t="n"/>
      <c r="J340" s="108" t="n"/>
      <c r="K340" s="108" t="n"/>
      <c r="L340" s="109" t="n"/>
      <c r="M340" s="109" t="n"/>
      <c r="N340" s="109" t="n"/>
      <c r="O340" s="225" t="n"/>
      <c r="P340" s="232">
        <f>IF(OR($E340="",$I340=""),"",IF(OR($J340="Tamamlandı",$J340="İptal"),"",$I340-TODAY()))</f>
        <v/>
      </c>
      <c r="Q340" s="113">
        <f>IF($E340="","",IF($D340="TANIMSIZ MÜŞTERİ","HATA",IF(OR($J340="Tamamlandı",$J340="İptal"),"KAPALI",IF(AND($C340="Görüşme",$N340=""),"SONRAKİ İŞLEM EKSİK",IF($I340="","TARİH EKSİK",IF($I340&lt;TODAY(),"GECİKMİŞ",IF($I340=TODAY(),"BUGÜN",IF($I340&lt;=TODAY()+7,"7 GÜN İÇİNDE","PLANLI"))))))))</f>
        <v/>
      </c>
      <c r="R340" s="6" t="n"/>
      <c r="S340" s="6" t="n"/>
    </row>
    <row r="341">
      <c r="A341" s="6" t="n"/>
      <c r="B341" s="113">
        <f>IF($E341="","","A"&amp;TEXT(ROW()-6,"00000"))</f>
        <v/>
      </c>
      <c r="C341" s="108" t="n"/>
      <c r="D341" s="113">
        <f>IF($E341="","",IFERROR(INDEX(MUSTERILER!$B$7:$B$106,MATCH($E341,MUSTERILER!$C$7:$C$106,0)),IFERROR(INDEX(MUSTERILER!$B$7:$B$106,MATCH($E341,MUSTERILER!$B$7:$B$106,0)),IFERROR(INDEX(MUSTERILER!$B$7:$B$106,MATCH($E341&amp;"*",MUSTERILER!$C$7:$C$106,0)),"TANIMSIZ MÜŞTERİ"))))</f>
        <v/>
      </c>
      <c r="E341" s="109" t="n"/>
      <c r="F341" s="109" t="n"/>
      <c r="G341" s="108" t="n"/>
      <c r="H341" s="225" t="n"/>
      <c r="I341" s="225" t="n"/>
      <c r="J341" s="108" t="n"/>
      <c r="K341" s="108" t="n"/>
      <c r="L341" s="109" t="n"/>
      <c r="M341" s="109" t="n"/>
      <c r="N341" s="109" t="n"/>
      <c r="O341" s="225" t="n"/>
      <c r="P341" s="232">
        <f>IF(OR($E341="",$I341=""),"",IF(OR($J341="Tamamlandı",$J341="İptal"),"",$I341-TODAY()))</f>
        <v/>
      </c>
      <c r="Q341" s="113">
        <f>IF($E341="","",IF($D341="TANIMSIZ MÜŞTERİ","HATA",IF(OR($J341="Tamamlandı",$J341="İptal"),"KAPALI",IF(AND($C341="Görüşme",$N341=""),"SONRAKİ İŞLEM EKSİK",IF($I341="","TARİH EKSİK",IF($I341&lt;TODAY(),"GECİKMİŞ",IF($I341=TODAY(),"BUGÜN",IF($I341&lt;=TODAY()+7,"7 GÜN İÇİNDE","PLANLI"))))))))</f>
        <v/>
      </c>
      <c r="R341" s="6" t="n"/>
      <c r="S341" s="6" t="n"/>
    </row>
    <row r="342">
      <c r="A342" s="6" t="n"/>
      <c r="B342" s="113">
        <f>IF($E342="","","A"&amp;TEXT(ROW()-6,"00000"))</f>
        <v/>
      </c>
      <c r="C342" s="108" t="n"/>
      <c r="D342" s="113">
        <f>IF($E342="","",IFERROR(INDEX(MUSTERILER!$B$7:$B$106,MATCH($E342,MUSTERILER!$C$7:$C$106,0)),IFERROR(INDEX(MUSTERILER!$B$7:$B$106,MATCH($E342,MUSTERILER!$B$7:$B$106,0)),IFERROR(INDEX(MUSTERILER!$B$7:$B$106,MATCH($E342&amp;"*",MUSTERILER!$C$7:$C$106,0)),"TANIMSIZ MÜŞTERİ"))))</f>
        <v/>
      </c>
      <c r="E342" s="109" t="n"/>
      <c r="F342" s="109" t="n"/>
      <c r="G342" s="108" t="n"/>
      <c r="H342" s="225" t="n"/>
      <c r="I342" s="225" t="n"/>
      <c r="J342" s="108" t="n"/>
      <c r="K342" s="108" t="n"/>
      <c r="L342" s="109" t="n"/>
      <c r="M342" s="109" t="n"/>
      <c r="N342" s="109" t="n"/>
      <c r="O342" s="225" t="n"/>
      <c r="P342" s="232">
        <f>IF(OR($E342="",$I342=""),"",IF(OR($J342="Tamamlandı",$J342="İptal"),"",$I342-TODAY()))</f>
        <v/>
      </c>
      <c r="Q342" s="113">
        <f>IF($E342="","",IF($D342="TANIMSIZ MÜŞTERİ","HATA",IF(OR($J342="Tamamlandı",$J342="İptal"),"KAPALI",IF(AND($C342="Görüşme",$N342=""),"SONRAKİ İŞLEM EKSİK",IF($I342="","TARİH EKSİK",IF($I342&lt;TODAY(),"GECİKMİŞ",IF($I342=TODAY(),"BUGÜN",IF($I342&lt;=TODAY()+7,"7 GÜN İÇİNDE","PLANLI"))))))))</f>
        <v/>
      </c>
      <c r="R342" s="6" t="n"/>
      <c r="S342" s="6" t="n"/>
    </row>
    <row r="343">
      <c r="A343" s="6" t="n"/>
      <c r="B343" s="113">
        <f>IF($E343="","","A"&amp;TEXT(ROW()-6,"00000"))</f>
        <v/>
      </c>
      <c r="C343" s="108" t="n"/>
      <c r="D343" s="113">
        <f>IF($E343="","",IFERROR(INDEX(MUSTERILER!$B$7:$B$106,MATCH($E343,MUSTERILER!$C$7:$C$106,0)),IFERROR(INDEX(MUSTERILER!$B$7:$B$106,MATCH($E343,MUSTERILER!$B$7:$B$106,0)),IFERROR(INDEX(MUSTERILER!$B$7:$B$106,MATCH($E343&amp;"*",MUSTERILER!$C$7:$C$106,0)),"TANIMSIZ MÜŞTERİ"))))</f>
        <v/>
      </c>
      <c r="E343" s="109" t="n"/>
      <c r="F343" s="109" t="n"/>
      <c r="G343" s="108" t="n"/>
      <c r="H343" s="225" t="n"/>
      <c r="I343" s="225" t="n"/>
      <c r="J343" s="108" t="n"/>
      <c r="K343" s="108" t="n"/>
      <c r="L343" s="109" t="n"/>
      <c r="M343" s="109" t="n"/>
      <c r="N343" s="109" t="n"/>
      <c r="O343" s="225" t="n"/>
      <c r="P343" s="232">
        <f>IF(OR($E343="",$I343=""),"",IF(OR($J343="Tamamlandı",$J343="İptal"),"",$I343-TODAY()))</f>
        <v/>
      </c>
      <c r="Q343" s="113">
        <f>IF($E343="","",IF($D343="TANIMSIZ MÜŞTERİ","HATA",IF(OR($J343="Tamamlandı",$J343="İptal"),"KAPALI",IF(AND($C343="Görüşme",$N343=""),"SONRAKİ İŞLEM EKSİK",IF($I343="","TARİH EKSİK",IF($I343&lt;TODAY(),"GECİKMİŞ",IF($I343=TODAY(),"BUGÜN",IF($I343&lt;=TODAY()+7,"7 GÜN İÇİNDE","PLANLI"))))))))</f>
        <v/>
      </c>
      <c r="R343" s="6" t="n"/>
      <c r="S343" s="6" t="n"/>
    </row>
    <row r="344">
      <c r="A344" s="6" t="n"/>
      <c r="B344" s="113">
        <f>IF($E344="","","A"&amp;TEXT(ROW()-6,"00000"))</f>
        <v/>
      </c>
      <c r="C344" s="108" t="n"/>
      <c r="D344" s="113">
        <f>IF($E344="","",IFERROR(INDEX(MUSTERILER!$B$7:$B$106,MATCH($E344,MUSTERILER!$C$7:$C$106,0)),IFERROR(INDEX(MUSTERILER!$B$7:$B$106,MATCH($E344,MUSTERILER!$B$7:$B$106,0)),IFERROR(INDEX(MUSTERILER!$B$7:$B$106,MATCH($E344&amp;"*",MUSTERILER!$C$7:$C$106,0)),"TANIMSIZ MÜŞTERİ"))))</f>
        <v/>
      </c>
      <c r="E344" s="109" t="n"/>
      <c r="F344" s="109" t="n"/>
      <c r="G344" s="108" t="n"/>
      <c r="H344" s="225" t="n"/>
      <c r="I344" s="225" t="n"/>
      <c r="J344" s="108" t="n"/>
      <c r="K344" s="108" t="n"/>
      <c r="L344" s="109" t="n"/>
      <c r="M344" s="109" t="n"/>
      <c r="N344" s="109" t="n"/>
      <c r="O344" s="225" t="n"/>
      <c r="P344" s="232">
        <f>IF(OR($E344="",$I344=""),"",IF(OR($J344="Tamamlandı",$J344="İptal"),"",$I344-TODAY()))</f>
        <v/>
      </c>
      <c r="Q344" s="113">
        <f>IF($E344="","",IF($D344="TANIMSIZ MÜŞTERİ","HATA",IF(OR($J344="Tamamlandı",$J344="İptal"),"KAPALI",IF(AND($C344="Görüşme",$N344=""),"SONRAKİ İŞLEM EKSİK",IF($I344="","TARİH EKSİK",IF($I344&lt;TODAY(),"GECİKMİŞ",IF($I344=TODAY(),"BUGÜN",IF($I344&lt;=TODAY()+7,"7 GÜN İÇİNDE","PLANLI"))))))))</f>
        <v/>
      </c>
      <c r="R344" s="6" t="n"/>
      <c r="S344" s="6" t="n"/>
    </row>
    <row r="345">
      <c r="A345" s="6" t="n"/>
      <c r="B345" s="113">
        <f>IF($E345="","","A"&amp;TEXT(ROW()-6,"00000"))</f>
        <v/>
      </c>
      <c r="C345" s="108" t="n"/>
      <c r="D345" s="113">
        <f>IF($E345="","",IFERROR(INDEX(MUSTERILER!$B$7:$B$106,MATCH($E345,MUSTERILER!$C$7:$C$106,0)),IFERROR(INDEX(MUSTERILER!$B$7:$B$106,MATCH($E345,MUSTERILER!$B$7:$B$106,0)),IFERROR(INDEX(MUSTERILER!$B$7:$B$106,MATCH($E345&amp;"*",MUSTERILER!$C$7:$C$106,0)),"TANIMSIZ MÜŞTERİ"))))</f>
        <v/>
      </c>
      <c r="E345" s="109" t="n"/>
      <c r="F345" s="109" t="n"/>
      <c r="G345" s="108" t="n"/>
      <c r="H345" s="225" t="n"/>
      <c r="I345" s="225" t="n"/>
      <c r="J345" s="108" t="n"/>
      <c r="K345" s="108" t="n"/>
      <c r="L345" s="109" t="n"/>
      <c r="M345" s="109" t="n"/>
      <c r="N345" s="109" t="n"/>
      <c r="O345" s="225" t="n"/>
      <c r="P345" s="232">
        <f>IF(OR($E345="",$I345=""),"",IF(OR($J345="Tamamlandı",$J345="İptal"),"",$I345-TODAY()))</f>
        <v/>
      </c>
      <c r="Q345" s="113">
        <f>IF($E345="","",IF($D345="TANIMSIZ MÜŞTERİ","HATA",IF(OR($J345="Tamamlandı",$J345="İptal"),"KAPALI",IF(AND($C345="Görüşme",$N345=""),"SONRAKİ İŞLEM EKSİK",IF($I345="","TARİH EKSİK",IF($I345&lt;TODAY(),"GECİKMİŞ",IF($I345=TODAY(),"BUGÜN",IF($I345&lt;=TODAY()+7,"7 GÜN İÇİNDE","PLANLI"))))))))</f>
        <v/>
      </c>
      <c r="R345" s="6" t="n"/>
      <c r="S345" s="6" t="n"/>
    </row>
    <row r="346">
      <c r="A346" s="6" t="n"/>
      <c r="B346" s="113">
        <f>IF($E346="","","A"&amp;TEXT(ROW()-6,"00000"))</f>
        <v/>
      </c>
      <c r="C346" s="108" t="n"/>
      <c r="D346" s="113">
        <f>IF($E346="","",IFERROR(INDEX(MUSTERILER!$B$7:$B$106,MATCH($E346,MUSTERILER!$C$7:$C$106,0)),IFERROR(INDEX(MUSTERILER!$B$7:$B$106,MATCH($E346,MUSTERILER!$B$7:$B$106,0)),IFERROR(INDEX(MUSTERILER!$B$7:$B$106,MATCH($E346&amp;"*",MUSTERILER!$C$7:$C$106,0)),"TANIMSIZ MÜŞTERİ"))))</f>
        <v/>
      </c>
      <c r="E346" s="109" t="n"/>
      <c r="F346" s="109" t="n"/>
      <c r="G346" s="108" t="n"/>
      <c r="H346" s="225" t="n"/>
      <c r="I346" s="225" t="n"/>
      <c r="J346" s="108" t="n"/>
      <c r="K346" s="108" t="n"/>
      <c r="L346" s="109" t="n"/>
      <c r="M346" s="109" t="n"/>
      <c r="N346" s="109" t="n"/>
      <c r="O346" s="225" t="n"/>
      <c r="P346" s="232">
        <f>IF(OR($E346="",$I346=""),"",IF(OR($J346="Tamamlandı",$J346="İptal"),"",$I346-TODAY()))</f>
        <v/>
      </c>
      <c r="Q346" s="113">
        <f>IF($E346="","",IF($D346="TANIMSIZ MÜŞTERİ","HATA",IF(OR($J346="Tamamlandı",$J346="İptal"),"KAPALI",IF(AND($C346="Görüşme",$N346=""),"SONRAKİ İŞLEM EKSİK",IF($I346="","TARİH EKSİK",IF($I346&lt;TODAY(),"GECİKMİŞ",IF($I346=TODAY(),"BUGÜN",IF($I346&lt;=TODAY()+7,"7 GÜN İÇİNDE","PLANLI"))))))))</f>
        <v/>
      </c>
      <c r="R346" s="6" t="n"/>
      <c r="S346" s="6" t="n"/>
    </row>
    <row r="347">
      <c r="A347" s="6" t="n"/>
      <c r="B347" s="113">
        <f>IF($E347="","","A"&amp;TEXT(ROW()-6,"00000"))</f>
        <v/>
      </c>
      <c r="C347" s="108" t="n"/>
      <c r="D347" s="113">
        <f>IF($E347="","",IFERROR(INDEX(MUSTERILER!$B$7:$B$106,MATCH($E347,MUSTERILER!$C$7:$C$106,0)),IFERROR(INDEX(MUSTERILER!$B$7:$B$106,MATCH($E347,MUSTERILER!$B$7:$B$106,0)),IFERROR(INDEX(MUSTERILER!$B$7:$B$106,MATCH($E347&amp;"*",MUSTERILER!$C$7:$C$106,0)),"TANIMSIZ MÜŞTERİ"))))</f>
        <v/>
      </c>
      <c r="E347" s="109" t="n"/>
      <c r="F347" s="109" t="n"/>
      <c r="G347" s="108" t="n"/>
      <c r="H347" s="225" t="n"/>
      <c r="I347" s="225" t="n"/>
      <c r="J347" s="108" t="n"/>
      <c r="K347" s="108" t="n"/>
      <c r="L347" s="109" t="n"/>
      <c r="M347" s="109" t="n"/>
      <c r="N347" s="109" t="n"/>
      <c r="O347" s="225" t="n"/>
      <c r="P347" s="232">
        <f>IF(OR($E347="",$I347=""),"",IF(OR($J347="Tamamlandı",$J347="İptal"),"",$I347-TODAY()))</f>
        <v/>
      </c>
      <c r="Q347" s="113">
        <f>IF($E347="","",IF($D347="TANIMSIZ MÜŞTERİ","HATA",IF(OR($J347="Tamamlandı",$J347="İptal"),"KAPALI",IF(AND($C347="Görüşme",$N347=""),"SONRAKİ İŞLEM EKSİK",IF($I347="","TARİH EKSİK",IF($I347&lt;TODAY(),"GECİKMİŞ",IF($I347=TODAY(),"BUGÜN",IF($I347&lt;=TODAY()+7,"7 GÜN İÇİNDE","PLANLI"))))))))</f>
        <v/>
      </c>
      <c r="R347" s="6" t="n"/>
      <c r="S347" s="6" t="n"/>
    </row>
    <row r="348">
      <c r="A348" s="6" t="n"/>
      <c r="B348" s="113">
        <f>IF($E348="","","A"&amp;TEXT(ROW()-6,"00000"))</f>
        <v/>
      </c>
      <c r="C348" s="108" t="n"/>
      <c r="D348" s="113">
        <f>IF($E348="","",IFERROR(INDEX(MUSTERILER!$B$7:$B$106,MATCH($E348,MUSTERILER!$C$7:$C$106,0)),IFERROR(INDEX(MUSTERILER!$B$7:$B$106,MATCH($E348,MUSTERILER!$B$7:$B$106,0)),IFERROR(INDEX(MUSTERILER!$B$7:$B$106,MATCH($E348&amp;"*",MUSTERILER!$C$7:$C$106,0)),"TANIMSIZ MÜŞTERİ"))))</f>
        <v/>
      </c>
      <c r="E348" s="109" t="n"/>
      <c r="F348" s="109" t="n"/>
      <c r="G348" s="108" t="n"/>
      <c r="H348" s="225" t="n"/>
      <c r="I348" s="225" t="n"/>
      <c r="J348" s="108" t="n"/>
      <c r="K348" s="108" t="n"/>
      <c r="L348" s="109" t="n"/>
      <c r="M348" s="109" t="n"/>
      <c r="N348" s="109" t="n"/>
      <c r="O348" s="225" t="n"/>
      <c r="P348" s="232">
        <f>IF(OR($E348="",$I348=""),"",IF(OR($J348="Tamamlandı",$J348="İptal"),"",$I348-TODAY()))</f>
        <v/>
      </c>
      <c r="Q348" s="113">
        <f>IF($E348="","",IF($D348="TANIMSIZ MÜŞTERİ","HATA",IF(OR($J348="Tamamlandı",$J348="İptal"),"KAPALI",IF(AND($C348="Görüşme",$N348=""),"SONRAKİ İŞLEM EKSİK",IF($I348="","TARİH EKSİK",IF($I348&lt;TODAY(),"GECİKMİŞ",IF($I348=TODAY(),"BUGÜN",IF($I348&lt;=TODAY()+7,"7 GÜN İÇİNDE","PLANLI"))))))))</f>
        <v/>
      </c>
      <c r="R348" s="6" t="n"/>
      <c r="S348" s="6" t="n"/>
    </row>
    <row r="349">
      <c r="A349" s="6" t="n"/>
      <c r="B349" s="113">
        <f>IF($E349="","","A"&amp;TEXT(ROW()-6,"00000"))</f>
        <v/>
      </c>
      <c r="C349" s="108" t="n"/>
      <c r="D349" s="113">
        <f>IF($E349="","",IFERROR(INDEX(MUSTERILER!$B$7:$B$106,MATCH($E349,MUSTERILER!$C$7:$C$106,0)),IFERROR(INDEX(MUSTERILER!$B$7:$B$106,MATCH($E349,MUSTERILER!$B$7:$B$106,0)),IFERROR(INDEX(MUSTERILER!$B$7:$B$106,MATCH($E349&amp;"*",MUSTERILER!$C$7:$C$106,0)),"TANIMSIZ MÜŞTERİ"))))</f>
        <v/>
      </c>
      <c r="E349" s="109" t="n"/>
      <c r="F349" s="109" t="n"/>
      <c r="G349" s="108" t="n"/>
      <c r="H349" s="225" t="n"/>
      <c r="I349" s="225" t="n"/>
      <c r="J349" s="108" t="n"/>
      <c r="K349" s="108" t="n"/>
      <c r="L349" s="109" t="n"/>
      <c r="M349" s="109" t="n"/>
      <c r="N349" s="109" t="n"/>
      <c r="O349" s="225" t="n"/>
      <c r="P349" s="232">
        <f>IF(OR($E349="",$I349=""),"",IF(OR($J349="Tamamlandı",$J349="İptal"),"",$I349-TODAY()))</f>
        <v/>
      </c>
      <c r="Q349" s="113">
        <f>IF($E349="","",IF($D349="TANIMSIZ MÜŞTERİ","HATA",IF(OR($J349="Tamamlandı",$J349="İptal"),"KAPALI",IF(AND($C349="Görüşme",$N349=""),"SONRAKİ İŞLEM EKSİK",IF($I349="","TARİH EKSİK",IF($I349&lt;TODAY(),"GECİKMİŞ",IF($I349=TODAY(),"BUGÜN",IF($I349&lt;=TODAY()+7,"7 GÜN İÇİNDE","PLANLI"))))))))</f>
        <v/>
      </c>
      <c r="R349" s="6" t="n"/>
      <c r="S349" s="6" t="n"/>
    </row>
    <row r="350">
      <c r="A350" s="6" t="n"/>
      <c r="B350" s="113">
        <f>IF($E350="","","A"&amp;TEXT(ROW()-6,"00000"))</f>
        <v/>
      </c>
      <c r="C350" s="108" t="n"/>
      <c r="D350" s="113">
        <f>IF($E350="","",IFERROR(INDEX(MUSTERILER!$B$7:$B$106,MATCH($E350,MUSTERILER!$C$7:$C$106,0)),IFERROR(INDEX(MUSTERILER!$B$7:$B$106,MATCH($E350,MUSTERILER!$B$7:$B$106,0)),IFERROR(INDEX(MUSTERILER!$B$7:$B$106,MATCH($E350&amp;"*",MUSTERILER!$C$7:$C$106,0)),"TANIMSIZ MÜŞTERİ"))))</f>
        <v/>
      </c>
      <c r="E350" s="109" t="n"/>
      <c r="F350" s="109" t="n"/>
      <c r="G350" s="108" t="n"/>
      <c r="H350" s="225" t="n"/>
      <c r="I350" s="225" t="n"/>
      <c r="J350" s="108" t="n"/>
      <c r="K350" s="108" t="n"/>
      <c r="L350" s="109" t="n"/>
      <c r="M350" s="109" t="n"/>
      <c r="N350" s="109" t="n"/>
      <c r="O350" s="225" t="n"/>
      <c r="P350" s="232">
        <f>IF(OR($E350="",$I350=""),"",IF(OR($J350="Tamamlandı",$J350="İptal"),"",$I350-TODAY()))</f>
        <v/>
      </c>
      <c r="Q350" s="113">
        <f>IF($E350="","",IF($D350="TANIMSIZ MÜŞTERİ","HATA",IF(OR($J350="Tamamlandı",$J350="İptal"),"KAPALI",IF(AND($C350="Görüşme",$N350=""),"SONRAKİ İŞLEM EKSİK",IF($I350="","TARİH EKSİK",IF($I350&lt;TODAY(),"GECİKMİŞ",IF($I350=TODAY(),"BUGÜN",IF($I350&lt;=TODAY()+7,"7 GÜN İÇİNDE","PLANLI"))))))))</f>
        <v/>
      </c>
      <c r="R350" s="6" t="n"/>
      <c r="S350" s="6" t="n"/>
    </row>
    <row r="351">
      <c r="A351" s="6" t="n"/>
      <c r="B351" s="113">
        <f>IF($E351="","","A"&amp;TEXT(ROW()-6,"00000"))</f>
        <v/>
      </c>
      <c r="C351" s="108" t="n"/>
      <c r="D351" s="113">
        <f>IF($E351="","",IFERROR(INDEX(MUSTERILER!$B$7:$B$106,MATCH($E351,MUSTERILER!$C$7:$C$106,0)),IFERROR(INDEX(MUSTERILER!$B$7:$B$106,MATCH($E351,MUSTERILER!$B$7:$B$106,0)),IFERROR(INDEX(MUSTERILER!$B$7:$B$106,MATCH($E351&amp;"*",MUSTERILER!$C$7:$C$106,0)),"TANIMSIZ MÜŞTERİ"))))</f>
        <v/>
      </c>
      <c r="E351" s="109" t="n"/>
      <c r="F351" s="109" t="n"/>
      <c r="G351" s="108" t="n"/>
      <c r="H351" s="225" t="n"/>
      <c r="I351" s="225" t="n"/>
      <c r="J351" s="108" t="n"/>
      <c r="K351" s="108" t="n"/>
      <c r="L351" s="109" t="n"/>
      <c r="M351" s="109" t="n"/>
      <c r="N351" s="109" t="n"/>
      <c r="O351" s="225" t="n"/>
      <c r="P351" s="232">
        <f>IF(OR($E351="",$I351=""),"",IF(OR($J351="Tamamlandı",$J351="İptal"),"",$I351-TODAY()))</f>
        <v/>
      </c>
      <c r="Q351" s="113">
        <f>IF($E351="","",IF($D351="TANIMSIZ MÜŞTERİ","HATA",IF(OR($J351="Tamamlandı",$J351="İptal"),"KAPALI",IF(AND($C351="Görüşme",$N351=""),"SONRAKİ İŞLEM EKSİK",IF($I351="","TARİH EKSİK",IF($I351&lt;TODAY(),"GECİKMİŞ",IF($I351=TODAY(),"BUGÜN",IF($I351&lt;=TODAY()+7,"7 GÜN İÇİNDE","PLANLI"))))))))</f>
        <v/>
      </c>
      <c r="R351" s="6" t="n"/>
      <c r="S351" s="6" t="n"/>
    </row>
    <row r="352">
      <c r="A352" s="6" t="n"/>
      <c r="B352" s="113">
        <f>IF($E352="","","A"&amp;TEXT(ROW()-6,"00000"))</f>
        <v/>
      </c>
      <c r="C352" s="108" t="n"/>
      <c r="D352" s="113">
        <f>IF($E352="","",IFERROR(INDEX(MUSTERILER!$B$7:$B$106,MATCH($E352,MUSTERILER!$C$7:$C$106,0)),IFERROR(INDEX(MUSTERILER!$B$7:$B$106,MATCH($E352,MUSTERILER!$B$7:$B$106,0)),IFERROR(INDEX(MUSTERILER!$B$7:$B$106,MATCH($E352&amp;"*",MUSTERILER!$C$7:$C$106,0)),"TANIMSIZ MÜŞTERİ"))))</f>
        <v/>
      </c>
      <c r="E352" s="109" t="n"/>
      <c r="F352" s="109" t="n"/>
      <c r="G352" s="108" t="n"/>
      <c r="H352" s="225" t="n"/>
      <c r="I352" s="225" t="n"/>
      <c r="J352" s="108" t="n"/>
      <c r="K352" s="108" t="n"/>
      <c r="L352" s="109" t="n"/>
      <c r="M352" s="109" t="n"/>
      <c r="N352" s="109" t="n"/>
      <c r="O352" s="225" t="n"/>
      <c r="P352" s="232">
        <f>IF(OR($E352="",$I352=""),"",IF(OR($J352="Tamamlandı",$J352="İptal"),"",$I352-TODAY()))</f>
        <v/>
      </c>
      <c r="Q352" s="113">
        <f>IF($E352="","",IF($D352="TANIMSIZ MÜŞTERİ","HATA",IF(OR($J352="Tamamlandı",$J352="İptal"),"KAPALI",IF(AND($C352="Görüşme",$N352=""),"SONRAKİ İŞLEM EKSİK",IF($I352="","TARİH EKSİK",IF($I352&lt;TODAY(),"GECİKMİŞ",IF($I352=TODAY(),"BUGÜN",IF($I352&lt;=TODAY()+7,"7 GÜN İÇİNDE","PLANLI"))))))))</f>
        <v/>
      </c>
      <c r="R352" s="6" t="n"/>
      <c r="S352" s="6" t="n"/>
    </row>
    <row r="353">
      <c r="A353" s="6" t="n"/>
      <c r="B353" s="113">
        <f>IF($E353="","","A"&amp;TEXT(ROW()-6,"00000"))</f>
        <v/>
      </c>
      <c r="C353" s="108" t="n"/>
      <c r="D353" s="113">
        <f>IF($E353="","",IFERROR(INDEX(MUSTERILER!$B$7:$B$106,MATCH($E353,MUSTERILER!$C$7:$C$106,0)),IFERROR(INDEX(MUSTERILER!$B$7:$B$106,MATCH($E353,MUSTERILER!$B$7:$B$106,0)),IFERROR(INDEX(MUSTERILER!$B$7:$B$106,MATCH($E353&amp;"*",MUSTERILER!$C$7:$C$106,0)),"TANIMSIZ MÜŞTERİ"))))</f>
        <v/>
      </c>
      <c r="E353" s="109" t="n"/>
      <c r="F353" s="109" t="n"/>
      <c r="G353" s="108" t="n"/>
      <c r="H353" s="225" t="n"/>
      <c r="I353" s="225" t="n"/>
      <c r="J353" s="108" t="n"/>
      <c r="K353" s="108" t="n"/>
      <c r="L353" s="109" t="n"/>
      <c r="M353" s="109" t="n"/>
      <c r="N353" s="109" t="n"/>
      <c r="O353" s="225" t="n"/>
      <c r="P353" s="232">
        <f>IF(OR($E353="",$I353=""),"",IF(OR($J353="Tamamlandı",$J353="İptal"),"",$I353-TODAY()))</f>
        <v/>
      </c>
      <c r="Q353" s="113">
        <f>IF($E353="","",IF($D353="TANIMSIZ MÜŞTERİ","HATA",IF(OR($J353="Tamamlandı",$J353="İptal"),"KAPALI",IF(AND($C353="Görüşme",$N353=""),"SONRAKİ İŞLEM EKSİK",IF($I353="","TARİH EKSİK",IF($I353&lt;TODAY(),"GECİKMİŞ",IF($I353=TODAY(),"BUGÜN",IF($I353&lt;=TODAY()+7,"7 GÜN İÇİNDE","PLANLI"))))))))</f>
        <v/>
      </c>
      <c r="R353" s="6" t="n"/>
      <c r="S353" s="6" t="n"/>
    </row>
    <row r="354">
      <c r="A354" s="6" t="n"/>
      <c r="B354" s="113">
        <f>IF($E354="","","A"&amp;TEXT(ROW()-6,"00000"))</f>
        <v/>
      </c>
      <c r="C354" s="108" t="n"/>
      <c r="D354" s="113">
        <f>IF($E354="","",IFERROR(INDEX(MUSTERILER!$B$7:$B$106,MATCH($E354,MUSTERILER!$C$7:$C$106,0)),IFERROR(INDEX(MUSTERILER!$B$7:$B$106,MATCH($E354,MUSTERILER!$B$7:$B$106,0)),IFERROR(INDEX(MUSTERILER!$B$7:$B$106,MATCH($E354&amp;"*",MUSTERILER!$C$7:$C$106,0)),"TANIMSIZ MÜŞTERİ"))))</f>
        <v/>
      </c>
      <c r="E354" s="109" t="n"/>
      <c r="F354" s="109" t="n"/>
      <c r="G354" s="108" t="n"/>
      <c r="H354" s="225" t="n"/>
      <c r="I354" s="225" t="n"/>
      <c r="J354" s="108" t="n"/>
      <c r="K354" s="108" t="n"/>
      <c r="L354" s="109" t="n"/>
      <c r="M354" s="109" t="n"/>
      <c r="N354" s="109" t="n"/>
      <c r="O354" s="225" t="n"/>
      <c r="P354" s="232">
        <f>IF(OR($E354="",$I354=""),"",IF(OR($J354="Tamamlandı",$J354="İptal"),"",$I354-TODAY()))</f>
        <v/>
      </c>
      <c r="Q354" s="113">
        <f>IF($E354="","",IF($D354="TANIMSIZ MÜŞTERİ","HATA",IF(OR($J354="Tamamlandı",$J354="İptal"),"KAPALI",IF(AND($C354="Görüşme",$N354=""),"SONRAKİ İŞLEM EKSİK",IF($I354="","TARİH EKSİK",IF($I354&lt;TODAY(),"GECİKMİŞ",IF($I354=TODAY(),"BUGÜN",IF($I354&lt;=TODAY()+7,"7 GÜN İÇİNDE","PLANLI"))))))))</f>
        <v/>
      </c>
      <c r="R354" s="6" t="n"/>
      <c r="S354" s="6" t="n"/>
    </row>
    <row r="355">
      <c r="A355" s="6" t="n"/>
      <c r="B355" s="113">
        <f>IF($E355="","","A"&amp;TEXT(ROW()-6,"00000"))</f>
        <v/>
      </c>
      <c r="C355" s="108" t="n"/>
      <c r="D355" s="113">
        <f>IF($E355="","",IFERROR(INDEX(MUSTERILER!$B$7:$B$106,MATCH($E355,MUSTERILER!$C$7:$C$106,0)),IFERROR(INDEX(MUSTERILER!$B$7:$B$106,MATCH($E355,MUSTERILER!$B$7:$B$106,0)),IFERROR(INDEX(MUSTERILER!$B$7:$B$106,MATCH($E355&amp;"*",MUSTERILER!$C$7:$C$106,0)),"TANIMSIZ MÜŞTERİ"))))</f>
        <v/>
      </c>
      <c r="E355" s="109" t="n"/>
      <c r="F355" s="109" t="n"/>
      <c r="G355" s="108" t="n"/>
      <c r="H355" s="225" t="n"/>
      <c r="I355" s="225" t="n"/>
      <c r="J355" s="108" t="n"/>
      <c r="K355" s="108" t="n"/>
      <c r="L355" s="109" t="n"/>
      <c r="M355" s="109" t="n"/>
      <c r="N355" s="109" t="n"/>
      <c r="O355" s="225" t="n"/>
      <c r="P355" s="232">
        <f>IF(OR($E355="",$I355=""),"",IF(OR($J355="Tamamlandı",$J355="İptal"),"",$I355-TODAY()))</f>
        <v/>
      </c>
      <c r="Q355" s="113">
        <f>IF($E355="","",IF($D355="TANIMSIZ MÜŞTERİ","HATA",IF(OR($J355="Tamamlandı",$J355="İptal"),"KAPALI",IF(AND($C355="Görüşme",$N355=""),"SONRAKİ İŞLEM EKSİK",IF($I355="","TARİH EKSİK",IF($I355&lt;TODAY(),"GECİKMİŞ",IF($I355=TODAY(),"BUGÜN",IF($I355&lt;=TODAY()+7,"7 GÜN İÇİNDE","PLANLI"))))))))</f>
        <v/>
      </c>
      <c r="R355" s="6" t="n"/>
      <c r="S355" s="6" t="n"/>
    </row>
    <row r="356">
      <c r="A356" s="6" t="n"/>
      <c r="B356" s="113">
        <f>IF($E356="","","A"&amp;TEXT(ROW()-6,"00000"))</f>
        <v/>
      </c>
      <c r="C356" s="108" t="n"/>
      <c r="D356" s="113">
        <f>IF($E356="","",IFERROR(INDEX(MUSTERILER!$B$7:$B$106,MATCH($E356,MUSTERILER!$C$7:$C$106,0)),IFERROR(INDEX(MUSTERILER!$B$7:$B$106,MATCH($E356,MUSTERILER!$B$7:$B$106,0)),IFERROR(INDEX(MUSTERILER!$B$7:$B$106,MATCH($E356&amp;"*",MUSTERILER!$C$7:$C$106,0)),"TANIMSIZ MÜŞTERİ"))))</f>
        <v/>
      </c>
      <c r="E356" s="109" t="n"/>
      <c r="F356" s="109" t="n"/>
      <c r="G356" s="108" t="n"/>
      <c r="H356" s="225" t="n"/>
      <c r="I356" s="225" t="n"/>
      <c r="J356" s="108" t="n"/>
      <c r="K356" s="108" t="n"/>
      <c r="L356" s="109" t="n"/>
      <c r="M356" s="109" t="n"/>
      <c r="N356" s="109" t="n"/>
      <c r="O356" s="225" t="n"/>
      <c r="P356" s="232">
        <f>IF(OR($E356="",$I356=""),"",IF(OR($J356="Tamamlandı",$J356="İptal"),"",$I356-TODAY()))</f>
        <v/>
      </c>
      <c r="Q356" s="113">
        <f>IF($E356="","",IF($D356="TANIMSIZ MÜŞTERİ","HATA",IF(OR($J356="Tamamlandı",$J356="İptal"),"KAPALI",IF(AND($C356="Görüşme",$N356=""),"SONRAKİ İŞLEM EKSİK",IF($I356="","TARİH EKSİK",IF($I356&lt;TODAY(),"GECİKMİŞ",IF($I356=TODAY(),"BUGÜN",IF($I356&lt;=TODAY()+7,"7 GÜN İÇİNDE","PLANLI"))))))))</f>
        <v/>
      </c>
      <c r="R356" s="6" t="n"/>
      <c r="S356" s="6" t="n"/>
    </row>
    <row r="357">
      <c r="A357" s="6" t="n"/>
      <c r="B357" s="113">
        <f>IF($E357="","","A"&amp;TEXT(ROW()-6,"00000"))</f>
        <v/>
      </c>
      <c r="C357" s="108" t="n"/>
      <c r="D357" s="113">
        <f>IF($E357="","",IFERROR(INDEX(MUSTERILER!$B$7:$B$106,MATCH($E357,MUSTERILER!$C$7:$C$106,0)),IFERROR(INDEX(MUSTERILER!$B$7:$B$106,MATCH($E357,MUSTERILER!$B$7:$B$106,0)),IFERROR(INDEX(MUSTERILER!$B$7:$B$106,MATCH($E357&amp;"*",MUSTERILER!$C$7:$C$106,0)),"TANIMSIZ MÜŞTERİ"))))</f>
        <v/>
      </c>
      <c r="E357" s="109" t="n"/>
      <c r="F357" s="109" t="n"/>
      <c r="G357" s="108" t="n"/>
      <c r="H357" s="225" t="n"/>
      <c r="I357" s="225" t="n"/>
      <c r="J357" s="108" t="n"/>
      <c r="K357" s="108" t="n"/>
      <c r="L357" s="109" t="n"/>
      <c r="M357" s="109" t="n"/>
      <c r="N357" s="109" t="n"/>
      <c r="O357" s="225" t="n"/>
      <c r="P357" s="232">
        <f>IF(OR($E357="",$I357=""),"",IF(OR($J357="Tamamlandı",$J357="İptal"),"",$I357-TODAY()))</f>
        <v/>
      </c>
      <c r="Q357" s="113">
        <f>IF($E357="","",IF($D357="TANIMSIZ MÜŞTERİ","HATA",IF(OR($J357="Tamamlandı",$J357="İptal"),"KAPALI",IF(AND($C357="Görüşme",$N357=""),"SONRAKİ İŞLEM EKSİK",IF($I357="","TARİH EKSİK",IF($I357&lt;TODAY(),"GECİKMİŞ",IF($I357=TODAY(),"BUGÜN",IF($I357&lt;=TODAY()+7,"7 GÜN İÇİNDE","PLANLI"))))))))</f>
        <v/>
      </c>
      <c r="R357" s="6" t="n"/>
      <c r="S357" s="6" t="n"/>
    </row>
    <row r="358">
      <c r="A358" s="6" t="n"/>
      <c r="B358" s="113">
        <f>IF($E358="","","A"&amp;TEXT(ROW()-6,"00000"))</f>
        <v/>
      </c>
      <c r="C358" s="108" t="n"/>
      <c r="D358" s="113">
        <f>IF($E358="","",IFERROR(INDEX(MUSTERILER!$B$7:$B$106,MATCH($E358,MUSTERILER!$C$7:$C$106,0)),IFERROR(INDEX(MUSTERILER!$B$7:$B$106,MATCH($E358,MUSTERILER!$B$7:$B$106,0)),IFERROR(INDEX(MUSTERILER!$B$7:$B$106,MATCH($E358&amp;"*",MUSTERILER!$C$7:$C$106,0)),"TANIMSIZ MÜŞTERİ"))))</f>
        <v/>
      </c>
      <c r="E358" s="109" t="n"/>
      <c r="F358" s="109" t="n"/>
      <c r="G358" s="108" t="n"/>
      <c r="H358" s="225" t="n"/>
      <c r="I358" s="225" t="n"/>
      <c r="J358" s="108" t="n"/>
      <c r="K358" s="108" t="n"/>
      <c r="L358" s="109" t="n"/>
      <c r="M358" s="109" t="n"/>
      <c r="N358" s="109" t="n"/>
      <c r="O358" s="225" t="n"/>
      <c r="P358" s="232">
        <f>IF(OR($E358="",$I358=""),"",IF(OR($J358="Tamamlandı",$J358="İptal"),"",$I358-TODAY()))</f>
        <v/>
      </c>
      <c r="Q358" s="113">
        <f>IF($E358="","",IF($D358="TANIMSIZ MÜŞTERİ","HATA",IF(OR($J358="Tamamlandı",$J358="İptal"),"KAPALI",IF(AND($C358="Görüşme",$N358=""),"SONRAKİ İŞLEM EKSİK",IF($I358="","TARİH EKSİK",IF($I358&lt;TODAY(),"GECİKMİŞ",IF($I358=TODAY(),"BUGÜN",IF($I358&lt;=TODAY()+7,"7 GÜN İÇİNDE","PLANLI"))))))))</f>
        <v/>
      </c>
      <c r="R358" s="6" t="n"/>
      <c r="S358" s="6" t="n"/>
    </row>
    <row r="359">
      <c r="A359" s="6" t="n"/>
      <c r="B359" s="113">
        <f>IF($E359="","","A"&amp;TEXT(ROW()-6,"00000"))</f>
        <v/>
      </c>
      <c r="C359" s="108" t="n"/>
      <c r="D359" s="113">
        <f>IF($E359="","",IFERROR(INDEX(MUSTERILER!$B$7:$B$106,MATCH($E359,MUSTERILER!$C$7:$C$106,0)),IFERROR(INDEX(MUSTERILER!$B$7:$B$106,MATCH($E359,MUSTERILER!$B$7:$B$106,0)),IFERROR(INDEX(MUSTERILER!$B$7:$B$106,MATCH($E359&amp;"*",MUSTERILER!$C$7:$C$106,0)),"TANIMSIZ MÜŞTERİ"))))</f>
        <v/>
      </c>
      <c r="E359" s="109" t="n"/>
      <c r="F359" s="109" t="n"/>
      <c r="G359" s="108" t="n"/>
      <c r="H359" s="225" t="n"/>
      <c r="I359" s="225" t="n"/>
      <c r="J359" s="108" t="n"/>
      <c r="K359" s="108" t="n"/>
      <c r="L359" s="109" t="n"/>
      <c r="M359" s="109" t="n"/>
      <c r="N359" s="109" t="n"/>
      <c r="O359" s="225" t="n"/>
      <c r="P359" s="232">
        <f>IF(OR($E359="",$I359=""),"",IF(OR($J359="Tamamlandı",$J359="İptal"),"",$I359-TODAY()))</f>
        <v/>
      </c>
      <c r="Q359" s="113">
        <f>IF($E359="","",IF($D359="TANIMSIZ MÜŞTERİ","HATA",IF(OR($J359="Tamamlandı",$J359="İptal"),"KAPALI",IF(AND($C359="Görüşme",$N359=""),"SONRAKİ İŞLEM EKSİK",IF($I359="","TARİH EKSİK",IF($I359&lt;TODAY(),"GECİKMİŞ",IF($I359=TODAY(),"BUGÜN",IF($I359&lt;=TODAY()+7,"7 GÜN İÇİNDE","PLANLI"))))))))</f>
        <v/>
      </c>
      <c r="R359" s="6" t="n"/>
      <c r="S359" s="6" t="n"/>
    </row>
    <row r="360">
      <c r="A360" s="6" t="n"/>
      <c r="B360" s="113">
        <f>IF($E360="","","A"&amp;TEXT(ROW()-6,"00000"))</f>
        <v/>
      </c>
      <c r="C360" s="108" t="n"/>
      <c r="D360" s="113">
        <f>IF($E360="","",IFERROR(INDEX(MUSTERILER!$B$7:$B$106,MATCH($E360,MUSTERILER!$C$7:$C$106,0)),IFERROR(INDEX(MUSTERILER!$B$7:$B$106,MATCH($E360,MUSTERILER!$B$7:$B$106,0)),IFERROR(INDEX(MUSTERILER!$B$7:$B$106,MATCH($E360&amp;"*",MUSTERILER!$C$7:$C$106,0)),"TANIMSIZ MÜŞTERİ"))))</f>
        <v/>
      </c>
      <c r="E360" s="109" t="n"/>
      <c r="F360" s="109" t="n"/>
      <c r="G360" s="108" t="n"/>
      <c r="H360" s="225" t="n"/>
      <c r="I360" s="225" t="n"/>
      <c r="J360" s="108" t="n"/>
      <c r="K360" s="108" t="n"/>
      <c r="L360" s="109" t="n"/>
      <c r="M360" s="109" t="n"/>
      <c r="N360" s="109" t="n"/>
      <c r="O360" s="225" t="n"/>
      <c r="P360" s="232">
        <f>IF(OR($E360="",$I360=""),"",IF(OR($J360="Tamamlandı",$J360="İptal"),"",$I360-TODAY()))</f>
        <v/>
      </c>
      <c r="Q360" s="113">
        <f>IF($E360="","",IF($D360="TANIMSIZ MÜŞTERİ","HATA",IF(OR($J360="Tamamlandı",$J360="İptal"),"KAPALI",IF(AND($C360="Görüşme",$N360=""),"SONRAKİ İŞLEM EKSİK",IF($I360="","TARİH EKSİK",IF($I360&lt;TODAY(),"GECİKMİŞ",IF($I360=TODAY(),"BUGÜN",IF($I360&lt;=TODAY()+7,"7 GÜN İÇİNDE","PLANLI"))))))))</f>
        <v/>
      </c>
      <c r="R360" s="6" t="n"/>
      <c r="S360" s="6" t="n"/>
    </row>
    <row r="361">
      <c r="A361" s="6" t="n"/>
      <c r="B361" s="113">
        <f>IF($E361="","","A"&amp;TEXT(ROW()-6,"00000"))</f>
        <v/>
      </c>
      <c r="C361" s="108" t="n"/>
      <c r="D361" s="113">
        <f>IF($E361="","",IFERROR(INDEX(MUSTERILER!$B$7:$B$106,MATCH($E361,MUSTERILER!$C$7:$C$106,0)),IFERROR(INDEX(MUSTERILER!$B$7:$B$106,MATCH($E361,MUSTERILER!$B$7:$B$106,0)),IFERROR(INDEX(MUSTERILER!$B$7:$B$106,MATCH($E361&amp;"*",MUSTERILER!$C$7:$C$106,0)),"TANIMSIZ MÜŞTERİ"))))</f>
        <v/>
      </c>
      <c r="E361" s="109" t="n"/>
      <c r="F361" s="109" t="n"/>
      <c r="G361" s="108" t="n"/>
      <c r="H361" s="225" t="n"/>
      <c r="I361" s="225" t="n"/>
      <c r="J361" s="108" t="n"/>
      <c r="K361" s="108" t="n"/>
      <c r="L361" s="109" t="n"/>
      <c r="M361" s="109" t="n"/>
      <c r="N361" s="109" t="n"/>
      <c r="O361" s="225" t="n"/>
      <c r="P361" s="232">
        <f>IF(OR($E361="",$I361=""),"",IF(OR($J361="Tamamlandı",$J361="İptal"),"",$I361-TODAY()))</f>
        <v/>
      </c>
      <c r="Q361" s="113">
        <f>IF($E361="","",IF($D361="TANIMSIZ MÜŞTERİ","HATA",IF(OR($J361="Tamamlandı",$J361="İptal"),"KAPALI",IF(AND($C361="Görüşme",$N361=""),"SONRAKİ İŞLEM EKSİK",IF($I361="","TARİH EKSİK",IF($I361&lt;TODAY(),"GECİKMİŞ",IF($I361=TODAY(),"BUGÜN",IF($I361&lt;=TODAY()+7,"7 GÜN İÇİNDE","PLANLI"))))))))</f>
        <v/>
      </c>
      <c r="R361" s="6" t="n"/>
      <c r="S361" s="6" t="n"/>
    </row>
    <row r="362">
      <c r="A362" s="6" t="n"/>
      <c r="B362" s="113">
        <f>IF($E362="","","A"&amp;TEXT(ROW()-6,"00000"))</f>
        <v/>
      </c>
      <c r="C362" s="108" t="n"/>
      <c r="D362" s="113">
        <f>IF($E362="","",IFERROR(INDEX(MUSTERILER!$B$7:$B$106,MATCH($E362,MUSTERILER!$C$7:$C$106,0)),IFERROR(INDEX(MUSTERILER!$B$7:$B$106,MATCH($E362,MUSTERILER!$B$7:$B$106,0)),IFERROR(INDEX(MUSTERILER!$B$7:$B$106,MATCH($E362&amp;"*",MUSTERILER!$C$7:$C$106,0)),"TANIMSIZ MÜŞTERİ"))))</f>
        <v/>
      </c>
      <c r="E362" s="109" t="n"/>
      <c r="F362" s="109" t="n"/>
      <c r="G362" s="108" t="n"/>
      <c r="H362" s="225" t="n"/>
      <c r="I362" s="225" t="n"/>
      <c r="J362" s="108" t="n"/>
      <c r="K362" s="108" t="n"/>
      <c r="L362" s="109" t="n"/>
      <c r="M362" s="109" t="n"/>
      <c r="N362" s="109" t="n"/>
      <c r="O362" s="225" t="n"/>
      <c r="P362" s="232">
        <f>IF(OR($E362="",$I362=""),"",IF(OR($J362="Tamamlandı",$J362="İptal"),"",$I362-TODAY()))</f>
        <v/>
      </c>
      <c r="Q362" s="113">
        <f>IF($E362="","",IF($D362="TANIMSIZ MÜŞTERİ","HATA",IF(OR($J362="Tamamlandı",$J362="İptal"),"KAPALI",IF(AND($C362="Görüşme",$N362=""),"SONRAKİ İŞLEM EKSİK",IF($I362="","TARİH EKSİK",IF($I362&lt;TODAY(),"GECİKMİŞ",IF($I362=TODAY(),"BUGÜN",IF($I362&lt;=TODAY()+7,"7 GÜN İÇİNDE","PLANLI"))))))))</f>
        <v/>
      </c>
      <c r="R362" s="6" t="n"/>
      <c r="S362" s="6" t="n"/>
    </row>
    <row r="363">
      <c r="A363" s="6" t="n"/>
      <c r="B363" s="113">
        <f>IF($E363="","","A"&amp;TEXT(ROW()-6,"00000"))</f>
        <v/>
      </c>
      <c r="C363" s="108" t="n"/>
      <c r="D363" s="113">
        <f>IF($E363="","",IFERROR(INDEX(MUSTERILER!$B$7:$B$106,MATCH($E363,MUSTERILER!$C$7:$C$106,0)),IFERROR(INDEX(MUSTERILER!$B$7:$B$106,MATCH($E363,MUSTERILER!$B$7:$B$106,0)),IFERROR(INDEX(MUSTERILER!$B$7:$B$106,MATCH($E363&amp;"*",MUSTERILER!$C$7:$C$106,0)),"TANIMSIZ MÜŞTERİ"))))</f>
        <v/>
      </c>
      <c r="E363" s="109" t="n"/>
      <c r="F363" s="109" t="n"/>
      <c r="G363" s="108" t="n"/>
      <c r="H363" s="225" t="n"/>
      <c r="I363" s="225" t="n"/>
      <c r="J363" s="108" t="n"/>
      <c r="K363" s="108" t="n"/>
      <c r="L363" s="109" t="n"/>
      <c r="M363" s="109" t="n"/>
      <c r="N363" s="109" t="n"/>
      <c r="O363" s="225" t="n"/>
      <c r="P363" s="232">
        <f>IF(OR($E363="",$I363=""),"",IF(OR($J363="Tamamlandı",$J363="İptal"),"",$I363-TODAY()))</f>
        <v/>
      </c>
      <c r="Q363" s="113">
        <f>IF($E363="","",IF($D363="TANIMSIZ MÜŞTERİ","HATA",IF(OR($J363="Tamamlandı",$J363="İptal"),"KAPALI",IF(AND($C363="Görüşme",$N363=""),"SONRAKİ İŞLEM EKSİK",IF($I363="","TARİH EKSİK",IF($I363&lt;TODAY(),"GECİKMİŞ",IF($I363=TODAY(),"BUGÜN",IF($I363&lt;=TODAY()+7,"7 GÜN İÇİNDE","PLANLI"))))))))</f>
        <v/>
      </c>
      <c r="R363" s="6" t="n"/>
      <c r="S363" s="6" t="n"/>
    </row>
    <row r="364">
      <c r="A364" s="6" t="n"/>
      <c r="B364" s="113">
        <f>IF($E364="","","A"&amp;TEXT(ROW()-6,"00000"))</f>
        <v/>
      </c>
      <c r="C364" s="108" t="n"/>
      <c r="D364" s="113">
        <f>IF($E364="","",IFERROR(INDEX(MUSTERILER!$B$7:$B$106,MATCH($E364,MUSTERILER!$C$7:$C$106,0)),IFERROR(INDEX(MUSTERILER!$B$7:$B$106,MATCH($E364,MUSTERILER!$B$7:$B$106,0)),IFERROR(INDEX(MUSTERILER!$B$7:$B$106,MATCH($E364&amp;"*",MUSTERILER!$C$7:$C$106,0)),"TANIMSIZ MÜŞTERİ"))))</f>
        <v/>
      </c>
      <c r="E364" s="109" t="n"/>
      <c r="F364" s="109" t="n"/>
      <c r="G364" s="108" t="n"/>
      <c r="H364" s="225" t="n"/>
      <c r="I364" s="225" t="n"/>
      <c r="J364" s="108" t="n"/>
      <c r="K364" s="108" t="n"/>
      <c r="L364" s="109" t="n"/>
      <c r="M364" s="109" t="n"/>
      <c r="N364" s="109" t="n"/>
      <c r="O364" s="225" t="n"/>
      <c r="P364" s="232">
        <f>IF(OR($E364="",$I364=""),"",IF(OR($J364="Tamamlandı",$J364="İptal"),"",$I364-TODAY()))</f>
        <v/>
      </c>
      <c r="Q364" s="113">
        <f>IF($E364="","",IF($D364="TANIMSIZ MÜŞTERİ","HATA",IF(OR($J364="Tamamlandı",$J364="İptal"),"KAPALI",IF(AND($C364="Görüşme",$N364=""),"SONRAKİ İŞLEM EKSİK",IF($I364="","TARİH EKSİK",IF($I364&lt;TODAY(),"GECİKMİŞ",IF($I364=TODAY(),"BUGÜN",IF($I364&lt;=TODAY()+7,"7 GÜN İÇİNDE","PLANLI"))))))))</f>
        <v/>
      </c>
      <c r="R364" s="6" t="n"/>
      <c r="S364" s="6" t="n"/>
    </row>
    <row r="365">
      <c r="A365" s="6" t="n"/>
      <c r="B365" s="113">
        <f>IF($E365="","","A"&amp;TEXT(ROW()-6,"00000"))</f>
        <v/>
      </c>
      <c r="C365" s="108" t="n"/>
      <c r="D365" s="113">
        <f>IF($E365="","",IFERROR(INDEX(MUSTERILER!$B$7:$B$106,MATCH($E365,MUSTERILER!$C$7:$C$106,0)),IFERROR(INDEX(MUSTERILER!$B$7:$B$106,MATCH($E365,MUSTERILER!$B$7:$B$106,0)),IFERROR(INDEX(MUSTERILER!$B$7:$B$106,MATCH($E365&amp;"*",MUSTERILER!$C$7:$C$106,0)),"TANIMSIZ MÜŞTERİ"))))</f>
        <v/>
      </c>
      <c r="E365" s="109" t="n"/>
      <c r="F365" s="109" t="n"/>
      <c r="G365" s="108" t="n"/>
      <c r="H365" s="225" t="n"/>
      <c r="I365" s="225" t="n"/>
      <c r="J365" s="108" t="n"/>
      <c r="K365" s="108" t="n"/>
      <c r="L365" s="109" t="n"/>
      <c r="M365" s="109" t="n"/>
      <c r="N365" s="109" t="n"/>
      <c r="O365" s="225" t="n"/>
      <c r="P365" s="232">
        <f>IF(OR($E365="",$I365=""),"",IF(OR($J365="Tamamlandı",$J365="İptal"),"",$I365-TODAY()))</f>
        <v/>
      </c>
      <c r="Q365" s="113">
        <f>IF($E365="","",IF($D365="TANIMSIZ MÜŞTERİ","HATA",IF(OR($J365="Tamamlandı",$J365="İptal"),"KAPALI",IF(AND($C365="Görüşme",$N365=""),"SONRAKİ İŞLEM EKSİK",IF($I365="","TARİH EKSİK",IF($I365&lt;TODAY(),"GECİKMİŞ",IF($I365=TODAY(),"BUGÜN",IF($I365&lt;=TODAY()+7,"7 GÜN İÇİNDE","PLANLI"))))))))</f>
        <v/>
      </c>
      <c r="R365" s="6" t="n"/>
      <c r="S365" s="6" t="n"/>
    </row>
    <row r="366">
      <c r="A366" s="6" t="n"/>
      <c r="B366" s="113">
        <f>IF($E366="","","A"&amp;TEXT(ROW()-6,"00000"))</f>
        <v/>
      </c>
      <c r="C366" s="108" t="n"/>
      <c r="D366" s="113">
        <f>IF($E366="","",IFERROR(INDEX(MUSTERILER!$B$7:$B$106,MATCH($E366,MUSTERILER!$C$7:$C$106,0)),IFERROR(INDEX(MUSTERILER!$B$7:$B$106,MATCH($E366,MUSTERILER!$B$7:$B$106,0)),IFERROR(INDEX(MUSTERILER!$B$7:$B$106,MATCH($E366&amp;"*",MUSTERILER!$C$7:$C$106,0)),"TANIMSIZ MÜŞTERİ"))))</f>
        <v/>
      </c>
      <c r="E366" s="109" t="n"/>
      <c r="F366" s="109" t="n"/>
      <c r="G366" s="108" t="n"/>
      <c r="H366" s="225" t="n"/>
      <c r="I366" s="225" t="n"/>
      <c r="J366" s="108" t="n"/>
      <c r="K366" s="108" t="n"/>
      <c r="L366" s="109" t="n"/>
      <c r="M366" s="109" t="n"/>
      <c r="N366" s="109" t="n"/>
      <c r="O366" s="225" t="n"/>
      <c r="P366" s="232">
        <f>IF(OR($E366="",$I366=""),"",IF(OR($J366="Tamamlandı",$J366="İptal"),"",$I366-TODAY()))</f>
        <v/>
      </c>
      <c r="Q366" s="113">
        <f>IF($E366="","",IF($D366="TANIMSIZ MÜŞTERİ","HATA",IF(OR($J366="Tamamlandı",$J366="İptal"),"KAPALI",IF(AND($C366="Görüşme",$N366=""),"SONRAKİ İŞLEM EKSİK",IF($I366="","TARİH EKSİK",IF($I366&lt;TODAY(),"GECİKMİŞ",IF($I366=TODAY(),"BUGÜN",IF($I366&lt;=TODAY()+7,"7 GÜN İÇİNDE","PLANLI"))))))))</f>
        <v/>
      </c>
      <c r="R366" s="6" t="n"/>
      <c r="S366" s="6" t="n"/>
    </row>
    <row r="367">
      <c r="A367" s="6" t="n"/>
      <c r="B367" s="113">
        <f>IF($E367="","","A"&amp;TEXT(ROW()-6,"00000"))</f>
        <v/>
      </c>
      <c r="C367" s="108" t="n"/>
      <c r="D367" s="113">
        <f>IF($E367="","",IFERROR(INDEX(MUSTERILER!$B$7:$B$106,MATCH($E367,MUSTERILER!$C$7:$C$106,0)),IFERROR(INDEX(MUSTERILER!$B$7:$B$106,MATCH($E367,MUSTERILER!$B$7:$B$106,0)),IFERROR(INDEX(MUSTERILER!$B$7:$B$106,MATCH($E367&amp;"*",MUSTERILER!$C$7:$C$106,0)),"TANIMSIZ MÜŞTERİ"))))</f>
        <v/>
      </c>
      <c r="E367" s="109" t="n"/>
      <c r="F367" s="109" t="n"/>
      <c r="G367" s="108" t="n"/>
      <c r="H367" s="225" t="n"/>
      <c r="I367" s="225" t="n"/>
      <c r="J367" s="108" t="n"/>
      <c r="K367" s="108" t="n"/>
      <c r="L367" s="109" t="n"/>
      <c r="M367" s="109" t="n"/>
      <c r="N367" s="109" t="n"/>
      <c r="O367" s="225" t="n"/>
      <c r="P367" s="232">
        <f>IF(OR($E367="",$I367=""),"",IF(OR($J367="Tamamlandı",$J367="İptal"),"",$I367-TODAY()))</f>
        <v/>
      </c>
      <c r="Q367" s="113">
        <f>IF($E367="","",IF($D367="TANIMSIZ MÜŞTERİ","HATA",IF(OR($J367="Tamamlandı",$J367="İptal"),"KAPALI",IF(AND($C367="Görüşme",$N367=""),"SONRAKİ İŞLEM EKSİK",IF($I367="","TARİH EKSİK",IF($I367&lt;TODAY(),"GECİKMİŞ",IF($I367=TODAY(),"BUGÜN",IF($I367&lt;=TODAY()+7,"7 GÜN İÇİNDE","PLANLI"))))))))</f>
        <v/>
      </c>
      <c r="R367" s="6" t="n"/>
      <c r="S367" s="6" t="n"/>
    </row>
    <row r="368">
      <c r="A368" s="6" t="n"/>
      <c r="B368" s="113">
        <f>IF($E368="","","A"&amp;TEXT(ROW()-6,"00000"))</f>
        <v/>
      </c>
      <c r="C368" s="108" t="n"/>
      <c r="D368" s="113">
        <f>IF($E368="","",IFERROR(INDEX(MUSTERILER!$B$7:$B$106,MATCH($E368,MUSTERILER!$C$7:$C$106,0)),IFERROR(INDEX(MUSTERILER!$B$7:$B$106,MATCH($E368,MUSTERILER!$B$7:$B$106,0)),IFERROR(INDEX(MUSTERILER!$B$7:$B$106,MATCH($E368&amp;"*",MUSTERILER!$C$7:$C$106,0)),"TANIMSIZ MÜŞTERİ"))))</f>
        <v/>
      </c>
      <c r="E368" s="109" t="n"/>
      <c r="F368" s="109" t="n"/>
      <c r="G368" s="108" t="n"/>
      <c r="H368" s="225" t="n"/>
      <c r="I368" s="225" t="n"/>
      <c r="J368" s="108" t="n"/>
      <c r="K368" s="108" t="n"/>
      <c r="L368" s="109" t="n"/>
      <c r="M368" s="109" t="n"/>
      <c r="N368" s="109" t="n"/>
      <c r="O368" s="225" t="n"/>
      <c r="P368" s="232">
        <f>IF(OR($E368="",$I368=""),"",IF(OR($J368="Tamamlandı",$J368="İptal"),"",$I368-TODAY()))</f>
        <v/>
      </c>
      <c r="Q368" s="113">
        <f>IF($E368="","",IF($D368="TANIMSIZ MÜŞTERİ","HATA",IF(OR($J368="Tamamlandı",$J368="İptal"),"KAPALI",IF(AND($C368="Görüşme",$N368=""),"SONRAKİ İŞLEM EKSİK",IF($I368="","TARİH EKSİK",IF($I368&lt;TODAY(),"GECİKMİŞ",IF($I368=TODAY(),"BUGÜN",IF($I368&lt;=TODAY()+7,"7 GÜN İÇİNDE","PLANLI"))))))))</f>
        <v/>
      </c>
      <c r="R368" s="6" t="n"/>
      <c r="S368" s="6" t="n"/>
    </row>
    <row r="369">
      <c r="A369" s="6" t="n"/>
      <c r="B369" s="113">
        <f>IF($E369="","","A"&amp;TEXT(ROW()-6,"00000"))</f>
        <v/>
      </c>
      <c r="C369" s="108" t="n"/>
      <c r="D369" s="113">
        <f>IF($E369="","",IFERROR(INDEX(MUSTERILER!$B$7:$B$106,MATCH($E369,MUSTERILER!$C$7:$C$106,0)),IFERROR(INDEX(MUSTERILER!$B$7:$B$106,MATCH($E369,MUSTERILER!$B$7:$B$106,0)),IFERROR(INDEX(MUSTERILER!$B$7:$B$106,MATCH($E369&amp;"*",MUSTERILER!$C$7:$C$106,0)),"TANIMSIZ MÜŞTERİ"))))</f>
        <v/>
      </c>
      <c r="E369" s="109" t="n"/>
      <c r="F369" s="109" t="n"/>
      <c r="G369" s="108" t="n"/>
      <c r="H369" s="225" t="n"/>
      <c r="I369" s="225" t="n"/>
      <c r="J369" s="108" t="n"/>
      <c r="K369" s="108" t="n"/>
      <c r="L369" s="109" t="n"/>
      <c r="M369" s="109" t="n"/>
      <c r="N369" s="109" t="n"/>
      <c r="O369" s="225" t="n"/>
      <c r="P369" s="232">
        <f>IF(OR($E369="",$I369=""),"",IF(OR($J369="Tamamlandı",$J369="İptal"),"",$I369-TODAY()))</f>
        <v/>
      </c>
      <c r="Q369" s="113">
        <f>IF($E369="","",IF($D369="TANIMSIZ MÜŞTERİ","HATA",IF(OR($J369="Tamamlandı",$J369="İptal"),"KAPALI",IF(AND($C369="Görüşme",$N369=""),"SONRAKİ İŞLEM EKSİK",IF($I369="","TARİH EKSİK",IF($I369&lt;TODAY(),"GECİKMİŞ",IF($I369=TODAY(),"BUGÜN",IF($I369&lt;=TODAY()+7,"7 GÜN İÇİNDE","PLANLI"))))))))</f>
        <v/>
      </c>
      <c r="R369" s="6" t="n"/>
      <c r="S369" s="6" t="n"/>
    </row>
    <row r="370">
      <c r="A370" s="6" t="n"/>
      <c r="B370" s="113">
        <f>IF($E370="","","A"&amp;TEXT(ROW()-6,"00000"))</f>
        <v/>
      </c>
      <c r="C370" s="108" t="n"/>
      <c r="D370" s="113">
        <f>IF($E370="","",IFERROR(INDEX(MUSTERILER!$B$7:$B$106,MATCH($E370,MUSTERILER!$C$7:$C$106,0)),IFERROR(INDEX(MUSTERILER!$B$7:$B$106,MATCH($E370,MUSTERILER!$B$7:$B$106,0)),IFERROR(INDEX(MUSTERILER!$B$7:$B$106,MATCH($E370&amp;"*",MUSTERILER!$C$7:$C$106,0)),"TANIMSIZ MÜŞTERİ"))))</f>
        <v/>
      </c>
      <c r="E370" s="109" t="n"/>
      <c r="F370" s="109" t="n"/>
      <c r="G370" s="108" t="n"/>
      <c r="H370" s="225" t="n"/>
      <c r="I370" s="225" t="n"/>
      <c r="J370" s="108" t="n"/>
      <c r="K370" s="108" t="n"/>
      <c r="L370" s="109" t="n"/>
      <c r="M370" s="109" t="n"/>
      <c r="N370" s="109" t="n"/>
      <c r="O370" s="225" t="n"/>
      <c r="P370" s="232">
        <f>IF(OR($E370="",$I370=""),"",IF(OR($J370="Tamamlandı",$J370="İptal"),"",$I370-TODAY()))</f>
        <v/>
      </c>
      <c r="Q370" s="113">
        <f>IF($E370="","",IF($D370="TANIMSIZ MÜŞTERİ","HATA",IF(OR($J370="Tamamlandı",$J370="İptal"),"KAPALI",IF(AND($C370="Görüşme",$N370=""),"SONRAKİ İŞLEM EKSİK",IF($I370="","TARİH EKSİK",IF($I370&lt;TODAY(),"GECİKMİŞ",IF($I370=TODAY(),"BUGÜN",IF($I370&lt;=TODAY()+7,"7 GÜN İÇİNDE","PLANLI"))))))))</f>
        <v/>
      </c>
      <c r="R370" s="6" t="n"/>
      <c r="S370" s="6" t="n"/>
    </row>
    <row r="371">
      <c r="A371" s="6" t="n"/>
      <c r="B371" s="113">
        <f>IF($E371="","","A"&amp;TEXT(ROW()-6,"00000"))</f>
        <v/>
      </c>
      <c r="C371" s="108" t="n"/>
      <c r="D371" s="113">
        <f>IF($E371="","",IFERROR(INDEX(MUSTERILER!$B$7:$B$106,MATCH($E371,MUSTERILER!$C$7:$C$106,0)),IFERROR(INDEX(MUSTERILER!$B$7:$B$106,MATCH($E371,MUSTERILER!$B$7:$B$106,0)),IFERROR(INDEX(MUSTERILER!$B$7:$B$106,MATCH($E371&amp;"*",MUSTERILER!$C$7:$C$106,0)),"TANIMSIZ MÜŞTERİ"))))</f>
        <v/>
      </c>
      <c r="E371" s="109" t="n"/>
      <c r="F371" s="109" t="n"/>
      <c r="G371" s="108" t="n"/>
      <c r="H371" s="225" t="n"/>
      <c r="I371" s="225" t="n"/>
      <c r="J371" s="108" t="n"/>
      <c r="K371" s="108" t="n"/>
      <c r="L371" s="109" t="n"/>
      <c r="M371" s="109" t="n"/>
      <c r="N371" s="109" t="n"/>
      <c r="O371" s="225" t="n"/>
      <c r="P371" s="232">
        <f>IF(OR($E371="",$I371=""),"",IF(OR($J371="Tamamlandı",$J371="İptal"),"",$I371-TODAY()))</f>
        <v/>
      </c>
      <c r="Q371" s="113">
        <f>IF($E371="","",IF($D371="TANIMSIZ MÜŞTERİ","HATA",IF(OR($J371="Tamamlandı",$J371="İptal"),"KAPALI",IF(AND($C371="Görüşme",$N371=""),"SONRAKİ İŞLEM EKSİK",IF($I371="","TARİH EKSİK",IF($I371&lt;TODAY(),"GECİKMİŞ",IF($I371=TODAY(),"BUGÜN",IF($I371&lt;=TODAY()+7,"7 GÜN İÇİNDE","PLANLI"))))))))</f>
        <v/>
      </c>
      <c r="R371" s="6" t="n"/>
      <c r="S371" s="6" t="n"/>
    </row>
    <row r="372">
      <c r="A372" s="6" t="n"/>
      <c r="B372" s="113">
        <f>IF($E372="","","A"&amp;TEXT(ROW()-6,"00000"))</f>
        <v/>
      </c>
      <c r="C372" s="108" t="n"/>
      <c r="D372" s="113">
        <f>IF($E372="","",IFERROR(INDEX(MUSTERILER!$B$7:$B$106,MATCH($E372,MUSTERILER!$C$7:$C$106,0)),IFERROR(INDEX(MUSTERILER!$B$7:$B$106,MATCH($E372,MUSTERILER!$B$7:$B$106,0)),IFERROR(INDEX(MUSTERILER!$B$7:$B$106,MATCH($E372&amp;"*",MUSTERILER!$C$7:$C$106,0)),"TANIMSIZ MÜŞTERİ"))))</f>
        <v/>
      </c>
      <c r="E372" s="109" t="n"/>
      <c r="F372" s="109" t="n"/>
      <c r="G372" s="108" t="n"/>
      <c r="H372" s="225" t="n"/>
      <c r="I372" s="225" t="n"/>
      <c r="J372" s="108" t="n"/>
      <c r="K372" s="108" t="n"/>
      <c r="L372" s="109" t="n"/>
      <c r="M372" s="109" t="n"/>
      <c r="N372" s="109" t="n"/>
      <c r="O372" s="225" t="n"/>
      <c r="P372" s="232">
        <f>IF(OR($E372="",$I372=""),"",IF(OR($J372="Tamamlandı",$J372="İptal"),"",$I372-TODAY()))</f>
        <v/>
      </c>
      <c r="Q372" s="113">
        <f>IF($E372="","",IF($D372="TANIMSIZ MÜŞTERİ","HATA",IF(OR($J372="Tamamlandı",$J372="İptal"),"KAPALI",IF(AND($C372="Görüşme",$N372=""),"SONRAKİ İŞLEM EKSİK",IF($I372="","TARİH EKSİK",IF($I372&lt;TODAY(),"GECİKMİŞ",IF($I372=TODAY(),"BUGÜN",IF($I372&lt;=TODAY()+7,"7 GÜN İÇİNDE","PLANLI"))))))))</f>
        <v/>
      </c>
      <c r="R372" s="6" t="n"/>
      <c r="S372" s="6" t="n"/>
    </row>
    <row r="373">
      <c r="A373" s="6" t="n"/>
      <c r="B373" s="113">
        <f>IF($E373="","","A"&amp;TEXT(ROW()-6,"00000"))</f>
        <v/>
      </c>
      <c r="C373" s="108" t="n"/>
      <c r="D373" s="113">
        <f>IF($E373="","",IFERROR(INDEX(MUSTERILER!$B$7:$B$106,MATCH($E373,MUSTERILER!$C$7:$C$106,0)),IFERROR(INDEX(MUSTERILER!$B$7:$B$106,MATCH($E373,MUSTERILER!$B$7:$B$106,0)),IFERROR(INDEX(MUSTERILER!$B$7:$B$106,MATCH($E373&amp;"*",MUSTERILER!$C$7:$C$106,0)),"TANIMSIZ MÜŞTERİ"))))</f>
        <v/>
      </c>
      <c r="E373" s="109" t="n"/>
      <c r="F373" s="109" t="n"/>
      <c r="G373" s="108" t="n"/>
      <c r="H373" s="225" t="n"/>
      <c r="I373" s="225" t="n"/>
      <c r="J373" s="108" t="n"/>
      <c r="K373" s="108" t="n"/>
      <c r="L373" s="109" t="n"/>
      <c r="M373" s="109" t="n"/>
      <c r="N373" s="109" t="n"/>
      <c r="O373" s="225" t="n"/>
      <c r="P373" s="232">
        <f>IF(OR($E373="",$I373=""),"",IF(OR($J373="Tamamlandı",$J373="İptal"),"",$I373-TODAY()))</f>
        <v/>
      </c>
      <c r="Q373" s="113">
        <f>IF($E373="","",IF($D373="TANIMSIZ MÜŞTERİ","HATA",IF(OR($J373="Tamamlandı",$J373="İptal"),"KAPALI",IF(AND($C373="Görüşme",$N373=""),"SONRAKİ İŞLEM EKSİK",IF($I373="","TARİH EKSİK",IF($I373&lt;TODAY(),"GECİKMİŞ",IF($I373=TODAY(),"BUGÜN",IF($I373&lt;=TODAY()+7,"7 GÜN İÇİNDE","PLANLI"))))))))</f>
        <v/>
      </c>
      <c r="R373" s="6" t="n"/>
      <c r="S373" s="6" t="n"/>
    </row>
    <row r="374">
      <c r="A374" s="6" t="n"/>
      <c r="B374" s="113">
        <f>IF($E374="","","A"&amp;TEXT(ROW()-6,"00000"))</f>
        <v/>
      </c>
      <c r="C374" s="108" t="n"/>
      <c r="D374" s="113">
        <f>IF($E374="","",IFERROR(INDEX(MUSTERILER!$B$7:$B$106,MATCH($E374,MUSTERILER!$C$7:$C$106,0)),IFERROR(INDEX(MUSTERILER!$B$7:$B$106,MATCH($E374,MUSTERILER!$B$7:$B$106,0)),IFERROR(INDEX(MUSTERILER!$B$7:$B$106,MATCH($E374&amp;"*",MUSTERILER!$C$7:$C$106,0)),"TANIMSIZ MÜŞTERİ"))))</f>
        <v/>
      </c>
      <c r="E374" s="109" t="n"/>
      <c r="F374" s="109" t="n"/>
      <c r="G374" s="108" t="n"/>
      <c r="H374" s="225" t="n"/>
      <c r="I374" s="225" t="n"/>
      <c r="J374" s="108" t="n"/>
      <c r="K374" s="108" t="n"/>
      <c r="L374" s="109" t="n"/>
      <c r="M374" s="109" t="n"/>
      <c r="N374" s="109" t="n"/>
      <c r="O374" s="225" t="n"/>
      <c r="P374" s="232">
        <f>IF(OR($E374="",$I374=""),"",IF(OR($J374="Tamamlandı",$J374="İptal"),"",$I374-TODAY()))</f>
        <v/>
      </c>
      <c r="Q374" s="113">
        <f>IF($E374="","",IF($D374="TANIMSIZ MÜŞTERİ","HATA",IF(OR($J374="Tamamlandı",$J374="İptal"),"KAPALI",IF(AND($C374="Görüşme",$N374=""),"SONRAKİ İŞLEM EKSİK",IF($I374="","TARİH EKSİK",IF($I374&lt;TODAY(),"GECİKMİŞ",IF($I374=TODAY(),"BUGÜN",IF($I374&lt;=TODAY()+7,"7 GÜN İÇİNDE","PLANLI"))))))))</f>
        <v/>
      </c>
      <c r="R374" s="6" t="n"/>
      <c r="S374" s="6" t="n"/>
    </row>
    <row r="375">
      <c r="A375" s="6" t="n"/>
      <c r="B375" s="113">
        <f>IF($E375="","","A"&amp;TEXT(ROW()-6,"00000"))</f>
        <v/>
      </c>
      <c r="C375" s="108" t="n"/>
      <c r="D375" s="113">
        <f>IF($E375="","",IFERROR(INDEX(MUSTERILER!$B$7:$B$106,MATCH($E375,MUSTERILER!$C$7:$C$106,0)),IFERROR(INDEX(MUSTERILER!$B$7:$B$106,MATCH($E375,MUSTERILER!$B$7:$B$106,0)),IFERROR(INDEX(MUSTERILER!$B$7:$B$106,MATCH($E375&amp;"*",MUSTERILER!$C$7:$C$106,0)),"TANIMSIZ MÜŞTERİ"))))</f>
        <v/>
      </c>
      <c r="E375" s="109" t="n"/>
      <c r="F375" s="109" t="n"/>
      <c r="G375" s="108" t="n"/>
      <c r="H375" s="225" t="n"/>
      <c r="I375" s="225" t="n"/>
      <c r="J375" s="108" t="n"/>
      <c r="K375" s="108" t="n"/>
      <c r="L375" s="109" t="n"/>
      <c r="M375" s="109" t="n"/>
      <c r="N375" s="109" t="n"/>
      <c r="O375" s="225" t="n"/>
      <c r="P375" s="232">
        <f>IF(OR($E375="",$I375=""),"",IF(OR($J375="Tamamlandı",$J375="İptal"),"",$I375-TODAY()))</f>
        <v/>
      </c>
      <c r="Q375" s="113">
        <f>IF($E375="","",IF($D375="TANIMSIZ MÜŞTERİ","HATA",IF(OR($J375="Tamamlandı",$J375="İptal"),"KAPALI",IF(AND($C375="Görüşme",$N375=""),"SONRAKİ İŞLEM EKSİK",IF($I375="","TARİH EKSİK",IF($I375&lt;TODAY(),"GECİKMİŞ",IF($I375=TODAY(),"BUGÜN",IF($I375&lt;=TODAY()+7,"7 GÜN İÇİNDE","PLANLI"))))))))</f>
        <v/>
      </c>
      <c r="R375" s="6" t="n"/>
      <c r="S375" s="6" t="n"/>
    </row>
    <row r="376">
      <c r="A376" s="6" t="n"/>
      <c r="B376" s="113">
        <f>IF($E376="","","A"&amp;TEXT(ROW()-6,"00000"))</f>
        <v/>
      </c>
      <c r="C376" s="108" t="n"/>
      <c r="D376" s="113">
        <f>IF($E376="","",IFERROR(INDEX(MUSTERILER!$B$7:$B$106,MATCH($E376,MUSTERILER!$C$7:$C$106,0)),IFERROR(INDEX(MUSTERILER!$B$7:$B$106,MATCH($E376,MUSTERILER!$B$7:$B$106,0)),IFERROR(INDEX(MUSTERILER!$B$7:$B$106,MATCH($E376&amp;"*",MUSTERILER!$C$7:$C$106,0)),"TANIMSIZ MÜŞTERİ"))))</f>
        <v/>
      </c>
      <c r="E376" s="109" t="n"/>
      <c r="F376" s="109" t="n"/>
      <c r="G376" s="108" t="n"/>
      <c r="H376" s="225" t="n"/>
      <c r="I376" s="225" t="n"/>
      <c r="J376" s="108" t="n"/>
      <c r="K376" s="108" t="n"/>
      <c r="L376" s="109" t="n"/>
      <c r="M376" s="109" t="n"/>
      <c r="N376" s="109" t="n"/>
      <c r="O376" s="225" t="n"/>
      <c r="P376" s="232">
        <f>IF(OR($E376="",$I376=""),"",IF(OR($J376="Tamamlandı",$J376="İptal"),"",$I376-TODAY()))</f>
        <v/>
      </c>
      <c r="Q376" s="113">
        <f>IF($E376="","",IF($D376="TANIMSIZ MÜŞTERİ","HATA",IF(OR($J376="Tamamlandı",$J376="İptal"),"KAPALI",IF(AND($C376="Görüşme",$N376=""),"SONRAKİ İŞLEM EKSİK",IF($I376="","TARİH EKSİK",IF($I376&lt;TODAY(),"GECİKMİŞ",IF($I376=TODAY(),"BUGÜN",IF($I376&lt;=TODAY()+7,"7 GÜN İÇİNDE","PLANLI"))))))))</f>
        <v/>
      </c>
      <c r="R376" s="6" t="n"/>
      <c r="S376" s="6" t="n"/>
    </row>
    <row r="377">
      <c r="A377" s="6" t="n"/>
      <c r="B377" s="113">
        <f>IF($E377="","","A"&amp;TEXT(ROW()-6,"00000"))</f>
        <v/>
      </c>
      <c r="C377" s="108" t="n"/>
      <c r="D377" s="113">
        <f>IF($E377="","",IFERROR(INDEX(MUSTERILER!$B$7:$B$106,MATCH($E377,MUSTERILER!$C$7:$C$106,0)),IFERROR(INDEX(MUSTERILER!$B$7:$B$106,MATCH($E377,MUSTERILER!$B$7:$B$106,0)),IFERROR(INDEX(MUSTERILER!$B$7:$B$106,MATCH($E377&amp;"*",MUSTERILER!$C$7:$C$106,0)),"TANIMSIZ MÜŞTERİ"))))</f>
        <v/>
      </c>
      <c r="E377" s="109" t="n"/>
      <c r="F377" s="109" t="n"/>
      <c r="G377" s="108" t="n"/>
      <c r="H377" s="225" t="n"/>
      <c r="I377" s="225" t="n"/>
      <c r="J377" s="108" t="n"/>
      <c r="K377" s="108" t="n"/>
      <c r="L377" s="109" t="n"/>
      <c r="M377" s="109" t="n"/>
      <c r="N377" s="109" t="n"/>
      <c r="O377" s="225" t="n"/>
      <c r="P377" s="232">
        <f>IF(OR($E377="",$I377=""),"",IF(OR($J377="Tamamlandı",$J377="İptal"),"",$I377-TODAY()))</f>
        <v/>
      </c>
      <c r="Q377" s="113">
        <f>IF($E377="","",IF($D377="TANIMSIZ MÜŞTERİ","HATA",IF(OR($J377="Tamamlandı",$J377="İptal"),"KAPALI",IF(AND($C377="Görüşme",$N377=""),"SONRAKİ İŞLEM EKSİK",IF($I377="","TARİH EKSİK",IF($I377&lt;TODAY(),"GECİKMİŞ",IF($I377=TODAY(),"BUGÜN",IF($I377&lt;=TODAY()+7,"7 GÜN İÇİNDE","PLANLI"))))))))</f>
        <v/>
      </c>
      <c r="R377" s="6" t="n"/>
      <c r="S377" s="6" t="n"/>
    </row>
    <row r="378">
      <c r="A378" s="6" t="n"/>
      <c r="B378" s="113">
        <f>IF($E378="","","A"&amp;TEXT(ROW()-6,"00000"))</f>
        <v/>
      </c>
      <c r="C378" s="108" t="n"/>
      <c r="D378" s="113">
        <f>IF($E378="","",IFERROR(INDEX(MUSTERILER!$B$7:$B$106,MATCH($E378,MUSTERILER!$C$7:$C$106,0)),IFERROR(INDEX(MUSTERILER!$B$7:$B$106,MATCH($E378,MUSTERILER!$B$7:$B$106,0)),IFERROR(INDEX(MUSTERILER!$B$7:$B$106,MATCH($E378&amp;"*",MUSTERILER!$C$7:$C$106,0)),"TANIMSIZ MÜŞTERİ"))))</f>
        <v/>
      </c>
      <c r="E378" s="109" t="n"/>
      <c r="F378" s="109" t="n"/>
      <c r="G378" s="108" t="n"/>
      <c r="H378" s="225" t="n"/>
      <c r="I378" s="225" t="n"/>
      <c r="J378" s="108" t="n"/>
      <c r="K378" s="108" t="n"/>
      <c r="L378" s="109" t="n"/>
      <c r="M378" s="109" t="n"/>
      <c r="N378" s="109" t="n"/>
      <c r="O378" s="225" t="n"/>
      <c r="P378" s="232">
        <f>IF(OR($E378="",$I378=""),"",IF(OR($J378="Tamamlandı",$J378="İptal"),"",$I378-TODAY()))</f>
        <v/>
      </c>
      <c r="Q378" s="113">
        <f>IF($E378="","",IF($D378="TANIMSIZ MÜŞTERİ","HATA",IF(OR($J378="Tamamlandı",$J378="İptal"),"KAPALI",IF(AND($C378="Görüşme",$N378=""),"SONRAKİ İŞLEM EKSİK",IF($I378="","TARİH EKSİK",IF($I378&lt;TODAY(),"GECİKMİŞ",IF($I378=TODAY(),"BUGÜN",IF($I378&lt;=TODAY()+7,"7 GÜN İÇİNDE","PLANLI"))))))))</f>
        <v/>
      </c>
      <c r="R378" s="6" t="n"/>
      <c r="S378" s="6" t="n"/>
    </row>
    <row r="379">
      <c r="A379" s="6" t="n"/>
      <c r="B379" s="113">
        <f>IF($E379="","","A"&amp;TEXT(ROW()-6,"00000"))</f>
        <v/>
      </c>
      <c r="C379" s="108" t="n"/>
      <c r="D379" s="113">
        <f>IF($E379="","",IFERROR(INDEX(MUSTERILER!$B$7:$B$106,MATCH($E379,MUSTERILER!$C$7:$C$106,0)),IFERROR(INDEX(MUSTERILER!$B$7:$B$106,MATCH($E379,MUSTERILER!$B$7:$B$106,0)),IFERROR(INDEX(MUSTERILER!$B$7:$B$106,MATCH($E379&amp;"*",MUSTERILER!$C$7:$C$106,0)),"TANIMSIZ MÜŞTERİ"))))</f>
        <v/>
      </c>
      <c r="E379" s="109" t="n"/>
      <c r="F379" s="109" t="n"/>
      <c r="G379" s="108" t="n"/>
      <c r="H379" s="225" t="n"/>
      <c r="I379" s="225" t="n"/>
      <c r="J379" s="108" t="n"/>
      <c r="K379" s="108" t="n"/>
      <c r="L379" s="109" t="n"/>
      <c r="M379" s="109" t="n"/>
      <c r="N379" s="109" t="n"/>
      <c r="O379" s="225" t="n"/>
      <c r="P379" s="232">
        <f>IF(OR($E379="",$I379=""),"",IF(OR($J379="Tamamlandı",$J379="İptal"),"",$I379-TODAY()))</f>
        <v/>
      </c>
      <c r="Q379" s="113">
        <f>IF($E379="","",IF($D379="TANIMSIZ MÜŞTERİ","HATA",IF(OR($J379="Tamamlandı",$J379="İptal"),"KAPALI",IF(AND($C379="Görüşme",$N379=""),"SONRAKİ İŞLEM EKSİK",IF($I379="","TARİH EKSİK",IF($I379&lt;TODAY(),"GECİKMİŞ",IF($I379=TODAY(),"BUGÜN",IF($I379&lt;=TODAY()+7,"7 GÜN İÇİNDE","PLANLI"))))))))</f>
        <v/>
      </c>
      <c r="R379" s="6" t="n"/>
      <c r="S379" s="6" t="n"/>
    </row>
    <row r="380">
      <c r="A380" s="6" t="n"/>
      <c r="B380" s="113">
        <f>IF($E380="","","A"&amp;TEXT(ROW()-6,"00000"))</f>
        <v/>
      </c>
      <c r="C380" s="108" t="n"/>
      <c r="D380" s="113">
        <f>IF($E380="","",IFERROR(INDEX(MUSTERILER!$B$7:$B$106,MATCH($E380,MUSTERILER!$C$7:$C$106,0)),IFERROR(INDEX(MUSTERILER!$B$7:$B$106,MATCH($E380,MUSTERILER!$B$7:$B$106,0)),IFERROR(INDEX(MUSTERILER!$B$7:$B$106,MATCH($E380&amp;"*",MUSTERILER!$C$7:$C$106,0)),"TANIMSIZ MÜŞTERİ"))))</f>
        <v/>
      </c>
      <c r="E380" s="109" t="n"/>
      <c r="F380" s="109" t="n"/>
      <c r="G380" s="108" t="n"/>
      <c r="H380" s="225" t="n"/>
      <c r="I380" s="225" t="n"/>
      <c r="J380" s="108" t="n"/>
      <c r="K380" s="108" t="n"/>
      <c r="L380" s="109" t="n"/>
      <c r="M380" s="109" t="n"/>
      <c r="N380" s="109" t="n"/>
      <c r="O380" s="225" t="n"/>
      <c r="P380" s="232">
        <f>IF(OR($E380="",$I380=""),"",IF(OR($J380="Tamamlandı",$J380="İptal"),"",$I380-TODAY()))</f>
        <v/>
      </c>
      <c r="Q380" s="113">
        <f>IF($E380="","",IF($D380="TANIMSIZ MÜŞTERİ","HATA",IF(OR($J380="Tamamlandı",$J380="İptal"),"KAPALI",IF(AND($C380="Görüşme",$N380=""),"SONRAKİ İŞLEM EKSİK",IF($I380="","TARİH EKSİK",IF($I380&lt;TODAY(),"GECİKMİŞ",IF($I380=TODAY(),"BUGÜN",IF($I380&lt;=TODAY()+7,"7 GÜN İÇİNDE","PLANLI"))))))))</f>
        <v/>
      </c>
      <c r="R380" s="6" t="n"/>
      <c r="S380" s="6" t="n"/>
    </row>
    <row r="381">
      <c r="A381" s="6" t="n"/>
      <c r="B381" s="113">
        <f>IF($E381="","","A"&amp;TEXT(ROW()-6,"00000"))</f>
        <v/>
      </c>
      <c r="C381" s="108" t="n"/>
      <c r="D381" s="113">
        <f>IF($E381="","",IFERROR(INDEX(MUSTERILER!$B$7:$B$106,MATCH($E381,MUSTERILER!$C$7:$C$106,0)),IFERROR(INDEX(MUSTERILER!$B$7:$B$106,MATCH($E381,MUSTERILER!$B$7:$B$106,0)),IFERROR(INDEX(MUSTERILER!$B$7:$B$106,MATCH($E381&amp;"*",MUSTERILER!$C$7:$C$106,0)),"TANIMSIZ MÜŞTERİ"))))</f>
        <v/>
      </c>
      <c r="E381" s="109" t="n"/>
      <c r="F381" s="109" t="n"/>
      <c r="G381" s="108" t="n"/>
      <c r="H381" s="225" t="n"/>
      <c r="I381" s="225" t="n"/>
      <c r="J381" s="108" t="n"/>
      <c r="K381" s="108" t="n"/>
      <c r="L381" s="109" t="n"/>
      <c r="M381" s="109" t="n"/>
      <c r="N381" s="109" t="n"/>
      <c r="O381" s="225" t="n"/>
      <c r="P381" s="232">
        <f>IF(OR($E381="",$I381=""),"",IF(OR($J381="Tamamlandı",$J381="İptal"),"",$I381-TODAY()))</f>
        <v/>
      </c>
      <c r="Q381" s="113">
        <f>IF($E381="","",IF($D381="TANIMSIZ MÜŞTERİ","HATA",IF(OR($J381="Tamamlandı",$J381="İptal"),"KAPALI",IF(AND($C381="Görüşme",$N381=""),"SONRAKİ İŞLEM EKSİK",IF($I381="","TARİH EKSİK",IF($I381&lt;TODAY(),"GECİKMİŞ",IF($I381=TODAY(),"BUGÜN",IF($I381&lt;=TODAY()+7,"7 GÜN İÇİNDE","PLANLI"))))))))</f>
        <v/>
      </c>
      <c r="R381" s="6" t="n"/>
      <c r="S381" s="6" t="n"/>
    </row>
    <row r="382">
      <c r="A382" s="6" t="n"/>
      <c r="B382" s="113">
        <f>IF($E382="","","A"&amp;TEXT(ROW()-6,"00000"))</f>
        <v/>
      </c>
      <c r="C382" s="108" t="n"/>
      <c r="D382" s="113">
        <f>IF($E382="","",IFERROR(INDEX(MUSTERILER!$B$7:$B$106,MATCH($E382,MUSTERILER!$C$7:$C$106,0)),IFERROR(INDEX(MUSTERILER!$B$7:$B$106,MATCH($E382,MUSTERILER!$B$7:$B$106,0)),IFERROR(INDEX(MUSTERILER!$B$7:$B$106,MATCH($E382&amp;"*",MUSTERILER!$C$7:$C$106,0)),"TANIMSIZ MÜŞTERİ"))))</f>
        <v/>
      </c>
      <c r="E382" s="109" t="n"/>
      <c r="F382" s="109" t="n"/>
      <c r="G382" s="108" t="n"/>
      <c r="H382" s="225" t="n"/>
      <c r="I382" s="225" t="n"/>
      <c r="J382" s="108" t="n"/>
      <c r="K382" s="108" t="n"/>
      <c r="L382" s="109" t="n"/>
      <c r="M382" s="109" t="n"/>
      <c r="N382" s="109" t="n"/>
      <c r="O382" s="225" t="n"/>
      <c r="P382" s="232">
        <f>IF(OR($E382="",$I382=""),"",IF(OR($J382="Tamamlandı",$J382="İptal"),"",$I382-TODAY()))</f>
        <v/>
      </c>
      <c r="Q382" s="113">
        <f>IF($E382="","",IF($D382="TANIMSIZ MÜŞTERİ","HATA",IF(OR($J382="Tamamlandı",$J382="İptal"),"KAPALI",IF(AND($C382="Görüşme",$N382=""),"SONRAKİ İŞLEM EKSİK",IF($I382="","TARİH EKSİK",IF($I382&lt;TODAY(),"GECİKMİŞ",IF($I382=TODAY(),"BUGÜN",IF($I382&lt;=TODAY()+7,"7 GÜN İÇİNDE","PLANLI"))))))))</f>
        <v/>
      </c>
      <c r="R382" s="6" t="n"/>
      <c r="S382" s="6" t="n"/>
    </row>
    <row r="383">
      <c r="A383" s="6" t="n"/>
      <c r="B383" s="113">
        <f>IF($E383="","","A"&amp;TEXT(ROW()-6,"00000"))</f>
        <v/>
      </c>
      <c r="C383" s="108" t="n"/>
      <c r="D383" s="113">
        <f>IF($E383="","",IFERROR(INDEX(MUSTERILER!$B$7:$B$106,MATCH($E383,MUSTERILER!$C$7:$C$106,0)),IFERROR(INDEX(MUSTERILER!$B$7:$B$106,MATCH($E383,MUSTERILER!$B$7:$B$106,0)),IFERROR(INDEX(MUSTERILER!$B$7:$B$106,MATCH($E383&amp;"*",MUSTERILER!$C$7:$C$106,0)),"TANIMSIZ MÜŞTERİ"))))</f>
        <v/>
      </c>
      <c r="E383" s="109" t="n"/>
      <c r="F383" s="109" t="n"/>
      <c r="G383" s="108" t="n"/>
      <c r="H383" s="225" t="n"/>
      <c r="I383" s="225" t="n"/>
      <c r="J383" s="108" t="n"/>
      <c r="K383" s="108" t="n"/>
      <c r="L383" s="109" t="n"/>
      <c r="M383" s="109" t="n"/>
      <c r="N383" s="109" t="n"/>
      <c r="O383" s="225" t="n"/>
      <c r="P383" s="232">
        <f>IF(OR($E383="",$I383=""),"",IF(OR($J383="Tamamlandı",$J383="İptal"),"",$I383-TODAY()))</f>
        <v/>
      </c>
      <c r="Q383" s="113">
        <f>IF($E383="","",IF($D383="TANIMSIZ MÜŞTERİ","HATA",IF(OR($J383="Tamamlandı",$J383="İptal"),"KAPALI",IF(AND($C383="Görüşme",$N383=""),"SONRAKİ İŞLEM EKSİK",IF($I383="","TARİH EKSİK",IF($I383&lt;TODAY(),"GECİKMİŞ",IF($I383=TODAY(),"BUGÜN",IF($I383&lt;=TODAY()+7,"7 GÜN İÇİNDE","PLANLI"))))))))</f>
        <v/>
      </c>
      <c r="R383" s="6" t="n"/>
      <c r="S383" s="6" t="n"/>
    </row>
    <row r="384">
      <c r="A384" s="6" t="n"/>
      <c r="B384" s="113">
        <f>IF($E384="","","A"&amp;TEXT(ROW()-6,"00000"))</f>
        <v/>
      </c>
      <c r="C384" s="108" t="n"/>
      <c r="D384" s="113">
        <f>IF($E384="","",IFERROR(INDEX(MUSTERILER!$B$7:$B$106,MATCH($E384,MUSTERILER!$C$7:$C$106,0)),IFERROR(INDEX(MUSTERILER!$B$7:$B$106,MATCH($E384,MUSTERILER!$B$7:$B$106,0)),IFERROR(INDEX(MUSTERILER!$B$7:$B$106,MATCH($E384&amp;"*",MUSTERILER!$C$7:$C$106,0)),"TANIMSIZ MÜŞTERİ"))))</f>
        <v/>
      </c>
      <c r="E384" s="109" t="n"/>
      <c r="F384" s="109" t="n"/>
      <c r="G384" s="108" t="n"/>
      <c r="H384" s="225" t="n"/>
      <c r="I384" s="225" t="n"/>
      <c r="J384" s="108" t="n"/>
      <c r="K384" s="108" t="n"/>
      <c r="L384" s="109" t="n"/>
      <c r="M384" s="109" t="n"/>
      <c r="N384" s="109" t="n"/>
      <c r="O384" s="225" t="n"/>
      <c r="P384" s="232">
        <f>IF(OR($E384="",$I384=""),"",IF(OR($J384="Tamamlandı",$J384="İptal"),"",$I384-TODAY()))</f>
        <v/>
      </c>
      <c r="Q384" s="113">
        <f>IF($E384="","",IF($D384="TANIMSIZ MÜŞTERİ","HATA",IF(OR($J384="Tamamlandı",$J384="İptal"),"KAPALI",IF(AND($C384="Görüşme",$N384=""),"SONRAKİ İŞLEM EKSİK",IF($I384="","TARİH EKSİK",IF($I384&lt;TODAY(),"GECİKMİŞ",IF($I384=TODAY(),"BUGÜN",IF($I384&lt;=TODAY()+7,"7 GÜN İÇİNDE","PLANLI"))))))))</f>
        <v/>
      </c>
      <c r="R384" s="6" t="n"/>
      <c r="S384" s="6" t="n"/>
    </row>
    <row r="385">
      <c r="A385" s="6" t="n"/>
      <c r="B385" s="113">
        <f>IF($E385="","","A"&amp;TEXT(ROW()-6,"00000"))</f>
        <v/>
      </c>
      <c r="C385" s="108" t="n"/>
      <c r="D385" s="113">
        <f>IF($E385="","",IFERROR(INDEX(MUSTERILER!$B$7:$B$106,MATCH($E385,MUSTERILER!$C$7:$C$106,0)),IFERROR(INDEX(MUSTERILER!$B$7:$B$106,MATCH($E385,MUSTERILER!$B$7:$B$106,0)),IFERROR(INDEX(MUSTERILER!$B$7:$B$106,MATCH($E385&amp;"*",MUSTERILER!$C$7:$C$106,0)),"TANIMSIZ MÜŞTERİ"))))</f>
        <v/>
      </c>
      <c r="E385" s="109" t="n"/>
      <c r="F385" s="109" t="n"/>
      <c r="G385" s="108" t="n"/>
      <c r="H385" s="225" t="n"/>
      <c r="I385" s="225" t="n"/>
      <c r="J385" s="108" t="n"/>
      <c r="K385" s="108" t="n"/>
      <c r="L385" s="109" t="n"/>
      <c r="M385" s="109" t="n"/>
      <c r="N385" s="109" t="n"/>
      <c r="O385" s="225" t="n"/>
      <c r="P385" s="232">
        <f>IF(OR($E385="",$I385=""),"",IF(OR($J385="Tamamlandı",$J385="İptal"),"",$I385-TODAY()))</f>
        <v/>
      </c>
      <c r="Q385" s="113">
        <f>IF($E385="","",IF($D385="TANIMSIZ MÜŞTERİ","HATA",IF(OR($J385="Tamamlandı",$J385="İptal"),"KAPALI",IF(AND($C385="Görüşme",$N385=""),"SONRAKİ İŞLEM EKSİK",IF($I385="","TARİH EKSİK",IF($I385&lt;TODAY(),"GECİKMİŞ",IF($I385=TODAY(),"BUGÜN",IF($I385&lt;=TODAY()+7,"7 GÜN İÇİNDE","PLANLI"))))))))</f>
        <v/>
      </c>
      <c r="R385" s="6" t="n"/>
      <c r="S385" s="6" t="n"/>
    </row>
    <row r="386">
      <c r="A386" s="6" t="n"/>
      <c r="B386" s="113">
        <f>IF($E386="","","A"&amp;TEXT(ROW()-6,"00000"))</f>
        <v/>
      </c>
      <c r="C386" s="108" t="n"/>
      <c r="D386" s="113">
        <f>IF($E386="","",IFERROR(INDEX(MUSTERILER!$B$7:$B$106,MATCH($E386,MUSTERILER!$C$7:$C$106,0)),IFERROR(INDEX(MUSTERILER!$B$7:$B$106,MATCH($E386,MUSTERILER!$B$7:$B$106,0)),IFERROR(INDEX(MUSTERILER!$B$7:$B$106,MATCH($E386&amp;"*",MUSTERILER!$C$7:$C$106,0)),"TANIMSIZ MÜŞTERİ"))))</f>
        <v/>
      </c>
      <c r="E386" s="109" t="n"/>
      <c r="F386" s="109" t="n"/>
      <c r="G386" s="108" t="n"/>
      <c r="H386" s="225" t="n"/>
      <c r="I386" s="225" t="n"/>
      <c r="J386" s="108" t="n"/>
      <c r="K386" s="108" t="n"/>
      <c r="L386" s="109" t="n"/>
      <c r="M386" s="109" t="n"/>
      <c r="N386" s="109" t="n"/>
      <c r="O386" s="225" t="n"/>
      <c r="P386" s="232">
        <f>IF(OR($E386="",$I386=""),"",IF(OR($J386="Tamamlandı",$J386="İptal"),"",$I386-TODAY()))</f>
        <v/>
      </c>
      <c r="Q386" s="113">
        <f>IF($E386="","",IF($D386="TANIMSIZ MÜŞTERİ","HATA",IF(OR($J386="Tamamlandı",$J386="İptal"),"KAPALI",IF(AND($C386="Görüşme",$N386=""),"SONRAKİ İŞLEM EKSİK",IF($I386="","TARİH EKSİK",IF($I386&lt;TODAY(),"GECİKMİŞ",IF($I386=TODAY(),"BUGÜN",IF($I386&lt;=TODAY()+7,"7 GÜN İÇİNDE","PLANLI"))))))))</f>
        <v/>
      </c>
      <c r="R386" s="6" t="n"/>
      <c r="S386" s="6" t="n"/>
    </row>
    <row r="387">
      <c r="A387" s="6" t="n"/>
      <c r="B387" s="113">
        <f>IF($E387="","","A"&amp;TEXT(ROW()-6,"00000"))</f>
        <v/>
      </c>
      <c r="C387" s="108" t="n"/>
      <c r="D387" s="113">
        <f>IF($E387="","",IFERROR(INDEX(MUSTERILER!$B$7:$B$106,MATCH($E387,MUSTERILER!$C$7:$C$106,0)),IFERROR(INDEX(MUSTERILER!$B$7:$B$106,MATCH($E387,MUSTERILER!$B$7:$B$106,0)),IFERROR(INDEX(MUSTERILER!$B$7:$B$106,MATCH($E387&amp;"*",MUSTERILER!$C$7:$C$106,0)),"TANIMSIZ MÜŞTERİ"))))</f>
        <v/>
      </c>
      <c r="E387" s="109" t="n"/>
      <c r="F387" s="109" t="n"/>
      <c r="G387" s="108" t="n"/>
      <c r="H387" s="225" t="n"/>
      <c r="I387" s="225" t="n"/>
      <c r="J387" s="108" t="n"/>
      <c r="K387" s="108" t="n"/>
      <c r="L387" s="109" t="n"/>
      <c r="M387" s="109" t="n"/>
      <c r="N387" s="109" t="n"/>
      <c r="O387" s="225" t="n"/>
      <c r="P387" s="232">
        <f>IF(OR($E387="",$I387=""),"",IF(OR($J387="Tamamlandı",$J387="İptal"),"",$I387-TODAY()))</f>
        <v/>
      </c>
      <c r="Q387" s="113">
        <f>IF($E387="","",IF($D387="TANIMSIZ MÜŞTERİ","HATA",IF(OR($J387="Tamamlandı",$J387="İptal"),"KAPALI",IF(AND($C387="Görüşme",$N387=""),"SONRAKİ İŞLEM EKSİK",IF($I387="","TARİH EKSİK",IF($I387&lt;TODAY(),"GECİKMİŞ",IF($I387=TODAY(),"BUGÜN",IF($I387&lt;=TODAY()+7,"7 GÜN İÇİNDE","PLANLI"))))))))</f>
        <v/>
      </c>
      <c r="R387" s="6" t="n"/>
      <c r="S387" s="6" t="n"/>
    </row>
    <row r="388">
      <c r="A388" s="6" t="n"/>
      <c r="B388" s="113">
        <f>IF($E388="","","A"&amp;TEXT(ROW()-6,"00000"))</f>
        <v/>
      </c>
      <c r="C388" s="108" t="n"/>
      <c r="D388" s="113">
        <f>IF($E388="","",IFERROR(INDEX(MUSTERILER!$B$7:$B$106,MATCH($E388,MUSTERILER!$C$7:$C$106,0)),IFERROR(INDEX(MUSTERILER!$B$7:$B$106,MATCH($E388,MUSTERILER!$B$7:$B$106,0)),IFERROR(INDEX(MUSTERILER!$B$7:$B$106,MATCH($E388&amp;"*",MUSTERILER!$C$7:$C$106,0)),"TANIMSIZ MÜŞTERİ"))))</f>
        <v/>
      </c>
      <c r="E388" s="109" t="n"/>
      <c r="F388" s="109" t="n"/>
      <c r="G388" s="108" t="n"/>
      <c r="H388" s="225" t="n"/>
      <c r="I388" s="225" t="n"/>
      <c r="J388" s="108" t="n"/>
      <c r="K388" s="108" t="n"/>
      <c r="L388" s="109" t="n"/>
      <c r="M388" s="109" t="n"/>
      <c r="N388" s="109" t="n"/>
      <c r="O388" s="225" t="n"/>
      <c r="P388" s="232">
        <f>IF(OR($E388="",$I388=""),"",IF(OR($J388="Tamamlandı",$J388="İptal"),"",$I388-TODAY()))</f>
        <v/>
      </c>
      <c r="Q388" s="113">
        <f>IF($E388="","",IF($D388="TANIMSIZ MÜŞTERİ","HATA",IF(OR($J388="Tamamlandı",$J388="İptal"),"KAPALI",IF(AND($C388="Görüşme",$N388=""),"SONRAKİ İŞLEM EKSİK",IF($I388="","TARİH EKSİK",IF($I388&lt;TODAY(),"GECİKMİŞ",IF($I388=TODAY(),"BUGÜN",IF($I388&lt;=TODAY()+7,"7 GÜN İÇİNDE","PLANLI"))))))))</f>
        <v/>
      </c>
      <c r="R388" s="6" t="n"/>
      <c r="S388" s="6" t="n"/>
    </row>
    <row r="389">
      <c r="A389" s="6" t="n"/>
      <c r="B389" s="113">
        <f>IF($E389="","","A"&amp;TEXT(ROW()-6,"00000"))</f>
        <v/>
      </c>
      <c r="C389" s="108" t="n"/>
      <c r="D389" s="113">
        <f>IF($E389="","",IFERROR(INDEX(MUSTERILER!$B$7:$B$106,MATCH($E389,MUSTERILER!$C$7:$C$106,0)),IFERROR(INDEX(MUSTERILER!$B$7:$B$106,MATCH($E389,MUSTERILER!$B$7:$B$106,0)),IFERROR(INDEX(MUSTERILER!$B$7:$B$106,MATCH($E389&amp;"*",MUSTERILER!$C$7:$C$106,0)),"TANIMSIZ MÜŞTERİ"))))</f>
        <v/>
      </c>
      <c r="E389" s="109" t="n"/>
      <c r="F389" s="109" t="n"/>
      <c r="G389" s="108" t="n"/>
      <c r="H389" s="225" t="n"/>
      <c r="I389" s="225" t="n"/>
      <c r="J389" s="108" t="n"/>
      <c r="K389" s="108" t="n"/>
      <c r="L389" s="109" t="n"/>
      <c r="M389" s="109" t="n"/>
      <c r="N389" s="109" t="n"/>
      <c r="O389" s="225" t="n"/>
      <c r="P389" s="232">
        <f>IF(OR($E389="",$I389=""),"",IF(OR($J389="Tamamlandı",$J389="İptal"),"",$I389-TODAY()))</f>
        <v/>
      </c>
      <c r="Q389" s="113">
        <f>IF($E389="","",IF($D389="TANIMSIZ MÜŞTERİ","HATA",IF(OR($J389="Tamamlandı",$J389="İptal"),"KAPALI",IF(AND($C389="Görüşme",$N389=""),"SONRAKİ İŞLEM EKSİK",IF($I389="","TARİH EKSİK",IF($I389&lt;TODAY(),"GECİKMİŞ",IF($I389=TODAY(),"BUGÜN",IF($I389&lt;=TODAY()+7,"7 GÜN İÇİNDE","PLANLI"))))))))</f>
        <v/>
      </c>
      <c r="R389" s="6" t="n"/>
      <c r="S389" s="6" t="n"/>
    </row>
    <row r="390">
      <c r="A390" s="6" t="n"/>
      <c r="B390" s="113">
        <f>IF($E390="","","A"&amp;TEXT(ROW()-6,"00000"))</f>
        <v/>
      </c>
      <c r="C390" s="108" t="n"/>
      <c r="D390" s="113">
        <f>IF($E390="","",IFERROR(INDEX(MUSTERILER!$B$7:$B$106,MATCH($E390,MUSTERILER!$C$7:$C$106,0)),IFERROR(INDEX(MUSTERILER!$B$7:$B$106,MATCH($E390,MUSTERILER!$B$7:$B$106,0)),IFERROR(INDEX(MUSTERILER!$B$7:$B$106,MATCH($E390&amp;"*",MUSTERILER!$C$7:$C$106,0)),"TANIMSIZ MÜŞTERİ"))))</f>
        <v/>
      </c>
      <c r="E390" s="109" t="n"/>
      <c r="F390" s="109" t="n"/>
      <c r="G390" s="108" t="n"/>
      <c r="H390" s="225" t="n"/>
      <c r="I390" s="225" t="n"/>
      <c r="J390" s="108" t="n"/>
      <c r="K390" s="108" t="n"/>
      <c r="L390" s="109" t="n"/>
      <c r="M390" s="109" t="n"/>
      <c r="N390" s="109" t="n"/>
      <c r="O390" s="225" t="n"/>
      <c r="P390" s="232">
        <f>IF(OR($E390="",$I390=""),"",IF(OR($J390="Tamamlandı",$J390="İptal"),"",$I390-TODAY()))</f>
        <v/>
      </c>
      <c r="Q390" s="113">
        <f>IF($E390="","",IF($D390="TANIMSIZ MÜŞTERİ","HATA",IF(OR($J390="Tamamlandı",$J390="İptal"),"KAPALI",IF(AND($C390="Görüşme",$N390=""),"SONRAKİ İŞLEM EKSİK",IF($I390="","TARİH EKSİK",IF($I390&lt;TODAY(),"GECİKMİŞ",IF($I390=TODAY(),"BUGÜN",IF($I390&lt;=TODAY()+7,"7 GÜN İÇİNDE","PLANLI"))))))))</f>
        <v/>
      </c>
      <c r="R390" s="6" t="n"/>
      <c r="S390" s="6" t="n"/>
    </row>
    <row r="391">
      <c r="A391" s="6" t="n"/>
      <c r="B391" s="113">
        <f>IF($E391="","","A"&amp;TEXT(ROW()-6,"00000"))</f>
        <v/>
      </c>
      <c r="C391" s="108" t="n"/>
      <c r="D391" s="113">
        <f>IF($E391="","",IFERROR(INDEX(MUSTERILER!$B$7:$B$106,MATCH($E391,MUSTERILER!$C$7:$C$106,0)),IFERROR(INDEX(MUSTERILER!$B$7:$B$106,MATCH($E391,MUSTERILER!$B$7:$B$106,0)),IFERROR(INDEX(MUSTERILER!$B$7:$B$106,MATCH($E391&amp;"*",MUSTERILER!$C$7:$C$106,0)),"TANIMSIZ MÜŞTERİ"))))</f>
        <v/>
      </c>
      <c r="E391" s="109" t="n"/>
      <c r="F391" s="109" t="n"/>
      <c r="G391" s="108" t="n"/>
      <c r="H391" s="225" t="n"/>
      <c r="I391" s="225" t="n"/>
      <c r="J391" s="108" t="n"/>
      <c r="K391" s="108" t="n"/>
      <c r="L391" s="109" t="n"/>
      <c r="M391" s="109" t="n"/>
      <c r="N391" s="109" t="n"/>
      <c r="O391" s="225" t="n"/>
      <c r="P391" s="232">
        <f>IF(OR($E391="",$I391=""),"",IF(OR($J391="Tamamlandı",$J391="İptal"),"",$I391-TODAY()))</f>
        <v/>
      </c>
      <c r="Q391" s="113">
        <f>IF($E391="","",IF($D391="TANIMSIZ MÜŞTERİ","HATA",IF(OR($J391="Tamamlandı",$J391="İptal"),"KAPALI",IF(AND($C391="Görüşme",$N391=""),"SONRAKİ İŞLEM EKSİK",IF($I391="","TARİH EKSİK",IF($I391&lt;TODAY(),"GECİKMİŞ",IF($I391=TODAY(),"BUGÜN",IF($I391&lt;=TODAY()+7,"7 GÜN İÇİNDE","PLANLI"))))))))</f>
        <v/>
      </c>
      <c r="R391" s="6" t="n"/>
      <c r="S391" s="6" t="n"/>
    </row>
    <row r="392">
      <c r="A392" s="6" t="n"/>
      <c r="B392" s="113">
        <f>IF($E392="","","A"&amp;TEXT(ROW()-6,"00000"))</f>
        <v/>
      </c>
      <c r="C392" s="108" t="n"/>
      <c r="D392" s="113">
        <f>IF($E392="","",IFERROR(INDEX(MUSTERILER!$B$7:$B$106,MATCH($E392,MUSTERILER!$C$7:$C$106,0)),IFERROR(INDEX(MUSTERILER!$B$7:$B$106,MATCH($E392,MUSTERILER!$B$7:$B$106,0)),IFERROR(INDEX(MUSTERILER!$B$7:$B$106,MATCH($E392&amp;"*",MUSTERILER!$C$7:$C$106,0)),"TANIMSIZ MÜŞTERİ"))))</f>
        <v/>
      </c>
      <c r="E392" s="109" t="n"/>
      <c r="F392" s="109" t="n"/>
      <c r="G392" s="108" t="n"/>
      <c r="H392" s="225" t="n"/>
      <c r="I392" s="225" t="n"/>
      <c r="J392" s="108" t="n"/>
      <c r="K392" s="108" t="n"/>
      <c r="L392" s="109" t="n"/>
      <c r="M392" s="109" t="n"/>
      <c r="N392" s="109" t="n"/>
      <c r="O392" s="225" t="n"/>
      <c r="P392" s="232">
        <f>IF(OR($E392="",$I392=""),"",IF(OR($J392="Tamamlandı",$J392="İptal"),"",$I392-TODAY()))</f>
        <v/>
      </c>
      <c r="Q392" s="113">
        <f>IF($E392="","",IF($D392="TANIMSIZ MÜŞTERİ","HATA",IF(OR($J392="Tamamlandı",$J392="İptal"),"KAPALI",IF(AND($C392="Görüşme",$N392=""),"SONRAKİ İŞLEM EKSİK",IF($I392="","TARİH EKSİK",IF($I392&lt;TODAY(),"GECİKMİŞ",IF($I392=TODAY(),"BUGÜN",IF($I392&lt;=TODAY()+7,"7 GÜN İÇİNDE","PLANLI"))))))))</f>
        <v/>
      </c>
      <c r="R392" s="6" t="n"/>
      <c r="S392" s="6" t="n"/>
    </row>
    <row r="393">
      <c r="A393" s="6" t="n"/>
      <c r="B393" s="113">
        <f>IF($E393="","","A"&amp;TEXT(ROW()-6,"00000"))</f>
        <v/>
      </c>
      <c r="C393" s="108" t="n"/>
      <c r="D393" s="113">
        <f>IF($E393="","",IFERROR(INDEX(MUSTERILER!$B$7:$B$106,MATCH($E393,MUSTERILER!$C$7:$C$106,0)),IFERROR(INDEX(MUSTERILER!$B$7:$B$106,MATCH($E393,MUSTERILER!$B$7:$B$106,0)),IFERROR(INDEX(MUSTERILER!$B$7:$B$106,MATCH($E393&amp;"*",MUSTERILER!$C$7:$C$106,0)),"TANIMSIZ MÜŞTERİ"))))</f>
        <v/>
      </c>
      <c r="E393" s="109" t="n"/>
      <c r="F393" s="109" t="n"/>
      <c r="G393" s="108" t="n"/>
      <c r="H393" s="225" t="n"/>
      <c r="I393" s="225" t="n"/>
      <c r="J393" s="108" t="n"/>
      <c r="K393" s="108" t="n"/>
      <c r="L393" s="109" t="n"/>
      <c r="M393" s="109" t="n"/>
      <c r="N393" s="109" t="n"/>
      <c r="O393" s="225" t="n"/>
      <c r="P393" s="232">
        <f>IF(OR($E393="",$I393=""),"",IF(OR($J393="Tamamlandı",$J393="İptal"),"",$I393-TODAY()))</f>
        <v/>
      </c>
      <c r="Q393" s="113">
        <f>IF($E393="","",IF($D393="TANIMSIZ MÜŞTERİ","HATA",IF(OR($J393="Tamamlandı",$J393="İptal"),"KAPALI",IF(AND($C393="Görüşme",$N393=""),"SONRAKİ İŞLEM EKSİK",IF($I393="","TARİH EKSİK",IF($I393&lt;TODAY(),"GECİKMİŞ",IF($I393=TODAY(),"BUGÜN",IF($I393&lt;=TODAY()+7,"7 GÜN İÇİNDE","PLANLI"))))))))</f>
        <v/>
      </c>
      <c r="R393" s="6" t="n"/>
      <c r="S393" s="6" t="n"/>
    </row>
    <row r="394">
      <c r="A394" s="6" t="n"/>
      <c r="B394" s="113">
        <f>IF($E394="","","A"&amp;TEXT(ROW()-6,"00000"))</f>
        <v/>
      </c>
      <c r="C394" s="108" t="n"/>
      <c r="D394" s="113">
        <f>IF($E394="","",IFERROR(INDEX(MUSTERILER!$B$7:$B$106,MATCH($E394,MUSTERILER!$C$7:$C$106,0)),IFERROR(INDEX(MUSTERILER!$B$7:$B$106,MATCH($E394,MUSTERILER!$B$7:$B$106,0)),IFERROR(INDEX(MUSTERILER!$B$7:$B$106,MATCH($E394&amp;"*",MUSTERILER!$C$7:$C$106,0)),"TANIMSIZ MÜŞTERİ"))))</f>
        <v/>
      </c>
      <c r="E394" s="109" t="n"/>
      <c r="F394" s="109" t="n"/>
      <c r="G394" s="108" t="n"/>
      <c r="H394" s="225" t="n"/>
      <c r="I394" s="225" t="n"/>
      <c r="J394" s="108" t="n"/>
      <c r="K394" s="108" t="n"/>
      <c r="L394" s="109" t="n"/>
      <c r="M394" s="109" t="n"/>
      <c r="N394" s="109" t="n"/>
      <c r="O394" s="225" t="n"/>
      <c r="P394" s="232">
        <f>IF(OR($E394="",$I394=""),"",IF(OR($J394="Tamamlandı",$J394="İptal"),"",$I394-TODAY()))</f>
        <v/>
      </c>
      <c r="Q394" s="113">
        <f>IF($E394="","",IF($D394="TANIMSIZ MÜŞTERİ","HATA",IF(OR($J394="Tamamlandı",$J394="İptal"),"KAPALI",IF(AND($C394="Görüşme",$N394=""),"SONRAKİ İŞLEM EKSİK",IF($I394="","TARİH EKSİK",IF($I394&lt;TODAY(),"GECİKMİŞ",IF($I394=TODAY(),"BUGÜN",IF($I394&lt;=TODAY()+7,"7 GÜN İÇİNDE","PLANLI"))))))))</f>
        <v/>
      </c>
      <c r="R394" s="6" t="n"/>
      <c r="S394" s="6" t="n"/>
    </row>
    <row r="395">
      <c r="A395" s="6" t="n"/>
      <c r="B395" s="113">
        <f>IF($E395="","","A"&amp;TEXT(ROW()-6,"00000"))</f>
        <v/>
      </c>
      <c r="C395" s="108" t="n"/>
      <c r="D395" s="113">
        <f>IF($E395="","",IFERROR(INDEX(MUSTERILER!$B$7:$B$106,MATCH($E395,MUSTERILER!$C$7:$C$106,0)),IFERROR(INDEX(MUSTERILER!$B$7:$B$106,MATCH($E395,MUSTERILER!$B$7:$B$106,0)),IFERROR(INDEX(MUSTERILER!$B$7:$B$106,MATCH($E395&amp;"*",MUSTERILER!$C$7:$C$106,0)),"TANIMSIZ MÜŞTERİ"))))</f>
        <v/>
      </c>
      <c r="E395" s="109" t="n"/>
      <c r="F395" s="109" t="n"/>
      <c r="G395" s="108" t="n"/>
      <c r="H395" s="225" t="n"/>
      <c r="I395" s="225" t="n"/>
      <c r="J395" s="108" t="n"/>
      <c r="K395" s="108" t="n"/>
      <c r="L395" s="109" t="n"/>
      <c r="M395" s="109" t="n"/>
      <c r="N395" s="109" t="n"/>
      <c r="O395" s="225" t="n"/>
      <c r="P395" s="232">
        <f>IF(OR($E395="",$I395=""),"",IF(OR($J395="Tamamlandı",$J395="İptal"),"",$I395-TODAY()))</f>
        <v/>
      </c>
      <c r="Q395" s="113">
        <f>IF($E395="","",IF($D395="TANIMSIZ MÜŞTERİ","HATA",IF(OR($J395="Tamamlandı",$J395="İptal"),"KAPALI",IF(AND($C395="Görüşme",$N395=""),"SONRAKİ İŞLEM EKSİK",IF($I395="","TARİH EKSİK",IF($I395&lt;TODAY(),"GECİKMİŞ",IF($I395=TODAY(),"BUGÜN",IF($I395&lt;=TODAY()+7,"7 GÜN İÇİNDE","PLANLI"))))))))</f>
        <v/>
      </c>
      <c r="R395" s="6" t="n"/>
      <c r="S395" s="6" t="n"/>
    </row>
    <row r="396">
      <c r="A396" s="6" t="n"/>
      <c r="B396" s="113">
        <f>IF($E396="","","A"&amp;TEXT(ROW()-6,"00000"))</f>
        <v/>
      </c>
      <c r="C396" s="108" t="n"/>
      <c r="D396" s="113">
        <f>IF($E396="","",IFERROR(INDEX(MUSTERILER!$B$7:$B$106,MATCH($E396,MUSTERILER!$C$7:$C$106,0)),IFERROR(INDEX(MUSTERILER!$B$7:$B$106,MATCH($E396,MUSTERILER!$B$7:$B$106,0)),IFERROR(INDEX(MUSTERILER!$B$7:$B$106,MATCH($E396&amp;"*",MUSTERILER!$C$7:$C$106,0)),"TANIMSIZ MÜŞTERİ"))))</f>
        <v/>
      </c>
      <c r="E396" s="109" t="n"/>
      <c r="F396" s="109" t="n"/>
      <c r="G396" s="108" t="n"/>
      <c r="H396" s="225" t="n"/>
      <c r="I396" s="225" t="n"/>
      <c r="J396" s="108" t="n"/>
      <c r="K396" s="108" t="n"/>
      <c r="L396" s="109" t="n"/>
      <c r="M396" s="109" t="n"/>
      <c r="N396" s="109" t="n"/>
      <c r="O396" s="225" t="n"/>
      <c r="P396" s="232">
        <f>IF(OR($E396="",$I396=""),"",IF(OR($J396="Tamamlandı",$J396="İptal"),"",$I396-TODAY()))</f>
        <v/>
      </c>
      <c r="Q396" s="113">
        <f>IF($E396="","",IF($D396="TANIMSIZ MÜŞTERİ","HATA",IF(OR($J396="Tamamlandı",$J396="İptal"),"KAPALI",IF(AND($C396="Görüşme",$N396=""),"SONRAKİ İŞLEM EKSİK",IF($I396="","TARİH EKSİK",IF($I396&lt;TODAY(),"GECİKMİŞ",IF($I396=TODAY(),"BUGÜN",IF($I396&lt;=TODAY()+7,"7 GÜN İÇİNDE","PLANLI"))))))))</f>
        <v/>
      </c>
      <c r="R396" s="6" t="n"/>
      <c r="S396" s="6" t="n"/>
    </row>
    <row r="397">
      <c r="A397" s="6" t="n"/>
      <c r="B397" s="113">
        <f>IF($E397="","","A"&amp;TEXT(ROW()-6,"00000"))</f>
        <v/>
      </c>
      <c r="C397" s="108" t="n"/>
      <c r="D397" s="113">
        <f>IF($E397="","",IFERROR(INDEX(MUSTERILER!$B$7:$B$106,MATCH($E397,MUSTERILER!$C$7:$C$106,0)),IFERROR(INDEX(MUSTERILER!$B$7:$B$106,MATCH($E397,MUSTERILER!$B$7:$B$106,0)),IFERROR(INDEX(MUSTERILER!$B$7:$B$106,MATCH($E397&amp;"*",MUSTERILER!$C$7:$C$106,0)),"TANIMSIZ MÜŞTERİ"))))</f>
        <v/>
      </c>
      <c r="E397" s="109" t="n"/>
      <c r="F397" s="109" t="n"/>
      <c r="G397" s="108" t="n"/>
      <c r="H397" s="225" t="n"/>
      <c r="I397" s="225" t="n"/>
      <c r="J397" s="108" t="n"/>
      <c r="K397" s="108" t="n"/>
      <c r="L397" s="109" t="n"/>
      <c r="M397" s="109" t="n"/>
      <c r="N397" s="109" t="n"/>
      <c r="O397" s="225" t="n"/>
      <c r="P397" s="232">
        <f>IF(OR($E397="",$I397=""),"",IF(OR($J397="Tamamlandı",$J397="İptal"),"",$I397-TODAY()))</f>
        <v/>
      </c>
      <c r="Q397" s="113">
        <f>IF($E397="","",IF($D397="TANIMSIZ MÜŞTERİ","HATA",IF(OR($J397="Tamamlandı",$J397="İptal"),"KAPALI",IF(AND($C397="Görüşme",$N397=""),"SONRAKİ İŞLEM EKSİK",IF($I397="","TARİH EKSİK",IF($I397&lt;TODAY(),"GECİKMİŞ",IF($I397=TODAY(),"BUGÜN",IF($I397&lt;=TODAY()+7,"7 GÜN İÇİNDE","PLANLI"))))))))</f>
        <v/>
      </c>
      <c r="R397" s="6" t="n"/>
      <c r="S397" s="6" t="n"/>
    </row>
    <row r="398">
      <c r="A398" s="6" t="n"/>
      <c r="B398" s="113">
        <f>IF($E398="","","A"&amp;TEXT(ROW()-6,"00000"))</f>
        <v/>
      </c>
      <c r="C398" s="108" t="n"/>
      <c r="D398" s="113">
        <f>IF($E398="","",IFERROR(INDEX(MUSTERILER!$B$7:$B$106,MATCH($E398,MUSTERILER!$C$7:$C$106,0)),IFERROR(INDEX(MUSTERILER!$B$7:$B$106,MATCH($E398,MUSTERILER!$B$7:$B$106,0)),IFERROR(INDEX(MUSTERILER!$B$7:$B$106,MATCH($E398&amp;"*",MUSTERILER!$C$7:$C$106,0)),"TANIMSIZ MÜŞTERİ"))))</f>
        <v/>
      </c>
      <c r="E398" s="109" t="n"/>
      <c r="F398" s="109" t="n"/>
      <c r="G398" s="108" t="n"/>
      <c r="H398" s="225" t="n"/>
      <c r="I398" s="225" t="n"/>
      <c r="J398" s="108" t="n"/>
      <c r="K398" s="108" t="n"/>
      <c r="L398" s="109" t="n"/>
      <c r="M398" s="109" t="n"/>
      <c r="N398" s="109" t="n"/>
      <c r="O398" s="225" t="n"/>
      <c r="P398" s="232">
        <f>IF(OR($E398="",$I398=""),"",IF(OR($J398="Tamamlandı",$J398="İptal"),"",$I398-TODAY()))</f>
        <v/>
      </c>
      <c r="Q398" s="113">
        <f>IF($E398="","",IF($D398="TANIMSIZ MÜŞTERİ","HATA",IF(OR($J398="Tamamlandı",$J398="İptal"),"KAPALI",IF(AND($C398="Görüşme",$N398=""),"SONRAKİ İŞLEM EKSİK",IF($I398="","TARİH EKSİK",IF($I398&lt;TODAY(),"GECİKMİŞ",IF($I398=TODAY(),"BUGÜN",IF($I398&lt;=TODAY()+7,"7 GÜN İÇİNDE","PLANLI"))))))))</f>
        <v/>
      </c>
      <c r="R398" s="6" t="n"/>
      <c r="S398" s="6" t="n"/>
    </row>
    <row r="399">
      <c r="A399" s="6" t="n"/>
      <c r="B399" s="113">
        <f>IF($E399="","","A"&amp;TEXT(ROW()-6,"00000"))</f>
        <v/>
      </c>
      <c r="C399" s="108" t="n"/>
      <c r="D399" s="113">
        <f>IF($E399="","",IFERROR(INDEX(MUSTERILER!$B$7:$B$106,MATCH($E399,MUSTERILER!$C$7:$C$106,0)),IFERROR(INDEX(MUSTERILER!$B$7:$B$106,MATCH($E399,MUSTERILER!$B$7:$B$106,0)),IFERROR(INDEX(MUSTERILER!$B$7:$B$106,MATCH($E399&amp;"*",MUSTERILER!$C$7:$C$106,0)),"TANIMSIZ MÜŞTERİ"))))</f>
        <v/>
      </c>
      <c r="E399" s="109" t="n"/>
      <c r="F399" s="109" t="n"/>
      <c r="G399" s="108" t="n"/>
      <c r="H399" s="225" t="n"/>
      <c r="I399" s="225" t="n"/>
      <c r="J399" s="108" t="n"/>
      <c r="K399" s="108" t="n"/>
      <c r="L399" s="109" t="n"/>
      <c r="M399" s="109" t="n"/>
      <c r="N399" s="109" t="n"/>
      <c r="O399" s="225" t="n"/>
      <c r="P399" s="232">
        <f>IF(OR($E399="",$I399=""),"",IF(OR($J399="Tamamlandı",$J399="İptal"),"",$I399-TODAY()))</f>
        <v/>
      </c>
      <c r="Q399" s="113">
        <f>IF($E399="","",IF($D399="TANIMSIZ MÜŞTERİ","HATA",IF(OR($J399="Tamamlandı",$J399="İptal"),"KAPALI",IF(AND($C399="Görüşme",$N399=""),"SONRAKİ İŞLEM EKSİK",IF($I399="","TARİH EKSİK",IF($I399&lt;TODAY(),"GECİKMİŞ",IF($I399=TODAY(),"BUGÜN",IF($I399&lt;=TODAY()+7,"7 GÜN İÇİNDE","PLANLI"))))))))</f>
        <v/>
      </c>
      <c r="R399" s="6" t="n"/>
      <c r="S399" s="6" t="n"/>
    </row>
    <row r="400">
      <c r="A400" s="6" t="n"/>
      <c r="B400" s="113">
        <f>IF($E400="","","A"&amp;TEXT(ROW()-6,"00000"))</f>
        <v/>
      </c>
      <c r="C400" s="108" t="n"/>
      <c r="D400" s="113">
        <f>IF($E400="","",IFERROR(INDEX(MUSTERILER!$B$7:$B$106,MATCH($E400,MUSTERILER!$C$7:$C$106,0)),IFERROR(INDEX(MUSTERILER!$B$7:$B$106,MATCH($E400,MUSTERILER!$B$7:$B$106,0)),IFERROR(INDEX(MUSTERILER!$B$7:$B$106,MATCH($E400&amp;"*",MUSTERILER!$C$7:$C$106,0)),"TANIMSIZ MÜŞTERİ"))))</f>
        <v/>
      </c>
      <c r="E400" s="109" t="n"/>
      <c r="F400" s="109" t="n"/>
      <c r="G400" s="108" t="n"/>
      <c r="H400" s="225" t="n"/>
      <c r="I400" s="225" t="n"/>
      <c r="J400" s="108" t="n"/>
      <c r="K400" s="108" t="n"/>
      <c r="L400" s="109" t="n"/>
      <c r="M400" s="109" t="n"/>
      <c r="N400" s="109" t="n"/>
      <c r="O400" s="225" t="n"/>
      <c r="P400" s="232">
        <f>IF(OR($E400="",$I400=""),"",IF(OR($J400="Tamamlandı",$J400="İptal"),"",$I400-TODAY()))</f>
        <v/>
      </c>
      <c r="Q400" s="113">
        <f>IF($E400="","",IF($D400="TANIMSIZ MÜŞTERİ","HATA",IF(OR($J400="Tamamlandı",$J400="İptal"),"KAPALI",IF(AND($C400="Görüşme",$N400=""),"SONRAKİ İŞLEM EKSİK",IF($I400="","TARİH EKSİK",IF($I400&lt;TODAY(),"GECİKMİŞ",IF($I400=TODAY(),"BUGÜN",IF($I400&lt;=TODAY()+7,"7 GÜN İÇİNDE","PLANLI"))))))))</f>
        <v/>
      </c>
      <c r="R400" s="6" t="n"/>
      <c r="S400" s="6" t="n"/>
    </row>
    <row r="401">
      <c r="A401" s="6" t="n"/>
      <c r="B401" s="113">
        <f>IF($E401="","","A"&amp;TEXT(ROW()-6,"00000"))</f>
        <v/>
      </c>
      <c r="C401" s="108" t="n"/>
      <c r="D401" s="113">
        <f>IF($E401="","",IFERROR(INDEX(MUSTERILER!$B$7:$B$106,MATCH($E401,MUSTERILER!$C$7:$C$106,0)),IFERROR(INDEX(MUSTERILER!$B$7:$B$106,MATCH($E401,MUSTERILER!$B$7:$B$106,0)),IFERROR(INDEX(MUSTERILER!$B$7:$B$106,MATCH($E401&amp;"*",MUSTERILER!$C$7:$C$106,0)),"TANIMSIZ MÜŞTERİ"))))</f>
        <v/>
      </c>
      <c r="E401" s="109" t="n"/>
      <c r="F401" s="109" t="n"/>
      <c r="G401" s="108" t="n"/>
      <c r="H401" s="225" t="n"/>
      <c r="I401" s="225" t="n"/>
      <c r="J401" s="108" t="n"/>
      <c r="K401" s="108" t="n"/>
      <c r="L401" s="109" t="n"/>
      <c r="M401" s="109" t="n"/>
      <c r="N401" s="109" t="n"/>
      <c r="O401" s="225" t="n"/>
      <c r="P401" s="232">
        <f>IF(OR($E401="",$I401=""),"",IF(OR($J401="Tamamlandı",$J401="İptal"),"",$I401-TODAY()))</f>
        <v/>
      </c>
      <c r="Q401" s="113">
        <f>IF($E401="","",IF($D401="TANIMSIZ MÜŞTERİ","HATA",IF(OR($J401="Tamamlandı",$J401="İptal"),"KAPALI",IF(AND($C401="Görüşme",$N401=""),"SONRAKİ İŞLEM EKSİK",IF($I401="","TARİH EKSİK",IF($I401&lt;TODAY(),"GECİKMİŞ",IF($I401=TODAY(),"BUGÜN",IF($I401&lt;=TODAY()+7,"7 GÜN İÇİNDE","PLANLI"))))))))</f>
        <v/>
      </c>
      <c r="R401" s="6" t="n"/>
      <c r="S401" s="6" t="n"/>
    </row>
    <row r="402">
      <c r="A402" s="6" t="n"/>
      <c r="B402" s="113">
        <f>IF($E402="","","A"&amp;TEXT(ROW()-6,"00000"))</f>
        <v/>
      </c>
      <c r="C402" s="108" t="n"/>
      <c r="D402" s="113">
        <f>IF($E402="","",IFERROR(INDEX(MUSTERILER!$B$7:$B$106,MATCH($E402,MUSTERILER!$C$7:$C$106,0)),IFERROR(INDEX(MUSTERILER!$B$7:$B$106,MATCH($E402,MUSTERILER!$B$7:$B$106,0)),IFERROR(INDEX(MUSTERILER!$B$7:$B$106,MATCH($E402&amp;"*",MUSTERILER!$C$7:$C$106,0)),"TANIMSIZ MÜŞTERİ"))))</f>
        <v/>
      </c>
      <c r="E402" s="109" t="n"/>
      <c r="F402" s="109" t="n"/>
      <c r="G402" s="108" t="n"/>
      <c r="H402" s="225" t="n"/>
      <c r="I402" s="225" t="n"/>
      <c r="J402" s="108" t="n"/>
      <c r="K402" s="108" t="n"/>
      <c r="L402" s="109" t="n"/>
      <c r="M402" s="109" t="n"/>
      <c r="N402" s="109" t="n"/>
      <c r="O402" s="225" t="n"/>
      <c r="P402" s="232">
        <f>IF(OR($E402="",$I402=""),"",IF(OR($J402="Tamamlandı",$J402="İptal"),"",$I402-TODAY()))</f>
        <v/>
      </c>
      <c r="Q402" s="113">
        <f>IF($E402="","",IF($D402="TANIMSIZ MÜŞTERİ","HATA",IF(OR($J402="Tamamlandı",$J402="İptal"),"KAPALI",IF(AND($C402="Görüşme",$N402=""),"SONRAKİ İŞLEM EKSİK",IF($I402="","TARİH EKSİK",IF($I402&lt;TODAY(),"GECİKMİŞ",IF($I402=TODAY(),"BUGÜN",IF($I402&lt;=TODAY()+7,"7 GÜN İÇİNDE","PLANLI"))))))))</f>
        <v/>
      </c>
      <c r="R402" s="6" t="n"/>
      <c r="S402" s="6" t="n"/>
    </row>
    <row r="403">
      <c r="A403" s="6" t="n"/>
      <c r="B403" s="113">
        <f>IF($E403="","","A"&amp;TEXT(ROW()-6,"00000"))</f>
        <v/>
      </c>
      <c r="C403" s="108" t="n"/>
      <c r="D403" s="113">
        <f>IF($E403="","",IFERROR(INDEX(MUSTERILER!$B$7:$B$106,MATCH($E403,MUSTERILER!$C$7:$C$106,0)),IFERROR(INDEX(MUSTERILER!$B$7:$B$106,MATCH($E403,MUSTERILER!$B$7:$B$106,0)),IFERROR(INDEX(MUSTERILER!$B$7:$B$106,MATCH($E403&amp;"*",MUSTERILER!$C$7:$C$106,0)),"TANIMSIZ MÜŞTERİ"))))</f>
        <v/>
      </c>
      <c r="E403" s="109" t="n"/>
      <c r="F403" s="109" t="n"/>
      <c r="G403" s="108" t="n"/>
      <c r="H403" s="225" t="n"/>
      <c r="I403" s="225" t="n"/>
      <c r="J403" s="108" t="n"/>
      <c r="K403" s="108" t="n"/>
      <c r="L403" s="109" t="n"/>
      <c r="M403" s="109" t="n"/>
      <c r="N403" s="109" t="n"/>
      <c r="O403" s="225" t="n"/>
      <c r="P403" s="232">
        <f>IF(OR($E403="",$I403=""),"",IF(OR($J403="Tamamlandı",$J403="İptal"),"",$I403-TODAY()))</f>
        <v/>
      </c>
      <c r="Q403" s="113">
        <f>IF($E403="","",IF($D403="TANIMSIZ MÜŞTERİ","HATA",IF(OR($J403="Tamamlandı",$J403="İptal"),"KAPALI",IF(AND($C403="Görüşme",$N403=""),"SONRAKİ İŞLEM EKSİK",IF($I403="","TARİH EKSİK",IF($I403&lt;TODAY(),"GECİKMİŞ",IF($I403=TODAY(),"BUGÜN",IF($I403&lt;=TODAY()+7,"7 GÜN İÇİNDE","PLANLI"))))))))</f>
        <v/>
      </c>
      <c r="R403" s="6" t="n"/>
      <c r="S403" s="6" t="n"/>
    </row>
    <row r="404">
      <c r="A404" s="6" t="n"/>
      <c r="B404" s="113">
        <f>IF($E404="","","A"&amp;TEXT(ROW()-6,"00000"))</f>
        <v/>
      </c>
      <c r="C404" s="108" t="n"/>
      <c r="D404" s="113">
        <f>IF($E404="","",IFERROR(INDEX(MUSTERILER!$B$7:$B$106,MATCH($E404,MUSTERILER!$C$7:$C$106,0)),IFERROR(INDEX(MUSTERILER!$B$7:$B$106,MATCH($E404,MUSTERILER!$B$7:$B$106,0)),IFERROR(INDEX(MUSTERILER!$B$7:$B$106,MATCH($E404&amp;"*",MUSTERILER!$C$7:$C$106,0)),"TANIMSIZ MÜŞTERİ"))))</f>
        <v/>
      </c>
      <c r="E404" s="109" t="n"/>
      <c r="F404" s="109" t="n"/>
      <c r="G404" s="108" t="n"/>
      <c r="H404" s="225" t="n"/>
      <c r="I404" s="225" t="n"/>
      <c r="J404" s="108" t="n"/>
      <c r="K404" s="108" t="n"/>
      <c r="L404" s="109" t="n"/>
      <c r="M404" s="109" t="n"/>
      <c r="N404" s="109" t="n"/>
      <c r="O404" s="225" t="n"/>
      <c r="P404" s="232">
        <f>IF(OR($E404="",$I404=""),"",IF(OR($J404="Tamamlandı",$J404="İptal"),"",$I404-TODAY()))</f>
        <v/>
      </c>
      <c r="Q404" s="113">
        <f>IF($E404="","",IF($D404="TANIMSIZ MÜŞTERİ","HATA",IF(OR($J404="Tamamlandı",$J404="İptal"),"KAPALI",IF(AND($C404="Görüşme",$N404=""),"SONRAKİ İŞLEM EKSİK",IF($I404="","TARİH EKSİK",IF($I404&lt;TODAY(),"GECİKMİŞ",IF($I404=TODAY(),"BUGÜN",IF($I404&lt;=TODAY()+7,"7 GÜN İÇİNDE","PLANLI"))))))))</f>
        <v/>
      </c>
      <c r="R404" s="6" t="n"/>
      <c r="S404" s="6" t="n"/>
    </row>
    <row r="405">
      <c r="A405" s="6" t="n"/>
      <c r="B405" s="113">
        <f>IF($E405="","","A"&amp;TEXT(ROW()-6,"00000"))</f>
        <v/>
      </c>
      <c r="C405" s="108" t="n"/>
      <c r="D405" s="113">
        <f>IF($E405="","",IFERROR(INDEX(MUSTERILER!$B$7:$B$106,MATCH($E405,MUSTERILER!$C$7:$C$106,0)),IFERROR(INDEX(MUSTERILER!$B$7:$B$106,MATCH($E405,MUSTERILER!$B$7:$B$106,0)),IFERROR(INDEX(MUSTERILER!$B$7:$B$106,MATCH($E405&amp;"*",MUSTERILER!$C$7:$C$106,0)),"TANIMSIZ MÜŞTERİ"))))</f>
        <v/>
      </c>
      <c r="E405" s="109" t="n"/>
      <c r="F405" s="109" t="n"/>
      <c r="G405" s="108" t="n"/>
      <c r="H405" s="225" t="n"/>
      <c r="I405" s="225" t="n"/>
      <c r="J405" s="108" t="n"/>
      <c r="K405" s="108" t="n"/>
      <c r="L405" s="109" t="n"/>
      <c r="M405" s="109" t="n"/>
      <c r="N405" s="109" t="n"/>
      <c r="O405" s="225" t="n"/>
      <c r="P405" s="232">
        <f>IF(OR($E405="",$I405=""),"",IF(OR($J405="Tamamlandı",$J405="İptal"),"",$I405-TODAY()))</f>
        <v/>
      </c>
      <c r="Q405" s="113">
        <f>IF($E405="","",IF($D405="TANIMSIZ MÜŞTERİ","HATA",IF(OR($J405="Tamamlandı",$J405="İptal"),"KAPALI",IF(AND($C405="Görüşme",$N405=""),"SONRAKİ İŞLEM EKSİK",IF($I405="","TARİH EKSİK",IF($I405&lt;TODAY(),"GECİKMİŞ",IF($I405=TODAY(),"BUGÜN",IF($I405&lt;=TODAY()+7,"7 GÜN İÇİNDE","PLANLI"))))))))</f>
        <v/>
      </c>
      <c r="R405" s="6" t="n"/>
      <c r="S405" s="6" t="n"/>
    </row>
    <row r="406">
      <c r="A406" s="6" t="n"/>
      <c r="B406" s="113">
        <f>IF($E406="","","A"&amp;TEXT(ROW()-6,"00000"))</f>
        <v/>
      </c>
      <c r="C406" s="108" t="n"/>
      <c r="D406" s="113">
        <f>IF($E406="","",IFERROR(INDEX(MUSTERILER!$B$7:$B$106,MATCH($E406,MUSTERILER!$C$7:$C$106,0)),IFERROR(INDEX(MUSTERILER!$B$7:$B$106,MATCH($E406,MUSTERILER!$B$7:$B$106,0)),IFERROR(INDEX(MUSTERILER!$B$7:$B$106,MATCH($E406&amp;"*",MUSTERILER!$C$7:$C$106,0)),"TANIMSIZ MÜŞTERİ"))))</f>
        <v/>
      </c>
      <c r="E406" s="109" t="n"/>
      <c r="F406" s="109" t="n"/>
      <c r="G406" s="108" t="n"/>
      <c r="H406" s="225" t="n"/>
      <c r="I406" s="225" t="n"/>
      <c r="J406" s="108" t="n"/>
      <c r="K406" s="108" t="n"/>
      <c r="L406" s="109" t="n"/>
      <c r="M406" s="109" t="n"/>
      <c r="N406" s="109" t="n"/>
      <c r="O406" s="225" t="n"/>
      <c r="P406" s="232">
        <f>IF(OR($E406="",$I406=""),"",IF(OR($J406="Tamamlandı",$J406="İptal"),"",$I406-TODAY()))</f>
        <v/>
      </c>
      <c r="Q406" s="113">
        <f>IF($E406="","",IF($D406="TANIMSIZ MÜŞTERİ","HATA",IF(OR($J406="Tamamlandı",$J406="İptal"),"KAPALI",IF(AND($C406="Görüşme",$N406=""),"SONRAKİ İŞLEM EKSİK",IF($I406="","TARİH EKSİK",IF($I406&lt;TODAY(),"GECİKMİŞ",IF($I406=TODAY(),"BUGÜN",IF($I406&lt;=TODAY()+7,"7 GÜN İÇİNDE","PLANLI"))))))))</f>
        <v/>
      </c>
      <c r="R406" s="6" t="n"/>
      <c r="S406" s="6" t="n"/>
    </row>
    <row r="407">
      <c r="A407" s="6" t="n"/>
      <c r="B407" s="113">
        <f>IF($E407="","","A"&amp;TEXT(ROW()-6,"00000"))</f>
        <v/>
      </c>
      <c r="C407" s="108" t="n"/>
      <c r="D407" s="113">
        <f>IF($E407="","",IFERROR(INDEX(MUSTERILER!$B$7:$B$106,MATCH($E407,MUSTERILER!$C$7:$C$106,0)),IFERROR(INDEX(MUSTERILER!$B$7:$B$106,MATCH($E407,MUSTERILER!$B$7:$B$106,0)),IFERROR(INDEX(MUSTERILER!$B$7:$B$106,MATCH($E407&amp;"*",MUSTERILER!$C$7:$C$106,0)),"TANIMSIZ MÜŞTERİ"))))</f>
        <v/>
      </c>
      <c r="E407" s="109" t="n"/>
      <c r="F407" s="109" t="n"/>
      <c r="G407" s="108" t="n"/>
      <c r="H407" s="225" t="n"/>
      <c r="I407" s="225" t="n"/>
      <c r="J407" s="108" t="n"/>
      <c r="K407" s="108" t="n"/>
      <c r="L407" s="109" t="n"/>
      <c r="M407" s="109" t="n"/>
      <c r="N407" s="109" t="n"/>
      <c r="O407" s="225" t="n"/>
      <c r="P407" s="232">
        <f>IF(OR($E407="",$I407=""),"",IF(OR($J407="Tamamlandı",$J407="İptal"),"",$I407-TODAY()))</f>
        <v/>
      </c>
      <c r="Q407" s="113">
        <f>IF($E407="","",IF($D407="TANIMSIZ MÜŞTERİ","HATA",IF(OR($J407="Tamamlandı",$J407="İptal"),"KAPALI",IF(AND($C407="Görüşme",$N407=""),"SONRAKİ İŞLEM EKSİK",IF($I407="","TARİH EKSİK",IF($I407&lt;TODAY(),"GECİKMİŞ",IF($I407=TODAY(),"BUGÜN",IF($I407&lt;=TODAY()+7,"7 GÜN İÇİNDE","PLANLI"))))))))</f>
        <v/>
      </c>
      <c r="R407" s="6" t="n"/>
      <c r="S407" s="6" t="n"/>
    </row>
    <row r="408">
      <c r="A408" s="6" t="n"/>
      <c r="B408" s="113">
        <f>IF($E408="","","A"&amp;TEXT(ROW()-6,"00000"))</f>
        <v/>
      </c>
      <c r="C408" s="108" t="n"/>
      <c r="D408" s="113">
        <f>IF($E408="","",IFERROR(INDEX(MUSTERILER!$B$7:$B$106,MATCH($E408,MUSTERILER!$C$7:$C$106,0)),IFERROR(INDEX(MUSTERILER!$B$7:$B$106,MATCH($E408,MUSTERILER!$B$7:$B$106,0)),IFERROR(INDEX(MUSTERILER!$B$7:$B$106,MATCH($E408&amp;"*",MUSTERILER!$C$7:$C$106,0)),"TANIMSIZ MÜŞTERİ"))))</f>
        <v/>
      </c>
      <c r="E408" s="109" t="n"/>
      <c r="F408" s="109" t="n"/>
      <c r="G408" s="108" t="n"/>
      <c r="H408" s="225" t="n"/>
      <c r="I408" s="225" t="n"/>
      <c r="J408" s="108" t="n"/>
      <c r="K408" s="108" t="n"/>
      <c r="L408" s="109" t="n"/>
      <c r="M408" s="109" t="n"/>
      <c r="N408" s="109" t="n"/>
      <c r="O408" s="225" t="n"/>
      <c r="P408" s="232">
        <f>IF(OR($E408="",$I408=""),"",IF(OR($J408="Tamamlandı",$J408="İptal"),"",$I408-TODAY()))</f>
        <v/>
      </c>
      <c r="Q408" s="113">
        <f>IF($E408="","",IF($D408="TANIMSIZ MÜŞTERİ","HATA",IF(OR($J408="Tamamlandı",$J408="İptal"),"KAPALI",IF(AND($C408="Görüşme",$N408=""),"SONRAKİ İŞLEM EKSİK",IF($I408="","TARİH EKSİK",IF($I408&lt;TODAY(),"GECİKMİŞ",IF($I408=TODAY(),"BUGÜN",IF($I408&lt;=TODAY()+7,"7 GÜN İÇİNDE","PLANLI"))))))))</f>
        <v/>
      </c>
      <c r="R408" s="6" t="n"/>
      <c r="S408" s="6" t="n"/>
    </row>
    <row r="409">
      <c r="A409" s="6" t="n"/>
      <c r="B409" s="113">
        <f>IF($E409="","","A"&amp;TEXT(ROW()-6,"00000"))</f>
        <v/>
      </c>
      <c r="C409" s="108" t="n"/>
      <c r="D409" s="113">
        <f>IF($E409="","",IFERROR(INDEX(MUSTERILER!$B$7:$B$106,MATCH($E409,MUSTERILER!$C$7:$C$106,0)),IFERROR(INDEX(MUSTERILER!$B$7:$B$106,MATCH($E409,MUSTERILER!$B$7:$B$106,0)),IFERROR(INDEX(MUSTERILER!$B$7:$B$106,MATCH($E409&amp;"*",MUSTERILER!$C$7:$C$106,0)),"TANIMSIZ MÜŞTERİ"))))</f>
        <v/>
      </c>
      <c r="E409" s="109" t="n"/>
      <c r="F409" s="109" t="n"/>
      <c r="G409" s="108" t="n"/>
      <c r="H409" s="225" t="n"/>
      <c r="I409" s="225" t="n"/>
      <c r="J409" s="108" t="n"/>
      <c r="K409" s="108" t="n"/>
      <c r="L409" s="109" t="n"/>
      <c r="M409" s="109" t="n"/>
      <c r="N409" s="109" t="n"/>
      <c r="O409" s="225" t="n"/>
      <c r="P409" s="232">
        <f>IF(OR($E409="",$I409=""),"",IF(OR($J409="Tamamlandı",$J409="İptal"),"",$I409-TODAY()))</f>
        <v/>
      </c>
      <c r="Q409" s="113">
        <f>IF($E409="","",IF($D409="TANIMSIZ MÜŞTERİ","HATA",IF(OR($J409="Tamamlandı",$J409="İptal"),"KAPALI",IF(AND($C409="Görüşme",$N409=""),"SONRAKİ İŞLEM EKSİK",IF($I409="","TARİH EKSİK",IF($I409&lt;TODAY(),"GECİKMİŞ",IF($I409=TODAY(),"BUGÜN",IF($I409&lt;=TODAY()+7,"7 GÜN İÇİNDE","PLANLI"))))))))</f>
        <v/>
      </c>
      <c r="R409" s="6" t="n"/>
      <c r="S409" s="6" t="n"/>
    </row>
    <row r="410">
      <c r="A410" s="6" t="n"/>
      <c r="B410" s="113">
        <f>IF($E410="","","A"&amp;TEXT(ROW()-6,"00000"))</f>
        <v/>
      </c>
      <c r="C410" s="108" t="n"/>
      <c r="D410" s="113">
        <f>IF($E410="","",IFERROR(INDEX(MUSTERILER!$B$7:$B$106,MATCH($E410,MUSTERILER!$C$7:$C$106,0)),IFERROR(INDEX(MUSTERILER!$B$7:$B$106,MATCH($E410,MUSTERILER!$B$7:$B$106,0)),IFERROR(INDEX(MUSTERILER!$B$7:$B$106,MATCH($E410&amp;"*",MUSTERILER!$C$7:$C$106,0)),"TANIMSIZ MÜŞTERİ"))))</f>
        <v/>
      </c>
      <c r="E410" s="109" t="n"/>
      <c r="F410" s="109" t="n"/>
      <c r="G410" s="108" t="n"/>
      <c r="H410" s="225" t="n"/>
      <c r="I410" s="225" t="n"/>
      <c r="J410" s="108" t="n"/>
      <c r="K410" s="108" t="n"/>
      <c r="L410" s="109" t="n"/>
      <c r="M410" s="109" t="n"/>
      <c r="N410" s="109" t="n"/>
      <c r="O410" s="225" t="n"/>
      <c r="P410" s="232">
        <f>IF(OR($E410="",$I410=""),"",IF(OR($J410="Tamamlandı",$J410="İptal"),"",$I410-TODAY()))</f>
        <v/>
      </c>
      <c r="Q410" s="113">
        <f>IF($E410="","",IF($D410="TANIMSIZ MÜŞTERİ","HATA",IF(OR($J410="Tamamlandı",$J410="İptal"),"KAPALI",IF(AND($C410="Görüşme",$N410=""),"SONRAKİ İŞLEM EKSİK",IF($I410="","TARİH EKSİK",IF($I410&lt;TODAY(),"GECİKMİŞ",IF($I410=TODAY(),"BUGÜN",IF($I410&lt;=TODAY()+7,"7 GÜN İÇİNDE","PLANLI"))))))))</f>
        <v/>
      </c>
      <c r="R410" s="6" t="n"/>
      <c r="S410" s="6" t="n"/>
    </row>
    <row r="411">
      <c r="A411" s="6" t="n"/>
      <c r="B411" s="113">
        <f>IF($E411="","","A"&amp;TEXT(ROW()-6,"00000"))</f>
        <v/>
      </c>
      <c r="C411" s="108" t="n"/>
      <c r="D411" s="113">
        <f>IF($E411="","",IFERROR(INDEX(MUSTERILER!$B$7:$B$106,MATCH($E411,MUSTERILER!$C$7:$C$106,0)),IFERROR(INDEX(MUSTERILER!$B$7:$B$106,MATCH($E411,MUSTERILER!$B$7:$B$106,0)),IFERROR(INDEX(MUSTERILER!$B$7:$B$106,MATCH($E411&amp;"*",MUSTERILER!$C$7:$C$106,0)),"TANIMSIZ MÜŞTERİ"))))</f>
        <v/>
      </c>
      <c r="E411" s="109" t="n"/>
      <c r="F411" s="109" t="n"/>
      <c r="G411" s="108" t="n"/>
      <c r="H411" s="225" t="n"/>
      <c r="I411" s="225" t="n"/>
      <c r="J411" s="108" t="n"/>
      <c r="K411" s="108" t="n"/>
      <c r="L411" s="109" t="n"/>
      <c r="M411" s="109" t="n"/>
      <c r="N411" s="109" t="n"/>
      <c r="O411" s="225" t="n"/>
      <c r="P411" s="232">
        <f>IF(OR($E411="",$I411=""),"",IF(OR($J411="Tamamlandı",$J411="İptal"),"",$I411-TODAY()))</f>
        <v/>
      </c>
      <c r="Q411" s="113">
        <f>IF($E411="","",IF($D411="TANIMSIZ MÜŞTERİ","HATA",IF(OR($J411="Tamamlandı",$J411="İptal"),"KAPALI",IF(AND($C411="Görüşme",$N411=""),"SONRAKİ İŞLEM EKSİK",IF($I411="","TARİH EKSİK",IF($I411&lt;TODAY(),"GECİKMİŞ",IF($I411=TODAY(),"BUGÜN",IF($I411&lt;=TODAY()+7,"7 GÜN İÇİNDE","PLANLI"))))))))</f>
        <v/>
      </c>
      <c r="R411" s="6" t="n"/>
      <c r="S411" s="6" t="n"/>
    </row>
    <row r="412">
      <c r="A412" s="6" t="n"/>
      <c r="B412" s="113">
        <f>IF($E412="","","A"&amp;TEXT(ROW()-6,"00000"))</f>
        <v/>
      </c>
      <c r="C412" s="108" t="n"/>
      <c r="D412" s="113">
        <f>IF($E412="","",IFERROR(INDEX(MUSTERILER!$B$7:$B$106,MATCH($E412,MUSTERILER!$C$7:$C$106,0)),IFERROR(INDEX(MUSTERILER!$B$7:$B$106,MATCH($E412,MUSTERILER!$B$7:$B$106,0)),IFERROR(INDEX(MUSTERILER!$B$7:$B$106,MATCH($E412&amp;"*",MUSTERILER!$C$7:$C$106,0)),"TANIMSIZ MÜŞTERİ"))))</f>
        <v/>
      </c>
      <c r="E412" s="109" t="n"/>
      <c r="F412" s="109" t="n"/>
      <c r="G412" s="108" t="n"/>
      <c r="H412" s="225" t="n"/>
      <c r="I412" s="225" t="n"/>
      <c r="J412" s="108" t="n"/>
      <c r="K412" s="108" t="n"/>
      <c r="L412" s="109" t="n"/>
      <c r="M412" s="109" t="n"/>
      <c r="N412" s="109" t="n"/>
      <c r="O412" s="225" t="n"/>
      <c r="P412" s="232">
        <f>IF(OR($E412="",$I412=""),"",IF(OR($J412="Tamamlandı",$J412="İptal"),"",$I412-TODAY()))</f>
        <v/>
      </c>
      <c r="Q412" s="113">
        <f>IF($E412="","",IF($D412="TANIMSIZ MÜŞTERİ","HATA",IF(OR($J412="Tamamlandı",$J412="İptal"),"KAPALI",IF(AND($C412="Görüşme",$N412=""),"SONRAKİ İŞLEM EKSİK",IF($I412="","TARİH EKSİK",IF($I412&lt;TODAY(),"GECİKMİŞ",IF($I412=TODAY(),"BUGÜN",IF($I412&lt;=TODAY()+7,"7 GÜN İÇİNDE","PLANLI"))))))))</f>
        <v/>
      </c>
      <c r="R412" s="6" t="n"/>
      <c r="S412" s="6" t="n"/>
    </row>
    <row r="413">
      <c r="A413" s="6" t="n"/>
      <c r="B413" s="113">
        <f>IF($E413="","","A"&amp;TEXT(ROW()-6,"00000"))</f>
        <v/>
      </c>
      <c r="C413" s="108" t="n"/>
      <c r="D413" s="113">
        <f>IF($E413="","",IFERROR(INDEX(MUSTERILER!$B$7:$B$106,MATCH($E413,MUSTERILER!$C$7:$C$106,0)),IFERROR(INDEX(MUSTERILER!$B$7:$B$106,MATCH($E413,MUSTERILER!$B$7:$B$106,0)),IFERROR(INDEX(MUSTERILER!$B$7:$B$106,MATCH($E413&amp;"*",MUSTERILER!$C$7:$C$106,0)),"TANIMSIZ MÜŞTERİ"))))</f>
        <v/>
      </c>
      <c r="E413" s="109" t="n"/>
      <c r="F413" s="109" t="n"/>
      <c r="G413" s="108" t="n"/>
      <c r="H413" s="225" t="n"/>
      <c r="I413" s="225" t="n"/>
      <c r="J413" s="108" t="n"/>
      <c r="K413" s="108" t="n"/>
      <c r="L413" s="109" t="n"/>
      <c r="M413" s="109" t="n"/>
      <c r="N413" s="109" t="n"/>
      <c r="O413" s="225" t="n"/>
      <c r="P413" s="232">
        <f>IF(OR($E413="",$I413=""),"",IF(OR($J413="Tamamlandı",$J413="İptal"),"",$I413-TODAY()))</f>
        <v/>
      </c>
      <c r="Q413" s="113">
        <f>IF($E413="","",IF($D413="TANIMSIZ MÜŞTERİ","HATA",IF(OR($J413="Tamamlandı",$J413="İptal"),"KAPALI",IF(AND($C413="Görüşme",$N413=""),"SONRAKİ İŞLEM EKSİK",IF($I413="","TARİH EKSİK",IF($I413&lt;TODAY(),"GECİKMİŞ",IF($I413=TODAY(),"BUGÜN",IF($I413&lt;=TODAY()+7,"7 GÜN İÇİNDE","PLANLI"))))))))</f>
        <v/>
      </c>
      <c r="R413" s="6" t="n"/>
      <c r="S413" s="6" t="n"/>
    </row>
    <row r="414">
      <c r="A414" s="6" t="n"/>
      <c r="B414" s="113">
        <f>IF($E414="","","A"&amp;TEXT(ROW()-6,"00000"))</f>
        <v/>
      </c>
      <c r="C414" s="108" t="n"/>
      <c r="D414" s="113">
        <f>IF($E414="","",IFERROR(INDEX(MUSTERILER!$B$7:$B$106,MATCH($E414,MUSTERILER!$C$7:$C$106,0)),IFERROR(INDEX(MUSTERILER!$B$7:$B$106,MATCH($E414,MUSTERILER!$B$7:$B$106,0)),IFERROR(INDEX(MUSTERILER!$B$7:$B$106,MATCH($E414&amp;"*",MUSTERILER!$C$7:$C$106,0)),"TANIMSIZ MÜŞTERİ"))))</f>
        <v/>
      </c>
      <c r="E414" s="109" t="n"/>
      <c r="F414" s="109" t="n"/>
      <c r="G414" s="108" t="n"/>
      <c r="H414" s="225" t="n"/>
      <c r="I414" s="225" t="n"/>
      <c r="J414" s="108" t="n"/>
      <c r="K414" s="108" t="n"/>
      <c r="L414" s="109" t="n"/>
      <c r="M414" s="109" t="n"/>
      <c r="N414" s="109" t="n"/>
      <c r="O414" s="225" t="n"/>
      <c r="P414" s="232">
        <f>IF(OR($E414="",$I414=""),"",IF(OR($J414="Tamamlandı",$J414="İptal"),"",$I414-TODAY()))</f>
        <v/>
      </c>
      <c r="Q414" s="113">
        <f>IF($E414="","",IF($D414="TANIMSIZ MÜŞTERİ","HATA",IF(OR($J414="Tamamlandı",$J414="İptal"),"KAPALI",IF(AND($C414="Görüşme",$N414=""),"SONRAKİ İŞLEM EKSİK",IF($I414="","TARİH EKSİK",IF($I414&lt;TODAY(),"GECİKMİŞ",IF($I414=TODAY(),"BUGÜN",IF($I414&lt;=TODAY()+7,"7 GÜN İÇİNDE","PLANLI"))))))))</f>
        <v/>
      </c>
      <c r="R414" s="6" t="n"/>
      <c r="S414" s="6" t="n"/>
    </row>
    <row r="415">
      <c r="A415" s="6" t="n"/>
      <c r="B415" s="113">
        <f>IF($E415="","","A"&amp;TEXT(ROW()-6,"00000"))</f>
        <v/>
      </c>
      <c r="C415" s="108" t="n"/>
      <c r="D415" s="113">
        <f>IF($E415="","",IFERROR(INDEX(MUSTERILER!$B$7:$B$106,MATCH($E415,MUSTERILER!$C$7:$C$106,0)),IFERROR(INDEX(MUSTERILER!$B$7:$B$106,MATCH($E415,MUSTERILER!$B$7:$B$106,0)),IFERROR(INDEX(MUSTERILER!$B$7:$B$106,MATCH($E415&amp;"*",MUSTERILER!$C$7:$C$106,0)),"TANIMSIZ MÜŞTERİ"))))</f>
        <v/>
      </c>
      <c r="E415" s="109" t="n"/>
      <c r="F415" s="109" t="n"/>
      <c r="G415" s="108" t="n"/>
      <c r="H415" s="225" t="n"/>
      <c r="I415" s="225" t="n"/>
      <c r="J415" s="108" t="n"/>
      <c r="K415" s="108" t="n"/>
      <c r="L415" s="109" t="n"/>
      <c r="M415" s="109" t="n"/>
      <c r="N415" s="109" t="n"/>
      <c r="O415" s="225" t="n"/>
      <c r="P415" s="232">
        <f>IF(OR($E415="",$I415=""),"",IF(OR($J415="Tamamlandı",$J415="İptal"),"",$I415-TODAY()))</f>
        <v/>
      </c>
      <c r="Q415" s="113">
        <f>IF($E415="","",IF($D415="TANIMSIZ MÜŞTERİ","HATA",IF(OR($J415="Tamamlandı",$J415="İptal"),"KAPALI",IF(AND($C415="Görüşme",$N415=""),"SONRAKİ İŞLEM EKSİK",IF($I415="","TARİH EKSİK",IF($I415&lt;TODAY(),"GECİKMİŞ",IF($I415=TODAY(),"BUGÜN",IF($I415&lt;=TODAY()+7,"7 GÜN İÇİNDE","PLANLI"))))))))</f>
        <v/>
      </c>
      <c r="R415" s="6" t="n"/>
      <c r="S415" s="6" t="n"/>
    </row>
    <row r="416">
      <c r="A416" s="6" t="n"/>
      <c r="B416" s="113">
        <f>IF($E416="","","A"&amp;TEXT(ROW()-6,"00000"))</f>
        <v/>
      </c>
      <c r="C416" s="108" t="n"/>
      <c r="D416" s="113">
        <f>IF($E416="","",IFERROR(INDEX(MUSTERILER!$B$7:$B$106,MATCH($E416,MUSTERILER!$C$7:$C$106,0)),IFERROR(INDEX(MUSTERILER!$B$7:$B$106,MATCH($E416,MUSTERILER!$B$7:$B$106,0)),IFERROR(INDEX(MUSTERILER!$B$7:$B$106,MATCH($E416&amp;"*",MUSTERILER!$C$7:$C$106,0)),"TANIMSIZ MÜŞTERİ"))))</f>
        <v/>
      </c>
      <c r="E416" s="109" t="n"/>
      <c r="F416" s="109" t="n"/>
      <c r="G416" s="108" t="n"/>
      <c r="H416" s="225" t="n"/>
      <c r="I416" s="225" t="n"/>
      <c r="J416" s="108" t="n"/>
      <c r="K416" s="108" t="n"/>
      <c r="L416" s="109" t="n"/>
      <c r="M416" s="109" t="n"/>
      <c r="N416" s="109" t="n"/>
      <c r="O416" s="225" t="n"/>
      <c r="P416" s="232">
        <f>IF(OR($E416="",$I416=""),"",IF(OR($J416="Tamamlandı",$J416="İptal"),"",$I416-TODAY()))</f>
        <v/>
      </c>
      <c r="Q416" s="113">
        <f>IF($E416="","",IF($D416="TANIMSIZ MÜŞTERİ","HATA",IF(OR($J416="Tamamlandı",$J416="İptal"),"KAPALI",IF(AND($C416="Görüşme",$N416=""),"SONRAKİ İŞLEM EKSİK",IF($I416="","TARİH EKSİK",IF($I416&lt;TODAY(),"GECİKMİŞ",IF($I416=TODAY(),"BUGÜN",IF($I416&lt;=TODAY()+7,"7 GÜN İÇİNDE","PLANLI"))))))))</f>
        <v/>
      </c>
      <c r="R416" s="6" t="n"/>
      <c r="S416" s="6" t="n"/>
    </row>
    <row r="417">
      <c r="A417" s="6" t="n"/>
      <c r="B417" s="113">
        <f>IF($E417="","","A"&amp;TEXT(ROW()-6,"00000"))</f>
        <v/>
      </c>
      <c r="C417" s="108" t="n"/>
      <c r="D417" s="113">
        <f>IF($E417="","",IFERROR(INDEX(MUSTERILER!$B$7:$B$106,MATCH($E417,MUSTERILER!$C$7:$C$106,0)),IFERROR(INDEX(MUSTERILER!$B$7:$B$106,MATCH($E417,MUSTERILER!$B$7:$B$106,0)),IFERROR(INDEX(MUSTERILER!$B$7:$B$106,MATCH($E417&amp;"*",MUSTERILER!$C$7:$C$106,0)),"TANIMSIZ MÜŞTERİ"))))</f>
        <v/>
      </c>
      <c r="E417" s="109" t="n"/>
      <c r="F417" s="109" t="n"/>
      <c r="G417" s="108" t="n"/>
      <c r="H417" s="225" t="n"/>
      <c r="I417" s="225" t="n"/>
      <c r="J417" s="108" t="n"/>
      <c r="K417" s="108" t="n"/>
      <c r="L417" s="109" t="n"/>
      <c r="M417" s="109" t="n"/>
      <c r="N417" s="109" t="n"/>
      <c r="O417" s="225" t="n"/>
      <c r="P417" s="232">
        <f>IF(OR($E417="",$I417=""),"",IF(OR($J417="Tamamlandı",$J417="İptal"),"",$I417-TODAY()))</f>
        <v/>
      </c>
      <c r="Q417" s="113">
        <f>IF($E417="","",IF($D417="TANIMSIZ MÜŞTERİ","HATA",IF(OR($J417="Tamamlandı",$J417="İptal"),"KAPALI",IF(AND($C417="Görüşme",$N417=""),"SONRAKİ İŞLEM EKSİK",IF($I417="","TARİH EKSİK",IF($I417&lt;TODAY(),"GECİKMİŞ",IF($I417=TODAY(),"BUGÜN",IF($I417&lt;=TODAY()+7,"7 GÜN İÇİNDE","PLANLI"))))))))</f>
        <v/>
      </c>
      <c r="R417" s="6" t="n"/>
      <c r="S417" s="6" t="n"/>
    </row>
    <row r="418">
      <c r="A418" s="6" t="n"/>
      <c r="B418" s="113">
        <f>IF($E418="","","A"&amp;TEXT(ROW()-6,"00000"))</f>
        <v/>
      </c>
      <c r="C418" s="108" t="n"/>
      <c r="D418" s="113">
        <f>IF($E418="","",IFERROR(INDEX(MUSTERILER!$B$7:$B$106,MATCH($E418,MUSTERILER!$C$7:$C$106,0)),IFERROR(INDEX(MUSTERILER!$B$7:$B$106,MATCH($E418,MUSTERILER!$B$7:$B$106,0)),IFERROR(INDEX(MUSTERILER!$B$7:$B$106,MATCH($E418&amp;"*",MUSTERILER!$C$7:$C$106,0)),"TANIMSIZ MÜŞTERİ"))))</f>
        <v/>
      </c>
      <c r="E418" s="109" t="n"/>
      <c r="F418" s="109" t="n"/>
      <c r="G418" s="108" t="n"/>
      <c r="H418" s="225" t="n"/>
      <c r="I418" s="225" t="n"/>
      <c r="J418" s="108" t="n"/>
      <c r="K418" s="108" t="n"/>
      <c r="L418" s="109" t="n"/>
      <c r="M418" s="109" t="n"/>
      <c r="N418" s="109" t="n"/>
      <c r="O418" s="225" t="n"/>
      <c r="P418" s="232">
        <f>IF(OR($E418="",$I418=""),"",IF(OR($J418="Tamamlandı",$J418="İptal"),"",$I418-TODAY()))</f>
        <v/>
      </c>
      <c r="Q418" s="113">
        <f>IF($E418="","",IF($D418="TANIMSIZ MÜŞTERİ","HATA",IF(OR($J418="Tamamlandı",$J418="İptal"),"KAPALI",IF(AND($C418="Görüşme",$N418=""),"SONRAKİ İŞLEM EKSİK",IF($I418="","TARİH EKSİK",IF($I418&lt;TODAY(),"GECİKMİŞ",IF($I418=TODAY(),"BUGÜN",IF($I418&lt;=TODAY()+7,"7 GÜN İÇİNDE","PLANLI"))))))))</f>
        <v/>
      </c>
      <c r="R418" s="6" t="n"/>
      <c r="S418" s="6" t="n"/>
    </row>
    <row r="419">
      <c r="A419" s="6" t="n"/>
      <c r="B419" s="113">
        <f>IF($E419="","","A"&amp;TEXT(ROW()-6,"00000"))</f>
        <v/>
      </c>
      <c r="C419" s="108" t="n"/>
      <c r="D419" s="113">
        <f>IF($E419="","",IFERROR(INDEX(MUSTERILER!$B$7:$B$106,MATCH($E419,MUSTERILER!$C$7:$C$106,0)),IFERROR(INDEX(MUSTERILER!$B$7:$B$106,MATCH($E419,MUSTERILER!$B$7:$B$106,0)),IFERROR(INDEX(MUSTERILER!$B$7:$B$106,MATCH($E419&amp;"*",MUSTERILER!$C$7:$C$106,0)),"TANIMSIZ MÜŞTERİ"))))</f>
        <v/>
      </c>
      <c r="E419" s="109" t="n"/>
      <c r="F419" s="109" t="n"/>
      <c r="G419" s="108" t="n"/>
      <c r="H419" s="225" t="n"/>
      <c r="I419" s="225" t="n"/>
      <c r="J419" s="108" t="n"/>
      <c r="K419" s="108" t="n"/>
      <c r="L419" s="109" t="n"/>
      <c r="M419" s="109" t="n"/>
      <c r="N419" s="109" t="n"/>
      <c r="O419" s="225" t="n"/>
      <c r="P419" s="232">
        <f>IF(OR($E419="",$I419=""),"",IF(OR($J419="Tamamlandı",$J419="İptal"),"",$I419-TODAY()))</f>
        <v/>
      </c>
      <c r="Q419" s="113">
        <f>IF($E419="","",IF($D419="TANIMSIZ MÜŞTERİ","HATA",IF(OR($J419="Tamamlandı",$J419="İptal"),"KAPALI",IF(AND($C419="Görüşme",$N419=""),"SONRAKİ İŞLEM EKSİK",IF($I419="","TARİH EKSİK",IF($I419&lt;TODAY(),"GECİKMİŞ",IF($I419=TODAY(),"BUGÜN",IF($I419&lt;=TODAY()+7,"7 GÜN İÇİNDE","PLANLI"))))))))</f>
        <v/>
      </c>
      <c r="R419" s="6" t="n"/>
      <c r="S419" s="6" t="n"/>
    </row>
    <row r="420">
      <c r="A420" s="6" t="n"/>
      <c r="B420" s="113">
        <f>IF($E420="","","A"&amp;TEXT(ROW()-6,"00000"))</f>
        <v/>
      </c>
      <c r="C420" s="108" t="n"/>
      <c r="D420" s="113">
        <f>IF($E420="","",IFERROR(INDEX(MUSTERILER!$B$7:$B$106,MATCH($E420,MUSTERILER!$C$7:$C$106,0)),IFERROR(INDEX(MUSTERILER!$B$7:$B$106,MATCH($E420,MUSTERILER!$B$7:$B$106,0)),IFERROR(INDEX(MUSTERILER!$B$7:$B$106,MATCH($E420&amp;"*",MUSTERILER!$C$7:$C$106,0)),"TANIMSIZ MÜŞTERİ"))))</f>
        <v/>
      </c>
      <c r="E420" s="109" t="n"/>
      <c r="F420" s="109" t="n"/>
      <c r="G420" s="108" t="n"/>
      <c r="H420" s="225" t="n"/>
      <c r="I420" s="225" t="n"/>
      <c r="J420" s="108" t="n"/>
      <c r="K420" s="108" t="n"/>
      <c r="L420" s="109" t="n"/>
      <c r="M420" s="109" t="n"/>
      <c r="N420" s="109" t="n"/>
      <c r="O420" s="225" t="n"/>
      <c r="P420" s="232">
        <f>IF(OR($E420="",$I420=""),"",IF(OR($J420="Tamamlandı",$J420="İptal"),"",$I420-TODAY()))</f>
        <v/>
      </c>
      <c r="Q420" s="113">
        <f>IF($E420="","",IF($D420="TANIMSIZ MÜŞTERİ","HATA",IF(OR($J420="Tamamlandı",$J420="İptal"),"KAPALI",IF(AND($C420="Görüşme",$N420=""),"SONRAKİ İŞLEM EKSİK",IF($I420="","TARİH EKSİK",IF($I420&lt;TODAY(),"GECİKMİŞ",IF($I420=TODAY(),"BUGÜN",IF($I420&lt;=TODAY()+7,"7 GÜN İÇİNDE","PLANLI"))))))))</f>
        <v/>
      </c>
      <c r="R420" s="6" t="n"/>
      <c r="S420" s="6" t="n"/>
    </row>
    <row r="421">
      <c r="A421" s="6" t="n"/>
      <c r="B421" s="113">
        <f>IF($E421="","","A"&amp;TEXT(ROW()-6,"00000"))</f>
        <v/>
      </c>
      <c r="C421" s="108" t="n"/>
      <c r="D421" s="113">
        <f>IF($E421="","",IFERROR(INDEX(MUSTERILER!$B$7:$B$106,MATCH($E421,MUSTERILER!$C$7:$C$106,0)),IFERROR(INDEX(MUSTERILER!$B$7:$B$106,MATCH($E421,MUSTERILER!$B$7:$B$106,0)),IFERROR(INDEX(MUSTERILER!$B$7:$B$106,MATCH($E421&amp;"*",MUSTERILER!$C$7:$C$106,0)),"TANIMSIZ MÜŞTERİ"))))</f>
        <v/>
      </c>
      <c r="E421" s="109" t="n"/>
      <c r="F421" s="109" t="n"/>
      <c r="G421" s="108" t="n"/>
      <c r="H421" s="225" t="n"/>
      <c r="I421" s="225" t="n"/>
      <c r="J421" s="108" t="n"/>
      <c r="K421" s="108" t="n"/>
      <c r="L421" s="109" t="n"/>
      <c r="M421" s="109" t="n"/>
      <c r="N421" s="109" t="n"/>
      <c r="O421" s="225" t="n"/>
      <c r="P421" s="232">
        <f>IF(OR($E421="",$I421=""),"",IF(OR($J421="Tamamlandı",$J421="İptal"),"",$I421-TODAY()))</f>
        <v/>
      </c>
      <c r="Q421" s="113">
        <f>IF($E421="","",IF($D421="TANIMSIZ MÜŞTERİ","HATA",IF(OR($J421="Tamamlandı",$J421="İptal"),"KAPALI",IF(AND($C421="Görüşme",$N421=""),"SONRAKİ İŞLEM EKSİK",IF($I421="","TARİH EKSİK",IF($I421&lt;TODAY(),"GECİKMİŞ",IF($I421=TODAY(),"BUGÜN",IF($I421&lt;=TODAY()+7,"7 GÜN İÇİNDE","PLANLI"))))))))</f>
        <v/>
      </c>
      <c r="R421" s="6" t="n"/>
      <c r="S421" s="6" t="n"/>
    </row>
    <row r="422">
      <c r="A422" s="6" t="n"/>
      <c r="B422" s="113">
        <f>IF($E422="","","A"&amp;TEXT(ROW()-6,"00000"))</f>
        <v/>
      </c>
      <c r="C422" s="108" t="n"/>
      <c r="D422" s="113">
        <f>IF($E422="","",IFERROR(INDEX(MUSTERILER!$B$7:$B$106,MATCH($E422,MUSTERILER!$C$7:$C$106,0)),IFERROR(INDEX(MUSTERILER!$B$7:$B$106,MATCH($E422,MUSTERILER!$B$7:$B$106,0)),IFERROR(INDEX(MUSTERILER!$B$7:$B$106,MATCH($E422&amp;"*",MUSTERILER!$C$7:$C$106,0)),"TANIMSIZ MÜŞTERİ"))))</f>
        <v/>
      </c>
      <c r="E422" s="109" t="n"/>
      <c r="F422" s="109" t="n"/>
      <c r="G422" s="108" t="n"/>
      <c r="H422" s="225" t="n"/>
      <c r="I422" s="225" t="n"/>
      <c r="J422" s="108" t="n"/>
      <c r="K422" s="108" t="n"/>
      <c r="L422" s="109" t="n"/>
      <c r="M422" s="109" t="n"/>
      <c r="N422" s="109" t="n"/>
      <c r="O422" s="225" t="n"/>
      <c r="P422" s="232">
        <f>IF(OR($E422="",$I422=""),"",IF(OR($J422="Tamamlandı",$J422="İptal"),"",$I422-TODAY()))</f>
        <v/>
      </c>
      <c r="Q422" s="113">
        <f>IF($E422="","",IF($D422="TANIMSIZ MÜŞTERİ","HATA",IF(OR($J422="Tamamlandı",$J422="İptal"),"KAPALI",IF(AND($C422="Görüşme",$N422=""),"SONRAKİ İŞLEM EKSİK",IF($I422="","TARİH EKSİK",IF($I422&lt;TODAY(),"GECİKMİŞ",IF($I422=TODAY(),"BUGÜN",IF($I422&lt;=TODAY()+7,"7 GÜN İÇİNDE","PLANLI"))))))))</f>
        <v/>
      </c>
      <c r="R422" s="6" t="n"/>
      <c r="S422" s="6" t="n"/>
    </row>
    <row r="423">
      <c r="A423" s="6" t="n"/>
      <c r="B423" s="113">
        <f>IF($E423="","","A"&amp;TEXT(ROW()-6,"00000"))</f>
        <v/>
      </c>
      <c r="C423" s="108" t="n"/>
      <c r="D423" s="113">
        <f>IF($E423="","",IFERROR(INDEX(MUSTERILER!$B$7:$B$106,MATCH($E423,MUSTERILER!$C$7:$C$106,0)),IFERROR(INDEX(MUSTERILER!$B$7:$B$106,MATCH($E423,MUSTERILER!$B$7:$B$106,0)),IFERROR(INDEX(MUSTERILER!$B$7:$B$106,MATCH($E423&amp;"*",MUSTERILER!$C$7:$C$106,0)),"TANIMSIZ MÜŞTERİ"))))</f>
        <v/>
      </c>
      <c r="E423" s="109" t="n"/>
      <c r="F423" s="109" t="n"/>
      <c r="G423" s="108" t="n"/>
      <c r="H423" s="225" t="n"/>
      <c r="I423" s="225" t="n"/>
      <c r="J423" s="108" t="n"/>
      <c r="K423" s="108" t="n"/>
      <c r="L423" s="109" t="n"/>
      <c r="M423" s="109" t="n"/>
      <c r="N423" s="109" t="n"/>
      <c r="O423" s="225" t="n"/>
      <c r="P423" s="232">
        <f>IF(OR($E423="",$I423=""),"",IF(OR($J423="Tamamlandı",$J423="İptal"),"",$I423-TODAY()))</f>
        <v/>
      </c>
      <c r="Q423" s="113">
        <f>IF($E423="","",IF($D423="TANIMSIZ MÜŞTERİ","HATA",IF(OR($J423="Tamamlandı",$J423="İptal"),"KAPALI",IF(AND($C423="Görüşme",$N423=""),"SONRAKİ İŞLEM EKSİK",IF($I423="","TARİH EKSİK",IF($I423&lt;TODAY(),"GECİKMİŞ",IF($I423=TODAY(),"BUGÜN",IF($I423&lt;=TODAY()+7,"7 GÜN İÇİNDE","PLANLI"))))))))</f>
        <v/>
      </c>
      <c r="R423" s="6" t="n"/>
      <c r="S423" s="6" t="n"/>
    </row>
    <row r="424">
      <c r="A424" s="6" t="n"/>
      <c r="B424" s="113">
        <f>IF($E424="","","A"&amp;TEXT(ROW()-6,"00000"))</f>
        <v/>
      </c>
      <c r="C424" s="108" t="n"/>
      <c r="D424" s="113">
        <f>IF($E424="","",IFERROR(INDEX(MUSTERILER!$B$7:$B$106,MATCH($E424,MUSTERILER!$C$7:$C$106,0)),IFERROR(INDEX(MUSTERILER!$B$7:$B$106,MATCH($E424,MUSTERILER!$B$7:$B$106,0)),IFERROR(INDEX(MUSTERILER!$B$7:$B$106,MATCH($E424&amp;"*",MUSTERILER!$C$7:$C$106,0)),"TANIMSIZ MÜŞTERİ"))))</f>
        <v/>
      </c>
      <c r="E424" s="109" t="n"/>
      <c r="F424" s="109" t="n"/>
      <c r="G424" s="108" t="n"/>
      <c r="H424" s="225" t="n"/>
      <c r="I424" s="225" t="n"/>
      <c r="J424" s="108" t="n"/>
      <c r="K424" s="108" t="n"/>
      <c r="L424" s="109" t="n"/>
      <c r="M424" s="109" t="n"/>
      <c r="N424" s="109" t="n"/>
      <c r="O424" s="225" t="n"/>
      <c r="P424" s="232">
        <f>IF(OR($E424="",$I424=""),"",IF(OR($J424="Tamamlandı",$J424="İptal"),"",$I424-TODAY()))</f>
        <v/>
      </c>
      <c r="Q424" s="113">
        <f>IF($E424="","",IF($D424="TANIMSIZ MÜŞTERİ","HATA",IF(OR($J424="Tamamlandı",$J424="İptal"),"KAPALI",IF(AND($C424="Görüşme",$N424=""),"SONRAKİ İŞLEM EKSİK",IF($I424="","TARİH EKSİK",IF($I424&lt;TODAY(),"GECİKMİŞ",IF($I424=TODAY(),"BUGÜN",IF($I424&lt;=TODAY()+7,"7 GÜN İÇİNDE","PLANLI"))))))))</f>
        <v/>
      </c>
      <c r="R424" s="6" t="n"/>
      <c r="S424" s="6" t="n"/>
    </row>
    <row r="425">
      <c r="A425" s="6" t="n"/>
      <c r="B425" s="113">
        <f>IF($E425="","","A"&amp;TEXT(ROW()-6,"00000"))</f>
        <v/>
      </c>
      <c r="C425" s="108" t="n"/>
      <c r="D425" s="113">
        <f>IF($E425="","",IFERROR(INDEX(MUSTERILER!$B$7:$B$106,MATCH($E425,MUSTERILER!$C$7:$C$106,0)),IFERROR(INDEX(MUSTERILER!$B$7:$B$106,MATCH($E425,MUSTERILER!$B$7:$B$106,0)),IFERROR(INDEX(MUSTERILER!$B$7:$B$106,MATCH($E425&amp;"*",MUSTERILER!$C$7:$C$106,0)),"TANIMSIZ MÜŞTERİ"))))</f>
        <v/>
      </c>
      <c r="E425" s="109" t="n"/>
      <c r="F425" s="109" t="n"/>
      <c r="G425" s="108" t="n"/>
      <c r="H425" s="225" t="n"/>
      <c r="I425" s="225" t="n"/>
      <c r="J425" s="108" t="n"/>
      <c r="K425" s="108" t="n"/>
      <c r="L425" s="109" t="n"/>
      <c r="M425" s="109" t="n"/>
      <c r="N425" s="109" t="n"/>
      <c r="O425" s="225" t="n"/>
      <c r="P425" s="232">
        <f>IF(OR($E425="",$I425=""),"",IF(OR($J425="Tamamlandı",$J425="İptal"),"",$I425-TODAY()))</f>
        <v/>
      </c>
      <c r="Q425" s="113">
        <f>IF($E425="","",IF($D425="TANIMSIZ MÜŞTERİ","HATA",IF(OR($J425="Tamamlandı",$J425="İptal"),"KAPALI",IF(AND($C425="Görüşme",$N425=""),"SONRAKİ İŞLEM EKSİK",IF($I425="","TARİH EKSİK",IF($I425&lt;TODAY(),"GECİKMİŞ",IF($I425=TODAY(),"BUGÜN",IF($I425&lt;=TODAY()+7,"7 GÜN İÇİNDE","PLANLI"))))))))</f>
        <v/>
      </c>
      <c r="R425" s="6" t="n"/>
      <c r="S425" s="6" t="n"/>
    </row>
    <row r="426">
      <c r="A426" s="6" t="n"/>
      <c r="B426" s="113">
        <f>IF($E426="","","A"&amp;TEXT(ROW()-6,"00000"))</f>
        <v/>
      </c>
      <c r="C426" s="108" t="n"/>
      <c r="D426" s="113">
        <f>IF($E426="","",IFERROR(INDEX(MUSTERILER!$B$7:$B$106,MATCH($E426,MUSTERILER!$C$7:$C$106,0)),IFERROR(INDEX(MUSTERILER!$B$7:$B$106,MATCH($E426,MUSTERILER!$B$7:$B$106,0)),IFERROR(INDEX(MUSTERILER!$B$7:$B$106,MATCH($E426&amp;"*",MUSTERILER!$C$7:$C$106,0)),"TANIMSIZ MÜŞTERİ"))))</f>
        <v/>
      </c>
      <c r="E426" s="109" t="n"/>
      <c r="F426" s="109" t="n"/>
      <c r="G426" s="108" t="n"/>
      <c r="H426" s="225" t="n"/>
      <c r="I426" s="225" t="n"/>
      <c r="J426" s="108" t="n"/>
      <c r="K426" s="108" t="n"/>
      <c r="L426" s="109" t="n"/>
      <c r="M426" s="109" t="n"/>
      <c r="N426" s="109" t="n"/>
      <c r="O426" s="225" t="n"/>
      <c r="P426" s="232">
        <f>IF(OR($E426="",$I426=""),"",IF(OR($J426="Tamamlandı",$J426="İptal"),"",$I426-TODAY()))</f>
        <v/>
      </c>
      <c r="Q426" s="113">
        <f>IF($E426="","",IF($D426="TANIMSIZ MÜŞTERİ","HATA",IF(OR($J426="Tamamlandı",$J426="İptal"),"KAPALI",IF(AND($C426="Görüşme",$N426=""),"SONRAKİ İŞLEM EKSİK",IF($I426="","TARİH EKSİK",IF($I426&lt;TODAY(),"GECİKMİŞ",IF($I426=TODAY(),"BUGÜN",IF($I426&lt;=TODAY()+7,"7 GÜN İÇİNDE","PLANLI"))))))))</f>
        <v/>
      </c>
      <c r="R426" s="6" t="n"/>
      <c r="S426" s="6" t="n"/>
    </row>
    <row r="427">
      <c r="A427" s="6" t="n"/>
      <c r="B427" s="113">
        <f>IF($E427="","","A"&amp;TEXT(ROW()-6,"00000"))</f>
        <v/>
      </c>
      <c r="C427" s="108" t="n"/>
      <c r="D427" s="113">
        <f>IF($E427="","",IFERROR(INDEX(MUSTERILER!$B$7:$B$106,MATCH($E427,MUSTERILER!$C$7:$C$106,0)),IFERROR(INDEX(MUSTERILER!$B$7:$B$106,MATCH($E427,MUSTERILER!$B$7:$B$106,0)),IFERROR(INDEX(MUSTERILER!$B$7:$B$106,MATCH($E427&amp;"*",MUSTERILER!$C$7:$C$106,0)),"TANIMSIZ MÜŞTERİ"))))</f>
        <v/>
      </c>
      <c r="E427" s="109" t="n"/>
      <c r="F427" s="109" t="n"/>
      <c r="G427" s="108" t="n"/>
      <c r="H427" s="225" t="n"/>
      <c r="I427" s="225" t="n"/>
      <c r="J427" s="108" t="n"/>
      <c r="K427" s="108" t="n"/>
      <c r="L427" s="109" t="n"/>
      <c r="M427" s="109" t="n"/>
      <c r="N427" s="109" t="n"/>
      <c r="O427" s="225" t="n"/>
      <c r="P427" s="232">
        <f>IF(OR($E427="",$I427=""),"",IF(OR($J427="Tamamlandı",$J427="İptal"),"",$I427-TODAY()))</f>
        <v/>
      </c>
      <c r="Q427" s="113">
        <f>IF($E427="","",IF($D427="TANIMSIZ MÜŞTERİ","HATA",IF(OR($J427="Tamamlandı",$J427="İptal"),"KAPALI",IF(AND($C427="Görüşme",$N427=""),"SONRAKİ İŞLEM EKSİK",IF($I427="","TARİH EKSİK",IF($I427&lt;TODAY(),"GECİKMİŞ",IF($I427=TODAY(),"BUGÜN",IF($I427&lt;=TODAY()+7,"7 GÜN İÇİNDE","PLANLI"))))))))</f>
        <v/>
      </c>
      <c r="R427" s="6" t="n"/>
      <c r="S427" s="6" t="n"/>
    </row>
    <row r="428">
      <c r="A428" s="6" t="n"/>
      <c r="B428" s="113">
        <f>IF($E428="","","A"&amp;TEXT(ROW()-6,"00000"))</f>
        <v/>
      </c>
      <c r="C428" s="108" t="n"/>
      <c r="D428" s="113">
        <f>IF($E428="","",IFERROR(INDEX(MUSTERILER!$B$7:$B$106,MATCH($E428,MUSTERILER!$C$7:$C$106,0)),IFERROR(INDEX(MUSTERILER!$B$7:$B$106,MATCH($E428,MUSTERILER!$B$7:$B$106,0)),IFERROR(INDEX(MUSTERILER!$B$7:$B$106,MATCH($E428&amp;"*",MUSTERILER!$C$7:$C$106,0)),"TANIMSIZ MÜŞTERİ"))))</f>
        <v/>
      </c>
      <c r="E428" s="109" t="n"/>
      <c r="F428" s="109" t="n"/>
      <c r="G428" s="108" t="n"/>
      <c r="H428" s="225" t="n"/>
      <c r="I428" s="225" t="n"/>
      <c r="J428" s="108" t="n"/>
      <c r="K428" s="108" t="n"/>
      <c r="L428" s="109" t="n"/>
      <c r="M428" s="109" t="n"/>
      <c r="N428" s="109" t="n"/>
      <c r="O428" s="225" t="n"/>
      <c r="P428" s="232">
        <f>IF(OR($E428="",$I428=""),"",IF(OR($J428="Tamamlandı",$J428="İptal"),"",$I428-TODAY()))</f>
        <v/>
      </c>
      <c r="Q428" s="113">
        <f>IF($E428="","",IF($D428="TANIMSIZ MÜŞTERİ","HATA",IF(OR($J428="Tamamlandı",$J428="İptal"),"KAPALI",IF(AND($C428="Görüşme",$N428=""),"SONRAKİ İŞLEM EKSİK",IF($I428="","TARİH EKSİK",IF($I428&lt;TODAY(),"GECİKMİŞ",IF($I428=TODAY(),"BUGÜN",IF($I428&lt;=TODAY()+7,"7 GÜN İÇİNDE","PLANLI"))))))))</f>
        <v/>
      </c>
      <c r="R428" s="6" t="n"/>
      <c r="S428" s="6" t="n"/>
    </row>
    <row r="429">
      <c r="A429" s="6" t="n"/>
      <c r="B429" s="113">
        <f>IF($E429="","","A"&amp;TEXT(ROW()-6,"00000"))</f>
        <v/>
      </c>
      <c r="C429" s="108" t="n"/>
      <c r="D429" s="113">
        <f>IF($E429="","",IFERROR(INDEX(MUSTERILER!$B$7:$B$106,MATCH($E429,MUSTERILER!$C$7:$C$106,0)),IFERROR(INDEX(MUSTERILER!$B$7:$B$106,MATCH($E429,MUSTERILER!$B$7:$B$106,0)),IFERROR(INDEX(MUSTERILER!$B$7:$B$106,MATCH($E429&amp;"*",MUSTERILER!$C$7:$C$106,0)),"TANIMSIZ MÜŞTERİ"))))</f>
        <v/>
      </c>
      <c r="E429" s="109" t="n"/>
      <c r="F429" s="109" t="n"/>
      <c r="G429" s="108" t="n"/>
      <c r="H429" s="225" t="n"/>
      <c r="I429" s="225" t="n"/>
      <c r="J429" s="108" t="n"/>
      <c r="K429" s="108" t="n"/>
      <c r="L429" s="109" t="n"/>
      <c r="M429" s="109" t="n"/>
      <c r="N429" s="109" t="n"/>
      <c r="O429" s="225" t="n"/>
      <c r="P429" s="232">
        <f>IF(OR($E429="",$I429=""),"",IF(OR($J429="Tamamlandı",$J429="İptal"),"",$I429-TODAY()))</f>
        <v/>
      </c>
      <c r="Q429" s="113">
        <f>IF($E429="","",IF($D429="TANIMSIZ MÜŞTERİ","HATA",IF(OR($J429="Tamamlandı",$J429="İptal"),"KAPALI",IF(AND($C429="Görüşme",$N429=""),"SONRAKİ İŞLEM EKSİK",IF($I429="","TARİH EKSİK",IF($I429&lt;TODAY(),"GECİKMİŞ",IF($I429=TODAY(),"BUGÜN",IF($I429&lt;=TODAY()+7,"7 GÜN İÇİNDE","PLANLI"))))))))</f>
        <v/>
      </c>
      <c r="R429" s="6" t="n"/>
      <c r="S429" s="6" t="n"/>
    </row>
    <row r="430">
      <c r="A430" s="6" t="n"/>
      <c r="B430" s="113">
        <f>IF($E430="","","A"&amp;TEXT(ROW()-6,"00000"))</f>
        <v/>
      </c>
      <c r="C430" s="108" t="n"/>
      <c r="D430" s="113">
        <f>IF($E430="","",IFERROR(INDEX(MUSTERILER!$B$7:$B$106,MATCH($E430,MUSTERILER!$C$7:$C$106,0)),IFERROR(INDEX(MUSTERILER!$B$7:$B$106,MATCH($E430,MUSTERILER!$B$7:$B$106,0)),IFERROR(INDEX(MUSTERILER!$B$7:$B$106,MATCH($E430&amp;"*",MUSTERILER!$C$7:$C$106,0)),"TANIMSIZ MÜŞTERİ"))))</f>
        <v/>
      </c>
      <c r="E430" s="109" t="n"/>
      <c r="F430" s="109" t="n"/>
      <c r="G430" s="108" t="n"/>
      <c r="H430" s="225" t="n"/>
      <c r="I430" s="225" t="n"/>
      <c r="J430" s="108" t="n"/>
      <c r="K430" s="108" t="n"/>
      <c r="L430" s="109" t="n"/>
      <c r="M430" s="109" t="n"/>
      <c r="N430" s="109" t="n"/>
      <c r="O430" s="225" t="n"/>
      <c r="P430" s="232">
        <f>IF(OR($E430="",$I430=""),"",IF(OR($J430="Tamamlandı",$J430="İptal"),"",$I430-TODAY()))</f>
        <v/>
      </c>
      <c r="Q430" s="113">
        <f>IF($E430="","",IF($D430="TANIMSIZ MÜŞTERİ","HATA",IF(OR($J430="Tamamlandı",$J430="İptal"),"KAPALI",IF(AND($C430="Görüşme",$N430=""),"SONRAKİ İŞLEM EKSİK",IF($I430="","TARİH EKSİK",IF($I430&lt;TODAY(),"GECİKMİŞ",IF($I430=TODAY(),"BUGÜN",IF($I430&lt;=TODAY()+7,"7 GÜN İÇİNDE","PLANLI"))))))))</f>
        <v/>
      </c>
      <c r="R430" s="6" t="n"/>
      <c r="S430" s="6" t="n"/>
    </row>
    <row r="431">
      <c r="A431" s="6" t="n"/>
      <c r="B431" s="113">
        <f>IF($E431="","","A"&amp;TEXT(ROW()-6,"00000"))</f>
        <v/>
      </c>
      <c r="C431" s="108" t="n"/>
      <c r="D431" s="113">
        <f>IF($E431="","",IFERROR(INDEX(MUSTERILER!$B$7:$B$106,MATCH($E431,MUSTERILER!$C$7:$C$106,0)),IFERROR(INDEX(MUSTERILER!$B$7:$B$106,MATCH($E431,MUSTERILER!$B$7:$B$106,0)),IFERROR(INDEX(MUSTERILER!$B$7:$B$106,MATCH($E431&amp;"*",MUSTERILER!$C$7:$C$106,0)),"TANIMSIZ MÜŞTERİ"))))</f>
        <v/>
      </c>
      <c r="E431" s="109" t="n"/>
      <c r="F431" s="109" t="n"/>
      <c r="G431" s="108" t="n"/>
      <c r="H431" s="225" t="n"/>
      <c r="I431" s="225" t="n"/>
      <c r="J431" s="108" t="n"/>
      <c r="K431" s="108" t="n"/>
      <c r="L431" s="109" t="n"/>
      <c r="M431" s="109" t="n"/>
      <c r="N431" s="109" t="n"/>
      <c r="O431" s="225" t="n"/>
      <c r="P431" s="232">
        <f>IF(OR($E431="",$I431=""),"",IF(OR($J431="Tamamlandı",$J431="İptal"),"",$I431-TODAY()))</f>
        <v/>
      </c>
      <c r="Q431" s="113">
        <f>IF($E431="","",IF($D431="TANIMSIZ MÜŞTERİ","HATA",IF(OR($J431="Tamamlandı",$J431="İptal"),"KAPALI",IF(AND($C431="Görüşme",$N431=""),"SONRAKİ İŞLEM EKSİK",IF($I431="","TARİH EKSİK",IF($I431&lt;TODAY(),"GECİKMİŞ",IF($I431=TODAY(),"BUGÜN",IF($I431&lt;=TODAY()+7,"7 GÜN İÇİNDE","PLANLI"))))))))</f>
        <v/>
      </c>
      <c r="R431" s="6" t="n"/>
      <c r="S431" s="6" t="n"/>
    </row>
    <row r="432">
      <c r="A432" s="6" t="n"/>
      <c r="B432" s="113">
        <f>IF($E432="","","A"&amp;TEXT(ROW()-6,"00000"))</f>
        <v/>
      </c>
      <c r="C432" s="108" t="n"/>
      <c r="D432" s="113">
        <f>IF($E432="","",IFERROR(INDEX(MUSTERILER!$B$7:$B$106,MATCH($E432,MUSTERILER!$C$7:$C$106,0)),IFERROR(INDEX(MUSTERILER!$B$7:$B$106,MATCH($E432,MUSTERILER!$B$7:$B$106,0)),IFERROR(INDEX(MUSTERILER!$B$7:$B$106,MATCH($E432&amp;"*",MUSTERILER!$C$7:$C$106,0)),"TANIMSIZ MÜŞTERİ"))))</f>
        <v/>
      </c>
      <c r="E432" s="109" t="n"/>
      <c r="F432" s="109" t="n"/>
      <c r="G432" s="108" t="n"/>
      <c r="H432" s="225" t="n"/>
      <c r="I432" s="225" t="n"/>
      <c r="J432" s="108" t="n"/>
      <c r="K432" s="108" t="n"/>
      <c r="L432" s="109" t="n"/>
      <c r="M432" s="109" t="n"/>
      <c r="N432" s="109" t="n"/>
      <c r="O432" s="225" t="n"/>
      <c r="P432" s="232">
        <f>IF(OR($E432="",$I432=""),"",IF(OR($J432="Tamamlandı",$J432="İptal"),"",$I432-TODAY()))</f>
        <v/>
      </c>
      <c r="Q432" s="113">
        <f>IF($E432="","",IF($D432="TANIMSIZ MÜŞTERİ","HATA",IF(OR($J432="Tamamlandı",$J432="İptal"),"KAPALI",IF(AND($C432="Görüşme",$N432=""),"SONRAKİ İŞLEM EKSİK",IF($I432="","TARİH EKSİK",IF($I432&lt;TODAY(),"GECİKMİŞ",IF($I432=TODAY(),"BUGÜN",IF($I432&lt;=TODAY()+7,"7 GÜN İÇİNDE","PLANLI"))))))))</f>
        <v/>
      </c>
      <c r="R432" s="6" t="n"/>
      <c r="S432" s="6" t="n"/>
    </row>
    <row r="433">
      <c r="A433" s="6" t="n"/>
      <c r="B433" s="113">
        <f>IF($E433="","","A"&amp;TEXT(ROW()-6,"00000"))</f>
        <v/>
      </c>
      <c r="C433" s="108" t="n"/>
      <c r="D433" s="113">
        <f>IF($E433="","",IFERROR(INDEX(MUSTERILER!$B$7:$B$106,MATCH($E433,MUSTERILER!$C$7:$C$106,0)),IFERROR(INDEX(MUSTERILER!$B$7:$B$106,MATCH($E433,MUSTERILER!$B$7:$B$106,0)),IFERROR(INDEX(MUSTERILER!$B$7:$B$106,MATCH($E433&amp;"*",MUSTERILER!$C$7:$C$106,0)),"TANIMSIZ MÜŞTERİ"))))</f>
        <v/>
      </c>
      <c r="E433" s="109" t="n"/>
      <c r="F433" s="109" t="n"/>
      <c r="G433" s="108" t="n"/>
      <c r="H433" s="225" t="n"/>
      <c r="I433" s="225" t="n"/>
      <c r="J433" s="108" t="n"/>
      <c r="K433" s="108" t="n"/>
      <c r="L433" s="109" t="n"/>
      <c r="M433" s="109" t="n"/>
      <c r="N433" s="109" t="n"/>
      <c r="O433" s="225" t="n"/>
      <c r="P433" s="232">
        <f>IF(OR($E433="",$I433=""),"",IF(OR($J433="Tamamlandı",$J433="İptal"),"",$I433-TODAY()))</f>
        <v/>
      </c>
      <c r="Q433" s="113">
        <f>IF($E433="","",IF($D433="TANIMSIZ MÜŞTERİ","HATA",IF(OR($J433="Tamamlandı",$J433="İptal"),"KAPALI",IF(AND($C433="Görüşme",$N433=""),"SONRAKİ İŞLEM EKSİK",IF($I433="","TARİH EKSİK",IF($I433&lt;TODAY(),"GECİKMİŞ",IF($I433=TODAY(),"BUGÜN",IF($I433&lt;=TODAY()+7,"7 GÜN İÇİNDE","PLANLI"))))))))</f>
        <v/>
      </c>
      <c r="R433" s="6" t="n"/>
      <c r="S433" s="6" t="n"/>
    </row>
    <row r="434">
      <c r="A434" s="6" t="n"/>
      <c r="B434" s="113">
        <f>IF($E434="","","A"&amp;TEXT(ROW()-6,"00000"))</f>
        <v/>
      </c>
      <c r="C434" s="108" t="n"/>
      <c r="D434" s="113">
        <f>IF($E434="","",IFERROR(INDEX(MUSTERILER!$B$7:$B$106,MATCH($E434,MUSTERILER!$C$7:$C$106,0)),IFERROR(INDEX(MUSTERILER!$B$7:$B$106,MATCH($E434,MUSTERILER!$B$7:$B$106,0)),IFERROR(INDEX(MUSTERILER!$B$7:$B$106,MATCH($E434&amp;"*",MUSTERILER!$C$7:$C$106,0)),"TANIMSIZ MÜŞTERİ"))))</f>
        <v/>
      </c>
      <c r="E434" s="109" t="n"/>
      <c r="F434" s="109" t="n"/>
      <c r="G434" s="108" t="n"/>
      <c r="H434" s="225" t="n"/>
      <c r="I434" s="225" t="n"/>
      <c r="J434" s="108" t="n"/>
      <c r="K434" s="108" t="n"/>
      <c r="L434" s="109" t="n"/>
      <c r="M434" s="109" t="n"/>
      <c r="N434" s="109" t="n"/>
      <c r="O434" s="225" t="n"/>
      <c r="P434" s="232">
        <f>IF(OR($E434="",$I434=""),"",IF(OR($J434="Tamamlandı",$J434="İptal"),"",$I434-TODAY()))</f>
        <v/>
      </c>
      <c r="Q434" s="113">
        <f>IF($E434="","",IF($D434="TANIMSIZ MÜŞTERİ","HATA",IF(OR($J434="Tamamlandı",$J434="İptal"),"KAPALI",IF(AND($C434="Görüşme",$N434=""),"SONRAKİ İŞLEM EKSİK",IF($I434="","TARİH EKSİK",IF($I434&lt;TODAY(),"GECİKMİŞ",IF($I434=TODAY(),"BUGÜN",IF($I434&lt;=TODAY()+7,"7 GÜN İÇİNDE","PLANLI"))))))))</f>
        <v/>
      </c>
      <c r="R434" s="6" t="n"/>
      <c r="S434" s="6" t="n"/>
    </row>
    <row r="435">
      <c r="A435" s="6" t="n"/>
      <c r="B435" s="113">
        <f>IF($E435="","","A"&amp;TEXT(ROW()-6,"00000"))</f>
        <v/>
      </c>
      <c r="C435" s="108" t="n"/>
      <c r="D435" s="113">
        <f>IF($E435="","",IFERROR(INDEX(MUSTERILER!$B$7:$B$106,MATCH($E435,MUSTERILER!$C$7:$C$106,0)),IFERROR(INDEX(MUSTERILER!$B$7:$B$106,MATCH($E435,MUSTERILER!$B$7:$B$106,0)),IFERROR(INDEX(MUSTERILER!$B$7:$B$106,MATCH($E435&amp;"*",MUSTERILER!$C$7:$C$106,0)),"TANIMSIZ MÜŞTERİ"))))</f>
        <v/>
      </c>
      <c r="E435" s="109" t="n"/>
      <c r="F435" s="109" t="n"/>
      <c r="G435" s="108" t="n"/>
      <c r="H435" s="225" t="n"/>
      <c r="I435" s="225" t="n"/>
      <c r="J435" s="108" t="n"/>
      <c r="K435" s="108" t="n"/>
      <c r="L435" s="109" t="n"/>
      <c r="M435" s="109" t="n"/>
      <c r="N435" s="109" t="n"/>
      <c r="O435" s="225" t="n"/>
      <c r="P435" s="232">
        <f>IF(OR($E435="",$I435=""),"",IF(OR($J435="Tamamlandı",$J435="İptal"),"",$I435-TODAY()))</f>
        <v/>
      </c>
      <c r="Q435" s="113">
        <f>IF($E435="","",IF($D435="TANIMSIZ MÜŞTERİ","HATA",IF(OR($J435="Tamamlandı",$J435="İptal"),"KAPALI",IF(AND($C435="Görüşme",$N435=""),"SONRAKİ İŞLEM EKSİK",IF($I435="","TARİH EKSİK",IF($I435&lt;TODAY(),"GECİKMİŞ",IF($I435=TODAY(),"BUGÜN",IF($I435&lt;=TODAY()+7,"7 GÜN İÇİNDE","PLANLI"))))))))</f>
        <v/>
      </c>
      <c r="R435" s="6" t="n"/>
      <c r="S435" s="6" t="n"/>
    </row>
    <row r="436">
      <c r="A436" s="6" t="n"/>
      <c r="B436" s="113">
        <f>IF($E436="","","A"&amp;TEXT(ROW()-6,"00000"))</f>
        <v/>
      </c>
      <c r="C436" s="108" t="n"/>
      <c r="D436" s="113">
        <f>IF($E436="","",IFERROR(INDEX(MUSTERILER!$B$7:$B$106,MATCH($E436,MUSTERILER!$C$7:$C$106,0)),IFERROR(INDEX(MUSTERILER!$B$7:$B$106,MATCH($E436,MUSTERILER!$B$7:$B$106,0)),IFERROR(INDEX(MUSTERILER!$B$7:$B$106,MATCH($E436&amp;"*",MUSTERILER!$C$7:$C$106,0)),"TANIMSIZ MÜŞTERİ"))))</f>
        <v/>
      </c>
      <c r="E436" s="109" t="n"/>
      <c r="F436" s="109" t="n"/>
      <c r="G436" s="108" t="n"/>
      <c r="H436" s="225" t="n"/>
      <c r="I436" s="225" t="n"/>
      <c r="J436" s="108" t="n"/>
      <c r="K436" s="108" t="n"/>
      <c r="L436" s="109" t="n"/>
      <c r="M436" s="109" t="n"/>
      <c r="N436" s="109" t="n"/>
      <c r="O436" s="225" t="n"/>
      <c r="P436" s="232">
        <f>IF(OR($E436="",$I436=""),"",IF(OR($J436="Tamamlandı",$J436="İptal"),"",$I436-TODAY()))</f>
        <v/>
      </c>
      <c r="Q436" s="113">
        <f>IF($E436="","",IF($D436="TANIMSIZ MÜŞTERİ","HATA",IF(OR($J436="Tamamlandı",$J436="İptal"),"KAPALI",IF(AND($C436="Görüşme",$N436=""),"SONRAKİ İŞLEM EKSİK",IF($I436="","TARİH EKSİK",IF($I436&lt;TODAY(),"GECİKMİŞ",IF($I436=TODAY(),"BUGÜN",IF($I436&lt;=TODAY()+7,"7 GÜN İÇİNDE","PLANLI"))))))))</f>
        <v/>
      </c>
      <c r="R436" s="6" t="n"/>
      <c r="S436" s="6" t="n"/>
    </row>
    <row r="437">
      <c r="A437" s="6" t="n"/>
      <c r="B437" s="113">
        <f>IF($E437="","","A"&amp;TEXT(ROW()-6,"00000"))</f>
        <v/>
      </c>
      <c r="C437" s="108" t="n"/>
      <c r="D437" s="113">
        <f>IF($E437="","",IFERROR(INDEX(MUSTERILER!$B$7:$B$106,MATCH($E437,MUSTERILER!$C$7:$C$106,0)),IFERROR(INDEX(MUSTERILER!$B$7:$B$106,MATCH($E437,MUSTERILER!$B$7:$B$106,0)),IFERROR(INDEX(MUSTERILER!$B$7:$B$106,MATCH($E437&amp;"*",MUSTERILER!$C$7:$C$106,0)),"TANIMSIZ MÜŞTERİ"))))</f>
        <v/>
      </c>
      <c r="E437" s="109" t="n"/>
      <c r="F437" s="109" t="n"/>
      <c r="G437" s="108" t="n"/>
      <c r="H437" s="225" t="n"/>
      <c r="I437" s="225" t="n"/>
      <c r="J437" s="108" t="n"/>
      <c r="K437" s="108" t="n"/>
      <c r="L437" s="109" t="n"/>
      <c r="M437" s="109" t="n"/>
      <c r="N437" s="109" t="n"/>
      <c r="O437" s="225" t="n"/>
      <c r="P437" s="232">
        <f>IF(OR($E437="",$I437=""),"",IF(OR($J437="Tamamlandı",$J437="İptal"),"",$I437-TODAY()))</f>
        <v/>
      </c>
      <c r="Q437" s="113">
        <f>IF($E437="","",IF($D437="TANIMSIZ MÜŞTERİ","HATA",IF(OR($J437="Tamamlandı",$J437="İptal"),"KAPALI",IF(AND($C437="Görüşme",$N437=""),"SONRAKİ İŞLEM EKSİK",IF($I437="","TARİH EKSİK",IF($I437&lt;TODAY(),"GECİKMİŞ",IF($I437=TODAY(),"BUGÜN",IF($I437&lt;=TODAY()+7,"7 GÜN İÇİNDE","PLANLI"))))))))</f>
        <v/>
      </c>
      <c r="R437" s="6" t="n"/>
      <c r="S437" s="6" t="n"/>
    </row>
    <row r="438">
      <c r="A438" s="6" t="n"/>
      <c r="B438" s="113">
        <f>IF($E438="","","A"&amp;TEXT(ROW()-6,"00000"))</f>
        <v/>
      </c>
      <c r="C438" s="108" t="n"/>
      <c r="D438" s="113">
        <f>IF($E438="","",IFERROR(INDEX(MUSTERILER!$B$7:$B$106,MATCH($E438,MUSTERILER!$C$7:$C$106,0)),IFERROR(INDEX(MUSTERILER!$B$7:$B$106,MATCH($E438,MUSTERILER!$B$7:$B$106,0)),IFERROR(INDEX(MUSTERILER!$B$7:$B$106,MATCH($E438&amp;"*",MUSTERILER!$C$7:$C$106,0)),"TANIMSIZ MÜŞTERİ"))))</f>
        <v/>
      </c>
      <c r="E438" s="109" t="n"/>
      <c r="F438" s="109" t="n"/>
      <c r="G438" s="108" t="n"/>
      <c r="H438" s="225" t="n"/>
      <c r="I438" s="225" t="n"/>
      <c r="J438" s="108" t="n"/>
      <c r="K438" s="108" t="n"/>
      <c r="L438" s="109" t="n"/>
      <c r="M438" s="109" t="n"/>
      <c r="N438" s="109" t="n"/>
      <c r="O438" s="225" t="n"/>
      <c r="P438" s="232">
        <f>IF(OR($E438="",$I438=""),"",IF(OR($J438="Tamamlandı",$J438="İptal"),"",$I438-TODAY()))</f>
        <v/>
      </c>
      <c r="Q438" s="113">
        <f>IF($E438="","",IF($D438="TANIMSIZ MÜŞTERİ","HATA",IF(OR($J438="Tamamlandı",$J438="İptal"),"KAPALI",IF(AND($C438="Görüşme",$N438=""),"SONRAKİ İŞLEM EKSİK",IF($I438="","TARİH EKSİK",IF($I438&lt;TODAY(),"GECİKMİŞ",IF($I438=TODAY(),"BUGÜN",IF($I438&lt;=TODAY()+7,"7 GÜN İÇİNDE","PLANLI"))))))))</f>
        <v/>
      </c>
      <c r="R438" s="6" t="n"/>
      <c r="S438" s="6" t="n"/>
    </row>
    <row r="439">
      <c r="A439" s="6" t="n"/>
      <c r="B439" s="113">
        <f>IF($E439="","","A"&amp;TEXT(ROW()-6,"00000"))</f>
        <v/>
      </c>
      <c r="C439" s="108" t="n"/>
      <c r="D439" s="113">
        <f>IF($E439="","",IFERROR(INDEX(MUSTERILER!$B$7:$B$106,MATCH($E439,MUSTERILER!$C$7:$C$106,0)),IFERROR(INDEX(MUSTERILER!$B$7:$B$106,MATCH($E439,MUSTERILER!$B$7:$B$106,0)),IFERROR(INDEX(MUSTERILER!$B$7:$B$106,MATCH($E439&amp;"*",MUSTERILER!$C$7:$C$106,0)),"TANIMSIZ MÜŞTERİ"))))</f>
        <v/>
      </c>
      <c r="E439" s="109" t="n"/>
      <c r="F439" s="109" t="n"/>
      <c r="G439" s="108" t="n"/>
      <c r="H439" s="225" t="n"/>
      <c r="I439" s="225" t="n"/>
      <c r="J439" s="108" t="n"/>
      <c r="K439" s="108" t="n"/>
      <c r="L439" s="109" t="n"/>
      <c r="M439" s="109" t="n"/>
      <c r="N439" s="109" t="n"/>
      <c r="O439" s="225" t="n"/>
      <c r="P439" s="232">
        <f>IF(OR($E439="",$I439=""),"",IF(OR($J439="Tamamlandı",$J439="İptal"),"",$I439-TODAY()))</f>
        <v/>
      </c>
      <c r="Q439" s="113">
        <f>IF($E439="","",IF($D439="TANIMSIZ MÜŞTERİ","HATA",IF(OR($J439="Tamamlandı",$J439="İptal"),"KAPALI",IF(AND($C439="Görüşme",$N439=""),"SONRAKİ İŞLEM EKSİK",IF($I439="","TARİH EKSİK",IF($I439&lt;TODAY(),"GECİKMİŞ",IF($I439=TODAY(),"BUGÜN",IF($I439&lt;=TODAY()+7,"7 GÜN İÇİNDE","PLANLI"))))))))</f>
        <v/>
      </c>
      <c r="R439" s="6" t="n"/>
      <c r="S439" s="6" t="n"/>
    </row>
    <row r="440">
      <c r="A440" s="6" t="n"/>
      <c r="B440" s="113">
        <f>IF($E440="","","A"&amp;TEXT(ROW()-6,"00000"))</f>
        <v/>
      </c>
      <c r="C440" s="108" t="n"/>
      <c r="D440" s="113">
        <f>IF($E440="","",IFERROR(INDEX(MUSTERILER!$B$7:$B$106,MATCH($E440,MUSTERILER!$C$7:$C$106,0)),IFERROR(INDEX(MUSTERILER!$B$7:$B$106,MATCH($E440,MUSTERILER!$B$7:$B$106,0)),IFERROR(INDEX(MUSTERILER!$B$7:$B$106,MATCH($E440&amp;"*",MUSTERILER!$C$7:$C$106,0)),"TANIMSIZ MÜŞTERİ"))))</f>
        <v/>
      </c>
      <c r="E440" s="109" t="n"/>
      <c r="F440" s="109" t="n"/>
      <c r="G440" s="108" t="n"/>
      <c r="H440" s="225" t="n"/>
      <c r="I440" s="225" t="n"/>
      <c r="J440" s="108" t="n"/>
      <c r="K440" s="108" t="n"/>
      <c r="L440" s="109" t="n"/>
      <c r="M440" s="109" t="n"/>
      <c r="N440" s="109" t="n"/>
      <c r="O440" s="225" t="n"/>
      <c r="P440" s="232">
        <f>IF(OR($E440="",$I440=""),"",IF(OR($J440="Tamamlandı",$J440="İptal"),"",$I440-TODAY()))</f>
        <v/>
      </c>
      <c r="Q440" s="113">
        <f>IF($E440="","",IF($D440="TANIMSIZ MÜŞTERİ","HATA",IF(OR($J440="Tamamlandı",$J440="İptal"),"KAPALI",IF(AND($C440="Görüşme",$N440=""),"SONRAKİ İŞLEM EKSİK",IF($I440="","TARİH EKSİK",IF($I440&lt;TODAY(),"GECİKMİŞ",IF($I440=TODAY(),"BUGÜN",IF($I440&lt;=TODAY()+7,"7 GÜN İÇİNDE","PLANLI"))))))))</f>
        <v/>
      </c>
      <c r="R440" s="6" t="n"/>
      <c r="S440" s="6" t="n"/>
    </row>
    <row r="441">
      <c r="A441" s="6" t="n"/>
      <c r="B441" s="113">
        <f>IF($E441="","","A"&amp;TEXT(ROW()-6,"00000"))</f>
        <v/>
      </c>
      <c r="C441" s="108" t="n"/>
      <c r="D441" s="113">
        <f>IF($E441="","",IFERROR(INDEX(MUSTERILER!$B$7:$B$106,MATCH($E441,MUSTERILER!$C$7:$C$106,0)),IFERROR(INDEX(MUSTERILER!$B$7:$B$106,MATCH($E441,MUSTERILER!$B$7:$B$106,0)),IFERROR(INDEX(MUSTERILER!$B$7:$B$106,MATCH($E441&amp;"*",MUSTERILER!$C$7:$C$106,0)),"TANIMSIZ MÜŞTERİ"))))</f>
        <v/>
      </c>
      <c r="E441" s="109" t="n"/>
      <c r="F441" s="109" t="n"/>
      <c r="G441" s="108" t="n"/>
      <c r="H441" s="225" t="n"/>
      <c r="I441" s="225" t="n"/>
      <c r="J441" s="108" t="n"/>
      <c r="K441" s="108" t="n"/>
      <c r="L441" s="109" t="n"/>
      <c r="M441" s="109" t="n"/>
      <c r="N441" s="109" t="n"/>
      <c r="O441" s="225" t="n"/>
      <c r="P441" s="232">
        <f>IF(OR($E441="",$I441=""),"",IF(OR($J441="Tamamlandı",$J441="İptal"),"",$I441-TODAY()))</f>
        <v/>
      </c>
      <c r="Q441" s="113">
        <f>IF($E441="","",IF($D441="TANIMSIZ MÜŞTERİ","HATA",IF(OR($J441="Tamamlandı",$J441="İptal"),"KAPALI",IF(AND($C441="Görüşme",$N441=""),"SONRAKİ İŞLEM EKSİK",IF($I441="","TARİH EKSİK",IF($I441&lt;TODAY(),"GECİKMİŞ",IF($I441=TODAY(),"BUGÜN",IF($I441&lt;=TODAY()+7,"7 GÜN İÇİNDE","PLANLI"))))))))</f>
        <v/>
      </c>
      <c r="R441" s="6" t="n"/>
      <c r="S441" s="6" t="n"/>
    </row>
    <row r="442">
      <c r="A442" s="6" t="n"/>
      <c r="B442" s="113">
        <f>IF($E442="","","A"&amp;TEXT(ROW()-6,"00000"))</f>
        <v/>
      </c>
      <c r="C442" s="108" t="n"/>
      <c r="D442" s="113">
        <f>IF($E442="","",IFERROR(INDEX(MUSTERILER!$B$7:$B$106,MATCH($E442,MUSTERILER!$C$7:$C$106,0)),IFERROR(INDEX(MUSTERILER!$B$7:$B$106,MATCH($E442,MUSTERILER!$B$7:$B$106,0)),IFERROR(INDEX(MUSTERILER!$B$7:$B$106,MATCH($E442&amp;"*",MUSTERILER!$C$7:$C$106,0)),"TANIMSIZ MÜŞTERİ"))))</f>
        <v/>
      </c>
      <c r="E442" s="109" t="n"/>
      <c r="F442" s="109" t="n"/>
      <c r="G442" s="108" t="n"/>
      <c r="H442" s="225" t="n"/>
      <c r="I442" s="225" t="n"/>
      <c r="J442" s="108" t="n"/>
      <c r="K442" s="108" t="n"/>
      <c r="L442" s="109" t="n"/>
      <c r="M442" s="109" t="n"/>
      <c r="N442" s="109" t="n"/>
      <c r="O442" s="225" t="n"/>
      <c r="P442" s="232">
        <f>IF(OR($E442="",$I442=""),"",IF(OR($J442="Tamamlandı",$J442="İptal"),"",$I442-TODAY()))</f>
        <v/>
      </c>
      <c r="Q442" s="113">
        <f>IF($E442="","",IF($D442="TANIMSIZ MÜŞTERİ","HATA",IF(OR($J442="Tamamlandı",$J442="İptal"),"KAPALI",IF(AND($C442="Görüşme",$N442=""),"SONRAKİ İŞLEM EKSİK",IF($I442="","TARİH EKSİK",IF($I442&lt;TODAY(),"GECİKMİŞ",IF($I442=TODAY(),"BUGÜN",IF($I442&lt;=TODAY()+7,"7 GÜN İÇİNDE","PLANLI"))))))))</f>
        <v/>
      </c>
      <c r="R442" s="6" t="n"/>
      <c r="S442" s="6" t="n"/>
    </row>
    <row r="443">
      <c r="A443" s="6" t="n"/>
      <c r="B443" s="113">
        <f>IF($E443="","","A"&amp;TEXT(ROW()-6,"00000"))</f>
        <v/>
      </c>
      <c r="C443" s="108" t="n"/>
      <c r="D443" s="113">
        <f>IF($E443="","",IFERROR(INDEX(MUSTERILER!$B$7:$B$106,MATCH($E443,MUSTERILER!$C$7:$C$106,0)),IFERROR(INDEX(MUSTERILER!$B$7:$B$106,MATCH($E443,MUSTERILER!$B$7:$B$106,0)),IFERROR(INDEX(MUSTERILER!$B$7:$B$106,MATCH($E443&amp;"*",MUSTERILER!$C$7:$C$106,0)),"TANIMSIZ MÜŞTERİ"))))</f>
        <v/>
      </c>
      <c r="E443" s="109" t="n"/>
      <c r="F443" s="109" t="n"/>
      <c r="G443" s="108" t="n"/>
      <c r="H443" s="225" t="n"/>
      <c r="I443" s="225" t="n"/>
      <c r="J443" s="108" t="n"/>
      <c r="K443" s="108" t="n"/>
      <c r="L443" s="109" t="n"/>
      <c r="M443" s="109" t="n"/>
      <c r="N443" s="109" t="n"/>
      <c r="O443" s="225" t="n"/>
      <c r="P443" s="232">
        <f>IF(OR($E443="",$I443=""),"",IF(OR($J443="Tamamlandı",$J443="İptal"),"",$I443-TODAY()))</f>
        <v/>
      </c>
      <c r="Q443" s="113">
        <f>IF($E443="","",IF($D443="TANIMSIZ MÜŞTERİ","HATA",IF(OR($J443="Tamamlandı",$J443="İptal"),"KAPALI",IF(AND($C443="Görüşme",$N443=""),"SONRAKİ İŞLEM EKSİK",IF($I443="","TARİH EKSİK",IF($I443&lt;TODAY(),"GECİKMİŞ",IF($I443=TODAY(),"BUGÜN",IF($I443&lt;=TODAY()+7,"7 GÜN İÇİNDE","PLANLI"))))))))</f>
        <v/>
      </c>
      <c r="R443" s="6" t="n"/>
      <c r="S443" s="6" t="n"/>
    </row>
    <row r="444">
      <c r="A444" s="6" t="n"/>
      <c r="B444" s="113">
        <f>IF($E444="","","A"&amp;TEXT(ROW()-6,"00000"))</f>
        <v/>
      </c>
      <c r="C444" s="108" t="n"/>
      <c r="D444" s="113">
        <f>IF($E444="","",IFERROR(INDEX(MUSTERILER!$B$7:$B$106,MATCH($E444,MUSTERILER!$C$7:$C$106,0)),IFERROR(INDEX(MUSTERILER!$B$7:$B$106,MATCH($E444,MUSTERILER!$B$7:$B$106,0)),IFERROR(INDEX(MUSTERILER!$B$7:$B$106,MATCH($E444&amp;"*",MUSTERILER!$C$7:$C$106,0)),"TANIMSIZ MÜŞTERİ"))))</f>
        <v/>
      </c>
      <c r="E444" s="109" t="n"/>
      <c r="F444" s="109" t="n"/>
      <c r="G444" s="108" t="n"/>
      <c r="H444" s="225" t="n"/>
      <c r="I444" s="225" t="n"/>
      <c r="J444" s="108" t="n"/>
      <c r="K444" s="108" t="n"/>
      <c r="L444" s="109" t="n"/>
      <c r="M444" s="109" t="n"/>
      <c r="N444" s="109" t="n"/>
      <c r="O444" s="225" t="n"/>
      <c r="P444" s="232">
        <f>IF(OR($E444="",$I444=""),"",IF(OR($J444="Tamamlandı",$J444="İptal"),"",$I444-TODAY()))</f>
        <v/>
      </c>
      <c r="Q444" s="113">
        <f>IF($E444="","",IF($D444="TANIMSIZ MÜŞTERİ","HATA",IF(OR($J444="Tamamlandı",$J444="İptal"),"KAPALI",IF(AND($C444="Görüşme",$N444=""),"SONRAKİ İŞLEM EKSİK",IF($I444="","TARİH EKSİK",IF($I444&lt;TODAY(),"GECİKMİŞ",IF($I444=TODAY(),"BUGÜN",IF($I444&lt;=TODAY()+7,"7 GÜN İÇİNDE","PLANLI"))))))))</f>
        <v/>
      </c>
      <c r="R444" s="6" t="n"/>
      <c r="S444" s="6" t="n"/>
    </row>
    <row r="445">
      <c r="A445" s="6" t="n"/>
      <c r="B445" s="113">
        <f>IF($E445="","","A"&amp;TEXT(ROW()-6,"00000"))</f>
        <v/>
      </c>
      <c r="C445" s="108" t="n"/>
      <c r="D445" s="113">
        <f>IF($E445="","",IFERROR(INDEX(MUSTERILER!$B$7:$B$106,MATCH($E445,MUSTERILER!$C$7:$C$106,0)),IFERROR(INDEX(MUSTERILER!$B$7:$B$106,MATCH($E445,MUSTERILER!$B$7:$B$106,0)),IFERROR(INDEX(MUSTERILER!$B$7:$B$106,MATCH($E445&amp;"*",MUSTERILER!$C$7:$C$106,0)),"TANIMSIZ MÜŞTERİ"))))</f>
        <v/>
      </c>
      <c r="E445" s="109" t="n"/>
      <c r="F445" s="109" t="n"/>
      <c r="G445" s="108" t="n"/>
      <c r="H445" s="225" t="n"/>
      <c r="I445" s="225" t="n"/>
      <c r="J445" s="108" t="n"/>
      <c r="K445" s="108" t="n"/>
      <c r="L445" s="109" t="n"/>
      <c r="M445" s="109" t="n"/>
      <c r="N445" s="109" t="n"/>
      <c r="O445" s="225" t="n"/>
      <c r="P445" s="232">
        <f>IF(OR($E445="",$I445=""),"",IF(OR($J445="Tamamlandı",$J445="İptal"),"",$I445-TODAY()))</f>
        <v/>
      </c>
      <c r="Q445" s="113">
        <f>IF($E445="","",IF($D445="TANIMSIZ MÜŞTERİ","HATA",IF(OR($J445="Tamamlandı",$J445="İptal"),"KAPALI",IF(AND($C445="Görüşme",$N445=""),"SONRAKİ İŞLEM EKSİK",IF($I445="","TARİH EKSİK",IF($I445&lt;TODAY(),"GECİKMİŞ",IF($I445=TODAY(),"BUGÜN",IF($I445&lt;=TODAY()+7,"7 GÜN İÇİNDE","PLANLI"))))))))</f>
        <v/>
      </c>
      <c r="R445" s="6" t="n"/>
      <c r="S445" s="6" t="n"/>
    </row>
    <row r="446">
      <c r="A446" s="6" t="n"/>
      <c r="B446" s="113">
        <f>IF($E446="","","A"&amp;TEXT(ROW()-6,"00000"))</f>
        <v/>
      </c>
      <c r="C446" s="108" t="n"/>
      <c r="D446" s="113">
        <f>IF($E446="","",IFERROR(INDEX(MUSTERILER!$B$7:$B$106,MATCH($E446,MUSTERILER!$C$7:$C$106,0)),IFERROR(INDEX(MUSTERILER!$B$7:$B$106,MATCH($E446,MUSTERILER!$B$7:$B$106,0)),IFERROR(INDEX(MUSTERILER!$B$7:$B$106,MATCH($E446&amp;"*",MUSTERILER!$C$7:$C$106,0)),"TANIMSIZ MÜŞTERİ"))))</f>
        <v/>
      </c>
      <c r="E446" s="109" t="n"/>
      <c r="F446" s="109" t="n"/>
      <c r="G446" s="108" t="n"/>
      <c r="H446" s="225" t="n"/>
      <c r="I446" s="225" t="n"/>
      <c r="J446" s="108" t="n"/>
      <c r="K446" s="108" t="n"/>
      <c r="L446" s="109" t="n"/>
      <c r="M446" s="109" t="n"/>
      <c r="N446" s="109" t="n"/>
      <c r="O446" s="225" t="n"/>
      <c r="P446" s="232">
        <f>IF(OR($E446="",$I446=""),"",IF(OR($J446="Tamamlandı",$J446="İptal"),"",$I446-TODAY()))</f>
        <v/>
      </c>
      <c r="Q446" s="113">
        <f>IF($E446="","",IF($D446="TANIMSIZ MÜŞTERİ","HATA",IF(OR($J446="Tamamlandı",$J446="İptal"),"KAPALI",IF(AND($C446="Görüşme",$N446=""),"SONRAKİ İŞLEM EKSİK",IF($I446="","TARİH EKSİK",IF($I446&lt;TODAY(),"GECİKMİŞ",IF($I446=TODAY(),"BUGÜN",IF($I446&lt;=TODAY()+7,"7 GÜN İÇİNDE","PLANLI"))))))))</f>
        <v/>
      </c>
      <c r="R446" s="6" t="n"/>
      <c r="S446" s="6" t="n"/>
    </row>
    <row r="447">
      <c r="A447" s="6" t="n"/>
      <c r="B447" s="113">
        <f>IF($E447="","","A"&amp;TEXT(ROW()-6,"00000"))</f>
        <v/>
      </c>
      <c r="C447" s="108" t="n"/>
      <c r="D447" s="113">
        <f>IF($E447="","",IFERROR(INDEX(MUSTERILER!$B$7:$B$106,MATCH($E447,MUSTERILER!$C$7:$C$106,0)),IFERROR(INDEX(MUSTERILER!$B$7:$B$106,MATCH($E447,MUSTERILER!$B$7:$B$106,0)),IFERROR(INDEX(MUSTERILER!$B$7:$B$106,MATCH($E447&amp;"*",MUSTERILER!$C$7:$C$106,0)),"TANIMSIZ MÜŞTERİ"))))</f>
        <v/>
      </c>
      <c r="E447" s="109" t="n"/>
      <c r="F447" s="109" t="n"/>
      <c r="G447" s="108" t="n"/>
      <c r="H447" s="225" t="n"/>
      <c r="I447" s="225" t="n"/>
      <c r="J447" s="108" t="n"/>
      <c r="K447" s="108" t="n"/>
      <c r="L447" s="109" t="n"/>
      <c r="M447" s="109" t="n"/>
      <c r="N447" s="109" t="n"/>
      <c r="O447" s="225" t="n"/>
      <c r="P447" s="232">
        <f>IF(OR($E447="",$I447=""),"",IF(OR($J447="Tamamlandı",$J447="İptal"),"",$I447-TODAY()))</f>
        <v/>
      </c>
      <c r="Q447" s="113">
        <f>IF($E447="","",IF($D447="TANIMSIZ MÜŞTERİ","HATA",IF(OR($J447="Tamamlandı",$J447="İptal"),"KAPALI",IF(AND($C447="Görüşme",$N447=""),"SONRAKİ İŞLEM EKSİK",IF($I447="","TARİH EKSİK",IF($I447&lt;TODAY(),"GECİKMİŞ",IF($I447=TODAY(),"BUGÜN",IF($I447&lt;=TODAY()+7,"7 GÜN İÇİNDE","PLANLI"))))))))</f>
        <v/>
      </c>
      <c r="R447" s="6" t="n"/>
      <c r="S447" s="6" t="n"/>
    </row>
    <row r="448">
      <c r="A448" s="6" t="n"/>
      <c r="B448" s="113">
        <f>IF($E448="","","A"&amp;TEXT(ROW()-6,"00000"))</f>
        <v/>
      </c>
      <c r="C448" s="108" t="n"/>
      <c r="D448" s="113">
        <f>IF($E448="","",IFERROR(INDEX(MUSTERILER!$B$7:$B$106,MATCH($E448,MUSTERILER!$C$7:$C$106,0)),IFERROR(INDEX(MUSTERILER!$B$7:$B$106,MATCH($E448,MUSTERILER!$B$7:$B$106,0)),IFERROR(INDEX(MUSTERILER!$B$7:$B$106,MATCH($E448&amp;"*",MUSTERILER!$C$7:$C$106,0)),"TANIMSIZ MÜŞTERİ"))))</f>
        <v/>
      </c>
      <c r="E448" s="109" t="n"/>
      <c r="F448" s="109" t="n"/>
      <c r="G448" s="108" t="n"/>
      <c r="H448" s="225" t="n"/>
      <c r="I448" s="225" t="n"/>
      <c r="J448" s="108" t="n"/>
      <c r="K448" s="108" t="n"/>
      <c r="L448" s="109" t="n"/>
      <c r="M448" s="109" t="n"/>
      <c r="N448" s="109" t="n"/>
      <c r="O448" s="225" t="n"/>
      <c r="P448" s="232">
        <f>IF(OR($E448="",$I448=""),"",IF(OR($J448="Tamamlandı",$J448="İptal"),"",$I448-TODAY()))</f>
        <v/>
      </c>
      <c r="Q448" s="113">
        <f>IF($E448="","",IF($D448="TANIMSIZ MÜŞTERİ","HATA",IF(OR($J448="Tamamlandı",$J448="İptal"),"KAPALI",IF(AND($C448="Görüşme",$N448=""),"SONRAKİ İŞLEM EKSİK",IF($I448="","TARİH EKSİK",IF($I448&lt;TODAY(),"GECİKMİŞ",IF($I448=TODAY(),"BUGÜN",IF($I448&lt;=TODAY()+7,"7 GÜN İÇİNDE","PLANLI"))))))))</f>
        <v/>
      </c>
      <c r="R448" s="6" t="n"/>
      <c r="S448" s="6" t="n"/>
    </row>
    <row r="449">
      <c r="A449" s="6" t="n"/>
      <c r="B449" s="113">
        <f>IF($E449="","","A"&amp;TEXT(ROW()-6,"00000"))</f>
        <v/>
      </c>
      <c r="C449" s="108" t="n"/>
      <c r="D449" s="113">
        <f>IF($E449="","",IFERROR(INDEX(MUSTERILER!$B$7:$B$106,MATCH($E449,MUSTERILER!$C$7:$C$106,0)),IFERROR(INDEX(MUSTERILER!$B$7:$B$106,MATCH($E449,MUSTERILER!$B$7:$B$106,0)),IFERROR(INDEX(MUSTERILER!$B$7:$B$106,MATCH($E449&amp;"*",MUSTERILER!$C$7:$C$106,0)),"TANIMSIZ MÜŞTERİ"))))</f>
        <v/>
      </c>
      <c r="E449" s="109" t="n"/>
      <c r="F449" s="109" t="n"/>
      <c r="G449" s="108" t="n"/>
      <c r="H449" s="225" t="n"/>
      <c r="I449" s="225" t="n"/>
      <c r="J449" s="108" t="n"/>
      <c r="K449" s="108" t="n"/>
      <c r="L449" s="109" t="n"/>
      <c r="M449" s="109" t="n"/>
      <c r="N449" s="109" t="n"/>
      <c r="O449" s="225" t="n"/>
      <c r="P449" s="232">
        <f>IF(OR($E449="",$I449=""),"",IF(OR($J449="Tamamlandı",$J449="İptal"),"",$I449-TODAY()))</f>
        <v/>
      </c>
      <c r="Q449" s="113">
        <f>IF($E449="","",IF($D449="TANIMSIZ MÜŞTERİ","HATA",IF(OR($J449="Tamamlandı",$J449="İptal"),"KAPALI",IF(AND($C449="Görüşme",$N449=""),"SONRAKİ İŞLEM EKSİK",IF($I449="","TARİH EKSİK",IF($I449&lt;TODAY(),"GECİKMİŞ",IF($I449=TODAY(),"BUGÜN",IF($I449&lt;=TODAY()+7,"7 GÜN İÇİNDE","PLANLI"))))))))</f>
        <v/>
      </c>
      <c r="R449" s="6" t="n"/>
      <c r="S449" s="6" t="n"/>
    </row>
    <row r="450">
      <c r="A450" s="6" t="n"/>
      <c r="B450" s="113">
        <f>IF($E450="","","A"&amp;TEXT(ROW()-6,"00000"))</f>
        <v/>
      </c>
      <c r="C450" s="108" t="n"/>
      <c r="D450" s="113">
        <f>IF($E450="","",IFERROR(INDEX(MUSTERILER!$B$7:$B$106,MATCH($E450,MUSTERILER!$C$7:$C$106,0)),IFERROR(INDEX(MUSTERILER!$B$7:$B$106,MATCH($E450,MUSTERILER!$B$7:$B$106,0)),IFERROR(INDEX(MUSTERILER!$B$7:$B$106,MATCH($E450&amp;"*",MUSTERILER!$C$7:$C$106,0)),"TANIMSIZ MÜŞTERİ"))))</f>
        <v/>
      </c>
      <c r="E450" s="109" t="n"/>
      <c r="F450" s="109" t="n"/>
      <c r="G450" s="108" t="n"/>
      <c r="H450" s="225" t="n"/>
      <c r="I450" s="225" t="n"/>
      <c r="J450" s="108" t="n"/>
      <c r="K450" s="108" t="n"/>
      <c r="L450" s="109" t="n"/>
      <c r="M450" s="109" t="n"/>
      <c r="N450" s="109" t="n"/>
      <c r="O450" s="225" t="n"/>
      <c r="P450" s="232">
        <f>IF(OR($E450="",$I450=""),"",IF(OR($J450="Tamamlandı",$J450="İptal"),"",$I450-TODAY()))</f>
        <v/>
      </c>
      <c r="Q450" s="113">
        <f>IF($E450="","",IF($D450="TANIMSIZ MÜŞTERİ","HATA",IF(OR($J450="Tamamlandı",$J450="İptal"),"KAPALI",IF(AND($C450="Görüşme",$N450=""),"SONRAKİ İŞLEM EKSİK",IF($I450="","TARİH EKSİK",IF($I450&lt;TODAY(),"GECİKMİŞ",IF($I450=TODAY(),"BUGÜN",IF($I450&lt;=TODAY()+7,"7 GÜN İÇİNDE","PLANLI"))))))))</f>
        <v/>
      </c>
      <c r="R450" s="6" t="n"/>
      <c r="S450" s="6" t="n"/>
    </row>
    <row r="451">
      <c r="A451" s="6" t="n"/>
      <c r="B451" s="113">
        <f>IF($E451="","","A"&amp;TEXT(ROW()-6,"00000"))</f>
        <v/>
      </c>
      <c r="C451" s="108" t="n"/>
      <c r="D451" s="113">
        <f>IF($E451="","",IFERROR(INDEX(MUSTERILER!$B$7:$B$106,MATCH($E451,MUSTERILER!$C$7:$C$106,0)),IFERROR(INDEX(MUSTERILER!$B$7:$B$106,MATCH($E451,MUSTERILER!$B$7:$B$106,0)),IFERROR(INDEX(MUSTERILER!$B$7:$B$106,MATCH($E451&amp;"*",MUSTERILER!$C$7:$C$106,0)),"TANIMSIZ MÜŞTERİ"))))</f>
        <v/>
      </c>
      <c r="E451" s="109" t="n"/>
      <c r="F451" s="109" t="n"/>
      <c r="G451" s="108" t="n"/>
      <c r="H451" s="225" t="n"/>
      <c r="I451" s="225" t="n"/>
      <c r="J451" s="108" t="n"/>
      <c r="K451" s="108" t="n"/>
      <c r="L451" s="109" t="n"/>
      <c r="M451" s="109" t="n"/>
      <c r="N451" s="109" t="n"/>
      <c r="O451" s="225" t="n"/>
      <c r="P451" s="232">
        <f>IF(OR($E451="",$I451=""),"",IF(OR($J451="Tamamlandı",$J451="İptal"),"",$I451-TODAY()))</f>
        <v/>
      </c>
      <c r="Q451" s="113">
        <f>IF($E451="","",IF($D451="TANIMSIZ MÜŞTERİ","HATA",IF(OR($J451="Tamamlandı",$J451="İptal"),"KAPALI",IF(AND($C451="Görüşme",$N451=""),"SONRAKİ İŞLEM EKSİK",IF($I451="","TARİH EKSİK",IF($I451&lt;TODAY(),"GECİKMİŞ",IF($I451=TODAY(),"BUGÜN",IF($I451&lt;=TODAY()+7,"7 GÜN İÇİNDE","PLANLI"))))))))</f>
        <v/>
      </c>
      <c r="R451" s="6" t="n"/>
      <c r="S451" s="6" t="n"/>
    </row>
    <row r="452">
      <c r="A452" s="6" t="n"/>
      <c r="B452" s="113">
        <f>IF($E452="","","A"&amp;TEXT(ROW()-6,"00000"))</f>
        <v/>
      </c>
      <c r="C452" s="108" t="n"/>
      <c r="D452" s="113">
        <f>IF($E452="","",IFERROR(INDEX(MUSTERILER!$B$7:$B$106,MATCH($E452,MUSTERILER!$C$7:$C$106,0)),IFERROR(INDEX(MUSTERILER!$B$7:$B$106,MATCH($E452,MUSTERILER!$B$7:$B$106,0)),IFERROR(INDEX(MUSTERILER!$B$7:$B$106,MATCH($E452&amp;"*",MUSTERILER!$C$7:$C$106,0)),"TANIMSIZ MÜŞTERİ"))))</f>
        <v/>
      </c>
      <c r="E452" s="109" t="n"/>
      <c r="F452" s="109" t="n"/>
      <c r="G452" s="108" t="n"/>
      <c r="H452" s="225" t="n"/>
      <c r="I452" s="225" t="n"/>
      <c r="J452" s="108" t="n"/>
      <c r="K452" s="108" t="n"/>
      <c r="L452" s="109" t="n"/>
      <c r="M452" s="109" t="n"/>
      <c r="N452" s="109" t="n"/>
      <c r="O452" s="225" t="n"/>
      <c r="P452" s="232">
        <f>IF(OR($E452="",$I452=""),"",IF(OR($J452="Tamamlandı",$J452="İptal"),"",$I452-TODAY()))</f>
        <v/>
      </c>
      <c r="Q452" s="113">
        <f>IF($E452="","",IF($D452="TANIMSIZ MÜŞTERİ","HATA",IF(OR($J452="Tamamlandı",$J452="İptal"),"KAPALI",IF(AND($C452="Görüşme",$N452=""),"SONRAKİ İŞLEM EKSİK",IF($I452="","TARİH EKSİK",IF($I452&lt;TODAY(),"GECİKMİŞ",IF($I452=TODAY(),"BUGÜN",IF($I452&lt;=TODAY()+7,"7 GÜN İÇİNDE","PLANLI"))))))))</f>
        <v/>
      </c>
      <c r="R452" s="6" t="n"/>
      <c r="S452" s="6" t="n"/>
    </row>
    <row r="453">
      <c r="A453" s="6" t="n"/>
      <c r="B453" s="113">
        <f>IF($E453="","","A"&amp;TEXT(ROW()-6,"00000"))</f>
        <v/>
      </c>
      <c r="C453" s="108" t="n"/>
      <c r="D453" s="113">
        <f>IF($E453="","",IFERROR(INDEX(MUSTERILER!$B$7:$B$106,MATCH($E453,MUSTERILER!$C$7:$C$106,0)),IFERROR(INDEX(MUSTERILER!$B$7:$B$106,MATCH($E453,MUSTERILER!$B$7:$B$106,0)),IFERROR(INDEX(MUSTERILER!$B$7:$B$106,MATCH($E453&amp;"*",MUSTERILER!$C$7:$C$106,0)),"TANIMSIZ MÜŞTERİ"))))</f>
        <v/>
      </c>
      <c r="E453" s="109" t="n"/>
      <c r="F453" s="109" t="n"/>
      <c r="G453" s="108" t="n"/>
      <c r="H453" s="225" t="n"/>
      <c r="I453" s="225" t="n"/>
      <c r="J453" s="108" t="n"/>
      <c r="K453" s="108" t="n"/>
      <c r="L453" s="109" t="n"/>
      <c r="M453" s="109" t="n"/>
      <c r="N453" s="109" t="n"/>
      <c r="O453" s="225" t="n"/>
      <c r="P453" s="232">
        <f>IF(OR($E453="",$I453=""),"",IF(OR($J453="Tamamlandı",$J453="İptal"),"",$I453-TODAY()))</f>
        <v/>
      </c>
      <c r="Q453" s="113">
        <f>IF($E453="","",IF($D453="TANIMSIZ MÜŞTERİ","HATA",IF(OR($J453="Tamamlandı",$J453="İptal"),"KAPALI",IF(AND($C453="Görüşme",$N453=""),"SONRAKİ İŞLEM EKSİK",IF($I453="","TARİH EKSİK",IF($I453&lt;TODAY(),"GECİKMİŞ",IF($I453=TODAY(),"BUGÜN",IF($I453&lt;=TODAY()+7,"7 GÜN İÇİNDE","PLANLI"))))))))</f>
        <v/>
      </c>
      <c r="R453" s="6" t="n"/>
      <c r="S453" s="6" t="n"/>
    </row>
    <row r="454">
      <c r="A454" s="6" t="n"/>
      <c r="B454" s="113">
        <f>IF($E454="","","A"&amp;TEXT(ROW()-6,"00000"))</f>
        <v/>
      </c>
      <c r="C454" s="108" t="n"/>
      <c r="D454" s="113">
        <f>IF($E454="","",IFERROR(INDEX(MUSTERILER!$B$7:$B$106,MATCH($E454,MUSTERILER!$C$7:$C$106,0)),IFERROR(INDEX(MUSTERILER!$B$7:$B$106,MATCH($E454,MUSTERILER!$B$7:$B$106,0)),IFERROR(INDEX(MUSTERILER!$B$7:$B$106,MATCH($E454&amp;"*",MUSTERILER!$C$7:$C$106,0)),"TANIMSIZ MÜŞTERİ"))))</f>
        <v/>
      </c>
      <c r="E454" s="109" t="n"/>
      <c r="F454" s="109" t="n"/>
      <c r="G454" s="108" t="n"/>
      <c r="H454" s="225" t="n"/>
      <c r="I454" s="225" t="n"/>
      <c r="J454" s="108" t="n"/>
      <c r="K454" s="108" t="n"/>
      <c r="L454" s="109" t="n"/>
      <c r="M454" s="109" t="n"/>
      <c r="N454" s="109" t="n"/>
      <c r="O454" s="225" t="n"/>
      <c r="P454" s="232">
        <f>IF(OR($E454="",$I454=""),"",IF(OR($J454="Tamamlandı",$J454="İptal"),"",$I454-TODAY()))</f>
        <v/>
      </c>
      <c r="Q454" s="113">
        <f>IF($E454="","",IF($D454="TANIMSIZ MÜŞTERİ","HATA",IF(OR($J454="Tamamlandı",$J454="İptal"),"KAPALI",IF(AND($C454="Görüşme",$N454=""),"SONRAKİ İŞLEM EKSİK",IF($I454="","TARİH EKSİK",IF($I454&lt;TODAY(),"GECİKMİŞ",IF($I454=TODAY(),"BUGÜN",IF($I454&lt;=TODAY()+7,"7 GÜN İÇİNDE","PLANLI"))))))))</f>
        <v/>
      </c>
      <c r="R454" s="6" t="n"/>
      <c r="S454" s="6" t="n"/>
    </row>
    <row r="455">
      <c r="A455" s="6" t="n"/>
      <c r="B455" s="113">
        <f>IF($E455="","","A"&amp;TEXT(ROW()-6,"00000"))</f>
        <v/>
      </c>
      <c r="C455" s="108" t="n"/>
      <c r="D455" s="113">
        <f>IF($E455="","",IFERROR(INDEX(MUSTERILER!$B$7:$B$106,MATCH($E455,MUSTERILER!$C$7:$C$106,0)),IFERROR(INDEX(MUSTERILER!$B$7:$B$106,MATCH($E455,MUSTERILER!$B$7:$B$106,0)),IFERROR(INDEX(MUSTERILER!$B$7:$B$106,MATCH($E455&amp;"*",MUSTERILER!$C$7:$C$106,0)),"TANIMSIZ MÜŞTERİ"))))</f>
        <v/>
      </c>
      <c r="E455" s="109" t="n"/>
      <c r="F455" s="109" t="n"/>
      <c r="G455" s="108" t="n"/>
      <c r="H455" s="225" t="n"/>
      <c r="I455" s="225" t="n"/>
      <c r="J455" s="108" t="n"/>
      <c r="K455" s="108" t="n"/>
      <c r="L455" s="109" t="n"/>
      <c r="M455" s="109" t="n"/>
      <c r="N455" s="109" t="n"/>
      <c r="O455" s="225" t="n"/>
      <c r="P455" s="232">
        <f>IF(OR($E455="",$I455=""),"",IF(OR($J455="Tamamlandı",$J455="İptal"),"",$I455-TODAY()))</f>
        <v/>
      </c>
      <c r="Q455" s="113">
        <f>IF($E455="","",IF($D455="TANIMSIZ MÜŞTERİ","HATA",IF(OR($J455="Tamamlandı",$J455="İptal"),"KAPALI",IF(AND($C455="Görüşme",$N455=""),"SONRAKİ İŞLEM EKSİK",IF($I455="","TARİH EKSİK",IF($I455&lt;TODAY(),"GECİKMİŞ",IF($I455=TODAY(),"BUGÜN",IF($I455&lt;=TODAY()+7,"7 GÜN İÇİNDE","PLANLI"))))))))</f>
        <v/>
      </c>
      <c r="R455" s="6" t="n"/>
      <c r="S455" s="6" t="n"/>
    </row>
    <row r="456">
      <c r="A456" s="6" t="n"/>
      <c r="B456" s="113">
        <f>IF($E456="","","A"&amp;TEXT(ROW()-6,"00000"))</f>
        <v/>
      </c>
      <c r="C456" s="108" t="n"/>
      <c r="D456" s="113">
        <f>IF($E456="","",IFERROR(INDEX(MUSTERILER!$B$7:$B$106,MATCH($E456,MUSTERILER!$C$7:$C$106,0)),IFERROR(INDEX(MUSTERILER!$B$7:$B$106,MATCH($E456,MUSTERILER!$B$7:$B$106,0)),IFERROR(INDEX(MUSTERILER!$B$7:$B$106,MATCH($E456&amp;"*",MUSTERILER!$C$7:$C$106,0)),"TANIMSIZ MÜŞTERİ"))))</f>
        <v/>
      </c>
      <c r="E456" s="109" t="n"/>
      <c r="F456" s="109" t="n"/>
      <c r="G456" s="108" t="n"/>
      <c r="H456" s="225" t="n"/>
      <c r="I456" s="225" t="n"/>
      <c r="J456" s="108" t="n"/>
      <c r="K456" s="108" t="n"/>
      <c r="L456" s="109" t="n"/>
      <c r="M456" s="109" t="n"/>
      <c r="N456" s="109" t="n"/>
      <c r="O456" s="225" t="n"/>
      <c r="P456" s="232">
        <f>IF(OR($E456="",$I456=""),"",IF(OR($J456="Tamamlandı",$J456="İptal"),"",$I456-TODAY()))</f>
        <v/>
      </c>
      <c r="Q456" s="113">
        <f>IF($E456="","",IF($D456="TANIMSIZ MÜŞTERİ","HATA",IF(OR($J456="Tamamlandı",$J456="İptal"),"KAPALI",IF(AND($C456="Görüşme",$N456=""),"SONRAKİ İŞLEM EKSİK",IF($I456="","TARİH EKSİK",IF($I456&lt;TODAY(),"GECİKMİŞ",IF($I456=TODAY(),"BUGÜN",IF($I456&lt;=TODAY()+7,"7 GÜN İÇİNDE","PLANLI"))))))))</f>
        <v/>
      </c>
      <c r="R456" s="6" t="n"/>
      <c r="S456" s="6" t="n"/>
    </row>
    <row r="457">
      <c r="A457" s="6" t="n"/>
      <c r="B457" s="113">
        <f>IF($E457="","","A"&amp;TEXT(ROW()-6,"00000"))</f>
        <v/>
      </c>
      <c r="C457" s="108" t="n"/>
      <c r="D457" s="113">
        <f>IF($E457="","",IFERROR(INDEX(MUSTERILER!$B$7:$B$106,MATCH($E457,MUSTERILER!$C$7:$C$106,0)),IFERROR(INDEX(MUSTERILER!$B$7:$B$106,MATCH($E457,MUSTERILER!$B$7:$B$106,0)),IFERROR(INDEX(MUSTERILER!$B$7:$B$106,MATCH($E457&amp;"*",MUSTERILER!$C$7:$C$106,0)),"TANIMSIZ MÜŞTERİ"))))</f>
        <v/>
      </c>
      <c r="E457" s="109" t="n"/>
      <c r="F457" s="109" t="n"/>
      <c r="G457" s="108" t="n"/>
      <c r="H457" s="225" t="n"/>
      <c r="I457" s="225" t="n"/>
      <c r="J457" s="108" t="n"/>
      <c r="K457" s="108" t="n"/>
      <c r="L457" s="109" t="n"/>
      <c r="M457" s="109" t="n"/>
      <c r="N457" s="109" t="n"/>
      <c r="O457" s="225" t="n"/>
      <c r="P457" s="232">
        <f>IF(OR($E457="",$I457=""),"",IF(OR($J457="Tamamlandı",$J457="İptal"),"",$I457-TODAY()))</f>
        <v/>
      </c>
      <c r="Q457" s="113">
        <f>IF($E457="","",IF($D457="TANIMSIZ MÜŞTERİ","HATA",IF(OR($J457="Tamamlandı",$J457="İptal"),"KAPALI",IF(AND($C457="Görüşme",$N457=""),"SONRAKİ İŞLEM EKSİK",IF($I457="","TARİH EKSİK",IF($I457&lt;TODAY(),"GECİKMİŞ",IF($I457=TODAY(),"BUGÜN",IF($I457&lt;=TODAY()+7,"7 GÜN İÇİNDE","PLANLI"))))))))</f>
        <v/>
      </c>
      <c r="R457" s="6" t="n"/>
      <c r="S457" s="6" t="n"/>
    </row>
    <row r="458">
      <c r="A458" s="6" t="n"/>
      <c r="B458" s="113">
        <f>IF($E458="","","A"&amp;TEXT(ROW()-6,"00000"))</f>
        <v/>
      </c>
      <c r="C458" s="108" t="n"/>
      <c r="D458" s="113">
        <f>IF($E458="","",IFERROR(INDEX(MUSTERILER!$B$7:$B$106,MATCH($E458,MUSTERILER!$C$7:$C$106,0)),IFERROR(INDEX(MUSTERILER!$B$7:$B$106,MATCH($E458,MUSTERILER!$B$7:$B$106,0)),IFERROR(INDEX(MUSTERILER!$B$7:$B$106,MATCH($E458&amp;"*",MUSTERILER!$C$7:$C$106,0)),"TANIMSIZ MÜŞTERİ"))))</f>
        <v/>
      </c>
      <c r="E458" s="109" t="n"/>
      <c r="F458" s="109" t="n"/>
      <c r="G458" s="108" t="n"/>
      <c r="H458" s="225" t="n"/>
      <c r="I458" s="225" t="n"/>
      <c r="J458" s="108" t="n"/>
      <c r="K458" s="108" t="n"/>
      <c r="L458" s="109" t="n"/>
      <c r="M458" s="109" t="n"/>
      <c r="N458" s="109" t="n"/>
      <c r="O458" s="225" t="n"/>
      <c r="P458" s="232">
        <f>IF(OR($E458="",$I458=""),"",IF(OR($J458="Tamamlandı",$J458="İptal"),"",$I458-TODAY()))</f>
        <v/>
      </c>
      <c r="Q458" s="113">
        <f>IF($E458="","",IF($D458="TANIMSIZ MÜŞTERİ","HATA",IF(OR($J458="Tamamlandı",$J458="İptal"),"KAPALI",IF(AND($C458="Görüşme",$N458=""),"SONRAKİ İŞLEM EKSİK",IF($I458="","TARİH EKSİK",IF($I458&lt;TODAY(),"GECİKMİŞ",IF($I458=TODAY(),"BUGÜN",IF($I458&lt;=TODAY()+7,"7 GÜN İÇİNDE","PLANLI"))))))))</f>
        <v/>
      </c>
      <c r="R458" s="6" t="n"/>
      <c r="S458" s="6" t="n"/>
    </row>
    <row r="459">
      <c r="A459" s="6" t="n"/>
      <c r="B459" s="113">
        <f>IF($E459="","","A"&amp;TEXT(ROW()-6,"00000"))</f>
        <v/>
      </c>
      <c r="C459" s="108" t="n"/>
      <c r="D459" s="113">
        <f>IF($E459="","",IFERROR(INDEX(MUSTERILER!$B$7:$B$106,MATCH($E459,MUSTERILER!$C$7:$C$106,0)),IFERROR(INDEX(MUSTERILER!$B$7:$B$106,MATCH($E459,MUSTERILER!$B$7:$B$106,0)),IFERROR(INDEX(MUSTERILER!$B$7:$B$106,MATCH($E459&amp;"*",MUSTERILER!$C$7:$C$106,0)),"TANIMSIZ MÜŞTERİ"))))</f>
        <v/>
      </c>
      <c r="E459" s="109" t="n"/>
      <c r="F459" s="109" t="n"/>
      <c r="G459" s="108" t="n"/>
      <c r="H459" s="225" t="n"/>
      <c r="I459" s="225" t="n"/>
      <c r="J459" s="108" t="n"/>
      <c r="K459" s="108" t="n"/>
      <c r="L459" s="109" t="n"/>
      <c r="M459" s="109" t="n"/>
      <c r="N459" s="109" t="n"/>
      <c r="O459" s="225" t="n"/>
      <c r="P459" s="232">
        <f>IF(OR($E459="",$I459=""),"",IF(OR($J459="Tamamlandı",$J459="İptal"),"",$I459-TODAY()))</f>
        <v/>
      </c>
      <c r="Q459" s="113">
        <f>IF($E459="","",IF($D459="TANIMSIZ MÜŞTERİ","HATA",IF(OR($J459="Tamamlandı",$J459="İptal"),"KAPALI",IF(AND($C459="Görüşme",$N459=""),"SONRAKİ İŞLEM EKSİK",IF($I459="","TARİH EKSİK",IF($I459&lt;TODAY(),"GECİKMİŞ",IF($I459=TODAY(),"BUGÜN",IF($I459&lt;=TODAY()+7,"7 GÜN İÇİNDE","PLANLI"))))))))</f>
        <v/>
      </c>
      <c r="R459" s="6" t="n"/>
      <c r="S459" s="6" t="n"/>
    </row>
    <row r="460">
      <c r="A460" s="6" t="n"/>
      <c r="B460" s="113">
        <f>IF($E460="","","A"&amp;TEXT(ROW()-6,"00000"))</f>
        <v/>
      </c>
      <c r="C460" s="108" t="n"/>
      <c r="D460" s="113">
        <f>IF($E460="","",IFERROR(INDEX(MUSTERILER!$B$7:$B$106,MATCH($E460,MUSTERILER!$C$7:$C$106,0)),IFERROR(INDEX(MUSTERILER!$B$7:$B$106,MATCH($E460,MUSTERILER!$B$7:$B$106,0)),IFERROR(INDEX(MUSTERILER!$B$7:$B$106,MATCH($E460&amp;"*",MUSTERILER!$C$7:$C$106,0)),"TANIMSIZ MÜŞTERİ"))))</f>
        <v/>
      </c>
      <c r="E460" s="109" t="n"/>
      <c r="F460" s="109" t="n"/>
      <c r="G460" s="108" t="n"/>
      <c r="H460" s="225" t="n"/>
      <c r="I460" s="225" t="n"/>
      <c r="J460" s="108" t="n"/>
      <c r="K460" s="108" t="n"/>
      <c r="L460" s="109" t="n"/>
      <c r="M460" s="109" t="n"/>
      <c r="N460" s="109" t="n"/>
      <c r="O460" s="225" t="n"/>
      <c r="P460" s="232">
        <f>IF(OR($E460="",$I460=""),"",IF(OR($J460="Tamamlandı",$J460="İptal"),"",$I460-TODAY()))</f>
        <v/>
      </c>
      <c r="Q460" s="113">
        <f>IF($E460="","",IF($D460="TANIMSIZ MÜŞTERİ","HATA",IF(OR($J460="Tamamlandı",$J460="İptal"),"KAPALI",IF(AND($C460="Görüşme",$N460=""),"SONRAKİ İŞLEM EKSİK",IF($I460="","TARİH EKSİK",IF($I460&lt;TODAY(),"GECİKMİŞ",IF($I460=TODAY(),"BUGÜN",IF($I460&lt;=TODAY()+7,"7 GÜN İÇİNDE","PLANLI"))))))))</f>
        <v/>
      </c>
      <c r="R460" s="6" t="n"/>
      <c r="S460" s="6" t="n"/>
    </row>
    <row r="461">
      <c r="A461" s="6" t="n"/>
      <c r="B461" s="113">
        <f>IF($E461="","","A"&amp;TEXT(ROW()-6,"00000"))</f>
        <v/>
      </c>
      <c r="C461" s="108" t="n"/>
      <c r="D461" s="113">
        <f>IF($E461="","",IFERROR(INDEX(MUSTERILER!$B$7:$B$106,MATCH($E461,MUSTERILER!$C$7:$C$106,0)),IFERROR(INDEX(MUSTERILER!$B$7:$B$106,MATCH($E461,MUSTERILER!$B$7:$B$106,0)),IFERROR(INDEX(MUSTERILER!$B$7:$B$106,MATCH($E461&amp;"*",MUSTERILER!$C$7:$C$106,0)),"TANIMSIZ MÜŞTERİ"))))</f>
        <v/>
      </c>
      <c r="E461" s="109" t="n"/>
      <c r="F461" s="109" t="n"/>
      <c r="G461" s="108" t="n"/>
      <c r="H461" s="225" t="n"/>
      <c r="I461" s="225" t="n"/>
      <c r="J461" s="108" t="n"/>
      <c r="K461" s="108" t="n"/>
      <c r="L461" s="109" t="n"/>
      <c r="M461" s="109" t="n"/>
      <c r="N461" s="109" t="n"/>
      <c r="O461" s="225" t="n"/>
      <c r="P461" s="232">
        <f>IF(OR($E461="",$I461=""),"",IF(OR($J461="Tamamlandı",$J461="İptal"),"",$I461-TODAY()))</f>
        <v/>
      </c>
      <c r="Q461" s="113">
        <f>IF($E461="","",IF($D461="TANIMSIZ MÜŞTERİ","HATA",IF(OR($J461="Tamamlandı",$J461="İptal"),"KAPALI",IF(AND($C461="Görüşme",$N461=""),"SONRAKİ İŞLEM EKSİK",IF($I461="","TARİH EKSİK",IF($I461&lt;TODAY(),"GECİKMİŞ",IF($I461=TODAY(),"BUGÜN",IF($I461&lt;=TODAY()+7,"7 GÜN İÇİNDE","PLANLI"))))))))</f>
        <v/>
      </c>
      <c r="R461" s="6" t="n"/>
      <c r="S461" s="6" t="n"/>
    </row>
    <row r="462">
      <c r="A462" s="6" t="n"/>
      <c r="B462" s="113">
        <f>IF($E462="","","A"&amp;TEXT(ROW()-6,"00000"))</f>
        <v/>
      </c>
      <c r="C462" s="108" t="n"/>
      <c r="D462" s="113">
        <f>IF($E462="","",IFERROR(INDEX(MUSTERILER!$B$7:$B$106,MATCH($E462,MUSTERILER!$C$7:$C$106,0)),IFERROR(INDEX(MUSTERILER!$B$7:$B$106,MATCH($E462,MUSTERILER!$B$7:$B$106,0)),IFERROR(INDEX(MUSTERILER!$B$7:$B$106,MATCH($E462&amp;"*",MUSTERILER!$C$7:$C$106,0)),"TANIMSIZ MÜŞTERİ"))))</f>
        <v/>
      </c>
      <c r="E462" s="109" t="n"/>
      <c r="F462" s="109" t="n"/>
      <c r="G462" s="108" t="n"/>
      <c r="H462" s="225" t="n"/>
      <c r="I462" s="225" t="n"/>
      <c r="J462" s="108" t="n"/>
      <c r="K462" s="108" t="n"/>
      <c r="L462" s="109" t="n"/>
      <c r="M462" s="109" t="n"/>
      <c r="N462" s="109" t="n"/>
      <c r="O462" s="225" t="n"/>
      <c r="P462" s="232">
        <f>IF(OR($E462="",$I462=""),"",IF(OR($J462="Tamamlandı",$J462="İptal"),"",$I462-TODAY()))</f>
        <v/>
      </c>
      <c r="Q462" s="113">
        <f>IF($E462="","",IF($D462="TANIMSIZ MÜŞTERİ","HATA",IF(OR($J462="Tamamlandı",$J462="İptal"),"KAPALI",IF(AND($C462="Görüşme",$N462=""),"SONRAKİ İŞLEM EKSİK",IF($I462="","TARİH EKSİK",IF($I462&lt;TODAY(),"GECİKMİŞ",IF($I462=TODAY(),"BUGÜN",IF($I462&lt;=TODAY()+7,"7 GÜN İÇİNDE","PLANLI"))))))))</f>
        <v/>
      </c>
      <c r="R462" s="6" t="n"/>
      <c r="S462" s="6" t="n"/>
    </row>
    <row r="463">
      <c r="A463" s="6" t="n"/>
      <c r="B463" s="113">
        <f>IF($E463="","","A"&amp;TEXT(ROW()-6,"00000"))</f>
        <v/>
      </c>
      <c r="C463" s="108" t="n"/>
      <c r="D463" s="113">
        <f>IF($E463="","",IFERROR(INDEX(MUSTERILER!$B$7:$B$106,MATCH($E463,MUSTERILER!$C$7:$C$106,0)),IFERROR(INDEX(MUSTERILER!$B$7:$B$106,MATCH($E463,MUSTERILER!$B$7:$B$106,0)),IFERROR(INDEX(MUSTERILER!$B$7:$B$106,MATCH($E463&amp;"*",MUSTERILER!$C$7:$C$106,0)),"TANIMSIZ MÜŞTERİ"))))</f>
        <v/>
      </c>
      <c r="E463" s="109" t="n"/>
      <c r="F463" s="109" t="n"/>
      <c r="G463" s="108" t="n"/>
      <c r="H463" s="225" t="n"/>
      <c r="I463" s="225" t="n"/>
      <c r="J463" s="108" t="n"/>
      <c r="K463" s="108" t="n"/>
      <c r="L463" s="109" t="n"/>
      <c r="M463" s="109" t="n"/>
      <c r="N463" s="109" t="n"/>
      <c r="O463" s="225" t="n"/>
      <c r="P463" s="232">
        <f>IF(OR($E463="",$I463=""),"",IF(OR($J463="Tamamlandı",$J463="İptal"),"",$I463-TODAY()))</f>
        <v/>
      </c>
      <c r="Q463" s="113">
        <f>IF($E463="","",IF($D463="TANIMSIZ MÜŞTERİ","HATA",IF(OR($J463="Tamamlandı",$J463="İptal"),"KAPALI",IF(AND($C463="Görüşme",$N463=""),"SONRAKİ İŞLEM EKSİK",IF($I463="","TARİH EKSİK",IF($I463&lt;TODAY(),"GECİKMİŞ",IF($I463=TODAY(),"BUGÜN",IF($I463&lt;=TODAY()+7,"7 GÜN İÇİNDE","PLANLI"))))))))</f>
        <v/>
      </c>
      <c r="R463" s="6" t="n"/>
      <c r="S463" s="6" t="n"/>
    </row>
    <row r="464">
      <c r="A464" s="6" t="n"/>
      <c r="B464" s="113">
        <f>IF($E464="","","A"&amp;TEXT(ROW()-6,"00000"))</f>
        <v/>
      </c>
      <c r="C464" s="108" t="n"/>
      <c r="D464" s="113">
        <f>IF($E464="","",IFERROR(INDEX(MUSTERILER!$B$7:$B$106,MATCH($E464,MUSTERILER!$C$7:$C$106,0)),IFERROR(INDEX(MUSTERILER!$B$7:$B$106,MATCH($E464,MUSTERILER!$B$7:$B$106,0)),IFERROR(INDEX(MUSTERILER!$B$7:$B$106,MATCH($E464&amp;"*",MUSTERILER!$C$7:$C$106,0)),"TANIMSIZ MÜŞTERİ"))))</f>
        <v/>
      </c>
      <c r="E464" s="109" t="n"/>
      <c r="F464" s="109" t="n"/>
      <c r="G464" s="108" t="n"/>
      <c r="H464" s="225" t="n"/>
      <c r="I464" s="225" t="n"/>
      <c r="J464" s="108" t="n"/>
      <c r="K464" s="108" t="n"/>
      <c r="L464" s="109" t="n"/>
      <c r="M464" s="109" t="n"/>
      <c r="N464" s="109" t="n"/>
      <c r="O464" s="225" t="n"/>
      <c r="P464" s="232">
        <f>IF(OR($E464="",$I464=""),"",IF(OR($J464="Tamamlandı",$J464="İptal"),"",$I464-TODAY()))</f>
        <v/>
      </c>
      <c r="Q464" s="113">
        <f>IF($E464="","",IF($D464="TANIMSIZ MÜŞTERİ","HATA",IF(OR($J464="Tamamlandı",$J464="İptal"),"KAPALI",IF(AND($C464="Görüşme",$N464=""),"SONRAKİ İŞLEM EKSİK",IF($I464="","TARİH EKSİK",IF($I464&lt;TODAY(),"GECİKMİŞ",IF($I464=TODAY(),"BUGÜN",IF($I464&lt;=TODAY()+7,"7 GÜN İÇİNDE","PLANLI"))))))))</f>
        <v/>
      </c>
      <c r="R464" s="6" t="n"/>
      <c r="S464" s="6" t="n"/>
    </row>
    <row r="465">
      <c r="A465" s="6" t="n"/>
      <c r="B465" s="113">
        <f>IF($E465="","","A"&amp;TEXT(ROW()-6,"00000"))</f>
        <v/>
      </c>
      <c r="C465" s="108" t="n"/>
      <c r="D465" s="113">
        <f>IF($E465="","",IFERROR(INDEX(MUSTERILER!$B$7:$B$106,MATCH($E465,MUSTERILER!$C$7:$C$106,0)),IFERROR(INDEX(MUSTERILER!$B$7:$B$106,MATCH($E465,MUSTERILER!$B$7:$B$106,0)),IFERROR(INDEX(MUSTERILER!$B$7:$B$106,MATCH($E465&amp;"*",MUSTERILER!$C$7:$C$106,0)),"TANIMSIZ MÜŞTERİ"))))</f>
        <v/>
      </c>
      <c r="E465" s="109" t="n"/>
      <c r="F465" s="109" t="n"/>
      <c r="G465" s="108" t="n"/>
      <c r="H465" s="225" t="n"/>
      <c r="I465" s="225" t="n"/>
      <c r="J465" s="108" t="n"/>
      <c r="K465" s="108" t="n"/>
      <c r="L465" s="109" t="n"/>
      <c r="M465" s="109" t="n"/>
      <c r="N465" s="109" t="n"/>
      <c r="O465" s="225" t="n"/>
      <c r="P465" s="232">
        <f>IF(OR($E465="",$I465=""),"",IF(OR($J465="Tamamlandı",$J465="İptal"),"",$I465-TODAY()))</f>
        <v/>
      </c>
      <c r="Q465" s="113">
        <f>IF($E465="","",IF($D465="TANIMSIZ MÜŞTERİ","HATA",IF(OR($J465="Tamamlandı",$J465="İptal"),"KAPALI",IF(AND($C465="Görüşme",$N465=""),"SONRAKİ İŞLEM EKSİK",IF($I465="","TARİH EKSİK",IF($I465&lt;TODAY(),"GECİKMİŞ",IF($I465=TODAY(),"BUGÜN",IF($I465&lt;=TODAY()+7,"7 GÜN İÇİNDE","PLANLI"))))))))</f>
        <v/>
      </c>
      <c r="R465" s="6" t="n"/>
      <c r="S465" s="6" t="n"/>
    </row>
    <row r="466">
      <c r="A466" s="6" t="n"/>
      <c r="B466" s="113">
        <f>IF($E466="","","A"&amp;TEXT(ROW()-6,"00000"))</f>
        <v/>
      </c>
      <c r="C466" s="108" t="n"/>
      <c r="D466" s="113">
        <f>IF($E466="","",IFERROR(INDEX(MUSTERILER!$B$7:$B$106,MATCH($E466,MUSTERILER!$C$7:$C$106,0)),IFERROR(INDEX(MUSTERILER!$B$7:$B$106,MATCH($E466,MUSTERILER!$B$7:$B$106,0)),IFERROR(INDEX(MUSTERILER!$B$7:$B$106,MATCH($E466&amp;"*",MUSTERILER!$C$7:$C$106,0)),"TANIMSIZ MÜŞTERİ"))))</f>
        <v/>
      </c>
      <c r="E466" s="109" t="n"/>
      <c r="F466" s="109" t="n"/>
      <c r="G466" s="108" t="n"/>
      <c r="H466" s="225" t="n"/>
      <c r="I466" s="225" t="n"/>
      <c r="J466" s="108" t="n"/>
      <c r="K466" s="108" t="n"/>
      <c r="L466" s="109" t="n"/>
      <c r="M466" s="109" t="n"/>
      <c r="N466" s="109" t="n"/>
      <c r="O466" s="225" t="n"/>
      <c r="P466" s="232">
        <f>IF(OR($E466="",$I466=""),"",IF(OR($J466="Tamamlandı",$J466="İptal"),"",$I466-TODAY()))</f>
        <v/>
      </c>
      <c r="Q466" s="113">
        <f>IF($E466="","",IF($D466="TANIMSIZ MÜŞTERİ","HATA",IF(OR($J466="Tamamlandı",$J466="İptal"),"KAPALI",IF(AND($C466="Görüşme",$N466=""),"SONRAKİ İŞLEM EKSİK",IF($I466="","TARİH EKSİK",IF($I466&lt;TODAY(),"GECİKMİŞ",IF($I466=TODAY(),"BUGÜN",IF($I466&lt;=TODAY()+7,"7 GÜN İÇİNDE","PLANLI"))))))))</f>
        <v/>
      </c>
      <c r="R466" s="6" t="n"/>
      <c r="S466" s="6" t="n"/>
    </row>
    <row r="467">
      <c r="A467" s="6" t="n"/>
      <c r="B467" s="113">
        <f>IF($E467="","","A"&amp;TEXT(ROW()-6,"00000"))</f>
        <v/>
      </c>
      <c r="C467" s="108" t="n"/>
      <c r="D467" s="113">
        <f>IF($E467="","",IFERROR(INDEX(MUSTERILER!$B$7:$B$106,MATCH($E467,MUSTERILER!$C$7:$C$106,0)),IFERROR(INDEX(MUSTERILER!$B$7:$B$106,MATCH($E467,MUSTERILER!$B$7:$B$106,0)),IFERROR(INDEX(MUSTERILER!$B$7:$B$106,MATCH($E467&amp;"*",MUSTERILER!$C$7:$C$106,0)),"TANIMSIZ MÜŞTERİ"))))</f>
        <v/>
      </c>
      <c r="E467" s="109" t="n"/>
      <c r="F467" s="109" t="n"/>
      <c r="G467" s="108" t="n"/>
      <c r="H467" s="225" t="n"/>
      <c r="I467" s="225" t="n"/>
      <c r="J467" s="108" t="n"/>
      <c r="K467" s="108" t="n"/>
      <c r="L467" s="109" t="n"/>
      <c r="M467" s="109" t="n"/>
      <c r="N467" s="109" t="n"/>
      <c r="O467" s="225" t="n"/>
      <c r="P467" s="232">
        <f>IF(OR($E467="",$I467=""),"",IF(OR($J467="Tamamlandı",$J467="İptal"),"",$I467-TODAY()))</f>
        <v/>
      </c>
      <c r="Q467" s="113">
        <f>IF($E467="","",IF($D467="TANIMSIZ MÜŞTERİ","HATA",IF(OR($J467="Tamamlandı",$J467="İptal"),"KAPALI",IF(AND($C467="Görüşme",$N467=""),"SONRAKİ İŞLEM EKSİK",IF($I467="","TARİH EKSİK",IF($I467&lt;TODAY(),"GECİKMİŞ",IF($I467=TODAY(),"BUGÜN",IF($I467&lt;=TODAY()+7,"7 GÜN İÇİNDE","PLANLI"))))))))</f>
        <v/>
      </c>
      <c r="R467" s="6" t="n"/>
      <c r="S467" s="6" t="n"/>
    </row>
    <row r="468">
      <c r="A468" s="6" t="n"/>
      <c r="B468" s="113">
        <f>IF($E468="","","A"&amp;TEXT(ROW()-6,"00000"))</f>
        <v/>
      </c>
      <c r="C468" s="108" t="n"/>
      <c r="D468" s="113">
        <f>IF($E468="","",IFERROR(INDEX(MUSTERILER!$B$7:$B$106,MATCH($E468,MUSTERILER!$C$7:$C$106,0)),IFERROR(INDEX(MUSTERILER!$B$7:$B$106,MATCH($E468,MUSTERILER!$B$7:$B$106,0)),IFERROR(INDEX(MUSTERILER!$B$7:$B$106,MATCH($E468&amp;"*",MUSTERILER!$C$7:$C$106,0)),"TANIMSIZ MÜŞTERİ"))))</f>
        <v/>
      </c>
      <c r="E468" s="109" t="n"/>
      <c r="F468" s="109" t="n"/>
      <c r="G468" s="108" t="n"/>
      <c r="H468" s="225" t="n"/>
      <c r="I468" s="225" t="n"/>
      <c r="J468" s="108" t="n"/>
      <c r="K468" s="108" t="n"/>
      <c r="L468" s="109" t="n"/>
      <c r="M468" s="109" t="n"/>
      <c r="N468" s="109" t="n"/>
      <c r="O468" s="225" t="n"/>
      <c r="P468" s="232">
        <f>IF(OR($E468="",$I468=""),"",IF(OR($J468="Tamamlandı",$J468="İptal"),"",$I468-TODAY()))</f>
        <v/>
      </c>
      <c r="Q468" s="113">
        <f>IF($E468="","",IF($D468="TANIMSIZ MÜŞTERİ","HATA",IF(OR($J468="Tamamlandı",$J468="İptal"),"KAPALI",IF(AND($C468="Görüşme",$N468=""),"SONRAKİ İŞLEM EKSİK",IF($I468="","TARİH EKSİK",IF($I468&lt;TODAY(),"GECİKMİŞ",IF($I468=TODAY(),"BUGÜN",IF($I468&lt;=TODAY()+7,"7 GÜN İÇİNDE","PLANLI"))))))))</f>
        <v/>
      </c>
      <c r="R468" s="6" t="n"/>
      <c r="S468" s="6" t="n"/>
    </row>
    <row r="469">
      <c r="A469" s="6" t="n"/>
      <c r="B469" s="113">
        <f>IF($E469="","","A"&amp;TEXT(ROW()-6,"00000"))</f>
        <v/>
      </c>
      <c r="C469" s="108" t="n"/>
      <c r="D469" s="113">
        <f>IF($E469="","",IFERROR(INDEX(MUSTERILER!$B$7:$B$106,MATCH($E469,MUSTERILER!$C$7:$C$106,0)),IFERROR(INDEX(MUSTERILER!$B$7:$B$106,MATCH($E469,MUSTERILER!$B$7:$B$106,0)),IFERROR(INDEX(MUSTERILER!$B$7:$B$106,MATCH($E469&amp;"*",MUSTERILER!$C$7:$C$106,0)),"TANIMSIZ MÜŞTERİ"))))</f>
        <v/>
      </c>
      <c r="E469" s="109" t="n"/>
      <c r="F469" s="109" t="n"/>
      <c r="G469" s="108" t="n"/>
      <c r="H469" s="225" t="n"/>
      <c r="I469" s="225" t="n"/>
      <c r="J469" s="108" t="n"/>
      <c r="K469" s="108" t="n"/>
      <c r="L469" s="109" t="n"/>
      <c r="M469" s="109" t="n"/>
      <c r="N469" s="109" t="n"/>
      <c r="O469" s="225" t="n"/>
      <c r="P469" s="232">
        <f>IF(OR($E469="",$I469=""),"",IF(OR($J469="Tamamlandı",$J469="İptal"),"",$I469-TODAY()))</f>
        <v/>
      </c>
      <c r="Q469" s="113">
        <f>IF($E469="","",IF($D469="TANIMSIZ MÜŞTERİ","HATA",IF(OR($J469="Tamamlandı",$J469="İptal"),"KAPALI",IF(AND($C469="Görüşme",$N469=""),"SONRAKİ İŞLEM EKSİK",IF($I469="","TARİH EKSİK",IF($I469&lt;TODAY(),"GECİKMİŞ",IF($I469=TODAY(),"BUGÜN",IF($I469&lt;=TODAY()+7,"7 GÜN İÇİNDE","PLANLI"))))))))</f>
        <v/>
      </c>
      <c r="R469" s="6" t="n"/>
      <c r="S469" s="6" t="n"/>
    </row>
    <row r="470">
      <c r="A470" s="6" t="n"/>
      <c r="B470" s="113">
        <f>IF($E470="","","A"&amp;TEXT(ROW()-6,"00000"))</f>
        <v/>
      </c>
      <c r="C470" s="108" t="n"/>
      <c r="D470" s="113">
        <f>IF($E470="","",IFERROR(INDEX(MUSTERILER!$B$7:$B$106,MATCH($E470,MUSTERILER!$C$7:$C$106,0)),IFERROR(INDEX(MUSTERILER!$B$7:$B$106,MATCH($E470,MUSTERILER!$B$7:$B$106,0)),IFERROR(INDEX(MUSTERILER!$B$7:$B$106,MATCH($E470&amp;"*",MUSTERILER!$C$7:$C$106,0)),"TANIMSIZ MÜŞTERİ"))))</f>
        <v/>
      </c>
      <c r="E470" s="109" t="n"/>
      <c r="F470" s="109" t="n"/>
      <c r="G470" s="108" t="n"/>
      <c r="H470" s="225" t="n"/>
      <c r="I470" s="225" t="n"/>
      <c r="J470" s="108" t="n"/>
      <c r="K470" s="108" t="n"/>
      <c r="L470" s="109" t="n"/>
      <c r="M470" s="109" t="n"/>
      <c r="N470" s="109" t="n"/>
      <c r="O470" s="225" t="n"/>
      <c r="P470" s="232">
        <f>IF(OR($E470="",$I470=""),"",IF(OR($J470="Tamamlandı",$J470="İptal"),"",$I470-TODAY()))</f>
        <v/>
      </c>
      <c r="Q470" s="113">
        <f>IF($E470="","",IF($D470="TANIMSIZ MÜŞTERİ","HATA",IF(OR($J470="Tamamlandı",$J470="İptal"),"KAPALI",IF(AND($C470="Görüşme",$N470=""),"SONRAKİ İŞLEM EKSİK",IF($I470="","TARİH EKSİK",IF($I470&lt;TODAY(),"GECİKMİŞ",IF($I470=TODAY(),"BUGÜN",IF($I470&lt;=TODAY()+7,"7 GÜN İÇİNDE","PLANLI"))))))))</f>
        <v/>
      </c>
      <c r="R470" s="6" t="n"/>
      <c r="S470" s="6" t="n"/>
    </row>
    <row r="471">
      <c r="A471" s="6" t="n"/>
      <c r="B471" s="113">
        <f>IF($E471="","","A"&amp;TEXT(ROW()-6,"00000"))</f>
        <v/>
      </c>
      <c r="C471" s="108" t="n"/>
      <c r="D471" s="113">
        <f>IF($E471="","",IFERROR(INDEX(MUSTERILER!$B$7:$B$106,MATCH($E471,MUSTERILER!$C$7:$C$106,0)),IFERROR(INDEX(MUSTERILER!$B$7:$B$106,MATCH($E471,MUSTERILER!$B$7:$B$106,0)),IFERROR(INDEX(MUSTERILER!$B$7:$B$106,MATCH($E471&amp;"*",MUSTERILER!$C$7:$C$106,0)),"TANIMSIZ MÜŞTERİ"))))</f>
        <v/>
      </c>
      <c r="E471" s="109" t="n"/>
      <c r="F471" s="109" t="n"/>
      <c r="G471" s="108" t="n"/>
      <c r="H471" s="225" t="n"/>
      <c r="I471" s="225" t="n"/>
      <c r="J471" s="108" t="n"/>
      <c r="K471" s="108" t="n"/>
      <c r="L471" s="109" t="n"/>
      <c r="M471" s="109" t="n"/>
      <c r="N471" s="109" t="n"/>
      <c r="O471" s="225" t="n"/>
      <c r="P471" s="232">
        <f>IF(OR($E471="",$I471=""),"",IF(OR($J471="Tamamlandı",$J471="İptal"),"",$I471-TODAY()))</f>
        <v/>
      </c>
      <c r="Q471" s="113">
        <f>IF($E471="","",IF($D471="TANIMSIZ MÜŞTERİ","HATA",IF(OR($J471="Tamamlandı",$J471="İptal"),"KAPALI",IF(AND($C471="Görüşme",$N471=""),"SONRAKİ İŞLEM EKSİK",IF($I471="","TARİH EKSİK",IF($I471&lt;TODAY(),"GECİKMİŞ",IF($I471=TODAY(),"BUGÜN",IF($I471&lt;=TODAY()+7,"7 GÜN İÇİNDE","PLANLI"))))))))</f>
        <v/>
      </c>
      <c r="R471" s="6" t="n"/>
      <c r="S471" s="6" t="n"/>
    </row>
    <row r="472">
      <c r="A472" s="6" t="n"/>
      <c r="B472" s="113">
        <f>IF($E472="","","A"&amp;TEXT(ROW()-6,"00000"))</f>
        <v/>
      </c>
      <c r="C472" s="108" t="n"/>
      <c r="D472" s="113">
        <f>IF($E472="","",IFERROR(INDEX(MUSTERILER!$B$7:$B$106,MATCH($E472,MUSTERILER!$C$7:$C$106,0)),IFERROR(INDEX(MUSTERILER!$B$7:$B$106,MATCH($E472,MUSTERILER!$B$7:$B$106,0)),IFERROR(INDEX(MUSTERILER!$B$7:$B$106,MATCH($E472&amp;"*",MUSTERILER!$C$7:$C$106,0)),"TANIMSIZ MÜŞTERİ"))))</f>
        <v/>
      </c>
      <c r="E472" s="109" t="n"/>
      <c r="F472" s="109" t="n"/>
      <c r="G472" s="108" t="n"/>
      <c r="H472" s="225" t="n"/>
      <c r="I472" s="225" t="n"/>
      <c r="J472" s="108" t="n"/>
      <c r="K472" s="108" t="n"/>
      <c r="L472" s="109" t="n"/>
      <c r="M472" s="109" t="n"/>
      <c r="N472" s="109" t="n"/>
      <c r="O472" s="225" t="n"/>
      <c r="P472" s="232">
        <f>IF(OR($E472="",$I472=""),"",IF(OR($J472="Tamamlandı",$J472="İptal"),"",$I472-TODAY()))</f>
        <v/>
      </c>
      <c r="Q472" s="113">
        <f>IF($E472="","",IF($D472="TANIMSIZ MÜŞTERİ","HATA",IF(OR($J472="Tamamlandı",$J472="İptal"),"KAPALI",IF(AND($C472="Görüşme",$N472=""),"SONRAKİ İŞLEM EKSİK",IF($I472="","TARİH EKSİK",IF($I472&lt;TODAY(),"GECİKMİŞ",IF($I472=TODAY(),"BUGÜN",IF($I472&lt;=TODAY()+7,"7 GÜN İÇİNDE","PLANLI"))))))))</f>
        <v/>
      </c>
      <c r="R472" s="6" t="n"/>
      <c r="S472" s="6" t="n"/>
    </row>
    <row r="473">
      <c r="A473" s="6" t="n"/>
      <c r="B473" s="113">
        <f>IF($E473="","","A"&amp;TEXT(ROW()-6,"00000"))</f>
        <v/>
      </c>
      <c r="C473" s="108" t="n"/>
      <c r="D473" s="113">
        <f>IF($E473="","",IFERROR(INDEX(MUSTERILER!$B$7:$B$106,MATCH($E473,MUSTERILER!$C$7:$C$106,0)),IFERROR(INDEX(MUSTERILER!$B$7:$B$106,MATCH($E473,MUSTERILER!$B$7:$B$106,0)),IFERROR(INDEX(MUSTERILER!$B$7:$B$106,MATCH($E473&amp;"*",MUSTERILER!$C$7:$C$106,0)),"TANIMSIZ MÜŞTERİ"))))</f>
        <v/>
      </c>
      <c r="E473" s="109" t="n"/>
      <c r="F473" s="109" t="n"/>
      <c r="G473" s="108" t="n"/>
      <c r="H473" s="225" t="n"/>
      <c r="I473" s="225" t="n"/>
      <c r="J473" s="108" t="n"/>
      <c r="K473" s="108" t="n"/>
      <c r="L473" s="109" t="n"/>
      <c r="M473" s="109" t="n"/>
      <c r="N473" s="109" t="n"/>
      <c r="O473" s="225" t="n"/>
      <c r="P473" s="232">
        <f>IF(OR($E473="",$I473=""),"",IF(OR($J473="Tamamlandı",$J473="İptal"),"",$I473-TODAY()))</f>
        <v/>
      </c>
      <c r="Q473" s="113">
        <f>IF($E473="","",IF($D473="TANIMSIZ MÜŞTERİ","HATA",IF(OR($J473="Tamamlandı",$J473="İptal"),"KAPALI",IF(AND($C473="Görüşme",$N473=""),"SONRAKİ İŞLEM EKSİK",IF($I473="","TARİH EKSİK",IF($I473&lt;TODAY(),"GECİKMİŞ",IF($I473=TODAY(),"BUGÜN",IF($I473&lt;=TODAY()+7,"7 GÜN İÇİNDE","PLANLI"))))))))</f>
        <v/>
      </c>
      <c r="R473" s="6" t="n"/>
      <c r="S473" s="6" t="n"/>
    </row>
    <row r="474">
      <c r="A474" s="6" t="n"/>
      <c r="B474" s="113">
        <f>IF($E474="","","A"&amp;TEXT(ROW()-6,"00000"))</f>
        <v/>
      </c>
      <c r="C474" s="108" t="n"/>
      <c r="D474" s="113">
        <f>IF($E474="","",IFERROR(INDEX(MUSTERILER!$B$7:$B$106,MATCH($E474,MUSTERILER!$C$7:$C$106,0)),IFERROR(INDEX(MUSTERILER!$B$7:$B$106,MATCH($E474,MUSTERILER!$B$7:$B$106,0)),IFERROR(INDEX(MUSTERILER!$B$7:$B$106,MATCH($E474&amp;"*",MUSTERILER!$C$7:$C$106,0)),"TANIMSIZ MÜŞTERİ"))))</f>
        <v/>
      </c>
      <c r="E474" s="109" t="n"/>
      <c r="F474" s="109" t="n"/>
      <c r="G474" s="108" t="n"/>
      <c r="H474" s="225" t="n"/>
      <c r="I474" s="225" t="n"/>
      <c r="J474" s="108" t="n"/>
      <c r="K474" s="108" t="n"/>
      <c r="L474" s="109" t="n"/>
      <c r="M474" s="109" t="n"/>
      <c r="N474" s="109" t="n"/>
      <c r="O474" s="225" t="n"/>
      <c r="P474" s="232">
        <f>IF(OR($E474="",$I474=""),"",IF(OR($J474="Tamamlandı",$J474="İptal"),"",$I474-TODAY()))</f>
        <v/>
      </c>
      <c r="Q474" s="113">
        <f>IF($E474="","",IF($D474="TANIMSIZ MÜŞTERİ","HATA",IF(OR($J474="Tamamlandı",$J474="İptal"),"KAPALI",IF(AND($C474="Görüşme",$N474=""),"SONRAKİ İŞLEM EKSİK",IF($I474="","TARİH EKSİK",IF($I474&lt;TODAY(),"GECİKMİŞ",IF($I474=TODAY(),"BUGÜN",IF($I474&lt;=TODAY()+7,"7 GÜN İÇİNDE","PLANLI"))))))))</f>
        <v/>
      </c>
      <c r="R474" s="6" t="n"/>
      <c r="S474" s="6" t="n"/>
    </row>
    <row r="475">
      <c r="A475" s="6" t="n"/>
      <c r="B475" s="113">
        <f>IF($E475="","","A"&amp;TEXT(ROW()-6,"00000"))</f>
        <v/>
      </c>
      <c r="C475" s="108" t="n"/>
      <c r="D475" s="113">
        <f>IF($E475="","",IFERROR(INDEX(MUSTERILER!$B$7:$B$106,MATCH($E475,MUSTERILER!$C$7:$C$106,0)),IFERROR(INDEX(MUSTERILER!$B$7:$B$106,MATCH($E475,MUSTERILER!$B$7:$B$106,0)),IFERROR(INDEX(MUSTERILER!$B$7:$B$106,MATCH($E475&amp;"*",MUSTERILER!$C$7:$C$106,0)),"TANIMSIZ MÜŞTERİ"))))</f>
        <v/>
      </c>
      <c r="E475" s="109" t="n"/>
      <c r="F475" s="109" t="n"/>
      <c r="G475" s="108" t="n"/>
      <c r="H475" s="225" t="n"/>
      <c r="I475" s="225" t="n"/>
      <c r="J475" s="108" t="n"/>
      <c r="K475" s="108" t="n"/>
      <c r="L475" s="109" t="n"/>
      <c r="M475" s="109" t="n"/>
      <c r="N475" s="109" t="n"/>
      <c r="O475" s="225" t="n"/>
      <c r="P475" s="232">
        <f>IF(OR($E475="",$I475=""),"",IF(OR($J475="Tamamlandı",$J475="İptal"),"",$I475-TODAY()))</f>
        <v/>
      </c>
      <c r="Q475" s="113">
        <f>IF($E475="","",IF($D475="TANIMSIZ MÜŞTERİ","HATA",IF(OR($J475="Tamamlandı",$J475="İptal"),"KAPALI",IF(AND($C475="Görüşme",$N475=""),"SONRAKİ İŞLEM EKSİK",IF($I475="","TARİH EKSİK",IF($I475&lt;TODAY(),"GECİKMİŞ",IF($I475=TODAY(),"BUGÜN",IF($I475&lt;=TODAY()+7,"7 GÜN İÇİNDE","PLANLI"))))))))</f>
        <v/>
      </c>
      <c r="R475" s="6" t="n"/>
      <c r="S475" s="6" t="n"/>
    </row>
    <row r="476">
      <c r="A476" s="6" t="n"/>
      <c r="B476" s="113">
        <f>IF($E476="","","A"&amp;TEXT(ROW()-6,"00000"))</f>
        <v/>
      </c>
      <c r="C476" s="108" t="n"/>
      <c r="D476" s="113">
        <f>IF($E476="","",IFERROR(INDEX(MUSTERILER!$B$7:$B$106,MATCH($E476,MUSTERILER!$C$7:$C$106,0)),IFERROR(INDEX(MUSTERILER!$B$7:$B$106,MATCH($E476,MUSTERILER!$B$7:$B$106,0)),IFERROR(INDEX(MUSTERILER!$B$7:$B$106,MATCH($E476&amp;"*",MUSTERILER!$C$7:$C$106,0)),"TANIMSIZ MÜŞTERİ"))))</f>
        <v/>
      </c>
      <c r="E476" s="109" t="n"/>
      <c r="F476" s="109" t="n"/>
      <c r="G476" s="108" t="n"/>
      <c r="H476" s="225" t="n"/>
      <c r="I476" s="225" t="n"/>
      <c r="J476" s="108" t="n"/>
      <c r="K476" s="108" t="n"/>
      <c r="L476" s="109" t="n"/>
      <c r="M476" s="109" t="n"/>
      <c r="N476" s="109" t="n"/>
      <c r="O476" s="225" t="n"/>
      <c r="P476" s="232">
        <f>IF(OR($E476="",$I476=""),"",IF(OR($J476="Tamamlandı",$J476="İptal"),"",$I476-TODAY()))</f>
        <v/>
      </c>
      <c r="Q476" s="113">
        <f>IF($E476="","",IF($D476="TANIMSIZ MÜŞTERİ","HATA",IF(OR($J476="Tamamlandı",$J476="İptal"),"KAPALI",IF(AND($C476="Görüşme",$N476=""),"SONRAKİ İŞLEM EKSİK",IF($I476="","TARİH EKSİK",IF($I476&lt;TODAY(),"GECİKMİŞ",IF($I476=TODAY(),"BUGÜN",IF($I476&lt;=TODAY()+7,"7 GÜN İÇİNDE","PLANLI"))))))))</f>
        <v/>
      </c>
      <c r="R476" s="6" t="n"/>
      <c r="S476" s="6" t="n"/>
    </row>
    <row r="477">
      <c r="A477" s="6" t="n"/>
      <c r="B477" s="113">
        <f>IF($E477="","","A"&amp;TEXT(ROW()-6,"00000"))</f>
        <v/>
      </c>
      <c r="C477" s="108" t="n"/>
      <c r="D477" s="113">
        <f>IF($E477="","",IFERROR(INDEX(MUSTERILER!$B$7:$B$106,MATCH($E477,MUSTERILER!$C$7:$C$106,0)),IFERROR(INDEX(MUSTERILER!$B$7:$B$106,MATCH($E477,MUSTERILER!$B$7:$B$106,0)),IFERROR(INDEX(MUSTERILER!$B$7:$B$106,MATCH($E477&amp;"*",MUSTERILER!$C$7:$C$106,0)),"TANIMSIZ MÜŞTERİ"))))</f>
        <v/>
      </c>
      <c r="E477" s="109" t="n"/>
      <c r="F477" s="109" t="n"/>
      <c r="G477" s="108" t="n"/>
      <c r="H477" s="225" t="n"/>
      <c r="I477" s="225" t="n"/>
      <c r="J477" s="108" t="n"/>
      <c r="K477" s="108" t="n"/>
      <c r="L477" s="109" t="n"/>
      <c r="M477" s="109" t="n"/>
      <c r="N477" s="109" t="n"/>
      <c r="O477" s="225" t="n"/>
      <c r="P477" s="232">
        <f>IF(OR($E477="",$I477=""),"",IF(OR($J477="Tamamlandı",$J477="İptal"),"",$I477-TODAY()))</f>
        <v/>
      </c>
      <c r="Q477" s="113">
        <f>IF($E477="","",IF($D477="TANIMSIZ MÜŞTERİ","HATA",IF(OR($J477="Tamamlandı",$J477="İptal"),"KAPALI",IF(AND($C477="Görüşme",$N477=""),"SONRAKİ İŞLEM EKSİK",IF($I477="","TARİH EKSİK",IF($I477&lt;TODAY(),"GECİKMİŞ",IF($I477=TODAY(),"BUGÜN",IF($I477&lt;=TODAY()+7,"7 GÜN İÇİNDE","PLANLI"))))))))</f>
        <v/>
      </c>
      <c r="R477" s="6" t="n"/>
      <c r="S477" s="6" t="n"/>
    </row>
    <row r="478">
      <c r="A478" s="6" t="n"/>
      <c r="B478" s="113">
        <f>IF($E478="","","A"&amp;TEXT(ROW()-6,"00000"))</f>
        <v/>
      </c>
      <c r="C478" s="108" t="n"/>
      <c r="D478" s="113">
        <f>IF($E478="","",IFERROR(INDEX(MUSTERILER!$B$7:$B$106,MATCH($E478,MUSTERILER!$C$7:$C$106,0)),IFERROR(INDEX(MUSTERILER!$B$7:$B$106,MATCH($E478,MUSTERILER!$B$7:$B$106,0)),IFERROR(INDEX(MUSTERILER!$B$7:$B$106,MATCH($E478&amp;"*",MUSTERILER!$C$7:$C$106,0)),"TANIMSIZ MÜŞTERİ"))))</f>
        <v/>
      </c>
      <c r="E478" s="109" t="n"/>
      <c r="F478" s="109" t="n"/>
      <c r="G478" s="108" t="n"/>
      <c r="H478" s="225" t="n"/>
      <c r="I478" s="225" t="n"/>
      <c r="J478" s="108" t="n"/>
      <c r="K478" s="108" t="n"/>
      <c r="L478" s="109" t="n"/>
      <c r="M478" s="109" t="n"/>
      <c r="N478" s="109" t="n"/>
      <c r="O478" s="225" t="n"/>
      <c r="P478" s="232">
        <f>IF(OR($E478="",$I478=""),"",IF(OR($J478="Tamamlandı",$J478="İptal"),"",$I478-TODAY()))</f>
        <v/>
      </c>
      <c r="Q478" s="113">
        <f>IF($E478="","",IF($D478="TANIMSIZ MÜŞTERİ","HATA",IF(OR($J478="Tamamlandı",$J478="İptal"),"KAPALI",IF(AND($C478="Görüşme",$N478=""),"SONRAKİ İŞLEM EKSİK",IF($I478="","TARİH EKSİK",IF($I478&lt;TODAY(),"GECİKMİŞ",IF($I478=TODAY(),"BUGÜN",IF($I478&lt;=TODAY()+7,"7 GÜN İÇİNDE","PLANLI"))))))))</f>
        <v/>
      </c>
      <c r="R478" s="6" t="n"/>
      <c r="S478" s="6" t="n"/>
    </row>
    <row r="479">
      <c r="A479" s="6" t="n"/>
      <c r="B479" s="113">
        <f>IF($E479="","","A"&amp;TEXT(ROW()-6,"00000"))</f>
        <v/>
      </c>
      <c r="C479" s="108" t="n"/>
      <c r="D479" s="113">
        <f>IF($E479="","",IFERROR(INDEX(MUSTERILER!$B$7:$B$106,MATCH($E479,MUSTERILER!$C$7:$C$106,0)),IFERROR(INDEX(MUSTERILER!$B$7:$B$106,MATCH($E479,MUSTERILER!$B$7:$B$106,0)),IFERROR(INDEX(MUSTERILER!$B$7:$B$106,MATCH($E479&amp;"*",MUSTERILER!$C$7:$C$106,0)),"TANIMSIZ MÜŞTERİ"))))</f>
        <v/>
      </c>
      <c r="E479" s="109" t="n"/>
      <c r="F479" s="109" t="n"/>
      <c r="G479" s="108" t="n"/>
      <c r="H479" s="225" t="n"/>
      <c r="I479" s="225" t="n"/>
      <c r="J479" s="108" t="n"/>
      <c r="K479" s="108" t="n"/>
      <c r="L479" s="109" t="n"/>
      <c r="M479" s="109" t="n"/>
      <c r="N479" s="109" t="n"/>
      <c r="O479" s="225" t="n"/>
      <c r="P479" s="232">
        <f>IF(OR($E479="",$I479=""),"",IF(OR($J479="Tamamlandı",$J479="İptal"),"",$I479-TODAY()))</f>
        <v/>
      </c>
      <c r="Q479" s="113">
        <f>IF($E479="","",IF($D479="TANIMSIZ MÜŞTERİ","HATA",IF(OR($J479="Tamamlandı",$J479="İptal"),"KAPALI",IF(AND($C479="Görüşme",$N479=""),"SONRAKİ İŞLEM EKSİK",IF($I479="","TARİH EKSİK",IF($I479&lt;TODAY(),"GECİKMİŞ",IF($I479=TODAY(),"BUGÜN",IF($I479&lt;=TODAY()+7,"7 GÜN İÇİNDE","PLANLI"))))))))</f>
        <v/>
      </c>
      <c r="R479" s="6" t="n"/>
      <c r="S479" s="6" t="n"/>
    </row>
    <row r="480">
      <c r="A480" s="6" t="n"/>
      <c r="B480" s="113">
        <f>IF($E480="","","A"&amp;TEXT(ROW()-6,"00000"))</f>
        <v/>
      </c>
      <c r="C480" s="108" t="n"/>
      <c r="D480" s="113">
        <f>IF($E480="","",IFERROR(INDEX(MUSTERILER!$B$7:$B$106,MATCH($E480,MUSTERILER!$C$7:$C$106,0)),IFERROR(INDEX(MUSTERILER!$B$7:$B$106,MATCH($E480,MUSTERILER!$B$7:$B$106,0)),IFERROR(INDEX(MUSTERILER!$B$7:$B$106,MATCH($E480&amp;"*",MUSTERILER!$C$7:$C$106,0)),"TANIMSIZ MÜŞTERİ"))))</f>
        <v/>
      </c>
      <c r="E480" s="109" t="n"/>
      <c r="F480" s="109" t="n"/>
      <c r="G480" s="108" t="n"/>
      <c r="H480" s="225" t="n"/>
      <c r="I480" s="225" t="n"/>
      <c r="J480" s="108" t="n"/>
      <c r="K480" s="108" t="n"/>
      <c r="L480" s="109" t="n"/>
      <c r="M480" s="109" t="n"/>
      <c r="N480" s="109" t="n"/>
      <c r="O480" s="225" t="n"/>
      <c r="P480" s="232">
        <f>IF(OR($E480="",$I480=""),"",IF(OR($J480="Tamamlandı",$J480="İptal"),"",$I480-TODAY()))</f>
        <v/>
      </c>
      <c r="Q480" s="113">
        <f>IF($E480="","",IF($D480="TANIMSIZ MÜŞTERİ","HATA",IF(OR($J480="Tamamlandı",$J480="İptal"),"KAPALI",IF(AND($C480="Görüşme",$N480=""),"SONRAKİ İŞLEM EKSİK",IF($I480="","TARİH EKSİK",IF($I480&lt;TODAY(),"GECİKMİŞ",IF($I480=TODAY(),"BUGÜN",IF($I480&lt;=TODAY()+7,"7 GÜN İÇİNDE","PLANLI"))))))))</f>
        <v/>
      </c>
      <c r="R480" s="6" t="n"/>
      <c r="S480" s="6" t="n"/>
    </row>
    <row r="481">
      <c r="A481" s="6" t="n"/>
      <c r="B481" s="113">
        <f>IF($E481="","","A"&amp;TEXT(ROW()-6,"00000"))</f>
        <v/>
      </c>
      <c r="C481" s="108" t="n"/>
      <c r="D481" s="113">
        <f>IF($E481="","",IFERROR(INDEX(MUSTERILER!$B$7:$B$106,MATCH($E481,MUSTERILER!$C$7:$C$106,0)),IFERROR(INDEX(MUSTERILER!$B$7:$B$106,MATCH($E481,MUSTERILER!$B$7:$B$106,0)),IFERROR(INDEX(MUSTERILER!$B$7:$B$106,MATCH($E481&amp;"*",MUSTERILER!$C$7:$C$106,0)),"TANIMSIZ MÜŞTERİ"))))</f>
        <v/>
      </c>
      <c r="E481" s="109" t="n"/>
      <c r="F481" s="109" t="n"/>
      <c r="G481" s="108" t="n"/>
      <c r="H481" s="225" t="n"/>
      <c r="I481" s="225" t="n"/>
      <c r="J481" s="108" t="n"/>
      <c r="K481" s="108" t="n"/>
      <c r="L481" s="109" t="n"/>
      <c r="M481" s="109" t="n"/>
      <c r="N481" s="109" t="n"/>
      <c r="O481" s="225" t="n"/>
      <c r="P481" s="232">
        <f>IF(OR($E481="",$I481=""),"",IF(OR($J481="Tamamlandı",$J481="İptal"),"",$I481-TODAY()))</f>
        <v/>
      </c>
      <c r="Q481" s="113">
        <f>IF($E481="","",IF($D481="TANIMSIZ MÜŞTERİ","HATA",IF(OR($J481="Tamamlandı",$J481="İptal"),"KAPALI",IF(AND($C481="Görüşme",$N481=""),"SONRAKİ İŞLEM EKSİK",IF($I481="","TARİH EKSİK",IF($I481&lt;TODAY(),"GECİKMİŞ",IF($I481=TODAY(),"BUGÜN",IF($I481&lt;=TODAY()+7,"7 GÜN İÇİNDE","PLANLI"))))))))</f>
        <v/>
      </c>
      <c r="R481" s="6" t="n"/>
      <c r="S481" s="6" t="n"/>
    </row>
    <row r="482">
      <c r="A482" s="6" t="n"/>
      <c r="B482" s="113">
        <f>IF($E482="","","A"&amp;TEXT(ROW()-6,"00000"))</f>
        <v/>
      </c>
      <c r="C482" s="108" t="n"/>
      <c r="D482" s="113">
        <f>IF($E482="","",IFERROR(INDEX(MUSTERILER!$B$7:$B$106,MATCH($E482,MUSTERILER!$C$7:$C$106,0)),IFERROR(INDEX(MUSTERILER!$B$7:$B$106,MATCH($E482,MUSTERILER!$B$7:$B$106,0)),IFERROR(INDEX(MUSTERILER!$B$7:$B$106,MATCH($E482&amp;"*",MUSTERILER!$C$7:$C$106,0)),"TANIMSIZ MÜŞTERİ"))))</f>
        <v/>
      </c>
      <c r="E482" s="109" t="n"/>
      <c r="F482" s="109" t="n"/>
      <c r="G482" s="108" t="n"/>
      <c r="H482" s="225" t="n"/>
      <c r="I482" s="225" t="n"/>
      <c r="J482" s="108" t="n"/>
      <c r="K482" s="108" t="n"/>
      <c r="L482" s="109" t="n"/>
      <c r="M482" s="109" t="n"/>
      <c r="N482" s="109" t="n"/>
      <c r="O482" s="225" t="n"/>
      <c r="P482" s="232">
        <f>IF(OR($E482="",$I482=""),"",IF(OR($J482="Tamamlandı",$J482="İptal"),"",$I482-TODAY()))</f>
        <v/>
      </c>
      <c r="Q482" s="113">
        <f>IF($E482="","",IF($D482="TANIMSIZ MÜŞTERİ","HATA",IF(OR($J482="Tamamlandı",$J482="İptal"),"KAPALI",IF(AND($C482="Görüşme",$N482=""),"SONRAKİ İŞLEM EKSİK",IF($I482="","TARİH EKSİK",IF($I482&lt;TODAY(),"GECİKMİŞ",IF($I482=TODAY(),"BUGÜN",IF($I482&lt;=TODAY()+7,"7 GÜN İÇİNDE","PLANLI"))))))))</f>
        <v/>
      </c>
      <c r="R482" s="6" t="n"/>
      <c r="S482" s="6" t="n"/>
    </row>
    <row r="483">
      <c r="A483" s="6" t="n"/>
      <c r="B483" s="113">
        <f>IF($E483="","","A"&amp;TEXT(ROW()-6,"00000"))</f>
        <v/>
      </c>
      <c r="C483" s="108" t="n"/>
      <c r="D483" s="113">
        <f>IF($E483="","",IFERROR(INDEX(MUSTERILER!$B$7:$B$106,MATCH($E483,MUSTERILER!$C$7:$C$106,0)),IFERROR(INDEX(MUSTERILER!$B$7:$B$106,MATCH($E483,MUSTERILER!$B$7:$B$106,0)),IFERROR(INDEX(MUSTERILER!$B$7:$B$106,MATCH($E483&amp;"*",MUSTERILER!$C$7:$C$106,0)),"TANIMSIZ MÜŞTERİ"))))</f>
        <v/>
      </c>
      <c r="E483" s="109" t="n"/>
      <c r="F483" s="109" t="n"/>
      <c r="G483" s="108" t="n"/>
      <c r="H483" s="225" t="n"/>
      <c r="I483" s="225" t="n"/>
      <c r="J483" s="108" t="n"/>
      <c r="K483" s="108" t="n"/>
      <c r="L483" s="109" t="n"/>
      <c r="M483" s="109" t="n"/>
      <c r="N483" s="109" t="n"/>
      <c r="O483" s="225" t="n"/>
      <c r="P483" s="232">
        <f>IF(OR($E483="",$I483=""),"",IF(OR($J483="Tamamlandı",$J483="İptal"),"",$I483-TODAY()))</f>
        <v/>
      </c>
      <c r="Q483" s="113">
        <f>IF($E483="","",IF($D483="TANIMSIZ MÜŞTERİ","HATA",IF(OR($J483="Tamamlandı",$J483="İptal"),"KAPALI",IF(AND($C483="Görüşme",$N483=""),"SONRAKİ İŞLEM EKSİK",IF($I483="","TARİH EKSİK",IF($I483&lt;TODAY(),"GECİKMİŞ",IF($I483=TODAY(),"BUGÜN",IF($I483&lt;=TODAY()+7,"7 GÜN İÇİNDE","PLANLI"))))))))</f>
        <v/>
      </c>
      <c r="R483" s="6" t="n"/>
      <c r="S483" s="6" t="n"/>
    </row>
    <row r="484">
      <c r="A484" s="6" t="n"/>
      <c r="B484" s="113">
        <f>IF($E484="","","A"&amp;TEXT(ROW()-6,"00000"))</f>
        <v/>
      </c>
      <c r="C484" s="108" t="n"/>
      <c r="D484" s="113">
        <f>IF($E484="","",IFERROR(INDEX(MUSTERILER!$B$7:$B$106,MATCH($E484,MUSTERILER!$C$7:$C$106,0)),IFERROR(INDEX(MUSTERILER!$B$7:$B$106,MATCH($E484,MUSTERILER!$B$7:$B$106,0)),IFERROR(INDEX(MUSTERILER!$B$7:$B$106,MATCH($E484&amp;"*",MUSTERILER!$C$7:$C$106,0)),"TANIMSIZ MÜŞTERİ"))))</f>
        <v/>
      </c>
      <c r="E484" s="109" t="n"/>
      <c r="F484" s="109" t="n"/>
      <c r="G484" s="108" t="n"/>
      <c r="H484" s="225" t="n"/>
      <c r="I484" s="225" t="n"/>
      <c r="J484" s="108" t="n"/>
      <c r="K484" s="108" t="n"/>
      <c r="L484" s="109" t="n"/>
      <c r="M484" s="109" t="n"/>
      <c r="N484" s="109" t="n"/>
      <c r="O484" s="225" t="n"/>
      <c r="P484" s="232">
        <f>IF(OR($E484="",$I484=""),"",IF(OR($J484="Tamamlandı",$J484="İptal"),"",$I484-TODAY()))</f>
        <v/>
      </c>
      <c r="Q484" s="113">
        <f>IF($E484="","",IF($D484="TANIMSIZ MÜŞTERİ","HATA",IF(OR($J484="Tamamlandı",$J484="İptal"),"KAPALI",IF(AND($C484="Görüşme",$N484=""),"SONRAKİ İŞLEM EKSİK",IF($I484="","TARİH EKSİK",IF($I484&lt;TODAY(),"GECİKMİŞ",IF($I484=TODAY(),"BUGÜN",IF($I484&lt;=TODAY()+7,"7 GÜN İÇİNDE","PLANLI"))))))))</f>
        <v/>
      </c>
      <c r="R484" s="6" t="n"/>
      <c r="S484" s="6" t="n"/>
    </row>
    <row r="485">
      <c r="A485" s="6" t="n"/>
      <c r="B485" s="113">
        <f>IF($E485="","","A"&amp;TEXT(ROW()-6,"00000"))</f>
        <v/>
      </c>
      <c r="C485" s="108" t="n"/>
      <c r="D485" s="113">
        <f>IF($E485="","",IFERROR(INDEX(MUSTERILER!$B$7:$B$106,MATCH($E485,MUSTERILER!$C$7:$C$106,0)),IFERROR(INDEX(MUSTERILER!$B$7:$B$106,MATCH($E485,MUSTERILER!$B$7:$B$106,0)),IFERROR(INDEX(MUSTERILER!$B$7:$B$106,MATCH($E485&amp;"*",MUSTERILER!$C$7:$C$106,0)),"TANIMSIZ MÜŞTERİ"))))</f>
        <v/>
      </c>
      <c r="E485" s="109" t="n"/>
      <c r="F485" s="109" t="n"/>
      <c r="G485" s="108" t="n"/>
      <c r="H485" s="225" t="n"/>
      <c r="I485" s="225" t="n"/>
      <c r="J485" s="108" t="n"/>
      <c r="K485" s="108" t="n"/>
      <c r="L485" s="109" t="n"/>
      <c r="M485" s="109" t="n"/>
      <c r="N485" s="109" t="n"/>
      <c r="O485" s="225" t="n"/>
      <c r="P485" s="232">
        <f>IF(OR($E485="",$I485=""),"",IF(OR($J485="Tamamlandı",$J485="İptal"),"",$I485-TODAY()))</f>
        <v/>
      </c>
      <c r="Q485" s="113">
        <f>IF($E485="","",IF($D485="TANIMSIZ MÜŞTERİ","HATA",IF(OR($J485="Tamamlandı",$J485="İptal"),"KAPALI",IF(AND($C485="Görüşme",$N485=""),"SONRAKİ İŞLEM EKSİK",IF($I485="","TARİH EKSİK",IF($I485&lt;TODAY(),"GECİKMİŞ",IF($I485=TODAY(),"BUGÜN",IF($I485&lt;=TODAY()+7,"7 GÜN İÇİNDE","PLANLI"))))))))</f>
        <v/>
      </c>
      <c r="R485" s="6" t="n"/>
      <c r="S485" s="6" t="n"/>
    </row>
    <row r="486">
      <c r="A486" s="6" t="n"/>
      <c r="B486" s="113">
        <f>IF($E486="","","A"&amp;TEXT(ROW()-6,"00000"))</f>
        <v/>
      </c>
      <c r="C486" s="108" t="n"/>
      <c r="D486" s="113">
        <f>IF($E486="","",IFERROR(INDEX(MUSTERILER!$B$7:$B$106,MATCH($E486,MUSTERILER!$C$7:$C$106,0)),IFERROR(INDEX(MUSTERILER!$B$7:$B$106,MATCH($E486,MUSTERILER!$B$7:$B$106,0)),IFERROR(INDEX(MUSTERILER!$B$7:$B$106,MATCH($E486&amp;"*",MUSTERILER!$C$7:$C$106,0)),"TANIMSIZ MÜŞTERİ"))))</f>
        <v/>
      </c>
      <c r="E486" s="109" t="n"/>
      <c r="F486" s="109" t="n"/>
      <c r="G486" s="108" t="n"/>
      <c r="H486" s="225" t="n"/>
      <c r="I486" s="225" t="n"/>
      <c r="J486" s="108" t="n"/>
      <c r="K486" s="108" t="n"/>
      <c r="L486" s="109" t="n"/>
      <c r="M486" s="109" t="n"/>
      <c r="N486" s="109" t="n"/>
      <c r="O486" s="225" t="n"/>
      <c r="P486" s="232">
        <f>IF(OR($E486="",$I486=""),"",IF(OR($J486="Tamamlandı",$J486="İptal"),"",$I486-TODAY()))</f>
        <v/>
      </c>
      <c r="Q486" s="113">
        <f>IF($E486="","",IF($D486="TANIMSIZ MÜŞTERİ","HATA",IF(OR($J486="Tamamlandı",$J486="İptal"),"KAPALI",IF(AND($C486="Görüşme",$N486=""),"SONRAKİ İŞLEM EKSİK",IF($I486="","TARİH EKSİK",IF($I486&lt;TODAY(),"GECİKMİŞ",IF($I486=TODAY(),"BUGÜN",IF($I486&lt;=TODAY()+7,"7 GÜN İÇİNDE","PLANLI"))))))))</f>
        <v/>
      </c>
      <c r="R486" s="6" t="n"/>
      <c r="S486" s="6" t="n"/>
    </row>
    <row r="487">
      <c r="A487" s="6" t="n"/>
      <c r="B487" s="113">
        <f>IF($E487="","","A"&amp;TEXT(ROW()-6,"00000"))</f>
        <v/>
      </c>
      <c r="C487" s="108" t="n"/>
      <c r="D487" s="113">
        <f>IF($E487="","",IFERROR(INDEX(MUSTERILER!$B$7:$B$106,MATCH($E487,MUSTERILER!$C$7:$C$106,0)),IFERROR(INDEX(MUSTERILER!$B$7:$B$106,MATCH($E487,MUSTERILER!$B$7:$B$106,0)),IFERROR(INDEX(MUSTERILER!$B$7:$B$106,MATCH($E487&amp;"*",MUSTERILER!$C$7:$C$106,0)),"TANIMSIZ MÜŞTERİ"))))</f>
        <v/>
      </c>
      <c r="E487" s="109" t="n"/>
      <c r="F487" s="109" t="n"/>
      <c r="G487" s="108" t="n"/>
      <c r="H487" s="225" t="n"/>
      <c r="I487" s="225" t="n"/>
      <c r="J487" s="108" t="n"/>
      <c r="K487" s="108" t="n"/>
      <c r="L487" s="109" t="n"/>
      <c r="M487" s="109" t="n"/>
      <c r="N487" s="109" t="n"/>
      <c r="O487" s="225" t="n"/>
      <c r="P487" s="232">
        <f>IF(OR($E487="",$I487=""),"",IF(OR($J487="Tamamlandı",$J487="İptal"),"",$I487-TODAY()))</f>
        <v/>
      </c>
      <c r="Q487" s="113">
        <f>IF($E487="","",IF($D487="TANIMSIZ MÜŞTERİ","HATA",IF(OR($J487="Tamamlandı",$J487="İptal"),"KAPALI",IF(AND($C487="Görüşme",$N487=""),"SONRAKİ İŞLEM EKSİK",IF($I487="","TARİH EKSİK",IF($I487&lt;TODAY(),"GECİKMİŞ",IF($I487=TODAY(),"BUGÜN",IF($I487&lt;=TODAY()+7,"7 GÜN İÇİNDE","PLANLI"))))))))</f>
        <v/>
      </c>
      <c r="R487" s="6" t="n"/>
      <c r="S487" s="6" t="n"/>
    </row>
    <row r="488">
      <c r="A488" s="6" t="n"/>
      <c r="B488" s="113">
        <f>IF($E488="","","A"&amp;TEXT(ROW()-6,"00000"))</f>
        <v/>
      </c>
      <c r="C488" s="108" t="n"/>
      <c r="D488" s="113">
        <f>IF($E488="","",IFERROR(INDEX(MUSTERILER!$B$7:$B$106,MATCH($E488,MUSTERILER!$C$7:$C$106,0)),IFERROR(INDEX(MUSTERILER!$B$7:$B$106,MATCH($E488,MUSTERILER!$B$7:$B$106,0)),IFERROR(INDEX(MUSTERILER!$B$7:$B$106,MATCH($E488&amp;"*",MUSTERILER!$C$7:$C$106,0)),"TANIMSIZ MÜŞTERİ"))))</f>
        <v/>
      </c>
      <c r="E488" s="109" t="n"/>
      <c r="F488" s="109" t="n"/>
      <c r="G488" s="108" t="n"/>
      <c r="H488" s="225" t="n"/>
      <c r="I488" s="225" t="n"/>
      <c r="J488" s="108" t="n"/>
      <c r="K488" s="108" t="n"/>
      <c r="L488" s="109" t="n"/>
      <c r="M488" s="109" t="n"/>
      <c r="N488" s="109" t="n"/>
      <c r="O488" s="225" t="n"/>
      <c r="P488" s="232">
        <f>IF(OR($E488="",$I488=""),"",IF(OR($J488="Tamamlandı",$J488="İptal"),"",$I488-TODAY()))</f>
        <v/>
      </c>
      <c r="Q488" s="113">
        <f>IF($E488="","",IF($D488="TANIMSIZ MÜŞTERİ","HATA",IF(OR($J488="Tamamlandı",$J488="İptal"),"KAPALI",IF(AND($C488="Görüşme",$N488=""),"SONRAKİ İŞLEM EKSİK",IF($I488="","TARİH EKSİK",IF($I488&lt;TODAY(),"GECİKMİŞ",IF($I488=TODAY(),"BUGÜN",IF($I488&lt;=TODAY()+7,"7 GÜN İÇİNDE","PLANLI"))))))))</f>
        <v/>
      </c>
      <c r="R488" s="6" t="n"/>
      <c r="S488" s="6" t="n"/>
    </row>
    <row r="489">
      <c r="A489" s="6" t="n"/>
      <c r="B489" s="113">
        <f>IF($E489="","","A"&amp;TEXT(ROW()-6,"00000"))</f>
        <v/>
      </c>
      <c r="C489" s="108" t="n"/>
      <c r="D489" s="113">
        <f>IF($E489="","",IFERROR(INDEX(MUSTERILER!$B$7:$B$106,MATCH($E489,MUSTERILER!$C$7:$C$106,0)),IFERROR(INDEX(MUSTERILER!$B$7:$B$106,MATCH($E489,MUSTERILER!$B$7:$B$106,0)),IFERROR(INDEX(MUSTERILER!$B$7:$B$106,MATCH($E489&amp;"*",MUSTERILER!$C$7:$C$106,0)),"TANIMSIZ MÜŞTERİ"))))</f>
        <v/>
      </c>
      <c r="E489" s="109" t="n"/>
      <c r="F489" s="109" t="n"/>
      <c r="G489" s="108" t="n"/>
      <c r="H489" s="225" t="n"/>
      <c r="I489" s="225" t="n"/>
      <c r="J489" s="108" t="n"/>
      <c r="K489" s="108" t="n"/>
      <c r="L489" s="109" t="n"/>
      <c r="M489" s="109" t="n"/>
      <c r="N489" s="109" t="n"/>
      <c r="O489" s="225" t="n"/>
      <c r="P489" s="232">
        <f>IF(OR($E489="",$I489=""),"",IF(OR($J489="Tamamlandı",$J489="İptal"),"",$I489-TODAY()))</f>
        <v/>
      </c>
      <c r="Q489" s="113">
        <f>IF($E489="","",IF($D489="TANIMSIZ MÜŞTERİ","HATA",IF(OR($J489="Tamamlandı",$J489="İptal"),"KAPALI",IF(AND($C489="Görüşme",$N489=""),"SONRAKİ İŞLEM EKSİK",IF($I489="","TARİH EKSİK",IF($I489&lt;TODAY(),"GECİKMİŞ",IF($I489=TODAY(),"BUGÜN",IF($I489&lt;=TODAY()+7,"7 GÜN İÇİNDE","PLANLI"))))))))</f>
        <v/>
      </c>
      <c r="R489" s="6" t="n"/>
      <c r="S489" s="6" t="n"/>
    </row>
    <row r="490">
      <c r="A490" s="6" t="n"/>
      <c r="B490" s="113">
        <f>IF($E490="","","A"&amp;TEXT(ROW()-6,"00000"))</f>
        <v/>
      </c>
      <c r="C490" s="108" t="n"/>
      <c r="D490" s="113">
        <f>IF($E490="","",IFERROR(INDEX(MUSTERILER!$B$7:$B$106,MATCH($E490,MUSTERILER!$C$7:$C$106,0)),IFERROR(INDEX(MUSTERILER!$B$7:$B$106,MATCH($E490,MUSTERILER!$B$7:$B$106,0)),IFERROR(INDEX(MUSTERILER!$B$7:$B$106,MATCH($E490&amp;"*",MUSTERILER!$C$7:$C$106,0)),"TANIMSIZ MÜŞTERİ"))))</f>
        <v/>
      </c>
      <c r="E490" s="109" t="n"/>
      <c r="F490" s="109" t="n"/>
      <c r="G490" s="108" t="n"/>
      <c r="H490" s="225" t="n"/>
      <c r="I490" s="225" t="n"/>
      <c r="J490" s="108" t="n"/>
      <c r="K490" s="108" t="n"/>
      <c r="L490" s="109" t="n"/>
      <c r="M490" s="109" t="n"/>
      <c r="N490" s="109" t="n"/>
      <c r="O490" s="225" t="n"/>
      <c r="P490" s="232">
        <f>IF(OR($E490="",$I490=""),"",IF(OR($J490="Tamamlandı",$J490="İptal"),"",$I490-TODAY()))</f>
        <v/>
      </c>
      <c r="Q490" s="113">
        <f>IF($E490="","",IF($D490="TANIMSIZ MÜŞTERİ","HATA",IF(OR($J490="Tamamlandı",$J490="İptal"),"KAPALI",IF(AND($C490="Görüşme",$N490=""),"SONRAKİ İŞLEM EKSİK",IF($I490="","TARİH EKSİK",IF($I490&lt;TODAY(),"GECİKMİŞ",IF($I490=TODAY(),"BUGÜN",IF($I490&lt;=TODAY()+7,"7 GÜN İÇİNDE","PLANLI"))))))))</f>
        <v/>
      </c>
      <c r="R490" s="6" t="n"/>
      <c r="S490" s="6" t="n"/>
    </row>
    <row r="491">
      <c r="A491" s="6" t="n"/>
      <c r="B491" s="113">
        <f>IF($E491="","","A"&amp;TEXT(ROW()-6,"00000"))</f>
        <v/>
      </c>
      <c r="C491" s="108" t="n"/>
      <c r="D491" s="113">
        <f>IF($E491="","",IFERROR(INDEX(MUSTERILER!$B$7:$B$106,MATCH($E491,MUSTERILER!$C$7:$C$106,0)),IFERROR(INDEX(MUSTERILER!$B$7:$B$106,MATCH($E491,MUSTERILER!$B$7:$B$106,0)),IFERROR(INDEX(MUSTERILER!$B$7:$B$106,MATCH($E491&amp;"*",MUSTERILER!$C$7:$C$106,0)),"TANIMSIZ MÜŞTERİ"))))</f>
        <v/>
      </c>
      <c r="E491" s="109" t="n"/>
      <c r="F491" s="109" t="n"/>
      <c r="G491" s="108" t="n"/>
      <c r="H491" s="225" t="n"/>
      <c r="I491" s="225" t="n"/>
      <c r="J491" s="108" t="n"/>
      <c r="K491" s="108" t="n"/>
      <c r="L491" s="109" t="n"/>
      <c r="M491" s="109" t="n"/>
      <c r="N491" s="109" t="n"/>
      <c r="O491" s="225" t="n"/>
      <c r="P491" s="232">
        <f>IF(OR($E491="",$I491=""),"",IF(OR($J491="Tamamlandı",$J491="İptal"),"",$I491-TODAY()))</f>
        <v/>
      </c>
      <c r="Q491" s="113">
        <f>IF($E491="","",IF($D491="TANIMSIZ MÜŞTERİ","HATA",IF(OR($J491="Tamamlandı",$J491="İptal"),"KAPALI",IF(AND($C491="Görüşme",$N491=""),"SONRAKİ İŞLEM EKSİK",IF($I491="","TARİH EKSİK",IF($I491&lt;TODAY(),"GECİKMİŞ",IF($I491=TODAY(),"BUGÜN",IF($I491&lt;=TODAY()+7,"7 GÜN İÇİNDE","PLANLI"))))))))</f>
        <v/>
      </c>
      <c r="R491" s="6" t="n"/>
      <c r="S491" s="6" t="n"/>
    </row>
    <row r="492">
      <c r="A492" s="6" t="n"/>
      <c r="B492" s="113">
        <f>IF($E492="","","A"&amp;TEXT(ROW()-6,"00000"))</f>
        <v/>
      </c>
      <c r="C492" s="108" t="n"/>
      <c r="D492" s="113">
        <f>IF($E492="","",IFERROR(INDEX(MUSTERILER!$B$7:$B$106,MATCH($E492,MUSTERILER!$C$7:$C$106,0)),IFERROR(INDEX(MUSTERILER!$B$7:$B$106,MATCH($E492,MUSTERILER!$B$7:$B$106,0)),IFERROR(INDEX(MUSTERILER!$B$7:$B$106,MATCH($E492&amp;"*",MUSTERILER!$C$7:$C$106,0)),"TANIMSIZ MÜŞTERİ"))))</f>
        <v/>
      </c>
      <c r="E492" s="109" t="n"/>
      <c r="F492" s="109" t="n"/>
      <c r="G492" s="108" t="n"/>
      <c r="H492" s="225" t="n"/>
      <c r="I492" s="225" t="n"/>
      <c r="J492" s="108" t="n"/>
      <c r="K492" s="108" t="n"/>
      <c r="L492" s="109" t="n"/>
      <c r="M492" s="109" t="n"/>
      <c r="N492" s="109" t="n"/>
      <c r="O492" s="225" t="n"/>
      <c r="P492" s="232">
        <f>IF(OR($E492="",$I492=""),"",IF(OR($J492="Tamamlandı",$J492="İptal"),"",$I492-TODAY()))</f>
        <v/>
      </c>
      <c r="Q492" s="113">
        <f>IF($E492="","",IF($D492="TANIMSIZ MÜŞTERİ","HATA",IF(OR($J492="Tamamlandı",$J492="İptal"),"KAPALI",IF(AND($C492="Görüşme",$N492=""),"SONRAKİ İŞLEM EKSİK",IF($I492="","TARİH EKSİK",IF($I492&lt;TODAY(),"GECİKMİŞ",IF($I492=TODAY(),"BUGÜN",IF($I492&lt;=TODAY()+7,"7 GÜN İÇİNDE","PLANLI"))))))))</f>
        <v/>
      </c>
      <c r="R492" s="6" t="n"/>
      <c r="S492" s="6" t="n"/>
    </row>
    <row r="493">
      <c r="A493" s="6" t="n"/>
      <c r="B493" s="113">
        <f>IF($E493="","","A"&amp;TEXT(ROW()-6,"00000"))</f>
        <v/>
      </c>
      <c r="C493" s="108" t="n"/>
      <c r="D493" s="113">
        <f>IF($E493="","",IFERROR(INDEX(MUSTERILER!$B$7:$B$106,MATCH($E493,MUSTERILER!$C$7:$C$106,0)),IFERROR(INDEX(MUSTERILER!$B$7:$B$106,MATCH($E493,MUSTERILER!$B$7:$B$106,0)),IFERROR(INDEX(MUSTERILER!$B$7:$B$106,MATCH($E493&amp;"*",MUSTERILER!$C$7:$C$106,0)),"TANIMSIZ MÜŞTERİ"))))</f>
        <v/>
      </c>
      <c r="E493" s="109" t="n"/>
      <c r="F493" s="109" t="n"/>
      <c r="G493" s="108" t="n"/>
      <c r="H493" s="225" t="n"/>
      <c r="I493" s="225" t="n"/>
      <c r="J493" s="108" t="n"/>
      <c r="K493" s="108" t="n"/>
      <c r="L493" s="109" t="n"/>
      <c r="M493" s="109" t="n"/>
      <c r="N493" s="109" t="n"/>
      <c r="O493" s="225" t="n"/>
      <c r="P493" s="232">
        <f>IF(OR($E493="",$I493=""),"",IF(OR($J493="Tamamlandı",$J493="İptal"),"",$I493-TODAY()))</f>
        <v/>
      </c>
      <c r="Q493" s="113">
        <f>IF($E493="","",IF($D493="TANIMSIZ MÜŞTERİ","HATA",IF(OR($J493="Tamamlandı",$J493="İptal"),"KAPALI",IF(AND($C493="Görüşme",$N493=""),"SONRAKİ İŞLEM EKSİK",IF($I493="","TARİH EKSİK",IF($I493&lt;TODAY(),"GECİKMİŞ",IF($I493=TODAY(),"BUGÜN",IF($I493&lt;=TODAY()+7,"7 GÜN İÇİNDE","PLANLI"))))))))</f>
        <v/>
      </c>
      <c r="R493" s="6" t="n"/>
      <c r="S493" s="6" t="n"/>
    </row>
    <row r="494">
      <c r="A494" s="6" t="n"/>
      <c r="B494" s="113">
        <f>IF($E494="","","A"&amp;TEXT(ROW()-6,"00000"))</f>
        <v/>
      </c>
      <c r="C494" s="108" t="n"/>
      <c r="D494" s="113">
        <f>IF($E494="","",IFERROR(INDEX(MUSTERILER!$B$7:$B$106,MATCH($E494,MUSTERILER!$C$7:$C$106,0)),IFERROR(INDEX(MUSTERILER!$B$7:$B$106,MATCH($E494,MUSTERILER!$B$7:$B$106,0)),IFERROR(INDEX(MUSTERILER!$B$7:$B$106,MATCH($E494&amp;"*",MUSTERILER!$C$7:$C$106,0)),"TANIMSIZ MÜŞTERİ"))))</f>
        <v/>
      </c>
      <c r="E494" s="109" t="n"/>
      <c r="F494" s="109" t="n"/>
      <c r="G494" s="108" t="n"/>
      <c r="H494" s="225" t="n"/>
      <c r="I494" s="225" t="n"/>
      <c r="J494" s="108" t="n"/>
      <c r="K494" s="108" t="n"/>
      <c r="L494" s="109" t="n"/>
      <c r="M494" s="109" t="n"/>
      <c r="N494" s="109" t="n"/>
      <c r="O494" s="225" t="n"/>
      <c r="P494" s="232">
        <f>IF(OR($E494="",$I494=""),"",IF(OR($J494="Tamamlandı",$J494="İptal"),"",$I494-TODAY()))</f>
        <v/>
      </c>
      <c r="Q494" s="113">
        <f>IF($E494="","",IF($D494="TANIMSIZ MÜŞTERİ","HATA",IF(OR($J494="Tamamlandı",$J494="İptal"),"KAPALI",IF(AND($C494="Görüşme",$N494=""),"SONRAKİ İŞLEM EKSİK",IF($I494="","TARİH EKSİK",IF($I494&lt;TODAY(),"GECİKMİŞ",IF($I494=TODAY(),"BUGÜN",IF($I494&lt;=TODAY()+7,"7 GÜN İÇİNDE","PLANLI"))))))))</f>
        <v/>
      </c>
      <c r="R494" s="6" t="n"/>
      <c r="S494" s="6" t="n"/>
    </row>
    <row r="495">
      <c r="A495" s="6" t="n"/>
      <c r="B495" s="113">
        <f>IF($E495="","","A"&amp;TEXT(ROW()-6,"00000"))</f>
        <v/>
      </c>
      <c r="C495" s="108" t="n"/>
      <c r="D495" s="113">
        <f>IF($E495="","",IFERROR(INDEX(MUSTERILER!$B$7:$B$106,MATCH($E495,MUSTERILER!$C$7:$C$106,0)),IFERROR(INDEX(MUSTERILER!$B$7:$B$106,MATCH($E495,MUSTERILER!$B$7:$B$106,0)),IFERROR(INDEX(MUSTERILER!$B$7:$B$106,MATCH($E495&amp;"*",MUSTERILER!$C$7:$C$106,0)),"TANIMSIZ MÜŞTERİ"))))</f>
        <v/>
      </c>
      <c r="E495" s="109" t="n"/>
      <c r="F495" s="109" t="n"/>
      <c r="G495" s="108" t="n"/>
      <c r="H495" s="225" t="n"/>
      <c r="I495" s="225" t="n"/>
      <c r="J495" s="108" t="n"/>
      <c r="K495" s="108" t="n"/>
      <c r="L495" s="109" t="n"/>
      <c r="M495" s="109" t="n"/>
      <c r="N495" s="109" t="n"/>
      <c r="O495" s="225" t="n"/>
      <c r="P495" s="232">
        <f>IF(OR($E495="",$I495=""),"",IF(OR($J495="Tamamlandı",$J495="İptal"),"",$I495-TODAY()))</f>
        <v/>
      </c>
      <c r="Q495" s="113">
        <f>IF($E495="","",IF($D495="TANIMSIZ MÜŞTERİ","HATA",IF(OR($J495="Tamamlandı",$J495="İptal"),"KAPALI",IF(AND($C495="Görüşme",$N495=""),"SONRAKİ İŞLEM EKSİK",IF($I495="","TARİH EKSİK",IF($I495&lt;TODAY(),"GECİKMİŞ",IF($I495=TODAY(),"BUGÜN",IF($I495&lt;=TODAY()+7,"7 GÜN İÇİNDE","PLANLI"))))))))</f>
        <v/>
      </c>
      <c r="R495" s="6" t="n"/>
      <c r="S495" s="6" t="n"/>
    </row>
    <row r="496">
      <c r="A496" s="6" t="n"/>
      <c r="B496" s="113">
        <f>IF($E496="","","A"&amp;TEXT(ROW()-6,"00000"))</f>
        <v/>
      </c>
      <c r="C496" s="108" t="n"/>
      <c r="D496" s="113">
        <f>IF($E496="","",IFERROR(INDEX(MUSTERILER!$B$7:$B$106,MATCH($E496,MUSTERILER!$C$7:$C$106,0)),IFERROR(INDEX(MUSTERILER!$B$7:$B$106,MATCH($E496,MUSTERILER!$B$7:$B$106,0)),IFERROR(INDEX(MUSTERILER!$B$7:$B$106,MATCH($E496&amp;"*",MUSTERILER!$C$7:$C$106,0)),"TANIMSIZ MÜŞTERİ"))))</f>
        <v/>
      </c>
      <c r="E496" s="109" t="n"/>
      <c r="F496" s="109" t="n"/>
      <c r="G496" s="108" t="n"/>
      <c r="H496" s="225" t="n"/>
      <c r="I496" s="225" t="n"/>
      <c r="J496" s="108" t="n"/>
      <c r="K496" s="108" t="n"/>
      <c r="L496" s="109" t="n"/>
      <c r="M496" s="109" t="n"/>
      <c r="N496" s="109" t="n"/>
      <c r="O496" s="225" t="n"/>
      <c r="P496" s="232">
        <f>IF(OR($E496="",$I496=""),"",IF(OR($J496="Tamamlandı",$J496="İptal"),"",$I496-TODAY()))</f>
        <v/>
      </c>
      <c r="Q496" s="113">
        <f>IF($E496="","",IF($D496="TANIMSIZ MÜŞTERİ","HATA",IF(OR($J496="Tamamlandı",$J496="İptal"),"KAPALI",IF(AND($C496="Görüşme",$N496=""),"SONRAKİ İŞLEM EKSİK",IF($I496="","TARİH EKSİK",IF($I496&lt;TODAY(),"GECİKMİŞ",IF($I496=TODAY(),"BUGÜN",IF($I496&lt;=TODAY()+7,"7 GÜN İÇİNDE","PLANLI"))))))))</f>
        <v/>
      </c>
      <c r="R496" s="6" t="n"/>
      <c r="S496" s="6" t="n"/>
    </row>
    <row r="497">
      <c r="A497" s="6" t="n"/>
      <c r="B497" s="113">
        <f>IF($E497="","","A"&amp;TEXT(ROW()-6,"00000"))</f>
        <v/>
      </c>
      <c r="C497" s="108" t="n"/>
      <c r="D497" s="113">
        <f>IF($E497="","",IFERROR(INDEX(MUSTERILER!$B$7:$B$106,MATCH($E497,MUSTERILER!$C$7:$C$106,0)),IFERROR(INDEX(MUSTERILER!$B$7:$B$106,MATCH($E497,MUSTERILER!$B$7:$B$106,0)),IFERROR(INDEX(MUSTERILER!$B$7:$B$106,MATCH($E497&amp;"*",MUSTERILER!$C$7:$C$106,0)),"TANIMSIZ MÜŞTERİ"))))</f>
        <v/>
      </c>
      <c r="E497" s="109" t="n"/>
      <c r="F497" s="109" t="n"/>
      <c r="G497" s="108" t="n"/>
      <c r="H497" s="225" t="n"/>
      <c r="I497" s="225" t="n"/>
      <c r="J497" s="108" t="n"/>
      <c r="K497" s="108" t="n"/>
      <c r="L497" s="109" t="n"/>
      <c r="M497" s="109" t="n"/>
      <c r="N497" s="109" t="n"/>
      <c r="O497" s="225" t="n"/>
      <c r="P497" s="232">
        <f>IF(OR($E497="",$I497=""),"",IF(OR($J497="Tamamlandı",$J497="İptal"),"",$I497-TODAY()))</f>
        <v/>
      </c>
      <c r="Q497" s="113">
        <f>IF($E497="","",IF($D497="TANIMSIZ MÜŞTERİ","HATA",IF(OR($J497="Tamamlandı",$J497="İptal"),"KAPALI",IF(AND($C497="Görüşme",$N497=""),"SONRAKİ İŞLEM EKSİK",IF($I497="","TARİH EKSİK",IF($I497&lt;TODAY(),"GECİKMİŞ",IF($I497=TODAY(),"BUGÜN",IF($I497&lt;=TODAY()+7,"7 GÜN İÇİNDE","PLANLI"))))))))</f>
        <v/>
      </c>
      <c r="R497" s="6" t="n"/>
      <c r="S497" s="6" t="n"/>
    </row>
    <row r="498">
      <c r="A498" s="6" t="n"/>
      <c r="B498" s="113">
        <f>IF($E498="","","A"&amp;TEXT(ROW()-6,"00000"))</f>
        <v/>
      </c>
      <c r="C498" s="108" t="n"/>
      <c r="D498" s="113">
        <f>IF($E498="","",IFERROR(INDEX(MUSTERILER!$B$7:$B$106,MATCH($E498,MUSTERILER!$C$7:$C$106,0)),IFERROR(INDEX(MUSTERILER!$B$7:$B$106,MATCH($E498,MUSTERILER!$B$7:$B$106,0)),IFERROR(INDEX(MUSTERILER!$B$7:$B$106,MATCH($E498&amp;"*",MUSTERILER!$C$7:$C$106,0)),"TANIMSIZ MÜŞTERİ"))))</f>
        <v/>
      </c>
      <c r="E498" s="109" t="n"/>
      <c r="F498" s="109" t="n"/>
      <c r="G498" s="108" t="n"/>
      <c r="H498" s="225" t="n"/>
      <c r="I498" s="225" t="n"/>
      <c r="J498" s="108" t="n"/>
      <c r="K498" s="108" t="n"/>
      <c r="L498" s="109" t="n"/>
      <c r="M498" s="109" t="n"/>
      <c r="N498" s="109" t="n"/>
      <c r="O498" s="225" t="n"/>
      <c r="P498" s="232">
        <f>IF(OR($E498="",$I498=""),"",IF(OR($J498="Tamamlandı",$J498="İptal"),"",$I498-TODAY()))</f>
        <v/>
      </c>
      <c r="Q498" s="113">
        <f>IF($E498="","",IF($D498="TANIMSIZ MÜŞTERİ","HATA",IF(OR($J498="Tamamlandı",$J498="İptal"),"KAPALI",IF(AND($C498="Görüşme",$N498=""),"SONRAKİ İŞLEM EKSİK",IF($I498="","TARİH EKSİK",IF($I498&lt;TODAY(),"GECİKMİŞ",IF($I498=TODAY(),"BUGÜN",IF($I498&lt;=TODAY()+7,"7 GÜN İÇİNDE","PLANLI"))))))))</f>
        <v/>
      </c>
      <c r="R498" s="6" t="n"/>
      <c r="S498" s="6" t="n"/>
    </row>
    <row r="499">
      <c r="A499" s="6" t="n"/>
      <c r="B499" s="113">
        <f>IF($E499="","","A"&amp;TEXT(ROW()-6,"00000"))</f>
        <v/>
      </c>
      <c r="C499" s="108" t="n"/>
      <c r="D499" s="113">
        <f>IF($E499="","",IFERROR(INDEX(MUSTERILER!$B$7:$B$106,MATCH($E499,MUSTERILER!$C$7:$C$106,0)),IFERROR(INDEX(MUSTERILER!$B$7:$B$106,MATCH($E499,MUSTERILER!$B$7:$B$106,0)),IFERROR(INDEX(MUSTERILER!$B$7:$B$106,MATCH($E499&amp;"*",MUSTERILER!$C$7:$C$106,0)),"TANIMSIZ MÜŞTERİ"))))</f>
        <v/>
      </c>
      <c r="E499" s="109" t="n"/>
      <c r="F499" s="109" t="n"/>
      <c r="G499" s="108" t="n"/>
      <c r="H499" s="225" t="n"/>
      <c r="I499" s="225" t="n"/>
      <c r="J499" s="108" t="n"/>
      <c r="K499" s="108" t="n"/>
      <c r="L499" s="109" t="n"/>
      <c r="M499" s="109" t="n"/>
      <c r="N499" s="109" t="n"/>
      <c r="O499" s="225" t="n"/>
      <c r="P499" s="232">
        <f>IF(OR($E499="",$I499=""),"",IF(OR($J499="Tamamlandı",$J499="İptal"),"",$I499-TODAY()))</f>
        <v/>
      </c>
      <c r="Q499" s="113">
        <f>IF($E499="","",IF($D499="TANIMSIZ MÜŞTERİ","HATA",IF(OR($J499="Tamamlandı",$J499="İptal"),"KAPALI",IF(AND($C499="Görüşme",$N499=""),"SONRAKİ İŞLEM EKSİK",IF($I499="","TARİH EKSİK",IF($I499&lt;TODAY(),"GECİKMİŞ",IF($I499=TODAY(),"BUGÜN",IF($I499&lt;=TODAY()+7,"7 GÜN İÇİNDE","PLANLI"))))))))</f>
        <v/>
      </c>
      <c r="R499" s="6" t="n"/>
      <c r="S499" s="6" t="n"/>
    </row>
    <row r="500">
      <c r="A500" s="6" t="n"/>
      <c r="B500" s="113">
        <f>IF($E500="","","A"&amp;TEXT(ROW()-6,"00000"))</f>
        <v/>
      </c>
      <c r="C500" s="108" t="n"/>
      <c r="D500" s="113">
        <f>IF($E500="","",IFERROR(INDEX(MUSTERILER!$B$7:$B$106,MATCH($E500,MUSTERILER!$C$7:$C$106,0)),IFERROR(INDEX(MUSTERILER!$B$7:$B$106,MATCH($E500,MUSTERILER!$B$7:$B$106,0)),IFERROR(INDEX(MUSTERILER!$B$7:$B$106,MATCH($E500&amp;"*",MUSTERILER!$C$7:$C$106,0)),"TANIMSIZ MÜŞTERİ"))))</f>
        <v/>
      </c>
      <c r="E500" s="109" t="n"/>
      <c r="F500" s="109" t="n"/>
      <c r="G500" s="108" t="n"/>
      <c r="H500" s="225" t="n"/>
      <c r="I500" s="225" t="n"/>
      <c r="J500" s="108" t="n"/>
      <c r="K500" s="108" t="n"/>
      <c r="L500" s="109" t="n"/>
      <c r="M500" s="109" t="n"/>
      <c r="N500" s="109" t="n"/>
      <c r="O500" s="225" t="n"/>
      <c r="P500" s="232">
        <f>IF(OR($E500="",$I500=""),"",IF(OR($J500="Tamamlandı",$J500="İptal"),"",$I500-TODAY()))</f>
        <v/>
      </c>
      <c r="Q500" s="113">
        <f>IF($E500="","",IF($D500="TANIMSIZ MÜŞTERİ","HATA",IF(OR($J500="Tamamlandı",$J500="İptal"),"KAPALI",IF(AND($C500="Görüşme",$N500=""),"SONRAKİ İŞLEM EKSİK",IF($I500="","TARİH EKSİK",IF($I500&lt;TODAY(),"GECİKMİŞ",IF($I500=TODAY(),"BUGÜN",IF($I500&lt;=TODAY()+7,"7 GÜN İÇİNDE","PLANLI"))))))))</f>
        <v/>
      </c>
      <c r="R500" s="6" t="n"/>
      <c r="S500" s="6" t="n"/>
    </row>
    <row r="501">
      <c r="A501" s="6" t="n"/>
      <c r="B501" s="113">
        <f>IF($E501="","","A"&amp;TEXT(ROW()-6,"00000"))</f>
        <v/>
      </c>
      <c r="C501" s="108" t="n"/>
      <c r="D501" s="113">
        <f>IF($E501="","",IFERROR(INDEX(MUSTERILER!$B$7:$B$106,MATCH($E501,MUSTERILER!$C$7:$C$106,0)),IFERROR(INDEX(MUSTERILER!$B$7:$B$106,MATCH($E501,MUSTERILER!$B$7:$B$106,0)),IFERROR(INDEX(MUSTERILER!$B$7:$B$106,MATCH($E501&amp;"*",MUSTERILER!$C$7:$C$106,0)),"TANIMSIZ MÜŞTERİ"))))</f>
        <v/>
      </c>
      <c r="E501" s="109" t="n"/>
      <c r="F501" s="109" t="n"/>
      <c r="G501" s="108" t="n"/>
      <c r="H501" s="225" t="n"/>
      <c r="I501" s="225" t="n"/>
      <c r="J501" s="108" t="n"/>
      <c r="K501" s="108" t="n"/>
      <c r="L501" s="109" t="n"/>
      <c r="M501" s="109" t="n"/>
      <c r="N501" s="109" t="n"/>
      <c r="O501" s="225" t="n"/>
      <c r="P501" s="232">
        <f>IF(OR($E501="",$I501=""),"",IF(OR($J501="Tamamlandı",$J501="İptal"),"",$I501-TODAY()))</f>
        <v/>
      </c>
      <c r="Q501" s="113">
        <f>IF($E501="","",IF($D501="TANIMSIZ MÜŞTERİ","HATA",IF(OR($J501="Tamamlandı",$J501="İptal"),"KAPALI",IF(AND($C501="Görüşme",$N501=""),"SONRAKİ İŞLEM EKSİK",IF($I501="","TARİH EKSİK",IF($I501&lt;TODAY(),"GECİKMİŞ",IF($I501=TODAY(),"BUGÜN",IF($I501&lt;=TODAY()+7,"7 GÜN İÇİNDE","PLANLI"))))))))</f>
        <v/>
      </c>
      <c r="R501" s="6" t="n"/>
      <c r="S501" s="6" t="n"/>
    </row>
    <row r="502">
      <c r="A502" s="6" t="n"/>
      <c r="B502" s="113">
        <f>IF($E502="","","A"&amp;TEXT(ROW()-6,"00000"))</f>
        <v/>
      </c>
      <c r="C502" s="108" t="n"/>
      <c r="D502" s="113">
        <f>IF($E502="","",IFERROR(INDEX(MUSTERILER!$B$7:$B$106,MATCH($E502,MUSTERILER!$C$7:$C$106,0)),IFERROR(INDEX(MUSTERILER!$B$7:$B$106,MATCH($E502,MUSTERILER!$B$7:$B$106,0)),IFERROR(INDEX(MUSTERILER!$B$7:$B$106,MATCH($E502&amp;"*",MUSTERILER!$C$7:$C$106,0)),"TANIMSIZ MÜŞTERİ"))))</f>
        <v/>
      </c>
      <c r="E502" s="109" t="n"/>
      <c r="F502" s="109" t="n"/>
      <c r="G502" s="108" t="n"/>
      <c r="H502" s="225" t="n"/>
      <c r="I502" s="225" t="n"/>
      <c r="J502" s="108" t="n"/>
      <c r="K502" s="108" t="n"/>
      <c r="L502" s="109" t="n"/>
      <c r="M502" s="109" t="n"/>
      <c r="N502" s="109" t="n"/>
      <c r="O502" s="225" t="n"/>
      <c r="P502" s="232">
        <f>IF(OR($E502="",$I502=""),"",IF(OR($J502="Tamamlandı",$J502="İptal"),"",$I502-TODAY()))</f>
        <v/>
      </c>
      <c r="Q502" s="113">
        <f>IF($E502="","",IF($D502="TANIMSIZ MÜŞTERİ","HATA",IF(OR($J502="Tamamlandı",$J502="İptal"),"KAPALI",IF(AND($C502="Görüşme",$N502=""),"SONRAKİ İŞLEM EKSİK",IF($I502="","TARİH EKSİK",IF($I502&lt;TODAY(),"GECİKMİŞ",IF($I502=TODAY(),"BUGÜN",IF($I502&lt;=TODAY()+7,"7 GÜN İÇİNDE","PLANLI"))))))))</f>
        <v/>
      </c>
      <c r="R502" s="6" t="n"/>
      <c r="S502" s="6" t="n"/>
    </row>
    <row r="503">
      <c r="A503" s="6" t="n"/>
      <c r="B503" s="113">
        <f>IF($E503="","","A"&amp;TEXT(ROW()-6,"00000"))</f>
        <v/>
      </c>
      <c r="C503" s="108" t="n"/>
      <c r="D503" s="113">
        <f>IF($E503="","",IFERROR(INDEX(MUSTERILER!$B$7:$B$106,MATCH($E503,MUSTERILER!$C$7:$C$106,0)),IFERROR(INDEX(MUSTERILER!$B$7:$B$106,MATCH($E503,MUSTERILER!$B$7:$B$106,0)),IFERROR(INDEX(MUSTERILER!$B$7:$B$106,MATCH($E503&amp;"*",MUSTERILER!$C$7:$C$106,0)),"TANIMSIZ MÜŞTERİ"))))</f>
        <v/>
      </c>
      <c r="E503" s="109" t="n"/>
      <c r="F503" s="109" t="n"/>
      <c r="G503" s="108" t="n"/>
      <c r="H503" s="225" t="n"/>
      <c r="I503" s="225" t="n"/>
      <c r="J503" s="108" t="n"/>
      <c r="K503" s="108" t="n"/>
      <c r="L503" s="109" t="n"/>
      <c r="M503" s="109" t="n"/>
      <c r="N503" s="109" t="n"/>
      <c r="O503" s="225" t="n"/>
      <c r="P503" s="232">
        <f>IF(OR($E503="",$I503=""),"",IF(OR($J503="Tamamlandı",$J503="İptal"),"",$I503-TODAY()))</f>
        <v/>
      </c>
      <c r="Q503" s="113">
        <f>IF($E503="","",IF($D503="TANIMSIZ MÜŞTERİ","HATA",IF(OR($J503="Tamamlandı",$J503="İptal"),"KAPALI",IF(AND($C503="Görüşme",$N503=""),"SONRAKİ İŞLEM EKSİK",IF($I503="","TARİH EKSİK",IF($I503&lt;TODAY(),"GECİKMİŞ",IF($I503=TODAY(),"BUGÜN",IF($I503&lt;=TODAY()+7,"7 GÜN İÇİNDE","PLANLI"))))))))</f>
        <v/>
      </c>
      <c r="R503" s="6" t="n"/>
      <c r="S503" s="6" t="n"/>
    </row>
    <row r="504">
      <c r="A504" s="6" t="n"/>
      <c r="B504" s="113">
        <f>IF($E504="","","A"&amp;TEXT(ROW()-6,"00000"))</f>
        <v/>
      </c>
      <c r="C504" s="108" t="n"/>
      <c r="D504" s="113">
        <f>IF($E504="","",IFERROR(INDEX(MUSTERILER!$B$7:$B$106,MATCH($E504,MUSTERILER!$C$7:$C$106,0)),IFERROR(INDEX(MUSTERILER!$B$7:$B$106,MATCH($E504,MUSTERILER!$B$7:$B$106,0)),IFERROR(INDEX(MUSTERILER!$B$7:$B$106,MATCH($E504&amp;"*",MUSTERILER!$C$7:$C$106,0)),"TANIMSIZ MÜŞTERİ"))))</f>
        <v/>
      </c>
      <c r="E504" s="109" t="n"/>
      <c r="F504" s="109" t="n"/>
      <c r="G504" s="108" t="n"/>
      <c r="H504" s="225" t="n"/>
      <c r="I504" s="225" t="n"/>
      <c r="J504" s="108" t="n"/>
      <c r="K504" s="108" t="n"/>
      <c r="L504" s="109" t="n"/>
      <c r="M504" s="109" t="n"/>
      <c r="N504" s="109" t="n"/>
      <c r="O504" s="225" t="n"/>
      <c r="P504" s="232">
        <f>IF(OR($E504="",$I504=""),"",IF(OR($J504="Tamamlandı",$J504="İptal"),"",$I504-TODAY()))</f>
        <v/>
      </c>
      <c r="Q504" s="113">
        <f>IF($E504="","",IF($D504="TANIMSIZ MÜŞTERİ","HATA",IF(OR($J504="Tamamlandı",$J504="İptal"),"KAPALI",IF(AND($C504="Görüşme",$N504=""),"SONRAKİ İŞLEM EKSİK",IF($I504="","TARİH EKSİK",IF($I504&lt;TODAY(),"GECİKMİŞ",IF($I504=TODAY(),"BUGÜN",IF($I504&lt;=TODAY()+7,"7 GÜN İÇİNDE","PLANLI"))))))))</f>
        <v/>
      </c>
      <c r="R504" s="6" t="n"/>
      <c r="S504" s="6" t="n"/>
    </row>
    <row r="505">
      <c r="A505" s="6" t="n"/>
      <c r="B505" s="113">
        <f>IF($E505="","","A"&amp;TEXT(ROW()-6,"00000"))</f>
        <v/>
      </c>
      <c r="C505" s="108" t="n"/>
      <c r="D505" s="113">
        <f>IF($E505="","",IFERROR(INDEX(MUSTERILER!$B$7:$B$106,MATCH($E505,MUSTERILER!$C$7:$C$106,0)),IFERROR(INDEX(MUSTERILER!$B$7:$B$106,MATCH($E505,MUSTERILER!$B$7:$B$106,0)),IFERROR(INDEX(MUSTERILER!$B$7:$B$106,MATCH($E505&amp;"*",MUSTERILER!$C$7:$C$106,0)),"TANIMSIZ MÜŞTERİ"))))</f>
        <v/>
      </c>
      <c r="E505" s="109" t="n"/>
      <c r="F505" s="109" t="n"/>
      <c r="G505" s="108" t="n"/>
      <c r="H505" s="225" t="n"/>
      <c r="I505" s="225" t="n"/>
      <c r="J505" s="108" t="n"/>
      <c r="K505" s="108" t="n"/>
      <c r="L505" s="109" t="n"/>
      <c r="M505" s="109" t="n"/>
      <c r="N505" s="109" t="n"/>
      <c r="O505" s="225" t="n"/>
      <c r="P505" s="232">
        <f>IF(OR($E505="",$I505=""),"",IF(OR($J505="Tamamlandı",$J505="İptal"),"",$I505-TODAY()))</f>
        <v/>
      </c>
      <c r="Q505" s="113">
        <f>IF($E505="","",IF($D505="TANIMSIZ MÜŞTERİ","HATA",IF(OR($J505="Tamamlandı",$J505="İptal"),"KAPALI",IF(AND($C505="Görüşme",$N505=""),"SONRAKİ İŞLEM EKSİK",IF($I505="","TARİH EKSİK",IF($I505&lt;TODAY(),"GECİKMİŞ",IF($I505=TODAY(),"BUGÜN",IF($I505&lt;=TODAY()+7,"7 GÜN İÇİNDE","PLANLI"))))))))</f>
        <v/>
      </c>
      <c r="R505" s="6" t="n"/>
      <c r="S505" s="6" t="n"/>
    </row>
    <row r="506">
      <c r="A506" s="6" t="n"/>
      <c r="B506" s="113">
        <f>IF($E506="","","A"&amp;TEXT(ROW()-6,"00000"))</f>
        <v/>
      </c>
      <c r="C506" s="108" t="n"/>
      <c r="D506" s="113">
        <f>IF($E506="","",IFERROR(INDEX(MUSTERILER!$B$7:$B$106,MATCH($E506,MUSTERILER!$C$7:$C$106,0)),IFERROR(INDEX(MUSTERILER!$B$7:$B$106,MATCH($E506,MUSTERILER!$B$7:$B$106,0)),IFERROR(INDEX(MUSTERILER!$B$7:$B$106,MATCH($E506&amp;"*",MUSTERILER!$C$7:$C$106,0)),"TANIMSIZ MÜŞTERİ"))))</f>
        <v/>
      </c>
      <c r="E506" s="109" t="n"/>
      <c r="F506" s="109" t="n"/>
      <c r="G506" s="108" t="n"/>
      <c r="H506" s="225" t="n"/>
      <c r="I506" s="225" t="n"/>
      <c r="J506" s="108" t="n"/>
      <c r="K506" s="108" t="n"/>
      <c r="L506" s="109" t="n"/>
      <c r="M506" s="109" t="n"/>
      <c r="N506" s="109" t="n"/>
      <c r="O506" s="225" t="n"/>
      <c r="P506" s="232">
        <f>IF(OR($E506="",$I506=""),"",IF(OR($J506="Tamamlandı",$J506="İptal"),"",$I506-TODAY()))</f>
        <v/>
      </c>
      <c r="Q506" s="113">
        <f>IF($E506="","",IF($D506="TANIMSIZ MÜŞTERİ","HATA",IF(OR($J506="Tamamlandı",$J506="İptal"),"KAPALI",IF(AND($C506="Görüşme",$N506=""),"SONRAKİ İŞLEM EKSİK",IF($I506="","TARİH EKSİK",IF($I506&lt;TODAY(),"GECİKMİŞ",IF($I506=TODAY(),"BUGÜN",IF($I506&lt;=TODAY()+7,"7 GÜN İÇİNDE","PLANLI"))))))))</f>
        <v/>
      </c>
      <c r="R506" s="6" t="n"/>
      <c r="S506" s="6" t="n"/>
    </row>
    <row r="507">
      <c r="A507" s="6" t="n"/>
      <c r="B507" s="113">
        <f>IF($E507="","","A"&amp;TEXT(ROW()-6,"00000"))</f>
        <v/>
      </c>
      <c r="C507" s="108" t="n"/>
      <c r="D507" s="113">
        <f>IF($E507="","",IFERROR(INDEX(MUSTERILER!$B$7:$B$106,MATCH($E507,MUSTERILER!$C$7:$C$106,0)),IFERROR(INDEX(MUSTERILER!$B$7:$B$106,MATCH($E507,MUSTERILER!$B$7:$B$106,0)),IFERROR(INDEX(MUSTERILER!$B$7:$B$106,MATCH($E507&amp;"*",MUSTERILER!$C$7:$C$106,0)),"TANIMSIZ MÜŞTERİ"))))</f>
        <v/>
      </c>
      <c r="E507" s="109" t="n"/>
      <c r="F507" s="109" t="n"/>
      <c r="G507" s="108" t="n"/>
      <c r="H507" s="225" t="n"/>
      <c r="I507" s="225" t="n"/>
      <c r="J507" s="108" t="n"/>
      <c r="K507" s="108" t="n"/>
      <c r="L507" s="109" t="n"/>
      <c r="M507" s="109" t="n"/>
      <c r="N507" s="109" t="n"/>
      <c r="O507" s="225" t="n"/>
      <c r="P507" s="232">
        <f>IF(OR($E507="",$I507=""),"",IF(OR($J507="Tamamlandı",$J507="İptal"),"",$I507-TODAY()))</f>
        <v/>
      </c>
      <c r="Q507" s="113">
        <f>IF($E507="","",IF($D507="TANIMSIZ MÜŞTERİ","HATA",IF(OR($J507="Tamamlandı",$J507="İptal"),"KAPALI",IF(AND($C507="Görüşme",$N507=""),"SONRAKİ İŞLEM EKSİK",IF($I507="","TARİH EKSİK",IF($I507&lt;TODAY(),"GECİKMİŞ",IF($I507=TODAY(),"BUGÜN",IF($I507&lt;=TODAY()+7,"7 GÜN İÇİNDE","PLANLI"))))))))</f>
        <v/>
      </c>
      <c r="R507" s="6" t="n"/>
      <c r="S507" s="6" t="n"/>
    </row>
    <row r="508">
      <c r="A508" s="6" t="n"/>
      <c r="B508" s="113">
        <f>IF($E508="","","A"&amp;TEXT(ROW()-6,"00000"))</f>
        <v/>
      </c>
      <c r="C508" s="108" t="n"/>
      <c r="D508" s="113">
        <f>IF($E508="","",IFERROR(INDEX(MUSTERILER!$B$7:$B$106,MATCH($E508,MUSTERILER!$C$7:$C$106,0)),IFERROR(INDEX(MUSTERILER!$B$7:$B$106,MATCH($E508,MUSTERILER!$B$7:$B$106,0)),IFERROR(INDEX(MUSTERILER!$B$7:$B$106,MATCH($E508&amp;"*",MUSTERILER!$C$7:$C$106,0)),"TANIMSIZ MÜŞTERİ"))))</f>
        <v/>
      </c>
      <c r="E508" s="109" t="n"/>
      <c r="F508" s="109" t="n"/>
      <c r="G508" s="108" t="n"/>
      <c r="H508" s="225" t="n"/>
      <c r="I508" s="225" t="n"/>
      <c r="J508" s="108" t="n"/>
      <c r="K508" s="108" t="n"/>
      <c r="L508" s="109" t="n"/>
      <c r="M508" s="109" t="n"/>
      <c r="N508" s="109" t="n"/>
      <c r="O508" s="225" t="n"/>
      <c r="P508" s="232">
        <f>IF(OR($E508="",$I508=""),"",IF(OR($J508="Tamamlandı",$J508="İptal"),"",$I508-TODAY()))</f>
        <v/>
      </c>
      <c r="Q508" s="113">
        <f>IF($E508="","",IF($D508="TANIMSIZ MÜŞTERİ","HATA",IF(OR($J508="Tamamlandı",$J508="İptal"),"KAPALI",IF(AND($C508="Görüşme",$N508=""),"SONRAKİ İŞLEM EKSİK",IF($I508="","TARİH EKSİK",IF($I508&lt;TODAY(),"GECİKMİŞ",IF($I508=TODAY(),"BUGÜN",IF($I508&lt;=TODAY()+7,"7 GÜN İÇİNDE","PLANLI"))))))))</f>
        <v/>
      </c>
      <c r="R508" s="6" t="n"/>
      <c r="S508" s="6" t="n"/>
    </row>
    <row r="509">
      <c r="A509" s="6" t="n"/>
      <c r="B509" s="113">
        <f>IF($E509="","","A"&amp;TEXT(ROW()-6,"00000"))</f>
        <v/>
      </c>
      <c r="C509" s="108" t="n"/>
      <c r="D509" s="113">
        <f>IF($E509="","",IFERROR(INDEX(MUSTERILER!$B$7:$B$106,MATCH($E509,MUSTERILER!$C$7:$C$106,0)),IFERROR(INDEX(MUSTERILER!$B$7:$B$106,MATCH($E509,MUSTERILER!$B$7:$B$106,0)),IFERROR(INDEX(MUSTERILER!$B$7:$B$106,MATCH($E509&amp;"*",MUSTERILER!$C$7:$C$106,0)),"TANIMSIZ MÜŞTERİ"))))</f>
        <v/>
      </c>
      <c r="E509" s="109" t="n"/>
      <c r="F509" s="109" t="n"/>
      <c r="G509" s="108" t="n"/>
      <c r="H509" s="225" t="n"/>
      <c r="I509" s="225" t="n"/>
      <c r="J509" s="108" t="n"/>
      <c r="K509" s="108" t="n"/>
      <c r="L509" s="109" t="n"/>
      <c r="M509" s="109" t="n"/>
      <c r="N509" s="109" t="n"/>
      <c r="O509" s="225" t="n"/>
      <c r="P509" s="232">
        <f>IF(OR($E509="",$I509=""),"",IF(OR($J509="Tamamlandı",$J509="İptal"),"",$I509-TODAY()))</f>
        <v/>
      </c>
      <c r="Q509" s="113">
        <f>IF($E509="","",IF($D509="TANIMSIZ MÜŞTERİ","HATA",IF(OR($J509="Tamamlandı",$J509="İptal"),"KAPALI",IF(AND($C509="Görüşme",$N509=""),"SONRAKİ İŞLEM EKSİK",IF($I509="","TARİH EKSİK",IF($I509&lt;TODAY(),"GECİKMİŞ",IF($I509=TODAY(),"BUGÜN",IF($I509&lt;=TODAY()+7,"7 GÜN İÇİNDE","PLANLI"))))))))</f>
        <v/>
      </c>
      <c r="R509" s="6" t="n"/>
      <c r="S509" s="6" t="n"/>
    </row>
    <row r="510">
      <c r="A510" s="6" t="n"/>
      <c r="B510" s="113">
        <f>IF($E510="","","A"&amp;TEXT(ROW()-6,"00000"))</f>
        <v/>
      </c>
      <c r="C510" s="108" t="n"/>
      <c r="D510" s="113">
        <f>IF($E510="","",IFERROR(INDEX(MUSTERILER!$B$7:$B$106,MATCH($E510,MUSTERILER!$C$7:$C$106,0)),IFERROR(INDEX(MUSTERILER!$B$7:$B$106,MATCH($E510,MUSTERILER!$B$7:$B$106,0)),IFERROR(INDEX(MUSTERILER!$B$7:$B$106,MATCH($E510&amp;"*",MUSTERILER!$C$7:$C$106,0)),"TANIMSIZ MÜŞTERİ"))))</f>
        <v/>
      </c>
      <c r="E510" s="109" t="n"/>
      <c r="F510" s="109" t="n"/>
      <c r="G510" s="108" t="n"/>
      <c r="H510" s="225" t="n"/>
      <c r="I510" s="225" t="n"/>
      <c r="J510" s="108" t="n"/>
      <c r="K510" s="108" t="n"/>
      <c r="L510" s="109" t="n"/>
      <c r="M510" s="109" t="n"/>
      <c r="N510" s="109" t="n"/>
      <c r="O510" s="225" t="n"/>
      <c r="P510" s="232">
        <f>IF(OR($E510="",$I510=""),"",IF(OR($J510="Tamamlandı",$J510="İptal"),"",$I510-TODAY()))</f>
        <v/>
      </c>
      <c r="Q510" s="113">
        <f>IF($E510="","",IF($D510="TANIMSIZ MÜŞTERİ","HATA",IF(OR($J510="Tamamlandı",$J510="İptal"),"KAPALI",IF(AND($C510="Görüşme",$N510=""),"SONRAKİ İŞLEM EKSİK",IF($I510="","TARİH EKSİK",IF($I510&lt;TODAY(),"GECİKMİŞ",IF($I510=TODAY(),"BUGÜN",IF($I510&lt;=TODAY()+7,"7 GÜN İÇİNDE","PLANLI"))))))))</f>
        <v/>
      </c>
      <c r="R510" s="6" t="n"/>
      <c r="S510" s="6" t="n"/>
    </row>
    <row r="511">
      <c r="A511" s="6" t="n"/>
      <c r="B511" s="113">
        <f>IF($E511="","","A"&amp;TEXT(ROW()-6,"00000"))</f>
        <v/>
      </c>
      <c r="C511" s="108" t="n"/>
      <c r="D511" s="113">
        <f>IF($E511="","",IFERROR(INDEX(MUSTERILER!$B$7:$B$106,MATCH($E511,MUSTERILER!$C$7:$C$106,0)),IFERROR(INDEX(MUSTERILER!$B$7:$B$106,MATCH($E511,MUSTERILER!$B$7:$B$106,0)),IFERROR(INDEX(MUSTERILER!$B$7:$B$106,MATCH($E511&amp;"*",MUSTERILER!$C$7:$C$106,0)),"TANIMSIZ MÜŞTERİ"))))</f>
        <v/>
      </c>
      <c r="E511" s="109" t="n"/>
      <c r="F511" s="109" t="n"/>
      <c r="G511" s="108" t="n"/>
      <c r="H511" s="225" t="n"/>
      <c r="I511" s="225" t="n"/>
      <c r="J511" s="108" t="n"/>
      <c r="K511" s="108" t="n"/>
      <c r="L511" s="109" t="n"/>
      <c r="M511" s="109" t="n"/>
      <c r="N511" s="109" t="n"/>
      <c r="O511" s="225" t="n"/>
      <c r="P511" s="232">
        <f>IF(OR($E511="",$I511=""),"",IF(OR($J511="Tamamlandı",$J511="İptal"),"",$I511-TODAY()))</f>
        <v/>
      </c>
      <c r="Q511" s="113">
        <f>IF($E511="","",IF($D511="TANIMSIZ MÜŞTERİ","HATA",IF(OR($J511="Tamamlandı",$J511="İptal"),"KAPALI",IF(AND($C511="Görüşme",$N511=""),"SONRAKİ İŞLEM EKSİK",IF($I511="","TARİH EKSİK",IF($I511&lt;TODAY(),"GECİKMİŞ",IF($I511=TODAY(),"BUGÜN",IF($I511&lt;=TODAY()+7,"7 GÜN İÇİNDE","PLANLI"))))))))</f>
        <v/>
      </c>
      <c r="R511" s="6" t="n"/>
      <c r="S511" s="6" t="n"/>
    </row>
    <row r="512">
      <c r="A512" s="6" t="n"/>
      <c r="B512" s="113">
        <f>IF($E512="","","A"&amp;TEXT(ROW()-6,"00000"))</f>
        <v/>
      </c>
      <c r="C512" s="108" t="n"/>
      <c r="D512" s="113">
        <f>IF($E512="","",IFERROR(INDEX(MUSTERILER!$B$7:$B$106,MATCH($E512,MUSTERILER!$C$7:$C$106,0)),IFERROR(INDEX(MUSTERILER!$B$7:$B$106,MATCH($E512,MUSTERILER!$B$7:$B$106,0)),IFERROR(INDEX(MUSTERILER!$B$7:$B$106,MATCH($E512&amp;"*",MUSTERILER!$C$7:$C$106,0)),"TANIMSIZ MÜŞTERİ"))))</f>
        <v/>
      </c>
      <c r="E512" s="109" t="n"/>
      <c r="F512" s="109" t="n"/>
      <c r="G512" s="108" t="n"/>
      <c r="H512" s="225" t="n"/>
      <c r="I512" s="225" t="n"/>
      <c r="J512" s="108" t="n"/>
      <c r="K512" s="108" t="n"/>
      <c r="L512" s="109" t="n"/>
      <c r="M512" s="109" t="n"/>
      <c r="N512" s="109" t="n"/>
      <c r="O512" s="225" t="n"/>
      <c r="P512" s="232">
        <f>IF(OR($E512="",$I512=""),"",IF(OR($J512="Tamamlandı",$J512="İptal"),"",$I512-TODAY()))</f>
        <v/>
      </c>
      <c r="Q512" s="113">
        <f>IF($E512="","",IF($D512="TANIMSIZ MÜŞTERİ","HATA",IF(OR($J512="Tamamlandı",$J512="İptal"),"KAPALI",IF(AND($C512="Görüşme",$N512=""),"SONRAKİ İŞLEM EKSİK",IF($I512="","TARİH EKSİK",IF($I512&lt;TODAY(),"GECİKMİŞ",IF($I512=TODAY(),"BUGÜN",IF($I512&lt;=TODAY()+7,"7 GÜN İÇİNDE","PLANLI"))))))))</f>
        <v/>
      </c>
      <c r="R512" s="6" t="n"/>
      <c r="S512" s="6" t="n"/>
    </row>
    <row r="513">
      <c r="A513" s="6" t="n"/>
      <c r="B513" s="113">
        <f>IF($E513="","","A"&amp;TEXT(ROW()-6,"00000"))</f>
        <v/>
      </c>
      <c r="C513" s="108" t="n"/>
      <c r="D513" s="113">
        <f>IF($E513="","",IFERROR(INDEX(MUSTERILER!$B$7:$B$106,MATCH($E513,MUSTERILER!$C$7:$C$106,0)),IFERROR(INDEX(MUSTERILER!$B$7:$B$106,MATCH($E513,MUSTERILER!$B$7:$B$106,0)),IFERROR(INDEX(MUSTERILER!$B$7:$B$106,MATCH($E513&amp;"*",MUSTERILER!$C$7:$C$106,0)),"TANIMSIZ MÜŞTERİ"))))</f>
        <v/>
      </c>
      <c r="E513" s="109" t="n"/>
      <c r="F513" s="109" t="n"/>
      <c r="G513" s="108" t="n"/>
      <c r="H513" s="225" t="n"/>
      <c r="I513" s="225" t="n"/>
      <c r="J513" s="108" t="n"/>
      <c r="K513" s="108" t="n"/>
      <c r="L513" s="109" t="n"/>
      <c r="M513" s="109" t="n"/>
      <c r="N513" s="109" t="n"/>
      <c r="O513" s="225" t="n"/>
      <c r="P513" s="232">
        <f>IF(OR($E513="",$I513=""),"",IF(OR($J513="Tamamlandı",$J513="İptal"),"",$I513-TODAY()))</f>
        <v/>
      </c>
      <c r="Q513" s="113">
        <f>IF($E513="","",IF($D513="TANIMSIZ MÜŞTERİ","HATA",IF(OR($J513="Tamamlandı",$J513="İptal"),"KAPALI",IF(AND($C513="Görüşme",$N513=""),"SONRAKİ İŞLEM EKSİK",IF($I513="","TARİH EKSİK",IF($I513&lt;TODAY(),"GECİKMİŞ",IF($I513=TODAY(),"BUGÜN",IF($I513&lt;=TODAY()+7,"7 GÜN İÇİNDE","PLANLI"))))))))</f>
        <v/>
      </c>
      <c r="R513" s="6" t="n"/>
      <c r="S513" s="6" t="n"/>
    </row>
    <row r="514">
      <c r="A514" s="6" t="n"/>
      <c r="B514" s="113">
        <f>IF($E514="","","A"&amp;TEXT(ROW()-6,"00000"))</f>
        <v/>
      </c>
      <c r="C514" s="108" t="n"/>
      <c r="D514" s="113">
        <f>IF($E514="","",IFERROR(INDEX(MUSTERILER!$B$7:$B$106,MATCH($E514,MUSTERILER!$C$7:$C$106,0)),IFERROR(INDEX(MUSTERILER!$B$7:$B$106,MATCH($E514,MUSTERILER!$B$7:$B$106,0)),IFERROR(INDEX(MUSTERILER!$B$7:$B$106,MATCH($E514&amp;"*",MUSTERILER!$C$7:$C$106,0)),"TANIMSIZ MÜŞTERİ"))))</f>
        <v/>
      </c>
      <c r="E514" s="109" t="n"/>
      <c r="F514" s="109" t="n"/>
      <c r="G514" s="108" t="n"/>
      <c r="H514" s="225" t="n"/>
      <c r="I514" s="225" t="n"/>
      <c r="J514" s="108" t="n"/>
      <c r="K514" s="108" t="n"/>
      <c r="L514" s="109" t="n"/>
      <c r="M514" s="109" t="n"/>
      <c r="N514" s="109" t="n"/>
      <c r="O514" s="225" t="n"/>
      <c r="P514" s="232">
        <f>IF(OR($E514="",$I514=""),"",IF(OR($J514="Tamamlandı",$J514="İptal"),"",$I514-TODAY()))</f>
        <v/>
      </c>
      <c r="Q514" s="113">
        <f>IF($E514="","",IF($D514="TANIMSIZ MÜŞTERİ","HATA",IF(OR($J514="Tamamlandı",$J514="İptal"),"KAPALI",IF(AND($C514="Görüşme",$N514=""),"SONRAKİ İŞLEM EKSİK",IF($I514="","TARİH EKSİK",IF($I514&lt;TODAY(),"GECİKMİŞ",IF($I514=TODAY(),"BUGÜN",IF($I514&lt;=TODAY()+7,"7 GÜN İÇİNDE","PLANLI"))))))))</f>
        <v/>
      </c>
      <c r="R514" s="6" t="n"/>
      <c r="S514" s="6" t="n"/>
    </row>
    <row r="515">
      <c r="A515" s="6" t="n"/>
      <c r="B515" s="113">
        <f>IF($E515="","","A"&amp;TEXT(ROW()-6,"00000"))</f>
        <v/>
      </c>
      <c r="C515" s="108" t="n"/>
      <c r="D515" s="113">
        <f>IF($E515="","",IFERROR(INDEX(MUSTERILER!$B$7:$B$106,MATCH($E515,MUSTERILER!$C$7:$C$106,0)),IFERROR(INDEX(MUSTERILER!$B$7:$B$106,MATCH($E515,MUSTERILER!$B$7:$B$106,0)),IFERROR(INDEX(MUSTERILER!$B$7:$B$106,MATCH($E515&amp;"*",MUSTERILER!$C$7:$C$106,0)),"TANIMSIZ MÜŞTERİ"))))</f>
        <v/>
      </c>
      <c r="E515" s="109" t="n"/>
      <c r="F515" s="109" t="n"/>
      <c r="G515" s="108" t="n"/>
      <c r="H515" s="225" t="n"/>
      <c r="I515" s="225" t="n"/>
      <c r="J515" s="108" t="n"/>
      <c r="K515" s="108" t="n"/>
      <c r="L515" s="109" t="n"/>
      <c r="M515" s="109" t="n"/>
      <c r="N515" s="109" t="n"/>
      <c r="O515" s="225" t="n"/>
      <c r="P515" s="232">
        <f>IF(OR($E515="",$I515=""),"",IF(OR($J515="Tamamlandı",$J515="İptal"),"",$I515-TODAY()))</f>
        <v/>
      </c>
      <c r="Q515" s="113">
        <f>IF($E515="","",IF($D515="TANIMSIZ MÜŞTERİ","HATA",IF(OR($J515="Tamamlandı",$J515="İptal"),"KAPALI",IF(AND($C515="Görüşme",$N515=""),"SONRAKİ İŞLEM EKSİK",IF($I515="","TARİH EKSİK",IF($I515&lt;TODAY(),"GECİKMİŞ",IF($I515=TODAY(),"BUGÜN",IF($I515&lt;=TODAY()+7,"7 GÜN İÇİNDE","PLANLI"))))))))</f>
        <v/>
      </c>
      <c r="R515" s="6" t="n"/>
      <c r="S515" s="6" t="n"/>
    </row>
    <row r="516">
      <c r="A516" s="6" t="n"/>
      <c r="B516" s="113">
        <f>IF($E516="","","A"&amp;TEXT(ROW()-6,"00000"))</f>
        <v/>
      </c>
      <c r="C516" s="108" t="n"/>
      <c r="D516" s="113">
        <f>IF($E516="","",IFERROR(INDEX(MUSTERILER!$B$7:$B$106,MATCH($E516,MUSTERILER!$C$7:$C$106,0)),IFERROR(INDEX(MUSTERILER!$B$7:$B$106,MATCH($E516,MUSTERILER!$B$7:$B$106,0)),IFERROR(INDEX(MUSTERILER!$B$7:$B$106,MATCH($E516&amp;"*",MUSTERILER!$C$7:$C$106,0)),"TANIMSIZ MÜŞTERİ"))))</f>
        <v/>
      </c>
      <c r="E516" s="109" t="n"/>
      <c r="F516" s="109" t="n"/>
      <c r="G516" s="108" t="n"/>
      <c r="H516" s="225" t="n"/>
      <c r="I516" s="225" t="n"/>
      <c r="J516" s="108" t="n"/>
      <c r="K516" s="108" t="n"/>
      <c r="L516" s="109" t="n"/>
      <c r="M516" s="109" t="n"/>
      <c r="N516" s="109" t="n"/>
      <c r="O516" s="225" t="n"/>
      <c r="P516" s="232">
        <f>IF(OR($E516="",$I516=""),"",IF(OR($J516="Tamamlandı",$J516="İptal"),"",$I516-TODAY()))</f>
        <v/>
      </c>
      <c r="Q516" s="113">
        <f>IF($E516="","",IF($D516="TANIMSIZ MÜŞTERİ","HATA",IF(OR($J516="Tamamlandı",$J516="İptal"),"KAPALI",IF(AND($C516="Görüşme",$N516=""),"SONRAKİ İŞLEM EKSİK",IF($I516="","TARİH EKSİK",IF($I516&lt;TODAY(),"GECİKMİŞ",IF($I516=TODAY(),"BUGÜN",IF($I516&lt;=TODAY()+7,"7 GÜN İÇİNDE","PLANLI"))))))))</f>
        <v/>
      </c>
      <c r="R516" s="6" t="n"/>
      <c r="S516" s="6" t="n"/>
    </row>
    <row r="517">
      <c r="A517" s="6" t="n"/>
      <c r="B517" s="113">
        <f>IF($E517="","","A"&amp;TEXT(ROW()-6,"00000"))</f>
        <v/>
      </c>
      <c r="C517" s="108" t="n"/>
      <c r="D517" s="113">
        <f>IF($E517="","",IFERROR(INDEX(MUSTERILER!$B$7:$B$106,MATCH($E517,MUSTERILER!$C$7:$C$106,0)),IFERROR(INDEX(MUSTERILER!$B$7:$B$106,MATCH($E517,MUSTERILER!$B$7:$B$106,0)),IFERROR(INDEX(MUSTERILER!$B$7:$B$106,MATCH($E517&amp;"*",MUSTERILER!$C$7:$C$106,0)),"TANIMSIZ MÜŞTERİ"))))</f>
        <v/>
      </c>
      <c r="E517" s="109" t="n"/>
      <c r="F517" s="109" t="n"/>
      <c r="G517" s="108" t="n"/>
      <c r="H517" s="225" t="n"/>
      <c r="I517" s="225" t="n"/>
      <c r="J517" s="108" t="n"/>
      <c r="K517" s="108" t="n"/>
      <c r="L517" s="109" t="n"/>
      <c r="M517" s="109" t="n"/>
      <c r="N517" s="109" t="n"/>
      <c r="O517" s="225" t="n"/>
      <c r="P517" s="232">
        <f>IF(OR($E517="",$I517=""),"",IF(OR($J517="Tamamlandı",$J517="İptal"),"",$I517-TODAY()))</f>
        <v/>
      </c>
      <c r="Q517" s="113">
        <f>IF($E517="","",IF($D517="TANIMSIZ MÜŞTERİ","HATA",IF(OR($J517="Tamamlandı",$J517="İptal"),"KAPALI",IF(AND($C517="Görüşme",$N517=""),"SONRAKİ İŞLEM EKSİK",IF($I517="","TARİH EKSİK",IF($I517&lt;TODAY(),"GECİKMİŞ",IF($I517=TODAY(),"BUGÜN",IF($I517&lt;=TODAY()+7,"7 GÜN İÇİNDE","PLANLI"))))))))</f>
        <v/>
      </c>
      <c r="R517" s="6" t="n"/>
      <c r="S517" s="6" t="n"/>
    </row>
    <row r="518">
      <c r="A518" s="6" t="n"/>
      <c r="B518" s="113">
        <f>IF($E518="","","A"&amp;TEXT(ROW()-6,"00000"))</f>
        <v/>
      </c>
      <c r="C518" s="108" t="n"/>
      <c r="D518" s="113">
        <f>IF($E518="","",IFERROR(INDEX(MUSTERILER!$B$7:$B$106,MATCH($E518,MUSTERILER!$C$7:$C$106,0)),IFERROR(INDEX(MUSTERILER!$B$7:$B$106,MATCH($E518,MUSTERILER!$B$7:$B$106,0)),IFERROR(INDEX(MUSTERILER!$B$7:$B$106,MATCH($E518&amp;"*",MUSTERILER!$C$7:$C$106,0)),"TANIMSIZ MÜŞTERİ"))))</f>
        <v/>
      </c>
      <c r="E518" s="109" t="n"/>
      <c r="F518" s="109" t="n"/>
      <c r="G518" s="108" t="n"/>
      <c r="H518" s="225" t="n"/>
      <c r="I518" s="225" t="n"/>
      <c r="J518" s="108" t="n"/>
      <c r="K518" s="108" t="n"/>
      <c r="L518" s="109" t="n"/>
      <c r="M518" s="109" t="n"/>
      <c r="N518" s="109" t="n"/>
      <c r="O518" s="225" t="n"/>
      <c r="P518" s="232">
        <f>IF(OR($E518="",$I518=""),"",IF(OR($J518="Tamamlandı",$J518="İptal"),"",$I518-TODAY()))</f>
        <v/>
      </c>
      <c r="Q518" s="113">
        <f>IF($E518="","",IF($D518="TANIMSIZ MÜŞTERİ","HATA",IF(OR($J518="Tamamlandı",$J518="İptal"),"KAPALI",IF(AND($C518="Görüşme",$N518=""),"SONRAKİ İŞLEM EKSİK",IF($I518="","TARİH EKSİK",IF($I518&lt;TODAY(),"GECİKMİŞ",IF($I518=TODAY(),"BUGÜN",IF($I518&lt;=TODAY()+7,"7 GÜN İÇİNDE","PLANLI"))))))))</f>
        <v/>
      </c>
      <c r="R518" s="6" t="n"/>
      <c r="S518" s="6" t="n"/>
    </row>
    <row r="519">
      <c r="A519" s="6" t="n"/>
      <c r="B519" s="113">
        <f>IF($E519="","","A"&amp;TEXT(ROW()-6,"00000"))</f>
        <v/>
      </c>
      <c r="C519" s="108" t="n"/>
      <c r="D519" s="113">
        <f>IF($E519="","",IFERROR(INDEX(MUSTERILER!$B$7:$B$106,MATCH($E519,MUSTERILER!$C$7:$C$106,0)),IFERROR(INDEX(MUSTERILER!$B$7:$B$106,MATCH($E519,MUSTERILER!$B$7:$B$106,0)),IFERROR(INDEX(MUSTERILER!$B$7:$B$106,MATCH($E519&amp;"*",MUSTERILER!$C$7:$C$106,0)),"TANIMSIZ MÜŞTERİ"))))</f>
        <v/>
      </c>
      <c r="E519" s="109" t="n"/>
      <c r="F519" s="109" t="n"/>
      <c r="G519" s="108" t="n"/>
      <c r="H519" s="225" t="n"/>
      <c r="I519" s="225" t="n"/>
      <c r="J519" s="108" t="n"/>
      <c r="K519" s="108" t="n"/>
      <c r="L519" s="109" t="n"/>
      <c r="M519" s="109" t="n"/>
      <c r="N519" s="109" t="n"/>
      <c r="O519" s="225" t="n"/>
      <c r="P519" s="232">
        <f>IF(OR($E519="",$I519=""),"",IF(OR($J519="Tamamlandı",$J519="İptal"),"",$I519-TODAY()))</f>
        <v/>
      </c>
      <c r="Q519" s="113">
        <f>IF($E519="","",IF($D519="TANIMSIZ MÜŞTERİ","HATA",IF(OR($J519="Tamamlandı",$J519="İptal"),"KAPALI",IF(AND($C519="Görüşme",$N519=""),"SONRAKİ İŞLEM EKSİK",IF($I519="","TARİH EKSİK",IF($I519&lt;TODAY(),"GECİKMİŞ",IF($I519=TODAY(),"BUGÜN",IF($I519&lt;=TODAY()+7,"7 GÜN İÇİNDE","PLANLI"))))))))</f>
        <v/>
      </c>
      <c r="R519" s="6" t="n"/>
      <c r="S519" s="6" t="n"/>
    </row>
    <row r="520">
      <c r="A520" s="6" t="n"/>
      <c r="B520" s="113">
        <f>IF($E520="","","A"&amp;TEXT(ROW()-6,"00000"))</f>
        <v/>
      </c>
      <c r="C520" s="108" t="n"/>
      <c r="D520" s="113">
        <f>IF($E520="","",IFERROR(INDEX(MUSTERILER!$B$7:$B$106,MATCH($E520,MUSTERILER!$C$7:$C$106,0)),IFERROR(INDEX(MUSTERILER!$B$7:$B$106,MATCH($E520,MUSTERILER!$B$7:$B$106,0)),IFERROR(INDEX(MUSTERILER!$B$7:$B$106,MATCH($E520&amp;"*",MUSTERILER!$C$7:$C$106,0)),"TANIMSIZ MÜŞTERİ"))))</f>
        <v/>
      </c>
      <c r="E520" s="109" t="n"/>
      <c r="F520" s="109" t="n"/>
      <c r="G520" s="108" t="n"/>
      <c r="H520" s="225" t="n"/>
      <c r="I520" s="225" t="n"/>
      <c r="J520" s="108" t="n"/>
      <c r="K520" s="108" t="n"/>
      <c r="L520" s="109" t="n"/>
      <c r="M520" s="109" t="n"/>
      <c r="N520" s="109" t="n"/>
      <c r="O520" s="225" t="n"/>
      <c r="P520" s="232">
        <f>IF(OR($E520="",$I520=""),"",IF(OR($J520="Tamamlandı",$J520="İptal"),"",$I520-TODAY()))</f>
        <v/>
      </c>
      <c r="Q520" s="113">
        <f>IF($E520="","",IF($D520="TANIMSIZ MÜŞTERİ","HATA",IF(OR($J520="Tamamlandı",$J520="İptal"),"KAPALI",IF(AND($C520="Görüşme",$N520=""),"SONRAKİ İŞLEM EKSİK",IF($I520="","TARİH EKSİK",IF($I520&lt;TODAY(),"GECİKMİŞ",IF($I520=TODAY(),"BUGÜN",IF($I520&lt;=TODAY()+7,"7 GÜN İÇİNDE","PLANLI"))))))))</f>
        <v/>
      </c>
      <c r="R520" s="6" t="n"/>
      <c r="S520" s="6" t="n"/>
    </row>
    <row r="521">
      <c r="A521" s="6" t="n"/>
      <c r="B521" s="113">
        <f>IF($E521="","","A"&amp;TEXT(ROW()-6,"00000"))</f>
        <v/>
      </c>
      <c r="C521" s="108" t="n"/>
      <c r="D521" s="113">
        <f>IF($E521="","",IFERROR(INDEX(MUSTERILER!$B$7:$B$106,MATCH($E521,MUSTERILER!$C$7:$C$106,0)),IFERROR(INDEX(MUSTERILER!$B$7:$B$106,MATCH($E521,MUSTERILER!$B$7:$B$106,0)),IFERROR(INDEX(MUSTERILER!$B$7:$B$106,MATCH($E521&amp;"*",MUSTERILER!$C$7:$C$106,0)),"TANIMSIZ MÜŞTERİ"))))</f>
        <v/>
      </c>
      <c r="E521" s="109" t="n"/>
      <c r="F521" s="109" t="n"/>
      <c r="G521" s="108" t="n"/>
      <c r="H521" s="225" t="n"/>
      <c r="I521" s="225" t="n"/>
      <c r="J521" s="108" t="n"/>
      <c r="K521" s="108" t="n"/>
      <c r="L521" s="109" t="n"/>
      <c r="M521" s="109" t="n"/>
      <c r="N521" s="109" t="n"/>
      <c r="O521" s="225" t="n"/>
      <c r="P521" s="232">
        <f>IF(OR($E521="",$I521=""),"",IF(OR($J521="Tamamlandı",$J521="İptal"),"",$I521-TODAY()))</f>
        <v/>
      </c>
      <c r="Q521" s="113">
        <f>IF($E521="","",IF($D521="TANIMSIZ MÜŞTERİ","HATA",IF(OR($J521="Tamamlandı",$J521="İptal"),"KAPALI",IF(AND($C521="Görüşme",$N521=""),"SONRAKİ İŞLEM EKSİK",IF($I521="","TARİH EKSİK",IF($I521&lt;TODAY(),"GECİKMİŞ",IF($I521=TODAY(),"BUGÜN",IF($I521&lt;=TODAY()+7,"7 GÜN İÇİNDE","PLANLI"))))))))</f>
        <v/>
      </c>
      <c r="R521" s="6" t="n"/>
      <c r="S521" s="6" t="n"/>
    </row>
    <row r="522">
      <c r="A522" s="6" t="n"/>
      <c r="B522" s="113">
        <f>IF($E522="","","A"&amp;TEXT(ROW()-6,"00000"))</f>
        <v/>
      </c>
      <c r="C522" s="108" t="n"/>
      <c r="D522" s="113">
        <f>IF($E522="","",IFERROR(INDEX(MUSTERILER!$B$7:$B$106,MATCH($E522,MUSTERILER!$C$7:$C$106,0)),IFERROR(INDEX(MUSTERILER!$B$7:$B$106,MATCH($E522,MUSTERILER!$B$7:$B$106,0)),IFERROR(INDEX(MUSTERILER!$B$7:$B$106,MATCH($E522&amp;"*",MUSTERILER!$C$7:$C$106,0)),"TANIMSIZ MÜŞTERİ"))))</f>
        <v/>
      </c>
      <c r="E522" s="109" t="n"/>
      <c r="F522" s="109" t="n"/>
      <c r="G522" s="108" t="n"/>
      <c r="H522" s="225" t="n"/>
      <c r="I522" s="225" t="n"/>
      <c r="J522" s="108" t="n"/>
      <c r="K522" s="108" t="n"/>
      <c r="L522" s="109" t="n"/>
      <c r="M522" s="109" t="n"/>
      <c r="N522" s="109" t="n"/>
      <c r="O522" s="225" t="n"/>
      <c r="P522" s="232">
        <f>IF(OR($E522="",$I522=""),"",IF(OR($J522="Tamamlandı",$J522="İptal"),"",$I522-TODAY()))</f>
        <v/>
      </c>
      <c r="Q522" s="113">
        <f>IF($E522="","",IF($D522="TANIMSIZ MÜŞTERİ","HATA",IF(OR($J522="Tamamlandı",$J522="İptal"),"KAPALI",IF(AND($C522="Görüşme",$N522=""),"SONRAKİ İŞLEM EKSİK",IF($I522="","TARİH EKSİK",IF($I522&lt;TODAY(),"GECİKMİŞ",IF($I522=TODAY(),"BUGÜN",IF($I522&lt;=TODAY()+7,"7 GÜN İÇİNDE","PLANLI"))))))))</f>
        <v/>
      </c>
      <c r="R522" s="6" t="n"/>
      <c r="S522" s="6" t="n"/>
    </row>
    <row r="523">
      <c r="A523" s="6" t="n"/>
      <c r="B523" s="113">
        <f>IF($E523="","","A"&amp;TEXT(ROW()-6,"00000"))</f>
        <v/>
      </c>
      <c r="C523" s="108" t="n"/>
      <c r="D523" s="113">
        <f>IF($E523="","",IFERROR(INDEX(MUSTERILER!$B$7:$B$106,MATCH($E523,MUSTERILER!$C$7:$C$106,0)),IFERROR(INDEX(MUSTERILER!$B$7:$B$106,MATCH($E523,MUSTERILER!$B$7:$B$106,0)),IFERROR(INDEX(MUSTERILER!$B$7:$B$106,MATCH($E523&amp;"*",MUSTERILER!$C$7:$C$106,0)),"TANIMSIZ MÜŞTERİ"))))</f>
        <v/>
      </c>
      <c r="E523" s="109" t="n"/>
      <c r="F523" s="109" t="n"/>
      <c r="G523" s="108" t="n"/>
      <c r="H523" s="225" t="n"/>
      <c r="I523" s="225" t="n"/>
      <c r="J523" s="108" t="n"/>
      <c r="K523" s="108" t="n"/>
      <c r="L523" s="109" t="n"/>
      <c r="M523" s="109" t="n"/>
      <c r="N523" s="109" t="n"/>
      <c r="O523" s="225" t="n"/>
      <c r="P523" s="232">
        <f>IF(OR($E523="",$I523=""),"",IF(OR($J523="Tamamlandı",$J523="İptal"),"",$I523-TODAY()))</f>
        <v/>
      </c>
      <c r="Q523" s="113">
        <f>IF($E523="","",IF($D523="TANIMSIZ MÜŞTERİ","HATA",IF(OR($J523="Tamamlandı",$J523="İptal"),"KAPALI",IF(AND($C523="Görüşme",$N523=""),"SONRAKİ İŞLEM EKSİK",IF($I523="","TARİH EKSİK",IF($I523&lt;TODAY(),"GECİKMİŞ",IF($I523=TODAY(),"BUGÜN",IF($I523&lt;=TODAY()+7,"7 GÜN İÇİNDE","PLANLI"))))))))</f>
        <v/>
      </c>
      <c r="R523" s="6" t="n"/>
      <c r="S523" s="6" t="n"/>
    </row>
    <row r="524">
      <c r="A524" s="6" t="n"/>
      <c r="B524" s="113">
        <f>IF($E524="","","A"&amp;TEXT(ROW()-6,"00000"))</f>
        <v/>
      </c>
      <c r="C524" s="108" t="n"/>
      <c r="D524" s="113">
        <f>IF($E524="","",IFERROR(INDEX(MUSTERILER!$B$7:$B$106,MATCH($E524,MUSTERILER!$C$7:$C$106,0)),IFERROR(INDEX(MUSTERILER!$B$7:$B$106,MATCH($E524,MUSTERILER!$B$7:$B$106,0)),IFERROR(INDEX(MUSTERILER!$B$7:$B$106,MATCH($E524&amp;"*",MUSTERILER!$C$7:$C$106,0)),"TANIMSIZ MÜŞTERİ"))))</f>
        <v/>
      </c>
      <c r="E524" s="109" t="n"/>
      <c r="F524" s="109" t="n"/>
      <c r="G524" s="108" t="n"/>
      <c r="H524" s="225" t="n"/>
      <c r="I524" s="225" t="n"/>
      <c r="J524" s="108" t="n"/>
      <c r="K524" s="108" t="n"/>
      <c r="L524" s="109" t="n"/>
      <c r="M524" s="109" t="n"/>
      <c r="N524" s="109" t="n"/>
      <c r="O524" s="225" t="n"/>
      <c r="P524" s="232">
        <f>IF(OR($E524="",$I524=""),"",IF(OR($J524="Tamamlandı",$J524="İptal"),"",$I524-TODAY()))</f>
        <v/>
      </c>
      <c r="Q524" s="113">
        <f>IF($E524="","",IF($D524="TANIMSIZ MÜŞTERİ","HATA",IF(OR($J524="Tamamlandı",$J524="İptal"),"KAPALI",IF(AND($C524="Görüşme",$N524=""),"SONRAKİ İŞLEM EKSİK",IF($I524="","TARİH EKSİK",IF($I524&lt;TODAY(),"GECİKMİŞ",IF($I524=TODAY(),"BUGÜN",IF($I524&lt;=TODAY()+7,"7 GÜN İÇİNDE","PLANLI"))))))))</f>
        <v/>
      </c>
      <c r="R524" s="6" t="n"/>
      <c r="S524" s="6" t="n"/>
    </row>
    <row r="525">
      <c r="A525" s="6" t="n"/>
      <c r="B525" s="113">
        <f>IF($E525="","","A"&amp;TEXT(ROW()-6,"00000"))</f>
        <v/>
      </c>
      <c r="C525" s="108" t="n"/>
      <c r="D525" s="113">
        <f>IF($E525="","",IFERROR(INDEX(MUSTERILER!$B$7:$B$106,MATCH($E525,MUSTERILER!$C$7:$C$106,0)),IFERROR(INDEX(MUSTERILER!$B$7:$B$106,MATCH($E525,MUSTERILER!$B$7:$B$106,0)),IFERROR(INDEX(MUSTERILER!$B$7:$B$106,MATCH($E525&amp;"*",MUSTERILER!$C$7:$C$106,0)),"TANIMSIZ MÜŞTERİ"))))</f>
        <v/>
      </c>
      <c r="E525" s="109" t="n"/>
      <c r="F525" s="109" t="n"/>
      <c r="G525" s="108" t="n"/>
      <c r="H525" s="225" t="n"/>
      <c r="I525" s="225" t="n"/>
      <c r="J525" s="108" t="n"/>
      <c r="K525" s="108" t="n"/>
      <c r="L525" s="109" t="n"/>
      <c r="M525" s="109" t="n"/>
      <c r="N525" s="109" t="n"/>
      <c r="O525" s="225" t="n"/>
      <c r="P525" s="232">
        <f>IF(OR($E525="",$I525=""),"",IF(OR($J525="Tamamlandı",$J525="İptal"),"",$I525-TODAY()))</f>
        <v/>
      </c>
      <c r="Q525" s="113">
        <f>IF($E525="","",IF($D525="TANIMSIZ MÜŞTERİ","HATA",IF(OR($J525="Tamamlandı",$J525="İptal"),"KAPALI",IF(AND($C525="Görüşme",$N525=""),"SONRAKİ İŞLEM EKSİK",IF($I525="","TARİH EKSİK",IF($I525&lt;TODAY(),"GECİKMİŞ",IF($I525=TODAY(),"BUGÜN",IF($I525&lt;=TODAY()+7,"7 GÜN İÇİNDE","PLANLI"))))))))</f>
        <v/>
      </c>
      <c r="R525" s="6" t="n"/>
      <c r="S525" s="6" t="n"/>
    </row>
    <row r="526">
      <c r="A526" s="6" t="n"/>
      <c r="B526" s="113">
        <f>IF($E526="","","A"&amp;TEXT(ROW()-6,"00000"))</f>
        <v/>
      </c>
      <c r="C526" s="108" t="n"/>
      <c r="D526" s="113">
        <f>IF($E526="","",IFERROR(INDEX(MUSTERILER!$B$7:$B$106,MATCH($E526,MUSTERILER!$C$7:$C$106,0)),IFERROR(INDEX(MUSTERILER!$B$7:$B$106,MATCH($E526,MUSTERILER!$B$7:$B$106,0)),IFERROR(INDEX(MUSTERILER!$B$7:$B$106,MATCH($E526&amp;"*",MUSTERILER!$C$7:$C$106,0)),"TANIMSIZ MÜŞTERİ"))))</f>
        <v/>
      </c>
      <c r="E526" s="109" t="n"/>
      <c r="F526" s="109" t="n"/>
      <c r="G526" s="108" t="n"/>
      <c r="H526" s="225" t="n"/>
      <c r="I526" s="225" t="n"/>
      <c r="J526" s="108" t="n"/>
      <c r="K526" s="108" t="n"/>
      <c r="L526" s="109" t="n"/>
      <c r="M526" s="109" t="n"/>
      <c r="N526" s="109" t="n"/>
      <c r="O526" s="225" t="n"/>
      <c r="P526" s="232">
        <f>IF(OR($E526="",$I526=""),"",IF(OR($J526="Tamamlandı",$J526="İptal"),"",$I526-TODAY()))</f>
        <v/>
      </c>
      <c r="Q526" s="113">
        <f>IF($E526="","",IF($D526="TANIMSIZ MÜŞTERİ","HATA",IF(OR($J526="Tamamlandı",$J526="İptal"),"KAPALI",IF(AND($C526="Görüşme",$N526=""),"SONRAKİ İŞLEM EKSİK",IF($I526="","TARİH EKSİK",IF($I526&lt;TODAY(),"GECİKMİŞ",IF($I526=TODAY(),"BUGÜN",IF($I526&lt;=TODAY()+7,"7 GÜN İÇİNDE","PLANLI"))))))))</f>
        <v/>
      </c>
      <c r="R526" s="6" t="n"/>
      <c r="S526" s="6" t="n"/>
    </row>
    <row r="527">
      <c r="A527" s="6" t="n"/>
      <c r="B527" s="113">
        <f>IF($E527="","","A"&amp;TEXT(ROW()-6,"00000"))</f>
        <v/>
      </c>
      <c r="C527" s="108" t="n"/>
      <c r="D527" s="113">
        <f>IF($E527="","",IFERROR(INDEX(MUSTERILER!$B$7:$B$106,MATCH($E527,MUSTERILER!$C$7:$C$106,0)),IFERROR(INDEX(MUSTERILER!$B$7:$B$106,MATCH($E527,MUSTERILER!$B$7:$B$106,0)),IFERROR(INDEX(MUSTERILER!$B$7:$B$106,MATCH($E527&amp;"*",MUSTERILER!$C$7:$C$106,0)),"TANIMSIZ MÜŞTERİ"))))</f>
        <v/>
      </c>
      <c r="E527" s="109" t="n"/>
      <c r="F527" s="109" t="n"/>
      <c r="G527" s="108" t="n"/>
      <c r="H527" s="225" t="n"/>
      <c r="I527" s="225" t="n"/>
      <c r="J527" s="108" t="n"/>
      <c r="K527" s="108" t="n"/>
      <c r="L527" s="109" t="n"/>
      <c r="M527" s="109" t="n"/>
      <c r="N527" s="109" t="n"/>
      <c r="O527" s="225" t="n"/>
      <c r="P527" s="232">
        <f>IF(OR($E527="",$I527=""),"",IF(OR($J527="Tamamlandı",$J527="İptal"),"",$I527-TODAY()))</f>
        <v/>
      </c>
      <c r="Q527" s="113">
        <f>IF($E527="","",IF($D527="TANIMSIZ MÜŞTERİ","HATA",IF(OR($J527="Tamamlandı",$J527="İptal"),"KAPALI",IF(AND($C527="Görüşme",$N527=""),"SONRAKİ İŞLEM EKSİK",IF($I527="","TARİH EKSİK",IF($I527&lt;TODAY(),"GECİKMİŞ",IF($I527=TODAY(),"BUGÜN",IF($I527&lt;=TODAY()+7,"7 GÜN İÇİNDE","PLANLI"))))))))</f>
        <v/>
      </c>
      <c r="R527" s="6" t="n"/>
      <c r="S527" s="6" t="n"/>
    </row>
    <row r="528">
      <c r="A528" s="6" t="n"/>
      <c r="B528" s="113">
        <f>IF($E528="","","A"&amp;TEXT(ROW()-6,"00000"))</f>
        <v/>
      </c>
      <c r="C528" s="108" t="n"/>
      <c r="D528" s="113">
        <f>IF($E528="","",IFERROR(INDEX(MUSTERILER!$B$7:$B$106,MATCH($E528,MUSTERILER!$C$7:$C$106,0)),IFERROR(INDEX(MUSTERILER!$B$7:$B$106,MATCH($E528,MUSTERILER!$B$7:$B$106,0)),IFERROR(INDEX(MUSTERILER!$B$7:$B$106,MATCH($E528&amp;"*",MUSTERILER!$C$7:$C$106,0)),"TANIMSIZ MÜŞTERİ"))))</f>
        <v/>
      </c>
      <c r="E528" s="109" t="n"/>
      <c r="F528" s="109" t="n"/>
      <c r="G528" s="108" t="n"/>
      <c r="H528" s="225" t="n"/>
      <c r="I528" s="225" t="n"/>
      <c r="J528" s="108" t="n"/>
      <c r="K528" s="108" t="n"/>
      <c r="L528" s="109" t="n"/>
      <c r="M528" s="109" t="n"/>
      <c r="N528" s="109" t="n"/>
      <c r="O528" s="225" t="n"/>
      <c r="P528" s="232">
        <f>IF(OR($E528="",$I528=""),"",IF(OR($J528="Tamamlandı",$J528="İptal"),"",$I528-TODAY()))</f>
        <v/>
      </c>
      <c r="Q528" s="113">
        <f>IF($E528="","",IF($D528="TANIMSIZ MÜŞTERİ","HATA",IF(OR($J528="Tamamlandı",$J528="İptal"),"KAPALI",IF(AND($C528="Görüşme",$N528=""),"SONRAKİ İŞLEM EKSİK",IF($I528="","TARİH EKSİK",IF($I528&lt;TODAY(),"GECİKMİŞ",IF($I528=TODAY(),"BUGÜN",IF($I528&lt;=TODAY()+7,"7 GÜN İÇİNDE","PLANLI"))))))))</f>
        <v/>
      </c>
      <c r="R528" s="6" t="n"/>
      <c r="S528" s="6" t="n"/>
    </row>
    <row r="529">
      <c r="A529" s="6" t="n"/>
      <c r="B529" s="113">
        <f>IF($E529="","","A"&amp;TEXT(ROW()-6,"00000"))</f>
        <v/>
      </c>
      <c r="C529" s="108" t="n"/>
      <c r="D529" s="113">
        <f>IF($E529="","",IFERROR(INDEX(MUSTERILER!$B$7:$B$106,MATCH($E529,MUSTERILER!$C$7:$C$106,0)),IFERROR(INDEX(MUSTERILER!$B$7:$B$106,MATCH($E529,MUSTERILER!$B$7:$B$106,0)),IFERROR(INDEX(MUSTERILER!$B$7:$B$106,MATCH($E529&amp;"*",MUSTERILER!$C$7:$C$106,0)),"TANIMSIZ MÜŞTERİ"))))</f>
        <v/>
      </c>
      <c r="E529" s="109" t="n"/>
      <c r="F529" s="109" t="n"/>
      <c r="G529" s="108" t="n"/>
      <c r="H529" s="225" t="n"/>
      <c r="I529" s="225" t="n"/>
      <c r="J529" s="108" t="n"/>
      <c r="K529" s="108" t="n"/>
      <c r="L529" s="109" t="n"/>
      <c r="M529" s="109" t="n"/>
      <c r="N529" s="109" t="n"/>
      <c r="O529" s="225" t="n"/>
      <c r="P529" s="232">
        <f>IF(OR($E529="",$I529=""),"",IF(OR($J529="Tamamlandı",$J529="İptal"),"",$I529-TODAY()))</f>
        <v/>
      </c>
      <c r="Q529" s="113">
        <f>IF($E529="","",IF($D529="TANIMSIZ MÜŞTERİ","HATA",IF(OR($J529="Tamamlandı",$J529="İptal"),"KAPALI",IF(AND($C529="Görüşme",$N529=""),"SONRAKİ İŞLEM EKSİK",IF($I529="","TARİH EKSİK",IF($I529&lt;TODAY(),"GECİKMİŞ",IF($I529=TODAY(),"BUGÜN",IF($I529&lt;=TODAY()+7,"7 GÜN İÇİNDE","PLANLI"))))))))</f>
        <v/>
      </c>
      <c r="R529" s="6" t="n"/>
      <c r="S529" s="6" t="n"/>
    </row>
    <row r="530">
      <c r="A530" s="6" t="n"/>
      <c r="B530" s="113">
        <f>IF($E530="","","A"&amp;TEXT(ROW()-6,"00000"))</f>
        <v/>
      </c>
      <c r="C530" s="108" t="n"/>
      <c r="D530" s="113">
        <f>IF($E530="","",IFERROR(INDEX(MUSTERILER!$B$7:$B$106,MATCH($E530,MUSTERILER!$C$7:$C$106,0)),IFERROR(INDEX(MUSTERILER!$B$7:$B$106,MATCH($E530,MUSTERILER!$B$7:$B$106,0)),IFERROR(INDEX(MUSTERILER!$B$7:$B$106,MATCH($E530&amp;"*",MUSTERILER!$C$7:$C$106,0)),"TANIMSIZ MÜŞTERİ"))))</f>
        <v/>
      </c>
      <c r="E530" s="109" t="n"/>
      <c r="F530" s="109" t="n"/>
      <c r="G530" s="108" t="n"/>
      <c r="H530" s="225" t="n"/>
      <c r="I530" s="225" t="n"/>
      <c r="J530" s="108" t="n"/>
      <c r="K530" s="108" t="n"/>
      <c r="L530" s="109" t="n"/>
      <c r="M530" s="109" t="n"/>
      <c r="N530" s="109" t="n"/>
      <c r="O530" s="225" t="n"/>
      <c r="P530" s="232">
        <f>IF(OR($E530="",$I530=""),"",IF(OR($J530="Tamamlandı",$J530="İptal"),"",$I530-TODAY()))</f>
        <v/>
      </c>
      <c r="Q530" s="113">
        <f>IF($E530="","",IF($D530="TANIMSIZ MÜŞTERİ","HATA",IF(OR($J530="Tamamlandı",$J530="İptal"),"KAPALI",IF(AND($C530="Görüşme",$N530=""),"SONRAKİ İŞLEM EKSİK",IF($I530="","TARİH EKSİK",IF($I530&lt;TODAY(),"GECİKMİŞ",IF($I530=TODAY(),"BUGÜN",IF($I530&lt;=TODAY()+7,"7 GÜN İÇİNDE","PLANLI"))))))))</f>
        <v/>
      </c>
      <c r="R530" s="6" t="n"/>
      <c r="S530" s="6" t="n"/>
    </row>
    <row r="531">
      <c r="A531" s="6" t="n"/>
      <c r="B531" s="113">
        <f>IF($E531="","","A"&amp;TEXT(ROW()-6,"00000"))</f>
        <v/>
      </c>
      <c r="C531" s="108" t="n"/>
      <c r="D531" s="113">
        <f>IF($E531="","",IFERROR(INDEX(MUSTERILER!$B$7:$B$106,MATCH($E531,MUSTERILER!$C$7:$C$106,0)),IFERROR(INDEX(MUSTERILER!$B$7:$B$106,MATCH($E531,MUSTERILER!$B$7:$B$106,0)),IFERROR(INDEX(MUSTERILER!$B$7:$B$106,MATCH($E531&amp;"*",MUSTERILER!$C$7:$C$106,0)),"TANIMSIZ MÜŞTERİ"))))</f>
        <v/>
      </c>
      <c r="E531" s="109" t="n"/>
      <c r="F531" s="109" t="n"/>
      <c r="G531" s="108" t="n"/>
      <c r="H531" s="225" t="n"/>
      <c r="I531" s="225" t="n"/>
      <c r="J531" s="108" t="n"/>
      <c r="K531" s="108" t="n"/>
      <c r="L531" s="109" t="n"/>
      <c r="M531" s="109" t="n"/>
      <c r="N531" s="109" t="n"/>
      <c r="O531" s="225" t="n"/>
      <c r="P531" s="232">
        <f>IF(OR($E531="",$I531=""),"",IF(OR($J531="Tamamlandı",$J531="İptal"),"",$I531-TODAY()))</f>
        <v/>
      </c>
      <c r="Q531" s="113">
        <f>IF($E531="","",IF($D531="TANIMSIZ MÜŞTERİ","HATA",IF(OR($J531="Tamamlandı",$J531="İptal"),"KAPALI",IF(AND($C531="Görüşme",$N531=""),"SONRAKİ İŞLEM EKSİK",IF($I531="","TARİH EKSİK",IF($I531&lt;TODAY(),"GECİKMİŞ",IF($I531=TODAY(),"BUGÜN",IF($I531&lt;=TODAY()+7,"7 GÜN İÇİNDE","PLANLI"))))))))</f>
        <v/>
      </c>
      <c r="R531" s="6" t="n"/>
      <c r="S531" s="6" t="n"/>
    </row>
    <row r="532">
      <c r="A532" s="6" t="n"/>
      <c r="B532" s="113">
        <f>IF($E532="","","A"&amp;TEXT(ROW()-6,"00000"))</f>
        <v/>
      </c>
      <c r="C532" s="108" t="n"/>
      <c r="D532" s="113">
        <f>IF($E532="","",IFERROR(INDEX(MUSTERILER!$B$7:$B$106,MATCH($E532,MUSTERILER!$C$7:$C$106,0)),IFERROR(INDEX(MUSTERILER!$B$7:$B$106,MATCH($E532,MUSTERILER!$B$7:$B$106,0)),IFERROR(INDEX(MUSTERILER!$B$7:$B$106,MATCH($E532&amp;"*",MUSTERILER!$C$7:$C$106,0)),"TANIMSIZ MÜŞTERİ"))))</f>
        <v/>
      </c>
      <c r="E532" s="109" t="n"/>
      <c r="F532" s="109" t="n"/>
      <c r="G532" s="108" t="n"/>
      <c r="H532" s="225" t="n"/>
      <c r="I532" s="225" t="n"/>
      <c r="J532" s="108" t="n"/>
      <c r="K532" s="108" t="n"/>
      <c r="L532" s="109" t="n"/>
      <c r="M532" s="109" t="n"/>
      <c r="N532" s="109" t="n"/>
      <c r="O532" s="225" t="n"/>
      <c r="P532" s="232">
        <f>IF(OR($E532="",$I532=""),"",IF(OR($J532="Tamamlandı",$J532="İptal"),"",$I532-TODAY()))</f>
        <v/>
      </c>
      <c r="Q532" s="113">
        <f>IF($E532="","",IF($D532="TANIMSIZ MÜŞTERİ","HATA",IF(OR($J532="Tamamlandı",$J532="İptal"),"KAPALI",IF(AND($C532="Görüşme",$N532=""),"SONRAKİ İŞLEM EKSİK",IF($I532="","TARİH EKSİK",IF($I532&lt;TODAY(),"GECİKMİŞ",IF($I532=TODAY(),"BUGÜN",IF($I532&lt;=TODAY()+7,"7 GÜN İÇİNDE","PLANLI"))))))))</f>
        <v/>
      </c>
      <c r="R532" s="6" t="n"/>
      <c r="S532" s="6" t="n"/>
    </row>
    <row r="533">
      <c r="A533" s="6" t="n"/>
      <c r="B533" s="113">
        <f>IF($E533="","","A"&amp;TEXT(ROW()-6,"00000"))</f>
        <v/>
      </c>
      <c r="C533" s="108" t="n"/>
      <c r="D533" s="113">
        <f>IF($E533="","",IFERROR(INDEX(MUSTERILER!$B$7:$B$106,MATCH($E533,MUSTERILER!$C$7:$C$106,0)),IFERROR(INDEX(MUSTERILER!$B$7:$B$106,MATCH($E533,MUSTERILER!$B$7:$B$106,0)),IFERROR(INDEX(MUSTERILER!$B$7:$B$106,MATCH($E533&amp;"*",MUSTERILER!$C$7:$C$106,0)),"TANIMSIZ MÜŞTERİ"))))</f>
        <v/>
      </c>
      <c r="E533" s="109" t="n"/>
      <c r="F533" s="109" t="n"/>
      <c r="G533" s="108" t="n"/>
      <c r="H533" s="225" t="n"/>
      <c r="I533" s="225" t="n"/>
      <c r="J533" s="108" t="n"/>
      <c r="K533" s="108" t="n"/>
      <c r="L533" s="109" t="n"/>
      <c r="M533" s="109" t="n"/>
      <c r="N533" s="109" t="n"/>
      <c r="O533" s="225" t="n"/>
      <c r="P533" s="232">
        <f>IF(OR($E533="",$I533=""),"",IF(OR($J533="Tamamlandı",$J533="İptal"),"",$I533-TODAY()))</f>
        <v/>
      </c>
      <c r="Q533" s="113">
        <f>IF($E533="","",IF($D533="TANIMSIZ MÜŞTERİ","HATA",IF(OR($J533="Tamamlandı",$J533="İptal"),"KAPALI",IF(AND($C533="Görüşme",$N533=""),"SONRAKİ İŞLEM EKSİK",IF($I533="","TARİH EKSİK",IF($I533&lt;TODAY(),"GECİKMİŞ",IF($I533=TODAY(),"BUGÜN",IF($I533&lt;=TODAY()+7,"7 GÜN İÇİNDE","PLANLI"))))))))</f>
        <v/>
      </c>
      <c r="R533" s="6" t="n"/>
      <c r="S533" s="6" t="n"/>
    </row>
    <row r="534">
      <c r="A534" s="6" t="n"/>
      <c r="B534" s="113">
        <f>IF($E534="","","A"&amp;TEXT(ROW()-6,"00000"))</f>
        <v/>
      </c>
      <c r="C534" s="108" t="n"/>
      <c r="D534" s="113">
        <f>IF($E534="","",IFERROR(INDEX(MUSTERILER!$B$7:$B$106,MATCH($E534,MUSTERILER!$C$7:$C$106,0)),IFERROR(INDEX(MUSTERILER!$B$7:$B$106,MATCH($E534,MUSTERILER!$B$7:$B$106,0)),IFERROR(INDEX(MUSTERILER!$B$7:$B$106,MATCH($E534&amp;"*",MUSTERILER!$C$7:$C$106,0)),"TANIMSIZ MÜŞTERİ"))))</f>
        <v/>
      </c>
      <c r="E534" s="109" t="n"/>
      <c r="F534" s="109" t="n"/>
      <c r="G534" s="108" t="n"/>
      <c r="H534" s="225" t="n"/>
      <c r="I534" s="225" t="n"/>
      <c r="J534" s="108" t="n"/>
      <c r="K534" s="108" t="n"/>
      <c r="L534" s="109" t="n"/>
      <c r="M534" s="109" t="n"/>
      <c r="N534" s="109" t="n"/>
      <c r="O534" s="225" t="n"/>
      <c r="P534" s="232">
        <f>IF(OR($E534="",$I534=""),"",IF(OR($J534="Tamamlandı",$J534="İptal"),"",$I534-TODAY()))</f>
        <v/>
      </c>
      <c r="Q534" s="113">
        <f>IF($E534="","",IF($D534="TANIMSIZ MÜŞTERİ","HATA",IF(OR($J534="Tamamlandı",$J534="İptal"),"KAPALI",IF(AND($C534="Görüşme",$N534=""),"SONRAKİ İŞLEM EKSİK",IF($I534="","TARİH EKSİK",IF($I534&lt;TODAY(),"GECİKMİŞ",IF($I534=TODAY(),"BUGÜN",IF($I534&lt;=TODAY()+7,"7 GÜN İÇİNDE","PLANLI"))))))))</f>
        <v/>
      </c>
      <c r="R534" s="6" t="n"/>
      <c r="S534" s="6" t="n"/>
    </row>
    <row r="535">
      <c r="A535" s="6" t="n"/>
      <c r="B535" s="113">
        <f>IF($E535="","","A"&amp;TEXT(ROW()-6,"00000"))</f>
        <v/>
      </c>
      <c r="C535" s="108" t="n"/>
      <c r="D535" s="113">
        <f>IF($E535="","",IFERROR(INDEX(MUSTERILER!$B$7:$B$106,MATCH($E535,MUSTERILER!$C$7:$C$106,0)),IFERROR(INDEX(MUSTERILER!$B$7:$B$106,MATCH($E535,MUSTERILER!$B$7:$B$106,0)),IFERROR(INDEX(MUSTERILER!$B$7:$B$106,MATCH($E535&amp;"*",MUSTERILER!$C$7:$C$106,0)),"TANIMSIZ MÜŞTERİ"))))</f>
        <v/>
      </c>
      <c r="E535" s="109" t="n"/>
      <c r="F535" s="109" t="n"/>
      <c r="G535" s="108" t="n"/>
      <c r="H535" s="225" t="n"/>
      <c r="I535" s="225" t="n"/>
      <c r="J535" s="108" t="n"/>
      <c r="K535" s="108" t="n"/>
      <c r="L535" s="109" t="n"/>
      <c r="M535" s="109" t="n"/>
      <c r="N535" s="109" t="n"/>
      <c r="O535" s="225" t="n"/>
      <c r="P535" s="232">
        <f>IF(OR($E535="",$I535=""),"",IF(OR($J535="Tamamlandı",$J535="İptal"),"",$I535-TODAY()))</f>
        <v/>
      </c>
      <c r="Q535" s="113">
        <f>IF($E535="","",IF($D535="TANIMSIZ MÜŞTERİ","HATA",IF(OR($J535="Tamamlandı",$J535="İptal"),"KAPALI",IF(AND($C535="Görüşme",$N535=""),"SONRAKİ İŞLEM EKSİK",IF($I535="","TARİH EKSİK",IF($I535&lt;TODAY(),"GECİKMİŞ",IF($I535=TODAY(),"BUGÜN",IF($I535&lt;=TODAY()+7,"7 GÜN İÇİNDE","PLANLI"))))))))</f>
        <v/>
      </c>
      <c r="R535" s="6" t="n"/>
      <c r="S535" s="6" t="n"/>
    </row>
    <row r="536">
      <c r="A536" s="6" t="n"/>
      <c r="B536" s="113">
        <f>IF($E536="","","A"&amp;TEXT(ROW()-6,"00000"))</f>
        <v/>
      </c>
      <c r="C536" s="108" t="n"/>
      <c r="D536" s="113">
        <f>IF($E536="","",IFERROR(INDEX(MUSTERILER!$B$7:$B$106,MATCH($E536,MUSTERILER!$C$7:$C$106,0)),IFERROR(INDEX(MUSTERILER!$B$7:$B$106,MATCH($E536,MUSTERILER!$B$7:$B$106,0)),IFERROR(INDEX(MUSTERILER!$B$7:$B$106,MATCH($E536&amp;"*",MUSTERILER!$C$7:$C$106,0)),"TANIMSIZ MÜŞTERİ"))))</f>
        <v/>
      </c>
      <c r="E536" s="109" t="n"/>
      <c r="F536" s="109" t="n"/>
      <c r="G536" s="108" t="n"/>
      <c r="H536" s="225" t="n"/>
      <c r="I536" s="225" t="n"/>
      <c r="J536" s="108" t="n"/>
      <c r="K536" s="108" t="n"/>
      <c r="L536" s="109" t="n"/>
      <c r="M536" s="109" t="n"/>
      <c r="N536" s="109" t="n"/>
      <c r="O536" s="225" t="n"/>
      <c r="P536" s="232">
        <f>IF(OR($E536="",$I536=""),"",IF(OR($J536="Tamamlandı",$J536="İptal"),"",$I536-TODAY()))</f>
        <v/>
      </c>
      <c r="Q536" s="113">
        <f>IF($E536="","",IF($D536="TANIMSIZ MÜŞTERİ","HATA",IF(OR($J536="Tamamlandı",$J536="İptal"),"KAPALI",IF(AND($C536="Görüşme",$N536=""),"SONRAKİ İŞLEM EKSİK",IF($I536="","TARİH EKSİK",IF($I536&lt;TODAY(),"GECİKMİŞ",IF($I536=TODAY(),"BUGÜN",IF($I536&lt;=TODAY()+7,"7 GÜN İÇİNDE","PLANLI"))))))))</f>
        <v/>
      </c>
      <c r="R536" s="6" t="n"/>
      <c r="S536" s="6" t="n"/>
    </row>
    <row r="537">
      <c r="A537" s="6" t="n"/>
      <c r="B537" s="113">
        <f>IF($E537="","","A"&amp;TEXT(ROW()-6,"00000"))</f>
        <v/>
      </c>
      <c r="C537" s="108" t="n"/>
      <c r="D537" s="113">
        <f>IF($E537="","",IFERROR(INDEX(MUSTERILER!$B$7:$B$106,MATCH($E537,MUSTERILER!$C$7:$C$106,0)),IFERROR(INDEX(MUSTERILER!$B$7:$B$106,MATCH($E537,MUSTERILER!$B$7:$B$106,0)),IFERROR(INDEX(MUSTERILER!$B$7:$B$106,MATCH($E537&amp;"*",MUSTERILER!$C$7:$C$106,0)),"TANIMSIZ MÜŞTERİ"))))</f>
        <v/>
      </c>
      <c r="E537" s="109" t="n"/>
      <c r="F537" s="109" t="n"/>
      <c r="G537" s="108" t="n"/>
      <c r="H537" s="225" t="n"/>
      <c r="I537" s="225" t="n"/>
      <c r="J537" s="108" t="n"/>
      <c r="K537" s="108" t="n"/>
      <c r="L537" s="109" t="n"/>
      <c r="M537" s="109" t="n"/>
      <c r="N537" s="109" t="n"/>
      <c r="O537" s="225" t="n"/>
      <c r="P537" s="232">
        <f>IF(OR($E537="",$I537=""),"",IF(OR($J537="Tamamlandı",$J537="İptal"),"",$I537-TODAY()))</f>
        <v/>
      </c>
      <c r="Q537" s="113">
        <f>IF($E537="","",IF($D537="TANIMSIZ MÜŞTERİ","HATA",IF(OR($J537="Tamamlandı",$J537="İptal"),"KAPALI",IF(AND($C537="Görüşme",$N537=""),"SONRAKİ İŞLEM EKSİK",IF($I537="","TARİH EKSİK",IF($I537&lt;TODAY(),"GECİKMİŞ",IF($I537=TODAY(),"BUGÜN",IF($I537&lt;=TODAY()+7,"7 GÜN İÇİNDE","PLANLI"))))))))</f>
        <v/>
      </c>
      <c r="R537" s="6" t="n"/>
      <c r="S537" s="6" t="n"/>
    </row>
    <row r="538">
      <c r="A538" s="6" t="n"/>
      <c r="B538" s="113">
        <f>IF($E538="","","A"&amp;TEXT(ROW()-6,"00000"))</f>
        <v/>
      </c>
      <c r="C538" s="108" t="n"/>
      <c r="D538" s="113">
        <f>IF($E538="","",IFERROR(INDEX(MUSTERILER!$B$7:$B$106,MATCH($E538,MUSTERILER!$C$7:$C$106,0)),IFERROR(INDEX(MUSTERILER!$B$7:$B$106,MATCH($E538,MUSTERILER!$B$7:$B$106,0)),IFERROR(INDEX(MUSTERILER!$B$7:$B$106,MATCH($E538&amp;"*",MUSTERILER!$C$7:$C$106,0)),"TANIMSIZ MÜŞTERİ"))))</f>
        <v/>
      </c>
      <c r="E538" s="109" t="n"/>
      <c r="F538" s="109" t="n"/>
      <c r="G538" s="108" t="n"/>
      <c r="H538" s="225" t="n"/>
      <c r="I538" s="225" t="n"/>
      <c r="J538" s="108" t="n"/>
      <c r="K538" s="108" t="n"/>
      <c r="L538" s="109" t="n"/>
      <c r="M538" s="109" t="n"/>
      <c r="N538" s="109" t="n"/>
      <c r="O538" s="225" t="n"/>
      <c r="P538" s="232">
        <f>IF(OR($E538="",$I538=""),"",IF(OR($J538="Tamamlandı",$J538="İptal"),"",$I538-TODAY()))</f>
        <v/>
      </c>
      <c r="Q538" s="113">
        <f>IF($E538="","",IF($D538="TANIMSIZ MÜŞTERİ","HATA",IF(OR($J538="Tamamlandı",$J538="İptal"),"KAPALI",IF(AND($C538="Görüşme",$N538=""),"SONRAKİ İŞLEM EKSİK",IF($I538="","TARİH EKSİK",IF($I538&lt;TODAY(),"GECİKMİŞ",IF($I538=TODAY(),"BUGÜN",IF($I538&lt;=TODAY()+7,"7 GÜN İÇİNDE","PLANLI"))))))))</f>
        <v/>
      </c>
      <c r="R538" s="6" t="n"/>
      <c r="S538" s="6" t="n"/>
    </row>
    <row r="539">
      <c r="A539" s="6" t="n"/>
      <c r="B539" s="113">
        <f>IF($E539="","","A"&amp;TEXT(ROW()-6,"00000"))</f>
        <v/>
      </c>
      <c r="C539" s="108" t="n"/>
      <c r="D539" s="113">
        <f>IF($E539="","",IFERROR(INDEX(MUSTERILER!$B$7:$B$106,MATCH($E539,MUSTERILER!$C$7:$C$106,0)),IFERROR(INDEX(MUSTERILER!$B$7:$B$106,MATCH($E539,MUSTERILER!$B$7:$B$106,0)),IFERROR(INDEX(MUSTERILER!$B$7:$B$106,MATCH($E539&amp;"*",MUSTERILER!$C$7:$C$106,0)),"TANIMSIZ MÜŞTERİ"))))</f>
        <v/>
      </c>
      <c r="E539" s="109" t="n"/>
      <c r="F539" s="109" t="n"/>
      <c r="G539" s="108" t="n"/>
      <c r="H539" s="225" t="n"/>
      <c r="I539" s="225" t="n"/>
      <c r="J539" s="108" t="n"/>
      <c r="K539" s="108" t="n"/>
      <c r="L539" s="109" t="n"/>
      <c r="M539" s="109" t="n"/>
      <c r="N539" s="109" t="n"/>
      <c r="O539" s="225" t="n"/>
      <c r="P539" s="232">
        <f>IF(OR($E539="",$I539=""),"",IF(OR($J539="Tamamlandı",$J539="İptal"),"",$I539-TODAY()))</f>
        <v/>
      </c>
      <c r="Q539" s="113">
        <f>IF($E539="","",IF($D539="TANIMSIZ MÜŞTERİ","HATA",IF(OR($J539="Tamamlandı",$J539="İptal"),"KAPALI",IF(AND($C539="Görüşme",$N539=""),"SONRAKİ İŞLEM EKSİK",IF($I539="","TARİH EKSİK",IF($I539&lt;TODAY(),"GECİKMİŞ",IF($I539=TODAY(),"BUGÜN",IF($I539&lt;=TODAY()+7,"7 GÜN İÇİNDE","PLANLI"))))))))</f>
        <v/>
      </c>
      <c r="R539" s="6" t="n"/>
      <c r="S539" s="6" t="n"/>
    </row>
    <row r="540">
      <c r="A540" s="6" t="n"/>
      <c r="B540" s="113">
        <f>IF($E540="","","A"&amp;TEXT(ROW()-6,"00000"))</f>
        <v/>
      </c>
      <c r="C540" s="108" t="n"/>
      <c r="D540" s="113">
        <f>IF($E540="","",IFERROR(INDEX(MUSTERILER!$B$7:$B$106,MATCH($E540,MUSTERILER!$C$7:$C$106,0)),IFERROR(INDEX(MUSTERILER!$B$7:$B$106,MATCH($E540,MUSTERILER!$B$7:$B$106,0)),IFERROR(INDEX(MUSTERILER!$B$7:$B$106,MATCH($E540&amp;"*",MUSTERILER!$C$7:$C$106,0)),"TANIMSIZ MÜŞTERİ"))))</f>
        <v/>
      </c>
      <c r="E540" s="109" t="n"/>
      <c r="F540" s="109" t="n"/>
      <c r="G540" s="108" t="n"/>
      <c r="H540" s="225" t="n"/>
      <c r="I540" s="225" t="n"/>
      <c r="J540" s="108" t="n"/>
      <c r="K540" s="108" t="n"/>
      <c r="L540" s="109" t="n"/>
      <c r="M540" s="109" t="n"/>
      <c r="N540" s="109" t="n"/>
      <c r="O540" s="225" t="n"/>
      <c r="P540" s="232">
        <f>IF(OR($E540="",$I540=""),"",IF(OR($J540="Tamamlandı",$J540="İptal"),"",$I540-TODAY()))</f>
        <v/>
      </c>
      <c r="Q540" s="113">
        <f>IF($E540="","",IF($D540="TANIMSIZ MÜŞTERİ","HATA",IF(OR($J540="Tamamlandı",$J540="İptal"),"KAPALI",IF(AND($C540="Görüşme",$N540=""),"SONRAKİ İŞLEM EKSİK",IF($I540="","TARİH EKSİK",IF($I540&lt;TODAY(),"GECİKMİŞ",IF($I540=TODAY(),"BUGÜN",IF($I540&lt;=TODAY()+7,"7 GÜN İÇİNDE","PLANLI"))))))))</f>
        <v/>
      </c>
      <c r="R540" s="6" t="n"/>
      <c r="S540" s="6" t="n"/>
    </row>
    <row r="541">
      <c r="A541" s="6" t="n"/>
      <c r="B541" s="113">
        <f>IF($E541="","","A"&amp;TEXT(ROW()-6,"00000"))</f>
        <v/>
      </c>
      <c r="C541" s="108" t="n"/>
      <c r="D541" s="113">
        <f>IF($E541="","",IFERROR(INDEX(MUSTERILER!$B$7:$B$106,MATCH($E541,MUSTERILER!$C$7:$C$106,0)),IFERROR(INDEX(MUSTERILER!$B$7:$B$106,MATCH($E541,MUSTERILER!$B$7:$B$106,0)),IFERROR(INDEX(MUSTERILER!$B$7:$B$106,MATCH($E541&amp;"*",MUSTERILER!$C$7:$C$106,0)),"TANIMSIZ MÜŞTERİ"))))</f>
        <v/>
      </c>
      <c r="E541" s="109" t="n"/>
      <c r="F541" s="109" t="n"/>
      <c r="G541" s="108" t="n"/>
      <c r="H541" s="225" t="n"/>
      <c r="I541" s="225" t="n"/>
      <c r="J541" s="108" t="n"/>
      <c r="K541" s="108" t="n"/>
      <c r="L541" s="109" t="n"/>
      <c r="M541" s="109" t="n"/>
      <c r="N541" s="109" t="n"/>
      <c r="O541" s="225" t="n"/>
      <c r="P541" s="232">
        <f>IF(OR($E541="",$I541=""),"",IF(OR($J541="Tamamlandı",$J541="İptal"),"",$I541-TODAY()))</f>
        <v/>
      </c>
      <c r="Q541" s="113">
        <f>IF($E541="","",IF($D541="TANIMSIZ MÜŞTERİ","HATA",IF(OR($J541="Tamamlandı",$J541="İptal"),"KAPALI",IF(AND($C541="Görüşme",$N541=""),"SONRAKİ İŞLEM EKSİK",IF($I541="","TARİH EKSİK",IF($I541&lt;TODAY(),"GECİKMİŞ",IF($I541=TODAY(),"BUGÜN",IF($I541&lt;=TODAY()+7,"7 GÜN İÇİNDE","PLANLI"))))))))</f>
        <v/>
      </c>
      <c r="R541" s="6" t="n"/>
      <c r="S541" s="6" t="n"/>
    </row>
    <row r="542">
      <c r="A542" s="6" t="n"/>
      <c r="B542" s="113">
        <f>IF($E542="","","A"&amp;TEXT(ROW()-6,"00000"))</f>
        <v/>
      </c>
      <c r="C542" s="108" t="n"/>
      <c r="D542" s="113">
        <f>IF($E542="","",IFERROR(INDEX(MUSTERILER!$B$7:$B$106,MATCH($E542,MUSTERILER!$C$7:$C$106,0)),IFERROR(INDEX(MUSTERILER!$B$7:$B$106,MATCH($E542,MUSTERILER!$B$7:$B$106,0)),IFERROR(INDEX(MUSTERILER!$B$7:$B$106,MATCH($E542&amp;"*",MUSTERILER!$C$7:$C$106,0)),"TANIMSIZ MÜŞTERİ"))))</f>
        <v/>
      </c>
      <c r="E542" s="109" t="n"/>
      <c r="F542" s="109" t="n"/>
      <c r="G542" s="108" t="n"/>
      <c r="H542" s="225" t="n"/>
      <c r="I542" s="225" t="n"/>
      <c r="J542" s="108" t="n"/>
      <c r="K542" s="108" t="n"/>
      <c r="L542" s="109" t="n"/>
      <c r="M542" s="109" t="n"/>
      <c r="N542" s="109" t="n"/>
      <c r="O542" s="225" t="n"/>
      <c r="P542" s="232">
        <f>IF(OR($E542="",$I542=""),"",IF(OR($J542="Tamamlandı",$J542="İptal"),"",$I542-TODAY()))</f>
        <v/>
      </c>
      <c r="Q542" s="113">
        <f>IF($E542="","",IF($D542="TANIMSIZ MÜŞTERİ","HATA",IF(OR($J542="Tamamlandı",$J542="İptal"),"KAPALI",IF(AND($C542="Görüşme",$N542=""),"SONRAKİ İŞLEM EKSİK",IF($I542="","TARİH EKSİK",IF($I542&lt;TODAY(),"GECİKMİŞ",IF($I542=TODAY(),"BUGÜN",IF($I542&lt;=TODAY()+7,"7 GÜN İÇİNDE","PLANLI"))))))))</f>
        <v/>
      </c>
      <c r="R542" s="6" t="n"/>
      <c r="S542" s="6" t="n"/>
    </row>
    <row r="543">
      <c r="A543" s="6" t="n"/>
      <c r="B543" s="113">
        <f>IF($E543="","","A"&amp;TEXT(ROW()-6,"00000"))</f>
        <v/>
      </c>
      <c r="C543" s="108" t="n"/>
      <c r="D543" s="113">
        <f>IF($E543="","",IFERROR(INDEX(MUSTERILER!$B$7:$B$106,MATCH($E543,MUSTERILER!$C$7:$C$106,0)),IFERROR(INDEX(MUSTERILER!$B$7:$B$106,MATCH($E543,MUSTERILER!$B$7:$B$106,0)),IFERROR(INDEX(MUSTERILER!$B$7:$B$106,MATCH($E543&amp;"*",MUSTERILER!$C$7:$C$106,0)),"TANIMSIZ MÜŞTERİ"))))</f>
        <v/>
      </c>
      <c r="E543" s="109" t="n"/>
      <c r="F543" s="109" t="n"/>
      <c r="G543" s="108" t="n"/>
      <c r="H543" s="225" t="n"/>
      <c r="I543" s="225" t="n"/>
      <c r="J543" s="108" t="n"/>
      <c r="K543" s="108" t="n"/>
      <c r="L543" s="109" t="n"/>
      <c r="M543" s="109" t="n"/>
      <c r="N543" s="109" t="n"/>
      <c r="O543" s="225" t="n"/>
      <c r="P543" s="232">
        <f>IF(OR($E543="",$I543=""),"",IF(OR($J543="Tamamlandı",$J543="İptal"),"",$I543-TODAY()))</f>
        <v/>
      </c>
      <c r="Q543" s="113">
        <f>IF($E543="","",IF($D543="TANIMSIZ MÜŞTERİ","HATA",IF(OR($J543="Tamamlandı",$J543="İptal"),"KAPALI",IF(AND($C543="Görüşme",$N543=""),"SONRAKİ İŞLEM EKSİK",IF($I543="","TARİH EKSİK",IF($I543&lt;TODAY(),"GECİKMİŞ",IF($I543=TODAY(),"BUGÜN",IF($I543&lt;=TODAY()+7,"7 GÜN İÇİNDE","PLANLI"))))))))</f>
        <v/>
      </c>
      <c r="R543" s="6" t="n"/>
      <c r="S543" s="6" t="n"/>
    </row>
    <row r="544">
      <c r="A544" s="6" t="n"/>
      <c r="B544" s="113">
        <f>IF($E544="","","A"&amp;TEXT(ROW()-6,"00000"))</f>
        <v/>
      </c>
      <c r="C544" s="108" t="n"/>
      <c r="D544" s="113">
        <f>IF($E544="","",IFERROR(INDEX(MUSTERILER!$B$7:$B$106,MATCH($E544,MUSTERILER!$C$7:$C$106,0)),IFERROR(INDEX(MUSTERILER!$B$7:$B$106,MATCH($E544,MUSTERILER!$B$7:$B$106,0)),IFERROR(INDEX(MUSTERILER!$B$7:$B$106,MATCH($E544&amp;"*",MUSTERILER!$C$7:$C$106,0)),"TANIMSIZ MÜŞTERİ"))))</f>
        <v/>
      </c>
      <c r="E544" s="109" t="n"/>
      <c r="F544" s="109" t="n"/>
      <c r="G544" s="108" t="n"/>
      <c r="H544" s="225" t="n"/>
      <c r="I544" s="225" t="n"/>
      <c r="J544" s="108" t="n"/>
      <c r="K544" s="108" t="n"/>
      <c r="L544" s="109" t="n"/>
      <c r="M544" s="109" t="n"/>
      <c r="N544" s="109" t="n"/>
      <c r="O544" s="225" t="n"/>
      <c r="P544" s="232">
        <f>IF(OR($E544="",$I544=""),"",IF(OR($J544="Tamamlandı",$J544="İptal"),"",$I544-TODAY()))</f>
        <v/>
      </c>
      <c r="Q544" s="113">
        <f>IF($E544="","",IF($D544="TANIMSIZ MÜŞTERİ","HATA",IF(OR($J544="Tamamlandı",$J544="İptal"),"KAPALI",IF(AND($C544="Görüşme",$N544=""),"SONRAKİ İŞLEM EKSİK",IF($I544="","TARİH EKSİK",IF($I544&lt;TODAY(),"GECİKMİŞ",IF($I544=TODAY(),"BUGÜN",IF($I544&lt;=TODAY()+7,"7 GÜN İÇİNDE","PLANLI"))))))))</f>
        <v/>
      </c>
      <c r="R544" s="6" t="n"/>
      <c r="S544" s="6" t="n"/>
    </row>
    <row r="545">
      <c r="A545" s="6" t="n"/>
      <c r="B545" s="113">
        <f>IF($E545="","","A"&amp;TEXT(ROW()-6,"00000"))</f>
        <v/>
      </c>
      <c r="C545" s="108" t="n"/>
      <c r="D545" s="113">
        <f>IF($E545="","",IFERROR(INDEX(MUSTERILER!$B$7:$B$106,MATCH($E545,MUSTERILER!$C$7:$C$106,0)),IFERROR(INDEX(MUSTERILER!$B$7:$B$106,MATCH($E545,MUSTERILER!$B$7:$B$106,0)),IFERROR(INDEX(MUSTERILER!$B$7:$B$106,MATCH($E545&amp;"*",MUSTERILER!$C$7:$C$106,0)),"TANIMSIZ MÜŞTERİ"))))</f>
        <v/>
      </c>
      <c r="E545" s="109" t="n"/>
      <c r="F545" s="109" t="n"/>
      <c r="G545" s="108" t="n"/>
      <c r="H545" s="225" t="n"/>
      <c r="I545" s="225" t="n"/>
      <c r="J545" s="108" t="n"/>
      <c r="K545" s="108" t="n"/>
      <c r="L545" s="109" t="n"/>
      <c r="M545" s="109" t="n"/>
      <c r="N545" s="109" t="n"/>
      <c r="O545" s="225" t="n"/>
      <c r="P545" s="232">
        <f>IF(OR($E545="",$I545=""),"",IF(OR($J545="Tamamlandı",$J545="İptal"),"",$I545-TODAY()))</f>
        <v/>
      </c>
      <c r="Q545" s="113">
        <f>IF($E545="","",IF($D545="TANIMSIZ MÜŞTERİ","HATA",IF(OR($J545="Tamamlandı",$J545="İptal"),"KAPALI",IF(AND($C545="Görüşme",$N545=""),"SONRAKİ İŞLEM EKSİK",IF($I545="","TARİH EKSİK",IF($I545&lt;TODAY(),"GECİKMİŞ",IF($I545=TODAY(),"BUGÜN",IF($I545&lt;=TODAY()+7,"7 GÜN İÇİNDE","PLANLI"))))))))</f>
        <v/>
      </c>
      <c r="R545" s="6" t="n"/>
      <c r="S545" s="6" t="n"/>
    </row>
    <row r="546">
      <c r="A546" s="6" t="n"/>
      <c r="B546" s="113">
        <f>IF($E546="","","A"&amp;TEXT(ROW()-6,"00000"))</f>
        <v/>
      </c>
      <c r="C546" s="108" t="n"/>
      <c r="D546" s="113">
        <f>IF($E546="","",IFERROR(INDEX(MUSTERILER!$B$7:$B$106,MATCH($E546,MUSTERILER!$C$7:$C$106,0)),IFERROR(INDEX(MUSTERILER!$B$7:$B$106,MATCH($E546,MUSTERILER!$B$7:$B$106,0)),IFERROR(INDEX(MUSTERILER!$B$7:$B$106,MATCH($E546&amp;"*",MUSTERILER!$C$7:$C$106,0)),"TANIMSIZ MÜŞTERİ"))))</f>
        <v/>
      </c>
      <c r="E546" s="109" t="n"/>
      <c r="F546" s="109" t="n"/>
      <c r="G546" s="108" t="n"/>
      <c r="H546" s="225" t="n"/>
      <c r="I546" s="225" t="n"/>
      <c r="J546" s="108" t="n"/>
      <c r="K546" s="108" t="n"/>
      <c r="L546" s="109" t="n"/>
      <c r="M546" s="109" t="n"/>
      <c r="N546" s="109" t="n"/>
      <c r="O546" s="225" t="n"/>
      <c r="P546" s="232">
        <f>IF(OR($E546="",$I546=""),"",IF(OR($J546="Tamamlandı",$J546="İptal"),"",$I546-TODAY()))</f>
        <v/>
      </c>
      <c r="Q546" s="113">
        <f>IF($E546="","",IF($D546="TANIMSIZ MÜŞTERİ","HATA",IF(OR($J546="Tamamlandı",$J546="İptal"),"KAPALI",IF(AND($C546="Görüşme",$N546=""),"SONRAKİ İŞLEM EKSİK",IF($I546="","TARİH EKSİK",IF($I546&lt;TODAY(),"GECİKMİŞ",IF($I546=TODAY(),"BUGÜN",IF($I546&lt;=TODAY()+7,"7 GÜN İÇİNDE","PLANLI"))))))))</f>
        <v/>
      </c>
      <c r="R546" s="6" t="n"/>
      <c r="S546" s="6" t="n"/>
    </row>
    <row r="547">
      <c r="A547" s="6" t="n"/>
      <c r="B547" s="113">
        <f>IF($E547="","","A"&amp;TEXT(ROW()-6,"00000"))</f>
        <v/>
      </c>
      <c r="C547" s="108" t="n"/>
      <c r="D547" s="113">
        <f>IF($E547="","",IFERROR(INDEX(MUSTERILER!$B$7:$B$106,MATCH($E547,MUSTERILER!$C$7:$C$106,0)),IFERROR(INDEX(MUSTERILER!$B$7:$B$106,MATCH($E547,MUSTERILER!$B$7:$B$106,0)),IFERROR(INDEX(MUSTERILER!$B$7:$B$106,MATCH($E547&amp;"*",MUSTERILER!$C$7:$C$106,0)),"TANIMSIZ MÜŞTERİ"))))</f>
        <v/>
      </c>
      <c r="E547" s="109" t="n"/>
      <c r="F547" s="109" t="n"/>
      <c r="G547" s="108" t="n"/>
      <c r="H547" s="225" t="n"/>
      <c r="I547" s="225" t="n"/>
      <c r="J547" s="108" t="n"/>
      <c r="K547" s="108" t="n"/>
      <c r="L547" s="109" t="n"/>
      <c r="M547" s="109" t="n"/>
      <c r="N547" s="109" t="n"/>
      <c r="O547" s="225" t="n"/>
      <c r="P547" s="232">
        <f>IF(OR($E547="",$I547=""),"",IF(OR($J547="Tamamlandı",$J547="İptal"),"",$I547-TODAY()))</f>
        <v/>
      </c>
      <c r="Q547" s="113">
        <f>IF($E547="","",IF($D547="TANIMSIZ MÜŞTERİ","HATA",IF(OR($J547="Tamamlandı",$J547="İptal"),"KAPALI",IF(AND($C547="Görüşme",$N547=""),"SONRAKİ İŞLEM EKSİK",IF($I547="","TARİH EKSİK",IF($I547&lt;TODAY(),"GECİKMİŞ",IF($I547=TODAY(),"BUGÜN",IF($I547&lt;=TODAY()+7,"7 GÜN İÇİNDE","PLANLI"))))))))</f>
        <v/>
      </c>
      <c r="R547" s="6" t="n"/>
      <c r="S547" s="6" t="n"/>
    </row>
    <row r="548">
      <c r="A548" s="6" t="n"/>
      <c r="B548" s="113">
        <f>IF($E548="","","A"&amp;TEXT(ROW()-6,"00000"))</f>
        <v/>
      </c>
      <c r="C548" s="108" t="n"/>
      <c r="D548" s="113">
        <f>IF($E548="","",IFERROR(INDEX(MUSTERILER!$B$7:$B$106,MATCH($E548,MUSTERILER!$C$7:$C$106,0)),IFERROR(INDEX(MUSTERILER!$B$7:$B$106,MATCH($E548,MUSTERILER!$B$7:$B$106,0)),IFERROR(INDEX(MUSTERILER!$B$7:$B$106,MATCH($E548&amp;"*",MUSTERILER!$C$7:$C$106,0)),"TANIMSIZ MÜŞTERİ"))))</f>
        <v/>
      </c>
      <c r="E548" s="109" t="n"/>
      <c r="F548" s="109" t="n"/>
      <c r="G548" s="108" t="n"/>
      <c r="H548" s="225" t="n"/>
      <c r="I548" s="225" t="n"/>
      <c r="J548" s="108" t="n"/>
      <c r="K548" s="108" t="n"/>
      <c r="L548" s="109" t="n"/>
      <c r="M548" s="109" t="n"/>
      <c r="N548" s="109" t="n"/>
      <c r="O548" s="225" t="n"/>
      <c r="P548" s="232">
        <f>IF(OR($E548="",$I548=""),"",IF(OR($J548="Tamamlandı",$J548="İptal"),"",$I548-TODAY()))</f>
        <v/>
      </c>
      <c r="Q548" s="113">
        <f>IF($E548="","",IF($D548="TANIMSIZ MÜŞTERİ","HATA",IF(OR($J548="Tamamlandı",$J548="İptal"),"KAPALI",IF(AND($C548="Görüşme",$N548=""),"SONRAKİ İŞLEM EKSİK",IF($I548="","TARİH EKSİK",IF($I548&lt;TODAY(),"GECİKMİŞ",IF($I548=TODAY(),"BUGÜN",IF($I548&lt;=TODAY()+7,"7 GÜN İÇİNDE","PLANLI"))))))))</f>
        <v/>
      </c>
      <c r="R548" s="6" t="n"/>
      <c r="S548" s="6" t="n"/>
    </row>
    <row r="549">
      <c r="A549" s="6" t="n"/>
      <c r="B549" s="113">
        <f>IF($E549="","","A"&amp;TEXT(ROW()-6,"00000"))</f>
        <v/>
      </c>
      <c r="C549" s="108" t="n"/>
      <c r="D549" s="113">
        <f>IF($E549="","",IFERROR(INDEX(MUSTERILER!$B$7:$B$106,MATCH($E549,MUSTERILER!$C$7:$C$106,0)),IFERROR(INDEX(MUSTERILER!$B$7:$B$106,MATCH($E549,MUSTERILER!$B$7:$B$106,0)),IFERROR(INDEX(MUSTERILER!$B$7:$B$106,MATCH($E549&amp;"*",MUSTERILER!$C$7:$C$106,0)),"TANIMSIZ MÜŞTERİ"))))</f>
        <v/>
      </c>
      <c r="E549" s="109" t="n"/>
      <c r="F549" s="109" t="n"/>
      <c r="G549" s="108" t="n"/>
      <c r="H549" s="225" t="n"/>
      <c r="I549" s="225" t="n"/>
      <c r="J549" s="108" t="n"/>
      <c r="K549" s="108" t="n"/>
      <c r="L549" s="109" t="n"/>
      <c r="M549" s="109" t="n"/>
      <c r="N549" s="109" t="n"/>
      <c r="O549" s="225" t="n"/>
      <c r="P549" s="232">
        <f>IF(OR($E549="",$I549=""),"",IF(OR($J549="Tamamlandı",$J549="İptal"),"",$I549-TODAY()))</f>
        <v/>
      </c>
      <c r="Q549" s="113">
        <f>IF($E549="","",IF($D549="TANIMSIZ MÜŞTERİ","HATA",IF(OR($J549="Tamamlandı",$J549="İptal"),"KAPALI",IF(AND($C549="Görüşme",$N549=""),"SONRAKİ İŞLEM EKSİK",IF($I549="","TARİH EKSİK",IF($I549&lt;TODAY(),"GECİKMİŞ",IF($I549=TODAY(),"BUGÜN",IF($I549&lt;=TODAY()+7,"7 GÜN İÇİNDE","PLANLI"))))))))</f>
        <v/>
      </c>
      <c r="R549" s="6" t="n"/>
      <c r="S549" s="6" t="n"/>
    </row>
    <row r="550">
      <c r="A550" s="6" t="n"/>
      <c r="B550" s="113">
        <f>IF($E550="","","A"&amp;TEXT(ROW()-6,"00000"))</f>
        <v/>
      </c>
      <c r="C550" s="108" t="n"/>
      <c r="D550" s="113">
        <f>IF($E550="","",IFERROR(INDEX(MUSTERILER!$B$7:$B$106,MATCH($E550,MUSTERILER!$C$7:$C$106,0)),IFERROR(INDEX(MUSTERILER!$B$7:$B$106,MATCH($E550,MUSTERILER!$B$7:$B$106,0)),IFERROR(INDEX(MUSTERILER!$B$7:$B$106,MATCH($E550&amp;"*",MUSTERILER!$C$7:$C$106,0)),"TANIMSIZ MÜŞTERİ"))))</f>
        <v/>
      </c>
      <c r="E550" s="109" t="n"/>
      <c r="F550" s="109" t="n"/>
      <c r="G550" s="108" t="n"/>
      <c r="H550" s="225" t="n"/>
      <c r="I550" s="225" t="n"/>
      <c r="J550" s="108" t="n"/>
      <c r="K550" s="108" t="n"/>
      <c r="L550" s="109" t="n"/>
      <c r="M550" s="109" t="n"/>
      <c r="N550" s="109" t="n"/>
      <c r="O550" s="225" t="n"/>
      <c r="P550" s="232">
        <f>IF(OR($E550="",$I550=""),"",IF(OR($J550="Tamamlandı",$J550="İptal"),"",$I550-TODAY()))</f>
        <v/>
      </c>
      <c r="Q550" s="113">
        <f>IF($E550="","",IF($D550="TANIMSIZ MÜŞTERİ","HATA",IF(OR($J550="Tamamlandı",$J550="İptal"),"KAPALI",IF(AND($C550="Görüşme",$N550=""),"SONRAKİ İŞLEM EKSİK",IF($I550="","TARİH EKSİK",IF($I550&lt;TODAY(),"GECİKMİŞ",IF($I550=TODAY(),"BUGÜN",IF($I550&lt;=TODAY()+7,"7 GÜN İÇİNDE","PLANLI"))))))))</f>
        <v/>
      </c>
      <c r="R550" s="6" t="n"/>
      <c r="S550" s="6" t="n"/>
    </row>
    <row r="551">
      <c r="A551" s="6" t="n"/>
      <c r="B551" s="113">
        <f>IF($E551="","","A"&amp;TEXT(ROW()-6,"00000"))</f>
        <v/>
      </c>
      <c r="C551" s="108" t="n"/>
      <c r="D551" s="113">
        <f>IF($E551="","",IFERROR(INDEX(MUSTERILER!$B$7:$B$106,MATCH($E551,MUSTERILER!$C$7:$C$106,0)),IFERROR(INDEX(MUSTERILER!$B$7:$B$106,MATCH($E551,MUSTERILER!$B$7:$B$106,0)),IFERROR(INDEX(MUSTERILER!$B$7:$B$106,MATCH($E551&amp;"*",MUSTERILER!$C$7:$C$106,0)),"TANIMSIZ MÜŞTERİ"))))</f>
        <v/>
      </c>
      <c r="E551" s="109" t="n"/>
      <c r="F551" s="109" t="n"/>
      <c r="G551" s="108" t="n"/>
      <c r="H551" s="225" t="n"/>
      <c r="I551" s="225" t="n"/>
      <c r="J551" s="108" t="n"/>
      <c r="K551" s="108" t="n"/>
      <c r="L551" s="109" t="n"/>
      <c r="M551" s="109" t="n"/>
      <c r="N551" s="109" t="n"/>
      <c r="O551" s="225" t="n"/>
      <c r="P551" s="232">
        <f>IF(OR($E551="",$I551=""),"",IF(OR($J551="Tamamlandı",$J551="İptal"),"",$I551-TODAY()))</f>
        <v/>
      </c>
      <c r="Q551" s="113">
        <f>IF($E551="","",IF($D551="TANIMSIZ MÜŞTERİ","HATA",IF(OR($J551="Tamamlandı",$J551="İptal"),"KAPALI",IF(AND($C551="Görüşme",$N551=""),"SONRAKİ İŞLEM EKSİK",IF($I551="","TARİH EKSİK",IF($I551&lt;TODAY(),"GECİKMİŞ",IF($I551=TODAY(),"BUGÜN",IF($I551&lt;=TODAY()+7,"7 GÜN İÇİNDE","PLANLI"))))))))</f>
        <v/>
      </c>
      <c r="R551" s="6" t="n"/>
      <c r="S551" s="6" t="n"/>
    </row>
    <row r="552">
      <c r="A552" s="6" t="n"/>
      <c r="B552" s="113">
        <f>IF($E552="","","A"&amp;TEXT(ROW()-6,"00000"))</f>
        <v/>
      </c>
      <c r="C552" s="108" t="n"/>
      <c r="D552" s="113">
        <f>IF($E552="","",IFERROR(INDEX(MUSTERILER!$B$7:$B$106,MATCH($E552,MUSTERILER!$C$7:$C$106,0)),IFERROR(INDEX(MUSTERILER!$B$7:$B$106,MATCH($E552,MUSTERILER!$B$7:$B$106,0)),IFERROR(INDEX(MUSTERILER!$B$7:$B$106,MATCH($E552&amp;"*",MUSTERILER!$C$7:$C$106,0)),"TANIMSIZ MÜŞTERİ"))))</f>
        <v/>
      </c>
      <c r="E552" s="109" t="n"/>
      <c r="F552" s="109" t="n"/>
      <c r="G552" s="108" t="n"/>
      <c r="H552" s="225" t="n"/>
      <c r="I552" s="225" t="n"/>
      <c r="J552" s="108" t="n"/>
      <c r="K552" s="108" t="n"/>
      <c r="L552" s="109" t="n"/>
      <c r="M552" s="109" t="n"/>
      <c r="N552" s="109" t="n"/>
      <c r="O552" s="225" t="n"/>
      <c r="P552" s="232">
        <f>IF(OR($E552="",$I552=""),"",IF(OR($J552="Tamamlandı",$J552="İptal"),"",$I552-TODAY()))</f>
        <v/>
      </c>
      <c r="Q552" s="113">
        <f>IF($E552="","",IF($D552="TANIMSIZ MÜŞTERİ","HATA",IF(OR($J552="Tamamlandı",$J552="İptal"),"KAPALI",IF(AND($C552="Görüşme",$N552=""),"SONRAKİ İŞLEM EKSİK",IF($I552="","TARİH EKSİK",IF($I552&lt;TODAY(),"GECİKMİŞ",IF($I552=TODAY(),"BUGÜN",IF($I552&lt;=TODAY()+7,"7 GÜN İÇİNDE","PLANLI"))))))))</f>
        <v/>
      </c>
      <c r="R552" s="6" t="n"/>
      <c r="S552" s="6" t="n"/>
    </row>
    <row r="553">
      <c r="A553" s="6" t="n"/>
      <c r="B553" s="113">
        <f>IF($E553="","","A"&amp;TEXT(ROW()-6,"00000"))</f>
        <v/>
      </c>
      <c r="C553" s="108" t="n"/>
      <c r="D553" s="113">
        <f>IF($E553="","",IFERROR(INDEX(MUSTERILER!$B$7:$B$106,MATCH($E553,MUSTERILER!$C$7:$C$106,0)),IFERROR(INDEX(MUSTERILER!$B$7:$B$106,MATCH($E553,MUSTERILER!$B$7:$B$106,0)),IFERROR(INDEX(MUSTERILER!$B$7:$B$106,MATCH($E553&amp;"*",MUSTERILER!$C$7:$C$106,0)),"TANIMSIZ MÜŞTERİ"))))</f>
        <v/>
      </c>
      <c r="E553" s="109" t="n"/>
      <c r="F553" s="109" t="n"/>
      <c r="G553" s="108" t="n"/>
      <c r="H553" s="225" t="n"/>
      <c r="I553" s="225" t="n"/>
      <c r="J553" s="108" t="n"/>
      <c r="K553" s="108" t="n"/>
      <c r="L553" s="109" t="n"/>
      <c r="M553" s="109" t="n"/>
      <c r="N553" s="109" t="n"/>
      <c r="O553" s="225" t="n"/>
      <c r="P553" s="232">
        <f>IF(OR($E553="",$I553=""),"",IF(OR($J553="Tamamlandı",$J553="İptal"),"",$I553-TODAY()))</f>
        <v/>
      </c>
      <c r="Q553" s="113">
        <f>IF($E553="","",IF($D553="TANIMSIZ MÜŞTERİ","HATA",IF(OR($J553="Tamamlandı",$J553="İptal"),"KAPALI",IF(AND($C553="Görüşme",$N553=""),"SONRAKİ İŞLEM EKSİK",IF($I553="","TARİH EKSİK",IF($I553&lt;TODAY(),"GECİKMİŞ",IF($I553=TODAY(),"BUGÜN",IF($I553&lt;=TODAY()+7,"7 GÜN İÇİNDE","PLANLI"))))))))</f>
        <v/>
      </c>
      <c r="R553" s="6" t="n"/>
      <c r="S553" s="6" t="n"/>
    </row>
    <row r="554">
      <c r="A554" s="6" t="n"/>
      <c r="B554" s="113">
        <f>IF($E554="","","A"&amp;TEXT(ROW()-6,"00000"))</f>
        <v/>
      </c>
      <c r="C554" s="108" t="n"/>
      <c r="D554" s="113">
        <f>IF($E554="","",IFERROR(INDEX(MUSTERILER!$B$7:$B$106,MATCH($E554,MUSTERILER!$C$7:$C$106,0)),IFERROR(INDEX(MUSTERILER!$B$7:$B$106,MATCH($E554,MUSTERILER!$B$7:$B$106,0)),IFERROR(INDEX(MUSTERILER!$B$7:$B$106,MATCH($E554&amp;"*",MUSTERILER!$C$7:$C$106,0)),"TANIMSIZ MÜŞTERİ"))))</f>
        <v/>
      </c>
      <c r="E554" s="109" t="n"/>
      <c r="F554" s="109" t="n"/>
      <c r="G554" s="108" t="n"/>
      <c r="H554" s="225" t="n"/>
      <c r="I554" s="225" t="n"/>
      <c r="J554" s="108" t="n"/>
      <c r="K554" s="108" t="n"/>
      <c r="L554" s="109" t="n"/>
      <c r="M554" s="109" t="n"/>
      <c r="N554" s="109" t="n"/>
      <c r="O554" s="225" t="n"/>
      <c r="P554" s="232">
        <f>IF(OR($E554="",$I554=""),"",IF(OR($J554="Tamamlandı",$J554="İptal"),"",$I554-TODAY()))</f>
        <v/>
      </c>
      <c r="Q554" s="113">
        <f>IF($E554="","",IF($D554="TANIMSIZ MÜŞTERİ","HATA",IF(OR($J554="Tamamlandı",$J554="İptal"),"KAPALI",IF(AND($C554="Görüşme",$N554=""),"SONRAKİ İŞLEM EKSİK",IF($I554="","TARİH EKSİK",IF($I554&lt;TODAY(),"GECİKMİŞ",IF($I554=TODAY(),"BUGÜN",IF($I554&lt;=TODAY()+7,"7 GÜN İÇİNDE","PLANLI"))))))))</f>
        <v/>
      </c>
      <c r="R554" s="6" t="n"/>
      <c r="S554" s="6" t="n"/>
    </row>
    <row r="555">
      <c r="A555" s="6" t="n"/>
      <c r="B555" s="113">
        <f>IF($E555="","","A"&amp;TEXT(ROW()-6,"00000"))</f>
        <v/>
      </c>
      <c r="C555" s="108" t="n"/>
      <c r="D555" s="113">
        <f>IF($E555="","",IFERROR(INDEX(MUSTERILER!$B$7:$B$106,MATCH($E555,MUSTERILER!$C$7:$C$106,0)),IFERROR(INDEX(MUSTERILER!$B$7:$B$106,MATCH($E555,MUSTERILER!$B$7:$B$106,0)),IFERROR(INDEX(MUSTERILER!$B$7:$B$106,MATCH($E555&amp;"*",MUSTERILER!$C$7:$C$106,0)),"TANIMSIZ MÜŞTERİ"))))</f>
        <v/>
      </c>
      <c r="E555" s="109" t="n"/>
      <c r="F555" s="109" t="n"/>
      <c r="G555" s="108" t="n"/>
      <c r="H555" s="225" t="n"/>
      <c r="I555" s="225" t="n"/>
      <c r="J555" s="108" t="n"/>
      <c r="K555" s="108" t="n"/>
      <c r="L555" s="109" t="n"/>
      <c r="M555" s="109" t="n"/>
      <c r="N555" s="109" t="n"/>
      <c r="O555" s="225" t="n"/>
      <c r="P555" s="232">
        <f>IF(OR($E555="",$I555=""),"",IF(OR($J555="Tamamlandı",$J555="İptal"),"",$I555-TODAY()))</f>
        <v/>
      </c>
      <c r="Q555" s="113">
        <f>IF($E555="","",IF($D555="TANIMSIZ MÜŞTERİ","HATA",IF(OR($J555="Tamamlandı",$J555="İptal"),"KAPALI",IF(AND($C555="Görüşme",$N555=""),"SONRAKİ İŞLEM EKSİK",IF($I555="","TARİH EKSİK",IF($I555&lt;TODAY(),"GECİKMİŞ",IF($I555=TODAY(),"BUGÜN",IF($I555&lt;=TODAY()+7,"7 GÜN İÇİNDE","PLANLI"))))))))</f>
        <v/>
      </c>
      <c r="R555" s="6" t="n"/>
      <c r="S555" s="6" t="n"/>
    </row>
    <row r="556">
      <c r="A556" s="6" t="n"/>
      <c r="B556" s="113">
        <f>IF($E556="","","A"&amp;TEXT(ROW()-6,"00000"))</f>
        <v/>
      </c>
      <c r="C556" s="108" t="n"/>
      <c r="D556" s="113">
        <f>IF($E556="","",IFERROR(INDEX(MUSTERILER!$B$7:$B$106,MATCH($E556,MUSTERILER!$C$7:$C$106,0)),IFERROR(INDEX(MUSTERILER!$B$7:$B$106,MATCH($E556,MUSTERILER!$B$7:$B$106,0)),IFERROR(INDEX(MUSTERILER!$B$7:$B$106,MATCH($E556&amp;"*",MUSTERILER!$C$7:$C$106,0)),"TANIMSIZ MÜŞTERİ"))))</f>
        <v/>
      </c>
      <c r="E556" s="109" t="n"/>
      <c r="F556" s="109" t="n"/>
      <c r="G556" s="108" t="n"/>
      <c r="H556" s="225" t="n"/>
      <c r="I556" s="225" t="n"/>
      <c r="J556" s="108" t="n"/>
      <c r="K556" s="108" t="n"/>
      <c r="L556" s="109" t="n"/>
      <c r="M556" s="109" t="n"/>
      <c r="N556" s="109" t="n"/>
      <c r="O556" s="225" t="n"/>
      <c r="P556" s="232">
        <f>IF(OR($E556="",$I556=""),"",IF(OR($J556="Tamamlandı",$J556="İptal"),"",$I556-TODAY()))</f>
        <v/>
      </c>
      <c r="Q556" s="113">
        <f>IF($E556="","",IF($D556="TANIMSIZ MÜŞTERİ","HATA",IF(OR($J556="Tamamlandı",$J556="İptal"),"KAPALI",IF(AND($C556="Görüşme",$N556=""),"SONRAKİ İŞLEM EKSİK",IF($I556="","TARİH EKSİK",IF($I556&lt;TODAY(),"GECİKMİŞ",IF($I556=TODAY(),"BUGÜN",IF($I556&lt;=TODAY()+7,"7 GÜN İÇİNDE","PLANLI"))))))))</f>
        <v/>
      </c>
      <c r="R556" s="6" t="n"/>
      <c r="S556" s="6" t="n"/>
    </row>
    <row r="557">
      <c r="A557" s="6" t="n"/>
      <c r="B557" s="113">
        <f>IF($E557="","","A"&amp;TEXT(ROW()-6,"00000"))</f>
        <v/>
      </c>
      <c r="C557" s="108" t="n"/>
      <c r="D557" s="113">
        <f>IF($E557="","",IFERROR(INDEX(MUSTERILER!$B$7:$B$106,MATCH($E557,MUSTERILER!$C$7:$C$106,0)),IFERROR(INDEX(MUSTERILER!$B$7:$B$106,MATCH($E557,MUSTERILER!$B$7:$B$106,0)),IFERROR(INDEX(MUSTERILER!$B$7:$B$106,MATCH($E557&amp;"*",MUSTERILER!$C$7:$C$106,0)),"TANIMSIZ MÜŞTERİ"))))</f>
        <v/>
      </c>
      <c r="E557" s="109" t="n"/>
      <c r="F557" s="109" t="n"/>
      <c r="G557" s="108" t="n"/>
      <c r="H557" s="225" t="n"/>
      <c r="I557" s="225" t="n"/>
      <c r="J557" s="108" t="n"/>
      <c r="K557" s="108" t="n"/>
      <c r="L557" s="109" t="n"/>
      <c r="M557" s="109" t="n"/>
      <c r="N557" s="109" t="n"/>
      <c r="O557" s="225" t="n"/>
      <c r="P557" s="232">
        <f>IF(OR($E557="",$I557=""),"",IF(OR($J557="Tamamlandı",$J557="İptal"),"",$I557-TODAY()))</f>
        <v/>
      </c>
      <c r="Q557" s="113">
        <f>IF($E557="","",IF($D557="TANIMSIZ MÜŞTERİ","HATA",IF(OR($J557="Tamamlandı",$J557="İptal"),"KAPALI",IF(AND($C557="Görüşme",$N557=""),"SONRAKİ İŞLEM EKSİK",IF($I557="","TARİH EKSİK",IF($I557&lt;TODAY(),"GECİKMİŞ",IF($I557=TODAY(),"BUGÜN",IF($I557&lt;=TODAY()+7,"7 GÜN İÇİNDE","PLANLI"))))))))</f>
        <v/>
      </c>
      <c r="R557" s="6" t="n"/>
      <c r="S557" s="6" t="n"/>
    </row>
    <row r="558">
      <c r="A558" s="6" t="n"/>
      <c r="B558" s="113">
        <f>IF($E558="","","A"&amp;TEXT(ROW()-6,"00000"))</f>
        <v/>
      </c>
      <c r="C558" s="108" t="n"/>
      <c r="D558" s="113">
        <f>IF($E558="","",IFERROR(INDEX(MUSTERILER!$B$7:$B$106,MATCH($E558,MUSTERILER!$C$7:$C$106,0)),IFERROR(INDEX(MUSTERILER!$B$7:$B$106,MATCH($E558,MUSTERILER!$B$7:$B$106,0)),IFERROR(INDEX(MUSTERILER!$B$7:$B$106,MATCH($E558&amp;"*",MUSTERILER!$C$7:$C$106,0)),"TANIMSIZ MÜŞTERİ"))))</f>
        <v/>
      </c>
      <c r="E558" s="109" t="n"/>
      <c r="F558" s="109" t="n"/>
      <c r="G558" s="108" t="n"/>
      <c r="H558" s="225" t="n"/>
      <c r="I558" s="225" t="n"/>
      <c r="J558" s="108" t="n"/>
      <c r="K558" s="108" t="n"/>
      <c r="L558" s="109" t="n"/>
      <c r="M558" s="109" t="n"/>
      <c r="N558" s="109" t="n"/>
      <c r="O558" s="225" t="n"/>
      <c r="P558" s="232">
        <f>IF(OR($E558="",$I558=""),"",IF(OR($J558="Tamamlandı",$J558="İptal"),"",$I558-TODAY()))</f>
        <v/>
      </c>
      <c r="Q558" s="113">
        <f>IF($E558="","",IF($D558="TANIMSIZ MÜŞTERİ","HATA",IF(OR($J558="Tamamlandı",$J558="İptal"),"KAPALI",IF(AND($C558="Görüşme",$N558=""),"SONRAKİ İŞLEM EKSİK",IF($I558="","TARİH EKSİK",IF($I558&lt;TODAY(),"GECİKMİŞ",IF($I558=TODAY(),"BUGÜN",IF($I558&lt;=TODAY()+7,"7 GÜN İÇİNDE","PLANLI"))))))))</f>
        <v/>
      </c>
      <c r="R558" s="6" t="n"/>
      <c r="S558" s="6" t="n"/>
    </row>
    <row r="559">
      <c r="A559" s="6" t="n"/>
      <c r="B559" s="113">
        <f>IF($E559="","","A"&amp;TEXT(ROW()-6,"00000"))</f>
        <v/>
      </c>
      <c r="C559" s="108" t="n"/>
      <c r="D559" s="113">
        <f>IF($E559="","",IFERROR(INDEX(MUSTERILER!$B$7:$B$106,MATCH($E559,MUSTERILER!$C$7:$C$106,0)),IFERROR(INDEX(MUSTERILER!$B$7:$B$106,MATCH($E559,MUSTERILER!$B$7:$B$106,0)),IFERROR(INDEX(MUSTERILER!$B$7:$B$106,MATCH($E559&amp;"*",MUSTERILER!$C$7:$C$106,0)),"TANIMSIZ MÜŞTERİ"))))</f>
        <v/>
      </c>
      <c r="E559" s="109" t="n"/>
      <c r="F559" s="109" t="n"/>
      <c r="G559" s="108" t="n"/>
      <c r="H559" s="225" t="n"/>
      <c r="I559" s="225" t="n"/>
      <c r="J559" s="108" t="n"/>
      <c r="K559" s="108" t="n"/>
      <c r="L559" s="109" t="n"/>
      <c r="M559" s="109" t="n"/>
      <c r="N559" s="109" t="n"/>
      <c r="O559" s="225" t="n"/>
      <c r="P559" s="232">
        <f>IF(OR($E559="",$I559=""),"",IF(OR($J559="Tamamlandı",$J559="İptal"),"",$I559-TODAY()))</f>
        <v/>
      </c>
      <c r="Q559" s="113">
        <f>IF($E559="","",IF($D559="TANIMSIZ MÜŞTERİ","HATA",IF(OR($J559="Tamamlandı",$J559="İptal"),"KAPALI",IF(AND($C559="Görüşme",$N559=""),"SONRAKİ İŞLEM EKSİK",IF($I559="","TARİH EKSİK",IF($I559&lt;TODAY(),"GECİKMİŞ",IF($I559=TODAY(),"BUGÜN",IF($I559&lt;=TODAY()+7,"7 GÜN İÇİNDE","PLANLI"))))))))</f>
        <v/>
      </c>
      <c r="R559" s="6" t="n"/>
      <c r="S559" s="6" t="n"/>
    </row>
    <row r="560">
      <c r="A560" s="6" t="n"/>
      <c r="B560" s="113">
        <f>IF($E560="","","A"&amp;TEXT(ROW()-6,"00000"))</f>
        <v/>
      </c>
      <c r="C560" s="108" t="n"/>
      <c r="D560" s="113">
        <f>IF($E560="","",IFERROR(INDEX(MUSTERILER!$B$7:$B$106,MATCH($E560,MUSTERILER!$C$7:$C$106,0)),IFERROR(INDEX(MUSTERILER!$B$7:$B$106,MATCH($E560,MUSTERILER!$B$7:$B$106,0)),IFERROR(INDEX(MUSTERILER!$B$7:$B$106,MATCH($E560&amp;"*",MUSTERILER!$C$7:$C$106,0)),"TANIMSIZ MÜŞTERİ"))))</f>
        <v/>
      </c>
      <c r="E560" s="109" t="n"/>
      <c r="F560" s="109" t="n"/>
      <c r="G560" s="108" t="n"/>
      <c r="H560" s="225" t="n"/>
      <c r="I560" s="225" t="n"/>
      <c r="J560" s="108" t="n"/>
      <c r="K560" s="108" t="n"/>
      <c r="L560" s="109" t="n"/>
      <c r="M560" s="109" t="n"/>
      <c r="N560" s="109" t="n"/>
      <c r="O560" s="225" t="n"/>
      <c r="P560" s="232">
        <f>IF(OR($E560="",$I560=""),"",IF(OR($J560="Tamamlandı",$J560="İptal"),"",$I560-TODAY()))</f>
        <v/>
      </c>
      <c r="Q560" s="113">
        <f>IF($E560="","",IF($D560="TANIMSIZ MÜŞTERİ","HATA",IF(OR($J560="Tamamlandı",$J560="İptal"),"KAPALI",IF(AND($C560="Görüşme",$N560=""),"SONRAKİ İŞLEM EKSİK",IF($I560="","TARİH EKSİK",IF($I560&lt;TODAY(),"GECİKMİŞ",IF($I560=TODAY(),"BUGÜN",IF($I560&lt;=TODAY()+7,"7 GÜN İÇİNDE","PLANLI"))))))))</f>
        <v/>
      </c>
      <c r="R560" s="6" t="n"/>
      <c r="S560" s="6" t="n"/>
    </row>
    <row r="561">
      <c r="A561" s="6" t="n"/>
      <c r="B561" s="113">
        <f>IF($E561="","","A"&amp;TEXT(ROW()-6,"00000"))</f>
        <v/>
      </c>
      <c r="C561" s="108" t="n"/>
      <c r="D561" s="113">
        <f>IF($E561="","",IFERROR(INDEX(MUSTERILER!$B$7:$B$106,MATCH($E561,MUSTERILER!$C$7:$C$106,0)),IFERROR(INDEX(MUSTERILER!$B$7:$B$106,MATCH($E561,MUSTERILER!$B$7:$B$106,0)),IFERROR(INDEX(MUSTERILER!$B$7:$B$106,MATCH($E561&amp;"*",MUSTERILER!$C$7:$C$106,0)),"TANIMSIZ MÜŞTERİ"))))</f>
        <v/>
      </c>
      <c r="E561" s="109" t="n"/>
      <c r="F561" s="109" t="n"/>
      <c r="G561" s="108" t="n"/>
      <c r="H561" s="225" t="n"/>
      <c r="I561" s="225" t="n"/>
      <c r="J561" s="108" t="n"/>
      <c r="K561" s="108" t="n"/>
      <c r="L561" s="109" t="n"/>
      <c r="M561" s="109" t="n"/>
      <c r="N561" s="109" t="n"/>
      <c r="O561" s="225" t="n"/>
      <c r="P561" s="232">
        <f>IF(OR($E561="",$I561=""),"",IF(OR($J561="Tamamlandı",$J561="İptal"),"",$I561-TODAY()))</f>
        <v/>
      </c>
      <c r="Q561" s="113">
        <f>IF($E561="","",IF($D561="TANIMSIZ MÜŞTERİ","HATA",IF(OR($J561="Tamamlandı",$J561="İptal"),"KAPALI",IF(AND($C561="Görüşme",$N561=""),"SONRAKİ İŞLEM EKSİK",IF($I561="","TARİH EKSİK",IF($I561&lt;TODAY(),"GECİKMİŞ",IF($I561=TODAY(),"BUGÜN",IF($I561&lt;=TODAY()+7,"7 GÜN İÇİNDE","PLANLI"))))))))</f>
        <v/>
      </c>
      <c r="R561" s="6" t="n"/>
      <c r="S561" s="6" t="n"/>
    </row>
    <row r="562">
      <c r="A562" s="6" t="n"/>
      <c r="B562" s="113">
        <f>IF($E562="","","A"&amp;TEXT(ROW()-6,"00000"))</f>
        <v/>
      </c>
      <c r="C562" s="108" t="n"/>
      <c r="D562" s="113">
        <f>IF($E562="","",IFERROR(INDEX(MUSTERILER!$B$7:$B$106,MATCH($E562,MUSTERILER!$C$7:$C$106,0)),IFERROR(INDEX(MUSTERILER!$B$7:$B$106,MATCH($E562,MUSTERILER!$B$7:$B$106,0)),IFERROR(INDEX(MUSTERILER!$B$7:$B$106,MATCH($E562&amp;"*",MUSTERILER!$C$7:$C$106,0)),"TANIMSIZ MÜŞTERİ"))))</f>
        <v/>
      </c>
      <c r="E562" s="109" t="n"/>
      <c r="F562" s="109" t="n"/>
      <c r="G562" s="108" t="n"/>
      <c r="H562" s="225" t="n"/>
      <c r="I562" s="225" t="n"/>
      <c r="J562" s="108" t="n"/>
      <c r="K562" s="108" t="n"/>
      <c r="L562" s="109" t="n"/>
      <c r="M562" s="109" t="n"/>
      <c r="N562" s="109" t="n"/>
      <c r="O562" s="225" t="n"/>
      <c r="P562" s="232">
        <f>IF(OR($E562="",$I562=""),"",IF(OR($J562="Tamamlandı",$J562="İptal"),"",$I562-TODAY()))</f>
        <v/>
      </c>
      <c r="Q562" s="113">
        <f>IF($E562="","",IF($D562="TANIMSIZ MÜŞTERİ","HATA",IF(OR($J562="Tamamlandı",$J562="İptal"),"KAPALI",IF(AND($C562="Görüşme",$N562=""),"SONRAKİ İŞLEM EKSİK",IF($I562="","TARİH EKSİK",IF($I562&lt;TODAY(),"GECİKMİŞ",IF($I562=TODAY(),"BUGÜN",IF($I562&lt;=TODAY()+7,"7 GÜN İÇİNDE","PLANLI"))))))))</f>
        <v/>
      </c>
      <c r="R562" s="6" t="n"/>
      <c r="S562" s="6" t="n"/>
    </row>
    <row r="563">
      <c r="A563" s="6" t="n"/>
      <c r="B563" s="113">
        <f>IF($E563="","","A"&amp;TEXT(ROW()-6,"00000"))</f>
        <v/>
      </c>
      <c r="C563" s="108" t="n"/>
      <c r="D563" s="113">
        <f>IF($E563="","",IFERROR(INDEX(MUSTERILER!$B$7:$B$106,MATCH($E563,MUSTERILER!$C$7:$C$106,0)),IFERROR(INDEX(MUSTERILER!$B$7:$B$106,MATCH($E563,MUSTERILER!$B$7:$B$106,0)),IFERROR(INDEX(MUSTERILER!$B$7:$B$106,MATCH($E563&amp;"*",MUSTERILER!$C$7:$C$106,0)),"TANIMSIZ MÜŞTERİ"))))</f>
        <v/>
      </c>
      <c r="E563" s="109" t="n"/>
      <c r="F563" s="109" t="n"/>
      <c r="G563" s="108" t="n"/>
      <c r="H563" s="225" t="n"/>
      <c r="I563" s="225" t="n"/>
      <c r="J563" s="108" t="n"/>
      <c r="K563" s="108" t="n"/>
      <c r="L563" s="109" t="n"/>
      <c r="M563" s="109" t="n"/>
      <c r="N563" s="109" t="n"/>
      <c r="O563" s="225" t="n"/>
      <c r="P563" s="232">
        <f>IF(OR($E563="",$I563=""),"",IF(OR($J563="Tamamlandı",$J563="İptal"),"",$I563-TODAY()))</f>
        <v/>
      </c>
      <c r="Q563" s="113">
        <f>IF($E563="","",IF($D563="TANIMSIZ MÜŞTERİ","HATA",IF(OR($J563="Tamamlandı",$J563="İptal"),"KAPALI",IF(AND($C563="Görüşme",$N563=""),"SONRAKİ İŞLEM EKSİK",IF($I563="","TARİH EKSİK",IF($I563&lt;TODAY(),"GECİKMİŞ",IF($I563=TODAY(),"BUGÜN",IF($I563&lt;=TODAY()+7,"7 GÜN İÇİNDE","PLANLI"))))))))</f>
        <v/>
      </c>
      <c r="R563" s="6" t="n"/>
      <c r="S563" s="6" t="n"/>
    </row>
    <row r="564">
      <c r="A564" s="6" t="n"/>
      <c r="B564" s="113">
        <f>IF($E564="","","A"&amp;TEXT(ROW()-6,"00000"))</f>
        <v/>
      </c>
      <c r="C564" s="108" t="n"/>
      <c r="D564" s="113">
        <f>IF($E564="","",IFERROR(INDEX(MUSTERILER!$B$7:$B$106,MATCH($E564,MUSTERILER!$C$7:$C$106,0)),IFERROR(INDEX(MUSTERILER!$B$7:$B$106,MATCH($E564,MUSTERILER!$B$7:$B$106,0)),IFERROR(INDEX(MUSTERILER!$B$7:$B$106,MATCH($E564&amp;"*",MUSTERILER!$C$7:$C$106,0)),"TANIMSIZ MÜŞTERİ"))))</f>
        <v/>
      </c>
      <c r="E564" s="109" t="n"/>
      <c r="F564" s="109" t="n"/>
      <c r="G564" s="108" t="n"/>
      <c r="H564" s="225" t="n"/>
      <c r="I564" s="225" t="n"/>
      <c r="J564" s="108" t="n"/>
      <c r="K564" s="108" t="n"/>
      <c r="L564" s="109" t="n"/>
      <c r="M564" s="109" t="n"/>
      <c r="N564" s="109" t="n"/>
      <c r="O564" s="225" t="n"/>
      <c r="P564" s="232">
        <f>IF(OR($E564="",$I564=""),"",IF(OR($J564="Tamamlandı",$J564="İptal"),"",$I564-TODAY()))</f>
        <v/>
      </c>
      <c r="Q564" s="113">
        <f>IF($E564="","",IF($D564="TANIMSIZ MÜŞTERİ","HATA",IF(OR($J564="Tamamlandı",$J564="İptal"),"KAPALI",IF(AND($C564="Görüşme",$N564=""),"SONRAKİ İŞLEM EKSİK",IF($I564="","TARİH EKSİK",IF($I564&lt;TODAY(),"GECİKMİŞ",IF($I564=TODAY(),"BUGÜN",IF($I564&lt;=TODAY()+7,"7 GÜN İÇİNDE","PLANLI"))))))))</f>
        <v/>
      </c>
      <c r="R564" s="6" t="n"/>
      <c r="S564" s="6" t="n"/>
    </row>
    <row r="565">
      <c r="A565" s="6" t="n"/>
      <c r="B565" s="113">
        <f>IF($E565="","","A"&amp;TEXT(ROW()-6,"00000"))</f>
        <v/>
      </c>
      <c r="C565" s="108" t="n"/>
      <c r="D565" s="113">
        <f>IF($E565="","",IFERROR(INDEX(MUSTERILER!$B$7:$B$106,MATCH($E565,MUSTERILER!$C$7:$C$106,0)),IFERROR(INDEX(MUSTERILER!$B$7:$B$106,MATCH($E565,MUSTERILER!$B$7:$B$106,0)),IFERROR(INDEX(MUSTERILER!$B$7:$B$106,MATCH($E565&amp;"*",MUSTERILER!$C$7:$C$106,0)),"TANIMSIZ MÜŞTERİ"))))</f>
        <v/>
      </c>
      <c r="E565" s="109" t="n"/>
      <c r="F565" s="109" t="n"/>
      <c r="G565" s="108" t="n"/>
      <c r="H565" s="225" t="n"/>
      <c r="I565" s="225" t="n"/>
      <c r="J565" s="108" t="n"/>
      <c r="K565" s="108" t="n"/>
      <c r="L565" s="109" t="n"/>
      <c r="M565" s="109" t="n"/>
      <c r="N565" s="109" t="n"/>
      <c r="O565" s="225" t="n"/>
      <c r="P565" s="232">
        <f>IF(OR($E565="",$I565=""),"",IF(OR($J565="Tamamlandı",$J565="İptal"),"",$I565-TODAY()))</f>
        <v/>
      </c>
      <c r="Q565" s="113">
        <f>IF($E565="","",IF($D565="TANIMSIZ MÜŞTERİ","HATA",IF(OR($J565="Tamamlandı",$J565="İptal"),"KAPALI",IF(AND($C565="Görüşme",$N565=""),"SONRAKİ İŞLEM EKSİK",IF($I565="","TARİH EKSİK",IF($I565&lt;TODAY(),"GECİKMİŞ",IF($I565=TODAY(),"BUGÜN",IF($I565&lt;=TODAY()+7,"7 GÜN İÇİNDE","PLANLI"))))))))</f>
        <v/>
      </c>
      <c r="R565" s="6" t="n"/>
      <c r="S565" s="6" t="n"/>
    </row>
    <row r="566">
      <c r="A566" s="6" t="n"/>
      <c r="B566" s="113">
        <f>IF($E566="","","A"&amp;TEXT(ROW()-6,"00000"))</f>
        <v/>
      </c>
      <c r="C566" s="108" t="n"/>
      <c r="D566" s="113">
        <f>IF($E566="","",IFERROR(INDEX(MUSTERILER!$B$7:$B$106,MATCH($E566,MUSTERILER!$C$7:$C$106,0)),IFERROR(INDEX(MUSTERILER!$B$7:$B$106,MATCH($E566,MUSTERILER!$B$7:$B$106,0)),IFERROR(INDEX(MUSTERILER!$B$7:$B$106,MATCH($E566&amp;"*",MUSTERILER!$C$7:$C$106,0)),"TANIMSIZ MÜŞTERİ"))))</f>
        <v/>
      </c>
      <c r="E566" s="109" t="n"/>
      <c r="F566" s="109" t="n"/>
      <c r="G566" s="108" t="n"/>
      <c r="H566" s="225" t="n"/>
      <c r="I566" s="225" t="n"/>
      <c r="J566" s="108" t="n"/>
      <c r="K566" s="108" t="n"/>
      <c r="L566" s="109" t="n"/>
      <c r="M566" s="109" t="n"/>
      <c r="N566" s="109" t="n"/>
      <c r="O566" s="225" t="n"/>
      <c r="P566" s="232">
        <f>IF(OR($E566="",$I566=""),"",IF(OR($J566="Tamamlandı",$J566="İptal"),"",$I566-TODAY()))</f>
        <v/>
      </c>
      <c r="Q566" s="113">
        <f>IF($E566="","",IF($D566="TANIMSIZ MÜŞTERİ","HATA",IF(OR($J566="Tamamlandı",$J566="İptal"),"KAPALI",IF(AND($C566="Görüşme",$N566=""),"SONRAKİ İŞLEM EKSİK",IF($I566="","TARİH EKSİK",IF($I566&lt;TODAY(),"GECİKMİŞ",IF($I566=TODAY(),"BUGÜN",IF($I566&lt;=TODAY()+7,"7 GÜN İÇİNDE","PLANLI"))))))))</f>
        <v/>
      </c>
      <c r="R566" s="6" t="n"/>
      <c r="S566" s="6" t="n"/>
    </row>
    <row r="567">
      <c r="A567" s="6" t="n"/>
      <c r="B567" s="113">
        <f>IF($E567="","","A"&amp;TEXT(ROW()-6,"00000"))</f>
        <v/>
      </c>
      <c r="C567" s="108" t="n"/>
      <c r="D567" s="113">
        <f>IF($E567="","",IFERROR(INDEX(MUSTERILER!$B$7:$B$106,MATCH($E567,MUSTERILER!$C$7:$C$106,0)),IFERROR(INDEX(MUSTERILER!$B$7:$B$106,MATCH($E567,MUSTERILER!$B$7:$B$106,0)),IFERROR(INDEX(MUSTERILER!$B$7:$B$106,MATCH($E567&amp;"*",MUSTERILER!$C$7:$C$106,0)),"TANIMSIZ MÜŞTERİ"))))</f>
        <v/>
      </c>
      <c r="E567" s="109" t="n"/>
      <c r="F567" s="109" t="n"/>
      <c r="G567" s="108" t="n"/>
      <c r="H567" s="225" t="n"/>
      <c r="I567" s="225" t="n"/>
      <c r="J567" s="108" t="n"/>
      <c r="K567" s="108" t="n"/>
      <c r="L567" s="109" t="n"/>
      <c r="M567" s="109" t="n"/>
      <c r="N567" s="109" t="n"/>
      <c r="O567" s="225" t="n"/>
      <c r="P567" s="232">
        <f>IF(OR($E567="",$I567=""),"",IF(OR($J567="Tamamlandı",$J567="İptal"),"",$I567-TODAY()))</f>
        <v/>
      </c>
      <c r="Q567" s="113">
        <f>IF($E567="","",IF($D567="TANIMSIZ MÜŞTERİ","HATA",IF(OR($J567="Tamamlandı",$J567="İptal"),"KAPALI",IF(AND($C567="Görüşme",$N567=""),"SONRAKİ İŞLEM EKSİK",IF($I567="","TARİH EKSİK",IF($I567&lt;TODAY(),"GECİKMİŞ",IF($I567=TODAY(),"BUGÜN",IF($I567&lt;=TODAY()+7,"7 GÜN İÇİNDE","PLANLI"))))))))</f>
        <v/>
      </c>
      <c r="R567" s="6" t="n"/>
      <c r="S567" s="6" t="n"/>
    </row>
    <row r="568">
      <c r="A568" s="6" t="n"/>
      <c r="B568" s="113">
        <f>IF($E568="","","A"&amp;TEXT(ROW()-6,"00000"))</f>
        <v/>
      </c>
      <c r="C568" s="108" t="n"/>
      <c r="D568" s="113">
        <f>IF($E568="","",IFERROR(INDEX(MUSTERILER!$B$7:$B$106,MATCH($E568,MUSTERILER!$C$7:$C$106,0)),IFERROR(INDEX(MUSTERILER!$B$7:$B$106,MATCH($E568,MUSTERILER!$B$7:$B$106,0)),IFERROR(INDEX(MUSTERILER!$B$7:$B$106,MATCH($E568&amp;"*",MUSTERILER!$C$7:$C$106,0)),"TANIMSIZ MÜŞTERİ"))))</f>
        <v/>
      </c>
      <c r="E568" s="109" t="n"/>
      <c r="F568" s="109" t="n"/>
      <c r="G568" s="108" t="n"/>
      <c r="H568" s="225" t="n"/>
      <c r="I568" s="225" t="n"/>
      <c r="J568" s="108" t="n"/>
      <c r="K568" s="108" t="n"/>
      <c r="L568" s="109" t="n"/>
      <c r="M568" s="109" t="n"/>
      <c r="N568" s="109" t="n"/>
      <c r="O568" s="225" t="n"/>
      <c r="P568" s="232">
        <f>IF(OR($E568="",$I568=""),"",IF(OR($J568="Tamamlandı",$J568="İptal"),"",$I568-TODAY()))</f>
        <v/>
      </c>
      <c r="Q568" s="113">
        <f>IF($E568="","",IF($D568="TANIMSIZ MÜŞTERİ","HATA",IF(OR($J568="Tamamlandı",$J568="İptal"),"KAPALI",IF(AND($C568="Görüşme",$N568=""),"SONRAKİ İŞLEM EKSİK",IF($I568="","TARİH EKSİK",IF($I568&lt;TODAY(),"GECİKMİŞ",IF($I568=TODAY(),"BUGÜN",IF($I568&lt;=TODAY()+7,"7 GÜN İÇİNDE","PLANLI"))))))))</f>
        <v/>
      </c>
      <c r="R568" s="6" t="n"/>
      <c r="S568" s="6" t="n"/>
    </row>
    <row r="569">
      <c r="A569" s="6" t="n"/>
      <c r="B569" s="113">
        <f>IF($E569="","","A"&amp;TEXT(ROW()-6,"00000"))</f>
        <v/>
      </c>
      <c r="C569" s="108" t="n"/>
      <c r="D569" s="113">
        <f>IF($E569="","",IFERROR(INDEX(MUSTERILER!$B$7:$B$106,MATCH($E569,MUSTERILER!$C$7:$C$106,0)),IFERROR(INDEX(MUSTERILER!$B$7:$B$106,MATCH($E569,MUSTERILER!$B$7:$B$106,0)),IFERROR(INDEX(MUSTERILER!$B$7:$B$106,MATCH($E569&amp;"*",MUSTERILER!$C$7:$C$106,0)),"TANIMSIZ MÜŞTERİ"))))</f>
        <v/>
      </c>
      <c r="E569" s="109" t="n"/>
      <c r="F569" s="109" t="n"/>
      <c r="G569" s="108" t="n"/>
      <c r="H569" s="225" t="n"/>
      <c r="I569" s="225" t="n"/>
      <c r="J569" s="108" t="n"/>
      <c r="K569" s="108" t="n"/>
      <c r="L569" s="109" t="n"/>
      <c r="M569" s="109" t="n"/>
      <c r="N569" s="109" t="n"/>
      <c r="O569" s="225" t="n"/>
      <c r="P569" s="232">
        <f>IF(OR($E569="",$I569=""),"",IF(OR($J569="Tamamlandı",$J569="İptal"),"",$I569-TODAY()))</f>
        <v/>
      </c>
      <c r="Q569" s="113">
        <f>IF($E569="","",IF($D569="TANIMSIZ MÜŞTERİ","HATA",IF(OR($J569="Tamamlandı",$J569="İptal"),"KAPALI",IF(AND($C569="Görüşme",$N569=""),"SONRAKİ İŞLEM EKSİK",IF($I569="","TARİH EKSİK",IF($I569&lt;TODAY(),"GECİKMİŞ",IF($I569=TODAY(),"BUGÜN",IF($I569&lt;=TODAY()+7,"7 GÜN İÇİNDE","PLANLI"))))))))</f>
        <v/>
      </c>
      <c r="R569" s="6" t="n"/>
      <c r="S569" s="6" t="n"/>
    </row>
    <row r="570">
      <c r="A570" s="6" t="n"/>
      <c r="B570" s="113">
        <f>IF($E570="","","A"&amp;TEXT(ROW()-6,"00000"))</f>
        <v/>
      </c>
      <c r="C570" s="108" t="n"/>
      <c r="D570" s="113">
        <f>IF($E570="","",IFERROR(INDEX(MUSTERILER!$B$7:$B$106,MATCH($E570,MUSTERILER!$C$7:$C$106,0)),IFERROR(INDEX(MUSTERILER!$B$7:$B$106,MATCH($E570,MUSTERILER!$B$7:$B$106,0)),IFERROR(INDEX(MUSTERILER!$B$7:$B$106,MATCH($E570&amp;"*",MUSTERILER!$C$7:$C$106,0)),"TANIMSIZ MÜŞTERİ"))))</f>
        <v/>
      </c>
      <c r="E570" s="109" t="n"/>
      <c r="F570" s="109" t="n"/>
      <c r="G570" s="108" t="n"/>
      <c r="H570" s="225" t="n"/>
      <c r="I570" s="225" t="n"/>
      <c r="J570" s="108" t="n"/>
      <c r="K570" s="108" t="n"/>
      <c r="L570" s="109" t="n"/>
      <c r="M570" s="109" t="n"/>
      <c r="N570" s="109" t="n"/>
      <c r="O570" s="225" t="n"/>
      <c r="P570" s="232">
        <f>IF(OR($E570="",$I570=""),"",IF(OR($J570="Tamamlandı",$J570="İptal"),"",$I570-TODAY()))</f>
        <v/>
      </c>
      <c r="Q570" s="113">
        <f>IF($E570="","",IF($D570="TANIMSIZ MÜŞTERİ","HATA",IF(OR($J570="Tamamlandı",$J570="İptal"),"KAPALI",IF(AND($C570="Görüşme",$N570=""),"SONRAKİ İŞLEM EKSİK",IF($I570="","TARİH EKSİK",IF($I570&lt;TODAY(),"GECİKMİŞ",IF($I570=TODAY(),"BUGÜN",IF($I570&lt;=TODAY()+7,"7 GÜN İÇİNDE","PLANLI"))))))))</f>
        <v/>
      </c>
      <c r="R570" s="6" t="n"/>
      <c r="S570" s="6" t="n"/>
    </row>
    <row r="571">
      <c r="A571" s="6" t="n"/>
      <c r="B571" s="113">
        <f>IF($E571="","","A"&amp;TEXT(ROW()-6,"00000"))</f>
        <v/>
      </c>
      <c r="C571" s="108" t="n"/>
      <c r="D571" s="113">
        <f>IF($E571="","",IFERROR(INDEX(MUSTERILER!$B$7:$B$106,MATCH($E571,MUSTERILER!$C$7:$C$106,0)),IFERROR(INDEX(MUSTERILER!$B$7:$B$106,MATCH($E571,MUSTERILER!$B$7:$B$106,0)),IFERROR(INDEX(MUSTERILER!$B$7:$B$106,MATCH($E571&amp;"*",MUSTERILER!$C$7:$C$106,0)),"TANIMSIZ MÜŞTERİ"))))</f>
        <v/>
      </c>
      <c r="E571" s="109" t="n"/>
      <c r="F571" s="109" t="n"/>
      <c r="G571" s="108" t="n"/>
      <c r="H571" s="225" t="n"/>
      <c r="I571" s="225" t="n"/>
      <c r="J571" s="108" t="n"/>
      <c r="K571" s="108" t="n"/>
      <c r="L571" s="109" t="n"/>
      <c r="M571" s="109" t="n"/>
      <c r="N571" s="109" t="n"/>
      <c r="O571" s="225" t="n"/>
      <c r="P571" s="232">
        <f>IF(OR($E571="",$I571=""),"",IF(OR($J571="Tamamlandı",$J571="İptal"),"",$I571-TODAY()))</f>
        <v/>
      </c>
      <c r="Q571" s="113">
        <f>IF($E571="","",IF($D571="TANIMSIZ MÜŞTERİ","HATA",IF(OR($J571="Tamamlandı",$J571="İptal"),"KAPALI",IF(AND($C571="Görüşme",$N571=""),"SONRAKİ İŞLEM EKSİK",IF($I571="","TARİH EKSİK",IF($I571&lt;TODAY(),"GECİKMİŞ",IF($I571=TODAY(),"BUGÜN",IF($I571&lt;=TODAY()+7,"7 GÜN İÇİNDE","PLANLI"))))))))</f>
        <v/>
      </c>
      <c r="R571" s="6" t="n"/>
      <c r="S571" s="6" t="n"/>
    </row>
    <row r="572">
      <c r="A572" s="6" t="n"/>
      <c r="B572" s="113">
        <f>IF($E572="","","A"&amp;TEXT(ROW()-6,"00000"))</f>
        <v/>
      </c>
      <c r="C572" s="108" t="n"/>
      <c r="D572" s="113">
        <f>IF($E572="","",IFERROR(INDEX(MUSTERILER!$B$7:$B$106,MATCH($E572,MUSTERILER!$C$7:$C$106,0)),IFERROR(INDEX(MUSTERILER!$B$7:$B$106,MATCH($E572,MUSTERILER!$B$7:$B$106,0)),IFERROR(INDEX(MUSTERILER!$B$7:$B$106,MATCH($E572&amp;"*",MUSTERILER!$C$7:$C$106,0)),"TANIMSIZ MÜŞTERİ"))))</f>
        <v/>
      </c>
      <c r="E572" s="109" t="n"/>
      <c r="F572" s="109" t="n"/>
      <c r="G572" s="108" t="n"/>
      <c r="H572" s="225" t="n"/>
      <c r="I572" s="225" t="n"/>
      <c r="J572" s="108" t="n"/>
      <c r="K572" s="108" t="n"/>
      <c r="L572" s="109" t="n"/>
      <c r="M572" s="109" t="n"/>
      <c r="N572" s="109" t="n"/>
      <c r="O572" s="225" t="n"/>
      <c r="P572" s="232">
        <f>IF(OR($E572="",$I572=""),"",IF(OR($J572="Tamamlandı",$J572="İptal"),"",$I572-TODAY()))</f>
        <v/>
      </c>
      <c r="Q572" s="113">
        <f>IF($E572="","",IF($D572="TANIMSIZ MÜŞTERİ","HATA",IF(OR($J572="Tamamlandı",$J572="İptal"),"KAPALI",IF(AND($C572="Görüşme",$N572=""),"SONRAKİ İŞLEM EKSİK",IF($I572="","TARİH EKSİK",IF($I572&lt;TODAY(),"GECİKMİŞ",IF($I572=TODAY(),"BUGÜN",IF($I572&lt;=TODAY()+7,"7 GÜN İÇİNDE","PLANLI"))))))))</f>
        <v/>
      </c>
      <c r="R572" s="6" t="n"/>
      <c r="S572" s="6" t="n"/>
    </row>
    <row r="573">
      <c r="A573" s="6" t="n"/>
      <c r="B573" s="113">
        <f>IF($E573="","","A"&amp;TEXT(ROW()-6,"00000"))</f>
        <v/>
      </c>
      <c r="C573" s="108" t="n"/>
      <c r="D573" s="113">
        <f>IF($E573="","",IFERROR(INDEX(MUSTERILER!$B$7:$B$106,MATCH($E573,MUSTERILER!$C$7:$C$106,0)),IFERROR(INDEX(MUSTERILER!$B$7:$B$106,MATCH($E573,MUSTERILER!$B$7:$B$106,0)),IFERROR(INDEX(MUSTERILER!$B$7:$B$106,MATCH($E573&amp;"*",MUSTERILER!$C$7:$C$106,0)),"TANIMSIZ MÜŞTERİ"))))</f>
        <v/>
      </c>
      <c r="E573" s="109" t="n"/>
      <c r="F573" s="109" t="n"/>
      <c r="G573" s="108" t="n"/>
      <c r="H573" s="225" t="n"/>
      <c r="I573" s="225" t="n"/>
      <c r="J573" s="108" t="n"/>
      <c r="K573" s="108" t="n"/>
      <c r="L573" s="109" t="n"/>
      <c r="M573" s="109" t="n"/>
      <c r="N573" s="109" t="n"/>
      <c r="O573" s="225" t="n"/>
      <c r="P573" s="232">
        <f>IF(OR($E573="",$I573=""),"",IF(OR($J573="Tamamlandı",$J573="İptal"),"",$I573-TODAY()))</f>
        <v/>
      </c>
      <c r="Q573" s="113">
        <f>IF($E573="","",IF($D573="TANIMSIZ MÜŞTERİ","HATA",IF(OR($J573="Tamamlandı",$J573="İptal"),"KAPALI",IF(AND($C573="Görüşme",$N573=""),"SONRAKİ İŞLEM EKSİK",IF($I573="","TARİH EKSİK",IF($I573&lt;TODAY(),"GECİKMİŞ",IF($I573=TODAY(),"BUGÜN",IF($I573&lt;=TODAY()+7,"7 GÜN İÇİNDE","PLANLI"))))))))</f>
        <v/>
      </c>
      <c r="R573" s="6" t="n"/>
      <c r="S573" s="6" t="n"/>
    </row>
    <row r="574">
      <c r="A574" s="6" t="n"/>
      <c r="B574" s="113">
        <f>IF($E574="","","A"&amp;TEXT(ROW()-6,"00000"))</f>
        <v/>
      </c>
      <c r="C574" s="108" t="n"/>
      <c r="D574" s="113">
        <f>IF($E574="","",IFERROR(INDEX(MUSTERILER!$B$7:$B$106,MATCH($E574,MUSTERILER!$C$7:$C$106,0)),IFERROR(INDEX(MUSTERILER!$B$7:$B$106,MATCH($E574,MUSTERILER!$B$7:$B$106,0)),IFERROR(INDEX(MUSTERILER!$B$7:$B$106,MATCH($E574&amp;"*",MUSTERILER!$C$7:$C$106,0)),"TANIMSIZ MÜŞTERİ"))))</f>
        <v/>
      </c>
      <c r="E574" s="109" t="n"/>
      <c r="F574" s="109" t="n"/>
      <c r="G574" s="108" t="n"/>
      <c r="H574" s="225" t="n"/>
      <c r="I574" s="225" t="n"/>
      <c r="J574" s="108" t="n"/>
      <c r="K574" s="108" t="n"/>
      <c r="L574" s="109" t="n"/>
      <c r="M574" s="109" t="n"/>
      <c r="N574" s="109" t="n"/>
      <c r="O574" s="225" t="n"/>
      <c r="P574" s="232">
        <f>IF(OR($E574="",$I574=""),"",IF(OR($J574="Tamamlandı",$J574="İptal"),"",$I574-TODAY()))</f>
        <v/>
      </c>
      <c r="Q574" s="113">
        <f>IF($E574="","",IF($D574="TANIMSIZ MÜŞTERİ","HATA",IF(OR($J574="Tamamlandı",$J574="İptal"),"KAPALI",IF(AND($C574="Görüşme",$N574=""),"SONRAKİ İŞLEM EKSİK",IF($I574="","TARİH EKSİK",IF($I574&lt;TODAY(),"GECİKMİŞ",IF($I574=TODAY(),"BUGÜN",IF($I574&lt;=TODAY()+7,"7 GÜN İÇİNDE","PLANLI"))))))))</f>
        <v/>
      </c>
      <c r="R574" s="6" t="n"/>
      <c r="S574" s="6" t="n"/>
    </row>
    <row r="575">
      <c r="A575" s="6" t="n"/>
      <c r="B575" s="113">
        <f>IF($E575="","","A"&amp;TEXT(ROW()-6,"00000"))</f>
        <v/>
      </c>
      <c r="C575" s="108" t="n"/>
      <c r="D575" s="113">
        <f>IF($E575="","",IFERROR(INDEX(MUSTERILER!$B$7:$B$106,MATCH($E575,MUSTERILER!$C$7:$C$106,0)),IFERROR(INDEX(MUSTERILER!$B$7:$B$106,MATCH($E575,MUSTERILER!$B$7:$B$106,0)),IFERROR(INDEX(MUSTERILER!$B$7:$B$106,MATCH($E575&amp;"*",MUSTERILER!$C$7:$C$106,0)),"TANIMSIZ MÜŞTERİ"))))</f>
        <v/>
      </c>
      <c r="E575" s="109" t="n"/>
      <c r="F575" s="109" t="n"/>
      <c r="G575" s="108" t="n"/>
      <c r="H575" s="225" t="n"/>
      <c r="I575" s="225" t="n"/>
      <c r="J575" s="108" t="n"/>
      <c r="K575" s="108" t="n"/>
      <c r="L575" s="109" t="n"/>
      <c r="M575" s="109" t="n"/>
      <c r="N575" s="109" t="n"/>
      <c r="O575" s="225" t="n"/>
      <c r="P575" s="232">
        <f>IF(OR($E575="",$I575=""),"",IF(OR($J575="Tamamlandı",$J575="İptal"),"",$I575-TODAY()))</f>
        <v/>
      </c>
      <c r="Q575" s="113">
        <f>IF($E575="","",IF($D575="TANIMSIZ MÜŞTERİ","HATA",IF(OR($J575="Tamamlandı",$J575="İptal"),"KAPALI",IF(AND($C575="Görüşme",$N575=""),"SONRAKİ İŞLEM EKSİK",IF($I575="","TARİH EKSİK",IF($I575&lt;TODAY(),"GECİKMİŞ",IF($I575=TODAY(),"BUGÜN",IF($I575&lt;=TODAY()+7,"7 GÜN İÇİNDE","PLANLI"))))))))</f>
        <v/>
      </c>
      <c r="R575" s="6" t="n"/>
      <c r="S575" s="6" t="n"/>
    </row>
    <row r="576">
      <c r="A576" s="6" t="n"/>
      <c r="B576" s="113">
        <f>IF($E576="","","A"&amp;TEXT(ROW()-6,"00000"))</f>
        <v/>
      </c>
      <c r="C576" s="108" t="n"/>
      <c r="D576" s="113">
        <f>IF($E576="","",IFERROR(INDEX(MUSTERILER!$B$7:$B$106,MATCH($E576,MUSTERILER!$C$7:$C$106,0)),IFERROR(INDEX(MUSTERILER!$B$7:$B$106,MATCH($E576,MUSTERILER!$B$7:$B$106,0)),IFERROR(INDEX(MUSTERILER!$B$7:$B$106,MATCH($E576&amp;"*",MUSTERILER!$C$7:$C$106,0)),"TANIMSIZ MÜŞTERİ"))))</f>
        <v/>
      </c>
      <c r="E576" s="109" t="n"/>
      <c r="F576" s="109" t="n"/>
      <c r="G576" s="108" t="n"/>
      <c r="H576" s="225" t="n"/>
      <c r="I576" s="225" t="n"/>
      <c r="J576" s="108" t="n"/>
      <c r="K576" s="108" t="n"/>
      <c r="L576" s="109" t="n"/>
      <c r="M576" s="109" t="n"/>
      <c r="N576" s="109" t="n"/>
      <c r="O576" s="225" t="n"/>
      <c r="P576" s="232">
        <f>IF(OR($E576="",$I576=""),"",IF(OR($J576="Tamamlandı",$J576="İptal"),"",$I576-TODAY()))</f>
        <v/>
      </c>
      <c r="Q576" s="113">
        <f>IF($E576="","",IF($D576="TANIMSIZ MÜŞTERİ","HATA",IF(OR($J576="Tamamlandı",$J576="İptal"),"KAPALI",IF(AND($C576="Görüşme",$N576=""),"SONRAKİ İŞLEM EKSİK",IF($I576="","TARİH EKSİK",IF($I576&lt;TODAY(),"GECİKMİŞ",IF($I576=TODAY(),"BUGÜN",IF($I576&lt;=TODAY()+7,"7 GÜN İÇİNDE","PLANLI"))))))))</f>
        <v/>
      </c>
      <c r="R576" s="6" t="n"/>
      <c r="S576" s="6" t="n"/>
    </row>
    <row r="577">
      <c r="A577" s="6" t="n"/>
      <c r="B577" s="113">
        <f>IF($E577="","","A"&amp;TEXT(ROW()-6,"00000"))</f>
        <v/>
      </c>
      <c r="C577" s="108" t="n"/>
      <c r="D577" s="113">
        <f>IF($E577="","",IFERROR(INDEX(MUSTERILER!$B$7:$B$106,MATCH($E577,MUSTERILER!$C$7:$C$106,0)),IFERROR(INDEX(MUSTERILER!$B$7:$B$106,MATCH($E577,MUSTERILER!$B$7:$B$106,0)),IFERROR(INDEX(MUSTERILER!$B$7:$B$106,MATCH($E577&amp;"*",MUSTERILER!$C$7:$C$106,0)),"TANIMSIZ MÜŞTERİ"))))</f>
        <v/>
      </c>
      <c r="E577" s="109" t="n"/>
      <c r="F577" s="109" t="n"/>
      <c r="G577" s="108" t="n"/>
      <c r="H577" s="225" t="n"/>
      <c r="I577" s="225" t="n"/>
      <c r="J577" s="108" t="n"/>
      <c r="K577" s="108" t="n"/>
      <c r="L577" s="109" t="n"/>
      <c r="M577" s="109" t="n"/>
      <c r="N577" s="109" t="n"/>
      <c r="O577" s="225" t="n"/>
      <c r="P577" s="232">
        <f>IF(OR($E577="",$I577=""),"",IF(OR($J577="Tamamlandı",$J577="İptal"),"",$I577-TODAY()))</f>
        <v/>
      </c>
      <c r="Q577" s="113">
        <f>IF($E577="","",IF($D577="TANIMSIZ MÜŞTERİ","HATA",IF(OR($J577="Tamamlandı",$J577="İptal"),"KAPALI",IF(AND($C577="Görüşme",$N577=""),"SONRAKİ İŞLEM EKSİK",IF($I577="","TARİH EKSİK",IF($I577&lt;TODAY(),"GECİKMİŞ",IF($I577=TODAY(),"BUGÜN",IF($I577&lt;=TODAY()+7,"7 GÜN İÇİNDE","PLANLI"))))))))</f>
        <v/>
      </c>
      <c r="R577" s="6" t="n"/>
      <c r="S577" s="6" t="n"/>
    </row>
    <row r="578">
      <c r="A578" s="6" t="n"/>
      <c r="B578" s="113">
        <f>IF($E578="","","A"&amp;TEXT(ROW()-6,"00000"))</f>
        <v/>
      </c>
      <c r="C578" s="108" t="n"/>
      <c r="D578" s="113">
        <f>IF($E578="","",IFERROR(INDEX(MUSTERILER!$B$7:$B$106,MATCH($E578,MUSTERILER!$C$7:$C$106,0)),IFERROR(INDEX(MUSTERILER!$B$7:$B$106,MATCH($E578,MUSTERILER!$B$7:$B$106,0)),IFERROR(INDEX(MUSTERILER!$B$7:$B$106,MATCH($E578&amp;"*",MUSTERILER!$C$7:$C$106,0)),"TANIMSIZ MÜŞTERİ"))))</f>
        <v/>
      </c>
      <c r="E578" s="109" t="n"/>
      <c r="F578" s="109" t="n"/>
      <c r="G578" s="108" t="n"/>
      <c r="H578" s="225" t="n"/>
      <c r="I578" s="225" t="n"/>
      <c r="J578" s="108" t="n"/>
      <c r="K578" s="108" t="n"/>
      <c r="L578" s="109" t="n"/>
      <c r="M578" s="109" t="n"/>
      <c r="N578" s="109" t="n"/>
      <c r="O578" s="225" t="n"/>
      <c r="P578" s="232">
        <f>IF(OR($E578="",$I578=""),"",IF(OR($J578="Tamamlandı",$J578="İptal"),"",$I578-TODAY()))</f>
        <v/>
      </c>
      <c r="Q578" s="113">
        <f>IF($E578="","",IF($D578="TANIMSIZ MÜŞTERİ","HATA",IF(OR($J578="Tamamlandı",$J578="İptal"),"KAPALI",IF(AND($C578="Görüşme",$N578=""),"SONRAKİ İŞLEM EKSİK",IF($I578="","TARİH EKSİK",IF($I578&lt;TODAY(),"GECİKMİŞ",IF($I578=TODAY(),"BUGÜN",IF($I578&lt;=TODAY()+7,"7 GÜN İÇİNDE","PLANLI"))))))))</f>
        <v/>
      </c>
      <c r="R578" s="6" t="n"/>
      <c r="S578" s="6" t="n"/>
    </row>
    <row r="579">
      <c r="A579" s="6" t="n"/>
      <c r="B579" s="113">
        <f>IF($E579="","","A"&amp;TEXT(ROW()-6,"00000"))</f>
        <v/>
      </c>
      <c r="C579" s="108" t="n"/>
      <c r="D579" s="113">
        <f>IF($E579="","",IFERROR(INDEX(MUSTERILER!$B$7:$B$106,MATCH($E579,MUSTERILER!$C$7:$C$106,0)),IFERROR(INDEX(MUSTERILER!$B$7:$B$106,MATCH($E579,MUSTERILER!$B$7:$B$106,0)),IFERROR(INDEX(MUSTERILER!$B$7:$B$106,MATCH($E579&amp;"*",MUSTERILER!$C$7:$C$106,0)),"TANIMSIZ MÜŞTERİ"))))</f>
        <v/>
      </c>
      <c r="E579" s="109" t="n"/>
      <c r="F579" s="109" t="n"/>
      <c r="G579" s="108" t="n"/>
      <c r="H579" s="225" t="n"/>
      <c r="I579" s="225" t="n"/>
      <c r="J579" s="108" t="n"/>
      <c r="K579" s="108" t="n"/>
      <c r="L579" s="109" t="n"/>
      <c r="M579" s="109" t="n"/>
      <c r="N579" s="109" t="n"/>
      <c r="O579" s="225" t="n"/>
      <c r="P579" s="232">
        <f>IF(OR($E579="",$I579=""),"",IF(OR($J579="Tamamlandı",$J579="İptal"),"",$I579-TODAY()))</f>
        <v/>
      </c>
      <c r="Q579" s="113">
        <f>IF($E579="","",IF($D579="TANIMSIZ MÜŞTERİ","HATA",IF(OR($J579="Tamamlandı",$J579="İptal"),"KAPALI",IF(AND($C579="Görüşme",$N579=""),"SONRAKİ İŞLEM EKSİK",IF($I579="","TARİH EKSİK",IF($I579&lt;TODAY(),"GECİKMİŞ",IF($I579=TODAY(),"BUGÜN",IF($I579&lt;=TODAY()+7,"7 GÜN İÇİNDE","PLANLI"))))))))</f>
        <v/>
      </c>
      <c r="R579" s="6" t="n"/>
      <c r="S579" s="6" t="n"/>
    </row>
    <row r="580">
      <c r="A580" s="6" t="n"/>
      <c r="B580" s="113">
        <f>IF($E580="","","A"&amp;TEXT(ROW()-6,"00000"))</f>
        <v/>
      </c>
      <c r="C580" s="108" t="n"/>
      <c r="D580" s="113">
        <f>IF($E580="","",IFERROR(INDEX(MUSTERILER!$B$7:$B$106,MATCH($E580,MUSTERILER!$C$7:$C$106,0)),IFERROR(INDEX(MUSTERILER!$B$7:$B$106,MATCH($E580,MUSTERILER!$B$7:$B$106,0)),IFERROR(INDEX(MUSTERILER!$B$7:$B$106,MATCH($E580&amp;"*",MUSTERILER!$C$7:$C$106,0)),"TANIMSIZ MÜŞTERİ"))))</f>
        <v/>
      </c>
      <c r="E580" s="109" t="n"/>
      <c r="F580" s="109" t="n"/>
      <c r="G580" s="108" t="n"/>
      <c r="H580" s="225" t="n"/>
      <c r="I580" s="225" t="n"/>
      <c r="J580" s="108" t="n"/>
      <c r="K580" s="108" t="n"/>
      <c r="L580" s="109" t="n"/>
      <c r="M580" s="109" t="n"/>
      <c r="N580" s="109" t="n"/>
      <c r="O580" s="225" t="n"/>
      <c r="P580" s="232">
        <f>IF(OR($E580="",$I580=""),"",IF(OR($J580="Tamamlandı",$J580="İptal"),"",$I580-TODAY()))</f>
        <v/>
      </c>
      <c r="Q580" s="113">
        <f>IF($E580="","",IF($D580="TANIMSIZ MÜŞTERİ","HATA",IF(OR($J580="Tamamlandı",$J580="İptal"),"KAPALI",IF(AND($C580="Görüşme",$N580=""),"SONRAKİ İŞLEM EKSİK",IF($I580="","TARİH EKSİK",IF($I580&lt;TODAY(),"GECİKMİŞ",IF($I580=TODAY(),"BUGÜN",IF($I580&lt;=TODAY()+7,"7 GÜN İÇİNDE","PLANLI"))))))))</f>
        <v/>
      </c>
      <c r="R580" s="6" t="n"/>
      <c r="S580" s="6" t="n"/>
    </row>
    <row r="581">
      <c r="A581" s="6" t="n"/>
      <c r="B581" s="113">
        <f>IF($E581="","","A"&amp;TEXT(ROW()-6,"00000"))</f>
        <v/>
      </c>
      <c r="C581" s="108" t="n"/>
      <c r="D581" s="113">
        <f>IF($E581="","",IFERROR(INDEX(MUSTERILER!$B$7:$B$106,MATCH($E581,MUSTERILER!$C$7:$C$106,0)),IFERROR(INDEX(MUSTERILER!$B$7:$B$106,MATCH($E581,MUSTERILER!$B$7:$B$106,0)),IFERROR(INDEX(MUSTERILER!$B$7:$B$106,MATCH($E581&amp;"*",MUSTERILER!$C$7:$C$106,0)),"TANIMSIZ MÜŞTERİ"))))</f>
        <v/>
      </c>
      <c r="E581" s="109" t="n"/>
      <c r="F581" s="109" t="n"/>
      <c r="G581" s="108" t="n"/>
      <c r="H581" s="225" t="n"/>
      <c r="I581" s="225" t="n"/>
      <c r="J581" s="108" t="n"/>
      <c r="K581" s="108" t="n"/>
      <c r="L581" s="109" t="n"/>
      <c r="M581" s="109" t="n"/>
      <c r="N581" s="109" t="n"/>
      <c r="O581" s="225" t="n"/>
      <c r="P581" s="232">
        <f>IF(OR($E581="",$I581=""),"",IF(OR($J581="Tamamlandı",$J581="İptal"),"",$I581-TODAY()))</f>
        <v/>
      </c>
      <c r="Q581" s="113">
        <f>IF($E581="","",IF($D581="TANIMSIZ MÜŞTERİ","HATA",IF(OR($J581="Tamamlandı",$J581="İptal"),"KAPALI",IF(AND($C581="Görüşme",$N581=""),"SONRAKİ İŞLEM EKSİK",IF($I581="","TARİH EKSİK",IF($I581&lt;TODAY(),"GECİKMİŞ",IF($I581=TODAY(),"BUGÜN",IF($I581&lt;=TODAY()+7,"7 GÜN İÇİNDE","PLANLI"))))))))</f>
        <v/>
      </c>
      <c r="R581" s="6" t="n"/>
      <c r="S581" s="6" t="n"/>
    </row>
    <row r="582">
      <c r="A582" s="6" t="n"/>
      <c r="B582" s="113">
        <f>IF($E582="","","A"&amp;TEXT(ROW()-6,"00000"))</f>
        <v/>
      </c>
      <c r="C582" s="108" t="n"/>
      <c r="D582" s="113">
        <f>IF($E582="","",IFERROR(INDEX(MUSTERILER!$B$7:$B$106,MATCH($E582,MUSTERILER!$C$7:$C$106,0)),IFERROR(INDEX(MUSTERILER!$B$7:$B$106,MATCH($E582,MUSTERILER!$B$7:$B$106,0)),IFERROR(INDEX(MUSTERILER!$B$7:$B$106,MATCH($E582&amp;"*",MUSTERILER!$C$7:$C$106,0)),"TANIMSIZ MÜŞTERİ"))))</f>
        <v/>
      </c>
      <c r="E582" s="109" t="n"/>
      <c r="F582" s="109" t="n"/>
      <c r="G582" s="108" t="n"/>
      <c r="H582" s="225" t="n"/>
      <c r="I582" s="225" t="n"/>
      <c r="J582" s="108" t="n"/>
      <c r="K582" s="108" t="n"/>
      <c r="L582" s="109" t="n"/>
      <c r="M582" s="109" t="n"/>
      <c r="N582" s="109" t="n"/>
      <c r="O582" s="225" t="n"/>
      <c r="P582" s="232">
        <f>IF(OR($E582="",$I582=""),"",IF(OR($J582="Tamamlandı",$J582="İptal"),"",$I582-TODAY()))</f>
        <v/>
      </c>
      <c r="Q582" s="113">
        <f>IF($E582="","",IF($D582="TANIMSIZ MÜŞTERİ","HATA",IF(OR($J582="Tamamlandı",$J582="İptal"),"KAPALI",IF(AND($C582="Görüşme",$N582=""),"SONRAKİ İŞLEM EKSİK",IF($I582="","TARİH EKSİK",IF($I582&lt;TODAY(),"GECİKMİŞ",IF($I582=TODAY(),"BUGÜN",IF($I582&lt;=TODAY()+7,"7 GÜN İÇİNDE","PLANLI"))))))))</f>
        <v/>
      </c>
      <c r="R582" s="6" t="n"/>
      <c r="S582" s="6" t="n"/>
    </row>
    <row r="583">
      <c r="A583" s="6" t="n"/>
      <c r="B583" s="113">
        <f>IF($E583="","","A"&amp;TEXT(ROW()-6,"00000"))</f>
        <v/>
      </c>
      <c r="C583" s="108" t="n"/>
      <c r="D583" s="113">
        <f>IF($E583="","",IFERROR(INDEX(MUSTERILER!$B$7:$B$106,MATCH($E583,MUSTERILER!$C$7:$C$106,0)),IFERROR(INDEX(MUSTERILER!$B$7:$B$106,MATCH($E583,MUSTERILER!$B$7:$B$106,0)),IFERROR(INDEX(MUSTERILER!$B$7:$B$106,MATCH($E583&amp;"*",MUSTERILER!$C$7:$C$106,0)),"TANIMSIZ MÜŞTERİ"))))</f>
        <v/>
      </c>
      <c r="E583" s="109" t="n"/>
      <c r="F583" s="109" t="n"/>
      <c r="G583" s="108" t="n"/>
      <c r="H583" s="225" t="n"/>
      <c r="I583" s="225" t="n"/>
      <c r="J583" s="108" t="n"/>
      <c r="K583" s="108" t="n"/>
      <c r="L583" s="109" t="n"/>
      <c r="M583" s="109" t="n"/>
      <c r="N583" s="109" t="n"/>
      <c r="O583" s="225" t="n"/>
      <c r="P583" s="232">
        <f>IF(OR($E583="",$I583=""),"",IF(OR($J583="Tamamlandı",$J583="İptal"),"",$I583-TODAY()))</f>
        <v/>
      </c>
      <c r="Q583" s="113">
        <f>IF($E583="","",IF($D583="TANIMSIZ MÜŞTERİ","HATA",IF(OR($J583="Tamamlandı",$J583="İptal"),"KAPALI",IF(AND($C583="Görüşme",$N583=""),"SONRAKİ İŞLEM EKSİK",IF($I583="","TARİH EKSİK",IF($I583&lt;TODAY(),"GECİKMİŞ",IF($I583=TODAY(),"BUGÜN",IF($I583&lt;=TODAY()+7,"7 GÜN İÇİNDE","PLANLI"))))))))</f>
        <v/>
      </c>
      <c r="R583" s="6" t="n"/>
      <c r="S583" s="6" t="n"/>
    </row>
    <row r="584">
      <c r="A584" s="6" t="n"/>
      <c r="B584" s="113">
        <f>IF($E584="","","A"&amp;TEXT(ROW()-6,"00000"))</f>
        <v/>
      </c>
      <c r="C584" s="108" t="n"/>
      <c r="D584" s="113">
        <f>IF($E584="","",IFERROR(INDEX(MUSTERILER!$B$7:$B$106,MATCH($E584,MUSTERILER!$C$7:$C$106,0)),IFERROR(INDEX(MUSTERILER!$B$7:$B$106,MATCH($E584,MUSTERILER!$B$7:$B$106,0)),IFERROR(INDEX(MUSTERILER!$B$7:$B$106,MATCH($E584&amp;"*",MUSTERILER!$C$7:$C$106,0)),"TANIMSIZ MÜŞTERİ"))))</f>
        <v/>
      </c>
      <c r="E584" s="109" t="n"/>
      <c r="F584" s="109" t="n"/>
      <c r="G584" s="108" t="n"/>
      <c r="H584" s="225" t="n"/>
      <c r="I584" s="225" t="n"/>
      <c r="J584" s="108" t="n"/>
      <c r="K584" s="108" t="n"/>
      <c r="L584" s="109" t="n"/>
      <c r="M584" s="109" t="n"/>
      <c r="N584" s="109" t="n"/>
      <c r="O584" s="225" t="n"/>
      <c r="P584" s="232">
        <f>IF(OR($E584="",$I584=""),"",IF(OR($J584="Tamamlandı",$J584="İptal"),"",$I584-TODAY()))</f>
        <v/>
      </c>
      <c r="Q584" s="113">
        <f>IF($E584="","",IF($D584="TANIMSIZ MÜŞTERİ","HATA",IF(OR($J584="Tamamlandı",$J584="İptal"),"KAPALI",IF(AND($C584="Görüşme",$N584=""),"SONRAKİ İŞLEM EKSİK",IF($I584="","TARİH EKSİK",IF($I584&lt;TODAY(),"GECİKMİŞ",IF($I584=TODAY(),"BUGÜN",IF($I584&lt;=TODAY()+7,"7 GÜN İÇİNDE","PLANLI"))))))))</f>
        <v/>
      </c>
      <c r="R584" s="6" t="n"/>
      <c r="S584" s="6" t="n"/>
    </row>
    <row r="585">
      <c r="A585" s="6" t="n"/>
      <c r="B585" s="113">
        <f>IF($E585="","","A"&amp;TEXT(ROW()-6,"00000"))</f>
        <v/>
      </c>
      <c r="C585" s="108" t="n"/>
      <c r="D585" s="113">
        <f>IF($E585="","",IFERROR(INDEX(MUSTERILER!$B$7:$B$106,MATCH($E585,MUSTERILER!$C$7:$C$106,0)),IFERROR(INDEX(MUSTERILER!$B$7:$B$106,MATCH($E585,MUSTERILER!$B$7:$B$106,0)),IFERROR(INDEX(MUSTERILER!$B$7:$B$106,MATCH($E585&amp;"*",MUSTERILER!$C$7:$C$106,0)),"TANIMSIZ MÜŞTERİ"))))</f>
        <v/>
      </c>
      <c r="E585" s="109" t="n"/>
      <c r="F585" s="109" t="n"/>
      <c r="G585" s="108" t="n"/>
      <c r="H585" s="225" t="n"/>
      <c r="I585" s="225" t="n"/>
      <c r="J585" s="108" t="n"/>
      <c r="K585" s="108" t="n"/>
      <c r="L585" s="109" t="n"/>
      <c r="M585" s="109" t="n"/>
      <c r="N585" s="109" t="n"/>
      <c r="O585" s="225" t="n"/>
      <c r="P585" s="232">
        <f>IF(OR($E585="",$I585=""),"",IF(OR($J585="Tamamlandı",$J585="İptal"),"",$I585-TODAY()))</f>
        <v/>
      </c>
      <c r="Q585" s="113">
        <f>IF($E585="","",IF($D585="TANIMSIZ MÜŞTERİ","HATA",IF(OR($J585="Tamamlandı",$J585="İptal"),"KAPALI",IF(AND($C585="Görüşme",$N585=""),"SONRAKİ İŞLEM EKSİK",IF($I585="","TARİH EKSİK",IF($I585&lt;TODAY(),"GECİKMİŞ",IF($I585=TODAY(),"BUGÜN",IF($I585&lt;=TODAY()+7,"7 GÜN İÇİNDE","PLANLI"))))))))</f>
        <v/>
      </c>
      <c r="R585" s="6" t="n"/>
      <c r="S585" s="6" t="n"/>
    </row>
    <row r="586">
      <c r="A586" s="6" t="n"/>
      <c r="B586" s="113">
        <f>IF($E586="","","A"&amp;TEXT(ROW()-6,"00000"))</f>
        <v/>
      </c>
      <c r="C586" s="108" t="n"/>
      <c r="D586" s="113">
        <f>IF($E586="","",IFERROR(INDEX(MUSTERILER!$B$7:$B$106,MATCH($E586,MUSTERILER!$C$7:$C$106,0)),IFERROR(INDEX(MUSTERILER!$B$7:$B$106,MATCH($E586,MUSTERILER!$B$7:$B$106,0)),IFERROR(INDEX(MUSTERILER!$B$7:$B$106,MATCH($E586&amp;"*",MUSTERILER!$C$7:$C$106,0)),"TANIMSIZ MÜŞTERİ"))))</f>
        <v/>
      </c>
      <c r="E586" s="109" t="n"/>
      <c r="F586" s="109" t="n"/>
      <c r="G586" s="108" t="n"/>
      <c r="H586" s="225" t="n"/>
      <c r="I586" s="225" t="n"/>
      <c r="J586" s="108" t="n"/>
      <c r="K586" s="108" t="n"/>
      <c r="L586" s="109" t="n"/>
      <c r="M586" s="109" t="n"/>
      <c r="N586" s="109" t="n"/>
      <c r="O586" s="225" t="n"/>
      <c r="P586" s="232">
        <f>IF(OR($E586="",$I586=""),"",IF(OR($J586="Tamamlandı",$J586="İptal"),"",$I586-TODAY()))</f>
        <v/>
      </c>
      <c r="Q586" s="113">
        <f>IF($E586="","",IF($D586="TANIMSIZ MÜŞTERİ","HATA",IF(OR($J586="Tamamlandı",$J586="İptal"),"KAPALI",IF(AND($C586="Görüşme",$N586=""),"SONRAKİ İŞLEM EKSİK",IF($I586="","TARİH EKSİK",IF($I586&lt;TODAY(),"GECİKMİŞ",IF($I586=TODAY(),"BUGÜN",IF($I586&lt;=TODAY()+7,"7 GÜN İÇİNDE","PLANLI"))))))))</f>
        <v/>
      </c>
      <c r="R586" s="6" t="n"/>
      <c r="S586" s="6" t="n"/>
    </row>
    <row r="587">
      <c r="A587" s="6" t="n"/>
      <c r="B587" s="113">
        <f>IF($E587="","","A"&amp;TEXT(ROW()-6,"00000"))</f>
        <v/>
      </c>
      <c r="C587" s="108" t="n"/>
      <c r="D587" s="113">
        <f>IF($E587="","",IFERROR(INDEX(MUSTERILER!$B$7:$B$106,MATCH($E587,MUSTERILER!$C$7:$C$106,0)),IFERROR(INDEX(MUSTERILER!$B$7:$B$106,MATCH($E587,MUSTERILER!$B$7:$B$106,0)),IFERROR(INDEX(MUSTERILER!$B$7:$B$106,MATCH($E587&amp;"*",MUSTERILER!$C$7:$C$106,0)),"TANIMSIZ MÜŞTERİ"))))</f>
        <v/>
      </c>
      <c r="E587" s="109" t="n"/>
      <c r="F587" s="109" t="n"/>
      <c r="G587" s="108" t="n"/>
      <c r="H587" s="225" t="n"/>
      <c r="I587" s="225" t="n"/>
      <c r="J587" s="108" t="n"/>
      <c r="K587" s="108" t="n"/>
      <c r="L587" s="109" t="n"/>
      <c r="M587" s="109" t="n"/>
      <c r="N587" s="109" t="n"/>
      <c r="O587" s="225" t="n"/>
      <c r="P587" s="232">
        <f>IF(OR($E587="",$I587=""),"",IF(OR($J587="Tamamlandı",$J587="İptal"),"",$I587-TODAY()))</f>
        <v/>
      </c>
      <c r="Q587" s="113">
        <f>IF($E587="","",IF($D587="TANIMSIZ MÜŞTERİ","HATA",IF(OR($J587="Tamamlandı",$J587="İptal"),"KAPALI",IF(AND($C587="Görüşme",$N587=""),"SONRAKİ İŞLEM EKSİK",IF($I587="","TARİH EKSİK",IF($I587&lt;TODAY(),"GECİKMİŞ",IF($I587=TODAY(),"BUGÜN",IF($I587&lt;=TODAY()+7,"7 GÜN İÇİNDE","PLANLI"))))))))</f>
        <v/>
      </c>
      <c r="R587" s="6" t="n"/>
      <c r="S587" s="6" t="n"/>
    </row>
    <row r="588">
      <c r="A588" s="6" t="n"/>
      <c r="B588" s="113">
        <f>IF($E588="","","A"&amp;TEXT(ROW()-6,"00000"))</f>
        <v/>
      </c>
      <c r="C588" s="108" t="n"/>
      <c r="D588" s="113">
        <f>IF($E588="","",IFERROR(INDEX(MUSTERILER!$B$7:$B$106,MATCH($E588,MUSTERILER!$C$7:$C$106,0)),IFERROR(INDEX(MUSTERILER!$B$7:$B$106,MATCH($E588,MUSTERILER!$B$7:$B$106,0)),IFERROR(INDEX(MUSTERILER!$B$7:$B$106,MATCH($E588&amp;"*",MUSTERILER!$C$7:$C$106,0)),"TANIMSIZ MÜŞTERİ"))))</f>
        <v/>
      </c>
      <c r="E588" s="109" t="n"/>
      <c r="F588" s="109" t="n"/>
      <c r="G588" s="108" t="n"/>
      <c r="H588" s="225" t="n"/>
      <c r="I588" s="225" t="n"/>
      <c r="J588" s="108" t="n"/>
      <c r="K588" s="108" t="n"/>
      <c r="L588" s="109" t="n"/>
      <c r="M588" s="109" t="n"/>
      <c r="N588" s="109" t="n"/>
      <c r="O588" s="225" t="n"/>
      <c r="P588" s="232">
        <f>IF(OR($E588="",$I588=""),"",IF(OR($J588="Tamamlandı",$J588="İptal"),"",$I588-TODAY()))</f>
        <v/>
      </c>
      <c r="Q588" s="113">
        <f>IF($E588="","",IF($D588="TANIMSIZ MÜŞTERİ","HATA",IF(OR($J588="Tamamlandı",$J588="İptal"),"KAPALI",IF(AND($C588="Görüşme",$N588=""),"SONRAKİ İŞLEM EKSİK",IF($I588="","TARİH EKSİK",IF($I588&lt;TODAY(),"GECİKMİŞ",IF($I588=TODAY(),"BUGÜN",IF($I588&lt;=TODAY()+7,"7 GÜN İÇİNDE","PLANLI"))))))))</f>
        <v/>
      </c>
      <c r="R588" s="6" t="n"/>
      <c r="S588" s="6" t="n"/>
    </row>
    <row r="589">
      <c r="A589" s="6" t="n"/>
      <c r="B589" s="113">
        <f>IF($E589="","","A"&amp;TEXT(ROW()-6,"00000"))</f>
        <v/>
      </c>
      <c r="C589" s="108" t="n"/>
      <c r="D589" s="113">
        <f>IF($E589="","",IFERROR(INDEX(MUSTERILER!$B$7:$B$106,MATCH($E589,MUSTERILER!$C$7:$C$106,0)),IFERROR(INDEX(MUSTERILER!$B$7:$B$106,MATCH($E589,MUSTERILER!$B$7:$B$106,0)),IFERROR(INDEX(MUSTERILER!$B$7:$B$106,MATCH($E589&amp;"*",MUSTERILER!$C$7:$C$106,0)),"TANIMSIZ MÜŞTERİ"))))</f>
        <v/>
      </c>
      <c r="E589" s="109" t="n"/>
      <c r="F589" s="109" t="n"/>
      <c r="G589" s="108" t="n"/>
      <c r="H589" s="225" t="n"/>
      <c r="I589" s="225" t="n"/>
      <c r="J589" s="108" t="n"/>
      <c r="K589" s="108" t="n"/>
      <c r="L589" s="109" t="n"/>
      <c r="M589" s="109" t="n"/>
      <c r="N589" s="109" t="n"/>
      <c r="O589" s="225" t="n"/>
      <c r="P589" s="232">
        <f>IF(OR($E589="",$I589=""),"",IF(OR($J589="Tamamlandı",$J589="İptal"),"",$I589-TODAY()))</f>
        <v/>
      </c>
      <c r="Q589" s="113">
        <f>IF($E589="","",IF($D589="TANIMSIZ MÜŞTERİ","HATA",IF(OR($J589="Tamamlandı",$J589="İptal"),"KAPALI",IF(AND($C589="Görüşme",$N589=""),"SONRAKİ İŞLEM EKSİK",IF($I589="","TARİH EKSİK",IF($I589&lt;TODAY(),"GECİKMİŞ",IF($I589=TODAY(),"BUGÜN",IF($I589&lt;=TODAY()+7,"7 GÜN İÇİNDE","PLANLI"))))))))</f>
        <v/>
      </c>
      <c r="R589" s="6" t="n"/>
      <c r="S589" s="6" t="n"/>
    </row>
    <row r="590">
      <c r="A590" s="6" t="n"/>
      <c r="B590" s="113">
        <f>IF($E590="","","A"&amp;TEXT(ROW()-6,"00000"))</f>
        <v/>
      </c>
      <c r="C590" s="108" t="n"/>
      <c r="D590" s="113">
        <f>IF($E590="","",IFERROR(INDEX(MUSTERILER!$B$7:$B$106,MATCH($E590,MUSTERILER!$C$7:$C$106,0)),IFERROR(INDEX(MUSTERILER!$B$7:$B$106,MATCH($E590,MUSTERILER!$B$7:$B$106,0)),IFERROR(INDEX(MUSTERILER!$B$7:$B$106,MATCH($E590&amp;"*",MUSTERILER!$C$7:$C$106,0)),"TANIMSIZ MÜŞTERİ"))))</f>
        <v/>
      </c>
      <c r="E590" s="109" t="n"/>
      <c r="F590" s="109" t="n"/>
      <c r="G590" s="108" t="n"/>
      <c r="H590" s="225" t="n"/>
      <c r="I590" s="225" t="n"/>
      <c r="J590" s="108" t="n"/>
      <c r="K590" s="108" t="n"/>
      <c r="L590" s="109" t="n"/>
      <c r="M590" s="109" t="n"/>
      <c r="N590" s="109" t="n"/>
      <c r="O590" s="225" t="n"/>
      <c r="P590" s="232">
        <f>IF(OR($E590="",$I590=""),"",IF(OR($J590="Tamamlandı",$J590="İptal"),"",$I590-TODAY()))</f>
        <v/>
      </c>
      <c r="Q590" s="113">
        <f>IF($E590="","",IF($D590="TANIMSIZ MÜŞTERİ","HATA",IF(OR($J590="Tamamlandı",$J590="İptal"),"KAPALI",IF(AND($C590="Görüşme",$N590=""),"SONRAKİ İŞLEM EKSİK",IF($I590="","TARİH EKSİK",IF($I590&lt;TODAY(),"GECİKMİŞ",IF($I590=TODAY(),"BUGÜN",IF($I590&lt;=TODAY()+7,"7 GÜN İÇİNDE","PLANLI"))))))))</f>
        <v/>
      </c>
      <c r="R590" s="6" t="n"/>
      <c r="S590" s="6" t="n"/>
    </row>
    <row r="591">
      <c r="A591" s="6" t="n"/>
      <c r="B591" s="113">
        <f>IF($E591="","","A"&amp;TEXT(ROW()-6,"00000"))</f>
        <v/>
      </c>
      <c r="C591" s="108" t="n"/>
      <c r="D591" s="113">
        <f>IF($E591="","",IFERROR(INDEX(MUSTERILER!$B$7:$B$106,MATCH($E591,MUSTERILER!$C$7:$C$106,0)),IFERROR(INDEX(MUSTERILER!$B$7:$B$106,MATCH($E591,MUSTERILER!$B$7:$B$106,0)),IFERROR(INDEX(MUSTERILER!$B$7:$B$106,MATCH($E591&amp;"*",MUSTERILER!$C$7:$C$106,0)),"TANIMSIZ MÜŞTERİ"))))</f>
        <v/>
      </c>
      <c r="E591" s="109" t="n"/>
      <c r="F591" s="109" t="n"/>
      <c r="G591" s="108" t="n"/>
      <c r="H591" s="225" t="n"/>
      <c r="I591" s="225" t="n"/>
      <c r="J591" s="108" t="n"/>
      <c r="K591" s="108" t="n"/>
      <c r="L591" s="109" t="n"/>
      <c r="M591" s="109" t="n"/>
      <c r="N591" s="109" t="n"/>
      <c r="O591" s="225" t="n"/>
      <c r="P591" s="232">
        <f>IF(OR($E591="",$I591=""),"",IF(OR($J591="Tamamlandı",$J591="İptal"),"",$I591-TODAY()))</f>
        <v/>
      </c>
      <c r="Q591" s="113">
        <f>IF($E591="","",IF($D591="TANIMSIZ MÜŞTERİ","HATA",IF(OR($J591="Tamamlandı",$J591="İptal"),"KAPALI",IF(AND($C591="Görüşme",$N591=""),"SONRAKİ İŞLEM EKSİK",IF($I591="","TARİH EKSİK",IF($I591&lt;TODAY(),"GECİKMİŞ",IF($I591=TODAY(),"BUGÜN",IF($I591&lt;=TODAY()+7,"7 GÜN İÇİNDE","PLANLI"))))))))</f>
        <v/>
      </c>
      <c r="R591" s="6" t="n"/>
      <c r="S591" s="6" t="n"/>
    </row>
    <row r="592">
      <c r="A592" s="6" t="n"/>
      <c r="B592" s="113">
        <f>IF($E592="","","A"&amp;TEXT(ROW()-6,"00000"))</f>
        <v/>
      </c>
      <c r="C592" s="108" t="n"/>
      <c r="D592" s="113">
        <f>IF($E592="","",IFERROR(INDEX(MUSTERILER!$B$7:$B$106,MATCH($E592,MUSTERILER!$C$7:$C$106,0)),IFERROR(INDEX(MUSTERILER!$B$7:$B$106,MATCH($E592,MUSTERILER!$B$7:$B$106,0)),IFERROR(INDEX(MUSTERILER!$B$7:$B$106,MATCH($E592&amp;"*",MUSTERILER!$C$7:$C$106,0)),"TANIMSIZ MÜŞTERİ"))))</f>
        <v/>
      </c>
      <c r="E592" s="109" t="n"/>
      <c r="F592" s="109" t="n"/>
      <c r="G592" s="108" t="n"/>
      <c r="H592" s="225" t="n"/>
      <c r="I592" s="225" t="n"/>
      <c r="J592" s="108" t="n"/>
      <c r="K592" s="108" t="n"/>
      <c r="L592" s="109" t="n"/>
      <c r="M592" s="109" t="n"/>
      <c r="N592" s="109" t="n"/>
      <c r="O592" s="225" t="n"/>
      <c r="P592" s="232">
        <f>IF(OR($E592="",$I592=""),"",IF(OR($J592="Tamamlandı",$J592="İptal"),"",$I592-TODAY()))</f>
        <v/>
      </c>
      <c r="Q592" s="113">
        <f>IF($E592="","",IF($D592="TANIMSIZ MÜŞTERİ","HATA",IF(OR($J592="Tamamlandı",$J592="İptal"),"KAPALI",IF(AND($C592="Görüşme",$N592=""),"SONRAKİ İŞLEM EKSİK",IF($I592="","TARİH EKSİK",IF($I592&lt;TODAY(),"GECİKMİŞ",IF($I592=TODAY(),"BUGÜN",IF($I592&lt;=TODAY()+7,"7 GÜN İÇİNDE","PLANLI"))))))))</f>
        <v/>
      </c>
      <c r="R592" s="6" t="n"/>
      <c r="S592" s="6" t="n"/>
    </row>
    <row r="593">
      <c r="A593" s="6" t="n"/>
      <c r="B593" s="113">
        <f>IF($E593="","","A"&amp;TEXT(ROW()-6,"00000"))</f>
        <v/>
      </c>
      <c r="C593" s="108" t="n"/>
      <c r="D593" s="113">
        <f>IF($E593="","",IFERROR(INDEX(MUSTERILER!$B$7:$B$106,MATCH($E593,MUSTERILER!$C$7:$C$106,0)),IFERROR(INDEX(MUSTERILER!$B$7:$B$106,MATCH($E593,MUSTERILER!$B$7:$B$106,0)),IFERROR(INDEX(MUSTERILER!$B$7:$B$106,MATCH($E593&amp;"*",MUSTERILER!$C$7:$C$106,0)),"TANIMSIZ MÜŞTERİ"))))</f>
        <v/>
      </c>
      <c r="E593" s="109" t="n"/>
      <c r="F593" s="109" t="n"/>
      <c r="G593" s="108" t="n"/>
      <c r="H593" s="225" t="n"/>
      <c r="I593" s="225" t="n"/>
      <c r="J593" s="108" t="n"/>
      <c r="K593" s="108" t="n"/>
      <c r="L593" s="109" t="n"/>
      <c r="M593" s="109" t="n"/>
      <c r="N593" s="109" t="n"/>
      <c r="O593" s="225" t="n"/>
      <c r="P593" s="232">
        <f>IF(OR($E593="",$I593=""),"",IF(OR($J593="Tamamlandı",$J593="İptal"),"",$I593-TODAY()))</f>
        <v/>
      </c>
      <c r="Q593" s="113">
        <f>IF($E593="","",IF($D593="TANIMSIZ MÜŞTERİ","HATA",IF(OR($J593="Tamamlandı",$J593="İptal"),"KAPALI",IF(AND($C593="Görüşme",$N593=""),"SONRAKİ İŞLEM EKSİK",IF($I593="","TARİH EKSİK",IF($I593&lt;TODAY(),"GECİKMİŞ",IF($I593=TODAY(),"BUGÜN",IF($I593&lt;=TODAY()+7,"7 GÜN İÇİNDE","PLANLI"))))))))</f>
        <v/>
      </c>
      <c r="R593" s="6" t="n"/>
      <c r="S593" s="6" t="n"/>
    </row>
    <row r="594">
      <c r="A594" s="6" t="n"/>
      <c r="B594" s="113">
        <f>IF($E594="","","A"&amp;TEXT(ROW()-6,"00000"))</f>
        <v/>
      </c>
      <c r="C594" s="108" t="n"/>
      <c r="D594" s="113">
        <f>IF($E594="","",IFERROR(INDEX(MUSTERILER!$B$7:$B$106,MATCH($E594,MUSTERILER!$C$7:$C$106,0)),IFERROR(INDEX(MUSTERILER!$B$7:$B$106,MATCH($E594,MUSTERILER!$B$7:$B$106,0)),IFERROR(INDEX(MUSTERILER!$B$7:$B$106,MATCH($E594&amp;"*",MUSTERILER!$C$7:$C$106,0)),"TANIMSIZ MÜŞTERİ"))))</f>
        <v/>
      </c>
      <c r="E594" s="109" t="n"/>
      <c r="F594" s="109" t="n"/>
      <c r="G594" s="108" t="n"/>
      <c r="H594" s="225" t="n"/>
      <c r="I594" s="225" t="n"/>
      <c r="J594" s="108" t="n"/>
      <c r="K594" s="108" t="n"/>
      <c r="L594" s="109" t="n"/>
      <c r="M594" s="109" t="n"/>
      <c r="N594" s="109" t="n"/>
      <c r="O594" s="225" t="n"/>
      <c r="P594" s="232">
        <f>IF(OR($E594="",$I594=""),"",IF(OR($J594="Tamamlandı",$J594="İptal"),"",$I594-TODAY()))</f>
        <v/>
      </c>
      <c r="Q594" s="113">
        <f>IF($E594="","",IF($D594="TANIMSIZ MÜŞTERİ","HATA",IF(OR($J594="Tamamlandı",$J594="İptal"),"KAPALI",IF(AND($C594="Görüşme",$N594=""),"SONRAKİ İŞLEM EKSİK",IF($I594="","TARİH EKSİK",IF($I594&lt;TODAY(),"GECİKMİŞ",IF($I594=TODAY(),"BUGÜN",IF($I594&lt;=TODAY()+7,"7 GÜN İÇİNDE","PLANLI"))))))))</f>
        <v/>
      </c>
      <c r="R594" s="6" t="n"/>
      <c r="S594" s="6" t="n"/>
    </row>
    <row r="595">
      <c r="A595" s="6" t="n"/>
      <c r="B595" s="113">
        <f>IF($E595="","","A"&amp;TEXT(ROW()-6,"00000"))</f>
        <v/>
      </c>
      <c r="C595" s="108" t="n"/>
      <c r="D595" s="113">
        <f>IF($E595="","",IFERROR(INDEX(MUSTERILER!$B$7:$B$106,MATCH($E595,MUSTERILER!$C$7:$C$106,0)),IFERROR(INDEX(MUSTERILER!$B$7:$B$106,MATCH($E595,MUSTERILER!$B$7:$B$106,0)),IFERROR(INDEX(MUSTERILER!$B$7:$B$106,MATCH($E595&amp;"*",MUSTERILER!$C$7:$C$106,0)),"TANIMSIZ MÜŞTERİ"))))</f>
        <v/>
      </c>
      <c r="E595" s="109" t="n"/>
      <c r="F595" s="109" t="n"/>
      <c r="G595" s="108" t="n"/>
      <c r="H595" s="225" t="n"/>
      <c r="I595" s="225" t="n"/>
      <c r="J595" s="108" t="n"/>
      <c r="K595" s="108" t="n"/>
      <c r="L595" s="109" t="n"/>
      <c r="M595" s="109" t="n"/>
      <c r="N595" s="109" t="n"/>
      <c r="O595" s="225" t="n"/>
      <c r="P595" s="232">
        <f>IF(OR($E595="",$I595=""),"",IF(OR($J595="Tamamlandı",$J595="İptal"),"",$I595-TODAY()))</f>
        <v/>
      </c>
      <c r="Q595" s="113">
        <f>IF($E595="","",IF($D595="TANIMSIZ MÜŞTERİ","HATA",IF(OR($J595="Tamamlandı",$J595="İptal"),"KAPALI",IF(AND($C595="Görüşme",$N595=""),"SONRAKİ İŞLEM EKSİK",IF($I595="","TARİH EKSİK",IF($I595&lt;TODAY(),"GECİKMİŞ",IF($I595=TODAY(),"BUGÜN",IF($I595&lt;=TODAY()+7,"7 GÜN İÇİNDE","PLANLI"))))))))</f>
        <v/>
      </c>
      <c r="R595" s="6" t="n"/>
      <c r="S595" s="6" t="n"/>
    </row>
    <row r="596">
      <c r="A596" s="6" t="n"/>
      <c r="B596" s="113">
        <f>IF($E596="","","A"&amp;TEXT(ROW()-6,"00000"))</f>
        <v/>
      </c>
      <c r="C596" s="108" t="n"/>
      <c r="D596" s="113">
        <f>IF($E596="","",IFERROR(INDEX(MUSTERILER!$B$7:$B$106,MATCH($E596,MUSTERILER!$C$7:$C$106,0)),IFERROR(INDEX(MUSTERILER!$B$7:$B$106,MATCH($E596,MUSTERILER!$B$7:$B$106,0)),IFERROR(INDEX(MUSTERILER!$B$7:$B$106,MATCH($E596&amp;"*",MUSTERILER!$C$7:$C$106,0)),"TANIMSIZ MÜŞTERİ"))))</f>
        <v/>
      </c>
      <c r="E596" s="109" t="n"/>
      <c r="F596" s="109" t="n"/>
      <c r="G596" s="108" t="n"/>
      <c r="H596" s="225" t="n"/>
      <c r="I596" s="225" t="n"/>
      <c r="J596" s="108" t="n"/>
      <c r="K596" s="108" t="n"/>
      <c r="L596" s="109" t="n"/>
      <c r="M596" s="109" t="n"/>
      <c r="N596" s="109" t="n"/>
      <c r="O596" s="225" t="n"/>
      <c r="P596" s="232">
        <f>IF(OR($E596="",$I596=""),"",IF(OR($J596="Tamamlandı",$J596="İptal"),"",$I596-TODAY()))</f>
        <v/>
      </c>
      <c r="Q596" s="113">
        <f>IF($E596="","",IF($D596="TANIMSIZ MÜŞTERİ","HATA",IF(OR($J596="Tamamlandı",$J596="İptal"),"KAPALI",IF(AND($C596="Görüşme",$N596=""),"SONRAKİ İŞLEM EKSİK",IF($I596="","TARİH EKSİK",IF($I596&lt;TODAY(),"GECİKMİŞ",IF($I596=TODAY(),"BUGÜN",IF($I596&lt;=TODAY()+7,"7 GÜN İÇİNDE","PLANLI"))))))))</f>
        <v/>
      </c>
      <c r="R596" s="6" t="n"/>
      <c r="S596" s="6" t="n"/>
    </row>
    <row r="597">
      <c r="A597" s="6" t="n"/>
      <c r="B597" s="113">
        <f>IF($E597="","","A"&amp;TEXT(ROW()-6,"00000"))</f>
        <v/>
      </c>
      <c r="C597" s="108" t="n"/>
      <c r="D597" s="113">
        <f>IF($E597="","",IFERROR(INDEX(MUSTERILER!$B$7:$B$106,MATCH($E597,MUSTERILER!$C$7:$C$106,0)),IFERROR(INDEX(MUSTERILER!$B$7:$B$106,MATCH($E597,MUSTERILER!$B$7:$B$106,0)),IFERROR(INDEX(MUSTERILER!$B$7:$B$106,MATCH($E597&amp;"*",MUSTERILER!$C$7:$C$106,0)),"TANIMSIZ MÜŞTERİ"))))</f>
        <v/>
      </c>
      <c r="E597" s="109" t="n"/>
      <c r="F597" s="109" t="n"/>
      <c r="G597" s="108" t="n"/>
      <c r="H597" s="225" t="n"/>
      <c r="I597" s="225" t="n"/>
      <c r="J597" s="108" t="n"/>
      <c r="K597" s="108" t="n"/>
      <c r="L597" s="109" t="n"/>
      <c r="M597" s="109" t="n"/>
      <c r="N597" s="109" t="n"/>
      <c r="O597" s="225" t="n"/>
      <c r="P597" s="232">
        <f>IF(OR($E597="",$I597=""),"",IF(OR($J597="Tamamlandı",$J597="İptal"),"",$I597-TODAY()))</f>
        <v/>
      </c>
      <c r="Q597" s="113">
        <f>IF($E597="","",IF($D597="TANIMSIZ MÜŞTERİ","HATA",IF(OR($J597="Tamamlandı",$J597="İptal"),"KAPALI",IF(AND($C597="Görüşme",$N597=""),"SONRAKİ İŞLEM EKSİK",IF($I597="","TARİH EKSİK",IF($I597&lt;TODAY(),"GECİKMİŞ",IF($I597=TODAY(),"BUGÜN",IF($I597&lt;=TODAY()+7,"7 GÜN İÇİNDE","PLANLI"))))))))</f>
        <v/>
      </c>
      <c r="R597" s="6" t="n"/>
      <c r="S597" s="6" t="n"/>
    </row>
    <row r="598">
      <c r="A598" s="6" t="n"/>
      <c r="B598" s="113">
        <f>IF($E598="","","A"&amp;TEXT(ROW()-6,"00000"))</f>
        <v/>
      </c>
      <c r="C598" s="108" t="n"/>
      <c r="D598" s="113">
        <f>IF($E598="","",IFERROR(INDEX(MUSTERILER!$B$7:$B$106,MATCH($E598,MUSTERILER!$C$7:$C$106,0)),IFERROR(INDEX(MUSTERILER!$B$7:$B$106,MATCH($E598,MUSTERILER!$B$7:$B$106,0)),IFERROR(INDEX(MUSTERILER!$B$7:$B$106,MATCH($E598&amp;"*",MUSTERILER!$C$7:$C$106,0)),"TANIMSIZ MÜŞTERİ"))))</f>
        <v/>
      </c>
      <c r="E598" s="109" t="n"/>
      <c r="F598" s="109" t="n"/>
      <c r="G598" s="108" t="n"/>
      <c r="H598" s="225" t="n"/>
      <c r="I598" s="225" t="n"/>
      <c r="J598" s="108" t="n"/>
      <c r="K598" s="108" t="n"/>
      <c r="L598" s="109" t="n"/>
      <c r="M598" s="109" t="n"/>
      <c r="N598" s="109" t="n"/>
      <c r="O598" s="225" t="n"/>
      <c r="P598" s="232">
        <f>IF(OR($E598="",$I598=""),"",IF(OR($J598="Tamamlandı",$J598="İptal"),"",$I598-TODAY()))</f>
        <v/>
      </c>
      <c r="Q598" s="113">
        <f>IF($E598="","",IF($D598="TANIMSIZ MÜŞTERİ","HATA",IF(OR($J598="Tamamlandı",$J598="İptal"),"KAPALI",IF(AND($C598="Görüşme",$N598=""),"SONRAKİ İŞLEM EKSİK",IF($I598="","TARİH EKSİK",IF($I598&lt;TODAY(),"GECİKMİŞ",IF($I598=TODAY(),"BUGÜN",IF($I598&lt;=TODAY()+7,"7 GÜN İÇİNDE","PLANLI"))))))))</f>
        <v/>
      </c>
      <c r="R598" s="6" t="n"/>
      <c r="S598" s="6" t="n"/>
    </row>
    <row r="599">
      <c r="A599" s="6" t="n"/>
      <c r="B599" s="113">
        <f>IF($E599="","","A"&amp;TEXT(ROW()-6,"00000"))</f>
        <v/>
      </c>
      <c r="C599" s="108" t="n"/>
      <c r="D599" s="113">
        <f>IF($E599="","",IFERROR(INDEX(MUSTERILER!$B$7:$B$106,MATCH($E599,MUSTERILER!$C$7:$C$106,0)),IFERROR(INDEX(MUSTERILER!$B$7:$B$106,MATCH($E599,MUSTERILER!$B$7:$B$106,0)),IFERROR(INDEX(MUSTERILER!$B$7:$B$106,MATCH($E599&amp;"*",MUSTERILER!$C$7:$C$106,0)),"TANIMSIZ MÜŞTERİ"))))</f>
        <v/>
      </c>
      <c r="E599" s="109" t="n"/>
      <c r="F599" s="109" t="n"/>
      <c r="G599" s="108" t="n"/>
      <c r="H599" s="225" t="n"/>
      <c r="I599" s="225" t="n"/>
      <c r="J599" s="108" t="n"/>
      <c r="K599" s="108" t="n"/>
      <c r="L599" s="109" t="n"/>
      <c r="M599" s="109" t="n"/>
      <c r="N599" s="109" t="n"/>
      <c r="O599" s="225" t="n"/>
      <c r="P599" s="232">
        <f>IF(OR($E599="",$I599=""),"",IF(OR($J599="Tamamlandı",$J599="İptal"),"",$I599-TODAY()))</f>
        <v/>
      </c>
      <c r="Q599" s="113">
        <f>IF($E599="","",IF($D599="TANIMSIZ MÜŞTERİ","HATA",IF(OR($J599="Tamamlandı",$J599="İptal"),"KAPALI",IF(AND($C599="Görüşme",$N599=""),"SONRAKİ İŞLEM EKSİK",IF($I599="","TARİH EKSİK",IF($I599&lt;TODAY(),"GECİKMİŞ",IF($I599=TODAY(),"BUGÜN",IF($I599&lt;=TODAY()+7,"7 GÜN İÇİNDE","PLANLI"))))))))</f>
        <v/>
      </c>
      <c r="R599" s="6" t="n"/>
      <c r="S599" s="6" t="n"/>
    </row>
    <row r="600">
      <c r="A600" s="6" t="n"/>
      <c r="B600" s="113">
        <f>IF($E600="","","A"&amp;TEXT(ROW()-6,"00000"))</f>
        <v/>
      </c>
      <c r="C600" s="108" t="n"/>
      <c r="D600" s="113">
        <f>IF($E600="","",IFERROR(INDEX(MUSTERILER!$B$7:$B$106,MATCH($E600,MUSTERILER!$C$7:$C$106,0)),IFERROR(INDEX(MUSTERILER!$B$7:$B$106,MATCH($E600,MUSTERILER!$B$7:$B$106,0)),IFERROR(INDEX(MUSTERILER!$B$7:$B$106,MATCH($E600&amp;"*",MUSTERILER!$C$7:$C$106,0)),"TANIMSIZ MÜŞTERİ"))))</f>
        <v/>
      </c>
      <c r="E600" s="109" t="n"/>
      <c r="F600" s="109" t="n"/>
      <c r="G600" s="108" t="n"/>
      <c r="H600" s="225" t="n"/>
      <c r="I600" s="225" t="n"/>
      <c r="J600" s="108" t="n"/>
      <c r="K600" s="108" t="n"/>
      <c r="L600" s="109" t="n"/>
      <c r="M600" s="109" t="n"/>
      <c r="N600" s="109" t="n"/>
      <c r="O600" s="225" t="n"/>
      <c r="P600" s="232">
        <f>IF(OR($E600="",$I600=""),"",IF(OR($J600="Tamamlandı",$J600="İptal"),"",$I600-TODAY()))</f>
        <v/>
      </c>
      <c r="Q600" s="113">
        <f>IF($E600="","",IF($D600="TANIMSIZ MÜŞTERİ","HATA",IF(OR($J600="Tamamlandı",$J600="İptal"),"KAPALI",IF(AND($C600="Görüşme",$N600=""),"SONRAKİ İŞLEM EKSİK",IF($I600="","TARİH EKSİK",IF($I600&lt;TODAY(),"GECİKMİŞ",IF($I600=TODAY(),"BUGÜN",IF($I600&lt;=TODAY()+7,"7 GÜN İÇİNDE","PLANLI"))))))))</f>
        <v/>
      </c>
      <c r="R600" s="6" t="n"/>
      <c r="S600" s="6" t="n"/>
    </row>
    <row r="601">
      <c r="A601" s="6" t="n"/>
      <c r="B601" s="113">
        <f>IF($E601="","","A"&amp;TEXT(ROW()-6,"00000"))</f>
        <v/>
      </c>
      <c r="C601" s="108" t="n"/>
      <c r="D601" s="113">
        <f>IF($E601="","",IFERROR(INDEX(MUSTERILER!$B$7:$B$106,MATCH($E601,MUSTERILER!$C$7:$C$106,0)),IFERROR(INDEX(MUSTERILER!$B$7:$B$106,MATCH($E601,MUSTERILER!$B$7:$B$106,0)),IFERROR(INDEX(MUSTERILER!$B$7:$B$106,MATCH($E601&amp;"*",MUSTERILER!$C$7:$C$106,0)),"TANIMSIZ MÜŞTERİ"))))</f>
        <v/>
      </c>
      <c r="E601" s="109" t="n"/>
      <c r="F601" s="109" t="n"/>
      <c r="G601" s="108" t="n"/>
      <c r="H601" s="225" t="n"/>
      <c r="I601" s="225" t="n"/>
      <c r="J601" s="108" t="n"/>
      <c r="K601" s="108" t="n"/>
      <c r="L601" s="109" t="n"/>
      <c r="M601" s="109" t="n"/>
      <c r="N601" s="109" t="n"/>
      <c r="O601" s="225" t="n"/>
      <c r="P601" s="232">
        <f>IF(OR($E601="",$I601=""),"",IF(OR($J601="Tamamlandı",$J601="İptal"),"",$I601-TODAY()))</f>
        <v/>
      </c>
      <c r="Q601" s="113">
        <f>IF($E601="","",IF($D601="TANIMSIZ MÜŞTERİ","HATA",IF(OR($J601="Tamamlandı",$J601="İptal"),"KAPALI",IF(AND($C601="Görüşme",$N601=""),"SONRAKİ İŞLEM EKSİK",IF($I601="","TARİH EKSİK",IF($I601&lt;TODAY(),"GECİKMİŞ",IF($I601=TODAY(),"BUGÜN",IF($I601&lt;=TODAY()+7,"7 GÜN İÇİNDE","PLANLI"))))))))</f>
        <v/>
      </c>
      <c r="R601" s="6" t="n"/>
      <c r="S601" s="6" t="n"/>
    </row>
    <row r="602">
      <c r="A602" s="6" t="n"/>
      <c r="B602" s="113">
        <f>IF($E602="","","A"&amp;TEXT(ROW()-6,"00000"))</f>
        <v/>
      </c>
      <c r="C602" s="108" t="n"/>
      <c r="D602" s="113">
        <f>IF($E602="","",IFERROR(INDEX(MUSTERILER!$B$7:$B$106,MATCH($E602,MUSTERILER!$C$7:$C$106,0)),IFERROR(INDEX(MUSTERILER!$B$7:$B$106,MATCH($E602,MUSTERILER!$B$7:$B$106,0)),IFERROR(INDEX(MUSTERILER!$B$7:$B$106,MATCH($E602&amp;"*",MUSTERILER!$C$7:$C$106,0)),"TANIMSIZ MÜŞTERİ"))))</f>
        <v/>
      </c>
      <c r="E602" s="109" t="n"/>
      <c r="F602" s="109" t="n"/>
      <c r="G602" s="108" t="n"/>
      <c r="H602" s="225" t="n"/>
      <c r="I602" s="225" t="n"/>
      <c r="J602" s="108" t="n"/>
      <c r="K602" s="108" t="n"/>
      <c r="L602" s="109" t="n"/>
      <c r="M602" s="109" t="n"/>
      <c r="N602" s="109" t="n"/>
      <c r="O602" s="225" t="n"/>
      <c r="P602" s="232">
        <f>IF(OR($E602="",$I602=""),"",IF(OR($J602="Tamamlandı",$J602="İptal"),"",$I602-TODAY()))</f>
        <v/>
      </c>
      <c r="Q602" s="113">
        <f>IF($E602="","",IF($D602="TANIMSIZ MÜŞTERİ","HATA",IF(OR($J602="Tamamlandı",$J602="İptal"),"KAPALI",IF(AND($C602="Görüşme",$N602=""),"SONRAKİ İŞLEM EKSİK",IF($I602="","TARİH EKSİK",IF($I602&lt;TODAY(),"GECİKMİŞ",IF($I602=TODAY(),"BUGÜN",IF($I602&lt;=TODAY()+7,"7 GÜN İÇİNDE","PLANLI"))))))))</f>
        <v/>
      </c>
      <c r="R602" s="6" t="n"/>
      <c r="S602" s="6" t="n"/>
    </row>
    <row r="603">
      <c r="A603" s="6" t="n"/>
      <c r="B603" s="113">
        <f>IF($E603="","","A"&amp;TEXT(ROW()-6,"00000"))</f>
        <v/>
      </c>
      <c r="C603" s="108" t="n"/>
      <c r="D603" s="113">
        <f>IF($E603="","",IFERROR(INDEX(MUSTERILER!$B$7:$B$106,MATCH($E603,MUSTERILER!$C$7:$C$106,0)),IFERROR(INDEX(MUSTERILER!$B$7:$B$106,MATCH($E603,MUSTERILER!$B$7:$B$106,0)),IFERROR(INDEX(MUSTERILER!$B$7:$B$106,MATCH($E603&amp;"*",MUSTERILER!$C$7:$C$106,0)),"TANIMSIZ MÜŞTERİ"))))</f>
        <v/>
      </c>
      <c r="E603" s="109" t="n"/>
      <c r="F603" s="109" t="n"/>
      <c r="G603" s="108" t="n"/>
      <c r="H603" s="225" t="n"/>
      <c r="I603" s="225" t="n"/>
      <c r="J603" s="108" t="n"/>
      <c r="K603" s="108" t="n"/>
      <c r="L603" s="109" t="n"/>
      <c r="M603" s="109" t="n"/>
      <c r="N603" s="109" t="n"/>
      <c r="O603" s="225" t="n"/>
      <c r="P603" s="232">
        <f>IF(OR($E603="",$I603=""),"",IF(OR($J603="Tamamlandı",$J603="İptal"),"",$I603-TODAY()))</f>
        <v/>
      </c>
      <c r="Q603" s="113">
        <f>IF($E603="","",IF($D603="TANIMSIZ MÜŞTERİ","HATA",IF(OR($J603="Tamamlandı",$J603="İptal"),"KAPALI",IF(AND($C603="Görüşme",$N603=""),"SONRAKİ İŞLEM EKSİK",IF($I603="","TARİH EKSİK",IF($I603&lt;TODAY(),"GECİKMİŞ",IF($I603=TODAY(),"BUGÜN",IF($I603&lt;=TODAY()+7,"7 GÜN İÇİNDE","PLANLI"))))))))</f>
        <v/>
      </c>
      <c r="R603" s="6" t="n"/>
      <c r="S603" s="6" t="n"/>
    </row>
    <row r="604">
      <c r="A604" s="6" t="n"/>
      <c r="B604" s="113">
        <f>IF($E604="","","A"&amp;TEXT(ROW()-6,"00000"))</f>
        <v/>
      </c>
      <c r="C604" s="108" t="n"/>
      <c r="D604" s="113">
        <f>IF($E604="","",IFERROR(INDEX(MUSTERILER!$B$7:$B$106,MATCH($E604,MUSTERILER!$C$7:$C$106,0)),IFERROR(INDEX(MUSTERILER!$B$7:$B$106,MATCH($E604,MUSTERILER!$B$7:$B$106,0)),IFERROR(INDEX(MUSTERILER!$B$7:$B$106,MATCH($E604&amp;"*",MUSTERILER!$C$7:$C$106,0)),"TANIMSIZ MÜŞTERİ"))))</f>
        <v/>
      </c>
      <c r="E604" s="109" t="n"/>
      <c r="F604" s="109" t="n"/>
      <c r="G604" s="108" t="n"/>
      <c r="H604" s="225" t="n"/>
      <c r="I604" s="225" t="n"/>
      <c r="J604" s="108" t="n"/>
      <c r="K604" s="108" t="n"/>
      <c r="L604" s="109" t="n"/>
      <c r="M604" s="109" t="n"/>
      <c r="N604" s="109" t="n"/>
      <c r="O604" s="225" t="n"/>
      <c r="P604" s="232">
        <f>IF(OR($E604="",$I604=""),"",IF(OR($J604="Tamamlandı",$J604="İptal"),"",$I604-TODAY()))</f>
        <v/>
      </c>
      <c r="Q604" s="113">
        <f>IF($E604="","",IF($D604="TANIMSIZ MÜŞTERİ","HATA",IF(OR($J604="Tamamlandı",$J604="İptal"),"KAPALI",IF(AND($C604="Görüşme",$N604=""),"SONRAKİ İŞLEM EKSİK",IF($I604="","TARİH EKSİK",IF($I604&lt;TODAY(),"GECİKMİŞ",IF($I604=TODAY(),"BUGÜN",IF($I604&lt;=TODAY()+7,"7 GÜN İÇİNDE","PLANLI"))))))))</f>
        <v/>
      </c>
      <c r="R604" s="6" t="n"/>
      <c r="S604" s="6" t="n"/>
    </row>
    <row r="605">
      <c r="A605" s="6" t="n"/>
      <c r="B605" s="113">
        <f>IF($E605="","","A"&amp;TEXT(ROW()-6,"00000"))</f>
        <v/>
      </c>
      <c r="C605" s="108" t="n"/>
      <c r="D605" s="113">
        <f>IF($E605="","",IFERROR(INDEX(MUSTERILER!$B$7:$B$106,MATCH($E605,MUSTERILER!$C$7:$C$106,0)),IFERROR(INDEX(MUSTERILER!$B$7:$B$106,MATCH($E605,MUSTERILER!$B$7:$B$106,0)),IFERROR(INDEX(MUSTERILER!$B$7:$B$106,MATCH($E605&amp;"*",MUSTERILER!$C$7:$C$106,0)),"TANIMSIZ MÜŞTERİ"))))</f>
        <v/>
      </c>
      <c r="E605" s="109" t="n"/>
      <c r="F605" s="109" t="n"/>
      <c r="G605" s="108" t="n"/>
      <c r="H605" s="225" t="n"/>
      <c r="I605" s="225" t="n"/>
      <c r="J605" s="108" t="n"/>
      <c r="K605" s="108" t="n"/>
      <c r="L605" s="109" t="n"/>
      <c r="M605" s="109" t="n"/>
      <c r="N605" s="109" t="n"/>
      <c r="O605" s="225" t="n"/>
      <c r="P605" s="232">
        <f>IF(OR($E605="",$I605=""),"",IF(OR($J605="Tamamlandı",$J605="İptal"),"",$I605-TODAY()))</f>
        <v/>
      </c>
      <c r="Q605" s="113">
        <f>IF($E605="","",IF($D605="TANIMSIZ MÜŞTERİ","HATA",IF(OR($J605="Tamamlandı",$J605="İptal"),"KAPALI",IF(AND($C605="Görüşme",$N605=""),"SONRAKİ İŞLEM EKSİK",IF($I605="","TARİH EKSİK",IF($I605&lt;TODAY(),"GECİKMİŞ",IF($I605=TODAY(),"BUGÜN",IF($I605&lt;=TODAY()+7,"7 GÜN İÇİNDE","PLANLI"))))))))</f>
        <v/>
      </c>
      <c r="R605" s="6" t="n"/>
      <c r="S605" s="6" t="n"/>
    </row>
    <row r="606">
      <c r="A606" s="6" t="n"/>
      <c r="B606" s="113">
        <f>IF($E606="","","A"&amp;TEXT(ROW()-6,"00000"))</f>
        <v/>
      </c>
      <c r="C606" s="108" t="n"/>
      <c r="D606" s="113">
        <f>IF($E606="","",IFERROR(INDEX(MUSTERILER!$B$7:$B$106,MATCH($E606,MUSTERILER!$C$7:$C$106,0)),IFERROR(INDEX(MUSTERILER!$B$7:$B$106,MATCH($E606,MUSTERILER!$B$7:$B$106,0)),IFERROR(INDEX(MUSTERILER!$B$7:$B$106,MATCH($E606&amp;"*",MUSTERILER!$C$7:$C$106,0)),"TANIMSIZ MÜŞTERİ"))))</f>
        <v/>
      </c>
      <c r="E606" s="109" t="n"/>
      <c r="F606" s="109" t="n"/>
      <c r="G606" s="108" t="n"/>
      <c r="H606" s="225" t="n"/>
      <c r="I606" s="225" t="n"/>
      <c r="J606" s="108" t="n"/>
      <c r="K606" s="108" t="n"/>
      <c r="L606" s="109" t="n"/>
      <c r="M606" s="109" t="n"/>
      <c r="N606" s="109" t="n"/>
      <c r="O606" s="225" t="n"/>
      <c r="P606" s="232">
        <f>IF(OR($E606="",$I606=""),"",IF(OR($J606="Tamamlandı",$J606="İptal"),"",$I606-TODAY()))</f>
        <v/>
      </c>
      <c r="Q606" s="113">
        <f>IF($E606="","",IF($D606="TANIMSIZ MÜŞTERİ","HATA",IF(OR($J606="Tamamlandı",$J606="İptal"),"KAPALI",IF(AND($C606="Görüşme",$N606=""),"SONRAKİ İŞLEM EKSİK",IF($I606="","TARİH EKSİK",IF($I606&lt;TODAY(),"GECİKMİŞ",IF($I606=TODAY(),"BUGÜN",IF($I606&lt;=TODAY()+7,"7 GÜN İÇİNDE","PLANLI"))))))))</f>
        <v/>
      </c>
      <c r="R606" s="6" t="n"/>
      <c r="S606" s="6" t="n"/>
    </row>
    <row r="607">
      <c r="A607" s="6" t="n"/>
      <c r="B607" s="113">
        <f>IF($E607="","","A"&amp;TEXT(ROW()-6,"00000"))</f>
        <v/>
      </c>
      <c r="C607" s="108" t="n"/>
      <c r="D607" s="113">
        <f>IF($E607="","",IFERROR(INDEX(MUSTERILER!$B$7:$B$106,MATCH($E607,MUSTERILER!$C$7:$C$106,0)),IFERROR(INDEX(MUSTERILER!$B$7:$B$106,MATCH($E607,MUSTERILER!$B$7:$B$106,0)),IFERROR(INDEX(MUSTERILER!$B$7:$B$106,MATCH($E607&amp;"*",MUSTERILER!$C$7:$C$106,0)),"TANIMSIZ MÜŞTERİ"))))</f>
        <v/>
      </c>
      <c r="E607" s="109" t="n"/>
      <c r="F607" s="109" t="n"/>
      <c r="G607" s="108" t="n"/>
      <c r="H607" s="225" t="n"/>
      <c r="I607" s="225" t="n"/>
      <c r="J607" s="108" t="n"/>
      <c r="K607" s="108" t="n"/>
      <c r="L607" s="109" t="n"/>
      <c r="M607" s="109" t="n"/>
      <c r="N607" s="109" t="n"/>
      <c r="O607" s="225" t="n"/>
      <c r="P607" s="232">
        <f>IF(OR($E607="",$I607=""),"",IF(OR($J607="Tamamlandı",$J607="İptal"),"",$I607-TODAY()))</f>
        <v/>
      </c>
      <c r="Q607" s="113">
        <f>IF($E607="","",IF($D607="TANIMSIZ MÜŞTERİ","HATA",IF(OR($J607="Tamamlandı",$J607="İptal"),"KAPALI",IF(AND($C607="Görüşme",$N607=""),"SONRAKİ İŞLEM EKSİK",IF($I607="","TARİH EKSİK",IF($I607&lt;TODAY(),"GECİKMİŞ",IF($I607=TODAY(),"BUGÜN",IF($I607&lt;=TODAY()+7,"7 GÜN İÇİNDE","PLANLI"))))))))</f>
        <v/>
      </c>
      <c r="R607" s="6" t="n"/>
      <c r="S607" s="6" t="n"/>
    </row>
    <row r="608">
      <c r="A608" s="6" t="n"/>
      <c r="B608" s="113">
        <f>IF($E608="","","A"&amp;TEXT(ROW()-6,"00000"))</f>
        <v/>
      </c>
      <c r="C608" s="108" t="n"/>
      <c r="D608" s="113">
        <f>IF($E608="","",IFERROR(INDEX(MUSTERILER!$B$7:$B$106,MATCH($E608,MUSTERILER!$C$7:$C$106,0)),IFERROR(INDEX(MUSTERILER!$B$7:$B$106,MATCH($E608,MUSTERILER!$B$7:$B$106,0)),IFERROR(INDEX(MUSTERILER!$B$7:$B$106,MATCH($E608&amp;"*",MUSTERILER!$C$7:$C$106,0)),"TANIMSIZ MÜŞTERİ"))))</f>
        <v/>
      </c>
      <c r="E608" s="109" t="n"/>
      <c r="F608" s="109" t="n"/>
      <c r="G608" s="108" t="n"/>
      <c r="H608" s="225" t="n"/>
      <c r="I608" s="225" t="n"/>
      <c r="J608" s="108" t="n"/>
      <c r="K608" s="108" t="n"/>
      <c r="L608" s="109" t="n"/>
      <c r="M608" s="109" t="n"/>
      <c r="N608" s="109" t="n"/>
      <c r="O608" s="225" t="n"/>
      <c r="P608" s="232">
        <f>IF(OR($E608="",$I608=""),"",IF(OR($J608="Tamamlandı",$J608="İptal"),"",$I608-TODAY()))</f>
        <v/>
      </c>
      <c r="Q608" s="113">
        <f>IF($E608="","",IF($D608="TANIMSIZ MÜŞTERİ","HATA",IF(OR($J608="Tamamlandı",$J608="İptal"),"KAPALI",IF(AND($C608="Görüşme",$N608=""),"SONRAKİ İŞLEM EKSİK",IF($I608="","TARİH EKSİK",IF($I608&lt;TODAY(),"GECİKMİŞ",IF($I608=TODAY(),"BUGÜN",IF($I608&lt;=TODAY()+7,"7 GÜN İÇİNDE","PLANLI"))))))))</f>
        <v/>
      </c>
      <c r="R608" s="6" t="n"/>
      <c r="S608" s="6" t="n"/>
    </row>
    <row r="609">
      <c r="A609" s="6" t="n"/>
      <c r="B609" s="113">
        <f>IF($E609="","","A"&amp;TEXT(ROW()-6,"00000"))</f>
        <v/>
      </c>
      <c r="C609" s="108" t="n"/>
      <c r="D609" s="113">
        <f>IF($E609="","",IFERROR(INDEX(MUSTERILER!$B$7:$B$106,MATCH($E609,MUSTERILER!$C$7:$C$106,0)),IFERROR(INDEX(MUSTERILER!$B$7:$B$106,MATCH($E609,MUSTERILER!$B$7:$B$106,0)),IFERROR(INDEX(MUSTERILER!$B$7:$B$106,MATCH($E609&amp;"*",MUSTERILER!$C$7:$C$106,0)),"TANIMSIZ MÜŞTERİ"))))</f>
        <v/>
      </c>
      <c r="E609" s="109" t="n"/>
      <c r="F609" s="109" t="n"/>
      <c r="G609" s="108" t="n"/>
      <c r="H609" s="225" t="n"/>
      <c r="I609" s="225" t="n"/>
      <c r="J609" s="108" t="n"/>
      <c r="K609" s="108" t="n"/>
      <c r="L609" s="109" t="n"/>
      <c r="M609" s="109" t="n"/>
      <c r="N609" s="109" t="n"/>
      <c r="O609" s="225" t="n"/>
      <c r="P609" s="232">
        <f>IF(OR($E609="",$I609=""),"",IF(OR($J609="Tamamlandı",$J609="İptal"),"",$I609-TODAY()))</f>
        <v/>
      </c>
      <c r="Q609" s="113">
        <f>IF($E609="","",IF($D609="TANIMSIZ MÜŞTERİ","HATA",IF(OR($J609="Tamamlandı",$J609="İptal"),"KAPALI",IF(AND($C609="Görüşme",$N609=""),"SONRAKİ İŞLEM EKSİK",IF($I609="","TARİH EKSİK",IF($I609&lt;TODAY(),"GECİKMİŞ",IF($I609=TODAY(),"BUGÜN",IF($I609&lt;=TODAY()+7,"7 GÜN İÇİNDE","PLANLI"))))))))</f>
        <v/>
      </c>
      <c r="R609" s="6" t="n"/>
      <c r="S609" s="6" t="n"/>
    </row>
    <row r="610">
      <c r="A610" s="6" t="n"/>
      <c r="B610" s="113">
        <f>IF($E610="","","A"&amp;TEXT(ROW()-6,"00000"))</f>
        <v/>
      </c>
      <c r="C610" s="108" t="n"/>
      <c r="D610" s="113">
        <f>IF($E610="","",IFERROR(INDEX(MUSTERILER!$B$7:$B$106,MATCH($E610,MUSTERILER!$C$7:$C$106,0)),IFERROR(INDEX(MUSTERILER!$B$7:$B$106,MATCH($E610,MUSTERILER!$B$7:$B$106,0)),IFERROR(INDEX(MUSTERILER!$B$7:$B$106,MATCH($E610&amp;"*",MUSTERILER!$C$7:$C$106,0)),"TANIMSIZ MÜŞTERİ"))))</f>
        <v/>
      </c>
      <c r="E610" s="109" t="n"/>
      <c r="F610" s="109" t="n"/>
      <c r="G610" s="108" t="n"/>
      <c r="H610" s="225" t="n"/>
      <c r="I610" s="225" t="n"/>
      <c r="J610" s="108" t="n"/>
      <c r="K610" s="108" t="n"/>
      <c r="L610" s="109" t="n"/>
      <c r="M610" s="109" t="n"/>
      <c r="N610" s="109" t="n"/>
      <c r="O610" s="225" t="n"/>
      <c r="P610" s="232">
        <f>IF(OR($E610="",$I610=""),"",IF(OR($J610="Tamamlandı",$J610="İptal"),"",$I610-TODAY()))</f>
        <v/>
      </c>
      <c r="Q610" s="113">
        <f>IF($E610="","",IF($D610="TANIMSIZ MÜŞTERİ","HATA",IF(OR($J610="Tamamlandı",$J610="İptal"),"KAPALI",IF(AND($C610="Görüşme",$N610=""),"SONRAKİ İŞLEM EKSİK",IF($I610="","TARİH EKSİK",IF($I610&lt;TODAY(),"GECİKMİŞ",IF($I610=TODAY(),"BUGÜN",IF($I610&lt;=TODAY()+7,"7 GÜN İÇİNDE","PLANLI"))))))))</f>
        <v/>
      </c>
      <c r="R610" s="6" t="n"/>
      <c r="S610" s="6" t="n"/>
    </row>
    <row r="611">
      <c r="A611" s="6" t="n"/>
      <c r="B611" s="113">
        <f>IF($E611="","","A"&amp;TEXT(ROW()-6,"00000"))</f>
        <v/>
      </c>
      <c r="C611" s="108" t="n"/>
      <c r="D611" s="113">
        <f>IF($E611="","",IFERROR(INDEX(MUSTERILER!$B$7:$B$106,MATCH($E611,MUSTERILER!$C$7:$C$106,0)),IFERROR(INDEX(MUSTERILER!$B$7:$B$106,MATCH($E611,MUSTERILER!$B$7:$B$106,0)),IFERROR(INDEX(MUSTERILER!$B$7:$B$106,MATCH($E611&amp;"*",MUSTERILER!$C$7:$C$106,0)),"TANIMSIZ MÜŞTERİ"))))</f>
        <v/>
      </c>
      <c r="E611" s="109" t="n"/>
      <c r="F611" s="109" t="n"/>
      <c r="G611" s="108" t="n"/>
      <c r="H611" s="225" t="n"/>
      <c r="I611" s="225" t="n"/>
      <c r="J611" s="108" t="n"/>
      <c r="K611" s="108" t="n"/>
      <c r="L611" s="109" t="n"/>
      <c r="M611" s="109" t="n"/>
      <c r="N611" s="109" t="n"/>
      <c r="O611" s="225" t="n"/>
      <c r="P611" s="232">
        <f>IF(OR($E611="",$I611=""),"",IF(OR($J611="Tamamlandı",$J611="İptal"),"",$I611-TODAY()))</f>
        <v/>
      </c>
      <c r="Q611" s="113">
        <f>IF($E611="","",IF($D611="TANIMSIZ MÜŞTERİ","HATA",IF(OR($J611="Tamamlandı",$J611="İptal"),"KAPALI",IF(AND($C611="Görüşme",$N611=""),"SONRAKİ İŞLEM EKSİK",IF($I611="","TARİH EKSİK",IF($I611&lt;TODAY(),"GECİKMİŞ",IF($I611=TODAY(),"BUGÜN",IF($I611&lt;=TODAY()+7,"7 GÜN İÇİNDE","PLANLI"))))))))</f>
        <v/>
      </c>
      <c r="R611" s="6" t="n"/>
      <c r="S611" s="6" t="n"/>
    </row>
    <row r="612">
      <c r="A612" s="6" t="n"/>
      <c r="B612" s="113">
        <f>IF($E612="","","A"&amp;TEXT(ROW()-6,"00000"))</f>
        <v/>
      </c>
      <c r="C612" s="108" t="n"/>
      <c r="D612" s="113">
        <f>IF($E612="","",IFERROR(INDEX(MUSTERILER!$B$7:$B$106,MATCH($E612,MUSTERILER!$C$7:$C$106,0)),IFERROR(INDEX(MUSTERILER!$B$7:$B$106,MATCH($E612,MUSTERILER!$B$7:$B$106,0)),IFERROR(INDEX(MUSTERILER!$B$7:$B$106,MATCH($E612&amp;"*",MUSTERILER!$C$7:$C$106,0)),"TANIMSIZ MÜŞTERİ"))))</f>
        <v/>
      </c>
      <c r="E612" s="109" t="n"/>
      <c r="F612" s="109" t="n"/>
      <c r="G612" s="108" t="n"/>
      <c r="H612" s="225" t="n"/>
      <c r="I612" s="225" t="n"/>
      <c r="J612" s="108" t="n"/>
      <c r="K612" s="108" t="n"/>
      <c r="L612" s="109" t="n"/>
      <c r="M612" s="109" t="n"/>
      <c r="N612" s="109" t="n"/>
      <c r="O612" s="225" t="n"/>
      <c r="P612" s="232">
        <f>IF(OR($E612="",$I612=""),"",IF(OR($J612="Tamamlandı",$J612="İptal"),"",$I612-TODAY()))</f>
        <v/>
      </c>
      <c r="Q612" s="113">
        <f>IF($E612="","",IF($D612="TANIMSIZ MÜŞTERİ","HATA",IF(OR($J612="Tamamlandı",$J612="İptal"),"KAPALI",IF(AND($C612="Görüşme",$N612=""),"SONRAKİ İŞLEM EKSİK",IF($I612="","TARİH EKSİK",IF($I612&lt;TODAY(),"GECİKMİŞ",IF($I612=TODAY(),"BUGÜN",IF($I612&lt;=TODAY()+7,"7 GÜN İÇİNDE","PLANLI"))))))))</f>
        <v/>
      </c>
      <c r="R612" s="6" t="n"/>
      <c r="S612" s="6" t="n"/>
    </row>
    <row r="613">
      <c r="A613" s="6" t="n"/>
      <c r="B613" s="113">
        <f>IF($E613="","","A"&amp;TEXT(ROW()-6,"00000"))</f>
        <v/>
      </c>
      <c r="C613" s="108" t="n"/>
      <c r="D613" s="113">
        <f>IF($E613="","",IFERROR(INDEX(MUSTERILER!$B$7:$B$106,MATCH($E613,MUSTERILER!$C$7:$C$106,0)),IFERROR(INDEX(MUSTERILER!$B$7:$B$106,MATCH($E613,MUSTERILER!$B$7:$B$106,0)),IFERROR(INDEX(MUSTERILER!$B$7:$B$106,MATCH($E613&amp;"*",MUSTERILER!$C$7:$C$106,0)),"TANIMSIZ MÜŞTERİ"))))</f>
        <v/>
      </c>
      <c r="E613" s="109" t="n"/>
      <c r="F613" s="109" t="n"/>
      <c r="G613" s="108" t="n"/>
      <c r="H613" s="225" t="n"/>
      <c r="I613" s="225" t="n"/>
      <c r="J613" s="108" t="n"/>
      <c r="K613" s="108" t="n"/>
      <c r="L613" s="109" t="n"/>
      <c r="M613" s="109" t="n"/>
      <c r="N613" s="109" t="n"/>
      <c r="O613" s="225" t="n"/>
      <c r="P613" s="232">
        <f>IF(OR($E613="",$I613=""),"",IF(OR($J613="Tamamlandı",$J613="İptal"),"",$I613-TODAY()))</f>
        <v/>
      </c>
      <c r="Q613" s="113">
        <f>IF($E613="","",IF($D613="TANIMSIZ MÜŞTERİ","HATA",IF(OR($J613="Tamamlandı",$J613="İptal"),"KAPALI",IF(AND($C613="Görüşme",$N613=""),"SONRAKİ İŞLEM EKSİK",IF($I613="","TARİH EKSİK",IF($I613&lt;TODAY(),"GECİKMİŞ",IF($I613=TODAY(),"BUGÜN",IF($I613&lt;=TODAY()+7,"7 GÜN İÇİNDE","PLANLI"))))))))</f>
        <v/>
      </c>
      <c r="R613" s="6" t="n"/>
      <c r="S613" s="6" t="n"/>
    </row>
    <row r="614">
      <c r="A614" s="6" t="n"/>
      <c r="B614" s="113">
        <f>IF($E614="","","A"&amp;TEXT(ROW()-6,"00000"))</f>
        <v/>
      </c>
      <c r="C614" s="108" t="n"/>
      <c r="D614" s="113">
        <f>IF($E614="","",IFERROR(INDEX(MUSTERILER!$B$7:$B$106,MATCH($E614,MUSTERILER!$C$7:$C$106,0)),IFERROR(INDEX(MUSTERILER!$B$7:$B$106,MATCH($E614,MUSTERILER!$B$7:$B$106,0)),IFERROR(INDEX(MUSTERILER!$B$7:$B$106,MATCH($E614&amp;"*",MUSTERILER!$C$7:$C$106,0)),"TANIMSIZ MÜŞTERİ"))))</f>
        <v/>
      </c>
      <c r="E614" s="109" t="n"/>
      <c r="F614" s="109" t="n"/>
      <c r="G614" s="108" t="n"/>
      <c r="H614" s="225" t="n"/>
      <c r="I614" s="225" t="n"/>
      <c r="J614" s="108" t="n"/>
      <c r="K614" s="108" t="n"/>
      <c r="L614" s="109" t="n"/>
      <c r="M614" s="109" t="n"/>
      <c r="N614" s="109" t="n"/>
      <c r="O614" s="225" t="n"/>
      <c r="P614" s="232">
        <f>IF(OR($E614="",$I614=""),"",IF(OR($J614="Tamamlandı",$J614="İptal"),"",$I614-TODAY()))</f>
        <v/>
      </c>
      <c r="Q614" s="113">
        <f>IF($E614="","",IF($D614="TANIMSIZ MÜŞTERİ","HATA",IF(OR($J614="Tamamlandı",$J614="İptal"),"KAPALI",IF(AND($C614="Görüşme",$N614=""),"SONRAKİ İŞLEM EKSİK",IF($I614="","TARİH EKSİK",IF($I614&lt;TODAY(),"GECİKMİŞ",IF($I614=TODAY(),"BUGÜN",IF($I614&lt;=TODAY()+7,"7 GÜN İÇİNDE","PLANLI"))))))))</f>
        <v/>
      </c>
      <c r="R614" s="6" t="n"/>
      <c r="S614" s="6" t="n"/>
    </row>
    <row r="615">
      <c r="A615" s="6" t="n"/>
      <c r="B615" s="113">
        <f>IF($E615="","","A"&amp;TEXT(ROW()-6,"00000"))</f>
        <v/>
      </c>
      <c r="C615" s="108" t="n"/>
      <c r="D615" s="113">
        <f>IF($E615="","",IFERROR(INDEX(MUSTERILER!$B$7:$B$106,MATCH($E615,MUSTERILER!$C$7:$C$106,0)),IFERROR(INDEX(MUSTERILER!$B$7:$B$106,MATCH($E615,MUSTERILER!$B$7:$B$106,0)),IFERROR(INDEX(MUSTERILER!$B$7:$B$106,MATCH($E615&amp;"*",MUSTERILER!$C$7:$C$106,0)),"TANIMSIZ MÜŞTERİ"))))</f>
        <v/>
      </c>
      <c r="E615" s="109" t="n"/>
      <c r="F615" s="109" t="n"/>
      <c r="G615" s="108" t="n"/>
      <c r="H615" s="225" t="n"/>
      <c r="I615" s="225" t="n"/>
      <c r="J615" s="108" t="n"/>
      <c r="K615" s="108" t="n"/>
      <c r="L615" s="109" t="n"/>
      <c r="M615" s="109" t="n"/>
      <c r="N615" s="109" t="n"/>
      <c r="O615" s="225" t="n"/>
      <c r="P615" s="232">
        <f>IF(OR($E615="",$I615=""),"",IF(OR($J615="Tamamlandı",$J615="İptal"),"",$I615-TODAY()))</f>
        <v/>
      </c>
      <c r="Q615" s="113">
        <f>IF($E615="","",IF($D615="TANIMSIZ MÜŞTERİ","HATA",IF(OR($J615="Tamamlandı",$J615="İptal"),"KAPALI",IF(AND($C615="Görüşme",$N615=""),"SONRAKİ İŞLEM EKSİK",IF($I615="","TARİH EKSİK",IF($I615&lt;TODAY(),"GECİKMİŞ",IF($I615=TODAY(),"BUGÜN",IF($I615&lt;=TODAY()+7,"7 GÜN İÇİNDE","PLANLI"))))))))</f>
        <v/>
      </c>
      <c r="R615" s="6" t="n"/>
      <c r="S615" s="6" t="n"/>
    </row>
    <row r="616">
      <c r="A616" s="6" t="n"/>
      <c r="B616" s="113">
        <f>IF($E616="","","A"&amp;TEXT(ROW()-6,"00000"))</f>
        <v/>
      </c>
      <c r="C616" s="108" t="n"/>
      <c r="D616" s="113">
        <f>IF($E616="","",IFERROR(INDEX(MUSTERILER!$B$7:$B$106,MATCH($E616,MUSTERILER!$C$7:$C$106,0)),IFERROR(INDEX(MUSTERILER!$B$7:$B$106,MATCH($E616,MUSTERILER!$B$7:$B$106,0)),IFERROR(INDEX(MUSTERILER!$B$7:$B$106,MATCH($E616&amp;"*",MUSTERILER!$C$7:$C$106,0)),"TANIMSIZ MÜŞTERİ"))))</f>
        <v/>
      </c>
      <c r="E616" s="109" t="n"/>
      <c r="F616" s="109" t="n"/>
      <c r="G616" s="108" t="n"/>
      <c r="H616" s="225" t="n"/>
      <c r="I616" s="225" t="n"/>
      <c r="J616" s="108" t="n"/>
      <c r="K616" s="108" t="n"/>
      <c r="L616" s="109" t="n"/>
      <c r="M616" s="109" t="n"/>
      <c r="N616" s="109" t="n"/>
      <c r="O616" s="225" t="n"/>
      <c r="P616" s="232">
        <f>IF(OR($E616="",$I616=""),"",IF(OR($J616="Tamamlandı",$J616="İptal"),"",$I616-TODAY()))</f>
        <v/>
      </c>
      <c r="Q616" s="113">
        <f>IF($E616="","",IF($D616="TANIMSIZ MÜŞTERİ","HATA",IF(OR($J616="Tamamlandı",$J616="İptal"),"KAPALI",IF(AND($C616="Görüşme",$N616=""),"SONRAKİ İŞLEM EKSİK",IF($I616="","TARİH EKSİK",IF($I616&lt;TODAY(),"GECİKMİŞ",IF($I616=TODAY(),"BUGÜN",IF($I616&lt;=TODAY()+7,"7 GÜN İÇİNDE","PLANLI"))))))))</f>
        <v/>
      </c>
      <c r="R616" s="6" t="n"/>
      <c r="S616" s="6" t="n"/>
    </row>
    <row r="617">
      <c r="A617" s="6" t="n"/>
      <c r="B617" s="113">
        <f>IF($E617="","","A"&amp;TEXT(ROW()-6,"00000"))</f>
        <v/>
      </c>
      <c r="C617" s="108" t="n"/>
      <c r="D617" s="113">
        <f>IF($E617="","",IFERROR(INDEX(MUSTERILER!$B$7:$B$106,MATCH($E617,MUSTERILER!$C$7:$C$106,0)),IFERROR(INDEX(MUSTERILER!$B$7:$B$106,MATCH($E617,MUSTERILER!$B$7:$B$106,0)),IFERROR(INDEX(MUSTERILER!$B$7:$B$106,MATCH($E617&amp;"*",MUSTERILER!$C$7:$C$106,0)),"TANIMSIZ MÜŞTERİ"))))</f>
        <v/>
      </c>
      <c r="E617" s="109" t="n"/>
      <c r="F617" s="109" t="n"/>
      <c r="G617" s="108" t="n"/>
      <c r="H617" s="225" t="n"/>
      <c r="I617" s="225" t="n"/>
      <c r="J617" s="108" t="n"/>
      <c r="K617" s="108" t="n"/>
      <c r="L617" s="109" t="n"/>
      <c r="M617" s="109" t="n"/>
      <c r="N617" s="109" t="n"/>
      <c r="O617" s="225" t="n"/>
      <c r="P617" s="232">
        <f>IF(OR($E617="",$I617=""),"",IF(OR($J617="Tamamlandı",$J617="İptal"),"",$I617-TODAY()))</f>
        <v/>
      </c>
      <c r="Q617" s="113">
        <f>IF($E617="","",IF($D617="TANIMSIZ MÜŞTERİ","HATA",IF(OR($J617="Tamamlandı",$J617="İptal"),"KAPALI",IF(AND($C617="Görüşme",$N617=""),"SONRAKİ İŞLEM EKSİK",IF($I617="","TARİH EKSİK",IF($I617&lt;TODAY(),"GECİKMİŞ",IF($I617=TODAY(),"BUGÜN",IF($I617&lt;=TODAY()+7,"7 GÜN İÇİNDE","PLANLI"))))))))</f>
        <v/>
      </c>
      <c r="R617" s="6" t="n"/>
      <c r="S617" s="6" t="n"/>
    </row>
    <row r="618">
      <c r="A618" s="6" t="n"/>
      <c r="B618" s="113">
        <f>IF($E618="","","A"&amp;TEXT(ROW()-6,"00000"))</f>
        <v/>
      </c>
      <c r="C618" s="108" t="n"/>
      <c r="D618" s="113">
        <f>IF($E618="","",IFERROR(INDEX(MUSTERILER!$B$7:$B$106,MATCH($E618,MUSTERILER!$C$7:$C$106,0)),IFERROR(INDEX(MUSTERILER!$B$7:$B$106,MATCH($E618,MUSTERILER!$B$7:$B$106,0)),IFERROR(INDEX(MUSTERILER!$B$7:$B$106,MATCH($E618&amp;"*",MUSTERILER!$C$7:$C$106,0)),"TANIMSIZ MÜŞTERİ"))))</f>
        <v/>
      </c>
      <c r="E618" s="109" t="n"/>
      <c r="F618" s="109" t="n"/>
      <c r="G618" s="108" t="n"/>
      <c r="H618" s="225" t="n"/>
      <c r="I618" s="225" t="n"/>
      <c r="J618" s="108" t="n"/>
      <c r="K618" s="108" t="n"/>
      <c r="L618" s="109" t="n"/>
      <c r="M618" s="109" t="n"/>
      <c r="N618" s="109" t="n"/>
      <c r="O618" s="225" t="n"/>
      <c r="P618" s="232">
        <f>IF(OR($E618="",$I618=""),"",IF(OR($J618="Tamamlandı",$J618="İptal"),"",$I618-TODAY()))</f>
        <v/>
      </c>
      <c r="Q618" s="113">
        <f>IF($E618="","",IF($D618="TANIMSIZ MÜŞTERİ","HATA",IF(OR($J618="Tamamlandı",$J618="İptal"),"KAPALI",IF(AND($C618="Görüşme",$N618=""),"SONRAKİ İŞLEM EKSİK",IF($I618="","TARİH EKSİK",IF($I618&lt;TODAY(),"GECİKMİŞ",IF($I618=TODAY(),"BUGÜN",IF($I618&lt;=TODAY()+7,"7 GÜN İÇİNDE","PLANLI"))))))))</f>
        <v/>
      </c>
      <c r="R618" s="6" t="n"/>
      <c r="S618" s="6" t="n"/>
    </row>
    <row r="619">
      <c r="A619" s="6" t="n"/>
      <c r="B619" s="113">
        <f>IF($E619="","","A"&amp;TEXT(ROW()-6,"00000"))</f>
        <v/>
      </c>
      <c r="C619" s="108" t="n"/>
      <c r="D619" s="113">
        <f>IF($E619="","",IFERROR(INDEX(MUSTERILER!$B$7:$B$106,MATCH($E619,MUSTERILER!$C$7:$C$106,0)),IFERROR(INDEX(MUSTERILER!$B$7:$B$106,MATCH($E619,MUSTERILER!$B$7:$B$106,0)),IFERROR(INDEX(MUSTERILER!$B$7:$B$106,MATCH($E619&amp;"*",MUSTERILER!$C$7:$C$106,0)),"TANIMSIZ MÜŞTERİ"))))</f>
        <v/>
      </c>
      <c r="E619" s="109" t="n"/>
      <c r="F619" s="109" t="n"/>
      <c r="G619" s="108" t="n"/>
      <c r="H619" s="225" t="n"/>
      <c r="I619" s="225" t="n"/>
      <c r="J619" s="108" t="n"/>
      <c r="K619" s="108" t="n"/>
      <c r="L619" s="109" t="n"/>
      <c r="M619" s="109" t="n"/>
      <c r="N619" s="109" t="n"/>
      <c r="O619" s="225" t="n"/>
      <c r="P619" s="232">
        <f>IF(OR($E619="",$I619=""),"",IF(OR($J619="Tamamlandı",$J619="İptal"),"",$I619-TODAY()))</f>
        <v/>
      </c>
      <c r="Q619" s="113">
        <f>IF($E619="","",IF($D619="TANIMSIZ MÜŞTERİ","HATA",IF(OR($J619="Tamamlandı",$J619="İptal"),"KAPALI",IF(AND($C619="Görüşme",$N619=""),"SONRAKİ İŞLEM EKSİK",IF($I619="","TARİH EKSİK",IF($I619&lt;TODAY(),"GECİKMİŞ",IF($I619=TODAY(),"BUGÜN",IF($I619&lt;=TODAY()+7,"7 GÜN İÇİNDE","PLANLI"))))))))</f>
        <v/>
      </c>
      <c r="R619" s="6" t="n"/>
      <c r="S619" s="6" t="n"/>
    </row>
    <row r="620">
      <c r="A620" s="6" t="n"/>
      <c r="B620" s="113">
        <f>IF($E620="","","A"&amp;TEXT(ROW()-6,"00000"))</f>
        <v/>
      </c>
      <c r="C620" s="108" t="n"/>
      <c r="D620" s="113">
        <f>IF($E620="","",IFERROR(INDEX(MUSTERILER!$B$7:$B$106,MATCH($E620,MUSTERILER!$C$7:$C$106,0)),IFERROR(INDEX(MUSTERILER!$B$7:$B$106,MATCH($E620,MUSTERILER!$B$7:$B$106,0)),IFERROR(INDEX(MUSTERILER!$B$7:$B$106,MATCH($E620&amp;"*",MUSTERILER!$C$7:$C$106,0)),"TANIMSIZ MÜŞTERİ"))))</f>
        <v/>
      </c>
      <c r="E620" s="109" t="n"/>
      <c r="F620" s="109" t="n"/>
      <c r="G620" s="108" t="n"/>
      <c r="H620" s="225" t="n"/>
      <c r="I620" s="225" t="n"/>
      <c r="J620" s="108" t="n"/>
      <c r="K620" s="108" t="n"/>
      <c r="L620" s="109" t="n"/>
      <c r="M620" s="109" t="n"/>
      <c r="N620" s="109" t="n"/>
      <c r="O620" s="225" t="n"/>
      <c r="P620" s="232">
        <f>IF(OR($E620="",$I620=""),"",IF(OR($J620="Tamamlandı",$J620="İptal"),"",$I620-TODAY()))</f>
        <v/>
      </c>
      <c r="Q620" s="113">
        <f>IF($E620="","",IF($D620="TANIMSIZ MÜŞTERİ","HATA",IF(OR($J620="Tamamlandı",$J620="İptal"),"KAPALI",IF(AND($C620="Görüşme",$N620=""),"SONRAKİ İŞLEM EKSİK",IF($I620="","TARİH EKSİK",IF($I620&lt;TODAY(),"GECİKMİŞ",IF($I620=TODAY(),"BUGÜN",IF($I620&lt;=TODAY()+7,"7 GÜN İÇİNDE","PLANLI"))))))))</f>
        <v/>
      </c>
      <c r="R620" s="6" t="n"/>
      <c r="S620" s="6" t="n"/>
    </row>
    <row r="621">
      <c r="A621" s="6" t="n"/>
      <c r="B621" s="113">
        <f>IF($E621="","","A"&amp;TEXT(ROW()-6,"00000"))</f>
        <v/>
      </c>
      <c r="C621" s="108" t="n"/>
      <c r="D621" s="113">
        <f>IF($E621="","",IFERROR(INDEX(MUSTERILER!$B$7:$B$106,MATCH($E621,MUSTERILER!$C$7:$C$106,0)),IFERROR(INDEX(MUSTERILER!$B$7:$B$106,MATCH($E621,MUSTERILER!$B$7:$B$106,0)),IFERROR(INDEX(MUSTERILER!$B$7:$B$106,MATCH($E621&amp;"*",MUSTERILER!$C$7:$C$106,0)),"TANIMSIZ MÜŞTERİ"))))</f>
        <v/>
      </c>
      <c r="E621" s="109" t="n"/>
      <c r="F621" s="109" t="n"/>
      <c r="G621" s="108" t="n"/>
      <c r="H621" s="225" t="n"/>
      <c r="I621" s="225" t="n"/>
      <c r="J621" s="108" t="n"/>
      <c r="K621" s="108" t="n"/>
      <c r="L621" s="109" t="n"/>
      <c r="M621" s="109" t="n"/>
      <c r="N621" s="109" t="n"/>
      <c r="O621" s="225" t="n"/>
      <c r="P621" s="232">
        <f>IF(OR($E621="",$I621=""),"",IF(OR($J621="Tamamlandı",$J621="İptal"),"",$I621-TODAY()))</f>
        <v/>
      </c>
      <c r="Q621" s="113">
        <f>IF($E621="","",IF($D621="TANIMSIZ MÜŞTERİ","HATA",IF(OR($J621="Tamamlandı",$J621="İptal"),"KAPALI",IF(AND($C621="Görüşme",$N621=""),"SONRAKİ İŞLEM EKSİK",IF($I621="","TARİH EKSİK",IF($I621&lt;TODAY(),"GECİKMİŞ",IF($I621=TODAY(),"BUGÜN",IF($I621&lt;=TODAY()+7,"7 GÜN İÇİNDE","PLANLI"))))))))</f>
        <v/>
      </c>
      <c r="R621" s="6" t="n"/>
      <c r="S621" s="6" t="n"/>
    </row>
    <row r="622">
      <c r="A622" s="6" t="n"/>
      <c r="B622" s="113">
        <f>IF($E622="","","A"&amp;TEXT(ROW()-6,"00000"))</f>
        <v/>
      </c>
      <c r="C622" s="108" t="n"/>
      <c r="D622" s="113">
        <f>IF($E622="","",IFERROR(INDEX(MUSTERILER!$B$7:$B$106,MATCH($E622,MUSTERILER!$C$7:$C$106,0)),IFERROR(INDEX(MUSTERILER!$B$7:$B$106,MATCH($E622,MUSTERILER!$B$7:$B$106,0)),IFERROR(INDEX(MUSTERILER!$B$7:$B$106,MATCH($E622&amp;"*",MUSTERILER!$C$7:$C$106,0)),"TANIMSIZ MÜŞTERİ"))))</f>
        <v/>
      </c>
      <c r="E622" s="109" t="n"/>
      <c r="F622" s="109" t="n"/>
      <c r="G622" s="108" t="n"/>
      <c r="H622" s="225" t="n"/>
      <c r="I622" s="225" t="n"/>
      <c r="J622" s="108" t="n"/>
      <c r="K622" s="108" t="n"/>
      <c r="L622" s="109" t="n"/>
      <c r="M622" s="109" t="n"/>
      <c r="N622" s="109" t="n"/>
      <c r="O622" s="225" t="n"/>
      <c r="P622" s="232">
        <f>IF(OR($E622="",$I622=""),"",IF(OR($J622="Tamamlandı",$J622="İptal"),"",$I622-TODAY()))</f>
        <v/>
      </c>
      <c r="Q622" s="113">
        <f>IF($E622="","",IF($D622="TANIMSIZ MÜŞTERİ","HATA",IF(OR($J622="Tamamlandı",$J622="İptal"),"KAPALI",IF(AND($C622="Görüşme",$N622=""),"SONRAKİ İŞLEM EKSİK",IF($I622="","TARİH EKSİK",IF($I622&lt;TODAY(),"GECİKMİŞ",IF($I622=TODAY(),"BUGÜN",IF($I622&lt;=TODAY()+7,"7 GÜN İÇİNDE","PLANLI"))))))))</f>
        <v/>
      </c>
      <c r="R622" s="6" t="n"/>
      <c r="S622" s="6" t="n"/>
    </row>
    <row r="623">
      <c r="A623" s="6" t="n"/>
      <c r="B623" s="113">
        <f>IF($E623="","","A"&amp;TEXT(ROW()-6,"00000"))</f>
        <v/>
      </c>
      <c r="C623" s="108" t="n"/>
      <c r="D623" s="113">
        <f>IF($E623="","",IFERROR(INDEX(MUSTERILER!$B$7:$B$106,MATCH($E623,MUSTERILER!$C$7:$C$106,0)),IFERROR(INDEX(MUSTERILER!$B$7:$B$106,MATCH($E623,MUSTERILER!$B$7:$B$106,0)),IFERROR(INDEX(MUSTERILER!$B$7:$B$106,MATCH($E623&amp;"*",MUSTERILER!$C$7:$C$106,0)),"TANIMSIZ MÜŞTERİ"))))</f>
        <v/>
      </c>
      <c r="E623" s="109" t="n"/>
      <c r="F623" s="109" t="n"/>
      <c r="G623" s="108" t="n"/>
      <c r="H623" s="225" t="n"/>
      <c r="I623" s="225" t="n"/>
      <c r="J623" s="108" t="n"/>
      <c r="K623" s="108" t="n"/>
      <c r="L623" s="109" t="n"/>
      <c r="M623" s="109" t="n"/>
      <c r="N623" s="109" t="n"/>
      <c r="O623" s="225" t="n"/>
      <c r="P623" s="232">
        <f>IF(OR($E623="",$I623=""),"",IF(OR($J623="Tamamlandı",$J623="İptal"),"",$I623-TODAY()))</f>
        <v/>
      </c>
      <c r="Q623" s="113">
        <f>IF($E623="","",IF($D623="TANIMSIZ MÜŞTERİ","HATA",IF(OR($J623="Tamamlandı",$J623="İptal"),"KAPALI",IF(AND($C623="Görüşme",$N623=""),"SONRAKİ İŞLEM EKSİK",IF($I623="","TARİH EKSİK",IF($I623&lt;TODAY(),"GECİKMİŞ",IF($I623=TODAY(),"BUGÜN",IF($I623&lt;=TODAY()+7,"7 GÜN İÇİNDE","PLANLI"))))))))</f>
        <v/>
      </c>
      <c r="R623" s="6" t="n"/>
      <c r="S623" s="6" t="n"/>
    </row>
    <row r="624">
      <c r="A624" s="6" t="n"/>
      <c r="B624" s="113">
        <f>IF($E624="","","A"&amp;TEXT(ROW()-6,"00000"))</f>
        <v/>
      </c>
      <c r="C624" s="108" t="n"/>
      <c r="D624" s="113">
        <f>IF($E624="","",IFERROR(INDEX(MUSTERILER!$B$7:$B$106,MATCH($E624,MUSTERILER!$C$7:$C$106,0)),IFERROR(INDEX(MUSTERILER!$B$7:$B$106,MATCH($E624,MUSTERILER!$B$7:$B$106,0)),IFERROR(INDEX(MUSTERILER!$B$7:$B$106,MATCH($E624&amp;"*",MUSTERILER!$C$7:$C$106,0)),"TANIMSIZ MÜŞTERİ"))))</f>
        <v/>
      </c>
      <c r="E624" s="109" t="n"/>
      <c r="F624" s="109" t="n"/>
      <c r="G624" s="108" t="n"/>
      <c r="H624" s="225" t="n"/>
      <c r="I624" s="225" t="n"/>
      <c r="J624" s="108" t="n"/>
      <c r="K624" s="108" t="n"/>
      <c r="L624" s="109" t="n"/>
      <c r="M624" s="109" t="n"/>
      <c r="N624" s="109" t="n"/>
      <c r="O624" s="225" t="n"/>
      <c r="P624" s="232">
        <f>IF(OR($E624="",$I624=""),"",IF(OR($J624="Tamamlandı",$J624="İptal"),"",$I624-TODAY()))</f>
        <v/>
      </c>
      <c r="Q624" s="113">
        <f>IF($E624="","",IF($D624="TANIMSIZ MÜŞTERİ","HATA",IF(OR($J624="Tamamlandı",$J624="İptal"),"KAPALI",IF(AND($C624="Görüşme",$N624=""),"SONRAKİ İŞLEM EKSİK",IF($I624="","TARİH EKSİK",IF($I624&lt;TODAY(),"GECİKMİŞ",IF($I624=TODAY(),"BUGÜN",IF($I624&lt;=TODAY()+7,"7 GÜN İÇİNDE","PLANLI"))))))))</f>
        <v/>
      </c>
      <c r="R624" s="6" t="n"/>
      <c r="S624" s="6" t="n"/>
    </row>
    <row r="625">
      <c r="A625" s="6" t="n"/>
      <c r="B625" s="113">
        <f>IF($E625="","","A"&amp;TEXT(ROW()-6,"00000"))</f>
        <v/>
      </c>
      <c r="C625" s="108" t="n"/>
      <c r="D625" s="113">
        <f>IF($E625="","",IFERROR(INDEX(MUSTERILER!$B$7:$B$106,MATCH($E625,MUSTERILER!$C$7:$C$106,0)),IFERROR(INDEX(MUSTERILER!$B$7:$B$106,MATCH($E625,MUSTERILER!$B$7:$B$106,0)),IFERROR(INDEX(MUSTERILER!$B$7:$B$106,MATCH($E625&amp;"*",MUSTERILER!$C$7:$C$106,0)),"TANIMSIZ MÜŞTERİ"))))</f>
        <v/>
      </c>
      <c r="E625" s="109" t="n"/>
      <c r="F625" s="109" t="n"/>
      <c r="G625" s="108" t="n"/>
      <c r="H625" s="225" t="n"/>
      <c r="I625" s="225" t="n"/>
      <c r="J625" s="108" t="n"/>
      <c r="K625" s="108" t="n"/>
      <c r="L625" s="109" t="n"/>
      <c r="M625" s="109" t="n"/>
      <c r="N625" s="109" t="n"/>
      <c r="O625" s="225" t="n"/>
      <c r="P625" s="232">
        <f>IF(OR($E625="",$I625=""),"",IF(OR($J625="Tamamlandı",$J625="İptal"),"",$I625-TODAY()))</f>
        <v/>
      </c>
      <c r="Q625" s="113">
        <f>IF($E625="","",IF($D625="TANIMSIZ MÜŞTERİ","HATA",IF(OR($J625="Tamamlandı",$J625="İptal"),"KAPALI",IF(AND($C625="Görüşme",$N625=""),"SONRAKİ İŞLEM EKSİK",IF($I625="","TARİH EKSİK",IF($I625&lt;TODAY(),"GECİKMİŞ",IF($I625=TODAY(),"BUGÜN",IF($I625&lt;=TODAY()+7,"7 GÜN İÇİNDE","PLANLI"))))))))</f>
        <v/>
      </c>
      <c r="R625" s="6" t="n"/>
      <c r="S625" s="6" t="n"/>
    </row>
    <row r="626">
      <c r="A626" s="6" t="n"/>
      <c r="B626" s="113">
        <f>IF($E626="","","A"&amp;TEXT(ROW()-6,"00000"))</f>
        <v/>
      </c>
      <c r="C626" s="108" t="n"/>
      <c r="D626" s="113">
        <f>IF($E626="","",IFERROR(INDEX(MUSTERILER!$B$7:$B$106,MATCH($E626,MUSTERILER!$C$7:$C$106,0)),IFERROR(INDEX(MUSTERILER!$B$7:$B$106,MATCH($E626,MUSTERILER!$B$7:$B$106,0)),IFERROR(INDEX(MUSTERILER!$B$7:$B$106,MATCH($E626&amp;"*",MUSTERILER!$C$7:$C$106,0)),"TANIMSIZ MÜŞTERİ"))))</f>
        <v/>
      </c>
      <c r="E626" s="109" t="n"/>
      <c r="F626" s="109" t="n"/>
      <c r="G626" s="108" t="n"/>
      <c r="H626" s="225" t="n"/>
      <c r="I626" s="225" t="n"/>
      <c r="J626" s="108" t="n"/>
      <c r="K626" s="108" t="n"/>
      <c r="L626" s="109" t="n"/>
      <c r="M626" s="109" t="n"/>
      <c r="N626" s="109" t="n"/>
      <c r="O626" s="225" t="n"/>
      <c r="P626" s="232">
        <f>IF(OR($E626="",$I626=""),"",IF(OR($J626="Tamamlandı",$J626="İptal"),"",$I626-TODAY()))</f>
        <v/>
      </c>
      <c r="Q626" s="113">
        <f>IF($E626="","",IF($D626="TANIMSIZ MÜŞTERİ","HATA",IF(OR($J626="Tamamlandı",$J626="İptal"),"KAPALI",IF(AND($C626="Görüşme",$N626=""),"SONRAKİ İŞLEM EKSİK",IF($I626="","TARİH EKSİK",IF($I626&lt;TODAY(),"GECİKMİŞ",IF($I626=TODAY(),"BUGÜN",IF($I626&lt;=TODAY()+7,"7 GÜN İÇİNDE","PLANLI"))))))))</f>
        <v/>
      </c>
      <c r="R626" s="6" t="n"/>
      <c r="S626" s="6" t="n"/>
    </row>
    <row r="627">
      <c r="A627" s="6" t="n"/>
      <c r="B627" s="113">
        <f>IF($E627="","","A"&amp;TEXT(ROW()-6,"00000"))</f>
        <v/>
      </c>
      <c r="C627" s="108" t="n"/>
      <c r="D627" s="113">
        <f>IF($E627="","",IFERROR(INDEX(MUSTERILER!$B$7:$B$106,MATCH($E627,MUSTERILER!$C$7:$C$106,0)),IFERROR(INDEX(MUSTERILER!$B$7:$B$106,MATCH($E627,MUSTERILER!$B$7:$B$106,0)),IFERROR(INDEX(MUSTERILER!$B$7:$B$106,MATCH($E627&amp;"*",MUSTERILER!$C$7:$C$106,0)),"TANIMSIZ MÜŞTERİ"))))</f>
        <v/>
      </c>
      <c r="E627" s="109" t="n"/>
      <c r="F627" s="109" t="n"/>
      <c r="G627" s="108" t="n"/>
      <c r="H627" s="225" t="n"/>
      <c r="I627" s="225" t="n"/>
      <c r="J627" s="108" t="n"/>
      <c r="K627" s="108" t="n"/>
      <c r="L627" s="109" t="n"/>
      <c r="M627" s="109" t="n"/>
      <c r="N627" s="109" t="n"/>
      <c r="O627" s="225" t="n"/>
      <c r="P627" s="232">
        <f>IF(OR($E627="",$I627=""),"",IF(OR($J627="Tamamlandı",$J627="İptal"),"",$I627-TODAY()))</f>
        <v/>
      </c>
      <c r="Q627" s="113">
        <f>IF($E627="","",IF($D627="TANIMSIZ MÜŞTERİ","HATA",IF(OR($J627="Tamamlandı",$J627="İptal"),"KAPALI",IF(AND($C627="Görüşme",$N627=""),"SONRAKİ İŞLEM EKSİK",IF($I627="","TARİH EKSİK",IF($I627&lt;TODAY(),"GECİKMİŞ",IF($I627=TODAY(),"BUGÜN",IF($I627&lt;=TODAY()+7,"7 GÜN İÇİNDE","PLANLI"))))))))</f>
        <v/>
      </c>
      <c r="R627" s="6" t="n"/>
      <c r="S627" s="6" t="n"/>
    </row>
    <row r="628">
      <c r="A628" s="6" t="n"/>
      <c r="B628" s="113">
        <f>IF($E628="","","A"&amp;TEXT(ROW()-6,"00000"))</f>
        <v/>
      </c>
      <c r="C628" s="108" t="n"/>
      <c r="D628" s="113">
        <f>IF($E628="","",IFERROR(INDEX(MUSTERILER!$B$7:$B$106,MATCH($E628,MUSTERILER!$C$7:$C$106,0)),IFERROR(INDEX(MUSTERILER!$B$7:$B$106,MATCH($E628,MUSTERILER!$B$7:$B$106,0)),IFERROR(INDEX(MUSTERILER!$B$7:$B$106,MATCH($E628&amp;"*",MUSTERILER!$C$7:$C$106,0)),"TANIMSIZ MÜŞTERİ"))))</f>
        <v/>
      </c>
      <c r="E628" s="109" t="n"/>
      <c r="F628" s="109" t="n"/>
      <c r="G628" s="108" t="n"/>
      <c r="H628" s="225" t="n"/>
      <c r="I628" s="225" t="n"/>
      <c r="J628" s="108" t="n"/>
      <c r="K628" s="108" t="n"/>
      <c r="L628" s="109" t="n"/>
      <c r="M628" s="109" t="n"/>
      <c r="N628" s="109" t="n"/>
      <c r="O628" s="225" t="n"/>
      <c r="P628" s="232">
        <f>IF(OR($E628="",$I628=""),"",IF(OR($J628="Tamamlandı",$J628="İptal"),"",$I628-TODAY()))</f>
        <v/>
      </c>
      <c r="Q628" s="113">
        <f>IF($E628="","",IF($D628="TANIMSIZ MÜŞTERİ","HATA",IF(OR($J628="Tamamlandı",$J628="İptal"),"KAPALI",IF(AND($C628="Görüşme",$N628=""),"SONRAKİ İŞLEM EKSİK",IF($I628="","TARİH EKSİK",IF($I628&lt;TODAY(),"GECİKMİŞ",IF($I628=TODAY(),"BUGÜN",IF($I628&lt;=TODAY()+7,"7 GÜN İÇİNDE","PLANLI"))))))))</f>
        <v/>
      </c>
      <c r="R628" s="6" t="n"/>
      <c r="S628" s="6" t="n"/>
    </row>
    <row r="629">
      <c r="A629" s="6" t="n"/>
      <c r="B629" s="113">
        <f>IF($E629="","","A"&amp;TEXT(ROW()-6,"00000"))</f>
        <v/>
      </c>
      <c r="C629" s="108" t="n"/>
      <c r="D629" s="113">
        <f>IF($E629="","",IFERROR(INDEX(MUSTERILER!$B$7:$B$106,MATCH($E629,MUSTERILER!$C$7:$C$106,0)),IFERROR(INDEX(MUSTERILER!$B$7:$B$106,MATCH($E629,MUSTERILER!$B$7:$B$106,0)),IFERROR(INDEX(MUSTERILER!$B$7:$B$106,MATCH($E629&amp;"*",MUSTERILER!$C$7:$C$106,0)),"TANIMSIZ MÜŞTERİ"))))</f>
        <v/>
      </c>
      <c r="E629" s="109" t="n"/>
      <c r="F629" s="109" t="n"/>
      <c r="G629" s="108" t="n"/>
      <c r="H629" s="225" t="n"/>
      <c r="I629" s="225" t="n"/>
      <c r="J629" s="108" t="n"/>
      <c r="K629" s="108" t="n"/>
      <c r="L629" s="109" t="n"/>
      <c r="M629" s="109" t="n"/>
      <c r="N629" s="109" t="n"/>
      <c r="O629" s="225" t="n"/>
      <c r="P629" s="232">
        <f>IF(OR($E629="",$I629=""),"",IF(OR($J629="Tamamlandı",$J629="İptal"),"",$I629-TODAY()))</f>
        <v/>
      </c>
      <c r="Q629" s="113">
        <f>IF($E629="","",IF($D629="TANIMSIZ MÜŞTERİ","HATA",IF(OR($J629="Tamamlandı",$J629="İptal"),"KAPALI",IF(AND($C629="Görüşme",$N629=""),"SONRAKİ İŞLEM EKSİK",IF($I629="","TARİH EKSİK",IF($I629&lt;TODAY(),"GECİKMİŞ",IF($I629=TODAY(),"BUGÜN",IF($I629&lt;=TODAY()+7,"7 GÜN İÇİNDE","PLANLI"))))))))</f>
        <v/>
      </c>
      <c r="R629" s="6" t="n"/>
      <c r="S629" s="6" t="n"/>
    </row>
    <row r="630">
      <c r="A630" s="6" t="n"/>
      <c r="B630" s="113">
        <f>IF($E630="","","A"&amp;TEXT(ROW()-6,"00000"))</f>
        <v/>
      </c>
      <c r="C630" s="108" t="n"/>
      <c r="D630" s="113">
        <f>IF($E630="","",IFERROR(INDEX(MUSTERILER!$B$7:$B$106,MATCH($E630,MUSTERILER!$C$7:$C$106,0)),IFERROR(INDEX(MUSTERILER!$B$7:$B$106,MATCH($E630,MUSTERILER!$B$7:$B$106,0)),IFERROR(INDEX(MUSTERILER!$B$7:$B$106,MATCH($E630&amp;"*",MUSTERILER!$C$7:$C$106,0)),"TANIMSIZ MÜŞTERİ"))))</f>
        <v/>
      </c>
      <c r="E630" s="109" t="n"/>
      <c r="F630" s="109" t="n"/>
      <c r="G630" s="108" t="n"/>
      <c r="H630" s="225" t="n"/>
      <c r="I630" s="225" t="n"/>
      <c r="J630" s="108" t="n"/>
      <c r="K630" s="108" t="n"/>
      <c r="L630" s="109" t="n"/>
      <c r="M630" s="109" t="n"/>
      <c r="N630" s="109" t="n"/>
      <c r="O630" s="225" t="n"/>
      <c r="P630" s="232">
        <f>IF(OR($E630="",$I630=""),"",IF(OR($J630="Tamamlandı",$J630="İptal"),"",$I630-TODAY()))</f>
        <v/>
      </c>
      <c r="Q630" s="113">
        <f>IF($E630="","",IF($D630="TANIMSIZ MÜŞTERİ","HATA",IF(OR($J630="Tamamlandı",$J630="İptal"),"KAPALI",IF(AND($C630="Görüşme",$N630=""),"SONRAKİ İŞLEM EKSİK",IF($I630="","TARİH EKSİK",IF($I630&lt;TODAY(),"GECİKMİŞ",IF($I630=TODAY(),"BUGÜN",IF($I630&lt;=TODAY()+7,"7 GÜN İÇİNDE","PLANLI"))))))))</f>
        <v/>
      </c>
      <c r="R630" s="6" t="n"/>
      <c r="S630" s="6" t="n"/>
    </row>
    <row r="631">
      <c r="A631" s="6" t="n"/>
      <c r="B631" s="113">
        <f>IF($E631="","","A"&amp;TEXT(ROW()-6,"00000"))</f>
        <v/>
      </c>
      <c r="C631" s="108" t="n"/>
      <c r="D631" s="113">
        <f>IF($E631="","",IFERROR(INDEX(MUSTERILER!$B$7:$B$106,MATCH($E631,MUSTERILER!$C$7:$C$106,0)),IFERROR(INDEX(MUSTERILER!$B$7:$B$106,MATCH($E631,MUSTERILER!$B$7:$B$106,0)),IFERROR(INDEX(MUSTERILER!$B$7:$B$106,MATCH($E631&amp;"*",MUSTERILER!$C$7:$C$106,0)),"TANIMSIZ MÜŞTERİ"))))</f>
        <v/>
      </c>
      <c r="E631" s="109" t="n"/>
      <c r="F631" s="109" t="n"/>
      <c r="G631" s="108" t="n"/>
      <c r="H631" s="225" t="n"/>
      <c r="I631" s="225" t="n"/>
      <c r="J631" s="108" t="n"/>
      <c r="K631" s="108" t="n"/>
      <c r="L631" s="109" t="n"/>
      <c r="M631" s="109" t="n"/>
      <c r="N631" s="109" t="n"/>
      <c r="O631" s="225" t="n"/>
      <c r="P631" s="232">
        <f>IF(OR($E631="",$I631=""),"",IF(OR($J631="Tamamlandı",$J631="İptal"),"",$I631-TODAY()))</f>
        <v/>
      </c>
      <c r="Q631" s="113">
        <f>IF($E631="","",IF($D631="TANIMSIZ MÜŞTERİ","HATA",IF(OR($J631="Tamamlandı",$J631="İptal"),"KAPALI",IF(AND($C631="Görüşme",$N631=""),"SONRAKİ İŞLEM EKSİK",IF($I631="","TARİH EKSİK",IF($I631&lt;TODAY(),"GECİKMİŞ",IF($I631=TODAY(),"BUGÜN",IF($I631&lt;=TODAY()+7,"7 GÜN İÇİNDE","PLANLI"))))))))</f>
        <v/>
      </c>
      <c r="R631" s="6" t="n"/>
      <c r="S631" s="6" t="n"/>
    </row>
    <row r="632">
      <c r="A632" s="6" t="n"/>
      <c r="B632" s="113">
        <f>IF($E632="","","A"&amp;TEXT(ROW()-6,"00000"))</f>
        <v/>
      </c>
      <c r="C632" s="108" t="n"/>
      <c r="D632" s="113">
        <f>IF($E632="","",IFERROR(INDEX(MUSTERILER!$B$7:$B$106,MATCH($E632,MUSTERILER!$C$7:$C$106,0)),IFERROR(INDEX(MUSTERILER!$B$7:$B$106,MATCH($E632,MUSTERILER!$B$7:$B$106,0)),IFERROR(INDEX(MUSTERILER!$B$7:$B$106,MATCH($E632&amp;"*",MUSTERILER!$C$7:$C$106,0)),"TANIMSIZ MÜŞTERİ"))))</f>
        <v/>
      </c>
      <c r="E632" s="109" t="n"/>
      <c r="F632" s="109" t="n"/>
      <c r="G632" s="108" t="n"/>
      <c r="H632" s="225" t="n"/>
      <c r="I632" s="225" t="n"/>
      <c r="J632" s="108" t="n"/>
      <c r="K632" s="108" t="n"/>
      <c r="L632" s="109" t="n"/>
      <c r="M632" s="109" t="n"/>
      <c r="N632" s="109" t="n"/>
      <c r="O632" s="225" t="n"/>
      <c r="P632" s="232">
        <f>IF(OR($E632="",$I632=""),"",IF(OR($J632="Tamamlandı",$J632="İptal"),"",$I632-TODAY()))</f>
        <v/>
      </c>
      <c r="Q632" s="113">
        <f>IF($E632="","",IF($D632="TANIMSIZ MÜŞTERİ","HATA",IF(OR($J632="Tamamlandı",$J632="İptal"),"KAPALI",IF(AND($C632="Görüşme",$N632=""),"SONRAKİ İŞLEM EKSİK",IF($I632="","TARİH EKSİK",IF($I632&lt;TODAY(),"GECİKMİŞ",IF($I632=TODAY(),"BUGÜN",IF($I632&lt;=TODAY()+7,"7 GÜN İÇİNDE","PLANLI"))))))))</f>
        <v/>
      </c>
      <c r="R632" s="6" t="n"/>
      <c r="S632" s="6" t="n"/>
    </row>
    <row r="633">
      <c r="A633" s="6" t="n"/>
      <c r="B633" s="113">
        <f>IF($E633="","","A"&amp;TEXT(ROW()-6,"00000"))</f>
        <v/>
      </c>
      <c r="C633" s="108" t="n"/>
      <c r="D633" s="113">
        <f>IF($E633="","",IFERROR(INDEX(MUSTERILER!$B$7:$B$106,MATCH($E633,MUSTERILER!$C$7:$C$106,0)),IFERROR(INDEX(MUSTERILER!$B$7:$B$106,MATCH($E633,MUSTERILER!$B$7:$B$106,0)),IFERROR(INDEX(MUSTERILER!$B$7:$B$106,MATCH($E633&amp;"*",MUSTERILER!$C$7:$C$106,0)),"TANIMSIZ MÜŞTERİ"))))</f>
        <v/>
      </c>
      <c r="E633" s="109" t="n"/>
      <c r="F633" s="109" t="n"/>
      <c r="G633" s="108" t="n"/>
      <c r="H633" s="225" t="n"/>
      <c r="I633" s="225" t="n"/>
      <c r="J633" s="108" t="n"/>
      <c r="K633" s="108" t="n"/>
      <c r="L633" s="109" t="n"/>
      <c r="M633" s="109" t="n"/>
      <c r="N633" s="109" t="n"/>
      <c r="O633" s="225" t="n"/>
      <c r="P633" s="232">
        <f>IF(OR($E633="",$I633=""),"",IF(OR($J633="Tamamlandı",$J633="İptal"),"",$I633-TODAY()))</f>
        <v/>
      </c>
      <c r="Q633" s="113">
        <f>IF($E633="","",IF($D633="TANIMSIZ MÜŞTERİ","HATA",IF(OR($J633="Tamamlandı",$J633="İptal"),"KAPALI",IF(AND($C633="Görüşme",$N633=""),"SONRAKİ İŞLEM EKSİK",IF($I633="","TARİH EKSİK",IF($I633&lt;TODAY(),"GECİKMİŞ",IF($I633=TODAY(),"BUGÜN",IF($I633&lt;=TODAY()+7,"7 GÜN İÇİNDE","PLANLI"))))))))</f>
        <v/>
      </c>
      <c r="R633" s="6" t="n"/>
      <c r="S633" s="6" t="n"/>
    </row>
    <row r="634">
      <c r="A634" s="6" t="n"/>
      <c r="B634" s="113">
        <f>IF($E634="","","A"&amp;TEXT(ROW()-6,"00000"))</f>
        <v/>
      </c>
      <c r="C634" s="108" t="n"/>
      <c r="D634" s="113">
        <f>IF($E634="","",IFERROR(INDEX(MUSTERILER!$B$7:$B$106,MATCH($E634,MUSTERILER!$C$7:$C$106,0)),IFERROR(INDEX(MUSTERILER!$B$7:$B$106,MATCH($E634,MUSTERILER!$B$7:$B$106,0)),IFERROR(INDEX(MUSTERILER!$B$7:$B$106,MATCH($E634&amp;"*",MUSTERILER!$C$7:$C$106,0)),"TANIMSIZ MÜŞTERİ"))))</f>
        <v/>
      </c>
      <c r="E634" s="109" t="n"/>
      <c r="F634" s="109" t="n"/>
      <c r="G634" s="108" t="n"/>
      <c r="H634" s="225" t="n"/>
      <c r="I634" s="225" t="n"/>
      <c r="J634" s="108" t="n"/>
      <c r="K634" s="108" t="n"/>
      <c r="L634" s="109" t="n"/>
      <c r="M634" s="109" t="n"/>
      <c r="N634" s="109" t="n"/>
      <c r="O634" s="225" t="n"/>
      <c r="P634" s="232">
        <f>IF(OR($E634="",$I634=""),"",IF(OR($J634="Tamamlandı",$J634="İptal"),"",$I634-TODAY()))</f>
        <v/>
      </c>
      <c r="Q634" s="113">
        <f>IF($E634="","",IF($D634="TANIMSIZ MÜŞTERİ","HATA",IF(OR($J634="Tamamlandı",$J634="İptal"),"KAPALI",IF(AND($C634="Görüşme",$N634=""),"SONRAKİ İŞLEM EKSİK",IF($I634="","TARİH EKSİK",IF($I634&lt;TODAY(),"GECİKMİŞ",IF($I634=TODAY(),"BUGÜN",IF($I634&lt;=TODAY()+7,"7 GÜN İÇİNDE","PLANLI"))))))))</f>
        <v/>
      </c>
      <c r="R634" s="6" t="n"/>
      <c r="S634" s="6" t="n"/>
    </row>
    <row r="635">
      <c r="A635" s="6" t="n"/>
      <c r="B635" s="113">
        <f>IF($E635="","","A"&amp;TEXT(ROW()-6,"00000"))</f>
        <v/>
      </c>
      <c r="C635" s="108" t="n"/>
      <c r="D635" s="113">
        <f>IF($E635="","",IFERROR(INDEX(MUSTERILER!$B$7:$B$106,MATCH($E635,MUSTERILER!$C$7:$C$106,0)),IFERROR(INDEX(MUSTERILER!$B$7:$B$106,MATCH($E635,MUSTERILER!$B$7:$B$106,0)),IFERROR(INDEX(MUSTERILER!$B$7:$B$106,MATCH($E635&amp;"*",MUSTERILER!$C$7:$C$106,0)),"TANIMSIZ MÜŞTERİ"))))</f>
        <v/>
      </c>
      <c r="E635" s="109" t="n"/>
      <c r="F635" s="109" t="n"/>
      <c r="G635" s="108" t="n"/>
      <c r="H635" s="225" t="n"/>
      <c r="I635" s="225" t="n"/>
      <c r="J635" s="108" t="n"/>
      <c r="K635" s="108" t="n"/>
      <c r="L635" s="109" t="n"/>
      <c r="M635" s="109" t="n"/>
      <c r="N635" s="109" t="n"/>
      <c r="O635" s="225" t="n"/>
      <c r="P635" s="232">
        <f>IF(OR($E635="",$I635=""),"",IF(OR($J635="Tamamlandı",$J635="İptal"),"",$I635-TODAY()))</f>
        <v/>
      </c>
      <c r="Q635" s="113">
        <f>IF($E635="","",IF($D635="TANIMSIZ MÜŞTERİ","HATA",IF(OR($J635="Tamamlandı",$J635="İptal"),"KAPALI",IF(AND($C635="Görüşme",$N635=""),"SONRAKİ İŞLEM EKSİK",IF($I635="","TARİH EKSİK",IF($I635&lt;TODAY(),"GECİKMİŞ",IF($I635=TODAY(),"BUGÜN",IF($I635&lt;=TODAY()+7,"7 GÜN İÇİNDE","PLANLI"))))))))</f>
        <v/>
      </c>
      <c r="R635" s="6" t="n"/>
      <c r="S635" s="6" t="n"/>
    </row>
    <row r="636">
      <c r="A636" s="6" t="n"/>
      <c r="B636" s="113">
        <f>IF($E636="","","A"&amp;TEXT(ROW()-6,"00000"))</f>
        <v/>
      </c>
      <c r="C636" s="108" t="n"/>
      <c r="D636" s="113">
        <f>IF($E636="","",IFERROR(INDEX(MUSTERILER!$B$7:$B$106,MATCH($E636,MUSTERILER!$C$7:$C$106,0)),IFERROR(INDEX(MUSTERILER!$B$7:$B$106,MATCH($E636,MUSTERILER!$B$7:$B$106,0)),IFERROR(INDEX(MUSTERILER!$B$7:$B$106,MATCH($E636&amp;"*",MUSTERILER!$C$7:$C$106,0)),"TANIMSIZ MÜŞTERİ"))))</f>
        <v/>
      </c>
      <c r="E636" s="109" t="n"/>
      <c r="F636" s="109" t="n"/>
      <c r="G636" s="108" t="n"/>
      <c r="H636" s="225" t="n"/>
      <c r="I636" s="225" t="n"/>
      <c r="J636" s="108" t="n"/>
      <c r="K636" s="108" t="n"/>
      <c r="L636" s="109" t="n"/>
      <c r="M636" s="109" t="n"/>
      <c r="N636" s="109" t="n"/>
      <c r="O636" s="225" t="n"/>
      <c r="P636" s="232">
        <f>IF(OR($E636="",$I636=""),"",IF(OR($J636="Tamamlandı",$J636="İptal"),"",$I636-TODAY()))</f>
        <v/>
      </c>
      <c r="Q636" s="113">
        <f>IF($E636="","",IF($D636="TANIMSIZ MÜŞTERİ","HATA",IF(OR($J636="Tamamlandı",$J636="İptal"),"KAPALI",IF(AND($C636="Görüşme",$N636=""),"SONRAKİ İŞLEM EKSİK",IF($I636="","TARİH EKSİK",IF($I636&lt;TODAY(),"GECİKMİŞ",IF($I636=TODAY(),"BUGÜN",IF($I636&lt;=TODAY()+7,"7 GÜN İÇİNDE","PLANLI"))))))))</f>
        <v/>
      </c>
      <c r="R636" s="6" t="n"/>
      <c r="S636" s="6" t="n"/>
    </row>
    <row r="637">
      <c r="A637" s="6" t="n"/>
      <c r="B637" s="113">
        <f>IF($E637="","","A"&amp;TEXT(ROW()-6,"00000"))</f>
        <v/>
      </c>
      <c r="C637" s="108" t="n"/>
      <c r="D637" s="113">
        <f>IF($E637="","",IFERROR(INDEX(MUSTERILER!$B$7:$B$106,MATCH($E637,MUSTERILER!$C$7:$C$106,0)),IFERROR(INDEX(MUSTERILER!$B$7:$B$106,MATCH($E637,MUSTERILER!$B$7:$B$106,0)),IFERROR(INDEX(MUSTERILER!$B$7:$B$106,MATCH($E637&amp;"*",MUSTERILER!$C$7:$C$106,0)),"TANIMSIZ MÜŞTERİ"))))</f>
        <v/>
      </c>
      <c r="E637" s="109" t="n"/>
      <c r="F637" s="109" t="n"/>
      <c r="G637" s="108" t="n"/>
      <c r="H637" s="225" t="n"/>
      <c r="I637" s="225" t="n"/>
      <c r="J637" s="108" t="n"/>
      <c r="K637" s="108" t="n"/>
      <c r="L637" s="109" t="n"/>
      <c r="M637" s="109" t="n"/>
      <c r="N637" s="109" t="n"/>
      <c r="O637" s="225" t="n"/>
      <c r="P637" s="232">
        <f>IF(OR($E637="",$I637=""),"",IF(OR($J637="Tamamlandı",$J637="İptal"),"",$I637-TODAY()))</f>
        <v/>
      </c>
      <c r="Q637" s="113">
        <f>IF($E637="","",IF($D637="TANIMSIZ MÜŞTERİ","HATA",IF(OR($J637="Tamamlandı",$J637="İptal"),"KAPALI",IF(AND($C637="Görüşme",$N637=""),"SONRAKİ İŞLEM EKSİK",IF($I637="","TARİH EKSİK",IF($I637&lt;TODAY(),"GECİKMİŞ",IF($I637=TODAY(),"BUGÜN",IF($I637&lt;=TODAY()+7,"7 GÜN İÇİNDE","PLANLI"))))))))</f>
        <v/>
      </c>
      <c r="R637" s="6" t="n"/>
      <c r="S637" s="6" t="n"/>
    </row>
    <row r="638">
      <c r="A638" s="6" t="n"/>
      <c r="B638" s="113">
        <f>IF($E638="","","A"&amp;TEXT(ROW()-6,"00000"))</f>
        <v/>
      </c>
      <c r="C638" s="108" t="n"/>
      <c r="D638" s="113">
        <f>IF($E638="","",IFERROR(INDEX(MUSTERILER!$B$7:$B$106,MATCH($E638,MUSTERILER!$C$7:$C$106,0)),IFERROR(INDEX(MUSTERILER!$B$7:$B$106,MATCH($E638,MUSTERILER!$B$7:$B$106,0)),IFERROR(INDEX(MUSTERILER!$B$7:$B$106,MATCH($E638&amp;"*",MUSTERILER!$C$7:$C$106,0)),"TANIMSIZ MÜŞTERİ"))))</f>
        <v/>
      </c>
      <c r="E638" s="109" t="n"/>
      <c r="F638" s="109" t="n"/>
      <c r="G638" s="108" t="n"/>
      <c r="H638" s="225" t="n"/>
      <c r="I638" s="225" t="n"/>
      <c r="J638" s="108" t="n"/>
      <c r="K638" s="108" t="n"/>
      <c r="L638" s="109" t="n"/>
      <c r="M638" s="109" t="n"/>
      <c r="N638" s="109" t="n"/>
      <c r="O638" s="225" t="n"/>
      <c r="P638" s="232">
        <f>IF(OR($E638="",$I638=""),"",IF(OR($J638="Tamamlandı",$J638="İptal"),"",$I638-TODAY()))</f>
        <v/>
      </c>
      <c r="Q638" s="113">
        <f>IF($E638="","",IF($D638="TANIMSIZ MÜŞTERİ","HATA",IF(OR($J638="Tamamlandı",$J638="İptal"),"KAPALI",IF(AND($C638="Görüşme",$N638=""),"SONRAKİ İŞLEM EKSİK",IF($I638="","TARİH EKSİK",IF($I638&lt;TODAY(),"GECİKMİŞ",IF($I638=TODAY(),"BUGÜN",IF($I638&lt;=TODAY()+7,"7 GÜN İÇİNDE","PLANLI"))))))))</f>
        <v/>
      </c>
      <c r="R638" s="6" t="n"/>
      <c r="S638" s="6" t="n"/>
    </row>
    <row r="639">
      <c r="A639" s="6" t="n"/>
      <c r="B639" s="113">
        <f>IF($E639="","","A"&amp;TEXT(ROW()-6,"00000"))</f>
        <v/>
      </c>
      <c r="C639" s="108" t="n"/>
      <c r="D639" s="113">
        <f>IF($E639="","",IFERROR(INDEX(MUSTERILER!$B$7:$B$106,MATCH($E639,MUSTERILER!$C$7:$C$106,0)),IFERROR(INDEX(MUSTERILER!$B$7:$B$106,MATCH($E639,MUSTERILER!$B$7:$B$106,0)),IFERROR(INDEX(MUSTERILER!$B$7:$B$106,MATCH($E639&amp;"*",MUSTERILER!$C$7:$C$106,0)),"TANIMSIZ MÜŞTERİ"))))</f>
        <v/>
      </c>
      <c r="E639" s="109" t="n"/>
      <c r="F639" s="109" t="n"/>
      <c r="G639" s="108" t="n"/>
      <c r="H639" s="225" t="n"/>
      <c r="I639" s="225" t="n"/>
      <c r="J639" s="108" t="n"/>
      <c r="K639" s="108" t="n"/>
      <c r="L639" s="109" t="n"/>
      <c r="M639" s="109" t="n"/>
      <c r="N639" s="109" t="n"/>
      <c r="O639" s="225" t="n"/>
      <c r="P639" s="232">
        <f>IF(OR($E639="",$I639=""),"",IF(OR($J639="Tamamlandı",$J639="İptal"),"",$I639-TODAY()))</f>
        <v/>
      </c>
      <c r="Q639" s="113">
        <f>IF($E639="","",IF($D639="TANIMSIZ MÜŞTERİ","HATA",IF(OR($J639="Tamamlandı",$J639="İptal"),"KAPALI",IF(AND($C639="Görüşme",$N639=""),"SONRAKİ İŞLEM EKSİK",IF($I639="","TARİH EKSİK",IF($I639&lt;TODAY(),"GECİKMİŞ",IF($I639=TODAY(),"BUGÜN",IF($I639&lt;=TODAY()+7,"7 GÜN İÇİNDE","PLANLI"))))))))</f>
        <v/>
      </c>
      <c r="R639" s="6" t="n"/>
      <c r="S639" s="6" t="n"/>
    </row>
    <row r="640">
      <c r="A640" s="6" t="n"/>
      <c r="B640" s="113">
        <f>IF($E640="","","A"&amp;TEXT(ROW()-6,"00000"))</f>
        <v/>
      </c>
      <c r="C640" s="108" t="n"/>
      <c r="D640" s="113">
        <f>IF($E640="","",IFERROR(INDEX(MUSTERILER!$B$7:$B$106,MATCH($E640,MUSTERILER!$C$7:$C$106,0)),IFERROR(INDEX(MUSTERILER!$B$7:$B$106,MATCH($E640,MUSTERILER!$B$7:$B$106,0)),IFERROR(INDEX(MUSTERILER!$B$7:$B$106,MATCH($E640&amp;"*",MUSTERILER!$C$7:$C$106,0)),"TANIMSIZ MÜŞTERİ"))))</f>
        <v/>
      </c>
      <c r="E640" s="109" t="n"/>
      <c r="F640" s="109" t="n"/>
      <c r="G640" s="108" t="n"/>
      <c r="H640" s="225" t="n"/>
      <c r="I640" s="225" t="n"/>
      <c r="J640" s="108" t="n"/>
      <c r="K640" s="108" t="n"/>
      <c r="L640" s="109" t="n"/>
      <c r="M640" s="109" t="n"/>
      <c r="N640" s="109" t="n"/>
      <c r="O640" s="225" t="n"/>
      <c r="P640" s="232">
        <f>IF(OR($E640="",$I640=""),"",IF(OR($J640="Tamamlandı",$J640="İptal"),"",$I640-TODAY()))</f>
        <v/>
      </c>
      <c r="Q640" s="113">
        <f>IF($E640="","",IF($D640="TANIMSIZ MÜŞTERİ","HATA",IF(OR($J640="Tamamlandı",$J640="İptal"),"KAPALI",IF(AND($C640="Görüşme",$N640=""),"SONRAKİ İŞLEM EKSİK",IF($I640="","TARİH EKSİK",IF($I640&lt;TODAY(),"GECİKMİŞ",IF($I640=TODAY(),"BUGÜN",IF($I640&lt;=TODAY()+7,"7 GÜN İÇİNDE","PLANLI"))))))))</f>
        <v/>
      </c>
      <c r="R640" s="6" t="n"/>
      <c r="S640" s="6" t="n"/>
    </row>
    <row r="641">
      <c r="A641" s="6" t="n"/>
      <c r="B641" s="113">
        <f>IF($E641="","","A"&amp;TEXT(ROW()-6,"00000"))</f>
        <v/>
      </c>
      <c r="C641" s="108" t="n"/>
      <c r="D641" s="113">
        <f>IF($E641="","",IFERROR(INDEX(MUSTERILER!$B$7:$B$106,MATCH($E641,MUSTERILER!$C$7:$C$106,0)),IFERROR(INDEX(MUSTERILER!$B$7:$B$106,MATCH($E641,MUSTERILER!$B$7:$B$106,0)),IFERROR(INDEX(MUSTERILER!$B$7:$B$106,MATCH($E641&amp;"*",MUSTERILER!$C$7:$C$106,0)),"TANIMSIZ MÜŞTERİ"))))</f>
        <v/>
      </c>
      <c r="E641" s="109" t="n"/>
      <c r="F641" s="109" t="n"/>
      <c r="G641" s="108" t="n"/>
      <c r="H641" s="225" t="n"/>
      <c r="I641" s="225" t="n"/>
      <c r="J641" s="108" t="n"/>
      <c r="K641" s="108" t="n"/>
      <c r="L641" s="109" t="n"/>
      <c r="M641" s="109" t="n"/>
      <c r="N641" s="109" t="n"/>
      <c r="O641" s="225" t="n"/>
      <c r="P641" s="232">
        <f>IF(OR($E641="",$I641=""),"",IF(OR($J641="Tamamlandı",$J641="İptal"),"",$I641-TODAY()))</f>
        <v/>
      </c>
      <c r="Q641" s="113">
        <f>IF($E641="","",IF($D641="TANIMSIZ MÜŞTERİ","HATA",IF(OR($J641="Tamamlandı",$J641="İptal"),"KAPALI",IF(AND($C641="Görüşme",$N641=""),"SONRAKİ İŞLEM EKSİK",IF($I641="","TARİH EKSİK",IF($I641&lt;TODAY(),"GECİKMİŞ",IF($I641=TODAY(),"BUGÜN",IF($I641&lt;=TODAY()+7,"7 GÜN İÇİNDE","PLANLI"))))))))</f>
        <v/>
      </c>
      <c r="R641" s="6" t="n"/>
      <c r="S641" s="6" t="n"/>
    </row>
    <row r="642">
      <c r="A642" s="6" t="n"/>
      <c r="B642" s="113">
        <f>IF($E642="","","A"&amp;TEXT(ROW()-6,"00000"))</f>
        <v/>
      </c>
      <c r="C642" s="108" t="n"/>
      <c r="D642" s="113">
        <f>IF($E642="","",IFERROR(INDEX(MUSTERILER!$B$7:$B$106,MATCH($E642,MUSTERILER!$C$7:$C$106,0)),IFERROR(INDEX(MUSTERILER!$B$7:$B$106,MATCH($E642,MUSTERILER!$B$7:$B$106,0)),IFERROR(INDEX(MUSTERILER!$B$7:$B$106,MATCH($E642&amp;"*",MUSTERILER!$C$7:$C$106,0)),"TANIMSIZ MÜŞTERİ"))))</f>
        <v/>
      </c>
      <c r="E642" s="109" t="n"/>
      <c r="F642" s="109" t="n"/>
      <c r="G642" s="108" t="n"/>
      <c r="H642" s="225" t="n"/>
      <c r="I642" s="225" t="n"/>
      <c r="J642" s="108" t="n"/>
      <c r="K642" s="108" t="n"/>
      <c r="L642" s="109" t="n"/>
      <c r="M642" s="109" t="n"/>
      <c r="N642" s="109" t="n"/>
      <c r="O642" s="225" t="n"/>
      <c r="P642" s="232">
        <f>IF(OR($E642="",$I642=""),"",IF(OR($J642="Tamamlandı",$J642="İptal"),"",$I642-TODAY()))</f>
        <v/>
      </c>
      <c r="Q642" s="113">
        <f>IF($E642="","",IF($D642="TANIMSIZ MÜŞTERİ","HATA",IF(OR($J642="Tamamlandı",$J642="İptal"),"KAPALI",IF(AND($C642="Görüşme",$N642=""),"SONRAKİ İŞLEM EKSİK",IF($I642="","TARİH EKSİK",IF($I642&lt;TODAY(),"GECİKMİŞ",IF($I642=TODAY(),"BUGÜN",IF($I642&lt;=TODAY()+7,"7 GÜN İÇİNDE","PLANLI"))))))))</f>
        <v/>
      </c>
      <c r="R642" s="6" t="n"/>
      <c r="S642" s="6" t="n"/>
    </row>
    <row r="643">
      <c r="A643" s="6" t="n"/>
      <c r="B643" s="113">
        <f>IF($E643="","","A"&amp;TEXT(ROW()-6,"00000"))</f>
        <v/>
      </c>
      <c r="C643" s="108" t="n"/>
      <c r="D643" s="113">
        <f>IF($E643="","",IFERROR(INDEX(MUSTERILER!$B$7:$B$106,MATCH($E643,MUSTERILER!$C$7:$C$106,0)),IFERROR(INDEX(MUSTERILER!$B$7:$B$106,MATCH($E643,MUSTERILER!$B$7:$B$106,0)),IFERROR(INDEX(MUSTERILER!$B$7:$B$106,MATCH($E643&amp;"*",MUSTERILER!$C$7:$C$106,0)),"TANIMSIZ MÜŞTERİ"))))</f>
        <v/>
      </c>
      <c r="E643" s="109" t="n"/>
      <c r="F643" s="109" t="n"/>
      <c r="G643" s="108" t="n"/>
      <c r="H643" s="225" t="n"/>
      <c r="I643" s="225" t="n"/>
      <c r="J643" s="108" t="n"/>
      <c r="K643" s="108" t="n"/>
      <c r="L643" s="109" t="n"/>
      <c r="M643" s="109" t="n"/>
      <c r="N643" s="109" t="n"/>
      <c r="O643" s="225" t="n"/>
      <c r="P643" s="232">
        <f>IF(OR($E643="",$I643=""),"",IF(OR($J643="Tamamlandı",$J643="İptal"),"",$I643-TODAY()))</f>
        <v/>
      </c>
      <c r="Q643" s="113">
        <f>IF($E643="","",IF($D643="TANIMSIZ MÜŞTERİ","HATA",IF(OR($J643="Tamamlandı",$J643="İptal"),"KAPALI",IF(AND($C643="Görüşme",$N643=""),"SONRAKİ İŞLEM EKSİK",IF($I643="","TARİH EKSİK",IF($I643&lt;TODAY(),"GECİKMİŞ",IF($I643=TODAY(),"BUGÜN",IF($I643&lt;=TODAY()+7,"7 GÜN İÇİNDE","PLANLI"))))))))</f>
        <v/>
      </c>
      <c r="R643" s="6" t="n"/>
      <c r="S643" s="6" t="n"/>
    </row>
    <row r="644">
      <c r="A644" s="6" t="n"/>
      <c r="B644" s="113">
        <f>IF($E644="","","A"&amp;TEXT(ROW()-6,"00000"))</f>
        <v/>
      </c>
      <c r="C644" s="108" t="n"/>
      <c r="D644" s="113">
        <f>IF($E644="","",IFERROR(INDEX(MUSTERILER!$B$7:$B$106,MATCH($E644,MUSTERILER!$C$7:$C$106,0)),IFERROR(INDEX(MUSTERILER!$B$7:$B$106,MATCH($E644,MUSTERILER!$B$7:$B$106,0)),IFERROR(INDEX(MUSTERILER!$B$7:$B$106,MATCH($E644&amp;"*",MUSTERILER!$C$7:$C$106,0)),"TANIMSIZ MÜŞTERİ"))))</f>
        <v/>
      </c>
      <c r="E644" s="109" t="n"/>
      <c r="F644" s="109" t="n"/>
      <c r="G644" s="108" t="n"/>
      <c r="H644" s="225" t="n"/>
      <c r="I644" s="225" t="n"/>
      <c r="J644" s="108" t="n"/>
      <c r="K644" s="108" t="n"/>
      <c r="L644" s="109" t="n"/>
      <c r="M644" s="109" t="n"/>
      <c r="N644" s="109" t="n"/>
      <c r="O644" s="225" t="n"/>
      <c r="P644" s="232">
        <f>IF(OR($E644="",$I644=""),"",IF(OR($J644="Tamamlandı",$J644="İptal"),"",$I644-TODAY()))</f>
        <v/>
      </c>
      <c r="Q644" s="113">
        <f>IF($E644="","",IF($D644="TANIMSIZ MÜŞTERİ","HATA",IF(OR($J644="Tamamlandı",$J644="İptal"),"KAPALI",IF(AND($C644="Görüşme",$N644=""),"SONRAKİ İŞLEM EKSİK",IF($I644="","TARİH EKSİK",IF($I644&lt;TODAY(),"GECİKMİŞ",IF($I644=TODAY(),"BUGÜN",IF($I644&lt;=TODAY()+7,"7 GÜN İÇİNDE","PLANLI"))))))))</f>
        <v/>
      </c>
      <c r="R644" s="6" t="n"/>
      <c r="S644" s="6" t="n"/>
    </row>
    <row r="645">
      <c r="A645" s="6" t="n"/>
      <c r="B645" s="113">
        <f>IF($E645="","","A"&amp;TEXT(ROW()-6,"00000"))</f>
        <v/>
      </c>
      <c r="C645" s="108" t="n"/>
      <c r="D645" s="113">
        <f>IF($E645="","",IFERROR(INDEX(MUSTERILER!$B$7:$B$106,MATCH($E645,MUSTERILER!$C$7:$C$106,0)),IFERROR(INDEX(MUSTERILER!$B$7:$B$106,MATCH($E645,MUSTERILER!$B$7:$B$106,0)),IFERROR(INDEX(MUSTERILER!$B$7:$B$106,MATCH($E645&amp;"*",MUSTERILER!$C$7:$C$106,0)),"TANIMSIZ MÜŞTERİ"))))</f>
        <v/>
      </c>
      <c r="E645" s="109" t="n"/>
      <c r="F645" s="109" t="n"/>
      <c r="G645" s="108" t="n"/>
      <c r="H645" s="225" t="n"/>
      <c r="I645" s="225" t="n"/>
      <c r="J645" s="108" t="n"/>
      <c r="K645" s="108" t="n"/>
      <c r="L645" s="109" t="n"/>
      <c r="M645" s="109" t="n"/>
      <c r="N645" s="109" t="n"/>
      <c r="O645" s="225" t="n"/>
      <c r="P645" s="232">
        <f>IF(OR($E645="",$I645=""),"",IF(OR($J645="Tamamlandı",$J645="İptal"),"",$I645-TODAY()))</f>
        <v/>
      </c>
      <c r="Q645" s="113">
        <f>IF($E645="","",IF($D645="TANIMSIZ MÜŞTERİ","HATA",IF(OR($J645="Tamamlandı",$J645="İptal"),"KAPALI",IF(AND($C645="Görüşme",$N645=""),"SONRAKİ İŞLEM EKSİK",IF($I645="","TARİH EKSİK",IF($I645&lt;TODAY(),"GECİKMİŞ",IF($I645=TODAY(),"BUGÜN",IF($I645&lt;=TODAY()+7,"7 GÜN İÇİNDE","PLANLI"))))))))</f>
        <v/>
      </c>
      <c r="R645" s="6" t="n"/>
      <c r="S645" s="6" t="n"/>
    </row>
    <row r="646">
      <c r="A646" s="6" t="n"/>
      <c r="B646" s="113">
        <f>IF($E646="","","A"&amp;TEXT(ROW()-6,"00000"))</f>
        <v/>
      </c>
      <c r="C646" s="108" t="n"/>
      <c r="D646" s="113">
        <f>IF($E646="","",IFERROR(INDEX(MUSTERILER!$B$7:$B$106,MATCH($E646,MUSTERILER!$C$7:$C$106,0)),IFERROR(INDEX(MUSTERILER!$B$7:$B$106,MATCH($E646,MUSTERILER!$B$7:$B$106,0)),IFERROR(INDEX(MUSTERILER!$B$7:$B$106,MATCH($E646&amp;"*",MUSTERILER!$C$7:$C$106,0)),"TANIMSIZ MÜŞTERİ"))))</f>
        <v/>
      </c>
      <c r="E646" s="109" t="n"/>
      <c r="F646" s="109" t="n"/>
      <c r="G646" s="108" t="n"/>
      <c r="H646" s="225" t="n"/>
      <c r="I646" s="225" t="n"/>
      <c r="J646" s="108" t="n"/>
      <c r="K646" s="108" t="n"/>
      <c r="L646" s="109" t="n"/>
      <c r="M646" s="109" t="n"/>
      <c r="N646" s="109" t="n"/>
      <c r="O646" s="225" t="n"/>
      <c r="P646" s="232">
        <f>IF(OR($E646="",$I646=""),"",IF(OR($J646="Tamamlandı",$J646="İptal"),"",$I646-TODAY()))</f>
        <v/>
      </c>
      <c r="Q646" s="113">
        <f>IF($E646="","",IF($D646="TANIMSIZ MÜŞTERİ","HATA",IF(OR($J646="Tamamlandı",$J646="İptal"),"KAPALI",IF(AND($C646="Görüşme",$N646=""),"SONRAKİ İŞLEM EKSİK",IF($I646="","TARİH EKSİK",IF($I646&lt;TODAY(),"GECİKMİŞ",IF($I646=TODAY(),"BUGÜN",IF($I646&lt;=TODAY()+7,"7 GÜN İÇİNDE","PLANLI"))))))))</f>
        <v/>
      </c>
      <c r="R646" s="6" t="n"/>
      <c r="S646" s="6" t="n"/>
    </row>
    <row r="647">
      <c r="A647" s="6" t="n"/>
      <c r="B647" s="113">
        <f>IF($E647="","","A"&amp;TEXT(ROW()-6,"00000"))</f>
        <v/>
      </c>
      <c r="C647" s="108" t="n"/>
      <c r="D647" s="113">
        <f>IF($E647="","",IFERROR(INDEX(MUSTERILER!$B$7:$B$106,MATCH($E647,MUSTERILER!$C$7:$C$106,0)),IFERROR(INDEX(MUSTERILER!$B$7:$B$106,MATCH($E647,MUSTERILER!$B$7:$B$106,0)),IFERROR(INDEX(MUSTERILER!$B$7:$B$106,MATCH($E647&amp;"*",MUSTERILER!$C$7:$C$106,0)),"TANIMSIZ MÜŞTERİ"))))</f>
        <v/>
      </c>
      <c r="E647" s="109" t="n"/>
      <c r="F647" s="109" t="n"/>
      <c r="G647" s="108" t="n"/>
      <c r="H647" s="225" t="n"/>
      <c r="I647" s="225" t="n"/>
      <c r="J647" s="108" t="n"/>
      <c r="K647" s="108" t="n"/>
      <c r="L647" s="109" t="n"/>
      <c r="M647" s="109" t="n"/>
      <c r="N647" s="109" t="n"/>
      <c r="O647" s="225" t="n"/>
      <c r="P647" s="232">
        <f>IF(OR($E647="",$I647=""),"",IF(OR($J647="Tamamlandı",$J647="İptal"),"",$I647-TODAY()))</f>
        <v/>
      </c>
      <c r="Q647" s="113">
        <f>IF($E647="","",IF($D647="TANIMSIZ MÜŞTERİ","HATA",IF(OR($J647="Tamamlandı",$J647="İptal"),"KAPALI",IF(AND($C647="Görüşme",$N647=""),"SONRAKİ İŞLEM EKSİK",IF($I647="","TARİH EKSİK",IF($I647&lt;TODAY(),"GECİKMİŞ",IF($I647=TODAY(),"BUGÜN",IF($I647&lt;=TODAY()+7,"7 GÜN İÇİNDE","PLANLI"))))))))</f>
        <v/>
      </c>
      <c r="R647" s="6" t="n"/>
      <c r="S647" s="6" t="n"/>
    </row>
    <row r="648">
      <c r="A648" s="6" t="n"/>
      <c r="B648" s="113">
        <f>IF($E648="","","A"&amp;TEXT(ROW()-6,"00000"))</f>
        <v/>
      </c>
      <c r="C648" s="108" t="n"/>
      <c r="D648" s="113">
        <f>IF($E648="","",IFERROR(INDEX(MUSTERILER!$B$7:$B$106,MATCH($E648,MUSTERILER!$C$7:$C$106,0)),IFERROR(INDEX(MUSTERILER!$B$7:$B$106,MATCH($E648,MUSTERILER!$B$7:$B$106,0)),IFERROR(INDEX(MUSTERILER!$B$7:$B$106,MATCH($E648&amp;"*",MUSTERILER!$C$7:$C$106,0)),"TANIMSIZ MÜŞTERİ"))))</f>
        <v/>
      </c>
      <c r="E648" s="109" t="n"/>
      <c r="F648" s="109" t="n"/>
      <c r="G648" s="108" t="n"/>
      <c r="H648" s="225" t="n"/>
      <c r="I648" s="225" t="n"/>
      <c r="J648" s="108" t="n"/>
      <c r="K648" s="108" t="n"/>
      <c r="L648" s="109" t="n"/>
      <c r="M648" s="109" t="n"/>
      <c r="N648" s="109" t="n"/>
      <c r="O648" s="225" t="n"/>
      <c r="P648" s="232">
        <f>IF(OR($E648="",$I648=""),"",IF(OR($J648="Tamamlandı",$J648="İptal"),"",$I648-TODAY()))</f>
        <v/>
      </c>
      <c r="Q648" s="113">
        <f>IF($E648="","",IF($D648="TANIMSIZ MÜŞTERİ","HATA",IF(OR($J648="Tamamlandı",$J648="İptal"),"KAPALI",IF(AND($C648="Görüşme",$N648=""),"SONRAKİ İŞLEM EKSİK",IF($I648="","TARİH EKSİK",IF($I648&lt;TODAY(),"GECİKMİŞ",IF($I648=TODAY(),"BUGÜN",IF($I648&lt;=TODAY()+7,"7 GÜN İÇİNDE","PLANLI"))))))))</f>
        <v/>
      </c>
      <c r="R648" s="6" t="n"/>
      <c r="S648" s="6" t="n"/>
    </row>
    <row r="649">
      <c r="A649" s="6" t="n"/>
      <c r="B649" s="113">
        <f>IF($E649="","","A"&amp;TEXT(ROW()-6,"00000"))</f>
        <v/>
      </c>
      <c r="C649" s="108" t="n"/>
      <c r="D649" s="113">
        <f>IF($E649="","",IFERROR(INDEX(MUSTERILER!$B$7:$B$106,MATCH($E649,MUSTERILER!$C$7:$C$106,0)),IFERROR(INDEX(MUSTERILER!$B$7:$B$106,MATCH($E649,MUSTERILER!$B$7:$B$106,0)),IFERROR(INDEX(MUSTERILER!$B$7:$B$106,MATCH($E649&amp;"*",MUSTERILER!$C$7:$C$106,0)),"TANIMSIZ MÜŞTERİ"))))</f>
        <v/>
      </c>
      <c r="E649" s="109" t="n"/>
      <c r="F649" s="109" t="n"/>
      <c r="G649" s="108" t="n"/>
      <c r="H649" s="225" t="n"/>
      <c r="I649" s="225" t="n"/>
      <c r="J649" s="108" t="n"/>
      <c r="K649" s="108" t="n"/>
      <c r="L649" s="109" t="n"/>
      <c r="M649" s="109" t="n"/>
      <c r="N649" s="109" t="n"/>
      <c r="O649" s="225" t="n"/>
      <c r="P649" s="232">
        <f>IF(OR($E649="",$I649=""),"",IF(OR($J649="Tamamlandı",$J649="İptal"),"",$I649-TODAY()))</f>
        <v/>
      </c>
      <c r="Q649" s="113">
        <f>IF($E649="","",IF($D649="TANIMSIZ MÜŞTERİ","HATA",IF(OR($J649="Tamamlandı",$J649="İptal"),"KAPALI",IF(AND($C649="Görüşme",$N649=""),"SONRAKİ İŞLEM EKSİK",IF($I649="","TARİH EKSİK",IF($I649&lt;TODAY(),"GECİKMİŞ",IF($I649=TODAY(),"BUGÜN",IF($I649&lt;=TODAY()+7,"7 GÜN İÇİNDE","PLANLI"))))))))</f>
        <v/>
      </c>
      <c r="R649" s="6" t="n"/>
      <c r="S649" s="6" t="n"/>
    </row>
    <row r="650">
      <c r="A650" s="6" t="n"/>
      <c r="B650" s="113">
        <f>IF($E650="","","A"&amp;TEXT(ROW()-6,"00000"))</f>
        <v/>
      </c>
      <c r="C650" s="108" t="n"/>
      <c r="D650" s="113">
        <f>IF($E650="","",IFERROR(INDEX(MUSTERILER!$B$7:$B$106,MATCH($E650,MUSTERILER!$C$7:$C$106,0)),IFERROR(INDEX(MUSTERILER!$B$7:$B$106,MATCH($E650,MUSTERILER!$B$7:$B$106,0)),IFERROR(INDEX(MUSTERILER!$B$7:$B$106,MATCH($E650&amp;"*",MUSTERILER!$C$7:$C$106,0)),"TANIMSIZ MÜŞTERİ"))))</f>
        <v/>
      </c>
      <c r="E650" s="109" t="n"/>
      <c r="F650" s="109" t="n"/>
      <c r="G650" s="108" t="n"/>
      <c r="H650" s="225" t="n"/>
      <c r="I650" s="225" t="n"/>
      <c r="J650" s="108" t="n"/>
      <c r="K650" s="108" t="n"/>
      <c r="L650" s="109" t="n"/>
      <c r="M650" s="109" t="n"/>
      <c r="N650" s="109" t="n"/>
      <c r="O650" s="225" t="n"/>
      <c r="P650" s="232">
        <f>IF(OR($E650="",$I650=""),"",IF(OR($J650="Tamamlandı",$J650="İptal"),"",$I650-TODAY()))</f>
        <v/>
      </c>
      <c r="Q650" s="113">
        <f>IF($E650="","",IF($D650="TANIMSIZ MÜŞTERİ","HATA",IF(OR($J650="Tamamlandı",$J650="İptal"),"KAPALI",IF(AND($C650="Görüşme",$N650=""),"SONRAKİ İŞLEM EKSİK",IF($I650="","TARİH EKSİK",IF($I650&lt;TODAY(),"GECİKMİŞ",IF($I650=TODAY(),"BUGÜN",IF($I650&lt;=TODAY()+7,"7 GÜN İÇİNDE","PLANLI"))))))))</f>
        <v/>
      </c>
      <c r="R650" s="6" t="n"/>
      <c r="S650" s="6" t="n"/>
    </row>
    <row r="651">
      <c r="A651" s="6" t="n"/>
      <c r="B651" s="113">
        <f>IF($E651="","","A"&amp;TEXT(ROW()-6,"00000"))</f>
        <v/>
      </c>
      <c r="C651" s="108" t="n"/>
      <c r="D651" s="113">
        <f>IF($E651="","",IFERROR(INDEX(MUSTERILER!$B$7:$B$106,MATCH($E651,MUSTERILER!$C$7:$C$106,0)),IFERROR(INDEX(MUSTERILER!$B$7:$B$106,MATCH($E651,MUSTERILER!$B$7:$B$106,0)),IFERROR(INDEX(MUSTERILER!$B$7:$B$106,MATCH($E651&amp;"*",MUSTERILER!$C$7:$C$106,0)),"TANIMSIZ MÜŞTERİ"))))</f>
        <v/>
      </c>
      <c r="E651" s="109" t="n"/>
      <c r="F651" s="109" t="n"/>
      <c r="G651" s="108" t="n"/>
      <c r="H651" s="225" t="n"/>
      <c r="I651" s="225" t="n"/>
      <c r="J651" s="108" t="n"/>
      <c r="K651" s="108" t="n"/>
      <c r="L651" s="109" t="n"/>
      <c r="M651" s="109" t="n"/>
      <c r="N651" s="109" t="n"/>
      <c r="O651" s="225" t="n"/>
      <c r="P651" s="232">
        <f>IF(OR($E651="",$I651=""),"",IF(OR($J651="Tamamlandı",$J651="İptal"),"",$I651-TODAY()))</f>
        <v/>
      </c>
      <c r="Q651" s="113">
        <f>IF($E651="","",IF($D651="TANIMSIZ MÜŞTERİ","HATA",IF(OR($J651="Tamamlandı",$J651="İptal"),"KAPALI",IF(AND($C651="Görüşme",$N651=""),"SONRAKİ İŞLEM EKSİK",IF($I651="","TARİH EKSİK",IF($I651&lt;TODAY(),"GECİKMİŞ",IF($I651=TODAY(),"BUGÜN",IF($I651&lt;=TODAY()+7,"7 GÜN İÇİNDE","PLANLI"))))))))</f>
        <v/>
      </c>
      <c r="R651" s="6" t="n"/>
      <c r="S651" s="6" t="n"/>
    </row>
    <row r="652">
      <c r="A652" s="6" t="n"/>
      <c r="B652" s="113">
        <f>IF($E652="","","A"&amp;TEXT(ROW()-6,"00000"))</f>
        <v/>
      </c>
      <c r="C652" s="108" t="n"/>
      <c r="D652" s="113">
        <f>IF($E652="","",IFERROR(INDEX(MUSTERILER!$B$7:$B$106,MATCH($E652,MUSTERILER!$C$7:$C$106,0)),IFERROR(INDEX(MUSTERILER!$B$7:$B$106,MATCH($E652,MUSTERILER!$B$7:$B$106,0)),IFERROR(INDEX(MUSTERILER!$B$7:$B$106,MATCH($E652&amp;"*",MUSTERILER!$C$7:$C$106,0)),"TANIMSIZ MÜŞTERİ"))))</f>
        <v/>
      </c>
      <c r="E652" s="109" t="n"/>
      <c r="F652" s="109" t="n"/>
      <c r="G652" s="108" t="n"/>
      <c r="H652" s="225" t="n"/>
      <c r="I652" s="225" t="n"/>
      <c r="J652" s="108" t="n"/>
      <c r="K652" s="108" t="n"/>
      <c r="L652" s="109" t="n"/>
      <c r="M652" s="109" t="n"/>
      <c r="N652" s="109" t="n"/>
      <c r="O652" s="225" t="n"/>
      <c r="P652" s="232">
        <f>IF(OR($E652="",$I652=""),"",IF(OR($J652="Tamamlandı",$J652="İptal"),"",$I652-TODAY()))</f>
        <v/>
      </c>
      <c r="Q652" s="113">
        <f>IF($E652="","",IF($D652="TANIMSIZ MÜŞTERİ","HATA",IF(OR($J652="Tamamlandı",$J652="İptal"),"KAPALI",IF(AND($C652="Görüşme",$N652=""),"SONRAKİ İŞLEM EKSİK",IF($I652="","TARİH EKSİK",IF($I652&lt;TODAY(),"GECİKMİŞ",IF($I652=TODAY(),"BUGÜN",IF($I652&lt;=TODAY()+7,"7 GÜN İÇİNDE","PLANLI"))))))))</f>
        <v/>
      </c>
      <c r="R652" s="6" t="n"/>
      <c r="S652" s="6" t="n"/>
    </row>
    <row r="653">
      <c r="A653" s="6" t="n"/>
      <c r="B653" s="113">
        <f>IF($E653="","","A"&amp;TEXT(ROW()-6,"00000"))</f>
        <v/>
      </c>
      <c r="C653" s="108" t="n"/>
      <c r="D653" s="113">
        <f>IF($E653="","",IFERROR(INDEX(MUSTERILER!$B$7:$B$106,MATCH($E653,MUSTERILER!$C$7:$C$106,0)),IFERROR(INDEX(MUSTERILER!$B$7:$B$106,MATCH($E653,MUSTERILER!$B$7:$B$106,0)),IFERROR(INDEX(MUSTERILER!$B$7:$B$106,MATCH($E653&amp;"*",MUSTERILER!$C$7:$C$106,0)),"TANIMSIZ MÜŞTERİ"))))</f>
        <v/>
      </c>
      <c r="E653" s="109" t="n"/>
      <c r="F653" s="109" t="n"/>
      <c r="G653" s="108" t="n"/>
      <c r="H653" s="225" t="n"/>
      <c r="I653" s="225" t="n"/>
      <c r="J653" s="108" t="n"/>
      <c r="K653" s="108" t="n"/>
      <c r="L653" s="109" t="n"/>
      <c r="M653" s="109" t="n"/>
      <c r="N653" s="109" t="n"/>
      <c r="O653" s="225" t="n"/>
      <c r="P653" s="232">
        <f>IF(OR($E653="",$I653=""),"",IF(OR($J653="Tamamlandı",$J653="İptal"),"",$I653-TODAY()))</f>
        <v/>
      </c>
      <c r="Q653" s="113">
        <f>IF($E653="","",IF($D653="TANIMSIZ MÜŞTERİ","HATA",IF(OR($J653="Tamamlandı",$J653="İptal"),"KAPALI",IF(AND($C653="Görüşme",$N653=""),"SONRAKİ İŞLEM EKSİK",IF($I653="","TARİH EKSİK",IF($I653&lt;TODAY(),"GECİKMİŞ",IF($I653=TODAY(),"BUGÜN",IF($I653&lt;=TODAY()+7,"7 GÜN İÇİNDE","PLANLI"))))))))</f>
        <v/>
      </c>
      <c r="R653" s="6" t="n"/>
      <c r="S653" s="6" t="n"/>
    </row>
    <row r="654">
      <c r="A654" s="6" t="n"/>
      <c r="B654" s="113">
        <f>IF($E654="","","A"&amp;TEXT(ROW()-6,"00000"))</f>
        <v/>
      </c>
      <c r="C654" s="108" t="n"/>
      <c r="D654" s="113">
        <f>IF($E654="","",IFERROR(INDEX(MUSTERILER!$B$7:$B$106,MATCH($E654,MUSTERILER!$C$7:$C$106,0)),IFERROR(INDEX(MUSTERILER!$B$7:$B$106,MATCH($E654,MUSTERILER!$B$7:$B$106,0)),IFERROR(INDEX(MUSTERILER!$B$7:$B$106,MATCH($E654&amp;"*",MUSTERILER!$C$7:$C$106,0)),"TANIMSIZ MÜŞTERİ"))))</f>
        <v/>
      </c>
      <c r="E654" s="109" t="n"/>
      <c r="F654" s="109" t="n"/>
      <c r="G654" s="108" t="n"/>
      <c r="H654" s="225" t="n"/>
      <c r="I654" s="225" t="n"/>
      <c r="J654" s="108" t="n"/>
      <c r="K654" s="108" t="n"/>
      <c r="L654" s="109" t="n"/>
      <c r="M654" s="109" t="n"/>
      <c r="N654" s="109" t="n"/>
      <c r="O654" s="225" t="n"/>
      <c r="P654" s="232">
        <f>IF(OR($E654="",$I654=""),"",IF(OR($J654="Tamamlandı",$J654="İptal"),"",$I654-TODAY()))</f>
        <v/>
      </c>
      <c r="Q654" s="113">
        <f>IF($E654="","",IF($D654="TANIMSIZ MÜŞTERİ","HATA",IF(OR($J654="Tamamlandı",$J654="İptal"),"KAPALI",IF(AND($C654="Görüşme",$N654=""),"SONRAKİ İŞLEM EKSİK",IF($I654="","TARİH EKSİK",IF($I654&lt;TODAY(),"GECİKMİŞ",IF($I654=TODAY(),"BUGÜN",IF($I654&lt;=TODAY()+7,"7 GÜN İÇİNDE","PLANLI"))))))))</f>
        <v/>
      </c>
      <c r="R654" s="6" t="n"/>
      <c r="S654" s="6" t="n"/>
    </row>
    <row r="655">
      <c r="A655" s="6" t="n"/>
      <c r="B655" s="113">
        <f>IF($E655="","","A"&amp;TEXT(ROW()-6,"00000"))</f>
        <v/>
      </c>
      <c r="C655" s="108" t="n"/>
      <c r="D655" s="113">
        <f>IF($E655="","",IFERROR(INDEX(MUSTERILER!$B$7:$B$106,MATCH($E655,MUSTERILER!$C$7:$C$106,0)),IFERROR(INDEX(MUSTERILER!$B$7:$B$106,MATCH($E655,MUSTERILER!$B$7:$B$106,0)),IFERROR(INDEX(MUSTERILER!$B$7:$B$106,MATCH($E655&amp;"*",MUSTERILER!$C$7:$C$106,0)),"TANIMSIZ MÜŞTERİ"))))</f>
        <v/>
      </c>
      <c r="E655" s="109" t="n"/>
      <c r="F655" s="109" t="n"/>
      <c r="G655" s="108" t="n"/>
      <c r="H655" s="225" t="n"/>
      <c r="I655" s="225" t="n"/>
      <c r="J655" s="108" t="n"/>
      <c r="K655" s="108" t="n"/>
      <c r="L655" s="109" t="n"/>
      <c r="M655" s="109" t="n"/>
      <c r="N655" s="109" t="n"/>
      <c r="O655" s="225" t="n"/>
      <c r="P655" s="232">
        <f>IF(OR($E655="",$I655=""),"",IF(OR($J655="Tamamlandı",$J655="İptal"),"",$I655-TODAY()))</f>
        <v/>
      </c>
      <c r="Q655" s="113">
        <f>IF($E655="","",IF($D655="TANIMSIZ MÜŞTERİ","HATA",IF(OR($J655="Tamamlandı",$J655="İptal"),"KAPALI",IF(AND($C655="Görüşme",$N655=""),"SONRAKİ İŞLEM EKSİK",IF($I655="","TARİH EKSİK",IF($I655&lt;TODAY(),"GECİKMİŞ",IF($I655=TODAY(),"BUGÜN",IF($I655&lt;=TODAY()+7,"7 GÜN İÇİNDE","PLANLI"))))))))</f>
        <v/>
      </c>
      <c r="R655" s="6" t="n"/>
      <c r="S655" s="6" t="n"/>
    </row>
    <row r="656">
      <c r="A656" s="6" t="n"/>
      <c r="B656" s="113">
        <f>IF($E656="","","A"&amp;TEXT(ROW()-6,"00000"))</f>
        <v/>
      </c>
      <c r="C656" s="108" t="n"/>
      <c r="D656" s="113">
        <f>IF($E656="","",IFERROR(INDEX(MUSTERILER!$B$7:$B$106,MATCH($E656,MUSTERILER!$C$7:$C$106,0)),IFERROR(INDEX(MUSTERILER!$B$7:$B$106,MATCH($E656,MUSTERILER!$B$7:$B$106,0)),IFERROR(INDEX(MUSTERILER!$B$7:$B$106,MATCH($E656&amp;"*",MUSTERILER!$C$7:$C$106,0)),"TANIMSIZ MÜŞTERİ"))))</f>
        <v/>
      </c>
      <c r="E656" s="109" t="n"/>
      <c r="F656" s="109" t="n"/>
      <c r="G656" s="108" t="n"/>
      <c r="H656" s="225" t="n"/>
      <c r="I656" s="225" t="n"/>
      <c r="J656" s="108" t="n"/>
      <c r="K656" s="108" t="n"/>
      <c r="L656" s="109" t="n"/>
      <c r="M656" s="109" t="n"/>
      <c r="N656" s="109" t="n"/>
      <c r="O656" s="225" t="n"/>
      <c r="P656" s="232">
        <f>IF(OR($E656="",$I656=""),"",IF(OR($J656="Tamamlandı",$J656="İptal"),"",$I656-TODAY()))</f>
        <v/>
      </c>
      <c r="Q656" s="113">
        <f>IF($E656="","",IF($D656="TANIMSIZ MÜŞTERİ","HATA",IF(OR($J656="Tamamlandı",$J656="İptal"),"KAPALI",IF(AND($C656="Görüşme",$N656=""),"SONRAKİ İŞLEM EKSİK",IF($I656="","TARİH EKSİK",IF($I656&lt;TODAY(),"GECİKMİŞ",IF($I656=TODAY(),"BUGÜN",IF($I656&lt;=TODAY()+7,"7 GÜN İÇİNDE","PLANLI"))))))))</f>
        <v/>
      </c>
      <c r="R656" s="6" t="n"/>
      <c r="S656" s="6" t="n"/>
    </row>
    <row r="657">
      <c r="A657" s="6" t="n"/>
      <c r="B657" s="113">
        <f>IF($E657="","","A"&amp;TEXT(ROW()-6,"00000"))</f>
        <v/>
      </c>
      <c r="C657" s="108" t="n"/>
      <c r="D657" s="113">
        <f>IF($E657="","",IFERROR(INDEX(MUSTERILER!$B$7:$B$106,MATCH($E657,MUSTERILER!$C$7:$C$106,0)),IFERROR(INDEX(MUSTERILER!$B$7:$B$106,MATCH($E657,MUSTERILER!$B$7:$B$106,0)),IFERROR(INDEX(MUSTERILER!$B$7:$B$106,MATCH($E657&amp;"*",MUSTERILER!$C$7:$C$106,0)),"TANIMSIZ MÜŞTERİ"))))</f>
        <v/>
      </c>
      <c r="E657" s="109" t="n"/>
      <c r="F657" s="109" t="n"/>
      <c r="G657" s="108" t="n"/>
      <c r="H657" s="225" t="n"/>
      <c r="I657" s="225" t="n"/>
      <c r="J657" s="108" t="n"/>
      <c r="K657" s="108" t="n"/>
      <c r="L657" s="109" t="n"/>
      <c r="M657" s="109" t="n"/>
      <c r="N657" s="109" t="n"/>
      <c r="O657" s="225" t="n"/>
      <c r="P657" s="232">
        <f>IF(OR($E657="",$I657=""),"",IF(OR($J657="Tamamlandı",$J657="İptal"),"",$I657-TODAY()))</f>
        <v/>
      </c>
      <c r="Q657" s="113">
        <f>IF($E657="","",IF($D657="TANIMSIZ MÜŞTERİ","HATA",IF(OR($J657="Tamamlandı",$J657="İptal"),"KAPALI",IF(AND($C657="Görüşme",$N657=""),"SONRAKİ İŞLEM EKSİK",IF($I657="","TARİH EKSİK",IF($I657&lt;TODAY(),"GECİKMİŞ",IF($I657=TODAY(),"BUGÜN",IF($I657&lt;=TODAY()+7,"7 GÜN İÇİNDE","PLANLI"))))))))</f>
        <v/>
      </c>
      <c r="R657" s="6" t="n"/>
      <c r="S657" s="6" t="n"/>
    </row>
    <row r="658">
      <c r="A658" s="6" t="n"/>
      <c r="B658" s="113">
        <f>IF($E658="","","A"&amp;TEXT(ROW()-6,"00000"))</f>
        <v/>
      </c>
      <c r="C658" s="108" t="n"/>
      <c r="D658" s="113">
        <f>IF($E658="","",IFERROR(INDEX(MUSTERILER!$B$7:$B$106,MATCH($E658,MUSTERILER!$C$7:$C$106,0)),IFERROR(INDEX(MUSTERILER!$B$7:$B$106,MATCH($E658,MUSTERILER!$B$7:$B$106,0)),IFERROR(INDEX(MUSTERILER!$B$7:$B$106,MATCH($E658&amp;"*",MUSTERILER!$C$7:$C$106,0)),"TANIMSIZ MÜŞTERİ"))))</f>
        <v/>
      </c>
      <c r="E658" s="109" t="n"/>
      <c r="F658" s="109" t="n"/>
      <c r="G658" s="108" t="n"/>
      <c r="H658" s="225" t="n"/>
      <c r="I658" s="225" t="n"/>
      <c r="J658" s="108" t="n"/>
      <c r="K658" s="108" t="n"/>
      <c r="L658" s="109" t="n"/>
      <c r="M658" s="109" t="n"/>
      <c r="N658" s="109" t="n"/>
      <c r="O658" s="225" t="n"/>
      <c r="P658" s="232">
        <f>IF(OR($E658="",$I658=""),"",IF(OR($J658="Tamamlandı",$J658="İptal"),"",$I658-TODAY()))</f>
        <v/>
      </c>
      <c r="Q658" s="113">
        <f>IF($E658="","",IF($D658="TANIMSIZ MÜŞTERİ","HATA",IF(OR($J658="Tamamlandı",$J658="İptal"),"KAPALI",IF(AND($C658="Görüşme",$N658=""),"SONRAKİ İŞLEM EKSİK",IF($I658="","TARİH EKSİK",IF($I658&lt;TODAY(),"GECİKMİŞ",IF($I658=TODAY(),"BUGÜN",IF($I658&lt;=TODAY()+7,"7 GÜN İÇİNDE","PLANLI"))))))))</f>
        <v/>
      </c>
      <c r="R658" s="6" t="n"/>
      <c r="S658" s="6" t="n"/>
    </row>
    <row r="659">
      <c r="A659" s="6" t="n"/>
      <c r="B659" s="113">
        <f>IF($E659="","","A"&amp;TEXT(ROW()-6,"00000"))</f>
        <v/>
      </c>
      <c r="C659" s="108" t="n"/>
      <c r="D659" s="113">
        <f>IF($E659="","",IFERROR(INDEX(MUSTERILER!$B$7:$B$106,MATCH($E659,MUSTERILER!$C$7:$C$106,0)),IFERROR(INDEX(MUSTERILER!$B$7:$B$106,MATCH($E659,MUSTERILER!$B$7:$B$106,0)),IFERROR(INDEX(MUSTERILER!$B$7:$B$106,MATCH($E659&amp;"*",MUSTERILER!$C$7:$C$106,0)),"TANIMSIZ MÜŞTERİ"))))</f>
        <v/>
      </c>
      <c r="E659" s="109" t="n"/>
      <c r="F659" s="109" t="n"/>
      <c r="G659" s="108" t="n"/>
      <c r="H659" s="225" t="n"/>
      <c r="I659" s="225" t="n"/>
      <c r="J659" s="108" t="n"/>
      <c r="K659" s="108" t="n"/>
      <c r="L659" s="109" t="n"/>
      <c r="M659" s="109" t="n"/>
      <c r="N659" s="109" t="n"/>
      <c r="O659" s="225" t="n"/>
      <c r="P659" s="232">
        <f>IF(OR($E659="",$I659=""),"",IF(OR($J659="Tamamlandı",$J659="İptal"),"",$I659-TODAY()))</f>
        <v/>
      </c>
      <c r="Q659" s="113">
        <f>IF($E659="","",IF($D659="TANIMSIZ MÜŞTERİ","HATA",IF(OR($J659="Tamamlandı",$J659="İptal"),"KAPALI",IF(AND($C659="Görüşme",$N659=""),"SONRAKİ İŞLEM EKSİK",IF($I659="","TARİH EKSİK",IF($I659&lt;TODAY(),"GECİKMİŞ",IF($I659=TODAY(),"BUGÜN",IF($I659&lt;=TODAY()+7,"7 GÜN İÇİNDE","PLANLI"))))))))</f>
        <v/>
      </c>
      <c r="R659" s="6" t="n"/>
      <c r="S659" s="6" t="n"/>
    </row>
    <row r="660">
      <c r="A660" s="6" t="n"/>
      <c r="B660" s="113">
        <f>IF($E660="","","A"&amp;TEXT(ROW()-6,"00000"))</f>
        <v/>
      </c>
      <c r="C660" s="108" t="n"/>
      <c r="D660" s="113">
        <f>IF($E660="","",IFERROR(INDEX(MUSTERILER!$B$7:$B$106,MATCH($E660,MUSTERILER!$C$7:$C$106,0)),IFERROR(INDEX(MUSTERILER!$B$7:$B$106,MATCH($E660,MUSTERILER!$B$7:$B$106,0)),IFERROR(INDEX(MUSTERILER!$B$7:$B$106,MATCH($E660&amp;"*",MUSTERILER!$C$7:$C$106,0)),"TANIMSIZ MÜŞTERİ"))))</f>
        <v/>
      </c>
      <c r="E660" s="109" t="n"/>
      <c r="F660" s="109" t="n"/>
      <c r="G660" s="108" t="n"/>
      <c r="H660" s="225" t="n"/>
      <c r="I660" s="225" t="n"/>
      <c r="J660" s="108" t="n"/>
      <c r="K660" s="108" t="n"/>
      <c r="L660" s="109" t="n"/>
      <c r="M660" s="109" t="n"/>
      <c r="N660" s="109" t="n"/>
      <c r="O660" s="225" t="n"/>
      <c r="P660" s="232">
        <f>IF(OR($E660="",$I660=""),"",IF(OR($J660="Tamamlandı",$J660="İptal"),"",$I660-TODAY()))</f>
        <v/>
      </c>
      <c r="Q660" s="113">
        <f>IF($E660="","",IF($D660="TANIMSIZ MÜŞTERİ","HATA",IF(OR($J660="Tamamlandı",$J660="İptal"),"KAPALI",IF(AND($C660="Görüşme",$N660=""),"SONRAKİ İŞLEM EKSİK",IF($I660="","TARİH EKSİK",IF($I660&lt;TODAY(),"GECİKMİŞ",IF($I660=TODAY(),"BUGÜN",IF($I660&lt;=TODAY()+7,"7 GÜN İÇİNDE","PLANLI"))))))))</f>
        <v/>
      </c>
      <c r="R660" s="6" t="n"/>
      <c r="S660" s="6" t="n"/>
    </row>
    <row r="661">
      <c r="A661" s="6" t="n"/>
      <c r="B661" s="113">
        <f>IF($E661="","","A"&amp;TEXT(ROW()-6,"00000"))</f>
        <v/>
      </c>
      <c r="C661" s="108" t="n"/>
      <c r="D661" s="113">
        <f>IF($E661="","",IFERROR(INDEX(MUSTERILER!$B$7:$B$106,MATCH($E661,MUSTERILER!$C$7:$C$106,0)),IFERROR(INDEX(MUSTERILER!$B$7:$B$106,MATCH($E661,MUSTERILER!$B$7:$B$106,0)),IFERROR(INDEX(MUSTERILER!$B$7:$B$106,MATCH($E661&amp;"*",MUSTERILER!$C$7:$C$106,0)),"TANIMSIZ MÜŞTERİ"))))</f>
        <v/>
      </c>
      <c r="E661" s="109" t="n"/>
      <c r="F661" s="109" t="n"/>
      <c r="G661" s="108" t="n"/>
      <c r="H661" s="225" t="n"/>
      <c r="I661" s="225" t="n"/>
      <c r="J661" s="108" t="n"/>
      <c r="K661" s="108" t="n"/>
      <c r="L661" s="109" t="n"/>
      <c r="M661" s="109" t="n"/>
      <c r="N661" s="109" t="n"/>
      <c r="O661" s="225" t="n"/>
      <c r="P661" s="232">
        <f>IF(OR($E661="",$I661=""),"",IF(OR($J661="Tamamlandı",$J661="İptal"),"",$I661-TODAY()))</f>
        <v/>
      </c>
      <c r="Q661" s="113">
        <f>IF($E661="","",IF($D661="TANIMSIZ MÜŞTERİ","HATA",IF(OR($J661="Tamamlandı",$J661="İptal"),"KAPALI",IF(AND($C661="Görüşme",$N661=""),"SONRAKİ İŞLEM EKSİK",IF($I661="","TARİH EKSİK",IF($I661&lt;TODAY(),"GECİKMİŞ",IF($I661=TODAY(),"BUGÜN",IF($I661&lt;=TODAY()+7,"7 GÜN İÇİNDE","PLANLI"))))))))</f>
        <v/>
      </c>
      <c r="R661" s="6" t="n"/>
      <c r="S661" s="6" t="n"/>
    </row>
    <row r="662">
      <c r="A662" s="6" t="n"/>
      <c r="B662" s="113">
        <f>IF($E662="","","A"&amp;TEXT(ROW()-6,"00000"))</f>
        <v/>
      </c>
      <c r="C662" s="108" t="n"/>
      <c r="D662" s="113">
        <f>IF($E662="","",IFERROR(INDEX(MUSTERILER!$B$7:$B$106,MATCH($E662,MUSTERILER!$C$7:$C$106,0)),IFERROR(INDEX(MUSTERILER!$B$7:$B$106,MATCH($E662,MUSTERILER!$B$7:$B$106,0)),IFERROR(INDEX(MUSTERILER!$B$7:$B$106,MATCH($E662&amp;"*",MUSTERILER!$C$7:$C$106,0)),"TANIMSIZ MÜŞTERİ"))))</f>
        <v/>
      </c>
      <c r="E662" s="109" t="n"/>
      <c r="F662" s="109" t="n"/>
      <c r="G662" s="108" t="n"/>
      <c r="H662" s="225" t="n"/>
      <c r="I662" s="225" t="n"/>
      <c r="J662" s="108" t="n"/>
      <c r="K662" s="108" t="n"/>
      <c r="L662" s="109" t="n"/>
      <c r="M662" s="109" t="n"/>
      <c r="N662" s="109" t="n"/>
      <c r="O662" s="225" t="n"/>
      <c r="P662" s="232">
        <f>IF(OR($E662="",$I662=""),"",IF(OR($J662="Tamamlandı",$J662="İptal"),"",$I662-TODAY()))</f>
        <v/>
      </c>
      <c r="Q662" s="113">
        <f>IF($E662="","",IF($D662="TANIMSIZ MÜŞTERİ","HATA",IF(OR($J662="Tamamlandı",$J662="İptal"),"KAPALI",IF(AND($C662="Görüşme",$N662=""),"SONRAKİ İŞLEM EKSİK",IF($I662="","TARİH EKSİK",IF($I662&lt;TODAY(),"GECİKMİŞ",IF($I662=TODAY(),"BUGÜN",IF($I662&lt;=TODAY()+7,"7 GÜN İÇİNDE","PLANLI"))))))))</f>
        <v/>
      </c>
      <c r="R662" s="6" t="n"/>
      <c r="S662" s="6" t="n"/>
    </row>
    <row r="663">
      <c r="A663" s="6" t="n"/>
      <c r="B663" s="113">
        <f>IF($E663="","","A"&amp;TEXT(ROW()-6,"00000"))</f>
        <v/>
      </c>
      <c r="C663" s="108" t="n"/>
      <c r="D663" s="113">
        <f>IF($E663="","",IFERROR(INDEX(MUSTERILER!$B$7:$B$106,MATCH($E663,MUSTERILER!$C$7:$C$106,0)),IFERROR(INDEX(MUSTERILER!$B$7:$B$106,MATCH($E663,MUSTERILER!$B$7:$B$106,0)),IFERROR(INDEX(MUSTERILER!$B$7:$B$106,MATCH($E663&amp;"*",MUSTERILER!$C$7:$C$106,0)),"TANIMSIZ MÜŞTERİ"))))</f>
        <v/>
      </c>
      <c r="E663" s="109" t="n"/>
      <c r="F663" s="109" t="n"/>
      <c r="G663" s="108" t="n"/>
      <c r="H663" s="225" t="n"/>
      <c r="I663" s="225" t="n"/>
      <c r="J663" s="108" t="n"/>
      <c r="K663" s="108" t="n"/>
      <c r="L663" s="109" t="n"/>
      <c r="M663" s="109" t="n"/>
      <c r="N663" s="109" t="n"/>
      <c r="O663" s="225" t="n"/>
      <c r="P663" s="232">
        <f>IF(OR($E663="",$I663=""),"",IF(OR($J663="Tamamlandı",$J663="İptal"),"",$I663-TODAY()))</f>
        <v/>
      </c>
      <c r="Q663" s="113">
        <f>IF($E663="","",IF($D663="TANIMSIZ MÜŞTERİ","HATA",IF(OR($J663="Tamamlandı",$J663="İptal"),"KAPALI",IF(AND($C663="Görüşme",$N663=""),"SONRAKİ İŞLEM EKSİK",IF($I663="","TARİH EKSİK",IF($I663&lt;TODAY(),"GECİKMİŞ",IF($I663=TODAY(),"BUGÜN",IF($I663&lt;=TODAY()+7,"7 GÜN İÇİNDE","PLANLI"))))))))</f>
        <v/>
      </c>
      <c r="R663" s="6" t="n"/>
      <c r="S663" s="6" t="n"/>
    </row>
    <row r="664">
      <c r="A664" s="6" t="n"/>
      <c r="B664" s="113">
        <f>IF($E664="","","A"&amp;TEXT(ROW()-6,"00000"))</f>
        <v/>
      </c>
      <c r="C664" s="108" t="n"/>
      <c r="D664" s="113">
        <f>IF($E664="","",IFERROR(INDEX(MUSTERILER!$B$7:$B$106,MATCH($E664,MUSTERILER!$C$7:$C$106,0)),IFERROR(INDEX(MUSTERILER!$B$7:$B$106,MATCH($E664,MUSTERILER!$B$7:$B$106,0)),IFERROR(INDEX(MUSTERILER!$B$7:$B$106,MATCH($E664&amp;"*",MUSTERILER!$C$7:$C$106,0)),"TANIMSIZ MÜŞTERİ"))))</f>
        <v/>
      </c>
      <c r="E664" s="109" t="n"/>
      <c r="F664" s="109" t="n"/>
      <c r="G664" s="108" t="n"/>
      <c r="H664" s="225" t="n"/>
      <c r="I664" s="225" t="n"/>
      <c r="J664" s="108" t="n"/>
      <c r="K664" s="108" t="n"/>
      <c r="L664" s="109" t="n"/>
      <c r="M664" s="109" t="n"/>
      <c r="N664" s="109" t="n"/>
      <c r="O664" s="225" t="n"/>
      <c r="P664" s="232">
        <f>IF(OR($E664="",$I664=""),"",IF(OR($J664="Tamamlandı",$J664="İptal"),"",$I664-TODAY()))</f>
        <v/>
      </c>
      <c r="Q664" s="113">
        <f>IF($E664="","",IF($D664="TANIMSIZ MÜŞTERİ","HATA",IF(OR($J664="Tamamlandı",$J664="İptal"),"KAPALI",IF(AND($C664="Görüşme",$N664=""),"SONRAKİ İŞLEM EKSİK",IF($I664="","TARİH EKSİK",IF($I664&lt;TODAY(),"GECİKMİŞ",IF($I664=TODAY(),"BUGÜN",IF($I664&lt;=TODAY()+7,"7 GÜN İÇİNDE","PLANLI"))))))))</f>
        <v/>
      </c>
      <c r="R664" s="6" t="n"/>
      <c r="S664" s="6" t="n"/>
    </row>
    <row r="665">
      <c r="A665" s="6" t="n"/>
      <c r="B665" s="113">
        <f>IF($E665="","","A"&amp;TEXT(ROW()-6,"00000"))</f>
        <v/>
      </c>
      <c r="C665" s="108" t="n"/>
      <c r="D665" s="113">
        <f>IF($E665="","",IFERROR(INDEX(MUSTERILER!$B$7:$B$106,MATCH($E665,MUSTERILER!$C$7:$C$106,0)),IFERROR(INDEX(MUSTERILER!$B$7:$B$106,MATCH($E665,MUSTERILER!$B$7:$B$106,0)),IFERROR(INDEX(MUSTERILER!$B$7:$B$106,MATCH($E665&amp;"*",MUSTERILER!$C$7:$C$106,0)),"TANIMSIZ MÜŞTERİ"))))</f>
        <v/>
      </c>
      <c r="E665" s="109" t="n"/>
      <c r="F665" s="109" t="n"/>
      <c r="G665" s="108" t="n"/>
      <c r="H665" s="225" t="n"/>
      <c r="I665" s="225" t="n"/>
      <c r="J665" s="108" t="n"/>
      <c r="K665" s="108" t="n"/>
      <c r="L665" s="109" t="n"/>
      <c r="M665" s="109" t="n"/>
      <c r="N665" s="109" t="n"/>
      <c r="O665" s="225" t="n"/>
      <c r="P665" s="232">
        <f>IF(OR($E665="",$I665=""),"",IF(OR($J665="Tamamlandı",$J665="İptal"),"",$I665-TODAY()))</f>
        <v/>
      </c>
      <c r="Q665" s="113">
        <f>IF($E665="","",IF($D665="TANIMSIZ MÜŞTERİ","HATA",IF(OR($J665="Tamamlandı",$J665="İptal"),"KAPALI",IF(AND($C665="Görüşme",$N665=""),"SONRAKİ İŞLEM EKSİK",IF($I665="","TARİH EKSİK",IF($I665&lt;TODAY(),"GECİKMİŞ",IF($I665=TODAY(),"BUGÜN",IF($I665&lt;=TODAY()+7,"7 GÜN İÇİNDE","PLANLI"))))))))</f>
        <v/>
      </c>
      <c r="R665" s="6" t="n"/>
      <c r="S665" s="6" t="n"/>
    </row>
    <row r="666">
      <c r="A666" s="6" t="n"/>
      <c r="B666" s="113">
        <f>IF($E666="","","A"&amp;TEXT(ROW()-6,"00000"))</f>
        <v/>
      </c>
      <c r="C666" s="108" t="n"/>
      <c r="D666" s="113">
        <f>IF($E666="","",IFERROR(INDEX(MUSTERILER!$B$7:$B$106,MATCH($E666,MUSTERILER!$C$7:$C$106,0)),IFERROR(INDEX(MUSTERILER!$B$7:$B$106,MATCH($E666,MUSTERILER!$B$7:$B$106,0)),IFERROR(INDEX(MUSTERILER!$B$7:$B$106,MATCH($E666&amp;"*",MUSTERILER!$C$7:$C$106,0)),"TANIMSIZ MÜŞTERİ"))))</f>
        <v/>
      </c>
      <c r="E666" s="109" t="n"/>
      <c r="F666" s="109" t="n"/>
      <c r="G666" s="108" t="n"/>
      <c r="H666" s="225" t="n"/>
      <c r="I666" s="225" t="n"/>
      <c r="J666" s="108" t="n"/>
      <c r="K666" s="108" t="n"/>
      <c r="L666" s="109" t="n"/>
      <c r="M666" s="109" t="n"/>
      <c r="N666" s="109" t="n"/>
      <c r="O666" s="225" t="n"/>
      <c r="P666" s="232">
        <f>IF(OR($E666="",$I666=""),"",IF(OR($J666="Tamamlandı",$J666="İptal"),"",$I666-TODAY()))</f>
        <v/>
      </c>
      <c r="Q666" s="113">
        <f>IF($E666="","",IF($D666="TANIMSIZ MÜŞTERİ","HATA",IF(OR($J666="Tamamlandı",$J666="İptal"),"KAPALI",IF(AND($C666="Görüşme",$N666=""),"SONRAKİ İŞLEM EKSİK",IF($I666="","TARİH EKSİK",IF($I666&lt;TODAY(),"GECİKMİŞ",IF($I666=TODAY(),"BUGÜN",IF($I666&lt;=TODAY()+7,"7 GÜN İÇİNDE","PLANLI"))))))))</f>
        <v/>
      </c>
      <c r="R666" s="6" t="n"/>
      <c r="S666" s="6" t="n"/>
    </row>
    <row r="667">
      <c r="A667" s="6" t="n"/>
      <c r="B667" s="113">
        <f>IF($E667="","","A"&amp;TEXT(ROW()-6,"00000"))</f>
        <v/>
      </c>
      <c r="C667" s="108" t="n"/>
      <c r="D667" s="113">
        <f>IF($E667="","",IFERROR(INDEX(MUSTERILER!$B$7:$B$106,MATCH($E667,MUSTERILER!$C$7:$C$106,0)),IFERROR(INDEX(MUSTERILER!$B$7:$B$106,MATCH($E667,MUSTERILER!$B$7:$B$106,0)),IFERROR(INDEX(MUSTERILER!$B$7:$B$106,MATCH($E667&amp;"*",MUSTERILER!$C$7:$C$106,0)),"TANIMSIZ MÜŞTERİ"))))</f>
        <v/>
      </c>
      <c r="E667" s="109" t="n"/>
      <c r="F667" s="109" t="n"/>
      <c r="G667" s="108" t="n"/>
      <c r="H667" s="225" t="n"/>
      <c r="I667" s="225" t="n"/>
      <c r="J667" s="108" t="n"/>
      <c r="K667" s="108" t="n"/>
      <c r="L667" s="109" t="n"/>
      <c r="M667" s="109" t="n"/>
      <c r="N667" s="109" t="n"/>
      <c r="O667" s="225" t="n"/>
      <c r="P667" s="232">
        <f>IF(OR($E667="",$I667=""),"",IF(OR($J667="Tamamlandı",$J667="İptal"),"",$I667-TODAY()))</f>
        <v/>
      </c>
      <c r="Q667" s="113">
        <f>IF($E667="","",IF($D667="TANIMSIZ MÜŞTERİ","HATA",IF(OR($J667="Tamamlandı",$J667="İptal"),"KAPALI",IF(AND($C667="Görüşme",$N667=""),"SONRAKİ İŞLEM EKSİK",IF($I667="","TARİH EKSİK",IF($I667&lt;TODAY(),"GECİKMİŞ",IF($I667=TODAY(),"BUGÜN",IF($I667&lt;=TODAY()+7,"7 GÜN İÇİNDE","PLANLI"))))))))</f>
        <v/>
      </c>
      <c r="R667" s="6" t="n"/>
      <c r="S667" s="6" t="n"/>
    </row>
    <row r="668">
      <c r="A668" s="6" t="n"/>
      <c r="B668" s="113">
        <f>IF($E668="","","A"&amp;TEXT(ROW()-6,"00000"))</f>
        <v/>
      </c>
      <c r="C668" s="108" t="n"/>
      <c r="D668" s="113">
        <f>IF($E668="","",IFERROR(INDEX(MUSTERILER!$B$7:$B$106,MATCH($E668,MUSTERILER!$C$7:$C$106,0)),IFERROR(INDEX(MUSTERILER!$B$7:$B$106,MATCH($E668,MUSTERILER!$B$7:$B$106,0)),IFERROR(INDEX(MUSTERILER!$B$7:$B$106,MATCH($E668&amp;"*",MUSTERILER!$C$7:$C$106,0)),"TANIMSIZ MÜŞTERİ"))))</f>
        <v/>
      </c>
      <c r="E668" s="109" t="n"/>
      <c r="F668" s="109" t="n"/>
      <c r="G668" s="108" t="n"/>
      <c r="H668" s="225" t="n"/>
      <c r="I668" s="225" t="n"/>
      <c r="J668" s="108" t="n"/>
      <c r="K668" s="108" t="n"/>
      <c r="L668" s="109" t="n"/>
      <c r="M668" s="109" t="n"/>
      <c r="N668" s="109" t="n"/>
      <c r="O668" s="225" t="n"/>
      <c r="P668" s="232">
        <f>IF(OR($E668="",$I668=""),"",IF(OR($J668="Tamamlandı",$J668="İptal"),"",$I668-TODAY()))</f>
        <v/>
      </c>
      <c r="Q668" s="113">
        <f>IF($E668="","",IF($D668="TANIMSIZ MÜŞTERİ","HATA",IF(OR($J668="Tamamlandı",$J668="İptal"),"KAPALI",IF(AND($C668="Görüşme",$N668=""),"SONRAKİ İŞLEM EKSİK",IF($I668="","TARİH EKSİK",IF($I668&lt;TODAY(),"GECİKMİŞ",IF($I668=TODAY(),"BUGÜN",IF($I668&lt;=TODAY()+7,"7 GÜN İÇİNDE","PLANLI"))))))))</f>
        <v/>
      </c>
      <c r="R668" s="6" t="n"/>
      <c r="S668" s="6" t="n"/>
    </row>
    <row r="669">
      <c r="A669" s="6" t="n"/>
      <c r="B669" s="113">
        <f>IF($E669="","","A"&amp;TEXT(ROW()-6,"00000"))</f>
        <v/>
      </c>
      <c r="C669" s="108" t="n"/>
      <c r="D669" s="113">
        <f>IF($E669="","",IFERROR(INDEX(MUSTERILER!$B$7:$B$106,MATCH($E669,MUSTERILER!$C$7:$C$106,0)),IFERROR(INDEX(MUSTERILER!$B$7:$B$106,MATCH($E669,MUSTERILER!$B$7:$B$106,0)),IFERROR(INDEX(MUSTERILER!$B$7:$B$106,MATCH($E669&amp;"*",MUSTERILER!$C$7:$C$106,0)),"TANIMSIZ MÜŞTERİ"))))</f>
        <v/>
      </c>
      <c r="E669" s="109" t="n"/>
      <c r="F669" s="109" t="n"/>
      <c r="G669" s="108" t="n"/>
      <c r="H669" s="225" t="n"/>
      <c r="I669" s="225" t="n"/>
      <c r="J669" s="108" t="n"/>
      <c r="K669" s="108" t="n"/>
      <c r="L669" s="109" t="n"/>
      <c r="M669" s="109" t="n"/>
      <c r="N669" s="109" t="n"/>
      <c r="O669" s="225" t="n"/>
      <c r="P669" s="232">
        <f>IF(OR($E669="",$I669=""),"",IF(OR($J669="Tamamlandı",$J669="İptal"),"",$I669-TODAY()))</f>
        <v/>
      </c>
      <c r="Q669" s="113">
        <f>IF($E669="","",IF($D669="TANIMSIZ MÜŞTERİ","HATA",IF(OR($J669="Tamamlandı",$J669="İptal"),"KAPALI",IF(AND($C669="Görüşme",$N669=""),"SONRAKİ İŞLEM EKSİK",IF($I669="","TARİH EKSİK",IF($I669&lt;TODAY(),"GECİKMİŞ",IF($I669=TODAY(),"BUGÜN",IF($I669&lt;=TODAY()+7,"7 GÜN İÇİNDE","PLANLI"))))))))</f>
        <v/>
      </c>
      <c r="R669" s="6" t="n"/>
      <c r="S669" s="6" t="n"/>
    </row>
    <row r="670">
      <c r="A670" s="6" t="n"/>
      <c r="B670" s="113">
        <f>IF($E670="","","A"&amp;TEXT(ROW()-6,"00000"))</f>
        <v/>
      </c>
      <c r="C670" s="108" t="n"/>
      <c r="D670" s="113">
        <f>IF($E670="","",IFERROR(INDEX(MUSTERILER!$B$7:$B$106,MATCH($E670,MUSTERILER!$C$7:$C$106,0)),IFERROR(INDEX(MUSTERILER!$B$7:$B$106,MATCH($E670,MUSTERILER!$B$7:$B$106,0)),IFERROR(INDEX(MUSTERILER!$B$7:$B$106,MATCH($E670&amp;"*",MUSTERILER!$C$7:$C$106,0)),"TANIMSIZ MÜŞTERİ"))))</f>
        <v/>
      </c>
      <c r="E670" s="109" t="n"/>
      <c r="F670" s="109" t="n"/>
      <c r="G670" s="108" t="n"/>
      <c r="H670" s="225" t="n"/>
      <c r="I670" s="225" t="n"/>
      <c r="J670" s="108" t="n"/>
      <c r="K670" s="108" t="n"/>
      <c r="L670" s="109" t="n"/>
      <c r="M670" s="109" t="n"/>
      <c r="N670" s="109" t="n"/>
      <c r="O670" s="225" t="n"/>
      <c r="P670" s="232">
        <f>IF(OR($E670="",$I670=""),"",IF(OR($J670="Tamamlandı",$J670="İptal"),"",$I670-TODAY()))</f>
        <v/>
      </c>
      <c r="Q670" s="113">
        <f>IF($E670="","",IF($D670="TANIMSIZ MÜŞTERİ","HATA",IF(OR($J670="Tamamlandı",$J670="İptal"),"KAPALI",IF(AND($C670="Görüşme",$N670=""),"SONRAKİ İŞLEM EKSİK",IF($I670="","TARİH EKSİK",IF($I670&lt;TODAY(),"GECİKMİŞ",IF($I670=TODAY(),"BUGÜN",IF($I670&lt;=TODAY()+7,"7 GÜN İÇİNDE","PLANLI"))))))))</f>
        <v/>
      </c>
      <c r="R670" s="6" t="n"/>
      <c r="S670" s="6" t="n"/>
    </row>
    <row r="671">
      <c r="A671" s="6" t="n"/>
      <c r="B671" s="113">
        <f>IF($E671="","","A"&amp;TEXT(ROW()-6,"00000"))</f>
        <v/>
      </c>
      <c r="C671" s="108" t="n"/>
      <c r="D671" s="113">
        <f>IF($E671="","",IFERROR(INDEX(MUSTERILER!$B$7:$B$106,MATCH($E671,MUSTERILER!$C$7:$C$106,0)),IFERROR(INDEX(MUSTERILER!$B$7:$B$106,MATCH($E671,MUSTERILER!$B$7:$B$106,0)),IFERROR(INDEX(MUSTERILER!$B$7:$B$106,MATCH($E671&amp;"*",MUSTERILER!$C$7:$C$106,0)),"TANIMSIZ MÜŞTERİ"))))</f>
        <v/>
      </c>
      <c r="E671" s="109" t="n"/>
      <c r="F671" s="109" t="n"/>
      <c r="G671" s="108" t="n"/>
      <c r="H671" s="225" t="n"/>
      <c r="I671" s="225" t="n"/>
      <c r="J671" s="108" t="n"/>
      <c r="K671" s="108" t="n"/>
      <c r="L671" s="109" t="n"/>
      <c r="M671" s="109" t="n"/>
      <c r="N671" s="109" t="n"/>
      <c r="O671" s="225" t="n"/>
      <c r="P671" s="232">
        <f>IF(OR($E671="",$I671=""),"",IF(OR($J671="Tamamlandı",$J671="İptal"),"",$I671-TODAY()))</f>
        <v/>
      </c>
      <c r="Q671" s="113">
        <f>IF($E671="","",IF($D671="TANIMSIZ MÜŞTERİ","HATA",IF(OR($J671="Tamamlandı",$J671="İptal"),"KAPALI",IF(AND($C671="Görüşme",$N671=""),"SONRAKİ İŞLEM EKSİK",IF($I671="","TARİH EKSİK",IF($I671&lt;TODAY(),"GECİKMİŞ",IF($I671=TODAY(),"BUGÜN",IF($I671&lt;=TODAY()+7,"7 GÜN İÇİNDE","PLANLI"))))))))</f>
        <v/>
      </c>
      <c r="R671" s="6" t="n"/>
      <c r="S671" s="6" t="n"/>
    </row>
    <row r="672">
      <c r="A672" s="6" t="n"/>
      <c r="B672" s="113">
        <f>IF($E672="","","A"&amp;TEXT(ROW()-6,"00000"))</f>
        <v/>
      </c>
      <c r="C672" s="108" t="n"/>
      <c r="D672" s="113">
        <f>IF($E672="","",IFERROR(INDEX(MUSTERILER!$B$7:$B$106,MATCH($E672,MUSTERILER!$C$7:$C$106,0)),IFERROR(INDEX(MUSTERILER!$B$7:$B$106,MATCH($E672,MUSTERILER!$B$7:$B$106,0)),IFERROR(INDEX(MUSTERILER!$B$7:$B$106,MATCH($E672&amp;"*",MUSTERILER!$C$7:$C$106,0)),"TANIMSIZ MÜŞTERİ"))))</f>
        <v/>
      </c>
      <c r="E672" s="109" t="n"/>
      <c r="F672" s="109" t="n"/>
      <c r="G672" s="108" t="n"/>
      <c r="H672" s="225" t="n"/>
      <c r="I672" s="225" t="n"/>
      <c r="J672" s="108" t="n"/>
      <c r="K672" s="108" t="n"/>
      <c r="L672" s="109" t="n"/>
      <c r="M672" s="109" t="n"/>
      <c r="N672" s="109" t="n"/>
      <c r="O672" s="225" t="n"/>
      <c r="P672" s="232">
        <f>IF(OR($E672="",$I672=""),"",IF(OR($J672="Tamamlandı",$J672="İptal"),"",$I672-TODAY()))</f>
        <v/>
      </c>
      <c r="Q672" s="113">
        <f>IF($E672="","",IF($D672="TANIMSIZ MÜŞTERİ","HATA",IF(OR($J672="Tamamlandı",$J672="İptal"),"KAPALI",IF(AND($C672="Görüşme",$N672=""),"SONRAKİ İŞLEM EKSİK",IF($I672="","TARİH EKSİK",IF($I672&lt;TODAY(),"GECİKMİŞ",IF($I672=TODAY(),"BUGÜN",IF($I672&lt;=TODAY()+7,"7 GÜN İÇİNDE","PLANLI"))))))))</f>
        <v/>
      </c>
      <c r="R672" s="6" t="n"/>
      <c r="S672" s="6" t="n"/>
    </row>
    <row r="673">
      <c r="A673" s="6" t="n"/>
      <c r="B673" s="113">
        <f>IF($E673="","","A"&amp;TEXT(ROW()-6,"00000"))</f>
        <v/>
      </c>
      <c r="C673" s="108" t="n"/>
      <c r="D673" s="113">
        <f>IF($E673="","",IFERROR(INDEX(MUSTERILER!$B$7:$B$106,MATCH($E673,MUSTERILER!$C$7:$C$106,0)),IFERROR(INDEX(MUSTERILER!$B$7:$B$106,MATCH($E673,MUSTERILER!$B$7:$B$106,0)),IFERROR(INDEX(MUSTERILER!$B$7:$B$106,MATCH($E673&amp;"*",MUSTERILER!$C$7:$C$106,0)),"TANIMSIZ MÜŞTERİ"))))</f>
        <v/>
      </c>
      <c r="E673" s="109" t="n"/>
      <c r="F673" s="109" t="n"/>
      <c r="G673" s="108" t="n"/>
      <c r="H673" s="225" t="n"/>
      <c r="I673" s="225" t="n"/>
      <c r="J673" s="108" t="n"/>
      <c r="K673" s="108" t="n"/>
      <c r="L673" s="109" t="n"/>
      <c r="M673" s="109" t="n"/>
      <c r="N673" s="109" t="n"/>
      <c r="O673" s="225" t="n"/>
      <c r="P673" s="232">
        <f>IF(OR($E673="",$I673=""),"",IF(OR($J673="Tamamlandı",$J673="İptal"),"",$I673-TODAY()))</f>
        <v/>
      </c>
      <c r="Q673" s="113">
        <f>IF($E673="","",IF($D673="TANIMSIZ MÜŞTERİ","HATA",IF(OR($J673="Tamamlandı",$J673="İptal"),"KAPALI",IF(AND($C673="Görüşme",$N673=""),"SONRAKİ İŞLEM EKSİK",IF($I673="","TARİH EKSİK",IF($I673&lt;TODAY(),"GECİKMİŞ",IF($I673=TODAY(),"BUGÜN",IF($I673&lt;=TODAY()+7,"7 GÜN İÇİNDE","PLANLI"))))))))</f>
        <v/>
      </c>
      <c r="R673" s="6" t="n"/>
      <c r="S673" s="6" t="n"/>
    </row>
    <row r="674">
      <c r="A674" s="6" t="n"/>
      <c r="B674" s="113">
        <f>IF($E674="","","A"&amp;TEXT(ROW()-6,"00000"))</f>
        <v/>
      </c>
      <c r="C674" s="108" t="n"/>
      <c r="D674" s="113">
        <f>IF($E674="","",IFERROR(INDEX(MUSTERILER!$B$7:$B$106,MATCH($E674,MUSTERILER!$C$7:$C$106,0)),IFERROR(INDEX(MUSTERILER!$B$7:$B$106,MATCH($E674,MUSTERILER!$B$7:$B$106,0)),IFERROR(INDEX(MUSTERILER!$B$7:$B$106,MATCH($E674&amp;"*",MUSTERILER!$C$7:$C$106,0)),"TANIMSIZ MÜŞTERİ"))))</f>
        <v/>
      </c>
      <c r="E674" s="109" t="n"/>
      <c r="F674" s="109" t="n"/>
      <c r="G674" s="108" t="n"/>
      <c r="H674" s="225" t="n"/>
      <c r="I674" s="225" t="n"/>
      <c r="J674" s="108" t="n"/>
      <c r="K674" s="108" t="n"/>
      <c r="L674" s="109" t="n"/>
      <c r="M674" s="109" t="n"/>
      <c r="N674" s="109" t="n"/>
      <c r="O674" s="225" t="n"/>
      <c r="P674" s="232">
        <f>IF(OR($E674="",$I674=""),"",IF(OR($J674="Tamamlandı",$J674="İptal"),"",$I674-TODAY()))</f>
        <v/>
      </c>
      <c r="Q674" s="113">
        <f>IF($E674="","",IF($D674="TANIMSIZ MÜŞTERİ","HATA",IF(OR($J674="Tamamlandı",$J674="İptal"),"KAPALI",IF(AND($C674="Görüşme",$N674=""),"SONRAKİ İŞLEM EKSİK",IF($I674="","TARİH EKSİK",IF($I674&lt;TODAY(),"GECİKMİŞ",IF($I674=TODAY(),"BUGÜN",IF($I674&lt;=TODAY()+7,"7 GÜN İÇİNDE","PLANLI"))))))))</f>
        <v/>
      </c>
      <c r="R674" s="6" t="n"/>
      <c r="S674" s="6" t="n"/>
    </row>
    <row r="675">
      <c r="A675" s="6" t="n"/>
      <c r="B675" s="113">
        <f>IF($E675="","","A"&amp;TEXT(ROW()-6,"00000"))</f>
        <v/>
      </c>
      <c r="C675" s="108" t="n"/>
      <c r="D675" s="113">
        <f>IF($E675="","",IFERROR(INDEX(MUSTERILER!$B$7:$B$106,MATCH($E675,MUSTERILER!$C$7:$C$106,0)),IFERROR(INDEX(MUSTERILER!$B$7:$B$106,MATCH($E675,MUSTERILER!$B$7:$B$106,0)),IFERROR(INDEX(MUSTERILER!$B$7:$B$106,MATCH($E675&amp;"*",MUSTERILER!$C$7:$C$106,0)),"TANIMSIZ MÜŞTERİ"))))</f>
        <v/>
      </c>
      <c r="E675" s="109" t="n"/>
      <c r="F675" s="109" t="n"/>
      <c r="G675" s="108" t="n"/>
      <c r="H675" s="225" t="n"/>
      <c r="I675" s="225" t="n"/>
      <c r="J675" s="108" t="n"/>
      <c r="K675" s="108" t="n"/>
      <c r="L675" s="109" t="n"/>
      <c r="M675" s="109" t="n"/>
      <c r="N675" s="109" t="n"/>
      <c r="O675" s="225" t="n"/>
      <c r="P675" s="232">
        <f>IF(OR($E675="",$I675=""),"",IF(OR($J675="Tamamlandı",$J675="İptal"),"",$I675-TODAY()))</f>
        <v/>
      </c>
      <c r="Q675" s="113">
        <f>IF($E675="","",IF($D675="TANIMSIZ MÜŞTERİ","HATA",IF(OR($J675="Tamamlandı",$J675="İptal"),"KAPALI",IF(AND($C675="Görüşme",$N675=""),"SONRAKİ İŞLEM EKSİK",IF($I675="","TARİH EKSİK",IF($I675&lt;TODAY(),"GECİKMİŞ",IF($I675=TODAY(),"BUGÜN",IF($I675&lt;=TODAY()+7,"7 GÜN İÇİNDE","PLANLI"))))))))</f>
        <v/>
      </c>
      <c r="R675" s="6" t="n"/>
      <c r="S675" s="6" t="n"/>
    </row>
    <row r="676">
      <c r="A676" s="6" t="n"/>
      <c r="B676" s="113">
        <f>IF($E676="","","A"&amp;TEXT(ROW()-6,"00000"))</f>
        <v/>
      </c>
      <c r="C676" s="108" t="n"/>
      <c r="D676" s="113">
        <f>IF($E676="","",IFERROR(INDEX(MUSTERILER!$B$7:$B$106,MATCH($E676,MUSTERILER!$C$7:$C$106,0)),IFERROR(INDEX(MUSTERILER!$B$7:$B$106,MATCH($E676,MUSTERILER!$B$7:$B$106,0)),IFERROR(INDEX(MUSTERILER!$B$7:$B$106,MATCH($E676&amp;"*",MUSTERILER!$C$7:$C$106,0)),"TANIMSIZ MÜŞTERİ"))))</f>
        <v/>
      </c>
      <c r="E676" s="109" t="n"/>
      <c r="F676" s="109" t="n"/>
      <c r="G676" s="108" t="n"/>
      <c r="H676" s="225" t="n"/>
      <c r="I676" s="225" t="n"/>
      <c r="J676" s="108" t="n"/>
      <c r="K676" s="108" t="n"/>
      <c r="L676" s="109" t="n"/>
      <c r="M676" s="109" t="n"/>
      <c r="N676" s="109" t="n"/>
      <c r="O676" s="225" t="n"/>
      <c r="P676" s="232">
        <f>IF(OR($E676="",$I676=""),"",IF(OR($J676="Tamamlandı",$J676="İptal"),"",$I676-TODAY()))</f>
        <v/>
      </c>
      <c r="Q676" s="113">
        <f>IF($E676="","",IF($D676="TANIMSIZ MÜŞTERİ","HATA",IF(OR($J676="Tamamlandı",$J676="İptal"),"KAPALI",IF(AND($C676="Görüşme",$N676=""),"SONRAKİ İŞLEM EKSİK",IF($I676="","TARİH EKSİK",IF($I676&lt;TODAY(),"GECİKMİŞ",IF($I676=TODAY(),"BUGÜN",IF($I676&lt;=TODAY()+7,"7 GÜN İÇİNDE","PLANLI"))))))))</f>
        <v/>
      </c>
      <c r="R676" s="6" t="n"/>
      <c r="S676" s="6" t="n"/>
    </row>
    <row r="677">
      <c r="A677" s="6" t="n"/>
      <c r="B677" s="113">
        <f>IF($E677="","","A"&amp;TEXT(ROW()-6,"00000"))</f>
        <v/>
      </c>
      <c r="C677" s="108" t="n"/>
      <c r="D677" s="113">
        <f>IF($E677="","",IFERROR(INDEX(MUSTERILER!$B$7:$B$106,MATCH($E677,MUSTERILER!$C$7:$C$106,0)),IFERROR(INDEX(MUSTERILER!$B$7:$B$106,MATCH($E677,MUSTERILER!$B$7:$B$106,0)),IFERROR(INDEX(MUSTERILER!$B$7:$B$106,MATCH($E677&amp;"*",MUSTERILER!$C$7:$C$106,0)),"TANIMSIZ MÜŞTERİ"))))</f>
        <v/>
      </c>
      <c r="E677" s="109" t="n"/>
      <c r="F677" s="109" t="n"/>
      <c r="G677" s="108" t="n"/>
      <c r="H677" s="225" t="n"/>
      <c r="I677" s="225" t="n"/>
      <c r="J677" s="108" t="n"/>
      <c r="K677" s="108" t="n"/>
      <c r="L677" s="109" t="n"/>
      <c r="M677" s="109" t="n"/>
      <c r="N677" s="109" t="n"/>
      <c r="O677" s="225" t="n"/>
      <c r="P677" s="232">
        <f>IF(OR($E677="",$I677=""),"",IF(OR($J677="Tamamlandı",$J677="İptal"),"",$I677-TODAY()))</f>
        <v/>
      </c>
      <c r="Q677" s="113">
        <f>IF($E677="","",IF($D677="TANIMSIZ MÜŞTERİ","HATA",IF(OR($J677="Tamamlandı",$J677="İptal"),"KAPALI",IF(AND($C677="Görüşme",$N677=""),"SONRAKİ İŞLEM EKSİK",IF($I677="","TARİH EKSİK",IF($I677&lt;TODAY(),"GECİKMİŞ",IF($I677=TODAY(),"BUGÜN",IF($I677&lt;=TODAY()+7,"7 GÜN İÇİNDE","PLANLI"))))))))</f>
        <v/>
      </c>
      <c r="R677" s="6" t="n"/>
      <c r="S677" s="6" t="n"/>
    </row>
    <row r="678">
      <c r="A678" s="6" t="n"/>
      <c r="B678" s="113">
        <f>IF($E678="","","A"&amp;TEXT(ROW()-6,"00000"))</f>
        <v/>
      </c>
      <c r="C678" s="108" t="n"/>
      <c r="D678" s="113">
        <f>IF($E678="","",IFERROR(INDEX(MUSTERILER!$B$7:$B$106,MATCH($E678,MUSTERILER!$C$7:$C$106,0)),IFERROR(INDEX(MUSTERILER!$B$7:$B$106,MATCH($E678,MUSTERILER!$B$7:$B$106,0)),IFERROR(INDEX(MUSTERILER!$B$7:$B$106,MATCH($E678&amp;"*",MUSTERILER!$C$7:$C$106,0)),"TANIMSIZ MÜŞTERİ"))))</f>
        <v/>
      </c>
      <c r="E678" s="109" t="n"/>
      <c r="F678" s="109" t="n"/>
      <c r="G678" s="108" t="n"/>
      <c r="H678" s="225" t="n"/>
      <c r="I678" s="225" t="n"/>
      <c r="J678" s="108" t="n"/>
      <c r="K678" s="108" t="n"/>
      <c r="L678" s="109" t="n"/>
      <c r="M678" s="109" t="n"/>
      <c r="N678" s="109" t="n"/>
      <c r="O678" s="225" t="n"/>
      <c r="P678" s="232">
        <f>IF(OR($E678="",$I678=""),"",IF(OR($J678="Tamamlandı",$J678="İptal"),"",$I678-TODAY()))</f>
        <v/>
      </c>
      <c r="Q678" s="113">
        <f>IF($E678="","",IF($D678="TANIMSIZ MÜŞTERİ","HATA",IF(OR($J678="Tamamlandı",$J678="İptal"),"KAPALI",IF(AND($C678="Görüşme",$N678=""),"SONRAKİ İŞLEM EKSİK",IF($I678="","TARİH EKSİK",IF($I678&lt;TODAY(),"GECİKMİŞ",IF($I678=TODAY(),"BUGÜN",IF($I678&lt;=TODAY()+7,"7 GÜN İÇİNDE","PLANLI"))))))))</f>
        <v/>
      </c>
      <c r="R678" s="6" t="n"/>
      <c r="S678" s="6" t="n"/>
    </row>
    <row r="679">
      <c r="A679" s="6" t="n"/>
      <c r="B679" s="113">
        <f>IF($E679="","","A"&amp;TEXT(ROW()-6,"00000"))</f>
        <v/>
      </c>
      <c r="C679" s="108" t="n"/>
      <c r="D679" s="113">
        <f>IF($E679="","",IFERROR(INDEX(MUSTERILER!$B$7:$B$106,MATCH($E679,MUSTERILER!$C$7:$C$106,0)),IFERROR(INDEX(MUSTERILER!$B$7:$B$106,MATCH($E679,MUSTERILER!$B$7:$B$106,0)),IFERROR(INDEX(MUSTERILER!$B$7:$B$106,MATCH($E679&amp;"*",MUSTERILER!$C$7:$C$106,0)),"TANIMSIZ MÜŞTERİ"))))</f>
        <v/>
      </c>
      <c r="E679" s="109" t="n"/>
      <c r="F679" s="109" t="n"/>
      <c r="G679" s="108" t="n"/>
      <c r="H679" s="225" t="n"/>
      <c r="I679" s="225" t="n"/>
      <c r="J679" s="108" t="n"/>
      <c r="K679" s="108" t="n"/>
      <c r="L679" s="109" t="n"/>
      <c r="M679" s="109" t="n"/>
      <c r="N679" s="109" t="n"/>
      <c r="O679" s="225" t="n"/>
      <c r="P679" s="232">
        <f>IF(OR($E679="",$I679=""),"",IF(OR($J679="Tamamlandı",$J679="İptal"),"",$I679-TODAY()))</f>
        <v/>
      </c>
      <c r="Q679" s="113">
        <f>IF($E679="","",IF($D679="TANIMSIZ MÜŞTERİ","HATA",IF(OR($J679="Tamamlandı",$J679="İptal"),"KAPALI",IF(AND($C679="Görüşme",$N679=""),"SONRAKİ İŞLEM EKSİK",IF($I679="","TARİH EKSİK",IF($I679&lt;TODAY(),"GECİKMİŞ",IF($I679=TODAY(),"BUGÜN",IF($I679&lt;=TODAY()+7,"7 GÜN İÇİNDE","PLANLI"))))))))</f>
        <v/>
      </c>
      <c r="R679" s="6" t="n"/>
      <c r="S679" s="6" t="n"/>
    </row>
    <row r="680">
      <c r="A680" s="6" t="n"/>
      <c r="B680" s="113">
        <f>IF($E680="","","A"&amp;TEXT(ROW()-6,"00000"))</f>
        <v/>
      </c>
      <c r="C680" s="108" t="n"/>
      <c r="D680" s="113">
        <f>IF($E680="","",IFERROR(INDEX(MUSTERILER!$B$7:$B$106,MATCH($E680,MUSTERILER!$C$7:$C$106,0)),IFERROR(INDEX(MUSTERILER!$B$7:$B$106,MATCH($E680,MUSTERILER!$B$7:$B$106,0)),IFERROR(INDEX(MUSTERILER!$B$7:$B$106,MATCH($E680&amp;"*",MUSTERILER!$C$7:$C$106,0)),"TANIMSIZ MÜŞTERİ"))))</f>
        <v/>
      </c>
      <c r="E680" s="109" t="n"/>
      <c r="F680" s="109" t="n"/>
      <c r="G680" s="108" t="n"/>
      <c r="H680" s="225" t="n"/>
      <c r="I680" s="225" t="n"/>
      <c r="J680" s="108" t="n"/>
      <c r="K680" s="108" t="n"/>
      <c r="L680" s="109" t="n"/>
      <c r="M680" s="109" t="n"/>
      <c r="N680" s="109" t="n"/>
      <c r="O680" s="225" t="n"/>
      <c r="P680" s="232">
        <f>IF(OR($E680="",$I680=""),"",IF(OR($J680="Tamamlandı",$J680="İptal"),"",$I680-TODAY()))</f>
        <v/>
      </c>
      <c r="Q680" s="113">
        <f>IF($E680="","",IF($D680="TANIMSIZ MÜŞTERİ","HATA",IF(OR($J680="Tamamlandı",$J680="İptal"),"KAPALI",IF(AND($C680="Görüşme",$N680=""),"SONRAKİ İŞLEM EKSİK",IF($I680="","TARİH EKSİK",IF($I680&lt;TODAY(),"GECİKMİŞ",IF($I680=TODAY(),"BUGÜN",IF($I680&lt;=TODAY()+7,"7 GÜN İÇİNDE","PLANLI"))))))))</f>
        <v/>
      </c>
      <c r="R680" s="6" t="n"/>
      <c r="S680" s="6" t="n"/>
    </row>
    <row r="681">
      <c r="A681" s="6" t="n"/>
      <c r="B681" s="113">
        <f>IF($E681="","","A"&amp;TEXT(ROW()-6,"00000"))</f>
        <v/>
      </c>
      <c r="C681" s="108" t="n"/>
      <c r="D681" s="113">
        <f>IF($E681="","",IFERROR(INDEX(MUSTERILER!$B$7:$B$106,MATCH($E681,MUSTERILER!$C$7:$C$106,0)),IFERROR(INDEX(MUSTERILER!$B$7:$B$106,MATCH($E681,MUSTERILER!$B$7:$B$106,0)),IFERROR(INDEX(MUSTERILER!$B$7:$B$106,MATCH($E681&amp;"*",MUSTERILER!$C$7:$C$106,0)),"TANIMSIZ MÜŞTERİ"))))</f>
        <v/>
      </c>
      <c r="E681" s="109" t="n"/>
      <c r="F681" s="109" t="n"/>
      <c r="G681" s="108" t="n"/>
      <c r="H681" s="225" t="n"/>
      <c r="I681" s="225" t="n"/>
      <c r="J681" s="108" t="n"/>
      <c r="K681" s="108" t="n"/>
      <c r="L681" s="109" t="n"/>
      <c r="M681" s="109" t="n"/>
      <c r="N681" s="109" t="n"/>
      <c r="O681" s="225" t="n"/>
      <c r="P681" s="232">
        <f>IF(OR($E681="",$I681=""),"",IF(OR($J681="Tamamlandı",$J681="İptal"),"",$I681-TODAY()))</f>
        <v/>
      </c>
      <c r="Q681" s="113">
        <f>IF($E681="","",IF($D681="TANIMSIZ MÜŞTERİ","HATA",IF(OR($J681="Tamamlandı",$J681="İptal"),"KAPALI",IF(AND($C681="Görüşme",$N681=""),"SONRAKİ İŞLEM EKSİK",IF($I681="","TARİH EKSİK",IF($I681&lt;TODAY(),"GECİKMİŞ",IF($I681=TODAY(),"BUGÜN",IF($I681&lt;=TODAY()+7,"7 GÜN İÇİNDE","PLANLI"))))))))</f>
        <v/>
      </c>
      <c r="R681" s="6" t="n"/>
      <c r="S681" s="6" t="n"/>
    </row>
    <row r="682">
      <c r="A682" s="6" t="n"/>
      <c r="B682" s="113">
        <f>IF($E682="","","A"&amp;TEXT(ROW()-6,"00000"))</f>
        <v/>
      </c>
      <c r="C682" s="108" t="n"/>
      <c r="D682" s="113">
        <f>IF($E682="","",IFERROR(INDEX(MUSTERILER!$B$7:$B$106,MATCH($E682,MUSTERILER!$C$7:$C$106,0)),IFERROR(INDEX(MUSTERILER!$B$7:$B$106,MATCH($E682,MUSTERILER!$B$7:$B$106,0)),IFERROR(INDEX(MUSTERILER!$B$7:$B$106,MATCH($E682&amp;"*",MUSTERILER!$C$7:$C$106,0)),"TANIMSIZ MÜŞTERİ"))))</f>
        <v/>
      </c>
      <c r="E682" s="109" t="n"/>
      <c r="F682" s="109" t="n"/>
      <c r="G682" s="108" t="n"/>
      <c r="H682" s="225" t="n"/>
      <c r="I682" s="225" t="n"/>
      <c r="J682" s="108" t="n"/>
      <c r="K682" s="108" t="n"/>
      <c r="L682" s="109" t="n"/>
      <c r="M682" s="109" t="n"/>
      <c r="N682" s="109" t="n"/>
      <c r="O682" s="225" t="n"/>
      <c r="P682" s="232">
        <f>IF(OR($E682="",$I682=""),"",IF(OR($J682="Tamamlandı",$J682="İptal"),"",$I682-TODAY()))</f>
        <v/>
      </c>
      <c r="Q682" s="113">
        <f>IF($E682="","",IF($D682="TANIMSIZ MÜŞTERİ","HATA",IF(OR($J682="Tamamlandı",$J682="İptal"),"KAPALI",IF(AND($C682="Görüşme",$N682=""),"SONRAKİ İŞLEM EKSİK",IF($I682="","TARİH EKSİK",IF($I682&lt;TODAY(),"GECİKMİŞ",IF($I682=TODAY(),"BUGÜN",IF($I682&lt;=TODAY()+7,"7 GÜN İÇİNDE","PLANLI"))))))))</f>
        <v/>
      </c>
      <c r="R682" s="6" t="n"/>
      <c r="S682" s="6" t="n"/>
    </row>
    <row r="683">
      <c r="A683" s="6" t="n"/>
      <c r="B683" s="113">
        <f>IF($E683="","","A"&amp;TEXT(ROW()-6,"00000"))</f>
        <v/>
      </c>
      <c r="C683" s="108" t="n"/>
      <c r="D683" s="113">
        <f>IF($E683="","",IFERROR(INDEX(MUSTERILER!$B$7:$B$106,MATCH($E683,MUSTERILER!$C$7:$C$106,0)),IFERROR(INDEX(MUSTERILER!$B$7:$B$106,MATCH($E683,MUSTERILER!$B$7:$B$106,0)),IFERROR(INDEX(MUSTERILER!$B$7:$B$106,MATCH($E683&amp;"*",MUSTERILER!$C$7:$C$106,0)),"TANIMSIZ MÜŞTERİ"))))</f>
        <v/>
      </c>
      <c r="E683" s="109" t="n"/>
      <c r="F683" s="109" t="n"/>
      <c r="G683" s="108" t="n"/>
      <c r="H683" s="225" t="n"/>
      <c r="I683" s="225" t="n"/>
      <c r="J683" s="108" t="n"/>
      <c r="K683" s="108" t="n"/>
      <c r="L683" s="109" t="n"/>
      <c r="M683" s="109" t="n"/>
      <c r="N683" s="109" t="n"/>
      <c r="O683" s="225" t="n"/>
      <c r="P683" s="232">
        <f>IF(OR($E683="",$I683=""),"",IF(OR($J683="Tamamlandı",$J683="İptal"),"",$I683-TODAY()))</f>
        <v/>
      </c>
      <c r="Q683" s="113">
        <f>IF($E683="","",IF($D683="TANIMSIZ MÜŞTERİ","HATA",IF(OR($J683="Tamamlandı",$J683="İptal"),"KAPALI",IF(AND($C683="Görüşme",$N683=""),"SONRAKİ İŞLEM EKSİK",IF($I683="","TARİH EKSİK",IF($I683&lt;TODAY(),"GECİKMİŞ",IF($I683=TODAY(),"BUGÜN",IF($I683&lt;=TODAY()+7,"7 GÜN İÇİNDE","PLANLI"))))))))</f>
        <v/>
      </c>
      <c r="R683" s="6" t="n"/>
      <c r="S683" s="6" t="n"/>
    </row>
    <row r="684">
      <c r="A684" s="6" t="n"/>
      <c r="B684" s="113">
        <f>IF($E684="","","A"&amp;TEXT(ROW()-6,"00000"))</f>
        <v/>
      </c>
      <c r="C684" s="108" t="n"/>
      <c r="D684" s="113">
        <f>IF($E684="","",IFERROR(INDEX(MUSTERILER!$B$7:$B$106,MATCH($E684,MUSTERILER!$C$7:$C$106,0)),IFERROR(INDEX(MUSTERILER!$B$7:$B$106,MATCH($E684,MUSTERILER!$B$7:$B$106,0)),IFERROR(INDEX(MUSTERILER!$B$7:$B$106,MATCH($E684&amp;"*",MUSTERILER!$C$7:$C$106,0)),"TANIMSIZ MÜŞTERİ"))))</f>
        <v/>
      </c>
      <c r="E684" s="109" t="n"/>
      <c r="F684" s="109" t="n"/>
      <c r="G684" s="108" t="n"/>
      <c r="H684" s="225" t="n"/>
      <c r="I684" s="225" t="n"/>
      <c r="J684" s="108" t="n"/>
      <c r="K684" s="108" t="n"/>
      <c r="L684" s="109" t="n"/>
      <c r="M684" s="109" t="n"/>
      <c r="N684" s="109" t="n"/>
      <c r="O684" s="225" t="n"/>
      <c r="P684" s="232">
        <f>IF(OR($E684="",$I684=""),"",IF(OR($J684="Tamamlandı",$J684="İptal"),"",$I684-TODAY()))</f>
        <v/>
      </c>
      <c r="Q684" s="113">
        <f>IF($E684="","",IF($D684="TANIMSIZ MÜŞTERİ","HATA",IF(OR($J684="Tamamlandı",$J684="İptal"),"KAPALI",IF(AND($C684="Görüşme",$N684=""),"SONRAKİ İŞLEM EKSİK",IF($I684="","TARİH EKSİK",IF($I684&lt;TODAY(),"GECİKMİŞ",IF($I684=TODAY(),"BUGÜN",IF($I684&lt;=TODAY()+7,"7 GÜN İÇİNDE","PLANLI"))))))))</f>
        <v/>
      </c>
      <c r="R684" s="6" t="n"/>
      <c r="S684" s="6" t="n"/>
    </row>
    <row r="685">
      <c r="A685" s="6" t="n"/>
      <c r="B685" s="113">
        <f>IF($E685="","","A"&amp;TEXT(ROW()-6,"00000"))</f>
        <v/>
      </c>
      <c r="C685" s="108" t="n"/>
      <c r="D685" s="113">
        <f>IF($E685="","",IFERROR(INDEX(MUSTERILER!$B$7:$B$106,MATCH($E685,MUSTERILER!$C$7:$C$106,0)),IFERROR(INDEX(MUSTERILER!$B$7:$B$106,MATCH($E685,MUSTERILER!$B$7:$B$106,0)),IFERROR(INDEX(MUSTERILER!$B$7:$B$106,MATCH($E685&amp;"*",MUSTERILER!$C$7:$C$106,0)),"TANIMSIZ MÜŞTERİ"))))</f>
        <v/>
      </c>
      <c r="E685" s="109" t="n"/>
      <c r="F685" s="109" t="n"/>
      <c r="G685" s="108" t="n"/>
      <c r="H685" s="225" t="n"/>
      <c r="I685" s="225" t="n"/>
      <c r="J685" s="108" t="n"/>
      <c r="K685" s="108" t="n"/>
      <c r="L685" s="109" t="n"/>
      <c r="M685" s="109" t="n"/>
      <c r="N685" s="109" t="n"/>
      <c r="O685" s="225" t="n"/>
      <c r="P685" s="232">
        <f>IF(OR($E685="",$I685=""),"",IF(OR($J685="Tamamlandı",$J685="İptal"),"",$I685-TODAY()))</f>
        <v/>
      </c>
      <c r="Q685" s="113">
        <f>IF($E685="","",IF($D685="TANIMSIZ MÜŞTERİ","HATA",IF(OR($J685="Tamamlandı",$J685="İptal"),"KAPALI",IF(AND($C685="Görüşme",$N685=""),"SONRAKİ İŞLEM EKSİK",IF($I685="","TARİH EKSİK",IF($I685&lt;TODAY(),"GECİKMİŞ",IF($I685=TODAY(),"BUGÜN",IF($I685&lt;=TODAY()+7,"7 GÜN İÇİNDE","PLANLI"))))))))</f>
        <v/>
      </c>
      <c r="R685" s="6" t="n"/>
      <c r="S685" s="6" t="n"/>
    </row>
    <row r="686">
      <c r="A686" s="6" t="n"/>
      <c r="B686" s="113">
        <f>IF($E686="","","A"&amp;TEXT(ROW()-6,"00000"))</f>
        <v/>
      </c>
      <c r="C686" s="108" t="n"/>
      <c r="D686" s="113">
        <f>IF($E686="","",IFERROR(INDEX(MUSTERILER!$B$7:$B$106,MATCH($E686,MUSTERILER!$C$7:$C$106,0)),IFERROR(INDEX(MUSTERILER!$B$7:$B$106,MATCH($E686,MUSTERILER!$B$7:$B$106,0)),IFERROR(INDEX(MUSTERILER!$B$7:$B$106,MATCH($E686&amp;"*",MUSTERILER!$C$7:$C$106,0)),"TANIMSIZ MÜŞTERİ"))))</f>
        <v/>
      </c>
      <c r="E686" s="109" t="n"/>
      <c r="F686" s="109" t="n"/>
      <c r="G686" s="108" t="n"/>
      <c r="H686" s="225" t="n"/>
      <c r="I686" s="225" t="n"/>
      <c r="J686" s="108" t="n"/>
      <c r="K686" s="108" t="n"/>
      <c r="L686" s="109" t="n"/>
      <c r="M686" s="109" t="n"/>
      <c r="N686" s="109" t="n"/>
      <c r="O686" s="225" t="n"/>
      <c r="P686" s="232">
        <f>IF(OR($E686="",$I686=""),"",IF(OR($J686="Tamamlandı",$J686="İptal"),"",$I686-TODAY()))</f>
        <v/>
      </c>
      <c r="Q686" s="113">
        <f>IF($E686="","",IF($D686="TANIMSIZ MÜŞTERİ","HATA",IF(OR($J686="Tamamlandı",$J686="İptal"),"KAPALI",IF(AND($C686="Görüşme",$N686=""),"SONRAKİ İŞLEM EKSİK",IF($I686="","TARİH EKSİK",IF($I686&lt;TODAY(),"GECİKMİŞ",IF($I686=TODAY(),"BUGÜN",IF($I686&lt;=TODAY()+7,"7 GÜN İÇİNDE","PLANLI"))))))))</f>
        <v/>
      </c>
      <c r="R686" s="6" t="n"/>
      <c r="S686" s="6" t="n"/>
    </row>
    <row r="687">
      <c r="A687" s="6" t="n"/>
      <c r="B687" s="113">
        <f>IF($E687="","","A"&amp;TEXT(ROW()-6,"00000"))</f>
        <v/>
      </c>
      <c r="C687" s="108" t="n"/>
      <c r="D687" s="113">
        <f>IF($E687="","",IFERROR(INDEX(MUSTERILER!$B$7:$B$106,MATCH($E687,MUSTERILER!$C$7:$C$106,0)),IFERROR(INDEX(MUSTERILER!$B$7:$B$106,MATCH($E687,MUSTERILER!$B$7:$B$106,0)),IFERROR(INDEX(MUSTERILER!$B$7:$B$106,MATCH($E687&amp;"*",MUSTERILER!$C$7:$C$106,0)),"TANIMSIZ MÜŞTERİ"))))</f>
        <v/>
      </c>
      <c r="E687" s="109" t="n"/>
      <c r="F687" s="109" t="n"/>
      <c r="G687" s="108" t="n"/>
      <c r="H687" s="225" t="n"/>
      <c r="I687" s="225" t="n"/>
      <c r="J687" s="108" t="n"/>
      <c r="K687" s="108" t="n"/>
      <c r="L687" s="109" t="n"/>
      <c r="M687" s="109" t="n"/>
      <c r="N687" s="109" t="n"/>
      <c r="O687" s="225" t="n"/>
      <c r="P687" s="232">
        <f>IF(OR($E687="",$I687=""),"",IF(OR($J687="Tamamlandı",$J687="İptal"),"",$I687-TODAY()))</f>
        <v/>
      </c>
      <c r="Q687" s="113">
        <f>IF($E687="","",IF($D687="TANIMSIZ MÜŞTERİ","HATA",IF(OR($J687="Tamamlandı",$J687="İptal"),"KAPALI",IF(AND($C687="Görüşme",$N687=""),"SONRAKİ İŞLEM EKSİK",IF($I687="","TARİH EKSİK",IF($I687&lt;TODAY(),"GECİKMİŞ",IF($I687=TODAY(),"BUGÜN",IF($I687&lt;=TODAY()+7,"7 GÜN İÇİNDE","PLANLI"))))))))</f>
        <v/>
      </c>
      <c r="R687" s="6" t="n"/>
      <c r="S687" s="6" t="n"/>
    </row>
    <row r="688">
      <c r="A688" s="6" t="n"/>
      <c r="B688" s="113">
        <f>IF($E688="","","A"&amp;TEXT(ROW()-6,"00000"))</f>
        <v/>
      </c>
      <c r="C688" s="108" t="n"/>
      <c r="D688" s="113">
        <f>IF($E688="","",IFERROR(INDEX(MUSTERILER!$B$7:$B$106,MATCH($E688,MUSTERILER!$C$7:$C$106,0)),IFERROR(INDEX(MUSTERILER!$B$7:$B$106,MATCH($E688,MUSTERILER!$B$7:$B$106,0)),IFERROR(INDEX(MUSTERILER!$B$7:$B$106,MATCH($E688&amp;"*",MUSTERILER!$C$7:$C$106,0)),"TANIMSIZ MÜŞTERİ"))))</f>
        <v/>
      </c>
      <c r="E688" s="109" t="n"/>
      <c r="F688" s="109" t="n"/>
      <c r="G688" s="108" t="n"/>
      <c r="H688" s="225" t="n"/>
      <c r="I688" s="225" t="n"/>
      <c r="J688" s="108" t="n"/>
      <c r="K688" s="108" t="n"/>
      <c r="L688" s="109" t="n"/>
      <c r="M688" s="109" t="n"/>
      <c r="N688" s="109" t="n"/>
      <c r="O688" s="225" t="n"/>
      <c r="P688" s="232">
        <f>IF(OR($E688="",$I688=""),"",IF(OR($J688="Tamamlandı",$J688="İptal"),"",$I688-TODAY()))</f>
        <v/>
      </c>
      <c r="Q688" s="113">
        <f>IF($E688="","",IF($D688="TANIMSIZ MÜŞTERİ","HATA",IF(OR($J688="Tamamlandı",$J688="İptal"),"KAPALI",IF(AND($C688="Görüşme",$N688=""),"SONRAKİ İŞLEM EKSİK",IF($I688="","TARİH EKSİK",IF($I688&lt;TODAY(),"GECİKMİŞ",IF($I688=TODAY(),"BUGÜN",IF($I688&lt;=TODAY()+7,"7 GÜN İÇİNDE","PLANLI"))))))))</f>
        <v/>
      </c>
      <c r="R688" s="6" t="n"/>
      <c r="S688" s="6" t="n"/>
    </row>
    <row r="689">
      <c r="A689" s="6" t="n"/>
      <c r="B689" s="113">
        <f>IF($E689="","","A"&amp;TEXT(ROW()-6,"00000"))</f>
        <v/>
      </c>
      <c r="C689" s="108" t="n"/>
      <c r="D689" s="113">
        <f>IF($E689="","",IFERROR(INDEX(MUSTERILER!$B$7:$B$106,MATCH($E689,MUSTERILER!$C$7:$C$106,0)),IFERROR(INDEX(MUSTERILER!$B$7:$B$106,MATCH($E689,MUSTERILER!$B$7:$B$106,0)),IFERROR(INDEX(MUSTERILER!$B$7:$B$106,MATCH($E689&amp;"*",MUSTERILER!$C$7:$C$106,0)),"TANIMSIZ MÜŞTERİ"))))</f>
        <v/>
      </c>
      <c r="E689" s="109" t="n"/>
      <c r="F689" s="109" t="n"/>
      <c r="G689" s="108" t="n"/>
      <c r="H689" s="225" t="n"/>
      <c r="I689" s="225" t="n"/>
      <c r="J689" s="108" t="n"/>
      <c r="K689" s="108" t="n"/>
      <c r="L689" s="109" t="n"/>
      <c r="M689" s="109" t="n"/>
      <c r="N689" s="109" t="n"/>
      <c r="O689" s="225" t="n"/>
      <c r="P689" s="232">
        <f>IF(OR($E689="",$I689=""),"",IF(OR($J689="Tamamlandı",$J689="İptal"),"",$I689-TODAY()))</f>
        <v/>
      </c>
      <c r="Q689" s="113">
        <f>IF($E689="","",IF($D689="TANIMSIZ MÜŞTERİ","HATA",IF(OR($J689="Tamamlandı",$J689="İptal"),"KAPALI",IF(AND($C689="Görüşme",$N689=""),"SONRAKİ İŞLEM EKSİK",IF($I689="","TARİH EKSİK",IF($I689&lt;TODAY(),"GECİKMİŞ",IF($I689=TODAY(),"BUGÜN",IF($I689&lt;=TODAY()+7,"7 GÜN İÇİNDE","PLANLI"))))))))</f>
        <v/>
      </c>
      <c r="R689" s="6" t="n"/>
      <c r="S689" s="6" t="n"/>
    </row>
    <row r="690">
      <c r="A690" s="6" t="n"/>
      <c r="B690" s="113">
        <f>IF($E690="","","A"&amp;TEXT(ROW()-6,"00000"))</f>
        <v/>
      </c>
      <c r="C690" s="108" t="n"/>
      <c r="D690" s="113">
        <f>IF($E690="","",IFERROR(INDEX(MUSTERILER!$B$7:$B$106,MATCH($E690,MUSTERILER!$C$7:$C$106,0)),IFERROR(INDEX(MUSTERILER!$B$7:$B$106,MATCH($E690,MUSTERILER!$B$7:$B$106,0)),IFERROR(INDEX(MUSTERILER!$B$7:$B$106,MATCH($E690&amp;"*",MUSTERILER!$C$7:$C$106,0)),"TANIMSIZ MÜŞTERİ"))))</f>
        <v/>
      </c>
      <c r="E690" s="109" t="n"/>
      <c r="F690" s="109" t="n"/>
      <c r="G690" s="108" t="n"/>
      <c r="H690" s="225" t="n"/>
      <c r="I690" s="225" t="n"/>
      <c r="J690" s="108" t="n"/>
      <c r="K690" s="108" t="n"/>
      <c r="L690" s="109" t="n"/>
      <c r="M690" s="109" t="n"/>
      <c r="N690" s="109" t="n"/>
      <c r="O690" s="225" t="n"/>
      <c r="P690" s="232">
        <f>IF(OR($E690="",$I690=""),"",IF(OR($J690="Tamamlandı",$J690="İptal"),"",$I690-TODAY()))</f>
        <v/>
      </c>
      <c r="Q690" s="113">
        <f>IF($E690="","",IF($D690="TANIMSIZ MÜŞTERİ","HATA",IF(OR($J690="Tamamlandı",$J690="İptal"),"KAPALI",IF(AND($C690="Görüşme",$N690=""),"SONRAKİ İŞLEM EKSİK",IF($I690="","TARİH EKSİK",IF($I690&lt;TODAY(),"GECİKMİŞ",IF($I690=TODAY(),"BUGÜN",IF($I690&lt;=TODAY()+7,"7 GÜN İÇİNDE","PLANLI"))))))))</f>
        <v/>
      </c>
      <c r="R690" s="6" t="n"/>
      <c r="S690" s="6" t="n"/>
    </row>
    <row r="691">
      <c r="A691" s="6" t="n"/>
      <c r="B691" s="113">
        <f>IF($E691="","","A"&amp;TEXT(ROW()-6,"00000"))</f>
        <v/>
      </c>
      <c r="C691" s="108" t="n"/>
      <c r="D691" s="113">
        <f>IF($E691="","",IFERROR(INDEX(MUSTERILER!$B$7:$B$106,MATCH($E691,MUSTERILER!$C$7:$C$106,0)),IFERROR(INDEX(MUSTERILER!$B$7:$B$106,MATCH($E691,MUSTERILER!$B$7:$B$106,0)),IFERROR(INDEX(MUSTERILER!$B$7:$B$106,MATCH($E691&amp;"*",MUSTERILER!$C$7:$C$106,0)),"TANIMSIZ MÜŞTERİ"))))</f>
        <v/>
      </c>
      <c r="E691" s="109" t="n"/>
      <c r="F691" s="109" t="n"/>
      <c r="G691" s="108" t="n"/>
      <c r="H691" s="225" t="n"/>
      <c r="I691" s="225" t="n"/>
      <c r="J691" s="108" t="n"/>
      <c r="K691" s="108" t="n"/>
      <c r="L691" s="109" t="n"/>
      <c r="M691" s="109" t="n"/>
      <c r="N691" s="109" t="n"/>
      <c r="O691" s="225" t="n"/>
      <c r="P691" s="232">
        <f>IF(OR($E691="",$I691=""),"",IF(OR($J691="Tamamlandı",$J691="İptal"),"",$I691-TODAY()))</f>
        <v/>
      </c>
      <c r="Q691" s="113">
        <f>IF($E691="","",IF($D691="TANIMSIZ MÜŞTERİ","HATA",IF(OR($J691="Tamamlandı",$J691="İptal"),"KAPALI",IF(AND($C691="Görüşme",$N691=""),"SONRAKİ İŞLEM EKSİK",IF($I691="","TARİH EKSİK",IF($I691&lt;TODAY(),"GECİKMİŞ",IF($I691=TODAY(),"BUGÜN",IF($I691&lt;=TODAY()+7,"7 GÜN İÇİNDE","PLANLI"))))))))</f>
        <v/>
      </c>
      <c r="R691" s="6" t="n"/>
      <c r="S691" s="6" t="n"/>
    </row>
    <row r="692">
      <c r="A692" s="6" t="n"/>
      <c r="B692" s="113">
        <f>IF($E692="","","A"&amp;TEXT(ROW()-6,"00000"))</f>
        <v/>
      </c>
      <c r="C692" s="108" t="n"/>
      <c r="D692" s="113">
        <f>IF($E692="","",IFERROR(INDEX(MUSTERILER!$B$7:$B$106,MATCH($E692,MUSTERILER!$C$7:$C$106,0)),IFERROR(INDEX(MUSTERILER!$B$7:$B$106,MATCH($E692,MUSTERILER!$B$7:$B$106,0)),IFERROR(INDEX(MUSTERILER!$B$7:$B$106,MATCH($E692&amp;"*",MUSTERILER!$C$7:$C$106,0)),"TANIMSIZ MÜŞTERİ"))))</f>
        <v/>
      </c>
      <c r="E692" s="109" t="n"/>
      <c r="F692" s="109" t="n"/>
      <c r="G692" s="108" t="n"/>
      <c r="H692" s="225" t="n"/>
      <c r="I692" s="225" t="n"/>
      <c r="J692" s="108" t="n"/>
      <c r="K692" s="108" t="n"/>
      <c r="L692" s="109" t="n"/>
      <c r="M692" s="109" t="n"/>
      <c r="N692" s="109" t="n"/>
      <c r="O692" s="225" t="n"/>
      <c r="P692" s="232">
        <f>IF(OR($E692="",$I692=""),"",IF(OR($J692="Tamamlandı",$J692="İptal"),"",$I692-TODAY()))</f>
        <v/>
      </c>
      <c r="Q692" s="113">
        <f>IF($E692="","",IF($D692="TANIMSIZ MÜŞTERİ","HATA",IF(OR($J692="Tamamlandı",$J692="İptal"),"KAPALI",IF(AND($C692="Görüşme",$N692=""),"SONRAKİ İŞLEM EKSİK",IF($I692="","TARİH EKSİK",IF($I692&lt;TODAY(),"GECİKMİŞ",IF($I692=TODAY(),"BUGÜN",IF($I692&lt;=TODAY()+7,"7 GÜN İÇİNDE","PLANLI"))))))))</f>
        <v/>
      </c>
      <c r="R692" s="6" t="n"/>
      <c r="S692" s="6" t="n"/>
    </row>
    <row r="693">
      <c r="A693" s="6" t="n"/>
      <c r="B693" s="113">
        <f>IF($E693="","","A"&amp;TEXT(ROW()-6,"00000"))</f>
        <v/>
      </c>
      <c r="C693" s="108" t="n"/>
      <c r="D693" s="113">
        <f>IF($E693="","",IFERROR(INDEX(MUSTERILER!$B$7:$B$106,MATCH($E693,MUSTERILER!$C$7:$C$106,0)),IFERROR(INDEX(MUSTERILER!$B$7:$B$106,MATCH($E693,MUSTERILER!$B$7:$B$106,0)),IFERROR(INDEX(MUSTERILER!$B$7:$B$106,MATCH($E693&amp;"*",MUSTERILER!$C$7:$C$106,0)),"TANIMSIZ MÜŞTERİ"))))</f>
        <v/>
      </c>
      <c r="E693" s="109" t="n"/>
      <c r="F693" s="109" t="n"/>
      <c r="G693" s="108" t="n"/>
      <c r="H693" s="225" t="n"/>
      <c r="I693" s="225" t="n"/>
      <c r="J693" s="108" t="n"/>
      <c r="K693" s="108" t="n"/>
      <c r="L693" s="109" t="n"/>
      <c r="M693" s="109" t="n"/>
      <c r="N693" s="109" t="n"/>
      <c r="O693" s="225" t="n"/>
      <c r="P693" s="232">
        <f>IF(OR($E693="",$I693=""),"",IF(OR($J693="Tamamlandı",$J693="İptal"),"",$I693-TODAY()))</f>
        <v/>
      </c>
      <c r="Q693" s="113">
        <f>IF($E693="","",IF($D693="TANIMSIZ MÜŞTERİ","HATA",IF(OR($J693="Tamamlandı",$J693="İptal"),"KAPALI",IF(AND($C693="Görüşme",$N693=""),"SONRAKİ İŞLEM EKSİK",IF($I693="","TARİH EKSİK",IF($I693&lt;TODAY(),"GECİKMİŞ",IF($I693=TODAY(),"BUGÜN",IF($I693&lt;=TODAY()+7,"7 GÜN İÇİNDE","PLANLI"))))))))</f>
        <v/>
      </c>
      <c r="R693" s="6" t="n"/>
      <c r="S693" s="6" t="n"/>
    </row>
    <row r="694">
      <c r="A694" s="6" t="n"/>
      <c r="B694" s="113">
        <f>IF($E694="","","A"&amp;TEXT(ROW()-6,"00000"))</f>
        <v/>
      </c>
      <c r="C694" s="108" t="n"/>
      <c r="D694" s="113">
        <f>IF($E694="","",IFERROR(INDEX(MUSTERILER!$B$7:$B$106,MATCH($E694,MUSTERILER!$C$7:$C$106,0)),IFERROR(INDEX(MUSTERILER!$B$7:$B$106,MATCH($E694,MUSTERILER!$B$7:$B$106,0)),IFERROR(INDEX(MUSTERILER!$B$7:$B$106,MATCH($E694&amp;"*",MUSTERILER!$C$7:$C$106,0)),"TANIMSIZ MÜŞTERİ"))))</f>
        <v/>
      </c>
      <c r="E694" s="109" t="n"/>
      <c r="F694" s="109" t="n"/>
      <c r="G694" s="108" t="n"/>
      <c r="H694" s="225" t="n"/>
      <c r="I694" s="225" t="n"/>
      <c r="J694" s="108" t="n"/>
      <c r="K694" s="108" t="n"/>
      <c r="L694" s="109" t="n"/>
      <c r="M694" s="109" t="n"/>
      <c r="N694" s="109" t="n"/>
      <c r="O694" s="225" t="n"/>
      <c r="P694" s="232">
        <f>IF(OR($E694="",$I694=""),"",IF(OR($J694="Tamamlandı",$J694="İptal"),"",$I694-TODAY()))</f>
        <v/>
      </c>
      <c r="Q694" s="113">
        <f>IF($E694="","",IF($D694="TANIMSIZ MÜŞTERİ","HATA",IF(OR($J694="Tamamlandı",$J694="İptal"),"KAPALI",IF(AND($C694="Görüşme",$N694=""),"SONRAKİ İŞLEM EKSİK",IF($I694="","TARİH EKSİK",IF($I694&lt;TODAY(),"GECİKMİŞ",IF($I694=TODAY(),"BUGÜN",IF($I694&lt;=TODAY()+7,"7 GÜN İÇİNDE","PLANLI"))))))))</f>
        <v/>
      </c>
      <c r="R694" s="6" t="n"/>
      <c r="S694" s="6" t="n"/>
    </row>
    <row r="695">
      <c r="A695" s="6" t="n"/>
      <c r="B695" s="113">
        <f>IF($E695="","","A"&amp;TEXT(ROW()-6,"00000"))</f>
        <v/>
      </c>
      <c r="C695" s="108" t="n"/>
      <c r="D695" s="113">
        <f>IF($E695="","",IFERROR(INDEX(MUSTERILER!$B$7:$B$106,MATCH($E695,MUSTERILER!$C$7:$C$106,0)),IFERROR(INDEX(MUSTERILER!$B$7:$B$106,MATCH($E695,MUSTERILER!$B$7:$B$106,0)),IFERROR(INDEX(MUSTERILER!$B$7:$B$106,MATCH($E695&amp;"*",MUSTERILER!$C$7:$C$106,0)),"TANIMSIZ MÜŞTERİ"))))</f>
        <v/>
      </c>
      <c r="E695" s="109" t="n"/>
      <c r="F695" s="109" t="n"/>
      <c r="G695" s="108" t="n"/>
      <c r="H695" s="225" t="n"/>
      <c r="I695" s="225" t="n"/>
      <c r="J695" s="108" t="n"/>
      <c r="K695" s="108" t="n"/>
      <c r="L695" s="109" t="n"/>
      <c r="M695" s="109" t="n"/>
      <c r="N695" s="109" t="n"/>
      <c r="O695" s="225" t="n"/>
      <c r="P695" s="232">
        <f>IF(OR($E695="",$I695=""),"",IF(OR($J695="Tamamlandı",$J695="İptal"),"",$I695-TODAY()))</f>
        <v/>
      </c>
      <c r="Q695" s="113">
        <f>IF($E695="","",IF($D695="TANIMSIZ MÜŞTERİ","HATA",IF(OR($J695="Tamamlandı",$J695="İptal"),"KAPALI",IF(AND($C695="Görüşme",$N695=""),"SONRAKİ İŞLEM EKSİK",IF($I695="","TARİH EKSİK",IF($I695&lt;TODAY(),"GECİKMİŞ",IF($I695=TODAY(),"BUGÜN",IF($I695&lt;=TODAY()+7,"7 GÜN İÇİNDE","PLANLI"))))))))</f>
        <v/>
      </c>
      <c r="R695" s="6" t="n"/>
      <c r="S695" s="6" t="n"/>
    </row>
    <row r="696">
      <c r="A696" s="6" t="n"/>
      <c r="B696" s="113">
        <f>IF($E696="","","A"&amp;TEXT(ROW()-6,"00000"))</f>
        <v/>
      </c>
      <c r="C696" s="108" t="n"/>
      <c r="D696" s="113">
        <f>IF($E696="","",IFERROR(INDEX(MUSTERILER!$B$7:$B$106,MATCH($E696,MUSTERILER!$C$7:$C$106,0)),IFERROR(INDEX(MUSTERILER!$B$7:$B$106,MATCH($E696,MUSTERILER!$B$7:$B$106,0)),IFERROR(INDEX(MUSTERILER!$B$7:$B$106,MATCH($E696&amp;"*",MUSTERILER!$C$7:$C$106,0)),"TANIMSIZ MÜŞTERİ"))))</f>
        <v/>
      </c>
      <c r="E696" s="109" t="n"/>
      <c r="F696" s="109" t="n"/>
      <c r="G696" s="108" t="n"/>
      <c r="H696" s="225" t="n"/>
      <c r="I696" s="225" t="n"/>
      <c r="J696" s="108" t="n"/>
      <c r="K696" s="108" t="n"/>
      <c r="L696" s="109" t="n"/>
      <c r="M696" s="109" t="n"/>
      <c r="N696" s="109" t="n"/>
      <c r="O696" s="225" t="n"/>
      <c r="P696" s="232">
        <f>IF(OR($E696="",$I696=""),"",IF(OR($J696="Tamamlandı",$J696="İptal"),"",$I696-TODAY()))</f>
        <v/>
      </c>
      <c r="Q696" s="113">
        <f>IF($E696="","",IF($D696="TANIMSIZ MÜŞTERİ","HATA",IF(OR($J696="Tamamlandı",$J696="İptal"),"KAPALI",IF(AND($C696="Görüşme",$N696=""),"SONRAKİ İŞLEM EKSİK",IF($I696="","TARİH EKSİK",IF($I696&lt;TODAY(),"GECİKMİŞ",IF($I696=TODAY(),"BUGÜN",IF($I696&lt;=TODAY()+7,"7 GÜN İÇİNDE","PLANLI"))))))))</f>
        <v/>
      </c>
      <c r="R696" s="6" t="n"/>
      <c r="S696" s="6" t="n"/>
    </row>
    <row r="697">
      <c r="A697" s="6" t="n"/>
      <c r="B697" s="113">
        <f>IF($E697="","","A"&amp;TEXT(ROW()-6,"00000"))</f>
        <v/>
      </c>
      <c r="C697" s="108" t="n"/>
      <c r="D697" s="113">
        <f>IF($E697="","",IFERROR(INDEX(MUSTERILER!$B$7:$B$106,MATCH($E697,MUSTERILER!$C$7:$C$106,0)),IFERROR(INDEX(MUSTERILER!$B$7:$B$106,MATCH($E697,MUSTERILER!$B$7:$B$106,0)),IFERROR(INDEX(MUSTERILER!$B$7:$B$106,MATCH($E697&amp;"*",MUSTERILER!$C$7:$C$106,0)),"TANIMSIZ MÜŞTERİ"))))</f>
        <v/>
      </c>
      <c r="E697" s="109" t="n"/>
      <c r="F697" s="109" t="n"/>
      <c r="G697" s="108" t="n"/>
      <c r="H697" s="225" t="n"/>
      <c r="I697" s="225" t="n"/>
      <c r="J697" s="108" t="n"/>
      <c r="K697" s="108" t="n"/>
      <c r="L697" s="109" t="n"/>
      <c r="M697" s="109" t="n"/>
      <c r="N697" s="109" t="n"/>
      <c r="O697" s="225" t="n"/>
      <c r="P697" s="232">
        <f>IF(OR($E697="",$I697=""),"",IF(OR($J697="Tamamlandı",$J697="İptal"),"",$I697-TODAY()))</f>
        <v/>
      </c>
      <c r="Q697" s="113">
        <f>IF($E697="","",IF($D697="TANIMSIZ MÜŞTERİ","HATA",IF(OR($J697="Tamamlandı",$J697="İptal"),"KAPALI",IF(AND($C697="Görüşme",$N697=""),"SONRAKİ İŞLEM EKSİK",IF($I697="","TARİH EKSİK",IF($I697&lt;TODAY(),"GECİKMİŞ",IF($I697=TODAY(),"BUGÜN",IF($I697&lt;=TODAY()+7,"7 GÜN İÇİNDE","PLANLI"))))))))</f>
        <v/>
      </c>
      <c r="R697" s="6" t="n"/>
      <c r="S697" s="6" t="n"/>
    </row>
    <row r="698">
      <c r="A698" s="6" t="n"/>
      <c r="B698" s="113">
        <f>IF($E698="","","A"&amp;TEXT(ROW()-6,"00000"))</f>
        <v/>
      </c>
      <c r="C698" s="108" t="n"/>
      <c r="D698" s="113">
        <f>IF($E698="","",IFERROR(INDEX(MUSTERILER!$B$7:$B$106,MATCH($E698,MUSTERILER!$C$7:$C$106,0)),IFERROR(INDEX(MUSTERILER!$B$7:$B$106,MATCH($E698,MUSTERILER!$B$7:$B$106,0)),IFERROR(INDEX(MUSTERILER!$B$7:$B$106,MATCH($E698&amp;"*",MUSTERILER!$C$7:$C$106,0)),"TANIMSIZ MÜŞTERİ"))))</f>
        <v/>
      </c>
      <c r="E698" s="109" t="n"/>
      <c r="F698" s="109" t="n"/>
      <c r="G698" s="108" t="n"/>
      <c r="H698" s="225" t="n"/>
      <c r="I698" s="225" t="n"/>
      <c r="J698" s="108" t="n"/>
      <c r="K698" s="108" t="n"/>
      <c r="L698" s="109" t="n"/>
      <c r="M698" s="109" t="n"/>
      <c r="N698" s="109" t="n"/>
      <c r="O698" s="225" t="n"/>
      <c r="P698" s="232">
        <f>IF(OR($E698="",$I698=""),"",IF(OR($J698="Tamamlandı",$J698="İptal"),"",$I698-TODAY()))</f>
        <v/>
      </c>
      <c r="Q698" s="113">
        <f>IF($E698="","",IF($D698="TANIMSIZ MÜŞTERİ","HATA",IF(OR($J698="Tamamlandı",$J698="İptal"),"KAPALI",IF(AND($C698="Görüşme",$N698=""),"SONRAKİ İŞLEM EKSİK",IF($I698="","TARİH EKSİK",IF($I698&lt;TODAY(),"GECİKMİŞ",IF($I698=TODAY(),"BUGÜN",IF($I698&lt;=TODAY()+7,"7 GÜN İÇİNDE","PLANLI"))))))))</f>
        <v/>
      </c>
      <c r="R698" s="6" t="n"/>
      <c r="S698" s="6" t="n"/>
    </row>
    <row r="699">
      <c r="A699" s="6" t="n"/>
      <c r="B699" s="113">
        <f>IF($E699="","","A"&amp;TEXT(ROW()-6,"00000"))</f>
        <v/>
      </c>
      <c r="C699" s="108" t="n"/>
      <c r="D699" s="113">
        <f>IF($E699="","",IFERROR(INDEX(MUSTERILER!$B$7:$B$106,MATCH($E699,MUSTERILER!$C$7:$C$106,0)),IFERROR(INDEX(MUSTERILER!$B$7:$B$106,MATCH($E699,MUSTERILER!$B$7:$B$106,0)),IFERROR(INDEX(MUSTERILER!$B$7:$B$106,MATCH($E699&amp;"*",MUSTERILER!$C$7:$C$106,0)),"TANIMSIZ MÜŞTERİ"))))</f>
        <v/>
      </c>
      <c r="E699" s="109" t="n"/>
      <c r="F699" s="109" t="n"/>
      <c r="G699" s="108" t="n"/>
      <c r="H699" s="225" t="n"/>
      <c r="I699" s="225" t="n"/>
      <c r="J699" s="108" t="n"/>
      <c r="K699" s="108" t="n"/>
      <c r="L699" s="109" t="n"/>
      <c r="M699" s="109" t="n"/>
      <c r="N699" s="109" t="n"/>
      <c r="O699" s="225" t="n"/>
      <c r="P699" s="232">
        <f>IF(OR($E699="",$I699=""),"",IF(OR($J699="Tamamlandı",$J699="İptal"),"",$I699-TODAY()))</f>
        <v/>
      </c>
      <c r="Q699" s="113">
        <f>IF($E699="","",IF($D699="TANIMSIZ MÜŞTERİ","HATA",IF(OR($J699="Tamamlandı",$J699="İptal"),"KAPALI",IF(AND($C699="Görüşme",$N699=""),"SONRAKİ İŞLEM EKSİK",IF($I699="","TARİH EKSİK",IF($I699&lt;TODAY(),"GECİKMİŞ",IF($I699=TODAY(),"BUGÜN",IF($I699&lt;=TODAY()+7,"7 GÜN İÇİNDE","PLANLI"))))))))</f>
        <v/>
      </c>
      <c r="R699" s="6" t="n"/>
      <c r="S699" s="6" t="n"/>
    </row>
    <row r="700">
      <c r="A700" s="6" t="n"/>
      <c r="B700" s="113">
        <f>IF($E700="","","A"&amp;TEXT(ROW()-6,"00000"))</f>
        <v/>
      </c>
      <c r="C700" s="108" t="n"/>
      <c r="D700" s="113">
        <f>IF($E700="","",IFERROR(INDEX(MUSTERILER!$B$7:$B$106,MATCH($E700,MUSTERILER!$C$7:$C$106,0)),IFERROR(INDEX(MUSTERILER!$B$7:$B$106,MATCH($E700,MUSTERILER!$B$7:$B$106,0)),IFERROR(INDEX(MUSTERILER!$B$7:$B$106,MATCH($E700&amp;"*",MUSTERILER!$C$7:$C$106,0)),"TANIMSIZ MÜŞTERİ"))))</f>
        <v/>
      </c>
      <c r="E700" s="109" t="n"/>
      <c r="F700" s="109" t="n"/>
      <c r="G700" s="108" t="n"/>
      <c r="H700" s="225" t="n"/>
      <c r="I700" s="225" t="n"/>
      <c r="J700" s="108" t="n"/>
      <c r="K700" s="108" t="n"/>
      <c r="L700" s="109" t="n"/>
      <c r="M700" s="109" t="n"/>
      <c r="N700" s="109" t="n"/>
      <c r="O700" s="225" t="n"/>
      <c r="P700" s="232">
        <f>IF(OR($E700="",$I700=""),"",IF(OR($J700="Tamamlandı",$J700="İptal"),"",$I700-TODAY()))</f>
        <v/>
      </c>
      <c r="Q700" s="113">
        <f>IF($E700="","",IF($D700="TANIMSIZ MÜŞTERİ","HATA",IF(OR($J700="Tamamlandı",$J700="İptal"),"KAPALI",IF(AND($C700="Görüşme",$N700=""),"SONRAKİ İŞLEM EKSİK",IF($I700="","TARİH EKSİK",IF($I700&lt;TODAY(),"GECİKMİŞ",IF($I700=TODAY(),"BUGÜN",IF($I700&lt;=TODAY()+7,"7 GÜN İÇİNDE","PLANLI"))))))))</f>
        <v/>
      </c>
      <c r="R700" s="6" t="n"/>
      <c r="S700" s="6" t="n"/>
    </row>
    <row r="701">
      <c r="A701" s="6" t="n"/>
      <c r="B701" s="113">
        <f>IF($E701="","","A"&amp;TEXT(ROW()-6,"00000"))</f>
        <v/>
      </c>
      <c r="C701" s="108" t="n"/>
      <c r="D701" s="113">
        <f>IF($E701="","",IFERROR(INDEX(MUSTERILER!$B$7:$B$106,MATCH($E701,MUSTERILER!$C$7:$C$106,0)),IFERROR(INDEX(MUSTERILER!$B$7:$B$106,MATCH($E701,MUSTERILER!$B$7:$B$106,0)),IFERROR(INDEX(MUSTERILER!$B$7:$B$106,MATCH($E701&amp;"*",MUSTERILER!$C$7:$C$106,0)),"TANIMSIZ MÜŞTERİ"))))</f>
        <v/>
      </c>
      <c r="E701" s="109" t="n"/>
      <c r="F701" s="109" t="n"/>
      <c r="G701" s="108" t="n"/>
      <c r="H701" s="225" t="n"/>
      <c r="I701" s="225" t="n"/>
      <c r="J701" s="108" t="n"/>
      <c r="K701" s="108" t="n"/>
      <c r="L701" s="109" t="n"/>
      <c r="M701" s="109" t="n"/>
      <c r="N701" s="109" t="n"/>
      <c r="O701" s="225" t="n"/>
      <c r="P701" s="232">
        <f>IF(OR($E701="",$I701=""),"",IF(OR($J701="Tamamlandı",$J701="İptal"),"",$I701-TODAY()))</f>
        <v/>
      </c>
      <c r="Q701" s="113">
        <f>IF($E701="","",IF($D701="TANIMSIZ MÜŞTERİ","HATA",IF(OR($J701="Tamamlandı",$J701="İptal"),"KAPALI",IF(AND($C701="Görüşme",$N701=""),"SONRAKİ İŞLEM EKSİK",IF($I701="","TARİH EKSİK",IF($I701&lt;TODAY(),"GECİKMİŞ",IF($I701=TODAY(),"BUGÜN",IF($I701&lt;=TODAY()+7,"7 GÜN İÇİNDE","PLANLI"))))))))</f>
        <v/>
      </c>
      <c r="R701" s="6" t="n"/>
      <c r="S701" s="6" t="n"/>
    </row>
    <row r="702">
      <c r="A702" s="6" t="n"/>
      <c r="B702" s="113">
        <f>IF($E702="","","A"&amp;TEXT(ROW()-6,"00000"))</f>
        <v/>
      </c>
      <c r="C702" s="108" t="n"/>
      <c r="D702" s="113">
        <f>IF($E702="","",IFERROR(INDEX(MUSTERILER!$B$7:$B$106,MATCH($E702,MUSTERILER!$C$7:$C$106,0)),IFERROR(INDEX(MUSTERILER!$B$7:$B$106,MATCH($E702,MUSTERILER!$B$7:$B$106,0)),IFERROR(INDEX(MUSTERILER!$B$7:$B$106,MATCH($E702&amp;"*",MUSTERILER!$C$7:$C$106,0)),"TANIMSIZ MÜŞTERİ"))))</f>
        <v/>
      </c>
      <c r="E702" s="109" t="n"/>
      <c r="F702" s="109" t="n"/>
      <c r="G702" s="108" t="n"/>
      <c r="H702" s="225" t="n"/>
      <c r="I702" s="225" t="n"/>
      <c r="J702" s="108" t="n"/>
      <c r="K702" s="108" t="n"/>
      <c r="L702" s="109" t="n"/>
      <c r="M702" s="109" t="n"/>
      <c r="N702" s="109" t="n"/>
      <c r="O702" s="225" t="n"/>
      <c r="P702" s="232">
        <f>IF(OR($E702="",$I702=""),"",IF(OR($J702="Tamamlandı",$J702="İptal"),"",$I702-TODAY()))</f>
        <v/>
      </c>
      <c r="Q702" s="113">
        <f>IF($E702="","",IF($D702="TANIMSIZ MÜŞTERİ","HATA",IF(OR($J702="Tamamlandı",$J702="İptal"),"KAPALI",IF(AND($C702="Görüşme",$N702=""),"SONRAKİ İŞLEM EKSİK",IF($I702="","TARİH EKSİK",IF($I702&lt;TODAY(),"GECİKMİŞ",IF($I702=TODAY(),"BUGÜN",IF($I702&lt;=TODAY()+7,"7 GÜN İÇİNDE","PLANLI"))))))))</f>
        <v/>
      </c>
      <c r="R702" s="6" t="n"/>
      <c r="S702" s="6" t="n"/>
    </row>
    <row r="703">
      <c r="A703" s="6" t="n"/>
      <c r="B703" s="113">
        <f>IF($E703="","","A"&amp;TEXT(ROW()-6,"00000"))</f>
        <v/>
      </c>
      <c r="C703" s="108" t="n"/>
      <c r="D703" s="113">
        <f>IF($E703="","",IFERROR(INDEX(MUSTERILER!$B$7:$B$106,MATCH($E703,MUSTERILER!$C$7:$C$106,0)),IFERROR(INDEX(MUSTERILER!$B$7:$B$106,MATCH($E703,MUSTERILER!$B$7:$B$106,0)),IFERROR(INDEX(MUSTERILER!$B$7:$B$106,MATCH($E703&amp;"*",MUSTERILER!$C$7:$C$106,0)),"TANIMSIZ MÜŞTERİ"))))</f>
        <v/>
      </c>
      <c r="E703" s="109" t="n"/>
      <c r="F703" s="109" t="n"/>
      <c r="G703" s="108" t="n"/>
      <c r="H703" s="225" t="n"/>
      <c r="I703" s="225" t="n"/>
      <c r="J703" s="108" t="n"/>
      <c r="K703" s="108" t="n"/>
      <c r="L703" s="109" t="n"/>
      <c r="M703" s="109" t="n"/>
      <c r="N703" s="109" t="n"/>
      <c r="O703" s="225" t="n"/>
      <c r="P703" s="232">
        <f>IF(OR($E703="",$I703=""),"",IF(OR($J703="Tamamlandı",$J703="İptal"),"",$I703-TODAY()))</f>
        <v/>
      </c>
      <c r="Q703" s="113">
        <f>IF($E703="","",IF($D703="TANIMSIZ MÜŞTERİ","HATA",IF(OR($J703="Tamamlandı",$J703="İptal"),"KAPALI",IF(AND($C703="Görüşme",$N703=""),"SONRAKİ İŞLEM EKSİK",IF($I703="","TARİH EKSİK",IF($I703&lt;TODAY(),"GECİKMİŞ",IF($I703=TODAY(),"BUGÜN",IF($I703&lt;=TODAY()+7,"7 GÜN İÇİNDE","PLANLI"))))))))</f>
        <v/>
      </c>
      <c r="R703" s="6" t="n"/>
      <c r="S703" s="6" t="n"/>
    </row>
    <row r="704">
      <c r="A704" s="6" t="n"/>
      <c r="B704" s="113">
        <f>IF($E704="","","A"&amp;TEXT(ROW()-6,"00000"))</f>
        <v/>
      </c>
      <c r="C704" s="108" t="n"/>
      <c r="D704" s="113">
        <f>IF($E704="","",IFERROR(INDEX(MUSTERILER!$B$7:$B$106,MATCH($E704,MUSTERILER!$C$7:$C$106,0)),IFERROR(INDEX(MUSTERILER!$B$7:$B$106,MATCH($E704,MUSTERILER!$B$7:$B$106,0)),IFERROR(INDEX(MUSTERILER!$B$7:$B$106,MATCH($E704&amp;"*",MUSTERILER!$C$7:$C$106,0)),"TANIMSIZ MÜŞTERİ"))))</f>
        <v/>
      </c>
      <c r="E704" s="109" t="n"/>
      <c r="F704" s="109" t="n"/>
      <c r="G704" s="108" t="n"/>
      <c r="H704" s="225" t="n"/>
      <c r="I704" s="225" t="n"/>
      <c r="J704" s="108" t="n"/>
      <c r="K704" s="108" t="n"/>
      <c r="L704" s="109" t="n"/>
      <c r="M704" s="109" t="n"/>
      <c r="N704" s="109" t="n"/>
      <c r="O704" s="225" t="n"/>
      <c r="P704" s="232">
        <f>IF(OR($E704="",$I704=""),"",IF(OR($J704="Tamamlandı",$J704="İptal"),"",$I704-TODAY()))</f>
        <v/>
      </c>
      <c r="Q704" s="113">
        <f>IF($E704="","",IF($D704="TANIMSIZ MÜŞTERİ","HATA",IF(OR($J704="Tamamlandı",$J704="İptal"),"KAPALI",IF(AND($C704="Görüşme",$N704=""),"SONRAKİ İŞLEM EKSİK",IF($I704="","TARİH EKSİK",IF($I704&lt;TODAY(),"GECİKMİŞ",IF($I704=TODAY(),"BUGÜN",IF($I704&lt;=TODAY()+7,"7 GÜN İÇİNDE","PLANLI"))))))))</f>
        <v/>
      </c>
      <c r="R704" s="6" t="n"/>
      <c r="S704" s="6" t="n"/>
    </row>
    <row r="705">
      <c r="A705" s="6" t="n"/>
      <c r="B705" s="113">
        <f>IF($E705="","","A"&amp;TEXT(ROW()-6,"00000"))</f>
        <v/>
      </c>
      <c r="C705" s="108" t="n"/>
      <c r="D705" s="113">
        <f>IF($E705="","",IFERROR(INDEX(MUSTERILER!$B$7:$B$106,MATCH($E705,MUSTERILER!$C$7:$C$106,0)),IFERROR(INDEX(MUSTERILER!$B$7:$B$106,MATCH($E705,MUSTERILER!$B$7:$B$106,0)),IFERROR(INDEX(MUSTERILER!$B$7:$B$106,MATCH($E705&amp;"*",MUSTERILER!$C$7:$C$106,0)),"TANIMSIZ MÜŞTERİ"))))</f>
        <v/>
      </c>
      <c r="E705" s="109" t="n"/>
      <c r="F705" s="109" t="n"/>
      <c r="G705" s="108" t="n"/>
      <c r="H705" s="225" t="n"/>
      <c r="I705" s="225" t="n"/>
      <c r="J705" s="108" t="n"/>
      <c r="K705" s="108" t="n"/>
      <c r="L705" s="109" t="n"/>
      <c r="M705" s="109" t="n"/>
      <c r="N705" s="109" t="n"/>
      <c r="O705" s="225" t="n"/>
      <c r="P705" s="232">
        <f>IF(OR($E705="",$I705=""),"",IF(OR($J705="Tamamlandı",$J705="İptal"),"",$I705-TODAY()))</f>
        <v/>
      </c>
      <c r="Q705" s="113">
        <f>IF($E705="","",IF($D705="TANIMSIZ MÜŞTERİ","HATA",IF(OR($J705="Tamamlandı",$J705="İptal"),"KAPALI",IF(AND($C705="Görüşme",$N705=""),"SONRAKİ İŞLEM EKSİK",IF($I705="","TARİH EKSİK",IF($I705&lt;TODAY(),"GECİKMİŞ",IF($I705=TODAY(),"BUGÜN",IF($I705&lt;=TODAY()+7,"7 GÜN İÇİNDE","PLANLI"))))))))</f>
        <v/>
      </c>
      <c r="R705" s="6" t="n"/>
      <c r="S705" s="6" t="n"/>
    </row>
    <row r="706">
      <c r="A706" s="6" t="n"/>
      <c r="B706" s="113">
        <f>IF($E706="","","A"&amp;TEXT(ROW()-6,"00000"))</f>
        <v/>
      </c>
      <c r="C706" s="108" t="n"/>
      <c r="D706" s="113">
        <f>IF($E706="","",IFERROR(INDEX(MUSTERILER!$B$7:$B$106,MATCH($E706,MUSTERILER!$C$7:$C$106,0)),IFERROR(INDEX(MUSTERILER!$B$7:$B$106,MATCH($E706,MUSTERILER!$B$7:$B$106,0)),IFERROR(INDEX(MUSTERILER!$B$7:$B$106,MATCH($E706&amp;"*",MUSTERILER!$C$7:$C$106,0)),"TANIMSIZ MÜŞTERİ"))))</f>
        <v/>
      </c>
      <c r="E706" s="109" t="n"/>
      <c r="F706" s="109" t="n"/>
      <c r="G706" s="108" t="n"/>
      <c r="H706" s="225" t="n"/>
      <c r="I706" s="225" t="n"/>
      <c r="J706" s="108" t="n"/>
      <c r="K706" s="108" t="n"/>
      <c r="L706" s="109" t="n"/>
      <c r="M706" s="109" t="n"/>
      <c r="N706" s="109" t="n"/>
      <c r="O706" s="225" t="n"/>
      <c r="P706" s="232">
        <f>IF(OR($E706="",$I706=""),"",IF(OR($J706="Tamamlandı",$J706="İptal"),"",$I706-TODAY()))</f>
        <v/>
      </c>
      <c r="Q706" s="113">
        <f>IF($E706="","",IF($D706="TANIMSIZ MÜŞTERİ","HATA",IF(OR($J706="Tamamlandı",$J706="İptal"),"KAPALI",IF(AND($C706="Görüşme",$N706=""),"SONRAKİ İŞLEM EKSİK",IF($I706="","TARİH EKSİK",IF($I706&lt;TODAY(),"GECİKMİŞ",IF($I706=TODAY(),"BUGÜN",IF($I706&lt;=TODAY()+7,"7 GÜN İÇİNDE","PLANLI"))))))))</f>
        <v/>
      </c>
      <c r="R706" s="6" t="n"/>
      <c r="S706" s="6" t="n"/>
    </row>
    <row r="707">
      <c r="A707" s="6" t="n"/>
      <c r="B707" s="113">
        <f>IF($E707="","","A"&amp;TEXT(ROW()-6,"00000"))</f>
        <v/>
      </c>
      <c r="C707" s="108" t="n"/>
      <c r="D707" s="113">
        <f>IF($E707="","",IFERROR(INDEX(MUSTERILER!$B$7:$B$106,MATCH($E707,MUSTERILER!$C$7:$C$106,0)),IFERROR(INDEX(MUSTERILER!$B$7:$B$106,MATCH($E707,MUSTERILER!$B$7:$B$106,0)),IFERROR(INDEX(MUSTERILER!$B$7:$B$106,MATCH($E707&amp;"*",MUSTERILER!$C$7:$C$106,0)),"TANIMSIZ MÜŞTERİ"))))</f>
        <v/>
      </c>
      <c r="E707" s="109" t="n"/>
      <c r="F707" s="109" t="n"/>
      <c r="G707" s="108" t="n"/>
      <c r="H707" s="225" t="n"/>
      <c r="I707" s="225" t="n"/>
      <c r="J707" s="108" t="n"/>
      <c r="K707" s="108" t="n"/>
      <c r="L707" s="109" t="n"/>
      <c r="M707" s="109" t="n"/>
      <c r="N707" s="109" t="n"/>
      <c r="O707" s="225" t="n"/>
      <c r="P707" s="232">
        <f>IF(OR($E707="",$I707=""),"",IF(OR($J707="Tamamlandı",$J707="İptal"),"",$I707-TODAY()))</f>
        <v/>
      </c>
      <c r="Q707" s="113">
        <f>IF($E707="","",IF($D707="TANIMSIZ MÜŞTERİ","HATA",IF(OR($J707="Tamamlandı",$J707="İptal"),"KAPALI",IF(AND($C707="Görüşme",$N707=""),"SONRAKİ İŞLEM EKSİK",IF($I707="","TARİH EKSİK",IF($I707&lt;TODAY(),"GECİKMİŞ",IF($I707=TODAY(),"BUGÜN",IF($I707&lt;=TODAY()+7,"7 GÜN İÇİNDE","PLANLI"))))))))</f>
        <v/>
      </c>
      <c r="R707" s="6" t="n"/>
      <c r="S707" s="6" t="n"/>
    </row>
    <row r="708">
      <c r="A708" s="6" t="n"/>
      <c r="B708" s="113">
        <f>IF($E708="","","A"&amp;TEXT(ROW()-6,"00000"))</f>
        <v/>
      </c>
      <c r="C708" s="108" t="n"/>
      <c r="D708" s="113">
        <f>IF($E708="","",IFERROR(INDEX(MUSTERILER!$B$7:$B$106,MATCH($E708,MUSTERILER!$C$7:$C$106,0)),IFERROR(INDEX(MUSTERILER!$B$7:$B$106,MATCH($E708,MUSTERILER!$B$7:$B$106,0)),IFERROR(INDEX(MUSTERILER!$B$7:$B$106,MATCH($E708&amp;"*",MUSTERILER!$C$7:$C$106,0)),"TANIMSIZ MÜŞTERİ"))))</f>
        <v/>
      </c>
      <c r="E708" s="109" t="n"/>
      <c r="F708" s="109" t="n"/>
      <c r="G708" s="108" t="n"/>
      <c r="H708" s="225" t="n"/>
      <c r="I708" s="225" t="n"/>
      <c r="J708" s="108" t="n"/>
      <c r="K708" s="108" t="n"/>
      <c r="L708" s="109" t="n"/>
      <c r="M708" s="109" t="n"/>
      <c r="N708" s="109" t="n"/>
      <c r="O708" s="225" t="n"/>
      <c r="P708" s="232">
        <f>IF(OR($E708="",$I708=""),"",IF(OR($J708="Tamamlandı",$J708="İptal"),"",$I708-TODAY()))</f>
        <v/>
      </c>
      <c r="Q708" s="113">
        <f>IF($E708="","",IF($D708="TANIMSIZ MÜŞTERİ","HATA",IF(OR($J708="Tamamlandı",$J708="İptal"),"KAPALI",IF(AND($C708="Görüşme",$N708=""),"SONRAKİ İŞLEM EKSİK",IF($I708="","TARİH EKSİK",IF($I708&lt;TODAY(),"GECİKMİŞ",IF($I708=TODAY(),"BUGÜN",IF($I708&lt;=TODAY()+7,"7 GÜN İÇİNDE","PLANLI"))))))))</f>
        <v/>
      </c>
      <c r="R708" s="6" t="n"/>
      <c r="S708" s="6" t="n"/>
    </row>
    <row r="709">
      <c r="A709" s="6" t="n"/>
      <c r="B709" s="113">
        <f>IF($E709="","","A"&amp;TEXT(ROW()-6,"00000"))</f>
        <v/>
      </c>
      <c r="C709" s="108" t="n"/>
      <c r="D709" s="113">
        <f>IF($E709="","",IFERROR(INDEX(MUSTERILER!$B$7:$B$106,MATCH($E709,MUSTERILER!$C$7:$C$106,0)),IFERROR(INDEX(MUSTERILER!$B$7:$B$106,MATCH($E709,MUSTERILER!$B$7:$B$106,0)),IFERROR(INDEX(MUSTERILER!$B$7:$B$106,MATCH($E709&amp;"*",MUSTERILER!$C$7:$C$106,0)),"TANIMSIZ MÜŞTERİ"))))</f>
        <v/>
      </c>
      <c r="E709" s="109" t="n"/>
      <c r="F709" s="109" t="n"/>
      <c r="G709" s="108" t="n"/>
      <c r="H709" s="225" t="n"/>
      <c r="I709" s="225" t="n"/>
      <c r="J709" s="108" t="n"/>
      <c r="K709" s="108" t="n"/>
      <c r="L709" s="109" t="n"/>
      <c r="M709" s="109" t="n"/>
      <c r="N709" s="109" t="n"/>
      <c r="O709" s="225" t="n"/>
      <c r="P709" s="232">
        <f>IF(OR($E709="",$I709=""),"",IF(OR($J709="Tamamlandı",$J709="İptal"),"",$I709-TODAY()))</f>
        <v/>
      </c>
      <c r="Q709" s="113">
        <f>IF($E709="","",IF($D709="TANIMSIZ MÜŞTERİ","HATA",IF(OR($J709="Tamamlandı",$J709="İptal"),"KAPALI",IF(AND($C709="Görüşme",$N709=""),"SONRAKİ İŞLEM EKSİK",IF($I709="","TARİH EKSİK",IF($I709&lt;TODAY(),"GECİKMİŞ",IF($I709=TODAY(),"BUGÜN",IF($I709&lt;=TODAY()+7,"7 GÜN İÇİNDE","PLANLI"))))))))</f>
        <v/>
      </c>
      <c r="R709" s="6" t="n"/>
      <c r="S709" s="6" t="n"/>
    </row>
    <row r="710">
      <c r="A710" s="6" t="n"/>
      <c r="B710" s="113">
        <f>IF($E710="","","A"&amp;TEXT(ROW()-6,"00000"))</f>
        <v/>
      </c>
      <c r="C710" s="108" t="n"/>
      <c r="D710" s="113">
        <f>IF($E710="","",IFERROR(INDEX(MUSTERILER!$B$7:$B$106,MATCH($E710,MUSTERILER!$C$7:$C$106,0)),IFERROR(INDEX(MUSTERILER!$B$7:$B$106,MATCH($E710,MUSTERILER!$B$7:$B$106,0)),IFERROR(INDEX(MUSTERILER!$B$7:$B$106,MATCH($E710&amp;"*",MUSTERILER!$C$7:$C$106,0)),"TANIMSIZ MÜŞTERİ"))))</f>
        <v/>
      </c>
      <c r="E710" s="109" t="n"/>
      <c r="F710" s="109" t="n"/>
      <c r="G710" s="108" t="n"/>
      <c r="H710" s="225" t="n"/>
      <c r="I710" s="225" t="n"/>
      <c r="J710" s="108" t="n"/>
      <c r="K710" s="108" t="n"/>
      <c r="L710" s="109" t="n"/>
      <c r="M710" s="109" t="n"/>
      <c r="N710" s="109" t="n"/>
      <c r="O710" s="225" t="n"/>
      <c r="P710" s="232">
        <f>IF(OR($E710="",$I710=""),"",IF(OR($J710="Tamamlandı",$J710="İptal"),"",$I710-TODAY()))</f>
        <v/>
      </c>
      <c r="Q710" s="113">
        <f>IF($E710="","",IF($D710="TANIMSIZ MÜŞTERİ","HATA",IF(OR($J710="Tamamlandı",$J710="İptal"),"KAPALI",IF(AND($C710="Görüşme",$N710=""),"SONRAKİ İŞLEM EKSİK",IF($I710="","TARİH EKSİK",IF($I710&lt;TODAY(),"GECİKMİŞ",IF($I710=TODAY(),"BUGÜN",IF($I710&lt;=TODAY()+7,"7 GÜN İÇİNDE","PLANLI"))))))))</f>
        <v/>
      </c>
      <c r="R710" s="6" t="n"/>
      <c r="S710" s="6" t="n"/>
    </row>
    <row r="711">
      <c r="A711" s="6" t="n"/>
      <c r="B711" s="113">
        <f>IF($E711="","","A"&amp;TEXT(ROW()-6,"00000"))</f>
        <v/>
      </c>
      <c r="C711" s="108" t="n"/>
      <c r="D711" s="113">
        <f>IF($E711="","",IFERROR(INDEX(MUSTERILER!$B$7:$B$106,MATCH($E711,MUSTERILER!$C$7:$C$106,0)),IFERROR(INDEX(MUSTERILER!$B$7:$B$106,MATCH($E711,MUSTERILER!$B$7:$B$106,0)),IFERROR(INDEX(MUSTERILER!$B$7:$B$106,MATCH($E711&amp;"*",MUSTERILER!$C$7:$C$106,0)),"TANIMSIZ MÜŞTERİ"))))</f>
        <v/>
      </c>
      <c r="E711" s="109" t="n"/>
      <c r="F711" s="109" t="n"/>
      <c r="G711" s="108" t="n"/>
      <c r="H711" s="225" t="n"/>
      <c r="I711" s="225" t="n"/>
      <c r="J711" s="108" t="n"/>
      <c r="K711" s="108" t="n"/>
      <c r="L711" s="109" t="n"/>
      <c r="M711" s="109" t="n"/>
      <c r="N711" s="109" t="n"/>
      <c r="O711" s="225" t="n"/>
      <c r="P711" s="232">
        <f>IF(OR($E711="",$I711=""),"",IF(OR($J711="Tamamlandı",$J711="İptal"),"",$I711-TODAY()))</f>
        <v/>
      </c>
      <c r="Q711" s="113">
        <f>IF($E711="","",IF($D711="TANIMSIZ MÜŞTERİ","HATA",IF(OR($J711="Tamamlandı",$J711="İptal"),"KAPALI",IF(AND($C711="Görüşme",$N711=""),"SONRAKİ İŞLEM EKSİK",IF($I711="","TARİH EKSİK",IF($I711&lt;TODAY(),"GECİKMİŞ",IF($I711=TODAY(),"BUGÜN",IF($I711&lt;=TODAY()+7,"7 GÜN İÇİNDE","PLANLI"))))))))</f>
        <v/>
      </c>
      <c r="R711" s="6" t="n"/>
      <c r="S711" s="6" t="n"/>
    </row>
    <row r="712">
      <c r="A712" s="6" t="n"/>
      <c r="B712" s="113">
        <f>IF($E712="","","A"&amp;TEXT(ROW()-6,"00000"))</f>
        <v/>
      </c>
      <c r="C712" s="108" t="n"/>
      <c r="D712" s="113">
        <f>IF($E712="","",IFERROR(INDEX(MUSTERILER!$B$7:$B$106,MATCH($E712,MUSTERILER!$C$7:$C$106,0)),IFERROR(INDEX(MUSTERILER!$B$7:$B$106,MATCH($E712,MUSTERILER!$B$7:$B$106,0)),IFERROR(INDEX(MUSTERILER!$B$7:$B$106,MATCH($E712&amp;"*",MUSTERILER!$C$7:$C$106,0)),"TANIMSIZ MÜŞTERİ"))))</f>
        <v/>
      </c>
      <c r="E712" s="109" t="n"/>
      <c r="F712" s="109" t="n"/>
      <c r="G712" s="108" t="n"/>
      <c r="H712" s="225" t="n"/>
      <c r="I712" s="225" t="n"/>
      <c r="J712" s="108" t="n"/>
      <c r="K712" s="108" t="n"/>
      <c r="L712" s="109" t="n"/>
      <c r="M712" s="109" t="n"/>
      <c r="N712" s="109" t="n"/>
      <c r="O712" s="225" t="n"/>
      <c r="P712" s="232">
        <f>IF(OR($E712="",$I712=""),"",IF(OR($J712="Tamamlandı",$J712="İptal"),"",$I712-TODAY()))</f>
        <v/>
      </c>
      <c r="Q712" s="113">
        <f>IF($E712="","",IF($D712="TANIMSIZ MÜŞTERİ","HATA",IF(OR($J712="Tamamlandı",$J712="İptal"),"KAPALI",IF(AND($C712="Görüşme",$N712=""),"SONRAKİ İŞLEM EKSİK",IF($I712="","TARİH EKSİK",IF($I712&lt;TODAY(),"GECİKMİŞ",IF($I712=TODAY(),"BUGÜN",IF($I712&lt;=TODAY()+7,"7 GÜN İÇİNDE","PLANLI"))))))))</f>
        <v/>
      </c>
      <c r="R712" s="6" t="n"/>
      <c r="S712" s="6" t="n"/>
    </row>
    <row r="713">
      <c r="A713" s="6" t="n"/>
      <c r="B713" s="113">
        <f>IF($E713="","","A"&amp;TEXT(ROW()-6,"00000"))</f>
        <v/>
      </c>
      <c r="C713" s="108" t="n"/>
      <c r="D713" s="113">
        <f>IF($E713="","",IFERROR(INDEX(MUSTERILER!$B$7:$B$106,MATCH($E713,MUSTERILER!$C$7:$C$106,0)),IFERROR(INDEX(MUSTERILER!$B$7:$B$106,MATCH($E713,MUSTERILER!$B$7:$B$106,0)),IFERROR(INDEX(MUSTERILER!$B$7:$B$106,MATCH($E713&amp;"*",MUSTERILER!$C$7:$C$106,0)),"TANIMSIZ MÜŞTERİ"))))</f>
        <v/>
      </c>
      <c r="E713" s="109" t="n"/>
      <c r="F713" s="109" t="n"/>
      <c r="G713" s="108" t="n"/>
      <c r="H713" s="225" t="n"/>
      <c r="I713" s="225" t="n"/>
      <c r="J713" s="108" t="n"/>
      <c r="K713" s="108" t="n"/>
      <c r="L713" s="109" t="n"/>
      <c r="M713" s="109" t="n"/>
      <c r="N713" s="109" t="n"/>
      <c r="O713" s="225" t="n"/>
      <c r="P713" s="232">
        <f>IF(OR($E713="",$I713=""),"",IF(OR($J713="Tamamlandı",$J713="İptal"),"",$I713-TODAY()))</f>
        <v/>
      </c>
      <c r="Q713" s="113">
        <f>IF($E713="","",IF($D713="TANIMSIZ MÜŞTERİ","HATA",IF(OR($J713="Tamamlandı",$J713="İptal"),"KAPALI",IF(AND($C713="Görüşme",$N713=""),"SONRAKİ İŞLEM EKSİK",IF($I713="","TARİH EKSİK",IF($I713&lt;TODAY(),"GECİKMİŞ",IF($I713=TODAY(),"BUGÜN",IF($I713&lt;=TODAY()+7,"7 GÜN İÇİNDE","PLANLI"))))))))</f>
        <v/>
      </c>
      <c r="R713" s="6" t="n"/>
      <c r="S713" s="6" t="n"/>
    </row>
    <row r="714">
      <c r="A714" s="6" t="n"/>
      <c r="B714" s="113">
        <f>IF($E714="","","A"&amp;TEXT(ROW()-6,"00000"))</f>
        <v/>
      </c>
      <c r="C714" s="108" t="n"/>
      <c r="D714" s="113">
        <f>IF($E714="","",IFERROR(INDEX(MUSTERILER!$B$7:$B$106,MATCH($E714,MUSTERILER!$C$7:$C$106,0)),IFERROR(INDEX(MUSTERILER!$B$7:$B$106,MATCH($E714,MUSTERILER!$B$7:$B$106,0)),IFERROR(INDEX(MUSTERILER!$B$7:$B$106,MATCH($E714&amp;"*",MUSTERILER!$C$7:$C$106,0)),"TANIMSIZ MÜŞTERİ"))))</f>
        <v/>
      </c>
      <c r="E714" s="109" t="n"/>
      <c r="F714" s="109" t="n"/>
      <c r="G714" s="108" t="n"/>
      <c r="H714" s="225" t="n"/>
      <c r="I714" s="225" t="n"/>
      <c r="J714" s="108" t="n"/>
      <c r="K714" s="108" t="n"/>
      <c r="L714" s="109" t="n"/>
      <c r="M714" s="109" t="n"/>
      <c r="N714" s="109" t="n"/>
      <c r="O714" s="225" t="n"/>
      <c r="P714" s="232">
        <f>IF(OR($E714="",$I714=""),"",IF(OR($J714="Tamamlandı",$J714="İptal"),"",$I714-TODAY()))</f>
        <v/>
      </c>
      <c r="Q714" s="113">
        <f>IF($E714="","",IF($D714="TANIMSIZ MÜŞTERİ","HATA",IF(OR($J714="Tamamlandı",$J714="İptal"),"KAPALI",IF(AND($C714="Görüşme",$N714=""),"SONRAKİ İŞLEM EKSİK",IF($I714="","TARİH EKSİK",IF($I714&lt;TODAY(),"GECİKMİŞ",IF($I714=TODAY(),"BUGÜN",IF($I714&lt;=TODAY()+7,"7 GÜN İÇİNDE","PLANLI"))))))))</f>
        <v/>
      </c>
      <c r="R714" s="6" t="n"/>
      <c r="S714" s="6" t="n"/>
    </row>
    <row r="715">
      <c r="A715" s="6" t="n"/>
      <c r="B715" s="113">
        <f>IF($E715="","","A"&amp;TEXT(ROW()-6,"00000"))</f>
        <v/>
      </c>
      <c r="C715" s="108" t="n"/>
      <c r="D715" s="113">
        <f>IF($E715="","",IFERROR(INDEX(MUSTERILER!$B$7:$B$106,MATCH($E715,MUSTERILER!$C$7:$C$106,0)),IFERROR(INDEX(MUSTERILER!$B$7:$B$106,MATCH($E715,MUSTERILER!$B$7:$B$106,0)),IFERROR(INDEX(MUSTERILER!$B$7:$B$106,MATCH($E715&amp;"*",MUSTERILER!$C$7:$C$106,0)),"TANIMSIZ MÜŞTERİ"))))</f>
        <v/>
      </c>
      <c r="E715" s="109" t="n"/>
      <c r="F715" s="109" t="n"/>
      <c r="G715" s="108" t="n"/>
      <c r="H715" s="225" t="n"/>
      <c r="I715" s="225" t="n"/>
      <c r="J715" s="108" t="n"/>
      <c r="K715" s="108" t="n"/>
      <c r="L715" s="109" t="n"/>
      <c r="M715" s="109" t="n"/>
      <c r="N715" s="109" t="n"/>
      <c r="O715" s="225" t="n"/>
      <c r="P715" s="232">
        <f>IF(OR($E715="",$I715=""),"",IF(OR($J715="Tamamlandı",$J715="İptal"),"",$I715-TODAY()))</f>
        <v/>
      </c>
      <c r="Q715" s="113">
        <f>IF($E715="","",IF($D715="TANIMSIZ MÜŞTERİ","HATA",IF(OR($J715="Tamamlandı",$J715="İptal"),"KAPALI",IF(AND($C715="Görüşme",$N715=""),"SONRAKİ İŞLEM EKSİK",IF($I715="","TARİH EKSİK",IF($I715&lt;TODAY(),"GECİKMİŞ",IF($I715=TODAY(),"BUGÜN",IF($I715&lt;=TODAY()+7,"7 GÜN İÇİNDE","PLANLI"))))))))</f>
        <v/>
      </c>
      <c r="R715" s="6" t="n"/>
      <c r="S715" s="6" t="n"/>
    </row>
    <row r="716">
      <c r="A716" s="6" t="n"/>
      <c r="B716" s="113">
        <f>IF($E716="","","A"&amp;TEXT(ROW()-6,"00000"))</f>
        <v/>
      </c>
      <c r="C716" s="108" t="n"/>
      <c r="D716" s="113">
        <f>IF($E716="","",IFERROR(INDEX(MUSTERILER!$B$7:$B$106,MATCH($E716,MUSTERILER!$C$7:$C$106,0)),IFERROR(INDEX(MUSTERILER!$B$7:$B$106,MATCH($E716,MUSTERILER!$B$7:$B$106,0)),IFERROR(INDEX(MUSTERILER!$B$7:$B$106,MATCH($E716&amp;"*",MUSTERILER!$C$7:$C$106,0)),"TANIMSIZ MÜŞTERİ"))))</f>
        <v/>
      </c>
      <c r="E716" s="109" t="n"/>
      <c r="F716" s="109" t="n"/>
      <c r="G716" s="108" t="n"/>
      <c r="H716" s="225" t="n"/>
      <c r="I716" s="225" t="n"/>
      <c r="J716" s="108" t="n"/>
      <c r="K716" s="108" t="n"/>
      <c r="L716" s="109" t="n"/>
      <c r="M716" s="109" t="n"/>
      <c r="N716" s="109" t="n"/>
      <c r="O716" s="225" t="n"/>
      <c r="P716" s="232">
        <f>IF(OR($E716="",$I716=""),"",IF(OR($J716="Tamamlandı",$J716="İptal"),"",$I716-TODAY()))</f>
        <v/>
      </c>
      <c r="Q716" s="113">
        <f>IF($E716="","",IF($D716="TANIMSIZ MÜŞTERİ","HATA",IF(OR($J716="Tamamlandı",$J716="İptal"),"KAPALI",IF(AND($C716="Görüşme",$N716=""),"SONRAKİ İŞLEM EKSİK",IF($I716="","TARİH EKSİK",IF($I716&lt;TODAY(),"GECİKMİŞ",IF($I716=TODAY(),"BUGÜN",IF($I716&lt;=TODAY()+7,"7 GÜN İÇİNDE","PLANLI"))))))))</f>
        <v/>
      </c>
      <c r="R716" s="6" t="n"/>
      <c r="S716" s="6" t="n"/>
    </row>
    <row r="717">
      <c r="A717" s="6" t="n"/>
      <c r="B717" s="113">
        <f>IF($E717="","","A"&amp;TEXT(ROW()-6,"00000"))</f>
        <v/>
      </c>
      <c r="C717" s="108" t="n"/>
      <c r="D717" s="113">
        <f>IF($E717="","",IFERROR(INDEX(MUSTERILER!$B$7:$B$106,MATCH($E717,MUSTERILER!$C$7:$C$106,0)),IFERROR(INDEX(MUSTERILER!$B$7:$B$106,MATCH($E717,MUSTERILER!$B$7:$B$106,0)),IFERROR(INDEX(MUSTERILER!$B$7:$B$106,MATCH($E717&amp;"*",MUSTERILER!$C$7:$C$106,0)),"TANIMSIZ MÜŞTERİ"))))</f>
        <v/>
      </c>
      <c r="E717" s="109" t="n"/>
      <c r="F717" s="109" t="n"/>
      <c r="G717" s="108" t="n"/>
      <c r="H717" s="225" t="n"/>
      <c r="I717" s="225" t="n"/>
      <c r="J717" s="108" t="n"/>
      <c r="K717" s="108" t="n"/>
      <c r="L717" s="109" t="n"/>
      <c r="M717" s="109" t="n"/>
      <c r="N717" s="109" t="n"/>
      <c r="O717" s="225" t="n"/>
      <c r="P717" s="232">
        <f>IF(OR($E717="",$I717=""),"",IF(OR($J717="Tamamlandı",$J717="İptal"),"",$I717-TODAY()))</f>
        <v/>
      </c>
      <c r="Q717" s="113">
        <f>IF($E717="","",IF($D717="TANIMSIZ MÜŞTERİ","HATA",IF(OR($J717="Tamamlandı",$J717="İptal"),"KAPALI",IF(AND($C717="Görüşme",$N717=""),"SONRAKİ İŞLEM EKSİK",IF($I717="","TARİH EKSİK",IF($I717&lt;TODAY(),"GECİKMİŞ",IF($I717=TODAY(),"BUGÜN",IF($I717&lt;=TODAY()+7,"7 GÜN İÇİNDE","PLANLI"))))))))</f>
        <v/>
      </c>
      <c r="R717" s="6" t="n"/>
      <c r="S717" s="6" t="n"/>
    </row>
    <row r="718">
      <c r="A718" s="6" t="n"/>
      <c r="B718" s="113">
        <f>IF($E718="","","A"&amp;TEXT(ROW()-6,"00000"))</f>
        <v/>
      </c>
      <c r="C718" s="108" t="n"/>
      <c r="D718" s="113">
        <f>IF($E718="","",IFERROR(INDEX(MUSTERILER!$B$7:$B$106,MATCH($E718,MUSTERILER!$C$7:$C$106,0)),IFERROR(INDEX(MUSTERILER!$B$7:$B$106,MATCH($E718,MUSTERILER!$B$7:$B$106,0)),IFERROR(INDEX(MUSTERILER!$B$7:$B$106,MATCH($E718&amp;"*",MUSTERILER!$C$7:$C$106,0)),"TANIMSIZ MÜŞTERİ"))))</f>
        <v/>
      </c>
      <c r="E718" s="109" t="n"/>
      <c r="F718" s="109" t="n"/>
      <c r="G718" s="108" t="n"/>
      <c r="H718" s="225" t="n"/>
      <c r="I718" s="225" t="n"/>
      <c r="J718" s="108" t="n"/>
      <c r="K718" s="108" t="n"/>
      <c r="L718" s="109" t="n"/>
      <c r="M718" s="109" t="n"/>
      <c r="N718" s="109" t="n"/>
      <c r="O718" s="225" t="n"/>
      <c r="P718" s="232">
        <f>IF(OR($E718="",$I718=""),"",IF(OR($J718="Tamamlandı",$J718="İptal"),"",$I718-TODAY()))</f>
        <v/>
      </c>
      <c r="Q718" s="113">
        <f>IF($E718="","",IF($D718="TANIMSIZ MÜŞTERİ","HATA",IF(OR($J718="Tamamlandı",$J718="İptal"),"KAPALI",IF(AND($C718="Görüşme",$N718=""),"SONRAKİ İŞLEM EKSİK",IF($I718="","TARİH EKSİK",IF($I718&lt;TODAY(),"GECİKMİŞ",IF($I718=TODAY(),"BUGÜN",IF($I718&lt;=TODAY()+7,"7 GÜN İÇİNDE","PLANLI"))))))))</f>
        <v/>
      </c>
      <c r="R718" s="6" t="n"/>
      <c r="S718" s="6" t="n"/>
    </row>
    <row r="719">
      <c r="A719" s="6" t="n"/>
      <c r="B719" s="113">
        <f>IF($E719="","","A"&amp;TEXT(ROW()-6,"00000"))</f>
        <v/>
      </c>
      <c r="C719" s="108" t="n"/>
      <c r="D719" s="113">
        <f>IF($E719="","",IFERROR(INDEX(MUSTERILER!$B$7:$B$106,MATCH($E719,MUSTERILER!$C$7:$C$106,0)),IFERROR(INDEX(MUSTERILER!$B$7:$B$106,MATCH($E719,MUSTERILER!$B$7:$B$106,0)),IFERROR(INDEX(MUSTERILER!$B$7:$B$106,MATCH($E719&amp;"*",MUSTERILER!$C$7:$C$106,0)),"TANIMSIZ MÜŞTERİ"))))</f>
        <v/>
      </c>
      <c r="E719" s="109" t="n"/>
      <c r="F719" s="109" t="n"/>
      <c r="G719" s="108" t="n"/>
      <c r="H719" s="225" t="n"/>
      <c r="I719" s="225" t="n"/>
      <c r="J719" s="108" t="n"/>
      <c r="K719" s="108" t="n"/>
      <c r="L719" s="109" t="n"/>
      <c r="M719" s="109" t="n"/>
      <c r="N719" s="109" t="n"/>
      <c r="O719" s="225" t="n"/>
      <c r="P719" s="232">
        <f>IF(OR($E719="",$I719=""),"",IF(OR($J719="Tamamlandı",$J719="İptal"),"",$I719-TODAY()))</f>
        <v/>
      </c>
      <c r="Q719" s="113">
        <f>IF($E719="","",IF($D719="TANIMSIZ MÜŞTERİ","HATA",IF(OR($J719="Tamamlandı",$J719="İptal"),"KAPALI",IF(AND($C719="Görüşme",$N719=""),"SONRAKİ İŞLEM EKSİK",IF($I719="","TARİH EKSİK",IF($I719&lt;TODAY(),"GECİKMİŞ",IF($I719=TODAY(),"BUGÜN",IF($I719&lt;=TODAY()+7,"7 GÜN İÇİNDE","PLANLI"))))))))</f>
        <v/>
      </c>
      <c r="R719" s="6" t="n"/>
      <c r="S719" s="6" t="n"/>
    </row>
    <row r="720">
      <c r="A720" s="6" t="n"/>
      <c r="B720" s="113">
        <f>IF($E720="","","A"&amp;TEXT(ROW()-6,"00000"))</f>
        <v/>
      </c>
      <c r="C720" s="108" t="n"/>
      <c r="D720" s="113">
        <f>IF($E720="","",IFERROR(INDEX(MUSTERILER!$B$7:$B$106,MATCH($E720,MUSTERILER!$C$7:$C$106,0)),IFERROR(INDEX(MUSTERILER!$B$7:$B$106,MATCH($E720,MUSTERILER!$B$7:$B$106,0)),IFERROR(INDEX(MUSTERILER!$B$7:$B$106,MATCH($E720&amp;"*",MUSTERILER!$C$7:$C$106,0)),"TANIMSIZ MÜŞTERİ"))))</f>
        <v/>
      </c>
      <c r="E720" s="109" t="n"/>
      <c r="F720" s="109" t="n"/>
      <c r="G720" s="108" t="n"/>
      <c r="H720" s="225" t="n"/>
      <c r="I720" s="225" t="n"/>
      <c r="J720" s="108" t="n"/>
      <c r="K720" s="108" t="n"/>
      <c r="L720" s="109" t="n"/>
      <c r="M720" s="109" t="n"/>
      <c r="N720" s="109" t="n"/>
      <c r="O720" s="225" t="n"/>
      <c r="P720" s="232">
        <f>IF(OR($E720="",$I720=""),"",IF(OR($J720="Tamamlandı",$J720="İptal"),"",$I720-TODAY()))</f>
        <v/>
      </c>
      <c r="Q720" s="113">
        <f>IF($E720="","",IF($D720="TANIMSIZ MÜŞTERİ","HATA",IF(OR($J720="Tamamlandı",$J720="İptal"),"KAPALI",IF(AND($C720="Görüşme",$N720=""),"SONRAKİ İŞLEM EKSİK",IF($I720="","TARİH EKSİK",IF($I720&lt;TODAY(),"GECİKMİŞ",IF($I720=TODAY(),"BUGÜN",IF($I720&lt;=TODAY()+7,"7 GÜN İÇİNDE","PLANLI"))))))))</f>
        <v/>
      </c>
      <c r="R720" s="6" t="n"/>
      <c r="S720" s="6" t="n"/>
    </row>
    <row r="721">
      <c r="A721" s="6" t="n"/>
      <c r="B721" s="113">
        <f>IF($E721="","","A"&amp;TEXT(ROW()-6,"00000"))</f>
        <v/>
      </c>
      <c r="C721" s="108" t="n"/>
      <c r="D721" s="113">
        <f>IF($E721="","",IFERROR(INDEX(MUSTERILER!$B$7:$B$106,MATCH($E721,MUSTERILER!$C$7:$C$106,0)),IFERROR(INDEX(MUSTERILER!$B$7:$B$106,MATCH($E721,MUSTERILER!$B$7:$B$106,0)),IFERROR(INDEX(MUSTERILER!$B$7:$B$106,MATCH($E721&amp;"*",MUSTERILER!$C$7:$C$106,0)),"TANIMSIZ MÜŞTERİ"))))</f>
        <v/>
      </c>
      <c r="E721" s="109" t="n"/>
      <c r="F721" s="109" t="n"/>
      <c r="G721" s="108" t="n"/>
      <c r="H721" s="225" t="n"/>
      <c r="I721" s="225" t="n"/>
      <c r="J721" s="108" t="n"/>
      <c r="K721" s="108" t="n"/>
      <c r="L721" s="109" t="n"/>
      <c r="M721" s="109" t="n"/>
      <c r="N721" s="109" t="n"/>
      <c r="O721" s="225" t="n"/>
      <c r="P721" s="232">
        <f>IF(OR($E721="",$I721=""),"",IF(OR($J721="Tamamlandı",$J721="İptal"),"",$I721-TODAY()))</f>
        <v/>
      </c>
      <c r="Q721" s="113">
        <f>IF($E721="","",IF($D721="TANIMSIZ MÜŞTERİ","HATA",IF(OR($J721="Tamamlandı",$J721="İptal"),"KAPALI",IF(AND($C721="Görüşme",$N721=""),"SONRAKİ İŞLEM EKSİK",IF($I721="","TARİH EKSİK",IF($I721&lt;TODAY(),"GECİKMİŞ",IF($I721=TODAY(),"BUGÜN",IF($I721&lt;=TODAY()+7,"7 GÜN İÇİNDE","PLANLI"))))))))</f>
        <v/>
      </c>
      <c r="R721" s="6" t="n"/>
      <c r="S721" s="6" t="n"/>
    </row>
    <row r="722">
      <c r="A722" s="6" t="n"/>
      <c r="B722" s="113">
        <f>IF($E722="","","A"&amp;TEXT(ROW()-6,"00000"))</f>
        <v/>
      </c>
      <c r="C722" s="108" t="n"/>
      <c r="D722" s="113">
        <f>IF($E722="","",IFERROR(INDEX(MUSTERILER!$B$7:$B$106,MATCH($E722,MUSTERILER!$C$7:$C$106,0)),IFERROR(INDEX(MUSTERILER!$B$7:$B$106,MATCH($E722,MUSTERILER!$B$7:$B$106,0)),IFERROR(INDEX(MUSTERILER!$B$7:$B$106,MATCH($E722&amp;"*",MUSTERILER!$C$7:$C$106,0)),"TANIMSIZ MÜŞTERİ"))))</f>
        <v/>
      </c>
      <c r="E722" s="109" t="n"/>
      <c r="F722" s="109" t="n"/>
      <c r="G722" s="108" t="n"/>
      <c r="H722" s="225" t="n"/>
      <c r="I722" s="225" t="n"/>
      <c r="J722" s="108" t="n"/>
      <c r="K722" s="108" t="n"/>
      <c r="L722" s="109" t="n"/>
      <c r="M722" s="109" t="n"/>
      <c r="N722" s="109" t="n"/>
      <c r="O722" s="225" t="n"/>
      <c r="P722" s="232">
        <f>IF(OR($E722="",$I722=""),"",IF(OR($J722="Tamamlandı",$J722="İptal"),"",$I722-TODAY()))</f>
        <v/>
      </c>
      <c r="Q722" s="113">
        <f>IF($E722="","",IF($D722="TANIMSIZ MÜŞTERİ","HATA",IF(OR($J722="Tamamlandı",$J722="İptal"),"KAPALI",IF(AND($C722="Görüşme",$N722=""),"SONRAKİ İŞLEM EKSİK",IF($I722="","TARİH EKSİK",IF($I722&lt;TODAY(),"GECİKMİŞ",IF($I722=TODAY(),"BUGÜN",IF($I722&lt;=TODAY()+7,"7 GÜN İÇİNDE","PLANLI"))))))))</f>
        <v/>
      </c>
      <c r="R722" s="6" t="n"/>
      <c r="S722" s="6" t="n"/>
    </row>
    <row r="723">
      <c r="A723" s="6" t="n"/>
      <c r="B723" s="113">
        <f>IF($E723="","","A"&amp;TEXT(ROW()-6,"00000"))</f>
        <v/>
      </c>
      <c r="C723" s="108" t="n"/>
      <c r="D723" s="113">
        <f>IF($E723="","",IFERROR(INDEX(MUSTERILER!$B$7:$B$106,MATCH($E723,MUSTERILER!$C$7:$C$106,0)),IFERROR(INDEX(MUSTERILER!$B$7:$B$106,MATCH($E723,MUSTERILER!$B$7:$B$106,0)),IFERROR(INDEX(MUSTERILER!$B$7:$B$106,MATCH($E723&amp;"*",MUSTERILER!$C$7:$C$106,0)),"TANIMSIZ MÜŞTERİ"))))</f>
        <v/>
      </c>
      <c r="E723" s="109" t="n"/>
      <c r="F723" s="109" t="n"/>
      <c r="G723" s="108" t="n"/>
      <c r="H723" s="225" t="n"/>
      <c r="I723" s="225" t="n"/>
      <c r="J723" s="108" t="n"/>
      <c r="K723" s="108" t="n"/>
      <c r="L723" s="109" t="n"/>
      <c r="M723" s="109" t="n"/>
      <c r="N723" s="109" t="n"/>
      <c r="O723" s="225" t="n"/>
      <c r="P723" s="232">
        <f>IF(OR($E723="",$I723=""),"",IF(OR($J723="Tamamlandı",$J723="İptal"),"",$I723-TODAY()))</f>
        <v/>
      </c>
      <c r="Q723" s="113">
        <f>IF($E723="","",IF($D723="TANIMSIZ MÜŞTERİ","HATA",IF(OR($J723="Tamamlandı",$J723="İptal"),"KAPALI",IF(AND($C723="Görüşme",$N723=""),"SONRAKİ İŞLEM EKSİK",IF($I723="","TARİH EKSİK",IF($I723&lt;TODAY(),"GECİKMİŞ",IF($I723=TODAY(),"BUGÜN",IF($I723&lt;=TODAY()+7,"7 GÜN İÇİNDE","PLANLI"))))))))</f>
        <v/>
      </c>
      <c r="R723" s="6" t="n"/>
      <c r="S723" s="6" t="n"/>
    </row>
    <row r="724">
      <c r="A724" s="6" t="n"/>
      <c r="B724" s="113">
        <f>IF($E724="","","A"&amp;TEXT(ROW()-6,"00000"))</f>
        <v/>
      </c>
      <c r="C724" s="108" t="n"/>
      <c r="D724" s="113">
        <f>IF($E724="","",IFERROR(INDEX(MUSTERILER!$B$7:$B$106,MATCH($E724,MUSTERILER!$C$7:$C$106,0)),IFERROR(INDEX(MUSTERILER!$B$7:$B$106,MATCH($E724,MUSTERILER!$B$7:$B$106,0)),IFERROR(INDEX(MUSTERILER!$B$7:$B$106,MATCH($E724&amp;"*",MUSTERILER!$C$7:$C$106,0)),"TANIMSIZ MÜŞTERİ"))))</f>
        <v/>
      </c>
      <c r="E724" s="109" t="n"/>
      <c r="F724" s="109" t="n"/>
      <c r="G724" s="108" t="n"/>
      <c r="H724" s="225" t="n"/>
      <c r="I724" s="225" t="n"/>
      <c r="J724" s="108" t="n"/>
      <c r="K724" s="108" t="n"/>
      <c r="L724" s="109" t="n"/>
      <c r="M724" s="109" t="n"/>
      <c r="N724" s="109" t="n"/>
      <c r="O724" s="225" t="n"/>
      <c r="P724" s="232">
        <f>IF(OR($E724="",$I724=""),"",IF(OR($J724="Tamamlandı",$J724="İptal"),"",$I724-TODAY()))</f>
        <v/>
      </c>
      <c r="Q724" s="113">
        <f>IF($E724="","",IF($D724="TANIMSIZ MÜŞTERİ","HATA",IF(OR($J724="Tamamlandı",$J724="İptal"),"KAPALI",IF(AND($C724="Görüşme",$N724=""),"SONRAKİ İŞLEM EKSİK",IF($I724="","TARİH EKSİK",IF($I724&lt;TODAY(),"GECİKMİŞ",IF($I724=TODAY(),"BUGÜN",IF($I724&lt;=TODAY()+7,"7 GÜN İÇİNDE","PLANLI"))))))))</f>
        <v/>
      </c>
      <c r="R724" s="6" t="n"/>
      <c r="S724" s="6" t="n"/>
    </row>
    <row r="725">
      <c r="A725" s="6" t="n"/>
      <c r="B725" s="113">
        <f>IF($E725="","","A"&amp;TEXT(ROW()-6,"00000"))</f>
        <v/>
      </c>
      <c r="C725" s="108" t="n"/>
      <c r="D725" s="113">
        <f>IF($E725="","",IFERROR(INDEX(MUSTERILER!$B$7:$B$106,MATCH($E725,MUSTERILER!$C$7:$C$106,0)),IFERROR(INDEX(MUSTERILER!$B$7:$B$106,MATCH($E725,MUSTERILER!$B$7:$B$106,0)),IFERROR(INDEX(MUSTERILER!$B$7:$B$106,MATCH($E725&amp;"*",MUSTERILER!$C$7:$C$106,0)),"TANIMSIZ MÜŞTERİ"))))</f>
        <v/>
      </c>
      <c r="E725" s="109" t="n"/>
      <c r="F725" s="109" t="n"/>
      <c r="G725" s="108" t="n"/>
      <c r="H725" s="225" t="n"/>
      <c r="I725" s="225" t="n"/>
      <c r="J725" s="108" t="n"/>
      <c r="K725" s="108" t="n"/>
      <c r="L725" s="109" t="n"/>
      <c r="M725" s="109" t="n"/>
      <c r="N725" s="109" t="n"/>
      <c r="O725" s="225" t="n"/>
      <c r="P725" s="232">
        <f>IF(OR($E725="",$I725=""),"",IF(OR($J725="Tamamlandı",$J725="İptal"),"",$I725-TODAY()))</f>
        <v/>
      </c>
      <c r="Q725" s="113">
        <f>IF($E725="","",IF($D725="TANIMSIZ MÜŞTERİ","HATA",IF(OR($J725="Tamamlandı",$J725="İptal"),"KAPALI",IF(AND($C725="Görüşme",$N725=""),"SONRAKİ İŞLEM EKSİK",IF($I725="","TARİH EKSİK",IF($I725&lt;TODAY(),"GECİKMİŞ",IF($I725=TODAY(),"BUGÜN",IF($I725&lt;=TODAY()+7,"7 GÜN İÇİNDE","PLANLI"))))))))</f>
        <v/>
      </c>
      <c r="R725" s="6" t="n"/>
      <c r="S725" s="6" t="n"/>
    </row>
    <row r="726">
      <c r="A726" s="6" t="n"/>
      <c r="B726" s="113">
        <f>IF($E726="","","A"&amp;TEXT(ROW()-6,"00000"))</f>
        <v/>
      </c>
      <c r="C726" s="108" t="n"/>
      <c r="D726" s="113">
        <f>IF($E726="","",IFERROR(INDEX(MUSTERILER!$B$7:$B$106,MATCH($E726,MUSTERILER!$C$7:$C$106,0)),IFERROR(INDEX(MUSTERILER!$B$7:$B$106,MATCH($E726,MUSTERILER!$B$7:$B$106,0)),IFERROR(INDEX(MUSTERILER!$B$7:$B$106,MATCH($E726&amp;"*",MUSTERILER!$C$7:$C$106,0)),"TANIMSIZ MÜŞTERİ"))))</f>
        <v/>
      </c>
      <c r="E726" s="109" t="n"/>
      <c r="F726" s="109" t="n"/>
      <c r="G726" s="108" t="n"/>
      <c r="H726" s="225" t="n"/>
      <c r="I726" s="225" t="n"/>
      <c r="J726" s="108" t="n"/>
      <c r="K726" s="108" t="n"/>
      <c r="L726" s="109" t="n"/>
      <c r="M726" s="109" t="n"/>
      <c r="N726" s="109" t="n"/>
      <c r="O726" s="225" t="n"/>
      <c r="P726" s="232">
        <f>IF(OR($E726="",$I726=""),"",IF(OR($J726="Tamamlandı",$J726="İptal"),"",$I726-TODAY()))</f>
        <v/>
      </c>
      <c r="Q726" s="113">
        <f>IF($E726="","",IF($D726="TANIMSIZ MÜŞTERİ","HATA",IF(OR($J726="Tamamlandı",$J726="İptal"),"KAPALI",IF(AND($C726="Görüşme",$N726=""),"SONRAKİ İŞLEM EKSİK",IF($I726="","TARİH EKSİK",IF($I726&lt;TODAY(),"GECİKMİŞ",IF($I726=TODAY(),"BUGÜN",IF($I726&lt;=TODAY()+7,"7 GÜN İÇİNDE","PLANLI"))))))))</f>
        <v/>
      </c>
      <c r="R726" s="6" t="n"/>
      <c r="S726" s="6" t="n"/>
    </row>
    <row r="727">
      <c r="A727" s="6" t="n"/>
      <c r="B727" s="113">
        <f>IF($E727="","","A"&amp;TEXT(ROW()-6,"00000"))</f>
        <v/>
      </c>
      <c r="C727" s="108" t="n"/>
      <c r="D727" s="113">
        <f>IF($E727="","",IFERROR(INDEX(MUSTERILER!$B$7:$B$106,MATCH($E727,MUSTERILER!$C$7:$C$106,0)),IFERROR(INDEX(MUSTERILER!$B$7:$B$106,MATCH($E727,MUSTERILER!$B$7:$B$106,0)),IFERROR(INDEX(MUSTERILER!$B$7:$B$106,MATCH($E727&amp;"*",MUSTERILER!$C$7:$C$106,0)),"TANIMSIZ MÜŞTERİ"))))</f>
        <v/>
      </c>
      <c r="E727" s="109" t="n"/>
      <c r="F727" s="109" t="n"/>
      <c r="G727" s="108" t="n"/>
      <c r="H727" s="225" t="n"/>
      <c r="I727" s="225" t="n"/>
      <c r="J727" s="108" t="n"/>
      <c r="K727" s="108" t="n"/>
      <c r="L727" s="109" t="n"/>
      <c r="M727" s="109" t="n"/>
      <c r="N727" s="109" t="n"/>
      <c r="O727" s="225" t="n"/>
      <c r="P727" s="232">
        <f>IF(OR($E727="",$I727=""),"",IF(OR($J727="Tamamlandı",$J727="İptal"),"",$I727-TODAY()))</f>
        <v/>
      </c>
      <c r="Q727" s="113">
        <f>IF($E727="","",IF($D727="TANIMSIZ MÜŞTERİ","HATA",IF(OR($J727="Tamamlandı",$J727="İptal"),"KAPALI",IF(AND($C727="Görüşme",$N727=""),"SONRAKİ İŞLEM EKSİK",IF($I727="","TARİH EKSİK",IF($I727&lt;TODAY(),"GECİKMİŞ",IF($I727=TODAY(),"BUGÜN",IF($I727&lt;=TODAY()+7,"7 GÜN İÇİNDE","PLANLI"))))))))</f>
        <v/>
      </c>
      <c r="R727" s="6" t="n"/>
      <c r="S727" s="6" t="n"/>
    </row>
    <row r="728">
      <c r="A728" s="6" t="n"/>
      <c r="B728" s="113">
        <f>IF($E728="","","A"&amp;TEXT(ROW()-6,"00000"))</f>
        <v/>
      </c>
      <c r="C728" s="108" t="n"/>
      <c r="D728" s="113">
        <f>IF($E728="","",IFERROR(INDEX(MUSTERILER!$B$7:$B$106,MATCH($E728,MUSTERILER!$C$7:$C$106,0)),IFERROR(INDEX(MUSTERILER!$B$7:$B$106,MATCH($E728,MUSTERILER!$B$7:$B$106,0)),IFERROR(INDEX(MUSTERILER!$B$7:$B$106,MATCH($E728&amp;"*",MUSTERILER!$C$7:$C$106,0)),"TANIMSIZ MÜŞTERİ"))))</f>
        <v/>
      </c>
      <c r="E728" s="109" t="n"/>
      <c r="F728" s="109" t="n"/>
      <c r="G728" s="108" t="n"/>
      <c r="H728" s="225" t="n"/>
      <c r="I728" s="225" t="n"/>
      <c r="J728" s="108" t="n"/>
      <c r="K728" s="108" t="n"/>
      <c r="L728" s="109" t="n"/>
      <c r="M728" s="109" t="n"/>
      <c r="N728" s="109" t="n"/>
      <c r="O728" s="225" t="n"/>
      <c r="P728" s="232">
        <f>IF(OR($E728="",$I728=""),"",IF(OR($J728="Tamamlandı",$J728="İptal"),"",$I728-TODAY()))</f>
        <v/>
      </c>
      <c r="Q728" s="113">
        <f>IF($E728="","",IF($D728="TANIMSIZ MÜŞTERİ","HATA",IF(OR($J728="Tamamlandı",$J728="İptal"),"KAPALI",IF(AND($C728="Görüşme",$N728=""),"SONRAKİ İŞLEM EKSİK",IF($I728="","TARİH EKSİK",IF($I728&lt;TODAY(),"GECİKMİŞ",IF($I728=TODAY(),"BUGÜN",IF($I728&lt;=TODAY()+7,"7 GÜN İÇİNDE","PLANLI"))))))))</f>
        <v/>
      </c>
      <c r="R728" s="6" t="n"/>
      <c r="S728" s="6" t="n"/>
    </row>
    <row r="729">
      <c r="A729" s="6" t="n"/>
      <c r="B729" s="113">
        <f>IF($E729="","","A"&amp;TEXT(ROW()-6,"00000"))</f>
        <v/>
      </c>
      <c r="C729" s="108" t="n"/>
      <c r="D729" s="113">
        <f>IF($E729="","",IFERROR(INDEX(MUSTERILER!$B$7:$B$106,MATCH($E729,MUSTERILER!$C$7:$C$106,0)),IFERROR(INDEX(MUSTERILER!$B$7:$B$106,MATCH($E729,MUSTERILER!$B$7:$B$106,0)),IFERROR(INDEX(MUSTERILER!$B$7:$B$106,MATCH($E729&amp;"*",MUSTERILER!$C$7:$C$106,0)),"TANIMSIZ MÜŞTERİ"))))</f>
        <v/>
      </c>
      <c r="E729" s="109" t="n"/>
      <c r="F729" s="109" t="n"/>
      <c r="G729" s="108" t="n"/>
      <c r="H729" s="225" t="n"/>
      <c r="I729" s="225" t="n"/>
      <c r="J729" s="108" t="n"/>
      <c r="K729" s="108" t="n"/>
      <c r="L729" s="109" t="n"/>
      <c r="M729" s="109" t="n"/>
      <c r="N729" s="109" t="n"/>
      <c r="O729" s="225" t="n"/>
      <c r="P729" s="232">
        <f>IF(OR($E729="",$I729=""),"",IF(OR($J729="Tamamlandı",$J729="İptal"),"",$I729-TODAY()))</f>
        <v/>
      </c>
      <c r="Q729" s="113">
        <f>IF($E729="","",IF($D729="TANIMSIZ MÜŞTERİ","HATA",IF(OR($J729="Tamamlandı",$J729="İptal"),"KAPALI",IF(AND($C729="Görüşme",$N729=""),"SONRAKİ İŞLEM EKSİK",IF($I729="","TARİH EKSİK",IF($I729&lt;TODAY(),"GECİKMİŞ",IF($I729=TODAY(),"BUGÜN",IF($I729&lt;=TODAY()+7,"7 GÜN İÇİNDE","PLANLI"))))))))</f>
        <v/>
      </c>
      <c r="R729" s="6" t="n"/>
      <c r="S729" s="6" t="n"/>
    </row>
    <row r="730">
      <c r="A730" s="6" t="n"/>
      <c r="B730" s="113">
        <f>IF($E730="","","A"&amp;TEXT(ROW()-6,"00000"))</f>
        <v/>
      </c>
      <c r="C730" s="108" t="n"/>
      <c r="D730" s="113">
        <f>IF($E730="","",IFERROR(INDEX(MUSTERILER!$B$7:$B$106,MATCH($E730,MUSTERILER!$C$7:$C$106,0)),IFERROR(INDEX(MUSTERILER!$B$7:$B$106,MATCH($E730,MUSTERILER!$B$7:$B$106,0)),IFERROR(INDEX(MUSTERILER!$B$7:$B$106,MATCH($E730&amp;"*",MUSTERILER!$C$7:$C$106,0)),"TANIMSIZ MÜŞTERİ"))))</f>
        <v/>
      </c>
      <c r="E730" s="109" t="n"/>
      <c r="F730" s="109" t="n"/>
      <c r="G730" s="108" t="n"/>
      <c r="H730" s="225" t="n"/>
      <c r="I730" s="225" t="n"/>
      <c r="J730" s="108" t="n"/>
      <c r="K730" s="108" t="n"/>
      <c r="L730" s="109" t="n"/>
      <c r="M730" s="109" t="n"/>
      <c r="N730" s="109" t="n"/>
      <c r="O730" s="225" t="n"/>
      <c r="P730" s="232">
        <f>IF(OR($E730="",$I730=""),"",IF(OR($J730="Tamamlandı",$J730="İptal"),"",$I730-TODAY()))</f>
        <v/>
      </c>
      <c r="Q730" s="113">
        <f>IF($E730="","",IF($D730="TANIMSIZ MÜŞTERİ","HATA",IF(OR($J730="Tamamlandı",$J730="İptal"),"KAPALI",IF(AND($C730="Görüşme",$N730=""),"SONRAKİ İŞLEM EKSİK",IF($I730="","TARİH EKSİK",IF($I730&lt;TODAY(),"GECİKMİŞ",IF($I730=TODAY(),"BUGÜN",IF($I730&lt;=TODAY()+7,"7 GÜN İÇİNDE","PLANLI"))))))))</f>
        <v/>
      </c>
      <c r="R730" s="6" t="n"/>
      <c r="S730" s="6" t="n"/>
    </row>
    <row r="731">
      <c r="A731" s="6" t="n"/>
      <c r="B731" s="113">
        <f>IF($E731="","","A"&amp;TEXT(ROW()-6,"00000"))</f>
        <v/>
      </c>
      <c r="C731" s="108" t="n"/>
      <c r="D731" s="113">
        <f>IF($E731="","",IFERROR(INDEX(MUSTERILER!$B$7:$B$106,MATCH($E731,MUSTERILER!$C$7:$C$106,0)),IFERROR(INDEX(MUSTERILER!$B$7:$B$106,MATCH($E731,MUSTERILER!$B$7:$B$106,0)),IFERROR(INDEX(MUSTERILER!$B$7:$B$106,MATCH($E731&amp;"*",MUSTERILER!$C$7:$C$106,0)),"TANIMSIZ MÜŞTERİ"))))</f>
        <v/>
      </c>
      <c r="E731" s="109" t="n"/>
      <c r="F731" s="109" t="n"/>
      <c r="G731" s="108" t="n"/>
      <c r="H731" s="225" t="n"/>
      <c r="I731" s="225" t="n"/>
      <c r="J731" s="108" t="n"/>
      <c r="K731" s="108" t="n"/>
      <c r="L731" s="109" t="n"/>
      <c r="M731" s="109" t="n"/>
      <c r="N731" s="109" t="n"/>
      <c r="O731" s="225" t="n"/>
      <c r="P731" s="232">
        <f>IF(OR($E731="",$I731=""),"",IF(OR($J731="Tamamlandı",$J731="İptal"),"",$I731-TODAY()))</f>
        <v/>
      </c>
      <c r="Q731" s="113">
        <f>IF($E731="","",IF($D731="TANIMSIZ MÜŞTERİ","HATA",IF(OR($J731="Tamamlandı",$J731="İptal"),"KAPALI",IF(AND($C731="Görüşme",$N731=""),"SONRAKİ İŞLEM EKSİK",IF($I731="","TARİH EKSİK",IF($I731&lt;TODAY(),"GECİKMİŞ",IF($I731=TODAY(),"BUGÜN",IF($I731&lt;=TODAY()+7,"7 GÜN İÇİNDE","PLANLI"))))))))</f>
        <v/>
      </c>
      <c r="R731" s="6" t="n"/>
      <c r="S731" s="6" t="n"/>
    </row>
    <row r="732">
      <c r="A732" s="6" t="n"/>
      <c r="B732" s="113">
        <f>IF($E732="","","A"&amp;TEXT(ROW()-6,"00000"))</f>
        <v/>
      </c>
      <c r="C732" s="108" t="n"/>
      <c r="D732" s="113">
        <f>IF($E732="","",IFERROR(INDEX(MUSTERILER!$B$7:$B$106,MATCH($E732,MUSTERILER!$C$7:$C$106,0)),IFERROR(INDEX(MUSTERILER!$B$7:$B$106,MATCH($E732,MUSTERILER!$B$7:$B$106,0)),IFERROR(INDEX(MUSTERILER!$B$7:$B$106,MATCH($E732&amp;"*",MUSTERILER!$C$7:$C$106,0)),"TANIMSIZ MÜŞTERİ"))))</f>
        <v/>
      </c>
      <c r="E732" s="109" t="n"/>
      <c r="F732" s="109" t="n"/>
      <c r="G732" s="108" t="n"/>
      <c r="H732" s="225" t="n"/>
      <c r="I732" s="225" t="n"/>
      <c r="J732" s="108" t="n"/>
      <c r="K732" s="108" t="n"/>
      <c r="L732" s="109" t="n"/>
      <c r="M732" s="109" t="n"/>
      <c r="N732" s="109" t="n"/>
      <c r="O732" s="225" t="n"/>
      <c r="P732" s="232">
        <f>IF(OR($E732="",$I732=""),"",IF(OR($J732="Tamamlandı",$J732="İptal"),"",$I732-TODAY()))</f>
        <v/>
      </c>
      <c r="Q732" s="113">
        <f>IF($E732="","",IF($D732="TANIMSIZ MÜŞTERİ","HATA",IF(OR($J732="Tamamlandı",$J732="İptal"),"KAPALI",IF(AND($C732="Görüşme",$N732=""),"SONRAKİ İŞLEM EKSİK",IF($I732="","TARİH EKSİK",IF($I732&lt;TODAY(),"GECİKMİŞ",IF($I732=TODAY(),"BUGÜN",IF($I732&lt;=TODAY()+7,"7 GÜN İÇİNDE","PLANLI"))))))))</f>
        <v/>
      </c>
      <c r="R732" s="6" t="n"/>
      <c r="S732" s="6" t="n"/>
    </row>
    <row r="733">
      <c r="A733" s="6" t="n"/>
      <c r="B733" s="113">
        <f>IF($E733="","","A"&amp;TEXT(ROW()-6,"00000"))</f>
        <v/>
      </c>
      <c r="C733" s="108" t="n"/>
      <c r="D733" s="113">
        <f>IF($E733="","",IFERROR(INDEX(MUSTERILER!$B$7:$B$106,MATCH($E733,MUSTERILER!$C$7:$C$106,0)),IFERROR(INDEX(MUSTERILER!$B$7:$B$106,MATCH($E733,MUSTERILER!$B$7:$B$106,0)),IFERROR(INDEX(MUSTERILER!$B$7:$B$106,MATCH($E733&amp;"*",MUSTERILER!$C$7:$C$106,0)),"TANIMSIZ MÜŞTERİ"))))</f>
        <v/>
      </c>
      <c r="E733" s="109" t="n"/>
      <c r="F733" s="109" t="n"/>
      <c r="G733" s="108" t="n"/>
      <c r="H733" s="225" t="n"/>
      <c r="I733" s="225" t="n"/>
      <c r="J733" s="108" t="n"/>
      <c r="K733" s="108" t="n"/>
      <c r="L733" s="109" t="n"/>
      <c r="M733" s="109" t="n"/>
      <c r="N733" s="109" t="n"/>
      <c r="O733" s="225" t="n"/>
      <c r="P733" s="232">
        <f>IF(OR($E733="",$I733=""),"",IF(OR($J733="Tamamlandı",$J733="İptal"),"",$I733-TODAY()))</f>
        <v/>
      </c>
      <c r="Q733" s="113">
        <f>IF($E733="","",IF($D733="TANIMSIZ MÜŞTERİ","HATA",IF(OR($J733="Tamamlandı",$J733="İptal"),"KAPALI",IF(AND($C733="Görüşme",$N733=""),"SONRAKİ İŞLEM EKSİK",IF($I733="","TARİH EKSİK",IF($I733&lt;TODAY(),"GECİKMİŞ",IF($I733=TODAY(),"BUGÜN",IF($I733&lt;=TODAY()+7,"7 GÜN İÇİNDE","PLANLI"))))))))</f>
        <v/>
      </c>
      <c r="R733" s="6" t="n"/>
      <c r="S733" s="6" t="n"/>
    </row>
    <row r="734">
      <c r="A734" s="6" t="n"/>
      <c r="B734" s="113">
        <f>IF($E734="","","A"&amp;TEXT(ROW()-6,"00000"))</f>
        <v/>
      </c>
      <c r="C734" s="108" t="n"/>
      <c r="D734" s="113">
        <f>IF($E734="","",IFERROR(INDEX(MUSTERILER!$B$7:$B$106,MATCH($E734,MUSTERILER!$C$7:$C$106,0)),IFERROR(INDEX(MUSTERILER!$B$7:$B$106,MATCH($E734,MUSTERILER!$B$7:$B$106,0)),IFERROR(INDEX(MUSTERILER!$B$7:$B$106,MATCH($E734&amp;"*",MUSTERILER!$C$7:$C$106,0)),"TANIMSIZ MÜŞTERİ"))))</f>
        <v/>
      </c>
      <c r="E734" s="109" t="n"/>
      <c r="F734" s="109" t="n"/>
      <c r="G734" s="108" t="n"/>
      <c r="H734" s="225" t="n"/>
      <c r="I734" s="225" t="n"/>
      <c r="J734" s="108" t="n"/>
      <c r="K734" s="108" t="n"/>
      <c r="L734" s="109" t="n"/>
      <c r="M734" s="109" t="n"/>
      <c r="N734" s="109" t="n"/>
      <c r="O734" s="225" t="n"/>
      <c r="P734" s="232">
        <f>IF(OR($E734="",$I734=""),"",IF(OR($J734="Tamamlandı",$J734="İptal"),"",$I734-TODAY()))</f>
        <v/>
      </c>
      <c r="Q734" s="113">
        <f>IF($E734="","",IF($D734="TANIMSIZ MÜŞTERİ","HATA",IF(OR($J734="Tamamlandı",$J734="İptal"),"KAPALI",IF(AND($C734="Görüşme",$N734=""),"SONRAKİ İŞLEM EKSİK",IF($I734="","TARİH EKSİK",IF($I734&lt;TODAY(),"GECİKMİŞ",IF($I734=TODAY(),"BUGÜN",IF($I734&lt;=TODAY()+7,"7 GÜN İÇİNDE","PLANLI"))))))))</f>
        <v/>
      </c>
      <c r="R734" s="6" t="n"/>
      <c r="S734" s="6" t="n"/>
    </row>
    <row r="735">
      <c r="A735" s="6" t="n"/>
      <c r="B735" s="113">
        <f>IF($E735="","","A"&amp;TEXT(ROW()-6,"00000"))</f>
        <v/>
      </c>
      <c r="C735" s="108" t="n"/>
      <c r="D735" s="113">
        <f>IF($E735="","",IFERROR(INDEX(MUSTERILER!$B$7:$B$106,MATCH($E735,MUSTERILER!$C$7:$C$106,0)),IFERROR(INDEX(MUSTERILER!$B$7:$B$106,MATCH($E735,MUSTERILER!$B$7:$B$106,0)),IFERROR(INDEX(MUSTERILER!$B$7:$B$106,MATCH($E735&amp;"*",MUSTERILER!$C$7:$C$106,0)),"TANIMSIZ MÜŞTERİ"))))</f>
        <v/>
      </c>
      <c r="E735" s="109" t="n"/>
      <c r="F735" s="109" t="n"/>
      <c r="G735" s="108" t="n"/>
      <c r="H735" s="225" t="n"/>
      <c r="I735" s="225" t="n"/>
      <c r="J735" s="108" t="n"/>
      <c r="K735" s="108" t="n"/>
      <c r="L735" s="109" t="n"/>
      <c r="M735" s="109" t="n"/>
      <c r="N735" s="109" t="n"/>
      <c r="O735" s="225" t="n"/>
      <c r="P735" s="232">
        <f>IF(OR($E735="",$I735=""),"",IF(OR($J735="Tamamlandı",$J735="İptal"),"",$I735-TODAY()))</f>
        <v/>
      </c>
      <c r="Q735" s="113">
        <f>IF($E735="","",IF($D735="TANIMSIZ MÜŞTERİ","HATA",IF(OR($J735="Tamamlandı",$J735="İptal"),"KAPALI",IF(AND($C735="Görüşme",$N735=""),"SONRAKİ İŞLEM EKSİK",IF($I735="","TARİH EKSİK",IF($I735&lt;TODAY(),"GECİKMİŞ",IF($I735=TODAY(),"BUGÜN",IF($I735&lt;=TODAY()+7,"7 GÜN İÇİNDE","PLANLI"))))))))</f>
        <v/>
      </c>
      <c r="R735" s="6" t="n"/>
      <c r="S735" s="6" t="n"/>
    </row>
    <row r="736">
      <c r="A736" s="6" t="n"/>
      <c r="B736" s="113">
        <f>IF($E736="","","A"&amp;TEXT(ROW()-6,"00000"))</f>
        <v/>
      </c>
      <c r="C736" s="108" t="n"/>
      <c r="D736" s="113">
        <f>IF($E736="","",IFERROR(INDEX(MUSTERILER!$B$7:$B$106,MATCH($E736,MUSTERILER!$C$7:$C$106,0)),IFERROR(INDEX(MUSTERILER!$B$7:$B$106,MATCH($E736,MUSTERILER!$B$7:$B$106,0)),IFERROR(INDEX(MUSTERILER!$B$7:$B$106,MATCH($E736&amp;"*",MUSTERILER!$C$7:$C$106,0)),"TANIMSIZ MÜŞTERİ"))))</f>
        <v/>
      </c>
      <c r="E736" s="109" t="n"/>
      <c r="F736" s="109" t="n"/>
      <c r="G736" s="108" t="n"/>
      <c r="H736" s="225" t="n"/>
      <c r="I736" s="225" t="n"/>
      <c r="J736" s="108" t="n"/>
      <c r="K736" s="108" t="n"/>
      <c r="L736" s="109" t="n"/>
      <c r="M736" s="109" t="n"/>
      <c r="N736" s="109" t="n"/>
      <c r="O736" s="225" t="n"/>
      <c r="P736" s="232">
        <f>IF(OR($E736="",$I736=""),"",IF(OR($J736="Tamamlandı",$J736="İptal"),"",$I736-TODAY()))</f>
        <v/>
      </c>
      <c r="Q736" s="113">
        <f>IF($E736="","",IF($D736="TANIMSIZ MÜŞTERİ","HATA",IF(OR($J736="Tamamlandı",$J736="İptal"),"KAPALI",IF(AND($C736="Görüşme",$N736=""),"SONRAKİ İŞLEM EKSİK",IF($I736="","TARİH EKSİK",IF($I736&lt;TODAY(),"GECİKMİŞ",IF($I736=TODAY(),"BUGÜN",IF($I736&lt;=TODAY()+7,"7 GÜN İÇİNDE","PLANLI"))))))))</f>
        <v/>
      </c>
      <c r="R736" s="6" t="n"/>
      <c r="S736" s="6" t="n"/>
    </row>
    <row r="737">
      <c r="A737" s="6" t="n"/>
      <c r="B737" s="113">
        <f>IF($E737="","","A"&amp;TEXT(ROW()-6,"00000"))</f>
        <v/>
      </c>
      <c r="C737" s="108" t="n"/>
      <c r="D737" s="113">
        <f>IF($E737="","",IFERROR(INDEX(MUSTERILER!$B$7:$B$106,MATCH($E737,MUSTERILER!$C$7:$C$106,0)),IFERROR(INDEX(MUSTERILER!$B$7:$B$106,MATCH($E737,MUSTERILER!$B$7:$B$106,0)),IFERROR(INDEX(MUSTERILER!$B$7:$B$106,MATCH($E737&amp;"*",MUSTERILER!$C$7:$C$106,0)),"TANIMSIZ MÜŞTERİ"))))</f>
        <v/>
      </c>
      <c r="E737" s="109" t="n"/>
      <c r="F737" s="109" t="n"/>
      <c r="G737" s="108" t="n"/>
      <c r="H737" s="225" t="n"/>
      <c r="I737" s="225" t="n"/>
      <c r="J737" s="108" t="n"/>
      <c r="K737" s="108" t="n"/>
      <c r="L737" s="109" t="n"/>
      <c r="M737" s="109" t="n"/>
      <c r="N737" s="109" t="n"/>
      <c r="O737" s="225" t="n"/>
      <c r="P737" s="232">
        <f>IF(OR($E737="",$I737=""),"",IF(OR($J737="Tamamlandı",$J737="İptal"),"",$I737-TODAY()))</f>
        <v/>
      </c>
      <c r="Q737" s="113">
        <f>IF($E737="","",IF($D737="TANIMSIZ MÜŞTERİ","HATA",IF(OR($J737="Tamamlandı",$J737="İptal"),"KAPALI",IF(AND($C737="Görüşme",$N737=""),"SONRAKİ İŞLEM EKSİK",IF($I737="","TARİH EKSİK",IF($I737&lt;TODAY(),"GECİKMİŞ",IF($I737=TODAY(),"BUGÜN",IF($I737&lt;=TODAY()+7,"7 GÜN İÇİNDE","PLANLI"))))))))</f>
        <v/>
      </c>
      <c r="R737" s="6" t="n"/>
      <c r="S737" s="6" t="n"/>
    </row>
    <row r="738">
      <c r="A738" s="6" t="n"/>
      <c r="B738" s="113">
        <f>IF($E738="","","A"&amp;TEXT(ROW()-6,"00000"))</f>
        <v/>
      </c>
      <c r="C738" s="108" t="n"/>
      <c r="D738" s="113">
        <f>IF($E738="","",IFERROR(INDEX(MUSTERILER!$B$7:$B$106,MATCH($E738,MUSTERILER!$C$7:$C$106,0)),IFERROR(INDEX(MUSTERILER!$B$7:$B$106,MATCH($E738,MUSTERILER!$B$7:$B$106,0)),IFERROR(INDEX(MUSTERILER!$B$7:$B$106,MATCH($E738&amp;"*",MUSTERILER!$C$7:$C$106,0)),"TANIMSIZ MÜŞTERİ"))))</f>
        <v/>
      </c>
      <c r="E738" s="109" t="n"/>
      <c r="F738" s="109" t="n"/>
      <c r="G738" s="108" t="n"/>
      <c r="H738" s="225" t="n"/>
      <c r="I738" s="225" t="n"/>
      <c r="J738" s="108" t="n"/>
      <c r="K738" s="108" t="n"/>
      <c r="L738" s="109" t="n"/>
      <c r="M738" s="109" t="n"/>
      <c r="N738" s="109" t="n"/>
      <c r="O738" s="225" t="n"/>
      <c r="P738" s="232">
        <f>IF(OR($E738="",$I738=""),"",IF(OR($J738="Tamamlandı",$J738="İptal"),"",$I738-TODAY()))</f>
        <v/>
      </c>
      <c r="Q738" s="113">
        <f>IF($E738="","",IF($D738="TANIMSIZ MÜŞTERİ","HATA",IF(OR($J738="Tamamlandı",$J738="İptal"),"KAPALI",IF(AND($C738="Görüşme",$N738=""),"SONRAKİ İŞLEM EKSİK",IF($I738="","TARİH EKSİK",IF($I738&lt;TODAY(),"GECİKMİŞ",IF($I738=TODAY(),"BUGÜN",IF($I738&lt;=TODAY()+7,"7 GÜN İÇİNDE","PLANLI"))))))))</f>
        <v/>
      </c>
      <c r="R738" s="6" t="n"/>
      <c r="S738" s="6" t="n"/>
    </row>
    <row r="739">
      <c r="A739" s="6" t="n"/>
      <c r="B739" s="113">
        <f>IF($E739="","","A"&amp;TEXT(ROW()-6,"00000"))</f>
        <v/>
      </c>
      <c r="C739" s="108" t="n"/>
      <c r="D739" s="113">
        <f>IF($E739="","",IFERROR(INDEX(MUSTERILER!$B$7:$B$106,MATCH($E739,MUSTERILER!$C$7:$C$106,0)),IFERROR(INDEX(MUSTERILER!$B$7:$B$106,MATCH($E739,MUSTERILER!$B$7:$B$106,0)),IFERROR(INDEX(MUSTERILER!$B$7:$B$106,MATCH($E739&amp;"*",MUSTERILER!$C$7:$C$106,0)),"TANIMSIZ MÜŞTERİ"))))</f>
        <v/>
      </c>
      <c r="E739" s="109" t="n"/>
      <c r="F739" s="109" t="n"/>
      <c r="G739" s="108" t="n"/>
      <c r="H739" s="225" t="n"/>
      <c r="I739" s="225" t="n"/>
      <c r="J739" s="108" t="n"/>
      <c r="K739" s="108" t="n"/>
      <c r="L739" s="109" t="n"/>
      <c r="M739" s="109" t="n"/>
      <c r="N739" s="109" t="n"/>
      <c r="O739" s="225" t="n"/>
      <c r="P739" s="232">
        <f>IF(OR($E739="",$I739=""),"",IF(OR($J739="Tamamlandı",$J739="İptal"),"",$I739-TODAY()))</f>
        <v/>
      </c>
      <c r="Q739" s="113">
        <f>IF($E739="","",IF($D739="TANIMSIZ MÜŞTERİ","HATA",IF(OR($J739="Tamamlandı",$J739="İptal"),"KAPALI",IF(AND($C739="Görüşme",$N739=""),"SONRAKİ İŞLEM EKSİK",IF($I739="","TARİH EKSİK",IF($I739&lt;TODAY(),"GECİKMİŞ",IF($I739=TODAY(),"BUGÜN",IF($I739&lt;=TODAY()+7,"7 GÜN İÇİNDE","PLANLI"))))))))</f>
        <v/>
      </c>
      <c r="R739" s="6" t="n"/>
      <c r="S739" s="6" t="n"/>
    </row>
    <row r="740">
      <c r="A740" s="6" t="n"/>
      <c r="B740" s="113">
        <f>IF($E740="","","A"&amp;TEXT(ROW()-6,"00000"))</f>
        <v/>
      </c>
      <c r="C740" s="108" t="n"/>
      <c r="D740" s="113">
        <f>IF($E740="","",IFERROR(INDEX(MUSTERILER!$B$7:$B$106,MATCH($E740,MUSTERILER!$C$7:$C$106,0)),IFERROR(INDEX(MUSTERILER!$B$7:$B$106,MATCH($E740,MUSTERILER!$B$7:$B$106,0)),IFERROR(INDEX(MUSTERILER!$B$7:$B$106,MATCH($E740&amp;"*",MUSTERILER!$C$7:$C$106,0)),"TANIMSIZ MÜŞTERİ"))))</f>
        <v/>
      </c>
      <c r="E740" s="109" t="n"/>
      <c r="F740" s="109" t="n"/>
      <c r="G740" s="108" t="n"/>
      <c r="H740" s="225" t="n"/>
      <c r="I740" s="225" t="n"/>
      <c r="J740" s="108" t="n"/>
      <c r="K740" s="108" t="n"/>
      <c r="L740" s="109" t="n"/>
      <c r="M740" s="109" t="n"/>
      <c r="N740" s="109" t="n"/>
      <c r="O740" s="225" t="n"/>
      <c r="P740" s="232">
        <f>IF(OR($E740="",$I740=""),"",IF(OR($J740="Tamamlandı",$J740="İptal"),"",$I740-TODAY()))</f>
        <v/>
      </c>
      <c r="Q740" s="113">
        <f>IF($E740="","",IF($D740="TANIMSIZ MÜŞTERİ","HATA",IF(OR($J740="Tamamlandı",$J740="İptal"),"KAPALI",IF(AND($C740="Görüşme",$N740=""),"SONRAKİ İŞLEM EKSİK",IF($I740="","TARİH EKSİK",IF($I740&lt;TODAY(),"GECİKMİŞ",IF($I740=TODAY(),"BUGÜN",IF($I740&lt;=TODAY()+7,"7 GÜN İÇİNDE","PLANLI"))))))))</f>
        <v/>
      </c>
      <c r="R740" s="6" t="n"/>
      <c r="S740" s="6" t="n"/>
    </row>
    <row r="741">
      <c r="A741" s="6" t="n"/>
      <c r="B741" s="113">
        <f>IF($E741="","","A"&amp;TEXT(ROW()-6,"00000"))</f>
        <v/>
      </c>
      <c r="C741" s="108" t="n"/>
      <c r="D741" s="113">
        <f>IF($E741="","",IFERROR(INDEX(MUSTERILER!$B$7:$B$106,MATCH($E741,MUSTERILER!$C$7:$C$106,0)),IFERROR(INDEX(MUSTERILER!$B$7:$B$106,MATCH($E741,MUSTERILER!$B$7:$B$106,0)),IFERROR(INDEX(MUSTERILER!$B$7:$B$106,MATCH($E741&amp;"*",MUSTERILER!$C$7:$C$106,0)),"TANIMSIZ MÜŞTERİ"))))</f>
        <v/>
      </c>
      <c r="E741" s="109" t="n"/>
      <c r="F741" s="109" t="n"/>
      <c r="G741" s="108" t="n"/>
      <c r="H741" s="225" t="n"/>
      <c r="I741" s="225" t="n"/>
      <c r="J741" s="108" t="n"/>
      <c r="K741" s="108" t="n"/>
      <c r="L741" s="109" t="n"/>
      <c r="M741" s="109" t="n"/>
      <c r="N741" s="109" t="n"/>
      <c r="O741" s="225" t="n"/>
      <c r="P741" s="232">
        <f>IF(OR($E741="",$I741=""),"",IF(OR($J741="Tamamlandı",$J741="İptal"),"",$I741-TODAY()))</f>
        <v/>
      </c>
      <c r="Q741" s="113">
        <f>IF($E741="","",IF($D741="TANIMSIZ MÜŞTERİ","HATA",IF(OR($J741="Tamamlandı",$J741="İptal"),"KAPALI",IF(AND($C741="Görüşme",$N741=""),"SONRAKİ İŞLEM EKSİK",IF($I741="","TARİH EKSİK",IF($I741&lt;TODAY(),"GECİKMİŞ",IF($I741=TODAY(),"BUGÜN",IF($I741&lt;=TODAY()+7,"7 GÜN İÇİNDE","PLANLI"))))))))</f>
        <v/>
      </c>
      <c r="R741" s="6" t="n"/>
      <c r="S741" s="6" t="n"/>
    </row>
    <row r="742">
      <c r="A742" s="6" t="n"/>
      <c r="B742" s="113">
        <f>IF($E742="","","A"&amp;TEXT(ROW()-6,"00000"))</f>
        <v/>
      </c>
      <c r="C742" s="108" t="n"/>
      <c r="D742" s="113">
        <f>IF($E742="","",IFERROR(INDEX(MUSTERILER!$B$7:$B$106,MATCH($E742,MUSTERILER!$C$7:$C$106,0)),IFERROR(INDEX(MUSTERILER!$B$7:$B$106,MATCH($E742,MUSTERILER!$B$7:$B$106,0)),IFERROR(INDEX(MUSTERILER!$B$7:$B$106,MATCH($E742&amp;"*",MUSTERILER!$C$7:$C$106,0)),"TANIMSIZ MÜŞTERİ"))))</f>
        <v/>
      </c>
      <c r="E742" s="109" t="n"/>
      <c r="F742" s="109" t="n"/>
      <c r="G742" s="108" t="n"/>
      <c r="H742" s="225" t="n"/>
      <c r="I742" s="225" t="n"/>
      <c r="J742" s="108" t="n"/>
      <c r="K742" s="108" t="n"/>
      <c r="L742" s="109" t="n"/>
      <c r="M742" s="109" t="n"/>
      <c r="N742" s="109" t="n"/>
      <c r="O742" s="225" t="n"/>
      <c r="P742" s="232">
        <f>IF(OR($E742="",$I742=""),"",IF(OR($J742="Tamamlandı",$J742="İptal"),"",$I742-TODAY()))</f>
        <v/>
      </c>
      <c r="Q742" s="113">
        <f>IF($E742="","",IF($D742="TANIMSIZ MÜŞTERİ","HATA",IF(OR($J742="Tamamlandı",$J742="İptal"),"KAPALI",IF(AND($C742="Görüşme",$N742=""),"SONRAKİ İŞLEM EKSİK",IF($I742="","TARİH EKSİK",IF($I742&lt;TODAY(),"GECİKMİŞ",IF($I742=TODAY(),"BUGÜN",IF($I742&lt;=TODAY()+7,"7 GÜN İÇİNDE","PLANLI"))))))))</f>
        <v/>
      </c>
      <c r="R742" s="6" t="n"/>
      <c r="S742" s="6" t="n"/>
    </row>
    <row r="743">
      <c r="A743" s="6" t="n"/>
      <c r="B743" s="113">
        <f>IF($E743="","","A"&amp;TEXT(ROW()-6,"00000"))</f>
        <v/>
      </c>
      <c r="C743" s="108" t="n"/>
      <c r="D743" s="113">
        <f>IF($E743="","",IFERROR(INDEX(MUSTERILER!$B$7:$B$106,MATCH($E743,MUSTERILER!$C$7:$C$106,0)),IFERROR(INDEX(MUSTERILER!$B$7:$B$106,MATCH($E743,MUSTERILER!$B$7:$B$106,0)),IFERROR(INDEX(MUSTERILER!$B$7:$B$106,MATCH($E743&amp;"*",MUSTERILER!$C$7:$C$106,0)),"TANIMSIZ MÜŞTERİ"))))</f>
        <v/>
      </c>
      <c r="E743" s="109" t="n"/>
      <c r="F743" s="109" t="n"/>
      <c r="G743" s="108" t="n"/>
      <c r="H743" s="225" t="n"/>
      <c r="I743" s="225" t="n"/>
      <c r="J743" s="108" t="n"/>
      <c r="K743" s="108" t="n"/>
      <c r="L743" s="109" t="n"/>
      <c r="M743" s="109" t="n"/>
      <c r="N743" s="109" t="n"/>
      <c r="O743" s="225" t="n"/>
      <c r="P743" s="232">
        <f>IF(OR($E743="",$I743=""),"",IF(OR($J743="Tamamlandı",$J743="İptal"),"",$I743-TODAY()))</f>
        <v/>
      </c>
      <c r="Q743" s="113">
        <f>IF($E743="","",IF($D743="TANIMSIZ MÜŞTERİ","HATA",IF(OR($J743="Tamamlandı",$J743="İptal"),"KAPALI",IF(AND($C743="Görüşme",$N743=""),"SONRAKİ İŞLEM EKSİK",IF($I743="","TARİH EKSİK",IF($I743&lt;TODAY(),"GECİKMİŞ",IF($I743=TODAY(),"BUGÜN",IF($I743&lt;=TODAY()+7,"7 GÜN İÇİNDE","PLANLI"))))))))</f>
        <v/>
      </c>
      <c r="R743" s="6" t="n"/>
      <c r="S743" s="6" t="n"/>
    </row>
    <row r="744">
      <c r="A744" s="6" t="n"/>
      <c r="B744" s="113">
        <f>IF($E744="","","A"&amp;TEXT(ROW()-6,"00000"))</f>
        <v/>
      </c>
      <c r="C744" s="108" t="n"/>
      <c r="D744" s="113">
        <f>IF($E744="","",IFERROR(INDEX(MUSTERILER!$B$7:$B$106,MATCH($E744,MUSTERILER!$C$7:$C$106,0)),IFERROR(INDEX(MUSTERILER!$B$7:$B$106,MATCH($E744,MUSTERILER!$B$7:$B$106,0)),IFERROR(INDEX(MUSTERILER!$B$7:$B$106,MATCH($E744&amp;"*",MUSTERILER!$C$7:$C$106,0)),"TANIMSIZ MÜŞTERİ"))))</f>
        <v/>
      </c>
      <c r="E744" s="109" t="n"/>
      <c r="F744" s="109" t="n"/>
      <c r="G744" s="108" t="n"/>
      <c r="H744" s="225" t="n"/>
      <c r="I744" s="225" t="n"/>
      <c r="J744" s="108" t="n"/>
      <c r="K744" s="108" t="n"/>
      <c r="L744" s="109" t="n"/>
      <c r="M744" s="109" t="n"/>
      <c r="N744" s="109" t="n"/>
      <c r="O744" s="225" t="n"/>
      <c r="P744" s="232">
        <f>IF(OR($E744="",$I744=""),"",IF(OR($J744="Tamamlandı",$J744="İptal"),"",$I744-TODAY()))</f>
        <v/>
      </c>
      <c r="Q744" s="113">
        <f>IF($E744="","",IF($D744="TANIMSIZ MÜŞTERİ","HATA",IF(OR($J744="Tamamlandı",$J744="İptal"),"KAPALI",IF(AND($C744="Görüşme",$N744=""),"SONRAKİ İŞLEM EKSİK",IF($I744="","TARİH EKSİK",IF($I744&lt;TODAY(),"GECİKMİŞ",IF($I744=TODAY(),"BUGÜN",IF($I744&lt;=TODAY()+7,"7 GÜN İÇİNDE","PLANLI"))))))))</f>
        <v/>
      </c>
      <c r="R744" s="6" t="n"/>
      <c r="S744" s="6" t="n"/>
    </row>
    <row r="745">
      <c r="A745" s="6" t="n"/>
      <c r="B745" s="113">
        <f>IF($E745="","","A"&amp;TEXT(ROW()-6,"00000"))</f>
        <v/>
      </c>
      <c r="C745" s="108" t="n"/>
      <c r="D745" s="113">
        <f>IF($E745="","",IFERROR(INDEX(MUSTERILER!$B$7:$B$106,MATCH($E745,MUSTERILER!$C$7:$C$106,0)),IFERROR(INDEX(MUSTERILER!$B$7:$B$106,MATCH($E745,MUSTERILER!$B$7:$B$106,0)),IFERROR(INDEX(MUSTERILER!$B$7:$B$106,MATCH($E745&amp;"*",MUSTERILER!$C$7:$C$106,0)),"TANIMSIZ MÜŞTERİ"))))</f>
        <v/>
      </c>
      <c r="E745" s="109" t="n"/>
      <c r="F745" s="109" t="n"/>
      <c r="G745" s="108" t="n"/>
      <c r="H745" s="225" t="n"/>
      <c r="I745" s="225" t="n"/>
      <c r="J745" s="108" t="n"/>
      <c r="K745" s="108" t="n"/>
      <c r="L745" s="109" t="n"/>
      <c r="M745" s="109" t="n"/>
      <c r="N745" s="109" t="n"/>
      <c r="O745" s="225" t="n"/>
      <c r="P745" s="232">
        <f>IF(OR($E745="",$I745=""),"",IF(OR($J745="Tamamlandı",$J745="İptal"),"",$I745-TODAY()))</f>
        <v/>
      </c>
      <c r="Q745" s="113">
        <f>IF($E745="","",IF($D745="TANIMSIZ MÜŞTERİ","HATA",IF(OR($J745="Tamamlandı",$J745="İptal"),"KAPALI",IF(AND($C745="Görüşme",$N745=""),"SONRAKİ İŞLEM EKSİK",IF($I745="","TARİH EKSİK",IF($I745&lt;TODAY(),"GECİKMİŞ",IF($I745=TODAY(),"BUGÜN",IF($I745&lt;=TODAY()+7,"7 GÜN İÇİNDE","PLANLI"))))))))</f>
        <v/>
      </c>
      <c r="R745" s="6" t="n"/>
      <c r="S745" s="6" t="n"/>
    </row>
    <row r="746">
      <c r="A746" s="6" t="n"/>
      <c r="B746" s="113">
        <f>IF($E746="","","A"&amp;TEXT(ROW()-6,"00000"))</f>
        <v/>
      </c>
      <c r="C746" s="108" t="n"/>
      <c r="D746" s="113">
        <f>IF($E746="","",IFERROR(INDEX(MUSTERILER!$B$7:$B$106,MATCH($E746,MUSTERILER!$C$7:$C$106,0)),IFERROR(INDEX(MUSTERILER!$B$7:$B$106,MATCH($E746,MUSTERILER!$B$7:$B$106,0)),IFERROR(INDEX(MUSTERILER!$B$7:$B$106,MATCH($E746&amp;"*",MUSTERILER!$C$7:$C$106,0)),"TANIMSIZ MÜŞTERİ"))))</f>
        <v/>
      </c>
      <c r="E746" s="109" t="n"/>
      <c r="F746" s="109" t="n"/>
      <c r="G746" s="108" t="n"/>
      <c r="H746" s="225" t="n"/>
      <c r="I746" s="225" t="n"/>
      <c r="J746" s="108" t="n"/>
      <c r="K746" s="108" t="n"/>
      <c r="L746" s="109" t="n"/>
      <c r="M746" s="109" t="n"/>
      <c r="N746" s="109" t="n"/>
      <c r="O746" s="225" t="n"/>
      <c r="P746" s="232">
        <f>IF(OR($E746="",$I746=""),"",IF(OR($J746="Tamamlandı",$J746="İptal"),"",$I746-TODAY()))</f>
        <v/>
      </c>
      <c r="Q746" s="113">
        <f>IF($E746="","",IF($D746="TANIMSIZ MÜŞTERİ","HATA",IF(OR($J746="Tamamlandı",$J746="İptal"),"KAPALI",IF(AND($C746="Görüşme",$N746=""),"SONRAKİ İŞLEM EKSİK",IF($I746="","TARİH EKSİK",IF($I746&lt;TODAY(),"GECİKMİŞ",IF($I746=TODAY(),"BUGÜN",IF($I746&lt;=TODAY()+7,"7 GÜN İÇİNDE","PLANLI"))))))))</f>
        <v/>
      </c>
      <c r="R746" s="6" t="n"/>
      <c r="S746" s="6" t="n"/>
    </row>
    <row r="747">
      <c r="A747" s="6" t="n"/>
      <c r="B747" s="113">
        <f>IF($E747="","","A"&amp;TEXT(ROW()-6,"00000"))</f>
        <v/>
      </c>
      <c r="C747" s="108" t="n"/>
      <c r="D747" s="113">
        <f>IF($E747="","",IFERROR(INDEX(MUSTERILER!$B$7:$B$106,MATCH($E747,MUSTERILER!$C$7:$C$106,0)),IFERROR(INDEX(MUSTERILER!$B$7:$B$106,MATCH($E747,MUSTERILER!$B$7:$B$106,0)),IFERROR(INDEX(MUSTERILER!$B$7:$B$106,MATCH($E747&amp;"*",MUSTERILER!$C$7:$C$106,0)),"TANIMSIZ MÜŞTERİ"))))</f>
        <v/>
      </c>
      <c r="E747" s="109" t="n"/>
      <c r="F747" s="109" t="n"/>
      <c r="G747" s="108" t="n"/>
      <c r="H747" s="225" t="n"/>
      <c r="I747" s="225" t="n"/>
      <c r="J747" s="108" t="n"/>
      <c r="K747" s="108" t="n"/>
      <c r="L747" s="109" t="n"/>
      <c r="M747" s="109" t="n"/>
      <c r="N747" s="109" t="n"/>
      <c r="O747" s="225" t="n"/>
      <c r="P747" s="232">
        <f>IF(OR($E747="",$I747=""),"",IF(OR($J747="Tamamlandı",$J747="İptal"),"",$I747-TODAY()))</f>
        <v/>
      </c>
      <c r="Q747" s="113">
        <f>IF($E747="","",IF($D747="TANIMSIZ MÜŞTERİ","HATA",IF(OR($J747="Tamamlandı",$J747="İptal"),"KAPALI",IF(AND($C747="Görüşme",$N747=""),"SONRAKİ İŞLEM EKSİK",IF($I747="","TARİH EKSİK",IF($I747&lt;TODAY(),"GECİKMİŞ",IF($I747=TODAY(),"BUGÜN",IF($I747&lt;=TODAY()+7,"7 GÜN İÇİNDE","PLANLI"))))))))</f>
        <v/>
      </c>
      <c r="R747" s="6" t="n"/>
      <c r="S747" s="6" t="n"/>
    </row>
    <row r="748">
      <c r="A748" s="6" t="n"/>
      <c r="B748" s="113">
        <f>IF($E748="","","A"&amp;TEXT(ROW()-6,"00000"))</f>
        <v/>
      </c>
      <c r="C748" s="108" t="n"/>
      <c r="D748" s="113">
        <f>IF($E748="","",IFERROR(INDEX(MUSTERILER!$B$7:$B$106,MATCH($E748,MUSTERILER!$C$7:$C$106,0)),IFERROR(INDEX(MUSTERILER!$B$7:$B$106,MATCH($E748,MUSTERILER!$B$7:$B$106,0)),IFERROR(INDEX(MUSTERILER!$B$7:$B$106,MATCH($E748&amp;"*",MUSTERILER!$C$7:$C$106,0)),"TANIMSIZ MÜŞTERİ"))))</f>
        <v/>
      </c>
      <c r="E748" s="109" t="n"/>
      <c r="F748" s="109" t="n"/>
      <c r="G748" s="108" t="n"/>
      <c r="H748" s="225" t="n"/>
      <c r="I748" s="225" t="n"/>
      <c r="J748" s="108" t="n"/>
      <c r="K748" s="108" t="n"/>
      <c r="L748" s="109" t="n"/>
      <c r="M748" s="109" t="n"/>
      <c r="N748" s="109" t="n"/>
      <c r="O748" s="225" t="n"/>
      <c r="P748" s="232">
        <f>IF(OR($E748="",$I748=""),"",IF(OR($J748="Tamamlandı",$J748="İptal"),"",$I748-TODAY()))</f>
        <v/>
      </c>
      <c r="Q748" s="113">
        <f>IF($E748="","",IF($D748="TANIMSIZ MÜŞTERİ","HATA",IF(OR($J748="Tamamlandı",$J748="İptal"),"KAPALI",IF(AND($C748="Görüşme",$N748=""),"SONRAKİ İŞLEM EKSİK",IF($I748="","TARİH EKSİK",IF($I748&lt;TODAY(),"GECİKMİŞ",IF($I748=TODAY(),"BUGÜN",IF($I748&lt;=TODAY()+7,"7 GÜN İÇİNDE","PLANLI"))))))))</f>
        <v/>
      </c>
      <c r="R748" s="6" t="n"/>
      <c r="S748" s="6" t="n"/>
    </row>
    <row r="749">
      <c r="A749" s="6" t="n"/>
      <c r="B749" s="113">
        <f>IF($E749="","","A"&amp;TEXT(ROW()-6,"00000"))</f>
        <v/>
      </c>
      <c r="C749" s="108" t="n"/>
      <c r="D749" s="113">
        <f>IF($E749="","",IFERROR(INDEX(MUSTERILER!$B$7:$B$106,MATCH($E749,MUSTERILER!$C$7:$C$106,0)),IFERROR(INDEX(MUSTERILER!$B$7:$B$106,MATCH($E749,MUSTERILER!$B$7:$B$106,0)),IFERROR(INDEX(MUSTERILER!$B$7:$B$106,MATCH($E749&amp;"*",MUSTERILER!$C$7:$C$106,0)),"TANIMSIZ MÜŞTERİ"))))</f>
        <v/>
      </c>
      <c r="E749" s="109" t="n"/>
      <c r="F749" s="109" t="n"/>
      <c r="G749" s="108" t="n"/>
      <c r="H749" s="225" t="n"/>
      <c r="I749" s="225" t="n"/>
      <c r="J749" s="108" t="n"/>
      <c r="K749" s="108" t="n"/>
      <c r="L749" s="109" t="n"/>
      <c r="M749" s="109" t="n"/>
      <c r="N749" s="109" t="n"/>
      <c r="O749" s="225" t="n"/>
      <c r="P749" s="232">
        <f>IF(OR($E749="",$I749=""),"",IF(OR($J749="Tamamlandı",$J749="İptal"),"",$I749-TODAY()))</f>
        <v/>
      </c>
      <c r="Q749" s="113">
        <f>IF($E749="","",IF($D749="TANIMSIZ MÜŞTERİ","HATA",IF(OR($J749="Tamamlandı",$J749="İptal"),"KAPALI",IF(AND($C749="Görüşme",$N749=""),"SONRAKİ İŞLEM EKSİK",IF($I749="","TARİH EKSİK",IF($I749&lt;TODAY(),"GECİKMİŞ",IF($I749=TODAY(),"BUGÜN",IF($I749&lt;=TODAY()+7,"7 GÜN İÇİNDE","PLANLI"))))))))</f>
        <v/>
      </c>
      <c r="R749" s="6" t="n"/>
      <c r="S749" s="6" t="n"/>
    </row>
    <row r="750">
      <c r="A750" s="6" t="n"/>
      <c r="B750" s="113">
        <f>IF($E750="","","A"&amp;TEXT(ROW()-6,"00000"))</f>
        <v/>
      </c>
      <c r="C750" s="108" t="n"/>
      <c r="D750" s="113">
        <f>IF($E750="","",IFERROR(INDEX(MUSTERILER!$B$7:$B$106,MATCH($E750,MUSTERILER!$C$7:$C$106,0)),IFERROR(INDEX(MUSTERILER!$B$7:$B$106,MATCH($E750,MUSTERILER!$B$7:$B$106,0)),IFERROR(INDEX(MUSTERILER!$B$7:$B$106,MATCH($E750&amp;"*",MUSTERILER!$C$7:$C$106,0)),"TANIMSIZ MÜŞTERİ"))))</f>
        <v/>
      </c>
      <c r="E750" s="109" t="n"/>
      <c r="F750" s="109" t="n"/>
      <c r="G750" s="108" t="n"/>
      <c r="H750" s="225" t="n"/>
      <c r="I750" s="225" t="n"/>
      <c r="J750" s="108" t="n"/>
      <c r="K750" s="108" t="n"/>
      <c r="L750" s="109" t="n"/>
      <c r="M750" s="109" t="n"/>
      <c r="N750" s="109" t="n"/>
      <c r="O750" s="225" t="n"/>
      <c r="P750" s="232">
        <f>IF(OR($E750="",$I750=""),"",IF(OR($J750="Tamamlandı",$J750="İptal"),"",$I750-TODAY()))</f>
        <v/>
      </c>
      <c r="Q750" s="113">
        <f>IF($E750="","",IF($D750="TANIMSIZ MÜŞTERİ","HATA",IF(OR($J750="Tamamlandı",$J750="İptal"),"KAPALI",IF(AND($C750="Görüşme",$N750=""),"SONRAKİ İŞLEM EKSİK",IF($I750="","TARİH EKSİK",IF($I750&lt;TODAY(),"GECİKMİŞ",IF($I750=TODAY(),"BUGÜN",IF($I750&lt;=TODAY()+7,"7 GÜN İÇİNDE","PLANLI"))))))))</f>
        <v/>
      </c>
      <c r="R750" s="6" t="n"/>
      <c r="S750" s="6" t="n"/>
    </row>
    <row r="751">
      <c r="A751" s="6" t="n"/>
      <c r="B751" s="113">
        <f>IF($E751="","","A"&amp;TEXT(ROW()-6,"00000"))</f>
        <v/>
      </c>
      <c r="C751" s="108" t="n"/>
      <c r="D751" s="113">
        <f>IF($E751="","",IFERROR(INDEX(MUSTERILER!$B$7:$B$106,MATCH($E751,MUSTERILER!$C$7:$C$106,0)),IFERROR(INDEX(MUSTERILER!$B$7:$B$106,MATCH($E751,MUSTERILER!$B$7:$B$106,0)),IFERROR(INDEX(MUSTERILER!$B$7:$B$106,MATCH($E751&amp;"*",MUSTERILER!$C$7:$C$106,0)),"TANIMSIZ MÜŞTERİ"))))</f>
        <v/>
      </c>
      <c r="E751" s="109" t="n"/>
      <c r="F751" s="109" t="n"/>
      <c r="G751" s="108" t="n"/>
      <c r="H751" s="225" t="n"/>
      <c r="I751" s="225" t="n"/>
      <c r="J751" s="108" t="n"/>
      <c r="K751" s="108" t="n"/>
      <c r="L751" s="109" t="n"/>
      <c r="M751" s="109" t="n"/>
      <c r="N751" s="109" t="n"/>
      <c r="O751" s="225" t="n"/>
      <c r="P751" s="232">
        <f>IF(OR($E751="",$I751=""),"",IF(OR($J751="Tamamlandı",$J751="İptal"),"",$I751-TODAY()))</f>
        <v/>
      </c>
      <c r="Q751" s="113">
        <f>IF($E751="","",IF($D751="TANIMSIZ MÜŞTERİ","HATA",IF(OR($J751="Tamamlandı",$J751="İptal"),"KAPALI",IF(AND($C751="Görüşme",$N751=""),"SONRAKİ İŞLEM EKSİK",IF($I751="","TARİH EKSİK",IF($I751&lt;TODAY(),"GECİKMİŞ",IF($I751=TODAY(),"BUGÜN",IF($I751&lt;=TODAY()+7,"7 GÜN İÇİNDE","PLANLI"))))))))</f>
        <v/>
      </c>
      <c r="R751" s="6" t="n"/>
      <c r="S751" s="6" t="n"/>
    </row>
    <row r="752">
      <c r="A752" s="6" t="n"/>
      <c r="B752" s="113">
        <f>IF($E752="","","A"&amp;TEXT(ROW()-6,"00000"))</f>
        <v/>
      </c>
      <c r="C752" s="108" t="n"/>
      <c r="D752" s="113">
        <f>IF($E752="","",IFERROR(INDEX(MUSTERILER!$B$7:$B$106,MATCH($E752,MUSTERILER!$C$7:$C$106,0)),IFERROR(INDEX(MUSTERILER!$B$7:$B$106,MATCH($E752,MUSTERILER!$B$7:$B$106,0)),IFERROR(INDEX(MUSTERILER!$B$7:$B$106,MATCH($E752&amp;"*",MUSTERILER!$C$7:$C$106,0)),"TANIMSIZ MÜŞTERİ"))))</f>
        <v/>
      </c>
      <c r="E752" s="109" t="n"/>
      <c r="F752" s="109" t="n"/>
      <c r="G752" s="108" t="n"/>
      <c r="H752" s="225" t="n"/>
      <c r="I752" s="225" t="n"/>
      <c r="J752" s="108" t="n"/>
      <c r="K752" s="108" t="n"/>
      <c r="L752" s="109" t="n"/>
      <c r="M752" s="109" t="n"/>
      <c r="N752" s="109" t="n"/>
      <c r="O752" s="225" t="n"/>
      <c r="P752" s="232">
        <f>IF(OR($E752="",$I752=""),"",IF(OR($J752="Tamamlandı",$J752="İptal"),"",$I752-TODAY()))</f>
        <v/>
      </c>
      <c r="Q752" s="113">
        <f>IF($E752="","",IF($D752="TANIMSIZ MÜŞTERİ","HATA",IF(OR($J752="Tamamlandı",$J752="İptal"),"KAPALI",IF(AND($C752="Görüşme",$N752=""),"SONRAKİ İŞLEM EKSİK",IF($I752="","TARİH EKSİK",IF($I752&lt;TODAY(),"GECİKMİŞ",IF($I752=TODAY(),"BUGÜN",IF($I752&lt;=TODAY()+7,"7 GÜN İÇİNDE","PLANLI"))))))))</f>
        <v/>
      </c>
      <c r="R752" s="6" t="n"/>
      <c r="S752" s="6" t="n"/>
    </row>
    <row r="753">
      <c r="A753" s="6" t="n"/>
      <c r="B753" s="113">
        <f>IF($E753="","","A"&amp;TEXT(ROW()-6,"00000"))</f>
        <v/>
      </c>
      <c r="C753" s="108" t="n"/>
      <c r="D753" s="113">
        <f>IF($E753="","",IFERROR(INDEX(MUSTERILER!$B$7:$B$106,MATCH($E753,MUSTERILER!$C$7:$C$106,0)),IFERROR(INDEX(MUSTERILER!$B$7:$B$106,MATCH($E753,MUSTERILER!$B$7:$B$106,0)),IFERROR(INDEX(MUSTERILER!$B$7:$B$106,MATCH($E753&amp;"*",MUSTERILER!$C$7:$C$106,0)),"TANIMSIZ MÜŞTERİ"))))</f>
        <v/>
      </c>
      <c r="E753" s="109" t="n"/>
      <c r="F753" s="109" t="n"/>
      <c r="G753" s="108" t="n"/>
      <c r="H753" s="225" t="n"/>
      <c r="I753" s="225" t="n"/>
      <c r="J753" s="108" t="n"/>
      <c r="K753" s="108" t="n"/>
      <c r="L753" s="109" t="n"/>
      <c r="M753" s="109" t="n"/>
      <c r="N753" s="109" t="n"/>
      <c r="O753" s="225" t="n"/>
      <c r="P753" s="232">
        <f>IF(OR($E753="",$I753=""),"",IF(OR($J753="Tamamlandı",$J753="İptal"),"",$I753-TODAY()))</f>
        <v/>
      </c>
      <c r="Q753" s="113">
        <f>IF($E753="","",IF($D753="TANIMSIZ MÜŞTERİ","HATA",IF(OR($J753="Tamamlandı",$J753="İptal"),"KAPALI",IF(AND($C753="Görüşme",$N753=""),"SONRAKİ İŞLEM EKSİK",IF($I753="","TARİH EKSİK",IF($I753&lt;TODAY(),"GECİKMİŞ",IF($I753=TODAY(),"BUGÜN",IF($I753&lt;=TODAY()+7,"7 GÜN İÇİNDE","PLANLI"))))))))</f>
        <v/>
      </c>
      <c r="R753" s="6" t="n"/>
      <c r="S753" s="6" t="n"/>
    </row>
    <row r="754">
      <c r="A754" s="6" t="n"/>
      <c r="B754" s="113">
        <f>IF($E754="","","A"&amp;TEXT(ROW()-6,"00000"))</f>
        <v/>
      </c>
      <c r="C754" s="108" t="n"/>
      <c r="D754" s="113">
        <f>IF($E754="","",IFERROR(INDEX(MUSTERILER!$B$7:$B$106,MATCH($E754,MUSTERILER!$C$7:$C$106,0)),IFERROR(INDEX(MUSTERILER!$B$7:$B$106,MATCH($E754,MUSTERILER!$B$7:$B$106,0)),IFERROR(INDEX(MUSTERILER!$B$7:$B$106,MATCH($E754&amp;"*",MUSTERILER!$C$7:$C$106,0)),"TANIMSIZ MÜŞTERİ"))))</f>
        <v/>
      </c>
      <c r="E754" s="109" t="n"/>
      <c r="F754" s="109" t="n"/>
      <c r="G754" s="108" t="n"/>
      <c r="H754" s="225" t="n"/>
      <c r="I754" s="225" t="n"/>
      <c r="J754" s="108" t="n"/>
      <c r="K754" s="108" t="n"/>
      <c r="L754" s="109" t="n"/>
      <c r="M754" s="109" t="n"/>
      <c r="N754" s="109" t="n"/>
      <c r="O754" s="225" t="n"/>
      <c r="P754" s="232">
        <f>IF(OR($E754="",$I754=""),"",IF(OR($J754="Tamamlandı",$J754="İptal"),"",$I754-TODAY()))</f>
        <v/>
      </c>
      <c r="Q754" s="113">
        <f>IF($E754="","",IF($D754="TANIMSIZ MÜŞTERİ","HATA",IF(OR($J754="Tamamlandı",$J754="İptal"),"KAPALI",IF(AND($C754="Görüşme",$N754=""),"SONRAKİ İŞLEM EKSİK",IF($I754="","TARİH EKSİK",IF($I754&lt;TODAY(),"GECİKMİŞ",IF($I754=TODAY(),"BUGÜN",IF($I754&lt;=TODAY()+7,"7 GÜN İÇİNDE","PLANLI"))))))))</f>
        <v/>
      </c>
      <c r="R754" s="6" t="n"/>
      <c r="S754" s="6" t="n"/>
    </row>
    <row r="755">
      <c r="A755" s="6" t="n"/>
      <c r="B755" s="113">
        <f>IF($E755="","","A"&amp;TEXT(ROW()-6,"00000"))</f>
        <v/>
      </c>
      <c r="C755" s="108" t="n"/>
      <c r="D755" s="113">
        <f>IF($E755="","",IFERROR(INDEX(MUSTERILER!$B$7:$B$106,MATCH($E755,MUSTERILER!$C$7:$C$106,0)),IFERROR(INDEX(MUSTERILER!$B$7:$B$106,MATCH($E755,MUSTERILER!$B$7:$B$106,0)),IFERROR(INDEX(MUSTERILER!$B$7:$B$106,MATCH($E755&amp;"*",MUSTERILER!$C$7:$C$106,0)),"TANIMSIZ MÜŞTERİ"))))</f>
        <v/>
      </c>
      <c r="E755" s="109" t="n"/>
      <c r="F755" s="109" t="n"/>
      <c r="G755" s="108" t="n"/>
      <c r="H755" s="225" t="n"/>
      <c r="I755" s="225" t="n"/>
      <c r="J755" s="108" t="n"/>
      <c r="K755" s="108" t="n"/>
      <c r="L755" s="109" t="n"/>
      <c r="M755" s="109" t="n"/>
      <c r="N755" s="109" t="n"/>
      <c r="O755" s="225" t="n"/>
      <c r="P755" s="232">
        <f>IF(OR($E755="",$I755=""),"",IF(OR($J755="Tamamlandı",$J755="İptal"),"",$I755-TODAY()))</f>
        <v/>
      </c>
      <c r="Q755" s="113">
        <f>IF($E755="","",IF($D755="TANIMSIZ MÜŞTERİ","HATA",IF(OR($J755="Tamamlandı",$J755="İptal"),"KAPALI",IF(AND($C755="Görüşme",$N755=""),"SONRAKİ İŞLEM EKSİK",IF($I755="","TARİH EKSİK",IF($I755&lt;TODAY(),"GECİKMİŞ",IF($I755=TODAY(),"BUGÜN",IF($I755&lt;=TODAY()+7,"7 GÜN İÇİNDE","PLANLI"))))))))</f>
        <v/>
      </c>
      <c r="R755" s="6" t="n"/>
      <c r="S755" s="6" t="n"/>
    </row>
    <row r="756">
      <c r="A756" s="6" t="n"/>
      <c r="B756" s="113">
        <f>IF($E756="","","A"&amp;TEXT(ROW()-6,"00000"))</f>
        <v/>
      </c>
      <c r="C756" s="108" t="n"/>
      <c r="D756" s="113">
        <f>IF($E756="","",IFERROR(INDEX(MUSTERILER!$B$7:$B$106,MATCH($E756,MUSTERILER!$C$7:$C$106,0)),IFERROR(INDEX(MUSTERILER!$B$7:$B$106,MATCH($E756,MUSTERILER!$B$7:$B$106,0)),IFERROR(INDEX(MUSTERILER!$B$7:$B$106,MATCH($E756&amp;"*",MUSTERILER!$C$7:$C$106,0)),"TANIMSIZ MÜŞTERİ"))))</f>
        <v/>
      </c>
      <c r="E756" s="109" t="n"/>
      <c r="F756" s="109" t="n"/>
      <c r="G756" s="108" t="n"/>
      <c r="H756" s="225" t="n"/>
      <c r="I756" s="225" t="n"/>
      <c r="J756" s="108" t="n"/>
      <c r="K756" s="108" t="n"/>
      <c r="L756" s="109" t="n"/>
      <c r="M756" s="109" t="n"/>
      <c r="N756" s="109" t="n"/>
      <c r="O756" s="225" t="n"/>
      <c r="P756" s="232">
        <f>IF(OR($E756="",$I756=""),"",IF(OR($J756="Tamamlandı",$J756="İptal"),"",$I756-TODAY()))</f>
        <v/>
      </c>
      <c r="Q756" s="113">
        <f>IF($E756="","",IF($D756="TANIMSIZ MÜŞTERİ","HATA",IF(OR($J756="Tamamlandı",$J756="İptal"),"KAPALI",IF(AND($C756="Görüşme",$N756=""),"SONRAKİ İŞLEM EKSİK",IF($I756="","TARİH EKSİK",IF($I756&lt;TODAY(),"GECİKMİŞ",IF($I756=TODAY(),"BUGÜN",IF($I756&lt;=TODAY()+7,"7 GÜN İÇİNDE","PLANLI"))))))))</f>
        <v/>
      </c>
      <c r="R756" s="6" t="n"/>
      <c r="S756" s="6" t="n"/>
    </row>
    <row r="757">
      <c r="A757" s="6" t="n"/>
      <c r="B757" s="113">
        <f>IF($E757="","","A"&amp;TEXT(ROW()-6,"00000"))</f>
        <v/>
      </c>
      <c r="C757" s="108" t="n"/>
      <c r="D757" s="113">
        <f>IF($E757="","",IFERROR(INDEX(MUSTERILER!$B$7:$B$106,MATCH($E757,MUSTERILER!$C$7:$C$106,0)),IFERROR(INDEX(MUSTERILER!$B$7:$B$106,MATCH($E757,MUSTERILER!$B$7:$B$106,0)),IFERROR(INDEX(MUSTERILER!$B$7:$B$106,MATCH($E757&amp;"*",MUSTERILER!$C$7:$C$106,0)),"TANIMSIZ MÜŞTERİ"))))</f>
        <v/>
      </c>
      <c r="E757" s="109" t="n"/>
      <c r="F757" s="109" t="n"/>
      <c r="G757" s="108" t="n"/>
      <c r="H757" s="225" t="n"/>
      <c r="I757" s="225" t="n"/>
      <c r="J757" s="108" t="n"/>
      <c r="K757" s="108" t="n"/>
      <c r="L757" s="109" t="n"/>
      <c r="M757" s="109" t="n"/>
      <c r="N757" s="109" t="n"/>
      <c r="O757" s="225" t="n"/>
      <c r="P757" s="232">
        <f>IF(OR($E757="",$I757=""),"",IF(OR($J757="Tamamlandı",$J757="İptal"),"",$I757-TODAY()))</f>
        <v/>
      </c>
      <c r="Q757" s="113">
        <f>IF($E757="","",IF($D757="TANIMSIZ MÜŞTERİ","HATA",IF(OR($J757="Tamamlandı",$J757="İptal"),"KAPALI",IF(AND($C757="Görüşme",$N757=""),"SONRAKİ İŞLEM EKSİK",IF($I757="","TARİH EKSİK",IF($I757&lt;TODAY(),"GECİKMİŞ",IF($I757=TODAY(),"BUGÜN",IF($I757&lt;=TODAY()+7,"7 GÜN İÇİNDE","PLANLI"))))))))</f>
        <v/>
      </c>
      <c r="R757" s="6" t="n"/>
      <c r="S757" s="6" t="n"/>
    </row>
    <row r="758">
      <c r="A758" s="6" t="n"/>
      <c r="B758" s="113">
        <f>IF($E758="","","A"&amp;TEXT(ROW()-6,"00000"))</f>
        <v/>
      </c>
      <c r="C758" s="108" t="n"/>
      <c r="D758" s="113">
        <f>IF($E758="","",IFERROR(INDEX(MUSTERILER!$B$7:$B$106,MATCH($E758,MUSTERILER!$C$7:$C$106,0)),IFERROR(INDEX(MUSTERILER!$B$7:$B$106,MATCH($E758,MUSTERILER!$B$7:$B$106,0)),IFERROR(INDEX(MUSTERILER!$B$7:$B$106,MATCH($E758&amp;"*",MUSTERILER!$C$7:$C$106,0)),"TANIMSIZ MÜŞTERİ"))))</f>
        <v/>
      </c>
      <c r="E758" s="109" t="n"/>
      <c r="F758" s="109" t="n"/>
      <c r="G758" s="108" t="n"/>
      <c r="H758" s="225" t="n"/>
      <c r="I758" s="225" t="n"/>
      <c r="J758" s="108" t="n"/>
      <c r="K758" s="108" t="n"/>
      <c r="L758" s="109" t="n"/>
      <c r="M758" s="109" t="n"/>
      <c r="N758" s="109" t="n"/>
      <c r="O758" s="225" t="n"/>
      <c r="P758" s="232">
        <f>IF(OR($E758="",$I758=""),"",IF(OR($J758="Tamamlandı",$J758="İptal"),"",$I758-TODAY()))</f>
        <v/>
      </c>
      <c r="Q758" s="113">
        <f>IF($E758="","",IF($D758="TANIMSIZ MÜŞTERİ","HATA",IF(OR($J758="Tamamlandı",$J758="İptal"),"KAPALI",IF(AND($C758="Görüşme",$N758=""),"SONRAKİ İŞLEM EKSİK",IF($I758="","TARİH EKSİK",IF($I758&lt;TODAY(),"GECİKMİŞ",IF($I758=TODAY(),"BUGÜN",IF($I758&lt;=TODAY()+7,"7 GÜN İÇİNDE","PLANLI"))))))))</f>
        <v/>
      </c>
      <c r="R758" s="6" t="n"/>
      <c r="S758" s="6" t="n"/>
    </row>
    <row r="759">
      <c r="A759" s="6" t="n"/>
      <c r="B759" s="113">
        <f>IF($E759="","","A"&amp;TEXT(ROW()-6,"00000"))</f>
        <v/>
      </c>
      <c r="C759" s="108" t="n"/>
      <c r="D759" s="113">
        <f>IF($E759="","",IFERROR(INDEX(MUSTERILER!$B$7:$B$106,MATCH($E759,MUSTERILER!$C$7:$C$106,0)),IFERROR(INDEX(MUSTERILER!$B$7:$B$106,MATCH($E759,MUSTERILER!$B$7:$B$106,0)),IFERROR(INDEX(MUSTERILER!$B$7:$B$106,MATCH($E759&amp;"*",MUSTERILER!$C$7:$C$106,0)),"TANIMSIZ MÜŞTERİ"))))</f>
        <v/>
      </c>
      <c r="E759" s="109" t="n"/>
      <c r="F759" s="109" t="n"/>
      <c r="G759" s="108" t="n"/>
      <c r="H759" s="225" t="n"/>
      <c r="I759" s="225" t="n"/>
      <c r="J759" s="108" t="n"/>
      <c r="K759" s="108" t="n"/>
      <c r="L759" s="109" t="n"/>
      <c r="M759" s="109" t="n"/>
      <c r="N759" s="109" t="n"/>
      <c r="O759" s="225" t="n"/>
      <c r="P759" s="232">
        <f>IF(OR($E759="",$I759=""),"",IF(OR($J759="Tamamlandı",$J759="İptal"),"",$I759-TODAY()))</f>
        <v/>
      </c>
      <c r="Q759" s="113">
        <f>IF($E759="","",IF($D759="TANIMSIZ MÜŞTERİ","HATA",IF(OR($J759="Tamamlandı",$J759="İptal"),"KAPALI",IF(AND($C759="Görüşme",$N759=""),"SONRAKİ İŞLEM EKSİK",IF($I759="","TARİH EKSİK",IF($I759&lt;TODAY(),"GECİKMİŞ",IF($I759=TODAY(),"BUGÜN",IF($I759&lt;=TODAY()+7,"7 GÜN İÇİNDE","PLANLI"))))))))</f>
        <v/>
      </c>
      <c r="R759" s="6" t="n"/>
      <c r="S759" s="6" t="n"/>
    </row>
    <row r="760">
      <c r="A760" s="6" t="n"/>
      <c r="B760" s="113">
        <f>IF($E760="","","A"&amp;TEXT(ROW()-6,"00000"))</f>
        <v/>
      </c>
      <c r="C760" s="108" t="n"/>
      <c r="D760" s="113">
        <f>IF($E760="","",IFERROR(INDEX(MUSTERILER!$B$7:$B$106,MATCH($E760,MUSTERILER!$C$7:$C$106,0)),IFERROR(INDEX(MUSTERILER!$B$7:$B$106,MATCH($E760,MUSTERILER!$B$7:$B$106,0)),IFERROR(INDEX(MUSTERILER!$B$7:$B$106,MATCH($E760&amp;"*",MUSTERILER!$C$7:$C$106,0)),"TANIMSIZ MÜŞTERİ"))))</f>
        <v/>
      </c>
      <c r="E760" s="109" t="n"/>
      <c r="F760" s="109" t="n"/>
      <c r="G760" s="108" t="n"/>
      <c r="H760" s="225" t="n"/>
      <c r="I760" s="225" t="n"/>
      <c r="J760" s="108" t="n"/>
      <c r="K760" s="108" t="n"/>
      <c r="L760" s="109" t="n"/>
      <c r="M760" s="109" t="n"/>
      <c r="N760" s="109" t="n"/>
      <c r="O760" s="225" t="n"/>
      <c r="P760" s="232">
        <f>IF(OR($E760="",$I760=""),"",IF(OR($J760="Tamamlandı",$J760="İptal"),"",$I760-TODAY()))</f>
        <v/>
      </c>
      <c r="Q760" s="113">
        <f>IF($E760="","",IF($D760="TANIMSIZ MÜŞTERİ","HATA",IF(OR($J760="Tamamlandı",$J760="İptal"),"KAPALI",IF(AND($C760="Görüşme",$N760=""),"SONRAKİ İŞLEM EKSİK",IF($I760="","TARİH EKSİK",IF($I760&lt;TODAY(),"GECİKMİŞ",IF($I760=TODAY(),"BUGÜN",IF($I760&lt;=TODAY()+7,"7 GÜN İÇİNDE","PLANLI"))))))))</f>
        <v/>
      </c>
      <c r="R760" s="6" t="n"/>
      <c r="S760" s="6" t="n"/>
    </row>
    <row r="761">
      <c r="A761" s="6" t="n"/>
      <c r="B761" s="113">
        <f>IF($E761="","","A"&amp;TEXT(ROW()-6,"00000"))</f>
        <v/>
      </c>
      <c r="C761" s="108" t="n"/>
      <c r="D761" s="113">
        <f>IF($E761="","",IFERROR(INDEX(MUSTERILER!$B$7:$B$106,MATCH($E761,MUSTERILER!$C$7:$C$106,0)),IFERROR(INDEX(MUSTERILER!$B$7:$B$106,MATCH($E761,MUSTERILER!$B$7:$B$106,0)),IFERROR(INDEX(MUSTERILER!$B$7:$B$106,MATCH($E761&amp;"*",MUSTERILER!$C$7:$C$106,0)),"TANIMSIZ MÜŞTERİ"))))</f>
        <v/>
      </c>
      <c r="E761" s="109" t="n"/>
      <c r="F761" s="109" t="n"/>
      <c r="G761" s="108" t="n"/>
      <c r="H761" s="225" t="n"/>
      <c r="I761" s="225" t="n"/>
      <c r="J761" s="108" t="n"/>
      <c r="K761" s="108" t="n"/>
      <c r="L761" s="109" t="n"/>
      <c r="M761" s="109" t="n"/>
      <c r="N761" s="109" t="n"/>
      <c r="O761" s="225" t="n"/>
      <c r="P761" s="232">
        <f>IF(OR($E761="",$I761=""),"",IF(OR($J761="Tamamlandı",$J761="İptal"),"",$I761-TODAY()))</f>
        <v/>
      </c>
      <c r="Q761" s="113">
        <f>IF($E761="","",IF($D761="TANIMSIZ MÜŞTERİ","HATA",IF(OR($J761="Tamamlandı",$J761="İptal"),"KAPALI",IF(AND($C761="Görüşme",$N761=""),"SONRAKİ İŞLEM EKSİK",IF($I761="","TARİH EKSİK",IF($I761&lt;TODAY(),"GECİKMİŞ",IF($I761=TODAY(),"BUGÜN",IF($I761&lt;=TODAY()+7,"7 GÜN İÇİNDE","PLANLI"))))))))</f>
        <v/>
      </c>
      <c r="R761" s="6" t="n"/>
      <c r="S761" s="6" t="n"/>
    </row>
    <row r="762">
      <c r="A762" s="6" t="n"/>
      <c r="B762" s="113">
        <f>IF($E762="","","A"&amp;TEXT(ROW()-6,"00000"))</f>
        <v/>
      </c>
      <c r="C762" s="108" t="n"/>
      <c r="D762" s="113">
        <f>IF($E762="","",IFERROR(INDEX(MUSTERILER!$B$7:$B$106,MATCH($E762,MUSTERILER!$C$7:$C$106,0)),IFERROR(INDEX(MUSTERILER!$B$7:$B$106,MATCH($E762,MUSTERILER!$B$7:$B$106,0)),IFERROR(INDEX(MUSTERILER!$B$7:$B$106,MATCH($E762&amp;"*",MUSTERILER!$C$7:$C$106,0)),"TANIMSIZ MÜŞTERİ"))))</f>
        <v/>
      </c>
      <c r="E762" s="109" t="n"/>
      <c r="F762" s="109" t="n"/>
      <c r="G762" s="108" t="n"/>
      <c r="H762" s="225" t="n"/>
      <c r="I762" s="225" t="n"/>
      <c r="J762" s="108" t="n"/>
      <c r="K762" s="108" t="n"/>
      <c r="L762" s="109" t="n"/>
      <c r="M762" s="109" t="n"/>
      <c r="N762" s="109" t="n"/>
      <c r="O762" s="225" t="n"/>
      <c r="P762" s="232">
        <f>IF(OR($E762="",$I762=""),"",IF(OR($J762="Tamamlandı",$J762="İptal"),"",$I762-TODAY()))</f>
        <v/>
      </c>
      <c r="Q762" s="113">
        <f>IF($E762="","",IF($D762="TANIMSIZ MÜŞTERİ","HATA",IF(OR($J762="Tamamlandı",$J762="İptal"),"KAPALI",IF(AND($C762="Görüşme",$N762=""),"SONRAKİ İŞLEM EKSİK",IF($I762="","TARİH EKSİK",IF($I762&lt;TODAY(),"GECİKMİŞ",IF($I762=TODAY(),"BUGÜN",IF($I762&lt;=TODAY()+7,"7 GÜN İÇİNDE","PLANLI"))))))))</f>
        <v/>
      </c>
      <c r="R762" s="6" t="n"/>
      <c r="S762" s="6" t="n"/>
    </row>
    <row r="763">
      <c r="A763" s="6" t="n"/>
      <c r="B763" s="113">
        <f>IF($E763="","","A"&amp;TEXT(ROW()-6,"00000"))</f>
        <v/>
      </c>
      <c r="C763" s="108" t="n"/>
      <c r="D763" s="113">
        <f>IF($E763="","",IFERROR(INDEX(MUSTERILER!$B$7:$B$106,MATCH($E763,MUSTERILER!$C$7:$C$106,0)),IFERROR(INDEX(MUSTERILER!$B$7:$B$106,MATCH($E763,MUSTERILER!$B$7:$B$106,0)),IFERROR(INDEX(MUSTERILER!$B$7:$B$106,MATCH($E763&amp;"*",MUSTERILER!$C$7:$C$106,0)),"TANIMSIZ MÜŞTERİ"))))</f>
        <v/>
      </c>
      <c r="E763" s="109" t="n"/>
      <c r="F763" s="109" t="n"/>
      <c r="G763" s="108" t="n"/>
      <c r="H763" s="225" t="n"/>
      <c r="I763" s="225" t="n"/>
      <c r="J763" s="108" t="n"/>
      <c r="K763" s="108" t="n"/>
      <c r="L763" s="109" t="n"/>
      <c r="M763" s="109" t="n"/>
      <c r="N763" s="109" t="n"/>
      <c r="O763" s="225" t="n"/>
      <c r="P763" s="232">
        <f>IF(OR($E763="",$I763=""),"",IF(OR($J763="Tamamlandı",$J763="İptal"),"",$I763-TODAY()))</f>
        <v/>
      </c>
      <c r="Q763" s="113">
        <f>IF($E763="","",IF($D763="TANIMSIZ MÜŞTERİ","HATA",IF(OR($J763="Tamamlandı",$J763="İptal"),"KAPALI",IF(AND($C763="Görüşme",$N763=""),"SONRAKİ İŞLEM EKSİK",IF($I763="","TARİH EKSİK",IF($I763&lt;TODAY(),"GECİKMİŞ",IF($I763=TODAY(),"BUGÜN",IF($I763&lt;=TODAY()+7,"7 GÜN İÇİNDE","PLANLI"))))))))</f>
        <v/>
      </c>
      <c r="R763" s="6" t="n"/>
      <c r="S763" s="6" t="n"/>
    </row>
    <row r="764">
      <c r="A764" s="6" t="n"/>
      <c r="B764" s="113">
        <f>IF($E764="","","A"&amp;TEXT(ROW()-6,"00000"))</f>
        <v/>
      </c>
      <c r="C764" s="108" t="n"/>
      <c r="D764" s="113">
        <f>IF($E764="","",IFERROR(INDEX(MUSTERILER!$B$7:$B$106,MATCH($E764,MUSTERILER!$C$7:$C$106,0)),IFERROR(INDEX(MUSTERILER!$B$7:$B$106,MATCH($E764,MUSTERILER!$B$7:$B$106,0)),IFERROR(INDEX(MUSTERILER!$B$7:$B$106,MATCH($E764&amp;"*",MUSTERILER!$C$7:$C$106,0)),"TANIMSIZ MÜŞTERİ"))))</f>
        <v/>
      </c>
      <c r="E764" s="109" t="n"/>
      <c r="F764" s="109" t="n"/>
      <c r="G764" s="108" t="n"/>
      <c r="H764" s="225" t="n"/>
      <c r="I764" s="225" t="n"/>
      <c r="J764" s="108" t="n"/>
      <c r="K764" s="108" t="n"/>
      <c r="L764" s="109" t="n"/>
      <c r="M764" s="109" t="n"/>
      <c r="N764" s="109" t="n"/>
      <c r="O764" s="225" t="n"/>
      <c r="P764" s="232">
        <f>IF(OR($E764="",$I764=""),"",IF(OR($J764="Tamamlandı",$J764="İptal"),"",$I764-TODAY()))</f>
        <v/>
      </c>
      <c r="Q764" s="113">
        <f>IF($E764="","",IF($D764="TANIMSIZ MÜŞTERİ","HATA",IF(OR($J764="Tamamlandı",$J764="İptal"),"KAPALI",IF(AND($C764="Görüşme",$N764=""),"SONRAKİ İŞLEM EKSİK",IF($I764="","TARİH EKSİK",IF($I764&lt;TODAY(),"GECİKMİŞ",IF($I764=TODAY(),"BUGÜN",IF($I764&lt;=TODAY()+7,"7 GÜN İÇİNDE","PLANLI"))))))))</f>
        <v/>
      </c>
      <c r="R764" s="6" t="n"/>
      <c r="S764" s="6" t="n"/>
    </row>
    <row r="765">
      <c r="A765" s="6" t="n"/>
      <c r="B765" s="113">
        <f>IF($E765="","","A"&amp;TEXT(ROW()-6,"00000"))</f>
        <v/>
      </c>
      <c r="C765" s="108" t="n"/>
      <c r="D765" s="113">
        <f>IF($E765="","",IFERROR(INDEX(MUSTERILER!$B$7:$B$106,MATCH($E765,MUSTERILER!$C$7:$C$106,0)),IFERROR(INDEX(MUSTERILER!$B$7:$B$106,MATCH($E765,MUSTERILER!$B$7:$B$106,0)),IFERROR(INDEX(MUSTERILER!$B$7:$B$106,MATCH($E765&amp;"*",MUSTERILER!$C$7:$C$106,0)),"TANIMSIZ MÜŞTERİ"))))</f>
        <v/>
      </c>
      <c r="E765" s="109" t="n"/>
      <c r="F765" s="109" t="n"/>
      <c r="G765" s="108" t="n"/>
      <c r="H765" s="225" t="n"/>
      <c r="I765" s="225" t="n"/>
      <c r="J765" s="108" t="n"/>
      <c r="K765" s="108" t="n"/>
      <c r="L765" s="109" t="n"/>
      <c r="M765" s="109" t="n"/>
      <c r="N765" s="109" t="n"/>
      <c r="O765" s="225" t="n"/>
      <c r="P765" s="232">
        <f>IF(OR($E765="",$I765=""),"",IF(OR($J765="Tamamlandı",$J765="İptal"),"",$I765-TODAY()))</f>
        <v/>
      </c>
      <c r="Q765" s="113">
        <f>IF($E765="","",IF($D765="TANIMSIZ MÜŞTERİ","HATA",IF(OR($J765="Tamamlandı",$J765="İptal"),"KAPALI",IF(AND($C765="Görüşme",$N765=""),"SONRAKİ İŞLEM EKSİK",IF($I765="","TARİH EKSİK",IF($I765&lt;TODAY(),"GECİKMİŞ",IF($I765=TODAY(),"BUGÜN",IF($I765&lt;=TODAY()+7,"7 GÜN İÇİNDE","PLANLI"))))))))</f>
        <v/>
      </c>
      <c r="R765" s="6" t="n"/>
      <c r="S765" s="6" t="n"/>
    </row>
    <row r="766">
      <c r="A766" s="6" t="n"/>
      <c r="B766" s="113">
        <f>IF($E766="","","A"&amp;TEXT(ROW()-6,"00000"))</f>
        <v/>
      </c>
      <c r="C766" s="108" t="n"/>
      <c r="D766" s="113">
        <f>IF($E766="","",IFERROR(INDEX(MUSTERILER!$B$7:$B$106,MATCH($E766,MUSTERILER!$C$7:$C$106,0)),IFERROR(INDEX(MUSTERILER!$B$7:$B$106,MATCH($E766,MUSTERILER!$B$7:$B$106,0)),IFERROR(INDEX(MUSTERILER!$B$7:$B$106,MATCH($E766&amp;"*",MUSTERILER!$C$7:$C$106,0)),"TANIMSIZ MÜŞTERİ"))))</f>
        <v/>
      </c>
      <c r="E766" s="109" t="n"/>
      <c r="F766" s="109" t="n"/>
      <c r="G766" s="108" t="n"/>
      <c r="H766" s="225" t="n"/>
      <c r="I766" s="225" t="n"/>
      <c r="J766" s="108" t="n"/>
      <c r="K766" s="108" t="n"/>
      <c r="L766" s="109" t="n"/>
      <c r="M766" s="109" t="n"/>
      <c r="N766" s="109" t="n"/>
      <c r="O766" s="225" t="n"/>
      <c r="P766" s="232">
        <f>IF(OR($E766="",$I766=""),"",IF(OR($J766="Tamamlandı",$J766="İptal"),"",$I766-TODAY()))</f>
        <v/>
      </c>
      <c r="Q766" s="113">
        <f>IF($E766="","",IF($D766="TANIMSIZ MÜŞTERİ","HATA",IF(OR($J766="Tamamlandı",$J766="İptal"),"KAPALI",IF(AND($C766="Görüşme",$N766=""),"SONRAKİ İŞLEM EKSİK",IF($I766="","TARİH EKSİK",IF($I766&lt;TODAY(),"GECİKMİŞ",IF($I766=TODAY(),"BUGÜN",IF($I766&lt;=TODAY()+7,"7 GÜN İÇİNDE","PLANLI"))))))))</f>
        <v/>
      </c>
      <c r="R766" s="6" t="n"/>
      <c r="S766" s="6" t="n"/>
    </row>
    <row r="767">
      <c r="A767" s="6" t="n"/>
      <c r="B767" s="113">
        <f>IF($E767="","","A"&amp;TEXT(ROW()-6,"00000"))</f>
        <v/>
      </c>
      <c r="C767" s="108" t="n"/>
      <c r="D767" s="113">
        <f>IF($E767="","",IFERROR(INDEX(MUSTERILER!$B$7:$B$106,MATCH($E767,MUSTERILER!$C$7:$C$106,0)),IFERROR(INDEX(MUSTERILER!$B$7:$B$106,MATCH($E767,MUSTERILER!$B$7:$B$106,0)),IFERROR(INDEX(MUSTERILER!$B$7:$B$106,MATCH($E767&amp;"*",MUSTERILER!$C$7:$C$106,0)),"TANIMSIZ MÜŞTERİ"))))</f>
        <v/>
      </c>
      <c r="E767" s="109" t="n"/>
      <c r="F767" s="109" t="n"/>
      <c r="G767" s="108" t="n"/>
      <c r="H767" s="225" t="n"/>
      <c r="I767" s="225" t="n"/>
      <c r="J767" s="108" t="n"/>
      <c r="K767" s="108" t="n"/>
      <c r="L767" s="109" t="n"/>
      <c r="M767" s="109" t="n"/>
      <c r="N767" s="109" t="n"/>
      <c r="O767" s="225" t="n"/>
      <c r="P767" s="232">
        <f>IF(OR($E767="",$I767=""),"",IF(OR($J767="Tamamlandı",$J767="İptal"),"",$I767-TODAY()))</f>
        <v/>
      </c>
      <c r="Q767" s="113">
        <f>IF($E767="","",IF($D767="TANIMSIZ MÜŞTERİ","HATA",IF(OR($J767="Tamamlandı",$J767="İptal"),"KAPALI",IF(AND($C767="Görüşme",$N767=""),"SONRAKİ İŞLEM EKSİK",IF($I767="","TARİH EKSİK",IF($I767&lt;TODAY(),"GECİKMİŞ",IF($I767=TODAY(),"BUGÜN",IF($I767&lt;=TODAY()+7,"7 GÜN İÇİNDE","PLANLI"))))))))</f>
        <v/>
      </c>
      <c r="R767" s="6" t="n"/>
      <c r="S767" s="6" t="n"/>
    </row>
    <row r="768">
      <c r="A768" s="6" t="n"/>
      <c r="B768" s="113">
        <f>IF($E768="","","A"&amp;TEXT(ROW()-6,"00000"))</f>
        <v/>
      </c>
      <c r="C768" s="108" t="n"/>
      <c r="D768" s="113">
        <f>IF($E768="","",IFERROR(INDEX(MUSTERILER!$B$7:$B$106,MATCH($E768,MUSTERILER!$C$7:$C$106,0)),IFERROR(INDEX(MUSTERILER!$B$7:$B$106,MATCH($E768,MUSTERILER!$B$7:$B$106,0)),IFERROR(INDEX(MUSTERILER!$B$7:$B$106,MATCH($E768&amp;"*",MUSTERILER!$C$7:$C$106,0)),"TANIMSIZ MÜŞTERİ"))))</f>
        <v/>
      </c>
      <c r="E768" s="109" t="n"/>
      <c r="F768" s="109" t="n"/>
      <c r="G768" s="108" t="n"/>
      <c r="H768" s="225" t="n"/>
      <c r="I768" s="225" t="n"/>
      <c r="J768" s="108" t="n"/>
      <c r="K768" s="108" t="n"/>
      <c r="L768" s="109" t="n"/>
      <c r="M768" s="109" t="n"/>
      <c r="N768" s="109" t="n"/>
      <c r="O768" s="225" t="n"/>
      <c r="P768" s="232">
        <f>IF(OR($E768="",$I768=""),"",IF(OR($J768="Tamamlandı",$J768="İptal"),"",$I768-TODAY()))</f>
        <v/>
      </c>
      <c r="Q768" s="113">
        <f>IF($E768="","",IF($D768="TANIMSIZ MÜŞTERİ","HATA",IF(OR($J768="Tamamlandı",$J768="İptal"),"KAPALI",IF(AND($C768="Görüşme",$N768=""),"SONRAKİ İŞLEM EKSİK",IF($I768="","TARİH EKSİK",IF($I768&lt;TODAY(),"GECİKMİŞ",IF($I768=TODAY(),"BUGÜN",IF($I768&lt;=TODAY()+7,"7 GÜN İÇİNDE","PLANLI"))))))))</f>
        <v/>
      </c>
      <c r="R768" s="6" t="n"/>
      <c r="S768" s="6" t="n"/>
    </row>
    <row r="769">
      <c r="A769" s="6" t="n"/>
      <c r="B769" s="113">
        <f>IF($E769="","","A"&amp;TEXT(ROW()-6,"00000"))</f>
        <v/>
      </c>
      <c r="C769" s="108" t="n"/>
      <c r="D769" s="113">
        <f>IF($E769="","",IFERROR(INDEX(MUSTERILER!$B$7:$B$106,MATCH($E769,MUSTERILER!$C$7:$C$106,0)),IFERROR(INDEX(MUSTERILER!$B$7:$B$106,MATCH($E769,MUSTERILER!$B$7:$B$106,0)),IFERROR(INDEX(MUSTERILER!$B$7:$B$106,MATCH($E769&amp;"*",MUSTERILER!$C$7:$C$106,0)),"TANIMSIZ MÜŞTERİ"))))</f>
        <v/>
      </c>
      <c r="E769" s="109" t="n"/>
      <c r="F769" s="109" t="n"/>
      <c r="G769" s="108" t="n"/>
      <c r="H769" s="225" t="n"/>
      <c r="I769" s="225" t="n"/>
      <c r="J769" s="108" t="n"/>
      <c r="K769" s="108" t="n"/>
      <c r="L769" s="109" t="n"/>
      <c r="M769" s="109" t="n"/>
      <c r="N769" s="109" t="n"/>
      <c r="O769" s="225" t="n"/>
      <c r="P769" s="232">
        <f>IF(OR($E769="",$I769=""),"",IF(OR($J769="Tamamlandı",$J769="İptal"),"",$I769-TODAY()))</f>
        <v/>
      </c>
      <c r="Q769" s="113">
        <f>IF($E769="","",IF($D769="TANIMSIZ MÜŞTERİ","HATA",IF(OR($J769="Tamamlandı",$J769="İptal"),"KAPALI",IF(AND($C769="Görüşme",$N769=""),"SONRAKİ İŞLEM EKSİK",IF($I769="","TARİH EKSİK",IF($I769&lt;TODAY(),"GECİKMİŞ",IF($I769=TODAY(),"BUGÜN",IF($I769&lt;=TODAY()+7,"7 GÜN İÇİNDE","PLANLI"))))))))</f>
        <v/>
      </c>
      <c r="R769" s="6" t="n"/>
      <c r="S769" s="6" t="n"/>
    </row>
    <row r="770">
      <c r="A770" s="6" t="n"/>
      <c r="B770" s="113">
        <f>IF($E770="","","A"&amp;TEXT(ROW()-6,"00000"))</f>
        <v/>
      </c>
      <c r="C770" s="108" t="n"/>
      <c r="D770" s="113">
        <f>IF($E770="","",IFERROR(INDEX(MUSTERILER!$B$7:$B$106,MATCH($E770,MUSTERILER!$C$7:$C$106,0)),IFERROR(INDEX(MUSTERILER!$B$7:$B$106,MATCH($E770,MUSTERILER!$B$7:$B$106,0)),IFERROR(INDEX(MUSTERILER!$B$7:$B$106,MATCH($E770&amp;"*",MUSTERILER!$C$7:$C$106,0)),"TANIMSIZ MÜŞTERİ"))))</f>
        <v/>
      </c>
      <c r="E770" s="109" t="n"/>
      <c r="F770" s="109" t="n"/>
      <c r="G770" s="108" t="n"/>
      <c r="H770" s="225" t="n"/>
      <c r="I770" s="225" t="n"/>
      <c r="J770" s="108" t="n"/>
      <c r="K770" s="108" t="n"/>
      <c r="L770" s="109" t="n"/>
      <c r="M770" s="109" t="n"/>
      <c r="N770" s="109" t="n"/>
      <c r="O770" s="225" t="n"/>
      <c r="P770" s="232">
        <f>IF(OR($E770="",$I770=""),"",IF(OR($J770="Tamamlandı",$J770="İptal"),"",$I770-TODAY()))</f>
        <v/>
      </c>
      <c r="Q770" s="113">
        <f>IF($E770="","",IF($D770="TANIMSIZ MÜŞTERİ","HATA",IF(OR($J770="Tamamlandı",$J770="İptal"),"KAPALI",IF(AND($C770="Görüşme",$N770=""),"SONRAKİ İŞLEM EKSİK",IF($I770="","TARİH EKSİK",IF($I770&lt;TODAY(),"GECİKMİŞ",IF($I770=TODAY(),"BUGÜN",IF($I770&lt;=TODAY()+7,"7 GÜN İÇİNDE","PLANLI"))))))))</f>
        <v/>
      </c>
      <c r="R770" s="6" t="n"/>
      <c r="S770" s="6" t="n"/>
    </row>
    <row r="771">
      <c r="A771" s="6" t="n"/>
      <c r="B771" s="113">
        <f>IF($E771="","","A"&amp;TEXT(ROW()-6,"00000"))</f>
        <v/>
      </c>
      <c r="C771" s="108" t="n"/>
      <c r="D771" s="113">
        <f>IF($E771="","",IFERROR(INDEX(MUSTERILER!$B$7:$B$106,MATCH($E771,MUSTERILER!$C$7:$C$106,0)),IFERROR(INDEX(MUSTERILER!$B$7:$B$106,MATCH($E771,MUSTERILER!$B$7:$B$106,0)),IFERROR(INDEX(MUSTERILER!$B$7:$B$106,MATCH($E771&amp;"*",MUSTERILER!$C$7:$C$106,0)),"TANIMSIZ MÜŞTERİ"))))</f>
        <v/>
      </c>
      <c r="E771" s="109" t="n"/>
      <c r="F771" s="109" t="n"/>
      <c r="G771" s="108" t="n"/>
      <c r="H771" s="225" t="n"/>
      <c r="I771" s="225" t="n"/>
      <c r="J771" s="108" t="n"/>
      <c r="K771" s="108" t="n"/>
      <c r="L771" s="109" t="n"/>
      <c r="M771" s="109" t="n"/>
      <c r="N771" s="109" t="n"/>
      <c r="O771" s="225" t="n"/>
      <c r="P771" s="232">
        <f>IF(OR($E771="",$I771=""),"",IF(OR($J771="Tamamlandı",$J771="İptal"),"",$I771-TODAY()))</f>
        <v/>
      </c>
      <c r="Q771" s="113">
        <f>IF($E771="","",IF($D771="TANIMSIZ MÜŞTERİ","HATA",IF(OR($J771="Tamamlandı",$J771="İptal"),"KAPALI",IF(AND($C771="Görüşme",$N771=""),"SONRAKİ İŞLEM EKSİK",IF($I771="","TARİH EKSİK",IF($I771&lt;TODAY(),"GECİKMİŞ",IF($I771=TODAY(),"BUGÜN",IF($I771&lt;=TODAY()+7,"7 GÜN İÇİNDE","PLANLI"))))))))</f>
        <v/>
      </c>
      <c r="R771" s="6" t="n"/>
      <c r="S771" s="6" t="n"/>
    </row>
    <row r="772">
      <c r="A772" s="6" t="n"/>
      <c r="B772" s="113">
        <f>IF($E772="","","A"&amp;TEXT(ROW()-6,"00000"))</f>
        <v/>
      </c>
      <c r="C772" s="108" t="n"/>
      <c r="D772" s="113">
        <f>IF($E772="","",IFERROR(INDEX(MUSTERILER!$B$7:$B$106,MATCH($E772,MUSTERILER!$C$7:$C$106,0)),IFERROR(INDEX(MUSTERILER!$B$7:$B$106,MATCH($E772,MUSTERILER!$B$7:$B$106,0)),IFERROR(INDEX(MUSTERILER!$B$7:$B$106,MATCH($E772&amp;"*",MUSTERILER!$C$7:$C$106,0)),"TANIMSIZ MÜŞTERİ"))))</f>
        <v/>
      </c>
      <c r="E772" s="109" t="n"/>
      <c r="F772" s="109" t="n"/>
      <c r="G772" s="108" t="n"/>
      <c r="H772" s="225" t="n"/>
      <c r="I772" s="225" t="n"/>
      <c r="J772" s="108" t="n"/>
      <c r="K772" s="108" t="n"/>
      <c r="L772" s="109" t="n"/>
      <c r="M772" s="109" t="n"/>
      <c r="N772" s="109" t="n"/>
      <c r="O772" s="225" t="n"/>
      <c r="P772" s="232">
        <f>IF(OR($E772="",$I772=""),"",IF(OR($J772="Tamamlandı",$J772="İptal"),"",$I772-TODAY()))</f>
        <v/>
      </c>
      <c r="Q772" s="113">
        <f>IF($E772="","",IF($D772="TANIMSIZ MÜŞTERİ","HATA",IF(OR($J772="Tamamlandı",$J772="İptal"),"KAPALI",IF(AND($C772="Görüşme",$N772=""),"SONRAKİ İŞLEM EKSİK",IF($I772="","TARİH EKSİK",IF($I772&lt;TODAY(),"GECİKMİŞ",IF($I772=TODAY(),"BUGÜN",IF($I772&lt;=TODAY()+7,"7 GÜN İÇİNDE","PLANLI"))))))))</f>
        <v/>
      </c>
      <c r="R772" s="6" t="n"/>
      <c r="S772" s="6" t="n"/>
    </row>
    <row r="773">
      <c r="A773" s="6" t="n"/>
      <c r="B773" s="113">
        <f>IF($E773="","","A"&amp;TEXT(ROW()-6,"00000"))</f>
        <v/>
      </c>
      <c r="C773" s="108" t="n"/>
      <c r="D773" s="113">
        <f>IF($E773="","",IFERROR(INDEX(MUSTERILER!$B$7:$B$106,MATCH($E773,MUSTERILER!$C$7:$C$106,0)),IFERROR(INDEX(MUSTERILER!$B$7:$B$106,MATCH($E773,MUSTERILER!$B$7:$B$106,0)),IFERROR(INDEX(MUSTERILER!$B$7:$B$106,MATCH($E773&amp;"*",MUSTERILER!$C$7:$C$106,0)),"TANIMSIZ MÜŞTERİ"))))</f>
        <v/>
      </c>
      <c r="E773" s="109" t="n"/>
      <c r="F773" s="109" t="n"/>
      <c r="G773" s="108" t="n"/>
      <c r="H773" s="225" t="n"/>
      <c r="I773" s="225" t="n"/>
      <c r="J773" s="108" t="n"/>
      <c r="K773" s="108" t="n"/>
      <c r="L773" s="109" t="n"/>
      <c r="M773" s="109" t="n"/>
      <c r="N773" s="109" t="n"/>
      <c r="O773" s="225" t="n"/>
      <c r="P773" s="232">
        <f>IF(OR($E773="",$I773=""),"",IF(OR($J773="Tamamlandı",$J773="İptal"),"",$I773-TODAY()))</f>
        <v/>
      </c>
      <c r="Q773" s="113">
        <f>IF($E773="","",IF($D773="TANIMSIZ MÜŞTERİ","HATA",IF(OR($J773="Tamamlandı",$J773="İptal"),"KAPALI",IF(AND($C773="Görüşme",$N773=""),"SONRAKİ İŞLEM EKSİK",IF($I773="","TARİH EKSİK",IF($I773&lt;TODAY(),"GECİKMİŞ",IF($I773=TODAY(),"BUGÜN",IF($I773&lt;=TODAY()+7,"7 GÜN İÇİNDE","PLANLI"))))))))</f>
        <v/>
      </c>
      <c r="R773" s="6" t="n"/>
      <c r="S773" s="6" t="n"/>
    </row>
    <row r="774">
      <c r="A774" s="6" t="n"/>
      <c r="B774" s="113">
        <f>IF($E774="","","A"&amp;TEXT(ROW()-6,"00000"))</f>
        <v/>
      </c>
      <c r="C774" s="108" t="n"/>
      <c r="D774" s="113">
        <f>IF($E774="","",IFERROR(INDEX(MUSTERILER!$B$7:$B$106,MATCH($E774,MUSTERILER!$C$7:$C$106,0)),IFERROR(INDEX(MUSTERILER!$B$7:$B$106,MATCH($E774,MUSTERILER!$B$7:$B$106,0)),IFERROR(INDEX(MUSTERILER!$B$7:$B$106,MATCH($E774&amp;"*",MUSTERILER!$C$7:$C$106,0)),"TANIMSIZ MÜŞTERİ"))))</f>
        <v/>
      </c>
      <c r="E774" s="109" t="n"/>
      <c r="F774" s="109" t="n"/>
      <c r="G774" s="108" t="n"/>
      <c r="H774" s="225" t="n"/>
      <c r="I774" s="225" t="n"/>
      <c r="J774" s="108" t="n"/>
      <c r="K774" s="108" t="n"/>
      <c r="L774" s="109" t="n"/>
      <c r="M774" s="109" t="n"/>
      <c r="N774" s="109" t="n"/>
      <c r="O774" s="225" t="n"/>
      <c r="P774" s="232">
        <f>IF(OR($E774="",$I774=""),"",IF(OR($J774="Tamamlandı",$J774="İptal"),"",$I774-TODAY()))</f>
        <v/>
      </c>
      <c r="Q774" s="113">
        <f>IF($E774="","",IF($D774="TANIMSIZ MÜŞTERİ","HATA",IF(OR($J774="Tamamlandı",$J774="İptal"),"KAPALI",IF(AND($C774="Görüşme",$N774=""),"SONRAKİ İŞLEM EKSİK",IF($I774="","TARİH EKSİK",IF($I774&lt;TODAY(),"GECİKMİŞ",IF($I774=TODAY(),"BUGÜN",IF($I774&lt;=TODAY()+7,"7 GÜN İÇİNDE","PLANLI"))))))))</f>
        <v/>
      </c>
      <c r="R774" s="6" t="n"/>
      <c r="S774" s="6" t="n"/>
    </row>
    <row r="775">
      <c r="A775" s="6" t="n"/>
      <c r="B775" s="113">
        <f>IF($E775="","","A"&amp;TEXT(ROW()-6,"00000"))</f>
        <v/>
      </c>
      <c r="C775" s="108" t="n"/>
      <c r="D775" s="113">
        <f>IF($E775="","",IFERROR(INDEX(MUSTERILER!$B$7:$B$106,MATCH($E775,MUSTERILER!$C$7:$C$106,0)),IFERROR(INDEX(MUSTERILER!$B$7:$B$106,MATCH($E775,MUSTERILER!$B$7:$B$106,0)),IFERROR(INDEX(MUSTERILER!$B$7:$B$106,MATCH($E775&amp;"*",MUSTERILER!$C$7:$C$106,0)),"TANIMSIZ MÜŞTERİ"))))</f>
        <v/>
      </c>
      <c r="E775" s="109" t="n"/>
      <c r="F775" s="109" t="n"/>
      <c r="G775" s="108" t="n"/>
      <c r="H775" s="225" t="n"/>
      <c r="I775" s="225" t="n"/>
      <c r="J775" s="108" t="n"/>
      <c r="K775" s="108" t="n"/>
      <c r="L775" s="109" t="n"/>
      <c r="M775" s="109" t="n"/>
      <c r="N775" s="109" t="n"/>
      <c r="O775" s="225" t="n"/>
      <c r="P775" s="232">
        <f>IF(OR($E775="",$I775=""),"",IF(OR($J775="Tamamlandı",$J775="İptal"),"",$I775-TODAY()))</f>
        <v/>
      </c>
      <c r="Q775" s="113">
        <f>IF($E775="","",IF($D775="TANIMSIZ MÜŞTERİ","HATA",IF(OR($J775="Tamamlandı",$J775="İptal"),"KAPALI",IF(AND($C775="Görüşme",$N775=""),"SONRAKİ İŞLEM EKSİK",IF($I775="","TARİH EKSİK",IF($I775&lt;TODAY(),"GECİKMİŞ",IF($I775=TODAY(),"BUGÜN",IF($I775&lt;=TODAY()+7,"7 GÜN İÇİNDE","PLANLI"))))))))</f>
        <v/>
      </c>
      <c r="R775" s="6" t="n"/>
      <c r="S775" s="6" t="n"/>
    </row>
    <row r="776">
      <c r="A776" s="6" t="n"/>
      <c r="B776" s="113">
        <f>IF($E776="","","A"&amp;TEXT(ROW()-6,"00000"))</f>
        <v/>
      </c>
      <c r="C776" s="108" t="n"/>
      <c r="D776" s="113">
        <f>IF($E776="","",IFERROR(INDEX(MUSTERILER!$B$7:$B$106,MATCH($E776,MUSTERILER!$C$7:$C$106,0)),IFERROR(INDEX(MUSTERILER!$B$7:$B$106,MATCH($E776,MUSTERILER!$B$7:$B$106,0)),IFERROR(INDEX(MUSTERILER!$B$7:$B$106,MATCH($E776&amp;"*",MUSTERILER!$C$7:$C$106,0)),"TANIMSIZ MÜŞTERİ"))))</f>
        <v/>
      </c>
      <c r="E776" s="109" t="n"/>
      <c r="F776" s="109" t="n"/>
      <c r="G776" s="108" t="n"/>
      <c r="H776" s="225" t="n"/>
      <c r="I776" s="225" t="n"/>
      <c r="J776" s="108" t="n"/>
      <c r="K776" s="108" t="n"/>
      <c r="L776" s="109" t="n"/>
      <c r="M776" s="109" t="n"/>
      <c r="N776" s="109" t="n"/>
      <c r="O776" s="225" t="n"/>
      <c r="P776" s="232">
        <f>IF(OR($E776="",$I776=""),"",IF(OR($J776="Tamamlandı",$J776="İptal"),"",$I776-TODAY()))</f>
        <v/>
      </c>
      <c r="Q776" s="113">
        <f>IF($E776="","",IF($D776="TANIMSIZ MÜŞTERİ","HATA",IF(OR($J776="Tamamlandı",$J776="İptal"),"KAPALI",IF(AND($C776="Görüşme",$N776=""),"SONRAKİ İŞLEM EKSİK",IF($I776="","TARİH EKSİK",IF($I776&lt;TODAY(),"GECİKMİŞ",IF($I776=TODAY(),"BUGÜN",IF($I776&lt;=TODAY()+7,"7 GÜN İÇİNDE","PLANLI"))))))))</f>
        <v/>
      </c>
      <c r="R776" s="6" t="n"/>
      <c r="S776" s="6" t="n"/>
    </row>
    <row r="777">
      <c r="A777" s="6" t="n"/>
      <c r="B777" s="113">
        <f>IF($E777="","","A"&amp;TEXT(ROW()-6,"00000"))</f>
        <v/>
      </c>
      <c r="C777" s="108" t="n"/>
      <c r="D777" s="113">
        <f>IF($E777="","",IFERROR(INDEX(MUSTERILER!$B$7:$B$106,MATCH($E777,MUSTERILER!$C$7:$C$106,0)),IFERROR(INDEX(MUSTERILER!$B$7:$B$106,MATCH($E777,MUSTERILER!$B$7:$B$106,0)),IFERROR(INDEX(MUSTERILER!$B$7:$B$106,MATCH($E777&amp;"*",MUSTERILER!$C$7:$C$106,0)),"TANIMSIZ MÜŞTERİ"))))</f>
        <v/>
      </c>
      <c r="E777" s="109" t="n"/>
      <c r="F777" s="109" t="n"/>
      <c r="G777" s="108" t="n"/>
      <c r="H777" s="225" t="n"/>
      <c r="I777" s="225" t="n"/>
      <c r="J777" s="108" t="n"/>
      <c r="K777" s="108" t="n"/>
      <c r="L777" s="109" t="n"/>
      <c r="M777" s="109" t="n"/>
      <c r="N777" s="109" t="n"/>
      <c r="O777" s="225" t="n"/>
      <c r="P777" s="232">
        <f>IF(OR($E777="",$I777=""),"",IF(OR($J777="Tamamlandı",$J777="İptal"),"",$I777-TODAY()))</f>
        <v/>
      </c>
      <c r="Q777" s="113">
        <f>IF($E777="","",IF($D777="TANIMSIZ MÜŞTERİ","HATA",IF(OR($J777="Tamamlandı",$J777="İptal"),"KAPALI",IF(AND($C777="Görüşme",$N777=""),"SONRAKİ İŞLEM EKSİK",IF($I777="","TARİH EKSİK",IF($I777&lt;TODAY(),"GECİKMİŞ",IF($I777=TODAY(),"BUGÜN",IF($I777&lt;=TODAY()+7,"7 GÜN İÇİNDE","PLANLI"))))))))</f>
        <v/>
      </c>
      <c r="R777" s="6" t="n"/>
      <c r="S777" s="6" t="n"/>
    </row>
    <row r="778">
      <c r="A778" s="6" t="n"/>
      <c r="B778" s="113">
        <f>IF($E778="","","A"&amp;TEXT(ROW()-6,"00000"))</f>
        <v/>
      </c>
      <c r="C778" s="108" t="n"/>
      <c r="D778" s="113">
        <f>IF($E778="","",IFERROR(INDEX(MUSTERILER!$B$7:$B$106,MATCH($E778,MUSTERILER!$C$7:$C$106,0)),IFERROR(INDEX(MUSTERILER!$B$7:$B$106,MATCH($E778,MUSTERILER!$B$7:$B$106,0)),IFERROR(INDEX(MUSTERILER!$B$7:$B$106,MATCH($E778&amp;"*",MUSTERILER!$C$7:$C$106,0)),"TANIMSIZ MÜŞTERİ"))))</f>
        <v/>
      </c>
      <c r="E778" s="109" t="n"/>
      <c r="F778" s="109" t="n"/>
      <c r="G778" s="108" t="n"/>
      <c r="H778" s="225" t="n"/>
      <c r="I778" s="225" t="n"/>
      <c r="J778" s="108" t="n"/>
      <c r="K778" s="108" t="n"/>
      <c r="L778" s="109" t="n"/>
      <c r="M778" s="109" t="n"/>
      <c r="N778" s="109" t="n"/>
      <c r="O778" s="225" t="n"/>
      <c r="P778" s="232">
        <f>IF(OR($E778="",$I778=""),"",IF(OR($J778="Tamamlandı",$J778="İptal"),"",$I778-TODAY()))</f>
        <v/>
      </c>
      <c r="Q778" s="113">
        <f>IF($E778="","",IF($D778="TANIMSIZ MÜŞTERİ","HATA",IF(OR($J778="Tamamlandı",$J778="İptal"),"KAPALI",IF(AND($C778="Görüşme",$N778=""),"SONRAKİ İŞLEM EKSİK",IF($I778="","TARİH EKSİK",IF($I778&lt;TODAY(),"GECİKMİŞ",IF($I778=TODAY(),"BUGÜN",IF($I778&lt;=TODAY()+7,"7 GÜN İÇİNDE","PLANLI"))))))))</f>
        <v/>
      </c>
      <c r="R778" s="6" t="n"/>
      <c r="S778" s="6" t="n"/>
    </row>
    <row r="779">
      <c r="A779" s="6" t="n"/>
      <c r="B779" s="113">
        <f>IF($E779="","","A"&amp;TEXT(ROW()-6,"00000"))</f>
        <v/>
      </c>
      <c r="C779" s="108" t="n"/>
      <c r="D779" s="113">
        <f>IF($E779="","",IFERROR(INDEX(MUSTERILER!$B$7:$B$106,MATCH($E779,MUSTERILER!$C$7:$C$106,0)),IFERROR(INDEX(MUSTERILER!$B$7:$B$106,MATCH($E779,MUSTERILER!$B$7:$B$106,0)),IFERROR(INDEX(MUSTERILER!$B$7:$B$106,MATCH($E779&amp;"*",MUSTERILER!$C$7:$C$106,0)),"TANIMSIZ MÜŞTERİ"))))</f>
        <v/>
      </c>
      <c r="E779" s="109" t="n"/>
      <c r="F779" s="109" t="n"/>
      <c r="G779" s="108" t="n"/>
      <c r="H779" s="225" t="n"/>
      <c r="I779" s="225" t="n"/>
      <c r="J779" s="108" t="n"/>
      <c r="K779" s="108" t="n"/>
      <c r="L779" s="109" t="n"/>
      <c r="M779" s="109" t="n"/>
      <c r="N779" s="109" t="n"/>
      <c r="O779" s="225" t="n"/>
      <c r="P779" s="232">
        <f>IF(OR($E779="",$I779=""),"",IF(OR($J779="Tamamlandı",$J779="İptal"),"",$I779-TODAY()))</f>
        <v/>
      </c>
      <c r="Q779" s="113">
        <f>IF($E779="","",IF($D779="TANIMSIZ MÜŞTERİ","HATA",IF(OR($J779="Tamamlandı",$J779="İptal"),"KAPALI",IF(AND($C779="Görüşme",$N779=""),"SONRAKİ İŞLEM EKSİK",IF($I779="","TARİH EKSİK",IF($I779&lt;TODAY(),"GECİKMİŞ",IF($I779=TODAY(),"BUGÜN",IF($I779&lt;=TODAY()+7,"7 GÜN İÇİNDE","PLANLI"))))))))</f>
        <v/>
      </c>
      <c r="R779" s="6" t="n"/>
      <c r="S779" s="6" t="n"/>
    </row>
    <row r="780">
      <c r="A780" s="6" t="n"/>
      <c r="B780" s="113">
        <f>IF($E780="","","A"&amp;TEXT(ROW()-6,"00000"))</f>
        <v/>
      </c>
      <c r="C780" s="108" t="n"/>
      <c r="D780" s="113">
        <f>IF($E780="","",IFERROR(INDEX(MUSTERILER!$B$7:$B$106,MATCH($E780,MUSTERILER!$C$7:$C$106,0)),IFERROR(INDEX(MUSTERILER!$B$7:$B$106,MATCH($E780,MUSTERILER!$B$7:$B$106,0)),IFERROR(INDEX(MUSTERILER!$B$7:$B$106,MATCH($E780&amp;"*",MUSTERILER!$C$7:$C$106,0)),"TANIMSIZ MÜŞTERİ"))))</f>
        <v/>
      </c>
      <c r="E780" s="109" t="n"/>
      <c r="F780" s="109" t="n"/>
      <c r="G780" s="108" t="n"/>
      <c r="H780" s="225" t="n"/>
      <c r="I780" s="225" t="n"/>
      <c r="J780" s="108" t="n"/>
      <c r="K780" s="108" t="n"/>
      <c r="L780" s="109" t="n"/>
      <c r="M780" s="109" t="n"/>
      <c r="N780" s="109" t="n"/>
      <c r="O780" s="225" t="n"/>
      <c r="P780" s="232">
        <f>IF(OR($E780="",$I780=""),"",IF(OR($J780="Tamamlandı",$J780="İptal"),"",$I780-TODAY()))</f>
        <v/>
      </c>
      <c r="Q780" s="113">
        <f>IF($E780="","",IF($D780="TANIMSIZ MÜŞTERİ","HATA",IF(OR($J780="Tamamlandı",$J780="İptal"),"KAPALI",IF(AND($C780="Görüşme",$N780=""),"SONRAKİ İŞLEM EKSİK",IF($I780="","TARİH EKSİK",IF($I780&lt;TODAY(),"GECİKMİŞ",IF($I780=TODAY(),"BUGÜN",IF($I780&lt;=TODAY()+7,"7 GÜN İÇİNDE","PLANLI"))))))))</f>
        <v/>
      </c>
      <c r="R780" s="6" t="n"/>
      <c r="S780" s="6" t="n"/>
    </row>
    <row r="781">
      <c r="A781" s="6" t="n"/>
      <c r="B781" s="113">
        <f>IF($E781="","","A"&amp;TEXT(ROW()-6,"00000"))</f>
        <v/>
      </c>
      <c r="C781" s="108" t="n"/>
      <c r="D781" s="113">
        <f>IF($E781="","",IFERROR(INDEX(MUSTERILER!$B$7:$B$106,MATCH($E781,MUSTERILER!$C$7:$C$106,0)),IFERROR(INDEX(MUSTERILER!$B$7:$B$106,MATCH($E781,MUSTERILER!$B$7:$B$106,0)),IFERROR(INDEX(MUSTERILER!$B$7:$B$106,MATCH($E781&amp;"*",MUSTERILER!$C$7:$C$106,0)),"TANIMSIZ MÜŞTERİ"))))</f>
        <v/>
      </c>
      <c r="E781" s="109" t="n"/>
      <c r="F781" s="109" t="n"/>
      <c r="G781" s="108" t="n"/>
      <c r="H781" s="225" t="n"/>
      <c r="I781" s="225" t="n"/>
      <c r="J781" s="108" t="n"/>
      <c r="K781" s="108" t="n"/>
      <c r="L781" s="109" t="n"/>
      <c r="M781" s="109" t="n"/>
      <c r="N781" s="109" t="n"/>
      <c r="O781" s="225" t="n"/>
      <c r="P781" s="232">
        <f>IF(OR($E781="",$I781=""),"",IF(OR($J781="Tamamlandı",$J781="İptal"),"",$I781-TODAY()))</f>
        <v/>
      </c>
      <c r="Q781" s="113">
        <f>IF($E781="","",IF($D781="TANIMSIZ MÜŞTERİ","HATA",IF(OR($J781="Tamamlandı",$J781="İptal"),"KAPALI",IF(AND($C781="Görüşme",$N781=""),"SONRAKİ İŞLEM EKSİK",IF($I781="","TARİH EKSİK",IF($I781&lt;TODAY(),"GECİKMİŞ",IF($I781=TODAY(),"BUGÜN",IF($I781&lt;=TODAY()+7,"7 GÜN İÇİNDE","PLANLI"))))))))</f>
        <v/>
      </c>
      <c r="R781" s="6" t="n"/>
      <c r="S781" s="6" t="n"/>
    </row>
    <row r="782">
      <c r="A782" s="6" t="n"/>
      <c r="B782" s="113">
        <f>IF($E782="","","A"&amp;TEXT(ROW()-6,"00000"))</f>
        <v/>
      </c>
      <c r="C782" s="108" t="n"/>
      <c r="D782" s="113">
        <f>IF($E782="","",IFERROR(INDEX(MUSTERILER!$B$7:$B$106,MATCH($E782,MUSTERILER!$C$7:$C$106,0)),IFERROR(INDEX(MUSTERILER!$B$7:$B$106,MATCH($E782,MUSTERILER!$B$7:$B$106,0)),IFERROR(INDEX(MUSTERILER!$B$7:$B$106,MATCH($E782&amp;"*",MUSTERILER!$C$7:$C$106,0)),"TANIMSIZ MÜŞTERİ"))))</f>
        <v/>
      </c>
      <c r="E782" s="109" t="n"/>
      <c r="F782" s="109" t="n"/>
      <c r="G782" s="108" t="n"/>
      <c r="H782" s="225" t="n"/>
      <c r="I782" s="225" t="n"/>
      <c r="J782" s="108" t="n"/>
      <c r="K782" s="108" t="n"/>
      <c r="L782" s="109" t="n"/>
      <c r="M782" s="109" t="n"/>
      <c r="N782" s="109" t="n"/>
      <c r="O782" s="225" t="n"/>
      <c r="P782" s="232">
        <f>IF(OR($E782="",$I782=""),"",IF(OR($J782="Tamamlandı",$J782="İptal"),"",$I782-TODAY()))</f>
        <v/>
      </c>
      <c r="Q782" s="113">
        <f>IF($E782="","",IF($D782="TANIMSIZ MÜŞTERİ","HATA",IF(OR($J782="Tamamlandı",$J782="İptal"),"KAPALI",IF(AND($C782="Görüşme",$N782=""),"SONRAKİ İŞLEM EKSİK",IF($I782="","TARİH EKSİK",IF($I782&lt;TODAY(),"GECİKMİŞ",IF($I782=TODAY(),"BUGÜN",IF($I782&lt;=TODAY()+7,"7 GÜN İÇİNDE","PLANLI"))))))))</f>
        <v/>
      </c>
      <c r="R782" s="6" t="n"/>
      <c r="S782" s="6" t="n"/>
    </row>
    <row r="783">
      <c r="A783" s="6" t="n"/>
      <c r="B783" s="113">
        <f>IF($E783="","","A"&amp;TEXT(ROW()-6,"00000"))</f>
        <v/>
      </c>
      <c r="C783" s="108" t="n"/>
      <c r="D783" s="113">
        <f>IF($E783="","",IFERROR(INDEX(MUSTERILER!$B$7:$B$106,MATCH($E783,MUSTERILER!$C$7:$C$106,0)),IFERROR(INDEX(MUSTERILER!$B$7:$B$106,MATCH($E783,MUSTERILER!$B$7:$B$106,0)),IFERROR(INDEX(MUSTERILER!$B$7:$B$106,MATCH($E783&amp;"*",MUSTERILER!$C$7:$C$106,0)),"TANIMSIZ MÜŞTERİ"))))</f>
        <v/>
      </c>
      <c r="E783" s="109" t="n"/>
      <c r="F783" s="109" t="n"/>
      <c r="G783" s="108" t="n"/>
      <c r="H783" s="225" t="n"/>
      <c r="I783" s="225" t="n"/>
      <c r="J783" s="108" t="n"/>
      <c r="K783" s="108" t="n"/>
      <c r="L783" s="109" t="n"/>
      <c r="M783" s="109" t="n"/>
      <c r="N783" s="109" t="n"/>
      <c r="O783" s="225" t="n"/>
      <c r="P783" s="232">
        <f>IF(OR($E783="",$I783=""),"",IF(OR($J783="Tamamlandı",$J783="İptal"),"",$I783-TODAY()))</f>
        <v/>
      </c>
      <c r="Q783" s="113">
        <f>IF($E783="","",IF($D783="TANIMSIZ MÜŞTERİ","HATA",IF(OR($J783="Tamamlandı",$J783="İptal"),"KAPALI",IF(AND($C783="Görüşme",$N783=""),"SONRAKİ İŞLEM EKSİK",IF($I783="","TARİH EKSİK",IF($I783&lt;TODAY(),"GECİKMİŞ",IF($I783=TODAY(),"BUGÜN",IF($I783&lt;=TODAY()+7,"7 GÜN İÇİNDE","PLANLI"))))))))</f>
        <v/>
      </c>
      <c r="R783" s="6" t="n"/>
      <c r="S783" s="6" t="n"/>
    </row>
    <row r="784">
      <c r="A784" s="6" t="n"/>
      <c r="B784" s="113">
        <f>IF($E784="","","A"&amp;TEXT(ROW()-6,"00000"))</f>
        <v/>
      </c>
      <c r="C784" s="108" t="n"/>
      <c r="D784" s="113">
        <f>IF($E784="","",IFERROR(INDEX(MUSTERILER!$B$7:$B$106,MATCH($E784,MUSTERILER!$C$7:$C$106,0)),IFERROR(INDEX(MUSTERILER!$B$7:$B$106,MATCH($E784,MUSTERILER!$B$7:$B$106,0)),IFERROR(INDEX(MUSTERILER!$B$7:$B$106,MATCH($E784&amp;"*",MUSTERILER!$C$7:$C$106,0)),"TANIMSIZ MÜŞTERİ"))))</f>
        <v/>
      </c>
      <c r="E784" s="109" t="n"/>
      <c r="F784" s="109" t="n"/>
      <c r="G784" s="108" t="n"/>
      <c r="H784" s="225" t="n"/>
      <c r="I784" s="225" t="n"/>
      <c r="J784" s="108" t="n"/>
      <c r="K784" s="108" t="n"/>
      <c r="L784" s="109" t="n"/>
      <c r="M784" s="109" t="n"/>
      <c r="N784" s="109" t="n"/>
      <c r="O784" s="225" t="n"/>
      <c r="P784" s="232">
        <f>IF(OR($E784="",$I784=""),"",IF(OR($J784="Tamamlandı",$J784="İptal"),"",$I784-TODAY()))</f>
        <v/>
      </c>
      <c r="Q784" s="113">
        <f>IF($E784="","",IF($D784="TANIMSIZ MÜŞTERİ","HATA",IF(OR($J784="Tamamlandı",$J784="İptal"),"KAPALI",IF(AND($C784="Görüşme",$N784=""),"SONRAKİ İŞLEM EKSİK",IF($I784="","TARİH EKSİK",IF($I784&lt;TODAY(),"GECİKMİŞ",IF($I784=TODAY(),"BUGÜN",IF($I784&lt;=TODAY()+7,"7 GÜN İÇİNDE","PLANLI"))))))))</f>
        <v/>
      </c>
      <c r="R784" s="6" t="n"/>
      <c r="S784" s="6" t="n"/>
    </row>
    <row r="785">
      <c r="A785" s="6" t="n"/>
      <c r="B785" s="113">
        <f>IF($E785="","","A"&amp;TEXT(ROW()-6,"00000"))</f>
        <v/>
      </c>
      <c r="C785" s="108" t="n"/>
      <c r="D785" s="113">
        <f>IF($E785="","",IFERROR(INDEX(MUSTERILER!$B$7:$B$106,MATCH($E785,MUSTERILER!$C$7:$C$106,0)),IFERROR(INDEX(MUSTERILER!$B$7:$B$106,MATCH($E785,MUSTERILER!$B$7:$B$106,0)),IFERROR(INDEX(MUSTERILER!$B$7:$B$106,MATCH($E785&amp;"*",MUSTERILER!$C$7:$C$106,0)),"TANIMSIZ MÜŞTERİ"))))</f>
        <v/>
      </c>
      <c r="E785" s="109" t="n"/>
      <c r="F785" s="109" t="n"/>
      <c r="G785" s="108" t="n"/>
      <c r="H785" s="225" t="n"/>
      <c r="I785" s="225" t="n"/>
      <c r="J785" s="108" t="n"/>
      <c r="K785" s="108" t="n"/>
      <c r="L785" s="109" t="n"/>
      <c r="M785" s="109" t="n"/>
      <c r="N785" s="109" t="n"/>
      <c r="O785" s="225" t="n"/>
      <c r="P785" s="232">
        <f>IF(OR($E785="",$I785=""),"",IF(OR($J785="Tamamlandı",$J785="İptal"),"",$I785-TODAY()))</f>
        <v/>
      </c>
      <c r="Q785" s="113">
        <f>IF($E785="","",IF($D785="TANIMSIZ MÜŞTERİ","HATA",IF(OR($J785="Tamamlandı",$J785="İptal"),"KAPALI",IF(AND($C785="Görüşme",$N785=""),"SONRAKİ İŞLEM EKSİK",IF($I785="","TARİH EKSİK",IF($I785&lt;TODAY(),"GECİKMİŞ",IF($I785=TODAY(),"BUGÜN",IF($I785&lt;=TODAY()+7,"7 GÜN İÇİNDE","PLANLI"))))))))</f>
        <v/>
      </c>
      <c r="R785" s="6" t="n"/>
      <c r="S785" s="6" t="n"/>
    </row>
    <row r="786">
      <c r="A786" s="6" t="n"/>
      <c r="B786" s="113">
        <f>IF($E786="","","A"&amp;TEXT(ROW()-6,"00000"))</f>
        <v/>
      </c>
      <c r="C786" s="108" t="n"/>
      <c r="D786" s="113">
        <f>IF($E786="","",IFERROR(INDEX(MUSTERILER!$B$7:$B$106,MATCH($E786,MUSTERILER!$C$7:$C$106,0)),IFERROR(INDEX(MUSTERILER!$B$7:$B$106,MATCH($E786,MUSTERILER!$B$7:$B$106,0)),IFERROR(INDEX(MUSTERILER!$B$7:$B$106,MATCH($E786&amp;"*",MUSTERILER!$C$7:$C$106,0)),"TANIMSIZ MÜŞTERİ"))))</f>
        <v/>
      </c>
      <c r="E786" s="109" t="n"/>
      <c r="F786" s="109" t="n"/>
      <c r="G786" s="108" t="n"/>
      <c r="H786" s="225" t="n"/>
      <c r="I786" s="225" t="n"/>
      <c r="J786" s="108" t="n"/>
      <c r="K786" s="108" t="n"/>
      <c r="L786" s="109" t="n"/>
      <c r="M786" s="109" t="n"/>
      <c r="N786" s="109" t="n"/>
      <c r="O786" s="225" t="n"/>
      <c r="P786" s="232">
        <f>IF(OR($E786="",$I786=""),"",IF(OR($J786="Tamamlandı",$J786="İptal"),"",$I786-TODAY()))</f>
        <v/>
      </c>
      <c r="Q786" s="113">
        <f>IF($E786="","",IF($D786="TANIMSIZ MÜŞTERİ","HATA",IF(OR($J786="Tamamlandı",$J786="İptal"),"KAPALI",IF(AND($C786="Görüşme",$N786=""),"SONRAKİ İŞLEM EKSİK",IF($I786="","TARİH EKSİK",IF($I786&lt;TODAY(),"GECİKMİŞ",IF($I786=TODAY(),"BUGÜN",IF($I786&lt;=TODAY()+7,"7 GÜN İÇİNDE","PLANLI"))))))))</f>
        <v/>
      </c>
      <c r="R786" s="6" t="n"/>
      <c r="S786" s="6" t="n"/>
    </row>
    <row r="787">
      <c r="A787" s="6" t="n"/>
      <c r="B787" s="113">
        <f>IF($E787="","","A"&amp;TEXT(ROW()-6,"00000"))</f>
        <v/>
      </c>
      <c r="C787" s="108" t="n"/>
      <c r="D787" s="113">
        <f>IF($E787="","",IFERROR(INDEX(MUSTERILER!$B$7:$B$106,MATCH($E787,MUSTERILER!$C$7:$C$106,0)),IFERROR(INDEX(MUSTERILER!$B$7:$B$106,MATCH($E787,MUSTERILER!$B$7:$B$106,0)),IFERROR(INDEX(MUSTERILER!$B$7:$B$106,MATCH($E787&amp;"*",MUSTERILER!$C$7:$C$106,0)),"TANIMSIZ MÜŞTERİ"))))</f>
        <v/>
      </c>
      <c r="E787" s="109" t="n"/>
      <c r="F787" s="109" t="n"/>
      <c r="G787" s="108" t="n"/>
      <c r="H787" s="225" t="n"/>
      <c r="I787" s="225" t="n"/>
      <c r="J787" s="108" t="n"/>
      <c r="K787" s="108" t="n"/>
      <c r="L787" s="109" t="n"/>
      <c r="M787" s="109" t="n"/>
      <c r="N787" s="109" t="n"/>
      <c r="O787" s="225" t="n"/>
      <c r="P787" s="232">
        <f>IF(OR($E787="",$I787=""),"",IF(OR($J787="Tamamlandı",$J787="İptal"),"",$I787-TODAY()))</f>
        <v/>
      </c>
      <c r="Q787" s="113">
        <f>IF($E787="","",IF($D787="TANIMSIZ MÜŞTERİ","HATA",IF(OR($J787="Tamamlandı",$J787="İptal"),"KAPALI",IF(AND($C787="Görüşme",$N787=""),"SONRAKİ İŞLEM EKSİK",IF($I787="","TARİH EKSİK",IF($I787&lt;TODAY(),"GECİKMİŞ",IF($I787=TODAY(),"BUGÜN",IF($I787&lt;=TODAY()+7,"7 GÜN İÇİNDE","PLANLI"))))))))</f>
        <v/>
      </c>
      <c r="R787" s="6" t="n"/>
      <c r="S787" s="6" t="n"/>
    </row>
    <row r="788">
      <c r="A788" s="6" t="n"/>
      <c r="B788" s="113">
        <f>IF($E788="","","A"&amp;TEXT(ROW()-6,"00000"))</f>
        <v/>
      </c>
      <c r="C788" s="108" t="n"/>
      <c r="D788" s="113">
        <f>IF($E788="","",IFERROR(INDEX(MUSTERILER!$B$7:$B$106,MATCH($E788,MUSTERILER!$C$7:$C$106,0)),IFERROR(INDEX(MUSTERILER!$B$7:$B$106,MATCH($E788,MUSTERILER!$B$7:$B$106,0)),IFERROR(INDEX(MUSTERILER!$B$7:$B$106,MATCH($E788&amp;"*",MUSTERILER!$C$7:$C$106,0)),"TANIMSIZ MÜŞTERİ"))))</f>
        <v/>
      </c>
      <c r="E788" s="109" t="n"/>
      <c r="F788" s="109" t="n"/>
      <c r="G788" s="108" t="n"/>
      <c r="H788" s="225" t="n"/>
      <c r="I788" s="225" t="n"/>
      <c r="J788" s="108" t="n"/>
      <c r="K788" s="108" t="n"/>
      <c r="L788" s="109" t="n"/>
      <c r="M788" s="109" t="n"/>
      <c r="N788" s="109" t="n"/>
      <c r="O788" s="225" t="n"/>
      <c r="P788" s="232">
        <f>IF(OR($E788="",$I788=""),"",IF(OR($J788="Tamamlandı",$J788="İptal"),"",$I788-TODAY()))</f>
        <v/>
      </c>
      <c r="Q788" s="113">
        <f>IF($E788="","",IF($D788="TANIMSIZ MÜŞTERİ","HATA",IF(OR($J788="Tamamlandı",$J788="İptal"),"KAPALI",IF(AND($C788="Görüşme",$N788=""),"SONRAKİ İŞLEM EKSİK",IF($I788="","TARİH EKSİK",IF($I788&lt;TODAY(),"GECİKMİŞ",IF($I788=TODAY(),"BUGÜN",IF($I788&lt;=TODAY()+7,"7 GÜN İÇİNDE","PLANLI"))))))))</f>
        <v/>
      </c>
      <c r="R788" s="6" t="n"/>
      <c r="S788" s="6" t="n"/>
    </row>
    <row r="789">
      <c r="A789" s="6" t="n"/>
      <c r="B789" s="113">
        <f>IF($E789="","","A"&amp;TEXT(ROW()-6,"00000"))</f>
        <v/>
      </c>
      <c r="C789" s="108" t="n"/>
      <c r="D789" s="113">
        <f>IF($E789="","",IFERROR(INDEX(MUSTERILER!$B$7:$B$106,MATCH($E789,MUSTERILER!$C$7:$C$106,0)),IFERROR(INDEX(MUSTERILER!$B$7:$B$106,MATCH($E789,MUSTERILER!$B$7:$B$106,0)),IFERROR(INDEX(MUSTERILER!$B$7:$B$106,MATCH($E789&amp;"*",MUSTERILER!$C$7:$C$106,0)),"TANIMSIZ MÜŞTERİ"))))</f>
        <v/>
      </c>
      <c r="E789" s="109" t="n"/>
      <c r="F789" s="109" t="n"/>
      <c r="G789" s="108" t="n"/>
      <c r="H789" s="225" t="n"/>
      <c r="I789" s="225" t="n"/>
      <c r="J789" s="108" t="n"/>
      <c r="K789" s="108" t="n"/>
      <c r="L789" s="109" t="n"/>
      <c r="M789" s="109" t="n"/>
      <c r="N789" s="109" t="n"/>
      <c r="O789" s="225" t="n"/>
      <c r="P789" s="232">
        <f>IF(OR($E789="",$I789=""),"",IF(OR($J789="Tamamlandı",$J789="İptal"),"",$I789-TODAY()))</f>
        <v/>
      </c>
      <c r="Q789" s="113">
        <f>IF($E789="","",IF($D789="TANIMSIZ MÜŞTERİ","HATA",IF(OR($J789="Tamamlandı",$J789="İptal"),"KAPALI",IF(AND($C789="Görüşme",$N789=""),"SONRAKİ İŞLEM EKSİK",IF($I789="","TARİH EKSİK",IF($I789&lt;TODAY(),"GECİKMİŞ",IF($I789=TODAY(),"BUGÜN",IF($I789&lt;=TODAY()+7,"7 GÜN İÇİNDE","PLANLI"))))))))</f>
        <v/>
      </c>
      <c r="R789" s="6" t="n"/>
      <c r="S789" s="6" t="n"/>
    </row>
    <row r="790">
      <c r="A790" s="6" t="n"/>
      <c r="B790" s="113">
        <f>IF($E790="","","A"&amp;TEXT(ROW()-6,"00000"))</f>
        <v/>
      </c>
      <c r="C790" s="108" t="n"/>
      <c r="D790" s="113">
        <f>IF($E790="","",IFERROR(INDEX(MUSTERILER!$B$7:$B$106,MATCH($E790,MUSTERILER!$C$7:$C$106,0)),IFERROR(INDEX(MUSTERILER!$B$7:$B$106,MATCH($E790,MUSTERILER!$B$7:$B$106,0)),IFERROR(INDEX(MUSTERILER!$B$7:$B$106,MATCH($E790&amp;"*",MUSTERILER!$C$7:$C$106,0)),"TANIMSIZ MÜŞTERİ"))))</f>
        <v/>
      </c>
      <c r="E790" s="109" t="n"/>
      <c r="F790" s="109" t="n"/>
      <c r="G790" s="108" t="n"/>
      <c r="H790" s="225" t="n"/>
      <c r="I790" s="225" t="n"/>
      <c r="J790" s="108" t="n"/>
      <c r="K790" s="108" t="n"/>
      <c r="L790" s="109" t="n"/>
      <c r="M790" s="109" t="n"/>
      <c r="N790" s="109" t="n"/>
      <c r="O790" s="225" t="n"/>
      <c r="P790" s="232">
        <f>IF(OR($E790="",$I790=""),"",IF(OR($J790="Tamamlandı",$J790="İptal"),"",$I790-TODAY()))</f>
        <v/>
      </c>
      <c r="Q790" s="113">
        <f>IF($E790="","",IF($D790="TANIMSIZ MÜŞTERİ","HATA",IF(OR($J790="Tamamlandı",$J790="İptal"),"KAPALI",IF(AND($C790="Görüşme",$N790=""),"SONRAKİ İŞLEM EKSİK",IF($I790="","TARİH EKSİK",IF($I790&lt;TODAY(),"GECİKMİŞ",IF($I790=TODAY(),"BUGÜN",IF($I790&lt;=TODAY()+7,"7 GÜN İÇİNDE","PLANLI"))))))))</f>
        <v/>
      </c>
      <c r="R790" s="6" t="n"/>
      <c r="S790" s="6" t="n"/>
    </row>
    <row r="791">
      <c r="A791" s="6" t="n"/>
      <c r="B791" s="113">
        <f>IF($E791="","","A"&amp;TEXT(ROW()-6,"00000"))</f>
        <v/>
      </c>
      <c r="C791" s="108" t="n"/>
      <c r="D791" s="113">
        <f>IF($E791="","",IFERROR(INDEX(MUSTERILER!$B$7:$B$106,MATCH($E791,MUSTERILER!$C$7:$C$106,0)),IFERROR(INDEX(MUSTERILER!$B$7:$B$106,MATCH($E791,MUSTERILER!$B$7:$B$106,0)),IFERROR(INDEX(MUSTERILER!$B$7:$B$106,MATCH($E791&amp;"*",MUSTERILER!$C$7:$C$106,0)),"TANIMSIZ MÜŞTERİ"))))</f>
        <v/>
      </c>
      <c r="E791" s="109" t="n"/>
      <c r="F791" s="109" t="n"/>
      <c r="G791" s="108" t="n"/>
      <c r="H791" s="225" t="n"/>
      <c r="I791" s="225" t="n"/>
      <c r="J791" s="108" t="n"/>
      <c r="K791" s="108" t="n"/>
      <c r="L791" s="109" t="n"/>
      <c r="M791" s="109" t="n"/>
      <c r="N791" s="109" t="n"/>
      <c r="O791" s="225" t="n"/>
      <c r="P791" s="232">
        <f>IF(OR($E791="",$I791=""),"",IF(OR($J791="Tamamlandı",$J791="İptal"),"",$I791-TODAY()))</f>
        <v/>
      </c>
      <c r="Q791" s="113">
        <f>IF($E791="","",IF($D791="TANIMSIZ MÜŞTERİ","HATA",IF(OR($J791="Tamamlandı",$J791="İptal"),"KAPALI",IF(AND($C791="Görüşme",$N791=""),"SONRAKİ İŞLEM EKSİK",IF($I791="","TARİH EKSİK",IF($I791&lt;TODAY(),"GECİKMİŞ",IF($I791=TODAY(),"BUGÜN",IF($I791&lt;=TODAY()+7,"7 GÜN İÇİNDE","PLANLI"))))))))</f>
        <v/>
      </c>
      <c r="R791" s="6" t="n"/>
      <c r="S791" s="6" t="n"/>
    </row>
    <row r="792">
      <c r="A792" s="6" t="n"/>
      <c r="B792" s="113">
        <f>IF($E792="","","A"&amp;TEXT(ROW()-6,"00000"))</f>
        <v/>
      </c>
      <c r="C792" s="108" t="n"/>
      <c r="D792" s="113">
        <f>IF($E792="","",IFERROR(INDEX(MUSTERILER!$B$7:$B$106,MATCH($E792,MUSTERILER!$C$7:$C$106,0)),IFERROR(INDEX(MUSTERILER!$B$7:$B$106,MATCH($E792,MUSTERILER!$B$7:$B$106,0)),IFERROR(INDEX(MUSTERILER!$B$7:$B$106,MATCH($E792&amp;"*",MUSTERILER!$C$7:$C$106,0)),"TANIMSIZ MÜŞTERİ"))))</f>
        <v/>
      </c>
      <c r="E792" s="109" t="n"/>
      <c r="F792" s="109" t="n"/>
      <c r="G792" s="108" t="n"/>
      <c r="H792" s="225" t="n"/>
      <c r="I792" s="225" t="n"/>
      <c r="J792" s="108" t="n"/>
      <c r="K792" s="108" t="n"/>
      <c r="L792" s="109" t="n"/>
      <c r="M792" s="109" t="n"/>
      <c r="N792" s="109" t="n"/>
      <c r="O792" s="225" t="n"/>
      <c r="P792" s="232">
        <f>IF(OR($E792="",$I792=""),"",IF(OR($J792="Tamamlandı",$J792="İptal"),"",$I792-TODAY()))</f>
        <v/>
      </c>
      <c r="Q792" s="113">
        <f>IF($E792="","",IF($D792="TANIMSIZ MÜŞTERİ","HATA",IF(OR($J792="Tamamlandı",$J792="İptal"),"KAPALI",IF(AND($C792="Görüşme",$N792=""),"SONRAKİ İŞLEM EKSİK",IF($I792="","TARİH EKSİK",IF($I792&lt;TODAY(),"GECİKMİŞ",IF($I792=TODAY(),"BUGÜN",IF($I792&lt;=TODAY()+7,"7 GÜN İÇİNDE","PLANLI"))))))))</f>
        <v/>
      </c>
      <c r="R792" s="6" t="n"/>
      <c r="S792" s="6" t="n"/>
    </row>
    <row r="793">
      <c r="A793" s="6" t="n"/>
      <c r="B793" s="113">
        <f>IF($E793="","","A"&amp;TEXT(ROW()-6,"00000"))</f>
        <v/>
      </c>
      <c r="C793" s="108" t="n"/>
      <c r="D793" s="113">
        <f>IF($E793="","",IFERROR(INDEX(MUSTERILER!$B$7:$B$106,MATCH($E793,MUSTERILER!$C$7:$C$106,0)),IFERROR(INDEX(MUSTERILER!$B$7:$B$106,MATCH($E793,MUSTERILER!$B$7:$B$106,0)),IFERROR(INDEX(MUSTERILER!$B$7:$B$106,MATCH($E793&amp;"*",MUSTERILER!$C$7:$C$106,0)),"TANIMSIZ MÜŞTERİ"))))</f>
        <v/>
      </c>
      <c r="E793" s="109" t="n"/>
      <c r="F793" s="109" t="n"/>
      <c r="G793" s="108" t="n"/>
      <c r="H793" s="225" t="n"/>
      <c r="I793" s="225" t="n"/>
      <c r="J793" s="108" t="n"/>
      <c r="K793" s="108" t="n"/>
      <c r="L793" s="109" t="n"/>
      <c r="M793" s="109" t="n"/>
      <c r="N793" s="109" t="n"/>
      <c r="O793" s="225" t="n"/>
      <c r="P793" s="232">
        <f>IF(OR($E793="",$I793=""),"",IF(OR($J793="Tamamlandı",$J793="İptal"),"",$I793-TODAY()))</f>
        <v/>
      </c>
      <c r="Q793" s="113">
        <f>IF($E793="","",IF($D793="TANIMSIZ MÜŞTERİ","HATA",IF(OR($J793="Tamamlandı",$J793="İptal"),"KAPALI",IF(AND($C793="Görüşme",$N793=""),"SONRAKİ İŞLEM EKSİK",IF($I793="","TARİH EKSİK",IF($I793&lt;TODAY(),"GECİKMİŞ",IF($I793=TODAY(),"BUGÜN",IF($I793&lt;=TODAY()+7,"7 GÜN İÇİNDE","PLANLI"))))))))</f>
        <v/>
      </c>
      <c r="R793" s="6" t="n"/>
      <c r="S793" s="6" t="n"/>
    </row>
    <row r="794">
      <c r="A794" s="6" t="n"/>
      <c r="B794" s="113">
        <f>IF($E794="","","A"&amp;TEXT(ROW()-6,"00000"))</f>
        <v/>
      </c>
      <c r="C794" s="108" t="n"/>
      <c r="D794" s="113">
        <f>IF($E794="","",IFERROR(INDEX(MUSTERILER!$B$7:$B$106,MATCH($E794,MUSTERILER!$C$7:$C$106,0)),IFERROR(INDEX(MUSTERILER!$B$7:$B$106,MATCH($E794,MUSTERILER!$B$7:$B$106,0)),IFERROR(INDEX(MUSTERILER!$B$7:$B$106,MATCH($E794&amp;"*",MUSTERILER!$C$7:$C$106,0)),"TANIMSIZ MÜŞTERİ"))))</f>
        <v/>
      </c>
      <c r="E794" s="109" t="n"/>
      <c r="F794" s="109" t="n"/>
      <c r="G794" s="108" t="n"/>
      <c r="H794" s="225" t="n"/>
      <c r="I794" s="225" t="n"/>
      <c r="J794" s="108" t="n"/>
      <c r="K794" s="108" t="n"/>
      <c r="L794" s="109" t="n"/>
      <c r="M794" s="109" t="n"/>
      <c r="N794" s="109" t="n"/>
      <c r="O794" s="225" t="n"/>
      <c r="P794" s="232">
        <f>IF(OR($E794="",$I794=""),"",IF(OR($J794="Tamamlandı",$J794="İptal"),"",$I794-TODAY()))</f>
        <v/>
      </c>
      <c r="Q794" s="113">
        <f>IF($E794="","",IF($D794="TANIMSIZ MÜŞTERİ","HATA",IF(OR($J794="Tamamlandı",$J794="İptal"),"KAPALI",IF(AND($C794="Görüşme",$N794=""),"SONRAKİ İŞLEM EKSİK",IF($I794="","TARİH EKSİK",IF($I794&lt;TODAY(),"GECİKMİŞ",IF($I794=TODAY(),"BUGÜN",IF($I794&lt;=TODAY()+7,"7 GÜN İÇİNDE","PLANLI"))))))))</f>
        <v/>
      </c>
      <c r="R794" s="6" t="n"/>
      <c r="S794" s="6" t="n"/>
    </row>
    <row r="795">
      <c r="A795" s="6" t="n"/>
      <c r="B795" s="113">
        <f>IF($E795="","","A"&amp;TEXT(ROW()-6,"00000"))</f>
        <v/>
      </c>
      <c r="C795" s="108" t="n"/>
      <c r="D795" s="113">
        <f>IF($E795="","",IFERROR(INDEX(MUSTERILER!$B$7:$B$106,MATCH($E795,MUSTERILER!$C$7:$C$106,0)),IFERROR(INDEX(MUSTERILER!$B$7:$B$106,MATCH($E795,MUSTERILER!$B$7:$B$106,0)),IFERROR(INDEX(MUSTERILER!$B$7:$B$106,MATCH($E795&amp;"*",MUSTERILER!$C$7:$C$106,0)),"TANIMSIZ MÜŞTERİ"))))</f>
        <v/>
      </c>
      <c r="E795" s="109" t="n"/>
      <c r="F795" s="109" t="n"/>
      <c r="G795" s="108" t="n"/>
      <c r="H795" s="225" t="n"/>
      <c r="I795" s="225" t="n"/>
      <c r="J795" s="108" t="n"/>
      <c r="K795" s="108" t="n"/>
      <c r="L795" s="109" t="n"/>
      <c r="M795" s="109" t="n"/>
      <c r="N795" s="109" t="n"/>
      <c r="O795" s="225" t="n"/>
      <c r="P795" s="232">
        <f>IF(OR($E795="",$I795=""),"",IF(OR($J795="Tamamlandı",$J795="İptal"),"",$I795-TODAY()))</f>
        <v/>
      </c>
      <c r="Q795" s="113">
        <f>IF($E795="","",IF($D795="TANIMSIZ MÜŞTERİ","HATA",IF(OR($J795="Tamamlandı",$J795="İptal"),"KAPALI",IF(AND($C795="Görüşme",$N795=""),"SONRAKİ İŞLEM EKSİK",IF($I795="","TARİH EKSİK",IF($I795&lt;TODAY(),"GECİKMİŞ",IF($I795=TODAY(),"BUGÜN",IF($I795&lt;=TODAY()+7,"7 GÜN İÇİNDE","PLANLI"))))))))</f>
        <v/>
      </c>
      <c r="R795" s="6" t="n"/>
      <c r="S795" s="6" t="n"/>
    </row>
    <row r="796">
      <c r="A796" s="6" t="n"/>
      <c r="B796" s="113">
        <f>IF($E796="","","A"&amp;TEXT(ROW()-6,"00000"))</f>
        <v/>
      </c>
      <c r="C796" s="108" t="n"/>
      <c r="D796" s="113">
        <f>IF($E796="","",IFERROR(INDEX(MUSTERILER!$B$7:$B$106,MATCH($E796,MUSTERILER!$C$7:$C$106,0)),IFERROR(INDEX(MUSTERILER!$B$7:$B$106,MATCH($E796,MUSTERILER!$B$7:$B$106,0)),IFERROR(INDEX(MUSTERILER!$B$7:$B$106,MATCH($E796&amp;"*",MUSTERILER!$C$7:$C$106,0)),"TANIMSIZ MÜŞTERİ"))))</f>
        <v/>
      </c>
      <c r="E796" s="109" t="n"/>
      <c r="F796" s="109" t="n"/>
      <c r="G796" s="108" t="n"/>
      <c r="H796" s="225" t="n"/>
      <c r="I796" s="225" t="n"/>
      <c r="J796" s="108" t="n"/>
      <c r="K796" s="108" t="n"/>
      <c r="L796" s="109" t="n"/>
      <c r="M796" s="109" t="n"/>
      <c r="N796" s="109" t="n"/>
      <c r="O796" s="225" t="n"/>
      <c r="P796" s="232">
        <f>IF(OR($E796="",$I796=""),"",IF(OR($J796="Tamamlandı",$J796="İptal"),"",$I796-TODAY()))</f>
        <v/>
      </c>
      <c r="Q796" s="113">
        <f>IF($E796="","",IF($D796="TANIMSIZ MÜŞTERİ","HATA",IF(OR($J796="Tamamlandı",$J796="İptal"),"KAPALI",IF(AND($C796="Görüşme",$N796=""),"SONRAKİ İŞLEM EKSİK",IF($I796="","TARİH EKSİK",IF($I796&lt;TODAY(),"GECİKMİŞ",IF($I796=TODAY(),"BUGÜN",IF($I796&lt;=TODAY()+7,"7 GÜN İÇİNDE","PLANLI"))))))))</f>
        <v/>
      </c>
      <c r="R796" s="6" t="n"/>
      <c r="S796" s="6" t="n"/>
    </row>
    <row r="797">
      <c r="A797" s="6" t="n"/>
      <c r="B797" s="113">
        <f>IF($E797="","","A"&amp;TEXT(ROW()-6,"00000"))</f>
        <v/>
      </c>
      <c r="C797" s="108" t="n"/>
      <c r="D797" s="113">
        <f>IF($E797="","",IFERROR(INDEX(MUSTERILER!$B$7:$B$106,MATCH($E797,MUSTERILER!$C$7:$C$106,0)),IFERROR(INDEX(MUSTERILER!$B$7:$B$106,MATCH($E797,MUSTERILER!$B$7:$B$106,0)),IFERROR(INDEX(MUSTERILER!$B$7:$B$106,MATCH($E797&amp;"*",MUSTERILER!$C$7:$C$106,0)),"TANIMSIZ MÜŞTERİ"))))</f>
        <v/>
      </c>
      <c r="E797" s="109" t="n"/>
      <c r="F797" s="109" t="n"/>
      <c r="G797" s="108" t="n"/>
      <c r="H797" s="225" t="n"/>
      <c r="I797" s="225" t="n"/>
      <c r="J797" s="108" t="n"/>
      <c r="K797" s="108" t="n"/>
      <c r="L797" s="109" t="n"/>
      <c r="M797" s="109" t="n"/>
      <c r="N797" s="109" t="n"/>
      <c r="O797" s="225" t="n"/>
      <c r="P797" s="232">
        <f>IF(OR($E797="",$I797=""),"",IF(OR($J797="Tamamlandı",$J797="İptal"),"",$I797-TODAY()))</f>
        <v/>
      </c>
      <c r="Q797" s="113">
        <f>IF($E797="","",IF($D797="TANIMSIZ MÜŞTERİ","HATA",IF(OR($J797="Tamamlandı",$J797="İptal"),"KAPALI",IF(AND($C797="Görüşme",$N797=""),"SONRAKİ İŞLEM EKSİK",IF($I797="","TARİH EKSİK",IF($I797&lt;TODAY(),"GECİKMİŞ",IF($I797=TODAY(),"BUGÜN",IF($I797&lt;=TODAY()+7,"7 GÜN İÇİNDE","PLANLI"))))))))</f>
        <v/>
      </c>
      <c r="R797" s="6" t="n"/>
      <c r="S797" s="6" t="n"/>
    </row>
    <row r="798">
      <c r="A798" s="6" t="n"/>
      <c r="B798" s="113">
        <f>IF($E798="","","A"&amp;TEXT(ROW()-6,"00000"))</f>
        <v/>
      </c>
      <c r="C798" s="108" t="n"/>
      <c r="D798" s="113">
        <f>IF($E798="","",IFERROR(INDEX(MUSTERILER!$B$7:$B$106,MATCH($E798,MUSTERILER!$C$7:$C$106,0)),IFERROR(INDEX(MUSTERILER!$B$7:$B$106,MATCH($E798,MUSTERILER!$B$7:$B$106,0)),IFERROR(INDEX(MUSTERILER!$B$7:$B$106,MATCH($E798&amp;"*",MUSTERILER!$C$7:$C$106,0)),"TANIMSIZ MÜŞTERİ"))))</f>
        <v/>
      </c>
      <c r="E798" s="109" t="n"/>
      <c r="F798" s="109" t="n"/>
      <c r="G798" s="108" t="n"/>
      <c r="H798" s="225" t="n"/>
      <c r="I798" s="225" t="n"/>
      <c r="J798" s="108" t="n"/>
      <c r="K798" s="108" t="n"/>
      <c r="L798" s="109" t="n"/>
      <c r="M798" s="109" t="n"/>
      <c r="N798" s="109" t="n"/>
      <c r="O798" s="225" t="n"/>
      <c r="P798" s="232">
        <f>IF(OR($E798="",$I798=""),"",IF(OR($J798="Tamamlandı",$J798="İptal"),"",$I798-TODAY()))</f>
        <v/>
      </c>
      <c r="Q798" s="113">
        <f>IF($E798="","",IF($D798="TANIMSIZ MÜŞTERİ","HATA",IF(OR($J798="Tamamlandı",$J798="İptal"),"KAPALI",IF(AND($C798="Görüşme",$N798=""),"SONRAKİ İŞLEM EKSİK",IF($I798="","TARİH EKSİK",IF($I798&lt;TODAY(),"GECİKMİŞ",IF($I798=TODAY(),"BUGÜN",IF($I798&lt;=TODAY()+7,"7 GÜN İÇİNDE","PLANLI"))))))))</f>
        <v/>
      </c>
      <c r="R798" s="6" t="n"/>
      <c r="S798" s="6" t="n"/>
    </row>
    <row r="799">
      <c r="A799" s="6" t="n"/>
      <c r="B799" s="113">
        <f>IF($E799="","","A"&amp;TEXT(ROW()-6,"00000"))</f>
        <v/>
      </c>
      <c r="C799" s="108" t="n"/>
      <c r="D799" s="113">
        <f>IF($E799="","",IFERROR(INDEX(MUSTERILER!$B$7:$B$106,MATCH($E799,MUSTERILER!$C$7:$C$106,0)),IFERROR(INDEX(MUSTERILER!$B$7:$B$106,MATCH($E799,MUSTERILER!$B$7:$B$106,0)),IFERROR(INDEX(MUSTERILER!$B$7:$B$106,MATCH($E799&amp;"*",MUSTERILER!$C$7:$C$106,0)),"TANIMSIZ MÜŞTERİ"))))</f>
        <v/>
      </c>
      <c r="E799" s="109" t="n"/>
      <c r="F799" s="109" t="n"/>
      <c r="G799" s="108" t="n"/>
      <c r="H799" s="225" t="n"/>
      <c r="I799" s="225" t="n"/>
      <c r="J799" s="108" t="n"/>
      <c r="K799" s="108" t="n"/>
      <c r="L799" s="109" t="n"/>
      <c r="M799" s="109" t="n"/>
      <c r="N799" s="109" t="n"/>
      <c r="O799" s="225" t="n"/>
      <c r="P799" s="232">
        <f>IF(OR($E799="",$I799=""),"",IF(OR($J799="Tamamlandı",$J799="İptal"),"",$I799-TODAY()))</f>
        <v/>
      </c>
      <c r="Q799" s="113">
        <f>IF($E799="","",IF($D799="TANIMSIZ MÜŞTERİ","HATA",IF(OR($J799="Tamamlandı",$J799="İptal"),"KAPALI",IF(AND($C799="Görüşme",$N799=""),"SONRAKİ İŞLEM EKSİK",IF($I799="","TARİH EKSİK",IF($I799&lt;TODAY(),"GECİKMİŞ",IF($I799=TODAY(),"BUGÜN",IF($I799&lt;=TODAY()+7,"7 GÜN İÇİNDE","PLANLI"))))))))</f>
        <v/>
      </c>
      <c r="R799" s="6" t="n"/>
      <c r="S799" s="6" t="n"/>
    </row>
    <row r="800">
      <c r="A800" s="6" t="n"/>
      <c r="B800" s="113">
        <f>IF($E800="","","A"&amp;TEXT(ROW()-6,"00000"))</f>
        <v/>
      </c>
      <c r="C800" s="108" t="n"/>
      <c r="D800" s="113">
        <f>IF($E800="","",IFERROR(INDEX(MUSTERILER!$B$7:$B$106,MATCH($E800,MUSTERILER!$C$7:$C$106,0)),IFERROR(INDEX(MUSTERILER!$B$7:$B$106,MATCH($E800,MUSTERILER!$B$7:$B$106,0)),IFERROR(INDEX(MUSTERILER!$B$7:$B$106,MATCH($E800&amp;"*",MUSTERILER!$C$7:$C$106,0)),"TANIMSIZ MÜŞTERİ"))))</f>
        <v/>
      </c>
      <c r="E800" s="109" t="n"/>
      <c r="F800" s="109" t="n"/>
      <c r="G800" s="108" t="n"/>
      <c r="H800" s="225" t="n"/>
      <c r="I800" s="225" t="n"/>
      <c r="J800" s="108" t="n"/>
      <c r="K800" s="108" t="n"/>
      <c r="L800" s="109" t="n"/>
      <c r="M800" s="109" t="n"/>
      <c r="N800" s="109" t="n"/>
      <c r="O800" s="225" t="n"/>
      <c r="P800" s="232">
        <f>IF(OR($E800="",$I800=""),"",IF(OR($J800="Tamamlandı",$J800="İptal"),"",$I800-TODAY()))</f>
        <v/>
      </c>
      <c r="Q800" s="113">
        <f>IF($E800="","",IF($D800="TANIMSIZ MÜŞTERİ","HATA",IF(OR($J800="Tamamlandı",$J800="İptal"),"KAPALI",IF(AND($C800="Görüşme",$N800=""),"SONRAKİ İŞLEM EKSİK",IF($I800="","TARİH EKSİK",IF($I800&lt;TODAY(),"GECİKMİŞ",IF($I800=TODAY(),"BUGÜN",IF($I800&lt;=TODAY()+7,"7 GÜN İÇİNDE","PLANLI"))))))))</f>
        <v/>
      </c>
      <c r="R800" s="6" t="n"/>
      <c r="S800" s="6" t="n"/>
    </row>
    <row r="801">
      <c r="A801" s="6" t="n"/>
      <c r="B801" s="113">
        <f>IF($E801="","","A"&amp;TEXT(ROW()-6,"00000"))</f>
        <v/>
      </c>
      <c r="C801" s="108" t="n"/>
      <c r="D801" s="113">
        <f>IF($E801="","",IFERROR(INDEX(MUSTERILER!$B$7:$B$106,MATCH($E801,MUSTERILER!$C$7:$C$106,0)),IFERROR(INDEX(MUSTERILER!$B$7:$B$106,MATCH($E801,MUSTERILER!$B$7:$B$106,0)),IFERROR(INDEX(MUSTERILER!$B$7:$B$106,MATCH($E801&amp;"*",MUSTERILER!$C$7:$C$106,0)),"TANIMSIZ MÜŞTERİ"))))</f>
        <v/>
      </c>
      <c r="E801" s="109" t="n"/>
      <c r="F801" s="109" t="n"/>
      <c r="G801" s="108" t="n"/>
      <c r="H801" s="225" t="n"/>
      <c r="I801" s="225" t="n"/>
      <c r="J801" s="108" t="n"/>
      <c r="K801" s="108" t="n"/>
      <c r="L801" s="109" t="n"/>
      <c r="M801" s="109" t="n"/>
      <c r="N801" s="109" t="n"/>
      <c r="O801" s="225" t="n"/>
      <c r="P801" s="232">
        <f>IF(OR($E801="",$I801=""),"",IF(OR($J801="Tamamlandı",$J801="İptal"),"",$I801-TODAY()))</f>
        <v/>
      </c>
      <c r="Q801" s="113">
        <f>IF($E801="","",IF($D801="TANIMSIZ MÜŞTERİ","HATA",IF(OR($J801="Tamamlandı",$J801="İptal"),"KAPALI",IF(AND($C801="Görüşme",$N801=""),"SONRAKİ İŞLEM EKSİK",IF($I801="","TARİH EKSİK",IF($I801&lt;TODAY(),"GECİKMİŞ",IF($I801=TODAY(),"BUGÜN",IF($I801&lt;=TODAY()+7,"7 GÜN İÇİNDE","PLANLI"))))))))</f>
        <v/>
      </c>
      <c r="R801" s="6" t="n"/>
      <c r="S801" s="6" t="n"/>
    </row>
    <row r="802">
      <c r="A802" s="6" t="n"/>
      <c r="B802" s="113">
        <f>IF($E802="","","A"&amp;TEXT(ROW()-6,"00000"))</f>
        <v/>
      </c>
      <c r="C802" s="108" t="n"/>
      <c r="D802" s="113">
        <f>IF($E802="","",IFERROR(INDEX(MUSTERILER!$B$7:$B$106,MATCH($E802,MUSTERILER!$C$7:$C$106,0)),IFERROR(INDEX(MUSTERILER!$B$7:$B$106,MATCH($E802,MUSTERILER!$B$7:$B$106,0)),IFERROR(INDEX(MUSTERILER!$B$7:$B$106,MATCH($E802&amp;"*",MUSTERILER!$C$7:$C$106,0)),"TANIMSIZ MÜŞTERİ"))))</f>
        <v/>
      </c>
      <c r="E802" s="109" t="n"/>
      <c r="F802" s="109" t="n"/>
      <c r="G802" s="108" t="n"/>
      <c r="H802" s="225" t="n"/>
      <c r="I802" s="225" t="n"/>
      <c r="J802" s="108" t="n"/>
      <c r="K802" s="108" t="n"/>
      <c r="L802" s="109" t="n"/>
      <c r="M802" s="109" t="n"/>
      <c r="N802" s="109" t="n"/>
      <c r="O802" s="225" t="n"/>
      <c r="P802" s="232">
        <f>IF(OR($E802="",$I802=""),"",IF(OR($J802="Tamamlandı",$J802="İptal"),"",$I802-TODAY()))</f>
        <v/>
      </c>
      <c r="Q802" s="113">
        <f>IF($E802="","",IF($D802="TANIMSIZ MÜŞTERİ","HATA",IF(OR($J802="Tamamlandı",$J802="İptal"),"KAPALI",IF(AND($C802="Görüşme",$N802=""),"SONRAKİ İŞLEM EKSİK",IF($I802="","TARİH EKSİK",IF($I802&lt;TODAY(),"GECİKMİŞ",IF($I802=TODAY(),"BUGÜN",IF($I802&lt;=TODAY()+7,"7 GÜN İÇİNDE","PLANLI"))))))))</f>
        <v/>
      </c>
      <c r="R802" s="6" t="n"/>
      <c r="S802" s="6" t="n"/>
    </row>
    <row r="803">
      <c r="A803" s="6" t="n"/>
      <c r="B803" s="113">
        <f>IF($E803="","","A"&amp;TEXT(ROW()-6,"00000"))</f>
        <v/>
      </c>
      <c r="C803" s="108" t="n"/>
      <c r="D803" s="113">
        <f>IF($E803="","",IFERROR(INDEX(MUSTERILER!$B$7:$B$106,MATCH($E803,MUSTERILER!$C$7:$C$106,0)),IFERROR(INDEX(MUSTERILER!$B$7:$B$106,MATCH($E803,MUSTERILER!$B$7:$B$106,0)),IFERROR(INDEX(MUSTERILER!$B$7:$B$106,MATCH($E803&amp;"*",MUSTERILER!$C$7:$C$106,0)),"TANIMSIZ MÜŞTERİ"))))</f>
        <v/>
      </c>
      <c r="E803" s="109" t="n"/>
      <c r="F803" s="109" t="n"/>
      <c r="G803" s="108" t="n"/>
      <c r="H803" s="225" t="n"/>
      <c r="I803" s="225" t="n"/>
      <c r="J803" s="108" t="n"/>
      <c r="K803" s="108" t="n"/>
      <c r="L803" s="109" t="n"/>
      <c r="M803" s="109" t="n"/>
      <c r="N803" s="109" t="n"/>
      <c r="O803" s="225" t="n"/>
      <c r="P803" s="232">
        <f>IF(OR($E803="",$I803=""),"",IF(OR($J803="Tamamlandı",$J803="İptal"),"",$I803-TODAY()))</f>
        <v/>
      </c>
      <c r="Q803" s="113">
        <f>IF($E803="","",IF($D803="TANIMSIZ MÜŞTERİ","HATA",IF(OR($J803="Tamamlandı",$J803="İptal"),"KAPALI",IF(AND($C803="Görüşme",$N803=""),"SONRAKİ İŞLEM EKSİK",IF($I803="","TARİH EKSİK",IF($I803&lt;TODAY(),"GECİKMİŞ",IF($I803=TODAY(),"BUGÜN",IF($I803&lt;=TODAY()+7,"7 GÜN İÇİNDE","PLANLI"))))))))</f>
        <v/>
      </c>
      <c r="R803" s="6" t="n"/>
      <c r="S803" s="6" t="n"/>
    </row>
    <row r="804">
      <c r="A804" s="6" t="n"/>
      <c r="B804" s="113">
        <f>IF($E804="","","A"&amp;TEXT(ROW()-6,"00000"))</f>
        <v/>
      </c>
      <c r="C804" s="108" t="n"/>
      <c r="D804" s="113">
        <f>IF($E804="","",IFERROR(INDEX(MUSTERILER!$B$7:$B$106,MATCH($E804,MUSTERILER!$C$7:$C$106,0)),IFERROR(INDEX(MUSTERILER!$B$7:$B$106,MATCH($E804,MUSTERILER!$B$7:$B$106,0)),IFERROR(INDEX(MUSTERILER!$B$7:$B$106,MATCH($E804&amp;"*",MUSTERILER!$C$7:$C$106,0)),"TANIMSIZ MÜŞTERİ"))))</f>
        <v/>
      </c>
      <c r="E804" s="109" t="n"/>
      <c r="F804" s="109" t="n"/>
      <c r="G804" s="108" t="n"/>
      <c r="H804" s="225" t="n"/>
      <c r="I804" s="225" t="n"/>
      <c r="J804" s="108" t="n"/>
      <c r="K804" s="108" t="n"/>
      <c r="L804" s="109" t="n"/>
      <c r="M804" s="109" t="n"/>
      <c r="N804" s="109" t="n"/>
      <c r="O804" s="225" t="n"/>
      <c r="P804" s="232">
        <f>IF(OR($E804="",$I804=""),"",IF(OR($J804="Tamamlandı",$J804="İptal"),"",$I804-TODAY()))</f>
        <v/>
      </c>
      <c r="Q804" s="113">
        <f>IF($E804="","",IF($D804="TANIMSIZ MÜŞTERİ","HATA",IF(OR($J804="Tamamlandı",$J804="İptal"),"KAPALI",IF(AND($C804="Görüşme",$N804=""),"SONRAKİ İŞLEM EKSİK",IF($I804="","TARİH EKSİK",IF($I804&lt;TODAY(),"GECİKMİŞ",IF($I804=TODAY(),"BUGÜN",IF($I804&lt;=TODAY()+7,"7 GÜN İÇİNDE","PLANLI"))))))))</f>
        <v/>
      </c>
      <c r="R804" s="6" t="n"/>
      <c r="S804" s="6" t="n"/>
    </row>
    <row r="805">
      <c r="A805" s="6" t="n"/>
      <c r="B805" s="113">
        <f>IF($E805="","","A"&amp;TEXT(ROW()-6,"00000"))</f>
        <v/>
      </c>
      <c r="C805" s="108" t="n"/>
      <c r="D805" s="113">
        <f>IF($E805="","",IFERROR(INDEX(MUSTERILER!$B$7:$B$106,MATCH($E805,MUSTERILER!$C$7:$C$106,0)),IFERROR(INDEX(MUSTERILER!$B$7:$B$106,MATCH($E805,MUSTERILER!$B$7:$B$106,0)),IFERROR(INDEX(MUSTERILER!$B$7:$B$106,MATCH($E805&amp;"*",MUSTERILER!$C$7:$C$106,0)),"TANIMSIZ MÜŞTERİ"))))</f>
        <v/>
      </c>
      <c r="E805" s="109" t="n"/>
      <c r="F805" s="109" t="n"/>
      <c r="G805" s="108" t="n"/>
      <c r="H805" s="225" t="n"/>
      <c r="I805" s="225" t="n"/>
      <c r="J805" s="108" t="n"/>
      <c r="K805" s="108" t="n"/>
      <c r="L805" s="109" t="n"/>
      <c r="M805" s="109" t="n"/>
      <c r="N805" s="109" t="n"/>
      <c r="O805" s="225" t="n"/>
      <c r="P805" s="232">
        <f>IF(OR($E805="",$I805=""),"",IF(OR($J805="Tamamlandı",$J805="İptal"),"",$I805-TODAY()))</f>
        <v/>
      </c>
      <c r="Q805" s="113">
        <f>IF($E805="","",IF($D805="TANIMSIZ MÜŞTERİ","HATA",IF(OR($J805="Tamamlandı",$J805="İptal"),"KAPALI",IF(AND($C805="Görüşme",$N805=""),"SONRAKİ İŞLEM EKSİK",IF($I805="","TARİH EKSİK",IF($I805&lt;TODAY(),"GECİKMİŞ",IF($I805=TODAY(),"BUGÜN",IF($I805&lt;=TODAY()+7,"7 GÜN İÇİNDE","PLANLI"))))))))</f>
        <v/>
      </c>
      <c r="R805" s="6" t="n"/>
      <c r="S805" s="6" t="n"/>
    </row>
    <row r="806">
      <c r="A806" s="6" t="n"/>
      <c r="B806" s="113">
        <f>IF($E806="","","A"&amp;TEXT(ROW()-6,"00000"))</f>
        <v/>
      </c>
      <c r="C806" s="108" t="n"/>
      <c r="D806" s="113">
        <f>IF($E806="","",IFERROR(INDEX(MUSTERILER!$B$7:$B$106,MATCH($E806,MUSTERILER!$C$7:$C$106,0)),IFERROR(INDEX(MUSTERILER!$B$7:$B$106,MATCH($E806,MUSTERILER!$B$7:$B$106,0)),IFERROR(INDEX(MUSTERILER!$B$7:$B$106,MATCH($E806&amp;"*",MUSTERILER!$C$7:$C$106,0)),"TANIMSIZ MÜŞTERİ"))))</f>
        <v/>
      </c>
      <c r="E806" s="109" t="n"/>
      <c r="F806" s="109" t="n"/>
      <c r="G806" s="108" t="n"/>
      <c r="H806" s="225" t="n"/>
      <c r="I806" s="225" t="n"/>
      <c r="J806" s="108" t="n"/>
      <c r="K806" s="108" t="n"/>
      <c r="L806" s="109" t="n"/>
      <c r="M806" s="109" t="n"/>
      <c r="N806" s="109" t="n"/>
      <c r="O806" s="225" t="n"/>
      <c r="P806" s="232">
        <f>IF(OR($E806="",$I806=""),"",IF(OR($J806="Tamamlandı",$J806="İptal"),"",$I806-TODAY()))</f>
        <v/>
      </c>
      <c r="Q806" s="113">
        <f>IF($E806="","",IF($D806="TANIMSIZ MÜŞTERİ","HATA",IF(OR($J806="Tamamlandı",$J806="İptal"),"KAPALI",IF(AND($C806="Görüşme",$N806=""),"SONRAKİ İŞLEM EKSİK",IF($I806="","TARİH EKSİK",IF($I806&lt;TODAY(),"GECİKMİŞ",IF($I806=TODAY(),"BUGÜN",IF($I806&lt;=TODAY()+7,"7 GÜN İÇİNDE","PLANLI"))))))))</f>
        <v/>
      </c>
      <c r="R806" s="6" t="n"/>
      <c r="S806" s="6" t="n"/>
    </row>
    <row r="807">
      <c r="A807" s="6" t="n"/>
      <c r="B807" s="113">
        <f>IF($E807="","","A"&amp;TEXT(ROW()-6,"00000"))</f>
        <v/>
      </c>
      <c r="C807" s="108" t="n"/>
      <c r="D807" s="113">
        <f>IF($E807="","",IFERROR(INDEX(MUSTERILER!$B$7:$B$106,MATCH($E807,MUSTERILER!$C$7:$C$106,0)),IFERROR(INDEX(MUSTERILER!$B$7:$B$106,MATCH($E807,MUSTERILER!$B$7:$B$106,0)),IFERROR(INDEX(MUSTERILER!$B$7:$B$106,MATCH($E807&amp;"*",MUSTERILER!$C$7:$C$106,0)),"TANIMSIZ MÜŞTERİ"))))</f>
        <v/>
      </c>
      <c r="E807" s="109" t="n"/>
      <c r="F807" s="109" t="n"/>
      <c r="G807" s="108" t="n"/>
      <c r="H807" s="225" t="n"/>
      <c r="I807" s="225" t="n"/>
      <c r="J807" s="108" t="n"/>
      <c r="K807" s="108" t="n"/>
      <c r="L807" s="109" t="n"/>
      <c r="M807" s="109" t="n"/>
      <c r="N807" s="109" t="n"/>
      <c r="O807" s="225" t="n"/>
      <c r="P807" s="232">
        <f>IF(OR($E807="",$I807=""),"",IF(OR($J807="Tamamlandı",$J807="İptal"),"",$I807-TODAY()))</f>
        <v/>
      </c>
      <c r="Q807" s="113">
        <f>IF($E807="","",IF($D807="TANIMSIZ MÜŞTERİ","HATA",IF(OR($J807="Tamamlandı",$J807="İptal"),"KAPALI",IF(AND($C807="Görüşme",$N807=""),"SONRAKİ İŞLEM EKSİK",IF($I807="","TARİH EKSİK",IF($I807&lt;TODAY(),"GECİKMİŞ",IF($I807=TODAY(),"BUGÜN",IF($I807&lt;=TODAY()+7,"7 GÜN İÇİNDE","PLANLI"))))))))</f>
        <v/>
      </c>
      <c r="R807" s="6" t="n"/>
      <c r="S807" s="6" t="n"/>
    </row>
    <row r="808">
      <c r="A808" s="6" t="n"/>
      <c r="B808" s="113">
        <f>IF($E808="","","A"&amp;TEXT(ROW()-6,"00000"))</f>
        <v/>
      </c>
      <c r="C808" s="108" t="n"/>
      <c r="D808" s="113">
        <f>IF($E808="","",IFERROR(INDEX(MUSTERILER!$B$7:$B$106,MATCH($E808,MUSTERILER!$C$7:$C$106,0)),IFERROR(INDEX(MUSTERILER!$B$7:$B$106,MATCH($E808,MUSTERILER!$B$7:$B$106,0)),IFERROR(INDEX(MUSTERILER!$B$7:$B$106,MATCH($E808&amp;"*",MUSTERILER!$C$7:$C$106,0)),"TANIMSIZ MÜŞTERİ"))))</f>
        <v/>
      </c>
      <c r="E808" s="109" t="n"/>
      <c r="F808" s="109" t="n"/>
      <c r="G808" s="108" t="n"/>
      <c r="H808" s="225" t="n"/>
      <c r="I808" s="225" t="n"/>
      <c r="J808" s="108" t="n"/>
      <c r="K808" s="108" t="n"/>
      <c r="L808" s="109" t="n"/>
      <c r="M808" s="109" t="n"/>
      <c r="N808" s="109" t="n"/>
      <c r="O808" s="225" t="n"/>
      <c r="P808" s="232">
        <f>IF(OR($E808="",$I808=""),"",IF(OR($J808="Tamamlandı",$J808="İptal"),"",$I808-TODAY()))</f>
        <v/>
      </c>
      <c r="Q808" s="113">
        <f>IF($E808="","",IF($D808="TANIMSIZ MÜŞTERİ","HATA",IF(OR($J808="Tamamlandı",$J808="İptal"),"KAPALI",IF(AND($C808="Görüşme",$N808=""),"SONRAKİ İŞLEM EKSİK",IF($I808="","TARİH EKSİK",IF($I808&lt;TODAY(),"GECİKMİŞ",IF($I808=TODAY(),"BUGÜN",IF($I808&lt;=TODAY()+7,"7 GÜN İÇİNDE","PLANLI"))))))))</f>
        <v/>
      </c>
      <c r="R808" s="6" t="n"/>
      <c r="S808" s="6" t="n"/>
    </row>
    <row r="809">
      <c r="A809" s="6" t="n"/>
      <c r="B809" s="113">
        <f>IF($E809="","","A"&amp;TEXT(ROW()-6,"00000"))</f>
        <v/>
      </c>
      <c r="C809" s="108" t="n"/>
      <c r="D809" s="113">
        <f>IF($E809="","",IFERROR(INDEX(MUSTERILER!$B$7:$B$106,MATCH($E809,MUSTERILER!$C$7:$C$106,0)),IFERROR(INDEX(MUSTERILER!$B$7:$B$106,MATCH($E809,MUSTERILER!$B$7:$B$106,0)),IFERROR(INDEX(MUSTERILER!$B$7:$B$106,MATCH($E809&amp;"*",MUSTERILER!$C$7:$C$106,0)),"TANIMSIZ MÜŞTERİ"))))</f>
        <v/>
      </c>
      <c r="E809" s="109" t="n"/>
      <c r="F809" s="109" t="n"/>
      <c r="G809" s="108" t="n"/>
      <c r="H809" s="225" t="n"/>
      <c r="I809" s="225" t="n"/>
      <c r="J809" s="108" t="n"/>
      <c r="K809" s="108" t="n"/>
      <c r="L809" s="109" t="n"/>
      <c r="M809" s="109" t="n"/>
      <c r="N809" s="109" t="n"/>
      <c r="O809" s="225" t="n"/>
      <c r="P809" s="232">
        <f>IF(OR($E809="",$I809=""),"",IF(OR($J809="Tamamlandı",$J809="İptal"),"",$I809-TODAY()))</f>
        <v/>
      </c>
      <c r="Q809" s="113">
        <f>IF($E809="","",IF($D809="TANIMSIZ MÜŞTERİ","HATA",IF(OR($J809="Tamamlandı",$J809="İptal"),"KAPALI",IF(AND($C809="Görüşme",$N809=""),"SONRAKİ İŞLEM EKSİK",IF($I809="","TARİH EKSİK",IF($I809&lt;TODAY(),"GECİKMİŞ",IF($I809=TODAY(),"BUGÜN",IF($I809&lt;=TODAY()+7,"7 GÜN İÇİNDE","PLANLI"))))))))</f>
        <v/>
      </c>
      <c r="R809" s="6" t="n"/>
      <c r="S809" s="6" t="n"/>
    </row>
    <row r="810">
      <c r="A810" s="6" t="n"/>
      <c r="B810" s="113">
        <f>IF($E810="","","A"&amp;TEXT(ROW()-6,"00000"))</f>
        <v/>
      </c>
      <c r="C810" s="108" t="n"/>
      <c r="D810" s="113">
        <f>IF($E810="","",IFERROR(INDEX(MUSTERILER!$B$7:$B$106,MATCH($E810,MUSTERILER!$C$7:$C$106,0)),IFERROR(INDEX(MUSTERILER!$B$7:$B$106,MATCH($E810,MUSTERILER!$B$7:$B$106,0)),IFERROR(INDEX(MUSTERILER!$B$7:$B$106,MATCH($E810&amp;"*",MUSTERILER!$C$7:$C$106,0)),"TANIMSIZ MÜŞTERİ"))))</f>
        <v/>
      </c>
      <c r="E810" s="109" t="n"/>
      <c r="F810" s="109" t="n"/>
      <c r="G810" s="108" t="n"/>
      <c r="H810" s="225" t="n"/>
      <c r="I810" s="225" t="n"/>
      <c r="J810" s="108" t="n"/>
      <c r="K810" s="108" t="n"/>
      <c r="L810" s="109" t="n"/>
      <c r="M810" s="109" t="n"/>
      <c r="N810" s="109" t="n"/>
      <c r="O810" s="225" t="n"/>
      <c r="P810" s="232">
        <f>IF(OR($E810="",$I810=""),"",IF(OR($J810="Tamamlandı",$J810="İptal"),"",$I810-TODAY()))</f>
        <v/>
      </c>
      <c r="Q810" s="113">
        <f>IF($E810="","",IF($D810="TANIMSIZ MÜŞTERİ","HATA",IF(OR($J810="Tamamlandı",$J810="İptal"),"KAPALI",IF(AND($C810="Görüşme",$N810=""),"SONRAKİ İŞLEM EKSİK",IF($I810="","TARİH EKSİK",IF($I810&lt;TODAY(),"GECİKMİŞ",IF($I810=TODAY(),"BUGÜN",IF($I810&lt;=TODAY()+7,"7 GÜN İÇİNDE","PLANLI"))))))))</f>
        <v/>
      </c>
      <c r="R810" s="6" t="n"/>
      <c r="S810" s="6" t="n"/>
    </row>
    <row r="811">
      <c r="A811" s="6" t="n"/>
      <c r="B811" s="113">
        <f>IF($E811="","","A"&amp;TEXT(ROW()-6,"00000"))</f>
        <v/>
      </c>
      <c r="C811" s="108" t="n"/>
      <c r="D811" s="113">
        <f>IF($E811="","",IFERROR(INDEX(MUSTERILER!$B$7:$B$106,MATCH($E811,MUSTERILER!$C$7:$C$106,0)),IFERROR(INDEX(MUSTERILER!$B$7:$B$106,MATCH($E811,MUSTERILER!$B$7:$B$106,0)),IFERROR(INDEX(MUSTERILER!$B$7:$B$106,MATCH($E811&amp;"*",MUSTERILER!$C$7:$C$106,0)),"TANIMSIZ MÜŞTERİ"))))</f>
        <v/>
      </c>
      <c r="E811" s="109" t="n"/>
      <c r="F811" s="109" t="n"/>
      <c r="G811" s="108" t="n"/>
      <c r="H811" s="225" t="n"/>
      <c r="I811" s="225" t="n"/>
      <c r="J811" s="108" t="n"/>
      <c r="K811" s="108" t="n"/>
      <c r="L811" s="109" t="n"/>
      <c r="M811" s="109" t="n"/>
      <c r="N811" s="109" t="n"/>
      <c r="O811" s="225" t="n"/>
      <c r="P811" s="232">
        <f>IF(OR($E811="",$I811=""),"",IF(OR($J811="Tamamlandı",$J811="İptal"),"",$I811-TODAY()))</f>
        <v/>
      </c>
      <c r="Q811" s="113">
        <f>IF($E811="","",IF($D811="TANIMSIZ MÜŞTERİ","HATA",IF(OR($J811="Tamamlandı",$J811="İptal"),"KAPALI",IF(AND($C811="Görüşme",$N811=""),"SONRAKİ İŞLEM EKSİK",IF($I811="","TARİH EKSİK",IF($I811&lt;TODAY(),"GECİKMİŞ",IF($I811=TODAY(),"BUGÜN",IF($I811&lt;=TODAY()+7,"7 GÜN İÇİNDE","PLANLI"))))))))</f>
        <v/>
      </c>
      <c r="R811" s="6" t="n"/>
      <c r="S811" s="6" t="n"/>
    </row>
    <row r="812">
      <c r="A812" s="6" t="n"/>
      <c r="B812" s="113">
        <f>IF($E812="","","A"&amp;TEXT(ROW()-6,"00000"))</f>
        <v/>
      </c>
      <c r="C812" s="108" t="n"/>
      <c r="D812" s="113">
        <f>IF($E812="","",IFERROR(INDEX(MUSTERILER!$B$7:$B$106,MATCH($E812,MUSTERILER!$C$7:$C$106,0)),IFERROR(INDEX(MUSTERILER!$B$7:$B$106,MATCH($E812,MUSTERILER!$B$7:$B$106,0)),IFERROR(INDEX(MUSTERILER!$B$7:$B$106,MATCH($E812&amp;"*",MUSTERILER!$C$7:$C$106,0)),"TANIMSIZ MÜŞTERİ"))))</f>
        <v/>
      </c>
      <c r="E812" s="109" t="n"/>
      <c r="F812" s="109" t="n"/>
      <c r="G812" s="108" t="n"/>
      <c r="H812" s="225" t="n"/>
      <c r="I812" s="225" t="n"/>
      <c r="J812" s="108" t="n"/>
      <c r="K812" s="108" t="n"/>
      <c r="L812" s="109" t="n"/>
      <c r="M812" s="109" t="n"/>
      <c r="N812" s="109" t="n"/>
      <c r="O812" s="225" t="n"/>
      <c r="P812" s="232">
        <f>IF(OR($E812="",$I812=""),"",IF(OR($J812="Tamamlandı",$J812="İptal"),"",$I812-TODAY()))</f>
        <v/>
      </c>
      <c r="Q812" s="113">
        <f>IF($E812="","",IF($D812="TANIMSIZ MÜŞTERİ","HATA",IF(OR($J812="Tamamlandı",$J812="İptal"),"KAPALI",IF(AND($C812="Görüşme",$N812=""),"SONRAKİ İŞLEM EKSİK",IF($I812="","TARİH EKSİK",IF($I812&lt;TODAY(),"GECİKMİŞ",IF($I812=TODAY(),"BUGÜN",IF($I812&lt;=TODAY()+7,"7 GÜN İÇİNDE","PLANLI"))))))))</f>
        <v/>
      </c>
      <c r="R812" s="6" t="n"/>
      <c r="S812" s="6" t="n"/>
    </row>
    <row r="813">
      <c r="A813" s="6" t="n"/>
      <c r="B813" s="113">
        <f>IF($E813="","","A"&amp;TEXT(ROW()-6,"00000"))</f>
        <v/>
      </c>
      <c r="C813" s="108" t="n"/>
      <c r="D813" s="113">
        <f>IF($E813="","",IFERROR(INDEX(MUSTERILER!$B$7:$B$106,MATCH($E813,MUSTERILER!$C$7:$C$106,0)),IFERROR(INDEX(MUSTERILER!$B$7:$B$106,MATCH($E813,MUSTERILER!$B$7:$B$106,0)),IFERROR(INDEX(MUSTERILER!$B$7:$B$106,MATCH($E813&amp;"*",MUSTERILER!$C$7:$C$106,0)),"TANIMSIZ MÜŞTERİ"))))</f>
        <v/>
      </c>
      <c r="E813" s="109" t="n"/>
      <c r="F813" s="109" t="n"/>
      <c r="G813" s="108" t="n"/>
      <c r="H813" s="225" t="n"/>
      <c r="I813" s="225" t="n"/>
      <c r="J813" s="108" t="n"/>
      <c r="K813" s="108" t="n"/>
      <c r="L813" s="109" t="n"/>
      <c r="M813" s="109" t="n"/>
      <c r="N813" s="109" t="n"/>
      <c r="O813" s="225" t="n"/>
      <c r="P813" s="232">
        <f>IF(OR($E813="",$I813=""),"",IF(OR($J813="Tamamlandı",$J813="İptal"),"",$I813-TODAY()))</f>
        <v/>
      </c>
      <c r="Q813" s="113">
        <f>IF($E813="","",IF($D813="TANIMSIZ MÜŞTERİ","HATA",IF(OR($J813="Tamamlandı",$J813="İptal"),"KAPALI",IF(AND($C813="Görüşme",$N813=""),"SONRAKİ İŞLEM EKSİK",IF($I813="","TARİH EKSİK",IF($I813&lt;TODAY(),"GECİKMİŞ",IF($I813=TODAY(),"BUGÜN",IF($I813&lt;=TODAY()+7,"7 GÜN İÇİNDE","PLANLI"))))))))</f>
        <v/>
      </c>
      <c r="R813" s="6" t="n"/>
      <c r="S813" s="6" t="n"/>
    </row>
    <row r="814">
      <c r="A814" s="6" t="n"/>
      <c r="B814" s="113">
        <f>IF($E814="","","A"&amp;TEXT(ROW()-6,"00000"))</f>
        <v/>
      </c>
      <c r="C814" s="108" t="n"/>
      <c r="D814" s="113">
        <f>IF($E814="","",IFERROR(INDEX(MUSTERILER!$B$7:$B$106,MATCH($E814,MUSTERILER!$C$7:$C$106,0)),IFERROR(INDEX(MUSTERILER!$B$7:$B$106,MATCH($E814,MUSTERILER!$B$7:$B$106,0)),IFERROR(INDEX(MUSTERILER!$B$7:$B$106,MATCH($E814&amp;"*",MUSTERILER!$C$7:$C$106,0)),"TANIMSIZ MÜŞTERİ"))))</f>
        <v/>
      </c>
      <c r="E814" s="109" t="n"/>
      <c r="F814" s="109" t="n"/>
      <c r="G814" s="108" t="n"/>
      <c r="H814" s="225" t="n"/>
      <c r="I814" s="225" t="n"/>
      <c r="J814" s="108" t="n"/>
      <c r="K814" s="108" t="n"/>
      <c r="L814" s="109" t="n"/>
      <c r="M814" s="109" t="n"/>
      <c r="N814" s="109" t="n"/>
      <c r="O814" s="225" t="n"/>
      <c r="P814" s="232">
        <f>IF(OR($E814="",$I814=""),"",IF(OR($J814="Tamamlandı",$J814="İptal"),"",$I814-TODAY()))</f>
        <v/>
      </c>
      <c r="Q814" s="113">
        <f>IF($E814="","",IF($D814="TANIMSIZ MÜŞTERİ","HATA",IF(OR($J814="Tamamlandı",$J814="İptal"),"KAPALI",IF(AND($C814="Görüşme",$N814=""),"SONRAKİ İŞLEM EKSİK",IF($I814="","TARİH EKSİK",IF($I814&lt;TODAY(),"GECİKMİŞ",IF($I814=TODAY(),"BUGÜN",IF($I814&lt;=TODAY()+7,"7 GÜN İÇİNDE","PLANLI"))))))))</f>
        <v/>
      </c>
      <c r="R814" s="6" t="n"/>
      <c r="S814" s="6" t="n"/>
    </row>
    <row r="815">
      <c r="A815" s="6" t="n"/>
      <c r="B815" s="113">
        <f>IF($E815="","","A"&amp;TEXT(ROW()-6,"00000"))</f>
        <v/>
      </c>
      <c r="C815" s="108" t="n"/>
      <c r="D815" s="113">
        <f>IF($E815="","",IFERROR(INDEX(MUSTERILER!$B$7:$B$106,MATCH($E815,MUSTERILER!$C$7:$C$106,0)),IFERROR(INDEX(MUSTERILER!$B$7:$B$106,MATCH($E815,MUSTERILER!$B$7:$B$106,0)),IFERROR(INDEX(MUSTERILER!$B$7:$B$106,MATCH($E815&amp;"*",MUSTERILER!$C$7:$C$106,0)),"TANIMSIZ MÜŞTERİ"))))</f>
        <v/>
      </c>
      <c r="E815" s="109" t="n"/>
      <c r="F815" s="109" t="n"/>
      <c r="G815" s="108" t="n"/>
      <c r="H815" s="225" t="n"/>
      <c r="I815" s="225" t="n"/>
      <c r="J815" s="108" t="n"/>
      <c r="K815" s="108" t="n"/>
      <c r="L815" s="109" t="n"/>
      <c r="M815" s="109" t="n"/>
      <c r="N815" s="109" t="n"/>
      <c r="O815" s="225" t="n"/>
      <c r="P815" s="232">
        <f>IF(OR($E815="",$I815=""),"",IF(OR($J815="Tamamlandı",$J815="İptal"),"",$I815-TODAY()))</f>
        <v/>
      </c>
      <c r="Q815" s="113">
        <f>IF($E815="","",IF($D815="TANIMSIZ MÜŞTERİ","HATA",IF(OR($J815="Tamamlandı",$J815="İptal"),"KAPALI",IF(AND($C815="Görüşme",$N815=""),"SONRAKİ İŞLEM EKSİK",IF($I815="","TARİH EKSİK",IF($I815&lt;TODAY(),"GECİKMİŞ",IF($I815=TODAY(),"BUGÜN",IF($I815&lt;=TODAY()+7,"7 GÜN İÇİNDE","PLANLI"))))))))</f>
        <v/>
      </c>
      <c r="R815" s="6" t="n"/>
      <c r="S815" s="6" t="n"/>
    </row>
    <row r="816">
      <c r="A816" s="6" t="n"/>
      <c r="B816" s="113">
        <f>IF($E816="","","A"&amp;TEXT(ROW()-6,"00000"))</f>
        <v/>
      </c>
      <c r="C816" s="108" t="n"/>
      <c r="D816" s="113">
        <f>IF($E816="","",IFERROR(INDEX(MUSTERILER!$B$7:$B$106,MATCH($E816,MUSTERILER!$C$7:$C$106,0)),IFERROR(INDEX(MUSTERILER!$B$7:$B$106,MATCH($E816,MUSTERILER!$B$7:$B$106,0)),IFERROR(INDEX(MUSTERILER!$B$7:$B$106,MATCH($E816&amp;"*",MUSTERILER!$C$7:$C$106,0)),"TANIMSIZ MÜŞTERİ"))))</f>
        <v/>
      </c>
      <c r="E816" s="109" t="n"/>
      <c r="F816" s="109" t="n"/>
      <c r="G816" s="108" t="n"/>
      <c r="H816" s="225" t="n"/>
      <c r="I816" s="225" t="n"/>
      <c r="J816" s="108" t="n"/>
      <c r="K816" s="108" t="n"/>
      <c r="L816" s="109" t="n"/>
      <c r="M816" s="109" t="n"/>
      <c r="N816" s="109" t="n"/>
      <c r="O816" s="225" t="n"/>
      <c r="P816" s="232">
        <f>IF(OR($E816="",$I816=""),"",IF(OR($J816="Tamamlandı",$J816="İptal"),"",$I816-TODAY()))</f>
        <v/>
      </c>
      <c r="Q816" s="113">
        <f>IF($E816="","",IF($D816="TANIMSIZ MÜŞTERİ","HATA",IF(OR($J816="Tamamlandı",$J816="İptal"),"KAPALI",IF(AND($C816="Görüşme",$N816=""),"SONRAKİ İŞLEM EKSİK",IF($I816="","TARİH EKSİK",IF($I816&lt;TODAY(),"GECİKMİŞ",IF($I816=TODAY(),"BUGÜN",IF($I816&lt;=TODAY()+7,"7 GÜN İÇİNDE","PLANLI"))))))))</f>
        <v/>
      </c>
      <c r="R816" s="6" t="n"/>
      <c r="S816" s="6" t="n"/>
    </row>
    <row r="817">
      <c r="A817" s="6" t="n"/>
      <c r="B817" s="113">
        <f>IF($E817="","","A"&amp;TEXT(ROW()-6,"00000"))</f>
        <v/>
      </c>
      <c r="C817" s="108" t="n"/>
      <c r="D817" s="113">
        <f>IF($E817="","",IFERROR(INDEX(MUSTERILER!$B$7:$B$106,MATCH($E817,MUSTERILER!$C$7:$C$106,0)),IFERROR(INDEX(MUSTERILER!$B$7:$B$106,MATCH($E817,MUSTERILER!$B$7:$B$106,0)),IFERROR(INDEX(MUSTERILER!$B$7:$B$106,MATCH($E817&amp;"*",MUSTERILER!$C$7:$C$106,0)),"TANIMSIZ MÜŞTERİ"))))</f>
        <v/>
      </c>
      <c r="E817" s="109" t="n"/>
      <c r="F817" s="109" t="n"/>
      <c r="G817" s="108" t="n"/>
      <c r="H817" s="225" t="n"/>
      <c r="I817" s="225" t="n"/>
      <c r="J817" s="108" t="n"/>
      <c r="K817" s="108" t="n"/>
      <c r="L817" s="109" t="n"/>
      <c r="M817" s="109" t="n"/>
      <c r="N817" s="109" t="n"/>
      <c r="O817" s="225" t="n"/>
      <c r="P817" s="232">
        <f>IF(OR($E817="",$I817=""),"",IF(OR($J817="Tamamlandı",$J817="İptal"),"",$I817-TODAY()))</f>
        <v/>
      </c>
      <c r="Q817" s="113">
        <f>IF($E817="","",IF($D817="TANIMSIZ MÜŞTERİ","HATA",IF(OR($J817="Tamamlandı",$J817="İptal"),"KAPALI",IF(AND($C817="Görüşme",$N817=""),"SONRAKİ İŞLEM EKSİK",IF($I817="","TARİH EKSİK",IF($I817&lt;TODAY(),"GECİKMİŞ",IF($I817=TODAY(),"BUGÜN",IF($I817&lt;=TODAY()+7,"7 GÜN İÇİNDE","PLANLI"))))))))</f>
        <v/>
      </c>
      <c r="R817" s="6" t="n"/>
      <c r="S817" s="6" t="n"/>
    </row>
    <row r="818">
      <c r="A818" s="6" t="n"/>
      <c r="B818" s="113">
        <f>IF($E818="","","A"&amp;TEXT(ROW()-6,"00000"))</f>
        <v/>
      </c>
      <c r="C818" s="108" t="n"/>
      <c r="D818" s="113">
        <f>IF($E818="","",IFERROR(INDEX(MUSTERILER!$B$7:$B$106,MATCH($E818,MUSTERILER!$C$7:$C$106,0)),IFERROR(INDEX(MUSTERILER!$B$7:$B$106,MATCH($E818,MUSTERILER!$B$7:$B$106,0)),IFERROR(INDEX(MUSTERILER!$B$7:$B$106,MATCH($E818&amp;"*",MUSTERILER!$C$7:$C$106,0)),"TANIMSIZ MÜŞTERİ"))))</f>
        <v/>
      </c>
      <c r="E818" s="109" t="n"/>
      <c r="F818" s="109" t="n"/>
      <c r="G818" s="108" t="n"/>
      <c r="H818" s="225" t="n"/>
      <c r="I818" s="225" t="n"/>
      <c r="J818" s="108" t="n"/>
      <c r="K818" s="108" t="n"/>
      <c r="L818" s="109" t="n"/>
      <c r="M818" s="109" t="n"/>
      <c r="N818" s="109" t="n"/>
      <c r="O818" s="225" t="n"/>
      <c r="P818" s="232">
        <f>IF(OR($E818="",$I818=""),"",IF(OR($J818="Tamamlandı",$J818="İptal"),"",$I818-TODAY()))</f>
        <v/>
      </c>
      <c r="Q818" s="113">
        <f>IF($E818="","",IF($D818="TANIMSIZ MÜŞTERİ","HATA",IF(OR($J818="Tamamlandı",$J818="İptal"),"KAPALI",IF(AND($C818="Görüşme",$N818=""),"SONRAKİ İŞLEM EKSİK",IF($I818="","TARİH EKSİK",IF($I818&lt;TODAY(),"GECİKMİŞ",IF($I818=TODAY(),"BUGÜN",IF($I818&lt;=TODAY()+7,"7 GÜN İÇİNDE","PLANLI"))))))))</f>
        <v/>
      </c>
      <c r="R818" s="6" t="n"/>
      <c r="S818" s="6" t="n"/>
    </row>
    <row r="819">
      <c r="A819" s="6" t="n"/>
      <c r="B819" s="113">
        <f>IF($E819="","","A"&amp;TEXT(ROW()-6,"00000"))</f>
        <v/>
      </c>
      <c r="C819" s="108" t="n"/>
      <c r="D819" s="113">
        <f>IF($E819="","",IFERROR(INDEX(MUSTERILER!$B$7:$B$106,MATCH($E819,MUSTERILER!$C$7:$C$106,0)),IFERROR(INDEX(MUSTERILER!$B$7:$B$106,MATCH($E819,MUSTERILER!$B$7:$B$106,0)),IFERROR(INDEX(MUSTERILER!$B$7:$B$106,MATCH($E819&amp;"*",MUSTERILER!$C$7:$C$106,0)),"TANIMSIZ MÜŞTERİ"))))</f>
        <v/>
      </c>
      <c r="E819" s="109" t="n"/>
      <c r="F819" s="109" t="n"/>
      <c r="G819" s="108" t="n"/>
      <c r="H819" s="225" t="n"/>
      <c r="I819" s="225" t="n"/>
      <c r="J819" s="108" t="n"/>
      <c r="K819" s="108" t="n"/>
      <c r="L819" s="109" t="n"/>
      <c r="M819" s="109" t="n"/>
      <c r="N819" s="109" t="n"/>
      <c r="O819" s="225" t="n"/>
      <c r="P819" s="232">
        <f>IF(OR($E819="",$I819=""),"",IF(OR($J819="Tamamlandı",$J819="İptal"),"",$I819-TODAY()))</f>
        <v/>
      </c>
      <c r="Q819" s="113">
        <f>IF($E819="","",IF($D819="TANIMSIZ MÜŞTERİ","HATA",IF(OR($J819="Tamamlandı",$J819="İptal"),"KAPALI",IF(AND($C819="Görüşme",$N819=""),"SONRAKİ İŞLEM EKSİK",IF($I819="","TARİH EKSİK",IF($I819&lt;TODAY(),"GECİKMİŞ",IF($I819=TODAY(),"BUGÜN",IF($I819&lt;=TODAY()+7,"7 GÜN İÇİNDE","PLANLI"))))))))</f>
        <v/>
      </c>
      <c r="R819" s="6" t="n"/>
      <c r="S819" s="6" t="n"/>
    </row>
    <row r="820">
      <c r="A820" s="6" t="n"/>
      <c r="B820" s="113">
        <f>IF($E820="","","A"&amp;TEXT(ROW()-6,"00000"))</f>
        <v/>
      </c>
      <c r="C820" s="108" t="n"/>
      <c r="D820" s="113">
        <f>IF($E820="","",IFERROR(INDEX(MUSTERILER!$B$7:$B$106,MATCH($E820,MUSTERILER!$C$7:$C$106,0)),IFERROR(INDEX(MUSTERILER!$B$7:$B$106,MATCH($E820,MUSTERILER!$B$7:$B$106,0)),IFERROR(INDEX(MUSTERILER!$B$7:$B$106,MATCH($E820&amp;"*",MUSTERILER!$C$7:$C$106,0)),"TANIMSIZ MÜŞTERİ"))))</f>
        <v/>
      </c>
      <c r="E820" s="109" t="n"/>
      <c r="F820" s="109" t="n"/>
      <c r="G820" s="108" t="n"/>
      <c r="H820" s="225" t="n"/>
      <c r="I820" s="225" t="n"/>
      <c r="J820" s="108" t="n"/>
      <c r="K820" s="108" t="n"/>
      <c r="L820" s="109" t="n"/>
      <c r="M820" s="109" t="n"/>
      <c r="N820" s="109" t="n"/>
      <c r="O820" s="225" t="n"/>
      <c r="P820" s="232">
        <f>IF(OR($E820="",$I820=""),"",IF(OR($J820="Tamamlandı",$J820="İptal"),"",$I820-TODAY()))</f>
        <v/>
      </c>
      <c r="Q820" s="113">
        <f>IF($E820="","",IF($D820="TANIMSIZ MÜŞTERİ","HATA",IF(OR($J820="Tamamlandı",$J820="İptal"),"KAPALI",IF(AND($C820="Görüşme",$N820=""),"SONRAKİ İŞLEM EKSİK",IF($I820="","TARİH EKSİK",IF($I820&lt;TODAY(),"GECİKMİŞ",IF($I820=TODAY(),"BUGÜN",IF($I820&lt;=TODAY()+7,"7 GÜN İÇİNDE","PLANLI"))))))))</f>
        <v/>
      </c>
      <c r="R820" s="6" t="n"/>
      <c r="S820" s="6" t="n"/>
    </row>
    <row r="821">
      <c r="A821" s="6" t="n"/>
      <c r="B821" s="113">
        <f>IF($E821="","","A"&amp;TEXT(ROW()-6,"00000"))</f>
        <v/>
      </c>
      <c r="C821" s="108" t="n"/>
      <c r="D821" s="113">
        <f>IF($E821="","",IFERROR(INDEX(MUSTERILER!$B$7:$B$106,MATCH($E821,MUSTERILER!$C$7:$C$106,0)),IFERROR(INDEX(MUSTERILER!$B$7:$B$106,MATCH($E821,MUSTERILER!$B$7:$B$106,0)),IFERROR(INDEX(MUSTERILER!$B$7:$B$106,MATCH($E821&amp;"*",MUSTERILER!$C$7:$C$106,0)),"TANIMSIZ MÜŞTERİ"))))</f>
        <v/>
      </c>
      <c r="E821" s="109" t="n"/>
      <c r="F821" s="109" t="n"/>
      <c r="G821" s="108" t="n"/>
      <c r="H821" s="225" t="n"/>
      <c r="I821" s="225" t="n"/>
      <c r="J821" s="108" t="n"/>
      <c r="K821" s="108" t="n"/>
      <c r="L821" s="109" t="n"/>
      <c r="M821" s="109" t="n"/>
      <c r="N821" s="109" t="n"/>
      <c r="O821" s="225" t="n"/>
      <c r="P821" s="232">
        <f>IF(OR($E821="",$I821=""),"",IF(OR($J821="Tamamlandı",$J821="İptal"),"",$I821-TODAY()))</f>
        <v/>
      </c>
      <c r="Q821" s="113">
        <f>IF($E821="","",IF($D821="TANIMSIZ MÜŞTERİ","HATA",IF(OR($J821="Tamamlandı",$J821="İptal"),"KAPALI",IF(AND($C821="Görüşme",$N821=""),"SONRAKİ İŞLEM EKSİK",IF($I821="","TARİH EKSİK",IF($I821&lt;TODAY(),"GECİKMİŞ",IF($I821=TODAY(),"BUGÜN",IF($I821&lt;=TODAY()+7,"7 GÜN İÇİNDE","PLANLI"))))))))</f>
        <v/>
      </c>
      <c r="R821" s="6" t="n"/>
      <c r="S821" s="6" t="n"/>
    </row>
    <row r="822">
      <c r="A822" s="6" t="n"/>
      <c r="B822" s="113">
        <f>IF($E822="","","A"&amp;TEXT(ROW()-6,"00000"))</f>
        <v/>
      </c>
      <c r="C822" s="108" t="n"/>
      <c r="D822" s="113">
        <f>IF($E822="","",IFERROR(INDEX(MUSTERILER!$B$7:$B$106,MATCH($E822,MUSTERILER!$C$7:$C$106,0)),IFERROR(INDEX(MUSTERILER!$B$7:$B$106,MATCH($E822,MUSTERILER!$B$7:$B$106,0)),IFERROR(INDEX(MUSTERILER!$B$7:$B$106,MATCH($E822&amp;"*",MUSTERILER!$C$7:$C$106,0)),"TANIMSIZ MÜŞTERİ"))))</f>
        <v/>
      </c>
      <c r="E822" s="109" t="n"/>
      <c r="F822" s="109" t="n"/>
      <c r="G822" s="108" t="n"/>
      <c r="H822" s="225" t="n"/>
      <c r="I822" s="225" t="n"/>
      <c r="J822" s="108" t="n"/>
      <c r="K822" s="108" t="n"/>
      <c r="L822" s="109" t="n"/>
      <c r="M822" s="109" t="n"/>
      <c r="N822" s="109" t="n"/>
      <c r="O822" s="225" t="n"/>
      <c r="P822" s="232">
        <f>IF(OR($E822="",$I822=""),"",IF(OR($J822="Tamamlandı",$J822="İptal"),"",$I822-TODAY()))</f>
        <v/>
      </c>
      <c r="Q822" s="113">
        <f>IF($E822="","",IF($D822="TANIMSIZ MÜŞTERİ","HATA",IF(OR($J822="Tamamlandı",$J822="İptal"),"KAPALI",IF(AND($C822="Görüşme",$N822=""),"SONRAKİ İŞLEM EKSİK",IF($I822="","TARİH EKSİK",IF($I822&lt;TODAY(),"GECİKMİŞ",IF($I822=TODAY(),"BUGÜN",IF($I822&lt;=TODAY()+7,"7 GÜN İÇİNDE","PLANLI"))))))))</f>
        <v/>
      </c>
      <c r="R822" s="6" t="n"/>
      <c r="S822" s="6" t="n"/>
    </row>
    <row r="823">
      <c r="A823" s="6" t="n"/>
      <c r="B823" s="113">
        <f>IF($E823="","","A"&amp;TEXT(ROW()-6,"00000"))</f>
        <v/>
      </c>
      <c r="C823" s="108" t="n"/>
      <c r="D823" s="113">
        <f>IF($E823="","",IFERROR(INDEX(MUSTERILER!$B$7:$B$106,MATCH($E823,MUSTERILER!$C$7:$C$106,0)),IFERROR(INDEX(MUSTERILER!$B$7:$B$106,MATCH($E823,MUSTERILER!$B$7:$B$106,0)),IFERROR(INDEX(MUSTERILER!$B$7:$B$106,MATCH($E823&amp;"*",MUSTERILER!$C$7:$C$106,0)),"TANIMSIZ MÜŞTERİ"))))</f>
        <v/>
      </c>
      <c r="E823" s="109" t="n"/>
      <c r="F823" s="109" t="n"/>
      <c r="G823" s="108" t="n"/>
      <c r="H823" s="225" t="n"/>
      <c r="I823" s="225" t="n"/>
      <c r="J823" s="108" t="n"/>
      <c r="K823" s="108" t="n"/>
      <c r="L823" s="109" t="n"/>
      <c r="M823" s="109" t="n"/>
      <c r="N823" s="109" t="n"/>
      <c r="O823" s="225" t="n"/>
      <c r="P823" s="232">
        <f>IF(OR($E823="",$I823=""),"",IF(OR($J823="Tamamlandı",$J823="İptal"),"",$I823-TODAY()))</f>
        <v/>
      </c>
      <c r="Q823" s="113">
        <f>IF($E823="","",IF($D823="TANIMSIZ MÜŞTERİ","HATA",IF(OR($J823="Tamamlandı",$J823="İptal"),"KAPALI",IF(AND($C823="Görüşme",$N823=""),"SONRAKİ İŞLEM EKSİK",IF($I823="","TARİH EKSİK",IF($I823&lt;TODAY(),"GECİKMİŞ",IF($I823=TODAY(),"BUGÜN",IF($I823&lt;=TODAY()+7,"7 GÜN İÇİNDE","PLANLI"))))))))</f>
        <v/>
      </c>
      <c r="R823" s="6" t="n"/>
      <c r="S823" s="6" t="n"/>
    </row>
    <row r="824">
      <c r="A824" s="6" t="n"/>
      <c r="B824" s="113">
        <f>IF($E824="","","A"&amp;TEXT(ROW()-6,"00000"))</f>
        <v/>
      </c>
      <c r="C824" s="108" t="n"/>
      <c r="D824" s="113">
        <f>IF($E824="","",IFERROR(INDEX(MUSTERILER!$B$7:$B$106,MATCH($E824,MUSTERILER!$C$7:$C$106,0)),IFERROR(INDEX(MUSTERILER!$B$7:$B$106,MATCH($E824,MUSTERILER!$B$7:$B$106,0)),IFERROR(INDEX(MUSTERILER!$B$7:$B$106,MATCH($E824&amp;"*",MUSTERILER!$C$7:$C$106,0)),"TANIMSIZ MÜŞTERİ"))))</f>
        <v/>
      </c>
      <c r="E824" s="109" t="n"/>
      <c r="F824" s="109" t="n"/>
      <c r="G824" s="108" t="n"/>
      <c r="H824" s="225" t="n"/>
      <c r="I824" s="225" t="n"/>
      <c r="J824" s="108" t="n"/>
      <c r="K824" s="108" t="n"/>
      <c r="L824" s="109" t="n"/>
      <c r="M824" s="109" t="n"/>
      <c r="N824" s="109" t="n"/>
      <c r="O824" s="225" t="n"/>
      <c r="P824" s="232">
        <f>IF(OR($E824="",$I824=""),"",IF(OR($J824="Tamamlandı",$J824="İptal"),"",$I824-TODAY()))</f>
        <v/>
      </c>
      <c r="Q824" s="113">
        <f>IF($E824="","",IF($D824="TANIMSIZ MÜŞTERİ","HATA",IF(OR($J824="Tamamlandı",$J824="İptal"),"KAPALI",IF(AND($C824="Görüşme",$N824=""),"SONRAKİ İŞLEM EKSİK",IF($I824="","TARİH EKSİK",IF($I824&lt;TODAY(),"GECİKMİŞ",IF($I824=TODAY(),"BUGÜN",IF($I824&lt;=TODAY()+7,"7 GÜN İÇİNDE","PLANLI"))))))))</f>
        <v/>
      </c>
      <c r="R824" s="6" t="n"/>
      <c r="S824" s="6" t="n"/>
    </row>
    <row r="825">
      <c r="A825" s="6" t="n"/>
      <c r="B825" s="113">
        <f>IF($E825="","","A"&amp;TEXT(ROW()-6,"00000"))</f>
        <v/>
      </c>
      <c r="C825" s="108" t="n"/>
      <c r="D825" s="113">
        <f>IF($E825="","",IFERROR(INDEX(MUSTERILER!$B$7:$B$106,MATCH($E825,MUSTERILER!$C$7:$C$106,0)),IFERROR(INDEX(MUSTERILER!$B$7:$B$106,MATCH($E825,MUSTERILER!$B$7:$B$106,0)),IFERROR(INDEX(MUSTERILER!$B$7:$B$106,MATCH($E825&amp;"*",MUSTERILER!$C$7:$C$106,0)),"TANIMSIZ MÜŞTERİ"))))</f>
        <v/>
      </c>
      <c r="E825" s="109" t="n"/>
      <c r="F825" s="109" t="n"/>
      <c r="G825" s="108" t="n"/>
      <c r="H825" s="225" t="n"/>
      <c r="I825" s="225" t="n"/>
      <c r="J825" s="108" t="n"/>
      <c r="K825" s="108" t="n"/>
      <c r="L825" s="109" t="n"/>
      <c r="M825" s="109" t="n"/>
      <c r="N825" s="109" t="n"/>
      <c r="O825" s="225" t="n"/>
      <c r="P825" s="232">
        <f>IF(OR($E825="",$I825=""),"",IF(OR($J825="Tamamlandı",$J825="İptal"),"",$I825-TODAY()))</f>
        <v/>
      </c>
      <c r="Q825" s="113">
        <f>IF($E825="","",IF($D825="TANIMSIZ MÜŞTERİ","HATA",IF(OR($J825="Tamamlandı",$J825="İptal"),"KAPALI",IF(AND($C825="Görüşme",$N825=""),"SONRAKİ İŞLEM EKSİK",IF($I825="","TARİH EKSİK",IF($I825&lt;TODAY(),"GECİKMİŞ",IF($I825=TODAY(),"BUGÜN",IF($I825&lt;=TODAY()+7,"7 GÜN İÇİNDE","PLANLI"))))))))</f>
        <v/>
      </c>
      <c r="R825" s="6" t="n"/>
      <c r="S825" s="6" t="n"/>
    </row>
    <row r="826">
      <c r="A826" s="6" t="n"/>
      <c r="B826" s="113">
        <f>IF($E826="","","A"&amp;TEXT(ROW()-6,"00000"))</f>
        <v/>
      </c>
      <c r="C826" s="108" t="n"/>
      <c r="D826" s="113">
        <f>IF($E826="","",IFERROR(INDEX(MUSTERILER!$B$7:$B$106,MATCH($E826,MUSTERILER!$C$7:$C$106,0)),IFERROR(INDEX(MUSTERILER!$B$7:$B$106,MATCH($E826,MUSTERILER!$B$7:$B$106,0)),IFERROR(INDEX(MUSTERILER!$B$7:$B$106,MATCH($E826&amp;"*",MUSTERILER!$C$7:$C$106,0)),"TANIMSIZ MÜŞTERİ"))))</f>
        <v/>
      </c>
      <c r="E826" s="109" t="n"/>
      <c r="F826" s="109" t="n"/>
      <c r="G826" s="108" t="n"/>
      <c r="H826" s="225" t="n"/>
      <c r="I826" s="225" t="n"/>
      <c r="J826" s="108" t="n"/>
      <c r="K826" s="108" t="n"/>
      <c r="L826" s="109" t="n"/>
      <c r="M826" s="109" t="n"/>
      <c r="N826" s="109" t="n"/>
      <c r="O826" s="225" t="n"/>
      <c r="P826" s="232">
        <f>IF(OR($E826="",$I826=""),"",IF(OR($J826="Tamamlandı",$J826="İptal"),"",$I826-TODAY()))</f>
        <v/>
      </c>
      <c r="Q826" s="113">
        <f>IF($E826="","",IF($D826="TANIMSIZ MÜŞTERİ","HATA",IF(OR($J826="Tamamlandı",$J826="İptal"),"KAPALI",IF(AND($C826="Görüşme",$N826=""),"SONRAKİ İŞLEM EKSİK",IF($I826="","TARİH EKSİK",IF($I826&lt;TODAY(),"GECİKMİŞ",IF($I826=TODAY(),"BUGÜN",IF($I826&lt;=TODAY()+7,"7 GÜN İÇİNDE","PLANLI"))))))))</f>
        <v/>
      </c>
      <c r="R826" s="6" t="n"/>
      <c r="S826" s="6" t="n"/>
    </row>
    <row r="827">
      <c r="A827" s="6" t="n"/>
      <c r="B827" s="113">
        <f>IF($E827="","","A"&amp;TEXT(ROW()-6,"00000"))</f>
        <v/>
      </c>
      <c r="C827" s="108" t="n"/>
      <c r="D827" s="113">
        <f>IF($E827="","",IFERROR(INDEX(MUSTERILER!$B$7:$B$106,MATCH($E827,MUSTERILER!$C$7:$C$106,0)),IFERROR(INDEX(MUSTERILER!$B$7:$B$106,MATCH($E827,MUSTERILER!$B$7:$B$106,0)),IFERROR(INDEX(MUSTERILER!$B$7:$B$106,MATCH($E827&amp;"*",MUSTERILER!$C$7:$C$106,0)),"TANIMSIZ MÜŞTERİ"))))</f>
        <v/>
      </c>
      <c r="E827" s="109" t="n"/>
      <c r="F827" s="109" t="n"/>
      <c r="G827" s="108" t="n"/>
      <c r="H827" s="225" t="n"/>
      <c r="I827" s="225" t="n"/>
      <c r="J827" s="108" t="n"/>
      <c r="K827" s="108" t="n"/>
      <c r="L827" s="109" t="n"/>
      <c r="M827" s="109" t="n"/>
      <c r="N827" s="109" t="n"/>
      <c r="O827" s="225" t="n"/>
      <c r="P827" s="232">
        <f>IF(OR($E827="",$I827=""),"",IF(OR($J827="Tamamlandı",$J827="İptal"),"",$I827-TODAY()))</f>
        <v/>
      </c>
      <c r="Q827" s="113">
        <f>IF($E827="","",IF($D827="TANIMSIZ MÜŞTERİ","HATA",IF(OR($J827="Tamamlandı",$J827="İptal"),"KAPALI",IF(AND($C827="Görüşme",$N827=""),"SONRAKİ İŞLEM EKSİK",IF($I827="","TARİH EKSİK",IF($I827&lt;TODAY(),"GECİKMİŞ",IF($I827=TODAY(),"BUGÜN",IF($I827&lt;=TODAY()+7,"7 GÜN İÇİNDE","PLANLI"))))))))</f>
        <v/>
      </c>
      <c r="R827" s="6" t="n"/>
      <c r="S827" s="6" t="n"/>
    </row>
    <row r="828">
      <c r="A828" s="6" t="n"/>
      <c r="B828" s="113">
        <f>IF($E828="","","A"&amp;TEXT(ROW()-6,"00000"))</f>
        <v/>
      </c>
      <c r="C828" s="108" t="n"/>
      <c r="D828" s="113">
        <f>IF($E828="","",IFERROR(INDEX(MUSTERILER!$B$7:$B$106,MATCH($E828,MUSTERILER!$C$7:$C$106,0)),IFERROR(INDEX(MUSTERILER!$B$7:$B$106,MATCH($E828,MUSTERILER!$B$7:$B$106,0)),IFERROR(INDEX(MUSTERILER!$B$7:$B$106,MATCH($E828&amp;"*",MUSTERILER!$C$7:$C$106,0)),"TANIMSIZ MÜŞTERİ"))))</f>
        <v/>
      </c>
      <c r="E828" s="109" t="n"/>
      <c r="F828" s="109" t="n"/>
      <c r="G828" s="108" t="n"/>
      <c r="H828" s="225" t="n"/>
      <c r="I828" s="225" t="n"/>
      <c r="J828" s="108" t="n"/>
      <c r="K828" s="108" t="n"/>
      <c r="L828" s="109" t="n"/>
      <c r="M828" s="109" t="n"/>
      <c r="N828" s="109" t="n"/>
      <c r="O828" s="225" t="n"/>
      <c r="P828" s="232">
        <f>IF(OR($E828="",$I828=""),"",IF(OR($J828="Tamamlandı",$J828="İptal"),"",$I828-TODAY()))</f>
        <v/>
      </c>
      <c r="Q828" s="113">
        <f>IF($E828="","",IF($D828="TANIMSIZ MÜŞTERİ","HATA",IF(OR($J828="Tamamlandı",$J828="İptal"),"KAPALI",IF(AND($C828="Görüşme",$N828=""),"SONRAKİ İŞLEM EKSİK",IF($I828="","TARİH EKSİK",IF($I828&lt;TODAY(),"GECİKMİŞ",IF($I828=TODAY(),"BUGÜN",IF($I828&lt;=TODAY()+7,"7 GÜN İÇİNDE","PLANLI"))))))))</f>
        <v/>
      </c>
      <c r="R828" s="6" t="n"/>
      <c r="S828" s="6" t="n"/>
    </row>
    <row r="829">
      <c r="A829" s="6" t="n"/>
      <c r="B829" s="113">
        <f>IF($E829="","","A"&amp;TEXT(ROW()-6,"00000"))</f>
        <v/>
      </c>
      <c r="C829" s="108" t="n"/>
      <c r="D829" s="113">
        <f>IF($E829="","",IFERROR(INDEX(MUSTERILER!$B$7:$B$106,MATCH($E829,MUSTERILER!$C$7:$C$106,0)),IFERROR(INDEX(MUSTERILER!$B$7:$B$106,MATCH($E829,MUSTERILER!$B$7:$B$106,0)),IFERROR(INDEX(MUSTERILER!$B$7:$B$106,MATCH($E829&amp;"*",MUSTERILER!$C$7:$C$106,0)),"TANIMSIZ MÜŞTERİ"))))</f>
        <v/>
      </c>
      <c r="E829" s="109" t="n"/>
      <c r="F829" s="109" t="n"/>
      <c r="G829" s="108" t="n"/>
      <c r="H829" s="225" t="n"/>
      <c r="I829" s="225" t="n"/>
      <c r="J829" s="108" t="n"/>
      <c r="K829" s="108" t="n"/>
      <c r="L829" s="109" t="n"/>
      <c r="M829" s="109" t="n"/>
      <c r="N829" s="109" t="n"/>
      <c r="O829" s="225" t="n"/>
      <c r="P829" s="232">
        <f>IF(OR($E829="",$I829=""),"",IF(OR($J829="Tamamlandı",$J829="İptal"),"",$I829-TODAY()))</f>
        <v/>
      </c>
      <c r="Q829" s="113">
        <f>IF($E829="","",IF($D829="TANIMSIZ MÜŞTERİ","HATA",IF(OR($J829="Tamamlandı",$J829="İptal"),"KAPALI",IF(AND($C829="Görüşme",$N829=""),"SONRAKİ İŞLEM EKSİK",IF($I829="","TARİH EKSİK",IF($I829&lt;TODAY(),"GECİKMİŞ",IF($I829=TODAY(),"BUGÜN",IF($I829&lt;=TODAY()+7,"7 GÜN İÇİNDE","PLANLI"))))))))</f>
        <v/>
      </c>
      <c r="R829" s="6" t="n"/>
      <c r="S829" s="6" t="n"/>
    </row>
    <row r="830">
      <c r="A830" s="6" t="n"/>
      <c r="B830" s="113">
        <f>IF($E830="","","A"&amp;TEXT(ROW()-6,"00000"))</f>
        <v/>
      </c>
      <c r="C830" s="108" t="n"/>
      <c r="D830" s="113">
        <f>IF($E830="","",IFERROR(INDEX(MUSTERILER!$B$7:$B$106,MATCH($E830,MUSTERILER!$C$7:$C$106,0)),IFERROR(INDEX(MUSTERILER!$B$7:$B$106,MATCH($E830,MUSTERILER!$B$7:$B$106,0)),IFERROR(INDEX(MUSTERILER!$B$7:$B$106,MATCH($E830&amp;"*",MUSTERILER!$C$7:$C$106,0)),"TANIMSIZ MÜŞTERİ"))))</f>
        <v/>
      </c>
      <c r="E830" s="109" t="n"/>
      <c r="F830" s="109" t="n"/>
      <c r="G830" s="108" t="n"/>
      <c r="H830" s="225" t="n"/>
      <c r="I830" s="225" t="n"/>
      <c r="J830" s="108" t="n"/>
      <c r="K830" s="108" t="n"/>
      <c r="L830" s="109" t="n"/>
      <c r="M830" s="109" t="n"/>
      <c r="N830" s="109" t="n"/>
      <c r="O830" s="225" t="n"/>
      <c r="P830" s="232">
        <f>IF(OR($E830="",$I830=""),"",IF(OR($J830="Tamamlandı",$J830="İptal"),"",$I830-TODAY()))</f>
        <v/>
      </c>
      <c r="Q830" s="113">
        <f>IF($E830="","",IF($D830="TANIMSIZ MÜŞTERİ","HATA",IF(OR($J830="Tamamlandı",$J830="İptal"),"KAPALI",IF(AND($C830="Görüşme",$N830=""),"SONRAKİ İŞLEM EKSİK",IF($I830="","TARİH EKSİK",IF($I830&lt;TODAY(),"GECİKMİŞ",IF($I830=TODAY(),"BUGÜN",IF($I830&lt;=TODAY()+7,"7 GÜN İÇİNDE","PLANLI"))))))))</f>
        <v/>
      </c>
      <c r="R830" s="6" t="n"/>
      <c r="S830" s="6" t="n"/>
    </row>
    <row r="831">
      <c r="A831" s="6" t="n"/>
      <c r="B831" s="113">
        <f>IF($E831="","","A"&amp;TEXT(ROW()-6,"00000"))</f>
        <v/>
      </c>
      <c r="C831" s="108" t="n"/>
      <c r="D831" s="113">
        <f>IF($E831="","",IFERROR(INDEX(MUSTERILER!$B$7:$B$106,MATCH($E831,MUSTERILER!$C$7:$C$106,0)),IFERROR(INDEX(MUSTERILER!$B$7:$B$106,MATCH($E831,MUSTERILER!$B$7:$B$106,0)),IFERROR(INDEX(MUSTERILER!$B$7:$B$106,MATCH($E831&amp;"*",MUSTERILER!$C$7:$C$106,0)),"TANIMSIZ MÜŞTERİ"))))</f>
        <v/>
      </c>
      <c r="E831" s="109" t="n"/>
      <c r="F831" s="109" t="n"/>
      <c r="G831" s="108" t="n"/>
      <c r="H831" s="225" t="n"/>
      <c r="I831" s="225" t="n"/>
      <c r="J831" s="108" t="n"/>
      <c r="K831" s="108" t="n"/>
      <c r="L831" s="109" t="n"/>
      <c r="M831" s="109" t="n"/>
      <c r="N831" s="109" t="n"/>
      <c r="O831" s="225" t="n"/>
      <c r="P831" s="232">
        <f>IF(OR($E831="",$I831=""),"",IF(OR($J831="Tamamlandı",$J831="İptal"),"",$I831-TODAY()))</f>
        <v/>
      </c>
      <c r="Q831" s="113">
        <f>IF($E831="","",IF($D831="TANIMSIZ MÜŞTERİ","HATA",IF(OR($J831="Tamamlandı",$J831="İptal"),"KAPALI",IF(AND($C831="Görüşme",$N831=""),"SONRAKİ İŞLEM EKSİK",IF($I831="","TARİH EKSİK",IF($I831&lt;TODAY(),"GECİKMİŞ",IF($I831=TODAY(),"BUGÜN",IF($I831&lt;=TODAY()+7,"7 GÜN İÇİNDE","PLANLI"))))))))</f>
        <v/>
      </c>
      <c r="R831" s="6" t="n"/>
      <c r="S831" s="6" t="n"/>
    </row>
    <row r="832">
      <c r="A832" s="6" t="n"/>
      <c r="B832" s="113">
        <f>IF($E832="","","A"&amp;TEXT(ROW()-6,"00000"))</f>
        <v/>
      </c>
      <c r="C832" s="108" t="n"/>
      <c r="D832" s="113">
        <f>IF($E832="","",IFERROR(INDEX(MUSTERILER!$B$7:$B$106,MATCH($E832,MUSTERILER!$C$7:$C$106,0)),IFERROR(INDEX(MUSTERILER!$B$7:$B$106,MATCH($E832,MUSTERILER!$B$7:$B$106,0)),IFERROR(INDEX(MUSTERILER!$B$7:$B$106,MATCH($E832&amp;"*",MUSTERILER!$C$7:$C$106,0)),"TANIMSIZ MÜŞTERİ"))))</f>
        <v/>
      </c>
      <c r="E832" s="109" t="n"/>
      <c r="F832" s="109" t="n"/>
      <c r="G832" s="108" t="n"/>
      <c r="H832" s="225" t="n"/>
      <c r="I832" s="225" t="n"/>
      <c r="J832" s="108" t="n"/>
      <c r="K832" s="108" t="n"/>
      <c r="L832" s="109" t="n"/>
      <c r="M832" s="109" t="n"/>
      <c r="N832" s="109" t="n"/>
      <c r="O832" s="225" t="n"/>
      <c r="P832" s="232">
        <f>IF(OR($E832="",$I832=""),"",IF(OR($J832="Tamamlandı",$J832="İptal"),"",$I832-TODAY()))</f>
        <v/>
      </c>
      <c r="Q832" s="113">
        <f>IF($E832="","",IF($D832="TANIMSIZ MÜŞTERİ","HATA",IF(OR($J832="Tamamlandı",$J832="İptal"),"KAPALI",IF(AND($C832="Görüşme",$N832=""),"SONRAKİ İŞLEM EKSİK",IF($I832="","TARİH EKSİK",IF($I832&lt;TODAY(),"GECİKMİŞ",IF($I832=TODAY(),"BUGÜN",IF($I832&lt;=TODAY()+7,"7 GÜN İÇİNDE","PLANLI"))))))))</f>
        <v/>
      </c>
      <c r="R832" s="6" t="n"/>
      <c r="S832" s="6" t="n"/>
    </row>
    <row r="833">
      <c r="A833" s="6" t="n"/>
      <c r="B833" s="113">
        <f>IF($E833="","","A"&amp;TEXT(ROW()-6,"00000"))</f>
        <v/>
      </c>
      <c r="C833" s="108" t="n"/>
      <c r="D833" s="113">
        <f>IF($E833="","",IFERROR(INDEX(MUSTERILER!$B$7:$B$106,MATCH($E833,MUSTERILER!$C$7:$C$106,0)),IFERROR(INDEX(MUSTERILER!$B$7:$B$106,MATCH($E833,MUSTERILER!$B$7:$B$106,0)),IFERROR(INDEX(MUSTERILER!$B$7:$B$106,MATCH($E833&amp;"*",MUSTERILER!$C$7:$C$106,0)),"TANIMSIZ MÜŞTERİ"))))</f>
        <v/>
      </c>
      <c r="E833" s="109" t="n"/>
      <c r="F833" s="109" t="n"/>
      <c r="G833" s="108" t="n"/>
      <c r="H833" s="225" t="n"/>
      <c r="I833" s="225" t="n"/>
      <c r="J833" s="108" t="n"/>
      <c r="K833" s="108" t="n"/>
      <c r="L833" s="109" t="n"/>
      <c r="M833" s="109" t="n"/>
      <c r="N833" s="109" t="n"/>
      <c r="O833" s="225" t="n"/>
      <c r="P833" s="232">
        <f>IF(OR($E833="",$I833=""),"",IF(OR($J833="Tamamlandı",$J833="İptal"),"",$I833-TODAY()))</f>
        <v/>
      </c>
      <c r="Q833" s="113">
        <f>IF($E833="","",IF($D833="TANIMSIZ MÜŞTERİ","HATA",IF(OR($J833="Tamamlandı",$J833="İptal"),"KAPALI",IF(AND($C833="Görüşme",$N833=""),"SONRAKİ İŞLEM EKSİK",IF($I833="","TARİH EKSİK",IF($I833&lt;TODAY(),"GECİKMİŞ",IF($I833=TODAY(),"BUGÜN",IF($I833&lt;=TODAY()+7,"7 GÜN İÇİNDE","PLANLI"))))))))</f>
        <v/>
      </c>
      <c r="R833" s="6" t="n"/>
      <c r="S833" s="6" t="n"/>
    </row>
    <row r="834">
      <c r="A834" s="6" t="n"/>
      <c r="B834" s="113">
        <f>IF($E834="","","A"&amp;TEXT(ROW()-6,"00000"))</f>
        <v/>
      </c>
      <c r="C834" s="108" t="n"/>
      <c r="D834" s="113">
        <f>IF($E834="","",IFERROR(INDEX(MUSTERILER!$B$7:$B$106,MATCH($E834,MUSTERILER!$C$7:$C$106,0)),IFERROR(INDEX(MUSTERILER!$B$7:$B$106,MATCH($E834,MUSTERILER!$B$7:$B$106,0)),IFERROR(INDEX(MUSTERILER!$B$7:$B$106,MATCH($E834&amp;"*",MUSTERILER!$C$7:$C$106,0)),"TANIMSIZ MÜŞTERİ"))))</f>
        <v/>
      </c>
      <c r="E834" s="109" t="n"/>
      <c r="F834" s="109" t="n"/>
      <c r="G834" s="108" t="n"/>
      <c r="H834" s="225" t="n"/>
      <c r="I834" s="225" t="n"/>
      <c r="J834" s="108" t="n"/>
      <c r="K834" s="108" t="n"/>
      <c r="L834" s="109" t="n"/>
      <c r="M834" s="109" t="n"/>
      <c r="N834" s="109" t="n"/>
      <c r="O834" s="225" t="n"/>
      <c r="P834" s="232">
        <f>IF(OR($E834="",$I834=""),"",IF(OR($J834="Tamamlandı",$J834="İptal"),"",$I834-TODAY()))</f>
        <v/>
      </c>
      <c r="Q834" s="113">
        <f>IF($E834="","",IF($D834="TANIMSIZ MÜŞTERİ","HATA",IF(OR($J834="Tamamlandı",$J834="İptal"),"KAPALI",IF(AND($C834="Görüşme",$N834=""),"SONRAKİ İŞLEM EKSİK",IF($I834="","TARİH EKSİK",IF($I834&lt;TODAY(),"GECİKMİŞ",IF($I834=TODAY(),"BUGÜN",IF($I834&lt;=TODAY()+7,"7 GÜN İÇİNDE","PLANLI"))))))))</f>
        <v/>
      </c>
      <c r="R834" s="6" t="n"/>
      <c r="S834" s="6" t="n"/>
    </row>
    <row r="835">
      <c r="A835" s="6" t="n"/>
      <c r="B835" s="113">
        <f>IF($E835="","","A"&amp;TEXT(ROW()-6,"00000"))</f>
        <v/>
      </c>
      <c r="C835" s="108" t="n"/>
      <c r="D835" s="113">
        <f>IF($E835="","",IFERROR(INDEX(MUSTERILER!$B$7:$B$106,MATCH($E835,MUSTERILER!$C$7:$C$106,0)),IFERROR(INDEX(MUSTERILER!$B$7:$B$106,MATCH($E835,MUSTERILER!$B$7:$B$106,0)),IFERROR(INDEX(MUSTERILER!$B$7:$B$106,MATCH($E835&amp;"*",MUSTERILER!$C$7:$C$106,0)),"TANIMSIZ MÜŞTERİ"))))</f>
        <v/>
      </c>
      <c r="E835" s="109" t="n"/>
      <c r="F835" s="109" t="n"/>
      <c r="G835" s="108" t="n"/>
      <c r="H835" s="225" t="n"/>
      <c r="I835" s="225" t="n"/>
      <c r="J835" s="108" t="n"/>
      <c r="K835" s="108" t="n"/>
      <c r="L835" s="109" t="n"/>
      <c r="M835" s="109" t="n"/>
      <c r="N835" s="109" t="n"/>
      <c r="O835" s="225" t="n"/>
      <c r="P835" s="232">
        <f>IF(OR($E835="",$I835=""),"",IF(OR($J835="Tamamlandı",$J835="İptal"),"",$I835-TODAY()))</f>
        <v/>
      </c>
      <c r="Q835" s="113">
        <f>IF($E835="","",IF($D835="TANIMSIZ MÜŞTERİ","HATA",IF(OR($J835="Tamamlandı",$J835="İptal"),"KAPALI",IF(AND($C835="Görüşme",$N835=""),"SONRAKİ İŞLEM EKSİK",IF($I835="","TARİH EKSİK",IF($I835&lt;TODAY(),"GECİKMİŞ",IF($I835=TODAY(),"BUGÜN",IF($I835&lt;=TODAY()+7,"7 GÜN İÇİNDE","PLANLI"))))))))</f>
        <v/>
      </c>
      <c r="R835" s="6" t="n"/>
      <c r="S835" s="6" t="n"/>
    </row>
    <row r="836">
      <c r="A836" s="6" t="n"/>
      <c r="B836" s="113">
        <f>IF($E836="","","A"&amp;TEXT(ROW()-6,"00000"))</f>
        <v/>
      </c>
      <c r="C836" s="108" t="n"/>
      <c r="D836" s="113">
        <f>IF($E836="","",IFERROR(INDEX(MUSTERILER!$B$7:$B$106,MATCH($E836,MUSTERILER!$C$7:$C$106,0)),IFERROR(INDEX(MUSTERILER!$B$7:$B$106,MATCH($E836,MUSTERILER!$B$7:$B$106,0)),IFERROR(INDEX(MUSTERILER!$B$7:$B$106,MATCH($E836&amp;"*",MUSTERILER!$C$7:$C$106,0)),"TANIMSIZ MÜŞTERİ"))))</f>
        <v/>
      </c>
      <c r="E836" s="109" t="n"/>
      <c r="F836" s="109" t="n"/>
      <c r="G836" s="108" t="n"/>
      <c r="H836" s="225" t="n"/>
      <c r="I836" s="225" t="n"/>
      <c r="J836" s="108" t="n"/>
      <c r="K836" s="108" t="n"/>
      <c r="L836" s="109" t="n"/>
      <c r="M836" s="109" t="n"/>
      <c r="N836" s="109" t="n"/>
      <c r="O836" s="225" t="n"/>
      <c r="P836" s="232">
        <f>IF(OR($E836="",$I836=""),"",IF(OR($J836="Tamamlandı",$J836="İptal"),"",$I836-TODAY()))</f>
        <v/>
      </c>
      <c r="Q836" s="113">
        <f>IF($E836="","",IF($D836="TANIMSIZ MÜŞTERİ","HATA",IF(OR($J836="Tamamlandı",$J836="İptal"),"KAPALI",IF(AND($C836="Görüşme",$N836=""),"SONRAKİ İŞLEM EKSİK",IF($I836="","TARİH EKSİK",IF($I836&lt;TODAY(),"GECİKMİŞ",IF($I836=TODAY(),"BUGÜN",IF($I836&lt;=TODAY()+7,"7 GÜN İÇİNDE","PLANLI"))))))))</f>
        <v/>
      </c>
      <c r="R836" s="6" t="n"/>
      <c r="S836" s="6" t="n"/>
    </row>
    <row r="837">
      <c r="A837" s="6" t="n"/>
      <c r="B837" s="113">
        <f>IF($E837="","","A"&amp;TEXT(ROW()-6,"00000"))</f>
        <v/>
      </c>
      <c r="C837" s="108" t="n"/>
      <c r="D837" s="113">
        <f>IF($E837="","",IFERROR(INDEX(MUSTERILER!$B$7:$B$106,MATCH($E837,MUSTERILER!$C$7:$C$106,0)),IFERROR(INDEX(MUSTERILER!$B$7:$B$106,MATCH($E837,MUSTERILER!$B$7:$B$106,0)),IFERROR(INDEX(MUSTERILER!$B$7:$B$106,MATCH($E837&amp;"*",MUSTERILER!$C$7:$C$106,0)),"TANIMSIZ MÜŞTERİ"))))</f>
        <v/>
      </c>
      <c r="E837" s="109" t="n"/>
      <c r="F837" s="109" t="n"/>
      <c r="G837" s="108" t="n"/>
      <c r="H837" s="225" t="n"/>
      <c r="I837" s="225" t="n"/>
      <c r="J837" s="108" t="n"/>
      <c r="K837" s="108" t="n"/>
      <c r="L837" s="109" t="n"/>
      <c r="M837" s="109" t="n"/>
      <c r="N837" s="109" t="n"/>
      <c r="O837" s="225" t="n"/>
      <c r="P837" s="232">
        <f>IF(OR($E837="",$I837=""),"",IF(OR($J837="Tamamlandı",$J837="İptal"),"",$I837-TODAY()))</f>
        <v/>
      </c>
      <c r="Q837" s="113">
        <f>IF($E837="","",IF($D837="TANIMSIZ MÜŞTERİ","HATA",IF(OR($J837="Tamamlandı",$J837="İptal"),"KAPALI",IF(AND($C837="Görüşme",$N837=""),"SONRAKİ İŞLEM EKSİK",IF($I837="","TARİH EKSİK",IF($I837&lt;TODAY(),"GECİKMİŞ",IF($I837=TODAY(),"BUGÜN",IF($I837&lt;=TODAY()+7,"7 GÜN İÇİNDE","PLANLI"))))))))</f>
        <v/>
      </c>
      <c r="R837" s="6" t="n"/>
      <c r="S837" s="6" t="n"/>
    </row>
    <row r="838">
      <c r="A838" s="6" t="n"/>
      <c r="B838" s="113">
        <f>IF($E838="","","A"&amp;TEXT(ROW()-6,"00000"))</f>
        <v/>
      </c>
      <c r="C838" s="108" t="n"/>
      <c r="D838" s="113">
        <f>IF($E838="","",IFERROR(INDEX(MUSTERILER!$B$7:$B$106,MATCH($E838,MUSTERILER!$C$7:$C$106,0)),IFERROR(INDEX(MUSTERILER!$B$7:$B$106,MATCH($E838,MUSTERILER!$B$7:$B$106,0)),IFERROR(INDEX(MUSTERILER!$B$7:$B$106,MATCH($E838&amp;"*",MUSTERILER!$C$7:$C$106,0)),"TANIMSIZ MÜŞTERİ"))))</f>
        <v/>
      </c>
      <c r="E838" s="109" t="n"/>
      <c r="F838" s="109" t="n"/>
      <c r="G838" s="108" t="n"/>
      <c r="H838" s="225" t="n"/>
      <c r="I838" s="225" t="n"/>
      <c r="J838" s="108" t="n"/>
      <c r="K838" s="108" t="n"/>
      <c r="L838" s="109" t="n"/>
      <c r="M838" s="109" t="n"/>
      <c r="N838" s="109" t="n"/>
      <c r="O838" s="225" t="n"/>
      <c r="P838" s="232">
        <f>IF(OR($E838="",$I838=""),"",IF(OR($J838="Tamamlandı",$J838="İptal"),"",$I838-TODAY()))</f>
        <v/>
      </c>
      <c r="Q838" s="113">
        <f>IF($E838="","",IF($D838="TANIMSIZ MÜŞTERİ","HATA",IF(OR($J838="Tamamlandı",$J838="İptal"),"KAPALI",IF(AND($C838="Görüşme",$N838=""),"SONRAKİ İŞLEM EKSİK",IF($I838="","TARİH EKSİK",IF($I838&lt;TODAY(),"GECİKMİŞ",IF($I838=TODAY(),"BUGÜN",IF($I838&lt;=TODAY()+7,"7 GÜN İÇİNDE","PLANLI"))))))))</f>
        <v/>
      </c>
      <c r="R838" s="6" t="n"/>
      <c r="S838" s="6" t="n"/>
    </row>
    <row r="839">
      <c r="A839" s="6" t="n"/>
      <c r="B839" s="113">
        <f>IF($E839="","","A"&amp;TEXT(ROW()-6,"00000"))</f>
        <v/>
      </c>
      <c r="C839" s="108" t="n"/>
      <c r="D839" s="113">
        <f>IF($E839="","",IFERROR(INDEX(MUSTERILER!$B$7:$B$106,MATCH($E839,MUSTERILER!$C$7:$C$106,0)),IFERROR(INDEX(MUSTERILER!$B$7:$B$106,MATCH($E839,MUSTERILER!$B$7:$B$106,0)),IFERROR(INDEX(MUSTERILER!$B$7:$B$106,MATCH($E839&amp;"*",MUSTERILER!$C$7:$C$106,0)),"TANIMSIZ MÜŞTERİ"))))</f>
        <v/>
      </c>
      <c r="E839" s="109" t="n"/>
      <c r="F839" s="109" t="n"/>
      <c r="G839" s="108" t="n"/>
      <c r="H839" s="225" t="n"/>
      <c r="I839" s="225" t="n"/>
      <c r="J839" s="108" t="n"/>
      <c r="K839" s="108" t="n"/>
      <c r="L839" s="109" t="n"/>
      <c r="M839" s="109" t="n"/>
      <c r="N839" s="109" t="n"/>
      <c r="O839" s="225" t="n"/>
      <c r="P839" s="232">
        <f>IF(OR($E839="",$I839=""),"",IF(OR($J839="Tamamlandı",$J839="İptal"),"",$I839-TODAY()))</f>
        <v/>
      </c>
      <c r="Q839" s="113">
        <f>IF($E839="","",IF($D839="TANIMSIZ MÜŞTERİ","HATA",IF(OR($J839="Tamamlandı",$J839="İptal"),"KAPALI",IF(AND($C839="Görüşme",$N839=""),"SONRAKİ İŞLEM EKSİK",IF($I839="","TARİH EKSİK",IF($I839&lt;TODAY(),"GECİKMİŞ",IF($I839=TODAY(),"BUGÜN",IF($I839&lt;=TODAY()+7,"7 GÜN İÇİNDE","PLANLI"))))))))</f>
        <v/>
      </c>
      <c r="R839" s="6" t="n"/>
      <c r="S839" s="6" t="n"/>
    </row>
    <row r="840">
      <c r="A840" s="6" t="n"/>
      <c r="B840" s="113">
        <f>IF($E840="","","A"&amp;TEXT(ROW()-6,"00000"))</f>
        <v/>
      </c>
      <c r="C840" s="108" t="n"/>
      <c r="D840" s="113">
        <f>IF($E840="","",IFERROR(INDEX(MUSTERILER!$B$7:$B$106,MATCH($E840,MUSTERILER!$C$7:$C$106,0)),IFERROR(INDEX(MUSTERILER!$B$7:$B$106,MATCH($E840,MUSTERILER!$B$7:$B$106,0)),IFERROR(INDEX(MUSTERILER!$B$7:$B$106,MATCH($E840&amp;"*",MUSTERILER!$C$7:$C$106,0)),"TANIMSIZ MÜŞTERİ"))))</f>
        <v/>
      </c>
      <c r="E840" s="109" t="n"/>
      <c r="F840" s="109" t="n"/>
      <c r="G840" s="108" t="n"/>
      <c r="H840" s="225" t="n"/>
      <c r="I840" s="225" t="n"/>
      <c r="J840" s="108" t="n"/>
      <c r="K840" s="108" t="n"/>
      <c r="L840" s="109" t="n"/>
      <c r="M840" s="109" t="n"/>
      <c r="N840" s="109" t="n"/>
      <c r="O840" s="225" t="n"/>
      <c r="P840" s="232">
        <f>IF(OR($E840="",$I840=""),"",IF(OR($J840="Tamamlandı",$J840="İptal"),"",$I840-TODAY()))</f>
        <v/>
      </c>
      <c r="Q840" s="113">
        <f>IF($E840="","",IF($D840="TANIMSIZ MÜŞTERİ","HATA",IF(OR($J840="Tamamlandı",$J840="İptal"),"KAPALI",IF(AND($C840="Görüşme",$N840=""),"SONRAKİ İŞLEM EKSİK",IF($I840="","TARİH EKSİK",IF($I840&lt;TODAY(),"GECİKMİŞ",IF($I840=TODAY(),"BUGÜN",IF($I840&lt;=TODAY()+7,"7 GÜN İÇİNDE","PLANLI"))))))))</f>
        <v/>
      </c>
      <c r="R840" s="6" t="n"/>
      <c r="S840" s="6" t="n"/>
    </row>
    <row r="841">
      <c r="A841" s="6" t="n"/>
      <c r="B841" s="113">
        <f>IF($E841="","","A"&amp;TEXT(ROW()-6,"00000"))</f>
        <v/>
      </c>
      <c r="C841" s="108" t="n"/>
      <c r="D841" s="113">
        <f>IF($E841="","",IFERROR(INDEX(MUSTERILER!$B$7:$B$106,MATCH($E841,MUSTERILER!$C$7:$C$106,0)),IFERROR(INDEX(MUSTERILER!$B$7:$B$106,MATCH($E841,MUSTERILER!$B$7:$B$106,0)),IFERROR(INDEX(MUSTERILER!$B$7:$B$106,MATCH($E841&amp;"*",MUSTERILER!$C$7:$C$106,0)),"TANIMSIZ MÜŞTERİ"))))</f>
        <v/>
      </c>
      <c r="E841" s="109" t="n"/>
      <c r="F841" s="109" t="n"/>
      <c r="G841" s="108" t="n"/>
      <c r="H841" s="225" t="n"/>
      <c r="I841" s="225" t="n"/>
      <c r="J841" s="108" t="n"/>
      <c r="K841" s="108" t="n"/>
      <c r="L841" s="109" t="n"/>
      <c r="M841" s="109" t="n"/>
      <c r="N841" s="109" t="n"/>
      <c r="O841" s="225" t="n"/>
      <c r="P841" s="232">
        <f>IF(OR($E841="",$I841=""),"",IF(OR($J841="Tamamlandı",$J841="İptal"),"",$I841-TODAY()))</f>
        <v/>
      </c>
      <c r="Q841" s="113">
        <f>IF($E841="","",IF($D841="TANIMSIZ MÜŞTERİ","HATA",IF(OR($J841="Tamamlandı",$J841="İptal"),"KAPALI",IF(AND($C841="Görüşme",$N841=""),"SONRAKİ İŞLEM EKSİK",IF($I841="","TARİH EKSİK",IF($I841&lt;TODAY(),"GECİKMİŞ",IF($I841=TODAY(),"BUGÜN",IF($I841&lt;=TODAY()+7,"7 GÜN İÇİNDE","PLANLI"))))))))</f>
        <v/>
      </c>
      <c r="R841" s="6" t="n"/>
      <c r="S841" s="6" t="n"/>
    </row>
    <row r="842">
      <c r="A842" s="6" t="n"/>
      <c r="B842" s="113">
        <f>IF($E842="","","A"&amp;TEXT(ROW()-6,"00000"))</f>
        <v/>
      </c>
      <c r="C842" s="108" t="n"/>
      <c r="D842" s="113">
        <f>IF($E842="","",IFERROR(INDEX(MUSTERILER!$B$7:$B$106,MATCH($E842,MUSTERILER!$C$7:$C$106,0)),IFERROR(INDEX(MUSTERILER!$B$7:$B$106,MATCH($E842,MUSTERILER!$B$7:$B$106,0)),IFERROR(INDEX(MUSTERILER!$B$7:$B$106,MATCH($E842&amp;"*",MUSTERILER!$C$7:$C$106,0)),"TANIMSIZ MÜŞTERİ"))))</f>
        <v/>
      </c>
      <c r="E842" s="109" t="n"/>
      <c r="F842" s="109" t="n"/>
      <c r="G842" s="108" t="n"/>
      <c r="H842" s="225" t="n"/>
      <c r="I842" s="225" t="n"/>
      <c r="J842" s="108" t="n"/>
      <c r="K842" s="108" t="n"/>
      <c r="L842" s="109" t="n"/>
      <c r="M842" s="109" t="n"/>
      <c r="N842" s="109" t="n"/>
      <c r="O842" s="225" t="n"/>
      <c r="P842" s="232">
        <f>IF(OR($E842="",$I842=""),"",IF(OR($J842="Tamamlandı",$J842="İptal"),"",$I842-TODAY()))</f>
        <v/>
      </c>
      <c r="Q842" s="113">
        <f>IF($E842="","",IF($D842="TANIMSIZ MÜŞTERİ","HATA",IF(OR($J842="Tamamlandı",$J842="İptal"),"KAPALI",IF(AND($C842="Görüşme",$N842=""),"SONRAKİ İŞLEM EKSİK",IF($I842="","TARİH EKSİK",IF($I842&lt;TODAY(),"GECİKMİŞ",IF($I842=TODAY(),"BUGÜN",IF($I842&lt;=TODAY()+7,"7 GÜN İÇİNDE","PLANLI"))))))))</f>
        <v/>
      </c>
      <c r="R842" s="6" t="n"/>
      <c r="S842" s="6" t="n"/>
    </row>
    <row r="843">
      <c r="A843" s="6" t="n"/>
      <c r="B843" s="113">
        <f>IF($E843="","","A"&amp;TEXT(ROW()-6,"00000"))</f>
        <v/>
      </c>
      <c r="C843" s="108" t="n"/>
      <c r="D843" s="113">
        <f>IF($E843="","",IFERROR(INDEX(MUSTERILER!$B$7:$B$106,MATCH($E843,MUSTERILER!$C$7:$C$106,0)),IFERROR(INDEX(MUSTERILER!$B$7:$B$106,MATCH($E843,MUSTERILER!$B$7:$B$106,0)),IFERROR(INDEX(MUSTERILER!$B$7:$B$106,MATCH($E843&amp;"*",MUSTERILER!$C$7:$C$106,0)),"TANIMSIZ MÜŞTERİ"))))</f>
        <v/>
      </c>
      <c r="E843" s="109" t="n"/>
      <c r="F843" s="109" t="n"/>
      <c r="G843" s="108" t="n"/>
      <c r="H843" s="225" t="n"/>
      <c r="I843" s="225" t="n"/>
      <c r="J843" s="108" t="n"/>
      <c r="K843" s="108" t="n"/>
      <c r="L843" s="109" t="n"/>
      <c r="M843" s="109" t="n"/>
      <c r="N843" s="109" t="n"/>
      <c r="O843" s="225" t="n"/>
      <c r="P843" s="232">
        <f>IF(OR($E843="",$I843=""),"",IF(OR($J843="Tamamlandı",$J843="İptal"),"",$I843-TODAY()))</f>
        <v/>
      </c>
      <c r="Q843" s="113">
        <f>IF($E843="","",IF($D843="TANIMSIZ MÜŞTERİ","HATA",IF(OR($J843="Tamamlandı",$J843="İptal"),"KAPALI",IF(AND($C843="Görüşme",$N843=""),"SONRAKİ İŞLEM EKSİK",IF($I843="","TARİH EKSİK",IF($I843&lt;TODAY(),"GECİKMİŞ",IF($I843=TODAY(),"BUGÜN",IF($I843&lt;=TODAY()+7,"7 GÜN İÇİNDE","PLANLI"))))))))</f>
        <v/>
      </c>
      <c r="R843" s="6" t="n"/>
      <c r="S843" s="6" t="n"/>
    </row>
    <row r="844">
      <c r="A844" s="6" t="n"/>
      <c r="B844" s="113">
        <f>IF($E844="","","A"&amp;TEXT(ROW()-6,"00000"))</f>
        <v/>
      </c>
      <c r="C844" s="108" t="n"/>
      <c r="D844" s="113">
        <f>IF($E844="","",IFERROR(INDEX(MUSTERILER!$B$7:$B$106,MATCH($E844,MUSTERILER!$C$7:$C$106,0)),IFERROR(INDEX(MUSTERILER!$B$7:$B$106,MATCH($E844,MUSTERILER!$B$7:$B$106,0)),IFERROR(INDEX(MUSTERILER!$B$7:$B$106,MATCH($E844&amp;"*",MUSTERILER!$C$7:$C$106,0)),"TANIMSIZ MÜŞTERİ"))))</f>
        <v/>
      </c>
      <c r="E844" s="109" t="n"/>
      <c r="F844" s="109" t="n"/>
      <c r="G844" s="108" t="n"/>
      <c r="H844" s="225" t="n"/>
      <c r="I844" s="225" t="n"/>
      <c r="J844" s="108" t="n"/>
      <c r="K844" s="108" t="n"/>
      <c r="L844" s="109" t="n"/>
      <c r="M844" s="109" t="n"/>
      <c r="N844" s="109" t="n"/>
      <c r="O844" s="225" t="n"/>
      <c r="P844" s="232">
        <f>IF(OR($E844="",$I844=""),"",IF(OR($J844="Tamamlandı",$J844="İptal"),"",$I844-TODAY()))</f>
        <v/>
      </c>
      <c r="Q844" s="113">
        <f>IF($E844="","",IF($D844="TANIMSIZ MÜŞTERİ","HATA",IF(OR($J844="Tamamlandı",$J844="İptal"),"KAPALI",IF(AND($C844="Görüşme",$N844=""),"SONRAKİ İŞLEM EKSİK",IF($I844="","TARİH EKSİK",IF($I844&lt;TODAY(),"GECİKMİŞ",IF($I844=TODAY(),"BUGÜN",IF($I844&lt;=TODAY()+7,"7 GÜN İÇİNDE","PLANLI"))))))))</f>
        <v/>
      </c>
      <c r="R844" s="6" t="n"/>
      <c r="S844" s="6" t="n"/>
    </row>
    <row r="845">
      <c r="A845" s="6" t="n"/>
      <c r="B845" s="113">
        <f>IF($E845="","","A"&amp;TEXT(ROW()-6,"00000"))</f>
        <v/>
      </c>
      <c r="C845" s="108" t="n"/>
      <c r="D845" s="113">
        <f>IF($E845="","",IFERROR(INDEX(MUSTERILER!$B$7:$B$106,MATCH($E845,MUSTERILER!$C$7:$C$106,0)),IFERROR(INDEX(MUSTERILER!$B$7:$B$106,MATCH($E845,MUSTERILER!$B$7:$B$106,0)),IFERROR(INDEX(MUSTERILER!$B$7:$B$106,MATCH($E845&amp;"*",MUSTERILER!$C$7:$C$106,0)),"TANIMSIZ MÜŞTERİ"))))</f>
        <v/>
      </c>
      <c r="E845" s="109" t="n"/>
      <c r="F845" s="109" t="n"/>
      <c r="G845" s="108" t="n"/>
      <c r="H845" s="225" t="n"/>
      <c r="I845" s="225" t="n"/>
      <c r="J845" s="108" t="n"/>
      <c r="K845" s="108" t="n"/>
      <c r="L845" s="109" t="n"/>
      <c r="M845" s="109" t="n"/>
      <c r="N845" s="109" t="n"/>
      <c r="O845" s="225" t="n"/>
      <c r="P845" s="232">
        <f>IF(OR($E845="",$I845=""),"",IF(OR($J845="Tamamlandı",$J845="İptal"),"",$I845-TODAY()))</f>
        <v/>
      </c>
      <c r="Q845" s="113">
        <f>IF($E845="","",IF($D845="TANIMSIZ MÜŞTERİ","HATA",IF(OR($J845="Tamamlandı",$J845="İptal"),"KAPALI",IF(AND($C845="Görüşme",$N845=""),"SONRAKİ İŞLEM EKSİK",IF($I845="","TARİH EKSİK",IF($I845&lt;TODAY(),"GECİKMİŞ",IF($I845=TODAY(),"BUGÜN",IF($I845&lt;=TODAY()+7,"7 GÜN İÇİNDE","PLANLI"))))))))</f>
        <v/>
      </c>
      <c r="R845" s="6" t="n"/>
      <c r="S845" s="6" t="n"/>
    </row>
    <row r="846">
      <c r="A846" s="6" t="n"/>
      <c r="B846" s="113">
        <f>IF($E846="","","A"&amp;TEXT(ROW()-6,"00000"))</f>
        <v/>
      </c>
      <c r="C846" s="108" t="n"/>
      <c r="D846" s="113">
        <f>IF($E846="","",IFERROR(INDEX(MUSTERILER!$B$7:$B$106,MATCH($E846,MUSTERILER!$C$7:$C$106,0)),IFERROR(INDEX(MUSTERILER!$B$7:$B$106,MATCH($E846,MUSTERILER!$B$7:$B$106,0)),IFERROR(INDEX(MUSTERILER!$B$7:$B$106,MATCH($E846&amp;"*",MUSTERILER!$C$7:$C$106,0)),"TANIMSIZ MÜŞTERİ"))))</f>
        <v/>
      </c>
      <c r="E846" s="109" t="n"/>
      <c r="F846" s="109" t="n"/>
      <c r="G846" s="108" t="n"/>
      <c r="H846" s="225" t="n"/>
      <c r="I846" s="225" t="n"/>
      <c r="J846" s="108" t="n"/>
      <c r="K846" s="108" t="n"/>
      <c r="L846" s="109" t="n"/>
      <c r="M846" s="109" t="n"/>
      <c r="N846" s="109" t="n"/>
      <c r="O846" s="225" t="n"/>
      <c r="P846" s="232">
        <f>IF(OR($E846="",$I846=""),"",IF(OR($J846="Tamamlandı",$J846="İptal"),"",$I846-TODAY()))</f>
        <v/>
      </c>
      <c r="Q846" s="113">
        <f>IF($E846="","",IF($D846="TANIMSIZ MÜŞTERİ","HATA",IF(OR($J846="Tamamlandı",$J846="İptal"),"KAPALI",IF(AND($C846="Görüşme",$N846=""),"SONRAKİ İŞLEM EKSİK",IF($I846="","TARİH EKSİK",IF($I846&lt;TODAY(),"GECİKMİŞ",IF($I846=TODAY(),"BUGÜN",IF($I846&lt;=TODAY()+7,"7 GÜN İÇİNDE","PLANLI"))))))))</f>
        <v/>
      </c>
      <c r="R846" s="6" t="n"/>
      <c r="S846" s="6" t="n"/>
    </row>
    <row r="847">
      <c r="A847" s="6" t="n"/>
      <c r="B847" s="113">
        <f>IF($E847="","","A"&amp;TEXT(ROW()-6,"00000"))</f>
        <v/>
      </c>
      <c r="C847" s="108" t="n"/>
      <c r="D847" s="113">
        <f>IF($E847="","",IFERROR(INDEX(MUSTERILER!$B$7:$B$106,MATCH($E847,MUSTERILER!$C$7:$C$106,0)),IFERROR(INDEX(MUSTERILER!$B$7:$B$106,MATCH($E847,MUSTERILER!$B$7:$B$106,0)),IFERROR(INDEX(MUSTERILER!$B$7:$B$106,MATCH($E847&amp;"*",MUSTERILER!$C$7:$C$106,0)),"TANIMSIZ MÜŞTERİ"))))</f>
        <v/>
      </c>
      <c r="E847" s="109" t="n"/>
      <c r="F847" s="109" t="n"/>
      <c r="G847" s="108" t="n"/>
      <c r="H847" s="225" t="n"/>
      <c r="I847" s="225" t="n"/>
      <c r="J847" s="108" t="n"/>
      <c r="K847" s="108" t="n"/>
      <c r="L847" s="109" t="n"/>
      <c r="M847" s="109" t="n"/>
      <c r="N847" s="109" t="n"/>
      <c r="O847" s="225" t="n"/>
      <c r="P847" s="232">
        <f>IF(OR($E847="",$I847=""),"",IF(OR($J847="Tamamlandı",$J847="İptal"),"",$I847-TODAY()))</f>
        <v/>
      </c>
      <c r="Q847" s="113">
        <f>IF($E847="","",IF($D847="TANIMSIZ MÜŞTERİ","HATA",IF(OR($J847="Tamamlandı",$J847="İptal"),"KAPALI",IF(AND($C847="Görüşme",$N847=""),"SONRAKİ İŞLEM EKSİK",IF($I847="","TARİH EKSİK",IF($I847&lt;TODAY(),"GECİKMİŞ",IF($I847=TODAY(),"BUGÜN",IF($I847&lt;=TODAY()+7,"7 GÜN İÇİNDE","PLANLI"))))))))</f>
        <v/>
      </c>
      <c r="R847" s="6" t="n"/>
      <c r="S847" s="6" t="n"/>
    </row>
    <row r="848">
      <c r="A848" s="6" t="n"/>
      <c r="B848" s="113">
        <f>IF($E848="","","A"&amp;TEXT(ROW()-6,"00000"))</f>
        <v/>
      </c>
      <c r="C848" s="108" t="n"/>
      <c r="D848" s="113">
        <f>IF($E848="","",IFERROR(INDEX(MUSTERILER!$B$7:$B$106,MATCH($E848,MUSTERILER!$C$7:$C$106,0)),IFERROR(INDEX(MUSTERILER!$B$7:$B$106,MATCH($E848,MUSTERILER!$B$7:$B$106,0)),IFERROR(INDEX(MUSTERILER!$B$7:$B$106,MATCH($E848&amp;"*",MUSTERILER!$C$7:$C$106,0)),"TANIMSIZ MÜŞTERİ"))))</f>
        <v/>
      </c>
      <c r="E848" s="109" t="n"/>
      <c r="F848" s="109" t="n"/>
      <c r="G848" s="108" t="n"/>
      <c r="H848" s="225" t="n"/>
      <c r="I848" s="225" t="n"/>
      <c r="J848" s="108" t="n"/>
      <c r="K848" s="108" t="n"/>
      <c r="L848" s="109" t="n"/>
      <c r="M848" s="109" t="n"/>
      <c r="N848" s="109" t="n"/>
      <c r="O848" s="225" t="n"/>
      <c r="P848" s="232">
        <f>IF(OR($E848="",$I848=""),"",IF(OR($J848="Tamamlandı",$J848="İptal"),"",$I848-TODAY()))</f>
        <v/>
      </c>
      <c r="Q848" s="113">
        <f>IF($E848="","",IF($D848="TANIMSIZ MÜŞTERİ","HATA",IF(OR($J848="Tamamlandı",$J848="İptal"),"KAPALI",IF(AND($C848="Görüşme",$N848=""),"SONRAKİ İŞLEM EKSİK",IF($I848="","TARİH EKSİK",IF($I848&lt;TODAY(),"GECİKMİŞ",IF($I848=TODAY(),"BUGÜN",IF($I848&lt;=TODAY()+7,"7 GÜN İÇİNDE","PLANLI"))))))))</f>
        <v/>
      </c>
      <c r="R848" s="6" t="n"/>
      <c r="S848" s="6" t="n"/>
    </row>
    <row r="849">
      <c r="A849" s="6" t="n"/>
      <c r="B849" s="113">
        <f>IF($E849="","","A"&amp;TEXT(ROW()-6,"00000"))</f>
        <v/>
      </c>
      <c r="C849" s="108" t="n"/>
      <c r="D849" s="113">
        <f>IF($E849="","",IFERROR(INDEX(MUSTERILER!$B$7:$B$106,MATCH($E849,MUSTERILER!$C$7:$C$106,0)),IFERROR(INDEX(MUSTERILER!$B$7:$B$106,MATCH($E849,MUSTERILER!$B$7:$B$106,0)),IFERROR(INDEX(MUSTERILER!$B$7:$B$106,MATCH($E849&amp;"*",MUSTERILER!$C$7:$C$106,0)),"TANIMSIZ MÜŞTERİ"))))</f>
        <v/>
      </c>
      <c r="E849" s="109" t="n"/>
      <c r="F849" s="109" t="n"/>
      <c r="G849" s="108" t="n"/>
      <c r="H849" s="225" t="n"/>
      <c r="I849" s="225" t="n"/>
      <c r="J849" s="108" t="n"/>
      <c r="K849" s="108" t="n"/>
      <c r="L849" s="109" t="n"/>
      <c r="M849" s="109" t="n"/>
      <c r="N849" s="109" t="n"/>
      <c r="O849" s="225" t="n"/>
      <c r="P849" s="232">
        <f>IF(OR($E849="",$I849=""),"",IF(OR($J849="Tamamlandı",$J849="İptal"),"",$I849-TODAY()))</f>
        <v/>
      </c>
      <c r="Q849" s="113">
        <f>IF($E849="","",IF($D849="TANIMSIZ MÜŞTERİ","HATA",IF(OR($J849="Tamamlandı",$J849="İptal"),"KAPALI",IF(AND($C849="Görüşme",$N849=""),"SONRAKİ İŞLEM EKSİK",IF($I849="","TARİH EKSİK",IF($I849&lt;TODAY(),"GECİKMİŞ",IF($I849=TODAY(),"BUGÜN",IF($I849&lt;=TODAY()+7,"7 GÜN İÇİNDE","PLANLI"))))))))</f>
        <v/>
      </c>
      <c r="R849" s="6" t="n"/>
      <c r="S849" s="6" t="n"/>
    </row>
    <row r="850">
      <c r="A850" s="6" t="n"/>
      <c r="B850" s="113">
        <f>IF($E850="","","A"&amp;TEXT(ROW()-6,"00000"))</f>
        <v/>
      </c>
      <c r="C850" s="108" t="n"/>
      <c r="D850" s="113">
        <f>IF($E850="","",IFERROR(INDEX(MUSTERILER!$B$7:$B$106,MATCH($E850,MUSTERILER!$C$7:$C$106,0)),IFERROR(INDEX(MUSTERILER!$B$7:$B$106,MATCH($E850,MUSTERILER!$B$7:$B$106,0)),IFERROR(INDEX(MUSTERILER!$B$7:$B$106,MATCH($E850&amp;"*",MUSTERILER!$C$7:$C$106,0)),"TANIMSIZ MÜŞTERİ"))))</f>
        <v/>
      </c>
      <c r="E850" s="109" t="n"/>
      <c r="F850" s="109" t="n"/>
      <c r="G850" s="108" t="n"/>
      <c r="H850" s="225" t="n"/>
      <c r="I850" s="225" t="n"/>
      <c r="J850" s="108" t="n"/>
      <c r="K850" s="108" t="n"/>
      <c r="L850" s="109" t="n"/>
      <c r="M850" s="109" t="n"/>
      <c r="N850" s="109" t="n"/>
      <c r="O850" s="225" t="n"/>
      <c r="P850" s="232">
        <f>IF(OR($E850="",$I850=""),"",IF(OR($J850="Tamamlandı",$J850="İptal"),"",$I850-TODAY()))</f>
        <v/>
      </c>
      <c r="Q850" s="113">
        <f>IF($E850="","",IF($D850="TANIMSIZ MÜŞTERİ","HATA",IF(OR($J850="Tamamlandı",$J850="İptal"),"KAPALI",IF(AND($C850="Görüşme",$N850=""),"SONRAKİ İŞLEM EKSİK",IF($I850="","TARİH EKSİK",IF($I850&lt;TODAY(),"GECİKMİŞ",IF($I850=TODAY(),"BUGÜN",IF($I850&lt;=TODAY()+7,"7 GÜN İÇİNDE","PLANLI"))))))))</f>
        <v/>
      </c>
      <c r="R850" s="6" t="n"/>
      <c r="S850" s="6" t="n"/>
    </row>
    <row r="851">
      <c r="A851" s="6" t="n"/>
      <c r="B851" s="113">
        <f>IF($E851="","","A"&amp;TEXT(ROW()-6,"00000"))</f>
        <v/>
      </c>
      <c r="C851" s="108" t="n"/>
      <c r="D851" s="113">
        <f>IF($E851="","",IFERROR(INDEX(MUSTERILER!$B$7:$B$106,MATCH($E851,MUSTERILER!$C$7:$C$106,0)),IFERROR(INDEX(MUSTERILER!$B$7:$B$106,MATCH($E851,MUSTERILER!$B$7:$B$106,0)),IFERROR(INDEX(MUSTERILER!$B$7:$B$106,MATCH($E851&amp;"*",MUSTERILER!$C$7:$C$106,0)),"TANIMSIZ MÜŞTERİ"))))</f>
        <v/>
      </c>
      <c r="E851" s="109" t="n"/>
      <c r="F851" s="109" t="n"/>
      <c r="G851" s="108" t="n"/>
      <c r="H851" s="225" t="n"/>
      <c r="I851" s="225" t="n"/>
      <c r="J851" s="108" t="n"/>
      <c r="K851" s="108" t="n"/>
      <c r="L851" s="109" t="n"/>
      <c r="M851" s="109" t="n"/>
      <c r="N851" s="109" t="n"/>
      <c r="O851" s="225" t="n"/>
      <c r="P851" s="232">
        <f>IF(OR($E851="",$I851=""),"",IF(OR($J851="Tamamlandı",$J851="İptal"),"",$I851-TODAY()))</f>
        <v/>
      </c>
      <c r="Q851" s="113">
        <f>IF($E851="","",IF($D851="TANIMSIZ MÜŞTERİ","HATA",IF(OR($J851="Tamamlandı",$J851="İptal"),"KAPALI",IF(AND($C851="Görüşme",$N851=""),"SONRAKİ İŞLEM EKSİK",IF($I851="","TARİH EKSİK",IF($I851&lt;TODAY(),"GECİKMİŞ",IF($I851=TODAY(),"BUGÜN",IF($I851&lt;=TODAY()+7,"7 GÜN İÇİNDE","PLANLI"))))))))</f>
        <v/>
      </c>
      <c r="R851" s="6" t="n"/>
      <c r="S851" s="6" t="n"/>
    </row>
    <row r="852">
      <c r="A852" s="6" t="n"/>
      <c r="B852" s="113">
        <f>IF($E852="","","A"&amp;TEXT(ROW()-6,"00000"))</f>
        <v/>
      </c>
      <c r="C852" s="108" t="n"/>
      <c r="D852" s="113">
        <f>IF($E852="","",IFERROR(INDEX(MUSTERILER!$B$7:$B$106,MATCH($E852,MUSTERILER!$C$7:$C$106,0)),IFERROR(INDEX(MUSTERILER!$B$7:$B$106,MATCH($E852,MUSTERILER!$B$7:$B$106,0)),IFERROR(INDEX(MUSTERILER!$B$7:$B$106,MATCH($E852&amp;"*",MUSTERILER!$C$7:$C$106,0)),"TANIMSIZ MÜŞTERİ"))))</f>
        <v/>
      </c>
      <c r="E852" s="109" t="n"/>
      <c r="F852" s="109" t="n"/>
      <c r="G852" s="108" t="n"/>
      <c r="H852" s="225" t="n"/>
      <c r="I852" s="225" t="n"/>
      <c r="J852" s="108" t="n"/>
      <c r="K852" s="108" t="n"/>
      <c r="L852" s="109" t="n"/>
      <c r="M852" s="109" t="n"/>
      <c r="N852" s="109" t="n"/>
      <c r="O852" s="225" t="n"/>
      <c r="P852" s="232">
        <f>IF(OR($E852="",$I852=""),"",IF(OR($J852="Tamamlandı",$J852="İptal"),"",$I852-TODAY()))</f>
        <v/>
      </c>
      <c r="Q852" s="113">
        <f>IF($E852="","",IF($D852="TANIMSIZ MÜŞTERİ","HATA",IF(OR($J852="Tamamlandı",$J852="İptal"),"KAPALI",IF(AND($C852="Görüşme",$N852=""),"SONRAKİ İŞLEM EKSİK",IF($I852="","TARİH EKSİK",IF($I852&lt;TODAY(),"GECİKMİŞ",IF($I852=TODAY(),"BUGÜN",IF($I852&lt;=TODAY()+7,"7 GÜN İÇİNDE","PLANLI"))))))))</f>
        <v/>
      </c>
      <c r="R852" s="6" t="n"/>
      <c r="S852" s="6" t="n"/>
    </row>
    <row r="853">
      <c r="A853" s="6" t="n"/>
      <c r="B853" s="113">
        <f>IF($E853="","","A"&amp;TEXT(ROW()-6,"00000"))</f>
        <v/>
      </c>
      <c r="C853" s="108" t="n"/>
      <c r="D853" s="113">
        <f>IF($E853="","",IFERROR(INDEX(MUSTERILER!$B$7:$B$106,MATCH($E853,MUSTERILER!$C$7:$C$106,0)),IFERROR(INDEX(MUSTERILER!$B$7:$B$106,MATCH($E853,MUSTERILER!$B$7:$B$106,0)),IFERROR(INDEX(MUSTERILER!$B$7:$B$106,MATCH($E853&amp;"*",MUSTERILER!$C$7:$C$106,0)),"TANIMSIZ MÜŞTERİ"))))</f>
        <v/>
      </c>
      <c r="E853" s="109" t="n"/>
      <c r="F853" s="109" t="n"/>
      <c r="G853" s="108" t="n"/>
      <c r="H853" s="225" t="n"/>
      <c r="I853" s="225" t="n"/>
      <c r="J853" s="108" t="n"/>
      <c r="K853" s="108" t="n"/>
      <c r="L853" s="109" t="n"/>
      <c r="M853" s="109" t="n"/>
      <c r="N853" s="109" t="n"/>
      <c r="O853" s="225" t="n"/>
      <c r="P853" s="232">
        <f>IF(OR($E853="",$I853=""),"",IF(OR($J853="Tamamlandı",$J853="İptal"),"",$I853-TODAY()))</f>
        <v/>
      </c>
      <c r="Q853" s="113">
        <f>IF($E853="","",IF($D853="TANIMSIZ MÜŞTERİ","HATA",IF(OR($J853="Tamamlandı",$J853="İptal"),"KAPALI",IF(AND($C853="Görüşme",$N853=""),"SONRAKİ İŞLEM EKSİK",IF($I853="","TARİH EKSİK",IF($I853&lt;TODAY(),"GECİKMİŞ",IF($I853=TODAY(),"BUGÜN",IF($I853&lt;=TODAY()+7,"7 GÜN İÇİNDE","PLANLI"))))))))</f>
        <v/>
      </c>
      <c r="R853" s="6" t="n"/>
      <c r="S853" s="6" t="n"/>
    </row>
    <row r="854">
      <c r="A854" s="6" t="n"/>
      <c r="B854" s="113">
        <f>IF($E854="","","A"&amp;TEXT(ROW()-6,"00000"))</f>
        <v/>
      </c>
      <c r="C854" s="108" t="n"/>
      <c r="D854" s="113">
        <f>IF($E854="","",IFERROR(INDEX(MUSTERILER!$B$7:$B$106,MATCH($E854,MUSTERILER!$C$7:$C$106,0)),IFERROR(INDEX(MUSTERILER!$B$7:$B$106,MATCH($E854,MUSTERILER!$B$7:$B$106,0)),IFERROR(INDEX(MUSTERILER!$B$7:$B$106,MATCH($E854&amp;"*",MUSTERILER!$C$7:$C$106,0)),"TANIMSIZ MÜŞTERİ"))))</f>
        <v/>
      </c>
      <c r="E854" s="109" t="n"/>
      <c r="F854" s="109" t="n"/>
      <c r="G854" s="108" t="n"/>
      <c r="H854" s="225" t="n"/>
      <c r="I854" s="225" t="n"/>
      <c r="J854" s="108" t="n"/>
      <c r="K854" s="108" t="n"/>
      <c r="L854" s="109" t="n"/>
      <c r="M854" s="109" t="n"/>
      <c r="N854" s="109" t="n"/>
      <c r="O854" s="225" t="n"/>
      <c r="P854" s="232">
        <f>IF(OR($E854="",$I854=""),"",IF(OR($J854="Tamamlandı",$J854="İptal"),"",$I854-TODAY()))</f>
        <v/>
      </c>
      <c r="Q854" s="113">
        <f>IF($E854="","",IF($D854="TANIMSIZ MÜŞTERİ","HATA",IF(OR($J854="Tamamlandı",$J854="İptal"),"KAPALI",IF(AND($C854="Görüşme",$N854=""),"SONRAKİ İŞLEM EKSİK",IF($I854="","TARİH EKSİK",IF($I854&lt;TODAY(),"GECİKMİŞ",IF($I854=TODAY(),"BUGÜN",IF($I854&lt;=TODAY()+7,"7 GÜN İÇİNDE","PLANLI"))))))))</f>
        <v/>
      </c>
      <c r="R854" s="6" t="n"/>
      <c r="S854" s="6" t="n"/>
    </row>
    <row r="855">
      <c r="A855" s="6" t="n"/>
      <c r="B855" s="113">
        <f>IF($E855="","","A"&amp;TEXT(ROW()-6,"00000"))</f>
        <v/>
      </c>
      <c r="C855" s="108" t="n"/>
      <c r="D855" s="113">
        <f>IF($E855="","",IFERROR(INDEX(MUSTERILER!$B$7:$B$106,MATCH($E855,MUSTERILER!$C$7:$C$106,0)),IFERROR(INDEX(MUSTERILER!$B$7:$B$106,MATCH($E855,MUSTERILER!$B$7:$B$106,0)),IFERROR(INDEX(MUSTERILER!$B$7:$B$106,MATCH($E855&amp;"*",MUSTERILER!$C$7:$C$106,0)),"TANIMSIZ MÜŞTERİ"))))</f>
        <v/>
      </c>
      <c r="E855" s="109" t="n"/>
      <c r="F855" s="109" t="n"/>
      <c r="G855" s="108" t="n"/>
      <c r="H855" s="225" t="n"/>
      <c r="I855" s="225" t="n"/>
      <c r="J855" s="108" t="n"/>
      <c r="K855" s="108" t="n"/>
      <c r="L855" s="109" t="n"/>
      <c r="M855" s="109" t="n"/>
      <c r="N855" s="109" t="n"/>
      <c r="O855" s="225" t="n"/>
      <c r="P855" s="232">
        <f>IF(OR($E855="",$I855=""),"",IF(OR($J855="Tamamlandı",$J855="İptal"),"",$I855-TODAY()))</f>
        <v/>
      </c>
      <c r="Q855" s="113">
        <f>IF($E855="","",IF($D855="TANIMSIZ MÜŞTERİ","HATA",IF(OR($J855="Tamamlandı",$J855="İptal"),"KAPALI",IF(AND($C855="Görüşme",$N855=""),"SONRAKİ İŞLEM EKSİK",IF($I855="","TARİH EKSİK",IF($I855&lt;TODAY(),"GECİKMİŞ",IF($I855=TODAY(),"BUGÜN",IF($I855&lt;=TODAY()+7,"7 GÜN İÇİNDE","PLANLI"))))))))</f>
        <v/>
      </c>
      <c r="R855" s="6" t="n"/>
      <c r="S855" s="6" t="n"/>
    </row>
    <row r="856">
      <c r="A856" s="6" t="n"/>
      <c r="B856" s="113">
        <f>IF($E856="","","A"&amp;TEXT(ROW()-6,"00000"))</f>
        <v/>
      </c>
      <c r="C856" s="108" t="n"/>
      <c r="D856" s="113">
        <f>IF($E856="","",IFERROR(INDEX(MUSTERILER!$B$7:$B$106,MATCH($E856,MUSTERILER!$C$7:$C$106,0)),IFERROR(INDEX(MUSTERILER!$B$7:$B$106,MATCH($E856,MUSTERILER!$B$7:$B$106,0)),IFERROR(INDEX(MUSTERILER!$B$7:$B$106,MATCH($E856&amp;"*",MUSTERILER!$C$7:$C$106,0)),"TANIMSIZ MÜŞTERİ"))))</f>
        <v/>
      </c>
      <c r="E856" s="109" t="n"/>
      <c r="F856" s="109" t="n"/>
      <c r="G856" s="108" t="n"/>
      <c r="H856" s="225" t="n"/>
      <c r="I856" s="225" t="n"/>
      <c r="J856" s="108" t="n"/>
      <c r="K856" s="108" t="n"/>
      <c r="L856" s="109" t="n"/>
      <c r="M856" s="109" t="n"/>
      <c r="N856" s="109" t="n"/>
      <c r="O856" s="225" t="n"/>
      <c r="P856" s="232">
        <f>IF(OR($E856="",$I856=""),"",IF(OR($J856="Tamamlandı",$J856="İptal"),"",$I856-TODAY()))</f>
        <v/>
      </c>
      <c r="Q856" s="113">
        <f>IF($E856="","",IF($D856="TANIMSIZ MÜŞTERİ","HATA",IF(OR($J856="Tamamlandı",$J856="İptal"),"KAPALI",IF(AND($C856="Görüşme",$N856=""),"SONRAKİ İŞLEM EKSİK",IF($I856="","TARİH EKSİK",IF($I856&lt;TODAY(),"GECİKMİŞ",IF($I856=TODAY(),"BUGÜN",IF($I856&lt;=TODAY()+7,"7 GÜN İÇİNDE","PLANLI"))))))))</f>
        <v/>
      </c>
      <c r="R856" s="6" t="n"/>
      <c r="S856" s="6" t="n"/>
    </row>
    <row r="857">
      <c r="A857" s="6" t="n"/>
      <c r="B857" s="113">
        <f>IF($E857="","","A"&amp;TEXT(ROW()-6,"00000"))</f>
        <v/>
      </c>
      <c r="C857" s="108" t="n"/>
      <c r="D857" s="113">
        <f>IF($E857="","",IFERROR(INDEX(MUSTERILER!$B$7:$B$106,MATCH($E857,MUSTERILER!$C$7:$C$106,0)),IFERROR(INDEX(MUSTERILER!$B$7:$B$106,MATCH($E857,MUSTERILER!$B$7:$B$106,0)),IFERROR(INDEX(MUSTERILER!$B$7:$B$106,MATCH($E857&amp;"*",MUSTERILER!$C$7:$C$106,0)),"TANIMSIZ MÜŞTERİ"))))</f>
        <v/>
      </c>
      <c r="E857" s="109" t="n"/>
      <c r="F857" s="109" t="n"/>
      <c r="G857" s="108" t="n"/>
      <c r="H857" s="225" t="n"/>
      <c r="I857" s="225" t="n"/>
      <c r="J857" s="108" t="n"/>
      <c r="K857" s="108" t="n"/>
      <c r="L857" s="109" t="n"/>
      <c r="M857" s="109" t="n"/>
      <c r="N857" s="109" t="n"/>
      <c r="O857" s="225" t="n"/>
      <c r="P857" s="232">
        <f>IF(OR($E857="",$I857=""),"",IF(OR($J857="Tamamlandı",$J857="İptal"),"",$I857-TODAY()))</f>
        <v/>
      </c>
      <c r="Q857" s="113">
        <f>IF($E857="","",IF($D857="TANIMSIZ MÜŞTERİ","HATA",IF(OR($J857="Tamamlandı",$J857="İptal"),"KAPALI",IF(AND($C857="Görüşme",$N857=""),"SONRAKİ İŞLEM EKSİK",IF($I857="","TARİH EKSİK",IF($I857&lt;TODAY(),"GECİKMİŞ",IF($I857=TODAY(),"BUGÜN",IF($I857&lt;=TODAY()+7,"7 GÜN İÇİNDE","PLANLI"))))))))</f>
        <v/>
      </c>
      <c r="R857" s="6" t="n"/>
      <c r="S857" s="6" t="n"/>
    </row>
    <row r="858">
      <c r="A858" s="6" t="n"/>
      <c r="B858" s="113">
        <f>IF($E858="","","A"&amp;TEXT(ROW()-6,"00000"))</f>
        <v/>
      </c>
      <c r="C858" s="108" t="n"/>
      <c r="D858" s="113">
        <f>IF($E858="","",IFERROR(INDEX(MUSTERILER!$B$7:$B$106,MATCH($E858,MUSTERILER!$C$7:$C$106,0)),IFERROR(INDEX(MUSTERILER!$B$7:$B$106,MATCH($E858,MUSTERILER!$B$7:$B$106,0)),IFERROR(INDEX(MUSTERILER!$B$7:$B$106,MATCH($E858&amp;"*",MUSTERILER!$C$7:$C$106,0)),"TANIMSIZ MÜŞTERİ"))))</f>
        <v/>
      </c>
      <c r="E858" s="109" t="n"/>
      <c r="F858" s="109" t="n"/>
      <c r="G858" s="108" t="n"/>
      <c r="H858" s="225" t="n"/>
      <c r="I858" s="225" t="n"/>
      <c r="J858" s="108" t="n"/>
      <c r="K858" s="108" t="n"/>
      <c r="L858" s="109" t="n"/>
      <c r="M858" s="109" t="n"/>
      <c r="N858" s="109" t="n"/>
      <c r="O858" s="225" t="n"/>
      <c r="P858" s="232">
        <f>IF(OR($E858="",$I858=""),"",IF(OR($J858="Tamamlandı",$J858="İptal"),"",$I858-TODAY()))</f>
        <v/>
      </c>
      <c r="Q858" s="113">
        <f>IF($E858="","",IF($D858="TANIMSIZ MÜŞTERİ","HATA",IF(OR($J858="Tamamlandı",$J858="İptal"),"KAPALI",IF(AND($C858="Görüşme",$N858=""),"SONRAKİ İŞLEM EKSİK",IF($I858="","TARİH EKSİK",IF($I858&lt;TODAY(),"GECİKMİŞ",IF($I858=TODAY(),"BUGÜN",IF($I858&lt;=TODAY()+7,"7 GÜN İÇİNDE","PLANLI"))))))))</f>
        <v/>
      </c>
      <c r="R858" s="6" t="n"/>
      <c r="S858" s="6" t="n"/>
    </row>
    <row r="859">
      <c r="A859" s="6" t="n"/>
      <c r="B859" s="113">
        <f>IF($E859="","","A"&amp;TEXT(ROW()-6,"00000"))</f>
        <v/>
      </c>
      <c r="C859" s="108" t="n"/>
      <c r="D859" s="113">
        <f>IF($E859="","",IFERROR(INDEX(MUSTERILER!$B$7:$B$106,MATCH($E859,MUSTERILER!$C$7:$C$106,0)),IFERROR(INDEX(MUSTERILER!$B$7:$B$106,MATCH($E859,MUSTERILER!$B$7:$B$106,0)),IFERROR(INDEX(MUSTERILER!$B$7:$B$106,MATCH($E859&amp;"*",MUSTERILER!$C$7:$C$106,0)),"TANIMSIZ MÜŞTERİ"))))</f>
        <v/>
      </c>
      <c r="E859" s="109" t="n"/>
      <c r="F859" s="109" t="n"/>
      <c r="G859" s="108" t="n"/>
      <c r="H859" s="225" t="n"/>
      <c r="I859" s="225" t="n"/>
      <c r="J859" s="108" t="n"/>
      <c r="K859" s="108" t="n"/>
      <c r="L859" s="109" t="n"/>
      <c r="M859" s="109" t="n"/>
      <c r="N859" s="109" t="n"/>
      <c r="O859" s="225" t="n"/>
      <c r="P859" s="232">
        <f>IF(OR($E859="",$I859=""),"",IF(OR($J859="Tamamlandı",$J859="İptal"),"",$I859-TODAY()))</f>
        <v/>
      </c>
      <c r="Q859" s="113">
        <f>IF($E859="","",IF($D859="TANIMSIZ MÜŞTERİ","HATA",IF(OR($J859="Tamamlandı",$J859="İptal"),"KAPALI",IF(AND($C859="Görüşme",$N859=""),"SONRAKİ İŞLEM EKSİK",IF($I859="","TARİH EKSİK",IF($I859&lt;TODAY(),"GECİKMİŞ",IF($I859=TODAY(),"BUGÜN",IF($I859&lt;=TODAY()+7,"7 GÜN İÇİNDE","PLANLI"))))))))</f>
        <v/>
      </c>
      <c r="R859" s="6" t="n"/>
      <c r="S859" s="6" t="n"/>
    </row>
    <row r="860">
      <c r="A860" s="6" t="n"/>
      <c r="B860" s="113">
        <f>IF($E860="","","A"&amp;TEXT(ROW()-6,"00000"))</f>
        <v/>
      </c>
      <c r="C860" s="108" t="n"/>
      <c r="D860" s="113">
        <f>IF($E860="","",IFERROR(INDEX(MUSTERILER!$B$7:$B$106,MATCH($E860,MUSTERILER!$C$7:$C$106,0)),IFERROR(INDEX(MUSTERILER!$B$7:$B$106,MATCH($E860,MUSTERILER!$B$7:$B$106,0)),IFERROR(INDEX(MUSTERILER!$B$7:$B$106,MATCH($E860&amp;"*",MUSTERILER!$C$7:$C$106,0)),"TANIMSIZ MÜŞTERİ"))))</f>
        <v/>
      </c>
      <c r="E860" s="109" t="n"/>
      <c r="F860" s="109" t="n"/>
      <c r="G860" s="108" t="n"/>
      <c r="H860" s="225" t="n"/>
      <c r="I860" s="225" t="n"/>
      <c r="J860" s="108" t="n"/>
      <c r="K860" s="108" t="n"/>
      <c r="L860" s="109" t="n"/>
      <c r="M860" s="109" t="n"/>
      <c r="N860" s="109" t="n"/>
      <c r="O860" s="225" t="n"/>
      <c r="P860" s="232">
        <f>IF(OR($E860="",$I860=""),"",IF(OR($J860="Tamamlandı",$J860="İptal"),"",$I860-TODAY()))</f>
        <v/>
      </c>
      <c r="Q860" s="113">
        <f>IF($E860="","",IF($D860="TANIMSIZ MÜŞTERİ","HATA",IF(OR($J860="Tamamlandı",$J860="İptal"),"KAPALI",IF(AND($C860="Görüşme",$N860=""),"SONRAKİ İŞLEM EKSİK",IF($I860="","TARİH EKSİK",IF($I860&lt;TODAY(),"GECİKMİŞ",IF($I860=TODAY(),"BUGÜN",IF($I860&lt;=TODAY()+7,"7 GÜN İÇİNDE","PLANLI"))))))))</f>
        <v/>
      </c>
      <c r="R860" s="6" t="n"/>
      <c r="S860" s="6" t="n"/>
    </row>
    <row r="861">
      <c r="A861" s="6" t="n"/>
      <c r="B861" s="113">
        <f>IF($E861="","","A"&amp;TEXT(ROW()-6,"00000"))</f>
        <v/>
      </c>
      <c r="C861" s="108" t="n"/>
      <c r="D861" s="113">
        <f>IF($E861="","",IFERROR(INDEX(MUSTERILER!$B$7:$B$106,MATCH($E861,MUSTERILER!$C$7:$C$106,0)),IFERROR(INDEX(MUSTERILER!$B$7:$B$106,MATCH($E861,MUSTERILER!$B$7:$B$106,0)),IFERROR(INDEX(MUSTERILER!$B$7:$B$106,MATCH($E861&amp;"*",MUSTERILER!$C$7:$C$106,0)),"TANIMSIZ MÜŞTERİ"))))</f>
        <v/>
      </c>
      <c r="E861" s="109" t="n"/>
      <c r="F861" s="109" t="n"/>
      <c r="G861" s="108" t="n"/>
      <c r="H861" s="225" t="n"/>
      <c r="I861" s="225" t="n"/>
      <c r="J861" s="108" t="n"/>
      <c r="K861" s="108" t="n"/>
      <c r="L861" s="109" t="n"/>
      <c r="M861" s="109" t="n"/>
      <c r="N861" s="109" t="n"/>
      <c r="O861" s="225" t="n"/>
      <c r="P861" s="232">
        <f>IF(OR($E861="",$I861=""),"",IF(OR($J861="Tamamlandı",$J861="İptal"),"",$I861-TODAY()))</f>
        <v/>
      </c>
      <c r="Q861" s="113">
        <f>IF($E861="","",IF($D861="TANIMSIZ MÜŞTERİ","HATA",IF(OR($J861="Tamamlandı",$J861="İptal"),"KAPALI",IF(AND($C861="Görüşme",$N861=""),"SONRAKİ İŞLEM EKSİK",IF($I861="","TARİH EKSİK",IF($I861&lt;TODAY(),"GECİKMİŞ",IF($I861=TODAY(),"BUGÜN",IF($I861&lt;=TODAY()+7,"7 GÜN İÇİNDE","PLANLI"))))))))</f>
        <v/>
      </c>
      <c r="R861" s="6" t="n"/>
      <c r="S861" s="6" t="n"/>
    </row>
    <row r="862">
      <c r="A862" s="6" t="n"/>
      <c r="B862" s="113">
        <f>IF($E862="","","A"&amp;TEXT(ROW()-6,"00000"))</f>
        <v/>
      </c>
      <c r="C862" s="108" t="n"/>
      <c r="D862" s="113">
        <f>IF($E862="","",IFERROR(INDEX(MUSTERILER!$B$7:$B$106,MATCH($E862,MUSTERILER!$C$7:$C$106,0)),IFERROR(INDEX(MUSTERILER!$B$7:$B$106,MATCH($E862,MUSTERILER!$B$7:$B$106,0)),IFERROR(INDEX(MUSTERILER!$B$7:$B$106,MATCH($E862&amp;"*",MUSTERILER!$C$7:$C$106,0)),"TANIMSIZ MÜŞTERİ"))))</f>
        <v/>
      </c>
      <c r="E862" s="109" t="n"/>
      <c r="F862" s="109" t="n"/>
      <c r="G862" s="108" t="n"/>
      <c r="H862" s="225" t="n"/>
      <c r="I862" s="225" t="n"/>
      <c r="J862" s="108" t="n"/>
      <c r="K862" s="108" t="n"/>
      <c r="L862" s="109" t="n"/>
      <c r="M862" s="109" t="n"/>
      <c r="N862" s="109" t="n"/>
      <c r="O862" s="225" t="n"/>
      <c r="P862" s="232">
        <f>IF(OR($E862="",$I862=""),"",IF(OR($J862="Tamamlandı",$J862="İptal"),"",$I862-TODAY()))</f>
        <v/>
      </c>
      <c r="Q862" s="113">
        <f>IF($E862="","",IF($D862="TANIMSIZ MÜŞTERİ","HATA",IF(OR($J862="Tamamlandı",$J862="İptal"),"KAPALI",IF(AND($C862="Görüşme",$N862=""),"SONRAKİ İŞLEM EKSİK",IF($I862="","TARİH EKSİK",IF($I862&lt;TODAY(),"GECİKMİŞ",IF($I862=TODAY(),"BUGÜN",IF($I862&lt;=TODAY()+7,"7 GÜN İÇİNDE","PLANLI"))))))))</f>
        <v/>
      </c>
      <c r="R862" s="6" t="n"/>
      <c r="S862" s="6" t="n"/>
    </row>
    <row r="863">
      <c r="A863" s="6" t="n"/>
      <c r="B863" s="113">
        <f>IF($E863="","","A"&amp;TEXT(ROW()-6,"00000"))</f>
        <v/>
      </c>
      <c r="C863" s="108" t="n"/>
      <c r="D863" s="113">
        <f>IF($E863="","",IFERROR(INDEX(MUSTERILER!$B$7:$B$106,MATCH($E863,MUSTERILER!$C$7:$C$106,0)),IFERROR(INDEX(MUSTERILER!$B$7:$B$106,MATCH($E863,MUSTERILER!$B$7:$B$106,0)),IFERROR(INDEX(MUSTERILER!$B$7:$B$106,MATCH($E863&amp;"*",MUSTERILER!$C$7:$C$106,0)),"TANIMSIZ MÜŞTERİ"))))</f>
        <v/>
      </c>
      <c r="E863" s="109" t="n"/>
      <c r="F863" s="109" t="n"/>
      <c r="G863" s="108" t="n"/>
      <c r="H863" s="225" t="n"/>
      <c r="I863" s="225" t="n"/>
      <c r="J863" s="108" t="n"/>
      <c r="K863" s="108" t="n"/>
      <c r="L863" s="109" t="n"/>
      <c r="M863" s="109" t="n"/>
      <c r="N863" s="109" t="n"/>
      <c r="O863" s="225" t="n"/>
      <c r="P863" s="232">
        <f>IF(OR($E863="",$I863=""),"",IF(OR($J863="Tamamlandı",$J863="İptal"),"",$I863-TODAY()))</f>
        <v/>
      </c>
      <c r="Q863" s="113">
        <f>IF($E863="","",IF($D863="TANIMSIZ MÜŞTERİ","HATA",IF(OR($J863="Tamamlandı",$J863="İptal"),"KAPALI",IF(AND($C863="Görüşme",$N863=""),"SONRAKİ İŞLEM EKSİK",IF($I863="","TARİH EKSİK",IF($I863&lt;TODAY(),"GECİKMİŞ",IF($I863=TODAY(),"BUGÜN",IF($I863&lt;=TODAY()+7,"7 GÜN İÇİNDE","PLANLI"))))))))</f>
        <v/>
      </c>
      <c r="R863" s="6" t="n"/>
      <c r="S863" s="6" t="n"/>
    </row>
    <row r="864">
      <c r="A864" s="6" t="n"/>
      <c r="B864" s="113">
        <f>IF($E864="","","A"&amp;TEXT(ROW()-6,"00000"))</f>
        <v/>
      </c>
      <c r="C864" s="108" t="n"/>
      <c r="D864" s="113">
        <f>IF($E864="","",IFERROR(INDEX(MUSTERILER!$B$7:$B$106,MATCH($E864,MUSTERILER!$C$7:$C$106,0)),IFERROR(INDEX(MUSTERILER!$B$7:$B$106,MATCH($E864,MUSTERILER!$B$7:$B$106,0)),IFERROR(INDEX(MUSTERILER!$B$7:$B$106,MATCH($E864&amp;"*",MUSTERILER!$C$7:$C$106,0)),"TANIMSIZ MÜŞTERİ"))))</f>
        <v/>
      </c>
      <c r="E864" s="109" t="n"/>
      <c r="F864" s="109" t="n"/>
      <c r="G864" s="108" t="n"/>
      <c r="H864" s="225" t="n"/>
      <c r="I864" s="225" t="n"/>
      <c r="J864" s="108" t="n"/>
      <c r="K864" s="108" t="n"/>
      <c r="L864" s="109" t="n"/>
      <c r="M864" s="109" t="n"/>
      <c r="N864" s="109" t="n"/>
      <c r="O864" s="225" t="n"/>
      <c r="P864" s="232">
        <f>IF(OR($E864="",$I864=""),"",IF(OR($J864="Tamamlandı",$J864="İptal"),"",$I864-TODAY()))</f>
        <v/>
      </c>
      <c r="Q864" s="113">
        <f>IF($E864="","",IF($D864="TANIMSIZ MÜŞTERİ","HATA",IF(OR($J864="Tamamlandı",$J864="İptal"),"KAPALI",IF(AND($C864="Görüşme",$N864=""),"SONRAKİ İŞLEM EKSİK",IF($I864="","TARİH EKSİK",IF($I864&lt;TODAY(),"GECİKMİŞ",IF($I864=TODAY(),"BUGÜN",IF($I864&lt;=TODAY()+7,"7 GÜN İÇİNDE","PLANLI"))))))))</f>
        <v/>
      </c>
      <c r="R864" s="6" t="n"/>
      <c r="S864" s="6" t="n"/>
    </row>
    <row r="865">
      <c r="A865" s="6" t="n"/>
      <c r="B865" s="113">
        <f>IF($E865="","","A"&amp;TEXT(ROW()-6,"00000"))</f>
        <v/>
      </c>
      <c r="C865" s="108" t="n"/>
      <c r="D865" s="113">
        <f>IF($E865="","",IFERROR(INDEX(MUSTERILER!$B$7:$B$106,MATCH($E865,MUSTERILER!$C$7:$C$106,0)),IFERROR(INDEX(MUSTERILER!$B$7:$B$106,MATCH($E865,MUSTERILER!$B$7:$B$106,0)),IFERROR(INDEX(MUSTERILER!$B$7:$B$106,MATCH($E865&amp;"*",MUSTERILER!$C$7:$C$106,0)),"TANIMSIZ MÜŞTERİ"))))</f>
        <v/>
      </c>
      <c r="E865" s="109" t="n"/>
      <c r="F865" s="109" t="n"/>
      <c r="G865" s="108" t="n"/>
      <c r="H865" s="225" t="n"/>
      <c r="I865" s="225" t="n"/>
      <c r="J865" s="108" t="n"/>
      <c r="K865" s="108" t="n"/>
      <c r="L865" s="109" t="n"/>
      <c r="M865" s="109" t="n"/>
      <c r="N865" s="109" t="n"/>
      <c r="O865" s="225" t="n"/>
      <c r="P865" s="232">
        <f>IF(OR($E865="",$I865=""),"",IF(OR($J865="Tamamlandı",$J865="İptal"),"",$I865-TODAY()))</f>
        <v/>
      </c>
      <c r="Q865" s="113">
        <f>IF($E865="","",IF($D865="TANIMSIZ MÜŞTERİ","HATA",IF(OR($J865="Tamamlandı",$J865="İptal"),"KAPALI",IF(AND($C865="Görüşme",$N865=""),"SONRAKİ İŞLEM EKSİK",IF($I865="","TARİH EKSİK",IF($I865&lt;TODAY(),"GECİKMİŞ",IF($I865=TODAY(),"BUGÜN",IF($I865&lt;=TODAY()+7,"7 GÜN İÇİNDE","PLANLI"))))))))</f>
        <v/>
      </c>
      <c r="R865" s="6" t="n"/>
      <c r="S865" s="6" t="n"/>
    </row>
    <row r="866">
      <c r="A866" s="6" t="n"/>
      <c r="B866" s="113">
        <f>IF($E866="","","A"&amp;TEXT(ROW()-6,"00000"))</f>
        <v/>
      </c>
      <c r="C866" s="108" t="n"/>
      <c r="D866" s="113">
        <f>IF($E866="","",IFERROR(INDEX(MUSTERILER!$B$7:$B$106,MATCH($E866,MUSTERILER!$C$7:$C$106,0)),IFERROR(INDEX(MUSTERILER!$B$7:$B$106,MATCH($E866,MUSTERILER!$B$7:$B$106,0)),IFERROR(INDEX(MUSTERILER!$B$7:$B$106,MATCH($E866&amp;"*",MUSTERILER!$C$7:$C$106,0)),"TANIMSIZ MÜŞTERİ"))))</f>
        <v/>
      </c>
      <c r="E866" s="109" t="n"/>
      <c r="F866" s="109" t="n"/>
      <c r="G866" s="108" t="n"/>
      <c r="H866" s="225" t="n"/>
      <c r="I866" s="225" t="n"/>
      <c r="J866" s="108" t="n"/>
      <c r="K866" s="108" t="n"/>
      <c r="L866" s="109" t="n"/>
      <c r="M866" s="109" t="n"/>
      <c r="N866" s="109" t="n"/>
      <c r="O866" s="225" t="n"/>
      <c r="P866" s="232">
        <f>IF(OR($E866="",$I866=""),"",IF(OR($J866="Tamamlandı",$J866="İptal"),"",$I866-TODAY()))</f>
        <v/>
      </c>
      <c r="Q866" s="113">
        <f>IF($E866="","",IF($D866="TANIMSIZ MÜŞTERİ","HATA",IF(OR($J866="Tamamlandı",$J866="İptal"),"KAPALI",IF(AND($C866="Görüşme",$N866=""),"SONRAKİ İŞLEM EKSİK",IF($I866="","TARİH EKSİK",IF($I866&lt;TODAY(),"GECİKMİŞ",IF($I866=TODAY(),"BUGÜN",IF($I866&lt;=TODAY()+7,"7 GÜN İÇİNDE","PLANLI"))))))))</f>
        <v/>
      </c>
      <c r="R866" s="6" t="n"/>
      <c r="S866" s="6" t="n"/>
    </row>
    <row r="867">
      <c r="A867" s="6" t="n"/>
      <c r="B867" s="113">
        <f>IF($E867="","","A"&amp;TEXT(ROW()-6,"00000"))</f>
        <v/>
      </c>
      <c r="C867" s="108" t="n"/>
      <c r="D867" s="113">
        <f>IF($E867="","",IFERROR(INDEX(MUSTERILER!$B$7:$B$106,MATCH($E867,MUSTERILER!$C$7:$C$106,0)),IFERROR(INDEX(MUSTERILER!$B$7:$B$106,MATCH($E867,MUSTERILER!$B$7:$B$106,0)),IFERROR(INDEX(MUSTERILER!$B$7:$B$106,MATCH($E867&amp;"*",MUSTERILER!$C$7:$C$106,0)),"TANIMSIZ MÜŞTERİ"))))</f>
        <v/>
      </c>
      <c r="E867" s="109" t="n"/>
      <c r="F867" s="109" t="n"/>
      <c r="G867" s="108" t="n"/>
      <c r="H867" s="225" t="n"/>
      <c r="I867" s="225" t="n"/>
      <c r="J867" s="108" t="n"/>
      <c r="K867" s="108" t="n"/>
      <c r="L867" s="109" t="n"/>
      <c r="M867" s="109" t="n"/>
      <c r="N867" s="109" t="n"/>
      <c r="O867" s="225" t="n"/>
      <c r="P867" s="232">
        <f>IF(OR($E867="",$I867=""),"",IF(OR($J867="Tamamlandı",$J867="İptal"),"",$I867-TODAY()))</f>
        <v/>
      </c>
      <c r="Q867" s="113">
        <f>IF($E867="","",IF($D867="TANIMSIZ MÜŞTERİ","HATA",IF(OR($J867="Tamamlandı",$J867="İptal"),"KAPALI",IF(AND($C867="Görüşme",$N867=""),"SONRAKİ İŞLEM EKSİK",IF($I867="","TARİH EKSİK",IF($I867&lt;TODAY(),"GECİKMİŞ",IF($I867=TODAY(),"BUGÜN",IF($I867&lt;=TODAY()+7,"7 GÜN İÇİNDE","PLANLI"))))))))</f>
        <v/>
      </c>
      <c r="R867" s="6" t="n"/>
      <c r="S867" s="6" t="n"/>
    </row>
    <row r="868">
      <c r="A868" s="6" t="n"/>
      <c r="B868" s="113">
        <f>IF($E868="","","A"&amp;TEXT(ROW()-6,"00000"))</f>
        <v/>
      </c>
      <c r="C868" s="108" t="n"/>
      <c r="D868" s="113">
        <f>IF($E868="","",IFERROR(INDEX(MUSTERILER!$B$7:$B$106,MATCH($E868,MUSTERILER!$C$7:$C$106,0)),IFERROR(INDEX(MUSTERILER!$B$7:$B$106,MATCH($E868,MUSTERILER!$B$7:$B$106,0)),IFERROR(INDEX(MUSTERILER!$B$7:$B$106,MATCH($E868&amp;"*",MUSTERILER!$C$7:$C$106,0)),"TANIMSIZ MÜŞTERİ"))))</f>
        <v/>
      </c>
      <c r="E868" s="109" t="n"/>
      <c r="F868" s="109" t="n"/>
      <c r="G868" s="108" t="n"/>
      <c r="H868" s="225" t="n"/>
      <c r="I868" s="225" t="n"/>
      <c r="J868" s="108" t="n"/>
      <c r="K868" s="108" t="n"/>
      <c r="L868" s="109" t="n"/>
      <c r="M868" s="109" t="n"/>
      <c r="N868" s="109" t="n"/>
      <c r="O868" s="225" t="n"/>
      <c r="P868" s="232">
        <f>IF(OR($E868="",$I868=""),"",IF(OR($J868="Tamamlandı",$J868="İptal"),"",$I868-TODAY()))</f>
        <v/>
      </c>
      <c r="Q868" s="113">
        <f>IF($E868="","",IF($D868="TANIMSIZ MÜŞTERİ","HATA",IF(OR($J868="Tamamlandı",$J868="İptal"),"KAPALI",IF(AND($C868="Görüşme",$N868=""),"SONRAKİ İŞLEM EKSİK",IF($I868="","TARİH EKSİK",IF($I868&lt;TODAY(),"GECİKMİŞ",IF($I868=TODAY(),"BUGÜN",IF($I868&lt;=TODAY()+7,"7 GÜN İÇİNDE","PLANLI"))))))))</f>
        <v/>
      </c>
      <c r="R868" s="6" t="n"/>
      <c r="S868" s="6" t="n"/>
    </row>
    <row r="869">
      <c r="A869" s="6" t="n"/>
      <c r="B869" s="113">
        <f>IF($E869="","","A"&amp;TEXT(ROW()-6,"00000"))</f>
        <v/>
      </c>
      <c r="C869" s="108" t="n"/>
      <c r="D869" s="113">
        <f>IF($E869="","",IFERROR(INDEX(MUSTERILER!$B$7:$B$106,MATCH($E869,MUSTERILER!$C$7:$C$106,0)),IFERROR(INDEX(MUSTERILER!$B$7:$B$106,MATCH($E869,MUSTERILER!$B$7:$B$106,0)),IFERROR(INDEX(MUSTERILER!$B$7:$B$106,MATCH($E869&amp;"*",MUSTERILER!$C$7:$C$106,0)),"TANIMSIZ MÜŞTERİ"))))</f>
        <v/>
      </c>
      <c r="E869" s="109" t="n"/>
      <c r="F869" s="109" t="n"/>
      <c r="G869" s="108" t="n"/>
      <c r="H869" s="225" t="n"/>
      <c r="I869" s="225" t="n"/>
      <c r="J869" s="108" t="n"/>
      <c r="K869" s="108" t="n"/>
      <c r="L869" s="109" t="n"/>
      <c r="M869" s="109" t="n"/>
      <c r="N869" s="109" t="n"/>
      <c r="O869" s="225" t="n"/>
      <c r="P869" s="232">
        <f>IF(OR($E869="",$I869=""),"",IF(OR($J869="Tamamlandı",$J869="İptal"),"",$I869-TODAY()))</f>
        <v/>
      </c>
      <c r="Q869" s="113">
        <f>IF($E869="","",IF($D869="TANIMSIZ MÜŞTERİ","HATA",IF(OR($J869="Tamamlandı",$J869="İptal"),"KAPALI",IF(AND($C869="Görüşme",$N869=""),"SONRAKİ İŞLEM EKSİK",IF($I869="","TARİH EKSİK",IF($I869&lt;TODAY(),"GECİKMİŞ",IF($I869=TODAY(),"BUGÜN",IF($I869&lt;=TODAY()+7,"7 GÜN İÇİNDE","PLANLI"))))))))</f>
        <v/>
      </c>
      <c r="R869" s="6" t="n"/>
      <c r="S869" s="6" t="n"/>
    </row>
    <row r="870">
      <c r="A870" s="6" t="n"/>
      <c r="B870" s="113">
        <f>IF($E870="","","A"&amp;TEXT(ROW()-6,"00000"))</f>
        <v/>
      </c>
      <c r="C870" s="108" t="n"/>
      <c r="D870" s="113">
        <f>IF($E870="","",IFERROR(INDEX(MUSTERILER!$B$7:$B$106,MATCH($E870,MUSTERILER!$C$7:$C$106,0)),IFERROR(INDEX(MUSTERILER!$B$7:$B$106,MATCH($E870,MUSTERILER!$B$7:$B$106,0)),IFERROR(INDEX(MUSTERILER!$B$7:$B$106,MATCH($E870&amp;"*",MUSTERILER!$C$7:$C$106,0)),"TANIMSIZ MÜŞTERİ"))))</f>
        <v/>
      </c>
      <c r="E870" s="109" t="n"/>
      <c r="F870" s="109" t="n"/>
      <c r="G870" s="108" t="n"/>
      <c r="H870" s="225" t="n"/>
      <c r="I870" s="225" t="n"/>
      <c r="J870" s="108" t="n"/>
      <c r="K870" s="108" t="n"/>
      <c r="L870" s="109" t="n"/>
      <c r="M870" s="109" t="n"/>
      <c r="N870" s="109" t="n"/>
      <c r="O870" s="225" t="n"/>
      <c r="P870" s="232">
        <f>IF(OR($E870="",$I870=""),"",IF(OR($J870="Tamamlandı",$J870="İptal"),"",$I870-TODAY()))</f>
        <v/>
      </c>
      <c r="Q870" s="113">
        <f>IF($E870="","",IF($D870="TANIMSIZ MÜŞTERİ","HATA",IF(OR($J870="Tamamlandı",$J870="İptal"),"KAPALI",IF(AND($C870="Görüşme",$N870=""),"SONRAKİ İŞLEM EKSİK",IF($I870="","TARİH EKSİK",IF($I870&lt;TODAY(),"GECİKMİŞ",IF($I870=TODAY(),"BUGÜN",IF($I870&lt;=TODAY()+7,"7 GÜN İÇİNDE","PLANLI"))))))))</f>
        <v/>
      </c>
      <c r="R870" s="6" t="n"/>
      <c r="S870" s="6" t="n"/>
    </row>
    <row r="871">
      <c r="A871" s="6" t="n"/>
      <c r="B871" s="113">
        <f>IF($E871="","","A"&amp;TEXT(ROW()-6,"00000"))</f>
        <v/>
      </c>
      <c r="C871" s="108" t="n"/>
      <c r="D871" s="113">
        <f>IF($E871="","",IFERROR(INDEX(MUSTERILER!$B$7:$B$106,MATCH($E871,MUSTERILER!$C$7:$C$106,0)),IFERROR(INDEX(MUSTERILER!$B$7:$B$106,MATCH($E871,MUSTERILER!$B$7:$B$106,0)),IFERROR(INDEX(MUSTERILER!$B$7:$B$106,MATCH($E871&amp;"*",MUSTERILER!$C$7:$C$106,0)),"TANIMSIZ MÜŞTERİ"))))</f>
        <v/>
      </c>
      <c r="E871" s="109" t="n"/>
      <c r="F871" s="109" t="n"/>
      <c r="G871" s="108" t="n"/>
      <c r="H871" s="225" t="n"/>
      <c r="I871" s="225" t="n"/>
      <c r="J871" s="108" t="n"/>
      <c r="K871" s="108" t="n"/>
      <c r="L871" s="109" t="n"/>
      <c r="M871" s="109" t="n"/>
      <c r="N871" s="109" t="n"/>
      <c r="O871" s="225" t="n"/>
      <c r="P871" s="232">
        <f>IF(OR($E871="",$I871=""),"",IF(OR($J871="Tamamlandı",$J871="İptal"),"",$I871-TODAY()))</f>
        <v/>
      </c>
      <c r="Q871" s="113">
        <f>IF($E871="","",IF($D871="TANIMSIZ MÜŞTERİ","HATA",IF(OR($J871="Tamamlandı",$J871="İptal"),"KAPALI",IF(AND($C871="Görüşme",$N871=""),"SONRAKİ İŞLEM EKSİK",IF($I871="","TARİH EKSİK",IF($I871&lt;TODAY(),"GECİKMİŞ",IF($I871=TODAY(),"BUGÜN",IF($I871&lt;=TODAY()+7,"7 GÜN İÇİNDE","PLANLI"))))))))</f>
        <v/>
      </c>
      <c r="R871" s="6" t="n"/>
      <c r="S871" s="6" t="n"/>
    </row>
    <row r="872">
      <c r="A872" s="6" t="n"/>
      <c r="B872" s="113">
        <f>IF($E872="","","A"&amp;TEXT(ROW()-6,"00000"))</f>
        <v/>
      </c>
      <c r="C872" s="108" t="n"/>
      <c r="D872" s="113">
        <f>IF($E872="","",IFERROR(INDEX(MUSTERILER!$B$7:$B$106,MATCH($E872,MUSTERILER!$C$7:$C$106,0)),IFERROR(INDEX(MUSTERILER!$B$7:$B$106,MATCH($E872,MUSTERILER!$B$7:$B$106,0)),IFERROR(INDEX(MUSTERILER!$B$7:$B$106,MATCH($E872&amp;"*",MUSTERILER!$C$7:$C$106,0)),"TANIMSIZ MÜŞTERİ"))))</f>
        <v/>
      </c>
      <c r="E872" s="109" t="n"/>
      <c r="F872" s="109" t="n"/>
      <c r="G872" s="108" t="n"/>
      <c r="H872" s="225" t="n"/>
      <c r="I872" s="225" t="n"/>
      <c r="J872" s="108" t="n"/>
      <c r="K872" s="108" t="n"/>
      <c r="L872" s="109" t="n"/>
      <c r="M872" s="109" t="n"/>
      <c r="N872" s="109" t="n"/>
      <c r="O872" s="225" t="n"/>
      <c r="P872" s="232">
        <f>IF(OR($E872="",$I872=""),"",IF(OR($J872="Tamamlandı",$J872="İptal"),"",$I872-TODAY()))</f>
        <v/>
      </c>
      <c r="Q872" s="113">
        <f>IF($E872="","",IF($D872="TANIMSIZ MÜŞTERİ","HATA",IF(OR($J872="Tamamlandı",$J872="İptal"),"KAPALI",IF(AND($C872="Görüşme",$N872=""),"SONRAKİ İŞLEM EKSİK",IF($I872="","TARİH EKSİK",IF($I872&lt;TODAY(),"GECİKMİŞ",IF($I872=TODAY(),"BUGÜN",IF($I872&lt;=TODAY()+7,"7 GÜN İÇİNDE","PLANLI"))))))))</f>
        <v/>
      </c>
      <c r="R872" s="6" t="n"/>
      <c r="S872" s="6" t="n"/>
    </row>
    <row r="873">
      <c r="A873" s="6" t="n"/>
      <c r="B873" s="113">
        <f>IF($E873="","","A"&amp;TEXT(ROW()-6,"00000"))</f>
        <v/>
      </c>
      <c r="C873" s="108" t="n"/>
      <c r="D873" s="113">
        <f>IF($E873="","",IFERROR(INDEX(MUSTERILER!$B$7:$B$106,MATCH($E873,MUSTERILER!$C$7:$C$106,0)),IFERROR(INDEX(MUSTERILER!$B$7:$B$106,MATCH($E873,MUSTERILER!$B$7:$B$106,0)),IFERROR(INDEX(MUSTERILER!$B$7:$B$106,MATCH($E873&amp;"*",MUSTERILER!$C$7:$C$106,0)),"TANIMSIZ MÜŞTERİ"))))</f>
        <v/>
      </c>
      <c r="E873" s="109" t="n"/>
      <c r="F873" s="109" t="n"/>
      <c r="G873" s="108" t="n"/>
      <c r="H873" s="225" t="n"/>
      <c r="I873" s="225" t="n"/>
      <c r="J873" s="108" t="n"/>
      <c r="K873" s="108" t="n"/>
      <c r="L873" s="109" t="n"/>
      <c r="M873" s="109" t="n"/>
      <c r="N873" s="109" t="n"/>
      <c r="O873" s="225" t="n"/>
      <c r="P873" s="232">
        <f>IF(OR($E873="",$I873=""),"",IF(OR($J873="Tamamlandı",$J873="İptal"),"",$I873-TODAY()))</f>
        <v/>
      </c>
      <c r="Q873" s="113">
        <f>IF($E873="","",IF($D873="TANIMSIZ MÜŞTERİ","HATA",IF(OR($J873="Tamamlandı",$J873="İptal"),"KAPALI",IF(AND($C873="Görüşme",$N873=""),"SONRAKİ İŞLEM EKSİK",IF($I873="","TARİH EKSİK",IF($I873&lt;TODAY(),"GECİKMİŞ",IF($I873=TODAY(),"BUGÜN",IF($I873&lt;=TODAY()+7,"7 GÜN İÇİNDE","PLANLI"))))))))</f>
        <v/>
      </c>
      <c r="R873" s="6" t="n"/>
      <c r="S873" s="6" t="n"/>
    </row>
    <row r="874">
      <c r="A874" s="6" t="n"/>
      <c r="B874" s="113">
        <f>IF($E874="","","A"&amp;TEXT(ROW()-6,"00000"))</f>
        <v/>
      </c>
      <c r="C874" s="108" t="n"/>
      <c r="D874" s="113">
        <f>IF($E874="","",IFERROR(INDEX(MUSTERILER!$B$7:$B$106,MATCH($E874,MUSTERILER!$C$7:$C$106,0)),IFERROR(INDEX(MUSTERILER!$B$7:$B$106,MATCH($E874,MUSTERILER!$B$7:$B$106,0)),IFERROR(INDEX(MUSTERILER!$B$7:$B$106,MATCH($E874&amp;"*",MUSTERILER!$C$7:$C$106,0)),"TANIMSIZ MÜŞTERİ"))))</f>
        <v/>
      </c>
      <c r="E874" s="109" t="n"/>
      <c r="F874" s="109" t="n"/>
      <c r="G874" s="108" t="n"/>
      <c r="H874" s="225" t="n"/>
      <c r="I874" s="225" t="n"/>
      <c r="J874" s="108" t="n"/>
      <c r="K874" s="108" t="n"/>
      <c r="L874" s="109" t="n"/>
      <c r="M874" s="109" t="n"/>
      <c r="N874" s="109" t="n"/>
      <c r="O874" s="225" t="n"/>
      <c r="P874" s="232">
        <f>IF(OR($E874="",$I874=""),"",IF(OR($J874="Tamamlandı",$J874="İptal"),"",$I874-TODAY()))</f>
        <v/>
      </c>
      <c r="Q874" s="113">
        <f>IF($E874="","",IF($D874="TANIMSIZ MÜŞTERİ","HATA",IF(OR($J874="Tamamlandı",$J874="İptal"),"KAPALI",IF(AND($C874="Görüşme",$N874=""),"SONRAKİ İŞLEM EKSİK",IF($I874="","TARİH EKSİK",IF($I874&lt;TODAY(),"GECİKMİŞ",IF($I874=TODAY(),"BUGÜN",IF($I874&lt;=TODAY()+7,"7 GÜN İÇİNDE","PLANLI"))))))))</f>
        <v/>
      </c>
      <c r="R874" s="6" t="n"/>
      <c r="S874" s="6" t="n"/>
    </row>
    <row r="875">
      <c r="A875" s="6" t="n"/>
      <c r="B875" s="113">
        <f>IF($E875="","","A"&amp;TEXT(ROW()-6,"00000"))</f>
        <v/>
      </c>
      <c r="C875" s="108" t="n"/>
      <c r="D875" s="113">
        <f>IF($E875="","",IFERROR(INDEX(MUSTERILER!$B$7:$B$106,MATCH($E875,MUSTERILER!$C$7:$C$106,0)),IFERROR(INDEX(MUSTERILER!$B$7:$B$106,MATCH($E875,MUSTERILER!$B$7:$B$106,0)),IFERROR(INDEX(MUSTERILER!$B$7:$B$106,MATCH($E875&amp;"*",MUSTERILER!$C$7:$C$106,0)),"TANIMSIZ MÜŞTERİ"))))</f>
        <v/>
      </c>
      <c r="E875" s="109" t="n"/>
      <c r="F875" s="109" t="n"/>
      <c r="G875" s="108" t="n"/>
      <c r="H875" s="225" t="n"/>
      <c r="I875" s="225" t="n"/>
      <c r="J875" s="108" t="n"/>
      <c r="K875" s="108" t="n"/>
      <c r="L875" s="109" t="n"/>
      <c r="M875" s="109" t="n"/>
      <c r="N875" s="109" t="n"/>
      <c r="O875" s="225" t="n"/>
      <c r="P875" s="232">
        <f>IF(OR($E875="",$I875=""),"",IF(OR($J875="Tamamlandı",$J875="İptal"),"",$I875-TODAY()))</f>
        <v/>
      </c>
      <c r="Q875" s="113">
        <f>IF($E875="","",IF($D875="TANIMSIZ MÜŞTERİ","HATA",IF(OR($J875="Tamamlandı",$J875="İptal"),"KAPALI",IF(AND($C875="Görüşme",$N875=""),"SONRAKİ İŞLEM EKSİK",IF($I875="","TARİH EKSİK",IF($I875&lt;TODAY(),"GECİKMİŞ",IF($I875=TODAY(),"BUGÜN",IF($I875&lt;=TODAY()+7,"7 GÜN İÇİNDE","PLANLI"))))))))</f>
        <v/>
      </c>
      <c r="R875" s="6" t="n"/>
      <c r="S875" s="6" t="n"/>
    </row>
    <row r="876">
      <c r="A876" s="6" t="n"/>
      <c r="B876" s="113">
        <f>IF($E876="","","A"&amp;TEXT(ROW()-6,"00000"))</f>
        <v/>
      </c>
      <c r="C876" s="108" t="n"/>
      <c r="D876" s="113">
        <f>IF($E876="","",IFERROR(INDEX(MUSTERILER!$B$7:$B$106,MATCH($E876,MUSTERILER!$C$7:$C$106,0)),IFERROR(INDEX(MUSTERILER!$B$7:$B$106,MATCH($E876,MUSTERILER!$B$7:$B$106,0)),IFERROR(INDEX(MUSTERILER!$B$7:$B$106,MATCH($E876&amp;"*",MUSTERILER!$C$7:$C$106,0)),"TANIMSIZ MÜŞTERİ"))))</f>
        <v/>
      </c>
      <c r="E876" s="109" t="n"/>
      <c r="F876" s="109" t="n"/>
      <c r="G876" s="108" t="n"/>
      <c r="H876" s="225" t="n"/>
      <c r="I876" s="225" t="n"/>
      <c r="J876" s="108" t="n"/>
      <c r="K876" s="108" t="n"/>
      <c r="L876" s="109" t="n"/>
      <c r="M876" s="109" t="n"/>
      <c r="N876" s="109" t="n"/>
      <c r="O876" s="225" t="n"/>
      <c r="P876" s="232">
        <f>IF(OR($E876="",$I876=""),"",IF(OR($J876="Tamamlandı",$J876="İptal"),"",$I876-TODAY()))</f>
        <v/>
      </c>
      <c r="Q876" s="113">
        <f>IF($E876="","",IF($D876="TANIMSIZ MÜŞTERİ","HATA",IF(OR($J876="Tamamlandı",$J876="İptal"),"KAPALI",IF(AND($C876="Görüşme",$N876=""),"SONRAKİ İŞLEM EKSİK",IF($I876="","TARİH EKSİK",IF($I876&lt;TODAY(),"GECİKMİŞ",IF($I876=TODAY(),"BUGÜN",IF($I876&lt;=TODAY()+7,"7 GÜN İÇİNDE","PLANLI"))))))))</f>
        <v/>
      </c>
      <c r="R876" s="6" t="n"/>
      <c r="S876" s="6" t="n"/>
    </row>
    <row r="877">
      <c r="A877" s="6" t="n"/>
      <c r="B877" s="113">
        <f>IF($E877="","","A"&amp;TEXT(ROW()-6,"00000"))</f>
        <v/>
      </c>
      <c r="C877" s="108" t="n"/>
      <c r="D877" s="113">
        <f>IF($E877="","",IFERROR(INDEX(MUSTERILER!$B$7:$B$106,MATCH($E877,MUSTERILER!$C$7:$C$106,0)),IFERROR(INDEX(MUSTERILER!$B$7:$B$106,MATCH($E877,MUSTERILER!$B$7:$B$106,0)),IFERROR(INDEX(MUSTERILER!$B$7:$B$106,MATCH($E877&amp;"*",MUSTERILER!$C$7:$C$106,0)),"TANIMSIZ MÜŞTERİ"))))</f>
        <v/>
      </c>
      <c r="E877" s="109" t="n"/>
      <c r="F877" s="109" t="n"/>
      <c r="G877" s="108" t="n"/>
      <c r="H877" s="225" t="n"/>
      <c r="I877" s="225" t="n"/>
      <c r="J877" s="108" t="n"/>
      <c r="K877" s="108" t="n"/>
      <c r="L877" s="109" t="n"/>
      <c r="M877" s="109" t="n"/>
      <c r="N877" s="109" t="n"/>
      <c r="O877" s="225" t="n"/>
      <c r="P877" s="232">
        <f>IF(OR($E877="",$I877=""),"",IF(OR($J877="Tamamlandı",$J877="İptal"),"",$I877-TODAY()))</f>
        <v/>
      </c>
      <c r="Q877" s="113">
        <f>IF($E877="","",IF($D877="TANIMSIZ MÜŞTERİ","HATA",IF(OR($J877="Tamamlandı",$J877="İptal"),"KAPALI",IF(AND($C877="Görüşme",$N877=""),"SONRAKİ İŞLEM EKSİK",IF($I877="","TARİH EKSİK",IF($I877&lt;TODAY(),"GECİKMİŞ",IF($I877=TODAY(),"BUGÜN",IF($I877&lt;=TODAY()+7,"7 GÜN İÇİNDE","PLANLI"))))))))</f>
        <v/>
      </c>
      <c r="R877" s="6" t="n"/>
      <c r="S877" s="6" t="n"/>
    </row>
    <row r="878">
      <c r="A878" s="6" t="n"/>
      <c r="B878" s="113">
        <f>IF($E878="","","A"&amp;TEXT(ROW()-6,"00000"))</f>
        <v/>
      </c>
      <c r="C878" s="108" t="n"/>
      <c r="D878" s="113">
        <f>IF($E878="","",IFERROR(INDEX(MUSTERILER!$B$7:$B$106,MATCH($E878,MUSTERILER!$C$7:$C$106,0)),IFERROR(INDEX(MUSTERILER!$B$7:$B$106,MATCH($E878,MUSTERILER!$B$7:$B$106,0)),IFERROR(INDEX(MUSTERILER!$B$7:$B$106,MATCH($E878&amp;"*",MUSTERILER!$C$7:$C$106,0)),"TANIMSIZ MÜŞTERİ"))))</f>
        <v/>
      </c>
      <c r="E878" s="109" t="n"/>
      <c r="F878" s="109" t="n"/>
      <c r="G878" s="108" t="n"/>
      <c r="H878" s="225" t="n"/>
      <c r="I878" s="225" t="n"/>
      <c r="J878" s="108" t="n"/>
      <c r="K878" s="108" t="n"/>
      <c r="L878" s="109" t="n"/>
      <c r="M878" s="109" t="n"/>
      <c r="N878" s="109" t="n"/>
      <c r="O878" s="225" t="n"/>
      <c r="P878" s="232">
        <f>IF(OR($E878="",$I878=""),"",IF(OR($J878="Tamamlandı",$J878="İptal"),"",$I878-TODAY()))</f>
        <v/>
      </c>
      <c r="Q878" s="113">
        <f>IF($E878="","",IF($D878="TANIMSIZ MÜŞTERİ","HATA",IF(OR($J878="Tamamlandı",$J878="İptal"),"KAPALI",IF(AND($C878="Görüşme",$N878=""),"SONRAKİ İŞLEM EKSİK",IF($I878="","TARİH EKSİK",IF($I878&lt;TODAY(),"GECİKMİŞ",IF($I878=TODAY(),"BUGÜN",IF($I878&lt;=TODAY()+7,"7 GÜN İÇİNDE","PLANLI"))))))))</f>
        <v/>
      </c>
      <c r="R878" s="6" t="n"/>
      <c r="S878" s="6" t="n"/>
    </row>
    <row r="879">
      <c r="A879" s="6" t="n"/>
      <c r="B879" s="113">
        <f>IF($E879="","","A"&amp;TEXT(ROW()-6,"00000"))</f>
        <v/>
      </c>
      <c r="C879" s="108" t="n"/>
      <c r="D879" s="113">
        <f>IF($E879="","",IFERROR(INDEX(MUSTERILER!$B$7:$B$106,MATCH($E879,MUSTERILER!$C$7:$C$106,0)),IFERROR(INDEX(MUSTERILER!$B$7:$B$106,MATCH($E879,MUSTERILER!$B$7:$B$106,0)),IFERROR(INDEX(MUSTERILER!$B$7:$B$106,MATCH($E879&amp;"*",MUSTERILER!$C$7:$C$106,0)),"TANIMSIZ MÜŞTERİ"))))</f>
        <v/>
      </c>
      <c r="E879" s="109" t="n"/>
      <c r="F879" s="109" t="n"/>
      <c r="G879" s="108" t="n"/>
      <c r="H879" s="225" t="n"/>
      <c r="I879" s="225" t="n"/>
      <c r="J879" s="108" t="n"/>
      <c r="K879" s="108" t="n"/>
      <c r="L879" s="109" t="n"/>
      <c r="M879" s="109" t="n"/>
      <c r="N879" s="109" t="n"/>
      <c r="O879" s="225" t="n"/>
      <c r="P879" s="232">
        <f>IF(OR($E879="",$I879=""),"",IF(OR($J879="Tamamlandı",$J879="İptal"),"",$I879-TODAY()))</f>
        <v/>
      </c>
      <c r="Q879" s="113">
        <f>IF($E879="","",IF($D879="TANIMSIZ MÜŞTERİ","HATA",IF(OR($J879="Tamamlandı",$J879="İptal"),"KAPALI",IF(AND($C879="Görüşme",$N879=""),"SONRAKİ İŞLEM EKSİK",IF($I879="","TARİH EKSİK",IF($I879&lt;TODAY(),"GECİKMİŞ",IF($I879=TODAY(),"BUGÜN",IF($I879&lt;=TODAY()+7,"7 GÜN İÇİNDE","PLANLI"))))))))</f>
        <v/>
      </c>
      <c r="R879" s="6" t="n"/>
      <c r="S879" s="6" t="n"/>
    </row>
    <row r="880">
      <c r="A880" s="6" t="n"/>
      <c r="B880" s="113">
        <f>IF($E880="","","A"&amp;TEXT(ROW()-6,"00000"))</f>
        <v/>
      </c>
      <c r="C880" s="108" t="n"/>
      <c r="D880" s="113">
        <f>IF($E880="","",IFERROR(INDEX(MUSTERILER!$B$7:$B$106,MATCH($E880,MUSTERILER!$C$7:$C$106,0)),IFERROR(INDEX(MUSTERILER!$B$7:$B$106,MATCH($E880,MUSTERILER!$B$7:$B$106,0)),IFERROR(INDEX(MUSTERILER!$B$7:$B$106,MATCH($E880&amp;"*",MUSTERILER!$C$7:$C$106,0)),"TANIMSIZ MÜŞTERİ"))))</f>
        <v/>
      </c>
      <c r="E880" s="109" t="n"/>
      <c r="F880" s="109" t="n"/>
      <c r="G880" s="108" t="n"/>
      <c r="H880" s="225" t="n"/>
      <c r="I880" s="225" t="n"/>
      <c r="J880" s="108" t="n"/>
      <c r="K880" s="108" t="n"/>
      <c r="L880" s="109" t="n"/>
      <c r="M880" s="109" t="n"/>
      <c r="N880" s="109" t="n"/>
      <c r="O880" s="225" t="n"/>
      <c r="P880" s="232">
        <f>IF(OR($E880="",$I880=""),"",IF(OR($J880="Tamamlandı",$J880="İptal"),"",$I880-TODAY()))</f>
        <v/>
      </c>
      <c r="Q880" s="113">
        <f>IF($E880="","",IF($D880="TANIMSIZ MÜŞTERİ","HATA",IF(OR($J880="Tamamlandı",$J880="İptal"),"KAPALI",IF(AND($C880="Görüşme",$N880=""),"SONRAKİ İŞLEM EKSİK",IF($I880="","TARİH EKSİK",IF($I880&lt;TODAY(),"GECİKMİŞ",IF($I880=TODAY(),"BUGÜN",IF($I880&lt;=TODAY()+7,"7 GÜN İÇİNDE","PLANLI"))))))))</f>
        <v/>
      </c>
      <c r="R880" s="6" t="n"/>
      <c r="S880" s="6" t="n"/>
    </row>
    <row r="881">
      <c r="A881" s="6" t="n"/>
      <c r="B881" s="113">
        <f>IF($E881="","","A"&amp;TEXT(ROW()-6,"00000"))</f>
        <v/>
      </c>
      <c r="C881" s="108" t="n"/>
      <c r="D881" s="113">
        <f>IF($E881="","",IFERROR(INDEX(MUSTERILER!$B$7:$B$106,MATCH($E881,MUSTERILER!$C$7:$C$106,0)),IFERROR(INDEX(MUSTERILER!$B$7:$B$106,MATCH($E881,MUSTERILER!$B$7:$B$106,0)),IFERROR(INDEX(MUSTERILER!$B$7:$B$106,MATCH($E881&amp;"*",MUSTERILER!$C$7:$C$106,0)),"TANIMSIZ MÜŞTERİ"))))</f>
        <v/>
      </c>
      <c r="E881" s="109" t="n"/>
      <c r="F881" s="109" t="n"/>
      <c r="G881" s="108" t="n"/>
      <c r="H881" s="225" t="n"/>
      <c r="I881" s="225" t="n"/>
      <c r="J881" s="108" t="n"/>
      <c r="K881" s="108" t="n"/>
      <c r="L881" s="109" t="n"/>
      <c r="M881" s="109" t="n"/>
      <c r="N881" s="109" t="n"/>
      <c r="O881" s="225" t="n"/>
      <c r="P881" s="232">
        <f>IF(OR($E881="",$I881=""),"",IF(OR($J881="Tamamlandı",$J881="İptal"),"",$I881-TODAY()))</f>
        <v/>
      </c>
      <c r="Q881" s="113">
        <f>IF($E881="","",IF($D881="TANIMSIZ MÜŞTERİ","HATA",IF(OR($J881="Tamamlandı",$J881="İptal"),"KAPALI",IF(AND($C881="Görüşme",$N881=""),"SONRAKİ İŞLEM EKSİK",IF($I881="","TARİH EKSİK",IF($I881&lt;TODAY(),"GECİKMİŞ",IF($I881=TODAY(),"BUGÜN",IF($I881&lt;=TODAY()+7,"7 GÜN İÇİNDE","PLANLI"))))))))</f>
        <v/>
      </c>
      <c r="R881" s="6" t="n"/>
      <c r="S881" s="6" t="n"/>
    </row>
    <row r="882">
      <c r="A882" s="6" t="n"/>
      <c r="B882" s="113">
        <f>IF($E882="","","A"&amp;TEXT(ROW()-6,"00000"))</f>
        <v/>
      </c>
      <c r="C882" s="108" t="n"/>
      <c r="D882" s="113">
        <f>IF($E882="","",IFERROR(INDEX(MUSTERILER!$B$7:$B$106,MATCH($E882,MUSTERILER!$C$7:$C$106,0)),IFERROR(INDEX(MUSTERILER!$B$7:$B$106,MATCH($E882,MUSTERILER!$B$7:$B$106,0)),IFERROR(INDEX(MUSTERILER!$B$7:$B$106,MATCH($E882&amp;"*",MUSTERILER!$C$7:$C$106,0)),"TANIMSIZ MÜŞTERİ"))))</f>
        <v/>
      </c>
      <c r="E882" s="109" t="n"/>
      <c r="F882" s="109" t="n"/>
      <c r="G882" s="108" t="n"/>
      <c r="H882" s="225" t="n"/>
      <c r="I882" s="225" t="n"/>
      <c r="J882" s="108" t="n"/>
      <c r="K882" s="108" t="n"/>
      <c r="L882" s="109" t="n"/>
      <c r="M882" s="109" t="n"/>
      <c r="N882" s="109" t="n"/>
      <c r="O882" s="225" t="n"/>
      <c r="P882" s="232">
        <f>IF(OR($E882="",$I882=""),"",IF(OR($J882="Tamamlandı",$J882="İptal"),"",$I882-TODAY()))</f>
        <v/>
      </c>
      <c r="Q882" s="113">
        <f>IF($E882="","",IF($D882="TANIMSIZ MÜŞTERİ","HATA",IF(OR($J882="Tamamlandı",$J882="İptal"),"KAPALI",IF(AND($C882="Görüşme",$N882=""),"SONRAKİ İŞLEM EKSİK",IF($I882="","TARİH EKSİK",IF($I882&lt;TODAY(),"GECİKMİŞ",IF($I882=TODAY(),"BUGÜN",IF($I882&lt;=TODAY()+7,"7 GÜN İÇİNDE","PLANLI"))))))))</f>
        <v/>
      </c>
      <c r="R882" s="6" t="n"/>
      <c r="S882" s="6" t="n"/>
    </row>
    <row r="883">
      <c r="A883" s="6" t="n"/>
      <c r="B883" s="113">
        <f>IF($E883="","","A"&amp;TEXT(ROW()-6,"00000"))</f>
        <v/>
      </c>
      <c r="C883" s="108" t="n"/>
      <c r="D883" s="113">
        <f>IF($E883="","",IFERROR(INDEX(MUSTERILER!$B$7:$B$106,MATCH($E883,MUSTERILER!$C$7:$C$106,0)),IFERROR(INDEX(MUSTERILER!$B$7:$B$106,MATCH($E883,MUSTERILER!$B$7:$B$106,0)),IFERROR(INDEX(MUSTERILER!$B$7:$B$106,MATCH($E883&amp;"*",MUSTERILER!$C$7:$C$106,0)),"TANIMSIZ MÜŞTERİ"))))</f>
        <v/>
      </c>
      <c r="E883" s="109" t="n"/>
      <c r="F883" s="109" t="n"/>
      <c r="G883" s="108" t="n"/>
      <c r="H883" s="225" t="n"/>
      <c r="I883" s="225" t="n"/>
      <c r="J883" s="108" t="n"/>
      <c r="K883" s="108" t="n"/>
      <c r="L883" s="109" t="n"/>
      <c r="M883" s="109" t="n"/>
      <c r="N883" s="109" t="n"/>
      <c r="O883" s="225" t="n"/>
      <c r="P883" s="232">
        <f>IF(OR($E883="",$I883=""),"",IF(OR($J883="Tamamlandı",$J883="İptal"),"",$I883-TODAY()))</f>
        <v/>
      </c>
      <c r="Q883" s="113">
        <f>IF($E883="","",IF($D883="TANIMSIZ MÜŞTERİ","HATA",IF(OR($J883="Tamamlandı",$J883="İptal"),"KAPALI",IF(AND($C883="Görüşme",$N883=""),"SONRAKİ İŞLEM EKSİK",IF($I883="","TARİH EKSİK",IF($I883&lt;TODAY(),"GECİKMİŞ",IF($I883=TODAY(),"BUGÜN",IF($I883&lt;=TODAY()+7,"7 GÜN İÇİNDE","PLANLI"))))))))</f>
        <v/>
      </c>
      <c r="R883" s="6" t="n"/>
      <c r="S883" s="6" t="n"/>
    </row>
    <row r="884">
      <c r="A884" s="6" t="n"/>
      <c r="B884" s="113">
        <f>IF($E884="","","A"&amp;TEXT(ROW()-6,"00000"))</f>
        <v/>
      </c>
      <c r="C884" s="108" t="n"/>
      <c r="D884" s="113">
        <f>IF($E884="","",IFERROR(INDEX(MUSTERILER!$B$7:$B$106,MATCH($E884,MUSTERILER!$C$7:$C$106,0)),IFERROR(INDEX(MUSTERILER!$B$7:$B$106,MATCH($E884,MUSTERILER!$B$7:$B$106,0)),IFERROR(INDEX(MUSTERILER!$B$7:$B$106,MATCH($E884&amp;"*",MUSTERILER!$C$7:$C$106,0)),"TANIMSIZ MÜŞTERİ"))))</f>
        <v/>
      </c>
      <c r="E884" s="109" t="n"/>
      <c r="F884" s="109" t="n"/>
      <c r="G884" s="108" t="n"/>
      <c r="H884" s="225" t="n"/>
      <c r="I884" s="225" t="n"/>
      <c r="J884" s="108" t="n"/>
      <c r="K884" s="108" t="n"/>
      <c r="L884" s="109" t="n"/>
      <c r="M884" s="109" t="n"/>
      <c r="N884" s="109" t="n"/>
      <c r="O884" s="225" t="n"/>
      <c r="P884" s="232">
        <f>IF(OR($E884="",$I884=""),"",IF(OR($J884="Tamamlandı",$J884="İptal"),"",$I884-TODAY()))</f>
        <v/>
      </c>
      <c r="Q884" s="113">
        <f>IF($E884="","",IF($D884="TANIMSIZ MÜŞTERİ","HATA",IF(OR($J884="Tamamlandı",$J884="İptal"),"KAPALI",IF(AND($C884="Görüşme",$N884=""),"SONRAKİ İŞLEM EKSİK",IF($I884="","TARİH EKSİK",IF($I884&lt;TODAY(),"GECİKMİŞ",IF($I884=TODAY(),"BUGÜN",IF($I884&lt;=TODAY()+7,"7 GÜN İÇİNDE","PLANLI"))))))))</f>
        <v/>
      </c>
      <c r="R884" s="6" t="n"/>
      <c r="S884" s="6" t="n"/>
    </row>
    <row r="885">
      <c r="A885" s="6" t="n"/>
      <c r="B885" s="113">
        <f>IF($E885="","","A"&amp;TEXT(ROW()-6,"00000"))</f>
        <v/>
      </c>
      <c r="C885" s="108" t="n"/>
      <c r="D885" s="113">
        <f>IF($E885="","",IFERROR(INDEX(MUSTERILER!$B$7:$B$106,MATCH($E885,MUSTERILER!$C$7:$C$106,0)),IFERROR(INDEX(MUSTERILER!$B$7:$B$106,MATCH($E885,MUSTERILER!$B$7:$B$106,0)),IFERROR(INDEX(MUSTERILER!$B$7:$B$106,MATCH($E885&amp;"*",MUSTERILER!$C$7:$C$106,0)),"TANIMSIZ MÜŞTERİ"))))</f>
        <v/>
      </c>
      <c r="E885" s="109" t="n"/>
      <c r="F885" s="109" t="n"/>
      <c r="G885" s="108" t="n"/>
      <c r="H885" s="225" t="n"/>
      <c r="I885" s="225" t="n"/>
      <c r="J885" s="108" t="n"/>
      <c r="K885" s="108" t="n"/>
      <c r="L885" s="109" t="n"/>
      <c r="M885" s="109" t="n"/>
      <c r="N885" s="109" t="n"/>
      <c r="O885" s="225" t="n"/>
      <c r="P885" s="232">
        <f>IF(OR($E885="",$I885=""),"",IF(OR($J885="Tamamlandı",$J885="İptal"),"",$I885-TODAY()))</f>
        <v/>
      </c>
      <c r="Q885" s="113">
        <f>IF($E885="","",IF($D885="TANIMSIZ MÜŞTERİ","HATA",IF(OR($J885="Tamamlandı",$J885="İptal"),"KAPALI",IF(AND($C885="Görüşme",$N885=""),"SONRAKİ İŞLEM EKSİK",IF($I885="","TARİH EKSİK",IF($I885&lt;TODAY(),"GECİKMİŞ",IF($I885=TODAY(),"BUGÜN",IF($I885&lt;=TODAY()+7,"7 GÜN İÇİNDE","PLANLI"))))))))</f>
        <v/>
      </c>
      <c r="R885" s="6" t="n"/>
      <c r="S885" s="6" t="n"/>
    </row>
    <row r="886">
      <c r="A886" s="6" t="n"/>
      <c r="B886" s="113">
        <f>IF($E886="","","A"&amp;TEXT(ROW()-6,"00000"))</f>
        <v/>
      </c>
      <c r="C886" s="108" t="n"/>
      <c r="D886" s="113">
        <f>IF($E886="","",IFERROR(INDEX(MUSTERILER!$B$7:$B$106,MATCH($E886,MUSTERILER!$C$7:$C$106,0)),IFERROR(INDEX(MUSTERILER!$B$7:$B$106,MATCH($E886,MUSTERILER!$B$7:$B$106,0)),IFERROR(INDEX(MUSTERILER!$B$7:$B$106,MATCH($E886&amp;"*",MUSTERILER!$C$7:$C$106,0)),"TANIMSIZ MÜŞTERİ"))))</f>
        <v/>
      </c>
      <c r="E886" s="109" t="n"/>
      <c r="F886" s="109" t="n"/>
      <c r="G886" s="108" t="n"/>
      <c r="H886" s="225" t="n"/>
      <c r="I886" s="225" t="n"/>
      <c r="J886" s="108" t="n"/>
      <c r="K886" s="108" t="n"/>
      <c r="L886" s="109" t="n"/>
      <c r="M886" s="109" t="n"/>
      <c r="N886" s="109" t="n"/>
      <c r="O886" s="225" t="n"/>
      <c r="P886" s="232">
        <f>IF(OR($E886="",$I886=""),"",IF(OR($J886="Tamamlandı",$J886="İptal"),"",$I886-TODAY()))</f>
        <v/>
      </c>
      <c r="Q886" s="113">
        <f>IF($E886="","",IF($D886="TANIMSIZ MÜŞTERİ","HATA",IF(OR($J886="Tamamlandı",$J886="İptal"),"KAPALI",IF(AND($C886="Görüşme",$N886=""),"SONRAKİ İŞLEM EKSİK",IF($I886="","TARİH EKSİK",IF($I886&lt;TODAY(),"GECİKMİŞ",IF($I886=TODAY(),"BUGÜN",IF($I886&lt;=TODAY()+7,"7 GÜN İÇİNDE","PLANLI"))))))))</f>
        <v/>
      </c>
      <c r="R886" s="6" t="n"/>
      <c r="S886" s="6" t="n"/>
    </row>
    <row r="887">
      <c r="A887" s="6" t="n"/>
      <c r="B887" s="113">
        <f>IF($E887="","","A"&amp;TEXT(ROW()-6,"00000"))</f>
        <v/>
      </c>
      <c r="C887" s="108" t="n"/>
      <c r="D887" s="113">
        <f>IF($E887="","",IFERROR(INDEX(MUSTERILER!$B$7:$B$106,MATCH($E887,MUSTERILER!$C$7:$C$106,0)),IFERROR(INDEX(MUSTERILER!$B$7:$B$106,MATCH($E887,MUSTERILER!$B$7:$B$106,0)),IFERROR(INDEX(MUSTERILER!$B$7:$B$106,MATCH($E887&amp;"*",MUSTERILER!$C$7:$C$106,0)),"TANIMSIZ MÜŞTERİ"))))</f>
        <v/>
      </c>
      <c r="E887" s="109" t="n"/>
      <c r="F887" s="109" t="n"/>
      <c r="G887" s="108" t="n"/>
      <c r="H887" s="225" t="n"/>
      <c r="I887" s="225" t="n"/>
      <c r="J887" s="108" t="n"/>
      <c r="K887" s="108" t="n"/>
      <c r="L887" s="109" t="n"/>
      <c r="M887" s="109" t="n"/>
      <c r="N887" s="109" t="n"/>
      <c r="O887" s="225" t="n"/>
      <c r="P887" s="232">
        <f>IF(OR($E887="",$I887=""),"",IF(OR($J887="Tamamlandı",$J887="İptal"),"",$I887-TODAY()))</f>
        <v/>
      </c>
      <c r="Q887" s="113">
        <f>IF($E887="","",IF($D887="TANIMSIZ MÜŞTERİ","HATA",IF(OR($J887="Tamamlandı",$J887="İptal"),"KAPALI",IF(AND($C887="Görüşme",$N887=""),"SONRAKİ İŞLEM EKSİK",IF($I887="","TARİH EKSİK",IF($I887&lt;TODAY(),"GECİKMİŞ",IF($I887=TODAY(),"BUGÜN",IF($I887&lt;=TODAY()+7,"7 GÜN İÇİNDE","PLANLI"))))))))</f>
        <v/>
      </c>
      <c r="R887" s="6" t="n"/>
      <c r="S887" s="6" t="n"/>
    </row>
    <row r="888">
      <c r="A888" s="6" t="n"/>
      <c r="B888" s="113">
        <f>IF($E888="","","A"&amp;TEXT(ROW()-6,"00000"))</f>
        <v/>
      </c>
      <c r="C888" s="108" t="n"/>
      <c r="D888" s="113">
        <f>IF($E888="","",IFERROR(INDEX(MUSTERILER!$B$7:$B$106,MATCH($E888,MUSTERILER!$C$7:$C$106,0)),IFERROR(INDEX(MUSTERILER!$B$7:$B$106,MATCH($E888,MUSTERILER!$B$7:$B$106,0)),IFERROR(INDEX(MUSTERILER!$B$7:$B$106,MATCH($E888&amp;"*",MUSTERILER!$C$7:$C$106,0)),"TANIMSIZ MÜŞTERİ"))))</f>
        <v/>
      </c>
      <c r="E888" s="109" t="n"/>
      <c r="F888" s="109" t="n"/>
      <c r="G888" s="108" t="n"/>
      <c r="H888" s="225" t="n"/>
      <c r="I888" s="225" t="n"/>
      <c r="J888" s="108" t="n"/>
      <c r="K888" s="108" t="n"/>
      <c r="L888" s="109" t="n"/>
      <c r="M888" s="109" t="n"/>
      <c r="N888" s="109" t="n"/>
      <c r="O888" s="225" t="n"/>
      <c r="P888" s="232">
        <f>IF(OR($E888="",$I888=""),"",IF(OR($J888="Tamamlandı",$J888="İptal"),"",$I888-TODAY()))</f>
        <v/>
      </c>
      <c r="Q888" s="113">
        <f>IF($E888="","",IF($D888="TANIMSIZ MÜŞTERİ","HATA",IF(OR($J888="Tamamlandı",$J888="İptal"),"KAPALI",IF(AND($C888="Görüşme",$N888=""),"SONRAKİ İŞLEM EKSİK",IF($I888="","TARİH EKSİK",IF($I888&lt;TODAY(),"GECİKMİŞ",IF($I888=TODAY(),"BUGÜN",IF($I888&lt;=TODAY()+7,"7 GÜN İÇİNDE","PLANLI"))))))))</f>
        <v/>
      </c>
      <c r="R888" s="6" t="n"/>
      <c r="S888" s="6" t="n"/>
    </row>
    <row r="889">
      <c r="A889" s="6" t="n"/>
      <c r="B889" s="113">
        <f>IF($E889="","","A"&amp;TEXT(ROW()-6,"00000"))</f>
        <v/>
      </c>
      <c r="C889" s="108" t="n"/>
      <c r="D889" s="113">
        <f>IF($E889="","",IFERROR(INDEX(MUSTERILER!$B$7:$B$106,MATCH($E889,MUSTERILER!$C$7:$C$106,0)),IFERROR(INDEX(MUSTERILER!$B$7:$B$106,MATCH($E889,MUSTERILER!$B$7:$B$106,0)),IFERROR(INDEX(MUSTERILER!$B$7:$B$106,MATCH($E889&amp;"*",MUSTERILER!$C$7:$C$106,0)),"TANIMSIZ MÜŞTERİ"))))</f>
        <v/>
      </c>
      <c r="E889" s="109" t="n"/>
      <c r="F889" s="109" t="n"/>
      <c r="G889" s="108" t="n"/>
      <c r="H889" s="225" t="n"/>
      <c r="I889" s="225" t="n"/>
      <c r="J889" s="108" t="n"/>
      <c r="K889" s="108" t="n"/>
      <c r="L889" s="109" t="n"/>
      <c r="M889" s="109" t="n"/>
      <c r="N889" s="109" t="n"/>
      <c r="O889" s="225" t="n"/>
      <c r="P889" s="232">
        <f>IF(OR($E889="",$I889=""),"",IF(OR($J889="Tamamlandı",$J889="İptal"),"",$I889-TODAY()))</f>
        <v/>
      </c>
      <c r="Q889" s="113">
        <f>IF($E889="","",IF($D889="TANIMSIZ MÜŞTERİ","HATA",IF(OR($J889="Tamamlandı",$J889="İptal"),"KAPALI",IF(AND($C889="Görüşme",$N889=""),"SONRAKİ İŞLEM EKSİK",IF($I889="","TARİH EKSİK",IF($I889&lt;TODAY(),"GECİKMİŞ",IF($I889=TODAY(),"BUGÜN",IF($I889&lt;=TODAY()+7,"7 GÜN İÇİNDE","PLANLI"))))))))</f>
        <v/>
      </c>
      <c r="R889" s="6" t="n"/>
      <c r="S889" s="6" t="n"/>
    </row>
    <row r="890">
      <c r="A890" s="6" t="n"/>
      <c r="B890" s="113">
        <f>IF($E890="","","A"&amp;TEXT(ROW()-6,"00000"))</f>
        <v/>
      </c>
      <c r="C890" s="108" t="n"/>
      <c r="D890" s="113">
        <f>IF($E890="","",IFERROR(INDEX(MUSTERILER!$B$7:$B$106,MATCH($E890,MUSTERILER!$C$7:$C$106,0)),IFERROR(INDEX(MUSTERILER!$B$7:$B$106,MATCH($E890,MUSTERILER!$B$7:$B$106,0)),IFERROR(INDEX(MUSTERILER!$B$7:$B$106,MATCH($E890&amp;"*",MUSTERILER!$C$7:$C$106,0)),"TANIMSIZ MÜŞTERİ"))))</f>
        <v/>
      </c>
      <c r="E890" s="109" t="n"/>
      <c r="F890" s="109" t="n"/>
      <c r="G890" s="108" t="n"/>
      <c r="H890" s="225" t="n"/>
      <c r="I890" s="225" t="n"/>
      <c r="J890" s="108" t="n"/>
      <c r="K890" s="108" t="n"/>
      <c r="L890" s="109" t="n"/>
      <c r="M890" s="109" t="n"/>
      <c r="N890" s="109" t="n"/>
      <c r="O890" s="225" t="n"/>
      <c r="P890" s="232">
        <f>IF(OR($E890="",$I890=""),"",IF(OR($J890="Tamamlandı",$J890="İptal"),"",$I890-TODAY()))</f>
        <v/>
      </c>
      <c r="Q890" s="113">
        <f>IF($E890="","",IF($D890="TANIMSIZ MÜŞTERİ","HATA",IF(OR($J890="Tamamlandı",$J890="İptal"),"KAPALI",IF(AND($C890="Görüşme",$N890=""),"SONRAKİ İŞLEM EKSİK",IF($I890="","TARİH EKSİK",IF($I890&lt;TODAY(),"GECİKMİŞ",IF($I890=TODAY(),"BUGÜN",IF($I890&lt;=TODAY()+7,"7 GÜN İÇİNDE","PLANLI"))))))))</f>
        <v/>
      </c>
      <c r="R890" s="6" t="n"/>
      <c r="S890" s="6" t="n"/>
    </row>
    <row r="891">
      <c r="A891" s="6" t="n"/>
      <c r="B891" s="113">
        <f>IF($E891="","","A"&amp;TEXT(ROW()-6,"00000"))</f>
        <v/>
      </c>
      <c r="C891" s="108" t="n"/>
      <c r="D891" s="113">
        <f>IF($E891="","",IFERROR(INDEX(MUSTERILER!$B$7:$B$106,MATCH($E891,MUSTERILER!$C$7:$C$106,0)),IFERROR(INDEX(MUSTERILER!$B$7:$B$106,MATCH($E891,MUSTERILER!$B$7:$B$106,0)),IFERROR(INDEX(MUSTERILER!$B$7:$B$106,MATCH($E891&amp;"*",MUSTERILER!$C$7:$C$106,0)),"TANIMSIZ MÜŞTERİ"))))</f>
        <v/>
      </c>
      <c r="E891" s="109" t="n"/>
      <c r="F891" s="109" t="n"/>
      <c r="G891" s="108" t="n"/>
      <c r="H891" s="225" t="n"/>
      <c r="I891" s="225" t="n"/>
      <c r="J891" s="108" t="n"/>
      <c r="K891" s="108" t="n"/>
      <c r="L891" s="109" t="n"/>
      <c r="M891" s="109" t="n"/>
      <c r="N891" s="109" t="n"/>
      <c r="O891" s="225" t="n"/>
      <c r="P891" s="232">
        <f>IF(OR($E891="",$I891=""),"",IF(OR($J891="Tamamlandı",$J891="İptal"),"",$I891-TODAY()))</f>
        <v/>
      </c>
      <c r="Q891" s="113">
        <f>IF($E891="","",IF($D891="TANIMSIZ MÜŞTERİ","HATA",IF(OR($J891="Tamamlandı",$J891="İptal"),"KAPALI",IF(AND($C891="Görüşme",$N891=""),"SONRAKİ İŞLEM EKSİK",IF($I891="","TARİH EKSİK",IF($I891&lt;TODAY(),"GECİKMİŞ",IF($I891=TODAY(),"BUGÜN",IF($I891&lt;=TODAY()+7,"7 GÜN İÇİNDE","PLANLI"))))))))</f>
        <v/>
      </c>
      <c r="R891" s="6" t="n"/>
      <c r="S891" s="6" t="n"/>
    </row>
    <row r="892">
      <c r="A892" s="6" t="n"/>
      <c r="B892" s="113">
        <f>IF($E892="","","A"&amp;TEXT(ROW()-6,"00000"))</f>
        <v/>
      </c>
      <c r="C892" s="108" t="n"/>
      <c r="D892" s="113">
        <f>IF($E892="","",IFERROR(INDEX(MUSTERILER!$B$7:$B$106,MATCH($E892,MUSTERILER!$C$7:$C$106,0)),IFERROR(INDEX(MUSTERILER!$B$7:$B$106,MATCH($E892,MUSTERILER!$B$7:$B$106,0)),IFERROR(INDEX(MUSTERILER!$B$7:$B$106,MATCH($E892&amp;"*",MUSTERILER!$C$7:$C$106,0)),"TANIMSIZ MÜŞTERİ"))))</f>
        <v/>
      </c>
      <c r="E892" s="109" t="n"/>
      <c r="F892" s="109" t="n"/>
      <c r="G892" s="108" t="n"/>
      <c r="H892" s="225" t="n"/>
      <c r="I892" s="225" t="n"/>
      <c r="J892" s="108" t="n"/>
      <c r="K892" s="108" t="n"/>
      <c r="L892" s="109" t="n"/>
      <c r="M892" s="109" t="n"/>
      <c r="N892" s="109" t="n"/>
      <c r="O892" s="225" t="n"/>
      <c r="P892" s="232">
        <f>IF(OR($E892="",$I892=""),"",IF(OR($J892="Tamamlandı",$J892="İptal"),"",$I892-TODAY()))</f>
        <v/>
      </c>
      <c r="Q892" s="113">
        <f>IF($E892="","",IF($D892="TANIMSIZ MÜŞTERİ","HATA",IF(OR($J892="Tamamlandı",$J892="İptal"),"KAPALI",IF(AND($C892="Görüşme",$N892=""),"SONRAKİ İŞLEM EKSİK",IF($I892="","TARİH EKSİK",IF($I892&lt;TODAY(),"GECİKMİŞ",IF($I892=TODAY(),"BUGÜN",IF($I892&lt;=TODAY()+7,"7 GÜN İÇİNDE","PLANLI"))))))))</f>
        <v/>
      </c>
      <c r="R892" s="6" t="n"/>
      <c r="S892" s="6" t="n"/>
    </row>
    <row r="893">
      <c r="A893" s="6" t="n"/>
      <c r="B893" s="113">
        <f>IF($E893="","","A"&amp;TEXT(ROW()-6,"00000"))</f>
        <v/>
      </c>
      <c r="C893" s="108" t="n"/>
      <c r="D893" s="113">
        <f>IF($E893="","",IFERROR(INDEX(MUSTERILER!$B$7:$B$106,MATCH($E893,MUSTERILER!$C$7:$C$106,0)),IFERROR(INDEX(MUSTERILER!$B$7:$B$106,MATCH($E893,MUSTERILER!$B$7:$B$106,0)),IFERROR(INDEX(MUSTERILER!$B$7:$B$106,MATCH($E893&amp;"*",MUSTERILER!$C$7:$C$106,0)),"TANIMSIZ MÜŞTERİ"))))</f>
        <v/>
      </c>
      <c r="E893" s="109" t="n"/>
      <c r="F893" s="109" t="n"/>
      <c r="G893" s="108" t="n"/>
      <c r="H893" s="225" t="n"/>
      <c r="I893" s="225" t="n"/>
      <c r="J893" s="108" t="n"/>
      <c r="K893" s="108" t="n"/>
      <c r="L893" s="109" t="n"/>
      <c r="M893" s="109" t="n"/>
      <c r="N893" s="109" t="n"/>
      <c r="O893" s="225" t="n"/>
      <c r="P893" s="232">
        <f>IF(OR($E893="",$I893=""),"",IF(OR($J893="Tamamlandı",$J893="İptal"),"",$I893-TODAY()))</f>
        <v/>
      </c>
      <c r="Q893" s="113">
        <f>IF($E893="","",IF($D893="TANIMSIZ MÜŞTERİ","HATA",IF(OR($J893="Tamamlandı",$J893="İptal"),"KAPALI",IF(AND($C893="Görüşme",$N893=""),"SONRAKİ İŞLEM EKSİK",IF($I893="","TARİH EKSİK",IF($I893&lt;TODAY(),"GECİKMİŞ",IF($I893=TODAY(),"BUGÜN",IF($I893&lt;=TODAY()+7,"7 GÜN İÇİNDE","PLANLI"))))))))</f>
        <v/>
      </c>
      <c r="R893" s="6" t="n"/>
      <c r="S893" s="6" t="n"/>
    </row>
    <row r="894">
      <c r="A894" s="6" t="n"/>
      <c r="B894" s="113">
        <f>IF($E894="","","A"&amp;TEXT(ROW()-6,"00000"))</f>
        <v/>
      </c>
      <c r="C894" s="108" t="n"/>
      <c r="D894" s="113">
        <f>IF($E894="","",IFERROR(INDEX(MUSTERILER!$B$7:$B$106,MATCH($E894,MUSTERILER!$C$7:$C$106,0)),IFERROR(INDEX(MUSTERILER!$B$7:$B$106,MATCH($E894,MUSTERILER!$B$7:$B$106,0)),IFERROR(INDEX(MUSTERILER!$B$7:$B$106,MATCH($E894&amp;"*",MUSTERILER!$C$7:$C$106,0)),"TANIMSIZ MÜŞTERİ"))))</f>
        <v/>
      </c>
      <c r="E894" s="109" t="n"/>
      <c r="F894" s="109" t="n"/>
      <c r="G894" s="108" t="n"/>
      <c r="H894" s="225" t="n"/>
      <c r="I894" s="225" t="n"/>
      <c r="J894" s="108" t="n"/>
      <c r="K894" s="108" t="n"/>
      <c r="L894" s="109" t="n"/>
      <c r="M894" s="109" t="n"/>
      <c r="N894" s="109" t="n"/>
      <c r="O894" s="225" t="n"/>
      <c r="P894" s="232">
        <f>IF(OR($E894="",$I894=""),"",IF(OR($J894="Tamamlandı",$J894="İptal"),"",$I894-TODAY()))</f>
        <v/>
      </c>
      <c r="Q894" s="113">
        <f>IF($E894="","",IF($D894="TANIMSIZ MÜŞTERİ","HATA",IF(OR($J894="Tamamlandı",$J894="İptal"),"KAPALI",IF(AND($C894="Görüşme",$N894=""),"SONRAKİ İŞLEM EKSİK",IF($I894="","TARİH EKSİK",IF($I894&lt;TODAY(),"GECİKMİŞ",IF($I894=TODAY(),"BUGÜN",IF($I894&lt;=TODAY()+7,"7 GÜN İÇİNDE","PLANLI"))))))))</f>
        <v/>
      </c>
      <c r="R894" s="6" t="n"/>
      <c r="S894" s="6" t="n"/>
    </row>
    <row r="895">
      <c r="A895" s="6" t="n"/>
      <c r="B895" s="113">
        <f>IF($E895="","","A"&amp;TEXT(ROW()-6,"00000"))</f>
        <v/>
      </c>
      <c r="C895" s="108" t="n"/>
      <c r="D895" s="113">
        <f>IF($E895="","",IFERROR(INDEX(MUSTERILER!$B$7:$B$106,MATCH($E895,MUSTERILER!$C$7:$C$106,0)),IFERROR(INDEX(MUSTERILER!$B$7:$B$106,MATCH($E895,MUSTERILER!$B$7:$B$106,0)),IFERROR(INDEX(MUSTERILER!$B$7:$B$106,MATCH($E895&amp;"*",MUSTERILER!$C$7:$C$106,0)),"TANIMSIZ MÜŞTERİ"))))</f>
        <v/>
      </c>
      <c r="E895" s="109" t="n"/>
      <c r="F895" s="109" t="n"/>
      <c r="G895" s="108" t="n"/>
      <c r="H895" s="225" t="n"/>
      <c r="I895" s="225" t="n"/>
      <c r="J895" s="108" t="n"/>
      <c r="K895" s="108" t="n"/>
      <c r="L895" s="109" t="n"/>
      <c r="M895" s="109" t="n"/>
      <c r="N895" s="109" t="n"/>
      <c r="O895" s="225" t="n"/>
      <c r="P895" s="232">
        <f>IF(OR($E895="",$I895=""),"",IF(OR($J895="Tamamlandı",$J895="İptal"),"",$I895-TODAY()))</f>
        <v/>
      </c>
      <c r="Q895" s="113">
        <f>IF($E895="","",IF($D895="TANIMSIZ MÜŞTERİ","HATA",IF(OR($J895="Tamamlandı",$J895="İptal"),"KAPALI",IF(AND($C895="Görüşme",$N895=""),"SONRAKİ İŞLEM EKSİK",IF($I895="","TARİH EKSİK",IF($I895&lt;TODAY(),"GECİKMİŞ",IF($I895=TODAY(),"BUGÜN",IF($I895&lt;=TODAY()+7,"7 GÜN İÇİNDE","PLANLI"))))))))</f>
        <v/>
      </c>
      <c r="R895" s="6" t="n"/>
      <c r="S895" s="6" t="n"/>
    </row>
    <row r="896">
      <c r="A896" s="6" t="n"/>
      <c r="B896" s="113">
        <f>IF($E896="","","A"&amp;TEXT(ROW()-6,"00000"))</f>
        <v/>
      </c>
      <c r="C896" s="108" t="n"/>
      <c r="D896" s="113">
        <f>IF($E896="","",IFERROR(INDEX(MUSTERILER!$B$7:$B$106,MATCH($E896,MUSTERILER!$C$7:$C$106,0)),IFERROR(INDEX(MUSTERILER!$B$7:$B$106,MATCH($E896,MUSTERILER!$B$7:$B$106,0)),IFERROR(INDEX(MUSTERILER!$B$7:$B$106,MATCH($E896&amp;"*",MUSTERILER!$C$7:$C$106,0)),"TANIMSIZ MÜŞTERİ"))))</f>
        <v/>
      </c>
      <c r="E896" s="109" t="n"/>
      <c r="F896" s="109" t="n"/>
      <c r="G896" s="108" t="n"/>
      <c r="H896" s="225" t="n"/>
      <c r="I896" s="225" t="n"/>
      <c r="J896" s="108" t="n"/>
      <c r="K896" s="108" t="n"/>
      <c r="L896" s="109" t="n"/>
      <c r="M896" s="109" t="n"/>
      <c r="N896" s="109" t="n"/>
      <c r="O896" s="225" t="n"/>
      <c r="P896" s="232">
        <f>IF(OR($E896="",$I896=""),"",IF(OR($J896="Tamamlandı",$J896="İptal"),"",$I896-TODAY()))</f>
        <v/>
      </c>
      <c r="Q896" s="113">
        <f>IF($E896="","",IF($D896="TANIMSIZ MÜŞTERİ","HATA",IF(OR($J896="Tamamlandı",$J896="İptal"),"KAPALI",IF(AND($C896="Görüşme",$N896=""),"SONRAKİ İŞLEM EKSİK",IF($I896="","TARİH EKSİK",IF($I896&lt;TODAY(),"GECİKMİŞ",IF($I896=TODAY(),"BUGÜN",IF($I896&lt;=TODAY()+7,"7 GÜN İÇİNDE","PLANLI"))))))))</f>
        <v/>
      </c>
      <c r="R896" s="6" t="n"/>
      <c r="S896" s="6" t="n"/>
    </row>
    <row r="897">
      <c r="A897" s="6" t="n"/>
      <c r="B897" s="113">
        <f>IF($E897="","","A"&amp;TEXT(ROW()-6,"00000"))</f>
        <v/>
      </c>
      <c r="C897" s="108" t="n"/>
      <c r="D897" s="113">
        <f>IF($E897="","",IFERROR(INDEX(MUSTERILER!$B$7:$B$106,MATCH($E897,MUSTERILER!$C$7:$C$106,0)),IFERROR(INDEX(MUSTERILER!$B$7:$B$106,MATCH($E897,MUSTERILER!$B$7:$B$106,0)),IFERROR(INDEX(MUSTERILER!$B$7:$B$106,MATCH($E897&amp;"*",MUSTERILER!$C$7:$C$106,0)),"TANIMSIZ MÜŞTERİ"))))</f>
        <v/>
      </c>
      <c r="E897" s="109" t="n"/>
      <c r="F897" s="109" t="n"/>
      <c r="G897" s="108" t="n"/>
      <c r="H897" s="225" t="n"/>
      <c r="I897" s="225" t="n"/>
      <c r="J897" s="108" t="n"/>
      <c r="K897" s="108" t="n"/>
      <c r="L897" s="109" t="n"/>
      <c r="M897" s="109" t="n"/>
      <c r="N897" s="109" t="n"/>
      <c r="O897" s="225" t="n"/>
      <c r="P897" s="232">
        <f>IF(OR($E897="",$I897=""),"",IF(OR($J897="Tamamlandı",$J897="İptal"),"",$I897-TODAY()))</f>
        <v/>
      </c>
      <c r="Q897" s="113">
        <f>IF($E897="","",IF($D897="TANIMSIZ MÜŞTERİ","HATA",IF(OR($J897="Tamamlandı",$J897="İptal"),"KAPALI",IF(AND($C897="Görüşme",$N897=""),"SONRAKİ İŞLEM EKSİK",IF($I897="","TARİH EKSİK",IF($I897&lt;TODAY(),"GECİKMİŞ",IF($I897=TODAY(),"BUGÜN",IF($I897&lt;=TODAY()+7,"7 GÜN İÇİNDE","PLANLI"))))))))</f>
        <v/>
      </c>
      <c r="R897" s="6" t="n"/>
      <c r="S897" s="6" t="n"/>
    </row>
    <row r="898">
      <c r="A898" s="6" t="n"/>
      <c r="B898" s="113">
        <f>IF($E898="","","A"&amp;TEXT(ROW()-6,"00000"))</f>
        <v/>
      </c>
      <c r="C898" s="108" t="n"/>
      <c r="D898" s="113">
        <f>IF($E898="","",IFERROR(INDEX(MUSTERILER!$B$7:$B$106,MATCH($E898,MUSTERILER!$C$7:$C$106,0)),IFERROR(INDEX(MUSTERILER!$B$7:$B$106,MATCH($E898,MUSTERILER!$B$7:$B$106,0)),IFERROR(INDEX(MUSTERILER!$B$7:$B$106,MATCH($E898&amp;"*",MUSTERILER!$C$7:$C$106,0)),"TANIMSIZ MÜŞTERİ"))))</f>
        <v/>
      </c>
      <c r="E898" s="109" t="n"/>
      <c r="F898" s="109" t="n"/>
      <c r="G898" s="108" t="n"/>
      <c r="H898" s="225" t="n"/>
      <c r="I898" s="225" t="n"/>
      <c r="J898" s="108" t="n"/>
      <c r="K898" s="108" t="n"/>
      <c r="L898" s="109" t="n"/>
      <c r="M898" s="109" t="n"/>
      <c r="N898" s="109" t="n"/>
      <c r="O898" s="225" t="n"/>
      <c r="P898" s="232">
        <f>IF(OR($E898="",$I898=""),"",IF(OR($J898="Tamamlandı",$J898="İptal"),"",$I898-TODAY()))</f>
        <v/>
      </c>
      <c r="Q898" s="113">
        <f>IF($E898="","",IF($D898="TANIMSIZ MÜŞTERİ","HATA",IF(OR($J898="Tamamlandı",$J898="İptal"),"KAPALI",IF(AND($C898="Görüşme",$N898=""),"SONRAKİ İŞLEM EKSİK",IF($I898="","TARİH EKSİK",IF($I898&lt;TODAY(),"GECİKMİŞ",IF($I898=TODAY(),"BUGÜN",IF($I898&lt;=TODAY()+7,"7 GÜN İÇİNDE","PLANLI"))))))))</f>
        <v/>
      </c>
      <c r="R898" s="6" t="n"/>
      <c r="S898" s="6" t="n"/>
    </row>
    <row r="899">
      <c r="A899" s="6" t="n"/>
      <c r="B899" s="113">
        <f>IF($E899="","","A"&amp;TEXT(ROW()-6,"00000"))</f>
        <v/>
      </c>
      <c r="C899" s="108" t="n"/>
      <c r="D899" s="113">
        <f>IF($E899="","",IFERROR(INDEX(MUSTERILER!$B$7:$B$106,MATCH($E899,MUSTERILER!$C$7:$C$106,0)),IFERROR(INDEX(MUSTERILER!$B$7:$B$106,MATCH($E899,MUSTERILER!$B$7:$B$106,0)),IFERROR(INDEX(MUSTERILER!$B$7:$B$106,MATCH($E899&amp;"*",MUSTERILER!$C$7:$C$106,0)),"TANIMSIZ MÜŞTERİ"))))</f>
        <v/>
      </c>
      <c r="E899" s="109" t="n"/>
      <c r="F899" s="109" t="n"/>
      <c r="G899" s="108" t="n"/>
      <c r="H899" s="225" t="n"/>
      <c r="I899" s="225" t="n"/>
      <c r="J899" s="108" t="n"/>
      <c r="K899" s="108" t="n"/>
      <c r="L899" s="109" t="n"/>
      <c r="M899" s="109" t="n"/>
      <c r="N899" s="109" t="n"/>
      <c r="O899" s="225" t="n"/>
      <c r="P899" s="232">
        <f>IF(OR($E899="",$I899=""),"",IF(OR($J899="Tamamlandı",$J899="İptal"),"",$I899-TODAY()))</f>
        <v/>
      </c>
      <c r="Q899" s="113">
        <f>IF($E899="","",IF($D899="TANIMSIZ MÜŞTERİ","HATA",IF(OR($J899="Tamamlandı",$J899="İptal"),"KAPALI",IF(AND($C899="Görüşme",$N899=""),"SONRAKİ İŞLEM EKSİK",IF($I899="","TARİH EKSİK",IF($I899&lt;TODAY(),"GECİKMİŞ",IF($I899=TODAY(),"BUGÜN",IF($I899&lt;=TODAY()+7,"7 GÜN İÇİNDE","PLANLI"))))))))</f>
        <v/>
      </c>
      <c r="R899" s="6" t="n"/>
      <c r="S899" s="6" t="n"/>
    </row>
    <row r="900">
      <c r="A900" s="6" t="n"/>
      <c r="B900" s="113">
        <f>IF($E900="","","A"&amp;TEXT(ROW()-6,"00000"))</f>
        <v/>
      </c>
      <c r="C900" s="108" t="n"/>
      <c r="D900" s="113">
        <f>IF($E900="","",IFERROR(INDEX(MUSTERILER!$B$7:$B$106,MATCH($E900,MUSTERILER!$C$7:$C$106,0)),IFERROR(INDEX(MUSTERILER!$B$7:$B$106,MATCH($E900,MUSTERILER!$B$7:$B$106,0)),IFERROR(INDEX(MUSTERILER!$B$7:$B$106,MATCH($E900&amp;"*",MUSTERILER!$C$7:$C$106,0)),"TANIMSIZ MÜŞTERİ"))))</f>
        <v/>
      </c>
      <c r="E900" s="109" t="n"/>
      <c r="F900" s="109" t="n"/>
      <c r="G900" s="108" t="n"/>
      <c r="H900" s="225" t="n"/>
      <c r="I900" s="225" t="n"/>
      <c r="J900" s="108" t="n"/>
      <c r="K900" s="108" t="n"/>
      <c r="L900" s="109" t="n"/>
      <c r="M900" s="109" t="n"/>
      <c r="N900" s="109" t="n"/>
      <c r="O900" s="225" t="n"/>
      <c r="P900" s="232">
        <f>IF(OR($E900="",$I900=""),"",IF(OR($J900="Tamamlandı",$J900="İptal"),"",$I900-TODAY()))</f>
        <v/>
      </c>
      <c r="Q900" s="113">
        <f>IF($E900="","",IF($D900="TANIMSIZ MÜŞTERİ","HATA",IF(OR($J900="Tamamlandı",$J900="İptal"),"KAPALI",IF(AND($C900="Görüşme",$N900=""),"SONRAKİ İŞLEM EKSİK",IF($I900="","TARİH EKSİK",IF($I900&lt;TODAY(),"GECİKMİŞ",IF($I900=TODAY(),"BUGÜN",IF($I900&lt;=TODAY()+7,"7 GÜN İÇİNDE","PLANLI"))))))))</f>
        <v/>
      </c>
      <c r="R900" s="6" t="n"/>
      <c r="S900" s="6" t="n"/>
    </row>
    <row r="901">
      <c r="A901" s="6" t="n"/>
      <c r="B901" s="113">
        <f>IF($E901="","","A"&amp;TEXT(ROW()-6,"00000"))</f>
        <v/>
      </c>
      <c r="C901" s="108" t="n"/>
      <c r="D901" s="113">
        <f>IF($E901="","",IFERROR(INDEX(MUSTERILER!$B$7:$B$106,MATCH($E901,MUSTERILER!$C$7:$C$106,0)),IFERROR(INDEX(MUSTERILER!$B$7:$B$106,MATCH($E901,MUSTERILER!$B$7:$B$106,0)),IFERROR(INDEX(MUSTERILER!$B$7:$B$106,MATCH($E901&amp;"*",MUSTERILER!$C$7:$C$106,0)),"TANIMSIZ MÜŞTERİ"))))</f>
        <v/>
      </c>
      <c r="E901" s="109" t="n"/>
      <c r="F901" s="109" t="n"/>
      <c r="G901" s="108" t="n"/>
      <c r="H901" s="225" t="n"/>
      <c r="I901" s="225" t="n"/>
      <c r="J901" s="108" t="n"/>
      <c r="K901" s="108" t="n"/>
      <c r="L901" s="109" t="n"/>
      <c r="M901" s="109" t="n"/>
      <c r="N901" s="109" t="n"/>
      <c r="O901" s="225" t="n"/>
      <c r="P901" s="232">
        <f>IF(OR($E901="",$I901=""),"",IF(OR($J901="Tamamlandı",$J901="İptal"),"",$I901-TODAY()))</f>
        <v/>
      </c>
      <c r="Q901" s="113">
        <f>IF($E901="","",IF($D901="TANIMSIZ MÜŞTERİ","HATA",IF(OR($J901="Tamamlandı",$J901="İptal"),"KAPALI",IF(AND($C901="Görüşme",$N901=""),"SONRAKİ İŞLEM EKSİK",IF($I901="","TARİH EKSİK",IF($I901&lt;TODAY(),"GECİKMİŞ",IF($I901=TODAY(),"BUGÜN",IF($I901&lt;=TODAY()+7,"7 GÜN İÇİNDE","PLANLI"))))))))</f>
        <v/>
      </c>
      <c r="R901" s="6" t="n"/>
      <c r="S901" s="6" t="n"/>
    </row>
    <row r="902">
      <c r="A902" s="6" t="n"/>
      <c r="B902" s="113">
        <f>IF($E902="","","A"&amp;TEXT(ROW()-6,"00000"))</f>
        <v/>
      </c>
      <c r="C902" s="108" t="n"/>
      <c r="D902" s="113">
        <f>IF($E902="","",IFERROR(INDEX(MUSTERILER!$B$7:$B$106,MATCH($E902,MUSTERILER!$C$7:$C$106,0)),IFERROR(INDEX(MUSTERILER!$B$7:$B$106,MATCH($E902,MUSTERILER!$B$7:$B$106,0)),IFERROR(INDEX(MUSTERILER!$B$7:$B$106,MATCH($E902&amp;"*",MUSTERILER!$C$7:$C$106,0)),"TANIMSIZ MÜŞTERİ"))))</f>
        <v/>
      </c>
      <c r="E902" s="109" t="n"/>
      <c r="F902" s="109" t="n"/>
      <c r="G902" s="108" t="n"/>
      <c r="H902" s="225" t="n"/>
      <c r="I902" s="225" t="n"/>
      <c r="J902" s="108" t="n"/>
      <c r="K902" s="108" t="n"/>
      <c r="L902" s="109" t="n"/>
      <c r="M902" s="109" t="n"/>
      <c r="N902" s="109" t="n"/>
      <c r="O902" s="225" t="n"/>
      <c r="P902" s="232">
        <f>IF(OR($E902="",$I902=""),"",IF(OR($J902="Tamamlandı",$J902="İptal"),"",$I902-TODAY()))</f>
        <v/>
      </c>
      <c r="Q902" s="113">
        <f>IF($E902="","",IF($D902="TANIMSIZ MÜŞTERİ","HATA",IF(OR($J902="Tamamlandı",$J902="İptal"),"KAPALI",IF(AND($C902="Görüşme",$N902=""),"SONRAKİ İŞLEM EKSİK",IF($I902="","TARİH EKSİK",IF($I902&lt;TODAY(),"GECİKMİŞ",IF($I902=TODAY(),"BUGÜN",IF($I902&lt;=TODAY()+7,"7 GÜN İÇİNDE","PLANLI"))))))))</f>
        <v/>
      </c>
      <c r="R902" s="6" t="n"/>
      <c r="S902" s="6" t="n"/>
    </row>
    <row r="903">
      <c r="A903" s="6" t="n"/>
      <c r="B903" s="113">
        <f>IF($E903="","","A"&amp;TEXT(ROW()-6,"00000"))</f>
        <v/>
      </c>
      <c r="C903" s="108" t="n"/>
      <c r="D903" s="113">
        <f>IF($E903="","",IFERROR(INDEX(MUSTERILER!$B$7:$B$106,MATCH($E903,MUSTERILER!$C$7:$C$106,0)),IFERROR(INDEX(MUSTERILER!$B$7:$B$106,MATCH($E903,MUSTERILER!$B$7:$B$106,0)),IFERROR(INDEX(MUSTERILER!$B$7:$B$106,MATCH($E903&amp;"*",MUSTERILER!$C$7:$C$106,0)),"TANIMSIZ MÜŞTERİ"))))</f>
        <v/>
      </c>
      <c r="E903" s="109" t="n"/>
      <c r="F903" s="109" t="n"/>
      <c r="G903" s="108" t="n"/>
      <c r="H903" s="225" t="n"/>
      <c r="I903" s="225" t="n"/>
      <c r="J903" s="108" t="n"/>
      <c r="K903" s="108" t="n"/>
      <c r="L903" s="109" t="n"/>
      <c r="M903" s="109" t="n"/>
      <c r="N903" s="109" t="n"/>
      <c r="O903" s="225" t="n"/>
      <c r="P903" s="232">
        <f>IF(OR($E903="",$I903=""),"",IF(OR($J903="Tamamlandı",$J903="İptal"),"",$I903-TODAY()))</f>
        <v/>
      </c>
      <c r="Q903" s="113">
        <f>IF($E903="","",IF($D903="TANIMSIZ MÜŞTERİ","HATA",IF(OR($J903="Tamamlandı",$J903="İptal"),"KAPALI",IF(AND($C903="Görüşme",$N903=""),"SONRAKİ İŞLEM EKSİK",IF($I903="","TARİH EKSİK",IF($I903&lt;TODAY(),"GECİKMİŞ",IF($I903=TODAY(),"BUGÜN",IF($I903&lt;=TODAY()+7,"7 GÜN İÇİNDE","PLANLI"))))))))</f>
        <v/>
      </c>
      <c r="R903" s="6" t="n"/>
      <c r="S903" s="6" t="n"/>
    </row>
    <row r="904">
      <c r="A904" s="6" t="n"/>
      <c r="B904" s="113">
        <f>IF($E904="","","A"&amp;TEXT(ROW()-6,"00000"))</f>
        <v/>
      </c>
      <c r="C904" s="108" t="n"/>
      <c r="D904" s="113">
        <f>IF($E904="","",IFERROR(INDEX(MUSTERILER!$B$7:$B$106,MATCH($E904,MUSTERILER!$C$7:$C$106,0)),IFERROR(INDEX(MUSTERILER!$B$7:$B$106,MATCH($E904,MUSTERILER!$B$7:$B$106,0)),IFERROR(INDEX(MUSTERILER!$B$7:$B$106,MATCH($E904&amp;"*",MUSTERILER!$C$7:$C$106,0)),"TANIMSIZ MÜŞTERİ"))))</f>
        <v/>
      </c>
      <c r="E904" s="109" t="n"/>
      <c r="F904" s="109" t="n"/>
      <c r="G904" s="108" t="n"/>
      <c r="H904" s="225" t="n"/>
      <c r="I904" s="225" t="n"/>
      <c r="J904" s="108" t="n"/>
      <c r="K904" s="108" t="n"/>
      <c r="L904" s="109" t="n"/>
      <c r="M904" s="109" t="n"/>
      <c r="N904" s="109" t="n"/>
      <c r="O904" s="225" t="n"/>
      <c r="P904" s="232">
        <f>IF(OR($E904="",$I904=""),"",IF(OR($J904="Tamamlandı",$J904="İptal"),"",$I904-TODAY()))</f>
        <v/>
      </c>
      <c r="Q904" s="113">
        <f>IF($E904="","",IF($D904="TANIMSIZ MÜŞTERİ","HATA",IF(OR($J904="Tamamlandı",$J904="İptal"),"KAPALI",IF(AND($C904="Görüşme",$N904=""),"SONRAKİ İŞLEM EKSİK",IF($I904="","TARİH EKSİK",IF($I904&lt;TODAY(),"GECİKMİŞ",IF($I904=TODAY(),"BUGÜN",IF($I904&lt;=TODAY()+7,"7 GÜN İÇİNDE","PLANLI"))))))))</f>
        <v/>
      </c>
      <c r="R904" s="6" t="n"/>
      <c r="S904" s="6" t="n"/>
    </row>
    <row r="905">
      <c r="A905" s="6" t="n"/>
      <c r="B905" s="113">
        <f>IF($E905="","","A"&amp;TEXT(ROW()-6,"00000"))</f>
        <v/>
      </c>
      <c r="C905" s="108" t="n"/>
      <c r="D905" s="113">
        <f>IF($E905="","",IFERROR(INDEX(MUSTERILER!$B$7:$B$106,MATCH($E905,MUSTERILER!$C$7:$C$106,0)),IFERROR(INDEX(MUSTERILER!$B$7:$B$106,MATCH($E905,MUSTERILER!$B$7:$B$106,0)),IFERROR(INDEX(MUSTERILER!$B$7:$B$106,MATCH($E905&amp;"*",MUSTERILER!$C$7:$C$106,0)),"TANIMSIZ MÜŞTERİ"))))</f>
        <v/>
      </c>
      <c r="E905" s="109" t="n"/>
      <c r="F905" s="109" t="n"/>
      <c r="G905" s="108" t="n"/>
      <c r="H905" s="225" t="n"/>
      <c r="I905" s="225" t="n"/>
      <c r="J905" s="108" t="n"/>
      <c r="K905" s="108" t="n"/>
      <c r="L905" s="109" t="n"/>
      <c r="M905" s="109" t="n"/>
      <c r="N905" s="109" t="n"/>
      <c r="O905" s="225" t="n"/>
      <c r="P905" s="232">
        <f>IF(OR($E905="",$I905=""),"",IF(OR($J905="Tamamlandı",$J905="İptal"),"",$I905-TODAY()))</f>
        <v/>
      </c>
      <c r="Q905" s="113">
        <f>IF($E905="","",IF($D905="TANIMSIZ MÜŞTERİ","HATA",IF(OR($J905="Tamamlandı",$J905="İptal"),"KAPALI",IF(AND($C905="Görüşme",$N905=""),"SONRAKİ İŞLEM EKSİK",IF($I905="","TARİH EKSİK",IF($I905&lt;TODAY(),"GECİKMİŞ",IF($I905=TODAY(),"BUGÜN",IF($I905&lt;=TODAY()+7,"7 GÜN İÇİNDE","PLANLI"))))))))</f>
        <v/>
      </c>
      <c r="R905" s="6" t="n"/>
      <c r="S905" s="6" t="n"/>
    </row>
    <row r="906">
      <c r="A906" s="6" t="n"/>
      <c r="B906" s="113">
        <f>IF($E906="","","A"&amp;TEXT(ROW()-6,"00000"))</f>
        <v/>
      </c>
      <c r="C906" s="108" t="n"/>
      <c r="D906" s="113">
        <f>IF($E906="","",IFERROR(INDEX(MUSTERILER!$B$7:$B$106,MATCH($E906,MUSTERILER!$C$7:$C$106,0)),IFERROR(INDEX(MUSTERILER!$B$7:$B$106,MATCH($E906,MUSTERILER!$B$7:$B$106,0)),IFERROR(INDEX(MUSTERILER!$B$7:$B$106,MATCH($E906&amp;"*",MUSTERILER!$C$7:$C$106,0)),"TANIMSIZ MÜŞTERİ"))))</f>
        <v/>
      </c>
      <c r="E906" s="109" t="n"/>
      <c r="F906" s="109" t="n"/>
      <c r="G906" s="108" t="n"/>
      <c r="H906" s="225" t="n"/>
      <c r="I906" s="225" t="n"/>
      <c r="J906" s="108" t="n"/>
      <c r="K906" s="108" t="n"/>
      <c r="L906" s="109" t="n"/>
      <c r="M906" s="109" t="n"/>
      <c r="N906" s="109" t="n"/>
      <c r="O906" s="225" t="n"/>
      <c r="P906" s="232">
        <f>IF(OR($E906="",$I906=""),"",IF(OR($J906="Tamamlandı",$J906="İptal"),"",$I906-TODAY()))</f>
        <v/>
      </c>
      <c r="Q906" s="113">
        <f>IF($E906="","",IF($D906="TANIMSIZ MÜŞTERİ","HATA",IF(OR($J906="Tamamlandı",$J906="İptal"),"KAPALI",IF(AND($C906="Görüşme",$N906=""),"SONRAKİ İŞLEM EKSİK",IF($I906="","TARİH EKSİK",IF($I906&lt;TODAY(),"GECİKMİŞ",IF($I906=TODAY(),"BUGÜN",IF($I906&lt;=TODAY()+7,"7 GÜN İÇİNDE","PLANLI"))))))))</f>
        <v/>
      </c>
      <c r="R906" s="6" t="n"/>
      <c r="S906" s="6" t="n"/>
    </row>
    <row r="907">
      <c r="A907" s="6" t="n"/>
      <c r="B907" s="113">
        <f>IF($E907="","","A"&amp;TEXT(ROW()-6,"00000"))</f>
        <v/>
      </c>
      <c r="C907" s="108" t="n"/>
      <c r="D907" s="113">
        <f>IF($E907="","",IFERROR(INDEX(MUSTERILER!$B$7:$B$106,MATCH($E907,MUSTERILER!$C$7:$C$106,0)),IFERROR(INDEX(MUSTERILER!$B$7:$B$106,MATCH($E907,MUSTERILER!$B$7:$B$106,0)),IFERROR(INDEX(MUSTERILER!$B$7:$B$106,MATCH($E907&amp;"*",MUSTERILER!$C$7:$C$106,0)),"TANIMSIZ MÜŞTERİ"))))</f>
        <v/>
      </c>
      <c r="E907" s="109" t="n"/>
      <c r="F907" s="109" t="n"/>
      <c r="G907" s="108" t="n"/>
      <c r="H907" s="225" t="n"/>
      <c r="I907" s="225" t="n"/>
      <c r="J907" s="108" t="n"/>
      <c r="K907" s="108" t="n"/>
      <c r="L907" s="109" t="n"/>
      <c r="M907" s="109" t="n"/>
      <c r="N907" s="109" t="n"/>
      <c r="O907" s="225" t="n"/>
      <c r="P907" s="232">
        <f>IF(OR($E907="",$I907=""),"",IF(OR($J907="Tamamlandı",$J907="İptal"),"",$I907-TODAY()))</f>
        <v/>
      </c>
      <c r="Q907" s="113">
        <f>IF($E907="","",IF($D907="TANIMSIZ MÜŞTERİ","HATA",IF(OR($J907="Tamamlandı",$J907="İptal"),"KAPALI",IF(AND($C907="Görüşme",$N907=""),"SONRAKİ İŞLEM EKSİK",IF($I907="","TARİH EKSİK",IF($I907&lt;TODAY(),"GECİKMİŞ",IF($I907=TODAY(),"BUGÜN",IF($I907&lt;=TODAY()+7,"7 GÜN İÇİNDE","PLANLI"))))))))</f>
        <v/>
      </c>
      <c r="R907" s="6" t="n"/>
      <c r="S907" s="6" t="n"/>
    </row>
    <row r="908">
      <c r="A908" s="6" t="n"/>
      <c r="B908" s="113">
        <f>IF($E908="","","A"&amp;TEXT(ROW()-6,"00000"))</f>
        <v/>
      </c>
      <c r="C908" s="108" t="n"/>
      <c r="D908" s="113">
        <f>IF($E908="","",IFERROR(INDEX(MUSTERILER!$B$7:$B$106,MATCH($E908,MUSTERILER!$C$7:$C$106,0)),IFERROR(INDEX(MUSTERILER!$B$7:$B$106,MATCH($E908,MUSTERILER!$B$7:$B$106,0)),IFERROR(INDEX(MUSTERILER!$B$7:$B$106,MATCH($E908&amp;"*",MUSTERILER!$C$7:$C$106,0)),"TANIMSIZ MÜŞTERİ"))))</f>
        <v/>
      </c>
      <c r="E908" s="109" t="n"/>
      <c r="F908" s="109" t="n"/>
      <c r="G908" s="108" t="n"/>
      <c r="H908" s="225" t="n"/>
      <c r="I908" s="225" t="n"/>
      <c r="J908" s="108" t="n"/>
      <c r="K908" s="108" t="n"/>
      <c r="L908" s="109" t="n"/>
      <c r="M908" s="109" t="n"/>
      <c r="N908" s="109" t="n"/>
      <c r="O908" s="225" t="n"/>
      <c r="P908" s="232">
        <f>IF(OR($E908="",$I908=""),"",IF(OR($J908="Tamamlandı",$J908="İptal"),"",$I908-TODAY()))</f>
        <v/>
      </c>
      <c r="Q908" s="113">
        <f>IF($E908="","",IF($D908="TANIMSIZ MÜŞTERİ","HATA",IF(OR($J908="Tamamlandı",$J908="İptal"),"KAPALI",IF(AND($C908="Görüşme",$N908=""),"SONRAKİ İŞLEM EKSİK",IF($I908="","TARİH EKSİK",IF($I908&lt;TODAY(),"GECİKMİŞ",IF($I908=TODAY(),"BUGÜN",IF($I908&lt;=TODAY()+7,"7 GÜN İÇİNDE","PLANLI"))))))))</f>
        <v/>
      </c>
      <c r="R908" s="6" t="n"/>
      <c r="S908" s="6" t="n"/>
    </row>
    <row r="909">
      <c r="A909" s="6" t="n"/>
      <c r="B909" s="113">
        <f>IF($E909="","","A"&amp;TEXT(ROW()-6,"00000"))</f>
        <v/>
      </c>
      <c r="C909" s="108" t="n"/>
      <c r="D909" s="113">
        <f>IF($E909="","",IFERROR(INDEX(MUSTERILER!$B$7:$B$106,MATCH($E909,MUSTERILER!$C$7:$C$106,0)),IFERROR(INDEX(MUSTERILER!$B$7:$B$106,MATCH($E909,MUSTERILER!$B$7:$B$106,0)),IFERROR(INDEX(MUSTERILER!$B$7:$B$106,MATCH($E909&amp;"*",MUSTERILER!$C$7:$C$106,0)),"TANIMSIZ MÜŞTERİ"))))</f>
        <v/>
      </c>
      <c r="E909" s="109" t="n"/>
      <c r="F909" s="109" t="n"/>
      <c r="G909" s="108" t="n"/>
      <c r="H909" s="225" t="n"/>
      <c r="I909" s="225" t="n"/>
      <c r="J909" s="108" t="n"/>
      <c r="K909" s="108" t="n"/>
      <c r="L909" s="109" t="n"/>
      <c r="M909" s="109" t="n"/>
      <c r="N909" s="109" t="n"/>
      <c r="O909" s="225" t="n"/>
      <c r="P909" s="232">
        <f>IF(OR($E909="",$I909=""),"",IF(OR($J909="Tamamlandı",$J909="İptal"),"",$I909-TODAY()))</f>
        <v/>
      </c>
      <c r="Q909" s="113">
        <f>IF($E909="","",IF($D909="TANIMSIZ MÜŞTERİ","HATA",IF(OR($J909="Tamamlandı",$J909="İptal"),"KAPALI",IF(AND($C909="Görüşme",$N909=""),"SONRAKİ İŞLEM EKSİK",IF($I909="","TARİH EKSİK",IF($I909&lt;TODAY(),"GECİKMİŞ",IF($I909=TODAY(),"BUGÜN",IF($I909&lt;=TODAY()+7,"7 GÜN İÇİNDE","PLANLI"))))))))</f>
        <v/>
      </c>
      <c r="R909" s="6" t="n"/>
      <c r="S909" s="6" t="n"/>
    </row>
    <row r="910">
      <c r="A910" s="6" t="n"/>
      <c r="B910" s="113">
        <f>IF($E910="","","A"&amp;TEXT(ROW()-6,"00000"))</f>
        <v/>
      </c>
      <c r="C910" s="108" t="n"/>
      <c r="D910" s="113">
        <f>IF($E910="","",IFERROR(INDEX(MUSTERILER!$B$7:$B$106,MATCH($E910,MUSTERILER!$C$7:$C$106,0)),IFERROR(INDEX(MUSTERILER!$B$7:$B$106,MATCH($E910,MUSTERILER!$B$7:$B$106,0)),IFERROR(INDEX(MUSTERILER!$B$7:$B$106,MATCH($E910&amp;"*",MUSTERILER!$C$7:$C$106,0)),"TANIMSIZ MÜŞTERİ"))))</f>
        <v/>
      </c>
      <c r="E910" s="109" t="n"/>
      <c r="F910" s="109" t="n"/>
      <c r="G910" s="108" t="n"/>
      <c r="H910" s="225" t="n"/>
      <c r="I910" s="225" t="n"/>
      <c r="J910" s="108" t="n"/>
      <c r="K910" s="108" t="n"/>
      <c r="L910" s="109" t="n"/>
      <c r="M910" s="109" t="n"/>
      <c r="N910" s="109" t="n"/>
      <c r="O910" s="225" t="n"/>
      <c r="P910" s="232">
        <f>IF(OR($E910="",$I910=""),"",IF(OR($J910="Tamamlandı",$J910="İptal"),"",$I910-TODAY()))</f>
        <v/>
      </c>
      <c r="Q910" s="113">
        <f>IF($E910="","",IF($D910="TANIMSIZ MÜŞTERİ","HATA",IF(OR($J910="Tamamlandı",$J910="İptal"),"KAPALI",IF(AND($C910="Görüşme",$N910=""),"SONRAKİ İŞLEM EKSİK",IF($I910="","TARİH EKSİK",IF($I910&lt;TODAY(),"GECİKMİŞ",IF($I910=TODAY(),"BUGÜN",IF($I910&lt;=TODAY()+7,"7 GÜN İÇİNDE","PLANLI"))))))))</f>
        <v/>
      </c>
      <c r="R910" s="6" t="n"/>
      <c r="S910" s="6" t="n"/>
    </row>
    <row r="911">
      <c r="A911" s="6" t="n"/>
      <c r="B911" s="113">
        <f>IF($E911="","","A"&amp;TEXT(ROW()-6,"00000"))</f>
        <v/>
      </c>
      <c r="C911" s="108" t="n"/>
      <c r="D911" s="113">
        <f>IF($E911="","",IFERROR(INDEX(MUSTERILER!$B$7:$B$106,MATCH($E911,MUSTERILER!$C$7:$C$106,0)),IFERROR(INDEX(MUSTERILER!$B$7:$B$106,MATCH($E911,MUSTERILER!$B$7:$B$106,0)),IFERROR(INDEX(MUSTERILER!$B$7:$B$106,MATCH($E911&amp;"*",MUSTERILER!$C$7:$C$106,0)),"TANIMSIZ MÜŞTERİ"))))</f>
        <v/>
      </c>
      <c r="E911" s="109" t="n"/>
      <c r="F911" s="109" t="n"/>
      <c r="G911" s="108" t="n"/>
      <c r="H911" s="225" t="n"/>
      <c r="I911" s="225" t="n"/>
      <c r="J911" s="108" t="n"/>
      <c r="K911" s="108" t="n"/>
      <c r="L911" s="109" t="n"/>
      <c r="M911" s="109" t="n"/>
      <c r="N911" s="109" t="n"/>
      <c r="O911" s="225" t="n"/>
      <c r="P911" s="232">
        <f>IF(OR($E911="",$I911=""),"",IF(OR($J911="Tamamlandı",$J911="İptal"),"",$I911-TODAY()))</f>
        <v/>
      </c>
      <c r="Q911" s="113">
        <f>IF($E911="","",IF($D911="TANIMSIZ MÜŞTERİ","HATA",IF(OR($J911="Tamamlandı",$J911="İptal"),"KAPALI",IF(AND($C911="Görüşme",$N911=""),"SONRAKİ İŞLEM EKSİK",IF($I911="","TARİH EKSİK",IF($I911&lt;TODAY(),"GECİKMİŞ",IF($I911=TODAY(),"BUGÜN",IF($I911&lt;=TODAY()+7,"7 GÜN İÇİNDE","PLANLI"))))))))</f>
        <v/>
      </c>
      <c r="R911" s="6" t="n"/>
      <c r="S911" s="6" t="n"/>
    </row>
    <row r="912">
      <c r="A912" s="6" t="n"/>
      <c r="B912" s="113">
        <f>IF($E912="","","A"&amp;TEXT(ROW()-6,"00000"))</f>
        <v/>
      </c>
      <c r="C912" s="108" t="n"/>
      <c r="D912" s="113">
        <f>IF($E912="","",IFERROR(INDEX(MUSTERILER!$B$7:$B$106,MATCH($E912,MUSTERILER!$C$7:$C$106,0)),IFERROR(INDEX(MUSTERILER!$B$7:$B$106,MATCH($E912,MUSTERILER!$B$7:$B$106,0)),IFERROR(INDEX(MUSTERILER!$B$7:$B$106,MATCH($E912&amp;"*",MUSTERILER!$C$7:$C$106,0)),"TANIMSIZ MÜŞTERİ"))))</f>
        <v/>
      </c>
      <c r="E912" s="109" t="n"/>
      <c r="F912" s="109" t="n"/>
      <c r="G912" s="108" t="n"/>
      <c r="H912" s="225" t="n"/>
      <c r="I912" s="225" t="n"/>
      <c r="J912" s="108" t="n"/>
      <c r="K912" s="108" t="n"/>
      <c r="L912" s="109" t="n"/>
      <c r="M912" s="109" t="n"/>
      <c r="N912" s="109" t="n"/>
      <c r="O912" s="225" t="n"/>
      <c r="P912" s="232">
        <f>IF(OR($E912="",$I912=""),"",IF(OR($J912="Tamamlandı",$J912="İptal"),"",$I912-TODAY()))</f>
        <v/>
      </c>
      <c r="Q912" s="113">
        <f>IF($E912="","",IF($D912="TANIMSIZ MÜŞTERİ","HATA",IF(OR($J912="Tamamlandı",$J912="İptal"),"KAPALI",IF(AND($C912="Görüşme",$N912=""),"SONRAKİ İŞLEM EKSİK",IF($I912="","TARİH EKSİK",IF($I912&lt;TODAY(),"GECİKMİŞ",IF($I912=TODAY(),"BUGÜN",IF($I912&lt;=TODAY()+7,"7 GÜN İÇİNDE","PLANLI"))))))))</f>
        <v/>
      </c>
      <c r="R912" s="6" t="n"/>
      <c r="S912" s="6" t="n"/>
    </row>
    <row r="913">
      <c r="A913" s="6" t="n"/>
      <c r="B913" s="113">
        <f>IF($E913="","","A"&amp;TEXT(ROW()-6,"00000"))</f>
        <v/>
      </c>
      <c r="C913" s="108" t="n"/>
      <c r="D913" s="113">
        <f>IF($E913="","",IFERROR(INDEX(MUSTERILER!$B$7:$B$106,MATCH($E913,MUSTERILER!$C$7:$C$106,0)),IFERROR(INDEX(MUSTERILER!$B$7:$B$106,MATCH($E913,MUSTERILER!$B$7:$B$106,0)),IFERROR(INDEX(MUSTERILER!$B$7:$B$106,MATCH($E913&amp;"*",MUSTERILER!$C$7:$C$106,0)),"TANIMSIZ MÜŞTERİ"))))</f>
        <v/>
      </c>
      <c r="E913" s="109" t="n"/>
      <c r="F913" s="109" t="n"/>
      <c r="G913" s="108" t="n"/>
      <c r="H913" s="225" t="n"/>
      <c r="I913" s="225" t="n"/>
      <c r="J913" s="108" t="n"/>
      <c r="K913" s="108" t="n"/>
      <c r="L913" s="109" t="n"/>
      <c r="M913" s="109" t="n"/>
      <c r="N913" s="109" t="n"/>
      <c r="O913" s="225" t="n"/>
      <c r="P913" s="232">
        <f>IF(OR($E913="",$I913=""),"",IF(OR($J913="Tamamlandı",$J913="İptal"),"",$I913-TODAY()))</f>
        <v/>
      </c>
      <c r="Q913" s="113">
        <f>IF($E913="","",IF($D913="TANIMSIZ MÜŞTERİ","HATA",IF(OR($J913="Tamamlandı",$J913="İptal"),"KAPALI",IF(AND($C913="Görüşme",$N913=""),"SONRAKİ İŞLEM EKSİK",IF($I913="","TARİH EKSİK",IF($I913&lt;TODAY(),"GECİKMİŞ",IF($I913=TODAY(),"BUGÜN",IF($I913&lt;=TODAY()+7,"7 GÜN İÇİNDE","PLANLI"))))))))</f>
        <v/>
      </c>
      <c r="R913" s="6" t="n"/>
      <c r="S913" s="6" t="n"/>
    </row>
    <row r="914">
      <c r="A914" s="6" t="n"/>
      <c r="B914" s="113">
        <f>IF($E914="","","A"&amp;TEXT(ROW()-6,"00000"))</f>
        <v/>
      </c>
      <c r="C914" s="108" t="n"/>
      <c r="D914" s="113">
        <f>IF($E914="","",IFERROR(INDEX(MUSTERILER!$B$7:$B$106,MATCH($E914,MUSTERILER!$C$7:$C$106,0)),IFERROR(INDEX(MUSTERILER!$B$7:$B$106,MATCH($E914,MUSTERILER!$B$7:$B$106,0)),IFERROR(INDEX(MUSTERILER!$B$7:$B$106,MATCH($E914&amp;"*",MUSTERILER!$C$7:$C$106,0)),"TANIMSIZ MÜŞTERİ"))))</f>
        <v/>
      </c>
      <c r="E914" s="109" t="n"/>
      <c r="F914" s="109" t="n"/>
      <c r="G914" s="108" t="n"/>
      <c r="H914" s="225" t="n"/>
      <c r="I914" s="225" t="n"/>
      <c r="J914" s="108" t="n"/>
      <c r="K914" s="108" t="n"/>
      <c r="L914" s="109" t="n"/>
      <c r="M914" s="109" t="n"/>
      <c r="N914" s="109" t="n"/>
      <c r="O914" s="225" t="n"/>
      <c r="P914" s="232">
        <f>IF(OR($E914="",$I914=""),"",IF(OR($J914="Tamamlandı",$J914="İptal"),"",$I914-TODAY()))</f>
        <v/>
      </c>
      <c r="Q914" s="113">
        <f>IF($E914="","",IF($D914="TANIMSIZ MÜŞTERİ","HATA",IF(OR($J914="Tamamlandı",$J914="İptal"),"KAPALI",IF(AND($C914="Görüşme",$N914=""),"SONRAKİ İŞLEM EKSİK",IF($I914="","TARİH EKSİK",IF($I914&lt;TODAY(),"GECİKMİŞ",IF($I914=TODAY(),"BUGÜN",IF($I914&lt;=TODAY()+7,"7 GÜN İÇİNDE","PLANLI"))))))))</f>
        <v/>
      </c>
      <c r="R914" s="6" t="n"/>
      <c r="S914" s="6" t="n"/>
    </row>
    <row r="915">
      <c r="A915" s="6" t="n"/>
      <c r="B915" s="113">
        <f>IF($E915="","","A"&amp;TEXT(ROW()-6,"00000"))</f>
        <v/>
      </c>
      <c r="C915" s="108" t="n"/>
      <c r="D915" s="113">
        <f>IF($E915="","",IFERROR(INDEX(MUSTERILER!$B$7:$B$106,MATCH($E915,MUSTERILER!$C$7:$C$106,0)),IFERROR(INDEX(MUSTERILER!$B$7:$B$106,MATCH($E915,MUSTERILER!$B$7:$B$106,0)),IFERROR(INDEX(MUSTERILER!$B$7:$B$106,MATCH($E915&amp;"*",MUSTERILER!$C$7:$C$106,0)),"TANIMSIZ MÜŞTERİ"))))</f>
        <v/>
      </c>
      <c r="E915" s="109" t="n"/>
      <c r="F915" s="109" t="n"/>
      <c r="G915" s="108" t="n"/>
      <c r="H915" s="225" t="n"/>
      <c r="I915" s="225" t="n"/>
      <c r="J915" s="108" t="n"/>
      <c r="K915" s="108" t="n"/>
      <c r="L915" s="109" t="n"/>
      <c r="M915" s="109" t="n"/>
      <c r="N915" s="109" t="n"/>
      <c r="O915" s="225" t="n"/>
      <c r="P915" s="232">
        <f>IF(OR($E915="",$I915=""),"",IF(OR($J915="Tamamlandı",$J915="İptal"),"",$I915-TODAY()))</f>
        <v/>
      </c>
      <c r="Q915" s="113">
        <f>IF($E915="","",IF($D915="TANIMSIZ MÜŞTERİ","HATA",IF(OR($J915="Tamamlandı",$J915="İptal"),"KAPALI",IF(AND($C915="Görüşme",$N915=""),"SONRAKİ İŞLEM EKSİK",IF($I915="","TARİH EKSİK",IF($I915&lt;TODAY(),"GECİKMİŞ",IF($I915=TODAY(),"BUGÜN",IF($I915&lt;=TODAY()+7,"7 GÜN İÇİNDE","PLANLI"))))))))</f>
        <v/>
      </c>
      <c r="R915" s="6" t="n"/>
      <c r="S915" s="6" t="n"/>
    </row>
    <row r="916">
      <c r="A916" s="6" t="n"/>
      <c r="B916" s="113">
        <f>IF($E916="","","A"&amp;TEXT(ROW()-6,"00000"))</f>
        <v/>
      </c>
      <c r="C916" s="108" t="n"/>
      <c r="D916" s="113">
        <f>IF($E916="","",IFERROR(INDEX(MUSTERILER!$B$7:$B$106,MATCH($E916,MUSTERILER!$C$7:$C$106,0)),IFERROR(INDEX(MUSTERILER!$B$7:$B$106,MATCH($E916,MUSTERILER!$B$7:$B$106,0)),IFERROR(INDEX(MUSTERILER!$B$7:$B$106,MATCH($E916&amp;"*",MUSTERILER!$C$7:$C$106,0)),"TANIMSIZ MÜŞTERİ"))))</f>
        <v/>
      </c>
      <c r="E916" s="109" t="n"/>
      <c r="F916" s="109" t="n"/>
      <c r="G916" s="108" t="n"/>
      <c r="H916" s="225" t="n"/>
      <c r="I916" s="225" t="n"/>
      <c r="J916" s="108" t="n"/>
      <c r="K916" s="108" t="n"/>
      <c r="L916" s="109" t="n"/>
      <c r="M916" s="109" t="n"/>
      <c r="N916" s="109" t="n"/>
      <c r="O916" s="225" t="n"/>
      <c r="P916" s="232">
        <f>IF(OR($E916="",$I916=""),"",IF(OR($J916="Tamamlandı",$J916="İptal"),"",$I916-TODAY()))</f>
        <v/>
      </c>
      <c r="Q916" s="113">
        <f>IF($E916="","",IF($D916="TANIMSIZ MÜŞTERİ","HATA",IF(OR($J916="Tamamlandı",$J916="İptal"),"KAPALI",IF(AND($C916="Görüşme",$N916=""),"SONRAKİ İŞLEM EKSİK",IF($I916="","TARİH EKSİK",IF($I916&lt;TODAY(),"GECİKMİŞ",IF($I916=TODAY(),"BUGÜN",IF($I916&lt;=TODAY()+7,"7 GÜN İÇİNDE","PLANLI"))))))))</f>
        <v/>
      </c>
      <c r="R916" s="6" t="n"/>
      <c r="S916" s="6" t="n"/>
    </row>
    <row r="917">
      <c r="A917" s="6" t="n"/>
      <c r="B917" s="113">
        <f>IF($E917="","","A"&amp;TEXT(ROW()-6,"00000"))</f>
        <v/>
      </c>
      <c r="C917" s="108" t="n"/>
      <c r="D917" s="113">
        <f>IF($E917="","",IFERROR(INDEX(MUSTERILER!$B$7:$B$106,MATCH($E917,MUSTERILER!$C$7:$C$106,0)),IFERROR(INDEX(MUSTERILER!$B$7:$B$106,MATCH($E917,MUSTERILER!$B$7:$B$106,0)),IFERROR(INDEX(MUSTERILER!$B$7:$B$106,MATCH($E917&amp;"*",MUSTERILER!$C$7:$C$106,0)),"TANIMSIZ MÜŞTERİ"))))</f>
        <v/>
      </c>
      <c r="E917" s="109" t="n"/>
      <c r="F917" s="109" t="n"/>
      <c r="G917" s="108" t="n"/>
      <c r="H917" s="225" t="n"/>
      <c r="I917" s="225" t="n"/>
      <c r="J917" s="108" t="n"/>
      <c r="K917" s="108" t="n"/>
      <c r="L917" s="109" t="n"/>
      <c r="M917" s="109" t="n"/>
      <c r="N917" s="109" t="n"/>
      <c r="O917" s="225" t="n"/>
      <c r="P917" s="232">
        <f>IF(OR($E917="",$I917=""),"",IF(OR($J917="Tamamlandı",$J917="İptal"),"",$I917-TODAY()))</f>
        <v/>
      </c>
      <c r="Q917" s="113">
        <f>IF($E917="","",IF($D917="TANIMSIZ MÜŞTERİ","HATA",IF(OR($J917="Tamamlandı",$J917="İptal"),"KAPALI",IF(AND($C917="Görüşme",$N917=""),"SONRAKİ İŞLEM EKSİK",IF($I917="","TARİH EKSİK",IF($I917&lt;TODAY(),"GECİKMİŞ",IF($I917=TODAY(),"BUGÜN",IF($I917&lt;=TODAY()+7,"7 GÜN İÇİNDE","PLANLI"))))))))</f>
        <v/>
      </c>
      <c r="R917" s="6" t="n"/>
      <c r="S917" s="6" t="n"/>
    </row>
    <row r="918">
      <c r="A918" s="6" t="n"/>
      <c r="B918" s="113">
        <f>IF($E918="","","A"&amp;TEXT(ROW()-6,"00000"))</f>
        <v/>
      </c>
      <c r="C918" s="108" t="n"/>
      <c r="D918" s="113">
        <f>IF($E918="","",IFERROR(INDEX(MUSTERILER!$B$7:$B$106,MATCH($E918,MUSTERILER!$C$7:$C$106,0)),IFERROR(INDEX(MUSTERILER!$B$7:$B$106,MATCH($E918,MUSTERILER!$B$7:$B$106,0)),IFERROR(INDEX(MUSTERILER!$B$7:$B$106,MATCH($E918&amp;"*",MUSTERILER!$C$7:$C$106,0)),"TANIMSIZ MÜŞTERİ"))))</f>
        <v/>
      </c>
      <c r="E918" s="109" t="n"/>
      <c r="F918" s="109" t="n"/>
      <c r="G918" s="108" t="n"/>
      <c r="H918" s="225" t="n"/>
      <c r="I918" s="225" t="n"/>
      <c r="J918" s="108" t="n"/>
      <c r="K918" s="108" t="n"/>
      <c r="L918" s="109" t="n"/>
      <c r="M918" s="109" t="n"/>
      <c r="N918" s="109" t="n"/>
      <c r="O918" s="225" t="n"/>
      <c r="P918" s="232">
        <f>IF(OR($E918="",$I918=""),"",IF(OR($J918="Tamamlandı",$J918="İptal"),"",$I918-TODAY()))</f>
        <v/>
      </c>
      <c r="Q918" s="113">
        <f>IF($E918="","",IF($D918="TANIMSIZ MÜŞTERİ","HATA",IF(OR($J918="Tamamlandı",$J918="İptal"),"KAPALI",IF(AND($C918="Görüşme",$N918=""),"SONRAKİ İŞLEM EKSİK",IF($I918="","TARİH EKSİK",IF($I918&lt;TODAY(),"GECİKMİŞ",IF($I918=TODAY(),"BUGÜN",IF($I918&lt;=TODAY()+7,"7 GÜN İÇİNDE","PLANLI"))))))))</f>
        <v/>
      </c>
      <c r="R918" s="6" t="n"/>
      <c r="S918" s="6" t="n"/>
    </row>
    <row r="919">
      <c r="A919" s="6" t="n"/>
      <c r="B919" s="113">
        <f>IF($E919="","","A"&amp;TEXT(ROW()-6,"00000"))</f>
        <v/>
      </c>
      <c r="C919" s="108" t="n"/>
      <c r="D919" s="113">
        <f>IF($E919="","",IFERROR(INDEX(MUSTERILER!$B$7:$B$106,MATCH($E919,MUSTERILER!$C$7:$C$106,0)),IFERROR(INDEX(MUSTERILER!$B$7:$B$106,MATCH($E919,MUSTERILER!$B$7:$B$106,0)),IFERROR(INDEX(MUSTERILER!$B$7:$B$106,MATCH($E919&amp;"*",MUSTERILER!$C$7:$C$106,0)),"TANIMSIZ MÜŞTERİ"))))</f>
        <v/>
      </c>
      <c r="E919" s="109" t="n"/>
      <c r="F919" s="109" t="n"/>
      <c r="G919" s="108" t="n"/>
      <c r="H919" s="225" t="n"/>
      <c r="I919" s="225" t="n"/>
      <c r="J919" s="108" t="n"/>
      <c r="K919" s="108" t="n"/>
      <c r="L919" s="109" t="n"/>
      <c r="M919" s="109" t="n"/>
      <c r="N919" s="109" t="n"/>
      <c r="O919" s="225" t="n"/>
      <c r="P919" s="232">
        <f>IF(OR($E919="",$I919=""),"",IF(OR($J919="Tamamlandı",$J919="İptal"),"",$I919-TODAY()))</f>
        <v/>
      </c>
      <c r="Q919" s="113">
        <f>IF($E919="","",IF($D919="TANIMSIZ MÜŞTERİ","HATA",IF(OR($J919="Tamamlandı",$J919="İptal"),"KAPALI",IF(AND($C919="Görüşme",$N919=""),"SONRAKİ İŞLEM EKSİK",IF($I919="","TARİH EKSİK",IF($I919&lt;TODAY(),"GECİKMİŞ",IF($I919=TODAY(),"BUGÜN",IF($I919&lt;=TODAY()+7,"7 GÜN İÇİNDE","PLANLI"))))))))</f>
        <v/>
      </c>
      <c r="R919" s="6" t="n"/>
      <c r="S919" s="6" t="n"/>
    </row>
    <row r="920">
      <c r="A920" s="6" t="n"/>
      <c r="B920" s="113">
        <f>IF($E920="","","A"&amp;TEXT(ROW()-6,"00000"))</f>
        <v/>
      </c>
      <c r="C920" s="108" t="n"/>
      <c r="D920" s="113">
        <f>IF($E920="","",IFERROR(INDEX(MUSTERILER!$B$7:$B$106,MATCH($E920,MUSTERILER!$C$7:$C$106,0)),IFERROR(INDEX(MUSTERILER!$B$7:$B$106,MATCH($E920,MUSTERILER!$B$7:$B$106,0)),IFERROR(INDEX(MUSTERILER!$B$7:$B$106,MATCH($E920&amp;"*",MUSTERILER!$C$7:$C$106,0)),"TANIMSIZ MÜŞTERİ"))))</f>
        <v/>
      </c>
      <c r="E920" s="109" t="n"/>
      <c r="F920" s="109" t="n"/>
      <c r="G920" s="108" t="n"/>
      <c r="H920" s="225" t="n"/>
      <c r="I920" s="225" t="n"/>
      <c r="J920" s="108" t="n"/>
      <c r="K920" s="108" t="n"/>
      <c r="L920" s="109" t="n"/>
      <c r="M920" s="109" t="n"/>
      <c r="N920" s="109" t="n"/>
      <c r="O920" s="225" t="n"/>
      <c r="P920" s="232">
        <f>IF(OR($E920="",$I920=""),"",IF(OR($J920="Tamamlandı",$J920="İptal"),"",$I920-TODAY()))</f>
        <v/>
      </c>
      <c r="Q920" s="113">
        <f>IF($E920="","",IF($D920="TANIMSIZ MÜŞTERİ","HATA",IF(OR($J920="Tamamlandı",$J920="İptal"),"KAPALI",IF(AND($C920="Görüşme",$N920=""),"SONRAKİ İŞLEM EKSİK",IF($I920="","TARİH EKSİK",IF($I920&lt;TODAY(),"GECİKMİŞ",IF($I920=TODAY(),"BUGÜN",IF($I920&lt;=TODAY()+7,"7 GÜN İÇİNDE","PLANLI"))))))))</f>
        <v/>
      </c>
      <c r="R920" s="6" t="n"/>
      <c r="S920" s="6" t="n"/>
    </row>
    <row r="921">
      <c r="A921" s="6" t="n"/>
      <c r="B921" s="113">
        <f>IF($E921="","","A"&amp;TEXT(ROW()-6,"00000"))</f>
        <v/>
      </c>
      <c r="C921" s="108" t="n"/>
      <c r="D921" s="113">
        <f>IF($E921="","",IFERROR(INDEX(MUSTERILER!$B$7:$B$106,MATCH($E921,MUSTERILER!$C$7:$C$106,0)),IFERROR(INDEX(MUSTERILER!$B$7:$B$106,MATCH($E921,MUSTERILER!$B$7:$B$106,0)),IFERROR(INDEX(MUSTERILER!$B$7:$B$106,MATCH($E921&amp;"*",MUSTERILER!$C$7:$C$106,0)),"TANIMSIZ MÜŞTERİ"))))</f>
        <v/>
      </c>
      <c r="E921" s="109" t="n"/>
      <c r="F921" s="109" t="n"/>
      <c r="G921" s="108" t="n"/>
      <c r="H921" s="225" t="n"/>
      <c r="I921" s="225" t="n"/>
      <c r="J921" s="108" t="n"/>
      <c r="K921" s="108" t="n"/>
      <c r="L921" s="109" t="n"/>
      <c r="M921" s="109" t="n"/>
      <c r="N921" s="109" t="n"/>
      <c r="O921" s="225" t="n"/>
      <c r="P921" s="232">
        <f>IF(OR($E921="",$I921=""),"",IF(OR($J921="Tamamlandı",$J921="İptal"),"",$I921-TODAY()))</f>
        <v/>
      </c>
      <c r="Q921" s="113">
        <f>IF($E921="","",IF($D921="TANIMSIZ MÜŞTERİ","HATA",IF(OR($J921="Tamamlandı",$J921="İptal"),"KAPALI",IF(AND($C921="Görüşme",$N921=""),"SONRAKİ İŞLEM EKSİK",IF($I921="","TARİH EKSİK",IF($I921&lt;TODAY(),"GECİKMİŞ",IF($I921=TODAY(),"BUGÜN",IF($I921&lt;=TODAY()+7,"7 GÜN İÇİNDE","PLANLI"))))))))</f>
        <v/>
      </c>
      <c r="R921" s="6" t="n"/>
      <c r="S921" s="6" t="n"/>
    </row>
    <row r="922">
      <c r="A922" s="6" t="n"/>
      <c r="B922" s="113">
        <f>IF($E922="","","A"&amp;TEXT(ROW()-6,"00000"))</f>
        <v/>
      </c>
      <c r="C922" s="108" t="n"/>
      <c r="D922" s="113">
        <f>IF($E922="","",IFERROR(INDEX(MUSTERILER!$B$7:$B$106,MATCH($E922,MUSTERILER!$C$7:$C$106,0)),IFERROR(INDEX(MUSTERILER!$B$7:$B$106,MATCH($E922,MUSTERILER!$B$7:$B$106,0)),IFERROR(INDEX(MUSTERILER!$B$7:$B$106,MATCH($E922&amp;"*",MUSTERILER!$C$7:$C$106,0)),"TANIMSIZ MÜŞTERİ"))))</f>
        <v/>
      </c>
      <c r="E922" s="109" t="n"/>
      <c r="F922" s="109" t="n"/>
      <c r="G922" s="108" t="n"/>
      <c r="H922" s="225" t="n"/>
      <c r="I922" s="225" t="n"/>
      <c r="J922" s="108" t="n"/>
      <c r="K922" s="108" t="n"/>
      <c r="L922" s="109" t="n"/>
      <c r="M922" s="109" t="n"/>
      <c r="N922" s="109" t="n"/>
      <c r="O922" s="225" t="n"/>
      <c r="P922" s="232">
        <f>IF(OR($E922="",$I922=""),"",IF(OR($J922="Tamamlandı",$J922="İptal"),"",$I922-TODAY()))</f>
        <v/>
      </c>
      <c r="Q922" s="113">
        <f>IF($E922="","",IF($D922="TANIMSIZ MÜŞTERİ","HATA",IF(OR($J922="Tamamlandı",$J922="İptal"),"KAPALI",IF(AND($C922="Görüşme",$N922=""),"SONRAKİ İŞLEM EKSİK",IF($I922="","TARİH EKSİK",IF($I922&lt;TODAY(),"GECİKMİŞ",IF($I922=TODAY(),"BUGÜN",IF($I922&lt;=TODAY()+7,"7 GÜN İÇİNDE","PLANLI"))))))))</f>
        <v/>
      </c>
      <c r="R922" s="6" t="n"/>
      <c r="S922" s="6" t="n"/>
    </row>
    <row r="923">
      <c r="A923" s="6" t="n"/>
      <c r="B923" s="113">
        <f>IF($E923="","","A"&amp;TEXT(ROW()-6,"00000"))</f>
        <v/>
      </c>
      <c r="C923" s="108" t="n"/>
      <c r="D923" s="113">
        <f>IF($E923="","",IFERROR(INDEX(MUSTERILER!$B$7:$B$106,MATCH($E923,MUSTERILER!$C$7:$C$106,0)),IFERROR(INDEX(MUSTERILER!$B$7:$B$106,MATCH($E923,MUSTERILER!$B$7:$B$106,0)),IFERROR(INDEX(MUSTERILER!$B$7:$B$106,MATCH($E923&amp;"*",MUSTERILER!$C$7:$C$106,0)),"TANIMSIZ MÜŞTERİ"))))</f>
        <v/>
      </c>
      <c r="E923" s="109" t="n"/>
      <c r="F923" s="109" t="n"/>
      <c r="G923" s="108" t="n"/>
      <c r="H923" s="225" t="n"/>
      <c r="I923" s="225" t="n"/>
      <c r="J923" s="108" t="n"/>
      <c r="K923" s="108" t="n"/>
      <c r="L923" s="109" t="n"/>
      <c r="M923" s="109" t="n"/>
      <c r="N923" s="109" t="n"/>
      <c r="O923" s="225" t="n"/>
      <c r="P923" s="232">
        <f>IF(OR($E923="",$I923=""),"",IF(OR($J923="Tamamlandı",$J923="İptal"),"",$I923-TODAY()))</f>
        <v/>
      </c>
      <c r="Q923" s="113">
        <f>IF($E923="","",IF($D923="TANIMSIZ MÜŞTERİ","HATA",IF(OR($J923="Tamamlandı",$J923="İptal"),"KAPALI",IF(AND($C923="Görüşme",$N923=""),"SONRAKİ İŞLEM EKSİK",IF($I923="","TARİH EKSİK",IF($I923&lt;TODAY(),"GECİKMİŞ",IF($I923=TODAY(),"BUGÜN",IF($I923&lt;=TODAY()+7,"7 GÜN İÇİNDE","PLANLI"))))))))</f>
        <v/>
      </c>
      <c r="R923" s="6" t="n"/>
      <c r="S923" s="6" t="n"/>
    </row>
    <row r="924">
      <c r="A924" s="6" t="n"/>
      <c r="B924" s="113">
        <f>IF($E924="","","A"&amp;TEXT(ROW()-6,"00000"))</f>
        <v/>
      </c>
      <c r="C924" s="108" t="n"/>
      <c r="D924" s="113">
        <f>IF($E924="","",IFERROR(INDEX(MUSTERILER!$B$7:$B$106,MATCH($E924,MUSTERILER!$C$7:$C$106,0)),IFERROR(INDEX(MUSTERILER!$B$7:$B$106,MATCH($E924,MUSTERILER!$B$7:$B$106,0)),IFERROR(INDEX(MUSTERILER!$B$7:$B$106,MATCH($E924&amp;"*",MUSTERILER!$C$7:$C$106,0)),"TANIMSIZ MÜŞTERİ"))))</f>
        <v/>
      </c>
      <c r="E924" s="109" t="n"/>
      <c r="F924" s="109" t="n"/>
      <c r="G924" s="108" t="n"/>
      <c r="H924" s="225" t="n"/>
      <c r="I924" s="225" t="n"/>
      <c r="J924" s="108" t="n"/>
      <c r="K924" s="108" t="n"/>
      <c r="L924" s="109" t="n"/>
      <c r="M924" s="109" t="n"/>
      <c r="N924" s="109" t="n"/>
      <c r="O924" s="225" t="n"/>
      <c r="P924" s="232">
        <f>IF(OR($E924="",$I924=""),"",IF(OR($J924="Tamamlandı",$J924="İptal"),"",$I924-TODAY()))</f>
        <v/>
      </c>
      <c r="Q924" s="113">
        <f>IF($E924="","",IF($D924="TANIMSIZ MÜŞTERİ","HATA",IF(OR($J924="Tamamlandı",$J924="İptal"),"KAPALI",IF(AND($C924="Görüşme",$N924=""),"SONRAKİ İŞLEM EKSİK",IF($I924="","TARİH EKSİK",IF($I924&lt;TODAY(),"GECİKMİŞ",IF($I924=TODAY(),"BUGÜN",IF($I924&lt;=TODAY()+7,"7 GÜN İÇİNDE","PLANLI"))))))))</f>
        <v/>
      </c>
      <c r="R924" s="6" t="n"/>
      <c r="S924" s="6" t="n"/>
    </row>
    <row r="925">
      <c r="A925" s="6" t="n"/>
      <c r="B925" s="113">
        <f>IF($E925="","","A"&amp;TEXT(ROW()-6,"00000"))</f>
        <v/>
      </c>
      <c r="C925" s="108" t="n"/>
      <c r="D925" s="113">
        <f>IF($E925="","",IFERROR(INDEX(MUSTERILER!$B$7:$B$106,MATCH($E925,MUSTERILER!$C$7:$C$106,0)),IFERROR(INDEX(MUSTERILER!$B$7:$B$106,MATCH($E925,MUSTERILER!$B$7:$B$106,0)),IFERROR(INDEX(MUSTERILER!$B$7:$B$106,MATCH($E925&amp;"*",MUSTERILER!$C$7:$C$106,0)),"TANIMSIZ MÜŞTERİ"))))</f>
        <v/>
      </c>
      <c r="E925" s="109" t="n"/>
      <c r="F925" s="109" t="n"/>
      <c r="G925" s="108" t="n"/>
      <c r="H925" s="225" t="n"/>
      <c r="I925" s="225" t="n"/>
      <c r="J925" s="108" t="n"/>
      <c r="K925" s="108" t="n"/>
      <c r="L925" s="109" t="n"/>
      <c r="M925" s="109" t="n"/>
      <c r="N925" s="109" t="n"/>
      <c r="O925" s="225" t="n"/>
      <c r="P925" s="232">
        <f>IF(OR($E925="",$I925=""),"",IF(OR($J925="Tamamlandı",$J925="İptal"),"",$I925-TODAY()))</f>
        <v/>
      </c>
      <c r="Q925" s="113">
        <f>IF($E925="","",IF($D925="TANIMSIZ MÜŞTERİ","HATA",IF(OR($J925="Tamamlandı",$J925="İptal"),"KAPALI",IF(AND($C925="Görüşme",$N925=""),"SONRAKİ İŞLEM EKSİK",IF($I925="","TARİH EKSİK",IF($I925&lt;TODAY(),"GECİKMİŞ",IF($I925=TODAY(),"BUGÜN",IF($I925&lt;=TODAY()+7,"7 GÜN İÇİNDE","PLANLI"))))))))</f>
        <v/>
      </c>
      <c r="R925" s="6" t="n"/>
      <c r="S925" s="6" t="n"/>
    </row>
    <row r="926">
      <c r="A926" s="6" t="n"/>
      <c r="B926" s="113">
        <f>IF($E926="","","A"&amp;TEXT(ROW()-6,"00000"))</f>
        <v/>
      </c>
      <c r="C926" s="108" t="n"/>
      <c r="D926" s="113">
        <f>IF($E926="","",IFERROR(INDEX(MUSTERILER!$B$7:$B$106,MATCH($E926,MUSTERILER!$C$7:$C$106,0)),IFERROR(INDEX(MUSTERILER!$B$7:$B$106,MATCH($E926,MUSTERILER!$B$7:$B$106,0)),IFERROR(INDEX(MUSTERILER!$B$7:$B$106,MATCH($E926&amp;"*",MUSTERILER!$C$7:$C$106,0)),"TANIMSIZ MÜŞTERİ"))))</f>
        <v/>
      </c>
      <c r="E926" s="109" t="n"/>
      <c r="F926" s="109" t="n"/>
      <c r="G926" s="108" t="n"/>
      <c r="H926" s="225" t="n"/>
      <c r="I926" s="225" t="n"/>
      <c r="J926" s="108" t="n"/>
      <c r="K926" s="108" t="n"/>
      <c r="L926" s="109" t="n"/>
      <c r="M926" s="109" t="n"/>
      <c r="N926" s="109" t="n"/>
      <c r="O926" s="225" t="n"/>
      <c r="P926" s="232">
        <f>IF(OR($E926="",$I926=""),"",IF(OR($J926="Tamamlandı",$J926="İptal"),"",$I926-TODAY()))</f>
        <v/>
      </c>
      <c r="Q926" s="113">
        <f>IF($E926="","",IF($D926="TANIMSIZ MÜŞTERİ","HATA",IF(OR($J926="Tamamlandı",$J926="İptal"),"KAPALI",IF(AND($C926="Görüşme",$N926=""),"SONRAKİ İŞLEM EKSİK",IF($I926="","TARİH EKSİK",IF($I926&lt;TODAY(),"GECİKMİŞ",IF($I926=TODAY(),"BUGÜN",IF($I926&lt;=TODAY()+7,"7 GÜN İÇİNDE","PLANLI"))))))))</f>
        <v/>
      </c>
      <c r="R926" s="6" t="n"/>
      <c r="S926" s="6" t="n"/>
    </row>
    <row r="927">
      <c r="A927" s="6" t="n"/>
      <c r="B927" s="113">
        <f>IF($E927="","","A"&amp;TEXT(ROW()-6,"00000"))</f>
        <v/>
      </c>
      <c r="C927" s="108" t="n"/>
      <c r="D927" s="113">
        <f>IF($E927="","",IFERROR(INDEX(MUSTERILER!$B$7:$B$106,MATCH($E927,MUSTERILER!$C$7:$C$106,0)),IFERROR(INDEX(MUSTERILER!$B$7:$B$106,MATCH($E927,MUSTERILER!$B$7:$B$106,0)),IFERROR(INDEX(MUSTERILER!$B$7:$B$106,MATCH($E927&amp;"*",MUSTERILER!$C$7:$C$106,0)),"TANIMSIZ MÜŞTERİ"))))</f>
        <v/>
      </c>
      <c r="E927" s="109" t="n"/>
      <c r="F927" s="109" t="n"/>
      <c r="G927" s="108" t="n"/>
      <c r="H927" s="225" t="n"/>
      <c r="I927" s="225" t="n"/>
      <c r="J927" s="108" t="n"/>
      <c r="K927" s="108" t="n"/>
      <c r="L927" s="109" t="n"/>
      <c r="M927" s="109" t="n"/>
      <c r="N927" s="109" t="n"/>
      <c r="O927" s="225" t="n"/>
      <c r="P927" s="232">
        <f>IF(OR($E927="",$I927=""),"",IF(OR($J927="Tamamlandı",$J927="İptal"),"",$I927-TODAY()))</f>
        <v/>
      </c>
      <c r="Q927" s="113">
        <f>IF($E927="","",IF($D927="TANIMSIZ MÜŞTERİ","HATA",IF(OR($J927="Tamamlandı",$J927="İptal"),"KAPALI",IF(AND($C927="Görüşme",$N927=""),"SONRAKİ İŞLEM EKSİK",IF($I927="","TARİH EKSİK",IF($I927&lt;TODAY(),"GECİKMİŞ",IF($I927=TODAY(),"BUGÜN",IF($I927&lt;=TODAY()+7,"7 GÜN İÇİNDE","PLANLI"))))))))</f>
        <v/>
      </c>
      <c r="R927" s="6" t="n"/>
      <c r="S927" s="6" t="n"/>
    </row>
    <row r="928">
      <c r="A928" s="6" t="n"/>
      <c r="B928" s="113">
        <f>IF($E928="","","A"&amp;TEXT(ROW()-6,"00000"))</f>
        <v/>
      </c>
      <c r="C928" s="108" t="n"/>
      <c r="D928" s="113">
        <f>IF($E928="","",IFERROR(INDEX(MUSTERILER!$B$7:$B$106,MATCH($E928,MUSTERILER!$C$7:$C$106,0)),IFERROR(INDEX(MUSTERILER!$B$7:$B$106,MATCH($E928,MUSTERILER!$B$7:$B$106,0)),IFERROR(INDEX(MUSTERILER!$B$7:$B$106,MATCH($E928&amp;"*",MUSTERILER!$C$7:$C$106,0)),"TANIMSIZ MÜŞTERİ"))))</f>
        <v/>
      </c>
      <c r="E928" s="109" t="n"/>
      <c r="F928" s="109" t="n"/>
      <c r="G928" s="108" t="n"/>
      <c r="H928" s="225" t="n"/>
      <c r="I928" s="225" t="n"/>
      <c r="J928" s="108" t="n"/>
      <c r="K928" s="108" t="n"/>
      <c r="L928" s="109" t="n"/>
      <c r="M928" s="109" t="n"/>
      <c r="N928" s="109" t="n"/>
      <c r="O928" s="225" t="n"/>
      <c r="P928" s="232">
        <f>IF(OR($E928="",$I928=""),"",IF(OR($J928="Tamamlandı",$J928="İptal"),"",$I928-TODAY()))</f>
        <v/>
      </c>
      <c r="Q928" s="113">
        <f>IF($E928="","",IF($D928="TANIMSIZ MÜŞTERİ","HATA",IF(OR($J928="Tamamlandı",$J928="İptal"),"KAPALI",IF(AND($C928="Görüşme",$N928=""),"SONRAKİ İŞLEM EKSİK",IF($I928="","TARİH EKSİK",IF($I928&lt;TODAY(),"GECİKMİŞ",IF($I928=TODAY(),"BUGÜN",IF($I928&lt;=TODAY()+7,"7 GÜN İÇİNDE","PLANLI"))))))))</f>
        <v/>
      </c>
      <c r="R928" s="6" t="n"/>
      <c r="S928" s="6" t="n"/>
    </row>
    <row r="929">
      <c r="A929" s="6" t="n"/>
      <c r="B929" s="113">
        <f>IF($E929="","","A"&amp;TEXT(ROW()-6,"00000"))</f>
        <v/>
      </c>
      <c r="C929" s="108" t="n"/>
      <c r="D929" s="113">
        <f>IF($E929="","",IFERROR(INDEX(MUSTERILER!$B$7:$B$106,MATCH($E929,MUSTERILER!$C$7:$C$106,0)),IFERROR(INDEX(MUSTERILER!$B$7:$B$106,MATCH($E929,MUSTERILER!$B$7:$B$106,0)),IFERROR(INDEX(MUSTERILER!$B$7:$B$106,MATCH($E929&amp;"*",MUSTERILER!$C$7:$C$106,0)),"TANIMSIZ MÜŞTERİ"))))</f>
        <v/>
      </c>
      <c r="E929" s="109" t="n"/>
      <c r="F929" s="109" t="n"/>
      <c r="G929" s="108" t="n"/>
      <c r="H929" s="225" t="n"/>
      <c r="I929" s="225" t="n"/>
      <c r="J929" s="108" t="n"/>
      <c r="K929" s="108" t="n"/>
      <c r="L929" s="109" t="n"/>
      <c r="M929" s="109" t="n"/>
      <c r="N929" s="109" t="n"/>
      <c r="O929" s="225" t="n"/>
      <c r="P929" s="232">
        <f>IF(OR($E929="",$I929=""),"",IF(OR($J929="Tamamlandı",$J929="İptal"),"",$I929-TODAY()))</f>
        <v/>
      </c>
      <c r="Q929" s="113">
        <f>IF($E929="","",IF($D929="TANIMSIZ MÜŞTERİ","HATA",IF(OR($J929="Tamamlandı",$J929="İptal"),"KAPALI",IF(AND($C929="Görüşme",$N929=""),"SONRAKİ İŞLEM EKSİK",IF($I929="","TARİH EKSİK",IF($I929&lt;TODAY(),"GECİKMİŞ",IF($I929=TODAY(),"BUGÜN",IF($I929&lt;=TODAY()+7,"7 GÜN İÇİNDE","PLANLI"))))))))</f>
        <v/>
      </c>
      <c r="R929" s="6" t="n"/>
      <c r="S929" s="6" t="n"/>
    </row>
    <row r="930">
      <c r="A930" s="6" t="n"/>
      <c r="B930" s="113">
        <f>IF($E930="","","A"&amp;TEXT(ROW()-6,"00000"))</f>
        <v/>
      </c>
      <c r="C930" s="108" t="n"/>
      <c r="D930" s="113">
        <f>IF($E930="","",IFERROR(INDEX(MUSTERILER!$B$7:$B$106,MATCH($E930,MUSTERILER!$C$7:$C$106,0)),IFERROR(INDEX(MUSTERILER!$B$7:$B$106,MATCH($E930,MUSTERILER!$B$7:$B$106,0)),IFERROR(INDEX(MUSTERILER!$B$7:$B$106,MATCH($E930&amp;"*",MUSTERILER!$C$7:$C$106,0)),"TANIMSIZ MÜŞTERİ"))))</f>
        <v/>
      </c>
      <c r="E930" s="109" t="n"/>
      <c r="F930" s="109" t="n"/>
      <c r="G930" s="108" t="n"/>
      <c r="H930" s="225" t="n"/>
      <c r="I930" s="225" t="n"/>
      <c r="J930" s="108" t="n"/>
      <c r="K930" s="108" t="n"/>
      <c r="L930" s="109" t="n"/>
      <c r="M930" s="109" t="n"/>
      <c r="N930" s="109" t="n"/>
      <c r="O930" s="225" t="n"/>
      <c r="P930" s="232">
        <f>IF(OR($E930="",$I930=""),"",IF(OR($J930="Tamamlandı",$J930="İptal"),"",$I930-TODAY()))</f>
        <v/>
      </c>
      <c r="Q930" s="113">
        <f>IF($E930="","",IF($D930="TANIMSIZ MÜŞTERİ","HATA",IF(OR($J930="Tamamlandı",$J930="İptal"),"KAPALI",IF(AND($C930="Görüşme",$N930=""),"SONRAKİ İŞLEM EKSİK",IF($I930="","TARİH EKSİK",IF($I930&lt;TODAY(),"GECİKMİŞ",IF($I930=TODAY(),"BUGÜN",IF($I930&lt;=TODAY()+7,"7 GÜN İÇİNDE","PLANLI"))))))))</f>
        <v/>
      </c>
      <c r="R930" s="6" t="n"/>
      <c r="S930" s="6" t="n"/>
    </row>
    <row r="931">
      <c r="A931" s="6" t="n"/>
      <c r="B931" s="113">
        <f>IF($E931="","","A"&amp;TEXT(ROW()-6,"00000"))</f>
        <v/>
      </c>
      <c r="C931" s="108" t="n"/>
      <c r="D931" s="113">
        <f>IF($E931="","",IFERROR(INDEX(MUSTERILER!$B$7:$B$106,MATCH($E931,MUSTERILER!$C$7:$C$106,0)),IFERROR(INDEX(MUSTERILER!$B$7:$B$106,MATCH($E931,MUSTERILER!$B$7:$B$106,0)),IFERROR(INDEX(MUSTERILER!$B$7:$B$106,MATCH($E931&amp;"*",MUSTERILER!$C$7:$C$106,0)),"TANIMSIZ MÜŞTERİ"))))</f>
        <v/>
      </c>
      <c r="E931" s="109" t="n"/>
      <c r="F931" s="109" t="n"/>
      <c r="G931" s="108" t="n"/>
      <c r="H931" s="225" t="n"/>
      <c r="I931" s="225" t="n"/>
      <c r="J931" s="108" t="n"/>
      <c r="K931" s="108" t="n"/>
      <c r="L931" s="109" t="n"/>
      <c r="M931" s="109" t="n"/>
      <c r="N931" s="109" t="n"/>
      <c r="O931" s="225" t="n"/>
      <c r="P931" s="232">
        <f>IF(OR($E931="",$I931=""),"",IF(OR($J931="Tamamlandı",$J931="İptal"),"",$I931-TODAY()))</f>
        <v/>
      </c>
      <c r="Q931" s="113">
        <f>IF($E931="","",IF($D931="TANIMSIZ MÜŞTERİ","HATA",IF(OR($J931="Tamamlandı",$J931="İptal"),"KAPALI",IF(AND($C931="Görüşme",$N931=""),"SONRAKİ İŞLEM EKSİK",IF($I931="","TARİH EKSİK",IF($I931&lt;TODAY(),"GECİKMİŞ",IF($I931=TODAY(),"BUGÜN",IF($I931&lt;=TODAY()+7,"7 GÜN İÇİNDE","PLANLI"))))))))</f>
        <v/>
      </c>
      <c r="R931" s="6" t="n"/>
      <c r="S931" s="6" t="n"/>
    </row>
    <row r="932">
      <c r="A932" s="6" t="n"/>
      <c r="B932" s="113">
        <f>IF($E932="","","A"&amp;TEXT(ROW()-6,"00000"))</f>
        <v/>
      </c>
      <c r="C932" s="108" t="n"/>
      <c r="D932" s="113">
        <f>IF($E932="","",IFERROR(INDEX(MUSTERILER!$B$7:$B$106,MATCH($E932,MUSTERILER!$C$7:$C$106,0)),IFERROR(INDEX(MUSTERILER!$B$7:$B$106,MATCH($E932,MUSTERILER!$B$7:$B$106,0)),IFERROR(INDEX(MUSTERILER!$B$7:$B$106,MATCH($E932&amp;"*",MUSTERILER!$C$7:$C$106,0)),"TANIMSIZ MÜŞTERİ"))))</f>
        <v/>
      </c>
      <c r="E932" s="109" t="n"/>
      <c r="F932" s="109" t="n"/>
      <c r="G932" s="108" t="n"/>
      <c r="H932" s="225" t="n"/>
      <c r="I932" s="225" t="n"/>
      <c r="J932" s="108" t="n"/>
      <c r="K932" s="108" t="n"/>
      <c r="L932" s="109" t="n"/>
      <c r="M932" s="109" t="n"/>
      <c r="N932" s="109" t="n"/>
      <c r="O932" s="225" t="n"/>
      <c r="P932" s="232">
        <f>IF(OR($E932="",$I932=""),"",IF(OR($J932="Tamamlandı",$J932="İptal"),"",$I932-TODAY()))</f>
        <v/>
      </c>
      <c r="Q932" s="113">
        <f>IF($E932="","",IF($D932="TANIMSIZ MÜŞTERİ","HATA",IF(OR($J932="Tamamlandı",$J932="İptal"),"KAPALI",IF(AND($C932="Görüşme",$N932=""),"SONRAKİ İŞLEM EKSİK",IF($I932="","TARİH EKSİK",IF($I932&lt;TODAY(),"GECİKMİŞ",IF($I932=TODAY(),"BUGÜN",IF($I932&lt;=TODAY()+7,"7 GÜN İÇİNDE","PLANLI"))))))))</f>
        <v/>
      </c>
      <c r="R932" s="6" t="n"/>
      <c r="S932" s="6" t="n"/>
    </row>
    <row r="933">
      <c r="A933" s="6" t="n"/>
      <c r="B933" s="113">
        <f>IF($E933="","","A"&amp;TEXT(ROW()-6,"00000"))</f>
        <v/>
      </c>
      <c r="C933" s="108" t="n"/>
      <c r="D933" s="113">
        <f>IF($E933="","",IFERROR(INDEX(MUSTERILER!$B$7:$B$106,MATCH($E933,MUSTERILER!$C$7:$C$106,0)),IFERROR(INDEX(MUSTERILER!$B$7:$B$106,MATCH($E933,MUSTERILER!$B$7:$B$106,0)),IFERROR(INDEX(MUSTERILER!$B$7:$B$106,MATCH($E933&amp;"*",MUSTERILER!$C$7:$C$106,0)),"TANIMSIZ MÜŞTERİ"))))</f>
        <v/>
      </c>
      <c r="E933" s="109" t="n"/>
      <c r="F933" s="109" t="n"/>
      <c r="G933" s="108" t="n"/>
      <c r="H933" s="225" t="n"/>
      <c r="I933" s="225" t="n"/>
      <c r="J933" s="108" t="n"/>
      <c r="K933" s="108" t="n"/>
      <c r="L933" s="109" t="n"/>
      <c r="M933" s="109" t="n"/>
      <c r="N933" s="109" t="n"/>
      <c r="O933" s="225" t="n"/>
      <c r="P933" s="232">
        <f>IF(OR($E933="",$I933=""),"",IF(OR($J933="Tamamlandı",$J933="İptal"),"",$I933-TODAY()))</f>
        <v/>
      </c>
      <c r="Q933" s="113">
        <f>IF($E933="","",IF($D933="TANIMSIZ MÜŞTERİ","HATA",IF(OR($J933="Tamamlandı",$J933="İptal"),"KAPALI",IF(AND($C933="Görüşme",$N933=""),"SONRAKİ İŞLEM EKSİK",IF($I933="","TARİH EKSİK",IF($I933&lt;TODAY(),"GECİKMİŞ",IF($I933=TODAY(),"BUGÜN",IF($I933&lt;=TODAY()+7,"7 GÜN İÇİNDE","PLANLI"))))))))</f>
        <v/>
      </c>
      <c r="R933" s="6" t="n"/>
      <c r="S933" s="6" t="n"/>
    </row>
    <row r="934">
      <c r="A934" s="6" t="n"/>
      <c r="B934" s="113">
        <f>IF($E934="","","A"&amp;TEXT(ROW()-6,"00000"))</f>
        <v/>
      </c>
      <c r="C934" s="108" t="n"/>
      <c r="D934" s="113">
        <f>IF($E934="","",IFERROR(INDEX(MUSTERILER!$B$7:$B$106,MATCH($E934,MUSTERILER!$C$7:$C$106,0)),IFERROR(INDEX(MUSTERILER!$B$7:$B$106,MATCH($E934,MUSTERILER!$B$7:$B$106,0)),IFERROR(INDEX(MUSTERILER!$B$7:$B$106,MATCH($E934&amp;"*",MUSTERILER!$C$7:$C$106,0)),"TANIMSIZ MÜŞTERİ"))))</f>
        <v/>
      </c>
      <c r="E934" s="109" t="n"/>
      <c r="F934" s="109" t="n"/>
      <c r="G934" s="108" t="n"/>
      <c r="H934" s="225" t="n"/>
      <c r="I934" s="225" t="n"/>
      <c r="J934" s="108" t="n"/>
      <c r="K934" s="108" t="n"/>
      <c r="L934" s="109" t="n"/>
      <c r="M934" s="109" t="n"/>
      <c r="N934" s="109" t="n"/>
      <c r="O934" s="225" t="n"/>
      <c r="P934" s="232">
        <f>IF(OR($E934="",$I934=""),"",IF(OR($J934="Tamamlandı",$J934="İptal"),"",$I934-TODAY()))</f>
        <v/>
      </c>
      <c r="Q934" s="113">
        <f>IF($E934="","",IF($D934="TANIMSIZ MÜŞTERİ","HATA",IF(OR($J934="Tamamlandı",$J934="İptal"),"KAPALI",IF(AND($C934="Görüşme",$N934=""),"SONRAKİ İŞLEM EKSİK",IF($I934="","TARİH EKSİK",IF($I934&lt;TODAY(),"GECİKMİŞ",IF($I934=TODAY(),"BUGÜN",IF($I934&lt;=TODAY()+7,"7 GÜN İÇİNDE","PLANLI"))))))))</f>
        <v/>
      </c>
      <c r="R934" s="6" t="n"/>
      <c r="S934" s="6" t="n"/>
    </row>
    <row r="935">
      <c r="A935" s="6" t="n"/>
      <c r="B935" s="113">
        <f>IF($E935="","","A"&amp;TEXT(ROW()-6,"00000"))</f>
        <v/>
      </c>
      <c r="C935" s="108" t="n"/>
      <c r="D935" s="113">
        <f>IF($E935="","",IFERROR(INDEX(MUSTERILER!$B$7:$B$106,MATCH($E935,MUSTERILER!$C$7:$C$106,0)),IFERROR(INDEX(MUSTERILER!$B$7:$B$106,MATCH($E935,MUSTERILER!$B$7:$B$106,0)),IFERROR(INDEX(MUSTERILER!$B$7:$B$106,MATCH($E935&amp;"*",MUSTERILER!$C$7:$C$106,0)),"TANIMSIZ MÜŞTERİ"))))</f>
        <v/>
      </c>
      <c r="E935" s="109" t="n"/>
      <c r="F935" s="109" t="n"/>
      <c r="G935" s="108" t="n"/>
      <c r="H935" s="225" t="n"/>
      <c r="I935" s="225" t="n"/>
      <c r="J935" s="108" t="n"/>
      <c r="K935" s="108" t="n"/>
      <c r="L935" s="109" t="n"/>
      <c r="M935" s="109" t="n"/>
      <c r="N935" s="109" t="n"/>
      <c r="O935" s="225" t="n"/>
      <c r="P935" s="232">
        <f>IF(OR($E935="",$I935=""),"",IF(OR($J935="Tamamlandı",$J935="İptal"),"",$I935-TODAY()))</f>
        <v/>
      </c>
      <c r="Q935" s="113">
        <f>IF($E935="","",IF($D935="TANIMSIZ MÜŞTERİ","HATA",IF(OR($J935="Tamamlandı",$J935="İptal"),"KAPALI",IF(AND($C935="Görüşme",$N935=""),"SONRAKİ İŞLEM EKSİK",IF($I935="","TARİH EKSİK",IF($I935&lt;TODAY(),"GECİKMİŞ",IF($I935=TODAY(),"BUGÜN",IF($I935&lt;=TODAY()+7,"7 GÜN İÇİNDE","PLANLI"))))))))</f>
        <v/>
      </c>
      <c r="R935" s="6" t="n"/>
      <c r="S935" s="6" t="n"/>
    </row>
    <row r="936">
      <c r="A936" s="6" t="n"/>
      <c r="B936" s="113">
        <f>IF($E936="","","A"&amp;TEXT(ROW()-6,"00000"))</f>
        <v/>
      </c>
      <c r="C936" s="108" t="n"/>
      <c r="D936" s="113">
        <f>IF($E936="","",IFERROR(INDEX(MUSTERILER!$B$7:$B$106,MATCH($E936,MUSTERILER!$C$7:$C$106,0)),IFERROR(INDEX(MUSTERILER!$B$7:$B$106,MATCH($E936,MUSTERILER!$B$7:$B$106,0)),IFERROR(INDEX(MUSTERILER!$B$7:$B$106,MATCH($E936&amp;"*",MUSTERILER!$C$7:$C$106,0)),"TANIMSIZ MÜŞTERİ"))))</f>
        <v/>
      </c>
      <c r="E936" s="109" t="n"/>
      <c r="F936" s="109" t="n"/>
      <c r="G936" s="108" t="n"/>
      <c r="H936" s="225" t="n"/>
      <c r="I936" s="225" t="n"/>
      <c r="J936" s="108" t="n"/>
      <c r="K936" s="108" t="n"/>
      <c r="L936" s="109" t="n"/>
      <c r="M936" s="109" t="n"/>
      <c r="N936" s="109" t="n"/>
      <c r="O936" s="225" t="n"/>
      <c r="P936" s="232">
        <f>IF(OR($E936="",$I936=""),"",IF(OR($J936="Tamamlandı",$J936="İptal"),"",$I936-TODAY()))</f>
        <v/>
      </c>
      <c r="Q936" s="113">
        <f>IF($E936="","",IF($D936="TANIMSIZ MÜŞTERİ","HATA",IF(OR($J936="Tamamlandı",$J936="İptal"),"KAPALI",IF(AND($C936="Görüşme",$N936=""),"SONRAKİ İŞLEM EKSİK",IF($I936="","TARİH EKSİK",IF($I936&lt;TODAY(),"GECİKMİŞ",IF($I936=TODAY(),"BUGÜN",IF($I936&lt;=TODAY()+7,"7 GÜN İÇİNDE","PLANLI"))))))))</f>
        <v/>
      </c>
      <c r="R936" s="6" t="n"/>
      <c r="S936" s="6" t="n"/>
    </row>
    <row r="937">
      <c r="A937" s="6" t="n"/>
      <c r="B937" s="113">
        <f>IF($E937="","","A"&amp;TEXT(ROW()-6,"00000"))</f>
        <v/>
      </c>
      <c r="C937" s="108" t="n"/>
      <c r="D937" s="113">
        <f>IF($E937="","",IFERROR(INDEX(MUSTERILER!$B$7:$B$106,MATCH($E937,MUSTERILER!$C$7:$C$106,0)),IFERROR(INDEX(MUSTERILER!$B$7:$B$106,MATCH($E937,MUSTERILER!$B$7:$B$106,0)),IFERROR(INDEX(MUSTERILER!$B$7:$B$106,MATCH($E937&amp;"*",MUSTERILER!$C$7:$C$106,0)),"TANIMSIZ MÜŞTERİ"))))</f>
        <v/>
      </c>
      <c r="E937" s="109" t="n"/>
      <c r="F937" s="109" t="n"/>
      <c r="G937" s="108" t="n"/>
      <c r="H937" s="225" t="n"/>
      <c r="I937" s="225" t="n"/>
      <c r="J937" s="108" t="n"/>
      <c r="K937" s="108" t="n"/>
      <c r="L937" s="109" t="n"/>
      <c r="M937" s="109" t="n"/>
      <c r="N937" s="109" t="n"/>
      <c r="O937" s="225" t="n"/>
      <c r="P937" s="232">
        <f>IF(OR($E937="",$I937=""),"",IF(OR($J937="Tamamlandı",$J937="İptal"),"",$I937-TODAY()))</f>
        <v/>
      </c>
      <c r="Q937" s="113">
        <f>IF($E937="","",IF($D937="TANIMSIZ MÜŞTERİ","HATA",IF(OR($J937="Tamamlandı",$J937="İptal"),"KAPALI",IF(AND($C937="Görüşme",$N937=""),"SONRAKİ İŞLEM EKSİK",IF($I937="","TARİH EKSİK",IF($I937&lt;TODAY(),"GECİKMİŞ",IF($I937=TODAY(),"BUGÜN",IF($I937&lt;=TODAY()+7,"7 GÜN İÇİNDE","PLANLI"))))))))</f>
        <v/>
      </c>
      <c r="R937" s="6" t="n"/>
      <c r="S937" s="6" t="n"/>
    </row>
    <row r="938">
      <c r="A938" s="6" t="n"/>
      <c r="B938" s="113">
        <f>IF($E938="","","A"&amp;TEXT(ROW()-6,"00000"))</f>
        <v/>
      </c>
      <c r="C938" s="108" t="n"/>
      <c r="D938" s="113">
        <f>IF($E938="","",IFERROR(INDEX(MUSTERILER!$B$7:$B$106,MATCH($E938,MUSTERILER!$C$7:$C$106,0)),IFERROR(INDEX(MUSTERILER!$B$7:$B$106,MATCH($E938,MUSTERILER!$B$7:$B$106,0)),IFERROR(INDEX(MUSTERILER!$B$7:$B$106,MATCH($E938&amp;"*",MUSTERILER!$C$7:$C$106,0)),"TANIMSIZ MÜŞTERİ"))))</f>
        <v/>
      </c>
      <c r="E938" s="109" t="n"/>
      <c r="F938" s="109" t="n"/>
      <c r="G938" s="108" t="n"/>
      <c r="H938" s="225" t="n"/>
      <c r="I938" s="225" t="n"/>
      <c r="J938" s="108" t="n"/>
      <c r="K938" s="108" t="n"/>
      <c r="L938" s="109" t="n"/>
      <c r="M938" s="109" t="n"/>
      <c r="N938" s="109" t="n"/>
      <c r="O938" s="225" t="n"/>
      <c r="P938" s="232">
        <f>IF(OR($E938="",$I938=""),"",IF(OR($J938="Tamamlandı",$J938="İptal"),"",$I938-TODAY()))</f>
        <v/>
      </c>
      <c r="Q938" s="113">
        <f>IF($E938="","",IF($D938="TANIMSIZ MÜŞTERİ","HATA",IF(OR($J938="Tamamlandı",$J938="İptal"),"KAPALI",IF(AND($C938="Görüşme",$N938=""),"SONRAKİ İŞLEM EKSİK",IF($I938="","TARİH EKSİK",IF($I938&lt;TODAY(),"GECİKMİŞ",IF($I938=TODAY(),"BUGÜN",IF($I938&lt;=TODAY()+7,"7 GÜN İÇİNDE","PLANLI"))))))))</f>
        <v/>
      </c>
      <c r="R938" s="6" t="n"/>
      <c r="S938" s="6" t="n"/>
    </row>
    <row r="939">
      <c r="A939" s="6" t="n"/>
      <c r="B939" s="113">
        <f>IF($E939="","","A"&amp;TEXT(ROW()-6,"00000"))</f>
        <v/>
      </c>
      <c r="C939" s="108" t="n"/>
      <c r="D939" s="113">
        <f>IF($E939="","",IFERROR(INDEX(MUSTERILER!$B$7:$B$106,MATCH($E939,MUSTERILER!$C$7:$C$106,0)),IFERROR(INDEX(MUSTERILER!$B$7:$B$106,MATCH($E939,MUSTERILER!$B$7:$B$106,0)),IFERROR(INDEX(MUSTERILER!$B$7:$B$106,MATCH($E939&amp;"*",MUSTERILER!$C$7:$C$106,0)),"TANIMSIZ MÜŞTERİ"))))</f>
        <v/>
      </c>
      <c r="E939" s="109" t="n"/>
      <c r="F939" s="109" t="n"/>
      <c r="G939" s="108" t="n"/>
      <c r="H939" s="225" t="n"/>
      <c r="I939" s="225" t="n"/>
      <c r="J939" s="108" t="n"/>
      <c r="K939" s="108" t="n"/>
      <c r="L939" s="109" t="n"/>
      <c r="M939" s="109" t="n"/>
      <c r="N939" s="109" t="n"/>
      <c r="O939" s="225" t="n"/>
      <c r="P939" s="232">
        <f>IF(OR($E939="",$I939=""),"",IF(OR($J939="Tamamlandı",$J939="İptal"),"",$I939-TODAY()))</f>
        <v/>
      </c>
      <c r="Q939" s="113">
        <f>IF($E939="","",IF($D939="TANIMSIZ MÜŞTERİ","HATA",IF(OR($J939="Tamamlandı",$J939="İptal"),"KAPALI",IF(AND($C939="Görüşme",$N939=""),"SONRAKİ İŞLEM EKSİK",IF($I939="","TARİH EKSİK",IF($I939&lt;TODAY(),"GECİKMİŞ",IF($I939=TODAY(),"BUGÜN",IF($I939&lt;=TODAY()+7,"7 GÜN İÇİNDE","PLANLI"))))))))</f>
        <v/>
      </c>
      <c r="R939" s="6" t="n"/>
      <c r="S939" s="6" t="n"/>
    </row>
    <row r="940">
      <c r="A940" s="6" t="n"/>
      <c r="B940" s="113">
        <f>IF($E940="","","A"&amp;TEXT(ROW()-6,"00000"))</f>
        <v/>
      </c>
      <c r="C940" s="108" t="n"/>
      <c r="D940" s="113">
        <f>IF($E940="","",IFERROR(INDEX(MUSTERILER!$B$7:$B$106,MATCH($E940,MUSTERILER!$C$7:$C$106,0)),IFERROR(INDEX(MUSTERILER!$B$7:$B$106,MATCH($E940,MUSTERILER!$B$7:$B$106,0)),IFERROR(INDEX(MUSTERILER!$B$7:$B$106,MATCH($E940&amp;"*",MUSTERILER!$C$7:$C$106,0)),"TANIMSIZ MÜŞTERİ"))))</f>
        <v/>
      </c>
      <c r="E940" s="109" t="n"/>
      <c r="F940" s="109" t="n"/>
      <c r="G940" s="108" t="n"/>
      <c r="H940" s="225" t="n"/>
      <c r="I940" s="225" t="n"/>
      <c r="J940" s="108" t="n"/>
      <c r="K940" s="108" t="n"/>
      <c r="L940" s="109" t="n"/>
      <c r="M940" s="109" t="n"/>
      <c r="N940" s="109" t="n"/>
      <c r="O940" s="225" t="n"/>
      <c r="P940" s="232">
        <f>IF(OR($E940="",$I940=""),"",IF(OR($J940="Tamamlandı",$J940="İptal"),"",$I940-TODAY()))</f>
        <v/>
      </c>
      <c r="Q940" s="113">
        <f>IF($E940="","",IF($D940="TANIMSIZ MÜŞTERİ","HATA",IF(OR($J940="Tamamlandı",$J940="İptal"),"KAPALI",IF(AND($C940="Görüşme",$N940=""),"SONRAKİ İŞLEM EKSİK",IF($I940="","TARİH EKSİK",IF($I940&lt;TODAY(),"GECİKMİŞ",IF($I940=TODAY(),"BUGÜN",IF($I940&lt;=TODAY()+7,"7 GÜN İÇİNDE","PLANLI"))))))))</f>
        <v/>
      </c>
      <c r="R940" s="6" t="n"/>
      <c r="S940" s="6" t="n"/>
    </row>
    <row r="941">
      <c r="A941" s="6" t="n"/>
      <c r="B941" s="113">
        <f>IF($E941="","","A"&amp;TEXT(ROW()-6,"00000"))</f>
        <v/>
      </c>
      <c r="C941" s="108" t="n"/>
      <c r="D941" s="113">
        <f>IF($E941="","",IFERROR(INDEX(MUSTERILER!$B$7:$B$106,MATCH($E941,MUSTERILER!$C$7:$C$106,0)),IFERROR(INDEX(MUSTERILER!$B$7:$B$106,MATCH($E941,MUSTERILER!$B$7:$B$106,0)),IFERROR(INDEX(MUSTERILER!$B$7:$B$106,MATCH($E941&amp;"*",MUSTERILER!$C$7:$C$106,0)),"TANIMSIZ MÜŞTERİ"))))</f>
        <v/>
      </c>
      <c r="E941" s="109" t="n"/>
      <c r="F941" s="109" t="n"/>
      <c r="G941" s="108" t="n"/>
      <c r="H941" s="225" t="n"/>
      <c r="I941" s="225" t="n"/>
      <c r="J941" s="108" t="n"/>
      <c r="K941" s="108" t="n"/>
      <c r="L941" s="109" t="n"/>
      <c r="M941" s="109" t="n"/>
      <c r="N941" s="109" t="n"/>
      <c r="O941" s="225" t="n"/>
      <c r="P941" s="232">
        <f>IF(OR($E941="",$I941=""),"",IF(OR($J941="Tamamlandı",$J941="İptal"),"",$I941-TODAY()))</f>
        <v/>
      </c>
      <c r="Q941" s="113">
        <f>IF($E941="","",IF($D941="TANIMSIZ MÜŞTERİ","HATA",IF(OR($J941="Tamamlandı",$J941="İptal"),"KAPALI",IF(AND($C941="Görüşme",$N941=""),"SONRAKİ İŞLEM EKSİK",IF($I941="","TARİH EKSİK",IF($I941&lt;TODAY(),"GECİKMİŞ",IF($I941=TODAY(),"BUGÜN",IF($I941&lt;=TODAY()+7,"7 GÜN İÇİNDE","PLANLI"))))))))</f>
        <v/>
      </c>
      <c r="R941" s="6" t="n"/>
      <c r="S941" s="6" t="n"/>
    </row>
    <row r="942">
      <c r="A942" s="6" t="n"/>
      <c r="B942" s="113">
        <f>IF($E942="","","A"&amp;TEXT(ROW()-6,"00000"))</f>
        <v/>
      </c>
      <c r="C942" s="108" t="n"/>
      <c r="D942" s="113">
        <f>IF($E942="","",IFERROR(INDEX(MUSTERILER!$B$7:$B$106,MATCH($E942,MUSTERILER!$C$7:$C$106,0)),IFERROR(INDEX(MUSTERILER!$B$7:$B$106,MATCH($E942,MUSTERILER!$B$7:$B$106,0)),IFERROR(INDEX(MUSTERILER!$B$7:$B$106,MATCH($E942&amp;"*",MUSTERILER!$C$7:$C$106,0)),"TANIMSIZ MÜŞTERİ"))))</f>
        <v/>
      </c>
      <c r="E942" s="109" t="n"/>
      <c r="F942" s="109" t="n"/>
      <c r="G942" s="108" t="n"/>
      <c r="H942" s="225" t="n"/>
      <c r="I942" s="225" t="n"/>
      <c r="J942" s="108" t="n"/>
      <c r="K942" s="108" t="n"/>
      <c r="L942" s="109" t="n"/>
      <c r="M942" s="109" t="n"/>
      <c r="N942" s="109" t="n"/>
      <c r="O942" s="225" t="n"/>
      <c r="P942" s="232">
        <f>IF(OR($E942="",$I942=""),"",IF(OR($J942="Tamamlandı",$J942="İptal"),"",$I942-TODAY()))</f>
        <v/>
      </c>
      <c r="Q942" s="113">
        <f>IF($E942="","",IF($D942="TANIMSIZ MÜŞTERİ","HATA",IF(OR($J942="Tamamlandı",$J942="İptal"),"KAPALI",IF(AND($C942="Görüşme",$N942=""),"SONRAKİ İŞLEM EKSİK",IF($I942="","TARİH EKSİK",IF($I942&lt;TODAY(),"GECİKMİŞ",IF($I942=TODAY(),"BUGÜN",IF($I942&lt;=TODAY()+7,"7 GÜN İÇİNDE","PLANLI"))))))))</f>
        <v/>
      </c>
      <c r="R942" s="6" t="n"/>
      <c r="S942" s="6" t="n"/>
    </row>
    <row r="943">
      <c r="A943" s="6" t="n"/>
      <c r="B943" s="113">
        <f>IF($E943="","","A"&amp;TEXT(ROW()-6,"00000"))</f>
        <v/>
      </c>
      <c r="C943" s="108" t="n"/>
      <c r="D943" s="113">
        <f>IF($E943="","",IFERROR(INDEX(MUSTERILER!$B$7:$B$106,MATCH($E943,MUSTERILER!$C$7:$C$106,0)),IFERROR(INDEX(MUSTERILER!$B$7:$B$106,MATCH($E943,MUSTERILER!$B$7:$B$106,0)),IFERROR(INDEX(MUSTERILER!$B$7:$B$106,MATCH($E943&amp;"*",MUSTERILER!$C$7:$C$106,0)),"TANIMSIZ MÜŞTERİ"))))</f>
        <v/>
      </c>
      <c r="E943" s="109" t="n"/>
      <c r="F943" s="109" t="n"/>
      <c r="G943" s="108" t="n"/>
      <c r="H943" s="225" t="n"/>
      <c r="I943" s="225" t="n"/>
      <c r="J943" s="108" t="n"/>
      <c r="K943" s="108" t="n"/>
      <c r="L943" s="109" t="n"/>
      <c r="M943" s="109" t="n"/>
      <c r="N943" s="109" t="n"/>
      <c r="O943" s="225" t="n"/>
      <c r="P943" s="232">
        <f>IF(OR($E943="",$I943=""),"",IF(OR($J943="Tamamlandı",$J943="İptal"),"",$I943-TODAY()))</f>
        <v/>
      </c>
      <c r="Q943" s="113">
        <f>IF($E943="","",IF($D943="TANIMSIZ MÜŞTERİ","HATA",IF(OR($J943="Tamamlandı",$J943="İptal"),"KAPALI",IF(AND($C943="Görüşme",$N943=""),"SONRAKİ İŞLEM EKSİK",IF($I943="","TARİH EKSİK",IF($I943&lt;TODAY(),"GECİKMİŞ",IF($I943=TODAY(),"BUGÜN",IF($I943&lt;=TODAY()+7,"7 GÜN İÇİNDE","PLANLI"))))))))</f>
        <v/>
      </c>
      <c r="R943" s="6" t="n"/>
      <c r="S943" s="6" t="n"/>
    </row>
    <row r="944">
      <c r="A944" s="6" t="n"/>
      <c r="B944" s="113">
        <f>IF($E944="","","A"&amp;TEXT(ROW()-6,"00000"))</f>
        <v/>
      </c>
      <c r="C944" s="108" t="n"/>
      <c r="D944" s="113">
        <f>IF($E944="","",IFERROR(INDEX(MUSTERILER!$B$7:$B$106,MATCH($E944,MUSTERILER!$C$7:$C$106,0)),IFERROR(INDEX(MUSTERILER!$B$7:$B$106,MATCH($E944,MUSTERILER!$B$7:$B$106,0)),IFERROR(INDEX(MUSTERILER!$B$7:$B$106,MATCH($E944&amp;"*",MUSTERILER!$C$7:$C$106,0)),"TANIMSIZ MÜŞTERİ"))))</f>
        <v/>
      </c>
      <c r="E944" s="109" t="n"/>
      <c r="F944" s="109" t="n"/>
      <c r="G944" s="108" t="n"/>
      <c r="H944" s="225" t="n"/>
      <c r="I944" s="225" t="n"/>
      <c r="J944" s="108" t="n"/>
      <c r="K944" s="108" t="n"/>
      <c r="L944" s="109" t="n"/>
      <c r="M944" s="109" t="n"/>
      <c r="N944" s="109" t="n"/>
      <c r="O944" s="225" t="n"/>
      <c r="P944" s="232">
        <f>IF(OR($E944="",$I944=""),"",IF(OR($J944="Tamamlandı",$J944="İptal"),"",$I944-TODAY()))</f>
        <v/>
      </c>
      <c r="Q944" s="113">
        <f>IF($E944="","",IF($D944="TANIMSIZ MÜŞTERİ","HATA",IF(OR($J944="Tamamlandı",$J944="İptal"),"KAPALI",IF(AND($C944="Görüşme",$N944=""),"SONRAKİ İŞLEM EKSİK",IF($I944="","TARİH EKSİK",IF($I944&lt;TODAY(),"GECİKMİŞ",IF($I944=TODAY(),"BUGÜN",IF($I944&lt;=TODAY()+7,"7 GÜN İÇİNDE","PLANLI"))))))))</f>
        <v/>
      </c>
      <c r="R944" s="6" t="n"/>
      <c r="S944" s="6" t="n"/>
    </row>
    <row r="945">
      <c r="A945" s="6" t="n"/>
      <c r="B945" s="113">
        <f>IF($E945="","","A"&amp;TEXT(ROW()-6,"00000"))</f>
        <v/>
      </c>
      <c r="C945" s="108" t="n"/>
      <c r="D945" s="113">
        <f>IF($E945="","",IFERROR(INDEX(MUSTERILER!$B$7:$B$106,MATCH($E945,MUSTERILER!$C$7:$C$106,0)),IFERROR(INDEX(MUSTERILER!$B$7:$B$106,MATCH($E945,MUSTERILER!$B$7:$B$106,0)),IFERROR(INDEX(MUSTERILER!$B$7:$B$106,MATCH($E945&amp;"*",MUSTERILER!$C$7:$C$106,0)),"TANIMSIZ MÜŞTERİ"))))</f>
        <v/>
      </c>
      <c r="E945" s="109" t="n"/>
      <c r="F945" s="109" t="n"/>
      <c r="G945" s="108" t="n"/>
      <c r="H945" s="225" t="n"/>
      <c r="I945" s="225" t="n"/>
      <c r="J945" s="108" t="n"/>
      <c r="K945" s="108" t="n"/>
      <c r="L945" s="109" t="n"/>
      <c r="M945" s="109" t="n"/>
      <c r="N945" s="109" t="n"/>
      <c r="O945" s="225" t="n"/>
      <c r="P945" s="232">
        <f>IF(OR($E945="",$I945=""),"",IF(OR($J945="Tamamlandı",$J945="İptal"),"",$I945-TODAY()))</f>
        <v/>
      </c>
      <c r="Q945" s="113">
        <f>IF($E945="","",IF($D945="TANIMSIZ MÜŞTERİ","HATA",IF(OR($J945="Tamamlandı",$J945="İptal"),"KAPALI",IF(AND($C945="Görüşme",$N945=""),"SONRAKİ İŞLEM EKSİK",IF($I945="","TARİH EKSİK",IF($I945&lt;TODAY(),"GECİKMİŞ",IF($I945=TODAY(),"BUGÜN",IF($I945&lt;=TODAY()+7,"7 GÜN İÇİNDE","PLANLI"))))))))</f>
        <v/>
      </c>
      <c r="R945" s="6" t="n"/>
      <c r="S945" s="6" t="n"/>
    </row>
    <row r="946">
      <c r="A946" s="6" t="n"/>
      <c r="B946" s="113">
        <f>IF($E946="","","A"&amp;TEXT(ROW()-6,"00000"))</f>
        <v/>
      </c>
      <c r="C946" s="108" t="n"/>
      <c r="D946" s="113">
        <f>IF($E946="","",IFERROR(INDEX(MUSTERILER!$B$7:$B$106,MATCH($E946,MUSTERILER!$C$7:$C$106,0)),IFERROR(INDEX(MUSTERILER!$B$7:$B$106,MATCH($E946,MUSTERILER!$B$7:$B$106,0)),IFERROR(INDEX(MUSTERILER!$B$7:$B$106,MATCH($E946&amp;"*",MUSTERILER!$C$7:$C$106,0)),"TANIMSIZ MÜŞTERİ"))))</f>
        <v/>
      </c>
      <c r="E946" s="109" t="n"/>
      <c r="F946" s="109" t="n"/>
      <c r="G946" s="108" t="n"/>
      <c r="H946" s="225" t="n"/>
      <c r="I946" s="225" t="n"/>
      <c r="J946" s="108" t="n"/>
      <c r="K946" s="108" t="n"/>
      <c r="L946" s="109" t="n"/>
      <c r="M946" s="109" t="n"/>
      <c r="N946" s="109" t="n"/>
      <c r="O946" s="225" t="n"/>
      <c r="P946" s="232">
        <f>IF(OR($E946="",$I946=""),"",IF(OR($J946="Tamamlandı",$J946="İptal"),"",$I946-TODAY()))</f>
        <v/>
      </c>
      <c r="Q946" s="113">
        <f>IF($E946="","",IF($D946="TANIMSIZ MÜŞTERİ","HATA",IF(OR($J946="Tamamlandı",$J946="İptal"),"KAPALI",IF(AND($C946="Görüşme",$N946=""),"SONRAKİ İŞLEM EKSİK",IF($I946="","TARİH EKSİK",IF($I946&lt;TODAY(),"GECİKMİŞ",IF($I946=TODAY(),"BUGÜN",IF($I946&lt;=TODAY()+7,"7 GÜN İÇİNDE","PLANLI"))))))))</f>
        <v/>
      </c>
      <c r="R946" s="6" t="n"/>
      <c r="S946" s="6" t="n"/>
    </row>
    <row r="947">
      <c r="A947" s="6" t="n"/>
      <c r="B947" s="113">
        <f>IF($E947="","","A"&amp;TEXT(ROW()-6,"00000"))</f>
        <v/>
      </c>
      <c r="C947" s="108" t="n"/>
      <c r="D947" s="113">
        <f>IF($E947="","",IFERROR(INDEX(MUSTERILER!$B$7:$B$106,MATCH($E947,MUSTERILER!$C$7:$C$106,0)),IFERROR(INDEX(MUSTERILER!$B$7:$B$106,MATCH($E947,MUSTERILER!$B$7:$B$106,0)),IFERROR(INDEX(MUSTERILER!$B$7:$B$106,MATCH($E947&amp;"*",MUSTERILER!$C$7:$C$106,0)),"TANIMSIZ MÜŞTERİ"))))</f>
        <v/>
      </c>
      <c r="E947" s="109" t="n"/>
      <c r="F947" s="109" t="n"/>
      <c r="G947" s="108" t="n"/>
      <c r="H947" s="225" t="n"/>
      <c r="I947" s="225" t="n"/>
      <c r="J947" s="108" t="n"/>
      <c r="K947" s="108" t="n"/>
      <c r="L947" s="109" t="n"/>
      <c r="M947" s="109" t="n"/>
      <c r="N947" s="109" t="n"/>
      <c r="O947" s="225" t="n"/>
      <c r="P947" s="232">
        <f>IF(OR($E947="",$I947=""),"",IF(OR($J947="Tamamlandı",$J947="İptal"),"",$I947-TODAY()))</f>
        <v/>
      </c>
      <c r="Q947" s="113">
        <f>IF($E947="","",IF($D947="TANIMSIZ MÜŞTERİ","HATA",IF(OR($J947="Tamamlandı",$J947="İptal"),"KAPALI",IF(AND($C947="Görüşme",$N947=""),"SONRAKİ İŞLEM EKSİK",IF($I947="","TARİH EKSİK",IF($I947&lt;TODAY(),"GECİKMİŞ",IF($I947=TODAY(),"BUGÜN",IF($I947&lt;=TODAY()+7,"7 GÜN İÇİNDE","PLANLI"))))))))</f>
        <v/>
      </c>
      <c r="R947" s="6" t="n"/>
      <c r="S947" s="6" t="n"/>
    </row>
    <row r="948">
      <c r="A948" s="6" t="n"/>
      <c r="B948" s="113">
        <f>IF($E948="","","A"&amp;TEXT(ROW()-6,"00000"))</f>
        <v/>
      </c>
      <c r="C948" s="108" t="n"/>
      <c r="D948" s="113">
        <f>IF($E948="","",IFERROR(INDEX(MUSTERILER!$B$7:$B$106,MATCH($E948,MUSTERILER!$C$7:$C$106,0)),IFERROR(INDEX(MUSTERILER!$B$7:$B$106,MATCH($E948,MUSTERILER!$B$7:$B$106,0)),IFERROR(INDEX(MUSTERILER!$B$7:$B$106,MATCH($E948&amp;"*",MUSTERILER!$C$7:$C$106,0)),"TANIMSIZ MÜŞTERİ"))))</f>
        <v/>
      </c>
      <c r="E948" s="109" t="n"/>
      <c r="F948" s="109" t="n"/>
      <c r="G948" s="108" t="n"/>
      <c r="H948" s="225" t="n"/>
      <c r="I948" s="225" t="n"/>
      <c r="J948" s="108" t="n"/>
      <c r="K948" s="108" t="n"/>
      <c r="L948" s="109" t="n"/>
      <c r="M948" s="109" t="n"/>
      <c r="N948" s="109" t="n"/>
      <c r="O948" s="225" t="n"/>
      <c r="P948" s="232">
        <f>IF(OR($E948="",$I948=""),"",IF(OR($J948="Tamamlandı",$J948="İptal"),"",$I948-TODAY()))</f>
        <v/>
      </c>
      <c r="Q948" s="113">
        <f>IF($E948="","",IF($D948="TANIMSIZ MÜŞTERİ","HATA",IF(OR($J948="Tamamlandı",$J948="İptal"),"KAPALI",IF(AND($C948="Görüşme",$N948=""),"SONRAKİ İŞLEM EKSİK",IF($I948="","TARİH EKSİK",IF($I948&lt;TODAY(),"GECİKMİŞ",IF($I948=TODAY(),"BUGÜN",IF($I948&lt;=TODAY()+7,"7 GÜN İÇİNDE","PLANLI"))))))))</f>
        <v/>
      </c>
      <c r="R948" s="6" t="n"/>
      <c r="S948" s="6" t="n"/>
    </row>
    <row r="949">
      <c r="A949" s="6" t="n"/>
      <c r="B949" s="113">
        <f>IF($E949="","","A"&amp;TEXT(ROW()-6,"00000"))</f>
        <v/>
      </c>
      <c r="C949" s="108" t="n"/>
      <c r="D949" s="113">
        <f>IF($E949="","",IFERROR(INDEX(MUSTERILER!$B$7:$B$106,MATCH($E949,MUSTERILER!$C$7:$C$106,0)),IFERROR(INDEX(MUSTERILER!$B$7:$B$106,MATCH($E949,MUSTERILER!$B$7:$B$106,0)),IFERROR(INDEX(MUSTERILER!$B$7:$B$106,MATCH($E949&amp;"*",MUSTERILER!$C$7:$C$106,0)),"TANIMSIZ MÜŞTERİ"))))</f>
        <v/>
      </c>
      <c r="E949" s="109" t="n"/>
      <c r="F949" s="109" t="n"/>
      <c r="G949" s="108" t="n"/>
      <c r="H949" s="225" t="n"/>
      <c r="I949" s="225" t="n"/>
      <c r="J949" s="108" t="n"/>
      <c r="K949" s="108" t="n"/>
      <c r="L949" s="109" t="n"/>
      <c r="M949" s="109" t="n"/>
      <c r="N949" s="109" t="n"/>
      <c r="O949" s="225" t="n"/>
      <c r="P949" s="232">
        <f>IF(OR($E949="",$I949=""),"",IF(OR($J949="Tamamlandı",$J949="İptal"),"",$I949-TODAY()))</f>
        <v/>
      </c>
      <c r="Q949" s="113">
        <f>IF($E949="","",IF($D949="TANIMSIZ MÜŞTERİ","HATA",IF(OR($J949="Tamamlandı",$J949="İptal"),"KAPALI",IF(AND($C949="Görüşme",$N949=""),"SONRAKİ İŞLEM EKSİK",IF($I949="","TARİH EKSİK",IF($I949&lt;TODAY(),"GECİKMİŞ",IF($I949=TODAY(),"BUGÜN",IF($I949&lt;=TODAY()+7,"7 GÜN İÇİNDE","PLANLI"))))))))</f>
        <v/>
      </c>
      <c r="R949" s="6" t="n"/>
      <c r="S949" s="6" t="n"/>
    </row>
    <row r="950">
      <c r="A950" s="6" t="n"/>
      <c r="B950" s="113">
        <f>IF($E950="","","A"&amp;TEXT(ROW()-6,"00000"))</f>
        <v/>
      </c>
      <c r="C950" s="108" t="n"/>
      <c r="D950" s="113">
        <f>IF($E950="","",IFERROR(INDEX(MUSTERILER!$B$7:$B$106,MATCH($E950,MUSTERILER!$C$7:$C$106,0)),IFERROR(INDEX(MUSTERILER!$B$7:$B$106,MATCH($E950,MUSTERILER!$B$7:$B$106,0)),IFERROR(INDEX(MUSTERILER!$B$7:$B$106,MATCH($E950&amp;"*",MUSTERILER!$C$7:$C$106,0)),"TANIMSIZ MÜŞTERİ"))))</f>
        <v/>
      </c>
      <c r="E950" s="109" t="n"/>
      <c r="F950" s="109" t="n"/>
      <c r="G950" s="108" t="n"/>
      <c r="H950" s="225" t="n"/>
      <c r="I950" s="225" t="n"/>
      <c r="J950" s="108" t="n"/>
      <c r="K950" s="108" t="n"/>
      <c r="L950" s="109" t="n"/>
      <c r="M950" s="109" t="n"/>
      <c r="N950" s="109" t="n"/>
      <c r="O950" s="225" t="n"/>
      <c r="P950" s="232">
        <f>IF(OR($E950="",$I950=""),"",IF(OR($J950="Tamamlandı",$J950="İptal"),"",$I950-TODAY()))</f>
        <v/>
      </c>
      <c r="Q950" s="113">
        <f>IF($E950="","",IF($D950="TANIMSIZ MÜŞTERİ","HATA",IF(OR($J950="Tamamlandı",$J950="İptal"),"KAPALI",IF(AND($C950="Görüşme",$N950=""),"SONRAKİ İŞLEM EKSİK",IF($I950="","TARİH EKSİK",IF($I950&lt;TODAY(),"GECİKMİŞ",IF($I950=TODAY(),"BUGÜN",IF($I950&lt;=TODAY()+7,"7 GÜN İÇİNDE","PLANLI"))))))))</f>
        <v/>
      </c>
      <c r="R950" s="6" t="n"/>
      <c r="S950" s="6" t="n"/>
    </row>
    <row r="951">
      <c r="A951" s="6" t="n"/>
      <c r="B951" s="113">
        <f>IF($E951="","","A"&amp;TEXT(ROW()-6,"00000"))</f>
        <v/>
      </c>
      <c r="C951" s="108" t="n"/>
      <c r="D951" s="113">
        <f>IF($E951="","",IFERROR(INDEX(MUSTERILER!$B$7:$B$106,MATCH($E951,MUSTERILER!$C$7:$C$106,0)),IFERROR(INDEX(MUSTERILER!$B$7:$B$106,MATCH($E951,MUSTERILER!$B$7:$B$106,0)),IFERROR(INDEX(MUSTERILER!$B$7:$B$106,MATCH($E951&amp;"*",MUSTERILER!$C$7:$C$106,0)),"TANIMSIZ MÜŞTERİ"))))</f>
        <v/>
      </c>
      <c r="E951" s="109" t="n"/>
      <c r="F951" s="109" t="n"/>
      <c r="G951" s="108" t="n"/>
      <c r="H951" s="225" t="n"/>
      <c r="I951" s="225" t="n"/>
      <c r="J951" s="108" t="n"/>
      <c r="K951" s="108" t="n"/>
      <c r="L951" s="109" t="n"/>
      <c r="M951" s="109" t="n"/>
      <c r="N951" s="109" t="n"/>
      <c r="O951" s="225" t="n"/>
      <c r="P951" s="232">
        <f>IF(OR($E951="",$I951=""),"",IF(OR($J951="Tamamlandı",$J951="İptal"),"",$I951-TODAY()))</f>
        <v/>
      </c>
      <c r="Q951" s="113">
        <f>IF($E951="","",IF($D951="TANIMSIZ MÜŞTERİ","HATA",IF(OR($J951="Tamamlandı",$J951="İptal"),"KAPALI",IF(AND($C951="Görüşme",$N951=""),"SONRAKİ İŞLEM EKSİK",IF($I951="","TARİH EKSİK",IF($I951&lt;TODAY(),"GECİKMİŞ",IF($I951=TODAY(),"BUGÜN",IF($I951&lt;=TODAY()+7,"7 GÜN İÇİNDE","PLANLI"))))))))</f>
        <v/>
      </c>
      <c r="R951" s="6" t="n"/>
      <c r="S951" s="6" t="n"/>
    </row>
    <row r="952">
      <c r="A952" s="6" t="n"/>
      <c r="B952" s="113">
        <f>IF($E952="","","A"&amp;TEXT(ROW()-6,"00000"))</f>
        <v/>
      </c>
      <c r="C952" s="108" t="n"/>
      <c r="D952" s="113">
        <f>IF($E952="","",IFERROR(INDEX(MUSTERILER!$B$7:$B$106,MATCH($E952,MUSTERILER!$C$7:$C$106,0)),IFERROR(INDEX(MUSTERILER!$B$7:$B$106,MATCH($E952,MUSTERILER!$B$7:$B$106,0)),IFERROR(INDEX(MUSTERILER!$B$7:$B$106,MATCH($E952&amp;"*",MUSTERILER!$C$7:$C$106,0)),"TANIMSIZ MÜŞTERİ"))))</f>
        <v/>
      </c>
      <c r="E952" s="109" t="n"/>
      <c r="F952" s="109" t="n"/>
      <c r="G952" s="108" t="n"/>
      <c r="H952" s="225" t="n"/>
      <c r="I952" s="225" t="n"/>
      <c r="J952" s="108" t="n"/>
      <c r="K952" s="108" t="n"/>
      <c r="L952" s="109" t="n"/>
      <c r="M952" s="109" t="n"/>
      <c r="N952" s="109" t="n"/>
      <c r="O952" s="225" t="n"/>
      <c r="P952" s="232">
        <f>IF(OR($E952="",$I952=""),"",IF(OR($J952="Tamamlandı",$J952="İptal"),"",$I952-TODAY()))</f>
        <v/>
      </c>
      <c r="Q952" s="113">
        <f>IF($E952="","",IF($D952="TANIMSIZ MÜŞTERİ","HATA",IF(OR($J952="Tamamlandı",$J952="İptal"),"KAPALI",IF(AND($C952="Görüşme",$N952=""),"SONRAKİ İŞLEM EKSİK",IF($I952="","TARİH EKSİK",IF($I952&lt;TODAY(),"GECİKMİŞ",IF($I952=TODAY(),"BUGÜN",IF($I952&lt;=TODAY()+7,"7 GÜN İÇİNDE","PLANLI"))))))))</f>
        <v/>
      </c>
      <c r="R952" s="6" t="n"/>
      <c r="S952" s="6" t="n"/>
    </row>
    <row r="953">
      <c r="A953" s="6" t="n"/>
      <c r="B953" s="113">
        <f>IF($E953="","","A"&amp;TEXT(ROW()-6,"00000"))</f>
        <v/>
      </c>
      <c r="C953" s="108" t="n"/>
      <c r="D953" s="113">
        <f>IF($E953="","",IFERROR(INDEX(MUSTERILER!$B$7:$B$106,MATCH($E953,MUSTERILER!$C$7:$C$106,0)),IFERROR(INDEX(MUSTERILER!$B$7:$B$106,MATCH($E953,MUSTERILER!$B$7:$B$106,0)),IFERROR(INDEX(MUSTERILER!$B$7:$B$106,MATCH($E953&amp;"*",MUSTERILER!$C$7:$C$106,0)),"TANIMSIZ MÜŞTERİ"))))</f>
        <v/>
      </c>
      <c r="E953" s="109" t="n"/>
      <c r="F953" s="109" t="n"/>
      <c r="G953" s="108" t="n"/>
      <c r="H953" s="225" t="n"/>
      <c r="I953" s="225" t="n"/>
      <c r="J953" s="108" t="n"/>
      <c r="K953" s="108" t="n"/>
      <c r="L953" s="109" t="n"/>
      <c r="M953" s="109" t="n"/>
      <c r="N953" s="109" t="n"/>
      <c r="O953" s="225" t="n"/>
      <c r="P953" s="232">
        <f>IF(OR($E953="",$I953=""),"",IF(OR($J953="Tamamlandı",$J953="İptal"),"",$I953-TODAY()))</f>
        <v/>
      </c>
      <c r="Q953" s="113">
        <f>IF($E953="","",IF($D953="TANIMSIZ MÜŞTERİ","HATA",IF(OR($J953="Tamamlandı",$J953="İptal"),"KAPALI",IF(AND($C953="Görüşme",$N953=""),"SONRAKİ İŞLEM EKSİK",IF($I953="","TARİH EKSİK",IF($I953&lt;TODAY(),"GECİKMİŞ",IF($I953=TODAY(),"BUGÜN",IF($I953&lt;=TODAY()+7,"7 GÜN İÇİNDE","PLANLI"))))))))</f>
        <v/>
      </c>
      <c r="R953" s="6" t="n"/>
      <c r="S953" s="6" t="n"/>
    </row>
    <row r="954">
      <c r="A954" s="6" t="n"/>
      <c r="B954" s="113">
        <f>IF($E954="","","A"&amp;TEXT(ROW()-6,"00000"))</f>
        <v/>
      </c>
      <c r="C954" s="108" t="n"/>
      <c r="D954" s="113">
        <f>IF($E954="","",IFERROR(INDEX(MUSTERILER!$B$7:$B$106,MATCH($E954,MUSTERILER!$C$7:$C$106,0)),IFERROR(INDEX(MUSTERILER!$B$7:$B$106,MATCH($E954,MUSTERILER!$B$7:$B$106,0)),IFERROR(INDEX(MUSTERILER!$B$7:$B$106,MATCH($E954&amp;"*",MUSTERILER!$C$7:$C$106,0)),"TANIMSIZ MÜŞTERİ"))))</f>
        <v/>
      </c>
      <c r="E954" s="109" t="n"/>
      <c r="F954" s="109" t="n"/>
      <c r="G954" s="108" t="n"/>
      <c r="H954" s="225" t="n"/>
      <c r="I954" s="225" t="n"/>
      <c r="J954" s="108" t="n"/>
      <c r="K954" s="108" t="n"/>
      <c r="L954" s="109" t="n"/>
      <c r="M954" s="109" t="n"/>
      <c r="N954" s="109" t="n"/>
      <c r="O954" s="225" t="n"/>
      <c r="P954" s="232">
        <f>IF(OR($E954="",$I954=""),"",IF(OR($J954="Tamamlandı",$J954="İptal"),"",$I954-TODAY()))</f>
        <v/>
      </c>
      <c r="Q954" s="113">
        <f>IF($E954="","",IF($D954="TANIMSIZ MÜŞTERİ","HATA",IF(OR($J954="Tamamlandı",$J954="İptal"),"KAPALI",IF(AND($C954="Görüşme",$N954=""),"SONRAKİ İŞLEM EKSİK",IF($I954="","TARİH EKSİK",IF($I954&lt;TODAY(),"GECİKMİŞ",IF($I954=TODAY(),"BUGÜN",IF($I954&lt;=TODAY()+7,"7 GÜN İÇİNDE","PLANLI"))))))))</f>
        <v/>
      </c>
      <c r="R954" s="6" t="n"/>
      <c r="S954" s="6" t="n"/>
    </row>
    <row r="955">
      <c r="A955" s="6" t="n"/>
      <c r="B955" s="113">
        <f>IF($E955="","","A"&amp;TEXT(ROW()-6,"00000"))</f>
        <v/>
      </c>
      <c r="C955" s="108" t="n"/>
      <c r="D955" s="113">
        <f>IF($E955="","",IFERROR(INDEX(MUSTERILER!$B$7:$B$106,MATCH($E955,MUSTERILER!$C$7:$C$106,0)),IFERROR(INDEX(MUSTERILER!$B$7:$B$106,MATCH($E955,MUSTERILER!$B$7:$B$106,0)),IFERROR(INDEX(MUSTERILER!$B$7:$B$106,MATCH($E955&amp;"*",MUSTERILER!$C$7:$C$106,0)),"TANIMSIZ MÜŞTERİ"))))</f>
        <v/>
      </c>
      <c r="E955" s="109" t="n"/>
      <c r="F955" s="109" t="n"/>
      <c r="G955" s="108" t="n"/>
      <c r="H955" s="225" t="n"/>
      <c r="I955" s="225" t="n"/>
      <c r="J955" s="108" t="n"/>
      <c r="K955" s="108" t="n"/>
      <c r="L955" s="109" t="n"/>
      <c r="M955" s="109" t="n"/>
      <c r="N955" s="109" t="n"/>
      <c r="O955" s="225" t="n"/>
      <c r="P955" s="232">
        <f>IF(OR($E955="",$I955=""),"",IF(OR($J955="Tamamlandı",$J955="İptal"),"",$I955-TODAY()))</f>
        <v/>
      </c>
      <c r="Q955" s="113">
        <f>IF($E955="","",IF($D955="TANIMSIZ MÜŞTERİ","HATA",IF(OR($J955="Tamamlandı",$J955="İptal"),"KAPALI",IF(AND($C955="Görüşme",$N955=""),"SONRAKİ İŞLEM EKSİK",IF($I955="","TARİH EKSİK",IF($I955&lt;TODAY(),"GECİKMİŞ",IF($I955=TODAY(),"BUGÜN",IF($I955&lt;=TODAY()+7,"7 GÜN İÇİNDE","PLANLI"))))))))</f>
        <v/>
      </c>
      <c r="R955" s="6" t="n"/>
      <c r="S955" s="6" t="n"/>
    </row>
    <row r="956">
      <c r="A956" s="6" t="n"/>
      <c r="B956" s="113">
        <f>IF($E956="","","A"&amp;TEXT(ROW()-6,"00000"))</f>
        <v/>
      </c>
      <c r="C956" s="108" t="n"/>
      <c r="D956" s="113">
        <f>IF($E956="","",IFERROR(INDEX(MUSTERILER!$B$7:$B$106,MATCH($E956,MUSTERILER!$C$7:$C$106,0)),IFERROR(INDEX(MUSTERILER!$B$7:$B$106,MATCH($E956,MUSTERILER!$B$7:$B$106,0)),IFERROR(INDEX(MUSTERILER!$B$7:$B$106,MATCH($E956&amp;"*",MUSTERILER!$C$7:$C$106,0)),"TANIMSIZ MÜŞTERİ"))))</f>
        <v/>
      </c>
      <c r="E956" s="109" t="n"/>
      <c r="F956" s="109" t="n"/>
      <c r="G956" s="108" t="n"/>
      <c r="H956" s="225" t="n"/>
      <c r="I956" s="225" t="n"/>
      <c r="J956" s="108" t="n"/>
      <c r="K956" s="108" t="n"/>
      <c r="L956" s="109" t="n"/>
      <c r="M956" s="109" t="n"/>
      <c r="N956" s="109" t="n"/>
      <c r="O956" s="225" t="n"/>
      <c r="P956" s="232">
        <f>IF(OR($E956="",$I956=""),"",IF(OR($J956="Tamamlandı",$J956="İptal"),"",$I956-TODAY()))</f>
        <v/>
      </c>
      <c r="Q956" s="113">
        <f>IF($E956="","",IF($D956="TANIMSIZ MÜŞTERİ","HATA",IF(OR($J956="Tamamlandı",$J956="İptal"),"KAPALI",IF(AND($C956="Görüşme",$N956=""),"SONRAKİ İŞLEM EKSİK",IF($I956="","TARİH EKSİK",IF($I956&lt;TODAY(),"GECİKMİŞ",IF($I956=TODAY(),"BUGÜN",IF($I956&lt;=TODAY()+7,"7 GÜN İÇİNDE","PLANLI"))))))))</f>
        <v/>
      </c>
      <c r="R956" s="6" t="n"/>
      <c r="S956" s="6" t="n"/>
    </row>
    <row r="957">
      <c r="A957" s="6" t="n"/>
      <c r="B957" s="113">
        <f>IF($E957="","","A"&amp;TEXT(ROW()-6,"00000"))</f>
        <v/>
      </c>
      <c r="C957" s="108" t="n"/>
      <c r="D957" s="113">
        <f>IF($E957="","",IFERROR(INDEX(MUSTERILER!$B$7:$B$106,MATCH($E957,MUSTERILER!$C$7:$C$106,0)),IFERROR(INDEX(MUSTERILER!$B$7:$B$106,MATCH($E957,MUSTERILER!$B$7:$B$106,0)),IFERROR(INDEX(MUSTERILER!$B$7:$B$106,MATCH($E957&amp;"*",MUSTERILER!$C$7:$C$106,0)),"TANIMSIZ MÜŞTERİ"))))</f>
        <v/>
      </c>
      <c r="E957" s="109" t="n"/>
      <c r="F957" s="109" t="n"/>
      <c r="G957" s="108" t="n"/>
      <c r="H957" s="225" t="n"/>
      <c r="I957" s="225" t="n"/>
      <c r="J957" s="108" t="n"/>
      <c r="K957" s="108" t="n"/>
      <c r="L957" s="109" t="n"/>
      <c r="M957" s="109" t="n"/>
      <c r="N957" s="109" t="n"/>
      <c r="O957" s="225" t="n"/>
      <c r="P957" s="232">
        <f>IF(OR($E957="",$I957=""),"",IF(OR($J957="Tamamlandı",$J957="İptal"),"",$I957-TODAY()))</f>
        <v/>
      </c>
      <c r="Q957" s="113">
        <f>IF($E957="","",IF($D957="TANIMSIZ MÜŞTERİ","HATA",IF(OR($J957="Tamamlandı",$J957="İptal"),"KAPALI",IF(AND($C957="Görüşme",$N957=""),"SONRAKİ İŞLEM EKSİK",IF($I957="","TARİH EKSİK",IF($I957&lt;TODAY(),"GECİKMİŞ",IF($I957=TODAY(),"BUGÜN",IF($I957&lt;=TODAY()+7,"7 GÜN İÇİNDE","PLANLI"))))))))</f>
        <v/>
      </c>
      <c r="R957" s="6" t="n"/>
      <c r="S957" s="6" t="n"/>
    </row>
    <row r="958">
      <c r="A958" s="6" t="n"/>
      <c r="B958" s="113">
        <f>IF($E958="","","A"&amp;TEXT(ROW()-6,"00000"))</f>
        <v/>
      </c>
      <c r="C958" s="108" t="n"/>
      <c r="D958" s="113">
        <f>IF($E958="","",IFERROR(INDEX(MUSTERILER!$B$7:$B$106,MATCH($E958,MUSTERILER!$C$7:$C$106,0)),IFERROR(INDEX(MUSTERILER!$B$7:$B$106,MATCH($E958,MUSTERILER!$B$7:$B$106,0)),IFERROR(INDEX(MUSTERILER!$B$7:$B$106,MATCH($E958&amp;"*",MUSTERILER!$C$7:$C$106,0)),"TANIMSIZ MÜŞTERİ"))))</f>
        <v/>
      </c>
      <c r="E958" s="109" t="n"/>
      <c r="F958" s="109" t="n"/>
      <c r="G958" s="108" t="n"/>
      <c r="H958" s="225" t="n"/>
      <c r="I958" s="225" t="n"/>
      <c r="J958" s="108" t="n"/>
      <c r="K958" s="108" t="n"/>
      <c r="L958" s="109" t="n"/>
      <c r="M958" s="109" t="n"/>
      <c r="N958" s="109" t="n"/>
      <c r="O958" s="225" t="n"/>
      <c r="P958" s="232">
        <f>IF(OR($E958="",$I958=""),"",IF(OR($J958="Tamamlandı",$J958="İptal"),"",$I958-TODAY()))</f>
        <v/>
      </c>
      <c r="Q958" s="113">
        <f>IF($E958="","",IF($D958="TANIMSIZ MÜŞTERİ","HATA",IF(OR($J958="Tamamlandı",$J958="İptal"),"KAPALI",IF(AND($C958="Görüşme",$N958=""),"SONRAKİ İŞLEM EKSİK",IF($I958="","TARİH EKSİK",IF($I958&lt;TODAY(),"GECİKMİŞ",IF($I958=TODAY(),"BUGÜN",IF($I958&lt;=TODAY()+7,"7 GÜN İÇİNDE","PLANLI"))))))))</f>
        <v/>
      </c>
      <c r="R958" s="6" t="n"/>
      <c r="S958" s="6" t="n"/>
    </row>
    <row r="959">
      <c r="A959" s="6" t="n"/>
      <c r="B959" s="113">
        <f>IF($E959="","","A"&amp;TEXT(ROW()-6,"00000"))</f>
        <v/>
      </c>
      <c r="C959" s="108" t="n"/>
      <c r="D959" s="113">
        <f>IF($E959="","",IFERROR(INDEX(MUSTERILER!$B$7:$B$106,MATCH($E959,MUSTERILER!$C$7:$C$106,0)),IFERROR(INDEX(MUSTERILER!$B$7:$B$106,MATCH($E959,MUSTERILER!$B$7:$B$106,0)),IFERROR(INDEX(MUSTERILER!$B$7:$B$106,MATCH($E959&amp;"*",MUSTERILER!$C$7:$C$106,0)),"TANIMSIZ MÜŞTERİ"))))</f>
        <v/>
      </c>
      <c r="E959" s="109" t="n"/>
      <c r="F959" s="109" t="n"/>
      <c r="G959" s="108" t="n"/>
      <c r="H959" s="225" t="n"/>
      <c r="I959" s="225" t="n"/>
      <c r="J959" s="108" t="n"/>
      <c r="K959" s="108" t="n"/>
      <c r="L959" s="109" t="n"/>
      <c r="M959" s="109" t="n"/>
      <c r="N959" s="109" t="n"/>
      <c r="O959" s="225" t="n"/>
      <c r="P959" s="232">
        <f>IF(OR($E959="",$I959=""),"",IF(OR($J959="Tamamlandı",$J959="İptal"),"",$I959-TODAY()))</f>
        <v/>
      </c>
      <c r="Q959" s="113">
        <f>IF($E959="","",IF($D959="TANIMSIZ MÜŞTERİ","HATA",IF(OR($J959="Tamamlandı",$J959="İptal"),"KAPALI",IF(AND($C959="Görüşme",$N959=""),"SONRAKİ İŞLEM EKSİK",IF($I959="","TARİH EKSİK",IF($I959&lt;TODAY(),"GECİKMİŞ",IF($I959=TODAY(),"BUGÜN",IF($I959&lt;=TODAY()+7,"7 GÜN İÇİNDE","PLANLI"))))))))</f>
        <v/>
      </c>
      <c r="R959" s="6" t="n"/>
      <c r="S959" s="6" t="n"/>
    </row>
    <row r="960">
      <c r="A960" s="6" t="n"/>
      <c r="B960" s="113">
        <f>IF($E960="","","A"&amp;TEXT(ROW()-6,"00000"))</f>
        <v/>
      </c>
      <c r="C960" s="108" t="n"/>
      <c r="D960" s="113">
        <f>IF($E960="","",IFERROR(INDEX(MUSTERILER!$B$7:$B$106,MATCH($E960,MUSTERILER!$C$7:$C$106,0)),IFERROR(INDEX(MUSTERILER!$B$7:$B$106,MATCH($E960,MUSTERILER!$B$7:$B$106,0)),IFERROR(INDEX(MUSTERILER!$B$7:$B$106,MATCH($E960&amp;"*",MUSTERILER!$C$7:$C$106,0)),"TANIMSIZ MÜŞTERİ"))))</f>
        <v/>
      </c>
      <c r="E960" s="109" t="n"/>
      <c r="F960" s="109" t="n"/>
      <c r="G960" s="108" t="n"/>
      <c r="H960" s="225" t="n"/>
      <c r="I960" s="225" t="n"/>
      <c r="J960" s="108" t="n"/>
      <c r="K960" s="108" t="n"/>
      <c r="L960" s="109" t="n"/>
      <c r="M960" s="109" t="n"/>
      <c r="N960" s="109" t="n"/>
      <c r="O960" s="225" t="n"/>
      <c r="P960" s="232">
        <f>IF(OR($E960="",$I960=""),"",IF(OR($J960="Tamamlandı",$J960="İptal"),"",$I960-TODAY()))</f>
        <v/>
      </c>
      <c r="Q960" s="113">
        <f>IF($E960="","",IF($D960="TANIMSIZ MÜŞTERİ","HATA",IF(OR($J960="Tamamlandı",$J960="İptal"),"KAPALI",IF(AND($C960="Görüşme",$N960=""),"SONRAKİ İŞLEM EKSİK",IF($I960="","TARİH EKSİK",IF($I960&lt;TODAY(),"GECİKMİŞ",IF($I960=TODAY(),"BUGÜN",IF($I960&lt;=TODAY()+7,"7 GÜN İÇİNDE","PLANLI"))))))))</f>
        <v/>
      </c>
      <c r="R960" s="6" t="n"/>
      <c r="S960" s="6" t="n"/>
    </row>
    <row r="961">
      <c r="A961" s="6" t="n"/>
      <c r="B961" s="113">
        <f>IF($E961="","","A"&amp;TEXT(ROW()-6,"00000"))</f>
        <v/>
      </c>
      <c r="C961" s="108" t="n"/>
      <c r="D961" s="113">
        <f>IF($E961="","",IFERROR(INDEX(MUSTERILER!$B$7:$B$106,MATCH($E961,MUSTERILER!$C$7:$C$106,0)),IFERROR(INDEX(MUSTERILER!$B$7:$B$106,MATCH($E961,MUSTERILER!$B$7:$B$106,0)),IFERROR(INDEX(MUSTERILER!$B$7:$B$106,MATCH($E961&amp;"*",MUSTERILER!$C$7:$C$106,0)),"TANIMSIZ MÜŞTERİ"))))</f>
        <v/>
      </c>
      <c r="E961" s="109" t="n"/>
      <c r="F961" s="109" t="n"/>
      <c r="G961" s="108" t="n"/>
      <c r="H961" s="225" t="n"/>
      <c r="I961" s="225" t="n"/>
      <c r="J961" s="108" t="n"/>
      <c r="K961" s="108" t="n"/>
      <c r="L961" s="109" t="n"/>
      <c r="M961" s="109" t="n"/>
      <c r="N961" s="109" t="n"/>
      <c r="O961" s="225" t="n"/>
      <c r="P961" s="232">
        <f>IF(OR($E961="",$I961=""),"",IF(OR($J961="Tamamlandı",$J961="İptal"),"",$I961-TODAY()))</f>
        <v/>
      </c>
      <c r="Q961" s="113">
        <f>IF($E961="","",IF($D961="TANIMSIZ MÜŞTERİ","HATA",IF(OR($J961="Tamamlandı",$J961="İptal"),"KAPALI",IF(AND($C961="Görüşme",$N961=""),"SONRAKİ İŞLEM EKSİK",IF($I961="","TARİH EKSİK",IF($I961&lt;TODAY(),"GECİKMİŞ",IF($I961=TODAY(),"BUGÜN",IF($I961&lt;=TODAY()+7,"7 GÜN İÇİNDE","PLANLI"))))))))</f>
        <v/>
      </c>
      <c r="R961" s="6" t="n"/>
      <c r="S961" s="6" t="n"/>
    </row>
    <row r="962">
      <c r="A962" s="6" t="n"/>
      <c r="B962" s="113">
        <f>IF($E962="","","A"&amp;TEXT(ROW()-6,"00000"))</f>
        <v/>
      </c>
      <c r="C962" s="108" t="n"/>
      <c r="D962" s="113">
        <f>IF($E962="","",IFERROR(INDEX(MUSTERILER!$B$7:$B$106,MATCH($E962,MUSTERILER!$C$7:$C$106,0)),IFERROR(INDEX(MUSTERILER!$B$7:$B$106,MATCH($E962,MUSTERILER!$B$7:$B$106,0)),IFERROR(INDEX(MUSTERILER!$B$7:$B$106,MATCH($E962&amp;"*",MUSTERILER!$C$7:$C$106,0)),"TANIMSIZ MÜŞTERİ"))))</f>
        <v/>
      </c>
      <c r="E962" s="109" t="n"/>
      <c r="F962" s="109" t="n"/>
      <c r="G962" s="108" t="n"/>
      <c r="H962" s="225" t="n"/>
      <c r="I962" s="225" t="n"/>
      <c r="J962" s="108" t="n"/>
      <c r="K962" s="108" t="n"/>
      <c r="L962" s="109" t="n"/>
      <c r="M962" s="109" t="n"/>
      <c r="N962" s="109" t="n"/>
      <c r="O962" s="225" t="n"/>
      <c r="P962" s="232">
        <f>IF(OR($E962="",$I962=""),"",IF(OR($J962="Tamamlandı",$J962="İptal"),"",$I962-TODAY()))</f>
        <v/>
      </c>
      <c r="Q962" s="113">
        <f>IF($E962="","",IF($D962="TANIMSIZ MÜŞTERİ","HATA",IF(OR($J962="Tamamlandı",$J962="İptal"),"KAPALI",IF(AND($C962="Görüşme",$N962=""),"SONRAKİ İŞLEM EKSİK",IF($I962="","TARİH EKSİK",IF($I962&lt;TODAY(),"GECİKMİŞ",IF($I962=TODAY(),"BUGÜN",IF($I962&lt;=TODAY()+7,"7 GÜN İÇİNDE","PLANLI"))))))))</f>
        <v/>
      </c>
      <c r="R962" s="6" t="n"/>
      <c r="S962" s="6" t="n"/>
    </row>
    <row r="963">
      <c r="A963" s="6" t="n"/>
      <c r="B963" s="113">
        <f>IF($E963="","","A"&amp;TEXT(ROW()-6,"00000"))</f>
        <v/>
      </c>
      <c r="C963" s="108" t="n"/>
      <c r="D963" s="113">
        <f>IF($E963="","",IFERROR(INDEX(MUSTERILER!$B$7:$B$106,MATCH($E963,MUSTERILER!$C$7:$C$106,0)),IFERROR(INDEX(MUSTERILER!$B$7:$B$106,MATCH($E963,MUSTERILER!$B$7:$B$106,0)),IFERROR(INDEX(MUSTERILER!$B$7:$B$106,MATCH($E963&amp;"*",MUSTERILER!$C$7:$C$106,0)),"TANIMSIZ MÜŞTERİ"))))</f>
        <v/>
      </c>
      <c r="E963" s="109" t="n"/>
      <c r="F963" s="109" t="n"/>
      <c r="G963" s="108" t="n"/>
      <c r="H963" s="225" t="n"/>
      <c r="I963" s="225" t="n"/>
      <c r="J963" s="108" t="n"/>
      <c r="K963" s="108" t="n"/>
      <c r="L963" s="109" t="n"/>
      <c r="M963" s="109" t="n"/>
      <c r="N963" s="109" t="n"/>
      <c r="O963" s="225" t="n"/>
      <c r="P963" s="232">
        <f>IF(OR($E963="",$I963=""),"",IF(OR($J963="Tamamlandı",$J963="İptal"),"",$I963-TODAY()))</f>
        <v/>
      </c>
      <c r="Q963" s="113">
        <f>IF($E963="","",IF($D963="TANIMSIZ MÜŞTERİ","HATA",IF(OR($J963="Tamamlandı",$J963="İptal"),"KAPALI",IF(AND($C963="Görüşme",$N963=""),"SONRAKİ İŞLEM EKSİK",IF($I963="","TARİH EKSİK",IF($I963&lt;TODAY(),"GECİKMİŞ",IF($I963=TODAY(),"BUGÜN",IF($I963&lt;=TODAY()+7,"7 GÜN İÇİNDE","PLANLI"))))))))</f>
        <v/>
      </c>
      <c r="R963" s="6" t="n"/>
      <c r="S963" s="6" t="n"/>
    </row>
    <row r="964">
      <c r="A964" s="6" t="n"/>
      <c r="B964" s="113">
        <f>IF($E964="","","A"&amp;TEXT(ROW()-6,"00000"))</f>
        <v/>
      </c>
      <c r="C964" s="108" t="n"/>
      <c r="D964" s="113">
        <f>IF($E964="","",IFERROR(INDEX(MUSTERILER!$B$7:$B$106,MATCH($E964,MUSTERILER!$C$7:$C$106,0)),IFERROR(INDEX(MUSTERILER!$B$7:$B$106,MATCH($E964,MUSTERILER!$B$7:$B$106,0)),IFERROR(INDEX(MUSTERILER!$B$7:$B$106,MATCH($E964&amp;"*",MUSTERILER!$C$7:$C$106,0)),"TANIMSIZ MÜŞTERİ"))))</f>
        <v/>
      </c>
      <c r="E964" s="109" t="n"/>
      <c r="F964" s="109" t="n"/>
      <c r="G964" s="108" t="n"/>
      <c r="H964" s="225" t="n"/>
      <c r="I964" s="225" t="n"/>
      <c r="J964" s="108" t="n"/>
      <c r="K964" s="108" t="n"/>
      <c r="L964" s="109" t="n"/>
      <c r="M964" s="109" t="n"/>
      <c r="N964" s="109" t="n"/>
      <c r="O964" s="225" t="n"/>
      <c r="P964" s="232">
        <f>IF(OR($E964="",$I964=""),"",IF(OR($J964="Tamamlandı",$J964="İptal"),"",$I964-TODAY()))</f>
        <v/>
      </c>
      <c r="Q964" s="113">
        <f>IF($E964="","",IF($D964="TANIMSIZ MÜŞTERİ","HATA",IF(OR($J964="Tamamlandı",$J964="İptal"),"KAPALI",IF(AND($C964="Görüşme",$N964=""),"SONRAKİ İŞLEM EKSİK",IF($I964="","TARİH EKSİK",IF($I964&lt;TODAY(),"GECİKMİŞ",IF($I964=TODAY(),"BUGÜN",IF($I964&lt;=TODAY()+7,"7 GÜN İÇİNDE","PLANLI"))))))))</f>
        <v/>
      </c>
      <c r="R964" s="6" t="n"/>
      <c r="S964" s="6" t="n"/>
    </row>
    <row r="965">
      <c r="A965" s="6" t="n"/>
      <c r="B965" s="113">
        <f>IF($E965="","","A"&amp;TEXT(ROW()-6,"00000"))</f>
        <v/>
      </c>
      <c r="C965" s="108" t="n"/>
      <c r="D965" s="113">
        <f>IF($E965="","",IFERROR(INDEX(MUSTERILER!$B$7:$B$106,MATCH($E965,MUSTERILER!$C$7:$C$106,0)),IFERROR(INDEX(MUSTERILER!$B$7:$B$106,MATCH($E965,MUSTERILER!$B$7:$B$106,0)),IFERROR(INDEX(MUSTERILER!$B$7:$B$106,MATCH($E965&amp;"*",MUSTERILER!$C$7:$C$106,0)),"TANIMSIZ MÜŞTERİ"))))</f>
        <v/>
      </c>
      <c r="E965" s="109" t="n"/>
      <c r="F965" s="109" t="n"/>
      <c r="G965" s="108" t="n"/>
      <c r="H965" s="225" t="n"/>
      <c r="I965" s="225" t="n"/>
      <c r="J965" s="108" t="n"/>
      <c r="K965" s="108" t="n"/>
      <c r="L965" s="109" t="n"/>
      <c r="M965" s="109" t="n"/>
      <c r="N965" s="109" t="n"/>
      <c r="O965" s="225" t="n"/>
      <c r="P965" s="232">
        <f>IF(OR($E965="",$I965=""),"",IF(OR($J965="Tamamlandı",$J965="İptal"),"",$I965-TODAY()))</f>
        <v/>
      </c>
      <c r="Q965" s="113">
        <f>IF($E965="","",IF($D965="TANIMSIZ MÜŞTERİ","HATA",IF(OR($J965="Tamamlandı",$J965="İptal"),"KAPALI",IF(AND($C965="Görüşme",$N965=""),"SONRAKİ İŞLEM EKSİK",IF($I965="","TARİH EKSİK",IF($I965&lt;TODAY(),"GECİKMİŞ",IF($I965=TODAY(),"BUGÜN",IF($I965&lt;=TODAY()+7,"7 GÜN İÇİNDE","PLANLI"))))))))</f>
        <v/>
      </c>
      <c r="R965" s="6" t="n"/>
      <c r="S965" s="6" t="n"/>
    </row>
    <row r="966">
      <c r="A966" s="6" t="n"/>
      <c r="B966" s="113">
        <f>IF($E966="","","A"&amp;TEXT(ROW()-6,"00000"))</f>
        <v/>
      </c>
      <c r="C966" s="108" t="n"/>
      <c r="D966" s="113">
        <f>IF($E966="","",IFERROR(INDEX(MUSTERILER!$B$7:$B$106,MATCH($E966,MUSTERILER!$C$7:$C$106,0)),IFERROR(INDEX(MUSTERILER!$B$7:$B$106,MATCH($E966,MUSTERILER!$B$7:$B$106,0)),IFERROR(INDEX(MUSTERILER!$B$7:$B$106,MATCH($E966&amp;"*",MUSTERILER!$C$7:$C$106,0)),"TANIMSIZ MÜŞTERİ"))))</f>
        <v/>
      </c>
      <c r="E966" s="109" t="n"/>
      <c r="F966" s="109" t="n"/>
      <c r="G966" s="108" t="n"/>
      <c r="H966" s="225" t="n"/>
      <c r="I966" s="225" t="n"/>
      <c r="J966" s="108" t="n"/>
      <c r="K966" s="108" t="n"/>
      <c r="L966" s="109" t="n"/>
      <c r="M966" s="109" t="n"/>
      <c r="N966" s="109" t="n"/>
      <c r="O966" s="225" t="n"/>
      <c r="P966" s="232">
        <f>IF(OR($E966="",$I966=""),"",IF(OR($J966="Tamamlandı",$J966="İptal"),"",$I966-TODAY()))</f>
        <v/>
      </c>
      <c r="Q966" s="113">
        <f>IF($E966="","",IF($D966="TANIMSIZ MÜŞTERİ","HATA",IF(OR($J966="Tamamlandı",$J966="İptal"),"KAPALI",IF(AND($C966="Görüşme",$N966=""),"SONRAKİ İŞLEM EKSİK",IF($I966="","TARİH EKSİK",IF($I966&lt;TODAY(),"GECİKMİŞ",IF($I966=TODAY(),"BUGÜN",IF($I966&lt;=TODAY()+7,"7 GÜN İÇİNDE","PLANLI"))))))))</f>
        <v/>
      </c>
      <c r="R966" s="6" t="n"/>
      <c r="S966" s="6" t="n"/>
    </row>
    <row r="967">
      <c r="A967" s="6" t="n"/>
      <c r="B967" s="113">
        <f>IF($E967="","","A"&amp;TEXT(ROW()-6,"00000"))</f>
        <v/>
      </c>
      <c r="C967" s="108" t="n"/>
      <c r="D967" s="113">
        <f>IF($E967="","",IFERROR(INDEX(MUSTERILER!$B$7:$B$106,MATCH($E967,MUSTERILER!$C$7:$C$106,0)),IFERROR(INDEX(MUSTERILER!$B$7:$B$106,MATCH($E967,MUSTERILER!$B$7:$B$106,0)),IFERROR(INDEX(MUSTERILER!$B$7:$B$106,MATCH($E967&amp;"*",MUSTERILER!$C$7:$C$106,0)),"TANIMSIZ MÜŞTERİ"))))</f>
        <v/>
      </c>
      <c r="E967" s="109" t="n"/>
      <c r="F967" s="109" t="n"/>
      <c r="G967" s="108" t="n"/>
      <c r="H967" s="225" t="n"/>
      <c r="I967" s="225" t="n"/>
      <c r="J967" s="108" t="n"/>
      <c r="K967" s="108" t="n"/>
      <c r="L967" s="109" t="n"/>
      <c r="M967" s="109" t="n"/>
      <c r="N967" s="109" t="n"/>
      <c r="O967" s="225" t="n"/>
      <c r="P967" s="232">
        <f>IF(OR($E967="",$I967=""),"",IF(OR($J967="Tamamlandı",$J967="İptal"),"",$I967-TODAY()))</f>
        <v/>
      </c>
      <c r="Q967" s="113">
        <f>IF($E967="","",IF($D967="TANIMSIZ MÜŞTERİ","HATA",IF(OR($J967="Tamamlandı",$J967="İptal"),"KAPALI",IF(AND($C967="Görüşme",$N967=""),"SONRAKİ İŞLEM EKSİK",IF($I967="","TARİH EKSİK",IF($I967&lt;TODAY(),"GECİKMİŞ",IF($I967=TODAY(),"BUGÜN",IF($I967&lt;=TODAY()+7,"7 GÜN İÇİNDE","PLANLI"))))))))</f>
        <v/>
      </c>
      <c r="R967" s="6" t="n"/>
      <c r="S967" s="6" t="n"/>
    </row>
    <row r="968">
      <c r="A968" s="6" t="n"/>
      <c r="B968" s="113">
        <f>IF($E968="","","A"&amp;TEXT(ROW()-6,"00000"))</f>
        <v/>
      </c>
      <c r="C968" s="108" t="n"/>
      <c r="D968" s="113">
        <f>IF($E968="","",IFERROR(INDEX(MUSTERILER!$B$7:$B$106,MATCH($E968,MUSTERILER!$C$7:$C$106,0)),IFERROR(INDEX(MUSTERILER!$B$7:$B$106,MATCH($E968,MUSTERILER!$B$7:$B$106,0)),IFERROR(INDEX(MUSTERILER!$B$7:$B$106,MATCH($E968&amp;"*",MUSTERILER!$C$7:$C$106,0)),"TANIMSIZ MÜŞTERİ"))))</f>
        <v/>
      </c>
      <c r="E968" s="109" t="n"/>
      <c r="F968" s="109" t="n"/>
      <c r="G968" s="108" t="n"/>
      <c r="H968" s="225" t="n"/>
      <c r="I968" s="225" t="n"/>
      <c r="J968" s="108" t="n"/>
      <c r="K968" s="108" t="n"/>
      <c r="L968" s="109" t="n"/>
      <c r="M968" s="109" t="n"/>
      <c r="N968" s="109" t="n"/>
      <c r="O968" s="225" t="n"/>
      <c r="P968" s="232">
        <f>IF(OR($E968="",$I968=""),"",IF(OR($J968="Tamamlandı",$J968="İptal"),"",$I968-TODAY()))</f>
        <v/>
      </c>
      <c r="Q968" s="113">
        <f>IF($E968="","",IF($D968="TANIMSIZ MÜŞTERİ","HATA",IF(OR($J968="Tamamlandı",$J968="İptal"),"KAPALI",IF(AND($C968="Görüşme",$N968=""),"SONRAKİ İŞLEM EKSİK",IF($I968="","TARİH EKSİK",IF($I968&lt;TODAY(),"GECİKMİŞ",IF($I968=TODAY(),"BUGÜN",IF($I968&lt;=TODAY()+7,"7 GÜN İÇİNDE","PLANLI"))))))))</f>
        <v/>
      </c>
      <c r="R968" s="6" t="n"/>
      <c r="S968" s="6" t="n"/>
    </row>
    <row r="969">
      <c r="A969" s="6" t="n"/>
      <c r="B969" s="113">
        <f>IF($E969="","","A"&amp;TEXT(ROW()-6,"00000"))</f>
        <v/>
      </c>
      <c r="C969" s="108" t="n"/>
      <c r="D969" s="113">
        <f>IF($E969="","",IFERROR(INDEX(MUSTERILER!$B$7:$B$106,MATCH($E969,MUSTERILER!$C$7:$C$106,0)),IFERROR(INDEX(MUSTERILER!$B$7:$B$106,MATCH($E969,MUSTERILER!$B$7:$B$106,0)),IFERROR(INDEX(MUSTERILER!$B$7:$B$106,MATCH($E969&amp;"*",MUSTERILER!$C$7:$C$106,0)),"TANIMSIZ MÜŞTERİ"))))</f>
        <v/>
      </c>
      <c r="E969" s="109" t="n"/>
      <c r="F969" s="109" t="n"/>
      <c r="G969" s="108" t="n"/>
      <c r="H969" s="225" t="n"/>
      <c r="I969" s="225" t="n"/>
      <c r="J969" s="108" t="n"/>
      <c r="K969" s="108" t="n"/>
      <c r="L969" s="109" t="n"/>
      <c r="M969" s="109" t="n"/>
      <c r="N969" s="109" t="n"/>
      <c r="O969" s="225" t="n"/>
      <c r="P969" s="232">
        <f>IF(OR($E969="",$I969=""),"",IF(OR($J969="Tamamlandı",$J969="İptal"),"",$I969-TODAY()))</f>
        <v/>
      </c>
      <c r="Q969" s="113">
        <f>IF($E969="","",IF($D969="TANIMSIZ MÜŞTERİ","HATA",IF(OR($J969="Tamamlandı",$J969="İptal"),"KAPALI",IF(AND($C969="Görüşme",$N969=""),"SONRAKİ İŞLEM EKSİK",IF($I969="","TARİH EKSİK",IF($I969&lt;TODAY(),"GECİKMİŞ",IF($I969=TODAY(),"BUGÜN",IF($I969&lt;=TODAY()+7,"7 GÜN İÇİNDE","PLANLI"))))))))</f>
        <v/>
      </c>
      <c r="R969" s="6" t="n"/>
      <c r="S969" s="6" t="n"/>
    </row>
    <row r="970">
      <c r="A970" s="6" t="n"/>
      <c r="B970" s="113">
        <f>IF($E970="","","A"&amp;TEXT(ROW()-6,"00000"))</f>
        <v/>
      </c>
      <c r="C970" s="108" t="n"/>
      <c r="D970" s="113">
        <f>IF($E970="","",IFERROR(INDEX(MUSTERILER!$B$7:$B$106,MATCH($E970,MUSTERILER!$C$7:$C$106,0)),IFERROR(INDEX(MUSTERILER!$B$7:$B$106,MATCH($E970,MUSTERILER!$B$7:$B$106,0)),IFERROR(INDEX(MUSTERILER!$B$7:$B$106,MATCH($E970&amp;"*",MUSTERILER!$C$7:$C$106,0)),"TANIMSIZ MÜŞTERİ"))))</f>
        <v/>
      </c>
      <c r="E970" s="109" t="n"/>
      <c r="F970" s="109" t="n"/>
      <c r="G970" s="108" t="n"/>
      <c r="H970" s="225" t="n"/>
      <c r="I970" s="225" t="n"/>
      <c r="J970" s="108" t="n"/>
      <c r="K970" s="108" t="n"/>
      <c r="L970" s="109" t="n"/>
      <c r="M970" s="109" t="n"/>
      <c r="N970" s="109" t="n"/>
      <c r="O970" s="225" t="n"/>
      <c r="P970" s="232">
        <f>IF(OR($E970="",$I970=""),"",IF(OR($J970="Tamamlandı",$J970="İptal"),"",$I970-TODAY()))</f>
        <v/>
      </c>
      <c r="Q970" s="113">
        <f>IF($E970="","",IF($D970="TANIMSIZ MÜŞTERİ","HATA",IF(OR($J970="Tamamlandı",$J970="İptal"),"KAPALI",IF(AND($C970="Görüşme",$N970=""),"SONRAKİ İŞLEM EKSİK",IF($I970="","TARİH EKSİK",IF($I970&lt;TODAY(),"GECİKMİŞ",IF($I970=TODAY(),"BUGÜN",IF($I970&lt;=TODAY()+7,"7 GÜN İÇİNDE","PLANLI"))))))))</f>
        <v/>
      </c>
      <c r="R970" s="6" t="n"/>
      <c r="S970" s="6" t="n"/>
    </row>
    <row r="971">
      <c r="A971" s="6" t="n"/>
      <c r="B971" s="113">
        <f>IF($E971="","","A"&amp;TEXT(ROW()-6,"00000"))</f>
        <v/>
      </c>
      <c r="C971" s="108" t="n"/>
      <c r="D971" s="113">
        <f>IF($E971="","",IFERROR(INDEX(MUSTERILER!$B$7:$B$106,MATCH($E971,MUSTERILER!$C$7:$C$106,0)),IFERROR(INDEX(MUSTERILER!$B$7:$B$106,MATCH($E971,MUSTERILER!$B$7:$B$106,0)),IFERROR(INDEX(MUSTERILER!$B$7:$B$106,MATCH($E971&amp;"*",MUSTERILER!$C$7:$C$106,0)),"TANIMSIZ MÜŞTERİ"))))</f>
        <v/>
      </c>
      <c r="E971" s="109" t="n"/>
      <c r="F971" s="109" t="n"/>
      <c r="G971" s="108" t="n"/>
      <c r="H971" s="225" t="n"/>
      <c r="I971" s="225" t="n"/>
      <c r="J971" s="108" t="n"/>
      <c r="K971" s="108" t="n"/>
      <c r="L971" s="109" t="n"/>
      <c r="M971" s="109" t="n"/>
      <c r="N971" s="109" t="n"/>
      <c r="O971" s="225" t="n"/>
      <c r="P971" s="232">
        <f>IF(OR($E971="",$I971=""),"",IF(OR($J971="Tamamlandı",$J971="İptal"),"",$I971-TODAY()))</f>
        <v/>
      </c>
      <c r="Q971" s="113">
        <f>IF($E971="","",IF($D971="TANIMSIZ MÜŞTERİ","HATA",IF(OR($J971="Tamamlandı",$J971="İptal"),"KAPALI",IF(AND($C971="Görüşme",$N971=""),"SONRAKİ İŞLEM EKSİK",IF($I971="","TARİH EKSİK",IF($I971&lt;TODAY(),"GECİKMİŞ",IF($I971=TODAY(),"BUGÜN",IF($I971&lt;=TODAY()+7,"7 GÜN İÇİNDE","PLANLI"))))))))</f>
        <v/>
      </c>
      <c r="R971" s="6" t="n"/>
      <c r="S971" s="6" t="n"/>
    </row>
    <row r="972">
      <c r="A972" s="6" t="n"/>
      <c r="B972" s="113">
        <f>IF($E972="","","A"&amp;TEXT(ROW()-6,"00000"))</f>
        <v/>
      </c>
      <c r="C972" s="108" t="n"/>
      <c r="D972" s="113">
        <f>IF($E972="","",IFERROR(INDEX(MUSTERILER!$B$7:$B$106,MATCH($E972,MUSTERILER!$C$7:$C$106,0)),IFERROR(INDEX(MUSTERILER!$B$7:$B$106,MATCH($E972,MUSTERILER!$B$7:$B$106,0)),IFERROR(INDEX(MUSTERILER!$B$7:$B$106,MATCH($E972&amp;"*",MUSTERILER!$C$7:$C$106,0)),"TANIMSIZ MÜŞTERİ"))))</f>
        <v/>
      </c>
      <c r="E972" s="109" t="n"/>
      <c r="F972" s="109" t="n"/>
      <c r="G972" s="108" t="n"/>
      <c r="H972" s="225" t="n"/>
      <c r="I972" s="225" t="n"/>
      <c r="J972" s="108" t="n"/>
      <c r="K972" s="108" t="n"/>
      <c r="L972" s="109" t="n"/>
      <c r="M972" s="109" t="n"/>
      <c r="N972" s="109" t="n"/>
      <c r="O972" s="225" t="n"/>
      <c r="P972" s="232">
        <f>IF(OR($E972="",$I972=""),"",IF(OR($J972="Tamamlandı",$J972="İptal"),"",$I972-TODAY()))</f>
        <v/>
      </c>
      <c r="Q972" s="113">
        <f>IF($E972="","",IF($D972="TANIMSIZ MÜŞTERİ","HATA",IF(OR($J972="Tamamlandı",$J972="İptal"),"KAPALI",IF(AND($C972="Görüşme",$N972=""),"SONRAKİ İŞLEM EKSİK",IF($I972="","TARİH EKSİK",IF($I972&lt;TODAY(),"GECİKMİŞ",IF($I972=TODAY(),"BUGÜN",IF($I972&lt;=TODAY()+7,"7 GÜN İÇİNDE","PLANLI"))))))))</f>
        <v/>
      </c>
      <c r="R972" s="6" t="n"/>
      <c r="S972" s="6" t="n"/>
    </row>
    <row r="973">
      <c r="A973" s="6" t="n"/>
      <c r="B973" s="113">
        <f>IF($E973="","","A"&amp;TEXT(ROW()-6,"00000"))</f>
        <v/>
      </c>
      <c r="C973" s="108" t="n"/>
      <c r="D973" s="113">
        <f>IF($E973="","",IFERROR(INDEX(MUSTERILER!$B$7:$B$106,MATCH($E973,MUSTERILER!$C$7:$C$106,0)),IFERROR(INDEX(MUSTERILER!$B$7:$B$106,MATCH($E973,MUSTERILER!$B$7:$B$106,0)),IFERROR(INDEX(MUSTERILER!$B$7:$B$106,MATCH($E973&amp;"*",MUSTERILER!$C$7:$C$106,0)),"TANIMSIZ MÜŞTERİ"))))</f>
        <v/>
      </c>
      <c r="E973" s="109" t="n"/>
      <c r="F973" s="109" t="n"/>
      <c r="G973" s="108" t="n"/>
      <c r="H973" s="225" t="n"/>
      <c r="I973" s="225" t="n"/>
      <c r="J973" s="108" t="n"/>
      <c r="K973" s="108" t="n"/>
      <c r="L973" s="109" t="n"/>
      <c r="M973" s="109" t="n"/>
      <c r="N973" s="109" t="n"/>
      <c r="O973" s="225" t="n"/>
      <c r="P973" s="232">
        <f>IF(OR($E973="",$I973=""),"",IF(OR($J973="Tamamlandı",$J973="İptal"),"",$I973-TODAY()))</f>
        <v/>
      </c>
      <c r="Q973" s="113">
        <f>IF($E973="","",IF($D973="TANIMSIZ MÜŞTERİ","HATA",IF(OR($J973="Tamamlandı",$J973="İptal"),"KAPALI",IF(AND($C973="Görüşme",$N973=""),"SONRAKİ İŞLEM EKSİK",IF($I973="","TARİH EKSİK",IF($I973&lt;TODAY(),"GECİKMİŞ",IF($I973=TODAY(),"BUGÜN",IF($I973&lt;=TODAY()+7,"7 GÜN İÇİNDE","PLANLI"))))))))</f>
        <v/>
      </c>
      <c r="R973" s="6" t="n"/>
      <c r="S973" s="6" t="n"/>
    </row>
    <row r="974">
      <c r="A974" s="6" t="n"/>
      <c r="B974" s="113">
        <f>IF($E974="","","A"&amp;TEXT(ROW()-6,"00000"))</f>
        <v/>
      </c>
      <c r="C974" s="108" t="n"/>
      <c r="D974" s="113">
        <f>IF($E974="","",IFERROR(INDEX(MUSTERILER!$B$7:$B$106,MATCH($E974,MUSTERILER!$C$7:$C$106,0)),IFERROR(INDEX(MUSTERILER!$B$7:$B$106,MATCH($E974,MUSTERILER!$B$7:$B$106,0)),IFERROR(INDEX(MUSTERILER!$B$7:$B$106,MATCH($E974&amp;"*",MUSTERILER!$C$7:$C$106,0)),"TANIMSIZ MÜŞTERİ"))))</f>
        <v/>
      </c>
      <c r="E974" s="109" t="n"/>
      <c r="F974" s="109" t="n"/>
      <c r="G974" s="108" t="n"/>
      <c r="H974" s="225" t="n"/>
      <c r="I974" s="225" t="n"/>
      <c r="J974" s="108" t="n"/>
      <c r="K974" s="108" t="n"/>
      <c r="L974" s="109" t="n"/>
      <c r="M974" s="109" t="n"/>
      <c r="N974" s="109" t="n"/>
      <c r="O974" s="225" t="n"/>
      <c r="P974" s="232">
        <f>IF(OR($E974="",$I974=""),"",IF(OR($J974="Tamamlandı",$J974="İptal"),"",$I974-TODAY()))</f>
        <v/>
      </c>
      <c r="Q974" s="113">
        <f>IF($E974="","",IF($D974="TANIMSIZ MÜŞTERİ","HATA",IF(OR($J974="Tamamlandı",$J974="İptal"),"KAPALI",IF(AND($C974="Görüşme",$N974=""),"SONRAKİ İŞLEM EKSİK",IF($I974="","TARİH EKSİK",IF($I974&lt;TODAY(),"GECİKMİŞ",IF($I974=TODAY(),"BUGÜN",IF($I974&lt;=TODAY()+7,"7 GÜN İÇİNDE","PLANLI"))))))))</f>
        <v/>
      </c>
      <c r="R974" s="6" t="n"/>
      <c r="S974" s="6" t="n"/>
    </row>
    <row r="975">
      <c r="A975" s="6" t="n"/>
      <c r="B975" s="113">
        <f>IF($E975="","","A"&amp;TEXT(ROW()-6,"00000"))</f>
        <v/>
      </c>
      <c r="C975" s="108" t="n"/>
      <c r="D975" s="113">
        <f>IF($E975="","",IFERROR(INDEX(MUSTERILER!$B$7:$B$106,MATCH($E975,MUSTERILER!$C$7:$C$106,0)),IFERROR(INDEX(MUSTERILER!$B$7:$B$106,MATCH($E975,MUSTERILER!$B$7:$B$106,0)),IFERROR(INDEX(MUSTERILER!$B$7:$B$106,MATCH($E975&amp;"*",MUSTERILER!$C$7:$C$106,0)),"TANIMSIZ MÜŞTERİ"))))</f>
        <v/>
      </c>
      <c r="E975" s="109" t="n"/>
      <c r="F975" s="109" t="n"/>
      <c r="G975" s="108" t="n"/>
      <c r="H975" s="225" t="n"/>
      <c r="I975" s="225" t="n"/>
      <c r="J975" s="108" t="n"/>
      <c r="K975" s="108" t="n"/>
      <c r="L975" s="109" t="n"/>
      <c r="M975" s="109" t="n"/>
      <c r="N975" s="109" t="n"/>
      <c r="O975" s="225" t="n"/>
      <c r="P975" s="232">
        <f>IF(OR($E975="",$I975=""),"",IF(OR($J975="Tamamlandı",$J975="İptal"),"",$I975-TODAY()))</f>
        <v/>
      </c>
      <c r="Q975" s="113">
        <f>IF($E975="","",IF($D975="TANIMSIZ MÜŞTERİ","HATA",IF(OR($J975="Tamamlandı",$J975="İptal"),"KAPALI",IF(AND($C975="Görüşme",$N975=""),"SONRAKİ İŞLEM EKSİK",IF($I975="","TARİH EKSİK",IF($I975&lt;TODAY(),"GECİKMİŞ",IF($I975=TODAY(),"BUGÜN",IF($I975&lt;=TODAY()+7,"7 GÜN İÇİNDE","PLANLI"))))))))</f>
        <v/>
      </c>
      <c r="R975" s="6" t="n"/>
      <c r="S975" s="6" t="n"/>
    </row>
    <row r="976">
      <c r="A976" s="6" t="n"/>
      <c r="B976" s="113">
        <f>IF($E976="","","A"&amp;TEXT(ROW()-6,"00000"))</f>
        <v/>
      </c>
      <c r="C976" s="108" t="n"/>
      <c r="D976" s="113">
        <f>IF($E976="","",IFERROR(INDEX(MUSTERILER!$B$7:$B$106,MATCH($E976,MUSTERILER!$C$7:$C$106,0)),IFERROR(INDEX(MUSTERILER!$B$7:$B$106,MATCH($E976,MUSTERILER!$B$7:$B$106,0)),IFERROR(INDEX(MUSTERILER!$B$7:$B$106,MATCH($E976&amp;"*",MUSTERILER!$C$7:$C$106,0)),"TANIMSIZ MÜŞTERİ"))))</f>
        <v/>
      </c>
      <c r="E976" s="109" t="n"/>
      <c r="F976" s="109" t="n"/>
      <c r="G976" s="108" t="n"/>
      <c r="H976" s="225" t="n"/>
      <c r="I976" s="225" t="n"/>
      <c r="J976" s="108" t="n"/>
      <c r="K976" s="108" t="n"/>
      <c r="L976" s="109" t="n"/>
      <c r="M976" s="109" t="n"/>
      <c r="N976" s="109" t="n"/>
      <c r="O976" s="225" t="n"/>
      <c r="P976" s="232">
        <f>IF(OR($E976="",$I976=""),"",IF(OR($J976="Tamamlandı",$J976="İptal"),"",$I976-TODAY()))</f>
        <v/>
      </c>
      <c r="Q976" s="113">
        <f>IF($E976="","",IF($D976="TANIMSIZ MÜŞTERİ","HATA",IF(OR($J976="Tamamlandı",$J976="İptal"),"KAPALI",IF(AND($C976="Görüşme",$N976=""),"SONRAKİ İŞLEM EKSİK",IF($I976="","TARİH EKSİK",IF($I976&lt;TODAY(),"GECİKMİŞ",IF($I976=TODAY(),"BUGÜN",IF($I976&lt;=TODAY()+7,"7 GÜN İÇİNDE","PLANLI"))))))))</f>
        <v/>
      </c>
      <c r="R976" s="6" t="n"/>
      <c r="S976" s="6" t="n"/>
    </row>
    <row r="977">
      <c r="A977" s="6" t="n"/>
      <c r="B977" s="113">
        <f>IF($E977="","","A"&amp;TEXT(ROW()-6,"00000"))</f>
        <v/>
      </c>
      <c r="C977" s="108" t="n"/>
      <c r="D977" s="113">
        <f>IF($E977="","",IFERROR(INDEX(MUSTERILER!$B$7:$B$106,MATCH($E977,MUSTERILER!$C$7:$C$106,0)),IFERROR(INDEX(MUSTERILER!$B$7:$B$106,MATCH($E977,MUSTERILER!$B$7:$B$106,0)),IFERROR(INDEX(MUSTERILER!$B$7:$B$106,MATCH($E977&amp;"*",MUSTERILER!$C$7:$C$106,0)),"TANIMSIZ MÜŞTERİ"))))</f>
        <v/>
      </c>
      <c r="E977" s="109" t="n"/>
      <c r="F977" s="109" t="n"/>
      <c r="G977" s="108" t="n"/>
      <c r="H977" s="225" t="n"/>
      <c r="I977" s="225" t="n"/>
      <c r="J977" s="108" t="n"/>
      <c r="K977" s="108" t="n"/>
      <c r="L977" s="109" t="n"/>
      <c r="M977" s="109" t="n"/>
      <c r="N977" s="109" t="n"/>
      <c r="O977" s="225" t="n"/>
      <c r="P977" s="232">
        <f>IF(OR($E977="",$I977=""),"",IF(OR($J977="Tamamlandı",$J977="İptal"),"",$I977-TODAY()))</f>
        <v/>
      </c>
      <c r="Q977" s="113">
        <f>IF($E977="","",IF($D977="TANIMSIZ MÜŞTERİ","HATA",IF(OR($J977="Tamamlandı",$J977="İptal"),"KAPALI",IF(AND($C977="Görüşme",$N977=""),"SONRAKİ İŞLEM EKSİK",IF($I977="","TARİH EKSİK",IF($I977&lt;TODAY(),"GECİKMİŞ",IF($I977=TODAY(),"BUGÜN",IF($I977&lt;=TODAY()+7,"7 GÜN İÇİNDE","PLANLI"))))))))</f>
        <v/>
      </c>
      <c r="R977" s="6" t="n"/>
      <c r="S977" s="6" t="n"/>
    </row>
    <row r="978">
      <c r="A978" s="6" t="n"/>
      <c r="B978" s="113">
        <f>IF($E978="","","A"&amp;TEXT(ROW()-6,"00000"))</f>
        <v/>
      </c>
      <c r="C978" s="108" t="n"/>
      <c r="D978" s="113">
        <f>IF($E978="","",IFERROR(INDEX(MUSTERILER!$B$7:$B$106,MATCH($E978,MUSTERILER!$C$7:$C$106,0)),IFERROR(INDEX(MUSTERILER!$B$7:$B$106,MATCH($E978,MUSTERILER!$B$7:$B$106,0)),IFERROR(INDEX(MUSTERILER!$B$7:$B$106,MATCH($E978&amp;"*",MUSTERILER!$C$7:$C$106,0)),"TANIMSIZ MÜŞTERİ"))))</f>
        <v/>
      </c>
      <c r="E978" s="109" t="n"/>
      <c r="F978" s="109" t="n"/>
      <c r="G978" s="108" t="n"/>
      <c r="H978" s="225" t="n"/>
      <c r="I978" s="225" t="n"/>
      <c r="J978" s="108" t="n"/>
      <c r="K978" s="108" t="n"/>
      <c r="L978" s="109" t="n"/>
      <c r="M978" s="109" t="n"/>
      <c r="N978" s="109" t="n"/>
      <c r="O978" s="225" t="n"/>
      <c r="P978" s="232">
        <f>IF(OR($E978="",$I978=""),"",IF(OR($J978="Tamamlandı",$J978="İptal"),"",$I978-TODAY()))</f>
        <v/>
      </c>
      <c r="Q978" s="113">
        <f>IF($E978="","",IF($D978="TANIMSIZ MÜŞTERİ","HATA",IF(OR($J978="Tamamlandı",$J978="İptal"),"KAPALI",IF(AND($C978="Görüşme",$N978=""),"SONRAKİ İŞLEM EKSİK",IF($I978="","TARİH EKSİK",IF($I978&lt;TODAY(),"GECİKMİŞ",IF($I978=TODAY(),"BUGÜN",IF($I978&lt;=TODAY()+7,"7 GÜN İÇİNDE","PLANLI"))))))))</f>
        <v/>
      </c>
      <c r="R978" s="6" t="n"/>
      <c r="S978" s="6" t="n"/>
    </row>
    <row r="979">
      <c r="A979" s="6" t="n"/>
      <c r="B979" s="113">
        <f>IF($E979="","","A"&amp;TEXT(ROW()-6,"00000"))</f>
        <v/>
      </c>
      <c r="C979" s="108" t="n"/>
      <c r="D979" s="113">
        <f>IF($E979="","",IFERROR(INDEX(MUSTERILER!$B$7:$B$106,MATCH($E979,MUSTERILER!$C$7:$C$106,0)),IFERROR(INDEX(MUSTERILER!$B$7:$B$106,MATCH($E979,MUSTERILER!$B$7:$B$106,0)),IFERROR(INDEX(MUSTERILER!$B$7:$B$106,MATCH($E979&amp;"*",MUSTERILER!$C$7:$C$106,0)),"TANIMSIZ MÜŞTERİ"))))</f>
        <v/>
      </c>
      <c r="E979" s="109" t="n"/>
      <c r="F979" s="109" t="n"/>
      <c r="G979" s="108" t="n"/>
      <c r="H979" s="225" t="n"/>
      <c r="I979" s="225" t="n"/>
      <c r="J979" s="108" t="n"/>
      <c r="K979" s="108" t="n"/>
      <c r="L979" s="109" t="n"/>
      <c r="M979" s="109" t="n"/>
      <c r="N979" s="109" t="n"/>
      <c r="O979" s="225" t="n"/>
      <c r="P979" s="232">
        <f>IF(OR($E979="",$I979=""),"",IF(OR($J979="Tamamlandı",$J979="İptal"),"",$I979-TODAY()))</f>
        <v/>
      </c>
      <c r="Q979" s="113">
        <f>IF($E979="","",IF($D979="TANIMSIZ MÜŞTERİ","HATA",IF(OR($J979="Tamamlandı",$J979="İptal"),"KAPALI",IF(AND($C979="Görüşme",$N979=""),"SONRAKİ İŞLEM EKSİK",IF($I979="","TARİH EKSİK",IF($I979&lt;TODAY(),"GECİKMİŞ",IF($I979=TODAY(),"BUGÜN",IF($I979&lt;=TODAY()+7,"7 GÜN İÇİNDE","PLANLI"))))))))</f>
        <v/>
      </c>
      <c r="R979" s="6" t="n"/>
      <c r="S979" s="6" t="n"/>
    </row>
    <row r="980">
      <c r="A980" s="6" t="n"/>
      <c r="B980" s="113">
        <f>IF($E980="","","A"&amp;TEXT(ROW()-6,"00000"))</f>
        <v/>
      </c>
      <c r="C980" s="108" t="n"/>
      <c r="D980" s="113">
        <f>IF($E980="","",IFERROR(INDEX(MUSTERILER!$B$7:$B$106,MATCH($E980,MUSTERILER!$C$7:$C$106,0)),IFERROR(INDEX(MUSTERILER!$B$7:$B$106,MATCH($E980,MUSTERILER!$B$7:$B$106,0)),IFERROR(INDEX(MUSTERILER!$B$7:$B$106,MATCH($E980&amp;"*",MUSTERILER!$C$7:$C$106,0)),"TANIMSIZ MÜŞTERİ"))))</f>
        <v/>
      </c>
      <c r="E980" s="109" t="n"/>
      <c r="F980" s="109" t="n"/>
      <c r="G980" s="108" t="n"/>
      <c r="H980" s="225" t="n"/>
      <c r="I980" s="225" t="n"/>
      <c r="J980" s="108" t="n"/>
      <c r="K980" s="108" t="n"/>
      <c r="L980" s="109" t="n"/>
      <c r="M980" s="109" t="n"/>
      <c r="N980" s="109" t="n"/>
      <c r="O980" s="225" t="n"/>
      <c r="P980" s="232">
        <f>IF(OR($E980="",$I980=""),"",IF(OR($J980="Tamamlandı",$J980="İptal"),"",$I980-TODAY()))</f>
        <v/>
      </c>
      <c r="Q980" s="113">
        <f>IF($E980="","",IF($D980="TANIMSIZ MÜŞTERİ","HATA",IF(OR($J980="Tamamlandı",$J980="İptal"),"KAPALI",IF(AND($C980="Görüşme",$N980=""),"SONRAKİ İŞLEM EKSİK",IF($I980="","TARİH EKSİK",IF($I980&lt;TODAY(),"GECİKMİŞ",IF($I980=TODAY(),"BUGÜN",IF($I980&lt;=TODAY()+7,"7 GÜN İÇİNDE","PLANLI"))))))))</f>
        <v/>
      </c>
      <c r="R980" s="6" t="n"/>
      <c r="S980" s="6" t="n"/>
    </row>
    <row r="981">
      <c r="A981" s="6" t="n"/>
      <c r="B981" s="113">
        <f>IF($E981="","","A"&amp;TEXT(ROW()-6,"00000"))</f>
        <v/>
      </c>
      <c r="C981" s="108" t="n"/>
      <c r="D981" s="113">
        <f>IF($E981="","",IFERROR(INDEX(MUSTERILER!$B$7:$B$106,MATCH($E981,MUSTERILER!$C$7:$C$106,0)),IFERROR(INDEX(MUSTERILER!$B$7:$B$106,MATCH($E981,MUSTERILER!$B$7:$B$106,0)),IFERROR(INDEX(MUSTERILER!$B$7:$B$106,MATCH($E981&amp;"*",MUSTERILER!$C$7:$C$106,0)),"TANIMSIZ MÜŞTERİ"))))</f>
        <v/>
      </c>
      <c r="E981" s="109" t="n"/>
      <c r="F981" s="109" t="n"/>
      <c r="G981" s="108" t="n"/>
      <c r="H981" s="225" t="n"/>
      <c r="I981" s="225" t="n"/>
      <c r="J981" s="108" t="n"/>
      <c r="K981" s="108" t="n"/>
      <c r="L981" s="109" t="n"/>
      <c r="M981" s="109" t="n"/>
      <c r="N981" s="109" t="n"/>
      <c r="O981" s="225" t="n"/>
      <c r="P981" s="232">
        <f>IF(OR($E981="",$I981=""),"",IF(OR($J981="Tamamlandı",$J981="İptal"),"",$I981-TODAY()))</f>
        <v/>
      </c>
      <c r="Q981" s="113">
        <f>IF($E981="","",IF($D981="TANIMSIZ MÜŞTERİ","HATA",IF(OR($J981="Tamamlandı",$J981="İptal"),"KAPALI",IF(AND($C981="Görüşme",$N981=""),"SONRAKİ İŞLEM EKSİK",IF($I981="","TARİH EKSİK",IF($I981&lt;TODAY(),"GECİKMİŞ",IF($I981=TODAY(),"BUGÜN",IF($I981&lt;=TODAY()+7,"7 GÜN İÇİNDE","PLANLI"))))))))</f>
        <v/>
      </c>
      <c r="R981" s="6" t="n"/>
      <c r="S981" s="6" t="n"/>
    </row>
    <row r="982">
      <c r="A982" s="6" t="n"/>
      <c r="B982" s="113">
        <f>IF($E982="","","A"&amp;TEXT(ROW()-6,"00000"))</f>
        <v/>
      </c>
      <c r="C982" s="108" t="n"/>
      <c r="D982" s="113">
        <f>IF($E982="","",IFERROR(INDEX(MUSTERILER!$B$7:$B$106,MATCH($E982,MUSTERILER!$C$7:$C$106,0)),IFERROR(INDEX(MUSTERILER!$B$7:$B$106,MATCH($E982,MUSTERILER!$B$7:$B$106,0)),IFERROR(INDEX(MUSTERILER!$B$7:$B$106,MATCH($E982&amp;"*",MUSTERILER!$C$7:$C$106,0)),"TANIMSIZ MÜŞTERİ"))))</f>
        <v/>
      </c>
      <c r="E982" s="109" t="n"/>
      <c r="F982" s="109" t="n"/>
      <c r="G982" s="108" t="n"/>
      <c r="H982" s="225" t="n"/>
      <c r="I982" s="225" t="n"/>
      <c r="J982" s="108" t="n"/>
      <c r="K982" s="108" t="n"/>
      <c r="L982" s="109" t="n"/>
      <c r="M982" s="109" t="n"/>
      <c r="N982" s="109" t="n"/>
      <c r="O982" s="225" t="n"/>
      <c r="P982" s="232">
        <f>IF(OR($E982="",$I982=""),"",IF(OR($J982="Tamamlandı",$J982="İptal"),"",$I982-TODAY()))</f>
        <v/>
      </c>
      <c r="Q982" s="113">
        <f>IF($E982="","",IF($D982="TANIMSIZ MÜŞTERİ","HATA",IF(OR($J982="Tamamlandı",$J982="İptal"),"KAPALI",IF(AND($C982="Görüşme",$N982=""),"SONRAKİ İŞLEM EKSİK",IF($I982="","TARİH EKSİK",IF($I982&lt;TODAY(),"GECİKMİŞ",IF($I982=TODAY(),"BUGÜN",IF($I982&lt;=TODAY()+7,"7 GÜN İÇİNDE","PLANLI"))))))))</f>
        <v/>
      </c>
      <c r="R982" s="6" t="n"/>
      <c r="S982" s="6" t="n"/>
    </row>
    <row r="983">
      <c r="A983" s="6" t="n"/>
      <c r="B983" s="113">
        <f>IF($E983="","","A"&amp;TEXT(ROW()-6,"00000"))</f>
        <v/>
      </c>
      <c r="C983" s="108" t="n"/>
      <c r="D983" s="113">
        <f>IF($E983="","",IFERROR(INDEX(MUSTERILER!$B$7:$B$106,MATCH($E983,MUSTERILER!$C$7:$C$106,0)),IFERROR(INDEX(MUSTERILER!$B$7:$B$106,MATCH($E983,MUSTERILER!$B$7:$B$106,0)),IFERROR(INDEX(MUSTERILER!$B$7:$B$106,MATCH($E983&amp;"*",MUSTERILER!$C$7:$C$106,0)),"TANIMSIZ MÜŞTERİ"))))</f>
        <v/>
      </c>
      <c r="E983" s="109" t="n"/>
      <c r="F983" s="109" t="n"/>
      <c r="G983" s="108" t="n"/>
      <c r="H983" s="225" t="n"/>
      <c r="I983" s="225" t="n"/>
      <c r="J983" s="108" t="n"/>
      <c r="K983" s="108" t="n"/>
      <c r="L983" s="109" t="n"/>
      <c r="M983" s="109" t="n"/>
      <c r="N983" s="109" t="n"/>
      <c r="O983" s="225" t="n"/>
      <c r="P983" s="232">
        <f>IF(OR($E983="",$I983=""),"",IF(OR($J983="Tamamlandı",$J983="İptal"),"",$I983-TODAY()))</f>
        <v/>
      </c>
      <c r="Q983" s="113">
        <f>IF($E983="","",IF($D983="TANIMSIZ MÜŞTERİ","HATA",IF(OR($J983="Tamamlandı",$J983="İptal"),"KAPALI",IF(AND($C983="Görüşme",$N983=""),"SONRAKİ İŞLEM EKSİK",IF($I983="","TARİH EKSİK",IF($I983&lt;TODAY(),"GECİKMİŞ",IF($I983=TODAY(),"BUGÜN",IF($I983&lt;=TODAY()+7,"7 GÜN İÇİNDE","PLANLI"))))))))</f>
        <v/>
      </c>
      <c r="R983" s="6" t="n"/>
      <c r="S983" s="6" t="n"/>
    </row>
    <row r="984">
      <c r="A984" s="6" t="n"/>
      <c r="B984" s="113">
        <f>IF($E984="","","A"&amp;TEXT(ROW()-6,"00000"))</f>
        <v/>
      </c>
      <c r="C984" s="108" t="n"/>
      <c r="D984" s="113">
        <f>IF($E984="","",IFERROR(INDEX(MUSTERILER!$B$7:$B$106,MATCH($E984,MUSTERILER!$C$7:$C$106,0)),IFERROR(INDEX(MUSTERILER!$B$7:$B$106,MATCH($E984,MUSTERILER!$B$7:$B$106,0)),IFERROR(INDEX(MUSTERILER!$B$7:$B$106,MATCH($E984&amp;"*",MUSTERILER!$C$7:$C$106,0)),"TANIMSIZ MÜŞTERİ"))))</f>
        <v/>
      </c>
      <c r="E984" s="109" t="n"/>
      <c r="F984" s="109" t="n"/>
      <c r="G984" s="108" t="n"/>
      <c r="H984" s="225" t="n"/>
      <c r="I984" s="225" t="n"/>
      <c r="J984" s="108" t="n"/>
      <c r="K984" s="108" t="n"/>
      <c r="L984" s="109" t="n"/>
      <c r="M984" s="109" t="n"/>
      <c r="N984" s="109" t="n"/>
      <c r="O984" s="225" t="n"/>
      <c r="P984" s="232">
        <f>IF(OR($E984="",$I984=""),"",IF(OR($J984="Tamamlandı",$J984="İptal"),"",$I984-TODAY()))</f>
        <v/>
      </c>
      <c r="Q984" s="113">
        <f>IF($E984="","",IF($D984="TANIMSIZ MÜŞTERİ","HATA",IF(OR($J984="Tamamlandı",$J984="İptal"),"KAPALI",IF(AND($C984="Görüşme",$N984=""),"SONRAKİ İŞLEM EKSİK",IF($I984="","TARİH EKSİK",IF($I984&lt;TODAY(),"GECİKMİŞ",IF($I984=TODAY(),"BUGÜN",IF($I984&lt;=TODAY()+7,"7 GÜN İÇİNDE","PLANLI"))))))))</f>
        <v/>
      </c>
      <c r="R984" s="6" t="n"/>
      <c r="S984" s="6" t="n"/>
    </row>
    <row r="985">
      <c r="A985" s="6" t="n"/>
      <c r="B985" s="113">
        <f>IF($E985="","","A"&amp;TEXT(ROW()-6,"00000"))</f>
        <v/>
      </c>
      <c r="C985" s="108" t="n"/>
      <c r="D985" s="113">
        <f>IF($E985="","",IFERROR(INDEX(MUSTERILER!$B$7:$B$106,MATCH($E985,MUSTERILER!$C$7:$C$106,0)),IFERROR(INDEX(MUSTERILER!$B$7:$B$106,MATCH($E985,MUSTERILER!$B$7:$B$106,0)),IFERROR(INDEX(MUSTERILER!$B$7:$B$106,MATCH($E985&amp;"*",MUSTERILER!$C$7:$C$106,0)),"TANIMSIZ MÜŞTERİ"))))</f>
        <v/>
      </c>
      <c r="E985" s="109" t="n"/>
      <c r="F985" s="109" t="n"/>
      <c r="G985" s="108" t="n"/>
      <c r="H985" s="225" t="n"/>
      <c r="I985" s="225" t="n"/>
      <c r="J985" s="108" t="n"/>
      <c r="K985" s="108" t="n"/>
      <c r="L985" s="109" t="n"/>
      <c r="M985" s="109" t="n"/>
      <c r="N985" s="109" t="n"/>
      <c r="O985" s="225" t="n"/>
      <c r="P985" s="232">
        <f>IF(OR($E985="",$I985=""),"",IF(OR($J985="Tamamlandı",$J985="İptal"),"",$I985-TODAY()))</f>
        <v/>
      </c>
      <c r="Q985" s="113">
        <f>IF($E985="","",IF($D985="TANIMSIZ MÜŞTERİ","HATA",IF(OR($J985="Tamamlandı",$J985="İptal"),"KAPALI",IF(AND($C985="Görüşme",$N985=""),"SONRAKİ İŞLEM EKSİK",IF($I985="","TARİH EKSİK",IF($I985&lt;TODAY(),"GECİKMİŞ",IF($I985=TODAY(),"BUGÜN",IF($I985&lt;=TODAY()+7,"7 GÜN İÇİNDE","PLANLI"))))))))</f>
        <v/>
      </c>
      <c r="R985" s="6" t="n"/>
      <c r="S985" s="6" t="n"/>
    </row>
    <row r="986">
      <c r="A986" s="6" t="n"/>
      <c r="B986" s="113">
        <f>IF($E986="","","A"&amp;TEXT(ROW()-6,"00000"))</f>
        <v/>
      </c>
      <c r="C986" s="108" t="n"/>
      <c r="D986" s="113">
        <f>IF($E986="","",IFERROR(INDEX(MUSTERILER!$B$7:$B$106,MATCH($E986,MUSTERILER!$C$7:$C$106,0)),IFERROR(INDEX(MUSTERILER!$B$7:$B$106,MATCH($E986,MUSTERILER!$B$7:$B$106,0)),IFERROR(INDEX(MUSTERILER!$B$7:$B$106,MATCH($E986&amp;"*",MUSTERILER!$C$7:$C$106,0)),"TANIMSIZ MÜŞTERİ"))))</f>
        <v/>
      </c>
      <c r="E986" s="109" t="n"/>
      <c r="F986" s="109" t="n"/>
      <c r="G986" s="108" t="n"/>
      <c r="H986" s="225" t="n"/>
      <c r="I986" s="225" t="n"/>
      <c r="J986" s="108" t="n"/>
      <c r="K986" s="108" t="n"/>
      <c r="L986" s="109" t="n"/>
      <c r="M986" s="109" t="n"/>
      <c r="N986" s="109" t="n"/>
      <c r="O986" s="225" t="n"/>
      <c r="P986" s="232">
        <f>IF(OR($E986="",$I986=""),"",IF(OR($J986="Tamamlandı",$J986="İptal"),"",$I986-TODAY()))</f>
        <v/>
      </c>
      <c r="Q986" s="113">
        <f>IF($E986="","",IF($D986="TANIMSIZ MÜŞTERİ","HATA",IF(OR($J986="Tamamlandı",$J986="İptal"),"KAPALI",IF(AND($C986="Görüşme",$N986=""),"SONRAKİ İŞLEM EKSİK",IF($I986="","TARİH EKSİK",IF($I986&lt;TODAY(),"GECİKMİŞ",IF($I986=TODAY(),"BUGÜN",IF($I986&lt;=TODAY()+7,"7 GÜN İÇİNDE","PLANLI"))))))))</f>
        <v/>
      </c>
      <c r="R986" s="6" t="n"/>
      <c r="S986" s="6" t="n"/>
    </row>
    <row r="987">
      <c r="A987" s="6" t="n"/>
      <c r="B987" s="113">
        <f>IF($E987="","","A"&amp;TEXT(ROW()-6,"00000"))</f>
        <v/>
      </c>
      <c r="C987" s="108" t="n"/>
      <c r="D987" s="113">
        <f>IF($E987="","",IFERROR(INDEX(MUSTERILER!$B$7:$B$106,MATCH($E987,MUSTERILER!$C$7:$C$106,0)),IFERROR(INDEX(MUSTERILER!$B$7:$B$106,MATCH($E987,MUSTERILER!$B$7:$B$106,0)),IFERROR(INDEX(MUSTERILER!$B$7:$B$106,MATCH($E987&amp;"*",MUSTERILER!$C$7:$C$106,0)),"TANIMSIZ MÜŞTERİ"))))</f>
        <v/>
      </c>
      <c r="E987" s="109" t="n"/>
      <c r="F987" s="109" t="n"/>
      <c r="G987" s="108" t="n"/>
      <c r="H987" s="225" t="n"/>
      <c r="I987" s="225" t="n"/>
      <c r="J987" s="108" t="n"/>
      <c r="K987" s="108" t="n"/>
      <c r="L987" s="109" t="n"/>
      <c r="M987" s="109" t="n"/>
      <c r="N987" s="109" t="n"/>
      <c r="O987" s="225" t="n"/>
      <c r="P987" s="232">
        <f>IF(OR($E987="",$I987=""),"",IF(OR($J987="Tamamlandı",$J987="İptal"),"",$I987-TODAY()))</f>
        <v/>
      </c>
      <c r="Q987" s="113">
        <f>IF($E987="","",IF($D987="TANIMSIZ MÜŞTERİ","HATA",IF(OR($J987="Tamamlandı",$J987="İptal"),"KAPALI",IF(AND($C987="Görüşme",$N987=""),"SONRAKİ İŞLEM EKSİK",IF($I987="","TARİH EKSİK",IF($I987&lt;TODAY(),"GECİKMİŞ",IF($I987=TODAY(),"BUGÜN",IF($I987&lt;=TODAY()+7,"7 GÜN İÇİNDE","PLANLI"))))))))</f>
        <v/>
      </c>
      <c r="R987" s="6" t="n"/>
      <c r="S987" s="6" t="n"/>
    </row>
    <row r="988">
      <c r="A988" s="6" t="n"/>
      <c r="B988" s="113">
        <f>IF($E988="","","A"&amp;TEXT(ROW()-6,"00000"))</f>
        <v/>
      </c>
      <c r="C988" s="108" t="n"/>
      <c r="D988" s="113">
        <f>IF($E988="","",IFERROR(INDEX(MUSTERILER!$B$7:$B$106,MATCH($E988,MUSTERILER!$C$7:$C$106,0)),IFERROR(INDEX(MUSTERILER!$B$7:$B$106,MATCH($E988,MUSTERILER!$B$7:$B$106,0)),IFERROR(INDEX(MUSTERILER!$B$7:$B$106,MATCH($E988&amp;"*",MUSTERILER!$C$7:$C$106,0)),"TANIMSIZ MÜŞTERİ"))))</f>
        <v/>
      </c>
      <c r="E988" s="109" t="n"/>
      <c r="F988" s="109" t="n"/>
      <c r="G988" s="108" t="n"/>
      <c r="H988" s="225" t="n"/>
      <c r="I988" s="225" t="n"/>
      <c r="J988" s="108" t="n"/>
      <c r="K988" s="108" t="n"/>
      <c r="L988" s="109" t="n"/>
      <c r="M988" s="109" t="n"/>
      <c r="N988" s="109" t="n"/>
      <c r="O988" s="225" t="n"/>
      <c r="P988" s="232">
        <f>IF(OR($E988="",$I988=""),"",IF(OR($J988="Tamamlandı",$J988="İptal"),"",$I988-TODAY()))</f>
        <v/>
      </c>
      <c r="Q988" s="113">
        <f>IF($E988="","",IF($D988="TANIMSIZ MÜŞTERİ","HATA",IF(OR($J988="Tamamlandı",$J988="İptal"),"KAPALI",IF(AND($C988="Görüşme",$N988=""),"SONRAKİ İŞLEM EKSİK",IF($I988="","TARİH EKSİK",IF($I988&lt;TODAY(),"GECİKMİŞ",IF($I988=TODAY(),"BUGÜN",IF($I988&lt;=TODAY()+7,"7 GÜN İÇİNDE","PLANLI"))))))))</f>
        <v/>
      </c>
      <c r="R988" s="6" t="n"/>
      <c r="S988" s="6" t="n"/>
    </row>
    <row r="989">
      <c r="A989" s="6" t="n"/>
      <c r="B989" s="113">
        <f>IF($E989="","","A"&amp;TEXT(ROW()-6,"00000"))</f>
        <v/>
      </c>
      <c r="C989" s="108" t="n"/>
      <c r="D989" s="113">
        <f>IF($E989="","",IFERROR(INDEX(MUSTERILER!$B$7:$B$106,MATCH($E989,MUSTERILER!$C$7:$C$106,0)),IFERROR(INDEX(MUSTERILER!$B$7:$B$106,MATCH($E989,MUSTERILER!$B$7:$B$106,0)),IFERROR(INDEX(MUSTERILER!$B$7:$B$106,MATCH($E989&amp;"*",MUSTERILER!$C$7:$C$106,0)),"TANIMSIZ MÜŞTERİ"))))</f>
        <v/>
      </c>
      <c r="E989" s="109" t="n"/>
      <c r="F989" s="109" t="n"/>
      <c r="G989" s="108" t="n"/>
      <c r="H989" s="225" t="n"/>
      <c r="I989" s="225" t="n"/>
      <c r="J989" s="108" t="n"/>
      <c r="K989" s="108" t="n"/>
      <c r="L989" s="109" t="n"/>
      <c r="M989" s="109" t="n"/>
      <c r="N989" s="109" t="n"/>
      <c r="O989" s="225" t="n"/>
      <c r="P989" s="232">
        <f>IF(OR($E989="",$I989=""),"",IF(OR($J989="Tamamlandı",$J989="İptal"),"",$I989-TODAY()))</f>
        <v/>
      </c>
      <c r="Q989" s="113">
        <f>IF($E989="","",IF($D989="TANIMSIZ MÜŞTERİ","HATA",IF(OR($J989="Tamamlandı",$J989="İptal"),"KAPALI",IF(AND($C989="Görüşme",$N989=""),"SONRAKİ İŞLEM EKSİK",IF($I989="","TARİH EKSİK",IF($I989&lt;TODAY(),"GECİKMİŞ",IF($I989=TODAY(),"BUGÜN",IF($I989&lt;=TODAY()+7,"7 GÜN İÇİNDE","PLANLI"))))))))</f>
        <v/>
      </c>
      <c r="R989" s="6" t="n"/>
      <c r="S989" s="6" t="n"/>
    </row>
    <row r="990">
      <c r="A990" s="6" t="n"/>
      <c r="B990" s="113">
        <f>IF($E990="","","A"&amp;TEXT(ROW()-6,"00000"))</f>
        <v/>
      </c>
      <c r="C990" s="108" t="n"/>
      <c r="D990" s="113">
        <f>IF($E990="","",IFERROR(INDEX(MUSTERILER!$B$7:$B$106,MATCH($E990,MUSTERILER!$C$7:$C$106,0)),IFERROR(INDEX(MUSTERILER!$B$7:$B$106,MATCH($E990,MUSTERILER!$B$7:$B$106,0)),IFERROR(INDEX(MUSTERILER!$B$7:$B$106,MATCH($E990&amp;"*",MUSTERILER!$C$7:$C$106,0)),"TANIMSIZ MÜŞTERİ"))))</f>
        <v/>
      </c>
      <c r="E990" s="109" t="n"/>
      <c r="F990" s="109" t="n"/>
      <c r="G990" s="108" t="n"/>
      <c r="H990" s="225" t="n"/>
      <c r="I990" s="225" t="n"/>
      <c r="J990" s="108" t="n"/>
      <c r="K990" s="108" t="n"/>
      <c r="L990" s="109" t="n"/>
      <c r="M990" s="109" t="n"/>
      <c r="N990" s="109" t="n"/>
      <c r="O990" s="225" t="n"/>
      <c r="P990" s="232">
        <f>IF(OR($E990="",$I990=""),"",IF(OR($J990="Tamamlandı",$J990="İptal"),"",$I990-TODAY()))</f>
        <v/>
      </c>
      <c r="Q990" s="113">
        <f>IF($E990="","",IF($D990="TANIMSIZ MÜŞTERİ","HATA",IF(OR($J990="Tamamlandı",$J990="İptal"),"KAPALI",IF(AND($C990="Görüşme",$N990=""),"SONRAKİ İŞLEM EKSİK",IF($I990="","TARİH EKSİK",IF($I990&lt;TODAY(),"GECİKMİŞ",IF($I990=TODAY(),"BUGÜN",IF($I990&lt;=TODAY()+7,"7 GÜN İÇİNDE","PLANLI"))))))))</f>
        <v/>
      </c>
      <c r="R990" s="6" t="n"/>
      <c r="S990" s="6" t="n"/>
    </row>
    <row r="991">
      <c r="A991" s="6" t="n"/>
      <c r="B991" s="113">
        <f>IF($E991="","","A"&amp;TEXT(ROW()-6,"00000"))</f>
        <v/>
      </c>
      <c r="C991" s="108" t="n"/>
      <c r="D991" s="113">
        <f>IF($E991="","",IFERROR(INDEX(MUSTERILER!$B$7:$B$106,MATCH($E991,MUSTERILER!$C$7:$C$106,0)),IFERROR(INDEX(MUSTERILER!$B$7:$B$106,MATCH($E991,MUSTERILER!$B$7:$B$106,0)),IFERROR(INDEX(MUSTERILER!$B$7:$B$106,MATCH($E991&amp;"*",MUSTERILER!$C$7:$C$106,0)),"TANIMSIZ MÜŞTERİ"))))</f>
        <v/>
      </c>
      <c r="E991" s="109" t="n"/>
      <c r="F991" s="109" t="n"/>
      <c r="G991" s="108" t="n"/>
      <c r="H991" s="225" t="n"/>
      <c r="I991" s="225" t="n"/>
      <c r="J991" s="108" t="n"/>
      <c r="K991" s="108" t="n"/>
      <c r="L991" s="109" t="n"/>
      <c r="M991" s="109" t="n"/>
      <c r="N991" s="109" t="n"/>
      <c r="O991" s="225" t="n"/>
      <c r="P991" s="232">
        <f>IF(OR($E991="",$I991=""),"",IF(OR($J991="Tamamlandı",$J991="İptal"),"",$I991-TODAY()))</f>
        <v/>
      </c>
      <c r="Q991" s="113">
        <f>IF($E991="","",IF($D991="TANIMSIZ MÜŞTERİ","HATA",IF(OR($J991="Tamamlandı",$J991="İptal"),"KAPALI",IF(AND($C991="Görüşme",$N991=""),"SONRAKİ İŞLEM EKSİK",IF($I991="","TARİH EKSİK",IF($I991&lt;TODAY(),"GECİKMİŞ",IF($I991=TODAY(),"BUGÜN",IF($I991&lt;=TODAY()+7,"7 GÜN İÇİNDE","PLANLI"))))))))</f>
        <v/>
      </c>
      <c r="R991" s="6" t="n"/>
      <c r="S991" s="6" t="n"/>
    </row>
    <row r="992">
      <c r="A992" s="6" t="n"/>
      <c r="B992" s="113">
        <f>IF($E992="","","A"&amp;TEXT(ROW()-6,"00000"))</f>
        <v/>
      </c>
      <c r="C992" s="108" t="n"/>
      <c r="D992" s="113">
        <f>IF($E992="","",IFERROR(INDEX(MUSTERILER!$B$7:$B$106,MATCH($E992,MUSTERILER!$C$7:$C$106,0)),IFERROR(INDEX(MUSTERILER!$B$7:$B$106,MATCH($E992,MUSTERILER!$B$7:$B$106,0)),IFERROR(INDEX(MUSTERILER!$B$7:$B$106,MATCH($E992&amp;"*",MUSTERILER!$C$7:$C$106,0)),"TANIMSIZ MÜŞTERİ"))))</f>
        <v/>
      </c>
      <c r="E992" s="109" t="n"/>
      <c r="F992" s="109" t="n"/>
      <c r="G992" s="108" t="n"/>
      <c r="H992" s="225" t="n"/>
      <c r="I992" s="225" t="n"/>
      <c r="J992" s="108" t="n"/>
      <c r="K992" s="108" t="n"/>
      <c r="L992" s="109" t="n"/>
      <c r="M992" s="109" t="n"/>
      <c r="N992" s="109" t="n"/>
      <c r="O992" s="225" t="n"/>
      <c r="P992" s="232">
        <f>IF(OR($E992="",$I992=""),"",IF(OR($J992="Tamamlandı",$J992="İptal"),"",$I992-TODAY()))</f>
        <v/>
      </c>
      <c r="Q992" s="113">
        <f>IF($E992="","",IF($D992="TANIMSIZ MÜŞTERİ","HATA",IF(OR($J992="Tamamlandı",$J992="İptal"),"KAPALI",IF(AND($C992="Görüşme",$N992=""),"SONRAKİ İŞLEM EKSİK",IF($I992="","TARİH EKSİK",IF($I992&lt;TODAY(),"GECİKMİŞ",IF($I992=TODAY(),"BUGÜN",IF($I992&lt;=TODAY()+7,"7 GÜN İÇİNDE","PLANLI"))))))))</f>
        <v/>
      </c>
      <c r="R992" s="6" t="n"/>
      <c r="S992" s="6" t="n"/>
    </row>
    <row r="993">
      <c r="A993" s="6" t="n"/>
      <c r="B993" s="113">
        <f>IF($E993="","","A"&amp;TEXT(ROW()-6,"00000"))</f>
        <v/>
      </c>
      <c r="C993" s="108" t="n"/>
      <c r="D993" s="113">
        <f>IF($E993="","",IFERROR(INDEX(MUSTERILER!$B$7:$B$106,MATCH($E993,MUSTERILER!$C$7:$C$106,0)),IFERROR(INDEX(MUSTERILER!$B$7:$B$106,MATCH($E993,MUSTERILER!$B$7:$B$106,0)),IFERROR(INDEX(MUSTERILER!$B$7:$B$106,MATCH($E993&amp;"*",MUSTERILER!$C$7:$C$106,0)),"TANIMSIZ MÜŞTERİ"))))</f>
        <v/>
      </c>
      <c r="E993" s="109" t="n"/>
      <c r="F993" s="109" t="n"/>
      <c r="G993" s="108" t="n"/>
      <c r="H993" s="225" t="n"/>
      <c r="I993" s="225" t="n"/>
      <c r="J993" s="108" t="n"/>
      <c r="K993" s="108" t="n"/>
      <c r="L993" s="109" t="n"/>
      <c r="M993" s="109" t="n"/>
      <c r="N993" s="109" t="n"/>
      <c r="O993" s="225" t="n"/>
      <c r="P993" s="232">
        <f>IF(OR($E993="",$I993=""),"",IF(OR($J993="Tamamlandı",$J993="İptal"),"",$I993-TODAY()))</f>
        <v/>
      </c>
      <c r="Q993" s="113">
        <f>IF($E993="","",IF($D993="TANIMSIZ MÜŞTERİ","HATA",IF(OR($J993="Tamamlandı",$J993="İptal"),"KAPALI",IF(AND($C993="Görüşme",$N993=""),"SONRAKİ İŞLEM EKSİK",IF($I993="","TARİH EKSİK",IF($I993&lt;TODAY(),"GECİKMİŞ",IF($I993=TODAY(),"BUGÜN",IF($I993&lt;=TODAY()+7,"7 GÜN İÇİNDE","PLANLI"))))))))</f>
        <v/>
      </c>
      <c r="R993" s="6" t="n"/>
      <c r="S993" s="6" t="n"/>
    </row>
    <row r="994">
      <c r="A994" s="6" t="n"/>
      <c r="B994" s="113">
        <f>IF($E994="","","A"&amp;TEXT(ROW()-6,"00000"))</f>
        <v/>
      </c>
      <c r="C994" s="108" t="n"/>
      <c r="D994" s="113">
        <f>IF($E994="","",IFERROR(INDEX(MUSTERILER!$B$7:$B$106,MATCH($E994,MUSTERILER!$C$7:$C$106,0)),IFERROR(INDEX(MUSTERILER!$B$7:$B$106,MATCH($E994,MUSTERILER!$B$7:$B$106,0)),IFERROR(INDEX(MUSTERILER!$B$7:$B$106,MATCH($E994&amp;"*",MUSTERILER!$C$7:$C$106,0)),"TANIMSIZ MÜŞTERİ"))))</f>
        <v/>
      </c>
      <c r="E994" s="109" t="n"/>
      <c r="F994" s="109" t="n"/>
      <c r="G994" s="108" t="n"/>
      <c r="H994" s="225" t="n"/>
      <c r="I994" s="225" t="n"/>
      <c r="J994" s="108" t="n"/>
      <c r="K994" s="108" t="n"/>
      <c r="L994" s="109" t="n"/>
      <c r="M994" s="109" t="n"/>
      <c r="N994" s="109" t="n"/>
      <c r="O994" s="225" t="n"/>
      <c r="P994" s="232">
        <f>IF(OR($E994="",$I994=""),"",IF(OR($J994="Tamamlandı",$J994="İptal"),"",$I994-TODAY()))</f>
        <v/>
      </c>
      <c r="Q994" s="113">
        <f>IF($E994="","",IF($D994="TANIMSIZ MÜŞTERİ","HATA",IF(OR($J994="Tamamlandı",$J994="İptal"),"KAPALI",IF(AND($C994="Görüşme",$N994=""),"SONRAKİ İŞLEM EKSİK",IF($I994="","TARİH EKSİK",IF($I994&lt;TODAY(),"GECİKMİŞ",IF($I994=TODAY(),"BUGÜN",IF($I994&lt;=TODAY()+7,"7 GÜN İÇİNDE","PLANLI"))))))))</f>
        <v/>
      </c>
      <c r="R994" s="6" t="n"/>
      <c r="S994" s="6" t="n"/>
    </row>
    <row r="995">
      <c r="A995" s="6" t="n"/>
      <c r="B995" s="113">
        <f>IF($E995="","","A"&amp;TEXT(ROW()-6,"00000"))</f>
        <v/>
      </c>
      <c r="C995" s="108" t="n"/>
      <c r="D995" s="113">
        <f>IF($E995="","",IFERROR(INDEX(MUSTERILER!$B$7:$B$106,MATCH($E995,MUSTERILER!$C$7:$C$106,0)),IFERROR(INDEX(MUSTERILER!$B$7:$B$106,MATCH($E995,MUSTERILER!$B$7:$B$106,0)),IFERROR(INDEX(MUSTERILER!$B$7:$B$106,MATCH($E995&amp;"*",MUSTERILER!$C$7:$C$106,0)),"TANIMSIZ MÜŞTERİ"))))</f>
        <v/>
      </c>
      <c r="E995" s="109" t="n"/>
      <c r="F995" s="109" t="n"/>
      <c r="G995" s="108" t="n"/>
      <c r="H995" s="225" t="n"/>
      <c r="I995" s="225" t="n"/>
      <c r="J995" s="108" t="n"/>
      <c r="K995" s="108" t="n"/>
      <c r="L995" s="109" t="n"/>
      <c r="M995" s="109" t="n"/>
      <c r="N995" s="109" t="n"/>
      <c r="O995" s="225" t="n"/>
      <c r="P995" s="232">
        <f>IF(OR($E995="",$I995=""),"",IF(OR($J995="Tamamlandı",$J995="İptal"),"",$I995-TODAY()))</f>
        <v/>
      </c>
      <c r="Q995" s="113">
        <f>IF($E995="","",IF($D995="TANIMSIZ MÜŞTERİ","HATA",IF(OR($J995="Tamamlandı",$J995="İptal"),"KAPALI",IF(AND($C995="Görüşme",$N995=""),"SONRAKİ İŞLEM EKSİK",IF($I995="","TARİH EKSİK",IF($I995&lt;TODAY(),"GECİKMİŞ",IF($I995=TODAY(),"BUGÜN",IF($I995&lt;=TODAY()+7,"7 GÜN İÇİNDE","PLANLI"))))))))</f>
        <v/>
      </c>
      <c r="R995" s="6" t="n"/>
      <c r="S995" s="6" t="n"/>
    </row>
    <row r="996">
      <c r="A996" s="6" t="n"/>
      <c r="B996" s="113">
        <f>IF($E996="","","A"&amp;TEXT(ROW()-6,"00000"))</f>
        <v/>
      </c>
      <c r="C996" s="108" t="n"/>
      <c r="D996" s="113">
        <f>IF($E996="","",IFERROR(INDEX(MUSTERILER!$B$7:$B$106,MATCH($E996,MUSTERILER!$C$7:$C$106,0)),IFERROR(INDEX(MUSTERILER!$B$7:$B$106,MATCH($E996,MUSTERILER!$B$7:$B$106,0)),IFERROR(INDEX(MUSTERILER!$B$7:$B$106,MATCH($E996&amp;"*",MUSTERILER!$C$7:$C$106,0)),"TANIMSIZ MÜŞTERİ"))))</f>
        <v/>
      </c>
      <c r="E996" s="109" t="n"/>
      <c r="F996" s="109" t="n"/>
      <c r="G996" s="108" t="n"/>
      <c r="H996" s="225" t="n"/>
      <c r="I996" s="225" t="n"/>
      <c r="J996" s="108" t="n"/>
      <c r="K996" s="108" t="n"/>
      <c r="L996" s="109" t="n"/>
      <c r="M996" s="109" t="n"/>
      <c r="N996" s="109" t="n"/>
      <c r="O996" s="225" t="n"/>
      <c r="P996" s="232">
        <f>IF(OR($E996="",$I996=""),"",IF(OR($J996="Tamamlandı",$J996="İptal"),"",$I996-TODAY()))</f>
        <v/>
      </c>
      <c r="Q996" s="113">
        <f>IF($E996="","",IF($D996="TANIMSIZ MÜŞTERİ","HATA",IF(OR($J996="Tamamlandı",$J996="İptal"),"KAPALI",IF(AND($C996="Görüşme",$N996=""),"SONRAKİ İŞLEM EKSİK",IF($I996="","TARİH EKSİK",IF($I996&lt;TODAY(),"GECİKMİŞ",IF($I996=TODAY(),"BUGÜN",IF($I996&lt;=TODAY()+7,"7 GÜN İÇİNDE","PLANLI"))))))))</f>
        <v/>
      </c>
      <c r="R996" s="6" t="n"/>
      <c r="S996" s="6" t="n"/>
    </row>
    <row r="997">
      <c r="A997" s="6" t="n"/>
      <c r="B997" s="113">
        <f>IF($E997="","","A"&amp;TEXT(ROW()-6,"00000"))</f>
        <v/>
      </c>
      <c r="C997" s="108" t="n"/>
      <c r="D997" s="113">
        <f>IF($E997="","",IFERROR(INDEX(MUSTERILER!$B$7:$B$106,MATCH($E997,MUSTERILER!$C$7:$C$106,0)),IFERROR(INDEX(MUSTERILER!$B$7:$B$106,MATCH($E997,MUSTERILER!$B$7:$B$106,0)),IFERROR(INDEX(MUSTERILER!$B$7:$B$106,MATCH($E997&amp;"*",MUSTERILER!$C$7:$C$106,0)),"TANIMSIZ MÜŞTERİ"))))</f>
        <v/>
      </c>
      <c r="E997" s="109" t="n"/>
      <c r="F997" s="109" t="n"/>
      <c r="G997" s="108" t="n"/>
      <c r="H997" s="225" t="n"/>
      <c r="I997" s="225" t="n"/>
      <c r="J997" s="108" t="n"/>
      <c r="K997" s="108" t="n"/>
      <c r="L997" s="109" t="n"/>
      <c r="M997" s="109" t="n"/>
      <c r="N997" s="109" t="n"/>
      <c r="O997" s="225" t="n"/>
      <c r="P997" s="232">
        <f>IF(OR($E997="",$I997=""),"",IF(OR($J997="Tamamlandı",$J997="İptal"),"",$I997-TODAY()))</f>
        <v/>
      </c>
      <c r="Q997" s="113">
        <f>IF($E997="","",IF($D997="TANIMSIZ MÜŞTERİ","HATA",IF(OR($J997="Tamamlandı",$J997="İptal"),"KAPALI",IF(AND($C997="Görüşme",$N997=""),"SONRAKİ İŞLEM EKSİK",IF($I997="","TARİH EKSİK",IF($I997&lt;TODAY(),"GECİKMİŞ",IF($I997=TODAY(),"BUGÜN",IF($I997&lt;=TODAY()+7,"7 GÜN İÇİNDE","PLANLI"))))))))</f>
        <v/>
      </c>
      <c r="R997" s="6" t="n"/>
      <c r="S997" s="6" t="n"/>
    </row>
    <row r="998">
      <c r="A998" s="6" t="n"/>
      <c r="B998" s="113">
        <f>IF($E998="","","A"&amp;TEXT(ROW()-6,"00000"))</f>
        <v/>
      </c>
      <c r="C998" s="108" t="n"/>
      <c r="D998" s="113">
        <f>IF($E998="","",IFERROR(INDEX(MUSTERILER!$B$7:$B$106,MATCH($E998,MUSTERILER!$C$7:$C$106,0)),IFERROR(INDEX(MUSTERILER!$B$7:$B$106,MATCH($E998,MUSTERILER!$B$7:$B$106,0)),IFERROR(INDEX(MUSTERILER!$B$7:$B$106,MATCH($E998&amp;"*",MUSTERILER!$C$7:$C$106,0)),"TANIMSIZ MÜŞTERİ"))))</f>
        <v/>
      </c>
      <c r="E998" s="109" t="n"/>
      <c r="F998" s="109" t="n"/>
      <c r="G998" s="108" t="n"/>
      <c r="H998" s="225" t="n"/>
      <c r="I998" s="225" t="n"/>
      <c r="J998" s="108" t="n"/>
      <c r="K998" s="108" t="n"/>
      <c r="L998" s="109" t="n"/>
      <c r="M998" s="109" t="n"/>
      <c r="N998" s="109" t="n"/>
      <c r="O998" s="225" t="n"/>
      <c r="P998" s="232">
        <f>IF(OR($E998="",$I998=""),"",IF(OR($J998="Tamamlandı",$J998="İptal"),"",$I998-TODAY()))</f>
        <v/>
      </c>
      <c r="Q998" s="113">
        <f>IF($E998="","",IF($D998="TANIMSIZ MÜŞTERİ","HATA",IF(OR($J998="Tamamlandı",$J998="İptal"),"KAPALI",IF(AND($C998="Görüşme",$N998=""),"SONRAKİ İŞLEM EKSİK",IF($I998="","TARİH EKSİK",IF($I998&lt;TODAY(),"GECİKMİŞ",IF($I998=TODAY(),"BUGÜN",IF($I998&lt;=TODAY()+7,"7 GÜN İÇİNDE","PLANLI"))))))))</f>
        <v/>
      </c>
      <c r="R998" s="6" t="n"/>
      <c r="S998" s="6" t="n"/>
    </row>
    <row r="999">
      <c r="A999" s="6" t="n"/>
      <c r="B999" s="113">
        <f>IF($E999="","","A"&amp;TEXT(ROW()-6,"00000"))</f>
        <v/>
      </c>
      <c r="C999" s="108" t="n"/>
      <c r="D999" s="113">
        <f>IF($E999="","",IFERROR(INDEX(MUSTERILER!$B$7:$B$106,MATCH($E999,MUSTERILER!$C$7:$C$106,0)),IFERROR(INDEX(MUSTERILER!$B$7:$B$106,MATCH($E999,MUSTERILER!$B$7:$B$106,0)),IFERROR(INDEX(MUSTERILER!$B$7:$B$106,MATCH($E999&amp;"*",MUSTERILER!$C$7:$C$106,0)),"TANIMSIZ MÜŞTERİ"))))</f>
        <v/>
      </c>
      <c r="E999" s="109" t="n"/>
      <c r="F999" s="109" t="n"/>
      <c r="G999" s="108" t="n"/>
      <c r="H999" s="225" t="n"/>
      <c r="I999" s="225" t="n"/>
      <c r="J999" s="108" t="n"/>
      <c r="K999" s="108" t="n"/>
      <c r="L999" s="109" t="n"/>
      <c r="M999" s="109" t="n"/>
      <c r="N999" s="109" t="n"/>
      <c r="O999" s="225" t="n"/>
      <c r="P999" s="232">
        <f>IF(OR($E999="",$I999=""),"",IF(OR($J999="Tamamlandı",$J999="İptal"),"",$I999-TODAY()))</f>
        <v/>
      </c>
      <c r="Q999" s="113">
        <f>IF($E999="","",IF($D999="TANIMSIZ MÜŞTERİ","HATA",IF(OR($J999="Tamamlandı",$J999="İptal"),"KAPALI",IF(AND($C999="Görüşme",$N999=""),"SONRAKİ İŞLEM EKSİK",IF($I999="","TARİH EKSİK",IF($I999&lt;TODAY(),"GECİKMİŞ",IF($I999=TODAY(),"BUGÜN",IF($I999&lt;=TODAY()+7,"7 GÜN İÇİNDE","PLANLI"))))))))</f>
        <v/>
      </c>
      <c r="R999" s="6" t="n"/>
      <c r="S999" s="6" t="n"/>
    </row>
    <row r="1000">
      <c r="A1000" s="6" t="n"/>
      <c r="B1000" s="113">
        <f>IF($E1000="","","A"&amp;TEXT(ROW()-6,"00000"))</f>
        <v/>
      </c>
      <c r="C1000" s="108" t="n"/>
      <c r="D1000" s="113">
        <f>IF($E1000="","",IFERROR(INDEX(MUSTERILER!$B$7:$B$106,MATCH($E1000,MUSTERILER!$C$7:$C$106,0)),IFERROR(INDEX(MUSTERILER!$B$7:$B$106,MATCH($E1000,MUSTERILER!$B$7:$B$106,0)),IFERROR(INDEX(MUSTERILER!$B$7:$B$106,MATCH($E1000&amp;"*",MUSTERILER!$C$7:$C$106,0)),"TANIMSIZ MÜŞTERİ"))))</f>
        <v/>
      </c>
      <c r="E1000" s="109" t="n"/>
      <c r="F1000" s="109" t="n"/>
      <c r="G1000" s="108" t="n"/>
      <c r="H1000" s="225" t="n"/>
      <c r="I1000" s="225" t="n"/>
      <c r="J1000" s="108" t="n"/>
      <c r="K1000" s="108" t="n"/>
      <c r="L1000" s="109" t="n"/>
      <c r="M1000" s="109" t="n"/>
      <c r="N1000" s="109" t="n"/>
      <c r="O1000" s="225" t="n"/>
      <c r="P1000" s="232">
        <f>IF(OR($E1000="",$I1000=""),"",IF(OR($J1000="Tamamlandı",$J1000="İptal"),"",$I1000-TODAY()))</f>
        <v/>
      </c>
      <c r="Q1000" s="113">
        <f>IF($E1000="","",IF($D1000="TANIMSIZ MÜŞTERİ","HATA",IF(OR($J1000="Tamamlandı",$J1000="İptal"),"KAPALI",IF(AND($C1000="Görüşme",$N1000=""),"SONRAKİ İŞLEM EKSİK",IF($I1000="","TARİH EKSİK",IF($I1000&lt;TODAY(),"GECİKMİŞ",IF($I1000=TODAY(),"BUGÜN",IF($I1000&lt;=TODAY()+7,"7 GÜN İÇİNDE","PLANLI"))))))))</f>
        <v/>
      </c>
      <c r="R1000" s="6" t="n"/>
      <c r="S1000" s="6" t="n"/>
    </row>
    <row r="1001">
      <c r="A1001" s="6" t="n"/>
      <c r="B1001" s="113">
        <f>IF($E1001="","","A"&amp;TEXT(ROW()-6,"00000"))</f>
        <v/>
      </c>
      <c r="C1001" s="108" t="n"/>
      <c r="D1001" s="113">
        <f>IF($E1001="","",IFERROR(INDEX(MUSTERILER!$B$7:$B$106,MATCH($E1001,MUSTERILER!$C$7:$C$106,0)),IFERROR(INDEX(MUSTERILER!$B$7:$B$106,MATCH($E1001,MUSTERILER!$B$7:$B$106,0)),IFERROR(INDEX(MUSTERILER!$B$7:$B$106,MATCH($E1001&amp;"*",MUSTERILER!$C$7:$C$106,0)),"TANIMSIZ MÜŞTERİ"))))</f>
        <v/>
      </c>
      <c r="E1001" s="109" t="n"/>
      <c r="F1001" s="109" t="n"/>
      <c r="G1001" s="108" t="n"/>
      <c r="H1001" s="225" t="n"/>
      <c r="I1001" s="225" t="n"/>
      <c r="J1001" s="108" t="n"/>
      <c r="K1001" s="108" t="n"/>
      <c r="L1001" s="109" t="n"/>
      <c r="M1001" s="109" t="n"/>
      <c r="N1001" s="109" t="n"/>
      <c r="O1001" s="225" t="n"/>
      <c r="P1001" s="232">
        <f>IF(OR($E1001="",$I1001=""),"",IF(OR($J1001="Tamamlandı",$J1001="İptal"),"",$I1001-TODAY()))</f>
        <v/>
      </c>
      <c r="Q1001" s="113">
        <f>IF($E1001="","",IF($D1001="TANIMSIZ MÜŞTERİ","HATA",IF(OR($J1001="Tamamlandı",$J1001="İptal"),"KAPALI",IF(AND($C1001="Görüşme",$N1001=""),"SONRAKİ İŞLEM EKSİK",IF($I1001="","TARİH EKSİK",IF($I1001&lt;TODAY(),"GECİKMİŞ",IF($I1001=TODAY(),"BUGÜN",IF($I1001&lt;=TODAY()+7,"7 GÜN İÇİNDE","PLANLI"))))))))</f>
        <v/>
      </c>
      <c r="R1001" s="6" t="n"/>
      <c r="S1001" s="6" t="n"/>
    </row>
    <row r="1002">
      <c r="A1002" s="6" t="n"/>
      <c r="B1002" s="113">
        <f>IF($E1002="","","A"&amp;TEXT(ROW()-6,"00000"))</f>
        <v/>
      </c>
      <c r="C1002" s="108" t="n"/>
      <c r="D1002" s="113">
        <f>IF($E1002="","",IFERROR(INDEX(MUSTERILER!$B$7:$B$106,MATCH($E1002,MUSTERILER!$C$7:$C$106,0)),IFERROR(INDEX(MUSTERILER!$B$7:$B$106,MATCH($E1002,MUSTERILER!$B$7:$B$106,0)),IFERROR(INDEX(MUSTERILER!$B$7:$B$106,MATCH($E1002&amp;"*",MUSTERILER!$C$7:$C$106,0)),"TANIMSIZ MÜŞTERİ"))))</f>
        <v/>
      </c>
      <c r="E1002" s="109" t="n"/>
      <c r="F1002" s="109" t="n"/>
      <c r="G1002" s="108" t="n"/>
      <c r="H1002" s="225" t="n"/>
      <c r="I1002" s="225" t="n"/>
      <c r="J1002" s="108" t="n"/>
      <c r="K1002" s="108" t="n"/>
      <c r="L1002" s="109" t="n"/>
      <c r="M1002" s="109" t="n"/>
      <c r="N1002" s="109" t="n"/>
      <c r="O1002" s="225" t="n"/>
      <c r="P1002" s="232">
        <f>IF(OR($E1002="",$I1002=""),"",IF(OR($J1002="Tamamlandı",$J1002="İptal"),"",$I1002-TODAY()))</f>
        <v/>
      </c>
      <c r="Q1002" s="113">
        <f>IF($E1002="","",IF($D1002="TANIMSIZ MÜŞTERİ","HATA",IF(OR($J1002="Tamamlandı",$J1002="İptal"),"KAPALI",IF(AND($C1002="Görüşme",$N1002=""),"SONRAKİ İŞLEM EKSİK",IF($I1002="","TARİH EKSİK",IF($I1002&lt;TODAY(),"GECİKMİŞ",IF($I1002=TODAY(),"BUGÜN",IF($I1002&lt;=TODAY()+7,"7 GÜN İÇİNDE","PLANLI"))))))))</f>
        <v/>
      </c>
      <c r="R1002" s="6" t="n"/>
      <c r="S1002" s="6" t="n"/>
    </row>
    <row r="1003">
      <c r="A1003" s="6" t="n"/>
      <c r="B1003" s="113">
        <f>IF($E1003="","","A"&amp;TEXT(ROW()-6,"00000"))</f>
        <v/>
      </c>
      <c r="C1003" s="108" t="n"/>
      <c r="D1003" s="113">
        <f>IF($E1003="","",IFERROR(INDEX(MUSTERILER!$B$7:$B$106,MATCH($E1003,MUSTERILER!$C$7:$C$106,0)),IFERROR(INDEX(MUSTERILER!$B$7:$B$106,MATCH($E1003,MUSTERILER!$B$7:$B$106,0)),IFERROR(INDEX(MUSTERILER!$B$7:$B$106,MATCH($E1003&amp;"*",MUSTERILER!$C$7:$C$106,0)),"TANIMSIZ MÜŞTERİ"))))</f>
        <v/>
      </c>
      <c r="E1003" s="109" t="n"/>
      <c r="F1003" s="109" t="n"/>
      <c r="G1003" s="108" t="n"/>
      <c r="H1003" s="225" t="n"/>
      <c r="I1003" s="225" t="n"/>
      <c r="J1003" s="108" t="n"/>
      <c r="K1003" s="108" t="n"/>
      <c r="L1003" s="109" t="n"/>
      <c r="M1003" s="109" t="n"/>
      <c r="N1003" s="109" t="n"/>
      <c r="O1003" s="225" t="n"/>
      <c r="P1003" s="232">
        <f>IF(OR($E1003="",$I1003=""),"",IF(OR($J1003="Tamamlandı",$J1003="İptal"),"",$I1003-TODAY()))</f>
        <v/>
      </c>
      <c r="Q1003" s="113">
        <f>IF($E1003="","",IF($D1003="TANIMSIZ MÜŞTERİ","HATA",IF(OR($J1003="Tamamlandı",$J1003="İptal"),"KAPALI",IF(AND($C1003="Görüşme",$N1003=""),"SONRAKİ İŞLEM EKSİK",IF($I1003="","TARİH EKSİK",IF($I1003&lt;TODAY(),"GECİKMİŞ",IF($I1003=TODAY(),"BUGÜN",IF($I1003&lt;=TODAY()+7,"7 GÜN İÇİNDE","PLANLI"))))))))</f>
        <v/>
      </c>
      <c r="R1003" s="6" t="n"/>
      <c r="S1003" s="6" t="n"/>
    </row>
    <row r="1004">
      <c r="A1004" s="6" t="n"/>
      <c r="B1004" s="113">
        <f>IF($E1004="","","A"&amp;TEXT(ROW()-6,"00000"))</f>
        <v/>
      </c>
      <c r="C1004" s="108" t="n"/>
      <c r="D1004" s="113">
        <f>IF($E1004="","",IFERROR(INDEX(MUSTERILER!$B$7:$B$106,MATCH($E1004,MUSTERILER!$C$7:$C$106,0)),IFERROR(INDEX(MUSTERILER!$B$7:$B$106,MATCH($E1004,MUSTERILER!$B$7:$B$106,0)),IFERROR(INDEX(MUSTERILER!$B$7:$B$106,MATCH($E1004&amp;"*",MUSTERILER!$C$7:$C$106,0)),"TANIMSIZ MÜŞTERİ"))))</f>
        <v/>
      </c>
      <c r="E1004" s="109" t="n"/>
      <c r="F1004" s="109" t="n"/>
      <c r="G1004" s="108" t="n"/>
      <c r="H1004" s="225" t="n"/>
      <c r="I1004" s="225" t="n"/>
      <c r="J1004" s="108" t="n"/>
      <c r="K1004" s="108" t="n"/>
      <c r="L1004" s="109" t="n"/>
      <c r="M1004" s="109" t="n"/>
      <c r="N1004" s="109" t="n"/>
      <c r="O1004" s="225" t="n"/>
      <c r="P1004" s="232">
        <f>IF(OR($E1004="",$I1004=""),"",IF(OR($J1004="Tamamlandı",$J1004="İptal"),"",$I1004-TODAY()))</f>
        <v/>
      </c>
      <c r="Q1004" s="113">
        <f>IF($E1004="","",IF($D1004="TANIMSIZ MÜŞTERİ","HATA",IF(OR($J1004="Tamamlandı",$J1004="İptal"),"KAPALI",IF(AND($C1004="Görüşme",$N1004=""),"SONRAKİ İŞLEM EKSİK",IF($I1004="","TARİH EKSİK",IF($I1004&lt;TODAY(),"GECİKMİŞ",IF($I1004=TODAY(),"BUGÜN",IF($I1004&lt;=TODAY()+7,"7 GÜN İÇİNDE","PLANLI"))))))))</f>
        <v/>
      </c>
      <c r="R1004" s="6" t="n"/>
      <c r="S1004" s="6" t="n"/>
    </row>
    <row r="1005">
      <c r="A1005" s="6" t="n"/>
      <c r="B1005" s="113">
        <f>IF($E1005="","","A"&amp;TEXT(ROW()-6,"00000"))</f>
        <v/>
      </c>
      <c r="C1005" s="108" t="n"/>
      <c r="D1005" s="113">
        <f>IF($E1005="","",IFERROR(INDEX(MUSTERILER!$B$7:$B$106,MATCH($E1005,MUSTERILER!$C$7:$C$106,0)),IFERROR(INDEX(MUSTERILER!$B$7:$B$106,MATCH($E1005,MUSTERILER!$B$7:$B$106,0)),IFERROR(INDEX(MUSTERILER!$B$7:$B$106,MATCH($E1005&amp;"*",MUSTERILER!$C$7:$C$106,0)),"TANIMSIZ MÜŞTERİ"))))</f>
        <v/>
      </c>
      <c r="E1005" s="109" t="n"/>
      <c r="F1005" s="109" t="n"/>
      <c r="G1005" s="108" t="n"/>
      <c r="H1005" s="225" t="n"/>
      <c r="I1005" s="225" t="n"/>
      <c r="J1005" s="108" t="n"/>
      <c r="K1005" s="108" t="n"/>
      <c r="L1005" s="109" t="n"/>
      <c r="M1005" s="109" t="n"/>
      <c r="N1005" s="109" t="n"/>
      <c r="O1005" s="225" t="n"/>
      <c r="P1005" s="232">
        <f>IF(OR($E1005="",$I1005=""),"",IF(OR($J1005="Tamamlandı",$J1005="İptal"),"",$I1005-TODAY()))</f>
        <v/>
      </c>
      <c r="Q1005" s="113">
        <f>IF($E1005="","",IF($D1005="TANIMSIZ MÜŞTERİ","HATA",IF(OR($J1005="Tamamlandı",$J1005="İptal"),"KAPALI",IF(AND($C1005="Görüşme",$N1005=""),"SONRAKİ İŞLEM EKSİK",IF($I1005="","TARİH EKSİK",IF($I1005&lt;TODAY(),"GECİKMİŞ",IF($I1005=TODAY(),"BUGÜN",IF($I1005&lt;=TODAY()+7,"7 GÜN İÇİNDE","PLANLI"))))))))</f>
        <v/>
      </c>
      <c r="R1005" s="6" t="n"/>
      <c r="S1005" s="6" t="n"/>
    </row>
    <row r="1006">
      <c r="A1006" s="6" t="n"/>
      <c r="B1006" s="113">
        <f>IF($E1006="","","A"&amp;TEXT(ROW()-6,"00000"))</f>
        <v/>
      </c>
      <c r="C1006" s="108" t="n"/>
      <c r="D1006" s="113">
        <f>IF($E1006="","",IFERROR(INDEX(MUSTERILER!$B$7:$B$106,MATCH($E1006,MUSTERILER!$C$7:$C$106,0)),IFERROR(INDEX(MUSTERILER!$B$7:$B$106,MATCH($E1006,MUSTERILER!$B$7:$B$106,0)),IFERROR(INDEX(MUSTERILER!$B$7:$B$106,MATCH($E1006&amp;"*",MUSTERILER!$C$7:$C$106,0)),"TANIMSIZ MÜŞTERİ"))))</f>
        <v/>
      </c>
      <c r="E1006" s="109" t="n"/>
      <c r="F1006" s="109" t="n"/>
      <c r="G1006" s="108" t="n"/>
      <c r="H1006" s="225" t="n"/>
      <c r="I1006" s="225" t="n"/>
      <c r="J1006" s="108" t="n"/>
      <c r="K1006" s="108" t="n"/>
      <c r="L1006" s="109" t="n"/>
      <c r="M1006" s="109" t="n"/>
      <c r="N1006" s="109" t="n"/>
      <c r="O1006" s="225" t="n"/>
      <c r="P1006" s="232">
        <f>IF(OR($E1006="",$I1006=""),"",IF(OR($J1006="Tamamlandı",$J1006="İptal"),"",$I1006-TODAY()))</f>
        <v/>
      </c>
      <c r="Q1006" s="113">
        <f>IF($E1006="","",IF($D1006="TANIMSIZ MÜŞTERİ","HATA",IF(OR($J1006="Tamamlandı",$J1006="İptal"),"KAPALI",IF(AND($C1006="Görüşme",$N1006=""),"SONRAKİ İŞLEM EKSİK",IF($I1006="","TARİH EKSİK",IF($I1006&lt;TODAY(),"GECİKMİŞ",IF($I1006=TODAY(),"BUGÜN",IF($I1006&lt;=TODAY()+7,"7 GÜN İÇİNDE","PLANLI"))))))))</f>
        <v/>
      </c>
      <c r="R1006" s="6" t="n"/>
      <c r="S1006" s="6" t="n"/>
    </row>
    <row r="1007">
      <c r="A1007" s="6" t="n"/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  <c r="P1007" s="3" t="n"/>
      <c r="Q1007" s="3" t="n"/>
      <c r="R1007" s="6" t="n"/>
      <c r="S1007" s="6" t="n"/>
    </row>
    <row r="1008">
      <c r="A1008" s="6" t="n"/>
      <c r="B1008" s="3" t="n"/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  <c r="P1008" s="3" t="n"/>
      <c r="Q1008" s="3" t="n"/>
      <c r="R1008" s="6" t="n"/>
      <c r="S1008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Q1006"/>
  <mergeCells count="2">
    <mergeCell ref="A2:R2"/>
    <mergeCell ref="A1:R1"/>
  </mergeCells>
  <conditionalFormatting sqref="Q7:Q1006">
    <cfRule type="expression" priority="1" dxfId="5" stopIfTrue="1">
      <formula>EXACT($Q7,"GECİKMİŞ")</formula>
    </cfRule>
    <cfRule type="expression" priority="2" dxfId="4" stopIfTrue="1">
      <formula>EXACT($Q7,"BUGÜN")</formula>
    </cfRule>
    <cfRule type="expression" priority="3" dxfId="7" stopIfTrue="1">
      <formula>EXACT($Q7,"7 GÜN İÇİNDE")</formula>
    </cfRule>
    <cfRule type="expression" priority="4" dxfId="6" stopIfTrue="1">
      <formula>EXACT($Q7,"PLANLI")</formula>
    </cfRule>
    <cfRule type="expression" priority="5" dxfId="3" stopIfTrue="1">
      <formula>EXACT($Q7,"KAPALI")</formula>
    </cfRule>
    <cfRule type="expression" priority="6" dxfId="5" stopIfTrue="1">
      <formula>EXACT($Q7,"HATA")</formula>
    </cfRule>
    <cfRule type="expression" priority="7" dxfId="4" stopIfTrue="1">
      <formula>EXACT($Q7,"TARİH EKSİK")</formula>
    </cfRule>
    <cfRule type="expression" priority="8" dxfId="4" stopIfTrue="1">
      <formula>EXACT($Q7,"SONRAKİ İŞLEM EKSİK")</formula>
    </cfRule>
  </conditionalFormatting>
  <conditionalFormatting sqref="P7:P1006">
    <cfRule type="cellIs" priority="9" operator="lessThan" dxfId="8">
      <formula>0</formula>
    </cfRule>
  </conditionalFormatting>
  <dataValidations count="4">
    <dataValidation sqref="E7:E1006" showDropDown="0" showInputMessage="1" showErrorMessage="0" allowBlank="1" errorTitle="Müşteri seçimi" error="Listeden seçebilir veya unvanın ilk harflerini (örn. PAK) yazabilirsiniz." promptTitle="Müşteri seçimi" prompt="Listeden seçebilir veya unvanın ilk harflerini (örn. PAK) yazabilirsiniz." type="list">
      <formula1>LST_MUSTERI_ADI</formula1>
    </dataValidation>
    <dataValidation sqref="C7:C1006" showDropDown="0" showInputMessage="0" showErrorMessage="1" allowBlank="1" errorTitle="Geçersiz tür" error="İş veya Görüşme seçin." promptTitle="Geçersiz tür" prompt="İş veya Görüşme seçin." type="list">
      <formula1>"İş,Görüşme"</formula1>
    </dataValidation>
    <dataValidation sqref="J7:J1006" showDropDown="0" showInputMessage="0" showErrorMessage="1" allowBlank="1" errorTitle="Geçersiz durum" error="Listeden seçin." promptTitle="Geçersiz durum" prompt="Listeden seçin." type="list">
      <formula1>"Planlandı,Devam Ediyor,Beklemede,Tamamlandı,İptal"</formula1>
    </dataValidation>
    <dataValidation sqref="K7:K1006" showDropDown="0" showInputMessage="0" showErrorMessage="1" allowBlank="1" errorTitle="Geçersiz öncelik" error="Listeden seçin." promptTitle="Geçersiz öncelik" prompt="Listeden seçin." type="list">
      <formula1>"Yüksek,Orta,Düşük"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B91C1C"/>
    <outlinePr summaryBelow="1" summaryRight="1"/>
    <pageSetUpPr fitToPage="1"/>
  </sheetPr>
  <dimension ref="A1:AE10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30" customWidth="1" min="3" max="3"/>
    <col width="14" customWidth="1" min="4" max="4"/>
    <col width="14" customWidth="1" min="5" max="5"/>
    <col width="15" customWidth="1" min="6" max="6"/>
    <col width="15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3" customWidth="1" min="16" max="16"/>
    <col width="17" customWidth="1" min="17" max="17"/>
    <col width="34" customWidth="1" min="18" max="18"/>
    <col width="11" customWidth="1" min="19" max="19"/>
    <col width="13" customWidth="1" min="20" max="20"/>
    <col width="13" customWidth="1" min="21" max="21"/>
    <col width="12" customWidth="1" min="22" max="22"/>
    <col width="2.4" customWidth="1" min="23" max="23"/>
    <col hidden="1" width="2.4" customWidth="1" min="24" max="24"/>
    <col hidden="1" width="12" customWidth="1" min="25" max="25"/>
    <col hidden="1" width="12" customWidth="1" min="26" max="26"/>
    <col hidden="1" width="12" customWidth="1" min="27" max="27"/>
    <col hidden="1" width="12" customWidth="1" min="28" max="28"/>
    <col hidden="1" width="12" customWidth="1" min="29" max="29"/>
    <col hidden="1" width="12" customWidth="1" min="30" max="30"/>
    <col hidden="1" width="12" customWidth="1" min="31" max="31"/>
  </cols>
  <sheetData>
    <row r="1" ht="38" customHeight="1">
      <c r="A1" s="258" t="inlineStr">
        <is>
          <t>KILIÇ MUHASEBE   │   MÜŞTERİ 360  │  CARİ, YAŞLANDIRMA VE TAHAKKUK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4" t="n"/>
      <c r="S1" s="174" t="n"/>
      <c r="T1" s="174" t="n"/>
      <c r="U1" s="174" t="n"/>
      <c r="V1" s="174" t="n"/>
      <c r="W1" s="45" t="n"/>
      <c r="X1" s="45" t="n"/>
      <c r="Y1" s="3" t="n"/>
      <c r="Z1" s="3" t="n"/>
      <c r="AA1" s="3" t="n"/>
      <c r="AB1" s="3" t="n"/>
      <c r="AC1" s="3" t="n"/>
      <c r="AD1" s="3" t="n"/>
      <c r="AE1" s="3" t="n"/>
    </row>
    <row r="2" ht="22" customHeight="1">
      <c r="A2" s="4" t="inlineStr">
        <is>
          <t>Bu ekrana veri girilmez │ Tüm değerler müşteri, ücret ve tahsilat kayıtlarından hesaplanır</t>
        </is>
      </c>
      <c r="W2" s="46" t="n"/>
      <c r="X2" s="46" t="n"/>
      <c r="Y2" s="3" t="n"/>
      <c r="Z2" s="3" t="n"/>
      <c r="AA2" s="3" t="n"/>
      <c r="AB2" s="3" t="n"/>
      <c r="AC2" s="3" t="n"/>
      <c r="AD2" s="3" t="n"/>
      <c r="AE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3" t="n"/>
      <c r="Z3" s="3" t="n"/>
      <c r="AA3" s="3" t="n"/>
      <c r="AB3" s="3" t="n"/>
      <c r="AC3" s="3" t="n"/>
      <c r="AD3" s="3" t="n"/>
      <c r="AE3" s="3" t="n"/>
    </row>
    <row r="4" ht="20" customHeight="1">
      <c r="A4" s="6" t="n"/>
      <c r="B4" s="47">
        <f>HYPERLINK("#PANO!A1","←  PANO")</f>
        <v/>
      </c>
      <c r="C4" s="6" t="n"/>
      <c r="D4" s="99">
        <f>HYPERLINK("#TAHSILAT!A1","Tahsilat")</f>
        <v/>
      </c>
      <c r="E4" s="6" t="n"/>
      <c r="F4" s="99">
        <f>HYPERLINK("#UCRETLER!A1","Ücret Dönemleri")</f>
        <v/>
      </c>
      <c r="G4" s="6" t="n"/>
      <c r="H4" s="100" t="inlineStr">
        <is>
          <t>Sarı hücreler veri girişidir. Beyaz hücreler sistem tarafından hesaplanır ve kilitlidir. Yaşlandırma en eski borçtan kapatma esasına göre hesaplanır.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3" t="n"/>
      <c r="Z4" s="3" t="n"/>
      <c r="AA4" s="3" t="n"/>
      <c r="AB4" s="3" t="n"/>
      <c r="AC4" s="3" t="n"/>
      <c r="AD4" s="3" t="n"/>
      <c r="AE4" s="3" t="n"/>
    </row>
    <row r="5" ht="26" customHeight="1">
      <c r="A5" s="6" t="n"/>
      <c r="B5" s="101" t="n"/>
      <c r="C5" s="102" t="inlineStr">
        <is>
          <t>TOPLAM  │  Portföy</t>
        </is>
      </c>
      <c r="D5" s="221">
        <f>SUM(D7:D106)</f>
        <v/>
      </c>
      <c r="E5" s="221">
        <f>SUM(E7:E106)</f>
        <v/>
      </c>
      <c r="F5" s="221">
        <f>SUM(F7:F106)</f>
        <v/>
      </c>
      <c r="G5" s="221">
        <f>SUM(G7:G106)</f>
        <v/>
      </c>
      <c r="H5" s="221">
        <f>SUM(H7:H106)</f>
        <v/>
      </c>
      <c r="I5" s="221">
        <f>SUM(I7:I106)</f>
        <v/>
      </c>
      <c r="J5" s="221">
        <f>SUM(J7:J106)</f>
        <v/>
      </c>
      <c r="K5" s="221">
        <f>SUM(K7:K106)</f>
        <v/>
      </c>
      <c r="L5" s="221">
        <f>SUM(L7:L106)</f>
        <v/>
      </c>
      <c r="M5" s="221">
        <f>SUM(M7:M106)</f>
        <v/>
      </c>
      <c r="N5" s="221">
        <f>SUM(N7:N106)</f>
        <v/>
      </c>
      <c r="O5" s="233">
        <f>IFERROR($I$5/$H$5,0)</f>
        <v/>
      </c>
      <c r="P5" s="101" t="n"/>
      <c r="Q5" s="101" t="n"/>
      <c r="R5" s="101" t="n"/>
      <c r="S5" s="101" t="n"/>
      <c r="T5" s="101" t="n"/>
      <c r="U5" s="101" t="n"/>
      <c r="V5" s="101" t="n"/>
      <c r="W5" s="6" t="n"/>
      <c r="X5" s="6" t="n"/>
      <c r="Y5" s="3" t="n"/>
      <c r="Z5" s="3" t="n"/>
      <c r="AA5" s="3" t="n"/>
      <c r="AB5" s="3" t="n"/>
      <c r="AC5" s="3" t="n"/>
      <c r="AD5" s="3" t="n"/>
      <c r="AE5" s="3" t="n"/>
    </row>
    <row r="6" ht="40" customHeight="1">
      <c r="A6" s="6" t="n"/>
      <c r="B6" s="105" t="inlineStr">
        <is>
          <t>Müşteri No</t>
        </is>
      </c>
      <c r="C6" s="106" t="inlineStr">
        <is>
          <t>Müşteri</t>
        </is>
      </c>
      <c r="D6" s="107" t="inlineStr">
        <is>
          <t>Haftalık Ücret</t>
        </is>
      </c>
      <c r="E6" s="107" t="inlineStr">
        <is>
          <t>Aylık Ücret</t>
        </is>
      </c>
      <c r="F6" s="107" t="inlineStr">
        <is>
          <t>Devir Alacağı</t>
        </is>
      </c>
      <c r="G6" s="107" t="inlineStr">
        <is>
          <t>Yeni Tahakkuk</t>
        </is>
      </c>
      <c r="H6" s="107" t="inlineStr">
        <is>
          <t>Toplam Borç</t>
        </is>
      </c>
      <c r="I6" s="107" t="inlineStr">
        <is>
          <t>Toplam Tahsilat</t>
        </is>
      </c>
      <c r="J6" s="107" t="inlineStr">
        <is>
          <t>Cari Bakiye</t>
        </is>
      </c>
      <c r="K6" s="107" t="inlineStr">
        <is>
          <t>0–7 Gün</t>
        </is>
      </c>
      <c r="L6" s="107" t="inlineStr">
        <is>
          <t>8–14 Gün</t>
        </is>
      </c>
      <c r="M6" s="107" t="inlineStr">
        <is>
          <t>15–28 Gün</t>
        </is>
      </c>
      <c r="N6" s="107" t="inlineStr">
        <is>
          <t>29+ Gün</t>
        </is>
      </c>
      <c r="O6" s="105" t="inlineStr">
        <is>
          <t>Tahsilat Oranı</t>
        </is>
      </c>
      <c r="P6" s="105" t="inlineStr">
        <is>
          <t>Son Tahsilat</t>
        </is>
      </c>
      <c r="Q6" s="105" t="inlineStr">
        <is>
          <t>Borç Durumu</t>
        </is>
      </c>
      <c r="R6" s="106" t="inlineStr">
        <is>
          <t>Önerilen İşlem</t>
        </is>
      </c>
      <c r="S6" s="105" t="inlineStr">
        <is>
          <t>Açık İş</t>
        </is>
      </c>
      <c r="T6" s="105" t="inlineStr">
        <is>
          <t>Devir Tarihi</t>
        </is>
      </c>
      <c r="U6" s="105" t="inlineStr">
        <is>
          <t>Devir Yaşı (gün)</t>
        </is>
      </c>
      <c r="V6" s="105" t="inlineStr">
        <is>
          <t>Kontrol</t>
        </is>
      </c>
      <c r="W6" s="6" t="n"/>
      <c r="X6" s="6" t="n"/>
      <c r="Y6" s="3" t="n"/>
      <c r="Z6" s="3" t="n"/>
      <c r="AA6" s="3" t="n"/>
      <c r="AB6" s="3" t="n"/>
      <c r="AC6" s="3" t="n"/>
      <c r="AD6" s="3" t="n"/>
      <c r="AE6" s="3" t="n"/>
    </row>
    <row r="7">
      <c r="A7" s="6" t="n"/>
      <c r="B7" s="113">
        <f>IF(MUSTERILER!$C7="","",MUSTERILER!$B7)</f>
        <v/>
      </c>
      <c r="C7" s="121">
        <f>IF(MUSTERILER!$C7="","",MUSTERILER!$C7)</f>
        <v/>
      </c>
      <c r="D7" s="227">
        <f>IF($B7="","",SUMIFS(UCRETLER!$G$7:$G$406,UCRETLER!$B$7:$B$406,$B7,UCRETLER!$F$7:$F$406,"Haftalık",UCRETLER!$H$7:$H$406,"Aktif"))</f>
        <v/>
      </c>
      <c r="E7" s="227">
        <f>IF($B7="","",SUMIFS(UCRETLER!$G$7:$G$406,UCRETLER!$B$7:$B$406,$B7,UCRETLER!$F$7:$F$406,"Aylık",UCRETLER!$H$7:$H$406,"Aktif"))</f>
        <v/>
      </c>
      <c r="F7" s="227">
        <f>IF($B7="","",SUMIFS(MUSTERILER!$J$7:$J$106,MUSTERILER!$B$7:$B$106,$B7))</f>
        <v/>
      </c>
      <c r="G7" s="227">
        <f>IF($B7="","",SUMIFS(UCRETLER!$I$7:$I$406,UCRETLER!$B$7:$B$406,$B7))</f>
        <v/>
      </c>
      <c r="H7" s="227">
        <f>IF($B7="","",$F7+$G7)</f>
        <v/>
      </c>
      <c r="I7" s="227">
        <f>IF($B7="","",SUMIFS(TAHSILAT!$F$7:$F$1506,TAHSILAT!$C$7:$C$1506,$B7))</f>
        <v/>
      </c>
      <c r="J7" s="227">
        <f>IF($B7="","",MAX(0,$H7-$I7))</f>
        <v/>
      </c>
      <c r="K7" s="227">
        <f>IF($B7="","",MAX(0,$J7-$L7-$M7-$N7))</f>
        <v/>
      </c>
      <c r="L7" s="227">
        <f>IF($B7="","",($AC7-$AD7)+IF(AND($AB7&gt;0,$T7&lt;&gt;"",$U7&gt;=8,$U7&lt;15),$AB7,0))</f>
        <v/>
      </c>
      <c r="M7" s="227">
        <f>IF($B7="","",($AD7-$AE7)+IF(AND($AB7&gt;0,$T7&lt;&gt;"",$U7&gt;=15,$U7&lt;29),$AB7,0))</f>
        <v/>
      </c>
      <c r="N7" s="227">
        <f>IF($B7="","",$AE7+IF(AND($AB7&gt;0,OR($T7="",$U7&gt;=29)),$AB7,0))</f>
        <v/>
      </c>
      <c r="O7" s="234">
        <f>IF($B7="","",IFERROR($I7/$H7,0))</f>
        <v/>
      </c>
      <c r="P7" s="229">
        <f>IF($B7="","",IFERROR(LOOKUP(2,1/(TAHSILAT!$C$7:$C$1506=$B7),TAHSILAT!$E$7:$E$1506),""))</f>
        <v/>
      </c>
      <c r="Q7" s="113">
        <f>IF($B7="","",IF($N7&gt;0,"KRİTİK",IF($M7&gt;0,"YÜKSEK",IF($L7&gt;0,"ORTA",IF($J7&gt;0,"İZLE","TEMİZ")))))</f>
        <v/>
      </c>
      <c r="R7" s="121">
        <f>IF($B7="","",IF($Q7="KRİTİK","Acil tahsilat görüşmesi ve cari mutabakat",IF($Q7="YÜKSEK","Bu hafta tahsilat takibi",IF($Q7="ORTA","Hatırlatma mesajı gönder",IF($Q7="İZLE","Normal takip","Aksiyon gerekmiyor")))))</f>
        <v/>
      </c>
      <c r="S7" s="232">
        <f>IF($B7="","",COUNTIFS(AKTIVITE!$D$7:$D$1006,$B7,AKTIVITE!$J$7:$J$1006,"&lt;&gt;Tamamlandı"))</f>
        <v/>
      </c>
      <c r="T7" s="229">
        <f>IF($B7="","",IF(MUSTERILER!$K7="","",MUSTERILER!$K7))</f>
        <v/>
      </c>
      <c r="U7" s="232">
        <f>IF(OR($B7="",$T7=""),"",TODAY()-$T7)</f>
        <v/>
      </c>
      <c r="V7" s="113">
        <f>IF($B7="","",IF(ABS($J7-($K7+$L7+$M7+$N7))&lt;0.01,"UYGUN","İNCELE"))</f>
        <v/>
      </c>
      <c r="W7" s="6" t="n"/>
      <c r="X7" s="6">
        <f>IF($B7="",0,SUMIFS(UCRETLER!$J$7:$J$406,UCRETLER!$B$7:$B$406,$B7))</f>
        <v/>
      </c>
      <c r="Y7" s="3">
        <f>IF($B7="",0,SUMIFS(UCRETLER!$K$7:$K$406,UCRETLER!$B$7:$B$406,$B7))</f>
        <v/>
      </c>
      <c r="Z7" s="3">
        <f>IF($B7="",0,SUMIFS(UCRETLER!$L$7:$L$406,UCRETLER!$B$7:$B$406,$B7))</f>
        <v/>
      </c>
      <c r="AA7" s="3">
        <f>IF($B7="",0,MAX(0,$I7-$F7))</f>
        <v/>
      </c>
      <c r="AB7" s="3">
        <f>IF($B7="",0,MAX(0,$F7-$I7))</f>
        <v/>
      </c>
      <c r="AC7" s="3">
        <f>IF($B7="",0,MAX(0,$X7-$AA7))</f>
        <v/>
      </c>
      <c r="AD7" s="3">
        <f>IF($B7="",0,MAX(0,$Y7-$AA7))</f>
        <v/>
      </c>
      <c r="AE7" s="3">
        <f>IF($B7="",0,MAX(0,$Z7-$AA7))</f>
        <v/>
      </c>
    </row>
    <row r="8">
      <c r="A8" s="6" t="n"/>
      <c r="B8" s="113">
        <f>IF(MUSTERILER!$C8="","",MUSTERILER!$B8)</f>
        <v/>
      </c>
      <c r="C8" s="121">
        <f>IF(MUSTERILER!$C8="","",MUSTERILER!$C8)</f>
        <v/>
      </c>
      <c r="D8" s="227">
        <f>IF($B8="","",SUMIFS(UCRETLER!$G$7:$G$406,UCRETLER!$B$7:$B$406,$B8,UCRETLER!$F$7:$F$406,"Haftalık",UCRETLER!$H$7:$H$406,"Aktif"))</f>
        <v/>
      </c>
      <c r="E8" s="227">
        <f>IF($B8="","",SUMIFS(UCRETLER!$G$7:$G$406,UCRETLER!$B$7:$B$406,$B8,UCRETLER!$F$7:$F$406,"Aylık",UCRETLER!$H$7:$H$406,"Aktif"))</f>
        <v/>
      </c>
      <c r="F8" s="227">
        <f>IF($B8="","",SUMIFS(MUSTERILER!$J$7:$J$106,MUSTERILER!$B$7:$B$106,$B8))</f>
        <v/>
      </c>
      <c r="G8" s="227">
        <f>IF($B8="","",SUMIFS(UCRETLER!$I$7:$I$406,UCRETLER!$B$7:$B$406,$B8))</f>
        <v/>
      </c>
      <c r="H8" s="227">
        <f>IF($B8="","",$F8+$G8)</f>
        <v/>
      </c>
      <c r="I8" s="227">
        <f>IF($B8="","",SUMIFS(TAHSILAT!$F$7:$F$1506,TAHSILAT!$C$7:$C$1506,$B8))</f>
        <v/>
      </c>
      <c r="J8" s="227">
        <f>IF($B8="","",MAX(0,$H8-$I8))</f>
        <v/>
      </c>
      <c r="K8" s="227">
        <f>IF($B8="","",MAX(0,$J8-$L8-$M8-$N8))</f>
        <v/>
      </c>
      <c r="L8" s="227">
        <f>IF($B8="","",($AC8-$AD8)+IF(AND($AB8&gt;0,$T8&lt;&gt;"",$U8&gt;=8,$U8&lt;15),$AB8,0))</f>
        <v/>
      </c>
      <c r="M8" s="227">
        <f>IF($B8="","",($AD8-$AE8)+IF(AND($AB8&gt;0,$T8&lt;&gt;"",$U8&gt;=15,$U8&lt;29),$AB8,0))</f>
        <v/>
      </c>
      <c r="N8" s="227">
        <f>IF($B8="","",$AE8+IF(AND($AB8&gt;0,OR($T8="",$U8&gt;=29)),$AB8,0))</f>
        <v/>
      </c>
      <c r="O8" s="234">
        <f>IF($B8="","",IFERROR($I8/$H8,0))</f>
        <v/>
      </c>
      <c r="P8" s="229">
        <f>IF($B8="","",IFERROR(LOOKUP(2,1/(TAHSILAT!$C$7:$C$1506=$B8),TAHSILAT!$E$7:$E$1506),""))</f>
        <v/>
      </c>
      <c r="Q8" s="113">
        <f>IF($B8="","",IF($N8&gt;0,"KRİTİK",IF($M8&gt;0,"YÜKSEK",IF($L8&gt;0,"ORTA",IF($J8&gt;0,"İZLE","TEMİZ")))))</f>
        <v/>
      </c>
      <c r="R8" s="121">
        <f>IF($B8="","",IF($Q8="KRİTİK","Acil tahsilat görüşmesi ve cari mutabakat",IF($Q8="YÜKSEK","Bu hafta tahsilat takibi",IF($Q8="ORTA","Hatırlatma mesajı gönder",IF($Q8="İZLE","Normal takip","Aksiyon gerekmiyor")))))</f>
        <v/>
      </c>
      <c r="S8" s="232">
        <f>IF($B8="","",COUNTIFS(AKTIVITE!$D$7:$D$1006,$B8,AKTIVITE!$J$7:$J$1006,"&lt;&gt;Tamamlandı"))</f>
        <v/>
      </c>
      <c r="T8" s="229">
        <f>IF($B8="","",IF(MUSTERILER!$K8="","",MUSTERILER!$K8))</f>
        <v/>
      </c>
      <c r="U8" s="232">
        <f>IF(OR($B8="",$T8=""),"",TODAY()-$T8)</f>
        <v/>
      </c>
      <c r="V8" s="113">
        <f>IF($B8="","",IF(ABS($J8-($K8+$L8+$M8+$N8))&lt;0.01,"UYGUN","İNCELE"))</f>
        <v/>
      </c>
      <c r="W8" s="6" t="n"/>
      <c r="X8" s="6">
        <f>IF($B8="",0,SUMIFS(UCRETLER!$J$7:$J$406,UCRETLER!$B$7:$B$406,$B8))</f>
        <v/>
      </c>
      <c r="Y8" s="3">
        <f>IF($B8="",0,SUMIFS(UCRETLER!$K$7:$K$406,UCRETLER!$B$7:$B$406,$B8))</f>
        <v/>
      </c>
      <c r="Z8" s="3">
        <f>IF($B8="",0,SUMIFS(UCRETLER!$L$7:$L$406,UCRETLER!$B$7:$B$406,$B8))</f>
        <v/>
      </c>
      <c r="AA8" s="3">
        <f>IF($B8="",0,MAX(0,$I8-$F8))</f>
        <v/>
      </c>
      <c r="AB8" s="3">
        <f>IF($B8="",0,MAX(0,$F8-$I8))</f>
        <v/>
      </c>
      <c r="AC8" s="3">
        <f>IF($B8="",0,MAX(0,$X8-$AA8))</f>
        <v/>
      </c>
      <c r="AD8" s="3">
        <f>IF($B8="",0,MAX(0,$Y8-$AA8))</f>
        <v/>
      </c>
      <c r="AE8" s="3">
        <f>IF($B8="",0,MAX(0,$Z8-$AA8))</f>
        <v/>
      </c>
    </row>
    <row r="9">
      <c r="A9" s="6" t="n"/>
      <c r="B9" s="113">
        <f>IF(MUSTERILER!$C9="","",MUSTERILER!$B9)</f>
        <v/>
      </c>
      <c r="C9" s="121">
        <f>IF(MUSTERILER!$C9="","",MUSTERILER!$C9)</f>
        <v/>
      </c>
      <c r="D9" s="227">
        <f>IF($B9="","",SUMIFS(UCRETLER!$G$7:$G$406,UCRETLER!$B$7:$B$406,$B9,UCRETLER!$F$7:$F$406,"Haftalık",UCRETLER!$H$7:$H$406,"Aktif"))</f>
        <v/>
      </c>
      <c r="E9" s="227">
        <f>IF($B9="","",SUMIFS(UCRETLER!$G$7:$G$406,UCRETLER!$B$7:$B$406,$B9,UCRETLER!$F$7:$F$406,"Aylık",UCRETLER!$H$7:$H$406,"Aktif"))</f>
        <v/>
      </c>
      <c r="F9" s="227">
        <f>IF($B9="","",SUMIFS(MUSTERILER!$J$7:$J$106,MUSTERILER!$B$7:$B$106,$B9))</f>
        <v/>
      </c>
      <c r="G9" s="227">
        <f>IF($B9="","",SUMIFS(UCRETLER!$I$7:$I$406,UCRETLER!$B$7:$B$406,$B9))</f>
        <v/>
      </c>
      <c r="H9" s="227">
        <f>IF($B9="","",$F9+$G9)</f>
        <v/>
      </c>
      <c r="I9" s="227">
        <f>IF($B9="","",SUMIFS(TAHSILAT!$F$7:$F$1506,TAHSILAT!$C$7:$C$1506,$B9))</f>
        <v/>
      </c>
      <c r="J9" s="227">
        <f>IF($B9="","",MAX(0,$H9-$I9))</f>
        <v/>
      </c>
      <c r="K9" s="227">
        <f>IF($B9="","",MAX(0,$J9-$L9-$M9-$N9))</f>
        <v/>
      </c>
      <c r="L9" s="227">
        <f>IF($B9="","",($AC9-$AD9)+IF(AND($AB9&gt;0,$T9&lt;&gt;"",$U9&gt;=8,$U9&lt;15),$AB9,0))</f>
        <v/>
      </c>
      <c r="M9" s="227">
        <f>IF($B9="","",($AD9-$AE9)+IF(AND($AB9&gt;0,$T9&lt;&gt;"",$U9&gt;=15,$U9&lt;29),$AB9,0))</f>
        <v/>
      </c>
      <c r="N9" s="227">
        <f>IF($B9="","",$AE9+IF(AND($AB9&gt;0,OR($T9="",$U9&gt;=29)),$AB9,0))</f>
        <v/>
      </c>
      <c r="O9" s="234">
        <f>IF($B9="","",IFERROR($I9/$H9,0))</f>
        <v/>
      </c>
      <c r="P9" s="229">
        <f>IF($B9="","",IFERROR(LOOKUP(2,1/(TAHSILAT!$C$7:$C$1506=$B9),TAHSILAT!$E$7:$E$1506),""))</f>
        <v/>
      </c>
      <c r="Q9" s="113">
        <f>IF($B9="","",IF($N9&gt;0,"KRİTİK",IF($M9&gt;0,"YÜKSEK",IF($L9&gt;0,"ORTA",IF($J9&gt;0,"İZLE","TEMİZ")))))</f>
        <v/>
      </c>
      <c r="R9" s="121">
        <f>IF($B9="","",IF($Q9="KRİTİK","Acil tahsilat görüşmesi ve cari mutabakat",IF($Q9="YÜKSEK","Bu hafta tahsilat takibi",IF($Q9="ORTA","Hatırlatma mesajı gönder",IF($Q9="İZLE","Normal takip","Aksiyon gerekmiyor")))))</f>
        <v/>
      </c>
      <c r="S9" s="232">
        <f>IF($B9="","",COUNTIFS(AKTIVITE!$D$7:$D$1006,$B9,AKTIVITE!$J$7:$J$1006,"&lt;&gt;Tamamlandı"))</f>
        <v/>
      </c>
      <c r="T9" s="229">
        <f>IF($B9="","",IF(MUSTERILER!$K9="","",MUSTERILER!$K9))</f>
        <v/>
      </c>
      <c r="U9" s="232">
        <f>IF(OR($B9="",$T9=""),"",TODAY()-$T9)</f>
        <v/>
      </c>
      <c r="V9" s="113">
        <f>IF($B9="","",IF(ABS($J9-($K9+$L9+$M9+$N9))&lt;0.01,"UYGUN","İNCELE"))</f>
        <v/>
      </c>
      <c r="W9" s="6" t="n"/>
      <c r="X9" s="6">
        <f>IF($B9="",0,SUMIFS(UCRETLER!$J$7:$J$406,UCRETLER!$B$7:$B$406,$B9))</f>
        <v/>
      </c>
      <c r="Y9" s="3">
        <f>IF($B9="",0,SUMIFS(UCRETLER!$K$7:$K$406,UCRETLER!$B$7:$B$406,$B9))</f>
        <v/>
      </c>
      <c r="Z9" s="3">
        <f>IF($B9="",0,SUMIFS(UCRETLER!$L$7:$L$406,UCRETLER!$B$7:$B$406,$B9))</f>
        <v/>
      </c>
      <c r="AA9" s="3">
        <f>IF($B9="",0,MAX(0,$I9-$F9))</f>
        <v/>
      </c>
      <c r="AB9" s="3">
        <f>IF($B9="",0,MAX(0,$F9-$I9))</f>
        <v/>
      </c>
      <c r="AC9" s="3">
        <f>IF($B9="",0,MAX(0,$X9-$AA9))</f>
        <v/>
      </c>
      <c r="AD9" s="3">
        <f>IF($B9="",0,MAX(0,$Y9-$AA9))</f>
        <v/>
      </c>
      <c r="AE9" s="3">
        <f>IF($B9="",0,MAX(0,$Z9-$AA9))</f>
        <v/>
      </c>
    </row>
    <row r="10">
      <c r="A10" s="6" t="n"/>
      <c r="B10" s="113">
        <f>IF(MUSTERILER!$C10="","",MUSTERILER!$B10)</f>
        <v/>
      </c>
      <c r="C10" s="121">
        <f>IF(MUSTERILER!$C10="","",MUSTERILER!$C10)</f>
        <v/>
      </c>
      <c r="D10" s="227">
        <f>IF($B10="","",SUMIFS(UCRETLER!$G$7:$G$406,UCRETLER!$B$7:$B$406,$B10,UCRETLER!$F$7:$F$406,"Haftalık",UCRETLER!$H$7:$H$406,"Aktif"))</f>
        <v/>
      </c>
      <c r="E10" s="227">
        <f>IF($B10="","",SUMIFS(UCRETLER!$G$7:$G$406,UCRETLER!$B$7:$B$406,$B10,UCRETLER!$F$7:$F$406,"Aylık",UCRETLER!$H$7:$H$406,"Aktif"))</f>
        <v/>
      </c>
      <c r="F10" s="227">
        <f>IF($B10="","",SUMIFS(MUSTERILER!$J$7:$J$106,MUSTERILER!$B$7:$B$106,$B10))</f>
        <v/>
      </c>
      <c r="G10" s="227">
        <f>IF($B10="","",SUMIFS(UCRETLER!$I$7:$I$406,UCRETLER!$B$7:$B$406,$B10))</f>
        <v/>
      </c>
      <c r="H10" s="227">
        <f>IF($B10="","",$F10+$G10)</f>
        <v/>
      </c>
      <c r="I10" s="227">
        <f>IF($B10="","",SUMIFS(TAHSILAT!$F$7:$F$1506,TAHSILAT!$C$7:$C$1506,$B10))</f>
        <v/>
      </c>
      <c r="J10" s="227">
        <f>IF($B10="","",MAX(0,$H10-$I10))</f>
        <v/>
      </c>
      <c r="K10" s="227">
        <f>IF($B10="","",MAX(0,$J10-$L10-$M10-$N10))</f>
        <v/>
      </c>
      <c r="L10" s="227">
        <f>IF($B10="","",($AC10-$AD10)+IF(AND($AB10&gt;0,$T10&lt;&gt;"",$U10&gt;=8,$U10&lt;15),$AB10,0))</f>
        <v/>
      </c>
      <c r="M10" s="227">
        <f>IF($B10="","",($AD10-$AE10)+IF(AND($AB10&gt;0,$T10&lt;&gt;"",$U10&gt;=15,$U10&lt;29),$AB10,0))</f>
        <v/>
      </c>
      <c r="N10" s="227">
        <f>IF($B10="","",$AE10+IF(AND($AB10&gt;0,OR($T10="",$U10&gt;=29)),$AB10,0))</f>
        <v/>
      </c>
      <c r="O10" s="234">
        <f>IF($B10="","",IFERROR($I10/$H10,0))</f>
        <v/>
      </c>
      <c r="P10" s="229">
        <f>IF($B10="","",IFERROR(LOOKUP(2,1/(TAHSILAT!$C$7:$C$1506=$B10),TAHSILAT!$E$7:$E$1506),""))</f>
        <v/>
      </c>
      <c r="Q10" s="113">
        <f>IF($B10="","",IF($N10&gt;0,"KRİTİK",IF($M10&gt;0,"YÜKSEK",IF($L10&gt;0,"ORTA",IF($J10&gt;0,"İZLE","TEMİZ")))))</f>
        <v/>
      </c>
      <c r="R10" s="121">
        <f>IF($B10="","",IF($Q10="KRİTİK","Acil tahsilat görüşmesi ve cari mutabakat",IF($Q10="YÜKSEK","Bu hafta tahsilat takibi",IF($Q10="ORTA","Hatırlatma mesajı gönder",IF($Q10="İZLE","Normal takip","Aksiyon gerekmiyor")))))</f>
        <v/>
      </c>
      <c r="S10" s="232">
        <f>IF($B10="","",COUNTIFS(AKTIVITE!$D$7:$D$1006,$B10,AKTIVITE!$J$7:$J$1006,"&lt;&gt;Tamamlandı"))</f>
        <v/>
      </c>
      <c r="T10" s="229">
        <f>IF($B10="","",IF(MUSTERILER!$K10="","",MUSTERILER!$K10))</f>
        <v/>
      </c>
      <c r="U10" s="232">
        <f>IF(OR($B10="",$T10=""),"",TODAY()-$T10)</f>
        <v/>
      </c>
      <c r="V10" s="113">
        <f>IF($B10="","",IF(ABS($J10-($K10+$L10+$M10+$N10))&lt;0.01,"UYGUN","İNCELE"))</f>
        <v/>
      </c>
      <c r="W10" s="6" t="n"/>
      <c r="X10" s="6">
        <f>IF($B10="",0,SUMIFS(UCRETLER!$J$7:$J$406,UCRETLER!$B$7:$B$406,$B10))</f>
        <v/>
      </c>
      <c r="Y10" s="3">
        <f>IF($B10="",0,SUMIFS(UCRETLER!$K$7:$K$406,UCRETLER!$B$7:$B$406,$B10))</f>
        <v/>
      </c>
      <c r="Z10" s="3">
        <f>IF($B10="",0,SUMIFS(UCRETLER!$L$7:$L$406,UCRETLER!$B$7:$B$406,$B10))</f>
        <v/>
      </c>
      <c r="AA10" s="3">
        <f>IF($B10="",0,MAX(0,$I10-$F10))</f>
        <v/>
      </c>
      <c r="AB10" s="3">
        <f>IF($B10="",0,MAX(0,$F10-$I10))</f>
        <v/>
      </c>
      <c r="AC10" s="3">
        <f>IF($B10="",0,MAX(0,$X10-$AA10))</f>
        <v/>
      </c>
      <c r="AD10" s="3">
        <f>IF($B10="",0,MAX(0,$Y10-$AA10))</f>
        <v/>
      </c>
      <c r="AE10" s="3">
        <f>IF($B10="",0,MAX(0,$Z10-$AA10))</f>
        <v/>
      </c>
    </row>
    <row r="11">
      <c r="A11" s="6" t="n"/>
      <c r="B11" s="113">
        <f>IF(MUSTERILER!$C11="","",MUSTERILER!$B11)</f>
        <v/>
      </c>
      <c r="C11" s="121">
        <f>IF(MUSTERILER!$C11="","",MUSTERILER!$C11)</f>
        <v/>
      </c>
      <c r="D11" s="227">
        <f>IF($B11="","",SUMIFS(UCRETLER!$G$7:$G$406,UCRETLER!$B$7:$B$406,$B11,UCRETLER!$F$7:$F$406,"Haftalık",UCRETLER!$H$7:$H$406,"Aktif"))</f>
        <v/>
      </c>
      <c r="E11" s="227">
        <f>IF($B11="","",SUMIFS(UCRETLER!$G$7:$G$406,UCRETLER!$B$7:$B$406,$B11,UCRETLER!$F$7:$F$406,"Aylık",UCRETLER!$H$7:$H$406,"Aktif"))</f>
        <v/>
      </c>
      <c r="F11" s="227">
        <f>IF($B11="","",SUMIFS(MUSTERILER!$J$7:$J$106,MUSTERILER!$B$7:$B$106,$B11))</f>
        <v/>
      </c>
      <c r="G11" s="227">
        <f>IF($B11="","",SUMIFS(UCRETLER!$I$7:$I$406,UCRETLER!$B$7:$B$406,$B11))</f>
        <v/>
      </c>
      <c r="H11" s="227">
        <f>IF($B11="","",$F11+$G11)</f>
        <v/>
      </c>
      <c r="I11" s="227">
        <f>IF($B11="","",SUMIFS(TAHSILAT!$F$7:$F$1506,TAHSILAT!$C$7:$C$1506,$B11))</f>
        <v/>
      </c>
      <c r="J11" s="227">
        <f>IF($B11="","",MAX(0,$H11-$I11))</f>
        <v/>
      </c>
      <c r="K11" s="227">
        <f>IF($B11="","",MAX(0,$J11-$L11-$M11-$N11))</f>
        <v/>
      </c>
      <c r="L11" s="227">
        <f>IF($B11="","",($AC11-$AD11)+IF(AND($AB11&gt;0,$T11&lt;&gt;"",$U11&gt;=8,$U11&lt;15),$AB11,0))</f>
        <v/>
      </c>
      <c r="M11" s="227">
        <f>IF($B11="","",($AD11-$AE11)+IF(AND($AB11&gt;0,$T11&lt;&gt;"",$U11&gt;=15,$U11&lt;29),$AB11,0))</f>
        <v/>
      </c>
      <c r="N11" s="227">
        <f>IF($B11="","",$AE11+IF(AND($AB11&gt;0,OR($T11="",$U11&gt;=29)),$AB11,0))</f>
        <v/>
      </c>
      <c r="O11" s="234">
        <f>IF($B11="","",IFERROR($I11/$H11,0))</f>
        <v/>
      </c>
      <c r="P11" s="229">
        <f>IF($B11="","",IFERROR(LOOKUP(2,1/(TAHSILAT!$C$7:$C$1506=$B11),TAHSILAT!$E$7:$E$1506),""))</f>
        <v/>
      </c>
      <c r="Q11" s="113">
        <f>IF($B11="","",IF($N11&gt;0,"KRİTİK",IF($M11&gt;0,"YÜKSEK",IF($L11&gt;0,"ORTA",IF($J11&gt;0,"İZLE","TEMİZ")))))</f>
        <v/>
      </c>
      <c r="R11" s="121">
        <f>IF($B11="","",IF($Q11="KRİTİK","Acil tahsilat görüşmesi ve cari mutabakat",IF($Q11="YÜKSEK","Bu hafta tahsilat takibi",IF($Q11="ORTA","Hatırlatma mesajı gönder",IF($Q11="İZLE","Normal takip","Aksiyon gerekmiyor")))))</f>
        <v/>
      </c>
      <c r="S11" s="232">
        <f>IF($B11="","",COUNTIFS(AKTIVITE!$D$7:$D$1006,$B11,AKTIVITE!$J$7:$J$1006,"&lt;&gt;Tamamlandı"))</f>
        <v/>
      </c>
      <c r="T11" s="229">
        <f>IF($B11="","",IF(MUSTERILER!$K11="","",MUSTERILER!$K11))</f>
        <v/>
      </c>
      <c r="U11" s="232">
        <f>IF(OR($B11="",$T11=""),"",TODAY()-$T11)</f>
        <v/>
      </c>
      <c r="V11" s="113">
        <f>IF($B11="","",IF(ABS($J11-($K11+$L11+$M11+$N11))&lt;0.01,"UYGUN","İNCELE"))</f>
        <v/>
      </c>
      <c r="W11" s="6" t="n"/>
      <c r="X11" s="6">
        <f>IF($B11="",0,SUMIFS(UCRETLER!$J$7:$J$406,UCRETLER!$B$7:$B$406,$B11))</f>
        <v/>
      </c>
      <c r="Y11" s="3">
        <f>IF($B11="",0,SUMIFS(UCRETLER!$K$7:$K$406,UCRETLER!$B$7:$B$406,$B11))</f>
        <v/>
      </c>
      <c r="Z11" s="3">
        <f>IF($B11="",0,SUMIFS(UCRETLER!$L$7:$L$406,UCRETLER!$B$7:$B$406,$B11))</f>
        <v/>
      </c>
      <c r="AA11" s="3">
        <f>IF($B11="",0,MAX(0,$I11-$F11))</f>
        <v/>
      </c>
      <c r="AB11" s="3">
        <f>IF($B11="",0,MAX(0,$F11-$I11))</f>
        <v/>
      </c>
      <c r="AC11" s="3">
        <f>IF($B11="",0,MAX(0,$X11-$AA11))</f>
        <v/>
      </c>
      <c r="AD11" s="3">
        <f>IF($B11="",0,MAX(0,$Y11-$AA11))</f>
        <v/>
      </c>
      <c r="AE11" s="3">
        <f>IF($B11="",0,MAX(0,$Z11-$AA11))</f>
        <v/>
      </c>
    </row>
    <row r="12">
      <c r="A12" s="6" t="n"/>
      <c r="B12" s="113">
        <f>IF(MUSTERILER!$C12="","",MUSTERILER!$B12)</f>
        <v/>
      </c>
      <c r="C12" s="121">
        <f>IF(MUSTERILER!$C12="","",MUSTERILER!$C12)</f>
        <v/>
      </c>
      <c r="D12" s="227">
        <f>IF($B12="","",SUMIFS(UCRETLER!$G$7:$G$406,UCRETLER!$B$7:$B$406,$B12,UCRETLER!$F$7:$F$406,"Haftalık",UCRETLER!$H$7:$H$406,"Aktif"))</f>
        <v/>
      </c>
      <c r="E12" s="227">
        <f>IF($B12="","",SUMIFS(UCRETLER!$G$7:$G$406,UCRETLER!$B$7:$B$406,$B12,UCRETLER!$F$7:$F$406,"Aylık",UCRETLER!$H$7:$H$406,"Aktif"))</f>
        <v/>
      </c>
      <c r="F12" s="227">
        <f>IF($B12="","",SUMIFS(MUSTERILER!$J$7:$J$106,MUSTERILER!$B$7:$B$106,$B12))</f>
        <v/>
      </c>
      <c r="G12" s="227">
        <f>IF($B12="","",SUMIFS(UCRETLER!$I$7:$I$406,UCRETLER!$B$7:$B$406,$B12))</f>
        <v/>
      </c>
      <c r="H12" s="227">
        <f>IF($B12="","",$F12+$G12)</f>
        <v/>
      </c>
      <c r="I12" s="227">
        <f>IF($B12="","",SUMIFS(TAHSILAT!$F$7:$F$1506,TAHSILAT!$C$7:$C$1506,$B12))</f>
        <v/>
      </c>
      <c r="J12" s="227">
        <f>IF($B12="","",MAX(0,$H12-$I12))</f>
        <v/>
      </c>
      <c r="K12" s="227">
        <f>IF($B12="","",MAX(0,$J12-$L12-$M12-$N12))</f>
        <v/>
      </c>
      <c r="L12" s="227">
        <f>IF($B12="","",($AC12-$AD12)+IF(AND($AB12&gt;0,$T12&lt;&gt;"",$U12&gt;=8,$U12&lt;15),$AB12,0))</f>
        <v/>
      </c>
      <c r="M12" s="227">
        <f>IF($B12="","",($AD12-$AE12)+IF(AND($AB12&gt;0,$T12&lt;&gt;"",$U12&gt;=15,$U12&lt;29),$AB12,0))</f>
        <v/>
      </c>
      <c r="N12" s="227">
        <f>IF($B12="","",$AE12+IF(AND($AB12&gt;0,OR($T12="",$U12&gt;=29)),$AB12,0))</f>
        <v/>
      </c>
      <c r="O12" s="234">
        <f>IF($B12="","",IFERROR($I12/$H12,0))</f>
        <v/>
      </c>
      <c r="P12" s="229">
        <f>IF($B12="","",IFERROR(LOOKUP(2,1/(TAHSILAT!$C$7:$C$1506=$B12),TAHSILAT!$E$7:$E$1506),""))</f>
        <v/>
      </c>
      <c r="Q12" s="113">
        <f>IF($B12="","",IF($N12&gt;0,"KRİTİK",IF($M12&gt;0,"YÜKSEK",IF($L12&gt;0,"ORTA",IF($J12&gt;0,"İZLE","TEMİZ")))))</f>
        <v/>
      </c>
      <c r="R12" s="121">
        <f>IF($B12="","",IF($Q12="KRİTİK","Acil tahsilat görüşmesi ve cari mutabakat",IF($Q12="YÜKSEK","Bu hafta tahsilat takibi",IF($Q12="ORTA","Hatırlatma mesajı gönder",IF($Q12="İZLE","Normal takip","Aksiyon gerekmiyor")))))</f>
        <v/>
      </c>
      <c r="S12" s="232">
        <f>IF($B12="","",COUNTIFS(AKTIVITE!$D$7:$D$1006,$B12,AKTIVITE!$J$7:$J$1006,"&lt;&gt;Tamamlandı"))</f>
        <v/>
      </c>
      <c r="T12" s="229">
        <f>IF($B12="","",IF(MUSTERILER!$K12="","",MUSTERILER!$K12))</f>
        <v/>
      </c>
      <c r="U12" s="232">
        <f>IF(OR($B12="",$T12=""),"",TODAY()-$T12)</f>
        <v/>
      </c>
      <c r="V12" s="113">
        <f>IF($B12="","",IF(ABS($J12-($K12+$L12+$M12+$N12))&lt;0.01,"UYGUN","İNCELE"))</f>
        <v/>
      </c>
      <c r="W12" s="6" t="n"/>
      <c r="X12" s="6">
        <f>IF($B12="",0,SUMIFS(UCRETLER!$J$7:$J$406,UCRETLER!$B$7:$B$406,$B12))</f>
        <v/>
      </c>
      <c r="Y12" s="3">
        <f>IF($B12="",0,SUMIFS(UCRETLER!$K$7:$K$406,UCRETLER!$B$7:$B$406,$B12))</f>
        <v/>
      </c>
      <c r="Z12" s="3">
        <f>IF($B12="",0,SUMIFS(UCRETLER!$L$7:$L$406,UCRETLER!$B$7:$B$406,$B12))</f>
        <v/>
      </c>
      <c r="AA12" s="3">
        <f>IF($B12="",0,MAX(0,$I12-$F12))</f>
        <v/>
      </c>
      <c r="AB12" s="3">
        <f>IF($B12="",0,MAX(0,$F12-$I12))</f>
        <v/>
      </c>
      <c r="AC12" s="3">
        <f>IF($B12="",0,MAX(0,$X12-$AA12))</f>
        <v/>
      </c>
      <c r="AD12" s="3">
        <f>IF($B12="",0,MAX(0,$Y12-$AA12))</f>
        <v/>
      </c>
      <c r="AE12" s="3">
        <f>IF($B12="",0,MAX(0,$Z12-$AA12))</f>
        <v/>
      </c>
    </row>
    <row r="13">
      <c r="A13" s="6" t="n"/>
      <c r="B13" s="113">
        <f>IF(MUSTERILER!$C13="","",MUSTERILER!$B13)</f>
        <v/>
      </c>
      <c r="C13" s="121">
        <f>IF(MUSTERILER!$C13="","",MUSTERILER!$C13)</f>
        <v/>
      </c>
      <c r="D13" s="227">
        <f>IF($B13="","",SUMIFS(UCRETLER!$G$7:$G$406,UCRETLER!$B$7:$B$406,$B13,UCRETLER!$F$7:$F$406,"Haftalık",UCRETLER!$H$7:$H$406,"Aktif"))</f>
        <v/>
      </c>
      <c r="E13" s="227">
        <f>IF($B13="","",SUMIFS(UCRETLER!$G$7:$G$406,UCRETLER!$B$7:$B$406,$B13,UCRETLER!$F$7:$F$406,"Aylık",UCRETLER!$H$7:$H$406,"Aktif"))</f>
        <v/>
      </c>
      <c r="F13" s="227">
        <f>IF($B13="","",SUMIFS(MUSTERILER!$J$7:$J$106,MUSTERILER!$B$7:$B$106,$B13))</f>
        <v/>
      </c>
      <c r="G13" s="227">
        <f>IF($B13="","",SUMIFS(UCRETLER!$I$7:$I$406,UCRETLER!$B$7:$B$406,$B13))</f>
        <v/>
      </c>
      <c r="H13" s="227">
        <f>IF($B13="","",$F13+$G13)</f>
        <v/>
      </c>
      <c r="I13" s="227">
        <f>IF($B13="","",SUMIFS(TAHSILAT!$F$7:$F$1506,TAHSILAT!$C$7:$C$1506,$B13))</f>
        <v/>
      </c>
      <c r="J13" s="227">
        <f>IF($B13="","",MAX(0,$H13-$I13))</f>
        <v/>
      </c>
      <c r="K13" s="227">
        <f>IF($B13="","",MAX(0,$J13-$L13-$M13-$N13))</f>
        <v/>
      </c>
      <c r="L13" s="227">
        <f>IF($B13="","",($AC13-$AD13)+IF(AND($AB13&gt;0,$T13&lt;&gt;"",$U13&gt;=8,$U13&lt;15),$AB13,0))</f>
        <v/>
      </c>
      <c r="M13" s="227">
        <f>IF($B13="","",($AD13-$AE13)+IF(AND($AB13&gt;0,$T13&lt;&gt;"",$U13&gt;=15,$U13&lt;29),$AB13,0))</f>
        <v/>
      </c>
      <c r="N13" s="227">
        <f>IF($B13="","",$AE13+IF(AND($AB13&gt;0,OR($T13="",$U13&gt;=29)),$AB13,0))</f>
        <v/>
      </c>
      <c r="O13" s="234">
        <f>IF($B13="","",IFERROR($I13/$H13,0))</f>
        <v/>
      </c>
      <c r="P13" s="229">
        <f>IF($B13="","",IFERROR(LOOKUP(2,1/(TAHSILAT!$C$7:$C$1506=$B13),TAHSILAT!$E$7:$E$1506),""))</f>
        <v/>
      </c>
      <c r="Q13" s="113">
        <f>IF($B13="","",IF($N13&gt;0,"KRİTİK",IF($M13&gt;0,"YÜKSEK",IF($L13&gt;0,"ORTA",IF($J13&gt;0,"İZLE","TEMİZ")))))</f>
        <v/>
      </c>
      <c r="R13" s="121">
        <f>IF($B13="","",IF($Q13="KRİTİK","Acil tahsilat görüşmesi ve cari mutabakat",IF($Q13="YÜKSEK","Bu hafta tahsilat takibi",IF($Q13="ORTA","Hatırlatma mesajı gönder",IF($Q13="İZLE","Normal takip","Aksiyon gerekmiyor")))))</f>
        <v/>
      </c>
      <c r="S13" s="232">
        <f>IF($B13="","",COUNTIFS(AKTIVITE!$D$7:$D$1006,$B13,AKTIVITE!$J$7:$J$1006,"&lt;&gt;Tamamlandı"))</f>
        <v/>
      </c>
      <c r="T13" s="229">
        <f>IF($B13="","",IF(MUSTERILER!$K13="","",MUSTERILER!$K13))</f>
        <v/>
      </c>
      <c r="U13" s="232">
        <f>IF(OR($B13="",$T13=""),"",TODAY()-$T13)</f>
        <v/>
      </c>
      <c r="V13" s="113">
        <f>IF($B13="","",IF(ABS($J13-($K13+$L13+$M13+$N13))&lt;0.01,"UYGUN","İNCELE"))</f>
        <v/>
      </c>
      <c r="W13" s="6" t="n"/>
      <c r="X13" s="6">
        <f>IF($B13="",0,SUMIFS(UCRETLER!$J$7:$J$406,UCRETLER!$B$7:$B$406,$B13))</f>
        <v/>
      </c>
      <c r="Y13" s="3">
        <f>IF($B13="",0,SUMIFS(UCRETLER!$K$7:$K$406,UCRETLER!$B$7:$B$406,$B13))</f>
        <v/>
      </c>
      <c r="Z13" s="3">
        <f>IF($B13="",0,SUMIFS(UCRETLER!$L$7:$L$406,UCRETLER!$B$7:$B$406,$B13))</f>
        <v/>
      </c>
      <c r="AA13" s="3">
        <f>IF($B13="",0,MAX(0,$I13-$F13))</f>
        <v/>
      </c>
      <c r="AB13" s="3">
        <f>IF($B13="",0,MAX(0,$F13-$I13))</f>
        <v/>
      </c>
      <c r="AC13" s="3">
        <f>IF($B13="",0,MAX(0,$X13-$AA13))</f>
        <v/>
      </c>
      <c r="AD13" s="3">
        <f>IF($B13="",0,MAX(0,$Y13-$AA13))</f>
        <v/>
      </c>
      <c r="AE13" s="3">
        <f>IF($B13="",0,MAX(0,$Z13-$AA13))</f>
        <v/>
      </c>
    </row>
    <row r="14">
      <c r="A14" s="6" t="n"/>
      <c r="B14" s="113">
        <f>IF(MUSTERILER!$C14="","",MUSTERILER!$B14)</f>
        <v/>
      </c>
      <c r="C14" s="121">
        <f>IF(MUSTERILER!$C14="","",MUSTERILER!$C14)</f>
        <v/>
      </c>
      <c r="D14" s="227">
        <f>IF($B14="","",SUMIFS(UCRETLER!$G$7:$G$406,UCRETLER!$B$7:$B$406,$B14,UCRETLER!$F$7:$F$406,"Haftalık",UCRETLER!$H$7:$H$406,"Aktif"))</f>
        <v/>
      </c>
      <c r="E14" s="227">
        <f>IF($B14="","",SUMIFS(UCRETLER!$G$7:$G$406,UCRETLER!$B$7:$B$406,$B14,UCRETLER!$F$7:$F$406,"Aylık",UCRETLER!$H$7:$H$406,"Aktif"))</f>
        <v/>
      </c>
      <c r="F14" s="227">
        <f>IF($B14="","",SUMIFS(MUSTERILER!$J$7:$J$106,MUSTERILER!$B$7:$B$106,$B14))</f>
        <v/>
      </c>
      <c r="G14" s="227">
        <f>IF($B14="","",SUMIFS(UCRETLER!$I$7:$I$406,UCRETLER!$B$7:$B$406,$B14))</f>
        <v/>
      </c>
      <c r="H14" s="227">
        <f>IF($B14="","",$F14+$G14)</f>
        <v/>
      </c>
      <c r="I14" s="227">
        <f>IF($B14="","",SUMIFS(TAHSILAT!$F$7:$F$1506,TAHSILAT!$C$7:$C$1506,$B14))</f>
        <v/>
      </c>
      <c r="J14" s="227">
        <f>IF($B14="","",MAX(0,$H14-$I14))</f>
        <v/>
      </c>
      <c r="K14" s="227">
        <f>IF($B14="","",MAX(0,$J14-$L14-$M14-$N14))</f>
        <v/>
      </c>
      <c r="L14" s="227">
        <f>IF($B14="","",($AC14-$AD14)+IF(AND($AB14&gt;0,$T14&lt;&gt;"",$U14&gt;=8,$U14&lt;15),$AB14,0))</f>
        <v/>
      </c>
      <c r="M14" s="227">
        <f>IF($B14="","",($AD14-$AE14)+IF(AND($AB14&gt;0,$T14&lt;&gt;"",$U14&gt;=15,$U14&lt;29),$AB14,0))</f>
        <v/>
      </c>
      <c r="N14" s="227">
        <f>IF($B14="","",$AE14+IF(AND($AB14&gt;0,OR($T14="",$U14&gt;=29)),$AB14,0))</f>
        <v/>
      </c>
      <c r="O14" s="234">
        <f>IF($B14="","",IFERROR($I14/$H14,0))</f>
        <v/>
      </c>
      <c r="P14" s="229">
        <f>IF($B14="","",IFERROR(LOOKUP(2,1/(TAHSILAT!$C$7:$C$1506=$B14),TAHSILAT!$E$7:$E$1506),""))</f>
        <v/>
      </c>
      <c r="Q14" s="113">
        <f>IF($B14="","",IF($N14&gt;0,"KRİTİK",IF($M14&gt;0,"YÜKSEK",IF($L14&gt;0,"ORTA",IF($J14&gt;0,"İZLE","TEMİZ")))))</f>
        <v/>
      </c>
      <c r="R14" s="121">
        <f>IF($B14="","",IF($Q14="KRİTİK","Acil tahsilat görüşmesi ve cari mutabakat",IF($Q14="YÜKSEK","Bu hafta tahsilat takibi",IF($Q14="ORTA","Hatırlatma mesajı gönder",IF($Q14="İZLE","Normal takip","Aksiyon gerekmiyor")))))</f>
        <v/>
      </c>
      <c r="S14" s="232">
        <f>IF($B14="","",COUNTIFS(AKTIVITE!$D$7:$D$1006,$B14,AKTIVITE!$J$7:$J$1006,"&lt;&gt;Tamamlandı"))</f>
        <v/>
      </c>
      <c r="T14" s="229">
        <f>IF($B14="","",IF(MUSTERILER!$K14="","",MUSTERILER!$K14))</f>
        <v/>
      </c>
      <c r="U14" s="232">
        <f>IF(OR($B14="",$T14=""),"",TODAY()-$T14)</f>
        <v/>
      </c>
      <c r="V14" s="113">
        <f>IF($B14="","",IF(ABS($J14-($K14+$L14+$M14+$N14))&lt;0.01,"UYGUN","İNCELE"))</f>
        <v/>
      </c>
      <c r="W14" s="6" t="n"/>
      <c r="X14" s="6">
        <f>IF($B14="",0,SUMIFS(UCRETLER!$J$7:$J$406,UCRETLER!$B$7:$B$406,$B14))</f>
        <v/>
      </c>
      <c r="Y14" s="3">
        <f>IF($B14="",0,SUMIFS(UCRETLER!$K$7:$K$406,UCRETLER!$B$7:$B$406,$B14))</f>
        <v/>
      </c>
      <c r="Z14" s="3">
        <f>IF($B14="",0,SUMIFS(UCRETLER!$L$7:$L$406,UCRETLER!$B$7:$B$406,$B14))</f>
        <v/>
      </c>
      <c r="AA14" s="3">
        <f>IF($B14="",0,MAX(0,$I14-$F14))</f>
        <v/>
      </c>
      <c r="AB14" s="3">
        <f>IF($B14="",0,MAX(0,$F14-$I14))</f>
        <v/>
      </c>
      <c r="AC14" s="3">
        <f>IF($B14="",0,MAX(0,$X14-$AA14))</f>
        <v/>
      </c>
      <c r="AD14" s="3">
        <f>IF($B14="",0,MAX(0,$Y14-$AA14))</f>
        <v/>
      </c>
      <c r="AE14" s="3">
        <f>IF($B14="",0,MAX(0,$Z14-$AA14))</f>
        <v/>
      </c>
    </row>
    <row r="15">
      <c r="A15" s="6" t="n"/>
      <c r="B15" s="113">
        <f>IF(MUSTERILER!$C15="","",MUSTERILER!$B15)</f>
        <v/>
      </c>
      <c r="C15" s="121">
        <f>IF(MUSTERILER!$C15="","",MUSTERILER!$C15)</f>
        <v/>
      </c>
      <c r="D15" s="227">
        <f>IF($B15="","",SUMIFS(UCRETLER!$G$7:$G$406,UCRETLER!$B$7:$B$406,$B15,UCRETLER!$F$7:$F$406,"Haftalık",UCRETLER!$H$7:$H$406,"Aktif"))</f>
        <v/>
      </c>
      <c r="E15" s="227">
        <f>IF($B15="","",SUMIFS(UCRETLER!$G$7:$G$406,UCRETLER!$B$7:$B$406,$B15,UCRETLER!$F$7:$F$406,"Aylık",UCRETLER!$H$7:$H$406,"Aktif"))</f>
        <v/>
      </c>
      <c r="F15" s="227">
        <f>IF($B15="","",SUMIFS(MUSTERILER!$J$7:$J$106,MUSTERILER!$B$7:$B$106,$B15))</f>
        <v/>
      </c>
      <c r="G15" s="227">
        <f>IF($B15="","",SUMIFS(UCRETLER!$I$7:$I$406,UCRETLER!$B$7:$B$406,$B15))</f>
        <v/>
      </c>
      <c r="H15" s="227">
        <f>IF($B15="","",$F15+$G15)</f>
        <v/>
      </c>
      <c r="I15" s="227">
        <f>IF($B15="","",SUMIFS(TAHSILAT!$F$7:$F$1506,TAHSILAT!$C$7:$C$1506,$B15))</f>
        <v/>
      </c>
      <c r="J15" s="227">
        <f>IF($B15="","",MAX(0,$H15-$I15))</f>
        <v/>
      </c>
      <c r="K15" s="227">
        <f>IF($B15="","",MAX(0,$J15-$L15-$M15-$N15))</f>
        <v/>
      </c>
      <c r="L15" s="227">
        <f>IF($B15="","",($AC15-$AD15)+IF(AND($AB15&gt;0,$T15&lt;&gt;"",$U15&gt;=8,$U15&lt;15),$AB15,0))</f>
        <v/>
      </c>
      <c r="M15" s="227">
        <f>IF($B15="","",($AD15-$AE15)+IF(AND($AB15&gt;0,$T15&lt;&gt;"",$U15&gt;=15,$U15&lt;29),$AB15,0))</f>
        <v/>
      </c>
      <c r="N15" s="227">
        <f>IF($B15="","",$AE15+IF(AND($AB15&gt;0,OR($T15="",$U15&gt;=29)),$AB15,0))</f>
        <v/>
      </c>
      <c r="O15" s="234">
        <f>IF($B15="","",IFERROR($I15/$H15,0))</f>
        <v/>
      </c>
      <c r="P15" s="229">
        <f>IF($B15="","",IFERROR(LOOKUP(2,1/(TAHSILAT!$C$7:$C$1506=$B15),TAHSILAT!$E$7:$E$1506),""))</f>
        <v/>
      </c>
      <c r="Q15" s="113">
        <f>IF($B15="","",IF($N15&gt;0,"KRİTİK",IF($M15&gt;0,"YÜKSEK",IF($L15&gt;0,"ORTA",IF($J15&gt;0,"İZLE","TEMİZ")))))</f>
        <v/>
      </c>
      <c r="R15" s="121">
        <f>IF($B15="","",IF($Q15="KRİTİK","Acil tahsilat görüşmesi ve cari mutabakat",IF($Q15="YÜKSEK","Bu hafta tahsilat takibi",IF($Q15="ORTA","Hatırlatma mesajı gönder",IF($Q15="İZLE","Normal takip","Aksiyon gerekmiyor")))))</f>
        <v/>
      </c>
      <c r="S15" s="232">
        <f>IF($B15="","",COUNTIFS(AKTIVITE!$D$7:$D$1006,$B15,AKTIVITE!$J$7:$J$1006,"&lt;&gt;Tamamlandı"))</f>
        <v/>
      </c>
      <c r="T15" s="229">
        <f>IF($B15="","",IF(MUSTERILER!$K15="","",MUSTERILER!$K15))</f>
        <v/>
      </c>
      <c r="U15" s="232">
        <f>IF(OR($B15="",$T15=""),"",TODAY()-$T15)</f>
        <v/>
      </c>
      <c r="V15" s="113">
        <f>IF($B15="","",IF(ABS($J15-($K15+$L15+$M15+$N15))&lt;0.01,"UYGUN","İNCELE"))</f>
        <v/>
      </c>
      <c r="W15" s="6" t="n"/>
      <c r="X15" s="6">
        <f>IF($B15="",0,SUMIFS(UCRETLER!$J$7:$J$406,UCRETLER!$B$7:$B$406,$B15))</f>
        <v/>
      </c>
      <c r="Y15" s="3">
        <f>IF($B15="",0,SUMIFS(UCRETLER!$K$7:$K$406,UCRETLER!$B$7:$B$406,$B15))</f>
        <v/>
      </c>
      <c r="Z15" s="3">
        <f>IF($B15="",0,SUMIFS(UCRETLER!$L$7:$L$406,UCRETLER!$B$7:$B$406,$B15))</f>
        <v/>
      </c>
      <c r="AA15" s="3">
        <f>IF($B15="",0,MAX(0,$I15-$F15))</f>
        <v/>
      </c>
      <c r="AB15" s="3">
        <f>IF($B15="",0,MAX(0,$F15-$I15))</f>
        <v/>
      </c>
      <c r="AC15" s="3">
        <f>IF($B15="",0,MAX(0,$X15-$AA15))</f>
        <v/>
      </c>
      <c r="AD15" s="3">
        <f>IF($B15="",0,MAX(0,$Y15-$AA15))</f>
        <v/>
      </c>
      <c r="AE15" s="3">
        <f>IF($B15="",0,MAX(0,$Z15-$AA15))</f>
        <v/>
      </c>
    </row>
    <row r="16">
      <c r="A16" s="6" t="n"/>
      <c r="B16" s="113">
        <f>IF(MUSTERILER!$C16="","",MUSTERILER!$B16)</f>
        <v/>
      </c>
      <c r="C16" s="121">
        <f>IF(MUSTERILER!$C16="","",MUSTERILER!$C16)</f>
        <v/>
      </c>
      <c r="D16" s="227">
        <f>IF($B16="","",SUMIFS(UCRETLER!$G$7:$G$406,UCRETLER!$B$7:$B$406,$B16,UCRETLER!$F$7:$F$406,"Haftalık",UCRETLER!$H$7:$H$406,"Aktif"))</f>
        <v/>
      </c>
      <c r="E16" s="227">
        <f>IF($B16="","",SUMIFS(UCRETLER!$G$7:$G$406,UCRETLER!$B$7:$B$406,$B16,UCRETLER!$F$7:$F$406,"Aylık",UCRETLER!$H$7:$H$406,"Aktif"))</f>
        <v/>
      </c>
      <c r="F16" s="227">
        <f>IF($B16="","",SUMIFS(MUSTERILER!$J$7:$J$106,MUSTERILER!$B$7:$B$106,$B16))</f>
        <v/>
      </c>
      <c r="G16" s="227">
        <f>IF($B16="","",SUMIFS(UCRETLER!$I$7:$I$406,UCRETLER!$B$7:$B$406,$B16))</f>
        <v/>
      </c>
      <c r="H16" s="227">
        <f>IF($B16="","",$F16+$G16)</f>
        <v/>
      </c>
      <c r="I16" s="227">
        <f>IF($B16="","",SUMIFS(TAHSILAT!$F$7:$F$1506,TAHSILAT!$C$7:$C$1506,$B16))</f>
        <v/>
      </c>
      <c r="J16" s="227">
        <f>IF($B16="","",MAX(0,$H16-$I16))</f>
        <v/>
      </c>
      <c r="K16" s="227">
        <f>IF($B16="","",MAX(0,$J16-$L16-$M16-$N16))</f>
        <v/>
      </c>
      <c r="L16" s="227">
        <f>IF($B16="","",($AC16-$AD16)+IF(AND($AB16&gt;0,$T16&lt;&gt;"",$U16&gt;=8,$U16&lt;15),$AB16,0))</f>
        <v/>
      </c>
      <c r="M16" s="227">
        <f>IF($B16="","",($AD16-$AE16)+IF(AND($AB16&gt;0,$T16&lt;&gt;"",$U16&gt;=15,$U16&lt;29),$AB16,0))</f>
        <v/>
      </c>
      <c r="N16" s="227">
        <f>IF($B16="","",$AE16+IF(AND($AB16&gt;0,OR($T16="",$U16&gt;=29)),$AB16,0))</f>
        <v/>
      </c>
      <c r="O16" s="234">
        <f>IF($B16="","",IFERROR($I16/$H16,0))</f>
        <v/>
      </c>
      <c r="P16" s="229">
        <f>IF($B16="","",IFERROR(LOOKUP(2,1/(TAHSILAT!$C$7:$C$1506=$B16),TAHSILAT!$E$7:$E$1506),""))</f>
        <v/>
      </c>
      <c r="Q16" s="113">
        <f>IF($B16="","",IF($N16&gt;0,"KRİTİK",IF($M16&gt;0,"YÜKSEK",IF($L16&gt;0,"ORTA",IF($J16&gt;0,"İZLE","TEMİZ")))))</f>
        <v/>
      </c>
      <c r="R16" s="121">
        <f>IF($B16="","",IF($Q16="KRİTİK","Acil tahsilat görüşmesi ve cari mutabakat",IF($Q16="YÜKSEK","Bu hafta tahsilat takibi",IF($Q16="ORTA","Hatırlatma mesajı gönder",IF($Q16="İZLE","Normal takip","Aksiyon gerekmiyor")))))</f>
        <v/>
      </c>
      <c r="S16" s="232">
        <f>IF($B16="","",COUNTIFS(AKTIVITE!$D$7:$D$1006,$B16,AKTIVITE!$J$7:$J$1006,"&lt;&gt;Tamamlandı"))</f>
        <v/>
      </c>
      <c r="T16" s="229">
        <f>IF($B16="","",IF(MUSTERILER!$K16="","",MUSTERILER!$K16))</f>
        <v/>
      </c>
      <c r="U16" s="232">
        <f>IF(OR($B16="",$T16=""),"",TODAY()-$T16)</f>
        <v/>
      </c>
      <c r="V16" s="113">
        <f>IF($B16="","",IF(ABS($J16-($K16+$L16+$M16+$N16))&lt;0.01,"UYGUN","İNCELE"))</f>
        <v/>
      </c>
      <c r="W16" s="6" t="n"/>
      <c r="X16" s="6">
        <f>IF($B16="",0,SUMIFS(UCRETLER!$J$7:$J$406,UCRETLER!$B$7:$B$406,$B16))</f>
        <v/>
      </c>
      <c r="Y16" s="3">
        <f>IF($B16="",0,SUMIFS(UCRETLER!$K$7:$K$406,UCRETLER!$B$7:$B$406,$B16))</f>
        <v/>
      </c>
      <c r="Z16" s="3">
        <f>IF($B16="",0,SUMIFS(UCRETLER!$L$7:$L$406,UCRETLER!$B$7:$B$406,$B16))</f>
        <v/>
      </c>
      <c r="AA16" s="3">
        <f>IF($B16="",0,MAX(0,$I16-$F16))</f>
        <v/>
      </c>
      <c r="AB16" s="3">
        <f>IF($B16="",0,MAX(0,$F16-$I16))</f>
        <v/>
      </c>
      <c r="AC16" s="3">
        <f>IF($B16="",0,MAX(0,$X16-$AA16))</f>
        <v/>
      </c>
      <c r="AD16" s="3">
        <f>IF($B16="",0,MAX(0,$Y16-$AA16))</f>
        <v/>
      </c>
      <c r="AE16" s="3">
        <f>IF($B16="",0,MAX(0,$Z16-$AA16))</f>
        <v/>
      </c>
    </row>
    <row r="17">
      <c r="A17" s="6" t="n"/>
      <c r="B17" s="113">
        <f>IF(MUSTERILER!$C17="","",MUSTERILER!$B17)</f>
        <v/>
      </c>
      <c r="C17" s="121">
        <f>IF(MUSTERILER!$C17="","",MUSTERILER!$C17)</f>
        <v/>
      </c>
      <c r="D17" s="227">
        <f>IF($B17="","",SUMIFS(UCRETLER!$G$7:$G$406,UCRETLER!$B$7:$B$406,$B17,UCRETLER!$F$7:$F$406,"Haftalık",UCRETLER!$H$7:$H$406,"Aktif"))</f>
        <v/>
      </c>
      <c r="E17" s="227">
        <f>IF($B17="","",SUMIFS(UCRETLER!$G$7:$G$406,UCRETLER!$B$7:$B$406,$B17,UCRETLER!$F$7:$F$406,"Aylık",UCRETLER!$H$7:$H$406,"Aktif"))</f>
        <v/>
      </c>
      <c r="F17" s="227">
        <f>IF($B17="","",SUMIFS(MUSTERILER!$J$7:$J$106,MUSTERILER!$B$7:$B$106,$B17))</f>
        <v/>
      </c>
      <c r="G17" s="227">
        <f>IF($B17="","",SUMIFS(UCRETLER!$I$7:$I$406,UCRETLER!$B$7:$B$406,$B17))</f>
        <v/>
      </c>
      <c r="H17" s="227">
        <f>IF($B17="","",$F17+$G17)</f>
        <v/>
      </c>
      <c r="I17" s="227">
        <f>IF($B17="","",SUMIFS(TAHSILAT!$F$7:$F$1506,TAHSILAT!$C$7:$C$1506,$B17))</f>
        <v/>
      </c>
      <c r="J17" s="227">
        <f>IF($B17="","",MAX(0,$H17-$I17))</f>
        <v/>
      </c>
      <c r="K17" s="227">
        <f>IF($B17="","",MAX(0,$J17-$L17-$M17-$N17))</f>
        <v/>
      </c>
      <c r="L17" s="227">
        <f>IF($B17="","",($AC17-$AD17)+IF(AND($AB17&gt;0,$T17&lt;&gt;"",$U17&gt;=8,$U17&lt;15),$AB17,0))</f>
        <v/>
      </c>
      <c r="M17" s="227">
        <f>IF($B17="","",($AD17-$AE17)+IF(AND($AB17&gt;0,$T17&lt;&gt;"",$U17&gt;=15,$U17&lt;29),$AB17,0))</f>
        <v/>
      </c>
      <c r="N17" s="227">
        <f>IF($B17="","",$AE17+IF(AND($AB17&gt;0,OR($T17="",$U17&gt;=29)),$AB17,0))</f>
        <v/>
      </c>
      <c r="O17" s="234">
        <f>IF($B17="","",IFERROR($I17/$H17,0))</f>
        <v/>
      </c>
      <c r="P17" s="229">
        <f>IF($B17="","",IFERROR(LOOKUP(2,1/(TAHSILAT!$C$7:$C$1506=$B17),TAHSILAT!$E$7:$E$1506),""))</f>
        <v/>
      </c>
      <c r="Q17" s="113">
        <f>IF($B17="","",IF($N17&gt;0,"KRİTİK",IF($M17&gt;0,"YÜKSEK",IF($L17&gt;0,"ORTA",IF($J17&gt;0,"İZLE","TEMİZ")))))</f>
        <v/>
      </c>
      <c r="R17" s="121">
        <f>IF($B17="","",IF($Q17="KRİTİK","Acil tahsilat görüşmesi ve cari mutabakat",IF($Q17="YÜKSEK","Bu hafta tahsilat takibi",IF($Q17="ORTA","Hatırlatma mesajı gönder",IF($Q17="İZLE","Normal takip","Aksiyon gerekmiyor")))))</f>
        <v/>
      </c>
      <c r="S17" s="232">
        <f>IF($B17="","",COUNTIFS(AKTIVITE!$D$7:$D$1006,$B17,AKTIVITE!$J$7:$J$1006,"&lt;&gt;Tamamlandı"))</f>
        <v/>
      </c>
      <c r="T17" s="229">
        <f>IF($B17="","",IF(MUSTERILER!$K17="","",MUSTERILER!$K17))</f>
        <v/>
      </c>
      <c r="U17" s="232">
        <f>IF(OR($B17="",$T17=""),"",TODAY()-$T17)</f>
        <v/>
      </c>
      <c r="V17" s="113">
        <f>IF($B17="","",IF(ABS($J17-($K17+$L17+$M17+$N17))&lt;0.01,"UYGUN","İNCELE"))</f>
        <v/>
      </c>
      <c r="W17" s="6" t="n"/>
      <c r="X17" s="6">
        <f>IF($B17="",0,SUMIFS(UCRETLER!$J$7:$J$406,UCRETLER!$B$7:$B$406,$B17))</f>
        <v/>
      </c>
      <c r="Y17" s="3">
        <f>IF($B17="",0,SUMIFS(UCRETLER!$K$7:$K$406,UCRETLER!$B$7:$B$406,$B17))</f>
        <v/>
      </c>
      <c r="Z17" s="3">
        <f>IF($B17="",0,SUMIFS(UCRETLER!$L$7:$L$406,UCRETLER!$B$7:$B$406,$B17))</f>
        <v/>
      </c>
      <c r="AA17" s="3">
        <f>IF($B17="",0,MAX(0,$I17-$F17))</f>
        <v/>
      </c>
      <c r="AB17" s="3">
        <f>IF($B17="",0,MAX(0,$F17-$I17))</f>
        <v/>
      </c>
      <c r="AC17" s="3">
        <f>IF($B17="",0,MAX(0,$X17-$AA17))</f>
        <v/>
      </c>
      <c r="AD17" s="3">
        <f>IF($B17="",0,MAX(0,$Y17-$AA17))</f>
        <v/>
      </c>
      <c r="AE17" s="3">
        <f>IF($B17="",0,MAX(0,$Z17-$AA17))</f>
        <v/>
      </c>
    </row>
    <row r="18">
      <c r="A18" s="6" t="n"/>
      <c r="B18" s="113">
        <f>IF(MUSTERILER!$C18="","",MUSTERILER!$B18)</f>
        <v/>
      </c>
      <c r="C18" s="121">
        <f>IF(MUSTERILER!$C18="","",MUSTERILER!$C18)</f>
        <v/>
      </c>
      <c r="D18" s="227">
        <f>IF($B18="","",SUMIFS(UCRETLER!$G$7:$G$406,UCRETLER!$B$7:$B$406,$B18,UCRETLER!$F$7:$F$406,"Haftalık",UCRETLER!$H$7:$H$406,"Aktif"))</f>
        <v/>
      </c>
      <c r="E18" s="227">
        <f>IF($B18="","",SUMIFS(UCRETLER!$G$7:$G$406,UCRETLER!$B$7:$B$406,$B18,UCRETLER!$F$7:$F$406,"Aylık",UCRETLER!$H$7:$H$406,"Aktif"))</f>
        <v/>
      </c>
      <c r="F18" s="227">
        <f>IF($B18="","",SUMIFS(MUSTERILER!$J$7:$J$106,MUSTERILER!$B$7:$B$106,$B18))</f>
        <v/>
      </c>
      <c r="G18" s="227">
        <f>IF($B18="","",SUMIFS(UCRETLER!$I$7:$I$406,UCRETLER!$B$7:$B$406,$B18))</f>
        <v/>
      </c>
      <c r="H18" s="227">
        <f>IF($B18="","",$F18+$G18)</f>
        <v/>
      </c>
      <c r="I18" s="227">
        <f>IF($B18="","",SUMIFS(TAHSILAT!$F$7:$F$1506,TAHSILAT!$C$7:$C$1506,$B18))</f>
        <v/>
      </c>
      <c r="J18" s="227">
        <f>IF($B18="","",MAX(0,$H18-$I18))</f>
        <v/>
      </c>
      <c r="K18" s="227">
        <f>IF($B18="","",MAX(0,$J18-$L18-$M18-$N18))</f>
        <v/>
      </c>
      <c r="L18" s="227">
        <f>IF($B18="","",($AC18-$AD18)+IF(AND($AB18&gt;0,$T18&lt;&gt;"",$U18&gt;=8,$U18&lt;15),$AB18,0))</f>
        <v/>
      </c>
      <c r="M18" s="227">
        <f>IF($B18="","",($AD18-$AE18)+IF(AND($AB18&gt;0,$T18&lt;&gt;"",$U18&gt;=15,$U18&lt;29),$AB18,0))</f>
        <v/>
      </c>
      <c r="N18" s="227">
        <f>IF($B18="","",$AE18+IF(AND($AB18&gt;0,OR($T18="",$U18&gt;=29)),$AB18,0))</f>
        <v/>
      </c>
      <c r="O18" s="234">
        <f>IF($B18="","",IFERROR($I18/$H18,0))</f>
        <v/>
      </c>
      <c r="P18" s="229">
        <f>IF($B18="","",IFERROR(LOOKUP(2,1/(TAHSILAT!$C$7:$C$1506=$B18),TAHSILAT!$E$7:$E$1506),""))</f>
        <v/>
      </c>
      <c r="Q18" s="113">
        <f>IF($B18="","",IF($N18&gt;0,"KRİTİK",IF($M18&gt;0,"YÜKSEK",IF($L18&gt;0,"ORTA",IF($J18&gt;0,"İZLE","TEMİZ")))))</f>
        <v/>
      </c>
      <c r="R18" s="121">
        <f>IF($B18="","",IF($Q18="KRİTİK","Acil tahsilat görüşmesi ve cari mutabakat",IF($Q18="YÜKSEK","Bu hafta tahsilat takibi",IF($Q18="ORTA","Hatırlatma mesajı gönder",IF($Q18="İZLE","Normal takip","Aksiyon gerekmiyor")))))</f>
        <v/>
      </c>
      <c r="S18" s="232">
        <f>IF($B18="","",COUNTIFS(AKTIVITE!$D$7:$D$1006,$B18,AKTIVITE!$J$7:$J$1006,"&lt;&gt;Tamamlandı"))</f>
        <v/>
      </c>
      <c r="T18" s="229">
        <f>IF($B18="","",IF(MUSTERILER!$K18="","",MUSTERILER!$K18))</f>
        <v/>
      </c>
      <c r="U18" s="232">
        <f>IF(OR($B18="",$T18=""),"",TODAY()-$T18)</f>
        <v/>
      </c>
      <c r="V18" s="113">
        <f>IF($B18="","",IF(ABS($J18-($K18+$L18+$M18+$N18))&lt;0.01,"UYGUN","İNCELE"))</f>
        <v/>
      </c>
      <c r="W18" s="6" t="n"/>
      <c r="X18" s="6">
        <f>IF($B18="",0,SUMIFS(UCRETLER!$J$7:$J$406,UCRETLER!$B$7:$B$406,$B18))</f>
        <v/>
      </c>
      <c r="Y18" s="3">
        <f>IF($B18="",0,SUMIFS(UCRETLER!$K$7:$K$406,UCRETLER!$B$7:$B$406,$B18))</f>
        <v/>
      </c>
      <c r="Z18" s="3">
        <f>IF($B18="",0,SUMIFS(UCRETLER!$L$7:$L$406,UCRETLER!$B$7:$B$406,$B18))</f>
        <v/>
      </c>
      <c r="AA18" s="3">
        <f>IF($B18="",0,MAX(0,$I18-$F18))</f>
        <v/>
      </c>
      <c r="AB18" s="3">
        <f>IF($B18="",0,MAX(0,$F18-$I18))</f>
        <v/>
      </c>
      <c r="AC18" s="3">
        <f>IF($B18="",0,MAX(0,$X18-$AA18))</f>
        <v/>
      </c>
      <c r="AD18" s="3">
        <f>IF($B18="",0,MAX(0,$Y18-$AA18))</f>
        <v/>
      </c>
      <c r="AE18" s="3">
        <f>IF($B18="",0,MAX(0,$Z18-$AA18))</f>
        <v/>
      </c>
    </row>
    <row r="19">
      <c r="A19" s="6" t="n"/>
      <c r="B19" s="113">
        <f>IF(MUSTERILER!$C19="","",MUSTERILER!$B19)</f>
        <v/>
      </c>
      <c r="C19" s="121">
        <f>IF(MUSTERILER!$C19="","",MUSTERILER!$C19)</f>
        <v/>
      </c>
      <c r="D19" s="227">
        <f>IF($B19="","",SUMIFS(UCRETLER!$G$7:$G$406,UCRETLER!$B$7:$B$406,$B19,UCRETLER!$F$7:$F$406,"Haftalık",UCRETLER!$H$7:$H$406,"Aktif"))</f>
        <v/>
      </c>
      <c r="E19" s="227">
        <f>IF($B19="","",SUMIFS(UCRETLER!$G$7:$G$406,UCRETLER!$B$7:$B$406,$B19,UCRETLER!$F$7:$F$406,"Aylık",UCRETLER!$H$7:$H$406,"Aktif"))</f>
        <v/>
      </c>
      <c r="F19" s="227">
        <f>IF($B19="","",SUMIFS(MUSTERILER!$J$7:$J$106,MUSTERILER!$B$7:$B$106,$B19))</f>
        <v/>
      </c>
      <c r="G19" s="227">
        <f>IF($B19="","",SUMIFS(UCRETLER!$I$7:$I$406,UCRETLER!$B$7:$B$406,$B19))</f>
        <v/>
      </c>
      <c r="H19" s="227">
        <f>IF($B19="","",$F19+$G19)</f>
        <v/>
      </c>
      <c r="I19" s="227">
        <f>IF($B19="","",SUMIFS(TAHSILAT!$F$7:$F$1506,TAHSILAT!$C$7:$C$1506,$B19))</f>
        <v/>
      </c>
      <c r="J19" s="227">
        <f>IF($B19="","",MAX(0,$H19-$I19))</f>
        <v/>
      </c>
      <c r="K19" s="227">
        <f>IF($B19="","",MAX(0,$J19-$L19-$M19-$N19))</f>
        <v/>
      </c>
      <c r="L19" s="227">
        <f>IF($B19="","",($AC19-$AD19)+IF(AND($AB19&gt;0,$T19&lt;&gt;"",$U19&gt;=8,$U19&lt;15),$AB19,0))</f>
        <v/>
      </c>
      <c r="M19" s="227">
        <f>IF($B19="","",($AD19-$AE19)+IF(AND($AB19&gt;0,$T19&lt;&gt;"",$U19&gt;=15,$U19&lt;29),$AB19,0))</f>
        <v/>
      </c>
      <c r="N19" s="227">
        <f>IF($B19="","",$AE19+IF(AND($AB19&gt;0,OR($T19="",$U19&gt;=29)),$AB19,0))</f>
        <v/>
      </c>
      <c r="O19" s="234">
        <f>IF($B19="","",IFERROR($I19/$H19,0))</f>
        <v/>
      </c>
      <c r="P19" s="229">
        <f>IF($B19="","",IFERROR(LOOKUP(2,1/(TAHSILAT!$C$7:$C$1506=$B19),TAHSILAT!$E$7:$E$1506),""))</f>
        <v/>
      </c>
      <c r="Q19" s="113">
        <f>IF($B19="","",IF($N19&gt;0,"KRİTİK",IF($M19&gt;0,"YÜKSEK",IF($L19&gt;0,"ORTA",IF($J19&gt;0,"İZLE","TEMİZ")))))</f>
        <v/>
      </c>
      <c r="R19" s="121">
        <f>IF($B19="","",IF($Q19="KRİTİK","Acil tahsilat görüşmesi ve cari mutabakat",IF($Q19="YÜKSEK","Bu hafta tahsilat takibi",IF($Q19="ORTA","Hatırlatma mesajı gönder",IF($Q19="İZLE","Normal takip","Aksiyon gerekmiyor")))))</f>
        <v/>
      </c>
      <c r="S19" s="232">
        <f>IF($B19="","",COUNTIFS(AKTIVITE!$D$7:$D$1006,$B19,AKTIVITE!$J$7:$J$1006,"&lt;&gt;Tamamlandı"))</f>
        <v/>
      </c>
      <c r="T19" s="229">
        <f>IF($B19="","",IF(MUSTERILER!$K19="","",MUSTERILER!$K19))</f>
        <v/>
      </c>
      <c r="U19" s="232">
        <f>IF(OR($B19="",$T19=""),"",TODAY()-$T19)</f>
        <v/>
      </c>
      <c r="V19" s="113">
        <f>IF($B19="","",IF(ABS($J19-($K19+$L19+$M19+$N19))&lt;0.01,"UYGUN","İNCELE"))</f>
        <v/>
      </c>
      <c r="W19" s="6" t="n"/>
      <c r="X19" s="6">
        <f>IF($B19="",0,SUMIFS(UCRETLER!$J$7:$J$406,UCRETLER!$B$7:$B$406,$B19))</f>
        <v/>
      </c>
      <c r="Y19" s="3">
        <f>IF($B19="",0,SUMIFS(UCRETLER!$K$7:$K$406,UCRETLER!$B$7:$B$406,$B19))</f>
        <v/>
      </c>
      <c r="Z19" s="3">
        <f>IF($B19="",0,SUMIFS(UCRETLER!$L$7:$L$406,UCRETLER!$B$7:$B$406,$B19))</f>
        <v/>
      </c>
      <c r="AA19" s="3">
        <f>IF($B19="",0,MAX(0,$I19-$F19))</f>
        <v/>
      </c>
      <c r="AB19" s="3">
        <f>IF($B19="",0,MAX(0,$F19-$I19))</f>
        <v/>
      </c>
      <c r="AC19" s="3">
        <f>IF($B19="",0,MAX(0,$X19-$AA19))</f>
        <v/>
      </c>
      <c r="AD19" s="3">
        <f>IF($B19="",0,MAX(0,$Y19-$AA19))</f>
        <v/>
      </c>
      <c r="AE19" s="3">
        <f>IF($B19="",0,MAX(0,$Z19-$AA19))</f>
        <v/>
      </c>
    </row>
    <row r="20">
      <c r="A20" s="6" t="n"/>
      <c r="B20" s="113">
        <f>IF(MUSTERILER!$C20="","",MUSTERILER!$B20)</f>
        <v/>
      </c>
      <c r="C20" s="121">
        <f>IF(MUSTERILER!$C20="","",MUSTERILER!$C20)</f>
        <v/>
      </c>
      <c r="D20" s="227">
        <f>IF($B20="","",SUMIFS(UCRETLER!$G$7:$G$406,UCRETLER!$B$7:$B$406,$B20,UCRETLER!$F$7:$F$406,"Haftalık",UCRETLER!$H$7:$H$406,"Aktif"))</f>
        <v/>
      </c>
      <c r="E20" s="227">
        <f>IF($B20="","",SUMIFS(UCRETLER!$G$7:$G$406,UCRETLER!$B$7:$B$406,$B20,UCRETLER!$F$7:$F$406,"Aylık",UCRETLER!$H$7:$H$406,"Aktif"))</f>
        <v/>
      </c>
      <c r="F20" s="227">
        <f>IF($B20="","",SUMIFS(MUSTERILER!$J$7:$J$106,MUSTERILER!$B$7:$B$106,$B20))</f>
        <v/>
      </c>
      <c r="G20" s="227">
        <f>IF($B20="","",SUMIFS(UCRETLER!$I$7:$I$406,UCRETLER!$B$7:$B$406,$B20))</f>
        <v/>
      </c>
      <c r="H20" s="227">
        <f>IF($B20="","",$F20+$G20)</f>
        <v/>
      </c>
      <c r="I20" s="227">
        <f>IF($B20="","",SUMIFS(TAHSILAT!$F$7:$F$1506,TAHSILAT!$C$7:$C$1506,$B20))</f>
        <v/>
      </c>
      <c r="J20" s="227">
        <f>IF($B20="","",MAX(0,$H20-$I20))</f>
        <v/>
      </c>
      <c r="K20" s="227">
        <f>IF($B20="","",MAX(0,$J20-$L20-$M20-$N20))</f>
        <v/>
      </c>
      <c r="L20" s="227">
        <f>IF($B20="","",($AC20-$AD20)+IF(AND($AB20&gt;0,$T20&lt;&gt;"",$U20&gt;=8,$U20&lt;15),$AB20,0))</f>
        <v/>
      </c>
      <c r="M20" s="227">
        <f>IF($B20="","",($AD20-$AE20)+IF(AND($AB20&gt;0,$T20&lt;&gt;"",$U20&gt;=15,$U20&lt;29),$AB20,0))</f>
        <v/>
      </c>
      <c r="N20" s="227">
        <f>IF($B20="","",$AE20+IF(AND($AB20&gt;0,OR($T20="",$U20&gt;=29)),$AB20,0))</f>
        <v/>
      </c>
      <c r="O20" s="234">
        <f>IF($B20="","",IFERROR($I20/$H20,0))</f>
        <v/>
      </c>
      <c r="P20" s="229">
        <f>IF($B20="","",IFERROR(LOOKUP(2,1/(TAHSILAT!$C$7:$C$1506=$B20),TAHSILAT!$E$7:$E$1506),""))</f>
        <v/>
      </c>
      <c r="Q20" s="113">
        <f>IF($B20="","",IF($N20&gt;0,"KRİTİK",IF($M20&gt;0,"YÜKSEK",IF($L20&gt;0,"ORTA",IF($J20&gt;0,"İZLE","TEMİZ")))))</f>
        <v/>
      </c>
      <c r="R20" s="121">
        <f>IF($B20="","",IF($Q20="KRİTİK","Acil tahsilat görüşmesi ve cari mutabakat",IF($Q20="YÜKSEK","Bu hafta tahsilat takibi",IF($Q20="ORTA","Hatırlatma mesajı gönder",IF($Q20="İZLE","Normal takip","Aksiyon gerekmiyor")))))</f>
        <v/>
      </c>
      <c r="S20" s="232">
        <f>IF($B20="","",COUNTIFS(AKTIVITE!$D$7:$D$1006,$B20,AKTIVITE!$J$7:$J$1006,"&lt;&gt;Tamamlandı"))</f>
        <v/>
      </c>
      <c r="T20" s="229">
        <f>IF($B20="","",IF(MUSTERILER!$K20="","",MUSTERILER!$K20))</f>
        <v/>
      </c>
      <c r="U20" s="232">
        <f>IF(OR($B20="",$T20=""),"",TODAY()-$T20)</f>
        <v/>
      </c>
      <c r="V20" s="113">
        <f>IF($B20="","",IF(ABS($J20-($K20+$L20+$M20+$N20))&lt;0.01,"UYGUN","İNCELE"))</f>
        <v/>
      </c>
      <c r="W20" s="6" t="n"/>
      <c r="X20" s="6">
        <f>IF($B20="",0,SUMIFS(UCRETLER!$J$7:$J$406,UCRETLER!$B$7:$B$406,$B20))</f>
        <v/>
      </c>
      <c r="Y20" s="3">
        <f>IF($B20="",0,SUMIFS(UCRETLER!$K$7:$K$406,UCRETLER!$B$7:$B$406,$B20))</f>
        <v/>
      </c>
      <c r="Z20" s="3">
        <f>IF($B20="",0,SUMIFS(UCRETLER!$L$7:$L$406,UCRETLER!$B$7:$B$406,$B20))</f>
        <v/>
      </c>
      <c r="AA20" s="3">
        <f>IF($B20="",0,MAX(0,$I20-$F20))</f>
        <v/>
      </c>
      <c r="AB20" s="3">
        <f>IF($B20="",0,MAX(0,$F20-$I20))</f>
        <v/>
      </c>
      <c r="AC20" s="3">
        <f>IF($B20="",0,MAX(0,$X20-$AA20))</f>
        <v/>
      </c>
      <c r="AD20" s="3">
        <f>IF($B20="",0,MAX(0,$Y20-$AA20))</f>
        <v/>
      </c>
      <c r="AE20" s="3">
        <f>IF($B20="",0,MAX(0,$Z20-$AA20))</f>
        <v/>
      </c>
    </row>
    <row r="21">
      <c r="A21" s="6" t="n"/>
      <c r="B21" s="113">
        <f>IF(MUSTERILER!$C21="","",MUSTERILER!$B21)</f>
        <v/>
      </c>
      <c r="C21" s="121">
        <f>IF(MUSTERILER!$C21="","",MUSTERILER!$C21)</f>
        <v/>
      </c>
      <c r="D21" s="227">
        <f>IF($B21="","",SUMIFS(UCRETLER!$G$7:$G$406,UCRETLER!$B$7:$B$406,$B21,UCRETLER!$F$7:$F$406,"Haftalık",UCRETLER!$H$7:$H$406,"Aktif"))</f>
        <v/>
      </c>
      <c r="E21" s="227">
        <f>IF($B21="","",SUMIFS(UCRETLER!$G$7:$G$406,UCRETLER!$B$7:$B$406,$B21,UCRETLER!$F$7:$F$406,"Aylık",UCRETLER!$H$7:$H$406,"Aktif"))</f>
        <v/>
      </c>
      <c r="F21" s="227">
        <f>IF($B21="","",SUMIFS(MUSTERILER!$J$7:$J$106,MUSTERILER!$B$7:$B$106,$B21))</f>
        <v/>
      </c>
      <c r="G21" s="227">
        <f>IF($B21="","",SUMIFS(UCRETLER!$I$7:$I$406,UCRETLER!$B$7:$B$406,$B21))</f>
        <v/>
      </c>
      <c r="H21" s="227">
        <f>IF($B21="","",$F21+$G21)</f>
        <v/>
      </c>
      <c r="I21" s="227">
        <f>IF($B21="","",SUMIFS(TAHSILAT!$F$7:$F$1506,TAHSILAT!$C$7:$C$1506,$B21))</f>
        <v/>
      </c>
      <c r="J21" s="227">
        <f>IF($B21="","",MAX(0,$H21-$I21))</f>
        <v/>
      </c>
      <c r="K21" s="227">
        <f>IF($B21="","",MAX(0,$J21-$L21-$M21-$N21))</f>
        <v/>
      </c>
      <c r="L21" s="227">
        <f>IF($B21="","",($AC21-$AD21)+IF(AND($AB21&gt;0,$T21&lt;&gt;"",$U21&gt;=8,$U21&lt;15),$AB21,0))</f>
        <v/>
      </c>
      <c r="M21" s="227">
        <f>IF($B21="","",($AD21-$AE21)+IF(AND($AB21&gt;0,$T21&lt;&gt;"",$U21&gt;=15,$U21&lt;29),$AB21,0))</f>
        <v/>
      </c>
      <c r="N21" s="227">
        <f>IF($B21="","",$AE21+IF(AND($AB21&gt;0,OR($T21="",$U21&gt;=29)),$AB21,0))</f>
        <v/>
      </c>
      <c r="O21" s="234">
        <f>IF($B21="","",IFERROR($I21/$H21,0))</f>
        <v/>
      </c>
      <c r="P21" s="229">
        <f>IF($B21="","",IFERROR(LOOKUP(2,1/(TAHSILAT!$C$7:$C$1506=$B21),TAHSILAT!$E$7:$E$1506),""))</f>
        <v/>
      </c>
      <c r="Q21" s="113">
        <f>IF($B21="","",IF($N21&gt;0,"KRİTİK",IF($M21&gt;0,"YÜKSEK",IF($L21&gt;0,"ORTA",IF($J21&gt;0,"İZLE","TEMİZ")))))</f>
        <v/>
      </c>
      <c r="R21" s="121">
        <f>IF($B21="","",IF($Q21="KRİTİK","Acil tahsilat görüşmesi ve cari mutabakat",IF($Q21="YÜKSEK","Bu hafta tahsilat takibi",IF($Q21="ORTA","Hatırlatma mesajı gönder",IF($Q21="İZLE","Normal takip","Aksiyon gerekmiyor")))))</f>
        <v/>
      </c>
      <c r="S21" s="232">
        <f>IF($B21="","",COUNTIFS(AKTIVITE!$D$7:$D$1006,$B21,AKTIVITE!$J$7:$J$1006,"&lt;&gt;Tamamlandı"))</f>
        <v/>
      </c>
      <c r="T21" s="229">
        <f>IF($B21="","",IF(MUSTERILER!$K21="","",MUSTERILER!$K21))</f>
        <v/>
      </c>
      <c r="U21" s="232">
        <f>IF(OR($B21="",$T21=""),"",TODAY()-$T21)</f>
        <v/>
      </c>
      <c r="V21" s="113">
        <f>IF($B21="","",IF(ABS($J21-($K21+$L21+$M21+$N21))&lt;0.01,"UYGUN","İNCELE"))</f>
        <v/>
      </c>
      <c r="W21" s="6" t="n"/>
      <c r="X21" s="6">
        <f>IF($B21="",0,SUMIFS(UCRETLER!$J$7:$J$406,UCRETLER!$B$7:$B$406,$B21))</f>
        <v/>
      </c>
      <c r="Y21" s="3">
        <f>IF($B21="",0,SUMIFS(UCRETLER!$K$7:$K$406,UCRETLER!$B$7:$B$406,$B21))</f>
        <v/>
      </c>
      <c r="Z21" s="3">
        <f>IF($B21="",0,SUMIFS(UCRETLER!$L$7:$L$406,UCRETLER!$B$7:$B$406,$B21))</f>
        <v/>
      </c>
      <c r="AA21" s="3">
        <f>IF($B21="",0,MAX(0,$I21-$F21))</f>
        <v/>
      </c>
      <c r="AB21" s="3">
        <f>IF($B21="",0,MAX(0,$F21-$I21))</f>
        <v/>
      </c>
      <c r="AC21" s="3">
        <f>IF($B21="",0,MAX(0,$X21-$AA21))</f>
        <v/>
      </c>
      <c r="AD21" s="3">
        <f>IF($B21="",0,MAX(0,$Y21-$AA21))</f>
        <v/>
      </c>
      <c r="AE21" s="3">
        <f>IF($B21="",0,MAX(0,$Z21-$AA21))</f>
        <v/>
      </c>
    </row>
    <row r="22">
      <c r="A22" s="6" t="n"/>
      <c r="B22" s="113">
        <f>IF(MUSTERILER!$C22="","",MUSTERILER!$B22)</f>
        <v/>
      </c>
      <c r="C22" s="121">
        <f>IF(MUSTERILER!$C22="","",MUSTERILER!$C22)</f>
        <v/>
      </c>
      <c r="D22" s="227">
        <f>IF($B22="","",SUMIFS(UCRETLER!$G$7:$G$406,UCRETLER!$B$7:$B$406,$B22,UCRETLER!$F$7:$F$406,"Haftalık",UCRETLER!$H$7:$H$406,"Aktif"))</f>
        <v/>
      </c>
      <c r="E22" s="227">
        <f>IF($B22="","",SUMIFS(UCRETLER!$G$7:$G$406,UCRETLER!$B$7:$B$406,$B22,UCRETLER!$F$7:$F$406,"Aylık",UCRETLER!$H$7:$H$406,"Aktif"))</f>
        <v/>
      </c>
      <c r="F22" s="227">
        <f>IF($B22="","",SUMIFS(MUSTERILER!$J$7:$J$106,MUSTERILER!$B$7:$B$106,$B22))</f>
        <v/>
      </c>
      <c r="G22" s="227">
        <f>IF($B22="","",SUMIFS(UCRETLER!$I$7:$I$406,UCRETLER!$B$7:$B$406,$B22))</f>
        <v/>
      </c>
      <c r="H22" s="227">
        <f>IF($B22="","",$F22+$G22)</f>
        <v/>
      </c>
      <c r="I22" s="227">
        <f>IF($B22="","",SUMIFS(TAHSILAT!$F$7:$F$1506,TAHSILAT!$C$7:$C$1506,$B22))</f>
        <v/>
      </c>
      <c r="J22" s="227">
        <f>IF($B22="","",MAX(0,$H22-$I22))</f>
        <v/>
      </c>
      <c r="K22" s="227">
        <f>IF($B22="","",MAX(0,$J22-$L22-$M22-$N22))</f>
        <v/>
      </c>
      <c r="L22" s="227">
        <f>IF($B22="","",($AC22-$AD22)+IF(AND($AB22&gt;0,$T22&lt;&gt;"",$U22&gt;=8,$U22&lt;15),$AB22,0))</f>
        <v/>
      </c>
      <c r="M22" s="227">
        <f>IF($B22="","",($AD22-$AE22)+IF(AND($AB22&gt;0,$T22&lt;&gt;"",$U22&gt;=15,$U22&lt;29),$AB22,0))</f>
        <v/>
      </c>
      <c r="N22" s="227">
        <f>IF($B22="","",$AE22+IF(AND($AB22&gt;0,OR($T22="",$U22&gt;=29)),$AB22,0))</f>
        <v/>
      </c>
      <c r="O22" s="234">
        <f>IF($B22="","",IFERROR($I22/$H22,0))</f>
        <v/>
      </c>
      <c r="P22" s="229">
        <f>IF($B22="","",IFERROR(LOOKUP(2,1/(TAHSILAT!$C$7:$C$1506=$B22),TAHSILAT!$E$7:$E$1506),""))</f>
        <v/>
      </c>
      <c r="Q22" s="113">
        <f>IF($B22="","",IF($N22&gt;0,"KRİTİK",IF($M22&gt;0,"YÜKSEK",IF($L22&gt;0,"ORTA",IF($J22&gt;0,"İZLE","TEMİZ")))))</f>
        <v/>
      </c>
      <c r="R22" s="121">
        <f>IF($B22="","",IF($Q22="KRİTİK","Acil tahsilat görüşmesi ve cari mutabakat",IF($Q22="YÜKSEK","Bu hafta tahsilat takibi",IF($Q22="ORTA","Hatırlatma mesajı gönder",IF($Q22="İZLE","Normal takip","Aksiyon gerekmiyor")))))</f>
        <v/>
      </c>
      <c r="S22" s="232">
        <f>IF($B22="","",COUNTIFS(AKTIVITE!$D$7:$D$1006,$B22,AKTIVITE!$J$7:$J$1006,"&lt;&gt;Tamamlandı"))</f>
        <v/>
      </c>
      <c r="T22" s="229">
        <f>IF($B22="","",IF(MUSTERILER!$K22="","",MUSTERILER!$K22))</f>
        <v/>
      </c>
      <c r="U22" s="232">
        <f>IF(OR($B22="",$T22=""),"",TODAY()-$T22)</f>
        <v/>
      </c>
      <c r="V22" s="113">
        <f>IF($B22="","",IF(ABS($J22-($K22+$L22+$M22+$N22))&lt;0.01,"UYGUN","İNCELE"))</f>
        <v/>
      </c>
      <c r="W22" s="6" t="n"/>
      <c r="X22" s="6">
        <f>IF($B22="",0,SUMIFS(UCRETLER!$J$7:$J$406,UCRETLER!$B$7:$B$406,$B22))</f>
        <v/>
      </c>
      <c r="Y22" s="3">
        <f>IF($B22="",0,SUMIFS(UCRETLER!$K$7:$K$406,UCRETLER!$B$7:$B$406,$B22))</f>
        <v/>
      </c>
      <c r="Z22" s="3">
        <f>IF($B22="",0,SUMIFS(UCRETLER!$L$7:$L$406,UCRETLER!$B$7:$B$406,$B22))</f>
        <v/>
      </c>
      <c r="AA22" s="3">
        <f>IF($B22="",0,MAX(0,$I22-$F22))</f>
        <v/>
      </c>
      <c r="AB22" s="3">
        <f>IF($B22="",0,MAX(0,$F22-$I22))</f>
        <v/>
      </c>
      <c r="AC22" s="3">
        <f>IF($B22="",0,MAX(0,$X22-$AA22))</f>
        <v/>
      </c>
      <c r="AD22" s="3">
        <f>IF($B22="",0,MAX(0,$Y22-$AA22))</f>
        <v/>
      </c>
      <c r="AE22" s="3">
        <f>IF($B22="",0,MAX(0,$Z22-$AA22))</f>
        <v/>
      </c>
    </row>
    <row r="23">
      <c r="A23" s="6" t="n"/>
      <c r="B23" s="113">
        <f>IF(MUSTERILER!$C23="","",MUSTERILER!$B23)</f>
        <v/>
      </c>
      <c r="C23" s="121">
        <f>IF(MUSTERILER!$C23="","",MUSTERILER!$C23)</f>
        <v/>
      </c>
      <c r="D23" s="227">
        <f>IF($B23="","",SUMIFS(UCRETLER!$G$7:$G$406,UCRETLER!$B$7:$B$406,$B23,UCRETLER!$F$7:$F$406,"Haftalık",UCRETLER!$H$7:$H$406,"Aktif"))</f>
        <v/>
      </c>
      <c r="E23" s="227">
        <f>IF($B23="","",SUMIFS(UCRETLER!$G$7:$G$406,UCRETLER!$B$7:$B$406,$B23,UCRETLER!$F$7:$F$406,"Aylık",UCRETLER!$H$7:$H$406,"Aktif"))</f>
        <v/>
      </c>
      <c r="F23" s="227">
        <f>IF($B23="","",SUMIFS(MUSTERILER!$J$7:$J$106,MUSTERILER!$B$7:$B$106,$B23))</f>
        <v/>
      </c>
      <c r="G23" s="227">
        <f>IF($B23="","",SUMIFS(UCRETLER!$I$7:$I$406,UCRETLER!$B$7:$B$406,$B23))</f>
        <v/>
      </c>
      <c r="H23" s="227">
        <f>IF($B23="","",$F23+$G23)</f>
        <v/>
      </c>
      <c r="I23" s="227">
        <f>IF($B23="","",SUMIFS(TAHSILAT!$F$7:$F$1506,TAHSILAT!$C$7:$C$1506,$B23))</f>
        <v/>
      </c>
      <c r="J23" s="227">
        <f>IF($B23="","",MAX(0,$H23-$I23))</f>
        <v/>
      </c>
      <c r="K23" s="227">
        <f>IF($B23="","",MAX(0,$J23-$L23-$M23-$N23))</f>
        <v/>
      </c>
      <c r="L23" s="227">
        <f>IF($B23="","",($AC23-$AD23)+IF(AND($AB23&gt;0,$T23&lt;&gt;"",$U23&gt;=8,$U23&lt;15),$AB23,0))</f>
        <v/>
      </c>
      <c r="M23" s="227">
        <f>IF($B23="","",($AD23-$AE23)+IF(AND($AB23&gt;0,$T23&lt;&gt;"",$U23&gt;=15,$U23&lt;29),$AB23,0))</f>
        <v/>
      </c>
      <c r="N23" s="227">
        <f>IF($B23="","",$AE23+IF(AND($AB23&gt;0,OR($T23="",$U23&gt;=29)),$AB23,0))</f>
        <v/>
      </c>
      <c r="O23" s="234">
        <f>IF($B23="","",IFERROR($I23/$H23,0))</f>
        <v/>
      </c>
      <c r="P23" s="229">
        <f>IF($B23="","",IFERROR(LOOKUP(2,1/(TAHSILAT!$C$7:$C$1506=$B23),TAHSILAT!$E$7:$E$1506),""))</f>
        <v/>
      </c>
      <c r="Q23" s="113">
        <f>IF($B23="","",IF($N23&gt;0,"KRİTİK",IF($M23&gt;0,"YÜKSEK",IF($L23&gt;0,"ORTA",IF($J23&gt;0,"İZLE","TEMİZ")))))</f>
        <v/>
      </c>
      <c r="R23" s="121">
        <f>IF($B23="","",IF($Q23="KRİTİK","Acil tahsilat görüşmesi ve cari mutabakat",IF($Q23="YÜKSEK","Bu hafta tahsilat takibi",IF($Q23="ORTA","Hatırlatma mesajı gönder",IF($Q23="İZLE","Normal takip","Aksiyon gerekmiyor")))))</f>
        <v/>
      </c>
      <c r="S23" s="232">
        <f>IF($B23="","",COUNTIFS(AKTIVITE!$D$7:$D$1006,$B23,AKTIVITE!$J$7:$J$1006,"&lt;&gt;Tamamlandı"))</f>
        <v/>
      </c>
      <c r="T23" s="229">
        <f>IF($B23="","",IF(MUSTERILER!$K23="","",MUSTERILER!$K23))</f>
        <v/>
      </c>
      <c r="U23" s="232">
        <f>IF(OR($B23="",$T23=""),"",TODAY()-$T23)</f>
        <v/>
      </c>
      <c r="V23" s="113">
        <f>IF($B23="","",IF(ABS($J23-($K23+$L23+$M23+$N23))&lt;0.01,"UYGUN","İNCELE"))</f>
        <v/>
      </c>
      <c r="W23" s="6" t="n"/>
      <c r="X23" s="6">
        <f>IF($B23="",0,SUMIFS(UCRETLER!$J$7:$J$406,UCRETLER!$B$7:$B$406,$B23))</f>
        <v/>
      </c>
      <c r="Y23" s="3">
        <f>IF($B23="",0,SUMIFS(UCRETLER!$K$7:$K$406,UCRETLER!$B$7:$B$406,$B23))</f>
        <v/>
      </c>
      <c r="Z23" s="3">
        <f>IF($B23="",0,SUMIFS(UCRETLER!$L$7:$L$406,UCRETLER!$B$7:$B$406,$B23))</f>
        <v/>
      </c>
      <c r="AA23" s="3">
        <f>IF($B23="",0,MAX(0,$I23-$F23))</f>
        <v/>
      </c>
      <c r="AB23" s="3">
        <f>IF($B23="",0,MAX(0,$F23-$I23))</f>
        <v/>
      </c>
      <c r="AC23" s="3">
        <f>IF($B23="",0,MAX(0,$X23-$AA23))</f>
        <v/>
      </c>
      <c r="AD23" s="3">
        <f>IF($B23="",0,MAX(0,$Y23-$AA23))</f>
        <v/>
      </c>
      <c r="AE23" s="3">
        <f>IF($B23="",0,MAX(0,$Z23-$AA23))</f>
        <v/>
      </c>
    </row>
    <row r="24">
      <c r="A24" s="6" t="n"/>
      <c r="B24" s="113">
        <f>IF(MUSTERILER!$C24="","",MUSTERILER!$B24)</f>
        <v/>
      </c>
      <c r="C24" s="121">
        <f>IF(MUSTERILER!$C24="","",MUSTERILER!$C24)</f>
        <v/>
      </c>
      <c r="D24" s="227">
        <f>IF($B24="","",SUMIFS(UCRETLER!$G$7:$G$406,UCRETLER!$B$7:$B$406,$B24,UCRETLER!$F$7:$F$406,"Haftalık",UCRETLER!$H$7:$H$406,"Aktif"))</f>
        <v/>
      </c>
      <c r="E24" s="227">
        <f>IF($B24="","",SUMIFS(UCRETLER!$G$7:$G$406,UCRETLER!$B$7:$B$406,$B24,UCRETLER!$F$7:$F$406,"Aylık",UCRETLER!$H$7:$H$406,"Aktif"))</f>
        <v/>
      </c>
      <c r="F24" s="227">
        <f>IF($B24="","",SUMIFS(MUSTERILER!$J$7:$J$106,MUSTERILER!$B$7:$B$106,$B24))</f>
        <v/>
      </c>
      <c r="G24" s="227">
        <f>IF($B24="","",SUMIFS(UCRETLER!$I$7:$I$406,UCRETLER!$B$7:$B$406,$B24))</f>
        <v/>
      </c>
      <c r="H24" s="227">
        <f>IF($B24="","",$F24+$G24)</f>
        <v/>
      </c>
      <c r="I24" s="227">
        <f>IF($B24="","",SUMIFS(TAHSILAT!$F$7:$F$1506,TAHSILAT!$C$7:$C$1506,$B24))</f>
        <v/>
      </c>
      <c r="J24" s="227">
        <f>IF($B24="","",MAX(0,$H24-$I24))</f>
        <v/>
      </c>
      <c r="K24" s="227">
        <f>IF($B24="","",MAX(0,$J24-$L24-$M24-$N24))</f>
        <v/>
      </c>
      <c r="L24" s="227">
        <f>IF($B24="","",($AC24-$AD24)+IF(AND($AB24&gt;0,$T24&lt;&gt;"",$U24&gt;=8,$U24&lt;15),$AB24,0))</f>
        <v/>
      </c>
      <c r="M24" s="227">
        <f>IF($B24="","",($AD24-$AE24)+IF(AND($AB24&gt;0,$T24&lt;&gt;"",$U24&gt;=15,$U24&lt;29),$AB24,0))</f>
        <v/>
      </c>
      <c r="N24" s="227">
        <f>IF($B24="","",$AE24+IF(AND($AB24&gt;0,OR($T24="",$U24&gt;=29)),$AB24,0))</f>
        <v/>
      </c>
      <c r="O24" s="234">
        <f>IF($B24="","",IFERROR($I24/$H24,0))</f>
        <v/>
      </c>
      <c r="P24" s="229">
        <f>IF($B24="","",IFERROR(LOOKUP(2,1/(TAHSILAT!$C$7:$C$1506=$B24),TAHSILAT!$E$7:$E$1506),""))</f>
        <v/>
      </c>
      <c r="Q24" s="113">
        <f>IF($B24="","",IF($N24&gt;0,"KRİTİK",IF($M24&gt;0,"YÜKSEK",IF($L24&gt;0,"ORTA",IF($J24&gt;0,"İZLE","TEMİZ")))))</f>
        <v/>
      </c>
      <c r="R24" s="121">
        <f>IF($B24="","",IF($Q24="KRİTİK","Acil tahsilat görüşmesi ve cari mutabakat",IF($Q24="YÜKSEK","Bu hafta tahsilat takibi",IF($Q24="ORTA","Hatırlatma mesajı gönder",IF($Q24="İZLE","Normal takip","Aksiyon gerekmiyor")))))</f>
        <v/>
      </c>
      <c r="S24" s="232">
        <f>IF($B24="","",COUNTIFS(AKTIVITE!$D$7:$D$1006,$B24,AKTIVITE!$J$7:$J$1006,"&lt;&gt;Tamamlandı"))</f>
        <v/>
      </c>
      <c r="T24" s="229">
        <f>IF($B24="","",IF(MUSTERILER!$K24="","",MUSTERILER!$K24))</f>
        <v/>
      </c>
      <c r="U24" s="232">
        <f>IF(OR($B24="",$T24=""),"",TODAY()-$T24)</f>
        <v/>
      </c>
      <c r="V24" s="113">
        <f>IF($B24="","",IF(ABS($J24-($K24+$L24+$M24+$N24))&lt;0.01,"UYGUN","İNCELE"))</f>
        <v/>
      </c>
      <c r="W24" s="6" t="n"/>
      <c r="X24" s="6">
        <f>IF($B24="",0,SUMIFS(UCRETLER!$J$7:$J$406,UCRETLER!$B$7:$B$406,$B24))</f>
        <v/>
      </c>
      <c r="Y24" s="3">
        <f>IF($B24="",0,SUMIFS(UCRETLER!$K$7:$K$406,UCRETLER!$B$7:$B$406,$B24))</f>
        <v/>
      </c>
      <c r="Z24" s="3">
        <f>IF($B24="",0,SUMIFS(UCRETLER!$L$7:$L$406,UCRETLER!$B$7:$B$406,$B24))</f>
        <v/>
      </c>
      <c r="AA24" s="3">
        <f>IF($B24="",0,MAX(0,$I24-$F24))</f>
        <v/>
      </c>
      <c r="AB24" s="3">
        <f>IF($B24="",0,MAX(0,$F24-$I24))</f>
        <v/>
      </c>
      <c r="AC24" s="3">
        <f>IF($B24="",0,MAX(0,$X24-$AA24))</f>
        <v/>
      </c>
      <c r="AD24" s="3">
        <f>IF($B24="",0,MAX(0,$Y24-$AA24))</f>
        <v/>
      </c>
      <c r="AE24" s="3">
        <f>IF($B24="",0,MAX(0,$Z24-$AA24))</f>
        <v/>
      </c>
    </row>
    <row r="25">
      <c r="A25" s="6" t="n"/>
      <c r="B25" s="113">
        <f>IF(MUSTERILER!$C25="","",MUSTERILER!$B25)</f>
        <v/>
      </c>
      <c r="C25" s="121">
        <f>IF(MUSTERILER!$C25="","",MUSTERILER!$C25)</f>
        <v/>
      </c>
      <c r="D25" s="227">
        <f>IF($B25="","",SUMIFS(UCRETLER!$G$7:$G$406,UCRETLER!$B$7:$B$406,$B25,UCRETLER!$F$7:$F$406,"Haftalık",UCRETLER!$H$7:$H$406,"Aktif"))</f>
        <v/>
      </c>
      <c r="E25" s="227">
        <f>IF($B25="","",SUMIFS(UCRETLER!$G$7:$G$406,UCRETLER!$B$7:$B$406,$B25,UCRETLER!$F$7:$F$406,"Aylık",UCRETLER!$H$7:$H$406,"Aktif"))</f>
        <v/>
      </c>
      <c r="F25" s="227">
        <f>IF($B25="","",SUMIFS(MUSTERILER!$J$7:$J$106,MUSTERILER!$B$7:$B$106,$B25))</f>
        <v/>
      </c>
      <c r="G25" s="227">
        <f>IF($B25="","",SUMIFS(UCRETLER!$I$7:$I$406,UCRETLER!$B$7:$B$406,$B25))</f>
        <v/>
      </c>
      <c r="H25" s="227">
        <f>IF($B25="","",$F25+$G25)</f>
        <v/>
      </c>
      <c r="I25" s="227">
        <f>IF($B25="","",SUMIFS(TAHSILAT!$F$7:$F$1506,TAHSILAT!$C$7:$C$1506,$B25))</f>
        <v/>
      </c>
      <c r="J25" s="227">
        <f>IF($B25="","",MAX(0,$H25-$I25))</f>
        <v/>
      </c>
      <c r="K25" s="227">
        <f>IF($B25="","",MAX(0,$J25-$L25-$M25-$N25))</f>
        <v/>
      </c>
      <c r="L25" s="227">
        <f>IF($B25="","",($AC25-$AD25)+IF(AND($AB25&gt;0,$T25&lt;&gt;"",$U25&gt;=8,$U25&lt;15),$AB25,0))</f>
        <v/>
      </c>
      <c r="M25" s="227">
        <f>IF($B25="","",($AD25-$AE25)+IF(AND($AB25&gt;0,$T25&lt;&gt;"",$U25&gt;=15,$U25&lt;29),$AB25,0))</f>
        <v/>
      </c>
      <c r="N25" s="227">
        <f>IF($B25="","",$AE25+IF(AND($AB25&gt;0,OR($T25="",$U25&gt;=29)),$AB25,0))</f>
        <v/>
      </c>
      <c r="O25" s="234">
        <f>IF($B25="","",IFERROR($I25/$H25,0))</f>
        <v/>
      </c>
      <c r="P25" s="229">
        <f>IF($B25="","",IFERROR(LOOKUP(2,1/(TAHSILAT!$C$7:$C$1506=$B25),TAHSILAT!$E$7:$E$1506),""))</f>
        <v/>
      </c>
      <c r="Q25" s="113">
        <f>IF($B25="","",IF($N25&gt;0,"KRİTİK",IF($M25&gt;0,"YÜKSEK",IF($L25&gt;0,"ORTA",IF($J25&gt;0,"İZLE","TEMİZ")))))</f>
        <v/>
      </c>
      <c r="R25" s="121">
        <f>IF($B25="","",IF($Q25="KRİTİK","Acil tahsilat görüşmesi ve cari mutabakat",IF($Q25="YÜKSEK","Bu hafta tahsilat takibi",IF($Q25="ORTA","Hatırlatma mesajı gönder",IF($Q25="İZLE","Normal takip","Aksiyon gerekmiyor")))))</f>
        <v/>
      </c>
      <c r="S25" s="232">
        <f>IF($B25="","",COUNTIFS(AKTIVITE!$D$7:$D$1006,$B25,AKTIVITE!$J$7:$J$1006,"&lt;&gt;Tamamlandı"))</f>
        <v/>
      </c>
      <c r="T25" s="229">
        <f>IF($B25="","",IF(MUSTERILER!$K25="","",MUSTERILER!$K25))</f>
        <v/>
      </c>
      <c r="U25" s="232">
        <f>IF(OR($B25="",$T25=""),"",TODAY()-$T25)</f>
        <v/>
      </c>
      <c r="V25" s="113">
        <f>IF($B25="","",IF(ABS($J25-($K25+$L25+$M25+$N25))&lt;0.01,"UYGUN","İNCELE"))</f>
        <v/>
      </c>
      <c r="W25" s="6" t="n"/>
      <c r="X25" s="6">
        <f>IF($B25="",0,SUMIFS(UCRETLER!$J$7:$J$406,UCRETLER!$B$7:$B$406,$B25))</f>
        <v/>
      </c>
      <c r="Y25" s="3">
        <f>IF($B25="",0,SUMIFS(UCRETLER!$K$7:$K$406,UCRETLER!$B$7:$B$406,$B25))</f>
        <v/>
      </c>
      <c r="Z25" s="3">
        <f>IF($B25="",0,SUMIFS(UCRETLER!$L$7:$L$406,UCRETLER!$B$7:$B$406,$B25))</f>
        <v/>
      </c>
      <c r="AA25" s="3">
        <f>IF($B25="",0,MAX(0,$I25-$F25))</f>
        <v/>
      </c>
      <c r="AB25" s="3">
        <f>IF($B25="",0,MAX(0,$F25-$I25))</f>
        <v/>
      </c>
      <c r="AC25" s="3">
        <f>IF($B25="",0,MAX(0,$X25-$AA25))</f>
        <v/>
      </c>
      <c r="AD25" s="3">
        <f>IF($B25="",0,MAX(0,$Y25-$AA25))</f>
        <v/>
      </c>
      <c r="AE25" s="3">
        <f>IF($B25="",0,MAX(0,$Z25-$AA25))</f>
        <v/>
      </c>
    </row>
    <row r="26">
      <c r="A26" s="6" t="n"/>
      <c r="B26" s="113">
        <f>IF(MUSTERILER!$C26="","",MUSTERILER!$B26)</f>
        <v/>
      </c>
      <c r="C26" s="121">
        <f>IF(MUSTERILER!$C26="","",MUSTERILER!$C26)</f>
        <v/>
      </c>
      <c r="D26" s="227">
        <f>IF($B26="","",SUMIFS(UCRETLER!$G$7:$G$406,UCRETLER!$B$7:$B$406,$B26,UCRETLER!$F$7:$F$406,"Haftalık",UCRETLER!$H$7:$H$406,"Aktif"))</f>
        <v/>
      </c>
      <c r="E26" s="227">
        <f>IF($B26="","",SUMIFS(UCRETLER!$G$7:$G$406,UCRETLER!$B$7:$B$406,$B26,UCRETLER!$F$7:$F$406,"Aylık",UCRETLER!$H$7:$H$406,"Aktif"))</f>
        <v/>
      </c>
      <c r="F26" s="227">
        <f>IF($B26="","",SUMIFS(MUSTERILER!$J$7:$J$106,MUSTERILER!$B$7:$B$106,$B26))</f>
        <v/>
      </c>
      <c r="G26" s="227">
        <f>IF($B26="","",SUMIFS(UCRETLER!$I$7:$I$406,UCRETLER!$B$7:$B$406,$B26))</f>
        <v/>
      </c>
      <c r="H26" s="227">
        <f>IF($B26="","",$F26+$G26)</f>
        <v/>
      </c>
      <c r="I26" s="227">
        <f>IF($B26="","",SUMIFS(TAHSILAT!$F$7:$F$1506,TAHSILAT!$C$7:$C$1506,$B26))</f>
        <v/>
      </c>
      <c r="J26" s="227">
        <f>IF($B26="","",MAX(0,$H26-$I26))</f>
        <v/>
      </c>
      <c r="K26" s="227">
        <f>IF($B26="","",MAX(0,$J26-$L26-$M26-$N26))</f>
        <v/>
      </c>
      <c r="L26" s="227">
        <f>IF($B26="","",($AC26-$AD26)+IF(AND($AB26&gt;0,$T26&lt;&gt;"",$U26&gt;=8,$U26&lt;15),$AB26,0))</f>
        <v/>
      </c>
      <c r="M26" s="227">
        <f>IF($B26="","",($AD26-$AE26)+IF(AND($AB26&gt;0,$T26&lt;&gt;"",$U26&gt;=15,$U26&lt;29),$AB26,0))</f>
        <v/>
      </c>
      <c r="N26" s="227">
        <f>IF($B26="","",$AE26+IF(AND($AB26&gt;0,OR($T26="",$U26&gt;=29)),$AB26,0))</f>
        <v/>
      </c>
      <c r="O26" s="234">
        <f>IF($B26="","",IFERROR($I26/$H26,0))</f>
        <v/>
      </c>
      <c r="P26" s="229">
        <f>IF($B26="","",IFERROR(LOOKUP(2,1/(TAHSILAT!$C$7:$C$1506=$B26),TAHSILAT!$E$7:$E$1506),""))</f>
        <v/>
      </c>
      <c r="Q26" s="113">
        <f>IF($B26="","",IF($N26&gt;0,"KRİTİK",IF($M26&gt;0,"YÜKSEK",IF($L26&gt;0,"ORTA",IF($J26&gt;0,"İZLE","TEMİZ")))))</f>
        <v/>
      </c>
      <c r="R26" s="121">
        <f>IF($B26="","",IF($Q26="KRİTİK","Acil tahsilat görüşmesi ve cari mutabakat",IF($Q26="YÜKSEK","Bu hafta tahsilat takibi",IF($Q26="ORTA","Hatırlatma mesajı gönder",IF($Q26="İZLE","Normal takip","Aksiyon gerekmiyor")))))</f>
        <v/>
      </c>
      <c r="S26" s="232">
        <f>IF($B26="","",COUNTIFS(AKTIVITE!$D$7:$D$1006,$B26,AKTIVITE!$J$7:$J$1006,"&lt;&gt;Tamamlandı"))</f>
        <v/>
      </c>
      <c r="T26" s="229">
        <f>IF($B26="","",IF(MUSTERILER!$K26="","",MUSTERILER!$K26))</f>
        <v/>
      </c>
      <c r="U26" s="232">
        <f>IF(OR($B26="",$T26=""),"",TODAY()-$T26)</f>
        <v/>
      </c>
      <c r="V26" s="113">
        <f>IF($B26="","",IF(ABS($J26-($K26+$L26+$M26+$N26))&lt;0.01,"UYGUN","İNCELE"))</f>
        <v/>
      </c>
      <c r="W26" s="6" t="n"/>
      <c r="X26" s="6">
        <f>IF($B26="",0,SUMIFS(UCRETLER!$J$7:$J$406,UCRETLER!$B$7:$B$406,$B26))</f>
        <v/>
      </c>
      <c r="Y26" s="3">
        <f>IF($B26="",0,SUMIFS(UCRETLER!$K$7:$K$406,UCRETLER!$B$7:$B$406,$B26))</f>
        <v/>
      </c>
      <c r="Z26" s="3">
        <f>IF($B26="",0,SUMIFS(UCRETLER!$L$7:$L$406,UCRETLER!$B$7:$B$406,$B26))</f>
        <v/>
      </c>
      <c r="AA26" s="3">
        <f>IF($B26="",0,MAX(0,$I26-$F26))</f>
        <v/>
      </c>
      <c r="AB26" s="3">
        <f>IF($B26="",0,MAX(0,$F26-$I26))</f>
        <v/>
      </c>
      <c r="AC26" s="3">
        <f>IF($B26="",0,MAX(0,$X26-$AA26))</f>
        <v/>
      </c>
      <c r="AD26" s="3">
        <f>IF($B26="",0,MAX(0,$Y26-$AA26))</f>
        <v/>
      </c>
      <c r="AE26" s="3">
        <f>IF($B26="",0,MAX(0,$Z26-$AA26))</f>
        <v/>
      </c>
    </row>
    <row r="27">
      <c r="A27" s="6" t="n"/>
      <c r="B27" s="113">
        <f>IF(MUSTERILER!$C27="","",MUSTERILER!$B27)</f>
        <v/>
      </c>
      <c r="C27" s="121">
        <f>IF(MUSTERILER!$C27="","",MUSTERILER!$C27)</f>
        <v/>
      </c>
      <c r="D27" s="227">
        <f>IF($B27="","",SUMIFS(UCRETLER!$G$7:$G$406,UCRETLER!$B$7:$B$406,$B27,UCRETLER!$F$7:$F$406,"Haftalık",UCRETLER!$H$7:$H$406,"Aktif"))</f>
        <v/>
      </c>
      <c r="E27" s="227">
        <f>IF($B27="","",SUMIFS(UCRETLER!$G$7:$G$406,UCRETLER!$B$7:$B$406,$B27,UCRETLER!$F$7:$F$406,"Aylık",UCRETLER!$H$7:$H$406,"Aktif"))</f>
        <v/>
      </c>
      <c r="F27" s="227">
        <f>IF($B27="","",SUMIFS(MUSTERILER!$J$7:$J$106,MUSTERILER!$B$7:$B$106,$B27))</f>
        <v/>
      </c>
      <c r="G27" s="227">
        <f>IF($B27="","",SUMIFS(UCRETLER!$I$7:$I$406,UCRETLER!$B$7:$B$406,$B27))</f>
        <v/>
      </c>
      <c r="H27" s="227">
        <f>IF($B27="","",$F27+$G27)</f>
        <v/>
      </c>
      <c r="I27" s="227">
        <f>IF($B27="","",SUMIFS(TAHSILAT!$F$7:$F$1506,TAHSILAT!$C$7:$C$1506,$B27))</f>
        <v/>
      </c>
      <c r="J27" s="227">
        <f>IF($B27="","",MAX(0,$H27-$I27))</f>
        <v/>
      </c>
      <c r="K27" s="227">
        <f>IF($B27="","",MAX(0,$J27-$L27-$M27-$N27))</f>
        <v/>
      </c>
      <c r="L27" s="227">
        <f>IF($B27="","",($AC27-$AD27)+IF(AND($AB27&gt;0,$T27&lt;&gt;"",$U27&gt;=8,$U27&lt;15),$AB27,0))</f>
        <v/>
      </c>
      <c r="M27" s="227">
        <f>IF($B27="","",($AD27-$AE27)+IF(AND($AB27&gt;0,$T27&lt;&gt;"",$U27&gt;=15,$U27&lt;29),$AB27,0))</f>
        <v/>
      </c>
      <c r="N27" s="227">
        <f>IF($B27="","",$AE27+IF(AND($AB27&gt;0,OR($T27="",$U27&gt;=29)),$AB27,0))</f>
        <v/>
      </c>
      <c r="O27" s="234">
        <f>IF($B27="","",IFERROR($I27/$H27,0))</f>
        <v/>
      </c>
      <c r="P27" s="229">
        <f>IF($B27="","",IFERROR(LOOKUP(2,1/(TAHSILAT!$C$7:$C$1506=$B27),TAHSILAT!$E$7:$E$1506),""))</f>
        <v/>
      </c>
      <c r="Q27" s="113">
        <f>IF($B27="","",IF($N27&gt;0,"KRİTİK",IF($M27&gt;0,"YÜKSEK",IF($L27&gt;0,"ORTA",IF($J27&gt;0,"İZLE","TEMİZ")))))</f>
        <v/>
      </c>
      <c r="R27" s="121">
        <f>IF($B27="","",IF($Q27="KRİTİK","Acil tahsilat görüşmesi ve cari mutabakat",IF($Q27="YÜKSEK","Bu hafta tahsilat takibi",IF($Q27="ORTA","Hatırlatma mesajı gönder",IF($Q27="İZLE","Normal takip","Aksiyon gerekmiyor")))))</f>
        <v/>
      </c>
      <c r="S27" s="232">
        <f>IF($B27="","",COUNTIFS(AKTIVITE!$D$7:$D$1006,$B27,AKTIVITE!$J$7:$J$1006,"&lt;&gt;Tamamlandı"))</f>
        <v/>
      </c>
      <c r="T27" s="229">
        <f>IF($B27="","",IF(MUSTERILER!$K27="","",MUSTERILER!$K27))</f>
        <v/>
      </c>
      <c r="U27" s="232">
        <f>IF(OR($B27="",$T27=""),"",TODAY()-$T27)</f>
        <v/>
      </c>
      <c r="V27" s="113">
        <f>IF($B27="","",IF(ABS($J27-($K27+$L27+$M27+$N27))&lt;0.01,"UYGUN","İNCELE"))</f>
        <v/>
      </c>
      <c r="W27" s="6" t="n"/>
      <c r="X27" s="6">
        <f>IF($B27="",0,SUMIFS(UCRETLER!$J$7:$J$406,UCRETLER!$B$7:$B$406,$B27))</f>
        <v/>
      </c>
      <c r="Y27" s="3">
        <f>IF($B27="",0,SUMIFS(UCRETLER!$K$7:$K$406,UCRETLER!$B$7:$B$406,$B27))</f>
        <v/>
      </c>
      <c r="Z27" s="3">
        <f>IF($B27="",0,SUMIFS(UCRETLER!$L$7:$L$406,UCRETLER!$B$7:$B$406,$B27))</f>
        <v/>
      </c>
      <c r="AA27" s="3">
        <f>IF($B27="",0,MAX(0,$I27-$F27))</f>
        <v/>
      </c>
      <c r="AB27" s="3">
        <f>IF($B27="",0,MAX(0,$F27-$I27))</f>
        <v/>
      </c>
      <c r="AC27" s="3">
        <f>IF($B27="",0,MAX(0,$X27-$AA27))</f>
        <v/>
      </c>
      <c r="AD27" s="3">
        <f>IF($B27="",0,MAX(0,$Y27-$AA27))</f>
        <v/>
      </c>
      <c r="AE27" s="3">
        <f>IF($B27="",0,MAX(0,$Z27-$AA27))</f>
        <v/>
      </c>
    </row>
    <row r="28">
      <c r="A28" s="6" t="n"/>
      <c r="B28" s="113">
        <f>IF(MUSTERILER!$C28="","",MUSTERILER!$B28)</f>
        <v/>
      </c>
      <c r="C28" s="121">
        <f>IF(MUSTERILER!$C28="","",MUSTERILER!$C28)</f>
        <v/>
      </c>
      <c r="D28" s="227">
        <f>IF($B28="","",SUMIFS(UCRETLER!$G$7:$G$406,UCRETLER!$B$7:$B$406,$B28,UCRETLER!$F$7:$F$406,"Haftalık",UCRETLER!$H$7:$H$406,"Aktif"))</f>
        <v/>
      </c>
      <c r="E28" s="227">
        <f>IF($B28="","",SUMIFS(UCRETLER!$G$7:$G$406,UCRETLER!$B$7:$B$406,$B28,UCRETLER!$F$7:$F$406,"Aylık",UCRETLER!$H$7:$H$406,"Aktif"))</f>
        <v/>
      </c>
      <c r="F28" s="227">
        <f>IF($B28="","",SUMIFS(MUSTERILER!$J$7:$J$106,MUSTERILER!$B$7:$B$106,$B28))</f>
        <v/>
      </c>
      <c r="G28" s="227">
        <f>IF($B28="","",SUMIFS(UCRETLER!$I$7:$I$406,UCRETLER!$B$7:$B$406,$B28))</f>
        <v/>
      </c>
      <c r="H28" s="227">
        <f>IF($B28="","",$F28+$G28)</f>
        <v/>
      </c>
      <c r="I28" s="227">
        <f>IF($B28="","",SUMIFS(TAHSILAT!$F$7:$F$1506,TAHSILAT!$C$7:$C$1506,$B28))</f>
        <v/>
      </c>
      <c r="J28" s="227">
        <f>IF($B28="","",MAX(0,$H28-$I28))</f>
        <v/>
      </c>
      <c r="K28" s="227">
        <f>IF($B28="","",MAX(0,$J28-$L28-$M28-$N28))</f>
        <v/>
      </c>
      <c r="L28" s="227">
        <f>IF($B28="","",($AC28-$AD28)+IF(AND($AB28&gt;0,$T28&lt;&gt;"",$U28&gt;=8,$U28&lt;15),$AB28,0))</f>
        <v/>
      </c>
      <c r="M28" s="227">
        <f>IF($B28="","",($AD28-$AE28)+IF(AND($AB28&gt;0,$T28&lt;&gt;"",$U28&gt;=15,$U28&lt;29),$AB28,0))</f>
        <v/>
      </c>
      <c r="N28" s="227">
        <f>IF($B28="","",$AE28+IF(AND($AB28&gt;0,OR($T28="",$U28&gt;=29)),$AB28,0))</f>
        <v/>
      </c>
      <c r="O28" s="234">
        <f>IF($B28="","",IFERROR($I28/$H28,0))</f>
        <v/>
      </c>
      <c r="P28" s="229">
        <f>IF($B28="","",IFERROR(LOOKUP(2,1/(TAHSILAT!$C$7:$C$1506=$B28),TAHSILAT!$E$7:$E$1506),""))</f>
        <v/>
      </c>
      <c r="Q28" s="113">
        <f>IF($B28="","",IF($N28&gt;0,"KRİTİK",IF($M28&gt;0,"YÜKSEK",IF($L28&gt;0,"ORTA",IF($J28&gt;0,"İZLE","TEMİZ")))))</f>
        <v/>
      </c>
      <c r="R28" s="121">
        <f>IF($B28="","",IF($Q28="KRİTİK","Acil tahsilat görüşmesi ve cari mutabakat",IF($Q28="YÜKSEK","Bu hafta tahsilat takibi",IF($Q28="ORTA","Hatırlatma mesajı gönder",IF($Q28="İZLE","Normal takip","Aksiyon gerekmiyor")))))</f>
        <v/>
      </c>
      <c r="S28" s="232">
        <f>IF($B28="","",COUNTIFS(AKTIVITE!$D$7:$D$1006,$B28,AKTIVITE!$J$7:$J$1006,"&lt;&gt;Tamamlandı"))</f>
        <v/>
      </c>
      <c r="T28" s="229">
        <f>IF($B28="","",IF(MUSTERILER!$K28="","",MUSTERILER!$K28))</f>
        <v/>
      </c>
      <c r="U28" s="232">
        <f>IF(OR($B28="",$T28=""),"",TODAY()-$T28)</f>
        <v/>
      </c>
      <c r="V28" s="113">
        <f>IF($B28="","",IF(ABS($J28-($K28+$L28+$M28+$N28))&lt;0.01,"UYGUN","İNCELE"))</f>
        <v/>
      </c>
      <c r="W28" s="6" t="n"/>
      <c r="X28" s="6">
        <f>IF($B28="",0,SUMIFS(UCRETLER!$J$7:$J$406,UCRETLER!$B$7:$B$406,$B28))</f>
        <v/>
      </c>
      <c r="Y28" s="3">
        <f>IF($B28="",0,SUMIFS(UCRETLER!$K$7:$K$406,UCRETLER!$B$7:$B$406,$B28))</f>
        <v/>
      </c>
      <c r="Z28" s="3">
        <f>IF($B28="",0,SUMIFS(UCRETLER!$L$7:$L$406,UCRETLER!$B$7:$B$406,$B28))</f>
        <v/>
      </c>
      <c r="AA28" s="3">
        <f>IF($B28="",0,MAX(0,$I28-$F28))</f>
        <v/>
      </c>
      <c r="AB28" s="3">
        <f>IF($B28="",0,MAX(0,$F28-$I28))</f>
        <v/>
      </c>
      <c r="AC28" s="3">
        <f>IF($B28="",0,MAX(0,$X28-$AA28))</f>
        <v/>
      </c>
      <c r="AD28" s="3">
        <f>IF($B28="",0,MAX(0,$Y28-$AA28))</f>
        <v/>
      </c>
      <c r="AE28" s="3">
        <f>IF($B28="",0,MAX(0,$Z28-$AA28))</f>
        <v/>
      </c>
    </row>
    <row r="29">
      <c r="A29" s="6" t="n"/>
      <c r="B29" s="113">
        <f>IF(MUSTERILER!$C29="","",MUSTERILER!$B29)</f>
        <v/>
      </c>
      <c r="C29" s="121">
        <f>IF(MUSTERILER!$C29="","",MUSTERILER!$C29)</f>
        <v/>
      </c>
      <c r="D29" s="227">
        <f>IF($B29="","",SUMIFS(UCRETLER!$G$7:$G$406,UCRETLER!$B$7:$B$406,$B29,UCRETLER!$F$7:$F$406,"Haftalık",UCRETLER!$H$7:$H$406,"Aktif"))</f>
        <v/>
      </c>
      <c r="E29" s="227">
        <f>IF($B29="","",SUMIFS(UCRETLER!$G$7:$G$406,UCRETLER!$B$7:$B$406,$B29,UCRETLER!$F$7:$F$406,"Aylık",UCRETLER!$H$7:$H$406,"Aktif"))</f>
        <v/>
      </c>
      <c r="F29" s="227">
        <f>IF($B29="","",SUMIFS(MUSTERILER!$J$7:$J$106,MUSTERILER!$B$7:$B$106,$B29))</f>
        <v/>
      </c>
      <c r="G29" s="227">
        <f>IF($B29="","",SUMIFS(UCRETLER!$I$7:$I$406,UCRETLER!$B$7:$B$406,$B29))</f>
        <v/>
      </c>
      <c r="H29" s="227">
        <f>IF($B29="","",$F29+$G29)</f>
        <v/>
      </c>
      <c r="I29" s="227">
        <f>IF($B29="","",SUMIFS(TAHSILAT!$F$7:$F$1506,TAHSILAT!$C$7:$C$1506,$B29))</f>
        <v/>
      </c>
      <c r="J29" s="227">
        <f>IF($B29="","",MAX(0,$H29-$I29))</f>
        <v/>
      </c>
      <c r="K29" s="227">
        <f>IF($B29="","",MAX(0,$J29-$L29-$M29-$N29))</f>
        <v/>
      </c>
      <c r="L29" s="227">
        <f>IF($B29="","",($AC29-$AD29)+IF(AND($AB29&gt;0,$T29&lt;&gt;"",$U29&gt;=8,$U29&lt;15),$AB29,0))</f>
        <v/>
      </c>
      <c r="M29" s="227">
        <f>IF($B29="","",($AD29-$AE29)+IF(AND($AB29&gt;0,$T29&lt;&gt;"",$U29&gt;=15,$U29&lt;29),$AB29,0))</f>
        <v/>
      </c>
      <c r="N29" s="227">
        <f>IF($B29="","",$AE29+IF(AND($AB29&gt;0,OR($T29="",$U29&gt;=29)),$AB29,0))</f>
        <v/>
      </c>
      <c r="O29" s="234">
        <f>IF($B29="","",IFERROR($I29/$H29,0))</f>
        <v/>
      </c>
      <c r="P29" s="229">
        <f>IF($B29="","",IFERROR(LOOKUP(2,1/(TAHSILAT!$C$7:$C$1506=$B29),TAHSILAT!$E$7:$E$1506),""))</f>
        <v/>
      </c>
      <c r="Q29" s="113">
        <f>IF($B29="","",IF($N29&gt;0,"KRİTİK",IF($M29&gt;0,"YÜKSEK",IF($L29&gt;0,"ORTA",IF($J29&gt;0,"İZLE","TEMİZ")))))</f>
        <v/>
      </c>
      <c r="R29" s="121">
        <f>IF($B29="","",IF($Q29="KRİTİK","Acil tahsilat görüşmesi ve cari mutabakat",IF($Q29="YÜKSEK","Bu hafta tahsilat takibi",IF($Q29="ORTA","Hatırlatma mesajı gönder",IF($Q29="İZLE","Normal takip","Aksiyon gerekmiyor")))))</f>
        <v/>
      </c>
      <c r="S29" s="232">
        <f>IF($B29="","",COUNTIFS(AKTIVITE!$D$7:$D$1006,$B29,AKTIVITE!$J$7:$J$1006,"&lt;&gt;Tamamlandı"))</f>
        <v/>
      </c>
      <c r="T29" s="229">
        <f>IF($B29="","",IF(MUSTERILER!$K29="","",MUSTERILER!$K29))</f>
        <v/>
      </c>
      <c r="U29" s="232">
        <f>IF(OR($B29="",$T29=""),"",TODAY()-$T29)</f>
        <v/>
      </c>
      <c r="V29" s="113">
        <f>IF($B29="","",IF(ABS($J29-($K29+$L29+$M29+$N29))&lt;0.01,"UYGUN","İNCELE"))</f>
        <v/>
      </c>
      <c r="W29" s="6" t="n"/>
      <c r="X29" s="6">
        <f>IF($B29="",0,SUMIFS(UCRETLER!$J$7:$J$406,UCRETLER!$B$7:$B$406,$B29))</f>
        <v/>
      </c>
      <c r="Y29" s="3">
        <f>IF($B29="",0,SUMIFS(UCRETLER!$K$7:$K$406,UCRETLER!$B$7:$B$406,$B29))</f>
        <v/>
      </c>
      <c r="Z29" s="3">
        <f>IF($B29="",0,SUMIFS(UCRETLER!$L$7:$L$406,UCRETLER!$B$7:$B$406,$B29))</f>
        <v/>
      </c>
      <c r="AA29" s="3">
        <f>IF($B29="",0,MAX(0,$I29-$F29))</f>
        <v/>
      </c>
      <c r="AB29" s="3">
        <f>IF($B29="",0,MAX(0,$F29-$I29))</f>
        <v/>
      </c>
      <c r="AC29" s="3">
        <f>IF($B29="",0,MAX(0,$X29-$AA29))</f>
        <v/>
      </c>
      <c r="AD29" s="3">
        <f>IF($B29="",0,MAX(0,$Y29-$AA29))</f>
        <v/>
      </c>
      <c r="AE29" s="3">
        <f>IF($B29="",0,MAX(0,$Z29-$AA29))</f>
        <v/>
      </c>
    </row>
    <row r="30">
      <c r="A30" s="6" t="n"/>
      <c r="B30" s="113">
        <f>IF(MUSTERILER!$C30="","",MUSTERILER!$B30)</f>
        <v/>
      </c>
      <c r="C30" s="121">
        <f>IF(MUSTERILER!$C30="","",MUSTERILER!$C30)</f>
        <v/>
      </c>
      <c r="D30" s="227">
        <f>IF($B30="","",SUMIFS(UCRETLER!$G$7:$G$406,UCRETLER!$B$7:$B$406,$B30,UCRETLER!$F$7:$F$406,"Haftalık",UCRETLER!$H$7:$H$406,"Aktif"))</f>
        <v/>
      </c>
      <c r="E30" s="227">
        <f>IF($B30="","",SUMIFS(UCRETLER!$G$7:$G$406,UCRETLER!$B$7:$B$406,$B30,UCRETLER!$F$7:$F$406,"Aylık",UCRETLER!$H$7:$H$406,"Aktif"))</f>
        <v/>
      </c>
      <c r="F30" s="227">
        <f>IF($B30="","",SUMIFS(MUSTERILER!$J$7:$J$106,MUSTERILER!$B$7:$B$106,$B30))</f>
        <v/>
      </c>
      <c r="G30" s="227">
        <f>IF($B30="","",SUMIFS(UCRETLER!$I$7:$I$406,UCRETLER!$B$7:$B$406,$B30))</f>
        <v/>
      </c>
      <c r="H30" s="227">
        <f>IF($B30="","",$F30+$G30)</f>
        <v/>
      </c>
      <c r="I30" s="227">
        <f>IF($B30="","",SUMIFS(TAHSILAT!$F$7:$F$1506,TAHSILAT!$C$7:$C$1506,$B30))</f>
        <v/>
      </c>
      <c r="J30" s="227">
        <f>IF($B30="","",MAX(0,$H30-$I30))</f>
        <v/>
      </c>
      <c r="K30" s="227">
        <f>IF($B30="","",MAX(0,$J30-$L30-$M30-$N30))</f>
        <v/>
      </c>
      <c r="L30" s="227">
        <f>IF($B30="","",($AC30-$AD30)+IF(AND($AB30&gt;0,$T30&lt;&gt;"",$U30&gt;=8,$U30&lt;15),$AB30,0))</f>
        <v/>
      </c>
      <c r="M30" s="227">
        <f>IF($B30="","",($AD30-$AE30)+IF(AND($AB30&gt;0,$T30&lt;&gt;"",$U30&gt;=15,$U30&lt;29),$AB30,0))</f>
        <v/>
      </c>
      <c r="N30" s="227">
        <f>IF($B30="","",$AE30+IF(AND($AB30&gt;0,OR($T30="",$U30&gt;=29)),$AB30,0))</f>
        <v/>
      </c>
      <c r="O30" s="234">
        <f>IF($B30="","",IFERROR($I30/$H30,0))</f>
        <v/>
      </c>
      <c r="P30" s="229">
        <f>IF($B30="","",IFERROR(LOOKUP(2,1/(TAHSILAT!$C$7:$C$1506=$B30),TAHSILAT!$E$7:$E$1506),""))</f>
        <v/>
      </c>
      <c r="Q30" s="113">
        <f>IF($B30="","",IF($N30&gt;0,"KRİTİK",IF($M30&gt;0,"YÜKSEK",IF($L30&gt;0,"ORTA",IF($J30&gt;0,"İZLE","TEMİZ")))))</f>
        <v/>
      </c>
      <c r="R30" s="121">
        <f>IF($B30="","",IF($Q30="KRİTİK","Acil tahsilat görüşmesi ve cari mutabakat",IF($Q30="YÜKSEK","Bu hafta tahsilat takibi",IF($Q30="ORTA","Hatırlatma mesajı gönder",IF($Q30="İZLE","Normal takip","Aksiyon gerekmiyor")))))</f>
        <v/>
      </c>
      <c r="S30" s="232">
        <f>IF($B30="","",COUNTIFS(AKTIVITE!$D$7:$D$1006,$B30,AKTIVITE!$J$7:$J$1006,"&lt;&gt;Tamamlandı"))</f>
        <v/>
      </c>
      <c r="T30" s="229">
        <f>IF($B30="","",IF(MUSTERILER!$K30="","",MUSTERILER!$K30))</f>
        <v/>
      </c>
      <c r="U30" s="232">
        <f>IF(OR($B30="",$T30=""),"",TODAY()-$T30)</f>
        <v/>
      </c>
      <c r="V30" s="113">
        <f>IF($B30="","",IF(ABS($J30-($K30+$L30+$M30+$N30))&lt;0.01,"UYGUN","İNCELE"))</f>
        <v/>
      </c>
      <c r="W30" s="6" t="n"/>
      <c r="X30" s="6">
        <f>IF($B30="",0,SUMIFS(UCRETLER!$J$7:$J$406,UCRETLER!$B$7:$B$406,$B30))</f>
        <v/>
      </c>
      <c r="Y30" s="3">
        <f>IF($B30="",0,SUMIFS(UCRETLER!$K$7:$K$406,UCRETLER!$B$7:$B$406,$B30))</f>
        <v/>
      </c>
      <c r="Z30" s="3">
        <f>IF($B30="",0,SUMIFS(UCRETLER!$L$7:$L$406,UCRETLER!$B$7:$B$406,$B30))</f>
        <v/>
      </c>
      <c r="AA30" s="3">
        <f>IF($B30="",0,MAX(0,$I30-$F30))</f>
        <v/>
      </c>
      <c r="AB30" s="3">
        <f>IF($B30="",0,MAX(0,$F30-$I30))</f>
        <v/>
      </c>
      <c r="AC30" s="3">
        <f>IF($B30="",0,MAX(0,$X30-$AA30))</f>
        <v/>
      </c>
      <c r="AD30" s="3">
        <f>IF($B30="",0,MAX(0,$Y30-$AA30))</f>
        <v/>
      </c>
      <c r="AE30" s="3">
        <f>IF($B30="",0,MAX(0,$Z30-$AA30))</f>
        <v/>
      </c>
    </row>
    <row r="31">
      <c r="A31" s="6" t="n"/>
      <c r="B31" s="113">
        <f>IF(MUSTERILER!$C31="","",MUSTERILER!$B31)</f>
        <v/>
      </c>
      <c r="C31" s="121">
        <f>IF(MUSTERILER!$C31="","",MUSTERILER!$C31)</f>
        <v/>
      </c>
      <c r="D31" s="227">
        <f>IF($B31="","",SUMIFS(UCRETLER!$G$7:$G$406,UCRETLER!$B$7:$B$406,$B31,UCRETLER!$F$7:$F$406,"Haftalık",UCRETLER!$H$7:$H$406,"Aktif"))</f>
        <v/>
      </c>
      <c r="E31" s="227">
        <f>IF($B31="","",SUMIFS(UCRETLER!$G$7:$G$406,UCRETLER!$B$7:$B$406,$B31,UCRETLER!$F$7:$F$406,"Aylık",UCRETLER!$H$7:$H$406,"Aktif"))</f>
        <v/>
      </c>
      <c r="F31" s="227">
        <f>IF($B31="","",SUMIFS(MUSTERILER!$J$7:$J$106,MUSTERILER!$B$7:$B$106,$B31))</f>
        <v/>
      </c>
      <c r="G31" s="227">
        <f>IF($B31="","",SUMIFS(UCRETLER!$I$7:$I$406,UCRETLER!$B$7:$B$406,$B31))</f>
        <v/>
      </c>
      <c r="H31" s="227">
        <f>IF($B31="","",$F31+$G31)</f>
        <v/>
      </c>
      <c r="I31" s="227">
        <f>IF($B31="","",SUMIFS(TAHSILAT!$F$7:$F$1506,TAHSILAT!$C$7:$C$1506,$B31))</f>
        <v/>
      </c>
      <c r="J31" s="227">
        <f>IF($B31="","",MAX(0,$H31-$I31))</f>
        <v/>
      </c>
      <c r="K31" s="227">
        <f>IF($B31="","",MAX(0,$J31-$L31-$M31-$N31))</f>
        <v/>
      </c>
      <c r="L31" s="227">
        <f>IF($B31="","",($AC31-$AD31)+IF(AND($AB31&gt;0,$T31&lt;&gt;"",$U31&gt;=8,$U31&lt;15),$AB31,0))</f>
        <v/>
      </c>
      <c r="M31" s="227">
        <f>IF($B31="","",($AD31-$AE31)+IF(AND($AB31&gt;0,$T31&lt;&gt;"",$U31&gt;=15,$U31&lt;29),$AB31,0))</f>
        <v/>
      </c>
      <c r="N31" s="227">
        <f>IF($B31="","",$AE31+IF(AND($AB31&gt;0,OR($T31="",$U31&gt;=29)),$AB31,0))</f>
        <v/>
      </c>
      <c r="O31" s="234">
        <f>IF($B31="","",IFERROR($I31/$H31,0))</f>
        <v/>
      </c>
      <c r="P31" s="229">
        <f>IF($B31="","",IFERROR(LOOKUP(2,1/(TAHSILAT!$C$7:$C$1506=$B31),TAHSILAT!$E$7:$E$1506),""))</f>
        <v/>
      </c>
      <c r="Q31" s="113">
        <f>IF($B31="","",IF($N31&gt;0,"KRİTİK",IF($M31&gt;0,"YÜKSEK",IF($L31&gt;0,"ORTA",IF($J31&gt;0,"İZLE","TEMİZ")))))</f>
        <v/>
      </c>
      <c r="R31" s="121">
        <f>IF($B31="","",IF($Q31="KRİTİK","Acil tahsilat görüşmesi ve cari mutabakat",IF($Q31="YÜKSEK","Bu hafta tahsilat takibi",IF($Q31="ORTA","Hatırlatma mesajı gönder",IF($Q31="İZLE","Normal takip","Aksiyon gerekmiyor")))))</f>
        <v/>
      </c>
      <c r="S31" s="232">
        <f>IF($B31="","",COUNTIFS(AKTIVITE!$D$7:$D$1006,$B31,AKTIVITE!$J$7:$J$1006,"&lt;&gt;Tamamlandı"))</f>
        <v/>
      </c>
      <c r="T31" s="229">
        <f>IF($B31="","",IF(MUSTERILER!$K31="","",MUSTERILER!$K31))</f>
        <v/>
      </c>
      <c r="U31" s="232">
        <f>IF(OR($B31="",$T31=""),"",TODAY()-$T31)</f>
        <v/>
      </c>
      <c r="V31" s="113">
        <f>IF($B31="","",IF(ABS($J31-($K31+$L31+$M31+$N31))&lt;0.01,"UYGUN","İNCELE"))</f>
        <v/>
      </c>
      <c r="W31" s="6" t="n"/>
      <c r="X31" s="6">
        <f>IF($B31="",0,SUMIFS(UCRETLER!$J$7:$J$406,UCRETLER!$B$7:$B$406,$B31))</f>
        <v/>
      </c>
      <c r="Y31" s="3">
        <f>IF($B31="",0,SUMIFS(UCRETLER!$K$7:$K$406,UCRETLER!$B$7:$B$406,$B31))</f>
        <v/>
      </c>
      <c r="Z31" s="3">
        <f>IF($B31="",0,SUMIFS(UCRETLER!$L$7:$L$406,UCRETLER!$B$7:$B$406,$B31))</f>
        <v/>
      </c>
      <c r="AA31" s="3">
        <f>IF($B31="",0,MAX(0,$I31-$F31))</f>
        <v/>
      </c>
      <c r="AB31" s="3">
        <f>IF($B31="",0,MAX(0,$F31-$I31))</f>
        <v/>
      </c>
      <c r="AC31" s="3">
        <f>IF($B31="",0,MAX(0,$X31-$AA31))</f>
        <v/>
      </c>
      <c r="AD31" s="3">
        <f>IF($B31="",0,MAX(0,$Y31-$AA31))</f>
        <v/>
      </c>
      <c r="AE31" s="3">
        <f>IF($B31="",0,MAX(0,$Z31-$AA31))</f>
        <v/>
      </c>
    </row>
    <row r="32">
      <c r="A32" s="6" t="n"/>
      <c r="B32" s="113">
        <f>IF(MUSTERILER!$C32="","",MUSTERILER!$B32)</f>
        <v/>
      </c>
      <c r="C32" s="121">
        <f>IF(MUSTERILER!$C32="","",MUSTERILER!$C32)</f>
        <v/>
      </c>
      <c r="D32" s="227">
        <f>IF($B32="","",SUMIFS(UCRETLER!$G$7:$G$406,UCRETLER!$B$7:$B$406,$B32,UCRETLER!$F$7:$F$406,"Haftalık",UCRETLER!$H$7:$H$406,"Aktif"))</f>
        <v/>
      </c>
      <c r="E32" s="227">
        <f>IF($B32="","",SUMIFS(UCRETLER!$G$7:$G$406,UCRETLER!$B$7:$B$406,$B32,UCRETLER!$F$7:$F$406,"Aylık",UCRETLER!$H$7:$H$406,"Aktif"))</f>
        <v/>
      </c>
      <c r="F32" s="227">
        <f>IF($B32="","",SUMIFS(MUSTERILER!$J$7:$J$106,MUSTERILER!$B$7:$B$106,$B32))</f>
        <v/>
      </c>
      <c r="G32" s="227">
        <f>IF($B32="","",SUMIFS(UCRETLER!$I$7:$I$406,UCRETLER!$B$7:$B$406,$B32))</f>
        <v/>
      </c>
      <c r="H32" s="227">
        <f>IF($B32="","",$F32+$G32)</f>
        <v/>
      </c>
      <c r="I32" s="227">
        <f>IF($B32="","",SUMIFS(TAHSILAT!$F$7:$F$1506,TAHSILAT!$C$7:$C$1506,$B32))</f>
        <v/>
      </c>
      <c r="J32" s="227">
        <f>IF($B32="","",MAX(0,$H32-$I32))</f>
        <v/>
      </c>
      <c r="K32" s="227">
        <f>IF($B32="","",MAX(0,$J32-$L32-$M32-$N32))</f>
        <v/>
      </c>
      <c r="L32" s="227">
        <f>IF($B32="","",($AC32-$AD32)+IF(AND($AB32&gt;0,$T32&lt;&gt;"",$U32&gt;=8,$U32&lt;15),$AB32,0))</f>
        <v/>
      </c>
      <c r="M32" s="227">
        <f>IF($B32="","",($AD32-$AE32)+IF(AND($AB32&gt;0,$T32&lt;&gt;"",$U32&gt;=15,$U32&lt;29),$AB32,0))</f>
        <v/>
      </c>
      <c r="N32" s="227">
        <f>IF($B32="","",$AE32+IF(AND($AB32&gt;0,OR($T32="",$U32&gt;=29)),$AB32,0))</f>
        <v/>
      </c>
      <c r="O32" s="234">
        <f>IF($B32="","",IFERROR($I32/$H32,0))</f>
        <v/>
      </c>
      <c r="P32" s="229">
        <f>IF($B32="","",IFERROR(LOOKUP(2,1/(TAHSILAT!$C$7:$C$1506=$B32),TAHSILAT!$E$7:$E$1506),""))</f>
        <v/>
      </c>
      <c r="Q32" s="113">
        <f>IF($B32="","",IF($N32&gt;0,"KRİTİK",IF($M32&gt;0,"YÜKSEK",IF($L32&gt;0,"ORTA",IF($J32&gt;0,"İZLE","TEMİZ")))))</f>
        <v/>
      </c>
      <c r="R32" s="121">
        <f>IF($B32="","",IF($Q32="KRİTİK","Acil tahsilat görüşmesi ve cari mutabakat",IF($Q32="YÜKSEK","Bu hafta tahsilat takibi",IF($Q32="ORTA","Hatırlatma mesajı gönder",IF($Q32="İZLE","Normal takip","Aksiyon gerekmiyor")))))</f>
        <v/>
      </c>
      <c r="S32" s="232">
        <f>IF($B32="","",COUNTIFS(AKTIVITE!$D$7:$D$1006,$B32,AKTIVITE!$J$7:$J$1006,"&lt;&gt;Tamamlandı"))</f>
        <v/>
      </c>
      <c r="T32" s="229">
        <f>IF($B32="","",IF(MUSTERILER!$K32="","",MUSTERILER!$K32))</f>
        <v/>
      </c>
      <c r="U32" s="232">
        <f>IF(OR($B32="",$T32=""),"",TODAY()-$T32)</f>
        <v/>
      </c>
      <c r="V32" s="113">
        <f>IF($B32="","",IF(ABS($J32-($K32+$L32+$M32+$N32))&lt;0.01,"UYGUN","İNCELE"))</f>
        <v/>
      </c>
      <c r="W32" s="6" t="n"/>
      <c r="X32" s="6">
        <f>IF($B32="",0,SUMIFS(UCRETLER!$J$7:$J$406,UCRETLER!$B$7:$B$406,$B32))</f>
        <v/>
      </c>
      <c r="Y32" s="3">
        <f>IF($B32="",0,SUMIFS(UCRETLER!$K$7:$K$406,UCRETLER!$B$7:$B$406,$B32))</f>
        <v/>
      </c>
      <c r="Z32" s="3">
        <f>IF($B32="",0,SUMIFS(UCRETLER!$L$7:$L$406,UCRETLER!$B$7:$B$406,$B32))</f>
        <v/>
      </c>
      <c r="AA32" s="3">
        <f>IF($B32="",0,MAX(0,$I32-$F32))</f>
        <v/>
      </c>
      <c r="AB32" s="3">
        <f>IF($B32="",0,MAX(0,$F32-$I32))</f>
        <v/>
      </c>
      <c r="AC32" s="3">
        <f>IF($B32="",0,MAX(0,$X32-$AA32))</f>
        <v/>
      </c>
      <c r="AD32" s="3">
        <f>IF($B32="",0,MAX(0,$Y32-$AA32))</f>
        <v/>
      </c>
      <c r="AE32" s="3">
        <f>IF($B32="",0,MAX(0,$Z32-$AA32))</f>
        <v/>
      </c>
    </row>
    <row r="33">
      <c r="A33" s="6" t="n"/>
      <c r="B33" s="113">
        <f>IF(MUSTERILER!$C33="","",MUSTERILER!$B33)</f>
        <v/>
      </c>
      <c r="C33" s="121">
        <f>IF(MUSTERILER!$C33="","",MUSTERILER!$C33)</f>
        <v/>
      </c>
      <c r="D33" s="227">
        <f>IF($B33="","",SUMIFS(UCRETLER!$G$7:$G$406,UCRETLER!$B$7:$B$406,$B33,UCRETLER!$F$7:$F$406,"Haftalık",UCRETLER!$H$7:$H$406,"Aktif"))</f>
        <v/>
      </c>
      <c r="E33" s="227">
        <f>IF($B33="","",SUMIFS(UCRETLER!$G$7:$G$406,UCRETLER!$B$7:$B$406,$B33,UCRETLER!$F$7:$F$406,"Aylık",UCRETLER!$H$7:$H$406,"Aktif"))</f>
        <v/>
      </c>
      <c r="F33" s="227">
        <f>IF($B33="","",SUMIFS(MUSTERILER!$J$7:$J$106,MUSTERILER!$B$7:$B$106,$B33))</f>
        <v/>
      </c>
      <c r="G33" s="227">
        <f>IF($B33="","",SUMIFS(UCRETLER!$I$7:$I$406,UCRETLER!$B$7:$B$406,$B33))</f>
        <v/>
      </c>
      <c r="H33" s="227">
        <f>IF($B33="","",$F33+$G33)</f>
        <v/>
      </c>
      <c r="I33" s="227">
        <f>IF($B33="","",SUMIFS(TAHSILAT!$F$7:$F$1506,TAHSILAT!$C$7:$C$1506,$B33))</f>
        <v/>
      </c>
      <c r="J33" s="227">
        <f>IF($B33="","",MAX(0,$H33-$I33))</f>
        <v/>
      </c>
      <c r="K33" s="227">
        <f>IF($B33="","",MAX(0,$J33-$L33-$M33-$N33))</f>
        <v/>
      </c>
      <c r="L33" s="227">
        <f>IF($B33="","",($AC33-$AD33)+IF(AND($AB33&gt;0,$T33&lt;&gt;"",$U33&gt;=8,$U33&lt;15),$AB33,0))</f>
        <v/>
      </c>
      <c r="M33" s="227">
        <f>IF($B33="","",($AD33-$AE33)+IF(AND($AB33&gt;0,$T33&lt;&gt;"",$U33&gt;=15,$U33&lt;29),$AB33,0))</f>
        <v/>
      </c>
      <c r="N33" s="227">
        <f>IF($B33="","",$AE33+IF(AND($AB33&gt;0,OR($T33="",$U33&gt;=29)),$AB33,0))</f>
        <v/>
      </c>
      <c r="O33" s="234">
        <f>IF($B33="","",IFERROR($I33/$H33,0))</f>
        <v/>
      </c>
      <c r="P33" s="229">
        <f>IF($B33="","",IFERROR(LOOKUP(2,1/(TAHSILAT!$C$7:$C$1506=$B33),TAHSILAT!$E$7:$E$1506),""))</f>
        <v/>
      </c>
      <c r="Q33" s="113">
        <f>IF($B33="","",IF($N33&gt;0,"KRİTİK",IF($M33&gt;0,"YÜKSEK",IF($L33&gt;0,"ORTA",IF($J33&gt;0,"İZLE","TEMİZ")))))</f>
        <v/>
      </c>
      <c r="R33" s="121">
        <f>IF($B33="","",IF($Q33="KRİTİK","Acil tahsilat görüşmesi ve cari mutabakat",IF($Q33="YÜKSEK","Bu hafta tahsilat takibi",IF($Q33="ORTA","Hatırlatma mesajı gönder",IF($Q33="İZLE","Normal takip","Aksiyon gerekmiyor")))))</f>
        <v/>
      </c>
      <c r="S33" s="232">
        <f>IF($B33="","",COUNTIFS(AKTIVITE!$D$7:$D$1006,$B33,AKTIVITE!$J$7:$J$1006,"&lt;&gt;Tamamlandı"))</f>
        <v/>
      </c>
      <c r="T33" s="229">
        <f>IF($B33="","",IF(MUSTERILER!$K33="","",MUSTERILER!$K33))</f>
        <v/>
      </c>
      <c r="U33" s="232">
        <f>IF(OR($B33="",$T33=""),"",TODAY()-$T33)</f>
        <v/>
      </c>
      <c r="V33" s="113">
        <f>IF($B33="","",IF(ABS($J33-($K33+$L33+$M33+$N33))&lt;0.01,"UYGUN","İNCELE"))</f>
        <v/>
      </c>
      <c r="W33" s="6" t="n"/>
      <c r="X33" s="6">
        <f>IF($B33="",0,SUMIFS(UCRETLER!$J$7:$J$406,UCRETLER!$B$7:$B$406,$B33))</f>
        <v/>
      </c>
      <c r="Y33" s="3">
        <f>IF($B33="",0,SUMIFS(UCRETLER!$K$7:$K$406,UCRETLER!$B$7:$B$406,$B33))</f>
        <v/>
      </c>
      <c r="Z33" s="3">
        <f>IF($B33="",0,SUMIFS(UCRETLER!$L$7:$L$406,UCRETLER!$B$7:$B$406,$B33))</f>
        <v/>
      </c>
      <c r="AA33" s="3">
        <f>IF($B33="",0,MAX(0,$I33-$F33))</f>
        <v/>
      </c>
      <c r="AB33" s="3">
        <f>IF($B33="",0,MAX(0,$F33-$I33))</f>
        <v/>
      </c>
      <c r="AC33" s="3">
        <f>IF($B33="",0,MAX(0,$X33-$AA33))</f>
        <v/>
      </c>
      <c r="AD33" s="3">
        <f>IF($B33="",0,MAX(0,$Y33-$AA33))</f>
        <v/>
      </c>
      <c r="AE33" s="3">
        <f>IF($B33="",0,MAX(0,$Z33-$AA33))</f>
        <v/>
      </c>
    </row>
    <row r="34">
      <c r="A34" s="6" t="n"/>
      <c r="B34" s="113">
        <f>IF(MUSTERILER!$C34="","",MUSTERILER!$B34)</f>
        <v/>
      </c>
      <c r="C34" s="121">
        <f>IF(MUSTERILER!$C34="","",MUSTERILER!$C34)</f>
        <v/>
      </c>
      <c r="D34" s="227">
        <f>IF($B34="","",SUMIFS(UCRETLER!$G$7:$G$406,UCRETLER!$B$7:$B$406,$B34,UCRETLER!$F$7:$F$406,"Haftalık",UCRETLER!$H$7:$H$406,"Aktif"))</f>
        <v/>
      </c>
      <c r="E34" s="227">
        <f>IF($B34="","",SUMIFS(UCRETLER!$G$7:$G$406,UCRETLER!$B$7:$B$406,$B34,UCRETLER!$F$7:$F$406,"Aylık",UCRETLER!$H$7:$H$406,"Aktif"))</f>
        <v/>
      </c>
      <c r="F34" s="227">
        <f>IF($B34="","",SUMIFS(MUSTERILER!$J$7:$J$106,MUSTERILER!$B$7:$B$106,$B34))</f>
        <v/>
      </c>
      <c r="G34" s="227">
        <f>IF($B34="","",SUMIFS(UCRETLER!$I$7:$I$406,UCRETLER!$B$7:$B$406,$B34))</f>
        <v/>
      </c>
      <c r="H34" s="227">
        <f>IF($B34="","",$F34+$G34)</f>
        <v/>
      </c>
      <c r="I34" s="227">
        <f>IF($B34="","",SUMIFS(TAHSILAT!$F$7:$F$1506,TAHSILAT!$C$7:$C$1506,$B34))</f>
        <v/>
      </c>
      <c r="J34" s="227">
        <f>IF($B34="","",MAX(0,$H34-$I34))</f>
        <v/>
      </c>
      <c r="K34" s="227">
        <f>IF($B34="","",MAX(0,$J34-$L34-$M34-$N34))</f>
        <v/>
      </c>
      <c r="L34" s="227">
        <f>IF($B34="","",($AC34-$AD34)+IF(AND($AB34&gt;0,$T34&lt;&gt;"",$U34&gt;=8,$U34&lt;15),$AB34,0))</f>
        <v/>
      </c>
      <c r="M34" s="227">
        <f>IF($B34="","",($AD34-$AE34)+IF(AND($AB34&gt;0,$T34&lt;&gt;"",$U34&gt;=15,$U34&lt;29),$AB34,0))</f>
        <v/>
      </c>
      <c r="N34" s="227">
        <f>IF($B34="","",$AE34+IF(AND($AB34&gt;0,OR($T34="",$U34&gt;=29)),$AB34,0))</f>
        <v/>
      </c>
      <c r="O34" s="234">
        <f>IF($B34="","",IFERROR($I34/$H34,0))</f>
        <v/>
      </c>
      <c r="P34" s="229">
        <f>IF($B34="","",IFERROR(LOOKUP(2,1/(TAHSILAT!$C$7:$C$1506=$B34),TAHSILAT!$E$7:$E$1506),""))</f>
        <v/>
      </c>
      <c r="Q34" s="113">
        <f>IF($B34="","",IF($N34&gt;0,"KRİTİK",IF($M34&gt;0,"YÜKSEK",IF($L34&gt;0,"ORTA",IF($J34&gt;0,"İZLE","TEMİZ")))))</f>
        <v/>
      </c>
      <c r="R34" s="121">
        <f>IF($B34="","",IF($Q34="KRİTİK","Acil tahsilat görüşmesi ve cari mutabakat",IF($Q34="YÜKSEK","Bu hafta tahsilat takibi",IF($Q34="ORTA","Hatırlatma mesajı gönder",IF($Q34="İZLE","Normal takip","Aksiyon gerekmiyor")))))</f>
        <v/>
      </c>
      <c r="S34" s="232">
        <f>IF($B34="","",COUNTIFS(AKTIVITE!$D$7:$D$1006,$B34,AKTIVITE!$J$7:$J$1006,"&lt;&gt;Tamamlandı"))</f>
        <v/>
      </c>
      <c r="T34" s="229">
        <f>IF($B34="","",IF(MUSTERILER!$K34="","",MUSTERILER!$K34))</f>
        <v/>
      </c>
      <c r="U34" s="232">
        <f>IF(OR($B34="",$T34=""),"",TODAY()-$T34)</f>
        <v/>
      </c>
      <c r="V34" s="113">
        <f>IF($B34="","",IF(ABS($J34-($K34+$L34+$M34+$N34))&lt;0.01,"UYGUN","İNCELE"))</f>
        <v/>
      </c>
      <c r="W34" s="6" t="n"/>
      <c r="X34" s="6">
        <f>IF($B34="",0,SUMIFS(UCRETLER!$J$7:$J$406,UCRETLER!$B$7:$B$406,$B34))</f>
        <v/>
      </c>
      <c r="Y34" s="3">
        <f>IF($B34="",0,SUMIFS(UCRETLER!$K$7:$K$406,UCRETLER!$B$7:$B$406,$B34))</f>
        <v/>
      </c>
      <c r="Z34" s="3">
        <f>IF($B34="",0,SUMIFS(UCRETLER!$L$7:$L$406,UCRETLER!$B$7:$B$406,$B34))</f>
        <v/>
      </c>
      <c r="AA34" s="3">
        <f>IF($B34="",0,MAX(0,$I34-$F34))</f>
        <v/>
      </c>
      <c r="AB34" s="3">
        <f>IF($B34="",0,MAX(0,$F34-$I34))</f>
        <v/>
      </c>
      <c r="AC34" s="3">
        <f>IF($B34="",0,MAX(0,$X34-$AA34))</f>
        <v/>
      </c>
      <c r="AD34" s="3">
        <f>IF($B34="",0,MAX(0,$Y34-$AA34))</f>
        <v/>
      </c>
      <c r="AE34" s="3">
        <f>IF($B34="",0,MAX(0,$Z34-$AA34))</f>
        <v/>
      </c>
    </row>
    <row r="35">
      <c r="A35" s="6" t="n"/>
      <c r="B35" s="113">
        <f>IF(MUSTERILER!$C35="","",MUSTERILER!$B35)</f>
        <v/>
      </c>
      <c r="C35" s="121">
        <f>IF(MUSTERILER!$C35="","",MUSTERILER!$C35)</f>
        <v/>
      </c>
      <c r="D35" s="227">
        <f>IF($B35="","",SUMIFS(UCRETLER!$G$7:$G$406,UCRETLER!$B$7:$B$406,$B35,UCRETLER!$F$7:$F$406,"Haftalık",UCRETLER!$H$7:$H$406,"Aktif"))</f>
        <v/>
      </c>
      <c r="E35" s="227">
        <f>IF($B35="","",SUMIFS(UCRETLER!$G$7:$G$406,UCRETLER!$B$7:$B$406,$B35,UCRETLER!$F$7:$F$406,"Aylık",UCRETLER!$H$7:$H$406,"Aktif"))</f>
        <v/>
      </c>
      <c r="F35" s="227">
        <f>IF($B35="","",SUMIFS(MUSTERILER!$J$7:$J$106,MUSTERILER!$B$7:$B$106,$B35))</f>
        <v/>
      </c>
      <c r="G35" s="227">
        <f>IF($B35="","",SUMIFS(UCRETLER!$I$7:$I$406,UCRETLER!$B$7:$B$406,$B35))</f>
        <v/>
      </c>
      <c r="H35" s="227">
        <f>IF($B35="","",$F35+$G35)</f>
        <v/>
      </c>
      <c r="I35" s="227">
        <f>IF($B35="","",SUMIFS(TAHSILAT!$F$7:$F$1506,TAHSILAT!$C$7:$C$1506,$B35))</f>
        <v/>
      </c>
      <c r="J35" s="227">
        <f>IF($B35="","",MAX(0,$H35-$I35))</f>
        <v/>
      </c>
      <c r="K35" s="227">
        <f>IF($B35="","",MAX(0,$J35-$L35-$M35-$N35))</f>
        <v/>
      </c>
      <c r="L35" s="227">
        <f>IF($B35="","",($AC35-$AD35)+IF(AND($AB35&gt;0,$T35&lt;&gt;"",$U35&gt;=8,$U35&lt;15),$AB35,0))</f>
        <v/>
      </c>
      <c r="M35" s="227">
        <f>IF($B35="","",($AD35-$AE35)+IF(AND($AB35&gt;0,$T35&lt;&gt;"",$U35&gt;=15,$U35&lt;29),$AB35,0))</f>
        <v/>
      </c>
      <c r="N35" s="227">
        <f>IF($B35="","",$AE35+IF(AND($AB35&gt;0,OR($T35="",$U35&gt;=29)),$AB35,0))</f>
        <v/>
      </c>
      <c r="O35" s="234">
        <f>IF($B35="","",IFERROR($I35/$H35,0))</f>
        <v/>
      </c>
      <c r="P35" s="229">
        <f>IF($B35="","",IFERROR(LOOKUP(2,1/(TAHSILAT!$C$7:$C$1506=$B35),TAHSILAT!$E$7:$E$1506),""))</f>
        <v/>
      </c>
      <c r="Q35" s="113">
        <f>IF($B35="","",IF($N35&gt;0,"KRİTİK",IF($M35&gt;0,"YÜKSEK",IF($L35&gt;0,"ORTA",IF($J35&gt;0,"İZLE","TEMİZ")))))</f>
        <v/>
      </c>
      <c r="R35" s="121">
        <f>IF($B35="","",IF($Q35="KRİTİK","Acil tahsilat görüşmesi ve cari mutabakat",IF($Q35="YÜKSEK","Bu hafta tahsilat takibi",IF($Q35="ORTA","Hatırlatma mesajı gönder",IF($Q35="İZLE","Normal takip","Aksiyon gerekmiyor")))))</f>
        <v/>
      </c>
      <c r="S35" s="232">
        <f>IF($B35="","",COUNTIFS(AKTIVITE!$D$7:$D$1006,$B35,AKTIVITE!$J$7:$J$1006,"&lt;&gt;Tamamlandı"))</f>
        <v/>
      </c>
      <c r="T35" s="229">
        <f>IF($B35="","",IF(MUSTERILER!$K35="","",MUSTERILER!$K35))</f>
        <v/>
      </c>
      <c r="U35" s="232">
        <f>IF(OR($B35="",$T35=""),"",TODAY()-$T35)</f>
        <v/>
      </c>
      <c r="V35" s="113">
        <f>IF($B35="","",IF(ABS($J35-($K35+$L35+$M35+$N35))&lt;0.01,"UYGUN","İNCELE"))</f>
        <v/>
      </c>
      <c r="W35" s="6" t="n"/>
      <c r="X35" s="6">
        <f>IF($B35="",0,SUMIFS(UCRETLER!$J$7:$J$406,UCRETLER!$B$7:$B$406,$B35))</f>
        <v/>
      </c>
      <c r="Y35" s="3">
        <f>IF($B35="",0,SUMIFS(UCRETLER!$K$7:$K$406,UCRETLER!$B$7:$B$406,$B35))</f>
        <v/>
      </c>
      <c r="Z35" s="3">
        <f>IF($B35="",0,SUMIFS(UCRETLER!$L$7:$L$406,UCRETLER!$B$7:$B$406,$B35))</f>
        <v/>
      </c>
      <c r="AA35" s="3">
        <f>IF($B35="",0,MAX(0,$I35-$F35))</f>
        <v/>
      </c>
      <c r="AB35" s="3">
        <f>IF($B35="",0,MAX(0,$F35-$I35))</f>
        <v/>
      </c>
      <c r="AC35" s="3">
        <f>IF($B35="",0,MAX(0,$X35-$AA35))</f>
        <v/>
      </c>
      <c r="AD35" s="3">
        <f>IF($B35="",0,MAX(0,$Y35-$AA35))</f>
        <v/>
      </c>
      <c r="AE35" s="3">
        <f>IF($B35="",0,MAX(0,$Z35-$AA35))</f>
        <v/>
      </c>
    </row>
    <row r="36">
      <c r="A36" s="6" t="n"/>
      <c r="B36" s="113">
        <f>IF(MUSTERILER!$C36="","",MUSTERILER!$B36)</f>
        <v/>
      </c>
      <c r="C36" s="121">
        <f>IF(MUSTERILER!$C36="","",MUSTERILER!$C36)</f>
        <v/>
      </c>
      <c r="D36" s="227">
        <f>IF($B36="","",SUMIFS(UCRETLER!$G$7:$G$406,UCRETLER!$B$7:$B$406,$B36,UCRETLER!$F$7:$F$406,"Haftalık",UCRETLER!$H$7:$H$406,"Aktif"))</f>
        <v/>
      </c>
      <c r="E36" s="227">
        <f>IF($B36="","",SUMIFS(UCRETLER!$G$7:$G$406,UCRETLER!$B$7:$B$406,$B36,UCRETLER!$F$7:$F$406,"Aylık",UCRETLER!$H$7:$H$406,"Aktif"))</f>
        <v/>
      </c>
      <c r="F36" s="227">
        <f>IF($B36="","",SUMIFS(MUSTERILER!$J$7:$J$106,MUSTERILER!$B$7:$B$106,$B36))</f>
        <v/>
      </c>
      <c r="G36" s="227">
        <f>IF($B36="","",SUMIFS(UCRETLER!$I$7:$I$406,UCRETLER!$B$7:$B$406,$B36))</f>
        <v/>
      </c>
      <c r="H36" s="227">
        <f>IF($B36="","",$F36+$G36)</f>
        <v/>
      </c>
      <c r="I36" s="227">
        <f>IF($B36="","",SUMIFS(TAHSILAT!$F$7:$F$1506,TAHSILAT!$C$7:$C$1506,$B36))</f>
        <v/>
      </c>
      <c r="J36" s="227">
        <f>IF($B36="","",MAX(0,$H36-$I36))</f>
        <v/>
      </c>
      <c r="K36" s="227">
        <f>IF($B36="","",MAX(0,$J36-$L36-$M36-$N36))</f>
        <v/>
      </c>
      <c r="L36" s="227">
        <f>IF($B36="","",($AC36-$AD36)+IF(AND($AB36&gt;0,$T36&lt;&gt;"",$U36&gt;=8,$U36&lt;15),$AB36,0))</f>
        <v/>
      </c>
      <c r="M36" s="227">
        <f>IF($B36="","",($AD36-$AE36)+IF(AND($AB36&gt;0,$T36&lt;&gt;"",$U36&gt;=15,$U36&lt;29),$AB36,0))</f>
        <v/>
      </c>
      <c r="N36" s="227">
        <f>IF($B36="","",$AE36+IF(AND($AB36&gt;0,OR($T36="",$U36&gt;=29)),$AB36,0))</f>
        <v/>
      </c>
      <c r="O36" s="234">
        <f>IF($B36="","",IFERROR($I36/$H36,0))</f>
        <v/>
      </c>
      <c r="P36" s="229">
        <f>IF($B36="","",IFERROR(LOOKUP(2,1/(TAHSILAT!$C$7:$C$1506=$B36),TAHSILAT!$E$7:$E$1506),""))</f>
        <v/>
      </c>
      <c r="Q36" s="113">
        <f>IF($B36="","",IF($N36&gt;0,"KRİTİK",IF($M36&gt;0,"YÜKSEK",IF($L36&gt;0,"ORTA",IF($J36&gt;0,"İZLE","TEMİZ")))))</f>
        <v/>
      </c>
      <c r="R36" s="121">
        <f>IF($B36="","",IF($Q36="KRİTİK","Acil tahsilat görüşmesi ve cari mutabakat",IF($Q36="YÜKSEK","Bu hafta tahsilat takibi",IF($Q36="ORTA","Hatırlatma mesajı gönder",IF($Q36="İZLE","Normal takip","Aksiyon gerekmiyor")))))</f>
        <v/>
      </c>
      <c r="S36" s="232">
        <f>IF($B36="","",COUNTIFS(AKTIVITE!$D$7:$D$1006,$B36,AKTIVITE!$J$7:$J$1006,"&lt;&gt;Tamamlandı"))</f>
        <v/>
      </c>
      <c r="T36" s="229">
        <f>IF($B36="","",IF(MUSTERILER!$K36="","",MUSTERILER!$K36))</f>
        <v/>
      </c>
      <c r="U36" s="232">
        <f>IF(OR($B36="",$T36=""),"",TODAY()-$T36)</f>
        <v/>
      </c>
      <c r="V36" s="113">
        <f>IF($B36="","",IF(ABS($J36-($K36+$L36+$M36+$N36))&lt;0.01,"UYGUN","İNCELE"))</f>
        <v/>
      </c>
      <c r="W36" s="6" t="n"/>
      <c r="X36" s="6">
        <f>IF($B36="",0,SUMIFS(UCRETLER!$J$7:$J$406,UCRETLER!$B$7:$B$406,$B36))</f>
        <v/>
      </c>
      <c r="Y36" s="3">
        <f>IF($B36="",0,SUMIFS(UCRETLER!$K$7:$K$406,UCRETLER!$B$7:$B$406,$B36))</f>
        <v/>
      </c>
      <c r="Z36" s="3">
        <f>IF($B36="",0,SUMIFS(UCRETLER!$L$7:$L$406,UCRETLER!$B$7:$B$406,$B36))</f>
        <v/>
      </c>
      <c r="AA36" s="3">
        <f>IF($B36="",0,MAX(0,$I36-$F36))</f>
        <v/>
      </c>
      <c r="AB36" s="3">
        <f>IF($B36="",0,MAX(0,$F36-$I36))</f>
        <v/>
      </c>
      <c r="AC36" s="3">
        <f>IF($B36="",0,MAX(0,$X36-$AA36))</f>
        <v/>
      </c>
      <c r="AD36" s="3">
        <f>IF($B36="",0,MAX(0,$Y36-$AA36))</f>
        <v/>
      </c>
      <c r="AE36" s="3">
        <f>IF($B36="",0,MAX(0,$Z36-$AA36))</f>
        <v/>
      </c>
    </row>
    <row r="37">
      <c r="A37" s="6" t="n"/>
      <c r="B37" s="113">
        <f>IF(MUSTERILER!$C37="","",MUSTERILER!$B37)</f>
        <v/>
      </c>
      <c r="C37" s="121">
        <f>IF(MUSTERILER!$C37="","",MUSTERILER!$C37)</f>
        <v/>
      </c>
      <c r="D37" s="227">
        <f>IF($B37="","",SUMIFS(UCRETLER!$G$7:$G$406,UCRETLER!$B$7:$B$406,$B37,UCRETLER!$F$7:$F$406,"Haftalık",UCRETLER!$H$7:$H$406,"Aktif"))</f>
        <v/>
      </c>
      <c r="E37" s="227">
        <f>IF($B37="","",SUMIFS(UCRETLER!$G$7:$G$406,UCRETLER!$B$7:$B$406,$B37,UCRETLER!$F$7:$F$406,"Aylık",UCRETLER!$H$7:$H$406,"Aktif"))</f>
        <v/>
      </c>
      <c r="F37" s="227">
        <f>IF($B37="","",SUMIFS(MUSTERILER!$J$7:$J$106,MUSTERILER!$B$7:$B$106,$B37))</f>
        <v/>
      </c>
      <c r="G37" s="227">
        <f>IF($B37="","",SUMIFS(UCRETLER!$I$7:$I$406,UCRETLER!$B$7:$B$406,$B37))</f>
        <v/>
      </c>
      <c r="H37" s="227">
        <f>IF($B37="","",$F37+$G37)</f>
        <v/>
      </c>
      <c r="I37" s="227">
        <f>IF($B37="","",SUMIFS(TAHSILAT!$F$7:$F$1506,TAHSILAT!$C$7:$C$1506,$B37))</f>
        <v/>
      </c>
      <c r="J37" s="227">
        <f>IF($B37="","",MAX(0,$H37-$I37))</f>
        <v/>
      </c>
      <c r="K37" s="227">
        <f>IF($B37="","",MAX(0,$J37-$L37-$M37-$N37))</f>
        <v/>
      </c>
      <c r="L37" s="227">
        <f>IF($B37="","",($AC37-$AD37)+IF(AND($AB37&gt;0,$T37&lt;&gt;"",$U37&gt;=8,$U37&lt;15),$AB37,0))</f>
        <v/>
      </c>
      <c r="M37" s="227">
        <f>IF($B37="","",($AD37-$AE37)+IF(AND($AB37&gt;0,$T37&lt;&gt;"",$U37&gt;=15,$U37&lt;29),$AB37,0))</f>
        <v/>
      </c>
      <c r="N37" s="227">
        <f>IF($B37="","",$AE37+IF(AND($AB37&gt;0,OR($T37="",$U37&gt;=29)),$AB37,0))</f>
        <v/>
      </c>
      <c r="O37" s="234">
        <f>IF($B37="","",IFERROR($I37/$H37,0))</f>
        <v/>
      </c>
      <c r="P37" s="229">
        <f>IF($B37="","",IFERROR(LOOKUP(2,1/(TAHSILAT!$C$7:$C$1506=$B37),TAHSILAT!$E$7:$E$1506),""))</f>
        <v/>
      </c>
      <c r="Q37" s="113">
        <f>IF($B37="","",IF($N37&gt;0,"KRİTİK",IF($M37&gt;0,"YÜKSEK",IF($L37&gt;0,"ORTA",IF($J37&gt;0,"İZLE","TEMİZ")))))</f>
        <v/>
      </c>
      <c r="R37" s="121">
        <f>IF($B37="","",IF($Q37="KRİTİK","Acil tahsilat görüşmesi ve cari mutabakat",IF($Q37="YÜKSEK","Bu hafta tahsilat takibi",IF($Q37="ORTA","Hatırlatma mesajı gönder",IF($Q37="İZLE","Normal takip","Aksiyon gerekmiyor")))))</f>
        <v/>
      </c>
      <c r="S37" s="232">
        <f>IF($B37="","",COUNTIFS(AKTIVITE!$D$7:$D$1006,$B37,AKTIVITE!$J$7:$J$1006,"&lt;&gt;Tamamlandı"))</f>
        <v/>
      </c>
      <c r="T37" s="229">
        <f>IF($B37="","",IF(MUSTERILER!$K37="","",MUSTERILER!$K37))</f>
        <v/>
      </c>
      <c r="U37" s="232">
        <f>IF(OR($B37="",$T37=""),"",TODAY()-$T37)</f>
        <v/>
      </c>
      <c r="V37" s="113">
        <f>IF($B37="","",IF(ABS($J37-($K37+$L37+$M37+$N37))&lt;0.01,"UYGUN","İNCELE"))</f>
        <v/>
      </c>
      <c r="W37" s="6" t="n"/>
      <c r="X37" s="6">
        <f>IF($B37="",0,SUMIFS(UCRETLER!$J$7:$J$406,UCRETLER!$B$7:$B$406,$B37))</f>
        <v/>
      </c>
      <c r="Y37" s="3">
        <f>IF($B37="",0,SUMIFS(UCRETLER!$K$7:$K$406,UCRETLER!$B$7:$B$406,$B37))</f>
        <v/>
      </c>
      <c r="Z37" s="3">
        <f>IF($B37="",0,SUMIFS(UCRETLER!$L$7:$L$406,UCRETLER!$B$7:$B$406,$B37))</f>
        <v/>
      </c>
      <c r="AA37" s="3">
        <f>IF($B37="",0,MAX(0,$I37-$F37))</f>
        <v/>
      </c>
      <c r="AB37" s="3">
        <f>IF($B37="",0,MAX(0,$F37-$I37))</f>
        <v/>
      </c>
      <c r="AC37" s="3">
        <f>IF($B37="",0,MAX(0,$X37-$AA37))</f>
        <v/>
      </c>
      <c r="AD37" s="3">
        <f>IF($B37="",0,MAX(0,$Y37-$AA37))</f>
        <v/>
      </c>
      <c r="AE37" s="3">
        <f>IF($B37="",0,MAX(0,$Z37-$AA37))</f>
        <v/>
      </c>
    </row>
    <row r="38">
      <c r="A38" s="6" t="n"/>
      <c r="B38" s="113">
        <f>IF(MUSTERILER!$C38="","",MUSTERILER!$B38)</f>
        <v/>
      </c>
      <c r="C38" s="121">
        <f>IF(MUSTERILER!$C38="","",MUSTERILER!$C38)</f>
        <v/>
      </c>
      <c r="D38" s="227">
        <f>IF($B38="","",SUMIFS(UCRETLER!$G$7:$G$406,UCRETLER!$B$7:$B$406,$B38,UCRETLER!$F$7:$F$406,"Haftalık",UCRETLER!$H$7:$H$406,"Aktif"))</f>
        <v/>
      </c>
      <c r="E38" s="227">
        <f>IF($B38="","",SUMIFS(UCRETLER!$G$7:$G$406,UCRETLER!$B$7:$B$406,$B38,UCRETLER!$F$7:$F$406,"Aylık",UCRETLER!$H$7:$H$406,"Aktif"))</f>
        <v/>
      </c>
      <c r="F38" s="227">
        <f>IF($B38="","",SUMIFS(MUSTERILER!$J$7:$J$106,MUSTERILER!$B$7:$B$106,$B38))</f>
        <v/>
      </c>
      <c r="G38" s="227">
        <f>IF($B38="","",SUMIFS(UCRETLER!$I$7:$I$406,UCRETLER!$B$7:$B$406,$B38))</f>
        <v/>
      </c>
      <c r="H38" s="227">
        <f>IF($B38="","",$F38+$G38)</f>
        <v/>
      </c>
      <c r="I38" s="227">
        <f>IF($B38="","",SUMIFS(TAHSILAT!$F$7:$F$1506,TAHSILAT!$C$7:$C$1506,$B38))</f>
        <v/>
      </c>
      <c r="J38" s="227">
        <f>IF($B38="","",MAX(0,$H38-$I38))</f>
        <v/>
      </c>
      <c r="K38" s="227">
        <f>IF($B38="","",MAX(0,$J38-$L38-$M38-$N38))</f>
        <v/>
      </c>
      <c r="L38" s="227">
        <f>IF($B38="","",($AC38-$AD38)+IF(AND($AB38&gt;0,$T38&lt;&gt;"",$U38&gt;=8,$U38&lt;15),$AB38,0))</f>
        <v/>
      </c>
      <c r="M38" s="227">
        <f>IF($B38="","",($AD38-$AE38)+IF(AND($AB38&gt;0,$T38&lt;&gt;"",$U38&gt;=15,$U38&lt;29),$AB38,0))</f>
        <v/>
      </c>
      <c r="N38" s="227">
        <f>IF($B38="","",$AE38+IF(AND($AB38&gt;0,OR($T38="",$U38&gt;=29)),$AB38,0))</f>
        <v/>
      </c>
      <c r="O38" s="234">
        <f>IF($B38="","",IFERROR($I38/$H38,0))</f>
        <v/>
      </c>
      <c r="P38" s="229">
        <f>IF($B38="","",IFERROR(LOOKUP(2,1/(TAHSILAT!$C$7:$C$1506=$B38),TAHSILAT!$E$7:$E$1506),""))</f>
        <v/>
      </c>
      <c r="Q38" s="113">
        <f>IF($B38="","",IF($N38&gt;0,"KRİTİK",IF($M38&gt;0,"YÜKSEK",IF($L38&gt;0,"ORTA",IF($J38&gt;0,"İZLE","TEMİZ")))))</f>
        <v/>
      </c>
      <c r="R38" s="121">
        <f>IF($B38="","",IF($Q38="KRİTİK","Acil tahsilat görüşmesi ve cari mutabakat",IF($Q38="YÜKSEK","Bu hafta tahsilat takibi",IF($Q38="ORTA","Hatırlatma mesajı gönder",IF($Q38="İZLE","Normal takip","Aksiyon gerekmiyor")))))</f>
        <v/>
      </c>
      <c r="S38" s="232">
        <f>IF($B38="","",COUNTIFS(AKTIVITE!$D$7:$D$1006,$B38,AKTIVITE!$J$7:$J$1006,"&lt;&gt;Tamamlandı"))</f>
        <v/>
      </c>
      <c r="T38" s="229">
        <f>IF($B38="","",IF(MUSTERILER!$K38="","",MUSTERILER!$K38))</f>
        <v/>
      </c>
      <c r="U38" s="232">
        <f>IF(OR($B38="",$T38=""),"",TODAY()-$T38)</f>
        <v/>
      </c>
      <c r="V38" s="113">
        <f>IF($B38="","",IF(ABS($J38-($K38+$L38+$M38+$N38))&lt;0.01,"UYGUN","İNCELE"))</f>
        <v/>
      </c>
      <c r="W38" s="6" t="n"/>
      <c r="X38" s="6">
        <f>IF($B38="",0,SUMIFS(UCRETLER!$J$7:$J$406,UCRETLER!$B$7:$B$406,$B38))</f>
        <v/>
      </c>
      <c r="Y38" s="3">
        <f>IF($B38="",0,SUMIFS(UCRETLER!$K$7:$K$406,UCRETLER!$B$7:$B$406,$B38))</f>
        <v/>
      </c>
      <c r="Z38" s="3">
        <f>IF($B38="",0,SUMIFS(UCRETLER!$L$7:$L$406,UCRETLER!$B$7:$B$406,$B38))</f>
        <v/>
      </c>
      <c r="AA38" s="3">
        <f>IF($B38="",0,MAX(0,$I38-$F38))</f>
        <v/>
      </c>
      <c r="AB38" s="3">
        <f>IF($B38="",0,MAX(0,$F38-$I38))</f>
        <v/>
      </c>
      <c r="AC38" s="3">
        <f>IF($B38="",0,MAX(0,$X38-$AA38))</f>
        <v/>
      </c>
      <c r="AD38" s="3">
        <f>IF($B38="",0,MAX(0,$Y38-$AA38))</f>
        <v/>
      </c>
      <c r="AE38" s="3">
        <f>IF($B38="",0,MAX(0,$Z38-$AA38))</f>
        <v/>
      </c>
    </row>
    <row r="39">
      <c r="A39" s="6" t="n"/>
      <c r="B39" s="113">
        <f>IF(MUSTERILER!$C39="","",MUSTERILER!$B39)</f>
        <v/>
      </c>
      <c r="C39" s="121">
        <f>IF(MUSTERILER!$C39="","",MUSTERILER!$C39)</f>
        <v/>
      </c>
      <c r="D39" s="227">
        <f>IF($B39="","",SUMIFS(UCRETLER!$G$7:$G$406,UCRETLER!$B$7:$B$406,$B39,UCRETLER!$F$7:$F$406,"Haftalık",UCRETLER!$H$7:$H$406,"Aktif"))</f>
        <v/>
      </c>
      <c r="E39" s="227">
        <f>IF($B39="","",SUMIFS(UCRETLER!$G$7:$G$406,UCRETLER!$B$7:$B$406,$B39,UCRETLER!$F$7:$F$406,"Aylık",UCRETLER!$H$7:$H$406,"Aktif"))</f>
        <v/>
      </c>
      <c r="F39" s="227">
        <f>IF($B39="","",SUMIFS(MUSTERILER!$J$7:$J$106,MUSTERILER!$B$7:$B$106,$B39))</f>
        <v/>
      </c>
      <c r="G39" s="227">
        <f>IF($B39="","",SUMIFS(UCRETLER!$I$7:$I$406,UCRETLER!$B$7:$B$406,$B39))</f>
        <v/>
      </c>
      <c r="H39" s="227">
        <f>IF($B39="","",$F39+$G39)</f>
        <v/>
      </c>
      <c r="I39" s="227">
        <f>IF($B39="","",SUMIFS(TAHSILAT!$F$7:$F$1506,TAHSILAT!$C$7:$C$1506,$B39))</f>
        <v/>
      </c>
      <c r="J39" s="227">
        <f>IF($B39="","",MAX(0,$H39-$I39))</f>
        <v/>
      </c>
      <c r="K39" s="227">
        <f>IF($B39="","",MAX(0,$J39-$L39-$M39-$N39))</f>
        <v/>
      </c>
      <c r="L39" s="227">
        <f>IF($B39="","",($AC39-$AD39)+IF(AND($AB39&gt;0,$T39&lt;&gt;"",$U39&gt;=8,$U39&lt;15),$AB39,0))</f>
        <v/>
      </c>
      <c r="M39" s="227">
        <f>IF($B39="","",($AD39-$AE39)+IF(AND($AB39&gt;0,$T39&lt;&gt;"",$U39&gt;=15,$U39&lt;29),$AB39,0))</f>
        <v/>
      </c>
      <c r="N39" s="227">
        <f>IF($B39="","",$AE39+IF(AND($AB39&gt;0,OR($T39="",$U39&gt;=29)),$AB39,0))</f>
        <v/>
      </c>
      <c r="O39" s="234">
        <f>IF($B39="","",IFERROR($I39/$H39,0))</f>
        <v/>
      </c>
      <c r="P39" s="229">
        <f>IF($B39="","",IFERROR(LOOKUP(2,1/(TAHSILAT!$C$7:$C$1506=$B39),TAHSILAT!$E$7:$E$1506),""))</f>
        <v/>
      </c>
      <c r="Q39" s="113">
        <f>IF($B39="","",IF($N39&gt;0,"KRİTİK",IF($M39&gt;0,"YÜKSEK",IF($L39&gt;0,"ORTA",IF($J39&gt;0,"İZLE","TEMİZ")))))</f>
        <v/>
      </c>
      <c r="R39" s="121">
        <f>IF($B39="","",IF($Q39="KRİTİK","Acil tahsilat görüşmesi ve cari mutabakat",IF($Q39="YÜKSEK","Bu hafta tahsilat takibi",IF($Q39="ORTA","Hatırlatma mesajı gönder",IF($Q39="İZLE","Normal takip","Aksiyon gerekmiyor")))))</f>
        <v/>
      </c>
      <c r="S39" s="232">
        <f>IF($B39="","",COUNTIFS(AKTIVITE!$D$7:$D$1006,$B39,AKTIVITE!$J$7:$J$1006,"&lt;&gt;Tamamlandı"))</f>
        <v/>
      </c>
      <c r="T39" s="229">
        <f>IF($B39="","",IF(MUSTERILER!$K39="","",MUSTERILER!$K39))</f>
        <v/>
      </c>
      <c r="U39" s="232">
        <f>IF(OR($B39="",$T39=""),"",TODAY()-$T39)</f>
        <v/>
      </c>
      <c r="V39" s="113">
        <f>IF($B39="","",IF(ABS($J39-($K39+$L39+$M39+$N39))&lt;0.01,"UYGUN","İNCELE"))</f>
        <v/>
      </c>
      <c r="W39" s="6" t="n"/>
      <c r="X39" s="6">
        <f>IF($B39="",0,SUMIFS(UCRETLER!$J$7:$J$406,UCRETLER!$B$7:$B$406,$B39))</f>
        <v/>
      </c>
      <c r="Y39" s="3">
        <f>IF($B39="",0,SUMIFS(UCRETLER!$K$7:$K$406,UCRETLER!$B$7:$B$406,$B39))</f>
        <v/>
      </c>
      <c r="Z39" s="3">
        <f>IF($B39="",0,SUMIFS(UCRETLER!$L$7:$L$406,UCRETLER!$B$7:$B$406,$B39))</f>
        <v/>
      </c>
      <c r="AA39" s="3">
        <f>IF($B39="",0,MAX(0,$I39-$F39))</f>
        <v/>
      </c>
      <c r="AB39" s="3">
        <f>IF($B39="",0,MAX(0,$F39-$I39))</f>
        <v/>
      </c>
      <c r="AC39" s="3">
        <f>IF($B39="",0,MAX(0,$X39-$AA39))</f>
        <v/>
      </c>
      <c r="AD39" s="3">
        <f>IF($B39="",0,MAX(0,$Y39-$AA39))</f>
        <v/>
      </c>
      <c r="AE39" s="3">
        <f>IF($B39="",0,MAX(0,$Z39-$AA39))</f>
        <v/>
      </c>
    </row>
    <row r="40">
      <c r="A40" s="6" t="n"/>
      <c r="B40" s="113">
        <f>IF(MUSTERILER!$C40="","",MUSTERILER!$B40)</f>
        <v/>
      </c>
      <c r="C40" s="121">
        <f>IF(MUSTERILER!$C40="","",MUSTERILER!$C40)</f>
        <v/>
      </c>
      <c r="D40" s="227">
        <f>IF($B40="","",SUMIFS(UCRETLER!$G$7:$G$406,UCRETLER!$B$7:$B$406,$B40,UCRETLER!$F$7:$F$406,"Haftalık",UCRETLER!$H$7:$H$406,"Aktif"))</f>
        <v/>
      </c>
      <c r="E40" s="227">
        <f>IF($B40="","",SUMIFS(UCRETLER!$G$7:$G$406,UCRETLER!$B$7:$B$406,$B40,UCRETLER!$F$7:$F$406,"Aylık",UCRETLER!$H$7:$H$406,"Aktif"))</f>
        <v/>
      </c>
      <c r="F40" s="227">
        <f>IF($B40="","",SUMIFS(MUSTERILER!$J$7:$J$106,MUSTERILER!$B$7:$B$106,$B40))</f>
        <v/>
      </c>
      <c r="G40" s="227">
        <f>IF($B40="","",SUMIFS(UCRETLER!$I$7:$I$406,UCRETLER!$B$7:$B$406,$B40))</f>
        <v/>
      </c>
      <c r="H40" s="227">
        <f>IF($B40="","",$F40+$G40)</f>
        <v/>
      </c>
      <c r="I40" s="227">
        <f>IF($B40="","",SUMIFS(TAHSILAT!$F$7:$F$1506,TAHSILAT!$C$7:$C$1506,$B40))</f>
        <v/>
      </c>
      <c r="J40" s="227">
        <f>IF($B40="","",MAX(0,$H40-$I40))</f>
        <v/>
      </c>
      <c r="K40" s="227">
        <f>IF($B40="","",MAX(0,$J40-$L40-$M40-$N40))</f>
        <v/>
      </c>
      <c r="L40" s="227">
        <f>IF($B40="","",($AC40-$AD40)+IF(AND($AB40&gt;0,$T40&lt;&gt;"",$U40&gt;=8,$U40&lt;15),$AB40,0))</f>
        <v/>
      </c>
      <c r="M40" s="227">
        <f>IF($B40="","",($AD40-$AE40)+IF(AND($AB40&gt;0,$T40&lt;&gt;"",$U40&gt;=15,$U40&lt;29),$AB40,0))</f>
        <v/>
      </c>
      <c r="N40" s="227">
        <f>IF($B40="","",$AE40+IF(AND($AB40&gt;0,OR($T40="",$U40&gt;=29)),$AB40,0))</f>
        <v/>
      </c>
      <c r="O40" s="234">
        <f>IF($B40="","",IFERROR($I40/$H40,0))</f>
        <v/>
      </c>
      <c r="P40" s="229">
        <f>IF($B40="","",IFERROR(LOOKUP(2,1/(TAHSILAT!$C$7:$C$1506=$B40),TAHSILAT!$E$7:$E$1506),""))</f>
        <v/>
      </c>
      <c r="Q40" s="113">
        <f>IF($B40="","",IF($N40&gt;0,"KRİTİK",IF($M40&gt;0,"YÜKSEK",IF($L40&gt;0,"ORTA",IF($J40&gt;0,"İZLE","TEMİZ")))))</f>
        <v/>
      </c>
      <c r="R40" s="121">
        <f>IF($B40="","",IF($Q40="KRİTİK","Acil tahsilat görüşmesi ve cari mutabakat",IF($Q40="YÜKSEK","Bu hafta tahsilat takibi",IF($Q40="ORTA","Hatırlatma mesajı gönder",IF($Q40="İZLE","Normal takip","Aksiyon gerekmiyor")))))</f>
        <v/>
      </c>
      <c r="S40" s="232">
        <f>IF($B40="","",COUNTIFS(AKTIVITE!$D$7:$D$1006,$B40,AKTIVITE!$J$7:$J$1006,"&lt;&gt;Tamamlandı"))</f>
        <v/>
      </c>
      <c r="T40" s="229">
        <f>IF($B40="","",IF(MUSTERILER!$K40="","",MUSTERILER!$K40))</f>
        <v/>
      </c>
      <c r="U40" s="232">
        <f>IF(OR($B40="",$T40=""),"",TODAY()-$T40)</f>
        <v/>
      </c>
      <c r="V40" s="113">
        <f>IF($B40="","",IF(ABS($J40-($K40+$L40+$M40+$N40))&lt;0.01,"UYGUN","İNCELE"))</f>
        <v/>
      </c>
      <c r="W40" s="6" t="n"/>
      <c r="X40" s="6">
        <f>IF($B40="",0,SUMIFS(UCRETLER!$J$7:$J$406,UCRETLER!$B$7:$B$406,$B40))</f>
        <v/>
      </c>
      <c r="Y40" s="3">
        <f>IF($B40="",0,SUMIFS(UCRETLER!$K$7:$K$406,UCRETLER!$B$7:$B$406,$B40))</f>
        <v/>
      </c>
      <c r="Z40" s="3">
        <f>IF($B40="",0,SUMIFS(UCRETLER!$L$7:$L$406,UCRETLER!$B$7:$B$406,$B40))</f>
        <v/>
      </c>
      <c r="AA40" s="3">
        <f>IF($B40="",0,MAX(0,$I40-$F40))</f>
        <v/>
      </c>
      <c r="AB40" s="3">
        <f>IF($B40="",0,MAX(0,$F40-$I40))</f>
        <v/>
      </c>
      <c r="AC40" s="3">
        <f>IF($B40="",0,MAX(0,$X40-$AA40))</f>
        <v/>
      </c>
      <c r="AD40" s="3">
        <f>IF($B40="",0,MAX(0,$Y40-$AA40))</f>
        <v/>
      </c>
      <c r="AE40" s="3">
        <f>IF($B40="",0,MAX(0,$Z40-$AA40))</f>
        <v/>
      </c>
    </row>
    <row r="41">
      <c r="A41" s="6" t="n"/>
      <c r="B41" s="113">
        <f>IF(MUSTERILER!$C41="","",MUSTERILER!$B41)</f>
        <v/>
      </c>
      <c r="C41" s="121">
        <f>IF(MUSTERILER!$C41="","",MUSTERILER!$C41)</f>
        <v/>
      </c>
      <c r="D41" s="227">
        <f>IF($B41="","",SUMIFS(UCRETLER!$G$7:$G$406,UCRETLER!$B$7:$B$406,$B41,UCRETLER!$F$7:$F$406,"Haftalık",UCRETLER!$H$7:$H$406,"Aktif"))</f>
        <v/>
      </c>
      <c r="E41" s="227">
        <f>IF($B41="","",SUMIFS(UCRETLER!$G$7:$G$406,UCRETLER!$B$7:$B$406,$B41,UCRETLER!$F$7:$F$406,"Aylık",UCRETLER!$H$7:$H$406,"Aktif"))</f>
        <v/>
      </c>
      <c r="F41" s="227">
        <f>IF($B41="","",SUMIFS(MUSTERILER!$J$7:$J$106,MUSTERILER!$B$7:$B$106,$B41))</f>
        <v/>
      </c>
      <c r="G41" s="227">
        <f>IF($B41="","",SUMIFS(UCRETLER!$I$7:$I$406,UCRETLER!$B$7:$B$406,$B41))</f>
        <v/>
      </c>
      <c r="H41" s="227">
        <f>IF($B41="","",$F41+$G41)</f>
        <v/>
      </c>
      <c r="I41" s="227">
        <f>IF($B41="","",SUMIFS(TAHSILAT!$F$7:$F$1506,TAHSILAT!$C$7:$C$1506,$B41))</f>
        <v/>
      </c>
      <c r="J41" s="227">
        <f>IF($B41="","",MAX(0,$H41-$I41))</f>
        <v/>
      </c>
      <c r="K41" s="227">
        <f>IF($B41="","",MAX(0,$J41-$L41-$M41-$N41))</f>
        <v/>
      </c>
      <c r="L41" s="227">
        <f>IF($B41="","",($AC41-$AD41)+IF(AND($AB41&gt;0,$T41&lt;&gt;"",$U41&gt;=8,$U41&lt;15),$AB41,0))</f>
        <v/>
      </c>
      <c r="M41" s="227">
        <f>IF($B41="","",($AD41-$AE41)+IF(AND($AB41&gt;0,$T41&lt;&gt;"",$U41&gt;=15,$U41&lt;29),$AB41,0))</f>
        <v/>
      </c>
      <c r="N41" s="227">
        <f>IF($B41="","",$AE41+IF(AND($AB41&gt;0,OR($T41="",$U41&gt;=29)),$AB41,0))</f>
        <v/>
      </c>
      <c r="O41" s="234">
        <f>IF($B41="","",IFERROR($I41/$H41,0))</f>
        <v/>
      </c>
      <c r="P41" s="229">
        <f>IF($B41="","",IFERROR(LOOKUP(2,1/(TAHSILAT!$C$7:$C$1506=$B41),TAHSILAT!$E$7:$E$1506),""))</f>
        <v/>
      </c>
      <c r="Q41" s="113">
        <f>IF($B41="","",IF($N41&gt;0,"KRİTİK",IF($M41&gt;0,"YÜKSEK",IF($L41&gt;0,"ORTA",IF($J41&gt;0,"İZLE","TEMİZ")))))</f>
        <v/>
      </c>
      <c r="R41" s="121">
        <f>IF($B41="","",IF($Q41="KRİTİK","Acil tahsilat görüşmesi ve cari mutabakat",IF($Q41="YÜKSEK","Bu hafta tahsilat takibi",IF($Q41="ORTA","Hatırlatma mesajı gönder",IF($Q41="İZLE","Normal takip","Aksiyon gerekmiyor")))))</f>
        <v/>
      </c>
      <c r="S41" s="232">
        <f>IF($B41="","",COUNTIFS(AKTIVITE!$D$7:$D$1006,$B41,AKTIVITE!$J$7:$J$1006,"&lt;&gt;Tamamlandı"))</f>
        <v/>
      </c>
      <c r="T41" s="229">
        <f>IF($B41="","",IF(MUSTERILER!$K41="","",MUSTERILER!$K41))</f>
        <v/>
      </c>
      <c r="U41" s="232">
        <f>IF(OR($B41="",$T41=""),"",TODAY()-$T41)</f>
        <v/>
      </c>
      <c r="V41" s="113">
        <f>IF($B41="","",IF(ABS($J41-($K41+$L41+$M41+$N41))&lt;0.01,"UYGUN","İNCELE"))</f>
        <v/>
      </c>
      <c r="W41" s="6" t="n"/>
      <c r="X41" s="6">
        <f>IF($B41="",0,SUMIFS(UCRETLER!$J$7:$J$406,UCRETLER!$B$7:$B$406,$B41))</f>
        <v/>
      </c>
      <c r="Y41" s="3">
        <f>IF($B41="",0,SUMIFS(UCRETLER!$K$7:$K$406,UCRETLER!$B$7:$B$406,$B41))</f>
        <v/>
      </c>
      <c r="Z41" s="3">
        <f>IF($B41="",0,SUMIFS(UCRETLER!$L$7:$L$406,UCRETLER!$B$7:$B$406,$B41))</f>
        <v/>
      </c>
      <c r="AA41" s="3">
        <f>IF($B41="",0,MAX(0,$I41-$F41))</f>
        <v/>
      </c>
      <c r="AB41" s="3">
        <f>IF($B41="",0,MAX(0,$F41-$I41))</f>
        <v/>
      </c>
      <c r="AC41" s="3">
        <f>IF($B41="",0,MAX(0,$X41-$AA41))</f>
        <v/>
      </c>
      <c r="AD41" s="3">
        <f>IF($B41="",0,MAX(0,$Y41-$AA41))</f>
        <v/>
      </c>
      <c r="AE41" s="3">
        <f>IF($B41="",0,MAX(0,$Z41-$AA41))</f>
        <v/>
      </c>
    </row>
    <row r="42">
      <c r="A42" s="6" t="n"/>
      <c r="B42" s="113">
        <f>IF(MUSTERILER!$C42="","",MUSTERILER!$B42)</f>
        <v/>
      </c>
      <c r="C42" s="121">
        <f>IF(MUSTERILER!$C42="","",MUSTERILER!$C42)</f>
        <v/>
      </c>
      <c r="D42" s="227">
        <f>IF($B42="","",SUMIFS(UCRETLER!$G$7:$G$406,UCRETLER!$B$7:$B$406,$B42,UCRETLER!$F$7:$F$406,"Haftalık",UCRETLER!$H$7:$H$406,"Aktif"))</f>
        <v/>
      </c>
      <c r="E42" s="227">
        <f>IF($B42="","",SUMIFS(UCRETLER!$G$7:$G$406,UCRETLER!$B$7:$B$406,$B42,UCRETLER!$F$7:$F$406,"Aylık",UCRETLER!$H$7:$H$406,"Aktif"))</f>
        <v/>
      </c>
      <c r="F42" s="227">
        <f>IF($B42="","",SUMIFS(MUSTERILER!$J$7:$J$106,MUSTERILER!$B$7:$B$106,$B42))</f>
        <v/>
      </c>
      <c r="G42" s="227">
        <f>IF($B42="","",SUMIFS(UCRETLER!$I$7:$I$406,UCRETLER!$B$7:$B$406,$B42))</f>
        <v/>
      </c>
      <c r="H42" s="227">
        <f>IF($B42="","",$F42+$G42)</f>
        <v/>
      </c>
      <c r="I42" s="227">
        <f>IF($B42="","",SUMIFS(TAHSILAT!$F$7:$F$1506,TAHSILAT!$C$7:$C$1506,$B42))</f>
        <v/>
      </c>
      <c r="J42" s="227">
        <f>IF($B42="","",MAX(0,$H42-$I42))</f>
        <v/>
      </c>
      <c r="K42" s="227">
        <f>IF($B42="","",MAX(0,$J42-$L42-$M42-$N42))</f>
        <v/>
      </c>
      <c r="L42" s="227">
        <f>IF($B42="","",($AC42-$AD42)+IF(AND($AB42&gt;0,$T42&lt;&gt;"",$U42&gt;=8,$U42&lt;15),$AB42,0))</f>
        <v/>
      </c>
      <c r="M42" s="227">
        <f>IF($B42="","",($AD42-$AE42)+IF(AND($AB42&gt;0,$T42&lt;&gt;"",$U42&gt;=15,$U42&lt;29),$AB42,0))</f>
        <v/>
      </c>
      <c r="N42" s="227">
        <f>IF($B42="","",$AE42+IF(AND($AB42&gt;0,OR($T42="",$U42&gt;=29)),$AB42,0))</f>
        <v/>
      </c>
      <c r="O42" s="234">
        <f>IF($B42="","",IFERROR($I42/$H42,0))</f>
        <v/>
      </c>
      <c r="P42" s="229">
        <f>IF($B42="","",IFERROR(LOOKUP(2,1/(TAHSILAT!$C$7:$C$1506=$B42),TAHSILAT!$E$7:$E$1506),""))</f>
        <v/>
      </c>
      <c r="Q42" s="113">
        <f>IF($B42="","",IF($N42&gt;0,"KRİTİK",IF($M42&gt;0,"YÜKSEK",IF($L42&gt;0,"ORTA",IF($J42&gt;0,"İZLE","TEMİZ")))))</f>
        <v/>
      </c>
      <c r="R42" s="121">
        <f>IF($B42="","",IF($Q42="KRİTİK","Acil tahsilat görüşmesi ve cari mutabakat",IF($Q42="YÜKSEK","Bu hafta tahsilat takibi",IF($Q42="ORTA","Hatırlatma mesajı gönder",IF($Q42="İZLE","Normal takip","Aksiyon gerekmiyor")))))</f>
        <v/>
      </c>
      <c r="S42" s="232">
        <f>IF($B42="","",COUNTIFS(AKTIVITE!$D$7:$D$1006,$B42,AKTIVITE!$J$7:$J$1006,"&lt;&gt;Tamamlandı"))</f>
        <v/>
      </c>
      <c r="T42" s="229">
        <f>IF($B42="","",IF(MUSTERILER!$K42="","",MUSTERILER!$K42))</f>
        <v/>
      </c>
      <c r="U42" s="232">
        <f>IF(OR($B42="",$T42=""),"",TODAY()-$T42)</f>
        <v/>
      </c>
      <c r="V42" s="113">
        <f>IF($B42="","",IF(ABS($J42-($K42+$L42+$M42+$N42))&lt;0.01,"UYGUN","İNCELE"))</f>
        <v/>
      </c>
      <c r="W42" s="6" t="n"/>
      <c r="X42" s="6">
        <f>IF($B42="",0,SUMIFS(UCRETLER!$J$7:$J$406,UCRETLER!$B$7:$B$406,$B42))</f>
        <v/>
      </c>
      <c r="Y42" s="3">
        <f>IF($B42="",0,SUMIFS(UCRETLER!$K$7:$K$406,UCRETLER!$B$7:$B$406,$B42))</f>
        <v/>
      </c>
      <c r="Z42" s="3">
        <f>IF($B42="",0,SUMIFS(UCRETLER!$L$7:$L$406,UCRETLER!$B$7:$B$406,$B42))</f>
        <v/>
      </c>
      <c r="AA42" s="3">
        <f>IF($B42="",0,MAX(0,$I42-$F42))</f>
        <v/>
      </c>
      <c r="AB42" s="3">
        <f>IF($B42="",0,MAX(0,$F42-$I42))</f>
        <v/>
      </c>
      <c r="AC42" s="3">
        <f>IF($B42="",0,MAX(0,$X42-$AA42))</f>
        <v/>
      </c>
      <c r="AD42" s="3">
        <f>IF($B42="",0,MAX(0,$Y42-$AA42))</f>
        <v/>
      </c>
      <c r="AE42" s="3">
        <f>IF($B42="",0,MAX(0,$Z42-$AA42))</f>
        <v/>
      </c>
    </row>
    <row r="43">
      <c r="A43" s="6" t="n"/>
      <c r="B43" s="113">
        <f>IF(MUSTERILER!$C43="","",MUSTERILER!$B43)</f>
        <v/>
      </c>
      <c r="C43" s="121">
        <f>IF(MUSTERILER!$C43="","",MUSTERILER!$C43)</f>
        <v/>
      </c>
      <c r="D43" s="227">
        <f>IF($B43="","",SUMIFS(UCRETLER!$G$7:$G$406,UCRETLER!$B$7:$B$406,$B43,UCRETLER!$F$7:$F$406,"Haftalık",UCRETLER!$H$7:$H$406,"Aktif"))</f>
        <v/>
      </c>
      <c r="E43" s="227">
        <f>IF($B43="","",SUMIFS(UCRETLER!$G$7:$G$406,UCRETLER!$B$7:$B$406,$B43,UCRETLER!$F$7:$F$406,"Aylık",UCRETLER!$H$7:$H$406,"Aktif"))</f>
        <v/>
      </c>
      <c r="F43" s="227">
        <f>IF($B43="","",SUMIFS(MUSTERILER!$J$7:$J$106,MUSTERILER!$B$7:$B$106,$B43))</f>
        <v/>
      </c>
      <c r="G43" s="227">
        <f>IF($B43="","",SUMIFS(UCRETLER!$I$7:$I$406,UCRETLER!$B$7:$B$406,$B43))</f>
        <v/>
      </c>
      <c r="H43" s="227">
        <f>IF($B43="","",$F43+$G43)</f>
        <v/>
      </c>
      <c r="I43" s="227">
        <f>IF($B43="","",SUMIFS(TAHSILAT!$F$7:$F$1506,TAHSILAT!$C$7:$C$1506,$B43))</f>
        <v/>
      </c>
      <c r="J43" s="227">
        <f>IF($B43="","",MAX(0,$H43-$I43))</f>
        <v/>
      </c>
      <c r="K43" s="227">
        <f>IF($B43="","",MAX(0,$J43-$L43-$M43-$N43))</f>
        <v/>
      </c>
      <c r="L43" s="227">
        <f>IF($B43="","",($AC43-$AD43)+IF(AND($AB43&gt;0,$T43&lt;&gt;"",$U43&gt;=8,$U43&lt;15),$AB43,0))</f>
        <v/>
      </c>
      <c r="M43" s="227">
        <f>IF($B43="","",($AD43-$AE43)+IF(AND($AB43&gt;0,$T43&lt;&gt;"",$U43&gt;=15,$U43&lt;29),$AB43,0))</f>
        <v/>
      </c>
      <c r="N43" s="227">
        <f>IF($B43="","",$AE43+IF(AND($AB43&gt;0,OR($T43="",$U43&gt;=29)),$AB43,0))</f>
        <v/>
      </c>
      <c r="O43" s="234">
        <f>IF($B43="","",IFERROR($I43/$H43,0))</f>
        <v/>
      </c>
      <c r="P43" s="229">
        <f>IF($B43="","",IFERROR(LOOKUP(2,1/(TAHSILAT!$C$7:$C$1506=$B43),TAHSILAT!$E$7:$E$1506),""))</f>
        <v/>
      </c>
      <c r="Q43" s="113">
        <f>IF($B43="","",IF($N43&gt;0,"KRİTİK",IF($M43&gt;0,"YÜKSEK",IF($L43&gt;0,"ORTA",IF($J43&gt;0,"İZLE","TEMİZ")))))</f>
        <v/>
      </c>
      <c r="R43" s="121">
        <f>IF($B43="","",IF($Q43="KRİTİK","Acil tahsilat görüşmesi ve cari mutabakat",IF($Q43="YÜKSEK","Bu hafta tahsilat takibi",IF($Q43="ORTA","Hatırlatma mesajı gönder",IF($Q43="İZLE","Normal takip","Aksiyon gerekmiyor")))))</f>
        <v/>
      </c>
      <c r="S43" s="232">
        <f>IF($B43="","",COUNTIFS(AKTIVITE!$D$7:$D$1006,$B43,AKTIVITE!$J$7:$J$1006,"&lt;&gt;Tamamlandı"))</f>
        <v/>
      </c>
      <c r="T43" s="229">
        <f>IF($B43="","",IF(MUSTERILER!$K43="","",MUSTERILER!$K43))</f>
        <v/>
      </c>
      <c r="U43" s="232">
        <f>IF(OR($B43="",$T43=""),"",TODAY()-$T43)</f>
        <v/>
      </c>
      <c r="V43" s="113">
        <f>IF($B43="","",IF(ABS($J43-($K43+$L43+$M43+$N43))&lt;0.01,"UYGUN","İNCELE"))</f>
        <v/>
      </c>
      <c r="W43" s="6" t="n"/>
      <c r="X43" s="6">
        <f>IF($B43="",0,SUMIFS(UCRETLER!$J$7:$J$406,UCRETLER!$B$7:$B$406,$B43))</f>
        <v/>
      </c>
      <c r="Y43" s="3">
        <f>IF($B43="",0,SUMIFS(UCRETLER!$K$7:$K$406,UCRETLER!$B$7:$B$406,$B43))</f>
        <v/>
      </c>
      <c r="Z43" s="3">
        <f>IF($B43="",0,SUMIFS(UCRETLER!$L$7:$L$406,UCRETLER!$B$7:$B$406,$B43))</f>
        <v/>
      </c>
      <c r="AA43" s="3">
        <f>IF($B43="",0,MAX(0,$I43-$F43))</f>
        <v/>
      </c>
      <c r="AB43" s="3">
        <f>IF($B43="",0,MAX(0,$F43-$I43))</f>
        <v/>
      </c>
      <c r="AC43" s="3">
        <f>IF($B43="",0,MAX(0,$X43-$AA43))</f>
        <v/>
      </c>
      <c r="AD43" s="3">
        <f>IF($B43="",0,MAX(0,$Y43-$AA43))</f>
        <v/>
      </c>
      <c r="AE43" s="3">
        <f>IF($B43="",0,MAX(0,$Z43-$AA43))</f>
        <v/>
      </c>
    </row>
    <row r="44">
      <c r="A44" s="6" t="n"/>
      <c r="B44" s="113">
        <f>IF(MUSTERILER!$C44="","",MUSTERILER!$B44)</f>
        <v/>
      </c>
      <c r="C44" s="121">
        <f>IF(MUSTERILER!$C44="","",MUSTERILER!$C44)</f>
        <v/>
      </c>
      <c r="D44" s="227">
        <f>IF($B44="","",SUMIFS(UCRETLER!$G$7:$G$406,UCRETLER!$B$7:$B$406,$B44,UCRETLER!$F$7:$F$406,"Haftalık",UCRETLER!$H$7:$H$406,"Aktif"))</f>
        <v/>
      </c>
      <c r="E44" s="227">
        <f>IF($B44="","",SUMIFS(UCRETLER!$G$7:$G$406,UCRETLER!$B$7:$B$406,$B44,UCRETLER!$F$7:$F$406,"Aylık",UCRETLER!$H$7:$H$406,"Aktif"))</f>
        <v/>
      </c>
      <c r="F44" s="227">
        <f>IF($B44="","",SUMIFS(MUSTERILER!$J$7:$J$106,MUSTERILER!$B$7:$B$106,$B44))</f>
        <v/>
      </c>
      <c r="G44" s="227">
        <f>IF($B44="","",SUMIFS(UCRETLER!$I$7:$I$406,UCRETLER!$B$7:$B$406,$B44))</f>
        <v/>
      </c>
      <c r="H44" s="227">
        <f>IF($B44="","",$F44+$G44)</f>
        <v/>
      </c>
      <c r="I44" s="227">
        <f>IF($B44="","",SUMIFS(TAHSILAT!$F$7:$F$1506,TAHSILAT!$C$7:$C$1506,$B44))</f>
        <v/>
      </c>
      <c r="J44" s="227">
        <f>IF($B44="","",MAX(0,$H44-$I44))</f>
        <v/>
      </c>
      <c r="K44" s="227">
        <f>IF($B44="","",MAX(0,$J44-$L44-$M44-$N44))</f>
        <v/>
      </c>
      <c r="L44" s="227">
        <f>IF($B44="","",($AC44-$AD44)+IF(AND($AB44&gt;0,$T44&lt;&gt;"",$U44&gt;=8,$U44&lt;15),$AB44,0))</f>
        <v/>
      </c>
      <c r="M44" s="227">
        <f>IF($B44="","",($AD44-$AE44)+IF(AND($AB44&gt;0,$T44&lt;&gt;"",$U44&gt;=15,$U44&lt;29),$AB44,0))</f>
        <v/>
      </c>
      <c r="N44" s="227">
        <f>IF($B44="","",$AE44+IF(AND($AB44&gt;0,OR($T44="",$U44&gt;=29)),$AB44,0))</f>
        <v/>
      </c>
      <c r="O44" s="234">
        <f>IF($B44="","",IFERROR($I44/$H44,0))</f>
        <v/>
      </c>
      <c r="P44" s="229">
        <f>IF($B44="","",IFERROR(LOOKUP(2,1/(TAHSILAT!$C$7:$C$1506=$B44),TAHSILAT!$E$7:$E$1506),""))</f>
        <v/>
      </c>
      <c r="Q44" s="113">
        <f>IF($B44="","",IF($N44&gt;0,"KRİTİK",IF($M44&gt;0,"YÜKSEK",IF($L44&gt;0,"ORTA",IF($J44&gt;0,"İZLE","TEMİZ")))))</f>
        <v/>
      </c>
      <c r="R44" s="121">
        <f>IF($B44="","",IF($Q44="KRİTİK","Acil tahsilat görüşmesi ve cari mutabakat",IF($Q44="YÜKSEK","Bu hafta tahsilat takibi",IF($Q44="ORTA","Hatırlatma mesajı gönder",IF($Q44="İZLE","Normal takip","Aksiyon gerekmiyor")))))</f>
        <v/>
      </c>
      <c r="S44" s="232">
        <f>IF($B44="","",COUNTIFS(AKTIVITE!$D$7:$D$1006,$B44,AKTIVITE!$J$7:$J$1006,"&lt;&gt;Tamamlandı"))</f>
        <v/>
      </c>
      <c r="T44" s="229">
        <f>IF($B44="","",IF(MUSTERILER!$K44="","",MUSTERILER!$K44))</f>
        <v/>
      </c>
      <c r="U44" s="232">
        <f>IF(OR($B44="",$T44=""),"",TODAY()-$T44)</f>
        <v/>
      </c>
      <c r="V44" s="113">
        <f>IF($B44="","",IF(ABS($J44-($K44+$L44+$M44+$N44))&lt;0.01,"UYGUN","İNCELE"))</f>
        <v/>
      </c>
      <c r="W44" s="6" t="n"/>
      <c r="X44" s="6">
        <f>IF($B44="",0,SUMIFS(UCRETLER!$J$7:$J$406,UCRETLER!$B$7:$B$406,$B44))</f>
        <v/>
      </c>
      <c r="Y44" s="3">
        <f>IF($B44="",0,SUMIFS(UCRETLER!$K$7:$K$406,UCRETLER!$B$7:$B$406,$B44))</f>
        <v/>
      </c>
      <c r="Z44" s="3">
        <f>IF($B44="",0,SUMIFS(UCRETLER!$L$7:$L$406,UCRETLER!$B$7:$B$406,$B44))</f>
        <v/>
      </c>
      <c r="AA44" s="3">
        <f>IF($B44="",0,MAX(0,$I44-$F44))</f>
        <v/>
      </c>
      <c r="AB44" s="3">
        <f>IF($B44="",0,MAX(0,$F44-$I44))</f>
        <v/>
      </c>
      <c r="AC44" s="3">
        <f>IF($B44="",0,MAX(0,$X44-$AA44))</f>
        <v/>
      </c>
      <c r="AD44" s="3">
        <f>IF($B44="",0,MAX(0,$Y44-$AA44))</f>
        <v/>
      </c>
      <c r="AE44" s="3">
        <f>IF($B44="",0,MAX(0,$Z44-$AA44))</f>
        <v/>
      </c>
    </row>
    <row r="45">
      <c r="A45" s="6" t="n"/>
      <c r="B45" s="113">
        <f>IF(MUSTERILER!$C45="","",MUSTERILER!$B45)</f>
        <v/>
      </c>
      <c r="C45" s="121">
        <f>IF(MUSTERILER!$C45="","",MUSTERILER!$C45)</f>
        <v/>
      </c>
      <c r="D45" s="227">
        <f>IF($B45="","",SUMIFS(UCRETLER!$G$7:$G$406,UCRETLER!$B$7:$B$406,$B45,UCRETLER!$F$7:$F$406,"Haftalık",UCRETLER!$H$7:$H$406,"Aktif"))</f>
        <v/>
      </c>
      <c r="E45" s="227">
        <f>IF($B45="","",SUMIFS(UCRETLER!$G$7:$G$406,UCRETLER!$B$7:$B$406,$B45,UCRETLER!$F$7:$F$406,"Aylık",UCRETLER!$H$7:$H$406,"Aktif"))</f>
        <v/>
      </c>
      <c r="F45" s="227">
        <f>IF($B45="","",SUMIFS(MUSTERILER!$J$7:$J$106,MUSTERILER!$B$7:$B$106,$B45))</f>
        <v/>
      </c>
      <c r="G45" s="227">
        <f>IF($B45="","",SUMIFS(UCRETLER!$I$7:$I$406,UCRETLER!$B$7:$B$406,$B45))</f>
        <v/>
      </c>
      <c r="H45" s="227">
        <f>IF($B45="","",$F45+$G45)</f>
        <v/>
      </c>
      <c r="I45" s="227">
        <f>IF($B45="","",SUMIFS(TAHSILAT!$F$7:$F$1506,TAHSILAT!$C$7:$C$1506,$B45))</f>
        <v/>
      </c>
      <c r="J45" s="227">
        <f>IF($B45="","",MAX(0,$H45-$I45))</f>
        <v/>
      </c>
      <c r="K45" s="227">
        <f>IF($B45="","",MAX(0,$J45-$L45-$M45-$N45))</f>
        <v/>
      </c>
      <c r="L45" s="227">
        <f>IF($B45="","",($AC45-$AD45)+IF(AND($AB45&gt;0,$T45&lt;&gt;"",$U45&gt;=8,$U45&lt;15),$AB45,0))</f>
        <v/>
      </c>
      <c r="M45" s="227">
        <f>IF($B45="","",($AD45-$AE45)+IF(AND($AB45&gt;0,$T45&lt;&gt;"",$U45&gt;=15,$U45&lt;29),$AB45,0))</f>
        <v/>
      </c>
      <c r="N45" s="227">
        <f>IF($B45="","",$AE45+IF(AND($AB45&gt;0,OR($T45="",$U45&gt;=29)),$AB45,0))</f>
        <v/>
      </c>
      <c r="O45" s="234">
        <f>IF($B45="","",IFERROR($I45/$H45,0))</f>
        <v/>
      </c>
      <c r="P45" s="229">
        <f>IF($B45="","",IFERROR(LOOKUP(2,1/(TAHSILAT!$C$7:$C$1506=$B45),TAHSILAT!$E$7:$E$1506),""))</f>
        <v/>
      </c>
      <c r="Q45" s="113">
        <f>IF($B45="","",IF($N45&gt;0,"KRİTİK",IF($M45&gt;0,"YÜKSEK",IF($L45&gt;0,"ORTA",IF($J45&gt;0,"İZLE","TEMİZ")))))</f>
        <v/>
      </c>
      <c r="R45" s="121">
        <f>IF($B45="","",IF($Q45="KRİTİK","Acil tahsilat görüşmesi ve cari mutabakat",IF($Q45="YÜKSEK","Bu hafta tahsilat takibi",IF($Q45="ORTA","Hatırlatma mesajı gönder",IF($Q45="İZLE","Normal takip","Aksiyon gerekmiyor")))))</f>
        <v/>
      </c>
      <c r="S45" s="232">
        <f>IF($B45="","",COUNTIFS(AKTIVITE!$D$7:$D$1006,$B45,AKTIVITE!$J$7:$J$1006,"&lt;&gt;Tamamlandı"))</f>
        <v/>
      </c>
      <c r="T45" s="229">
        <f>IF($B45="","",IF(MUSTERILER!$K45="","",MUSTERILER!$K45))</f>
        <v/>
      </c>
      <c r="U45" s="232">
        <f>IF(OR($B45="",$T45=""),"",TODAY()-$T45)</f>
        <v/>
      </c>
      <c r="V45" s="113">
        <f>IF($B45="","",IF(ABS($J45-($K45+$L45+$M45+$N45))&lt;0.01,"UYGUN","İNCELE"))</f>
        <v/>
      </c>
      <c r="W45" s="6" t="n"/>
      <c r="X45" s="6">
        <f>IF($B45="",0,SUMIFS(UCRETLER!$J$7:$J$406,UCRETLER!$B$7:$B$406,$B45))</f>
        <v/>
      </c>
      <c r="Y45" s="3">
        <f>IF($B45="",0,SUMIFS(UCRETLER!$K$7:$K$406,UCRETLER!$B$7:$B$406,$B45))</f>
        <v/>
      </c>
      <c r="Z45" s="3">
        <f>IF($B45="",0,SUMIFS(UCRETLER!$L$7:$L$406,UCRETLER!$B$7:$B$406,$B45))</f>
        <v/>
      </c>
      <c r="AA45" s="3">
        <f>IF($B45="",0,MAX(0,$I45-$F45))</f>
        <v/>
      </c>
      <c r="AB45" s="3">
        <f>IF($B45="",0,MAX(0,$F45-$I45))</f>
        <v/>
      </c>
      <c r="AC45" s="3">
        <f>IF($B45="",0,MAX(0,$X45-$AA45))</f>
        <v/>
      </c>
      <c r="AD45" s="3">
        <f>IF($B45="",0,MAX(0,$Y45-$AA45))</f>
        <v/>
      </c>
      <c r="AE45" s="3">
        <f>IF($B45="",0,MAX(0,$Z45-$AA45))</f>
        <v/>
      </c>
    </row>
    <row r="46">
      <c r="A46" s="6" t="n"/>
      <c r="B46" s="113">
        <f>IF(MUSTERILER!$C46="","",MUSTERILER!$B46)</f>
        <v/>
      </c>
      <c r="C46" s="121">
        <f>IF(MUSTERILER!$C46="","",MUSTERILER!$C46)</f>
        <v/>
      </c>
      <c r="D46" s="227">
        <f>IF($B46="","",SUMIFS(UCRETLER!$G$7:$G$406,UCRETLER!$B$7:$B$406,$B46,UCRETLER!$F$7:$F$406,"Haftalık",UCRETLER!$H$7:$H$406,"Aktif"))</f>
        <v/>
      </c>
      <c r="E46" s="227">
        <f>IF($B46="","",SUMIFS(UCRETLER!$G$7:$G$406,UCRETLER!$B$7:$B$406,$B46,UCRETLER!$F$7:$F$406,"Aylık",UCRETLER!$H$7:$H$406,"Aktif"))</f>
        <v/>
      </c>
      <c r="F46" s="227">
        <f>IF($B46="","",SUMIFS(MUSTERILER!$J$7:$J$106,MUSTERILER!$B$7:$B$106,$B46))</f>
        <v/>
      </c>
      <c r="G46" s="227">
        <f>IF($B46="","",SUMIFS(UCRETLER!$I$7:$I$406,UCRETLER!$B$7:$B$406,$B46))</f>
        <v/>
      </c>
      <c r="H46" s="227">
        <f>IF($B46="","",$F46+$G46)</f>
        <v/>
      </c>
      <c r="I46" s="227">
        <f>IF($B46="","",SUMIFS(TAHSILAT!$F$7:$F$1506,TAHSILAT!$C$7:$C$1506,$B46))</f>
        <v/>
      </c>
      <c r="J46" s="227">
        <f>IF($B46="","",MAX(0,$H46-$I46))</f>
        <v/>
      </c>
      <c r="K46" s="227">
        <f>IF($B46="","",MAX(0,$J46-$L46-$M46-$N46))</f>
        <v/>
      </c>
      <c r="L46" s="227">
        <f>IF($B46="","",($AC46-$AD46)+IF(AND($AB46&gt;0,$T46&lt;&gt;"",$U46&gt;=8,$U46&lt;15),$AB46,0))</f>
        <v/>
      </c>
      <c r="M46" s="227">
        <f>IF($B46="","",($AD46-$AE46)+IF(AND($AB46&gt;0,$T46&lt;&gt;"",$U46&gt;=15,$U46&lt;29),$AB46,0))</f>
        <v/>
      </c>
      <c r="N46" s="227">
        <f>IF($B46="","",$AE46+IF(AND($AB46&gt;0,OR($T46="",$U46&gt;=29)),$AB46,0))</f>
        <v/>
      </c>
      <c r="O46" s="234">
        <f>IF($B46="","",IFERROR($I46/$H46,0))</f>
        <v/>
      </c>
      <c r="P46" s="229">
        <f>IF($B46="","",IFERROR(LOOKUP(2,1/(TAHSILAT!$C$7:$C$1506=$B46),TAHSILAT!$E$7:$E$1506),""))</f>
        <v/>
      </c>
      <c r="Q46" s="113">
        <f>IF($B46="","",IF($N46&gt;0,"KRİTİK",IF($M46&gt;0,"YÜKSEK",IF($L46&gt;0,"ORTA",IF($J46&gt;0,"İZLE","TEMİZ")))))</f>
        <v/>
      </c>
      <c r="R46" s="121">
        <f>IF($B46="","",IF($Q46="KRİTİK","Acil tahsilat görüşmesi ve cari mutabakat",IF($Q46="YÜKSEK","Bu hafta tahsilat takibi",IF($Q46="ORTA","Hatırlatma mesajı gönder",IF($Q46="İZLE","Normal takip","Aksiyon gerekmiyor")))))</f>
        <v/>
      </c>
      <c r="S46" s="232">
        <f>IF($B46="","",COUNTIFS(AKTIVITE!$D$7:$D$1006,$B46,AKTIVITE!$J$7:$J$1006,"&lt;&gt;Tamamlandı"))</f>
        <v/>
      </c>
      <c r="T46" s="229">
        <f>IF($B46="","",IF(MUSTERILER!$K46="","",MUSTERILER!$K46))</f>
        <v/>
      </c>
      <c r="U46" s="232">
        <f>IF(OR($B46="",$T46=""),"",TODAY()-$T46)</f>
        <v/>
      </c>
      <c r="V46" s="113">
        <f>IF($B46="","",IF(ABS($J46-($K46+$L46+$M46+$N46))&lt;0.01,"UYGUN","İNCELE"))</f>
        <v/>
      </c>
      <c r="W46" s="6" t="n"/>
      <c r="X46" s="6">
        <f>IF($B46="",0,SUMIFS(UCRETLER!$J$7:$J$406,UCRETLER!$B$7:$B$406,$B46))</f>
        <v/>
      </c>
      <c r="Y46" s="3">
        <f>IF($B46="",0,SUMIFS(UCRETLER!$K$7:$K$406,UCRETLER!$B$7:$B$406,$B46))</f>
        <v/>
      </c>
      <c r="Z46" s="3">
        <f>IF($B46="",0,SUMIFS(UCRETLER!$L$7:$L$406,UCRETLER!$B$7:$B$406,$B46))</f>
        <v/>
      </c>
      <c r="AA46" s="3">
        <f>IF($B46="",0,MAX(0,$I46-$F46))</f>
        <v/>
      </c>
      <c r="AB46" s="3">
        <f>IF($B46="",0,MAX(0,$F46-$I46))</f>
        <v/>
      </c>
      <c r="AC46" s="3">
        <f>IF($B46="",0,MAX(0,$X46-$AA46))</f>
        <v/>
      </c>
      <c r="AD46" s="3">
        <f>IF($B46="",0,MAX(0,$Y46-$AA46))</f>
        <v/>
      </c>
      <c r="AE46" s="3">
        <f>IF($B46="",0,MAX(0,$Z46-$AA46))</f>
        <v/>
      </c>
    </row>
    <row r="47">
      <c r="A47" s="6" t="n"/>
      <c r="B47" s="113">
        <f>IF(MUSTERILER!$C47="","",MUSTERILER!$B47)</f>
        <v/>
      </c>
      <c r="C47" s="121">
        <f>IF(MUSTERILER!$C47="","",MUSTERILER!$C47)</f>
        <v/>
      </c>
      <c r="D47" s="227">
        <f>IF($B47="","",SUMIFS(UCRETLER!$G$7:$G$406,UCRETLER!$B$7:$B$406,$B47,UCRETLER!$F$7:$F$406,"Haftalık",UCRETLER!$H$7:$H$406,"Aktif"))</f>
        <v/>
      </c>
      <c r="E47" s="227">
        <f>IF($B47="","",SUMIFS(UCRETLER!$G$7:$G$406,UCRETLER!$B$7:$B$406,$B47,UCRETLER!$F$7:$F$406,"Aylık",UCRETLER!$H$7:$H$406,"Aktif"))</f>
        <v/>
      </c>
      <c r="F47" s="227">
        <f>IF($B47="","",SUMIFS(MUSTERILER!$J$7:$J$106,MUSTERILER!$B$7:$B$106,$B47))</f>
        <v/>
      </c>
      <c r="G47" s="227">
        <f>IF($B47="","",SUMIFS(UCRETLER!$I$7:$I$406,UCRETLER!$B$7:$B$406,$B47))</f>
        <v/>
      </c>
      <c r="H47" s="227">
        <f>IF($B47="","",$F47+$G47)</f>
        <v/>
      </c>
      <c r="I47" s="227">
        <f>IF($B47="","",SUMIFS(TAHSILAT!$F$7:$F$1506,TAHSILAT!$C$7:$C$1506,$B47))</f>
        <v/>
      </c>
      <c r="J47" s="227">
        <f>IF($B47="","",MAX(0,$H47-$I47))</f>
        <v/>
      </c>
      <c r="K47" s="227">
        <f>IF($B47="","",MAX(0,$J47-$L47-$M47-$N47))</f>
        <v/>
      </c>
      <c r="L47" s="227">
        <f>IF($B47="","",($AC47-$AD47)+IF(AND($AB47&gt;0,$T47&lt;&gt;"",$U47&gt;=8,$U47&lt;15),$AB47,0))</f>
        <v/>
      </c>
      <c r="M47" s="227">
        <f>IF($B47="","",($AD47-$AE47)+IF(AND($AB47&gt;0,$T47&lt;&gt;"",$U47&gt;=15,$U47&lt;29),$AB47,0))</f>
        <v/>
      </c>
      <c r="N47" s="227">
        <f>IF($B47="","",$AE47+IF(AND($AB47&gt;0,OR($T47="",$U47&gt;=29)),$AB47,0))</f>
        <v/>
      </c>
      <c r="O47" s="234">
        <f>IF($B47="","",IFERROR($I47/$H47,0))</f>
        <v/>
      </c>
      <c r="P47" s="229">
        <f>IF($B47="","",IFERROR(LOOKUP(2,1/(TAHSILAT!$C$7:$C$1506=$B47),TAHSILAT!$E$7:$E$1506),""))</f>
        <v/>
      </c>
      <c r="Q47" s="113">
        <f>IF($B47="","",IF($N47&gt;0,"KRİTİK",IF($M47&gt;0,"YÜKSEK",IF($L47&gt;0,"ORTA",IF($J47&gt;0,"İZLE","TEMİZ")))))</f>
        <v/>
      </c>
      <c r="R47" s="121">
        <f>IF($B47="","",IF($Q47="KRİTİK","Acil tahsilat görüşmesi ve cari mutabakat",IF($Q47="YÜKSEK","Bu hafta tahsilat takibi",IF($Q47="ORTA","Hatırlatma mesajı gönder",IF($Q47="İZLE","Normal takip","Aksiyon gerekmiyor")))))</f>
        <v/>
      </c>
      <c r="S47" s="232">
        <f>IF($B47="","",COUNTIFS(AKTIVITE!$D$7:$D$1006,$B47,AKTIVITE!$J$7:$J$1006,"&lt;&gt;Tamamlandı"))</f>
        <v/>
      </c>
      <c r="T47" s="229">
        <f>IF($B47="","",IF(MUSTERILER!$K47="","",MUSTERILER!$K47))</f>
        <v/>
      </c>
      <c r="U47" s="232">
        <f>IF(OR($B47="",$T47=""),"",TODAY()-$T47)</f>
        <v/>
      </c>
      <c r="V47" s="113">
        <f>IF($B47="","",IF(ABS($J47-($K47+$L47+$M47+$N47))&lt;0.01,"UYGUN","İNCELE"))</f>
        <v/>
      </c>
      <c r="W47" s="6" t="n"/>
      <c r="X47" s="6">
        <f>IF($B47="",0,SUMIFS(UCRETLER!$J$7:$J$406,UCRETLER!$B$7:$B$406,$B47))</f>
        <v/>
      </c>
      <c r="Y47" s="3">
        <f>IF($B47="",0,SUMIFS(UCRETLER!$K$7:$K$406,UCRETLER!$B$7:$B$406,$B47))</f>
        <v/>
      </c>
      <c r="Z47" s="3">
        <f>IF($B47="",0,SUMIFS(UCRETLER!$L$7:$L$406,UCRETLER!$B$7:$B$406,$B47))</f>
        <v/>
      </c>
      <c r="AA47" s="3">
        <f>IF($B47="",0,MAX(0,$I47-$F47))</f>
        <v/>
      </c>
      <c r="AB47" s="3">
        <f>IF($B47="",0,MAX(0,$F47-$I47))</f>
        <v/>
      </c>
      <c r="AC47" s="3">
        <f>IF($B47="",0,MAX(0,$X47-$AA47))</f>
        <v/>
      </c>
      <c r="AD47" s="3">
        <f>IF($B47="",0,MAX(0,$Y47-$AA47))</f>
        <v/>
      </c>
      <c r="AE47" s="3">
        <f>IF($B47="",0,MAX(0,$Z47-$AA47))</f>
        <v/>
      </c>
    </row>
    <row r="48">
      <c r="A48" s="6" t="n"/>
      <c r="B48" s="113">
        <f>IF(MUSTERILER!$C48="","",MUSTERILER!$B48)</f>
        <v/>
      </c>
      <c r="C48" s="121">
        <f>IF(MUSTERILER!$C48="","",MUSTERILER!$C48)</f>
        <v/>
      </c>
      <c r="D48" s="227">
        <f>IF($B48="","",SUMIFS(UCRETLER!$G$7:$G$406,UCRETLER!$B$7:$B$406,$B48,UCRETLER!$F$7:$F$406,"Haftalık",UCRETLER!$H$7:$H$406,"Aktif"))</f>
        <v/>
      </c>
      <c r="E48" s="227">
        <f>IF($B48="","",SUMIFS(UCRETLER!$G$7:$G$406,UCRETLER!$B$7:$B$406,$B48,UCRETLER!$F$7:$F$406,"Aylık",UCRETLER!$H$7:$H$406,"Aktif"))</f>
        <v/>
      </c>
      <c r="F48" s="227">
        <f>IF($B48="","",SUMIFS(MUSTERILER!$J$7:$J$106,MUSTERILER!$B$7:$B$106,$B48))</f>
        <v/>
      </c>
      <c r="G48" s="227">
        <f>IF($B48="","",SUMIFS(UCRETLER!$I$7:$I$406,UCRETLER!$B$7:$B$406,$B48))</f>
        <v/>
      </c>
      <c r="H48" s="227">
        <f>IF($B48="","",$F48+$G48)</f>
        <v/>
      </c>
      <c r="I48" s="227">
        <f>IF($B48="","",SUMIFS(TAHSILAT!$F$7:$F$1506,TAHSILAT!$C$7:$C$1506,$B48))</f>
        <v/>
      </c>
      <c r="J48" s="227">
        <f>IF($B48="","",MAX(0,$H48-$I48))</f>
        <v/>
      </c>
      <c r="K48" s="227">
        <f>IF($B48="","",MAX(0,$J48-$L48-$M48-$N48))</f>
        <v/>
      </c>
      <c r="L48" s="227">
        <f>IF($B48="","",($AC48-$AD48)+IF(AND($AB48&gt;0,$T48&lt;&gt;"",$U48&gt;=8,$U48&lt;15),$AB48,0))</f>
        <v/>
      </c>
      <c r="M48" s="227">
        <f>IF($B48="","",($AD48-$AE48)+IF(AND($AB48&gt;0,$T48&lt;&gt;"",$U48&gt;=15,$U48&lt;29),$AB48,0))</f>
        <v/>
      </c>
      <c r="N48" s="227">
        <f>IF($B48="","",$AE48+IF(AND($AB48&gt;0,OR($T48="",$U48&gt;=29)),$AB48,0))</f>
        <v/>
      </c>
      <c r="O48" s="234">
        <f>IF($B48="","",IFERROR($I48/$H48,0))</f>
        <v/>
      </c>
      <c r="P48" s="229">
        <f>IF($B48="","",IFERROR(LOOKUP(2,1/(TAHSILAT!$C$7:$C$1506=$B48),TAHSILAT!$E$7:$E$1506),""))</f>
        <v/>
      </c>
      <c r="Q48" s="113">
        <f>IF($B48="","",IF($N48&gt;0,"KRİTİK",IF($M48&gt;0,"YÜKSEK",IF($L48&gt;0,"ORTA",IF($J48&gt;0,"İZLE","TEMİZ")))))</f>
        <v/>
      </c>
      <c r="R48" s="121">
        <f>IF($B48="","",IF($Q48="KRİTİK","Acil tahsilat görüşmesi ve cari mutabakat",IF($Q48="YÜKSEK","Bu hafta tahsilat takibi",IF($Q48="ORTA","Hatırlatma mesajı gönder",IF($Q48="İZLE","Normal takip","Aksiyon gerekmiyor")))))</f>
        <v/>
      </c>
      <c r="S48" s="232">
        <f>IF($B48="","",COUNTIFS(AKTIVITE!$D$7:$D$1006,$B48,AKTIVITE!$J$7:$J$1006,"&lt;&gt;Tamamlandı"))</f>
        <v/>
      </c>
      <c r="T48" s="229">
        <f>IF($B48="","",IF(MUSTERILER!$K48="","",MUSTERILER!$K48))</f>
        <v/>
      </c>
      <c r="U48" s="232">
        <f>IF(OR($B48="",$T48=""),"",TODAY()-$T48)</f>
        <v/>
      </c>
      <c r="V48" s="113">
        <f>IF($B48="","",IF(ABS($J48-($K48+$L48+$M48+$N48))&lt;0.01,"UYGUN","İNCELE"))</f>
        <v/>
      </c>
      <c r="W48" s="6" t="n"/>
      <c r="X48" s="6">
        <f>IF($B48="",0,SUMIFS(UCRETLER!$J$7:$J$406,UCRETLER!$B$7:$B$406,$B48))</f>
        <v/>
      </c>
      <c r="Y48" s="3">
        <f>IF($B48="",0,SUMIFS(UCRETLER!$K$7:$K$406,UCRETLER!$B$7:$B$406,$B48))</f>
        <v/>
      </c>
      <c r="Z48" s="3">
        <f>IF($B48="",0,SUMIFS(UCRETLER!$L$7:$L$406,UCRETLER!$B$7:$B$406,$B48))</f>
        <v/>
      </c>
      <c r="AA48" s="3">
        <f>IF($B48="",0,MAX(0,$I48-$F48))</f>
        <v/>
      </c>
      <c r="AB48" s="3">
        <f>IF($B48="",0,MAX(0,$F48-$I48))</f>
        <v/>
      </c>
      <c r="AC48" s="3">
        <f>IF($B48="",0,MAX(0,$X48-$AA48))</f>
        <v/>
      </c>
      <c r="AD48" s="3">
        <f>IF($B48="",0,MAX(0,$Y48-$AA48))</f>
        <v/>
      </c>
      <c r="AE48" s="3">
        <f>IF($B48="",0,MAX(0,$Z48-$AA48))</f>
        <v/>
      </c>
    </row>
    <row r="49">
      <c r="A49" s="6" t="n"/>
      <c r="B49" s="113">
        <f>IF(MUSTERILER!$C49="","",MUSTERILER!$B49)</f>
        <v/>
      </c>
      <c r="C49" s="121">
        <f>IF(MUSTERILER!$C49="","",MUSTERILER!$C49)</f>
        <v/>
      </c>
      <c r="D49" s="227">
        <f>IF($B49="","",SUMIFS(UCRETLER!$G$7:$G$406,UCRETLER!$B$7:$B$406,$B49,UCRETLER!$F$7:$F$406,"Haftalık",UCRETLER!$H$7:$H$406,"Aktif"))</f>
        <v/>
      </c>
      <c r="E49" s="227">
        <f>IF($B49="","",SUMIFS(UCRETLER!$G$7:$G$406,UCRETLER!$B$7:$B$406,$B49,UCRETLER!$F$7:$F$406,"Aylık",UCRETLER!$H$7:$H$406,"Aktif"))</f>
        <v/>
      </c>
      <c r="F49" s="227">
        <f>IF($B49="","",SUMIFS(MUSTERILER!$J$7:$J$106,MUSTERILER!$B$7:$B$106,$B49))</f>
        <v/>
      </c>
      <c r="G49" s="227">
        <f>IF($B49="","",SUMIFS(UCRETLER!$I$7:$I$406,UCRETLER!$B$7:$B$406,$B49))</f>
        <v/>
      </c>
      <c r="H49" s="227">
        <f>IF($B49="","",$F49+$G49)</f>
        <v/>
      </c>
      <c r="I49" s="227">
        <f>IF($B49="","",SUMIFS(TAHSILAT!$F$7:$F$1506,TAHSILAT!$C$7:$C$1506,$B49))</f>
        <v/>
      </c>
      <c r="J49" s="227">
        <f>IF($B49="","",MAX(0,$H49-$I49))</f>
        <v/>
      </c>
      <c r="K49" s="227">
        <f>IF($B49="","",MAX(0,$J49-$L49-$M49-$N49))</f>
        <v/>
      </c>
      <c r="L49" s="227">
        <f>IF($B49="","",($AC49-$AD49)+IF(AND($AB49&gt;0,$T49&lt;&gt;"",$U49&gt;=8,$U49&lt;15),$AB49,0))</f>
        <v/>
      </c>
      <c r="M49" s="227">
        <f>IF($B49="","",($AD49-$AE49)+IF(AND($AB49&gt;0,$T49&lt;&gt;"",$U49&gt;=15,$U49&lt;29),$AB49,0))</f>
        <v/>
      </c>
      <c r="N49" s="227">
        <f>IF($B49="","",$AE49+IF(AND($AB49&gt;0,OR($T49="",$U49&gt;=29)),$AB49,0))</f>
        <v/>
      </c>
      <c r="O49" s="234">
        <f>IF($B49="","",IFERROR($I49/$H49,0))</f>
        <v/>
      </c>
      <c r="P49" s="229">
        <f>IF($B49="","",IFERROR(LOOKUP(2,1/(TAHSILAT!$C$7:$C$1506=$B49),TAHSILAT!$E$7:$E$1506),""))</f>
        <v/>
      </c>
      <c r="Q49" s="113">
        <f>IF($B49="","",IF($N49&gt;0,"KRİTİK",IF($M49&gt;0,"YÜKSEK",IF($L49&gt;0,"ORTA",IF($J49&gt;0,"İZLE","TEMİZ")))))</f>
        <v/>
      </c>
      <c r="R49" s="121">
        <f>IF($B49="","",IF($Q49="KRİTİK","Acil tahsilat görüşmesi ve cari mutabakat",IF($Q49="YÜKSEK","Bu hafta tahsilat takibi",IF($Q49="ORTA","Hatırlatma mesajı gönder",IF($Q49="İZLE","Normal takip","Aksiyon gerekmiyor")))))</f>
        <v/>
      </c>
      <c r="S49" s="232">
        <f>IF($B49="","",COUNTIFS(AKTIVITE!$D$7:$D$1006,$B49,AKTIVITE!$J$7:$J$1006,"&lt;&gt;Tamamlandı"))</f>
        <v/>
      </c>
      <c r="T49" s="229">
        <f>IF($B49="","",IF(MUSTERILER!$K49="","",MUSTERILER!$K49))</f>
        <v/>
      </c>
      <c r="U49" s="232">
        <f>IF(OR($B49="",$T49=""),"",TODAY()-$T49)</f>
        <v/>
      </c>
      <c r="V49" s="113">
        <f>IF($B49="","",IF(ABS($J49-($K49+$L49+$M49+$N49))&lt;0.01,"UYGUN","İNCELE"))</f>
        <v/>
      </c>
      <c r="W49" s="6" t="n"/>
      <c r="X49" s="6">
        <f>IF($B49="",0,SUMIFS(UCRETLER!$J$7:$J$406,UCRETLER!$B$7:$B$406,$B49))</f>
        <v/>
      </c>
      <c r="Y49" s="3">
        <f>IF($B49="",0,SUMIFS(UCRETLER!$K$7:$K$406,UCRETLER!$B$7:$B$406,$B49))</f>
        <v/>
      </c>
      <c r="Z49" s="3">
        <f>IF($B49="",0,SUMIFS(UCRETLER!$L$7:$L$406,UCRETLER!$B$7:$B$406,$B49))</f>
        <v/>
      </c>
      <c r="AA49" s="3">
        <f>IF($B49="",0,MAX(0,$I49-$F49))</f>
        <v/>
      </c>
      <c r="AB49" s="3">
        <f>IF($B49="",0,MAX(0,$F49-$I49))</f>
        <v/>
      </c>
      <c r="AC49" s="3">
        <f>IF($B49="",0,MAX(0,$X49-$AA49))</f>
        <v/>
      </c>
      <c r="AD49" s="3">
        <f>IF($B49="",0,MAX(0,$Y49-$AA49))</f>
        <v/>
      </c>
      <c r="AE49" s="3">
        <f>IF($B49="",0,MAX(0,$Z49-$AA49))</f>
        <v/>
      </c>
    </row>
    <row r="50">
      <c r="A50" s="6" t="n"/>
      <c r="B50" s="113">
        <f>IF(MUSTERILER!$C50="","",MUSTERILER!$B50)</f>
        <v/>
      </c>
      <c r="C50" s="121">
        <f>IF(MUSTERILER!$C50="","",MUSTERILER!$C50)</f>
        <v/>
      </c>
      <c r="D50" s="227">
        <f>IF($B50="","",SUMIFS(UCRETLER!$G$7:$G$406,UCRETLER!$B$7:$B$406,$B50,UCRETLER!$F$7:$F$406,"Haftalık",UCRETLER!$H$7:$H$406,"Aktif"))</f>
        <v/>
      </c>
      <c r="E50" s="227">
        <f>IF($B50="","",SUMIFS(UCRETLER!$G$7:$G$406,UCRETLER!$B$7:$B$406,$B50,UCRETLER!$F$7:$F$406,"Aylık",UCRETLER!$H$7:$H$406,"Aktif"))</f>
        <v/>
      </c>
      <c r="F50" s="227">
        <f>IF($B50="","",SUMIFS(MUSTERILER!$J$7:$J$106,MUSTERILER!$B$7:$B$106,$B50))</f>
        <v/>
      </c>
      <c r="G50" s="227">
        <f>IF($B50="","",SUMIFS(UCRETLER!$I$7:$I$406,UCRETLER!$B$7:$B$406,$B50))</f>
        <v/>
      </c>
      <c r="H50" s="227">
        <f>IF($B50="","",$F50+$G50)</f>
        <v/>
      </c>
      <c r="I50" s="227">
        <f>IF($B50="","",SUMIFS(TAHSILAT!$F$7:$F$1506,TAHSILAT!$C$7:$C$1506,$B50))</f>
        <v/>
      </c>
      <c r="J50" s="227">
        <f>IF($B50="","",MAX(0,$H50-$I50))</f>
        <v/>
      </c>
      <c r="K50" s="227">
        <f>IF($B50="","",MAX(0,$J50-$L50-$M50-$N50))</f>
        <v/>
      </c>
      <c r="L50" s="227">
        <f>IF($B50="","",($AC50-$AD50)+IF(AND($AB50&gt;0,$T50&lt;&gt;"",$U50&gt;=8,$U50&lt;15),$AB50,0))</f>
        <v/>
      </c>
      <c r="M50" s="227">
        <f>IF($B50="","",($AD50-$AE50)+IF(AND($AB50&gt;0,$T50&lt;&gt;"",$U50&gt;=15,$U50&lt;29),$AB50,0))</f>
        <v/>
      </c>
      <c r="N50" s="227">
        <f>IF($B50="","",$AE50+IF(AND($AB50&gt;0,OR($T50="",$U50&gt;=29)),$AB50,0))</f>
        <v/>
      </c>
      <c r="O50" s="234">
        <f>IF($B50="","",IFERROR($I50/$H50,0))</f>
        <v/>
      </c>
      <c r="P50" s="229">
        <f>IF($B50="","",IFERROR(LOOKUP(2,1/(TAHSILAT!$C$7:$C$1506=$B50),TAHSILAT!$E$7:$E$1506),""))</f>
        <v/>
      </c>
      <c r="Q50" s="113">
        <f>IF($B50="","",IF($N50&gt;0,"KRİTİK",IF($M50&gt;0,"YÜKSEK",IF($L50&gt;0,"ORTA",IF($J50&gt;0,"İZLE","TEMİZ")))))</f>
        <v/>
      </c>
      <c r="R50" s="121">
        <f>IF($B50="","",IF($Q50="KRİTİK","Acil tahsilat görüşmesi ve cari mutabakat",IF($Q50="YÜKSEK","Bu hafta tahsilat takibi",IF($Q50="ORTA","Hatırlatma mesajı gönder",IF($Q50="İZLE","Normal takip","Aksiyon gerekmiyor")))))</f>
        <v/>
      </c>
      <c r="S50" s="232">
        <f>IF($B50="","",COUNTIFS(AKTIVITE!$D$7:$D$1006,$B50,AKTIVITE!$J$7:$J$1006,"&lt;&gt;Tamamlandı"))</f>
        <v/>
      </c>
      <c r="T50" s="229">
        <f>IF($B50="","",IF(MUSTERILER!$K50="","",MUSTERILER!$K50))</f>
        <v/>
      </c>
      <c r="U50" s="232">
        <f>IF(OR($B50="",$T50=""),"",TODAY()-$T50)</f>
        <v/>
      </c>
      <c r="V50" s="113">
        <f>IF($B50="","",IF(ABS($J50-($K50+$L50+$M50+$N50))&lt;0.01,"UYGUN","İNCELE"))</f>
        <v/>
      </c>
      <c r="W50" s="6" t="n"/>
      <c r="X50" s="6">
        <f>IF($B50="",0,SUMIFS(UCRETLER!$J$7:$J$406,UCRETLER!$B$7:$B$406,$B50))</f>
        <v/>
      </c>
      <c r="Y50" s="3">
        <f>IF($B50="",0,SUMIFS(UCRETLER!$K$7:$K$406,UCRETLER!$B$7:$B$406,$B50))</f>
        <v/>
      </c>
      <c r="Z50" s="3">
        <f>IF($B50="",0,SUMIFS(UCRETLER!$L$7:$L$406,UCRETLER!$B$7:$B$406,$B50))</f>
        <v/>
      </c>
      <c r="AA50" s="3">
        <f>IF($B50="",0,MAX(0,$I50-$F50))</f>
        <v/>
      </c>
      <c r="AB50" s="3">
        <f>IF($B50="",0,MAX(0,$F50-$I50))</f>
        <v/>
      </c>
      <c r="AC50" s="3">
        <f>IF($B50="",0,MAX(0,$X50-$AA50))</f>
        <v/>
      </c>
      <c r="AD50" s="3">
        <f>IF($B50="",0,MAX(0,$Y50-$AA50))</f>
        <v/>
      </c>
      <c r="AE50" s="3">
        <f>IF($B50="",0,MAX(0,$Z50-$AA50))</f>
        <v/>
      </c>
    </row>
    <row r="51">
      <c r="A51" s="6" t="n"/>
      <c r="B51" s="113">
        <f>IF(MUSTERILER!$C51="","",MUSTERILER!$B51)</f>
        <v/>
      </c>
      <c r="C51" s="121">
        <f>IF(MUSTERILER!$C51="","",MUSTERILER!$C51)</f>
        <v/>
      </c>
      <c r="D51" s="227">
        <f>IF($B51="","",SUMIFS(UCRETLER!$G$7:$G$406,UCRETLER!$B$7:$B$406,$B51,UCRETLER!$F$7:$F$406,"Haftalık",UCRETLER!$H$7:$H$406,"Aktif"))</f>
        <v/>
      </c>
      <c r="E51" s="227">
        <f>IF($B51="","",SUMIFS(UCRETLER!$G$7:$G$406,UCRETLER!$B$7:$B$406,$B51,UCRETLER!$F$7:$F$406,"Aylık",UCRETLER!$H$7:$H$406,"Aktif"))</f>
        <v/>
      </c>
      <c r="F51" s="227">
        <f>IF($B51="","",SUMIFS(MUSTERILER!$J$7:$J$106,MUSTERILER!$B$7:$B$106,$B51))</f>
        <v/>
      </c>
      <c r="G51" s="227">
        <f>IF($B51="","",SUMIFS(UCRETLER!$I$7:$I$406,UCRETLER!$B$7:$B$406,$B51))</f>
        <v/>
      </c>
      <c r="H51" s="227">
        <f>IF($B51="","",$F51+$G51)</f>
        <v/>
      </c>
      <c r="I51" s="227">
        <f>IF($B51="","",SUMIFS(TAHSILAT!$F$7:$F$1506,TAHSILAT!$C$7:$C$1506,$B51))</f>
        <v/>
      </c>
      <c r="J51" s="227">
        <f>IF($B51="","",MAX(0,$H51-$I51))</f>
        <v/>
      </c>
      <c r="K51" s="227">
        <f>IF($B51="","",MAX(0,$J51-$L51-$M51-$N51))</f>
        <v/>
      </c>
      <c r="L51" s="227">
        <f>IF($B51="","",($AC51-$AD51)+IF(AND($AB51&gt;0,$T51&lt;&gt;"",$U51&gt;=8,$U51&lt;15),$AB51,0))</f>
        <v/>
      </c>
      <c r="M51" s="227">
        <f>IF($B51="","",($AD51-$AE51)+IF(AND($AB51&gt;0,$T51&lt;&gt;"",$U51&gt;=15,$U51&lt;29),$AB51,0))</f>
        <v/>
      </c>
      <c r="N51" s="227">
        <f>IF($B51="","",$AE51+IF(AND($AB51&gt;0,OR($T51="",$U51&gt;=29)),$AB51,0))</f>
        <v/>
      </c>
      <c r="O51" s="234">
        <f>IF($B51="","",IFERROR($I51/$H51,0))</f>
        <v/>
      </c>
      <c r="P51" s="229">
        <f>IF($B51="","",IFERROR(LOOKUP(2,1/(TAHSILAT!$C$7:$C$1506=$B51),TAHSILAT!$E$7:$E$1506),""))</f>
        <v/>
      </c>
      <c r="Q51" s="113">
        <f>IF($B51="","",IF($N51&gt;0,"KRİTİK",IF($M51&gt;0,"YÜKSEK",IF($L51&gt;0,"ORTA",IF($J51&gt;0,"İZLE","TEMİZ")))))</f>
        <v/>
      </c>
      <c r="R51" s="121">
        <f>IF($B51="","",IF($Q51="KRİTİK","Acil tahsilat görüşmesi ve cari mutabakat",IF($Q51="YÜKSEK","Bu hafta tahsilat takibi",IF($Q51="ORTA","Hatırlatma mesajı gönder",IF($Q51="İZLE","Normal takip","Aksiyon gerekmiyor")))))</f>
        <v/>
      </c>
      <c r="S51" s="232">
        <f>IF($B51="","",COUNTIFS(AKTIVITE!$D$7:$D$1006,$B51,AKTIVITE!$J$7:$J$1006,"&lt;&gt;Tamamlandı"))</f>
        <v/>
      </c>
      <c r="T51" s="229">
        <f>IF($B51="","",IF(MUSTERILER!$K51="","",MUSTERILER!$K51))</f>
        <v/>
      </c>
      <c r="U51" s="232">
        <f>IF(OR($B51="",$T51=""),"",TODAY()-$T51)</f>
        <v/>
      </c>
      <c r="V51" s="113">
        <f>IF($B51="","",IF(ABS($J51-($K51+$L51+$M51+$N51))&lt;0.01,"UYGUN","İNCELE"))</f>
        <v/>
      </c>
      <c r="W51" s="6" t="n"/>
      <c r="X51" s="6">
        <f>IF($B51="",0,SUMIFS(UCRETLER!$J$7:$J$406,UCRETLER!$B$7:$B$406,$B51))</f>
        <v/>
      </c>
      <c r="Y51" s="3">
        <f>IF($B51="",0,SUMIFS(UCRETLER!$K$7:$K$406,UCRETLER!$B$7:$B$406,$B51))</f>
        <v/>
      </c>
      <c r="Z51" s="3">
        <f>IF($B51="",0,SUMIFS(UCRETLER!$L$7:$L$406,UCRETLER!$B$7:$B$406,$B51))</f>
        <v/>
      </c>
      <c r="AA51" s="3">
        <f>IF($B51="",0,MAX(0,$I51-$F51))</f>
        <v/>
      </c>
      <c r="AB51" s="3">
        <f>IF($B51="",0,MAX(0,$F51-$I51))</f>
        <v/>
      </c>
      <c r="AC51" s="3">
        <f>IF($B51="",0,MAX(0,$X51-$AA51))</f>
        <v/>
      </c>
      <c r="AD51" s="3">
        <f>IF($B51="",0,MAX(0,$Y51-$AA51))</f>
        <v/>
      </c>
      <c r="AE51" s="3">
        <f>IF($B51="",0,MAX(0,$Z51-$AA51))</f>
        <v/>
      </c>
    </row>
    <row r="52">
      <c r="A52" s="6" t="n"/>
      <c r="B52" s="113">
        <f>IF(MUSTERILER!$C52="","",MUSTERILER!$B52)</f>
        <v/>
      </c>
      <c r="C52" s="121">
        <f>IF(MUSTERILER!$C52="","",MUSTERILER!$C52)</f>
        <v/>
      </c>
      <c r="D52" s="227">
        <f>IF($B52="","",SUMIFS(UCRETLER!$G$7:$G$406,UCRETLER!$B$7:$B$406,$B52,UCRETLER!$F$7:$F$406,"Haftalık",UCRETLER!$H$7:$H$406,"Aktif"))</f>
        <v/>
      </c>
      <c r="E52" s="227">
        <f>IF($B52="","",SUMIFS(UCRETLER!$G$7:$G$406,UCRETLER!$B$7:$B$406,$B52,UCRETLER!$F$7:$F$406,"Aylık",UCRETLER!$H$7:$H$406,"Aktif"))</f>
        <v/>
      </c>
      <c r="F52" s="227">
        <f>IF($B52="","",SUMIFS(MUSTERILER!$J$7:$J$106,MUSTERILER!$B$7:$B$106,$B52))</f>
        <v/>
      </c>
      <c r="G52" s="227">
        <f>IF($B52="","",SUMIFS(UCRETLER!$I$7:$I$406,UCRETLER!$B$7:$B$406,$B52))</f>
        <v/>
      </c>
      <c r="H52" s="227">
        <f>IF($B52="","",$F52+$G52)</f>
        <v/>
      </c>
      <c r="I52" s="227">
        <f>IF($B52="","",SUMIFS(TAHSILAT!$F$7:$F$1506,TAHSILAT!$C$7:$C$1506,$B52))</f>
        <v/>
      </c>
      <c r="J52" s="227">
        <f>IF($B52="","",MAX(0,$H52-$I52))</f>
        <v/>
      </c>
      <c r="K52" s="227">
        <f>IF($B52="","",MAX(0,$J52-$L52-$M52-$N52))</f>
        <v/>
      </c>
      <c r="L52" s="227">
        <f>IF($B52="","",($AC52-$AD52)+IF(AND($AB52&gt;0,$T52&lt;&gt;"",$U52&gt;=8,$U52&lt;15),$AB52,0))</f>
        <v/>
      </c>
      <c r="M52" s="227">
        <f>IF($B52="","",($AD52-$AE52)+IF(AND($AB52&gt;0,$T52&lt;&gt;"",$U52&gt;=15,$U52&lt;29),$AB52,0))</f>
        <v/>
      </c>
      <c r="N52" s="227">
        <f>IF($B52="","",$AE52+IF(AND($AB52&gt;0,OR($T52="",$U52&gt;=29)),$AB52,0))</f>
        <v/>
      </c>
      <c r="O52" s="234">
        <f>IF($B52="","",IFERROR($I52/$H52,0))</f>
        <v/>
      </c>
      <c r="P52" s="229">
        <f>IF($B52="","",IFERROR(LOOKUP(2,1/(TAHSILAT!$C$7:$C$1506=$B52),TAHSILAT!$E$7:$E$1506),""))</f>
        <v/>
      </c>
      <c r="Q52" s="113">
        <f>IF($B52="","",IF($N52&gt;0,"KRİTİK",IF($M52&gt;0,"YÜKSEK",IF($L52&gt;0,"ORTA",IF($J52&gt;0,"İZLE","TEMİZ")))))</f>
        <v/>
      </c>
      <c r="R52" s="121">
        <f>IF($B52="","",IF($Q52="KRİTİK","Acil tahsilat görüşmesi ve cari mutabakat",IF($Q52="YÜKSEK","Bu hafta tahsilat takibi",IF($Q52="ORTA","Hatırlatma mesajı gönder",IF($Q52="İZLE","Normal takip","Aksiyon gerekmiyor")))))</f>
        <v/>
      </c>
      <c r="S52" s="232">
        <f>IF($B52="","",COUNTIFS(AKTIVITE!$D$7:$D$1006,$B52,AKTIVITE!$J$7:$J$1006,"&lt;&gt;Tamamlandı"))</f>
        <v/>
      </c>
      <c r="T52" s="229">
        <f>IF($B52="","",IF(MUSTERILER!$K52="","",MUSTERILER!$K52))</f>
        <v/>
      </c>
      <c r="U52" s="232">
        <f>IF(OR($B52="",$T52=""),"",TODAY()-$T52)</f>
        <v/>
      </c>
      <c r="V52" s="113">
        <f>IF($B52="","",IF(ABS($J52-($K52+$L52+$M52+$N52))&lt;0.01,"UYGUN","İNCELE"))</f>
        <v/>
      </c>
      <c r="W52" s="6" t="n"/>
      <c r="X52" s="6">
        <f>IF($B52="",0,SUMIFS(UCRETLER!$J$7:$J$406,UCRETLER!$B$7:$B$406,$B52))</f>
        <v/>
      </c>
      <c r="Y52" s="3">
        <f>IF($B52="",0,SUMIFS(UCRETLER!$K$7:$K$406,UCRETLER!$B$7:$B$406,$B52))</f>
        <v/>
      </c>
      <c r="Z52" s="3">
        <f>IF($B52="",0,SUMIFS(UCRETLER!$L$7:$L$406,UCRETLER!$B$7:$B$406,$B52))</f>
        <v/>
      </c>
      <c r="AA52" s="3">
        <f>IF($B52="",0,MAX(0,$I52-$F52))</f>
        <v/>
      </c>
      <c r="AB52" s="3">
        <f>IF($B52="",0,MAX(0,$F52-$I52))</f>
        <v/>
      </c>
      <c r="AC52" s="3">
        <f>IF($B52="",0,MAX(0,$X52-$AA52))</f>
        <v/>
      </c>
      <c r="AD52" s="3">
        <f>IF($B52="",0,MAX(0,$Y52-$AA52))</f>
        <v/>
      </c>
      <c r="AE52" s="3">
        <f>IF($B52="",0,MAX(0,$Z52-$AA52))</f>
        <v/>
      </c>
    </row>
    <row r="53">
      <c r="A53" s="6" t="n"/>
      <c r="B53" s="113">
        <f>IF(MUSTERILER!$C53="","",MUSTERILER!$B53)</f>
        <v/>
      </c>
      <c r="C53" s="121">
        <f>IF(MUSTERILER!$C53="","",MUSTERILER!$C53)</f>
        <v/>
      </c>
      <c r="D53" s="227">
        <f>IF($B53="","",SUMIFS(UCRETLER!$G$7:$G$406,UCRETLER!$B$7:$B$406,$B53,UCRETLER!$F$7:$F$406,"Haftalık",UCRETLER!$H$7:$H$406,"Aktif"))</f>
        <v/>
      </c>
      <c r="E53" s="227">
        <f>IF($B53="","",SUMIFS(UCRETLER!$G$7:$G$406,UCRETLER!$B$7:$B$406,$B53,UCRETLER!$F$7:$F$406,"Aylık",UCRETLER!$H$7:$H$406,"Aktif"))</f>
        <v/>
      </c>
      <c r="F53" s="227">
        <f>IF($B53="","",SUMIFS(MUSTERILER!$J$7:$J$106,MUSTERILER!$B$7:$B$106,$B53))</f>
        <v/>
      </c>
      <c r="G53" s="227">
        <f>IF($B53="","",SUMIFS(UCRETLER!$I$7:$I$406,UCRETLER!$B$7:$B$406,$B53))</f>
        <v/>
      </c>
      <c r="H53" s="227">
        <f>IF($B53="","",$F53+$G53)</f>
        <v/>
      </c>
      <c r="I53" s="227">
        <f>IF($B53="","",SUMIFS(TAHSILAT!$F$7:$F$1506,TAHSILAT!$C$7:$C$1506,$B53))</f>
        <v/>
      </c>
      <c r="J53" s="227">
        <f>IF($B53="","",MAX(0,$H53-$I53))</f>
        <v/>
      </c>
      <c r="K53" s="227">
        <f>IF($B53="","",MAX(0,$J53-$L53-$M53-$N53))</f>
        <v/>
      </c>
      <c r="L53" s="227">
        <f>IF($B53="","",($AC53-$AD53)+IF(AND($AB53&gt;0,$T53&lt;&gt;"",$U53&gt;=8,$U53&lt;15),$AB53,0))</f>
        <v/>
      </c>
      <c r="M53" s="227">
        <f>IF($B53="","",($AD53-$AE53)+IF(AND($AB53&gt;0,$T53&lt;&gt;"",$U53&gt;=15,$U53&lt;29),$AB53,0))</f>
        <v/>
      </c>
      <c r="N53" s="227">
        <f>IF($B53="","",$AE53+IF(AND($AB53&gt;0,OR($T53="",$U53&gt;=29)),$AB53,0))</f>
        <v/>
      </c>
      <c r="O53" s="234">
        <f>IF($B53="","",IFERROR($I53/$H53,0))</f>
        <v/>
      </c>
      <c r="P53" s="229">
        <f>IF($B53="","",IFERROR(LOOKUP(2,1/(TAHSILAT!$C$7:$C$1506=$B53),TAHSILAT!$E$7:$E$1506),""))</f>
        <v/>
      </c>
      <c r="Q53" s="113">
        <f>IF($B53="","",IF($N53&gt;0,"KRİTİK",IF($M53&gt;0,"YÜKSEK",IF($L53&gt;0,"ORTA",IF($J53&gt;0,"İZLE","TEMİZ")))))</f>
        <v/>
      </c>
      <c r="R53" s="121">
        <f>IF($B53="","",IF($Q53="KRİTİK","Acil tahsilat görüşmesi ve cari mutabakat",IF($Q53="YÜKSEK","Bu hafta tahsilat takibi",IF($Q53="ORTA","Hatırlatma mesajı gönder",IF($Q53="İZLE","Normal takip","Aksiyon gerekmiyor")))))</f>
        <v/>
      </c>
      <c r="S53" s="232">
        <f>IF($B53="","",COUNTIFS(AKTIVITE!$D$7:$D$1006,$B53,AKTIVITE!$J$7:$J$1006,"&lt;&gt;Tamamlandı"))</f>
        <v/>
      </c>
      <c r="T53" s="229">
        <f>IF($B53="","",IF(MUSTERILER!$K53="","",MUSTERILER!$K53))</f>
        <v/>
      </c>
      <c r="U53" s="232">
        <f>IF(OR($B53="",$T53=""),"",TODAY()-$T53)</f>
        <v/>
      </c>
      <c r="V53" s="113">
        <f>IF($B53="","",IF(ABS($J53-($K53+$L53+$M53+$N53))&lt;0.01,"UYGUN","İNCELE"))</f>
        <v/>
      </c>
      <c r="W53" s="6" t="n"/>
      <c r="X53" s="6">
        <f>IF($B53="",0,SUMIFS(UCRETLER!$J$7:$J$406,UCRETLER!$B$7:$B$406,$B53))</f>
        <v/>
      </c>
      <c r="Y53" s="3">
        <f>IF($B53="",0,SUMIFS(UCRETLER!$K$7:$K$406,UCRETLER!$B$7:$B$406,$B53))</f>
        <v/>
      </c>
      <c r="Z53" s="3">
        <f>IF($B53="",0,SUMIFS(UCRETLER!$L$7:$L$406,UCRETLER!$B$7:$B$406,$B53))</f>
        <v/>
      </c>
      <c r="AA53" s="3">
        <f>IF($B53="",0,MAX(0,$I53-$F53))</f>
        <v/>
      </c>
      <c r="AB53" s="3">
        <f>IF($B53="",0,MAX(0,$F53-$I53))</f>
        <v/>
      </c>
      <c r="AC53" s="3">
        <f>IF($B53="",0,MAX(0,$X53-$AA53))</f>
        <v/>
      </c>
      <c r="AD53" s="3">
        <f>IF($B53="",0,MAX(0,$Y53-$AA53))</f>
        <v/>
      </c>
      <c r="AE53" s="3">
        <f>IF($B53="",0,MAX(0,$Z53-$AA53))</f>
        <v/>
      </c>
    </row>
    <row r="54">
      <c r="A54" s="6" t="n"/>
      <c r="B54" s="113">
        <f>IF(MUSTERILER!$C54="","",MUSTERILER!$B54)</f>
        <v/>
      </c>
      <c r="C54" s="121">
        <f>IF(MUSTERILER!$C54="","",MUSTERILER!$C54)</f>
        <v/>
      </c>
      <c r="D54" s="227">
        <f>IF($B54="","",SUMIFS(UCRETLER!$G$7:$G$406,UCRETLER!$B$7:$B$406,$B54,UCRETLER!$F$7:$F$406,"Haftalık",UCRETLER!$H$7:$H$406,"Aktif"))</f>
        <v/>
      </c>
      <c r="E54" s="227">
        <f>IF($B54="","",SUMIFS(UCRETLER!$G$7:$G$406,UCRETLER!$B$7:$B$406,$B54,UCRETLER!$F$7:$F$406,"Aylık",UCRETLER!$H$7:$H$406,"Aktif"))</f>
        <v/>
      </c>
      <c r="F54" s="227">
        <f>IF($B54="","",SUMIFS(MUSTERILER!$J$7:$J$106,MUSTERILER!$B$7:$B$106,$B54))</f>
        <v/>
      </c>
      <c r="G54" s="227">
        <f>IF($B54="","",SUMIFS(UCRETLER!$I$7:$I$406,UCRETLER!$B$7:$B$406,$B54))</f>
        <v/>
      </c>
      <c r="H54" s="227">
        <f>IF($B54="","",$F54+$G54)</f>
        <v/>
      </c>
      <c r="I54" s="227">
        <f>IF($B54="","",SUMIFS(TAHSILAT!$F$7:$F$1506,TAHSILAT!$C$7:$C$1506,$B54))</f>
        <v/>
      </c>
      <c r="J54" s="227">
        <f>IF($B54="","",MAX(0,$H54-$I54))</f>
        <v/>
      </c>
      <c r="K54" s="227">
        <f>IF($B54="","",MAX(0,$J54-$L54-$M54-$N54))</f>
        <v/>
      </c>
      <c r="L54" s="227">
        <f>IF($B54="","",($AC54-$AD54)+IF(AND($AB54&gt;0,$T54&lt;&gt;"",$U54&gt;=8,$U54&lt;15),$AB54,0))</f>
        <v/>
      </c>
      <c r="M54" s="227">
        <f>IF($B54="","",($AD54-$AE54)+IF(AND($AB54&gt;0,$T54&lt;&gt;"",$U54&gt;=15,$U54&lt;29),$AB54,0))</f>
        <v/>
      </c>
      <c r="N54" s="227">
        <f>IF($B54="","",$AE54+IF(AND($AB54&gt;0,OR($T54="",$U54&gt;=29)),$AB54,0))</f>
        <v/>
      </c>
      <c r="O54" s="234">
        <f>IF($B54="","",IFERROR($I54/$H54,0))</f>
        <v/>
      </c>
      <c r="P54" s="229">
        <f>IF($B54="","",IFERROR(LOOKUP(2,1/(TAHSILAT!$C$7:$C$1506=$B54),TAHSILAT!$E$7:$E$1506),""))</f>
        <v/>
      </c>
      <c r="Q54" s="113">
        <f>IF($B54="","",IF($N54&gt;0,"KRİTİK",IF($M54&gt;0,"YÜKSEK",IF($L54&gt;0,"ORTA",IF($J54&gt;0,"İZLE","TEMİZ")))))</f>
        <v/>
      </c>
      <c r="R54" s="121">
        <f>IF($B54="","",IF($Q54="KRİTİK","Acil tahsilat görüşmesi ve cari mutabakat",IF($Q54="YÜKSEK","Bu hafta tahsilat takibi",IF($Q54="ORTA","Hatırlatma mesajı gönder",IF($Q54="İZLE","Normal takip","Aksiyon gerekmiyor")))))</f>
        <v/>
      </c>
      <c r="S54" s="232">
        <f>IF($B54="","",COUNTIFS(AKTIVITE!$D$7:$D$1006,$B54,AKTIVITE!$J$7:$J$1006,"&lt;&gt;Tamamlandı"))</f>
        <v/>
      </c>
      <c r="T54" s="229">
        <f>IF($B54="","",IF(MUSTERILER!$K54="","",MUSTERILER!$K54))</f>
        <v/>
      </c>
      <c r="U54" s="232">
        <f>IF(OR($B54="",$T54=""),"",TODAY()-$T54)</f>
        <v/>
      </c>
      <c r="V54" s="113">
        <f>IF($B54="","",IF(ABS($J54-($K54+$L54+$M54+$N54))&lt;0.01,"UYGUN","İNCELE"))</f>
        <v/>
      </c>
      <c r="W54" s="6" t="n"/>
      <c r="X54" s="6">
        <f>IF($B54="",0,SUMIFS(UCRETLER!$J$7:$J$406,UCRETLER!$B$7:$B$406,$B54))</f>
        <v/>
      </c>
      <c r="Y54" s="3">
        <f>IF($B54="",0,SUMIFS(UCRETLER!$K$7:$K$406,UCRETLER!$B$7:$B$406,$B54))</f>
        <v/>
      </c>
      <c r="Z54" s="3">
        <f>IF($B54="",0,SUMIFS(UCRETLER!$L$7:$L$406,UCRETLER!$B$7:$B$406,$B54))</f>
        <v/>
      </c>
      <c r="AA54" s="3">
        <f>IF($B54="",0,MAX(0,$I54-$F54))</f>
        <v/>
      </c>
      <c r="AB54" s="3">
        <f>IF($B54="",0,MAX(0,$F54-$I54))</f>
        <v/>
      </c>
      <c r="AC54" s="3">
        <f>IF($B54="",0,MAX(0,$X54-$AA54))</f>
        <v/>
      </c>
      <c r="AD54" s="3">
        <f>IF($B54="",0,MAX(0,$Y54-$AA54))</f>
        <v/>
      </c>
      <c r="AE54" s="3">
        <f>IF($B54="",0,MAX(0,$Z54-$AA54))</f>
        <v/>
      </c>
    </row>
    <row r="55">
      <c r="A55" s="6" t="n"/>
      <c r="B55" s="113">
        <f>IF(MUSTERILER!$C55="","",MUSTERILER!$B55)</f>
        <v/>
      </c>
      <c r="C55" s="121">
        <f>IF(MUSTERILER!$C55="","",MUSTERILER!$C55)</f>
        <v/>
      </c>
      <c r="D55" s="227">
        <f>IF($B55="","",SUMIFS(UCRETLER!$G$7:$G$406,UCRETLER!$B$7:$B$406,$B55,UCRETLER!$F$7:$F$406,"Haftalık",UCRETLER!$H$7:$H$406,"Aktif"))</f>
        <v/>
      </c>
      <c r="E55" s="227">
        <f>IF($B55="","",SUMIFS(UCRETLER!$G$7:$G$406,UCRETLER!$B$7:$B$406,$B55,UCRETLER!$F$7:$F$406,"Aylık",UCRETLER!$H$7:$H$406,"Aktif"))</f>
        <v/>
      </c>
      <c r="F55" s="227">
        <f>IF($B55="","",SUMIFS(MUSTERILER!$J$7:$J$106,MUSTERILER!$B$7:$B$106,$B55))</f>
        <v/>
      </c>
      <c r="G55" s="227">
        <f>IF($B55="","",SUMIFS(UCRETLER!$I$7:$I$406,UCRETLER!$B$7:$B$406,$B55))</f>
        <v/>
      </c>
      <c r="H55" s="227">
        <f>IF($B55="","",$F55+$G55)</f>
        <v/>
      </c>
      <c r="I55" s="227">
        <f>IF($B55="","",SUMIFS(TAHSILAT!$F$7:$F$1506,TAHSILAT!$C$7:$C$1506,$B55))</f>
        <v/>
      </c>
      <c r="J55" s="227">
        <f>IF($B55="","",MAX(0,$H55-$I55))</f>
        <v/>
      </c>
      <c r="K55" s="227">
        <f>IF($B55="","",MAX(0,$J55-$L55-$M55-$N55))</f>
        <v/>
      </c>
      <c r="L55" s="227">
        <f>IF($B55="","",($AC55-$AD55)+IF(AND($AB55&gt;0,$T55&lt;&gt;"",$U55&gt;=8,$U55&lt;15),$AB55,0))</f>
        <v/>
      </c>
      <c r="M55" s="227">
        <f>IF($B55="","",($AD55-$AE55)+IF(AND($AB55&gt;0,$T55&lt;&gt;"",$U55&gt;=15,$U55&lt;29),$AB55,0))</f>
        <v/>
      </c>
      <c r="N55" s="227">
        <f>IF($B55="","",$AE55+IF(AND($AB55&gt;0,OR($T55="",$U55&gt;=29)),$AB55,0))</f>
        <v/>
      </c>
      <c r="O55" s="234">
        <f>IF($B55="","",IFERROR($I55/$H55,0))</f>
        <v/>
      </c>
      <c r="P55" s="229">
        <f>IF($B55="","",IFERROR(LOOKUP(2,1/(TAHSILAT!$C$7:$C$1506=$B55),TAHSILAT!$E$7:$E$1506),""))</f>
        <v/>
      </c>
      <c r="Q55" s="113">
        <f>IF($B55="","",IF($N55&gt;0,"KRİTİK",IF($M55&gt;0,"YÜKSEK",IF($L55&gt;0,"ORTA",IF($J55&gt;0,"İZLE","TEMİZ")))))</f>
        <v/>
      </c>
      <c r="R55" s="121">
        <f>IF($B55="","",IF($Q55="KRİTİK","Acil tahsilat görüşmesi ve cari mutabakat",IF($Q55="YÜKSEK","Bu hafta tahsilat takibi",IF($Q55="ORTA","Hatırlatma mesajı gönder",IF($Q55="İZLE","Normal takip","Aksiyon gerekmiyor")))))</f>
        <v/>
      </c>
      <c r="S55" s="232">
        <f>IF($B55="","",COUNTIFS(AKTIVITE!$D$7:$D$1006,$B55,AKTIVITE!$J$7:$J$1006,"&lt;&gt;Tamamlandı"))</f>
        <v/>
      </c>
      <c r="T55" s="229">
        <f>IF($B55="","",IF(MUSTERILER!$K55="","",MUSTERILER!$K55))</f>
        <v/>
      </c>
      <c r="U55" s="232">
        <f>IF(OR($B55="",$T55=""),"",TODAY()-$T55)</f>
        <v/>
      </c>
      <c r="V55" s="113">
        <f>IF($B55="","",IF(ABS($J55-($K55+$L55+$M55+$N55))&lt;0.01,"UYGUN","İNCELE"))</f>
        <v/>
      </c>
      <c r="W55" s="6" t="n"/>
      <c r="X55" s="6">
        <f>IF($B55="",0,SUMIFS(UCRETLER!$J$7:$J$406,UCRETLER!$B$7:$B$406,$B55))</f>
        <v/>
      </c>
      <c r="Y55" s="3">
        <f>IF($B55="",0,SUMIFS(UCRETLER!$K$7:$K$406,UCRETLER!$B$7:$B$406,$B55))</f>
        <v/>
      </c>
      <c r="Z55" s="3">
        <f>IF($B55="",0,SUMIFS(UCRETLER!$L$7:$L$406,UCRETLER!$B$7:$B$406,$B55))</f>
        <v/>
      </c>
      <c r="AA55" s="3">
        <f>IF($B55="",0,MAX(0,$I55-$F55))</f>
        <v/>
      </c>
      <c r="AB55" s="3">
        <f>IF($B55="",0,MAX(0,$F55-$I55))</f>
        <v/>
      </c>
      <c r="AC55" s="3">
        <f>IF($B55="",0,MAX(0,$X55-$AA55))</f>
        <v/>
      </c>
      <c r="AD55" s="3">
        <f>IF($B55="",0,MAX(0,$Y55-$AA55))</f>
        <v/>
      </c>
      <c r="AE55" s="3">
        <f>IF($B55="",0,MAX(0,$Z55-$AA55))</f>
        <v/>
      </c>
    </row>
    <row r="56">
      <c r="A56" s="6" t="n"/>
      <c r="B56" s="113">
        <f>IF(MUSTERILER!$C56="","",MUSTERILER!$B56)</f>
        <v/>
      </c>
      <c r="C56" s="121">
        <f>IF(MUSTERILER!$C56="","",MUSTERILER!$C56)</f>
        <v/>
      </c>
      <c r="D56" s="227">
        <f>IF($B56="","",SUMIFS(UCRETLER!$G$7:$G$406,UCRETLER!$B$7:$B$406,$B56,UCRETLER!$F$7:$F$406,"Haftalık",UCRETLER!$H$7:$H$406,"Aktif"))</f>
        <v/>
      </c>
      <c r="E56" s="227">
        <f>IF($B56="","",SUMIFS(UCRETLER!$G$7:$G$406,UCRETLER!$B$7:$B$406,$B56,UCRETLER!$F$7:$F$406,"Aylık",UCRETLER!$H$7:$H$406,"Aktif"))</f>
        <v/>
      </c>
      <c r="F56" s="227">
        <f>IF($B56="","",SUMIFS(MUSTERILER!$J$7:$J$106,MUSTERILER!$B$7:$B$106,$B56))</f>
        <v/>
      </c>
      <c r="G56" s="227">
        <f>IF($B56="","",SUMIFS(UCRETLER!$I$7:$I$406,UCRETLER!$B$7:$B$406,$B56))</f>
        <v/>
      </c>
      <c r="H56" s="227">
        <f>IF($B56="","",$F56+$G56)</f>
        <v/>
      </c>
      <c r="I56" s="227">
        <f>IF($B56="","",SUMIFS(TAHSILAT!$F$7:$F$1506,TAHSILAT!$C$7:$C$1506,$B56))</f>
        <v/>
      </c>
      <c r="J56" s="227">
        <f>IF($B56="","",MAX(0,$H56-$I56))</f>
        <v/>
      </c>
      <c r="K56" s="227">
        <f>IF($B56="","",MAX(0,$J56-$L56-$M56-$N56))</f>
        <v/>
      </c>
      <c r="L56" s="227">
        <f>IF($B56="","",($AC56-$AD56)+IF(AND($AB56&gt;0,$T56&lt;&gt;"",$U56&gt;=8,$U56&lt;15),$AB56,0))</f>
        <v/>
      </c>
      <c r="M56" s="227">
        <f>IF($B56="","",($AD56-$AE56)+IF(AND($AB56&gt;0,$T56&lt;&gt;"",$U56&gt;=15,$U56&lt;29),$AB56,0))</f>
        <v/>
      </c>
      <c r="N56" s="227">
        <f>IF($B56="","",$AE56+IF(AND($AB56&gt;0,OR($T56="",$U56&gt;=29)),$AB56,0))</f>
        <v/>
      </c>
      <c r="O56" s="234">
        <f>IF($B56="","",IFERROR($I56/$H56,0))</f>
        <v/>
      </c>
      <c r="P56" s="229">
        <f>IF($B56="","",IFERROR(LOOKUP(2,1/(TAHSILAT!$C$7:$C$1506=$B56),TAHSILAT!$E$7:$E$1506),""))</f>
        <v/>
      </c>
      <c r="Q56" s="113">
        <f>IF($B56="","",IF($N56&gt;0,"KRİTİK",IF($M56&gt;0,"YÜKSEK",IF($L56&gt;0,"ORTA",IF($J56&gt;0,"İZLE","TEMİZ")))))</f>
        <v/>
      </c>
      <c r="R56" s="121">
        <f>IF($B56="","",IF($Q56="KRİTİK","Acil tahsilat görüşmesi ve cari mutabakat",IF($Q56="YÜKSEK","Bu hafta tahsilat takibi",IF($Q56="ORTA","Hatırlatma mesajı gönder",IF($Q56="İZLE","Normal takip","Aksiyon gerekmiyor")))))</f>
        <v/>
      </c>
      <c r="S56" s="232">
        <f>IF($B56="","",COUNTIFS(AKTIVITE!$D$7:$D$1006,$B56,AKTIVITE!$J$7:$J$1006,"&lt;&gt;Tamamlandı"))</f>
        <v/>
      </c>
      <c r="T56" s="229">
        <f>IF($B56="","",IF(MUSTERILER!$K56="","",MUSTERILER!$K56))</f>
        <v/>
      </c>
      <c r="U56" s="232">
        <f>IF(OR($B56="",$T56=""),"",TODAY()-$T56)</f>
        <v/>
      </c>
      <c r="V56" s="113">
        <f>IF($B56="","",IF(ABS($J56-($K56+$L56+$M56+$N56))&lt;0.01,"UYGUN","İNCELE"))</f>
        <v/>
      </c>
      <c r="W56" s="6" t="n"/>
      <c r="X56" s="6">
        <f>IF($B56="",0,SUMIFS(UCRETLER!$J$7:$J$406,UCRETLER!$B$7:$B$406,$B56))</f>
        <v/>
      </c>
      <c r="Y56" s="3">
        <f>IF($B56="",0,SUMIFS(UCRETLER!$K$7:$K$406,UCRETLER!$B$7:$B$406,$B56))</f>
        <v/>
      </c>
      <c r="Z56" s="3">
        <f>IF($B56="",0,SUMIFS(UCRETLER!$L$7:$L$406,UCRETLER!$B$7:$B$406,$B56))</f>
        <v/>
      </c>
      <c r="AA56" s="3">
        <f>IF($B56="",0,MAX(0,$I56-$F56))</f>
        <v/>
      </c>
      <c r="AB56" s="3">
        <f>IF($B56="",0,MAX(0,$F56-$I56))</f>
        <v/>
      </c>
      <c r="AC56" s="3">
        <f>IF($B56="",0,MAX(0,$X56-$AA56))</f>
        <v/>
      </c>
      <c r="AD56" s="3">
        <f>IF($B56="",0,MAX(0,$Y56-$AA56))</f>
        <v/>
      </c>
      <c r="AE56" s="3">
        <f>IF($B56="",0,MAX(0,$Z56-$AA56))</f>
        <v/>
      </c>
    </row>
    <row r="57">
      <c r="A57" s="6" t="n"/>
      <c r="B57" s="113">
        <f>IF(MUSTERILER!$C57="","",MUSTERILER!$B57)</f>
        <v/>
      </c>
      <c r="C57" s="121">
        <f>IF(MUSTERILER!$C57="","",MUSTERILER!$C57)</f>
        <v/>
      </c>
      <c r="D57" s="227">
        <f>IF($B57="","",SUMIFS(UCRETLER!$G$7:$G$406,UCRETLER!$B$7:$B$406,$B57,UCRETLER!$F$7:$F$406,"Haftalık",UCRETLER!$H$7:$H$406,"Aktif"))</f>
        <v/>
      </c>
      <c r="E57" s="227">
        <f>IF($B57="","",SUMIFS(UCRETLER!$G$7:$G$406,UCRETLER!$B$7:$B$406,$B57,UCRETLER!$F$7:$F$406,"Aylık",UCRETLER!$H$7:$H$406,"Aktif"))</f>
        <v/>
      </c>
      <c r="F57" s="227">
        <f>IF($B57="","",SUMIFS(MUSTERILER!$J$7:$J$106,MUSTERILER!$B$7:$B$106,$B57))</f>
        <v/>
      </c>
      <c r="G57" s="227">
        <f>IF($B57="","",SUMIFS(UCRETLER!$I$7:$I$406,UCRETLER!$B$7:$B$406,$B57))</f>
        <v/>
      </c>
      <c r="H57" s="227">
        <f>IF($B57="","",$F57+$G57)</f>
        <v/>
      </c>
      <c r="I57" s="227">
        <f>IF($B57="","",SUMIFS(TAHSILAT!$F$7:$F$1506,TAHSILAT!$C$7:$C$1506,$B57))</f>
        <v/>
      </c>
      <c r="J57" s="227">
        <f>IF($B57="","",MAX(0,$H57-$I57))</f>
        <v/>
      </c>
      <c r="K57" s="227">
        <f>IF($B57="","",MAX(0,$J57-$L57-$M57-$N57))</f>
        <v/>
      </c>
      <c r="L57" s="227">
        <f>IF($B57="","",($AC57-$AD57)+IF(AND($AB57&gt;0,$T57&lt;&gt;"",$U57&gt;=8,$U57&lt;15),$AB57,0))</f>
        <v/>
      </c>
      <c r="M57" s="227">
        <f>IF($B57="","",($AD57-$AE57)+IF(AND($AB57&gt;0,$T57&lt;&gt;"",$U57&gt;=15,$U57&lt;29),$AB57,0))</f>
        <v/>
      </c>
      <c r="N57" s="227">
        <f>IF($B57="","",$AE57+IF(AND($AB57&gt;0,OR($T57="",$U57&gt;=29)),$AB57,0))</f>
        <v/>
      </c>
      <c r="O57" s="234">
        <f>IF($B57="","",IFERROR($I57/$H57,0))</f>
        <v/>
      </c>
      <c r="P57" s="229">
        <f>IF($B57="","",IFERROR(LOOKUP(2,1/(TAHSILAT!$C$7:$C$1506=$B57),TAHSILAT!$E$7:$E$1506),""))</f>
        <v/>
      </c>
      <c r="Q57" s="113">
        <f>IF($B57="","",IF($N57&gt;0,"KRİTİK",IF($M57&gt;0,"YÜKSEK",IF($L57&gt;0,"ORTA",IF($J57&gt;0,"İZLE","TEMİZ")))))</f>
        <v/>
      </c>
      <c r="R57" s="121">
        <f>IF($B57="","",IF($Q57="KRİTİK","Acil tahsilat görüşmesi ve cari mutabakat",IF($Q57="YÜKSEK","Bu hafta tahsilat takibi",IF($Q57="ORTA","Hatırlatma mesajı gönder",IF($Q57="İZLE","Normal takip","Aksiyon gerekmiyor")))))</f>
        <v/>
      </c>
      <c r="S57" s="232">
        <f>IF($B57="","",COUNTIFS(AKTIVITE!$D$7:$D$1006,$B57,AKTIVITE!$J$7:$J$1006,"&lt;&gt;Tamamlandı"))</f>
        <v/>
      </c>
      <c r="T57" s="229">
        <f>IF($B57="","",IF(MUSTERILER!$K57="","",MUSTERILER!$K57))</f>
        <v/>
      </c>
      <c r="U57" s="232">
        <f>IF(OR($B57="",$T57=""),"",TODAY()-$T57)</f>
        <v/>
      </c>
      <c r="V57" s="113">
        <f>IF($B57="","",IF(ABS($J57-($K57+$L57+$M57+$N57))&lt;0.01,"UYGUN","İNCELE"))</f>
        <v/>
      </c>
      <c r="W57" s="6" t="n"/>
      <c r="X57" s="6">
        <f>IF($B57="",0,SUMIFS(UCRETLER!$J$7:$J$406,UCRETLER!$B$7:$B$406,$B57))</f>
        <v/>
      </c>
      <c r="Y57" s="3">
        <f>IF($B57="",0,SUMIFS(UCRETLER!$K$7:$K$406,UCRETLER!$B$7:$B$406,$B57))</f>
        <v/>
      </c>
      <c r="Z57" s="3">
        <f>IF($B57="",0,SUMIFS(UCRETLER!$L$7:$L$406,UCRETLER!$B$7:$B$406,$B57))</f>
        <v/>
      </c>
      <c r="AA57" s="3">
        <f>IF($B57="",0,MAX(0,$I57-$F57))</f>
        <v/>
      </c>
      <c r="AB57" s="3">
        <f>IF($B57="",0,MAX(0,$F57-$I57))</f>
        <v/>
      </c>
      <c r="AC57" s="3">
        <f>IF($B57="",0,MAX(0,$X57-$AA57))</f>
        <v/>
      </c>
      <c r="AD57" s="3">
        <f>IF($B57="",0,MAX(0,$Y57-$AA57))</f>
        <v/>
      </c>
      <c r="AE57" s="3">
        <f>IF($B57="",0,MAX(0,$Z57-$AA57))</f>
        <v/>
      </c>
    </row>
    <row r="58">
      <c r="A58" s="6" t="n"/>
      <c r="B58" s="113">
        <f>IF(MUSTERILER!$C58="","",MUSTERILER!$B58)</f>
        <v/>
      </c>
      <c r="C58" s="121">
        <f>IF(MUSTERILER!$C58="","",MUSTERILER!$C58)</f>
        <v/>
      </c>
      <c r="D58" s="227">
        <f>IF($B58="","",SUMIFS(UCRETLER!$G$7:$G$406,UCRETLER!$B$7:$B$406,$B58,UCRETLER!$F$7:$F$406,"Haftalık",UCRETLER!$H$7:$H$406,"Aktif"))</f>
        <v/>
      </c>
      <c r="E58" s="227">
        <f>IF($B58="","",SUMIFS(UCRETLER!$G$7:$G$406,UCRETLER!$B$7:$B$406,$B58,UCRETLER!$F$7:$F$406,"Aylık",UCRETLER!$H$7:$H$406,"Aktif"))</f>
        <v/>
      </c>
      <c r="F58" s="227">
        <f>IF($B58="","",SUMIFS(MUSTERILER!$J$7:$J$106,MUSTERILER!$B$7:$B$106,$B58))</f>
        <v/>
      </c>
      <c r="G58" s="227">
        <f>IF($B58="","",SUMIFS(UCRETLER!$I$7:$I$406,UCRETLER!$B$7:$B$406,$B58))</f>
        <v/>
      </c>
      <c r="H58" s="227">
        <f>IF($B58="","",$F58+$G58)</f>
        <v/>
      </c>
      <c r="I58" s="227">
        <f>IF($B58="","",SUMIFS(TAHSILAT!$F$7:$F$1506,TAHSILAT!$C$7:$C$1506,$B58))</f>
        <v/>
      </c>
      <c r="J58" s="227">
        <f>IF($B58="","",MAX(0,$H58-$I58))</f>
        <v/>
      </c>
      <c r="K58" s="227">
        <f>IF($B58="","",MAX(0,$J58-$L58-$M58-$N58))</f>
        <v/>
      </c>
      <c r="L58" s="227">
        <f>IF($B58="","",($AC58-$AD58)+IF(AND($AB58&gt;0,$T58&lt;&gt;"",$U58&gt;=8,$U58&lt;15),$AB58,0))</f>
        <v/>
      </c>
      <c r="M58" s="227">
        <f>IF($B58="","",($AD58-$AE58)+IF(AND($AB58&gt;0,$T58&lt;&gt;"",$U58&gt;=15,$U58&lt;29),$AB58,0))</f>
        <v/>
      </c>
      <c r="N58" s="227">
        <f>IF($B58="","",$AE58+IF(AND($AB58&gt;0,OR($T58="",$U58&gt;=29)),$AB58,0))</f>
        <v/>
      </c>
      <c r="O58" s="234">
        <f>IF($B58="","",IFERROR($I58/$H58,0))</f>
        <v/>
      </c>
      <c r="P58" s="229">
        <f>IF($B58="","",IFERROR(LOOKUP(2,1/(TAHSILAT!$C$7:$C$1506=$B58),TAHSILAT!$E$7:$E$1506),""))</f>
        <v/>
      </c>
      <c r="Q58" s="113">
        <f>IF($B58="","",IF($N58&gt;0,"KRİTİK",IF($M58&gt;0,"YÜKSEK",IF($L58&gt;0,"ORTA",IF($J58&gt;0,"İZLE","TEMİZ")))))</f>
        <v/>
      </c>
      <c r="R58" s="121">
        <f>IF($B58="","",IF($Q58="KRİTİK","Acil tahsilat görüşmesi ve cari mutabakat",IF($Q58="YÜKSEK","Bu hafta tahsilat takibi",IF($Q58="ORTA","Hatırlatma mesajı gönder",IF($Q58="İZLE","Normal takip","Aksiyon gerekmiyor")))))</f>
        <v/>
      </c>
      <c r="S58" s="232">
        <f>IF($B58="","",COUNTIFS(AKTIVITE!$D$7:$D$1006,$B58,AKTIVITE!$J$7:$J$1006,"&lt;&gt;Tamamlandı"))</f>
        <v/>
      </c>
      <c r="T58" s="229">
        <f>IF($B58="","",IF(MUSTERILER!$K58="","",MUSTERILER!$K58))</f>
        <v/>
      </c>
      <c r="U58" s="232">
        <f>IF(OR($B58="",$T58=""),"",TODAY()-$T58)</f>
        <v/>
      </c>
      <c r="V58" s="113">
        <f>IF($B58="","",IF(ABS($J58-($K58+$L58+$M58+$N58))&lt;0.01,"UYGUN","İNCELE"))</f>
        <v/>
      </c>
      <c r="W58" s="6" t="n"/>
      <c r="X58" s="6">
        <f>IF($B58="",0,SUMIFS(UCRETLER!$J$7:$J$406,UCRETLER!$B$7:$B$406,$B58))</f>
        <v/>
      </c>
      <c r="Y58" s="3">
        <f>IF($B58="",0,SUMIFS(UCRETLER!$K$7:$K$406,UCRETLER!$B$7:$B$406,$B58))</f>
        <v/>
      </c>
      <c r="Z58" s="3">
        <f>IF($B58="",0,SUMIFS(UCRETLER!$L$7:$L$406,UCRETLER!$B$7:$B$406,$B58))</f>
        <v/>
      </c>
      <c r="AA58" s="3">
        <f>IF($B58="",0,MAX(0,$I58-$F58))</f>
        <v/>
      </c>
      <c r="AB58" s="3">
        <f>IF($B58="",0,MAX(0,$F58-$I58))</f>
        <v/>
      </c>
      <c r="AC58" s="3">
        <f>IF($B58="",0,MAX(0,$X58-$AA58))</f>
        <v/>
      </c>
      <c r="AD58" s="3">
        <f>IF($B58="",0,MAX(0,$Y58-$AA58))</f>
        <v/>
      </c>
      <c r="AE58" s="3">
        <f>IF($B58="",0,MAX(0,$Z58-$AA58))</f>
        <v/>
      </c>
    </row>
    <row r="59">
      <c r="A59" s="6" t="n"/>
      <c r="B59" s="113">
        <f>IF(MUSTERILER!$C59="","",MUSTERILER!$B59)</f>
        <v/>
      </c>
      <c r="C59" s="121">
        <f>IF(MUSTERILER!$C59="","",MUSTERILER!$C59)</f>
        <v/>
      </c>
      <c r="D59" s="227">
        <f>IF($B59="","",SUMIFS(UCRETLER!$G$7:$G$406,UCRETLER!$B$7:$B$406,$B59,UCRETLER!$F$7:$F$406,"Haftalık",UCRETLER!$H$7:$H$406,"Aktif"))</f>
        <v/>
      </c>
      <c r="E59" s="227">
        <f>IF($B59="","",SUMIFS(UCRETLER!$G$7:$G$406,UCRETLER!$B$7:$B$406,$B59,UCRETLER!$F$7:$F$406,"Aylık",UCRETLER!$H$7:$H$406,"Aktif"))</f>
        <v/>
      </c>
      <c r="F59" s="227">
        <f>IF($B59="","",SUMIFS(MUSTERILER!$J$7:$J$106,MUSTERILER!$B$7:$B$106,$B59))</f>
        <v/>
      </c>
      <c r="G59" s="227">
        <f>IF($B59="","",SUMIFS(UCRETLER!$I$7:$I$406,UCRETLER!$B$7:$B$406,$B59))</f>
        <v/>
      </c>
      <c r="H59" s="227">
        <f>IF($B59="","",$F59+$G59)</f>
        <v/>
      </c>
      <c r="I59" s="227">
        <f>IF($B59="","",SUMIFS(TAHSILAT!$F$7:$F$1506,TAHSILAT!$C$7:$C$1506,$B59))</f>
        <v/>
      </c>
      <c r="J59" s="227">
        <f>IF($B59="","",MAX(0,$H59-$I59))</f>
        <v/>
      </c>
      <c r="K59" s="227">
        <f>IF($B59="","",MAX(0,$J59-$L59-$M59-$N59))</f>
        <v/>
      </c>
      <c r="L59" s="227">
        <f>IF($B59="","",($AC59-$AD59)+IF(AND($AB59&gt;0,$T59&lt;&gt;"",$U59&gt;=8,$U59&lt;15),$AB59,0))</f>
        <v/>
      </c>
      <c r="M59" s="227">
        <f>IF($B59="","",($AD59-$AE59)+IF(AND($AB59&gt;0,$T59&lt;&gt;"",$U59&gt;=15,$U59&lt;29),$AB59,0))</f>
        <v/>
      </c>
      <c r="N59" s="227">
        <f>IF($B59="","",$AE59+IF(AND($AB59&gt;0,OR($T59="",$U59&gt;=29)),$AB59,0))</f>
        <v/>
      </c>
      <c r="O59" s="234">
        <f>IF($B59="","",IFERROR($I59/$H59,0))</f>
        <v/>
      </c>
      <c r="P59" s="229">
        <f>IF($B59="","",IFERROR(LOOKUP(2,1/(TAHSILAT!$C$7:$C$1506=$B59),TAHSILAT!$E$7:$E$1506),""))</f>
        <v/>
      </c>
      <c r="Q59" s="113">
        <f>IF($B59="","",IF($N59&gt;0,"KRİTİK",IF($M59&gt;0,"YÜKSEK",IF($L59&gt;0,"ORTA",IF($J59&gt;0,"İZLE","TEMİZ")))))</f>
        <v/>
      </c>
      <c r="R59" s="121">
        <f>IF($B59="","",IF($Q59="KRİTİK","Acil tahsilat görüşmesi ve cari mutabakat",IF($Q59="YÜKSEK","Bu hafta tahsilat takibi",IF($Q59="ORTA","Hatırlatma mesajı gönder",IF($Q59="İZLE","Normal takip","Aksiyon gerekmiyor")))))</f>
        <v/>
      </c>
      <c r="S59" s="232">
        <f>IF($B59="","",COUNTIFS(AKTIVITE!$D$7:$D$1006,$B59,AKTIVITE!$J$7:$J$1006,"&lt;&gt;Tamamlandı"))</f>
        <v/>
      </c>
      <c r="T59" s="229">
        <f>IF($B59="","",IF(MUSTERILER!$K59="","",MUSTERILER!$K59))</f>
        <v/>
      </c>
      <c r="U59" s="232">
        <f>IF(OR($B59="",$T59=""),"",TODAY()-$T59)</f>
        <v/>
      </c>
      <c r="V59" s="113">
        <f>IF($B59="","",IF(ABS($J59-($K59+$L59+$M59+$N59))&lt;0.01,"UYGUN","İNCELE"))</f>
        <v/>
      </c>
      <c r="W59" s="6" t="n"/>
      <c r="X59" s="6">
        <f>IF($B59="",0,SUMIFS(UCRETLER!$J$7:$J$406,UCRETLER!$B$7:$B$406,$B59))</f>
        <v/>
      </c>
      <c r="Y59" s="3">
        <f>IF($B59="",0,SUMIFS(UCRETLER!$K$7:$K$406,UCRETLER!$B$7:$B$406,$B59))</f>
        <v/>
      </c>
      <c r="Z59" s="3">
        <f>IF($B59="",0,SUMIFS(UCRETLER!$L$7:$L$406,UCRETLER!$B$7:$B$406,$B59))</f>
        <v/>
      </c>
      <c r="AA59" s="3">
        <f>IF($B59="",0,MAX(0,$I59-$F59))</f>
        <v/>
      </c>
      <c r="AB59" s="3">
        <f>IF($B59="",0,MAX(0,$F59-$I59))</f>
        <v/>
      </c>
      <c r="AC59" s="3">
        <f>IF($B59="",0,MAX(0,$X59-$AA59))</f>
        <v/>
      </c>
      <c r="AD59" s="3">
        <f>IF($B59="",0,MAX(0,$Y59-$AA59))</f>
        <v/>
      </c>
      <c r="AE59" s="3">
        <f>IF($B59="",0,MAX(0,$Z59-$AA59))</f>
        <v/>
      </c>
    </row>
    <row r="60">
      <c r="A60" s="6" t="n"/>
      <c r="B60" s="113">
        <f>IF(MUSTERILER!$C60="","",MUSTERILER!$B60)</f>
        <v/>
      </c>
      <c r="C60" s="121">
        <f>IF(MUSTERILER!$C60="","",MUSTERILER!$C60)</f>
        <v/>
      </c>
      <c r="D60" s="227">
        <f>IF($B60="","",SUMIFS(UCRETLER!$G$7:$G$406,UCRETLER!$B$7:$B$406,$B60,UCRETLER!$F$7:$F$406,"Haftalık",UCRETLER!$H$7:$H$406,"Aktif"))</f>
        <v/>
      </c>
      <c r="E60" s="227">
        <f>IF($B60="","",SUMIFS(UCRETLER!$G$7:$G$406,UCRETLER!$B$7:$B$406,$B60,UCRETLER!$F$7:$F$406,"Aylık",UCRETLER!$H$7:$H$406,"Aktif"))</f>
        <v/>
      </c>
      <c r="F60" s="227">
        <f>IF($B60="","",SUMIFS(MUSTERILER!$J$7:$J$106,MUSTERILER!$B$7:$B$106,$B60))</f>
        <v/>
      </c>
      <c r="G60" s="227">
        <f>IF($B60="","",SUMIFS(UCRETLER!$I$7:$I$406,UCRETLER!$B$7:$B$406,$B60))</f>
        <v/>
      </c>
      <c r="H60" s="227">
        <f>IF($B60="","",$F60+$G60)</f>
        <v/>
      </c>
      <c r="I60" s="227">
        <f>IF($B60="","",SUMIFS(TAHSILAT!$F$7:$F$1506,TAHSILAT!$C$7:$C$1506,$B60))</f>
        <v/>
      </c>
      <c r="J60" s="227">
        <f>IF($B60="","",MAX(0,$H60-$I60))</f>
        <v/>
      </c>
      <c r="K60" s="227">
        <f>IF($B60="","",MAX(0,$J60-$L60-$M60-$N60))</f>
        <v/>
      </c>
      <c r="L60" s="227">
        <f>IF($B60="","",($AC60-$AD60)+IF(AND($AB60&gt;0,$T60&lt;&gt;"",$U60&gt;=8,$U60&lt;15),$AB60,0))</f>
        <v/>
      </c>
      <c r="M60" s="227">
        <f>IF($B60="","",($AD60-$AE60)+IF(AND($AB60&gt;0,$T60&lt;&gt;"",$U60&gt;=15,$U60&lt;29),$AB60,0))</f>
        <v/>
      </c>
      <c r="N60" s="227">
        <f>IF($B60="","",$AE60+IF(AND($AB60&gt;0,OR($T60="",$U60&gt;=29)),$AB60,0))</f>
        <v/>
      </c>
      <c r="O60" s="234">
        <f>IF($B60="","",IFERROR($I60/$H60,0))</f>
        <v/>
      </c>
      <c r="P60" s="229">
        <f>IF($B60="","",IFERROR(LOOKUP(2,1/(TAHSILAT!$C$7:$C$1506=$B60),TAHSILAT!$E$7:$E$1506),""))</f>
        <v/>
      </c>
      <c r="Q60" s="113">
        <f>IF($B60="","",IF($N60&gt;0,"KRİTİK",IF($M60&gt;0,"YÜKSEK",IF($L60&gt;0,"ORTA",IF($J60&gt;0,"İZLE","TEMİZ")))))</f>
        <v/>
      </c>
      <c r="R60" s="121">
        <f>IF($B60="","",IF($Q60="KRİTİK","Acil tahsilat görüşmesi ve cari mutabakat",IF($Q60="YÜKSEK","Bu hafta tahsilat takibi",IF($Q60="ORTA","Hatırlatma mesajı gönder",IF($Q60="İZLE","Normal takip","Aksiyon gerekmiyor")))))</f>
        <v/>
      </c>
      <c r="S60" s="232">
        <f>IF($B60="","",COUNTIFS(AKTIVITE!$D$7:$D$1006,$B60,AKTIVITE!$J$7:$J$1006,"&lt;&gt;Tamamlandı"))</f>
        <v/>
      </c>
      <c r="T60" s="229">
        <f>IF($B60="","",IF(MUSTERILER!$K60="","",MUSTERILER!$K60))</f>
        <v/>
      </c>
      <c r="U60" s="232">
        <f>IF(OR($B60="",$T60=""),"",TODAY()-$T60)</f>
        <v/>
      </c>
      <c r="V60" s="113">
        <f>IF($B60="","",IF(ABS($J60-($K60+$L60+$M60+$N60))&lt;0.01,"UYGUN","İNCELE"))</f>
        <v/>
      </c>
      <c r="W60" s="6" t="n"/>
      <c r="X60" s="6">
        <f>IF($B60="",0,SUMIFS(UCRETLER!$J$7:$J$406,UCRETLER!$B$7:$B$406,$B60))</f>
        <v/>
      </c>
      <c r="Y60" s="3">
        <f>IF($B60="",0,SUMIFS(UCRETLER!$K$7:$K$406,UCRETLER!$B$7:$B$406,$B60))</f>
        <v/>
      </c>
      <c r="Z60" s="3">
        <f>IF($B60="",0,SUMIFS(UCRETLER!$L$7:$L$406,UCRETLER!$B$7:$B$406,$B60))</f>
        <v/>
      </c>
      <c r="AA60" s="3">
        <f>IF($B60="",0,MAX(0,$I60-$F60))</f>
        <v/>
      </c>
      <c r="AB60" s="3">
        <f>IF($B60="",0,MAX(0,$F60-$I60))</f>
        <v/>
      </c>
      <c r="AC60" s="3">
        <f>IF($B60="",0,MAX(0,$X60-$AA60))</f>
        <v/>
      </c>
      <c r="AD60" s="3">
        <f>IF($B60="",0,MAX(0,$Y60-$AA60))</f>
        <v/>
      </c>
      <c r="AE60" s="3">
        <f>IF($B60="",0,MAX(0,$Z60-$AA60))</f>
        <v/>
      </c>
    </row>
    <row r="61">
      <c r="A61" s="6" t="n"/>
      <c r="B61" s="113">
        <f>IF(MUSTERILER!$C61="","",MUSTERILER!$B61)</f>
        <v/>
      </c>
      <c r="C61" s="121">
        <f>IF(MUSTERILER!$C61="","",MUSTERILER!$C61)</f>
        <v/>
      </c>
      <c r="D61" s="227">
        <f>IF($B61="","",SUMIFS(UCRETLER!$G$7:$G$406,UCRETLER!$B$7:$B$406,$B61,UCRETLER!$F$7:$F$406,"Haftalık",UCRETLER!$H$7:$H$406,"Aktif"))</f>
        <v/>
      </c>
      <c r="E61" s="227">
        <f>IF($B61="","",SUMIFS(UCRETLER!$G$7:$G$406,UCRETLER!$B$7:$B$406,$B61,UCRETLER!$F$7:$F$406,"Aylık",UCRETLER!$H$7:$H$406,"Aktif"))</f>
        <v/>
      </c>
      <c r="F61" s="227">
        <f>IF($B61="","",SUMIFS(MUSTERILER!$J$7:$J$106,MUSTERILER!$B$7:$B$106,$B61))</f>
        <v/>
      </c>
      <c r="G61" s="227">
        <f>IF($B61="","",SUMIFS(UCRETLER!$I$7:$I$406,UCRETLER!$B$7:$B$406,$B61))</f>
        <v/>
      </c>
      <c r="H61" s="227">
        <f>IF($B61="","",$F61+$G61)</f>
        <v/>
      </c>
      <c r="I61" s="227">
        <f>IF($B61="","",SUMIFS(TAHSILAT!$F$7:$F$1506,TAHSILAT!$C$7:$C$1506,$B61))</f>
        <v/>
      </c>
      <c r="J61" s="227">
        <f>IF($B61="","",MAX(0,$H61-$I61))</f>
        <v/>
      </c>
      <c r="K61" s="227">
        <f>IF($B61="","",MAX(0,$J61-$L61-$M61-$N61))</f>
        <v/>
      </c>
      <c r="L61" s="227">
        <f>IF($B61="","",($AC61-$AD61)+IF(AND($AB61&gt;0,$T61&lt;&gt;"",$U61&gt;=8,$U61&lt;15),$AB61,0))</f>
        <v/>
      </c>
      <c r="M61" s="227">
        <f>IF($B61="","",($AD61-$AE61)+IF(AND($AB61&gt;0,$T61&lt;&gt;"",$U61&gt;=15,$U61&lt;29),$AB61,0))</f>
        <v/>
      </c>
      <c r="N61" s="227">
        <f>IF($B61="","",$AE61+IF(AND($AB61&gt;0,OR($T61="",$U61&gt;=29)),$AB61,0))</f>
        <v/>
      </c>
      <c r="O61" s="234">
        <f>IF($B61="","",IFERROR($I61/$H61,0))</f>
        <v/>
      </c>
      <c r="P61" s="229">
        <f>IF($B61="","",IFERROR(LOOKUP(2,1/(TAHSILAT!$C$7:$C$1506=$B61),TAHSILAT!$E$7:$E$1506),""))</f>
        <v/>
      </c>
      <c r="Q61" s="113">
        <f>IF($B61="","",IF($N61&gt;0,"KRİTİK",IF($M61&gt;0,"YÜKSEK",IF($L61&gt;0,"ORTA",IF($J61&gt;0,"İZLE","TEMİZ")))))</f>
        <v/>
      </c>
      <c r="R61" s="121">
        <f>IF($B61="","",IF($Q61="KRİTİK","Acil tahsilat görüşmesi ve cari mutabakat",IF($Q61="YÜKSEK","Bu hafta tahsilat takibi",IF($Q61="ORTA","Hatırlatma mesajı gönder",IF($Q61="İZLE","Normal takip","Aksiyon gerekmiyor")))))</f>
        <v/>
      </c>
      <c r="S61" s="232">
        <f>IF($B61="","",COUNTIFS(AKTIVITE!$D$7:$D$1006,$B61,AKTIVITE!$J$7:$J$1006,"&lt;&gt;Tamamlandı"))</f>
        <v/>
      </c>
      <c r="T61" s="229">
        <f>IF($B61="","",IF(MUSTERILER!$K61="","",MUSTERILER!$K61))</f>
        <v/>
      </c>
      <c r="U61" s="232">
        <f>IF(OR($B61="",$T61=""),"",TODAY()-$T61)</f>
        <v/>
      </c>
      <c r="V61" s="113">
        <f>IF($B61="","",IF(ABS($J61-($K61+$L61+$M61+$N61))&lt;0.01,"UYGUN","İNCELE"))</f>
        <v/>
      </c>
      <c r="W61" s="6" t="n"/>
      <c r="X61" s="6">
        <f>IF($B61="",0,SUMIFS(UCRETLER!$J$7:$J$406,UCRETLER!$B$7:$B$406,$B61))</f>
        <v/>
      </c>
      <c r="Y61" s="3">
        <f>IF($B61="",0,SUMIFS(UCRETLER!$K$7:$K$406,UCRETLER!$B$7:$B$406,$B61))</f>
        <v/>
      </c>
      <c r="Z61" s="3">
        <f>IF($B61="",0,SUMIFS(UCRETLER!$L$7:$L$406,UCRETLER!$B$7:$B$406,$B61))</f>
        <v/>
      </c>
      <c r="AA61" s="3">
        <f>IF($B61="",0,MAX(0,$I61-$F61))</f>
        <v/>
      </c>
      <c r="AB61" s="3">
        <f>IF($B61="",0,MAX(0,$F61-$I61))</f>
        <v/>
      </c>
      <c r="AC61" s="3">
        <f>IF($B61="",0,MAX(0,$X61-$AA61))</f>
        <v/>
      </c>
      <c r="AD61" s="3">
        <f>IF($B61="",0,MAX(0,$Y61-$AA61))</f>
        <v/>
      </c>
      <c r="AE61" s="3">
        <f>IF($B61="",0,MAX(0,$Z61-$AA61))</f>
        <v/>
      </c>
    </row>
    <row r="62">
      <c r="A62" s="6" t="n"/>
      <c r="B62" s="113">
        <f>IF(MUSTERILER!$C62="","",MUSTERILER!$B62)</f>
        <v/>
      </c>
      <c r="C62" s="121">
        <f>IF(MUSTERILER!$C62="","",MUSTERILER!$C62)</f>
        <v/>
      </c>
      <c r="D62" s="227">
        <f>IF($B62="","",SUMIFS(UCRETLER!$G$7:$G$406,UCRETLER!$B$7:$B$406,$B62,UCRETLER!$F$7:$F$406,"Haftalık",UCRETLER!$H$7:$H$406,"Aktif"))</f>
        <v/>
      </c>
      <c r="E62" s="227">
        <f>IF($B62="","",SUMIFS(UCRETLER!$G$7:$G$406,UCRETLER!$B$7:$B$406,$B62,UCRETLER!$F$7:$F$406,"Aylık",UCRETLER!$H$7:$H$406,"Aktif"))</f>
        <v/>
      </c>
      <c r="F62" s="227">
        <f>IF($B62="","",SUMIFS(MUSTERILER!$J$7:$J$106,MUSTERILER!$B$7:$B$106,$B62))</f>
        <v/>
      </c>
      <c r="G62" s="227">
        <f>IF($B62="","",SUMIFS(UCRETLER!$I$7:$I$406,UCRETLER!$B$7:$B$406,$B62))</f>
        <v/>
      </c>
      <c r="H62" s="227">
        <f>IF($B62="","",$F62+$G62)</f>
        <v/>
      </c>
      <c r="I62" s="227">
        <f>IF($B62="","",SUMIFS(TAHSILAT!$F$7:$F$1506,TAHSILAT!$C$7:$C$1506,$B62))</f>
        <v/>
      </c>
      <c r="J62" s="227">
        <f>IF($B62="","",MAX(0,$H62-$I62))</f>
        <v/>
      </c>
      <c r="K62" s="227">
        <f>IF($B62="","",MAX(0,$J62-$L62-$M62-$N62))</f>
        <v/>
      </c>
      <c r="L62" s="227">
        <f>IF($B62="","",($AC62-$AD62)+IF(AND($AB62&gt;0,$T62&lt;&gt;"",$U62&gt;=8,$U62&lt;15),$AB62,0))</f>
        <v/>
      </c>
      <c r="M62" s="227">
        <f>IF($B62="","",($AD62-$AE62)+IF(AND($AB62&gt;0,$T62&lt;&gt;"",$U62&gt;=15,$U62&lt;29),$AB62,0))</f>
        <v/>
      </c>
      <c r="N62" s="227">
        <f>IF($B62="","",$AE62+IF(AND($AB62&gt;0,OR($T62="",$U62&gt;=29)),$AB62,0))</f>
        <v/>
      </c>
      <c r="O62" s="234">
        <f>IF($B62="","",IFERROR($I62/$H62,0))</f>
        <v/>
      </c>
      <c r="P62" s="229">
        <f>IF($B62="","",IFERROR(LOOKUP(2,1/(TAHSILAT!$C$7:$C$1506=$B62),TAHSILAT!$E$7:$E$1506),""))</f>
        <v/>
      </c>
      <c r="Q62" s="113">
        <f>IF($B62="","",IF($N62&gt;0,"KRİTİK",IF($M62&gt;0,"YÜKSEK",IF($L62&gt;0,"ORTA",IF($J62&gt;0,"İZLE","TEMİZ")))))</f>
        <v/>
      </c>
      <c r="R62" s="121">
        <f>IF($B62="","",IF($Q62="KRİTİK","Acil tahsilat görüşmesi ve cari mutabakat",IF($Q62="YÜKSEK","Bu hafta tahsilat takibi",IF($Q62="ORTA","Hatırlatma mesajı gönder",IF($Q62="İZLE","Normal takip","Aksiyon gerekmiyor")))))</f>
        <v/>
      </c>
      <c r="S62" s="232">
        <f>IF($B62="","",COUNTIFS(AKTIVITE!$D$7:$D$1006,$B62,AKTIVITE!$J$7:$J$1006,"&lt;&gt;Tamamlandı"))</f>
        <v/>
      </c>
      <c r="T62" s="229">
        <f>IF($B62="","",IF(MUSTERILER!$K62="","",MUSTERILER!$K62))</f>
        <v/>
      </c>
      <c r="U62" s="232">
        <f>IF(OR($B62="",$T62=""),"",TODAY()-$T62)</f>
        <v/>
      </c>
      <c r="V62" s="113">
        <f>IF($B62="","",IF(ABS($J62-($K62+$L62+$M62+$N62))&lt;0.01,"UYGUN","İNCELE"))</f>
        <v/>
      </c>
      <c r="W62" s="6" t="n"/>
      <c r="X62" s="6">
        <f>IF($B62="",0,SUMIFS(UCRETLER!$J$7:$J$406,UCRETLER!$B$7:$B$406,$B62))</f>
        <v/>
      </c>
      <c r="Y62" s="3">
        <f>IF($B62="",0,SUMIFS(UCRETLER!$K$7:$K$406,UCRETLER!$B$7:$B$406,$B62))</f>
        <v/>
      </c>
      <c r="Z62" s="3">
        <f>IF($B62="",0,SUMIFS(UCRETLER!$L$7:$L$406,UCRETLER!$B$7:$B$406,$B62))</f>
        <v/>
      </c>
      <c r="AA62" s="3">
        <f>IF($B62="",0,MAX(0,$I62-$F62))</f>
        <v/>
      </c>
      <c r="AB62" s="3">
        <f>IF($B62="",0,MAX(0,$F62-$I62))</f>
        <v/>
      </c>
      <c r="AC62" s="3">
        <f>IF($B62="",0,MAX(0,$X62-$AA62))</f>
        <v/>
      </c>
      <c r="AD62" s="3">
        <f>IF($B62="",0,MAX(0,$Y62-$AA62))</f>
        <v/>
      </c>
      <c r="AE62" s="3">
        <f>IF($B62="",0,MAX(0,$Z62-$AA62))</f>
        <v/>
      </c>
    </row>
    <row r="63">
      <c r="A63" s="6" t="n"/>
      <c r="B63" s="113">
        <f>IF(MUSTERILER!$C63="","",MUSTERILER!$B63)</f>
        <v/>
      </c>
      <c r="C63" s="121">
        <f>IF(MUSTERILER!$C63="","",MUSTERILER!$C63)</f>
        <v/>
      </c>
      <c r="D63" s="227">
        <f>IF($B63="","",SUMIFS(UCRETLER!$G$7:$G$406,UCRETLER!$B$7:$B$406,$B63,UCRETLER!$F$7:$F$406,"Haftalık",UCRETLER!$H$7:$H$406,"Aktif"))</f>
        <v/>
      </c>
      <c r="E63" s="227">
        <f>IF($B63="","",SUMIFS(UCRETLER!$G$7:$G$406,UCRETLER!$B$7:$B$406,$B63,UCRETLER!$F$7:$F$406,"Aylık",UCRETLER!$H$7:$H$406,"Aktif"))</f>
        <v/>
      </c>
      <c r="F63" s="227">
        <f>IF($B63="","",SUMIFS(MUSTERILER!$J$7:$J$106,MUSTERILER!$B$7:$B$106,$B63))</f>
        <v/>
      </c>
      <c r="G63" s="227">
        <f>IF($B63="","",SUMIFS(UCRETLER!$I$7:$I$406,UCRETLER!$B$7:$B$406,$B63))</f>
        <v/>
      </c>
      <c r="H63" s="227">
        <f>IF($B63="","",$F63+$G63)</f>
        <v/>
      </c>
      <c r="I63" s="227">
        <f>IF($B63="","",SUMIFS(TAHSILAT!$F$7:$F$1506,TAHSILAT!$C$7:$C$1506,$B63))</f>
        <v/>
      </c>
      <c r="J63" s="227">
        <f>IF($B63="","",MAX(0,$H63-$I63))</f>
        <v/>
      </c>
      <c r="K63" s="227">
        <f>IF($B63="","",MAX(0,$J63-$L63-$M63-$N63))</f>
        <v/>
      </c>
      <c r="L63" s="227">
        <f>IF($B63="","",($AC63-$AD63)+IF(AND($AB63&gt;0,$T63&lt;&gt;"",$U63&gt;=8,$U63&lt;15),$AB63,0))</f>
        <v/>
      </c>
      <c r="M63" s="227">
        <f>IF($B63="","",($AD63-$AE63)+IF(AND($AB63&gt;0,$T63&lt;&gt;"",$U63&gt;=15,$U63&lt;29),$AB63,0))</f>
        <v/>
      </c>
      <c r="N63" s="227">
        <f>IF($B63="","",$AE63+IF(AND($AB63&gt;0,OR($T63="",$U63&gt;=29)),$AB63,0))</f>
        <v/>
      </c>
      <c r="O63" s="234">
        <f>IF($B63="","",IFERROR($I63/$H63,0))</f>
        <v/>
      </c>
      <c r="P63" s="229">
        <f>IF($B63="","",IFERROR(LOOKUP(2,1/(TAHSILAT!$C$7:$C$1506=$B63),TAHSILAT!$E$7:$E$1506),""))</f>
        <v/>
      </c>
      <c r="Q63" s="113">
        <f>IF($B63="","",IF($N63&gt;0,"KRİTİK",IF($M63&gt;0,"YÜKSEK",IF($L63&gt;0,"ORTA",IF($J63&gt;0,"İZLE","TEMİZ")))))</f>
        <v/>
      </c>
      <c r="R63" s="121">
        <f>IF($B63="","",IF($Q63="KRİTİK","Acil tahsilat görüşmesi ve cari mutabakat",IF($Q63="YÜKSEK","Bu hafta tahsilat takibi",IF($Q63="ORTA","Hatırlatma mesajı gönder",IF($Q63="İZLE","Normal takip","Aksiyon gerekmiyor")))))</f>
        <v/>
      </c>
      <c r="S63" s="232">
        <f>IF($B63="","",COUNTIFS(AKTIVITE!$D$7:$D$1006,$B63,AKTIVITE!$J$7:$J$1006,"&lt;&gt;Tamamlandı"))</f>
        <v/>
      </c>
      <c r="T63" s="229">
        <f>IF($B63="","",IF(MUSTERILER!$K63="","",MUSTERILER!$K63))</f>
        <v/>
      </c>
      <c r="U63" s="232">
        <f>IF(OR($B63="",$T63=""),"",TODAY()-$T63)</f>
        <v/>
      </c>
      <c r="V63" s="113">
        <f>IF($B63="","",IF(ABS($J63-($K63+$L63+$M63+$N63))&lt;0.01,"UYGUN","İNCELE"))</f>
        <v/>
      </c>
      <c r="W63" s="6" t="n"/>
      <c r="X63" s="6">
        <f>IF($B63="",0,SUMIFS(UCRETLER!$J$7:$J$406,UCRETLER!$B$7:$B$406,$B63))</f>
        <v/>
      </c>
      <c r="Y63" s="3">
        <f>IF($B63="",0,SUMIFS(UCRETLER!$K$7:$K$406,UCRETLER!$B$7:$B$406,$B63))</f>
        <v/>
      </c>
      <c r="Z63" s="3">
        <f>IF($B63="",0,SUMIFS(UCRETLER!$L$7:$L$406,UCRETLER!$B$7:$B$406,$B63))</f>
        <v/>
      </c>
      <c r="AA63" s="3">
        <f>IF($B63="",0,MAX(0,$I63-$F63))</f>
        <v/>
      </c>
      <c r="AB63" s="3">
        <f>IF($B63="",0,MAX(0,$F63-$I63))</f>
        <v/>
      </c>
      <c r="AC63" s="3">
        <f>IF($B63="",0,MAX(0,$X63-$AA63))</f>
        <v/>
      </c>
      <c r="AD63" s="3">
        <f>IF($B63="",0,MAX(0,$Y63-$AA63))</f>
        <v/>
      </c>
      <c r="AE63" s="3">
        <f>IF($B63="",0,MAX(0,$Z63-$AA63))</f>
        <v/>
      </c>
    </row>
    <row r="64">
      <c r="A64" s="6" t="n"/>
      <c r="B64" s="113">
        <f>IF(MUSTERILER!$C64="","",MUSTERILER!$B64)</f>
        <v/>
      </c>
      <c r="C64" s="121">
        <f>IF(MUSTERILER!$C64="","",MUSTERILER!$C64)</f>
        <v/>
      </c>
      <c r="D64" s="227">
        <f>IF($B64="","",SUMIFS(UCRETLER!$G$7:$G$406,UCRETLER!$B$7:$B$406,$B64,UCRETLER!$F$7:$F$406,"Haftalık",UCRETLER!$H$7:$H$406,"Aktif"))</f>
        <v/>
      </c>
      <c r="E64" s="227">
        <f>IF($B64="","",SUMIFS(UCRETLER!$G$7:$G$406,UCRETLER!$B$7:$B$406,$B64,UCRETLER!$F$7:$F$406,"Aylık",UCRETLER!$H$7:$H$406,"Aktif"))</f>
        <v/>
      </c>
      <c r="F64" s="227">
        <f>IF($B64="","",SUMIFS(MUSTERILER!$J$7:$J$106,MUSTERILER!$B$7:$B$106,$B64))</f>
        <v/>
      </c>
      <c r="G64" s="227">
        <f>IF($B64="","",SUMIFS(UCRETLER!$I$7:$I$406,UCRETLER!$B$7:$B$406,$B64))</f>
        <v/>
      </c>
      <c r="H64" s="227">
        <f>IF($B64="","",$F64+$G64)</f>
        <v/>
      </c>
      <c r="I64" s="227">
        <f>IF($B64="","",SUMIFS(TAHSILAT!$F$7:$F$1506,TAHSILAT!$C$7:$C$1506,$B64))</f>
        <v/>
      </c>
      <c r="J64" s="227">
        <f>IF($B64="","",MAX(0,$H64-$I64))</f>
        <v/>
      </c>
      <c r="K64" s="227">
        <f>IF($B64="","",MAX(0,$J64-$L64-$M64-$N64))</f>
        <v/>
      </c>
      <c r="L64" s="227">
        <f>IF($B64="","",($AC64-$AD64)+IF(AND($AB64&gt;0,$T64&lt;&gt;"",$U64&gt;=8,$U64&lt;15),$AB64,0))</f>
        <v/>
      </c>
      <c r="M64" s="227">
        <f>IF($B64="","",($AD64-$AE64)+IF(AND($AB64&gt;0,$T64&lt;&gt;"",$U64&gt;=15,$U64&lt;29),$AB64,0))</f>
        <v/>
      </c>
      <c r="N64" s="227">
        <f>IF($B64="","",$AE64+IF(AND($AB64&gt;0,OR($T64="",$U64&gt;=29)),$AB64,0))</f>
        <v/>
      </c>
      <c r="O64" s="234">
        <f>IF($B64="","",IFERROR($I64/$H64,0))</f>
        <v/>
      </c>
      <c r="P64" s="229">
        <f>IF($B64="","",IFERROR(LOOKUP(2,1/(TAHSILAT!$C$7:$C$1506=$B64),TAHSILAT!$E$7:$E$1506),""))</f>
        <v/>
      </c>
      <c r="Q64" s="113">
        <f>IF($B64="","",IF($N64&gt;0,"KRİTİK",IF($M64&gt;0,"YÜKSEK",IF($L64&gt;0,"ORTA",IF($J64&gt;0,"İZLE","TEMİZ")))))</f>
        <v/>
      </c>
      <c r="R64" s="121">
        <f>IF($B64="","",IF($Q64="KRİTİK","Acil tahsilat görüşmesi ve cari mutabakat",IF($Q64="YÜKSEK","Bu hafta tahsilat takibi",IF($Q64="ORTA","Hatırlatma mesajı gönder",IF($Q64="İZLE","Normal takip","Aksiyon gerekmiyor")))))</f>
        <v/>
      </c>
      <c r="S64" s="232">
        <f>IF($B64="","",COUNTIFS(AKTIVITE!$D$7:$D$1006,$B64,AKTIVITE!$J$7:$J$1006,"&lt;&gt;Tamamlandı"))</f>
        <v/>
      </c>
      <c r="T64" s="229">
        <f>IF($B64="","",IF(MUSTERILER!$K64="","",MUSTERILER!$K64))</f>
        <v/>
      </c>
      <c r="U64" s="232">
        <f>IF(OR($B64="",$T64=""),"",TODAY()-$T64)</f>
        <v/>
      </c>
      <c r="V64" s="113">
        <f>IF($B64="","",IF(ABS($J64-($K64+$L64+$M64+$N64))&lt;0.01,"UYGUN","İNCELE"))</f>
        <v/>
      </c>
      <c r="W64" s="6" t="n"/>
      <c r="X64" s="6">
        <f>IF($B64="",0,SUMIFS(UCRETLER!$J$7:$J$406,UCRETLER!$B$7:$B$406,$B64))</f>
        <v/>
      </c>
      <c r="Y64" s="3">
        <f>IF($B64="",0,SUMIFS(UCRETLER!$K$7:$K$406,UCRETLER!$B$7:$B$406,$B64))</f>
        <v/>
      </c>
      <c r="Z64" s="3">
        <f>IF($B64="",0,SUMIFS(UCRETLER!$L$7:$L$406,UCRETLER!$B$7:$B$406,$B64))</f>
        <v/>
      </c>
      <c r="AA64" s="3">
        <f>IF($B64="",0,MAX(0,$I64-$F64))</f>
        <v/>
      </c>
      <c r="AB64" s="3">
        <f>IF($B64="",0,MAX(0,$F64-$I64))</f>
        <v/>
      </c>
      <c r="AC64" s="3">
        <f>IF($B64="",0,MAX(0,$X64-$AA64))</f>
        <v/>
      </c>
      <c r="AD64" s="3">
        <f>IF($B64="",0,MAX(0,$Y64-$AA64))</f>
        <v/>
      </c>
      <c r="AE64" s="3">
        <f>IF($B64="",0,MAX(0,$Z64-$AA64))</f>
        <v/>
      </c>
    </row>
    <row r="65">
      <c r="A65" s="6" t="n"/>
      <c r="B65" s="113">
        <f>IF(MUSTERILER!$C65="","",MUSTERILER!$B65)</f>
        <v/>
      </c>
      <c r="C65" s="121">
        <f>IF(MUSTERILER!$C65="","",MUSTERILER!$C65)</f>
        <v/>
      </c>
      <c r="D65" s="227">
        <f>IF($B65="","",SUMIFS(UCRETLER!$G$7:$G$406,UCRETLER!$B$7:$B$406,$B65,UCRETLER!$F$7:$F$406,"Haftalık",UCRETLER!$H$7:$H$406,"Aktif"))</f>
        <v/>
      </c>
      <c r="E65" s="227">
        <f>IF($B65="","",SUMIFS(UCRETLER!$G$7:$G$406,UCRETLER!$B$7:$B$406,$B65,UCRETLER!$F$7:$F$406,"Aylık",UCRETLER!$H$7:$H$406,"Aktif"))</f>
        <v/>
      </c>
      <c r="F65" s="227">
        <f>IF($B65="","",SUMIFS(MUSTERILER!$J$7:$J$106,MUSTERILER!$B$7:$B$106,$B65))</f>
        <v/>
      </c>
      <c r="G65" s="227">
        <f>IF($B65="","",SUMIFS(UCRETLER!$I$7:$I$406,UCRETLER!$B$7:$B$406,$B65))</f>
        <v/>
      </c>
      <c r="H65" s="227">
        <f>IF($B65="","",$F65+$G65)</f>
        <v/>
      </c>
      <c r="I65" s="227">
        <f>IF($B65="","",SUMIFS(TAHSILAT!$F$7:$F$1506,TAHSILAT!$C$7:$C$1506,$B65))</f>
        <v/>
      </c>
      <c r="J65" s="227">
        <f>IF($B65="","",MAX(0,$H65-$I65))</f>
        <v/>
      </c>
      <c r="K65" s="227">
        <f>IF($B65="","",MAX(0,$J65-$L65-$M65-$N65))</f>
        <v/>
      </c>
      <c r="L65" s="227">
        <f>IF($B65="","",($AC65-$AD65)+IF(AND($AB65&gt;0,$T65&lt;&gt;"",$U65&gt;=8,$U65&lt;15),$AB65,0))</f>
        <v/>
      </c>
      <c r="M65" s="227">
        <f>IF($B65="","",($AD65-$AE65)+IF(AND($AB65&gt;0,$T65&lt;&gt;"",$U65&gt;=15,$U65&lt;29),$AB65,0))</f>
        <v/>
      </c>
      <c r="N65" s="227">
        <f>IF($B65="","",$AE65+IF(AND($AB65&gt;0,OR($T65="",$U65&gt;=29)),$AB65,0))</f>
        <v/>
      </c>
      <c r="O65" s="234">
        <f>IF($B65="","",IFERROR($I65/$H65,0))</f>
        <v/>
      </c>
      <c r="P65" s="229">
        <f>IF($B65="","",IFERROR(LOOKUP(2,1/(TAHSILAT!$C$7:$C$1506=$B65),TAHSILAT!$E$7:$E$1506),""))</f>
        <v/>
      </c>
      <c r="Q65" s="113">
        <f>IF($B65="","",IF($N65&gt;0,"KRİTİK",IF($M65&gt;0,"YÜKSEK",IF($L65&gt;0,"ORTA",IF($J65&gt;0,"İZLE","TEMİZ")))))</f>
        <v/>
      </c>
      <c r="R65" s="121">
        <f>IF($B65="","",IF($Q65="KRİTİK","Acil tahsilat görüşmesi ve cari mutabakat",IF($Q65="YÜKSEK","Bu hafta tahsilat takibi",IF($Q65="ORTA","Hatırlatma mesajı gönder",IF($Q65="İZLE","Normal takip","Aksiyon gerekmiyor")))))</f>
        <v/>
      </c>
      <c r="S65" s="232">
        <f>IF($B65="","",COUNTIFS(AKTIVITE!$D$7:$D$1006,$B65,AKTIVITE!$J$7:$J$1006,"&lt;&gt;Tamamlandı"))</f>
        <v/>
      </c>
      <c r="T65" s="229">
        <f>IF($B65="","",IF(MUSTERILER!$K65="","",MUSTERILER!$K65))</f>
        <v/>
      </c>
      <c r="U65" s="232">
        <f>IF(OR($B65="",$T65=""),"",TODAY()-$T65)</f>
        <v/>
      </c>
      <c r="V65" s="113">
        <f>IF($B65="","",IF(ABS($J65-($K65+$L65+$M65+$N65))&lt;0.01,"UYGUN","İNCELE"))</f>
        <v/>
      </c>
      <c r="W65" s="6" t="n"/>
      <c r="X65" s="6">
        <f>IF($B65="",0,SUMIFS(UCRETLER!$J$7:$J$406,UCRETLER!$B$7:$B$406,$B65))</f>
        <v/>
      </c>
      <c r="Y65" s="3">
        <f>IF($B65="",0,SUMIFS(UCRETLER!$K$7:$K$406,UCRETLER!$B$7:$B$406,$B65))</f>
        <v/>
      </c>
      <c r="Z65" s="3">
        <f>IF($B65="",0,SUMIFS(UCRETLER!$L$7:$L$406,UCRETLER!$B$7:$B$406,$B65))</f>
        <v/>
      </c>
      <c r="AA65" s="3">
        <f>IF($B65="",0,MAX(0,$I65-$F65))</f>
        <v/>
      </c>
      <c r="AB65" s="3">
        <f>IF($B65="",0,MAX(0,$F65-$I65))</f>
        <v/>
      </c>
      <c r="AC65" s="3">
        <f>IF($B65="",0,MAX(0,$X65-$AA65))</f>
        <v/>
      </c>
      <c r="AD65" s="3">
        <f>IF($B65="",0,MAX(0,$Y65-$AA65))</f>
        <v/>
      </c>
      <c r="AE65" s="3">
        <f>IF($B65="",0,MAX(0,$Z65-$AA65))</f>
        <v/>
      </c>
    </row>
    <row r="66">
      <c r="A66" s="6" t="n"/>
      <c r="B66" s="113">
        <f>IF(MUSTERILER!$C66="","",MUSTERILER!$B66)</f>
        <v/>
      </c>
      <c r="C66" s="121">
        <f>IF(MUSTERILER!$C66="","",MUSTERILER!$C66)</f>
        <v/>
      </c>
      <c r="D66" s="227">
        <f>IF($B66="","",SUMIFS(UCRETLER!$G$7:$G$406,UCRETLER!$B$7:$B$406,$B66,UCRETLER!$F$7:$F$406,"Haftalık",UCRETLER!$H$7:$H$406,"Aktif"))</f>
        <v/>
      </c>
      <c r="E66" s="227">
        <f>IF($B66="","",SUMIFS(UCRETLER!$G$7:$G$406,UCRETLER!$B$7:$B$406,$B66,UCRETLER!$F$7:$F$406,"Aylık",UCRETLER!$H$7:$H$406,"Aktif"))</f>
        <v/>
      </c>
      <c r="F66" s="227">
        <f>IF($B66="","",SUMIFS(MUSTERILER!$J$7:$J$106,MUSTERILER!$B$7:$B$106,$B66))</f>
        <v/>
      </c>
      <c r="G66" s="227">
        <f>IF($B66="","",SUMIFS(UCRETLER!$I$7:$I$406,UCRETLER!$B$7:$B$406,$B66))</f>
        <v/>
      </c>
      <c r="H66" s="227">
        <f>IF($B66="","",$F66+$G66)</f>
        <v/>
      </c>
      <c r="I66" s="227">
        <f>IF($B66="","",SUMIFS(TAHSILAT!$F$7:$F$1506,TAHSILAT!$C$7:$C$1506,$B66))</f>
        <v/>
      </c>
      <c r="J66" s="227">
        <f>IF($B66="","",MAX(0,$H66-$I66))</f>
        <v/>
      </c>
      <c r="K66" s="227">
        <f>IF($B66="","",MAX(0,$J66-$L66-$M66-$N66))</f>
        <v/>
      </c>
      <c r="L66" s="227">
        <f>IF($B66="","",($AC66-$AD66)+IF(AND($AB66&gt;0,$T66&lt;&gt;"",$U66&gt;=8,$U66&lt;15),$AB66,0))</f>
        <v/>
      </c>
      <c r="M66" s="227">
        <f>IF($B66="","",($AD66-$AE66)+IF(AND($AB66&gt;0,$T66&lt;&gt;"",$U66&gt;=15,$U66&lt;29),$AB66,0))</f>
        <v/>
      </c>
      <c r="N66" s="227">
        <f>IF($B66="","",$AE66+IF(AND($AB66&gt;0,OR($T66="",$U66&gt;=29)),$AB66,0))</f>
        <v/>
      </c>
      <c r="O66" s="234">
        <f>IF($B66="","",IFERROR($I66/$H66,0))</f>
        <v/>
      </c>
      <c r="P66" s="229">
        <f>IF($B66="","",IFERROR(LOOKUP(2,1/(TAHSILAT!$C$7:$C$1506=$B66),TAHSILAT!$E$7:$E$1506),""))</f>
        <v/>
      </c>
      <c r="Q66" s="113">
        <f>IF($B66="","",IF($N66&gt;0,"KRİTİK",IF($M66&gt;0,"YÜKSEK",IF($L66&gt;0,"ORTA",IF($J66&gt;0,"İZLE","TEMİZ")))))</f>
        <v/>
      </c>
      <c r="R66" s="121">
        <f>IF($B66="","",IF($Q66="KRİTİK","Acil tahsilat görüşmesi ve cari mutabakat",IF($Q66="YÜKSEK","Bu hafta tahsilat takibi",IF($Q66="ORTA","Hatırlatma mesajı gönder",IF($Q66="İZLE","Normal takip","Aksiyon gerekmiyor")))))</f>
        <v/>
      </c>
      <c r="S66" s="232">
        <f>IF($B66="","",COUNTIFS(AKTIVITE!$D$7:$D$1006,$B66,AKTIVITE!$J$7:$J$1006,"&lt;&gt;Tamamlandı"))</f>
        <v/>
      </c>
      <c r="T66" s="229">
        <f>IF($B66="","",IF(MUSTERILER!$K66="","",MUSTERILER!$K66))</f>
        <v/>
      </c>
      <c r="U66" s="232">
        <f>IF(OR($B66="",$T66=""),"",TODAY()-$T66)</f>
        <v/>
      </c>
      <c r="V66" s="113">
        <f>IF($B66="","",IF(ABS($J66-($K66+$L66+$M66+$N66))&lt;0.01,"UYGUN","İNCELE"))</f>
        <v/>
      </c>
      <c r="W66" s="6" t="n"/>
      <c r="X66" s="6">
        <f>IF($B66="",0,SUMIFS(UCRETLER!$J$7:$J$406,UCRETLER!$B$7:$B$406,$B66))</f>
        <v/>
      </c>
      <c r="Y66" s="3">
        <f>IF($B66="",0,SUMIFS(UCRETLER!$K$7:$K$406,UCRETLER!$B$7:$B$406,$B66))</f>
        <v/>
      </c>
      <c r="Z66" s="3">
        <f>IF($B66="",0,SUMIFS(UCRETLER!$L$7:$L$406,UCRETLER!$B$7:$B$406,$B66))</f>
        <v/>
      </c>
      <c r="AA66" s="3">
        <f>IF($B66="",0,MAX(0,$I66-$F66))</f>
        <v/>
      </c>
      <c r="AB66" s="3">
        <f>IF($B66="",0,MAX(0,$F66-$I66))</f>
        <v/>
      </c>
      <c r="AC66" s="3">
        <f>IF($B66="",0,MAX(0,$X66-$AA66))</f>
        <v/>
      </c>
      <c r="AD66" s="3">
        <f>IF($B66="",0,MAX(0,$Y66-$AA66))</f>
        <v/>
      </c>
      <c r="AE66" s="3">
        <f>IF($B66="",0,MAX(0,$Z66-$AA66))</f>
        <v/>
      </c>
    </row>
    <row r="67">
      <c r="A67" s="6" t="n"/>
      <c r="B67" s="113">
        <f>IF(MUSTERILER!$C67="","",MUSTERILER!$B67)</f>
        <v/>
      </c>
      <c r="C67" s="121">
        <f>IF(MUSTERILER!$C67="","",MUSTERILER!$C67)</f>
        <v/>
      </c>
      <c r="D67" s="227">
        <f>IF($B67="","",SUMIFS(UCRETLER!$G$7:$G$406,UCRETLER!$B$7:$B$406,$B67,UCRETLER!$F$7:$F$406,"Haftalık",UCRETLER!$H$7:$H$406,"Aktif"))</f>
        <v/>
      </c>
      <c r="E67" s="227">
        <f>IF($B67="","",SUMIFS(UCRETLER!$G$7:$G$406,UCRETLER!$B$7:$B$406,$B67,UCRETLER!$F$7:$F$406,"Aylık",UCRETLER!$H$7:$H$406,"Aktif"))</f>
        <v/>
      </c>
      <c r="F67" s="227">
        <f>IF($B67="","",SUMIFS(MUSTERILER!$J$7:$J$106,MUSTERILER!$B$7:$B$106,$B67))</f>
        <v/>
      </c>
      <c r="G67" s="227">
        <f>IF($B67="","",SUMIFS(UCRETLER!$I$7:$I$406,UCRETLER!$B$7:$B$406,$B67))</f>
        <v/>
      </c>
      <c r="H67" s="227">
        <f>IF($B67="","",$F67+$G67)</f>
        <v/>
      </c>
      <c r="I67" s="227">
        <f>IF($B67="","",SUMIFS(TAHSILAT!$F$7:$F$1506,TAHSILAT!$C$7:$C$1506,$B67))</f>
        <v/>
      </c>
      <c r="J67" s="227">
        <f>IF($B67="","",MAX(0,$H67-$I67))</f>
        <v/>
      </c>
      <c r="K67" s="227">
        <f>IF($B67="","",MAX(0,$J67-$L67-$M67-$N67))</f>
        <v/>
      </c>
      <c r="L67" s="227">
        <f>IF($B67="","",($AC67-$AD67)+IF(AND($AB67&gt;0,$T67&lt;&gt;"",$U67&gt;=8,$U67&lt;15),$AB67,0))</f>
        <v/>
      </c>
      <c r="M67" s="227">
        <f>IF($B67="","",($AD67-$AE67)+IF(AND($AB67&gt;0,$T67&lt;&gt;"",$U67&gt;=15,$U67&lt;29),$AB67,0))</f>
        <v/>
      </c>
      <c r="N67" s="227">
        <f>IF($B67="","",$AE67+IF(AND($AB67&gt;0,OR($T67="",$U67&gt;=29)),$AB67,0))</f>
        <v/>
      </c>
      <c r="O67" s="234">
        <f>IF($B67="","",IFERROR($I67/$H67,0))</f>
        <v/>
      </c>
      <c r="P67" s="229">
        <f>IF($B67="","",IFERROR(LOOKUP(2,1/(TAHSILAT!$C$7:$C$1506=$B67),TAHSILAT!$E$7:$E$1506),""))</f>
        <v/>
      </c>
      <c r="Q67" s="113">
        <f>IF($B67="","",IF($N67&gt;0,"KRİTİK",IF($M67&gt;0,"YÜKSEK",IF($L67&gt;0,"ORTA",IF($J67&gt;0,"İZLE","TEMİZ")))))</f>
        <v/>
      </c>
      <c r="R67" s="121">
        <f>IF($B67="","",IF($Q67="KRİTİK","Acil tahsilat görüşmesi ve cari mutabakat",IF($Q67="YÜKSEK","Bu hafta tahsilat takibi",IF($Q67="ORTA","Hatırlatma mesajı gönder",IF($Q67="İZLE","Normal takip","Aksiyon gerekmiyor")))))</f>
        <v/>
      </c>
      <c r="S67" s="232">
        <f>IF($B67="","",COUNTIFS(AKTIVITE!$D$7:$D$1006,$B67,AKTIVITE!$J$7:$J$1006,"&lt;&gt;Tamamlandı"))</f>
        <v/>
      </c>
      <c r="T67" s="229">
        <f>IF($B67="","",IF(MUSTERILER!$K67="","",MUSTERILER!$K67))</f>
        <v/>
      </c>
      <c r="U67" s="232">
        <f>IF(OR($B67="",$T67=""),"",TODAY()-$T67)</f>
        <v/>
      </c>
      <c r="V67" s="113">
        <f>IF($B67="","",IF(ABS($J67-($K67+$L67+$M67+$N67))&lt;0.01,"UYGUN","İNCELE"))</f>
        <v/>
      </c>
      <c r="W67" s="6" t="n"/>
      <c r="X67" s="6">
        <f>IF($B67="",0,SUMIFS(UCRETLER!$J$7:$J$406,UCRETLER!$B$7:$B$406,$B67))</f>
        <v/>
      </c>
      <c r="Y67" s="3">
        <f>IF($B67="",0,SUMIFS(UCRETLER!$K$7:$K$406,UCRETLER!$B$7:$B$406,$B67))</f>
        <v/>
      </c>
      <c r="Z67" s="3">
        <f>IF($B67="",0,SUMIFS(UCRETLER!$L$7:$L$406,UCRETLER!$B$7:$B$406,$B67))</f>
        <v/>
      </c>
      <c r="AA67" s="3">
        <f>IF($B67="",0,MAX(0,$I67-$F67))</f>
        <v/>
      </c>
      <c r="AB67" s="3">
        <f>IF($B67="",0,MAX(0,$F67-$I67))</f>
        <v/>
      </c>
      <c r="AC67" s="3">
        <f>IF($B67="",0,MAX(0,$X67-$AA67))</f>
        <v/>
      </c>
      <c r="AD67" s="3">
        <f>IF($B67="",0,MAX(0,$Y67-$AA67))</f>
        <v/>
      </c>
      <c r="AE67" s="3">
        <f>IF($B67="",0,MAX(0,$Z67-$AA67))</f>
        <v/>
      </c>
    </row>
    <row r="68">
      <c r="A68" s="6" t="n"/>
      <c r="B68" s="113">
        <f>IF(MUSTERILER!$C68="","",MUSTERILER!$B68)</f>
        <v/>
      </c>
      <c r="C68" s="121">
        <f>IF(MUSTERILER!$C68="","",MUSTERILER!$C68)</f>
        <v/>
      </c>
      <c r="D68" s="227">
        <f>IF($B68="","",SUMIFS(UCRETLER!$G$7:$G$406,UCRETLER!$B$7:$B$406,$B68,UCRETLER!$F$7:$F$406,"Haftalık",UCRETLER!$H$7:$H$406,"Aktif"))</f>
        <v/>
      </c>
      <c r="E68" s="227">
        <f>IF($B68="","",SUMIFS(UCRETLER!$G$7:$G$406,UCRETLER!$B$7:$B$406,$B68,UCRETLER!$F$7:$F$406,"Aylık",UCRETLER!$H$7:$H$406,"Aktif"))</f>
        <v/>
      </c>
      <c r="F68" s="227">
        <f>IF($B68="","",SUMIFS(MUSTERILER!$J$7:$J$106,MUSTERILER!$B$7:$B$106,$B68))</f>
        <v/>
      </c>
      <c r="G68" s="227">
        <f>IF($B68="","",SUMIFS(UCRETLER!$I$7:$I$406,UCRETLER!$B$7:$B$406,$B68))</f>
        <v/>
      </c>
      <c r="H68" s="227">
        <f>IF($B68="","",$F68+$G68)</f>
        <v/>
      </c>
      <c r="I68" s="227">
        <f>IF($B68="","",SUMIFS(TAHSILAT!$F$7:$F$1506,TAHSILAT!$C$7:$C$1506,$B68))</f>
        <v/>
      </c>
      <c r="J68" s="227">
        <f>IF($B68="","",MAX(0,$H68-$I68))</f>
        <v/>
      </c>
      <c r="K68" s="227">
        <f>IF($B68="","",MAX(0,$J68-$L68-$M68-$N68))</f>
        <v/>
      </c>
      <c r="L68" s="227">
        <f>IF($B68="","",($AC68-$AD68)+IF(AND($AB68&gt;0,$T68&lt;&gt;"",$U68&gt;=8,$U68&lt;15),$AB68,0))</f>
        <v/>
      </c>
      <c r="M68" s="227">
        <f>IF($B68="","",($AD68-$AE68)+IF(AND($AB68&gt;0,$T68&lt;&gt;"",$U68&gt;=15,$U68&lt;29),$AB68,0))</f>
        <v/>
      </c>
      <c r="N68" s="227">
        <f>IF($B68="","",$AE68+IF(AND($AB68&gt;0,OR($T68="",$U68&gt;=29)),$AB68,0))</f>
        <v/>
      </c>
      <c r="O68" s="234">
        <f>IF($B68="","",IFERROR($I68/$H68,0))</f>
        <v/>
      </c>
      <c r="P68" s="229">
        <f>IF($B68="","",IFERROR(LOOKUP(2,1/(TAHSILAT!$C$7:$C$1506=$B68),TAHSILAT!$E$7:$E$1506),""))</f>
        <v/>
      </c>
      <c r="Q68" s="113">
        <f>IF($B68="","",IF($N68&gt;0,"KRİTİK",IF($M68&gt;0,"YÜKSEK",IF($L68&gt;0,"ORTA",IF($J68&gt;0,"İZLE","TEMİZ")))))</f>
        <v/>
      </c>
      <c r="R68" s="121">
        <f>IF($B68="","",IF($Q68="KRİTİK","Acil tahsilat görüşmesi ve cari mutabakat",IF($Q68="YÜKSEK","Bu hafta tahsilat takibi",IF($Q68="ORTA","Hatırlatma mesajı gönder",IF($Q68="İZLE","Normal takip","Aksiyon gerekmiyor")))))</f>
        <v/>
      </c>
      <c r="S68" s="232">
        <f>IF($B68="","",COUNTIFS(AKTIVITE!$D$7:$D$1006,$B68,AKTIVITE!$J$7:$J$1006,"&lt;&gt;Tamamlandı"))</f>
        <v/>
      </c>
      <c r="T68" s="229">
        <f>IF($B68="","",IF(MUSTERILER!$K68="","",MUSTERILER!$K68))</f>
        <v/>
      </c>
      <c r="U68" s="232">
        <f>IF(OR($B68="",$T68=""),"",TODAY()-$T68)</f>
        <v/>
      </c>
      <c r="V68" s="113">
        <f>IF($B68="","",IF(ABS($J68-($K68+$L68+$M68+$N68))&lt;0.01,"UYGUN","İNCELE"))</f>
        <v/>
      </c>
      <c r="W68" s="6" t="n"/>
      <c r="X68" s="6">
        <f>IF($B68="",0,SUMIFS(UCRETLER!$J$7:$J$406,UCRETLER!$B$7:$B$406,$B68))</f>
        <v/>
      </c>
      <c r="Y68" s="3">
        <f>IF($B68="",0,SUMIFS(UCRETLER!$K$7:$K$406,UCRETLER!$B$7:$B$406,$B68))</f>
        <v/>
      </c>
      <c r="Z68" s="3">
        <f>IF($B68="",0,SUMIFS(UCRETLER!$L$7:$L$406,UCRETLER!$B$7:$B$406,$B68))</f>
        <v/>
      </c>
      <c r="AA68" s="3">
        <f>IF($B68="",0,MAX(0,$I68-$F68))</f>
        <v/>
      </c>
      <c r="AB68" s="3">
        <f>IF($B68="",0,MAX(0,$F68-$I68))</f>
        <v/>
      </c>
      <c r="AC68" s="3">
        <f>IF($B68="",0,MAX(0,$X68-$AA68))</f>
        <v/>
      </c>
      <c r="AD68" s="3">
        <f>IF($B68="",0,MAX(0,$Y68-$AA68))</f>
        <v/>
      </c>
      <c r="AE68" s="3">
        <f>IF($B68="",0,MAX(0,$Z68-$AA68))</f>
        <v/>
      </c>
    </row>
    <row r="69">
      <c r="A69" s="6" t="n"/>
      <c r="B69" s="113">
        <f>IF(MUSTERILER!$C69="","",MUSTERILER!$B69)</f>
        <v/>
      </c>
      <c r="C69" s="121">
        <f>IF(MUSTERILER!$C69="","",MUSTERILER!$C69)</f>
        <v/>
      </c>
      <c r="D69" s="227">
        <f>IF($B69="","",SUMIFS(UCRETLER!$G$7:$G$406,UCRETLER!$B$7:$B$406,$B69,UCRETLER!$F$7:$F$406,"Haftalık",UCRETLER!$H$7:$H$406,"Aktif"))</f>
        <v/>
      </c>
      <c r="E69" s="227">
        <f>IF($B69="","",SUMIFS(UCRETLER!$G$7:$G$406,UCRETLER!$B$7:$B$406,$B69,UCRETLER!$F$7:$F$406,"Aylık",UCRETLER!$H$7:$H$406,"Aktif"))</f>
        <v/>
      </c>
      <c r="F69" s="227">
        <f>IF($B69="","",SUMIFS(MUSTERILER!$J$7:$J$106,MUSTERILER!$B$7:$B$106,$B69))</f>
        <v/>
      </c>
      <c r="G69" s="227">
        <f>IF($B69="","",SUMIFS(UCRETLER!$I$7:$I$406,UCRETLER!$B$7:$B$406,$B69))</f>
        <v/>
      </c>
      <c r="H69" s="227">
        <f>IF($B69="","",$F69+$G69)</f>
        <v/>
      </c>
      <c r="I69" s="227">
        <f>IF($B69="","",SUMIFS(TAHSILAT!$F$7:$F$1506,TAHSILAT!$C$7:$C$1506,$B69))</f>
        <v/>
      </c>
      <c r="J69" s="227">
        <f>IF($B69="","",MAX(0,$H69-$I69))</f>
        <v/>
      </c>
      <c r="K69" s="227">
        <f>IF($B69="","",MAX(0,$J69-$L69-$M69-$N69))</f>
        <v/>
      </c>
      <c r="L69" s="227">
        <f>IF($B69="","",($AC69-$AD69)+IF(AND($AB69&gt;0,$T69&lt;&gt;"",$U69&gt;=8,$U69&lt;15),$AB69,0))</f>
        <v/>
      </c>
      <c r="M69" s="227">
        <f>IF($B69="","",($AD69-$AE69)+IF(AND($AB69&gt;0,$T69&lt;&gt;"",$U69&gt;=15,$U69&lt;29),$AB69,0))</f>
        <v/>
      </c>
      <c r="N69" s="227">
        <f>IF($B69="","",$AE69+IF(AND($AB69&gt;0,OR($T69="",$U69&gt;=29)),$AB69,0))</f>
        <v/>
      </c>
      <c r="O69" s="234">
        <f>IF($B69="","",IFERROR($I69/$H69,0))</f>
        <v/>
      </c>
      <c r="P69" s="229">
        <f>IF($B69="","",IFERROR(LOOKUP(2,1/(TAHSILAT!$C$7:$C$1506=$B69),TAHSILAT!$E$7:$E$1506),""))</f>
        <v/>
      </c>
      <c r="Q69" s="113">
        <f>IF($B69="","",IF($N69&gt;0,"KRİTİK",IF($M69&gt;0,"YÜKSEK",IF($L69&gt;0,"ORTA",IF($J69&gt;0,"İZLE","TEMİZ")))))</f>
        <v/>
      </c>
      <c r="R69" s="121">
        <f>IF($B69="","",IF($Q69="KRİTİK","Acil tahsilat görüşmesi ve cari mutabakat",IF($Q69="YÜKSEK","Bu hafta tahsilat takibi",IF($Q69="ORTA","Hatırlatma mesajı gönder",IF($Q69="İZLE","Normal takip","Aksiyon gerekmiyor")))))</f>
        <v/>
      </c>
      <c r="S69" s="232">
        <f>IF($B69="","",COUNTIFS(AKTIVITE!$D$7:$D$1006,$B69,AKTIVITE!$J$7:$J$1006,"&lt;&gt;Tamamlandı"))</f>
        <v/>
      </c>
      <c r="T69" s="229">
        <f>IF($B69="","",IF(MUSTERILER!$K69="","",MUSTERILER!$K69))</f>
        <v/>
      </c>
      <c r="U69" s="232">
        <f>IF(OR($B69="",$T69=""),"",TODAY()-$T69)</f>
        <v/>
      </c>
      <c r="V69" s="113">
        <f>IF($B69="","",IF(ABS($J69-($K69+$L69+$M69+$N69))&lt;0.01,"UYGUN","İNCELE"))</f>
        <v/>
      </c>
      <c r="W69" s="6" t="n"/>
      <c r="X69" s="6">
        <f>IF($B69="",0,SUMIFS(UCRETLER!$J$7:$J$406,UCRETLER!$B$7:$B$406,$B69))</f>
        <v/>
      </c>
      <c r="Y69" s="3">
        <f>IF($B69="",0,SUMIFS(UCRETLER!$K$7:$K$406,UCRETLER!$B$7:$B$406,$B69))</f>
        <v/>
      </c>
      <c r="Z69" s="3">
        <f>IF($B69="",0,SUMIFS(UCRETLER!$L$7:$L$406,UCRETLER!$B$7:$B$406,$B69))</f>
        <v/>
      </c>
      <c r="AA69" s="3">
        <f>IF($B69="",0,MAX(0,$I69-$F69))</f>
        <v/>
      </c>
      <c r="AB69" s="3">
        <f>IF($B69="",0,MAX(0,$F69-$I69))</f>
        <v/>
      </c>
      <c r="AC69" s="3">
        <f>IF($B69="",0,MAX(0,$X69-$AA69))</f>
        <v/>
      </c>
      <c r="AD69" s="3">
        <f>IF($B69="",0,MAX(0,$Y69-$AA69))</f>
        <v/>
      </c>
      <c r="AE69" s="3">
        <f>IF($B69="",0,MAX(0,$Z69-$AA69))</f>
        <v/>
      </c>
    </row>
    <row r="70">
      <c r="A70" s="6" t="n"/>
      <c r="B70" s="113">
        <f>IF(MUSTERILER!$C70="","",MUSTERILER!$B70)</f>
        <v/>
      </c>
      <c r="C70" s="121">
        <f>IF(MUSTERILER!$C70="","",MUSTERILER!$C70)</f>
        <v/>
      </c>
      <c r="D70" s="227">
        <f>IF($B70="","",SUMIFS(UCRETLER!$G$7:$G$406,UCRETLER!$B$7:$B$406,$B70,UCRETLER!$F$7:$F$406,"Haftalık",UCRETLER!$H$7:$H$406,"Aktif"))</f>
        <v/>
      </c>
      <c r="E70" s="227">
        <f>IF($B70="","",SUMIFS(UCRETLER!$G$7:$G$406,UCRETLER!$B$7:$B$406,$B70,UCRETLER!$F$7:$F$406,"Aylık",UCRETLER!$H$7:$H$406,"Aktif"))</f>
        <v/>
      </c>
      <c r="F70" s="227">
        <f>IF($B70="","",SUMIFS(MUSTERILER!$J$7:$J$106,MUSTERILER!$B$7:$B$106,$B70))</f>
        <v/>
      </c>
      <c r="G70" s="227">
        <f>IF($B70="","",SUMIFS(UCRETLER!$I$7:$I$406,UCRETLER!$B$7:$B$406,$B70))</f>
        <v/>
      </c>
      <c r="H70" s="227">
        <f>IF($B70="","",$F70+$G70)</f>
        <v/>
      </c>
      <c r="I70" s="227">
        <f>IF($B70="","",SUMIFS(TAHSILAT!$F$7:$F$1506,TAHSILAT!$C$7:$C$1506,$B70))</f>
        <v/>
      </c>
      <c r="J70" s="227">
        <f>IF($B70="","",MAX(0,$H70-$I70))</f>
        <v/>
      </c>
      <c r="K70" s="227">
        <f>IF($B70="","",MAX(0,$J70-$L70-$M70-$N70))</f>
        <v/>
      </c>
      <c r="L70" s="227">
        <f>IF($B70="","",($AC70-$AD70)+IF(AND($AB70&gt;0,$T70&lt;&gt;"",$U70&gt;=8,$U70&lt;15),$AB70,0))</f>
        <v/>
      </c>
      <c r="M70" s="227">
        <f>IF($B70="","",($AD70-$AE70)+IF(AND($AB70&gt;0,$T70&lt;&gt;"",$U70&gt;=15,$U70&lt;29),$AB70,0))</f>
        <v/>
      </c>
      <c r="N70" s="227">
        <f>IF($B70="","",$AE70+IF(AND($AB70&gt;0,OR($T70="",$U70&gt;=29)),$AB70,0))</f>
        <v/>
      </c>
      <c r="O70" s="234">
        <f>IF($B70="","",IFERROR($I70/$H70,0))</f>
        <v/>
      </c>
      <c r="P70" s="229">
        <f>IF($B70="","",IFERROR(LOOKUP(2,1/(TAHSILAT!$C$7:$C$1506=$B70),TAHSILAT!$E$7:$E$1506),""))</f>
        <v/>
      </c>
      <c r="Q70" s="113">
        <f>IF($B70="","",IF($N70&gt;0,"KRİTİK",IF($M70&gt;0,"YÜKSEK",IF($L70&gt;0,"ORTA",IF($J70&gt;0,"İZLE","TEMİZ")))))</f>
        <v/>
      </c>
      <c r="R70" s="121">
        <f>IF($B70="","",IF($Q70="KRİTİK","Acil tahsilat görüşmesi ve cari mutabakat",IF($Q70="YÜKSEK","Bu hafta tahsilat takibi",IF($Q70="ORTA","Hatırlatma mesajı gönder",IF($Q70="İZLE","Normal takip","Aksiyon gerekmiyor")))))</f>
        <v/>
      </c>
      <c r="S70" s="232">
        <f>IF($B70="","",COUNTIFS(AKTIVITE!$D$7:$D$1006,$B70,AKTIVITE!$J$7:$J$1006,"&lt;&gt;Tamamlandı"))</f>
        <v/>
      </c>
      <c r="T70" s="229">
        <f>IF($B70="","",IF(MUSTERILER!$K70="","",MUSTERILER!$K70))</f>
        <v/>
      </c>
      <c r="U70" s="232">
        <f>IF(OR($B70="",$T70=""),"",TODAY()-$T70)</f>
        <v/>
      </c>
      <c r="V70" s="113">
        <f>IF($B70="","",IF(ABS($J70-($K70+$L70+$M70+$N70))&lt;0.01,"UYGUN","İNCELE"))</f>
        <v/>
      </c>
      <c r="W70" s="6" t="n"/>
      <c r="X70" s="6">
        <f>IF($B70="",0,SUMIFS(UCRETLER!$J$7:$J$406,UCRETLER!$B$7:$B$406,$B70))</f>
        <v/>
      </c>
      <c r="Y70" s="3">
        <f>IF($B70="",0,SUMIFS(UCRETLER!$K$7:$K$406,UCRETLER!$B$7:$B$406,$B70))</f>
        <v/>
      </c>
      <c r="Z70" s="3">
        <f>IF($B70="",0,SUMIFS(UCRETLER!$L$7:$L$406,UCRETLER!$B$7:$B$406,$B70))</f>
        <v/>
      </c>
      <c r="AA70" s="3">
        <f>IF($B70="",0,MAX(0,$I70-$F70))</f>
        <v/>
      </c>
      <c r="AB70" s="3">
        <f>IF($B70="",0,MAX(0,$F70-$I70))</f>
        <v/>
      </c>
      <c r="AC70" s="3">
        <f>IF($B70="",0,MAX(0,$X70-$AA70))</f>
        <v/>
      </c>
      <c r="AD70" s="3">
        <f>IF($B70="",0,MAX(0,$Y70-$AA70))</f>
        <v/>
      </c>
      <c r="AE70" s="3">
        <f>IF($B70="",0,MAX(0,$Z70-$AA70))</f>
        <v/>
      </c>
    </row>
    <row r="71">
      <c r="A71" s="6" t="n"/>
      <c r="B71" s="113">
        <f>IF(MUSTERILER!$C71="","",MUSTERILER!$B71)</f>
        <v/>
      </c>
      <c r="C71" s="121">
        <f>IF(MUSTERILER!$C71="","",MUSTERILER!$C71)</f>
        <v/>
      </c>
      <c r="D71" s="227">
        <f>IF($B71="","",SUMIFS(UCRETLER!$G$7:$G$406,UCRETLER!$B$7:$B$406,$B71,UCRETLER!$F$7:$F$406,"Haftalık",UCRETLER!$H$7:$H$406,"Aktif"))</f>
        <v/>
      </c>
      <c r="E71" s="227">
        <f>IF($B71="","",SUMIFS(UCRETLER!$G$7:$G$406,UCRETLER!$B$7:$B$406,$B71,UCRETLER!$F$7:$F$406,"Aylık",UCRETLER!$H$7:$H$406,"Aktif"))</f>
        <v/>
      </c>
      <c r="F71" s="227">
        <f>IF($B71="","",SUMIFS(MUSTERILER!$J$7:$J$106,MUSTERILER!$B$7:$B$106,$B71))</f>
        <v/>
      </c>
      <c r="G71" s="227">
        <f>IF($B71="","",SUMIFS(UCRETLER!$I$7:$I$406,UCRETLER!$B$7:$B$406,$B71))</f>
        <v/>
      </c>
      <c r="H71" s="227">
        <f>IF($B71="","",$F71+$G71)</f>
        <v/>
      </c>
      <c r="I71" s="227">
        <f>IF($B71="","",SUMIFS(TAHSILAT!$F$7:$F$1506,TAHSILAT!$C$7:$C$1506,$B71))</f>
        <v/>
      </c>
      <c r="J71" s="227">
        <f>IF($B71="","",MAX(0,$H71-$I71))</f>
        <v/>
      </c>
      <c r="K71" s="227">
        <f>IF($B71="","",MAX(0,$J71-$L71-$M71-$N71))</f>
        <v/>
      </c>
      <c r="L71" s="227">
        <f>IF($B71="","",($AC71-$AD71)+IF(AND($AB71&gt;0,$T71&lt;&gt;"",$U71&gt;=8,$U71&lt;15),$AB71,0))</f>
        <v/>
      </c>
      <c r="M71" s="227">
        <f>IF($B71="","",($AD71-$AE71)+IF(AND($AB71&gt;0,$T71&lt;&gt;"",$U71&gt;=15,$U71&lt;29),$AB71,0))</f>
        <v/>
      </c>
      <c r="N71" s="227">
        <f>IF($B71="","",$AE71+IF(AND($AB71&gt;0,OR($T71="",$U71&gt;=29)),$AB71,0))</f>
        <v/>
      </c>
      <c r="O71" s="234">
        <f>IF($B71="","",IFERROR($I71/$H71,0))</f>
        <v/>
      </c>
      <c r="P71" s="229">
        <f>IF($B71="","",IFERROR(LOOKUP(2,1/(TAHSILAT!$C$7:$C$1506=$B71),TAHSILAT!$E$7:$E$1506),""))</f>
        <v/>
      </c>
      <c r="Q71" s="113">
        <f>IF($B71="","",IF($N71&gt;0,"KRİTİK",IF($M71&gt;0,"YÜKSEK",IF($L71&gt;0,"ORTA",IF($J71&gt;0,"İZLE","TEMİZ")))))</f>
        <v/>
      </c>
      <c r="R71" s="121">
        <f>IF($B71="","",IF($Q71="KRİTİK","Acil tahsilat görüşmesi ve cari mutabakat",IF($Q71="YÜKSEK","Bu hafta tahsilat takibi",IF($Q71="ORTA","Hatırlatma mesajı gönder",IF($Q71="İZLE","Normal takip","Aksiyon gerekmiyor")))))</f>
        <v/>
      </c>
      <c r="S71" s="232">
        <f>IF($B71="","",COUNTIFS(AKTIVITE!$D$7:$D$1006,$B71,AKTIVITE!$J$7:$J$1006,"&lt;&gt;Tamamlandı"))</f>
        <v/>
      </c>
      <c r="T71" s="229">
        <f>IF($B71="","",IF(MUSTERILER!$K71="","",MUSTERILER!$K71))</f>
        <v/>
      </c>
      <c r="U71" s="232">
        <f>IF(OR($B71="",$T71=""),"",TODAY()-$T71)</f>
        <v/>
      </c>
      <c r="V71" s="113">
        <f>IF($B71="","",IF(ABS($J71-($K71+$L71+$M71+$N71))&lt;0.01,"UYGUN","İNCELE"))</f>
        <v/>
      </c>
      <c r="W71" s="6" t="n"/>
      <c r="X71" s="6">
        <f>IF($B71="",0,SUMIFS(UCRETLER!$J$7:$J$406,UCRETLER!$B$7:$B$406,$B71))</f>
        <v/>
      </c>
      <c r="Y71" s="3">
        <f>IF($B71="",0,SUMIFS(UCRETLER!$K$7:$K$406,UCRETLER!$B$7:$B$406,$B71))</f>
        <v/>
      </c>
      <c r="Z71" s="3">
        <f>IF($B71="",0,SUMIFS(UCRETLER!$L$7:$L$406,UCRETLER!$B$7:$B$406,$B71))</f>
        <v/>
      </c>
      <c r="AA71" s="3">
        <f>IF($B71="",0,MAX(0,$I71-$F71))</f>
        <v/>
      </c>
      <c r="AB71" s="3">
        <f>IF($B71="",0,MAX(0,$F71-$I71))</f>
        <v/>
      </c>
      <c r="AC71" s="3">
        <f>IF($B71="",0,MAX(0,$X71-$AA71))</f>
        <v/>
      </c>
      <c r="AD71" s="3">
        <f>IF($B71="",0,MAX(0,$Y71-$AA71))</f>
        <v/>
      </c>
      <c r="AE71" s="3">
        <f>IF($B71="",0,MAX(0,$Z71-$AA71))</f>
        <v/>
      </c>
    </row>
    <row r="72">
      <c r="A72" s="6" t="n"/>
      <c r="B72" s="113">
        <f>IF(MUSTERILER!$C72="","",MUSTERILER!$B72)</f>
        <v/>
      </c>
      <c r="C72" s="121">
        <f>IF(MUSTERILER!$C72="","",MUSTERILER!$C72)</f>
        <v/>
      </c>
      <c r="D72" s="227">
        <f>IF($B72="","",SUMIFS(UCRETLER!$G$7:$G$406,UCRETLER!$B$7:$B$406,$B72,UCRETLER!$F$7:$F$406,"Haftalık",UCRETLER!$H$7:$H$406,"Aktif"))</f>
        <v/>
      </c>
      <c r="E72" s="227">
        <f>IF($B72="","",SUMIFS(UCRETLER!$G$7:$G$406,UCRETLER!$B$7:$B$406,$B72,UCRETLER!$F$7:$F$406,"Aylık",UCRETLER!$H$7:$H$406,"Aktif"))</f>
        <v/>
      </c>
      <c r="F72" s="227">
        <f>IF($B72="","",SUMIFS(MUSTERILER!$J$7:$J$106,MUSTERILER!$B$7:$B$106,$B72))</f>
        <v/>
      </c>
      <c r="G72" s="227">
        <f>IF($B72="","",SUMIFS(UCRETLER!$I$7:$I$406,UCRETLER!$B$7:$B$406,$B72))</f>
        <v/>
      </c>
      <c r="H72" s="227">
        <f>IF($B72="","",$F72+$G72)</f>
        <v/>
      </c>
      <c r="I72" s="227">
        <f>IF($B72="","",SUMIFS(TAHSILAT!$F$7:$F$1506,TAHSILAT!$C$7:$C$1506,$B72))</f>
        <v/>
      </c>
      <c r="J72" s="227">
        <f>IF($B72="","",MAX(0,$H72-$I72))</f>
        <v/>
      </c>
      <c r="K72" s="227">
        <f>IF($B72="","",MAX(0,$J72-$L72-$M72-$N72))</f>
        <v/>
      </c>
      <c r="L72" s="227">
        <f>IF($B72="","",($AC72-$AD72)+IF(AND($AB72&gt;0,$T72&lt;&gt;"",$U72&gt;=8,$U72&lt;15),$AB72,0))</f>
        <v/>
      </c>
      <c r="M72" s="227">
        <f>IF($B72="","",($AD72-$AE72)+IF(AND($AB72&gt;0,$T72&lt;&gt;"",$U72&gt;=15,$U72&lt;29),$AB72,0))</f>
        <v/>
      </c>
      <c r="N72" s="227">
        <f>IF($B72="","",$AE72+IF(AND($AB72&gt;0,OR($T72="",$U72&gt;=29)),$AB72,0))</f>
        <v/>
      </c>
      <c r="O72" s="234">
        <f>IF($B72="","",IFERROR($I72/$H72,0))</f>
        <v/>
      </c>
      <c r="P72" s="229">
        <f>IF($B72="","",IFERROR(LOOKUP(2,1/(TAHSILAT!$C$7:$C$1506=$B72),TAHSILAT!$E$7:$E$1506),""))</f>
        <v/>
      </c>
      <c r="Q72" s="113">
        <f>IF($B72="","",IF($N72&gt;0,"KRİTİK",IF($M72&gt;0,"YÜKSEK",IF($L72&gt;0,"ORTA",IF($J72&gt;0,"İZLE","TEMİZ")))))</f>
        <v/>
      </c>
      <c r="R72" s="121">
        <f>IF($B72="","",IF($Q72="KRİTİK","Acil tahsilat görüşmesi ve cari mutabakat",IF($Q72="YÜKSEK","Bu hafta tahsilat takibi",IF($Q72="ORTA","Hatırlatma mesajı gönder",IF($Q72="İZLE","Normal takip","Aksiyon gerekmiyor")))))</f>
        <v/>
      </c>
      <c r="S72" s="232">
        <f>IF($B72="","",COUNTIFS(AKTIVITE!$D$7:$D$1006,$B72,AKTIVITE!$J$7:$J$1006,"&lt;&gt;Tamamlandı"))</f>
        <v/>
      </c>
      <c r="T72" s="229">
        <f>IF($B72="","",IF(MUSTERILER!$K72="","",MUSTERILER!$K72))</f>
        <v/>
      </c>
      <c r="U72" s="232">
        <f>IF(OR($B72="",$T72=""),"",TODAY()-$T72)</f>
        <v/>
      </c>
      <c r="V72" s="113">
        <f>IF($B72="","",IF(ABS($J72-($K72+$L72+$M72+$N72))&lt;0.01,"UYGUN","İNCELE"))</f>
        <v/>
      </c>
      <c r="W72" s="6" t="n"/>
      <c r="X72" s="6">
        <f>IF($B72="",0,SUMIFS(UCRETLER!$J$7:$J$406,UCRETLER!$B$7:$B$406,$B72))</f>
        <v/>
      </c>
      <c r="Y72" s="3">
        <f>IF($B72="",0,SUMIFS(UCRETLER!$K$7:$K$406,UCRETLER!$B$7:$B$406,$B72))</f>
        <v/>
      </c>
      <c r="Z72" s="3">
        <f>IF($B72="",0,SUMIFS(UCRETLER!$L$7:$L$406,UCRETLER!$B$7:$B$406,$B72))</f>
        <v/>
      </c>
      <c r="AA72" s="3">
        <f>IF($B72="",0,MAX(0,$I72-$F72))</f>
        <v/>
      </c>
      <c r="AB72" s="3">
        <f>IF($B72="",0,MAX(0,$F72-$I72))</f>
        <v/>
      </c>
      <c r="AC72" s="3">
        <f>IF($B72="",0,MAX(0,$X72-$AA72))</f>
        <v/>
      </c>
      <c r="AD72" s="3">
        <f>IF($B72="",0,MAX(0,$Y72-$AA72))</f>
        <v/>
      </c>
      <c r="AE72" s="3">
        <f>IF($B72="",0,MAX(0,$Z72-$AA72))</f>
        <v/>
      </c>
    </row>
    <row r="73">
      <c r="A73" s="6" t="n"/>
      <c r="B73" s="113">
        <f>IF(MUSTERILER!$C73="","",MUSTERILER!$B73)</f>
        <v/>
      </c>
      <c r="C73" s="121">
        <f>IF(MUSTERILER!$C73="","",MUSTERILER!$C73)</f>
        <v/>
      </c>
      <c r="D73" s="227">
        <f>IF($B73="","",SUMIFS(UCRETLER!$G$7:$G$406,UCRETLER!$B$7:$B$406,$B73,UCRETLER!$F$7:$F$406,"Haftalık",UCRETLER!$H$7:$H$406,"Aktif"))</f>
        <v/>
      </c>
      <c r="E73" s="227">
        <f>IF($B73="","",SUMIFS(UCRETLER!$G$7:$G$406,UCRETLER!$B$7:$B$406,$B73,UCRETLER!$F$7:$F$406,"Aylık",UCRETLER!$H$7:$H$406,"Aktif"))</f>
        <v/>
      </c>
      <c r="F73" s="227">
        <f>IF($B73="","",SUMIFS(MUSTERILER!$J$7:$J$106,MUSTERILER!$B$7:$B$106,$B73))</f>
        <v/>
      </c>
      <c r="G73" s="227">
        <f>IF($B73="","",SUMIFS(UCRETLER!$I$7:$I$406,UCRETLER!$B$7:$B$406,$B73))</f>
        <v/>
      </c>
      <c r="H73" s="227">
        <f>IF($B73="","",$F73+$G73)</f>
        <v/>
      </c>
      <c r="I73" s="227">
        <f>IF($B73="","",SUMIFS(TAHSILAT!$F$7:$F$1506,TAHSILAT!$C$7:$C$1506,$B73))</f>
        <v/>
      </c>
      <c r="J73" s="227">
        <f>IF($B73="","",MAX(0,$H73-$I73))</f>
        <v/>
      </c>
      <c r="K73" s="227">
        <f>IF($B73="","",MAX(0,$J73-$L73-$M73-$N73))</f>
        <v/>
      </c>
      <c r="L73" s="227">
        <f>IF($B73="","",($AC73-$AD73)+IF(AND($AB73&gt;0,$T73&lt;&gt;"",$U73&gt;=8,$U73&lt;15),$AB73,0))</f>
        <v/>
      </c>
      <c r="M73" s="227">
        <f>IF($B73="","",($AD73-$AE73)+IF(AND($AB73&gt;0,$T73&lt;&gt;"",$U73&gt;=15,$U73&lt;29),$AB73,0))</f>
        <v/>
      </c>
      <c r="N73" s="227">
        <f>IF($B73="","",$AE73+IF(AND($AB73&gt;0,OR($T73="",$U73&gt;=29)),$AB73,0))</f>
        <v/>
      </c>
      <c r="O73" s="234">
        <f>IF($B73="","",IFERROR($I73/$H73,0))</f>
        <v/>
      </c>
      <c r="P73" s="229">
        <f>IF($B73="","",IFERROR(LOOKUP(2,1/(TAHSILAT!$C$7:$C$1506=$B73),TAHSILAT!$E$7:$E$1506),""))</f>
        <v/>
      </c>
      <c r="Q73" s="113">
        <f>IF($B73="","",IF($N73&gt;0,"KRİTİK",IF($M73&gt;0,"YÜKSEK",IF($L73&gt;0,"ORTA",IF($J73&gt;0,"İZLE","TEMİZ")))))</f>
        <v/>
      </c>
      <c r="R73" s="121">
        <f>IF($B73="","",IF($Q73="KRİTİK","Acil tahsilat görüşmesi ve cari mutabakat",IF($Q73="YÜKSEK","Bu hafta tahsilat takibi",IF($Q73="ORTA","Hatırlatma mesajı gönder",IF($Q73="İZLE","Normal takip","Aksiyon gerekmiyor")))))</f>
        <v/>
      </c>
      <c r="S73" s="232">
        <f>IF($B73="","",COUNTIFS(AKTIVITE!$D$7:$D$1006,$B73,AKTIVITE!$J$7:$J$1006,"&lt;&gt;Tamamlandı"))</f>
        <v/>
      </c>
      <c r="T73" s="229">
        <f>IF($B73="","",IF(MUSTERILER!$K73="","",MUSTERILER!$K73))</f>
        <v/>
      </c>
      <c r="U73" s="232">
        <f>IF(OR($B73="",$T73=""),"",TODAY()-$T73)</f>
        <v/>
      </c>
      <c r="V73" s="113">
        <f>IF($B73="","",IF(ABS($J73-($K73+$L73+$M73+$N73))&lt;0.01,"UYGUN","İNCELE"))</f>
        <v/>
      </c>
      <c r="W73" s="6" t="n"/>
      <c r="X73" s="6">
        <f>IF($B73="",0,SUMIFS(UCRETLER!$J$7:$J$406,UCRETLER!$B$7:$B$406,$B73))</f>
        <v/>
      </c>
      <c r="Y73" s="3">
        <f>IF($B73="",0,SUMIFS(UCRETLER!$K$7:$K$406,UCRETLER!$B$7:$B$406,$B73))</f>
        <v/>
      </c>
      <c r="Z73" s="3">
        <f>IF($B73="",0,SUMIFS(UCRETLER!$L$7:$L$406,UCRETLER!$B$7:$B$406,$B73))</f>
        <v/>
      </c>
      <c r="AA73" s="3">
        <f>IF($B73="",0,MAX(0,$I73-$F73))</f>
        <v/>
      </c>
      <c r="AB73" s="3">
        <f>IF($B73="",0,MAX(0,$F73-$I73))</f>
        <v/>
      </c>
      <c r="AC73" s="3">
        <f>IF($B73="",0,MAX(0,$X73-$AA73))</f>
        <v/>
      </c>
      <c r="AD73" s="3">
        <f>IF($B73="",0,MAX(0,$Y73-$AA73))</f>
        <v/>
      </c>
      <c r="AE73" s="3">
        <f>IF($B73="",0,MAX(0,$Z73-$AA73))</f>
        <v/>
      </c>
    </row>
    <row r="74">
      <c r="A74" s="6" t="n"/>
      <c r="B74" s="113">
        <f>IF(MUSTERILER!$C74="","",MUSTERILER!$B74)</f>
        <v/>
      </c>
      <c r="C74" s="121">
        <f>IF(MUSTERILER!$C74="","",MUSTERILER!$C74)</f>
        <v/>
      </c>
      <c r="D74" s="227">
        <f>IF($B74="","",SUMIFS(UCRETLER!$G$7:$G$406,UCRETLER!$B$7:$B$406,$B74,UCRETLER!$F$7:$F$406,"Haftalık",UCRETLER!$H$7:$H$406,"Aktif"))</f>
        <v/>
      </c>
      <c r="E74" s="227">
        <f>IF($B74="","",SUMIFS(UCRETLER!$G$7:$G$406,UCRETLER!$B$7:$B$406,$B74,UCRETLER!$F$7:$F$406,"Aylık",UCRETLER!$H$7:$H$406,"Aktif"))</f>
        <v/>
      </c>
      <c r="F74" s="227">
        <f>IF($B74="","",SUMIFS(MUSTERILER!$J$7:$J$106,MUSTERILER!$B$7:$B$106,$B74))</f>
        <v/>
      </c>
      <c r="G74" s="227">
        <f>IF($B74="","",SUMIFS(UCRETLER!$I$7:$I$406,UCRETLER!$B$7:$B$406,$B74))</f>
        <v/>
      </c>
      <c r="H74" s="227">
        <f>IF($B74="","",$F74+$G74)</f>
        <v/>
      </c>
      <c r="I74" s="227">
        <f>IF($B74="","",SUMIFS(TAHSILAT!$F$7:$F$1506,TAHSILAT!$C$7:$C$1506,$B74))</f>
        <v/>
      </c>
      <c r="J74" s="227">
        <f>IF($B74="","",MAX(0,$H74-$I74))</f>
        <v/>
      </c>
      <c r="K74" s="227">
        <f>IF($B74="","",MAX(0,$J74-$L74-$M74-$N74))</f>
        <v/>
      </c>
      <c r="L74" s="227">
        <f>IF($B74="","",($AC74-$AD74)+IF(AND($AB74&gt;0,$T74&lt;&gt;"",$U74&gt;=8,$U74&lt;15),$AB74,0))</f>
        <v/>
      </c>
      <c r="M74" s="227">
        <f>IF($B74="","",($AD74-$AE74)+IF(AND($AB74&gt;0,$T74&lt;&gt;"",$U74&gt;=15,$U74&lt;29),$AB74,0))</f>
        <v/>
      </c>
      <c r="N74" s="227">
        <f>IF($B74="","",$AE74+IF(AND($AB74&gt;0,OR($T74="",$U74&gt;=29)),$AB74,0))</f>
        <v/>
      </c>
      <c r="O74" s="234">
        <f>IF($B74="","",IFERROR($I74/$H74,0))</f>
        <v/>
      </c>
      <c r="P74" s="229">
        <f>IF($B74="","",IFERROR(LOOKUP(2,1/(TAHSILAT!$C$7:$C$1506=$B74),TAHSILAT!$E$7:$E$1506),""))</f>
        <v/>
      </c>
      <c r="Q74" s="113">
        <f>IF($B74="","",IF($N74&gt;0,"KRİTİK",IF($M74&gt;0,"YÜKSEK",IF($L74&gt;0,"ORTA",IF($J74&gt;0,"İZLE","TEMİZ")))))</f>
        <v/>
      </c>
      <c r="R74" s="121">
        <f>IF($B74="","",IF($Q74="KRİTİK","Acil tahsilat görüşmesi ve cari mutabakat",IF($Q74="YÜKSEK","Bu hafta tahsilat takibi",IF($Q74="ORTA","Hatırlatma mesajı gönder",IF($Q74="İZLE","Normal takip","Aksiyon gerekmiyor")))))</f>
        <v/>
      </c>
      <c r="S74" s="232">
        <f>IF($B74="","",COUNTIFS(AKTIVITE!$D$7:$D$1006,$B74,AKTIVITE!$J$7:$J$1006,"&lt;&gt;Tamamlandı"))</f>
        <v/>
      </c>
      <c r="T74" s="229">
        <f>IF($B74="","",IF(MUSTERILER!$K74="","",MUSTERILER!$K74))</f>
        <v/>
      </c>
      <c r="U74" s="232">
        <f>IF(OR($B74="",$T74=""),"",TODAY()-$T74)</f>
        <v/>
      </c>
      <c r="V74" s="113">
        <f>IF($B74="","",IF(ABS($J74-($K74+$L74+$M74+$N74))&lt;0.01,"UYGUN","İNCELE"))</f>
        <v/>
      </c>
      <c r="W74" s="6" t="n"/>
      <c r="X74" s="6">
        <f>IF($B74="",0,SUMIFS(UCRETLER!$J$7:$J$406,UCRETLER!$B$7:$B$406,$B74))</f>
        <v/>
      </c>
      <c r="Y74" s="3">
        <f>IF($B74="",0,SUMIFS(UCRETLER!$K$7:$K$406,UCRETLER!$B$7:$B$406,$B74))</f>
        <v/>
      </c>
      <c r="Z74" s="3">
        <f>IF($B74="",0,SUMIFS(UCRETLER!$L$7:$L$406,UCRETLER!$B$7:$B$406,$B74))</f>
        <v/>
      </c>
      <c r="AA74" s="3">
        <f>IF($B74="",0,MAX(0,$I74-$F74))</f>
        <v/>
      </c>
      <c r="AB74" s="3">
        <f>IF($B74="",0,MAX(0,$F74-$I74))</f>
        <v/>
      </c>
      <c r="AC74" s="3">
        <f>IF($B74="",0,MAX(0,$X74-$AA74))</f>
        <v/>
      </c>
      <c r="AD74" s="3">
        <f>IF($B74="",0,MAX(0,$Y74-$AA74))</f>
        <v/>
      </c>
      <c r="AE74" s="3">
        <f>IF($B74="",0,MAX(0,$Z74-$AA74))</f>
        <v/>
      </c>
    </row>
    <row r="75">
      <c r="A75" s="6" t="n"/>
      <c r="B75" s="113">
        <f>IF(MUSTERILER!$C75="","",MUSTERILER!$B75)</f>
        <v/>
      </c>
      <c r="C75" s="121">
        <f>IF(MUSTERILER!$C75="","",MUSTERILER!$C75)</f>
        <v/>
      </c>
      <c r="D75" s="227">
        <f>IF($B75="","",SUMIFS(UCRETLER!$G$7:$G$406,UCRETLER!$B$7:$B$406,$B75,UCRETLER!$F$7:$F$406,"Haftalık",UCRETLER!$H$7:$H$406,"Aktif"))</f>
        <v/>
      </c>
      <c r="E75" s="227">
        <f>IF($B75="","",SUMIFS(UCRETLER!$G$7:$G$406,UCRETLER!$B$7:$B$406,$B75,UCRETLER!$F$7:$F$406,"Aylık",UCRETLER!$H$7:$H$406,"Aktif"))</f>
        <v/>
      </c>
      <c r="F75" s="227">
        <f>IF($B75="","",SUMIFS(MUSTERILER!$J$7:$J$106,MUSTERILER!$B$7:$B$106,$B75))</f>
        <v/>
      </c>
      <c r="G75" s="227">
        <f>IF($B75="","",SUMIFS(UCRETLER!$I$7:$I$406,UCRETLER!$B$7:$B$406,$B75))</f>
        <v/>
      </c>
      <c r="H75" s="227">
        <f>IF($B75="","",$F75+$G75)</f>
        <v/>
      </c>
      <c r="I75" s="227">
        <f>IF($B75="","",SUMIFS(TAHSILAT!$F$7:$F$1506,TAHSILAT!$C$7:$C$1506,$B75))</f>
        <v/>
      </c>
      <c r="J75" s="227">
        <f>IF($B75="","",MAX(0,$H75-$I75))</f>
        <v/>
      </c>
      <c r="K75" s="227">
        <f>IF($B75="","",MAX(0,$J75-$L75-$M75-$N75))</f>
        <v/>
      </c>
      <c r="L75" s="227">
        <f>IF($B75="","",($AC75-$AD75)+IF(AND($AB75&gt;0,$T75&lt;&gt;"",$U75&gt;=8,$U75&lt;15),$AB75,0))</f>
        <v/>
      </c>
      <c r="M75" s="227">
        <f>IF($B75="","",($AD75-$AE75)+IF(AND($AB75&gt;0,$T75&lt;&gt;"",$U75&gt;=15,$U75&lt;29),$AB75,0))</f>
        <v/>
      </c>
      <c r="N75" s="227">
        <f>IF($B75="","",$AE75+IF(AND($AB75&gt;0,OR($T75="",$U75&gt;=29)),$AB75,0))</f>
        <v/>
      </c>
      <c r="O75" s="234">
        <f>IF($B75="","",IFERROR($I75/$H75,0))</f>
        <v/>
      </c>
      <c r="P75" s="229">
        <f>IF($B75="","",IFERROR(LOOKUP(2,1/(TAHSILAT!$C$7:$C$1506=$B75),TAHSILAT!$E$7:$E$1506),""))</f>
        <v/>
      </c>
      <c r="Q75" s="113">
        <f>IF($B75="","",IF($N75&gt;0,"KRİTİK",IF($M75&gt;0,"YÜKSEK",IF($L75&gt;0,"ORTA",IF($J75&gt;0,"İZLE","TEMİZ")))))</f>
        <v/>
      </c>
      <c r="R75" s="121">
        <f>IF($B75="","",IF($Q75="KRİTİK","Acil tahsilat görüşmesi ve cari mutabakat",IF($Q75="YÜKSEK","Bu hafta tahsilat takibi",IF($Q75="ORTA","Hatırlatma mesajı gönder",IF($Q75="İZLE","Normal takip","Aksiyon gerekmiyor")))))</f>
        <v/>
      </c>
      <c r="S75" s="232">
        <f>IF($B75="","",COUNTIFS(AKTIVITE!$D$7:$D$1006,$B75,AKTIVITE!$J$7:$J$1006,"&lt;&gt;Tamamlandı"))</f>
        <v/>
      </c>
      <c r="T75" s="229">
        <f>IF($B75="","",IF(MUSTERILER!$K75="","",MUSTERILER!$K75))</f>
        <v/>
      </c>
      <c r="U75" s="232">
        <f>IF(OR($B75="",$T75=""),"",TODAY()-$T75)</f>
        <v/>
      </c>
      <c r="V75" s="113">
        <f>IF($B75="","",IF(ABS($J75-($K75+$L75+$M75+$N75))&lt;0.01,"UYGUN","İNCELE"))</f>
        <v/>
      </c>
      <c r="W75" s="6" t="n"/>
      <c r="X75" s="6">
        <f>IF($B75="",0,SUMIFS(UCRETLER!$J$7:$J$406,UCRETLER!$B$7:$B$406,$B75))</f>
        <v/>
      </c>
      <c r="Y75" s="3">
        <f>IF($B75="",0,SUMIFS(UCRETLER!$K$7:$K$406,UCRETLER!$B$7:$B$406,$B75))</f>
        <v/>
      </c>
      <c r="Z75" s="3">
        <f>IF($B75="",0,SUMIFS(UCRETLER!$L$7:$L$406,UCRETLER!$B$7:$B$406,$B75))</f>
        <v/>
      </c>
      <c r="AA75" s="3">
        <f>IF($B75="",0,MAX(0,$I75-$F75))</f>
        <v/>
      </c>
      <c r="AB75" s="3">
        <f>IF($B75="",0,MAX(0,$F75-$I75))</f>
        <v/>
      </c>
      <c r="AC75" s="3">
        <f>IF($B75="",0,MAX(0,$X75-$AA75))</f>
        <v/>
      </c>
      <c r="AD75" s="3">
        <f>IF($B75="",0,MAX(0,$Y75-$AA75))</f>
        <v/>
      </c>
      <c r="AE75" s="3">
        <f>IF($B75="",0,MAX(0,$Z75-$AA75))</f>
        <v/>
      </c>
    </row>
    <row r="76">
      <c r="A76" s="6" t="n"/>
      <c r="B76" s="113">
        <f>IF(MUSTERILER!$C76="","",MUSTERILER!$B76)</f>
        <v/>
      </c>
      <c r="C76" s="121">
        <f>IF(MUSTERILER!$C76="","",MUSTERILER!$C76)</f>
        <v/>
      </c>
      <c r="D76" s="227">
        <f>IF($B76="","",SUMIFS(UCRETLER!$G$7:$G$406,UCRETLER!$B$7:$B$406,$B76,UCRETLER!$F$7:$F$406,"Haftalık",UCRETLER!$H$7:$H$406,"Aktif"))</f>
        <v/>
      </c>
      <c r="E76" s="227">
        <f>IF($B76="","",SUMIFS(UCRETLER!$G$7:$G$406,UCRETLER!$B$7:$B$406,$B76,UCRETLER!$F$7:$F$406,"Aylık",UCRETLER!$H$7:$H$406,"Aktif"))</f>
        <v/>
      </c>
      <c r="F76" s="227">
        <f>IF($B76="","",SUMIFS(MUSTERILER!$J$7:$J$106,MUSTERILER!$B$7:$B$106,$B76))</f>
        <v/>
      </c>
      <c r="G76" s="227">
        <f>IF($B76="","",SUMIFS(UCRETLER!$I$7:$I$406,UCRETLER!$B$7:$B$406,$B76))</f>
        <v/>
      </c>
      <c r="H76" s="227">
        <f>IF($B76="","",$F76+$G76)</f>
        <v/>
      </c>
      <c r="I76" s="227">
        <f>IF($B76="","",SUMIFS(TAHSILAT!$F$7:$F$1506,TAHSILAT!$C$7:$C$1506,$B76))</f>
        <v/>
      </c>
      <c r="J76" s="227">
        <f>IF($B76="","",MAX(0,$H76-$I76))</f>
        <v/>
      </c>
      <c r="K76" s="227">
        <f>IF($B76="","",MAX(0,$J76-$L76-$M76-$N76))</f>
        <v/>
      </c>
      <c r="L76" s="227">
        <f>IF($B76="","",($AC76-$AD76)+IF(AND($AB76&gt;0,$T76&lt;&gt;"",$U76&gt;=8,$U76&lt;15),$AB76,0))</f>
        <v/>
      </c>
      <c r="M76" s="227">
        <f>IF($B76="","",($AD76-$AE76)+IF(AND($AB76&gt;0,$T76&lt;&gt;"",$U76&gt;=15,$U76&lt;29),$AB76,0))</f>
        <v/>
      </c>
      <c r="N76" s="227">
        <f>IF($B76="","",$AE76+IF(AND($AB76&gt;0,OR($T76="",$U76&gt;=29)),$AB76,0))</f>
        <v/>
      </c>
      <c r="O76" s="234">
        <f>IF($B76="","",IFERROR($I76/$H76,0))</f>
        <v/>
      </c>
      <c r="P76" s="229">
        <f>IF($B76="","",IFERROR(LOOKUP(2,1/(TAHSILAT!$C$7:$C$1506=$B76),TAHSILAT!$E$7:$E$1506),""))</f>
        <v/>
      </c>
      <c r="Q76" s="113">
        <f>IF($B76="","",IF($N76&gt;0,"KRİTİK",IF($M76&gt;0,"YÜKSEK",IF($L76&gt;0,"ORTA",IF($J76&gt;0,"İZLE","TEMİZ")))))</f>
        <v/>
      </c>
      <c r="R76" s="121">
        <f>IF($B76="","",IF($Q76="KRİTİK","Acil tahsilat görüşmesi ve cari mutabakat",IF($Q76="YÜKSEK","Bu hafta tahsilat takibi",IF($Q76="ORTA","Hatırlatma mesajı gönder",IF($Q76="İZLE","Normal takip","Aksiyon gerekmiyor")))))</f>
        <v/>
      </c>
      <c r="S76" s="232">
        <f>IF($B76="","",COUNTIFS(AKTIVITE!$D$7:$D$1006,$B76,AKTIVITE!$J$7:$J$1006,"&lt;&gt;Tamamlandı"))</f>
        <v/>
      </c>
      <c r="T76" s="229">
        <f>IF($B76="","",IF(MUSTERILER!$K76="","",MUSTERILER!$K76))</f>
        <v/>
      </c>
      <c r="U76" s="232">
        <f>IF(OR($B76="",$T76=""),"",TODAY()-$T76)</f>
        <v/>
      </c>
      <c r="V76" s="113">
        <f>IF($B76="","",IF(ABS($J76-($K76+$L76+$M76+$N76))&lt;0.01,"UYGUN","İNCELE"))</f>
        <v/>
      </c>
      <c r="W76" s="6" t="n"/>
      <c r="X76" s="6">
        <f>IF($B76="",0,SUMIFS(UCRETLER!$J$7:$J$406,UCRETLER!$B$7:$B$406,$B76))</f>
        <v/>
      </c>
      <c r="Y76" s="3">
        <f>IF($B76="",0,SUMIFS(UCRETLER!$K$7:$K$406,UCRETLER!$B$7:$B$406,$B76))</f>
        <v/>
      </c>
      <c r="Z76" s="3">
        <f>IF($B76="",0,SUMIFS(UCRETLER!$L$7:$L$406,UCRETLER!$B$7:$B$406,$B76))</f>
        <v/>
      </c>
      <c r="AA76" s="3">
        <f>IF($B76="",0,MAX(0,$I76-$F76))</f>
        <v/>
      </c>
      <c r="AB76" s="3">
        <f>IF($B76="",0,MAX(0,$F76-$I76))</f>
        <v/>
      </c>
      <c r="AC76" s="3">
        <f>IF($B76="",0,MAX(0,$X76-$AA76))</f>
        <v/>
      </c>
      <c r="AD76" s="3">
        <f>IF($B76="",0,MAX(0,$Y76-$AA76))</f>
        <v/>
      </c>
      <c r="AE76" s="3">
        <f>IF($B76="",0,MAX(0,$Z76-$AA76))</f>
        <v/>
      </c>
    </row>
    <row r="77">
      <c r="A77" s="6" t="n"/>
      <c r="B77" s="113">
        <f>IF(MUSTERILER!$C77="","",MUSTERILER!$B77)</f>
        <v/>
      </c>
      <c r="C77" s="121">
        <f>IF(MUSTERILER!$C77="","",MUSTERILER!$C77)</f>
        <v/>
      </c>
      <c r="D77" s="227">
        <f>IF($B77="","",SUMIFS(UCRETLER!$G$7:$G$406,UCRETLER!$B$7:$B$406,$B77,UCRETLER!$F$7:$F$406,"Haftalık",UCRETLER!$H$7:$H$406,"Aktif"))</f>
        <v/>
      </c>
      <c r="E77" s="227">
        <f>IF($B77="","",SUMIFS(UCRETLER!$G$7:$G$406,UCRETLER!$B$7:$B$406,$B77,UCRETLER!$F$7:$F$406,"Aylık",UCRETLER!$H$7:$H$406,"Aktif"))</f>
        <v/>
      </c>
      <c r="F77" s="227">
        <f>IF($B77="","",SUMIFS(MUSTERILER!$J$7:$J$106,MUSTERILER!$B$7:$B$106,$B77))</f>
        <v/>
      </c>
      <c r="G77" s="227">
        <f>IF($B77="","",SUMIFS(UCRETLER!$I$7:$I$406,UCRETLER!$B$7:$B$406,$B77))</f>
        <v/>
      </c>
      <c r="H77" s="227">
        <f>IF($B77="","",$F77+$G77)</f>
        <v/>
      </c>
      <c r="I77" s="227">
        <f>IF($B77="","",SUMIFS(TAHSILAT!$F$7:$F$1506,TAHSILAT!$C$7:$C$1506,$B77))</f>
        <v/>
      </c>
      <c r="J77" s="227">
        <f>IF($B77="","",MAX(0,$H77-$I77))</f>
        <v/>
      </c>
      <c r="K77" s="227">
        <f>IF($B77="","",MAX(0,$J77-$L77-$M77-$N77))</f>
        <v/>
      </c>
      <c r="L77" s="227">
        <f>IF($B77="","",($AC77-$AD77)+IF(AND($AB77&gt;0,$T77&lt;&gt;"",$U77&gt;=8,$U77&lt;15),$AB77,0))</f>
        <v/>
      </c>
      <c r="M77" s="227">
        <f>IF($B77="","",($AD77-$AE77)+IF(AND($AB77&gt;0,$T77&lt;&gt;"",$U77&gt;=15,$U77&lt;29),$AB77,0))</f>
        <v/>
      </c>
      <c r="N77" s="227">
        <f>IF($B77="","",$AE77+IF(AND($AB77&gt;0,OR($T77="",$U77&gt;=29)),$AB77,0))</f>
        <v/>
      </c>
      <c r="O77" s="234">
        <f>IF($B77="","",IFERROR($I77/$H77,0))</f>
        <v/>
      </c>
      <c r="P77" s="229">
        <f>IF($B77="","",IFERROR(LOOKUP(2,1/(TAHSILAT!$C$7:$C$1506=$B77),TAHSILAT!$E$7:$E$1506),""))</f>
        <v/>
      </c>
      <c r="Q77" s="113">
        <f>IF($B77="","",IF($N77&gt;0,"KRİTİK",IF($M77&gt;0,"YÜKSEK",IF($L77&gt;0,"ORTA",IF($J77&gt;0,"İZLE","TEMİZ")))))</f>
        <v/>
      </c>
      <c r="R77" s="121">
        <f>IF($B77="","",IF($Q77="KRİTİK","Acil tahsilat görüşmesi ve cari mutabakat",IF($Q77="YÜKSEK","Bu hafta tahsilat takibi",IF($Q77="ORTA","Hatırlatma mesajı gönder",IF($Q77="İZLE","Normal takip","Aksiyon gerekmiyor")))))</f>
        <v/>
      </c>
      <c r="S77" s="232">
        <f>IF($B77="","",COUNTIFS(AKTIVITE!$D$7:$D$1006,$B77,AKTIVITE!$J$7:$J$1006,"&lt;&gt;Tamamlandı"))</f>
        <v/>
      </c>
      <c r="T77" s="229">
        <f>IF($B77="","",IF(MUSTERILER!$K77="","",MUSTERILER!$K77))</f>
        <v/>
      </c>
      <c r="U77" s="232">
        <f>IF(OR($B77="",$T77=""),"",TODAY()-$T77)</f>
        <v/>
      </c>
      <c r="V77" s="113">
        <f>IF($B77="","",IF(ABS($J77-($K77+$L77+$M77+$N77))&lt;0.01,"UYGUN","İNCELE"))</f>
        <v/>
      </c>
      <c r="W77" s="6" t="n"/>
      <c r="X77" s="6">
        <f>IF($B77="",0,SUMIFS(UCRETLER!$J$7:$J$406,UCRETLER!$B$7:$B$406,$B77))</f>
        <v/>
      </c>
      <c r="Y77" s="3">
        <f>IF($B77="",0,SUMIFS(UCRETLER!$K$7:$K$406,UCRETLER!$B$7:$B$406,$B77))</f>
        <v/>
      </c>
      <c r="Z77" s="3">
        <f>IF($B77="",0,SUMIFS(UCRETLER!$L$7:$L$406,UCRETLER!$B$7:$B$406,$B77))</f>
        <v/>
      </c>
      <c r="AA77" s="3">
        <f>IF($B77="",0,MAX(0,$I77-$F77))</f>
        <v/>
      </c>
      <c r="AB77" s="3">
        <f>IF($B77="",0,MAX(0,$F77-$I77))</f>
        <v/>
      </c>
      <c r="AC77" s="3">
        <f>IF($B77="",0,MAX(0,$X77-$AA77))</f>
        <v/>
      </c>
      <c r="AD77" s="3">
        <f>IF($B77="",0,MAX(0,$Y77-$AA77))</f>
        <v/>
      </c>
      <c r="AE77" s="3">
        <f>IF($B77="",0,MAX(0,$Z77-$AA77))</f>
        <v/>
      </c>
    </row>
    <row r="78">
      <c r="A78" s="6" t="n"/>
      <c r="B78" s="113">
        <f>IF(MUSTERILER!$C78="","",MUSTERILER!$B78)</f>
        <v/>
      </c>
      <c r="C78" s="121">
        <f>IF(MUSTERILER!$C78="","",MUSTERILER!$C78)</f>
        <v/>
      </c>
      <c r="D78" s="227">
        <f>IF($B78="","",SUMIFS(UCRETLER!$G$7:$G$406,UCRETLER!$B$7:$B$406,$B78,UCRETLER!$F$7:$F$406,"Haftalık",UCRETLER!$H$7:$H$406,"Aktif"))</f>
        <v/>
      </c>
      <c r="E78" s="227">
        <f>IF($B78="","",SUMIFS(UCRETLER!$G$7:$G$406,UCRETLER!$B$7:$B$406,$B78,UCRETLER!$F$7:$F$406,"Aylık",UCRETLER!$H$7:$H$406,"Aktif"))</f>
        <v/>
      </c>
      <c r="F78" s="227">
        <f>IF($B78="","",SUMIFS(MUSTERILER!$J$7:$J$106,MUSTERILER!$B$7:$B$106,$B78))</f>
        <v/>
      </c>
      <c r="G78" s="227">
        <f>IF($B78="","",SUMIFS(UCRETLER!$I$7:$I$406,UCRETLER!$B$7:$B$406,$B78))</f>
        <v/>
      </c>
      <c r="H78" s="227">
        <f>IF($B78="","",$F78+$G78)</f>
        <v/>
      </c>
      <c r="I78" s="227">
        <f>IF($B78="","",SUMIFS(TAHSILAT!$F$7:$F$1506,TAHSILAT!$C$7:$C$1506,$B78))</f>
        <v/>
      </c>
      <c r="J78" s="227">
        <f>IF($B78="","",MAX(0,$H78-$I78))</f>
        <v/>
      </c>
      <c r="K78" s="227">
        <f>IF($B78="","",MAX(0,$J78-$L78-$M78-$N78))</f>
        <v/>
      </c>
      <c r="L78" s="227">
        <f>IF($B78="","",($AC78-$AD78)+IF(AND($AB78&gt;0,$T78&lt;&gt;"",$U78&gt;=8,$U78&lt;15),$AB78,0))</f>
        <v/>
      </c>
      <c r="M78" s="227">
        <f>IF($B78="","",($AD78-$AE78)+IF(AND($AB78&gt;0,$T78&lt;&gt;"",$U78&gt;=15,$U78&lt;29),$AB78,0))</f>
        <v/>
      </c>
      <c r="N78" s="227">
        <f>IF($B78="","",$AE78+IF(AND($AB78&gt;0,OR($T78="",$U78&gt;=29)),$AB78,0))</f>
        <v/>
      </c>
      <c r="O78" s="234">
        <f>IF($B78="","",IFERROR($I78/$H78,0))</f>
        <v/>
      </c>
      <c r="P78" s="229">
        <f>IF($B78="","",IFERROR(LOOKUP(2,1/(TAHSILAT!$C$7:$C$1506=$B78),TAHSILAT!$E$7:$E$1506),""))</f>
        <v/>
      </c>
      <c r="Q78" s="113">
        <f>IF($B78="","",IF($N78&gt;0,"KRİTİK",IF($M78&gt;0,"YÜKSEK",IF($L78&gt;0,"ORTA",IF($J78&gt;0,"İZLE","TEMİZ")))))</f>
        <v/>
      </c>
      <c r="R78" s="121">
        <f>IF($B78="","",IF($Q78="KRİTİK","Acil tahsilat görüşmesi ve cari mutabakat",IF($Q78="YÜKSEK","Bu hafta tahsilat takibi",IF($Q78="ORTA","Hatırlatma mesajı gönder",IF($Q78="İZLE","Normal takip","Aksiyon gerekmiyor")))))</f>
        <v/>
      </c>
      <c r="S78" s="232">
        <f>IF($B78="","",COUNTIFS(AKTIVITE!$D$7:$D$1006,$B78,AKTIVITE!$J$7:$J$1006,"&lt;&gt;Tamamlandı"))</f>
        <v/>
      </c>
      <c r="T78" s="229">
        <f>IF($B78="","",IF(MUSTERILER!$K78="","",MUSTERILER!$K78))</f>
        <v/>
      </c>
      <c r="U78" s="232">
        <f>IF(OR($B78="",$T78=""),"",TODAY()-$T78)</f>
        <v/>
      </c>
      <c r="V78" s="113">
        <f>IF($B78="","",IF(ABS($J78-($K78+$L78+$M78+$N78))&lt;0.01,"UYGUN","İNCELE"))</f>
        <v/>
      </c>
      <c r="W78" s="6" t="n"/>
      <c r="X78" s="6">
        <f>IF($B78="",0,SUMIFS(UCRETLER!$J$7:$J$406,UCRETLER!$B$7:$B$406,$B78))</f>
        <v/>
      </c>
      <c r="Y78" s="3">
        <f>IF($B78="",0,SUMIFS(UCRETLER!$K$7:$K$406,UCRETLER!$B$7:$B$406,$B78))</f>
        <v/>
      </c>
      <c r="Z78" s="3">
        <f>IF($B78="",0,SUMIFS(UCRETLER!$L$7:$L$406,UCRETLER!$B$7:$B$406,$B78))</f>
        <v/>
      </c>
      <c r="AA78" s="3">
        <f>IF($B78="",0,MAX(0,$I78-$F78))</f>
        <v/>
      </c>
      <c r="AB78" s="3">
        <f>IF($B78="",0,MAX(0,$F78-$I78))</f>
        <v/>
      </c>
      <c r="AC78" s="3">
        <f>IF($B78="",0,MAX(0,$X78-$AA78))</f>
        <v/>
      </c>
      <c r="AD78" s="3">
        <f>IF($B78="",0,MAX(0,$Y78-$AA78))</f>
        <v/>
      </c>
      <c r="AE78" s="3">
        <f>IF($B78="",0,MAX(0,$Z78-$AA78))</f>
        <v/>
      </c>
    </row>
    <row r="79">
      <c r="A79" s="6" t="n"/>
      <c r="B79" s="113">
        <f>IF(MUSTERILER!$C79="","",MUSTERILER!$B79)</f>
        <v/>
      </c>
      <c r="C79" s="121">
        <f>IF(MUSTERILER!$C79="","",MUSTERILER!$C79)</f>
        <v/>
      </c>
      <c r="D79" s="227">
        <f>IF($B79="","",SUMIFS(UCRETLER!$G$7:$G$406,UCRETLER!$B$7:$B$406,$B79,UCRETLER!$F$7:$F$406,"Haftalık",UCRETLER!$H$7:$H$406,"Aktif"))</f>
        <v/>
      </c>
      <c r="E79" s="227">
        <f>IF($B79="","",SUMIFS(UCRETLER!$G$7:$G$406,UCRETLER!$B$7:$B$406,$B79,UCRETLER!$F$7:$F$406,"Aylık",UCRETLER!$H$7:$H$406,"Aktif"))</f>
        <v/>
      </c>
      <c r="F79" s="227">
        <f>IF($B79="","",SUMIFS(MUSTERILER!$J$7:$J$106,MUSTERILER!$B$7:$B$106,$B79))</f>
        <v/>
      </c>
      <c r="G79" s="227">
        <f>IF($B79="","",SUMIFS(UCRETLER!$I$7:$I$406,UCRETLER!$B$7:$B$406,$B79))</f>
        <v/>
      </c>
      <c r="H79" s="227">
        <f>IF($B79="","",$F79+$G79)</f>
        <v/>
      </c>
      <c r="I79" s="227">
        <f>IF($B79="","",SUMIFS(TAHSILAT!$F$7:$F$1506,TAHSILAT!$C$7:$C$1506,$B79))</f>
        <v/>
      </c>
      <c r="J79" s="227">
        <f>IF($B79="","",MAX(0,$H79-$I79))</f>
        <v/>
      </c>
      <c r="K79" s="227">
        <f>IF($B79="","",MAX(0,$J79-$L79-$M79-$N79))</f>
        <v/>
      </c>
      <c r="L79" s="227">
        <f>IF($B79="","",($AC79-$AD79)+IF(AND($AB79&gt;0,$T79&lt;&gt;"",$U79&gt;=8,$U79&lt;15),$AB79,0))</f>
        <v/>
      </c>
      <c r="M79" s="227">
        <f>IF($B79="","",($AD79-$AE79)+IF(AND($AB79&gt;0,$T79&lt;&gt;"",$U79&gt;=15,$U79&lt;29),$AB79,0))</f>
        <v/>
      </c>
      <c r="N79" s="227">
        <f>IF($B79="","",$AE79+IF(AND($AB79&gt;0,OR($T79="",$U79&gt;=29)),$AB79,0))</f>
        <v/>
      </c>
      <c r="O79" s="234">
        <f>IF($B79="","",IFERROR($I79/$H79,0))</f>
        <v/>
      </c>
      <c r="P79" s="229">
        <f>IF($B79="","",IFERROR(LOOKUP(2,1/(TAHSILAT!$C$7:$C$1506=$B79),TAHSILAT!$E$7:$E$1506),""))</f>
        <v/>
      </c>
      <c r="Q79" s="113">
        <f>IF($B79="","",IF($N79&gt;0,"KRİTİK",IF($M79&gt;0,"YÜKSEK",IF($L79&gt;0,"ORTA",IF($J79&gt;0,"İZLE","TEMİZ")))))</f>
        <v/>
      </c>
      <c r="R79" s="121">
        <f>IF($B79="","",IF($Q79="KRİTİK","Acil tahsilat görüşmesi ve cari mutabakat",IF($Q79="YÜKSEK","Bu hafta tahsilat takibi",IF($Q79="ORTA","Hatırlatma mesajı gönder",IF($Q79="İZLE","Normal takip","Aksiyon gerekmiyor")))))</f>
        <v/>
      </c>
      <c r="S79" s="232">
        <f>IF($B79="","",COUNTIFS(AKTIVITE!$D$7:$D$1006,$B79,AKTIVITE!$J$7:$J$1006,"&lt;&gt;Tamamlandı"))</f>
        <v/>
      </c>
      <c r="T79" s="229">
        <f>IF($B79="","",IF(MUSTERILER!$K79="","",MUSTERILER!$K79))</f>
        <v/>
      </c>
      <c r="U79" s="232">
        <f>IF(OR($B79="",$T79=""),"",TODAY()-$T79)</f>
        <v/>
      </c>
      <c r="V79" s="113">
        <f>IF($B79="","",IF(ABS($J79-($K79+$L79+$M79+$N79))&lt;0.01,"UYGUN","İNCELE"))</f>
        <v/>
      </c>
      <c r="W79" s="6" t="n"/>
      <c r="X79" s="6">
        <f>IF($B79="",0,SUMIFS(UCRETLER!$J$7:$J$406,UCRETLER!$B$7:$B$406,$B79))</f>
        <v/>
      </c>
      <c r="Y79" s="3">
        <f>IF($B79="",0,SUMIFS(UCRETLER!$K$7:$K$406,UCRETLER!$B$7:$B$406,$B79))</f>
        <v/>
      </c>
      <c r="Z79" s="3">
        <f>IF($B79="",0,SUMIFS(UCRETLER!$L$7:$L$406,UCRETLER!$B$7:$B$406,$B79))</f>
        <v/>
      </c>
      <c r="AA79" s="3">
        <f>IF($B79="",0,MAX(0,$I79-$F79))</f>
        <v/>
      </c>
      <c r="AB79" s="3">
        <f>IF($B79="",0,MAX(0,$F79-$I79))</f>
        <v/>
      </c>
      <c r="AC79" s="3">
        <f>IF($B79="",0,MAX(0,$X79-$AA79))</f>
        <v/>
      </c>
      <c r="AD79" s="3">
        <f>IF($B79="",0,MAX(0,$Y79-$AA79))</f>
        <v/>
      </c>
      <c r="AE79" s="3">
        <f>IF($B79="",0,MAX(0,$Z79-$AA79))</f>
        <v/>
      </c>
    </row>
    <row r="80">
      <c r="A80" s="6" t="n"/>
      <c r="B80" s="113">
        <f>IF(MUSTERILER!$C80="","",MUSTERILER!$B80)</f>
        <v/>
      </c>
      <c r="C80" s="121">
        <f>IF(MUSTERILER!$C80="","",MUSTERILER!$C80)</f>
        <v/>
      </c>
      <c r="D80" s="227">
        <f>IF($B80="","",SUMIFS(UCRETLER!$G$7:$G$406,UCRETLER!$B$7:$B$406,$B80,UCRETLER!$F$7:$F$406,"Haftalık",UCRETLER!$H$7:$H$406,"Aktif"))</f>
        <v/>
      </c>
      <c r="E80" s="227">
        <f>IF($B80="","",SUMIFS(UCRETLER!$G$7:$G$406,UCRETLER!$B$7:$B$406,$B80,UCRETLER!$F$7:$F$406,"Aylık",UCRETLER!$H$7:$H$406,"Aktif"))</f>
        <v/>
      </c>
      <c r="F80" s="227">
        <f>IF($B80="","",SUMIFS(MUSTERILER!$J$7:$J$106,MUSTERILER!$B$7:$B$106,$B80))</f>
        <v/>
      </c>
      <c r="G80" s="227">
        <f>IF($B80="","",SUMIFS(UCRETLER!$I$7:$I$406,UCRETLER!$B$7:$B$406,$B80))</f>
        <v/>
      </c>
      <c r="H80" s="227">
        <f>IF($B80="","",$F80+$G80)</f>
        <v/>
      </c>
      <c r="I80" s="227">
        <f>IF($B80="","",SUMIFS(TAHSILAT!$F$7:$F$1506,TAHSILAT!$C$7:$C$1506,$B80))</f>
        <v/>
      </c>
      <c r="J80" s="227">
        <f>IF($B80="","",MAX(0,$H80-$I80))</f>
        <v/>
      </c>
      <c r="K80" s="227">
        <f>IF($B80="","",MAX(0,$J80-$L80-$M80-$N80))</f>
        <v/>
      </c>
      <c r="L80" s="227">
        <f>IF($B80="","",($AC80-$AD80)+IF(AND($AB80&gt;0,$T80&lt;&gt;"",$U80&gt;=8,$U80&lt;15),$AB80,0))</f>
        <v/>
      </c>
      <c r="M80" s="227">
        <f>IF($B80="","",($AD80-$AE80)+IF(AND($AB80&gt;0,$T80&lt;&gt;"",$U80&gt;=15,$U80&lt;29),$AB80,0))</f>
        <v/>
      </c>
      <c r="N80" s="227">
        <f>IF($B80="","",$AE80+IF(AND($AB80&gt;0,OR($T80="",$U80&gt;=29)),$AB80,0))</f>
        <v/>
      </c>
      <c r="O80" s="234">
        <f>IF($B80="","",IFERROR($I80/$H80,0))</f>
        <v/>
      </c>
      <c r="P80" s="229">
        <f>IF($B80="","",IFERROR(LOOKUP(2,1/(TAHSILAT!$C$7:$C$1506=$B80),TAHSILAT!$E$7:$E$1506),""))</f>
        <v/>
      </c>
      <c r="Q80" s="113">
        <f>IF($B80="","",IF($N80&gt;0,"KRİTİK",IF($M80&gt;0,"YÜKSEK",IF($L80&gt;0,"ORTA",IF($J80&gt;0,"İZLE","TEMİZ")))))</f>
        <v/>
      </c>
      <c r="R80" s="121">
        <f>IF($B80="","",IF($Q80="KRİTİK","Acil tahsilat görüşmesi ve cari mutabakat",IF($Q80="YÜKSEK","Bu hafta tahsilat takibi",IF($Q80="ORTA","Hatırlatma mesajı gönder",IF($Q80="İZLE","Normal takip","Aksiyon gerekmiyor")))))</f>
        <v/>
      </c>
      <c r="S80" s="232">
        <f>IF($B80="","",COUNTIFS(AKTIVITE!$D$7:$D$1006,$B80,AKTIVITE!$J$7:$J$1006,"&lt;&gt;Tamamlandı"))</f>
        <v/>
      </c>
      <c r="T80" s="229">
        <f>IF($B80="","",IF(MUSTERILER!$K80="","",MUSTERILER!$K80))</f>
        <v/>
      </c>
      <c r="U80" s="232">
        <f>IF(OR($B80="",$T80=""),"",TODAY()-$T80)</f>
        <v/>
      </c>
      <c r="V80" s="113">
        <f>IF($B80="","",IF(ABS($J80-($K80+$L80+$M80+$N80))&lt;0.01,"UYGUN","İNCELE"))</f>
        <v/>
      </c>
      <c r="W80" s="6" t="n"/>
      <c r="X80" s="6">
        <f>IF($B80="",0,SUMIFS(UCRETLER!$J$7:$J$406,UCRETLER!$B$7:$B$406,$B80))</f>
        <v/>
      </c>
      <c r="Y80" s="3">
        <f>IF($B80="",0,SUMIFS(UCRETLER!$K$7:$K$406,UCRETLER!$B$7:$B$406,$B80))</f>
        <v/>
      </c>
      <c r="Z80" s="3">
        <f>IF($B80="",0,SUMIFS(UCRETLER!$L$7:$L$406,UCRETLER!$B$7:$B$406,$B80))</f>
        <v/>
      </c>
      <c r="AA80" s="3">
        <f>IF($B80="",0,MAX(0,$I80-$F80))</f>
        <v/>
      </c>
      <c r="AB80" s="3">
        <f>IF($B80="",0,MAX(0,$F80-$I80))</f>
        <v/>
      </c>
      <c r="AC80" s="3">
        <f>IF($B80="",0,MAX(0,$X80-$AA80))</f>
        <v/>
      </c>
      <c r="AD80" s="3">
        <f>IF($B80="",0,MAX(0,$Y80-$AA80))</f>
        <v/>
      </c>
      <c r="AE80" s="3">
        <f>IF($B80="",0,MAX(0,$Z80-$AA80))</f>
        <v/>
      </c>
    </row>
    <row r="81">
      <c r="A81" s="6" t="n"/>
      <c r="B81" s="113">
        <f>IF(MUSTERILER!$C81="","",MUSTERILER!$B81)</f>
        <v/>
      </c>
      <c r="C81" s="121">
        <f>IF(MUSTERILER!$C81="","",MUSTERILER!$C81)</f>
        <v/>
      </c>
      <c r="D81" s="227">
        <f>IF($B81="","",SUMIFS(UCRETLER!$G$7:$G$406,UCRETLER!$B$7:$B$406,$B81,UCRETLER!$F$7:$F$406,"Haftalık",UCRETLER!$H$7:$H$406,"Aktif"))</f>
        <v/>
      </c>
      <c r="E81" s="227">
        <f>IF($B81="","",SUMIFS(UCRETLER!$G$7:$G$406,UCRETLER!$B$7:$B$406,$B81,UCRETLER!$F$7:$F$406,"Aylık",UCRETLER!$H$7:$H$406,"Aktif"))</f>
        <v/>
      </c>
      <c r="F81" s="227">
        <f>IF($B81="","",SUMIFS(MUSTERILER!$J$7:$J$106,MUSTERILER!$B$7:$B$106,$B81))</f>
        <v/>
      </c>
      <c r="G81" s="227">
        <f>IF($B81="","",SUMIFS(UCRETLER!$I$7:$I$406,UCRETLER!$B$7:$B$406,$B81))</f>
        <v/>
      </c>
      <c r="H81" s="227">
        <f>IF($B81="","",$F81+$G81)</f>
        <v/>
      </c>
      <c r="I81" s="227">
        <f>IF($B81="","",SUMIFS(TAHSILAT!$F$7:$F$1506,TAHSILAT!$C$7:$C$1506,$B81))</f>
        <v/>
      </c>
      <c r="J81" s="227">
        <f>IF($B81="","",MAX(0,$H81-$I81))</f>
        <v/>
      </c>
      <c r="K81" s="227">
        <f>IF($B81="","",MAX(0,$J81-$L81-$M81-$N81))</f>
        <v/>
      </c>
      <c r="L81" s="227">
        <f>IF($B81="","",($AC81-$AD81)+IF(AND($AB81&gt;0,$T81&lt;&gt;"",$U81&gt;=8,$U81&lt;15),$AB81,0))</f>
        <v/>
      </c>
      <c r="M81" s="227">
        <f>IF($B81="","",($AD81-$AE81)+IF(AND($AB81&gt;0,$T81&lt;&gt;"",$U81&gt;=15,$U81&lt;29),$AB81,0))</f>
        <v/>
      </c>
      <c r="N81" s="227">
        <f>IF($B81="","",$AE81+IF(AND($AB81&gt;0,OR($T81="",$U81&gt;=29)),$AB81,0))</f>
        <v/>
      </c>
      <c r="O81" s="234">
        <f>IF($B81="","",IFERROR($I81/$H81,0))</f>
        <v/>
      </c>
      <c r="P81" s="229">
        <f>IF($B81="","",IFERROR(LOOKUP(2,1/(TAHSILAT!$C$7:$C$1506=$B81),TAHSILAT!$E$7:$E$1506),""))</f>
        <v/>
      </c>
      <c r="Q81" s="113">
        <f>IF($B81="","",IF($N81&gt;0,"KRİTİK",IF($M81&gt;0,"YÜKSEK",IF($L81&gt;0,"ORTA",IF($J81&gt;0,"İZLE","TEMİZ")))))</f>
        <v/>
      </c>
      <c r="R81" s="121">
        <f>IF($B81="","",IF($Q81="KRİTİK","Acil tahsilat görüşmesi ve cari mutabakat",IF($Q81="YÜKSEK","Bu hafta tahsilat takibi",IF($Q81="ORTA","Hatırlatma mesajı gönder",IF($Q81="İZLE","Normal takip","Aksiyon gerekmiyor")))))</f>
        <v/>
      </c>
      <c r="S81" s="232">
        <f>IF($B81="","",COUNTIFS(AKTIVITE!$D$7:$D$1006,$B81,AKTIVITE!$J$7:$J$1006,"&lt;&gt;Tamamlandı"))</f>
        <v/>
      </c>
      <c r="T81" s="229">
        <f>IF($B81="","",IF(MUSTERILER!$K81="","",MUSTERILER!$K81))</f>
        <v/>
      </c>
      <c r="U81" s="232">
        <f>IF(OR($B81="",$T81=""),"",TODAY()-$T81)</f>
        <v/>
      </c>
      <c r="V81" s="113">
        <f>IF($B81="","",IF(ABS($J81-($K81+$L81+$M81+$N81))&lt;0.01,"UYGUN","İNCELE"))</f>
        <v/>
      </c>
      <c r="W81" s="6" t="n"/>
      <c r="X81" s="6">
        <f>IF($B81="",0,SUMIFS(UCRETLER!$J$7:$J$406,UCRETLER!$B$7:$B$406,$B81))</f>
        <v/>
      </c>
      <c r="Y81" s="3">
        <f>IF($B81="",0,SUMIFS(UCRETLER!$K$7:$K$406,UCRETLER!$B$7:$B$406,$B81))</f>
        <v/>
      </c>
      <c r="Z81" s="3">
        <f>IF($B81="",0,SUMIFS(UCRETLER!$L$7:$L$406,UCRETLER!$B$7:$B$406,$B81))</f>
        <v/>
      </c>
      <c r="AA81" s="3">
        <f>IF($B81="",0,MAX(0,$I81-$F81))</f>
        <v/>
      </c>
      <c r="AB81" s="3">
        <f>IF($B81="",0,MAX(0,$F81-$I81))</f>
        <v/>
      </c>
      <c r="AC81" s="3">
        <f>IF($B81="",0,MAX(0,$X81-$AA81))</f>
        <v/>
      </c>
      <c r="AD81" s="3">
        <f>IF($B81="",0,MAX(0,$Y81-$AA81))</f>
        <v/>
      </c>
      <c r="AE81" s="3">
        <f>IF($B81="",0,MAX(0,$Z81-$AA81))</f>
        <v/>
      </c>
    </row>
    <row r="82">
      <c r="A82" s="6" t="n"/>
      <c r="B82" s="113">
        <f>IF(MUSTERILER!$C82="","",MUSTERILER!$B82)</f>
        <v/>
      </c>
      <c r="C82" s="121">
        <f>IF(MUSTERILER!$C82="","",MUSTERILER!$C82)</f>
        <v/>
      </c>
      <c r="D82" s="227">
        <f>IF($B82="","",SUMIFS(UCRETLER!$G$7:$G$406,UCRETLER!$B$7:$B$406,$B82,UCRETLER!$F$7:$F$406,"Haftalık",UCRETLER!$H$7:$H$406,"Aktif"))</f>
        <v/>
      </c>
      <c r="E82" s="227">
        <f>IF($B82="","",SUMIFS(UCRETLER!$G$7:$G$406,UCRETLER!$B$7:$B$406,$B82,UCRETLER!$F$7:$F$406,"Aylık",UCRETLER!$H$7:$H$406,"Aktif"))</f>
        <v/>
      </c>
      <c r="F82" s="227">
        <f>IF($B82="","",SUMIFS(MUSTERILER!$J$7:$J$106,MUSTERILER!$B$7:$B$106,$B82))</f>
        <v/>
      </c>
      <c r="G82" s="227">
        <f>IF($B82="","",SUMIFS(UCRETLER!$I$7:$I$406,UCRETLER!$B$7:$B$406,$B82))</f>
        <v/>
      </c>
      <c r="H82" s="227">
        <f>IF($B82="","",$F82+$G82)</f>
        <v/>
      </c>
      <c r="I82" s="227">
        <f>IF($B82="","",SUMIFS(TAHSILAT!$F$7:$F$1506,TAHSILAT!$C$7:$C$1506,$B82))</f>
        <v/>
      </c>
      <c r="J82" s="227">
        <f>IF($B82="","",MAX(0,$H82-$I82))</f>
        <v/>
      </c>
      <c r="K82" s="227">
        <f>IF($B82="","",MAX(0,$J82-$L82-$M82-$N82))</f>
        <v/>
      </c>
      <c r="L82" s="227">
        <f>IF($B82="","",($AC82-$AD82)+IF(AND($AB82&gt;0,$T82&lt;&gt;"",$U82&gt;=8,$U82&lt;15),$AB82,0))</f>
        <v/>
      </c>
      <c r="M82" s="227">
        <f>IF($B82="","",($AD82-$AE82)+IF(AND($AB82&gt;0,$T82&lt;&gt;"",$U82&gt;=15,$U82&lt;29),$AB82,0))</f>
        <v/>
      </c>
      <c r="N82" s="227">
        <f>IF($B82="","",$AE82+IF(AND($AB82&gt;0,OR($T82="",$U82&gt;=29)),$AB82,0))</f>
        <v/>
      </c>
      <c r="O82" s="234">
        <f>IF($B82="","",IFERROR($I82/$H82,0))</f>
        <v/>
      </c>
      <c r="P82" s="229">
        <f>IF($B82="","",IFERROR(LOOKUP(2,1/(TAHSILAT!$C$7:$C$1506=$B82),TAHSILAT!$E$7:$E$1506),""))</f>
        <v/>
      </c>
      <c r="Q82" s="113">
        <f>IF($B82="","",IF($N82&gt;0,"KRİTİK",IF($M82&gt;0,"YÜKSEK",IF($L82&gt;0,"ORTA",IF($J82&gt;0,"İZLE","TEMİZ")))))</f>
        <v/>
      </c>
      <c r="R82" s="121">
        <f>IF($B82="","",IF($Q82="KRİTİK","Acil tahsilat görüşmesi ve cari mutabakat",IF($Q82="YÜKSEK","Bu hafta tahsilat takibi",IF($Q82="ORTA","Hatırlatma mesajı gönder",IF($Q82="İZLE","Normal takip","Aksiyon gerekmiyor")))))</f>
        <v/>
      </c>
      <c r="S82" s="232">
        <f>IF($B82="","",COUNTIFS(AKTIVITE!$D$7:$D$1006,$B82,AKTIVITE!$J$7:$J$1006,"&lt;&gt;Tamamlandı"))</f>
        <v/>
      </c>
      <c r="T82" s="229">
        <f>IF($B82="","",IF(MUSTERILER!$K82="","",MUSTERILER!$K82))</f>
        <v/>
      </c>
      <c r="U82" s="232">
        <f>IF(OR($B82="",$T82=""),"",TODAY()-$T82)</f>
        <v/>
      </c>
      <c r="V82" s="113">
        <f>IF($B82="","",IF(ABS($J82-($K82+$L82+$M82+$N82))&lt;0.01,"UYGUN","İNCELE"))</f>
        <v/>
      </c>
      <c r="W82" s="6" t="n"/>
      <c r="X82" s="6">
        <f>IF($B82="",0,SUMIFS(UCRETLER!$J$7:$J$406,UCRETLER!$B$7:$B$406,$B82))</f>
        <v/>
      </c>
      <c r="Y82" s="3">
        <f>IF($B82="",0,SUMIFS(UCRETLER!$K$7:$K$406,UCRETLER!$B$7:$B$406,$B82))</f>
        <v/>
      </c>
      <c r="Z82" s="3">
        <f>IF($B82="",0,SUMIFS(UCRETLER!$L$7:$L$406,UCRETLER!$B$7:$B$406,$B82))</f>
        <v/>
      </c>
      <c r="AA82" s="3">
        <f>IF($B82="",0,MAX(0,$I82-$F82))</f>
        <v/>
      </c>
      <c r="AB82" s="3">
        <f>IF($B82="",0,MAX(0,$F82-$I82))</f>
        <v/>
      </c>
      <c r="AC82" s="3">
        <f>IF($B82="",0,MAX(0,$X82-$AA82))</f>
        <v/>
      </c>
      <c r="AD82" s="3">
        <f>IF($B82="",0,MAX(0,$Y82-$AA82))</f>
        <v/>
      </c>
      <c r="AE82" s="3">
        <f>IF($B82="",0,MAX(0,$Z82-$AA82))</f>
        <v/>
      </c>
    </row>
    <row r="83">
      <c r="A83" s="6" t="n"/>
      <c r="B83" s="113">
        <f>IF(MUSTERILER!$C83="","",MUSTERILER!$B83)</f>
        <v/>
      </c>
      <c r="C83" s="121">
        <f>IF(MUSTERILER!$C83="","",MUSTERILER!$C83)</f>
        <v/>
      </c>
      <c r="D83" s="227">
        <f>IF($B83="","",SUMIFS(UCRETLER!$G$7:$G$406,UCRETLER!$B$7:$B$406,$B83,UCRETLER!$F$7:$F$406,"Haftalık",UCRETLER!$H$7:$H$406,"Aktif"))</f>
        <v/>
      </c>
      <c r="E83" s="227">
        <f>IF($B83="","",SUMIFS(UCRETLER!$G$7:$G$406,UCRETLER!$B$7:$B$406,$B83,UCRETLER!$F$7:$F$406,"Aylık",UCRETLER!$H$7:$H$406,"Aktif"))</f>
        <v/>
      </c>
      <c r="F83" s="227">
        <f>IF($B83="","",SUMIFS(MUSTERILER!$J$7:$J$106,MUSTERILER!$B$7:$B$106,$B83))</f>
        <v/>
      </c>
      <c r="G83" s="227">
        <f>IF($B83="","",SUMIFS(UCRETLER!$I$7:$I$406,UCRETLER!$B$7:$B$406,$B83))</f>
        <v/>
      </c>
      <c r="H83" s="227">
        <f>IF($B83="","",$F83+$G83)</f>
        <v/>
      </c>
      <c r="I83" s="227">
        <f>IF($B83="","",SUMIFS(TAHSILAT!$F$7:$F$1506,TAHSILAT!$C$7:$C$1506,$B83))</f>
        <v/>
      </c>
      <c r="J83" s="227">
        <f>IF($B83="","",MAX(0,$H83-$I83))</f>
        <v/>
      </c>
      <c r="K83" s="227">
        <f>IF($B83="","",MAX(0,$J83-$L83-$M83-$N83))</f>
        <v/>
      </c>
      <c r="L83" s="227">
        <f>IF($B83="","",($AC83-$AD83)+IF(AND($AB83&gt;0,$T83&lt;&gt;"",$U83&gt;=8,$U83&lt;15),$AB83,0))</f>
        <v/>
      </c>
      <c r="M83" s="227">
        <f>IF($B83="","",($AD83-$AE83)+IF(AND($AB83&gt;0,$T83&lt;&gt;"",$U83&gt;=15,$U83&lt;29),$AB83,0))</f>
        <v/>
      </c>
      <c r="N83" s="227">
        <f>IF($B83="","",$AE83+IF(AND($AB83&gt;0,OR($T83="",$U83&gt;=29)),$AB83,0))</f>
        <v/>
      </c>
      <c r="O83" s="234">
        <f>IF($B83="","",IFERROR($I83/$H83,0))</f>
        <v/>
      </c>
      <c r="P83" s="229">
        <f>IF($B83="","",IFERROR(LOOKUP(2,1/(TAHSILAT!$C$7:$C$1506=$B83),TAHSILAT!$E$7:$E$1506),""))</f>
        <v/>
      </c>
      <c r="Q83" s="113">
        <f>IF($B83="","",IF($N83&gt;0,"KRİTİK",IF($M83&gt;0,"YÜKSEK",IF($L83&gt;0,"ORTA",IF($J83&gt;0,"İZLE","TEMİZ")))))</f>
        <v/>
      </c>
      <c r="R83" s="121">
        <f>IF($B83="","",IF($Q83="KRİTİK","Acil tahsilat görüşmesi ve cari mutabakat",IF($Q83="YÜKSEK","Bu hafta tahsilat takibi",IF($Q83="ORTA","Hatırlatma mesajı gönder",IF($Q83="İZLE","Normal takip","Aksiyon gerekmiyor")))))</f>
        <v/>
      </c>
      <c r="S83" s="232">
        <f>IF($B83="","",COUNTIFS(AKTIVITE!$D$7:$D$1006,$B83,AKTIVITE!$J$7:$J$1006,"&lt;&gt;Tamamlandı"))</f>
        <v/>
      </c>
      <c r="T83" s="229">
        <f>IF($B83="","",IF(MUSTERILER!$K83="","",MUSTERILER!$K83))</f>
        <v/>
      </c>
      <c r="U83" s="232">
        <f>IF(OR($B83="",$T83=""),"",TODAY()-$T83)</f>
        <v/>
      </c>
      <c r="V83" s="113">
        <f>IF($B83="","",IF(ABS($J83-($K83+$L83+$M83+$N83))&lt;0.01,"UYGUN","İNCELE"))</f>
        <v/>
      </c>
      <c r="W83" s="6" t="n"/>
      <c r="X83" s="6">
        <f>IF($B83="",0,SUMIFS(UCRETLER!$J$7:$J$406,UCRETLER!$B$7:$B$406,$B83))</f>
        <v/>
      </c>
      <c r="Y83" s="3">
        <f>IF($B83="",0,SUMIFS(UCRETLER!$K$7:$K$406,UCRETLER!$B$7:$B$406,$B83))</f>
        <v/>
      </c>
      <c r="Z83" s="3">
        <f>IF($B83="",0,SUMIFS(UCRETLER!$L$7:$L$406,UCRETLER!$B$7:$B$406,$B83))</f>
        <v/>
      </c>
      <c r="AA83" s="3">
        <f>IF($B83="",0,MAX(0,$I83-$F83))</f>
        <v/>
      </c>
      <c r="AB83" s="3">
        <f>IF($B83="",0,MAX(0,$F83-$I83))</f>
        <v/>
      </c>
      <c r="AC83" s="3">
        <f>IF($B83="",0,MAX(0,$X83-$AA83))</f>
        <v/>
      </c>
      <c r="AD83" s="3">
        <f>IF($B83="",0,MAX(0,$Y83-$AA83))</f>
        <v/>
      </c>
      <c r="AE83" s="3">
        <f>IF($B83="",0,MAX(0,$Z83-$AA83))</f>
        <v/>
      </c>
    </row>
    <row r="84">
      <c r="A84" s="6" t="n"/>
      <c r="B84" s="113">
        <f>IF(MUSTERILER!$C84="","",MUSTERILER!$B84)</f>
        <v/>
      </c>
      <c r="C84" s="121">
        <f>IF(MUSTERILER!$C84="","",MUSTERILER!$C84)</f>
        <v/>
      </c>
      <c r="D84" s="227">
        <f>IF($B84="","",SUMIFS(UCRETLER!$G$7:$G$406,UCRETLER!$B$7:$B$406,$B84,UCRETLER!$F$7:$F$406,"Haftalık",UCRETLER!$H$7:$H$406,"Aktif"))</f>
        <v/>
      </c>
      <c r="E84" s="227">
        <f>IF($B84="","",SUMIFS(UCRETLER!$G$7:$G$406,UCRETLER!$B$7:$B$406,$B84,UCRETLER!$F$7:$F$406,"Aylık",UCRETLER!$H$7:$H$406,"Aktif"))</f>
        <v/>
      </c>
      <c r="F84" s="227">
        <f>IF($B84="","",SUMIFS(MUSTERILER!$J$7:$J$106,MUSTERILER!$B$7:$B$106,$B84))</f>
        <v/>
      </c>
      <c r="G84" s="227">
        <f>IF($B84="","",SUMIFS(UCRETLER!$I$7:$I$406,UCRETLER!$B$7:$B$406,$B84))</f>
        <v/>
      </c>
      <c r="H84" s="227">
        <f>IF($B84="","",$F84+$G84)</f>
        <v/>
      </c>
      <c r="I84" s="227">
        <f>IF($B84="","",SUMIFS(TAHSILAT!$F$7:$F$1506,TAHSILAT!$C$7:$C$1506,$B84))</f>
        <v/>
      </c>
      <c r="J84" s="227">
        <f>IF($B84="","",MAX(0,$H84-$I84))</f>
        <v/>
      </c>
      <c r="K84" s="227">
        <f>IF($B84="","",MAX(0,$J84-$L84-$M84-$N84))</f>
        <v/>
      </c>
      <c r="L84" s="227">
        <f>IF($B84="","",($AC84-$AD84)+IF(AND($AB84&gt;0,$T84&lt;&gt;"",$U84&gt;=8,$U84&lt;15),$AB84,0))</f>
        <v/>
      </c>
      <c r="M84" s="227">
        <f>IF($B84="","",($AD84-$AE84)+IF(AND($AB84&gt;0,$T84&lt;&gt;"",$U84&gt;=15,$U84&lt;29),$AB84,0))</f>
        <v/>
      </c>
      <c r="N84" s="227">
        <f>IF($B84="","",$AE84+IF(AND($AB84&gt;0,OR($T84="",$U84&gt;=29)),$AB84,0))</f>
        <v/>
      </c>
      <c r="O84" s="234">
        <f>IF($B84="","",IFERROR($I84/$H84,0))</f>
        <v/>
      </c>
      <c r="P84" s="229">
        <f>IF($B84="","",IFERROR(LOOKUP(2,1/(TAHSILAT!$C$7:$C$1506=$B84),TAHSILAT!$E$7:$E$1506),""))</f>
        <v/>
      </c>
      <c r="Q84" s="113">
        <f>IF($B84="","",IF($N84&gt;0,"KRİTİK",IF($M84&gt;0,"YÜKSEK",IF($L84&gt;0,"ORTA",IF($J84&gt;0,"İZLE","TEMİZ")))))</f>
        <v/>
      </c>
      <c r="R84" s="121">
        <f>IF($B84="","",IF($Q84="KRİTİK","Acil tahsilat görüşmesi ve cari mutabakat",IF($Q84="YÜKSEK","Bu hafta tahsilat takibi",IF($Q84="ORTA","Hatırlatma mesajı gönder",IF($Q84="İZLE","Normal takip","Aksiyon gerekmiyor")))))</f>
        <v/>
      </c>
      <c r="S84" s="232">
        <f>IF($B84="","",COUNTIFS(AKTIVITE!$D$7:$D$1006,$B84,AKTIVITE!$J$7:$J$1006,"&lt;&gt;Tamamlandı"))</f>
        <v/>
      </c>
      <c r="T84" s="229">
        <f>IF($B84="","",IF(MUSTERILER!$K84="","",MUSTERILER!$K84))</f>
        <v/>
      </c>
      <c r="U84" s="232">
        <f>IF(OR($B84="",$T84=""),"",TODAY()-$T84)</f>
        <v/>
      </c>
      <c r="V84" s="113">
        <f>IF($B84="","",IF(ABS($J84-($K84+$L84+$M84+$N84))&lt;0.01,"UYGUN","İNCELE"))</f>
        <v/>
      </c>
      <c r="W84" s="6" t="n"/>
      <c r="X84" s="6">
        <f>IF($B84="",0,SUMIFS(UCRETLER!$J$7:$J$406,UCRETLER!$B$7:$B$406,$B84))</f>
        <v/>
      </c>
      <c r="Y84" s="3">
        <f>IF($B84="",0,SUMIFS(UCRETLER!$K$7:$K$406,UCRETLER!$B$7:$B$406,$B84))</f>
        <v/>
      </c>
      <c r="Z84" s="3">
        <f>IF($B84="",0,SUMIFS(UCRETLER!$L$7:$L$406,UCRETLER!$B$7:$B$406,$B84))</f>
        <v/>
      </c>
      <c r="AA84" s="3">
        <f>IF($B84="",0,MAX(0,$I84-$F84))</f>
        <v/>
      </c>
      <c r="AB84" s="3">
        <f>IF($B84="",0,MAX(0,$F84-$I84))</f>
        <v/>
      </c>
      <c r="AC84" s="3">
        <f>IF($B84="",0,MAX(0,$X84-$AA84))</f>
        <v/>
      </c>
      <c r="AD84" s="3">
        <f>IF($B84="",0,MAX(0,$Y84-$AA84))</f>
        <v/>
      </c>
      <c r="AE84" s="3">
        <f>IF($B84="",0,MAX(0,$Z84-$AA84))</f>
        <v/>
      </c>
    </row>
    <row r="85">
      <c r="A85" s="6" t="n"/>
      <c r="B85" s="113">
        <f>IF(MUSTERILER!$C85="","",MUSTERILER!$B85)</f>
        <v/>
      </c>
      <c r="C85" s="121">
        <f>IF(MUSTERILER!$C85="","",MUSTERILER!$C85)</f>
        <v/>
      </c>
      <c r="D85" s="227">
        <f>IF($B85="","",SUMIFS(UCRETLER!$G$7:$G$406,UCRETLER!$B$7:$B$406,$B85,UCRETLER!$F$7:$F$406,"Haftalık",UCRETLER!$H$7:$H$406,"Aktif"))</f>
        <v/>
      </c>
      <c r="E85" s="227">
        <f>IF($B85="","",SUMIFS(UCRETLER!$G$7:$G$406,UCRETLER!$B$7:$B$406,$B85,UCRETLER!$F$7:$F$406,"Aylık",UCRETLER!$H$7:$H$406,"Aktif"))</f>
        <v/>
      </c>
      <c r="F85" s="227">
        <f>IF($B85="","",SUMIFS(MUSTERILER!$J$7:$J$106,MUSTERILER!$B$7:$B$106,$B85))</f>
        <v/>
      </c>
      <c r="G85" s="227">
        <f>IF($B85="","",SUMIFS(UCRETLER!$I$7:$I$406,UCRETLER!$B$7:$B$406,$B85))</f>
        <v/>
      </c>
      <c r="H85" s="227">
        <f>IF($B85="","",$F85+$G85)</f>
        <v/>
      </c>
      <c r="I85" s="227">
        <f>IF($B85="","",SUMIFS(TAHSILAT!$F$7:$F$1506,TAHSILAT!$C$7:$C$1506,$B85))</f>
        <v/>
      </c>
      <c r="J85" s="227">
        <f>IF($B85="","",MAX(0,$H85-$I85))</f>
        <v/>
      </c>
      <c r="K85" s="227">
        <f>IF($B85="","",MAX(0,$J85-$L85-$M85-$N85))</f>
        <v/>
      </c>
      <c r="L85" s="227">
        <f>IF($B85="","",($AC85-$AD85)+IF(AND($AB85&gt;0,$T85&lt;&gt;"",$U85&gt;=8,$U85&lt;15),$AB85,0))</f>
        <v/>
      </c>
      <c r="M85" s="227">
        <f>IF($B85="","",($AD85-$AE85)+IF(AND($AB85&gt;0,$T85&lt;&gt;"",$U85&gt;=15,$U85&lt;29),$AB85,0))</f>
        <v/>
      </c>
      <c r="N85" s="227">
        <f>IF($B85="","",$AE85+IF(AND($AB85&gt;0,OR($T85="",$U85&gt;=29)),$AB85,0))</f>
        <v/>
      </c>
      <c r="O85" s="234">
        <f>IF($B85="","",IFERROR($I85/$H85,0))</f>
        <v/>
      </c>
      <c r="P85" s="229">
        <f>IF($B85="","",IFERROR(LOOKUP(2,1/(TAHSILAT!$C$7:$C$1506=$B85),TAHSILAT!$E$7:$E$1506),""))</f>
        <v/>
      </c>
      <c r="Q85" s="113">
        <f>IF($B85="","",IF($N85&gt;0,"KRİTİK",IF($M85&gt;0,"YÜKSEK",IF($L85&gt;0,"ORTA",IF($J85&gt;0,"İZLE","TEMİZ")))))</f>
        <v/>
      </c>
      <c r="R85" s="121">
        <f>IF($B85="","",IF($Q85="KRİTİK","Acil tahsilat görüşmesi ve cari mutabakat",IF($Q85="YÜKSEK","Bu hafta tahsilat takibi",IF($Q85="ORTA","Hatırlatma mesajı gönder",IF($Q85="İZLE","Normal takip","Aksiyon gerekmiyor")))))</f>
        <v/>
      </c>
      <c r="S85" s="232">
        <f>IF($B85="","",COUNTIFS(AKTIVITE!$D$7:$D$1006,$B85,AKTIVITE!$J$7:$J$1006,"&lt;&gt;Tamamlandı"))</f>
        <v/>
      </c>
      <c r="T85" s="229">
        <f>IF($B85="","",IF(MUSTERILER!$K85="","",MUSTERILER!$K85))</f>
        <v/>
      </c>
      <c r="U85" s="232">
        <f>IF(OR($B85="",$T85=""),"",TODAY()-$T85)</f>
        <v/>
      </c>
      <c r="V85" s="113">
        <f>IF($B85="","",IF(ABS($J85-($K85+$L85+$M85+$N85))&lt;0.01,"UYGUN","İNCELE"))</f>
        <v/>
      </c>
      <c r="W85" s="6" t="n"/>
      <c r="X85" s="6">
        <f>IF($B85="",0,SUMIFS(UCRETLER!$J$7:$J$406,UCRETLER!$B$7:$B$406,$B85))</f>
        <v/>
      </c>
      <c r="Y85" s="3">
        <f>IF($B85="",0,SUMIFS(UCRETLER!$K$7:$K$406,UCRETLER!$B$7:$B$406,$B85))</f>
        <v/>
      </c>
      <c r="Z85" s="3">
        <f>IF($B85="",0,SUMIFS(UCRETLER!$L$7:$L$406,UCRETLER!$B$7:$B$406,$B85))</f>
        <v/>
      </c>
      <c r="AA85" s="3">
        <f>IF($B85="",0,MAX(0,$I85-$F85))</f>
        <v/>
      </c>
      <c r="AB85" s="3">
        <f>IF($B85="",0,MAX(0,$F85-$I85))</f>
        <v/>
      </c>
      <c r="AC85" s="3">
        <f>IF($B85="",0,MAX(0,$X85-$AA85))</f>
        <v/>
      </c>
      <c r="AD85" s="3">
        <f>IF($B85="",0,MAX(0,$Y85-$AA85))</f>
        <v/>
      </c>
      <c r="AE85" s="3">
        <f>IF($B85="",0,MAX(0,$Z85-$AA85))</f>
        <v/>
      </c>
    </row>
    <row r="86">
      <c r="A86" s="6" t="n"/>
      <c r="B86" s="113">
        <f>IF(MUSTERILER!$C86="","",MUSTERILER!$B86)</f>
        <v/>
      </c>
      <c r="C86" s="121">
        <f>IF(MUSTERILER!$C86="","",MUSTERILER!$C86)</f>
        <v/>
      </c>
      <c r="D86" s="227">
        <f>IF($B86="","",SUMIFS(UCRETLER!$G$7:$G$406,UCRETLER!$B$7:$B$406,$B86,UCRETLER!$F$7:$F$406,"Haftalık",UCRETLER!$H$7:$H$406,"Aktif"))</f>
        <v/>
      </c>
      <c r="E86" s="227">
        <f>IF($B86="","",SUMIFS(UCRETLER!$G$7:$G$406,UCRETLER!$B$7:$B$406,$B86,UCRETLER!$F$7:$F$406,"Aylık",UCRETLER!$H$7:$H$406,"Aktif"))</f>
        <v/>
      </c>
      <c r="F86" s="227">
        <f>IF($B86="","",SUMIFS(MUSTERILER!$J$7:$J$106,MUSTERILER!$B$7:$B$106,$B86))</f>
        <v/>
      </c>
      <c r="G86" s="227">
        <f>IF($B86="","",SUMIFS(UCRETLER!$I$7:$I$406,UCRETLER!$B$7:$B$406,$B86))</f>
        <v/>
      </c>
      <c r="H86" s="227">
        <f>IF($B86="","",$F86+$G86)</f>
        <v/>
      </c>
      <c r="I86" s="227">
        <f>IF($B86="","",SUMIFS(TAHSILAT!$F$7:$F$1506,TAHSILAT!$C$7:$C$1506,$B86))</f>
        <v/>
      </c>
      <c r="J86" s="227">
        <f>IF($B86="","",MAX(0,$H86-$I86))</f>
        <v/>
      </c>
      <c r="K86" s="227">
        <f>IF($B86="","",MAX(0,$J86-$L86-$M86-$N86))</f>
        <v/>
      </c>
      <c r="L86" s="227">
        <f>IF($B86="","",($AC86-$AD86)+IF(AND($AB86&gt;0,$T86&lt;&gt;"",$U86&gt;=8,$U86&lt;15),$AB86,0))</f>
        <v/>
      </c>
      <c r="M86" s="227">
        <f>IF($B86="","",($AD86-$AE86)+IF(AND($AB86&gt;0,$T86&lt;&gt;"",$U86&gt;=15,$U86&lt;29),$AB86,0))</f>
        <v/>
      </c>
      <c r="N86" s="227">
        <f>IF($B86="","",$AE86+IF(AND($AB86&gt;0,OR($T86="",$U86&gt;=29)),$AB86,0))</f>
        <v/>
      </c>
      <c r="O86" s="234">
        <f>IF($B86="","",IFERROR($I86/$H86,0))</f>
        <v/>
      </c>
      <c r="P86" s="229">
        <f>IF($B86="","",IFERROR(LOOKUP(2,1/(TAHSILAT!$C$7:$C$1506=$B86),TAHSILAT!$E$7:$E$1506),""))</f>
        <v/>
      </c>
      <c r="Q86" s="113">
        <f>IF($B86="","",IF($N86&gt;0,"KRİTİK",IF($M86&gt;0,"YÜKSEK",IF($L86&gt;0,"ORTA",IF($J86&gt;0,"İZLE","TEMİZ")))))</f>
        <v/>
      </c>
      <c r="R86" s="121">
        <f>IF($B86="","",IF($Q86="KRİTİK","Acil tahsilat görüşmesi ve cari mutabakat",IF($Q86="YÜKSEK","Bu hafta tahsilat takibi",IF($Q86="ORTA","Hatırlatma mesajı gönder",IF($Q86="İZLE","Normal takip","Aksiyon gerekmiyor")))))</f>
        <v/>
      </c>
      <c r="S86" s="232">
        <f>IF($B86="","",COUNTIFS(AKTIVITE!$D$7:$D$1006,$B86,AKTIVITE!$J$7:$J$1006,"&lt;&gt;Tamamlandı"))</f>
        <v/>
      </c>
      <c r="T86" s="229">
        <f>IF($B86="","",IF(MUSTERILER!$K86="","",MUSTERILER!$K86))</f>
        <v/>
      </c>
      <c r="U86" s="232">
        <f>IF(OR($B86="",$T86=""),"",TODAY()-$T86)</f>
        <v/>
      </c>
      <c r="V86" s="113">
        <f>IF($B86="","",IF(ABS($J86-($K86+$L86+$M86+$N86))&lt;0.01,"UYGUN","İNCELE"))</f>
        <v/>
      </c>
      <c r="W86" s="6" t="n"/>
      <c r="X86" s="6">
        <f>IF($B86="",0,SUMIFS(UCRETLER!$J$7:$J$406,UCRETLER!$B$7:$B$406,$B86))</f>
        <v/>
      </c>
      <c r="Y86" s="3">
        <f>IF($B86="",0,SUMIFS(UCRETLER!$K$7:$K$406,UCRETLER!$B$7:$B$406,$B86))</f>
        <v/>
      </c>
      <c r="Z86" s="3">
        <f>IF($B86="",0,SUMIFS(UCRETLER!$L$7:$L$406,UCRETLER!$B$7:$B$406,$B86))</f>
        <v/>
      </c>
      <c r="AA86" s="3">
        <f>IF($B86="",0,MAX(0,$I86-$F86))</f>
        <v/>
      </c>
      <c r="AB86" s="3">
        <f>IF($B86="",0,MAX(0,$F86-$I86))</f>
        <v/>
      </c>
      <c r="AC86" s="3">
        <f>IF($B86="",0,MAX(0,$X86-$AA86))</f>
        <v/>
      </c>
      <c r="AD86" s="3">
        <f>IF($B86="",0,MAX(0,$Y86-$AA86))</f>
        <v/>
      </c>
      <c r="AE86" s="3">
        <f>IF($B86="",0,MAX(0,$Z86-$AA86))</f>
        <v/>
      </c>
    </row>
    <row r="87">
      <c r="A87" s="6" t="n"/>
      <c r="B87" s="113">
        <f>IF(MUSTERILER!$C87="","",MUSTERILER!$B87)</f>
        <v/>
      </c>
      <c r="C87" s="121">
        <f>IF(MUSTERILER!$C87="","",MUSTERILER!$C87)</f>
        <v/>
      </c>
      <c r="D87" s="227">
        <f>IF($B87="","",SUMIFS(UCRETLER!$G$7:$G$406,UCRETLER!$B$7:$B$406,$B87,UCRETLER!$F$7:$F$406,"Haftalık",UCRETLER!$H$7:$H$406,"Aktif"))</f>
        <v/>
      </c>
      <c r="E87" s="227">
        <f>IF($B87="","",SUMIFS(UCRETLER!$G$7:$G$406,UCRETLER!$B$7:$B$406,$B87,UCRETLER!$F$7:$F$406,"Aylık",UCRETLER!$H$7:$H$406,"Aktif"))</f>
        <v/>
      </c>
      <c r="F87" s="227">
        <f>IF($B87="","",SUMIFS(MUSTERILER!$J$7:$J$106,MUSTERILER!$B$7:$B$106,$B87))</f>
        <v/>
      </c>
      <c r="G87" s="227">
        <f>IF($B87="","",SUMIFS(UCRETLER!$I$7:$I$406,UCRETLER!$B$7:$B$406,$B87))</f>
        <v/>
      </c>
      <c r="H87" s="227">
        <f>IF($B87="","",$F87+$G87)</f>
        <v/>
      </c>
      <c r="I87" s="227">
        <f>IF($B87="","",SUMIFS(TAHSILAT!$F$7:$F$1506,TAHSILAT!$C$7:$C$1506,$B87))</f>
        <v/>
      </c>
      <c r="J87" s="227">
        <f>IF($B87="","",MAX(0,$H87-$I87))</f>
        <v/>
      </c>
      <c r="K87" s="227">
        <f>IF($B87="","",MAX(0,$J87-$L87-$M87-$N87))</f>
        <v/>
      </c>
      <c r="L87" s="227">
        <f>IF($B87="","",($AC87-$AD87)+IF(AND($AB87&gt;0,$T87&lt;&gt;"",$U87&gt;=8,$U87&lt;15),$AB87,0))</f>
        <v/>
      </c>
      <c r="M87" s="227">
        <f>IF($B87="","",($AD87-$AE87)+IF(AND($AB87&gt;0,$T87&lt;&gt;"",$U87&gt;=15,$U87&lt;29),$AB87,0))</f>
        <v/>
      </c>
      <c r="N87" s="227">
        <f>IF($B87="","",$AE87+IF(AND($AB87&gt;0,OR($T87="",$U87&gt;=29)),$AB87,0))</f>
        <v/>
      </c>
      <c r="O87" s="234">
        <f>IF($B87="","",IFERROR($I87/$H87,0))</f>
        <v/>
      </c>
      <c r="P87" s="229">
        <f>IF($B87="","",IFERROR(LOOKUP(2,1/(TAHSILAT!$C$7:$C$1506=$B87),TAHSILAT!$E$7:$E$1506),""))</f>
        <v/>
      </c>
      <c r="Q87" s="113">
        <f>IF($B87="","",IF($N87&gt;0,"KRİTİK",IF($M87&gt;0,"YÜKSEK",IF($L87&gt;0,"ORTA",IF($J87&gt;0,"İZLE","TEMİZ")))))</f>
        <v/>
      </c>
      <c r="R87" s="121">
        <f>IF($B87="","",IF($Q87="KRİTİK","Acil tahsilat görüşmesi ve cari mutabakat",IF($Q87="YÜKSEK","Bu hafta tahsilat takibi",IF($Q87="ORTA","Hatırlatma mesajı gönder",IF($Q87="İZLE","Normal takip","Aksiyon gerekmiyor")))))</f>
        <v/>
      </c>
      <c r="S87" s="232">
        <f>IF($B87="","",COUNTIFS(AKTIVITE!$D$7:$D$1006,$B87,AKTIVITE!$J$7:$J$1006,"&lt;&gt;Tamamlandı"))</f>
        <v/>
      </c>
      <c r="T87" s="229">
        <f>IF($B87="","",IF(MUSTERILER!$K87="","",MUSTERILER!$K87))</f>
        <v/>
      </c>
      <c r="U87" s="232">
        <f>IF(OR($B87="",$T87=""),"",TODAY()-$T87)</f>
        <v/>
      </c>
      <c r="V87" s="113">
        <f>IF($B87="","",IF(ABS($J87-($K87+$L87+$M87+$N87))&lt;0.01,"UYGUN","İNCELE"))</f>
        <v/>
      </c>
      <c r="W87" s="6" t="n"/>
      <c r="X87" s="6">
        <f>IF($B87="",0,SUMIFS(UCRETLER!$J$7:$J$406,UCRETLER!$B$7:$B$406,$B87))</f>
        <v/>
      </c>
      <c r="Y87" s="3">
        <f>IF($B87="",0,SUMIFS(UCRETLER!$K$7:$K$406,UCRETLER!$B$7:$B$406,$B87))</f>
        <v/>
      </c>
      <c r="Z87" s="3">
        <f>IF($B87="",0,SUMIFS(UCRETLER!$L$7:$L$406,UCRETLER!$B$7:$B$406,$B87))</f>
        <v/>
      </c>
      <c r="AA87" s="3">
        <f>IF($B87="",0,MAX(0,$I87-$F87))</f>
        <v/>
      </c>
      <c r="AB87" s="3">
        <f>IF($B87="",0,MAX(0,$F87-$I87))</f>
        <v/>
      </c>
      <c r="AC87" s="3">
        <f>IF($B87="",0,MAX(0,$X87-$AA87))</f>
        <v/>
      </c>
      <c r="AD87" s="3">
        <f>IF($B87="",0,MAX(0,$Y87-$AA87))</f>
        <v/>
      </c>
      <c r="AE87" s="3">
        <f>IF($B87="",0,MAX(0,$Z87-$AA87))</f>
        <v/>
      </c>
    </row>
    <row r="88">
      <c r="A88" s="6" t="n"/>
      <c r="B88" s="113">
        <f>IF(MUSTERILER!$C88="","",MUSTERILER!$B88)</f>
        <v/>
      </c>
      <c r="C88" s="121">
        <f>IF(MUSTERILER!$C88="","",MUSTERILER!$C88)</f>
        <v/>
      </c>
      <c r="D88" s="227">
        <f>IF($B88="","",SUMIFS(UCRETLER!$G$7:$G$406,UCRETLER!$B$7:$B$406,$B88,UCRETLER!$F$7:$F$406,"Haftalık",UCRETLER!$H$7:$H$406,"Aktif"))</f>
        <v/>
      </c>
      <c r="E88" s="227">
        <f>IF($B88="","",SUMIFS(UCRETLER!$G$7:$G$406,UCRETLER!$B$7:$B$406,$B88,UCRETLER!$F$7:$F$406,"Aylık",UCRETLER!$H$7:$H$406,"Aktif"))</f>
        <v/>
      </c>
      <c r="F88" s="227">
        <f>IF($B88="","",SUMIFS(MUSTERILER!$J$7:$J$106,MUSTERILER!$B$7:$B$106,$B88))</f>
        <v/>
      </c>
      <c r="G88" s="227">
        <f>IF($B88="","",SUMIFS(UCRETLER!$I$7:$I$406,UCRETLER!$B$7:$B$406,$B88))</f>
        <v/>
      </c>
      <c r="H88" s="227">
        <f>IF($B88="","",$F88+$G88)</f>
        <v/>
      </c>
      <c r="I88" s="227">
        <f>IF($B88="","",SUMIFS(TAHSILAT!$F$7:$F$1506,TAHSILAT!$C$7:$C$1506,$B88))</f>
        <v/>
      </c>
      <c r="J88" s="227">
        <f>IF($B88="","",MAX(0,$H88-$I88))</f>
        <v/>
      </c>
      <c r="K88" s="227">
        <f>IF($B88="","",MAX(0,$J88-$L88-$M88-$N88))</f>
        <v/>
      </c>
      <c r="L88" s="227">
        <f>IF($B88="","",($AC88-$AD88)+IF(AND($AB88&gt;0,$T88&lt;&gt;"",$U88&gt;=8,$U88&lt;15),$AB88,0))</f>
        <v/>
      </c>
      <c r="M88" s="227">
        <f>IF($B88="","",($AD88-$AE88)+IF(AND($AB88&gt;0,$T88&lt;&gt;"",$U88&gt;=15,$U88&lt;29),$AB88,0))</f>
        <v/>
      </c>
      <c r="N88" s="227">
        <f>IF($B88="","",$AE88+IF(AND($AB88&gt;0,OR($T88="",$U88&gt;=29)),$AB88,0))</f>
        <v/>
      </c>
      <c r="O88" s="234">
        <f>IF($B88="","",IFERROR($I88/$H88,0))</f>
        <v/>
      </c>
      <c r="P88" s="229">
        <f>IF($B88="","",IFERROR(LOOKUP(2,1/(TAHSILAT!$C$7:$C$1506=$B88),TAHSILAT!$E$7:$E$1506),""))</f>
        <v/>
      </c>
      <c r="Q88" s="113">
        <f>IF($B88="","",IF($N88&gt;0,"KRİTİK",IF($M88&gt;0,"YÜKSEK",IF($L88&gt;0,"ORTA",IF($J88&gt;0,"İZLE","TEMİZ")))))</f>
        <v/>
      </c>
      <c r="R88" s="121">
        <f>IF($B88="","",IF($Q88="KRİTİK","Acil tahsilat görüşmesi ve cari mutabakat",IF($Q88="YÜKSEK","Bu hafta tahsilat takibi",IF($Q88="ORTA","Hatırlatma mesajı gönder",IF($Q88="İZLE","Normal takip","Aksiyon gerekmiyor")))))</f>
        <v/>
      </c>
      <c r="S88" s="232">
        <f>IF($B88="","",COUNTIFS(AKTIVITE!$D$7:$D$1006,$B88,AKTIVITE!$J$7:$J$1006,"&lt;&gt;Tamamlandı"))</f>
        <v/>
      </c>
      <c r="T88" s="229">
        <f>IF($B88="","",IF(MUSTERILER!$K88="","",MUSTERILER!$K88))</f>
        <v/>
      </c>
      <c r="U88" s="232">
        <f>IF(OR($B88="",$T88=""),"",TODAY()-$T88)</f>
        <v/>
      </c>
      <c r="V88" s="113">
        <f>IF($B88="","",IF(ABS($J88-($K88+$L88+$M88+$N88))&lt;0.01,"UYGUN","İNCELE"))</f>
        <v/>
      </c>
      <c r="W88" s="6" t="n"/>
      <c r="X88" s="6">
        <f>IF($B88="",0,SUMIFS(UCRETLER!$J$7:$J$406,UCRETLER!$B$7:$B$406,$B88))</f>
        <v/>
      </c>
      <c r="Y88" s="3">
        <f>IF($B88="",0,SUMIFS(UCRETLER!$K$7:$K$406,UCRETLER!$B$7:$B$406,$B88))</f>
        <v/>
      </c>
      <c r="Z88" s="3">
        <f>IF($B88="",0,SUMIFS(UCRETLER!$L$7:$L$406,UCRETLER!$B$7:$B$406,$B88))</f>
        <v/>
      </c>
      <c r="AA88" s="3">
        <f>IF($B88="",0,MAX(0,$I88-$F88))</f>
        <v/>
      </c>
      <c r="AB88" s="3">
        <f>IF($B88="",0,MAX(0,$F88-$I88))</f>
        <v/>
      </c>
      <c r="AC88" s="3">
        <f>IF($B88="",0,MAX(0,$X88-$AA88))</f>
        <v/>
      </c>
      <c r="AD88" s="3">
        <f>IF($B88="",0,MAX(0,$Y88-$AA88))</f>
        <v/>
      </c>
      <c r="AE88" s="3">
        <f>IF($B88="",0,MAX(0,$Z88-$AA88))</f>
        <v/>
      </c>
    </row>
    <row r="89">
      <c r="A89" s="6" t="n"/>
      <c r="B89" s="113">
        <f>IF(MUSTERILER!$C89="","",MUSTERILER!$B89)</f>
        <v/>
      </c>
      <c r="C89" s="121">
        <f>IF(MUSTERILER!$C89="","",MUSTERILER!$C89)</f>
        <v/>
      </c>
      <c r="D89" s="227">
        <f>IF($B89="","",SUMIFS(UCRETLER!$G$7:$G$406,UCRETLER!$B$7:$B$406,$B89,UCRETLER!$F$7:$F$406,"Haftalık",UCRETLER!$H$7:$H$406,"Aktif"))</f>
        <v/>
      </c>
      <c r="E89" s="227">
        <f>IF($B89="","",SUMIFS(UCRETLER!$G$7:$G$406,UCRETLER!$B$7:$B$406,$B89,UCRETLER!$F$7:$F$406,"Aylık",UCRETLER!$H$7:$H$406,"Aktif"))</f>
        <v/>
      </c>
      <c r="F89" s="227">
        <f>IF($B89="","",SUMIFS(MUSTERILER!$J$7:$J$106,MUSTERILER!$B$7:$B$106,$B89))</f>
        <v/>
      </c>
      <c r="G89" s="227">
        <f>IF($B89="","",SUMIFS(UCRETLER!$I$7:$I$406,UCRETLER!$B$7:$B$406,$B89))</f>
        <v/>
      </c>
      <c r="H89" s="227">
        <f>IF($B89="","",$F89+$G89)</f>
        <v/>
      </c>
      <c r="I89" s="227">
        <f>IF($B89="","",SUMIFS(TAHSILAT!$F$7:$F$1506,TAHSILAT!$C$7:$C$1506,$B89))</f>
        <v/>
      </c>
      <c r="J89" s="227">
        <f>IF($B89="","",MAX(0,$H89-$I89))</f>
        <v/>
      </c>
      <c r="K89" s="227">
        <f>IF($B89="","",MAX(0,$J89-$L89-$M89-$N89))</f>
        <v/>
      </c>
      <c r="L89" s="227">
        <f>IF($B89="","",($AC89-$AD89)+IF(AND($AB89&gt;0,$T89&lt;&gt;"",$U89&gt;=8,$U89&lt;15),$AB89,0))</f>
        <v/>
      </c>
      <c r="M89" s="227">
        <f>IF($B89="","",($AD89-$AE89)+IF(AND($AB89&gt;0,$T89&lt;&gt;"",$U89&gt;=15,$U89&lt;29),$AB89,0))</f>
        <v/>
      </c>
      <c r="N89" s="227">
        <f>IF($B89="","",$AE89+IF(AND($AB89&gt;0,OR($T89="",$U89&gt;=29)),$AB89,0))</f>
        <v/>
      </c>
      <c r="O89" s="234">
        <f>IF($B89="","",IFERROR($I89/$H89,0))</f>
        <v/>
      </c>
      <c r="P89" s="229">
        <f>IF($B89="","",IFERROR(LOOKUP(2,1/(TAHSILAT!$C$7:$C$1506=$B89),TAHSILAT!$E$7:$E$1506),""))</f>
        <v/>
      </c>
      <c r="Q89" s="113">
        <f>IF($B89="","",IF($N89&gt;0,"KRİTİK",IF($M89&gt;0,"YÜKSEK",IF($L89&gt;0,"ORTA",IF($J89&gt;0,"İZLE","TEMİZ")))))</f>
        <v/>
      </c>
      <c r="R89" s="121">
        <f>IF($B89="","",IF($Q89="KRİTİK","Acil tahsilat görüşmesi ve cari mutabakat",IF($Q89="YÜKSEK","Bu hafta tahsilat takibi",IF($Q89="ORTA","Hatırlatma mesajı gönder",IF($Q89="İZLE","Normal takip","Aksiyon gerekmiyor")))))</f>
        <v/>
      </c>
      <c r="S89" s="232">
        <f>IF($B89="","",COUNTIFS(AKTIVITE!$D$7:$D$1006,$B89,AKTIVITE!$J$7:$J$1006,"&lt;&gt;Tamamlandı"))</f>
        <v/>
      </c>
      <c r="T89" s="229">
        <f>IF($B89="","",IF(MUSTERILER!$K89="","",MUSTERILER!$K89))</f>
        <v/>
      </c>
      <c r="U89" s="232">
        <f>IF(OR($B89="",$T89=""),"",TODAY()-$T89)</f>
        <v/>
      </c>
      <c r="V89" s="113">
        <f>IF($B89="","",IF(ABS($J89-($K89+$L89+$M89+$N89))&lt;0.01,"UYGUN","İNCELE"))</f>
        <v/>
      </c>
      <c r="W89" s="6" t="n"/>
      <c r="X89" s="6">
        <f>IF($B89="",0,SUMIFS(UCRETLER!$J$7:$J$406,UCRETLER!$B$7:$B$406,$B89))</f>
        <v/>
      </c>
      <c r="Y89" s="3">
        <f>IF($B89="",0,SUMIFS(UCRETLER!$K$7:$K$406,UCRETLER!$B$7:$B$406,$B89))</f>
        <v/>
      </c>
      <c r="Z89" s="3">
        <f>IF($B89="",0,SUMIFS(UCRETLER!$L$7:$L$406,UCRETLER!$B$7:$B$406,$B89))</f>
        <v/>
      </c>
      <c r="AA89" s="3">
        <f>IF($B89="",0,MAX(0,$I89-$F89))</f>
        <v/>
      </c>
      <c r="AB89" s="3">
        <f>IF($B89="",0,MAX(0,$F89-$I89))</f>
        <v/>
      </c>
      <c r="AC89" s="3">
        <f>IF($B89="",0,MAX(0,$X89-$AA89))</f>
        <v/>
      </c>
      <c r="AD89" s="3">
        <f>IF($B89="",0,MAX(0,$Y89-$AA89))</f>
        <v/>
      </c>
      <c r="AE89" s="3">
        <f>IF($B89="",0,MAX(0,$Z89-$AA89))</f>
        <v/>
      </c>
    </row>
    <row r="90">
      <c r="A90" s="6" t="n"/>
      <c r="B90" s="113">
        <f>IF(MUSTERILER!$C90="","",MUSTERILER!$B90)</f>
        <v/>
      </c>
      <c r="C90" s="121">
        <f>IF(MUSTERILER!$C90="","",MUSTERILER!$C90)</f>
        <v/>
      </c>
      <c r="D90" s="227">
        <f>IF($B90="","",SUMIFS(UCRETLER!$G$7:$G$406,UCRETLER!$B$7:$B$406,$B90,UCRETLER!$F$7:$F$406,"Haftalık",UCRETLER!$H$7:$H$406,"Aktif"))</f>
        <v/>
      </c>
      <c r="E90" s="227">
        <f>IF($B90="","",SUMIFS(UCRETLER!$G$7:$G$406,UCRETLER!$B$7:$B$406,$B90,UCRETLER!$F$7:$F$406,"Aylık",UCRETLER!$H$7:$H$406,"Aktif"))</f>
        <v/>
      </c>
      <c r="F90" s="227">
        <f>IF($B90="","",SUMIFS(MUSTERILER!$J$7:$J$106,MUSTERILER!$B$7:$B$106,$B90))</f>
        <v/>
      </c>
      <c r="G90" s="227">
        <f>IF($B90="","",SUMIFS(UCRETLER!$I$7:$I$406,UCRETLER!$B$7:$B$406,$B90))</f>
        <v/>
      </c>
      <c r="H90" s="227">
        <f>IF($B90="","",$F90+$G90)</f>
        <v/>
      </c>
      <c r="I90" s="227">
        <f>IF($B90="","",SUMIFS(TAHSILAT!$F$7:$F$1506,TAHSILAT!$C$7:$C$1506,$B90))</f>
        <v/>
      </c>
      <c r="J90" s="227">
        <f>IF($B90="","",MAX(0,$H90-$I90))</f>
        <v/>
      </c>
      <c r="K90" s="227">
        <f>IF($B90="","",MAX(0,$J90-$L90-$M90-$N90))</f>
        <v/>
      </c>
      <c r="L90" s="227">
        <f>IF($B90="","",($AC90-$AD90)+IF(AND($AB90&gt;0,$T90&lt;&gt;"",$U90&gt;=8,$U90&lt;15),$AB90,0))</f>
        <v/>
      </c>
      <c r="M90" s="227">
        <f>IF($B90="","",($AD90-$AE90)+IF(AND($AB90&gt;0,$T90&lt;&gt;"",$U90&gt;=15,$U90&lt;29),$AB90,0))</f>
        <v/>
      </c>
      <c r="N90" s="227">
        <f>IF($B90="","",$AE90+IF(AND($AB90&gt;0,OR($T90="",$U90&gt;=29)),$AB90,0))</f>
        <v/>
      </c>
      <c r="O90" s="234">
        <f>IF($B90="","",IFERROR($I90/$H90,0))</f>
        <v/>
      </c>
      <c r="P90" s="229">
        <f>IF($B90="","",IFERROR(LOOKUP(2,1/(TAHSILAT!$C$7:$C$1506=$B90),TAHSILAT!$E$7:$E$1506),""))</f>
        <v/>
      </c>
      <c r="Q90" s="113">
        <f>IF($B90="","",IF($N90&gt;0,"KRİTİK",IF($M90&gt;0,"YÜKSEK",IF($L90&gt;0,"ORTA",IF($J90&gt;0,"İZLE","TEMİZ")))))</f>
        <v/>
      </c>
      <c r="R90" s="121">
        <f>IF($B90="","",IF($Q90="KRİTİK","Acil tahsilat görüşmesi ve cari mutabakat",IF($Q90="YÜKSEK","Bu hafta tahsilat takibi",IF($Q90="ORTA","Hatırlatma mesajı gönder",IF($Q90="İZLE","Normal takip","Aksiyon gerekmiyor")))))</f>
        <v/>
      </c>
      <c r="S90" s="232">
        <f>IF($B90="","",COUNTIFS(AKTIVITE!$D$7:$D$1006,$B90,AKTIVITE!$J$7:$J$1006,"&lt;&gt;Tamamlandı"))</f>
        <v/>
      </c>
      <c r="T90" s="229">
        <f>IF($B90="","",IF(MUSTERILER!$K90="","",MUSTERILER!$K90))</f>
        <v/>
      </c>
      <c r="U90" s="232">
        <f>IF(OR($B90="",$T90=""),"",TODAY()-$T90)</f>
        <v/>
      </c>
      <c r="V90" s="113">
        <f>IF($B90="","",IF(ABS($J90-($K90+$L90+$M90+$N90))&lt;0.01,"UYGUN","İNCELE"))</f>
        <v/>
      </c>
      <c r="W90" s="6" t="n"/>
      <c r="X90" s="6">
        <f>IF($B90="",0,SUMIFS(UCRETLER!$J$7:$J$406,UCRETLER!$B$7:$B$406,$B90))</f>
        <v/>
      </c>
      <c r="Y90" s="3">
        <f>IF($B90="",0,SUMIFS(UCRETLER!$K$7:$K$406,UCRETLER!$B$7:$B$406,$B90))</f>
        <v/>
      </c>
      <c r="Z90" s="3">
        <f>IF($B90="",0,SUMIFS(UCRETLER!$L$7:$L$406,UCRETLER!$B$7:$B$406,$B90))</f>
        <v/>
      </c>
      <c r="AA90" s="3">
        <f>IF($B90="",0,MAX(0,$I90-$F90))</f>
        <v/>
      </c>
      <c r="AB90" s="3">
        <f>IF($B90="",0,MAX(0,$F90-$I90))</f>
        <v/>
      </c>
      <c r="AC90" s="3">
        <f>IF($B90="",0,MAX(0,$X90-$AA90))</f>
        <v/>
      </c>
      <c r="AD90" s="3">
        <f>IF($B90="",0,MAX(0,$Y90-$AA90))</f>
        <v/>
      </c>
      <c r="AE90" s="3">
        <f>IF($B90="",0,MAX(0,$Z90-$AA90))</f>
        <v/>
      </c>
    </row>
    <row r="91">
      <c r="A91" s="6" t="n"/>
      <c r="B91" s="113">
        <f>IF(MUSTERILER!$C91="","",MUSTERILER!$B91)</f>
        <v/>
      </c>
      <c r="C91" s="121">
        <f>IF(MUSTERILER!$C91="","",MUSTERILER!$C91)</f>
        <v/>
      </c>
      <c r="D91" s="227">
        <f>IF($B91="","",SUMIFS(UCRETLER!$G$7:$G$406,UCRETLER!$B$7:$B$406,$B91,UCRETLER!$F$7:$F$406,"Haftalık",UCRETLER!$H$7:$H$406,"Aktif"))</f>
        <v/>
      </c>
      <c r="E91" s="227">
        <f>IF($B91="","",SUMIFS(UCRETLER!$G$7:$G$406,UCRETLER!$B$7:$B$406,$B91,UCRETLER!$F$7:$F$406,"Aylık",UCRETLER!$H$7:$H$406,"Aktif"))</f>
        <v/>
      </c>
      <c r="F91" s="227">
        <f>IF($B91="","",SUMIFS(MUSTERILER!$J$7:$J$106,MUSTERILER!$B$7:$B$106,$B91))</f>
        <v/>
      </c>
      <c r="G91" s="227">
        <f>IF($B91="","",SUMIFS(UCRETLER!$I$7:$I$406,UCRETLER!$B$7:$B$406,$B91))</f>
        <v/>
      </c>
      <c r="H91" s="227">
        <f>IF($B91="","",$F91+$G91)</f>
        <v/>
      </c>
      <c r="I91" s="227">
        <f>IF($B91="","",SUMIFS(TAHSILAT!$F$7:$F$1506,TAHSILAT!$C$7:$C$1506,$B91))</f>
        <v/>
      </c>
      <c r="J91" s="227">
        <f>IF($B91="","",MAX(0,$H91-$I91))</f>
        <v/>
      </c>
      <c r="K91" s="227">
        <f>IF($B91="","",MAX(0,$J91-$L91-$M91-$N91))</f>
        <v/>
      </c>
      <c r="L91" s="227">
        <f>IF($B91="","",($AC91-$AD91)+IF(AND($AB91&gt;0,$T91&lt;&gt;"",$U91&gt;=8,$U91&lt;15),$AB91,0))</f>
        <v/>
      </c>
      <c r="M91" s="227">
        <f>IF($B91="","",($AD91-$AE91)+IF(AND($AB91&gt;0,$T91&lt;&gt;"",$U91&gt;=15,$U91&lt;29),$AB91,0))</f>
        <v/>
      </c>
      <c r="N91" s="227">
        <f>IF($B91="","",$AE91+IF(AND($AB91&gt;0,OR($T91="",$U91&gt;=29)),$AB91,0))</f>
        <v/>
      </c>
      <c r="O91" s="234">
        <f>IF($B91="","",IFERROR($I91/$H91,0))</f>
        <v/>
      </c>
      <c r="P91" s="229">
        <f>IF($B91="","",IFERROR(LOOKUP(2,1/(TAHSILAT!$C$7:$C$1506=$B91),TAHSILAT!$E$7:$E$1506),""))</f>
        <v/>
      </c>
      <c r="Q91" s="113">
        <f>IF($B91="","",IF($N91&gt;0,"KRİTİK",IF($M91&gt;0,"YÜKSEK",IF($L91&gt;0,"ORTA",IF($J91&gt;0,"İZLE","TEMİZ")))))</f>
        <v/>
      </c>
      <c r="R91" s="121">
        <f>IF($B91="","",IF($Q91="KRİTİK","Acil tahsilat görüşmesi ve cari mutabakat",IF($Q91="YÜKSEK","Bu hafta tahsilat takibi",IF($Q91="ORTA","Hatırlatma mesajı gönder",IF($Q91="İZLE","Normal takip","Aksiyon gerekmiyor")))))</f>
        <v/>
      </c>
      <c r="S91" s="232">
        <f>IF($B91="","",COUNTIFS(AKTIVITE!$D$7:$D$1006,$B91,AKTIVITE!$J$7:$J$1006,"&lt;&gt;Tamamlandı"))</f>
        <v/>
      </c>
      <c r="T91" s="229">
        <f>IF($B91="","",IF(MUSTERILER!$K91="","",MUSTERILER!$K91))</f>
        <v/>
      </c>
      <c r="U91" s="232">
        <f>IF(OR($B91="",$T91=""),"",TODAY()-$T91)</f>
        <v/>
      </c>
      <c r="V91" s="113">
        <f>IF($B91="","",IF(ABS($J91-($K91+$L91+$M91+$N91))&lt;0.01,"UYGUN","İNCELE"))</f>
        <v/>
      </c>
      <c r="W91" s="6" t="n"/>
      <c r="X91" s="6">
        <f>IF($B91="",0,SUMIFS(UCRETLER!$J$7:$J$406,UCRETLER!$B$7:$B$406,$B91))</f>
        <v/>
      </c>
      <c r="Y91" s="3">
        <f>IF($B91="",0,SUMIFS(UCRETLER!$K$7:$K$406,UCRETLER!$B$7:$B$406,$B91))</f>
        <v/>
      </c>
      <c r="Z91" s="3">
        <f>IF($B91="",0,SUMIFS(UCRETLER!$L$7:$L$406,UCRETLER!$B$7:$B$406,$B91))</f>
        <v/>
      </c>
      <c r="AA91" s="3">
        <f>IF($B91="",0,MAX(0,$I91-$F91))</f>
        <v/>
      </c>
      <c r="AB91" s="3">
        <f>IF($B91="",0,MAX(0,$F91-$I91))</f>
        <v/>
      </c>
      <c r="AC91" s="3">
        <f>IF($B91="",0,MAX(0,$X91-$AA91))</f>
        <v/>
      </c>
      <c r="AD91" s="3">
        <f>IF($B91="",0,MAX(0,$Y91-$AA91))</f>
        <v/>
      </c>
      <c r="AE91" s="3">
        <f>IF($B91="",0,MAX(0,$Z91-$AA91))</f>
        <v/>
      </c>
    </row>
    <row r="92">
      <c r="A92" s="6" t="n"/>
      <c r="B92" s="113">
        <f>IF(MUSTERILER!$C92="","",MUSTERILER!$B92)</f>
        <v/>
      </c>
      <c r="C92" s="121">
        <f>IF(MUSTERILER!$C92="","",MUSTERILER!$C92)</f>
        <v/>
      </c>
      <c r="D92" s="227">
        <f>IF($B92="","",SUMIFS(UCRETLER!$G$7:$G$406,UCRETLER!$B$7:$B$406,$B92,UCRETLER!$F$7:$F$406,"Haftalık",UCRETLER!$H$7:$H$406,"Aktif"))</f>
        <v/>
      </c>
      <c r="E92" s="227">
        <f>IF($B92="","",SUMIFS(UCRETLER!$G$7:$G$406,UCRETLER!$B$7:$B$406,$B92,UCRETLER!$F$7:$F$406,"Aylık",UCRETLER!$H$7:$H$406,"Aktif"))</f>
        <v/>
      </c>
      <c r="F92" s="227">
        <f>IF($B92="","",SUMIFS(MUSTERILER!$J$7:$J$106,MUSTERILER!$B$7:$B$106,$B92))</f>
        <v/>
      </c>
      <c r="G92" s="227">
        <f>IF($B92="","",SUMIFS(UCRETLER!$I$7:$I$406,UCRETLER!$B$7:$B$406,$B92))</f>
        <v/>
      </c>
      <c r="H92" s="227">
        <f>IF($B92="","",$F92+$G92)</f>
        <v/>
      </c>
      <c r="I92" s="227">
        <f>IF($B92="","",SUMIFS(TAHSILAT!$F$7:$F$1506,TAHSILAT!$C$7:$C$1506,$B92))</f>
        <v/>
      </c>
      <c r="J92" s="227">
        <f>IF($B92="","",MAX(0,$H92-$I92))</f>
        <v/>
      </c>
      <c r="K92" s="227">
        <f>IF($B92="","",MAX(0,$J92-$L92-$M92-$N92))</f>
        <v/>
      </c>
      <c r="L92" s="227">
        <f>IF($B92="","",($AC92-$AD92)+IF(AND($AB92&gt;0,$T92&lt;&gt;"",$U92&gt;=8,$U92&lt;15),$AB92,0))</f>
        <v/>
      </c>
      <c r="M92" s="227">
        <f>IF($B92="","",($AD92-$AE92)+IF(AND($AB92&gt;0,$T92&lt;&gt;"",$U92&gt;=15,$U92&lt;29),$AB92,0))</f>
        <v/>
      </c>
      <c r="N92" s="227">
        <f>IF($B92="","",$AE92+IF(AND($AB92&gt;0,OR($T92="",$U92&gt;=29)),$AB92,0))</f>
        <v/>
      </c>
      <c r="O92" s="234">
        <f>IF($B92="","",IFERROR($I92/$H92,0))</f>
        <v/>
      </c>
      <c r="P92" s="229">
        <f>IF($B92="","",IFERROR(LOOKUP(2,1/(TAHSILAT!$C$7:$C$1506=$B92),TAHSILAT!$E$7:$E$1506),""))</f>
        <v/>
      </c>
      <c r="Q92" s="113">
        <f>IF($B92="","",IF($N92&gt;0,"KRİTİK",IF($M92&gt;0,"YÜKSEK",IF($L92&gt;0,"ORTA",IF($J92&gt;0,"İZLE","TEMİZ")))))</f>
        <v/>
      </c>
      <c r="R92" s="121">
        <f>IF($B92="","",IF($Q92="KRİTİK","Acil tahsilat görüşmesi ve cari mutabakat",IF($Q92="YÜKSEK","Bu hafta tahsilat takibi",IF($Q92="ORTA","Hatırlatma mesajı gönder",IF($Q92="İZLE","Normal takip","Aksiyon gerekmiyor")))))</f>
        <v/>
      </c>
      <c r="S92" s="232">
        <f>IF($B92="","",COUNTIFS(AKTIVITE!$D$7:$D$1006,$B92,AKTIVITE!$J$7:$J$1006,"&lt;&gt;Tamamlandı"))</f>
        <v/>
      </c>
      <c r="T92" s="229">
        <f>IF($B92="","",IF(MUSTERILER!$K92="","",MUSTERILER!$K92))</f>
        <v/>
      </c>
      <c r="U92" s="232">
        <f>IF(OR($B92="",$T92=""),"",TODAY()-$T92)</f>
        <v/>
      </c>
      <c r="V92" s="113">
        <f>IF($B92="","",IF(ABS($J92-($K92+$L92+$M92+$N92))&lt;0.01,"UYGUN","İNCELE"))</f>
        <v/>
      </c>
      <c r="W92" s="6" t="n"/>
      <c r="X92" s="6">
        <f>IF($B92="",0,SUMIFS(UCRETLER!$J$7:$J$406,UCRETLER!$B$7:$B$406,$B92))</f>
        <v/>
      </c>
      <c r="Y92" s="3">
        <f>IF($B92="",0,SUMIFS(UCRETLER!$K$7:$K$406,UCRETLER!$B$7:$B$406,$B92))</f>
        <v/>
      </c>
      <c r="Z92" s="3">
        <f>IF($B92="",0,SUMIFS(UCRETLER!$L$7:$L$406,UCRETLER!$B$7:$B$406,$B92))</f>
        <v/>
      </c>
      <c r="AA92" s="3">
        <f>IF($B92="",0,MAX(0,$I92-$F92))</f>
        <v/>
      </c>
      <c r="AB92" s="3">
        <f>IF($B92="",0,MAX(0,$F92-$I92))</f>
        <v/>
      </c>
      <c r="AC92" s="3">
        <f>IF($B92="",0,MAX(0,$X92-$AA92))</f>
        <v/>
      </c>
      <c r="AD92" s="3">
        <f>IF($B92="",0,MAX(0,$Y92-$AA92))</f>
        <v/>
      </c>
      <c r="AE92" s="3">
        <f>IF($B92="",0,MAX(0,$Z92-$AA92))</f>
        <v/>
      </c>
    </row>
    <row r="93">
      <c r="A93" s="6" t="n"/>
      <c r="B93" s="113">
        <f>IF(MUSTERILER!$C93="","",MUSTERILER!$B93)</f>
        <v/>
      </c>
      <c r="C93" s="121">
        <f>IF(MUSTERILER!$C93="","",MUSTERILER!$C93)</f>
        <v/>
      </c>
      <c r="D93" s="227">
        <f>IF($B93="","",SUMIFS(UCRETLER!$G$7:$G$406,UCRETLER!$B$7:$B$406,$B93,UCRETLER!$F$7:$F$406,"Haftalık",UCRETLER!$H$7:$H$406,"Aktif"))</f>
        <v/>
      </c>
      <c r="E93" s="227">
        <f>IF($B93="","",SUMIFS(UCRETLER!$G$7:$G$406,UCRETLER!$B$7:$B$406,$B93,UCRETLER!$F$7:$F$406,"Aylık",UCRETLER!$H$7:$H$406,"Aktif"))</f>
        <v/>
      </c>
      <c r="F93" s="227">
        <f>IF($B93="","",SUMIFS(MUSTERILER!$J$7:$J$106,MUSTERILER!$B$7:$B$106,$B93))</f>
        <v/>
      </c>
      <c r="G93" s="227">
        <f>IF($B93="","",SUMIFS(UCRETLER!$I$7:$I$406,UCRETLER!$B$7:$B$406,$B93))</f>
        <v/>
      </c>
      <c r="H93" s="227">
        <f>IF($B93="","",$F93+$G93)</f>
        <v/>
      </c>
      <c r="I93" s="227">
        <f>IF($B93="","",SUMIFS(TAHSILAT!$F$7:$F$1506,TAHSILAT!$C$7:$C$1506,$B93))</f>
        <v/>
      </c>
      <c r="J93" s="227">
        <f>IF($B93="","",MAX(0,$H93-$I93))</f>
        <v/>
      </c>
      <c r="K93" s="227">
        <f>IF($B93="","",MAX(0,$J93-$L93-$M93-$N93))</f>
        <v/>
      </c>
      <c r="L93" s="227">
        <f>IF($B93="","",($AC93-$AD93)+IF(AND($AB93&gt;0,$T93&lt;&gt;"",$U93&gt;=8,$U93&lt;15),$AB93,0))</f>
        <v/>
      </c>
      <c r="M93" s="227">
        <f>IF($B93="","",($AD93-$AE93)+IF(AND($AB93&gt;0,$T93&lt;&gt;"",$U93&gt;=15,$U93&lt;29),$AB93,0))</f>
        <v/>
      </c>
      <c r="N93" s="227">
        <f>IF($B93="","",$AE93+IF(AND($AB93&gt;0,OR($T93="",$U93&gt;=29)),$AB93,0))</f>
        <v/>
      </c>
      <c r="O93" s="234">
        <f>IF($B93="","",IFERROR($I93/$H93,0))</f>
        <v/>
      </c>
      <c r="P93" s="229">
        <f>IF($B93="","",IFERROR(LOOKUP(2,1/(TAHSILAT!$C$7:$C$1506=$B93),TAHSILAT!$E$7:$E$1506),""))</f>
        <v/>
      </c>
      <c r="Q93" s="113">
        <f>IF($B93="","",IF($N93&gt;0,"KRİTİK",IF($M93&gt;0,"YÜKSEK",IF($L93&gt;0,"ORTA",IF($J93&gt;0,"İZLE","TEMİZ")))))</f>
        <v/>
      </c>
      <c r="R93" s="121">
        <f>IF($B93="","",IF($Q93="KRİTİK","Acil tahsilat görüşmesi ve cari mutabakat",IF($Q93="YÜKSEK","Bu hafta tahsilat takibi",IF($Q93="ORTA","Hatırlatma mesajı gönder",IF($Q93="İZLE","Normal takip","Aksiyon gerekmiyor")))))</f>
        <v/>
      </c>
      <c r="S93" s="232">
        <f>IF($B93="","",COUNTIFS(AKTIVITE!$D$7:$D$1006,$B93,AKTIVITE!$J$7:$J$1006,"&lt;&gt;Tamamlandı"))</f>
        <v/>
      </c>
      <c r="T93" s="229">
        <f>IF($B93="","",IF(MUSTERILER!$K93="","",MUSTERILER!$K93))</f>
        <v/>
      </c>
      <c r="U93" s="232">
        <f>IF(OR($B93="",$T93=""),"",TODAY()-$T93)</f>
        <v/>
      </c>
      <c r="V93" s="113">
        <f>IF($B93="","",IF(ABS($J93-($K93+$L93+$M93+$N93))&lt;0.01,"UYGUN","İNCELE"))</f>
        <v/>
      </c>
      <c r="W93" s="6" t="n"/>
      <c r="X93" s="6">
        <f>IF($B93="",0,SUMIFS(UCRETLER!$J$7:$J$406,UCRETLER!$B$7:$B$406,$B93))</f>
        <v/>
      </c>
      <c r="Y93" s="3">
        <f>IF($B93="",0,SUMIFS(UCRETLER!$K$7:$K$406,UCRETLER!$B$7:$B$406,$B93))</f>
        <v/>
      </c>
      <c r="Z93" s="3">
        <f>IF($B93="",0,SUMIFS(UCRETLER!$L$7:$L$406,UCRETLER!$B$7:$B$406,$B93))</f>
        <v/>
      </c>
      <c r="AA93" s="3">
        <f>IF($B93="",0,MAX(0,$I93-$F93))</f>
        <v/>
      </c>
      <c r="AB93" s="3">
        <f>IF($B93="",0,MAX(0,$F93-$I93))</f>
        <v/>
      </c>
      <c r="AC93" s="3">
        <f>IF($B93="",0,MAX(0,$X93-$AA93))</f>
        <v/>
      </c>
      <c r="AD93" s="3">
        <f>IF($B93="",0,MAX(0,$Y93-$AA93))</f>
        <v/>
      </c>
      <c r="AE93" s="3">
        <f>IF($B93="",0,MAX(0,$Z93-$AA93))</f>
        <v/>
      </c>
    </row>
    <row r="94">
      <c r="A94" s="6" t="n"/>
      <c r="B94" s="113">
        <f>IF(MUSTERILER!$C94="","",MUSTERILER!$B94)</f>
        <v/>
      </c>
      <c r="C94" s="121">
        <f>IF(MUSTERILER!$C94="","",MUSTERILER!$C94)</f>
        <v/>
      </c>
      <c r="D94" s="227">
        <f>IF($B94="","",SUMIFS(UCRETLER!$G$7:$G$406,UCRETLER!$B$7:$B$406,$B94,UCRETLER!$F$7:$F$406,"Haftalık",UCRETLER!$H$7:$H$406,"Aktif"))</f>
        <v/>
      </c>
      <c r="E94" s="227">
        <f>IF($B94="","",SUMIFS(UCRETLER!$G$7:$G$406,UCRETLER!$B$7:$B$406,$B94,UCRETLER!$F$7:$F$406,"Aylık",UCRETLER!$H$7:$H$406,"Aktif"))</f>
        <v/>
      </c>
      <c r="F94" s="227">
        <f>IF($B94="","",SUMIFS(MUSTERILER!$J$7:$J$106,MUSTERILER!$B$7:$B$106,$B94))</f>
        <v/>
      </c>
      <c r="G94" s="227">
        <f>IF($B94="","",SUMIFS(UCRETLER!$I$7:$I$406,UCRETLER!$B$7:$B$406,$B94))</f>
        <v/>
      </c>
      <c r="H94" s="227">
        <f>IF($B94="","",$F94+$G94)</f>
        <v/>
      </c>
      <c r="I94" s="227">
        <f>IF($B94="","",SUMIFS(TAHSILAT!$F$7:$F$1506,TAHSILAT!$C$7:$C$1506,$B94))</f>
        <v/>
      </c>
      <c r="J94" s="227">
        <f>IF($B94="","",MAX(0,$H94-$I94))</f>
        <v/>
      </c>
      <c r="K94" s="227">
        <f>IF($B94="","",MAX(0,$J94-$L94-$M94-$N94))</f>
        <v/>
      </c>
      <c r="L94" s="227">
        <f>IF($B94="","",($AC94-$AD94)+IF(AND($AB94&gt;0,$T94&lt;&gt;"",$U94&gt;=8,$U94&lt;15),$AB94,0))</f>
        <v/>
      </c>
      <c r="M94" s="227">
        <f>IF($B94="","",($AD94-$AE94)+IF(AND($AB94&gt;0,$T94&lt;&gt;"",$U94&gt;=15,$U94&lt;29),$AB94,0))</f>
        <v/>
      </c>
      <c r="N94" s="227">
        <f>IF($B94="","",$AE94+IF(AND($AB94&gt;0,OR($T94="",$U94&gt;=29)),$AB94,0))</f>
        <v/>
      </c>
      <c r="O94" s="234">
        <f>IF($B94="","",IFERROR($I94/$H94,0))</f>
        <v/>
      </c>
      <c r="P94" s="229">
        <f>IF($B94="","",IFERROR(LOOKUP(2,1/(TAHSILAT!$C$7:$C$1506=$B94),TAHSILAT!$E$7:$E$1506),""))</f>
        <v/>
      </c>
      <c r="Q94" s="113">
        <f>IF($B94="","",IF($N94&gt;0,"KRİTİK",IF($M94&gt;0,"YÜKSEK",IF($L94&gt;0,"ORTA",IF($J94&gt;0,"İZLE","TEMİZ")))))</f>
        <v/>
      </c>
      <c r="R94" s="121">
        <f>IF($B94="","",IF($Q94="KRİTİK","Acil tahsilat görüşmesi ve cari mutabakat",IF($Q94="YÜKSEK","Bu hafta tahsilat takibi",IF($Q94="ORTA","Hatırlatma mesajı gönder",IF($Q94="İZLE","Normal takip","Aksiyon gerekmiyor")))))</f>
        <v/>
      </c>
      <c r="S94" s="232">
        <f>IF($B94="","",COUNTIFS(AKTIVITE!$D$7:$D$1006,$B94,AKTIVITE!$J$7:$J$1006,"&lt;&gt;Tamamlandı"))</f>
        <v/>
      </c>
      <c r="T94" s="229">
        <f>IF($B94="","",IF(MUSTERILER!$K94="","",MUSTERILER!$K94))</f>
        <v/>
      </c>
      <c r="U94" s="232">
        <f>IF(OR($B94="",$T94=""),"",TODAY()-$T94)</f>
        <v/>
      </c>
      <c r="V94" s="113">
        <f>IF($B94="","",IF(ABS($J94-($K94+$L94+$M94+$N94))&lt;0.01,"UYGUN","İNCELE"))</f>
        <v/>
      </c>
      <c r="W94" s="6" t="n"/>
      <c r="X94" s="6">
        <f>IF($B94="",0,SUMIFS(UCRETLER!$J$7:$J$406,UCRETLER!$B$7:$B$406,$B94))</f>
        <v/>
      </c>
      <c r="Y94" s="3">
        <f>IF($B94="",0,SUMIFS(UCRETLER!$K$7:$K$406,UCRETLER!$B$7:$B$406,$B94))</f>
        <v/>
      </c>
      <c r="Z94" s="3">
        <f>IF($B94="",0,SUMIFS(UCRETLER!$L$7:$L$406,UCRETLER!$B$7:$B$406,$B94))</f>
        <v/>
      </c>
      <c r="AA94" s="3">
        <f>IF($B94="",0,MAX(0,$I94-$F94))</f>
        <v/>
      </c>
      <c r="AB94" s="3">
        <f>IF($B94="",0,MAX(0,$F94-$I94))</f>
        <v/>
      </c>
      <c r="AC94" s="3">
        <f>IF($B94="",0,MAX(0,$X94-$AA94))</f>
        <v/>
      </c>
      <c r="AD94" s="3">
        <f>IF($B94="",0,MAX(0,$Y94-$AA94))</f>
        <v/>
      </c>
      <c r="AE94" s="3">
        <f>IF($B94="",0,MAX(0,$Z94-$AA94))</f>
        <v/>
      </c>
    </row>
    <row r="95">
      <c r="A95" s="6" t="n"/>
      <c r="B95" s="113">
        <f>IF(MUSTERILER!$C95="","",MUSTERILER!$B95)</f>
        <v/>
      </c>
      <c r="C95" s="121">
        <f>IF(MUSTERILER!$C95="","",MUSTERILER!$C95)</f>
        <v/>
      </c>
      <c r="D95" s="227">
        <f>IF($B95="","",SUMIFS(UCRETLER!$G$7:$G$406,UCRETLER!$B$7:$B$406,$B95,UCRETLER!$F$7:$F$406,"Haftalık",UCRETLER!$H$7:$H$406,"Aktif"))</f>
        <v/>
      </c>
      <c r="E95" s="227">
        <f>IF($B95="","",SUMIFS(UCRETLER!$G$7:$G$406,UCRETLER!$B$7:$B$406,$B95,UCRETLER!$F$7:$F$406,"Aylık",UCRETLER!$H$7:$H$406,"Aktif"))</f>
        <v/>
      </c>
      <c r="F95" s="227">
        <f>IF($B95="","",SUMIFS(MUSTERILER!$J$7:$J$106,MUSTERILER!$B$7:$B$106,$B95))</f>
        <v/>
      </c>
      <c r="G95" s="227">
        <f>IF($B95="","",SUMIFS(UCRETLER!$I$7:$I$406,UCRETLER!$B$7:$B$406,$B95))</f>
        <v/>
      </c>
      <c r="H95" s="227">
        <f>IF($B95="","",$F95+$G95)</f>
        <v/>
      </c>
      <c r="I95" s="227">
        <f>IF($B95="","",SUMIFS(TAHSILAT!$F$7:$F$1506,TAHSILAT!$C$7:$C$1506,$B95))</f>
        <v/>
      </c>
      <c r="J95" s="227">
        <f>IF($B95="","",MAX(0,$H95-$I95))</f>
        <v/>
      </c>
      <c r="K95" s="227">
        <f>IF($B95="","",MAX(0,$J95-$L95-$M95-$N95))</f>
        <v/>
      </c>
      <c r="L95" s="227">
        <f>IF($B95="","",($AC95-$AD95)+IF(AND($AB95&gt;0,$T95&lt;&gt;"",$U95&gt;=8,$U95&lt;15),$AB95,0))</f>
        <v/>
      </c>
      <c r="M95" s="227">
        <f>IF($B95="","",($AD95-$AE95)+IF(AND($AB95&gt;0,$T95&lt;&gt;"",$U95&gt;=15,$U95&lt;29),$AB95,0))</f>
        <v/>
      </c>
      <c r="N95" s="227">
        <f>IF($B95="","",$AE95+IF(AND($AB95&gt;0,OR($T95="",$U95&gt;=29)),$AB95,0))</f>
        <v/>
      </c>
      <c r="O95" s="234">
        <f>IF($B95="","",IFERROR($I95/$H95,0))</f>
        <v/>
      </c>
      <c r="P95" s="229">
        <f>IF($B95="","",IFERROR(LOOKUP(2,1/(TAHSILAT!$C$7:$C$1506=$B95),TAHSILAT!$E$7:$E$1506),""))</f>
        <v/>
      </c>
      <c r="Q95" s="113">
        <f>IF($B95="","",IF($N95&gt;0,"KRİTİK",IF($M95&gt;0,"YÜKSEK",IF($L95&gt;0,"ORTA",IF($J95&gt;0,"İZLE","TEMİZ")))))</f>
        <v/>
      </c>
      <c r="R95" s="121">
        <f>IF($B95="","",IF($Q95="KRİTİK","Acil tahsilat görüşmesi ve cari mutabakat",IF($Q95="YÜKSEK","Bu hafta tahsilat takibi",IF($Q95="ORTA","Hatırlatma mesajı gönder",IF($Q95="İZLE","Normal takip","Aksiyon gerekmiyor")))))</f>
        <v/>
      </c>
      <c r="S95" s="232">
        <f>IF($B95="","",COUNTIFS(AKTIVITE!$D$7:$D$1006,$B95,AKTIVITE!$J$7:$J$1006,"&lt;&gt;Tamamlandı"))</f>
        <v/>
      </c>
      <c r="T95" s="229">
        <f>IF($B95="","",IF(MUSTERILER!$K95="","",MUSTERILER!$K95))</f>
        <v/>
      </c>
      <c r="U95" s="232">
        <f>IF(OR($B95="",$T95=""),"",TODAY()-$T95)</f>
        <v/>
      </c>
      <c r="V95" s="113">
        <f>IF($B95="","",IF(ABS($J95-($K95+$L95+$M95+$N95))&lt;0.01,"UYGUN","İNCELE"))</f>
        <v/>
      </c>
      <c r="W95" s="6" t="n"/>
      <c r="X95" s="6">
        <f>IF($B95="",0,SUMIFS(UCRETLER!$J$7:$J$406,UCRETLER!$B$7:$B$406,$B95))</f>
        <v/>
      </c>
      <c r="Y95" s="3">
        <f>IF($B95="",0,SUMIFS(UCRETLER!$K$7:$K$406,UCRETLER!$B$7:$B$406,$B95))</f>
        <v/>
      </c>
      <c r="Z95" s="3">
        <f>IF($B95="",0,SUMIFS(UCRETLER!$L$7:$L$406,UCRETLER!$B$7:$B$406,$B95))</f>
        <v/>
      </c>
      <c r="AA95" s="3">
        <f>IF($B95="",0,MAX(0,$I95-$F95))</f>
        <v/>
      </c>
      <c r="AB95" s="3">
        <f>IF($B95="",0,MAX(0,$F95-$I95))</f>
        <v/>
      </c>
      <c r="AC95" s="3">
        <f>IF($B95="",0,MAX(0,$X95-$AA95))</f>
        <v/>
      </c>
      <c r="AD95" s="3">
        <f>IF($B95="",0,MAX(0,$Y95-$AA95))</f>
        <v/>
      </c>
      <c r="AE95" s="3">
        <f>IF($B95="",0,MAX(0,$Z95-$AA95))</f>
        <v/>
      </c>
    </row>
    <row r="96">
      <c r="A96" s="6" t="n"/>
      <c r="B96" s="113">
        <f>IF(MUSTERILER!$C96="","",MUSTERILER!$B96)</f>
        <v/>
      </c>
      <c r="C96" s="121">
        <f>IF(MUSTERILER!$C96="","",MUSTERILER!$C96)</f>
        <v/>
      </c>
      <c r="D96" s="227">
        <f>IF($B96="","",SUMIFS(UCRETLER!$G$7:$G$406,UCRETLER!$B$7:$B$406,$B96,UCRETLER!$F$7:$F$406,"Haftalık",UCRETLER!$H$7:$H$406,"Aktif"))</f>
        <v/>
      </c>
      <c r="E96" s="227">
        <f>IF($B96="","",SUMIFS(UCRETLER!$G$7:$G$406,UCRETLER!$B$7:$B$406,$B96,UCRETLER!$F$7:$F$406,"Aylık",UCRETLER!$H$7:$H$406,"Aktif"))</f>
        <v/>
      </c>
      <c r="F96" s="227">
        <f>IF($B96="","",SUMIFS(MUSTERILER!$J$7:$J$106,MUSTERILER!$B$7:$B$106,$B96))</f>
        <v/>
      </c>
      <c r="G96" s="227">
        <f>IF($B96="","",SUMIFS(UCRETLER!$I$7:$I$406,UCRETLER!$B$7:$B$406,$B96))</f>
        <v/>
      </c>
      <c r="H96" s="227">
        <f>IF($B96="","",$F96+$G96)</f>
        <v/>
      </c>
      <c r="I96" s="227">
        <f>IF($B96="","",SUMIFS(TAHSILAT!$F$7:$F$1506,TAHSILAT!$C$7:$C$1506,$B96))</f>
        <v/>
      </c>
      <c r="J96" s="227">
        <f>IF($B96="","",MAX(0,$H96-$I96))</f>
        <v/>
      </c>
      <c r="K96" s="227">
        <f>IF($B96="","",MAX(0,$J96-$L96-$M96-$N96))</f>
        <v/>
      </c>
      <c r="L96" s="227">
        <f>IF($B96="","",($AC96-$AD96)+IF(AND($AB96&gt;0,$T96&lt;&gt;"",$U96&gt;=8,$U96&lt;15),$AB96,0))</f>
        <v/>
      </c>
      <c r="M96" s="227">
        <f>IF($B96="","",($AD96-$AE96)+IF(AND($AB96&gt;0,$T96&lt;&gt;"",$U96&gt;=15,$U96&lt;29),$AB96,0))</f>
        <v/>
      </c>
      <c r="N96" s="227">
        <f>IF($B96="","",$AE96+IF(AND($AB96&gt;0,OR($T96="",$U96&gt;=29)),$AB96,0))</f>
        <v/>
      </c>
      <c r="O96" s="234">
        <f>IF($B96="","",IFERROR($I96/$H96,0))</f>
        <v/>
      </c>
      <c r="P96" s="229">
        <f>IF($B96="","",IFERROR(LOOKUP(2,1/(TAHSILAT!$C$7:$C$1506=$B96),TAHSILAT!$E$7:$E$1506),""))</f>
        <v/>
      </c>
      <c r="Q96" s="113">
        <f>IF($B96="","",IF($N96&gt;0,"KRİTİK",IF($M96&gt;0,"YÜKSEK",IF($L96&gt;0,"ORTA",IF($J96&gt;0,"İZLE","TEMİZ")))))</f>
        <v/>
      </c>
      <c r="R96" s="121">
        <f>IF($B96="","",IF($Q96="KRİTİK","Acil tahsilat görüşmesi ve cari mutabakat",IF($Q96="YÜKSEK","Bu hafta tahsilat takibi",IF($Q96="ORTA","Hatırlatma mesajı gönder",IF($Q96="İZLE","Normal takip","Aksiyon gerekmiyor")))))</f>
        <v/>
      </c>
      <c r="S96" s="232">
        <f>IF($B96="","",COUNTIFS(AKTIVITE!$D$7:$D$1006,$B96,AKTIVITE!$J$7:$J$1006,"&lt;&gt;Tamamlandı"))</f>
        <v/>
      </c>
      <c r="T96" s="229">
        <f>IF($B96="","",IF(MUSTERILER!$K96="","",MUSTERILER!$K96))</f>
        <v/>
      </c>
      <c r="U96" s="232">
        <f>IF(OR($B96="",$T96=""),"",TODAY()-$T96)</f>
        <v/>
      </c>
      <c r="V96" s="113">
        <f>IF($B96="","",IF(ABS($J96-($K96+$L96+$M96+$N96))&lt;0.01,"UYGUN","İNCELE"))</f>
        <v/>
      </c>
      <c r="W96" s="6" t="n"/>
      <c r="X96" s="6">
        <f>IF($B96="",0,SUMIFS(UCRETLER!$J$7:$J$406,UCRETLER!$B$7:$B$406,$B96))</f>
        <v/>
      </c>
      <c r="Y96" s="3">
        <f>IF($B96="",0,SUMIFS(UCRETLER!$K$7:$K$406,UCRETLER!$B$7:$B$406,$B96))</f>
        <v/>
      </c>
      <c r="Z96" s="3">
        <f>IF($B96="",0,SUMIFS(UCRETLER!$L$7:$L$406,UCRETLER!$B$7:$B$406,$B96))</f>
        <v/>
      </c>
      <c r="AA96" s="3">
        <f>IF($B96="",0,MAX(0,$I96-$F96))</f>
        <v/>
      </c>
      <c r="AB96" s="3">
        <f>IF($B96="",0,MAX(0,$F96-$I96))</f>
        <v/>
      </c>
      <c r="AC96" s="3">
        <f>IF($B96="",0,MAX(0,$X96-$AA96))</f>
        <v/>
      </c>
      <c r="AD96" s="3">
        <f>IF($B96="",0,MAX(0,$Y96-$AA96))</f>
        <v/>
      </c>
      <c r="AE96" s="3">
        <f>IF($B96="",0,MAX(0,$Z96-$AA96))</f>
        <v/>
      </c>
    </row>
    <row r="97">
      <c r="A97" s="6" t="n"/>
      <c r="B97" s="113">
        <f>IF(MUSTERILER!$C97="","",MUSTERILER!$B97)</f>
        <v/>
      </c>
      <c r="C97" s="121">
        <f>IF(MUSTERILER!$C97="","",MUSTERILER!$C97)</f>
        <v/>
      </c>
      <c r="D97" s="227">
        <f>IF($B97="","",SUMIFS(UCRETLER!$G$7:$G$406,UCRETLER!$B$7:$B$406,$B97,UCRETLER!$F$7:$F$406,"Haftalık",UCRETLER!$H$7:$H$406,"Aktif"))</f>
        <v/>
      </c>
      <c r="E97" s="227">
        <f>IF($B97="","",SUMIFS(UCRETLER!$G$7:$G$406,UCRETLER!$B$7:$B$406,$B97,UCRETLER!$F$7:$F$406,"Aylık",UCRETLER!$H$7:$H$406,"Aktif"))</f>
        <v/>
      </c>
      <c r="F97" s="227">
        <f>IF($B97="","",SUMIFS(MUSTERILER!$J$7:$J$106,MUSTERILER!$B$7:$B$106,$B97))</f>
        <v/>
      </c>
      <c r="G97" s="227">
        <f>IF($B97="","",SUMIFS(UCRETLER!$I$7:$I$406,UCRETLER!$B$7:$B$406,$B97))</f>
        <v/>
      </c>
      <c r="H97" s="227">
        <f>IF($B97="","",$F97+$G97)</f>
        <v/>
      </c>
      <c r="I97" s="227">
        <f>IF($B97="","",SUMIFS(TAHSILAT!$F$7:$F$1506,TAHSILAT!$C$7:$C$1506,$B97))</f>
        <v/>
      </c>
      <c r="J97" s="227">
        <f>IF($B97="","",MAX(0,$H97-$I97))</f>
        <v/>
      </c>
      <c r="K97" s="227">
        <f>IF($B97="","",MAX(0,$J97-$L97-$M97-$N97))</f>
        <v/>
      </c>
      <c r="L97" s="227">
        <f>IF($B97="","",($AC97-$AD97)+IF(AND($AB97&gt;0,$T97&lt;&gt;"",$U97&gt;=8,$U97&lt;15),$AB97,0))</f>
        <v/>
      </c>
      <c r="M97" s="227">
        <f>IF($B97="","",($AD97-$AE97)+IF(AND($AB97&gt;0,$T97&lt;&gt;"",$U97&gt;=15,$U97&lt;29),$AB97,0))</f>
        <v/>
      </c>
      <c r="N97" s="227">
        <f>IF($B97="","",$AE97+IF(AND($AB97&gt;0,OR($T97="",$U97&gt;=29)),$AB97,0))</f>
        <v/>
      </c>
      <c r="O97" s="234">
        <f>IF($B97="","",IFERROR($I97/$H97,0))</f>
        <v/>
      </c>
      <c r="P97" s="229">
        <f>IF($B97="","",IFERROR(LOOKUP(2,1/(TAHSILAT!$C$7:$C$1506=$B97),TAHSILAT!$E$7:$E$1506),""))</f>
        <v/>
      </c>
      <c r="Q97" s="113">
        <f>IF($B97="","",IF($N97&gt;0,"KRİTİK",IF($M97&gt;0,"YÜKSEK",IF($L97&gt;0,"ORTA",IF($J97&gt;0,"İZLE","TEMİZ")))))</f>
        <v/>
      </c>
      <c r="R97" s="121">
        <f>IF($B97="","",IF($Q97="KRİTİK","Acil tahsilat görüşmesi ve cari mutabakat",IF($Q97="YÜKSEK","Bu hafta tahsilat takibi",IF($Q97="ORTA","Hatırlatma mesajı gönder",IF($Q97="İZLE","Normal takip","Aksiyon gerekmiyor")))))</f>
        <v/>
      </c>
      <c r="S97" s="232">
        <f>IF($B97="","",COUNTIFS(AKTIVITE!$D$7:$D$1006,$B97,AKTIVITE!$J$7:$J$1006,"&lt;&gt;Tamamlandı"))</f>
        <v/>
      </c>
      <c r="T97" s="229">
        <f>IF($B97="","",IF(MUSTERILER!$K97="","",MUSTERILER!$K97))</f>
        <v/>
      </c>
      <c r="U97" s="232">
        <f>IF(OR($B97="",$T97=""),"",TODAY()-$T97)</f>
        <v/>
      </c>
      <c r="V97" s="113">
        <f>IF($B97="","",IF(ABS($J97-($K97+$L97+$M97+$N97))&lt;0.01,"UYGUN","İNCELE"))</f>
        <v/>
      </c>
      <c r="W97" s="6" t="n"/>
      <c r="X97" s="6">
        <f>IF($B97="",0,SUMIFS(UCRETLER!$J$7:$J$406,UCRETLER!$B$7:$B$406,$B97))</f>
        <v/>
      </c>
      <c r="Y97" s="3">
        <f>IF($B97="",0,SUMIFS(UCRETLER!$K$7:$K$406,UCRETLER!$B$7:$B$406,$B97))</f>
        <v/>
      </c>
      <c r="Z97" s="3">
        <f>IF($B97="",0,SUMIFS(UCRETLER!$L$7:$L$406,UCRETLER!$B$7:$B$406,$B97))</f>
        <v/>
      </c>
      <c r="AA97" s="3">
        <f>IF($B97="",0,MAX(0,$I97-$F97))</f>
        <v/>
      </c>
      <c r="AB97" s="3">
        <f>IF($B97="",0,MAX(0,$F97-$I97))</f>
        <v/>
      </c>
      <c r="AC97" s="3">
        <f>IF($B97="",0,MAX(0,$X97-$AA97))</f>
        <v/>
      </c>
      <c r="AD97" s="3">
        <f>IF($B97="",0,MAX(0,$Y97-$AA97))</f>
        <v/>
      </c>
      <c r="AE97" s="3">
        <f>IF($B97="",0,MAX(0,$Z97-$AA97))</f>
        <v/>
      </c>
    </row>
    <row r="98">
      <c r="A98" s="6" t="n"/>
      <c r="B98" s="113">
        <f>IF(MUSTERILER!$C98="","",MUSTERILER!$B98)</f>
        <v/>
      </c>
      <c r="C98" s="121">
        <f>IF(MUSTERILER!$C98="","",MUSTERILER!$C98)</f>
        <v/>
      </c>
      <c r="D98" s="227">
        <f>IF($B98="","",SUMIFS(UCRETLER!$G$7:$G$406,UCRETLER!$B$7:$B$406,$B98,UCRETLER!$F$7:$F$406,"Haftalık",UCRETLER!$H$7:$H$406,"Aktif"))</f>
        <v/>
      </c>
      <c r="E98" s="227">
        <f>IF($B98="","",SUMIFS(UCRETLER!$G$7:$G$406,UCRETLER!$B$7:$B$406,$B98,UCRETLER!$F$7:$F$406,"Aylık",UCRETLER!$H$7:$H$406,"Aktif"))</f>
        <v/>
      </c>
      <c r="F98" s="227">
        <f>IF($B98="","",SUMIFS(MUSTERILER!$J$7:$J$106,MUSTERILER!$B$7:$B$106,$B98))</f>
        <v/>
      </c>
      <c r="G98" s="227">
        <f>IF($B98="","",SUMIFS(UCRETLER!$I$7:$I$406,UCRETLER!$B$7:$B$406,$B98))</f>
        <v/>
      </c>
      <c r="H98" s="227">
        <f>IF($B98="","",$F98+$G98)</f>
        <v/>
      </c>
      <c r="I98" s="227">
        <f>IF($B98="","",SUMIFS(TAHSILAT!$F$7:$F$1506,TAHSILAT!$C$7:$C$1506,$B98))</f>
        <v/>
      </c>
      <c r="J98" s="227">
        <f>IF($B98="","",MAX(0,$H98-$I98))</f>
        <v/>
      </c>
      <c r="K98" s="227">
        <f>IF($B98="","",MAX(0,$J98-$L98-$M98-$N98))</f>
        <v/>
      </c>
      <c r="L98" s="227">
        <f>IF($B98="","",($AC98-$AD98)+IF(AND($AB98&gt;0,$T98&lt;&gt;"",$U98&gt;=8,$U98&lt;15),$AB98,0))</f>
        <v/>
      </c>
      <c r="M98" s="227">
        <f>IF($B98="","",($AD98-$AE98)+IF(AND($AB98&gt;0,$T98&lt;&gt;"",$U98&gt;=15,$U98&lt;29),$AB98,0))</f>
        <v/>
      </c>
      <c r="N98" s="227">
        <f>IF($B98="","",$AE98+IF(AND($AB98&gt;0,OR($T98="",$U98&gt;=29)),$AB98,0))</f>
        <v/>
      </c>
      <c r="O98" s="234">
        <f>IF($B98="","",IFERROR($I98/$H98,0))</f>
        <v/>
      </c>
      <c r="P98" s="229">
        <f>IF($B98="","",IFERROR(LOOKUP(2,1/(TAHSILAT!$C$7:$C$1506=$B98),TAHSILAT!$E$7:$E$1506),""))</f>
        <v/>
      </c>
      <c r="Q98" s="113">
        <f>IF($B98="","",IF($N98&gt;0,"KRİTİK",IF($M98&gt;0,"YÜKSEK",IF($L98&gt;0,"ORTA",IF($J98&gt;0,"İZLE","TEMİZ")))))</f>
        <v/>
      </c>
      <c r="R98" s="121">
        <f>IF($B98="","",IF($Q98="KRİTİK","Acil tahsilat görüşmesi ve cari mutabakat",IF($Q98="YÜKSEK","Bu hafta tahsilat takibi",IF($Q98="ORTA","Hatırlatma mesajı gönder",IF($Q98="İZLE","Normal takip","Aksiyon gerekmiyor")))))</f>
        <v/>
      </c>
      <c r="S98" s="232">
        <f>IF($B98="","",COUNTIFS(AKTIVITE!$D$7:$D$1006,$B98,AKTIVITE!$J$7:$J$1006,"&lt;&gt;Tamamlandı"))</f>
        <v/>
      </c>
      <c r="T98" s="229">
        <f>IF($B98="","",IF(MUSTERILER!$K98="","",MUSTERILER!$K98))</f>
        <v/>
      </c>
      <c r="U98" s="232">
        <f>IF(OR($B98="",$T98=""),"",TODAY()-$T98)</f>
        <v/>
      </c>
      <c r="V98" s="113">
        <f>IF($B98="","",IF(ABS($J98-($K98+$L98+$M98+$N98))&lt;0.01,"UYGUN","İNCELE"))</f>
        <v/>
      </c>
      <c r="W98" s="6" t="n"/>
      <c r="X98" s="6">
        <f>IF($B98="",0,SUMIFS(UCRETLER!$J$7:$J$406,UCRETLER!$B$7:$B$406,$B98))</f>
        <v/>
      </c>
      <c r="Y98" s="3">
        <f>IF($B98="",0,SUMIFS(UCRETLER!$K$7:$K$406,UCRETLER!$B$7:$B$406,$B98))</f>
        <v/>
      </c>
      <c r="Z98" s="3">
        <f>IF($B98="",0,SUMIFS(UCRETLER!$L$7:$L$406,UCRETLER!$B$7:$B$406,$B98))</f>
        <v/>
      </c>
      <c r="AA98" s="3">
        <f>IF($B98="",0,MAX(0,$I98-$F98))</f>
        <v/>
      </c>
      <c r="AB98" s="3">
        <f>IF($B98="",0,MAX(0,$F98-$I98))</f>
        <v/>
      </c>
      <c r="AC98" s="3">
        <f>IF($B98="",0,MAX(0,$X98-$AA98))</f>
        <v/>
      </c>
      <c r="AD98" s="3">
        <f>IF($B98="",0,MAX(0,$Y98-$AA98))</f>
        <v/>
      </c>
      <c r="AE98" s="3">
        <f>IF($B98="",0,MAX(0,$Z98-$AA98))</f>
        <v/>
      </c>
    </row>
    <row r="99">
      <c r="A99" s="6" t="n"/>
      <c r="B99" s="113">
        <f>IF(MUSTERILER!$C99="","",MUSTERILER!$B99)</f>
        <v/>
      </c>
      <c r="C99" s="121">
        <f>IF(MUSTERILER!$C99="","",MUSTERILER!$C99)</f>
        <v/>
      </c>
      <c r="D99" s="227">
        <f>IF($B99="","",SUMIFS(UCRETLER!$G$7:$G$406,UCRETLER!$B$7:$B$406,$B99,UCRETLER!$F$7:$F$406,"Haftalık",UCRETLER!$H$7:$H$406,"Aktif"))</f>
        <v/>
      </c>
      <c r="E99" s="227">
        <f>IF($B99="","",SUMIFS(UCRETLER!$G$7:$G$406,UCRETLER!$B$7:$B$406,$B99,UCRETLER!$F$7:$F$406,"Aylık",UCRETLER!$H$7:$H$406,"Aktif"))</f>
        <v/>
      </c>
      <c r="F99" s="227">
        <f>IF($B99="","",SUMIFS(MUSTERILER!$J$7:$J$106,MUSTERILER!$B$7:$B$106,$B99))</f>
        <v/>
      </c>
      <c r="G99" s="227">
        <f>IF($B99="","",SUMIFS(UCRETLER!$I$7:$I$406,UCRETLER!$B$7:$B$406,$B99))</f>
        <v/>
      </c>
      <c r="H99" s="227">
        <f>IF($B99="","",$F99+$G99)</f>
        <v/>
      </c>
      <c r="I99" s="227">
        <f>IF($B99="","",SUMIFS(TAHSILAT!$F$7:$F$1506,TAHSILAT!$C$7:$C$1506,$B99))</f>
        <v/>
      </c>
      <c r="J99" s="227">
        <f>IF($B99="","",MAX(0,$H99-$I99))</f>
        <v/>
      </c>
      <c r="K99" s="227">
        <f>IF($B99="","",MAX(0,$J99-$L99-$M99-$N99))</f>
        <v/>
      </c>
      <c r="L99" s="227">
        <f>IF($B99="","",($AC99-$AD99)+IF(AND($AB99&gt;0,$T99&lt;&gt;"",$U99&gt;=8,$U99&lt;15),$AB99,0))</f>
        <v/>
      </c>
      <c r="M99" s="227">
        <f>IF($B99="","",($AD99-$AE99)+IF(AND($AB99&gt;0,$T99&lt;&gt;"",$U99&gt;=15,$U99&lt;29),$AB99,0))</f>
        <v/>
      </c>
      <c r="N99" s="227">
        <f>IF($B99="","",$AE99+IF(AND($AB99&gt;0,OR($T99="",$U99&gt;=29)),$AB99,0))</f>
        <v/>
      </c>
      <c r="O99" s="234">
        <f>IF($B99="","",IFERROR($I99/$H99,0))</f>
        <v/>
      </c>
      <c r="P99" s="229">
        <f>IF($B99="","",IFERROR(LOOKUP(2,1/(TAHSILAT!$C$7:$C$1506=$B99),TAHSILAT!$E$7:$E$1506),""))</f>
        <v/>
      </c>
      <c r="Q99" s="113">
        <f>IF($B99="","",IF($N99&gt;0,"KRİTİK",IF($M99&gt;0,"YÜKSEK",IF($L99&gt;0,"ORTA",IF($J99&gt;0,"İZLE","TEMİZ")))))</f>
        <v/>
      </c>
      <c r="R99" s="121">
        <f>IF($B99="","",IF($Q99="KRİTİK","Acil tahsilat görüşmesi ve cari mutabakat",IF($Q99="YÜKSEK","Bu hafta tahsilat takibi",IF($Q99="ORTA","Hatırlatma mesajı gönder",IF($Q99="İZLE","Normal takip","Aksiyon gerekmiyor")))))</f>
        <v/>
      </c>
      <c r="S99" s="232">
        <f>IF($B99="","",COUNTIFS(AKTIVITE!$D$7:$D$1006,$B99,AKTIVITE!$J$7:$J$1006,"&lt;&gt;Tamamlandı"))</f>
        <v/>
      </c>
      <c r="T99" s="229">
        <f>IF($B99="","",IF(MUSTERILER!$K99="","",MUSTERILER!$K99))</f>
        <v/>
      </c>
      <c r="U99" s="232">
        <f>IF(OR($B99="",$T99=""),"",TODAY()-$T99)</f>
        <v/>
      </c>
      <c r="V99" s="113">
        <f>IF($B99="","",IF(ABS($J99-($K99+$L99+$M99+$N99))&lt;0.01,"UYGUN","İNCELE"))</f>
        <v/>
      </c>
      <c r="W99" s="6" t="n"/>
      <c r="X99" s="6">
        <f>IF($B99="",0,SUMIFS(UCRETLER!$J$7:$J$406,UCRETLER!$B$7:$B$406,$B99))</f>
        <v/>
      </c>
      <c r="Y99" s="3">
        <f>IF($B99="",0,SUMIFS(UCRETLER!$K$7:$K$406,UCRETLER!$B$7:$B$406,$B99))</f>
        <v/>
      </c>
      <c r="Z99" s="3">
        <f>IF($B99="",0,SUMIFS(UCRETLER!$L$7:$L$406,UCRETLER!$B$7:$B$406,$B99))</f>
        <v/>
      </c>
      <c r="AA99" s="3">
        <f>IF($B99="",0,MAX(0,$I99-$F99))</f>
        <v/>
      </c>
      <c r="AB99" s="3">
        <f>IF($B99="",0,MAX(0,$F99-$I99))</f>
        <v/>
      </c>
      <c r="AC99" s="3">
        <f>IF($B99="",0,MAX(0,$X99-$AA99))</f>
        <v/>
      </c>
      <c r="AD99" s="3">
        <f>IF($B99="",0,MAX(0,$Y99-$AA99))</f>
        <v/>
      </c>
      <c r="AE99" s="3">
        <f>IF($B99="",0,MAX(0,$Z99-$AA99))</f>
        <v/>
      </c>
    </row>
    <row r="100">
      <c r="A100" s="6" t="n"/>
      <c r="B100" s="113">
        <f>IF(MUSTERILER!$C100="","",MUSTERILER!$B100)</f>
        <v/>
      </c>
      <c r="C100" s="121">
        <f>IF(MUSTERILER!$C100="","",MUSTERILER!$C100)</f>
        <v/>
      </c>
      <c r="D100" s="227">
        <f>IF($B100="","",SUMIFS(UCRETLER!$G$7:$G$406,UCRETLER!$B$7:$B$406,$B100,UCRETLER!$F$7:$F$406,"Haftalık",UCRETLER!$H$7:$H$406,"Aktif"))</f>
        <v/>
      </c>
      <c r="E100" s="227">
        <f>IF($B100="","",SUMIFS(UCRETLER!$G$7:$G$406,UCRETLER!$B$7:$B$406,$B100,UCRETLER!$F$7:$F$406,"Aylık",UCRETLER!$H$7:$H$406,"Aktif"))</f>
        <v/>
      </c>
      <c r="F100" s="227">
        <f>IF($B100="","",SUMIFS(MUSTERILER!$J$7:$J$106,MUSTERILER!$B$7:$B$106,$B100))</f>
        <v/>
      </c>
      <c r="G100" s="227">
        <f>IF($B100="","",SUMIFS(UCRETLER!$I$7:$I$406,UCRETLER!$B$7:$B$406,$B100))</f>
        <v/>
      </c>
      <c r="H100" s="227">
        <f>IF($B100="","",$F100+$G100)</f>
        <v/>
      </c>
      <c r="I100" s="227">
        <f>IF($B100="","",SUMIFS(TAHSILAT!$F$7:$F$1506,TAHSILAT!$C$7:$C$1506,$B100))</f>
        <v/>
      </c>
      <c r="J100" s="227">
        <f>IF($B100="","",MAX(0,$H100-$I100))</f>
        <v/>
      </c>
      <c r="K100" s="227">
        <f>IF($B100="","",MAX(0,$J100-$L100-$M100-$N100))</f>
        <v/>
      </c>
      <c r="L100" s="227">
        <f>IF($B100="","",($AC100-$AD100)+IF(AND($AB100&gt;0,$T100&lt;&gt;"",$U100&gt;=8,$U100&lt;15),$AB100,0))</f>
        <v/>
      </c>
      <c r="M100" s="227">
        <f>IF($B100="","",($AD100-$AE100)+IF(AND($AB100&gt;0,$T100&lt;&gt;"",$U100&gt;=15,$U100&lt;29),$AB100,0))</f>
        <v/>
      </c>
      <c r="N100" s="227">
        <f>IF($B100="","",$AE100+IF(AND($AB100&gt;0,OR($T100="",$U100&gt;=29)),$AB100,0))</f>
        <v/>
      </c>
      <c r="O100" s="234">
        <f>IF($B100="","",IFERROR($I100/$H100,0))</f>
        <v/>
      </c>
      <c r="P100" s="229">
        <f>IF($B100="","",IFERROR(LOOKUP(2,1/(TAHSILAT!$C$7:$C$1506=$B100),TAHSILAT!$E$7:$E$1506),""))</f>
        <v/>
      </c>
      <c r="Q100" s="113">
        <f>IF($B100="","",IF($N100&gt;0,"KRİTİK",IF($M100&gt;0,"YÜKSEK",IF($L100&gt;0,"ORTA",IF($J100&gt;0,"İZLE","TEMİZ")))))</f>
        <v/>
      </c>
      <c r="R100" s="121">
        <f>IF($B100="","",IF($Q100="KRİTİK","Acil tahsilat görüşmesi ve cari mutabakat",IF($Q100="YÜKSEK","Bu hafta tahsilat takibi",IF($Q100="ORTA","Hatırlatma mesajı gönder",IF($Q100="İZLE","Normal takip","Aksiyon gerekmiyor")))))</f>
        <v/>
      </c>
      <c r="S100" s="232">
        <f>IF($B100="","",COUNTIFS(AKTIVITE!$D$7:$D$1006,$B100,AKTIVITE!$J$7:$J$1006,"&lt;&gt;Tamamlandı"))</f>
        <v/>
      </c>
      <c r="T100" s="229">
        <f>IF($B100="","",IF(MUSTERILER!$K100="","",MUSTERILER!$K100))</f>
        <v/>
      </c>
      <c r="U100" s="232">
        <f>IF(OR($B100="",$T100=""),"",TODAY()-$T100)</f>
        <v/>
      </c>
      <c r="V100" s="113">
        <f>IF($B100="","",IF(ABS($J100-($K100+$L100+$M100+$N100))&lt;0.01,"UYGUN","İNCELE"))</f>
        <v/>
      </c>
      <c r="W100" s="6" t="n"/>
      <c r="X100" s="6">
        <f>IF($B100="",0,SUMIFS(UCRETLER!$J$7:$J$406,UCRETLER!$B$7:$B$406,$B100))</f>
        <v/>
      </c>
      <c r="Y100" s="3">
        <f>IF($B100="",0,SUMIFS(UCRETLER!$K$7:$K$406,UCRETLER!$B$7:$B$406,$B100))</f>
        <v/>
      </c>
      <c r="Z100" s="3">
        <f>IF($B100="",0,SUMIFS(UCRETLER!$L$7:$L$406,UCRETLER!$B$7:$B$406,$B100))</f>
        <v/>
      </c>
      <c r="AA100" s="3">
        <f>IF($B100="",0,MAX(0,$I100-$F100))</f>
        <v/>
      </c>
      <c r="AB100" s="3">
        <f>IF($B100="",0,MAX(0,$F100-$I100))</f>
        <v/>
      </c>
      <c r="AC100" s="3">
        <f>IF($B100="",0,MAX(0,$X100-$AA100))</f>
        <v/>
      </c>
      <c r="AD100" s="3">
        <f>IF($B100="",0,MAX(0,$Y100-$AA100))</f>
        <v/>
      </c>
      <c r="AE100" s="3">
        <f>IF($B100="",0,MAX(0,$Z100-$AA100))</f>
        <v/>
      </c>
    </row>
    <row r="101">
      <c r="A101" s="6" t="n"/>
      <c r="B101" s="113">
        <f>IF(MUSTERILER!$C101="","",MUSTERILER!$B101)</f>
        <v/>
      </c>
      <c r="C101" s="121">
        <f>IF(MUSTERILER!$C101="","",MUSTERILER!$C101)</f>
        <v/>
      </c>
      <c r="D101" s="227">
        <f>IF($B101="","",SUMIFS(UCRETLER!$G$7:$G$406,UCRETLER!$B$7:$B$406,$B101,UCRETLER!$F$7:$F$406,"Haftalık",UCRETLER!$H$7:$H$406,"Aktif"))</f>
        <v/>
      </c>
      <c r="E101" s="227">
        <f>IF($B101="","",SUMIFS(UCRETLER!$G$7:$G$406,UCRETLER!$B$7:$B$406,$B101,UCRETLER!$F$7:$F$406,"Aylık",UCRETLER!$H$7:$H$406,"Aktif"))</f>
        <v/>
      </c>
      <c r="F101" s="227">
        <f>IF($B101="","",SUMIFS(MUSTERILER!$J$7:$J$106,MUSTERILER!$B$7:$B$106,$B101))</f>
        <v/>
      </c>
      <c r="G101" s="227">
        <f>IF($B101="","",SUMIFS(UCRETLER!$I$7:$I$406,UCRETLER!$B$7:$B$406,$B101))</f>
        <v/>
      </c>
      <c r="H101" s="227">
        <f>IF($B101="","",$F101+$G101)</f>
        <v/>
      </c>
      <c r="I101" s="227">
        <f>IF($B101="","",SUMIFS(TAHSILAT!$F$7:$F$1506,TAHSILAT!$C$7:$C$1506,$B101))</f>
        <v/>
      </c>
      <c r="J101" s="227">
        <f>IF($B101="","",MAX(0,$H101-$I101))</f>
        <v/>
      </c>
      <c r="K101" s="227">
        <f>IF($B101="","",MAX(0,$J101-$L101-$M101-$N101))</f>
        <v/>
      </c>
      <c r="L101" s="227">
        <f>IF($B101="","",($AC101-$AD101)+IF(AND($AB101&gt;0,$T101&lt;&gt;"",$U101&gt;=8,$U101&lt;15),$AB101,0))</f>
        <v/>
      </c>
      <c r="M101" s="227">
        <f>IF($B101="","",($AD101-$AE101)+IF(AND($AB101&gt;0,$T101&lt;&gt;"",$U101&gt;=15,$U101&lt;29),$AB101,0))</f>
        <v/>
      </c>
      <c r="N101" s="227">
        <f>IF($B101="","",$AE101+IF(AND($AB101&gt;0,OR($T101="",$U101&gt;=29)),$AB101,0))</f>
        <v/>
      </c>
      <c r="O101" s="234">
        <f>IF($B101="","",IFERROR($I101/$H101,0))</f>
        <v/>
      </c>
      <c r="P101" s="229">
        <f>IF($B101="","",IFERROR(LOOKUP(2,1/(TAHSILAT!$C$7:$C$1506=$B101),TAHSILAT!$E$7:$E$1506),""))</f>
        <v/>
      </c>
      <c r="Q101" s="113">
        <f>IF($B101="","",IF($N101&gt;0,"KRİTİK",IF($M101&gt;0,"YÜKSEK",IF($L101&gt;0,"ORTA",IF($J101&gt;0,"İZLE","TEMİZ")))))</f>
        <v/>
      </c>
      <c r="R101" s="121">
        <f>IF($B101="","",IF($Q101="KRİTİK","Acil tahsilat görüşmesi ve cari mutabakat",IF($Q101="YÜKSEK","Bu hafta tahsilat takibi",IF($Q101="ORTA","Hatırlatma mesajı gönder",IF($Q101="İZLE","Normal takip","Aksiyon gerekmiyor")))))</f>
        <v/>
      </c>
      <c r="S101" s="232">
        <f>IF($B101="","",COUNTIFS(AKTIVITE!$D$7:$D$1006,$B101,AKTIVITE!$J$7:$J$1006,"&lt;&gt;Tamamlandı"))</f>
        <v/>
      </c>
      <c r="T101" s="229">
        <f>IF($B101="","",IF(MUSTERILER!$K101="","",MUSTERILER!$K101))</f>
        <v/>
      </c>
      <c r="U101" s="232">
        <f>IF(OR($B101="",$T101=""),"",TODAY()-$T101)</f>
        <v/>
      </c>
      <c r="V101" s="113">
        <f>IF($B101="","",IF(ABS($J101-($K101+$L101+$M101+$N101))&lt;0.01,"UYGUN","İNCELE"))</f>
        <v/>
      </c>
      <c r="W101" s="6" t="n"/>
      <c r="X101" s="6">
        <f>IF($B101="",0,SUMIFS(UCRETLER!$J$7:$J$406,UCRETLER!$B$7:$B$406,$B101))</f>
        <v/>
      </c>
      <c r="Y101" s="3">
        <f>IF($B101="",0,SUMIFS(UCRETLER!$K$7:$K$406,UCRETLER!$B$7:$B$406,$B101))</f>
        <v/>
      </c>
      <c r="Z101" s="3">
        <f>IF($B101="",0,SUMIFS(UCRETLER!$L$7:$L$406,UCRETLER!$B$7:$B$406,$B101))</f>
        <v/>
      </c>
      <c r="AA101" s="3">
        <f>IF($B101="",0,MAX(0,$I101-$F101))</f>
        <v/>
      </c>
      <c r="AB101" s="3">
        <f>IF($B101="",0,MAX(0,$F101-$I101))</f>
        <v/>
      </c>
      <c r="AC101" s="3">
        <f>IF($B101="",0,MAX(0,$X101-$AA101))</f>
        <v/>
      </c>
      <c r="AD101" s="3">
        <f>IF($B101="",0,MAX(0,$Y101-$AA101))</f>
        <v/>
      </c>
      <c r="AE101" s="3">
        <f>IF($B101="",0,MAX(0,$Z101-$AA101))</f>
        <v/>
      </c>
    </row>
    <row r="102">
      <c r="A102" s="6" t="n"/>
      <c r="B102" s="113">
        <f>IF(MUSTERILER!$C102="","",MUSTERILER!$B102)</f>
        <v/>
      </c>
      <c r="C102" s="121">
        <f>IF(MUSTERILER!$C102="","",MUSTERILER!$C102)</f>
        <v/>
      </c>
      <c r="D102" s="227">
        <f>IF($B102="","",SUMIFS(UCRETLER!$G$7:$G$406,UCRETLER!$B$7:$B$406,$B102,UCRETLER!$F$7:$F$406,"Haftalık",UCRETLER!$H$7:$H$406,"Aktif"))</f>
        <v/>
      </c>
      <c r="E102" s="227">
        <f>IF($B102="","",SUMIFS(UCRETLER!$G$7:$G$406,UCRETLER!$B$7:$B$406,$B102,UCRETLER!$F$7:$F$406,"Aylık",UCRETLER!$H$7:$H$406,"Aktif"))</f>
        <v/>
      </c>
      <c r="F102" s="227">
        <f>IF($B102="","",SUMIFS(MUSTERILER!$J$7:$J$106,MUSTERILER!$B$7:$B$106,$B102))</f>
        <v/>
      </c>
      <c r="G102" s="227">
        <f>IF($B102="","",SUMIFS(UCRETLER!$I$7:$I$406,UCRETLER!$B$7:$B$406,$B102))</f>
        <v/>
      </c>
      <c r="H102" s="227">
        <f>IF($B102="","",$F102+$G102)</f>
        <v/>
      </c>
      <c r="I102" s="227">
        <f>IF($B102="","",SUMIFS(TAHSILAT!$F$7:$F$1506,TAHSILAT!$C$7:$C$1506,$B102))</f>
        <v/>
      </c>
      <c r="J102" s="227">
        <f>IF($B102="","",MAX(0,$H102-$I102))</f>
        <v/>
      </c>
      <c r="K102" s="227">
        <f>IF($B102="","",MAX(0,$J102-$L102-$M102-$N102))</f>
        <v/>
      </c>
      <c r="L102" s="227">
        <f>IF($B102="","",($AC102-$AD102)+IF(AND($AB102&gt;0,$T102&lt;&gt;"",$U102&gt;=8,$U102&lt;15),$AB102,0))</f>
        <v/>
      </c>
      <c r="M102" s="227">
        <f>IF($B102="","",($AD102-$AE102)+IF(AND($AB102&gt;0,$T102&lt;&gt;"",$U102&gt;=15,$U102&lt;29),$AB102,0))</f>
        <v/>
      </c>
      <c r="N102" s="227">
        <f>IF($B102="","",$AE102+IF(AND($AB102&gt;0,OR($T102="",$U102&gt;=29)),$AB102,0))</f>
        <v/>
      </c>
      <c r="O102" s="234">
        <f>IF($B102="","",IFERROR($I102/$H102,0))</f>
        <v/>
      </c>
      <c r="P102" s="229">
        <f>IF($B102="","",IFERROR(LOOKUP(2,1/(TAHSILAT!$C$7:$C$1506=$B102),TAHSILAT!$E$7:$E$1506),""))</f>
        <v/>
      </c>
      <c r="Q102" s="113">
        <f>IF($B102="","",IF($N102&gt;0,"KRİTİK",IF($M102&gt;0,"YÜKSEK",IF($L102&gt;0,"ORTA",IF($J102&gt;0,"İZLE","TEMİZ")))))</f>
        <v/>
      </c>
      <c r="R102" s="121">
        <f>IF($B102="","",IF($Q102="KRİTİK","Acil tahsilat görüşmesi ve cari mutabakat",IF($Q102="YÜKSEK","Bu hafta tahsilat takibi",IF($Q102="ORTA","Hatırlatma mesajı gönder",IF($Q102="İZLE","Normal takip","Aksiyon gerekmiyor")))))</f>
        <v/>
      </c>
      <c r="S102" s="232">
        <f>IF($B102="","",COUNTIFS(AKTIVITE!$D$7:$D$1006,$B102,AKTIVITE!$J$7:$J$1006,"&lt;&gt;Tamamlandı"))</f>
        <v/>
      </c>
      <c r="T102" s="229">
        <f>IF($B102="","",IF(MUSTERILER!$K102="","",MUSTERILER!$K102))</f>
        <v/>
      </c>
      <c r="U102" s="232">
        <f>IF(OR($B102="",$T102=""),"",TODAY()-$T102)</f>
        <v/>
      </c>
      <c r="V102" s="113">
        <f>IF($B102="","",IF(ABS($J102-($K102+$L102+$M102+$N102))&lt;0.01,"UYGUN","İNCELE"))</f>
        <v/>
      </c>
      <c r="W102" s="6" t="n"/>
      <c r="X102" s="6">
        <f>IF($B102="",0,SUMIFS(UCRETLER!$J$7:$J$406,UCRETLER!$B$7:$B$406,$B102))</f>
        <v/>
      </c>
      <c r="Y102" s="3">
        <f>IF($B102="",0,SUMIFS(UCRETLER!$K$7:$K$406,UCRETLER!$B$7:$B$406,$B102))</f>
        <v/>
      </c>
      <c r="Z102" s="3">
        <f>IF($B102="",0,SUMIFS(UCRETLER!$L$7:$L$406,UCRETLER!$B$7:$B$406,$B102))</f>
        <v/>
      </c>
      <c r="AA102" s="3">
        <f>IF($B102="",0,MAX(0,$I102-$F102))</f>
        <v/>
      </c>
      <c r="AB102" s="3">
        <f>IF($B102="",0,MAX(0,$F102-$I102))</f>
        <v/>
      </c>
      <c r="AC102" s="3">
        <f>IF($B102="",0,MAX(0,$X102-$AA102))</f>
        <v/>
      </c>
      <c r="AD102" s="3">
        <f>IF($B102="",0,MAX(0,$Y102-$AA102))</f>
        <v/>
      </c>
      <c r="AE102" s="3">
        <f>IF($B102="",0,MAX(0,$Z102-$AA102))</f>
        <v/>
      </c>
    </row>
    <row r="103">
      <c r="A103" s="6" t="n"/>
      <c r="B103" s="113">
        <f>IF(MUSTERILER!$C103="","",MUSTERILER!$B103)</f>
        <v/>
      </c>
      <c r="C103" s="121">
        <f>IF(MUSTERILER!$C103="","",MUSTERILER!$C103)</f>
        <v/>
      </c>
      <c r="D103" s="227">
        <f>IF($B103="","",SUMIFS(UCRETLER!$G$7:$G$406,UCRETLER!$B$7:$B$406,$B103,UCRETLER!$F$7:$F$406,"Haftalık",UCRETLER!$H$7:$H$406,"Aktif"))</f>
        <v/>
      </c>
      <c r="E103" s="227">
        <f>IF($B103="","",SUMIFS(UCRETLER!$G$7:$G$406,UCRETLER!$B$7:$B$406,$B103,UCRETLER!$F$7:$F$406,"Aylık",UCRETLER!$H$7:$H$406,"Aktif"))</f>
        <v/>
      </c>
      <c r="F103" s="227">
        <f>IF($B103="","",SUMIFS(MUSTERILER!$J$7:$J$106,MUSTERILER!$B$7:$B$106,$B103))</f>
        <v/>
      </c>
      <c r="G103" s="227">
        <f>IF($B103="","",SUMIFS(UCRETLER!$I$7:$I$406,UCRETLER!$B$7:$B$406,$B103))</f>
        <v/>
      </c>
      <c r="H103" s="227">
        <f>IF($B103="","",$F103+$G103)</f>
        <v/>
      </c>
      <c r="I103" s="227">
        <f>IF($B103="","",SUMIFS(TAHSILAT!$F$7:$F$1506,TAHSILAT!$C$7:$C$1506,$B103))</f>
        <v/>
      </c>
      <c r="J103" s="227">
        <f>IF($B103="","",MAX(0,$H103-$I103))</f>
        <v/>
      </c>
      <c r="K103" s="227">
        <f>IF($B103="","",MAX(0,$J103-$L103-$M103-$N103))</f>
        <v/>
      </c>
      <c r="L103" s="227">
        <f>IF($B103="","",($AC103-$AD103)+IF(AND($AB103&gt;0,$T103&lt;&gt;"",$U103&gt;=8,$U103&lt;15),$AB103,0))</f>
        <v/>
      </c>
      <c r="M103" s="227">
        <f>IF($B103="","",($AD103-$AE103)+IF(AND($AB103&gt;0,$T103&lt;&gt;"",$U103&gt;=15,$U103&lt;29),$AB103,0))</f>
        <v/>
      </c>
      <c r="N103" s="227">
        <f>IF($B103="","",$AE103+IF(AND($AB103&gt;0,OR($T103="",$U103&gt;=29)),$AB103,0))</f>
        <v/>
      </c>
      <c r="O103" s="234">
        <f>IF($B103="","",IFERROR($I103/$H103,0))</f>
        <v/>
      </c>
      <c r="P103" s="229">
        <f>IF($B103="","",IFERROR(LOOKUP(2,1/(TAHSILAT!$C$7:$C$1506=$B103),TAHSILAT!$E$7:$E$1506),""))</f>
        <v/>
      </c>
      <c r="Q103" s="113">
        <f>IF($B103="","",IF($N103&gt;0,"KRİTİK",IF($M103&gt;0,"YÜKSEK",IF($L103&gt;0,"ORTA",IF($J103&gt;0,"İZLE","TEMİZ")))))</f>
        <v/>
      </c>
      <c r="R103" s="121">
        <f>IF($B103="","",IF($Q103="KRİTİK","Acil tahsilat görüşmesi ve cari mutabakat",IF($Q103="YÜKSEK","Bu hafta tahsilat takibi",IF($Q103="ORTA","Hatırlatma mesajı gönder",IF($Q103="İZLE","Normal takip","Aksiyon gerekmiyor")))))</f>
        <v/>
      </c>
      <c r="S103" s="232">
        <f>IF($B103="","",COUNTIFS(AKTIVITE!$D$7:$D$1006,$B103,AKTIVITE!$J$7:$J$1006,"&lt;&gt;Tamamlandı"))</f>
        <v/>
      </c>
      <c r="T103" s="229">
        <f>IF($B103="","",IF(MUSTERILER!$K103="","",MUSTERILER!$K103))</f>
        <v/>
      </c>
      <c r="U103" s="232">
        <f>IF(OR($B103="",$T103=""),"",TODAY()-$T103)</f>
        <v/>
      </c>
      <c r="V103" s="113">
        <f>IF($B103="","",IF(ABS($J103-($K103+$L103+$M103+$N103))&lt;0.01,"UYGUN","İNCELE"))</f>
        <v/>
      </c>
      <c r="W103" s="6" t="n"/>
      <c r="X103" s="6">
        <f>IF($B103="",0,SUMIFS(UCRETLER!$J$7:$J$406,UCRETLER!$B$7:$B$406,$B103))</f>
        <v/>
      </c>
      <c r="Y103" s="3">
        <f>IF($B103="",0,SUMIFS(UCRETLER!$K$7:$K$406,UCRETLER!$B$7:$B$406,$B103))</f>
        <v/>
      </c>
      <c r="Z103" s="3">
        <f>IF($B103="",0,SUMIFS(UCRETLER!$L$7:$L$406,UCRETLER!$B$7:$B$406,$B103))</f>
        <v/>
      </c>
      <c r="AA103" s="3">
        <f>IF($B103="",0,MAX(0,$I103-$F103))</f>
        <v/>
      </c>
      <c r="AB103" s="3">
        <f>IF($B103="",0,MAX(0,$F103-$I103))</f>
        <v/>
      </c>
      <c r="AC103" s="3">
        <f>IF($B103="",0,MAX(0,$X103-$AA103))</f>
        <v/>
      </c>
      <c r="AD103" s="3">
        <f>IF($B103="",0,MAX(0,$Y103-$AA103))</f>
        <v/>
      </c>
      <c r="AE103" s="3">
        <f>IF($B103="",0,MAX(0,$Z103-$AA103))</f>
        <v/>
      </c>
    </row>
    <row r="104">
      <c r="A104" s="6" t="n"/>
      <c r="B104" s="113">
        <f>IF(MUSTERILER!$C104="","",MUSTERILER!$B104)</f>
        <v/>
      </c>
      <c r="C104" s="121">
        <f>IF(MUSTERILER!$C104="","",MUSTERILER!$C104)</f>
        <v/>
      </c>
      <c r="D104" s="227">
        <f>IF($B104="","",SUMIFS(UCRETLER!$G$7:$G$406,UCRETLER!$B$7:$B$406,$B104,UCRETLER!$F$7:$F$406,"Haftalık",UCRETLER!$H$7:$H$406,"Aktif"))</f>
        <v/>
      </c>
      <c r="E104" s="227">
        <f>IF($B104="","",SUMIFS(UCRETLER!$G$7:$G$406,UCRETLER!$B$7:$B$406,$B104,UCRETLER!$F$7:$F$406,"Aylık",UCRETLER!$H$7:$H$406,"Aktif"))</f>
        <v/>
      </c>
      <c r="F104" s="227">
        <f>IF($B104="","",SUMIFS(MUSTERILER!$J$7:$J$106,MUSTERILER!$B$7:$B$106,$B104))</f>
        <v/>
      </c>
      <c r="G104" s="227">
        <f>IF($B104="","",SUMIFS(UCRETLER!$I$7:$I$406,UCRETLER!$B$7:$B$406,$B104))</f>
        <v/>
      </c>
      <c r="H104" s="227">
        <f>IF($B104="","",$F104+$G104)</f>
        <v/>
      </c>
      <c r="I104" s="227">
        <f>IF($B104="","",SUMIFS(TAHSILAT!$F$7:$F$1506,TAHSILAT!$C$7:$C$1506,$B104))</f>
        <v/>
      </c>
      <c r="J104" s="227">
        <f>IF($B104="","",MAX(0,$H104-$I104))</f>
        <v/>
      </c>
      <c r="K104" s="227">
        <f>IF($B104="","",MAX(0,$J104-$L104-$M104-$N104))</f>
        <v/>
      </c>
      <c r="L104" s="227">
        <f>IF($B104="","",($AC104-$AD104)+IF(AND($AB104&gt;0,$T104&lt;&gt;"",$U104&gt;=8,$U104&lt;15),$AB104,0))</f>
        <v/>
      </c>
      <c r="M104" s="227">
        <f>IF($B104="","",($AD104-$AE104)+IF(AND($AB104&gt;0,$T104&lt;&gt;"",$U104&gt;=15,$U104&lt;29),$AB104,0))</f>
        <v/>
      </c>
      <c r="N104" s="227">
        <f>IF($B104="","",$AE104+IF(AND($AB104&gt;0,OR($T104="",$U104&gt;=29)),$AB104,0))</f>
        <v/>
      </c>
      <c r="O104" s="234">
        <f>IF($B104="","",IFERROR($I104/$H104,0))</f>
        <v/>
      </c>
      <c r="P104" s="229">
        <f>IF($B104="","",IFERROR(LOOKUP(2,1/(TAHSILAT!$C$7:$C$1506=$B104),TAHSILAT!$E$7:$E$1506),""))</f>
        <v/>
      </c>
      <c r="Q104" s="113">
        <f>IF($B104="","",IF($N104&gt;0,"KRİTİK",IF($M104&gt;0,"YÜKSEK",IF($L104&gt;0,"ORTA",IF($J104&gt;0,"İZLE","TEMİZ")))))</f>
        <v/>
      </c>
      <c r="R104" s="121">
        <f>IF($B104="","",IF($Q104="KRİTİK","Acil tahsilat görüşmesi ve cari mutabakat",IF($Q104="YÜKSEK","Bu hafta tahsilat takibi",IF($Q104="ORTA","Hatırlatma mesajı gönder",IF($Q104="İZLE","Normal takip","Aksiyon gerekmiyor")))))</f>
        <v/>
      </c>
      <c r="S104" s="232">
        <f>IF($B104="","",COUNTIFS(AKTIVITE!$D$7:$D$1006,$B104,AKTIVITE!$J$7:$J$1006,"&lt;&gt;Tamamlandı"))</f>
        <v/>
      </c>
      <c r="T104" s="229">
        <f>IF($B104="","",IF(MUSTERILER!$K104="","",MUSTERILER!$K104))</f>
        <v/>
      </c>
      <c r="U104" s="232">
        <f>IF(OR($B104="",$T104=""),"",TODAY()-$T104)</f>
        <v/>
      </c>
      <c r="V104" s="113">
        <f>IF($B104="","",IF(ABS($J104-($K104+$L104+$M104+$N104))&lt;0.01,"UYGUN","İNCELE"))</f>
        <v/>
      </c>
      <c r="W104" s="6" t="n"/>
      <c r="X104" s="6">
        <f>IF($B104="",0,SUMIFS(UCRETLER!$J$7:$J$406,UCRETLER!$B$7:$B$406,$B104))</f>
        <v/>
      </c>
      <c r="Y104" s="3">
        <f>IF($B104="",0,SUMIFS(UCRETLER!$K$7:$K$406,UCRETLER!$B$7:$B$406,$B104))</f>
        <v/>
      </c>
      <c r="Z104" s="3">
        <f>IF($B104="",0,SUMIFS(UCRETLER!$L$7:$L$406,UCRETLER!$B$7:$B$406,$B104))</f>
        <v/>
      </c>
      <c r="AA104" s="3">
        <f>IF($B104="",0,MAX(0,$I104-$F104))</f>
        <v/>
      </c>
      <c r="AB104" s="3">
        <f>IF($B104="",0,MAX(0,$F104-$I104))</f>
        <v/>
      </c>
      <c r="AC104" s="3">
        <f>IF($B104="",0,MAX(0,$X104-$AA104))</f>
        <v/>
      </c>
      <c r="AD104" s="3">
        <f>IF($B104="",0,MAX(0,$Y104-$AA104))</f>
        <v/>
      </c>
      <c r="AE104" s="3">
        <f>IF($B104="",0,MAX(0,$Z104-$AA104))</f>
        <v/>
      </c>
    </row>
    <row r="105">
      <c r="A105" s="6" t="n"/>
      <c r="B105" s="113">
        <f>IF(MUSTERILER!$C105="","",MUSTERILER!$B105)</f>
        <v/>
      </c>
      <c r="C105" s="121">
        <f>IF(MUSTERILER!$C105="","",MUSTERILER!$C105)</f>
        <v/>
      </c>
      <c r="D105" s="227">
        <f>IF($B105="","",SUMIFS(UCRETLER!$G$7:$G$406,UCRETLER!$B$7:$B$406,$B105,UCRETLER!$F$7:$F$406,"Haftalık",UCRETLER!$H$7:$H$406,"Aktif"))</f>
        <v/>
      </c>
      <c r="E105" s="227">
        <f>IF($B105="","",SUMIFS(UCRETLER!$G$7:$G$406,UCRETLER!$B$7:$B$406,$B105,UCRETLER!$F$7:$F$406,"Aylık",UCRETLER!$H$7:$H$406,"Aktif"))</f>
        <v/>
      </c>
      <c r="F105" s="227">
        <f>IF($B105="","",SUMIFS(MUSTERILER!$J$7:$J$106,MUSTERILER!$B$7:$B$106,$B105))</f>
        <v/>
      </c>
      <c r="G105" s="227">
        <f>IF($B105="","",SUMIFS(UCRETLER!$I$7:$I$406,UCRETLER!$B$7:$B$406,$B105))</f>
        <v/>
      </c>
      <c r="H105" s="227">
        <f>IF($B105="","",$F105+$G105)</f>
        <v/>
      </c>
      <c r="I105" s="227">
        <f>IF($B105="","",SUMIFS(TAHSILAT!$F$7:$F$1506,TAHSILAT!$C$7:$C$1506,$B105))</f>
        <v/>
      </c>
      <c r="J105" s="227">
        <f>IF($B105="","",MAX(0,$H105-$I105))</f>
        <v/>
      </c>
      <c r="K105" s="227">
        <f>IF($B105="","",MAX(0,$J105-$L105-$M105-$N105))</f>
        <v/>
      </c>
      <c r="L105" s="227">
        <f>IF($B105="","",($AC105-$AD105)+IF(AND($AB105&gt;0,$T105&lt;&gt;"",$U105&gt;=8,$U105&lt;15),$AB105,0))</f>
        <v/>
      </c>
      <c r="M105" s="227">
        <f>IF($B105="","",($AD105-$AE105)+IF(AND($AB105&gt;0,$T105&lt;&gt;"",$U105&gt;=15,$U105&lt;29),$AB105,0))</f>
        <v/>
      </c>
      <c r="N105" s="227">
        <f>IF($B105="","",$AE105+IF(AND($AB105&gt;0,OR($T105="",$U105&gt;=29)),$AB105,0))</f>
        <v/>
      </c>
      <c r="O105" s="234">
        <f>IF($B105="","",IFERROR($I105/$H105,0))</f>
        <v/>
      </c>
      <c r="P105" s="229">
        <f>IF($B105="","",IFERROR(LOOKUP(2,1/(TAHSILAT!$C$7:$C$1506=$B105),TAHSILAT!$E$7:$E$1506),""))</f>
        <v/>
      </c>
      <c r="Q105" s="113">
        <f>IF($B105="","",IF($N105&gt;0,"KRİTİK",IF($M105&gt;0,"YÜKSEK",IF($L105&gt;0,"ORTA",IF($J105&gt;0,"İZLE","TEMİZ")))))</f>
        <v/>
      </c>
      <c r="R105" s="121">
        <f>IF($B105="","",IF($Q105="KRİTİK","Acil tahsilat görüşmesi ve cari mutabakat",IF($Q105="YÜKSEK","Bu hafta tahsilat takibi",IF($Q105="ORTA","Hatırlatma mesajı gönder",IF($Q105="İZLE","Normal takip","Aksiyon gerekmiyor")))))</f>
        <v/>
      </c>
      <c r="S105" s="232">
        <f>IF($B105="","",COUNTIFS(AKTIVITE!$D$7:$D$1006,$B105,AKTIVITE!$J$7:$J$1006,"&lt;&gt;Tamamlandı"))</f>
        <v/>
      </c>
      <c r="T105" s="229">
        <f>IF($B105="","",IF(MUSTERILER!$K105="","",MUSTERILER!$K105))</f>
        <v/>
      </c>
      <c r="U105" s="232">
        <f>IF(OR($B105="",$T105=""),"",TODAY()-$T105)</f>
        <v/>
      </c>
      <c r="V105" s="113">
        <f>IF($B105="","",IF(ABS($J105-($K105+$L105+$M105+$N105))&lt;0.01,"UYGUN","İNCELE"))</f>
        <v/>
      </c>
      <c r="W105" s="6" t="n"/>
      <c r="X105" s="6">
        <f>IF($B105="",0,SUMIFS(UCRETLER!$J$7:$J$406,UCRETLER!$B$7:$B$406,$B105))</f>
        <v/>
      </c>
      <c r="Y105" s="3">
        <f>IF($B105="",0,SUMIFS(UCRETLER!$K$7:$K$406,UCRETLER!$B$7:$B$406,$B105))</f>
        <v/>
      </c>
      <c r="Z105" s="3">
        <f>IF($B105="",0,SUMIFS(UCRETLER!$L$7:$L$406,UCRETLER!$B$7:$B$406,$B105))</f>
        <v/>
      </c>
      <c r="AA105" s="3">
        <f>IF($B105="",0,MAX(0,$I105-$F105))</f>
        <v/>
      </c>
      <c r="AB105" s="3">
        <f>IF($B105="",0,MAX(0,$F105-$I105))</f>
        <v/>
      </c>
      <c r="AC105" s="3">
        <f>IF($B105="",0,MAX(0,$X105-$AA105))</f>
        <v/>
      </c>
      <c r="AD105" s="3">
        <f>IF($B105="",0,MAX(0,$Y105-$AA105))</f>
        <v/>
      </c>
      <c r="AE105" s="3">
        <f>IF($B105="",0,MAX(0,$Z105-$AA105))</f>
        <v/>
      </c>
    </row>
    <row r="106">
      <c r="A106" s="6" t="n"/>
      <c r="B106" s="113">
        <f>IF(MUSTERILER!$C106="","",MUSTERILER!$B106)</f>
        <v/>
      </c>
      <c r="C106" s="121">
        <f>IF(MUSTERILER!$C106="","",MUSTERILER!$C106)</f>
        <v/>
      </c>
      <c r="D106" s="227">
        <f>IF($B106="","",SUMIFS(UCRETLER!$G$7:$G$406,UCRETLER!$B$7:$B$406,$B106,UCRETLER!$F$7:$F$406,"Haftalık",UCRETLER!$H$7:$H$406,"Aktif"))</f>
        <v/>
      </c>
      <c r="E106" s="227">
        <f>IF($B106="","",SUMIFS(UCRETLER!$G$7:$G$406,UCRETLER!$B$7:$B$406,$B106,UCRETLER!$F$7:$F$406,"Aylık",UCRETLER!$H$7:$H$406,"Aktif"))</f>
        <v/>
      </c>
      <c r="F106" s="227">
        <f>IF($B106="","",SUMIFS(MUSTERILER!$J$7:$J$106,MUSTERILER!$B$7:$B$106,$B106))</f>
        <v/>
      </c>
      <c r="G106" s="227">
        <f>IF($B106="","",SUMIFS(UCRETLER!$I$7:$I$406,UCRETLER!$B$7:$B$406,$B106))</f>
        <v/>
      </c>
      <c r="H106" s="227">
        <f>IF($B106="","",$F106+$G106)</f>
        <v/>
      </c>
      <c r="I106" s="227">
        <f>IF($B106="","",SUMIFS(TAHSILAT!$F$7:$F$1506,TAHSILAT!$C$7:$C$1506,$B106))</f>
        <v/>
      </c>
      <c r="J106" s="227">
        <f>IF($B106="","",MAX(0,$H106-$I106))</f>
        <v/>
      </c>
      <c r="K106" s="227">
        <f>IF($B106="","",MAX(0,$J106-$L106-$M106-$N106))</f>
        <v/>
      </c>
      <c r="L106" s="227">
        <f>IF($B106="","",($AC106-$AD106)+IF(AND($AB106&gt;0,$T106&lt;&gt;"",$U106&gt;=8,$U106&lt;15),$AB106,0))</f>
        <v/>
      </c>
      <c r="M106" s="227">
        <f>IF($B106="","",($AD106-$AE106)+IF(AND($AB106&gt;0,$T106&lt;&gt;"",$U106&gt;=15,$U106&lt;29),$AB106,0))</f>
        <v/>
      </c>
      <c r="N106" s="227">
        <f>IF($B106="","",$AE106+IF(AND($AB106&gt;0,OR($T106="",$U106&gt;=29)),$AB106,0))</f>
        <v/>
      </c>
      <c r="O106" s="234">
        <f>IF($B106="","",IFERROR($I106/$H106,0))</f>
        <v/>
      </c>
      <c r="P106" s="229">
        <f>IF($B106="","",IFERROR(LOOKUP(2,1/(TAHSILAT!$C$7:$C$1506=$B106),TAHSILAT!$E$7:$E$1506),""))</f>
        <v/>
      </c>
      <c r="Q106" s="113">
        <f>IF($B106="","",IF($N106&gt;0,"KRİTİK",IF($M106&gt;0,"YÜKSEK",IF($L106&gt;0,"ORTA",IF($J106&gt;0,"İZLE","TEMİZ")))))</f>
        <v/>
      </c>
      <c r="R106" s="121">
        <f>IF($B106="","",IF($Q106="KRİTİK","Acil tahsilat görüşmesi ve cari mutabakat",IF($Q106="YÜKSEK","Bu hafta tahsilat takibi",IF($Q106="ORTA","Hatırlatma mesajı gönder",IF($Q106="İZLE","Normal takip","Aksiyon gerekmiyor")))))</f>
        <v/>
      </c>
      <c r="S106" s="232">
        <f>IF($B106="","",COUNTIFS(AKTIVITE!$D$7:$D$1006,$B106,AKTIVITE!$J$7:$J$1006,"&lt;&gt;Tamamlandı"))</f>
        <v/>
      </c>
      <c r="T106" s="229">
        <f>IF($B106="","",IF(MUSTERILER!$K106="","",MUSTERILER!$K106))</f>
        <v/>
      </c>
      <c r="U106" s="232">
        <f>IF(OR($B106="",$T106=""),"",TODAY()-$T106)</f>
        <v/>
      </c>
      <c r="V106" s="113">
        <f>IF($B106="","",IF(ABS($J106-($K106+$L106+$M106+$N106))&lt;0.01,"UYGUN","İNCELE"))</f>
        <v/>
      </c>
      <c r="W106" s="6" t="n"/>
      <c r="X106" s="6">
        <f>IF($B106="",0,SUMIFS(UCRETLER!$J$7:$J$406,UCRETLER!$B$7:$B$406,$B106))</f>
        <v/>
      </c>
      <c r="Y106" s="3">
        <f>IF($B106="",0,SUMIFS(UCRETLER!$K$7:$K$406,UCRETLER!$B$7:$B$406,$B106))</f>
        <v/>
      </c>
      <c r="Z106" s="3">
        <f>IF($B106="",0,SUMIFS(UCRETLER!$L$7:$L$406,UCRETLER!$B$7:$B$406,$B106))</f>
        <v/>
      </c>
      <c r="AA106" s="3">
        <f>IF($B106="",0,MAX(0,$I106-$F106))</f>
        <v/>
      </c>
      <c r="AB106" s="3">
        <f>IF($B106="",0,MAX(0,$F106-$I106))</f>
        <v/>
      </c>
      <c r="AC106" s="3">
        <f>IF($B106="",0,MAX(0,$X106-$AA106))</f>
        <v/>
      </c>
      <c r="AD106" s="3">
        <f>IF($B106="",0,MAX(0,$Y106-$AA106))</f>
        <v/>
      </c>
      <c r="AE106" s="3">
        <f>IF($B106="",0,MAX(0,$Z106-$AA106))</f>
        <v/>
      </c>
    </row>
    <row r="107">
      <c r="A107" s="6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6" t="n"/>
      <c r="X107" s="6" t="n"/>
      <c r="Y107" s="3" t="n"/>
      <c r="Z107" s="3" t="n"/>
      <c r="AA107" s="3" t="n"/>
      <c r="AB107" s="3" t="n"/>
      <c r="AC107" s="3" t="n"/>
      <c r="AD107" s="3" t="n"/>
      <c r="AE107" s="3" t="n"/>
    </row>
    <row r="108">
      <c r="A108" s="6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6" t="n"/>
      <c r="X108" s="6" t="n"/>
      <c r="Y108" s="3" t="n"/>
      <c r="Z108" s="3" t="n"/>
      <c r="AA108" s="3" t="n"/>
      <c r="AB108" s="3" t="n"/>
      <c r="AC108" s="3" t="n"/>
      <c r="AD108" s="3" t="n"/>
      <c r="AE10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V106"/>
  <mergeCells count="2">
    <mergeCell ref="A2:V2"/>
    <mergeCell ref="A1:V1"/>
  </mergeCells>
  <conditionalFormatting sqref="Q7:Q106">
    <cfRule type="expression" priority="1" dxfId="5" stopIfTrue="1">
      <formula>EXACT($Q7,"KRİTİK")</formula>
    </cfRule>
    <cfRule type="expression" priority="2" dxfId="4" stopIfTrue="1">
      <formula>EXACT($Q7,"YÜKSEK")</formula>
    </cfRule>
    <cfRule type="expression" priority="3" dxfId="7" stopIfTrue="1">
      <formula>EXACT($Q7,"ORTA")</formula>
    </cfRule>
    <cfRule type="expression" priority="4" dxfId="6" stopIfTrue="1">
      <formula>EXACT($Q7,"İZLE")</formula>
    </cfRule>
    <cfRule type="expression" priority="5" dxfId="3" stopIfTrue="1">
      <formula>EXACT($Q7,"TEMİZ")</formula>
    </cfRule>
  </conditionalFormatting>
  <conditionalFormatting sqref="V7:V106">
    <cfRule type="expression" priority="6" dxfId="3" stopIfTrue="1">
      <formula>EXACT($V7,"UYGUN")</formula>
    </cfRule>
    <cfRule type="expression" priority="7" dxfId="5" stopIfTrue="1">
      <formula>EXACT($V7,"İNCELE")</formula>
    </cfRule>
  </conditionalFormatting>
  <conditionalFormatting sqref="J7:J106">
    <cfRule type="dataBar" priority="8">
      <dataBar showValue="1">
        <cfvo type="num" val="0"/>
        <cfvo type="max"/>
        <color rgb="009FB8D0"/>
      </dataBar>
    </cfRule>
  </conditionalFormatting>
  <conditionalFormatting sqref="N7:N106">
    <cfRule type="cellIs" priority="9" operator="greaterThan" dxfId="8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0369A1"/>
    <outlinePr summaryBelow="1" summaryRight="1"/>
    <pageSetUpPr fitToPage="1"/>
  </sheetPr>
  <dimension ref="A1:AC372"/>
  <sheetViews>
    <sheetView showGridLines="0" tabSelected="0" zoomScale="100" workbookViewId="0">
      <pane ySplit="11" topLeftCell="A12" activePane="bottomLeft" state="frozen"/>
      <selection pane="bottomLeft" activeCell="A1" sqref="A1"/>
    </sheetView>
  </sheetViews>
  <sheetFormatPr baseColWidth="8" defaultRowHeight="20"/>
  <cols>
    <col width="2.4" customWidth="1" min="1" max="1"/>
    <col width="7" customWidth="1" min="2" max="2"/>
    <col width="13" customWidth="1" min="3" max="3"/>
    <col width="42" customWidth="1" min="4" max="4"/>
    <col width="15" customWidth="1" min="5" max="5"/>
    <col width="30" customWidth="1" min="6" max="6"/>
    <col width="16" customWidth="1" min="7" max="7"/>
    <col width="16" customWidth="1" min="8" max="8"/>
    <col width="17" customWidth="1" min="9" max="9"/>
    <col width="2.4" customWidth="1" min="10" max="10"/>
    <col width="2.4" customWidth="1" min="11" max="11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8" max="28"/>
    <col hidden="1" width="13" customWidth="1" min="29" max="29"/>
  </cols>
  <sheetData>
    <row r="1" ht="38" customHeight="1">
      <c r="A1" s="258" t="inlineStr">
        <is>
          <t>KILIÇ MUHASEBE   │   MÜŞTERİ CARİ HESAP EKSTRESİ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45" t="n"/>
      <c r="K1" s="45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</row>
    <row r="2" ht="22" customHeight="1">
      <c r="A2" s="4" t="inlineStr">
        <is>
          <t>Tahakkuk ve tahsilat hareketleri tarih sırasıyla otomatik listelenir │ Bu ekrana kayıt girilmez</t>
        </is>
      </c>
      <c r="J2" s="46" t="n"/>
      <c r="K2" s="46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</row>
    <row r="4" ht="26" customHeight="1">
      <c r="A4" s="6" t="n"/>
      <c r="B4" s="47">
        <f>HYPERLINK("#PANO!A1","←  PANO")</f>
        <v/>
      </c>
      <c r="C4" s="6" t="n"/>
      <c r="D4" s="129" t="inlineStr">
        <is>
          <t>MÜŞTERİ</t>
        </is>
      </c>
      <c r="E4" s="130" t="inlineStr">
        <is>
          <t>TEST HAFTALIK A.Ş.</t>
        </is>
      </c>
      <c r="F4" s="235" t="n"/>
      <c r="G4" s="236" t="n"/>
      <c r="H4" s="132">
        <f>"Müşteri No:  "&amp;$AC$4</f>
        <v/>
      </c>
      <c r="J4" s="6" t="n"/>
      <c r="K4" s="6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>
        <f>IFERROR(MATCH($AC$4&amp;"|1",UCRETLER!$S$7:$S$406,0),0)</f>
        <v/>
      </c>
      <c r="AC4" s="3">
        <f>IF($E$4="","",IFERROR(INDEX(MUSTERILER!$B$7:$B$106,MATCH($E$4,MUSTERILER!$C$7:$C$106,0)),IFERROR(INDEX(MUSTERILER!$B$7:$B$106,MATCH($E$4,MUSTERILER!$B$7:$B$106,0)),IFERROR(INDEX(MUSTERILER!$B$7:$B$106,MATCH($E$4&amp;"*",MUSTERILER!$C$7:$C$106,0)),"TANIMSIZ MÜŞTERİ"))))</f>
        <v/>
      </c>
    </row>
    <row r="5" ht="34" customHeight="1">
      <c r="A5" s="6" t="n"/>
      <c r="B5" s="273" t="inlineStr">
        <is>
          <t>CARİ HESAP EKSTRESİ</t>
        </is>
      </c>
      <c r="C5" s="237" t="n"/>
      <c r="D5" s="237" t="n"/>
      <c r="E5" s="237" t="n"/>
      <c r="F5" s="274">
        <f>IF($E$4="","",IFERROR(INDEX(MUSTERILER!$C$7:$C$106,MATCH($AC$4,MUSTERILER!$B$7:$B$106,0)),$E$4))</f>
        <v/>
      </c>
      <c r="G5" s="237" t="n"/>
      <c r="H5" s="237" t="n"/>
      <c r="I5" s="237" t="n"/>
      <c r="J5" s="6" t="n"/>
      <c r="K5" s="6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>
        <f>IFERROR(MATCH($AC$4&amp;"|2",UCRETLER!$S$7:$S$406,0),0)</f>
        <v/>
      </c>
      <c r="AC5" s="3" t="n"/>
    </row>
    <row r="6" ht="20" customHeight="1">
      <c r="A6" s="6" t="n"/>
      <c r="B6" s="275">
        <f>"KILIÇ MUHASEBE   │   Düzenleme tarihi: "&amp;TEXT(TODAY(),"dd.mm.yyyy")</f>
        <v/>
      </c>
      <c r="C6" s="190" t="n"/>
      <c r="D6" s="190" t="n"/>
      <c r="E6" s="190" t="n"/>
      <c r="F6" s="276">
        <f>IF($AC$4="","",IFERROR("Vergi No: "&amp;IF(INDEX(MUSTERILER!$G$7:$G$106,MATCH($AC$4,MUSTERILER!$B$7:$B$106,0))="","—",INDEX(MUSTERILER!$G$7:$G$106,MATCH($AC$4,MUSTERILER!$B$7:$B$106,0)))&amp;"   │   Tel: "&amp;IF(INDEX(MUSTERILER!$F$7:$F$106,MATCH($AC$4,MUSTERILER!$B$7:$B$106,0))="","—",INDEX(MUSTERILER!$F$7:$F$106,MATCH($AC$4,MUSTERILER!$B$7:$B$106,0))),""))</f>
        <v/>
      </c>
      <c r="G6" s="190" t="n"/>
      <c r="H6" s="190" t="n"/>
      <c r="I6" s="190" t="n"/>
      <c r="J6" s="6" t="n"/>
      <c r="K6" s="6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>
        <f>IFERROR(MATCH($AC$4&amp;"|3",UCRETLER!$S$7:$S$406,0),0)</f>
        <v/>
      </c>
      <c r="AC6" s="3" t="n"/>
    </row>
    <row r="7" ht="8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 ht="15" customHeight="1">
      <c r="A8" s="6" t="n"/>
      <c r="B8" s="238" t="inlineStr">
        <is>
          <t>TOPLAM BORÇ</t>
        </is>
      </c>
      <c r="C8" s="180" t="n"/>
      <c r="D8" s="239" t="inlineStr">
        <is>
          <t>TOPLAM ALACAK</t>
        </is>
      </c>
      <c r="E8" s="186" t="n"/>
      <c r="F8" s="240" t="inlineStr">
        <is>
          <t>BAKİYE</t>
        </is>
      </c>
      <c r="G8" s="183" t="n"/>
      <c r="H8" s="241" t="inlineStr">
        <is>
          <t>29+ GÜN GECİKMİŞ</t>
        </is>
      </c>
      <c r="I8" s="194" t="n"/>
      <c r="J8" s="6" t="n"/>
      <c r="K8" s="6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</row>
    <row r="9" ht="28" customHeight="1">
      <c r="A9" s="6" t="n"/>
      <c r="B9" s="242">
        <f>SUM($G$12:$G$311)</f>
        <v/>
      </c>
      <c r="C9" s="191" t="n"/>
      <c r="D9" s="243">
        <f>SUM($H$12:$H$311)</f>
        <v/>
      </c>
      <c r="E9" s="191" t="n"/>
      <c r="F9" s="244">
        <f>$B$9-$D$9</f>
        <v/>
      </c>
      <c r="G9" s="191" t="n"/>
      <c r="H9" s="245">
        <f>IF($AC$4="","",IFERROR(INDEX(MUSTERI_360!$N$7:$N$106,MATCH($AC$4,MUSTERI_360!$B$7:$B$106,0)),0))</f>
        <v/>
      </c>
      <c r="I9" s="191" t="n"/>
      <c r="J9" s="6" t="n"/>
      <c r="K9" s="6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</row>
    <row r="10" ht="26" customHeight="1">
      <c r="A10" s="6" t="n"/>
      <c r="B10" s="277" t="inlineStr">
        <is>
          <t>PDF ÇIKTISI   ▸   Ad Kutusu: EKSTRE + Enter   ▸   Ctrl+P   ▸   Yalnızca Seçimi Yazdır</t>
        </is>
      </c>
      <c r="C10" s="246" t="n"/>
      <c r="D10" s="246" t="n"/>
      <c r="E10" s="246" t="n"/>
      <c r="F10" s="278" t="inlineStr">
        <is>
          <t>EXCEL'E AL   ▸   EKSTRE seç   ▸   Ctrl+C   ▸   Yeni kitap   ▸   Ctrl+Alt+V ▸ Değerler</t>
        </is>
      </c>
      <c r="G10" s="246" t="n"/>
      <c r="H10" s="246" t="n"/>
      <c r="I10" s="246" t="n"/>
      <c r="J10" s="6" t="n"/>
      <c r="K10" s="6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</row>
    <row r="11" ht="38" customHeight="1">
      <c r="A11" s="6" t="n"/>
      <c r="B11" s="105" t="inlineStr">
        <is>
          <t>Sıra</t>
        </is>
      </c>
      <c r="C11" s="105" t="inlineStr">
        <is>
          <t>Tarih</t>
        </is>
      </c>
      <c r="D11" s="106" t="inlineStr">
        <is>
          <t>Açıklama</t>
        </is>
      </c>
      <c r="E11" s="105" t="inlineStr">
        <is>
          <t>Fiş Türü</t>
        </is>
      </c>
      <c r="F11" s="106" t="inlineStr">
        <is>
          <t>Karşı Hesap  (çift taraflı kayıt)</t>
        </is>
      </c>
      <c r="G11" s="107" t="inlineStr">
        <is>
          <t>Borç</t>
        </is>
      </c>
      <c r="H11" s="107" t="inlineStr">
        <is>
          <t>Alacak</t>
        </is>
      </c>
      <c r="I11" s="107" t="inlineStr">
        <is>
          <t>Bakiye</t>
        </is>
      </c>
      <c r="J11" s="6" t="n"/>
      <c r="K11" s="6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6" t="n"/>
      <c r="B12" s="158">
        <f>IF($C12="","",ROW()-11)</f>
        <v/>
      </c>
      <c r="C12" s="247">
        <f>IF($Z12="","",IF(INDEX($N$12:$N$372,$Z12)="","",INDEX($N$12:$N$372,$Z12)))</f>
        <v/>
      </c>
      <c r="D12" s="29">
        <f>IF($C12="","",INDEX($O$12:$O$372,$Z12))</f>
        <v/>
      </c>
      <c r="E12" s="158">
        <f>IF($C12="","",INDEX($P$12:$P$372,$Z12))</f>
        <v/>
      </c>
      <c r="F12" s="29">
        <f>IF($C12="","",INDEX($Q$12:$Q$372,$Z12))</f>
        <v/>
      </c>
      <c r="G12" s="248">
        <f>IF($C12="","",INDEX($R$12:$R$372,$Z12))</f>
        <v/>
      </c>
      <c r="H12" s="248">
        <f>IF($C12="","",INDEX($S$12:$S$372,$Z12))</f>
        <v/>
      </c>
      <c r="I12" s="248">
        <f>IF($C12="","",N($I11)+$G12-$H12)</f>
        <v/>
      </c>
      <c r="J12" s="6" t="n"/>
      <c r="K12" s="6" t="n"/>
      <c r="L12" s="3" t="n"/>
      <c r="M12" s="3" t="n">
        <v>1</v>
      </c>
      <c r="N12" s="3">
        <f>IF($X$12&lt;=0,"",IFERROR(IF(INDEX(MUSTERILER!$K$7:$K$106,MATCH($AC$4,MUSTERILER!$B$7:$B$106,0))="",DATE(2020,1,1),INDEX(MUSTERILER!$K$7:$K$106,MATCH($AC$4,MUSTERILER!$B$7:$B$106,0))),""))</f>
        <v/>
      </c>
      <c r="O12" s="3">
        <f>"Devir alacağı  –  açılış bakiyesi"</f>
        <v/>
      </c>
      <c r="P12" s="3">
        <f>"DEVİR"</f>
        <v/>
      </c>
      <c r="Q12" s="3">
        <f>"Açılış Bakiyesi"</f>
        <v/>
      </c>
      <c r="R12" s="3">
        <f>IF($N$12="",0,$X$12)</f>
        <v/>
      </c>
      <c r="S12" s="3" t="n">
        <v>0</v>
      </c>
      <c r="T12" s="3">
        <f>IF($N12="",10000000000,$N12*100000+$M12)</f>
        <v/>
      </c>
      <c r="U12" s="3" t="n"/>
      <c r="V12" s="3" t="n"/>
      <c r="W12" s="3" t="n"/>
      <c r="X12" s="3">
        <f>IFERROR(SUMIFS(MUSTERILER!$J$7:$J$106,MUSTERILER!$B$7:$B$106,$AC$4),0)</f>
        <v/>
      </c>
      <c r="Y12" s="3">
        <f>IFERROR(SMALL($T$12:$T$372,ROW()-11),"")</f>
        <v/>
      </c>
      <c r="Z12" s="3">
        <f>IFERROR(MATCH($Y12,$T$12:$T$372,0),"")</f>
        <v/>
      </c>
      <c r="AA12" s="3" t="n"/>
      <c r="AB12" s="3" t="n"/>
      <c r="AC12" s="3" t="n"/>
    </row>
    <row r="13">
      <c r="A13" s="6" t="n"/>
      <c r="B13" s="158">
        <f>IF($C13="","",ROW()-11)</f>
        <v/>
      </c>
      <c r="C13" s="247">
        <f>IF($Z13="","",IF(INDEX($N$12:$N$372,$Z13)="","",INDEX($N$12:$N$372,$Z13)))</f>
        <v/>
      </c>
      <c r="D13" s="29">
        <f>IF($C13="","",INDEX($O$12:$O$372,$Z13))</f>
        <v/>
      </c>
      <c r="E13" s="158">
        <f>IF($C13="","",INDEX($P$12:$P$372,$Z13))</f>
        <v/>
      </c>
      <c r="F13" s="29">
        <f>IF($C13="","",INDEX($Q$12:$Q$372,$Z13))</f>
        <v/>
      </c>
      <c r="G13" s="248">
        <f>IF($C13="","",INDEX($R$12:$R$372,$Z13))</f>
        <v/>
      </c>
      <c r="H13" s="248">
        <f>IF($C13="","",INDEX($S$12:$S$372,$Z13))</f>
        <v/>
      </c>
      <c r="I13" s="248">
        <f>IF($C13="","",N($I12)+$G13-$H13)</f>
        <v/>
      </c>
      <c r="J13" s="6" t="n"/>
      <c r="K13" s="6" t="n"/>
      <c r="L13" s="3" t="n"/>
      <c r="M13" s="3" t="n">
        <v>2</v>
      </c>
      <c r="N13" s="3">
        <f>IF(OR($U13=0,$W13="",$X13&lt;=0),"",IF($W13&gt;TODAY(),"",IF(AND(INDEX(UCRETLER!$E$7:$E$406,$U13)&lt;&gt;"",$W13&gt;INDEX(UCRETLER!$E$7:$E$406,$U13)),"",$W13)))</f>
        <v/>
      </c>
      <c r="O13" s="3">
        <f>IF($N13="","",IF(INDEX(UCRETLER!$F$7:$F$406,$U13)="Aylık",TEXT($N13,"mmmm yyyy")&amp;" aylık muhasebe hizmet ücreti",TEXT($N13,"dd.mm.yyyy")&amp;" haftalık muhasebe hizmet ücreti"))</f>
        <v/>
      </c>
      <c r="P13" s="3">
        <f>IF($N13="","","TAHAKKUK")</f>
        <v/>
      </c>
      <c r="Q13" s="3">
        <f>IF($N13="","","600 Muhasebe Hizmet Geliri")</f>
        <v/>
      </c>
      <c r="R13" s="3">
        <f>IF($N13="",0,$X13)</f>
        <v/>
      </c>
      <c r="S13" s="3" t="n">
        <v>0</v>
      </c>
      <c r="T13" s="3">
        <f>IF($N13="",10000000000,$N13*100000+$M13)</f>
        <v/>
      </c>
      <c r="U13" s="3">
        <f>$AB$4</f>
        <v/>
      </c>
      <c r="V13" s="3" t="n">
        <v>1</v>
      </c>
      <c r="W13" s="3">
        <f>IF($U13=0,"",IF(INDEX(UCRETLER!$D$7:$D$406,$U13)="","",IF(INDEX(UCRETLER!$F$7:$F$406,$U13)="Aylık",EOMONTH(INDEX(UCRETLER!$D$7:$D$406,$U13),$V13-1),INDEX(UCRETLER!$D$7:$D$406,$U13)+MOD(SISTEM!$F$8-WEEKDAY(INDEX(UCRETLER!$D$7:$D$406,$U13),2),7)+7*($V13-1))))</f>
        <v/>
      </c>
      <c r="X13" s="3">
        <f>IF($U13=0,0,INDEX(UCRETLER!$G$7:$G$406,$U13))</f>
        <v/>
      </c>
      <c r="Y13" s="3">
        <f>IFERROR(SMALL($T$12:$T$372,ROW()-11),"")</f>
        <v/>
      </c>
      <c r="Z13" s="3">
        <f>IFERROR(MATCH($Y13,$T$12:$T$372,0),"")</f>
        <v/>
      </c>
      <c r="AA13" s="3" t="n"/>
      <c r="AB13" s="3" t="n"/>
      <c r="AC13" s="3" t="n"/>
    </row>
    <row r="14">
      <c r="A14" s="6" t="n"/>
      <c r="B14" s="158">
        <f>IF($C14="","",ROW()-11)</f>
        <v/>
      </c>
      <c r="C14" s="247">
        <f>IF($Z14="","",IF(INDEX($N$12:$N$372,$Z14)="","",INDEX($N$12:$N$372,$Z14)))</f>
        <v/>
      </c>
      <c r="D14" s="29">
        <f>IF($C14="","",INDEX($O$12:$O$372,$Z14))</f>
        <v/>
      </c>
      <c r="E14" s="158">
        <f>IF($C14="","",INDEX($P$12:$P$372,$Z14))</f>
        <v/>
      </c>
      <c r="F14" s="29">
        <f>IF($C14="","",INDEX($Q$12:$Q$372,$Z14))</f>
        <v/>
      </c>
      <c r="G14" s="248">
        <f>IF($C14="","",INDEX($R$12:$R$372,$Z14))</f>
        <v/>
      </c>
      <c r="H14" s="248">
        <f>IF($C14="","",INDEX($S$12:$S$372,$Z14))</f>
        <v/>
      </c>
      <c r="I14" s="248">
        <f>IF($C14="","",N($I13)+$G14-$H14)</f>
        <v/>
      </c>
      <c r="J14" s="6" t="n"/>
      <c r="K14" s="6" t="n"/>
      <c r="L14" s="3" t="n"/>
      <c r="M14" s="3" t="n">
        <v>3</v>
      </c>
      <c r="N14" s="3">
        <f>IF(OR($U14=0,$W14="",$X14&lt;=0),"",IF($W14&gt;TODAY(),"",IF(AND(INDEX(UCRETLER!$E$7:$E$406,$U14)&lt;&gt;"",$W14&gt;INDEX(UCRETLER!$E$7:$E$406,$U14)),"",$W14)))</f>
        <v/>
      </c>
      <c r="O14" s="3">
        <f>IF($N14="","",IF(INDEX(UCRETLER!$F$7:$F$406,$U14)="Aylık",TEXT($N14,"mmmm yyyy")&amp;" aylık muhasebe hizmet ücreti",TEXT($N14,"dd.mm.yyyy")&amp;" haftalık muhasebe hizmet ücreti"))</f>
        <v/>
      </c>
      <c r="P14" s="3">
        <f>IF($N14="","","TAHAKKUK")</f>
        <v/>
      </c>
      <c r="Q14" s="3">
        <f>IF($N14="","","600 Muhasebe Hizmet Geliri")</f>
        <v/>
      </c>
      <c r="R14" s="3">
        <f>IF($N14="",0,$X14)</f>
        <v/>
      </c>
      <c r="S14" s="3" t="n">
        <v>0</v>
      </c>
      <c r="T14" s="3">
        <f>IF($N14="",10000000000,$N14*100000+$M14)</f>
        <v/>
      </c>
      <c r="U14" s="3">
        <f>$AB$4</f>
        <v/>
      </c>
      <c r="V14" s="3" t="n">
        <v>2</v>
      </c>
      <c r="W14" s="3">
        <f>IF($U14=0,"",IF(INDEX(UCRETLER!$D$7:$D$406,$U14)="","",IF(INDEX(UCRETLER!$F$7:$F$406,$U14)="Aylık",EOMONTH(INDEX(UCRETLER!$D$7:$D$406,$U14),$V14-1),INDEX(UCRETLER!$D$7:$D$406,$U14)+MOD(SISTEM!$F$8-WEEKDAY(INDEX(UCRETLER!$D$7:$D$406,$U14),2),7)+7*($V14-1))))</f>
        <v/>
      </c>
      <c r="X14" s="3">
        <f>IF($U14=0,0,INDEX(UCRETLER!$G$7:$G$406,$U14))</f>
        <v/>
      </c>
      <c r="Y14" s="3">
        <f>IFERROR(SMALL($T$12:$T$372,ROW()-11),"")</f>
        <v/>
      </c>
      <c r="Z14" s="3">
        <f>IFERROR(MATCH($Y14,$T$12:$T$372,0),"")</f>
        <v/>
      </c>
      <c r="AA14" s="3" t="n"/>
      <c r="AB14" s="3" t="n"/>
      <c r="AC14" s="3" t="n"/>
    </row>
    <row r="15">
      <c r="A15" s="6" t="n"/>
      <c r="B15" s="158">
        <f>IF($C15="","",ROW()-11)</f>
        <v/>
      </c>
      <c r="C15" s="247">
        <f>IF($Z15="","",IF(INDEX($N$12:$N$372,$Z15)="","",INDEX($N$12:$N$372,$Z15)))</f>
        <v/>
      </c>
      <c r="D15" s="29">
        <f>IF($C15="","",INDEX($O$12:$O$372,$Z15))</f>
        <v/>
      </c>
      <c r="E15" s="158">
        <f>IF($C15="","",INDEX($P$12:$P$372,$Z15))</f>
        <v/>
      </c>
      <c r="F15" s="29">
        <f>IF($C15="","",INDEX($Q$12:$Q$372,$Z15))</f>
        <v/>
      </c>
      <c r="G15" s="248">
        <f>IF($C15="","",INDEX($R$12:$R$372,$Z15))</f>
        <v/>
      </c>
      <c r="H15" s="248">
        <f>IF($C15="","",INDEX($S$12:$S$372,$Z15))</f>
        <v/>
      </c>
      <c r="I15" s="248">
        <f>IF($C15="","",N($I14)+$G15-$H15)</f>
        <v/>
      </c>
      <c r="J15" s="6" t="n"/>
      <c r="K15" s="6" t="n"/>
      <c r="L15" s="3" t="n"/>
      <c r="M15" s="3" t="n">
        <v>4</v>
      </c>
      <c r="N15" s="3">
        <f>IF(OR($U15=0,$W15="",$X15&lt;=0),"",IF($W15&gt;TODAY(),"",IF(AND(INDEX(UCRETLER!$E$7:$E$406,$U15)&lt;&gt;"",$W15&gt;INDEX(UCRETLER!$E$7:$E$406,$U15)),"",$W15)))</f>
        <v/>
      </c>
      <c r="O15" s="3">
        <f>IF($N15="","",IF(INDEX(UCRETLER!$F$7:$F$406,$U15)="Aylık",TEXT($N15,"mmmm yyyy")&amp;" aylık muhasebe hizmet ücreti",TEXT($N15,"dd.mm.yyyy")&amp;" haftalık muhasebe hizmet ücreti"))</f>
        <v/>
      </c>
      <c r="P15" s="3">
        <f>IF($N15="","","TAHAKKUK")</f>
        <v/>
      </c>
      <c r="Q15" s="3">
        <f>IF($N15="","","600 Muhasebe Hizmet Geliri")</f>
        <v/>
      </c>
      <c r="R15" s="3">
        <f>IF($N15="",0,$X15)</f>
        <v/>
      </c>
      <c r="S15" s="3" t="n">
        <v>0</v>
      </c>
      <c r="T15" s="3">
        <f>IF($N15="",10000000000,$N15*100000+$M15)</f>
        <v/>
      </c>
      <c r="U15" s="3">
        <f>$AB$4</f>
        <v/>
      </c>
      <c r="V15" s="3" t="n">
        <v>3</v>
      </c>
      <c r="W15" s="3">
        <f>IF($U15=0,"",IF(INDEX(UCRETLER!$D$7:$D$406,$U15)="","",IF(INDEX(UCRETLER!$F$7:$F$406,$U15)="Aylık",EOMONTH(INDEX(UCRETLER!$D$7:$D$406,$U15),$V15-1),INDEX(UCRETLER!$D$7:$D$406,$U15)+MOD(SISTEM!$F$8-WEEKDAY(INDEX(UCRETLER!$D$7:$D$406,$U15),2),7)+7*($V15-1))))</f>
        <v/>
      </c>
      <c r="X15" s="3">
        <f>IF($U15=0,0,INDEX(UCRETLER!$G$7:$G$406,$U15))</f>
        <v/>
      </c>
      <c r="Y15" s="3">
        <f>IFERROR(SMALL($T$12:$T$372,ROW()-11),"")</f>
        <v/>
      </c>
      <c r="Z15" s="3">
        <f>IFERROR(MATCH($Y15,$T$12:$T$372,0),"")</f>
        <v/>
      </c>
      <c r="AA15" s="3" t="n"/>
      <c r="AB15" s="3" t="n"/>
      <c r="AC15" s="3" t="n"/>
    </row>
    <row r="16">
      <c r="A16" s="6" t="n"/>
      <c r="B16" s="158">
        <f>IF($C16="","",ROW()-11)</f>
        <v/>
      </c>
      <c r="C16" s="247">
        <f>IF($Z16="","",IF(INDEX($N$12:$N$372,$Z16)="","",INDEX($N$12:$N$372,$Z16)))</f>
        <v/>
      </c>
      <c r="D16" s="29">
        <f>IF($C16="","",INDEX($O$12:$O$372,$Z16))</f>
        <v/>
      </c>
      <c r="E16" s="158">
        <f>IF($C16="","",INDEX($P$12:$P$372,$Z16))</f>
        <v/>
      </c>
      <c r="F16" s="29">
        <f>IF($C16="","",INDEX($Q$12:$Q$372,$Z16))</f>
        <v/>
      </c>
      <c r="G16" s="248">
        <f>IF($C16="","",INDEX($R$12:$R$372,$Z16))</f>
        <v/>
      </c>
      <c r="H16" s="248">
        <f>IF($C16="","",INDEX($S$12:$S$372,$Z16))</f>
        <v/>
      </c>
      <c r="I16" s="248">
        <f>IF($C16="","",N($I15)+$G16-$H16)</f>
        <v/>
      </c>
      <c r="J16" s="6" t="n"/>
      <c r="K16" s="6" t="n"/>
      <c r="L16" s="3" t="n"/>
      <c r="M16" s="3" t="n">
        <v>5</v>
      </c>
      <c r="N16" s="3">
        <f>IF(OR($U16=0,$W16="",$X16&lt;=0),"",IF($W16&gt;TODAY(),"",IF(AND(INDEX(UCRETLER!$E$7:$E$406,$U16)&lt;&gt;"",$W16&gt;INDEX(UCRETLER!$E$7:$E$406,$U16)),"",$W16)))</f>
        <v/>
      </c>
      <c r="O16" s="3">
        <f>IF($N16="","",IF(INDEX(UCRETLER!$F$7:$F$406,$U16)="Aylık",TEXT($N16,"mmmm yyyy")&amp;" aylık muhasebe hizmet ücreti",TEXT($N16,"dd.mm.yyyy")&amp;" haftalık muhasebe hizmet ücreti"))</f>
        <v/>
      </c>
      <c r="P16" s="3">
        <f>IF($N16="","","TAHAKKUK")</f>
        <v/>
      </c>
      <c r="Q16" s="3">
        <f>IF($N16="","","600 Muhasebe Hizmet Geliri")</f>
        <v/>
      </c>
      <c r="R16" s="3">
        <f>IF($N16="",0,$X16)</f>
        <v/>
      </c>
      <c r="S16" s="3" t="n">
        <v>0</v>
      </c>
      <c r="T16" s="3">
        <f>IF($N16="",10000000000,$N16*100000+$M16)</f>
        <v/>
      </c>
      <c r="U16" s="3">
        <f>$AB$4</f>
        <v/>
      </c>
      <c r="V16" s="3" t="n">
        <v>4</v>
      </c>
      <c r="W16" s="3">
        <f>IF($U16=0,"",IF(INDEX(UCRETLER!$D$7:$D$406,$U16)="","",IF(INDEX(UCRETLER!$F$7:$F$406,$U16)="Aylık",EOMONTH(INDEX(UCRETLER!$D$7:$D$406,$U16),$V16-1),INDEX(UCRETLER!$D$7:$D$406,$U16)+MOD(SISTEM!$F$8-WEEKDAY(INDEX(UCRETLER!$D$7:$D$406,$U16),2),7)+7*($V16-1))))</f>
        <v/>
      </c>
      <c r="X16" s="3">
        <f>IF($U16=0,0,INDEX(UCRETLER!$G$7:$G$406,$U16))</f>
        <v/>
      </c>
      <c r="Y16" s="3">
        <f>IFERROR(SMALL($T$12:$T$372,ROW()-11),"")</f>
        <v/>
      </c>
      <c r="Z16" s="3">
        <f>IFERROR(MATCH($Y16,$T$12:$T$372,0),"")</f>
        <v/>
      </c>
      <c r="AA16" s="3" t="n"/>
      <c r="AB16" s="3" t="n"/>
      <c r="AC16" s="3" t="n"/>
    </row>
    <row r="17">
      <c r="A17" s="6" t="n"/>
      <c r="B17" s="158">
        <f>IF($C17="","",ROW()-11)</f>
        <v/>
      </c>
      <c r="C17" s="247">
        <f>IF($Z17="","",IF(INDEX($N$12:$N$372,$Z17)="","",INDEX($N$12:$N$372,$Z17)))</f>
        <v/>
      </c>
      <c r="D17" s="29">
        <f>IF($C17="","",INDEX($O$12:$O$372,$Z17))</f>
        <v/>
      </c>
      <c r="E17" s="158">
        <f>IF($C17="","",INDEX($P$12:$P$372,$Z17))</f>
        <v/>
      </c>
      <c r="F17" s="29">
        <f>IF($C17="","",INDEX($Q$12:$Q$372,$Z17))</f>
        <v/>
      </c>
      <c r="G17" s="248">
        <f>IF($C17="","",INDEX($R$12:$R$372,$Z17))</f>
        <v/>
      </c>
      <c r="H17" s="248">
        <f>IF($C17="","",INDEX($S$12:$S$372,$Z17))</f>
        <v/>
      </c>
      <c r="I17" s="248">
        <f>IF($C17="","",N($I16)+$G17-$H17)</f>
        <v/>
      </c>
      <c r="J17" s="6" t="n"/>
      <c r="K17" s="6" t="n"/>
      <c r="L17" s="3" t="n"/>
      <c r="M17" s="3" t="n">
        <v>6</v>
      </c>
      <c r="N17" s="3">
        <f>IF(OR($U17=0,$W17="",$X17&lt;=0),"",IF($W17&gt;TODAY(),"",IF(AND(INDEX(UCRETLER!$E$7:$E$406,$U17)&lt;&gt;"",$W17&gt;INDEX(UCRETLER!$E$7:$E$406,$U17)),"",$W17)))</f>
        <v/>
      </c>
      <c r="O17" s="3">
        <f>IF($N17="","",IF(INDEX(UCRETLER!$F$7:$F$406,$U17)="Aylık",TEXT($N17,"mmmm yyyy")&amp;" aylık muhasebe hizmet ücreti",TEXT($N17,"dd.mm.yyyy")&amp;" haftalık muhasebe hizmet ücreti"))</f>
        <v/>
      </c>
      <c r="P17" s="3">
        <f>IF($N17="","","TAHAKKUK")</f>
        <v/>
      </c>
      <c r="Q17" s="3">
        <f>IF($N17="","","600 Muhasebe Hizmet Geliri")</f>
        <v/>
      </c>
      <c r="R17" s="3">
        <f>IF($N17="",0,$X17)</f>
        <v/>
      </c>
      <c r="S17" s="3" t="n">
        <v>0</v>
      </c>
      <c r="T17" s="3">
        <f>IF($N17="",10000000000,$N17*100000+$M17)</f>
        <v/>
      </c>
      <c r="U17" s="3">
        <f>$AB$4</f>
        <v/>
      </c>
      <c r="V17" s="3" t="n">
        <v>5</v>
      </c>
      <c r="W17" s="3">
        <f>IF($U17=0,"",IF(INDEX(UCRETLER!$D$7:$D$406,$U17)="","",IF(INDEX(UCRETLER!$F$7:$F$406,$U17)="Aylık",EOMONTH(INDEX(UCRETLER!$D$7:$D$406,$U17),$V17-1),INDEX(UCRETLER!$D$7:$D$406,$U17)+MOD(SISTEM!$F$8-WEEKDAY(INDEX(UCRETLER!$D$7:$D$406,$U17),2),7)+7*($V17-1))))</f>
        <v/>
      </c>
      <c r="X17" s="3">
        <f>IF($U17=0,0,INDEX(UCRETLER!$G$7:$G$406,$U17))</f>
        <v/>
      </c>
      <c r="Y17" s="3">
        <f>IFERROR(SMALL($T$12:$T$372,ROW()-11),"")</f>
        <v/>
      </c>
      <c r="Z17" s="3">
        <f>IFERROR(MATCH($Y17,$T$12:$T$372,0),"")</f>
        <v/>
      </c>
      <c r="AA17" s="3" t="n"/>
      <c r="AB17" s="3" t="n"/>
      <c r="AC17" s="3" t="n"/>
    </row>
    <row r="18">
      <c r="A18" s="6" t="n"/>
      <c r="B18" s="158">
        <f>IF($C18="","",ROW()-11)</f>
        <v/>
      </c>
      <c r="C18" s="247">
        <f>IF($Z18="","",IF(INDEX($N$12:$N$372,$Z18)="","",INDEX($N$12:$N$372,$Z18)))</f>
        <v/>
      </c>
      <c r="D18" s="29">
        <f>IF($C18="","",INDEX($O$12:$O$372,$Z18))</f>
        <v/>
      </c>
      <c r="E18" s="158">
        <f>IF($C18="","",INDEX($P$12:$P$372,$Z18))</f>
        <v/>
      </c>
      <c r="F18" s="29">
        <f>IF($C18="","",INDEX($Q$12:$Q$372,$Z18))</f>
        <v/>
      </c>
      <c r="G18" s="248">
        <f>IF($C18="","",INDEX($R$12:$R$372,$Z18))</f>
        <v/>
      </c>
      <c r="H18" s="248">
        <f>IF($C18="","",INDEX($S$12:$S$372,$Z18))</f>
        <v/>
      </c>
      <c r="I18" s="248">
        <f>IF($C18="","",N($I17)+$G18-$H18)</f>
        <v/>
      </c>
      <c r="J18" s="6" t="n"/>
      <c r="K18" s="6" t="n"/>
      <c r="L18" s="3" t="n"/>
      <c r="M18" s="3" t="n">
        <v>7</v>
      </c>
      <c r="N18" s="3">
        <f>IF(OR($U18=0,$W18="",$X18&lt;=0),"",IF($W18&gt;TODAY(),"",IF(AND(INDEX(UCRETLER!$E$7:$E$406,$U18)&lt;&gt;"",$W18&gt;INDEX(UCRETLER!$E$7:$E$406,$U18)),"",$W18)))</f>
        <v/>
      </c>
      <c r="O18" s="3">
        <f>IF($N18="","",IF(INDEX(UCRETLER!$F$7:$F$406,$U18)="Aylık",TEXT($N18,"mmmm yyyy")&amp;" aylık muhasebe hizmet ücreti",TEXT($N18,"dd.mm.yyyy")&amp;" haftalık muhasebe hizmet ücreti"))</f>
        <v/>
      </c>
      <c r="P18" s="3">
        <f>IF($N18="","","TAHAKKUK")</f>
        <v/>
      </c>
      <c r="Q18" s="3">
        <f>IF($N18="","","600 Muhasebe Hizmet Geliri")</f>
        <v/>
      </c>
      <c r="R18" s="3">
        <f>IF($N18="",0,$X18)</f>
        <v/>
      </c>
      <c r="S18" s="3" t="n">
        <v>0</v>
      </c>
      <c r="T18" s="3">
        <f>IF($N18="",10000000000,$N18*100000+$M18)</f>
        <v/>
      </c>
      <c r="U18" s="3">
        <f>$AB$4</f>
        <v/>
      </c>
      <c r="V18" s="3" t="n">
        <v>6</v>
      </c>
      <c r="W18" s="3">
        <f>IF($U18=0,"",IF(INDEX(UCRETLER!$D$7:$D$406,$U18)="","",IF(INDEX(UCRETLER!$F$7:$F$406,$U18)="Aylık",EOMONTH(INDEX(UCRETLER!$D$7:$D$406,$U18),$V18-1),INDEX(UCRETLER!$D$7:$D$406,$U18)+MOD(SISTEM!$F$8-WEEKDAY(INDEX(UCRETLER!$D$7:$D$406,$U18),2),7)+7*($V18-1))))</f>
        <v/>
      </c>
      <c r="X18" s="3">
        <f>IF($U18=0,0,INDEX(UCRETLER!$G$7:$G$406,$U18))</f>
        <v/>
      </c>
      <c r="Y18" s="3">
        <f>IFERROR(SMALL($T$12:$T$372,ROW()-11),"")</f>
        <v/>
      </c>
      <c r="Z18" s="3">
        <f>IFERROR(MATCH($Y18,$T$12:$T$372,0),"")</f>
        <v/>
      </c>
      <c r="AA18" s="3" t="n"/>
      <c r="AB18" s="3" t="n"/>
      <c r="AC18" s="3" t="n"/>
    </row>
    <row r="19">
      <c r="A19" s="6" t="n"/>
      <c r="B19" s="158">
        <f>IF($C19="","",ROW()-11)</f>
        <v/>
      </c>
      <c r="C19" s="247">
        <f>IF($Z19="","",IF(INDEX($N$12:$N$372,$Z19)="","",INDEX($N$12:$N$372,$Z19)))</f>
        <v/>
      </c>
      <c r="D19" s="29">
        <f>IF($C19="","",INDEX($O$12:$O$372,$Z19))</f>
        <v/>
      </c>
      <c r="E19" s="158">
        <f>IF($C19="","",INDEX($P$12:$P$372,$Z19))</f>
        <v/>
      </c>
      <c r="F19" s="29">
        <f>IF($C19="","",INDEX($Q$12:$Q$372,$Z19))</f>
        <v/>
      </c>
      <c r="G19" s="248">
        <f>IF($C19="","",INDEX($R$12:$R$372,$Z19))</f>
        <v/>
      </c>
      <c r="H19" s="248">
        <f>IF($C19="","",INDEX($S$12:$S$372,$Z19))</f>
        <v/>
      </c>
      <c r="I19" s="248">
        <f>IF($C19="","",N($I18)+$G19-$H19)</f>
        <v/>
      </c>
      <c r="J19" s="6" t="n"/>
      <c r="K19" s="6" t="n"/>
      <c r="L19" s="3" t="n"/>
      <c r="M19" s="3" t="n">
        <v>8</v>
      </c>
      <c r="N19" s="3">
        <f>IF(OR($U19=0,$W19="",$X19&lt;=0),"",IF($W19&gt;TODAY(),"",IF(AND(INDEX(UCRETLER!$E$7:$E$406,$U19)&lt;&gt;"",$W19&gt;INDEX(UCRETLER!$E$7:$E$406,$U19)),"",$W19)))</f>
        <v/>
      </c>
      <c r="O19" s="3">
        <f>IF($N19="","",IF(INDEX(UCRETLER!$F$7:$F$406,$U19)="Aylık",TEXT($N19,"mmmm yyyy")&amp;" aylık muhasebe hizmet ücreti",TEXT($N19,"dd.mm.yyyy")&amp;" haftalık muhasebe hizmet ücreti"))</f>
        <v/>
      </c>
      <c r="P19" s="3">
        <f>IF($N19="","","TAHAKKUK")</f>
        <v/>
      </c>
      <c r="Q19" s="3">
        <f>IF($N19="","","600 Muhasebe Hizmet Geliri")</f>
        <v/>
      </c>
      <c r="R19" s="3">
        <f>IF($N19="",0,$X19)</f>
        <v/>
      </c>
      <c r="S19" s="3" t="n">
        <v>0</v>
      </c>
      <c r="T19" s="3">
        <f>IF($N19="",10000000000,$N19*100000+$M19)</f>
        <v/>
      </c>
      <c r="U19" s="3">
        <f>$AB$4</f>
        <v/>
      </c>
      <c r="V19" s="3" t="n">
        <v>7</v>
      </c>
      <c r="W19" s="3">
        <f>IF($U19=0,"",IF(INDEX(UCRETLER!$D$7:$D$406,$U19)="","",IF(INDEX(UCRETLER!$F$7:$F$406,$U19)="Aylık",EOMONTH(INDEX(UCRETLER!$D$7:$D$406,$U19),$V19-1),INDEX(UCRETLER!$D$7:$D$406,$U19)+MOD(SISTEM!$F$8-WEEKDAY(INDEX(UCRETLER!$D$7:$D$406,$U19),2),7)+7*($V19-1))))</f>
        <v/>
      </c>
      <c r="X19" s="3">
        <f>IF($U19=0,0,INDEX(UCRETLER!$G$7:$G$406,$U19))</f>
        <v/>
      </c>
      <c r="Y19" s="3">
        <f>IFERROR(SMALL($T$12:$T$372,ROW()-11),"")</f>
        <v/>
      </c>
      <c r="Z19" s="3">
        <f>IFERROR(MATCH($Y19,$T$12:$T$372,0),"")</f>
        <v/>
      </c>
      <c r="AA19" s="3" t="n"/>
      <c r="AB19" s="3" t="n"/>
      <c r="AC19" s="3" t="n"/>
    </row>
    <row r="20">
      <c r="A20" s="6" t="n"/>
      <c r="B20" s="158">
        <f>IF($C20="","",ROW()-11)</f>
        <v/>
      </c>
      <c r="C20" s="247">
        <f>IF($Z20="","",IF(INDEX($N$12:$N$372,$Z20)="","",INDEX($N$12:$N$372,$Z20)))</f>
        <v/>
      </c>
      <c r="D20" s="29">
        <f>IF($C20="","",INDEX($O$12:$O$372,$Z20))</f>
        <v/>
      </c>
      <c r="E20" s="158">
        <f>IF($C20="","",INDEX($P$12:$P$372,$Z20))</f>
        <v/>
      </c>
      <c r="F20" s="29">
        <f>IF($C20="","",INDEX($Q$12:$Q$372,$Z20))</f>
        <v/>
      </c>
      <c r="G20" s="248">
        <f>IF($C20="","",INDEX($R$12:$R$372,$Z20))</f>
        <v/>
      </c>
      <c r="H20" s="248">
        <f>IF($C20="","",INDEX($S$12:$S$372,$Z20))</f>
        <v/>
      </c>
      <c r="I20" s="248">
        <f>IF($C20="","",N($I19)+$G20-$H20)</f>
        <v/>
      </c>
      <c r="J20" s="6" t="n"/>
      <c r="K20" s="6" t="n"/>
      <c r="L20" s="3" t="n"/>
      <c r="M20" s="3" t="n">
        <v>9</v>
      </c>
      <c r="N20" s="3">
        <f>IF(OR($U20=0,$W20="",$X20&lt;=0),"",IF($W20&gt;TODAY(),"",IF(AND(INDEX(UCRETLER!$E$7:$E$406,$U20)&lt;&gt;"",$W20&gt;INDEX(UCRETLER!$E$7:$E$406,$U20)),"",$W20)))</f>
        <v/>
      </c>
      <c r="O20" s="3">
        <f>IF($N20="","",IF(INDEX(UCRETLER!$F$7:$F$406,$U20)="Aylık",TEXT($N20,"mmmm yyyy")&amp;" aylık muhasebe hizmet ücreti",TEXT($N20,"dd.mm.yyyy")&amp;" haftalık muhasebe hizmet ücreti"))</f>
        <v/>
      </c>
      <c r="P20" s="3">
        <f>IF($N20="","","TAHAKKUK")</f>
        <v/>
      </c>
      <c r="Q20" s="3">
        <f>IF($N20="","","600 Muhasebe Hizmet Geliri")</f>
        <v/>
      </c>
      <c r="R20" s="3">
        <f>IF($N20="",0,$X20)</f>
        <v/>
      </c>
      <c r="S20" s="3" t="n">
        <v>0</v>
      </c>
      <c r="T20" s="3">
        <f>IF($N20="",10000000000,$N20*100000+$M20)</f>
        <v/>
      </c>
      <c r="U20" s="3">
        <f>$AB$4</f>
        <v/>
      </c>
      <c r="V20" s="3" t="n">
        <v>8</v>
      </c>
      <c r="W20" s="3">
        <f>IF($U20=0,"",IF(INDEX(UCRETLER!$D$7:$D$406,$U20)="","",IF(INDEX(UCRETLER!$F$7:$F$406,$U20)="Aylık",EOMONTH(INDEX(UCRETLER!$D$7:$D$406,$U20),$V20-1),INDEX(UCRETLER!$D$7:$D$406,$U20)+MOD(SISTEM!$F$8-WEEKDAY(INDEX(UCRETLER!$D$7:$D$406,$U20),2),7)+7*($V20-1))))</f>
        <v/>
      </c>
      <c r="X20" s="3">
        <f>IF($U20=0,0,INDEX(UCRETLER!$G$7:$G$406,$U20))</f>
        <v/>
      </c>
      <c r="Y20" s="3">
        <f>IFERROR(SMALL($T$12:$T$372,ROW()-11),"")</f>
        <v/>
      </c>
      <c r="Z20" s="3">
        <f>IFERROR(MATCH($Y20,$T$12:$T$372,0),"")</f>
        <v/>
      </c>
      <c r="AA20" s="3" t="n"/>
      <c r="AB20" s="3" t="n"/>
      <c r="AC20" s="3" t="n"/>
    </row>
    <row r="21">
      <c r="A21" s="6" t="n"/>
      <c r="B21" s="158">
        <f>IF($C21="","",ROW()-11)</f>
        <v/>
      </c>
      <c r="C21" s="247">
        <f>IF($Z21="","",IF(INDEX($N$12:$N$372,$Z21)="","",INDEX($N$12:$N$372,$Z21)))</f>
        <v/>
      </c>
      <c r="D21" s="29">
        <f>IF($C21="","",INDEX($O$12:$O$372,$Z21))</f>
        <v/>
      </c>
      <c r="E21" s="158">
        <f>IF($C21="","",INDEX($P$12:$P$372,$Z21))</f>
        <v/>
      </c>
      <c r="F21" s="29">
        <f>IF($C21="","",INDEX($Q$12:$Q$372,$Z21))</f>
        <v/>
      </c>
      <c r="G21" s="248">
        <f>IF($C21="","",INDEX($R$12:$R$372,$Z21))</f>
        <v/>
      </c>
      <c r="H21" s="248">
        <f>IF($C21="","",INDEX($S$12:$S$372,$Z21))</f>
        <v/>
      </c>
      <c r="I21" s="248">
        <f>IF($C21="","",N($I20)+$G21-$H21)</f>
        <v/>
      </c>
      <c r="J21" s="6" t="n"/>
      <c r="K21" s="6" t="n"/>
      <c r="L21" s="3" t="n"/>
      <c r="M21" s="3" t="n">
        <v>10</v>
      </c>
      <c r="N21" s="3">
        <f>IF(OR($U21=0,$W21="",$X21&lt;=0),"",IF($W21&gt;TODAY(),"",IF(AND(INDEX(UCRETLER!$E$7:$E$406,$U21)&lt;&gt;"",$W21&gt;INDEX(UCRETLER!$E$7:$E$406,$U21)),"",$W21)))</f>
        <v/>
      </c>
      <c r="O21" s="3">
        <f>IF($N21="","",IF(INDEX(UCRETLER!$F$7:$F$406,$U21)="Aylık",TEXT($N21,"mmmm yyyy")&amp;" aylık muhasebe hizmet ücreti",TEXT($N21,"dd.mm.yyyy")&amp;" haftalık muhasebe hizmet ücreti"))</f>
        <v/>
      </c>
      <c r="P21" s="3">
        <f>IF($N21="","","TAHAKKUK")</f>
        <v/>
      </c>
      <c r="Q21" s="3">
        <f>IF($N21="","","600 Muhasebe Hizmet Geliri")</f>
        <v/>
      </c>
      <c r="R21" s="3">
        <f>IF($N21="",0,$X21)</f>
        <v/>
      </c>
      <c r="S21" s="3" t="n">
        <v>0</v>
      </c>
      <c r="T21" s="3">
        <f>IF($N21="",10000000000,$N21*100000+$M21)</f>
        <v/>
      </c>
      <c r="U21" s="3">
        <f>$AB$4</f>
        <v/>
      </c>
      <c r="V21" s="3" t="n">
        <v>9</v>
      </c>
      <c r="W21" s="3">
        <f>IF($U21=0,"",IF(INDEX(UCRETLER!$D$7:$D$406,$U21)="","",IF(INDEX(UCRETLER!$F$7:$F$406,$U21)="Aylık",EOMONTH(INDEX(UCRETLER!$D$7:$D$406,$U21),$V21-1),INDEX(UCRETLER!$D$7:$D$406,$U21)+MOD(SISTEM!$F$8-WEEKDAY(INDEX(UCRETLER!$D$7:$D$406,$U21),2),7)+7*($V21-1))))</f>
        <v/>
      </c>
      <c r="X21" s="3">
        <f>IF($U21=0,0,INDEX(UCRETLER!$G$7:$G$406,$U21))</f>
        <v/>
      </c>
      <c r="Y21" s="3">
        <f>IFERROR(SMALL($T$12:$T$372,ROW()-11),"")</f>
        <v/>
      </c>
      <c r="Z21" s="3">
        <f>IFERROR(MATCH($Y21,$T$12:$T$372,0),"")</f>
        <v/>
      </c>
      <c r="AA21" s="3" t="n"/>
      <c r="AB21" s="3" t="n"/>
      <c r="AC21" s="3" t="n"/>
    </row>
    <row r="22">
      <c r="A22" s="6" t="n"/>
      <c r="B22" s="158">
        <f>IF($C22="","",ROW()-11)</f>
        <v/>
      </c>
      <c r="C22" s="247">
        <f>IF($Z22="","",IF(INDEX($N$12:$N$372,$Z22)="","",INDEX($N$12:$N$372,$Z22)))</f>
        <v/>
      </c>
      <c r="D22" s="29">
        <f>IF($C22="","",INDEX($O$12:$O$372,$Z22))</f>
        <v/>
      </c>
      <c r="E22" s="158">
        <f>IF($C22="","",INDEX($P$12:$P$372,$Z22))</f>
        <v/>
      </c>
      <c r="F22" s="29">
        <f>IF($C22="","",INDEX($Q$12:$Q$372,$Z22))</f>
        <v/>
      </c>
      <c r="G22" s="248">
        <f>IF($C22="","",INDEX($R$12:$R$372,$Z22))</f>
        <v/>
      </c>
      <c r="H22" s="248">
        <f>IF($C22="","",INDEX($S$12:$S$372,$Z22))</f>
        <v/>
      </c>
      <c r="I22" s="248">
        <f>IF($C22="","",N($I21)+$G22-$H22)</f>
        <v/>
      </c>
      <c r="J22" s="6" t="n"/>
      <c r="K22" s="6" t="n"/>
      <c r="L22" s="3" t="n"/>
      <c r="M22" s="3" t="n">
        <v>11</v>
      </c>
      <c r="N22" s="3">
        <f>IF(OR($U22=0,$W22="",$X22&lt;=0),"",IF($W22&gt;TODAY(),"",IF(AND(INDEX(UCRETLER!$E$7:$E$406,$U22)&lt;&gt;"",$W22&gt;INDEX(UCRETLER!$E$7:$E$406,$U22)),"",$W22)))</f>
        <v/>
      </c>
      <c r="O22" s="3">
        <f>IF($N22="","",IF(INDEX(UCRETLER!$F$7:$F$406,$U22)="Aylık",TEXT($N22,"mmmm yyyy")&amp;" aylık muhasebe hizmet ücreti",TEXT($N22,"dd.mm.yyyy")&amp;" haftalık muhasebe hizmet ücreti"))</f>
        <v/>
      </c>
      <c r="P22" s="3">
        <f>IF($N22="","","TAHAKKUK")</f>
        <v/>
      </c>
      <c r="Q22" s="3">
        <f>IF($N22="","","600 Muhasebe Hizmet Geliri")</f>
        <v/>
      </c>
      <c r="R22" s="3">
        <f>IF($N22="",0,$X22)</f>
        <v/>
      </c>
      <c r="S22" s="3" t="n">
        <v>0</v>
      </c>
      <c r="T22" s="3">
        <f>IF($N22="",10000000000,$N22*100000+$M22)</f>
        <v/>
      </c>
      <c r="U22" s="3">
        <f>$AB$4</f>
        <v/>
      </c>
      <c r="V22" s="3" t="n">
        <v>10</v>
      </c>
      <c r="W22" s="3">
        <f>IF($U22=0,"",IF(INDEX(UCRETLER!$D$7:$D$406,$U22)="","",IF(INDEX(UCRETLER!$F$7:$F$406,$U22)="Aylık",EOMONTH(INDEX(UCRETLER!$D$7:$D$406,$U22),$V22-1),INDEX(UCRETLER!$D$7:$D$406,$U22)+MOD(SISTEM!$F$8-WEEKDAY(INDEX(UCRETLER!$D$7:$D$406,$U22),2),7)+7*($V22-1))))</f>
        <v/>
      </c>
      <c r="X22" s="3">
        <f>IF($U22=0,0,INDEX(UCRETLER!$G$7:$G$406,$U22))</f>
        <v/>
      </c>
      <c r="Y22" s="3">
        <f>IFERROR(SMALL($T$12:$T$372,ROW()-11),"")</f>
        <v/>
      </c>
      <c r="Z22" s="3">
        <f>IFERROR(MATCH($Y22,$T$12:$T$372,0),"")</f>
        <v/>
      </c>
      <c r="AA22" s="3" t="n"/>
      <c r="AB22" s="3" t="n"/>
      <c r="AC22" s="3" t="n"/>
    </row>
    <row r="23">
      <c r="A23" s="6" t="n"/>
      <c r="B23" s="158">
        <f>IF($C23="","",ROW()-11)</f>
        <v/>
      </c>
      <c r="C23" s="247">
        <f>IF($Z23="","",IF(INDEX($N$12:$N$372,$Z23)="","",INDEX($N$12:$N$372,$Z23)))</f>
        <v/>
      </c>
      <c r="D23" s="29">
        <f>IF($C23="","",INDEX($O$12:$O$372,$Z23))</f>
        <v/>
      </c>
      <c r="E23" s="158">
        <f>IF($C23="","",INDEX($P$12:$P$372,$Z23))</f>
        <v/>
      </c>
      <c r="F23" s="29">
        <f>IF($C23="","",INDEX($Q$12:$Q$372,$Z23))</f>
        <v/>
      </c>
      <c r="G23" s="248">
        <f>IF($C23="","",INDEX($R$12:$R$372,$Z23))</f>
        <v/>
      </c>
      <c r="H23" s="248">
        <f>IF($C23="","",INDEX($S$12:$S$372,$Z23))</f>
        <v/>
      </c>
      <c r="I23" s="248">
        <f>IF($C23="","",N($I22)+$G23-$H23)</f>
        <v/>
      </c>
      <c r="J23" s="6" t="n"/>
      <c r="K23" s="6" t="n"/>
      <c r="L23" s="3" t="n"/>
      <c r="M23" s="3" t="n">
        <v>12</v>
      </c>
      <c r="N23" s="3">
        <f>IF(OR($U23=0,$W23="",$X23&lt;=0),"",IF($W23&gt;TODAY(),"",IF(AND(INDEX(UCRETLER!$E$7:$E$406,$U23)&lt;&gt;"",$W23&gt;INDEX(UCRETLER!$E$7:$E$406,$U23)),"",$W23)))</f>
        <v/>
      </c>
      <c r="O23" s="3">
        <f>IF($N23="","",IF(INDEX(UCRETLER!$F$7:$F$406,$U23)="Aylık",TEXT($N23,"mmmm yyyy")&amp;" aylık muhasebe hizmet ücreti",TEXT($N23,"dd.mm.yyyy")&amp;" haftalık muhasebe hizmet ücreti"))</f>
        <v/>
      </c>
      <c r="P23" s="3">
        <f>IF($N23="","","TAHAKKUK")</f>
        <v/>
      </c>
      <c r="Q23" s="3">
        <f>IF($N23="","","600 Muhasebe Hizmet Geliri")</f>
        <v/>
      </c>
      <c r="R23" s="3">
        <f>IF($N23="",0,$X23)</f>
        <v/>
      </c>
      <c r="S23" s="3" t="n">
        <v>0</v>
      </c>
      <c r="T23" s="3">
        <f>IF($N23="",10000000000,$N23*100000+$M23)</f>
        <v/>
      </c>
      <c r="U23" s="3">
        <f>$AB$4</f>
        <v/>
      </c>
      <c r="V23" s="3" t="n">
        <v>11</v>
      </c>
      <c r="W23" s="3">
        <f>IF($U23=0,"",IF(INDEX(UCRETLER!$D$7:$D$406,$U23)="","",IF(INDEX(UCRETLER!$F$7:$F$406,$U23)="Aylık",EOMONTH(INDEX(UCRETLER!$D$7:$D$406,$U23),$V23-1),INDEX(UCRETLER!$D$7:$D$406,$U23)+MOD(SISTEM!$F$8-WEEKDAY(INDEX(UCRETLER!$D$7:$D$406,$U23),2),7)+7*($V23-1))))</f>
        <v/>
      </c>
      <c r="X23" s="3">
        <f>IF($U23=0,0,INDEX(UCRETLER!$G$7:$G$406,$U23))</f>
        <v/>
      </c>
      <c r="Y23" s="3">
        <f>IFERROR(SMALL($T$12:$T$372,ROW()-11),"")</f>
        <v/>
      </c>
      <c r="Z23" s="3">
        <f>IFERROR(MATCH($Y23,$T$12:$T$372,0),"")</f>
        <v/>
      </c>
      <c r="AA23" s="3" t="n"/>
      <c r="AB23" s="3" t="n"/>
      <c r="AC23" s="3" t="n"/>
    </row>
    <row r="24">
      <c r="A24" s="6" t="n"/>
      <c r="B24" s="158">
        <f>IF($C24="","",ROW()-11)</f>
        <v/>
      </c>
      <c r="C24" s="247">
        <f>IF($Z24="","",IF(INDEX($N$12:$N$372,$Z24)="","",INDEX($N$12:$N$372,$Z24)))</f>
        <v/>
      </c>
      <c r="D24" s="29">
        <f>IF($C24="","",INDEX($O$12:$O$372,$Z24))</f>
        <v/>
      </c>
      <c r="E24" s="158">
        <f>IF($C24="","",INDEX($P$12:$P$372,$Z24))</f>
        <v/>
      </c>
      <c r="F24" s="29">
        <f>IF($C24="","",INDEX($Q$12:$Q$372,$Z24))</f>
        <v/>
      </c>
      <c r="G24" s="248">
        <f>IF($C24="","",INDEX($R$12:$R$372,$Z24))</f>
        <v/>
      </c>
      <c r="H24" s="248">
        <f>IF($C24="","",INDEX($S$12:$S$372,$Z24))</f>
        <v/>
      </c>
      <c r="I24" s="248">
        <f>IF($C24="","",N($I23)+$G24-$H24)</f>
        <v/>
      </c>
      <c r="J24" s="6" t="n"/>
      <c r="K24" s="6" t="n"/>
      <c r="L24" s="3" t="n"/>
      <c r="M24" s="3" t="n">
        <v>13</v>
      </c>
      <c r="N24" s="3">
        <f>IF(OR($U24=0,$W24="",$X24&lt;=0),"",IF($W24&gt;TODAY(),"",IF(AND(INDEX(UCRETLER!$E$7:$E$406,$U24)&lt;&gt;"",$W24&gt;INDEX(UCRETLER!$E$7:$E$406,$U24)),"",$W24)))</f>
        <v/>
      </c>
      <c r="O24" s="3">
        <f>IF($N24="","",IF(INDEX(UCRETLER!$F$7:$F$406,$U24)="Aylık",TEXT($N24,"mmmm yyyy")&amp;" aylık muhasebe hizmet ücreti",TEXT($N24,"dd.mm.yyyy")&amp;" haftalık muhasebe hizmet ücreti"))</f>
        <v/>
      </c>
      <c r="P24" s="3">
        <f>IF($N24="","","TAHAKKUK")</f>
        <v/>
      </c>
      <c r="Q24" s="3">
        <f>IF($N24="","","600 Muhasebe Hizmet Geliri")</f>
        <v/>
      </c>
      <c r="R24" s="3">
        <f>IF($N24="",0,$X24)</f>
        <v/>
      </c>
      <c r="S24" s="3" t="n">
        <v>0</v>
      </c>
      <c r="T24" s="3">
        <f>IF($N24="",10000000000,$N24*100000+$M24)</f>
        <v/>
      </c>
      <c r="U24" s="3">
        <f>$AB$4</f>
        <v/>
      </c>
      <c r="V24" s="3" t="n">
        <v>12</v>
      </c>
      <c r="W24" s="3">
        <f>IF($U24=0,"",IF(INDEX(UCRETLER!$D$7:$D$406,$U24)="","",IF(INDEX(UCRETLER!$F$7:$F$406,$U24)="Aylık",EOMONTH(INDEX(UCRETLER!$D$7:$D$406,$U24),$V24-1),INDEX(UCRETLER!$D$7:$D$406,$U24)+MOD(SISTEM!$F$8-WEEKDAY(INDEX(UCRETLER!$D$7:$D$406,$U24),2),7)+7*($V24-1))))</f>
        <v/>
      </c>
      <c r="X24" s="3">
        <f>IF($U24=0,0,INDEX(UCRETLER!$G$7:$G$406,$U24))</f>
        <v/>
      </c>
      <c r="Y24" s="3">
        <f>IFERROR(SMALL($T$12:$T$372,ROW()-11),"")</f>
        <v/>
      </c>
      <c r="Z24" s="3">
        <f>IFERROR(MATCH($Y24,$T$12:$T$372,0),"")</f>
        <v/>
      </c>
      <c r="AA24" s="3" t="n"/>
      <c r="AB24" s="3" t="n"/>
      <c r="AC24" s="3" t="n"/>
    </row>
    <row r="25">
      <c r="A25" s="6" t="n"/>
      <c r="B25" s="158">
        <f>IF($C25="","",ROW()-11)</f>
        <v/>
      </c>
      <c r="C25" s="247">
        <f>IF($Z25="","",IF(INDEX($N$12:$N$372,$Z25)="","",INDEX($N$12:$N$372,$Z25)))</f>
        <v/>
      </c>
      <c r="D25" s="29">
        <f>IF($C25="","",INDEX($O$12:$O$372,$Z25))</f>
        <v/>
      </c>
      <c r="E25" s="158">
        <f>IF($C25="","",INDEX($P$12:$P$372,$Z25))</f>
        <v/>
      </c>
      <c r="F25" s="29">
        <f>IF($C25="","",INDEX($Q$12:$Q$372,$Z25))</f>
        <v/>
      </c>
      <c r="G25" s="248">
        <f>IF($C25="","",INDEX($R$12:$R$372,$Z25))</f>
        <v/>
      </c>
      <c r="H25" s="248">
        <f>IF($C25="","",INDEX($S$12:$S$372,$Z25))</f>
        <v/>
      </c>
      <c r="I25" s="248">
        <f>IF($C25="","",N($I24)+$G25-$H25)</f>
        <v/>
      </c>
      <c r="J25" s="6" t="n"/>
      <c r="K25" s="6" t="n"/>
      <c r="L25" s="3" t="n"/>
      <c r="M25" s="3" t="n">
        <v>14</v>
      </c>
      <c r="N25" s="3">
        <f>IF(OR($U25=0,$W25="",$X25&lt;=0),"",IF($W25&gt;TODAY(),"",IF(AND(INDEX(UCRETLER!$E$7:$E$406,$U25)&lt;&gt;"",$W25&gt;INDEX(UCRETLER!$E$7:$E$406,$U25)),"",$W25)))</f>
        <v/>
      </c>
      <c r="O25" s="3">
        <f>IF($N25="","",IF(INDEX(UCRETLER!$F$7:$F$406,$U25)="Aylık",TEXT($N25,"mmmm yyyy")&amp;" aylık muhasebe hizmet ücreti",TEXT($N25,"dd.mm.yyyy")&amp;" haftalık muhasebe hizmet ücreti"))</f>
        <v/>
      </c>
      <c r="P25" s="3">
        <f>IF($N25="","","TAHAKKUK")</f>
        <v/>
      </c>
      <c r="Q25" s="3">
        <f>IF($N25="","","600 Muhasebe Hizmet Geliri")</f>
        <v/>
      </c>
      <c r="R25" s="3">
        <f>IF($N25="",0,$X25)</f>
        <v/>
      </c>
      <c r="S25" s="3" t="n">
        <v>0</v>
      </c>
      <c r="T25" s="3">
        <f>IF($N25="",10000000000,$N25*100000+$M25)</f>
        <v/>
      </c>
      <c r="U25" s="3">
        <f>$AB$4</f>
        <v/>
      </c>
      <c r="V25" s="3" t="n">
        <v>13</v>
      </c>
      <c r="W25" s="3">
        <f>IF($U25=0,"",IF(INDEX(UCRETLER!$D$7:$D$406,$U25)="","",IF(INDEX(UCRETLER!$F$7:$F$406,$U25)="Aylık",EOMONTH(INDEX(UCRETLER!$D$7:$D$406,$U25),$V25-1),INDEX(UCRETLER!$D$7:$D$406,$U25)+MOD(SISTEM!$F$8-WEEKDAY(INDEX(UCRETLER!$D$7:$D$406,$U25),2),7)+7*($V25-1))))</f>
        <v/>
      </c>
      <c r="X25" s="3">
        <f>IF($U25=0,0,INDEX(UCRETLER!$G$7:$G$406,$U25))</f>
        <v/>
      </c>
      <c r="Y25" s="3">
        <f>IFERROR(SMALL($T$12:$T$372,ROW()-11),"")</f>
        <v/>
      </c>
      <c r="Z25" s="3">
        <f>IFERROR(MATCH($Y25,$T$12:$T$372,0),"")</f>
        <v/>
      </c>
      <c r="AA25" s="3" t="n"/>
      <c r="AB25" s="3" t="n"/>
      <c r="AC25" s="3" t="n"/>
    </row>
    <row r="26">
      <c r="A26" s="6" t="n"/>
      <c r="B26" s="158">
        <f>IF($C26="","",ROW()-11)</f>
        <v/>
      </c>
      <c r="C26" s="247">
        <f>IF($Z26="","",IF(INDEX($N$12:$N$372,$Z26)="","",INDEX($N$12:$N$372,$Z26)))</f>
        <v/>
      </c>
      <c r="D26" s="29">
        <f>IF($C26="","",INDEX($O$12:$O$372,$Z26))</f>
        <v/>
      </c>
      <c r="E26" s="158">
        <f>IF($C26="","",INDEX($P$12:$P$372,$Z26))</f>
        <v/>
      </c>
      <c r="F26" s="29">
        <f>IF($C26="","",INDEX($Q$12:$Q$372,$Z26))</f>
        <v/>
      </c>
      <c r="G26" s="248">
        <f>IF($C26="","",INDEX($R$12:$R$372,$Z26))</f>
        <v/>
      </c>
      <c r="H26" s="248">
        <f>IF($C26="","",INDEX($S$12:$S$372,$Z26))</f>
        <v/>
      </c>
      <c r="I26" s="248">
        <f>IF($C26="","",N($I25)+$G26-$H26)</f>
        <v/>
      </c>
      <c r="J26" s="6" t="n"/>
      <c r="K26" s="6" t="n"/>
      <c r="L26" s="3" t="n"/>
      <c r="M26" s="3" t="n">
        <v>15</v>
      </c>
      <c r="N26" s="3">
        <f>IF(OR($U26=0,$W26="",$X26&lt;=0),"",IF($W26&gt;TODAY(),"",IF(AND(INDEX(UCRETLER!$E$7:$E$406,$U26)&lt;&gt;"",$W26&gt;INDEX(UCRETLER!$E$7:$E$406,$U26)),"",$W26)))</f>
        <v/>
      </c>
      <c r="O26" s="3">
        <f>IF($N26="","",IF(INDEX(UCRETLER!$F$7:$F$406,$U26)="Aylık",TEXT($N26,"mmmm yyyy")&amp;" aylık muhasebe hizmet ücreti",TEXT($N26,"dd.mm.yyyy")&amp;" haftalık muhasebe hizmet ücreti"))</f>
        <v/>
      </c>
      <c r="P26" s="3">
        <f>IF($N26="","","TAHAKKUK")</f>
        <v/>
      </c>
      <c r="Q26" s="3">
        <f>IF($N26="","","600 Muhasebe Hizmet Geliri")</f>
        <v/>
      </c>
      <c r="R26" s="3">
        <f>IF($N26="",0,$X26)</f>
        <v/>
      </c>
      <c r="S26" s="3" t="n">
        <v>0</v>
      </c>
      <c r="T26" s="3">
        <f>IF($N26="",10000000000,$N26*100000+$M26)</f>
        <v/>
      </c>
      <c r="U26" s="3">
        <f>$AB$4</f>
        <v/>
      </c>
      <c r="V26" s="3" t="n">
        <v>14</v>
      </c>
      <c r="W26" s="3">
        <f>IF($U26=0,"",IF(INDEX(UCRETLER!$D$7:$D$406,$U26)="","",IF(INDEX(UCRETLER!$F$7:$F$406,$U26)="Aylık",EOMONTH(INDEX(UCRETLER!$D$7:$D$406,$U26),$V26-1),INDEX(UCRETLER!$D$7:$D$406,$U26)+MOD(SISTEM!$F$8-WEEKDAY(INDEX(UCRETLER!$D$7:$D$406,$U26),2),7)+7*($V26-1))))</f>
        <v/>
      </c>
      <c r="X26" s="3">
        <f>IF($U26=0,0,INDEX(UCRETLER!$G$7:$G$406,$U26))</f>
        <v/>
      </c>
      <c r="Y26" s="3">
        <f>IFERROR(SMALL($T$12:$T$372,ROW()-11),"")</f>
        <v/>
      </c>
      <c r="Z26" s="3">
        <f>IFERROR(MATCH($Y26,$T$12:$T$372,0),"")</f>
        <v/>
      </c>
      <c r="AA26" s="3" t="n"/>
      <c r="AB26" s="3" t="n"/>
      <c r="AC26" s="3" t="n"/>
    </row>
    <row r="27">
      <c r="A27" s="6" t="n"/>
      <c r="B27" s="158">
        <f>IF($C27="","",ROW()-11)</f>
        <v/>
      </c>
      <c r="C27" s="247">
        <f>IF($Z27="","",IF(INDEX($N$12:$N$372,$Z27)="","",INDEX($N$12:$N$372,$Z27)))</f>
        <v/>
      </c>
      <c r="D27" s="29">
        <f>IF($C27="","",INDEX($O$12:$O$372,$Z27))</f>
        <v/>
      </c>
      <c r="E27" s="158">
        <f>IF($C27="","",INDEX($P$12:$P$372,$Z27))</f>
        <v/>
      </c>
      <c r="F27" s="29">
        <f>IF($C27="","",INDEX($Q$12:$Q$372,$Z27))</f>
        <v/>
      </c>
      <c r="G27" s="248">
        <f>IF($C27="","",INDEX($R$12:$R$372,$Z27))</f>
        <v/>
      </c>
      <c r="H27" s="248">
        <f>IF($C27="","",INDEX($S$12:$S$372,$Z27))</f>
        <v/>
      </c>
      <c r="I27" s="248">
        <f>IF($C27="","",N($I26)+$G27-$H27)</f>
        <v/>
      </c>
      <c r="J27" s="6" t="n"/>
      <c r="K27" s="6" t="n"/>
      <c r="L27" s="3" t="n"/>
      <c r="M27" s="3" t="n">
        <v>16</v>
      </c>
      <c r="N27" s="3">
        <f>IF(OR($U27=0,$W27="",$X27&lt;=0),"",IF($W27&gt;TODAY(),"",IF(AND(INDEX(UCRETLER!$E$7:$E$406,$U27)&lt;&gt;"",$W27&gt;INDEX(UCRETLER!$E$7:$E$406,$U27)),"",$W27)))</f>
        <v/>
      </c>
      <c r="O27" s="3">
        <f>IF($N27="","",IF(INDEX(UCRETLER!$F$7:$F$406,$U27)="Aylık",TEXT($N27,"mmmm yyyy")&amp;" aylık muhasebe hizmet ücreti",TEXT($N27,"dd.mm.yyyy")&amp;" haftalık muhasebe hizmet ücreti"))</f>
        <v/>
      </c>
      <c r="P27" s="3">
        <f>IF($N27="","","TAHAKKUK")</f>
        <v/>
      </c>
      <c r="Q27" s="3">
        <f>IF($N27="","","600 Muhasebe Hizmet Geliri")</f>
        <v/>
      </c>
      <c r="R27" s="3">
        <f>IF($N27="",0,$X27)</f>
        <v/>
      </c>
      <c r="S27" s="3" t="n">
        <v>0</v>
      </c>
      <c r="T27" s="3">
        <f>IF($N27="",10000000000,$N27*100000+$M27)</f>
        <v/>
      </c>
      <c r="U27" s="3">
        <f>$AB$4</f>
        <v/>
      </c>
      <c r="V27" s="3" t="n">
        <v>15</v>
      </c>
      <c r="W27" s="3">
        <f>IF($U27=0,"",IF(INDEX(UCRETLER!$D$7:$D$406,$U27)="","",IF(INDEX(UCRETLER!$F$7:$F$406,$U27)="Aylık",EOMONTH(INDEX(UCRETLER!$D$7:$D$406,$U27),$V27-1),INDEX(UCRETLER!$D$7:$D$406,$U27)+MOD(SISTEM!$F$8-WEEKDAY(INDEX(UCRETLER!$D$7:$D$406,$U27),2),7)+7*($V27-1))))</f>
        <v/>
      </c>
      <c r="X27" s="3">
        <f>IF($U27=0,0,INDEX(UCRETLER!$G$7:$G$406,$U27))</f>
        <v/>
      </c>
      <c r="Y27" s="3">
        <f>IFERROR(SMALL($T$12:$T$372,ROW()-11),"")</f>
        <v/>
      </c>
      <c r="Z27" s="3">
        <f>IFERROR(MATCH($Y27,$T$12:$T$372,0),"")</f>
        <v/>
      </c>
      <c r="AA27" s="3" t="n"/>
      <c r="AB27" s="3" t="n"/>
      <c r="AC27" s="3" t="n"/>
    </row>
    <row r="28">
      <c r="A28" s="6" t="n"/>
      <c r="B28" s="158">
        <f>IF($C28="","",ROW()-11)</f>
        <v/>
      </c>
      <c r="C28" s="247">
        <f>IF($Z28="","",IF(INDEX($N$12:$N$372,$Z28)="","",INDEX($N$12:$N$372,$Z28)))</f>
        <v/>
      </c>
      <c r="D28" s="29">
        <f>IF($C28="","",INDEX($O$12:$O$372,$Z28))</f>
        <v/>
      </c>
      <c r="E28" s="158">
        <f>IF($C28="","",INDEX($P$12:$P$372,$Z28))</f>
        <v/>
      </c>
      <c r="F28" s="29">
        <f>IF($C28="","",INDEX($Q$12:$Q$372,$Z28))</f>
        <v/>
      </c>
      <c r="G28" s="248">
        <f>IF($C28="","",INDEX($R$12:$R$372,$Z28))</f>
        <v/>
      </c>
      <c r="H28" s="248">
        <f>IF($C28="","",INDEX($S$12:$S$372,$Z28))</f>
        <v/>
      </c>
      <c r="I28" s="248">
        <f>IF($C28="","",N($I27)+$G28-$H28)</f>
        <v/>
      </c>
      <c r="J28" s="6" t="n"/>
      <c r="K28" s="6" t="n"/>
      <c r="L28" s="3" t="n"/>
      <c r="M28" s="3" t="n">
        <v>17</v>
      </c>
      <c r="N28" s="3">
        <f>IF(OR($U28=0,$W28="",$X28&lt;=0),"",IF($W28&gt;TODAY(),"",IF(AND(INDEX(UCRETLER!$E$7:$E$406,$U28)&lt;&gt;"",$W28&gt;INDEX(UCRETLER!$E$7:$E$406,$U28)),"",$W28)))</f>
        <v/>
      </c>
      <c r="O28" s="3">
        <f>IF($N28="","",IF(INDEX(UCRETLER!$F$7:$F$406,$U28)="Aylık",TEXT($N28,"mmmm yyyy")&amp;" aylık muhasebe hizmet ücreti",TEXT($N28,"dd.mm.yyyy")&amp;" haftalık muhasebe hizmet ücreti"))</f>
        <v/>
      </c>
      <c r="P28" s="3">
        <f>IF($N28="","","TAHAKKUK")</f>
        <v/>
      </c>
      <c r="Q28" s="3">
        <f>IF($N28="","","600 Muhasebe Hizmet Geliri")</f>
        <v/>
      </c>
      <c r="R28" s="3">
        <f>IF($N28="",0,$X28)</f>
        <v/>
      </c>
      <c r="S28" s="3" t="n">
        <v>0</v>
      </c>
      <c r="T28" s="3">
        <f>IF($N28="",10000000000,$N28*100000+$M28)</f>
        <v/>
      </c>
      <c r="U28" s="3">
        <f>$AB$4</f>
        <v/>
      </c>
      <c r="V28" s="3" t="n">
        <v>16</v>
      </c>
      <c r="W28" s="3">
        <f>IF($U28=0,"",IF(INDEX(UCRETLER!$D$7:$D$406,$U28)="","",IF(INDEX(UCRETLER!$F$7:$F$406,$U28)="Aylık",EOMONTH(INDEX(UCRETLER!$D$7:$D$406,$U28),$V28-1),INDEX(UCRETLER!$D$7:$D$406,$U28)+MOD(SISTEM!$F$8-WEEKDAY(INDEX(UCRETLER!$D$7:$D$406,$U28),2),7)+7*($V28-1))))</f>
        <v/>
      </c>
      <c r="X28" s="3">
        <f>IF($U28=0,0,INDEX(UCRETLER!$G$7:$G$406,$U28))</f>
        <v/>
      </c>
      <c r="Y28" s="3">
        <f>IFERROR(SMALL($T$12:$T$372,ROW()-11),"")</f>
        <v/>
      </c>
      <c r="Z28" s="3">
        <f>IFERROR(MATCH($Y28,$T$12:$T$372,0),"")</f>
        <v/>
      </c>
      <c r="AA28" s="3" t="n"/>
      <c r="AB28" s="3" t="n"/>
      <c r="AC28" s="3" t="n"/>
    </row>
    <row r="29">
      <c r="A29" s="6" t="n"/>
      <c r="B29" s="158">
        <f>IF($C29="","",ROW()-11)</f>
        <v/>
      </c>
      <c r="C29" s="247">
        <f>IF($Z29="","",IF(INDEX($N$12:$N$372,$Z29)="","",INDEX($N$12:$N$372,$Z29)))</f>
        <v/>
      </c>
      <c r="D29" s="29">
        <f>IF($C29="","",INDEX($O$12:$O$372,$Z29))</f>
        <v/>
      </c>
      <c r="E29" s="158">
        <f>IF($C29="","",INDEX($P$12:$P$372,$Z29))</f>
        <v/>
      </c>
      <c r="F29" s="29">
        <f>IF($C29="","",INDEX($Q$12:$Q$372,$Z29))</f>
        <v/>
      </c>
      <c r="G29" s="248">
        <f>IF($C29="","",INDEX($R$12:$R$372,$Z29))</f>
        <v/>
      </c>
      <c r="H29" s="248">
        <f>IF($C29="","",INDEX($S$12:$S$372,$Z29))</f>
        <v/>
      </c>
      <c r="I29" s="248">
        <f>IF($C29="","",N($I28)+$G29-$H29)</f>
        <v/>
      </c>
      <c r="J29" s="6" t="n"/>
      <c r="K29" s="6" t="n"/>
      <c r="L29" s="3" t="n"/>
      <c r="M29" s="3" t="n">
        <v>18</v>
      </c>
      <c r="N29" s="3">
        <f>IF(OR($U29=0,$W29="",$X29&lt;=0),"",IF($W29&gt;TODAY(),"",IF(AND(INDEX(UCRETLER!$E$7:$E$406,$U29)&lt;&gt;"",$W29&gt;INDEX(UCRETLER!$E$7:$E$406,$U29)),"",$W29)))</f>
        <v/>
      </c>
      <c r="O29" s="3">
        <f>IF($N29="","",IF(INDEX(UCRETLER!$F$7:$F$406,$U29)="Aylık",TEXT($N29,"mmmm yyyy")&amp;" aylık muhasebe hizmet ücreti",TEXT($N29,"dd.mm.yyyy")&amp;" haftalık muhasebe hizmet ücreti"))</f>
        <v/>
      </c>
      <c r="P29" s="3">
        <f>IF($N29="","","TAHAKKUK")</f>
        <v/>
      </c>
      <c r="Q29" s="3">
        <f>IF($N29="","","600 Muhasebe Hizmet Geliri")</f>
        <v/>
      </c>
      <c r="R29" s="3">
        <f>IF($N29="",0,$X29)</f>
        <v/>
      </c>
      <c r="S29" s="3" t="n">
        <v>0</v>
      </c>
      <c r="T29" s="3">
        <f>IF($N29="",10000000000,$N29*100000+$M29)</f>
        <v/>
      </c>
      <c r="U29" s="3">
        <f>$AB$4</f>
        <v/>
      </c>
      <c r="V29" s="3" t="n">
        <v>17</v>
      </c>
      <c r="W29" s="3">
        <f>IF($U29=0,"",IF(INDEX(UCRETLER!$D$7:$D$406,$U29)="","",IF(INDEX(UCRETLER!$F$7:$F$406,$U29)="Aylık",EOMONTH(INDEX(UCRETLER!$D$7:$D$406,$U29),$V29-1),INDEX(UCRETLER!$D$7:$D$406,$U29)+MOD(SISTEM!$F$8-WEEKDAY(INDEX(UCRETLER!$D$7:$D$406,$U29),2),7)+7*($V29-1))))</f>
        <v/>
      </c>
      <c r="X29" s="3">
        <f>IF($U29=0,0,INDEX(UCRETLER!$G$7:$G$406,$U29))</f>
        <v/>
      </c>
      <c r="Y29" s="3">
        <f>IFERROR(SMALL($T$12:$T$372,ROW()-11),"")</f>
        <v/>
      </c>
      <c r="Z29" s="3">
        <f>IFERROR(MATCH($Y29,$T$12:$T$372,0),"")</f>
        <v/>
      </c>
      <c r="AA29" s="3" t="n"/>
      <c r="AB29" s="3" t="n"/>
      <c r="AC29" s="3" t="n"/>
    </row>
    <row r="30">
      <c r="A30" s="6" t="n"/>
      <c r="B30" s="158">
        <f>IF($C30="","",ROW()-11)</f>
        <v/>
      </c>
      <c r="C30" s="247">
        <f>IF($Z30="","",IF(INDEX($N$12:$N$372,$Z30)="","",INDEX($N$12:$N$372,$Z30)))</f>
        <v/>
      </c>
      <c r="D30" s="29">
        <f>IF($C30="","",INDEX($O$12:$O$372,$Z30))</f>
        <v/>
      </c>
      <c r="E30" s="158">
        <f>IF($C30="","",INDEX($P$12:$P$372,$Z30))</f>
        <v/>
      </c>
      <c r="F30" s="29">
        <f>IF($C30="","",INDEX($Q$12:$Q$372,$Z30))</f>
        <v/>
      </c>
      <c r="G30" s="248">
        <f>IF($C30="","",INDEX($R$12:$R$372,$Z30))</f>
        <v/>
      </c>
      <c r="H30" s="248">
        <f>IF($C30="","",INDEX($S$12:$S$372,$Z30))</f>
        <v/>
      </c>
      <c r="I30" s="248">
        <f>IF($C30="","",N($I29)+$G30-$H30)</f>
        <v/>
      </c>
      <c r="J30" s="6" t="n"/>
      <c r="K30" s="6" t="n"/>
      <c r="L30" s="3" t="n"/>
      <c r="M30" s="3" t="n">
        <v>19</v>
      </c>
      <c r="N30" s="3">
        <f>IF(OR($U30=0,$W30="",$X30&lt;=0),"",IF($W30&gt;TODAY(),"",IF(AND(INDEX(UCRETLER!$E$7:$E$406,$U30)&lt;&gt;"",$W30&gt;INDEX(UCRETLER!$E$7:$E$406,$U30)),"",$W30)))</f>
        <v/>
      </c>
      <c r="O30" s="3">
        <f>IF($N30="","",IF(INDEX(UCRETLER!$F$7:$F$406,$U30)="Aylık",TEXT($N30,"mmmm yyyy")&amp;" aylık muhasebe hizmet ücreti",TEXT($N30,"dd.mm.yyyy")&amp;" haftalık muhasebe hizmet ücreti"))</f>
        <v/>
      </c>
      <c r="P30" s="3">
        <f>IF($N30="","","TAHAKKUK")</f>
        <v/>
      </c>
      <c r="Q30" s="3">
        <f>IF($N30="","","600 Muhasebe Hizmet Geliri")</f>
        <v/>
      </c>
      <c r="R30" s="3">
        <f>IF($N30="",0,$X30)</f>
        <v/>
      </c>
      <c r="S30" s="3" t="n">
        <v>0</v>
      </c>
      <c r="T30" s="3">
        <f>IF($N30="",10000000000,$N30*100000+$M30)</f>
        <v/>
      </c>
      <c r="U30" s="3">
        <f>$AB$4</f>
        <v/>
      </c>
      <c r="V30" s="3" t="n">
        <v>18</v>
      </c>
      <c r="W30" s="3">
        <f>IF($U30=0,"",IF(INDEX(UCRETLER!$D$7:$D$406,$U30)="","",IF(INDEX(UCRETLER!$F$7:$F$406,$U30)="Aylık",EOMONTH(INDEX(UCRETLER!$D$7:$D$406,$U30),$V30-1),INDEX(UCRETLER!$D$7:$D$406,$U30)+MOD(SISTEM!$F$8-WEEKDAY(INDEX(UCRETLER!$D$7:$D$406,$U30),2),7)+7*($V30-1))))</f>
        <v/>
      </c>
      <c r="X30" s="3">
        <f>IF($U30=0,0,INDEX(UCRETLER!$G$7:$G$406,$U30))</f>
        <v/>
      </c>
      <c r="Y30" s="3">
        <f>IFERROR(SMALL($T$12:$T$372,ROW()-11),"")</f>
        <v/>
      </c>
      <c r="Z30" s="3">
        <f>IFERROR(MATCH($Y30,$T$12:$T$372,0),"")</f>
        <v/>
      </c>
      <c r="AA30" s="3" t="n"/>
      <c r="AB30" s="3" t="n"/>
      <c r="AC30" s="3" t="n"/>
    </row>
    <row r="31">
      <c r="A31" s="6" t="n"/>
      <c r="B31" s="158">
        <f>IF($C31="","",ROW()-11)</f>
        <v/>
      </c>
      <c r="C31" s="247">
        <f>IF($Z31="","",IF(INDEX($N$12:$N$372,$Z31)="","",INDEX($N$12:$N$372,$Z31)))</f>
        <v/>
      </c>
      <c r="D31" s="29">
        <f>IF($C31="","",INDEX($O$12:$O$372,$Z31))</f>
        <v/>
      </c>
      <c r="E31" s="158">
        <f>IF($C31="","",INDEX($P$12:$P$372,$Z31))</f>
        <v/>
      </c>
      <c r="F31" s="29">
        <f>IF($C31="","",INDEX($Q$12:$Q$372,$Z31))</f>
        <v/>
      </c>
      <c r="G31" s="248">
        <f>IF($C31="","",INDEX($R$12:$R$372,$Z31))</f>
        <v/>
      </c>
      <c r="H31" s="248">
        <f>IF($C31="","",INDEX($S$12:$S$372,$Z31))</f>
        <v/>
      </c>
      <c r="I31" s="248">
        <f>IF($C31="","",N($I30)+$G31-$H31)</f>
        <v/>
      </c>
      <c r="J31" s="6" t="n"/>
      <c r="K31" s="6" t="n"/>
      <c r="L31" s="3" t="n"/>
      <c r="M31" s="3" t="n">
        <v>20</v>
      </c>
      <c r="N31" s="3">
        <f>IF(OR($U31=0,$W31="",$X31&lt;=0),"",IF($W31&gt;TODAY(),"",IF(AND(INDEX(UCRETLER!$E$7:$E$406,$U31)&lt;&gt;"",$W31&gt;INDEX(UCRETLER!$E$7:$E$406,$U31)),"",$W31)))</f>
        <v/>
      </c>
      <c r="O31" s="3">
        <f>IF($N31="","",IF(INDEX(UCRETLER!$F$7:$F$406,$U31)="Aylık",TEXT($N31,"mmmm yyyy")&amp;" aylık muhasebe hizmet ücreti",TEXT($N31,"dd.mm.yyyy")&amp;" haftalık muhasebe hizmet ücreti"))</f>
        <v/>
      </c>
      <c r="P31" s="3">
        <f>IF($N31="","","TAHAKKUK")</f>
        <v/>
      </c>
      <c r="Q31" s="3">
        <f>IF($N31="","","600 Muhasebe Hizmet Geliri")</f>
        <v/>
      </c>
      <c r="R31" s="3">
        <f>IF($N31="",0,$X31)</f>
        <v/>
      </c>
      <c r="S31" s="3" t="n">
        <v>0</v>
      </c>
      <c r="T31" s="3">
        <f>IF($N31="",10000000000,$N31*100000+$M31)</f>
        <v/>
      </c>
      <c r="U31" s="3">
        <f>$AB$4</f>
        <v/>
      </c>
      <c r="V31" s="3" t="n">
        <v>19</v>
      </c>
      <c r="W31" s="3">
        <f>IF($U31=0,"",IF(INDEX(UCRETLER!$D$7:$D$406,$U31)="","",IF(INDEX(UCRETLER!$F$7:$F$406,$U31)="Aylık",EOMONTH(INDEX(UCRETLER!$D$7:$D$406,$U31),$V31-1),INDEX(UCRETLER!$D$7:$D$406,$U31)+MOD(SISTEM!$F$8-WEEKDAY(INDEX(UCRETLER!$D$7:$D$406,$U31),2),7)+7*($V31-1))))</f>
        <v/>
      </c>
      <c r="X31" s="3">
        <f>IF($U31=0,0,INDEX(UCRETLER!$G$7:$G$406,$U31))</f>
        <v/>
      </c>
      <c r="Y31" s="3">
        <f>IFERROR(SMALL($T$12:$T$372,ROW()-11),"")</f>
        <v/>
      </c>
      <c r="Z31" s="3">
        <f>IFERROR(MATCH($Y31,$T$12:$T$372,0),"")</f>
        <v/>
      </c>
      <c r="AA31" s="3" t="n"/>
      <c r="AB31" s="3" t="n"/>
      <c r="AC31" s="3" t="n"/>
    </row>
    <row r="32">
      <c r="A32" s="6" t="n"/>
      <c r="B32" s="158">
        <f>IF($C32="","",ROW()-11)</f>
        <v/>
      </c>
      <c r="C32" s="247">
        <f>IF($Z32="","",IF(INDEX($N$12:$N$372,$Z32)="","",INDEX($N$12:$N$372,$Z32)))</f>
        <v/>
      </c>
      <c r="D32" s="29">
        <f>IF($C32="","",INDEX($O$12:$O$372,$Z32))</f>
        <v/>
      </c>
      <c r="E32" s="158">
        <f>IF($C32="","",INDEX($P$12:$P$372,$Z32))</f>
        <v/>
      </c>
      <c r="F32" s="29">
        <f>IF($C32="","",INDEX($Q$12:$Q$372,$Z32))</f>
        <v/>
      </c>
      <c r="G32" s="248">
        <f>IF($C32="","",INDEX($R$12:$R$372,$Z32))</f>
        <v/>
      </c>
      <c r="H32" s="248">
        <f>IF($C32="","",INDEX($S$12:$S$372,$Z32))</f>
        <v/>
      </c>
      <c r="I32" s="248">
        <f>IF($C32="","",N($I31)+$G32-$H32)</f>
        <v/>
      </c>
      <c r="J32" s="6" t="n"/>
      <c r="K32" s="6" t="n"/>
      <c r="L32" s="3" t="n"/>
      <c r="M32" s="3" t="n">
        <v>21</v>
      </c>
      <c r="N32" s="3">
        <f>IF(OR($U32=0,$W32="",$X32&lt;=0),"",IF($W32&gt;TODAY(),"",IF(AND(INDEX(UCRETLER!$E$7:$E$406,$U32)&lt;&gt;"",$W32&gt;INDEX(UCRETLER!$E$7:$E$406,$U32)),"",$W32)))</f>
        <v/>
      </c>
      <c r="O32" s="3">
        <f>IF($N32="","",IF(INDEX(UCRETLER!$F$7:$F$406,$U32)="Aylık",TEXT($N32,"mmmm yyyy")&amp;" aylık muhasebe hizmet ücreti",TEXT($N32,"dd.mm.yyyy")&amp;" haftalık muhasebe hizmet ücreti"))</f>
        <v/>
      </c>
      <c r="P32" s="3">
        <f>IF($N32="","","TAHAKKUK")</f>
        <v/>
      </c>
      <c r="Q32" s="3">
        <f>IF($N32="","","600 Muhasebe Hizmet Geliri")</f>
        <v/>
      </c>
      <c r="R32" s="3">
        <f>IF($N32="",0,$X32)</f>
        <v/>
      </c>
      <c r="S32" s="3" t="n">
        <v>0</v>
      </c>
      <c r="T32" s="3">
        <f>IF($N32="",10000000000,$N32*100000+$M32)</f>
        <v/>
      </c>
      <c r="U32" s="3">
        <f>$AB$4</f>
        <v/>
      </c>
      <c r="V32" s="3" t="n">
        <v>20</v>
      </c>
      <c r="W32" s="3">
        <f>IF($U32=0,"",IF(INDEX(UCRETLER!$D$7:$D$406,$U32)="","",IF(INDEX(UCRETLER!$F$7:$F$406,$U32)="Aylık",EOMONTH(INDEX(UCRETLER!$D$7:$D$406,$U32),$V32-1),INDEX(UCRETLER!$D$7:$D$406,$U32)+MOD(SISTEM!$F$8-WEEKDAY(INDEX(UCRETLER!$D$7:$D$406,$U32),2),7)+7*($V32-1))))</f>
        <v/>
      </c>
      <c r="X32" s="3">
        <f>IF($U32=0,0,INDEX(UCRETLER!$G$7:$G$406,$U32))</f>
        <v/>
      </c>
      <c r="Y32" s="3">
        <f>IFERROR(SMALL($T$12:$T$372,ROW()-11),"")</f>
        <v/>
      </c>
      <c r="Z32" s="3">
        <f>IFERROR(MATCH($Y32,$T$12:$T$372,0),"")</f>
        <v/>
      </c>
      <c r="AA32" s="3" t="n"/>
      <c r="AB32" s="3" t="n"/>
      <c r="AC32" s="3" t="n"/>
    </row>
    <row r="33">
      <c r="A33" s="6" t="n"/>
      <c r="B33" s="158">
        <f>IF($C33="","",ROW()-11)</f>
        <v/>
      </c>
      <c r="C33" s="247">
        <f>IF($Z33="","",IF(INDEX($N$12:$N$372,$Z33)="","",INDEX($N$12:$N$372,$Z33)))</f>
        <v/>
      </c>
      <c r="D33" s="29">
        <f>IF($C33="","",INDEX($O$12:$O$372,$Z33))</f>
        <v/>
      </c>
      <c r="E33" s="158">
        <f>IF($C33="","",INDEX($P$12:$P$372,$Z33))</f>
        <v/>
      </c>
      <c r="F33" s="29">
        <f>IF($C33="","",INDEX($Q$12:$Q$372,$Z33))</f>
        <v/>
      </c>
      <c r="G33" s="248">
        <f>IF($C33="","",INDEX($R$12:$R$372,$Z33))</f>
        <v/>
      </c>
      <c r="H33" s="248">
        <f>IF($C33="","",INDEX($S$12:$S$372,$Z33))</f>
        <v/>
      </c>
      <c r="I33" s="248">
        <f>IF($C33="","",N($I32)+$G33-$H33)</f>
        <v/>
      </c>
      <c r="J33" s="6" t="n"/>
      <c r="K33" s="6" t="n"/>
      <c r="L33" s="3" t="n"/>
      <c r="M33" s="3" t="n">
        <v>22</v>
      </c>
      <c r="N33" s="3">
        <f>IF(OR($U33=0,$W33="",$X33&lt;=0),"",IF($W33&gt;TODAY(),"",IF(AND(INDEX(UCRETLER!$E$7:$E$406,$U33)&lt;&gt;"",$W33&gt;INDEX(UCRETLER!$E$7:$E$406,$U33)),"",$W33)))</f>
        <v/>
      </c>
      <c r="O33" s="3">
        <f>IF($N33="","",IF(INDEX(UCRETLER!$F$7:$F$406,$U33)="Aylık",TEXT($N33,"mmmm yyyy")&amp;" aylık muhasebe hizmet ücreti",TEXT($N33,"dd.mm.yyyy")&amp;" haftalık muhasebe hizmet ücreti"))</f>
        <v/>
      </c>
      <c r="P33" s="3">
        <f>IF($N33="","","TAHAKKUK")</f>
        <v/>
      </c>
      <c r="Q33" s="3">
        <f>IF($N33="","","600 Muhasebe Hizmet Geliri")</f>
        <v/>
      </c>
      <c r="R33" s="3">
        <f>IF($N33="",0,$X33)</f>
        <v/>
      </c>
      <c r="S33" s="3" t="n">
        <v>0</v>
      </c>
      <c r="T33" s="3">
        <f>IF($N33="",10000000000,$N33*100000+$M33)</f>
        <v/>
      </c>
      <c r="U33" s="3">
        <f>$AB$4</f>
        <v/>
      </c>
      <c r="V33" s="3" t="n">
        <v>21</v>
      </c>
      <c r="W33" s="3">
        <f>IF($U33=0,"",IF(INDEX(UCRETLER!$D$7:$D$406,$U33)="","",IF(INDEX(UCRETLER!$F$7:$F$406,$U33)="Aylık",EOMONTH(INDEX(UCRETLER!$D$7:$D$406,$U33),$V33-1),INDEX(UCRETLER!$D$7:$D$406,$U33)+MOD(SISTEM!$F$8-WEEKDAY(INDEX(UCRETLER!$D$7:$D$406,$U33),2),7)+7*($V33-1))))</f>
        <v/>
      </c>
      <c r="X33" s="3">
        <f>IF($U33=0,0,INDEX(UCRETLER!$G$7:$G$406,$U33))</f>
        <v/>
      </c>
      <c r="Y33" s="3">
        <f>IFERROR(SMALL($T$12:$T$372,ROW()-11),"")</f>
        <v/>
      </c>
      <c r="Z33" s="3">
        <f>IFERROR(MATCH($Y33,$T$12:$T$372,0),"")</f>
        <v/>
      </c>
      <c r="AA33" s="3" t="n"/>
      <c r="AB33" s="3" t="n"/>
      <c r="AC33" s="3" t="n"/>
    </row>
    <row r="34">
      <c r="A34" s="6" t="n"/>
      <c r="B34" s="158">
        <f>IF($C34="","",ROW()-11)</f>
        <v/>
      </c>
      <c r="C34" s="247">
        <f>IF($Z34="","",IF(INDEX($N$12:$N$372,$Z34)="","",INDEX($N$12:$N$372,$Z34)))</f>
        <v/>
      </c>
      <c r="D34" s="29">
        <f>IF($C34="","",INDEX($O$12:$O$372,$Z34))</f>
        <v/>
      </c>
      <c r="E34" s="158">
        <f>IF($C34="","",INDEX($P$12:$P$372,$Z34))</f>
        <v/>
      </c>
      <c r="F34" s="29">
        <f>IF($C34="","",INDEX($Q$12:$Q$372,$Z34))</f>
        <v/>
      </c>
      <c r="G34" s="248">
        <f>IF($C34="","",INDEX($R$12:$R$372,$Z34))</f>
        <v/>
      </c>
      <c r="H34" s="248">
        <f>IF($C34="","",INDEX($S$12:$S$372,$Z34))</f>
        <v/>
      </c>
      <c r="I34" s="248">
        <f>IF($C34="","",N($I33)+$G34-$H34)</f>
        <v/>
      </c>
      <c r="J34" s="6" t="n"/>
      <c r="K34" s="6" t="n"/>
      <c r="L34" s="3" t="n"/>
      <c r="M34" s="3" t="n">
        <v>23</v>
      </c>
      <c r="N34" s="3">
        <f>IF(OR($U34=0,$W34="",$X34&lt;=0),"",IF($W34&gt;TODAY(),"",IF(AND(INDEX(UCRETLER!$E$7:$E$406,$U34)&lt;&gt;"",$W34&gt;INDEX(UCRETLER!$E$7:$E$406,$U34)),"",$W34)))</f>
        <v/>
      </c>
      <c r="O34" s="3">
        <f>IF($N34="","",IF(INDEX(UCRETLER!$F$7:$F$406,$U34)="Aylık",TEXT($N34,"mmmm yyyy")&amp;" aylık muhasebe hizmet ücreti",TEXT($N34,"dd.mm.yyyy")&amp;" haftalık muhasebe hizmet ücreti"))</f>
        <v/>
      </c>
      <c r="P34" s="3">
        <f>IF($N34="","","TAHAKKUK")</f>
        <v/>
      </c>
      <c r="Q34" s="3">
        <f>IF($N34="","","600 Muhasebe Hizmet Geliri")</f>
        <v/>
      </c>
      <c r="R34" s="3">
        <f>IF($N34="",0,$X34)</f>
        <v/>
      </c>
      <c r="S34" s="3" t="n">
        <v>0</v>
      </c>
      <c r="T34" s="3">
        <f>IF($N34="",10000000000,$N34*100000+$M34)</f>
        <v/>
      </c>
      <c r="U34" s="3">
        <f>$AB$4</f>
        <v/>
      </c>
      <c r="V34" s="3" t="n">
        <v>22</v>
      </c>
      <c r="W34" s="3">
        <f>IF($U34=0,"",IF(INDEX(UCRETLER!$D$7:$D$406,$U34)="","",IF(INDEX(UCRETLER!$F$7:$F$406,$U34)="Aylık",EOMONTH(INDEX(UCRETLER!$D$7:$D$406,$U34),$V34-1),INDEX(UCRETLER!$D$7:$D$406,$U34)+MOD(SISTEM!$F$8-WEEKDAY(INDEX(UCRETLER!$D$7:$D$406,$U34),2),7)+7*($V34-1))))</f>
        <v/>
      </c>
      <c r="X34" s="3">
        <f>IF($U34=0,0,INDEX(UCRETLER!$G$7:$G$406,$U34))</f>
        <v/>
      </c>
      <c r="Y34" s="3">
        <f>IFERROR(SMALL($T$12:$T$372,ROW()-11),"")</f>
        <v/>
      </c>
      <c r="Z34" s="3">
        <f>IFERROR(MATCH($Y34,$T$12:$T$372,0),"")</f>
        <v/>
      </c>
      <c r="AA34" s="3" t="n"/>
      <c r="AB34" s="3" t="n"/>
      <c r="AC34" s="3" t="n"/>
    </row>
    <row r="35">
      <c r="A35" s="6" t="n"/>
      <c r="B35" s="158">
        <f>IF($C35="","",ROW()-11)</f>
        <v/>
      </c>
      <c r="C35" s="247">
        <f>IF($Z35="","",IF(INDEX($N$12:$N$372,$Z35)="","",INDEX($N$12:$N$372,$Z35)))</f>
        <v/>
      </c>
      <c r="D35" s="29">
        <f>IF($C35="","",INDEX($O$12:$O$372,$Z35))</f>
        <v/>
      </c>
      <c r="E35" s="158">
        <f>IF($C35="","",INDEX($P$12:$P$372,$Z35))</f>
        <v/>
      </c>
      <c r="F35" s="29">
        <f>IF($C35="","",INDEX($Q$12:$Q$372,$Z35))</f>
        <v/>
      </c>
      <c r="G35" s="248">
        <f>IF($C35="","",INDEX($R$12:$R$372,$Z35))</f>
        <v/>
      </c>
      <c r="H35" s="248">
        <f>IF($C35="","",INDEX($S$12:$S$372,$Z35))</f>
        <v/>
      </c>
      <c r="I35" s="248">
        <f>IF($C35="","",N($I34)+$G35-$H35)</f>
        <v/>
      </c>
      <c r="J35" s="6" t="n"/>
      <c r="K35" s="6" t="n"/>
      <c r="L35" s="3" t="n"/>
      <c r="M35" s="3" t="n">
        <v>24</v>
      </c>
      <c r="N35" s="3">
        <f>IF(OR($U35=0,$W35="",$X35&lt;=0),"",IF($W35&gt;TODAY(),"",IF(AND(INDEX(UCRETLER!$E$7:$E$406,$U35)&lt;&gt;"",$W35&gt;INDEX(UCRETLER!$E$7:$E$406,$U35)),"",$W35)))</f>
        <v/>
      </c>
      <c r="O35" s="3">
        <f>IF($N35="","",IF(INDEX(UCRETLER!$F$7:$F$406,$U35)="Aylık",TEXT($N35,"mmmm yyyy")&amp;" aylık muhasebe hizmet ücreti",TEXT($N35,"dd.mm.yyyy")&amp;" haftalık muhasebe hizmet ücreti"))</f>
        <v/>
      </c>
      <c r="P35" s="3">
        <f>IF($N35="","","TAHAKKUK")</f>
        <v/>
      </c>
      <c r="Q35" s="3">
        <f>IF($N35="","","600 Muhasebe Hizmet Geliri")</f>
        <v/>
      </c>
      <c r="R35" s="3">
        <f>IF($N35="",0,$X35)</f>
        <v/>
      </c>
      <c r="S35" s="3" t="n">
        <v>0</v>
      </c>
      <c r="T35" s="3">
        <f>IF($N35="",10000000000,$N35*100000+$M35)</f>
        <v/>
      </c>
      <c r="U35" s="3">
        <f>$AB$4</f>
        <v/>
      </c>
      <c r="V35" s="3" t="n">
        <v>23</v>
      </c>
      <c r="W35" s="3">
        <f>IF($U35=0,"",IF(INDEX(UCRETLER!$D$7:$D$406,$U35)="","",IF(INDEX(UCRETLER!$F$7:$F$406,$U35)="Aylık",EOMONTH(INDEX(UCRETLER!$D$7:$D$406,$U35),$V35-1),INDEX(UCRETLER!$D$7:$D$406,$U35)+MOD(SISTEM!$F$8-WEEKDAY(INDEX(UCRETLER!$D$7:$D$406,$U35),2),7)+7*($V35-1))))</f>
        <v/>
      </c>
      <c r="X35" s="3">
        <f>IF($U35=0,0,INDEX(UCRETLER!$G$7:$G$406,$U35))</f>
        <v/>
      </c>
      <c r="Y35" s="3">
        <f>IFERROR(SMALL($T$12:$T$372,ROW()-11),"")</f>
        <v/>
      </c>
      <c r="Z35" s="3">
        <f>IFERROR(MATCH($Y35,$T$12:$T$372,0),"")</f>
        <v/>
      </c>
      <c r="AA35" s="3" t="n"/>
      <c r="AB35" s="3" t="n"/>
      <c r="AC35" s="3" t="n"/>
    </row>
    <row r="36">
      <c r="A36" s="6" t="n"/>
      <c r="B36" s="158">
        <f>IF($C36="","",ROW()-11)</f>
        <v/>
      </c>
      <c r="C36" s="247">
        <f>IF($Z36="","",IF(INDEX($N$12:$N$372,$Z36)="","",INDEX($N$12:$N$372,$Z36)))</f>
        <v/>
      </c>
      <c r="D36" s="29">
        <f>IF($C36="","",INDEX($O$12:$O$372,$Z36))</f>
        <v/>
      </c>
      <c r="E36" s="158">
        <f>IF($C36="","",INDEX($P$12:$P$372,$Z36))</f>
        <v/>
      </c>
      <c r="F36" s="29">
        <f>IF($C36="","",INDEX($Q$12:$Q$372,$Z36))</f>
        <v/>
      </c>
      <c r="G36" s="248">
        <f>IF($C36="","",INDEX($R$12:$R$372,$Z36))</f>
        <v/>
      </c>
      <c r="H36" s="248">
        <f>IF($C36="","",INDEX($S$12:$S$372,$Z36))</f>
        <v/>
      </c>
      <c r="I36" s="248">
        <f>IF($C36="","",N($I35)+$G36-$H36)</f>
        <v/>
      </c>
      <c r="J36" s="6" t="n"/>
      <c r="K36" s="6" t="n"/>
      <c r="L36" s="3" t="n"/>
      <c r="M36" s="3" t="n">
        <v>25</v>
      </c>
      <c r="N36" s="3">
        <f>IF(OR($U36=0,$W36="",$X36&lt;=0),"",IF($W36&gt;TODAY(),"",IF(AND(INDEX(UCRETLER!$E$7:$E$406,$U36)&lt;&gt;"",$W36&gt;INDEX(UCRETLER!$E$7:$E$406,$U36)),"",$W36)))</f>
        <v/>
      </c>
      <c r="O36" s="3">
        <f>IF($N36="","",IF(INDEX(UCRETLER!$F$7:$F$406,$U36)="Aylık",TEXT($N36,"mmmm yyyy")&amp;" aylık muhasebe hizmet ücreti",TEXT($N36,"dd.mm.yyyy")&amp;" haftalık muhasebe hizmet ücreti"))</f>
        <v/>
      </c>
      <c r="P36" s="3">
        <f>IF($N36="","","TAHAKKUK")</f>
        <v/>
      </c>
      <c r="Q36" s="3">
        <f>IF($N36="","","600 Muhasebe Hizmet Geliri")</f>
        <v/>
      </c>
      <c r="R36" s="3">
        <f>IF($N36="",0,$X36)</f>
        <v/>
      </c>
      <c r="S36" s="3" t="n">
        <v>0</v>
      </c>
      <c r="T36" s="3">
        <f>IF($N36="",10000000000,$N36*100000+$M36)</f>
        <v/>
      </c>
      <c r="U36" s="3">
        <f>$AB$4</f>
        <v/>
      </c>
      <c r="V36" s="3" t="n">
        <v>24</v>
      </c>
      <c r="W36" s="3">
        <f>IF($U36=0,"",IF(INDEX(UCRETLER!$D$7:$D$406,$U36)="","",IF(INDEX(UCRETLER!$F$7:$F$406,$U36)="Aylık",EOMONTH(INDEX(UCRETLER!$D$7:$D$406,$U36),$V36-1),INDEX(UCRETLER!$D$7:$D$406,$U36)+MOD(SISTEM!$F$8-WEEKDAY(INDEX(UCRETLER!$D$7:$D$406,$U36),2),7)+7*($V36-1))))</f>
        <v/>
      </c>
      <c r="X36" s="3">
        <f>IF($U36=0,0,INDEX(UCRETLER!$G$7:$G$406,$U36))</f>
        <v/>
      </c>
      <c r="Y36" s="3">
        <f>IFERROR(SMALL($T$12:$T$372,ROW()-11),"")</f>
        <v/>
      </c>
      <c r="Z36" s="3">
        <f>IFERROR(MATCH($Y36,$T$12:$T$372,0),"")</f>
        <v/>
      </c>
      <c r="AA36" s="3" t="n"/>
      <c r="AB36" s="3" t="n"/>
      <c r="AC36" s="3" t="n"/>
    </row>
    <row r="37">
      <c r="A37" s="6" t="n"/>
      <c r="B37" s="158">
        <f>IF($C37="","",ROW()-11)</f>
        <v/>
      </c>
      <c r="C37" s="247">
        <f>IF($Z37="","",IF(INDEX($N$12:$N$372,$Z37)="","",INDEX($N$12:$N$372,$Z37)))</f>
        <v/>
      </c>
      <c r="D37" s="29">
        <f>IF($C37="","",INDEX($O$12:$O$372,$Z37))</f>
        <v/>
      </c>
      <c r="E37" s="158">
        <f>IF($C37="","",INDEX($P$12:$P$372,$Z37))</f>
        <v/>
      </c>
      <c r="F37" s="29">
        <f>IF($C37="","",INDEX($Q$12:$Q$372,$Z37))</f>
        <v/>
      </c>
      <c r="G37" s="248">
        <f>IF($C37="","",INDEX($R$12:$R$372,$Z37))</f>
        <v/>
      </c>
      <c r="H37" s="248">
        <f>IF($C37="","",INDEX($S$12:$S$372,$Z37))</f>
        <v/>
      </c>
      <c r="I37" s="248">
        <f>IF($C37="","",N($I36)+$G37-$H37)</f>
        <v/>
      </c>
      <c r="J37" s="6" t="n"/>
      <c r="K37" s="6" t="n"/>
      <c r="L37" s="3" t="n"/>
      <c r="M37" s="3" t="n">
        <v>26</v>
      </c>
      <c r="N37" s="3">
        <f>IF(OR($U37=0,$W37="",$X37&lt;=0),"",IF($W37&gt;TODAY(),"",IF(AND(INDEX(UCRETLER!$E$7:$E$406,$U37)&lt;&gt;"",$W37&gt;INDEX(UCRETLER!$E$7:$E$406,$U37)),"",$W37)))</f>
        <v/>
      </c>
      <c r="O37" s="3">
        <f>IF($N37="","",IF(INDEX(UCRETLER!$F$7:$F$406,$U37)="Aylık",TEXT($N37,"mmmm yyyy")&amp;" aylık muhasebe hizmet ücreti",TEXT($N37,"dd.mm.yyyy")&amp;" haftalık muhasebe hizmet ücreti"))</f>
        <v/>
      </c>
      <c r="P37" s="3">
        <f>IF($N37="","","TAHAKKUK")</f>
        <v/>
      </c>
      <c r="Q37" s="3">
        <f>IF($N37="","","600 Muhasebe Hizmet Geliri")</f>
        <v/>
      </c>
      <c r="R37" s="3">
        <f>IF($N37="",0,$X37)</f>
        <v/>
      </c>
      <c r="S37" s="3" t="n">
        <v>0</v>
      </c>
      <c r="T37" s="3">
        <f>IF($N37="",10000000000,$N37*100000+$M37)</f>
        <v/>
      </c>
      <c r="U37" s="3">
        <f>$AB$4</f>
        <v/>
      </c>
      <c r="V37" s="3" t="n">
        <v>25</v>
      </c>
      <c r="W37" s="3">
        <f>IF($U37=0,"",IF(INDEX(UCRETLER!$D$7:$D$406,$U37)="","",IF(INDEX(UCRETLER!$F$7:$F$406,$U37)="Aylık",EOMONTH(INDEX(UCRETLER!$D$7:$D$406,$U37),$V37-1),INDEX(UCRETLER!$D$7:$D$406,$U37)+MOD(SISTEM!$F$8-WEEKDAY(INDEX(UCRETLER!$D$7:$D$406,$U37),2),7)+7*($V37-1))))</f>
        <v/>
      </c>
      <c r="X37" s="3">
        <f>IF($U37=0,0,INDEX(UCRETLER!$G$7:$G$406,$U37))</f>
        <v/>
      </c>
      <c r="Y37" s="3">
        <f>IFERROR(SMALL($T$12:$T$372,ROW()-11),"")</f>
        <v/>
      </c>
      <c r="Z37" s="3">
        <f>IFERROR(MATCH($Y37,$T$12:$T$372,0),"")</f>
        <v/>
      </c>
      <c r="AA37" s="3" t="n"/>
      <c r="AB37" s="3" t="n"/>
      <c r="AC37" s="3" t="n"/>
    </row>
    <row r="38">
      <c r="A38" s="6" t="n"/>
      <c r="B38" s="158">
        <f>IF($C38="","",ROW()-11)</f>
        <v/>
      </c>
      <c r="C38" s="247">
        <f>IF($Z38="","",IF(INDEX($N$12:$N$372,$Z38)="","",INDEX($N$12:$N$372,$Z38)))</f>
        <v/>
      </c>
      <c r="D38" s="29">
        <f>IF($C38="","",INDEX($O$12:$O$372,$Z38))</f>
        <v/>
      </c>
      <c r="E38" s="158">
        <f>IF($C38="","",INDEX($P$12:$P$372,$Z38))</f>
        <v/>
      </c>
      <c r="F38" s="29">
        <f>IF($C38="","",INDEX($Q$12:$Q$372,$Z38))</f>
        <v/>
      </c>
      <c r="G38" s="248">
        <f>IF($C38="","",INDEX($R$12:$R$372,$Z38))</f>
        <v/>
      </c>
      <c r="H38" s="248">
        <f>IF($C38="","",INDEX($S$12:$S$372,$Z38))</f>
        <v/>
      </c>
      <c r="I38" s="248">
        <f>IF($C38="","",N($I37)+$G38-$H38)</f>
        <v/>
      </c>
      <c r="J38" s="6" t="n"/>
      <c r="K38" s="6" t="n"/>
      <c r="L38" s="3" t="n"/>
      <c r="M38" s="3" t="n">
        <v>27</v>
      </c>
      <c r="N38" s="3">
        <f>IF(OR($U38=0,$W38="",$X38&lt;=0),"",IF($W38&gt;TODAY(),"",IF(AND(INDEX(UCRETLER!$E$7:$E$406,$U38)&lt;&gt;"",$W38&gt;INDEX(UCRETLER!$E$7:$E$406,$U38)),"",$W38)))</f>
        <v/>
      </c>
      <c r="O38" s="3">
        <f>IF($N38="","",IF(INDEX(UCRETLER!$F$7:$F$406,$U38)="Aylık",TEXT($N38,"mmmm yyyy")&amp;" aylık muhasebe hizmet ücreti",TEXT($N38,"dd.mm.yyyy")&amp;" haftalık muhasebe hizmet ücreti"))</f>
        <v/>
      </c>
      <c r="P38" s="3">
        <f>IF($N38="","","TAHAKKUK")</f>
        <v/>
      </c>
      <c r="Q38" s="3">
        <f>IF($N38="","","600 Muhasebe Hizmet Geliri")</f>
        <v/>
      </c>
      <c r="R38" s="3">
        <f>IF($N38="",0,$X38)</f>
        <v/>
      </c>
      <c r="S38" s="3" t="n">
        <v>0</v>
      </c>
      <c r="T38" s="3">
        <f>IF($N38="",10000000000,$N38*100000+$M38)</f>
        <v/>
      </c>
      <c r="U38" s="3">
        <f>$AB$4</f>
        <v/>
      </c>
      <c r="V38" s="3" t="n">
        <v>26</v>
      </c>
      <c r="W38" s="3">
        <f>IF($U38=0,"",IF(INDEX(UCRETLER!$D$7:$D$406,$U38)="","",IF(INDEX(UCRETLER!$F$7:$F$406,$U38)="Aylık",EOMONTH(INDEX(UCRETLER!$D$7:$D$406,$U38),$V38-1),INDEX(UCRETLER!$D$7:$D$406,$U38)+MOD(SISTEM!$F$8-WEEKDAY(INDEX(UCRETLER!$D$7:$D$406,$U38),2),7)+7*($V38-1))))</f>
        <v/>
      </c>
      <c r="X38" s="3">
        <f>IF($U38=0,0,INDEX(UCRETLER!$G$7:$G$406,$U38))</f>
        <v/>
      </c>
      <c r="Y38" s="3">
        <f>IFERROR(SMALL($T$12:$T$372,ROW()-11),"")</f>
        <v/>
      </c>
      <c r="Z38" s="3">
        <f>IFERROR(MATCH($Y38,$T$12:$T$372,0),"")</f>
        <v/>
      </c>
      <c r="AA38" s="3" t="n"/>
      <c r="AB38" s="3" t="n"/>
      <c r="AC38" s="3" t="n"/>
    </row>
    <row r="39">
      <c r="A39" s="6" t="n"/>
      <c r="B39" s="158">
        <f>IF($C39="","",ROW()-11)</f>
        <v/>
      </c>
      <c r="C39" s="247">
        <f>IF($Z39="","",IF(INDEX($N$12:$N$372,$Z39)="","",INDEX($N$12:$N$372,$Z39)))</f>
        <v/>
      </c>
      <c r="D39" s="29">
        <f>IF($C39="","",INDEX($O$12:$O$372,$Z39))</f>
        <v/>
      </c>
      <c r="E39" s="158">
        <f>IF($C39="","",INDEX($P$12:$P$372,$Z39))</f>
        <v/>
      </c>
      <c r="F39" s="29">
        <f>IF($C39="","",INDEX($Q$12:$Q$372,$Z39))</f>
        <v/>
      </c>
      <c r="G39" s="248">
        <f>IF($C39="","",INDEX($R$12:$R$372,$Z39))</f>
        <v/>
      </c>
      <c r="H39" s="248">
        <f>IF($C39="","",INDEX($S$12:$S$372,$Z39))</f>
        <v/>
      </c>
      <c r="I39" s="248">
        <f>IF($C39="","",N($I38)+$G39-$H39)</f>
        <v/>
      </c>
      <c r="J39" s="6" t="n"/>
      <c r="K39" s="6" t="n"/>
      <c r="L39" s="3" t="n"/>
      <c r="M39" s="3" t="n">
        <v>28</v>
      </c>
      <c r="N39" s="3">
        <f>IF(OR($U39=0,$W39="",$X39&lt;=0),"",IF($W39&gt;TODAY(),"",IF(AND(INDEX(UCRETLER!$E$7:$E$406,$U39)&lt;&gt;"",$W39&gt;INDEX(UCRETLER!$E$7:$E$406,$U39)),"",$W39)))</f>
        <v/>
      </c>
      <c r="O39" s="3">
        <f>IF($N39="","",IF(INDEX(UCRETLER!$F$7:$F$406,$U39)="Aylık",TEXT($N39,"mmmm yyyy")&amp;" aylık muhasebe hizmet ücreti",TEXT($N39,"dd.mm.yyyy")&amp;" haftalık muhasebe hizmet ücreti"))</f>
        <v/>
      </c>
      <c r="P39" s="3">
        <f>IF($N39="","","TAHAKKUK")</f>
        <v/>
      </c>
      <c r="Q39" s="3">
        <f>IF($N39="","","600 Muhasebe Hizmet Geliri")</f>
        <v/>
      </c>
      <c r="R39" s="3">
        <f>IF($N39="",0,$X39)</f>
        <v/>
      </c>
      <c r="S39" s="3" t="n">
        <v>0</v>
      </c>
      <c r="T39" s="3">
        <f>IF($N39="",10000000000,$N39*100000+$M39)</f>
        <v/>
      </c>
      <c r="U39" s="3">
        <f>$AB$4</f>
        <v/>
      </c>
      <c r="V39" s="3" t="n">
        <v>27</v>
      </c>
      <c r="W39" s="3">
        <f>IF($U39=0,"",IF(INDEX(UCRETLER!$D$7:$D$406,$U39)="","",IF(INDEX(UCRETLER!$F$7:$F$406,$U39)="Aylık",EOMONTH(INDEX(UCRETLER!$D$7:$D$406,$U39),$V39-1),INDEX(UCRETLER!$D$7:$D$406,$U39)+MOD(SISTEM!$F$8-WEEKDAY(INDEX(UCRETLER!$D$7:$D$406,$U39),2),7)+7*($V39-1))))</f>
        <v/>
      </c>
      <c r="X39" s="3">
        <f>IF($U39=0,0,INDEX(UCRETLER!$G$7:$G$406,$U39))</f>
        <v/>
      </c>
      <c r="Y39" s="3">
        <f>IFERROR(SMALL($T$12:$T$372,ROW()-11),"")</f>
        <v/>
      </c>
      <c r="Z39" s="3">
        <f>IFERROR(MATCH($Y39,$T$12:$T$372,0),"")</f>
        <v/>
      </c>
      <c r="AA39" s="3" t="n"/>
      <c r="AB39" s="3" t="n"/>
      <c r="AC39" s="3" t="n"/>
    </row>
    <row r="40">
      <c r="A40" s="6" t="n"/>
      <c r="B40" s="158">
        <f>IF($C40="","",ROW()-11)</f>
        <v/>
      </c>
      <c r="C40" s="247">
        <f>IF($Z40="","",IF(INDEX($N$12:$N$372,$Z40)="","",INDEX($N$12:$N$372,$Z40)))</f>
        <v/>
      </c>
      <c r="D40" s="29">
        <f>IF($C40="","",INDEX($O$12:$O$372,$Z40))</f>
        <v/>
      </c>
      <c r="E40" s="158">
        <f>IF($C40="","",INDEX($P$12:$P$372,$Z40))</f>
        <v/>
      </c>
      <c r="F40" s="29">
        <f>IF($C40="","",INDEX($Q$12:$Q$372,$Z40))</f>
        <v/>
      </c>
      <c r="G40" s="248">
        <f>IF($C40="","",INDEX($R$12:$R$372,$Z40))</f>
        <v/>
      </c>
      <c r="H40" s="248">
        <f>IF($C40="","",INDEX($S$12:$S$372,$Z40))</f>
        <v/>
      </c>
      <c r="I40" s="248">
        <f>IF($C40="","",N($I39)+$G40-$H40)</f>
        <v/>
      </c>
      <c r="J40" s="6" t="n"/>
      <c r="K40" s="6" t="n"/>
      <c r="L40" s="3" t="n"/>
      <c r="M40" s="3" t="n">
        <v>29</v>
      </c>
      <c r="N40" s="3">
        <f>IF(OR($U40=0,$W40="",$X40&lt;=0),"",IF($W40&gt;TODAY(),"",IF(AND(INDEX(UCRETLER!$E$7:$E$406,$U40)&lt;&gt;"",$W40&gt;INDEX(UCRETLER!$E$7:$E$406,$U40)),"",$W40)))</f>
        <v/>
      </c>
      <c r="O40" s="3">
        <f>IF($N40="","",IF(INDEX(UCRETLER!$F$7:$F$406,$U40)="Aylık",TEXT($N40,"mmmm yyyy")&amp;" aylık muhasebe hizmet ücreti",TEXT($N40,"dd.mm.yyyy")&amp;" haftalık muhasebe hizmet ücreti"))</f>
        <v/>
      </c>
      <c r="P40" s="3">
        <f>IF($N40="","","TAHAKKUK")</f>
        <v/>
      </c>
      <c r="Q40" s="3">
        <f>IF($N40="","","600 Muhasebe Hizmet Geliri")</f>
        <v/>
      </c>
      <c r="R40" s="3">
        <f>IF($N40="",0,$X40)</f>
        <v/>
      </c>
      <c r="S40" s="3" t="n">
        <v>0</v>
      </c>
      <c r="T40" s="3">
        <f>IF($N40="",10000000000,$N40*100000+$M40)</f>
        <v/>
      </c>
      <c r="U40" s="3">
        <f>$AB$4</f>
        <v/>
      </c>
      <c r="V40" s="3" t="n">
        <v>28</v>
      </c>
      <c r="W40" s="3">
        <f>IF($U40=0,"",IF(INDEX(UCRETLER!$D$7:$D$406,$U40)="","",IF(INDEX(UCRETLER!$F$7:$F$406,$U40)="Aylık",EOMONTH(INDEX(UCRETLER!$D$7:$D$406,$U40),$V40-1),INDEX(UCRETLER!$D$7:$D$406,$U40)+MOD(SISTEM!$F$8-WEEKDAY(INDEX(UCRETLER!$D$7:$D$406,$U40),2),7)+7*($V40-1))))</f>
        <v/>
      </c>
      <c r="X40" s="3">
        <f>IF($U40=0,0,INDEX(UCRETLER!$G$7:$G$406,$U40))</f>
        <v/>
      </c>
      <c r="Y40" s="3">
        <f>IFERROR(SMALL($T$12:$T$372,ROW()-11),"")</f>
        <v/>
      </c>
      <c r="Z40" s="3">
        <f>IFERROR(MATCH($Y40,$T$12:$T$372,0),"")</f>
        <v/>
      </c>
      <c r="AA40" s="3" t="n"/>
      <c r="AB40" s="3" t="n"/>
      <c r="AC40" s="3" t="n"/>
    </row>
    <row r="41">
      <c r="A41" s="6" t="n"/>
      <c r="B41" s="158">
        <f>IF($C41="","",ROW()-11)</f>
        <v/>
      </c>
      <c r="C41" s="247">
        <f>IF($Z41="","",IF(INDEX($N$12:$N$372,$Z41)="","",INDEX($N$12:$N$372,$Z41)))</f>
        <v/>
      </c>
      <c r="D41" s="29">
        <f>IF($C41="","",INDEX($O$12:$O$372,$Z41))</f>
        <v/>
      </c>
      <c r="E41" s="158">
        <f>IF($C41="","",INDEX($P$12:$P$372,$Z41))</f>
        <v/>
      </c>
      <c r="F41" s="29">
        <f>IF($C41="","",INDEX($Q$12:$Q$372,$Z41))</f>
        <v/>
      </c>
      <c r="G41" s="248">
        <f>IF($C41="","",INDEX($R$12:$R$372,$Z41))</f>
        <v/>
      </c>
      <c r="H41" s="248">
        <f>IF($C41="","",INDEX($S$12:$S$372,$Z41))</f>
        <v/>
      </c>
      <c r="I41" s="248">
        <f>IF($C41="","",N($I40)+$G41-$H41)</f>
        <v/>
      </c>
      <c r="J41" s="6" t="n"/>
      <c r="K41" s="6" t="n"/>
      <c r="L41" s="3" t="n"/>
      <c r="M41" s="3" t="n">
        <v>30</v>
      </c>
      <c r="N41" s="3">
        <f>IF(OR($U41=0,$W41="",$X41&lt;=0),"",IF($W41&gt;TODAY(),"",IF(AND(INDEX(UCRETLER!$E$7:$E$406,$U41)&lt;&gt;"",$W41&gt;INDEX(UCRETLER!$E$7:$E$406,$U41)),"",$W41)))</f>
        <v/>
      </c>
      <c r="O41" s="3">
        <f>IF($N41="","",IF(INDEX(UCRETLER!$F$7:$F$406,$U41)="Aylık",TEXT($N41,"mmmm yyyy")&amp;" aylık muhasebe hizmet ücreti",TEXT($N41,"dd.mm.yyyy")&amp;" haftalık muhasebe hizmet ücreti"))</f>
        <v/>
      </c>
      <c r="P41" s="3">
        <f>IF($N41="","","TAHAKKUK")</f>
        <v/>
      </c>
      <c r="Q41" s="3">
        <f>IF($N41="","","600 Muhasebe Hizmet Geliri")</f>
        <v/>
      </c>
      <c r="R41" s="3">
        <f>IF($N41="",0,$X41)</f>
        <v/>
      </c>
      <c r="S41" s="3" t="n">
        <v>0</v>
      </c>
      <c r="T41" s="3">
        <f>IF($N41="",10000000000,$N41*100000+$M41)</f>
        <v/>
      </c>
      <c r="U41" s="3">
        <f>$AB$4</f>
        <v/>
      </c>
      <c r="V41" s="3" t="n">
        <v>29</v>
      </c>
      <c r="W41" s="3">
        <f>IF($U41=0,"",IF(INDEX(UCRETLER!$D$7:$D$406,$U41)="","",IF(INDEX(UCRETLER!$F$7:$F$406,$U41)="Aylık",EOMONTH(INDEX(UCRETLER!$D$7:$D$406,$U41),$V41-1),INDEX(UCRETLER!$D$7:$D$406,$U41)+MOD(SISTEM!$F$8-WEEKDAY(INDEX(UCRETLER!$D$7:$D$406,$U41),2),7)+7*($V41-1))))</f>
        <v/>
      </c>
      <c r="X41" s="3">
        <f>IF($U41=0,0,INDEX(UCRETLER!$G$7:$G$406,$U41))</f>
        <v/>
      </c>
      <c r="Y41" s="3">
        <f>IFERROR(SMALL($T$12:$T$372,ROW()-11),"")</f>
        <v/>
      </c>
      <c r="Z41" s="3">
        <f>IFERROR(MATCH($Y41,$T$12:$T$372,0),"")</f>
        <v/>
      </c>
      <c r="AA41" s="3" t="n"/>
      <c r="AB41" s="3" t="n"/>
      <c r="AC41" s="3" t="n"/>
    </row>
    <row r="42">
      <c r="A42" s="6" t="n"/>
      <c r="B42" s="158">
        <f>IF($C42="","",ROW()-11)</f>
        <v/>
      </c>
      <c r="C42" s="247">
        <f>IF($Z42="","",IF(INDEX($N$12:$N$372,$Z42)="","",INDEX($N$12:$N$372,$Z42)))</f>
        <v/>
      </c>
      <c r="D42" s="29">
        <f>IF($C42="","",INDEX($O$12:$O$372,$Z42))</f>
        <v/>
      </c>
      <c r="E42" s="158">
        <f>IF($C42="","",INDEX($P$12:$P$372,$Z42))</f>
        <v/>
      </c>
      <c r="F42" s="29">
        <f>IF($C42="","",INDEX($Q$12:$Q$372,$Z42))</f>
        <v/>
      </c>
      <c r="G42" s="248">
        <f>IF($C42="","",INDEX($R$12:$R$372,$Z42))</f>
        <v/>
      </c>
      <c r="H42" s="248">
        <f>IF($C42="","",INDEX($S$12:$S$372,$Z42))</f>
        <v/>
      </c>
      <c r="I42" s="248">
        <f>IF($C42="","",N($I41)+$G42-$H42)</f>
        <v/>
      </c>
      <c r="J42" s="6" t="n"/>
      <c r="K42" s="6" t="n"/>
      <c r="L42" s="3" t="n"/>
      <c r="M42" s="3" t="n">
        <v>31</v>
      </c>
      <c r="N42" s="3">
        <f>IF(OR($U42=0,$W42="",$X42&lt;=0),"",IF($W42&gt;TODAY(),"",IF(AND(INDEX(UCRETLER!$E$7:$E$406,$U42)&lt;&gt;"",$W42&gt;INDEX(UCRETLER!$E$7:$E$406,$U42)),"",$W42)))</f>
        <v/>
      </c>
      <c r="O42" s="3">
        <f>IF($N42="","",IF(INDEX(UCRETLER!$F$7:$F$406,$U42)="Aylık",TEXT($N42,"mmmm yyyy")&amp;" aylık muhasebe hizmet ücreti",TEXT($N42,"dd.mm.yyyy")&amp;" haftalık muhasebe hizmet ücreti"))</f>
        <v/>
      </c>
      <c r="P42" s="3">
        <f>IF($N42="","","TAHAKKUK")</f>
        <v/>
      </c>
      <c r="Q42" s="3">
        <f>IF($N42="","","600 Muhasebe Hizmet Geliri")</f>
        <v/>
      </c>
      <c r="R42" s="3">
        <f>IF($N42="",0,$X42)</f>
        <v/>
      </c>
      <c r="S42" s="3" t="n">
        <v>0</v>
      </c>
      <c r="T42" s="3">
        <f>IF($N42="",10000000000,$N42*100000+$M42)</f>
        <v/>
      </c>
      <c r="U42" s="3">
        <f>$AB$4</f>
        <v/>
      </c>
      <c r="V42" s="3" t="n">
        <v>30</v>
      </c>
      <c r="W42" s="3">
        <f>IF($U42=0,"",IF(INDEX(UCRETLER!$D$7:$D$406,$U42)="","",IF(INDEX(UCRETLER!$F$7:$F$406,$U42)="Aylık",EOMONTH(INDEX(UCRETLER!$D$7:$D$406,$U42),$V42-1),INDEX(UCRETLER!$D$7:$D$406,$U42)+MOD(SISTEM!$F$8-WEEKDAY(INDEX(UCRETLER!$D$7:$D$406,$U42),2),7)+7*($V42-1))))</f>
        <v/>
      </c>
      <c r="X42" s="3">
        <f>IF($U42=0,0,INDEX(UCRETLER!$G$7:$G$406,$U42))</f>
        <v/>
      </c>
      <c r="Y42" s="3">
        <f>IFERROR(SMALL($T$12:$T$372,ROW()-11),"")</f>
        <v/>
      </c>
      <c r="Z42" s="3">
        <f>IFERROR(MATCH($Y42,$T$12:$T$372,0),"")</f>
        <v/>
      </c>
      <c r="AA42" s="3" t="n"/>
      <c r="AB42" s="3" t="n"/>
      <c r="AC42" s="3" t="n"/>
    </row>
    <row r="43">
      <c r="A43" s="6" t="n"/>
      <c r="B43" s="158">
        <f>IF($C43="","",ROW()-11)</f>
        <v/>
      </c>
      <c r="C43" s="247">
        <f>IF($Z43="","",IF(INDEX($N$12:$N$372,$Z43)="","",INDEX($N$12:$N$372,$Z43)))</f>
        <v/>
      </c>
      <c r="D43" s="29">
        <f>IF($C43="","",INDEX($O$12:$O$372,$Z43))</f>
        <v/>
      </c>
      <c r="E43" s="158">
        <f>IF($C43="","",INDEX($P$12:$P$372,$Z43))</f>
        <v/>
      </c>
      <c r="F43" s="29">
        <f>IF($C43="","",INDEX($Q$12:$Q$372,$Z43))</f>
        <v/>
      </c>
      <c r="G43" s="248">
        <f>IF($C43="","",INDEX($R$12:$R$372,$Z43))</f>
        <v/>
      </c>
      <c r="H43" s="248">
        <f>IF($C43="","",INDEX($S$12:$S$372,$Z43))</f>
        <v/>
      </c>
      <c r="I43" s="248">
        <f>IF($C43="","",N($I42)+$G43-$H43)</f>
        <v/>
      </c>
      <c r="J43" s="6" t="n"/>
      <c r="K43" s="6" t="n"/>
      <c r="L43" s="3" t="n"/>
      <c r="M43" s="3" t="n">
        <v>32</v>
      </c>
      <c r="N43" s="3">
        <f>IF(OR($U43=0,$W43="",$X43&lt;=0),"",IF($W43&gt;TODAY(),"",IF(AND(INDEX(UCRETLER!$E$7:$E$406,$U43)&lt;&gt;"",$W43&gt;INDEX(UCRETLER!$E$7:$E$406,$U43)),"",$W43)))</f>
        <v/>
      </c>
      <c r="O43" s="3">
        <f>IF($N43="","",IF(INDEX(UCRETLER!$F$7:$F$406,$U43)="Aylık",TEXT($N43,"mmmm yyyy")&amp;" aylık muhasebe hizmet ücreti",TEXT($N43,"dd.mm.yyyy")&amp;" haftalık muhasebe hizmet ücreti"))</f>
        <v/>
      </c>
      <c r="P43" s="3">
        <f>IF($N43="","","TAHAKKUK")</f>
        <v/>
      </c>
      <c r="Q43" s="3">
        <f>IF($N43="","","600 Muhasebe Hizmet Geliri")</f>
        <v/>
      </c>
      <c r="R43" s="3">
        <f>IF($N43="",0,$X43)</f>
        <v/>
      </c>
      <c r="S43" s="3" t="n">
        <v>0</v>
      </c>
      <c r="T43" s="3">
        <f>IF($N43="",10000000000,$N43*100000+$M43)</f>
        <v/>
      </c>
      <c r="U43" s="3">
        <f>$AB$4</f>
        <v/>
      </c>
      <c r="V43" s="3" t="n">
        <v>31</v>
      </c>
      <c r="W43" s="3">
        <f>IF($U43=0,"",IF(INDEX(UCRETLER!$D$7:$D$406,$U43)="","",IF(INDEX(UCRETLER!$F$7:$F$406,$U43)="Aylık",EOMONTH(INDEX(UCRETLER!$D$7:$D$406,$U43),$V43-1),INDEX(UCRETLER!$D$7:$D$406,$U43)+MOD(SISTEM!$F$8-WEEKDAY(INDEX(UCRETLER!$D$7:$D$406,$U43),2),7)+7*($V43-1))))</f>
        <v/>
      </c>
      <c r="X43" s="3">
        <f>IF($U43=0,0,INDEX(UCRETLER!$G$7:$G$406,$U43))</f>
        <v/>
      </c>
      <c r="Y43" s="3">
        <f>IFERROR(SMALL($T$12:$T$372,ROW()-11),"")</f>
        <v/>
      </c>
      <c r="Z43" s="3">
        <f>IFERROR(MATCH($Y43,$T$12:$T$372,0),"")</f>
        <v/>
      </c>
      <c r="AA43" s="3" t="n"/>
      <c r="AB43" s="3" t="n"/>
      <c r="AC43" s="3" t="n"/>
    </row>
    <row r="44">
      <c r="A44" s="6" t="n"/>
      <c r="B44" s="158">
        <f>IF($C44="","",ROW()-11)</f>
        <v/>
      </c>
      <c r="C44" s="247">
        <f>IF($Z44="","",IF(INDEX($N$12:$N$372,$Z44)="","",INDEX($N$12:$N$372,$Z44)))</f>
        <v/>
      </c>
      <c r="D44" s="29">
        <f>IF($C44="","",INDEX($O$12:$O$372,$Z44))</f>
        <v/>
      </c>
      <c r="E44" s="158">
        <f>IF($C44="","",INDEX($P$12:$P$372,$Z44))</f>
        <v/>
      </c>
      <c r="F44" s="29">
        <f>IF($C44="","",INDEX($Q$12:$Q$372,$Z44))</f>
        <v/>
      </c>
      <c r="G44" s="248">
        <f>IF($C44="","",INDEX($R$12:$R$372,$Z44))</f>
        <v/>
      </c>
      <c r="H44" s="248">
        <f>IF($C44="","",INDEX($S$12:$S$372,$Z44))</f>
        <v/>
      </c>
      <c r="I44" s="248">
        <f>IF($C44="","",N($I43)+$G44-$H44)</f>
        <v/>
      </c>
      <c r="J44" s="6" t="n"/>
      <c r="K44" s="6" t="n"/>
      <c r="L44" s="3" t="n"/>
      <c r="M44" s="3" t="n">
        <v>33</v>
      </c>
      <c r="N44" s="3">
        <f>IF(OR($U44=0,$W44="",$X44&lt;=0),"",IF($W44&gt;TODAY(),"",IF(AND(INDEX(UCRETLER!$E$7:$E$406,$U44)&lt;&gt;"",$W44&gt;INDEX(UCRETLER!$E$7:$E$406,$U44)),"",$W44)))</f>
        <v/>
      </c>
      <c r="O44" s="3">
        <f>IF($N44="","",IF(INDEX(UCRETLER!$F$7:$F$406,$U44)="Aylık",TEXT($N44,"mmmm yyyy")&amp;" aylık muhasebe hizmet ücreti",TEXT($N44,"dd.mm.yyyy")&amp;" haftalık muhasebe hizmet ücreti"))</f>
        <v/>
      </c>
      <c r="P44" s="3">
        <f>IF($N44="","","TAHAKKUK")</f>
        <v/>
      </c>
      <c r="Q44" s="3">
        <f>IF($N44="","","600 Muhasebe Hizmet Geliri")</f>
        <v/>
      </c>
      <c r="R44" s="3">
        <f>IF($N44="",0,$X44)</f>
        <v/>
      </c>
      <c r="S44" s="3" t="n">
        <v>0</v>
      </c>
      <c r="T44" s="3">
        <f>IF($N44="",10000000000,$N44*100000+$M44)</f>
        <v/>
      </c>
      <c r="U44" s="3">
        <f>$AB$4</f>
        <v/>
      </c>
      <c r="V44" s="3" t="n">
        <v>32</v>
      </c>
      <c r="W44" s="3">
        <f>IF($U44=0,"",IF(INDEX(UCRETLER!$D$7:$D$406,$U44)="","",IF(INDEX(UCRETLER!$F$7:$F$406,$U44)="Aylık",EOMONTH(INDEX(UCRETLER!$D$7:$D$406,$U44),$V44-1),INDEX(UCRETLER!$D$7:$D$406,$U44)+MOD(SISTEM!$F$8-WEEKDAY(INDEX(UCRETLER!$D$7:$D$406,$U44),2),7)+7*($V44-1))))</f>
        <v/>
      </c>
      <c r="X44" s="3">
        <f>IF($U44=0,0,INDEX(UCRETLER!$G$7:$G$406,$U44))</f>
        <v/>
      </c>
      <c r="Y44" s="3">
        <f>IFERROR(SMALL($T$12:$T$372,ROW()-11),"")</f>
        <v/>
      </c>
      <c r="Z44" s="3">
        <f>IFERROR(MATCH($Y44,$T$12:$T$372,0),"")</f>
        <v/>
      </c>
      <c r="AA44" s="3" t="n"/>
      <c r="AB44" s="3" t="n"/>
      <c r="AC44" s="3" t="n"/>
    </row>
    <row r="45">
      <c r="A45" s="6" t="n"/>
      <c r="B45" s="158">
        <f>IF($C45="","",ROW()-11)</f>
        <v/>
      </c>
      <c r="C45" s="247">
        <f>IF($Z45="","",IF(INDEX($N$12:$N$372,$Z45)="","",INDEX($N$12:$N$372,$Z45)))</f>
        <v/>
      </c>
      <c r="D45" s="29">
        <f>IF($C45="","",INDEX($O$12:$O$372,$Z45))</f>
        <v/>
      </c>
      <c r="E45" s="158">
        <f>IF($C45="","",INDEX($P$12:$P$372,$Z45))</f>
        <v/>
      </c>
      <c r="F45" s="29">
        <f>IF($C45="","",INDEX($Q$12:$Q$372,$Z45))</f>
        <v/>
      </c>
      <c r="G45" s="248">
        <f>IF($C45="","",INDEX($R$12:$R$372,$Z45))</f>
        <v/>
      </c>
      <c r="H45" s="248">
        <f>IF($C45="","",INDEX($S$12:$S$372,$Z45))</f>
        <v/>
      </c>
      <c r="I45" s="248">
        <f>IF($C45="","",N($I44)+$G45-$H45)</f>
        <v/>
      </c>
      <c r="J45" s="6" t="n"/>
      <c r="K45" s="6" t="n"/>
      <c r="L45" s="3" t="n"/>
      <c r="M45" s="3" t="n">
        <v>34</v>
      </c>
      <c r="N45" s="3">
        <f>IF(OR($U45=0,$W45="",$X45&lt;=0),"",IF($W45&gt;TODAY(),"",IF(AND(INDEX(UCRETLER!$E$7:$E$406,$U45)&lt;&gt;"",$W45&gt;INDEX(UCRETLER!$E$7:$E$406,$U45)),"",$W45)))</f>
        <v/>
      </c>
      <c r="O45" s="3">
        <f>IF($N45="","",IF(INDEX(UCRETLER!$F$7:$F$406,$U45)="Aylık",TEXT($N45,"mmmm yyyy")&amp;" aylık muhasebe hizmet ücreti",TEXT($N45,"dd.mm.yyyy")&amp;" haftalık muhasebe hizmet ücreti"))</f>
        <v/>
      </c>
      <c r="P45" s="3">
        <f>IF($N45="","","TAHAKKUK")</f>
        <v/>
      </c>
      <c r="Q45" s="3">
        <f>IF($N45="","","600 Muhasebe Hizmet Geliri")</f>
        <v/>
      </c>
      <c r="R45" s="3">
        <f>IF($N45="",0,$X45)</f>
        <v/>
      </c>
      <c r="S45" s="3" t="n">
        <v>0</v>
      </c>
      <c r="T45" s="3">
        <f>IF($N45="",10000000000,$N45*100000+$M45)</f>
        <v/>
      </c>
      <c r="U45" s="3">
        <f>$AB$4</f>
        <v/>
      </c>
      <c r="V45" s="3" t="n">
        <v>33</v>
      </c>
      <c r="W45" s="3">
        <f>IF($U45=0,"",IF(INDEX(UCRETLER!$D$7:$D$406,$U45)="","",IF(INDEX(UCRETLER!$F$7:$F$406,$U45)="Aylık",EOMONTH(INDEX(UCRETLER!$D$7:$D$406,$U45),$V45-1),INDEX(UCRETLER!$D$7:$D$406,$U45)+MOD(SISTEM!$F$8-WEEKDAY(INDEX(UCRETLER!$D$7:$D$406,$U45),2),7)+7*($V45-1))))</f>
        <v/>
      </c>
      <c r="X45" s="3">
        <f>IF($U45=0,0,INDEX(UCRETLER!$G$7:$G$406,$U45))</f>
        <v/>
      </c>
      <c r="Y45" s="3">
        <f>IFERROR(SMALL($T$12:$T$372,ROW()-11),"")</f>
        <v/>
      </c>
      <c r="Z45" s="3">
        <f>IFERROR(MATCH($Y45,$T$12:$T$372,0),"")</f>
        <v/>
      </c>
      <c r="AA45" s="3" t="n"/>
      <c r="AB45" s="3" t="n"/>
      <c r="AC45" s="3" t="n"/>
    </row>
    <row r="46">
      <c r="A46" s="6" t="n"/>
      <c r="B46" s="158">
        <f>IF($C46="","",ROW()-11)</f>
        <v/>
      </c>
      <c r="C46" s="247">
        <f>IF($Z46="","",IF(INDEX($N$12:$N$372,$Z46)="","",INDEX($N$12:$N$372,$Z46)))</f>
        <v/>
      </c>
      <c r="D46" s="29">
        <f>IF($C46="","",INDEX($O$12:$O$372,$Z46))</f>
        <v/>
      </c>
      <c r="E46" s="158">
        <f>IF($C46="","",INDEX($P$12:$P$372,$Z46))</f>
        <v/>
      </c>
      <c r="F46" s="29">
        <f>IF($C46="","",INDEX($Q$12:$Q$372,$Z46))</f>
        <v/>
      </c>
      <c r="G46" s="248">
        <f>IF($C46="","",INDEX($R$12:$R$372,$Z46))</f>
        <v/>
      </c>
      <c r="H46" s="248">
        <f>IF($C46="","",INDEX($S$12:$S$372,$Z46))</f>
        <v/>
      </c>
      <c r="I46" s="248">
        <f>IF($C46="","",N($I45)+$G46-$H46)</f>
        <v/>
      </c>
      <c r="J46" s="6" t="n"/>
      <c r="K46" s="6" t="n"/>
      <c r="L46" s="3" t="n"/>
      <c r="M46" s="3" t="n">
        <v>35</v>
      </c>
      <c r="N46" s="3">
        <f>IF(OR($U46=0,$W46="",$X46&lt;=0),"",IF($W46&gt;TODAY(),"",IF(AND(INDEX(UCRETLER!$E$7:$E$406,$U46)&lt;&gt;"",$W46&gt;INDEX(UCRETLER!$E$7:$E$406,$U46)),"",$W46)))</f>
        <v/>
      </c>
      <c r="O46" s="3">
        <f>IF($N46="","",IF(INDEX(UCRETLER!$F$7:$F$406,$U46)="Aylık",TEXT($N46,"mmmm yyyy")&amp;" aylık muhasebe hizmet ücreti",TEXT($N46,"dd.mm.yyyy")&amp;" haftalık muhasebe hizmet ücreti"))</f>
        <v/>
      </c>
      <c r="P46" s="3">
        <f>IF($N46="","","TAHAKKUK")</f>
        <v/>
      </c>
      <c r="Q46" s="3">
        <f>IF($N46="","","600 Muhasebe Hizmet Geliri")</f>
        <v/>
      </c>
      <c r="R46" s="3">
        <f>IF($N46="",0,$X46)</f>
        <v/>
      </c>
      <c r="S46" s="3" t="n">
        <v>0</v>
      </c>
      <c r="T46" s="3">
        <f>IF($N46="",10000000000,$N46*100000+$M46)</f>
        <v/>
      </c>
      <c r="U46" s="3">
        <f>$AB$4</f>
        <v/>
      </c>
      <c r="V46" s="3" t="n">
        <v>34</v>
      </c>
      <c r="W46" s="3">
        <f>IF($U46=0,"",IF(INDEX(UCRETLER!$D$7:$D$406,$U46)="","",IF(INDEX(UCRETLER!$F$7:$F$406,$U46)="Aylık",EOMONTH(INDEX(UCRETLER!$D$7:$D$406,$U46),$V46-1),INDEX(UCRETLER!$D$7:$D$406,$U46)+MOD(SISTEM!$F$8-WEEKDAY(INDEX(UCRETLER!$D$7:$D$406,$U46),2),7)+7*($V46-1))))</f>
        <v/>
      </c>
      <c r="X46" s="3">
        <f>IF($U46=0,0,INDEX(UCRETLER!$G$7:$G$406,$U46))</f>
        <v/>
      </c>
      <c r="Y46" s="3">
        <f>IFERROR(SMALL($T$12:$T$372,ROW()-11),"")</f>
        <v/>
      </c>
      <c r="Z46" s="3">
        <f>IFERROR(MATCH($Y46,$T$12:$T$372,0),"")</f>
        <v/>
      </c>
      <c r="AA46" s="3" t="n"/>
      <c r="AB46" s="3" t="n"/>
      <c r="AC46" s="3" t="n"/>
    </row>
    <row r="47">
      <c r="A47" s="6" t="n"/>
      <c r="B47" s="158">
        <f>IF($C47="","",ROW()-11)</f>
        <v/>
      </c>
      <c r="C47" s="247">
        <f>IF($Z47="","",IF(INDEX($N$12:$N$372,$Z47)="","",INDEX($N$12:$N$372,$Z47)))</f>
        <v/>
      </c>
      <c r="D47" s="29">
        <f>IF($C47="","",INDEX($O$12:$O$372,$Z47))</f>
        <v/>
      </c>
      <c r="E47" s="158">
        <f>IF($C47="","",INDEX($P$12:$P$372,$Z47))</f>
        <v/>
      </c>
      <c r="F47" s="29">
        <f>IF($C47="","",INDEX($Q$12:$Q$372,$Z47))</f>
        <v/>
      </c>
      <c r="G47" s="248">
        <f>IF($C47="","",INDEX($R$12:$R$372,$Z47))</f>
        <v/>
      </c>
      <c r="H47" s="248">
        <f>IF($C47="","",INDEX($S$12:$S$372,$Z47))</f>
        <v/>
      </c>
      <c r="I47" s="248">
        <f>IF($C47="","",N($I46)+$G47-$H47)</f>
        <v/>
      </c>
      <c r="J47" s="6" t="n"/>
      <c r="K47" s="6" t="n"/>
      <c r="L47" s="3" t="n"/>
      <c r="M47" s="3" t="n">
        <v>36</v>
      </c>
      <c r="N47" s="3">
        <f>IF(OR($U47=0,$W47="",$X47&lt;=0),"",IF($W47&gt;TODAY(),"",IF(AND(INDEX(UCRETLER!$E$7:$E$406,$U47)&lt;&gt;"",$W47&gt;INDEX(UCRETLER!$E$7:$E$406,$U47)),"",$W47)))</f>
        <v/>
      </c>
      <c r="O47" s="3">
        <f>IF($N47="","",IF(INDEX(UCRETLER!$F$7:$F$406,$U47)="Aylık",TEXT($N47,"mmmm yyyy")&amp;" aylık muhasebe hizmet ücreti",TEXT($N47,"dd.mm.yyyy")&amp;" haftalık muhasebe hizmet ücreti"))</f>
        <v/>
      </c>
      <c r="P47" s="3">
        <f>IF($N47="","","TAHAKKUK")</f>
        <v/>
      </c>
      <c r="Q47" s="3">
        <f>IF($N47="","","600 Muhasebe Hizmet Geliri")</f>
        <v/>
      </c>
      <c r="R47" s="3">
        <f>IF($N47="",0,$X47)</f>
        <v/>
      </c>
      <c r="S47" s="3" t="n">
        <v>0</v>
      </c>
      <c r="T47" s="3">
        <f>IF($N47="",10000000000,$N47*100000+$M47)</f>
        <v/>
      </c>
      <c r="U47" s="3">
        <f>$AB$4</f>
        <v/>
      </c>
      <c r="V47" s="3" t="n">
        <v>35</v>
      </c>
      <c r="W47" s="3">
        <f>IF($U47=0,"",IF(INDEX(UCRETLER!$D$7:$D$406,$U47)="","",IF(INDEX(UCRETLER!$F$7:$F$406,$U47)="Aylık",EOMONTH(INDEX(UCRETLER!$D$7:$D$406,$U47),$V47-1),INDEX(UCRETLER!$D$7:$D$406,$U47)+MOD(SISTEM!$F$8-WEEKDAY(INDEX(UCRETLER!$D$7:$D$406,$U47),2),7)+7*($V47-1))))</f>
        <v/>
      </c>
      <c r="X47" s="3">
        <f>IF($U47=0,0,INDEX(UCRETLER!$G$7:$G$406,$U47))</f>
        <v/>
      </c>
      <c r="Y47" s="3">
        <f>IFERROR(SMALL($T$12:$T$372,ROW()-11),"")</f>
        <v/>
      </c>
      <c r="Z47" s="3">
        <f>IFERROR(MATCH($Y47,$T$12:$T$372,0),"")</f>
        <v/>
      </c>
      <c r="AA47" s="3" t="n"/>
      <c r="AB47" s="3" t="n"/>
      <c r="AC47" s="3" t="n"/>
    </row>
    <row r="48">
      <c r="A48" s="6" t="n"/>
      <c r="B48" s="158">
        <f>IF($C48="","",ROW()-11)</f>
        <v/>
      </c>
      <c r="C48" s="247">
        <f>IF($Z48="","",IF(INDEX($N$12:$N$372,$Z48)="","",INDEX($N$12:$N$372,$Z48)))</f>
        <v/>
      </c>
      <c r="D48" s="29">
        <f>IF($C48="","",INDEX($O$12:$O$372,$Z48))</f>
        <v/>
      </c>
      <c r="E48" s="158">
        <f>IF($C48="","",INDEX($P$12:$P$372,$Z48))</f>
        <v/>
      </c>
      <c r="F48" s="29">
        <f>IF($C48="","",INDEX($Q$12:$Q$372,$Z48))</f>
        <v/>
      </c>
      <c r="G48" s="248">
        <f>IF($C48="","",INDEX($R$12:$R$372,$Z48))</f>
        <v/>
      </c>
      <c r="H48" s="248">
        <f>IF($C48="","",INDEX($S$12:$S$372,$Z48))</f>
        <v/>
      </c>
      <c r="I48" s="248">
        <f>IF($C48="","",N($I47)+$G48-$H48)</f>
        <v/>
      </c>
      <c r="J48" s="6" t="n"/>
      <c r="K48" s="6" t="n"/>
      <c r="L48" s="3" t="n"/>
      <c r="M48" s="3" t="n">
        <v>37</v>
      </c>
      <c r="N48" s="3">
        <f>IF(OR($U48=0,$W48="",$X48&lt;=0),"",IF($W48&gt;TODAY(),"",IF(AND(INDEX(UCRETLER!$E$7:$E$406,$U48)&lt;&gt;"",$W48&gt;INDEX(UCRETLER!$E$7:$E$406,$U48)),"",$W48)))</f>
        <v/>
      </c>
      <c r="O48" s="3">
        <f>IF($N48="","",IF(INDEX(UCRETLER!$F$7:$F$406,$U48)="Aylık",TEXT($N48,"mmmm yyyy")&amp;" aylık muhasebe hizmet ücreti",TEXT($N48,"dd.mm.yyyy")&amp;" haftalık muhasebe hizmet ücreti"))</f>
        <v/>
      </c>
      <c r="P48" s="3">
        <f>IF($N48="","","TAHAKKUK")</f>
        <v/>
      </c>
      <c r="Q48" s="3">
        <f>IF($N48="","","600 Muhasebe Hizmet Geliri")</f>
        <v/>
      </c>
      <c r="R48" s="3">
        <f>IF($N48="",0,$X48)</f>
        <v/>
      </c>
      <c r="S48" s="3" t="n">
        <v>0</v>
      </c>
      <c r="T48" s="3">
        <f>IF($N48="",10000000000,$N48*100000+$M48)</f>
        <v/>
      </c>
      <c r="U48" s="3">
        <f>$AB$4</f>
        <v/>
      </c>
      <c r="V48" s="3" t="n">
        <v>36</v>
      </c>
      <c r="W48" s="3">
        <f>IF($U48=0,"",IF(INDEX(UCRETLER!$D$7:$D$406,$U48)="","",IF(INDEX(UCRETLER!$F$7:$F$406,$U48)="Aylık",EOMONTH(INDEX(UCRETLER!$D$7:$D$406,$U48),$V48-1),INDEX(UCRETLER!$D$7:$D$406,$U48)+MOD(SISTEM!$F$8-WEEKDAY(INDEX(UCRETLER!$D$7:$D$406,$U48),2),7)+7*($V48-1))))</f>
        <v/>
      </c>
      <c r="X48" s="3">
        <f>IF($U48=0,0,INDEX(UCRETLER!$G$7:$G$406,$U48))</f>
        <v/>
      </c>
      <c r="Y48" s="3">
        <f>IFERROR(SMALL($T$12:$T$372,ROW()-11),"")</f>
        <v/>
      </c>
      <c r="Z48" s="3">
        <f>IFERROR(MATCH($Y48,$T$12:$T$372,0),"")</f>
        <v/>
      </c>
      <c r="AA48" s="3" t="n"/>
      <c r="AB48" s="3" t="n"/>
      <c r="AC48" s="3" t="n"/>
    </row>
    <row r="49">
      <c r="A49" s="6" t="n"/>
      <c r="B49" s="158">
        <f>IF($C49="","",ROW()-11)</f>
        <v/>
      </c>
      <c r="C49" s="247">
        <f>IF($Z49="","",IF(INDEX($N$12:$N$372,$Z49)="","",INDEX($N$12:$N$372,$Z49)))</f>
        <v/>
      </c>
      <c r="D49" s="29">
        <f>IF($C49="","",INDEX($O$12:$O$372,$Z49))</f>
        <v/>
      </c>
      <c r="E49" s="158">
        <f>IF($C49="","",INDEX($P$12:$P$372,$Z49))</f>
        <v/>
      </c>
      <c r="F49" s="29">
        <f>IF($C49="","",INDEX($Q$12:$Q$372,$Z49))</f>
        <v/>
      </c>
      <c r="G49" s="248">
        <f>IF($C49="","",INDEX($R$12:$R$372,$Z49))</f>
        <v/>
      </c>
      <c r="H49" s="248">
        <f>IF($C49="","",INDEX($S$12:$S$372,$Z49))</f>
        <v/>
      </c>
      <c r="I49" s="248">
        <f>IF($C49="","",N($I48)+$G49-$H49)</f>
        <v/>
      </c>
      <c r="J49" s="6" t="n"/>
      <c r="K49" s="6" t="n"/>
      <c r="L49" s="3" t="n"/>
      <c r="M49" s="3" t="n">
        <v>38</v>
      </c>
      <c r="N49" s="3">
        <f>IF(OR($U49=0,$W49="",$X49&lt;=0),"",IF($W49&gt;TODAY(),"",IF(AND(INDEX(UCRETLER!$E$7:$E$406,$U49)&lt;&gt;"",$W49&gt;INDEX(UCRETLER!$E$7:$E$406,$U49)),"",$W49)))</f>
        <v/>
      </c>
      <c r="O49" s="3">
        <f>IF($N49="","",IF(INDEX(UCRETLER!$F$7:$F$406,$U49)="Aylık",TEXT($N49,"mmmm yyyy")&amp;" aylık muhasebe hizmet ücreti",TEXT($N49,"dd.mm.yyyy")&amp;" haftalık muhasebe hizmet ücreti"))</f>
        <v/>
      </c>
      <c r="P49" s="3">
        <f>IF($N49="","","TAHAKKUK")</f>
        <v/>
      </c>
      <c r="Q49" s="3">
        <f>IF($N49="","","600 Muhasebe Hizmet Geliri")</f>
        <v/>
      </c>
      <c r="R49" s="3">
        <f>IF($N49="",0,$X49)</f>
        <v/>
      </c>
      <c r="S49" s="3" t="n">
        <v>0</v>
      </c>
      <c r="T49" s="3">
        <f>IF($N49="",10000000000,$N49*100000+$M49)</f>
        <v/>
      </c>
      <c r="U49" s="3">
        <f>$AB$4</f>
        <v/>
      </c>
      <c r="V49" s="3" t="n">
        <v>37</v>
      </c>
      <c r="W49" s="3">
        <f>IF($U49=0,"",IF(INDEX(UCRETLER!$D$7:$D$406,$U49)="","",IF(INDEX(UCRETLER!$F$7:$F$406,$U49)="Aylık",EOMONTH(INDEX(UCRETLER!$D$7:$D$406,$U49),$V49-1),INDEX(UCRETLER!$D$7:$D$406,$U49)+MOD(SISTEM!$F$8-WEEKDAY(INDEX(UCRETLER!$D$7:$D$406,$U49),2),7)+7*($V49-1))))</f>
        <v/>
      </c>
      <c r="X49" s="3">
        <f>IF($U49=0,0,INDEX(UCRETLER!$G$7:$G$406,$U49))</f>
        <v/>
      </c>
      <c r="Y49" s="3">
        <f>IFERROR(SMALL($T$12:$T$372,ROW()-11),"")</f>
        <v/>
      </c>
      <c r="Z49" s="3">
        <f>IFERROR(MATCH($Y49,$T$12:$T$372,0),"")</f>
        <v/>
      </c>
      <c r="AA49" s="3" t="n"/>
      <c r="AB49" s="3" t="n"/>
      <c r="AC49" s="3" t="n"/>
    </row>
    <row r="50">
      <c r="A50" s="6" t="n"/>
      <c r="B50" s="158">
        <f>IF($C50="","",ROW()-11)</f>
        <v/>
      </c>
      <c r="C50" s="247">
        <f>IF($Z50="","",IF(INDEX($N$12:$N$372,$Z50)="","",INDEX($N$12:$N$372,$Z50)))</f>
        <v/>
      </c>
      <c r="D50" s="29">
        <f>IF($C50="","",INDEX($O$12:$O$372,$Z50))</f>
        <v/>
      </c>
      <c r="E50" s="158">
        <f>IF($C50="","",INDEX($P$12:$P$372,$Z50))</f>
        <v/>
      </c>
      <c r="F50" s="29">
        <f>IF($C50="","",INDEX($Q$12:$Q$372,$Z50))</f>
        <v/>
      </c>
      <c r="G50" s="248">
        <f>IF($C50="","",INDEX($R$12:$R$372,$Z50))</f>
        <v/>
      </c>
      <c r="H50" s="248">
        <f>IF($C50="","",INDEX($S$12:$S$372,$Z50))</f>
        <v/>
      </c>
      <c r="I50" s="248">
        <f>IF($C50="","",N($I49)+$G50-$H50)</f>
        <v/>
      </c>
      <c r="J50" s="6" t="n"/>
      <c r="K50" s="6" t="n"/>
      <c r="L50" s="3" t="n"/>
      <c r="M50" s="3" t="n">
        <v>39</v>
      </c>
      <c r="N50" s="3">
        <f>IF(OR($U50=0,$W50="",$X50&lt;=0),"",IF($W50&gt;TODAY(),"",IF(AND(INDEX(UCRETLER!$E$7:$E$406,$U50)&lt;&gt;"",$W50&gt;INDEX(UCRETLER!$E$7:$E$406,$U50)),"",$W50)))</f>
        <v/>
      </c>
      <c r="O50" s="3">
        <f>IF($N50="","",IF(INDEX(UCRETLER!$F$7:$F$406,$U50)="Aylık",TEXT($N50,"mmmm yyyy")&amp;" aylık muhasebe hizmet ücreti",TEXT($N50,"dd.mm.yyyy")&amp;" haftalık muhasebe hizmet ücreti"))</f>
        <v/>
      </c>
      <c r="P50" s="3">
        <f>IF($N50="","","TAHAKKUK")</f>
        <v/>
      </c>
      <c r="Q50" s="3">
        <f>IF($N50="","","600 Muhasebe Hizmet Geliri")</f>
        <v/>
      </c>
      <c r="R50" s="3">
        <f>IF($N50="",0,$X50)</f>
        <v/>
      </c>
      <c r="S50" s="3" t="n">
        <v>0</v>
      </c>
      <c r="T50" s="3">
        <f>IF($N50="",10000000000,$N50*100000+$M50)</f>
        <v/>
      </c>
      <c r="U50" s="3">
        <f>$AB$4</f>
        <v/>
      </c>
      <c r="V50" s="3" t="n">
        <v>38</v>
      </c>
      <c r="W50" s="3">
        <f>IF($U50=0,"",IF(INDEX(UCRETLER!$D$7:$D$406,$U50)="","",IF(INDEX(UCRETLER!$F$7:$F$406,$U50)="Aylık",EOMONTH(INDEX(UCRETLER!$D$7:$D$406,$U50),$V50-1),INDEX(UCRETLER!$D$7:$D$406,$U50)+MOD(SISTEM!$F$8-WEEKDAY(INDEX(UCRETLER!$D$7:$D$406,$U50),2),7)+7*($V50-1))))</f>
        <v/>
      </c>
      <c r="X50" s="3">
        <f>IF($U50=0,0,INDEX(UCRETLER!$G$7:$G$406,$U50))</f>
        <v/>
      </c>
      <c r="Y50" s="3">
        <f>IFERROR(SMALL($T$12:$T$372,ROW()-11),"")</f>
        <v/>
      </c>
      <c r="Z50" s="3">
        <f>IFERROR(MATCH($Y50,$T$12:$T$372,0),"")</f>
        <v/>
      </c>
      <c r="AA50" s="3" t="n"/>
      <c r="AB50" s="3" t="n"/>
      <c r="AC50" s="3" t="n"/>
    </row>
    <row r="51">
      <c r="A51" s="6" t="n"/>
      <c r="B51" s="158">
        <f>IF($C51="","",ROW()-11)</f>
        <v/>
      </c>
      <c r="C51" s="247">
        <f>IF($Z51="","",IF(INDEX($N$12:$N$372,$Z51)="","",INDEX($N$12:$N$372,$Z51)))</f>
        <v/>
      </c>
      <c r="D51" s="29">
        <f>IF($C51="","",INDEX($O$12:$O$372,$Z51))</f>
        <v/>
      </c>
      <c r="E51" s="158">
        <f>IF($C51="","",INDEX($P$12:$P$372,$Z51))</f>
        <v/>
      </c>
      <c r="F51" s="29">
        <f>IF($C51="","",INDEX($Q$12:$Q$372,$Z51))</f>
        <v/>
      </c>
      <c r="G51" s="248">
        <f>IF($C51="","",INDEX($R$12:$R$372,$Z51))</f>
        <v/>
      </c>
      <c r="H51" s="248">
        <f>IF($C51="","",INDEX($S$12:$S$372,$Z51))</f>
        <v/>
      </c>
      <c r="I51" s="248">
        <f>IF($C51="","",N($I50)+$G51-$H51)</f>
        <v/>
      </c>
      <c r="J51" s="6" t="n"/>
      <c r="K51" s="6" t="n"/>
      <c r="L51" s="3" t="n"/>
      <c r="M51" s="3" t="n">
        <v>40</v>
      </c>
      <c r="N51" s="3">
        <f>IF(OR($U51=0,$W51="",$X51&lt;=0),"",IF($W51&gt;TODAY(),"",IF(AND(INDEX(UCRETLER!$E$7:$E$406,$U51)&lt;&gt;"",$W51&gt;INDEX(UCRETLER!$E$7:$E$406,$U51)),"",$W51)))</f>
        <v/>
      </c>
      <c r="O51" s="3">
        <f>IF($N51="","",IF(INDEX(UCRETLER!$F$7:$F$406,$U51)="Aylık",TEXT($N51,"mmmm yyyy")&amp;" aylık muhasebe hizmet ücreti",TEXT($N51,"dd.mm.yyyy")&amp;" haftalık muhasebe hizmet ücreti"))</f>
        <v/>
      </c>
      <c r="P51" s="3">
        <f>IF($N51="","","TAHAKKUK")</f>
        <v/>
      </c>
      <c r="Q51" s="3">
        <f>IF($N51="","","600 Muhasebe Hizmet Geliri")</f>
        <v/>
      </c>
      <c r="R51" s="3">
        <f>IF($N51="",0,$X51)</f>
        <v/>
      </c>
      <c r="S51" s="3" t="n">
        <v>0</v>
      </c>
      <c r="T51" s="3">
        <f>IF($N51="",10000000000,$N51*100000+$M51)</f>
        <v/>
      </c>
      <c r="U51" s="3">
        <f>$AB$4</f>
        <v/>
      </c>
      <c r="V51" s="3" t="n">
        <v>39</v>
      </c>
      <c r="W51" s="3">
        <f>IF($U51=0,"",IF(INDEX(UCRETLER!$D$7:$D$406,$U51)="","",IF(INDEX(UCRETLER!$F$7:$F$406,$U51)="Aylık",EOMONTH(INDEX(UCRETLER!$D$7:$D$406,$U51),$V51-1),INDEX(UCRETLER!$D$7:$D$406,$U51)+MOD(SISTEM!$F$8-WEEKDAY(INDEX(UCRETLER!$D$7:$D$406,$U51),2),7)+7*($V51-1))))</f>
        <v/>
      </c>
      <c r="X51" s="3">
        <f>IF($U51=0,0,INDEX(UCRETLER!$G$7:$G$406,$U51))</f>
        <v/>
      </c>
      <c r="Y51" s="3">
        <f>IFERROR(SMALL($T$12:$T$372,ROW()-11),"")</f>
        <v/>
      </c>
      <c r="Z51" s="3">
        <f>IFERROR(MATCH($Y51,$T$12:$T$372,0),"")</f>
        <v/>
      </c>
      <c r="AA51" s="3" t="n"/>
      <c r="AB51" s="3" t="n"/>
      <c r="AC51" s="3" t="n"/>
    </row>
    <row r="52">
      <c r="A52" s="6" t="n"/>
      <c r="B52" s="158">
        <f>IF($C52="","",ROW()-11)</f>
        <v/>
      </c>
      <c r="C52" s="247">
        <f>IF($Z52="","",IF(INDEX($N$12:$N$372,$Z52)="","",INDEX($N$12:$N$372,$Z52)))</f>
        <v/>
      </c>
      <c r="D52" s="29">
        <f>IF($C52="","",INDEX($O$12:$O$372,$Z52))</f>
        <v/>
      </c>
      <c r="E52" s="158">
        <f>IF($C52="","",INDEX($P$12:$P$372,$Z52))</f>
        <v/>
      </c>
      <c r="F52" s="29">
        <f>IF($C52="","",INDEX($Q$12:$Q$372,$Z52))</f>
        <v/>
      </c>
      <c r="G52" s="248">
        <f>IF($C52="","",INDEX($R$12:$R$372,$Z52))</f>
        <v/>
      </c>
      <c r="H52" s="248">
        <f>IF($C52="","",INDEX($S$12:$S$372,$Z52))</f>
        <v/>
      </c>
      <c r="I52" s="248">
        <f>IF($C52="","",N($I51)+$G52-$H52)</f>
        <v/>
      </c>
      <c r="J52" s="6" t="n"/>
      <c r="K52" s="6" t="n"/>
      <c r="L52" s="3" t="n"/>
      <c r="M52" s="3" t="n">
        <v>41</v>
      </c>
      <c r="N52" s="3">
        <f>IF(OR($U52=0,$W52="",$X52&lt;=0),"",IF($W52&gt;TODAY(),"",IF(AND(INDEX(UCRETLER!$E$7:$E$406,$U52)&lt;&gt;"",$W52&gt;INDEX(UCRETLER!$E$7:$E$406,$U52)),"",$W52)))</f>
        <v/>
      </c>
      <c r="O52" s="3">
        <f>IF($N52="","",IF(INDEX(UCRETLER!$F$7:$F$406,$U52)="Aylık",TEXT($N52,"mmmm yyyy")&amp;" aylık muhasebe hizmet ücreti",TEXT($N52,"dd.mm.yyyy")&amp;" haftalık muhasebe hizmet ücreti"))</f>
        <v/>
      </c>
      <c r="P52" s="3">
        <f>IF($N52="","","TAHAKKUK")</f>
        <v/>
      </c>
      <c r="Q52" s="3">
        <f>IF($N52="","","600 Muhasebe Hizmet Geliri")</f>
        <v/>
      </c>
      <c r="R52" s="3">
        <f>IF($N52="",0,$X52)</f>
        <v/>
      </c>
      <c r="S52" s="3" t="n">
        <v>0</v>
      </c>
      <c r="T52" s="3">
        <f>IF($N52="",10000000000,$N52*100000+$M52)</f>
        <v/>
      </c>
      <c r="U52" s="3">
        <f>$AB$4</f>
        <v/>
      </c>
      <c r="V52" s="3" t="n">
        <v>40</v>
      </c>
      <c r="W52" s="3">
        <f>IF($U52=0,"",IF(INDEX(UCRETLER!$D$7:$D$406,$U52)="","",IF(INDEX(UCRETLER!$F$7:$F$406,$U52)="Aylık",EOMONTH(INDEX(UCRETLER!$D$7:$D$406,$U52),$V52-1),INDEX(UCRETLER!$D$7:$D$406,$U52)+MOD(SISTEM!$F$8-WEEKDAY(INDEX(UCRETLER!$D$7:$D$406,$U52),2),7)+7*($V52-1))))</f>
        <v/>
      </c>
      <c r="X52" s="3">
        <f>IF($U52=0,0,INDEX(UCRETLER!$G$7:$G$406,$U52))</f>
        <v/>
      </c>
      <c r="Y52" s="3">
        <f>IFERROR(SMALL($T$12:$T$372,ROW()-11),"")</f>
        <v/>
      </c>
      <c r="Z52" s="3">
        <f>IFERROR(MATCH($Y52,$T$12:$T$372,0),"")</f>
        <v/>
      </c>
      <c r="AA52" s="3" t="n"/>
      <c r="AB52" s="3" t="n"/>
      <c r="AC52" s="3" t="n"/>
    </row>
    <row r="53">
      <c r="A53" s="6" t="n"/>
      <c r="B53" s="158">
        <f>IF($C53="","",ROW()-11)</f>
        <v/>
      </c>
      <c r="C53" s="247">
        <f>IF($Z53="","",IF(INDEX($N$12:$N$372,$Z53)="","",INDEX($N$12:$N$372,$Z53)))</f>
        <v/>
      </c>
      <c r="D53" s="29">
        <f>IF($C53="","",INDEX($O$12:$O$372,$Z53))</f>
        <v/>
      </c>
      <c r="E53" s="158">
        <f>IF($C53="","",INDEX($P$12:$P$372,$Z53))</f>
        <v/>
      </c>
      <c r="F53" s="29">
        <f>IF($C53="","",INDEX($Q$12:$Q$372,$Z53))</f>
        <v/>
      </c>
      <c r="G53" s="248">
        <f>IF($C53="","",INDEX($R$12:$R$372,$Z53))</f>
        <v/>
      </c>
      <c r="H53" s="248">
        <f>IF($C53="","",INDEX($S$12:$S$372,$Z53))</f>
        <v/>
      </c>
      <c r="I53" s="248">
        <f>IF($C53="","",N($I52)+$G53-$H53)</f>
        <v/>
      </c>
      <c r="J53" s="6" t="n"/>
      <c r="K53" s="6" t="n"/>
      <c r="L53" s="3" t="n"/>
      <c r="M53" s="3" t="n">
        <v>42</v>
      </c>
      <c r="N53" s="3">
        <f>IF(OR($U53=0,$W53="",$X53&lt;=0),"",IF($W53&gt;TODAY(),"",IF(AND(INDEX(UCRETLER!$E$7:$E$406,$U53)&lt;&gt;"",$W53&gt;INDEX(UCRETLER!$E$7:$E$406,$U53)),"",$W53)))</f>
        <v/>
      </c>
      <c r="O53" s="3">
        <f>IF($N53="","",IF(INDEX(UCRETLER!$F$7:$F$406,$U53)="Aylık",TEXT($N53,"mmmm yyyy")&amp;" aylık muhasebe hizmet ücreti",TEXT($N53,"dd.mm.yyyy")&amp;" haftalık muhasebe hizmet ücreti"))</f>
        <v/>
      </c>
      <c r="P53" s="3">
        <f>IF($N53="","","TAHAKKUK")</f>
        <v/>
      </c>
      <c r="Q53" s="3">
        <f>IF($N53="","","600 Muhasebe Hizmet Geliri")</f>
        <v/>
      </c>
      <c r="R53" s="3">
        <f>IF($N53="",0,$X53)</f>
        <v/>
      </c>
      <c r="S53" s="3" t="n">
        <v>0</v>
      </c>
      <c r="T53" s="3">
        <f>IF($N53="",10000000000,$N53*100000+$M53)</f>
        <v/>
      </c>
      <c r="U53" s="3">
        <f>$AB$4</f>
        <v/>
      </c>
      <c r="V53" s="3" t="n">
        <v>41</v>
      </c>
      <c r="W53" s="3">
        <f>IF($U53=0,"",IF(INDEX(UCRETLER!$D$7:$D$406,$U53)="","",IF(INDEX(UCRETLER!$F$7:$F$406,$U53)="Aylık",EOMONTH(INDEX(UCRETLER!$D$7:$D$406,$U53),$V53-1),INDEX(UCRETLER!$D$7:$D$406,$U53)+MOD(SISTEM!$F$8-WEEKDAY(INDEX(UCRETLER!$D$7:$D$406,$U53),2),7)+7*($V53-1))))</f>
        <v/>
      </c>
      <c r="X53" s="3">
        <f>IF($U53=0,0,INDEX(UCRETLER!$G$7:$G$406,$U53))</f>
        <v/>
      </c>
      <c r="Y53" s="3">
        <f>IFERROR(SMALL($T$12:$T$372,ROW()-11),"")</f>
        <v/>
      </c>
      <c r="Z53" s="3">
        <f>IFERROR(MATCH($Y53,$T$12:$T$372,0),"")</f>
        <v/>
      </c>
      <c r="AA53" s="3" t="n"/>
      <c r="AB53" s="3" t="n"/>
      <c r="AC53" s="3" t="n"/>
    </row>
    <row r="54">
      <c r="A54" s="6" t="n"/>
      <c r="B54" s="158">
        <f>IF($C54="","",ROW()-11)</f>
        <v/>
      </c>
      <c r="C54" s="247">
        <f>IF($Z54="","",IF(INDEX($N$12:$N$372,$Z54)="","",INDEX($N$12:$N$372,$Z54)))</f>
        <v/>
      </c>
      <c r="D54" s="29">
        <f>IF($C54="","",INDEX($O$12:$O$372,$Z54))</f>
        <v/>
      </c>
      <c r="E54" s="158">
        <f>IF($C54="","",INDEX($P$12:$P$372,$Z54))</f>
        <v/>
      </c>
      <c r="F54" s="29">
        <f>IF($C54="","",INDEX($Q$12:$Q$372,$Z54))</f>
        <v/>
      </c>
      <c r="G54" s="248">
        <f>IF($C54="","",INDEX($R$12:$R$372,$Z54))</f>
        <v/>
      </c>
      <c r="H54" s="248">
        <f>IF($C54="","",INDEX($S$12:$S$372,$Z54))</f>
        <v/>
      </c>
      <c r="I54" s="248">
        <f>IF($C54="","",N($I53)+$G54-$H54)</f>
        <v/>
      </c>
      <c r="J54" s="6" t="n"/>
      <c r="K54" s="6" t="n"/>
      <c r="L54" s="3" t="n"/>
      <c r="M54" s="3" t="n">
        <v>43</v>
      </c>
      <c r="N54" s="3">
        <f>IF(OR($U54=0,$W54="",$X54&lt;=0),"",IF($W54&gt;TODAY(),"",IF(AND(INDEX(UCRETLER!$E$7:$E$406,$U54)&lt;&gt;"",$W54&gt;INDEX(UCRETLER!$E$7:$E$406,$U54)),"",$W54)))</f>
        <v/>
      </c>
      <c r="O54" s="3">
        <f>IF($N54="","",IF(INDEX(UCRETLER!$F$7:$F$406,$U54)="Aylık",TEXT($N54,"mmmm yyyy")&amp;" aylık muhasebe hizmet ücreti",TEXT($N54,"dd.mm.yyyy")&amp;" haftalık muhasebe hizmet ücreti"))</f>
        <v/>
      </c>
      <c r="P54" s="3">
        <f>IF($N54="","","TAHAKKUK")</f>
        <v/>
      </c>
      <c r="Q54" s="3">
        <f>IF($N54="","","600 Muhasebe Hizmet Geliri")</f>
        <v/>
      </c>
      <c r="R54" s="3">
        <f>IF($N54="",0,$X54)</f>
        <v/>
      </c>
      <c r="S54" s="3" t="n">
        <v>0</v>
      </c>
      <c r="T54" s="3">
        <f>IF($N54="",10000000000,$N54*100000+$M54)</f>
        <v/>
      </c>
      <c r="U54" s="3">
        <f>$AB$4</f>
        <v/>
      </c>
      <c r="V54" s="3" t="n">
        <v>42</v>
      </c>
      <c r="W54" s="3">
        <f>IF($U54=0,"",IF(INDEX(UCRETLER!$D$7:$D$406,$U54)="","",IF(INDEX(UCRETLER!$F$7:$F$406,$U54)="Aylık",EOMONTH(INDEX(UCRETLER!$D$7:$D$406,$U54),$V54-1),INDEX(UCRETLER!$D$7:$D$406,$U54)+MOD(SISTEM!$F$8-WEEKDAY(INDEX(UCRETLER!$D$7:$D$406,$U54),2),7)+7*($V54-1))))</f>
        <v/>
      </c>
      <c r="X54" s="3">
        <f>IF($U54=0,0,INDEX(UCRETLER!$G$7:$G$406,$U54))</f>
        <v/>
      </c>
      <c r="Y54" s="3">
        <f>IFERROR(SMALL($T$12:$T$372,ROW()-11),"")</f>
        <v/>
      </c>
      <c r="Z54" s="3">
        <f>IFERROR(MATCH($Y54,$T$12:$T$372,0),"")</f>
        <v/>
      </c>
      <c r="AA54" s="3" t="n"/>
      <c r="AB54" s="3" t="n"/>
      <c r="AC54" s="3" t="n"/>
    </row>
    <row r="55">
      <c r="A55" s="6" t="n"/>
      <c r="B55" s="158">
        <f>IF($C55="","",ROW()-11)</f>
        <v/>
      </c>
      <c r="C55" s="247">
        <f>IF($Z55="","",IF(INDEX($N$12:$N$372,$Z55)="","",INDEX($N$12:$N$372,$Z55)))</f>
        <v/>
      </c>
      <c r="D55" s="29">
        <f>IF($C55="","",INDEX($O$12:$O$372,$Z55))</f>
        <v/>
      </c>
      <c r="E55" s="158">
        <f>IF($C55="","",INDEX($P$12:$P$372,$Z55))</f>
        <v/>
      </c>
      <c r="F55" s="29">
        <f>IF($C55="","",INDEX($Q$12:$Q$372,$Z55))</f>
        <v/>
      </c>
      <c r="G55" s="248">
        <f>IF($C55="","",INDEX($R$12:$R$372,$Z55))</f>
        <v/>
      </c>
      <c r="H55" s="248">
        <f>IF($C55="","",INDEX($S$12:$S$372,$Z55))</f>
        <v/>
      </c>
      <c r="I55" s="248">
        <f>IF($C55="","",N($I54)+$G55-$H55)</f>
        <v/>
      </c>
      <c r="J55" s="6" t="n"/>
      <c r="K55" s="6" t="n"/>
      <c r="L55" s="3" t="n"/>
      <c r="M55" s="3" t="n">
        <v>44</v>
      </c>
      <c r="N55" s="3">
        <f>IF(OR($U55=0,$W55="",$X55&lt;=0),"",IF($W55&gt;TODAY(),"",IF(AND(INDEX(UCRETLER!$E$7:$E$406,$U55)&lt;&gt;"",$W55&gt;INDEX(UCRETLER!$E$7:$E$406,$U55)),"",$W55)))</f>
        <v/>
      </c>
      <c r="O55" s="3">
        <f>IF($N55="","",IF(INDEX(UCRETLER!$F$7:$F$406,$U55)="Aylık",TEXT($N55,"mmmm yyyy")&amp;" aylık muhasebe hizmet ücreti",TEXT($N55,"dd.mm.yyyy")&amp;" haftalık muhasebe hizmet ücreti"))</f>
        <v/>
      </c>
      <c r="P55" s="3">
        <f>IF($N55="","","TAHAKKUK")</f>
        <v/>
      </c>
      <c r="Q55" s="3">
        <f>IF($N55="","","600 Muhasebe Hizmet Geliri")</f>
        <v/>
      </c>
      <c r="R55" s="3">
        <f>IF($N55="",0,$X55)</f>
        <v/>
      </c>
      <c r="S55" s="3" t="n">
        <v>0</v>
      </c>
      <c r="T55" s="3">
        <f>IF($N55="",10000000000,$N55*100000+$M55)</f>
        <v/>
      </c>
      <c r="U55" s="3">
        <f>$AB$4</f>
        <v/>
      </c>
      <c r="V55" s="3" t="n">
        <v>43</v>
      </c>
      <c r="W55" s="3">
        <f>IF($U55=0,"",IF(INDEX(UCRETLER!$D$7:$D$406,$U55)="","",IF(INDEX(UCRETLER!$F$7:$F$406,$U55)="Aylık",EOMONTH(INDEX(UCRETLER!$D$7:$D$406,$U55),$V55-1),INDEX(UCRETLER!$D$7:$D$406,$U55)+MOD(SISTEM!$F$8-WEEKDAY(INDEX(UCRETLER!$D$7:$D$406,$U55),2),7)+7*($V55-1))))</f>
        <v/>
      </c>
      <c r="X55" s="3">
        <f>IF($U55=0,0,INDEX(UCRETLER!$G$7:$G$406,$U55))</f>
        <v/>
      </c>
      <c r="Y55" s="3">
        <f>IFERROR(SMALL($T$12:$T$372,ROW()-11),"")</f>
        <v/>
      </c>
      <c r="Z55" s="3">
        <f>IFERROR(MATCH($Y55,$T$12:$T$372,0),"")</f>
        <v/>
      </c>
      <c r="AA55" s="3" t="n"/>
      <c r="AB55" s="3" t="n"/>
      <c r="AC55" s="3" t="n"/>
    </row>
    <row r="56">
      <c r="A56" s="6" t="n"/>
      <c r="B56" s="158">
        <f>IF($C56="","",ROW()-11)</f>
        <v/>
      </c>
      <c r="C56" s="247">
        <f>IF($Z56="","",IF(INDEX($N$12:$N$372,$Z56)="","",INDEX($N$12:$N$372,$Z56)))</f>
        <v/>
      </c>
      <c r="D56" s="29">
        <f>IF($C56="","",INDEX($O$12:$O$372,$Z56))</f>
        <v/>
      </c>
      <c r="E56" s="158">
        <f>IF($C56="","",INDEX($P$12:$P$372,$Z56))</f>
        <v/>
      </c>
      <c r="F56" s="29">
        <f>IF($C56="","",INDEX($Q$12:$Q$372,$Z56))</f>
        <v/>
      </c>
      <c r="G56" s="248">
        <f>IF($C56="","",INDEX($R$12:$R$372,$Z56))</f>
        <v/>
      </c>
      <c r="H56" s="248">
        <f>IF($C56="","",INDEX($S$12:$S$372,$Z56))</f>
        <v/>
      </c>
      <c r="I56" s="248">
        <f>IF($C56="","",N($I55)+$G56-$H56)</f>
        <v/>
      </c>
      <c r="J56" s="6" t="n"/>
      <c r="K56" s="6" t="n"/>
      <c r="L56" s="3" t="n"/>
      <c r="M56" s="3" t="n">
        <v>45</v>
      </c>
      <c r="N56" s="3">
        <f>IF(OR($U56=0,$W56="",$X56&lt;=0),"",IF($W56&gt;TODAY(),"",IF(AND(INDEX(UCRETLER!$E$7:$E$406,$U56)&lt;&gt;"",$W56&gt;INDEX(UCRETLER!$E$7:$E$406,$U56)),"",$W56)))</f>
        <v/>
      </c>
      <c r="O56" s="3">
        <f>IF($N56="","",IF(INDEX(UCRETLER!$F$7:$F$406,$U56)="Aylık",TEXT($N56,"mmmm yyyy")&amp;" aylık muhasebe hizmet ücreti",TEXT($N56,"dd.mm.yyyy")&amp;" haftalık muhasebe hizmet ücreti"))</f>
        <v/>
      </c>
      <c r="P56" s="3">
        <f>IF($N56="","","TAHAKKUK")</f>
        <v/>
      </c>
      <c r="Q56" s="3">
        <f>IF($N56="","","600 Muhasebe Hizmet Geliri")</f>
        <v/>
      </c>
      <c r="R56" s="3">
        <f>IF($N56="",0,$X56)</f>
        <v/>
      </c>
      <c r="S56" s="3" t="n">
        <v>0</v>
      </c>
      <c r="T56" s="3">
        <f>IF($N56="",10000000000,$N56*100000+$M56)</f>
        <v/>
      </c>
      <c r="U56" s="3">
        <f>$AB$4</f>
        <v/>
      </c>
      <c r="V56" s="3" t="n">
        <v>44</v>
      </c>
      <c r="W56" s="3">
        <f>IF($U56=0,"",IF(INDEX(UCRETLER!$D$7:$D$406,$U56)="","",IF(INDEX(UCRETLER!$F$7:$F$406,$U56)="Aylık",EOMONTH(INDEX(UCRETLER!$D$7:$D$406,$U56),$V56-1),INDEX(UCRETLER!$D$7:$D$406,$U56)+MOD(SISTEM!$F$8-WEEKDAY(INDEX(UCRETLER!$D$7:$D$406,$U56),2),7)+7*($V56-1))))</f>
        <v/>
      </c>
      <c r="X56" s="3">
        <f>IF($U56=0,0,INDEX(UCRETLER!$G$7:$G$406,$U56))</f>
        <v/>
      </c>
      <c r="Y56" s="3">
        <f>IFERROR(SMALL($T$12:$T$372,ROW()-11),"")</f>
        <v/>
      </c>
      <c r="Z56" s="3">
        <f>IFERROR(MATCH($Y56,$T$12:$T$372,0),"")</f>
        <v/>
      </c>
      <c r="AA56" s="3" t="n"/>
      <c r="AB56" s="3" t="n"/>
      <c r="AC56" s="3" t="n"/>
    </row>
    <row r="57">
      <c r="A57" s="6" t="n"/>
      <c r="B57" s="158">
        <f>IF($C57="","",ROW()-11)</f>
        <v/>
      </c>
      <c r="C57" s="247">
        <f>IF($Z57="","",IF(INDEX($N$12:$N$372,$Z57)="","",INDEX($N$12:$N$372,$Z57)))</f>
        <v/>
      </c>
      <c r="D57" s="29">
        <f>IF($C57="","",INDEX($O$12:$O$372,$Z57))</f>
        <v/>
      </c>
      <c r="E57" s="158">
        <f>IF($C57="","",INDEX($P$12:$P$372,$Z57))</f>
        <v/>
      </c>
      <c r="F57" s="29">
        <f>IF($C57="","",INDEX($Q$12:$Q$372,$Z57))</f>
        <v/>
      </c>
      <c r="G57" s="248">
        <f>IF($C57="","",INDEX($R$12:$R$372,$Z57))</f>
        <v/>
      </c>
      <c r="H57" s="248">
        <f>IF($C57="","",INDEX($S$12:$S$372,$Z57))</f>
        <v/>
      </c>
      <c r="I57" s="248">
        <f>IF($C57="","",N($I56)+$G57-$H57)</f>
        <v/>
      </c>
      <c r="J57" s="6" t="n"/>
      <c r="K57" s="6" t="n"/>
      <c r="L57" s="3" t="n"/>
      <c r="M57" s="3" t="n">
        <v>46</v>
      </c>
      <c r="N57" s="3">
        <f>IF(OR($U57=0,$W57="",$X57&lt;=0),"",IF($W57&gt;TODAY(),"",IF(AND(INDEX(UCRETLER!$E$7:$E$406,$U57)&lt;&gt;"",$W57&gt;INDEX(UCRETLER!$E$7:$E$406,$U57)),"",$W57)))</f>
        <v/>
      </c>
      <c r="O57" s="3">
        <f>IF($N57="","",IF(INDEX(UCRETLER!$F$7:$F$406,$U57)="Aylık",TEXT($N57,"mmmm yyyy")&amp;" aylık muhasebe hizmet ücreti",TEXT($N57,"dd.mm.yyyy")&amp;" haftalık muhasebe hizmet ücreti"))</f>
        <v/>
      </c>
      <c r="P57" s="3">
        <f>IF($N57="","","TAHAKKUK")</f>
        <v/>
      </c>
      <c r="Q57" s="3">
        <f>IF($N57="","","600 Muhasebe Hizmet Geliri")</f>
        <v/>
      </c>
      <c r="R57" s="3">
        <f>IF($N57="",0,$X57)</f>
        <v/>
      </c>
      <c r="S57" s="3" t="n">
        <v>0</v>
      </c>
      <c r="T57" s="3">
        <f>IF($N57="",10000000000,$N57*100000+$M57)</f>
        <v/>
      </c>
      <c r="U57" s="3">
        <f>$AB$4</f>
        <v/>
      </c>
      <c r="V57" s="3" t="n">
        <v>45</v>
      </c>
      <c r="W57" s="3">
        <f>IF($U57=0,"",IF(INDEX(UCRETLER!$D$7:$D$406,$U57)="","",IF(INDEX(UCRETLER!$F$7:$F$406,$U57)="Aylık",EOMONTH(INDEX(UCRETLER!$D$7:$D$406,$U57),$V57-1),INDEX(UCRETLER!$D$7:$D$406,$U57)+MOD(SISTEM!$F$8-WEEKDAY(INDEX(UCRETLER!$D$7:$D$406,$U57),2),7)+7*($V57-1))))</f>
        <v/>
      </c>
      <c r="X57" s="3">
        <f>IF($U57=0,0,INDEX(UCRETLER!$G$7:$G$406,$U57))</f>
        <v/>
      </c>
      <c r="Y57" s="3">
        <f>IFERROR(SMALL($T$12:$T$372,ROW()-11),"")</f>
        <v/>
      </c>
      <c r="Z57" s="3">
        <f>IFERROR(MATCH($Y57,$T$12:$T$372,0),"")</f>
        <v/>
      </c>
      <c r="AA57" s="3" t="n"/>
      <c r="AB57" s="3" t="n"/>
      <c r="AC57" s="3" t="n"/>
    </row>
    <row r="58">
      <c r="A58" s="6" t="n"/>
      <c r="B58" s="158">
        <f>IF($C58="","",ROW()-11)</f>
        <v/>
      </c>
      <c r="C58" s="247">
        <f>IF($Z58="","",IF(INDEX($N$12:$N$372,$Z58)="","",INDEX($N$12:$N$372,$Z58)))</f>
        <v/>
      </c>
      <c r="D58" s="29">
        <f>IF($C58="","",INDEX($O$12:$O$372,$Z58))</f>
        <v/>
      </c>
      <c r="E58" s="158">
        <f>IF($C58="","",INDEX($P$12:$P$372,$Z58))</f>
        <v/>
      </c>
      <c r="F58" s="29">
        <f>IF($C58="","",INDEX($Q$12:$Q$372,$Z58))</f>
        <v/>
      </c>
      <c r="G58" s="248">
        <f>IF($C58="","",INDEX($R$12:$R$372,$Z58))</f>
        <v/>
      </c>
      <c r="H58" s="248">
        <f>IF($C58="","",INDEX($S$12:$S$372,$Z58))</f>
        <v/>
      </c>
      <c r="I58" s="248">
        <f>IF($C58="","",N($I57)+$G58-$H58)</f>
        <v/>
      </c>
      <c r="J58" s="6" t="n"/>
      <c r="K58" s="6" t="n"/>
      <c r="L58" s="3" t="n"/>
      <c r="M58" s="3" t="n">
        <v>47</v>
      </c>
      <c r="N58" s="3">
        <f>IF(OR($U58=0,$W58="",$X58&lt;=0),"",IF($W58&gt;TODAY(),"",IF(AND(INDEX(UCRETLER!$E$7:$E$406,$U58)&lt;&gt;"",$W58&gt;INDEX(UCRETLER!$E$7:$E$406,$U58)),"",$W58)))</f>
        <v/>
      </c>
      <c r="O58" s="3">
        <f>IF($N58="","",IF(INDEX(UCRETLER!$F$7:$F$406,$U58)="Aylık",TEXT($N58,"mmmm yyyy")&amp;" aylık muhasebe hizmet ücreti",TEXT($N58,"dd.mm.yyyy")&amp;" haftalık muhasebe hizmet ücreti"))</f>
        <v/>
      </c>
      <c r="P58" s="3">
        <f>IF($N58="","","TAHAKKUK")</f>
        <v/>
      </c>
      <c r="Q58" s="3">
        <f>IF($N58="","","600 Muhasebe Hizmet Geliri")</f>
        <v/>
      </c>
      <c r="R58" s="3">
        <f>IF($N58="",0,$X58)</f>
        <v/>
      </c>
      <c r="S58" s="3" t="n">
        <v>0</v>
      </c>
      <c r="T58" s="3">
        <f>IF($N58="",10000000000,$N58*100000+$M58)</f>
        <v/>
      </c>
      <c r="U58" s="3">
        <f>$AB$4</f>
        <v/>
      </c>
      <c r="V58" s="3" t="n">
        <v>46</v>
      </c>
      <c r="W58" s="3">
        <f>IF($U58=0,"",IF(INDEX(UCRETLER!$D$7:$D$406,$U58)="","",IF(INDEX(UCRETLER!$F$7:$F$406,$U58)="Aylık",EOMONTH(INDEX(UCRETLER!$D$7:$D$406,$U58),$V58-1),INDEX(UCRETLER!$D$7:$D$406,$U58)+MOD(SISTEM!$F$8-WEEKDAY(INDEX(UCRETLER!$D$7:$D$406,$U58),2),7)+7*($V58-1))))</f>
        <v/>
      </c>
      <c r="X58" s="3">
        <f>IF($U58=0,0,INDEX(UCRETLER!$G$7:$G$406,$U58))</f>
        <v/>
      </c>
      <c r="Y58" s="3">
        <f>IFERROR(SMALL($T$12:$T$372,ROW()-11),"")</f>
        <v/>
      </c>
      <c r="Z58" s="3">
        <f>IFERROR(MATCH($Y58,$T$12:$T$372,0),"")</f>
        <v/>
      </c>
      <c r="AA58" s="3" t="n"/>
      <c r="AB58" s="3" t="n"/>
      <c r="AC58" s="3" t="n"/>
    </row>
    <row r="59">
      <c r="A59" s="6" t="n"/>
      <c r="B59" s="158">
        <f>IF($C59="","",ROW()-11)</f>
        <v/>
      </c>
      <c r="C59" s="247">
        <f>IF($Z59="","",IF(INDEX($N$12:$N$372,$Z59)="","",INDEX($N$12:$N$372,$Z59)))</f>
        <v/>
      </c>
      <c r="D59" s="29">
        <f>IF($C59="","",INDEX($O$12:$O$372,$Z59))</f>
        <v/>
      </c>
      <c r="E59" s="158">
        <f>IF($C59="","",INDEX($P$12:$P$372,$Z59))</f>
        <v/>
      </c>
      <c r="F59" s="29">
        <f>IF($C59="","",INDEX($Q$12:$Q$372,$Z59))</f>
        <v/>
      </c>
      <c r="G59" s="248">
        <f>IF($C59="","",INDEX($R$12:$R$372,$Z59))</f>
        <v/>
      </c>
      <c r="H59" s="248">
        <f>IF($C59="","",INDEX($S$12:$S$372,$Z59))</f>
        <v/>
      </c>
      <c r="I59" s="248">
        <f>IF($C59="","",N($I58)+$G59-$H59)</f>
        <v/>
      </c>
      <c r="J59" s="6" t="n"/>
      <c r="K59" s="6" t="n"/>
      <c r="L59" s="3" t="n"/>
      <c r="M59" s="3" t="n">
        <v>48</v>
      </c>
      <c r="N59" s="3">
        <f>IF(OR($U59=0,$W59="",$X59&lt;=0),"",IF($W59&gt;TODAY(),"",IF(AND(INDEX(UCRETLER!$E$7:$E$406,$U59)&lt;&gt;"",$W59&gt;INDEX(UCRETLER!$E$7:$E$406,$U59)),"",$W59)))</f>
        <v/>
      </c>
      <c r="O59" s="3">
        <f>IF($N59="","",IF(INDEX(UCRETLER!$F$7:$F$406,$U59)="Aylık",TEXT($N59,"mmmm yyyy")&amp;" aylık muhasebe hizmet ücreti",TEXT($N59,"dd.mm.yyyy")&amp;" haftalık muhasebe hizmet ücreti"))</f>
        <v/>
      </c>
      <c r="P59" s="3">
        <f>IF($N59="","","TAHAKKUK")</f>
        <v/>
      </c>
      <c r="Q59" s="3">
        <f>IF($N59="","","600 Muhasebe Hizmet Geliri")</f>
        <v/>
      </c>
      <c r="R59" s="3">
        <f>IF($N59="",0,$X59)</f>
        <v/>
      </c>
      <c r="S59" s="3" t="n">
        <v>0</v>
      </c>
      <c r="T59" s="3">
        <f>IF($N59="",10000000000,$N59*100000+$M59)</f>
        <v/>
      </c>
      <c r="U59" s="3">
        <f>$AB$4</f>
        <v/>
      </c>
      <c r="V59" s="3" t="n">
        <v>47</v>
      </c>
      <c r="W59" s="3">
        <f>IF($U59=0,"",IF(INDEX(UCRETLER!$D$7:$D$406,$U59)="","",IF(INDEX(UCRETLER!$F$7:$F$406,$U59)="Aylık",EOMONTH(INDEX(UCRETLER!$D$7:$D$406,$U59),$V59-1),INDEX(UCRETLER!$D$7:$D$406,$U59)+MOD(SISTEM!$F$8-WEEKDAY(INDEX(UCRETLER!$D$7:$D$406,$U59),2),7)+7*($V59-1))))</f>
        <v/>
      </c>
      <c r="X59" s="3">
        <f>IF($U59=0,0,INDEX(UCRETLER!$G$7:$G$406,$U59))</f>
        <v/>
      </c>
      <c r="Y59" s="3">
        <f>IFERROR(SMALL($T$12:$T$372,ROW()-11),"")</f>
        <v/>
      </c>
      <c r="Z59" s="3">
        <f>IFERROR(MATCH($Y59,$T$12:$T$372,0),"")</f>
        <v/>
      </c>
      <c r="AA59" s="3" t="n"/>
      <c r="AB59" s="3" t="n"/>
      <c r="AC59" s="3" t="n"/>
    </row>
    <row r="60">
      <c r="A60" s="6" t="n"/>
      <c r="B60" s="158">
        <f>IF($C60="","",ROW()-11)</f>
        <v/>
      </c>
      <c r="C60" s="247">
        <f>IF($Z60="","",IF(INDEX($N$12:$N$372,$Z60)="","",INDEX($N$12:$N$372,$Z60)))</f>
        <v/>
      </c>
      <c r="D60" s="29">
        <f>IF($C60="","",INDEX($O$12:$O$372,$Z60))</f>
        <v/>
      </c>
      <c r="E60" s="158">
        <f>IF($C60="","",INDEX($P$12:$P$372,$Z60))</f>
        <v/>
      </c>
      <c r="F60" s="29">
        <f>IF($C60="","",INDEX($Q$12:$Q$372,$Z60))</f>
        <v/>
      </c>
      <c r="G60" s="248">
        <f>IF($C60="","",INDEX($R$12:$R$372,$Z60))</f>
        <v/>
      </c>
      <c r="H60" s="248">
        <f>IF($C60="","",INDEX($S$12:$S$372,$Z60))</f>
        <v/>
      </c>
      <c r="I60" s="248">
        <f>IF($C60="","",N($I59)+$G60-$H60)</f>
        <v/>
      </c>
      <c r="J60" s="6" t="n"/>
      <c r="K60" s="6" t="n"/>
      <c r="L60" s="3" t="n"/>
      <c r="M60" s="3" t="n">
        <v>49</v>
      </c>
      <c r="N60" s="3">
        <f>IF(OR($U60=0,$W60="",$X60&lt;=0),"",IF($W60&gt;TODAY(),"",IF(AND(INDEX(UCRETLER!$E$7:$E$406,$U60)&lt;&gt;"",$W60&gt;INDEX(UCRETLER!$E$7:$E$406,$U60)),"",$W60)))</f>
        <v/>
      </c>
      <c r="O60" s="3">
        <f>IF($N60="","",IF(INDEX(UCRETLER!$F$7:$F$406,$U60)="Aylık",TEXT($N60,"mmmm yyyy")&amp;" aylık muhasebe hizmet ücreti",TEXT($N60,"dd.mm.yyyy")&amp;" haftalık muhasebe hizmet ücreti"))</f>
        <v/>
      </c>
      <c r="P60" s="3">
        <f>IF($N60="","","TAHAKKUK")</f>
        <v/>
      </c>
      <c r="Q60" s="3">
        <f>IF($N60="","","600 Muhasebe Hizmet Geliri")</f>
        <v/>
      </c>
      <c r="R60" s="3">
        <f>IF($N60="",0,$X60)</f>
        <v/>
      </c>
      <c r="S60" s="3" t="n">
        <v>0</v>
      </c>
      <c r="T60" s="3">
        <f>IF($N60="",10000000000,$N60*100000+$M60)</f>
        <v/>
      </c>
      <c r="U60" s="3">
        <f>$AB$4</f>
        <v/>
      </c>
      <c r="V60" s="3" t="n">
        <v>48</v>
      </c>
      <c r="W60" s="3">
        <f>IF($U60=0,"",IF(INDEX(UCRETLER!$D$7:$D$406,$U60)="","",IF(INDEX(UCRETLER!$F$7:$F$406,$U60)="Aylık",EOMONTH(INDEX(UCRETLER!$D$7:$D$406,$U60),$V60-1),INDEX(UCRETLER!$D$7:$D$406,$U60)+MOD(SISTEM!$F$8-WEEKDAY(INDEX(UCRETLER!$D$7:$D$406,$U60),2),7)+7*($V60-1))))</f>
        <v/>
      </c>
      <c r="X60" s="3">
        <f>IF($U60=0,0,INDEX(UCRETLER!$G$7:$G$406,$U60))</f>
        <v/>
      </c>
      <c r="Y60" s="3">
        <f>IFERROR(SMALL($T$12:$T$372,ROW()-11),"")</f>
        <v/>
      </c>
      <c r="Z60" s="3">
        <f>IFERROR(MATCH($Y60,$T$12:$T$372,0),"")</f>
        <v/>
      </c>
      <c r="AA60" s="3" t="n"/>
      <c r="AB60" s="3" t="n"/>
      <c r="AC60" s="3" t="n"/>
    </row>
    <row r="61">
      <c r="A61" s="6" t="n"/>
      <c r="B61" s="158">
        <f>IF($C61="","",ROW()-11)</f>
        <v/>
      </c>
      <c r="C61" s="247">
        <f>IF($Z61="","",IF(INDEX($N$12:$N$372,$Z61)="","",INDEX($N$12:$N$372,$Z61)))</f>
        <v/>
      </c>
      <c r="D61" s="29">
        <f>IF($C61="","",INDEX($O$12:$O$372,$Z61))</f>
        <v/>
      </c>
      <c r="E61" s="158">
        <f>IF($C61="","",INDEX($P$12:$P$372,$Z61))</f>
        <v/>
      </c>
      <c r="F61" s="29">
        <f>IF($C61="","",INDEX($Q$12:$Q$372,$Z61))</f>
        <v/>
      </c>
      <c r="G61" s="248">
        <f>IF($C61="","",INDEX($R$12:$R$372,$Z61))</f>
        <v/>
      </c>
      <c r="H61" s="248">
        <f>IF($C61="","",INDEX($S$12:$S$372,$Z61))</f>
        <v/>
      </c>
      <c r="I61" s="248">
        <f>IF($C61="","",N($I60)+$G61-$H61)</f>
        <v/>
      </c>
      <c r="J61" s="6" t="n"/>
      <c r="K61" s="6" t="n"/>
      <c r="L61" s="3" t="n"/>
      <c r="M61" s="3" t="n">
        <v>50</v>
      </c>
      <c r="N61" s="3">
        <f>IF(OR($U61=0,$W61="",$X61&lt;=0),"",IF($W61&gt;TODAY(),"",IF(AND(INDEX(UCRETLER!$E$7:$E$406,$U61)&lt;&gt;"",$W61&gt;INDEX(UCRETLER!$E$7:$E$406,$U61)),"",$W61)))</f>
        <v/>
      </c>
      <c r="O61" s="3">
        <f>IF($N61="","",IF(INDEX(UCRETLER!$F$7:$F$406,$U61)="Aylık",TEXT($N61,"mmmm yyyy")&amp;" aylık muhasebe hizmet ücreti",TEXT($N61,"dd.mm.yyyy")&amp;" haftalık muhasebe hizmet ücreti"))</f>
        <v/>
      </c>
      <c r="P61" s="3">
        <f>IF($N61="","","TAHAKKUK")</f>
        <v/>
      </c>
      <c r="Q61" s="3">
        <f>IF($N61="","","600 Muhasebe Hizmet Geliri")</f>
        <v/>
      </c>
      <c r="R61" s="3">
        <f>IF($N61="",0,$X61)</f>
        <v/>
      </c>
      <c r="S61" s="3" t="n">
        <v>0</v>
      </c>
      <c r="T61" s="3">
        <f>IF($N61="",10000000000,$N61*100000+$M61)</f>
        <v/>
      </c>
      <c r="U61" s="3">
        <f>$AB$4</f>
        <v/>
      </c>
      <c r="V61" s="3" t="n">
        <v>49</v>
      </c>
      <c r="W61" s="3">
        <f>IF($U61=0,"",IF(INDEX(UCRETLER!$D$7:$D$406,$U61)="","",IF(INDEX(UCRETLER!$F$7:$F$406,$U61)="Aylık",EOMONTH(INDEX(UCRETLER!$D$7:$D$406,$U61),$V61-1),INDEX(UCRETLER!$D$7:$D$406,$U61)+MOD(SISTEM!$F$8-WEEKDAY(INDEX(UCRETLER!$D$7:$D$406,$U61),2),7)+7*($V61-1))))</f>
        <v/>
      </c>
      <c r="X61" s="3">
        <f>IF($U61=0,0,INDEX(UCRETLER!$G$7:$G$406,$U61))</f>
        <v/>
      </c>
      <c r="Y61" s="3">
        <f>IFERROR(SMALL($T$12:$T$372,ROW()-11),"")</f>
        <v/>
      </c>
      <c r="Z61" s="3">
        <f>IFERROR(MATCH($Y61,$T$12:$T$372,0),"")</f>
        <v/>
      </c>
      <c r="AA61" s="3" t="n"/>
      <c r="AB61" s="3" t="n"/>
      <c r="AC61" s="3" t="n"/>
    </row>
    <row r="62">
      <c r="A62" s="6" t="n"/>
      <c r="B62" s="158">
        <f>IF($C62="","",ROW()-11)</f>
        <v/>
      </c>
      <c r="C62" s="247">
        <f>IF($Z62="","",IF(INDEX($N$12:$N$372,$Z62)="","",INDEX($N$12:$N$372,$Z62)))</f>
        <v/>
      </c>
      <c r="D62" s="29">
        <f>IF($C62="","",INDEX($O$12:$O$372,$Z62))</f>
        <v/>
      </c>
      <c r="E62" s="158">
        <f>IF($C62="","",INDEX($P$12:$P$372,$Z62))</f>
        <v/>
      </c>
      <c r="F62" s="29">
        <f>IF($C62="","",INDEX($Q$12:$Q$372,$Z62))</f>
        <v/>
      </c>
      <c r="G62" s="248">
        <f>IF($C62="","",INDEX($R$12:$R$372,$Z62))</f>
        <v/>
      </c>
      <c r="H62" s="248">
        <f>IF($C62="","",INDEX($S$12:$S$372,$Z62))</f>
        <v/>
      </c>
      <c r="I62" s="248">
        <f>IF($C62="","",N($I61)+$G62-$H62)</f>
        <v/>
      </c>
      <c r="J62" s="6" t="n"/>
      <c r="K62" s="6" t="n"/>
      <c r="L62" s="3" t="n"/>
      <c r="M62" s="3" t="n">
        <v>51</v>
      </c>
      <c r="N62" s="3">
        <f>IF(OR($U62=0,$W62="",$X62&lt;=0),"",IF($W62&gt;TODAY(),"",IF(AND(INDEX(UCRETLER!$E$7:$E$406,$U62)&lt;&gt;"",$W62&gt;INDEX(UCRETLER!$E$7:$E$406,$U62)),"",$W62)))</f>
        <v/>
      </c>
      <c r="O62" s="3">
        <f>IF($N62="","",IF(INDEX(UCRETLER!$F$7:$F$406,$U62)="Aylık",TEXT($N62,"mmmm yyyy")&amp;" aylık muhasebe hizmet ücreti",TEXT($N62,"dd.mm.yyyy")&amp;" haftalık muhasebe hizmet ücreti"))</f>
        <v/>
      </c>
      <c r="P62" s="3">
        <f>IF($N62="","","TAHAKKUK")</f>
        <v/>
      </c>
      <c r="Q62" s="3">
        <f>IF($N62="","","600 Muhasebe Hizmet Geliri")</f>
        <v/>
      </c>
      <c r="R62" s="3">
        <f>IF($N62="",0,$X62)</f>
        <v/>
      </c>
      <c r="S62" s="3" t="n">
        <v>0</v>
      </c>
      <c r="T62" s="3">
        <f>IF($N62="",10000000000,$N62*100000+$M62)</f>
        <v/>
      </c>
      <c r="U62" s="3">
        <f>$AB$4</f>
        <v/>
      </c>
      <c r="V62" s="3" t="n">
        <v>50</v>
      </c>
      <c r="W62" s="3">
        <f>IF($U62=0,"",IF(INDEX(UCRETLER!$D$7:$D$406,$U62)="","",IF(INDEX(UCRETLER!$F$7:$F$406,$U62)="Aylık",EOMONTH(INDEX(UCRETLER!$D$7:$D$406,$U62),$V62-1),INDEX(UCRETLER!$D$7:$D$406,$U62)+MOD(SISTEM!$F$8-WEEKDAY(INDEX(UCRETLER!$D$7:$D$406,$U62),2),7)+7*($V62-1))))</f>
        <v/>
      </c>
      <c r="X62" s="3">
        <f>IF($U62=0,0,INDEX(UCRETLER!$G$7:$G$406,$U62))</f>
        <v/>
      </c>
      <c r="Y62" s="3">
        <f>IFERROR(SMALL($T$12:$T$372,ROW()-11),"")</f>
        <v/>
      </c>
      <c r="Z62" s="3">
        <f>IFERROR(MATCH($Y62,$T$12:$T$372,0),"")</f>
        <v/>
      </c>
      <c r="AA62" s="3" t="n"/>
      <c r="AB62" s="3" t="n"/>
      <c r="AC62" s="3" t="n"/>
    </row>
    <row r="63">
      <c r="A63" s="6" t="n"/>
      <c r="B63" s="158">
        <f>IF($C63="","",ROW()-11)</f>
        <v/>
      </c>
      <c r="C63" s="247">
        <f>IF($Z63="","",IF(INDEX($N$12:$N$372,$Z63)="","",INDEX($N$12:$N$372,$Z63)))</f>
        <v/>
      </c>
      <c r="D63" s="29">
        <f>IF($C63="","",INDEX($O$12:$O$372,$Z63))</f>
        <v/>
      </c>
      <c r="E63" s="158">
        <f>IF($C63="","",INDEX($P$12:$P$372,$Z63))</f>
        <v/>
      </c>
      <c r="F63" s="29">
        <f>IF($C63="","",INDEX($Q$12:$Q$372,$Z63))</f>
        <v/>
      </c>
      <c r="G63" s="248">
        <f>IF($C63="","",INDEX($R$12:$R$372,$Z63))</f>
        <v/>
      </c>
      <c r="H63" s="248">
        <f>IF($C63="","",INDEX($S$12:$S$372,$Z63))</f>
        <v/>
      </c>
      <c r="I63" s="248">
        <f>IF($C63="","",N($I62)+$G63-$H63)</f>
        <v/>
      </c>
      <c r="J63" s="6" t="n"/>
      <c r="K63" s="6" t="n"/>
      <c r="L63" s="3" t="n"/>
      <c r="M63" s="3" t="n">
        <v>52</v>
      </c>
      <c r="N63" s="3">
        <f>IF(OR($U63=0,$W63="",$X63&lt;=0),"",IF($W63&gt;TODAY(),"",IF(AND(INDEX(UCRETLER!$E$7:$E$406,$U63)&lt;&gt;"",$W63&gt;INDEX(UCRETLER!$E$7:$E$406,$U63)),"",$W63)))</f>
        <v/>
      </c>
      <c r="O63" s="3">
        <f>IF($N63="","",IF(INDEX(UCRETLER!$F$7:$F$406,$U63)="Aylık",TEXT($N63,"mmmm yyyy")&amp;" aylık muhasebe hizmet ücreti",TEXT($N63,"dd.mm.yyyy")&amp;" haftalık muhasebe hizmet ücreti"))</f>
        <v/>
      </c>
      <c r="P63" s="3">
        <f>IF($N63="","","TAHAKKUK")</f>
        <v/>
      </c>
      <c r="Q63" s="3">
        <f>IF($N63="","","600 Muhasebe Hizmet Geliri")</f>
        <v/>
      </c>
      <c r="R63" s="3">
        <f>IF($N63="",0,$X63)</f>
        <v/>
      </c>
      <c r="S63" s="3" t="n">
        <v>0</v>
      </c>
      <c r="T63" s="3">
        <f>IF($N63="",10000000000,$N63*100000+$M63)</f>
        <v/>
      </c>
      <c r="U63" s="3">
        <f>$AB$4</f>
        <v/>
      </c>
      <c r="V63" s="3" t="n">
        <v>51</v>
      </c>
      <c r="W63" s="3">
        <f>IF($U63=0,"",IF(INDEX(UCRETLER!$D$7:$D$406,$U63)="","",IF(INDEX(UCRETLER!$F$7:$F$406,$U63)="Aylık",EOMONTH(INDEX(UCRETLER!$D$7:$D$406,$U63),$V63-1),INDEX(UCRETLER!$D$7:$D$406,$U63)+MOD(SISTEM!$F$8-WEEKDAY(INDEX(UCRETLER!$D$7:$D$406,$U63),2),7)+7*($V63-1))))</f>
        <v/>
      </c>
      <c r="X63" s="3">
        <f>IF($U63=0,0,INDEX(UCRETLER!$G$7:$G$406,$U63))</f>
        <v/>
      </c>
      <c r="Y63" s="3">
        <f>IFERROR(SMALL($T$12:$T$372,ROW()-11),"")</f>
        <v/>
      </c>
      <c r="Z63" s="3">
        <f>IFERROR(MATCH($Y63,$T$12:$T$372,0),"")</f>
        <v/>
      </c>
      <c r="AA63" s="3" t="n"/>
      <c r="AB63" s="3" t="n"/>
      <c r="AC63" s="3" t="n"/>
    </row>
    <row r="64">
      <c r="A64" s="6" t="n"/>
      <c r="B64" s="158">
        <f>IF($C64="","",ROW()-11)</f>
        <v/>
      </c>
      <c r="C64" s="247">
        <f>IF($Z64="","",IF(INDEX($N$12:$N$372,$Z64)="","",INDEX($N$12:$N$372,$Z64)))</f>
        <v/>
      </c>
      <c r="D64" s="29">
        <f>IF($C64="","",INDEX($O$12:$O$372,$Z64))</f>
        <v/>
      </c>
      <c r="E64" s="158">
        <f>IF($C64="","",INDEX($P$12:$P$372,$Z64))</f>
        <v/>
      </c>
      <c r="F64" s="29">
        <f>IF($C64="","",INDEX($Q$12:$Q$372,$Z64))</f>
        <v/>
      </c>
      <c r="G64" s="248">
        <f>IF($C64="","",INDEX($R$12:$R$372,$Z64))</f>
        <v/>
      </c>
      <c r="H64" s="248">
        <f>IF($C64="","",INDEX($S$12:$S$372,$Z64))</f>
        <v/>
      </c>
      <c r="I64" s="248">
        <f>IF($C64="","",N($I63)+$G64-$H64)</f>
        <v/>
      </c>
      <c r="J64" s="6" t="n"/>
      <c r="K64" s="6" t="n"/>
      <c r="L64" s="3" t="n"/>
      <c r="M64" s="3" t="n">
        <v>53</v>
      </c>
      <c r="N64" s="3">
        <f>IF(OR($U64=0,$W64="",$X64&lt;=0),"",IF($W64&gt;TODAY(),"",IF(AND(INDEX(UCRETLER!$E$7:$E$406,$U64)&lt;&gt;"",$W64&gt;INDEX(UCRETLER!$E$7:$E$406,$U64)),"",$W64)))</f>
        <v/>
      </c>
      <c r="O64" s="3">
        <f>IF($N64="","",IF(INDEX(UCRETLER!$F$7:$F$406,$U64)="Aylık",TEXT($N64,"mmmm yyyy")&amp;" aylık muhasebe hizmet ücreti",TEXT($N64,"dd.mm.yyyy")&amp;" haftalık muhasebe hizmet ücreti"))</f>
        <v/>
      </c>
      <c r="P64" s="3">
        <f>IF($N64="","","TAHAKKUK")</f>
        <v/>
      </c>
      <c r="Q64" s="3">
        <f>IF($N64="","","600 Muhasebe Hizmet Geliri")</f>
        <v/>
      </c>
      <c r="R64" s="3">
        <f>IF($N64="",0,$X64)</f>
        <v/>
      </c>
      <c r="S64" s="3" t="n">
        <v>0</v>
      </c>
      <c r="T64" s="3">
        <f>IF($N64="",10000000000,$N64*100000+$M64)</f>
        <v/>
      </c>
      <c r="U64" s="3">
        <f>$AB$4</f>
        <v/>
      </c>
      <c r="V64" s="3" t="n">
        <v>52</v>
      </c>
      <c r="W64" s="3">
        <f>IF($U64=0,"",IF(INDEX(UCRETLER!$D$7:$D$406,$U64)="","",IF(INDEX(UCRETLER!$F$7:$F$406,$U64)="Aylık",EOMONTH(INDEX(UCRETLER!$D$7:$D$406,$U64),$V64-1),INDEX(UCRETLER!$D$7:$D$406,$U64)+MOD(SISTEM!$F$8-WEEKDAY(INDEX(UCRETLER!$D$7:$D$406,$U64),2),7)+7*($V64-1))))</f>
        <v/>
      </c>
      <c r="X64" s="3">
        <f>IF($U64=0,0,INDEX(UCRETLER!$G$7:$G$406,$U64))</f>
        <v/>
      </c>
      <c r="Y64" s="3">
        <f>IFERROR(SMALL($T$12:$T$372,ROW()-11),"")</f>
        <v/>
      </c>
      <c r="Z64" s="3">
        <f>IFERROR(MATCH($Y64,$T$12:$T$372,0),"")</f>
        <v/>
      </c>
      <c r="AA64" s="3" t="n"/>
      <c r="AB64" s="3" t="n"/>
      <c r="AC64" s="3" t="n"/>
    </row>
    <row r="65">
      <c r="A65" s="6" t="n"/>
      <c r="B65" s="158">
        <f>IF($C65="","",ROW()-11)</f>
        <v/>
      </c>
      <c r="C65" s="247">
        <f>IF($Z65="","",IF(INDEX($N$12:$N$372,$Z65)="","",INDEX($N$12:$N$372,$Z65)))</f>
        <v/>
      </c>
      <c r="D65" s="29">
        <f>IF($C65="","",INDEX($O$12:$O$372,$Z65))</f>
        <v/>
      </c>
      <c r="E65" s="158">
        <f>IF($C65="","",INDEX($P$12:$P$372,$Z65))</f>
        <v/>
      </c>
      <c r="F65" s="29">
        <f>IF($C65="","",INDEX($Q$12:$Q$372,$Z65))</f>
        <v/>
      </c>
      <c r="G65" s="248">
        <f>IF($C65="","",INDEX($R$12:$R$372,$Z65))</f>
        <v/>
      </c>
      <c r="H65" s="248">
        <f>IF($C65="","",INDEX($S$12:$S$372,$Z65))</f>
        <v/>
      </c>
      <c r="I65" s="248">
        <f>IF($C65="","",N($I64)+$G65-$H65)</f>
        <v/>
      </c>
      <c r="J65" s="6" t="n"/>
      <c r="K65" s="6" t="n"/>
      <c r="L65" s="3" t="n"/>
      <c r="M65" s="3" t="n">
        <v>54</v>
      </c>
      <c r="N65" s="3">
        <f>IF(OR($U65=0,$W65="",$X65&lt;=0),"",IF($W65&gt;TODAY(),"",IF(AND(INDEX(UCRETLER!$E$7:$E$406,$U65)&lt;&gt;"",$W65&gt;INDEX(UCRETLER!$E$7:$E$406,$U65)),"",$W65)))</f>
        <v/>
      </c>
      <c r="O65" s="3">
        <f>IF($N65="","",IF(INDEX(UCRETLER!$F$7:$F$406,$U65)="Aylık",TEXT($N65,"mmmm yyyy")&amp;" aylık muhasebe hizmet ücreti",TEXT($N65,"dd.mm.yyyy")&amp;" haftalık muhasebe hizmet ücreti"))</f>
        <v/>
      </c>
      <c r="P65" s="3">
        <f>IF($N65="","","TAHAKKUK")</f>
        <v/>
      </c>
      <c r="Q65" s="3">
        <f>IF($N65="","","600 Muhasebe Hizmet Geliri")</f>
        <v/>
      </c>
      <c r="R65" s="3">
        <f>IF($N65="",0,$X65)</f>
        <v/>
      </c>
      <c r="S65" s="3" t="n">
        <v>0</v>
      </c>
      <c r="T65" s="3">
        <f>IF($N65="",10000000000,$N65*100000+$M65)</f>
        <v/>
      </c>
      <c r="U65" s="3">
        <f>$AB$4</f>
        <v/>
      </c>
      <c r="V65" s="3" t="n">
        <v>53</v>
      </c>
      <c r="W65" s="3">
        <f>IF($U65=0,"",IF(INDEX(UCRETLER!$D$7:$D$406,$U65)="","",IF(INDEX(UCRETLER!$F$7:$F$406,$U65)="Aylık",EOMONTH(INDEX(UCRETLER!$D$7:$D$406,$U65),$V65-1),INDEX(UCRETLER!$D$7:$D$406,$U65)+MOD(SISTEM!$F$8-WEEKDAY(INDEX(UCRETLER!$D$7:$D$406,$U65),2),7)+7*($V65-1))))</f>
        <v/>
      </c>
      <c r="X65" s="3">
        <f>IF($U65=0,0,INDEX(UCRETLER!$G$7:$G$406,$U65))</f>
        <v/>
      </c>
      <c r="Y65" s="3">
        <f>IFERROR(SMALL($T$12:$T$372,ROW()-11),"")</f>
        <v/>
      </c>
      <c r="Z65" s="3">
        <f>IFERROR(MATCH($Y65,$T$12:$T$372,0),"")</f>
        <v/>
      </c>
      <c r="AA65" s="3" t="n"/>
      <c r="AB65" s="3" t="n"/>
      <c r="AC65" s="3" t="n"/>
    </row>
    <row r="66">
      <c r="A66" s="6" t="n"/>
      <c r="B66" s="158">
        <f>IF($C66="","",ROW()-11)</f>
        <v/>
      </c>
      <c r="C66" s="247">
        <f>IF($Z66="","",IF(INDEX($N$12:$N$372,$Z66)="","",INDEX($N$12:$N$372,$Z66)))</f>
        <v/>
      </c>
      <c r="D66" s="29">
        <f>IF($C66="","",INDEX($O$12:$O$372,$Z66))</f>
        <v/>
      </c>
      <c r="E66" s="158">
        <f>IF($C66="","",INDEX($P$12:$P$372,$Z66))</f>
        <v/>
      </c>
      <c r="F66" s="29">
        <f>IF($C66="","",INDEX($Q$12:$Q$372,$Z66))</f>
        <v/>
      </c>
      <c r="G66" s="248">
        <f>IF($C66="","",INDEX($R$12:$R$372,$Z66))</f>
        <v/>
      </c>
      <c r="H66" s="248">
        <f>IF($C66="","",INDEX($S$12:$S$372,$Z66))</f>
        <v/>
      </c>
      <c r="I66" s="248">
        <f>IF($C66="","",N($I65)+$G66-$H66)</f>
        <v/>
      </c>
      <c r="J66" s="6" t="n"/>
      <c r="K66" s="6" t="n"/>
      <c r="L66" s="3" t="n"/>
      <c r="M66" s="3" t="n">
        <v>55</v>
      </c>
      <c r="N66" s="3">
        <f>IF(OR($U66=0,$W66="",$X66&lt;=0),"",IF($W66&gt;TODAY(),"",IF(AND(INDEX(UCRETLER!$E$7:$E$406,$U66)&lt;&gt;"",$W66&gt;INDEX(UCRETLER!$E$7:$E$406,$U66)),"",$W66)))</f>
        <v/>
      </c>
      <c r="O66" s="3">
        <f>IF($N66="","",IF(INDEX(UCRETLER!$F$7:$F$406,$U66)="Aylık",TEXT($N66,"mmmm yyyy")&amp;" aylık muhasebe hizmet ücreti",TEXT($N66,"dd.mm.yyyy")&amp;" haftalık muhasebe hizmet ücreti"))</f>
        <v/>
      </c>
      <c r="P66" s="3">
        <f>IF($N66="","","TAHAKKUK")</f>
        <v/>
      </c>
      <c r="Q66" s="3">
        <f>IF($N66="","","600 Muhasebe Hizmet Geliri")</f>
        <v/>
      </c>
      <c r="R66" s="3">
        <f>IF($N66="",0,$X66)</f>
        <v/>
      </c>
      <c r="S66" s="3" t="n">
        <v>0</v>
      </c>
      <c r="T66" s="3">
        <f>IF($N66="",10000000000,$N66*100000+$M66)</f>
        <v/>
      </c>
      <c r="U66" s="3">
        <f>$AB$4</f>
        <v/>
      </c>
      <c r="V66" s="3" t="n">
        <v>54</v>
      </c>
      <c r="W66" s="3">
        <f>IF($U66=0,"",IF(INDEX(UCRETLER!$D$7:$D$406,$U66)="","",IF(INDEX(UCRETLER!$F$7:$F$406,$U66)="Aylık",EOMONTH(INDEX(UCRETLER!$D$7:$D$406,$U66),$V66-1),INDEX(UCRETLER!$D$7:$D$406,$U66)+MOD(SISTEM!$F$8-WEEKDAY(INDEX(UCRETLER!$D$7:$D$406,$U66),2),7)+7*($V66-1))))</f>
        <v/>
      </c>
      <c r="X66" s="3">
        <f>IF($U66=0,0,INDEX(UCRETLER!$G$7:$G$406,$U66))</f>
        <v/>
      </c>
      <c r="Y66" s="3">
        <f>IFERROR(SMALL($T$12:$T$372,ROW()-11),"")</f>
        <v/>
      </c>
      <c r="Z66" s="3">
        <f>IFERROR(MATCH($Y66,$T$12:$T$372,0),"")</f>
        <v/>
      </c>
      <c r="AA66" s="3" t="n"/>
      <c r="AB66" s="3" t="n"/>
      <c r="AC66" s="3" t="n"/>
    </row>
    <row r="67">
      <c r="A67" s="6" t="n"/>
      <c r="B67" s="158">
        <f>IF($C67="","",ROW()-11)</f>
        <v/>
      </c>
      <c r="C67" s="247">
        <f>IF($Z67="","",IF(INDEX($N$12:$N$372,$Z67)="","",INDEX($N$12:$N$372,$Z67)))</f>
        <v/>
      </c>
      <c r="D67" s="29">
        <f>IF($C67="","",INDEX($O$12:$O$372,$Z67))</f>
        <v/>
      </c>
      <c r="E67" s="158">
        <f>IF($C67="","",INDEX($P$12:$P$372,$Z67))</f>
        <v/>
      </c>
      <c r="F67" s="29">
        <f>IF($C67="","",INDEX($Q$12:$Q$372,$Z67))</f>
        <v/>
      </c>
      <c r="G67" s="248">
        <f>IF($C67="","",INDEX($R$12:$R$372,$Z67))</f>
        <v/>
      </c>
      <c r="H67" s="248">
        <f>IF($C67="","",INDEX($S$12:$S$372,$Z67))</f>
        <v/>
      </c>
      <c r="I67" s="248">
        <f>IF($C67="","",N($I66)+$G67-$H67)</f>
        <v/>
      </c>
      <c r="J67" s="6" t="n"/>
      <c r="K67" s="6" t="n"/>
      <c r="L67" s="3" t="n"/>
      <c r="M67" s="3" t="n">
        <v>56</v>
      </c>
      <c r="N67" s="3">
        <f>IF(OR($U67=0,$W67="",$X67&lt;=0),"",IF($W67&gt;TODAY(),"",IF(AND(INDEX(UCRETLER!$E$7:$E$406,$U67)&lt;&gt;"",$W67&gt;INDEX(UCRETLER!$E$7:$E$406,$U67)),"",$W67)))</f>
        <v/>
      </c>
      <c r="O67" s="3">
        <f>IF($N67="","",IF(INDEX(UCRETLER!$F$7:$F$406,$U67)="Aylık",TEXT($N67,"mmmm yyyy")&amp;" aylık muhasebe hizmet ücreti",TEXT($N67,"dd.mm.yyyy")&amp;" haftalık muhasebe hizmet ücreti"))</f>
        <v/>
      </c>
      <c r="P67" s="3">
        <f>IF($N67="","","TAHAKKUK")</f>
        <v/>
      </c>
      <c r="Q67" s="3">
        <f>IF($N67="","","600 Muhasebe Hizmet Geliri")</f>
        <v/>
      </c>
      <c r="R67" s="3">
        <f>IF($N67="",0,$X67)</f>
        <v/>
      </c>
      <c r="S67" s="3" t="n">
        <v>0</v>
      </c>
      <c r="T67" s="3">
        <f>IF($N67="",10000000000,$N67*100000+$M67)</f>
        <v/>
      </c>
      <c r="U67" s="3">
        <f>$AB$4</f>
        <v/>
      </c>
      <c r="V67" s="3" t="n">
        <v>55</v>
      </c>
      <c r="W67" s="3">
        <f>IF($U67=0,"",IF(INDEX(UCRETLER!$D$7:$D$406,$U67)="","",IF(INDEX(UCRETLER!$F$7:$F$406,$U67)="Aylık",EOMONTH(INDEX(UCRETLER!$D$7:$D$406,$U67),$V67-1),INDEX(UCRETLER!$D$7:$D$406,$U67)+MOD(SISTEM!$F$8-WEEKDAY(INDEX(UCRETLER!$D$7:$D$406,$U67),2),7)+7*($V67-1))))</f>
        <v/>
      </c>
      <c r="X67" s="3">
        <f>IF($U67=0,0,INDEX(UCRETLER!$G$7:$G$406,$U67))</f>
        <v/>
      </c>
      <c r="Y67" s="3">
        <f>IFERROR(SMALL($T$12:$T$372,ROW()-11),"")</f>
        <v/>
      </c>
      <c r="Z67" s="3">
        <f>IFERROR(MATCH($Y67,$T$12:$T$372,0),"")</f>
        <v/>
      </c>
      <c r="AA67" s="3" t="n"/>
      <c r="AB67" s="3" t="n"/>
      <c r="AC67" s="3" t="n"/>
    </row>
    <row r="68">
      <c r="A68" s="6" t="n"/>
      <c r="B68" s="158">
        <f>IF($C68="","",ROW()-11)</f>
        <v/>
      </c>
      <c r="C68" s="247">
        <f>IF($Z68="","",IF(INDEX($N$12:$N$372,$Z68)="","",INDEX($N$12:$N$372,$Z68)))</f>
        <v/>
      </c>
      <c r="D68" s="29">
        <f>IF($C68="","",INDEX($O$12:$O$372,$Z68))</f>
        <v/>
      </c>
      <c r="E68" s="158">
        <f>IF($C68="","",INDEX($P$12:$P$372,$Z68))</f>
        <v/>
      </c>
      <c r="F68" s="29">
        <f>IF($C68="","",INDEX($Q$12:$Q$372,$Z68))</f>
        <v/>
      </c>
      <c r="G68" s="248">
        <f>IF($C68="","",INDEX($R$12:$R$372,$Z68))</f>
        <v/>
      </c>
      <c r="H68" s="248">
        <f>IF($C68="","",INDEX($S$12:$S$372,$Z68))</f>
        <v/>
      </c>
      <c r="I68" s="248">
        <f>IF($C68="","",N($I67)+$G68-$H68)</f>
        <v/>
      </c>
      <c r="J68" s="6" t="n"/>
      <c r="K68" s="6" t="n"/>
      <c r="L68" s="3" t="n"/>
      <c r="M68" s="3" t="n">
        <v>57</v>
      </c>
      <c r="N68" s="3">
        <f>IF(OR($U68=0,$W68="",$X68&lt;=0),"",IF($W68&gt;TODAY(),"",IF(AND(INDEX(UCRETLER!$E$7:$E$406,$U68)&lt;&gt;"",$W68&gt;INDEX(UCRETLER!$E$7:$E$406,$U68)),"",$W68)))</f>
        <v/>
      </c>
      <c r="O68" s="3">
        <f>IF($N68="","",IF(INDEX(UCRETLER!$F$7:$F$406,$U68)="Aylık",TEXT($N68,"mmmm yyyy")&amp;" aylık muhasebe hizmet ücreti",TEXT($N68,"dd.mm.yyyy")&amp;" haftalık muhasebe hizmet ücreti"))</f>
        <v/>
      </c>
      <c r="P68" s="3">
        <f>IF($N68="","","TAHAKKUK")</f>
        <v/>
      </c>
      <c r="Q68" s="3">
        <f>IF($N68="","","600 Muhasebe Hizmet Geliri")</f>
        <v/>
      </c>
      <c r="R68" s="3">
        <f>IF($N68="",0,$X68)</f>
        <v/>
      </c>
      <c r="S68" s="3" t="n">
        <v>0</v>
      </c>
      <c r="T68" s="3">
        <f>IF($N68="",10000000000,$N68*100000+$M68)</f>
        <v/>
      </c>
      <c r="U68" s="3">
        <f>$AB$4</f>
        <v/>
      </c>
      <c r="V68" s="3" t="n">
        <v>56</v>
      </c>
      <c r="W68" s="3">
        <f>IF($U68=0,"",IF(INDEX(UCRETLER!$D$7:$D$406,$U68)="","",IF(INDEX(UCRETLER!$F$7:$F$406,$U68)="Aylık",EOMONTH(INDEX(UCRETLER!$D$7:$D$406,$U68),$V68-1),INDEX(UCRETLER!$D$7:$D$406,$U68)+MOD(SISTEM!$F$8-WEEKDAY(INDEX(UCRETLER!$D$7:$D$406,$U68),2),7)+7*($V68-1))))</f>
        <v/>
      </c>
      <c r="X68" s="3">
        <f>IF($U68=0,0,INDEX(UCRETLER!$G$7:$G$406,$U68))</f>
        <v/>
      </c>
      <c r="Y68" s="3">
        <f>IFERROR(SMALL($T$12:$T$372,ROW()-11),"")</f>
        <v/>
      </c>
      <c r="Z68" s="3">
        <f>IFERROR(MATCH($Y68,$T$12:$T$372,0),"")</f>
        <v/>
      </c>
      <c r="AA68" s="3" t="n"/>
      <c r="AB68" s="3" t="n"/>
      <c r="AC68" s="3" t="n"/>
    </row>
    <row r="69">
      <c r="A69" s="6" t="n"/>
      <c r="B69" s="158">
        <f>IF($C69="","",ROW()-11)</f>
        <v/>
      </c>
      <c r="C69" s="247">
        <f>IF($Z69="","",IF(INDEX($N$12:$N$372,$Z69)="","",INDEX($N$12:$N$372,$Z69)))</f>
        <v/>
      </c>
      <c r="D69" s="29">
        <f>IF($C69="","",INDEX($O$12:$O$372,$Z69))</f>
        <v/>
      </c>
      <c r="E69" s="158">
        <f>IF($C69="","",INDEX($P$12:$P$372,$Z69))</f>
        <v/>
      </c>
      <c r="F69" s="29">
        <f>IF($C69="","",INDEX($Q$12:$Q$372,$Z69))</f>
        <v/>
      </c>
      <c r="G69" s="248">
        <f>IF($C69="","",INDEX($R$12:$R$372,$Z69))</f>
        <v/>
      </c>
      <c r="H69" s="248">
        <f>IF($C69="","",INDEX($S$12:$S$372,$Z69))</f>
        <v/>
      </c>
      <c r="I69" s="248">
        <f>IF($C69="","",N($I68)+$G69-$H69)</f>
        <v/>
      </c>
      <c r="J69" s="6" t="n"/>
      <c r="K69" s="6" t="n"/>
      <c r="L69" s="3" t="n"/>
      <c r="M69" s="3" t="n">
        <v>58</v>
      </c>
      <c r="N69" s="3">
        <f>IF(OR($U69=0,$W69="",$X69&lt;=0),"",IF($W69&gt;TODAY(),"",IF(AND(INDEX(UCRETLER!$E$7:$E$406,$U69)&lt;&gt;"",$W69&gt;INDEX(UCRETLER!$E$7:$E$406,$U69)),"",$W69)))</f>
        <v/>
      </c>
      <c r="O69" s="3">
        <f>IF($N69="","",IF(INDEX(UCRETLER!$F$7:$F$406,$U69)="Aylık",TEXT($N69,"mmmm yyyy")&amp;" aylık muhasebe hizmet ücreti",TEXT($N69,"dd.mm.yyyy")&amp;" haftalık muhasebe hizmet ücreti"))</f>
        <v/>
      </c>
      <c r="P69" s="3">
        <f>IF($N69="","","TAHAKKUK")</f>
        <v/>
      </c>
      <c r="Q69" s="3">
        <f>IF($N69="","","600 Muhasebe Hizmet Geliri")</f>
        <v/>
      </c>
      <c r="R69" s="3">
        <f>IF($N69="",0,$X69)</f>
        <v/>
      </c>
      <c r="S69" s="3" t="n">
        <v>0</v>
      </c>
      <c r="T69" s="3">
        <f>IF($N69="",10000000000,$N69*100000+$M69)</f>
        <v/>
      </c>
      <c r="U69" s="3">
        <f>$AB$4</f>
        <v/>
      </c>
      <c r="V69" s="3" t="n">
        <v>57</v>
      </c>
      <c r="W69" s="3">
        <f>IF($U69=0,"",IF(INDEX(UCRETLER!$D$7:$D$406,$U69)="","",IF(INDEX(UCRETLER!$F$7:$F$406,$U69)="Aylık",EOMONTH(INDEX(UCRETLER!$D$7:$D$406,$U69),$V69-1),INDEX(UCRETLER!$D$7:$D$406,$U69)+MOD(SISTEM!$F$8-WEEKDAY(INDEX(UCRETLER!$D$7:$D$406,$U69),2),7)+7*($V69-1))))</f>
        <v/>
      </c>
      <c r="X69" s="3">
        <f>IF($U69=0,0,INDEX(UCRETLER!$G$7:$G$406,$U69))</f>
        <v/>
      </c>
      <c r="Y69" s="3">
        <f>IFERROR(SMALL($T$12:$T$372,ROW()-11),"")</f>
        <v/>
      </c>
      <c r="Z69" s="3">
        <f>IFERROR(MATCH($Y69,$T$12:$T$372,0),"")</f>
        <v/>
      </c>
      <c r="AA69" s="3" t="n"/>
      <c r="AB69" s="3" t="n"/>
      <c r="AC69" s="3" t="n"/>
    </row>
    <row r="70">
      <c r="A70" s="6" t="n"/>
      <c r="B70" s="158">
        <f>IF($C70="","",ROW()-11)</f>
        <v/>
      </c>
      <c r="C70" s="247">
        <f>IF($Z70="","",IF(INDEX($N$12:$N$372,$Z70)="","",INDEX($N$12:$N$372,$Z70)))</f>
        <v/>
      </c>
      <c r="D70" s="29">
        <f>IF($C70="","",INDEX($O$12:$O$372,$Z70))</f>
        <v/>
      </c>
      <c r="E70" s="158">
        <f>IF($C70="","",INDEX($P$12:$P$372,$Z70))</f>
        <v/>
      </c>
      <c r="F70" s="29">
        <f>IF($C70="","",INDEX($Q$12:$Q$372,$Z70))</f>
        <v/>
      </c>
      <c r="G70" s="248">
        <f>IF($C70="","",INDEX($R$12:$R$372,$Z70))</f>
        <v/>
      </c>
      <c r="H70" s="248">
        <f>IF($C70="","",INDEX($S$12:$S$372,$Z70))</f>
        <v/>
      </c>
      <c r="I70" s="248">
        <f>IF($C70="","",N($I69)+$G70-$H70)</f>
        <v/>
      </c>
      <c r="J70" s="6" t="n"/>
      <c r="K70" s="6" t="n"/>
      <c r="L70" s="3" t="n"/>
      <c r="M70" s="3" t="n">
        <v>59</v>
      </c>
      <c r="N70" s="3">
        <f>IF(OR($U70=0,$W70="",$X70&lt;=0),"",IF($W70&gt;TODAY(),"",IF(AND(INDEX(UCRETLER!$E$7:$E$406,$U70)&lt;&gt;"",$W70&gt;INDEX(UCRETLER!$E$7:$E$406,$U70)),"",$W70)))</f>
        <v/>
      </c>
      <c r="O70" s="3">
        <f>IF($N70="","",IF(INDEX(UCRETLER!$F$7:$F$406,$U70)="Aylık",TEXT($N70,"mmmm yyyy")&amp;" aylık muhasebe hizmet ücreti",TEXT($N70,"dd.mm.yyyy")&amp;" haftalık muhasebe hizmet ücreti"))</f>
        <v/>
      </c>
      <c r="P70" s="3">
        <f>IF($N70="","","TAHAKKUK")</f>
        <v/>
      </c>
      <c r="Q70" s="3">
        <f>IF($N70="","","600 Muhasebe Hizmet Geliri")</f>
        <v/>
      </c>
      <c r="R70" s="3">
        <f>IF($N70="",0,$X70)</f>
        <v/>
      </c>
      <c r="S70" s="3" t="n">
        <v>0</v>
      </c>
      <c r="T70" s="3">
        <f>IF($N70="",10000000000,$N70*100000+$M70)</f>
        <v/>
      </c>
      <c r="U70" s="3">
        <f>$AB$4</f>
        <v/>
      </c>
      <c r="V70" s="3" t="n">
        <v>58</v>
      </c>
      <c r="W70" s="3">
        <f>IF($U70=0,"",IF(INDEX(UCRETLER!$D$7:$D$406,$U70)="","",IF(INDEX(UCRETLER!$F$7:$F$406,$U70)="Aylık",EOMONTH(INDEX(UCRETLER!$D$7:$D$406,$U70),$V70-1),INDEX(UCRETLER!$D$7:$D$406,$U70)+MOD(SISTEM!$F$8-WEEKDAY(INDEX(UCRETLER!$D$7:$D$406,$U70),2),7)+7*($V70-1))))</f>
        <v/>
      </c>
      <c r="X70" s="3">
        <f>IF($U70=0,0,INDEX(UCRETLER!$G$7:$G$406,$U70))</f>
        <v/>
      </c>
      <c r="Y70" s="3">
        <f>IFERROR(SMALL($T$12:$T$372,ROW()-11),"")</f>
        <v/>
      </c>
      <c r="Z70" s="3">
        <f>IFERROR(MATCH($Y70,$T$12:$T$372,0),"")</f>
        <v/>
      </c>
      <c r="AA70" s="3" t="n"/>
      <c r="AB70" s="3" t="n"/>
      <c r="AC70" s="3" t="n"/>
    </row>
    <row r="71">
      <c r="A71" s="6" t="n"/>
      <c r="B71" s="158">
        <f>IF($C71="","",ROW()-11)</f>
        <v/>
      </c>
      <c r="C71" s="247">
        <f>IF($Z71="","",IF(INDEX($N$12:$N$372,$Z71)="","",INDEX($N$12:$N$372,$Z71)))</f>
        <v/>
      </c>
      <c r="D71" s="29">
        <f>IF($C71="","",INDEX($O$12:$O$372,$Z71))</f>
        <v/>
      </c>
      <c r="E71" s="158">
        <f>IF($C71="","",INDEX($P$12:$P$372,$Z71))</f>
        <v/>
      </c>
      <c r="F71" s="29">
        <f>IF($C71="","",INDEX($Q$12:$Q$372,$Z71))</f>
        <v/>
      </c>
      <c r="G71" s="248">
        <f>IF($C71="","",INDEX($R$12:$R$372,$Z71))</f>
        <v/>
      </c>
      <c r="H71" s="248">
        <f>IF($C71="","",INDEX($S$12:$S$372,$Z71))</f>
        <v/>
      </c>
      <c r="I71" s="248">
        <f>IF($C71="","",N($I70)+$G71-$H71)</f>
        <v/>
      </c>
      <c r="J71" s="6" t="n"/>
      <c r="K71" s="6" t="n"/>
      <c r="L71" s="3" t="n"/>
      <c r="M71" s="3" t="n">
        <v>60</v>
      </c>
      <c r="N71" s="3">
        <f>IF(OR($U71=0,$W71="",$X71&lt;=0),"",IF($W71&gt;TODAY(),"",IF(AND(INDEX(UCRETLER!$E$7:$E$406,$U71)&lt;&gt;"",$W71&gt;INDEX(UCRETLER!$E$7:$E$406,$U71)),"",$W71)))</f>
        <v/>
      </c>
      <c r="O71" s="3">
        <f>IF($N71="","",IF(INDEX(UCRETLER!$F$7:$F$406,$U71)="Aylık",TEXT($N71,"mmmm yyyy")&amp;" aylık muhasebe hizmet ücreti",TEXT($N71,"dd.mm.yyyy")&amp;" haftalık muhasebe hizmet ücreti"))</f>
        <v/>
      </c>
      <c r="P71" s="3">
        <f>IF($N71="","","TAHAKKUK")</f>
        <v/>
      </c>
      <c r="Q71" s="3">
        <f>IF($N71="","","600 Muhasebe Hizmet Geliri")</f>
        <v/>
      </c>
      <c r="R71" s="3">
        <f>IF($N71="",0,$X71)</f>
        <v/>
      </c>
      <c r="S71" s="3" t="n">
        <v>0</v>
      </c>
      <c r="T71" s="3">
        <f>IF($N71="",10000000000,$N71*100000+$M71)</f>
        <v/>
      </c>
      <c r="U71" s="3">
        <f>$AB$4</f>
        <v/>
      </c>
      <c r="V71" s="3" t="n">
        <v>59</v>
      </c>
      <c r="W71" s="3">
        <f>IF($U71=0,"",IF(INDEX(UCRETLER!$D$7:$D$406,$U71)="","",IF(INDEX(UCRETLER!$F$7:$F$406,$U71)="Aylık",EOMONTH(INDEX(UCRETLER!$D$7:$D$406,$U71),$V71-1),INDEX(UCRETLER!$D$7:$D$406,$U71)+MOD(SISTEM!$F$8-WEEKDAY(INDEX(UCRETLER!$D$7:$D$406,$U71),2),7)+7*($V71-1))))</f>
        <v/>
      </c>
      <c r="X71" s="3">
        <f>IF($U71=0,0,INDEX(UCRETLER!$G$7:$G$406,$U71))</f>
        <v/>
      </c>
      <c r="Y71" s="3">
        <f>IFERROR(SMALL($T$12:$T$372,ROW()-11),"")</f>
        <v/>
      </c>
      <c r="Z71" s="3">
        <f>IFERROR(MATCH($Y71,$T$12:$T$372,0),"")</f>
        <v/>
      </c>
      <c r="AA71" s="3" t="n"/>
      <c r="AB71" s="3" t="n"/>
      <c r="AC71" s="3" t="n"/>
    </row>
    <row r="72">
      <c r="A72" s="6" t="n"/>
      <c r="B72" s="158">
        <f>IF($C72="","",ROW()-11)</f>
        <v/>
      </c>
      <c r="C72" s="247">
        <f>IF($Z72="","",IF(INDEX($N$12:$N$372,$Z72)="","",INDEX($N$12:$N$372,$Z72)))</f>
        <v/>
      </c>
      <c r="D72" s="29">
        <f>IF($C72="","",INDEX($O$12:$O$372,$Z72))</f>
        <v/>
      </c>
      <c r="E72" s="158">
        <f>IF($C72="","",INDEX($P$12:$P$372,$Z72))</f>
        <v/>
      </c>
      <c r="F72" s="29">
        <f>IF($C72="","",INDEX($Q$12:$Q$372,$Z72))</f>
        <v/>
      </c>
      <c r="G72" s="248">
        <f>IF($C72="","",INDEX($R$12:$R$372,$Z72))</f>
        <v/>
      </c>
      <c r="H72" s="248">
        <f>IF($C72="","",INDEX($S$12:$S$372,$Z72))</f>
        <v/>
      </c>
      <c r="I72" s="248">
        <f>IF($C72="","",N($I71)+$G72-$H72)</f>
        <v/>
      </c>
      <c r="J72" s="6" t="n"/>
      <c r="K72" s="6" t="n"/>
      <c r="L72" s="3" t="n"/>
      <c r="M72" s="3" t="n">
        <v>61</v>
      </c>
      <c r="N72" s="3">
        <f>IF(OR($U72=0,$W72="",$X72&lt;=0),"",IF($W72&gt;TODAY(),"",IF(AND(INDEX(UCRETLER!$E$7:$E$406,$U72)&lt;&gt;"",$W72&gt;INDEX(UCRETLER!$E$7:$E$406,$U72)),"",$W72)))</f>
        <v/>
      </c>
      <c r="O72" s="3">
        <f>IF($N72="","",IF(INDEX(UCRETLER!$F$7:$F$406,$U72)="Aylık",TEXT($N72,"mmmm yyyy")&amp;" aylık muhasebe hizmet ücreti",TEXT($N72,"dd.mm.yyyy")&amp;" haftalık muhasebe hizmet ücreti"))</f>
        <v/>
      </c>
      <c r="P72" s="3">
        <f>IF($N72="","","TAHAKKUK")</f>
        <v/>
      </c>
      <c r="Q72" s="3">
        <f>IF($N72="","","600 Muhasebe Hizmet Geliri")</f>
        <v/>
      </c>
      <c r="R72" s="3">
        <f>IF($N72="",0,$X72)</f>
        <v/>
      </c>
      <c r="S72" s="3" t="n">
        <v>0</v>
      </c>
      <c r="T72" s="3">
        <f>IF($N72="",10000000000,$N72*100000+$M72)</f>
        <v/>
      </c>
      <c r="U72" s="3">
        <f>$AB$4</f>
        <v/>
      </c>
      <c r="V72" s="3" t="n">
        <v>60</v>
      </c>
      <c r="W72" s="3">
        <f>IF($U72=0,"",IF(INDEX(UCRETLER!$D$7:$D$406,$U72)="","",IF(INDEX(UCRETLER!$F$7:$F$406,$U72)="Aylık",EOMONTH(INDEX(UCRETLER!$D$7:$D$406,$U72),$V72-1),INDEX(UCRETLER!$D$7:$D$406,$U72)+MOD(SISTEM!$F$8-WEEKDAY(INDEX(UCRETLER!$D$7:$D$406,$U72),2),7)+7*($V72-1))))</f>
        <v/>
      </c>
      <c r="X72" s="3">
        <f>IF($U72=0,0,INDEX(UCRETLER!$G$7:$G$406,$U72))</f>
        <v/>
      </c>
      <c r="Y72" s="3">
        <f>IFERROR(SMALL($T$12:$T$372,ROW()-11),"")</f>
        <v/>
      </c>
      <c r="Z72" s="3">
        <f>IFERROR(MATCH($Y72,$T$12:$T$372,0),"")</f>
        <v/>
      </c>
      <c r="AA72" s="3" t="n"/>
      <c r="AB72" s="3" t="n"/>
      <c r="AC72" s="3" t="n"/>
    </row>
    <row r="73">
      <c r="A73" s="6" t="n"/>
      <c r="B73" s="158">
        <f>IF($C73="","",ROW()-11)</f>
        <v/>
      </c>
      <c r="C73" s="247">
        <f>IF($Z73="","",IF(INDEX($N$12:$N$372,$Z73)="","",INDEX($N$12:$N$372,$Z73)))</f>
        <v/>
      </c>
      <c r="D73" s="29">
        <f>IF($C73="","",INDEX($O$12:$O$372,$Z73))</f>
        <v/>
      </c>
      <c r="E73" s="158">
        <f>IF($C73="","",INDEX($P$12:$P$372,$Z73))</f>
        <v/>
      </c>
      <c r="F73" s="29">
        <f>IF($C73="","",INDEX($Q$12:$Q$372,$Z73))</f>
        <v/>
      </c>
      <c r="G73" s="248">
        <f>IF($C73="","",INDEX($R$12:$R$372,$Z73))</f>
        <v/>
      </c>
      <c r="H73" s="248">
        <f>IF($C73="","",INDEX($S$12:$S$372,$Z73))</f>
        <v/>
      </c>
      <c r="I73" s="248">
        <f>IF($C73="","",N($I72)+$G73-$H73)</f>
        <v/>
      </c>
      <c r="J73" s="6" t="n"/>
      <c r="K73" s="6" t="n"/>
      <c r="L73" s="3" t="n"/>
      <c r="M73" s="3" t="n">
        <v>62</v>
      </c>
      <c r="N73" s="3">
        <f>IF(OR($U73=0,$W73="",$X73&lt;=0),"",IF($W73&gt;TODAY(),"",IF(AND(INDEX(UCRETLER!$E$7:$E$406,$U73)&lt;&gt;"",$W73&gt;INDEX(UCRETLER!$E$7:$E$406,$U73)),"",$W73)))</f>
        <v/>
      </c>
      <c r="O73" s="3">
        <f>IF($N73="","",IF(INDEX(UCRETLER!$F$7:$F$406,$U73)="Aylık",TEXT($N73,"mmmm yyyy")&amp;" aylık muhasebe hizmet ücreti",TEXT($N73,"dd.mm.yyyy")&amp;" haftalık muhasebe hizmet ücreti"))</f>
        <v/>
      </c>
      <c r="P73" s="3">
        <f>IF($N73="","","TAHAKKUK")</f>
        <v/>
      </c>
      <c r="Q73" s="3">
        <f>IF($N73="","","600 Muhasebe Hizmet Geliri")</f>
        <v/>
      </c>
      <c r="R73" s="3">
        <f>IF($N73="",0,$X73)</f>
        <v/>
      </c>
      <c r="S73" s="3" t="n">
        <v>0</v>
      </c>
      <c r="T73" s="3">
        <f>IF($N73="",10000000000,$N73*100000+$M73)</f>
        <v/>
      </c>
      <c r="U73" s="3">
        <f>$AB$4</f>
        <v/>
      </c>
      <c r="V73" s="3" t="n">
        <v>61</v>
      </c>
      <c r="W73" s="3">
        <f>IF($U73=0,"",IF(INDEX(UCRETLER!$D$7:$D$406,$U73)="","",IF(INDEX(UCRETLER!$F$7:$F$406,$U73)="Aylık",EOMONTH(INDEX(UCRETLER!$D$7:$D$406,$U73),$V73-1),INDEX(UCRETLER!$D$7:$D$406,$U73)+MOD(SISTEM!$F$8-WEEKDAY(INDEX(UCRETLER!$D$7:$D$406,$U73),2),7)+7*($V73-1))))</f>
        <v/>
      </c>
      <c r="X73" s="3">
        <f>IF($U73=0,0,INDEX(UCRETLER!$G$7:$G$406,$U73))</f>
        <v/>
      </c>
      <c r="Y73" s="3">
        <f>IFERROR(SMALL($T$12:$T$372,ROW()-11),"")</f>
        <v/>
      </c>
      <c r="Z73" s="3">
        <f>IFERROR(MATCH($Y73,$T$12:$T$372,0),"")</f>
        <v/>
      </c>
      <c r="AA73" s="3" t="n"/>
      <c r="AB73" s="3" t="n"/>
      <c r="AC73" s="3" t="n"/>
    </row>
    <row r="74">
      <c r="A74" s="6" t="n"/>
      <c r="B74" s="158">
        <f>IF($C74="","",ROW()-11)</f>
        <v/>
      </c>
      <c r="C74" s="247">
        <f>IF($Z74="","",IF(INDEX($N$12:$N$372,$Z74)="","",INDEX($N$12:$N$372,$Z74)))</f>
        <v/>
      </c>
      <c r="D74" s="29">
        <f>IF($C74="","",INDEX($O$12:$O$372,$Z74))</f>
        <v/>
      </c>
      <c r="E74" s="158">
        <f>IF($C74="","",INDEX($P$12:$P$372,$Z74))</f>
        <v/>
      </c>
      <c r="F74" s="29">
        <f>IF($C74="","",INDEX($Q$12:$Q$372,$Z74))</f>
        <v/>
      </c>
      <c r="G74" s="248">
        <f>IF($C74="","",INDEX($R$12:$R$372,$Z74))</f>
        <v/>
      </c>
      <c r="H74" s="248">
        <f>IF($C74="","",INDEX($S$12:$S$372,$Z74))</f>
        <v/>
      </c>
      <c r="I74" s="248">
        <f>IF($C74="","",N($I73)+$G74-$H74)</f>
        <v/>
      </c>
      <c r="J74" s="6" t="n"/>
      <c r="K74" s="6" t="n"/>
      <c r="L74" s="3" t="n"/>
      <c r="M74" s="3" t="n">
        <v>63</v>
      </c>
      <c r="N74" s="3">
        <f>IF(OR($U74=0,$W74="",$X74&lt;=0),"",IF($W74&gt;TODAY(),"",IF(AND(INDEX(UCRETLER!$E$7:$E$406,$U74)&lt;&gt;"",$W74&gt;INDEX(UCRETLER!$E$7:$E$406,$U74)),"",$W74)))</f>
        <v/>
      </c>
      <c r="O74" s="3">
        <f>IF($N74="","",IF(INDEX(UCRETLER!$F$7:$F$406,$U74)="Aylık",TEXT($N74,"mmmm yyyy")&amp;" aylık muhasebe hizmet ücreti",TEXT($N74,"dd.mm.yyyy")&amp;" haftalık muhasebe hizmet ücreti"))</f>
        <v/>
      </c>
      <c r="P74" s="3">
        <f>IF($N74="","","TAHAKKUK")</f>
        <v/>
      </c>
      <c r="Q74" s="3">
        <f>IF($N74="","","600 Muhasebe Hizmet Geliri")</f>
        <v/>
      </c>
      <c r="R74" s="3">
        <f>IF($N74="",0,$X74)</f>
        <v/>
      </c>
      <c r="S74" s="3" t="n">
        <v>0</v>
      </c>
      <c r="T74" s="3">
        <f>IF($N74="",10000000000,$N74*100000+$M74)</f>
        <v/>
      </c>
      <c r="U74" s="3">
        <f>$AB$4</f>
        <v/>
      </c>
      <c r="V74" s="3" t="n">
        <v>62</v>
      </c>
      <c r="W74" s="3">
        <f>IF($U74=0,"",IF(INDEX(UCRETLER!$D$7:$D$406,$U74)="","",IF(INDEX(UCRETLER!$F$7:$F$406,$U74)="Aylık",EOMONTH(INDEX(UCRETLER!$D$7:$D$406,$U74),$V74-1),INDEX(UCRETLER!$D$7:$D$406,$U74)+MOD(SISTEM!$F$8-WEEKDAY(INDEX(UCRETLER!$D$7:$D$406,$U74),2),7)+7*($V74-1))))</f>
        <v/>
      </c>
      <c r="X74" s="3">
        <f>IF($U74=0,0,INDEX(UCRETLER!$G$7:$G$406,$U74))</f>
        <v/>
      </c>
      <c r="Y74" s="3">
        <f>IFERROR(SMALL($T$12:$T$372,ROW()-11),"")</f>
        <v/>
      </c>
      <c r="Z74" s="3">
        <f>IFERROR(MATCH($Y74,$T$12:$T$372,0),"")</f>
        <v/>
      </c>
      <c r="AA74" s="3" t="n"/>
      <c r="AB74" s="3" t="n"/>
      <c r="AC74" s="3" t="n"/>
    </row>
    <row r="75">
      <c r="A75" s="6" t="n"/>
      <c r="B75" s="158">
        <f>IF($C75="","",ROW()-11)</f>
        <v/>
      </c>
      <c r="C75" s="247">
        <f>IF($Z75="","",IF(INDEX($N$12:$N$372,$Z75)="","",INDEX($N$12:$N$372,$Z75)))</f>
        <v/>
      </c>
      <c r="D75" s="29">
        <f>IF($C75="","",INDEX($O$12:$O$372,$Z75))</f>
        <v/>
      </c>
      <c r="E75" s="158">
        <f>IF($C75="","",INDEX($P$12:$P$372,$Z75))</f>
        <v/>
      </c>
      <c r="F75" s="29">
        <f>IF($C75="","",INDEX($Q$12:$Q$372,$Z75))</f>
        <v/>
      </c>
      <c r="G75" s="248">
        <f>IF($C75="","",INDEX($R$12:$R$372,$Z75))</f>
        <v/>
      </c>
      <c r="H75" s="248">
        <f>IF($C75="","",INDEX($S$12:$S$372,$Z75))</f>
        <v/>
      </c>
      <c r="I75" s="248">
        <f>IF($C75="","",N($I74)+$G75-$H75)</f>
        <v/>
      </c>
      <c r="J75" s="6" t="n"/>
      <c r="K75" s="6" t="n"/>
      <c r="L75" s="3" t="n"/>
      <c r="M75" s="3" t="n">
        <v>64</v>
      </c>
      <c r="N75" s="3">
        <f>IF(OR($U75=0,$W75="",$X75&lt;=0),"",IF($W75&gt;TODAY(),"",IF(AND(INDEX(UCRETLER!$E$7:$E$406,$U75)&lt;&gt;"",$W75&gt;INDEX(UCRETLER!$E$7:$E$406,$U75)),"",$W75)))</f>
        <v/>
      </c>
      <c r="O75" s="3">
        <f>IF($N75="","",IF(INDEX(UCRETLER!$F$7:$F$406,$U75)="Aylık",TEXT($N75,"mmmm yyyy")&amp;" aylık muhasebe hizmet ücreti",TEXT($N75,"dd.mm.yyyy")&amp;" haftalık muhasebe hizmet ücreti"))</f>
        <v/>
      </c>
      <c r="P75" s="3">
        <f>IF($N75="","","TAHAKKUK")</f>
        <v/>
      </c>
      <c r="Q75" s="3">
        <f>IF($N75="","","600 Muhasebe Hizmet Geliri")</f>
        <v/>
      </c>
      <c r="R75" s="3">
        <f>IF($N75="",0,$X75)</f>
        <v/>
      </c>
      <c r="S75" s="3" t="n">
        <v>0</v>
      </c>
      <c r="T75" s="3">
        <f>IF($N75="",10000000000,$N75*100000+$M75)</f>
        <v/>
      </c>
      <c r="U75" s="3">
        <f>$AB$4</f>
        <v/>
      </c>
      <c r="V75" s="3" t="n">
        <v>63</v>
      </c>
      <c r="W75" s="3">
        <f>IF($U75=0,"",IF(INDEX(UCRETLER!$D$7:$D$406,$U75)="","",IF(INDEX(UCRETLER!$F$7:$F$406,$U75)="Aylık",EOMONTH(INDEX(UCRETLER!$D$7:$D$406,$U75),$V75-1),INDEX(UCRETLER!$D$7:$D$406,$U75)+MOD(SISTEM!$F$8-WEEKDAY(INDEX(UCRETLER!$D$7:$D$406,$U75),2),7)+7*($V75-1))))</f>
        <v/>
      </c>
      <c r="X75" s="3">
        <f>IF($U75=0,0,INDEX(UCRETLER!$G$7:$G$406,$U75))</f>
        <v/>
      </c>
      <c r="Y75" s="3">
        <f>IFERROR(SMALL($T$12:$T$372,ROW()-11),"")</f>
        <v/>
      </c>
      <c r="Z75" s="3">
        <f>IFERROR(MATCH($Y75,$T$12:$T$372,0),"")</f>
        <v/>
      </c>
      <c r="AA75" s="3" t="n"/>
      <c r="AB75" s="3" t="n"/>
      <c r="AC75" s="3" t="n"/>
    </row>
    <row r="76">
      <c r="A76" s="6" t="n"/>
      <c r="B76" s="158">
        <f>IF($C76="","",ROW()-11)</f>
        <v/>
      </c>
      <c r="C76" s="247">
        <f>IF($Z76="","",IF(INDEX($N$12:$N$372,$Z76)="","",INDEX($N$12:$N$372,$Z76)))</f>
        <v/>
      </c>
      <c r="D76" s="29">
        <f>IF($C76="","",INDEX($O$12:$O$372,$Z76))</f>
        <v/>
      </c>
      <c r="E76" s="158">
        <f>IF($C76="","",INDEX($P$12:$P$372,$Z76))</f>
        <v/>
      </c>
      <c r="F76" s="29">
        <f>IF($C76="","",INDEX($Q$12:$Q$372,$Z76))</f>
        <v/>
      </c>
      <c r="G76" s="248">
        <f>IF($C76="","",INDEX($R$12:$R$372,$Z76))</f>
        <v/>
      </c>
      <c r="H76" s="248">
        <f>IF($C76="","",INDEX($S$12:$S$372,$Z76))</f>
        <v/>
      </c>
      <c r="I76" s="248">
        <f>IF($C76="","",N($I75)+$G76-$H76)</f>
        <v/>
      </c>
      <c r="J76" s="6" t="n"/>
      <c r="K76" s="6" t="n"/>
      <c r="L76" s="3" t="n"/>
      <c r="M76" s="3" t="n">
        <v>65</v>
      </c>
      <c r="N76" s="3">
        <f>IF(OR($U76=0,$W76="",$X76&lt;=0),"",IF($W76&gt;TODAY(),"",IF(AND(INDEX(UCRETLER!$E$7:$E$406,$U76)&lt;&gt;"",$W76&gt;INDEX(UCRETLER!$E$7:$E$406,$U76)),"",$W76)))</f>
        <v/>
      </c>
      <c r="O76" s="3">
        <f>IF($N76="","",IF(INDEX(UCRETLER!$F$7:$F$406,$U76)="Aylık",TEXT($N76,"mmmm yyyy")&amp;" aylık muhasebe hizmet ücreti",TEXT($N76,"dd.mm.yyyy")&amp;" haftalık muhasebe hizmet ücreti"))</f>
        <v/>
      </c>
      <c r="P76" s="3">
        <f>IF($N76="","","TAHAKKUK")</f>
        <v/>
      </c>
      <c r="Q76" s="3">
        <f>IF($N76="","","600 Muhasebe Hizmet Geliri")</f>
        <v/>
      </c>
      <c r="R76" s="3">
        <f>IF($N76="",0,$X76)</f>
        <v/>
      </c>
      <c r="S76" s="3" t="n">
        <v>0</v>
      </c>
      <c r="T76" s="3">
        <f>IF($N76="",10000000000,$N76*100000+$M76)</f>
        <v/>
      </c>
      <c r="U76" s="3">
        <f>$AB$4</f>
        <v/>
      </c>
      <c r="V76" s="3" t="n">
        <v>64</v>
      </c>
      <c r="W76" s="3">
        <f>IF($U76=0,"",IF(INDEX(UCRETLER!$D$7:$D$406,$U76)="","",IF(INDEX(UCRETLER!$F$7:$F$406,$U76)="Aylık",EOMONTH(INDEX(UCRETLER!$D$7:$D$406,$U76),$V76-1),INDEX(UCRETLER!$D$7:$D$406,$U76)+MOD(SISTEM!$F$8-WEEKDAY(INDEX(UCRETLER!$D$7:$D$406,$U76),2),7)+7*($V76-1))))</f>
        <v/>
      </c>
      <c r="X76" s="3">
        <f>IF($U76=0,0,INDEX(UCRETLER!$G$7:$G$406,$U76))</f>
        <v/>
      </c>
      <c r="Y76" s="3">
        <f>IFERROR(SMALL($T$12:$T$372,ROW()-11),"")</f>
        <v/>
      </c>
      <c r="Z76" s="3">
        <f>IFERROR(MATCH($Y76,$T$12:$T$372,0),"")</f>
        <v/>
      </c>
      <c r="AA76" s="3" t="n"/>
      <c r="AB76" s="3" t="n"/>
      <c r="AC76" s="3" t="n"/>
    </row>
    <row r="77">
      <c r="A77" s="6" t="n"/>
      <c r="B77" s="158">
        <f>IF($C77="","",ROW()-11)</f>
        <v/>
      </c>
      <c r="C77" s="247">
        <f>IF($Z77="","",IF(INDEX($N$12:$N$372,$Z77)="","",INDEX($N$12:$N$372,$Z77)))</f>
        <v/>
      </c>
      <c r="D77" s="29">
        <f>IF($C77="","",INDEX($O$12:$O$372,$Z77))</f>
        <v/>
      </c>
      <c r="E77" s="158">
        <f>IF($C77="","",INDEX($P$12:$P$372,$Z77))</f>
        <v/>
      </c>
      <c r="F77" s="29">
        <f>IF($C77="","",INDEX($Q$12:$Q$372,$Z77))</f>
        <v/>
      </c>
      <c r="G77" s="248">
        <f>IF($C77="","",INDEX($R$12:$R$372,$Z77))</f>
        <v/>
      </c>
      <c r="H77" s="248">
        <f>IF($C77="","",INDEX($S$12:$S$372,$Z77))</f>
        <v/>
      </c>
      <c r="I77" s="248">
        <f>IF($C77="","",N($I76)+$G77-$H77)</f>
        <v/>
      </c>
      <c r="J77" s="6" t="n"/>
      <c r="K77" s="6" t="n"/>
      <c r="L77" s="3" t="n"/>
      <c r="M77" s="3" t="n">
        <v>66</v>
      </c>
      <c r="N77" s="3">
        <f>IF(OR($U77=0,$W77="",$X77&lt;=0),"",IF($W77&gt;TODAY(),"",IF(AND(INDEX(UCRETLER!$E$7:$E$406,$U77)&lt;&gt;"",$W77&gt;INDEX(UCRETLER!$E$7:$E$406,$U77)),"",$W77)))</f>
        <v/>
      </c>
      <c r="O77" s="3">
        <f>IF($N77="","",IF(INDEX(UCRETLER!$F$7:$F$406,$U77)="Aylık",TEXT($N77,"mmmm yyyy")&amp;" aylık muhasebe hizmet ücreti",TEXT($N77,"dd.mm.yyyy")&amp;" haftalık muhasebe hizmet ücreti"))</f>
        <v/>
      </c>
      <c r="P77" s="3">
        <f>IF($N77="","","TAHAKKUK")</f>
        <v/>
      </c>
      <c r="Q77" s="3">
        <f>IF($N77="","","600 Muhasebe Hizmet Geliri")</f>
        <v/>
      </c>
      <c r="R77" s="3">
        <f>IF($N77="",0,$X77)</f>
        <v/>
      </c>
      <c r="S77" s="3" t="n">
        <v>0</v>
      </c>
      <c r="T77" s="3">
        <f>IF($N77="",10000000000,$N77*100000+$M77)</f>
        <v/>
      </c>
      <c r="U77" s="3">
        <f>$AB$4</f>
        <v/>
      </c>
      <c r="V77" s="3" t="n">
        <v>65</v>
      </c>
      <c r="W77" s="3">
        <f>IF($U77=0,"",IF(INDEX(UCRETLER!$D$7:$D$406,$U77)="","",IF(INDEX(UCRETLER!$F$7:$F$406,$U77)="Aylık",EOMONTH(INDEX(UCRETLER!$D$7:$D$406,$U77),$V77-1),INDEX(UCRETLER!$D$7:$D$406,$U77)+MOD(SISTEM!$F$8-WEEKDAY(INDEX(UCRETLER!$D$7:$D$406,$U77),2),7)+7*($V77-1))))</f>
        <v/>
      </c>
      <c r="X77" s="3">
        <f>IF($U77=0,0,INDEX(UCRETLER!$G$7:$G$406,$U77))</f>
        <v/>
      </c>
      <c r="Y77" s="3">
        <f>IFERROR(SMALL($T$12:$T$372,ROW()-11),"")</f>
        <v/>
      </c>
      <c r="Z77" s="3">
        <f>IFERROR(MATCH($Y77,$T$12:$T$372,0),"")</f>
        <v/>
      </c>
      <c r="AA77" s="3" t="n"/>
      <c r="AB77" s="3" t="n"/>
      <c r="AC77" s="3" t="n"/>
    </row>
    <row r="78">
      <c r="A78" s="6" t="n"/>
      <c r="B78" s="158">
        <f>IF($C78="","",ROW()-11)</f>
        <v/>
      </c>
      <c r="C78" s="247">
        <f>IF($Z78="","",IF(INDEX($N$12:$N$372,$Z78)="","",INDEX($N$12:$N$372,$Z78)))</f>
        <v/>
      </c>
      <c r="D78" s="29">
        <f>IF($C78="","",INDEX($O$12:$O$372,$Z78))</f>
        <v/>
      </c>
      <c r="E78" s="158">
        <f>IF($C78="","",INDEX($P$12:$P$372,$Z78))</f>
        <v/>
      </c>
      <c r="F78" s="29">
        <f>IF($C78="","",INDEX($Q$12:$Q$372,$Z78))</f>
        <v/>
      </c>
      <c r="G78" s="248">
        <f>IF($C78="","",INDEX($R$12:$R$372,$Z78))</f>
        <v/>
      </c>
      <c r="H78" s="248">
        <f>IF($C78="","",INDEX($S$12:$S$372,$Z78))</f>
        <v/>
      </c>
      <c r="I78" s="248">
        <f>IF($C78="","",N($I77)+$G78-$H78)</f>
        <v/>
      </c>
      <c r="J78" s="6" t="n"/>
      <c r="K78" s="6" t="n"/>
      <c r="L78" s="3" t="n"/>
      <c r="M78" s="3" t="n">
        <v>67</v>
      </c>
      <c r="N78" s="3">
        <f>IF(OR($U78=0,$W78="",$X78&lt;=0),"",IF($W78&gt;TODAY(),"",IF(AND(INDEX(UCRETLER!$E$7:$E$406,$U78)&lt;&gt;"",$W78&gt;INDEX(UCRETLER!$E$7:$E$406,$U78)),"",$W78)))</f>
        <v/>
      </c>
      <c r="O78" s="3">
        <f>IF($N78="","",IF(INDEX(UCRETLER!$F$7:$F$406,$U78)="Aylık",TEXT($N78,"mmmm yyyy")&amp;" aylık muhasebe hizmet ücreti",TEXT($N78,"dd.mm.yyyy")&amp;" haftalık muhasebe hizmet ücreti"))</f>
        <v/>
      </c>
      <c r="P78" s="3">
        <f>IF($N78="","","TAHAKKUK")</f>
        <v/>
      </c>
      <c r="Q78" s="3">
        <f>IF($N78="","","600 Muhasebe Hizmet Geliri")</f>
        <v/>
      </c>
      <c r="R78" s="3">
        <f>IF($N78="",0,$X78)</f>
        <v/>
      </c>
      <c r="S78" s="3" t="n">
        <v>0</v>
      </c>
      <c r="T78" s="3">
        <f>IF($N78="",10000000000,$N78*100000+$M78)</f>
        <v/>
      </c>
      <c r="U78" s="3">
        <f>$AB$4</f>
        <v/>
      </c>
      <c r="V78" s="3" t="n">
        <v>66</v>
      </c>
      <c r="W78" s="3">
        <f>IF($U78=0,"",IF(INDEX(UCRETLER!$D$7:$D$406,$U78)="","",IF(INDEX(UCRETLER!$F$7:$F$406,$U78)="Aylık",EOMONTH(INDEX(UCRETLER!$D$7:$D$406,$U78),$V78-1),INDEX(UCRETLER!$D$7:$D$406,$U78)+MOD(SISTEM!$F$8-WEEKDAY(INDEX(UCRETLER!$D$7:$D$406,$U78),2),7)+7*($V78-1))))</f>
        <v/>
      </c>
      <c r="X78" s="3">
        <f>IF($U78=0,0,INDEX(UCRETLER!$G$7:$G$406,$U78))</f>
        <v/>
      </c>
      <c r="Y78" s="3">
        <f>IFERROR(SMALL($T$12:$T$372,ROW()-11),"")</f>
        <v/>
      </c>
      <c r="Z78" s="3">
        <f>IFERROR(MATCH($Y78,$T$12:$T$372,0),"")</f>
        <v/>
      </c>
      <c r="AA78" s="3" t="n"/>
      <c r="AB78" s="3" t="n"/>
      <c r="AC78" s="3" t="n"/>
    </row>
    <row r="79">
      <c r="A79" s="6" t="n"/>
      <c r="B79" s="158">
        <f>IF($C79="","",ROW()-11)</f>
        <v/>
      </c>
      <c r="C79" s="247">
        <f>IF($Z79="","",IF(INDEX($N$12:$N$372,$Z79)="","",INDEX($N$12:$N$372,$Z79)))</f>
        <v/>
      </c>
      <c r="D79" s="29">
        <f>IF($C79="","",INDEX($O$12:$O$372,$Z79))</f>
        <v/>
      </c>
      <c r="E79" s="158">
        <f>IF($C79="","",INDEX($P$12:$P$372,$Z79))</f>
        <v/>
      </c>
      <c r="F79" s="29">
        <f>IF($C79="","",INDEX($Q$12:$Q$372,$Z79))</f>
        <v/>
      </c>
      <c r="G79" s="248">
        <f>IF($C79="","",INDEX($R$12:$R$372,$Z79))</f>
        <v/>
      </c>
      <c r="H79" s="248">
        <f>IF($C79="","",INDEX($S$12:$S$372,$Z79))</f>
        <v/>
      </c>
      <c r="I79" s="248">
        <f>IF($C79="","",N($I78)+$G79-$H79)</f>
        <v/>
      </c>
      <c r="J79" s="6" t="n"/>
      <c r="K79" s="6" t="n"/>
      <c r="L79" s="3" t="n"/>
      <c r="M79" s="3" t="n">
        <v>68</v>
      </c>
      <c r="N79" s="3">
        <f>IF(OR($U79=0,$W79="",$X79&lt;=0),"",IF($W79&gt;TODAY(),"",IF(AND(INDEX(UCRETLER!$E$7:$E$406,$U79)&lt;&gt;"",$W79&gt;INDEX(UCRETLER!$E$7:$E$406,$U79)),"",$W79)))</f>
        <v/>
      </c>
      <c r="O79" s="3">
        <f>IF($N79="","",IF(INDEX(UCRETLER!$F$7:$F$406,$U79)="Aylık",TEXT($N79,"mmmm yyyy")&amp;" aylık muhasebe hizmet ücreti",TEXT($N79,"dd.mm.yyyy")&amp;" haftalık muhasebe hizmet ücreti"))</f>
        <v/>
      </c>
      <c r="P79" s="3">
        <f>IF($N79="","","TAHAKKUK")</f>
        <v/>
      </c>
      <c r="Q79" s="3">
        <f>IF($N79="","","600 Muhasebe Hizmet Geliri")</f>
        <v/>
      </c>
      <c r="R79" s="3">
        <f>IF($N79="",0,$X79)</f>
        <v/>
      </c>
      <c r="S79" s="3" t="n">
        <v>0</v>
      </c>
      <c r="T79" s="3">
        <f>IF($N79="",10000000000,$N79*100000+$M79)</f>
        <v/>
      </c>
      <c r="U79" s="3">
        <f>$AB$4</f>
        <v/>
      </c>
      <c r="V79" s="3" t="n">
        <v>67</v>
      </c>
      <c r="W79" s="3">
        <f>IF($U79=0,"",IF(INDEX(UCRETLER!$D$7:$D$406,$U79)="","",IF(INDEX(UCRETLER!$F$7:$F$406,$U79)="Aylık",EOMONTH(INDEX(UCRETLER!$D$7:$D$406,$U79),$V79-1),INDEX(UCRETLER!$D$7:$D$406,$U79)+MOD(SISTEM!$F$8-WEEKDAY(INDEX(UCRETLER!$D$7:$D$406,$U79),2),7)+7*($V79-1))))</f>
        <v/>
      </c>
      <c r="X79" s="3">
        <f>IF($U79=0,0,INDEX(UCRETLER!$G$7:$G$406,$U79))</f>
        <v/>
      </c>
      <c r="Y79" s="3">
        <f>IFERROR(SMALL($T$12:$T$372,ROW()-11),"")</f>
        <v/>
      </c>
      <c r="Z79" s="3">
        <f>IFERROR(MATCH($Y79,$T$12:$T$372,0),"")</f>
        <v/>
      </c>
      <c r="AA79" s="3" t="n"/>
      <c r="AB79" s="3" t="n"/>
      <c r="AC79" s="3" t="n"/>
    </row>
    <row r="80">
      <c r="A80" s="6" t="n"/>
      <c r="B80" s="158">
        <f>IF($C80="","",ROW()-11)</f>
        <v/>
      </c>
      <c r="C80" s="247">
        <f>IF($Z80="","",IF(INDEX($N$12:$N$372,$Z80)="","",INDEX($N$12:$N$372,$Z80)))</f>
        <v/>
      </c>
      <c r="D80" s="29">
        <f>IF($C80="","",INDEX($O$12:$O$372,$Z80))</f>
        <v/>
      </c>
      <c r="E80" s="158">
        <f>IF($C80="","",INDEX($P$12:$P$372,$Z80))</f>
        <v/>
      </c>
      <c r="F80" s="29">
        <f>IF($C80="","",INDEX($Q$12:$Q$372,$Z80))</f>
        <v/>
      </c>
      <c r="G80" s="248">
        <f>IF($C80="","",INDEX($R$12:$R$372,$Z80))</f>
        <v/>
      </c>
      <c r="H80" s="248">
        <f>IF($C80="","",INDEX($S$12:$S$372,$Z80))</f>
        <v/>
      </c>
      <c r="I80" s="248">
        <f>IF($C80="","",N($I79)+$G80-$H80)</f>
        <v/>
      </c>
      <c r="J80" s="6" t="n"/>
      <c r="K80" s="6" t="n"/>
      <c r="L80" s="3" t="n"/>
      <c r="M80" s="3" t="n">
        <v>69</v>
      </c>
      <c r="N80" s="3">
        <f>IF(OR($U80=0,$W80="",$X80&lt;=0),"",IF($W80&gt;TODAY(),"",IF(AND(INDEX(UCRETLER!$E$7:$E$406,$U80)&lt;&gt;"",$W80&gt;INDEX(UCRETLER!$E$7:$E$406,$U80)),"",$W80)))</f>
        <v/>
      </c>
      <c r="O80" s="3">
        <f>IF($N80="","",IF(INDEX(UCRETLER!$F$7:$F$406,$U80)="Aylık",TEXT($N80,"mmmm yyyy")&amp;" aylık muhasebe hizmet ücreti",TEXT($N80,"dd.mm.yyyy")&amp;" haftalık muhasebe hizmet ücreti"))</f>
        <v/>
      </c>
      <c r="P80" s="3">
        <f>IF($N80="","","TAHAKKUK")</f>
        <v/>
      </c>
      <c r="Q80" s="3">
        <f>IF($N80="","","600 Muhasebe Hizmet Geliri")</f>
        <v/>
      </c>
      <c r="R80" s="3">
        <f>IF($N80="",0,$X80)</f>
        <v/>
      </c>
      <c r="S80" s="3" t="n">
        <v>0</v>
      </c>
      <c r="T80" s="3">
        <f>IF($N80="",10000000000,$N80*100000+$M80)</f>
        <v/>
      </c>
      <c r="U80" s="3">
        <f>$AB$4</f>
        <v/>
      </c>
      <c r="V80" s="3" t="n">
        <v>68</v>
      </c>
      <c r="W80" s="3">
        <f>IF($U80=0,"",IF(INDEX(UCRETLER!$D$7:$D$406,$U80)="","",IF(INDEX(UCRETLER!$F$7:$F$406,$U80)="Aylık",EOMONTH(INDEX(UCRETLER!$D$7:$D$406,$U80),$V80-1),INDEX(UCRETLER!$D$7:$D$406,$U80)+MOD(SISTEM!$F$8-WEEKDAY(INDEX(UCRETLER!$D$7:$D$406,$U80),2),7)+7*($V80-1))))</f>
        <v/>
      </c>
      <c r="X80" s="3">
        <f>IF($U80=0,0,INDEX(UCRETLER!$G$7:$G$406,$U80))</f>
        <v/>
      </c>
      <c r="Y80" s="3">
        <f>IFERROR(SMALL($T$12:$T$372,ROW()-11),"")</f>
        <v/>
      </c>
      <c r="Z80" s="3">
        <f>IFERROR(MATCH($Y80,$T$12:$T$372,0),"")</f>
        <v/>
      </c>
      <c r="AA80" s="3" t="n"/>
      <c r="AB80" s="3" t="n"/>
      <c r="AC80" s="3" t="n"/>
    </row>
    <row r="81">
      <c r="A81" s="6" t="n"/>
      <c r="B81" s="158">
        <f>IF($C81="","",ROW()-11)</f>
        <v/>
      </c>
      <c r="C81" s="247">
        <f>IF($Z81="","",IF(INDEX($N$12:$N$372,$Z81)="","",INDEX($N$12:$N$372,$Z81)))</f>
        <v/>
      </c>
      <c r="D81" s="29">
        <f>IF($C81="","",INDEX($O$12:$O$372,$Z81))</f>
        <v/>
      </c>
      <c r="E81" s="158">
        <f>IF($C81="","",INDEX($P$12:$P$372,$Z81))</f>
        <v/>
      </c>
      <c r="F81" s="29">
        <f>IF($C81="","",INDEX($Q$12:$Q$372,$Z81))</f>
        <v/>
      </c>
      <c r="G81" s="248">
        <f>IF($C81="","",INDEX($R$12:$R$372,$Z81))</f>
        <v/>
      </c>
      <c r="H81" s="248">
        <f>IF($C81="","",INDEX($S$12:$S$372,$Z81))</f>
        <v/>
      </c>
      <c r="I81" s="248">
        <f>IF($C81="","",N($I80)+$G81-$H81)</f>
        <v/>
      </c>
      <c r="J81" s="6" t="n"/>
      <c r="K81" s="6" t="n"/>
      <c r="L81" s="3" t="n"/>
      <c r="M81" s="3" t="n">
        <v>70</v>
      </c>
      <c r="N81" s="3">
        <f>IF(OR($U81=0,$W81="",$X81&lt;=0),"",IF($W81&gt;TODAY(),"",IF(AND(INDEX(UCRETLER!$E$7:$E$406,$U81)&lt;&gt;"",$W81&gt;INDEX(UCRETLER!$E$7:$E$406,$U81)),"",$W81)))</f>
        <v/>
      </c>
      <c r="O81" s="3">
        <f>IF($N81="","",IF(INDEX(UCRETLER!$F$7:$F$406,$U81)="Aylık",TEXT($N81,"mmmm yyyy")&amp;" aylık muhasebe hizmet ücreti",TEXT($N81,"dd.mm.yyyy")&amp;" haftalık muhasebe hizmet ücreti"))</f>
        <v/>
      </c>
      <c r="P81" s="3">
        <f>IF($N81="","","TAHAKKUK")</f>
        <v/>
      </c>
      <c r="Q81" s="3">
        <f>IF($N81="","","600 Muhasebe Hizmet Geliri")</f>
        <v/>
      </c>
      <c r="R81" s="3">
        <f>IF($N81="",0,$X81)</f>
        <v/>
      </c>
      <c r="S81" s="3" t="n">
        <v>0</v>
      </c>
      <c r="T81" s="3">
        <f>IF($N81="",10000000000,$N81*100000+$M81)</f>
        <v/>
      </c>
      <c r="U81" s="3">
        <f>$AB$4</f>
        <v/>
      </c>
      <c r="V81" s="3" t="n">
        <v>69</v>
      </c>
      <c r="W81" s="3">
        <f>IF($U81=0,"",IF(INDEX(UCRETLER!$D$7:$D$406,$U81)="","",IF(INDEX(UCRETLER!$F$7:$F$406,$U81)="Aylık",EOMONTH(INDEX(UCRETLER!$D$7:$D$406,$U81),$V81-1),INDEX(UCRETLER!$D$7:$D$406,$U81)+MOD(SISTEM!$F$8-WEEKDAY(INDEX(UCRETLER!$D$7:$D$406,$U81),2),7)+7*($V81-1))))</f>
        <v/>
      </c>
      <c r="X81" s="3">
        <f>IF($U81=0,0,INDEX(UCRETLER!$G$7:$G$406,$U81))</f>
        <v/>
      </c>
      <c r="Y81" s="3">
        <f>IFERROR(SMALL($T$12:$T$372,ROW()-11),"")</f>
        <v/>
      </c>
      <c r="Z81" s="3">
        <f>IFERROR(MATCH($Y81,$T$12:$T$372,0),"")</f>
        <v/>
      </c>
      <c r="AA81" s="3" t="n"/>
      <c r="AB81" s="3" t="n"/>
      <c r="AC81" s="3" t="n"/>
    </row>
    <row r="82">
      <c r="A82" s="6" t="n"/>
      <c r="B82" s="158">
        <f>IF($C82="","",ROW()-11)</f>
        <v/>
      </c>
      <c r="C82" s="247">
        <f>IF($Z82="","",IF(INDEX($N$12:$N$372,$Z82)="","",INDEX($N$12:$N$372,$Z82)))</f>
        <v/>
      </c>
      <c r="D82" s="29">
        <f>IF($C82="","",INDEX($O$12:$O$372,$Z82))</f>
        <v/>
      </c>
      <c r="E82" s="158">
        <f>IF($C82="","",INDEX($P$12:$P$372,$Z82))</f>
        <v/>
      </c>
      <c r="F82" s="29">
        <f>IF($C82="","",INDEX($Q$12:$Q$372,$Z82))</f>
        <v/>
      </c>
      <c r="G82" s="248">
        <f>IF($C82="","",INDEX($R$12:$R$372,$Z82))</f>
        <v/>
      </c>
      <c r="H82" s="248">
        <f>IF($C82="","",INDEX($S$12:$S$372,$Z82))</f>
        <v/>
      </c>
      <c r="I82" s="248">
        <f>IF($C82="","",N($I81)+$G82-$H82)</f>
        <v/>
      </c>
      <c r="J82" s="6" t="n"/>
      <c r="K82" s="6" t="n"/>
      <c r="L82" s="3" t="n"/>
      <c r="M82" s="3" t="n">
        <v>71</v>
      </c>
      <c r="N82" s="3">
        <f>IF(OR($U82=0,$W82="",$X82&lt;=0),"",IF($W82&gt;TODAY(),"",IF(AND(INDEX(UCRETLER!$E$7:$E$406,$U82)&lt;&gt;"",$W82&gt;INDEX(UCRETLER!$E$7:$E$406,$U82)),"",$W82)))</f>
        <v/>
      </c>
      <c r="O82" s="3">
        <f>IF($N82="","",IF(INDEX(UCRETLER!$F$7:$F$406,$U82)="Aylık",TEXT($N82,"mmmm yyyy")&amp;" aylık muhasebe hizmet ücreti",TEXT($N82,"dd.mm.yyyy")&amp;" haftalık muhasebe hizmet ücreti"))</f>
        <v/>
      </c>
      <c r="P82" s="3">
        <f>IF($N82="","","TAHAKKUK")</f>
        <v/>
      </c>
      <c r="Q82" s="3">
        <f>IF($N82="","","600 Muhasebe Hizmet Geliri")</f>
        <v/>
      </c>
      <c r="R82" s="3">
        <f>IF($N82="",0,$X82)</f>
        <v/>
      </c>
      <c r="S82" s="3" t="n">
        <v>0</v>
      </c>
      <c r="T82" s="3">
        <f>IF($N82="",10000000000,$N82*100000+$M82)</f>
        <v/>
      </c>
      <c r="U82" s="3">
        <f>$AB$4</f>
        <v/>
      </c>
      <c r="V82" s="3" t="n">
        <v>70</v>
      </c>
      <c r="W82" s="3">
        <f>IF($U82=0,"",IF(INDEX(UCRETLER!$D$7:$D$406,$U82)="","",IF(INDEX(UCRETLER!$F$7:$F$406,$U82)="Aylık",EOMONTH(INDEX(UCRETLER!$D$7:$D$406,$U82),$V82-1),INDEX(UCRETLER!$D$7:$D$406,$U82)+MOD(SISTEM!$F$8-WEEKDAY(INDEX(UCRETLER!$D$7:$D$406,$U82),2),7)+7*($V82-1))))</f>
        <v/>
      </c>
      <c r="X82" s="3">
        <f>IF($U82=0,0,INDEX(UCRETLER!$G$7:$G$406,$U82))</f>
        <v/>
      </c>
      <c r="Y82" s="3">
        <f>IFERROR(SMALL($T$12:$T$372,ROW()-11),"")</f>
        <v/>
      </c>
      <c r="Z82" s="3">
        <f>IFERROR(MATCH($Y82,$T$12:$T$372,0),"")</f>
        <v/>
      </c>
      <c r="AA82" s="3" t="n"/>
      <c r="AB82" s="3" t="n"/>
      <c r="AC82" s="3" t="n"/>
    </row>
    <row r="83">
      <c r="A83" s="6" t="n"/>
      <c r="B83" s="158">
        <f>IF($C83="","",ROW()-11)</f>
        <v/>
      </c>
      <c r="C83" s="247">
        <f>IF($Z83="","",IF(INDEX($N$12:$N$372,$Z83)="","",INDEX($N$12:$N$372,$Z83)))</f>
        <v/>
      </c>
      <c r="D83" s="29">
        <f>IF($C83="","",INDEX($O$12:$O$372,$Z83))</f>
        <v/>
      </c>
      <c r="E83" s="158">
        <f>IF($C83="","",INDEX($P$12:$P$372,$Z83))</f>
        <v/>
      </c>
      <c r="F83" s="29">
        <f>IF($C83="","",INDEX($Q$12:$Q$372,$Z83))</f>
        <v/>
      </c>
      <c r="G83" s="248">
        <f>IF($C83="","",INDEX($R$12:$R$372,$Z83))</f>
        <v/>
      </c>
      <c r="H83" s="248">
        <f>IF($C83="","",INDEX($S$12:$S$372,$Z83))</f>
        <v/>
      </c>
      <c r="I83" s="248">
        <f>IF($C83="","",N($I82)+$G83-$H83)</f>
        <v/>
      </c>
      <c r="J83" s="6" t="n"/>
      <c r="K83" s="6" t="n"/>
      <c r="L83" s="3" t="n"/>
      <c r="M83" s="3" t="n">
        <v>72</v>
      </c>
      <c r="N83" s="3">
        <f>IF(OR($U83=0,$W83="",$X83&lt;=0),"",IF($W83&gt;TODAY(),"",IF(AND(INDEX(UCRETLER!$E$7:$E$406,$U83)&lt;&gt;"",$W83&gt;INDEX(UCRETLER!$E$7:$E$406,$U83)),"",$W83)))</f>
        <v/>
      </c>
      <c r="O83" s="3">
        <f>IF($N83="","",IF(INDEX(UCRETLER!$F$7:$F$406,$U83)="Aylık",TEXT($N83,"mmmm yyyy")&amp;" aylık muhasebe hizmet ücreti",TEXT($N83,"dd.mm.yyyy")&amp;" haftalık muhasebe hizmet ücreti"))</f>
        <v/>
      </c>
      <c r="P83" s="3">
        <f>IF($N83="","","TAHAKKUK")</f>
        <v/>
      </c>
      <c r="Q83" s="3">
        <f>IF($N83="","","600 Muhasebe Hizmet Geliri")</f>
        <v/>
      </c>
      <c r="R83" s="3">
        <f>IF($N83="",0,$X83)</f>
        <v/>
      </c>
      <c r="S83" s="3" t="n">
        <v>0</v>
      </c>
      <c r="T83" s="3">
        <f>IF($N83="",10000000000,$N83*100000+$M83)</f>
        <v/>
      </c>
      <c r="U83" s="3">
        <f>$AB$4</f>
        <v/>
      </c>
      <c r="V83" s="3" t="n">
        <v>71</v>
      </c>
      <c r="W83" s="3">
        <f>IF($U83=0,"",IF(INDEX(UCRETLER!$D$7:$D$406,$U83)="","",IF(INDEX(UCRETLER!$F$7:$F$406,$U83)="Aylık",EOMONTH(INDEX(UCRETLER!$D$7:$D$406,$U83),$V83-1),INDEX(UCRETLER!$D$7:$D$406,$U83)+MOD(SISTEM!$F$8-WEEKDAY(INDEX(UCRETLER!$D$7:$D$406,$U83),2),7)+7*($V83-1))))</f>
        <v/>
      </c>
      <c r="X83" s="3">
        <f>IF($U83=0,0,INDEX(UCRETLER!$G$7:$G$406,$U83))</f>
        <v/>
      </c>
      <c r="Y83" s="3">
        <f>IFERROR(SMALL($T$12:$T$372,ROW()-11),"")</f>
        <v/>
      </c>
      <c r="Z83" s="3">
        <f>IFERROR(MATCH($Y83,$T$12:$T$372,0),"")</f>
        <v/>
      </c>
      <c r="AA83" s="3" t="n"/>
      <c r="AB83" s="3" t="n"/>
      <c r="AC83" s="3" t="n"/>
    </row>
    <row r="84">
      <c r="A84" s="6" t="n"/>
      <c r="B84" s="158">
        <f>IF($C84="","",ROW()-11)</f>
        <v/>
      </c>
      <c r="C84" s="247">
        <f>IF($Z84="","",IF(INDEX($N$12:$N$372,$Z84)="","",INDEX($N$12:$N$372,$Z84)))</f>
        <v/>
      </c>
      <c r="D84" s="29">
        <f>IF($C84="","",INDEX($O$12:$O$372,$Z84))</f>
        <v/>
      </c>
      <c r="E84" s="158">
        <f>IF($C84="","",INDEX($P$12:$P$372,$Z84))</f>
        <v/>
      </c>
      <c r="F84" s="29">
        <f>IF($C84="","",INDEX($Q$12:$Q$372,$Z84))</f>
        <v/>
      </c>
      <c r="G84" s="248">
        <f>IF($C84="","",INDEX($R$12:$R$372,$Z84))</f>
        <v/>
      </c>
      <c r="H84" s="248">
        <f>IF($C84="","",INDEX($S$12:$S$372,$Z84))</f>
        <v/>
      </c>
      <c r="I84" s="248">
        <f>IF($C84="","",N($I83)+$G84-$H84)</f>
        <v/>
      </c>
      <c r="J84" s="6" t="n"/>
      <c r="K84" s="6" t="n"/>
      <c r="L84" s="3" t="n"/>
      <c r="M84" s="3" t="n">
        <v>73</v>
      </c>
      <c r="N84" s="3">
        <f>IF(OR($U84=0,$W84="",$X84&lt;=0),"",IF($W84&gt;TODAY(),"",IF(AND(INDEX(UCRETLER!$E$7:$E$406,$U84)&lt;&gt;"",$W84&gt;INDEX(UCRETLER!$E$7:$E$406,$U84)),"",$W84)))</f>
        <v/>
      </c>
      <c r="O84" s="3">
        <f>IF($N84="","",IF(INDEX(UCRETLER!$F$7:$F$406,$U84)="Aylık",TEXT($N84,"mmmm yyyy")&amp;" aylık muhasebe hizmet ücreti",TEXT($N84,"dd.mm.yyyy")&amp;" haftalık muhasebe hizmet ücreti"))</f>
        <v/>
      </c>
      <c r="P84" s="3">
        <f>IF($N84="","","TAHAKKUK")</f>
        <v/>
      </c>
      <c r="Q84" s="3">
        <f>IF($N84="","","600 Muhasebe Hizmet Geliri")</f>
        <v/>
      </c>
      <c r="R84" s="3">
        <f>IF($N84="",0,$X84)</f>
        <v/>
      </c>
      <c r="S84" s="3" t="n">
        <v>0</v>
      </c>
      <c r="T84" s="3">
        <f>IF($N84="",10000000000,$N84*100000+$M84)</f>
        <v/>
      </c>
      <c r="U84" s="3">
        <f>$AB$4</f>
        <v/>
      </c>
      <c r="V84" s="3" t="n">
        <v>72</v>
      </c>
      <c r="W84" s="3">
        <f>IF($U84=0,"",IF(INDEX(UCRETLER!$D$7:$D$406,$U84)="","",IF(INDEX(UCRETLER!$F$7:$F$406,$U84)="Aylık",EOMONTH(INDEX(UCRETLER!$D$7:$D$406,$U84),$V84-1),INDEX(UCRETLER!$D$7:$D$406,$U84)+MOD(SISTEM!$F$8-WEEKDAY(INDEX(UCRETLER!$D$7:$D$406,$U84),2),7)+7*($V84-1))))</f>
        <v/>
      </c>
      <c r="X84" s="3">
        <f>IF($U84=0,0,INDEX(UCRETLER!$G$7:$G$406,$U84))</f>
        <v/>
      </c>
      <c r="Y84" s="3">
        <f>IFERROR(SMALL($T$12:$T$372,ROW()-11),"")</f>
        <v/>
      </c>
      <c r="Z84" s="3">
        <f>IFERROR(MATCH($Y84,$T$12:$T$372,0),"")</f>
        <v/>
      </c>
      <c r="AA84" s="3" t="n"/>
      <c r="AB84" s="3" t="n"/>
      <c r="AC84" s="3" t="n"/>
    </row>
    <row r="85">
      <c r="A85" s="6" t="n"/>
      <c r="B85" s="158">
        <f>IF($C85="","",ROW()-11)</f>
        <v/>
      </c>
      <c r="C85" s="247">
        <f>IF($Z85="","",IF(INDEX($N$12:$N$372,$Z85)="","",INDEX($N$12:$N$372,$Z85)))</f>
        <v/>
      </c>
      <c r="D85" s="29">
        <f>IF($C85="","",INDEX($O$12:$O$372,$Z85))</f>
        <v/>
      </c>
      <c r="E85" s="158">
        <f>IF($C85="","",INDEX($P$12:$P$372,$Z85))</f>
        <v/>
      </c>
      <c r="F85" s="29">
        <f>IF($C85="","",INDEX($Q$12:$Q$372,$Z85))</f>
        <v/>
      </c>
      <c r="G85" s="248">
        <f>IF($C85="","",INDEX($R$12:$R$372,$Z85))</f>
        <v/>
      </c>
      <c r="H85" s="248">
        <f>IF($C85="","",INDEX($S$12:$S$372,$Z85))</f>
        <v/>
      </c>
      <c r="I85" s="248">
        <f>IF($C85="","",N($I84)+$G85-$H85)</f>
        <v/>
      </c>
      <c r="J85" s="6" t="n"/>
      <c r="K85" s="6" t="n"/>
      <c r="L85" s="3" t="n"/>
      <c r="M85" s="3" t="n">
        <v>74</v>
      </c>
      <c r="N85" s="3">
        <f>IF(OR($U85=0,$W85="",$X85&lt;=0),"",IF($W85&gt;TODAY(),"",IF(AND(INDEX(UCRETLER!$E$7:$E$406,$U85)&lt;&gt;"",$W85&gt;INDEX(UCRETLER!$E$7:$E$406,$U85)),"",$W85)))</f>
        <v/>
      </c>
      <c r="O85" s="3">
        <f>IF($N85="","",IF(INDEX(UCRETLER!$F$7:$F$406,$U85)="Aylık",TEXT($N85,"mmmm yyyy")&amp;" aylık muhasebe hizmet ücreti",TEXT($N85,"dd.mm.yyyy")&amp;" haftalık muhasebe hizmet ücreti"))</f>
        <v/>
      </c>
      <c r="P85" s="3">
        <f>IF($N85="","","TAHAKKUK")</f>
        <v/>
      </c>
      <c r="Q85" s="3">
        <f>IF($N85="","","600 Muhasebe Hizmet Geliri")</f>
        <v/>
      </c>
      <c r="R85" s="3">
        <f>IF($N85="",0,$X85)</f>
        <v/>
      </c>
      <c r="S85" s="3" t="n">
        <v>0</v>
      </c>
      <c r="T85" s="3">
        <f>IF($N85="",10000000000,$N85*100000+$M85)</f>
        <v/>
      </c>
      <c r="U85" s="3">
        <f>$AB$4</f>
        <v/>
      </c>
      <c r="V85" s="3" t="n">
        <v>73</v>
      </c>
      <c r="W85" s="3">
        <f>IF($U85=0,"",IF(INDEX(UCRETLER!$D$7:$D$406,$U85)="","",IF(INDEX(UCRETLER!$F$7:$F$406,$U85)="Aylık",EOMONTH(INDEX(UCRETLER!$D$7:$D$406,$U85),$V85-1),INDEX(UCRETLER!$D$7:$D$406,$U85)+MOD(SISTEM!$F$8-WEEKDAY(INDEX(UCRETLER!$D$7:$D$406,$U85),2),7)+7*($V85-1))))</f>
        <v/>
      </c>
      <c r="X85" s="3">
        <f>IF($U85=0,0,INDEX(UCRETLER!$G$7:$G$406,$U85))</f>
        <v/>
      </c>
      <c r="Y85" s="3">
        <f>IFERROR(SMALL($T$12:$T$372,ROW()-11),"")</f>
        <v/>
      </c>
      <c r="Z85" s="3">
        <f>IFERROR(MATCH($Y85,$T$12:$T$372,0),"")</f>
        <v/>
      </c>
      <c r="AA85" s="3" t="n"/>
      <c r="AB85" s="3" t="n"/>
      <c r="AC85" s="3" t="n"/>
    </row>
    <row r="86">
      <c r="A86" s="6" t="n"/>
      <c r="B86" s="158">
        <f>IF($C86="","",ROW()-11)</f>
        <v/>
      </c>
      <c r="C86" s="247">
        <f>IF($Z86="","",IF(INDEX($N$12:$N$372,$Z86)="","",INDEX($N$12:$N$372,$Z86)))</f>
        <v/>
      </c>
      <c r="D86" s="29">
        <f>IF($C86="","",INDEX($O$12:$O$372,$Z86))</f>
        <v/>
      </c>
      <c r="E86" s="158">
        <f>IF($C86="","",INDEX($P$12:$P$372,$Z86))</f>
        <v/>
      </c>
      <c r="F86" s="29">
        <f>IF($C86="","",INDEX($Q$12:$Q$372,$Z86))</f>
        <v/>
      </c>
      <c r="G86" s="248">
        <f>IF($C86="","",INDEX($R$12:$R$372,$Z86))</f>
        <v/>
      </c>
      <c r="H86" s="248">
        <f>IF($C86="","",INDEX($S$12:$S$372,$Z86))</f>
        <v/>
      </c>
      <c r="I86" s="248">
        <f>IF($C86="","",N($I85)+$G86-$H86)</f>
        <v/>
      </c>
      <c r="J86" s="6" t="n"/>
      <c r="K86" s="6" t="n"/>
      <c r="L86" s="3" t="n"/>
      <c r="M86" s="3" t="n">
        <v>75</v>
      </c>
      <c r="N86" s="3">
        <f>IF(OR($U86=0,$W86="",$X86&lt;=0),"",IF($W86&gt;TODAY(),"",IF(AND(INDEX(UCRETLER!$E$7:$E$406,$U86)&lt;&gt;"",$W86&gt;INDEX(UCRETLER!$E$7:$E$406,$U86)),"",$W86)))</f>
        <v/>
      </c>
      <c r="O86" s="3">
        <f>IF($N86="","",IF(INDEX(UCRETLER!$F$7:$F$406,$U86)="Aylık",TEXT($N86,"mmmm yyyy")&amp;" aylık muhasebe hizmet ücreti",TEXT($N86,"dd.mm.yyyy")&amp;" haftalık muhasebe hizmet ücreti"))</f>
        <v/>
      </c>
      <c r="P86" s="3">
        <f>IF($N86="","","TAHAKKUK")</f>
        <v/>
      </c>
      <c r="Q86" s="3">
        <f>IF($N86="","","600 Muhasebe Hizmet Geliri")</f>
        <v/>
      </c>
      <c r="R86" s="3">
        <f>IF($N86="",0,$X86)</f>
        <v/>
      </c>
      <c r="S86" s="3" t="n">
        <v>0</v>
      </c>
      <c r="T86" s="3">
        <f>IF($N86="",10000000000,$N86*100000+$M86)</f>
        <v/>
      </c>
      <c r="U86" s="3">
        <f>$AB$4</f>
        <v/>
      </c>
      <c r="V86" s="3" t="n">
        <v>74</v>
      </c>
      <c r="W86" s="3">
        <f>IF($U86=0,"",IF(INDEX(UCRETLER!$D$7:$D$406,$U86)="","",IF(INDEX(UCRETLER!$F$7:$F$406,$U86)="Aylık",EOMONTH(INDEX(UCRETLER!$D$7:$D$406,$U86),$V86-1),INDEX(UCRETLER!$D$7:$D$406,$U86)+MOD(SISTEM!$F$8-WEEKDAY(INDEX(UCRETLER!$D$7:$D$406,$U86),2),7)+7*($V86-1))))</f>
        <v/>
      </c>
      <c r="X86" s="3">
        <f>IF($U86=0,0,INDEX(UCRETLER!$G$7:$G$406,$U86))</f>
        <v/>
      </c>
      <c r="Y86" s="3">
        <f>IFERROR(SMALL($T$12:$T$372,ROW()-11),"")</f>
        <v/>
      </c>
      <c r="Z86" s="3">
        <f>IFERROR(MATCH($Y86,$T$12:$T$372,0),"")</f>
        <v/>
      </c>
      <c r="AA86" s="3" t="n"/>
      <c r="AB86" s="3" t="n"/>
      <c r="AC86" s="3" t="n"/>
    </row>
    <row r="87">
      <c r="A87" s="6" t="n"/>
      <c r="B87" s="158">
        <f>IF($C87="","",ROW()-11)</f>
        <v/>
      </c>
      <c r="C87" s="247">
        <f>IF($Z87="","",IF(INDEX($N$12:$N$372,$Z87)="","",INDEX($N$12:$N$372,$Z87)))</f>
        <v/>
      </c>
      <c r="D87" s="29">
        <f>IF($C87="","",INDEX($O$12:$O$372,$Z87))</f>
        <v/>
      </c>
      <c r="E87" s="158">
        <f>IF($C87="","",INDEX($P$12:$P$372,$Z87))</f>
        <v/>
      </c>
      <c r="F87" s="29">
        <f>IF($C87="","",INDEX($Q$12:$Q$372,$Z87))</f>
        <v/>
      </c>
      <c r="G87" s="248">
        <f>IF($C87="","",INDEX($R$12:$R$372,$Z87))</f>
        <v/>
      </c>
      <c r="H87" s="248">
        <f>IF($C87="","",INDEX($S$12:$S$372,$Z87))</f>
        <v/>
      </c>
      <c r="I87" s="248">
        <f>IF($C87="","",N($I86)+$G87-$H87)</f>
        <v/>
      </c>
      <c r="J87" s="6" t="n"/>
      <c r="K87" s="6" t="n"/>
      <c r="L87" s="3" t="n"/>
      <c r="M87" s="3" t="n">
        <v>76</v>
      </c>
      <c r="N87" s="3">
        <f>IF(OR($U87=0,$W87="",$X87&lt;=0),"",IF($W87&gt;TODAY(),"",IF(AND(INDEX(UCRETLER!$E$7:$E$406,$U87)&lt;&gt;"",$W87&gt;INDEX(UCRETLER!$E$7:$E$406,$U87)),"",$W87)))</f>
        <v/>
      </c>
      <c r="O87" s="3">
        <f>IF($N87="","",IF(INDEX(UCRETLER!$F$7:$F$406,$U87)="Aylık",TEXT($N87,"mmmm yyyy")&amp;" aylık muhasebe hizmet ücreti",TEXT($N87,"dd.mm.yyyy")&amp;" haftalık muhasebe hizmet ücreti"))</f>
        <v/>
      </c>
      <c r="P87" s="3">
        <f>IF($N87="","","TAHAKKUK")</f>
        <v/>
      </c>
      <c r="Q87" s="3">
        <f>IF($N87="","","600 Muhasebe Hizmet Geliri")</f>
        <v/>
      </c>
      <c r="R87" s="3">
        <f>IF($N87="",0,$X87)</f>
        <v/>
      </c>
      <c r="S87" s="3" t="n">
        <v>0</v>
      </c>
      <c r="T87" s="3">
        <f>IF($N87="",10000000000,$N87*100000+$M87)</f>
        <v/>
      </c>
      <c r="U87" s="3">
        <f>$AB$4</f>
        <v/>
      </c>
      <c r="V87" s="3" t="n">
        <v>75</v>
      </c>
      <c r="W87" s="3">
        <f>IF($U87=0,"",IF(INDEX(UCRETLER!$D$7:$D$406,$U87)="","",IF(INDEX(UCRETLER!$F$7:$F$406,$U87)="Aylık",EOMONTH(INDEX(UCRETLER!$D$7:$D$406,$U87),$V87-1),INDEX(UCRETLER!$D$7:$D$406,$U87)+MOD(SISTEM!$F$8-WEEKDAY(INDEX(UCRETLER!$D$7:$D$406,$U87),2),7)+7*($V87-1))))</f>
        <v/>
      </c>
      <c r="X87" s="3">
        <f>IF($U87=0,0,INDEX(UCRETLER!$G$7:$G$406,$U87))</f>
        <v/>
      </c>
      <c r="Y87" s="3">
        <f>IFERROR(SMALL($T$12:$T$372,ROW()-11),"")</f>
        <v/>
      </c>
      <c r="Z87" s="3">
        <f>IFERROR(MATCH($Y87,$T$12:$T$372,0),"")</f>
        <v/>
      </c>
      <c r="AA87" s="3" t="n"/>
      <c r="AB87" s="3" t="n"/>
      <c r="AC87" s="3" t="n"/>
    </row>
    <row r="88">
      <c r="A88" s="6" t="n"/>
      <c r="B88" s="158">
        <f>IF($C88="","",ROW()-11)</f>
        <v/>
      </c>
      <c r="C88" s="247">
        <f>IF($Z88="","",IF(INDEX($N$12:$N$372,$Z88)="","",INDEX($N$12:$N$372,$Z88)))</f>
        <v/>
      </c>
      <c r="D88" s="29">
        <f>IF($C88="","",INDEX($O$12:$O$372,$Z88))</f>
        <v/>
      </c>
      <c r="E88" s="158">
        <f>IF($C88="","",INDEX($P$12:$P$372,$Z88))</f>
        <v/>
      </c>
      <c r="F88" s="29">
        <f>IF($C88="","",INDEX($Q$12:$Q$372,$Z88))</f>
        <v/>
      </c>
      <c r="G88" s="248">
        <f>IF($C88="","",INDEX($R$12:$R$372,$Z88))</f>
        <v/>
      </c>
      <c r="H88" s="248">
        <f>IF($C88="","",INDEX($S$12:$S$372,$Z88))</f>
        <v/>
      </c>
      <c r="I88" s="248">
        <f>IF($C88="","",N($I87)+$G88-$H88)</f>
        <v/>
      </c>
      <c r="J88" s="6" t="n"/>
      <c r="K88" s="6" t="n"/>
      <c r="L88" s="3" t="n"/>
      <c r="M88" s="3" t="n">
        <v>77</v>
      </c>
      <c r="N88" s="3">
        <f>IF(OR($U88=0,$W88="",$X88&lt;=0),"",IF($W88&gt;TODAY(),"",IF(AND(INDEX(UCRETLER!$E$7:$E$406,$U88)&lt;&gt;"",$W88&gt;INDEX(UCRETLER!$E$7:$E$406,$U88)),"",$W88)))</f>
        <v/>
      </c>
      <c r="O88" s="3">
        <f>IF($N88="","",IF(INDEX(UCRETLER!$F$7:$F$406,$U88)="Aylık",TEXT($N88,"mmmm yyyy")&amp;" aylık muhasebe hizmet ücreti",TEXT($N88,"dd.mm.yyyy")&amp;" haftalık muhasebe hizmet ücreti"))</f>
        <v/>
      </c>
      <c r="P88" s="3">
        <f>IF($N88="","","TAHAKKUK")</f>
        <v/>
      </c>
      <c r="Q88" s="3">
        <f>IF($N88="","","600 Muhasebe Hizmet Geliri")</f>
        <v/>
      </c>
      <c r="R88" s="3">
        <f>IF($N88="",0,$X88)</f>
        <v/>
      </c>
      <c r="S88" s="3" t="n">
        <v>0</v>
      </c>
      <c r="T88" s="3">
        <f>IF($N88="",10000000000,$N88*100000+$M88)</f>
        <v/>
      </c>
      <c r="U88" s="3">
        <f>$AB$4</f>
        <v/>
      </c>
      <c r="V88" s="3" t="n">
        <v>76</v>
      </c>
      <c r="W88" s="3">
        <f>IF($U88=0,"",IF(INDEX(UCRETLER!$D$7:$D$406,$U88)="","",IF(INDEX(UCRETLER!$F$7:$F$406,$U88)="Aylık",EOMONTH(INDEX(UCRETLER!$D$7:$D$406,$U88),$V88-1),INDEX(UCRETLER!$D$7:$D$406,$U88)+MOD(SISTEM!$F$8-WEEKDAY(INDEX(UCRETLER!$D$7:$D$406,$U88),2),7)+7*($V88-1))))</f>
        <v/>
      </c>
      <c r="X88" s="3">
        <f>IF($U88=0,0,INDEX(UCRETLER!$G$7:$G$406,$U88))</f>
        <v/>
      </c>
      <c r="Y88" s="3">
        <f>IFERROR(SMALL($T$12:$T$372,ROW()-11),"")</f>
        <v/>
      </c>
      <c r="Z88" s="3">
        <f>IFERROR(MATCH($Y88,$T$12:$T$372,0),"")</f>
        <v/>
      </c>
      <c r="AA88" s="3" t="n"/>
      <c r="AB88" s="3" t="n"/>
      <c r="AC88" s="3" t="n"/>
    </row>
    <row r="89">
      <c r="A89" s="6" t="n"/>
      <c r="B89" s="158">
        <f>IF($C89="","",ROW()-11)</f>
        <v/>
      </c>
      <c r="C89" s="247">
        <f>IF($Z89="","",IF(INDEX($N$12:$N$372,$Z89)="","",INDEX($N$12:$N$372,$Z89)))</f>
        <v/>
      </c>
      <c r="D89" s="29">
        <f>IF($C89="","",INDEX($O$12:$O$372,$Z89))</f>
        <v/>
      </c>
      <c r="E89" s="158">
        <f>IF($C89="","",INDEX($P$12:$P$372,$Z89))</f>
        <v/>
      </c>
      <c r="F89" s="29">
        <f>IF($C89="","",INDEX($Q$12:$Q$372,$Z89))</f>
        <v/>
      </c>
      <c r="G89" s="248">
        <f>IF($C89="","",INDEX($R$12:$R$372,$Z89))</f>
        <v/>
      </c>
      <c r="H89" s="248">
        <f>IF($C89="","",INDEX($S$12:$S$372,$Z89))</f>
        <v/>
      </c>
      <c r="I89" s="248">
        <f>IF($C89="","",N($I88)+$G89-$H89)</f>
        <v/>
      </c>
      <c r="J89" s="6" t="n"/>
      <c r="K89" s="6" t="n"/>
      <c r="L89" s="3" t="n"/>
      <c r="M89" s="3" t="n">
        <v>78</v>
      </c>
      <c r="N89" s="3">
        <f>IF(OR($U89=0,$W89="",$X89&lt;=0),"",IF($W89&gt;TODAY(),"",IF(AND(INDEX(UCRETLER!$E$7:$E$406,$U89)&lt;&gt;"",$W89&gt;INDEX(UCRETLER!$E$7:$E$406,$U89)),"",$W89)))</f>
        <v/>
      </c>
      <c r="O89" s="3">
        <f>IF($N89="","",IF(INDEX(UCRETLER!$F$7:$F$406,$U89)="Aylık",TEXT($N89,"mmmm yyyy")&amp;" aylık muhasebe hizmet ücreti",TEXT($N89,"dd.mm.yyyy")&amp;" haftalık muhasebe hizmet ücreti"))</f>
        <v/>
      </c>
      <c r="P89" s="3">
        <f>IF($N89="","","TAHAKKUK")</f>
        <v/>
      </c>
      <c r="Q89" s="3">
        <f>IF($N89="","","600 Muhasebe Hizmet Geliri")</f>
        <v/>
      </c>
      <c r="R89" s="3">
        <f>IF($N89="",0,$X89)</f>
        <v/>
      </c>
      <c r="S89" s="3" t="n">
        <v>0</v>
      </c>
      <c r="T89" s="3">
        <f>IF($N89="",10000000000,$N89*100000+$M89)</f>
        <v/>
      </c>
      <c r="U89" s="3">
        <f>$AB$4</f>
        <v/>
      </c>
      <c r="V89" s="3" t="n">
        <v>77</v>
      </c>
      <c r="W89" s="3">
        <f>IF($U89=0,"",IF(INDEX(UCRETLER!$D$7:$D$406,$U89)="","",IF(INDEX(UCRETLER!$F$7:$F$406,$U89)="Aylık",EOMONTH(INDEX(UCRETLER!$D$7:$D$406,$U89),$V89-1),INDEX(UCRETLER!$D$7:$D$406,$U89)+MOD(SISTEM!$F$8-WEEKDAY(INDEX(UCRETLER!$D$7:$D$406,$U89),2),7)+7*($V89-1))))</f>
        <v/>
      </c>
      <c r="X89" s="3">
        <f>IF($U89=0,0,INDEX(UCRETLER!$G$7:$G$406,$U89))</f>
        <v/>
      </c>
      <c r="Y89" s="3">
        <f>IFERROR(SMALL($T$12:$T$372,ROW()-11),"")</f>
        <v/>
      </c>
      <c r="Z89" s="3">
        <f>IFERROR(MATCH($Y89,$T$12:$T$372,0),"")</f>
        <v/>
      </c>
      <c r="AA89" s="3" t="n"/>
      <c r="AB89" s="3" t="n"/>
      <c r="AC89" s="3" t="n"/>
    </row>
    <row r="90">
      <c r="A90" s="6" t="n"/>
      <c r="B90" s="158">
        <f>IF($C90="","",ROW()-11)</f>
        <v/>
      </c>
      <c r="C90" s="247">
        <f>IF($Z90="","",IF(INDEX($N$12:$N$372,$Z90)="","",INDEX($N$12:$N$372,$Z90)))</f>
        <v/>
      </c>
      <c r="D90" s="29">
        <f>IF($C90="","",INDEX($O$12:$O$372,$Z90))</f>
        <v/>
      </c>
      <c r="E90" s="158">
        <f>IF($C90="","",INDEX($P$12:$P$372,$Z90))</f>
        <v/>
      </c>
      <c r="F90" s="29">
        <f>IF($C90="","",INDEX($Q$12:$Q$372,$Z90))</f>
        <v/>
      </c>
      <c r="G90" s="248">
        <f>IF($C90="","",INDEX($R$12:$R$372,$Z90))</f>
        <v/>
      </c>
      <c r="H90" s="248">
        <f>IF($C90="","",INDEX($S$12:$S$372,$Z90))</f>
        <v/>
      </c>
      <c r="I90" s="248">
        <f>IF($C90="","",N($I89)+$G90-$H90)</f>
        <v/>
      </c>
      <c r="J90" s="6" t="n"/>
      <c r="K90" s="6" t="n"/>
      <c r="L90" s="3" t="n"/>
      <c r="M90" s="3" t="n">
        <v>79</v>
      </c>
      <c r="N90" s="3">
        <f>IF(OR($U90=0,$W90="",$X90&lt;=0),"",IF($W90&gt;TODAY(),"",IF(AND(INDEX(UCRETLER!$E$7:$E$406,$U90)&lt;&gt;"",$W90&gt;INDEX(UCRETLER!$E$7:$E$406,$U90)),"",$W90)))</f>
        <v/>
      </c>
      <c r="O90" s="3">
        <f>IF($N90="","",IF(INDEX(UCRETLER!$F$7:$F$406,$U90)="Aylık",TEXT($N90,"mmmm yyyy")&amp;" aylık muhasebe hizmet ücreti",TEXT($N90,"dd.mm.yyyy")&amp;" haftalık muhasebe hizmet ücreti"))</f>
        <v/>
      </c>
      <c r="P90" s="3">
        <f>IF($N90="","","TAHAKKUK")</f>
        <v/>
      </c>
      <c r="Q90" s="3">
        <f>IF($N90="","","600 Muhasebe Hizmet Geliri")</f>
        <v/>
      </c>
      <c r="R90" s="3">
        <f>IF($N90="",0,$X90)</f>
        <v/>
      </c>
      <c r="S90" s="3" t="n">
        <v>0</v>
      </c>
      <c r="T90" s="3">
        <f>IF($N90="",10000000000,$N90*100000+$M90)</f>
        <v/>
      </c>
      <c r="U90" s="3">
        <f>$AB$4</f>
        <v/>
      </c>
      <c r="V90" s="3" t="n">
        <v>78</v>
      </c>
      <c r="W90" s="3">
        <f>IF($U90=0,"",IF(INDEX(UCRETLER!$D$7:$D$406,$U90)="","",IF(INDEX(UCRETLER!$F$7:$F$406,$U90)="Aylık",EOMONTH(INDEX(UCRETLER!$D$7:$D$406,$U90),$V90-1),INDEX(UCRETLER!$D$7:$D$406,$U90)+MOD(SISTEM!$F$8-WEEKDAY(INDEX(UCRETLER!$D$7:$D$406,$U90),2),7)+7*($V90-1))))</f>
        <v/>
      </c>
      <c r="X90" s="3">
        <f>IF($U90=0,0,INDEX(UCRETLER!$G$7:$G$406,$U90))</f>
        <v/>
      </c>
      <c r="Y90" s="3">
        <f>IFERROR(SMALL($T$12:$T$372,ROW()-11),"")</f>
        <v/>
      </c>
      <c r="Z90" s="3">
        <f>IFERROR(MATCH($Y90,$T$12:$T$372,0),"")</f>
        <v/>
      </c>
      <c r="AA90" s="3" t="n"/>
      <c r="AB90" s="3" t="n"/>
      <c r="AC90" s="3" t="n"/>
    </row>
    <row r="91">
      <c r="A91" s="6" t="n"/>
      <c r="B91" s="158">
        <f>IF($C91="","",ROW()-11)</f>
        <v/>
      </c>
      <c r="C91" s="247">
        <f>IF($Z91="","",IF(INDEX($N$12:$N$372,$Z91)="","",INDEX($N$12:$N$372,$Z91)))</f>
        <v/>
      </c>
      <c r="D91" s="29">
        <f>IF($C91="","",INDEX($O$12:$O$372,$Z91))</f>
        <v/>
      </c>
      <c r="E91" s="158">
        <f>IF($C91="","",INDEX($P$12:$P$372,$Z91))</f>
        <v/>
      </c>
      <c r="F91" s="29">
        <f>IF($C91="","",INDEX($Q$12:$Q$372,$Z91))</f>
        <v/>
      </c>
      <c r="G91" s="248">
        <f>IF($C91="","",INDEX($R$12:$R$372,$Z91))</f>
        <v/>
      </c>
      <c r="H91" s="248">
        <f>IF($C91="","",INDEX($S$12:$S$372,$Z91))</f>
        <v/>
      </c>
      <c r="I91" s="248">
        <f>IF($C91="","",N($I90)+$G91-$H91)</f>
        <v/>
      </c>
      <c r="J91" s="6" t="n"/>
      <c r="K91" s="6" t="n"/>
      <c r="L91" s="3" t="n"/>
      <c r="M91" s="3" t="n">
        <v>80</v>
      </c>
      <c r="N91" s="3">
        <f>IF(OR($U91=0,$W91="",$X91&lt;=0),"",IF($W91&gt;TODAY(),"",IF(AND(INDEX(UCRETLER!$E$7:$E$406,$U91)&lt;&gt;"",$W91&gt;INDEX(UCRETLER!$E$7:$E$406,$U91)),"",$W91)))</f>
        <v/>
      </c>
      <c r="O91" s="3">
        <f>IF($N91="","",IF(INDEX(UCRETLER!$F$7:$F$406,$U91)="Aylık",TEXT($N91,"mmmm yyyy")&amp;" aylık muhasebe hizmet ücreti",TEXT($N91,"dd.mm.yyyy")&amp;" haftalık muhasebe hizmet ücreti"))</f>
        <v/>
      </c>
      <c r="P91" s="3">
        <f>IF($N91="","","TAHAKKUK")</f>
        <v/>
      </c>
      <c r="Q91" s="3">
        <f>IF($N91="","","600 Muhasebe Hizmet Geliri")</f>
        <v/>
      </c>
      <c r="R91" s="3">
        <f>IF($N91="",0,$X91)</f>
        <v/>
      </c>
      <c r="S91" s="3" t="n">
        <v>0</v>
      </c>
      <c r="T91" s="3">
        <f>IF($N91="",10000000000,$N91*100000+$M91)</f>
        <v/>
      </c>
      <c r="U91" s="3">
        <f>$AB$4</f>
        <v/>
      </c>
      <c r="V91" s="3" t="n">
        <v>79</v>
      </c>
      <c r="W91" s="3">
        <f>IF($U91=0,"",IF(INDEX(UCRETLER!$D$7:$D$406,$U91)="","",IF(INDEX(UCRETLER!$F$7:$F$406,$U91)="Aylık",EOMONTH(INDEX(UCRETLER!$D$7:$D$406,$U91),$V91-1),INDEX(UCRETLER!$D$7:$D$406,$U91)+MOD(SISTEM!$F$8-WEEKDAY(INDEX(UCRETLER!$D$7:$D$406,$U91),2),7)+7*($V91-1))))</f>
        <v/>
      </c>
      <c r="X91" s="3">
        <f>IF($U91=0,0,INDEX(UCRETLER!$G$7:$G$406,$U91))</f>
        <v/>
      </c>
      <c r="Y91" s="3">
        <f>IFERROR(SMALL($T$12:$T$372,ROW()-11),"")</f>
        <v/>
      </c>
      <c r="Z91" s="3">
        <f>IFERROR(MATCH($Y91,$T$12:$T$372,0),"")</f>
        <v/>
      </c>
      <c r="AA91" s="3" t="n"/>
      <c r="AB91" s="3" t="n"/>
      <c r="AC91" s="3" t="n"/>
    </row>
    <row r="92">
      <c r="A92" s="6" t="n"/>
      <c r="B92" s="158">
        <f>IF($C92="","",ROW()-11)</f>
        <v/>
      </c>
      <c r="C92" s="247">
        <f>IF($Z92="","",IF(INDEX($N$12:$N$372,$Z92)="","",INDEX($N$12:$N$372,$Z92)))</f>
        <v/>
      </c>
      <c r="D92" s="29">
        <f>IF($C92="","",INDEX($O$12:$O$372,$Z92))</f>
        <v/>
      </c>
      <c r="E92" s="158">
        <f>IF($C92="","",INDEX($P$12:$P$372,$Z92))</f>
        <v/>
      </c>
      <c r="F92" s="29">
        <f>IF($C92="","",INDEX($Q$12:$Q$372,$Z92))</f>
        <v/>
      </c>
      <c r="G92" s="248">
        <f>IF($C92="","",INDEX($R$12:$R$372,$Z92))</f>
        <v/>
      </c>
      <c r="H92" s="248">
        <f>IF($C92="","",INDEX($S$12:$S$372,$Z92))</f>
        <v/>
      </c>
      <c r="I92" s="248">
        <f>IF($C92="","",N($I91)+$G92-$H92)</f>
        <v/>
      </c>
      <c r="J92" s="6" t="n"/>
      <c r="K92" s="6" t="n"/>
      <c r="L92" s="3" t="n"/>
      <c r="M92" s="3" t="n">
        <v>81</v>
      </c>
      <c r="N92" s="3">
        <f>IF(OR($U92=0,$W92="",$X92&lt;=0),"",IF($W92&gt;TODAY(),"",IF(AND(INDEX(UCRETLER!$E$7:$E$406,$U92)&lt;&gt;"",$W92&gt;INDEX(UCRETLER!$E$7:$E$406,$U92)),"",$W92)))</f>
        <v/>
      </c>
      <c r="O92" s="3">
        <f>IF($N92="","",IF(INDEX(UCRETLER!$F$7:$F$406,$U92)="Aylık",TEXT($N92,"mmmm yyyy")&amp;" aylık muhasebe hizmet ücreti",TEXT($N92,"dd.mm.yyyy")&amp;" haftalık muhasebe hizmet ücreti"))</f>
        <v/>
      </c>
      <c r="P92" s="3">
        <f>IF($N92="","","TAHAKKUK")</f>
        <v/>
      </c>
      <c r="Q92" s="3">
        <f>IF($N92="","","600 Muhasebe Hizmet Geliri")</f>
        <v/>
      </c>
      <c r="R92" s="3">
        <f>IF($N92="",0,$X92)</f>
        <v/>
      </c>
      <c r="S92" s="3" t="n">
        <v>0</v>
      </c>
      <c r="T92" s="3">
        <f>IF($N92="",10000000000,$N92*100000+$M92)</f>
        <v/>
      </c>
      <c r="U92" s="3">
        <f>$AB$4</f>
        <v/>
      </c>
      <c r="V92" s="3" t="n">
        <v>80</v>
      </c>
      <c r="W92" s="3">
        <f>IF($U92=0,"",IF(INDEX(UCRETLER!$D$7:$D$406,$U92)="","",IF(INDEX(UCRETLER!$F$7:$F$406,$U92)="Aylık",EOMONTH(INDEX(UCRETLER!$D$7:$D$406,$U92),$V92-1),INDEX(UCRETLER!$D$7:$D$406,$U92)+MOD(SISTEM!$F$8-WEEKDAY(INDEX(UCRETLER!$D$7:$D$406,$U92),2),7)+7*($V92-1))))</f>
        <v/>
      </c>
      <c r="X92" s="3">
        <f>IF($U92=0,0,INDEX(UCRETLER!$G$7:$G$406,$U92))</f>
        <v/>
      </c>
      <c r="Y92" s="3">
        <f>IFERROR(SMALL($T$12:$T$372,ROW()-11),"")</f>
        <v/>
      </c>
      <c r="Z92" s="3">
        <f>IFERROR(MATCH($Y92,$T$12:$T$372,0),"")</f>
        <v/>
      </c>
      <c r="AA92" s="3" t="n"/>
      <c r="AB92" s="3" t="n"/>
      <c r="AC92" s="3" t="n"/>
    </row>
    <row r="93">
      <c r="A93" s="6" t="n"/>
      <c r="B93" s="158">
        <f>IF($C93="","",ROW()-11)</f>
        <v/>
      </c>
      <c r="C93" s="247">
        <f>IF($Z93="","",IF(INDEX($N$12:$N$372,$Z93)="","",INDEX($N$12:$N$372,$Z93)))</f>
        <v/>
      </c>
      <c r="D93" s="29">
        <f>IF($C93="","",INDEX($O$12:$O$372,$Z93))</f>
        <v/>
      </c>
      <c r="E93" s="158">
        <f>IF($C93="","",INDEX($P$12:$P$372,$Z93))</f>
        <v/>
      </c>
      <c r="F93" s="29">
        <f>IF($C93="","",INDEX($Q$12:$Q$372,$Z93))</f>
        <v/>
      </c>
      <c r="G93" s="248">
        <f>IF($C93="","",INDEX($R$12:$R$372,$Z93))</f>
        <v/>
      </c>
      <c r="H93" s="248">
        <f>IF($C93="","",INDEX($S$12:$S$372,$Z93))</f>
        <v/>
      </c>
      <c r="I93" s="248">
        <f>IF($C93="","",N($I92)+$G93-$H93)</f>
        <v/>
      </c>
      <c r="J93" s="6" t="n"/>
      <c r="K93" s="6" t="n"/>
      <c r="L93" s="3" t="n"/>
      <c r="M93" s="3" t="n">
        <v>82</v>
      </c>
      <c r="N93" s="3">
        <f>IF(OR($U93=0,$W93="",$X93&lt;=0),"",IF($W93&gt;TODAY(),"",IF(AND(INDEX(UCRETLER!$E$7:$E$406,$U93)&lt;&gt;"",$W93&gt;INDEX(UCRETLER!$E$7:$E$406,$U93)),"",$W93)))</f>
        <v/>
      </c>
      <c r="O93" s="3">
        <f>IF($N93="","",IF(INDEX(UCRETLER!$F$7:$F$406,$U93)="Aylık",TEXT($N93,"mmmm yyyy")&amp;" aylık muhasebe hizmet ücreti",TEXT($N93,"dd.mm.yyyy")&amp;" haftalık muhasebe hizmet ücreti"))</f>
        <v/>
      </c>
      <c r="P93" s="3">
        <f>IF($N93="","","TAHAKKUK")</f>
        <v/>
      </c>
      <c r="Q93" s="3">
        <f>IF($N93="","","600 Muhasebe Hizmet Geliri")</f>
        <v/>
      </c>
      <c r="R93" s="3">
        <f>IF($N93="",0,$X93)</f>
        <v/>
      </c>
      <c r="S93" s="3" t="n">
        <v>0</v>
      </c>
      <c r="T93" s="3">
        <f>IF($N93="",10000000000,$N93*100000+$M93)</f>
        <v/>
      </c>
      <c r="U93" s="3">
        <f>$AB$5</f>
        <v/>
      </c>
      <c r="V93" s="3" t="n">
        <v>1</v>
      </c>
      <c r="W93" s="3">
        <f>IF($U93=0,"",IF(INDEX(UCRETLER!$D$7:$D$406,$U93)="","",IF(INDEX(UCRETLER!$F$7:$F$406,$U93)="Aylık",EOMONTH(INDEX(UCRETLER!$D$7:$D$406,$U93),$V93-1),INDEX(UCRETLER!$D$7:$D$406,$U93)+MOD(SISTEM!$F$8-WEEKDAY(INDEX(UCRETLER!$D$7:$D$406,$U93),2),7)+7*($V93-1))))</f>
        <v/>
      </c>
      <c r="X93" s="3">
        <f>IF($U93=0,0,INDEX(UCRETLER!$G$7:$G$406,$U93))</f>
        <v/>
      </c>
      <c r="Y93" s="3">
        <f>IFERROR(SMALL($T$12:$T$372,ROW()-11),"")</f>
        <v/>
      </c>
      <c r="Z93" s="3">
        <f>IFERROR(MATCH($Y93,$T$12:$T$372,0),"")</f>
        <v/>
      </c>
      <c r="AA93" s="3" t="n"/>
      <c r="AB93" s="3" t="n"/>
      <c r="AC93" s="3" t="n"/>
    </row>
    <row r="94">
      <c r="A94" s="6" t="n"/>
      <c r="B94" s="158">
        <f>IF($C94="","",ROW()-11)</f>
        <v/>
      </c>
      <c r="C94" s="247">
        <f>IF($Z94="","",IF(INDEX($N$12:$N$372,$Z94)="","",INDEX($N$12:$N$372,$Z94)))</f>
        <v/>
      </c>
      <c r="D94" s="29">
        <f>IF($C94="","",INDEX($O$12:$O$372,$Z94))</f>
        <v/>
      </c>
      <c r="E94" s="158">
        <f>IF($C94="","",INDEX($P$12:$P$372,$Z94))</f>
        <v/>
      </c>
      <c r="F94" s="29">
        <f>IF($C94="","",INDEX($Q$12:$Q$372,$Z94))</f>
        <v/>
      </c>
      <c r="G94" s="248">
        <f>IF($C94="","",INDEX($R$12:$R$372,$Z94))</f>
        <v/>
      </c>
      <c r="H94" s="248">
        <f>IF($C94="","",INDEX($S$12:$S$372,$Z94))</f>
        <v/>
      </c>
      <c r="I94" s="248">
        <f>IF($C94="","",N($I93)+$G94-$H94)</f>
        <v/>
      </c>
      <c r="J94" s="6" t="n"/>
      <c r="K94" s="6" t="n"/>
      <c r="L94" s="3" t="n"/>
      <c r="M94" s="3" t="n">
        <v>83</v>
      </c>
      <c r="N94" s="3">
        <f>IF(OR($U94=0,$W94="",$X94&lt;=0),"",IF($W94&gt;TODAY(),"",IF(AND(INDEX(UCRETLER!$E$7:$E$406,$U94)&lt;&gt;"",$W94&gt;INDEX(UCRETLER!$E$7:$E$406,$U94)),"",$W94)))</f>
        <v/>
      </c>
      <c r="O94" s="3">
        <f>IF($N94="","",IF(INDEX(UCRETLER!$F$7:$F$406,$U94)="Aylık",TEXT($N94,"mmmm yyyy")&amp;" aylık muhasebe hizmet ücreti",TEXT($N94,"dd.mm.yyyy")&amp;" haftalık muhasebe hizmet ücreti"))</f>
        <v/>
      </c>
      <c r="P94" s="3">
        <f>IF($N94="","","TAHAKKUK")</f>
        <v/>
      </c>
      <c r="Q94" s="3">
        <f>IF($N94="","","600 Muhasebe Hizmet Geliri")</f>
        <v/>
      </c>
      <c r="R94" s="3">
        <f>IF($N94="",0,$X94)</f>
        <v/>
      </c>
      <c r="S94" s="3" t="n">
        <v>0</v>
      </c>
      <c r="T94" s="3">
        <f>IF($N94="",10000000000,$N94*100000+$M94)</f>
        <v/>
      </c>
      <c r="U94" s="3">
        <f>$AB$5</f>
        <v/>
      </c>
      <c r="V94" s="3" t="n">
        <v>2</v>
      </c>
      <c r="W94" s="3">
        <f>IF($U94=0,"",IF(INDEX(UCRETLER!$D$7:$D$406,$U94)="","",IF(INDEX(UCRETLER!$F$7:$F$406,$U94)="Aylık",EOMONTH(INDEX(UCRETLER!$D$7:$D$406,$U94),$V94-1),INDEX(UCRETLER!$D$7:$D$406,$U94)+MOD(SISTEM!$F$8-WEEKDAY(INDEX(UCRETLER!$D$7:$D$406,$U94),2),7)+7*($V94-1))))</f>
        <v/>
      </c>
      <c r="X94" s="3">
        <f>IF($U94=0,0,INDEX(UCRETLER!$G$7:$G$406,$U94))</f>
        <v/>
      </c>
      <c r="Y94" s="3">
        <f>IFERROR(SMALL($T$12:$T$372,ROW()-11),"")</f>
        <v/>
      </c>
      <c r="Z94" s="3">
        <f>IFERROR(MATCH($Y94,$T$12:$T$372,0),"")</f>
        <v/>
      </c>
      <c r="AA94" s="3" t="n"/>
      <c r="AB94" s="3" t="n"/>
      <c r="AC94" s="3" t="n"/>
    </row>
    <row r="95">
      <c r="A95" s="6" t="n"/>
      <c r="B95" s="158">
        <f>IF($C95="","",ROW()-11)</f>
        <v/>
      </c>
      <c r="C95" s="247">
        <f>IF($Z95="","",IF(INDEX($N$12:$N$372,$Z95)="","",INDEX($N$12:$N$372,$Z95)))</f>
        <v/>
      </c>
      <c r="D95" s="29">
        <f>IF($C95="","",INDEX($O$12:$O$372,$Z95))</f>
        <v/>
      </c>
      <c r="E95" s="158">
        <f>IF($C95="","",INDEX($P$12:$P$372,$Z95))</f>
        <v/>
      </c>
      <c r="F95" s="29">
        <f>IF($C95="","",INDEX($Q$12:$Q$372,$Z95))</f>
        <v/>
      </c>
      <c r="G95" s="248">
        <f>IF($C95="","",INDEX($R$12:$R$372,$Z95))</f>
        <v/>
      </c>
      <c r="H95" s="248">
        <f>IF($C95="","",INDEX($S$12:$S$372,$Z95))</f>
        <v/>
      </c>
      <c r="I95" s="248">
        <f>IF($C95="","",N($I94)+$G95-$H95)</f>
        <v/>
      </c>
      <c r="J95" s="6" t="n"/>
      <c r="K95" s="6" t="n"/>
      <c r="L95" s="3" t="n"/>
      <c r="M95" s="3" t="n">
        <v>84</v>
      </c>
      <c r="N95" s="3">
        <f>IF(OR($U95=0,$W95="",$X95&lt;=0),"",IF($W95&gt;TODAY(),"",IF(AND(INDEX(UCRETLER!$E$7:$E$406,$U95)&lt;&gt;"",$W95&gt;INDEX(UCRETLER!$E$7:$E$406,$U95)),"",$W95)))</f>
        <v/>
      </c>
      <c r="O95" s="3">
        <f>IF($N95="","",IF(INDEX(UCRETLER!$F$7:$F$406,$U95)="Aylık",TEXT($N95,"mmmm yyyy")&amp;" aylık muhasebe hizmet ücreti",TEXT($N95,"dd.mm.yyyy")&amp;" haftalık muhasebe hizmet ücreti"))</f>
        <v/>
      </c>
      <c r="P95" s="3">
        <f>IF($N95="","","TAHAKKUK")</f>
        <v/>
      </c>
      <c r="Q95" s="3">
        <f>IF($N95="","","600 Muhasebe Hizmet Geliri")</f>
        <v/>
      </c>
      <c r="R95" s="3">
        <f>IF($N95="",0,$X95)</f>
        <v/>
      </c>
      <c r="S95" s="3" t="n">
        <v>0</v>
      </c>
      <c r="T95" s="3">
        <f>IF($N95="",10000000000,$N95*100000+$M95)</f>
        <v/>
      </c>
      <c r="U95" s="3">
        <f>$AB$5</f>
        <v/>
      </c>
      <c r="V95" s="3" t="n">
        <v>3</v>
      </c>
      <c r="W95" s="3">
        <f>IF($U95=0,"",IF(INDEX(UCRETLER!$D$7:$D$406,$U95)="","",IF(INDEX(UCRETLER!$F$7:$F$406,$U95)="Aylık",EOMONTH(INDEX(UCRETLER!$D$7:$D$406,$U95),$V95-1),INDEX(UCRETLER!$D$7:$D$406,$U95)+MOD(SISTEM!$F$8-WEEKDAY(INDEX(UCRETLER!$D$7:$D$406,$U95),2),7)+7*($V95-1))))</f>
        <v/>
      </c>
      <c r="X95" s="3">
        <f>IF($U95=0,0,INDEX(UCRETLER!$G$7:$G$406,$U95))</f>
        <v/>
      </c>
      <c r="Y95" s="3">
        <f>IFERROR(SMALL($T$12:$T$372,ROW()-11),"")</f>
        <v/>
      </c>
      <c r="Z95" s="3">
        <f>IFERROR(MATCH($Y95,$T$12:$T$372,0),"")</f>
        <v/>
      </c>
      <c r="AA95" s="3" t="n"/>
      <c r="AB95" s="3" t="n"/>
      <c r="AC95" s="3" t="n"/>
    </row>
    <row r="96">
      <c r="A96" s="6" t="n"/>
      <c r="B96" s="158">
        <f>IF($C96="","",ROW()-11)</f>
        <v/>
      </c>
      <c r="C96" s="247">
        <f>IF($Z96="","",IF(INDEX($N$12:$N$372,$Z96)="","",INDEX($N$12:$N$372,$Z96)))</f>
        <v/>
      </c>
      <c r="D96" s="29">
        <f>IF($C96="","",INDEX($O$12:$O$372,$Z96))</f>
        <v/>
      </c>
      <c r="E96" s="158">
        <f>IF($C96="","",INDEX($P$12:$P$372,$Z96))</f>
        <v/>
      </c>
      <c r="F96" s="29">
        <f>IF($C96="","",INDEX($Q$12:$Q$372,$Z96))</f>
        <v/>
      </c>
      <c r="G96" s="248">
        <f>IF($C96="","",INDEX($R$12:$R$372,$Z96))</f>
        <v/>
      </c>
      <c r="H96" s="248">
        <f>IF($C96="","",INDEX($S$12:$S$372,$Z96))</f>
        <v/>
      </c>
      <c r="I96" s="248">
        <f>IF($C96="","",N($I95)+$G96-$H96)</f>
        <v/>
      </c>
      <c r="J96" s="6" t="n"/>
      <c r="K96" s="6" t="n"/>
      <c r="L96" s="3" t="n"/>
      <c r="M96" s="3" t="n">
        <v>85</v>
      </c>
      <c r="N96" s="3">
        <f>IF(OR($U96=0,$W96="",$X96&lt;=0),"",IF($W96&gt;TODAY(),"",IF(AND(INDEX(UCRETLER!$E$7:$E$406,$U96)&lt;&gt;"",$W96&gt;INDEX(UCRETLER!$E$7:$E$406,$U96)),"",$W96)))</f>
        <v/>
      </c>
      <c r="O96" s="3">
        <f>IF($N96="","",IF(INDEX(UCRETLER!$F$7:$F$406,$U96)="Aylık",TEXT($N96,"mmmm yyyy")&amp;" aylık muhasebe hizmet ücreti",TEXT($N96,"dd.mm.yyyy")&amp;" haftalık muhasebe hizmet ücreti"))</f>
        <v/>
      </c>
      <c r="P96" s="3">
        <f>IF($N96="","","TAHAKKUK")</f>
        <v/>
      </c>
      <c r="Q96" s="3">
        <f>IF($N96="","","600 Muhasebe Hizmet Geliri")</f>
        <v/>
      </c>
      <c r="R96" s="3">
        <f>IF($N96="",0,$X96)</f>
        <v/>
      </c>
      <c r="S96" s="3" t="n">
        <v>0</v>
      </c>
      <c r="T96" s="3">
        <f>IF($N96="",10000000000,$N96*100000+$M96)</f>
        <v/>
      </c>
      <c r="U96" s="3">
        <f>$AB$5</f>
        <v/>
      </c>
      <c r="V96" s="3" t="n">
        <v>4</v>
      </c>
      <c r="W96" s="3">
        <f>IF($U96=0,"",IF(INDEX(UCRETLER!$D$7:$D$406,$U96)="","",IF(INDEX(UCRETLER!$F$7:$F$406,$U96)="Aylık",EOMONTH(INDEX(UCRETLER!$D$7:$D$406,$U96),$V96-1),INDEX(UCRETLER!$D$7:$D$406,$U96)+MOD(SISTEM!$F$8-WEEKDAY(INDEX(UCRETLER!$D$7:$D$406,$U96),2),7)+7*($V96-1))))</f>
        <v/>
      </c>
      <c r="X96" s="3">
        <f>IF($U96=0,0,INDEX(UCRETLER!$G$7:$G$406,$U96))</f>
        <v/>
      </c>
      <c r="Y96" s="3">
        <f>IFERROR(SMALL($T$12:$T$372,ROW()-11),"")</f>
        <v/>
      </c>
      <c r="Z96" s="3">
        <f>IFERROR(MATCH($Y96,$T$12:$T$372,0),"")</f>
        <v/>
      </c>
      <c r="AA96" s="3" t="n"/>
      <c r="AB96" s="3" t="n"/>
      <c r="AC96" s="3" t="n"/>
    </row>
    <row r="97">
      <c r="A97" s="6" t="n"/>
      <c r="B97" s="158">
        <f>IF($C97="","",ROW()-11)</f>
        <v/>
      </c>
      <c r="C97" s="247">
        <f>IF($Z97="","",IF(INDEX($N$12:$N$372,$Z97)="","",INDEX($N$12:$N$372,$Z97)))</f>
        <v/>
      </c>
      <c r="D97" s="29">
        <f>IF($C97="","",INDEX($O$12:$O$372,$Z97))</f>
        <v/>
      </c>
      <c r="E97" s="158">
        <f>IF($C97="","",INDEX($P$12:$P$372,$Z97))</f>
        <v/>
      </c>
      <c r="F97" s="29">
        <f>IF($C97="","",INDEX($Q$12:$Q$372,$Z97))</f>
        <v/>
      </c>
      <c r="G97" s="248">
        <f>IF($C97="","",INDEX($R$12:$R$372,$Z97))</f>
        <v/>
      </c>
      <c r="H97" s="248">
        <f>IF($C97="","",INDEX($S$12:$S$372,$Z97))</f>
        <v/>
      </c>
      <c r="I97" s="248">
        <f>IF($C97="","",N($I96)+$G97-$H97)</f>
        <v/>
      </c>
      <c r="J97" s="6" t="n"/>
      <c r="K97" s="6" t="n"/>
      <c r="L97" s="3" t="n"/>
      <c r="M97" s="3" t="n">
        <v>86</v>
      </c>
      <c r="N97" s="3">
        <f>IF(OR($U97=0,$W97="",$X97&lt;=0),"",IF($W97&gt;TODAY(),"",IF(AND(INDEX(UCRETLER!$E$7:$E$406,$U97)&lt;&gt;"",$W97&gt;INDEX(UCRETLER!$E$7:$E$406,$U97)),"",$W97)))</f>
        <v/>
      </c>
      <c r="O97" s="3">
        <f>IF($N97="","",IF(INDEX(UCRETLER!$F$7:$F$406,$U97)="Aylık",TEXT($N97,"mmmm yyyy")&amp;" aylık muhasebe hizmet ücreti",TEXT($N97,"dd.mm.yyyy")&amp;" haftalık muhasebe hizmet ücreti"))</f>
        <v/>
      </c>
      <c r="P97" s="3">
        <f>IF($N97="","","TAHAKKUK")</f>
        <v/>
      </c>
      <c r="Q97" s="3">
        <f>IF($N97="","","600 Muhasebe Hizmet Geliri")</f>
        <v/>
      </c>
      <c r="R97" s="3">
        <f>IF($N97="",0,$X97)</f>
        <v/>
      </c>
      <c r="S97" s="3" t="n">
        <v>0</v>
      </c>
      <c r="T97" s="3">
        <f>IF($N97="",10000000000,$N97*100000+$M97)</f>
        <v/>
      </c>
      <c r="U97" s="3">
        <f>$AB$5</f>
        <v/>
      </c>
      <c r="V97" s="3" t="n">
        <v>5</v>
      </c>
      <c r="W97" s="3">
        <f>IF($U97=0,"",IF(INDEX(UCRETLER!$D$7:$D$406,$U97)="","",IF(INDEX(UCRETLER!$F$7:$F$406,$U97)="Aylık",EOMONTH(INDEX(UCRETLER!$D$7:$D$406,$U97),$V97-1),INDEX(UCRETLER!$D$7:$D$406,$U97)+MOD(SISTEM!$F$8-WEEKDAY(INDEX(UCRETLER!$D$7:$D$406,$U97),2),7)+7*($V97-1))))</f>
        <v/>
      </c>
      <c r="X97" s="3">
        <f>IF($U97=0,0,INDEX(UCRETLER!$G$7:$G$406,$U97))</f>
        <v/>
      </c>
      <c r="Y97" s="3">
        <f>IFERROR(SMALL($T$12:$T$372,ROW()-11),"")</f>
        <v/>
      </c>
      <c r="Z97" s="3">
        <f>IFERROR(MATCH($Y97,$T$12:$T$372,0),"")</f>
        <v/>
      </c>
      <c r="AA97" s="3" t="n"/>
      <c r="AB97" s="3" t="n"/>
      <c r="AC97" s="3" t="n"/>
    </row>
    <row r="98">
      <c r="A98" s="6" t="n"/>
      <c r="B98" s="158">
        <f>IF($C98="","",ROW()-11)</f>
        <v/>
      </c>
      <c r="C98" s="247">
        <f>IF($Z98="","",IF(INDEX($N$12:$N$372,$Z98)="","",INDEX($N$12:$N$372,$Z98)))</f>
        <v/>
      </c>
      <c r="D98" s="29">
        <f>IF($C98="","",INDEX($O$12:$O$372,$Z98))</f>
        <v/>
      </c>
      <c r="E98" s="158">
        <f>IF($C98="","",INDEX($P$12:$P$372,$Z98))</f>
        <v/>
      </c>
      <c r="F98" s="29">
        <f>IF($C98="","",INDEX($Q$12:$Q$372,$Z98))</f>
        <v/>
      </c>
      <c r="G98" s="248">
        <f>IF($C98="","",INDEX($R$12:$R$372,$Z98))</f>
        <v/>
      </c>
      <c r="H98" s="248">
        <f>IF($C98="","",INDEX($S$12:$S$372,$Z98))</f>
        <v/>
      </c>
      <c r="I98" s="248">
        <f>IF($C98="","",N($I97)+$G98-$H98)</f>
        <v/>
      </c>
      <c r="J98" s="6" t="n"/>
      <c r="K98" s="6" t="n"/>
      <c r="L98" s="3" t="n"/>
      <c r="M98" s="3" t="n">
        <v>87</v>
      </c>
      <c r="N98" s="3">
        <f>IF(OR($U98=0,$W98="",$X98&lt;=0),"",IF($W98&gt;TODAY(),"",IF(AND(INDEX(UCRETLER!$E$7:$E$406,$U98)&lt;&gt;"",$W98&gt;INDEX(UCRETLER!$E$7:$E$406,$U98)),"",$W98)))</f>
        <v/>
      </c>
      <c r="O98" s="3">
        <f>IF($N98="","",IF(INDEX(UCRETLER!$F$7:$F$406,$U98)="Aylık",TEXT($N98,"mmmm yyyy")&amp;" aylık muhasebe hizmet ücreti",TEXT($N98,"dd.mm.yyyy")&amp;" haftalık muhasebe hizmet ücreti"))</f>
        <v/>
      </c>
      <c r="P98" s="3">
        <f>IF($N98="","","TAHAKKUK")</f>
        <v/>
      </c>
      <c r="Q98" s="3">
        <f>IF($N98="","","600 Muhasebe Hizmet Geliri")</f>
        <v/>
      </c>
      <c r="R98" s="3">
        <f>IF($N98="",0,$X98)</f>
        <v/>
      </c>
      <c r="S98" s="3" t="n">
        <v>0</v>
      </c>
      <c r="T98" s="3">
        <f>IF($N98="",10000000000,$N98*100000+$M98)</f>
        <v/>
      </c>
      <c r="U98" s="3">
        <f>$AB$5</f>
        <v/>
      </c>
      <c r="V98" s="3" t="n">
        <v>6</v>
      </c>
      <c r="W98" s="3">
        <f>IF($U98=0,"",IF(INDEX(UCRETLER!$D$7:$D$406,$U98)="","",IF(INDEX(UCRETLER!$F$7:$F$406,$U98)="Aylık",EOMONTH(INDEX(UCRETLER!$D$7:$D$406,$U98),$V98-1),INDEX(UCRETLER!$D$7:$D$406,$U98)+MOD(SISTEM!$F$8-WEEKDAY(INDEX(UCRETLER!$D$7:$D$406,$U98),2),7)+7*($V98-1))))</f>
        <v/>
      </c>
      <c r="X98" s="3">
        <f>IF($U98=0,0,INDEX(UCRETLER!$G$7:$G$406,$U98))</f>
        <v/>
      </c>
      <c r="Y98" s="3">
        <f>IFERROR(SMALL($T$12:$T$372,ROW()-11),"")</f>
        <v/>
      </c>
      <c r="Z98" s="3">
        <f>IFERROR(MATCH($Y98,$T$12:$T$372,0),"")</f>
        <v/>
      </c>
      <c r="AA98" s="3" t="n"/>
      <c r="AB98" s="3" t="n"/>
      <c r="AC98" s="3" t="n"/>
    </row>
    <row r="99">
      <c r="A99" s="6" t="n"/>
      <c r="B99" s="158">
        <f>IF($C99="","",ROW()-11)</f>
        <v/>
      </c>
      <c r="C99" s="247">
        <f>IF($Z99="","",IF(INDEX($N$12:$N$372,$Z99)="","",INDEX($N$12:$N$372,$Z99)))</f>
        <v/>
      </c>
      <c r="D99" s="29">
        <f>IF($C99="","",INDEX($O$12:$O$372,$Z99))</f>
        <v/>
      </c>
      <c r="E99" s="158">
        <f>IF($C99="","",INDEX($P$12:$P$372,$Z99))</f>
        <v/>
      </c>
      <c r="F99" s="29">
        <f>IF($C99="","",INDEX($Q$12:$Q$372,$Z99))</f>
        <v/>
      </c>
      <c r="G99" s="248">
        <f>IF($C99="","",INDEX($R$12:$R$372,$Z99))</f>
        <v/>
      </c>
      <c r="H99" s="248">
        <f>IF($C99="","",INDEX($S$12:$S$372,$Z99))</f>
        <v/>
      </c>
      <c r="I99" s="248">
        <f>IF($C99="","",N($I98)+$G99-$H99)</f>
        <v/>
      </c>
      <c r="J99" s="6" t="n"/>
      <c r="K99" s="6" t="n"/>
      <c r="L99" s="3" t="n"/>
      <c r="M99" s="3" t="n">
        <v>88</v>
      </c>
      <c r="N99" s="3">
        <f>IF(OR($U99=0,$W99="",$X99&lt;=0),"",IF($W99&gt;TODAY(),"",IF(AND(INDEX(UCRETLER!$E$7:$E$406,$U99)&lt;&gt;"",$W99&gt;INDEX(UCRETLER!$E$7:$E$406,$U99)),"",$W99)))</f>
        <v/>
      </c>
      <c r="O99" s="3">
        <f>IF($N99="","",IF(INDEX(UCRETLER!$F$7:$F$406,$U99)="Aylık",TEXT($N99,"mmmm yyyy")&amp;" aylık muhasebe hizmet ücreti",TEXT($N99,"dd.mm.yyyy")&amp;" haftalık muhasebe hizmet ücreti"))</f>
        <v/>
      </c>
      <c r="P99" s="3">
        <f>IF($N99="","","TAHAKKUK")</f>
        <v/>
      </c>
      <c r="Q99" s="3">
        <f>IF($N99="","","600 Muhasebe Hizmet Geliri")</f>
        <v/>
      </c>
      <c r="R99" s="3">
        <f>IF($N99="",0,$X99)</f>
        <v/>
      </c>
      <c r="S99" s="3" t="n">
        <v>0</v>
      </c>
      <c r="T99" s="3">
        <f>IF($N99="",10000000000,$N99*100000+$M99)</f>
        <v/>
      </c>
      <c r="U99" s="3">
        <f>$AB$5</f>
        <v/>
      </c>
      <c r="V99" s="3" t="n">
        <v>7</v>
      </c>
      <c r="W99" s="3">
        <f>IF($U99=0,"",IF(INDEX(UCRETLER!$D$7:$D$406,$U99)="","",IF(INDEX(UCRETLER!$F$7:$F$406,$U99)="Aylık",EOMONTH(INDEX(UCRETLER!$D$7:$D$406,$U99),$V99-1),INDEX(UCRETLER!$D$7:$D$406,$U99)+MOD(SISTEM!$F$8-WEEKDAY(INDEX(UCRETLER!$D$7:$D$406,$U99),2),7)+7*($V99-1))))</f>
        <v/>
      </c>
      <c r="X99" s="3">
        <f>IF($U99=0,0,INDEX(UCRETLER!$G$7:$G$406,$U99))</f>
        <v/>
      </c>
      <c r="Y99" s="3">
        <f>IFERROR(SMALL($T$12:$T$372,ROW()-11),"")</f>
        <v/>
      </c>
      <c r="Z99" s="3">
        <f>IFERROR(MATCH($Y99,$T$12:$T$372,0),"")</f>
        <v/>
      </c>
      <c r="AA99" s="3" t="n"/>
      <c r="AB99" s="3" t="n"/>
      <c r="AC99" s="3" t="n"/>
    </row>
    <row r="100">
      <c r="A100" s="6" t="n"/>
      <c r="B100" s="158">
        <f>IF($C100="","",ROW()-11)</f>
        <v/>
      </c>
      <c r="C100" s="247">
        <f>IF($Z100="","",IF(INDEX($N$12:$N$372,$Z100)="","",INDEX($N$12:$N$372,$Z100)))</f>
        <v/>
      </c>
      <c r="D100" s="29">
        <f>IF($C100="","",INDEX($O$12:$O$372,$Z100))</f>
        <v/>
      </c>
      <c r="E100" s="158">
        <f>IF($C100="","",INDEX($P$12:$P$372,$Z100))</f>
        <v/>
      </c>
      <c r="F100" s="29">
        <f>IF($C100="","",INDEX($Q$12:$Q$372,$Z100))</f>
        <v/>
      </c>
      <c r="G100" s="248">
        <f>IF($C100="","",INDEX($R$12:$R$372,$Z100))</f>
        <v/>
      </c>
      <c r="H100" s="248">
        <f>IF($C100="","",INDEX($S$12:$S$372,$Z100))</f>
        <v/>
      </c>
      <c r="I100" s="248">
        <f>IF($C100="","",N($I99)+$G100-$H100)</f>
        <v/>
      </c>
      <c r="J100" s="6" t="n"/>
      <c r="K100" s="6" t="n"/>
      <c r="L100" s="3" t="n"/>
      <c r="M100" s="3" t="n">
        <v>89</v>
      </c>
      <c r="N100" s="3">
        <f>IF(OR($U100=0,$W100="",$X100&lt;=0),"",IF($W100&gt;TODAY(),"",IF(AND(INDEX(UCRETLER!$E$7:$E$406,$U100)&lt;&gt;"",$W100&gt;INDEX(UCRETLER!$E$7:$E$406,$U100)),"",$W100)))</f>
        <v/>
      </c>
      <c r="O100" s="3">
        <f>IF($N100="","",IF(INDEX(UCRETLER!$F$7:$F$406,$U100)="Aylık",TEXT($N100,"mmmm yyyy")&amp;" aylık muhasebe hizmet ücreti",TEXT($N100,"dd.mm.yyyy")&amp;" haftalık muhasebe hizmet ücreti"))</f>
        <v/>
      </c>
      <c r="P100" s="3">
        <f>IF($N100="","","TAHAKKUK")</f>
        <v/>
      </c>
      <c r="Q100" s="3">
        <f>IF($N100="","","600 Muhasebe Hizmet Geliri")</f>
        <v/>
      </c>
      <c r="R100" s="3">
        <f>IF($N100="",0,$X100)</f>
        <v/>
      </c>
      <c r="S100" s="3" t="n">
        <v>0</v>
      </c>
      <c r="T100" s="3">
        <f>IF($N100="",10000000000,$N100*100000+$M100)</f>
        <v/>
      </c>
      <c r="U100" s="3">
        <f>$AB$5</f>
        <v/>
      </c>
      <c r="V100" s="3" t="n">
        <v>8</v>
      </c>
      <c r="W100" s="3">
        <f>IF($U100=0,"",IF(INDEX(UCRETLER!$D$7:$D$406,$U100)="","",IF(INDEX(UCRETLER!$F$7:$F$406,$U100)="Aylık",EOMONTH(INDEX(UCRETLER!$D$7:$D$406,$U100),$V100-1),INDEX(UCRETLER!$D$7:$D$406,$U100)+MOD(SISTEM!$F$8-WEEKDAY(INDEX(UCRETLER!$D$7:$D$406,$U100),2),7)+7*($V100-1))))</f>
        <v/>
      </c>
      <c r="X100" s="3">
        <f>IF($U100=0,0,INDEX(UCRETLER!$G$7:$G$406,$U100))</f>
        <v/>
      </c>
      <c r="Y100" s="3">
        <f>IFERROR(SMALL($T$12:$T$372,ROW()-11),"")</f>
        <v/>
      </c>
      <c r="Z100" s="3">
        <f>IFERROR(MATCH($Y100,$T$12:$T$372,0),"")</f>
        <v/>
      </c>
      <c r="AA100" s="3" t="n"/>
      <c r="AB100" s="3" t="n"/>
      <c r="AC100" s="3" t="n"/>
    </row>
    <row r="101">
      <c r="A101" s="6" t="n"/>
      <c r="B101" s="158">
        <f>IF($C101="","",ROW()-11)</f>
        <v/>
      </c>
      <c r="C101" s="247">
        <f>IF($Z101="","",IF(INDEX($N$12:$N$372,$Z101)="","",INDEX($N$12:$N$372,$Z101)))</f>
        <v/>
      </c>
      <c r="D101" s="29">
        <f>IF($C101="","",INDEX($O$12:$O$372,$Z101))</f>
        <v/>
      </c>
      <c r="E101" s="158">
        <f>IF($C101="","",INDEX($P$12:$P$372,$Z101))</f>
        <v/>
      </c>
      <c r="F101" s="29">
        <f>IF($C101="","",INDEX($Q$12:$Q$372,$Z101))</f>
        <v/>
      </c>
      <c r="G101" s="248">
        <f>IF($C101="","",INDEX($R$12:$R$372,$Z101))</f>
        <v/>
      </c>
      <c r="H101" s="248">
        <f>IF($C101="","",INDEX($S$12:$S$372,$Z101))</f>
        <v/>
      </c>
      <c r="I101" s="248">
        <f>IF($C101="","",N($I100)+$G101-$H101)</f>
        <v/>
      </c>
      <c r="J101" s="6" t="n"/>
      <c r="K101" s="6" t="n"/>
      <c r="L101" s="3" t="n"/>
      <c r="M101" s="3" t="n">
        <v>90</v>
      </c>
      <c r="N101" s="3">
        <f>IF(OR($U101=0,$W101="",$X101&lt;=0),"",IF($W101&gt;TODAY(),"",IF(AND(INDEX(UCRETLER!$E$7:$E$406,$U101)&lt;&gt;"",$W101&gt;INDEX(UCRETLER!$E$7:$E$406,$U101)),"",$W101)))</f>
        <v/>
      </c>
      <c r="O101" s="3">
        <f>IF($N101="","",IF(INDEX(UCRETLER!$F$7:$F$406,$U101)="Aylık",TEXT($N101,"mmmm yyyy")&amp;" aylık muhasebe hizmet ücreti",TEXT($N101,"dd.mm.yyyy")&amp;" haftalık muhasebe hizmet ücreti"))</f>
        <v/>
      </c>
      <c r="P101" s="3">
        <f>IF($N101="","","TAHAKKUK")</f>
        <v/>
      </c>
      <c r="Q101" s="3">
        <f>IF($N101="","","600 Muhasebe Hizmet Geliri")</f>
        <v/>
      </c>
      <c r="R101" s="3">
        <f>IF($N101="",0,$X101)</f>
        <v/>
      </c>
      <c r="S101" s="3" t="n">
        <v>0</v>
      </c>
      <c r="T101" s="3">
        <f>IF($N101="",10000000000,$N101*100000+$M101)</f>
        <v/>
      </c>
      <c r="U101" s="3">
        <f>$AB$5</f>
        <v/>
      </c>
      <c r="V101" s="3" t="n">
        <v>9</v>
      </c>
      <c r="W101" s="3">
        <f>IF($U101=0,"",IF(INDEX(UCRETLER!$D$7:$D$406,$U101)="","",IF(INDEX(UCRETLER!$F$7:$F$406,$U101)="Aylık",EOMONTH(INDEX(UCRETLER!$D$7:$D$406,$U101),$V101-1),INDEX(UCRETLER!$D$7:$D$406,$U101)+MOD(SISTEM!$F$8-WEEKDAY(INDEX(UCRETLER!$D$7:$D$406,$U101),2),7)+7*($V101-1))))</f>
        <v/>
      </c>
      <c r="X101" s="3">
        <f>IF($U101=0,0,INDEX(UCRETLER!$G$7:$G$406,$U101))</f>
        <v/>
      </c>
      <c r="Y101" s="3">
        <f>IFERROR(SMALL($T$12:$T$372,ROW()-11),"")</f>
        <v/>
      </c>
      <c r="Z101" s="3">
        <f>IFERROR(MATCH($Y101,$T$12:$T$372,0),"")</f>
        <v/>
      </c>
      <c r="AA101" s="3" t="n"/>
      <c r="AB101" s="3" t="n"/>
      <c r="AC101" s="3" t="n"/>
    </row>
    <row r="102">
      <c r="A102" s="6" t="n"/>
      <c r="B102" s="158">
        <f>IF($C102="","",ROW()-11)</f>
        <v/>
      </c>
      <c r="C102" s="247">
        <f>IF($Z102="","",IF(INDEX($N$12:$N$372,$Z102)="","",INDEX($N$12:$N$372,$Z102)))</f>
        <v/>
      </c>
      <c r="D102" s="29">
        <f>IF($C102="","",INDEX($O$12:$O$372,$Z102))</f>
        <v/>
      </c>
      <c r="E102" s="158">
        <f>IF($C102="","",INDEX($P$12:$P$372,$Z102))</f>
        <v/>
      </c>
      <c r="F102" s="29">
        <f>IF($C102="","",INDEX($Q$12:$Q$372,$Z102))</f>
        <v/>
      </c>
      <c r="G102" s="248">
        <f>IF($C102="","",INDEX($R$12:$R$372,$Z102))</f>
        <v/>
      </c>
      <c r="H102" s="248">
        <f>IF($C102="","",INDEX($S$12:$S$372,$Z102))</f>
        <v/>
      </c>
      <c r="I102" s="248">
        <f>IF($C102="","",N($I101)+$G102-$H102)</f>
        <v/>
      </c>
      <c r="J102" s="6" t="n"/>
      <c r="K102" s="6" t="n"/>
      <c r="L102" s="3" t="n"/>
      <c r="M102" s="3" t="n">
        <v>91</v>
      </c>
      <c r="N102" s="3">
        <f>IF(OR($U102=0,$W102="",$X102&lt;=0),"",IF($W102&gt;TODAY(),"",IF(AND(INDEX(UCRETLER!$E$7:$E$406,$U102)&lt;&gt;"",$W102&gt;INDEX(UCRETLER!$E$7:$E$406,$U102)),"",$W102)))</f>
        <v/>
      </c>
      <c r="O102" s="3">
        <f>IF($N102="","",IF(INDEX(UCRETLER!$F$7:$F$406,$U102)="Aylık",TEXT($N102,"mmmm yyyy")&amp;" aylık muhasebe hizmet ücreti",TEXT($N102,"dd.mm.yyyy")&amp;" haftalık muhasebe hizmet ücreti"))</f>
        <v/>
      </c>
      <c r="P102" s="3">
        <f>IF($N102="","","TAHAKKUK")</f>
        <v/>
      </c>
      <c r="Q102" s="3">
        <f>IF($N102="","","600 Muhasebe Hizmet Geliri")</f>
        <v/>
      </c>
      <c r="R102" s="3">
        <f>IF($N102="",0,$X102)</f>
        <v/>
      </c>
      <c r="S102" s="3" t="n">
        <v>0</v>
      </c>
      <c r="T102" s="3">
        <f>IF($N102="",10000000000,$N102*100000+$M102)</f>
        <v/>
      </c>
      <c r="U102" s="3">
        <f>$AB$5</f>
        <v/>
      </c>
      <c r="V102" s="3" t="n">
        <v>10</v>
      </c>
      <c r="W102" s="3">
        <f>IF($U102=0,"",IF(INDEX(UCRETLER!$D$7:$D$406,$U102)="","",IF(INDEX(UCRETLER!$F$7:$F$406,$U102)="Aylık",EOMONTH(INDEX(UCRETLER!$D$7:$D$406,$U102),$V102-1),INDEX(UCRETLER!$D$7:$D$406,$U102)+MOD(SISTEM!$F$8-WEEKDAY(INDEX(UCRETLER!$D$7:$D$406,$U102),2),7)+7*($V102-1))))</f>
        <v/>
      </c>
      <c r="X102" s="3">
        <f>IF($U102=0,0,INDEX(UCRETLER!$G$7:$G$406,$U102))</f>
        <v/>
      </c>
      <c r="Y102" s="3">
        <f>IFERROR(SMALL($T$12:$T$372,ROW()-11),"")</f>
        <v/>
      </c>
      <c r="Z102" s="3">
        <f>IFERROR(MATCH($Y102,$T$12:$T$372,0),"")</f>
        <v/>
      </c>
      <c r="AA102" s="3" t="n"/>
      <c r="AB102" s="3" t="n"/>
      <c r="AC102" s="3" t="n"/>
    </row>
    <row r="103">
      <c r="A103" s="6" t="n"/>
      <c r="B103" s="158">
        <f>IF($C103="","",ROW()-11)</f>
        <v/>
      </c>
      <c r="C103" s="247">
        <f>IF($Z103="","",IF(INDEX($N$12:$N$372,$Z103)="","",INDEX($N$12:$N$372,$Z103)))</f>
        <v/>
      </c>
      <c r="D103" s="29">
        <f>IF($C103="","",INDEX($O$12:$O$372,$Z103))</f>
        <v/>
      </c>
      <c r="E103" s="158">
        <f>IF($C103="","",INDEX($P$12:$P$372,$Z103))</f>
        <v/>
      </c>
      <c r="F103" s="29">
        <f>IF($C103="","",INDEX($Q$12:$Q$372,$Z103))</f>
        <v/>
      </c>
      <c r="G103" s="248">
        <f>IF($C103="","",INDEX($R$12:$R$372,$Z103))</f>
        <v/>
      </c>
      <c r="H103" s="248">
        <f>IF($C103="","",INDEX($S$12:$S$372,$Z103))</f>
        <v/>
      </c>
      <c r="I103" s="248">
        <f>IF($C103="","",N($I102)+$G103-$H103)</f>
        <v/>
      </c>
      <c r="J103" s="6" t="n"/>
      <c r="K103" s="6" t="n"/>
      <c r="L103" s="3" t="n"/>
      <c r="M103" s="3" t="n">
        <v>92</v>
      </c>
      <c r="N103" s="3">
        <f>IF(OR($U103=0,$W103="",$X103&lt;=0),"",IF($W103&gt;TODAY(),"",IF(AND(INDEX(UCRETLER!$E$7:$E$406,$U103)&lt;&gt;"",$W103&gt;INDEX(UCRETLER!$E$7:$E$406,$U103)),"",$W103)))</f>
        <v/>
      </c>
      <c r="O103" s="3">
        <f>IF($N103="","",IF(INDEX(UCRETLER!$F$7:$F$406,$U103)="Aylık",TEXT($N103,"mmmm yyyy")&amp;" aylık muhasebe hizmet ücreti",TEXT($N103,"dd.mm.yyyy")&amp;" haftalık muhasebe hizmet ücreti"))</f>
        <v/>
      </c>
      <c r="P103" s="3">
        <f>IF($N103="","","TAHAKKUK")</f>
        <v/>
      </c>
      <c r="Q103" s="3">
        <f>IF($N103="","","600 Muhasebe Hizmet Geliri")</f>
        <v/>
      </c>
      <c r="R103" s="3">
        <f>IF($N103="",0,$X103)</f>
        <v/>
      </c>
      <c r="S103" s="3" t="n">
        <v>0</v>
      </c>
      <c r="T103" s="3">
        <f>IF($N103="",10000000000,$N103*100000+$M103)</f>
        <v/>
      </c>
      <c r="U103" s="3">
        <f>$AB$5</f>
        <v/>
      </c>
      <c r="V103" s="3" t="n">
        <v>11</v>
      </c>
      <c r="W103" s="3">
        <f>IF($U103=0,"",IF(INDEX(UCRETLER!$D$7:$D$406,$U103)="","",IF(INDEX(UCRETLER!$F$7:$F$406,$U103)="Aylık",EOMONTH(INDEX(UCRETLER!$D$7:$D$406,$U103),$V103-1),INDEX(UCRETLER!$D$7:$D$406,$U103)+MOD(SISTEM!$F$8-WEEKDAY(INDEX(UCRETLER!$D$7:$D$406,$U103),2),7)+7*($V103-1))))</f>
        <v/>
      </c>
      <c r="X103" s="3">
        <f>IF($U103=0,0,INDEX(UCRETLER!$G$7:$G$406,$U103))</f>
        <v/>
      </c>
      <c r="Y103" s="3">
        <f>IFERROR(SMALL($T$12:$T$372,ROW()-11),"")</f>
        <v/>
      </c>
      <c r="Z103" s="3">
        <f>IFERROR(MATCH($Y103,$T$12:$T$372,0),"")</f>
        <v/>
      </c>
      <c r="AA103" s="3" t="n"/>
      <c r="AB103" s="3" t="n"/>
      <c r="AC103" s="3" t="n"/>
    </row>
    <row r="104">
      <c r="A104" s="6" t="n"/>
      <c r="B104" s="158">
        <f>IF($C104="","",ROW()-11)</f>
        <v/>
      </c>
      <c r="C104" s="247">
        <f>IF($Z104="","",IF(INDEX($N$12:$N$372,$Z104)="","",INDEX($N$12:$N$372,$Z104)))</f>
        <v/>
      </c>
      <c r="D104" s="29">
        <f>IF($C104="","",INDEX($O$12:$O$372,$Z104))</f>
        <v/>
      </c>
      <c r="E104" s="158">
        <f>IF($C104="","",INDEX($P$12:$P$372,$Z104))</f>
        <v/>
      </c>
      <c r="F104" s="29">
        <f>IF($C104="","",INDEX($Q$12:$Q$372,$Z104))</f>
        <v/>
      </c>
      <c r="G104" s="248">
        <f>IF($C104="","",INDEX($R$12:$R$372,$Z104))</f>
        <v/>
      </c>
      <c r="H104" s="248">
        <f>IF($C104="","",INDEX($S$12:$S$372,$Z104))</f>
        <v/>
      </c>
      <c r="I104" s="248">
        <f>IF($C104="","",N($I103)+$G104-$H104)</f>
        <v/>
      </c>
      <c r="J104" s="6" t="n"/>
      <c r="K104" s="6" t="n"/>
      <c r="L104" s="3" t="n"/>
      <c r="M104" s="3" t="n">
        <v>93</v>
      </c>
      <c r="N104" s="3">
        <f>IF(OR($U104=0,$W104="",$X104&lt;=0),"",IF($W104&gt;TODAY(),"",IF(AND(INDEX(UCRETLER!$E$7:$E$406,$U104)&lt;&gt;"",$W104&gt;INDEX(UCRETLER!$E$7:$E$406,$U104)),"",$W104)))</f>
        <v/>
      </c>
      <c r="O104" s="3">
        <f>IF($N104="","",IF(INDEX(UCRETLER!$F$7:$F$406,$U104)="Aylık",TEXT($N104,"mmmm yyyy")&amp;" aylık muhasebe hizmet ücreti",TEXT($N104,"dd.mm.yyyy")&amp;" haftalık muhasebe hizmet ücreti"))</f>
        <v/>
      </c>
      <c r="P104" s="3">
        <f>IF($N104="","","TAHAKKUK")</f>
        <v/>
      </c>
      <c r="Q104" s="3">
        <f>IF($N104="","","600 Muhasebe Hizmet Geliri")</f>
        <v/>
      </c>
      <c r="R104" s="3">
        <f>IF($N104="",0,$X104)</f>
        <v/>
      </c>
      <c r="S104" s="3" t="n">
        <v>0</v>
      </c>
      <c r="T104" s="3">
        <f>IF($N104="",10000000000,$N104*100000+$M104)</f>
        <v/>
      </c>
      <c r="U104" s="3">
        <f>$AB$5</f>
        <v/>
      </c>
      <c r="V104" s="3" t="n">
        <v>12</v>
      </c>
      <c r="W104" s="3">
        <f>IF($U104=0,"",IF(INDEX(UCRETLER!$D$7:$D$406,$U104)="","",IF(INDEX(UCRETLER!$F$7:$F$406,$U104)="Aylık",EOMONTH(INDEX(UCRETLER!$D$7:$D$406,$U104),$V104-1),INDEX(UCRETLER!$D$7:$D$406,$U104)+MOD(SISTEM!$F$8-WEEKDAY(INDEX(UCRETLER!$D$7:$D$406,$U104),2),7)+7*($V104-1))))</f>
        <v/>
      </c>
      <c r="X104" s="3">
        <f>IF($U104=0,0,INDEX(UCRETLER!$G$7:$G$406,$U104))</f>
        <v/>
      </c>
      <c r="Y104" s="3">
        <f>IFERROR(SMALL($T$12:$T$372,ROW()-11),"")</f>
        <v/>
      </c>
      <c r="Z104" s="3">
        <f>IFERROR(MATCH($Y104,$T$12:$T$372,0),"")</f>
        <v/>
      </c>
      <c r="AA104" s="3" t="n"/>
      <c r="AB104" s="3" t="n"/>
      <c r="AC104" s="3" t="n"/>
    </row>
    <row r="105">
      <c r="A105" s="6" t="n"/>
      <c r="B105" s="158">
        <f>IF($C105="","",ROW()-11)</f>
        <v/>
      </c>
      <c r="C105" s="247">
        <f>IF($Z105="","",IF(INDEX($N$12:$N$372,$Z105)="","",INDEX($N$12:$N$372,$Z105)))</f>
        <v/>
      </c>
      <c r="D105" s="29">
        <f>IF($C105="","",INDEX($O$12:$O$372,$Z105))</f>
        <v/>
      </c>
      <c r="E105" s="158">
        <f>IF($C105="","",INDEX($P$12:$P$372,$Z105))</f>
        <v/>
      </c>
      <c r="F105" s="29">
        <f>IF($C105="","",INDEX($Q$12:$Q$372,$Z105))</f>
        <v/>
      </c>
      <c r="G105" s="248">
        <f>IF($C105="","",INDEX($R$12:$R$372,$Z105))</f>
        <v/>
      </c>
      <c r="H105" s="248">
        <f>IF($C105="","",INDEX($S$12:$S$372,$Z105))</f>
        <v/>
      </c>
      <c r="I105" s="248">
        <f>IF($C105="","",N($I104)+$G105-$H105)</f>
        <v/>
      </c>
      <c r="J105" s="6" t="n"/>
      <c r="K105" s="6" t="n"/>
      <c r="L105" s="3" t="n"/>
      <c r="M105" s="3" t="n">
        <v>94</v>
      </c>
      <c r="N105" s="3">
        <f>IF(OR($U105=0,$W105="",$X105&lt;=0),"",IF($W105&gt;TODAY(),"",IF(AND(INDEX(UCRETLER!$E$7:$E$406,$U105)&lt;&gt;"",$W105&gt;INDEX(UCRETLER!$E$7:$E$406,$U105)),"",$W105)))</f>
        <v/>
      </c>
      <c r="O105" s="3">
        <f>IF($N105="","",IF(INDEX(UCRETLER!$F$7:$F$406,$U105)="Aylık",TEXT($N105,"mmmm yyyy")&amp;" aylık muhasebe hizmet ücreti",TEXT($N105,"dd.mm.yyyy")&amp;" haftalık muhasebe hizmet ücreti"))</f>
        <v/>
      </c>
      <c r="P105" s="3">
        <f>IF($N105="","","TAHAKKUK")</f>
        <v/>
      </c>
      <c r="Q105" s="3">
        <f>IF($N105="","","600 Muhasebe Hizmet Geliri")</f>
        <v/>
      </c>
      <c r="R105" s="3">
        <f>IF($N105="",0,$X105)</f>
        <v/>
      </c>
      <c r="S105" s="3" t="n">
        <v>0</v>
      </c>
      <c r="T105" s="3">
        <f>IF($N105="",10000000000,$N105*100000+$M105)</f>
        <v/>
      </c>
      <c r="U105" s="3">
        <f>$AB$5</f>
        <v/>
      </c>
      <c r="V105" s="3" t="n">
        <v>13</v>
      </c>
      <c r="W105" s="3">
        <f>IF($U105=0,"",IF(INDEX(UCRETLER!$D$7:$D$406,$U105)="","",IF(INDEX(UCRETLER!$F$7:$F$406,$U105)="Aylık",EOMONTH(INDEX(UCRETLER!$D$7:$D$406,$U105),$V105-1),INDEX(UCRETLER!$D$7:$D$406,$U105)+MOD(SISTEM!$F$8-WEEKDAY(INDEX(UCRETLER!$D$7:$D$406,$U105),2),7)+7*($V105-1))))</f>
        <v/>
      </c>
      <c r="X105" s="3">
        <f>IF($U105=0,0,INDEX(UCRETLER!$G$7:$G$406,$U105))</f>
        <v/>
      </c>
      <c r="Y105" s="3">
        <f>IFERROR(SMALL($T$12:$T$372,ROW()-11),"")</f>
        <v/>
      </c>
      <c r="Z105" s="3">
        <f>IFERROR(MATCH($Y105,$T$12:$T$372,0),"")</f>
        <v/>
      </c>
      <c r="AA105" s="3" t="n"/>
      <c r="AB105" s="3" t="n"/>
      <c r="AC105" s="3" t="n"/>
    </row>
    <row r="106">
      <c r="A106" s="6" t="n"/>
      <c r="B106" s="158">
        <f>IF($C106="","",ROW()-11)</f>
        <v/>
      </c>
      <c r="C106" s="247">
        <f>IF($Z106="","",IF(INDEX($N$12:$N$372,$Z106)="","",INDEX($N$12:$N$372,$Z106)))</f>
        <v/>
      </c>
      <c r="D106" s="29">
        <f>IF($C106="","",INDEX($O$12:$O$372,$Z106))</f>
        <v/>
      </c>
      <c r="E106" s="158">
        <f>IF($C106="","",INDEX($P$12:$P$372,$Z106))</f>
        <v/>
      </c>
      <c r="F106" s="29">
        <f>IF($C106="","",INDEX($Q$12:$Q$372,$Z106))</f>
        <v/>
      </c>
      <c r="G106" s="248">
        <f>IF($C106="","",INDEX($R$12:$R$372,$Z106))</f>
        <v/>
      </c>
      <c r="H106" s="248">
        <f>IF($C106="","",INDEX($S$12:$S$372,$Z106))</f>
        <v/>
      </c>
      <c r="I106" s="248">
        <f>IF($C106="","",N($I105)+$G106-$H106)</f>
        <v/>
      </c>
      <c r="J106" s="6" t="n"/>
      <c r="K106" s="6" t="n"/>
      <c r="L106" s="3" t="n"/>
      <c r="M106" s="3" t="n">
        <v>95</v>
      </c>
      <c r="N106" s="3">
        <f>IF(OR($U106=0,$W106="",$X106&lt;=0),"",IF($W106&gt;TODAY(),"",IF(AND(INDEX(UCRETLER!$E$7:$E$406,$U106)&lt;&gt;"",$W106&gt;INDEX(UCRETLER!$E$7:$E$406,$U106)),"",$W106)))</f>
        <v/>
      </c>
      <c r="O106" s="3">
        <f>IF($N106="","",IF(INDEX(UCRETLER!$F$7:$F$406,$U106)="Aylık",TEXT($N106,"mmmm yyyy")&amp;" aylık muhasebe hizmet ücreti",TEXT($N106,"dd.mm.yyyy")&amp;" haftalık muhasebe hizmet ücreti"))</f>
        <v/>
      </c>
      <c r="P106" s="3">
        <f>IF($N106="","","TAHAKKUK")</f>
        <v/>
      </c>
      <c r="Q106" s="3">
        <f>IF($N106="","","600 Muhasebe Hizmet Geliri")</f>
        <v/>
      </c>
      <c r="R106" s="3">
        <f>IF($N106="",0,$X106)</f>
        <v/>
      </c>
      <c r="S106" s="3" t="n">
        <v>0</v>
      </c>
      <c r="T106" s="3">
        <f>IF($N106="",10000000000,$N106*100000+$M106)</f>
        <v/>
      </c>
      <c r="U106" s="3">
        <f>$AB$5</f>
        <v/>
      </c>
      <c r="V106" s="3" t="n">
        <v>14</v>
      </c>
      <c r="W106" s="3">
        <f>IF($U106=0,"",IF(INDEX(UCRETLER!$D$7:$D$406,$U106)="","",IF(INDEX(UCRETLER!$F$7:$F$406,$U106)="Aylık",EOMONTH(INDEX(UCRETLER!$D$7:$D$406,$U106),$V106-1),INDEX(UCRETLER!$D$7:$D$406,$U106)+MOD(SISTEM!$F$8-WEEKDAY(INDEX(UCRETLER!$D$7:$D$406,$U106),2),7)+7*($V106-1))))</f>
        <v/>
      </c>
      <c r="X106" s="3">
        <f>IF($U106=0,0,INDEX(UCRETLER!$G$7:$G$406,$U106))</f>
        <v/>
      </c>
      <c r="Y106" s="3">
        <f>IFERROR(SMALL($T$12:$T$372,ROW()-11),"")</f>
        <v/>
      </c>
      <c r="Z106" s="3">
        <f>IFERROR(MATCH($Y106,$T$12:$T$372,0),"")</f>
        <v/>
      </c>
      <c r="AA106" s="3" t="n"/>
      <c r="AB106" s="3" t="n"/>
      <c r="AC106" s="3" t="n"/>
    </row>
    <row r="107">
      <c r="A107" s="6" t="n"/>
      <c r="B107" s="158">
        <f>IF($C107="","",ROW()-11)</f>
        <v/>
      </c>
      <c r="C107" s="247">
        <f>IF($Z107="","",IF(INDEX($N$12:$N$372,$Z107)="","",INDEX($N$12:$N$372,$Z107)))</f>
        <v/>
      </c>
      <c r="D107" s="29">
        <f>IF($C107="","",INDEX($O$12:$O$372,$Z107))</f>
        <v/>
      </c>
      <c r="E107" s="158">
        <f>IF($C107="","",INDEX($P$12:$P$372,$Z107))</f>
        <v/>
      </c>
      <c r="F107" s="29">
        <f>IF($C107="","",INDEX($Q$12:$Q$372,$Z107))</f>
        <v/>
      </c>
      <c r="G107" s="248">
        <f>IF($C107="","",INDEX($R$12:$R$372,$Z107))</f>
        <v/>
      </c>
      <c r="H107" s="248">
        <f>IF($C107="","",INDEX($S$12:$S$372,$Z107))</f>
        <v/>
      </c>
      <c r="I107" s="248">
        <f>IF($C107="","",N($I106)+$G107-$H107)</f>
        <v/>
      </c>
      <c r="J107" s="6" t="n"/>
      <c r="K107" s="6" t="n"/>
      <c r="L107" s="3" t="n"/>
      <c r="M107" s="3" t="n">
        <v>96</v>
      </c>
      <c r="N107" s="3">
        <f>IF(OR($U107=0,$W107="",$X107&lt;=0),"",IF($W107&gt;TODAY(),"",IF(AND(INDEX(UCRETLER!$E$7:$E$406,$U107)&lt;&gt;"",$W107&gt;INDEX(UCRETLER!$E$7:$E$406,$U107)),"",$W107)))</f>
        <v/>
      </c>
      <c r="O107" s="3">
        <f>IF($N107="","",IF(INDEX(UCRETLER!$F$7:$F$406,$U107)="Aylık",TEXT($N107,"mmmm yyyy")&amp;" aylık muhasebe hizmet ücreti",TEXT($N107,"dd.mm.yyyy")&amp;" haftalık muhasebe hizmet ücreti"))</f>
        <v/>
      </c>
      <c r="P107" s="3">
        <f>IF($N107="","","TAHAKKUK")</f>
        <v/>
      </c>
      <c r="Q107" s="3">
        <f>IF($N107="","","600 Muhasebe Hizmet Geliri")</f>
        <v/>
      </c>
      <c r="R107" s="3">
        <f>IF($N107="",0,$X107)</f>
        <v/>
      </c>
      <c r="S107" s="3" t="n">
        <v>0</v>
      </c>
      <c r="T107" s="3">
        <f>IF($N107="",10000000000,$N107*100000+$M107)</f>
        <v/>
      </c>
      <c r="U107" s="3">
        <f>$AB$5</f>
        <v/>
      </c>
      <c r="V107" s="3" t="n">
        <v>15</v>
      </c>
      <c r="W107" s="3">
        <f>IF($U107=0,"",IF(INDEX(UCRETLER!$D$7:$D$406,$U107)="","",IF(INDEX(UCRETLER!$F$7:$F$406,$U107)="Aylık",EOMONTH(INDEX(UCRETLER!$D$7:$D$406,$U107),$V107-1),INDEX(UCRETLER!$D$7:$D$406,$U107)+MOD(SISTEM!$F$8-WEEKDAY(INDEX(UCRETLER!$D$7:$D$406,$U107),2),7)+7*($V107-1))))</f>
        <v/>
      </c>
      <c r="X107" s="3">
        <f>IF($U107=0,0,INDEX(UCRETLER!$G$7:$G$406,$U107))</f>
        <v/>
      </c>
      <c r="Y107" s="3">
        <f>IFERROR(SMALL($T$12:$T$372,ROW()-11),"")</f>
        <v/>
      </c>
      <c r="Z107" s="3">
        <f>IFERROR(MATCH($Y107,$T$12:$T$372,0),"")</f>
        <v/>
      </c>
      <c r="AA107" s="3" t="n"/>
      <c r="AB107" s="3" t="n"/>
      <c r="AC107" s="3" t="n"/>
    </row>
    <row r="108">
      <c r="A108" s="6" t="n"/>
      <c r="B108" s="158">
        <f>IF($C108="","",ROW()-11)</f>
        <v/>
      </c>
      <c r="C108" s="247">
        <f>IF($Z108="","",IF(INDEX($N$12:$N$372,$Z108)="","",INDEX($N$12:$N$372,$Z108)))</f>
        <v/>
      </c>
      <c r="D108" s="29">
        <f>IF($C108="","",INDEX($O$12:$O$372,$Z108))</f>
        <v/>
      </c>
      <c r="E108" s="158">
        <f>IF($C108="","",INDEX($P$12:$P$372,$Z108))</f>
        <v/>
      </c>
      <c r="F108" s="29">
        <f>IF($C108="","",INDEX($Q$12:$Q$372,$Z108))</f>
        <v/>
      </c>
      <c r="G108" s="248">
        <f>IF($C108="","",INDEX($R$12:$R$372,$Z108))</f>
        <v/>
      </c>
      <c r="H108" s="248">
        <f>IF($C108="","",INDEX($S$12:$S$372,$Z108))</f>
        <v/>
      </c>
      <c r="I108" s="248">
        <f>IF($C108="","",N($I107)+$G108-$H108)</f>
        <v/>
      </c>
      <c r="J108" s="6" t="n"/>
      <c r="K108" s="6" t="n"/>
      <c r="L108" s="3" t="n"/>
      <c r="M108" s="3" t="n">
        <v>97</v>
      </c>
      <c r="N108" s="3">
        <f>IF(OR($U108=0,$W108="",$X108&lt;=0),"",IF($W108&gt;TODAY(),"",IF(AND(INDEX(UCRETLER!$E$7:$E$406,$U108)&lt;&gt;"",$W108&gt;INDEX(UCRETLER!$E$7:$E$406,$U108)),"",$W108)))</f>
        <v/>
      </c>
      <c r="O108" s="3">
        <f>IF($N108="","",IF(INDEX(UCRETLER!$F$7:$F$406,$U108)="Aylık",TEXT($N108,"mmmm yyyy")&amp;" aylık muhasebe hizmet ücreti",TEXT($N108,"dd.mm.yyyy")&amp;" haftalık muhasebe hizmet ücreti"))</f>
        <v/>
      </c>
      <c r="P108" s="3">
        <f>IF($N108="","","TAHAKKUK")</f>
        <v/>
      </c>
      <c r="Q108" s="3">
        <f>IF($N108="","","600 Muhasebe Hizmet Geliri")</f>
        <v/>
      </c>
      <c r="R108" s="3">
        <f>IF($N108="",0,$X108)</f>
        <v/>
      </c>
      <c r="S108" s="3" t="n">
        <v>0</v>
      </c>
      <c r="T108" s="3">
        <f>IF($N108="",10000000000,$N108*100000+$M108)</f>
        <v/>
      </c>
      <c r="U108" s="3">
        <f>$AB$5</f>
        <v/>
      </c>
      <c r="V108" s="3" t="n">
        <v>16</v>
      </c>
      <c r="W108" s="3">
        <f>IF($U108=0,"",IF(INDEX(UCRETLER!$D$7:$D$406,$U108)="","",IF(INDEX(UCRETLER!$F$7:$F$406,$U108)="Aylık",EOMONTH(INDEX(UCRETLER!$D$7:$D$406,$U108),$V108-1),INDEX(UCRETLER!$D$7:$D$406,$U108)+MOD(SISTEM!$F$8-WEEKDAY(INDEX(UCRETLER!$D$7:$D$406,$U108),2),7)+7*($V108-1))))</f>
        <v/>
      </c>
      <c r="X108" s="3">
        <f>IF($U108=0,0,INDEX(UCRETLER!$G$7:$G$406,$U108))</f>
        <v/>
      </c>
      <c r="Y108" s="3">
        <f>IFERROR(SMALL($T$12:$T$372,ROW()-11),"")</f>
        <v/>
      </c>
      <c r="Z108" s="3">
        <f>IFERROR(MATCH($Y108,$T$12:$T$372,0),"")</f>
        <v/>
      </c>
      <c r="AA108" s="3" t="n"/>
      <c r="AB108" s="3" t="n"/>
      <c r="AC108" s="3" t="n"/>
    </row>
    <row r="109">
      <c r="A109" s="6" t="n"/>
      <c r="B109" s="158">
        <f>IF($C109="","",ROW()-11)</f>
        <v/>
      </c>
      <c r="C109" s="247">
        <f>IF($Z109="","",IF(INDEX($N$12:$N$372,$Z109)="","",INDEX($N$12:$N$372,$Z109)))</f>
        <v/>
      </c>
      <c r="D109" s="29">
        <f>IF($C109="","",INDEX($O$12:$O$372,$Z109))</f>
        <v/>
      </c>
      <c r="E109" s="158">
        <f>IF($C109="","",INDEX($P$12:$P$372,$Z109))</f>
        <v/>
      </c>
      <c r="F109" s="29">
        <f>IF($C109="","",INDEX($Q$12:$Q$372,$Z109))</f>
        <v/>
      </c>
      <c r="G109" s="248">
        <f>IF($C109="","",INDEX($R$12:$R$372,$Z109))</f>
        <v/>
      </c>
      <c r="H109" s="248">
        <f>IF($C109="","",INDEX($S$12:$S$372,$Z109))</f>
        <v/>
      </c>
      <c r="I109" s="248">
        <f>IF($C109="","",N($I108)+$G109-$H109)</f>
        <v/>
      </c>
      <c r="J109" s="6" t="n"/>
      <c r="K109" s="6" t="n"/>
      <c r="L109" s="3" t="n"/>
      <c r="M109" s="3" t="n">
        <v>98</v>
      </c>
      <c r="N109" s="3">
        <f>IF(OR($U109=0,$W109="",$X109&lt;=0),"",IF($W109&gt;TODAY(),"",IF(AND(INDEX(UCRETLER!$E$7:$E$406,$U109)&lt;&gt;"",$W109&gt;INDEX(UCRETLER!$E$7:$E$406,$U109)),"",$W109)))</f>
        <v/>
      </c>
      <c r="O109" s="3">
        <f>IF($N109="","",IF(INDEX(UCRETLER!$F$7:$F$406,$U109)="Aylık",TEXT($N109,"mmmm yyyy")&amp;" aylık muhasebe hizmet ücreti",TEXT($N109,"dd.mm.yyyy")&amp;" haftalık muhasebe hizmet ücreti"))</f>
        <v/>
      </c>
      <c r="P109" s="3">
        <f>IF($N109="","","TAHAKKUK")</f>
        <v/>
      </c>
      <c r="Q109" s="3">
        <f>IF($N109="","","600 Muhasebe Hizmet Geliri")</f>
        <v/>
      </c>
      <c r="R109" s="3">
        <f>IF($N109="",0,$X109)</f>
        <v/>
      </c>
      <c r="S109" s="3" t="n">
        <v>0</v>
      </c>
      <c r="T109" s="3">
        <f>IF($N109="",10000000000,$N109*100000+$M109)</f>
        <v/>
      </c>
      <c r="U109" s="3">
        <f>$AB$5</f>
        <v/>
      </c>
      <c r="V109" s="3" t="n">
        <v>17</v>
      </c>
      <c r="W109" s="3">
        <f>IF($U109=0,"",IF(INDEX(UCRETLER!$D$7:$D$406,$U109)="","",IF(INDEX(UCRETLER!$F$7:$F$406,$U109)="Aylık",EOMONTH(INDEX(UCRETLER!$D$7:$D$406,$U109),$V109-1),INDEX(UCRETLER!$D$7:$D$406,$U109)+MOD(SISTEM!$F$8-WEEKDAY(INDEX(UCRETLER!$D$7:$D$406,$U109),2),7)+7*($V109-1))))</f>
        <v/>
      </c>
      <c r="X109" s="3">
        <f>IF($U109=0,0,INDEX(UCRETLER!$G$7:$G$406,$U109))</f>
        <v/>
      </c>
      <c r="Y109" s="3">
        <f>IFERROR(SMALL($T$12:$T$372,ROW()-11),"")</f>
        <v/>
      </c>
      <c r="Z109" s="3">
        <f>IFERROR(MATCH($Y109,$T$12:$T$372,0),"")</f>
        <v/>
      </c>
      <c r="AA109" s="3" t="n"/>
      <c r="AB109" s="3" t="n"/>
      <c r="AC109" s="3" t="n"/>
    </row>
    <row r="110">
      <c r="A110" s="6" t="n"/>
      <c r="B110" s="158">
        <f>IF($C110="","",ROW()-11)</f>
        <v/>
      </c>
      <c r="C110" s="247">
        <f>IF($Z110="","",IF(INDEX($N$12:$N$372,$Z110)="","",INDEX($N$12:$N$372,$Z110)))</f>
        <v/>
      </c>
      <c r="D110" s="29">
        <f>IF($C110="","",INDEX($O$12:$O$372,$Z110))</f>
        <v/>
      </c>
      <c r="E110" s="158">
        <f>IF($C110="","",INDEX($P$12:$P$372,$Z110))</f>
        <v/>
      </c>
      <c r="F110" s="29">
        <f>IF($C110="","",INDEX($Q$12:$Q$372,$Z110))</f>
        <v/>
      </c>
      <c r="G110" s="248">
        <f>IF($C110="","",INDEX($R$12:$R$372,$Z110))</f>
        <v/>
      </c>
      <c r="H110" s="248">
        <f>IF($C110="","",INDEX($S$12:$S$372,$Z110))</f>
        <v/>
      </c>
      <c r="I110" s="248">
        <f>IF($C110="","",N($I109)+$G110-$H110)</f>
        <v/>
      </c>
      <c r="J110" s="6" t="n"/>
      <c r="K110" s="6" t="n"/>
      <c r="L110" s="3" t="n"/>
      <c r="M110" s="3" t="n">
        <v>99</v>
      </c>
      <c r="N110" s="3">
        <f>IF(OR($U110=0,$W110="",$X110&lt;=0),"",IF($W110&gt;TODAY(),"",IF(AND(INDEX(UCRETLER!$E$7:$E$406,$U110)&lt;&gt;"",$W110&gt;INDEX(UCRETLER!$E$7:$E$406,$U110)),"",$W110)))</f>
        <v/>
      </c>
      <c r="O110" s="3">
        <f>IF($N110="","",IF(INDEX(UCRETLER!$F$7:$F$406,$U110)="Aylık",TEXT($N110,"mmmm yyyy")&amp;" aylık muhasebe hizmet ücreti",TEXT($N110,"dd.mm.yyyy")&amp;" haftalık muhasebe hizmet ücreti"))</f>
        <v/>
      </c>
      <c r="P110" s="3">
        <f>IF($N110="","","TAHAKKUK")</f>
        <v/>
      </c>
      <c r="Q110" s="3">
        <f>IF($N110="","","600 Muhasebe Hizmet Geliri")</f>
        <v/>
      </c>
      <c r="R110" s="3">
        <f>IF($N110="",0,$X110)</f>
        <v/>
      </c>
      <c r="S110" s="3" t="n">
        <v>0</v>
      </c>
      <c r="T110" s="3">
        <f>IF($N110="",10000000000,$N110*100000+$M110)</f>
        <v/>
      </c>
      <c r="U110" s="3">
        <f>$AB$5</f>
        <v/>
      </c>
      <c r="V110" s="3" t="n">
        <v>18</v>
      </c>
      <c r="W110" s="3">
        <f>IF($U110=0,"",IF(INDEX(UCRETLER!$D$7:$D$406,$U110)="","",IF(INDEX(UCRETLER!$F$7:$F$406,$U110)="Aylık",EOMONTH(INDEX(UCRETLER!$D$7:$D$406,$U110),$V110-1),INDEX(UCRETLER!$D$7:$D$406,$U110)+MOD(SISTEM!$F$8-WEEKDAY(INDEX(UCRETLER!$D$7:$D$406,$U110),2),7)+7*($V110-1))))</f>
        <v/>
      </c>
      <c r="X110" s="3">
        <f>IF($U110=0,0,INDEX(UCRETLER!$G$7:$G$406,$U110))</f>
        <v/>
      </c>
      <c r="Y110" s="3">
        <f>IFERROR(SMALL($T$12:$T$372,ROW()-11),"")</f>
        <v/>
      </c>
      <c r="Z110" s="3">
        <f>IFERROR(MATCH($Y110,$T$12:$T$372,0),"")</f>
        <v/>
      </c>
      <c r="AA110" s="3" t="n"/>
      <c r="AB110" s="3" t="n"/>
      <c r="AC110" s="3" t="n"/>
    </row>
    <row r="111">
      <c r="A111" s="6" t="n"/>
      <c r="B111" s="158">
        <f>IF($C111="","",ROW()-11)</f>
        <v/>
      </c>
      <c r="C111" s="247">
        <f>IF($Z111="","",IF(INDEX($N$12:$N$372,$Z111)="","",INDEX($N$12:$N$372,$Z111)))</f>
        <v/>
      </c>
      <c r="D111" s="29">
        <f>IF($C111="","",INDEX($O$12:$O$372,$Z111))</f>
        <v/>
      </c>
      <c r="E111" s="158">
        <f>IF($C111="","",INDEX($P$12:$P$372,$Z111))</f>
        <v/>
      </c>
      <c r="F111" s="29">
        <f>IF($C111="","",INDEX($Q$12:$Q$372,$Z111))</f>
        <v/>
      </c>
      <c r="G111" s="248">
        <f>IF($C111="","",INDEX($R$12:$R$372,$Z111))</f>
        <v/>
      </c>
      <c r="H111" s="248">
        <f>IF($C111="","",INDEX($S$12:$S$372,$Z111))</f>
        <v/>
      </c>
      <c r="I111" s="248">
        <f>IF($C111="","",N($I110)+$G111-$H111)</f>
        <v/>
      </c>
      <c r="J111" s="6" t="n"/>
      <c r="K111" s="6" t="n"/>
      <c r="L111" s="3" t="n"/>
      <c r="M111" s="3" t="n">
        <v>100</v>
      </c>
      <c r="N111" s="3">
        <f>IF(OR($U111=0,$W111="",$X111&lt;=0),"",IF($W111&gt;TODAY(),"",IF(AND(INDEX(UCRETLER!$E$7:$E$406,$U111)&lt;&gt;"",$W111&gt;INDEX(UCRETLER!$E$7:$E$406,$U111)),"",$W111)))</f>
        <v/>
      </c>
      <c r="O111" s="3">
        <f>IF($N111="","",IF(INDEX(UCRETLER!$F$7:$F$406,$U111)="Aylık",TEXT($N111,"mmmm yyyy")&amp;" aylık muhasebe hizmet ücreti",TEXT($N111,"dd.mm.yyyy")&amp;" haftalık muhasebe hizmet ücreti"))</f>
        <v/>
      </c>
      <c r="P111" s="3">
        <f>IF($N111="","","TAHAKKUK")</f>
        <v/>
      </c>
      <c r="Q111" s="3">
        <f>IF($N111="","","600 Muhasebe Hizmet Geliri")</f>
        <v/>
      </c>
      <c r="R111" s="3">
        <f>IF($N111="",0,$X111)</f>
        <v/>
      </c>
      <c r="S111" s="3" t="n">
        <v>0</v>
      </c>
      <c r="T111" s="3">
        <f>IF($N111="",10000000000,$N111*100000+$M111)</f>
        <v/>
      </c>
      <c r="U111" s="3">
        <f>$AB$5</f>
        <v/>
      </c>
      <c r="V111" s="3" t="n">
        <v>19</v>
      </c>
      <c r="W111" s="3">
        <f>IF($U111=0,"",IF(INDEX(UCRETLER!$D$7:$D$406,$U111)="","",IF(INDEX(UCRETLER!$F$7:$F$406,$U111)="Aylık",EOMONTH(INDEX(UCRETLER!$D$7:$D$406,$U111),$V111-1),INDEX(UCRETLER!$D$7:$D$406,$U111)+MOD(SISTEM!$F$8-WEEKDAY(INDEX(UCRETLER!$D$7:$D$406,$U111),2),7)+7*($V111-1))))</f>
        <v/>
      </c>
      <c r="X111" s="3">
        <f>IF($U111=0,0,INDEX(UCRETLER!$G$7:$G$406,$U111))</f>
        <v/>
      </c>
      <c r="Y111" s="3">
        <f>IFERROR(SMALL($T$12:$T$372,ROW()-11),"")</f>
        <v/>
      </c>
      <c r="Z111" s="3">
        <f>IFERROR(MATCH($Y111,$T$12:$T$372,0),"")</f>
        <v/>
      </c>
      <c r="AA111" s="3" t="n"/>
      <c r="AB111" s="3" t="n"/>
      <c r="AC111" s="3" t="n"/>
    </row>
    <row r="112">
      <c r="A112" s="6" t="n"/>
      <c r="B112" s="158">
        <f>IF($C112="","",ROW()-11)</f>
        <v/>
      </c>
      <c r="C112" s="247">
        <f>IF($Z112="","",IF(INDEX($N$12:$N$372,$Z112)="","",INDEX($N$12:$N$372,$Z112)))</f>
        <v/>
      </c>
      <c r="D112" s="29">
        <f>IF($C112="","",INDEX($O$12:$O$372,$Z112))</f>
        <v/>
      </c>
      <c r="E112" s="158">
        <f>IF($C112="","",INDEX($P$12:$P$372,$Z112))</f>
        <v/>
      </c>
      <c r="F112" s="29">
        <f>IF($C112="","",INDEX($Q$12:$Q$372,$Z112))</f>
        <v/>
      </c>
      <c r="G112" s="248">
        <f>IF($C112="","",INDEX($R$12:$R$372,$Z112))</f>
        <v/>
      </c>
      <c r="H112" s="248">
        <f>IF($C112="","",INDEX($S$12:$S$372,$Z112))</f>
        <v/>
      </c>
      <c r="I112" s="248">
        <f>IF($C112="","",N($I111)+$G112-$H112)</f>
        <v/>
      </c>
      <c r="J112" s="6" t="n"/>
      <c r="K112" s="6" t="n"/>
      <c r="L112" s="3" t="n"/>
      <c r="M112" s="3" t="n">
        <v>101</v>
      </c>
      <c r="N112" s="3">
        <f>IF(OR($U112=0,$W112="",$X112&lt;=0),"",IF($W112&gt;TODAY(),"",IF(AND(INDEX(UCRETLER!$E$7:$E$406,$U112)&lt;&gt;"",$W112&gt;INDEX(UCRETLER!$E$7:$E$406,$U112)),"",$W112)))</f>
        <v/>
      </c>
      <c r="O112" s="3">
        <f>IF($N112="","",IF(INDEX(UCRETLER!$F$7:$F$406,$U112)="Aylık",TEXT($N112,"mmmm yyyy")&amp;" aylık muhasebe hizmet ücreti",TEXT($N112,"dd.mm.yyyy")&amp;" haftalık muhasebe hizmet ücreti"))</f>
        <v/>
      </c>
      <c r="P112" s="3">
        <f>IF($N112="","","TAHAKKUK")</f>
        <v/>
      </c>
      <c r="Q112" s="3">
        <f>IF($N112="","","600 Muhasebe Hizmet Geliri")</f>
        <v/>
      </c>
      <c r="R112" s="3">
        <f>IF($N112="",0,$X112)</f>
        <v/>
      </c>
      <c r="S112" s="3" t="n">
        <v>0</v>
      </c>
      <c r="T112" s="3">
        <f>IF($N112="",10000000000,$N112*100000+$M112)</f>
        <v/>
      </c>
      <c r="U112" s="3">
        <f>$AB$5</f>
        <v/>
      </c>
      <c r="V112" s="3" t="n">
        <v>20</v>
      </c>
      <c r="W112" s="3">
        <f>IF($U112=0,"",IF(INDEX(UCRETLER!$D$7:$D$406,$U112)="","",IF(INDEX(UCRETLER!$F$7:$F$406,$U112)="Aylık",EOMONTH(INDEX(UCRETLER!$D$7:$D$406,$U112),$V112-1),INDEX(UCRETLER!$D$7:$D$406,$U112)+MOD(SISTEM!$F$8-WEEKDAY(INDEX(UCRETLER!$D$7:$D$406,$U112),2),7)+7*($V112-1))))</f>
        <v/>
      </c>
      <c r="X112" s="3">
        <f>IF($U112=0,0,INDEX(UCRETLER!$G$7:$G$406,$U112))</f>
        <v/>
      </c>
      <c r="Y112" s="3">
        <f>IFERROR(SMALL($T$12:$T$372,ROW()-11),"")</f>
        <v/>
      </c>
      <c r="Z112" s="3">
        <f>IFERROR(MATCH($Y112,$T$12:$T$372,0),"")</f>
        <v/>
      </c>
      <c r="AA112" s="3" t="n"/>
      <c r="AB112" s="3" t="n"/>
      <c r="AC112" s="3" t="n"/>
    </row>
    <row r="113">
      <c r="A113" s="6" t="n"/>
      <c r="B113" s="158">
        <f>IF($C113="","",ROW()-11)</f>
        <v/>
      </c>
      <c r="C113" s="247">
        <f>IF($Z113="","",IF(INDEX($N$12:$N$372,$Z113)="","",INDEX($N$12:$N$372,$Z113)))</f>
        <v/>
      </c>
      <c r="D113" s="29">
        <f>IF($C113="","",INDEX($O$12:$O$372,$Z113))</f>
        <v/>
      </c>
      <c r="E113" s="158">
        <f>IF($C113="","",INDEX($P$12:$P$372,$Z113))</f>
        <v/>
      </c>
      <c r="F113" s="29">
        <f>IF($C113="","",INDEX($Q$12:$Q$372,$Z113))</f>
        <v/>
      </c>
      <c r="G113" s="248">
        <f>IF($C113="","",INDEX($R$12:$R$372,$Z113))</f>
        <v/>
      </c>
      <c r="H113" s="248">
        <f>IF($C113="","",INDEX($S$12:$S$372,$Z113))</f>
        <v/>
      </c>
      <c r="I113" s="248">
        <f>IF($C113="","",N($I112)+$G113-$H113)</f>
        <v/>
      </c>
      <c r="J113" s="6" t="n"/>
      <c r="K113" s="6" t="n"/>
      <c r="L113" s="3" t="n"/>
      <c r="M113" s="3" t="n">
        <v>102</v>
      </c>
      <c r="N113" s="3">
        <f>IF(OR($U113=0,$W113="",$X113&lt;=0),"",IF($W113&gt;TODAY(),"",IF(AND(INDEX(UCRETLER!$E$7:$E$406,$U113)&lt;&gt;"",$W113&gt;INDEX(UCRETLER!$E$7:$E$406,$U113)),"",$W113)))</f>
        <v/>
      </c>
      <c r="O113" s="3">
        <f>IF($N113="","",IF(INDEX(UCRETLER!$F$7:$F$406,$U113)="Aylık",TEXT($N113,"mmmm yyyy")&amp;" aylık muhasebe hizmet ücreti",TEXT($N113,"dd.mm.yyyy")&amp;" haftalık muhasebe hizmet ücreti"))</f>
        <v/>
      </c>
      <c r="P113" s="3">
        <f>IF($N113="","","TAHAKKUK")</f>
        <v/>
      </c>
      <c r="Q113" s="3">
        <f>IF($N113="","","600 Muhasebe Hizmet Geliri")</f>
        <v/>
      </c>
      <c r="R113" s="3">
        <f>IF($N113="",0,$X113)</f>
        <v/>
      </c>
      <c r="S113" s="3" t="n">
        <v>0</v>
      </c>
      <c r="T113" s="3">
        <f>IF($N113="",10000000000,$N113*100000+$M113)</f>
        <v/>
      </c>
      <c r="U113" s="3">
        <f>$AB$5</f>
        <v/>
      </c>
      <c r="V113" s="3" t="n">
        <v>21</v>
      </c>
      <c r="W113" s="3">
        <f>IF($U113=0,"",IF(INDEX(UCRETLER!$D$7:$D$406,$U113)="","",IF(INDEX(UCRETLER!$F$7:$F$406,$U113)="Aylık",EOMONTH(INDEX(UCRETLER!$D$7:$D$406,$U113),$V113-1),INDEX(UCRETLER!$D$7:$D$406,$U113)+MOD(SISTEM!$F$8-WEEKDAY(INDEX(UCRETLER!$D$7:$D$406,$U113),2),7)+7*($V113-1))))</f>
        <v/>
      </c>
      <c r="X113" s="3">
        <f>IF($U113=0,0,INDEX(UCRETLER!$G$7:$G$406,$U113))</f>
        <v/>
      </c>
      <c r="Y113" s="3">
        <f>IFERROR(SMALL($T$12:$T$372,ROW()-11),"")</f>
        <v/>
      </c>
      <c r="Z113" s="3">
        <f>IFERROR(MATCH($Y113,$T$12:$T$372,0),"")</f>
        <v/>
      </c>
      <c r="AA113" s="3" t="n"/>
      <c r="AB113" s="3" t="n"/>
      <c r="AC113" s="3" t="n"/>
    </row>
    <row r="114">
      <c r="A114" s="6" t="n"/>
      <c r="B114" s="158">
        <f>IF($C114="","",ROW()-11)</f>
        <v/>
      </c>
      <c r="C114" s="247">
        <f>IF($Z114="","",IF(INDEX($N$12:$N$372,$Z114)="","",INDEX($N$12:$N$372,$Z114)))</f>
        <v/>
      </c>
      <c r="D114" s="29">
        <f>IF($C114="","",INDEX($O$12:$O$372,$Z114))</f>
        <v/>
      </c>
      <c r="E114" s="158">
        <f>IF($C114="","",INDEX($P$12:$P$372,$Z114))</f>
        <v/>
      </c>
      <c r="F114" s="29">
        <f>IF($C114="","",INDEX($Q$12:$Q$372,$Z114))</f>
        <v/>
      </c>
      <c r="G114" s="248">
        <f>IF($C114="","",INDEX($R$12:$R$372,$Z114))</f>
        <v/>
      </c>
      <c r="H114" s="248">
        <f>IF($C114="","",INDEX($S$12:$S$372,$Z114))</f>
        <v/>
      </c>
      <c r="I114" s="248">
        <f>IF($C114="","",N($I113)+$G114-$H114)</f>
        <v/>
      </c>
      <c r="J114" s="6" t="n"/>
      <c r="K114" s="6" t="n"/>
      <c r="L114" s="3" t="n"/>
      <c r="M114" s="3" t="n">
        <v>103</v>
      </c>
      <c r="N114" s="3">
        <f>IF(OR($U114=0,$W114="",$X114&lt;=0),"",IF($W114&gt;TODAY(),"",IF(AND(INDEX(UCRETLER!$E$7:$E$406,$U114)&lt;&gt;"",$W114&gt;INDEX(UCRETLER!$E$7:$E$406,$U114)),"",$W114)))</f>
        <v/>
      </c>
      <c r="O114" s="3">
        <f>IF($N114="","",IF(INDEX(UCRETLER!$F$7:$F$406,$U114)="Aylık",TEXT($N114,"mmmm yyyy")&amp;" aylık muhasebe hizmet ücreti",TEXT($N114,"dd.mm.yyyy")&amp;" haftalık muhasebe hizmet ücreti"))</f>
        <v/>
      </c>
      <c r="P114" s="3">
        <f>IF($N114="","","TAHAKKUK")</f>
        <v/>
      </c>
      <c r="Q114" s="3">
        <f>IF($N114="","","600 Muhasebe Hizmet Geliri")</f>
        <v/>
      </c>
      <c r="R114" s="3">
        <f>IF($N114="",0,$X114)</f>
        <v/>
      </c>
      <c r="S114" s="3" t="n">
        <v>0</v>
      </c>
      <c r="T114" s="3">
        <f>IF($N114="",10000000000,$N114*100000+$M114)</f>
        <v/>
      </c>
      <c r="U114" s="3">
        <f>$AB$5</f>
        <v/>
      </c>
      <c r="V114" s="3" t="n">
        <v>22</v>
      </c>
      <c r="W114" s="3">
        <f>IF($U114=0,"",IF(INDEX(UCRETLER!$D$7:$D$406,$U114)="","",IF(INDEX(UCRETLER!$F$7:$F$406,$U114)="Aylık",EOMONTH(INDEX(UCRETLER!$D$7:$D$406,$U114),$V114-1),INDEX(UCRETLER!$D$7:$D$406,$U114)+MOD(SISTEM!$F$8-WEEKDAY(INDEX(UCRETLER!$D$7:$D$406,$U114),2),7)+7*($V114-1))))</f>
        <v/>
      </c>
      <c r="X114" s="3">
        <f>IF($U114=0,0,INDEX(UCRETLER!$G$7:$G$406,$U114))</f>
        <v/>
      </c>
      <c r="Y114" s="3">
        <f>IFERROR(SMALL($T$12:$T$372,ROW()-11),"")</f>
        <v/>
      </c>
      <c r="Z114" s="3">
        <f>IFERROR(MATCH($Y114,$T$12:$T$372,0),"")</f>
        <v/>
      </c>
      <c r="AA114" s="3" t="n"/>
      <c r="AB114" s="3" t="n"/>
      <c r="AC114" s="3" t="n"/>
    </row>
    <row r="115">
      <c r="A115" s="6" t="n"/>
      <c r="B115" s="158">
        <f>IF($C115="","",ROW()-11)</f>
        <v/>
      </c>
      <c r="C115" s="247">
        <f>IF($Z115="","",IF(INDEX($N$12:$N$372,$Z115)="","",INDEX($N$12:$N$372,$Z115)))</f>
        <v/>
      </c>
      <c r="D115" s="29">
        <f>IF($C115="","",INDEX($O$12:$O$372,$Z115))</f>
        <v/>
      </c>
      <c r="E115" s="158">
        <f>IF($C115="","",INDEX($P$12:$P$372,$Z115))</f>
        <v/>
      </c>
      <c r="F115" s="29">
        <f>IF($C115="","",INDEX($Q$12:$Q$372,$Z115))</f>
        <v/>
      </c>
      <c r="G115" s="248">
        <f>IF($C115="","",INDEX($R$12:$R$372,$Z115))</f>
        <v/>
      </c>
      <c r="H115" s="248">
        <f>IF($C115="","",INDEX($S$12:$S$372,$Z115))</f>
        <v/>
      </c>
      <c r="I115" s="248">
        <f>IF($C115="","",N($I114)+$G115-$H115)</f>
        <v/>
      </c>
      <c r="J115" s="6" t="n"/>
      <c r="K115" s="6" t="n"/>
      <c r="L115" s="3" t="n"/>
      <c r="M115" s="3" t="n">
        <v>104</v>
      </c>
      <c r="N115" s="3">
        <f>IF(OR($U115=0,$W115="",$X115&lt;=0),"",IF($W115&gt;TODAY(),"",IF(AND(INDEX(UCRETLER!$E$7:$E$406,$U115)&lt;&gt;"",$W115&gt;INDEX(UCRETLER!$E$7:$E$406,$U115)),"",$W115)))</f>
        <v/>
      </c>
      <c r="O115" s="3">
        <f>IF($N115="","",IF(INDEX(UCRETLER!$F$7:$F$406,$U115)="Aylık",TEXT($N115,"mmmm yyyy")&amp;" aylık muhasebe hizmet ücreti",TEXT($N115,"dd.mm.yyyy")&amp;" haftalık muhasebe hizmet ücreti"))</f>
        <v/>
      </c>
      <c r="P115" s="3">
        <f>IF($N115="","","TAHAKKUK")</f>
        <v/>
      </c>
      <c r="Q115" s="3">
        <f>IF($N115="","","600 Muhasebe Hizmet Geliri")</f>
        <v/>
      </c>
      <c r="R115" s="3">
        <f>IF($N115="",0,$X115)</f>
        <v/>
      </c>
      <c r="S115" s="3" t="n">
        <v>0</v>
      </c>
      <c r="T115" s="3">
        <f>IF($N115="",10000000000,$N115*100000+$M115)</f>
        <v/>
      </c>
      <c r="U115" s="3">
        <f>$AB$5</f>
        <v/>
      </c>
      <c r="V115" s="3" t="n">
        <v>23</v>
      </c>
      <c r="W115" s="3">
        <f>IF($U115=0,"",IF(INDEX(UCRETLER!$D$7:$D$406,$U115)="","",IF(INDEX(UCRETLER!$F$7:$F$406,$U115)="Aylık",EOMONTH(INDEX(UCRETLER!$D$7:$D$406,$U115),$V115-1),INDEX(UCRETLER!$D$7:$D$406,$U115)+MOD(SISTEM!$F$8-WEEKDAY(INDEX(UCRETLER!$D$7:$D$406,$U115),2),7)+7*($V115-1))))</f>
        <v/>
      </c>
      <c r="X115" s="3">
        <f>IF($U115=0,0,INDEX(UCRETLER!$G$7:$G$406,$U115))</f>
        <v/>
      </c>
      <c r="Y115" s="3">
        <f>IFERROR(SMALL($T$12:$T$372,ROW()-11),"")</f>
        <v/>
      </c>
      <c r="Z115" s="3">
        <f>IFERROR(MATCH($Y115,$T$12:$T$372,0),"")</f>
        <v/>
      </c>
      <c r="AA115" s="3" t="n"/>
      <c r="AB115" s="3" t="n"/>
      <c r="AC115" s="3" t="n"/>
    </row>
    <row r="116">
      <c r="A116" s="6" t="n"/>
      <c r="B116" s="158">
        <f>IF($C116="","",ROW()-11)</f>
        <v/>
      </c>
      <c r="C116" s="247">
        <f>IF($Z116="","",IF(INDEX($N$12:$N$372,$Z116)="","",INDEX($N$12:$N$372,$Z116)))</f>
        <v/>
      </c>
      <c r="D116" s="29">
        <f>IF($C116="","",INDEX($O$12:$O$372,$Z116))</f>
        <v/>
      </c>
      <c r="E116" s="158">
        <f>IF($C116="","",INDEX($P$12:$P$372,$Z116))</f>
        <v/>
      </c>
      <c r="F116" s="29">
        <f>IF($C116="","",INDEX($Q$12:$Q$372,$Z116))</f>
        <v/>
      </c>
      <c r="G116" s="248">
        <f>IF($C116="","",INDEX($R$12:$R$372,$Z116))</f>
        <v/>
      </c>
      <c r="H116" s="248">
        <f>IF($C116="","",INDEX($S$12:$S$372,$Z116))</f>
        <v/>
      </c>
      <c r="I116" s="248">
        <f>IF($C116="","",N($I115)+$G116-$H116)</f>
        <v/>
      </c>
      <c r="J116" s="6" t="n"/>
      <c r="K116" s="6" t="n"/>
      <c r="L116" s="3" t="n"/>
      <c r="M116" s="3" t="n">
        <v>105</v>
      </c>
      <c r="N116" s="3">
        <f>IF(OR($U116=0,$W116="",$X116&lt;=0),"",IF($W116&gt;TODAY(),"",IF(AND(INDEX(UCRETLER!$E$7:$E$406,$U116)&lt;&gt;"",$W116&gt;INDEX(UCRETLER!$E$7:$E$406,$U116)),"",$W116)))</f>
        <v/>
      </c>
      <c r="O116" s="3">
        <f>IF($N116="","",IF(INDEX(UCRETLER!$F$7:$F$406,$U116)="Aylık",TEXT($N116,"mmmm yyyy")&amp;" aylık muhasebe hizmet ücreti",TEXT($N116,"dd.mm.yyyy")&amp;" haftalık muhasebe hizmet ücreti"))</f>
        <v/>
      </c>
      <c r="P116" s="3">
        <f>IF($N116="","","TAHAKKUK")</f>
        <v/>
      </c>
      <c r="Q116" s="3">
        <f>IF($N116="","","600 Muhasebe Hizmet Geliri")</f>
        <v/>
      </c>
      <c r="R116" s="3">
        <f>IF($N116="",0,$X116)</f>
        <v/>
      </c>
      <c r="S116" s="3" t="n">
        <v>0</v>
      </c>
      <c r="T116" s="3">
        <f>IF($N116="",10000000000,$N116*100000+$M116)</f>
        <v/>
      </c>
      <c r="U116" s="3">
        <f>$AB$5</f>
        <v/>
      </c>
      <c r="V116" s="3" t="n">
        <v>24</v>
      </c>
      <c r="W116" s="3">
        <f>IF($U116=0,"",IF(INDEX(UCRETLER!$D$7:$D$406,$U116)="","",IF(INDEX(UCRETLER!$F$7:$F$406,$U116)="Aylık",EOMONTH(INDEX(UCRETLER!$D$7:$D$406,$U116),$V116-1),INDEX(UCRETLER!$D$7:$D$406,$U116)+MOD(SISTEM!$F$8-WEEKDAY(INDEX(UCRETLER!$D$7:$D$406,$U116),2),7)+7*($V116-1))))</f>
        <v/>
      </c>
      <c r="X116" s="3">
        <f>IF($U116=0,0,INDEX(UCRETLER!$G$7:$G$406,$U116))</f>
        <v/>
      </c>
      <c r="Y116" s="3">
        <f>IFERROR(SMALL($T$12:$T$372,ROW()-11),"")</f>
        <v/>
      </c>
      <c r="Z116" s="3">
        <f>IFERROR(MATCH($Y116,$T$12:$T$372,0),"")</f>
        <v/>
      </c>
      <c r="AA116" s="3" t="n"/>
      <c r="AB116" s="3" t="n"/>
      <c r="AC116" s="3" t="n"/>
    </row>
    <row r="117">
      <c r="A117" s="6" t="n"/>
      <c r="B117" s="158">
        <f>IF($C117="","",ROW()-11)</f>
        <v/>
      </c>
      <c r="C117" s="247">
        <f>IF($Z117="","",IF(INDEX($N$12:$N$372,$Z117)="","",INDEX($N$12:$N$372,$Z117)))</f>
        <v/>
      </c>
      <c r="D117" s="29">
        <f>IF($C117="","",INDEX($O$12:$O$372,$Z117))</f>
        <v/>
      </c>
      <c r="E117" s="158">
        <f>IF($C117="","",INDEX($P$12:$P$372,$Z117))</f>
        <v/>
      </c>
      <c r="F117" s="29">
        <f>IF($C117="","",INDEX($Q$12:$Q$372,$Z117))</f>
        <v/>
      </c>
      <c r="G117" s="248">
        <f>IF($C117="","",INDEX($R$12:$R$372,$Z117))</f>
        <v/>
      </c>
      <c r="H117" s="248">
        <f>IF($C117="","",INDEX($S$12:$S$372,$Z117))</f>
        <v/>
      </c>
      <c r="I117" s="248">
        <f>IF($C117="","",N($I116)+$G117-$H117)</f>
        <v/>
      </c>
      <c r="J117" s="6" t="n"/>
      <c r="K117" s="6" t="n"/>
      <c r="L117" s="3" t="n"/>
      <c r="M117" s="3" t="n">
        <v>106</v>
      </c>
      <c r="N117" s="3">
        <f>IF(OR($U117=0,$W117="",$X117&lt;=0),"",IF($W117&gt;TODAY(),"",IF(AND(INDEX(UCRETLER!$E$7:$E$406,$U117)&lt;&gt;"",$W117&gt;INDEX(UCRETLER!$E$7:$E$406,$U117)),"",$W117)))</f>
        <v/>
      </c>
      <c r="O117" s="3">
        <f>IF($N117="","",IF(INDEX(UCRETLER!$F$7:$F$406,$U117)="Aylık",TEXT($N117,"mmmm yyyy")&amp;" aylık muhasebe hizmet ücreti",TEXT($N117,"dd.mm.yyyy")&amp;" haftalık muhasebe hizmet ücreti"))</f>
        <v/>
      </c>
      <c r="P117" s="3">
        <f>IF($N117="","","TAHAKKUK")</f>
        <v/>
      </c>
      <c r="Q117" s="3">
        <f>IF($N117="","","600 Muhasebe Hizmet Geliri")</f>
        <v/>
      </c>
      <c r="R117" s="3">
        <f>IF($N117="",0,$X117)</f>
        <v/>
      </c>
      <c r="S117" s="3" t="n">
        <v>0</v>
      </c>
      <c r="T117" s="3">
        <f>IF($N117="",10000000000,$N117*100000+$M117)</f>
        <v/>
      </c>
      <c r="U117" s="3">
        <f>$AB$5</f>
        <v/>
      </c>
      <c r="V117" s="3" t="n">
        <v>25</v>
      </c>
      <c r="W117" s="3">
        <f>IF($U117=0,"",IF(INDEX(UCRETLER!$D$7:$D$406,$U117)="","",IF(INDEX(UCRETLER!$F$7:$F$406,$U117)="Aylık",EOMONTH(INDEX(UCRETLER!$D$7:$D$406,$U117),$V117-1),INDEX(UCRETLER!$D$7:$D$406,$U117)+MOD(SISTEM!$F$8-WEEKDAY(INDEX(UCRETLER!$D$7:$D$406,$U117),2),7)+7*($V117-1))))</f>
        <v/>
      </c>
      <c r="X117" s="3">
        <f>IF($U117=0,0,INDEX(UCRETLER!$G$7:$G$406,$U117))</f>
        <v/>
      </c>
      <c r="Y117" s="3">
        <f>IFERROR(SMALL($T$12:$T$372,ROW()-11),"")</f>
        <v/>
      </c>
      <c r="Z117" s="3">
        <f>IFERROR(MATCH($Y117,$T$12:$T$372,0),"")</f>
        <v/>
      </c>
      <c r="AA117" s="3" t="n"/>
      <c r="AB117" s="3" t="n"/>
      <c r="AC117" s="3" t="n"/>
    </row>
    <row r="118">
      <c r="A118" s="6" t="n"/>
      <c r="B118" s="158">
        <f>IF($C118="","",ROW()-11)</f>
        <v/>
      </c>
      <c r="C118" s="247">
        <f>IF($Z118="","",IF(INDEX($N$12:$N$372,$Z118)="","",INDEX($N$12:$N$372,$Z118)))</f>
        <v/>
      </c>
      <c r="D118" s="29">
        <f>IF($C118="","",INDEX($O$12:$O$372,$Z118))</f>
        <v/>
      </c>
      <c r="E118" s="158">
        <f>IF($C118="","",INDEX($P$12:$P$372,$Z118))</f>
        <v/>
      </c>
      <c r="F118" s="29">
        <f>IF($C118="","",INDEX($Q$12:$Q$372,$Z118))</f>
        <v/>
      </c>
      <c r="G118" s="248">
        <f>IF($C118="","",INDEX($R$12:$R$372,$Z118))</f>
        <v/>
      </c>
      <c r="H118" s="248">
        <f>IF($C118="","",INDEX($S$12:$S$372,$Z118))</f>
        <v/>
      </c>
      <c r="I118" s="248">
        <f>IF($C118="","",N($I117)+$G118-$H118)</f>
        <v/>
      </c>
      <c r="J118" s="6" t="n"/>
      <c r="K118" s="6" t="n"/>
      <c r="L118" s="3" t="n"/>
      <c r="M118" s="3" t="n">
        <v>107</v>
      </c>
      <c r="N118" s="3">
        <f>IF(OR($U118=0,$W118="",$X118&lt;=0),"",IF($W118&gt;TODAY(),"",IF(AND(INDEX(UCRETLER!$E$7:$E$406,$U118)&lt;&gt;"",$W118&gt;INDEX(UCRETLER!$E$7:$E$406,$U118)),"",$W118)))</f>
        <v/>
      </c>
      <c r="O118" s="3">
        <f>IF($N118="","",IF(INDEX(UCRETLER!$F$7:$F$406,$U118)="Aylık",TEXT($N118,"mmmm yyyy")&amp;" aylık muhasebe hizmet ücreti",TEXT($N118,"dd.mm.yyyy")&amp;" haftalık muhasebe hizmet ücreti"))</f>
        <v/>
      </c>
      <c r="P118" s="3">
        <f>IF($N118="","","TAHAKKUK")</f>
        <v/>
      </c>
      <c r="Q118" s="3">
        <f>IF($N118="","","600 Muhasebe Hizmet Geliri")</f>
        <v/>
      </c>
      <c r="R118" s="3">
        <f>IF($N118="",0,$X118)</f>
        <v/>
      </c>
      <c r="S118" s="3" t="n">
        <v>0</v>
      </c>
      <c r="T118" s="3">
        <f>IF($N118="",10000000000,$N118*100000+$M118)</f>
        <v/>
      </c>
      <c r="U118" s="3">
        <f>$AB$5</f>
        <v/>
      </c>
      <c r="V118" s="3" t="n">
        <v>26</v>
      </c>
      <c r="W118" s="3">
        <f>IF($U118=0,"",IF(INDEX(UCRETLER!$D$7:$D$406,$U118)="","",IF(INDEX(UCRETLER!$F$7:$F$406,$U118)="Aylık",EOMONTH(INDEX(UCRETLER!$D$7:$D$406,$U118),$V118-1),INDEX(UCRETLER!$D$7:$D$406,$U118)+MOD(SISTEM!$F$8-WEEKDAY(INDEX(UCRETLER!$D$7:$D$406,$U118),2),7)+7*($V118-1))))</f>
        <v/>
      </c>
      <c r="X118" s="3">
        <f>IF($U118=0,0,INDEX(UCRETLER!$G$7:$G$406,$U118))</f>
        <v/>
      </c>
      <c r="Y118" s="3">
        <f>IFERROR(SMALL($T$12:$T$372,ROW()-11),"")</f>
        <v/>
      </c>
      <c r="Z118" s="3">
        <f>IFERROR(MATCH($Y118,$T$12:$T$372,0),"")</f>
        <v/>
      </c>
      <c r="AA118" s="3" t="n"/>
      <c r="AB118" s="3" t="n"/>
      <c r="AC118" s="3" t="n"/>
    </row>
    <row r="119">
      <c r="A119" s="6" t="n"/>
      <c r="B119" s="158">
        <f>IF($C119="","",ROW()-11)</f>
        <v/>
      </c>
      <c r="C119" s="247">
        <f>IF($Z119="","",IF(INDEX($N$12:$N$372,$Z119)="","",INDEX($N$12:$N$372,$Z119)))</f>
        <v/>
      </c>
      <c r="D119" s="29">
        <f>IF($C119="","",INDEX($O$12:$O$372,$Z119))</f>
        <v/>
      </c>
      <c r="E119" s="158">
        <f>IF($C119="","",INDEX($P$12:$P$372,$Z119))</f>
        <v/>
      </c>
      <c r="F119" s="29">
        <f>IF($C119="","",INDEX($Q$12:$Q$372,$Z119))</f>
        <v/>
      </c>
      <c r="G119" s="248">
        <f>IF($C119="","",INDEX($R$12:$R$372,$Z119))</f>
        <v/>
      </c>
      <c r="H119" s="248">
        <f>IF($C119="","",INDEX($S$12:$S$372,$Z119))</f>
        <v/>
      </c>
      <c r="I119" s="248">
        <f>IF($C119="","",N($I118)+$G119-$H119)</f>
        <v/>
      </c>
      <c r="J119" s="6" t="n"/>
      <c r="K119" s="6" t="n"/>
      <c r="L119" s="3" t="n"/>
      <c r="M119" s="3" t="n">
        <v>108</v>
      </c>
      <c r="N119" s="3">
        <f>IF(OR($U119=0,$W119="",$X119&lt;=0),"",IF($W119&gt;TODAY(),"",IF(AND(INDEX(UCRETLER!$E$7:$E$406,$U119)&lt;&gt;"",$W119&gt;INDEX(UCRETLER!$E$7:$E$406,$U119)),"",$W119)))</f>
        <v/>
      </c>
      <c r="O119" s="3">
        <f>IF($N119="","",IF(INDEX(UCRETLER!$F$7:$F$406,$U119)="Aylık",TEXT($N119,"mmmm yyyy")&amp;" aylık muhasebe hizmet ücreti",TEXT($N119,"dd.mm.yyyy")&amp;" haftalık muhasebe hizmet ücreti"))</f>
        <v/>
      </c>
      <c r="P119" s="3">
        <f>IF($N119="","","TAHAKKUK")</f>
        <v/>
      </c>
      <c r="Q119" s="3">
        <f>IF($N119="","","600 Muhasebe Hizmet Geliri")</f>
        <v/>
      </c>
      <c r="R119" s="3">
        <f>IF($N119="",0,$X119)</f>
        <v/>
      </c>
      <c r="S119" s="3" t="n">
        <v>0</v>
      </c>
      <c r="T119" s="3">
        <f>IF($N119="",10000000000,$N119*100000+$M119)</f>
        <v/>
      </c>
      <c r="U119" s="3">
        <f>$AB$5</f>
        <v/>
      </c>
      <c r="V119" s="3" t="n">
        <v>27</v>
      </c>
      <c r="W119" s="3">
        <f>IF($U119=0,"",IF(INDEX(UCRETLER!$D$7:$D$406,$U119)="","",IF(INDEX(UCRETLER!$F$7:$F$406,$U119)="Aylık",EOMONTH(INDEX(UCRETLER!$D$7:$D$406,$U119),$V119-1),INDEX(UCRETLER!$D$7:$D$406,$U119)+MOD(SISTEM!$F$8-WEEKDAY(INDEX(UCRETLER!$D$7:$D$406,$U119),2),7)+7*($V119-1))))</f>
        <v/>
      </c>
      <c r="X119" s="3">
        <f>IF($U119=0,0,INDEX(UCRETLER!$G$7:$G$406,$U119))</f>
        <v/>
      </c>
      <c r="Y119" s="3">
        <f>IFERROR(SMALL($T$12:$T$372,ROW()-11),"")</f>
        <v/>
      </c>
      <c r="Z119" s="3">
        <f>IFERROR(MATCH($Y119,$T$12:$T$372,0),"")</f>
        <v/>
      </c>
      <c r="AA119" s="3" t="n"/>
      <c r="AB119" s="3" t="n"/>
      <c r="AC119" s="3" t="n"/>
    </row>
    <row r="120">
      <c r="A120" s="6" t="n"/>
      <c r="B120" s="158">
        <f>IF($C120="","",ROW()-11)</f>
        <v/>
      </c>
      <c r="C120" s="247">
        <f>IF($Z120="","",IF(INDEX($N$12:$N$372,$Z120)="","",INDEX($N$12:$N$372,$Z120)))</f>
        <v/>
      </c>
      <c r="D120" s="29">
        <f>IF($C120="","",INDEX($O$12:$O$372,$Z120))</f>
        <v/>
      </c>
      <c r="E120" s="158">
        <f>IF($C120="","",INDEX($P$12:$P$372,$Z120))</f>
        <v/>
      </c>
      <c r="F120" s="29">
        <f>IF($C120="","",INDEX($Q$12:$Q$372,$Z120))</f>
        <v/>
      </c>
      <c r="G120" s="248">
        <f>IF($C120="","",INDEX($R$12:$R$372,$Z120))</f>
        <v/>
      </c>
      <c r="H120" s="248">
        <f>IF($C120="","",INDEX($S$12:$S$372,$Z120))</f>
        <v/>
      </c>
      <c r="I120" s="248">
        <f>IF($C120="","",N($I119)+$G120-$H120)</f>
        <v/>
      </c>
      <c r="J120" s="6" t="n"/>
      <c r="K120" s="6" t="n"/>
      <c r="L120" s="3" t="n"/>
      <c r="M120" s="3" t="n">
        <v>109</v>
      </c>
      <c r="N120" s="3">
        <f>IF(OR($U120=0,$W120="",$X120&lt;=0),"",IF($W120&gt;TODAY(),"",IF(AND(INDEX(UCRETLER!$E$7:$E$406,$U120)&lt;&gt;"",$W120&gt;INDEX(UCRETLER!$E$7:$E$406,$U120)),"",$W120)))</f>
        <v/>
      </c>
      <c r="O120" s="3">
        <f>IF($N120="","",IF(INDEX(UCRETLER!$F$7:$F$406,$U120)="Aylık",TEXT($N120,"mmmm yyyy")&amp;" aylık muhasebe hizmet ücreti",TEXT($N120,"dd.mm.yyyy")&amp;" haftalık muhasebe hizmet ücreti"))</f>
        <v/>
      </c>
      <c r="P120" s="3">
        <f>IF($N120="","","TAHAKKUK")</f>
        <v/>
      </c>
      <c r="Q120" s="3">
        <f>IF($N120="","","600 Muhasebe Hizmet Geliri")</f>
        <v/>
      </c>
      <c r="R120" s="3">
        <f>IF($N120="",0,$X120)</f>
        <v/>
      </c>
      <c r="S120" s="3" t="n">
        <v>0</v>
      </c>
      <c r="T120" s="3">
        <f>IF($N120="",10000000000,$N120*100000+$M120)</f>
        <v/>
      </c>
      <c r="U120" s="3">
        <f>$AB$5</f>
        <v/>
      </c>
      <c r="V120" s="3" t="n">
        <v>28</v>
      </c>
      <c r="W120" s="3">
        <f>IF($U120=0,"",IF(INDEX(UCRETLER!$D$7:$D$406,$U120)="","",IF(INDEX(UCRETLER!$F$7:$F$406,$U120)="Aylık",EOMONTH(INDEX(UCRETLER!$D$7:$D$406,$U120),$V120-1),INDEX(UCRETLER!$D$7:$D$406,$U120)+MOD(SISTEM!$F$8-WEEKDAY(INDEX(UCRETLER!$D$7:$D$406,$U120),2),7)+7*($V120-1))))</f>
        <v/>
      </c>
      <c r="X120" s="3">
        <f>IF($U120=0,0,INDEX(UCRETLER!$G$7:$G$406,$U120))</f>
        <v/>
      </c>
      <c r="Y120" s="3">
        <f>IFERROR(SMALL($T$12:$T$372,ROW()-11),"")</f>
        <v/>
      </c>
      <c r="Z120" s="3">
        <f>IFERROR(MATCH($Y120,$T$12:$T$372,0),"")</f>
        <v/>
      </c>
      <c r="AA120" s="3" t="n"/>
      <c r="AB120" s="3" t="n"/>
      <c r="AC120" s="3" t="n"/>
    </row>
    <row r="121">
      <c r="A121" s="6" t="n"/>
      <c r="B121" s="158">
        <f>IF($C121="","",ROW()-11)</f>
        <v/>
      </c>
      <c r="C121" s="247">
        <f>IF($Z121="","",IF(INDEX($N$12:$N$372,$Z121)="","",INDEX($N$12:$N$372,$Z121)))</f>
        <v/>
      </c>
      <c r="D121" s="29">
        <f>IF($C121="","",INDEX($O$12:$O$372,$Z121))</f>
        <v/>
      </c>
      <c r="E121" s="158">
        <f>IF($C121="","",INDEX($P$12:$P$372,$Z121))</f>
        <v/>
      </c>
      <c r="F121" s="29">
        <f>IF($C121="","",INDEX($Q$12:$Q$372,$Z121))</f>
        <v/>
      </c>
      <c r="G121" s="248">
        <f>IF($C121="","",INDEX($R$12:$R$372,$Z121))</f>
        <v/>
      </c>
      <c r="H121" s="248">
        <f>IF($C121="","",INDEX($S$12:$S$372,$Z121))</f>
        <v/>
      </c>
      <c r="I121" s="248">
        <f>IF($C121="","",N($I120)+$G121-$H121)</f>
        <v/>
      </c>
      <c r="J121" s="6" t="n"/>
      <c r="K121" s="6" t="n"/>
      <c r="L121" s="3" t="n"/>
      <c r="M121" s="3" t="n">
        <v>110</v>
      </c>
      <c r="N121" s="3">
        <f>IF(OR($U121=0,$W121="",$X121&lt;=0),"",IF($W121&gt;TODAY(),"",IF(AND(INDEX(UCRETLER!$E$7:$E$406,$U121)&lt;&gt;"",$W121&gt;INDEX(UCRETLER!$E$7:$E$406,$U121)),"",$W121)))</f>
        <v/>
      </c>
      <c r="O121" s="3">
        <f>IF($N121="","",IF(INDEX(UCRETLER!$F$7:$F$406,$U121)="Aylık",TEXT($N121,"mmmm yyyy")&amp;" aylık muhasebe hizmet ücreti",TEXT($N121,"dd.mm.yyyy")&amp;" haftalık muhasebe hizmet ücreti"))</f>
        <v/>
      </c>
      <c r="P121" s="3">
        <f>IF($N121="","","TAHAKKUK")</f>
        <v/>
      </c>
      <c r="Q121" s="3">
        <f>IF($N121="","","600 Muhasebe Hizmet Geliri")</f>
        <v/>
      </c>
      <c r="R121" s="3">
        <f>IF($N121="",0,$X121)</f>
        <v/>
      </c>
      <c r="S121" s="3" t="n">
        <v>0</v>
      </c>
      <c r="T121" s="3">
        <f>IF($N121="",10000000000,$N121*100000+$M121)</f>
        <v/>
      </c>
      <c r="U121" s="3">
        <f>$AB$5</f>
        <v/>
      </c>
      <c r="V121" s="3" t="n">
        <v>29</v>
      </c>
      <c r="W121" s="3">
        <f>IF($U121=0,"",IF(INDEX(UCRETLER!$D$7:$D$406,$U121)="","",IF(INDEX(UCRETLER!$F$7:$F$406,$U121)="Aylık",EOMONTH(INDEX(UCRETLER!$D$7:$D$406,$U121),$V121-1),INDEX(UCRETLER!$D$7:$D$406,$U121)+MOD(SISTEM!$F$8-WEEKDAY(INDEX(UCRETLER!$D$7:$D$406,$U121),2),7)+7*($V121-1))))</f>
        <v/>
      </c>
      <c r="X121" s="3">
        <f>IF($U121=0,0,INDEX(UCRETLER!$G$7:$G$406,$U121))</f>
        <v/>
      </c>
      <c r="Y121" s="3">
        <f>IFERROR(SMALL($T$12:$T$372,ROW()-11),"")</f>
        <v/>
      </c>
      <c r="Z121" s="3">
        <f>IFERROR(MATCH($Y121,$T$12:$T$372,0),"")</f>
        <v/>
      </c>
      <c r="AA121" s="3" t="n"/>
      <c r="AB121" s="3" t="n"/>
      <c r="AC121" s="3" t="n"/>
    </row>
    <row r="122">
      <c r="A122" s="6" t="n"/>
      <c r="B122" s="158">
        <f>IF($C122="","",ROW()-11)</f>
        <v/>
      </c>
      <c r="C122" s="247">
        <f>IF($Z122="","",IF(INDEX($N$12:$N$372,$Z122)="","",INDEX($N$12:$N$372,$Z122)))</f>
        <v/>
      </c>
      <c r="D122" s="29">
        <f>IF($C122="","",INDEX($O$12:$O$372,$Z122))</f>
        <v/>
      </c>
      <c r="E122" s="158">
        <f>IF($C122="","",INDEX($P$12:$P$372,$Z122))</f>
        <v/>
      </c>
      <c r="F122" s="29">
        <f>IF($C122="","",INDEX($Q$12:$Q$372,$Z122))</f>
        <v/>
      </c>
      <c r="G122" s="248">
        <f>IF($C122="","",INDEX($R$12:$R$372,$Z122))</f>
        <v/>
      </c>
      <c r="H122" s="248">
        <f>IF($C122="","",INDEX($S$12:$S$372,$Z122))</f>
        <v/>
      </c>
      <c r="I122" s="248">
        <f>IF($C122="","",N($I121)+$G122-$H122)</f>
        <v/>
      </c>
      <c r="J122" s="6" t="n"/>
      <c r="K122" s="6" t="n"/>
      <c r="L122" s="3" t="n"/>
      <c r="M122" s="3" t="n">
        <v>111</v>
      </c>
      <c r="N122" s="3">
        <f>IF(OR($U122=0,$W122="",$X122&lt;=0),"",IF($W122&gt;TODAY(),"",IF(AND(INDEX(UCRETLER!$E$7:$E$406,$U122)&lt;&gt;"",$W122&gt;INDEX(UCRETLER!$E$7:$E$406,$U122)),"",$W122)))</f>
        <v/>
      </c>
      <c r="O122" s="3">
        <f>IF($N122="","",IF(INDEX(UCRETLER!$F$7:$F$406,$U122)="Aylık",TEXT($N122,"mmmm yyyy")&amp;" aylık muhasebe hizmet ücreti",TEXT($N122,"dd.mm.yyyy")&amp;" haftalık muhasebe hizmet ücreti"))</f>
        <v/>
      </c>
      <c r="P122" s="3">
        <f>IF($N122="","","TAHAKKUK")</f>
        <v/>
      </c>
      <c r="Q122" s="3">
        <f>IF($N122="","","600 Muhasebe Hizmet Geliri")</f>
        <v/>
      </c>
      <c r="R122" s="3">
        <f>IF($N122="",0,$X122)</f>
        <v/>
      </c>
      <c r="S122" s="3" t="n">
        <v>0</v>
      </c>
      <c r="T122" s="3">
        <f>IF($N122="",10000000000,$N122*100000+$M122)</f>
        <v/>
      </c>
      <c r="U122" s="3">
        <f>$AB$5</f>
        <v/>
      </c>
      <c r="V122" s="3" t="n">
        <v>30</v>
      </c>
      <c r="W122" s="3">
        <f>IF($U122=0,"",IF(INDEX(UCRETLER!$D$7:$D$406,$U122)="","",IF(INDEX(UCRETLER!$F$7:$F$406,$U122)="Aylık",EOMONTH(INDEX(UCRETLER!$D$7:$D$406,$U122),$V122-1),INDEX(UCRETLER!$D$7:$D$406,$U122)+MOD(SISTEM!$F$8-WEEKDAY(INDEX(UCRETLER!$D$7:$D$406,$U122),2),7)+7*($V122-1))))</f>
        <v/>
      </c>
      <c r="X122" s="3">
        <f>IF($U122=0,0,INDEX(UCRETLER!$G$7:$G$406,$U122))</f>
        <v/>
      </c>
      <c r="Y122" s="3">
        <f>IFERROR(SMALL($T$12:$T$372,ROW()-11),"")</f>
        <v/>
      </c>
      <c r="Z122" s="3">
        <f>IFERROR(MATCH($Y122,$T$12:$T$372,0),"")</f>
        <v/>
      </c>
      <c r="AA122" s="3" t="n"/>
      <c r="AB122" s="3" t="n"/>
      <c r="AC122" s="3" t="n"/>
    </row>
    <row r="123">
      <c r="A123" s="6" t="n"/>
      <c r="B123" s="158">
        <f>IF($C123="","",ROW()-11)</f>
        <v/>
      </c>
      <c r="C123" s="247">
        <f>IF($Z123="","",IF(INDEX($N$12:$N$372,$Z123)="","",INDEX($N$12:$N$372,$Z123)))</f>
        <v/>
      </c>
      <c r="D123" s="29">
        <f>IF($C123="","",INDEX($O$12:$O$372,$Z123))</f>
        <v/>
      </c>
      <c r="E123" s="158">
        <f>IF($C123="","",INDEX($P$12:$P$372,$Z123))</f>
        <v/>
      </c>
      <c r="F123" s="29">
        <f>IF($C123="","",INDEX($Q$12:$Q$372,$Z123))</f>
        <v/>
      </c>
      <c r="G123" s="248">
        <f>IF($C123="","",INDEX($R$12:$R$372,$Z123))</f>
        <v/>
      </c>
      <c r="H123" s="248">
        <f>IF($C123="","",INDEX($S$12:$S$372,$Z123))</f>
        <v/>
      </c>
      <c r="I123" s="248">
        <f>IF($C123="","",N($I122)+$G123-$H123)</f>
        <v/>
      </c>
      <c r="J123" s="6" t="n"/>
      <c r="K123" s="6" t="n"/>
      <c r="L123" s="3" t="n"/>
      <c r="M123" s="3" t="n">
        <v>112</v>
      </c>
      <c r="N123" s="3">
        <f>IF(OR($U123=0,$W123="",$X123&lt;=0),"",IF($W123&gt;TODAY(),"",IF(AND(INDEX(UCRETLER!$E$7:$E$406,$U123)&lt;&gt;"",$W123&gt;INDEX(UCRETLER!$E$7:$E$406,$U123)),"",$W123)))</f>
        <v/>
      </c>
      <c r="O123" s="3">
        <f>IF($N123="","",IF(INDEX(UCRETLER!$F$7:$F$406,$U123)="Aylık",TEXT($N123,"mmmm yyyy")&amp;" aylık muhasebe hizmet ücreti",TEXT($N123,"dd.mm.yyyy")&amp;" haftalık muhasebe hizmet ücreti"))</f>
        <v/>
      </c>
      <c r="P123" s="3">
        <f>IF($N123="","","TAHAKKUK")</f>
        <v/>
      </c>
      <c r="Q123" s="3">
        <f>IF($N123="","","600 Muhasebe Hizmet Geliri")</f>
        <v/>
      </c>
      <c r="R123" s="3">
        <f>IF($N123="",0,$X123)</f>
        <v/>
      </c>
      <c r="S123" s="3" t="n">
        <v>0</v>
      </c>
      <c r="T123" s="3">
        <f>IF($N123="",10000000000,$N123*100000+$M123)</f>
        <v/>
      </c>
      <c r="U123" s="3">
        <f>$AB$5</f>
        <v/>
      </c>
      <c r="V123" s="3" t="n">
        <v>31</v>
      </c>
      <c r="W123" s="3">
        <f>IF($U123=0,"",IF(INDEX(UCRETLER!$D$7:$D$406,$U123)="","",IF(INDEX(UCRETLER!$F$7:$F$406,$U123)="Aylık",EOMONTH(INDEX(UCRETLER!$D$7:$D$406,$U123),$V123-1),INDEX(UCRETLER!$D$7:$D$406,$U123)+MOD(SISTEM!$F$8-WEEKDAY(INDEX(UCRETLER!$D$7:$D$406,$U123),2),7)+7*($V123-1))))</f>
        <v/>
      </c>
      <c r="X123" s="3">
        <f>IF($U123=0,0,INDEX(UCRETLER!$G$7:$G$406,$U123))</f>
        <v/>
      </c>
      <c r="Y123" s="3">
        <f>IFERROR(SMALL($T$12:$T$372,ROW()-11),"")</f>
        <v/>
      </c>
      <c r="Z123" s="3">
        <f>IFERROR(MATCH($Y123,$T$12:$T$372,0),"")</f>
        <v/>
      </c>
      <c r="AA123" s="3" t="n"/>
      <c r="AB123" s="3" t="n"/>
      <c r="AC123" s="3" t="n"/>
    </row>
    <row r="124">
      <c r="A124" s="6" t="n"/>
      <c r="B124" s="158">
        <f>IF($C124="","",ROW()-11)</f>
        <v/>
      </c>
      <c r="C124" s="247">
        <f>IF($Z124="","",IF(INDEX($N$12:$N$372,$Z124)="","",INDEX($N$12:$N$372,$Z124)))</f>
        <v/>
      </c>
      <c r="D124" s="29">
        <f>IF($C124="","",INDEX($O$12:$O$372,$Z124))</f>
        <v/>
      </c>
      <c r="E124" s="158">
        <f>IF($C124="","",INDEX($P$12:$P$372,$Z124))</f>
        <v/>
      </c>
      <c r="F124" s="29">
        <f>IF($C124="","",INDEX($Q$12:$Q$372,$Z124))</f>
        <v/>
      </c>
      <c r="G124" s="248">
        <f>IF($C124="","",INDEX($R$12:$R$372,$Z124))</f>
        <v/>
      </c>
      <c r="H124" s="248">
        <f>IF($C124="","",INDEX($S$12:$S$372,$Z124))</f>
        <v/>
      </c>
      <c r="I124" s="248">
        <f>IF($C124="","",N($I123)+$G124-$H124)</f>
        <v/>
      </c>
      <c r="J124" s="6" t="n"/>
      <c r="K124" s="6" t="n"/>
      <c r="L124" s="3" t="n"/>
      <c r="M124" s="3" t="n">
        <v>113</v>
      </c>
      <c r="N124" s="3">
        <f>IF(OR($U124=0,$W124="",$X124&lt;=0),"",IF($W124&gt;TODAY(),"",IF(AND(INDEX(UCRETLER!$E$7:$E$406,$U124)&lt;&gt;"",$W124&gt;INDEX(UCRETLER!$E$7:$E$406,$U124)),"",$W124)))</f>
        <v/>
      </c>
      <c r="O124" s="3">
        <f>IF($N124="","",IF(INDEX(UCRETLER!$F$7:$F$406,$U124)="Aylık",TEXT($N124,"mmmm yyyy")&amp;" aylık muhasebe hizmet ücreti",TEXT($N124,"dd.mm.yyyy")&amp;" haftalık muhasebe hizmet ücreti"))</f>
        <v/>
      </c>
      <c r="P124" s="3">
        <f>IF($N124="","","TAHAKKUK")</f>
        <v/>
      </c>
      <c r="Q124" s="3">
        <f>IF($N124="","","600 Muhasebe Hizmet Geliri")</f>
        <v/>
      </c>
      <c r="R124" s="3">
        <f>IF($N124="",0,$X124)</f>
        <v/>
      </c>
      <c r="S124" s="3" t="n">
        <v>0</v>
      </c>
      <c r="T124" s="3">
        <f>IF($N124="",10000000000,$N124*100000+$M124)</f>
        <v/>
      </c>
      <c r="U124" s="3">
        <f>$AB$5</f>
        <v/>
      </c>
      <c r="V124" s="3" t="n">
        <v>32</v>
      </c>
      <c r="W124" s="3">
        <f>IF($U124=0,"",IF(INDEX(UCRETLER!$D$7:$D$406,$U124)="","",IF(INDEX(UCRETLER!$F$7:$F$406,$U124)="Aylık",EOMONTH(INDEX(UCRETLER!$D$7:$D$406,$U124),$V124-1),INDEX(UCRETLER!$D$7:$D$406,$U124)+MOD(SISTEM!$F$8-WEEKDAY(INDEX(UCRETLER!$D$7:$D$406,$U124),2),7)+7*($V124-1))))</f>
        <v/>
      </c>
      <c r="X124" s="3">
        <f>IF($U124=0,0,INDEX(UCRETLER!$G$7:$G$406,$U124))</f>
        <v/>
      </c>
      <c r="Y124" s="3">
        <f>IFERROR(SMALL($T$12:$T$372,ROW()-11),"")</f>
        <v/>
      </c>
      <c r="Z124" s="3">
        <f>IFERROR(MATCH($Y124,$T$12:$T$372,0),"")</f>
        <v/>
      </c>
      <c r="AA124" s="3" t="n"/>
      <c r="AB124" s="3" t="n"/>
      <c r="AC124" s="3" t="n"/>
    </row>
    <row r="125">
      <c r="A125" s="6" t="n"/>
      <c r="B125" s="158">
        <f>IF($C125="","",ROW()-11)</f>
        <v/>
      </c>
      <c r="C125" s="247">
        <f>IF($Z125="","",IF(INDEX($N$12:$N$372,$Z125)="","",INDEX($N$12:$N$372,$Z125)))</f>
        <v/>
      </c>
      <c r="D125" s="29">
        <f>IF($C125="","",INDEX($O$12:$O$372,$Z125))</f>
        <v/>
      </c>
      <c r="E125" s="158">
        <f>IF($C125="","",INDEX($P$12:$P$372,$Z125))</f>
        <v/>
      </c>
      <c r="F125" s="29">
        <f>IF($C125="","",INDEX($Q$12:$Q$372,$Z125))</f>
        <v/>
      </c>
      <c r="G125" s="248">
        <f>IF($C125="","",INDEX($R$12:$R$372,$Z125))</f>
        <v/>
      </c>
      <c r="H125" s="248">
        <f>IF($C125="","",INDEX($S$12:$S$372,$Z125))</f>
        <v/>
      </c>
      <c r="I125" s="248">
        <f>IF($C125="","",N($I124)+$G125-$H125)</f>
        <v/>
      </c>
      <c r="J125" s="6" t="n"/>
      <c r="K125" s="6" t="n"/>
      <c r="L125" s="3" t="n"/>
      <c r="M125" s="3" t="n">
        <v>114</v>
      </c>
      <c r="N125" s="3">
        <f>IF(OR($U125=0,$W125="",$X125&lt;=0),"",IF($W125&gt;TODAY(),"",IF(AND(INDEX(UCRETLER!$E$7:$E$406,$U125)&lt;&gt;"",$W125&gt;INDEX(UCRETLER!$E$7:$E$406,$U125)),"",$W125)))</f>
        <v/>
      </c>
      <c r="O125" s="3">
        <f>IF($N125="","",IF(INDEX(UCRETLER!$F$7:$F$406,$U125)="Aylık",TEXT($N125,"mmmm yyyy")&amp;" aylık muhasebe hizmet ücreti",TEXT($N125,"dd.mm.yyyy")&amp;" haftalık muhasebe hizmet ücreti"))</f>
        <v/>
      </c>
      <c r="P125" s="3">
        <f>IF($N125="","","TAHAKKUK")</f>
        <v/>
      </c>
      <c r="Q125" s="3">
        <f>IF($N125="","","600 Muhasebe Hizmet Geliri")</f>
        <v/>
      </c>
      <c r="R125" s="3">
        <f>IF($N125="",0,$X125)</f>
        <v/>
      </c>
      <c r="S125" s="3" t="n">
        <v>0</v>
      </c>
      <c r="T125" s="3">
        <f>IF($N125="",10000000000,$N125*100000+$M125)</f>
        <v/>
      </c>
      <c r="U125" s="3">
        <f>$AB$5</f>
        <v/>
      </c>
      <c r="V125" s="3" t="n">
        <v>33</v>
      </c>
      <c r="W125" s="3">
        <f>IF($U125=0,"",IF(INDEX(UCRETLER!$D$7:$D$406,$U125)="","",IF(INDEX(UCRETLER!$F$7:$F$406,$U125)="Aylık",EOMONTH(INDEX(UCRETLER!$D$7:$D$406,$U125),$V125-1),INDEX(UCRETLER!$D$7:$D$406,$U125)+MOD(SISTEM!$F$8-WEEKDAY(INDEX(UCRETLER!$D$7:$D$406,$U125),2),7)+7*($V125-1))))</f>
        <v/>
      </c>
      <c r="X125" s="3">
        <f>IF($U125=0,0,INDEX(UCRETLER!$G$7:$G$406,$U125))</f>
        <v/>
      </c>
      <c r="Y125" s="3">
        <f>IFERROR(SMALL($T$12:$T$372,ROW()-11),"")</f>
        <v/>
      </c>
      <c r="Z125" s="3">
        <f>IFERROR(MATCH($Y125,$T$12:$T$372,0),"")</f>
        <v/>
      </c>
      <c r="AA125" s="3" t="n"/>
      <c r="AB125" s="3" t="n"/>
      <c r="AC125" s="3" t="n"/>
    </row>
    <row r="126">
      <c r="A126" s="6" t="n"/>
      <c r="B126" s="158">
        <f>IF($C126="","",ROW()-11)</f>
        <v/>
      </c>
      <c r="C126" s="247">
        <f>IF($Z126="","",IF(INDEX($N$12:$N$372,$Z126)="","",INDEX($N$12:$N$372,$Z126)))</f>
        <v/>
      </c>
      <c r="D126" s="29">
        <f>IF($C126="","",INDEX($O$12:$O$372,$Z126))</f>
        <v/>
      </c>
      <c r="E126" s="158">
        <f>IF($C126="","",INDEX($P$12:$P$372,$Z126))</f>
        <v/>
      </c>
      <c r="F126" s="29">
        <f>IF($C126="","",INDEX($Q$12:$Q$372,$Z126))</f>
        <v/>
      </c>
      <c r="G126" s="248">
        <f>IF($C126="","",INDEX($R$12:$R$372,$Z126))</f>
        <v/>
      </c>
      <c r="H126" s="248">
        <f>IF($C126="","",INDEX($S$12:$S$372,$Z126))</f>
        <v/>
      </c>
      <c r="I126" s="248">
        <f>IF($C126="","",N($I125)+$G126-$H126)</f>
        <v/>
      </c>
      <c r="J126" s="6" t="n"/>
      <c r="K126" s="6" t="n"/>
      <c r="L126" s="3" t="n"/>
      <c r="M126" s="3" t="n">
        <v>115</v>
      </c>
      <c r="N126" s="3">
        <f>IF(OR($U126=0,$W126="",$X126&lt;=0),"",IF($W126&gt;TODAY(),"",IF(AND(INDEX(UCRETLER!$E$7:$E$406,$U126)&lt;&gt;"",$W126&gt;INDEX(UCRETLER!$E$7:$E$406,$U126)),"",$W126)))</f>
        <v/>
      </c>
      <c r="O126" s="3">
        <f>IF($N126="","",IF(INDEX(UCRETLER!$F$7:$F$406,$U126)="Aylık",TEXT($N126,"mmmm yyyy")&amp;" aylık muhasebe hizmet ücreti",TEXT($N126,"dd.mm.yyyy")&amp;" haftalık muhasebe hizmet ücreti"))</f>
        <v/>
      </c>
      <c r="P126" s="3">
        <f>IF($N126="","","TAHAKKUK")</f>
        <v/>
      </c>
      <c r="Q126" s="3">
        <f>IF($N126="","","600 Muhasebe Hizmet Geliri")</f>
        <v/>
      </c>
      <c r="R126" s="3">
        <f>IF($N126="",0,$X126)</f>
        <v/>
      </c>
      <c r="S126" s="3" t="n">
        <v>0</v>
      </c>
      <c r="T126" s="3">
        <f>IF($N126="",10000000000,$N126*100000+$M126)</f>
        <v/>
      </c>
      <c r="U126" s="3">
        <f>$AB$5</f>
        <v/>
      </c>
      <c r="V126" s="3" t="n">
        <v>34</v>
      </c>
      <c r="W126" s="3">
        <f>IF($U126=0,"",IF(INDEX(UCRETLER!$D$7:$D$406,$U126)="","",IF(INDEX(UCRETLER!$F$7:$F$406,$U126)="Aylık",EOMONTH(INDEX(UCRETLER!$D$7:$D$406,$U126),$V126-1),INDEX(UCRETLER!$D$7:$D$406,$U126)+MOD(SISTEM!$F$8-WEEKDAY(INDEX(UCRETLER!$D$7:$D$406,$U126),2),7)+7*($V126-1))))</f>
        <v/>
      </c>
      <c r="X126" s="3">
        <f>IF($U126=0,0,INDEX(UCRETLER!$G$7:$G$406,$U126))</f>
        <v/>
      </c>
      <c r="Y126" s="3">
        <f>IFERROR(SMALL($T$12:$T$372,ROW()-11),"")</f>
        <v/>
      </c>
      <c r="Z126" s="3">
        <f>IFERROR(MATCH($Y126,$T$12:$T$372,0),"")</f>
        <v/>
      </c>
      <c r="AA126" s="3" t="n"/>
      <c r="AB126" s="3" t="n"/>
      <c r="AC126" s="3" t="n"/>
    </row>
    <row r="127">
      <c r="A127" s="6" t="n"/>
      <c r="B127" s="158">
        <f>IF($C127="","",ROW()-11)</f>
        <v/>
      </c>
      <c r="C127" s="247">
        <f>IF($Z127="","",IF(INDEX($N$12:$N$372,$Z127)="","",INDEX($N$12:$N$372,$Z127)))</f>
        <v/>
      </c>
      <c r="D127" s="29">
        <f>IF($C127="","",INDEX($O$12:$O$372,$Z127))</f>
        <v/>
      </c>
      <c r="E127" s="158">
        <f>IF($C127="","",INDEX($P$12:$P$372,$Z127))</f>
        <v/>
      </c>
      <c r="F127" s="29">
        <f>IF($C127="","",INDEX($Q$12:$Q$372,$Z127))</f>
        <v/>
      </c>
      <c r="G127" s="248">
        <f>IF($C127="","",INDEX($R$12:$R$372,$Z127))</f>
        <v/>
      </c>
      <c r="H127" s="248">
        <f>IF($C127="","",INDEX($S$12:$S$372,$Z127))</f>
        <v/>
      </c>
      <c r="I127" s="248">
        <f>IF($C127="","",N($I126)+$G127-$H127)</f>
        <v/>
      </c>
      <c r="J127" s="6" t="n"/>
      <c r="K127" s="6" t="n"/>
      <c r="L127" s="3" t="n"/>
      <c r="M127" s="3" t="n">
        <v>116</v>
      </c>
      <c r="N127" s="3">
        <f>IF(OR($U127=0,$W127="",$X127&lt;=0),"",IF($W127&gt;TODAY(),"",IF(AND(INDEX(UCRETLER!$E$7:$E$406,$U127)&lt;&gt;"",$W127&gt;INDEX(UCRETLER!$E$7:$E$406,$U127)),"",$W127)))</f>
        <v/>
      </c>
      <c r="O127" s="3">
        <f>IF($N127="","",IF(INDEX(UCRETLER!$F$7:$F$406,$U127)="Aylık",TEXT($N127,"mmmm yyyy")&amp;" aylık muhasebe hizmet ücreti",TEXT($N127,"dd.mm.yyyy")&amp;" haftalık muhasebe hizmet ücreti"))</f>
        <v/>
      </c>
      <c r="P127" s="3">
        <f>IF($N127="","","TAHAKKUK")</f>
        <v/>
      </c>
      <c r="Q127" s="3">
        <f>IF($N127="","","600 Muhasebe Hizmet Geliri")</f>
        <v/>
      </c>
      <c r="R127" s="3">
        <f>IF($N127="",0,$X127)</f>
        <v/>
      </c>
      <c r="S127" s="3" t="n">
        <v>0</v>
      </c>
      <c r="T127" s="3">
        <f>IF($N127="",10000000000,$N127*100000+$M127)</f>
        <v/>
      </c>
      <c r="U127" s="3">
        <f>$AB$5</f>
        <v/>
      </c>
      <c r="V127" s="3" t="n">
        <v>35</v>
      </c>
      <c r="W127" s="3">
        <f>IF($U127=0,"",IF(INDEX(UCRETLER!$D$7:$D$406,$U127)="","",IF(INDEX(UCRETLER!$F$7:$F$406,$U127)="Aylık",EOMONTH(INDEX(UCRETLER!$D$7:$D$406,$U127),$V127-1),INDEX(UCRETLER!$D$7:$D$406,$U127)+MOD(SISTEM!$F$8-WEEKDAY(INDEX(UCRETLER!$D$7:$D$406,$U127),2),7)+7*($V127-1))))</f>
        <v/>
      </c>
      <c r="X127" s="3">
        <f>IF($U127=0,0,INDEX(UCRETLER!$G$7:$G$406,$U127))</f>
        <v/>
      </c>
      <c r="Y127" s="3">
        <f>IFERROR(SMALL($T$12:$T$372,ROW()-11),"")</f>
        <v/>
      </c>
      <c r="Z127" s="3">
        <f>IFERROR(MATCH($Y127,$T$12:$T$372,0),"")</f>
        <v/>
      </c>
      <c r="AA127" s="3" t="n"/>
      <c r="AB127" s="3" t="n"/>
      <c r="AC127" s="3" t="n"/>
    </row>
    <row r="128">
      <c r="A128" s="6" t="n"/>
      <c r="B128" s="158">
        <f>IF($C128="","",ROW()-11)</f>
        <v/>
      </c>
      <c r="C128" s="247">
        <f>IF($Z128="","",IF(INDEX($N$12:$N$372,$Z128)="","",INDEX($N$12:$N$372,$Z128)))</f>
        <v/>
      </c>
      <c r="D128" s="29">
        <f>IF($C128="","",INDEX($O$12:$O$372,$Z128))</f>
        <v/>
      </c>
      <c r="E128" s="158">
        <f>IF($C128="","",INDEX($P$12:$P$372,$Z128))</f>
        <v/>
      </c>
      <c r="F128" s="29">
        <f>IF($C128="","",INDEX($Q$12:$Q$372,$Z128))</f>
        <v/>
      </c>
      <c r="G128" s="248">
        <f>IF($C128="","",INDEX($R$12:$R$372,$Z128))</f>
        <v/>
      </c>
      <c r="H128" s="248">
        <f>IF($C128="","",INDEX($S$12:$S$372,$Z128))</f>
        <v/>
      </c>
      <c r="I128" s="248">
        <f>IF($C128="","",N($I127)+$G128-$H128)</f>
        <v/>
      </c>
      <c r="J128" s="6" t="n"/>
      <c r="K128" s="6" t="n"/>
      <c r="L128" s="3" t="n"/>
      <c r="M128" s="3" t="n">
        <v>117</v>
      </c>
      <c r="N128" s="3">
        <f>IF(OR($U128=0,$W128="",$X128&lt;=0),"",IF($W128&gt;TODAY(),"",IF(AND(INDEX(UCRETLER!$E$7:$E$406,$U128)&lt;&gt;"",$W128&gt;INDEX(UCRETLER!$E$7:$E$406,$U128)),"",$W128)))</f>
        <v/>
      </c>
      <c r="O128" s="3">
        <f>IF($N128="","",IF(INDEX(UCRETLER!$F$7:$F$406,$U128)="Aylık",TEXT($N128,"mmmm yyyy")&amp;" aylık muhasebe hizmet ücreti",TEXT($N128,"dd.mm.yyyy")&amp;" haftalık muhasebe hizmet ücreti"))</f>
        <v/>
      </c>
      <c r="P128" s="3">
        <f>IF($N128="","","TAHAKKUK")</f>
        <v/>
      </c>
      <c r="Q128" s="3">
        <f>IF($N128="","","600 Muhasebe Hizmet Geliri")</f>
        <v/>
      </c>
      <c r="R128" s="3">
        <f>IF($N128="",0,$X128)</f>
        <v/>
      </c>
      <c r="S128" s="3" t="n">
        <v>0</v>
      </c>
      <c r="T128" s="3">
        <f>IF($N128="",10000000000,$N128*100000+$M128)</f>
        <v/>
      </c>
      <c r="U128" s="3">
        <f>$AB$5</f>
        <v/>
      </c>
      <c r="V128" s="3" t="n">
        <v>36</v>
      </c>
      <c r="W128" s="3">
        <f>IF($U128=0,"",IF(INDEX(UCRETLER!$D$7:$D$406,$U128)="","",IF(INDEX(UCRETLER!$F$7:$F$406,$U128)="Aylık",EOMONTH(INDEX(UCRETLER!$D$7:$D$406,$U128),$V128-1),INDEX(UCRETLER!$D$7:$D$406,$U128)+MOD(SISTEM!$F$8-WEEKDAY(INDEX(UCRETLER!$D$7:$D$406,$U128),2),7)+7*($V128-1))))</f>
        <v/>
      </c>
      <c r="X128" s="3">
        <f>IF($U128=0,0,INDEX(UCRETLER!$G$7:$G$406,$U128))</f>
        <v/>
      </c>
      <c r="Y128" s="3">
        <f>IFERROR(SMALL($T$12:$T$372,ROW()-11),"")</f>
        <v/>
      </c>
      <c r="Z128" s="3">
        <f>IFERROR(MATCH($Y128,$T$12:$T$372,0),"")</f>
        <v/>
      </c>
      <c r="AA128" s="3" t="n"/>
      <c r="AB128" s="3" t="n"/>
      <c r="AC128" s="3" t="n"/>
    </row>
    <row r="129">
      <c r="A129" s="6" t="n"/>
      <c r="B129" s="158">
        <f>IF($C129="","",ROW()-11)</f>
        <v/>
      </c>
      <c r="C129" s="247">
        <f>IF($Z129="","",IF(INDEX($N$12:$N$372,$Z129)="","",INDEX($N$12:$N$372,$Z129)))</f>
        <v/>
      </c>
      <c r="D129" s="29">
        <f>IF($C129="","",INDEX($O$12:$O$372,$Z129))</f>
        <v/>
      </c>
      <c r="E129" s="158">
        <f>IF($C129="","",INDEX($P$12:$P$372,$Z129))</f>
        <v/>
      </c>
      <c r="F129" s="29">
        <f>IF($C129="","",INDEX($Q$12:$Q$372,$Z129))</f>
        <v/>
      </c>
      <c r="G129" s="248">
        <f>IF($C129="","",INDEX($R$12:$R$372,$Z129))</f>
        <v/>
      </c>
      <c r="H129" s="248">
        <f>IF($C129="","",INDEX($S$12:$S$372,$Z129))</f>
        <v/>
      </c>
      <c r="I129" s="248">
        <f>IF($C129="","",N($I128)+$G129-$H129)</f>
        <v/>
      </c>
      <c r="J129" s="6" t="n"/>
      <c r="K129" s="6" t="n"/>
      <c r="L129" s="3" t="n"/>
      <c r="M129" s="3" t="n">
        <v>118</v>
      </c>
      <c r="N129" s="3">
        <f>IF(OR($U129=0,$W129="",$X129&lt;=0),"",IF($W129&gt;TODAY(),"",IF(AND(INDEX(UCRETLER!$E$7:$E$406,$U129)&lt;&gt;"",$W129&gt;INDEX(UCRETLER!$E$7:$E$406,$U129)),"",$W129)))</f>
        <v/>
      </c>
      <c r="O129" s="3">
        <f>IF($N129="","",IF(INDEX(UCRETLER!$F$7:$F$406,$U129)="Aylık",TEXT($N129,"mmmm yyyy")&amp;" aylık muhasebe hizmet ücreti",TEXT($N129,"dd.mm.yyyy")&amp;" haftalık muhasebe hizmet ücreti"))</f>
        <v/>
      </c>
      <c r="P129" s="3">
        <f>IF($N129="","","TAHAKKUK")</f>
        <v/>
      </c>
      <c r="Q129" s="3">
        <f>IF($N129="","","600 Muhasebe Hizmet Geliri")</f>
        <v/>
      </c>
      <c r="R129" s="3">
        <f>IF($N129="",0,$X129)</f>
        <v/>
      </c>
      <c r="S129" s="3" t="n">
        <v>0</v>
      </c>
      <c r="T129" s="3">
        <f>IF($N129="",10000000000,$N129*100000+$M129)</f>
        <v/>
      </c>
      <c r="U129" s="3">
        <f>$AB$5</f>
        <v/>
      </c>
      <c r="V129" s="3" t="n">
        <v>37</v>
      </c>
      <c r="W129" s="3">
        <f>IF($U129=0,"",IF(INDEX(UCRETLER!$D$7:$D$406,$U129)="","",IF(INDEX(UCRETLER!$F$7:$F$406,$U129)="Aylık",EOMONTH(INDEX(UCRETLER!$D$7:$D$406,$U129),$V129-1),INDEX(UCRETLER!$D$7:$D$406,$U129)+MOD(SISTEM!$F$8-WEEKDAY(INDEX(UCRETLER!$D$7:$D$406,$U129),2),7)+7*($V129-1))))</f>
        <v/>
      </c>
      <c r="X129" s="3">
        <f>IF($U129=0,0,INDEX(UCRETLER!$G$7:$G$406,$U129))</f>
        <v/>
      </c>
      <c r="Y129" s="3">
        <f>IFERROR(SMALL($T$12:$T$372,ROW()-11),"")</f>
        <v/>
      </c>
      <c r="Z129" s="3">
        <f>IFERROR(MATCH($Y129,$T$12:$T$372,0),"")</f>
        <v/>
      </c>
      <c r="AA129" s="3" t="n"/>
      <c r="AB129" s="3" t="n"/>
      <c r="AC129" s="3" t="n"/>
    </row>
    <row r="130">
      <c r="A130" s="6" t="n"/>
      <c r="B130" s="158">
        <f>IF($C130="","",ROW()-11)</f>
        <v/>
      </c>
      <c r="C130" s="247">
        <f>IF($Z130="","",IF(INDEX($N$12:$N$372,$Z130)="","",INDEX($N$12:$N$372,$Z130)))</f>
        <v/>
      </c>
      <c r="D130" s="29">
        <f>IF($C130="","",INDEX($O$12:$O$372,$Z130))</f>
        <v/>
      </c>
      <c r="E130" s="158">
        <f>IF($C130="","",INDEX($P$12:$P$372,$Z130))</f>
        <v/>
      </c>
      <c r="F130" s="29">
        <f>IF($C130="","",INDEX($Q$12:$Q$372,$Z130))</f>
        <v/>
      </c>
      <c r="G130" s="248">
        <f>IF($C130="","",INDEX($R$12:$R$372,$Z130))</f>
        <v/>
      </c>
      <c r="H130" s="248">
        <f>IF($C130="","",INDEX($S$12:$S$372,$Z130))</f>
        <v/>
      </c>
      <c r="I130" s="248">
        <f>IF($C130="","",N($I129)+$G130-$H130)</f>
        <v/>
      </c>
      <c r="J130" s="6" t="n"/>
      <c r="K130" s="6" t="n"/>
      <c r="L130" s="3" t="n"/>
      <c r="M130" s="3" t="n">
        <v>119</v>
      </c>
      <c r="N130" s="3">
        <f>IF(OR($U130=0,$W130="",$X130&lt;=0),"",IF($W130&gt;TODAY(),"",IF(AND(INDEX(UCRETLER!$E$7:$E$406,$U130)&lt;&gt;"",$W130&gt;INDEX(UCRETLER!$E$7:$E$406,$U130)),"",$W130)))</f>
        <v/>
      </c>
      <c r="O130" s="3">
        <f>IF($N130="","",IF(INDEX(UCRETLER!$F$7:$F$406,$U130)="Aylık",TEXT($N130,"mmmm yyyy")&amp;" aylık muhasebe hizmet ücreti",TEXT($N130,"dd.mm.yyyy")&amp;" haftalık muhasebe hizmet ücreti"))</f>
        <v/>
      </c>
      <c r="P130" s="3">
        <f>IF($N130="","","TAHAKKUK")</f>
        <v/>
      </c>
      <c r="Q130" s="3">
        <f>IF($N130="","","600 Muhasebe Hizmet Geliri")</f>
        <v/>
      </c>
      <c r="R130" s="3">
        <f>IF($N130="",0,$X130)</f>
        <v/>
      </c>
      <c r="S130" s="3" t="n">
        <v>0</v>
      </c>
      <c r="T130" s="3">
        <f>IF($N130="",10000000000,$N130*100000+$M130)</f>
        <v/>
      </c>
      <c r="U130" s="3">
        <f>$AB$5</f>
        <v/>
      </c>
      <c r="V130" s="3" t="n">
        <v>38</v>
      </c>
      <c r="W130" s="3">
        <f>IF($U130=0,"",IF(INDEX(UCRETLER!$D$7:$D$406,$U130)="","",IF(INDEX(UCRETLER!$F$7:$F$406,$U130)="Aylık",EOMONTH(INDEX(UCRETLER!$D$7:$D$406,$U130),$V130-1),INDEX(UCRETLER!$D$7:$D$406,$U130)+MOD(SISTEM!$F$8-WEEKDAY(INDEX(UCRETLER!$D$7:$D$406,$U130),2),7)+7*($V130-1))))</f>
        <v/>
      </c>
      <c r="X130" s="3">
        <f>IF($U130=0,0,INDEX(UCRETLER!$G$7:$G$406,$U130))</f>
        <v/>
      </c>
      <c r="Y130" s="3">
        <f>IFERROR(SMALL($T$12:$T$372,ROW()-11),"")</f>
        <v/>
      </c>
      <c r="Z130" s="3">
        <f>IFERROR(MATCH($Y130,$T$12:$T$372,0),"")</f>
        <v/>
      </c>
      <c r="AA130" s="3" t="n"/>
      <c r="AB130" s="3" t="n"/>
      <c r="AC130" s="3" t="n"/>
    </row>
    <row r="131">
      <c r="A131" s="6" t="n"/>
      <c r="B131" s="158">
        <f>IF($C131="","",ROW()-11)</f>
        <v/>
      </c>
      <c r="C131" s="247">
        <f>IF($Z131="","",IF(INDEX($N$12:$N$372,$Z131)="","",INDEX($N$12:$N$372,$Z131)))</f>
        <v/>
      </c>
      <c r="D131" s="29">
        <f>IF($C131="","",INDEX($O$12:$O$372,$Z131))</f>
        <v/>
      </c>
      <c r="E131" s="158">
        <f>IF($C131="","",INDEX($P$12:$P$372,$Z131))</f>
        <v/>
      </c>
      <c r="F131" s="29">
        <f>IF($C131="","",INDEX($Q$12:$Q$372,$Z131))</f>
        <v/>
      </c>
      <c r="G131" s="248">
        <f>IF($C131="","",INDEX($R$12:$R$372,$Z131))</f>
        <v/>
      </c>
      <c r="H131" s="248">
        <f>IF($C131="","",INDEX($S$12:$S$372,$Z131))</f>
        <v/>
      </c>
      <c r="I131" s="248">
        <f>IF($C131="","",N($I130)+$G131-$H131)</f>
        <v/>
      </c>
      <c r="J131" s="6" t="n"/>
      <c r="K131" s="6" t="n"/>
      <c r="L131" s="3" t="n"/>
      <c r="M131" s="3" t="n">
        <v>120</v>
      </c>
      <c r="N131" s="3">
        <f>IF(OR($U131=0,$W131="",$X131&lt;=0),"",IF($W131&gt;TODAY(),"",IF(AND(INDEX(UCRETLER!$E$7:$E$406,$U131)&lt;&gt;"",$W131&gt;INDEX(UCRETLER!$E$7:$E$406,$U131)),"",$W131)))</f>
        <v/>
      </c>
      <c r="O131" s="3">
        <f>IF($N131="","",IF(INDEX(UCRETLER!$F$7:$F$406,$U131)="Aylık",TEXT($N131,"mmmm yyyy")&amp;" aylık muhasebe hizmet ücreti",TEXT($N131,"dd.mm.yyyy")&amp;" haftalık muhasebe hizmet ücreti"))</f>
        <v/>
      </c>
      <c r="P131" s="3">
        <f>IF($N131="","","TAHAKKUK")</f>
        <v/>
      </c>
      <c r="Q131" s="3">
        <f>IF($N131="","","600 Muhasebe Hizmet Geliri")</f>
        <v/>
      </c>
      <c r="R131" s="3">
        <f>IF($N131="",0,$X131)</f>
        <v/>
      </c>
      <c r="S131" s="3" t="n">
        <v>0</v>
      </c>
      <c r="T131" s="3">
        <f>IF($N131="",10000000000,$N131*100000+$M131)</f>
        <v/>
      </c>
      <c r="U131" s="3">
        <f>$AB$5</f>
        <v/>
      </c>
      <c r="V131" s="3" t="n">
        <v>39</v>
      </c>
      <c r="W131" s="3">
        <f>IF($U131=0,"",IF(INDEX(UCRETLER!$D$7:$D$406,$U131)="","",IF(INDEX(UCRETLER!$F$7:$F$406,$U131)="Aylık",EOMONTH(INDEX(UCRETLER!$D$7:$D$406,$U131),$V131-1),INDEX(UCRETLER!$D$7:$D$406,$U131)+MOD(SISTEM!$F$8-WEEKDAY(INDEX(UCRETLER!$D$7:$D$406,$U131),2),7)+7*($V131-1))))</f>
        <v/>
      </c>
      <c r="X131" s="3">
        <f>IF($U131=0,0,INDEX(UCRETLER!$G$7:$G$406,$U131))</f>
        <v/>
      </c>
      <c r="Y131" s="3">
        <f>IFERROR(SMALL($T$12:$T$372,ROW()-11),"")</f>
        <v/>
      </c>
      <c r="Z131" s="3">
        <f>IFERROR(MATCH($Y131,$T$12:$T$372,0),"")</f>
        <v/>
      </c>
      <c r="AA131" s="3" t="n"/>
      <c r="AB131" s="3" t="n"/>
      <c r="AC131" s="3" t="n"/>
    </row>
    <row r="132">
      <c r="A132" s="6" t="n"/>
      <c r="B132" s="158">
        <f>IF($C132="","",ROW()-11)</f>
        <v/>
      </c>
      <c r="C132" s="247">
        <f>IF($Z132="","",IF(INDEX($N$12:$N$372,$Z132)="","",INDEX($N$12:$N$372,$Z132)))</f>
        <v/>
      </c>
      <c r="D132" s="29">
        <f>IF($C132="","",INDEX($O$12:$O$372,$Z132))</f>
        <v/>
      </c>
      <c r="E132" s="158">
        <f>IF($C132="","",INDEX($P$12:$P$372,$Z132))</f>
        <v/>
      </c>
      <c r="F132" s="29">
        <f>IF($C132="","",INDEX($Q$12:$Q$372,$Z132))</f>
        <v/>
      </c>
      <c r="G132" s="248">
        <f>IF($C132="","",INDEX($R$12:$R$372,$Z132))</f>
        <v/>
      </c>
      <c r="H132" s="248">
        <f>IF($C132="","",INDEX($S$12:$S$372,$Z132))</f>
        <v/>
      </c>
      <c r="I132" s="248">
        <f>IF($C132="","",N($I131)+$G132-$H132)</f>
        <v/>
      </c>
      <c r="J132" s="6" t="n"/>
      <c r="K132" s="6" t="n"/>
      <c r="L132" s="3" t="n"/>
      <c r="M132" s="3" t="n">
        <v>121</v>
      </c>
      <c r="N132" s="3">
        <f>IF(OR($U132=0,$W132="",$X132&lt;=0),"",IF($W132&gt;TODAY(),"",IF(AND(INDEX(UCRETLER!$E$7:$E$406,$U132)&lt;&gt;"",$W132&gt;INDEX(UCRETLER!$E$7:$E$406,$U132)),"",$W132)))</f>
        <v/>
      </c>
      <c r="O132" s="3">
        <f>IF($N132="","",IF(INDEX(UCRETLER!$F$7:$F$406,$U132)="Aylık",TEXT($N132,"mmmm yyyy")&amp;" aylık muhasebe hizmet ücreti",TEXT($N132,"dd.mm.yyyy")&amp;" haftalık muhasebe hizmet ücreti"))</f>
        <v/>
      </c>
      <c r="P132" s="3">
        <f>IF($N132="","","TAHAKKUK")</f>
        <v/>
      </c>
      <c r="Q132" s="3">
        <f>IF($N132="","","600 Muhasebe Hizmet Geliri")</f>
        <v/>
      </c>
      <c r="R132" s="3">
        <f>IF($N132="",0,$X132)</f>
        <v/>
      </c>
      <c r="S132" s="3" t="n">
        <v>0</v>
      </c>
      <c r="T132" s="3">
        <f>IF($N132="",10000000000,$N132*100000+$M132)</f>
        <v/>
      </c>
      <c r="U132" s="3">
        <f>$AB$5</f>
        <v/>
      </c>
      <c r="V132" s="3" t="n">
        <v>40</v>
      </c>
      <c r="W132" s="3">
        <f>IF($U132=0,"",IF(INDEX(UCRETLER!$D$7:$D$406,$U132)="","",IF(INDEX(UCRETLER!$F$7:$F$406,$U132)="Aylık",EOMONTH(INDEX(UCRETLER!$D$7:$D$406,$U132),$V132-1),INDEX(UCRETLER!$D$7:$D$406,$U132)+MOD(SISTEM!$F$8-WEEKDAY(INDEX(UCRETLER!$D$7:$D$406,$U132),2),7)+7*($V132-1))))</f>
        <v/>
      </c>
      <c r="X132" s="3">
        <f>IF($U132=0,0,INDEX(UCRETLER!$G$7:$G$406,$U132))</f>
        <v/>
      </c>
      <c r="Y132" s="3">
        <f>IFERROR(SMALL($T$12:$T$372,ROW()-11),"")</f>
        <v/>
      </c>
      <c r="Z132" s="3">
        <f>IFERROR(MATCH($Y132,$T$12:$T$372,0),"")</f>
        <v/>
      </c>
      <c r="AA132" s="3" t="n"/>
      <c r="AB132" s="3" t="n"/>
      <c r="AC132" s="3" t="n"/>
    </row>
    <row r="133">
      <c r="A133" s="6" t="n"/>
      <c r="B133" s="158">
        <f>IF($C133="","",ROW()-11)</f>
        <v/>
      </c>
      <c r="C133" s="247">
        <f>IF($Z133="","",IF(INDEX($N$12:$N$372,$Z133)="","",INDEX($N$12:$N$372,$Z133)))</f>
        <v/>
      </c>
      <c r="D133" s="29">
        <f>IF($C133="","",INDEX($O$12:$O$372,$Z133))</f>
        <v/>
      </c>
      <c r="E133" s="158">
        <f>IF($C133="","",INDEX($P$12:$P$372,$Z133))</f>
        <v/>
      </c>
      <c r="F133" s="29">
        <f>IF($C133="","",INDEX($Q$12:$Q$372,$Z133))</f>
        <v/>
      </c>
      <c r="G133" s="248">
        <f>IF($C133="","",INDEX($R$12:$R$372,$Z133))</f>
        <v/>
      </c>
      <c r="H133" s="248">
        <f>IF($C133="","",INDEX($S$12:$S$372,$Z133))</f>
        <v/>
      </c>
      <c r="I133" s="248">
        <f>IF($C133="","",N($I132)+$G133-$H133)</f>
        <v/>
      </c>
      <c r="J133" s="6" t="n"/>
      <c r="K133" s="6" t="n"/>
      <c r="L133" s="3" t="n"/>
      <c r="M133" s="3" t="n">
        <v>122</v>
      </c>
      <c r="N133" s="3">
        <f>IF(OR($U133=0,$W133="",$X133&lt;=0),"",IF($W133&gt;TODAY(),"",IF(AND(INDEX(UCRETLER!$E$7:$E$406,$U133)&lt;&gt;"",$W133&gt;INDEX(UCRETLER!$E$7:$E$406,$U133)),"",$W133)))</f>
        <v/>
      </c>
      <c r="O133" s="3">
        <f>IF($N133="","",IF(INDEX(UCRETLER!$F$7:$F$406,$U133)="Aylık",TEXT($N133,"mmmm yyyy")&amp;" aylık muhasebe hizmet ücreti",TEXT($N133,"dd.mm.yyyy")&amp;" haftalık muhasebe hizmet ücreti"))</f>
        <v/>
      </c>
      <c r="P133" s="3">
        <f>IF($N133="","","TAHAKKUK")</f>
        <v/>
      </c>
      <c r="Q133" s="3">
        <f>IF($N133="","","600 Muhasebe Hizmet Geliri")</f>
        <v/>
      </c>
      <c r="R133" s="3">
        <f>IF($N133="",0,$X133)</f>
        <v/>
      </c>
      <c r="S133" s="3" t="n">
        <v>0</v>
      </c>
      <c r="T133" s="3">
        <f>IF($N133="",10000000000,$N133*100000+$M133)</f>
        <v/>
      </c>
      <c r="U133" s="3">
        <f>$AB$5</f>
        <v/>
      </c>
      <c r="V133" s="3" t="n">
        <v>41</v>
      </c>
      <c r="W133" s="3">
        <f>IF($U133=0,"",IF(INDEX(UCRETLER!$D$7:$D$406,$U133)="","",IF(INDEX(UCRETLER!$F$7:$F$406,$U133)="Aylık",EOMONTH(INDEX(UCRETLER!$D$7:$D$406,$U133),$V133-1),INDEX(UCRETLER!$D$7:$D$406,$U133)+MOD(SISTEM!$F$8-WEEKDAY(INDEX(UCRETLER!$D$7:$D$406,$U133),2),7)+7*($V133-1))))</f>
        <v/>
      </c>
      <c r="X133" s="3">
        <f>IF($U133=0,0,INDEX(UCRETLER!$G$7:$G$406,$U133))</f>
        <v/>
      </c>
      <c r="Y133" s="3">
        <f>IFERROR(SMALL($T$12:$T$372,ROW()-11),"")</f>
        <v/>
      </c>
      <c r="Z133" s="3">
        <f>IFERROR(MATCH($Y133,$T$12:$T$372,0),"")</f>
        <v/>
      </c>
      <c r="AA133" s="3" t="n"/>
      <c r="AB133" s="3" t="n"/>
      <c r="AC133" s="3" t="n"/>
    </row>
    <row r="134">
      <c r="A134" s="6" t="n"/>
      <c r="B134" s="158">
        <f>IF($C134="","",ROW()-11)</f>
        <v/>
      </c>
      <c r="C134" s="247">
        <f>IF($Z134="","",IF(INDEX($N$12:$N$372,$Z134)="","",INDEX($N$12:$N$372,$Z134)))</f>
        <v/>
      </c>
      <c r="D134" s="29">
        <f>IF($C134="","",INDEX($O$12:$O$372,$Z134))</f>
        <v/>
      </c>
      <c r="E134" s="158">
        <f>IF($C134="","",INDEX($P$12:$P$372,$Z134))</f>
        <v/>
      </c>
      <c r="F134" s="29">
        <f>IF($C134="","",INDEX($Q$12:$Q$372,$Z134))</f>
        <v/>
      </c>
      <c r="G134" s="248">
        <f>IF($C134="","",INDEX($R$12:$R$372,$Z134))</f>
        <v/>
      </c>
      <c r="H134" s="248">
        <f>IF($C134="","",INDEX($S$12:$S$372,$Z134))</f>
        <v/>
      </c>
      <c r="I134" s="248">
        <f>IF($C134="","",N($I133)+$G134-$H134)</f>
        <v/>
      </c>
      <c r="J134" s="6" t="n"/>
      <c r="K134" s="6" t="n"/>
      <c r="L134" s="3" t="n"/>
      <c r="M134" s="3" t="n">
        <v>123</v>
      </c>
      <c r="N134" s="3">
        <f>IF(OR($U134=0,$W134="",$X134&lt;=0),"",IF($W134&gt;TODAY(),"",IF(AND(INDEX(UCRETLER!$E$7:$E$406,$U134)&lt;&gt;"",$W134&gt;INDEX(UCRETLER!$E$7:$E$406,$U134)),"",$W134)))</f>
        <v/>
      </c>
      <c r="O134" s="3">
        <f>IF($N134="","",IF(INDEX(UCRETLER!$F$7:$F$406,$U134)="Aylık",TEXT($N134,"mmmm yyyy")&amp;" aylık muhasebe hizmet ücreti",TEXT($N134,"dd.mm.yyyy")&amp;" haftalık muhasebe hizmet ücreti"))</f>
        <v/>
      </c>
      <c r="P134" s="3">
        <f>IF($N134="","","TAHAKKUK")</f>
        <v/>
      </c>
      <c r="Q134" s="3">
        <f>IF($N134="","","600 Muhasebe Hizmet Geliri")</f>
        <v/>
      </c>
      <c r="R134" s="3">
        <f>IF($N134="",0,$X134)</f>
        <v/>
      </c>
      <c r="S134" s="3" t="n">
        <v>0</v>
      </c>
      <c r="T134" s="3">
        <f>IF($N134="",10000000000,$N134*100000+$M134)</f>
        <v/>
      </c>
      <c r="U134" s="3">
        <f>$AB$5</f>
        <v/>
      </c>
      <c r="V134" s="3" t="n">
        <v>42</v>
      </c>
      <c r="W134" s="3">
        <f>IF($U134=0,"",IF(INDEX(UCRETLER!$D$7:$D$406,$U134)="","",IF(INDEX(UCRETLER!$F$7:$F$406,$U134)="Aylık",EOMONTH(INDEX(UCRETLER!$D$7:$D$406,$U134),$V134-1),INDEX(UCRETLER!$D$7:$D$406,$U134)+MOD(SISTEM!$F$8-WEEKDAY(INDEX(UCRETLER!$D$7:$D$406,$U134),2),7)+7*($V134-1))))</f>
        <v/>
      </c>
      <c r="X134" s="3">
        <f>IF($U134=0,0,INDEX(UCRETLER!$G$7:$G$406,$U134))</f>
        <v/>
      </c>
      <c r="Y134" s="3">
        <f>IFERROR(SMALL($T$12:$T$372,ROW()-11),"")</f>
        <v/>
      </c>
      <c r="Z134" s="3">
        <f>IFERROR(MATCH($Y134,$T$12:$T$372,0),"")</f>
        <v/>
      </c>
      <c r="AA134" s="3" t="n"/>
      <c r="AB134" s="3" t="n"/>
      <c r="AC134" s="3" t="n"/>
    </row>
    <row r="135">
      <c r="A135" s="6" t="n"/>
      <c r="B135" s="158">
        <f>IF($C135="","",ROW()-11)</f>
        <v/>
      </c>
      <c r="C135" s="247">
        <f>IF($Z135="","",IF(INDEX($N$12:$N$372,$Z135)="","",INDEX($N$12:$N$372,$Z135)))</f>
        <v/>
      </c>
      <c r="D135" s="29">
        <f>IF($C135="","",INDEX($O$12:$O$372,$Z135))</f>
        <v/>
      </c>
      <c r="E135" s="158">
        <f>IF($C135="","",INDEX($P$12:$P$372,$Z135))</f>
        <v/>
      </c>
      <c r="F135" s="29">
        <f>IF($C135="","",INDEX($Q$12:$Q$372,$Z135))</f>
        <v/>
      </c>
      <c r="G135" s="248">
        <f>IF($C135="","",INDEX($R$12:$R$372,$Z135))</f>
        <v/>
      </c>
      <c r="H135" s="248">
        <f>IF($C135="","",INDEX($S$12:$S$372,$Z135))</f>
        <v/>
      </c>
      <c r="I135" s="248">
        <f>IF($C135="","",N($I134)+$G135-$H135)</f>
        <v/>
      </c>
      <c r="J135" s="6" t="n"/>
      <c r="K135" s="6" t="n"/>
      <c r="L135" s="3" t="n"/>
      <c r="M135" s="3" t="n">
        <v>124</v>
      </c>
      <c r="N135" s="3">
        <f>IF(OR($U135=0,$W135="",$X135&lt;=0),"",IF($W135&gt;TODAY(),"",IF(AND(INDEX(UCRETLER!$E$7:$E$406,$U135)&lt;&gt;"",$W135&gt;INDEX(UCRETLER!$E$7:$E$406,$U135)),"",$W135)))</f>
        <v/>
      </c>
      <c r="O135" s="3">
        <f>IF($N135="","",IF(INDEX(UCRETLER!$F$7:$F$406,$U135)="Aylık",TEXT($N135,"mmmm yyyy")&amp;" aylık muhasebe hizmet ücreti",TEXT($N135,"dd.mm.yyyy")&amp;" haftalık muhasebe hizmet ücreti"))</f>
        <v/>
      </c>
      <c r="P135" s="3">
        <f>IF($N135="","","TAHAKKUK")</f>
        <v/>
      </c>
      <c r="Q135" s="3">
        <f>IF($N135="","","600 Muhasebe Hizmet Geliri")</f>
        <v/>
      </c>
      <c r="R135" s="3">
        <f>IF($N135="",0,$X135)</f>
        <v/>
      </c>
      <c r="S135" s="3" t="n">
        <v>0</v>
      </c>
      <c r="T135" s="3">
        <f>IF($N135="",10000000000,$N135*100000+$M135)</f>
        <v/>
      </c>
      <c r="U135" s="3">
        <f>$AB$5</f>
        <v/>
      </c>
      <c r="V135" s="3" t="n">
        <v>43</v>
      </c>
      <c r="W135" s="3">
        <f>IF($U135=0,"",IF(INDEX(UCRETLER!$D$7:$D$406,$U135)="","",IF(INDEX(UCRETLER!$F$7:$F$406,$U135)="Aylık",EOMONTH(INDEX(UCRETLER!$D$7:$D$406,$U135),$V135-1),INDEX(UCRETLER!$D$7:$D$406,$U135)+MOD(SISTEM!$F$8-WEEKDAY(INDEX(UCRETLER!$D$7:$D$406,$U135),2),7)+7*($V135-1))))</f>
        <v/>
      </c>
      <c r="X135" s="3">
        <f>IF($U135=0,0,INDEX(UCRETLER!$G$7:$G$406,$U135))</f>
        <v/>
      </c>
      <c r="Y135" s="3">
        <f>IFERROR(SMALL($T$12:$T$372,ROW()-11),"")</f>
        <v/>
      </c>
      <c r="Z135" s="3">
        <f>IFERROR(MATCH($Y135,$T$12:$T$372,0),"")</f>
        <v/>
      </c>
      <c r="AA135" s="3" t="n"/>
      <c r="AB135" s="3" t="n"/>
      <c r="AC135" s="3" t="n"/>
    </row>
    <row r="136">
      <c r="A136" s="6" t="n"/>
      <c r="B136" s="158">
        <f>IF($C136="","",ROW()-11)</f>
        <v/>
      </c>
      <c r="C136" s="247">
        <f>IF($Z136="","",IF(INDEX($N$12:$N$372,$Z136)="","",INDEX($N$12:$N$372,$Z136)))</f>
        <v/>
      </c>
      <c r="D136" s="29">
        <f>IF($C136="","",INDEX($O$12:$O$372,$Z136))</f>
        <v/>
      </c>
      <c r="E136" s="158">
        <f>IF($C136="","",INDEX($P$12:$P$372,$Z136))</f>
        <v/>
      </c>
      <c r="F136" s="29">
        <f>IF($C136="","",INDEX($Q$12:$Q$372,$Z136))</f>
        <v/>
      </c>
      <c r="G136" s="248">
        <f>IF($C136="","",INDEX($R$12:$R$372,$Z136))</f>
        <v/>
      </c>
      <c r="H136" s="248">
        <f>IF($C136="","",INDEX($S$12:$S$372,$Z136))</f>
        <v/>
      </c>
      <c r="I136" s="248">
        <f>IF($C136="","",N($I135)+$G136-$H136)</f>
        <v/>
      </c>
      <c r="J136" s="6" t="n"/>
      <c r="K136" s="6" t="n"/>
      <c r="L136" s="3" t="n"/>
      <c r="M136" s="3" t="n">
        <v>125</v>
      </c>
      <c r="N136" s="3">
        <f>IF(OR($U136=0,$W136="",$X136&lt;=0),"",IF($W136&gt;TODAY(),"",IF(AND(INDEX(UCRETLER!$E$7:$E$406,$U136)&lt;&gt;"",$W136&gt;INDEX(UCRETLER!$E$7:$E$406,$U136)),"",$W136)))</f>
        <v/>
      </c>
      <c r="O136" s="3">
        <f>IF($N136="","",IF(INDEX(UCRETLER!$F$7:$F$406,$U136)="Aylık",TEXT($N136,"mmmm yyyy")&amp;" aylık muhasebe hizmet ücreti",TEXT($N136,"dd.mm.yyyy")&amp;" haftalık muhasebe hizmet ücreti"))</f>
        <v/>
      </c>
      <c r="P136" s="3">
        <f>IF($N136="","","TAHAKKUK")</f>
        <v/>
      </c>
      <c r="Q136" s="3">
        <f>IF($N136="","","600 Muhasebe Hizmet Geliri")</f>
        <v/>
      </c>
      <c r="R136" s="3">
        <f>IF($N136="",0,$X136)</f>
        <v/>
      </c>
      <c r="S136" s="3" t="n">
        <v>0</v>
      </c>
      <c r="T136" s="3">
        <f>IF($N136="",10000000000,$N136*100000+$M136)</f>
        <v/>
      </c>
      <c r="U136" s="3">
        <f>$AB$5</f>
        <v/>
      </c>
      <c r="V136" s="3" t="n">
        <v>44</v>
      </c>
      <c r="W136" s="3">
        <f>IF($U136=0,"",IF(INDEX(UCRETLER!$D$7:$D$406,$U136)="","",IF(INDEX(UCRETLER!$F$7:$F$406,$U136)="Aylık",EOMONTH(INDEX(UCRETLER!$D$7:$D$406,$U136),$V136-1),INDEX(UCRETLER!$D$7:$D$406,$U136)+MOD(SISTEM!$F$8-WEEKDAY(INDEX(UCRETLER!$D$7:$D$406,$U136),2),7)+7*($V136-1))))</f>
        <v/>
      </c>
      <c r="X136" s="3">
        <f>IF($U136=0,0,INDEX(UCRETLER!$G$7:$G$406,$U136))</f>
        <v/>
      </c>
      <c r="Y136" s="3">
        <f>IFERROR(SMALL($T$12:$T$372,ROW()-11),"")</f>
        <v/>
      </c>
      <c r="Z136" s="3">
        <f>IFERROR(MATCH($Y136,$T$12:$T$372,0),"")</f>
        <v/>
      </c>
      <c r="AA136" s="3" t="n"/>
      <c r="AB136" s="3" t="n"/>
      <c r="AC136" s="3" t="n"/>
    </row>
    <row r="137">
      <c r="A137" s="6" t="n"/>
      <c r="B137" s="158">
        <f>IF($C137="","",ROW()-11)</f>
        <v/>
      </c>
      <c r="C137" s="247">
        <f>IF($Z137="","",IF(INDEX($N$12:$N$372,$Z137)="","",INDEX($N$12:$N$372,$Z137)))</f>
        <v/>
      </c>
      <c r="D137" s="29">
        <f>IF($C137="","",INDEX($O$12:$O$372,$Z137))</f>
        <v/>
      </c>
      <c r="E137" s="158">
        <f>IF($C137="","",INDEX($P$12:$P$372,$Z137))</f>
        <v/>
      </c>
      <c r="F137" s="29">
        <f>IF($C137="","",INDEX($Q$12:$Q$372,$Z137))</f>
        <v/>
      </c>
      <c r="G137" s="248">
        <f>IF($C137="","",INDEX($R$12:$R$372,$Z137))</f>
        <v/>
      </c>
      <c r="H137" s="248">
        <f>IF($C137="","",INDEX($S$12:$S$372,$Z137))</f>
        <v/>
      </c>
      <c r="I137" s="248">
        <f>IF($C137="","",N($I136)+$G137-$H137)</f>
        <v/>
      </c>
      <c r="J137" s="6" t="n"/>
      <c r="K137" s="6" t="n"/>
      <c r="L137" s="3" t="n"/>
      <c r="M137" s="3" t="n">
        <v>126</v>
      </c>
      <c r="N137" s="3">
        <f>IF(OR($U137=0,$W137="",$X137&lt;=0),"",IF($W137&gt;TODAY(),"",IF(AND(INDEX(UCRETLER!$E$7:$E$406,$U137)&lt;&gt;"",$W137&gt;INDEX(UCRETLER!$E$7:$E$406,$U137)),"",$W137)))</f>
        <v/>
      </c>
      <c r="O137" s="3">
        <f>IF($N137="","",IF(INDEX(UCRETLER!$F$7:$F$406,$U137)="Aylık",TEXT($N137,"mmmm yyyy")&amp;" aylık muhasebe hizmet ücreti",TEXT($N137,"dd.mm.yyyy")&amp;" haftalık muhasebe hizmet ücreti"))</f>
        <v/>
      </c>
      <c r="P137" s="3">
        <f>IF($N137="","","TAHAKKUK")</f>
        <v/>
      </c>
      <c r="Q137" s="3">
        <f>IF($N137="","","600 Muhasebe Hizmet Geliri")</f>
        <v/>
      </c>
      <c r="R137" s="3">
        <f>IF($N137="",0,$X137)</f>
        <v/>
      </c>
      <c r="S137" s="3" t="n">
        <v>0</v>
      </c>
      <c r="T137" s="3">
        <f>IF($N137="",10000000000,$N137*100000+$M137)</f>
        <v/>
      </c>
      <c r="U137" s="3">
        <f>$AB$5</f>
        <v/>
      </c>
      <c r="V137" s="3" t="n">
        <v>45</v>
      </c>
      <c r="W137" s="3">
        <f>IF($U137=0,"",IF(INDEX(UCRETLER!$D$7:$D$406,$U137)="","",IF(INDEX(UCRETLER!$F$7:$F$406,$U137)="Aylık",EOMONTH(INDEX(UCRETLER!$D$7:$D$406,$U137),$V137-1),INDEX(UCRETLER!$D$7:$D$406,$U137)+MOD(SISTEM!$F$8-WEEKDAY(INDEX(UCRETLER!$D$7:$D$406,$U137),2),7)+7*($V137-1))))</f>
        <v/>
      </c>
      <c r="X137" s="3">
        <f>IF($U137=0,0,INDEX(UCRETLER!$G$7:$G$406,$U137))</f>
        <v/>
      </c>
      <c r="Y137" s="3">
        <f>IFERROR(SMALL($T$12:$T$372,ROW()-11),"")</f>
        <v/>
      </c>
      <c r="Z137" s="3">
        <f>IFERROR(MATCH($Y137,$T$12:$T$372,0),"")</f>
        <v/>
      </c>
      <c r="AA137" s="3" t="n"/>
      <c r="AB137" s="3" t="n"/>
      <c r="AC137" s="3" t="n"/>
    </row>
    <row r="138">
      <c r="A138" s="6" t="n"/>
      <c r="B138" s="158">
        <f>IF($C138="","",ROW()-11)</f>
        <v/>
      </c>
      <c r="C138" s="247">
        <f>IF($Z138="","",IF(INDEX($N$12:$N$372,$Z138)="","",INDEX($N$12:$N$372,$Z138)))</f>
        <v/>
      </c>
      <c r="D138" s="29">
        <f>IF($C138="","",INDEX($O$12:$O$372,$Z138))</f>
        <v/>
      </c>
      <c r="E138" s="158">
        <f>IF($C138="","",INDEX($P$12:$P$372,$Z138))</f>
        <v/>
      </c>
      <c r="F138" s="29">
        <f>IF($C138="","",INDEX($Q$12:$Q$372,$Z138))</f>
        <v/>
      </c>
      <c r="G138" s="248">
        <f>IF($C138="","",INDEX($R$12:$R$372,$Z138))</f>
        <v/>
      </c>
      <c r="H138" s="248">
        <f>IF($C138="","",INDEX($S$12:$S$372,$Z138))</f>
        <v/>
      </c>
      <c r="I138" s="248">
        <f>IF($C138="","",N($I137)+$G138-$H138)</f>
        <v/>
      </c>
      <c r="J138" s="6" t="n"/>
      <c r="K138" s="6" t="n"/>
      <c r="L138" s="3" t="n"/>
      <c r="M138" s="3" t="n">
        <v>127</v>
      </c>
      <c r="N138" s="3">
        <f>IF(OR($U138=0,$W138="",$X138&lt;=0),"",IF($W138&gt;TODAY(),"",IF(AND(INDEX(UCRETLER!$E$7:$E$406,$U138)&lt;&gt;"",$W138&gt;INDEX(UCRETLER!$E$7:$E$406,$U138)),"",$W138)))</f>
        <v/>
      </c>
      <c r="O138" s="3">
        <f>IF($N138="","",IF(INDEX(UCRETLER!$F$7:$F$406,$U138)="Aylık",TEXT($N138,"mmmm yyyy")&amp;" aylık muhasebe hizmet ücreti",TEXT($N138,"dd.mm.yyyy")&amp;" haftalık muhasebe hizmet ücreti"))</f>
        <v/>
      </c>
      <c r="P138" s="3">
        <f>IF($N138="","","TAHAKKUK")</f>
        <v/>
      </c>
      <c r="Q138" s="3">
        <f>IF($N138="","","600 Muhasebe Hizmet Geliri")</f>
        <v/>
      </c>
      <c r="R138" s="3">
        <f>IF($N138="",0,$X138)</f>
        <v/>
      </c>
      <c r="S138" s="3" t="n">
        <v>0</v>
      </c>
      <c r="T138" s="3">
        <f>IF($N138="",10000000000,$N138*100000+$M138)</f>
        <v/>
      </c>
      <c r="U138" s="3">
        <f>$AB$5</f>
        <v/>
      </c>
      <c r="V138" s="3" t="n">
        <v>46</v>
      </c>
      <c r="W138" s="3">
        <f>IF($U138=0,"",IF(INDEX(UCRETLER!$D$7:$D$406,$U138)="","",IF(INDEX(UCRETLER!$F$7:$F$406,$U138)="Aylık",EOMONTH(INDEX(UCRETLER!$D$7:$D$406,$U138),$V138-1),INDEX(UCRETLER!$D$7:$D$406,$U138)+MOD(SISTEM!$F$8-WEEKDAY(INDEX(UCRETLER!$D$7:$D$406,$U138),2),7)+7*($V138-1))))</f>
        <v/>
      </c>
      <c r="X138" s="3">
        <f>IF($U138=0,0,INDEX(UCRETLER!$G$7:$G$406,$U138))</f>
        <v/>
      </c>
      <c r="Y138" s="3">
        <f>IFERROR(SMALL($T$12:$T$372,ROW()-11),"")</f>
        <v/>
      </c>
      <c r="Z138" s="3">
        <f>IFERROR(MATCH($Y138,$T$12:$T$372,0),"")</f>
        <v/>
      </c>
      <c r="AA138" s="3" t="n"/>
      <c r="AB138" s="3" t="n"/>
      <c r="AC138" s="3" t="n"/>
    </row>
    <row r="139">
      <c r="A139" s="6" t="n"/>
      <c r="B139" s="158">
        <f>IF($C139="","",ROW()-11)</f>
        <v/>
      </c>
      <c r="C139" s="247">
        <f>IF($Z139="","",IF(INDEX($N$12:$N$372,$Z139)="","",INDEX($N$12:$N$372,$Z139)))</f>
        <v/>
      </c>
      <c r="D139" s="29">
        <f>IF($C139="","",INDEX($O$12:$O$372,$Z139))</f>
        <v/>
      </c>
      <c r="E139" s="158">
        <f>IF($C139="","",INDEX($P$12:$P$372,$Z139))</f>
        <v/>
      </c>
      <c r="F139" s="29">
        <f>IF($C139="","",INDEX($Q$12:$Q$372,$Z139))</f>
        <v/>
      </c>
      <c r="G139" s="248">
        <f>IF($C139="","",INDEX($R$12:$R$372,$Z139))</f>
        <v/>
      </c>
      <c r="H139" s="248">
        <f>IF($C139="","",INDEX($S$12:$S$372,$Z139))</f>
        <v/>
      </c>
      <c r="I139" s="248">
        <f>IF($C139="","",N($I138)+$G139-$H139)</f>
        <v/>
      </c>
      <c r="J139" s="6" t="n"/>
      <c r="K139" s="6" t="n"/>
      <c r="L139" s="3" t="n"/>
      <c r="M139" s="3" t="n">
        <v>128</v>
      </c>
      <c r="N139" s="3">
        <f>IF(OR($U139=0,$W139="",$X139&lt;=0),"",IF($W139&gt;TODAY(),"",IF(AND(INDEX(UCRETLER!$E$7:$E$406,$U139)&lt;&gt;"",$W139&gt;INDEX(UCRETLER!$E$7:$E$406,$U139)),"",$W139)))</f>
        <v/>
      </c>
      <c r="O139" s="3">
        <f>IF($N139="","",IF(INDEX(UCRETLER!$F$7:$F$406,$U139)="Aylık",TEXT($N139,"mmmm yyyy")&amp;" aylık muhasebe hizmet ücreti",TEXT($N139,"dd.mm.yyyy")&amp;" haftalık muhasebe hizmet ücreti"))</f>
        <v/>
      </c>
      <c r="P139" s="3">
        <f>IF($N139="","","TAHAKKUK")</f>
        <v/>
      </c>
      <c r="Q139" s="3">
        <f>IF($N139="","","600 Muhasebe Hizmet Geliri")</f>
        <v/>
      </c>
      <c r="R139" s="3">
        <f>IF($N139="",0,$X139)</f>
        <v/>
      </c>
      <c r="S139" s="3" t="n">
        <v>0</v>
      </c>
      <c r="T139" s="3">
        <f>IF($N139="",10000000000,$N139*100000+$M139)</f>
        <v/>
      </c>
      <c r="U139" s="3">
        <f>$AB$5</f>
        <v/>
      </c>
      <c r="V139" s="3" t="n">
        <v>47</v>
      </c>
      <c r="W139" s="3">
        <f>IF($U139=0,"",IF(INDEX(UCRETLER!$D$7:$D$406,$U139)="","",IF(INDEX(UCRETLER!$F$7:$F$406,$U139)="Aylık",EOMONTH(INDEX(UCRETLER!$D$7:$D$406,$U139),$V139-1),INDEX(UCRETLER!$D$7:$D$406,$U139)+MOD(SISTEM!$F$8-WEEKDAY(INDEX(UCRETLER!$D$7:$D$406,$U139),2),7)+7*($V139-1))))</f>
        <v/>
      </c>
      <c r="X139" s="3">
        <f>IF($U139=0,0,INDEX(UCRETLER!$G$7:$G$406,$U139))</f>
        <v/>
      </c>
      <c r="Y139" s="3">
        <f>IFERROR(SMALL($T$12:$T$372,ROW()-11),"")</f>
        <v/>
      </c>
      <c r="Z139" s="3">
        <f>IFERROR(MATCH($Y139,$T$12:$T$372,0),"")</f>
        <v/>
      </c>
      <c r="AA139" s="3" t="n"/>
      <c r="AB139" s="3" t="n"/>
      <c r="AC139" s="3" t="n"/>
    </row>
    <row r="140">
      <c r="A140" s="6" t="n"/>
      <c r="B140" s="158">
        <f>IF($C140="","",ROW()-11)</f>
        <v/>
      </c>
      <c r="C140" s="247">
        <f>IF($Z140="","",IF(INDEX($N$12:$N$372,$Z140)="","",INDEX($N$12:$N$372,$Z140)))</f>
        <v/>
      </c>
      <c r="D140" s="29">
        <f>IF($C140="","",INDEX($O$12:$O$372,$Z140))</f>
        <v/>
      </c>
      <c r="E140" s="158">
        <f>IF($C140="","",INDEX($P$12:$P$372,$Z140))</f>
        <v/>
      </c>
      <c r="F140" s="29">
        <f>IF($C140="","",INDEX($Q$12:$Q$372,$Z140))</f>
        <v/>
      </c>
      <c r="G140" s="248">
        <f>IF($C140="","",INDEX($R$12:$R$372,$Z140))</f>
        <v/>
      </c>
      <c r="H140" s="248">
        <f>IF($C140="","",INDEX($S$12:$S$372,$Z140))</f>
        <v/>
      </c>
      <c r="I140" s="248">
        <f>IF($C140="","",N($I139)+$G140-$H140)</f>
        <v/>
      </c>
      <c r="J140" s="6" t="n"/>
      <c r="K140" s="6" t="n"/>
      <c r="L140" s="3" t="n"/>
      <c r="M140" s="3" t="n">
        <v>129</v>
      </c>
      <c r="N140" s="3">
        <f>IF(OR($U140=0,$W140="",$X140&lt;=0),"",IF($W140&gt;TODAY(),"",IF(AND(INDEX(UCRETLER!$E$7:$E$406,$U140)&lt;&gt;"",$W140&gt;INDEX(UCRETLER!$E$7:$E$406,$U140)),"",$W140)))</f>
        <v/>
      </c>
      <c r="O140" s="3">
        <f>IF($N140="","",IF(INDEX(UCRETLER!$F$7:$F$406,$U140)="Aylık",TEXT($N140,"mmmm yyyy")&amp;" aylık muhasebe hizmet ücreti",TEXT($N140,"dd.mm.yyyy")&amp;" haftalık muhasebe hizmet ücreti"))</f>
        <v/>
      </c>
      <c r="P140" s="3">
        <f>IF($N140="","","TAHAKKUK")</f>
        <v/>
      </c>
      <c r="Q140" s="3">
        <f>IF($N140="","","600 Muhasebe Hizmet Geliri")</f>
        <v/>
      </c>
      <c r="R140" s="3">
        <f>IF($N140="",0,$X140)</f>
        <v/>
      </c>
      <c r="S140" s="3" t="n">
        <v>0</v>
      </c>
      <c r="T140" s="3">
        <f>IF($N140="",10000000000,$N140*100000+$M140)</f>
        <v/>
      </c>
      <c r="U140" s="3">
        <f>$AB$5</f>
        <v/>
      </c>
      <c r="V140" s="3" t="n">
        <v>48</v>
      </c>
      <c r="W140" s="3">
        <f>IF($U140=0,"",IF(INDEX(UCRETLER!$D$7:$D$406,$U140)="","",IF(INDEX(UCRETLER!$F$7:$F$406,$U140)="Aylık",EOMONTH(INDEX(UCRETLER!$D$7:$D$406,$U140),$V140-1),INDEX(UCRETLER!$D$7:$D$406,$U140)+MOD(SISTEM!$F$8-WEEKDAY(INDEX(UCRETLER!$D$7:$D$406,$U140),2),7)+7*($V140-1))))</f>
        <v/>
      </c>
      <c r="X140" s="3">
        <f>IF($U140=0,0,INDEX(UCRETLER!$G$7:$G$406,$U140))</f>
        <v/>
      </c>
      <c r="Y140" s="3">
        <f>IFERROR(SMALL($T$12:$T$372,ROW()-11),"")</f>
        <v/>
      </c>
      <c r="Z140" s="3">
        <f>IFERROR(MATCH($Y140,$T$12:$T$372,0),"")</f>
        <v/>
      </c>
      <c r="AA140" s="3" t="n"/>
      <c r="AB140" s="3" t="n"/>
      <c r="AC140" s="3" t="n"/>
    </row>
    <row r="141">
      <c r="A141" s="6" t="n"/>
      <c r="B141" s="158">
        <f>IF($C141="","",ROW()-11)</f>
        <v/>
      </c>
      <c r="C141" s="247">
        <f>IF($Z141="","",IF(INDEX($N$12:$N$372,$Z141)="","",INDEX($N$12:$N$372,$Z141)))</f>
        <v/>
      </c>
      <c r="D141" s="29">
        <f>IF($C141="","",INDEX($O$12:$O$372,$Z141))</f>
        <v/>
      </c>
      <c r="E141" s="158">
        <f>IF($C141="","",INDEX($P$12:$P$372,$Z141))</f>
        <v/>
      </c>
      <c r="F141" s="29">
        <f>IF($C141="","",INDEX($Q$12:$Q$372,$Z141))</f>
        <v/>
      </c>
      <c r="G141" s="248">
        <f>IF($C141="","",INDEX($R$12:$R$372,$Z141))</f>
        <v/>
      </c>
      <c r="H141" s="248">
        <f>IF($C141="","",INDEX($S$12:$S$372,$Z141))</f>
        <v/>
      </c>
      <c r="I141" s="248">
        <f>IF($C141="","",N($I140)+$G141-$H141)</f>
        <v/>
      </c>
      <c r="J141" s="6" t="n"/>
      <c r="K141" s="6" t="n"/>
      <c r="L141" s="3" t="n"/>
      <c r="M141" s="3" t="n">
        <v>130</v>
      </c>
      <c r="N141" s="3">
        <f>IF(OR($U141=0,$W141="",$X141&lt;=0),"",IF($W141&gt;TODAY(),"",IF(AND(INDEX(UCRETLER!$E$7:$E$406,$U141)&lt;&gt;"",$W141&gt;INDEX(UCRETLER!$E$7:$E$406,$U141)),"",$W141)))</f>
        <v/>
      </c>
      <c r="O141" s="3">
        <f>IF($N141="","",IF(INDEX(UCRETLER!$F$7:$F$406,$U141)="Aylık",TEXT($N141,"mmmm yyyy")&amp;" aylık muhasebe hizmet ücreti",TEXT($N141,"dd.mm.yyyy")&amp;" haftalık muhasebe hizmet ücreti"))</f>
        <v/>
      </c>
      <c r="P141" s="3">
        <f>IF($N141="","","TAHAKKUK")</f>
        <v/>
      </c>
      <c r="Q141" s="3">
        <f>IF($N141="","","600 Muhasebe Hizmet Geliri")</f>
        <v/>
      </c>
      <c r="R141" s="3">
        <f>IF($N141="",0,$X141)</f>
        <v/>
      </c>
      <c r="S141" s="3" t="n">
        <v>0</v>
      </c>
      <c r="T141" s="3">
        <f>IF($N141="",10000000000,$N141*100000+$M141)</f>
        <v/>
      </c>
      <c r="U141" s="3">
        <f>$AB$5</f>
        <v/>
      </c>
      <c r="V141" s="3" t="n">
        <v>49</v>
      </c>
      <c r="W141" s="3">
        <f>IF($U141=0,"",IF(INDEX(UCRETLER!$D$7:$D$406,$U141)="","",IF(INDEX(UCRETLER!$F$7:$F$406,$U141)="Aylık",EOMONTH(INDEX(UCRETLER!$D$7:$D$406,$U141),$V141-1),INDEX(UCRETLER!$D$7:$D$406,$U141)+MOD(SISTEM!$F$8-WEEKDAY(INDEX(UCRETLER!$D$7:$D$406,$U141),2),7)+7*($V141-1))))</f>
        <v/>
      </c>
      <c r="X141" s="3">
        <f>IF($U141=0,0,INDEX(UCRETLER!$G$7:$G$406,$U141))</f>
        <v/>
      </c>
      <c r="Y141" s="3">
        <f>IFERROR(SMALL($T$12:$T$372,ROW()-11),"")</f>
        <v/>
      </c>
      <c r="Z141" s="3">
        <f>IFERROR(MATCH($Y141,$T$12:$T$372,0),"")</f>
        <v/>
      </c>
      <c r="AA141" s="3" t="n"/>
      <c r="AB141" s="3" t="n"/>
      <c r="AC141" s="3" t="n"/>
    </row>
    <row r="142">
      <c r="A142" s="6" t="n"/>
      <c r="B142" s="158">
        <f>IF($C142="","",ROW()-11)</f>
        <v/>
      </c>
      <c r="C142" s="247">
        <f>IF($Z142="","",IF(INDEX($N$12:$N$372,$Z142)="","",INDEX($N$12:$N$372,$Z142)))</f>
        <v/>
      </c>
      <c r="D142" s="29">
        <f>IF($C142="","",INDEX($O$12:$O$372,$Z142))</f>
        <v/>
      </c>
      <c r="E142" s="158">
        <f>IF($C142="","",INDEX($P$12:$P$372,$Z142))</f>
        <v/>
      </c>
      <c r="F142" s="29">
        <f>IF($C142="","",INDEX($Q$12:$Q$372,$Z142))</f>
        <v/>
      </c>
      <c r="G142" s="248">
        <f>IF($C142="","",INDEX($R$12:$R$372,$Z142))</f>
        <v/>
      </c>
      <c r="H142" s="248">
        <f>IF($C142="","",INDEX($S$12:$S$372,$Z142))</f>
        <v/>
      </c>
      <c r="I142" s="248">
        <f>IF($C142="","",N($I141)+$G142-$H142)</f>
        <v/>
      </c>
      <c r="J142" s="6" t="n"/>
      <c r="K142" s="6" t="n"/>
      <c r="L142" s="3" t="n"/>
      <c r="M142" s="3" t="n">
        <v>131</v>
      </c>
      <c r="N142" s="3">
        <f>IF(OR($U142=0,$W142="",$X142&lt;=0),"",IF($W142&gt;TODAY(),"",IF(AND(INDEX(UCRETLER!$E$7:$E$406,$U142)&lt;&gt;"",$W142&gt;INDEX(UCRETLER!$E$7:$E$406,$U142)),"",$W142)))</f>
        <v/>
      </c>
      <c r="O142" s="3">
        <f>IF($N142="","",IF(INDEX(UCRETLER!$F$7:$F$406,$U142)="Aylık",TEXT($N142,"mmmm yyyy")&amp;" aylık muhasebe hizmet ücreti",TEXT($N142,"dd.mm.yyyy")&amp;" haftalık muhasebe hizmet ücreti"))</f>
        <v/>
      </c>
      <c r="P142" s="3">
        <f>IF($N142="","","TAHAKKUK")</f>
        <v/>
      </c>
      <c r="Q142" s="3">
        <f>IF($N142="","","600 Muhasebe Hizmet Geliri")</f>
        <v/>
      </c>
      <c r="R142" s="3">
        <f>IF($N142="",0,$X142)</f>
        <v/>
      </c>
      <c r="S142" s="3" t="n">
        <v>0</v>
      </c>
      <c r="T142" s="3">
        <f>IF($N142="",10000000000,$N142*100000+$M142)</f>
        <v/>
      </c>
      <c r="U142" s="3">
        <f>$AB$5</f>
        <v/>
      </c>
      <c r="V142" s="3" t="n">
        <v>50</v>
      </c>
      <c r="W142" s="3">
        <f>IF($U142=0,"",IF(INDEX(UCRETLER!$D$7:$D$406,$U142)="","",IF(INDEX(UCRETLER!$F$7:$F$406,$U142)="Aylık",EOMONTH(INDEX(UCRETLER!$D$7:$D$406,$U142),$V142-1),INDEX(UCRETLER!$D$7:$D$406,$U142)+MOD(SISTEM!$F$8-WEEKDAY(INDEX(UCRETLER!$D$7:$D$406,$U142),2),7)+7*($V142-1))))</f>
        <v/>
      </c>
      <c r="X142" s="3">
        <f>IF($U142=0,0,INDEX(UCRETLER!$G$7:$G$406,$U142))</f>
        <v/>
      </c>
      <c r="Y142" s="3">
        <f>IFERROR(SMALL($T$12:$T$372,ROW()-11),"")</f>
        <v/>
      </c>
      <c r="Z142" s="3">
        <f>IFERROR(MATCH($Y142,$T$12:$T$372,0),"")</f>
        <v/>
      </c>
      <c r="AA142" s="3" t="n"/>
      <c r="AB142" s="3" t="n"/>
      <c r="AC142" s="3" t="n"/>
    </row>
    <row r="143">
      <c r="A143" s="6" t="n"/>
      <c r="B143" s="158">
        <f>IF($C143="","",ROW()-11)</f>
        <v/>
      </c>
      <c r="C143" s="247">
        <f>IF($Z143="","",IF(INDEX($N$12:$N$372,$Z143)="","",INDEX($N$12:$N$372,$Z143)))</f>
        <v/>
      </c>
      <c r="D143" s="29">
        <f>IF($C143="","",INDEX($O$12:$O$372,$Z143))</f>
        <v/>
      </c>
      <c r="E143" s="158">
        <f>IF($C143="","",INDEX($P$12:$P$372,$Z143))</f>
        <v/>
      </c>
      <c r="F143" s="29">
        <f>IF($C143="","",INDEX($Q$12:$Q$372,$Z143))</f>
        <v/>
      </c>
      <c r="G143" s="248">
        <f>IF($C143="","",INDEX($R$12:$R$372,$Z143))</f>
        <v/>
      </c>
      <c r="H143" s="248">
        <f>IF($C143="","",INDEX($S$12:$S$372,$Z143))</f>
        <v/>
      </c>
      <c r="I143" s="248">
        <f>IF($C143="","",N($I142)+$G143-$H143)</f>
        <v/>
      </c>
      <c r="J143" s="6" t="n"/>
      <c r="K143" s="6" t="n"/>
      <c r="L143" s="3" t="n"/>
      <c r="M143" s="3" t="n">
        <v>132</v>
      </c>
      <c r="N143" s="3">
        <f>IF(OR($U143=0,$W143="",$X143&lt;=0),"",IF($W143&gt;TODAY(),"",IF(AND(INDEX(UCRETLER!$E$7:$E$406,$U143)&lt;&gt;"",$W143&gt;INDEX(UCRETLER!$E$7:$E$406,$U143)),"",$W143)))</f>
        <v/>
      </c>
      <c r="O143" s="3">
        <f>IF($N143="","",IF(INDEX(UCRETLER!$F$7:$F$406,$U143)="Aylık",TEXT($N143,"mmmm yyyy")&amp;" aylık muhasebe hizmet ücreti",TEXT($N143,"dd.mm.yyyy")&amp;" haftalık muhasebe hizmet ücreti"))</f>
        <v/>
      </c>
      <c r="P143" s="3">
        <f>IF($N143="","","TAHAKKUK")</f>
        <v/>
      </c>
      <c r="Q143" s="3">
        <f>IF($N143="","","600 Muhasebe Hizmet Geliri")</f>
        <v/>
      </c>
      <c r="R143" s="3">
        <f>IF($N143="",0,$X143)</f>
        <v/>
      </c>
      <c r="S143" s="3" t="n">
        <v>0</v>
      </c>
      <c r="T143" s="3">
        <f>IF($N143="",10000000000,$N143*100000+$M143)</f>
        <v/>
      </c>
      <c r="U143" s="3">
        <f>$AB$5</f>
        <v/>
      </c>
      <c r="V143" s="3" t="n">
        <v>51</v>
      </c>
      <c r="W143" s="3">
        <f>IF($U143=0,"",IF(INDEX(UCRETLER!$D$7:$D$406,$U143)="","",IF(INDEX(UCRETLER!$F$7:$F$406,$U143)="Aylık",EOMONTH(INDEX(UCRETLER!$D$7:$D$406,$U143),$V143-1),INDEX(UCRETLER!$D$7:$D$406,$U143)+MOD(SISTEM!$F$8-WEEKDAY(INDEX(UCRETLER!$D$7:$D$406,$U143),2),7)+7*($V143-1))))</f>
        <v/>
      </c>
      <c r="X143" s="3">
        <f>IF($U143=0,0,INDEX(UCRETLER!$G$7:$G$406,$U143))</f>
        <v/>
      </c>
      <c r="Y143" s="3">
        <f>IFERROR(SMALL($T$12:$T$372,ROW()-11),"")</f>
        <v/>
      </c>
      <c r="Z143" s="3">
        <f>IFERROR(MATCH($Y143,$T$12:$T$372,0),"")</f>
        <v/>
      </c>
      <c r="AA143" s="3" t="n"/>
      <c r="AB143" s="3" t="n"/>
      <c r="AC143" s="3" t="n"/>
    </row>
    <row r="144">
      <c r="A144" s="6" t="n"/>
      <c r="B144" s="158">
        <f>IF($C144="","",ROW()-11)</f>
        <v/>
      </c>
      <c r="C144" s="247">
        <f>IF($Z144="","",IF(INDEX($N$12:$N$372,$Z144)="","",INDEX($N$12:$N$372,$Z144)))</f>
        <v/>
      </c>
      <c r="D144" s="29">
        <f>IF($C144="","",INDEX($O$12:$O$372,$Z144))</f>
        <v/>
      </c>
      <c r="E144" s="158">
        <f>IF($C144="","",INDEX($P$12:$P$372,$Z144))</f>
        <v/>
      </c>
      <c r="F144" s="29">
        <f>IF($C144="","",INDEX($Q$12:$Q$372,$Z144))</f>
        <v/>
      </c>
      <c r="G144" s="248">
        <f>IF($C144="","",INDEX($R$12:$R$372,$Z144))</f>
        <v/>
      </c>
      <c r="H144" s="248">
        <f>IF($C144="","",INDEX($S$12:$S$372,$Z144))</f>
        <v/>
      </c>
      <c r="I144" s="248">
        <f>IF($C144="","",N($I143)+$G144-$H144)</f>
        <v/>
      </c>
      <c r="J144" s="6" t="n"/>
      <c r="K144" s="6" t="n"/>
      <c r="L144" s="3" t="n"/>
      <c r="M144" s="3" t="n">
        <v>133</v>
      </c>
      <c r="N144" s="3">
        <f>IF(OR($U144=0,$W144="",$X144&lt;=0),"",IF($W144&gt;TODAY(),"",IF(AND(INDEX(UCRETLER!$E$7:$E$406,$U144)&lt;&gt;"",$W144&gt;INDEX(UCRETLER!$E$7:$E$406,$U144)),"",$W144)))</f>
        <v/>
      </c>
      <c r="O144" s="3">
        <f>IF($N144="","",IF(INDEX(UCRETLER!$F$7:$F$406,$U144)="Aylık",TEXT($N144,"mmmm yyyy")&amp;" aylık muhasebe hizmet ücreti",TEXT($N144,"dd.mm.yyyy")&amp;" haftalık muhasebe hizmet ücreti"))</f>
        <v/>
      </c>
      <c r="P144" s="3">
        <f>IF($N144="","","TAHAKKUK")</f>
        <v/>
      </c>
      <c r="Q144" s="3">
        <f>IF($N144="","","600 Muhasebe Hizmet Geliri")</f>
        <v/>
      </c>
      <c r="R144" s="3">
        <f>IF($N144="",0,$X144)</f>
        <v/>
      </c>
      <c r="S144" s="3" t="n">
        <v>0</v>
      </c>
      <c r="T144" s="3">
        <f>IF($N144="",10000000000,$N144*100000+$M144)</f>
        <v/>
      </c>
      <c r="U144" s="3">
        <f>$AB$5</f>
        <v/>
      </c>
      <c r="V144" s="3" t="n">
        <v>52</v>
      </c>
      <c r="W144" s="3">
        <f>IF($U144=0,"",IF(INDEX(UCRETLER!$D$7:$D$406,$U144)="","",IF(INDEX(UCRETLER!$F$7:$F$406,$U144)="Aylık",EOMONTH(INDEX(UCRETLER!$D$7:$D$406,$U144),$V144-1),INDEX(UCRETLER!$D$7:$D$406,$U144)+MOD(SISTEM!$F$8-WEEKDAY(INDEX(UCRETLER!$D$7:$D$406,$U144),2),7)+7*($V144-1))))</f>
        <v/>
      </c>
      <c r="X144" s="3">
        <f>IF($U144=0,0,INDEX(UCRETLER!$G$7:$G$406,$U144))</f>
        <v/>
      </c>
      <c r="Y144" s="3">
        <f>IFERROR(SMALL($T$12:$T$372,ROW()-11),"")</f>
        <v/>
      </c>
      <c r="Z144" s="3">
        <f>IFERROR(MATCH($Y144,$T$12:$T$372,0),"")</f>
        <v/>
      </c>
      <c r="AA144" s="3" t="n"/>
      <c r="AB144" s="3" t="n"/>
      <c r="AC144" s="3" t="n"/>
    </row>
    <row r="145">
      <c r="A145" s="6" t="n"/>
      <c r="B145" s="158">
        <f>IF($C145="","",ROW()-11)</f>
        <v/>
      </c>
      <c r="C145" s="247">
        <f>IF($Z145="","",IF(INDEX($N$12:$N$372,$Z145)="","",INDEX($N$12:$N$372,$Z145)))</f>
        <v/>
      </c>
      <c r="D145" s="29">
        <f>IF($C145="","",INDEX($O$12:$O$372,$Z145))</f>
        <v/>
      </c>
      <c r="E145" s="158">
        <f>IF($C145="","",INDEX($P$12:$P$372,$Z145))</f>
        <v/>
      </c>
      <c r="F145" s="29">
        <f>IF($C145="","",INDEX($Q$12:$Q$372,$Z145))</f>
        <v/>
      </c>
      <c r="G145" s="248">
        <f>IF($C145="","",INDEX($R$12:$R$372,$Z145))</f>
        <v/>
      </c>
      <c r="H145" s="248">
        <f>IF($C145="","",INDEX($S$12:$S$372,$Z145))</f>
        <v/>
      </c>
      <c r="I145" s="248">
        <f>IF($C145="","",N($I144)+$G145-$H145)</f>
        <v/>
      </c>
      <c r="J145" s="6" t="n"/>
      <c r="K145" s="6" t="n"/>
      <c r="L145" s="3" t="n"/>
      <c r="M145" s="3" t="n">
        <v>134</v>
      </c>
      <c r="N145" s="3">
        <f>IF(OR($U145=0,$W145="",$X145&lt;=0),"",IF($W145&gt;TODAY(),"",IF(AND(INDEX(UCRETLER!$E$7:$E$406,$U145)&lt;&gt;"",$W145&gt;INDEX(UCRETLER!$E$7:$E$406,$U145)),"",$W145)))</f>
        <v/>
      </c>
      <c r="O145" s="3">
        <f>IF($N145="","",IF(INDEX(UCRETLER!$F$7:$F$406,$U145)="Aylık",TEXT($N145,"mmmm yyyy")&amp;" aylık muhasebe hizmet ücreti",TEXT($N145,"dd.mm.yyyy")&amp;" haftalık muhasebe hizmet ücreti"))</f>
        <v/>
      </c>
      <c r="P145" s="3">
        <f>IF($N145="","","TAHAKKUK")</f>
        <v/>
      </c>
      <c r="Q145" s="3">
        <f>IF($N145="","","600 Muhasebe Hizmet Geliri")</f>
        <v/>
      </c>
      <c r="R145" s="3">
        <f>IF($N145="",0,$X145)</f>
        <v/>
      </c>
      <c r="S145" s="3" t="n">
        <v>0</v>
      </c>
      <c r="T145" s="3">
        <f>IF($N145="",10000000000,$N145*100000+$M145)</f>
        <v/>
      </c>
      <c r="U145" s="3">
        <f>$AB$5</f>
        <v/>
      </c>
      <c r="V145" s="3" t="n">
        <v>53</v>
      </c>
      <c r="W145" s="3">
        <f>IF($U145=0,"",IF(INDEX(UCRETLER!$D$7:$D$406,$U145)="","",IF(INDEX(UCRETLER!$F$7:$F$406,$U145)="Aylık",EOMONTH(INDEX(UCRETLER!$D$7:$D$406,$U145),$V145-1),INDEX(UCRETLER!$D$7:$D$406,$U145)+MOD(SISTEM!$F$8-WEEKDAY(INDEX(UCRETLER!$D$7:$D$406,$U145),2),7)+7*($V145-1))))</f>
        <v/>
      </c>
      <c r="X145" s="3">
        <f>IF($U145=0,0,INDEX(UCRETLER!$G$7:$G$406,$U145))</f>
        <v/>
      </c>
      <c r="Y145" s="3">
        <f>IFERROR(SMALL($T$12:$T$372,ROW()-11),"")</f>
        <v/>
      </c>
      <c r="Z145" s="3">
        <f>IFERROR(MATCH($Y145,$T$12:$T$372,0),"")</f>
        <v/>
      </c>
      <c r="AA145" s="3" t="n"/>
      <c r="AB145" s="3" t="n"/>
      <c r="AC145" s="3" t="n"/>
    </row>
    <row r="146">
      <c r="A146" s="6" t="n"/>
      <c r="B146" s="158">
        <f>IF($C146="","",ROW()-11)</f>
        <v/>
      </c>
      <c r="C146" s="247">
        <f>IF($Z146="","",IF(INDEX($N$12:$N$372,$Z146)="","",INDEX($N$12:$N$372,$Z146)))</f>
        <v/>
      </c>
      <c r="D146" s="29">
        <f>IF($C146="","",INDEX($O$12:$O$372,$Z146))</f>
        <v/>
      </c>
      <c r="E146" s="158">
        <f>IF($C146="","",INDEX($P$12:$P$372,$Z146))</f>
        <v/>
      </c>
      <c r="F146" s="29">
        <f>IF($C146="","",INDEX($Q$12:$Q$372,$Z146))</f>
        <v/>
      </c>
      <c r="G146" s="248">
        <f>IF($C146="","",INDEX($R$12:$R$372,$Z146))</f>
        <v/>
      </c>
      <c r="H146" s="248">
        <f>IF($C146="","",INDEX($S$12:$S$372,$Z146))</f>
        <v/>
      </c>
      <c r="I146" s="248">
        <f>IF($C146="","",N($I145)+$G146-$H146)</f>
        <v/>
      </c>
      <c r="J146" s="6" t="n"/>
      <c r="K146" s="6" t="n"/>
      <c r="L146" s="3" t="n"/>
      <c r="M146" s="3" t="n">
        <v>135</v>
      </c>
      <c r="N146" s="3">
        <f>IF(OR($U146=0,$W146="",$X146&lt;=0),"",IF($W146&gt;TODAY(),"",IF(AND(INDEX(UCRETLER!$E$7:$E$406,$U146)&lt;&gt;"",$W146&gt;INDEX(UCRETLER!$E$7:$E$406,$U146)),"",$W146)))</f>
        <v/>
      </c>
      <c r="O146" s="3">
        <f>IF($N146="","",IF(INDEX(UCRETLER!$F$7:$F$406,$U146)="Aylık",TEXT($N146,"mmmm yyyy")&amp;" aylık muhasebe hizmet ücreti",TEXT($N146,"dd.mm.yyyy")&amp;" haftalık muhasebe hizmet ücreti"))</f>
        <v/>
      </c>
      <c r="P146" s="3">
        <f>IF($N146="","","TAHAKKUK")</f>
        <v/>
      </c>
      <c r="Q146" s="3">
        <f>IF($N146="","","600 Muhasebe Hizmet Geliri")</f>
        <v/>
      </c>
      <c r="R146" s="3">
        <f>IF($N146="",0,$X146)</f>
        <v/>
      </c>
      <c r="S146" s="3" t="n">
        <v>0</v>
      </c>
      <c r="T146" s="3">
        <f>IF($N146="",10000000000,$N146*100000+$M146)</f>
        <v/>
      </c>
      <c r="U146" s="3">
        <f>$AB$5</f>
        <v/>
      </c>
      <c r="V146" s="3" t="n">
        <v>54</v>
      </c>
      <c r="W146" s="3">
        <f>IF($U146=0,"",IF(INDEX(UCRETLER!$D$7:$D$406,$U146)="","",IF(INDEX(UCRETLER!$F$7:$F$406,$U146)="Aylık",EOMONTH(INDEX(UCRETLER!$D$7:$D$406,$U146),$V146-1),INDEX(UCRETLER!$D$7:$D$406,$U146)+MOD(SISTEM!$F$8-WEEKDAY(INDEX(UCRETLER!$D$7:$D$406,$U146),2),7)+7*($V146-1))))</f>
        <v/>
      </c>
      <c r="X146" s="3">
        <f>IF($U146=0,0,INDEX(UCRETLER!$G$7:$G$406,$U146))</f>
        <v/>
      </c>
      <c r="Y146" s="3">
        <f>IFERROR(SMALL($T$12:$T$372,ROW()-11),"")</f>
        <v/>
      </c>
      <c r="Z146" s="3">
        <f>IFERROR(MATCH($Y146,$T$12:$T$372,0),"")</f>
        <v/>
      </c>
      <c r="AA146" s="3" t="n"/>
      <c r="AB146" s="3" t="n"/>
      <c r="AC146" s="3" t="n"/>
    </row>
    <row r="147">
      <c r="A147" s="6" t="n"/>
      <c r="B147" s="158">
        <f>IF($C147="","",ROW()-11)</f>
        <v/>
      </c>
      <c r="C147" s="247">
        <f>IF($Z147="","",IF(INDEX($N$12:$N$372,$Z147)="","",INDEX($N$12:$N$372,$Z147)))</f>
        <v/>
      </c>
      <c r="D147" s="29">
        <f>IF($C147="","",INDEX($O$12:$O$372,$Z147))</f>
        <v/>
      </c>
      <c r="E147" s="158">
        <f>IF($C147="","",INDEX($P$12:$P$372,$Z147))</f>
        <v/>
      </c>
      <c r="F147" s="29">
        <f>IF($C147="","",INDEX($Q$12:$Q$372,$Z147))</f>
        <v/>
      </c>
      <c r="G147" s="248">
        <f>IF($C147="","",INDEX($R$12:$R$372,$Z147))</f>
        <v/>
      </c>
      <c r="H147" s="248">
        <f>IF($C147="","",INDEX($S$12:$S$372,$Z147))</f>
        <v/>
      </c>
      <c r="I147" s="248">
        <f>IF($C147="","",N($I146)+$G147-$H147)</f>
        <v/>
      </c>
      <c r="J147" s="6" t="n"/>
      <c r="K147" s="6" t="n"/>
      <c r="L147" s="3" t="n"/>
      <c r="M147" s="3" t="n">
        <v>136</v>
      </c>
      <c r="N147" s="3">
        <f>IF(OR($U147=0,$W147="",$X147&lt;=0),"",IF($W147&gt;TODAY(),"",IF(AND(INDEX(UCRETLER!$E$7:$E$406,$U147)&lt;&gt;"",$W147&gt;INDEX(UCRETLER!$E$7:$E$406,$U147)),"",$W147)))</f>
        <v/>
      </c>
      <c r="O147" s="3">
        <f>IF($N147="","",IF(INDEX(UCRETLER!$F$7:$F$406,$U147)="Aylık",TEXT($N147,"mmmm yyyy")&amp;" aylık muhasebe hizmet ücreti",TEXT($N147,"dd.mm.yyyy")&amp;" haftalık muhasebe hizmet ücreti"))</f>
        <v/>
      </c>
      <c r="P147" s="3">
        <f>IF($N147="","","TAHAKKUK")</f>
        <v/>
      </c>
      <c r="Q147" s="3">
        <f>IF($N147="","","600 Muhasebe Hizmet Geliri")</f>
        <v/>
      </c>
      <c r="R147" s="3">
        <f>IF($N147="",0,$X147)</f>
        <v/>
      </c>
      <c r="S147" s="3" t="n">
        <v>0</v>
      </c>
      <c r="T147" s="3">
        <f>IF($N147="",10000000000,$N147*100000+$M147)</f>
        <v/>
      </c>
      <c r="U147" s="3">
        <f>$AB$5</f>
        <v/>
      </c>
      <c r="V147" s="3" t="n">
        <v>55</v>
      </c>
      <c r="W147" s="3">
        <f>IF($U147=0,"",IF(INDEX(UCRETLER!$D$7:$D$406,$U147)="","",IF(INDEX(UCRETLER!$F$7:$F$406,$U147)="Aylık",EOMONTH(INDEX(UCRETLER!$D$7:$D$406,$U147),$V147-1),INDEX(UCRETLER!$D$7:$D$406,$U147)+MOD(SISTEM!$F$8-WEEKDAY(INDEX(UCRETLER!$D$7:$D$406,$U147),2),7)+7*($V147-1))))</f>
        <v/>
      </c>
      <c r="X147" s="3">
        <f>IF($U147=0,0,INDEX(UCRETLER!$G$7:$G$406,$U147))</f>
        <v/>
      </c>
      <c r="Y147" s="3">
        <f>IFERROR(SMALL($T$12:$T$372,ROW()-11),"")</f>
        <v/>
      </c>
      <c r="Z147" s="3">
        <f>IFERROR(MATCH($Y147,$T$12:$T$372,0),"")</f>
        <v/>
      </c>
      <c r="AA147" s="3" t="n"/>
      <c r="AB147" s="3" t="n"/>
      <c r="AC147" s="3" t="n"/>
    </row>
    <row r="148">
      <c r="A148" s="6" t="n"/>
      <c r="B148" s="158">
        <f>IF($C148="","",ROW()-11)</f>
        <v/>
      </c>
      <c r="C148" s="247">
        <f>IF($Z148="","",IF(INDEX($N$12:$N$372,$Z148)="","",INDEX($N$12:$N$372,$Z148)))</f>
        <v/>
      </c>
      <c r="D148" s="29">
        <f>IF($C148="","",INDEX($O$12:$O$372,$Z148))</f>
        <v/>
      </c>
      <c r="E148" s="158">
        <f>IF($C148="","",INDEX($P$12:$P$372,$Z148))</f>
        <v/>
      </c>
      <c r="F148" s="29">
        <f>IF($C148="","",INDEX($Q$12:$Q$372,$Z148))</f>
        <v/>
      </c>
      <c r="G148" s="248">
        <f>IF($C148="","",INDEX($R$12:$R$372,$Z148))</f>
        <v/>
      </c>
      <c r="H148" s="248">
        <f>IF($C148="","",INDEX($S$12:$S$372,$Z148))</f>
        <v/>
      </c>
      <c r="I148" s="248">
        <f>IF($C148="","",N($I147)+$G148-$H148)</f>
        <v/>
      </c>
      <c r="J148" s="6" t="n"/>
      <c r="K148" s="6" t="n"/>
      <c r="L148" s="3" t="n"/>
      <c r="M148" s="3" t="n">
        <v>137</v>
      </c>
      <c r="N148" s="3">
        <f>IF(OR($U148=0,$W148="",$X148&lt;=0),"",IF($W148&gt;TODAY(),"",IF(AND(INDEX(UCRETLER!$E$7:$E$406,$U148)&lt;&gt;"",$W148&gt;INDEX(UCRETLER!$E$7:$E$406,$U148)),"",$W148)))</f>
        <v/>
      </c>
      <c r="O148" s="3">
        <f>IF($N148="","",IF(INDEX(UCRETLER!$F$7:$F$406,$U148)="Aylık",TEXT($N148,"mmmm yyyy")&amp;" aylık muhasebe hizmet ücreti",TEXT($N148,"dd.mm.yyyy")&amp;" haftalık muhasebe hizmet ücreti"))</f>
        <v/>
      </c>
      <c r="P148" s="3">
        <f>IF($N148="","","TAHAKKUK")</f>
        <v/>
      </c>
      <c r="Q148" s="3">
        <f>IF($N148="","","600 Muhasebe Hizmet Geliri")</f>
        <v/>
      </c>
      <c r="R148" s="3">
        <f>IF($N148="",0,$X148)</f>
        <v/>
      </c>
      <c r="S148" s="3" t="n">
        <v>0</v>
      </c>
      <c r="T148" s="3">
        <f>IF($N148="",10000000000,$N148*100000+$M148)</f>
        <v/>
      </c>
      <c r="U148" s="3">
        <f>$AB$5</f>
        <v/>
      </c>
      <c r="V148" s="3" t="n">
        <v>56</v>
      </c>
      <c r="W148" s="3">
        <f>IF($U148=0,"",IF(INDEX(UCRETLER!$D$7:$D$406,$U148)="","",IF(INDEX(UCRETLER!$F$7:$F$406,$U148)="Aylık",EOMONTH(INDEX(UCRETLER!$D$7:$D$406,$U148),$V148-1),INDEX(UCRETLER!$D$7:$D$406,$U148)+MOD(SISTEM!$F$8-WEEKDAY(INDEX(UCRETLER!$D$7:$D$406,$U148),2),7)+7*($V148-1))))</f>
        <v/>
      </c>
      <c r="X148" s="3">
        <f>IF($U148=0,0,INDEX(UCRETLER!$G$7:$G$406,$U148))</f>
        <v/>
      </c>
      <c r="Y148" s="3">
        <f>IFERROR(SMALL($T$12:$T$372,ROW()-11),"")</f>
        <v/>
      </c>
      <c r="Z148" s="3">
        <f>IFERROR(MATCH($Y148,$T$12:$T$372,0),"")</f>
        <v/>
      </c>
      <c r="AA148" s="3" t="n"/>
      <c r="AB148" s="3" t="n"/>
      <c r="AC148" s="3" t="n"/>
    </row>
    <row r="149">
      <c r="A149" s="6" t="n"/>
      <c r="B149" s="158">
        <f>IF($C149="","",ROW()-11)</f>
        <v/>
      </c>
      <c r="C149" s="247">
        <f>IF($Z149="","",IF(INDEX($N$12:$N$372,$Z149)="","",INDEX($N$12:$N$372,$Z149)))</f>
        <v/>
      </c>
      <c r="D149" s="29">
        <f>IF($C149="","",INDEX($O$12:$O$372,$Z149))</f>
        <v/>
      </c>
      <c r="E149" s="158">
        <f>IF($C149="","",INDEX($P$12:$P$372,$Z149))</f>
        <v/>
      </c>
      <c r="F149" s="29">
        <f>IF($C149="","",INDEX($Q$12:$Q$372,$Z149))</f>
        <v/>
      </c>
      <c r="G149" s="248">
        <f>IF($C149="","",INDEX($R$12:$R$372,$Z149))</f>
        <v/>
      </c>
      <c r="H149" s="248">
        <f>IF($C149="","",INDEX($S$12:$S$372,$Z149))</f>
        <v/>
      </c>
      <c r="I149" s="248">
        <f>IF($C149="","",N($I148)+$G149-$H149)</f>
        <v/>
      </c>
      <c r="J149" s="6" t="n"/>
      <c r="K149" s="6" t="n"/>
      <c r="L149" s="3" t="n"/>
      <c r="M149" s="3" t="n">
        <v>138</v>
      </c>
      <c r="N149" s="3">
        <f>IF(OR($U149=0,$W149="",$X149&lt;=0),"",IF($W149&gt;TODAY(),"",IF(AND(INDEX(UCRETLER!$E$7:$E$406,$U149)&lt;&gt;"",$W149&gt;INDEX(UCRETLER!$E$7:$E$406,$U149)),"",$W149)))</f>
        <v/>
      </c>
      <c r="O149" s="3">
        <f>IF($N149="","",IF(INDEX(UCRETLER!$F$7:$F$406,$U149)="Aylık",TEXT($N149,"mmmm yyyy")&amp;" aylık muhasebe hizmet ücreti",TEXT($N149,"dd.mm.yyyy")&amp;" haftalık muhasebe hizmet ücreti"))</f>
        <v/>
      </c>
      <c r="P149" s="3">
        <f>IF($N149="","","TAHAKKUK")</f>
        <v/>
      </c>
      <c r="Q149" s="3">
        <f>IF($N149="","","600 Muhasebe Hizmet Geliri")</f>
        <v/>
      </c>
      <c r="R149" s="3">
        <f>IF($N149="",0,$X149)</f>
        <v/>
      </c>
      <c r="S149" s="3" t="n">
        <v>0</v>
      </c>
      <c r="T149" s="3">
        <f>IF($N149="",10000000000,$N149*100000+$M149)</f>
        <v/>
      </c>
      <c r="U149" s="3">
        <f>$AB$5</f>
        <v/>
      </c>
      <c r="V149" s="3" t="n">
        <v>57</v>
      </c>
      <c r="W149" s="3">
        <f>IF($U149=0,"",IF(INDEX(UCRETLER!$D$7:$D$406,$U149)="","",IF(INDEX(UCRETLER!$F$7:$F$406,$U149)="Aylık",EOMONTH(INDEX(UCRETLER!$D$7:$D$406,$U149),$V149-1),INDEX(UCRETLER!$D$7:$D$406,$U149)+MOD(SISTEM!$F$8-WEEKDAY(INDEX(UCRETLER!$D$7:$D$406,$U149),2),7)+7*($V149-1))))</f>
        <v/>
      </c>
      <c r="X149" s="3">
        <f>IF($U149=0,0,INDEX(UCRETLER!$G$7:$G$406,$U149))</f>
        <v/>
      </c>
      <c r="Y149" s="3">
        <f>IFERROR(SMALL($T$12:$T$372,ROW()-11),"")</f>
        <v/>
      </c>
      <c r="Z149" s="3">
        <f>IFERROR(MATCH($Y149,$T$12:$T$372,0),"")</f>
        <v/>
      </c>
      <c r="AA149" s="3" t="n"/>
      <c r="AB149" s="3" t="n"/>
      <c r="AC149" s="3" t="n"/>
    </row>
    <row r="150">
      <c r="A150" s="6" t="n"/>
      <c r="B150" s="158">
        <f>IF($C150="","",ROW()-11)</f>
        <v/>
      </c>
      <c r="C150" s="247">
        <f>IF($Z150="","",IF(INDEX($N$12:$N$372,$Z150)="","",INDEX($N$12:$N$372,$Z150)))</f>
        <v/>
      </c>
      <c r="D150" s="29">
        <f>IF($C150="","",INDEX($O$12:$O$372,$Z150))</f>
        <v/>
      </c>
      <c r="E150" s="158">
        <f>IF($C150="","",INDEX($P$12:$P$372,$Z150))</f>
        <v/>
      </c>
      <c r="F150" s="29">
        <f>IF($C150="","",INDEX($Q$12:$Q$372,$Z150))</f>
        <v/>
      </c>
      <c r="G150" s="248">
        <f>IF($C150="","",INDEX($R$12:$R$372,$Z150))</f>
        <v/>
      </c>
      <c r="H150" s="248">
        <f>IF($C150="","",INDEX($S$12:$S$372,$Z150))</f>
        <v/>
      </c>
      <c r="I150" s="248">
        <f>IF($C150="","",N($I149)+$G150-$H150)</f>
        <v/>
      </c>
      <c r="J150" s="6" t="n"/>
      <c r="K150" s="6" t="n"/>
      <c r="L150" s="3" t="n"/>
      <c r="M150" s="3" t="n">
        <v>139</v>
      </c>
      <c r="N150" s="3">
        <f>IF(OR($U150=0,$W150="",$X150&lt;=0),"",IF($W150&gt;TODAY(),"",IF(AND(INDEX(UCRETLER!$E$7:$E$406,$U150)&lt;&gt;"",$W150&gt;INDEX(UCRETLER!$E$7:$E$406,$U150)),"",$W150)))</f>
        <v/>
      </c>
      <c r="O150" s="3">
        <f>IF($N150="","",IF(INDEX(UCRETLER!$F$7:$F$406,$U150)="Aylık",TEXT($N150,"mmmm yyyy")&amp;" aylık muhasebe hizmet ücreti",TEXT($N150,"dd.mm.yyyy")&amp;" haftalık muhasebe hizmet ücreti"))</f>
        <v/>
      </c>
      <c r="P150" s="3">
        <f>IF($N150="","","TAHAKKUK")</f>
        <v/>
      </c>
      <c r="Q150" s="3">
        <f>IF($N150="","","600 Muhasebe Hizmet Geliri")</f>
        <v/>
      </c>
      <c r="R150" s="3">
        <f>IF($N150="",0,$X150)</f>
        <v/>
      </c>
      <c r="S150" s="3" t="n">
        <v>0</v>
      </c>
      <c r="T150" s="3">
        <f>IF($N150="",10000000000,$N150*100000+$M150)</f>
        <v/>
      </c>
      <c r="U150" s="3">
        <f>$AB$5</f>
        <v/>
      </c>
      <c r="V150" s="3" t="n">
        <v>58</v>
      </c>
      <c r="W150" s="3">
        <f>IF($U150=0,"",IF(INDEX(UCRETLER!$D$7:$D$406,$U150)="","",IF(INDEX(UCRETLER!$F$7:$F$406,$U150)="Aylık",EOMONTH(INDEX(UCRETLER!$D$7:$D$406,$U150),$V150-1),INDEX(UCRETLER!$D$7:$D$406,$U150)+MOD(SISTEM!$F$8-WEEKDAY(INDEX(UCRETLER!$D$7:$D$406,$U150),2),7)+7*($V150-1))))</f>
        <v/>
      </c>
      <c r="X150" s="3">
        <f>IF($U150=0,0,INDEX(UCRETLER!$G$7:$G$406,$U150))</f>
        <v/>
      </c>
      <c r="Y150" s="3">
        <f>IFERROR(SMALL($T$12:$T$372,ROW()-11),"")</f>
        <v/>
      </c>
      <c r="Z150" s="3">
        <f>IFERROR(MATCH($Y150,$T$12:$T$372,0),"")</f>
        <v/>
      </c>
      <c r="AA150" s="3" t="n"/>
      <c r="AB150" s="3" t="n"/>
      <c r="AC150" s="3" t="n"/>
    </row>
    <row r="151">
      <c r="A151" s="6" t="n"/>
      <c r="B151" s="158">
        <f>IF($C151="","",ROW()-11)</f>
        <v/>
      </c>
      <c r="C151" s="247">
        <f>IF($Z151="","",IF(INDEX($N$12:$N$372,$Z151)="","",INDEX($N$12:$N$372,$Z151)))</f>
        <v/>
      </c>
      <c r="D151" s="29">
        <f>IF($C151="","",INDEX($O$12:$O$372,$Z151))</f>
        <v/>
      </c>
      <c r="E151" s="158">
        <f>IF($C151="","",INDEX($P$12:$P$372,$Z151))</f>
        <v/>
      </c>
      <c r="F151" s="29">
        <f>IF($C151="","",INDEX($Q$12:$Q$372,$Z151))</f>
        <v/>
      </c>
      <c r="G151" s="248">
        <f>IF($C151="","",INDEX($R$12:$R$372,$Z151))</f>
        <v/>
      </c>
      <c r="H151" s="248">
        <f>IF($C151="","",INDEX($S$12:$S$372,$Z151))</f>
        <v/>
      </c>
      <c r="I151" s="248">
        <f>IF($C151="","",N($I150)+$G151-$H151)</f>
        <v/>
      </c>
      <c r="J151" s="6" t="n"/>
      <c r="K151" s="6" t="n"/>
      <c r="L151" s="3" t="n"/>
      <c r="M151" s="3" t="n">
        <v>140</v>
      </c>
      <c r="N151" s="3">
        <f>IF(OR($U151=0,$W151="",$X151&lt;=0),"",IF($W151&gt;TODAY(),"",IF(AND(INDEX(UCRETLER!$E$7:$E$406,$U151)&lt;&gt;"",$W151&gt;INDEX(UCRETLER!$E$7:$E$406,$U151)),"",$W151)))</f>
        <v/>
      </c>
      <c r="O151" s="3">
        <f>IF($N151="","",IF(INDEX(UCRETLER!$F$7:$F$406,$U151)="Aylık",TEXT($N151,"mmmm yyyy")&amp;" aylık muhasebe hizmet ücreti",TEXT($N151,"dd.mm.yyyy")&amp;" haftalık muhasebe hizmet ücreti"))</f>
        <v/>
      </c>
      <c r="P151" s="3">
        <f>IF($N151="","","TAHAKKUK")</f>
        <v/>
      </c>
      <c r="Q151" s="3">
        <f>IF($N151="","","600 Muhasebe Hizmet Geliri")</f>
        <v/>
      </c>
      <c r="R151" s="3">
        <f>IF($N151="",0,$X151)</f>
        <v/>
      </c>
      <c r="S151" s="3" t="n">
        <v>0</v>
      </c>
      <c r="T151" s="3">
        <f>IF($N151="",10000000000,$N151*100000+$M151)</f>
        <v/>
      </c>
      <c r="U151" s="3">
        <f>$AB$5</f>
        <v/>
      </c>
      <c r="V151" s="3" t="n">
        <v>59</v>
      </c>
      <c r="W151" s="3">
        <f>IF($U151=0,"",IF(INDEX(UCRETLER!$D$7:$D$406,$U151)="","",IF(INDEX(UCRETLER!$F$7:$F$406,$U151)="Aylık",EOMONTH(INDEX(UCRETLER!$D$7:$D$406,$U151),$V151-1),INDEX(UCRETLER!$D$7:$D$406,$U151)+MOD(SISTEM!$F$8-WEEKDAY(INDEX(UCRETLER!$D$7:$D$406,$U151),2),7)+7*($V151-1))))</f>
        <v/>
      </c>
      <c r="X151" s="3">
        <f>IF($U151=0,0,INDEX(UCRETLER!$G$7:$G$406,$U151))</f>
        <v/>
      </c>
      <c r="Y151" s="3">
        <f>IFERROR(SMALL($T$12:$T$372,ROW()-11),"")</f>
        <v/>
      </c>
      <c r="Z151" s="3">
        <f>IFERROR(MATCH($Y151,$T$12:$T$372,0),"")</f>
        <v/>
      </c>
      <c r="AA151" s="3" t="n"/>
      <c r="AB151" s="3" t="n"/>
      <c r="AC151" s="3" t="n"/>
    </row>
    <row r="152">
      <c r="A152" s="6" t="n"/>
      <c r="B152" s="158">
        <f>IF($C152="","",ROW()-11)</f>
        <v/>
      </c>
      <c r="C152" s="247">
        <f>IF($Z152="","",IF(INDEX($N$12:$N$372,$Z152)="","",INDEX($N$12:$N$372,$Z152)))</f>
        <v/>
      </c>
      <c r="D152" s="29">
        <f>IF($C152="","",INDEX($O$12:$O$372,$Z152))</f>
        <v/>
      </c>
      <c r="E152" s="158">
        <f>IF($C152="","",INDEX($P$12:$P$372,$Z152))</f>
        <v/>
      </c>
      <c r="F152" s="29">
        <f>IF($C152="","",INDEX($Q$12:$Q$372,$Z152))</f>
        <v/>
      </c>
      <c r="G152" s="248">
        <f>IF($C152="","",INDEX($R$12:$R$372,$Z152))</f>
        <v/>
      </c>
      <c r="H152" s="248">
        <f>IF($C152="","",INDEX($S$12:$S$372,$Z152))</f>
        <v/>
      </c>
      <c r="I152" s="248">
        <f>IF($C152="","",N($I151)+$G152-$H152)</f>
        <v/>
      </c>
      <c r="J152" s="6" t="n"/>
      <c r="K152" s="6" t="n"/>
      <c r="L152" s="3" t="n"/>
      <c r="M152" s="3" t="n">
        <v>141</v>
      </c>
      <c r="N152" s="3">
        <f>IF(OR($U152=0,$W152="",$X152&lt;=0),"",IF($W152&gt;TODAY(),"",IF(AND(INDEX(UCRETLER!$E$7:$E$406,$U152)&lt;&gt;"",$W152&gt;INDEX(UCRETLER!$E$7:$E$406,$U152)),"",$W152)))</f>
        <v/>
      </c>
      <c r="O152" s="3">
        <f>IF($N152="","",IF(INDEX(UCRETLER!$F$7:$F$406,$U152)="Aylık",TEXT($N152,"mmmm yyyy")&amp;" aylık muhasebe hizmet ücreti",TEXT($N152,"dd.mm.yyyy")&amp;" haftalık muhasebe hizmet ücreti"))</f>
        <v/>
      </c>
      <c r="P152" s="3">
        <f>IF($N152="","","TAHAKKUK")</f>
        <v/>
      </c>
      <c r="Q152" s="3">
        <f>IF($N152="","","600 Muhasebe Hizmet Geliri")</f>
        <v/>
      </c>
      <c r="R152" s="3">
        <f>IF($N152="",0,$X152)</f>
        <v/>
      </c>
      <c r="S152" s="3" t="n">
        <v>0</v>
      </c>
      <c r="T152" s="3">
        <f>IF($N152="",10000000000,$N152*100000+$M152)</f>
        <v/>
      </c>
      <c r="U152" s="3">
        <f>$AB$5</f>
        <v/>
      </c>
      <c r="V152" s="3" t="n">
        <v>60</v>
      </c>
      <c r="W152" s="3">
        <f>IF($U152=0,"",IF(INDEX(UCRETLER!$D$7:$D$406,$U152)="","",IF(INDEX(UCRETLER!$F$7:$F$406,$U152)="Aylık",EOMONTH(INDEX(UCRETLER!$D$7:$D$406,$U152),$V152-1),INDEX(UCRETLER!$D$7:$D$406,$U152)+MOD(SISTEM!$F$8-WEEKDAY(INDEX(UCRETLER!$D$7:$D$406,$U152),2),7)+7*($V152-1))))</f>
        <v/>
      </c>
      <c r="X152" s="3">
        <f>IF($U152=0,0,INDEX(UCRETLER!$G$7:$G$406,$U152))</f>
        <v/>
      </c>
      <c r="Y152" s="3">
        <f>IFERROR(SMALL($T$12:$T$372,ROW()-11),"")</f>
        <v/>
      </c>
      <c r="Z152" s="3">
        <f>IFERROR(MATCH($Y152,$T$12:$T$372,0),"")</f>
        <v/>
      </c>
      <c r="AA152" s="3" t="n"/>
      <c r="AB152" s="3" t="n"/>
      <c r="AC152" s="3" t="n"/>
    </row>
    <row r="153">
      <c r="A153" s="6" t="n"/>
      <c r="B153" s="158">
        <f>IF($C153="","",ROW()-11)</f>
        <v/>
      </c>
      <c r="C153" s="247">
        <f>IF($Z153="","",IF(INDEX($N$12:$N$372,$Z153)="","",INDEX($N$12:$N$372,$Z153)))</f>
        <v/>
      </c>
      <c r="D153" s="29">
        <f>IF($C153="","",INDEX($O$12:$O$372,$Z153))</f>
        <v/>
      </c>
      <c r="E153" s="158">
        <f>IF($C153="","",INDEX($P$12:$P$372,$Z153))</f>
        <v/>
      </c>
      <c r="F153" s="29">
        <f>IF($C153="","",INDEX($Q$12:$Q$372,$Z153))</f>
        <v/>
      </c>
      <c r="G153" s="248">
        <f>IF($C153="","",INDEX($R$12:$R$372,$Z153))</f>
        <v/>
      </c>
      <c r="H153" s="248">
        <f>IF($C153="","",INDEX($S$12:$S$372,$Z153))</f>
        <v/>
      </c>
      <c r="I153" s="248">
        <f>IF($C153="","",N($I152)+$G153-$H153)</f>
        <v/>
      </c>
      <c r="J153" s="6" t="n"/>
      <c r="K153" s="6" t="n"/>
      <c r="L153" s="3" t="n"/>
      <c r="M153" s="3" t="n">
        <v>142</v>
      </c>
      <c r="N153" s="3">
        <f>IF(OR($U153=0,$W153="",$X153&lt;=0),"",IF($W153&gt;TODAY(),"",IF(AND(INDEX(UCRETLER!$E$7:$E$406,$U153)&lt;&gt;"",$W153&gt;INDEX(UCRETLER!$E$7:$E$406,$U153)),"",$W153)))</f>
        <v/>
      </c>
      <c r="O153" s="3">
        <f>IF($N153="","",IF(INDEX(UCRETLER!$F$7:$F$406,$U153)="Aylık",TEXT($N153,"mmmm yyyy")&amp;" aylık muhasebe hizmet ücreti",TEXT($N153,"dd.mm.yyyy")&amp;" haftalık muhasebe hizmet ücreti"))</f>
        <v/>
      </c>
      <c r="P153" s="3">
        <f>IF($N153="","","TAHAKKUK")</f>
        <v/>
      </c>
      <c r="Q153" s="3">
        <f>IF($N153="","","600 Muhasebe Hizmet Geliri")</f>
        <v/>
      </c>
      <c r="R153" s="3">
        <f>IF($N153="",0,$X153)</f>
        <v/>
      </c>
      <c r="S153" s="3" t="n">
        <v>0</v>
      </c>
      <c r="T153" s="3">
        <f>IF($N153="",10000000000,$N153*100000+$M153)</f>
        <v/>
      </c>
      <c r="U153" s="3">
        <f>$AB$5</f>
        <v/>
      </c>
      <c r="V153" s="3" t="n">
        <v>61</v>
      </c>
      <c r="W153" s="3">
        <f>IF($U153=0,"",IF(INDEX(UCRETLER!$D$7:$D$406,$U153)="","",IF(INDEX(UCRETLER!$F$7:$F$406,$U153)="Aylık",EOMONTH(INDEX(UCRETLER!$D$7:$D$406,$U153),$V153-1),INDEX(UCRETLER!$D$7:$D$406,$U153)+MOD(SISTEM!$F$8-WEEKDAY(INDEX(UCRETLER!$D$7:$D$406,$U153),2),7)+7*($V153-1))))</f>
        <v/>
      </c>
      <c r="X153" s="3">
        <f>IF($U153=0,0,INDEX(UCRETLER!$G$7:$G$406,$U153))</f>
        <v/>
      </c>
      <c r="Y153" s="3">
        <f>IFERROR(SMALL($T$12:$T$372,ROW()-11),"")</f>
        <v/>
      </c>
      <c r="Z153" s="3">
        <f>IFERROR(MATCH($Y153,$T$12:$T$372,0),"")</f>
        <v/>
      </c>
      <c r="AA153" s="3" t="n"/>
      <c r="AB153" s="3" t="n"/>
      <c r="AC153" s="3" t="n"/>
    </row>
    <row r="154">
      <c r="A154" s="6" t="n"/>
      <c r="B154" s="158">
        <f>IF($C154="","",ROW()-11)</f>
        <v/>
      </c>
      <c r="C154" s="247">
        <f>IF($Z154="","",IF(INDEX($N$12:$N$372,$Z154)="","",INDEX($N$12:$N$372,$Z154)))</f>
        <v/>
      </c>
      <c r="D154" s="29">
        <f>IF($C154="","",INDEX($O$12:$O$372,$Z154))</f>
        <v/>
      </c>
      <c r="E154" s="158">
        <f>IF($C154="","",INDEX($P$12:$P$372,$Z154))</f>
        <v/>
      </c>
      <c r="F154" s="29">
        <f>IF($C154="","",INDEX($Q$12:$Q$372,$Z154))</f>
        <v/>
      </c>
      <c r="G154" s="248">
        <f>IF($C154="","",INDEX($R$12:$R$372,$Z154))</f>
        <v/>
      </c>
      <c r="H154" s="248">
        <f>IF($C154="","",INDEX($S$12:$S$372,$Z154))</f>
        <v/>
      </c>
      <c r="I154" s="248">
        <f>IF($C154="","",N($I153)+$G154-$H154)</f>
        <v/>
      </c>
      <c r="J154" s="6" t="n"/>
      <c r="K154" s="6" t="n"/>
      <c r="L154" s="3" t="n"/>
      <c r="M154" s="3" t="n">
        <v>143</v>
      </c>
      <c r="N154" s="3">
        <f>IF(OR($U154=0,$W154="",$X154&lt;=0),"",IF($W154&gt;TODAY(),"",IF(AND(INDEX(UCRETLER!$E$7:$E$406,$U154)&lt;&gt;"",$W154&gt;INDEX(UCRETLER!$E$7:$E$406,$U154)),"",$W154)))</f>
        <v/>
      </c>
      <c r="O154" s="3">
        <f>IF($N154="","",IF(INDEX(UCRETLER!$F$7:$F$406,$U154)="Aylık",TEXT($N154,"mmmm yyyy")&amp;" aylık muhasebe hizmet ücreti",TEXT($N154,"dd.mm.yyyy")&amp;" haftalık muhasebe hizmet ücreti"))</f>
        <v/>
      </c>
      <c r="P154" s="3">
        <f>IF($N154="","","TAHAKKUK")</f>
        <v/>
      </c>
      <c r="Q154" s="3">
        <f>IF($N154="","","600 Muhasebe Hizmet Geliri")</f>
        <v/>
      </c>
      <c r="R154" s="3">
        <f>IF($N154="",0,$X154)</f>
        <v/>
      </c>
      <c r="S154" s="3" t="n">
        <v>0</v>
      </c>
      <c r="T154" s="3">
        <f>IF($N154="",10000000000,$N154*100000+$M154)</f>
        <v/>
      </c>
      <c r="U154" s="3">
        <f>$AB$5</f>
        <v/>
      </c>
      <c r="V154" s="3" t="n">
        <v>62</v>
      </c>
      <c r="W154" s="3">
        <f>IF($U154=0,"",IF(INDEX(UCRETLER!$D$7:$D$406,$U154)="","",IF(INDEX(UCRETLER!$F$7:$F$406,$U154)="Aylık",EOMONTH(INDEX(UCRETLER!$D$7:$D$406,$U154),$V154-1),INDEX(UCRETLER!$D$7:$D$406,$U154)+MOD(SISTEM!$F$8-WEEKDAY(INDEX(UCRETLER!$D$7:$D$406,$U154),2),7)+7*($V154-1))))</f>
        <v/>
      </c>
      <c r="X154" s="3">
        <f>IF($U154=0,0,INDEX(UCRETLER!$G$7:$G$406,$U154))</f>
        <v/>
      </c>
      <c r="Y154" s="3">
        <f>IFERROR(SMALL($T$12:$T$372,ROW()-11),"")</f>
        <v/>
      </c>
      <c r="Z154" s="3">
        <f>IFERROR(MATCH($Y154,$T$12:$T$372,0),"")</f>
        <v/>
      </c>
      <c r="AA154" s="3" t="n"/>
      <c r="AB154" s="3" t="n"/>
      <c r="AC154" s="3" t="n"/>
    </row>
    <row r="155">
      <c r="A155" s="6" t="n"/>
      <c r="B155" s="158">
        <f>IF($C155="","",ROW()-11)</f>
        <v/>
      </c>
      <c r="C155" s="247">
        <f>IF($Z155="","",IF(INDEX($N$12:$N$372,$Z155)="","",INDEX($N$12:$N$372,$Z155)))</f>
        <v/>
      </c>
      <c r="D155" s="29">
        <f>IF($C155="","",INDEX($O$12:$O$372,$Z155))</f>
        <v/>
      </c>
      <c r="E155" s="158">
        <f>IF($C155="","",INDEX($P$12:$P$372,$Z155))</f>
        <v/>
      </c>
      <c r="F155" s="29">
        <f>IF($C155="","",INDEX($Q$12:$Q$372,$Z155))</f>
        <v/>
      </c>
      <c r="G155" s="248">
        <f>IF($C155="","",INDEX($R$12:$R$372,$Z155))</f>
        <v/>
      </c>
      <c r="H155" s="248">
        <f>IF($C155="","",INDEX($S$12:$S$372,$Z155))</f>
        <v/>
      </c>
      <c r="I155" s="248">
        <f>IF($C155="","",N($I154)+$G155-$H155)</f>
        <v/>
      </c>
      <c r="J155" s="6" t="n"/>
      <c r="K155" s="6" t="n"/>
      <c r="L155" s="3" t="n"/>
      <c r="M155" s="3" t="n">
        <v>144</v>
      </c>
      <c r="N155" s="3">
        <f>IF(OR($U155=0,$W155="",$X155&lt;=0),"",IF($W155&gt;TODAY(),"",IF(AND(INDEX(UCRETLER!$E$7:$E$406,$U155)&lt;&gt;"",$W155&gt;INDEX(UCRETLER!$E$7:$E$406,$U155)),"",$W155)))</f>
        <v/>
      </c>
      <c r="O155" s="3">
        <f>IF($N155="","",IF(INDEX(UCRETLER!$F$7:$F$406,$U155)="Aylık",TEXT($N155,"mmmm yyyy")&amp;" aylık muhasebe hizmet ücreti",TEXT($N155,"dd.mm.yyyy")&amp;" haftalık muhasebe hizmet ücreti"))</f>
        <v/>
      </c>
      <c r="P155" s="3">
        <f>IF($N155="","","TAHAKKUK")</f>
        <v/>
      </c>
      <c r="Q155" s="3">
        <f>IF($N155="","","600 Muhasebe Hizmet Geliri")</f>
        <v/>
      </c>
      <c r="R155" s="3">
        <f>IF($N155="",0,$X155)</f>
        <v/>
      </c>
      <c r="S155" s="3" t="n">
        <v>0</v>
      </c>
      <c r="T155" s="3">
        <f>IF($N155="",10000000000,$N155*100000+$M155)</f>
        <v/>
      </c>
      <c r="U155" s="3">
        <f>$AB$5</f>
        <v/>
      </c>
      <c r="V155" s="3" t="n">
        <v>63</v>
      </c>
      <c r="W155" s="3">
        <f>IF($U155=0,"",IF(INDEX(UCRETLER!$D$7:$D$406,$U155)="","",IF(INDEX(UCRETLER!$F$7:$F$406,$U155)="Aylık",EOMONTH(INDEX(UCRETLER!$D$7:$D$406,$U155),$V155-1),INDEX(UCRETLER!$D$7:$D$406,$U155)+MOD(SISTEM!$F$8-WEEKDAY(INDEX(UCRETLER!$D$7:$D$406,$U155),2),7)+7*($V155-1))))</f>
        <v/>
      </c>
      <c r="X155" s="3">
        <f>IF($U155=0,0,INDEX(UCRETLER!$G$7:$G$406,$U155))</f>
        <v/>
      </c>
      <c r="Y155" s="3">
        <f>IFERROR(SMALL($T$12:$T$372,ROW()-11),"")</f>
        <v/>
      </c>
      <c r="Z155" s="3">
        <f>IFERROR(MATCH($Y155,$T$12:$T$372,0),"")</f>
        <v/>
      </c>
      <c r="AA155" s="3" t="n"/>
      <c r="AB155" s="3" t="n"/>
      <c r="AC155" s="3" t="n"/>
    </row>
    <row r="156">
      <c r="A156" s="6" t="n"/>
      <c r="B156" s="158">
        <f>IF($C156="","",ROW()-11)</f>
        <v/>
      </c>
      <c r="C156" s="247">
        <f>IF($Z156="","",IF(INDEX($N$12:$N$372,$Z156)="","",INDEX($N$12:$N$372,$Z156)))</f>
        <v/>
      </c>
      <c r="D156" s="29">
        <f>IF($C156="","",INDEX($O$12:$O$372,$Z156))</f>
        <v/>
      </c>
      <c r="E156" s="158">
        <f>IF($C156="","",INDEX($P$12:$P$372,$Z156))</f>
        <v/>
      </c>
      <c r="F156" s="29">
        <f>IF($C156="","",INDEX($Q$12:$Q$372,$Z156))</f>
        <v/>
      </c>
      <c r="G156" s="248">
        <f>IF($C156="","",INDEX($R$12:$R$372,$Z156))</f>
        <v/>
      </c>
      <c r="H156" s="248">
        <f>IF($C156="","",INDEX($S$12:$S$372,$Z156))</f>
        <v/>
      </c>
      <c r="I156" s="248">
        <f>IF($C156="","",N($I155)+$G156-$H156)</f>
        <v/>
      </c>
      <c r="J156" s="6" t="n"/>
      <c r="K156" s="6" t="n"/>
      <c r="L156" s="3" t="n"/>
      <c r="M156" s="3" t="n">
        <v>145</v>
      </c>
      <c r="N156" s="3">
        <f>IF(OR($U156=0,$W156="",$X156&lt;=0),"",IF($W156&gt;TODAY(),"",IF(AND(INDEX(UCRETLER!$E$7:$E$406,$U156)&lt;&gt;"",$W156&gt;INDEX(UCRETLER!$E$7:$E$406,$U156)),"",$W156)))</f>
        <v/>
      </c>
      <c r="O156" s="3">
        <f>IF($N156="","",IF(INDEX(UCRETLER!$F$7:$F$406,$U156)="Aylık",TEXT($N156,"mmmm yyyy")&amp;" aylık muhasebe hizmet ücreti",TEXT($N156,"dd.mm.yyyy")&amp;" haftalık muhasebe hizmet ücreti"))</f>
        <v/>
      </c>
      <c r="P156" s="3">
        <f>IF($N156="","","TAHAKKUK")</f>
        <v/>
      </c>
      <c r="Q156" s="3">
        <f>IF($N156="","","600 Muhasebe Hizmet Geliri")</f>
        <v/>
      </c>
      <c r="R156" s="3">
        <f>IF($N156="",0,$X156)</f>
        <v/>
      </c>
      <c r="S156" s="3" t="n">
        <v>0</v>
      </c>
      <c r="T156" s="3">
        <f>IF($N156="",10000000000,$N156*100000+$M156)</f>
        <v/>
      </c>
      <c r="U156" s="3">
        <f>$AB$5</f>
        <v/>
      </c>
      <c r="V156" s="3" t="n">
        <v>64</v>
      </c>
      <c r="W156" s="3">
        <f>IF($U156=0,"",IF(INDEX(UCRETLER!$D$7:$D$406,$U156)="","",IF(INDEX(UCRETLER!$F$7:$F$406,$U156)="Aylık",EOMONTH(INDEX(UCRETLER!$D$7:$D$406,$U156),$V156-1),INDEX(UCRETLER!$D$7:$D$406,$U156)+MOD(SISTEM!$F$8-WEEKDAY(INDEX(UCRETLER!$D$7:$D$406,$U156),2),7)+7*($V156-1))))</f>
        <v/>
      </c>
      <c r="X156" s="3">
        <f>IF($U156=0,0,INDEX(UCRETLER!$G$7:$G$406,$U156))</f>
        <v/>
      </c>
      <c r="Y156" s="3">
        <f>IFERROR(SMALL($T$12:$T$372,ROW()-11),"")</f>
        <v/>
      </c>
      <c r="Z156" s="3">
        <f>IFERROR(MATCH($Y156,$T$12:$T$372,0),"")</f>
        <v/>
      </c>
      <c r="AA156" s="3" t="n"/>
      <c r="AB156" s="3" t="n"/>
      <c r="AC156" s="3" t="n"/>
    </row>
    <row r="157">
      <c r="A157" s="6" t="n"/>
      <c r="B157" s="158">
        <f>IF($C157="","",ROW()-11)</f>
        <v/>
      </c>
      <c r="C157" s="247">
        <f>IF($Z157="","",IF(INDEX($N$12:$N$372,$Z157)="","",INDEX($N$12:$N$372,$Z157)))</f>
        <v/>
      </c>
      <c r="D157" s="29">
        <f>IF($C157="","",INDEX($O$12:$O$372,$Z157))</f>
        <v/>
      </c>
      <c r="E157" s="158">
        <f>IF($C157="","",INDEX($P$12:$P$372,$Z157))</f>
        <v/>
      </c>
      <c r="F157" s="29">
        <f>IF($C157="","",INDEX($Q$12:$Q$372,$Z157))</f>
        <v/>
      </c>
      <c r="G157" s="248">
        <f>IF($C157="","",INDEX($R$12:$R$372,$Z157))</f>
        <v/>
      </c>
      <c r="H157" s="248">
        <f>IF($C157="","",INDEX($S$12:$S$372,$Z157))</f>
        <v/>
      </c>
      <c r="I157" s="248">
        <f>IF($C157="","",N($I156)+$G157-$H157)</f>
        <v/>
      </c>
      <c r="J157" s="6" t="n"/>
      <c r="K157" s="6" t="n"/>
      <c r="L157" s="3" t="n"/>
      <c r="M157" s="3" t="n">
        <v>146</v>
      </c>
      <c r="N157" s="3">
        <f>IF(OR($U157=0,$W157="",$X157&lt;=0),"",IF($W157&gt;TODAY(),"",IF(AND(INDEX(UCRETLER!$E$7:$E$406,$U157)&lt;&gt;"",$W157&gt;INDEX(UCRETLER!$E$7:$E$406,$U157)),"",$W157)))</f>
        <v/>
      </c>
      <c r="O157" s="3">
        <f>IF($N157="","",IF(INDEX(UCRETLER!$F$7:$F$406,$U157)="Aylık",TEXT($N157,"mmmm yyyy")&amp;" aylık muhasebe hizmet ücreti",TEXT($N157,"dd.mm.yyyy")&amp;" haftalık muhasebe hizmet ücreti"))</f>
        <v/>
      </c>
      <c r="P157" s="3">
        <f>IF($N157="","","TAHAKKUK")</f>
        <v/>
      </c>
      <c r="Q157" s="3">
        <f>IF($N157="","","600 Muhasebe Hizmet Geliri")</f>
        <v/>
      </c>
      <c r="R157" s="3">
        <f>IF($N157="",0,$X157)</f>
        <v/>
      </c>
      <c r="S157" s="3" t="n">
        <v>0</v>
      </c>
      <c r="T157" s="3">
        <f>IF($N157="",10000000000,$N157*100000+$M157)</f>
        <v/>
      </c>
      <c r="U157" s="3">
        <f>$AB$5</f>
        <v/>
      </c>
      <c r="V157" s="3" t="n">
        <v>65</v>
      </c>
      <c r="W157" s="3">
        <f>IF($U157=0,"",IF(INDEX(UCRETLER!$D$7:$D$406,$U157)="","",IF(INDEX(UCRETLER!$F$7:$F$406,$U157)="Aylık",EOMONTH(INDEX(UCRETLER!$D$7:$D$406,$U157),$V157-1),INDEX(UCRETLER!$D$7:$D$406,$U157)+MOD(SISTEM!$F$8-WEEKDAY(INDEX(UCRETLER!$D$7:$D$406,$U157),2),7)+7*($V157-1))))</f>
        <v/>
      </c>
      <c r="X157" s="3">
        <f>IF($U157=0,0,INDEX(UCRETLER!$G$7:$G$406,$U157))</f>
        <v/>
      </c>
      <c r="Y157" s="3">
        <f>IFERROR(SMALL($T$12:$T$372,ROW()-11),"")</f>
        <v/>
      </c>
      <c r="Z157" s="3">
        <f>IFERROR(MATCH($Y157,$T$12:$T$372,0),"")</f>
        <v/>
      </c>
      <c r="AA157" s="3" t="n"/>
      <c r="AB157" s="3" t="n"/>
      <c r="AC157" s="3" t="n"/>
    </row>
    <row r="158">
      <c r="A158" s="6" t="n"/>
      <c r="B158" s="158">
        <f>IF($C158="","",ROW()-11)</f>
        <v/>
      </c>
      <c r="C158" s="247">
        <f>IF($Z158="","",IF(INDEX($N$12:$N$372,$Z158)="","",INDEX($N$12:$N$372,$Z158)))</f>
        <v/>
      </c>
      <c r="D158" s="29">
        <f>IF($C158="","",INDEX($O$12:$O$372,$Z158))</f>
        <v/>
      </c>
      <c r="E158" s="158">
        <f>IF($C158="","",INDEX($P$12:$P$372,$Z158))</f>
        <v/>
      </c>
      <c r="F158" s="29">
        <f>IF($C158="","",INDEX($Q$12:$Q$372,$Z158))</f>
        <v/>
      </c>
      <c r="G158" s="248">
        <f>IF($C158="","",INDEX($R$12:$R$372,$Z158))</f>
        <v/>
      </c>
      <c r="H158" s="248">
        <f>IF($C158="","",INDEX($S$12:$S$372,$Z158))</f>
        <v/>
      </c>
      <c r="I158" s="248">
        <f>IF($C158="","",N($I157)+$G158-$H158)</f>
        <v/>
      </c>
      <c r="J158" s="6" t="n"/>
      <c r="K158" s="6" t="n"/>
      <c r="L158" s="3" t="n"/>
      <c r="M158" s="3" t="n">
        <v>147</v>
      </c>
      <c r="N158" s="3">
        <f>IF(OR($U158=0,$W158="",$X158&lt;=0),"",IF($W158&gt;TODAY(),"",IF(AND(INDEX(UCRETLER!$E$7:$E$406,$U158)&lt;&gt;"",$W158&gt;INDEX(UCRETLER!$E$7:$E$406,$U158)),"",$W158)))</f>
        <v/>
      </c>
      <c r="O158" s="3">
        <f>IF($N158="","",IF(INDEX(UCRETLER!$F$7:$F$406,$U158)="Aylık",TEXT($N158,"mmmm yyyy")&amp;" aylık muhasebe hizmet ücreti",TEXT($N158,"dd.mm.yyyy")&amp;" haftalık muhasebe hizmet ücreti"))</f>
        <v/>
      </c>
      <c r="P158" s="3">
        <f>IF($N158="","","TAHAKKUK")</f>
        <v/>
      </c>
      <c r="Q158" s="3">
        <f>IF($N158="","","600 Muhasebe Hizmet Geliri")</f>
        <v/>
      </c>
      <c r="R158" s="3">
        <f>IF($N158="",0,$X158)</f>
        <v/>
      </c>
      <c r="S158" s="3" t="n">
        <v>0</v>
      </c>
      <c r="T158" s="3">
        <f>IF($N158="",10000000000,$N158*100000+$M158)</f>
        <v/>
      </c>
      <c r="U158" s="3">
        <f>$AB$5</f>
        <v/>
      </c>
      <c r="V158" s="3" t="n">
        <v>66</v>
      </c>
      <c r="W158" s="3">
        <f>IF($U158=0,"",IF(INDEX(UCRETLER!$D$7:$D$406,$U158)="","",IF(INDEX(UCRETLER!$F$7:$F$406,$U158)="Aylık",EOMONTH(INDEX(UCRETLER!$D$7:$D$406,$U158),$V158-1),INDEX(UCRETLER!$D$7:$D$406,$U158)+MOD(SISTEM!$F$8-WEEKDAY(INDEX(UCRETLER!$D$7:$D$406,$U158),2),7)+7*($V158-1))))</f>
        <v/>
      </c>
      <c r="X158" s="3">
        <f>IF($U158=0,0,INDEX(UCRETLER!$G$7:$G$406,$U158))</f>
        <v/>
      </c>
      <c r="Y158" s="3">
        <f>IFERROR(SMALL($T$12:$T$372,ROW()-11),"")</f>
        <v/>
      </c>
      <c r="Z158" s="3">
        <f>IFERROR(MATCH($Y158,$T$12:$T$372,0),"")</f>
        <v/>
      </c>
      <c r="AA158" s="3" t="n"/>
      <c r="AB158" s="3" t="n"/>
      <c r="AC158" s="3" t="n"/>
    </row>
    <row r="159">
      <c r="A159" s="6" t="n"/>
      <c r="B159" s="158">
        <f>IF($C159="","",ROW()-11)</f>
        <v/>
      </c>
      <c r="C159" s="247">
        <f>IF($Z159="","",IF(INDEX($N$12:$N$372,$Z159)="","",INDEX($N$12:$N$372,$Z159)))</f>
        <v/>
      </c>
      <c r="D159" s="29">
        <f>IF($C159="","",INDEX($O$12:$O$372,$Z159))</f>
        <v/>
      </c>
      <c r="E159" s="158">
        <f>IF($C159="","",INDEX($P$12:$P$372,$Z159))</f>
        <v/>
      </c>
      <c r="F159" s="29">
        <f>IF($C159="","",INDEX($Q$12:$Q$372,$Z159))</f>
        <v/>
      </c>
      <c r="G159" s="248">
        <f>IF($C159="","",INDEX($R$12:$R$372,$Z159))</f>
        <v/>
      </c>
      <c r="H159" s="248">
        <f>IF($C159="","",INDEX($S$12:$S$372,$Z159))</f>
        <v/>
      </c>
      <c r="I159" s="248">
        <f>IF($C159="","",N($I158)+$G159-$H159)</f>
        <v/>
      </c>
      <c r="J159" s="6" t="n"/>
      <c r="K159" s="6" t="n"/>
      <c r="L159" s="3" t="n"/>
      <c r="M159" s="3" t="n">
        <v>148</v>
      </c>
      <c r="N159" s="3">
        <f>IF(OR($U159=0,$W159="",$X159&lt;=0),"",IF($W159&gt;TODAY(),"",IF(AND(INDEX(UCRETLER!$E$7:$E$406,$U159)&lt;&gt;"",$W159&gt;INDEX(UCRETLER!$E$7:$E$406,$U159)),"",$W159)))</f>
        <v/>
      </c>
      <c r="O159" s="3">
        <f>IF($N159="","",IF(INDEX(UCRETLER!$F$7:$F$406,$U159)="Aylık",TEXT($N159,"mmmm yyyy")&amp;" aylık muhasebe hizmet ücreti",TEXT($N159,"dd.mm.yyyy")&amp;" haftalık muhasebe hizmet ücreti"))</f>
        <v/>
      </c>
      <c r="P159" s="3">
        <f>IF($N159="","","TAHAKKUK")</f>
        <v/>
      </c>
      <c r="Q159" s="3">
        <f>IF($N159="","","600 Muhasebe Hizmet Geliri")</f>
        <v/>
      </c>
      <c r="R159" s="3">
        <f>IF($N159="",0,$X159)</f>
        <v/>
      </c>
      <c r="S159" s="3" t="n">
        <v>0</v>
      </c>
      <c r="T159" s="3">
        <f>IF($N159="",10000000000,$N159*100000+$M159)</f>
        <v/>
      </c>
      <c r="U159" s="3">
        <f>$AB$5</f>
        <v/>
      </c>
      <c r="V159" s="3" t="n">
        <v>67</v>
      </c>
      <c r="W159" s="3">
        <f>IF($U159=0,"",IF(INDEX(UCRETLER!$D$7:$D$406,$U159)="","",IF(INDEX(UCRETLER!$F$7:$F$406,$U159)="Aylık",EOMONTH(INDEX(UCRETLER!$D$7:$D$406,$U159),$V159-1),INDEX(UCRETLER!$D$7:$D$406,$U159)+MOD(SISTEM!$F$8-WEEKDAY(INDEX(UCRETLER!$D$7:$D$406,$U159),2),7)+7*($V159-1))))</f>
        <v/>
      </c>
      <c r="X159" s="3">
        <f>IF($U159=0,0,INDEX(UCRETLER!$G$7:$G$406,$U159))</f>
        <v/>
      </c>
      <c r="Y159" s="3">
        <f>IFERROR(SMALL($T$12:$T$372,ROW()-11),"")</f>
        <v/>
      </c>
      <c r="Z159" s="3">
        <f>IFERROR(MATCH($Y159,$T$12:$T$372,0),"")</f>
        <v/>
      </c>
      <c r="AA159" s="3" t="n"/>
      <c r="AB159" s="3" t="n"/>
      <c r="AC159" s="3" t="n"/>
    </row>
    <row r="160">
      <c r="A160" s="6" t="n"/>
      <c r="B160" s="158">
        <f>IF($C160="","",ROW()-11)</f>
        <v/>
      </c>
      <c r="C160" s="247">
        <f>IF($Z160="","",IF(INDEX($N$12:$N$372,$Z160)="","",INDEX($N$12:$N$372,$Z160)))</f>
        <v/>
      </c>
      <c r="D160" s="29">
        <f>IF($C160="","",INDEX($O$12:$O$372,$Z160))</f>
        <v/>
      </c>
      <c r="E160" s="158">
        <f>IF($C160="","",INDEX($P$12:$P$372,$Z160))</f>
        <v/>
      </c>
      <c r="F160" s="29">
        <f>IF($C160="","",INDEX($Q$12:$Q$372,$Z160))</f>
        <v/>
      </c>
      <c r="G160" s="248">
        <f>IF($C160="","",INDEX($R$12:$R$372,$Z160))</f>
        <v/>
      </c>
      <c r="H160" s="248">
        <f>IF($C160="","",INDEX($S$12:$S$372,$Z160))</f>
        <v/>
      </c>
      <c r="I160" s="248">
        <f>IF($C160="","",N($I159)+$G160-$H160)</f>
        <v/>
      </c>
      <c r="J160" s="6" t="n"/>
      <c r="K160" s="6" t="n"/>
      <c r="L160" s="3" t="n"/>
      <c r="M160" s="3" t="n">
        <v>149</v>
      </c>
      <c r="N160" s="3">
        <f>IF(OR($U160=0,$W160="",$X160&lt;=0),"",IF($W160&gt;TODAY(),"",IF(AND(INDEX(UCRETLER!$E$7:$E$406,$U160)&lt;&gt;"",$W160&gt;INDEX(UCRETLER!$E$7:$E$406,$U160)),"",$W160)))</f>
        <v/>
      </c>
      <c r="O160" s="3">
        <f>IF($N160="","",IF(INDEX(UCRETLER!$F$7:$F$406,$U160)="Aylık",TEXT($N160,"mmmm yyyy")&amp;" aylık muhasebe hizmet ücreti",TEXT($N160,"dd.mm.yyyy")&amp;" haftalık muhasebe hizmet ücreti"))</f>
        <v/>
      </c>
      <c r="P160" s="3">
        <f>IF($N160="","","TAHAKKUK")</f>
        <v/>
      </c>
      <c r="Q160" s="3">
        <f>IF($N160="","","600 Muhasebe Hizmet Geliri")</f>
        <v/>
      </c>
      <c r="R160" s="3">
        <f>IF($N160="",0,$X160)</f>
        <v/>
      </c>
      <c r="S160" s="3" t="n">
        <v>0</v>
      </c>
      <c r="T160" s="3">
        <f>IF($N160="",10000000000,$N160*100000+$M160)</f>
        <v/>
      </c>
      <c r="U160" s="3">
        <f>$AB$5</f>
        <v/>
      </c>
      <c r="V160" s="3" t="n">
        <v>68</v>
      </c>
      <c r="W160" s="3">
        <f>IF($U160=0,"",IF(INDEX(UCRETLER!$D$7:$D$406,$U160)="","",IF(INDEX(UCRETLER!$F$7:$F$406,$U160)="Aylık",EOMONTH(INDEX(UCRETLER!$D$7:$D$406,$U160),$V160-1),INDEX(UCRETLER!$D$7:$D$406,$U160)+MOD(SISTEM!$F$8-WEEKDAY(INDEX(UCRETLER!$D$7:$D$406,$U160),2),7)+7*($V160-1))))</f>
        <v/>
      </c>
      <c r="X160" s="3">
        <f>IF($U160=0,0,INDEX(UCRETLER!$G$7:$G$406,$U160))</f>
        <v/>
      </c>
      <c r="Y160" s="3">
        <f>IFERROR(SMALL($T$12:$T$372,ROW()-11),"")</f>
        <v/>
      </c>
      <c r="Z160" s="3">
        <f>IFERROR(MATCH($Y160,$T$12:$T$372,0),"")</f>
        <v/>
      </c>
      <c r="AA160" s="3" t="n"/>
      <c r="AB160" s="3" t="n"/>
      <c r="AC160" s="3" t="n"/>
    </row>
    <row r="161">
      <c r="A161" s="6" t="n"/>
      <c r="B161" s="158">
        <f>IF($C161="","",ROW()-11)</f>
        <v/>
      </c>
      <c r="C161" s="247">
        <f>IF($Z161="","",IF(INDEX($N$12:$N$372,$Z161)="","",INDEX($N$12:$N$372,$Z161)))</f>
        <v/>
      </c>
      <c r="D161" s="29">
        <f>IF($C161="","",INDEX($O$12:$O$372,$Z161))</f>
        <v/>
      </c>
      <c r="E161" s="158">
        <f>IF($C161="","",INDEX($P$12:$P$372,$Z161))</f>
        <v/>
      </c>
      <c r="F161" s="29">
        <f>IF($C161="","",INDEX($Q$12:$Q$372,$Z161))</f>
        <v/>
      </c>
      <c r="G161" s="248">
        <f>IF($C161="","",INDEX($R$12:$R$372,$Z161))</f>
        <v/>
      </c>
      <c r="H161" s="248">
        <f>IF($C161="","",INDEX($S$12:$S$372,$Z161))</f>
        <v/>
      </c>
      <c r="I161" s="248">
        <f>IF($C161="","",N($I160)+$G161-$H161)</f>
        <v/>
      </c>
      <c r="J161" s="6" t="n"/>
      <c r="K161" s="6" t="n"/>
      <c r="L161" s="3" t="n"/>
      <c r="M161" s="3" t="n">
        <v>150</v>
      </c>
      <c r="N161" s="3">
        <f>IF(OR($U161=0,$W161="",$X161&lt;=0),"",IF($W161&gt;TODAY(),"",IF(AND(INDEX(UCRETLER!$E$7:$E$406,$U161)&lt;&gt;"",$W161&gt;INDEX(UCRETLER!$E$7:$E$406,$U161)),"",$W161)))</f>
        <v/>
      </c>
      <c r="O161" s="3">
        <f>IF($N161="","",IF(INDEX(UCRETLER!$F$7:$F$406,$U161)="Aylık",TEXT($N161,"mmmm yyyy")&amp;" aylık muhasebe hizmet ücreti",TEXT($N161,"dd.mm.yyyy")&amp;" haftalık muhasebe hizmet ücreti"))</f>
        <v/>
      </c>
      <c r="P161" s="3">
        <f>IF($N161="","","TAHAKKUK")</f>
        <v/>
      </c>
      <c r="Q161" s="3">
        <f>IF($N161="","","600 Muhasebe Hizmet Geliri")</f>
        <v/>
      </c>
      <c r="R161" s="3">
        <f>IF($N161="",0,$X161)</f>
        <v/>
      </c>
      <c r="S161" s="3" t="n">
        <v>0</v>
      </c>
      <c r="T161" s="3">
        <f>IF($N161="",10000000000,$N161*100000+$M161)</f>
        <v/>
      </c>
      <c r="U161" s="3">
        <f>$AB$5</f>
        <v/>
      </c>
      <c r="V161" s="3" t="n">
        <v>69</v>
      </c>
      <c r="W161" s="3">
        <f>IF($U161=0,"",IF(INDEX(UCRETLER!$D$7:$D$406,$U161)="","",IF(INDEX(UCRETLER!$F$7:$F$406,$U161)="Aylık",EOMONTH(INDEX(UCRETLER!$D$7:$D$406,$U161),$V161-1),INDEX(UCRETLER!$D$7:$D$406,$U161)+MOD(SISTEM!$F$8-WEEKDAY(INDEX(UCRETLER!$D$7:$D$406,$U161),2),7)+7*($V161-1))))</f>
        <v/>
      </c>
      <c r="X161" s="3">
        <f>IF($U161=0,0,INDEX(UCRETLER!$G$7:$G$406,$U161))</f>
        <v/>
      </c>
      <c r="Y161" s="3">
        <f>IFERROR(SMALL($T$12:$T$372,ROW()-11),"")</f>
        <v/>
      </c>
      <c r="Z161" s="3">
        <f>IFERROR(MATCH($Y161,$T$12:$T$372,0),"")</f>
        <v/>
      </c>
      <c r="AA161" s="3" t="n"/>
      <c r="AB161" s="3" t="n"/>
      <c r="AC161" s="3" t="n"/>
    </row>
    <row r="162">
      <c r="A162" s="6" t="n"/>
      <c r="B162" s="158">
        <f>IF($C162="","",ROW()-11)</f>
        <v/>
      </c>
      <c r="C162" s="247">
        <f>IF($Z162="","",IF(INDEX($N$12:$N$372,$Z162)="","",INDEX($N$12:$N$372,$Z162)))</f>
        <v/>
      </c>
      <c r="D162" s="29">
        <f>IF($C162="","",INDEX($O$12:$O$372,$Z162))</f>
        <v/>
      </c>
      <c r="E162" s="158">
        <f>IF($C162="","",INDEX($P$12:$P$372,$Z162))</f>
        <v/>
      </c>
      <c r="F162" s="29">
        <f>IF($C162="","",INDEX($Q$12:$Q$372,$Z162))</f>
        <v/>
      </c>
      <c r="G162" s="248">
        <f>IF($C162="","",INDEX($R$12:$R$372,$Z162))</f>
        <v/>
      </c>
      <c r="H162" s="248">
        <f>IF($C162="","",INDEX($S$12:$S$372,$Z162))</f>
        <v/>
      </c>
      <c r="I162" s="248">
        <f>IF($C162="","",N($I161)+$G162-$H162)</f>
        <v/>
      </c>
      <c r="J162" s="6" t="n"/>
      <c r="K162" s="6" t="n"/>
      <c r="L162" s="3" t="n"/>
      <c r="M162" s="3" t="n">
        <v>151</v>
      </c>
      <c r="N162" s="3">
        <f>IF(OR($U162=0,$W162="",$X162&lt;=0),"",IF($W162&gt;TODAY(),"",IF(AND(INDEX(UCRETLER!$E$7:$E$406,$U162)&lt;&gt;"",$W162&gt;INDEX(UCRETLER!$E$7:$E$406,$U162)),"",$W162)))</f>
        <v/>
      </c>
      <c r="O162" s="3">
        <f>IF($N162="","",IF(INDEX(UCRETLER!$F$7:$F$406,$U162)="Aylık",TEXT($N162,"mmmm yyyy")&amp;" aylık muhasebe hizmet ücreti",TEXT($N162,"dd.mm.yyyy")&amp;" haftalık muhasebe hizmet ücreti"))</f>
        <v/>
      </c>
      <c r="P162" s="3">
        <f>IF($N162="","","TAHAKKUK")</f>
        <v/>
      </c>
      <c r="Q162" s="3">
        <f>IF($N162="","","600 Muhasebe Hizmet Geliri")</f>
        <v/>
      </c>
      <c r="R162" s="3">
        <f>IF($N162="",0,$X162)</f>
        <v/>
      </c>
      <c r="S162" s="3" t="n">
        <v>0</v>
      </c>
      <c r="T162" s="3">
        <f>IF($N162="",10000000000,$N162*100000+$M162)</f>
        <v/>
      </c>
      <c r="U162" s="3">
        <f>$AB$5</f>
        <v/>
      </c>
      <c r="V162" s="3" t="n">
        <v>70</v>
      </c>
      <c r="W162" s="3">
        <f>IF($U162=0,"",IF(INDEX(UCRETLER!$D$7:$D$406,$U162)="","",IF(INDEX(UCRETLER!$F$7:$F$406,$U162)="Aylık",EOMONTH(INDEX(UCRETLER!$D$7:$D$406,$U162),$V162-1),INDEX(UCRETLER!$D$7:$D$406,$U162)+MOD(SISTEM!$F$8-WEEKDAY(INDEX(UCRETLER!$D$7:$D$406,$U162),2),7)+7*($V162-1))))</f>
        <v/>
      </c>
      <c r="X162" s="3">
        <f>IF($U162=0,0,INDEX(UCRETLER!$G$7:$G$406,$U162))</f>
        <v/>
      </c>
      <c r="Y162" s="3">
        <f>IFERROR(SMALL($T$12:$T$372,ROW()-11),"")</f>
        <v/>
      </c>
      <c r="Z162" s="3">
        <f>IFERROR(MATCH($Y162,$T$12:$T$372,0),"")</f>
        <v/>
      </c>
      <c r="AA162" s="3" t="n"/>
      <c r="AB162" s="3" t="n"/>
      <c r="AC162" s="3" t="n"/>
    </row>
    <row r="163">
      <c r="A163" s="6" t="n"/>
      <c r="B163" s="158">
        <f>IF($C163="","",ROW()-11)</f>
        <v/>
      </c>
      <c r="C163" s="247">
        <f>IF($Z163="","",IF(INDEX($N$12:$N$372,$Z163)="","",INDEX($N$12:$N$372,$Z163)))</f>
        <v/>
      </c>
      <c r="D163" s="29">
        <f>IF($C163="","",INDEX($O$12:$O$372,$Z163))</f>
        <v/>
      </c>
      <c r="E163" s="158">
        <f>IF($C163="","",INDEX($P$12:$P$372,$Z163))</f>
        <v/>
      </c>
      <c r="F163" s="29">
        <f>IF($C163="","",INDEX($Q$12:$Q$372,$Z163))</f>
        <v/>
      </c>
      <c r="G163" s="248">
        <f>IF($C163="","",INDEX($R$12:$R$372,$Z163))</f>
        <v/>
      </c>
      <c r="H163" s="248">
        <f>IF($C163="","",INDEX($S$12:$S$372,$Z163))</f>
        <v/>
      </c>
      <c r="I163" s="248">
        <f>IF($C163="","",N($I162)+$G163-$H163)</f>
        <v/>
      </c>
      <c r="J163" s="6" t="n"/>
      <c r="K163" s="6" t="n"/>
      <c r="L163" s="3" t="n"/>
      <c r="M163" s="3" t="n">
        <v>152</v>
      </c>
      <c r="N163" s="3">
        <f>IF(OR($U163=0,$W163="",$X163&lt;=0),"",IF($W163&gt;TODAY(),"",IF(AND(INDEX(UCRETLER!$E$7:$E$406,$U163)&lt;&gt;"",$W163&gt;INDEX(UCRETLER!$E$7:$E$406,$U163)),"",$W163)))</f>
        <v/>
      </c>
      <c r="O163" s="3">
        <f>IF($N163="","",IF(INDEX(UCRETLER!$F$7:$F$406,$U163)="Aylık",TEXT($N163,"mmmm yyyy")&amp;" aylık muhasebe hizmet ücreti",TEXT($N163,"dd.mm.yyyy")&amp;" haftalık muhasebe hizmet ücreti"))</f>
        <v/>
      </c>
      <c r="P163" s="3">
        <f>IF($N163="","","TAHAKKUK")</f>
        <v/>
      </c>
      <c r="Q163" s="3">
        <f>IF($N163="","","600 Muhasebe Hizmet Geliri")</f>
        <v/>
      </c>
      <c r="R163" s="3">
        <f>IF($N163="",0,$X163)</f>
        <v/>
      </c>
      <c r="S163" s="3" t="n">
        <v>0</v>
      </c>
      <c r="T163" s="3">
        <f>IF($N163="",10000000000,$N163*100000+$M163)</f>
        <v/>
      </c>
      <c r="U163" s="3">
        <f>$AB$5</f>
        <v/>
      </c>
      <c r="V163" s="3" t="n">
        <v>71</v>
      </c>
      <c r="W163" s="3">
        <f>IF($U163=0,"",IF(INDEX(UCRETLER!$D$7:$D$406,$U163)="","",IF(INDEX(UCRETLER!$F$7:$F$406,$U163)="Aylık",EOMONTH(INDEX(UCRETLER!$D$7:$D$406,$U163),$V163-1),INDEX(UCRETLER!$D$7:$D$406,$U163)+MOD(SISTEM!$F$8-WEEKDAY(INDEX(UCRETLER!$D$7:$D$406,$U163),2),7)+7*($V163-1))))</f>
        <v/>
      </c>
      <c r="X163" s="3">
        <f>IF($U163=0,0,INDEX(UCRETLER!$G$7:$G$406,$U163))</f>
        <v/>
      </c>
      <c r="Y163" s="3">
        <f>IFERROR(SMALL($T$12:$T$372,ROW()-11),"")</f>
        <v/>
      </c>
      <c r="Z163" s="3">
        <f>IFERROR(MATCH($Y163,$T$12:$T$372,0),"")</f>
        <v/>
      </c>
      <c r="AA163" s="3" t="n"/>
      <c r="AB163" s="3" t="n"/>
      <c r="AC163" s="3" t="n"/>
    </row>
    <row r="164">
      <c r="A164" s="6" t="n"/>
      <c r="B164" s="158">
        <f>IF($C164="","",ROW()-11)</f>
        <v/>
      </c>
      <c r="C164" s="247">
        <f>IF($Z164="","",IF(INDEX($N$12:$N$372,$Z164)="","",INDEX($N$12:$N$372,$Z164)))</f>
        <v/>
      </c>
      <c r="D164" s="29">
        <f>IF($C164="","",INDEX($O$12:$O$372,$Z164))</f>
        <v/>
      </c>
      <c r="E164" s="158">
        <f>IF($C164="","",INDEX($P$12:$P$372,$Z164))</f>
        <v/>
      </c>
      <c r="F164" s="29">
        <f>IF($C164="","",INDEX($Q$12:$Q$372,$Z164))</f>
        <v/>
      </c>
      <c r="G164" s="248">
        <f>IF($C164="","",INDEX($R$12:$R$372,$Z164))</f>
        <v/>
      </c>
      <c r="H164" s="248">
        <f>IF($C164="","",INDEX($S$12:$S$372,$Z164))</f>
        <v/>
      </c>
      <c r="I164" s="248">
        <f>IF($C164="","",N($I163)+$G164-$H164)</f>
        <v/>
      </c>
      <c r="J164" s="6" t="n"/>
      <c r="K164" s="6" t="n"/>
      <c r="L164" s="3" t="n"/>
      <c r="M164" s="3" t="n">
        <v>153</v>
      </c>
      <c r="N164" s="3">
        <f>IF(OR($U164=0,$W164="",$X164&lt;=0),"",IF($W164&gt;TODAY(),"",IF(AND(INDEX(UCRETLER!$E$7:$E$406,$U164)&lt;&gt;"",$W164&gt;INDEX(UCRETLER!$E$7:$E$406,$U164)),"",$W164)))</f>
        <v/>
      </c>
      <c r="O164" s="3">
        <f>IF($N164="","",IF(INDEX(UCRETLER!$F$7:$F$406,$U164)="Aylık",TEXT($N164,"mmmm yyyy")&amp;" aylık muhasebe hizmet ücreti",TEXT($N164,"dd.mm.yyyy")&amp;" haftalık muhasebe hizmet ücreti"))</f>
        <v/>
      </c>
      <c r="P164" s="3">
        <f>IF($N164="","","TAHAKKUK")</f>
        <v/>
      </c>
      <c r="Q164" s="3">
        <f>IF($N164="","","600 Muhasebe Hizmet Geliri")</f>
        <v/>
      </c>
      <c r="R164" s="3">
        <f>IF($N164="",0,$X164)</f>
        <v/>
      </c>
      <c r="S164" s="3" t="n">
        <v>0</v>
      </c>
      <c r="T164" s="3">
        <f>IF($N164="",10000000000,$N164*100000+$M164)</f>
        <v/>
      </c>
      <c r="U164" s="3">
        <f>$AB$5</f>
        <v/>
      </c>
      <c r="V164" s="3" t="n">
        <v>72</v>
      </c>
      <c r="W164" s="3">
        <f>IF($U164=0,"",IF(INDEX(UCRETLER!$D$7:$D$406,$U164)="","",IF(INDEX(UCRETLER!$F$7:$F$406,$U164)="Aylık",EOMONTH(INDEX(UCRETLER!$D$7:$D$406,$U164),$V164-1),INDEX(UCRETLER!$D$7:$D$406,$U164)+MOD(SISTEM!$F$8-WEEKDAY(INDEX(UCRETLER!$D$7:$D$406,$U164),2),7)+7*($V164-1))))</f>
        <v/>
      </c>
      <c r="X164" s="3">
        <f>IF($U164=0,0,INDEX(UCRETLER!$G$7:$G$406,$U164))</f>
        <v/>
      </c>
      <c r="Y164" s="3">
        <f>IFERROR(SMALL($T$12:$T$372,ROW()-11),"")</f>
        <v/>
      </c>
      <c r="Z164" s="3">
        <f>IFERROR(MATCH($Y164,$T$12:$T$372,0),"")</f>
        <v/>
      </c>
      <c r="AA164" s="3" t="n"/>
      <c r="AB164" s="3" t="n"/>
      <c r="AC164" s="3" t="n"/>
    </row>
    <row r="165">
      <c r="A165" s="6" t="n"/>
      <c r="B165" s="158">
        <f>IF($C165="","",ROW()-11)</f>
        <v/>
      </c>
      <c r="C165" s="247">
        <f>IF($Z165="","",IF(INDEX($N$12:$N$372,$Z165)="","",INDEX($N$12:$N$372,$Z165)))</f>
        <v/>
      </c>
      <c r="D165" s="29">
        <f>IF($C165="","",INDEX($O$12:$O$372,$Z165))</f>
        <v/>
      </c>
      <c r="E165" s="158">
        <f>IF($C165="","",INDEX($P$12:$P$372,$Z165))</f>
        <v/>
      </c>
      <c r="F165" s="29">
        <f>IF($C165="","",INDEX($Q$12:$Q$372,$Z165))</f>
        <v/>
      </c>
      <c r="G165" s="248">
        <f>IF($C165="","",INDEX($R$12:$R$372,$Z165))</f>
        <v/>
      </c>
      <c r="H165" s="248">
        <f>IF($C165="","",INDEX($S$12:$S$372,$Z165))</f>
        <v/>
      </c>
      <c r="I165" s="248">
        <f>IF($C165="","",N($I164)+$G165-$H165)</f>
        <v/>
      </c>
      <c r="J165" s="6" t="n"/>
      <c r="K165" s="6" t="n"/>
      <c r="L165" s="3" t="n"/>
      <c r="M165" s="3" t="n">
        <v>154</v>
      </c>
      <c r="N165" s="3">
        <f>IF(OR($U165=0,$W165="",$X165&lt;=0),"",IF($W165&gt;TODAY(),"",IF(AND(INDEX(UCRETLER!$E$7:$E$406,$U165)&lt;&gt;"",$W165&gt;INDEX(UCRETLER!$E$7:$E$406,$U165)),"",$W165)))</f>
        <v/>
      </c>
      <c r="O165" s="3">
        <f>IF($N165="","",IF(INDEX(UCRETLER!$F$7:$F$406,$U165)="Aylık",TEXT($N165,"mmmm yyyy")&amp;" aylık muhasebe hizmet ücreti",TEXT($N165,"dd.mm.yyyy")&amp;" haftalık muhasebe hizmet ücreti"))</f>
        <v/>
      </c>
      <c r="P165" s="3">
        <f>IF($N165="","","TAHAKKUK")</f>
        <v/>
      </c>
      <c r="Q165" s="3">
        <f>IF($N165="","","600 Muhasebe Hizmet Geliri")</f>
        <v/>
      </c>
      <c r="R165" s="3">
        <f>IF($N165="",0,$X165)</f>
        <v/>
      </c>
      <c r="S165" s="3" t="n">
        <v>0</v>
      </c>
      <c r="T165" s="3">
        <f>IF($N165="",10000000000,$N165*100000+$M165)</f>
        <v/>
      </c>
      <c r="U165" s="3">
        <f>$AB$5</f>
        <v/>
      </c>
      <c r="V165" s="3" t="n">
        <v>73</v>
      </c>
      <c r="W165" s="3">
        <f>IF($U165=0,"",IF(INDEX(UCRETLER!$D$7:$D$406,$U165)="","",IF(INDEX(UCRETLER!$F$7:$F$406,$U165)="Aylık",EOMONTH(INDEX(UCRETLER!$D$7:$D$406,$U165),$V165-1),INDEX(UCRETLER!$D$7:$D$406,$U165)+MOD(SISTEM!$F$8-WEEKDAY(INDEX(UCRETLER!$D$7:$D$406,$U165),2),7)+7*($V165-1))))</f>
        <v/>
      </c>
      <c r="X165" s="3">
        <f>IF($U165=0,0,INDEX(UCRETLER!$G$7:$G$406,$U165))</f>
        <v/>
      </c>
      <c r="Y165" s="3">
        <f>IFERROR(SMALL($T$12:$T$372,ROW()-11),"")</f>
        <v/>
      </c>
      <c r="Z165" s="3">
        <f>IFERROR(MATCH($Y165,$T$12:$T$372,0),"")</f>
        <v/>
      </c>
      <c r="AA165" s="3" t="n"/>
      <c r="AB165" s="3" t="n"/>
      <c r="AC165" s="3" t="n"/>
    </row>
    <row r="166">
      <c r="A166" s="6" t="n"/>
      <c r="B166" s="158">
        <f>IF($C166="","",ROW()-11)</f>
        <v/>
      </c>
      <c r="C166" s="247">
        <f>IF($Z166="","",IF(INDEX($N$12:$N$372,$Z166)="","",INDEX($N$12:$N$372,$Z166)))</f>
        <v/>
      </c>
      <c r="D166" s="29">
        <f>IF($C166="","",INDEX($O$12:$O$372,$Z166))</f>
        <v/>
      </c>
      <c r="E166" s="158">
        <f>IF($C166="","",INDEX($P$12:$P$372,$Z166))</f>
        <v/>
      </c>
      <c r="F166" s="29">
        <f>IF($C166="","",INDEX($Q$12:$Q$372,$Z166))</f>
        <v/>
      </c>
      <c r="G166" s="248">
        <f>IF($C166="","",INDEX($R$12:$R$372,$Z166))</f>
        <v/>
      </c>
      <c r="H166" s="248">
        <f>IF($C166="","",INDEX($S$12:$S$372,$Z166))</f>
        <v/>
      </c>
      <c r="I166" s="248">
        <f>IF($C166="","",N($I165)+$G166-$H166)</f>
        <v/>
      </c>
      <c r="J166" s="6" t="n"/>
      <c r="K166" s="6" t="n"/>
      <c r="L166" s="3" t="n"/>
      <c r="M166" s="3" t="n">
        <v>155</v>
      </c>
      <c r="N166" s="3">
        <f>IF(OR($U166=0,$W166="",$X166&lt;=0),"",IF($W166&gt;TODAY(),"",IF(AND(INDEX(UCRETLER!$E$7:$E$406,$U166)&lt;&gt;"",$W166&gt;INDEX(UCRETLER!$E$7:$E$406,$U166)),"",$W166)))</f>
        <v/>
      </c>
      <c r="O166" s="3">
        <f>IF($N166="","",IF(INDEX(UCRETLER!$F$7:$F$406,$U166)="Aylık",TEXT($N166,"mmmm yyyy")&amp;" aylık muhasebe hizmet ücreti",TEXT($N166,"dd.mm.yyyy")&amp;" haftalık muhasebe hizmet ücreti"))</f>
        <v/>
      </c>
      <c r="P166" s="3">
        <f>IF($N166="","","TAHAKKUK")</f>
        <v/>
      </c>
      <c r="Q166" s="3">
        <f>IF($N166="","","600 Muhasebe Hizmet Geliri")</f>
        <v/>
      </c>
      <c r="R166" s="3">
        <f>IF($N166="",0,$X166)</f>
        <v/>
      </c>
      <c r="S166" s="3" t="n">
        <v>0</v>
      </c>
      <c r="T166" s="3">
        <f>IF($N166="",10000000000,$N166*100000+$M166)</f>
        <v/>
      </c>
      <c r="U166" s="3">
        <f>$AB$5</f>
        <v/>
      </c>
      <c r="V166" s="3" t="n">
        <v>74</v>
      </c>
      <c r="W166" s="3">
        <f>IF($U166=0,"",IF(INDEX(UCRETLER!$D$7:$D$406,$U166)="","",IF(INDEX(UCRETLER!$F$7:$F$406,$U166)="Aylık",EOMONTH(INDEX(UCRETLER!$D$7:$D$406,$U166),$V166-1),INDEX(UCRETLER!$D$7:$D$406,$U166)+MOD(SISTEM!$F$8-WEEKDAY(INDEX(UCRETLER!$D$7:$D$406,$U166),2),7)+7*($V166-1))))</f>
        <v/>
      </c>
      <c r="X166" s="3">
        <f>IF($U166=0,0,INDEX(UCRETLER!$G$7:$G$406,$U166))</f>
        <v/>
      </c>
      <c r="Y166" s="3">
        <f>IFERROR(SMALL($T$12:$T$372,ROW()-11),"")</f>
        <v/>
      </c>
      <c r="Z166" s="3">
        <f>IFERROR(MATCH($Y166,$T$12:$T$372,0),"")</f>
        <v/>
      </c>
      <c r="AA166" s="3" t="n"/>
      <c r="AB166" s="3" t="n"/>
      <c r="AC166" s="3" t="n"/>
    </row>
    <row r="167">
      <c r="A167" s="6" t="n"/>
      <c r="B167" s="158">
        <f>IF($C167="","",ROW()-11)</f>
        <v/>
      </c>
      <c r="C167" s="247">
        <f>IF($Z167="","",IF(INDEX($N$12:$N$372,$Z167)="","",INDEX($N$12:$N$372,$Z167)))</f>
        <v/>
      </c>
      <c r="D167" s="29">
        <f>IF($C167="","",INDEX($O$12:$O$372,$Z167))</f>
        <v/>
      </c>
      <c r="E167" s="158">
        <f>IF($C167="","",INDEX($P$12:$P$372,$Z167))</f>
        <v/>
      </c>
      <c r="F167" s="29">
        <f>IF($C167="","",INDEX($Q$12:$Q$372,$Z167))</f>
        <v/>
      </c>
      <c r="G167" s="248">
        <f>IF($C167="","",INDEX($R$12:$R$372,$Z167))</f>
        <v/>
      </c>
      <c r="H167" s="248">
        <f>IF($C167="","",INDEX($S$12:$S$372,$Z167))</f>
        <v/>
      </c>
      <c r="I167" s="248">
        <f>IF($C167="","",N($I166)+$G167-$H167)</f>
        <v/>
      </c>
      <c r="J167" s="6" t="n"/>
      <c r="K167" s="6" t="n"/>
      <c r="L167" s="3" t="n"/>
      <c r="M167" s="3" t="n">
        <v>156</v>
      </c>
      <c r="N167" s="3">
        <f>IF(OR($U167=0,$W167="",$X167&lt;=0),"",IF($W167&gt;TODAY(),"",IF(AND(INDEX(UCRETLER!$E$7:$E$406,$U167)&lt;&gt;"",$W167&gt;INDEX(UCRETLER!$E$7:$E$406,$U167)),"",$W167)))</f>
        <v/>
      </c>
      <c r="O167" s="3">
        <f>IF($N167="","",IF(INDEX(UCRETLER!$F$7:$F$406,$U167)="Aylık",TEXT($N167,"mmmm yyyy")&amp;" aylık muhasebe hizmet ücreti",TEXT($N167,"dd.mm.yyyy")&amp;" haftalık muhasebe hizmet ücreti"))</f>
        <v/>
      </c>
      <c r="P167" s="3">
        <f>IF($N167="","","TAHAKKUK")</f>
        <v/>
      </c>
      <c r="Q167" s="3">
        <f>IF($N167="","","600 Muhasebe Hizmet Geliri")</f>
        <v/>
      </c>
      <c r="R167" s="3">
        <f>IF($N167="",0,$X167)</f>
        <v/>
      </c>
      <c r="S167" s="3" t="n">
        <v>0</v>
      </c>
      <c r="T167" s="3">
        <f>IF($N167="",10000000000,$N167*100000+$M167)</f>
        <v/>
      </c>
      <c r="U167" s="3">
        <f>$AB$5</f>
        <v/>
      </c>
      <c r="V167" s="3" t="n">
        <v>75</v>
      </c>
      <c r="W167" s="3">
        <f>IF($U167=0,"",IF(INDEX(UCRETLER!$D$7:$D$406,$U167)="","",IF(INDEX(UCRETLER!$F$7:$F$406,$U167)="Aylık",EOMONTH(INDEX(UCRETLER!$D$7:$D$406,$U167),$V167-1),INDEX(UCRETLER!$D$7:$D$406,$U167)+MOD(SISTEM!$F$8-WEEKDAY(INDEX(UCRETLER!$D$7:$D$406,$U167),2),7)+7*($V167-1))))</f>
        <v/>
      </c>
      <c r="X167" s="3">
        <f>IF($U167=0,0,INDEX(UCRETLER!$G$7:$G$406,$U167))</f>
        <v/>
      </c>
      <c r="Y167" s="3">
        <f>IFERROR(SMALL($T$12:$T$372,ROW()-11),"")</f>
        <v/>
      </c>
      <c r="Z167" s="3">
        <f>IFERROR(MATCH($Y167,$T$12:$T$372,0),"")</f>
        <v/>
      </c>
      <c r="AA167" s="3" t="n"/>
      <c r="AB167" s="3" t="n"/>
      <c r="AC167" s="3" t="n"/>
    </row>
    <row r="168">
      <c r="A168" s="6" t="n"/>
      <c r="B168" s="158">
        <f>IF($C168="","",ROW()-11)</f>
        <v/>
      </c>
      <c r="C168" s="247">
        <f>IF($Z168="","",IF(INDEX($N$12:$N$372,$Z168)="","",INDEX($N$12:$N$372,$Z168)))</f>
        <v/>
      </c>
      <c r="D168" s="29">
        <f>IF($C168="","",INDEX($O$12:$O$372,$Z168))</f>
        <v/>
      </c>
      <c r="E168" s="158">
        <f>IF($C168="","",INDEX($P$12:$P$372,$Z168))</f>
        <v/>
      </c>
      <c r="F168" s="29">
        <f>IF($C168="","",INDEX($Q$12:$Q$372,$Z168))</f>
        <v/>
      </c>
      <c r="G168" s="248">
        <f>IF($C168="","",INDEX($R$12:$R$372,$Z168))</f>
        <v/>
      </c>
      <c r="H168" s="248">
        <f>IF($C168="","",INDEX($S$12:$S$372,$Z168))</f>
        <v/>
      </c>
      <c r="I168" s="248">
        <f>IF($C168="","",N($I167)+$G168-$H168)</f>
        <v/>
      </c>
      <c r="J168" s="6" t="n"/>
      <c r="K168" s="6" t="n"/>
      <c r="L168" s="3" t="n"/>
      <c r="M168" s="3" t="n">
        <v>157</v>
      </c>
      <c r="N168" s="3">
        <f>IF(OR($U168=0,$W168="",$X168&lt;=0),"",IF($W168&gt;TODAY(),"",IF(AND(INDEX(UCRETLER!$E$7:$E$406,$U168)&lt;&gt;"",$W168&gt;INDEX(UCRETLER!$E$7:$E$406,$U168)),"",$W168)))</f>
        <v/>
      </c>
      <c r="O168" s="3">
        <f>IF($N168="","",IF(INDEX(UCRETLER!$F$7:$F$406,$U168)="Aylık",TEXT($N168,"mmmm yyyy")&amp;" aylık muhasebe hizmet ücreti",TEXT($N168,"dd.mm.yyyy")&amp;" haftalık muhasebe hizmet ücreti"))</f>
        <v/>
      </c>
      <c r="P168" s="3">
        <f>IF($N168="","","TAHAKKUK")</f>
        <v/>
      </c>
      <c r="Q168" s="3">
        <f>IF($N168="","","600 Muhasebe Hizmet Geliri")</f>
        <v/>
      </c>
      <c r="R168" s="3">
        <f>IF($N168="",0,$X168)</f>
        <v/>
      </c>
      <c r="S168" s="3" t="n">
        <v>0</v>
      </c>
      <c r="T168" s="3">
        <f>IF($N168="",10000000000,$N168*100000+$M168)</f>
        <v/>
      </c>
      <c r="U168" s="3">
        <f>$AB$5</f>
        <v/>
      </c>
      <c r="V168" s="3" t="n">
        <v>76</v>
      </c>
      <c r="W168" s="3">
        <f>IF($U168=0,"",IF(INDEX(UCRETLER!$D$7:$D$406,$U168)="","",IF(INDEX(UCRETLER!$F$7:$F$406,$U168)="Aylık",EOMONTH(INDEX(UCRETLER!$D$7:$D$406,$U168),$V168-1),INDEX(UCRETLER!$D$7:$D$406,$U168)+MOD(SISTEM!$F$8-WEEKDAY(INDEX(UCRETLER!$D$7:$D$406,$U168),2),7)+7*($V168-1))))</f>
        <v/>
      </c>
      <c r="X168" s="3">
        <f>IF($U168=0,0,INDEX(UCRETLER!$G$7:$G$406,$U168))</f>
        <v/>
      </c>
      <c r="Y168" s="3">
        <f>IFERROR(SMALL($T$12:$T$372,ROW()-11),"")</f>
        <v/>
      </c>
      <c r="Z168" s="3">
        <f>IFERROR(MATCH($Y168,$T$12:$T$372,0),"")</f>
        <v/>
      </c>
      <c r="AA168" s="3" t="n"/>
      <c r="AB168" s="3" t="n"/>
      <c r="AC168" s="3" t="n"/>
    </row>
    <row r="169">
      <c r="A169" s="6" t="n"/>
      <c r="B169" s="158">
        <f>IF($C169="","",ROW()-11)</f>
        <v/>
      </c>
      <c r="C169" s="247">
        <f>IF($Z169="","",IF(INDEX($N$12:$N$372,$Z169)="","",INDEX($N$12:$N$372,$Z169)))</f>
        <v/>
      </c>
      <c r="D169" s="29">
        <f>IF($C169="","",INDEX($O$12:$O$372,$Z169))</f>
        <v/>
      </c>
      <c r="E169" s="158">
        <f>IF($C169="","",INDEX($P$12:$P$372,$Z169))</f>
        <v/>
      </c>
      <c r="F169" s="29">
        <f>IF($C169="","",INDEX($Q$12:$Q$372,$Z169))</f>
        <v/>
      </c>
      <c r="G169" s="248">
        <f>IF($C169="","",INDEX($R$12:$R$372,$Z169))</f>
        <v/>
      </c>
      <c r="H169" s="248">
        <f>IF($C169="","",INDEX($S$12:$S$372,$Z169))</f>
        <v/>
      </c>
      <c r="I169" s="248">
        <f>IF($C169="","",N($I168)+$G169-$H169)</f>
        <v/>
      </c>
      <c r="J169" s="6" t="n"/>
      <c r="K169" s="6" t="n"/>
      <c r="L169" s="3" t="n"/>
      <c r="M169" s="3" t="n">
        <v>158</v>
      </c>
      <c r="N169" s="3">
        <f>IF(OR($U169=0,$W169="",$X169&lt;=0),"",IF($W169&gt;TODAY(),"",IF(AND(INDEX(UCRETLER!$E$7:$E$406,$U169)&lt;&gt;"",$W169&gt;INDEX(UCRETLER!$E$7:$E$406,$U169)),"",$W169)))</f>
        <v/>
      </c>
      <c r="O169" s="3">
        <f>IF($N169="","",IF(INDEX(UCRETLER!$F$7:$F$406,$U169)="Aylık",TEXT($N169,"mmmm yyyy")&amp;" aylık muhasebe hizmet ücreti",TEXT($N169,"dd.mm.yyyy")&amp;" haftalık muhasebe hizmet ücreti"))</f>
        <v/>
      </c>
      <c r="P169" s="3">
        <f>IF($N169="","","TAHAKKUK")</f>
        <v/>
      </c>
      <c r="Q169" s="3">
        <f>IF($N169="","","600 Muhasebe Hizmet Geliri")</f>
        <v/>
      </c>
      <c r="R169" s="3">
        <f>IF($N169="",0,$X169)</f>
        <v/>
      </c>
      <c r="S169" s="3" t="n">
        <v>0</v>
      </c>
      <c r="T169" s="3">
        <f>IF($N169="",10000000000,$N169*100000+$M169)</f>
        <v/>
      </c>
      <c r="U169" s="3">
        <f>$AB$5</f>
        <v/>
      </c>
      <c r="V169" s="3" t="n">
        <v>77</v>
      </c>
      <c r="W169" s="3">
        <f>IF($U169=0,"",IF(INDEX(UCRETLER!$D$7:$D$406,$U169)="","",IF(INDEX(UCRETLER!$F$7:$F$406,$U169)="Aylık",EOMONTH(INDEX(UCRETLER!$D$7:$D$406,$U169),$V169-1),INDEX(UCRETLER!$D$7:$D$406,$U169)+MOD(SISTEM!$F$8-WEEKDAY(INDEX(UCRETLER!$D$7:$D$406,$U169),2),7)+7*($V169-1))))</f>
        <v/>
      </c>
      <c r="X169" s="3">
        <f>IF($U169=0,0,INDEX(UCRETLER!$G$7:$G$406,$U169))</f>
        <v/>
      </c>
      <c r="Y169" s="3">
        <f>IFERROR(SMALL($T$12:$T$372,ROW()-11),"")</f>
        <v/>
      </c>
      <c r="Z169" s="3">
        <f>IFERROR(MATCH($Y169,$T$12:$T$372,0),"")</f>
        <v/>
      </c>
      <c r="AA169" s="3" t="n"/>
      <c r="AB169" s="3" t="n"/>
      <c r="AC169" s="3" t="n"/>
    </row>
    <row r="170">
      <c r="A170" s="6" t="n"/>
      <c r="B170" s="158">
        <f>IF($C170="","",ROW()-11)</f>
        <v/>
      </c>
      <c r="C170" s="247">
        <f>IF($Z170="","",IF(INDEX($N$12:$N$372,$Z170)="","",INDEX($N$12:$N$372,$Z170)))</f>
        <v/>
      </c>
      <c r="D170" s="29">
        <f>IF($C170="","",INDEX($O$12:$O$372,$Z170))</f>
        <v/>
      </c>
      <c r="E170" s="158">
        <f>IF($C170="","",INDEX($P$12:$P$372,$Z170))</f>
        <v/>
      </c>
      <c r="F170" s="29">
        <f>IF($C170="","",INDEX($Q$12:$Q$372,$Z170))</f>
        <v/>
      </c>
      <c r="G170" s="248">
        <f>IF($C170="","",INDEX($R$12:$R$372,$Z170))</f>
        <v/>
      </c>
      <c r="H170" s="248">
        <f>IF($C170="","",INDEX($S$12:$S$372,$Z170))</f>
        <v/>
      </c>
      <c r="I170" s="248">
        <f>IF($C170="","",N($I169)+$G170-$H170)</f>
        <v/>
      </c>
      <c r="J170" s="6" t="n"/>
      <c r="K170" s="6" t="n"/>
      <c r="L170" s="3" t="n"/>
      <c r="M170" s="3" t="n">
        <v>159</v>
      </c>
      <c r="N170" s="3">
        <f>IF(OR($U170=0,$W170="",$X170&lt;=0),"",IF($W170&gt;TODAY(),"",IF(AND(INDEX(UCRETLER!$E$7:$E$406,$U170)&lt;&gt;"",$W170&gt;INDEX(UCRETLER!$E$7:$E$406,$U170)),"",$W170)))</f>
        <v/>
      </c>
      <c r="O170" s="3">
        <f>IF($N170="","",IF(INDEX(UCRETLER!$F$7:$F$406,$U170)="Aylık",TEXT($N170,"mmmm yyyy")&amp;" aylık muhasebe hizmet ücreti",TEXT($N170,"dd.mm.yyyy")&amp;" haftalık muhasebe hizmet ücreti"))</f>
        <v/>
      </c>
      <c r="P170" s="3">
        <f>IF($N170="","","TAHAKKUK")</f>
        <v/>
      </c>
      <c r="Q170" s="3">
        <f>IF($N170="","","600 Muhasebe Hizmet Geliri")</f>
        <v/>
      </c>
      <c r="R170" s="3">
        <f>IF($N170="",0,$X170)</f>
        <v/>
      </c>
      <c r="S170" s="3" t="n">
        <v>0</v>
      </c>
      <c r="T170" s="3">
        <f>IF($N170="",10000000000,$N170*100000+$M170)</f>
        <v/>
      </c>
      <c r="U170" s="3">
        <f>$AB$5</f>
        <v/>
      </c>
      <c r="V170" s="3" t="n">
        <v>78</v>
      </c>
      <c r="W170" s="3">
        <f>IF($U170=0,"",IF(INDEX(UCRETLER!$D$7:$D$406,$U170)="","",IF(INDEX(UCRETLER!$F$7:$F$406,$U170)="Aylık",EOMONTH(INDEX(UCRETLER!$D$7:$D$406,$U170),$V170-1),INDEX(UCRETLER!$D$7:$D$406,$U170)+MOD(SISTEM!$F$8-WEEKDAY(INDEX(UCRETLER!$D$7:$D$406,$U170),2),7)+7*($V170-1))))</f>
        <v/>
      </c>
      <c r="X170" s="3">
        <f>IF($U170=0,0,INDEX(UCRETLER!$G$7:$G$406,$U170))</f>
        <v/>
      </c>
      <c r="Y170" s="3">
        <f>IFERROR(SMALL($T$12:$T$372,ROW()-11),"")</f>
        <v/>
      </c>
      <c r="Z170" s="3">
        <f>IFERROR(MATCH($Y170,$T$12:$T$372,0),"")</f>
        <v/>
      </c>
      <c r="AA170" s="3" t="n"/>
      <c r="AB170" s="3" t="n"/>
      <c r="AC170" s="3" t="n"/>
    </row>
    <row r="171">
      <c r="A171" s="6" t="n"/>
      <c r="B171" s="158">
        <f>IF($C171="","",ROW()-11)</f>
        <v/>
      </c>
      <c r="C171" s="247">
        <f>IF($Z171="","",IF(INDEX($N$12:$N$372,$Z171)="","",INDEX($N$12:$N$372,$Z171)))</f>
        <v/>
      </c>
      <c r="D171" s="29">
        <f>IF($C171="","",INDEX($O$12:$O$372,$Z171))</f>
        <v/>
      </c>
      <c r="E171" s="158">
        <f>IF($C171="","",INDEX($P$12:$P$372,$Z171))</f>
        <v/>
      </c>
      <c r="F171" s="29">
        <f>IF($C171="","",INDEX($Q$12:$Q$372,$Z171))</f>
        <v/>
      </c>
      <c r="G171" s="248">
        <f>IF($C171="","",INDEX($R$12:$R$372,$Z171))</f>
        <v/>
      </c>
      <c r="H171" s="248">
        <f>IF($C171="","",INDEX($S$12:$S$372,$Z171))</f>
        <v/>
      </c>
      <c r="I171" s="248">
        <f>IF($C171="","",N($I170)+$G171-$H171)</f>
        <v/>
      </c>
      <c r="J171" s="6" t="n"/>
      <c r="K171" s="6" t="n"/>
      <c r="L171" s="3" t="n"/>
      <c r="M171" s="3" t="n">
        <v>160</v>
      </c>
      <c r="N171" s="3">
        <f>IF(OR($U171=0,$W171="",$X171&lt;=0),"",IF($W171&gt;TODAY(),"",IF(AND(INDEX(UCRETLER!$E$7:$E$406,$U171)&lt;&gt;"",$W171&gt;INDEX(UCRETLER!$E$7:$E$406,$U171)),"",$W171)))</f>
        <v/>
      </c>
      <c r="O171" s="3">
        <f>IF($N171="","",IF(INDEX(UCRETLER!$F$7:$F$406,$U171)="Aylık",TEXT($N171,"mmmm yyyy")&amp;" aylık muhasebe hizmet ücreti",TEXT($N171,"dd.mm.yyyy")&amp;" haftalık muhasebe hizmet ücreti"))</f>
        <v/>
      </c>
      <c r="P171" s="3">
        <f>IF($N171="","","TAHAKKUK")</f>
        <v/>
      </c>
      <c r="Q171" s="3">
        <f>IF($N171="","","600 Muhasebe Hizmet Geliri")</f>
        <v/>
      </c>
      <c r="R171" s="3">
        <f>IF($N171="",0,$X171)</f>
        <v/>
      </c>
      <c r="S171" s="3" t="n">
        <v>0</v>
      </c>
      <c r="T171" s="3">
        <f>IF($N171="",10000000000,$N171*100000+$M171)</f>
        <v/>
      </c>
      <c r="U171" s="3">
        <f>$AB$5</f>
        <v/>
      </c>
      <c r="V171" s="3" t="n">
        <v>79</v>
      </c>
      <c r="W171" s="3">
        <f>IF($U171=0,"",IF(INDEX(UCRETLER!$D$7:$D$406,$U171)="","",IF(INDEX(UCRETLER!$F$7:$F$406,$U171)="Aylık",EOMONTH(INDEX(UCRETLER!$D$7:$D$406,$U171),$V171-1),INDEX(UCRETLER!$D$7:$D$406,$U171)+MOD(SISTEM!$F$8-WEEKDAY(INDEX(UCRETLER!$D$7:$D$406,$U171),2),7)+7*($V171-1))))</f>
        <v/>
      </c>
      <c r="X171" s="3">
        <f>IF($U171=0,0,INDEX(UCRETLER!$G$7:$G$406,$U171))</f>
        <v/>
      </c>
      <c r="Y171" s="3">
        <f>IFERROR(SMALL($T$12:$T$372,ROW()-11),"")</f>
        <v/>
      </c>
      <c r="Z171" s="3">
        <f>IFERROR(MATCH($Y171,$T$12:$T$372,0),"")</f>
        <v/>
      </c>
      <c r="AA171" s="3" t="n"/>
      <c r="AB171" s="3" t="n"/>
      <c r="AC171" s="3" t="n"/>
    </row>
    <row r="172">
      <c r="A172" s="6" t="n"/>
      <c r="B172" s="158">
        <f>IF($C172="","",ROW()-11)</f>
        <v/>
      </c>
      <c r="C172" s="247">
        <f>IF($Z172="","",IF(INDEX($N$12:$N$372,$Z172)="","",INDEX($N$12:$N$372,$Z172)))</f>
        <v/>
      </c>
      <c r="D172" s="29">
        <f>IF($C172="","",INDEX($O$12:$O$372,$Z172))</f>
        <v/>
      </c>
      <c r="E172" s="158">
        <f>IF($C172="","",INDEX($P$12:$P$372,$Z172))</f>
        <v/>
      </c>
      <c r="F172" s="29">
        <f>IF($C172="","",INDEX($Q$12:$Q$372,$Z172))</f>
        <v/>
      </c>
      <c r="G172" s="248">
        <f>IF($C172="","",INDEX($R$12:$R$372,$Z172))</f>
        <v/>
      </c>
      <c r="H172" s="248">
        <f>IF($C172="","",INDEX($S$12:$S$372,$Z172))</f>
        <v/>
      </c>
      <c r="I172" s="248">
        <f>IF($C172="","",N($I171)+$G172-$H172)</f>
        <v/>
      </c>
      <c r="J172" s="6" t="n"/>
      <c r="K172" s="6" t="n"/>
      <c r="L172" s="3" t="n"/>
      <c r="M172" s="3" t="n">
        <v>161</v>
      </c>
      <c r="N172" s="3">
        <f>IF(OR($U172=0,$W172="",$X172&lt;=0),"",IF($W172&gt;TODAY(),"",IF(AND(INDEX(UCRETLER!$E$7:$E$406,$U172)&lt;&gt;"",$W172&gt;INDEX(UCRETLER!$E$7:$E$406,$U172)),"",$W172)))</f>
        <v/>
      </c>
      <c r="O172" s="3">
        <f>IF($N172="","",IF(INDEX(UCRETLER!$F$7:$F$406,$U172)="Aylık",TEXT($N172,"mmmm yyyy")&amp;" aylık muhasebe hizmet ücreti",TEXT($N172,"dd.mm.yyyy")&amp;" haftalık muhasebe hizmet ücreti"))</f>
        <v/>
      </c>
      <c r="P172" s="3">
        <f>IF($N172="","","TAHAKKUK")</f>
        <v/>
      </c>
      <c r="Q172" s="3">
        <f>IF($N172="","","600 Muhasebe Hizmet Geliri")</f>
        <v/>
      </c>
      <c r="R172" s="3">
        <f>IF($N172="",0,$X172)</f>
        <v/>
      </c>
      <c r="S172" s="3" t="n">
        <v>0</v>
      </c>
      <c r="T172" s="3">
        <f>IF($N172="",10000000000,$N172*100000+$M172)</f>
        <v/>
      </c>
      <c r="U172" s="3">
        <f>$AB$5</f>
        <v/>
      </c>
      <c r="V172" s="3" t="n">
        <v>80</v>
      </c>
      <c r="W172" s="3">
        <f>IF($U172=0,"",IF(INDEX(UCRETLER!$D$7:$D$406,$U172)="","",IF(INDEX(UCRETLER!$F$7:$F$406,$U172)="Aylık",EOMONTH(INDEX(UCRETLER!$D$7:$D$406,$U172),$V172-1),INDEX(UCRETLER!$D$7:$D$406,$U172)+MOD(SISTEM!$F$8-WEEKDAY(INDEX(UCRETLER!$D$7:$D$406,$U172),2),7)+7*($V172-1))))</f>
        <v/>
      </c>
      <c r="X172" s="3">
        <f>IF($U172=0,0,INDEX(UCRETLER!$G$7:$G$406,$U172))</f>
        <v/>
      </c>
      <c r="Y172" s="3">
        <f>IFERROR(SMALL($T$12:$T$372,ROW()-11),"")</f>
        <v/>
      </c>
      <c r="Z172" s="3">
        <f>IFERROR(MATCH($Y172,$T$12:$T$372,0),"")</f>
        <v/>
      </c>
      <c r="AA172" s="3" t="n"/>
      <c r="AB172" s="3" t="n"/>
      <c r="AC172" s="3" t="n"/>
    </row>
    <row r="173">
      <c r="A173" s="6" t="n"/>
      <c r="B173" s="158">
        <f>IF($C173="","",ROW()-11)</f>
        <v/>
      </c>
      <c r="C173" s="247">
        <f>IF($Z173="","",IF(INDEX($N$12:$N$372,$Z173)="","",INDEX($N$12:$N$372,$Z173)))</f>
        <v/>
      </c>
      <c r="D173" s="29">
        <f>IF($C173="","",INDEX($O$12:$O$372,$Z173))</f>
        <v/>
      </c>
      <c r="E173" s="158">
        <f>IF($C173="","",INDEX($P$12:$P$372,$Z173))</f>
        <v/>
      </c>
      <c r="F173" s="29">
        <f>IF($C173="","",INDEX($Q$12:$Q$372,$Z173))</f>
        <v/>
      </c>
      <c r="G173" s="248">
        <f>IF($C173="","",INDEX($R$12:$R$372,$Z173))</f>
        <v/>
      </c>
      <c r="H173" s="248">
        <f>IF($C173="","",INDEX($S$12:$S$372,$Z173))</f>
        <v/>
      </c>
      <c r="I173" s="248">
        <f>IF($C173="","",N($I172)+$G173-$H173)</f>
        <v/>
      </c>
      <c r="J173" s="6" t="n"/>
      <c r="K173" s="6" t="n"/>
      <c r="L173" s="3" t="n"/>
      <c r="M173" s="3" t="n">
        <v>162</v>
      </c>
      <c r="N173" s="3">
        <f>IF(OR($U173=0,$W173="",$X173&lt;=0),"",IF($W173&gt;TODAY(),"",IF(AND(INDEX(UCRETLER!$E$7:$E$406,$U173)&lt;&gt;"",$W173&gt;INDEX(UCRETLER!$E$7:$E$406,$U173)),"",$W173)))</f>
        <v/>
      </c>
      <c r="O173" s="3">
        <f>IF($N173="","",IF(INDEX(UCRETLER!$F$7:$F$406,$U173)="Aylık",TEXT($N173,"mmmm yyyy")&amp;" aylık muhasebe hizmet ücreti",TEXT($N173,"dd.mm.yyyy")&amp;" haftalık muhasebe hizmet ücreti"))</f>
        <v/>
      </c>
      <c r="P173" s="3">
        <f>IF($N173="","","TAHAKKUK")</f>
        <v/>
      </c>
      <c r="Q173" s="3">
        <f>IF($N173="","","600 Muhasebe Hizmet Geliri")</f>
        <v/>
      </c>
      <c r="R173" s="3">
        <f>IF($N173="",0,$X173)</f>
        <v/>
      </c>
      <c r="S173" s="3" t="n">
        <v>0</v>
      </c>
      <c r="T173" s="3">
        <f>IF($N173="",10000000000,$N173*100000+$M173)</f>
        <v/>
      </c>
      <c r="U173" s="3">
        <f>$AB$6</f>
        <v/>
      </c>
      <c r="V173" s="3" t="n">
        <v>1</v>
      </c>
      <c r="W173" s="3">
        <f>IF($U173=0,"",IF(INDEX(UCRETLER!$D$7:$D$406,$U173)="","",IF(INDEX(UCRETLER!$F$7:$F$406,$U173)="Aylık",EOMONTH(INDEX(UCRETLER!$D$7:$D$406,$U173),$V173-1),INDEX(UCRETLER!$D$7:$D$406,$U173)+MOD(SISTEM!$F$8-WEEKDAY(INDEX(UCRETLER!$D$7:$D$406,$U173),2),7)+7*($V173-1))))</f>
        <v/>
      </c>
      <c r="X173" s="3">
        <f>IF($U173=0,0,INDEX(UCRETLER!$G$7:$G$406,$U173))</f>
        <v/>
      </c>
      <c r="Y173" s="3">
        <f>IFERROR(SMALL($T$12:$T$372,ROW()-11),"")</f>
        <v/>
      </c>
      <c r="Z173" s="3">
        <f>IFERROR(MATCH($Y173,$T$12:$T$372,0),"")</f>
        <v/>
      </c>
      <c r="AA173" s="3" t="n"/>
      <c r="AB173" s="3" t="n"/>
      <c r="AC173" s="3" t="n"/>
    </row>
    <row r="174">
      <c r="A174" s="6" t="n"/>
      <c r="B174" s="158">
        <f>IF($C174="","",ROW()-11)</f>
        <v/>
      </c>
      <c r="C174" s="247">
        <f>IF($Z174="","",IF(INDEX($N$12:$N$372,$Z174)="","",INDEX($N$12:$N$372,$Z174)))</f>
        <v/>
      </c>
      <c r="D174" s="29">
        <f>IF($C174="","",INDEX($O$12:$O$372,$Z174))</f>
        <v/>
      </c>
      <c r="E174" s="158">
        <f>IF($C174="","",INDEX($P$12:$P$372,$Z174))</f>
        <v/>
      </c>
      <c r="F174" s="29">
        <f>IF($C174="","",INDEX($Q$12:$Q$372,$Z174))</f>
        <v/>
      </c>
      <c r="G174" s="248">
        <f>IF($C174="","",INDEX($R$12:$R$372,$Z174))</f>
        <v/>
      </c>
      <c r="H174" s="248">
        <f>IF($C174="","",INDEX($S$12:$S$372,$Z174))</f>
        <v/>
      </c>
      <c r="I174" s="248">
        <f>IF($C174="","",N($I173)+$G174-$H174)</f>
        <v/>
      </c>
      <c r="J174" s="6" t="n"/>
      <c r="K174" s="6" t="n"/>
      <c r="L174" s="3" t="n"/>
      <c r="M174" s="3" t="n">
        <v>163</v>
      </c>
      <c r="N174" s="3">
        <f>IF(OR($U174=0,$W174="",$X174&lt;=0),"",IF($W174&gt;TODAY(),"",IF(AND(INDEX(UCRETLER!$E$7:$E$406,$U174)&lt;&gt;"",$W174&gt;INDEX(UCRETLER!$E$7:$E$406,$U174)),"",$W174)))</f>
        <v/>
      </c>
      <c r="O174" s="3">
        <f>IF($N174="","",IF(INDEX(UCRETLER!$F$7:$F$406,$U174)="Aylık",TEXT($N174,"mmmm yyyy")&amp;" aylık muhasebe hizmet ücreti",TEXT($N174,"dd.mm.yyyy")&amp;" haftalık muhasebe hizmet ücreti"))</f>
        <v/>
      </c>
      <c r="P174" s="3">
        <f>IF($N174="","","TAHAKKUK")</f>
        <v/>
      </c>
      <c r="Q174" s="3">
        <f>IF($N174="","","600 Muhasebe Hizmet Geliri")</f>
        <v/>
      </c>
      <c r="R174" s="3">
        <f>IF($N174="",0,$X174)</f>
        <v/>
      </c>
      <c r="S174" s="3" t="n">
        <v>0</v>
      </c>
      <c r="T174" s="3">
        <f>IF($N174="",10000000000,$N174*100000+$M174)</f>
        <v/>
      </c>
      <c r="U174" s="3">
        <f>$AB$6</f>
        <v/>
      </c>
      <c r="V174" s="3" t="n">
        <v>2</v>
      </c>
      <c r="W174" s="3">
        <f>IF($U174=0,"",IF(INDEX(UCRETLER!$D$7:$D$406,$U174)="","",IF(INDEX(UCRETLER!$F$7:$F$406,$U174)="Aylık",EOMONTH(INDEX(UCRETLER!$D$7:$D$406,$U174),$V174-1),INDEX(UCRETLER!$D$7:$D$406,$U174)+MOD(SISTEM!$F$8-WEEKDAY(INDEX(UCRETLER!$D$7:$D$406,$U174),2),7)+7*($V174-1))))</f>
        <v/>
      </c>
      <c r="X174" s="3">
        <f>IF($U174=0,0,INDEX(UCRETLER!$G$7:$G$406,$U174))</f>
        <v/>
      </c>
      <c r="Y174" s="3">
        <f>IFERROR(SMALL($T$12:$T$372,ROW()-11),"")</f>
        <v/>
      </c>
      <c r="Z174" s="3">
        <f>IFERROR(MATCH($Y174,$T$12:$T$372,0),"")</f>
        <v/>
      </c>
      <c r="AA174" s="3" t="n"/>
      <c r="AB174" s="3" t="n"/>
      <c r="AC174" s="3" t="n"/>
    </row>
    <row r="175">
      <c r="A175" s="6" t="n"/>
      <c r="B175" s="158">
        <f>IF($C175="","",ROW()-11)</f>
        <v/>
      </c>
      <c r="C175" s="247">
        <f>IF($Z175="","",IF(INDEX($N$12:$N$372,$Z175)="","",INDEX($N$12:$N$372,$Z175)))</f>
        <v/>
      </c>
      <c r="D175" s="29">
        <f>IF($C175="","",INDEX($O$12:$O$372,$Z175))</f>
        <v/>
      </c>
      <c r="E175" s="158">
        <f>IF($C175="","",INDEX($P$12:$P$372,$Z175))</f>
        <v/>
      </c>
      <c r="F175" s="29">
        <f>IF($C175="","",INDEX($Q$12:$Q$372,$Z175))</f>
        <v/>
      </c>
      <c r="G175" s="248">
        <f>IF($C175="","",INDEX($R$12:$R$372,$Z175))</f>
        <v/>
      </c>
      <c r="H175" s="248">
        <f>IF($C175="","",INDEX($S$12:$S$372,$Z175))</f>
        <v/>
      </c>
      <c r="I175" s="248">
        <f>IF($C175="","",N($I174)+$G175-$H175)</f>
        <v/>
      </c>
      <c r="J175" s="6" t="n"/>
      <c r="K175" s="6" t="n"/>
      <c r="L175" s="3" t="n"/>
      <c r="M175" s="3" t="n">
        <v>164</v>
      </c>
      <c r="N175" s="3">
        <f>IF(OR($U175=0,$W175="",$X175&lt;=0),"",IF($W175&gt;TODAY(),"",IF(AND(INDEX(UCRETLER!$E$7:$E$406,$U175)&lt;&gt;"",$W175&gt;INDEX(UCRETLER!$E$7:$E$406,$U175)),"",$W175)))</f>
        <v/>
      </c>
      <c r="O175" s="3">
        <f>IF($N175="","",IF(INDEX(UCRETLER!$F$7:$F$406,$U175)="Aylık",TEXT($N175,"mmmm yyyy")&amp;" aylık muhasebe hizmet ücreti",TEXT($N175,"dd.mm.yyyy")&amp;" haftalık muhasebe hizmet ücreti"))</f>
        <v/>
      </c>
      <c r="P175" s="3">
        <f>IF($N175="","","TAHAKKUK")</f>
        <v/>
      </c>
      <c r="Q175" s="3">
        <f>IF($N175="","","600 Muhasebe Hizmet Geliri")</f>
        <v/>
      </c>
      <c r="R175" s="3">
        <f>IF($N175="",0,$X175)</f>
        <v/>
      </c>
      <c r="S175" s="3" t="n">
        <v>0</v>
      </c>
      <c r="T175" s="3">
        <f>IF($N175="",10000000000,$N175*100000+$M175)</f>
        <v/>
      </c>
      <c r="U175" s="3">
        <f>$AB$6</f>
        <v/>
      </c>
      <c r="V175" s="3" t="n">
        <v>3</v>
      </c>
      <c r="W175" s="3">
        <f>IF($U175=0,"",IF(INDEX(UCRETLER!$D$7:$D$406,$U175)="","",IF(INDEX(UCRETLER!$F$7:$F$406,$U175)="Aylık",EOMONTH(INDEX(UCRETLER!$D$7:$D$406,$U175),$V175-1),INDEX(UCRETLER!$D$7:$D$406,$U175)+MOD(SISTEM!$F$8-WEEKDAY(INDEX(UCRETLER!$D$7:$D$406,$U175),2),7)+7*($V175-1))))</f>
        <v/>
      </c>
      <c r="X175" s="3">
        <f>IF($U175=0,0,INDEX(UCRETLER!$G$7:$G$406,$U175))</f>
        <v/>
      </c>
      <c r="Y175" s="3">
        <f>IFERROR(SMALL($T$12:$T$372,ROW()-11),"")</f>
        <v/>
      </c>
      <c r="Z175" s="3">
        <f>IFERROR(MATCH($Y175,$T$12:$T$372,0),"")</f>
        <v/>
      </c>
      <c r="AA175" s="3" t="n"/>
      <c r="AB175" s="3" t="n"/>
      <c r="AC175" s="3" t="n"/>
    </row>
    <row r="176">
      <c r="A176" s="6" t="n"/>
      <c r="B176" s="158">
        <f>IF($C176="","",ROW()-11)</f>
        <v/>
      </c>
      <c r="C176" s="247">
        <f>IF($Z176="","",IF(INDEX($N$12:$N$372,$Z176)="","",INDEX($N$12:$N$372,$Z176)))</f>
        <v/>
      </c>
      <c r="D176" s="29">
        <f>IF($C176="","",INDEX($O$12:$O$372,$Z176))</f>
        <v/>
      </c>
      <c r="E176" s="158">
        <f>IF($C176="","",INDEX($P$12:$P$372,$Z176))</f>
        <v/>
      </c>
      <c r="F176" s="29">
        <f>IF($C176="","",INDEX($Q$12:$Q$372,$Z176))</f>
        <v/>
      </c>
      <c r="G176" s="248">
        <f>IF($C176="","",INDEX($R$12:$R$372,$Z176))</f>
        <v/>
      </c>
      <c r="H176" s="248">
        <f>IF($C176="","",INDEX($S$12:$S$372,$Z176))</f>
        <v/>
      </c>
      <c r="I176" s="248">
        <f>IF($C176="","",N($I175)+$G176-$H176)</f>
        <v/>
      </c>
      <c r="J176" s="6" t="n"/>
      <c r="K176" s="6" t="n"/>
      <c r="L176" s="3" t="n"/>
      <c r="M176" s="3" t="n">
        <v>165</v>
      </c>
      <c r="N176" s="3">
        <f>IF(OR($U176=0,$W176="",$X176&lt;=0),"",IF($W176&gt;TODAY(),"",IF(AND(INDEX(UCRETLER!$E$7:$E$406,$U176)&lt;&gt;"",$W176&gt;INDEX(UCRETLER!$E$7:$E$406,$U176)),"",$W176)))</f>
        <v/>
      </c>
      <c r="O176" s="3">
        <f>IF($N176="","",IF(INDEX(UCRETLER!$F$7:$F$406,$U176)="Aylık",TEXT($N176,"mmmm yyyy")&amp;" aylık muhasebe hizmet ücreti",TEXT($N176,"dd.mm.yyyy")&amp;" haftalık muhasebe hizmet ücreti"))</f>
        <v/>
      </c>
      <c r="P176" s="3">
        <f>IF($N176="","","TAHAKKUK")</f>
        <v/>
      </c>
      <c r="Q176" s="3">
        <f>IF($N176="","","600 Muhasebe Hizmet Geliri")</f>
        <v/>
      </c>
      <c r="R176" s="3">
        <f>IF($N176="",0,$X176)</f>
        <v/>
      </c>
      <c r="S176" s="3" t="n">
        <v>0</v>
      </c>
      <c r="T176" s="3">
        <f>IF($N176="",10000000000,$N176*100000+$M176)</f>
        <v/>
      </c>
      <c r="U176" s="3">
        <f>$AB$6</f>
        <v/>
      </c>
      <c r="V176" s="3" t="n">
        <v>4</v>
      </c>
      <c r="W176" s="3">
        <f>IF($U176=0,"",IF(INDEX(UCRETLER!$D$7:$D$406,$U176)="","",IF(INDEX(UCRETLER!$F$7:$F$406,$U176)="Aylık",EOMONTH(INDEX(UCRETLER!$D$7:$D$406,$U176),$V176-1),INDEX(UCRETLER!$D$7:$D$406,$U176)+MOD(SISTEM!$F$8-WEEKDAY(INDEX(UCRETLER!$D$7:$D$406,$U176),2),7)+7*($V176-1))))</f>
        <v/>
      </c>
      <c r="X176" s="3">
        <f>IF($U176=0,0,INDEX(UCRETLER!$G$7:$G$406,$U176))</f>
        <v/>
      </c>
      <c r="Y176" s="3">
        <f>IFERROR(SMALL($T$12:$T$372,ROW()-11),"")</f>
        <v/>
      </c>
      <c r="Z176" s="3">
        <f>IFERROR(MATCH($Y176,$T$12:$T$372,0),"")</f>
        <v/>
      </c>
      <c r="AA176" s="3" t="n"/>
      <c r="AB176" s="3" t="n"/>
      <c r="AC176" s="3" t="n"/>
    </row>
    <row r="177">
      <c r="A177" s="6" t="n"/>
      <c r="B177" s="158">
        <f>IF($C177="","",ROW()-11)</f>
        <v/>
      </c>
      <c r="C177" s="247">
        <f>IF($Z177="","",IF(INDEX($N$12:$N$372,$Z177)="","",INDEX($N$12:$N$372,$Z177)))</f>
        <v/>
      </c>
      <c r="D177" s="29">
        <f>IF($C177="","",INDEX($O$12:$O$372,$Z177))</f>
        <v/>
      </c>
      <c r="E177" s="158">
        <f>IF($C177="","",INDEX($P$12:$P$372,$Z177))</f>
        <v/>
      </c>
      <c r="F177" s="29">
        <f>IF($C177="","",INDEX($Q$12:$Q$372,$Z177))</f>
        <v/>
      </c>
      <c r="G177" s="248">
        <f>IF($C177="","",INDEX($R$12:$R$372,$Z177))</f>
        <v/>
      </c>
      <c r="H177" s="248">
        <f>IF($C177="","",INDEX($S$12:$S$372,$Z177))</f>
        <v/>
      </c>
      <c r="I177" s="248">
        <f>IF($C177="","",N($I176)+$G177-$H177)</f>
        <v/>
      </c>
      <c r="J177" s="6" t="n"/>
      <c r="K177" s="6" t="n"/>
      <c r="L177" s="3" t="n"/>
      <c r="M177" s="3" t="n">
        <v>166</v>
      </c>
      <c r="N177" s="3">
        <f>IF(OR($U177=0,$W177="",$X177&lt;=0),"",IF($W177&gt;TODAY(),"",IF(AND(INDEX(UCRETLER!$E$7:$E$406,$U177)&lt;&gt;"",$W177&gt;INDEX(UCRETLER!$E$7:$E$406,$U177)),"",$W177)))</f>
        <v/>
      </c>
      <c r="O177" s="3">
        <f>IF($N177="","",IF(INDEX(UCRETLER!$F$7:$F$406,$U177)="Aylık",TEXT($N177,"mmmm yyyy")&amp;" aylık muhasebe hizmet ücreti",TEXT($N177,"dd.mm.yyyy")&amp;" haftalık muhasebe hizmet ücreti"))</f>
        <v/>
      </c>
      <c r="P177" s="3">
        <f>IF($N177="","","TAHAKKUK")</f>
        <v/>
      </c>
      <c r="Q177" s="3">
        <f>IF($N177="","","600 Muhasebe Hizmet Geliri")</f>
        <v/>
      </c>
      <c r="R177" s="3">
        <f>IF($N177="",0,$X177)</f>
        <v/>
      </c>
      <c r="S177" s="3" t="n">
        <v>0</v>
      </c>
      <c r="T177" s="3">
        <f>IF($N177="",10000000000,$N177*100000+$M177)</f>
        <v/>
      </c>
      <c r="U177" s="3">
        <f>$AB$6</f>
        <v/>
      </c>
      <c r="V177" s="3" t="n">
        <v>5</v>
      </c>
      <c r="W177" s="3">
        <f>IF($U177=0,"",IF(INDEX(UCRETLER!$D$7:$D$406,$U177)="","",IF(INDEX(UCRETLER!$F$7:$F$406,$U177)="Aylık",EOMONTH(INDEX(UCRETLER!$D$7:$D$406,$U177),$V177-1),INDEX(UCRETLER!$D$7:$D$406,$U177)+MOD(SISTEM!$F$8-WEEKDAY(INDEX(UCRETLER!$D$7:$D$406,$U177),2),7)+7*($V177-1))))</f>
        <v/>
      </c>
      <c r="X177" s="3">
        <f>IF($U177=0,0,INDEX(UCRETLER!$G$7:$G$406,$U177))</f>
        <v/>
      </c>
      <c r="Y177" s="3">
        <f>IFERROR(SMALL($T$12:$T$372,ROW()-11),"")</f>
        <v/>
      </c>
      <c r="Z177" s="3">
        <f>IFERROR(MATCH($Y177,$T$12:$T$372,0),"")</f>
        <v/>
      </c>
      <c r="AA177" s="3" t="n"/>
      <c r="AB177" s="3" t="n"/>
      <c r="AC177" s="3" t="n"/>
    </row>
    <row r="178">
      <c r="A178" s="6" t="n"/>
      <c r="B178" s="158">
        <f>IF($C178="","",ROW()-11)</f>
        <v/>
      </c>
      <c r="C178" s="247">
        <f>IF($Z178="","",IF(INDEX($N$12:$N$372,$Z178)="","",INDEX($N$12:$N$372,$Z178)))</f>
        <v/>
      </c>
      <c r="D178" s="29">
        <f>IF($C178="","",INDEX($O$12:$O$372,$Z178))</f>
        <v/>
      </c>
      <c r="E178" s="158">
        <f>IF($C178="","",INDEX($P$12:$P$372,$Z178))</f>
        <v/>
      </c>
      <c r="F178" s="29">
        <f>IF($C178="","",INDEX($Q$12:$Q$372,$Z178))</f>
        <v/>
      </c>
      <c r="G178" s="248">
        <f>IF($C178="","",INDEX($R$12:$R$372,$Z178))</f>
        <v/>
      </c>
      <c r="H178" s="248">
        <f>IF($C178="","",INDEX($S$12:$S$372,$Z178))</f>
        <v/>
      </c>
      <c r="I178" s="248">
        <f>IF($C178="","",N($I177)+$G178-$H178)</f>
        <v/>
      </c>
      <c r="J178" s="6" t="n"/>
      <c r="K178" s="6" t="n"/>
      <c r="L178" s="3" t="n"/>
      <c r="M178" s="3" t="n">
        <v>167</v>
      </c>
      <c r="N178" s="3">
        <f>IF(OR($U178=0,$W178="",$X178&lt;=0),"",IF($W178&gt;TODAY(),"",IF(AND(INDEX(UCRETLER!$E$7:$E$406,$U178)&lt;&gt;"",$W178&gt;INDEX(UCRETLER!$E$7:$E$406,$U178)),"",$W178)))</f>
        <v/>
      </c>
      <c r="O178" s="3">
        <f>IF($N178="","",IF(INDEX(UCRETLER!$F$7:$F$406,$U178)="Aylık",TEXT($N178,"mmmm yyyy")&amp;" aylık muhasebe hizmet ücreti",TEXT($N178,"dd.mm.yyyy")&amp;" haftalık muhasebe hizmet ücreti"))</f>
        <v/>
      </c>
      <c r="P178" s="3">
        <f>IF($N178="","","TAHAKKUK")</f>
        <v/>
      </c>
      <c r="Q178" s="3">
        <f>IF($N178="","","600 Muhasebe Hizmet Geliri")</f>
        <v/>
      </c>
      <c r="R178" s="3">
        <f>IF($N178="",0,$X178)</f>
        <v/>
      </c>
      <c r="S178" s="3" t="n">
        <v>0</v>
      </c>
      <c r="T178" s="3">
        <f>IF($N178="",10000000000,$N178*100000+$M178)</f>
        <v/>
      </c>
      <c r="U178" s="3">
        <f>$AB$6</f>
        <v/>
      </c>
      <c r="V178" s="3" t="n">
        <v>6</v>
      </c>
      <c r="W178" s="3">
        <f>IF($U178=0,"",IF(INDEX(UCRETLER!$D$7:$D$406,$U178)="","",IF(INDEX(UCRETLER!$F$7:$F$406,$U178)="Aylık",EOMONTH(INDEX(UCRETLER!$D$7:$D$406,$U178),$V178-1),INDEX(UCRETLER!$D$7:$D$406,$U178)+MOD(SISTEM!$F$8-WEEKDAY(INDEX(UCRETLER!$D$7:$D$406,$U178),2),7)+7*($V178-1))))</f>
        <v/>
      </c>
      <c r="X178" s="3">
        <f>IF($U178=0,0,INDEX(UCRETLER!$G$7:$G$406,$U178))</f>
        <v/>
      </c>
      <c r="Y178" s="3">
        <f>IFERROR(SMALL($T$12:$T$372,ROW()-11),"")</f>
        <v/>
      </c>
      <c r="Z178" s="3">
        <f>IFERROR(MATCH($Y178,$T$12:$T$372,0),"")</f>
        <v/>
      </c>
      <c r="AA178" s="3" t="n"/>
      <c r="AB178" s="3" t="n"/>
      <c r="AC178" s="3" t="n"/>
    </row>
    <row r="179">
      <c r="A179" s="6" t="n"/>
      <c r="B179" s="158">
        <f>IF($C179="","",ROW()-11)</f>
        <v/>
      </c>
      <c r="C179" s="247">
        <f>IF($Z179="","",IF(INDEX($N$12:$N$372,$Z179)="","",INDEX($N$12:$N$372,$Z179)))</f>
        <v/>
      </c>
      <c r="D179" s="29">
        <f>IF($C179="","",INDEX($O$12:$O$372,$Z179))</f>
        <v/>
      </c>
      <c r="E179" s="158">
        <f>IF($C179="","",INDEX($P$12:$P$372,$Z179))</f>
        <v/>
      </c>
      <c r="F179" s="29">
        <f>IF($C179="","",INDEX($Q$12:$Q$372,$Z179))</f>
        <v/>
      </c>
      <c r="G179" s="248">
        <f>IF($C179="","",INDEX($R$12:$R$372,$Z179))</f>
        <v/>
      </c>
      <c r="H179" s="248">
        <f>IF($C179="","",INDEX($S$12:$S$372,$Z179))</f>
        <v/>
      </c>
      <c r="I179" s="248">
        <f>IF($C179="","",N($I178)+$G179-$H179)</f>
        <v/>
      </c>
      <c r="J179" s="6" t="n"/>
      <c r="K179" s="6" t="n"/>
      <c r="L179" s="3" t="n"/>
      <c r="M179" s="3" t="n">
        <v>168</v>
      </c>
      <c r="N179" s="3">
        <f>IF(OR($U179=0,$W179="",$X179&lt;=0),"",IF($W179&gt;TODAY(),"",IF(AND(INDEX(UCRETLER!$E$7:$E$406,$U179)&lt;&gt;"",$W179&gt;INDEX(UCRETLER!$E$7:$E$406,$U179)),"",$W179)))</f>
        <v/>
      </c>
      <c r="O179" s="3">
        <f>IF($N179="","",IF(INDEX(UCRETLER!$F$7:$F$406,$U179)="Aylık",TEXT($N179,"mmmm yyyy")&amp;" aylık muhasebe hizmet ücreti",TEXT($N179,"dd.mm.yyyy")&amp;" haftalık muhasebe hizmet ücreti"))</f>
        <v/>
      </c>
      <c r="P179" s="3">
        <f>IF($N179="","","TAHAKKUK")</f>
        <v/>
      </c>
      <c r="Q179" s="3">
        <f>IF($N179="","","600 Muhasebe Hizmet Geliri")</f>
        <v/>
      </c>
      <c r="R179" s="3">
        <f>IF($N179="",0,$X179)</f>
        <v/>
      </c>
      <c r="S179" s="3" t="n">
        <v>0</v>
      </c>
      <c r="T179" s="3">
        <f>IF($N179="",10000000000,$N179*100000+$M179)</f>
        <v/>
      </c>
      <c r="U179" s="3">
        <f>$AB$6</f>
        <v/>
      </c>
      <c r="V179" s="3" t="n">
        <v>7</v>
      </c>
      <c r="W179" s="3">
        <f>IF($U179=0,"",IF(INDEX(UCRETLER!$D$7:$D$406,$U179)="","",IF(INDEX(UCRETLER!$F$7:$F$406,$U179)="Aylık",EOMONTH(INDEX(UCRETLER!$D$7:$D$406,$U179),$V179-1),INDEX(UCRETLER!$D$7:$D$406,$U179)+MOD(SISTEM!$F$8-WEEKDAY(INDEX(UCRETLER!$D$7:$D$406,$U179),2),7)+7*($V179-1))))</f>
        <v/>
      </c>
      <c r="X179" s="3">
        <f>IF($U179=0,0,INDEX(UCRETLER!$G$7:$G$406,$U179))</f>
        <v/>
      </c>
      <c r="Y179" s="3">
        <f>IFERROR(SMALL($T$12:$T$372,ROW()-11),"")</f>
        <v/>
      </c>
      <c r="Z179" s="3">
        <f>IFERROR(MATCH($Y179,$T$12:$T$372,0),"")</f>
        <v/>
      </c>
      <c r="AA179" s="3" t="n"/>
      <c r="AB179" s="3" t="n"/>
      <c r="AC179" s="3" t="n"/>
    </row>
    <row r="180">
      <c r="A180" s="6" t="n"/>
      <c r="B180" s="158">
        <f>IF($C180="","",ROW()-11)</f>
        <v/>
      </c>
      <c r="C180" s="247">
        <f>IF($Z180="","",IF(INDEX($N$12:$N$372,$Z180)="","",INDEX($N$12:$N$372,$Z180)))</f>
        <v/>
      </c>
      <c r="D180" s="29">
        <f>IF($C180="","",INDEX($O$12:$O$372,$Z180))</f>
        <v/>
      </c>
      <c r="E180" s="158">
        <f>IF($C180="","",INDEX($P$12:$P$372,$Z180))</f>
        <v/>
      </c>
      <c r="F180" s="29">
        <f>IF($C180="","",INDEX($Q$12:$Q$372,$Z180))</f>
        <v/>
      </c>
      <c r="G180" s="248">
        <f>IF($C180="","",INDEX($R$12:$R$372,$Z180))</f>
        <v/>
      </c>
      <c r="H180" s="248">
        <f>IF($C180="","",INDEX($S$12:$S$372,$Z180))</f>
        <v/>
      </c>
      <c r="I180" s="248">
        <f>IF($C180="","",N($I179)+$G180-$H180)</f>
        <v/>
      </c>
      <c r="J180" s="6" t="n"/>
      <c r="K180" s="6" t="n"/>
      <c r="L180" s="3" t="n"/>
      <c r="M180" s="3" t="n">
        <v>169</v>
      </c>
      <c r="N180" s="3">
        <f>IF(OR($U180=0,$W180="",$X180&lt;=0),"",IF($W180&gt;TODAY(),"",IF(AND(INDEX(UCRETLER!$E$7:$E$406,$U180)&lt;&gt;"",$W180&gt;INDEX(UCRETLER!$E$7:$E$406,$U180)),"",$W180)))</f>
        <v/>
      </c>
      <c r="O180" s="3">
        <f>IF($N180="","",IF(INDEX(UCRETLER!$F$7:$F$406,$U180)="Aylık",TEXT($N180,"mmmm yyyy")&amp;" aylık muhasebe hizmet ücreti",TEXT($N180,"dd.mm.yyyy")&amp;" haftalık muhasebe hizmet ücreti"))</f>
        <v/>
      </c>
      <c r="P180" s="3">
        <f>IF($N180="","","TAHAKKUK")</f>
        <v/>
      </c>
      <c r="Q180" s="3">
        <f>IF($N180="","","600 Muhasebe Hizmet Geliri")</f>
        <v/>
      </c>
      <c r="R180" s="3">
        <f>IF($N180="",0,$X180)</f>
        <v/>
      </c>
      <c r="S180" s="3" t="n">
        <v>0</v>
      </c>
      <c r="T180" s="3">
        <f>IF($N180="",10000000000,$N180*100000+$M180)</f>
        <v/>
      </c>
      <c r="U180" s="3">
        <f>$AB$6</f>
        <v/>
      </c>
      <c r="V180" s="3" t="n">
        <v>8</v>
      </c>
      <c r="W180" s="3">
        <f>IF($U180=0,"",IF(INDEX(UCRETLER!$D$7:$D$406,$U180)="","",IF(INDEX(UCRETLER!$F$7:$F$406,$U180)="Aylık",EOMONTH(INDEX(UCRETLER!$D$7:$D$406,$U180),$V180-1),INDEX(UCRETLER!$D$7:$D$406,$U180)+MOD(SISTEM!$F$8-WEEKDAY(INDEX(UCRETLER!$D$7:$D$406,$U180),2),7)+7*($V180-1))))</f>
        <v/>
      </c>
      <c r="X180" s="3">
        <f>IF($U180=0,0,INDEX(UCRETLER!$G$7:$G$406,$U180))</f>
        <v/>
      </c>
      <c r="Y180" s="3">
        <f>IFERROR(SMALL($T$12:$T$372,ROW()-11),"")</f>
        <v/>
      </c>
      <c r="Z180" s="3">
        <f>IFERROR(MATCH($Y180,$T$12:$T$372,0),"")</f>
        <v/>
      </c>
      <c r="AA180" s="3" t="n"/>
      <c r="AB180" s="3" t="n"/>
      <c r="AC180" s="3" t="n"/>
    </row>
    <row r="181">
      <c r="A181" s="6" t="n"/>
      <c r="B181" s="158">
        <f>IF($C181="","",ROW()-11)</f>
        <v/>
      </c>
      <c r="C181" s="247">
        <f>IF($Z181="","",IF(INDEX($N$12:$N$372,$Z181)="","",INDEX($N$12:$N$372,$Z181)))</f>
        <v/>
      </c>
      <c r="D181" s="29">
        <f>IF($C181="","",INDEX($O$12:$O$372,$Z181))</f>
        <v/>
      </c>
      <c r="E181" s="158">
        <f>IF($C181="","",INDEX($P$12:$P$372,$Z181))</f>
        <v/>
      </c>
      <c r="F181" s="29">
        <f>IF($C181="","",INDEX($Q$12:$Q$372,$Z181))</f>
        <v/>
      </c>
      <c r="G181" s="248">
        <f>IF($C181="","",INDEX($R$12:$R$372,$Z181))</f>
        <v/>
      </c>
      <c r="H181" s="248">
        <f>IF($C181="","",INDEX($S$12:$S$372,$Z181))</f>
        <v/>
      </c>
      <c r="I181" s="248">
        <f>IF($C181="","",N($I180)+$G181-$H181)</f>
        <v/>
      </c>
      <c r="J181" s="6" t="n"/>
      <c r="K181" s="6" t="n"/>
      <c r="L181" s="3" t="n"/>
      <c r="M181" s="3" t="n">
        <v>170</v>
      </c>
      <c r="N181" s="3">
        <f>IF(OR($U181=0,$W181="",$X181&lt;=0),"",IF($W181&gt;TODAY(),"",IF(AND(INDEX(UCRETLER!$E$7:$E$406,$U181)&lt;&gt;"",$W181&gt;INDEX(UCRETLER!$E$7:$E$406,$U181)),"",$W181)))</f>
        <v/>
      </c>
      <c r="O181" s="3">
        <f>IF($N181="","",IF(INDEX(UCRETLER!$F$7:$F$406,$U181)="Aylık",TEXT($N181,"mmmm yyyy")&amp;" aylık muhasebe hizmet ücreti",TEXT($N181,"dd.mm.yyyy")&amp;" haftalık muhasebe hizmet ücreti"))</f>
        <v/>
      </c>
      <c r="P181" s="3">
        <f>IF($N181="","","TAHAKKUK")</f>
        <v/>
      </c>
      <c r="Q181" s="3">
        <f>IF($N181="","","600 Muhasebe Hizmet Geliri")</f>
        <v/>
      </c>
      <c r="R181" s="3">
        <f>IF($N181="",0,$X181)</f>
        <v/>
      </c>
      <c r="S181" s="3" t="n">
        <v>0</v>
      </c>
      <c r="T181" s="3">
        <f>IF($N181="",10000000000,$N181*100000+$M181)</f>
        <v/>
      </c>
      <c r="U181" s="3">
        <f>$AB$6</f>
        <v/>
      </c>
      <c r="V181" s="3" t="n">
        <v>9</v>
      </c>
      <c r="W181" s="3">
        <f>IF($U181=0,"",IF(INDEX(UCRETLER!$D$7:$D$406,$U181)="","",IF(INDEX(UCRETLER!$F$7:$F$406,$U181)="Aylık",EOMONTH(INDEX(UCRETLER!$D$7:$D$406,$U181),$V181-1),INDEX(UCRETLER!$D$7:$D$406,$U181)+MOD(SISTEM!$F$8-WEEKDAY(INDEX(UCRETLER!$D$7:$D$406,$U181),2),7)+7*($V181-1))))</f>
        <v/>
      </c>
      <c r="X181" s="3">
        <f>IF($U181=0,0,INDEX(UCRETLER!$G$7:$G$406,$U181))</f>
        <v/>
      </c>
      <c r="Y181" s="3">
        <f>IFERROR(SMALL($T$12:$T$372,ROW()-11),"")</f>
        <v/>
      </c>
      <c r="Z181" s="3">
        <f>IFERROR(MATCH($Y181,$T$12:$T$372,0),"")</f>
        <v/>
      </c>
      <c r="AA181" s="3" t="n"/>
      <c r="AB181" s="3" t="n"/>
      <c r="AC181" s="3" t="n"/>
    </row>
    <row r="182">
      <c r="A182" s="6" t="n"/>
      <c r="B182" s="158">
        <f>IF($C182="","",ROW()-11)</f>
        <v/>
      </c>
      <c r="C182" s="247">
        <f>IF($Z182="","",IF(INDEX($N$12:$N$372,$Z182)="","",INDEX($N$12:$N$372,$Z182)))</f>
        <v/>
      </c>
      <c r="D182" s="29">
        <f>IF($C182="","",INDEX($O$12:$O$372,$Z182))</f>
        <v/>
      </c>
      <c r="E182" s="158">
        <f>IF($C182="","",INDEX($P$12:$P$372,$Z182))</f>
        <v/>
      </c>
      <c r="F182" s="29">
        <f>IF($C182="","",INDEX($Q$12:$Q$372,$Z182))</f>
        <v/>
      </c>
      <c r="G182" s="248">
        <f>IF($C182="","",INDEX($R$12:$R$372,$Z182))</f>
        <v/>
      </c>
      <c r="H182" s="248">
        <f>IF($C182="","",INDEX($S$12:$S$372,$Z182))</f>
        <v/>
      </c>
      <c r="I182" s="248">
        <f>IF($C182="","",N($I181)+$G182-$H182)</f>
        <v/>
      </c>
      <c r="J182" s="6" t="n"/>
      <c r="K182" s="6" t="n"/>
      <c r="L182" s="3" t="n"/>
      <c r="M182" s="3" t="n">
        <v>171</v>
      </c>
      <c r="N182" s="3">
        <f>IF(OR($U182=0,$W182="",$X182&lt;=0),"",IF($W182&gt;TODAY(),"",IF(AND(INDEX(UCRETLER!$E$7:$E$406,$U182)&lt;&gt;"",$W182&gt;INDEX(UCRETLER!$E$7:$E$406,$U182)),"",$W182)))</f>
        <v/>
      </c>
      <c r="O182" s="3">
        <f>IF($N182="","",IF(INDEX(UCRETLER!$F$7:$F$406,$U182)="Aylık",TEXT($N182,"mmmm yyyy")&amp;" aylık muhasebe hizmet ücreti",TEXT($N182,"dd.mm.yyyy")&amp;" haftalık muhasebe hizmet ücreti"))</f>
        <v/>
      </c>
      <c r="P182" s="3">
        <f>IF($N182="","","TAHAKKUK")</f>
        <v/>
      </c>
      <c r="Q182" s="3">
        <f>IF($N182="","","600 Muhasebe Hizmet Geliri")</f>
        <v/>
      </c>
      <c r="R182" s="3">
        <f>IF($N182="",0,$X182)</f>
        <v/>
      </c>
      <c r="S182" s="3" t="n">
        <v>0</v>
      </c>
      <c r="T182" s="3">
        <f>IF($N182="",10000000000,$N182*100000+$M182)</f>
        <v/>
      </c>
      <c r="U182" s="3">
        <f>$AB$6</f>
        <v/>
      </c>
      <c r="V182" s="3" t="n">
        <v>10</v>
      </c>
      <c r="W182" s="3">
        <f>IF($U182=0,"",IF(INDEX(UCRETLER!$D$7:$D$406,$U182)="","",IF(INDEX(UCRETLER!$F$7:$F$406,$U182)="Aylık",EOMONTH(INDEX(UCRETLER!$D$7:$D$406,$U182),$V182-1),INDEX(UCRETLER!$D$7:$D$406,$U182)+MOD(SISTEM!$F$8-WEEKDAY(INDEX(UCRETLER!$D$7:$D$406,$U182),2),7)+7*($V182-1))))</f>
        <v/>
      </c>
      <c r="X182" s="3">
        <f>IF($U182=0,0,INDEX(UCRETLER!$G$7:$G$406,$U182))</f>
        <v/>
      </c>
      <c r="Y182" s="3">
        <f>IFERROR(SMALL($T$12:$T$372,ROW()-11),"")</f>
        <v/>
      </c>
      <c r="Z182" s="3">
        <f>IFERROR(MATCH($Y182,$T$12:$T$372,0),"")</f>
        <v/>
      </c>
      <c r="AA182" s="3" t="n"/>
      <c r="AB182" s="3" t="n"/>
      <c r="AC182" s="3" t="n"/>
    </row>
    <row r="183">
      <c r="A183" s="6" t="n"/>
      <c r="B183" s="158">
        <f>IF($C183="","",ROW()-11)</f>
        <v/>
      </c>
      <c r="C183" s="247">
        <f>IF($Z183="","",IF(INDEX($N$12:$N$372,$Z183)="","",INDEX($N$12:$N$372,$Z183)))</f>
        <v/>
      </c>
      <c r="D183" s="29">
        <f>IF($C183="","",INDEX($O$12:$O$372,$Z183))</f>
        <v/>
      </c>
      <c r="E183" s="158">
        <f>IF($C183="","",INDEX($P$12:$P$372,$Z183))</f>
        <v/>
      </c>
      <c r="F183" s="29">
        <f>IF($C183="","",INDEX($Q$12:$Q$372,$Z183))</f>
        <v/>
      </c>
      <c r="G183" s="248">
        <f>IF($C183="","",INDEX($R$12:$R$372,$Z183))</f>
        <v/>
      </c>
      <c r="H183" s="248">
        <f>IF($C183="","",INDEX($S$12:$S$372,$Z183))</f>
        <v/>
      </c>
      <c r="I183" s="248">
        <f>IF($C183="","",N($I182)+$G183-$H183)</f>
        <v/>
      </c>
      <c r="J183" s="6" t="n"/>
      <c r="K183" s="6" t="n"/>
      <c r="L183" s="3" t="n"/>
      <c r="M183" s="3" t="n">
        <v>172</v>
      </c>
      <c r="N183" s="3">
        <f>IF(OR($U183=0,$W183="",$X183&lt;=0),"",IF($W183&gt;TODAY(),"",IF(AND(INDEX(UCRETLER!$E$7:$E$406,$U183)&lt;&gt;"",$W183&gt;INDEX(UCRETLER!$E$7:$E$406,$U183)),"",$W183)))</f>
        <v/>
      </c>
      <c r="O183" s="3">
        <f>IF($N183="","",IF(INDEX(UCRETLER!$F$7:$F$406,$U183)="Aylık",TEXT($N183,"mmmm yyyy")&amp;" aylık muhasebe hizmet ücreti",TEXT($N183,"dd.mm.yyyy")&amp;" haftalık muhasebe hizmet ücreti"))</f>
        <v/>
      </c>
      <c r="P183" s="3">
        <f>IF($N183="","","TAHAKKUK")</f>
        <v/>
      </c>
      <c r="Q183" s="3">
        <f>IF($N183="","","600 Muhasebe Hizmet Geliri")</f>
        <v/>
      </c>
      <c r="R183" s="3">
        <f>IF($N183="",0,$X183)</f>
        <v/>
      </c>
      <c r="S183" s="3" t="n">
        <v>0</v>
      </c>
      <c r="T183" s="3">
        <f>IF($N183="",10000000000,$N183*100000+$M183)</f>
        <v/>
      </c>
      <c r="U183" s="3">
        <f>$AB$6</f>
        <v/>
      </c>
      <c r="V183" s="3" t="n">
        <v>11</v>
      </c>
      <c r="W183" s="3">
        <f>IF($U183=0,"",IF(INDEX(UCRETLER!$D$7:$D$406,$U183)="","",IF(INDEX(UCRETLER!$F$7:$F$406,$U183)="Aylık",EOMONTH(INDEX(UCRETLER!$D$7:$D$406,$U183),$V183-1),INDEX(UCRETLER!$D$7:$D$406,$U183)+MOD(SISTEM!$F$8-WEEKDAY(INDEX(UCRETLER!$D$7:$D$406,$U183),2),7)+7*($V183-1))))</f>
        <v/>
      </c>
      <c r="X183" s="3">
        <f>IF($U183=0,0,INDEX(UCRETLER!$G$7:$G$406,$U183))</f>
        <v/>
      </c>
      <c r="Y183" s="3">
        <f>IFERROR(SMALL($T$12:$T$372,ROW()-11),"")</f>
        <v/>
      </c>
      <c r="Z183" s="3">
        <f>IFERROR(MATCH($Y183,$T$12:$T$372,0),"")</f>
        <v/>
      </c>
      <c r="AA183" s="3" t="n"/>
      <c r="AB183" s="3" t="n"/>
      <c r="AC183" s="3" t="n"/>
    </row>
    <row r="184">
      <c r="A184" s="6" t="n"/>
      <c r="B184" s="158">
        <f>IF($C184="","",ROW()-11)</f>
        <v/>
      </c>
      <c r="C184" s="247">
        <f>IF($Z184="","",IF(INDEX($N$12:$N$372,$Z184)="","",INDEX($N$12:$N$372,$Z184)))</f>
        <v/>
      </c>
      <c r="D184" s="29">
        <f>IF($C184="","",INDEX($O$12:$O$372,$Z184))</f>
        <v/>
      </c>
      <c r="E184" s="158">
        <f>IF($C184="","",INDEX($P$12:$P$372,$Z184))</f>
        <v/>
      </c>
      <c r="F184" s="29">
        <f>IF($C184="","",INDEX($Q$12:$Q$372,$Z184))</f>
        <v/>
      </c>
      <c r="G184" s="248">
        <f>IF($C184="","",INDEX($R$12:$R$372,$Z184))</f>
        <v/>
      </c>
      <c r="H184" s="248">
        <f>IF($C184="","",INDEX($S$12:$S$372,$Z184))</f>
        <v/>
      </c>
      <c r="I184" s="248">
        <f>IF($C184="","",N($I183)+$G184-$H184)</f>
        <v/>
      </c>
      <c r="J184" s="6" t="n"/>
      <c r="K184" s="6" t="n"/>
      <c r="L184" s="3" t="n"/>
      <c r="M184" s="3" t="n">
        <v>173</v>
      </c>
      <c r="N184" s="3">
        <f>IF(OR($U184=0,$W184="",$X184&lt;=0),"",IF($W184&gt;TODAY(),"",IF(AND(INDEX(UCRETLER!$E$7:$E$406,$U184)&lt;&gt;"",$W184&gt;INDEX(UCRETLER!$E$7:$E$406,$U184)),"",$W184)))</f>
        <v/>
      </c>
      <c r="O184" s="3">
        <f>IF($N184="","",IF(INDEX(UCRETLER!$F$7:$F$406,$U184)="Aylık",TEXT($N184,"mmmm yyyy")&amp;" aylık muhasebe hizmet ücreti",TEXT($N184,"dd.mm.yyyy")&amp;" haftalık muhasebe hizmet ücreti"))</f>
        <v/>
      </c>
      <c r="P184" s="3">
        <f>IF($N184="","","TAHAKKUK")</f>
        <v/>
      </c>
      <c r="Q184" s="3">
        <f>IF($N184="","","600 Muhasebe Hizmet Geliri")</f>
        <v/>
      </c>
      <c r="R184" s="3">
        <f>IF($N184="",0,$X184)</f>
        <v/>
      </c>
      <c r="S184" s="3" t="n">
        <v>0</v>
      </c>
      <c r="T184" s="3">
        <f>IF($N184="",10000000000,$N184*100000+$M184)</f>
        <v/>
      </c>
      <c r="U184" s="3">
        <f>$AB$6</f>
        <v/>
      </c>
      <c r="V184" s="3" t="n">
        <v>12</v>
      </c>
      <c r="W184" s="3">
        <f>IF($U184=0,"",IF(INDEX(UCRETLER!$D$7:$D$406,$U184)="","",IF(INDEX(UCRETLER!$F$7:$F$406,$U184)="Aylık",EOMONTH(INDEX(UCRETLER!$D$7:$D$406,$U184),$V184-1),INDEX(UCRETLER!$D$7:$D$406,$U184)+MOD(SISTEM!$F$8-WEEKDAY(INDEX(UCRETLER!$D$7:$D$406,$U184),2),7)+7*($V184-1))))</f>
        <v/>
      </c>
      <c r="X184" s="3">
        <f>IF($U184=0,0,INDEX(UCRETLER!$G$7:$G$406,$U184))</f>
        <v/>
      </c>
      <c r="Y184" s="3">
        <f>IFERROR(SMALL($T$12:$T$372,ROW()-11),"")</f>
        <v/>
      </c>
      <c r="Z184" s="3">
        <f>IFERROR(MATCH($Y184,$T$12:$T$372,0),"")</f>
        <v/>
      </c>
      <c r="AA184" s="3" t="n"/>
      <c r="AB184" s="3" t="n"/>
      <c r="AC184" s="3" t="n"/>
    </row>
    <row r="185">
      <c r="A185" s="6" t="n"/>
      <c r="B185" s="158">
        <f>IF($C185="","",ROW()-11)</f>
        <v/>
      </c>
      <c r="C185" s="247">
        <f>IF($Z185="","",IF(INDEX($N$12:$N$372,$Z185)="","",INDEX($N$12:$N$372,$Z185)))</f>
        <v/>
      </c>
      <c r="D185" s="29">
        <f>IF($C185="","",INDEX($O$12:$O$372,$Z185))</f>
        <v/>
      </c>
      <c r="E185" s="158">
        <f>IF($C185="","",INDEX($P$12:$P$372,$Z185))</f>
        <v/>
      </c>
      <c r="F185" s="29">
        <f>IF($C185="","",INDEX($Q$12:$Q$372,$Z185))</f>
        <v/>
      </c>
      <c r="G185" s="248">
        <f>IF($C185="","",INDEX($R$12:$R$372,$Z185))</f>
        <v/>
      </c>
      <c r="H185" s="248">
        <f>IF($C185="","",INDEX($S$12:$S$372,$Z185))</f>
        <v/>
      </c>
      <c r="I185" s="248">
        <f>IF($C185="","",N($I184)+$G185-$H185)</f>
        <v/>
      </c>
      <c r="J185" s="6" t="n"/>
      <c r="K185" s="6" t="n"/>
      <c r="L185" s="3" t="n"/>
      <c r="M185" s="3" t="n">
        <v>174</v>
      </c>
      <c r="N185" s="3">
        <f>IF(OR($U185=0,$W185="",$X185&lt;=0),"",IF($W185&gt;TODAY(),"",IF(AND(INDEX(UCRETLER!$E$7:$E$406,$U185)&lt;&gt;"",$W185&gt;INDEX(UCRETLER!$E$7:$E$406,$U185)),"",$W185)))</f>
        <v/>
      </c>
      <c r="O185" s="3">
        <f>IF($N185="","",IF(INDEX(UCRETLER!$F$7:$F$406,$U185)="Aylık",TEXT($N185,"mmmm yyyy")&amp;" aylık muhasebe hizmet ücreti",TEXT($N185,"dd.mm.yyyy")&amp;" haftalık muhasebe hizmet ücreti"))</f>
        <v/>
      </c>
      <c r="P185" s="3">
        <f>IF($N185="","","TAHAKKUK")</f>
        <v/>
      </c>
      <c r="Q185" s="3">
        <f>IF($N185="","","600 Muhasebe Hizmet Geliri")</f>
        <v/>
      </c>
      <c r="R185" s="3">
        <f>IF($N185="",0,$X185)</f>
        <v/>
      </c>
      <c r="S185" s="3" t="n">
        <v>0</v>
      </c>
      <c r="T185" s="3">
        <f>IF($N185="",10000000000,$N185*100000+$M185)</f>
        <v/>
      </c>
      <c r="U185" s="3">
        <f>$AB$6</f>
        <v/>
      </c>
      <c r="V185" s="3" t="n">
        <v>13</v>
      </c>
      <c r="W185" s="3">
        <f>IF($U185=0,"",IF(INDEX(UCRETLER!$D$7:$D$406,$U185)="","",IF(INDEX(UCRETLER!$F$7:$F$406,$U185)="Aylık",EOMONTH(INDEX(UCRETLER!$D$7:$D$406,$U185),$V185-1),INDEX(UCRETLER!$D$7:$D$406,$U185)+MOD(SISTEM!$F$8-WEEKDAY(INDEX(UCRETLER!$D$7:$D$406,$U185),2),7)+7*($V185-1))))</f>
        <v/>
      </c>
      <c r="X185" s="3">
        <f>IF($U185=0,0,INDEX(UCRETLER!$G$7:$G$406,$U185))</f>
        <v/>
      </c>
      <c r="Y185" s="3">
        <f>IFERROR(SMALL($T$12:$T$372,ROW()-11),"")</f>
        <v/>
      </c>
      <c r="Z185" s="3">
        <f>IFERROR(MATCH($Y185,$T$12:$T$372,0),"")</f>
        <v/>
      </c>
      <c r="AA185" s="3" t="n"/>
      <c r="AB185" s="3" t="n"/>
      <c r="AC185" s="3" t="n"/>
    </row>
    <row r="186">
      <c r="A186" s="6" t="n"/>
      <c r="B186" s="158">
        <f>IF($C186="","",ROW()-11)</f>
        <v/>
      </c>
      <c r="C186" s="247">
        <f>IF($Z186="","",IF(INDEX($N$12:$N$372,$Z186)="","",INDEX($N$12:$N$372,$Z186)))</f>
        <v/>
      </c>
      <c r="D186" s="29">
        <f>IF($C186="","",INDEX($O$12:$O$372,$Z186))</f>
        <v/>
      </c>
      <c r="E186" s="158">
        <f>IF($C186="","",INDEX($P$12:$P$372,$Z186))</f>
        <v/>
      </c>
      <c r="F186" s="29">
        <f>IF($C186="","",INDEX($Q$12:$Q$372,$Z186))</f>
        <v/>
      </c>
      <c r="G186" s="248">
        <f>IF($C186="","",INDEX($R$12:$R$372,$Z186))</f>
        <v/>
      </c>
      <c r="H186" s="248">
        <f>IF($C186="","",INDEX($S$12:$S$372,$Z186))</f>
        <v/>
      </c>
      <c r="I186" s="248">
        <f>IF($C186="","",N($I185)+$G186-$H186)</f>
        <v/>
      </c>
      <c r="J186" s="6" t="n"/>
      <c r="K186" s="6" t="n"/>
      <c r="L186" s="3" t="n"/>
      <c r="M186" s="3" t="n">
        <v>175</v>
      </c>
      <c r="N186" s="3">
        <f>IF(OR($U186=0,$W186="",$X186&lt;=0),"",IF($W186&gt;TODAY(),"",IF(AND(INDEX(UCRETLER!$E$7:$E$406,$U186)&lt;&gt;"",$W186&gt;INDEX(UCRETLER!$E$7:$E$406,$U186)),"",$W186)))</f>
        <v/>
      </c>
      <c r="O186" s="3">
        <f>IF($N186="","",IF(INDEX(UCRETLER!$F$7:$F$406,$U186)="Aylık",TEXT($N186,"mmmm yyyy")&amp;" aylık muhasebe hizmet ücreti",TEXT($N186,"dd.mm.yyyy")&amp;" haftalık muhasebe hizmet ücreti"))</f>
        <v/>
      </c>
      <c r="P186" s="3">
        <f>IF($N186="","","TAHAKKUK")</f>
        <v/>
      </c>
      <c r="Q186" s="3">
        <f>IF($N186="","","600 Muhasebe Hizmet Geliri")</f>
        <v/>
      </c>
      <c r="R186" s="3">
        <f>IF($N186="",0,$X186)</f>
        <v/>
      </c>
      <c r="S186" s="3" t="n">
        <v>0</v>
      </c>
      <c r="T186" s="3">
        <f>IF($N186="",10000000000,$N186*100000+$M186)</f>
        <v/>
      </c>
      <c r="U186" s="3">
        <f>$AB$6</f>
        <v/>
      </c>
      <c r="V186" s="3" t="n">
        <v>14</v>
      </c>
      <c r="W186" s="3">
        <f>IF($U186=0,"",IF(INDEX(UCRETLER!$D$7:$D$406,$U186)="","",IF(INDEX(UCRETLER!$F$7:$F$406,$U186)="Aylık",EOMONTH(INDEX(UCRETLER!$D$7:$D$406,$U186),$V186-1),INDEX(UCRETLER!$D$7:$D$406,$U186)+MOD(SISTEM!$F$8-WEEKDAY(INDEX(UCRETLER!$D$7:$D$406,$U186),2),7)+7*($V186-1))))</f>
        <v/>
      </c>
      <c r="X186" s="3">
        <f>IF($U186=0,0,INDEX(UCRETLER!$G$7:$G$406,$U186))</f>
        <v/>
      </c>
      <c r="Y186" s="3">
        <f>IFERROR(SMALL($T$12:$T$372,ROW()-11),"")</f>
        <v/>
      </c>
      <c r="Z186" s="3">
        <f>IFERROR(MATCH($Y186,$T$12:$T$372,0),"")</f>
        <v/>
      </c>
      <c r="AA186" s="3" t="n"/>
      <c r="AB186" s="3" t="n"/>
      <c r="AC186" s="3" t="n"/>
    </row>
    <row r="187">
      <c r="A187" s="6" t="n"/>
      <c r="B187" s="158">
        <f>IF($C187="","",ROW()-11)</f>
        <v/>
      </c>
      <c r="C187" s="247">
        <f>IF($Z187="","",IF(INDEX($N$12:$N$372,$Z187)="","",INDEX($N$12:$N$372,$Z187)))</f>
        <v/>
      </c>
      <c r="D187" s="29">
        <f>IF($C187="","",INDEX($O$12:$O$372,$Z187))</f>
        <v/>
      </c>
      <c r="E187" s="158">
        <f>IF($C187="","",INDEX($P$12:$P$372,$Z187))</f>
        <v/>
      </c>
      <c r="F187" s="29">
        <f>IF($C187="","",INDEX($Q$12:$Q$372,$Z187))</f>
        <v/>
      </c>
      <c r="G187" s="248">
        <f>IF($C187="","",INDEX($R$12:$R$372,$Z187))</f>
        <v/>
      </c>
      <c r="H187" s="248">
        <f>IF($C187="","",INDEX($S$12:$S$372,$Z187))</f>
        <v/>
      </c>
      <c r="I187" s="248">
        <f>IF($C187="","",N($I186)+$G187-$H187)</f>
        <v/>
      </c>
      <c r="J187" s="6" t="n"/>
      <c r="K187" s="6" t="n"/>
      <c r="L187" s="3" t="n"/>
      <c r="M187" s="3" t="n">
        <v>176</v>
      </c>
      <c r="N187" s="3">
        <f>IF(OR($U187=0,$W187="",$X187&lt;=0),"",IF($W187&gt;TODAY(),"",IF(AND(INDEX(UCRETLER!$E$7:$E$406,$U187)&lt;&gt;"",$W187&gt;INDEX(UCRETLER!$E$7:$E$406,$U187)),"",$W187)))</f>
        <v/>
      </c>
      <c r="O187" s="3">
        <f>IF($N187="","",IF(INDEX(UCRETLER!$F$7:$F$406,$U187)="Aylık",TEXT($N187,"mmmm yyyy")&amp;" aylık muhasebe hizmet ücreti",TEXT($N187,"dd.mm.yyyy")&amp;" haftalık muhasebe hizmet ücreti"))</f>
        <v/>
      </c>
      <c r="P187" s="3">
        <f>IF($N187="","","TAHAKKUK")</f>
        <v/>
      </c>
      <c r="Q187" s="3">
        <f>IF($N187="","","600 Muhasebe Hizmet Geliri")</f>
        <v/>
      </c>
      <c r="R187" s="3">
        <f>IF($N187="",0,$X187)</f>
        <v/>
      </c>
      <c r="S187" s="3" t="n">
        <v>0</v>
      </c>
      <c r="T187" s="3">
        <f>IF($N187="",10000000000,$N187*100000+$M187)</f>
        <v/>
      </c>
      <c r="U187" s="3">
        <f>$AB$6</f>
        <v/>
      </c>
      <c r="V187" s="3" t="n">
        <v>15</v>
      </c>
      <c r="W187" s="3">
        <f>IF($U187=0,"",IF(INDEX(UCRETLER!$D$7:$D$406,$U187)="","",IF(INDEX(UCRETLER!$F$7:$F$406,$U187)="Aylık",EOMONTH(INDEX(UCRETLER!$D$7:$D$406,$U187),$V187-1),INDEX(UCRETLER!$D$7:$D$406,$U187)+MOD(SISTEM!$F$8-WEEKDAY(INDEX(UCRETLER!$D$7:$D$406,$U187),2),7)+7*($V187-1))))</f>
        <v/>
      </c>
      <c r="X187" s="3">
        <f>IF($U187=0,0,INDEX(UCRETLER!$G$7:$G$406,$U187))</f>
        <v/>
      </c>
      <c r="Y187" s="3">
        <f>IFERROR(SMALL($T$12:$T$372,ROW()-11),"")</f>
        <v/>
      </c>
      <c r="Z187" s="3">
        <f>IFERROR(MATCH($Y187,$T$12:$T$372,0),"")</f>
        <v/>
      </c>
      <c r="AA187" s="3" t="n"/>
      <c r="AB187" s="3" t="n"/>
      <c r="AC187" s="3" t="n"/>
    </row>
    <row r="188">
      <c r="A188" s="6" t="n"/>
      <c r="B188" s="158">
        <f>IF($C188="","",ROW()-11)</f>
        <v/>
      </c>
      <c r="C188" s="247">
        <f>IF($Z188="","",IF(INDEX($N$12:$N$372,$Z188)="","",INDEX($N$12:$N$372,$Z188)))</f>
        <v/>
      </c>
      <c r="D188" s="29">
        <f>IF($C188="","",INDEX($O$12:$O$372,$Z188))</f>
        <v/>
      </c>
      <c r="E188" s="158">
        <f>IF($C188="","",INDEX($P$12:$P$372,$Z188))</f>
        <v/>
      </c>
      <c r="F188" s="29">
        <f>IF($C188="","",INDEX($Q$12:$Q$372,$Z188))</f>
        <v/>
      </c>
      <c r="G188" s="248">
        <f>IF($C188="","",INDEX($R$12:$R$372,$Z188))</f>
        <v/>
      </c>
      <c r="H188" s="248">
        <f>IF($C188="","",INDEX($S$12:$S$372,$Z188))</f>
        <v/>
      </c>
      <c r="I188" s="248">
        <f>IF($C188="","",N($I187)+$G188-$H188)</f>
        <v/>
      </c>
      <c r="J188" s="6" t="n"/>
      <c r="K188" s="6" t="n"/>
      <c r="L188" s="3" t="n"/>
      <c r="M188" s="3" t="n">
        <v>177</v>
      </c>
      <c r="N188" s="3">
        <f>IF(OR($U188=0,$W188="",$X188&lt;=0),"",IF($W188&gt;TODAY(),"",IF(AND(INDEX(UCRETLER!$E$7:$E$406,$U188)&lt;&gt;"",$W188&gt;INDEX(UCRETLER!$E$7:$E$406,$U188)),"",$W188)))</f>
        <v/>
      </c>
      <c r="O188" s="3">
        <f>IF($N188="","",IF(INDEX(UCRETLER!$F$7:$F$406,$U188)="Aylık",TEXT($N188,"mmmm yyyy")&amp;" aylık muhasebe hizmet ücreti",TEXT($N188,"dd.mm.yyyy")&amp;" haftalık muhasebe hizmet ücreti"))</f>
        <v/>
      </c>
      <c r="P188" s="3">
        <f>IF($N188="","","TAHAKKUK")</f>
        <v/>
      </c>
      <c r="Q188" s="3">
        <f>IF($N188="","","600 Muhasebe Hizmet Geliri")</f>
        <v/>
      </c>
      <c r="R188" s="3">
        <f>IF($N188="",0,$X188)</f>
        <v/>
      </c>
      <c r="S188" s="3" t="n">
        <v>0</v>
      </c>
      <c r="T188" s="3">
        <f>IF($N188="",10000000000,$N188*100000+$M188)</f>
        <v/>
      </c>
      <c r="U188" s="3">
        <f>$AB$6</f>
        <v/>
      </c>
      <c r="V188" s="3" t="n">
        <v>16</v>
      </c>
      <c r="W188" s="3">
        <f>IF($U188=0,"",IF(INDEX(UCRETLER!$D$7:$D$406,$U188)="","",IF(INDEX(UCRETLER!$F$7:$F$406,$U188)="Aylık",EOMONTH(INDEX(UCRETLER!$D$7:$D$406,$U188),$V188-1),INDEX(UCRETLER!$D$7:$D$406,$U188)+MOD(SISTEM!$F$8-WEEKDAY(INDEX(UCRETLER!$D$7:$D$406,$U188),2),7)+7*($V188-1))))</f>
        <v/>
      </c>
      <c r="X188" s="3">
        <f>IF($U188=0,0,INDEX(UCRETLER!$G$7:$G$406,$U188))</f>
        <v/>
      </c>
      <c r="Y188" s="3">
        <f>IFERROR(SMALL($T$12:$T$372,ROW()-11),"")</f>
        <v/>
      </c>
      <c r="Z188" s="3">
        <f>IFERROR(MATCH($Y188,$T$12:$T$372,0),"")</f>
        <v/>
      </c>
      <c r="AA188" s="3" t="n"/>
      <c r="AB188" s="3" t="n"/>
      <c r="AC188" s="3" t="n"/>
    </row>
    <row r="189">
      <c r="A189" s="6" t="n"/>
      <c r="B189" s="158">
        <f>IF($C189="","",ROW()-11)</f>
        <v/>
      </c>
      <c r="C189" s="247">
        <f>IF($Z189="","",IF(INDEX($N$12:$N$372,$Z189)="","",INDEX($N$12:$N$372,$Z189)))</f>
        <v/>
      </c>
      <c r="D189" s="29">
        <f>IF($C189="","",INDEX($O$12:$O$372,$Z189))</f>
        <v/>
      </c>
      <c r="E189" s="158">
        <f>IF($C189="","",INDEX($P$12:$P$372,$Z189))</f>
        <v/>
      </c>
      <c r="F189" s="29">
        <f>IF($C189="","",INDEX($Q$12:$Q$372,$Z189))</f>
        <v/>
      </c>
      <c r="G189" s="248">
        <f>IF($C189="","",INDEX($R$12:$R$372,$Z189))</f>
        <v/>
      </c>
      <c r="H189" s="248">
        <f>IF($C189="","",INDEX($S$12:$S$372,$Z189))</f>
        <v/>
      </c>
      <c r="I189" s="248">
        <f>IF($C189="","",N($I188)+$G189-$H189)</f>
        <v/>
      </c>
      <c r="J189" s="6" t="n"/>
      <c r="K189" s="6" t="n"/>
      <c r="L189" s="3" t="n"/>
      <c r="M189" s="3" t="n">
        <v>178</v>
      </c>
      <c r="N189" s="3">
        <f>IF(OR($U189=0,$W189="",$X189&lt;=0),"",IF($W189&gt;TODAY(),"",IF(AND(INDEX(UCRETLER!$E$7:$E$406,$U189)&lt;&gt;"",$W189&gt;INDEX(UCRETLER!$E$7:$E$406,$U189)),"",$W189)))</f>
        <v/>
      </c>
      <c r="O189" s="3">
        <f>IF($N189="","",IF(INDEX(UCRETLER!$F$7:$F$406,$U189)="Aylık",TEXT($N189,"mmmm yyyy")&amp;" aylık muhasebe hizmet ücreti",TEXT($N189,"dd.mm.yyyy")&amp;" haftalık muhasebe hizmet ücreti"))</f>
        <v/>
      </c>
      <c r="P189" s="3">
        <f>IF($N189="","","TAHAKKUK")</f>
        <v/>
      </c>
      <c r="Q189" s="3">
        <f>IF($N189="","","600 Muhasebe Hizmet Geliri")</f>
        <v/>
      </c>
      <c r="R189" s="3">
        <f>IF($N189="",0,$X189)</f>
        <v/>
      </c>
      <c r="S189" s="3" t="n">
        <v>0</v>
      </c>
      <c r="T189" s="3">
        <f>IF($N189="",10000000000,$N189*100000+$M189)</f>
        <v/>
      </c>
      <c r="U189" s="3">
        <f>$AB$6</f>
        <v/>
      </c>
      <c r="V189" s="3" t="n">
        <v>17</v>
      </c>
      <c r="W189" s="3">
        <f>IF($U189=0,"",IF(INDEX(UCRETLER!$D$7:$D$406,$U189)="","",IF(INDEX(UCRETLER!$F$7:$F$406,$U189)="Aylık",EOMONTH(INDEX(UCRETLER!$D$7:$D$406,$U189),$V189-1),INDEX(UCRETLER!$D$7:$D$406,$U189)+MOD(SISTEM!$F$8-WEEKDAY(INDEX(UCRETLER!$D$7:$D$406,$U189),2),7)+7*($V189-1))))</f>
        <v/>
      </c>
      <c r="X189" s="3">
        <f>IF($U189=0,0,INDEX(UCRETLER!$G$7:$G$406,$U189))</f>
        <v/>
      </c>
      <c r="Y189" s="3">
        <f>IFERROR(SMALL($T$12:$T$372,ROW()-11),"")</f>
        <v/>
      </c>
      <c r="Z189" s="3">
        <f>IFERROR(MATCH($Y189,$T$12:$T$372,0),"")</f>
        <v/>
      </c>
      <c r="AA189" s="3" t="n"/>
      <c r="AB189" s="3" t="n"/>
      <c r="AC189" s="3" t="n"/>
    </row>
    <row r="190">
      <c r="A190" s="6" t="n"/>
      <c r="B190" s="158">
        <f>IF($C190="","",ROW()-11)</f>
        <v/>
      </c>
      <c r="C190" s="247">
        <f>IF($Z190="","",IF(INDEX($N$12:$N$372,$Z190)="","",INDEX($N$12:$N$372,$Z190)))</f>
        <v/>
      </c>
      <c r="D190" s="29">
        <f>IF($C190="","",INDEX($O$12:$O$372,$Z190))</f>
        <v/>
      </c>
      <c r="E190" s="158">
        <f>IF($C190="","",INDEX($P$12:$P$372,$Z190))</f>
        <v/>
      </c>
      <c r="F190" s="29">
        <f>IF($C190="","",INDEX($Q$12:$Q$372,$Z190))</f>
        <v/>
      </c>
      <c r="G190" s="248">
        <f>IF($C190="","",INDEX($R$12:$R$372,$Z190))</f>
        <v/>
      </c>
      <c r="H190" s="248">
        <f>IF($C190="","",INDEX($S$12:$S$372,$Z190))</f>
        <v/>
      </c>
      <c r="I190" s="248">
        <f>IF($C190="","",N($I189)+$G190-$H190)</f>
        <v/>
      </c>
      <c r="J190" s="6" t="n"/>
      <c r="K190" s="6" t="n"/>
      <c r="L190" s="3" t="n"/>
      <c r="M190" s="3" t="n">
        <v>179</v>
      </c>
      <c r="N190" s="3">
        <f>IF(OR($U190=0,$W190="",$X190&lt;=0),"",IF($W190&gt;TODAY(),"",IF(AND(INDEX(UCRETLER!$E$7:$E$406,$U190)&lt;&gt;"",$W190&gt;INDEX(UCRETLER!$E$7:$E$406,$U190)),"",$W190)))</f>
        <v/>
      </c>
      <c r="O190" s="3">
        <f>IF($N190="","",IF(INDEX(UCRETLER!$F$7:$F$406,$U190)="Aylık",TEXT($N190,"mmmm yyyy")&amp;" aylık muhasebe hizmet ücreti",TEXT($N190,"dd.mm.yyyy")&amp;" haftalık muhasebe hizmet ücreti"))</f>
        <v/>
      </c>
      <c r="P190" s="3">
        <f>IF($N190="","","TAHAKKUK")</f>
        <v/>
      </c>
      <c r="Q190" s="3">
        <f>IF($N190="","","600 Muhasebe Hizmet Geliri")</f>
        <v/>
      </c>
      <c r="R190" s="3">
        <f>IF($N190="",0,$X190)</f>
        <v/>
      </c>
      <c r="S190" s="3" t="n">
        <v>0</v>
      </c>
      <c r="T190" s="3">
        <f>IF($N190="",10000000000,$N190*100000+$M190)</f>
        <v/>
      </c>
      <c r="U190" s="3">
        <f>$AB$6</f>
        <v/>
      </c>
      <c r="V190" s="3" t="n">
        <v>18</v>
      </c>
      <c r="W190" s="3">
        <f>IF($U190=0,"",IF(INDEX(UCRETLER!$D$7:$D$406,$U190)="","",IF(INDEX(UCRETLER!$F$7:$F$406,$U190)="Aylık",EOMONTH(INDEX(UCRETLER!$D$7:$D$406,$U190),$V190-1),INDEX(UCRETLER!$D$7:$D$406,$U190)+MOD(SISTEM!$F$8-WEEKDAY(INDEX(UCRETLER!$D$7:$D$406,$U190),2),7)+7*($V190-1))))</f>
        <v/>
      </c>
      <c r="X190" s="3">
        <f>IF($U190=0,0,INDEX(UCRETLER!$G$7:$G$406,$U190))</f>
        <v/>
      </c>
      <c r="Y190" s="3">
        <f>IFERROR(SMALL($T$12:$T$372,ROW()-11),"")</f>
        <v/>
      </c>
      <c r="Z190" s="3">
        <f>IFERROR(MATCH($Y190,$T$12:$T$372,0),"")</f>
        <v/>
      </c>
      <c r="AA190" s="3" t="n"/>
      <c r="AB190" s="3" t="n"/>
      <c r="AC190" s="3" t="n"/>
    </row>
    <row r="191">
      <c r="A191" s="6" t="n"/>
      <c r="B191" s="158">
        <f>IF($C191="","",ROW()-11)</f>
        <v/>
      </c>
      <c r="C191" s="247">
        <f>IF($Z191="","",IF(INDEX($N$12:$N$372,$Z191)="","",INDEX($N$12:$N$372,$Z191)))</f>
        <v/>
      </c>
      <c r="D191" s="29">
        <f>IF($C191="","",INDEX($O$12:$O$372,$Z191))</f>
        <v/>
      </c>
      <c r="E191" s="158">
        <f>IF($C191="","",INDEX($P$12:$P$372,$Z191))</f>
        <v/>
      </c>
      <c r="F191" s="29">
        <f>IF($C191="","",INDEX($Q$12:$Q$372,$Z191))</f>
        <v/>
      </c>
      <c r="G191" s="248">
        <f>IF($C191="","",INDEX($R$12:$R$372,$Z191))</f>
        <v/>
      </c>
      <c r="H191" s="248">
        <f>IF($C191="","",INDEX($S$12:$S$372,$Z191))</f>
        <v/>
      </c>
      <c r="I191" s="248">
        <f>IF($C191="","",N($I190)+$G191-$H191)</f>
        <v/>
      </c>
      <c r="J191" s="6" t="n"/>
      <c r="K191" s="6" t="n"/>
      <c r="L191" s="3" t="n"/>
      <c r="M191" s="3" t="n">
        <v>180</v>
      </c>
      <c r="N191" s="3">
        <f>IF(OR($U191=0,$W191="",$X191&lt;=0),"",IF($W191&gt;TODAY(),"",IF(AND(INDEX(UCRETLER!$E$7:$E$406,$U191)&lt;&gt;"",$W191&gt;INDEX(UCRETLER!$E$7:$E$406,$U191)),"",$W191)))</f>
        <v/>
      </c>
      <c r="O191" s="3">
        <f>IF($N191="","",IF(INDEX(UCRETLER!$F$7:$F$406,$U191)="Aylık",TEXT($N191,"mmmm yyyy")&amp;" aylık muhasebe hizmet ücreti",TEXT($N191,"dd.mm.yyyy")&amp;" haftalık muhasebe hizmet ücreti"))</f>
        <v/>
      </c>
      <c r="P191" s="3">
        <f>IF($N191="","","TAHAKKUK")</f>
        <v/>
      </c>
      <c r="Q191" s="3">
        <f>IF($N191="","","600 Muhasebe Hizmet Geliri")</f>
        <v/>
      </c>
      <c r="R191" s="3">
        <f>IF($N191="",0,$X191)</f>
        <v/>
      </c>
      <c r="S191" s="3" t="n">
        <v>0</v>
      </c>
      <c r="T191" s="3">
        <f>IF($N191="",10000000000,$N191*100000+$M191)</f>
        <v/>
      </c>
      <c r="U191" s="3">
        <f>$AB$6</f>
        <v/>
      </c>
      <c r="V191" s="3" t="n">
        <v>19</v>
      </c>
      <c r="W191" s="3">
        <f>IF($U191=0,"",IF(INDEX(UCRETLER!$D$7:$D$406,$U191)="","",IF(INDEX(UCRETLER!$F$7:$F$406,$U191)="Aylık",EOMONTH(INDEX(UCRETLER!$D$7:$D$406,$U191),$V191-1),INDEX(UCRETLER!$D$7:$D$406,$U191)+MOD(SISTEM!$F$8-WEEKDAY(INDEX(UCRETLER!$D$7:$D$406,$U191),2),7)+7*($V191-1))))</f>
        <v/>
      </c>
      <c r="X191" s="3">
        <f>IF($U191=0,0,INDEX(UCRETLER!$G$7:$G$406,$U191))</f>
        <v/>
      </c>
      <c r="Y191" s="3">
        <f>IFERROR(SMALL($T$12:$T$372,ROW()-11),"")</f>
        <v/>
      </c>
      <c r="Z191" s="3">
        <f>IFERROR(MATCH($Y191,$T$12:$T$372,0),"")</f>
        <v/>
      </c>
      <c r="AA191" s="3" t="n"/>
      <c r="AB191" s="3" t="n"/>
      <c r="AC191" s="3" t="n"/>
    </row>
    <row r="192">
      <c r="A192" s="6" t="n"/>
      <c r="B192" s="158">
        <f>IF($C192="","",ROW()-11)</f>
        <v/>
      </c>
      <c r="C192" s="247">
        <f>IF($Z192="","",IF(INDEX($N$12:$N$372,$Z192)="","",INDEX($N$12:$N$372,$Z192)))</f>
        <v/>
      </c>
      <c r="D192" s="29">
        <f>IF($C192="","",INDEX($O$12:$O$372,$Z192))</f>
        <v/>
      </c>
      <c r="E192" s="158">
        <f>IF($C192="","",INDEX($P$12:$P$372,$Z192))</f>
        <v/>
      </c>
      <c r="F192" s="29">
        <f>IF($C192="","",INDEX($Q$12:$Q$372,$Z192))</f>
        <v/>
      </c>
      <c r="G192" s="248">
        <f>IF($C192="","",INDEX($R$12:$R$372,$Z192))</f>
        <v/>
      </c>
      <c r="H192" s="248">
        <f>IF($C192="","",INDEX($S$12:$S$372,$Z192))</f>
        <v/>
      </c>
      <c r="I192" s="248">
        <f>IF($C192="","",N($I191)+$G192-$H192)</f>
        <v/>
      </c>
      <c r="J192" s="6" t="n"/>
      <c r="K192" s="6" t="n"/>
      <c r="L192" s="3" t="n"/>
      <c r="M192" s="3" t="n">
        <v>181</v>
      </c>
      <c r="N192" s="3">
        <f>IF(OR($U192=0,$W192="",$X192&lt;=0),"",IF($W192&gt;TODAY(),"",IF(AND(INDEX(UCRETLER!$E$7:$E$406,$U192)&lt;&gt;"",$W192&gt;INDEX(UCRETLER!$E$7:$E$406,$U192)),"",$W192)))</f>
        <v/>
      </c>
      <c r="O192" s="3">
        <f>IF($N192="","",IF(INDEX(UCRETLER!$F$7:$F$406,$U192)="Aylık",TEXT($N192,"mmmm yyyy")&amp;" aylık muhasebe hizmet ücreti",TEXT($N192,"dd.mm.yyyy")&amp;" haftalık muhasebe hizmet ücreti"))</f>
        <v/>
      </c>
      <c r="P192" s="3">
        <f>IF($N192="","","TAHAKKUK")</f>
        <v/>
      </c>
      <c r="Q192" s="3">
        <f>IF($N192="","","600 Muhasebe Hizmet Geliri")</f>
        <v/>
      </c>
      <c r="R192" s="3">
        <f>IF($N192="",0,$X192)</f>
        <v/>
      </c>
      <c r="S192" s="3" t="n">
        <v>0</v>
      </c>
      <c r="T192" s="3">
        <f>IF($N192="",10000000000,$N192*100000+$M192)</f>
        <v/>
      </c>
      <c r="U192" s="3">
        <f>$AB$6</f>
        <v/>
      </c>
      <c r="V192" s="3" t="n">
        <v>20</v>
      </c>
      <c r="W192" s="3">
        <f>IF($U192=0,"",IF(INDEX(UCRETLER!$D$7:$D$406,$U192)="","",IF(INDEX(UCRETLER!$F$7:$F$406,$U192)="Aylık",EOMONTH(INDEX(UCRETLER!$D$7:$D$406,$U192),$V192-1),INDEX(UCRETLER!$D$7:$D$406,$U192)+MOD(SISTEM!$F$8-WEEKDAY(INDEX(UCRETLER!$D$7:$D$406,$U192),2),7)+7*($V192-1))))</f>
        <v/>
      </c>
      <c r="X192" s="3">
        <f>IF($U192=0,0,INDEX(UCRETLER!$G$7:$G$406,$U192))</f>
        <v/>
      </c>
      <c r="Y192" s="3">
        <f>IFERROR(SMALL($T$12:$T$372,ROW()-11),"")</f>
        <v/>
      </c>
      <c r="Z192" s="3">
        <f>IFERROR(MATCH($Y192,$T$12:$T$372,0),"")</f>
        <v/>
      </c>
      <c r="AA192" s="3" t="n"/>
      <c r="AB192" s="3" t="n"/>
      <c r="AC192" s="3" t="n"/>
    </row>
    <row r="193">
      <c r="A193" s="6" t="n"/>
      <c r="B193" s="158">
        <f>IF($C193="","",ROW()-11)</f>
        <v/>
      </c>
      <c r="C193" s="247">
        <f>IF($Z193="","",IF(INDEX($N$12:$N$372,$Z193)="","",INDEX($N$12:$N$372,$Z193)))</f>
        <v/>
      </c>
      <c r="D193" s="29">
        <f>IF($C193="","",INDEX($O$12:$O$372,$Z193))</f>
        <v/>
      </c>
      <c r="E193" s="158">
        <f>IF($C193="","",INDEX($P$12:$P$372,$Z193))</f>
        <v/>
      </c>
      <c r="F193" s="29">
        <f>IF($C193="","",INDEX($Q$12:$Q$372,$Z193))</f>
        <v/>
      </c>
      <c r="G193" s="248">
        <f>IF($C193="","",INDEX($R$12:$R$372,$Z193))</f>
        <v/>
      </c>
      <c r="H193" s="248">
        <f>IF($C193="","",INDEX($S$12:$S$372,$Z193))</f>
        <v/>
      </c>
      <c r="I193" s="248">
        <f>IF($C193="","",N($I192)+$G193-$H193)</f>
        <v/>
      </c>
      <c r="J193" s="6" t="n"/>
      <c r="K193" s="6" t="n"/>
      <c r="L193" s="3" t="n"/>
      <c r="M193" s="3" t="n">
        <v>182</v>
      </c>
      <c r="N193" s="3">
        <f>IF(OR($U193=0,$W193="",$X193&lt;=0),"",IF($W193&gt;TODAY(),"",IF(AND(INDEX(UCRETLER!$E$7:$E$406,$U193)&lt;&gt;"",$W193&gt;INDEX(UCRETLER!$E$7:$E$406,$U193)),"",$W193)))</f>
        <v/>
      </c>
      <c r="O193" s="3">
        <f>IF($N193="","",IF(INDEX(UCRETLER!$F$7:$F$406,$U193)="Aylık",TEXT($N193,"mmmm yyyy")&amp;" aylık muhasebe hizmet ücreti",TEXT($N193,"dd.mm.yyyy")&amp;" haftalık muhasebe hizmet ücreti"))</f>
        <v/>
      </c>
      <c r="P193" s="3">
        <f>IF($N193="","","TAHAKKUK")</f>
        <v/>
      </c>
      <c r="Q193" s="3">
        <f>IF($N193="","","600 Muhasebe Hizmet Geliri")</f>
        <v/>
      </c>
      <c r="R193" s="3">
        <f>IF($N193="",0,$X193)</f>
        <v/>
      </c>
      <c r="S193" s="3" t="n">
        <v>0</v>
      </c>
      <c r="T193" s="3">
        <f>IF($N193="",10000000000,$N193*100000+$M193)</f>
        <v/>
      </c>
      <c r="U193" s="3">
        <f>$AB$6</f>
        <v/>
      </c>
      <c r="V193" s="3" t="n">
        <v>21</v>
      </c>
      <c r="W193" s="3">
        <f>IF($U193=0,"",IF(INDEX(UCRETLER!$D$7:$D$406,$U193)="","",IF(INDEX(UCRETLER!$F$7:$F$406,$U193)="Aylık",EOMONTH(INDEX(UCRETLER!$D$7:$D$406,$U193),$V193-1),INDEX(UCRETLER!$D$7:$D$406,$U193)+MOD(SISTEM!$F$8-WEEKDAY(INDEX(UCRETLER!$D$7:$D$406,$U193),2),7)+7*($V193-1))))</f>
        <v/>
      </c>
      <c r="X193" s="3">
        <f>IF($U193=0,0,INDEX(UCRETLER!$G$7:$G$406,$U193))</f>
        <v/>
      </c>
      <c r="Y193" s="3">
        <f>IFERROR(SMALL($T$12:$T$372,ROW()-11),"")</f>
        <v/>
      </c>
      <c r="Z193" s="3">
        <f>IFERROR(MATCH($Y193,$T$12:$T$372,0),"")</f>
        <v/>
      </c>
      <c r="AA193" s="3" t="n"/>
      <c r="AB193" s="3" t="n"/>
      <c r="AC193" s="3" t="n"/>
    </row>
    <row r="194">
      <c r="A194" s="6" t="n"/>
      <c r="B194" s="158">
        <f>IF($C194="","",ROW()-11)</f>
        <v/>
      </c>
      <c r="C194" s="247">
        <f>IF($Z194="","",IF(INDEX($N$12:$N$372,$Z194)="","",INDEX($N$12:$N$372,$Z194)))</f>
        <v/>
      </c>
      <c r="D194" s="29">
        <f>IF($C194="","",INDEX($O$12:$O$372,$Z194))</f>
        <v/>
      </c>
      <c r="E194" s="158">
        <f>IF($C194="","",INDEX($P$12:$P$372,$Z194))</f>
        <v/>
      </c>
      <c r="F194" s="29">
        <f>IF($C194="","",INDEX($Q$12:$Q$372,$Z194))</f>
        <v/>
      </c>
      <c r="G194" s="248">
        <f>IF($C194="","",INDEX($R$12:$R$372,$Z194))</f>
        <v/>
      </c>
      <c r="H194" s="248">
        <f>IF($C194="","",INDEX($S$12:$S$372,$Z194))</f>
        <v/>
      </c>
      <c r="I194" s="248">
        <f>IF($C194="","",N($I193)+$G194-$H194)</f>
        <v/>
      </c>
      <c r="J194" s="6" t="n"/>
      <c r="K194" s="6" t="n"/>
      <c r="L194" s="3" t="n"/>
      <c r="M194" s="3" t="n">
        <v>183</v>
      </c>
      <c r="N194" s="3">
        <f>IF(OR($U194=0,$W194="",$X194&lt;=0),"",IF($W194&gt;TODAY(),"",IF(AND(INDEX(UCRETLER!$E$7:$E$406,$U194)&lt;&gt;"",$W194&gt;INDEX(UCRETLER!$E$7:$E$406,$U194)),"",$W194)))</f>
        <v/>
      </c>
      <c r="O194" s="3">
        <f>IF($N194="","",IF(INDEX(UCRETLER!$F$7:$F$406,$U194)="Aylık",TEXT($N194,"mmmm yyyy")&amp;" aylık muhasebe hizmet ücreti",TEXT($N194,"dd.mm.yyyy")&amp;" haftalık muhasebe hizmet ücreti"))</f>
        <v/>
      </c>
      <c r="P194" s="3">
        <f>IF($N194="","","TAHAKKUK")</f>
        <v/>
      </c>
      <c r="Q194" s="3">
        <f>IF($N194="","","600 Muhasebe Hizmet Geliri")</f>
        <v/>
      </c>
      <c r="R194" s="3">
        <f>IF($N194="",0,$X194)</f>
        <v/>
      </c>
      <c r="S194" s="3" t="n">
        <v>0</v>
      </c>
      <c r="T194" s="3">
        <f>IF($N194="",10000000000,$N194*100000+$M194)</f>
        <v/>
      </c>
      <c r="U194" s="3">
        <f>$AB$6</f>
        <v/>
      </c>
      <c r="V194" s="3" t="n">
        <v>22</v>
      </c>
      <c r="W194" s="3">
        <f>IF($U194=0,"",IF(INDEX(UCRETLER!$D$7:$D$406,$U194)="","",IF(INDEX(UCRETLER!$F$7:$F$406,$U194)="Aylık",EOMONTH(INDEX(UCRETLER!$D$7:$D$406,$U194),$V194-1),INDEX(UCRETLER!$D$7:$D$406,$U194)+MOD(SISTEM!$F$8-WEEKDAY(INDEX(UCRETLER!$D$7:$D$406,$U194),2),7)+7*($V194-1))))</f>
        <v/>
      </c>
      <c r="X194" s="3">
        <f>IF($U194=0,0,INDEX(UCRETLER!$G$7:$G$406,$U194))</f>
        <v/>
      </c>
      <c r="Y194" s="3">
        <f>IFERROR(SMALL($T$12:$T$372,ROW()-11),"")</f>
        <v/>
      </c>
      <c r="Z194" s="3">
        <f>IFERROR(MATCH($Y194,$T$12:$T$372,0),"")</f>
        <v/>
      </c>
      <c r="AA194" s="3" t="n"/>
      <c r="AB194" s="3" t="n"/>
      <c r="AC194" s="3" t="n"/>
    </row>
    <row r="195">
      <c r="A195" s="6" t="n"/>
      <c r="B195" s="158">
        <f>IF($C195="","",ROW()-11)</f>
        <v/>
      </c>
      <c r="C195" s="247">
        <f>IF($Z195="","",IF(INDEX($N$12:$N$372,$Z195)="","",INDEX($N$12:$N$372,$Z195)))</f>
        <v/>
      </c>
      <c r="D195" s="29">
        <f>IF($C195="","",INDEX($O$12:$O$372,$Z195))</f>
        <v/>
      </c>
      <c r="E195" s="158">
        <f>IF($C195="","",INDEX($P$12:$P$372,$Z195))</f>
        <v/>
      </c>
      <c r="F195" s="29">
        <f>IF($C195="","",INDEX($Q$12:$Q$372,$Z195))</f>
        <v/>
      </c>
      <c r="G195" s="248">
        <f>IF($C195="","",INDEX($R$12:$R$372,$Z195))</f>
        <v/>
      </c>
      <c r="H195" s="248">
        <f>IF($C195="","",INDEX($S$12:$S$372,$Z195))</f>
        <v/>
      </c>
      <c r="I195" s="248">
        <f>IF($C195="","",N($I194)+$G195-$H195)</f>
        <v/>
      </c>
      <c r="J195" s="6" t="n"/>
      <c r="K195" s="6" t="n"/>
      <c r="L195" s="3" t="n"/>
      <c r="M195" s="3" t="n">
        <v>184</v>
      </c>
      <c r="N195" s="3">
        <f>IF(OR($U195=0,$W195="",$X195&lt;=0),"",IF($W195&gt;TODAY(),"",IF(AND(INDEX(UCRETLER!$E$7:$E$406,$U195)&lt;&gt;"",$W195&gt;INDEX(UCRETLER!$E$7:$E$406,$U195)),"",$W195)))</f>
        <v/>
      </c>
      <c r="O195" s="3">
        <f>IF($N195="","",IF(INDEX(UCRETLER!$F$7:$F$406,$U195)="Aylık",TEXT($N195,"mmmm yyyy")&amp;" aylık muhasebe hizmet ücreti",TEXT($N195,"dd.mm.yyyy")&amp;" haftalık muhasebe hizmet ücreti"))</f>
        <v/>
      </c>
      <c r="P195" s="3">
        <f>IF($N195="","","TAHAKKUK")</f>
        <v/>
      </c>
      <c r="Q195" s="3">
        <f>IF($N195="","","600 Muhasebe Hizmet Geliri")</f>
        <v/>
      </c>
      <c r="R195" s="3">
        <f>IF($N195="",0,$X195)</f>
        <v/>
      </c>
      <c r="S195" s="3" t="n">
        <v>0</v>
      </c>
      <c r="T195" s="3">
        <f>IF($N195="",10000000000,$N195*100000+$M195)</f>
        <v/>
      </c>
      <c r="U195" s="3">
        <f>$AB$6</f>
        <v/>
      </c>
      <c r="V195" s="3" t="n">
        <v>23</v>
      </c>
      <c r="W195" s="3">
        <f>IF($U195=0,"",IF(INDEX(UCRETLER!$D$7:$D$406,$U195)="","",IF(INDEX(UCRETLER!$F$7:$F$406,$U195)="Aylık",EOMONTH(INDEX(UCRETLER!$D$7:$D$406,$U195),$V195-1),INDEX(UCRETLER!$D$7:$D$406,$U195)+MOD(SISTEM!$F$8-WEEKDAY(INDEX(UCRETLER!$D$7:$D$406,$U195),2),7)+7*($V195-1))))</f>
        <v/>
      </c>
      <c r="X195" s="3">
        <f>IF($U195=0,0,INDEX(UCRETLER!$G$7:$G$406,$U195))</f>
        <v/>
      </c>
      <c r="Y195" s="3">
        <f>IFERROR(SMALL($T$12:$T$372,ROW()-11),"")</f>
        <v/>
      </c>
      <c r="Z195" s="3">
        <f>IFERROR(MATCH($Y195,$T$12:$T$372,0),"")</f>
        <v/>
      </c>
      <c r="AA195" s="3" t="n"/>
      <c r="AB195" s="3" t="n"/>
      <c r="AC195" s="3" t="n"/>
    </row>
    <row r="196">
      <c r="A196" s="6" t="n"/>
      <c r="B196" s="158">
        <f>IF($C196="","",ROW()-11)</f>
        <v/>
      </c>
      <c r="C196" s="247">
        <f>IF($Z196="","",IF(INDEX($N$12:$N$372,$Z196)="","",INDEX($N$12:$N$372,$Z196)))</f>
        <v/>
      </c>
      <c r="D196" s="29">
        <f>IF($C196="","",INDEX($O$12:$O$372,$Z196))</f>
        <v/>
      </c>
      <c r="E196" s="158">
        <f>IF($C196="","",INDEX($P$12:$P$372,$Z196))</f>
        <v/>
      </c>
      <c r="F196" s="29">
        <f>IF($C196="","",INDEX($Q$12:$Q$372,$Z196))</f>
        <v/>
      </c>
      <c r="G196" s="248">
        <f>IF($C196="","",INDEX($R$12:$R$372,$Z196))</f>
        <v/>
      </c>
      <c r="H196" s="248">
        <f>IF($C196="","",INDEX($S$12:$S$372,$Z196))</f>
        <v/>
      </c>
      <c r="I196" s="248">
        <f>IF($C196="","",N($I195)+$G196-$H196)</f>
        <v/>
      </c>
      <c r="J196" s="6" t="n"/>
      <c r="K196" s="6" t="n"/>
      <c r="L196" s="3" t="n"/>
      <c r="M196" s="3" t="n">
        <v>185</v>
      </c>
      <c r="N196" s="3">
        <f>IF(OR($U196=0,$W196="",$X196&lt;=0),"",IF($W196&gt;TODAY(),"",IF(AND(INDEX(UCRETLER!$E$7:$E$406,$U196)&lt;&gt;"",$W196&gt;INDEX(UCRETLER!$E$7:$E$406,$U196)),"",$W196)))</f>
        <v/>
      </c>
      <c r="O196" s="3">
        <f>IF($N196="","",IF(INDEX(UCRETLER!$F$7:$F$406,$U196)="Aylık",TEXT($N196,"mmmm yyyy")&amp;" aylık muhasebe hizmet ücreti",TEXT($N196,"dd.mm.yyyy")&amp;" haftalık muhasebe hizmet ücreti"))</f>
        <v/>
      </c>
      <c r="P196" s="3">
        <f>IF($N196="","","TAHAKKUK")</f>
        <v/>
      </c>
      <c r="Q196" s="3">
        <f>IF($N196="","","600 Muhasebe Hizmet Geliri")</f>
        <v/>
      </c>
      <c r="R196" s="3">
        <f>IF($N196="",0,$X196)</f>
        <v/>
      </c>
      <c r="S196" s="3" t="n">
        <v>0</v>
      </c>
      <c r="T196" s="3">
        <f>IF($N196="",10000000000,$N196*100000+$M196)</f>
        <v/>
      </c>
      <c r="U196" s="3">
        <f>$AB$6</f>
        <v/>
      </c>
      <c r="V196" s="3" t="n">
        <v>24</v>
      </c>
      <c r="W196" s="3">
        <f>IF($U196=0,"",IF(INDEX(UCRETLER!$D$7:$D$406,$U196)="","",IF(INDEX(UCRETLER!$F$7:$F$406,$U196)="Aylık",EOMONTH(INDEX(UCRETLER!$D$7:$D$406,$U196),$V196-1),INDEX(UCRETLER!$D$7:$D$406,$U196)+MOD(SISTEM!$F$8-WEEKDAY(INDEX(UCRETLER!$D$7:$D$406,$U196),2),7)+7*($V196-1))))</f>
        <v/>
      </c>
      <c r="X196" s="3">
        <f>IF($U196=0,0,INDEX(UCRETLER!$G$7:$G$406,$U196))</f>
        <v/>
      </c>
      <c r="Y196" s="3">
        <f>IFERROR(SMALL($T$12:$T$372,ROW()-11),"")</f>
        <v/>
      </c>
      <c r="Z196" s="3">
        <f>IFERROR(MATCH($Y196,$T$12:$T$372,0),"")</f>
        <v/>
      </c>
      <c r="AA196" s="3" t="n"/>
      <c r="AB196" s="3" t="n"/>
      <c r="AC196" s="3" t="n"/>
    </row>
    <row r="197">
      <c r="A197" s="6" t="n"/>
      <c r="B197" s="158">
        <f>IF($C197="","",ROW()-11)</f>
        <v/>
      </c>
      <c r="C197" s="247">
        <f>IF($Z197="","",IF(INDEX($N$12:$N$372,$Z197)="","",INDEX($N$12:$N$372,$Z197)))</f>
        <v/>
      </c>
      <c r="D197" s="29">
        <f>IF($C197="","",INDEX($O$12:$O$372,$Z197))</f>
        <v/>
      </c>
      <c r="E197" s="158">
        <f>IF($C197="","",INDEX($P$12:$P$372,$Z197))</f>
        <v/>
      </c>
      <c r="F197" s="29">
        <f>IF($C197="","",INDEX($Q$12:$Q$372,$Z197))</f>
        <v/>
      </c>
      <c r="G197" s="248">
        <f>IF($C197="","",INDEX($R$12:$R$372,$Z197))</f>
        <v/>
      </c>
      <c r="H197" s="248">
        <f>IF($C197="","",INDEX($S$12:$S$372,$Z197))</f>
        <v/>
      </c>
      <c r="I197" s="248">
        <f>IF($C197="","",N($I196)+$G197-$H197)</f>
        <v/>
      </c>
      <c r="J197" s="6" t="n"/>
      <c r="K197" s="6" t="n"/>
      <c r="L197" s="3" t="n"/>
      <c r="M197" s="3" t="n">
        <v>186</v>
      </c>
      <c r="N197" s="3">
        <f>IF(OR($U197=0,$W197="",$X197&lt;=0),"",IF($W197&gt;TODAY(),"",IF(AND(INDEX(UCRETLER!$E$7:$E$406,$U197)&lt;&gt;"",$W197&gt;INDEX(UCRETLER!$E$7:$E$406,$U197)),"",$W197)))</f>
        <v/>
      </c>
      <c r="O197" s="3">
        <f>IF($N197="","",IF(INDEX(UCRETLER!$F$7:$F$406,$U197)="Aylık",TEXT($N197,"mmmm yyyy")&amp;" aylık muhasebe hizmet ücreti",TEXT($N197,"dd.mm.yyyy")&amp;" haftalık muhasebe hizmet ücreti"))</f>
        <v/>
      </c>
      <c r="P197" s="3">
        <f>IF($N197="","","TAHAKKUK")</f>
        <v/>
      </c>
      <c r="Q197" s="3">
        <f>IF($N197="","","600 Muhasebe Hizmet Geliri")</f>
        <v/>
      </c>
      <c r="R197" s="3">
        <f>IF($N197="",0,$X197)</f>
        <v/>
      </c>
      <c r="S197" s="3" t="n">
        <v>0</v>
      </c>
      <c r="T197" s="3">
        <f>IF($N197="",10000000000,$N197*100000+$M197)</f>
        <v/>
      </c>
      <c r="U197" s="3">
        <f>$AB$6</f>
        <v/>
      </c>
      <c r="V197" s="3" t="n">
        <v>25</v>
      </c>
      <c r="W197" s="3">
        <f>IF($U197=0,"",IF(INDEX(UCRETLER!$D$7:$D$406,$U197)="","",IF(INDEX(UCRETLER!$F$7:$F$406,$U197)="Aylık",EOMONTH(INDEX(UCRETLER!$D$7:$D$406,$U197),$V197-1),INDEX(UCRETLER!$D$7:$D$406,$U197)+MOD(SISTEM!$F$8-WEEKDAY(INDEX(UCRETLER!$D$7:$D$406,$U197),2),7)+7*($V197-1))))</f>
        <v/>
      </c>
      <c r="X197" s="3">
        <f>IF($U197=0,0,INDEX(UCRETLER!$G$7:$G$406,$U197))</f>
        <v/>
      </c>
      <c r="Y197" s="3">
        <f>IFERROR(SMALL($T$12:$T$372,ROW()-11),"")</f>
        <v/>
      </c>
      <c r="Z197" s="3">
        <f>IFERROR(MATCH($Y197,$T$12:$T$372,0),"")</f>
        <v/>
      </c>
      <c r="AA197" s="3" t="n"/>
      <c r="AB197" s="3" t="n"/>
      <c r="AC197" s="3" t="n"/>
    </row>
    <row r="198">
      <c r="A198" s="6" t="n"/>
      <c r="B198" s="158">
        <f>IF($C198="","",ROW()-11)</f>
        <v/>
      </c>
      <c r="C198" s="247">
        <f>IF($Z198="","",IF(INDEX($N$12:$N$372,$Z198)="","",INDEX($N$12:$N$372,$Z198)))</f>
        <v/>
      </c>
      <c r="D198" s="29">
        <f>IF($C198="","",INDEX($O$12:$O$372,$Z198))</f>
        <v/>
      </c>
      <c r="E198" s="158">
        <f>IF($C198="","",INDEX($P$12:$P$372,$Z198))</f>
        <v/>
      </c>
      <c r="F198" s="29">
        <f>IF($C198="","",INDEX($Q$12:$Q$372,$Z198))</f>
        <v/>
      </c>
      <c r="G198" s="248">
        <f>IF($C198="","",INDEX($R$12:$R$372,$Z198))</f>
        <v/>
      </c>
      <c r="H198" s="248">
        <f>IF($C198="","",INDEX($S$12:$S$372,$Z198))</f>
        <v/>
      </c>
      <c r="I198" s="248">
        <f>IF($C198="","",N($I197)+$G198-$H198)</f>
        <v/>
      </c>
      <c r="J198" s="6" t="n"/>
      <c r="K198" s="6" t="n"/>
      <c r="L198" s="3" t="n"/>
      <c r="M198" s="3" t="n">
        <v>187</v>
      </c>
      <c r="N198" s="3">
        <f>IF(OR($U198=0,$W198="",$X198&lt;=0),"",IF($W198&gt;TODAY(),"",IF(AND(INDEX(UCRETLER!$E$7:$E$406,$U198)&lt;&gt;"",$W198&gt;INDEX(UCRETLER!$E$7:$E$406,$U198)),"",$W198)))</f>
        <v/>
      </c>
      <c r="O198" s="3">
        <f>IF($N198="","",IF(INDEX(UCRETLER!$F$7:$F$406,$U198)="Aylık",TEXT($N198,"mmmm yyyy")&amp;" aylık muhasebe hizmet ücreti",TEXT($N198,"dd.mm.yyyy")&amp;" haftalık muhasebe hizmet ücreti"))</f>
        <v/>
      </c>
      <c r="P198" s="3">
        <f>IF($N198="","","TAHAKKUK")</f>
        <v/>
      </c>
      <c r="Q198" s="3">
        <f>IF($N198="","","600 Muhasebe Hizmet Geliri")</f>
        <v/>
      </c>
      <c r="R198" s="3">
        <f>IF($N198="",0,$X198)</f>
        <v/>
      </c>
      <c r="S198" s="3" t="n">
        <v>0</v>
      </c>
      <c r="T198" s="3">
        <f>IF($N198="",10000000000,$N198*100000+$M198)</f>
        <v/>
      </c>
      <c r="U198" s="3">
        <f>$AB$6</f>
        <v/>
      </c>
      <c r="V198" s="3" t="n">
        <v>26</v>
      </c>
      <c r="W198" s="3">
        <f>IF($U198=0,"",IF(INDEX(UCRETLER!$D$7:$D$406,$U198)="","",IF(INDEX(UCRETLER!$F$7:$F$406,$U198)="Aylık",EOMONTH(INDEX(UCRETLER!$D$7:$D$406,$U198),$V198-1),INDEX(UCRETLER!$D$7:$D$406,$U198)+MOD(SISTEM!$F$8-WEEKDAY(INDEX(UCRETLER!$D$7:$D$406,$U198),2),7)+7*($V198-1))))</f>
        <v/>
      </c>
      <c r="X198" s="3">
        <f>IF($U198=0,0,INDEX(UCRETLER!$G$7:$G$406,$U198))</f>
        <v/>
      </c>
      <c r="Y198" s="3">
        <f>IFERROR(SMALL($T$12:$T$372,ROW()-11),"")</f>
        <v/>
      </c>
      <c r="Z198" s="3">
        <f>IFERROR(MATCH($Y198,$T$12:$T$372,0),"")</f>
        <v/>
      </c>
      <c r="AA198" s="3" t="n"/>
      <c r="AB198" s="3" t="n"/>
      <c r="AC198" s="3" t="n"/>
    </row>
    <row r="199">
      <c r="A199" s="6" t="n"/>
      <c r="B199" s="158">
        <f>IF($C199="","",ROW()-11)</f>
        <v/>
      </c>
      <c r="C199" s="247">
        <f>IF($Z199="","",IF(INDEX($N$12:$N$372,$Z199)="","",INDEX($N$12:$N$372,$Z199)))</f>
        <v/>
      </c>
      <c r="D199" s="29">
        <f>IF($C199="","",INDEX($O$12:$O$372,$Z199))</f>
        <v/>
      </c>
      <c r="E199" s="158">
        <f>IF($C199="","",INDEX($P$12:$P$372,$Z199))</f>
        <v/>
      </c>
      <c r="F199" s="29">
        <f>IF($C199="","",INDEX($Q$12:$Q$372,$Z199))</f>
        <v/>
      </c>
      <c r="G199" s="248">
        <f>IF($C199="","",INDEX($R$12:$R$372,$Z199))</f>
        <v/>
      </c>
      <c r="H199" s="248">
        <f>IF($C199="","",INDEX($S$12:$S$372,$Z199))</f>
        <v/>
      </c>
      <c r="I199" s="248">
        <f>IF($C199="","",N($I198)+$G199-$H199)</f>
        <v/>
      </c>
      <c r="J199" s="6" t="n"/>
      <c r="K199" s="6" t="n"/>
      <c r="L199" s="3" t="n"/>
      <c r="M199" s="3" t="n">
        <v>188</v>
      </c>
      <c r="N199" s="3">
        <f>IF(OR($U199=0,$W199="",$X199&lt;=0),"",IF($W199&gt;TODAY(),"",IF(AND(INDEX(UCRETLER!$E$7:$E$406,$U199)&lt;&gt;"",$W199&gt;INDEX(UCRETLER!$E$7:$E$406,$U199)),"",$W199)))</f>
        <v/>
      </c>
      <c r="O199" s="3">
        <f>IF($N199="","",IF(INDEX(UCRETLER!$F$7:$F$406,$U199)="Aylık",TEXT($N199,"mmmm yyyy")&amp;" aylık muhasebe hizmet ücreti",TEXT($N199,"dd.mm.yyyy")&amp;" haftalık muhasebe hizmet ücreti"))</f>
        <v/>
      </c>
      <c r="P199" s="3">
        <f>IF($N199="","","TAHAKKUK")</f>
        <v/>
      </c>
      <c r="Q199" s="3">
        <f>IF($N199="","","600 Muhasebe Hizmet Geliri")</f>
        <v/>
      </c>
      <c r="R199" s="3">
        <f>IF($N199="",0,$X199)</f>
        <v/>
      </c>
      <c r="S199" s="3" t="n">
        <v>0</v>
      </c>
      <c r="T199" s="3">
        <f>IF($N199="",10000000000,$N199*100000+$M199)</f>
        <v/>
      </c>
      <c r="U199" s="3">
        <f>$AB$6</f>
        <v/>
      </c>
      <c r="V199" s="3" t="n">
        <v>27</v>
      </c>
      <c r="W199" s="3">
        <f>IF($U199=0,"",IF(INDEX(UCRETLER!$D$7:$D$406,$U199)="","",IF(INDEX(UCRETLER!$F$7:$F$406,$U199)="Aylık",EOMONTH(INDEX(UCRETLER!$D$7:$D$406,$U199),$V199-1),INDEX(UCRETLER!$D$7:$D$406,$U199)+MOD(SISTEM!$F$8-WEEKDAY(INDEX(UCRETLER!$D$7:$D$406,$U199),2),7)+7*($V199-1))))</f>
        <v/>
      </c>
      <c r="X199" s="3">
        <f>IF($U199=0,0,INDEX(UCRETLER!$G$7:$G$406,$U199))</f>
        <v/>
      </c>
      <c r="Y199" s="3">
        <f>IFERROR(SMALL($T$12:$T$372,ROW()-11),"")</f>
        <v/>
      </c>
      <c r="Z199" s="3">
        <f>IFERROR(MATCH($Y199,$T$12:$T$372,0),"")</f>
        <v/>
      </c>
      <c r="AA199" s="3" t="n"/>
      <c r="AB199" s="3" t="n"/>
      <c r="AC199" s="3" t="n"/>
    </row>
    <row r="200">
      <c r="A200" s="6" t="n"/>
      <c r="B200" s="158">
        <f>IF($C200="","",ROW()-11)</f>
        <v/>
      </c>
      <c r="C200" s="247">
        <f>IF($Z200="","",IF(INDEX($N$12:$N$372,$Z200)="","",INDEX($N$12:$N$372,$Z200)))</f>
        <v/>
      </c>
      <c r="D200" s="29">
        <f>IF($C200="","",INDEX($O$12:$O$372,$Z200))</f>
        <v/>
      </c>
      <c r="E200" s="158">
        <f>IF($C200="","",INDEX($P$12:$P$372,$Z200))</f>
        <v/>
      </c>
      <c r="F200" s="29">
        <f>IF($C200="","",INDEX($Q$12:$Q$372,$Z200))</f>
        <v/>
      </c>
      <c r="G200" s="248">
        <f>IF($C200="","",INDEX($R$12:$R$372,$Z200))</f>
        <v/>
      </c>
      <c r="H200" s="248">
        <f>IF($C200="","",INDEX($S$12:$S$372,$Z200))</f>
        <v/>
      </c>
      <c r="I200" s="248">
        <f>IF($C200="","",N($I199)+$G200-$H200)</f>
        <v/>
      </c>
      <c r="J200" s="6" t="n"/>
      <c r="K200" s="6" t="n"/>
      <c r="L200" s="3" t="n"/>
      <c r="M200" s="3" t="n">
        <v>189</v>
      </c>
      <c r="N200" s="3">
        <f>IF(OR($U200=0,$W200="",$X200&lt;=0),"",IF($W200&gt;TODAY(),"",IF(AND(INDEX(UCRETLER!$E$7:$E$406,$U200)&lt;&gt;"",$W200&gt;INDEX(UCRETLER!$E$7:$E$406,$U200)),"",$W200)))</f>
        <v/>
      </c>
      <c r="O200" s="3">
        <f>IF($N200="","",IF(INDEX(UCRETLER!$F$7:$F$406,$U200)="Aylık",TEXT($N200,"mmmm yyyy")&amp;" aylık muhasebe hizmet ücreti",TEXT($N200,"dd.mm.yyyy")&amp;" haftalık muhasebe hizmet ücreti"))</f>
        <v/>
      </c>
      <c r="P200" s="3">
        <f>IF($N200="","","TAHAKKUK")</f>
        <v/>
      </c>
      <c r="Q200" s="3">
        <f>IF($N200="","","600 Muhasebe Hizmet Geliri")</f>
        <v/>
      </c>
      <c r="R200" s="3">
        <f>IF($N200="",0,$X200)</f>
        <v/>
      </c>
      <c r="S200" s="3" t="n">
        <v>0</v>
      </c>
      <c r="T200" s="3">
        <f>IF($N200="",10000000000,$N200*100000+$M200)</f>
        <v/>
      </c>
      <c r="U200" s="3">
        <f>$AB$6</f>
        <v/>
      </c>
      <c r="V200" s="3" t="n">
        <v>28</v>
      </c>
      <c r="W200" s="3">
        <f>IF($U200=0,"",IF(INDEX(UCRETLER!$D$7:$D$406,$U200)="","",IF(INDEX(UCRETLER!$F$7:$F$406,$U200)="Aylık",EOMONTH(INDEX(UCRETLER!$D$7:$D$406,$U200),$V200-1),INDEX(UCRETLER!$D$7:$D$406,$U200)+MOD(SISTEM!$F$8-WEEKDAY(INDEX(UCRETLER!$D$7:$D$406,$U200),2),7)+7*($V200-1))))</f>
        <v/>
      </c>
      <c r="X200" s="3">
        <f>IF($U200=0,0,INDEX(UCRETLER!$G$7:$G$406,$U200))</f>
        <v/>
      </c>
      <c r="Y200" s="3">
        <f>IFERROR(SMALL($T$12:$T$372,ROW()-11),"")</f>
        <v/>
      </c>
      <c r="Z200" s="3">
        <f>IFERROR(MATCH($Y200,$T$12:$T$372,0),"")</f>
        <v/>
      </c>
      <c r="AA200" s="3" t="n"/>
      <c r="AB200" s="3" t="n"/>
      <c r="AC200" s="3" t="n"/>
    </row>
    <row r="201">
      <c r="A201" s="6" t="n"/>
      <c r="B201" s="158">
        <f>IF($C201="","",ROW()-11)</f>
        <v/>
      </c>
      <c r="C201" s="247">
        <f>IF($Z201="","",IF(INDEX($N$12:$N$372,$Z201)="","",INDEX($N$12:$N$372,$Z201)))</f>
        <v/>
      </c>
      <c r="D201" s="29">
        <f>IF($C201="","",INDEX($O$12:$O$372,$Z201))</f>
        <v/>
      </c>
      <c r="E201" s="158">
        <f>IF($C201="","",INDEX($P$12:$P$372,$Z201))</f>
        <v/>
      </c>
      <c r="F201" s="29">
        <f>IF($C201="","",INDEX($Q$12:$Q$372,$Z201))</f>
        <v/>
      </c>
      <c r="G201" s="248">
        <f>IF($C201="","",INDEX($R$12:$R$372,$Z201))</f>
        <v/>
      </c>
      <c r="H201" s="248">
        <f>IF($C201="","",INDEX($S$12:$S$372,$Z201))</f>
        <v/>
      </c>
      <c r="I201" s="248">
        <f>IF($C201="","",N($I200)+$G201-$H201)</f>
        <v/>
      </c>
      <c r="J201" s="6" t="n"/>
      <c r="K201" s="6" t="n"/>
      <c r="L201" s="3" t="n"/>
      <c r="M201" s="3" t="n">
        <v>190</v>
      </c>
      <c r="N201" s="3">
        <f>IF(OR($U201=0,$W201="",$X201&lt;=0),"",IF($W201&gt;TODAY(),"",IF(AND(INDEX(UCRETLER!$E$7:$E$406,$U201)&lt;&gt;"",$W201&gt;INDEX(UCRETLER!$E$7:$E$406,$U201)),"",$W201)))</f>
        <v/>
      </c>
      <c r="O201" s="3">
        <f>IF($N201="","",IF(INDEX(UCRETLER!$F$7:$F$406,$U201)="Aylık",TEXT($N201,"mmmm yyyy")&amp;" aylık muhasebe hizmet ücreti",TEXT($N201,"dd.mm.yyyy")&amp;" haftalık muhasebe hizmet ücreti"))</f>
        <v/>
      </c>
      <c r="P201" s="3">
        <f>IF($N201="","","TAHAKKUK")</f>
        <v/>
      </c>
      <c r="Q201" s="3">
        <f>IF($N201="","","600 Muhasebe Hizmet Geliri")</f>
        <v/>
      </c>
      <c r="R201" s="3">
        <f>IF($N201="",0,$X201)</f>
        <v/>
      </c>
      <c r="S201" s="3" t="n">
        <v>0</v>
      </c>
      <c r="T201" s="3">
        <f>IF($N201="",10000000000,$N201*100000+$M201)</f>
        <v/>
      </c>
      <c r="U201" s="3">
        <f>$AB$6</f>
        <v/>
      </c>
      <c r="V201" s="3" t="n">
        <v>29</v>
      </c>
      <c r="W201" s="3">
        <f>IF($U201=0,"",IF(INDEX(UCRETLER!$D$7:$D$406,$U201)="","",IF(INDEX(UCRETLER!$F$7:$F$406,$U201)="Aylık",EOMONTH(INDEX(UCRETLER!$D$7:$D$406,$U201),$V201-1),INDEX(UCRETLER!$D$7:$D$406,$U201)+MOD(SISTEM!$F$8-WEEKDAY(INDEX(UCRETLER!$D$7:$D$406,$U201),2),7)+7*($V201-1))))</f>
        <v/>
      </c>
      <c r="X201" s="3">
        <f>IF($U201=0,0,INDEX(UCRETLER!$G$7:$G$406,$U201))</f>
        <v/>
      </c>
      <c r="Y201" s="3">
        <f>IFERROR(SMALL($T$12:$T$372,ROW()-11),"")</f>
        <v/>
      </c>
      <c r="Z201" s="3">
        <f>IFERROR(MATCH($Y201,$T$12:$T$372,0),"")</f>
        <v/>
      </c>
      <c r="AA201" s="3" t="n"/>
      <c r="AB201" s="3" t="n"/>
      <c r="AC201" s="3" t="n"/>
    </row>
    <row r="202">
      <c r="A202" s="6" t="n"/>
      <c r="B202" s="158">
        <f>IF($C202="","",ROW()-11)</f>
        <v/>
      </c>
      <c r="C202" s="247">
        <f>IF($Z202="","",IF(INDEX($N$12:$N$372,$Z202)="","",INDEX($N$12:$N$372,$Z202)))</f>
        <v/>
      </c>
      <c r="D202" s="29">
        <f>IF($C202="","",INDEX($O$12:$O$372,$Z202))</f>
        <v/>
      </c>
      <c r="E202" s="158">
        <f>IF($C202="","",INDEX($P$12:$P$372,$Z202))</f>
        <v/>
      </c>
      <c r="F202" s="29">
        <f>IF($C202="","",INDEX($Q$12:$Q$372,$Z202))</f>
        <v/>
      </c>
      <c r="G202" s="248">
        <f>IF($C202="","",INDEX($R$12:$R$372,$Z202))</f>
        <v/>
      </c>
      <c r="H202" s="248">
        <f>IF($C202="","",INDEX($S$12:$S$372,$Z202))</f>
        <v/>
      </c>
      <c r="I202" s="248">
        <f>IF($C202="","",N($I201)+$G202-$H202)</f>
        <v/>
      </c>
      <c r="J202" s="6" t="n"/>
      <c r="K202" s="6" t="n"/>
      <c r="L202" s="3" t="n"/>
      <c r="M202" s="3" t="n">
        <v>191</v>
      </c>
      <c r="N202" s="3">
        <f>IF(OR($U202=0,$W202="",$X202&lt;=0),"",IF($W202&gt;TODAY(),"",IF(AND(INDEX(UCRETLER!$E$7:$E$406,$U202)&lt;&gt;"",$W202&gt;INDEX(UCRETLER!$E$7:$E$406,$U202)),"",$W202)))</f>
        <v/>
      </c>
      <c r="O202" s="3">
        <f>IF($N202="","",IF(INDEX(UCRETLER!$F$7:$F$406,$U202)="Aylık",TEXT($N202,"mmmm yyyy")&amp;" aylık muhasebe hizmet ücreti",TEXT($N202,"dd.mm.yyyy")&amp;" haftalık muhasebe hizmet ücreti"))</f>
        <v/>
      </c>
      <c r="P202" s="3">
        <f>IF($N202="","","TAHAKKUK")</f>
        <v/>
      </c>
      <c r="Q202" s="3">
        <f>IF($N202="","","600 Muhasebe Hizmet Geliri")</f>
        <v/>
      </c>
      <c r="R202" s="3">
        <f>IF($N202="",0,$X202)</f>
        <v/>
      </c>
      <c r="S202" s="3" t="n">
        <v>0</v>
      </c>
      <c r="T202" s="3">
        <f>IF($N202="",10000000000,$N202*100000+$M202)</f>
        <v/>
      </c>
      <c r="U202" s="3">
        <f>$AB$6</f>
        <v/>
      </c>
      <c r="V202" s="3" t="n">
        <v>30</v>
      </c>
      <c r="W202" s="3">
        <f>IF($U202=0,"",IF(INDEX(UCRETLER!$D$7:$D$406,$U202)="","",IF(INDEX(UCRETLER!$F$7:$F$406,$U202)="Aylık",EOMONTH(INDEX(UCRETLER!$D$7:$D$406,$U202),$V202-1),INDEX(UCRETLER!$D$7:$D$406,$U202)+MOD(SISTEM!$F$8-WEEKDAY(INDEX(UCRETLER!$D$7:$D$406,$U202),2),7)+7*($V202-1))))</f>
        <v/>
      </c>
      <c r="X202" s="3">
        <f>IF($U202=0,0,INDEX(UCRETLER!$G$7:$G$406,$U202))</f>
        <v/>
      </c>
      <c r="Y202" s="3">
        <f>IFERROR(SMALL($T$12:$T$372,ROW()-11),"")</f>
        <v/>
      </c>
      <c r="Z202" s="3">
        <f>IFERROR(MATCH($Y202,$T$12:$T$372,0),"")</f>
        <v/>
      </c>
      <c r="AA202" s="3" t="n"/>
      <c r="AB202" s="3" t="n"/>
      <c r="AC202" s="3" t="n"/>
    </row>
    <row r="203">
      <c r="A203" s="6" t="n"/>
      <c r="B203" s="158">
        <f>IF($C203="","",ROW()-11)</f>
        <v/>
      </c>
      <c r="C203" s="247">
        <f>IF($Z203="","",IF(INDEX($N$12:$N$372,$Z203)="","",INDEX($N$12:$N$372,$Z203)))</f>
        <v/>
      </c>
      <c r="D203" s="29">
        <f>IF($C203="","",INDEX($O$12:$O$372,$Z203))</f>
        <v/>
      </c>
      <c r="E203" s="158">
        <f>IF($C203="","",INDEX($P$12:$P$372,$Z203))</f>
        <v/>
      </c>
      <c r="F203" s="29">
        <f>IF($C203="","",INDEX($Q$12:$Q$372,$Z203))</f>
        <v/>
      </c>
      <c r="G203" s="248">
        <f>IF($C203="","",INDEX($R$12:$R$372,$Z203))</f>
        <v/>
      </c>
      <c r="H203" s="248">
        <f>IF($C203="","",INDEX($S$12:$S$372,$Z203))</f>
        <v/>
      </c>
      <c r="I203" s="248">
        <f>IF($C203="","",N($I202)+$G203-$H203)</f>
        <v/>
      </c>
      <c r="J203" s="6" t="n"/>
      <c r="K203" s="6" t="n"/>
      <c r="L203" s="3" t="n"/>
      <c r="M203" s="3" t="n">
        <v>192</v>
      </c>
      <c r="N203" s="3">
        <f>IF(OR($U203=0,$W203="",$X203&lt;=0),"",IF($W203&gt;TODAY(),"",IF(AND(INDEX(UCRETLER!$E$7:$E$406,$U203)&lt;&gt;"",$W203&gt;INDEX(UCRETLER!$E$7:$E$406,$U203)),"",$W203)))</f>
        <v/>
      </c>
      <c r="O203" s="3">
        <f>IF($N203="","",IF(INDEX(UCRETLER!$F$7:$F$406,$U203)="Aylık",TEXT($N203,"mmmm yyyy")&amp;" aylık muhasebe hizmet ücreti",TEXT($N203,"dd.mm.yyyy")&amp;" haftalık muhasebe hizmet ücreti"))</f>
        <v/>
      </c>
      <c r="P203" s="3">
        <f>IF($N203="","","TAHAKKUK")</f>
        <v/>
      </c>
      <c r="Q203" s="3">
        <f>IF($N203="","","600 Muhasebe Hizmet Geliri")</f>
        <v/>
      </c>
      <c r="R203" s="3">
        <f>IF($N203="",0,$X203)</f>
        <v/>
      </c>
      <c r="S203" s="3" t="n">
        <v>0</v>
      </c>
      <c r="T203" s="3">
        <f>IF($N203="",10000000000,$N203*100000+$M203)</f>
        <v/>
      </c>
      <c r="U203" s="3">
        <f>$AB$6</f>
        <v/>
      </c>
      <c r="V203" s="3" t="n">
        <v>31</v>
      </c>
      <c r="W203" s="3">
        <f>IF($U203=0,"",IF(INDEX(UCRETLER!$D$7:$D$406,$U203)="","",IF(INDEX(UCRETLER!$F$7:$F$406,$U203)="Aylık",EOMONTH(INDEX(UCRETLER!$D$7:$D$406,$U203),$V203-1),INDEX(UCRETLER!$D$7:$D$406,$U203)+MOD(SISTEM!$F$8-WEEKDAY(INDEX(UCRETLER!$D$7:$D$406,$U203),2),7)+7*($V203-1))))</f>
        <v/>
      </c>
      <c r="X203" s="3">
        <f>IF($U203=0,0,INDEX(UCRETLER!$G$7:$G$406,$U203))</f>
        <v/>
      </c>
      <c r="Y203" s="3">
        <f>IFERROR(SMALL($T$12:$T$372,ROW()-11),"")</f>
        <v/>
      </c>
      <c r="Z203" s="3">
        <f>IFERROR(MATCH($Y203,$T$12:$T$372,0),"")</f>
        <v/>
      </c>
      <c r="AA203" s="3" t="n"/>
      <c r="AB203" s="3" t="n"/>
      <c r="AC203" s="3" t="n"/>
    </row>
    <row r="204">
      <c r="A204" s="6" t="n"/>
      <c r="B204" s="158">
        <f>IF($C204="","",ROW()-11)</f>
        <v/>
      </c>
      <c r="C204" s="247">
        <f>IF($Z204="","",IF(INDEX($N$12:$N$372,$Z204)="","",INDEX($N$12:$N$372,$Z204)))</f>
        <v/>
      </c>
      <c r="D204" s="29">
        <f>IF($C204="","",INDEX($O$12:$O$372,$Z204))</f>
        <v/>
      </c>
      <c r="E204" s="158">
        <f>IF($C204="","",INDEX($P$12:$P$372,$Z204))</f>
        <v/>
      </c>
      <c r="F204" s="29">
        <f>IF($C204="","",INDEX($Q$12:$Q$372,$Z204))</f>
        <v/>
      </c>
      <c r="G204" s="248">
        <f>IF($C204="","",INDEX($R$12:$R$372,$Z204))</f>
        <v/>
      </c>
      <c r="H204" s="248">
        <f>IF($C204="","",INDEX($S$12:$S$372,$Z204))</f>
        <v/>
      </c>
      <c r="I204" s="248">
        <f>IF($C204="","",N($I203)+$G204-$H204)</f>
        <v/>
      </c>
      <c r="J204" s="6" t="n"/>
      <c r="K204" s="6" t="n"/>
      <c r="L204" s="3" t="n"/>
      <c r="M204" s="3" t="n">
        <v>193</v>
      </c>
      <c r="N204" s="3">
        <f>IF(OR($U204=0,$W204="",$X204&lt;=0),"",IF($W204&gt;TODAY(),"",IF(AND(INDEX(UCRETLER!$E$7:$E$406,$U204)&lt;&gt;"",$W204&gt;INDEX(UCRETLER!$E$7:$E$406,$U204)),"",$W204)))</f>
        <v/>
      </c>
      <c r="O204" s="3">
        <f>IF($N204="","",IF(INDEX(UCRETLER!$F$7:$F$406,$U204)="Aylık",TEXT($N204,"mmmm yyyy")&amp;" aylık muhasebe hizmet ücreti",TEXT($N204,"dd.mm.yyyy")&amp;" haftalık muhasebe hizmet ücreti"))</f>
        <v/>
      </c>
      <c r="P204" s="3">
        <f>IF($N204="","","TAHAKKUK")</f>
        <v/>
      </c>
      <c r="Q204" s="3">
        <f>IF($N204="","","600 Muhasebe Hizmet Geliri")</f>
        <v/>
      </c>
      <c r="R204" s="3">
        <f>IF($N204="",0,$X204)</f>
        <v/>
      </c>
      <c r="S204" s="3" t="n">
        <v>0</v>
      </c>
      <c r="T204" s="3">
        <f>IF($N204="",10000000000,$N204*100000+$M204)</f>
        <v/>
      </c>
      <c r="U204" s="3">
        <f>$AB$6</f>
        <v/>
      </c>
      <c r="V204" s="3" t="n">
        <v>32</v>
      </c>
      <c r="W204" s="3">
        <f>IF($U204=0,"",IF(INDEX(UCRETLER!$D$7:$D$406,$U204)="","",IF(INDEX(UCRETLER!$F$7:$F$406,$U204)="Aylık",EOMONTH(INDEX(UCRETLER!$D$7:$D$406,$U204),$V204-1),INDEX(UCRETLER!$D$7:$D$406,$U204)+MOD(SISTEM!$F$8-WEEKDAY(INDEX(UCRETLER!$D$7:$D$406,$U204),2),7)+7*($V204-1))))</f>
        <v/>
      </c>
      <c r="X204" s="3">
        <f>IF($U204=0,0,INDEX(UCRETLER!$G$7:$G$406,$U204))</f>
        <v/>
      </c>
      <c r="Y204" s="3">
        <f>IFERROR(SMALL($T$12:$T$372,ROW()-11),"")</f>
        <v/>
      </c>
      <c r="Z204" s="3">
        <f>IFERROR(MATCH($Y204,$T$12:$T$372,0),"")</f>
        <v/>
      </c>
      <c r="AA204" s="3" t="n"/>
      <c r="AB204" s="3" t="n"/>
      <c r="AC204" s="3" t="n"/>
    </row>
    <row r="205">
      <c r="A205" s="6" t="n"/>
      <c r="B205" s="158">
        <f>IF($C205="","",ROW()-11)</f>
        <v/>
      </c>
      <c r="C205" s="247">
        <f>IF($Z205="","",IF(INDEX($N$12:$N$372,$Z205)="","",INDEX($N$12:$N$372,$Z205)))</f>
        <v/>
      </c>
      <c r="D205" s="29">
        <f>IF($C205="","",INDEX($O$12:$O$372,$Z205))</f>
        <v/>
      </c>
      <c r="E205" s="158">
        <f>IF($C205="","",INDEX($P$12:$P$372,$Z205))</f>
        <v/>
      </c>
      <c r="F205" s="29">
        <f>IF($C205="","",INDEX($Q$12:$Q$372,$Z205))</f>
        <v/>
      </c>
      <c r="G205" s="248">
        <f>IF($C205="","",INDEX($R$12:$R$372,$Z205))</f>
        <v/>
      </c>
      <c r="H205" s="248">
        <f>IF($C205="","",INDEX($S$12:$S$372,$Z205))</f>
        <v/>
      </c>
      <c r="I205" s="248">
        <f>IF($C205="","",N($I204)+$G205-$H205)</f>
        <v/>
      </c>
      <c r="J205" s="6" t="n"/>
      <c r="K205" s="6" t="n"/>
      <c r="L205" s="3" t="n"/>
      <c r="M205" s="3" t="n">
        <v>194</v>
      </c>
      <c r="N205" s="3">
        <f>IF(OR($U205=0,$W205="",$X205&lt;=0),"",IF($W205&gt;TODAY(),"",IF(AND(INDEX(UCRETLER!$E$7:$E$406,$U205)&lt;&gt;"",$W205&gt;INDEX(UCRETLER!$E$7:$E$406,$U205)),"",$W205)))</f>
        <v/>
      </c>
      <c r="O205" s="3">
        <f>IF($N205="","",IF(INDEX(UCRETLER!$F$7:$F$406,$U205)="Aylık",TEXT($N205,"mmmm yyyy")&amp;" aylık muhasebe hizmet ücreti",TEXT($N205,"dd.mm.yyyy")&amp;" haftalık muhasebe hizmet ücreti"))</f>
        <v/>
      </c>
      <c r="P205" s="3">
        <f>IF($N205="","","TAHAKKUK")</f>
        <v/>
      </c>
      <c r="Q205" s="3">
        <f>IF($N205="","","600 Muhasebe Hizmet Geliri")</f>
        <v/>
      </c>
      <c r="R205" s="3">
        <f>IF($N205="",0,$X205)</f>
        <v/>
      </c>
      <c r="S205" s="3" t="n">
        <v>0</v>
      </c>
      <c r="T205" s="3">
        <f>IF($N205="",10000000000,$N205*100000+$M205)</f>
        <v/>
      </c>
      <c r="U205" s="3">
        <f>$AB$6</f>
        <v/>
      </c>
      <c r="V205" s="3" t="n">
        <v>33</v>
      </c>
      <c r="W205" s="3">
        <f>IF($U205=0,"",IF(INDEX(UCRETLER!$D$7:$D$406,$U205)="","",IF(INDEX(UCRETLER!$F$7:$F$406,$U205)="Aylık",EOMONTH(INDEX(UCRETLER!$D$7:$D$406,$U205),$V205-1),INDEX(UCRETLER!$D$7:$D$406,$U205)+MOD(SISTEM!$F$8-WEEKDAY(INDEX(UCRETLER!$D$7:$D$406,$U205),2),7)+7*($V205-1))))</f>
        <v/>
      </c>
      <c r="X205" s="3">
        <f>IF($U205=0,0,INDEX(UCRETLER!$G$7:$G$406,$U205))</f>
        <v/>
      </c>
      <c r="Y205" s="3">
        <f>IFERROR(SMALL($T$12:$T$372,ROW()-11),"")</f>
        <v/>
      </c>
      <c r="Z205" s="3">
        <f>IFERROR(MATCH($Y205,$T$12:$T$372,0),"")</f>
        <v/>
      </c>
      <c r="AA205" s="3" t="n"/>
      <c r="AB205" s="3" t="n"/>
      <c r="AC205" s="3" t="n"/>
    </row>
    <row r="206">
      <c r="A206" s="6" t="n"/>
      <c r="B206" s="158">
        <f>IF($C206="","",ROW()-11)</f>
        <v/>
      </c>
      <c r="C206" s="247">
        <f>IF($Z206="","",IF(INDEX($N$12:$N$372,$Z206)="","",INDEX($N$12:$N$372,$Z206)))</f>
        <v/>
      </c>
      <c r="D206" s="29">
        <f>IF($C206="","",INDEX($O$12:$O$372,$Z206))</f>
        <v/>
      </c>
      <c r="E206" s="158">
        <f>IF($C206="","",INDEX($P$12:$P$372,$Z206))</f>
        <v/>
      </c>
      <c r="F206" s="29">
        <f>IF($C206="","",INDEX($Q$12:$Q$372,$Z206))</f>
        <v/>
      </c>
      <c r="G206" s="248">
        <f>IF($C206="","",INDEX($R$12:$R$372,$Z206))</f>
        <v/>
      </c>
      <c r="H206" s="248">
        <f>IF($C206="","",INDEX($S$12:$S$372,$Z206))</f>
        <v/>
      </c>
      <c r="I206" s="248">
        <f>IF($C206="","",N($I205)+$G206-$H206)</f>
        <v/>
      </c>
      <c r="J206" s="6" t="n"/>
      <c r="K206" s="6" t="n"/>
      <c r="L206" s="3" t="n"/>
      <c r="M206" s="3" t="n">
        <v>195</v>
      </c>
      <c r="N206" s="3">
        <f>IF(OR($U206=0,$W206="",$X206&lt;=0),"",IF($W206&gt;TODAY(),"",IF(AND(INDEX(UCRETLER!$E$7:$E$406,$U206)&lt;&gt;"",$W206&gt;INDEX(UCRETLER!$E$7:$E$406,$U206)),"",$W206)))</f>
        <v/>
      </c>
      <c r="O206" s="3">
        <f>IF($N206="","",IF(INDEX(UCRETLER!$F$7:$F$406,$U206)="Aylık",TEXT($N206,"mmmm yyyy")&amp;" aylık muhasebe hizmet ücreti",TEXT($N206,"dd.mm.yyyy")&amp;" haftalık muhasebe hizmet ücreti"))</f>
        <v/>
      </c>
      <c r="P206" s="3">
        <f>IF($N206="","","TAHAKKUK")</f>
        <v/>
      </c>
      <c r="Q206" s="3">
        <f>IF($N206="","","600 Muhasebe Hizmet Geliri")</f>
        <v/>
      </c>
      <c r="R206" s="3">
        <f>IF($N206="",0,$X206)</f>
        <v/>
      </c>
      <c r="S206" s="3" t="n">
        <v>0</v>
      </c>
      <c r="T206" s="3">
        <f>IF($N206="",10000000000,$N206*100000+$M206)</f>
        <v/>
      </c>
      <c r="U206" s="3">
        <f>$AB$6</f>
        <v/>
      </c>
      <c r="V206" s="3" t="n">
        <v>34</v>
      </c>
      <c r="W206" s="3">
        <f>IF($U206=0,"",IF(INDEX(UCRETLER!$D$7:$D$406,$U206)="","",IF(INDEX(UCRETLER!$F$7:$F$406,$U206)="Aylık",EOMONTH(INDEX(UCRETLER!$D$7:$D$406,$U206),$V206-1),INDEX(UCRETLER!$D$7:$D$406,$U206)+MOD(SISTEM!$F$8-WEEKDAY(INDEX(UCRETLER!$D$7:$D$406,$U206),2),7)+7*($V206-1))))</f>
        <v/>
      </c>
      <c r="X206" s="3">
        <f>IF($U206=0,0,INDEX(UCRETLER!$G$7:$G$406,$U206))</f>
        <v/>
      </c>
      <c r="Y206" s="3">
        <f>IFERROR(SMALL($T$12:$T$372,ROW()-11),"")</f>
        <v/>
      </c>
      <c r="Z206" s="3">
        <f>IFERROR(MATCH($Y206,$T$12:$T$372,0),"")</f>
        <v/>
      </c>
      <c r="AA206" s="3" t="n"/>
      <c r="AB206" s="3" t="n"/>
      <c r="AC206" s="3" t="n"/>
    </row>
    <row r="207">
      <c r="A207" s="6" t="n"/>
      <c r="B207" s="158">
        <f>IF($C207="","",ROW()-11)</f>
        <v/>
      </c>
      <c r="C207" s="247">
        <f>IF($Z207="","",IF(INDEX($N$12:$N$372,$Z207)="","",INDEX($N$12:$N$372,$Z207)))</f>
        <v/>
      </c>
      <c r="D207" s="29">
        <f>IF($C207="","",INDEX($O$12:$O$372,$Z207))</f>
        <v/>
      </c>
      <c r="E207" s="158">
        <f>IF($C207="","",INDEX($P$12:$P$372,$Z207))</f>
        <v/>
      </c>
      <c r="F207" s="29">
        <f>IF($C207="","",INDEX($Q$12:$Q$372,$Z207))</f>
        <v/>
      </c>
      <c r="G207" s="248">
        <f>IF($C207="","",INDEX($R$12:$R$372,$Z207))</f>
        <v/>
      </c>
      <c r="H207" s="248">
        <f>IF($C207="","",INDEX($S$12:$S$372,$Z207))</f>
        <v/>
      </c>
      <c r="I207" s="248">
        <f>IF($C207="","",N($I206)+$G207-$H207)</f>
        <v/>
      </c>
      <c r="J207" s="6" t="n"/>
      <c r="K207" s="6" t="n"/>
      <c r="L207" s="3" t="n"/>
      <c r="M207" s="3" t="n">
        <v>196</v>
      </c>
      <c r="N207" s="3">
        <f>IF(OR($U207=0,$W207="",$X207&lt;=0),"",IF($W207&gt;TODAY(),"",IF(AND(INDEX(UCRETLER!$E$7:$E$406,$U207)&lt;&gt;"",$W207&gt;INDEX(UCRETLER!$E$7:$E$406,$U207)),"",$W207)))</f>
        <v/>
      </c>
      <c r="O207" s="3">
        <f>IF($N207="","",IF(INDEX(UCRETLER!$F$7:$F$406,$U207)="Aylık",TEXT($N207,"mmmm yyyy")&amp;" aylık muhasebe hizmet ücreti",TEXT($N207,"dd.mm.yyyy")&amp;" haftalık muhasebe hizmet ücreti"))</f>
        <v/>
      </c>
      <c r="P207" s="3">
        <f>IF($N207="","","TAHAKKUK")</f>
        <v/>
      </c>
      <c r="Q207" s="3">
        <f>IF($N207="","","600 Muhasebe Hizmet Geliri")</f>
        <v/>
      </c>
      <c r="R207" s="3">
        <f>IF($N207="",0,$X207)</f>
        <v/>
      </c>
      <c r="S207" s="3" t="n">
        <v>0</v>
      </c>
      <c r="T207" s="3">
        <f>IF($N207="",10000000000,$N207*100000+$M207)</f>
        <v/>
      </c>
      <c r="U207" s="3">
        <f>$AB$6</f>
        <v/>
      </c>
      <c r="V207" s="3" t="n">
        <v>35</v>
      </c>
      <c r="W207" s="3">
        <f>IF($U207=0,"",IF(INDEX(UCRETLER!$D$7:$D$406,$U207)="","",IF(INDEX(UCRETLER!$F$7:$F$406,$U207)="Aylık",EOMONTH(INDEX(UCRETLER!$D$7:$D$406,$U207),$V207-1),INDEX(UCRETLER!$D$7:$D$406,$U207)+MOD(SISTEM!$F$8-WEEKDAY(INDEX(UCRETLER!$D$7:$D$406,$U207),2),7)+7*($V207-1))))</f>
        <v/>
      </c>
      <c r="X207" s="3">
        <f>IF($U207=0,0,INDEX(UCRETLER!$G$7:$G$406,$U207))</f>
        <v/>
      </c>
      <c r="Y207" s="3">
        <f>IFERROR(SMALL($T$12:$T$372,ROW()-11),"")</f>
        <v/>
      </c>
      <c r="Z207" s="3">
        <f>IFERROR(MATCH($Y207,$T$12:$T$372,0),"")</f>
        <v/>
      </c>
      <c r="AA207" s="3" t="n"/>
      <c r="AB207" s="3" t="n"/>
      <c r="AC207" s="3" t="n"/>
    </row>
    <row r="208">
      <c r="A208" s="6" t="n"/>
      <c r="B208" s="158">
        <f>IF($C208="","",ROW()-11)</f>
        <v/>
      </c>
      <c r="C208" s="247">
        <f>IF($Z208="","",IF(INDEX($N$12:$N$372,$Z208)="","",INDEX($N$12:$N$372,$Z208)))</f>
        <v/>
      </c>
      <c r="D208" s="29">
        <f>IF($C208="","",INDEX($O$12:$O$372,$Z208))</f>
        <v/>
      </c>
      <c r="E208" s="158">
        <f>IF($C208="","",INDEX($P$12:$P$372,$Z208))</f>
        <v/>
      </c>
      <c r="F208" s="29">
        <f>IF($C208="","",INDEX($Q$12:$Q$372,$Z208))</f>
        <v/>
      </c>
      <c r="G208" s="248">
        <f>IF($C208="","",INDEX($R$12:$R$372,$Z208))</f>
        <v/>
      </c>
      <c r="H208" s="248">
        <f>IF($C208="","",INDEX($S$12:$S$372,$Z208))</f>
        <v/>
      </c>
      <c r="I208" s="248">
        <f>IF($C208="","",N($I207)+$G208-$H208)</f>
        <v/>
      </c>
      <c r="J208" s="6" t="n"/>
      <c r="K208" s="6" t="n"/>
      <c r="L208" s="3" t="n"/>
      <c r="M208" s="3" t="n">
        <v>197</v>
      </c>
      <c r="N208" s="3">
        <f>IF(OR($U208=0,$W208="",$X208&lt;=0),"",IF($W208&gt;TODAY(),"",IF(AND(INDEX(UCRETLER!$E$7:$E$406,$U208)&lt;&gt;"",$W208&gt;INDEX(UCRETLER!$E$7:$E$406,$U208)),"",$W208)))</f>
        <v/>
      </c>
      <c r="O208" s="3">
        <f>IF($N208="","",IF(INDEX(UCRETLER!$F$7:$F$406,$U208)="Aylık",TEXT($N208,"mmmm yyyy")&amp;" aylık muhasebe hizmet ücreti",TEXT($N208,"dd.mm.yyyy")&amp;" haftalık muhasebe hizmet ücreti"))</f>
        <v/>
      </c>
      <c r="P208" s="3">
        <f>IF($N208="","","TAHAKKUK")</f>
        <v/>
      </c>
      <c r="Q208" s="3">
        <f>IF($N208="","","600 Muhasebe Hizmet Geliri")</f>
        <v/>
      </c>
      <c r="R208" s="3">
        <f>IF($N208="",0,$X208)</f>
        <v/>
      </c>
      <c r="S208" s="3" t="n">
        <v>0</v>
      </c>
      <c r="T208" s="3">
        <f>IF($N208="",10000000000,$N208*100000+$M208)</f>
        <v/>
      </c>
      <c r="U208" s="3">
        <f>$AB$6</f>
        <v/>
      </c>
      <c r="V208" s="3" t="n">
        <v>36</v>
      </c>
      <c r="W208" s="3">
        <f>IF($U208=0,"",IF(INDEX(UCRETLER!$D$7:$D$406,$U208)="","",IF(INDEX(UCRETLER!$F$7:$F$406,$U208)="Aylık",EOMONTH(INDEX(UCRETLER!$D$7:$D$406,$U208),$V208-1),INDEX(UCRETLER!$D$7:$D$406,$U208)+MOD(SISTEM!$F$8-WEEKDAY(INDEX(UCRETLER!$D$7:$D$406,$U208),2),7)+7*($V208-1))))</f>
        <v/>
      </c>
      <c r="X208" s="3">
        <f>IF($U208=0,0,INDEX(UCRETLER!$G$7:$G$406,$U208))</f>
        <v/>
      </c>
      <c r="Y208" s="3">
        <f>IFERROR(SMALL($T$12:$T$372,ROW()-11),"")</f>
        <v/>
      </c>
      <c r="Z208" s="3">
        <f>IFERROR(MATCH($Y208,$T$12:$T$372,0),"")</f>
        <v/>
      </c>
      <c r="AA208" s="3" t="n"/>
      <c r="AB208" s="3" t="n"/>
      <c r="AC208" s="3" t="n"/>
    </row>
    <row r="209">
      <c r="A209" s="6" t="n"/>
      <c r="B209" s="158">
        <f>IF($C209="","",ROW()-11)</f>
        <v/>
      </c>
      <c r="C209" s="247">
        <f>IF($Z209="","",IF(INDEX($N$12:$N$372,$Z209)="","",INDEX($N$12:$N$372,$Z209)))</f>
        <v/>
      </c>
      <c r="D209" s="29">
        <f>IF($C209="","",INDEX($O$12:$O$372,$Z209))</f>
        <v/>
      </c>
      <c r="E209" s="158">
        <f>IF($C209="","",INDEX($P$12:$P$372,$Z209))</f>
        <v/>
      </c>
      <c r="F209" s="29">
        <f>IF($C209="","",INDEX($Q$12:$Q$372,$Z209))</f>
        <v/>
      </c>
      <c r="G209" s="248">
        <f>IF($C209="","",INDEX($R$12:$R$372,$Z209))</f>
        <v/>
      </c>
      <c r="H209" s="248">
        <f>IF($C209="","",INDEX($S$12:$S$372,$Z209))</f>
        <v/>
      </c>
      <c r="I209" s="248">
        <f>IF($C209="","",N($I208)+$G209-$H209)</f>
        <v/>
      </c>
      <c r="J209" s="6" t="n"/>
      <c r="K209" s="6" t="n"/>
      <c r="L209" s="3" t="n"/>
      <c r="M209" s="3" t="n">
        <v>198</v>
      </c>
      <c r="N209" s="3">
        <f>IF(OR($U209=0,$W209="",$X209&lt;=0),"",IF($W209&gt;TODAY(),"",IF(AND(INDEX(UCRETLER!$E$7:$E$406,$U209)&lt;&gt;"",$W209&gt;INDEX(UCRETLER!$E$7:$E$406,$U209)),"",$W209)))</f>
        <v/>
      </c>
      <c r="O209" s="3">
        <f>IF($N209="","",IF(INDEX(UCRETLER!$F$7:$F$406,$U209)="Aylık",TEXT($N209,"mmmm yyyy")&amp;" aylık muhasebe hizmet ücreti",TEXT($N209,"dd.mm.yyyy")&amp;" haftalık muhasebe hizmet ücreti"))</f>
        <v/>
      </c>
      <c r="P209" s="3">
        <f>IF($N209="","","TAHAKKUK")</f>
        <v/>
      </c>
      <c r="Q209" s="3">
        <f>IF($N209="","","600 Muhasebe Hizmet Geliri")</f>
        <v/>
      </c>
      <c r="R209" s="3">
        <f>IF($N209="",0,$X209)</f>
        <v/>
      </c>
      <c r="S209" s="3" t="n">
        <v>0</v>
      </c>
      <c r="T209" s="3">
        <f>IF($N209="",10000000000,$N209*100000+$M209)</f>
        <v/>
      </c>
      <c r="U209" s="3">
        <f>$AB$6</f>
        <v/>
      </c>
      <c r="V209" s="3" t="n">
        <v>37</v>
      </c>
      <c r="W209" s="3">
        <f>IF($U209=0,"",IF(INDEX(UCRETLER!$D$7:$D$406,$U209)="","",IF(INDEX(UCRETLER!$F$7:$F$406,$U209)="Aylık",EOMONTH(INDEX(UCRETLER!$D$7:$D$406,$U209),$V209-1),INDEX(UCRETLER!$D$7:$D$406,$U209)+MOD(SISTEM!$F$8-WEEKDAY(INDEX(UCRETLER!$D$7:$D$406,$U209),2),7)+7*($V209-1))))</f>
        <v/>
      </c>
      <c r="X209" s="3">
        <f>IF($U209=0,0,INDEX(UCRETLER!$G$7:$G$406,$U209))</f>
        <v/>
      </c>
      <c r="Y209" s="3">
        <f>IFERROR(SMALL($T$12:$T$372,ROW()-11),"")</f>
        <v/>
      </c>
      <c r="Z209" s="3">
        <f>IFERROR(MATCH($Y209,$T$12:$T$372,0),"")</f>
        <v/>
      </c>
      <c r="AA209" s="3" t="n"/>
      <c r="AB209" s="3" t="n"/>
      <c r="AC209" s="3" t="n"/>
    </row>
    <row r="210">
      <c r="A210" s="6" t="n"/>
      <c r="B210" s="158">
        <f>IF($C210="","",ROW()-11)</f>
        <v/>
      </c>
      <c r="C210" s="247">
        <f>IF($Z210="","",IF(INDEX($N$12:$N$372,$Z210)="","",INDEX($N$12:$N$372,$Z210)))</f>
        <v/>
      </c>
      <c r="D210" s="29">
        <f>IF($C210="","",INDEX($O$12:$O$372,$Z210))</f>
        <v/>
      </c>
      <c r="E210" s="158">
        <f>IF($C210="","",INDEX($P$12:$P$372,$Z210))</f>
        <v/>
      </c>
      <c r="F210" s="29">
        <f>IF($C210="","",INDEX($Q$12:$Q$372,$Z210))</f>
        <v/>
      </c>
      <c r="G210" s="248">
        <f>IF($C210="","",INDEX($R$12:$R$372,$Z210))</f>
        <v/>
      </c>
      <c r="H210" s="248">
        <f>IF($C210="","",INDEX($S$12:$S$372,$Z210))</f>
        <v/>
      </c>
      <c r="I210" s="248">
        <f>IF($C210="","",N($I209)+$G210-$H210)</f>
        <v/>
      </c>
      <c r="J210" s="6" t="n"/>
      <c r="K210" s="6" t="n"/>
      <c r="L210" s="3" t="n"/>
      <c r="M210" s="3" t="n">
        <v>199</v>
      </c>
      <c r="N210" s="3">
        <f>IF(OR($U210=0,$W210="",$X210&lt;=0),"",IF($W210&gt;TODAY(),"",IF(AND(INDEX(UCRETLER!$E$7:$E$406,$U210)&lt;&gt;"",$W210&gt;INDEX(UCRETLER!$E$7:$E$406,$U210)),"",$W210)))</f>
        <v/>
      </c>
      <c r="O210" s="3">
        <f>IF($N210="","",IF(INDEX(UCRETLER!$F$7:$F$406,$U210)="Aylık",TEXT($N210,"mmmm yyyy")&amp;" aylık muhasebe hizmet ücreti",TEXT($N210,"dd.mm.yyyy")&amp;" haftalık muhasebe hizmet ücreti"))</f>
        <v/>
      </c>
      <c r="P210" s="3">
        <f>IF($N210="","","TAHAKKUK")</f>
        <v/>
      </c>
      <c r="Q210" s="3">
        <f>IF($N210="","","600 Muhasebe Hizmet Geliri")</f>
        <v/>
      </c>
      <c r="R210" s="3">
        <f>IF($N210="",0,$X210)</f>
        <v/>
      </c>
      <c r="S210" s="3" t="n">
        <v>0</v>
      </c>
      <c r="T210" s="3">
        <f>IF($N210="",10000000000,$N210*100000+$M210)</f>
        <v/>
      </c>
      <c r="U210" s="3">
        <f>$AB$6</f>
        <v/>
      </c>
      <c r="V210" s="3" t="n">
        <v>38</v>
      </c>
      <c r="W210" s="3">
        <f>IF($U210=0,"",IF(INDEX(UCRETLER!$D$7:$D$406,$U210)="","",IF(INDEX(UCRETLER!$F$7:$F$406,$U210)="Aylık",EOMONTH(INDEX(UCRETLER!$D$7:$D$406,$U210),$V210-1),INDEX(UCRETLER!$D$7:$D$406,$U210)+MOD(SISTEM!$F$8-WEEKDAY(INDEX(UCRETLER!$D$7:$D$406,$U210),2),7)+7*($V210-1))))</f>
        <v/>
      </c>
      <c r="X210" s="3">
        <f>IF($U210=0,0,INDEX(UCRETLER!$G$7:$G$406,$U210))</f>
        <v/>
      </c>
      <c r="Y210" s="3">
        <f>IFERROR(SMALL($T$12:$T$372,ROW()-11),"")</f>
        <v/>
      </c>
      <c r="Z210" s="3">
        <f>IFERROR(MATCH($Y210,$T$12:$T$372,0),"")</f>
        <v/>
      </c>
      <c r="AA210" s="3" t="n"/>
      <c r="AB210" s="3" t="n"/>
      <c r="AC210" s="3" t="n"/>
    </row>
    <row r="211">
      <c r="A211" s="6" t="n"/>
      <c r="B211" s="158">
        <f>IF($C211="","",ROW()-11)</f>
        <v/>
      </c>
      <c r="C211" s="247">
        <f>IF($Z211="","",IF(INDEX($N$12:$N$372,$Z211)="","",INDEX($N$12:$N$372,$Z211)))</f>
        <v/>
      </c>
      <c r="D211" s="29">
        <f>IF($C211="","",INDEX($O$12:$O$372,$Z211))</f>
        <v/>
      </c>
      <c r="E211" s="158">
        <f>IF($C211="","",INDEX($P$12:$P$372,$Z211))</f>
        <v/>
      </c>
      <c r="F211" s="29">
        <f>IF($C211="","",INDEX($Q$12:$Q$372,$Z211))</f>
        <v/>
      </c>
      <c r="G211" s="248">
        <f>IF($C211="","",INDEX($R$12:$R$372,$Z211))</f>
        <v/>
      </c>
      <c r="H211" s="248">
        <f>IF($C211="","",INDEX($S$12:$S$372,$Z211))</f>
        <v/>
      </c>
      <c r="I211" s="248">
        <f>IF($C211="","",N($I210)+$G211-$H211)</f>
        <v/>
      </c>
      <c r="J211" s="6" t="n"/>
      <c r="K211" s="6" t="n"/>
      <c r="L211" s="3" t="n"/>
      <c r="M211" s="3" t="n">
        <v>200</v>
      </c>
      <c r="N211" s="3">
        <f>IF(OR($U211=0,$W211="",$X211&lt;=0),"",IF($W211&gt;TODAY(),"",IF(AND(INDEX(UCRETLER!$E$7:$E$406,$U211)&lt;&gt;"",$W211&gt;INDEX(UCRETLER!$E$7:$E$406,$U211)),"",$W211)))</f>
        <v/>
      </c>
      <c r="O211" s="3">
        <f>IF($N211="","",IF(INDEX(UCRETLER!$F$7:$F$406,$U211)="Aylık",TEXT($N211,"mmmm yyyy")&amp;" aylık muhasebe hizmet ücreti",TEXT($N211,"dd.mm.yyyy")&amp;" haftalık muhasebe hizmet ücreti"))</f>
        <v/>
      </c>
      <c r="P211" s="3">
        <f>IF($N211="","","TAHAKKUK")</f>
        <v/>
      </c>
      <c r="Q211" s="3">
        <f>IF($N211="","","600 Muhasebe Hizmet Geliri")</f>
        <v/>
      </c>
      <c r="R211" s="3">
        <f>IF($N211="",0,$X211)</f>
        <v/>
      </c>
      <c r="S211" s="3" t="n">
        <v>0</v>
      </c>
      <c r="T211" s="3">
        <f>IF($N211="",10000000000,$N211*100000+$M211)</f>
        <v/>
      </c>
      <c r="U211" s="3">
        <f>$AB$6</f>
        <v/>
      </c>
      <c r="V211" s="3" t="n">
        <v>39</v>
      </c>
      <c r="W211" s="3">
        <f>IF($U211=0,"",IF(INDEX(UCRETLER!$D$7:$D$406,$U211)="","",IF(INDEX(UCRETLER!$F$7:$F$406,$U211)="Aylık",EOMONTH(INDEX(UCRETLER!$D$7:$D$406,$U211),$V211-1),INDEX(UCRETLER!$D$7:$D$406,$U211)+MOD(SISTEM!$F$8-WEEKDAY(INDEX(UCRETLER!$D$7:$D$406,$U211),2),7)+7*($V211-1))))</f>
        <v/>
      </c>
      <c r="X211" s="3">
        <f>IF($U211=0,0,INDEX(UCRETLER!$G$7:$G$406,$U211))</f>
        <v/>
      </c>
      <c r="Y211" s="3">
        <f>IFERROR(SMALL($T$12:$T$372,ROW()-11),"")</f>
        <v/>
      </c>
      <c r="Z211" s="3">
        <f>IFERROR(MATCH($Y211,$T$12:$T$372,0),"")</f>
        <v/>
      </c>
      <c r="AA211" s="3" t="n"/>
      <c r="AB211" s="3" t="n"/>
      <c r="AC211" s="3" t="n"/>
    </row>
    <row r="212">
      <c r="A212" s="6" t="n"/>
      <c r="B212" s="158">
        <f>IF($C212="","",ROW()-11)</f>
        <v/>
      </c>
      <c r="C212" s="247">
        <f>IF($Z212="","",IF(INDEX($N$12:$N$372,$Z212)="","",INDEX($N$12:$N$372,$Z212)))</f>
        <v/>
      </c>
      <c r="D212" s="29">
        <f>IF($C212="","",INDEX($O$12:$O$372,$Z212))</f>
        <v/>
      </c>
      <c r="E212" s="158">
        <f>IF($C212="","",INDEX($P$12:$P$372,$Z212))</f>
        <v/>
      </c>
      <c r="F212" s="29">
        <f>IF($C212="","",INDEX($Q$12:$Q$372,$Z212))</f>
        <v/>
      </c>
      <c r="G212" s="248">
        <f>IF($C212="","",INDEX($R$12:$R$372,$Z212))</f>
        <v/>
      </c>
      <c r="H212" s="248">
        <f>IF($C212="","",INDEX($S$12:$S$372,$Z212))</f>
        <v/>
      </c>
      <c r="I212" s="248">
        <f>IF($C212="","",N($I211)+$G212-$H212)</f>
        <v/>
      </c>
      <c r="J212" s="6" t="n"/>
      <c r="K212" s="6" t="n"/>
      <c r="L212" s="3" t="n"/>
      <c r="M212" s="3" t="n">
        <v>201</v>
      </c>
      <c r="N212" s="3">
        <f>IF(OR($U212=0,$W212="",$X212&lt;=0),"",IF($W212&gt;TODAY(),"",IF(AND(INDEX(UCRETLER!$E$7:$E$406,$U212)&lt;&gt;"",$W212&gt;INDEX(UCRETLER!$E$7:$E$406,$U212)),"",$W212)))</f>
        <v/>
      </c>
      <c r="O212" s="3">
        <f>IF($N212="","",IF(INDEX(UCRETLER!$F$7:$F$406,$U212)="Aylık",TEXT($N212,"mmmm yyyy")&amp;" aylık muhasebe hizmet ücreti",TEXT($N212,"dd.mm.yyyy")&amp;" haftalık muhasebe hizmet ücreti"))</f>
        <v/>
      </c>
      <c r="P212" s="3">
        <f>IF($N212="","","TAHAKKUK")</f>
        <v/>
      </c>
      <c r="Q212" s="3">
        <f>IF($N212="","","600 Muhasebe Hizmet Geliri")</f>
        <v/>
      </c>
      <c r="R212" s="3">
        <f>IF($N212="",0,$X212)</f>
        <v/>
      </c>
      <c r="S212" s="3" t="n">
        <v>0</v>
      </c>
      <c r="T212" s="3">
        <f>IF($N212="",10000000000,$N212*100000+$M212)</f>
        <v/>
      </c>
      <c r="U212" s="3">
        <f>$AB$6</f>
        <v/>
      </c>
      <c r="V212" s="3" t="n">
        <v>40</v>
      </c>
      <c r="W212" s="3">
        <f>IF($U212=0,"",IF(INDEX(UCRETLER!$D$7:$D$406,$U212)="","",IF(INDEX(UCRETLER!$F$7:$F$406,$U212)="Aylık",EOMONTH(INDEX(UCRETLER!$D$7:$D$406,$U212),$V212-1),INDEX(UCRETLER!$D$7:$D$406,$U212)+MOD(SISTEM!$F$8-WEEKDAY(INDEX(UCRETLER!$D$7:$D$406,$U212),2),7)+7*($V212-1))))</f>
        <v/>
      </c>
      <c r="X212" s="3">
        <f>IF($U212=0,0,INDEX(UCRETLER!$G$7:$G$406,$U212))</f>
        <v/>
      </c>
      <c r="Y212" s="3">
        <f>IFERROR(SMALL($T$12:$T$372,ROW()-11),"")</f>
        <v/>
      </c>
      <c r="Z212" s="3">
        <f>IFERROR(MATCH($Y212,$T$12:$T$372,0),"")</f>
        <v/>
      </c>
      <c r="AA212" s="3" t="n"/>
      <c r="AB212" s="3" t="n"/>
      <c r="AC212" s="3" t="n"/>
    </row>
    <row r="213">
      <c r="A213" s="6" t="n"/>
      <c r="B213" s="158">
        <f>IF($C213="","",ROW()-11)</f>
        <v/>
      </c>
      <c r="C213" s="247">
        <f>IF($Z213="","",IF(INDEX($N$12:$N$372,$Z213)="","",INDEX($N$12:$N$372,$Z213)))</f>
        <v/>
      </c>
      <c r="D213" s="29">
        <f>IF($C213="","",INDEX($O$12:$O$372,$Z213))</f>
        <v/>
      </c>
      <c r="E213" s="158">
        <f>IF($C213="","",INDEX($P$12:$P$372,$Z213))</f>
        <v/>
      </c>
      <c r="F213" s="29">
        <f>IF($C213="","",INDEX($Q$12:$Q$372,$Z213))</f>
        <v/>
      </c>
      <c r="G213" s="248">
        <f>IF($C213="","",INDEX($R$12:$R$372,$Z213))</f>
        <v/>
      </c>
      <c r="H213" s="248">
        <f>IF($C213="","",INDEX($S$12:$S$372,$Z213))</f>
        <v/>
      </c>
      <c r="I213" s="248">
        <f>IF($C213="","",N($I212)+$G213-$H213)</f>
        <v/>
      </c>
      <c r="J213" s="6" t="n"/>
      <c r="K213" s="6" t="n"/>
      <c r="L213" s="3" t="n"/>
      <c r="M213" s="3" t="n">
        <v>202</v>
      </c>
      <c r="N213" s="3">
        <f>IF(OR($U213=0,$W213="",$X213&lt;=0),"",IF($W213&gt;TODAY(),"",IF(AND(INDEX(UCRETLER!$E$7:$E$406,$U213)&lt;&gt;"",$W213&gt;INDEX(UCRETLER!$E$7:$E$406,$U213)),"",$W213)))</f>
        <v/>
      </c>
      <c r="O213" s="3">
        <f>IF($N213="","",IF(INDEX(UCRETLER!$F$7:$F$406,$U213)="Aylık",TEXT($N213,"mmmm yyyy")&amp;" aylık muhasebe hizmet ücreti",TEXT($N213,"dd.mm.yyyy")&amp;" haftalık muhasebe hizmet ücreti"))</f>
        <v/>
      </c>
      <c r="P213" s="3">
        <f>IF($N213="","","TAHAKKUK")</f>
        <v/>
      </c>
      <c r="Q213" s="3">
        <f>IF($N213="","","600 Muhasebe Hizmet Geliri")</f>
        <v/>
      </c>
      <c r="R213" s="3">
        <f>IF($N213="",0,$X213)</f>
        <v/>
      </c>
      <c r="S213" s="3" t="n">
        <v>0</v>
      </c>
      <c r="T213" s="3">
        <f>IF($N213="",10000000000,$N213*100000+$M213)</f>
        <v/>
      </c>
      <c r="U213" s="3">
        <f>$AB$6</f>
        <v/>
      </c>
      <c r="V213" s="3" t="n">
        <v>41</v>
      </c>
      <c r="W213" s="3">
        <f>IF($U213=0,"",IF(INDEX(UCRETLER!$D$7:$D$406,$U213)="","",IF(INDEX(UCRETLER!$F$7:$F$406,$U213)="Aylık",EOMONTH(INDEX(UCRETLER!$D$7:$D$406,$U213),$V213-1),INDEX(UCRETLER!$D$7:$D$406,$U213)+MOD(SISTEM!$F$8-WEEKDAY(INDEX(UCRETLER!$D$7:$D$406,$U213),2),7)+7*($V213-1))))</f>
        <v/>
      </c>
      <c r="X213" s="3">
        <f>IF($U213=0,0,INDEX(UCRETLER!$G$7:$G$406,$U213))</f>
        <v/>
      </c>
      <c r="Y213" s="3">
        <f>IFERROR(SMALL($T$12:$T$372,ROW()-11),"")</f>
        <v/>
      </c>
      <c r="Z213" s="3">
        <f>IFERROR(MATCH($Y213,$T$12:$T$372,0),"")</f>
        <v/>
      </c>
      <c r="AA213" s="3" t="n"/>
      <c r="AB213" s="3" t="n"/>
      <c r="AC213" s="3" t="n"/>
    </row>
    <row r="214">
      <c r="A214" s="6" t="n"/>
      <c r="B214" s="158">
        <f>IF($C214="","",ROW()-11)</f>
        <v/>
      </c>
      <c r="C214" s="247">
        <f>IF($Z214="","",IF(INDEX($N$12:$N$372,$Z214)="","",INDEX($N$12:$N$372,$Z214)))</f>
        <v/>
      </c>
      <c r="D214" s="29">
        <f>IF($C214="","",INDEX($O$12:$O$372,$Z214))</f>
        <v/>
      </c>
      <c r="E214" s="158">
        <f>IF($C214="","",INDEX($P$12:$P$372,$Z214))</f>
        <v/>
      </c>
      <c r="F214" s="29">
        <f>IF($C214="","",INDEX($Q$12:$Q$372,$Z214))</f>
        <v/>
      </c>
      <c r="G214" s="248">
        <f>IF($C214="","",INDEX($R$12:$R$372,$Z214))</f>
        <v/>
      </c>
      <c r="H214" s="248">
        <f>IF($C214="","",INDEX($S$12:$S$372,$Z214))</f>
        <v/>
      </c>
      <c r="I214" s="248">
        <f>IF($C214="","",N($I213)+$G214-$H214)</f>
        <v/>
      </c>
      <c r="J214" s="6" t="n"/>
      <c r="K214" s="6" t="n"/>
      <c r="L214" s="3" t="n"/>
      <c r="M214" s="3" t="n">
        <v>203</v>
      </c>
      <c r="N214" s="3">
        <f>IF(OR($U214=0,$W214="",$X214&lt;=0),"",IF($W214&gt;TODAY(),"",IF(AND(INDEX(UCRETLER!$E$7:$E$406,$U214)&lt;&gt;"",$W214&gt;INDEX(UCRETLER!$E$7:$E$406,$U214)),"",$W214)))</f>
        <v/>
      </c>
      <c r="O214" s="3">
        <f>IF($N214="","",IF(INDEX(UCRETLER!$F$7:$F$406,$U214)="Aylık",TEXT($N214,"mmmm yyyy")&amp;" aylık muhasebe hizmet ücreti",TEXT($N214,"dd.mm.yyyy")&amp;" haftalık muhasebe hizmet ücreti"))</f>
        <v/>
      </c>
      <c r="P214" s="3">
        <f>IF($N214="","","TAHAKKUK")</f>
        <v/>
      </c>
      <c r="Q214" s="3">
        <f>IF($N214="","","600 Muhasebe Hizmet Geliri")</f>
        <v/>
      </c>
      <c r="R214" s="3">
        <f>IF($N214="",0,$X214)</f>
        <v/>
      </c>
      <c r="S214" s="3" t="n">
        <v>0</v>
      </c>
      <c r="T214" s="3">
        <f>IF($N214="",10000000000,$N214*100000+$M214)</f>
        <v/>
      </c>
      <c r="U214" s="3">
        <f>$AB$6</f>
        <v/>
      </c>
      <c r="V214" s="3" t="n">
        <v>42</v>
      </c>
      <c r="W214" s="3">
        <f>IF($U214=0,"",IF(INDEX(UCRETLER!$D$7:$D$406,$U214)="","",IF(INDEX(UCRETLER!$F$7:$F$406,$U214)="Aylık",EOMONTH(INDEX(UCRETLER!$D$7:$D$406,$U214),$V214-1),INDEX(UCRETLER!$D$7:$D$406,$U214)+MOD(SISTEM!$F$8-WEEKDAY(INDEX(UCRETLER!$D$7:$D$406,$U214),2),7)+7*($V214-1))))</f>
        <v/>
      </c>
      <c r="X214" s="3">
        <f>IF($U214=0,0,INDEX(UCRETLER!$G$7:$G$406,$U214))</f>
        <v/>
      </c>
      <c r="Y214" s="3">
        <f>IFERROR(SMALL($T$12:$T$372,ROW()-11),"")</f>
        <v/>
      </c>
      <c r="Z214" s="3">
        <f>IFERROR(MATCH($Y214,$T$12:$T$372,0),"")</f>
        <v/>
      </c>
      <c r="AA214" s="3" t="n"/>
      <c r="AB214" s="3" t="n"/>
      <c r="AC214" s="3" t="n"/>
    </row>
    <row r="215">
      <c r="A215" s="6" t="n"/>
      <c r="B215" s="158">
        <f>IF($C215="","",ROW()-11)</f>
        <v/>
      </c>
      <c r="C215" s="247">
        <f>IF($Z215="","",IF(INDEX($N$12:$N$372,$Z215)="","",INDEX($N$12:$N$372,$Z215)))</f>
        <v/>
      </c>
      <c r="D215" s="29">
        <f>IF($C215="","",INDEX($O$12:$O$372,$Z215))</f>
        <v/>
      </c>
      <c r="E215" s="158">
        <f>IF($C215="","",INDEX($P$12:$P$372,$Z215))</f>
        <v/>
      </c>
      <c r="F215" s="29">
        <f>IF($C215="","",INDEX($Q$12:$Q$372,$Z215))</f>
        <v/>
      </c>
      <c r="G215" s="248">
        <f>IF($C215="","",INDEX($R$12:$R$372,$Z215))</f>
        <v/>
      </c>
      <c r="H215" s="248">
        <f>IF($C215="","",INDEX($S$12:$S$372,$Z215))</f>
        <v/>
      </c>
      <c r="I215" s="248">
        <f>IF($C215="","",N($I214)+$G215-$H215)</f>
        <v/>
      </c>
      <c r="J215" s="6" t="n"/>
      <c r="K215" s="6" t="n"/>
      <c r="L215" s="3" t="n"/>
      <c r="M215" s="3" t="n">
        <v>204</v>
      </c>
      <c r="N215" s="3">
        <f>IF(OR($U215=0,$W215="",$X215&lt;=0),"",IF($W215&gt;TODAY(),"",IF(AND(INDEX(UCRETLER!$E$7:$E$406,$U215)&lt;&gt;"",$W215&gt;INDEX(UCRETLER!$E$7:$E$406,$U215)),"",$W215)))</f>
        <v/>
      </c>
      <c r="O215" s="3">
        <f>IF($N215="","",IF(INDEX(UCRETLER!$F$7:$F$406,$U215)="Aylık",TEXT($N215,"mmmm yyyy")&amp;" aylık muhasebe hizmet ücreti",TEXT($N215,"dd.mm.yyyy")&amp;" haftalık muhasebe hizmet ücreti"))</f>
        <v/>
      </c>
      <c r="P215" s="3">
        <f>IF($N215="","","TAHAKKUK")</f>
        <v/>
      </c>
      <c r="Q215" s="3">
        <f>IF($N215="","","600 Muhasebe Hizmet Geliri")</f>
        <v/>
      </c>
      <c r="R215" s="3">
        <f>IF($N215="",0,$X215)</f>
        <v/>
      </c>
      <c r="S215" s="3" t="n">
        <v>0</v>
      </c>
      <c r="T215" s="3">
        <f>IF($N215="",10000000000,$N215*100000+$M215)</f>
        <v/>
      </c>
      <c r="U215" s="3">
        <f>$AB$6</f>
        <v/>
      </c>
      <c r="V215" s="3" t="n">
        <v>43</v>
      </c>
      <c r="W215" s="3">
        <f>IF($U215=0,"",IF(INDEX(UCRETLER!$D$7:$D$406,$U215)="","",IF(INDEX(UCRETLER!$F$7:$F$406,$U215)="Aylık",EOMONTH(INDEX(UCRETLER!$D$7:$D$406,$U215),$V215-1),INDEX(UCRETLER!$D$7:$D$406,$U215)+MOD(SISTEM!$F$8-WEEKDAY(INDEX(UCRETLER!$D$7:$D$406,$U215),2),7)+7*($V215-1))))</f>
        <v/>
      </c>
      <c r="X215" s="3">
        <f>IF($U215=0,0,INDEX(UCRETLER!$G$7:$G$406,$U215))</f>
        <v/>
      </c>
      <c r="Y215" s="3">
        <f>IFERROR(SMALL($T$12:$T$372,ROW()-11),"")</f>
        <v/>
      </c>
      <c r="Z215" s="3">
        <f>IFERROR(MATCH($Y215,$T$12:$T$372,0),"")</f>
        <v/>
      </c>
      <c r="AA215" s="3" t="n"/>
      <c r="AB215" s="3" t="n"/>
      <c r="AC215" s="3" t="n"/>
    </row>
    <row r="216">
      <c r="A216" s="6" t="n"/>
      <c r="B216" s="158">
        <f>IF($C216="","",ROW()-11)</f>
        <v/>
      </c>
      <c r="C216" s="247">
        <f>IF($Z216="","",IF(INDEX($N$12:$N$372,$Z216)="","",INDEX($N$12:$N$372,$Z216)))</f>
        <v/>
      </c>
      <c r="D216" s="29">
        <f>IF($C216="","",INDEX($O$12:$O$372,$Z216))</f>
        <v/>
      </c>
      <c r="E216" s="158">
        <f>IF($C216="","",INDEX($P$12:$P$372,$Z216))</f>
        <v/>
      </c>
      <c r="F216" s="29">
        <f>IF($C216="","",INDEX($Q$12:$Q$372,$Z216))</f>
        <v/>
      </c>
      <c r="G216" s="248">
        <f>IF($C216="","",INDEX($R$12:$R$372,$Z216))</f>
        <v/>
      </c>
      <c r="H216" s="248">
        <f>IF($C216="","",INDEX($S$12:$S$372,$Z216))</f>
        <v/>
      </c>
      <c r="I216" s="248">
        <f>IF($C216="","",N($I215)+$G216-$H216)</f>
        <v/>
      </c>
      <c r="J216" s="6" t="n"/>
      <c r="K216" s="6" t="n"/>
      <c r="L216" s="3" t="n"/>
      <c r="M216" s="3" t="n">
        <v>205</v>
      </c>
      <c r="N216" s="3">
        <f>IF(OR($U216=0,$W216="",$X216&lt;=0),"",IF($W216&gt;TODAY(),"",IF(AND(INDEX(UCRETLER!$E$7:$E$406,$U216)&lt;&gt;"",$W216&gt;INDEX(UCRETLER!$E$7:$E$406,$U216)),"",$W216)))</f>
        <v/>
      </c>
      <c r="O216" s="3">
        <f>IF($N216="","",IF(INDEX(UCRETLER!$F$7:$F$406,$U216)="Aylık",TEXT($N216,"mmmm yyyy")&amp;" aylık muhasebe hizmet ücreti",TEXT($N216,"dd.mm.yyyy")&amp;" haftalık muhasebe hizmet ücreti"))</f>
        <v/>
      </c>
      <c r="P216" s="3">
        <f>IF($N216="","","TAHAKKUK")</f>
        <v/>
      </c>
      <c r="Q216" s="3">
        <f>IF($N216="","","600 Muhasebe Hizmet Geliri")</f>
        <v/>
      </c>
      <c r="R216" s="3">
        <f>IF($N216="",0,$X216)</f>
        <v/>
      </c>
      <c r="S216" s="3" t="n">
        <v>0</v>
      </c>
      <c r="T216" s="3">
        <f>IF($N216="",10000000000,$N216*100000+$M216)</f>
        <v/>
      </c>
      <c r="U216" s="3">
        <f>$AB$6</f>
        <v/>
      </c>
      <c r="V216" s="3" t="n">
        <v>44</v>
      </c>
      <c r="W216" s="3">
        <f>IF($U216=0,"",IF(INDEX(UCRETLER!$D$7:$D$406,$U216)="","",IF(INDEX(UCRETLER!$F$7:$F$406,$U216)="Aylık",EOMONTH(INDEX(UCRETLER!$D$7:$D$406,$U216),$V216-1),INDEX(UCRETLER!$D$7:$D$406,$U216)+MOD(SISTEM!$F$8-WEEKDAY(INDEX(UCRETLER!$D$7:$D$406,$U216),2),7)+7*($V216-1))))</f>
        <v/>
      </c>
      <c r="X216" s="3">
        <f>IF($U216=0,0,INDEX(UCRETLER!$G$7:$G$406,$U216))</f>
        <v/>
      </c>
      <c r="Y216" s="3">
        <f>IFERROR(SMALL($T$12:$T$372,ROW()-11),"")</f>
        <v/>
      </c>
      <c r="Z216" s="3">
        <f>IFERROR(MATCH($Y216,$T$12:$T$372,0),"")</f>
        <v/>
      </c>
      <c r="AA216" s="3" t="n"/>
      <c r="AB216" s="3" t="n"/>
      <c r="AC216" s="3" t="n"/>
    </row>
    <row r="217">
      <c r="A217" s="6" t="n"/>
      <c r="B217" s="158">
        <f>IF($C217="","",ROW()-11)</f>
        <v/>
      </c>
      <c r="C217" s="247">
        <f>IF($Z217="","",IF(INDEX($N$12:$N$372,$Z217)="","",INDEX($N$12:$N$372,$Z217)))</f>
        <v/>
      </c>
      <c r="D217" s="29">
        <f>IF($C217="","",INDEX($O$12:$O$372,$Z217))</f>
        <v/>
      </c>
      <c r="E217" s="158">
        <f>IF($C217="","",INDEX($P$12:$P$372,$Z217))</f>
        <v/>
      </c>
      <c r="F217" s="29">
        <f>IF($C217="","",INDEX($Q$12:$Q$372,$Z217))</f>
        <v/>
      </c>
      <c r="G217" s="248">
        <f>IF($C217="","",INDEX($R$12:$R$372,$Z217))</f>
        <v/>
      </c>
      <c r="H217" s="248">
        <f>IF($C217="","",INDEX($S$12:$S$372,$Z217))</f>
        <v/>
      </c>
      <c r="I217" s="248">
        <f>IF($C217="","",N($I216)+$G217-$H217)</f>
        <v/>
      </c>
      <c r="J217" s="6" t="n"/>
      <c r="K217" s="6" t="n"/>
      <c r="L217" s="3" t="n"/>
      <c r="M217" s="3" t="n">
        <v>206</v>
      </c>
      <c r="N217" s="3">
        <f>IF(OR($U217=0,$W217="",$X217&lt;=0),"",IF($W217&gt;TODAY(),"",IF(AND(INDEX(UCRETLER!$E$7:$E$406,$U217)&lt;&gt;"",$W217&gt;INDEX(UCRETLER!$E$7:$E$406,$U217)),"",$W217)))</f>
        <v/>
      </c>
      <c r="O217" s="3">
        <f>IF($N217="","",IF(INDEX(UCRETLER!$F$7:$F$406,$U217)="Aylık",TEXT($N217,"mmmm yyyy")&amp;" aylık muhasebe hizmet ücreti",TEXT($N217,"dd.mm.yyyy")&amp;" haftalık muhasebe hizmet ücreti"))</f>
        <v/>
      </c>
      <c r="P217" s="3">
        <f>IF($N217="","","TAHAKKUK")</f>
        <v/>
      </c>
      <c r="Q217" s="3">
        <f>IF($N217="","","600 Muhasebe Hizmet Geliri")</f>
        <v/>
      </c>
      <c r="R217" s="3">
        <f>IF($N217="",0,$X217)</f>
        <v/>
      </c>
      <c r="S217" s="3" t="n">
        <v>0</v>
      </c>
      <c r="T217" s="3">
        <f>IF($N217="",10000000000,$N217*100000+$M217)</f>
        <v/>
      </c>
      <c r="U217" s="3">
        <f>$AB$6</f>
        <v/>
      </c>
      <c r="V217" s="3" t="n">
        <v>45</v>
      </c>
      <c r="W217" s="3">
        <f>IF($U217=0,"",IF(INDEX(UCRETLER!$D$7:$D$406,$U217)="","",IF(INDEX(UCRETLER!$F$7:$F$406,$U217)="Aylık",EOMONTH(INDEX(UCRETLER!$D$7:$D$406,$U217),$V217-1),INDEX(UCRETLER!$D$7:$D$406,$U217)+MOD(SISTEM!$F$8-WEEKDAY(INDEX(UCRETLER!$D$7:$D$406,$U217),2),7)+7*($V217-1))))</f>
        <v/>
      </c>
      <c r="X217" s="3">
        <f>IF($U217=0,0,INDEX(UCRETLER!$G$7:$G$406,$U217))</f>
        <v/>
      </c>
      <c r="Y217" s="3">
        <f>IFERROR(SMALL($T$12:$T$372,ROW()-11),"")</f>
        <v/>
      </c>
      <c r="Z217" s="3">
        <f>IFERROR(MATCH($Y217,$T$12:$T$372,0),"")</f>
        <v/>
      </c>
      <c r="AA217" s="3" t="n"/>
      <c r="AB217" s="3" t="n"/>
      <c r="AC217" s="3" t="n"/>
    </row>
    <row r="218">
      <c r="A218" s="6" t="n"/>
      <c r="B218" s="158">
        <f>IF($C218="","",ROW()-11)</f>
        <v/>
      </c>
      <c r="C218" s="247">
        <f>IF($Z218="","",IF(INDEX($N$12:$N$372,$Z218)="","",INDEX($N$12:$N$372,$Z218)))</f>
        <v/>
      </c>
      <c r="D218" s="29">
        <f>IF($C218="","",INDEX($O$12:$O$372,$Z218))</f>
        <v/>
      </c>
      <c r="E218" s="158">
        <f>IF($C218="","",INDEX($P$12:$P$372,$Z218))</f>
        <v/>
      </c>
      <c r="F218" s="29">
        <f>IF($C218="","",INDEX($Q$12:$Q$372,$Z218))</f>
        <v/>
      </c>
      <c r="G218" s="248">
        <f>IF($C218="","",INDEX($R$12:$R$372,$Z218))</f>
        <v/>
      </c>
      <c r="H218" s="248">
        <f>IF($C218="","",INDEX($S$12:$S$372,$Z218))</f>
        <v/>
      </c>
      <c r="I218" s="248">
        <f>IF($C218="","",N($I217)+$G218-$H218)</f>
        <v/>
      </c>
      <c r="J218" s="6" t="n"/>
      <c r="K218" s="6" t="n"/>
      <c r="L218" s="3" t="n"/>
      <c r="M218" s="3" t="n">
        <v>207</v>
      </c>
      <c r="N218" s="3">
        <f>IF(OR($U218=0,$W218="",$X218&lt;=0),"",IF($W218&gt;TODAY(),"",IF(AND(INDEX(UCRETLER!$E$7:$E$406,$U218)&lt;&gt;"",$W218&gt;INDEX(UCRETLER!$E$7:$E$406,$U218)),"",$W218)))</f>
        <v/>
      </c>
      <c r="O218" s="3">
        <f>IF($N218="","",IF(INDEX(UCRETLER!$F$7:$F$406,$U218)="Aylık",TEXT($N218,"mmmm yyyy")&amp;" aylık muhasebe hizmet ücreti",TEXT($N218,"dd.mm.yyyy")&amp;" haftalık muhasebe hizmet ücreti"))</f>
        <v/>
      </c>
      <c r="P218" s="3">
        <f>IF($N218="","","TAHAKKUK")</f>
        <v/>
      </c>
      <c r="Q218" s="3">
        <f>IF($N218="","","600 Muhasebe Hizmet Geliri")</f>
        <v/>
      </c>
      <c r="R218" s="3">
        <f>IF($N218="",0,$X218)</f>
        <v/>
      </c>
      <c r="S218" s="3" t="n">
        <v>0</v>
      </c>
      <c r="T218" s="3">
        <f>IF($N218="",10000000000,$N218*100000+$M218)</f>
        <v/>
      </c>
      <c r="U218" s="3">
        <f>$AB$6</f>
        <v/>
      </c>
      <c r="V218" s="3" t="n">
        <v>46</v>
      </c>
      <c r="W218" s="3">
        <f>IF($U218=0,"",IF(INDEX(UCRETLER!$D$7:$D$406,$U218)="","",IF(INDEX(UCRETLER!$F$7:$F$406,$U218)="Aylık",EOMONTH(INDEX(UCRETLER!$D$7:$D$406,$U218),$V218-1),INDEX(UCRETLER!$D$7:$D$406,$U218)+MOD(SISTEM!$F$8-WEEKDAY(INDEX(UCRETLER!$D$7:$D$406,$U218),2),7)+7*($V218-1))))</f>
        <v/>
      </c>
      <c r="X218" s="3">
        <f>IF($U218=0,0,INDEX(UCRETLER!$G$7:$G$406,$U218))</f>
        <v/>
      </c>
      <c r="Y218" s="3">
        <f>IFERROR(SMALL($T$12:$T$372,ROW()-11),"")</f>
        <v/>
      </c>
      <c r="Z218" s="3">
        <f>IFERROR(MATCH($Y218,$T$12:$T$372,0),"")</f>
        <v/>
      </c>
      <c r="AA218" s="3" t="n"/>
      <c r="AB218" s="3" t="n"/>
      <c r="AC218" s="3" t="n"/>
    </row>
    <row r="219">
      <c r="A219" s="6" t="n"/>
      <c r="B219" s="158">
        <f>IF($C219="","",ROW()-11)</f>
        <v/>
      </c>
      <c r="C219" s="247">
        <f>IF($Z219="","",IF(INDEX($N$12:$N$372,$Z219)="","",INDEX($N$12:$N$372,$Z219)))</f>
        <v/>
      </c>
      <c r="D219" s="29">
        <f>IF($C219="","",INDEX($O$12:$O$372,$Z219))</f>
        <v/>
      </c>
      <c r="E219" s="158">
        <f>IF($C219="","",INDEX($P$12:$P$372,$Z219))</f>
        <v/>
      </c>
      <c r="F219" s="29">
        <f>IF($C219="","",INDEX($Q$12:$Q$372,$Z219))</f>
        <v/>
      </c>
      <c r="G219" s="248">
        <f>IF($C219="","",INDEX($R$12:$R$372,$Z219))</f>
        <v/>
      </c>
      <c r="H219" s="248">
        <f>IF($C219="","",INDEX($S$12:$S$372,$Z219))</f>
        <v/>
      </c>
      <c r="I219" s="248">
        <f>IF($C219="","",N($I218)+$G219-$H219)</f>
        <v/>
      </c>
      <c r="J219" s="6" t="n"/>
      <c r="K219" s="6" t="n"/>
      <c r="L219" s="3" t="n"/>
      <c r="M219" s="3" t="n">
        <v>208</v>
      </c>
      <c r="N219" s="3">
        <f>IF(OR($U219=0,$W219="",$X219&lt;=0),"",IF($W219&gt;TODAY(),"",IF(AND(INDEX(UCRETLER!$E$7:$E$406,$U219)&lt;&gt;"",$W219&gt;INDEX(UCRETLER!$E$7:$E$406,$U219)),"",$W219)))</f>
        <v/>
      </c>
      <c r="O219" s="3">
        <f>IF($N219="","",IF(INDEX(UCRETLER!$F$7:$F$406,$U219)="Aylık",TEXT($N219,"mmmm yyyy")&amp;" aylık muhasebe hizmet ücreti",TEXT($N219,"dd.mm.yyyy")&amp;" haftalık muhasebe hizmet ücreti"))</f>
        <v/>
      </c>
      <c r="P219" s="3">
        <f>IF($N219="","","TAHAKKUK")</f>
        <v/>
      </c>
      <c r="Q219" s="3">
        <f>IF($N219="","","600 Muhasebe Hizmet Geliri")</f>
        <v/>
      </c>
      <c r="R219" s="3">
        <f>IF($N219="",0,$X219)</f>
        <v/>
      </c>
      <c r="S219" s="3" t="n">
        <v>0</v>
      </c>
      <c r="T219" s="3">
        <f>IF($N219="",10000000000,$N219*100000+$M219)</f>
        <v/>
      </c>
      <c r="U219" s="3">
        <f>$AB$6</f>
        <v/>
      </c>
      <c r="V219" s="3" t="n">
        <v>47</v>
      </c>
      <c r="W219" s="3">
        <f>IF($U219=0,"",IF(INDEX(UCRETLER!$D$7:$D$406,$U219)="","",IF(INDEX(UCRETLER!$F$7:$F$406,$U219)="Aylık",EOMONTH(INDEX(UCRETLER!$D$7:$D$406,$U219),$V219-1),INDEX(UCRETLER!$D$7:$D$406,$U219)+MOD(SISTEM!$F$8-WEEKDAY(INDEX(UCRETLER!$D$7:$D$406,$U219),2),7)+7*($V219-1))))</f>
        <v/>
      </c>
      <c r="X219" s="3">
        <f>IF($U219=0,0,INDEX(UCRETLER!$G$7:$G$406,$U219))</f>
        <v/>
      </c>
      <c r="Y219" s="3">
        <f>IFERROR(SMALL($T$12:$T$372,ROW()-11),"")</f>
        <v/>
      </c>
      <c r="Z219" s="3">
        <f>IFERROR(MATCH($Y219,$T$12:$T$372,0),"")</f>
        <v/>
      </c>
      <c r="AA219" s="3" t="n"/>
      <c r="AB219" s="3" t="n"/>
      <c r="AC219" s="3" t="n"/>
    </row>
    <row r="220">
      <c r="A220" s="6" t="n"/>
      <c r="B220" s="158">
        <f>IF($C220="","",ROW()-11)</f>
        <v/>
      </c>
      <c r="C220" s="247">
        <f>IF($Z220="","",IF(INDEX($N$12:$N$372,$Z220)="","",INDEX($N$12:$N$372,$Z220)))</f>
        <v/>
      </c>
      <c r="D220" s="29">
        <f>IF($C220="","",INDEX($O$12:$O$372,$Z220))</f>
        <v/>
      </c>
      <c r="E220" s="158">
        <f>IF($C220="","",INDEX($P$12:$P$372,$Z220))</f>
        <v/>
      </c>
      <c r="F220" s="29">
        <f>IF($C220="","",INDEX($Q$12:$Q$372,$Z220))</f>
        <v/>
      </c>
      <c r="G220" s="248">
        <f>IF($C220="","",INDEX($R$12:$R$372,$Z220))</f>
        <v/>
      </c>
      <c r="H220" s="248">
        <f>IF($C220="","",INDEX($S$12:$S$372,$Z220))</f>
        <v/>
      </c>
      <c r="I220" s="248">
        <f>IF($C220="","",N($I219)+$G220-$H220)</f>
        <v/>
      </c>
      <c r="J220" s="6" t="n"/>
      <c r="K220" s="6" t="n"/>
      <c r="L220" s="3" t="n"/>
      <c r="M220" s="3" t="n">
        <v>209</v>
      </c>
      <c r="N220" s="3">
        <f>IF(OR($U220=0,$W220="",$X220&lt;=0),"",IF($W220&gt;TODAY(),"",IF(AND(INDEX(UCRETLER!$E$7:$E$406,$U220)&lt;&gt;"",$W220&gt;INDEX(UCRETLER!$E$7:$E$406,$U220)),"",$W220)))</f>
        <v/>
      </c>
      <c r="O220" s="3">
        <f>IF($N220="","",IF(INDEX(UCRETLER!$F$7:$F$406,$U220)="Aylık",TEXT($N220,"mmmm yyyy")&amp;" aylık muhasebe hizmet ücreti",TEXT($N220,"dd.mm.yyyy")&amp;" haftalık muhasebe hizmet ücreti"))</f>
        <v/>
      </c>
      <c r="P220" s="3">
        <f>IF($N220="","","TAHAKKUK")</f>
        <v/>
      </c>
      <c r="Q220" s="3">
        <f>IF($N220="","","600 Muhasebe Hizmet Geliri")</f>
        <v/>
      </c>
      <c r="R220" s="3">
        <f>IF($N220="",0,$X220)</f>
        <v/>
      </c>
      <c r="S220" s="3" t="n">
        <v>0</v>
      </c>
      <c r="T220" s="3">
        <f>IF($N220="",10000000000,$N220*100000+$M220)</f>
        <v/>
      </c>
      <c r="U220" s="3">
        <f>$AB$6</f>
        <v/>
      </c>
      <c r="V220" s="3" t="n">
        <v>48</v>
      </c>
      <c r="W220" s="3">
        <f>IF($U220=0,"",IF(INDEX(UCRETLER!$D$7:$D$406,$U220)="","",IF(INDEX(UCRETLER!$F$7:$F$406,$U220)="Aylık",EOMONTH(INDEX(UCRETLER!$D$7:$D$406,$U220),$V220-1),INDEX(UCRETLER!$D$7:$D$406,$U220)+MOD(SISTEM!$F$8-WEEKDAY(INDEX(UCRETLER!$D$7:$D$406,$U220),2),7)+7*($V220-1))))</f>
        <v/>
      </c>
      <c r="X220" s="3">
        <f>IF($U220=0,0,INDEX(UCRETLER!$G$7:$G$406,$U220))</f>
        <v/>
      </c>
      <c r="Y220" s="3">
        <f>IFERROR(SMALL($T$12:$T$372,ROW()-11),"")</f>
        <v/>
      </c>
      <c r="Z220" s="3">
        <f>IFERROR(MATCH($Y220,$T$12:$T$372,0),"")</f>
        <v/>
      </c>
      <c r="AA220" s="3" t="n"/>
      <c r="AB220" s="3" t="n"/>
      <c r="AC220" s="3" t="n"/>
    </row>
    <row r="221">
      <c r="A221" s="6" t="n"/>
      <c r="B221" s="158">
        <f>IF($C221="","",ROW()-11)</f>
        <v/>
      </c>
      <c r="C221" s="247">
        <f>IF($Z221="","",IF(INDEX($N$12:$N$372,$Z221)="","",INDEX($N$12:$N$372,$Z221)))</f>
        <v/>
      </c>
      <c r="D221" s="29">
        <f>IF($C221="","",INDEX($O$12:$O$372,$Z221))</f>
        <v/>
      </c>
      <c r="E221" s="158">
        <f>IF($C221="","",INDEX($P$12:$P$372,$Z221))</f>
        <v/>
      </c>
      <c r="F221" s="29">
        <f>IF($C221="","",INDEX($Q$12:$Q$372,$Z221))</f>
        <v/>
      </c>
      <c r="G221" s="248">
        <f>IF($C221="","",INDEX($R$12:$R$372,$Z221))</f>
        <v/>
      </c>
      <c r="H221" s="248">
        <f>IF($C221="","",INDEX($S$12:$S$372,$Z221))</f>
        <v/>
      </c>
      <c r="I221" s="248">
        <f>IF($C221="","",N($I220)+$G221-$H221)</f>
        <v/>
      </c>
      <c r="J221" s="6" t="n"/>
      <c r="K221" s="6" t="n"/>
      <c r="L221" s="3" t="n"/>
      <c r="M221" s="3" t="n">
        <v>210</v>
      </c>
      <c r="N221" s="3">
        <f>IF(OR($U221=0,$W221="",$X221&lt;=0),"",IF($W221&gt;TODAY(),"",IF(AND(INDEX(UCRETLER!$E$7:$E$406,$U221)&lt;&gt;"",$W221&gt;INDEX(UCRETLER!$E$7:$E$406,$U221)),"",$W221)))</f>
        <v/>
      </c>
      <c r="O221" s="3">
        <f>IF($N221="","",IF(INDEX(UCRETLER!$F$7:$F$406,$U221)="Aylık",TEXT($N221,"mmmm yyyy")&amp;" aylık muhasebe hizmet ücreti",TEXT($N221,"dd.mm.yyyy")&amp;" haftalık muhasebe hizmet ücreti"))</f>
        <v/>
      </c>
      <c r="P221" s="3">
        <f>IF($N221="","","TAHAKKUK")</f>
        <v/>
      </c>
      <c r="Q221" s="3">
        <f>IF($N221="","","600 Muhasebe Hizmet Geliri")</f>
        <v/>
      </c>
      <c r="R221" s="3">
        <f>IF($N221="",0,$X221)</f>
        <v/>
      </c>
      <c r="S221" s="3" t="n">
        <v>0</v>
      </c>
      <c r="T221" s="3">
        <f>IF($N221="",10000000000,$N221*100000+$M221)</f>
        <v/>
      </c>
      <c r="U221" s="3">
        <f>$AB$6</f>
        <v/>
      </c>
      <c r="V221" s="3" t="n">
        <v>49</v>
      </c>
      <c r="W221" s="3">
        <f>IF($U221=0,"",IF(INDEX(UCRETLER!$D$7:$D$406,$U221)="","",IF(INDEX(UCRETLER!$F$7:$F$406,$U221)="Aylık",EOMONTH(INDEX(UCRETLER!$D$7:$D$406,$U221),$V221-1),INDEX(UCRETLER!$D$7:$D$406,$U221)+MOD(SISTEM!$F$8-WEEKDAY(INDEX(UCRETLER!$D$7:$D$406,$U221),2),7)+7*($V221-1))))</f>
        <v/>
      </c>
      <c r="X221" s="3">
        <f>IF($U221=0,0,INDEX(UCRETLER!$G$7:$G$406,$U221))</f>
        <v/>
      </c>
      <c r="Y221" s="3">
        <f>IFERROR(SMALL($T$12:$T$372,ROW()-11),"")</f>
        <v/>
      </c>
      <c r="Z221" s="3">
        <f>IFERROR(MATCH($Y221,$T$12:$T$372,0),"")</f>
        <v/>
      </c>
      <c r="AA221" s="3" t="n"/>
      <c r="AB221" s="3" t="n"/>
      <c r="AC221" s="3" t="n"/>
    </row>
    <row r="222">
      <c r="A222" s="6" t="n"/>
      <c r="B222" s="158">
        <f>IF($C222="","",ROW()-11)</f>
        <v/>
      </c>
      <c r="C222" s="247">
        <f>IF($Z222="","",IF(INDEX($N$12:$N$372,$Z222)="","",INDEX($N$12:$N$372,$Z222)))</f>
        <v/>
      </c>
      <c r="D222" s="29">
        <f>IF($C222="","",INDEX($O$12:$O$372,$Z222))</f>
        <v/>
      </c>
      <c r="E222" s="158">
        <f>IF($C222="","",INDEX($P$12:$P$372,$Z222))</f>
        <v/>
      </c>
      <c r="F222" s="29">
        <f>IF($C222="","",INDEX($Q$12:$Q$372,$Z222))</f>
        <v/>
      </c>
      <c r="G222" s="248">
        <f>IF($C222="","",INDEX($R$12:$R$372,$Z222))</f>
        <v/>
      </c>
      <c r="H222" s="248">
        <f>IF($C222="","",INDEX($S$12:$S$372,$Z222))</f>
        <v/>
      </c>
      <c r="I222" s="248">
        <f>IF($C222="","",N($I221)+$G222-$H222)</f>
        <v/>
      </c>
      <c r="J222" s="6" t="n"/>
      <c r="K222" s="6" t="n"/>
      <c r="L222" s="3" t="n"/>
      <c r="M222" s="3" t="n">
        <v>211</v>
      </c>
      <c r="N222" s="3">
        <f>IF(OR($U222=0,$W222="",$X222&lt;=0),"",IF($W222&gt;TODAY(),"",IF(AND(INDEX(UCRETLER!$E$7:$E$406,$U222)&lt;&gt;"",$W222&gt;INDEX(UCRETLER!$E$7:$E$406,$U222)),"",$W222)))</f>
        <v/>
      </c>
      <c r="O222" s="3">
        <f>IF($N222="","",IF(INDEX(UCRETLER!$F$7:$F$406,$U222)="Aylık",TEXT($N222,"mmmm yyyy")&amp;" aylık muhasebe hizmet ücreti",TEXT($N222,"dd.mm.yyyy")&amp;" haftalık muhasebe hizmet ücreti"))</f>
        <v/>
      </c>
      <c r="P222" s="3">
        <f>IF($N222="","","TAHAKKUK")</f>
        <v/>
      </c>
      <c r="Q222" s="3">
        <f>IF($N222="","","600 Muhasebe Hizmet Geliri")</f>
        <v/>
      </c>
      <c r="R222" s="3">
        <f>IF($N222="",0,$X222)</f>
        <v/>
      </c>
      <c r="S222" s="3" t="n">
        <v>0</v>
      </c>
      <c r="T222" s="3">
        <f>IF($N222="",10000000000,$N222*100000+$M222)</f>
        <v/>
      </c>
      <c r="U222" s="3">
        <f>$AB$6</f>
        <v/>
      </c>
      <c r="V222" s="3" t="n">
        <v>50</v>
      </c>
      <c r="W222" s="3">
        <f>IF($U222=0,"",IF(INDEX(UCRETLER!$D$7:$D$406,$U222)="","",IF(INDEX(UCRETLER!$F$7:$F$406,$U222)="Aylık",EOMONTH(INDEX(UCRETLER!$D$7:$D$406,$U222),$V222-1),INDEX(UCRETLER!$D$7:$D$406,$U222)+MOD(SISTEM!$F$8-WEEKDAY(INDEX(UCRETLER!$D$7:$D$406,$U222),2),7)+7*($V222-1))))</f>
        <v/>
      </c>
      <c r="X222" s="3">
        <f>IF($U222=0,0,INDEX(UCRETLER!$G$7:$G$406,$U222))</f>
        <v/>
      </c>
      <c r="Y222" s="3">
        <f>IFERROR(SMALL($T$12:$T$372,ROW()-11),"")</f>
        <v/>
      </c>
      <c r="Z222" s="3">
        <f>IFERROR(MATCH($Y222,$T$12:$T$372,0),"")</f>
        <v/>
      </c>
      <c r="AA222" s="3" t="n"/>
      <c r="AB222" s="3" t="n"/>
      <c r="AC222" s="3" t="n"/>
    </row>
    <row r="223">
      <c r="A223" s="6" t="n"/>
      <c r="B223" s="158">
        <f>IF($C223="","",ROW()-11)</f>
        <v/>
      </c>
      <c r="C223" s="247">
        <f>IF($Z223="","",IF(INDEX($N$12:$N$372,$Z223)="","",INDEX($N$12:$N$372,$Z223)))</f>
        <v/>
      </c>
      <c r="D223" s="29">
        <f>IF($C223="","",INDEX($O$12:$O$372,$Z223))</f>
        <v/>
      </c>
      <c r="E223" s="158">
        <f>IF($C223="","",INDEX($P$12:$P$372,$Z223))</f>
        <v/>
      </c>
      <c r="F223" s="29">
        <f>IF($C223="","",INDEX($Q$12:$Q$372,$Z223))</f>
        <v/>
      </c>
      <c r="G223" s="248">
        <f>IF($C223="","",INDEX($R$12:$R$372,$Z223))</f>
        <v/>
      </c>
      <c r="H223" s="248">
        <f>IF($C223="","",INDEX($S$12:$S$372,$Z223))</f>
        <v/>
      </c>
      <c r="I223" s="248">
        <f>IF($C223="","",N($I222)+$G223-$H223)</f>
        <v/>
      </c>
      <c r="J223" s="6" t="n"/>
      <c r="K223" s="6" t="n"/>
      <c r="L223" s="3" t="n"/>
      <c r="M223" s="3" t="n">
        <v>212</v>
      </c>
      <c r="N223" s="3">
        <f>IF(OR($U223=0,$W223="",$X223&lt;=0),"",IF($W223&gt;TODAY(),"",IF(AND(INDEX(UCRETLER!$E$7:$E$406,$U223)&lt;&gt;"",$W223&gt;INDEX(UCRETLER!$E$7:$E$406,$U223)),"",$W223)))</f>
        <v/>
      </c>
      <c r="O223" s="3">
        <f>IF($N223="","",IF(INDEX(UCRETLER!$F$7:$F$406,$U223)="Aylık",TEXT($N223,"mmmm yyyy")&amp;" aylık muhasebe hizmet ücreti",TEXT($N223,"dd.mm.yyyy")&amp;" haftalık muhasebe hizmet ücreti"))</f>
        <v/>
      </c>
      <c r="P223" s="3">
        <f>IF($N223="","","TAHAKKUK")</f>
        <v/>
      </c>
      <c r="Q223" s="3">
        <f>IF($N223="","","600 Muhasebe Hizmet Geliri")</f>
        <v/>
      </c>
      <c r="R223" s="3">
        <f>IF($N223="",0,$X223)</f>
        <v/>
      </c>
      <c r="S223" s="3" t="n">
        <v>0</v>
      </c>
      <c r="T223" s="3">
        <f>IF($N223="",10000000000,$N223*100000+$M223)</f>
        <v/>
      </c>
      <c r="U223" s="3">
        <f>$AB$6</f>
        <v/>
      </c>
      <c r="V223" s="3" t="n">
        <v>51</v>
      </c>
      <c r="W223" s="3">
        <f>IF($U223=0,"",IF(INDEX(UCRETLER!$D$7:$D$406,$U223)="","",IF(INDEX(UCRETLER!$F$7:$F$406,$U223)="Aylık",EOMONTH(INDEX(UCRETLER!$D$7:$D$406,$U223),$V223-1),INDEX(UCRETLER!$D$7:$D$406,$U223)+MOD(SISTEM!$F$8-WEEKDAY(INDEX(UCRETLER!$D$7:$D$406,$U223),2),7)+7*($V223-1))))</f>
        <v/>
      </c>
      <c r="X223" s="3">
        <f>IF($U223=0,0,INDEX(UCRETLER!$G$7:$G$406,$U223))</f>
        <v/>
      </c>
      <c r="Y223" s="3">
        <f>IFERROR(SMALL($T$12:$T$372,ROW()-11),"")</f>
        <v/>
      </c>
      <c r="Z223" s="3">
        <f>IFERROR(MATCH($Y223,$T$12:$T$372,0),"")</f>
        <v/>
      </c>
      <c r="AA223" s="3" t="n"/>
      <c r="AB223" s="3" t="n"/>
      <c r="AC223" s="3" t="n"/>
    </row>
    <row r="224">
      <c r="A224" s="6" t="n"/>
      <c r="B224" s="158">
        <f>IF($C224="","",ROW()-11)</f>
        <v/>
      </c>
      <c r="C224" s="247">
        <f>IF($Z224="","",IF(INDEX($N$12:$N$372,$Z224)="","",INDEX($N$12:$N$372,$Z224)))</f>
        <v/>
      </c>
      <c r="D224" s="29">
        <f>IF($C224="","",INDEX($O$12:$O$372,$Z224))</f>
        <v/>
      </c>
      <c r="E224" s="158">
        <f>IF($C224="","",INDEX($P$12:$P$372,$Z224))</f>
        <v/>
      </c>
      <c r="F224" s="29">
        <f>IF($C224="","",INDEX($Q$12:$Q$372,$Z224))</f>
        <v/>
      </c>
      <c r="G224" s="248">
        <f>IF($C224="","",INDEX($R$12:$R$372,$Z224))</f>
        <v/>
      </c>
      <c r="H224" s="248">
        <f>IF($C224="","",INDEX($S$12:$S$372,$Z224))</f>
        <v/>
      </c>
      <c r="I224" s="248">
        <f>IF($C224="","",N($I223)+$G224-$H224)</f>
        <v/>
      </c>
      <c r="J224" s="6" t="n"/>
      <c r="K224" s="6" t="n"/>
      <c r="L224" s="3" t="n"/>
      <c r="M224" s="3" t="n">
        <v>213</v>
      </c>
      <c r="N224" s="3">
        <f>IF(OR($U224=0,$W224="",$X224&lt;=0),"",IF($W224&gt;TODAY(),"",IF(AND(INDEX(UCRETLER!$E$7:$E$406,$U224)&lt;&gt;"",$W224&gt;INDEX(UCRETLER!$E$7:$E$406,$U224)),"",$W224)))</f>
        <v/>
      </c>
      <c r="O224" s="3">
        <f>IF($N224="","",IF(INDEX(UCRETLER!$F$7:$F$406,$U224)="Aylık",TEXT($N224,"mmmm yyyy")&amp;" aylık muhasebe hizmet ücreti",TEXT($N224,"dd.mm.yyyy")&amp;" haftalık muhasebe hizmet ücreti"))</f>
        <v/>
      </c>
      <c r="P224" s="3">
        <f>IF($N224="","","TAHAKKUK")</f>
        <v/>
      </c>
      <c r="Q224" s="3">
        <f>IF($N224="","","600 Muhasebe Hizmet Geliri")</f>
        <v/>
      </c>
      <c r="R224" s="3">
        <f>IF($N224="",0,$X224)</f>
        <v/>
      </c>
      <c r="S224" s="3" t="n">
        <v>0</v>
      </c>
      <c r="T224" s="3">
        <f>IF($N224="",10000000000,$N224*100000+$M224)</f>
        <v/>
      </c>
      <c r="U224" s="3">
        <f>$AB$6</f>
        <v/>
      </c>
      <c r="V224" s="3" t="n">
        <v>52</v>
      </c>
      <c r="W224" s="3">
        <f>IF($U224=0,"",IF(INDEX(UCRETLER!$D$7:$D$406,$U224)="","",IF(INDEX(UCRETLER!$F$7:$F$406,$U224)="Aylık",EOMONTH(INDEX(UCRETLER!$D$7:$D$406,$U224),$V224-1),INDEX(UCRETLER!$D$7:$D$406,$U224)+MOD(SISTEM!$F$8-WEEKDAY(INDEX(UCRETLER!$D$7:$D$406,$U224),2),7)+7*($V224-1))))</f>
        <v/>
      </c>
      <c r="X224" s="3">
        <f>IF($U224=0,0,INDEX(UCRETLER!$G$7:$G$406,$U224))</f>
        <v/>
      </c>
      <c r="Y224" s="3">
        <f>IFERROR(SMALL($T$12:$T$372,ROW()-11),"")</f>
        <v/>
      </c>
      <c r="Z224" s="3">
        <f>IFERROR(MATCH($Y224,$T$12:$T$372,0),"")</f>
        <v/>
      </c>
      <c r="AA224" s="3" t="n"/>
      <c r="AB224" s="3" t="n"/>
      <c r="AC224" s="3" t="n"/>
    </row>
    <row r="225">
      <c r="A225" s="6" t="n"/>
      <c r="B225" s="158">
        <f>IF($C225="","",ROW()-11)</f>
        <v/>
      </c>
      <c r="C225" s="247">
        <f>IF($Z225="","",IF(INDEX($N$12:$N$372,$Z225)="","",INDEX($N$12:$N$372,$Z225)))</f>
        <v/>
      </c>
      <c r="D225" s="29">
        <f>IF($C225="","",INDEX($O$12:$O$372,$Z225))</f>
        <v/>
      </c>
      <c r="E225" s="158">
        <f>IF($C225="","",INDEX($P$12:$P$372,$Z225))</f>
        <v/>
      </c>
      <c r="F225" s="29">
        <f>IF($C225="","",INDEX($Q$12:$Q$372,$Z225))</f>
        <v/>
      </c>
      <c r="G225" s="248">
        <f>IF($C225="","",INDEX($R$12:$R$372,$Z225))</f>
        <v/>
      </c>
      <c r="H225" s="248">
        <f>IF($C225="","",INDEX($S$12:$S$372,$Z225))</f>
        <v/>
      </c>
      <c r="I225" s="248">
        <f>IF($C225="","",N($I224)+$G225-$H225)</f>
        <v/>
      </c>
      <c r="J225" s="6" t="n"/>
      <c r="K225" s="6" t="n"/>
      <c r="L225" s="3" t="n"/>
      <c r="M225" s="3" t="n">
        <v>214</v>
      </c>
      <c r="N225" s="3">
        <f>IF(OR($U225=0,$W225="",$X225&lt;=0),"",IF($W225&gt;TODAY(),"",IF(AND(INDEX(UCRETLER!$E$7:$E$406,$U225)&lt;&gt;"",$W225&gt;INDEX(UCRETLER!$E$7:$E$406,$U225)),"",$W225)))</f>
        <v/>
      </c>
      <c r="O225" s="3">
        <f>IF($N225="","",IF(INDEX(UCRETLER!$F$7:$F$406,$U225)="Aylık",TEXT($N225,"mmmm yyyy")&amp;" aylık muhasebe hizmet ücreti",TEXT($N225,"dd.mm.yyyy")&amp;" haftalık muhasebe hizmet ücreti"))</f>
        <v/>
      </c>
      <c r="P225" s="3">
        <f>IF($N225="","","TAHAKKUK")</f>
        <v/>
      </c>
      <c r="Q225" s="3">
        <f>IF($N225="","","600 Muhasebe Hizmet Geliri")</f>
        <v/>
      </c>
      <c r="R225" s="3">
        <f>IF($N225="",0,$X225)</f>
        <v/>
      </c>
      <c r="S225" s="3" t="n">
        <v>0</v>
      </c>
      <c r="T225" s="3">
        <f>IF($N225="",10000000000,$N225*100000+$M225)</f>
        <v/>
      </c>
      <c r="U225" s="3">
        <f>$AB$6</f>
        <v/>
      </c>
      <c r="V225" s="3" t="n">
        <v>53</v>
      </c>
      <c r="W225" s="3">
        <f>IF($U225=0,"",IF(INDEX(UCRETLER!$D$7:$D$406,$U225)="","",IF(INDEX(UCRETLER!$F$7:$F$406,$U225)="Aylık",EOMONTH(INDEX(UCRETLER!$D$7:$D$406,$U225),$V225-1),INDEX(UCRETLER!$D$7:$D$406,$U225)+MOD(SISTEM!$F$8-WEEKDAY(INDEX(UCRETLER!$D$7:$D$406,$U225),2),7)+7*($V225-1))))</f>
        <v/>
      </c>
      <c r="X225" s="3">
        <f>IF($U225=0,0,INDEX(UCRETLER!$G$7:$G$406,$U225))</f>
        <v/>
      </c>
      <c r="Y225" s="3">
        <f>IFERROR(SMALL($T$12:$T$372,ROW()-11),"")</f>
        <v/>
      </c>
      <c r="Z225" s="3">
        <f>IFERROR(MATCH($Y225,$T$12:$T$372,0),"")</f>
        <v/>
      </c>
      <c r="AA225" s="3" t="n"/>
      <c r="AB225" s="3" t="n"/>
      <c r="AC225" s="3" t="n"/>
    </row>
    <row r="226">
      <c r="A226" s="6" t="n"/>
      <c r="B226" s="158">
        <f>IF($C226="","",ROW()-11)</f>
        <v/>
      </c>
      <c r="C226" s="247">
        <f>IF($Z226="","",IF(INDEX($N$12:$N$372,$Z226)="","",INDEX($N$12:$N$372,$Z226)))</f>
        <v/>
      </c>
      <c r="D226" s="29">
        <f>IF($C226="","",INDEX($O$12:$O$372,$Z226))</f>
        <v/>
      </c>
      <c r="E226" s="158">
        <f>IF($C226="","",INDEX($P$12:$P$372,$Z226))</f>
        <v/>
      </c>
      <c r="F226" s="29">
        <f>IF($C226="","",INDEX($Q$12:$Q$372,$Z226))</f>
        <v/>
      </c>
      <c r="G226" s="248">
        <f>IF($C226="","",INDEX($R$12:$R$372,$Z226))</f>
        <v/>
      </c>
      <c r="H226" s="248">
        <f>IF($C226="","",INDEX($S$12:$S$372,$Z226))</f>
        <v/>
      </c>
      <c r="I226" s="248">
        <f>IF($C226="","",N($I225)+$G226-$H226)</f>
        <v/>
      </c>
      <c r="J226" s="6" t="n"/>
      <c r="K226" s="6" t="n"/>
      <c r="L226" s="3" t="n"/>
      <c r="M226" s="3" t="n">
        <v>215</v>
      </c>
      <c r="N226" s="3">
        <f>IF(OR($U226=0,$W226="",$X226&lt;=0),"",IF($W226&gt;TODAY(),"",IF(AND(INDEX(UCRETLER!$E$7:$E$406,$U226)&lt;&gt;"",$W226&gt;INDEX(UCRETLER!$E$7:$E$406,$U226)),"",$W226)))</f>
        <v/>
      </c>
      <c r="O226" s="3">
        <f>IF($N226="","",IF(INDEX(UCRETLER!$F$7:$F$406,$U226)="Aylık",TEXT($N226,"mmmm yyyy")&amp;" aylık muhasebe hizmet ücreti",TEXT($N226,"dd.mm.yyyy")&amp;" haftalık muhasebe hizmet ücreti"))</f>
        <v/>
      </c>
      <c r="P226" s="3">
        <f>IF($N226="","","TAHAKKUK")</f>
        <v/>
      </c>
      <c r="Q226" s="3">
        <f>IF($N226="","","600 Muhasebe Hizmet Geliri")</f>
        <v/>
      </c>
      <c r="R226" s="3">
        <f>IF($N226="",0,$X226)</f>
        <v/>
      </c>
      <c r="S226" s="3" t="n">
        <v>0</v>
      </c>
      <c r="T226" s="3">
        <f>IF($N226="",10000000000,$N226*100000+$M226)</f>
        <v/>
      </c>
      <c r="U226" s="3">
        <f>$AB$6</f>
        <v/>
      </c>
      <c r="V226" s="3" t="n">
        <v>54</v>
      </c>
      <c r="W226" s="3">
        <f>IF($U226=0,"",IF(INDEX(UCRETLER!$D$7:$D$406,$U226)="","",IF(INDEX(UCRETLER!$F$7:$F$406,$U226)="Aylık",EOMONTH(INDEX(UCRETLER!$D$7:$D$406,$U226),$V226-1),INDEX(UCRETLER!$D$7:$D$406,$U226)+MOD(SISTEM!$F$8-WEEKDAY(INDEX(UCRETLER!$D$7:$D$406,$U226),2),7)+7*($V226-1))))</f>
        <v/>
      </c>
      <c r="X226" s="3">
        <f>IF($U226=0,0,INDEX(UCRETLER!$G$7:$G$406,$U226))</f>
        <v/>
      </c>
      <c r="Y226" s="3">
        <f>IFERROR(SMALL($T$12:$T$372,ROW()-11),"")</f>
        <v/>
      </c>
      <c r="Z226" s="3">
        <f>IFERROR(MATCH($Y226,$T$12:$T$372,0),"")</f>
        <v/>
      </c>
      <c r="AA226" s="3" t="n"/>
      <c r="AB226" s="3" t="n"/>
      <c r="AC226" s="3" t="n"/>
    </row>
    <row r="227">
      <c r="A227" s="6" t="n"/>
      <c r="B227" s="158">
        <f>IF($C227="","",ROW()-11)</f>
        <v/>
      </c>
      <c r="C227" s="247">
        <f>IF($Z227="","",IF(INDEX($N$12:$N$372,$Z227)="","",INDEX($N$12:$N$372,$Z227)))</f>
        <v/>
      </c>
      <c r="D227" s="29">
        <f>IF($C227="","",INDEX($O$12:$O$372,$Z227))</f>
        <v/>
      </c>
      <c r="E227" s="158">
        <f>IF($C227="","",INDEX($P$12:$P$372,$Z227))</f>
        <v/>
      </c>
      <c r="F227" s="29">
        <f>IF($C227="","",INDEX($Q$12:$Q$372,$Z227))</f>
        <v/>
      </c>
      <c r="G227" s="248">
        <f>IF($C227="","",INDEX($R$12:$R$372,$Z227))</f>
        <v/>
      </c>
      <c r="H227" s="248">
        <f>IF($C227="","",INDEX($S$12:$S$372,$Z227))</f>
        <v/>
      </c>
      <c r="I227" s="248">
        <f>IF($C227="","",N($I226)+$G227-$H227)</f>
        <v/>
      </c>
      <c r="J227" s="6" t="n"/>
      <c r="K227" s="6" t="n"/>
      <c r="L227" s="3" t="n"/>
      <c r="M227" s="3" t="n">
        <v>216</v>
      </c>
      <c r="N227" s="3">
        <f>IF(OR($U227=0,$W227="",$X227&lt;=0),"",IF($W227&gt;TODAY(),"",IF(AND(INDEX(UCRETLER!$E$7:$E$406,$U227)&lt;&gt;"",$W227&gt;INDEX(UCRETLER!$E$7:$E$406,$U227)),"",$W227)))</f>
        <v/>
      </c>
      <c r="O227" s="3">
        <f>IF($N227="","",IF(INDEX(UCRETLER!$F$7:$F$406,$U227)="Aylık",TEXT($N227,"mmmm yyyy")&amp;" aylık muhasebe hizmet ücreti",TEXT($N227,"dd.mm.yyyy")&amp;" haftalık muhasebe hizmet ücreti"))</f>
        <v/>
      </c>
      <c r="P227" s="3">
        <f>IF($N227="","","TAHAKKUK")</f>
        <v/>
      </c>
      <c r="Q227" s="3">
        <f>IF($N227="","","600 Muhasebe Hizmet Geliri")</f>
        <v/>
      </c>
      <c r="R227" s="3">
        <f>IF($N227="",0,$X227)</f>
        <v/>
      </c>
      <c r="S227" s="3" t="n">
        <v>0</v>
      </c>
      <c r="T227" s="3">
        <f>IF($N227="",10000000000,$N227*100000+$M227)</f>
        <v/>
      </c>
      <c r="U227" s="3">
        <f>$AB$6</f>
        <v/>
      </c>
      <c r="V227" s="3" t="n">
        <v>55</v>
      </c>
      <c r="W227" s="3">
        <f>IF($U227=0,"",IF(INDEX(UCRETLER!$D$7:$D$406,$U227)="","",IF(INDEX(UCRETLER!$F$7:$F$406,$U227)="Aylık",EOMONTH(INDEX(UCRETLER!$D$7:$D$406,$U227),$V227-1),INDEX(UCRETLER!$D$7:$D$406,$U227)+MOD(SISTEM!$F$8-WEEKDAY(INDEX(UCRETLER!$D$7:$D$406,$U227),2),7)+7*($V227-1))))</f>
        <v/>
      </c>
      <c r="X227" s="3">
        <f>IF($U227=0,0,INDEX(UCRETLER!$G$7:$G$406,$U227))</f>
        <v/>
      </c>
      <c r="Y227" s="3">
        <f>IFERROR(SMALL($T$12:$T$372,ROW()-11),"")</f>
        <v/>
      </c>
      <c r="Z227" s="3">
        <f>IFERROR(MATCH($Y227,$T$12:$T$372,0),"")</f>
        <v/>
      </c>
      <c r="AA227" s="3" t="n"/>
      <c r="AB227" s="3" t="n"/>
      <c r="AC227" s="3" t="n"/>
    </row>
    <row r="228">
      <c r="A228" s="6" t="n"/>
      <c r="B228" s="158">
        <f>IF($C228="","",ROW()-11)</f>
        <v/>
      </c>
      <c r="C228" s="247">
        <f>IF($Z228="","",IF(INDEX($N$12:$N$372,$Z228)="","",INDEX($N$12:$N$372,$Z228)))</f>
        <v/>
      </c>
      <c r="D228" s="29">
        <f>IF($C228="","",INDEX($O$12:$O$372,$Z228))</f>
        <v/>
      </c>
      <c r="E228" s="158">
        <f>IF($C228="","",INDEX($P$12:$P$372,$Z228))</f>
        <v/>
      </c>
      <c r="F228" s="29">
        <f>IF($C228="","",INDEX($Q$12:$Q$372,$Z228))</f>
        <v/>
      </c>
      <c r="G228" s="248">
        <f>IF($C228="","",INDEX($R$12:$R$372,$Z228))</f>
        <v/>
      </c>
      <c r="H228" s="248">
        <f>IF($C228="","",INDEX($S$12:$S$372,$Z228))</f>
        <v/>
      </c>
      <c r="I228" s="248">
        <f>IF($C228="","",N($I227)+$G228-$H228)</f>
        <v/>
      </c>
      <c r="J228" s="6" t="n"/>
      <c r="K228" s="6" t="n"/>
      <c r="L228" s="3" t="n"/>
      <c r="M228" s="3" t="n">
        <v>217</v>
      </c>
      <c r="N228" s="3">
        <f>IF(OR($U228=0,$W228="",$X228&lt;=0),"",IF($W228&gt;TODAY(),"",IF(AND(INDEX(UCRETLER!$E$7:$E$406,$U228)&lt;&gt;"",$W228&gt;INDEX(UCRETLER!$E$7:$E$406,$U228)),"",$W228)))</f>
        <v/>
      </c>
      <c r="O228" s="3">
        <f>IF($N228="","",IF(INDEX(UCRETLER!$F$7:$F$406,$U228)="Aylık",TEXT($N228,"mmmm yyyy")&amp;" aylık muhasebe hizmet ücreti",TEXT($N228,"dd.mm.yyyy")&amp;" haftalık muhasebe hizmet ücreti"))</f>
        <v/>
      </c>
      <c r="P228" s="3">
        <f>IF($N228="","","TAHAKKUK")</f>
        <v/>
      </c>
      <c r="Q228" s="3">
        <f>IF($N228="","","600 Muhasebe Hizmet Geliri")</f>
        <v/>
      </c>
      <c r="R228" s="3">
        <f>IF($N228="",0,$X228)</f>
        <v/>
      </c>
      <c r="S228" s="3" t="n">
        <v>0</v>
      </c>
      <c r="T228" s="3">
        <f>IF($N228="",10000000000,$N228*100000+$M228)</f>
        <v/>
      </c>
      <c r="U228" s="3">
        <f>$AB$6</f>
        <v/>
      </c>
      <c r="V228" s="3" t="n">
        <v>56</v>
      </c>
      <c r="W228" s="3">
        <f>IF($U228=0,"",IF(INDEX(UCRETLER!$D$7:$D$406,$U228)="","",IF(INDEX(UCRETLER!$F$7:$F$406,$U228)="Aylık",EOMONTH(INDEX(UCRETLER!$D$7:$D$406,$U228),$V228-1),INDEX(UCRETLER!$D$7:$D$406,$U228)+MOD(SISTEM!$F$8-WEEKDAY(INDEX(UCRETLER!$D$7:$D$406,$U228),2),7)+7*($V228-1))))</f>
        <v/>
      </c>
      <c r="X228" s="3">
        <f>IF($U228=0,0,INDEX(UCRETLER!$G$7:$G$406,$U228))</f>
        <v/>
      </c>
      <c r="Y228" s="3">
        <f>IFERROR(SMALL($T$12:$T$372,ROW()-11),"")</f>
        <v/>
      </c>
      <c r="Z228" s="3">
        <f>IFERROR(MATCH($Y228,$T$12:$T$372,0),"")</f>
        <v/>
      </c>
      <c r="AA228" s="3" t="n"/>
      <c r="AB228" s="3" t="n"/>
      <c r="AC228" s="3" t="n"/>
    </row>
    <row r="229">
      <c r="A229" s="6" t="n"/>
      <c r="B229" s="158">
        <f>IF($C229="","",ROW()-11)</f>
        <v/>
      </c>
      <c r="C229" s="247">
        <f>IF($Z229="","",IF(INDEX($N$12:$N$372,$Z229)="","",INDEX($N$12:$N$372,$Z229)))</f>
        <v/>
      </c>
      <c r="D229" s="29">
        <f>IF($C229="","",INDEX($O$12:$O$372,$Z229))</f>
        <v/>
      </c>
      <c r="E229" s="158">
        <f>IF($C229="","",INDEX($P$12:$P$372,$Z229))</f>
        <v/>
      </c>
      <c r="F229" s="29">
        <f>IF($C229="","",INDEX($Q$12:$Q$372,$Z229))</f>
        <v/>
      </c>
      <c r="G229" s="248">
        <f>IF($C229="","",INDEX($R$12:$R$372,$Z229))</f>
        <v/>
      </c>
      <c r="H229" s="248">
        <f>IF($C229="","",INDEX($S$12:$S$372,$Z229))</f>
        <v/>
      </c>
      <c r="I229" s="248">
        <f>IF($C229="","",N($I228)+$G229-$H229)</f>
        <v/>
      </c>
      <c r="J229" s="6" t="n"/>
      <c r="K229" s="6" t="n"/>
      <c r="L229" s="3" t="n"/>
      <c r="M229" s="3" t="n">
        <v>218</v>
      </c>
      <c r="N229" s="3">
        <f>IF(OR($U229=0,$W229="",$X229&lt;=0),"",IF($W229&gt;TODAY(),"",IF(AND(INDEX(UCRETLER!$E$7:$E$406,$U229)&lt;&gt;"",$W229&gt;INDEX(UCRETLER!$E$7:$E$406,$U229)),"",$W229)))</f>
        <v/>
      </c>
      <c r="O229" s="3">
        <f>IF($N229="","",IF(INDEX(UCRETLER!$F$7:$F$406,$U229)="Aylık",TEXT($N229,"mmmm yyyy")&amp;" aylık muhasebe hizmet ücreti",TEXT($N229,"dd.mm.yyyy")&amp;" haftalık muhasebe hizmet ücreti"))</f>
        <v/>
      </c>
      <c r="P229" s="3">
        <f>IF($N229="","","TAHAKKUK")</f>
        <v/>
      </c>
      <c r="Q229" s="3">
        <f>IF($N229="","","600 Muhasebe Hizmet Geliri")</f>
        <v/>
      </c>
      <c r="R229" s="3">
        <f>IF($N229="",0,$X229)</f>
        <v/>
      </c>
      <c r="S229" s="3" t="n">
        <v>0</v>
      </c>
      <c r="T229" s="3">
        <f>IF($N229="",10000000000,$N229*100000+$M229)</f>
        <v/>
      </c>
      <c r="U229" s="3">
        <f>$AB$6</f>
        <v/>
      </c>
      <c r="V229" s="3" t="n">
        <v>57</v>
      </c>
      <c r="W229" s="3">
        <f>IF($U229=0,"",IF(INDEX(UCRETLER!$D$7:$D$406,$U229)="","",IF(INDEX(UCRETLER!$F$7:$F$406,$U229)="Aylık",EOMONTH(INDEX(UCRETLER!$D$7:$D$406,$U229),$V229-1),INDEX(UCRETLER!$D$7:$D$406,$U229)+MOD(SISTEM!$F$8-WEEKDAY(INDEX(UCRETLER!$D$7:$D$406,$U229),2),7)+7*($V229-1))))</f>
        <v/>
      </c>
      <c r="X229" s="3">
        <f>IF($U229=0,0,INDEX(UCRETLER!$G$7:$G$406,$U229))</f>
        <v/>
      </c>
      <c r="Y229" s="3">
        <f>IFERROR(SMALL($T$12:$T$372,ROW()-11),"")</f>
        <v/>
      </c>
      <c r="Z229" s="3">
        <f>IFERROR(MATCH($Y229,$T$12:$T$372,0),"")</f>
        <v/>
      </c>
      <c r="AA229" s="3" t="n"/>
      <c r="AB229" s="3" t="n"/>
      <c r="AC229" s="3" t="n"/>
    </row>
    <row r="230">
      <c r="A230" s="6" t="n"/>
      <c r="B230" s="158">
        <f>IF($C230="","",ROW()-11)</f>
        <v/>
      </c>
      <c r="C230" s="247">
        <f>IF($Z230="","",IF(INDEX($N$12:$N$372,$Z230)="","",INDEX($N$12:$N$372,$Z230)))</f>
        <v/>
      </c>
      <c r="D230" s="29">
        <f>IF($C230="","",INDEX($O$12:$O$372,$Z230))</f>
        <v/>
      </c>
      <c r="E230" s="158">
        <f>IF($C230="","",INDEX($P$12:$P$372,$Z230))</f>
        <v/>
      </c>
      <c r="F230" s="29">
        <f>IF($C230="","",INDEX($Q$12:$Q$372,$Z230))</f>
        <v/>
      </c>
      <c r="G230" s="248">
        <f>IF($C230="","",INDEX($R$12:$R$372,$Z230))</f>
        <v/>
      </c>
      <c r="H230" s="248">
        <f>IF($C230="","",INDEX($S$12:$S$372,$Z230))</f>
        <v/>
      </c>
      <c r="I230" s="248">
        <f>IF($C230="","",N($I229)+$G230-$H230)</f>
        <v/>
      </c>
      <c r="J230" s="6" t="n"/>
      <c r="K230" s="6" t="n"/>
      <c r="L230" s="3" t="n"/>
      <c r="M230" s="3" t="n">
        <v>219</v>
      </c>
      <c r="N230" s="3">
        <f>IF(OR($U230=0,$W230="",$X230&lt;=0),"",IF($W230&gt;TODAY(),"",IF(AND(INDEX(UCRETLER!$E$7:$E$406,$U230)&lt;&gt;"",$W230&gt;INDEX(UCRETLER!$E$7:$E$406,$U230)),"",$W230)))</f>
        <v/>
      </c>
      <c r="O230" s="3">
        <f>IF($N230="","",IF(INDEX(UCRETLER!$F$7:$F$406,$U230)="Aylık",TEXT($N230,"mmmm yyyy")&amp;" aylık muhasebe hizmet ücreti",TEXT($N230,"dd.mm.yyyy")&amp;" haftalık muhasebe hizmet ücreti"))</f>
        <v/>
      </c>
      <c r="P230" s="3">
        <f>IF($N230="","","TAHAKKUK")</f>
        <v/>
      </c>
      <c r="Q230" s="3">
        <f>IF($N230="","","600 Muhasebe Hizmet Geliri")</f>
        <v/>
      </c>
      <c r="R230" s="3">
        <f>IF($N230="",0,$X230)</f>
        <v/>
      </c>
      <c r="S230" s="3" t="n">
        <v>0</v>
      </c>
      <c r="T230" s="3">
        <f>IF($N230="",10000000000,$N230*100000+$M230)</f>
        <v/>
      </c>
      <c r="U230" s="3">
        <f>$AB$6</f>
        <v/>
      </c>
      <c r="V230" s="3" t="n">
        <v>58</v>
      </c>
      <c r="W230" s="3">
        <f>IF($U230=0,"",IF(INDEX(UCRETLER!$D$7:$D$406,$U230)="","",IF(INDEX(UCRETLER!$F$7:$F$406,$U230)="Aylık",EOMONTH(INDEX(UCRETLER!$D$7:$D$406,$U230),$V230-1),INDEX(UCRETLER!$D$7:$D$406,$U230)+MOD(SISTEM!$F$8-WEEKDAY(INDEX(UCRETLER!$D$7:$D$406,$U230),2),7)+7*($V230-1))))</f>
        <v/>
      </c>
      <c r="X230" s="3">
        <f>IF($U230=0,0,INDEX(UCRETLER!$G$7:$G$406,$U230))</f>
        <v/>
      </c>
      <c r="Y230" s="3">
        <f>IFERROR(SMALL($T$12:$T$372,ROW()-11),"")</f>
        <v/>
      </c>
      <c r="Z230" s="3">
        <f>IFERROR(MATCH($Y230,$T$12:$T$372,0),"")</f>
        <v/>
      </c>
      <c r="AA230" s="3" t="n"/>
      <c r="AB230" s="3" t="n"/>
      <c r="AC230" s="3" t="n"/>
    </row>
    <row r="231">
      <c r="A231" s="6" t="n"/>
      <c r="B231" s="158">
        <f>IF($C231="","",ROW()-11)</f>
        <v/>
      </c>
      <c r="C231" s="247">
        <f>IF($Z231="","",IF(INDEX($N$12:$N$372,$Z231)="","",INDEX($N$12:$N$372,$Z231)))</f>
        <v/>
      </c>
      <c r="D231" s="29">
        <f>IF($C231="","",INDEX($O$12:$O$372,$Z231))</f>
        <v/>
      </c>
      <c r="E231" s="158">
        <f>IF($C231="","",INDEX($P$12:$P$372,$Z231))</f>
        <v/>
      </c>
      <c r="F231" s="29">
        <f>IF($C231="","",INDEX($Q$12:$Q$372,$Z231))</f>
        <v/>
      </c>
      <c r="G231" s="248">
        <f>IF($C231="","",INDEX($R$12:$R$372,$Z231))</f>
        <v/>
      </c>
      <c r="H231" s="248">
        <f>IF($C231="","",INDEX($S$12:$S$372,$Z231))</f>
        <v/>
      </c>
      <c r="I231" s="248">
        <f>IF($C231="","",N($I230)+$G231-$H231)</f>
        <v/>
      </c>
      <c r="J231" s="6" t="n"/>
      <c r="K231" s="6" t="n"/>
      <c r="L231" s="3" t="n"/>
      <c r="M231" s="3" t="n">
        <v>220</v>
      </c>
      <c r="N231" s="3">
        <f>IF(OR($U231=0,$W231="",$X231&lt;=0),"",IF($W231&gt;TODAY(),"",IF(AND(INDEX(UCRETLER!$E$7:$E$406,$U231)&lt;&gt;"",$W231&gt;INDEX(UCRETLER!$E$7:$E$406,$U231)),"",$W231)))</f>
        <v/>
      </c>
      <c r="O231" s="3">
        <f>IF($N231="","",IF(INDEX(UCRETLER!$F$7:$F$406,$U231)="Aylık",TEXT($N231,"mmmm yyyy")&amp;" aylık muhasebe hizmet ücreti",TEXT($N231,"dd.mm.yyyy")&amp;" haftalık muhasebe hizmet ücreti"))</f>
        <v/>
      </c>
      <c r="P231" s="3">
        <f>IF($N231="","","TAHAKKUK")</f>
        <v/>
      </c>
      <c r="Q231" s="3">
        <f>IF($N231="","","600 Muhasebe Hizmet Geliri")</f>
        <v/>
      </c>
      <c r="R231" s="3">
        <f>IF($N231="",0,$X231)</f>
        <v/>
      </c>
      <c r="S231" s="3" t="n">
        <v>0</v>
      </c>
      <c r="T231" s="3">
        <f>IF($N231="",10000000000,$N231*100000+$M231)</f>
        <v/>
      </c>
      <c r="U231" s="3">
        <f>$AB$6</f>
        <v/>
      </c>
      <c r="V231" s="3" t="n">
        <v>59</v>
      </c>
      <c r="W231" s="3">
        <f>IF($U231=0,"",IF(INDEX(UCRETLER!$D$7:$D$406,$U231)="","",IF(INDEX(UCRETLER!$F$7:$F$406,$U231)="Aylık",EOMONTH(INDEX(UCRETLER!$D$7:$D$406,$U231),$V231-1),INDEX(UCRETLER!$D$7:$D$406,$U231)+MOD(SISTEM!$F$8-WEEKDAY(INDEX(UCRETLER!$D$7:$D$406,$U231),2),7)+7*($V231-1))))</f>
        <v/>
      </c>
      <c r="X231" s="3">
        <f>IF($U231=0,0,INDEX(UCRETLER!$G$7:$G$406,$U231))</f>
        <v/>
      </c>
      <c r="Y231" s="3">
        <f>IFERROR(SMALL($T$12:$T$372,ROW()-11),"")</f>
        <v/>
      </c>
      <c r="Z231" s="3">
        <f>IFERROR(MATCH($Y231,$T$12:$T$372,0),"")</f>
        <v/>
      </c>
      <c r="AA231" s="3" t="n"/>
      <c r="AB231" s="3" t="n"/>
      <c r="AC231" s="3" t="n"/>
    </row>
    <row r="232">
      <c r="A232" s="6" t="n"/>
      <c r="B232" s="158">
        <f>IF($C232="","",ROW()-11)</f>
        <v/>
      </c>
      <c r="C232" s="247">
        <f>IF($Z232="","",IF(INDEX($N$12:$N$372,$Z232)="","",INDEX($N$12:$N$372,$Z232)))</f>
        <v/>
      </c>
      <c r="D232" s="29">
        <f>IF($C232="","",INDEX($O$12:$O$372,$Z232))</f>
        <v/>
      </c>
      <c r="E232" s="158">
        <f>IF($C232="","",INDEX($P$12:$P$372,$Z232))</f>
        <v/>
      </c>
      <c r="F232" s="29">
        <f>IF($C232="","",INDEX($Q$12:$Q$372,$Z232))</f>
        <v/>
      </c>
      <c r="G232" s="248">
        <f>IF($C232="","",INDEX($R$12:$R$372,$Z232))</f>
        <v/>
      </c>
      <c r="H232" s="248">
        <f>IF($C232="","",INDEX($S$12:$S$372,$Z232))</f>
        <v/>
      </c>
      <c r="I232" s="248">
        <f>IF($C232="","",N($I231)+$G232-$H232)</f>
        <v/>
      </c>
      <c r="J232" s="6" t="n"/>
      <c r="K232" s="6" t="n"/>
      <c r="L232" s="3" t="n"/>
      <c r="M232" s="3" t="n">
        <v>221</v>
      </c>
      <c r="N232" s="3">
        <f>IF(OR($U232=0,$W232="",$X232&lt;=0),"",IF($W232&gt;TODAY(),"",IF(AND(INDEX(UCRETLER!$E$7:$E$406,$U232)&lt;&gt;"",$W232&gt;INDEX(UCRETLER!$E$7:$E$406,$U232)),"",$W232)))</f>
        <v/>
      </c>
      <c r="O232" s="3">
        <f>IF($N232="","",IF(INDEX(UCRETLER!$F$7:$F$406,$U232)="Aylık",TEXT($N232,"mmmm yyyy")&amp;" aylık muhasebe hizmet ücreti",TEXT($N232,"dd.mm.yyyy")&amp;" haftalık muhasebe hizmet ücreti"))</f>
        <v/>
      </c>
      <c r="P232" s="3">
        <f>IF($N232="","","TAHAKKUK")</f>
        <v/>
      </c>
      <c r="Q232" s="3">
        <f>IF($N232="","","600 Muhasebe Hizmet Geliri")</f>
        <v/>
      </c>
      <c r="R232" s="3">
        <f>IF($N232="",0,$X232)</f>
        <v/>
      </c>
      <c r="S232" s="3" t="n">
        <v>0</v>
      </c>
      <c r="T232" s="3">
        <f>IF($N232="",10000000000,$N232*100000+$M232)</f>
        <v/>
      </c>
      <c r="U232" s="3">
        <f>$AB$6</f>
        <v/>
      </c>
      <c r="V232" s="3" t="n">
        <v>60</v>
      </c>
      <c r="W232" s="3">
        <f>IF($U232=0,"",IF(INDEX(UCRETLER!$D$7:$D$406,$U232)="","",IF(INDEX(UCRETLER!$F$7:$F$406,$U232)="Aylık",EOMONTH(INDEX(UCRETLER!$D$7:$D$406,$U232),$V232-1),INDEX(UCRETLER!$D$7:$D$406,$U232)+MOD(SISTEM!$F$8-WEEKDAY(INDEX(UCRETLER!$D$7:$D$406,$U232),2),7)+7*($V232-1))))</f>
        <v/>
      </c>
      <c r="X232" s="3">
        <f>IF($U232=0,0,INDEX(UCRETLER!$G$7:$G$406,$U232))</f>
        <v/>
      </c>
      <c r="Y232" s="3">
        <f>IFERROR(SMALL($T$12:$T$372,ROW()-11),"")</f>
        <v/>
      </c>
      <c r="Z232" s="3">
        <f>IFERROR(MATCH($Y232,$T$12:$T$372,0),"")</f>
        <v/>
      </c>
      <c r="AA232" s="3" t="n"/>
      <c r="AB232" s="3" t="n"/>
      <c r="AC232" s="3" t="n"/>
    </row>
    <row r="233">
      <c r="A233" s="6" t="n"/>
      <c r="B233" s="158">
        <f>IF($C233="","",ROW()-11)</f>
        <v/>
      </c>
      <c r="C233" s="247">
        <f>IF($Z233="","",IF(INDEX($N$12:$N$372,$Z233)="","",INDEX($N$12:$N$372,$Z233)))</f>
        <v/>
      </c>
      <c r="D233" s="29">
        <f>IF($C233="","",INDEX($O$12:$O$372,$Z233))</f>
        <v/>
      </c>
      <c r="E233" s="158">
        <f>IF($C233="","",INDEX($P$12:$P$372,$Z233))</f>
        <v/>
      </c>
      <c r="F233" s="29">
        <f>IF($C233="","",INDEX($Q$12:$Q$372,$Z233))</f>
        <v/>
      </c>
      <c r="G233" s="248">
        <f>IF($C233="","",INDEX($R$12:$R$372,$Z233))</f>
        <v/>
      </c>
      <c r="H233" s="248">
        <f>IF($C233="","",INDEX($S$12:$S$372,$Z233))</f>
        <v/>
      </c>
      <c r="I233" s="248">
        <f>IF($C233="","",N($I232)+$G233-$H233)</f>
        <v/>
      </c>
      <c r="J233" s="6" t="n"/>
      <c r="K233" s="6" t="n"/>
      <c r="L233" s="3" t="n"/>
      <c r="M233" s="3" t="n">
        <v>222</v>
      </c>
      <c r="N233" s="3">
        <f>IF(OR($U233=0,$W233="",$X233&lt;=0),"",IF($W233&gt;TODAY(),"",IF(AND(INDEX(UCRETLER!$E$7:$E$406,$U233)&lt;&gt;"",$W233&gt;INDEX(UCRETLER!$E$7:$E$406,$U233)),"",$W233)))</f>
        <v/>
      </c>
      <c r="O233" s="3">
        <f>IF($N233="","",IF(INDEX(UCRETLER!$F$7:$F$406,$U233)="Aylık",TEXT($N233,"mmmm yyyy")&amp;" aylık muhasebe hizmet ücreti",TEXT($N233,"dd.mm.yyyy")&amp;" haftalık muhasebe hizmet ücreti"))</f>
        <v/>
      </c>
      <c r="P233" s="3">
        <f>IF($N233="","","TAHAKKUK")</f>
        <v/>
      </c>
      <c r="Q233" s="3">
        <f>IF($N233="","","600 Muhasebe Hizmet Geliri")</f>
        <v/>
      </c>
      <c r="R233" s="3">
        <f>IF($N233="",0,$X233)</f>
        <v/>
      </c>
      <c r="S233" s="3" t="n">
        <v>0</v>
      </c>
      <c r="T233" s="3">
        <f>IF($N233="",10000000000,$N233*100000+$M233)</f>
        <v/>
      </c>
      <c r="U233" s="3">
        <f>$AB$6</f>
        <v/>
      </c>
      <c r="V233" s="3" t="n">
        <v>61</v>
      </c>
      <c r="W233" s="3">
        <f>IF($U233=0,"",IF(INDEX(UCRETLER!$D$7:$D$406,$U233)="","",IF(INDEX(UCRETLER!$F$7:$F$406,$U233)="Aylık",EOMONTH(INDEX(UCRETLER!$D$7:$D$406,$U233),$V233-1),INDEX(UCRETLER!$D$7:$D$406,$U233)+MOD(SISTEM!$F$8-WEEKDAY(INDEX(UCRETLER!$D$7:$D$406,$U233),2),7)+7*($V233-1))))</f>
        <v/>
      </c>
      <c r="X233" s="3">
        <f>IF($U233=0,0,INDEX(UCRETLER!$G$7:$G$406,$U233))</f>
        <v/>
      </c>
      <c r="Y233" s="3">
        <f>IFERROR(SMALL($T$12:$T$372,ROW()-11),"")</f>
        <v/>
      </c>
      <c r="Z233" s="3">
        <f>IFERROR(MATCH($Y233,$T$12:$T$372,0),"")</f>
        <v/>
      </c>
      <c r="AA233" s="3" t="n"/>
      <c r="AB233" s="3" t="n"/>
      <c r="AC233" s="3" t="n"/>
    </row>
    <row r="234">
      <c r="A234" s="6" t="n"/>
      <c r="B234" s="158">
        <f>IF($C234="","",ROW()-11)</f>
        <v/>
      </c>
      <c r="C234" s="247">
        <f>IF($Z234="","",IF(INDEX($N$12:$N$372,$Z234)="","",INDEX($N$12:$N$372,$Z234)))</f>
        <v/>
      </c>
      <c r="D234" s="29">
        <f>IF($C234="","",INDEX($O$12:$O$372,$Z234))</f>
        <v/>
      </c>
      <c r="E234" s="158">
        <f>IF($C234="","",INDEX($P$12:$P$372,$Z234))</f>
        <v/>
      </c>
      <c r="F234" s="29">
        <f>IF($C234="","",INDEX($Q$12:$Q$372,$Z234))</f>
        <v/>
      </c>
      <c r="G234" s="248">
        <f>IF($C234="","",INDEX($R$12:$R$372,$Z234))</f>
        <v/>
      </c>
      <c r="H234" s="248">
        <f>IF($C234="","",INDEX($S$12:$S$372,$Z234))</f>
        <v/>
      </c>
      <c r="I234" s="248">
        <f>IF($C234="","",N($I233)+$G234-$H234)</f>
        <v/>
      </c>
      <c r="J234" s="6" t="n"/>
      <c r="K234" s="6" t="n"/>
      <c r="L234" s="3" t="n"/>
      <c r="M234" s="3" t="n">
        <v>223</v>
      </c>
      <c r="N234" s="3">
        <f>IF(OR($U234=0,$W234="",$X234&lt;=0),"",IF($W234&gt;TODAY(),"",IF(AND(INDEX(UCRETLER!$E$7:$E$406,$U234)&lt;&gt;"",$W234&gt;INDEX(UCRETLER!$E$7:$E$406,$U234)),"",$W234)))</f>
        <v/>
      </c>
      <c r="O234" s="3">
        <f>IF($N234="","",IF(INDEX(UCRETLER!$F$7:$F$406,$U234)="Aylık",TEXT($N234,"mmmm yyyy")&amp;" aylık muhasebe hizmet ücreti",TEXT($N234,"dd.mm.yyyy")&amp;" haftalık muhasebe hizmet ücreti"))</f>
        <v/>
      </c>
      <c r="P234" s="3">
        <f>IF($N234="","","TAHAKKUK")</f>
        <v/>
      </c>
      <c r="Q234" s="3">
        <f>IF($N234="","","600 Muhasebe Hizmet Geliri")</f>
        <v/>
      </c>
      <c r="R234" s="3">
        <f>IF($N234="",0,$X234)</f>
        <v/>
      </c>
      <c r="S234" s="3" t="n">
        <v>0</v>
      </c>
      <c r="T234" s="3">
        <f>IF($N234="",10000000000,$N234*100000+$M234)</f>
        <v/>
      </c>
      <c r="U234" s="3">
        <f>$AB$6</f>
        <v/>
      </c>
      <c r="V234" s="3" t="n">
        <v>62</v>
      </c>
      <c r="W234" s="3">
        <f>IF($U234=0,"",IF(INDEX(UCRETLER!$D$7:$D$406,$U234)="","",IF(INDEX(UCRETLER!$F$7:$F$406,$U234)="Aylık",EOMONTH(INDEX(UCRETLER!$D$7:$D$406,$U234),$V234-1),INDEX(UCRETLER!$D$7:$D$406,$U234)+MOD(SISTEM!$F$8-WEEKDAY(INDEX(UCRETLER!$D$7:$D$406,$U234),2),7)+7*($V234-1))))</f>
        <v/>
      </c>
      <c r="X234" s="3">
        <f>IF($U234=0,0,INDEX(UCRETLER!$G$7:$G$406,$U234))</f>
        <v/>
      </c>
      <c r="Y234" s="3">
        <f>IFERROR(SMALL($T$12:$T$372,ROW()-11),"")</f>
        <v/>
      </c>
      <c r="Z234" s="3">
        <f>IFERROR(MATCH($Y234,$T$12:$T$372,0),"")</f>
        <v/>
      </c>
      <c r="AA234" s="3" t="n"/>
      <c r="AB234" s="3" t="n"/>
      <c r="AC234" s="3" t="n"/>
    </row>
    <row r="235">
      <c r="A235" s="6" t="n"/>
      <c r="B235" s="158">
        <f>IF($C235="","",ROW()-11)</f>
        <v/>
      </c>
      <c r="C235" s="247">
        <f>IF($Z235="","",IF(INDEX($N$12:$N$372,$Z235)="","",INDEX($N$12:$N$372,$Z235)))</f>
        <v/>
      </c>
      <c r="D235" s="29">
        <f>IF($C235="","",INDEX($O$12:$O$372,$Z235))</f>
        <v/>
      </c>
      <c r="E235" s="158">
        <f>IF($C235="","",INDEX($P$12:$P$372,$Z235))</f>
        <v/>
      </c>
      <c r="F235" s="29">
        <f>IF($C235="","",INDEX($Q$12:$Q$372,$Z235))</f>
        <v/>
      </c>
      <c r="G235" s="248">
        <f>IF($C235="","",INDEX($R$12:$R$372,$Z235))</f>
        <v/>
      </c>
      <c r="H235" s="248">
        <f>IF($C235="","",INDEX($S$12:$S$372,$Z235))</f>
        <v/>
      </c>
      <c r="I235" s="248">
        <f>IF($C235="","",N($I234)+$G235-$H235)</f>
        <v/>
      </c>
      <c r="J235" s="6" t="n"/>
      <c r="K235" s="6" t="n"/>
      <c r="L235" s="3" t="n"/>
      <c r="M235" s="3" t="n">
        <v>224</v>
      </c>
      <c r="N235" s="3">
        <f>IF(OR($U235=0,$W235="",$X235&lt;=0),"",IF($W235&gt;TODAY(),"",IF(AND(INDEX(UCRETLER!$E$7:$E$406,$U235)&lt;&gt;"",$W235&gt;INDEX(UCRETLER!$E$7:$E$406,$U235)),"",$W235)))</f>
        <v/>
      </c>
      <c r="O235" s="3">
        <f>IF($N235="","",IF(INDEX(UCRETLER!$F$7:$F$406,$U235)="Aylık",TEXT($N235,"mmmm yyyy")&amp;" aylık muhasebe hizmet ücreti",TEXT($N235,"dd.mm.yyyy")&amp;" haftalık muhasebe hizmet ücreti"))</f>
        <v/>
      </c>
      <c r="P235" s="3">
        <f>IF($N235="","","TAHAKKUK")</f>
        <v/>
      </c>
      <c r="Q235" s="3">
        <f>IF($N235="","","600 Muhasebe Hizmet Geliri")</f>
        <v/>
      </c>
      <c r="R235" s="3">
        <f>IF($N235="",0,$X235)</f>
        <v/>
      </c>
      <c r="S235" s="3" t="n">
        <v>0</v>
      </c>
      <c r="T235" s="3">
        <f>IF($N235="",10000000000,$N235*100000+$M235)</f>
        <v/>
      </c>
      <c r="U235" s="3">
        <f>$AB$6</f>
        <v/>
      </c>
      <c r="V235" s="3" t="n">
        <v>63</v>
      </c>
      <c r="W235" s="3">
        <f>IF($U235=0,"",IF(INDEX(UCRETLER!$D$7:$D$406,$U235)="","",IF(INDEX(UCRETLER!$F$7:$F$406,$U235)="Aylık",EOMONTH(INDEX(UCRETLER!$D$7:$D$406,$U235),$V235-1),INDEX(UCRETLER!$D$7:$D$406,$U235)+MOD(SISTEM!$F$8-WEEKDAY(INDEX(UCRETLER!$D$7:$D$406,$U235),2),7)+7*($V235-1))))</f>
        <v/>
      </c>
      <c r="X235" s="3">
        <f>IF($U235=0,0,INDEX(UCRETLER!$G$7:$G$406,$U235))</f>
        <v/>
      </c>
      <c r="Y235" s="3">
        <f>IFERROR(SMALL($T$12:$T$372,ROW()-11),"")</f>
        <v/>
      </c>
      <c r="Z235" s="3">
        <f>IFERROR(MATCH($Y235,$T$12:$T$372,0),"")</f>
        <v/>
      </c>
      <c r="AA235" s="3" t="n"/>
      <c r="AB235" s="3" t="n"/>
      <c r="AC235" s="3" t="n"/>
    </row>
    <row r="236">
      <c r="A236" s="6" t="n"/>
      <c r="B236" s="158">
        <f>IF($C236="","",ROW()-11)</f>
        <v/>
      </c>
      <c r="C236" s="247">
        <f>IF($Z236="","",IF(INDEX($N$12:$N$372,$Z236)="","",INDEX($N$12:$N$372,$Z236)))</f>
        <v/>
      </c>
      <c r="D236" s="29">
        <f>IF($C236="","",INDEX($O$12:$O$372,$Z236))</f>
        <v/>
      </c>
      <c r="E236" s="158">
        <f>IF($C236="","",INDEX($P$12:$P$372,$Z236))</f>
        <v/>
      </c>
      <c r="F236" s="29">
        <f>IF($C236="","",INDEX($Q$12:$Q$372,$Z236))</f>
        <v/>
      </c>
      <c r="G236" s="248">
        <f>IF($C236="","",INDEX($R$12:$R$372,$Z236))</f>
        <v/>
      </c>
      <c r="H236" s="248">
        <f>IF($C236="","",INDEX($S$12:$S$372,$Z236))</f>
        <v/>
      </c>
      <c r="I236" s="248">
        <f>IF($C236="","",N($I235)+$G236-$H236)</f>
        <v/>
      </c>
      <c r="J236" s="6" t="n"/>
      <c r="K236" s="6" t="n"/>
      <c r="L236" s="3" t="n"/>
      <c r="M236" s="3" t="n">
        <v>225</v>
      </c>
      <c r="N236" s="3">
        <f>IF(OR($U236=0,$W236="",$X236&lt;=0),"",IF($W236&gt;TODAY(),"",IF(AND(INDEX(UCRETLER!$E$7:$E$406,$U236)&lt;&gt;"",$W236&gt;INDEX(UCRETLER!$E$7:$E$406,$U236)),"",$W236)))</f>
        <v/>
      </c>
      <c r="O236" s="3">
        <f>IF($N236="","",IF(INDEX(UCRETLER!$F$7:$F$406,$U236)="Aylık",TEXT($N236,"mmmm yyyy")&amp;" aylık muhasebe hizmet ücreti",TEXT($N236,"dd.mm.yyyy")&amp;" haftalık muhasebe hizmet ücreti"))</f>
        <v/>
      </c>
      <c r="P236" s="3">
        <f>IF($N236="","","TAHAKKUK")</f>
        <v/>
      </c>
      <c r="Q236" s="3">
        <f>IF($N236="","","600 Muhasebe Hizmet Geliri")</f>
        <v/>
      </c>
      <c r="R236" s="3">
        <f>IF($N236="",0,$X236)</f>
        <v/>
      </c>
      <c r="S236" s="3" t="n">
        <v>0</v>
      </c>
      <c r="T236" s="3">
        <f>IF($N236="",10000000000,$N236*100000+$M236)</f>
        <v/>
      </c>
      <c r="U236" s="3">
        <f>$AB$6</f>
        <v/>
      </c>
      <c r="V236" s="3" t="n">
        <v>64</v>
      </c>
      <c r="W236" s="3">
        <f>IF($U236=0,"",IF(INDEX(UCRETLER!$D$7:$D$406,$U236)="","",IF(INDEX(UCRETLER!$F$7:$F$406,$U236)="Aylık",EOMONTH(INDEX(UCRETLER!$D$7:$D$406,$U236),$V236-1),INDEX(UCRETLER!$D$7:$D$406,$U236)+MOD(SISTEM!$F$8-WEEKDAY(INDEX(UCRETLER!$D$7:$D$406,$U236),2),7)+7*($V236-1))))</f>
        <v/>
      </c>
      <c r="X236" s="3">
        <f>IF($U236=0,0,INDEX(UCRETLER!$G$7:$G$406,$U236))</f>
        <v/>
      </c>
      <c r="Y236" s="3">
        <f>IFERROR(SMALL($T$12:$T$372,ROW()-11),"")</f>
        <v/>
      </c>
      <c r="Z236" s="3">
        <f>IFERROR(MATCH($Y236,$T$12:$T$372,0),"")</f>
        <v/>
      </c>
      <c r="AA236" s="3" t="n"/>
      <c r="AB236" s="3" t="n"/>
      <c r="AC236" s="3" t="n"/>
    </row>
    <row r="237">
      <c r="A237" s="6" t="n"/>
      <c r="B237" s="158">
        <f>IF($C237="","",ROW()-11)</f>
        <v/>
      </c>
      <c r="C237" s="247">
        <f>IF($Z237="","",IF(INDEX($N$12:$N$372,$Z237)="","",INDEX($N$12:$N$372,$Z237)))</f>
        <v/>
      </c>
      <c r="D237" s="29">
        <f>IF($C237="","",INDEX($O$12:$O$372,$Z237))</f>
        <v/>
      </c>
      <c r="E237" s="158">
        <f>IF($C237="","",INDEX($P$12:$P$372,$Z237))</f>
        <v/>
      </c>
      <c r="F237" s="29">
        <f>IF($C237="","",INDEX($Q$12:$Q$372,$Z237))</f>
        <v/>
      </c>
      <c r="G237" s="248">
        <f>IF($C237="","",INDEX($R$12:$R$372,$Z237))</f>
        <v/>
      </c>
      <c r="H237" s="248">
        <f>IF($C237="","",INDEX($S$12:$S$372,$Z237))</f>
        <v/>
      </c>
      <c r="I237" s="248">
        <f>IF($C237="","",N($I236)+$G237-$H237)</f>
        <v/>
      </c>
      <c r="J237" s="6" t="n"/>
      <c r="K237" s="6" t="n"/>
      <c r="L237" s="3" t="n"/>
      <c r="M237" s="3" t="n">
        <v>226</v>
      </c>
      <c r="N237" s="3">
        <f>IF(OR($U237=0,$W237="",$X237&lt;=0),"",IF($W237&gt;TODAY(),"",IF(AND(INDEX(UCRETLER!$E$7:$E$406,$U237)&lt;&gt;"",$W237&gt;INDEX(UCRETLER!$E$7:$E$406,$U237)),"",$W237)))</f>
        <v/>
      </c>
      <c r="O237" s="3">
        <f>IF($N237="","",IF(INDEX(UCRETLER!$F$7:$F$406,$U237)="Aylık",TEXT($N237,"mmmm yyyy")&amp;" aylık muhasebe hizmet ücreti",TEXT($N237,"dd.mm.yyyy")&amp;" haftalık muhasebe hizmet ücreti"))</f>
        <v/>
      </c>
      <c r="P237" s="3">
        <f>IF($N237="","","TAHAKKUK")</f>
        <v/>
      </c>
      <c r="Q237" s="3">
        <f>IF($N237="","","600 Muhasebe Hizmet Geliri")</f>
        <v/>
      </c>
      <c r="R237" s="3">
        <f>IF($N237="",0,$X237)</f>
        <v/>
      </c>
      <c r="S237" s="3" t="n">
        <v>0</v>
      </c>
      <c r="T237" s="3">
        <f>IF($N237="",10000000000,$N237*100000+$M237)</f>
        <v/>
      </c>
      <c r="U237" s="3">
        <f>$AB$6</f>
        <v/>
      </c>
      <c r="V237" s="3" t="n">
        <v>65</v>
      </c>
      <c r="W237" s="3">
        <f>IF($U237=0,"",IF(INDEX(UCRETLER!$D$7:$D$406,$U237)="","",IF(INDEX(UCRETLER!$F$7:$F$406,$U237)="Aylık",EOMONTH(INDEX(UCRETLER!$D$7:$D$406,$U237),$V237-1),INDEX(UCRETLER!$D$7:$D$406,$U237)+MOD(SISTEM!$F$8-WEEKDAY(INDEX(UCRETLER!$D$7:$D$406,$U237),2),7)+7*($V237-1))))</f>
        <v/>
      </c>
      <c r="X237" s="3">
        <f>IF($U237=0,0,INDEX(UCRETLER!$G$7:$G$406,$U237))</f>
        <v/>
      </c>
      <c r="Y237" s="3">
        <f>IFERROR(SMALL($T$12:$T$372,ROW()-11),"")</f>
        <v/>
      </c>
      <c r="Z237" s="3">
        <f>IFERROR(MATCH($Y237,$T$12:$T$372,0),"")</f>
        <v/>
      </c>
      <c r="AA237" s="3" t="n"/>
      <c r="AB237" s="3" t="n"/>
      <c r="AC237" s="3" t="n"/>
    </row>
    <row r="238">
      <c r="A238" s="6" t="n"/>
      <c r="B238" s="158">
        <f>IF($C238="","",ROW()-11)</f>
        <v/>
      </c>
      <c r="C238" s="247">
        <f>IF($Z238="","",IF(INDEX($N$12:$N$372,$Z238)="","",INDEX($N$12:$N$372,$Z238)))</f>
        <v/>
      </c>
      <c r="D238" s="29">
        <f>IF($C238="","",INDEX($O$12:$O$372,$Z238))</f>
        <v/>
      </c>
      <c r="E238" s="158">
        <f>IF($C238="","",INDEX($P$12:$P$372,$Z238))</f>
        <v/>
      </c>
      <c r="F238" s="29">
        <f>IF($C238="","",INDEX($Q$12:$Q$372,$Z238))</f>
        <v/>
      </c>
      <c r="G238" s="248">
        <f>IF($C238="","",INDEX($R$12:$R$372,$Z238))</f>
        <v/>
      </c>
      <c r="H238" s="248">
        <f>IF($C238="","",INDEX($S$12:$S$372,$Z238))</f>
        <v/>
      </c>
      <c r="I238" s="248">
        <f>IF($C238="","",N($I237)+$G238-$H238)</f>
        <v/>
      </c>
      <c r="J238" s="6" t="n"/>
      <c r="K238" s="6" t="n"/>
      <c r="L238" s="3" t="n"/>
      <c r="M238" s="3" t="n">
        <v>227</v>
      </c>
      <c r="N238" s="3">
        <f>IF(OR($U238=0,$W238="",$X238&lt;=0),"",IF($W238&gt;TODAY(),"",IF(AND(INDEX(UCRETLER!$E$7:$E$406,$U238)&lt;&gt;"",$W238&gt;INDEX(UCRETLER!$E$7:$E$406,$U238)),"",$W238)))</f>
        <v/>
      </c>
      <c r="O238" s="3">
        <f>IF($N238="","",IF(INDEX(UCRETLER!$F$7:$F$406,$U238)="Aylık",TEXT($N238,"mmmm yyyy")&amp;" aylık muhasebe hizmet ücreti",TEXT($N238,"dd.mm.yyyy")&amp;" haftalık muhasebe hizmet ücreti"))</f>
        <v/>
      </c>
      <c r="P238" s="3">
        <f>IF($N238="","","TAHAKKUK")</f>
        <v/>
      </c>
      <c r="Q238" s="3">
        <f>IF($N238="","","600 Muhasebe Hizmet Geliri")</f>
        <v/>
      </c>
      <c r="R238" s="3">
        <f>IF($N238="",0,$X238)</f>
        <v/>
      </c>
      <c r="S238" s="3" t="n">
        <v>0</v>
      </c>
      <c r="T238" s="3">
        <f>IF($N238="",10000000000,$N238*100000+$M238)</f>
        <v/>
      </c>
      <c r="U238" s="3">
        <f>$AB$6</f>
        <v/>
      </c>
      <c r="V238" s="3" t="n">
        <v>66</v>
      </c>
      <c r="W238" s="3">
        <f>IF($U238=0,"",IF(INDEX(UCRETLER!$D$7:$D$406,$U238)="","",IF(INDEX(UCRETLER!$F$7:$F$406,$U238)="Aylık",EOMONTH(INDEX(UCRETLER!$D$7:$D$406,$U238),$V238-1),INDEX(UCRETLER!$D$7:$D$406,$U238)+MOD(SISTEM!$F$8-WEEKDAY(INDEX(UCRETLER!$D$7:$D$406,$U238),2),7)+7*($V238-1))))</f>
        <v/>
      </c>
      <c r="X238" s="3">
        <f>IF($U238=0,0,INDEX(UCRETLER!$G$7:$G$406,$U238))</f>
        <v/>
      </c>
      <c r="Y238" s="3">
        <f>IFERROR(SMALL($T$12:$T$372,ROW()-11),"")</f>
        <v/>
      </c>
      <c r="Z238" s="3">
        <f>IFERROR(MATCH($Y238,$T$12:$T$372,0),"")</f>
        <v/>
      </c>
      <c r="AA238" s="3" t="n"/>
      <c r="AB238" s="3" t="n"/>
      <c r="AC238" s="3" t="n"/>
    </row>
    <row r="239">
      <c r="A239" s="6" t="n"/>
      <c r="B239" s="158">
        <f>IF($C239="","",ROW()-11)</f>
        <v/>
      </c>
      <c r="C239" s="247">
        <f>IF($Z239="","",IF(INDEX($N$12:$N$372,$Z239)="","",INDEX($N$12:$N$372,$Z239)))</f>
        <v/>
      </c>
      <c r="D239" s="29">
        <f>IF($C239="","",INDEX($O$12:$O$372,$Z239))</f>
        <v/>
      </c>
      <c r="E239" s="158">
        <f>IF($C239="","",INDEX($P$12:$P$372,$Z239))</f>
        <v/>
      </c>
      <c r="F239" s="29">
        <f>IF($C239="","",INDEX($Q$12:$Q$372,$Z239))</f>
        <v/>
      </c>
      <c r="G239" s="248">
        <f>IF($C239="","",INDEX($R$12:$R$372,$Z239))</f>
        <v/>
      </c>
      <c r="H239" s="248">
        <f>IF($C239="","",INDEX($S$12:$S$372,$Z239))</f>
        <v/>
      </c>
      <c r="I239" s="248">
        <f>IF($C239="","",N($I238)+$G239-$H239)</f>
        <v/>
      </c>
      <c r="J239" s="6" t="n"/>
      <c r="K239" s="6" t="n"/>
      <c r="L239" s="3" t="n"/>
      <c r="M239" s="3" t="n">
        <v>228</v>
      </c>
      <c r="N239" s="3">
        <f>IF(OR($U239=0,$W239="",$X239&lt;=0),"",IF($W239&gt;TODAY(),"",IF(AND(INDEX(UCRETLER!$E$7:$E$406,$U239)&lt;&gt;"",$W239&gt;INDEX(UCRETLER!$E$7:$E$406,$U239)),"",$W239)))</f>
        <v/>
      </c>
      <c r="O239" s="3">
        <f>IF($N239="","",IF(INDEX(UCRETLER!$F$7:$F$406,$U239)="Aylık",TEXT($N239,"mmmm yyyy")&amp;" aylık muhasebe hizmet ücreti",TEXT($N239,"dd.mm.yyyy")&amp;" haftalık muhasebe hizmet ücreti"))</f>
        <v/>
      </c>
      <c r="P239" s="3">
        <f>IF($N239="","","TAHAKKUK")</f>
        <v/>
      </c>
      <c r="Q239" s="3">
        <f>IF($N239="","","600 Muhasebe Hizmet Geliri")</f>
        <v/>
      </c>
      <c r="R239" s="3">
        <f>IF($N239="",0,$X239)</f>
        <v/>
      </c>
      <c r="S239" s="3" t="n">
        <v>0</v>
      </c>
      <c r="T239" s="3">
        <f>IF($N239="",10000000000,$N239*100000+$M239)</f>
        <v/>
      </c>
      <c r="U239" s="3">
        <f>$AB$6</f>
        <v/>
      </c>
      <c r="V239" s="3" t="n">
        <v>67</v>
      </c>
      <c r="W239" s="3">
        <f>IF($U239=0,"",IF(INDEX(UCRETLER!$D$7:$D$406,$U239)="","",IF(INDEX(UCRETLER!$F$7:$F$406,$U239)="Aylık",EOMONTH(INDEX(UCRETLER!$D$7:$D$406,$U239),$V239-1),INDEX(UCRETLER!$D$7:$D$406,$U239)+MOD(SISTEM!$F$8-WEEKDAY(INDEX(UCRETLER!$D$7:$D$406,$U239),2),7)+7*($V239-1))))</f>
        <v/>
      </c>
      <c r="X239" s="3">
        <f>IF($U239=0,0,INDEX(UCRETLER!$G$7:$G$406,$U239))</f>
        <v/>
      </c>
      <c r="Y239" s="3">
        <f>IFERROR(SMALL($T$12:$T$372,ROW()-11),"")</f>
        <v/>
      </c>
      <c r="Z239" s="3">
        <f>IFERROR(MATCH($Y239,$T$12:$T$372,0),"")</f>
        <v/>
      </c>
      <c r="AA239" s="3" t="n"/>
      <c r="AB239" s="3" t="n"/>
      <c r="AC239" s="3" t="n"/>
    </row>
    <row r="240">
      <c r="A240" s="6" t="n"/>
      <c r="B240" s="158">
        <f>IF($C240="","",ROW()-11)</f>
        <v/>
      </c>
      <c r="C240" s="247">
        <f>IF($Z240="","",IF(INDEX($N$12:$N$372,$Z240)="","",INDEX($N$12:$N$372,$Z240)))</f>
        <v/>
      </c>
      <c r="D240" s="29">
        <f>IF($C240="","",INDEX($O$12:$O$372,$Z240))</f>
        <v/>
      </c>
      <c r="E240" s="158">
        <f>IF($C240="","",INDEX($P$12:$P$372,$Z240))</f>
        <v/>
      </c>
      <c r="F240" s="29">
        <f>IF($C240="","",INDEX($Q$12:$Q$372,$Z240))</f>
        <v/>
      </c>
      <c r="G240" s="248">
        <f>IF($C240="","",INDEX($R$12:$R$372,$Z240))</f>
        <v/>
      </c>
      <c r="H240" s="248">
        <f>IF($C240="","",INDEX($S$12:$S$372,$Z240))</f>
        <v/>
      </c>
      <c r="I240" s="248">
        <f>IF($C240="","",N($I239)+$G240-$H240)</f>
        <v/>
      </c>
      <c r="J240" s="6" t="n"/>
      <c r="K240" s="6" t="n"/>
      <c r="L240" s="3" t="n"/>
      <c r="M240" s="3" t="n">
        <v>229</v>
      </c>
      <c r="N240" s="3">
        <f>IF(OR($U240=0,$W240="",$X240&lt;=0),"",IF($W240&gt;TODAY(),"",IF(AND(INDEX(UCRETLER!$E$7:$E$406,$U240)&lt;&gt;"",$W240&gt;INDEX(UCRETLER!$E$7:$E$406,$U240)),"",$W240)))</f>
        <v/>
      </c>
      <c r="O240" s="3">
        <f>IF($N240="","",IF(INDEX(UCRETLER!$F$7:$F$406,$U240)="Aylık",TEXT($N240,"mmmm yyyy")&amp;" aylık muhasebe hizmet ücreti",TEXT($N240,"dd.mm.yyyy")&amp;" haftalık muhasebe hizmet ücreti"))</f>
        <v/>
      </c>
      <c r="P240" s="3">
        <f>IF($N240="","","TAHAKKUK")</f>
        <v/>
      </c>
      <c r="Q240" s="3">
        <f>IF($N240="","","600 Muhasebe Hizmet Geliri")</f>
        <v/>
      </c>
      <c r="R240" s="3">
        <f>IF($N240="",0,$X240)</f>
        <v/>
      </c>
      <c r="S240" s="3" t="n">
        <v>0</v>
      </c>
      <c r="T240" s="3">
        <f>IF($N240="",10000000000,$N240*100000+$M240)</f>
        <v/>
      </c>
      <c r="U240" s="3">
        <f>$AB$6</f>
        <v/>
      </c>
      <c r="V240" s="3" t="n">
        <v>68</v>
      </c>
      <c r="W240" s="3">
        <f>IF($U240=0,"",IF(INDEX(UCRETLER!$D$7:$D$406,$U240)="","",IF(INDEX(UCRETLER!$F$7:$F$406,$U240)="Aylık",EOMONTH(INDEX(UCRETLER!$D$7:$D$406,$U240),$V240-1),INDEX(UCRETLER!$D$7:$D$406,$U240)+MOD(SISTEM!$F$8-WEEKDAY(INDEX(UCRETLER!$D$7:$D$406,$U240),2),7)+7*($V240-1))))</f>
        <v/>
      </c>
      <c r="X240" s="3">
        <f>IF($U240=0,0,INDEX(UCRETLER!$G$7:$G$406,$U240))</f>
        <v/>
      </c>
      <c r="Y240" s="3">
        <f>IFERROR(SMALL($T$12:$T$372,ROW()-11),"")</f>
        <v/>
      </c>
      <c r="Z240" s="3">
        <f>IFERROR(MATCH($Y240,$T$12:$T$372,0),"")</f>
        <v/>
      </c>
      <c r="AA240" s="3" t="n"/>
      <c r="AB240" s="3" t="n"/>
      <c r="AC240" s="3" t="n"/>
    </row>
    <row r="241">
      <c r="A241" s="6" t="n"/>
      <c r="B241" s="158">
        <f>IF($C241="","",ROW()-11)</f>
        <v/>
      </c>
      <c r="C241" s="247">
        <f>IF($Z241="","",IF(INDEX($N$12:$N$372,$Z241)="","",INDEX($N$12:$N$372,$Z241)))</f>
        <v/>
      </c>
      <c r="D241" s="29">
        <f>IF($C241="","",INDEX($O$12:$O$372,$Z241))</f>
        <v/>
      </c>
      <c r="E241" s="158">
        <f>IF($C241="","",INDEX($P$12:$P$372,$Z241))</f>
        <v/>
      </c>
      <c r="F241" s="29">
        <f>IF($C241="","",INDEX($Q$12:$Q$372,$Z241))</f>
        <v/>
      </c>
      <c r="G241" s="248">
        <f>IF($C241="","",INDEX($R$12:$R$372,$Z241))</f>
        <v/>
      </c>
      <c r="H241" s="248">
        <f>IF($C241="","",INDEX($S$12:$S$372,$Z241))</f>
        <v/>
      </c>
      <c r="I241" s="248">
        <f>IF($C241="","",N($I240)+$G241-$H241)</f>
        <v/>
      </c>
      <c r="J241" s="6" t="n"/>
      <c r="K241" s="6" t="n"/>
      <c r="L241" s="3" t="n"/>
      <c r="M241" s="3" t="n">
        <v>230</v>
      </c>
      <c r="N241" s="3">
        <f>IF(OR($U241=0,$W241="",$X241&lt;=0),"",IF($W241&gt;TODAY(),"",IF(AND(INDEX(UCRETLER!$E$7:$E$406,$U241)&lt;&gt;"",$W241&gt;INDEX(UCRETLER!$E$7:$E$406,$U241)),"",$W241)))</f>
        <v/>
      </c>
      <c r="O241" s="3">
        <f>IF($N241="","",IF(INDEX(UCRETLER!$F$7:$F$406,$U241)="Aylık",TEXT($N241,"mmmm yyyy")&amp;" aylık muhasebe hizmet ücreti",TEXT($N241,"dd.mm.yyyy")&amp;" haftalık muhasebe hizmet ücreti"))</f>
        <v/>
      </c>
      <c r="P241" s="3">
        <f>IF($N241="","","TAHAKKUK")</f>
        <v/>
      </c>
      <c r="Q241" s="3">
        <f>IF($N241="","","600 Muhasebe Hizmet Geliri")</f>
        <v/>
      </c>
      <c r="R241" s="3">
        <f>IF($N241="",0,$X241)</f>
        <v/>
      </c>
      <c r="S241" s="3" t="n">
        <v>0</v>
      </c>
      <c r="T241" s="3">
        <f>IF($N241="",10000000000,$N241*100000+$M241)</f>
        <v/>
      </c>
      <c r="U241" s="3">
        <f>$AB$6</f>
        <v/>
      </c>
      <c r="V241" s="3" t="n">
        <v>69</v>
      </c>
      <c r="W241" s="3">
        <f>IF($U241=0,"",IF(INDEX(UCRETLER!$D$7:$D$406,$U241)="","",IF(INDEX(UCRETLER!$F$7:$F$406,$U241)="Aylık",EOMONTH(INDEX(UCRETLER!$D$7:$D$406,$U241),$V241-1),INDEX(UCRETLER!$D$7:$D$406,$U241)+MOD(SISTEM!$F$8-WEEKDAY(INDEX(UCRETLER!$D$7:$D$406,$U241),2),7)+7*($V241-1))))</f>
        <v/>
      </c>
      <c r="X241" s="3">
        <f>IF($U241=0,0,INDEX(UCRETLER!$G$7:$G$406,$U241))</f>
        <v/>
      </c>
      <c r="Y241" s="3">
        <f>IFERROR(SMALL($T$12:$T$372,ROW()-11),"")</f>
        <v/>
      </c>
      <c r="Z241" s="3">
        <f>IFERROR(MATCH($Y241,$T$12:$T$372,0),"")</f>
        <v/>
      </c>
      <c r="AA241" s="3" t="n"/>
      <c r="AB241" s="3" t="n"/>
      <c r="AC241" s="3" t="n"/>
    </row>
    <row r="242">
      <c r="A242" s="6" t="n"/>
      <c r="B242" s="158">
        <f>IF($C242="","",ROW()-11)</f>
        <v/>
      </c>
      <c r="C242" s="247">
        <f>IF($Z242="","",IF(INDEX($N$12:$N$372,$Z242)="","",INDEX($N$12:$N$372,$Z242)))</f>
        <v/>
      </c>
      <c r="D242" s="29">
        <f>IF($C242="","",INDEX($O$12:$O$372,$Z242))</f>
        <v/>
      </c>
      <c r="E242" s="158">
        <f>IF($C242="","",INDEX($P$12:$P$372,$Z242))</f>
        <v/>
      </c>
      <c r="F242" s="29">
        <f>IF($C242="","",INDEX($Q$12:$Q$372,$Z242))</f>
        <v/>
      </c>
      <c r="G242" s="248">
        <f>IF($C242="","",INDEX($R$12:$R$372,$Z242))</f>
        <v/>
      </c>
      <c r="H242" s="248">
        <f>IF($C242="","",INDEX($S$12:$S$372,$Z242))</f>
        <v/>
      </c>
      <c r="I242" s="248">
        <f>IF($C242="","",N($I241)+$G242-$H242)</f>
        <v/>
      </c>
      <c r="J242" s="6" t="n"/>
      <c r="K242" s="6" t="n"/>
      <c r="L242" s="3" t="n"/>
      <c r="M242" s="3" t="n">
        <v>231</v>
      </c>
      <c r="N242" s="3">
        <f>IF(OR($U242=0,$W242="",$X242&lt;=0),"",IF($W242&gt;TODAY(),"",IF(AND(INDEX(UCRETLER!$E$7:$E$406,$U242)&lt;&gt;"",$W242&gt;INDEX(UCRETLER!$E$7:$E$406,$U242)),"",$W242)))</f>
        <v/>
      </c>
      <c r="O242" s="3">
        <f>IF($N242="","",IF(INDEX(UCRETLER!$F$7:$F$406,$U242)="Aylık",TEXT($N242,"mmmm yyyy")&amp;" aylık muhasebe hizmet ücreti",TEXT($N242,"dd.mm.yyyy")&amp;" haftalık muhasebe hizmet ücreti"))</f>
        <v/>
      </c>
      <c r="P242" s="3">
        <f>IF($N242="","","TAHAKKUK")</f>
        <v/>
      </c>
      <c r="Q242" s="3">
        <f>IF($N242="","","600 Muhasebe Hizmet Geliri")</f>
        <v/>
      </c>
      <c r="R242" s="3">
        <f>IF($N242="",0,$X242)</f>
        <v/>
      </c>
      <c r="S242" s="3" t="n">
        <v>0</v>
      </c>
      <c r="T242" s="3">
        <f>IF($N242="",10000000000,$N242*100000+$M242)</f>
        <v/>
      </c>
      <c r="U242" s="3">
        <f>$AB$6</f>
        <v/>
      </c>
      <c r="V242" s="3" t="n">
        <v>70</v>
      </c>
      <c r="W242" s="3">
        <f>IF($U242=0,"",IF(INDEX(UCRETLER!$D$7:$D$406,$U242)="","",IF(INDEX(UCRETLER!$F$7:$F$406,$U242)="Aylık",EOMONTH(INDEX(UCRETLER!$D$7:$D$406,$U242),$V242-1),INDEX(UCRETLER!$D$7:$D$406,$U242)+MOD(SISTEM!$F$8-WEEKDAY(INDEX(UCRETLER!$D$7:$D$406,$U242),2),7)+7*($V242-1))))</f>
        <v/>
      </c>
      <c r="X242" s="3">
        <f>IF($U242=0,0,INDEX(UCRETLER!$G$7:$G$406,$U242))</f>
        <v/>
      </c>
      <c r="Y242" s="3">
        <f>IFERROR(SMALL($T$12:$T$372,ROW()-11),"")</f>
        <v/>
      </c>
      <c r="Z242" s="3">
        <f>IFERROR(MATCH($Y242,$T$12:$T$372,0),"")</f>
        <v/>
      </c>
      <c r="AA242" s="3" t="n"/>
      <c r="AB242" s="3" t="n"/>
      <c r="AC242" s="3" t="n"/>
    </row>
    <row r="243">
      <c r="A243" s="6" t="n"/>
      <c r="B243" s="158">
        <f>IF($C243="","",ROW()-11)</f>
        <v/>
      </c>
      <c r="C243" s="247">
        <f>IF($Z243="","",IF(INDEX($N$12:$N$372,$Z243)="","",INDEX($N$12:$N$372,$Z243)))</f>
        <v/>
      </c>
      <c r="D243" s="29">
        <f>IF($C243="","",INDEX($O$12:$O$372,$Z243))</f>
        <v/>
      </c>
      <c r="E243" s="158">
        <f>IF($C243="","",INDEX($P$12:$P$372,$Z243))</f>
        <v/>
      </c>
      <c r="F243" s="29">
        <f>IF($C243="","",INDEX($Q$12:$Q$372,$Z243))</f>
        <v/>
      </c>
      <c r="G243" s="248">
        <f>IF($C243="","",INDEX($R$12:$R$372,$Z243))</f>
        <v/>
      </c>
      <c r="H243" s="248">
        <f>IF($C243="","",INDEX($S$12:$S$372,$Z243))</f>
        <v/>
      </c>
      <c r="I243" s="248">
        <f>IF($C243="","",N($I242)+$G243-$H243)</f>
        <v/>
      </c>
      <c r="J243" s="6" t="n"/>
      <c r="K243" s="6" t="n"/>
      <c r="L243" s="3" t="n"/>
      <c r="M243" s="3" t="n">
        <v>232</v>
      </c>
      <c r="N243" s="3">
        <f>IF(OR($U243=0,$W243="",$X243&lt;=0),"",IF($W243&gt;TODAY(),"",IF(AND(INDEX(UCRETLER!$E$7:$E$406,$U243)&lt;&gt;"",$W243&gt;INDEX(UCRETLER!$E$7:$E$406,$U243)),"",$W243)))</f>
        <v/>
      </c>
      <c r="O243" s="3">
        <f>IF($N243="","",IF(INDEX(UCRETLER!$F$7:$F$406,$U243)="Aylık",TEXT($N243,"mmmm yyyy")&amp;" aylık muhasebe hizmet ücreti",TEXT($N243,"dd.mm.yyyy")&amp;" haftalık muhasebe hizmet ücreti"))</f>
        <v/>
      </c>
      <c r="P243" s="3">
        <f>IF($N243="","","TAHAKKUK")</f>
        <v/>
      </c>
      <c r="Q243" s="3">
        <f>IF($N243="","","600 Muhasebe Hizmet Geliri")</f>
        <v/>
      </c>
      <c r="R243" s="3">
        <f>IF($N243="",0,$X243)</f>
        <v/>
      </c>
      <c r="S243" s="3" t="n">
        <v>0</v>
      </c>
      <c r="T243" s="3">
        <f>IF($N243="",10000000000,$N243*100000+$M243)</f>
        <v/>
      </c>
      <c r="U243" s="3">
        <f>$AB$6</f>
        <v/>
      </c>
      <c r="V243" s="3" t="n">
        <v>71</v>
      </c>
      <c r="W243" s="3">
        <f>IF($U243=0,"",IF(INDEX(UCRETLER!$D$7:$D$406,$U243)="","",IF(INDEX(UCRETLER!$F$7:$F$406,$U243)="Aylık",EOMONTH(INDEX(UCRETLER!$D$7:$D$406,$U243),$V243-1),INDEX(UCRETLER!$D$7:$D$406,$U243)+MOD(SISTEM!$F$8-WEEKDAY(INDEX(UCRETLER!$D$7:$D$406,$U243),2),7)+7*($V243-1))))</f>
        <v/>
      </c>
      <c r="X243" s="3">
        <f>IF($U243=0,0,INDEX(UCRETLER!$G$7:$G$406,$U243))</f>
        <v/>
      </c>
      <c r="Y243" s="3">
        <f>IFERROR(SMALL($T$12:$T$372,ROW()-11),"")</f>
        <v/>
      </c>
      <c r="Z243" s="3">
        <f>IFERROR(MATCH($Y243,$T$12:$T$372,0),"")</f>
        <v/>
      </c>
      <c r="AA243" s="3" t="n"/>
      <c r="AB243" s="3" t="n"/>
      <c r="AC243" s="3" t="n"/>
    </row>
    <row r="244">
      <c r="A244" s="6" t="n"/>
      <c r="B244" s="158">
        <f>IF($C244="","",ROW()-11)</f>
        <v/>
      </c>
      <c r="C244" s="247">
        <f>IF($Z244="","",IF(INDEX($N$12:$N$372,$Z244)="","",INDEX($N$12:$N$372,$Z244)))</f>
        <v/>
      </c>
      <c r="D244" s="29">
        <f>IF($C244="","",INDEX($O$12:$O$372,$Z244))</f>
        <v/>
      </c>
      <c r="E244" s="158">
        <f>IF($C244="","",INDEX($P$12:$P$372,$Z244))</f>
        <v/>
      </c>
      <c r="F244" s="29">
        <f>IF($C244="","",INDEX($Q$12:$Q$372,$Z244))</f>
        <v/>
      </c>
      <c r="G244" s="248">
        <f>IF($C244="","",INDEX($R$12:$R$372,$Z244))</f>
        <v/>
      </c>
      <c r="H244" s="248">
        <f>IF($C244="","",INDEX($S$12:$S$372,$Z244))</f>
        <v/>
      </c>
      <c r="I244" s="248">
        <f>IF($C244="","",N($I243)+$G244-$H244)</f>
        <v/>
      </c>
      <c r="J244" s="6" t="n"/>
      <c r="K244" s="6" t="n"/>
      <c r="L244" s="3" t="n"/>
      <c r="M244" s="3" t="n">
        <v>233</v>
      </c>
      <c r="N244" s="3">
        <f>IF(OR($U244=0,$W244="",$X244&lt;=0),"",IF($W244&gt;TODAY(),"",IF(AND(INDEX(UCRETLER!$E$7:$E$406,$U244)&lt;&gt;"",$W244&gt;INDEX(UCRETLER!$E$7:$E$406,$U244)),"",$W244)))</f>
        <v/>
      </c>
      <c r="O244" s="3">
        <f>IF($N244="","",IF(INDEX(UCRETLER!$F$7:$F$406,$U244)="Aylık",TEXT($N244,"mmmm yyyy")&amp;" aylık muhasebe hizmet ücreti",TEXT($N244,"dd.mm.yyyy")&amp;" haftalık muhasebe hizmet ücreti"))</f>
        <v/>
      </c>
      <c r="P244" s="3">
        <f>IF($N244="","","TAHAKKUK")</f>
        <v/>
      </c>
      <c r="Q244" s="3">
        <f>IF($N244="","","600 Muhasebe Hizmet Geliri")</f>
        <v/>
      </c>
      <c r="R244" s="3">
        <f>IF($N244="",0,$X244)</f>
        <v/>
      </c>
      <c r="S244" s="3" t="n">
        <v>0</v>
      </c>
      <c r="T244" s="3">
        <f>IF($N244="",10000000000,$N244*100000+$M244)</f>
        <v/>
      </c>
      <c r="U244" s="3">
        <f>$AB$6</f>
        <v/>
      </c>
      <c r="V244" s="3" t="n">
        <v>72</v>
      </c>
      <c r="W244" s="3">
        <f>IF($U244=0,"",IF(INDEX(UCRETLER!$D$7:$D$406,$U244)="","",IF(INDEX(UCRETLER!$F$7:$F$406,$U244)="Aylık",EOMONTH(INDEX(UCRETLER!$D$7:$D$406,$U244),$V244-1),INDEX(UCRETLER!$D$7:$D$406,$U244)+MOD(SISTEM!$F$8-WEEKDAY(INDEX(UCRETLER!$D$7:$D$406,$U244),2),7)+7*($V244-1))))</f>
        <v/>
      </c>
      <c r="X244" s="3">
        <f>IF($U244=0,0,INDEX(UCRETLER!$G$7:$G$406,$U244))</f>
        <v/>
      </c>
      <c r="Y244" s="3">
        <f>IFERROR(SMALL($T$12:$T$372,ROW()-11),"")</f>
        <v/>
      </c>
      <c r="Z244" s="3">
        <f>IFERROR(MATCH($Y244,$T$12:$T$372,0),"")</f>
        <v/>
      </c>
      <c r="AA244" s="3" t="n"/>
      <c r="AB244" s="3" t="n"/>
      <c r="AC244" s="3" t="n"/>
    </row>
    <row r="245">
      <c r="A245" s="6" t="n"/>
      <c r="B245" s="158">
        <f>IF($C245="","",ROW()-11)</f>
        <v/>
      </c>
      <c r="C245" s="247">
        <f>IF($Z245="","",IF(INDEX($N$12:$N$372,$Z245)="","",INDEX($N$12:$N$372,$Z245)))</f>
        <v/>
      </c>
      <c r="D245" s="29">
        <f>IF($C245="","",INDEX($O$12:$O$372,$Z245))</f>
        <v/>
      </c>
      <c r="E245" s="158">
        <f>IF($C245="","",INDEX($P$12:$P$372,$Z245))</f>
        <v/>
      </c>
      <c r="F245" s="29">
        <f>IF($C245="","",INDEX($Q$12:$Q$372,$Z245))</f>
        <v/>
      </c>
      <c r="G245" s="248">
        <f>IF($C245="","",INDEX($R$12:$R$372,$Z245))</f>
        <v/>
      </c>
      <c r="H245" s="248">
        <f>IF($C245="","",INDEX($S$12:$S$372,$Z245))</f>
        <v/>
      </c>
      <c r="I245" s="248">
        <f>IF($C245="","",N($I244)+$G245-$H245)</f>
        <v/>
      </c>
      <c r="J245" s="6" t="n"/>
      <c r="K245" s="6" t="n"/>
      <c r="L245" s="3" t="n"/>
      <c r="M245" s="3" t="n">
        <v>234</v>
      </c>
      <c r="N245" s="3">
        <f>IF(OR($U245=0,$W245="",$X245&lt;=0),"",IF($W245&gt;TODAY(),"",IF(AND(INDEX(UCRETLER!$E$7:$E$406,$U245)&lt;&gt;"",$W245&gt;INDEX(UCRETLER!$E$7:$E$406,$U245)),"",$W245)))</f>
        <v/>
      </c>
      <c r="O245" s="3">
        <f>IF($N245="","",IF(INDEX(UCRETLER!$F$7:$F$406,$U245)="Aylık",TEXT($N245,"mmmm yyyy")&amp;" aylık muhasebe hizmet ücreti",TEXT($N245,"dd.mm.yyyy")&amp;" haftalık muhasebe hizmet ücreti"))</f>
        <v/>
      </c>
      <c r="P245" s="3">
        <f>IF($N245="","","TAHAKKUK")</f>
        <v/>
      </c>
      <c r="Q245" s="3">
        <f>IF($N245="","","600 Muhasebe Hizmet Geliri")</f>
        <v/>
      </c>
      <c r="R245" s="3">
        <f>IF($N245="",0,$X245)</f>
        <v/>
      </c>
      <c r="S245" s="3" t="n">
        <v>0</v>
      </c>
      <c r="T245" s="3">
        <f>IF($N245="",10000000000,$N245*100000+$M245)</f>
        <v/>
      </c>
      <c r="U245" s="3">
        <f>$AB$6</f>
        <v/>
      </c>
      <c r="V245" s="3" t="n">
        <v>73</v>
      </c>
      <c r="W245" s="3">
        <f>IF($U245=0,"",IF(INDEX(UCRETLER!$D$7:$D$406,$U245)="","",IF(INDEX(UCRETLER!$F$7:$F$406,$U245)="Aylık",EOMONTH(INDEX(UCRETLER!$D$7:$D$406,$U245),$V245-1),INDEX(UCRETLER!$D$7:$D$406,$U245)+MOD(SISTEM!$F$8-WEEKDAY(INDEX(UCRETLER!$D$7:$D$406,$U245),2),7)+7*($V245-1))))</f>
        <v/>
      </c>
      <c r="X245" s="3">
        <f>IF($U245=0,0,INDEX(UCRETLER!$G$7:$G$406,$U245))</f>
        <v/>
      </c>
      <c r="Y245" s="3">
        <f>IFERROR(SMALL($T$12:$T$372,ROW()-11),"")</f>
        <v/>
      </c>
      <c r="Z245" s="3">
        <f>IFERROR(MATCH($Y245,$T$12:$T$372,0),"")</f>
        <v/>
      </c>
      <c r="AA245" s="3" t="n"/>
      <c r="AB245" s="3" t="n"/>
      <c r="AC245" s="3" t="n"/>
    </row>
    <row r="246">
      <c r="A246" s="6" t="n"/>
      <c r="B246" s="158">
        <f>IF($C246="","",ROW()-11)</f>
        <v/>
      </c>
      <c r="C246" s="247">
        <f>IF($Z246="","",IF(INDEX($N$12:$N$372,$Z246)="","",INDEX($N$12:$N$372,$Z246)))</f>
        <v/>
      </c>
      <c r="D246" s="29">
        <f>IF($C246="","",INDEX($O$12:$O$372,$Z246))</f>
        <v/>
      </c>
      <c r="E246" s="158">
        <f>IF($C246="","",INDEX($P$12:$P$372,$Z246))</f>
        <v/>
      </c>
      <c r="F246" s="29">
        <f>IF($C246="","",INDEX($Q$12:$Q$372,$Z246))</f>
        <v/>
      </c>
      <c r="G246" s="248">
        <f>IF($C246="","",INDEX($R$12:$R$372,$Z246))</f>
        <v/>
      </c>
      <c r="H246" s="248">
        <f>IF($C246="","",INDEX($S$12:$S$372,$Z246))</f>
        <v/>
      </c>
      <c r="I246" s="248">
        <f>IF($C246="","",N($I245)+$G246-$H246)</f>
        <v/>
      </c>
      <c r="J246" s="6" t="n"/>
      <c r="K246" s="6" t="n"/>
      <c r="L246" s="3" t="n"/>
      <c r="M246" s="3" t="n">
        <v>235</v>
      </c>
      <c r="N246" s="3">
        <f>IF(OR($U246=0,$W246="",$X246&lt;=0),"",IF($W246&gt;TODAY(),"",IF(AND(INDEX(UCRETLER!$E$7:$E$406,$U246)&lt;&gt;"",$W246&gt;INDEX(UCRETLER!$E$7:$E$406,$U246)),"",$W246)))</f>
        <v/>
      </c>
      <c r="O246" s="3">
        <f>IF($N246="","",IF(INDEX(UCRETLER!$F$7:$F$406,$U246)="Aylık",TEXT($N246,"mmmm yyyy")&amp;" aylık muhasebe hizmet ücreti",TEXT($N246,"dd.mm.yyyy")&amp;" haftalık muhasebe hizmet ücreti"))</f>
        <v/>
      </c>
      <c r="P246" s="3">
        <f>IF($N246="","","TAHAKKUK")</f>
        <v/>
      </c>
      <c r="Q246" s="3">
        <f>IF($N246="","","600 Muhasebe Hizmet Geliri")</f>
        <v/>
      </c>
      <c r="R246" s="3">
        <f>IF($N246="",0,$X246)</f>
        <v/>
      </c>
      <c r="S246" s="3" t="n">
        <v>0</v>
      </c>
      <c r="T246" s="3">
        <f>IF($N246="",10000000000,$N246*100000+$M246)</f>
        <v/>
      </c>
      <c r="U246" s="3">
        <f>$AB$6</f>
        <v/>
      </c>
      <c r="V246" s="3" t="n">
        <v>74</v>
      </c>
      <c r="W246" s="3">
        <f>IF($U246=0,"",IF(INDEX(UCRETLER!$D$7:$D$406,$U246)="","",IF(INDEX(UCRETLER!$F$7:$F$406,$U246)="Aylık",EOMONTH(INDEX(UCRETLER!$D$7:$D$406,$U246),$V246-1),INDEX(UCRETLER!$D$7:$D$406,$U246)+MOD(SISTEM!$F$8-WEEKDAY(INDEX(UCRETLER!$D$7:$D$406,$U246),2),7)+7*($V246-1))))</f>
        <v/>
      </c>
      <c r="X246" s="3">
        <f>IF($U246=0,0,INDEX(UCRETLER!$G$7:$G$406,$U246))</f>
        <v/>
      </c>
      <c r="Y246" s="3">
        <f>IFERROR(SMALL($T$12:$T$372,ROW()-11),"")</f>
        <v/>
      </c>
      <c r="Z246" s="3">
        <f>IFERROR(MATCH($Y246,$T$12:$T$372,0),"")</f>
        <v/>
      </c>
      <c r="AA246" s="3" t="n"/>
      <c r="AB246" s="3" t="n"/>
      <c r="AC246" s="3" t="n"/>
    </row>
    <row r="247">
      <c r="A247" s="6" t="n"/>
      <c r="B247" s="158">
        <f>IF($C247="","",ROW()-11)</f>
        <v/>
      </c>
      <c r="C247" s="247">
        <f>IF($Z247="","",IF(INDEX($N$12:$N$372,$Z247)="","",INDEX($N$12:$N$372,$Z247)))</f>
        <v/>
      </c>
      <c r="D247" s="29">
        <f>IF($C247="","",INDEX($O$12:$O$372,$Z247))</f>
        <v/>
      </c>
      <c r="E247" s="158">
        <f>IF($C247="","",INDEX($P$12:$P$372,$Z247))</f>
        <v/>
      </c>
      <c r="F247" s="29">
        <f>IF($C247="","",INDEX($Q$12:$Q$372,$Z247))</f>
        <v/>
      </c>
      <c r="G247" s="248">
        <f>IF($C247="","",INDEX($R$12:$R$372,$Z247))</f>
        <v/>
      </c>
      <c r="H247" s="248">
        <f>IF($C247="","",INDEX($S$12:$S$372,$Z247))</f>
        <v/>
      </c>
      <c r="I247" s="248">
        <f>IF($C247="","",N($I246)+$G247-$H247)</f>
        <v/>
      </c>
      <c r="J247" s="6" t="n"/>
      <c r="K247" s="6" t="n"/>
      <c r="L247" s="3" t="n"/>
      <c r="M247" s="3" t="n">
        <v>236</v>
      </c>
      <c r="N247" s="3">
        <f>IF(OR($U247=0,$W247="",$X247&lt;=0),"",IF($W247&gt;TODAY(),"",IF(AND(INDEX(UCRETLER!$E$7:$E$406,$U247)&lt;&gt;"",$W247&gt;INDEX(UCRETLER!$E$7:$E$406,$U247)),"",$W247)))</f>
        <v/>
      </c>
      <c r="O247" s="3">
        <f>IF($N247="","",IF(INDEX(UCRETLER!$F$7:$F$406,$U247)="Aylık",TEXT($N247,"mmmm yyyy")&amp;" aylık muhasebe hizmet ücreti",TEXT($N247,"dd.mm.yyyy")&amp;" haftalık muhasebe hizmet ücreti"))</f>
        <v/>
      </c>
      <c r="P247" s="3">
        <f>IF($N247="","","TAHAKKUK")</f>
        <v/>
      </c>
      <c r="Q247" s="3">
        <f>IF($N247="","","600 Muhasebe Hizmet Geliri")</f>
        <v/>
      </c>
      <c r="R247" s="3">
        <f>IF($N247="",0,$X247)</f>
        <v/>
      </c>
      <c r="S247" s="3" t="n">
        <v>0</v>
      </c>
      <c r="T247" s="3">
        <f>IF($N247="",10000000000,$N247*100000+$M247)</f>
        <v/>
      </c>
      <c r="U247" s="3">
        <f>$AB$6</f>
        <v/>
      </c>
      <c r="V247" s="3" t="n">
        <v>75</v>
      </c>
      <c r="W247" s="3">
        <f>IF($U247=0,"",IF(INDEX(UCRETLER!$D$7:$D$406,$U247)="","",IF(INDEX(UCRETLER!$F$7:$F$406,$U247)="Aylık",EOMONTH(INDEX(UCRETLER!$D$7:$D$406,$U247),$V247-1),INDEX(UCRETLER!$D$7:$D$406,$U247)+MOD(SISTEM!$F$8-WEEKDAY(INDEX(UCRETLER!$D$7:$D$406,$U247),2),7)+7*($V247-1))))</f>
        <v/>
      </c>
      <c r="X247" s="3">
        <f>IF($U247=0,0,INDEX(UCRETLER!$G$7:$G$406,$U247))</f>
        <v/>
      </c>
      <c r="Y247" s="3">
        <f>IFERROR(SMALL($T$12:$T$372,ROW()-11),"")</f>
        <v/>
      </c>
      <c r="Z247" s="3">
        <f>IFERROR(MATCH($Y247,$T$12:$T$372,0),"")</f>
        <v/>
      </c>
      <c r="AA247" s="3" t="n"/>
      <c r="AB247" s="3" t="n"/>
      <c r="AC247" s="3" t="n"/>
    </row>
    <row r="248">
      <c r="A248" s="6" t="n"/>
      <c r="B248" s="158">
        <f>IF($C248="","",ROW()-11)</f>
        <v/>
      </c>
      <c r="C248" s="247">
        <f>IF($Z248="","",IF(INDEX($N$12:$N$372,$Z248)="","",INDEX($N$12:$N$372,$Z248)))</f>
        <v/>
      </c>
      <c r="D248" s="29">
        <f>IF($C248="","",INDEX($O$12:$O$372,$Z248))</f>
        <v/>
      </c>
      <c r="E248" s="158">
        <f>IF($C248="","",INDEX($P$12:$P$372,$Z248))</f>
        <v/>
      </c>
      <c r="F248" s="29">
        <f>IF($C248="","",INDEX($Q$12:$Q$372,$Z248))</f>
        <v/>
      </c>
      <c r="G248" s="248">
        <f>IF($C248="","",INDEX($R$12:$R$372,$Z248))</f>
        <v/>
      </c>
      <c r="H248" s="248">
        <f>IF($C248="","",INDEX($S$12:$S$372,$Z248))</f>
        <v/>
      </c>
      <c r="I248" s="248">
        <f>IF($C248="","",N($I247)+$G248-$H248)</f>
        <v/>
      </c>
      <c r="J248" s="6" t="n"/>
      <c r="K248" s="6" t="n"/>
      <c r="L248" s="3" t="n"/>
      <c r="M248" s="3" t="n">
        <v>237</v>
      </c>
      <c r="N248" s="3">
        <f>IF(OR($U248=0,$W248="",$X248&lt;=0),"",IF($W248&gt;TODAY(),"",IF(AND(INDEX(UCRETLER!$E$7:$E$406,$U248)&lt;&gt;"",$W248&gt;INDEX(UCRETLER!$E$7:$E$406,$U248)),"",$W248)))</f>
        <v/>
      </c>
      <c r="O248" s="3">
        <f>IF($N248="","",IF(INDEX(UCRETLER!$F$7:$F$406,$U248)="Aylık",TEXT($N248,"mmmm yyyy")&amp;" aylık muhasebe hizmet ücreti",TEXT($N248,"dd.mm.yyyy")&amp;" haftalık muhasebe hizmet ücreti"))</f>
        <v/>
      </c>
      <c r="P248" s="3">
        <f>IF($N248="","","TAHAKKUK")</f>
        <v/>
      </c>
      <c r="Q248" s="3">
        <f>IF($N248="","","600 Muhasebe Hizmet Geliri")</f>
        <v/>
      </c>
      <c r="R248" s="3">
        <f>IF($N248="",0,$X248)</f>
        <v/>
      </c>
      <c r="S248" s="3" t="n">
        <v>0</v>
      </c>
      <c r="T248" s="3">
        <f>IF($N248="",10000000000,$N248*100000+$M248)</f>
        <v/>
      </c>
      <c r="U248" s="3">
        <f>$AB$6</f>
        <v/>
      </c>
      <c r="V248" s="3" t="n">
        <v>76</v>
      </c>
      <c r="W248" s="3">
        <f>IF($U248=0,"",IF(INDEX(UCRETLER!$D$7:$D$406,$U248)="","",IF(INDEX(UCRETLER!$F$7:$F$406,$U248)="Aylık",EOMONTH(INDEX(UCRETLER!$D$7:$D$406,$U248),$V248-1),INDEX(UCRETLER!$D$7:$D$406,$U248)+MOD(SISTEM!$F$8-WEEKDAY(INDEX(UCRETLER!$D$7:$D$406,$U248),2),7)+7*($V248-1))))</f>
        <v/>
      </c>
      <c r="X248" s="3">
        <f>IF($U248=0,0,INDEX(UCRETLER!$G$7:$G$406,$U248))</f>
        <v/>
      </c>
      <c r="Y248" s="3">
        <f>IFERROR(SMALL($T$12:$T$372,ROW()-11),"")</f>
        <v/>
      </c>
      <c r="Z248" s="3">
        <f>IFERROR(MATCH($Y248,$T$12:$T$372,0),"")</f>
        <v/>
      </c>
      <c r="AA248" s="3" t="n"/>
      <c r="AB248" s="3" t="n"/>
      <c r="AC248" s="3" t="n"/>
    </row>
    <row r="249">
      <c r="A249" s="6" t="n"/>
      <c r="B249" s="158">
        <f>IF($C249="","",ROW()-11)</f>
        <v/>
      </c>
      <c r="C249" s="247">
        <f>IF($Z249="","",IF(INDEX($N$12:$N$372,$Z249)="","",INDEX($N$12:$N$372,$Z249)))</f>
        <v/>
      </c>
      <c r="D249" s="29">
        <f>IF($C249="","",INDEX($O$12:$O$372,$Z249))</f>
        <v/>
      </c>
      <c r="E249" s="158">
        <f>IF($C249="","",INDEX($P$12:$P$372,$Z249))</f>
        <v/>
      </c>
      <c r="F249" s="29">
        <f>IF($C249="","",INDEX($Q$12:$Q$372,$Z249))</f>
        <v/>
      </c>
      <c r="G249" s="248">
        <f>IF($C249="","",INDEX($R$12:$R$372,$Z249))</f>
        <v/>
      </c>
      <c r="H249" s="248">
        <f>IF($C249="","",INDEX($S$12:$S$372,$Z249))</f>
        <v/>
      </c>
      <c r="I249" s="248">
        <f>IF($C249="","",N($I248)+$G249-$H249)</f>
        <v/>
      </c>
      <c r="J249" s="6" t="n"/>
      <c r="K249" s="6" t="n"/>
      <c r="L249" s="3" t="n"/>
      <c r="M249" s="3" t="n">
        <v>238</v>
      </c>
      <c r="N249" s="3">
        <f>IF(OR($U249=0,$W249="",$X249&lt;=0),"",IF($W249&gt;TODAY(),"",IF(AND(INDEX(UCRETLER!$E$7:$E$406,$U249)&lt;&gt;"",$W249&gt;INDEX(UCRETLER!$E$7:$E$406,$U249)),"",$W249)))</f>
        <v/>
      </c>
      <c r="O249" s="3">
        <f>IF($N249="","",IF(INDEX(UCRETLER!$F$7:$F$406,$U249)="Aylık",TEXT($N249,"mmmm yyyy")&amp;" aylık muhasebe hizmet ücreti",TEXT($N249,"dd.mm.yyyy")&amp;" haftalık muhasebe hizmet ücreti"))</f>
        <v/>
      </c>
      <c r="P249" s="3">
        <f>IF($N249="","","TAHAKKUK")</f>
        <v/>
      </c>
      <c r="Q249" s="3">
        <f>IF($N249="","","600 Muhasebe Hizmet Geliri")</f>
        <v/>
      </c>
      <c r="R249" s="3">
        <f>IF($N249="",0,$X249)</f>
        <v/>
      </c>
      <c r="S249" s="3" t="n">
        <v>0</v>
      </c>
      <c r="T249" s="3">
        <f>IF($N249="",10000000000,$N249*100000+$M249)</f>
        <v/>
      </c>
      <c r="U249" s="3">
        <f>$AB$6</f>
        <v/>
      </c>
      <c r="V249" s="3" t="n">
        <v>77</v>
      </c>
      <c r="W249" s="3">
        <f>IF($U249=0,"",IF(INDEX(UCRETLER!$D$7:$D$406,$U249)="","",IF(INDEX(UCRETLER!$F$7:$F$406,$U249)="Aylık",EOMONTH(INDEX(UCRETLER!$D$7:$D$406,$U249),$V249-1),INDEX(UCRETLER!$D$7:$D$406,$U249)+MOD(SISTEM!$F$8-WEEKDAY(INDEX(UCRETLER!$D$7:$D$406,$U249),2),7)+7*($V249-1))))</f>
        <v/>
      </c>
      <c r="X249" s="3">
        <f>IF($U249=0,0,INDEX(UCRETLER!$G$7:$G$406,$U249))</f>
        <v/>
      </c>
      <c r="Y249" s="3">
        <f>IFERROR(SMALL($T$12:$T$372,ROW()-11),"")</f>
        <v/>
      </c>
      <c r="Z249" s="3">
        <f>IFERROR(MATCH($Y249,$T$12:$T$372,0),"")</f>
        <v/>
      </c>
      <c r="AA249" s="3" t="n"/>
      <c r="AB249" s="3" t="n"/>
      <c r="AC249" s="3" t="n"/>
    </row>
    <row r="250">
      <c r="A250" s="6" t="n"/>
      <c r="B250" s="158">
        <f>IF($C250="","",ROW()-11)</f>
        <v/>
      </c>
      <c r="C250" s="247">
        <f>IF($Z250="","",IF(INDEX($N$12:$N$372,$Z250)="","",INDEX($N$12:$N$372,$Z250)))</f>
        <v/>
      </c>
      <c r="D250" s="29">
        <f>IF($C250="","",INDEX($O$12:$O$372,$Z250))</f>
        <v/>
      </c>
      <c r="E250" s="158">
        <f>IF($C250="","",INDEX($P$12:$P$372,$Z250))</f>
        <v/>
      </c>
      <c r="F250" s="29">
        <f>IF($C250="","",INDEX($Q$12:$Q$372,$Z250))</f>
        <v/>
      </c>
      <c r="G250" s="248">
        <f>IF($C250="","",INDEX($R$12:$R$372,$Z250))</f>
        <v/>
      </c>
      <c r="H250" s="248">
        <f>IF($C250="","",INDEX($S$12:$S$372,$Z250))</f>
        <v/>
      </c>
      <c r="I250" s="248">
        <f>IF($C250="","",N($I249)+$G250-$H250)</f>
        <v/>
      </c>
      <c r="J250" s="6" t="n"/>
      <c r="K250" s="6" t="n"/>
      <c r="L250" s="3" t="n"/>
      <c r="M250" s="3" t="n">
        <v>239</v>
      </c>
      <c r="N250" s="3">
        <f>IF(OR($U250=0,$W250="",$X250&lt;=0),"",IF($W250&gt;TODAY(),"",IF(AND(INDEX(UCRETLER!$E$7:$E$406,$U250)&lt;&gt;"",$W250&gt;INDEX(UCRETLER!$E$7:$E$406,$U250)),"",$W250)))</f>
        <v/>
      </c>
      <c r="O250" s="3">
        <f>IF($N250="","",IF(INDEX(UCRETLER!$F$7:$F$406,$U250)="Aylık",TEXT($N250,"mmmm yyyy")&amp;" aylık muhasebe hizmet ücreti",TEXT($N250,"dd.mm.yyyy")&amp;" haftalık muhasebe hizmet ücreti"))</f>
        <v/>
      </c>
      <c r="P250" s="3">
        <f>IF($N250="","","TAHAKKUK")</f>
        <v/>
      </c>
      <c r="Q250" s="3">
        <f>IF($N250="","","600 Muhasebe Hizmet Geliri")</f>
        <v/>
      </c>
      <c r="R250" s="3">
        <f>IF($N250="",0,$X250)</f>
        <v/>
      </c>
      <c r="S250" s="3" t="n">
        <v>0</v>
      </c>
      <c r="T250" s="3">
        <f>IF($N250="",10000000000,$N250*100000+$M250)</f>
        <v/>
      </c>
      <c r="U250" s="3">
        <f>$AB$6</f>
        <v/>
      </c>
      <c r="V250" s="3" t="n">
        <v>78</v>
      </c>
      <c r="W250" s="3">
        <f>IF($U250=0,"",IF(INDEX(UCRETLER!$D$7:$D$406,$U250)="","",IF(INDEX(UCRETLER!$F$7:$F$406,$U250)="Aylık",EOMONTH(INDEX(UCRETLER!$D$7:$D$406,$U250),$V250-1),INDEX(UCRETLER!$D$7:$D$406,$U250)+MOD(SISTEM!$F$8-WEEKDAY(INDEX(UCRETLER!$D$7:$D$406,$U250),2),7)+7*($V250-1))))</f>
        <v/>
      </c>
      <c r="X250" s="3">
        <f>IF($U250=0,0,INDEX(UCRETLER!$G$7:$G$406,$U250))</f>
        <v/>
      </c>
      <c r="Y250" s="3">
        <f>IFERROR(SMALL($T$12:$T$372,ROW()-11),"")</f>
        <v/>
      </c>
      <c r="Z250" s="3">
        <f>IFERROR(MATCH($Y250,$T$12:$T$372,0),"")</f>
        <v/>
      </c>
      <c r="AA250" s="3" t="n"/>
      <c r="AB250" s="3" t="n"/>
      <c r="AC250" s="3" t="n"/>
    </row>
    <row r="251">
      <c r="A251" s="6" t="n"/>
      <c r="B251" s="158">
        <f>IF($C251="","",ROW()-11)</f>
        <v/>
      </c>
      <c r="C251" s="247">
        <f>IF($Z251="","",IF(INDEX($N$12:$N$372,$Z251)="","",INDEX($N$12:$N$372,$Z251)))</f>
        <v/>
      </c>
      <c r="D251" s="29">
        <f>IF($C251="","",INDEX($O$12:$O$372,$Z251))</f>
        <v/>
      </c>
      <c r="E251" s="158">
        <f>IF($C251="","",INDEX($P$12:$P$372,$Z251))</f>
        <v/>
      </c>
      <c r="F251" s="29">
        <f>IF($C251="","",INDEX($Q$12:$Q$372,$Z251))</f>
        <v/>
      </c>
      <c r="G251" s="248">
        <f>IF($C251="","",INDEX($R$12:$R$372,$Z251))</f>
        <v/>
      </c>
      <c r="H251" s="248">
        <f>IF($C251="","",INDEX($S$12:$S$372,$Z251))</f>
        <v/>
      </c>
      <c r="I251" s="248">
        <f>IF($C251="","",N($I250)+$G251-$H251)</f>
        <v/>
      </c>
      <c r="J251" s="6" t="n"/>
      <c r="K251" s="6" t="n"/>
      <c r="L251" s="3" t="n"/>
      <c r="M251" s="3" t="n">
        <v>240</v>
      </c>
      <c r="N251" s="3">
        <f>IF(OR($U251=0,$W251="",$X251&lt;=0),"",IF($W251&gt;TODAY(),"",IF(AND(INDEX(UCRETLER!$E$7:$E$406,$U251)&lt;&gt;"",$W251&gt;INDEX(UCRETLER!$E$7:$E$406,$U251)),"",$W251)))</f>
        <v/>
      </c>
      <c r="O251" s="3">
        <f>IF($N251="","",IF(INDEX(UCRETLER!$F$7:$F$406,$U251)="Aylık",TEXT($N251,"mmmm yyyy")&amp;" aylık muhasebe hizmet ücreti",TEXT($N251,"dd.mm.yyyy")&amp;" haftalık muhasebe hizmet ücreti"))</f>
        <v/>
      </c>
      <c r="P251" s="3">
        <f>IF($N251="","","TAHAKKUK")</f>
        <v/>
      </c>
      <c r="Q251" s="3">
        <f>IF($N251="","","600 Muhasebe Hizmet Geliri")</f>
        <v/>
      </c>
      <c r="R251" s="3">
        <f>IF($N251="",0,$X251)</f>
        <v/>
      </c>
      <c r="S251" s="3" t="n">
        <v>0</v>
      </c>
      <c r="T251" s="3">
        <f>IF($N251="",10000000000,$N251*100000+$M251)</f>
        <v/>
      </c>
      <c r="U251" s="3">
        <f>$AB$6</f>
        <v/>
      </c>
      <c r="V251" s="3" t="n">
        <v>79</v>
      </c>
      <c r="W251" s="3">
        <f>IF($U251=0,"",IF(INDEX(UCRETLER!$D$7:$D$406,$U251)="","",IF(INDEX(UCRETLER!$F$7:$F$406,$U251)="Aylık",EOMONTH(INDEX(UCRETLER!$D$7:$D$406,$U251),$V251-1),INDEX(UCRETLER!$D$7:$D$406,$U251)+MOD(SISTEM!$F$8-WEEKDAY(INDEX(UCRETLER!$D$7:$D$406,$U251),2),7)+7*($V251-1))))</f>
        <v/>
      </c>
      <c r="X251" s="3">
        <f>IF($U251=0,0,INDEX(UCRETLER!$G$7:$G$406,$U251))</f>
        <v/>
      </c>
      <c r="Y251" s="3">
        <f>IFERROR(SMALL($T$12:$T$372,ROW()-11),"")</f>
        <v/>
      </c>
      <c r="Z251" s="3">
        <f>IFERROR(MATCH($Y251,$T$12:$T$372,0),"")</f>
        <v/>
      </c>
      <c r="AA251" s="3" t="n"/>
      <c r="AB251" s="3" t="n"/>
      <c r="AC251" s="3" t="n"/>
    </row>
    <row r="252">
      <c r="A252" s="6" t="n"/>
      <c r="B252" s="158">
        <f>IF($C252="","",ROW()-11)</f>
        <v/>
      </c>
      <c r="C252" s="247">
        <f>IF($Z252="","",IF(INDEX($N$12:$N$372,$Z252)="","",INDEX($N$12:$N$372,$Z252)))</f>
        <v/>
      </c>
      <c r="D252" s="29">
        <f>IF($C252="","",INDEX($O$12:$O$372,$Z252))</f>
        <v/>
      </c>
      <c r="E252" s="158">
        <f>IF($C252="","",INDEX($P$12:$P$372,$Z252))</f>
        <v/>
      </c>
      <c r="F252" s="29">
        <f>IF($C252="","",INDEX($Q$12:$Q$372,$Z252))</f>
        <v/>
      </c>
      <c r="G252" s="248">
        <f>IF($C252="","",INDEX($R$12:$R$372,$Z252))</f>
        <v/>
      </c>
      <c r="H252" s="248">
        <f>IF($C252="","",INDEX($S$12:$S$372,$Z252))</f>
        <v/>
      </c>
      <c r="I252" s="248">
        <f>IF($C252="","",N($I251)+$G252-$H252)</f>
        <v/>
      </c>
      <c r="J252" s="6" t="n"/>
      <c r="K252" s="6" t="n"/>
      <c r="L252" s="3" t="n"/>
      <c r="M252" s="3" t="n">
        <v>241</v>
      </c>
      <c r="N252" s="3">
        <f>IF(OR($U252=0,$W252="",$X252&lt;=0),"",IF($W252&gt;TODAY(),"",IF(AND(INDEX(UCRETLER!$E$7:$E$406,$U252)&lt;&gt;"",$W252&gt;INDEX(UCRETLER!$E$7:$E$406,$U252)),"",$W252)))</f>
        <v/>
      </c>
      <c r="O252" s="3">
        <f>IF($N252="","",IF(INDEX(UCRETLER!$F$7:$F$406,$U252)="Aylık",TEXT($N252,"mmmm yyyy")&amp;" aylık muhasebe hizmet ücreti",TEXT($N252,"dd.mm.yyyy")&amp;" haftalık muhasebe hizmet ücreti"))</f>
        <v/>
      </c>
      <c r="P252" s="3">
        <f>IF($N252="","","TAHAKKUK")</f>
        <v/>
      </c>
      <c r="Q252" s="3">
        <f>IF($N252="","","600 Muhasebe Hizmet Geliri")</f>
        <v/>
      </c>
      <c r="R252" s="3">
        <f>IF($N252="",0,$X252)</f>
        <v/>
      </c>
      <c r="S252" s="3" t="n">
        <v>0</v>
      </c>
      <c r="T252" s="3">
        <f>IF($N252="",10000000000,$N252*100000+$M252)</f>
        <v/>
      </c>
      <c r="U252" s="3">
        <f>$AB$6</f>
        <v/>
      </c>
      <c r="V252" s="3" t="n">
        <v>80</v>
      </c>
      <c r="W252" s="3">
        <f>IF($U252=0,"",IF(INDEX(UCRETLER!$D$7:$D$406,$U252)="","",IF(INDEX(UCRETLER!$F$7:$F$406,$U252)="Aylık",EOMONTH(INDEX(UCRETLER!$D$7:$D$406,$U252),$V252-1),INDEX(UCRETLER!$D$7:$D$406,$U252)+MOD(SISTEM!$F$8-WEEKDAY(INDEX(UCRETLER!$D$7:$D$406,$U252),2),7)+7*($V252-1))))</f>
        <v/>
      </c>
      <c r="X252" s="3">
        <f>IF($U252=0,0,INDEX(UCRETLER!$G$7:$G$406,$U252))</f>
        <v/>
      </c>
      <c r="Y252" s="3">
        <f>IFERROR(SMALL($T$12:$T$372,ROW()-11),"")</f>
        <v/>
      </c>
      <c r="Z252" s="3">
        <f>IFERROR(MATCH($Y252,$T$12:$T$372,0),"")</f>
        <v/>
      </c>
      <c r="AA252" s="3" t="n"/>
      <c r="AB252" s="3" t="n"/>
      <c r="AC252" s="3" t="n"/>
    </row>
    <row r="253">
      <c r="A253" s="6" t="n"/>
      <c r="B253" s="158">
        <f>IF($C253="","",ROW()-11)</f>
        <v/>
      </c>
      <c r="C253" s="247">
        <f>IF($Z253="","",IF(INDEX($N$12:$N$372,$Z253)="","",INDEX($N$12:$N$372,$Z253)))</f>
        <v/>
      </c>
      <c r="D253" s="29">
        <f>IF($C253="","",INDEX($O$12:$O$372,$Z253))</f>
        <v/>
      </c>
      <c r="E253" s="158">
        <f>IF($C253="","",INDEX($P$12:$P$372,$Z253))</f>
        <v/>
      </c>
      <c r="F253" s="29">
        <f>IF($C253="","",INDEX($Q$12:$Q$372,$Z253))</f>
        <v/>
      </c>
      <c r="G253" s="248">
        <f>IF($C253="","",INDEX($R$12:$R$372,$Z253))</f>
        <v/>
      </c>
      <c r="H253" s="248">
        <f>IF($C253="","",INDEX($S$12:$S$372,$Z253))</f>
        <v/>
      </c>
      <c r="I253" s="248">
        <f>IF($C253="","",N($I252)+$G253-$H253)</f>
        <v/>
      </c>
      <c r="J253" s="6" t="n"/>
      <c r="K253" s="6" t="n"/>
      <c r="L253" s="3" t="n"/>
      <c r="M253" s="3" t="n">
        <v>242</v>
      </c>
      <c r="N253" s="3">
        <f>IF($U253=0,"",INDEX(TAHSILAT!$E$7:$E$1506,$U253))</f>
        <v/>
      </c>
      <c r="O253" s="3">
        <f>IF($N253="","","Tahsilat  –  "&amp;INDEX(TAHSILAT!$H$7:$H$1506,$U253)&amp;IF(INDEX(TAHSILAT!$J$7:$J$1506,$U253)="",""," / "&amp;INDEX(TAHSILAT!$J$7:$J$1506,$U253)))</f>
        <v/>
      </c>
      <c r="P253" s="3">
        <f>IF($N253="","","TAHSİLAT")</f>
        <v/>
      </c>
      <c r="Q253" s="3">
        <f>IF($N253="","",INDEX(TAHSILAT!$G$7:$G$1506,$U253))</f>
        <v/>
      </c>
      <c r="R253" s="3" t="n">
        <v>0</v>
      </c>
      <c r="S253" s="3">
        <f>IF($N253="",0,INDEX(TAHSILAT!$F$7:$F$1506,$U253))</f>
        <v/>
      </c>
      <c r="T253" s="3">
        <f>IF($N253="",10000000000,$N253*100000+$M253)</f>
        <v/>
      </c>
      <c r="U253" s="3">
        <f>IFERROR(MATCH($AC$4&amp;"|1",TAHSILAT!$Q$7:$Q$1506,0),0)</f>
        <v/>
      </c>
      <c r="V253" s="3" t="n"/>
      <c r="W253" s="3" t="n"/>
      <c r="X253" s="3" t="n"/>
      <c r="Y253" s="3">
        <f>IFERROR(SMALL($T$12:$T$372,ROW()-11),"")</f>
        <v/>
      </c>
      <c r="Z253" s="3">
        <f>IFERROR(MATCH($Y253,$T$12:$T$372,0),"")</f>
        <v/>
      </c>
      <c r="AA253" s="3" t="n"/>
      <c r="AB253" s="3" t="n"/>
      <c r="AC253" s="3" t="n"/>
    </row>
    <row r="254">
      <c r="A254" s="6" t="n"/>
      <c r="B254" s="158">
        <f>IF($C254="","",ROW()-11)</f>
        <v/>
      </c>
      <c r="C254" s="247">
        <f>IF($Z254="","",IF(INDEX($N$12:$N$372,$Z254)="","",INDEX($N$12:$N$372,$Z254)))</f>
        <v/>
      </c>
      <c r="D254" s="29">
        <f>IF($C254="","",INDEX($O$12:$O$372,$Z254))</f>
        <v/>
      </c>
      <c r="E254" s="158">
        <f>IF($C254="","",INDEX($P$12:$P$372,$Z254))</f>
        <v/>
      </c>
      <c r="F254" s="29">
        <f>IF($C254="","",INDEX($Q$12:$Q$372,$Z254))</f>
        <v/>
      </c>
      <c r="G254" s="248">
        <f>IF($C254="","",INDEX($R$12:$R$372,$Z254))</f>
        <v/>
      </c>
      <c r="H254" s="248">
        <f>IF($C254="","",INDEX($S$12:$S$372,$Z254))</f>
        <v/>
      </c>
      <c r="I254" s="248">
        <f>IF($C254="","",N($I253)+$G254-$H254)</f>
        <v/>
      </c>
      <c r="J254" s="6" t="n"/>
      <c r="K254" s="6" t="n"/>
      <c r="L254" s="3" t="n"/>
      <c r="M254" s="3" t="n">
        <v>243</v>
      </c>
      <c r="N254" s="3">
        <f>IF($U254=0,"",INDEX(TAHSILAT!$E$7:$E$1506,$U254))</f>
        <v/>
      </c>
      <c r="O254" s="3">
        <f>IF($N254="","","Tahsilat  –  "&amp;INDEX(TAHSILAT!$H$7:$H$1506,$U254)&amp;IF(INDEX(TAHSILAT!$J$7:$J$1506,$U254)="",""," / "&amp;INDEX(TAHSILAT!$J$7:$J$1506,$U254)))</f>
        <v/>
      </c>
      <c r="P254" s="3">
        <f>IF($N254="","","TAHSİLAT")</f>
        <v/>
      </c>
      <c r="Q254" s="3">
        <f>IF($N254="","",INDEX(TAHSILAT!$G$7:$G$1506,$U254))</f>
        <v/>
      </c>
      <c r="R254" s="3" t="n">
        <v>0</v>
      </c>
      <c r="S254" s="3">
        <f>IF($N254="",0,INDEX(TAHSILAT!$F$7:$F$1506,$U254))</f>
        <v/>
      </c>
      <c r="T254" s="3">
        <f>IF($N254="",10000000000,$N254*100000+$M254)</f>
        <v/>
      </c>
      <c r="U254" s="3">
        <f>IFERROR(MATCH($AC$4&amp;"|2",TAHSILAT!$Q$7:$Q$1506,0),0)</f>
        <v/>
      </c>
      <c r="V254" s="3" t="n"/>
      <c r="W254" s="3" t="n"/>
      <c r="X254" s="3" t="n"/>
      <c r="Y254" s="3">
        <f>IFERROR(SMALL($T$12:$T$372,ROW()-11),"")</f>
        <v/>
      </c>
      <c r="Z254" s="3">
        <f>IFERROR(MATCH($Y254,$T$12:$T$372,0),"")</f>
        <v/>
      </c>
      <c r="AA254" s="3" t="n"/>
      <c r="AB254" s="3" t="n"/>
      <c r="AC254" s="3" t="n"/>
    </row>
    <row r="255">
      <c r="A255" s="6" t="n"/>
      <c r="B255" s="158">
        <f>IF($C255="","",ROW()-11)</f>
        <v/>
      </c>
      <c r="C255" s="247">
        <f>IF($Z255="","",IF(INDEX($N$12:$N$372,$Z255)="","",INDEX($N$12:$N$372,$Z255)))</f>
        <v/>
      </c>
      <c r="D255" s="29">
        <f>IF($C255="","",INDEX($O$12:$O$372,$Z255))</f>
        <v/>
      </c>
      <c r="E255" s="158">
        <f>IF($C255="","",INDEX($P$12:$P$372,$Z255))</f>
        <v/>
      </c>
      <c r="F255" s="29">
        <f>IF($C255="","",INDEX($Q$12:$Q$372,$Z255))</f>
        <v/>
      </c>
      <c r="G255" s="248">
        <f>IF($C255="","",INDEX($R$12:$R$372,$Z255))</f>
        <v/>
      </c>
      <c r="H255" s="248">
        <f>IF($C255="","",INDEX($S$12:$S$372,$Z255))</f>
        <v/>
      </c>
      <c r="I255" s="248">
        <f>IF($C255="","",N($I254)+$G255-$H255)</f>
        <v/>
      </c>
      <c r="J255" s="6" t="n"/>
      <c r="K255" s="6" t="n"/>
      <c r="L255" s="3" t="n"/>
      <c r="M255" s="3" t="n">
        <v>244</v>
      </c>
      <c r="N255" s="3">
        <f>IF($U255=0,"",INDEX(TAHSILAT!$E$7:$E$1506,$U255))</f>
        <v/>
      </c>
      <c r="O255" s="3">
        <f>IF($N255="","","Tahsilat  –  "&amp;INDEX(TAHSILAT!$H$7:$H$1506,$U255)&amp;IF(INDEX(TAHSILAT!$J$7:$J$1506,$U255)="",""," / "&amp;INDEX(TAHSILAT!$J$7:$J$1506,$U255)))</f>
        <v/>
      </c>
      <c r="P255" s="3">
        <f>IF($N255="","","TAHSİLAT")</f>
        <v/>
      </c>
      <c r="Q255" s="3">
        <f>IF($N255="","",INDEX(TAHSILAT!$G$7:$G$1506,$U255))</f>
        <v/>
      </c>
      <c r="R255" s="3" t="n">
        <v>0</v>
      </c>
      <c r="S255" s="3">
        <f>IF($N255="",0,INDEX(TAHSILAT!$F$7:$F$1506,$U255))</f>
        <v/>
      </c>
      <c r="T255" s="3">
        <f>IF($N255="",10000000000,$N255*100000+$M255)</f>
        <v/>
      </c>
      <c r="U255" s="3">
        <f>IFERROR(MATCH($AC$4&amp;"|3",TAHSILAT!$Q$7:$Q$1506,0),0)</f>
        <v/>
      </c>
      <c r="V255" s="3" t="n"/>
      <c r="W255" s="3" t="n"/>
      <c r="X255" s="3" t="n"/>
      <c r="Y255" s="3">
        <f>IFERROR(SMALL($T$12:$T$372,ROW()-11),"")</f>
        <v/>
      </c>
      <c r="Z255" s="3">
        <f>IFERROR(MATCH($Y255,$T$12:$T$372,0),"")</f>
        <v/>
      </c>
      <c r="AA255" s="3" t="n"/>
      <c r="AB255" s="3" t="n"/>
      <c r="AC255" s="3" t="n"/>
    </row>
    <row r="256">
      <c r="A256" s="6" t="n"/>
      <c r="B256" s="158">
        <f>IF($C256="","",ROW()-11)</f>
        <v/>
      </c>
      <c r="C256" s="247">
        <f>IF($Z256="","",IF(INDEX($N$12:$N$372,$Z256)="","",INDEX($N$12:$N$372,$Z256)))</f>
        <v/>
      </c>
      <c r="D256" s="29">
        <f>IF($C256="","",INDEX($O$12:$O$372,$Z256))</f>
        <v/>
      </c>
      <c r="E256" s="158">
        <f>IF($C256="","",INDEX($P$12:$P$372,$Z256))</f>
        <v/>
      </c>
      <c r="F256" s="29">
        <f>IF($C256="","",INDEX($Q$12:$Q$372,$Z256))</f>
        <v/>
      </c>
      <c r="G256" s="248">
        <f>IF($C256="","",INDEX($R$12:$R$372,$Z256))</f>
        <v/>
      </c>
      <c r="H256" s="248">
        <f>IF($C256="","",INDEX($S$12:$S$372,$Z256))</f>
        <v/>
      </c>
      <c r="I256" s="248">
        <f>IF($C256="","",N($I255)+$G256-$H256)</f>
        <v/>
      </c>
      <c r="J256" s="6" t="n"/>
      <c r="K256" s="6" t="n"/>
      <c r="L256" s="3" t="n"/>
      <c r="M256" s="3" t="n">
        <v>245</v>
      </c>
      <c r="N256" s="3">
        <f>IF($U256=0,"",INDEX(TAHSILAT!$E$7:$E$1506,$U256))</f>
        <v/>
      </c>
      <c r="O256" s="3">
        <f>IF($N256="","","Tahsilat  –  "&amp;INDEX(TAHSILAT!$H$7:$H$1506,$U256)&amp;IF(INDEX(TAHSILAT!$J$7:$J$1506,$U256)="",""," / "&amp;INDEX(TAHSILAT!$J$7:$J$1506,$U256)))</f>
        <v/>
      </c>
      <c r="P256" s="3">
        <f>IF($N256="","","TAHSİLAT")</f>
        <v/>
      </c>
      <c r="Q256" s="3">
        <f>IF($N256="","",INDEX(TAHSILAT!$G$7:$G$1506,$U256))</f>
        <v/>
      </c>
      <c r="R256" s="3" t="n">
        <v>0</v>
      </c>
      <c r="S256" s="3">
        <f>IF($N256="",0,INDEX(TAHSILAT!$F$7:$F$1506,$U256))</f>
        <v/>
      </c>
      <c r="T256" s="3">
        <f>IF($N256="",10000000000,$N256*100000+$M256)</f>
        <v/>
      </c>
      <c r="U256" s="3">
        <f>IFERROR(MATCH($AC$4&amp;"|4",TAHSILAT!$Q$7:$Q$1506,0),0)</f>
        <v/>
      </c>
      <c r="V256" s="3" t="n"/>
      <c r="W256" s="3" t="n"/>
      <c r="X256" s="3" t="n"/>
      <c r="Y256" s="3">
        <f>IFERROR(SMALL($T$12:$T$372,ROW()-11),"")</f>
        <v/>
      </c>
      <c r="Z256" s="3">
        <f>IFERROR(MATCH($Y256,$T$12:$T$372,0),"")</f>
        <v/>
      </c>
      <c r="AA256" s="3" t="n"/>
      <c r="AB256" s="3" t="n"/>
      <c r="AC256" s="3" t="n"/>
    </row>
    <row r="257">
      <c r="A257" s="6" t="n"/>
      <c r="B257" s="158">
        <f>IF($C257="","",ROW()-11)</f>
        <v/>
      </c>
      <c r="C257" s="247">
        <f>IF($Z257="","",IF(INDEX($N$12:$N$372,$Z257)="","",INDEX($N$12:$N$372,$Z257)))</f>
        <v/>
      </c>
      <c r="D257" s="29">
        <f>IF($C257="","",INDEX($O$12:$O$372,$Z257))</f>
        <v/>
      </c>
      <c r="E257" s="158">
        <f>IF($C257="","",INDEX($P$12:$P$372,$Z257))</f>
        <v/>
      </c>
      <c r="F257" s="29">
        <f>IF($C257="","",INDEX($Q$12:$Q$372,$Z257))</f>
        <v/>
      </c>
      <c r="G257" s="248">
        <f>IF($C257="","",INDEX($R$12:$R$372,$Z257))</f>
        <v/>
      </c>
      <c r="H257" s="248">
        <f>IF($C257="","",INDEX($S$12:$S$372,$Z257))</f>
        <v/>
      </c>
      <c r="I257" s="248">
        <f>IF($C257="","",N($I256)+$G257-$H257)</f>
        <v/>
      </c>
      <c r="J257" s="6" t="n"/>
      <c r="K257" s="6" t="n"/>
      <c r="L257" s="3" t="n"/>
      <c r="M257" s="3" t="n">
        <v>246</v>
      </c>
      <c r="N257" s="3">
        <f>IF($U257=0,"",INDEX(TAHSILAT!$E$7:$E$1506,$U257))</f>
        <v/>
      </c>
      <c r="O257" s="3">
        <f>IF($N257="","","Tahsilat  –  "&amp;INDEX(TAHSILAT!$H$7:$H$1506,$U257)&amp;IF(INDEX(TAHSILAT!$J$7:$J$1506,$U257)="",""," / "&amp;INDEX(TAHSILAT!$J$7:$J$1506,$U257)))</f>
        <v/>
      </c>
      <c r="P257" s="3">
        <f>IF($N257="","","TAHSİLAT")</f>
        <v/>
      </c>
      <c r="Q257" s="3">
        <f>IF($N257="","",INDEX(TAHSILAT!$G$7:$G$1506,$U257))</f>
        <v/>
      </c>
      <c r="R257" s="3" t="n">
        <v>0</v>
      </c>
      <c r="S257" s="3">
        <f>IF($N257="",0,INDEX(TAHSILAT!$F$7:$F$1506,$U257))</f>
        <v/>
      </c>
      <c r="T257" s="3">
        <f>IF($N257="",10000000000,$N257*100000+$M257)</f>
        <v/>
      </c>
      <c r="U257" s="3">
        <f>IFERROR(MATCH($AC$4&amp;"|5",TAHSILAT!$Q$7:$Q$1506,0),0)</f>
        <v/>
      </c>
      <c r="V257" s="3" t="n"/>
      <c r="W257" s="3" t="n"/>
      <c r="X257" s="3" t="n"/>
      <c r="Y257" s="3">
        <f>IFERROR(SMALL($T$12:$T$372,ROW()-11),"")</f>
        <v/>
      </c>
      <c r="Z257" s="3">
        <f>IFERROR(MATCH($Y257,$T$12:$T$372,0),"")</f>
        <v/>
      </c>
      <c r="AA257" s="3" t="n"/>
      <c r="AB257" s="3" t="n"/>
      <c r="AC257" s="3" t="n"/>
    </row>
    <row r="258">
      <c r="A258" s="6" t="n"/>
      <c r="B258" s="158">
        <f>IF($C258="","",ROW()-11)</f>
        <v/>
      </c>
      <c r="C258" s="247">
        <f>IF($Z258="","",IF(INDEX($N$12:$N$372,$Z258)="","",INDEX($N$12:$N$372,$Z258)))</f>
        <v/>
      </c>
      <c r="D258" s="29">
        <f>IF($C258="","",INDEX($O$12:$O$372,$Z258))</f>
        <v/>
      </c>
      <c r="E258" s="158">
        <f>IF($C258="","",INDEX($P$12:$P$372,$Z258))</f>
        <v/>
      </c>
      <c r="F258" s="29">
        <f>IF($C258="","",INDEX($Q$12:$Q$372,$Z258))</f>
        <v/>
      </c>
      <c r="G258" s="248">
        <f>IF($C258="","",INDEX($R$12:$R$372,$Z258))</f>
        <v/>
      </c>
      <c r="H258" s="248">
        <f>IF($C258="","",INDEX($S$12:$S$372,$Z258))</f>
        <v/>
      </c>
      <c r="I258" s="248">
        <f>IF($C258="","",N($I257)+$G258-$H258)</f>
        <v/>
      </c>
      <c r="J258" s="6" t="n"/>
      <c r="K258" s="6" t="n"/>
      <c r="L258" s="3" t="n"/>
      <c r="M258" s="3" t="n">
        <v>247</v>
      </c>
      <c r="N258" s="3">
        <f>IF($U258=0,"",INDEX(TAHSILAT!$E$7:$E$1506,$U258))</f>
        <v/>
      </c>
      <c r="O258" s="3">
        <f>IF($N258="","","Tahsilat  –  "&amp;INDEX(TAHSILAT!$H$7:$H$1506,$U258)&amp;IF(INDEX(TAHSILAT!$J$7:$J$1506,$U258)="",""," / "&amp;INDEX(TAHSILAT!$J$7:$J$1506,$U258)))</f>
        <v/>
      </c>
      <c r="P258" s="3">
        <f>IF($N258="","","TAHSİLAT")</f>
        <v/>
      </c>
      <c r="Q258" s="3">
        <f>IF($N258="","",INDEX(TAHSILAT!$G$7:$G$1506,$U258))</f>
        <v/>
      </c>
      <c r="R258" s="3" t="n">
        <v>0</v>
      </c>
      <c r="S258" s="3">
        <f>IF($N258="",0,INDEX(TAHSILAT!$F$7:$F$1506,$U258))</f>
        <v/>
      </c>
      <c r="T258" s="3">
        <f>IF($N258="",10000000000,$N258*100000+$M258)</f>
        <v/>
      </c>
      <c r="U258" s="3">
        <f>IFERROR(MATCH($AC$4&amp;"|6",TAHSILAT!$Q$7:$Q$1506,0),0)</f>
        <v/>
      </c>
      <c r="V258" s="3" t="n"/>
      <c r="W258" s="3" t="n"/>
      <c r="X258" s="3" t="n"/>
      <c r="Y258" s="3">
        <f>IFERROR(SMALL($T$12:$T$372,ROW()-11),"")</f>
        <v/>
      </c>
      <c r="Z258" s="3">
        <f>IFERROR(MATCH($Y258,$T$12:$T$372,0),"")</f>
        <v/>
      </c>
      <c r="AA258" s="3" t="n"/>
      <c r="AB258" s="3" t="n"/>
      <c r="AC258" s="3" t="n"/>
    </row>
    <row r="259">
      <c r="A259" s="6" t="n"/>
      <c r="B259" s="158">
        <f>IF($C259="","",ROW()-11)</f>
        <v/>
      </c>
      <c r="C259" s="247">
        <f>IF($Z259="","",IF(INDEX($N$12:$N$372,$Z259)="","",INDEX($N$12:$N$372,$Z259)))</f>
        <v/>
      </c>
      <c r="D259" s="29">
        <f>IF($C259="","",INDEX($O$12:$O$372,$Z259))</f>
        <v/>
      </c>
      <c r="E259" s="158">
        <f>IF($C259="","",INDEX($P$12:$P$372,$Z259))</f>
        <v/>
      </c>
      <c r="F259" s="29">
        <f>IF($C259="","",INDEX($Q$12:$Q$372,$Z259))</f>
        <v/>
      </c>
      <c r="G259" s="248">
        <f>IF($C259="","",INDEX($R$12:$R$372,$Z259))</f>
        <v/>
      </c>
      <c r="H259" s="248">
        <f>IF($C259="","",INDEX($S$12:$S$372,$Z259))</f>
        <v/>
      </c>
      <c r="I259" s="248">
        <f>IF($C259="","",N($I258)+$G259-$H259)</f>
        <v/>
      </c>
      <c r="J259" s="6" t="n"/>
      <c r="K259" s="6" t="n"/>
      <c r="L259" s="3" t="n"/>
      <c r="M259" s="3" t="n">
        <v>248</v>
      </c>
      <c r="N259" s="3">
        <f>IF($U259=0,"",INDEX(TAHSILAT!$E$7:$E$1506,$U259))</f>
        <v/>
      </c>
      <c r="O259" s="3">
        <f>IF($N259="","","Tahsilat  –  "&amp;INDEX(TAHSILAT!$H$7:$H$1506,$U259)&amp;IF(INDEX(TAHSILAT!$J$7:$J$1506,$U259)="",""," / "&amp;INDEX(TAHSILAT!$J$7:$J$1506,$U259)))</f>
        <v/>
      </c>
      <c r="P259" s="3">
        <f>IF($N259="","","TAHSİLAT")</f>
        <v/>
      </c>
      <c r="Q259" s="3">
        <f>IF($N259="","",INDEX(TAHSILAT!$G$7:$G$1506,$U259))</f>
        <v/>
      </c>
      <c r="R259" s="3" t="n">
        <v>0</v>
      </c>
      <c r="S259" s="3">
        <f>IF($N259="",0,INDEX(TAHSILAT!$F$7:$F$1506,$U259))</f>
        <v/>
      </c>
      <c r="T259" s="3">
        <f>IF($N259="",10000000000,$N259*100000+$M259)</f>
        <v/>
      </c>
      <c r="U259" s="3">
        <f>IFERROR(MATCH($AC$4&amp;"|7",TAHSILAT!$Q$7:$Q$1506,0),0)</f>
        <v/>
      </c>
      <c r="V259" s="3" t="n"/>
      <c r="W259" s="3" t="n"/>
      <c r="X259" s="3" t="n"/>
      <c r="Y259" s="3">
        <f>IFERROR(SMALL($T$12:$T$372,ROW()-11),"")</f>
        <v/>
      </c>
      <c r="Z259" s="3">
        <f>IFERROR(MATCH($Y259,$T$12:$T$372,0),"")</f>
        <v/>
      </c>
      <c r="AA259" s="3" t="n"/>
      <c r="AB259" s="3" t="n"/>
      <c r="AC259" s="3" t="n"/>
    </row>
    <row r="260">
      <c r="A260" s="6" t="n"/>
      <c r="B260" s="158">
        <f>IF($C260="","",ROW()-11)</f>
        <v/>
      </c>
      <c r="C260" s="247">
        <f>IF($Z260="","",IF(INDEX($N$12:$N$372,$Z260)="","",INDEX($N$12:$N$372,$Z260)))</f>
        <v/>
      </c>
      <c r="D260" s="29">
        <f>IF($C260="","",INDEX($O$12:$O$372,$Z260))</f>
        <v/>
      </c>
      <c r="E260" s="158">
        <f>IF($C260="","",INDEX($P$12:$P$372,$Z260))</f>
        <v/>
      </c>
      <c r="F260" s="29">
        <f>IF($C260="","",INDEX($Q$12:$Q$372,$Z260))</f>
        <v/>
      </c>
      <c r="G260" s="248">
        <f>IF($C260="","",INDEX($R$12:$R$372,$Z260))</f>
        <v/>
      </c>
      <c r="H260" s="248">
        <f>IF($C260="","",INDEX($S$12:$S$372,$Z260))</f>
        <v/>
      </c>
      <c r="I260" s="248">
        <f>IF($C260="","",N($I259)+$G260-$H260)</f>
        <v/>
      </c>
      <c r="J260" s="6" t="n"/>
      <c r="K260" s="6" t="n"/>
      <c r="L260" s="3" t="n"/>
      <c r="M260" s="3" t="n">
        <v>249</v>
      </c>
      <c r="N260" s="3">
        <f>IF($U260=0,"",INDEX(TAHSILAT!$E$7:$E$1506,$U260))</f>
        <v/>
      </c>
      <c r="O260" s="3">
        <f>IF($N260="","","Tahsilat  –  "&amp;INDEX(TAHSILAT!$H$7:$H$1506,$U260)&amp;IF(INDEX(TAHSILAT!$J$7:$J$1506,$U260)="",""," / "&amp;INDEX(TAHSILAT!$J$7:$J$1506,$U260)))</f>
        <v/>
      </c>
      <c r="P260" s="3">
        <f>IF($N260="","","TAHSİLAT")</f>
        <v/>
      </c>
      <c r="Q260" s="3">
        <f>IF($N260="","",INDEX(TAHSILAT!$G$7:$G$1506,$U260))</f>
        <v/>
      </c>
      <c r="R260" s="3" t="n">
        <v>0</v>
      </c>
      <c r="S260" s="3">
        <f>IF($N260="",0,INDEX(TAHSILAT!$F$7:$F$1506,$U260))</f>
        <v/>
      </c>
      <c r="T260" s="3">
        <f>IF($N260="",10000000000,$N260*100000+$M260)</f>
        <v/>
      </c>
      <c r="U260" s="3">
        <f>IFERROR(MATCH($AC$4&amp;"|8",TAHSILAT!$Q$7:$Q$1506,0),0)</f>
        <v/>
      </c>
      <c r="V260" s="3" t="n"/>
      <c r="W260" s="3" t="n"/>
      <c r="X260" s="3" t="n"/>
      <c r="Y260" s="3">
        <f>IFERROR(SMALL($T$12:$T$372,ROW()-11),"")</f>
        <v/>
      </c>
      <c r="Z260" s="3">
        <f>IFERROR(MATCH($Y260,$T$12:$T$372,0),"")</f>
        <v/>
      </c>
      <c r="AA260" s="3" t="n"/>
      <c r="AB260" s="3" t="n"/>
      <c r="AC260" s="3" t="n"/>
    </row>
    <row r="261">
      <c r="A261" s="6" t="n"/>
      <c r="B261" s="158">
        <f>IF($C261="","",ROW()-11)</f>
        <v/>
      </c>
      <c r="C261" s="247">
        <f>IF($Z261="","",IF(INDEX($N$12:$N$372,$Z261)="","",INDEX($N$12:$N$372,$Z261)))</f>
        <v/>
      </c>
      <c r="D261" s="29">
        <f>IF($C261="","",INDEX($O$12:$O$372,$Z261))</f>
        <v/>
      </c>
      <c r="E261" s="158">
        <f>IF($C261="","",INDEX($P$12:$P$372,$Z261))</f>
        <v/>
      </c>
      <c r="F261" s="29">
        <f>IF($C261="","",INDEX($Q$12:$Q$372,$Z261))</f>
        <v/>
      </c>
      <c r="G261" s="248">
        <f>IF($C261="","",INDEX($R$12:$R$372,$Z261))</f>
        <v/>
      </c>
      <c r="H261" s="248">
        <f>IF($C261="","",INDEX($S$12:$S$372,$Z261))</f>
        <v/>
      </c>
      <c r="I261" s="248">
        <f>IF($C261="","",N($I260)+$G261-$H261)</f>
        <v/>
      </c>
      <c r="J261" s="6" t="n"/>
      <c r="K261" s="6" t="n"/>
      <c r="L261" s="3" t="n"/>
      <c r="M261" s="3" t="n">
        <v>250</v>
      </c>
      <c r="N261" s="3">
        <f>IF($U261=0,"",INDEX(TAHSILAT!$E$7:$E$1506,$U261))</f>
        <v/>
      </c>
      <c r="O261" s="3">
        <f>IF($N261="","","Tahsilat  –  "&amp;INDEX(TAHSILAT!$H$7:$H$1506,$U261)&amp;IF(INDEX(TAHSILAT!$J$7:$J$1506,$U261)="",""," / "&amp;INDEX(TAHSILAT!$J$7:$J$1506,$U261)))</f>
        <v/>
      </c>
      <c r="P261" s="3">
        <f>IF($N261="","","TAHSİLAT")</f>
        <v/>
      </c>
      <c r="Q261" s="3">
        <f>IF($N261="","",INDEX(TAHSILAT!$G$7:$G$1506,$U261))</f>
        <v/>
      </c>
      <c r="R261" s="3" t="n">
        <v>0</v>
      </c>
      <c r="S261" s="3">
        <f>IF($N261="",0,INDEX(TAHSILAT!$F$7:$F$1506,$U261))</f>
        <v/>
      </c>
      <c r="T261" s="3">
        <f>IF($N261="",10000000000,$N261*100000+$M261)</f>
        <v/>
      </c>
      <c r="U261" s="3">
        <f>IFERROR(MATCH($AC$4&amp;"|9",TAHSILAT!$Q$7:$Q$1506,0),0)</f>
        <v/>
      </c>
      <c r="V261" s="3" t="n"/>
      <c r="W261" s="3" t="n"/>
      <c r="X261" s="3" t="n"/>
      <c r="Y261" s="3">
        <f>IFERROR(SMALL($T$12:$T$372,ROW()-11),"")</f>
        <v/>
      </c>
      <c r="Z261" s="3">
        <f>IFERROR(MATCH($Y261,$T$12:$T$372,0),"")</f>
        <v/>
      </c>
      <c r="AA261" s="3" t="n"/>
      <c r="AB261" s="3" t="n"/>
      <c r="AC261" s="3" t="n"/>
    </row>
    <row r="262">
      <c r="A262" s="6" t="n"/>
      <c r="B262" s="158">
        <f>IF($C262="","",ROW()-11)</f>
        <v/>
      </c>
      <c r="C262" s="247">
        <f>IF($Z262="","",IF(INDEX($N$12:$N$372,$Z262)="","",INDEX($N$12:$N$372,$Z262)))</f>
        <v/>
      </c>
      <c r="D262" s="29">
        <f>IF($C262="","",INDEX($O$12:$O$372,$Z262))</f>
        <v/>
      </c>
      <c r="E262" s="158">
        <f>IF($C262="","",INDEX($P$12:$P$372,$Z262))</f>
        <v/>
      </c>
      <c r="F262" s="29">
        <f>IF($C262="","",INDEX($Q$12:$Q$372,$Z262))</f>
        <v/>
      </c>
      <c r="G262" s="248">
        <f>IF($C262="","",INDEX($R$12:$R$372,$Z262))</f>
        <v/>
      </c>
      <c r="H262" s="248">
        <f>IF($C262="","",INDEX($S$12:$S$372,$Z262))</f>
        <v/>
      </c>
      <c r="I262" s="248">
        <f>IF($C262="","",N($I261)+$G262-$H262)</f>
        <v/>
      </c>
      <c r="J262" s="6" t="n"/>
      <c r="K262" s="6" t="n"/>
      <c r="L262" s="3" t="n"/>
      <c r="M262" s="3" t="n">
        <v>251</v>
      </c>
      <c r="N262" s="3">
        <f>IF($U262=0,"",INDEX(TAHSILAT!$E$7:$E$1506,$U262))</f>
        <v/>
      </c>
      <c r="O262" s="3">
        <f>IF($N262="","","Tahsilat  –  "&amp;INDEX(TAHSILAT!$H$7:$H$1506,$U262)&amp;IF(INDEX(TAHSILAT!$J$7:$J$1506,$U262)="",""," / "&amp;INDEX(TAHSILAT!$J$7:$J$1506,$U262)))</f>
        <v/>
      </c>
      <c r="P262" s="3">
        <f>IF($N262="","","TAHSİLAT")</f>
        <v/>
      </c>
      <c r="Q262" s="3">
        <f>IF($N262="","",INDEX(TAHSILAT!$G$7:$G$1506,$U262))</f>
        <v/>
      </c>
      <c r="R262" s="3" t="n">
        <v>0</v>
      </c>
      <c r="S262" s="3">
        <f>IF($N262="",0,INDEX(TAHSILAT!$F$7:$F$1506,$U262))</f>
        <v/>
      </c>
      <c r="T262" s="3">
        <f>IF($N262="",10000000000,$N262*100000+$M262)</f>
        <v/>
      </c>
      <c r="U262" s="3">
        <f>IFERROR(MATCH($AC$4&amp;"|10",TAHSILAT!$Q$7:$Q$1506,0),0)</f>
        <v/>
      </c>
      <c r="V262" s="3" t="n"/>
      <c r="W262" s="3" t="n"/>
      <c r="X262" s="3" t="n"/>
      <c r="Y262" s="3">
        <f>IFERROR(SMALL($T$12:$T$372,ROW()-11),"")</f>
        <v/>
      </c>
      <c r="Z262" s="3">
        <f>IFERROR(MATCH($Y262,$T$12:$T$372,0),"")</f>
        <v/>
      </c>
      <c r="AA262" s="3" t="n"/>
      <c r="AB262" s="3" t="n"/>
      <c r="AC262" s="3" t="n"/>
    </row>
    <row r="263">
      <c r="A263" s="6" t="n"/>
      <c r="B263" s="158">
        <f>IF($C263="","",ROW()-11)</f>
        <v/>
      </c>
      <c r="C263" s="247">
        <f>IF($Z263="","",IF(INDEX($N$12:$N$372,$Z263)="","",INDEX($N$12:$N$372,$Z263)))</f>
        <v/>
      </c>
      <c r="D263" s="29">
        <f>IF($C263="","",INDEX($O$12:$O$372,$Z263))</f>
        <v/>
      </c>
      <c r="E263" s="158">
        <f>IF($C263="","",INDEX($P$12:$P$372,$Z263))</f>
        <v/>
      </c>
      <c r="F263" s="29">
        <f>IF($C263="","",INDEX($Q$12:$Q$372,$Z263))</f>
        <v/>
      </c>
      <c r="G263" s="248">
        <f>IF($C263="","",INDEX($R$12:$R$372,$Z263))</f>
        <v/>
      </c>
      <c r="H263" s="248">
        <f>IF($C263="","",INDEX($S$12:$S$372,$Z263))</f>
        <v/>
      </c>
      <c r="I263" s="248">
        <f>IF($C263="","",N($I262)+$G263-$H263)</f>
        <v/>
      </c>
      <c r="J263" s="6" t="n"/>
      <c r="K263" s="6" t="n"/>
      <c r="L263" s="3" t="n"/>
      <c r="M263" s="3" t="n">
        <v>252</v>
      </c>
      <c r="N263" s="3">
        <f>IF($U263=0,"",INDEX(TAHSILAT!$E$7:$E$1506,$U263))</f>
        <v/>
      </c>
      <c r="O263" s="3">
        <f>IF($N263="","","Tahsilat  –  "&amp;INDEX(TAHSILAT!$H$7:$H$1506,$U263)&amp;IF(INDEX(TAHSILAT!$J$7:$J$1506,$U263)="",""," / "&amp;INDEX(TAHSILAT!$J$7:$J$1506,$U263)))</f>
        <v/>
      </c>
      <c r="P263" s="3">
        <f>IF($N263="","","TAHSİLAT")</f>
        <v/>
      </c>
      <c r="Q263" s="3">
        <f>IF($N263="","",INDEX(TAHSILAT!$G$7:$G$1506,$U263))</f>
        <v/>
      </c>
      <c r="R263" s="3" t="n">
        <v>0</v>
      </c>
      <c r="S263" s="3">
        <f>IF($N263="",0,INDEX(TAHSILAT!$F$7:$F$1506,$U263))</f>
        <v/>
      </c>
      <c r="T263" s="3">
        <f>IF($N263="",10000000000,$N263*100000+$M263)</f>
        <v/>
      </c>
      <c r="U263" s="3">
        <f>IFERROR(MATCH($AC$4&amp;"|11",TAHSILAT!$Q$7:$Q$1506,0),0)</f>
        <v/>
      </c>
      <c r="V263" s="3" t="n"/>
      <c r="W263" s="3" t="n"/>
      <c r="X263" s="3" t="n"/>
      <c r="Y263" s="3">
        <f>IFERROR(SMALL($T$12:$T$372,ROW()-11),"")</f>
        <v/>
      </c>
      <c r="Z263" s="3">
        <f>IFERROR(MATCH($Y263,$T$12:$T$372,0),"")</f>
        <v/>
      </c>
      <c r="AA263" s="3" t="n"/>
      <c r="AB263" s="3" t="n"/>
      <c r="AC263" s="3" t="n"/>
    </row>
    <row r="264">
      <c r="A264" s="6" t="n"/>
      <c r="B264" s="158">
        <f>IF($C264="","",ROW()-11)</f>
        <v/>
      </c>
      <c r="C264" s="247">
        <f>IF($Z264="","",IF(INDEX($N$12:$N$372,$Z264)="","",INDEX($N$12:$N$372,$Z264)))</f>
        <v/>
      </c>
      <c r="D264" s="29">
        <f>IF($C264="","",INDEX($O$12:$O$372,$Z264))</f>
        <v/>
      </c>
      <c r="E264" s="158">
        <f>IF($C264="","",INDEX($P$12:$P$372,$Z264))</f>
        <v/>
      </c>
      <c r="F264" s="29">
        <f>IF($C264="","",INDEX($Q$12:$Q$372,$Z264))</f>
        <v/>
      </c>
      <c r="G264" s="248">
        <f>IF($C264="","",INDEX($R$12:$R$372,$Z264))</f>
        <v/>
      </c>
      <c r="H264" s="248">
        <f>IF($C264="","",INDEX($S$12:$S$372,$Z264))</f>
        <v/>
      </c>
      <c r="I264" s="248">
        <f>IF($C264="","",N($I263)+$G264-$H264)</f>
        <v/>
      </c>
      <c r="J264" s="6" t="n"/>
      <c r="K264" s="6" t="n"/>
      <c r="L264" s="3" t="n"/>
      <c r="M264" s="3" t="n">
        <v>253</v>
      </c>
      <c r="N264" s="3">
        <f>IF($U264=0,"",INDEX(TAHSILAT!$E$7:$E$1506,$U264))</f>
        <v/>
      </c>
      <c r="O264" s="3">
        <f>IF($N264="","","Tahsilat  –  "&amp;INDEX(TAHSILAT!$H$7:$H$1506,$U264)&amp;IF(INDEX(TAHSILAT!$J$7:$J$1506,$U264)="",""," / "&amp;INDEX(TAHSILAT!$J$7:$J$1506,$U264)))</f>
        <v/>
      </c>
      <c r="P264" s="3">
        <f>IF($N264="","","TAHSİLAT")</f>
        <v/>
      </c>
      <c r="Q264" s="3">
        <f>IF($N264="","",INDEX(TAHSILAT!$G$7:$G$1506,$U264))</f>
        <v/>
      </c>
      <c r="R264" s="3" t="n">
        <v>0</v>
      </c>
      <c r="S264" s="3">
        <f>IF($N264="",0,INDEX(TAHSILAT!$F$7:$F$1506,$U264))</f>
        <v/>
      </c>
      <c r="T264" s="3">
        <f>IF($N264="",10000000000,$N264*100000+$M264)</f>
        <v/>
      </c>
      <c r="U264" s="3">
        <f>IFERROR(MATCH($AC$4&amp;"|12",TAHSILAT!$Q$7:$Q$1506,0),0)</f>
        <v/>
      </c>
      <c r="V264" s="3" t="n"/>
      <c r="W264" s="3" t="n"/>
      <c r="X264" s="3" t="n"/>
      <c r="Y264" s="3">
        <f>IFERROR(SMALL($T$12:$T$372,ROW()-11),"")</f>
        <v/>
      </c>
      <c r="Z264" s="3">
        <f>IFERROR(MATCH($Y264,$T$12:$T$372,0),"")</f>
        <v/>
      </c>
      <c r="AA264" s="3" t="n"/>
      <c r="AB264" s="3" t="n"/>
      <c r="AC264" s="3" t="n"/>
    </row>
    <row r="265">
      <c r="A265" s="6" t="n"/>
      <c r="B265" s="158">
        <f>IF($C265="","",ROW()-11)</f>
        <v/>
      </c>
      <c r="C265" s="247">
        <f>IF($Z265="","",IF(INDEX($N$12:$N$372,$Z265)="","",INDEX($N$12:$N$372,$Z265)))</f>
        <v/>
      </c>
      <c r="D265" s="29">
        <f>IF($C265="","",INDEX($O$12:$O$372,$Z265))</f>
        <v/>
      </c>
      <c r="E265" s="158">
        <f>IF($C265="","",INDEX($P$12:$P$372,$Z265))</f>
        <v/>
      </c>
      <c r="F265" s="29">
        <f>IF($C265="","",INDEX($Q$12:$Q$372,$Z265))</f>
        <v/>
      </c>
      <c r="G265" s="248">
        <f>IF($C265="","",INDEX($R$12:$R$372,$Z265))</f>
        <v/>
      </c>
      <c r="H265" s="248">
        <f>IF($C265="","",INDEX($S$12:$S$372,$Z265))</f>
        <v/>
      </c>
      <c r="I265" s="248">
        <f>IF($C265="","",N($I264)+$G265-$H265)</f>
        <v/>
      </c>
      <c r="J265" s="6" t="n"/>
      <c r="K265" s="6" t="n"/>
      <c r="L265" s="3" t="n"/>
      <c r="M265" s="3" t="n">
        <v>254</v>
      </c>
      <c r="N265" s="3">
        <f>IF($U265=0,"",INDEX(TAHSILAT!$E$7:$E$1506,$U265))</f>
        <v/>
      </c>
      <c r="O265" s="3">
        <f>IF($N265="","","Tahsilat  –  "&amp;INDEX(TAHSILAT!$H$7:$H$1506,$U265)&amp;IF(INDEX(TAHSILAT!$J$7:$J$1506,$U265)="",""," / "&amp;INDEX(TAHSILAT!$J$7:$J$1506,$U265)))</f>
        <v/>
      </c>
      <c r="P265" s="3">
        <f>IF($N265="","","TAHSİLAT")</f>
        <v/>
      </c>
      <c r="Q265" s="3">
        <f>IF($N265="","",INDEX(TAHSILAT!$G$7:$G$1506,$U265))</f>
        <v/>
      </c>
      <c r="R265" s="3" t="n">
        <v>0</v>
      </c>
      <c r="S265" s="3">
        <f>IF($N265="",0,INDEX(TAHSILAT!$F$7:$F$1506,$U265))</f>
        <v/>
      </c>
      <c r="T265" s="3">
        <f>IF($N265="",10000000000,$N265*100000+$M265)</f>
        <v/>
      </c>
      <c r="U265" s="3">
        <f>IFERROR(MATCH($AC$4&amp;"|13",TAHSILAT!$Q$7:$Q$1506,0),0)</f>
        <v/>
      </c>
      <c r="V265" s="3" t="n"/>
      <c r="W265" s="3" t="n"/>
      <c r="X265" s="3" t="n"/>
      <c r="Y265" s="3">
        <f>IFERROR(SMALL($T$12:$T$372,ROW()-11),"")</f>
        <v/>
      </c>
      <c r="Z265" s="3">
        <f>IFERROR(MATCH($Y265,$T$12:$T$372,0),"")</f>
        <v/>
      </c>
      <c r="AA265" s="3" t="n"/>
      <c r="AB265" s="3" t="n"/>
      <c r="AC265" s="3" t="n"/>
    </row>
    <row r="266">
      <c r="A266" s="6" t="n"/>
      <c r="B266" s="158">
        <f>IF($C266="","",ROW()-11)</f>
        <v/>
      </c>
      <c r="C266" s="247">
        <f>IF($Z266="","",IF(INDEX($N$12:$N$372,$Z266)="","",INDEX($N$12:$N$372,$Z266)))</f>
        <v/>
      </c>
      <c r="D266" s="29">
        <f>IF($C266="","",INDEX($O$12:$O$372,$Z266))</f>
        <v/>
      </c>
      <c r="E266" s="158">
        <f>IF($C266="","",INDEX($P$12:$P$372,$Z266))</f>
        <v/>
      </c>
      <c r="F266" s="29">
        <f>IF($C266="","",INDEX($Q$12:$Q$372,$Z266))</f>
        <v/>
      </c>
      <c r="G266" s="248">
        <f>IF($C266="","",INDEX($R$12:$R$372,$Z266))</f>
        <v/>
      </c>
      <c r="H266" s="248">
        <f>IF($C266="","",INDEX($S$12:$S$372,$Z266))</f>
        <v/>
      </c>
      <c r="I266" s="248">
        <f>IF($C266="","",N($I265)+$G266-$H266)</f>
        <v/>
      </c>
      <c r="J266" s="6" t="n"/>
      <c r="K266" s="6" t="n"/>
      <c r="L266" s="3" t="n"/>
      <c r="M266" s="3" t="n">
        <v>255</v>
      </c>
      <c r="N266" s="3">
        <f>IF($U266=0,"",INDEX(TAHSILAT!$E$7:$E$1506,$U266))</f>
        <v/>
      </c>
      <c r="O266" s="3">
        <f>IF($N266="","","Tahsilat  –  "&amp;INDEX(TAHSILAT!$H$7:$H$1506,$U266)&amp;IF(INDEX(TAHSILAT!$J$7:$J$1506,$U266)="",""," / "&amp;INDEX(TAHSILAT!$J$7:$J$1506,$U266)))</f>
        <v/>
      </c>
      <c r="P266" s="3">
        <f>IF($N266="","","TAHSİLAT")</f>
        <v/>
      </c>
      <c r="Q266" s="3">
        <f>IF($N266="","",INDEX(TAHSILAT!$G$7:$G$1506,$U266))</f>
        <v/>
      </c>
      <c r="R266" s="3" t="n">
        <v>0</v>
      </c>
      <c r="S266" s="3">
        <f>IF($N266="",0,INDEX(TAHSILAT!$F$7:$F$1506,$U266))</f>
        <v/>
      </c>
      <c r="T266" s="3">
        <f>IF($N266="",10000000000,$N266*100000+$M266)</f>
        <v/>
      </c>
      <c r="U266" s="3">
        <f>IFERROR(MATCH($AC$4&amp;"|14",TAHSILAT!$Q$7:$Q$1506,0),0)</f>
        <v/>
      </c>
      <c r="V266" s="3" t="n"/>
      <c r="W266" s="3" t="n"/>
      <c r="X266" s="3" t="n"/>
      <c r="Y266" s="3">
        <f>IFERROR(SMALL($T$12:$T$372,ROW()-11),"")</f>
        <v/>
      </c>
      <c r="Z266" s="3">
        <f>IFERROR(MATCH($Y266,$T$12:$T$372,0),"")</f>
        <v/>
      </c>
      <c r="AA266" s="3" t="n"/>
      <c r="AB266" s="3" t="n"/>
      <c r="AC266" s="3" t="n"/>
    </row>
    <row r="267">
      <c r="A267" s="6" t="n"/>
      <c r="B267" s="158">
        <f>IF($C267="","",ROW()-11)</f>
        <v/>
      </c>
      <c r="C267" s="247">
        <f>IF($Z267="","",IF(INDEX($N$12:$N$372,$Z267)="","",INDEX($N$12:$N$372,$Z267)))</f>
        <v/>
      </c>
      <c r="D267" s="29">
        <f>IF($C267="","",INDEX($O$12:$O$372,$Z267))</f>
        <v/>
      </c>
      <c r="E267" s="158">
        <f>IF($C267="","",INDEX($P$12:$P$372,$Z267))</f>
        <v/>
      </c>
      <c r="F267" s="29">
        <f>IF($C267="","",INDEX($Q$12:$Q$372,$Z267))</f>
        <v/>
      </c>
      <c r="G267" s="248">
        <f>IF($C267="","",INDEX($R$12:$R$372,$Z267))</f>
        <v/>
      </c>
      <c r="H267" s="248">
        <f>IF($C267="","",INDEX($S$12:$S$372,$Z267))</f>
        <v/>
      </c>
      <c r="I267" s="248">
        <f>IF($C267="","",N($I266)+$G267-$H267)</f>
        <v/>
      </c>
      <c r="J267" s="6" t="n"/>
      <c r="K267" s="6" t="n"/>
      <c r="L267" s="3" t="n"/>
      <c r="M267" s="3" t="n">
        <v>256</v>
      </c>
      <c r="N267" s="3">
        <f>IF($U267=0,"",INDEX(TAHSILAT!$E$7:$E$1506,$U267))</f>
        <v/>
      </c>
      <c r="O267" s="3">
        <f>IF($N267="","","Tahsilat  –  "&amp;INDEX(TAHSILAT!$H$7:$H$1506,$U267)&amp;IF(INDEX(TAHSILAT!$J$7:$J$1506,$U267)="",""," / "&amp;INDEX(TAHSILAT!$J$7:$J$1506,$U267)))</f>
        <v/>
      </c>
      <c r="P267" s="3">
        <f>IF($N267="","","TAHSİLAT")</f>
        <v/>
      </c>
      <c r="Q267" s="3">
        <f>IF($N267="","",INDEX(TAHSILAT!$G$7:$G$1506,$U267))</f>
        <v/>
      </c>
      <c r="R267" s="3" t="n">
        <v>0</v>
      </c>
      <c r="S267" s="3">
        <f>IF($N267="",0,INDEX(TAHSILAT!$F$7:$F$1506,$U267))</f>
        <v/>
      </c>
      <c r="T267" s="3">
        <f>IF($N267="",10000000000,$N267*100000+$M267)</f>
        <v/>
      </c>
      <c r="U267" s="3">
        <f>IFERROR(MATCH($AC$4&amp;"|15",TAHSILAT!$Q$7:$Q$1506,0),0)</f>
        <v/>
      </c>
      <c r="V267" s="3" t="n"/>
      <c r="W267" s="3" t="n"/>
      <c r="X267" s="3" t="n"/>
      <c r="Y267" s="3">
        <f>IFERROR(SMALL($T$12:$T$372,ROW()-11),"")</f>
        <v/>
      </c>
      <c r="Z267" s="3">
        <f>IFERROR(MATCH($Y267,$T$12:$T$372,0),"")</f>
        <v/>
      </c>
      <c r="AA267" s="3" t="n"/>
      <c r="AB267" s="3" t="n"/>
      <c r="AC267" s="3" t="n"/>
    </row>
    <row r="268">
      <c r="A268" s="6" t="n"/>
      <c r="B268" s="158">
        <f>IF($C268="","",ROW()-11)</f>
        <v/>
      </c>
      <c r="C268" s="247">
        <f>IF($Z268="","",IF(INDEX($N$12:$N$372,$Z268)="","",INDEX($N$12:$N$372,$Z268)))</f>
        <v/>
      </c>
      <c r="D268" s="29">
        <f>IF($C268="","",INDEX($O$12:$O$372,$Z268))</f>
        <v/>
      </c>
      <c r="E268" s="158">
        <f>IF($C268="","",INDEX($P$12:$P$372,$Z268))</f>
        <v/>
      </c>
      <c r="F268" s="29">
        <f>IF($C268="","",INDEX($Q$12:$Q$372,$Z268))</f>
        <v/>
      </c>
      <c r="G268" s="248">
        <f>IF($C268="","",INDEX($R$12:$R$372,$Z268))</f>
        <v/>
      </c>
      <c r="H268" s="248">
        <f>IF($C268="","",INDEX($S$12:$S$372,$Z268))</f>
        <v/>
      </c>
      <c r="I268" s="248">
        <f>IF($C268="","",N($I267)+$G268-$H268)</f>
        <v/>
      </c>
      <c r="J268" s="6" t="n"/>
      <c r="K268" s="6" t="n"/>
      <c r="L268" s="3" t="n"/>
      <c r="M268" s="3" t="n">
        <v>257</v>
      </c>
      <c r="N268" s="3">
        <f>IF($U268=0,"",INDEX(TAHSILAT!$E$7:$E$1506,$U268))</f>
        <v/>
      </c>
      <c r="O268" s="3">
        <f>IF($N268="","","Tahsilat  –  "&amp;INDEX(TAHSILAT!$H$7:$H$1506,$U268)&amp;IF(INDEX(TAHSILAT!$J$7:$J$1506,$U268)="",""," / "&amp;INDEX(TAHSILAT!$J$7:$J$1506,$U268)))</f>
        <v/>
      </c>
      <c r="P268" s="3">
        <f>IF($N268="","","TAHSİLAT")</f>
        <v/>
      </c>
      <c r="Q268" s="3">
        <f>IF($N268="","",INDEX(TAHSILAT!$G$7:$G$1506,$U268))</f>
        <v/>
      </c>
      <c r="R268" s="3" t="n">
        <v>0</v>
      </c>
      <c r="S268" s="3">
        <f>IF($N268="",0,INDEX(TAHSILAT!$F$7:$F$1506,$U268))</f>
        <v/>
      </c>
      <c r="T268" s="3">
        <f>IF($N268="",10000000000,$N268*100000+$M268)</f>
        <v/>
      </c>
      <c r="U268" s="3">
        <f>IFERROR(MATCH($AC$4&amp;"|16",TAHSILAT!$Q$7:$Q$1506,0),0)</f>
        <v/>
      </c>
      <c r="V268" s="3" t="n"/>
      <c r="W268" s="3" t="n"/>
      <c r="X268" s="3" t="n"/>
      <c r="Y268" s="3">
        <f>IFERROR(SMALL($T$12:$T$372,ROW()-11),"")</f>
        <v/>
      </c>
      <c r="Z268" s="3">
        <f>IFERROR(MATCH($Y268,$T$12:$T$372,0),"")</f>
        <v/>
      </c>
      <c r="AA268" s="3" t="n"/>
      <c r="AB268" s="3" t="n"/>
      <c r="AC268" s="3" t="n"/>
    </row>
    <row r="269">
      <c r="A269" s="6" t="n"/>
      <c r="B269" s="158">
        <f>IF($C269="","",ROW()-11)</f>
        <v/>
      </c>
      <c r="C269" s="247">
        <f>IF($Z269="","",IF(INDEX($N$12:$N$372,$Z269)="","",INDEX($N$12:$N$372,$Z269)))</f>
        <v/>
      </c>
      <c r="D269" s="29">
        <f>IF($C269="","",INDEX($O$12:$O$372,$Z269))</f>
        <v/>
      </c>
      <c r="E269" s="158">
        <f>IF($C269="","",INDEX($P$12:$P$372,$Z269))</f>
        <v/>
      </c>
      <c r="F269" s="29">
        <f>IF($C269="","",INDEX($Q$12:$Q$372,$Z269))</f>
        <v/>
      </c>
      <c r="G269" s="248">
        <f>IF($C269="","",INDEX($R$12:$R$372,$Z269))</f>
        <v/>
      </c>
      <c r="H269" s="248">
        <f>IF($C269="","",INDEX($S$12:$S$372,$Z269))</f>
        <v/>
      </c>
      <c r="I269" s="248">
        <f>IF($C269="","",N($I268)+$G269-$H269)</f>
        <v/>
      </c>
      <c r="J269" s="6" t="n"/>
      <c r="K269" s="6" t="n"/>
      <c r="L269" s="3" t="n"/>
      <c r="M269" s="3" t="n">
        <v>258</v>
      </c>
      <c r="N269" s="3">
        <f>IF($U269=0,"",INDEX(TAHSILAT!$E$7:$E$1506,$U269))</f>
        <v/>
      </c>
      <c r="O269" s="3">
        <f>IF($N269="","","Tahsilat  –  "&amp;INDEX(TAHSILAT!$H$7:$H$1506,$U269)&amp;IF(INDEX(TAHSILAT!$J$7:$J$1506,$U269)="",""," / "&amp;INDEX(TAHSILAT!$J$7:$J$1506,$U269)))</f>
        <v/>
      </c>
      <c r="P269" s="3">
        <f>IF($N269="","","TAHSİLAT")</f>
        <v/>
      </c>
      <c r="Q269" s="3">
        <f>IF($N269="","",INDEX(TAHSILAT!$G$7:$G$1506,$U269))</f>
        <v/>
      </c>
      <c r="R269" s="3" t="n">
        <v>0</v>
      </c>
      <c r="S269" s="3">
        <f>IF($N269="",0,INDEX(TAHSILAT!$F$7:$F$1506,$U269))</f>
        <v/>
      </c>
      <c r="T269" s="3">
        <f>IF($N269="",10000000000,$N269*100000+$M269)</f>
        <v/>
      </c>
      <c r="U269" s="3">
        <f>IFERROR(MATCH($AC$4&amp;"|17",TAHSILAT!$Q$7:$Q$1506,0),0)</f>
        <v/>
      </c>
      <c r="V269" s="3" t="n"/>
      <c r="W269" s="3" t="n"/>
      <c r="X269" s="3" t="n"/>
      <c r="Y269" s="3">
        <f>IFERROR(SMALL($T$12:$T$372,ROW()-11),"")</f>
        <v/>
      </c>
      <c r="Z269" s="3">
        <f>IFERROR(MATCH($Y269,$T$12:$T$372,0),"")</f>
        <v/>
      </c>
      <c r="AA269" s="3" t="n"/>
      <c r="AB269" s="3" t="n"/>
      <c r="AC269" s="3" t="n"/>
    </row>
    <row r="270">
      <c r="A270" s="6" t="n"/>
      <c r="B270" s="158">
        <f>IF($C270="","",ROW()-11)</f>
        <v/>
      </c>
      <c r="C270" s="247">
        <f>IF($Z270="","",IF(INDEX($N$12:$N$372,$Z270)="","",INDEX($N$12:$N$372,$Z270)))</f>
        <v/>
      </c>
      <c r="D270" s="29">
        <f>IF($C270="","",INDEX($O$12:$O$372,$Z270))</f>
        <v/>
      </c>
      <c r="E270" s="158">
        <f>IF($C270="","",INDEX($P$12:$P$372,$Z270))</f>
        <v/>
      </c>
      <c r="F270" s="29">
        <f>IF($C270="","",INDEX($Q$12:$Q$372,$Z270))</f>
        <v/>
      </c>
      <c r="G270" s="248">
        <f>IF($C270="","",INDEX($R$12:$R$372,$Z270))</f>
        <v/>
      </c>
      <c r="H270" s="248">
        <f>IF($C270="","",INDEX($S$12:$S$372,$Z270))</f>
        <v/>
      </c>
      <c r="I270" s="248">
        <f>IF($C270="","",N($I269)+$G270-$H270)</f>
        <v/>
      </c>
      <c r="J270" s="6" t="n"/>
      <c r="K270" s="6" t="n"/>
      <c r="L270" s="3" t="n"/>
      <c r="M270" s="3" t="n">
        <v>259</v>
      </c>
      <c r="N270" s="3">
        <f>IF($U270=0,"",INDEX(TAHSILAT!$E$7:$E$1506,$U270))</f>
        <v/>
      </c>
      <c r="O270" s="3">
        <f>IF($N270="","","Tahsilat  –  "&amp;INDEX(TAHSILAT!$H$7:$H$1506,$U270)&amp;IF(INDEX(TAHSILAT!$J$7:$J$1506,$U270)="",""," / "&amp;INDEX(TAHSILAT!$J$7:$J$1506,$U270)))</f>
        <v/>
      </c>
      <c r="P270" s="3">
        <f>IF($N270="","","TAHSİLAT")</f>
        <v/>
      </c>
      <c r="Q270" s="3">
        <f>IF($N270="","",INDEX(TAHSILAT!$G$7:$G$1506,$U270))</f>
        <v/>
      </c>
      <c r="R270" s="3" t="n">
        <v>0</v>
      </c>
      <c r="S270" s="3">
        <f>IF($N270="",0,INDEX(TAHSILAT!$F$7:$F$1506,$U270))</f>
        <v/>
      </c>
      <c r="T270" s="3">
        <f>IF($N270="",10000000000,$N270*100000+$M270)</f>
        <v/>
      </c>
      <c r="U270" s="3">
        <f>IFERROR(MATCH($AC$4&amp;"|18",TAHSILAT!$Q$7:$Q$1506,0),0)</f>
        <v/>
      </c>
      <c r="V270" s="3" t="n"/>
      <c r="W270" s="3" t="n"/>
      <c r="X270" s="3" t="n"/>
      <c r="Y270" s="3">
        <f>IFERROR(SMALL($T$12:$T$372,ROW()-11),"")</f>
        <v/>
      </c>
      <c r="Z270" s="3">
        <f>IFERROR(MATCH($Y270,$T$12:$T$372,0),"")</f>
        <v/>
      </c>
      <c r="AA270" s="3" t="n"/>
      <c r="AB270" s="3" t="n"/>
      <c r="AC270" s="3" t="n"/>
    </row>
    <row r="271">
      <c r="A271" s="6" t="n"/>
      <c r="B271" s="158">
        <f>IF($C271="","",ROW()-11)</f>
        <v/>
      </c>
      <c r="C271" s="247">
        <f>IF($Z271="","",IF(INDEX($N$12:$N$372,$Z271)="","",INDEX($N$12:$N$372,$Z271)))</f>
        <v/>
      </c>
      <c r="D271" s="29">
        <f>IF($C271="","",INDEX($O$12:$O$372,$Z271))</f>
        <v/>
      </c>
      <c r="E271" s="158">
        <f>IF($C271="","",INDEX($P$12:$P$372,$Z271))</f>
        <v/>
      </c>
      <c r="F271" s="29">
        <f>IF($C271="","",INDEX($Q$12:$Q$372,$Z271))</f>
        <v/>
      </c>
      <c r="G271" s="248">
        <f>IF($C271="","",INDEX($R$12:$R$372,$Z271))</f>
        <v/>
      </c>
      <c r="H271" s="248">
        <f>IF($C271="","",INDEX($S$12:$S$372,$Z271))</f>
        <v/>
      </c>
      <c r="I271" s="248">
        <f>IF($C271="","",N($I270)+$G271-$H271)</f>
        <v/>
      </c>
      <c r="J271" s="6" t="n"/>
      <c r="K271" s="6" t="n"/>
      <c r="L271" s="3" t="n"/>
      <c r="M271" s="3" t="n">
        <v>260</v>
      </c>
      <c r="N271" s="3">
        <f>IF($U271=0,"",INDEX(TAHSILAT!$E$7:$E$1506,$U271))</f>
        <v/>
      </c>
      <c r="O271" s="3">
        <f>IF($N271="","","Tahsilat  –  "&amp;INDEX(TAHSILAT!$H$7:$H$1506,$U271)&amp;IF(INDEX(TAHSILAT!$J$7:$J$1506,$U271)="",""," / "&amp;INDEX(TAHSILAT!$J$7:$J$1506,$U271)))</f>
        <v/>
      </c>
      <c r="P271" s="3">
        <f>IF($N271="","","TAHSİLAT")</f>
        <v/>
      </c>
      <c r="Q271" s="3">
        <f>IF($N271="","",INDEX(TAHSILAT!$G$7:$G$1506,$U271))</f>
        <v/>
      </c>
      <c r="R271" s="3" t="n">
        <v>0</v>
      </c>
      <c r="S271" s="3">
        <f>IF($N271="",0,INDEX(TAHSILAT!$F$7:$F$1506,$U271))</f>
        <v/>
      </c>
      <c r="T271" s="3">
        <f>IF($N271="",10000000000,$N271*100000+$M271)</f>
        <v/>
      </c>
      <c r="U271" s="3">
        <f>IFERROR(MATCH($AC$4&amp;"|19",TAHSILAT!$Q$7:$Q$1506,0),0)</f>
        <v/>
      </c>
      <c r="V271" s="3" t="n"/>
      <c r="W271" s="3" t="n"/>
      <c r="X271" s="3" t="n"/>
      <c r="Y271" s="3">
        <f>IFERROR(SMALL($T$12:$T$372,ROW()-11),"")</f>
        <v/>
      </c>
      <c r="Z271" s="3">
        <f>IFERROR(MATCH($Y271,$T$12:$T$372,0),"")</f>
        <v/>
      </c>
      <c r="AA271" s="3" t="n"/>
      <c r="AB271" s="3" t="n"/>
      <c r="AC271" s="3" t="n"/>
    </row>
    <row r="272">
      <c r="A272" s="6" t="n"/>
      <c r="B272" s="158">
        <f>IF($C272="","",ROW()-11)</f>
        <v/>
      </c>
      <c r="C272" s="247">
        <f>IF($Z272="","",IF(INDEX($N$12:$N$372,$Z272)="","",INDEX($N$12:$N$372,$Z272)))</f>
        <v/>
      </c>
      <c r="D272" s="29">
        <f>IF($C272="","",INDEX($O$12:$O$372,$Z272))</f>
        <v/>
      </c>
      <c r="E272" s="158">
        <f>IF($C272="","",INDEX($P$12:$P$372,$Z272))</f>
        <v/>
      </c>
      <c r="F272" s="29">
        <f>IF($C272="","",INDEX($Q$12:$Q$372,$Z272))</f>
        <v/>
      </c>
      <c r="G272" s="248">
        <f>IF($C272="","",INDEX($R$12:$R$372,$Z272))</f>
        <v/>
      </c>
      <c r="H272" s="248">
        <f>IF($C272="","",INDEX($S$12:$S$372,$Z272))</f>
        <v/>
      </c>
      <c r="I272" s="248">
        <f>IF($C272="","",N($I271)+$G272-$H272)</f>
        <v/>
      </c>
      <c r="J272" s="6" t="n"/>
      <c r="K272" s="6" t="n"/>
      <c r="L272" s="3" t="n"/>
      <c r="M272" s="3" t="n">
        <v>261</v>
      </c>
      <c r="N272" s="3">
        <f>IF($U272=0,"",INDEX(TAHSILAT!$E$7:$E$1506,$U272))</f>
        <v/>
      </c>
      <c r="O272" s="3">
        <f>IF($N272="","","Tahsilat  –  "&amp;INDEX(TAHSILAT!$H$7:$H$1506,$U272)&amp;IF(INDEX(TAHSILAT!$J$7:$J$1506,$U272)="",""," / "&amp;INDEX(TAHSILAT!$J$7:$J$1506,$U272)))</f>
        <v/>
      </c>
      <c r="P272" s="3">
        <f>IF($N272="","","TAHSİLAT")</f>
        <v/>
      </c>
      <c r="Q272" s="3">
        <f>IF($N272="","",INDEX(TAHSILAT!$G$7:$G$1506,$U272))</f>
        <v/>
      </c>
      <c r="R272" s="3" t="n">
        <v>0</v>
      </c>
      <c r="S272" s="3">
        <f>IF($N272="",0,INDEX(TAHSILAT!$F$7:$F$1506,$U272))</f>
        <v/>
      </c>
      <c r="T272" s="3">
        <f>IF($N272="",10000000000,$N272*100000+$M272)</f>
        <v/>
      </c>
      <c r="U272" s="3">
        <f>IFERROR(MATCH($AC$4&amp;"|20",TAHSILAT!$Q$7:$Q$1506,0),0)</f>
        <v/>
      </c>
      <c r="V272" s="3" t="n"/>
      <c r="W272" s="3" t="n"/>
      <c r="X272" s="3" t="n"/>
      <c r="Y272" s="3">
        <f>IFERROR(SMALL($T$12:$T$372,ROW()-11),"")</f>
        <v/>
      </c>
      <c r="Z272" s="3">
        <f>IFERROR(MATCH($Y272,$T$12:$T$372,0),"")</f>
        <v/>
      </c>
      <c r="AA272" s="3" t="n"/>
      <c r="AB272" s="3" t="n"/>
      <c r="AC272" s="3" t="n"/>
    </row>
    <row r="273">
      <c r="A273" s="6" t="n"/>
      <c r="B273" s="158">
        <f>IF($C273="","",ROW()-11)</f>
        <v/>
      </c>
      <c r="C273" s="247">
        <f>IF($Z273="","",IF(INDEX($N$12:$N$372,$Z273)="","",INDEX($N$12:$N$372,$Z273)))</f>
        <v/>
      </c>
      <c r="D273" s="29">
        <f>IF($C273="","",INDEX($O$12:$O$372,$Z273))</f>
        <v/>
      </c>
      <c r="E273" s="158">
        <f>IF($C273="","",INDEX($P$12:$P$372,$Z273))</f>
        <v/>
      </c>
      <c r="F273" s="29">
        <f>IF($C273="","",INDEX($Q$12:$Q$372,$Z273))</f>
        <v/>
      </c>
      <c r="G273" s="248">
        <f>IF($C273="","",INDEX($R$12:$R$372,$Z273))</f>
        <v/>
      </c>
      <c r="H273" s="248">
        <f>IF($C273="","",INDEX($S$12:$S$372,$Z273))</f>
        <v/>
      </c>
      <c r="I273" s="248">
        <f>IF($C273="","",N($I272)+$G273-$H273)</f>
        <v/>
      </c>
      <c r="J273" s="6" t="n"/>
      <c r="K273" s="6" t="n"/>
      <c r="L273" s="3" t="n"/>
      <c r="M273" s="3" t="n">
        <v>262</v>
      </c>
      <c r="N273" s="3">
        <f>IF($U273=0,"",INDEX(TAHSILAT!$E$7:$E$1506,$U273))</f>
        <v/>
      </c>
      <c r="O273" s="3">
        <f>IF($N273="","","Tahsilat  –  "&amp;INDEX(TAHSILAT!$H$7:$H$1506,$U273)&amp;IF(INDEX(TAHSILAT!$J$7:$J$1506,$U273)="",""," / "&amp;INDEX(TAHSILAT!$J$7:$J$1506,$U273)))</f>
        <v/>
      </c>
      <c r="P273" s="3">
        <f>IF($N273="","","TAHSİLAT")</f>
        <v/>
      </c>
      <c r="Q273" s="3">
        <f>IF($N273="","",INDEX(TAHSILAT!$G$7:$G$1506,$U273))</f>
        <v/>
      </c>
      <c r="R273" s="3" t="n">
        <v>0</v>
      </c>
      <c r="S273" s="3">
        <f>IF($N273="",0,INDEX(TAHSILAT!$F$7:$F$1506,$U273))</f>
        <v/>
      </c>
      <c r="T273" s="3">
        <f>IF($N273="",10000000000,$N273*100000+$M273)</f>
        <v/>
      </c>
      <c r="U273" s="3">
        <f>IFERROR(MATCH($AC$4&amp;"|21",TAHSILAT!$Q$7:$Q$1506,0),0)</f>
        <v/>
      </c>
      <c r="V273" s="3" t="n"/>
      <c r="W273" s="3" t="n"/>
      <c r="X273" s="3" t="n"/>
      <c r="Y273" s="3">
        <f>IFERROR(SMALL($T$12:$T$372,ROW()-11),"")</f>
        <v/>
      </c>
      <c r="Z273" s="3">
        <f>IFERROR(MATCH($Y273,$T$12:$T$372,0),"")</f>
        <v/>
      </c>
      <c r="AA273" s="3" t="n"/>
      <c r="AB273" s="3" t="n"/>
      <c r="AC273" s="3" t="n"/>
    </row>
    <row r="274">
      <c r="A274" s="6" t="n"/>
      <c r="B274" s="158">
        <f>IF($C274="","",ROW()-11)</f>
        <v/>
      </c>
      <c r="C274" s="247">
        <f>IF($Z274="","",IF(INDEX($N$12:$N$372,$Z274)="","",INDEX($N$12:$N$372,$Z274)))</f>
        <v/>
      </c>
      <c r="D274" s="29">
        <f>IF($C274="","",INDEX($O$12:$O$372,$Z274))</f>
        <v/>
      </c>
      <c r="E274" s="158">
        <f>IF($C274="","",INDEX($P$12:$P$372,$Z274))</f>
        <v/>
      </c>
      <c r="F274" s="29">
        <f>IF($C274="","",INDEX($Q$12:$Q$372,$Z274))</f>
        <v/>
      </c>
      <c r="G274" s="248">
        <f>IF($C274="","",INDEX($R$12:$R$372,$Z274))</f>
        <v/>
      </c>
      <c r="H274" s="248">
        <f>IF($C274="","",INDEX($S$12:$S$372,$Z274))</f>
        <v/>
      </c>
      <c r="I274" s="248">
        <f>IF($C274="","",N($I273)+$G274-$H274)</f>
        <v/>
      </c>
      <c r="J274" s="6" t="n"/>
      <c r="K274" s="6" t="n"/>
      <c r="L274" s="3" t="n"/>
      <c r="M274" s="3" t="n">
        <v>263</v>
      </c>
      <c r="N274" s="3">
        <f>IF($U274=0,"",INDEX(TAHSILAT!$E$7:$E$1506,$U274))</f>
        <v/>
      </c>
      <c r="O274" s="3">
        <f>IF($N274="","","Tahsilat  –  "&amp;INDEX(TAHSILAT!$H$7:$H$1506,$U274)&amp;IF(INDEX(TAHSILAT!$J$7:$J$1506,$U274)="",""," / "&amp;INDEX(TAHSILAT!$J$7:$J$1506,$U274)))</f>
        <v/>
      </c>
      <c r="P274" s="3">
        <f>IF($N274="","","TAHSİLAT")</f>
        <v/>
      </c>
      <c r="Q274" s="3">
        <f>IF($N274="","",INDEX(TAHSILAT!$G$7:$G$1506,$U274))</f>
        <v/>
      </c>
      <c r="R274" s="3" t="n">
        <v>0</v>
      </c>
      <c r="S274" s="3">
        <f>IF($N274="",0,INDEX(TAHSILAT!$F$7:$F$1506,$U274))</f>
        <v/>
      </c>
      <c r="T274" s="3">
        <f>IF($N274="",10000000000,$N274*100000+$M274)</f>
        <v/>
      </c>
      <c r="U274" s="3">
        <f>IFERROR(MATCH($AC$4&amp;"|22",TAHSILAT!$Q$7:$Q$1506,0),0)</f>
        <v/>
      </c>
      <c r="V274" s="3" t="n"/>
      <c r="W274" s="3" t="n"/>
      <c r="X274" s="3" t="n"/>
      <c r="Y274" s="3">
        <f>IFERROR(SMALL($T$12:$T$372,ROW()-11),"")</f>
        <v/>
      </c>
      <c r="Z274" s="3">
        <f>IFERROR(MATCH($Y274,$T$12:$T$372,0),"")</f>
        <v/>
      </c>
      <c r="AA274" s="3" t="n"/>
      <c r="AB274" s="3" t="n"/>
      <c r="AC274" s="3" t="n"/>
    </row>
    <row r="275">
      <c r="A275" s="6" t="n"/>
      <c r="B275" s="158">
        <f>IF($C275="","",ROW()-11)</f>
        <v/>
      </c>
      <c r="C275" s="247">
        <f>IF($Z275="","",IF(INDEX($N$12:$N$372,$Z275)="","",INDEX($N$12:$N$372,$Z275)))</f>
        <v/>
      </c>
      <c r="D275" s="29">
        <f>IF($C275="","",INDEX($O$12:$O$372,$Z275))</f>
        <v/>
      </c>
      <c r="E275" s="158">
        <f>IF($C275="","",INDEX($P$12:$P$372,$Z275))</f>
        <v/>
      </c>
      <c r="F275" s="29">
        <f>IF($C275="","",INDEX($Q$12:$Q$372,$Z275))</f>
        <v/>
      </c>
      <c r="G275" s="248">
        <f>IF($C275="","",INDEX($R$12:$R$372,$Z275))</f>
        <v/>
      </c>
      <c r="H275" s="248">
        <f>IF($C275="","",INDEX($S$12:$S$372,$Z275))</f>
        <v/>
      </c>
      <c r="I275" s="248">
        <f>IF($C275="","",N($I274)+$G275-$H275)</f>
        <v/>
      </c>
      <c r="J275" s="6" t="n"/>
      <c r="K275" s="6" t="n"/>
      <c r="L275" s="3" t="n"/>
      <c r="M275" s="3" t="n">
        <v>264</v>
      </c>
      <c r="N275" s="3">
        <f>IF($U275=0,"",INDEX(TAHSILAT!$E$7:$E$1506,$U275))</f>
        <v/>
      </c>
      <c r="O275" s="3">
        <f>IF($N275="","","Tahsilat  –  "&amp;INDEX(TAHSILAT!$H$7:$H$1506,$U275)&amp;IF(INDEX(TAHSILAT!$J$7:$J$1506,$U275)="",""," / "&amp;INDEX(TAHSILAT!$J$7:$J$1506,$U275)))</f>
        <v/>
      </c>
      <c r="P275" s="3">
        <f>IF($N275="","","TAHSİLAT")</f>
        <v/>
      </c>
      <c r="Q275" s="3">
        <f>IF($N275="","",INDEX(TAHSILAT!$G$7:$G$1506,$U275))</f>
        <v/>
      </c>
      <c r="R275" s="3" t="n">
        <v>0</v>
      </c>
      <c r="S275" s="3">
        <f>IF($N275="",0,INDEX(TAHSILAT!$F$7:$F$1506,$U275))</f>
        <v/>
      </c>
      <c r="T275" s="3">
        <f>IF($N275="",10000000000,$N275*100000+$M275)</f>
        <v/>
      </c>
      <c r="U275" s="3">
        <f>IFERROR(MATCH($AC$4&amp;"|23",TAHSILAT!$Q$7:$Q$1506,0),0)</f>
        <v/>
      </c>
      <c r="V275" s="3" t="n"/>
      <c r="W275" s="3" t="n"/>
      <c r="X275" s="3" t="n"/>
      <c r="Y275" s="3">
        <f>IFERROR(SMALL($T$12:$T$372,ROW()-11),"")</f>
        <v/>
      </c>
      <c r="Z275" s="3">
        <f>IFERROR(MATCH($Y275,$T$12:$T$372,0),"")</f>
        <v/>
      </c>
      <c r="AA275" s="3" t="n"/>
      <c r="AB275" s="3" t="n"/>
      <c r="AC275" s="3" t="n"/>
    </row>
    <row r="276">
      <c r="A276" s="6" t="n"/>
      <c r="B276" s="158">
        <f>IF($C276="","",ROW()-11)</f>
        <v/>
      </c>
      <c r="C276" s="247">
        <f>IF($Z276="","",IF(INDEX($N$12:$N$372,$Z276)="","",INDEX($N$12:$N$372,$Z276)))</f>
        <v/>
      </c>
      <c r="D276" s="29">
        <f>IF($C276="","",INDEX($O$12:$O$372,$Z276))</f>
        <v/>
      </c>
      <c r="E276" s="158">
        <f>IF($C276="","",INDEX($P$12:$P$372,$Z276))</f>
        <v/>
      </c>
      <c r="F276" s="29">
        <f>IF($C276="","",INDEX($Q$12:$Q$372,$Z276))</f>
        <v/>
      </c>
      <c r="G276" s="248">
        <f>IF($C276="","",INDEX($R$12:$R$372,$Z276))</f>
        <v/>
      </c>
      <c r="H276" s="248">
        <f>IF($C276="","",INDEX($S$12:$S$372,$Z276))</f>
        <v/>
      </c>
      <c r="I276" s="248">
        <f>IF($C276="","",N($I275)+$G276-$H276)</f>
        <v/>
      </c>
      <c r="J276" s="6" t="n"/>
      <c r="K276" s="6" t="n"/>
      <c r="L276" s="3" t="n"/>
      <c r="M276" s="3" t="n">
        <v>265</v>
      </c>
      <c r="N276" s="3">
        <f>IF($U276=0,"",INDEX(TAHSILAT!$E$7:$E$1506,$U276))</f>
        <v/>
      </c>
      <c r="O276" s="3">
        <f>IF($N276="","","Tahsilat  –  "&amp;INDEX(TAHSILAT!$H$7:$H$1506,$U276)&amp;IF(INDEX(TAHSILAT!$J$7:$J$1506,$U276)="",""," / "&amp;INDEX(TAHSILAT!$J$7:$J$1506,$U276)))</f>
        <v/>
      </c>
      <c r="P276" s="3">
        <f>IF($N276="","","TAHSİLAT")</f>
        <v/>
      </c>
      <c r="Q276" s="3">
        <f>IF($N276="","",INDEX(TAHSILAT!$G$7:$G$1506,$U276))</f>
        <v/>
      </c>
      <c r="R276" s="3" t="n">
        <v>0</v>
      </c>
      <c r="S276" s="3">
        <f>IF($N276="",0,INDEX(TAHSILAT!$F$7:$F$1506,$U276))</f>
        <v/>
      </c>
      <c r="T276" s="3">
        <f>IF($N276="",10000000000,$N276*100000+$M276)</f>
        <v/>
      </c>
      <c r="U276" s="3">
        <f>IFERROR(MATCH($AC$4&amp;"|24",TAHSILAT!$Q$7:$Q$1506,0),0)</f>
        <v/>
      </c>
      <c r="V276" s="3" t="n"/>
      <c r="W276" s="3" t="n"/>
      <c r="X276" s="3" t="n"/>
      <c r="Y276" s="3">
        <f>IFERROR(SMALL($T$12:$T$372,ROW()-11),"")</f>
        <v/>
      </c>
      <c r="Z276" s="3">
        <f>IFERROR(MATCH($Y276,$T$12:$T$372,0),"")</f>
        <v/>
      </c>
      <c r="AA276" s="3" t="n"/>
      <c r="AB276" s="3" t="n"/>
      <c r="AC276" s="3" t="n"/>
    </row>
    <row r="277">
      <c r="A277" s="6" t="n"/>
      <c r="B277" s="158">
        <f>IF($C277="","",ROW()-11)</f>
        <v/>
      </c>
      <c r="C277" s="247">
        <f>IF($Z277="","",IF(INDEX($N$12:$N$372,$Z277)="","",INDEX($N$12:$N$372,$Z277)))</f>
        <v/>
      </c>
      <c r="D277" s="29">
        <f>IF($C277="","",INDEX($O$12:$O$372,$Z277))</f>
        <v/>
      </c>
      <c r="E277" s="158">
        <f>IF($C277="","",INDEX($P$12:$P$372,$Z277))</f>
        <v/>
      </c>
      <c r="F277" s="29">
        <f>IF($C277="","",INDEX($Q$12:$Q$372,$Z277))</f>
        <v/>
      </c>
      <c r="G277" s="248">
        <f>IF($C277="","",INDEX($R$12:$R$372,$Z277))</f>
        <v/>
      </c>
      <c r="H277" s="248">
        <f>IF($C277="","",INDEX($S$12:$S$372,$Z277))</f>
        <v/>
      </c>
      <c r="I277" s="248">
        <f>IF($C277="","",N($I276)+$G277-$H277)</f>
        <v/>
      </c>
      <c r="J277" s="6" t="n"/>
      <c r="K277" s="6" t="n"/>
      <c r="L277" s="3" t="n"/>
      <c r="M277" s="3" t="n">
        <v>266</v>
      </c>
      <c r="N277" s="3">
        <f>IF($U277=0,"",INDEX(TAHSILAT!$E$7:$E$1506,$U277))</f>
        <v/>
      </c>
      <c r="O277" s="3">
        <f>IF($N277="","","Tahsilat  –  "&amp;INDEX(TAHSILAT!$H$7:$H$1506,$U277)&amp;IF(INDEX(TAHSILAT!$J$7:$J$1506,$U277)="",""," / "&amp;INDEX(TAHSILAT!$J$7:$J$1506,$U277)))</f>
        <v/>
      </c>
      <c r="P277" s="3">
        <f>IF($N277="","","TAHSİLAT")</f>
        <v/>
      </c>
      <c r="Q277" s="3">
        <f>IF($N277="","",INDEX(TAHSILAT!$G$7:$G$1506,$U277))</f>
        <v/>
      </c>
      <c r="R277" s="3" t="n">
        <v>0</v>
      </c>
      <c r="S277" s="3">
        <f>IF($N277="",0,INDEX(TAHSILAT!$F$7:$F$1506,$U277))</f>
        <v/>
      </c>
      <c r="T277" s="3">
        <f>IF($N277="",10000000000,$N277*100000+$M277)</f>
        <v/>
      </c>
      <c r="U277" s="3">
        <f>IFERROR(MATCH($AC$4&amp;"|25",TAHSILAT!$Q$7:$Q$1506,0),0)</f>
        <v/>
      </c>
      <c r="V277" s="3" t="n"/>
      <c r="W277" s="3" t="n"/>
      <c r="X277" s="3" t="n"/>
      <c r="Y277" s="3">
        <f>IFERROR(SMALL($T$12:$T$372,ROW()-11),"")</f>
        <v/>
      </c>
      <c r="Z277" s="3">
        <f>IFERROR(MATCH($Y277,$T$12:$T$372,0),"")</f>
        <v/>
      </c>
      <c r="AA277" s="3" t="n"/>
      <c r="AB277" s="3" t="n"/>
      <c r="AC277" s="3" t="n"/>
    </row>
    <row r="278">
      <c r="A278" s="6" t="n"/>
      <c r="B278" s="158">
        <f>IF($C278="","",ROW()-11)</f>
        <v/>
      </c>
      <c r="C278" s="247">
        <f>IF($Z278="","",IF(INDEX($N$12:$N$372,$Z278)="","",INDEX($N$12:$N$372,$Z278)))</f>
        <v/>
      </c>
      <c r="D278" s="29">
        <f>IF($C278="","",INDEX($O$12:$O$372,$Z278))</f>
        <v/>
      </c>
      <c r="E278" s="158">
        <f>IF($C278="","",INDEX($P$12:$P$372,$Z278))</f>
        <v/>
      </c>
      <c r="F278" s="29">
        <f>IF($C278="","",INDEX($Q$12:$Q$372,$Z278))</f>
        <v/>
      </c>
      <c r="G278" s="248">
        <f>IF($C278="","",INDEX($R$12:$R$372,$Z278))</f>
        <v/>
      </c>
      <c r="H278" s="248">
        <f>IF($C278="","",INDEX($S$12:$S$372,$Z278))</f>
        <v/>
      </c>
      <c r="I278" s="248">
        <f>IF($C278="","",N($I277)+$G278-$H278)</f>
        <v/>
      </c>
      <c r="J278" s="6" t="n"/>
      <c r="K278" s="6" t="n"/>
      <c r="L278" s="3" t="n"/>
      <c r="M278" s="3" t="n">
        <v>267</v>
      </c>
      <c r="N278" s="3">
        <f>IF($U278=0,"",INDEX(TAHSILAT!$E$7:$E$1506,$U278))</f>
        <v/>
      </c>
      <c r="O278" s="3">
        <f>IF($N278="","","Tahsilat  –  "&amp;INDEX(TAHSILAT!$H$7:$H$1506,$U278)&amp;IF(INDEX(TAHSILAT!$J$7:$J$1506,$U278)="",""," / "&amp;INDEX(TAHSILAT!$J$7:$J$1506,$U278)))</f>
        <v/>
      </c>
      <c r="P278" s="3">
        <f>IF($N278="","","TAHSİLAT")</f>
        <v/>
      </c>
      <c r="Q278" s="3">
        <f>IF($N278="","",INDEX(TAHSILAT!$G$7:$G$1506,$U278))</f>
        <v/>
      </c>
      <c r="R278" s="3" t="n">
        <v>0</v>
      </c>
      <c r="S278" s="3">
        <f>IF($N278="",0,INDEX(TAHSILAT!$F$7:$F$1506,$U278))</f>
        <v/>
      </c>
      <c r="T278" s="3">
        <f>IF($N278="",10000000000,$N278*100000+$M278)</f>
        <v/>
      </c>
      <c r="U278" s="3">
        <f>IFERROR(MATCH($AC$4&amp;"|26",TAHSILAT!$Q$7:$Q$1506,0),0)</f>
        <v/>
      </c>
      <c r="V278" s="3" t="n"/>
      <c r="W278" s="3" t="n"/>
      <c r="X278" s="3" t="n"/>
      <c r="Y278" s="3">
        <f>IFERROR(SMALL($T$12:$T$372,ROW()-11),"")</f>
        <v/>
      </c>
      <c r="Z278" s="3">
        <f>IFERROR(MATCH($Y278,$T$12:$T$372,0),"")</f>
        <v/>
      </c>
      <c r="AA278" s="3" t="n"/>
      <c r="AB278" s="3" t="n"/>
      <c r="AC278" s="3" t="n"/>
    </row>
    <row r="279">
      <c r="A279" s="6" t="n"/>
      <c r="B279" s="158">
        <f>IF($C279="","",ROW()-11)</f>
        <v/>
      </c>
      <c r="C279" s="247">
        <f>IF($Z279="","",IF(INDEX($N$12:$N$372,$Z279)="","",INDEX($N$12:$N$372,$Z279)))</f>
        <v/>
      </c>
      <c r="D279" s="29">
        <f>IF($C279="","",INDEX($O$12:$O$372,$Z279))</f>
        <v/>
      </c>
      <c r="E279" s="158">
        <f>IF($C279="","",INDEX($P$12:$P$372,$Z279))</f>
        <v/>
      </c>
      <c r="F279" s="29">
        <f>IF($C279="","",INDEX($Q$12:$Q$372,$Z279))</f>
        <v/>
      </c>
      <c r="G279" s="248">
        <f>IF($C279="","",INDEX($R$12:$R$372,$Z279))</f>
        <v/>
      </c>
      <c r="H279" s="248">
        <f>IF($C279="","",INDEX($S$12:$S$372,$Z279))</f>
        <v/>
      </c>
      <c r="I279" s="248">
        <f>IF($C279="","",N($I278)+$G279-$H279)</f>
        <v/>
      </c>
      <c r="J279" s="6" t="n"/>
      <c r="K279" s="6" t="n"/>
      <c r="L279" s="3" t="n"/>
      <c r="M279" s="3" t="n">
        <v>268</v>
      </c>
      <c r="N279" s="3">
        <f>IF($U279=0,"",INDEX(TAHSILAT!$E$7:$E$1506,$U279))</f>
        <v/>
      </c>
      <c r="O279" s="3">
        <f>IF($N279="","","Tahsilat  –  "&amp;INDEX(TAHSILAT!$H$7:$H$1506,$U279)&amp;IF(INDEX(TAHSILAT!$J$7:$J$1506,$U279)="",""," / "&amp;INDEX(TAHSILAT!$J$7:$J$1506,$U279)))</f>
        <v/>
      </c>
      <c r="P279" s="3">
        <f>IF($N279="","","TAHSİLAT")</f>
        <v/>
      </c>
      <c r="Q279" s="3">
        <f>IF($N279="","",INDEX(TAHSILAT!$G$7:$G$1506,$U279))</f>
        <v/>
      </c>
      <c r="R279" s="3" t="n">
        <v>0</v>
      </c>
      <c r="S279" s="3">
        <f>IF($N279="",0,INDEX(TAHSILAT!$F$7:$F$1506,$U279))</f>
        <v/>
      </c>
      <c r="T279" s="3">
        <f>IF($N279="",10000000000,$N279*100000+$M279)</f>
        <v/>
      </c>
      <c r="U279" s="3">
        <f>IFERROR(MATCH($AC$4&amp;"|27",TAHSILAT!$Q$7:$Q$1506,0),0)</f>
        <v/>
      </c>
      <c r="V279" s="3" t="n"/>
      <c r="W279" s="3" t="n"/>
      <c r="X279" s="3" t="n"/>
      <c r="Y279" s="3">
        <f>IFERROR(SMALL($T$12:$T$372,ROW()-11),"")</f>
        <v/>
      </c>
      <c r="Z279" s="3">
        <f>IFERROR(MATCH($Y279,$T$12:$T$372,0),"")</f>
        <v/>
      </c>
      <c r="AA279" s="3" t="n"/>
      <c r="AB279" s="3" t="n"/>
      <c r="AC279" s="3" t="n"/>
    </row>
    <row r="280">
      <c r="A280" s="6" t="n"/>
      <c r="B280" s="158">
        <f>IF($C280="","",ROW()-11)</f>
        <v/>
      </c>
      <c r="C280" s="247">
        <f>IF($Z280="","",IF(INDEX($N$12:$N$372,$Z280)="","",INDEX($N$12:$N$372,$Z280)))</f>
        <v/>
      </c>
      <c r="D280" s="29">
        <f>IF($C280="","",INDEX($O$12:$O$372,$Z280))</f>
        <v/>
      </c>
      <c r="E280" s="158">
        <f>IF($C280="","",INDEX($P$12:$P$372,$Z280))</f>
        <v/>
      </c>
      <c r="F280" s="29">
        <f>IF($C280="","",INDEX($Q$12:$Q$372,$Z280))</f>
        <v/>
      </c>
      <c r="G280" s="248">
        <f>IF($C280="","",INDEX($R$12:$R$372,$Z280))</f>
        <v/>
      </c>
      <c r="H280" s="248">
        <f>IF($C280="","",INDEX($S$12:$S$372,$Z280))</f>
        <v/>
      </c>
      <c r="I280" s="248">
        <f>IF($C280="","",N($I279)+$G280-$H280)</f>
        <v/>
      </c>
      <c r="J280" s="6" t="n"/>
      <c r="K280" s="6" t="n"/>
      <c r="L280" s="3" t="n"/>
      <c r="M280" s="3" t="n">
        <v>269</v>
      </c>
      <c r="N280" s="3">
        <f>IF($U280=0,"",INDEX(TAHSILAT!$E$7:$E$1506,$U280))</f>
        <v/>
      </c>
      <c r="O280" s="3">
        <f>IF($N280="","","Tahsilat  –  "&amp;INDEX(TAHSILAT!$H$7:$H$1506,$U280)&amp;IF(INDEX(TAHSILAT!$J$7:$J$1506,$U280)="",""," / "&amp;INDEX(TAHSILAT!$J$7:$J$1506,$U280)))</f>
        <v/>
      </c>
      <c r="P280" s="3">
        <f>IF($N280="","","TAHSİLAT")</f>
        <v/>
      </c>
      <c r="Q280" s="3">
        <f>IF($N280="","",INDEX(TAHSILAT!$G$7:$G$1506,$U280))</f>
        <v/>
      </c>
      <c r="R280" s="3" t="n">
        <v>0</v>
      </c>
      <c r="S280" s="3">
        <f>IF($N280="",0,INDEX(TAHSILAT!$F$7:$F$1506,$U280))</f>
        <v/>
      </c>
      <c r="T280" s="3">
        <f>IF($N280="",10000000000,$N280*100000+$M280)</f>
        <v/>
      </c>
      <c r="U280" s="3">
        <f>IFERROR(MATCH($AC$4&amp;"|28",TAHSILAT!$Q$7:$Q$1506,0),0)</f>
        <v/>
      </c>
      <c r="V280" s="3" t="n"/>
      <c r="W280" s="3" t="n"/>
      <c r="X280" s="3" t="n"/>
      <c r="Y280" s="3">
        <f>IFERROR(SMALL($T$12:$T$372,ROW()-11),"")</f>
        <v/>
      </c>
      <c r="Z280" s="3">
        <f>IFERROR(MATCH($Y280,$T$12:$T$372,0),"")</f>
        <v/>
      </c>
      <c r="AA280" s="3" t="n"/>
      <c r="AB280" s="3" t="n"/>
      <c r="AC280" s="3" t="n"/>
    </row>
    <row r="281">
      <c r="A281" s="6" t="n"/>
      <c r="B281" s="158">
        <f>IF($C281="","",ROW()-11)</f>
        <v/>
      </c>
      <c r="C281" s="247">
        <f>IF($Z281="","",IF(INDEX($N$12:$N$372,$Z281)="","",INDEX($N$12:$N$372,$Z281)))</f>
        <v/>
      </c>
      <c r="D281" s="29">
        <f>IF($C281="","",INDEX($O$12:$O$372,$Z281))</f>
        <v/>
      </c>
      <c r="E281" s="158">
        <f>IF($C281="","",INDEX($P$12:$P$372,$Z281))</f>
        <v/>
      </c>
      <c r="F281" s="29">
        <f>IF($C281="","",INDEX($Q$12:$Q$372,$Z281))</f>
        <v/>
      </c>
      <c r="G281" s="248">
        <f>IF($C281="","",INDEX($R$12:$R$372,$Z281))</f>
        <v/>
      </c>
      <c r="H281" s="248">
        <f>IF($C281="","",INDEX($S$12:$S$372,$Z281))</f>
        <v/>
      </c>
      <c r="I281" s="248">
        <f>IF($C281="","",N($I280)+$G281-$H281)</f>
        <v/>
      </c>
      <c r="J281" s="6" t="n"/>
      <c r="K281" s="6" t="n"/>
      <c r="L281" s="3" t="n"/>
      <c r="M281" s="3" t="n">
        <v>270</v>
      </c>
      <c r="N281" s="3">
        <f>IF($U281=0,"",INDEX(TAHSILAT!$E$7:$E$1506,$U281))</f>
        <v/>
      </c>
      <c r="O281" s="3">
        <f>IF($N281="","","Tahsilat  –  "&amp;INDEX(TAHSILAT!$H$7:$H$1506,$U281)&amp;IF(INDEX(TAHSILAT!$J$7:$J$1506,$U281)="",""," / "&amp;INDEX(TAHSILAT!$J$7:$J$1506,$U281)))</f>
        <v/>
      </c>
      <c r="P281" s="3">
        <f>IF($N281="","","TAHSİLAT")</f>
        <v/>
      </c>
      <c r="Q281" s="3">
        <f>IF($N281="","",INDEX(TAHSILAT!$G$7:$G$1506,$U281))</f>
        <v/>
      </c>
      <c r="R281" s="3" t="n">
        <v>0</v>
      </c>
      <c r="S281" s="3">
        <f>IF($N281="",0,INDEX(TAHSILAT!$F$7:$F$1506,$U281))</f>
        <v/>
      </c>
      <c r="T281" s="3">
        <f>IF($N281="",10000000000,$N281*100000+$M281)</f>
        <v/>
      </c>
      <c r="U281" s="3">
        <f>IFERROR(MATCH($AC$4&amp;"|29",TAHSILAT!$Q$7:$Q$1506,0),0)</f>
        <v/>
      </c>
      <c r="V281" s="3" t="n"/>
      <c r="W281" s="3" t="n"/>
      <c r="X281" s="3" t="n"/>
      <c r="Y281" s="3">
        <f>IFERROR(SMALL($T$12:$T$372,ROW()-11),"")</f>
        <v/>
      </c>
      <c r="Z281" s="3">
        <f>IFERROR(MATCH($Y281,$T$12:$T$372,0),"")</f>
        <v/>
      </c>
      <c r="AA281" s="3" t="n"/>
      <c r="AB281" s="3" t="n"/>
      <c r="AC281" s="3" t="n"/>
    </row>
    <row r="282">
      <c r="A282" s="6" t="n"/>
      <c r="B282" s="158">
        <f>IF($C282="","",ROW()-11)</f>
        <v/>
      </c>
      <c r="C282" s="247">
        <f>IF($Z282="","",IF(INDEX($N$12:$N$372,$Z282)="","",INDEX($N$12:$N$372,$Z282)))</f>
        <v/>
      </c>
      <c r="D282" s="29">
        <f>IF($C282="","",INDEX($O$12:$O$372,$Z282))</f>
        <v/>
      </c>
      <c r="E282" s="158">
        <f>IF($C282="","",INDEX($P$12:$P$372,$Z282))</f>
        <v/>
      </c>
      <c r="F282" s="29">
        <f>IF($C282="","",INDEX($Q$12:$Q$372,$Z282))</f>
        <v/>
      </c>
      <c r="G282" s="248">
        <f>IF($C282="","",INDEX($R$12:$R$372,$Z282))</f>
        <v/>
      </c>
      <c r="H282" s="248">
        <f>IF($C282="","",INDEX($S$12:$S$372,$Z282))</f>
        <v/>
      </c>
      <c r="I282" s="248">
        <f>IF($C282="","",N($I281)+$G282-$H282)</f>
        <v/>
      </c>
      <c r="J282" s="6" t="n"/>
      <c r="K282" s="6" t="n"/>
      <c r="L282" s="3" t="n"/>
      <c r="M282" s="3" t="n">
        <v>271</v>
      </c>
      <c r="N282" s="3">
        <f>IF($U282=0,"",INDEX(TAHSILAT!$E$7:$E$1506,$U282))</f>
        <v/>
      </c>
      <c r="O282" s="3">
        <f>IF($N282="","","Tahsilat  –  "&amp;INDEX(TAHSILAT!$H$7:$H$1506,$U282)&amp;IF(INDEX(TAHSILAT!$J$7:$J$1506,$U282)="",""," / "&amp;INDEX(TAHSILAT!$J$7:$J$1506,$U282)))</f>
        <v/>
      </c>
      <c r="P282" s="3">
        <f>IF($N282="","","TAHSİLAT")</f>
        <v/>
      </c>
      <c r="Q282" s="3">
        <f>IF($N282="","",INDEX(TAHSILAT!$G$7:$G$1506,$U282))</f>
        <v/>
      </c>
      <c r="R282" s="3" t="n">
        <v>0</v>
      </c>
      <c r="S282" s="3">
        <f>IF($N282="",0,INDEX(TAHSILAT!$F$7:$F$1506,$U282))</f>
        <v/>
      </c>
      <c r="T282" s="3">
        <f>IF($N282="",10000000000,$N282*100000+$M282)</f>
        <v/>
      </c>
      <c r="U282" s="3">
        <f>IFERROR(MATCH($AC$4&amp;"|30",TAHSILAT!$Q$7:$Q$1506,0),0)</f>
        <v/>
      </c>
      <c r="V282" s="3" t="n"/>
      <c r="W282" s="3" t="n"/>
      <c r="X282" s="3" t="n"/>
      <c r="Y282" s="3">
        <f>IFERROR(SMALL($T$12:$T$372,ROW()-11),"")</f>
        <v/>
      </c>
      <c r="Z282" s="3">
        <f>IFERROR(MATCH($Y282,$T$12:$T$372,0),"")</f>
        <v/>
      </c>
      <c r="AA282" s="3" t="n"/>
      <c r="AB282" s="3" t="n"/>
      <c r="AC282" s="3" t="n"/>
    </row>
    <row r="283">
      <c r="A283" s="6" t="n"/>
      <c r="B283" s="158">
        <f>IF($C283="","",ROW()-11)</f>
        <v/>
      </c>
      <c r="C283" s="247">
        <f>IF($Z283="","",IF(INDEX($N$12:$N$372,$Z283)="","",INDEX($N$12:$N$372,$Z283)))</f>
        <v/>
      </c>
      <c r="D283" s="29">
        <f>IF($C283="","",INDEX($O$12:$O$372,$Z283))</f>
        <v/>
      </c>
      <c r="E283" s="158">
        <f>IF($C283="","",INDEX($P$12:$P$372,$Z283))</f>
        <v/>
      </c>
      <c r="F283" s="29">
        <f>IF($C283="","",INDEX($Q$12:$Q$372,$Z283))</f>
        <v/>
      </c>
      <c r="G283" s="248">
        <f>IF($C283="","",INDEX($R$12:$R$372,$Z283))</f>
        <v/>
      </c>
      <c r="H283" s="248">
        <f>IF($C283="","",INDEX($S$12:$S$372,$Z283))</f>
        <v/>
      </c>
      <c r="I283" s="248">
        <f>IF($C283="","",N($I282)+$G283-$H283)</f>
        <v/>
      </c>
      <c r="J283" s="6" t="n"/>
      <c r="K283" s="6" t="n"/>
      <c r="L283" s="3" t="n"/>
      <c r="M283" s="3" t="n">
        <v>272</v>
      </c>
      <c r="N283" s="3">
        <f>IF($U283=0,"",INDEX(TAHSILAT!$E$7:$E$1506,$U283))</f>
        <v/>
      </c>
      <c r="O283" s="3">
        <f>IF($N283="","","Tahsilat  –  "&amp;INDEX(TAHSILAT!$H$7:$H$1506,$U283)&amp;IF(INDEX(TAHSILAT!$J$7:$J$1506,$U283)="",""," / "&amp;INDEX(TAHSILAT!$J$7:$J$1506,$U283)))</f>
        <v/>
      </c>
      <c r="P283" s="3">
        <f>IF($N283="","","TAHSİLAT")</f>
        <v/>
      </c>
      <c r="Q283" s="3">
        <f>IF($N283="","",INDEX(TAHSILAT!$G$7:$G$1506,$U283))</f>
        <v/>
      </c>
      <c r="R283" s="3" t="n">
        <v>0</v>
      </c>
      <c r="S283" s="3">
        <f>IF($N283="",0,INDEX(TAHSILAT!$F$7:$F$1506,$U283))</f>
        <v/>
      </c>
      <c r="T283" s="3">
        <f>IF($N283="",10000000000,$N283*100000+$M283)</f>
        <v/>
      </c>
      <c r="U283" s="3">
        <f>IFERROR(MATCH($AC$4&amp;"|31",TAHSILAT!$Q$7:$Q$1506,0),0)</f>
        <v/>
      </c>
      <c r="V283" s="3" t="n"/>
      <c r="W283" s="3" t="n"/>
      <c r="X283" s="3" t="n"/>
      <c r="Y283" s="3">
        <f>IFERROR(SMALL($T$12:$T$372,ROW()-11),"")</f>
        <v/>
      </c>
      <c r="Z283" s="3">
        <f>IFERROR(MATCH($Y283,$T$12:$T$372,0),"")</f>
        <v/>
      </c>
      <c r="AA283" s="3" t="n"/>
      <c r="AB283" s="3" t="n"/>
      <c r="AC283" s="3" t="n"/>
    </row>
    <row r="284">
      <c r="A284" s="6" t="n"/>
      <c r="B284" s="158">
        <f>IF($C284="","",ROW()-11)</f>
        <v/>
      </c>
      <c r="C284" s="247">
        <f>IF($Z284="","",IF(INDEX($N$12:$N$372,$Z284)="","",INDEX($N$12:$N$372,$Z284)))</f>
        <v/>
      </c>
      <c r="D284" s="29">
        <f>IF($C284="","",INDEX($O$12:$O$372,$Z284))</f>
        <v/>
      </c>
      <c r="E284" s="158">
        <f>IF($C284="","",INDEX($P$12:$P$372,$Z284))</f>
        <v/>
      </c>
      <c r="F284" s="29">
        <f>IF($C284="","",INDEX($Q$12:$Q$372,$Z284))</f>
        <v/>
      </c>
      <c r="G284" s="248">
        <f>IF($C284="","",INDEX($R$12:$R$372,$Z284))</f>
        <v/>
      </c>
      <c r="H284" s="248">
        <f>IF($C284="","",INDEX($S$12:$S$372,$Z284))</f>
        <v/>
      </c>
      <c r="I284" s="248">
        <f>IF($C284="","",N($I283)+$G284-$H284)</f>
        <v/>
      </c>
      <c r="J284" s="6" t="n"/>
      <c r="K284" s="6" t="n"/>
      <c r="L284" s="3" t="n"/>
      <c r="M284" s="3" t="n">
        <v>273</v>
      </c>
      <c r="N284" s="3">
        <f>IF($U284=0,"",INDEX(TAHSILAT!$E$7:$E$1506,$U284))</f>
        <v/>
      </c>
      <c r="O284" s="3">
        <f>IF($N284="","","Tahsilat  –  "&amp;INDEX(TAHSILAT!$H$7:$H$1506,$U284)&amp;IF(INDEX(TAHSILAT!$J$7:$J$1506,$U284)="",""," / "&amp;INDEX(TAHSILAT!$J$7:$J$1506,$U284)))</f>
        <v/>
      </c>
      <c r="P284" s="3">
        <f>IF($N284="","","TAHSİLAT")</f>
        <v/>
      </c>
      <c r="Q284" s="3">
        <f>IF($N284="","",INDEX(TAHSILAT!$G$7:$G$1506,$U284))</f>
        <v/>
      </c>
      <c r="R284" s="3" t="n">
        <v>0</v>
      </c>
      <c r="S284" s="3">
        <f>IF($N284="",0,INDEX(TAHSILAT!$F$7:$F$1506,$U284))</f>
        <v/>
      </c>
      <c r="T284" s="3">
        <f>IF($N284="",10000000000,$N284*100000+$M284)</f>
        <v/>
      </c>
      <c r="U284" s="3">
        <f>IFERROR(MATCH($AC$4&amp;"|32",TAHSILAT!$Q$7:$Q$1506,0),0)</f>
        <v/>
      </c>
      <c r="V284" s="3" t="n"/>
      <c r="W284" s="3" t="n"/>
      <c r="X284" s="3" t="n"/>
      <c r="Y284" s="3">
        <f>IFERROR(SMALL($T$12:$T$372,ROW()-11),"")</f>
        <v/>
      </c>
      <c r="Z284" s="3">
        <f>IFERROR(MATCH($Y284,$T$12:$T$372,0),"")</f>
        <v/>
      </c>
      <c r="AA284" s="3" t="n"/>
      <c r="AB284" s="3" t="n"/>
      <c r="AC284" s="3" t="n"/>
    </row>
    <row r="285">
      <c r="A285" s="6" t="n"/>
      <c r="B285" s="158">
        <f>IF($C285="","",ROW()-11)</f>
        <v/>
      </c>
      <c r="C285" s="247">
        <f>IF($Z285="","",IF(INDEX($N$12:$N$372,$Z285)="","",INDEX($N$12:$N$372,$Z285)))</f>
        <v/>
      </c>
      <c r="D285" s="29">
        <f>IF($C285="","",INDEX($O$12:$O$372,$Z285))</f>
        <v/>
      </c>
      <c r="E285" s="158">
        <f>IF($C285="","",INDEX($P$12:$P$372,$Z285))</f>
        <v/>
      </c>
      <c r="F285" s="29">
        <f>IF($C285="","",INDEX($Q$12:$Q$372,$Z285))</f>
        <v/>
      </c>
      <c r="G285" s="248">
        <f>IF($C285="","",INDEX($R$12:$R$372,$Z285))</f>
        <v/>
      </c>
      <c r="H285" s="248">
        <f>IF($C285="","",INDEX($S$12:$S$372,$Z285))</f>
        <v/>
      </c>
      <c r="I285" s="248">
        <f>IF($C285="","",N($I284)+$G285-$H285)</f>
        <v/>
      </c>
      <c r="J285" s="6" t="n"/>
      <c r="K285" s="6" t="n"/>
      <c r="L285" s="3" t="n"/>
      <c r="M285" s="3" t="n">
        <v>274</v>
      </c>
      <c r="N285" s="3">
        <f>IF($U285=0,"",INDEX(TAHSILAT!$E$7:$E$1506,$U285))</f>
        <v/>
      </c>
      <c r="O285" s="3">
        <f>IF($N285="","","Tahsilat  –  "&amp;INDEX(TAHSILAT!$H$7:$H$1506,$U285)&amp;IF(INDEX(TAHSILAT!$J$7:$J$1506,$U285)="",""," / "&amp;INDEX(TAHSILAT!$J$7:$J$1506,$U285)))</f>
        <v/>
      </c>
      <c r="P285" s="3">
        <f>IF($N285="","","TAHSİLAT")</f>
        <v/>
      </c>
      <c r="Q285" s="3">
        <f>IF($N285="","",INDEX(TAHSILAT!$G$7:$G$1506,$U285))</f>
        <v/>
      </c>
      <c r="R285" s="3" t="n">
        <v>0</v>
      </c>
      <c r="S285" s="3">
        <f>IF($N285="",0,INDEX(TAHSILAT!$F$7:$F$1506,$U285))</f>
        <v/>
      </c>
      <c r="T285" s="3">
        <f>IF($N285="",10000000000,$N285*100000+$M285)</f>
        <v/>
      </c>
      <c r="U285" s="3">
        <f>IFERROR(MATCH($AC$4&amp;"|33",TAHSILAT!$Q$7:$Q$1506,0),0)</f>
        <v/>
      </c>
      <c r="V285" s="3" t="n"/>
      <c r="W285" s="3" t="n"/>
      <c r="X285" s="3" t="n"/>
      <c r="Y285" s="3">
        <f>IFERROR(SMALL($T$12:$T$372,ROW()-11),"")</f>
        <v/>
      </c>
      <c r="Z285" s="3">
        <f>IFERROR(MATCH($Y285,$T$12:$T$372,0),"")</f>
        <v/>
      </c>
      <c r="AA285" s="3" t="n"/>
      <c r="AB285" s="3" t="n"/>
      <c r="AC285" s="3" t="n"/>
    </row>
    <row r="286">
      <c r="A286" s="6" t="n"/>
      <c r="B286" s="158">
        <f>IF($C286="","",ROW()-11)</f>
        <v/>
      </c>
      <c r="C286" s="247">
        <f>IF($Z286="","",IF(INDEX($N$12:$N$372,$Z286)="","",INDEX($N$12:$N$372,$Z286)))</f>
        <v/>
      </c>
      <c r="D286" s="29">
        <f>IF($C286="","",INDEX($O$12:$O$372,$Z286))</f>
        <v/>
      </c>
      <c r="E286" s="158">
        <f>IF($C286="","",INDEX($P$12:$P$372,$Z286))</f>
        <v/>
      </c>
      <c r="F286" s="29">
        <f>IF($C286="","",INDEX($Q$12:$Q$372,$Z286))</f>
        <v/>
      </c>
      <c r="G286" s="248">
        <f>IF($C286="","",INDEX($R$12:$R$372,$Z286))</f>
        <v/>
      </c>
      <c r="H286" s="248">
        <f>IF($C286="","",INDEX($S$12:$S$372,$Z286))</f>
        <v/>
      </c>
      <c r="I286" s="248">
        <f>IF($C286="","",N($I285)+$G286-$H286)</f>
        <v/>
      </c>
      <c r="J286" s="6" t="n"/>
      <c r="K286" s="6" t="n"/>
      <c r="L286" s="3" t="n"/>
      <c r="M286" s="3" t="n">
        <v>275</v>
      </c>
      <c r="N286" s="3">
        <f>IF($U286=0,"",INDEX(TAHSILAT!$E$7:$E$1506,$U286))</f>
        <v/>
      </c>
      <c r="O286" s="3">
        <f>IF($N286="","","Tahsilat  –  "&amp;INDEX(TAHSILAT!$H$7:$H$1506,$U286)&amp;IF(INDEX(TAHSILAT!$J$7:$J$1506,$U286)="",""," / "&amp;INDEX(TAHSILAT!$J$7:$J$1506,$U286)))</f>
        <v/>
      </c>
      <c r="P286" s="3">
        <f>IF($N286="","","TAHSİLAT")</f>
        <v/>
      </c>
      <c r="Q286" s="3">
        <f>IF($N286="","",INDEX(TAHSILAT!$G$7:$G$1506,$U286))</f>
        <v/>
      </c>
      <c r="R286" s="3" t="n">
        <v>0</v>
      </c>
      <c r="S286" s="3">
        <f>IF($N286="",0,INDEX(TAHSILAT!$F$7:$F$1506,$U286))</f>
        <v/>
      </c>
      <c r="T286" s="3">
        <f>IF($N286="",10000000000,$N286*100000+$M286)</f>
        <v/>
      </c>
      <c r="U286" s="3">
        <f>IFERROR(MATCH($AC$4&amp;"|34",TAHSILAT!$Q$7:$Q$1506,0),0)</f>
        <v/>
      </c>
      <c r="V286" s="3" t="n"/>
      <c r="W286" s="3" t="n"/>
      <c r="X286" s="3" t="n"/>
      <c r="Y286" s="3">
        <f>IFERROR(SMALL($T$12:$T$372,ROW()-11),"")</f>
        <v/>
      </c>
      <c r="Z286" s="3">
        <f>IFERROR(MATCH($Y286,$T$12:$T$372,0),"")</f>
        <v/>
      </c>
      <c r="AA286" s="3" t="n"/>
      <c r="AB286" s="3" t="n"/>
      <c r="AC286" s="3" t="n"/>
    </row>
    <row r="287">
      <c r="A287" s="6" t="n"/>
      <c r="B287" s="158">
        <f>IF($C287="","",ROW()-11)</f>
        <v/>
      </c>
      <c r="C287" s="247">
        <f>IF($Z287="","",IF(INDEX($N$12:$N$372,$Z287)="","",INDEX($N$12:$N$372,$Z287)))</f>
        <v/>
      </c>
      <c r="D287" s="29">
        <f>IF($C287="","",INDEX($O$12:$O$372,$Z287))</f>
        <v/>
      </c>
      <c r="E287" s="158">
        <f>IF($C287="","",INDEX($P$12:$P$372,$Z287))</f>
        <v/>
      </c>
      <c r="F287" s="29">
        <f>IF($C287="","",INDEX($Q$12:$Q$372,$Z287))</f>
        <v/>
      </c>
      <c r="G287" s="248">
        <f>IF($C287="","",INDEX($R$12:$R$372,$Z287))</f>
        <v/>
      </c>
      <c r="H287" s="248">
        <f>IF($C287="","",INDEX($S$12:$S$372,$Z287))</f>
        <v/>
      </c>
      <c r="I287" s="248">
        <f>IF($C287="","",N($I286)+$G287-$H287)</f>
        <v/>
      </c>
      <c r="J287" s="6" t="n"/>
      <c r="K287" s="6" t="n"/>
      <c r="L287" s="3" t="n"/>
      <c r="M287" s="3" t="n">
        <v>276</v>
      </c>
      <c r="N287" s="3">
        <f>IF($U287=0,"",INDEX(TAHSILAT!$E$7:$E$1506,$U287))</f>
        <v/>
      </c>
      <c r="O287" s="3">
        <f>IF($N287="","","Tahsilat  –  "&amp;INDEX(TAHSILAT!$H$7:$H$1506,$U287)&amp;IF(INDEX(TAHSILAT!$J$7:$J$1506,$U287)="",""," / "&amp;INDEX(TAHSILAT!$J$7:$J$1506,$U287)))</f>
        <v/>
      </c>
      <c r="P287" s="3">
        <f>IF($N287="","","TAHSİLAT")</f>
        <v/>
      </c>
      <c r="Q287" s="3">
        <f>IF($N287="","",INDEX(TAHSILAT!$G$7:$G$1506,$U287))</f>
        <v/>
      </c>
      <c r="R287" s="3" t="n">
        <v>0</v>
      </c>
      <c r="S287" s="3">
        <f>IF($N287="",0,INDEX(TAHSILAT!$F$7:$F$1506,$U287))</f>
        <v/>
      </c>
      <c r="T287" s="3">
        <f>IF($N287="",10000000000,$N287*100000+$M287)</f>
        <v/>
      </c>
      <c r="U287" s="3">
        <f>IFERROR(MATCH($AC$4&amp;"|35",TAHSILAT!$Q$7:$Q$1506,0),0)</f>
        <v/>
      </c>
      <c r="V287" s="3" t="n"/>
      <c r="W287" s="3" t="n"/>
      <c r="X287" s="3" t="n"/>
      <c r="Y287" s="3">
        <f>IFERROR(SMALL($T$12:$T$372,ROW()-11),"")</f>
        <v/>
      </c>
      <c r="Z287" s="3">
        <f>IFERROR(MATCH($Y287,$T$12:$T$372,0),"")</f>
        <v/>
      </c>
      <c r="AA287" s="3" t="n"/>
      <c r="AB287" s="3" t="n"/>
      <c r="AC287" s="3" t="n"/>
    </row>
    <row r="288">
      <c r="A288" s="6" t="n"/>
      <c r="B288" s="158">
        <f>IF($C288="","",ROW()-11)</f>
        <v/>
      </c>
      <c r="C288" s="247">
        <f>IF($Z288="","",IF(INDEX($N$12:$N$372,$Z288)="","",INDEX($N$12:$N$372,$Z288)))</f>
        <v/>
      </c>
      <c r="D288" s="29">
        <f>IF($C288="","",INDEX($O$12:$O$372,$Z288))</f>
        <v/>
      </c>
      <c r="E288" s="158">
        <f>IF($C288="","",INDEX($P$12:$P$372,$Z288))</f>
        <v/>
      </c>
      <c r="F288" s="29">
        <f>IF($C288="","",INDEX($Q$12:$Q$372,$Z288))</f>
        <v/>
      </c>
      <c r="G288" s="248">
        <f>IF($C288="","",INDEX($R$12:$R$372,$Z288))</f>
        <v/>
      </c>
      <c r="H288" s="248">
        <f>IF($C288="","",INDEX($S$12:$S$372,$Z288))</f>
        <v/>
      </c>
      <c r="I288" s="248">
        <f>IF($C288="","",N($I287)+$G288-$H288)</f>
        <v/>
      </c>
      <c r="J288" s="6" t="n"/>
      <c r="K288" s="6" t="n"/>
      <c r="L288" s="3" t="n"/>
      <c r="M288" s="3" t="n">
        <v>277</v>
      </c>
      <c r="N288" s="3">
        <f>IF($U288=0,"",INDEX(TAHSILAT!$E$7:$E$1506,$U288))</f>
        <v/>
      </c>
      <c r="O288" s="3">
        <f>IF($N288="","","Tahsilat  –  "&amp;INDEX(TAHSILAT!$H$7:$H$1506,$U288)&amp;IF(INDEX(TAHSILAT!$J$7:$J$1506,$U288)="",""," / "&amp;INDEX(TAHSILAT!$J$7:$J$1506,$U288)))</f>
        <v/>
      </c>
      <c r="P288" s="3">
        <f>IF($N288="","","TAHSİLAT")</f>
        <v/>
      </c>
      <c r="Q288" s="3">
        <f>IF($N288="","",INDEX(TAHSILAT!$G$7:$G$1506,$U288))</f>
        <v/>
      </c>
      <c r="R288" s="3" t="n">
        <v>0</v>
      </c>
      <c r="S288" s="3">
        <f>IF($N288="",0,INDEX(TAHSILAT!$F$7:$F$1506,$U288))</f>
        <v/>
      </c>
      <c r="T288" s="3">
        <f>IF($N288="",10000000000,$N288*100000+$M288)</f>
        <v/>
      </c>
      <c r="U288" s="3">
        <f>IFERROR(MATCH($AC$4&amp;"|36",TAHSILAT!$Q$7:$Q$1506,0),0)</f>
        <v/>
      </c>
      <c r="V288" s="3" t="n"/>
      <c r="W288" s="3" t="n"/>
      <c r="X288" s="3" t="n"/>
      <c r="Y288" s="3">
        <f>IFERROR(SMALL($T$12:$T$372,ROW()-11),"")</f>
        <v/>
      </c>
      <c r="Z288" s="3">
        <f>IFERROR(MATCH($Y288,$T$12:$T$372,0),"")</f>
        <v/>
      </c>
      <c r="AA288" s="3" t="n"/>
      <c r="AB288" s="3" t="n"/>
      <c r="AC288" s="3" t="n"/>
    </row>
    <row r="289">
      <c r="A289" s="6" t="n"/>
      <c r="B289" s="158">
        <f>IF($C289="","",ROW()-11)</f>
        <v/>
      </c>
      <c r="C289" s="247">
        <f>IF($Z289="","",IF(INDEX($N$12:$N$372,$Z289)="","",INDEX($N$12:$N$372,$Z289)))</f>
        <v/>
      </c>
      <c r="D289" s="29">
        <f>IF($C289="","",INDEX($O$12:$O$372,$Z289))</f>
        <v/>
      </c>
      <c r="E289" s="158">
        <f>IF($C289="","",INDEX($P$12:$P$372,$Z289))</f>
        <v/>
      </c>
      <c r="F289" s="29">
        <f>IF($C289="","",INDEX($Q$12:$Q$372,$Z289))</f>
        <v/>
      </c>
      <c r="G289" s="248">
        <f>IF($C289="","",INDEX($R$12:$R$372,$Z289))</f>
        <v/>
      </c>
      <c r="H289" s="248">
        <f>IF($C289="","",INDEX($S$12:$S$372,$Z289))</f>
        <v/>
      </c>
      <c r="I289" s="248">
        <f>IF($C289="","",N($I288)+$G289-$H289)</f>
        <v/>
      </c>
      <c r="J289" s="6" t="n"/>
      <c r="K289" s="6" t="n"/>
      <c r="L289" s="3" t="n"/>
      <c r="M289" s="3" t="n">
        <v>278</v>
      </c>
      <c r="N289" s="3">
        <f>IF($U289=0,"",INDEX(TAHSILAT!$E$7:$E$1506,$U289))</f>
        <v/>
      </c>
      <c r="O289" s="3">
        <f>IF($N289="","","Tahsilat  –  "&amp;INDEX(TAHSILAT!$H$7:$H$1506,$U289)&amp;IF(INDEX(TAHSILAT!$J$7:$J$1506,$U289)="",""," / "&amp;INDEX(TAHSILAT!$J$7:$J$1506,$U289)))</f>
        <v/>
      </c>
      <c r="P289" s="3">
        <f>IF($N289="","","TAHSİLAT")</f>
        <v/>
      </c>
      <c r="Q289" s="3">
        <f>IF($N289="","",INDEX(TAHSILAT!$G$7:$G$1506,$U289))</f>
        <v/>
      </c>
      <c r="R289" s="3" t="n">
        <v>0</v>
      </c>
      <c r="S289" s="3">
        <f>IF($N289="",0,INDEX(TAHSILAT!$F$7:$F$1506,$U289))</f>
        <v/>
      </c>
      <c r="T289" s="3">
        <f>IF($N289="",10000000000,$N289*100000+$M289)</f>
        <v/>
      </c>
      <c r="U289" s="3">
        <f>IFERROR(MATCH($AC$4&amp;"|37",TAHSILAT!$Q$7:$Q$1506,0),0)</f>
        <v/>
      </c>
      <c r="V289" s="3" t="n"/>
      <c r="W289" s="3" t="n"/>
      <c r="X289" s="3" t="n"/>
      <c r="Y289" s="3">
        <f>IFERROR(SMALL($T$12:$T$372,ROW()-11),"")</f>
        <v/>
      </c>
      <c r="Z289" s="3">
        <f>IFERROR(MATCH($Y289,$T$12:$T$372,0),"")</f>
        <v/>
      </c>
      <c r="AA289" s="3" t="n"/>
      <c r="AB289" s="3" t="n"/>
      <c r="AC289" s="3" t="n"/>
    </row>
    <row r="290">
      <c r="A290" s="6" t="n"/>
      <c r="B290" s="158">
        <f>IF($C290="","",ROW()-11)</f>
        <v/>
      </c>
      <c r="C290" s="247">
        <f>IF($Z290="","",IF(INDEX($N$12:$N$372,$Z290)="","",INDEX($N$12:$N$372,$Z290)))</f>
        <v/>
      </c>
      <c r="D290" s="29">
        <f>IF($C290="","",INDEX($O$12:$O$372,$Z290))</f>
        <v/>
      </c>
      <c r="E290" s="158">
        <f>IF($C290="","",INDEX($P$12:$P$372,$Z290))</f>
        <v/>
      </c>
      <c r="F290" s="29">
        <f>IF($C290="","",INDEX($Q$12:$Q$372,$Z290))</f>
        <v/>
      </c>
      <c r="G290" s="248">
        <f>IF($C290="","",INDEX($R$12:$R$372,$Z290))</f>
        <v/>
      </c>
      <c r="H290" s="248">
        <f>IF($C290="","",INDEX($S$12:$S$372,$Z290))</f>
        <v/>
      </c>
      <c r="I290" s="248">
        <f>IF($C290="","",N($I289)+$G290-$H290)</f>
        <v/>
      </c>
      <c r="J290" s="6" t="n"/>
      <c r="K290" s="6" t="n"/>
      <c r="L290" s="3" t="n"/>
      <c r="M290" s="3" t="n">
        <v>279</v>
      </c>
      <c r="N290" s="3">
        <f>IF($U290=0,"",INDEX(TAHSILAT!$E$7:$E$1506,$U290))</f>
        <v/>
      </c>
      <c r="O290" s="3">
        <f>IF($N290="","","Tahsilat  –  "&amp;INDEX(TAHSILAT!$H$7:$H$1506,$U290)&amp;IF(INDEX(TAHSILAT!$J$7:$J$1506,$U290)="",""," / "&amp;INDEX(TAHSILAT!$J$7:$J$1506,$U290)))</f>
        <v/>
      </c>
      <c r="P290" s="3">
        <f>IF($N290="","","TAHSİLAT")</f>
        <v/>
      </c>
      <c r="Q290" s="3">
        <f>IF($N290="","",INDEX(TAHSILAT!$G$7:$G$1506,$U290))</f>
        <v/>
      </c>
      <c r="R290" s="3" t="n">
        <v>0</v>
      </c>
      <c r="S290" s="3">
        <f>IF($N290="",0,INDEX(TAHSILAT!$F$7:$F$1506,$U290))</f>
        <v/>
      </c>
      <c r="T290" s="3">
        <f>IF($N290="",10000000000,$N290*100000+$M290)</f>
        <v/>
      </c>
      <c r="U290" s="3">
        <f>IFERROR(MATCH($AC$4&amp;"|38",TAHSILAT!$Q$7:$Q$1506,0),0)</f>
        <v/>
      </c>
      <c r="V290" s="3" t="n"/>
      <c r="W290" s="3" t="n"/>
      <c r="X290" s="3" t="n"/>
      <c r="Y290" s="3">
        <f>IFERROR(SMALL($T$12:$T$372,ROW()-11),"")</f>
        <v/>
      </c>
      <c r="Z290" s="3">
        <f>IFERROR(MATCH($Y290,$T$12:$T$372,0),"")</f>
        <v/>
      </c>
      <c r="AA290" s="3" t="n"/>
      <c r="AB290" s="3" t="n"/>
      <c r="AC290" s="3" t="n"/>
    </row>
    <row r="291">
      <c r="A291" s="6" t="n"/>
      <c r="B291" s="158">
        <f>IF($C291="","",ROW()-11)</f>
        <v/>
      </c>
      <c r="C291" s="247">
        <f>IF($Z291="","",IF(INDEX($N$12:$N$372,$Z291)="","",INDEX($N$12:$N$372,$Z291)))</f>
        <v/>
      </c>
      <c r="D291" s="29">
        <f>IF($C291="","",INDEX($O$12:$O$372,$Z291))</f>
        <v/>
      </c>
      <c r="E291" s="158">
        <f>IF($C291="","",INDEX($P$12:$P$372,$Z291))</f>
        <v/>
      </c>
      <c r="F291" s="29">
        <f>IF($C291="","",INDEX($Q$12:$Q$372,$Z291))</f>
        <v/>
      </c>
      <c r="G291" s="248">
        <f>IF($C291="","",INDEX($R$12:$R$372,$Z291))</f>
        <v/>
      </c>
      <c r="H291" s="248">
        <f>IF($C291="","",INDEX($S$12:$S$372,$Z291))</f>
        <v/>
      </c>
      <c r="I291" s="248">
        <f>IF($C291="","",N($I290)+$G291-$H291)</f>
        <v/>
      </c>
      <c r="J291" s="6" t="n"/>
      <c r="K291" s="6" t="n"/>
      <c r="L291" s="3" t="n"/>
      <c r="M291" s="3" t="n">
        <v>280</v>
      </c>
      <c r="N291" s="3">
        <f>IF($U291=0,"",INDEX(TAHSILAT!$E$7:$E$1506,$U291))</f>
        <v/>
      </c>
      <c r="O291" s="3">
        <f>IF($N291="","","Tahsilat  –  "&amp;INDEX(TAHSILAT!$H$7:$H$1506,$U291)&amp;IF(INDEX(TAHSILAT!$J$7:$J$1506,$U291)="",""," / "&amp;INDEX(TAHSILAT!$J$7:$J$1506,$U291)))</f>
        <v/>
      </c>
      <c r="P291" s="3">
        <f>IF($N291="","","TAHSİLAT")</f>
        <v/>
      </c>
      <c r="Q291" s="3">
        <f>IF($N291="","",INDEX(TAHSILAT!$G$7:$G$1506,$U291))</f>
        <v/>
      </c>
      <c r="R291" s="3" t="n">
        <v>0</v>
      </c>
      <c r="S291" s="3">
        <f>IF($N291="",0,INDEX(TAHSILAT!$F$7:$F$1506,$U291))</f>
        <v/>
      </c>
      <c r="T291" s="3">
        <f>IF($N291="",10000000000,$N291*100000+$M291)</f>
        <v/>
      </c>
      <c r="U291" s="3">
        <f>IFERROR(MATCH($AC$4&amp;"|39",TAHSILAT!$Q$7:$Q$1506,0),0)</f>
        <v/>
      </c>
      <c r="V291" s="3" t="n"/>
      <c r="W291" s="3" t="n"/>
      <c r="X291" s="3" t="n"/>
      <c r="Y291" s="3">
        <f>IFERROR(SMALL($T$12:$T$372,ROW()-11),"")</f>
        <v/>
      </c>
      <c r="Z291" s="3">
        <f>IFERROR(MATCH($Y291,$T$12:$T$372,0),"")</f>
        <v/>
      </c>
      <c r="AA291" s="3" t="n"/>
      <c r="AB291" s="3" t="n"/>
      <c r="AC291" s="3" t="n"/>
    </row>
    <row r="292">
      <c r="A292" s="6" t="n"/>
      <c r="B292" s="158">
        <f>IF($C292="","",ROW()-11)</f>
        <v/>
      </c>
      <c r="C292" s="247">
        <f>IF($Z292="","",IF(INDEX($N$12:$N$372,$Z292)="","",INDEX($N$12:$N$372,$Z292)))</f>
        <v/>
      </c>
      <c r="D292" s="29">
        <f>IF($C292="","",INDEX($O$12:$O$372,$Z292))</f>
        <v/>
      </c>
      <c r="E292" s="158">
        <f>IF($C292="","",INDEX($P$12:$P$372,$Z292))</f>
        <v/>
      </c>
      <c r="F292" s="29">
        <f>IF($C292="","",INDEX($Q$12:$Q$372,$Z292))</f>
        <v/>
      </c>
      <c r="G292" s="248">
        <f>IF($C292="","",INDEX($R$12:$R$372,$Z292))</f>
        <v/>
      </c>
      <c r="H292" s="248">
        <f>IF($C292="","",INDEX($S$12:$S$372,$Z292))</f>
        <v/>
      </c>
      <c r="I292" s="248">
        <f>IF($C292="","",N($I291)+$G292-$H292)</f>
        <v/>
      </c>
      <c r="J292" s="6" t="n"/>
      <c r="K292" s="6" t="n"/>
      <c r="L292" s="3" t="n"/>
      <c r="M292" s="3" t="n">
        <v>281</v>
      </c>
      <c r="N292" s="3">
        <f>IF($U292=0,"",INDEX(TAHSILAT!$E$7:$E$1506,$U292))</f>
        <v/>
      </c>
      <c r="O292" s="3">
        <f>IF($N292="","","Tahsilat  –  "&amp;INDEX(TAHSILAT!$H$7:$H$1506,$U292)&amp;IF(INDEX(TAHSILAT!$J$7:$J$1506,$U292)="",""," / "&amp;INDEX(TAHSILAT!$J$7:$J$1506,$U292)))</f>
        <v/>
      </c>
      <c r="P292" s="3">
        <f>IF($N292="","","TAHSİLAT")</f>
        <v/>
      </c>
      <c r="Q292" s="3">
        <f>IF($N292="","",INDEX(TAHSILAT!$G$7:$G$1506,$U292))</f>
        <v/>
      </c>
      <c r="R292" s="3" t="n">
        <v>0</v>
      </c>
      <c r="S292" s="3">
        <f>IF($N292="",0,INDEX(TAHSILAT!$F$7:$F$1506,$U292))</f>
        <v/>
      </c>
      <c r="T292" s="3">
        <f>IF($N292="",10000000000,$N292*100000+$M292)</f>
        <v/>
      </c>
      <c r="U292" s="3">
        <f>IFERROR(MATCH($AC$4&amp;"|40",TAHSILAT!$Q$7:$Q$1506,0),0)</f>
        <v/>
      </c>
      <c r="V292" s="3" t="n"/>
      <c r="W292" s="3" t="n"/>
      <c r="X292" s="3" t="n"/>
      <c r="Y292" s="3">
        <f>IFERROR(SMALL($T$12:$T$372,ROW()-11),"")</f>
        <v/>
      </c>
      <c r="Z292" s="3">
        <f>IFERROR(MATCH($Y292,$T$12:$T$372,0),"")</f>
        <v/>
      </c>
      <c r="AA292" s="3" t="n"/>
      <c r="AB292" s="3" t="n"/>
      <c r="AC292" s="3" t="n"/>
    </row>
    <row r="293">
      <c r="A293" s="6" t="n"/>
      <c r="B293" s="158">
        <f>IF($C293="","",ROW()-11)</f>
        <v/>
      </c>
      <c r="C293" s="247">
        <f>IF($Z293="","",IF(INDEX($N$12:$N$372,$Z293)="","",INDEX($N$12:$N$372,$Z293)))</f>
        <v/>
      </c>
      <c r="D293" s="29">
        <f>IF($C293="","",INDEX($O$12:$O$372,$Z293))</f>
        <v/>
      </c>
      <c r="E293" s="158">
        <f>IF($C293="","",INDEX($P$12:$P$372,$Z293))</f>
        <v/>
      </c>
      <c r="F293" s="29">
        <f>IF($C293="","",INDEX($Q$12:$Q$372,$Z293))</f>
        <v/>
      </c>
      <c r="G293" s="248">
        <f>IF($C293="","",INDEX($R$12:$R$372,$Z293))</f>
        <v/>
      </c>
      <c r="H293" s="248">
        <f>IF($C293="","",INDEX($S$12:$S$372,$Z293))</f>
        <v/>
      </c>
      <c r="I293" s="248">
        <f>IF($C293="","",N($I292)+$G293-$H293)</f>
        <v/>
      </c>
      <c r="J293" s="6" t="n"/>
      <c r="K293" s="6" t="n"/>
      <c r="L293" s="3" t="n"/>
      <c r="M293" s="3" t="n">
        <v>282</v>
      </c>
      <c r="N293" s="3">
        <f>IF($U293=0,"",INDEX(TAHSILAT!$E$7:$E$1506,$U293))</f>
        <v/>
      </c>
      <c r="O293" s="3">
        <f>IF($N293="","","Tahsilat  –  "&amp;INDEX(TAHSILAT!$H$7:$H$1506,$U293)&amp;IF(INDEX(TAHSILAT!$J$7:$J$1506,$U293)="",""," / "&amp;INDEX(TAHSILAT!$J$7:$J$1506,$U293)))</f>
        <v/>
      </c>
      <c r="P293" s="3">
        <f>IF($N293="","","TAHSİLAT")</f>
        <v/>
      </c>
      <c r="Q293" s="3">
        <f>IF($N293="","",INDEX(TAHSILAT!$G$7:$G$1506,$U293))</f>
        <v/>
      </c>
      <c r="R293" s="3" t="n">
        <v>0</v>
      </c>
      <c r="S293" s="3">
        <f>IF($N293="",0,INDEX(TAHSILAT!$F$7:$F$1506,$U293))</f>
        <v/>
      </c>
      <c r="T293" s="3">
        <f>IF($N293="",10000000000,$N293*100000+$M293)</f>
        <v/>
      </c>
      <c r="U293" s="3">
        <f>IFERROR(MATCH($AC$4&amp;"|41",TAHSILAT!$Q$7:$Q$1506,0),0)</f>
        <v/>
      </c>
      <c r="V293" s="3" t="n"/>
      <c r="W293" s="3" t="n"/>
      <c r="X293" s="3" t="n"/>
      <c r="Y293" s="3">
        <f>IFERROR(SMALL($T$12:$T$372,ROW()-11),"")</f>
        <v/>
      </c>
      <c r="Z293" s="3">
        <f>IFERROR(MATCH($Y293,$T$12:$T$372,0),"")</f>
        <v/>
      </c>
      <c r="AA293" s="3" t="n"/>
      <c r="AB293" s="3" t="n"/>
      <c r="AC293" s="3" t="n"/>
    </row>
    <row r="294">
      <c r="A294" s="6" t="n"/>
      <c r="B294" s="158">
        <f>IF($C294="","",ROW()-11)</f>
        <v/>
      </c>
      <c r="C294" s="247">
        <f>IF($Z294="","",IF(INDEX($N$12:$N$372,$Z294)="","",INDEX($N$12:$N$372,$Z294)))</f>
        <v/>
      </c>
      <c r="D294" s="29">
        <f>IF($C294="","",INDEX($O$12:$O$372,$Z294))</f>
        <v/>
      </c>
      <c r="E294" s="158">
        <f>IF($C294="","",INDEX($P$12:$P$372,$Z294))</f>
        <v/>
      </c>
      <c r="F294" s="29">
        <f>IF($C294="","",INDEX($Q$12:$Q$372,$Z294))</f>
        <v/>
      </c>
      <c r="G294" s="248">
        <f>IF($C294="","",INDEX($R$12:$R$372,$Z294))</f>
        <v/>
      </c>
      <c r="H294" s="248">
        <f>IF($C294="","",INDEX($S$12:$S$372,$Z294))</f>
        <v/>
      </c>
      <c r="I294" s="248">
        <f>IF($C294="","",N($I293)+$G294-$H294)</f>
        <v/>
      </c>
      <c r="J294" s="6" t="n"/>
      <c r="K294" s="6" t="n"/>
      <c r="L294" s="3" t="n"/>
      <c r="M294" s="3" t="n">
        <v>283</v>
      </c>
      <c r="N294" s="3">
        <f>IF($U294=0,"",INDEX(TAHSILAT!$E$7:$E$1506,$U294))</f>
        <v/>
      </c>
      <c r="O294" s="3">
        <f>IF($N294="","","Tahsilat  –  "&amp;INDEX(TAHSILAT!$H$7:$H$1506,$U294)&amp;IF(INDEX(TAHSILAT!$J$7:$J$1506,$U294)="",""," / "&amp;INDEX(TAHSILAT!$J$7:$J$1506,$U294)))</f>
        <v/>
      </c>
      <c r="P294" s="3">
        <f>IF($N294="","","TAHSİLAT")</f>
        <v/>
      </c>
      <c r="Q294" s="3">
        <f>IF($N294="","",INDEX(TAHSILAT!$G$7:$G$1506,$U294))</f>
        <v/>
      </c>
      <c r="R294" s="3" t="n">
        <v>0</v>
      </c>
      <c r="S294" s="3">
        <f>IF($N294="",0,INDEX(TAHSILAT!$F$7:$F$1506,$U294))</f>
        <v/>
      </c>
      <c r="T294" s="3">
        <f>IF($N294="",10000000000,$N294*100000+$M294)</f>
        <v/>
      </c>
      <c r="U294" s="3">
        <f>IFERROR(MATCH($AC$4&amp;"|42",TAHSILAT!$Q$7:$Q$1506,0),0)</f>
        <v/>
      </c>
      <c r="V294" s="3" t="n"/>
      <c r="W294" s="3" t="n"/>
      <c r="X294" s="3" t="n"/>
      <c r="Y294" s="3">
        <f>IFERROR(SMALL($T$12:$T$372,ROW()-11),"")</f>
        <v/>
      </c>
      <c r="Z294" s="3">
        <f>IFERROR(MATCH($Y294,$T$12:$T$372,0),"")</f>
        <v/>
      </c>
      <c r="AA294" s="3" t="n"/>
      <c r="AB294" s="3" t="n"/>
      <c r="AC294" s="3" t="n"/>
    </row>
    <row r="295">
      <c r="A295" s="6" t="n"/>
      <c r="B295" s="158">
        <f>IF($C295="","",ROW()-11)</f>
        <v/>
      </c>
      <c r="C295" s="247">
        <f>IF($Z295="","",IF(INDEX($N$12:$N$372,$Z295)="","",INDEX($N$12:$N$372,$Z295)))</f>
        <v/>
      </c>
      <c r="D295" s="29">
        <f>IF($C295="","",INDEX($O$12:$O$372,$Z295))</f>
        <v/>
      </c>
      <c r="E295" s="158">
        <f>IF($C295="","",INDEX($P$12:$P$372,$Z295))</f>
        <v/>
      </c>
      <c r="F295" s="29">
        <f>IF($C295="","",INDEX($Q$12:$Q$372,$Z295))</f>
        <v/>
      </c>
      <c r="G295" s="248">
        <f>IF($C295="","",INDEX($R$12:$R$372,$Z295))</f>
        <v/>
      </c>
      <c r="H295" s="248">
        <f>IF($C295="","",INDEX($S$12:$S$372,$Z295))</f>
        <v/>
      </c>
      <c r="I295" s="248">
        <f>IF($C295="","",N($I294)+$G295-$H295)</f>
        <v/>
      </c>
      <c r="J295" s="6" t="n"/>
      <c r="K295" s="6" t="n"/>
      <c r="L295" s="3" t="n"/>
      <c r="M295" s="3" t="n">
        <v>284</v>
      </c>
      <c r="N295" s="3">
        <f>IF($U295=0,"",INDEX(TAHSILAT!$E$7:$E$1506,$U295))</f>
        <v/>
      </c>
      <c r="O295" s="3">
        <f>IF($N295="","","Tahsilat  –  "&amp;INDEX(TAHSILAT!$H$7:$H$1506,$U295)&amp;IF(INDEX(TAHSILAT!$J$7:$J$1506,$U295)="",""," / "&amp;INDEX(TAHSILAT!$J$7:$J$1506,$U295)))</f>
        <v/>
      </c>
      <c r="P295" s="3">
        <f>IF($N295="","","TAHSİLAT")</f>
        <v/>
      </c>
      <c r="Q295" s="3">
        <f>IF($N295="","",INDEX(TAHSILAT!$G$7:$G$1506,$U295))</f>
        <v/>
      </c>
      <c r="R295" s="3" t="n">
        <v>0</v>
      </c>
      <c r="S295" s="3">
        <f>IF($N295="",0,INDEX(TAHSILAT!$F$7:$F$1506,$U295))</f>
        <v/>
      </c>
      <c r="T295" s="3">
        <f>IF($N295="",10000000000,$N295*100000+$M295)</f>
        <v/>
      </c>
      <c r="U295" s="3">
        <f>IFERROR(MATCH($AC$4&amp;"|43",TAHSILAT!$Q$7:$Q$1506,0),0)</f>
        <v/>
      </c>
      <c r="V295" s="3" t="n"/>
      <c r="W295" s="3" t="n"/>
      <c r="X295" s="3" t="n"/>
      <c r="Y295" s="3">
        <f>IFERROR(SMALL($T$12:$T$372,ROW()-11),"")</f>
        <v/>
      </c>
      <c r="Z295" s="3">
        <f>IFERROR(MATCH($Y295,$T$12:$T$372,0),"")</f>
        <v/>
      </c>
      <c r="AA295" s="3" t="n"/>
      <c r="AB295" s="3" t="n"/>
      <c r="AC295" s="3" t="n"/>
    </row>
    <row r="296">
      <c r="A296" s="6" t="n"/>
      <c r="B296" s="158">
        <f>IF($C296="","",ROW()-11)</f>
        <v/>
      </c>
      <c r="C296" s="247">
        <f>IF($Z296="","",IF(INDEX($N$12:$N$372,$Z296)="","",INDEX($N$12:$N$372,$Z296)))</f>
        <v/>
      </c>
      <c r="D296" s="29">
        <f>IF($C296="","",INDEX($O$12:$O$372,$Z296))</f>
        <v/>
      </c>
      <c r="E296" s="158">
        <f>IF($C296="","",INDEX($P$12:$P$372,$Z296))</f>
        <v/>
      </c>
      <c r="F296" s="29">
        <f>IF($C296="","",INDEX($Q$12:$Q$372,$Z296))</f>
        <v/>
      </c>
      <c r="G296" s="248">
        <f>IF($C296="","",INDEX($R$12:$R$372,$Z296))</f>
        <v/>
      </c>
      <c r="H296" s="248">
        <f>IF($C296="","",INDEX($S$12:$S$372,$Z296))</f>
        <v/>
      </c>
      <c r="I296" s="248">
        <f>IF($C296="","",N($I295)+$G296-$H296)</f>
        <v/>
      </c>
      <c r="J296" s="6" t="n"/>
      <c r="K296" s="6" t="n"/>
      <c r="L296" s="3" t="n"/>
      <c r="M296" s="3" t="n">
        <v>285</v>
      </c>
      <c r="N296" s="3">
        <f>IF($U296=0,"",INDEX(TAHSILAT!$E$7:$E$1506,$U296))</f>
        <v/>
      </c>
      <c r="O296" s="3">
        <f>IF($N296="","","Tahsilat  –  "&amp;INDEX(TAHSILAT!$H$7:$H$1506,$U296)&amp;IF(INDEX(TAHSILAT!$J$7:$J$1506,$U296)="",""," / "&amp;INDEX(TAHSILAT!$J$7:$J$1506,$U296)))</f>
        <v/>
      </c>
      <c r="P296" s="3">
        <f>IF($N296="","","TAHSİLAT")</f>
        <v/>
      </c>
      <c r="Q296" s="3">
        <f>IF($N296="","",INDEX(TAHSILAT!$G$7:$G$1506,$U296))</f>
        <v/>
      </c>
      <c r="R296" s="3" t="n">
        <v>0</v>
      </c>
      <c r="S296" s="3">
        <f>IF($N296="",0,INDEX(TAHSILAT!$F$7:$F$1506,$U296))</f>
        <v/>
      </c>
      <c r="T296" s="3">
        <f>IF($N296="",10000000000,$N296*100000+$M296)</f>
        <v/>
      </c>
      <c r="U296" s="3">
        <f>IFERROR(MATCH($AC$4&amp;"|44",TAHSILAT!$Q$7:$Q$1506,0),0)</f>
        <v/>
      </c>
      <c r="V296" s="3" t="n"/>
      <c r="W296" s="3" t="n"/>
      <c r="X296" s="3" t="n"/>
      <c r="Y296" s="3">
        <f>IFERROR(SMALL($T$12:$T$372,ROW()-11),"")</f>
        <v/>
      </c>
      <c r="Z296" s="3">
        <f>IFERROR(MATCH($Y296,$T$12:$T$372,0),"")</f>
        <v/>
      </c>
      <c r="AA296" s="3" t="n"/>
      <c r="AB296" s="3" t="n"/>
      <c r="AC296" s="3" t="n"/>
    </row>
    <row r="297">
      <c r="A297" s="6" t="n"/>
      <c r="B297" s="158">
        <f>IF($C297="","",ROW()-11)</f>
        <v/>
      </c>
      <c r="C297" s="247">
        <f>IF($Z297="","",IF(INDEX($N$12:$N$372,$Z297)="","",INDEX($N$12:$N$372,$Z297)))</f>
        <v/>
      </c>
      <c r="D297" s="29">
        <f>IF($C297="","",INDEX($O$12:$O$372,$Z297))</f>
        <v/>
      </c>
      <c r="E297" s="158">
        <f>IF($C297="","",INDEX($P$12:$P$372,$Z297))</f>
        <v/>
      </c>
      <c r="F297" s="29">
        <f>IF($C297="","",INDEX($Q$12:$Q$372,$Z297))</f>
        <v/>
      </c>
      <c r="G297" s="248">
        <f>IF($C297="","",INDEX($R$12:$R$372,$Z297))</f>
        <v/>
      </c>
      <c r="H297" s="248">
        <f>IF($C297="","",INDEX($S$12:$S$372,$Z297))</f>
        <v/>
      </c>
      <c r="I297" s="248">
        <f>IF($C297="","",N($I296)+$G297-$H297)</f>
        <v/>
      </c>
      <c r="J297" s="6" t="n"/>
      <c r="K297" s="6" t="n"/>
      <c r="L297" s="3" t="n"/>
      <c r="M297" s="3" t="n">
        <v>286</v>
      </c>
      <c r="N297" s="3">
        <f>IF($U297=0,"",INDEX(TAHSILAT!$E$7:$E$1506,$U297))</f>
        <v/>
      </c>
      <c r="O297" s="3">
        <f>IF($N297="","","Tahsilat  –  "&amp;INDEX(TAHSILAT!$H$7:$H$1506,$U297)&amp;IF(INDEX(TAHSILAT!$J$7:$J$1506,$U297)="",""," / "&amp;INDEX(TAHSILAT!$J$7:$J$1506,$U297)))</f>
        <v/>
      </c>
      <c r="P297" s="3">
        <f>IF($N297="","","TAHSİLAT")</f>
        <v/>
      </c>
      <c r="Q297" s="3">
        <f>IF($N297="","",INDEX(TAHSILAT!$G$7:$G$1506,$U297))</f>
        <v/>
      </c>
      <c r="R297" s="3" t="n">
        <v>0</v>
      </c>
      <c r="S297" s="3">
        <f>IF($N297="",0,INDEX(TAHSILAT!$F$7:$F$1506,$U297))</f>
        <v/>
      </c>
      <c r="T297" s="3">
        <f>IF($N297="",10000000000,$N297*100000+$M297)</f>
        <v/>
      </c>
      <c r="U297" s="3">
        <f>IFERROR(MATCH($AC$4&amp;"|45",TAHSILAT!$Q$7:$Q$1506,0),0)</f>
        <v/>
      </c>
      <c r="V297" s="3" t="n"/>
      <c r="W297" s="3" t="n"/>
      <c r="X297" s="3" t="n"/>
      <c r="Y297" s="3">
        <f>IFERROR(SMALL($T$12:$T$372,ROW()-11),"")</f>
        <v/>
      </c>
      <c r="Z297" s="3">
        <f>IFERROR(MATCH($Y297,$T$12:$T$372,0),"")</f>
        <v/>
      </c>
      <c r="AA297" s="3" t="n"/>
      <c r="AB297" s="3" t="n"/>
      <c r="AC297" s="3" t="n"/>
    </row>
    <row r="298">
      <c r="A298" s="6" t="n"/>
      <c r="B298" s="158">
        <f>IF($C298="","",ROW()-11)</f>
        <v/>
      </c>
      <c r="C298" s="247">
        <f>IF($Z298="","",IF(INDEX($N$12:$N$372,$Z298)="","",INDEX($N$12:$N$372,$Z298)))</f>
        <v/>
      </c>
      <c r="D298" s="29">
        <f>IF($C298="","",INDEX($O$12:$O$372,$Z298))</f>
        <v/>
      </c>
      <c r="E298" s="158">
        <f>IF($C298="","",INDEX($P$12:$P$372,$Z298))</f>
        <v/>
      </c>
      <c r="F298" s="29">
        <f>IF($C298="","",INDEX($Q$12:$Q$372,$Z298))</f>
        <v/>
      </c>
      <c r="G298" s="248">
        <f>IF($C298="","",INDEX($R$12:$R$372,$Z298))</f>
        <v/>
      </c>
      <c r="H298" s="248">
        <f>IF($C298="","",INDEX($S$12:$S$372,$Z298))</f>
        <v/>
      </c>
      <c r="I298" s="248">
        <f>IF($C298="","",N($I297)+$G298-$H298)</f>
        <v/>
      </c>
      <c r="J298" s="6" t="n"/>
      <c r="K298" s="6" t="n"/>
      <c r="L298" s="3" t="n"/>
      <c r="M298" s="3" t="n">
        <v>287</v>
      </c>
      <c r="N298" s="3">
        <f>IF($U298=0,"",INDEX(TAHSILAT!$E$7:$E$1506,$U298))</f>
        <v/>
      </c>
      <c r="O298" s="3">
        <f>IF($N298="","","Tahsilat  –  "&amp;INDEX(TAHSILAT!$H$7:$H$1506,$U298)&amp;IF(INDEX(TAHSILAT!$J$7:$J$1506,$U298)="",""," / "&amp;INDEX(TAHSILAT!$J$7:$J$1506,$U298)))</f>
        <v/>
      </c>
      <c r="P298" s="3">
        <f>IF($N298="","","TAHSİLAT")</f>
        <v/>
      </c>
      <c r="Q298" s="3">
        <f>IF($N298="","",INDEX(TAHSILAT!$G$7:$G$1506,$U298))</f>
        <v/>
      </c>
      <c r="R298" s="3" t="n">
        <v>0</v>
      </c>
      <c r="S298" s="3">
        <f>IF($N298="",0,INDEX(TAHSILAT!$F$7:$F$1506,$U298))</f>
        <v/>
      </c>
      <c r="T298" s="3">
        <f>IF($N298="",10000000000,$N298*100000+$M298)</f>
        <v/>
      </c>
      <c r="U298" s="3">
        <f>IFERROR(MATCH($AC$4&amp;"|46",TAHSILAT!$Q$7:$Q$1506,0),0)</f>
        <v/>
      </c>
      <c r="V298" s="3" t="n"/>
      <c r="W298" s="3" t="n"/>
      <c r="X298" s="3" t="n"/>
      <c r="Y298" s="3">
        <f>IFERROR(SMALL($T$12:$T$372,ROW()-11),"")</f>
        <v/>
      </c>
      <c r="Z298" s="3">
        <f>IFERROR(MATCH($Y298,$T$12:$T$372,0),"")</f>
        <v/>
      </c>
      <c r="AA298" s="3" t="n"/>
      <c r="AB298" s="3" t="n"/>
      <c r="AC298" s="3" t="n"/>
    </row>
    <row r="299">
      <c r="A299" s="6" t="n"/>
      <c r="B299" s="158">
        <f>IF($C299="","",ROW()-11)</f>
        <v/>
      </c>
      <c r="C299" s="247">
        <f>IF($Z299="","",IF(INDEX($N$12:$N$372,$Z299)="","",INDEX($N$12:$N$372,$Z299)))</f>
        <v/>
      </c>
      <c r="D299" s="29">
        <f>IF($C299="","",INDEX($O$12:$O$372,$Z299))</f>
        <v/>
      </c>
      <c r="E299" s="158">
        <f>IF($C299="","",INDEX($P$12:$P$372,$Z299))</f>
        <v/>
      </c>
      <c r="F299" s="29">
        <f>IF($C299="","",INDEX($Q$12:$Q$372,$Z299))</f>
        <v/>
      </c>
      <c r="G299" s="248">
        <f>IF($C299="","",INDEX($R$12:$R$372,$Z299))</f>
        <v/>
      </c>
      <c r="H299" s="248">
        <f>IF($C299="","",INDEX($S$12:$S$372,$Z299))</f>
        <v/>
      </c>
      <c r="I299" s="248">
        <f>IF($C299="","",N($I298)+$G299-$H299)</f>
        <v/>
      </c>
      <c r="J299" s="6" t="n"/>
      <c r="K299" s="6" t="n"/>
      <c r="L299" s="3" t="n"/>
      <c r="M299" s="3" t="n">
        <v>288</v>
      </c>
      <c r="N299" s="3">
        <f>IF($U299=0,"",INDEX(TAHSILAT!$E$7:$E$1506,$U299))</f>
        <v/>
      </c>
      <c r="O299" s="3">
        <f>IF($N299="","","Tahsilat  –  "&amp;INDEX(TAHSILAT!$H$7:$H$1506,$U299)&amp;IF(INDEX(TAHSILAT!$J$7:$J$1506,$U299)="",""," / "&amp;INDEX(TAHSILAT!$J$7:$J$1506,$U299)))</f>
        <v/>
      </c>
      <c r="P299" s="3">
        <f>IF($N299="","","TAHSİLAT")</f>
        <v/>
      </c>
      <c r="Q299" s="3">
        <f>IF($N299="","",INDEX(TAHSILAT!$G$7:$G$1506,$U299))</f>
        <v/>
      </c>
      <c r="R299" s="3" t="n">
        <v>0</v>
      </c>
      <c r="S299" s="3">
        <f>IF($N299="",0,INDEX(TAHSILAT!$F$7:$F$1506,$U299))</f>
        <v/>
      </c>
      <c r="T299" s="3">
        <f>IF($N299="",10000000000,$N299*100000+$M299)</f>
        <v/>
      </c>
      <c r="U299" s="3">
        <f>IFERROR(MATCH($AC$4&amp;"|47",TAHSILAT!$Q$7:$Q$1506,0),0)</f>
        <v/>
      </c>
      <c r="V299" s="3" t="n"/>
      <c r="W299" s="3" t="n"/>
      <c r="X299" s="3" t="n"/>
      <c r="Y299" s="3">
        <f>IFERROR(SMALL($T$12:$T$372,ROW()-11),"")</f>
        <v/>
      </c>
      <c r="Z299" s="3">
        <f>IFERROR(MATCH($Y299,$T$12:$T$372,0),"")</f>
        <v/>
      </c>
      <c r="AA299" s="3" t="n"/>
      <c r="AB299" s="3" t="n"/>
      <c r="AC299" s="3" t="n"/>
    </row>
    <row r="300">
      <c r="A300" s="6" t="n"/>
      <c r="B300" s="158">
        <f>IF($C300="","",ROW()-11)</f>
        <v/>
      </c>
      <c r="C300" s="247">
        <f>IF($Z300="","",IF(INDEX($N$12:$N$372,$Z300)="","",INDEX($N$12:$N$372,$Z300)))</f>
        <v/>
      </c>
      <c r="D300" s="29">
        <f>IF($C300="","",INDEX($O$12:$O$372,$Z300))</f>
        <v/>
      </c>
      <c r="E300" s="158">
        <f>IF($C300="","",INDEX($P$12:$P$372,$Z300))</f>
        <v/>
      </c>
      <c r="F300" s="29">
        <f>IF($C300="","",INDEX($Q$12:$Q$372,$Z300))</f>
        <v/>
      </c>
      <c r="G300" s="248">
        <f>IF($C300="","",INDEX($R$12:$R$372,$Z300))</f>
        <v/>
      </c>
      <c r="H300" s="248">
        <f>IF($C300="","",INDEX($S$12:$S$372,$Z300))</f>
        <v/>
      </c>
      <c r="I300" s="248">
        <f>IF($C300="","",N($I299)+$G300-$H300)</f>
        <v/>
      </c>
      <c r="J300" s="6" t="n"/>
      <c r="K300" s="6" t="n"/>
      <c r="L300" s="3" t="n"/>
      <c r="M300" s="3" t="n">
        <v>289</v>
      </c>
      <c r="N300" s="3">
        <f>IF($U300=0,"",INDEX(TAHSILAT!$E$7:$E$1506,$U300))</f>
        <v/>
      </c>
      <c r="O300" s="3">
        <f>IF($N300="","","Tahsilat  –  "&amp;INDEX(TAHSILAT!$H$7:$H$1506,$U300)&amp;IF(INDEX(TAHSILAT!$J$7:$J$1506,$U300)="",""," / "&amp;INDEX(TAHSILAT!$J$7:$J$1506,$U300)))</f>
        <v/>
      </c>
      <c r="P300" s="3">
        <f>IF($N300="","","TAHSİLAT")</f>
        <v/>
      </c>
      <c r="Q300" s="3">
        <f>IF($N300="","",INDEX(TAHSILAT!$G$7:$G$1506,$U300))</f>
        <v/>
      </c>
      <c r="R300" s="3" t="n">
        <v>0</v>
      </c>
      <c r="S300" s="3">
        <f>IF($N300="",0,INDEX(TAHSILAT!$F$7:$F$1506,$U300))</f>
        <v/>
      </c>
      <c r="T300" s="3">
        <f>IF($N300="",10000000000,$N300*100000+$M300)</f>
        <v/>
      </c>
      <c r="U300" s="3">
        <f>IFERROR(MATCH($AC$4&amp;"|48",TAHSILAT!$Q$7:$Q$1506,0),0)</f>
        <v/>
      </c>
      <c r="V300" s="3" t="n"/>
      <c r="W300" s="3" t="n"/>
      <c r="X300" s="3" t="n"/>
      <c r="Y300" s="3">
        <f>IFERROR(SMALL($T$12:$T$372,ROW()-11),"")</f>
        <v/>
      </c>
      <c r="Z300" s="3">
        <f>IFERROR(MATCH($Y300,$T$12:$T$372,0),"")</f>
        <v/>
      </c>
      <c r="AA300" s="3" t="n"/>
      <c r="AB300" s="3" t="n"/>
      <c r="AC300" s="3" t="n"/>
    </row>
    <row r="301">
      <c r="A301" s="6" t="n"/>
      <c r="B301" s="158">
        <f>IF($C301="","",ROW()-11)</f>
        <v/>
      </c>
      <c r="C301" s="247">
        <f>IF($Z301="","",IF(INDEX($N$12:$N$372,$Z301)="","",INDEX($N$12:$N$372,$Z301)))</f>
        <v/>
      </c>
      <c r="D301" s="29">
        <f>IF($C301="","",INDEX($O$12:$O$372,$Z301))</f>
        <v/>
      </c>
      <c r="E301" s="158">
        <f>IF($C301="","",INDEX($P$12:$P$372,$Z301))</f>
        <v/>
      </c>
      <c r="F301" s="29">
        <f>IF($C301="","",INDEX($Q$12:$Q$372,$Z301))</f>
        <v/>
      </c>
      <c r="G301" s="248">
        <f>IF($C301="","",INDEX($R$12:$R$372,$Z301))</f>
        <v/>
      </c>
      <c r="H301" s="248">
        <f>IF($C301="","",INDEX($S$12:$S$372,$Z301))</f>
        <v/>
      </c>
      <c r="I301" s="248">
        <f>IF($C301="","",N($I300)+$G301-$H301)</f>
        <v/>
      </c>
      <c r="J301" s="6" t="n"/>
      <c r="K301" s="6" t="n"/>
      <c r="L301" s="3" t="n"/>
      <c r="M301" s="3" t="n">
        <v>290</v>
      </c>
      <c r="N301" s="3">
        <f>IF($U301=0,"",INDEX(TAHSILAT!$E$7:$E$1506,$U301))</f>
        <v/>
      </c>
      <c r="O301" s="3">
        <f>IF($N301="","","Tahsilat  –  "&amp;INDEX(TAHSILAT!$H$7:$H$1506,$U301)&amp;IF(INDEX(TAHSILAT!$J$7:$J$1506,$U301)="",""," / "&amp;INDEX(TAHSILAT!$J$7:$J$1506,$U301)))</f>
        <v/>
      </c>
      <c r="P301" s="3">
        <f>IF($N301="","","TAHSİLAT")</f>
        <v/>
      </c>
      <c r="Q301" s="3">
        <f>IF($N301="","",INDEX(TAHSILAT!$G$7:$G$1506,$U301))</f>
        <v/>
      </c>
      <c r="R301" s="3" t="n">
        <v>0</v>
      </c>
      <c r="S301" s="3">
        <f>IF($N301="",0,INDEX(TAHSILAT!$F$7:$F$1506,$U301))</f>
        <v/>
      </c>
      <c r="T301" s="3">
        <f>IF($N301="",10000000000,$N301*100000+$M301)</f>
        <v/>
      </c>
      <c r="U301" s="3">
        <f>IFERROR(MATCH($AC$4&amp;"|49",TAHSILAT!$Q$7:$Q$1506,0),0)</f>
        <v/>
      </c>
      <c r="V301" s="3" t="n"/>
      <c r="W301" s="3" t="n"/>
      <c r="X301" s="3" t="n"/>
      <c r="Y301" s="3">
        <f>IFERROR(SMALL($T$12:$T$372,ROW()-11),"")</f>
        <v/>
      </c>
      <c r="Z301" s="3">
        <f>IFERROR(MATCH($Y301,$T$12:$T$372,0),"")</f>
        <v/>
      </c>
      <c r="AA301" s="3" t="n"/>
      <c r="AB301" s="3" t="n"/>
      <c r="AC301" s="3" t="n"/>
    </row>
    <row r="302">
      <c r="A302" s="6" t="n"/>
      <c r="B302" s="158">
        <f>IF($C302="","",ROW()-11)</f>
        <v/>
      </c>
      <c r="C302" s="247">
        <f>IF($Z302="","",IF(INDEX($N$12:$N$372,$Z302)="","",INDEX($N$12:$N$372,$Z302)))</f>
        <v/>
      </c>
      <c r="D302" s="29">
        <f>IF($C302="","",INDEX($O$12:$O$372,$Z302))</f>
        <v/>
      </c>
      <c r="E302" s="158">
        <f>IF($C302="","",INDEX($P$12:$P$372,$Z302))</f>
        <v/>
      </c>
      <c r="F302" s="29">
        <f>IF($C302="","",INDEX($Q$12:$Q$372,$Z302))</f>
        <v/>
      </c>
      <c r="G302" s="248">
        <f>IF($C302="","",INDEX($R$12:$R$372,$Z302))</f>
        <v/>
      </c>
      <c r="H302" s="248">
        <f>IF($C302="","",INDEX($S$12:$S$372,$Z302))</f>
        <v/>
      </c>
      <c r="I302" s="248">
        <f>IF($C302="","",N($I301)+$G302-$H302)</f>
        <v/>
      </c>
      <c r="J302" s="6" t="n"/>
      <c r="K302" s="6" t="n"/>
      <c r="L302" s="3" t="n"/>
      <c r="M302" s="3" t="n">
        <v>291</v>
      </c>
      <c r="N302" s="3">
        <f>IF($U302=0,"",INDEX(TAHSILAT!$E$7:$E$1506,$U302))</f>
        <v/>
      </c>
      <c r="O302" s="3">
        <f>IF($N302="","","Tahsilat  –  "&amp;INDEX(TAHSILAT!$H$7:$H$1506,$U302)&amp;IF(INDEX(TAHSILAT!$J$7:$J$1506,$U302)="",""," / "&amp;INDEX(TAHSILAT!$J$7:$J$1506,$U302)))</f>
        <v/>
      </c>
      <c r="P302" s="3">
        <f>IF($N302="","","TAHSİLAT")</f>
        <v/>
      </c>
      <c r="Q302" s="3">
        <f>IF($N302="","",INDEX(TAHSILAT!$G$7:$G$1506,$U302))</f>
        <v/>
      </c>
      <c r="R302" s="3" t="n">
        <v>0</v>
      </c>
      <c r="S302" s="3">
        <f>IF($N302="",0,INDEX(TAHSILAT!$F$7:$F$1506,$U302))</f>
        <v/>
      </c>
      <c r="T302" s="3">
        <f>IF($N302="",10000000000,$N302*100000+$M302)</f>
        <v/>
      </c>
      <c r="U302" s="3">
        <f>IFERROR(MATCH($AC$4&amp;"|50",TAHSILAT!$Q$7:$Q$1506,0),0)</f>
        <v/>
      </c>
      <c r="V302" s="3" t="n"/>
      <c r="W302" s="3" t="n"/>
      <c r="X302" s="3" t="n"/>
      <c r="Y302" s="3">
        <f>IFERROR(SMALL($T$12:$T$372,ROW()-11),"")</f>
        <v/>
      </c>
      <c r="Z302" s="3">
        <f>IFERROR(MATCH($Y302,$T$12:$T$372,0),"")</f>
        <v/>
      </c>
      <c r="AA302" s="3" t="n"/>
      <c r="AB302" s="3" t="n"/>
      <c r="AC302" s="3" t="n"/>
    </row>
    <row r="303">
      <c r="A303" s="6" t="n"/>
      <c r="B303" s="158">
        <f>IF($C303="","",ROW()-11)</f>
        <v/>
      </c>
      <c r="C303" s="247">
        <f>IF($Z303="","",IF(INDEX($N$12:$N$372,$Z303)="","",INDEX($N$12:$N$372,$Z303)))</f>
        <v/>
      </c>
      <c r="D303" s="29">
        <f>IF($C303="","",INDEX($O$12:$O$372,$Z303))</f>
        <v/>
      </c>
      <c r="E303" s="158">
        <f>IF($C303="","",INDEX($P$12:$P$372,$Z303))</f>
        <v/>
      </c>
      <c r="F303" s="29">
        <f>IF($C303="","",INDEX($Q$12:$Q$372,$Z303))</f>
        <v/>
      </c>
      <c r="G303" s="248">
        <f>IF($C303="","",INDEX($R$12:$R$372,$Z303))</f>
        <v/>
      </c>
      <c r="H303" s="248">
        <f>IF($C303="","",INDEX($S$12:$S$372,$Z303))</f>
        <v/>
      </c>
      <c r="I303" s="248">
        <f>IF($C303="","",N($I302)+$G303-$H303)</f>
        <v/>
      </c>
      <c r="J303" s="6" t="n"/>
      <c r="K303" s="6" t="n"/>
      <c r="L303" s="3" t="n"/>
      <c r="M303" s="3" t="n">
        <v>292</v>
      </c>
      <c r="N303" s="3">
        <f>IF($U303=0,"",INDEX(TAHSILAT!$E$7:$E$1506,$U303))</f>
        <v/>
      </c>
      <c r="O303" s="3">
        <f>IF($N303="","","Tahsilat  –  "&amp;INDEX(TAHSILAT!$H$7:$H$1506,$U303)&amp;IF(INDEX(TAHSILAT!$J$7:$J$1506,$U303)="",""," / "&amp;INDEX(TAHSILAT!$J$7:$J$1506,$U303)))</f>
        <v/>
      </c>
      <c r="P303" s="3">
        <f>IF($N303="","","TAHSİLAT")</f>
        <v/>
      </c>
      <c r="Q303" s="3">
        <f>IF($N303="","",INDEX(TAHSILAT!$G$7:$G$1506,$U303))</f>
        <v/>
      </c>
      <c r="R303" s="3" t="n">
        <v>0</v>
      </c>
      <c r="S303" s="3">
        <f>IF($N303="",0,INDEX(TAHSILAT!$F$7:$F$1506,$U303))</f>
        <v/>
      </c>
      <c r="T303" s="3">
        <f>IF($N303="",10000000000,$N303*100000+$M303)</f>
        <v/>
      </c>
      <c r="U303" s="3">
        <f>IFERROR(MATCH($AC$4&amp;"|51",TAHSILAT!$Q$7:$Q$1506,0),0)</f>
        <v/>
      </c>
      <c r="V303" s="3" t="n"/>
      <c r="W303" s="3" t="n"/>
      <c r="X303" s="3" t="n"/>
      <c r="Y303" s="3">
        <f>IFERROR(SMALL($T$12:$T$372,ROW()-11),"")</f>
        <v/>
      </c>
      <c r="Z303" s="3">
        <f>IFERROR(MATCH($Y303,$T$12:$T$372,0),"")</f>
        <v/>
      </c>
      <c r="AA303" s="3" t="n"/>
      <c r="AB303" s="3" t="n"/>
      <c r="AC303" s="3" t="n"/>
    </row>
    <row r="304">
      <c r="A304" s="6" t="n"/>
      <c r="B304" s="158">
        <f>IF($C304="","",ROW()-11)</f>
        <v/>
      </c>
      <c r="C304" s="247">
        <f>IF($Z304="","",IF(INDEX($N$12:$N$372,$Z304)="","",INDEX($N$12:$N$372,$Z304)))</f>
        <v/>
      </c>
      <c r="D304" s="29">
        <f>IF($C304="","",INDEX($O$12:$O$372,$Z304))</f>
        <v/>
      </c>
      <c r="E304" s="158">
        <f>IF($C304="","",INDEX($P$12:$P$372,$Z304))</f>
        <v/>
      </c>
      <c r="F304" s="29">
        <f>IF($C304="","",INDEX($Q$12:$Q$372,$Z304))</f>
        <v/>
      </c>
      <c r="G304" s="248">
        <f>IF($C304="","",INDEX($R$12:$R$372,$Z304))</f>
        <v/>
      </c>
      <c r="H304" s="248">
        <f>IF($C304="","",INDEX($S$12:$S$372,$Z304))</f>
        <v/>
      </c>
      <c r="I304" s="248">
        <f>IF($C304="","",N($I303)+$G304-$H304)</f>
        <v/>
      </c>
      <c r="J304" s="6" t="n"/>
      <c r="K304" s="6" t="n"/>
      <c r="L304" s="3" t="n"/>
      <c r="M304" s="3" t="n">
        <v>293</v>
      </c>
      <c r="N304" s="3">
        <f>IF($U304=0,"",INDEX(TAHSILAT!$E$7:$E$1506,$U304))</f>
        <v/>
      </c>
      <c r="O304" s="3">
        <f>IF($N304="","","Tahsilat  –  "&amp;INDEX(TAHSILAT!$H$7:$H$1506,$U304)&amp;IF(INDEX(TAHSILAT!$J$7:$J$1506,$U304)="",""," / "&amp;INDEX(TAHSILAT!$J$7:$J$1506,$U304)))</f>
        <v/>
      </c>
      <c r="P304" s="3">
        <f>IF($N304="","","TAHSİLAT")</f>
        <v/>
      </c>
      <c r="Q304" s="3">
        <f>IF($N304="","",INDEX(TAHSILAT!$G$7:$G$1506,$U304))</f>
        <v/>
      </c>
      <c r="R304" s="3" t="n">
        <v>0</v>
      </c>
      <c r="S304" s="3">
        <f>IF($N304="",0,INDEX(TAHSILAT!$F$7:$F$1506,$U304))</f>
        <v/>
      </c>
      <c r="T304" s="3">
        <f>IF($N304="",10000000000,$N304*100000+$M304)</f>
        <v/>
      </c>
      <c r="U304" s="3">
        <f>IFERROR(MATCH($AC$4&amp;"|52",TAHSILAT!$Q$7:$Q$1506,0),0)</f>
        <v/>
      </c>
      <c r="V304" s="3" t="n"/>
      <c r="W304" s="3" t="n"/>
      <c r="X304" s="3" t="n"/>
      <c r="Y304" s="3">
        <f>IFERROR(SMALL($T$12:$T$372,ROW()-11),"")</f>
        <v/>
      </c>
      <c r="Z304" s="3">
        <f>IFERROR(MATCH($Y304,$T$12:$T$372,0),"")</f>
        <v/>
      </c>
      <c r="AA304" s="3" t="n"/>
      <c r="AB304" s="3" t="n"/>
      <c r="AC304" s="3" t="n"/>
    </row>
    <row r="305">
      <c r="A305" s="6" t="n"/>
      <c r="B305" s="158">
        <f>IF($C305="","",ROW()-11)</f>
        <v/>
      </c>
      <c r="C305" s="247">
        <f>IF($Z305="","",IF(INDEX($N$12:$N$372,$Z305)="","",INDEX($N$12:$N$372,$Z305)))</f>
        <v/>
      </c>
      <c r="D305" s="29">
        <f>IF($C305="","",INDEX($O$12:$O$372,$Z305))</f>
        <v/>
      </c>
      <c r="E305" s="158">
        <f>IF($C305="","",INDEX($P$12:$P$372,$Z305))</f>
        <v/>
      </c>
      <c r="F305" s="29">
        <f>IF($C305="","",INDEX($Q$12:$Q$372,$Z305))</f>
        <v/>
      </c>
      <c r="G305" s="248">
        <f>IF($C305="","",INDEX($R$12:$R$372,$Z305))</f>
        <v/>
      </c>
      <c r="H305" s="248">
        <f>IF($C305="","",INDEX($S$12:$S$372,$Z305))</f>
        <v/>
      </c>
      <c r="I305" s="248">
        <f>IF($C305="","",N($I304)+$G305-$H305)</f>
        <v/>
      </c>
      <c r="J305" s="6" t="n"/>
      <c r="K305" s="6" t="n"/>
      <c r="L305" s="3" t="n"/>
      <c r="M305" s="3" t="n">
        <v>294</v>
      </c>
      <c r="N305" s="3">
        <f>IF($U305=0,"",INDEX(TAHSILAT!$E$7:$E$1506,$U305))</f>
        <v/>
      </c>
      <c r="O305" s="3">
        <f>IF($N305="","","Tahsilat  –  "&amp;INDEX(TAHSILAT!$H$7:$H$1506,$U305)&amp;IF(INDEX(TAHSILAT!$J$7:$J$1506,$U305)="",""," / "&amp;INDEX(TAHSILAT!$J$7:$J$1506,$U305)))</f>
        <v/>
      </c>
      <c r="P305" s="3">
        <f>IF($N305="","","TAHSİLAT")</f>
        <v/>
      </c>
      <c r="Q305" s="3">
        <f>IF($N305="","",INDEX(TAHSILAT!$G$7:$G$1506,$U305))</f>
        <v/>
      </c>
      <c r="R305" s="3" t="n">
        <v>0</v>
      </c>
      <c r="S305" s="3">
        <f>IF($N305="",0,INDEX(TAHSILAT!$F$7:$F$1506,$U305))</f>
        <v/>
      </c>
      <c r="T305" s="3">
        <f>IF($N305="",10000000000,$N305*100000+$M305)</f>
        <v/>
      </c>
      <c r="U305" s="3">
        <f>IFERROR(MATCH($AC$4&amp;"|53",TAHSILAT!$Q$7:$Q$1506,0),0)</f>
        <v/>
      </c>
      <c r="V305" s="3" t="n"/>
      <c r="W305" s="3" t="n"/>
      <c r="X305" s="3" t="n"/>
      <c r="Y305" s="3">
        <f>IFERROR(SMALL($T$12:$T$372,ROW()-11),"")</f>
        <v/>
      </c>
      <c r="Z305" s="3">
        <f>IFERROR(MATCH($Y305,$T$12:$T$372,0),"")</f>
        <v/>
      </c>
      <c r="AA305" s="3" t="n"/>
      <c r="AB305" s="3" t="n"/>
      <c r="AC305" s="3" t="n"/>
    </row>
    <row r="306">
      <c r="A306" s="6" t="n"/>
      <c r="B306" s="158">
        <f>IF($C306="","",ROW()-11)</f>
        <v/>
      </c>
      <c r="C306" s="247">
        <f>IF($Z306="","",IF(INDEX($N$12:$N$372,$Z306)="","",INDEX($N$12:$N$372,$Z306)))</f>
        <v/>
      </c>
      <c r="D306" s="29">
        <f>IF($C306="","",INDEX($O$12:$O$372,$Z306))</f>
        <v/>
      </c>
      <c r="E306" s="158">
        <f>IF($C306="","",INDEX($P$12:$P$372,$Z306))</f>
        <v/>
      </c>
      <c r="F306" s="29">
        <f>IF($C306="","",INDEX($Q$12:$Q$372,$Z306))</f>
        <v/>
      </c>
      <c r="G306" s="248">
        <f>IF($C306="","",INDEX($R$12:$R$372,$Z306))</f>
        <v/>
      </c>
      <c r="H306" s="248">
        <f>IF($C306="","",INDEX($S$12:$S$372,$Z306))</f>
        <v/>
      </c>
      <c r="I306" s="248">
        <f>IF($C306="","",N($I305)+$G306-$H306)</f>
        <v/>
      </c>
      <c r="J306" s="6" t="n"/>
      <c r="K306" s="6" t="n"/>
      <c r="L306" s="3" t="n"/>
      <c r="M306" s="3" t="n">
        <v>295</v>
      </c>
      <c r="N306" s="3">
        <f>IF($U306=0,"",INDEX(TAHSILAT!$E$7:$E$1506,$U306))</f>
        <v/>
      </c>
      <c r="O306" s="3">
        <f>IF($N306="","","Tahsilat  –  "&amp;INDEX(TAHSILAT!$H$7:$H$1506,$U306)&amp;IF(INDEX(TAHSILAT!$J$7:$J$1506,$U306)="",""," / "&amp;INDEX(TAHSILAT!$J$7:$J$1506,$U306)))</f>
        <v/>
      </c>
      <c r="P306" s="3">
        <f>IF($N306="","","TAHSİLAT")</f>
        <v/>
      </c>
      <c r="Q306" s="3">
        <f>IF($N306="","",INDEX(TAHSILAT!$G$7:$G$1506,$U306))</f>
        <v/>
      </c>
      <c r="R306" s="3" t="n">
        <v>0</v>
      </c>
      <c r="S306" s="3">
        <f>IF($N306="",0,INDEX(TAHSILAT!$F$7:$F$1506,$U306))</f>
        <v/>
      </c>
      <c r="T306" s="3">
        <f>IF($N306="",10000000000,$N306*100000+$M306)</f>
        <v/>
      </c>
      <c r="U306" s="3">
        <f>IFERROR(MATCH($AC$4&amp;"|54",TAHSILAT!$Q$7:$Q$1506,0),0)</f>
        <v/>
      </c>
      <c r="V306" s="3" t="n"/>
      <c r="W306" s="3" t="n"/>
      <c r="X306" s="3" t="n"/>
      <c r="Y306" s="3">
        <f>IFERROR(SMALL($T$12:$T$372,ROW()-11),"")</f>
        <v/>
      </c>
      <c r="Z306" s="3">
        <f>IFERROR(MATCH($Y306,$T$12:$T$372,0),"")</f>
        <v/>
      </c>
      <c r="AA306" s="3" t="n"/>
      <c r="AB306" s="3" t="n"/>
      <c r="AC306" s="3" t="n"/>
    </row>
    <row r="307">
      <c r="A307" s="6" t="n"/>
      <c r="B307" s="158">
        <f>IF($C307="","",ROW()-11)</f>
        <v/>
      </c>
      <c r="C307" s="247">
        <f>IF($Z307="","",IF(INDEX($N$12:$N$372,$Z307)="","",INDEX($N$12:$N$372,$Z307)))</f>
        <v/>
      </c>
      <c r="D307" s="29">
        <f>IF($C307="","",INDEX($O$12:$O$372,$Z307))</f>
        <v/>
      </c>
      <c r="E307" s="158">
        <f>IF($C307="","",INDEX($P$12:$P$372,$Z307))</f>
        <v/>
      </c>
      <c r="F307" s="29">
        <f>IF($C307="","",INDEX($Q$12:$Q$372,$Z307))</f>
        <v/>
      </c>
      <c r="G307" s="248">
        <f>IF($C307="","",INDEX($R$12:$R$372,$Z307))</f>
        <v/>
      </c>
      <c r="H307" s="248">
        <f>IF($C307="","",INDEX($S$12:$S$372,$Z307))</f>
        <v/>
      </c>
      <c r="I307" s="248">
        <f>IF($C307="","",N($I306)+$G307-$H307)</f>
        <v/>
      </c>
      <c r="J307" s="6" t="n"/>
      <c r="K307" s="6" t="n"/>
      <c r="L307" s="3" t="n"/>
      <c r="M307" s="3" t="n">
        <v>296</v>
      </c>
      <c r="N307" s="3">
        <f>IF($U307=0,"",INDEX(TAHSILAT!$E$7:$E$1506,$U307))</f>
        <v/>
      </c>
      <c r="O307" s="3">
        <f>IF($N307="","","Tahsilat  –  "&amp;INDEX(TAHSILAT!$H$7:$H$1506,$U307)&amp;IF(INDEX(TAHSILAT!$J$7:$J$1506,$U307)="",""," / "&amp;INDEX(TAHSILAT!$J$7:$J$1506,$U307)))</f>
        <v/>
      </c>
      <c r="P307" s="3">
        <f>IF($N307="","","TAHSİLAT")</f>
        <v/>
      </c>
      <c r="Q307" s="3">
        <f>IF($N307="","",INDEX(TAHSILAT!$G$7:$G$1506,$U307))</f>
        <v/>
      </c>
      <c r="R307" s="3" t="n">
        <v>0</v>
      </c>
      <c r="S307" s="3">
        <f>IF($N307="",0,INDEX(TAHSILAT!$F$7:$F$1506,$U307))</f>
        <v/>
      </c>
      <c r="T307" s="3">
        <f>IF($N307="",10000000000,$N307*100000+$M307)</f>
        <v/>
      </c>
      <c r="U307" s="3">
        <f>IFERROR(MATCH($AC$4&amp;"|55",TAHSILAT!$Q$7:$Q$1506,0),0)</f>
        <v/>
      </c>
      <c r="V307" s="3" t="n"/>
      <c r="W307" s="3" t="n"/>
      <c r="X307" s="3" t="n"/>
      <c r="Y307" s="3">
        <f>IFERROR(SMALL($T$12:$T$372,ROW()-11),"")</f>
        <v/>
      </c>
      <c r="Z307" s="3">
        <f>IFERROR(MATCH($Y307,$T$12:$T$372,0),"")</f>
        <v/>
      </c>
      <c r="AA307" s="3" t="n"/>
      <c r="AB307" s="3" t="n"/>
      <c r="AC307" s="3" t="n"/>
    </row>
    <row r="308">
      <c r="A308" s="6" t="n"/>
      <c r="B308" s="158">
        <f>IF($C308="","",ROW()-11)</f>
        <v/>
      </c>
      <c r="C308" s="247">
        <f>IF($Z308="","",IF(INDEX($N$12:$N$372,$Z308)="","",INDEX($N$12:$N$372,$Z308)))</f>
        <v/>
      </c>
      <c r="D308" s="29">
        <f>IF($C308="","",INDEX($O$12:$O$372,$Z308))</f>
        <v/>
      </c>
      <c r="E308" s="158">
        <f>IF($C308="","",INDEX($P$12:$P$372,$Z308))</f>
        <v/>
      </c>
      <c r="F308" s="29">
        <f>IF($C308="","",INDEX($Q$12:$Q$372,$Z308))</f>
        <v/>
      </c>
      <c r="G308" s="248">
        <f>IF($C308="","",INDEX($R$12:$R$372,$Z308))</f>
        <v/>
      </c>
      <c r="H308" s="248">
        <f>IF($C308="","",INDEX($S$12:$S$372,$Z308))</f>
        <v/>
      </c>
      <c r="I308" s="248">
        <f>IF($C308="","",N($I307)+$G308-$H308)</f>
        <v/>
      </c>
      <c r="J308" s="6" t="n"/>
      <c r="K308" s="6" t="n"/>
      <c r="L308" s="3" t="n"/>
      <c r="M308" s="3" t="n">
        <v>297</v>
      </c>
      <c r="N308" s="3">
        <f>IF($U308=0,"",INDEX(TAHSILAT!$E$7:$E$1506,$U308))</f>
        <v/>
      </c>
      <c r="O308" s="3">
        <f>IF($N308="","","Tahsilat  –  "&amp;INDEX(TAHSILAT!$H$7:$H$1506,$U308)&amp;IF(INDEX(TAHSILAT!$J$7:$J$1506,$U308)="",""," / "&amp;INDEX(TAHSILAT!$J$7:$J$1506,$U308)))</f>
        <v/>
      </c>
      <c r="P308" s="3">
        <f>IF($N308="","","TAHSİLAT")</f>
        <v/>
      </c>
      <c r="Q308" s="3">
        <f>IF($N308="","",INDEX(TAHSILAT!$G$7:$G$1506,$U308))</f>
        <v/>
      </c>
      <c r="R308" s="3" t="n">
        <v>0</v>
      </c>
      <c r="S308" s="3">
        <f>IF($N308="",0,INDEX(TAHSILAT!$F$7:$F$1506,$U308))</f>
        <v/>
      </c>
      <c r="T308" s="3">
        <f>IF($N308="",10000000000,$N308*100000+$M308)</f>
        <v/>
      </c>
      <c r="U308" s="3">
        <f>IFERROR(MATCH($AC$4&amp;"|56",TAHSILAT!$Q$7:$Q$1506,0),0)</f>
        <v/>
      </c>
      <c r="V308" s="3" t="n"/>
      <c r="W308" s="3" t="n"/>
      <c r="X308" s="3" t="n"/>
      <c r="Y308" s="3">
        <f>IFERROR(SMALL($T$12:$T$372,ROW()-11),"")</f>
        <v/>
      </c>
      <c r="Z308" s="3">
        <f>IFERROR(MATCH($Y308,$T$12:$T$372,0),"")</f>
        <v/>
      </c>
      <c r="AA308" s="3" t="n"/>
      <c r="AB308" s="3" t="n"/>
      <c r="AC308" s="3" t="n"/>
    </row>
    <row r="309">
      <c r="A309" s="6" t="n"/>
      <c r="B309" s="158">
        <f>IF($C309="","",ROW()-11)</f>
        <v/>
      </c>
      <c r="C309" s="247">
        <f>IF($Z309="","",IF(INDEX($N$12:$N$372,$Z309)="","",INDEX($N$12:$N$372,$Z309)))</f>
        <v/>
      </c>
      <c r="D309" s="29">
        <f>IF($C309="","",INDEX($O$12:$O$372,$Z309))</f>
        <v/>
      </c>
      <c r="E309" s="158">
        <f>IF($C309="","",INDEX($P$12:$P$372,$Z309))</f>
        <v/>
      </c>
      <c r="F309" s="29">
        <f>IF($C309="","",INDEX($Q$12:$Q$372,$Z309))</f>
        <v/>
      </c>
      <c r="G309" s="248">
        <f>IF($C309="","",INDEX($R$12:$R$372,$Z309))</f>
        <v/>
      </c>
      <c r="H309" s="248">
        <f>IF($C309="","",INDEX($S$12:$S$372,$Z309))</f>
        <v/>
      </c>
      <c r="I309" s="248">
        <f>IF($C309="","",N($I308)+$G309-$H309)</f>
        <v/>
      </c>
      <c r="J309" s="6" t="n"/>
      <c r="K309" s="6" t="n"/>
      <c r="L309" s="3" t="n"/>
      <c r="M309" s="3" t="n">
        <v>298</v>
      </c>
      <c r="N309" s="3">
        <f>IF($U309=0,"",INDEX(TAHSILAT!$E$7:$E$1506,$U309))</f>
        <v/>
      </c>
      <c r="O309" s="3">
        <f>IF($N309="","","Tahsilat  –  "&amp;INDEX(TAHSILAT!$H$7:$H$1506,$U309)&amp;IF(INDEX(TAHSILAT!$J$7:$J$1506,$U309)="",""," / "&amp;INDEX(TAHSILAT!$J$7:$J$1506,$U309)))</f>
        <v/>
      </c>
      <c r="P309" s="3">
        <f>IF($N309="","","TAHSİLAT")</f>
        <v/>
      </c>
      <c r="Q309" s="3">
        <f>IF($N309="","",INDEX(TAHSILAT!$G$7:$G$1506,$U309))</f>
        <v/>
      </c>
      <c r="R309" s="3" t="n">
        <v>0</v>
      </c>
      <c r="S309" s="3">
        <f>IF($N309="",0,INDEX(TAHSILAT!$F$7:$F$1506,$U309))</f>
        <v/>
      </c>
      <c r="T309" s="3">
        <f>IF($N309="",10000000000,$N309*100000+$M309)</f>
        <v/>
      </c>
      <c r="U309" s="3">
        <f>IFERROR(MATCH($AC$4&amp;"|57",TAHSILAT!$Q$7:$Q$1506,0),0)</f>
        <v/>
      </c>
      <c r="V309" s="3" t="n"/>
      <c r="W309" s="3" t="n"/>
      <c r="X309" s="3" t="n"/>
      <c r="Y309" s="3">
        <f>IFERROR(SMALL($T$12:$T$372,ROW()-11),"")</f>
        <v/>
      </c>
      <c r="Z309" s="3">
        <f>IFERROR(MATCH($Y309,$T$12:$T$372,0),"")</f>
        <v/>
      </c>
      <c r="AA309" s="3" t="n"/>
      <c r="AB309" s="3" t="n"/>
      <c r="AC309" s="3" t="n"/>
    </row>
    <row r="310">
      <c r="A310" s="6" t="n"/>
      <c r="B310" s="158">
        <f>IF($C310="","",ROW()-11)</f>
        <v/>
      </c>
      <c r="C310" s="247">
        <f>IF($Z310="","",IF(INDEX($N$12:$N$372,$Z310)="","",INDEX($N$12:$N$372,$Z310)))</f>
        <v/>
      </c>
      <c r="D310" s="29">
        <f>IF($C310="","",INDEX($O$12:$O$372,$Z310))</f>
        <v/>
      </c>
      <c r="E310" s="158">
        <f>IF($C310="","",INDEX($P$12:$P$372,$Z310))</f>
        <v/>
      </c>
      <c r="F310" s="29">
        <f>IF($C310="","",INDEX($Q$12:$Q$372,$Z310))</f>
        <v/>
      </c>
      <c r="G310" s="248">
        <f>IF($C310="","",INDEX($R$12:$R$372,$Z310))</f>
        <v/>
      </c>
      <c r="H310" s="248">
        <f>IF($C310="","",INDEX($S$12:$S$372,$Z310))</f>
        <v/>
      </c>
      <c r="I310" s="248">
        <f>IF($C310="","",N($I309)+$G310-$H310)</f>
        <v/>
      </c>
      <c r="J310" s="6" t="n"/>
      <c r="K310" s="6" t="n"/>
      <c r="L310" s="3" t="n"/>
      <c r="M310" s="3" t="n">
        <v>299</v>
      </c>
      <c r="N310" s="3">
        <f>IF($U310=0,"",INDEX(TAHSILAT!$E$7:$E$1506,$U310))</f>
        <v/>
      </c>
      <c r="O310" s="3">
        <f>IF($N310="","","Tahsilat  –  "&amp;INDEX(TAHSILAT!$H$7:$H$1506,$U310)&amp;IF(INDEX(TAHSILAT!$J$7:$J$1506,$U310)="",""," / "&amp;INDEX(TAHSILAT!$J$7:$J$1506,$U310)))</f>
        <v/>
      </c>
      <c r="P310" s="3">
        <f>IF($N310="","","TAHSİLAT")</f>
        <v/>
      </c>
      <c r="Q310" s="3">
        <f>IF($N310="","",INDEX(TAHSILAT!$G$7:$G$1506,$U310))</f>
        <v/>
      </c>
      <c r="R310" s="3" t="n">
        <v>0</v>
      </c>
      <c r="S310" s="3">
        <f>IF($N310="",0,INDEX(TAHSILAT!$F$7:$F$1506,$U310))</f>
        <v/>
      </c>
      <c r="T310" s="3">
        <f>IF($N310="",10000000000,$N310*100000+$M310)</f>
        <v/>
      </c>
      <c r="U310" s="3">
        <f>IFERROR(MATCH($AC$4&amp;"|58",TAHSILAT!$Q$7:$Q$1506,0),0)</f>
        <v/>
      </c>
      <c r="V310" s="3" t="n"/>
      <c r="W310" s="3" t="n"/>
      <c r="X310" s="3" t="n"/>
      <c r="Y310" s="3">
        <f>IFERROR(SMALL($T$12:$T$372,ROW()-11),"")</f>
        <v/>
      </c>
      <c r="Z310" s="3">
        <f>IFERROR(MATCH($Y310,$T$12:$T$372,0),"")</f>
        <v/>
      </c>
      <c r="AA310" s="3" t="n"/>
      <c r="AB310" s="3" t="n"/>
      <c r="AC310" s="3" t="n"/>
    </row>
    <row r="311">
      <c r="A311" s="6" t="n"/>
      <c r="B311" s="158">
        <f>IF($C311="","",ROW()-11)</f>
        <v/>
      </c>
      <c r="C311" s="247">
        <f>IF($Z311="","",IF(INDEX($N$12:$N$372,$Z311)="","",INDEX($N$12:$N$372,$Z311)))</f>
        <v/>
      </c>
      <c r="D311" s="29">
        <f>IF($C311="","",INDEX($O$12:$O$372,$Z311))</f>
        <v/>
      </c>
      <c r="E311" s="158">
        <f>IF($C311="","",INDEX($P$12:$P$372,$Z311))</f>
        <v/>
      </c>
      <c r="F311" s="29">
        <f>IF($C311="","",INDEX($Q$12:$Q$372,$Z311))</f>
        <v/>
      </c>
      <c r="G311" s="248">
        <f>IF($C311="","",INDEX($R$12:$R$372,$Z311))</f>
        <v/>
      </c>
      <c r="H311" s="248">
        <f>IF($C311="","",INDEX($S$12:$S$372,$Z311))</f>
        <v/>
      </c>
      <c r="I311" s="248">
        <f>IF($C311="","",N($I310)+$G311-$H311)</f>
        <v/>
      </c>
      <c r="J311" s="6" t="n"/>
      <c r="K311" s="6" t="n"/>
      <c r="L311" s="3" t="n"/>
      <c r="M311" s="3" t="n">
        <v>300</v>
      </c>
      <c r="N311" s="3">
        <f>IF($U311=0,"",INDEX(TAHSILAT!$E$7:$E$1506,$U311))</f>
        <v/>
      </c>
      <c r="O311" s="3">
        <f>IF($N311="","","Tahsilat  –  "&amp;INDEX(TAHSILAT!$H$7:$H$1506,$U311)&amp;IF(INDEX(TAHSILAT!$J$7:$J$1506,$U311)="",""," / "&amp;INDEX(TAHSILAT!$J$7:$J$1506,$U311)))</f>
        <v/>
      </c>
      <c r="P311" s="3">
        <f>IF($N311="","","TAHSİLAT")</f>
        <v/>
      </c>
      <c r="Q311" s="3">
        <f>IF($N311="","",INDEX(TAHSILAT!$G$7:$G$1506,$U311))</f>
        <v/>
      </c>
      <c r="R311" s="3" t="n">
        <v>0</v>
      </c>
      <c r="S311" s="3">
        <f>IF($N311="",0,INDEX(TAHSILAT!$F$7:$F$1506,$U311))</f>
        <v/>
      </c>
      <c r="T311" s="3">
        <f>IF($N311="",10000000000,$N311*100000+$M311)</f>
        <v/>
      </c>
      <c r="U311" s="3">
        <f>IFERROR(MATCH($AC$4&amp;"|59",TAHSILAT!$Q$7:$Q$1506,0),0)</f>
        <v/>
      </c>
      <c r="V311" s="3" t="n"/>
      <c r="W311" s="3" t="n"/>
      <c r="X311" s="3" t="n"/>
      <c r="Y311" s="3">
        <f>IFERROR(SMALL($T$12:$T$372,ROW()-11),"")</f>
        <v/>
      </c>
      <c r="Z311" s="3">
        <f>IFERROR(MATCH($Y311,$T$12:$T$372,0),"")</f>
        <v/>
      </c>
      <c r="AA311" s="3" t="n"/>
      <c r="AB311" s="3" t="n"/>
      <c r="AC311" s="3" t="n"/>
    </row>
    <row r="312">
      <c r="A312" s="6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6" t="n"/>
      <c r="K312" s="6" t="n"/>
      <c r="L312" s="3" t="n"/>
      <c r="M312" s="3" t="n">
        <v>301</v>
      </c>
      <c r="N312" s="3">
        <f>IF($U312=0,"",INDEX(TAHSILAT!$E$7:$E$1506,$U312))</f>
        <v/>
      </c>
      <c r="O312" s="3">
        <f>IF($N312="","","Tahsilat  –  "&amp;INDEX(TAHSILAT!$H$7:$H$1506,$U312)&amp;IF(INDEX(TAHSILAT!$J$7:$J$1506,$U312)="",""," / "&amp;INDEX(TAHSILAT!$J$7:$J$1506,$U312)))</f>
        <v/>
      </c>
      <c r="P312" s="3">
        <f>IF($N312="","","TAHSİLAT")</f>
        <v/>
      </c>
      <c r="Q312" s="3">
        <f>IF($N312="","",INDEX(TAHSILAT!$G$7:$G$1506,$U312))</f>
        <v/>
      </c>
      <c r="R312" s="3" t="n">
        <v>0</v>
      </c>
      <c r="S312" s="3">
        <f>IF($N312="",0,INDEX(TAHSILAT!$F$7:$F$1506,$U312))</f>
        <v/>
      </c>
      <c r="T312" s="3">
        <f>IF($N312="",10000000000,$N312*100000+$M312)</f>
        <v/>
      </c>
      <c r="U312" s="3">
        <f>IFERROR(MATCH($AC$4&amp;"|60",TAHSILAT!$Q$7:$Q$1506,0),0)</f>
        <v/>
      </c>
      <c r="V312" s="3" t="n"/>
      <c r="W312" s="3" t="n"/>
      <c r="X312" s="3" t="n"/>
      <c r="Y312" s="3" t="n"/>
      <c r="Z312" s="3" t="n"/>
      <c r="AA312" s="3" t="n"/>
      <c r="AB312" s="3" t="n"/>
      <c r="AC312" s="3" t="n"/>
    </row>
    <row r="313" ht="30" customHeight="1">
      <c r="A313" s="6" t="n"/>
      <c r="B313" s="279">
        <f>"Bu ekstre "&amp;TEXT(TODAY(),"dd.mm.yyyy")&amp;" tarihi itibarıyla KILIÇ MUHASEBE kayıtlarından otomatik olarak üretilmiştir. Mutabakatsızlık halinde 7 gün içinde yazılı bildirilmesi rica olunur."</f>
        <v/>
      </c>
      <c r="C313" s="249" t="n"/>
      <c r="D313" s="249" t="n"/>
      <c r="E313" s="249" t="n"/>
      <c r="F313" s="249" t="n"/>
      <c r="G313" s="249" t="n"/>
      <c r="H313" s="249" t="n"/>
      <c r="I313" s="249" t="n"/>
      <c r="J313" s="6" t="n"/>
      <c r="K313" s="6" t="n"/>
      <c r="L313" s="3" t="n"/>
      <c r="M313" s="3" t="n">
        <v>302</v>
      </c>
      <c r="N313" s="3">
        <f>IF($U313=0,"",INDEX(TAHSILAT!$E$7:$E$1506,$U313))</f>
        <v/>
      </c>
      <c r="O313" s="3">
        <f>IF($N313="","","Tahsilat  –  "&amp;INDEX(TAHSILAT!$H$7:$H$1506,$U313)&amp;IF(INDEX(TAHSILAT!$J$7:$J$1506,$U313)="",""," / "&amp;INDEX(TAHSILAT!$J$7:$J$1506,$U313)))</f>
        <v/>
      </c>
      <c r="P313" s="3">
        <f>IF($N313="","","TAHSİLAT")</f>
        <v/>
      </c>
      <c r="Q313" s="3">
        <f>IF($N313="","",INDEX(TAHSILAT!$G$7:$G$1506,$U313))</f>
        <v/>
      </c>
      <c r="R313" s="3" t="n">
        <v>0</v>
      </c>
      <c r="S313" s="3">
        <f>IF($N313="",0,INDEX(TAHSILAT!$F$7:$F$1506,$U313))</f>
        <v/>
      </c>
      <c r="T313" s="3">
        <f>IF($N313="",10000000000,$N313*100000+$M313)</f>
        <v/>
      </c>
      <c r="U313" s="3">
        <f>IFERROR(MATCH($AC$4&amp;"|61",TAHSILAT!$Q$7:$Q$1506,0),0)</f>
        <v/>
      </c>
      <c r="V313" s="3" t="n"/>
      <c r="W313" s="3" t="n"/>
      <c r="X313" s="3" t="n"/>
      <c r="Y313" s="3" t="n"/>
      <c r="Z313" s="3" t="n"/>
      <c r="AA313" s="3" t="n"/>
      <c r="AB313" s="3" t="n"/>
      <c r="AC313" s="3" t="n"/>
    </row>
    <row r="314" ht="44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3" t="n"/>
      <c r="M314" s="3" t="n">
        <v>303</v>
      </c>
      <c r="N314" s="3">
        <f>IF($U314=0,"",INDEX(TAHSILAT!$E$7:$E$1506,$U314))</f>
        <v/>
      </c>
      <c r="O314" s="3">
        <f>IF($N314="","","Tahsilat  –  "&amp;INDEX(TAHSILAT!$H$7:$H$1506,$U314)&amp;IF(INDEX(TAHSILAT!$J$7:$J$1506,$U314)="",""," / "&amp;INDEX(TAHSILAT!$J$7:$J$1506,$U314)))</f>
        <v/>
      </c>
      <c r="P314" s="3">
        <f>IF($N314="","","TAHSİLAT")</f>
        <v/>
      </c>
      <c r="Q314" s="3">
        <f>IF($N314="","",INDEX(TAHSILAT!$G$7:$G$1506,$U314))</f>
        <v/>
      </c>
      <c r="R314" s="3" t="n">
        <v>0</v>
      </c>
      <c r="S314" s="3">
        <f>IF($N314="",0,INDEX(TAHSILAT!$F$7:$F$1506,$U314))</f>
        <v/>
      </c>
      <c r="T314" s="3">
        <f>IF($N314="",10000000000,$N314*100000+$M314)</f>
        <v/>
      </c>
      <c r="U314" s="3">
        <f>IFERROR(MATCH($AC$4&amp;"|62",TAHSILAT!$Q$7:$Q$1506,0),0)</f>
        <v/>
      </c>
      <c r="V314" s="3" t="n"/>
      <c r="W314" s="3" t="n"/>
      <c r="X314" s="3" t="n"/>
      <c r="Y314" s="3" t="n"/>
      <c r="Z314" s="3" t="n"/>
      <c r="AA314" s="3" t="n"/>
      <c r="AB314" s="3" t="n"/>
      <c r="AC314" s="3" t="n"/>
    </row>
    <row r="315" ht="20" customHeight="1">
      <c r="A315" s="6" t="n"/>
      <c r="B315" s="280" t="inlineStr">
        <is>
          <t>KILIÇ MUHASEBE   │   Kaşe / İmza</t>
        </is>
      </c>
      <c r="C315" s="250" t="n"/>
      <c r="D315" s="250" t="n"/>
      <c r="E315" s="3" t="n"/>
      <c r="F315" s="3" t="n"/>
      <c r="G315" s="280" t="inlineStr">
        <is>
          <t>Mükellef   │   Kaşe / İmza</t>
        </is>
      </c>
      <c r="H315" s="250" t="n"/>
      <c r="I315" s="250" t="n"/>
      <c r="J315" s="6" t="n"/>
      <c r="K315" s="6" t="n"/>
      <c r="L315" s="3" t="n"/>
      <c r="M315" s="3" t="n">
        <v>304</v>
      </c>
      <c r="N315" s="3">
        <f>IF($U315=0,"",INDEX(TAHSILAT!$E$7:$E$1506,$U315))</f>
        <v/>
      </c>
      <c r="O315" s="3">
        <f>IF($N315="","","Tahsilat  –  "&amp;INDEX(TAHSILAT!$H$7:$H$1506,$U315)&amp;IF(INDEX(TAHSILAT!$J$7:$J$1506,$U315)="",""," / "&amp;INDEX(TAHSILAT!$J$7:$J$1506,$U315)))</f>
        <v/>
      </c>
      <c r="P315" s="3">
        <f>IF($N315="","","TAHSİLAT")</f>
        <v/>
      </c>
      <c r="Q315" s="3">
        <f>IF($N315="","",INDEX(TAHSILAT!$G$7:$G$1506,$U315))</f>
        <v/>
      </c>
      <c r="R315" s="3" t="n">
        <v>0</v>
      </c>
      <c r="S315" s="3">
        <f>IF($N315="",0,INDEX(TAHSILAT!$F$7:$F$1506,$U315))</f>
        <v/>
      </c>
      <c r="T315" s="3">
        <f>IF($N315="",10000000000,$N315*100000+$M315)</f>
        <v/>
      </c>
      <c r="U315" s="3">
        <f>IFERROR(MATCH($AC$4&amp;"|63",TAHSILAT!$Q$7:$Q$1506,0),0)</f>
        <v/>
      </c>
      <c r="V315" s="3" t="n"/>
      <c r="W315" s="3" t="n"/>
      <c r="X315" s="3" t="n"/>
      <c r="Y315" s="3" t="n"/>
      <c r="Z315" s="3" t="n"/>
      <c r="AA315" s="3" t="n"/>
      <c r="AB315" s="3" t="n"/>
      <c r="AC315" s="3" t="n"/>
    </row>
    <row r="316">
      <c r="A316" s="6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6" t="n"/>
      <c r="K316" s="6" t="n"/>
      <c r="L316" s="3" t="n"/>
      <c r="M316" s="3" t="n">
        <v>305</v>
      </c>
      <c r="N316" s="3">
        <f>IF($U316=0,"",INDEX(TAHSILAT!$E$7:$E$1506,$U316))</f>
        <v/>
      </c>
      <c r="O316" s="3">
        <f>IF($N316="","","Tahsilat  –  "&amp;INDEX(TAHSILAT!$H$7:$H$1506,$U316)&amp;IF(INDEX(TAHSILAT!$J$7:$J$1506,$U316)="",""," / "&amp;INDEX(TAHSILAT!$J$7:$J$1506,$U316)))</f>
        <v/>
      </c>
      <c r="P316" s="3">
        <f>IF($N316="","","TAHSİLAT")</f>
        <v/>
      </c>
      <c r="Q316" s="3">
        <f>IF($N316="","",INDEX(TAHSILAT!$G$7:$G$1506,$U316))</f>
        <v/>
      </c>
      <c r="R316" s="3" t="n">
        <v>0</v>
      </c>
      <c r="S316" s="3">
        <f>IF($N316="",0,INDEX(TAHSILAT!$F$7:$F$1506,$U316))</f>
        <v/>
      </c>
      <c r="T316" s="3">
        <f>IF($N316="",10000000000,$N316*100000+$M316)</f>
        <v/>
      </c>
      <c r="U316" s="3">
        <f>IFERROR(MATCH($AC$4&amp;"|64",TAHSILAT!$Q$7:$Q$1506,0),0)</f>
        <v/>
      </c>
      <c r="V316" s="3" t="n"/>
      <c r="W316" s="3" t="n"/>
      <c r="X316" s="3" t="n"/>
      <c r="Y316" s="3" t="n"/>
      <c r="Z316" s="3" t="n"/>
      <c r="AA316" s="3" t="n"/>
      <c r="AB316" s="3" t="n"/>
      <c r="AC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>
        <v>306</v>
      </c>
      <c r="N317" s="3">
        <f>IF($U317=0,"",INDEX(TAHSILAT!$E$7:$E$1506,$U317))</f>
        <v/>
      </c>
      <c r="O317" s="3">
        <f>IF($N317="","","Tahsilat  –  "&amp;INDEX(TAHSILAT!$H$7:$H$1506,$U317)&amp;IF(INDEX(TAHSILAT!$J$7:$J$1506,$U317)="",""," / "&amp;INDEX(TAHSILAT!$J$7:$J$1506,$U317)))</f>
        <v/>
      </c>
      <c r="P317" s="3">
        <f>IF($N317="","","TAHSİLAT")</f>
        <v/>
      </c>
      <c r="Q317" s="3">
        <f>IF($N317="","",INDEX(TAHSILAT!$G$7:$G$1506,$U317))</f>
        <v/>
      </c>
      <c r="R317" s="3" t="n">
        <v>0</v>
      </c>
      <c r="S317" s="3">
        <f>IF($N317="",0,INDEX(TAHSILAT!$F$7:$F$1506,$U317))</f>
        <v/>
      </c>
      <c r="T317" s="3">
        <f>IF($N317="",10000000000,$N317*100000+$M317)</f>
        <v/>
      </c>
      <c r="U317" s="3">
        <f>IFERROR(MATCH($AC$4&amp;"|65",TAHSILAT!$Q$7:$Q$1506,0),0)</f>
        <v/>
      </c>
      <c r="V317" s="3" t="n"/>
      <c r="W317" s="3" t="n"/>
      <c r="X317" s="3" t="n"/>
      <c r="Y317" s="3" t="n"/>
      <c r="Z317" s="3" t="n"/>
      <c r="AA317" s="3" t="n"/>
      <c r="AB317" s="3" t="n"/>
      <c r="AC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>
        <v>307</v>
      </c>
      <c r="N318" s="3">
        <f>IF($U318=0,"",INDEX(TAHSILAT!$E$7:$E$1506,$U318))</f>
        <v/>
      </c>
      <c r="O318" s="3">
        <f>IF($N318="","","Tahsilat  –  "&amp;INDEX(TAHSILAT!$H$7:$H$1506,$U318)&amp;IF(INDEX(TAHSILAT!$J$7:$J$1506,$U318)="",""," / "&amp;INDEX(TAHSILAT!$J$7:$J$1506,$U318)))</f>
        <v/>
      </c>
      <c r="P318" s="3">
        <f>IF($N318="","","TAHSİLAT")</f>
        <v/>
      </c>
      <c r="Q318" s="3">
        <f>IF($N318="","",INDEX(TAHSILAT!$G$7:$G$1506,$U318))</f>
        <v/>
      </c>
      <c r="R318" s="3" t="n">
        <v>0</v>
      </c>
      <c r="S318" s="3">
        <f>IF($N318="",0,INDEX(TAHSILAT!$F$7:$F$1506,$U318))</f>
        <v/>
      </c>
      <c r="T318" s="3">
        <f>IF($N318="",10000000000,$N318*100000+$M318)</f>
        <v/>
      </c>
      <c r="U318" s="3">
        <f>IFERROR(MATCH($AC$4&amp;"|66",TAHSILAT!$Q$7:$Q$1506,0),0)</f>
        <v/>
      </c>
      <c r="V318" s="3" t="n"/>
      <c r="W318" s="3" t="n"/>
      <c r="X318" s="3" t="n"/>
      <c r="Y318" s="3" t="n"/>
      <c r="Z318" s="3" t="n"/>
      <c r="AA318" s="3" t="n"/>
      <c r="AB318" s="3" t="n"/>
      <c r="AC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>
        <v>308</v>
      </c>
      <c r="N319" s="3">
        <f>IF($U319=0,"",INDEX(TAHSILAT!$E$7:$E$1506,$U319))</f>
        <v/>
      </c>
      <c r="O319" s="3">
        <f>IF($N319="","","Tahsilat  –  "&amp;INDEX(TAHSILAT!$H$7:$H$1506,$U319)&amp;IF(INDEX(TAHSILAT!$J$7:$J$1506,$U319)="",""," / "&amp;INDEX(TAHSILAT!$J$7:$J$1506,$U319)))</f>
        <v/>
      </c>
      <c r="P319" s="3">
        <f>IF($N319="","","TAHSİLAT")</f>
        <v/>
      </c>
      <c r="Q319" s="3">
        <f>IF($N319="","",INDEX(TAHSILAT!$G$7:$G$1506,$U319))</f>
        <v/>
      </c>
      <c r="R319" s="3" t="n">
        <v>0</v>
      </c>
      <c r="S319" s="3">
        <f>IF($N319="",0,INDEX(TAHSILAT!$F$7:$F$1506,$U319))</f>
        <v/>
      </c>
      <c r="T319" s="3">
        <f>IF($N319="",10000000000,$N319*100000+$M319)</f>
        <v/>
      </c>
      <c r="U319" s="3">
        <f>IFERROR(MATCH($AC$4&amp;"|67",TAHSILAT!$Q$7:$Q$1506,0),0)</f>
        <v/>
      </c>
      <c r="V319" s="3" t="n"/>
      <c r="W319" s="3" t="n"/>
      <c r="X319" s="3" t="n"/>
      <c r="Y319" s="3" t="n"/>
      <c r="Z319" s="3" t="n"/>
      <c r="AA319" s="3" t="n"/>
      <c r="AB319" s="3" t="n"/>
      <c r="AC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>
        <v>309</v>
      </c>
      <c r="N320" s="3">
        <f>IF($U320=0,"",INDEX(TAHSILAT!$E$7:$E$1506,$U320))</f>
        <v/>
      </c>
      <c r="O320" s="3">
        <f>IF($N320="","","Tahsilat  –  "&amp;INDEX(TAHSILAT!$H$7:$H$1506,$U320)&amp;IF(INDEX(TAHSILAT!$J$7:$J$1506,$U320)="",""," / "&amp;INDEX(TAHSILAT!$J$7:$J$1506,$U320)))</f>
        <v/>
      </c>
      <c r="P320" s="3">
        <f>IF($N320="","","TAHSİLAT")</f>
        <v/>
      </c>
      <c r="Q320" s="3">
        <f>IF($N320="","",INDEX(TAHSILAT!$G$7:$G$1506,$U320))</f>
        <v/>
      </c>
      <c r="R320" s="3" t="n">
        <v>0</v>
      </c>
      <c r="S320" s="3">
        <f>IF($N320="",0,INDEX(TAHSILAT!$F$7:$F$1506,$U320))</f>
        <v/>
      </c>
      <c r="T320" s="3">
        <f>IF($N320="",10000000000,$N320*100000+$M320)</f>
        <v/>
      </c>
      <c r="U320" s="3">
        <f>IFERROR(MATCH($AC$4&amp;"|68",TAHSILAT!$Q$7:$Q$1506,0),0)</f>
        <v/>
      </c>
      <c r="V320" s="3" t="n"/>
      <c r="W320" s="3" t="n"/>
      <c r="X320" s="3" t="n"/>
      <c r="Y320" s="3" t="n"/>
      <c r="Z320" s="3" t="n"/>
      <c r="AA320" s="3" t="n"/>
      <c r="AB320" s="3" t="n"/>
      <c r="AC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>
        <v>310</v>
      </c>
      <c r="N321" s="3">
        <f>IF($U321=0,"",INDEX(TAHSILAT!$E$7:$E$1506,$U321))</f>
        <v/>
      </c>
      <c r="O321" s="3">
        <f>IF($N321="","","Tahsilat  –  "&amp;INDEX(TAHSILAT!$H$7:$H$1506,$U321)&amp;IF(INDEX(TAHSILAT!$J$7:$J$1506,$U321)="",""," / "&amp;INDEX(TAHSILAT!$J$7:$J$1506,$U321)))</f>
        <v/>
      </c>
      <c r="P321" s="3">
        <f>IF($N321="","","TAHSİLAT")</f>
        <v/>
      </c>
      <c r="Q321" s="3">
        <f>IF($N321="","",INDEX(TAHSILAT!$G$7:$G$1506,$U321))</f>
        <v/>
      </c>
      <c r="R321" s="3" t="n">
        <v>0</v>
      </c>
      <c r="S321" s="3">
        <f>IF($N321="",0,INDEX(TAHSILAT!$F$7:$F$1506,$U321))</f>
        <v/>
      </c>
      <c r="T321" s="3">
        <f>IF($N321="",10000000000,$N321*100000+$M321)</f>
        <v/>
      </c>
      <c r="U321" s="3">
        <f>IFERROR(MATCH($AC$4&amp;"|69",TAHSILAT!$Q$7:$Q$1506,0),0)</f>
        <v/>
      </c>
      <c r="V321" s="3" t="n"/>
      <c r="W321" s="3" t="n"/>
      <c r="X321" s="3" t="n"/>
      <c r="Y321" s="3" t="n"/>
      <c r="Z321" s="3" t="n"/>
      <c r="AA321" s="3" t="n"/>
      <c r="AB321" s="3" t="n"/>
      <c r="AC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>
        <v>311</v>
      </c>
      <c r="N322" s="3">
        <f>IF($U322=0,"",INDEX(TAHSILAT!$E$7:$E$1506,$U322))</f>
        <v/>
      </c>
      <c r="O322" s="3">
        <f>IF($N322="","","Tahsilat  –  "&amp;INDEX(TAHSILAT!$H$7:$H$1506,$U322)&amp;IF(INDEX(TAHSILAT!$J$7:$J$1506,$U322)="",""," / "&amp;INDEX(TAHSILAT!$J$7:$J$1506,$U322)))</f>
        <v/>
      </c>
      <c r="P322" s="3">
        <f>IF($N322="","","TAHSİLAT")</f>
        <v/>
      </c>
      <c r="Q322" s="3">
        <f>IF($N322="","",INDEX(TAHSILAT!$G$7:$G$1506,$U322))</f>
        <v/>
      </c>
      <c r="R322" s="3" t="n">
        <v>0</v>
      </c>
      <c r="S322" s="3">
        <f>IF($N322="",0,INDEX(TAHSILAT!$F$7:$F$1506,$U322))</f>
        <v/>
      </c>
      <c r="T322" s="3">
        <f>IF($N322="",10000000000,$N322*100000+$M322)</f>
        <v/>
      </c>
      <c r="U322" s="3">
        <f>IFERROR(MATCH($AC$4&amp;"|70",TAHSILAT!$Q$7:$Q$1506,0),0)</f>
        <v/>
      </c>
      <c r="V322" s="3" t="n"/>
      <c r="W322" s="3" t="n"/>
      <c r="X322" s="3" t="n"/>
      <c r="Y322" s="3" t="n"/>
      <c r="Z322" s="3" t="n"/>
      <c r="AA322" s="3" t="n"/>
      <c r="AB322" s="3" t="n"/>
      <c r="AC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>
        <v>312</v>
      </c>
      <c r="N323" s="3">
        <f>IF($U323=0,"",INDEX(TAHSILAT!$E$7:$E$1506,$U323))</f>
        <v/>
      </c>
      <c r="O323" s="3">
        <f>IF($N323="","","Tahsilat  –  "&amp;INDEX(TAHSILAT!$H$7:$H$1506,$U323)&amp;IF(INDEX(TAHSILAT!$J$7:$J$1506,$U323)="",""," / "&amp;INDEX(TAHSILAT!$J$7:$J$1506,$U323)))</f>
        <v/>
      </c>
      <c r="P323" s="3">
        <f>IF($N323="","","TAHSİLAT")</f>
        <v/>
      </c>
      <c r="Q323" s="3">
        <f>IF($N323="","",INDEX(TAHSILAT!$G$7:$G$1506,$U323))</f>
        <v/>
      </c>
      <c r="R323" s="3" t="n">
        <v>0</v>
      </c>
      <c r="S323" s="3">
        <f>IF($N323="",0,INDEX(TAHSILAT!$F$7:$F$1506,$U323))</f>
        <v/>
      </c>
      <c r="T323" s="3">
        <f>IF($N323="",10000000000,$N323*100000+$M323)</f>
        <v/>
      </c>
      <c r="U323" s="3">
        <f>IFERROR(MATCH($AC$4&amp;"|71",TAHSILAT!$Q$7:$Q$1506,0),0)</f>
        <v/>
      </c>
      <c r="V323" s="3" t="n"/>
      <c r="W323" s="3" t="n"/>
      <c r="X323" s="3" t="n"/>
      <c r="Y323" s="3" t="n"/>
      <c r="Z323" s="3" t="n"/>
      <c r="AA323" s="3" t="n"/>
      <c r="AB323" s="3" t="n"/>
      <c r="AC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>
        <v>313</v>
      </c>
      <c r="N324" s="3">
        <f>IF($U324=0,"",INDEX(TAHSILAT!$E$7:$E$1506,$U324))</f>
        <v/>
      </c>
      <c r="O324" s="3">
        <f>IF($N324="","","Tahsilat  –  "&amp;INDEX(TAHSILAT!$H$7:$H$1506,$U324)&amp;IF(INDEX(TAHSILAT!$J$7:$J$1506,$U324)="",""," / "&amp;INDEX(TAHSILAT!$J$7:$J$1506,$U324)))</f>
        <v/>
      </c>
      <c r="P324" s="3">
        <f>IF($N324="","","TAHSİLAT")</f>
        <v/>
      </c>
      <c r="Q324" s="3">
        <f>IF($N324="","",INDEX(TAHSILAT!$G$7:$G$1506,$U324))</f>
        <v/>
      </c>
      <c r="R324" s="3" t="n">
        <v>0</v>
      </c>
      <c r="S324" s="3">
        <f>IF($N324="",0,INDEX(TAHSILAT!$F$7:$F$1506,$U324))</f>
        <v/>
      </c>
      <c r="T324" s="3">
        <f>IF($N324="",10000000000,$N324*100000+$M324)</f>
        <v/>
      </c>
      <c r="U324" s="3">
        <f>IFERROR(MATCH($AC$4&amp;"|72",TAHSILAT!$Q$7:$Q$1506,0),0)</f>
        <v/>
      </c>
      <c r="V324" s="3" t="n"/>
      <c r="W324" s="3" t="n"/>
      <c r="X324" s="3" t="n"/>
      <c r="Y324" s="3" t="n"/>
      <c r="Z324" s="3" t="n"/>
      <c r="AA324" s="3" t="n"/>
      <c r="AB324" s="3" t="n"/>
      <c r="AC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>
        <v>314</v>
      </c>
      <c r="N325" s="3">
        <f>IF($U325=0,"",INDEX(TAHSILAT!$E$7:$E$1506,$U325))</f>
        <v/>
      </c>
      <c r="O325" s="3">
        <f>IF($N325="","","Tahsilat  –  "&amp;INDEX(TAHSILAT!$H$7:$H$1506,$U325)&amp;IF(INDEX(TAHSILAT!$J$7:$J$1506,$U325)="",""," / "&amp;INDEX(TAHSILAT!$J$7:$J$1506,$U325)))</f>
        <v/>
      </c>
      <c r="P325" s="3">
        <f>IF($N325="","","TAHSİLAT")</f>
        <v/>
      </c>
      <c r="Q325" s="3">
        <f>IF($N325="","",INDEX(TAHSILAT!$G$7:$G$1506,$U325))</f>
        <v/>
      </c>
      <c r="R325" s="3" t="n">
        <v>0</v>
      </c>
      <c r="S325" s="3">
        <f>IF($N325="",0,INDEX(TAHSILAT!$F$7:$F$1506,$U325))</f>
        <v/>
      </c>
      <c r="T325" s="3">
        <f>IF($N325="",10000000000,$N325*100000+$M325)</f>
        <v/>
      </c>
      <c r="U325" s="3">
        <f>IFERROR(MATCH($AC$4&amp;"|73",TAHSILAT!$Q$7:$Q$1506,0),0)</f>
        <v/>
      </c>
      <c r="V325" s="3" t="n"/>
      <c r="W325" s="3" t="n"/>
      <c r="X325" s="3" t="n"/>
      <c r="Y325" s="3" t="n"/>
      <c r="Z325" s="3" t="n"/>
      <c r="AA325" s="3" t="n"/>
      <c r="AB325" s="3" t="n"/>
      <c r="AC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>
        <v>315</v>
      </c>
      <c r="N326" s="3">
        <f>IF($U326=0,"",INDEX(TAHSILAT!$E$7:$E$1506,$U326))</f>
        <v/>
      </c>
      <c r="O326" s="3">
        <f>IF($N326="","","Tahsilat  –  "&amp;INDEX(TAHSILAT!$H$7:$H$1506,$U326)&amp;IF(INDEX(TAHSILAT!$J$7:$J$1506,$U326)="",""," / "&amp;INDEX(TAHSILAT!$J$7:$J$1506,$U326)))</f>
        <v/>
      </c>
      <c r="P326" s="3">
        <f>IF($N326="","","TAHSİLAT")</f>
        <v/>
      </c>
      <c r="Q326" s="3">
        <f>IF($N326="","",INDEX(TAHSILAT!$G$7:$G$1506,$U326))</f>
        <v/>
      </c>
      <c r="R326" s="3" t="n">
        <v>0</v>
      </c>
      <c r="S326" s="3">
        <f>IF($N326="",0,INDEX(TAHSILAT!$F$7:$F$1506,$U326))</f>
        <v/>
      </c>
      <c r="T326" s="3">
        <f>IF($N326="",10000000000,$N326*100000+$M326)</f>
        <v/>
      </c>
      <c r="U326" s="3">
        <f>IFERROR(MATCH($AC$4&amp;"|74",TAHSILAT!$Q$7:$Q$1506,0),0)</f>
        <v/>
      </c>
      <c r="V326" s="3" t="n"/>
      <c r="W326" s="3" t="n"/>
      <c r="X326" s="3" t="n"/>
      <c r="Y326" s="3" t="n"/>
      <c r="Z326" s="3" t="n"/>
      <c r="AA326" s="3" t="n"/>
      <c r="AB326" s="3" t="n"/>
      <c r="AC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>
        <v>316</v>
      </c>
      <c r="N327" s="3">
        <f>IF($U327=0,"",INDEX(TAHSILAT!$E$7:$E$1506,$U327))</f>
        <v/>
      </c>
      <c r="O327" s="3">
        <f>IF($N327="","","Tahsilat  –  "&amp;INDEX(TAHSILAT!$H$7:$H$1506,$U327)&amp;IF(INDEX(TAHSILAT!$J$7:$J$1506,$U327)="",""," / "&amp;INDEX(TAHSILAT!$J$7:$J$1506,$U327)))</f>
        <v/>
      </c>
      <c r="P327" s="3">
        <f>IF($N327="","","TAHSİLAT")</f>
        <v/>
      </c>
      <c r="Q327" s="3">
        <f>IF($N327="","",INDEX(TAHSILAT!$G$7:$G$1506,$U327))</f>
        <v/>
      </c>
      <c r="R327" s="3" t="n">
        <v>0</v>
      </c>
      <c r="S327" s="3">
        <f>IF($N327="",0,INDEX(TAHSILAT!$F$7:$F$1506,$U327))</f>
        <v/>
      </c>
      <c r="T327" s="3">
        <f>IF($N327="",10000000000,$N327*100000+$M327)</f>
        <v/>
      </c>
      <c r="U327" s="3">
        <f>IFERROR(MATCH($AC$4&amp;"|75",TAHSILAT!$Q$7:$Q$1506,0),0)</f>
        <v/>
      </c>
      <c r="V327" s="3" t="n"/>
      <c r="W327" s="3" t="n"/>
      <c r="X327" s="3" t="n"/>
      <c r="Y327" s="3" t="n"/>
      <c r="Z327" s="3" t="n"/>
      <c r="AA327" s="3" t="n"/>
      <c r="AB327" s="3" t="n"/>
      <c r="AC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>
        <v>317</v>
      </c>
      <c r="N328" s="3">
        <f>IF($U328=0,"",INDEX(TAHSILAT!$E$7:$E$1506,$U328))</f>
        <v/>
      </c>
      <c r="O328" s="3">
        <f>IF($N328="","","Tahsilat  –  "&amp;INDEX(TAHSILAT!$H$7:$H$1506,$U328)&amp;IF(INDEX(TAHSILAT!$J$7:$J$1506,$U328)="",""," / "&amp;INDEX(TAHSILAT!$J$7:$J$1506,$U328)))</f>
        <v/>
      </c>
      <c r="P328" s="3">
        <f>IF($N328="","","TAHSİLAT")</f>
        <v/>
      </c>
      <c r="Q328" s="3">
        <f>IF($N328="","",INDEX(TAHSILAT!$G$7:$G$1506,$U328))</f>
        <v/>
      </c>
      <c r="R328" s="3" t="n">
        <v>0</v>
      </c>
      <c r="S328" s="3">
        <f>IF($N328="",0,INDEX(TAHSILAT!$F$7:$F$1506,$U328))</f>
        <v/>
      </c>
      <c r="T328" s="3">
        <f>IF($N328="",10000000000,$N328*100000+$M328)</f>
        <v/>
      </c>
      <c r="U328" s="3">
        <f>IFERROR(MATCH($AC$4&amp;"|76",TAHSILAT!$Q$7:$Q$1506,0),0)</f>
        <v/>
      </c>
      <c r="V328" s="3" t="n"/>
      <c r="W328" s="3" t="n"/>
      <c r="X328" s="3" t="n"/>
      <c r="Y328" s="3" t="n"/>
      <c r="Z328" s="3" t="n"/>
      <c r="AA328" s="3" t="n"/>
      <c r="AB328" s="3" t="n"/>
      <c r="AC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>
        <v>318</v>
      </c>
      <c r="N329" s="3">
        <f>IF($U329=0,"",INDEX(TAHSILAT!$E$7:$E$1506,$U329))</f>
        <v/>
      </c>
      <c r="O329" s="3">
        <f>IF($N329="","","Tahsilat  –  "&amp;INDEX(TAHSILAT!$H$7:$H$1506,$U329)&amp;IF(INDEX(TAHSILAT!$J$7:$J$1506,$U329)="",""," / "&amp;INDEX(TAHSILAT!$J$7:$J$1506,$U329)))</f>
        <v/>
      </c>
      <c r="P329" s="3">
        <f>IF($N329="","","TAHSİLAT")</f>
        <v/>
      </c>
      <c r="Q329" s="3">
        <f>IF($N329="","",INDEX(TAHSILAT!$G$7:$G$1506,$U329))</f>
        <v/>
      </c>
      <c r="R329" s="3" t="n">
        <v>0</v>
      </c>
      <c r="S329" s="3">
        <f>IF($N329="",0,INDEX(TAHSILAT!$F$7:$F$1506,$U329))</f>
        <v/>
      </c>
      <c r="T329" s="3">
        <f>IF($N329="",10000000000,$N329*100000+$M329)</f>
        <v/>
      </c>
      <c r="U329" s="3">
        <f>IFERROR(MATCH($AC$4&amp;"|77",TAHSILAT!$Q$7:$Q$1506,0),0)</f>
        <v/>
      </c>
      <c r="V329" s="3" t="n"/>
      <c r="W329" s="3" t="n"/>
      <c r="X329" s="3" t="n"/>
      <c r="Y329" s="3" t="n"/>
      <c r="Z329" s="3" t="n"/>
      <c r="AA329" s="3" t="n"/>
      <c r="AB329" s="3" t="n"/>
      <c r="AC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>
        <v>319</v>
      </c>
      <c r="N330" s="3">
        <f>IF($U330=0,"",INDEX(TAHSILAT!$E$7:$E$1506,$U330))</f>
        <v/>
      </c>
      <c r="O330" s="3">
        <f>IF($N330="","","Tahsilat  –  "&amp;INDEX(TAHSILAT!$H$7:$H$1506,$U330)&amp;IF(INDEX(TAHSILAT!$J$7:$J$1506,$U330)="",""," / "&amp;INDEX(TAHSILAT!$J$7:$J$1506,$U330)))</f>
        <v/>
      </c>
      <c r="P330" s="3">
        <f>IF($N330="","","TAHSİLAT")</f>
        <v/>
      </c>
      <c r="Q330" s="3">
        <f>IF($N330="","",INDEX(TAHSILAT!$G$7:$G$1506,$U330))</f>
        <v/>
      </c>
      <c r="R330" s="3" t="n">
        <v>0</v>
      </c>
      <c r="S330" s="3">
        <f>IF($N330="",0,INDEX(TAHSILAT!$F$7:$F$1506,$U330))</f>
        <v/>
      </c>
      <c r="T330" s="3">
        <f>IF($N330="",10000000000,$N330*100000+$M330)</f>
        <v/>
      </c>
      <c r="U330" s="3">
        <f>IFERROR(MATCH($AC$4&amp;"|78",TAHSILAT!$Q$7:$Q$1506,0),0)</f>
        <v/>
      </c>
      <c r="V330" s="3" t="n"/>
      <c r="W330" s="3" t="n"/>
      <c r="X330" s="3" t="n"/>
      <c r="Y330" s="3" t="n"/>
      <c r="Z330" s="3" t="n"/>
      <c r="AA330" s="3" t="n"/>
      <c r="AB330" s="3" t="n"/>
      <c r="AC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>
        <v>320</v>
      </c>
      <c r="N331" s="3">
        <f>IF($U331=0,"",INDEX(TAHSILAT!$E$7:$E$1506,$U331))</f>
        <v/>
      </c>
      <c r="O331" s="3">
        <f>IF($N331="","","Tahsilat  –  "&amp;INDEX(TAHSILAT!$H$7:$H$1506,$U331)&amp;IF(INDEX(TAHSILAT!$J$7:$J$1506,$U331)="",""," / "&amp;INDEX(TAHSILAT!$J$7:$J$1506,$U331)))</f>
        <v/>
      </c>
      <c r="P331" s="3">
        <f>IF($N331="","","TAHSİLAT")</f>
        <v/>
      </c>
      <c r="Q331" s="3">
        <f>IF($N331="","",INDEX(TAHSILAT!$G$7:$G$1506,$U331))</f>
        <v/>
      </c>
      <c r="R331" s="3" t="n">
        <v>0</v>
      </c>
      <c r="S331" s="3">
        <f>IF($N331="",0,INDEX(TAHSILAT!$F$7:$F$1506,$U331))</f>
        <v/>
      </c>
      <c r="T331" s="3">
        <f>IF($N331="",10000000000,$N331*100000+$M331)</f>
        <v/>
      </c>
      <c r="U331" s="3">
        <f>IFERROR(MATCH($AC$4&amp;"|79",TAHSILAT!$Q$7:$Q$1506,0),0)</f>
        <v/>
      </c>
      <c r="V331" s="3" t="n"/>
      <c r="W331" s="3" t="n"/>
      <c r="X331" s="3" t="n"/>
      <c r="Y331" s="3" t="n"/>
      <c r="Z331" s="3" t="n"/>
      <c r="AA331" s="3" t="n"/>
      <c r="AB331" s="3" t="n"/>
      <c r="AC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>
        <v>321</v>
      </c>
      <c r="N332" s="3">
        <f>IF($U332=0,"",INDEX(TAHSILAT!$E$7:$E$1506,$U332))</f>
        <v/>
      </c>
      <c r="O332" s="3">
        <f>IF($N332="","","Tahsilat  –  "&amp;INDEX(TAHSILAT!$H$7:$H$1506,$U332)&amp;IF(INDEX(TAHSILAT!$J$7:$J$1506,$U332)="",""," / "&amp;INDEX(TAHSILAT!$J$7:$J$1506,$U332)))</f>
        <v/>
      </c>
      <c r="P332" s="3">
        <f>IF($N332="","","TAHSİLAT")</f>
        <v/>
      </c>
      <c r="Q332" s="3">
        <f>IF($N332="","",INDEX(TAHSILAT!$G$7:$G$1506,$U332))</f>
        <v/>
      </c>
      <c r="R332" s="3" t="n">
        <v>0</v>
      </c>
      <c r="S332" s="3">
        <f>IF($N332="",0,INDEX(TAHSILAT!$F$7:$F$1506,$U332))</f>
        <v/>
      </c>
      <c r="T332" s="3">
        <f>IF($N332="",10000000000,$N332*100000+$M332)</f>
        <v/>
      </c>
      <c r="U332" s="3">
        <f>IFERROR(MATCH($AC$4&amp;"|80",TAHSILAT!$Q$7:$Q$1506,0),0)</f>
        <v/>
      </c>
      <c r="V332" s="3" t="n"/>
      <c r="W332" s="3" t="n"/>
      <c r="X332" s="3" t="n"/>
      <c r="Y332" s="3" t="n"/>
      <c r="Z332" s="3" t="n"/>
      <c r="AA332" s="3" t="n"/>
      <c r="AB332" s="3" t="n"/>
      <c r="AC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>
        <v>322</v>
      </c>
      <c r="N333" s="3">
        <f>IF($U333=0,"",INDEX(TAHSILAT!$E$7:$E$1506,$U333))</f>
        <v/>
      </c>
      <c r="O333" s="3">
        <f>IF($N333="","","Tahsilat  –  "&amp;INDEX(TAHSILAT!$H$7:$H$1506,$U333)&amp;IF(INDEX(TAHSILAT!$J$7:$J$1506,$U333)="",""," / "&amp;INDEX(TAHSILAT!$J$7:$J$1506,$U333)))</f>
        <v/>
      </c>
      <c r="P333" s="3">
        <f>IF($N333="","","TAHSİLAT")</f>
        <v/>
      </c>
      <c r="Q333" s="3">
        <f>IF($N333="","",INDEX(TAHSILAT!$G$7:$G$1506,$U333))</f>
        <v/>
      </c>
      <c r="R333" s="3" t="n">
        <v>0</v>
      </c>
      <c r="S333" s="3">
        <f>IF($N333="",0,INDEX(TAHSILAT!$F$7:$F$1506,$U333))</f>
        <v/>
      </c>
      <c r="T333" s="3">
        <f>IF($N333="",10000000000,$N333*100000+$M333)</f>
        <v/>
      </c>
      <c r="U333" s="3">
        <f>IFERROR(MATCH($AC$4&amp;"|81",TAHSILAT!$Q$7:$Q$1506,0),0)</f>
        <v/>
      </c>
      <c r="V333" s="3" t="n"/>
      <c r="W333" s="3" t="n"/>
      <c r="X333" s="3" t="n"/>
      <c r="Y333" s="3" t="n"/>
      <c r="Z333" s="3" t="n"/>
      <c r="AA333" s="3" t="n"/>
      <c r="AB333" s="3" t="n"/>
      <c r="AC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>
        <v>323</v>
      </c>
      <c r="N334" s="3">
        <f>IF($U334=0,"",INDEX(TAHSILAT!$E$7:$E$1506,$U334))</f>
        <v/>
      </c>
      <c r="O334" s="3">
        <f>IF($N334="","","Tahsilat  –  "&amp;INDEX(TAHSILAT!$H$7:$H$1506,$U334)&amp;IF(INDEX(TAHSILAT!$J$7:$J$1506,$U334)="",""," / "&amp;INDEX(TAHSILAT!$J$7:$J$1506,$U334)))</f>
        <v/>
      </c>
      <c r="P334" s="3">
        <f>IF($N334="","","TAHSİLAT")</f>
        <v/>
      </c>
      <c r="Q334" s="3">
        <f>IF($N334="","",INDEX(TAHSILAT!$G$7:$G$1506,$U334))</f>
        <v/>
      </c>
      <c r="R334" s="3" t="n">
        <v>0</v>
      </c>
      <c r="S334" s="3">
        <f>IF($N334="",0,INDEX(TAHSILAT!$F$7:$F$1506,$U334))</f>
        <v/>
      </c>
      <c r="T334" s="3">
        <f>IF($N334="",10000000000,$N334*100000+$M334)</f>
        <v/>
      </c>
      <c r="U334" s="3">
        <f>IFERROR(MATCH($AC$4&amp;"|82",TAHSILAT!$Q$7:$Q$1506,0),0)</f>
        <v/>
      </c>
      <c r="V334" s="3" t="n"/>
      <c r="W334" s="3" t="n"/>
      <c r="X334" s="3" t="n"/>
      <c r="Y334" s="3" t="n"/>
      <c r="Z334" s="3" t="n"/>
      <c r="AA334" s="3" t="n"/>
      <c r="AB334" s="3" t="n"/>
      <c r="AC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>
        <v>324</v>
      </c>
      <c r="N335" s="3">
        <f>IF($U335=0,"",INDEX(TAHSILAT!$E$7:$E$1506,$U335))</f>
        <v/>
      </c>
      <c r="O335" s="3">
        <f>IF($N335="","","Tahsilat  –  "&amp;INDEX(TAHSILAT!$H$7:$H$1506,$U335)&amp;IF(INDEX(TAHSILAT!$J$7:$J$1506,$U335)="",""," / "&amp;INDEX(TAHSILAT!$J$7:$J$1506,$U335)))</f>
        <v/>
      </c>
      <c r="P335" s="3">
        <f>IF($N335="","","TAHSİLAT")</f>
        <v/>
      </c>
      <c r="Q335" s="3">
        <f>IF($N335="","",INDEX(TAHSILAT!$G$7:$G$1506,$U335))</f>
        <v/>
      </c>
      <c r="R335" s="3" t="n">
        <v>0</v>
      </c>
      <c r="S335" s="3">
        <f>IF($N335="",0,INDEX(TAHSILAT!$F$7:$F$1506,$U335))</f>
        <v/>
      </c>
      <c r="T335" s="3">
        <f>IF($N335="",10000000000,$N335*100000+$M335)</f>
        <v/>
      </c>
      <c r="U335" s="3">
        <f>IFERROR(MATCH($AC$4&amp;"|83",TAHSILAT!$Q$7:$Q$1506,0),0)</f>
        <v/>
      </c>
      <c r="V335" s="3" t="n"/>
      <c r="W335" s="3" t="n"/>
      <c r="X335" s="3" t="n"/>
      <c r="Y335" s="3" t="n"/>
      <c r="Z335" s="3" t="n"/>
      <c r="AA335" s="3" t="n"/>
      <c r="AB335" s="3" t="n"/>
      <c r="AC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>
        <v>325</v>
      </c>
      <c r="N336" s="3">
        <f>IF($U336=0,"",INDEX(TAHSILAT!$E$7:$E$1506,$U336))</f>
        <v/>
      </c>
      <c r="O336" s="3">
        <f>IF($N336="","","Tahsilat  –  "&amp;INDEX(TAHSILAT!$H$7:$H$1506,$U336)&amp;IF(INDEX(TAHSILAT!$J$7:$J$1506,$U336)="",""," / "&amp;INDEX(TAHSILAT!$J$7:$J$1506,$U336)))</f>
        <v/>
      </c>
      <c r="P336" s="3">
        <f>IF($N336="","","TAHSİLAT")</f>
        <v/>
      </c>
      <c r="Q336" s="3">
        <f>IF($N336="","",INDEX(TAHSILAT!$G$7:$G$1506,$U336))</f>
        <v/>
      </c>
      <c r="R336" s="3" t="n">
        <v>0</v>
      </c>
      <c r="S336" s="3">
        <f>IF($N336="",0,INDEX(TAHSILAT!$F$7:$F$1506,$U336))</f>
        <v/>
      </c>
      <c r="T336" s="3">
        <f>IF($N336="",10000000000,$N336*100000+$M336)</f>
        <v/>
      </c>
      <c r="U336" s="3">
        <f>IFERROR(MATCH($AC$4&amp;"|84",TAHSILAT!$Q$7:$Q$1506,0),0)</f>
        <v/>
      </c>
      <c r="V336" s="3" t="n"/>
      <c r="W336" s="3" t="n"/>
      <c r="X336" s="3" t="n"/>
      <c r="Y336" s="3" t="n"/>
      <c r="Z336" s="3" t="n"/>
      <c r="AA336" s="3" t="n"/>
      <c r="AB336" s="3" t="n"/>
      <c r="AC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>
        <v>326</v>
      </c>
      <c r="N337" s="3">
        <f>IF($U337=0,"",INDEX(TAHSILAT!$E$7:$E$1506,$U337))</f>
        <v/>
      </c>
      <c r="O337" s="3">
        <f>IF($N337="","","Tahsilat  –  "&amp;INDEX(TAHSILAT!$H$7:$H$1506,$U337)&amp;IF(INDEX(TAHSILAT!$J$7:$J$1506,$U337)="",""," / "&amp;INDEX(TAHSILAT!$J$7:$J$1506,$U337)))</f>
        <v/>
      </c>
      <c r="P337" s="3">
        <f>IF($N337="","","TAHSİLAT")</f>
        <v/>
      </c>
      <c r="Q337" s="3">
        <f>IF($N337="","",INDEX(TAHSILAT!$G$7:$G$1506,$U337))</f>
        <v/>
      </c>
      <c r="R337" s="3" t="n">
        <v>0</v>
      </c>
      <c r="S337" s="3">
        <f>IF($N337="",0,INDEX(TAHSILAT!$F$7:$F$1506,$U337))</f>
        <v/>
      </c>
      <c r="T337" s="3">
        <f>IF($N337="",10000000000,$N337*100000+$M337)</f>
        <v/>
      </c>
      <c r="U337" s="3">
        <f>IFERROR(MATCH($AC$4&amp;"|85",TAHSILAT!$Q$7:$Q$1506,0),0)</f>
        <v/>
      </c>
      <c r="V337" s="3" t="n"/>
      <c r="W337" s="3" t="n"/>
      <c r="X337" s="3" t="n"/>
      <c r="Y337" s="3" t="n"/>
      <c r="Z337" s="3" t="n"/>
      <c r="AA337" s="3" t="n"/>
      <c r="AB337" s="3" t="n"/>
      <c r="AC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>
        <v>327</v>
      </c>
      <c r="N338" s="3">
        <f>IF($U338=0,"",INDEX(TAHSILAT!$E$7:$E$1506,$U338))</f>
        <v/>
      </c>
      <c r="O338" s="3">
        <f>IF($N338="","","Tahsilat  –  "&amp;INDEX(TAHSILAT!$H$7:$H$1506,$U338)&amp;IF(INDEX(TAHSILAT!$J$7:$J$1506,$U338)="",""," / "&amp;INDEX(TAHSILAT!$J$7:$J$1506,$U338)))</f>
        <v/>
      </c>
      <c r="P338" s="3">
        <f>IF($N338="","","TAHSİLAT")</f>
        <v/>
      </c>
      <c r="Q338" s="3">
        <f>IF($N338="","",INDEX(TAHSILAT!$G$7:$G$1506,$U338))</f>
        <v/>
      </c>
      <c r="R338" s="3" t="n">
        <v>0</v>
      </c>
      <c r="S338" s="3">
        <f>IF($N338="",0,INDEX(TAHSILAT!$F$7:$F$1506,$U338))</f>
        <v/>
      </c>
      <c r="T338" s="3">
        <f>IF($N338="",10000000000,$N338*100000+$M338)</f>
        <v/>
      </c>
      <c r="U338" s="3">
        <f>IFERROR(MATCH($AC$4&amp;"|86",TAHSILAT!$Q$7:$Q$1506,0),0)</f>
        <v/>
      </c>
      <c r="V338" s="3" t="n"/>
      <c r="W338" s="3" t="n"/>
      <c r="X338" s="3" t="n"/>
      <c r="Y338" s="3" t="n"/>
      <c r="Z338" s="3" t="n"/>
      <c r="AA338" s="3" t="n"/>
      <c r="AB338" s="3" t="n"/>
      <c r="AC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>
        <v>328</v>
      </c>
      <c r="N339" s="3">
        <f>IF($U339=0,"",INDEX(TAHSILAT!$E$7:$E$1506,$U339))</f>
        <v/>
      </c>
      <c r="O339" s="3">
        <f>IF($N339="","","Tahsilat  –  "&amp;INDEX(TAHSILAT!$H$7:$H$1506,$U339)&amp;IF(INDEX(TAHSILAT!$J$7:$J$1506,$U339)="",""," / "&amp;INDEX(TAHSILAT!$J$7:$J$1506,$U339)))</f>
        <v/>
      </c>
      <c r="P339" s="3">
        <f>IF($N339="","","TAHSİLAT")</f>
        <v/>
      </c>
      <c r="Q339" s="3">
        <f>IF($N339="","",INDEX(TAHSILAT!$G$7:$G$1506,$U339))</f>
        <v/>
      </c>
      <c r="R339" s="3" t="n">
        <v>0</v>
      </c>
      <c r="S339" s="3">
        <f>IF($N339="",0,INDEX(TAHSILAT!$F$7:$F$1506,$U339))</f>
        <v/>
      </c>
      <c r="T339" s="3">
        <f>IF($N339="",10000000000,$N339*100000+$M339)</f>
        <v/>
      </c>
      <c r="U339" s="3">
        <f>IFERROR(MATCH($AC$4&amp;"|87",TAHSILAT!$Q$7:$Q$1506,0),0)</f>
        <v/>
      </c>
      <c r="V339" s="3" t="n"/>
      <c r="W339" s="3" t="n"/>
      <c r="X339" s="3" t="n"/>
      <c r="Y339" s="3" t="n"/>
      <c r="Z339" s="3" t="n"/>
      <c r="AA339" s="3" t="n"/>
      <c r="AB339" s="3" t="n"/>
      <c r="AC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>
        <v>329</v>
      </c>
      <c r="N340" s="3">
        <f>IF($U340=0,"",INDEX(TAHSILAT!$E$7:$E$1506,$U340))</f>
        <v/>
      </c>
      <c r="O340" s="3">
        <f>IF($N340="","","Tahsilat  –  "&amp;INDEX(TAHSILAT!$H$7:$H$1506,$U340)&amp;IF(INDEX(TAHSILAT!$J$7:$J$1506,$U340)="",""," / "&amp;INDEX(TAHSILAT!$J$7:$J$1506,$U340)))</f>
        <v/>
      </c>
      <c r="P340" s="3">
        <f>IF($N340="","","TAHSİLAT")</f>
        <v/>
      </c>
      <c r="Q340" s="3">
        <f>IF($N340="","",INDEX(TAHSILAT!$G$7:$G$1506,$U340))</f>
        <v/>
      </c>
      <c r="R340" s="3" t="n">
        <v>0</v>
      </c>
      <c r="S340" s="3">
        <f>IF($N340="",0,INDEX(TAHSILAT!$F$7:$F$1506,$U340))</f>
        <v/>
      </c>
      <c r="T340" s="3">
        <f>IF($N340="",10000000000,$N340*100000+$M340)</f>
        <v/>
      </c>
      <c r="U340" s="3">
        <f>IFERROR(MATCH($AC$4&amp;"|88",TAHSILAT!$Q$7:$Q$1506,0),0)</f>
        <v/>
      </c>
      <c r="V340" s="3" t="n"/>
      <c r="W340" s="3" t="n"/>
      <c r="X340" s="3" t="n"/>
      <c r="Y340" s="3" t="n"/>
      <c r="Z340" s="3" t="n"/>
      <c r="AA340" s="3" t="n"/>
      <c r="AB340" s="3" t="n"/>
      <c r="AC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>
        <v>330</v>
      </c>
      <c r="N341" s="3">
        <f>IF($U341=0,"",INDEX(TAHSILAT!$E$7:$E$1506,$U341))</f>
        <v/>
      </c>
      <c r="O341" s="3">
        <f>IF($N341="","","Tahsilat  –  "&amp;INDEX(TAHSILAT!$H$7:$H$1506,$U341)&amp;IF(INDEX(TAHSILAT!$J$7:$J$1506,$U341)="",""," / "&amp;INDEX(TAHSILAT!$J$7:$J$1506,$U341)))</f>
        <v/>
      </c>
      <c r="P341" s="3">
        <f>IF($N341="","","TAHSİLAT")</f>
        <v/>
      </c>
      <c r="Q341" s="3">
        <f>IF($N341="","",INDEX(TAHSILAT!$G$7:$G$1506,$U341))</f>
        <v/>
      </c>
      <c r="R341" s="3" t="n">
        <v>0</v>
      </c>
      <c r="S341" s="3">
        <f>IF($N341="",0,INDEX(TAHSILAT!$F$7:$F$1506,$U341))</f>
        <v/>
      </c>
      <c r="T341" s="3">
        <f>IF($N341="",10000000000,$N341*100000+$M341)</f>
        <v/>
      </c>
      <c r="U341" s="3">
        <f>IFERROR(MATCH($AC$4&amp;"|89",TAHSILAT!$Q$7:$Q$1506,0),0)</f>
        <v/>
      </c>
      <c r="V341" s="3" t="n"/>
      <c r="W341" s="3" t="n"/>
      <c r="X341" s="3" t="n"/>
      <c r="Y341" s="3" t="n"/>
      <c r="Z341" s="3" t="n"/>
      <c r="AA341" s="3" t="n"/>
      <c r="AB341" s="3" t="n"/>
      <c r="AC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>
        <v>331</v>
      </c>
      <c r="N342" s="3">
        <f>IF($U342=0,"",INDEX(TAHSILAT!$E$7:$E$1506,$U342))</f>
        <v/>
      </c>
      <c r="O342" s="3">
        <f>IF($N342="","","Tahsilat  –  "&amp;INDEX(TAHSILAT!$H$7:$H$1506,$U342)&amp;IF(INDEX(TAHSILAT!$J$7:$J$1506,$U342)="",""," / "&amp;INDEX(TAHSILAT!$J$7:$J$1506,$U342)))</f>
        <v/>
      </c>
      <c r="P342" s="3">
        <f>IF($N342="","","TAHSİLAT")</f>
        <v/>
      </c>
      <c r="Q342" s="3">
        <f>IF($N342="","",INDEX(TAHSILAT!$G$7:$G$1506,$U342))</f>
        <v/>
      </c>
      <c r="R342" s="3" t="n">
        <v>0</v>
      </c>
      <c r="S342" s="3">
        <f>IF($N342="",0,INDEX(TAHSILAT!$F$7:$F$1506,$U342))</f>
        <v/>
      </c>
      <c r="T342" s="3">
        <f>IF($N342="",10000000000,$N342*100000+$M342)</f>
        <v/>
      </c>
      <c r="U342" s="3">
        <f>IFERROR(MATCH($AC$4&amp;"|90",TAHSILAT!$Q$7:$Q$1506,0),0)</f>
        <v/>
      </c>
      <c r="V342" s="3" t="n"/>
      <c r="W342" s="3" t="n"/>
      <c r="X342" s="3" t="n"/>
      <c r="Y342" s="3" t="n"/>
      <c r="Z342" s="3" t="n"/>
      <c r="AA342" s="3" t="n"/>
      <c r="AB342" s="3" t="n"/>
      <c r="AC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>
        <v>332</v>
      </c>
      <c r="N343" s="3">
        <f>IF($U343=0,"",INDEX(TAHSILAT!$E$7:$E$1506,$U343))</f>
        <v/>
      </c>
      <c r="O343" s="3">
        <f>IF($N343="","","Tahsilat  –  "&amp;INDEX(TAHSILAT!$H$7:$H$1506,$U343)&amp;IF(INDEX(TAHSILAT!$J$7:$J$1506,$U343)="",""," / "&amp;INDEX(TAHSILAT!$J$7:$J$1506,$U343)))</f>
        <v/>
      </c>
      <c r="P343" s="3">
        <f>IF($N343="","","TAHSİLAT")</f>
        <v/>
      </c>
      <c r="Q343" s="3">
        <f>IF($N343="","",INDEX(TAHSILAT!$G$7:$G$1506,$U343))</f>
        <v/>
      </c>
      <c r="R343" s="3" t="n">
        <v>0</v>
      </c>
      <c r="S343" s="3">
        <f>IF($N343="",0,INDEX(TAHSILAT!$F$7:$F$1506,$U343))</f>
        <v/>
      </c>
      <c r="T343" s="3">
        <f>IF($N343="",10000000000,$N343*100000+$M343)</f>
        <v/>
      </c>
      <c r="U343" s="3">
        <f>IFERROR(MATCH($AC$4&amp;"|91",TAHSILAT!$Q$7:$Q$1506,0),0)</f>
        <v/>
      </c>
      <c r="V343" s="3" t="n"/>
      <c r="W343" s="3" t="n"/>
      <c r="X343" s="3" t="n"/>
      <c r="Y343" s="3" t="n"/>
      <c r="Z343" s="3" t="n"/>
      <c r="AA343" s="3" t="n"/>
      <c r="AB343" s="3" t="n"/>
      <c r="AC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>
        <v>333</v>
      </c>
      <c r="N344" s="3">
        <f>IF($U344=0,"",INDEX(TAHSILAT!$E$7:$E$1506,$U344))</f>
        <v/>
      </c>
      <c r="O344" s="3">
        <f>IF($N344="","","Tahsilat  –  "&amp;INDEX(TAHSILAT!$H$7:$H$1506,$U344)&amp;IF(INDEX(TAHSILAT!$J$7:$J$1506,$U344)="",""," / "&amp;INDEX(TAHSILAT!$J$7:$J$1506,$U344)))</f>
        <v/>
      </c>
      <c r="P344" s="3">
        <f>IF($N344="","","TAHSİLAT")</f>
        <v/>
      </c>
      <c r="Q344" s="3">
        <f>IF($N344="","",INDEX(TAHSILAT!$G$7:$G$1506,$U344))</f>
        <v/>
      </c>
      <c r="R344" s="3" t="n">
        <v>0</v>
      </c>
      <c r="S344" s="3">
        <f>IF($N344="",0,INDEX(TAHSILAT!$F$7:$F$1506,$U344))</f>
        <v/>
      </c>
      <c r="T344" s="3">
        <f>IF($N344="",10000000000,$N344*100000+$M344)</f>
        <v/>
      </c>
      <c r="U344" s="3">
        <f>IFERROR(MATCH($AC$4&amp;"|92",TAHSILAT!$Q$7:$Q$1506,0),0)</f>
        <v/>
      </c>
      <c r="V344" s="3" t="n"/>
      <c r="W344" s="3" t="n"/>
      <c r="X344" s="3" t="n"/>
      <c r="Y344" s="3" t="n"/>
      <c r="Z344" s="3" t="n"/>
      <c r="AA344" s="3" t="n"/>
      <c r="AB344" s="3" t="n"/>
      <c r="AC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>
        <v>334</v>
      </c>
      <c r="N345" s="3">
        <f>IF($U345=0,"",INDEX(TAHSILAT!$E$7:$E$1506,$U345))</f>
        <v/>
      </c>
      <c r="O345" s="3">
        <f>IF($N345="","","Tahsilat  –  "&amp;INDEX(TAHSILAT!$H$7:$H$1506,$U345)&amp;IF(INDEX(TAHSILAT!$J$7:$J$1506,$U345)="",""," / "&amp;INDEX(TAHSILAT!$J$7:$J$1506,$U345)))</f>
        <v/>
      </c>
      <c r="P345" s="3">
        <f>IF($N345="","","TAHSİLAT")</f>
        <v/>
      </c>
      <c r="Q345" s="3">
        <f>IF($N345="","",INDEX(TAHSILAT!$G$7:$G$1506,$U345))</f>
        <v/>
      </c>
      <c r="R345" s="3" t="n">
        <v>0</v>
      </c>
      <c r="S345" s="3">
        <f>IF($N345="",0,INDEX(TAHSILAT!$F$7:$F$1506,$U345))</f>
        <v/>
      </c>
      <c r="T345" s="3">
        <f>IF($N345="",10000000000,$N345*100000+$M345)</f>
        <v/>
      </c>
      <c r="U345" s="3">
        <f>IFERROR(MATCH($AC$4&amp;"|93",TAHSILAT!$Q$7:$Q$1506,0),0)</f>
        <v/>
      </c>
      <c r="V345" s="3" t="n"/>
      <c r="W345" s="3" t="n"/>
      <c r="X345" s="3" t="n"/>
      <c r="Y345" s="3" t="n"/>
      <c r="Z345" s="3" t="n"/>
      <c r="AA345" s="3" t="n"/>
      <c r="AB345" s="3" t="n"/>
      <c r="AC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>
        <v>335</v>
      </c>
      <c r="N346" s="3">
        <f>IF($U346=0,"",INDEX(TAHSILAT!$E$7:$E$1506,$U346))</f>
        <v/>
      </c>
      <c r="O346" s="3">
        <f>IF($N346="","","Tahsilat  –  "&amp;INDEX(TAHSILAT!$H$7:$H$1506,$U346)&amp;IF(INDEX(TAHSILAT!$J$7:$J$1506,$U346)="",""," / "&amp;INDEX(TAHSILAT!$J$7:$J$1506,$U346)))</f>
        <v/>
      </c>
      <c r="P346" s="3">
        <f>IF($N346="","","TAHSİLAT")</f>
        <v/>
      </c>
      <c r="Q346" s="3">
        <f>IF($N346="","",INDEX(TAHSILAT!$G$7:$G$1506,$U346))</f>
        <v/>
      </c>
      <c r="R346" s="3" t="n">
        <v>0</v>
      </c>
      <c r="S346" s="3">
        <f>IF($N346="",0,INDEX(TAHSILAT!$F$7:$F$1506,$U346))</f>
        <v/>
      </c>
      <c r="T346" s="3">
        <f>IF($N346="",10000000000,$N346*100000+$M346)</f>
        <v/>
      </c>
      <c r="U346" s="3">
        <f>IFERROR(MATCH($AC$4&amp;"|94",TAHSILAT!$Q$7:$Q$1506,0),0)</f>
        <v/>
      </c>
      <c r="V346" s="3" t="n"/>
      <c r="W346" s="3" t="n"/>
      <c r="X346" s="3" t="n"/>
      <c r="Y346" s="3" t="n"/>
      <c r="Z346" s="3" t="n"/>
      <c r="AA346" s="3" t="n"/>
      <c r="AB346" s="3" t="n"/>
      <c r="AC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>
        <v>336</v>
      </c>
      <c r="N347" s="3">
        <f>IF($U347=0,"",INDEX(TAHSILAT!$E$7:$E$1506,$U347))</f>
        <v/>
      </c>
      <c r="O347" s="3">
        <f>IF($N347="","","Tahsilat  –  "&amp;INDEX(TAHSILAT!$H$7:$H$1506,$U347)&amp;IF(INDEX(TAHSILAT!$J$7:$J$1506,$U347)="",""," / "&amp;INDEX(TAHSILAT!$J$7:$J$1506,$U347)))</f>
        <v/>
      </c>
      <c r="P347" s="3">
        <f>IF($N347="","","TAHSİLAT")</f>
        <v/>
      </c>
      <c r="Q347" s="3">
        <f>IF($N347="","",INDEX(TAHSILAT!$G$7:$G$1506,$U347))</f>
        <v/>
      </c>
      <c r="R347" s="3" t="n">
        <v>0</v>
      </c>
      <c r="S347" s="3">
        <f>IF($N347="",0,INDEX(TAHSILAT!$F$7:$F$1506,$U347))</f>
        <v/>
      </c>
      <c r="T347" s="3">
        <f>IF($N347="",10000000000,$N347*100000+$M347)</f>
        <v/>
      </c>
      <c r="U347" s="3">
        <f>IFERROR(MATCH($AC$4&amp;"|95",TAHSILAT!$Q$7:$Q$1506,0),0)</f>
        <v/>
      </c>
      <c r="V347" s="3" t="n"/>
      <c r="W347" s="3" t="n"/>
      <c r="X347" s="3" t="n"/>
      <c r="Y347" s="3" t="n"/>
      <c r="Z347" s="3" t="n"/>
      <c r="AA347" s="3" t="n"/>
      <c r="AB347" s="3" t="n"/>
      <c r="AC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>
        <v>337</v>
      </c>
      <c r="N348" s="3">
        <f>IF($U348=0,"",INDEX(TAHSILAT!$E$7:$E$1506,$U348))</f>
        <v/>
      </c>
      <c r="O348" s="3">
        <f>IF($N348="","","Tahsilat  –  "&amp;INDEX(TAHSILAT!$H$7:$H$1506,$U348)&amp;IF(INDEX(TAHSILAT!$J$7:$J$1506,$U348)="",""," / "&amp;INDEX(TAHSILAT!$J$7:$J$1506,$U348)))</f>
        <v/>
      </c>
      <c r="P348" s="3">
        <f>IF($N348="","","TAHSİLAT")</f>
        <v/>
      </c>
      <c r="Q348" s="3">
        <f>IF($N348="","",INDEX(TAHSILAT!$G$7:$G$1506,$U348))</f>
        <v/>
      </c>
      <c r="R348" s="3" t="n">
        <v>0</v>
      </c>
      <c r="S348" s="3">
        <f>IF($N348="",0,INDEX(TAHSILAT!$F$7:$F$1506,$U348))</f>
        <v/>
      </c>
      <c r="T348" s="3">
        <f>IF($N348="",10000000000,$N348*100000+$M348)</f>
        <v/>
      </c>
      <c r="U348" s="3">
        <f>IFERROR(MATCH($AC$4&amp;"|96",TAHSILAT!$Q$7:$Q$1506,0),0)</f>
        <v/>
      </c>
      <c r="V348" s="3" t="n"/>
      <c r="W348" s="3" t="n"/>
      <c r="X348" s="3" t="n"/>
      <c r="Y348" s="3" t="n"/>
      <c r="Z348" s="3" t="n"/>
      <c r="AA348" s="3" t="n"/>
      <c r="AB348" s="3" t="n"/>
      <c r="AC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>
        <v>338</v>
      </c>
      <c r="N349" s="3">
        <f>IF($U349=0,"",INDEX(TAHSILAT!$E$7:$E$1506,$U349))</f>
        <v/>
      </c>
      <c r="O349" s="3">
        <f>IF($N349="","","Tahsilat  –  "&amp;INDEX(TAHSILAT!$H$7:$H$1506,$U349)&amp;IF(INDEX(TAHSILAT!$J$7:$J$1506,$U349)="",""," / "&amp;INDEX(TAHSILAT!$J$7:$J$1506,$U349)))</f>
        <v/>
      </c>
      <c r="P349" s="3">
        <f>IF($N349="","","TAHSİLAT")</f>
        <v/>
      </c>
      <c r="Q349" s="3">
        <f>IF($N349="","",INDEX(TAHSILAT!$G$7:$G$1506,$U349))</f>
        <v/>
      </c>
      <c r="R349" s="3" t="n">
        <v>0</v>
      </c>
      <c r="S349" s="3">
        <f>IF($N349="",0,INDEX(TAHSILAT!$F$7:$F$1506,$U349))</f>
        <v/>
      </c>
      <c r="T349" s="3">
        <f>IF($N349="",10000000000,$N349*100000+$M349)</f>
        <v/>
      </c>
      <c r="U349" s="3">
        <f>IFERROR(MATCH($AC$4&amp;"|97",TAHSILAT!$Q$7:$Q$1506,0),0)</f>
        <v/>
      </c>
      <c r="V349" s="3" t="n"/>
      <c r="W349" s="3" t="n"/>
      <c r="X349" s="3" t="n"/>
      <c r="Y349" s="3" t="n"/>
      <c r="Z349" s="3" t="n"/>
      <c r="AA349" s="3" t="n"/>
      <c r="AB349" s="3" t="n"/>
      <c r="AC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>
        <v>339</v>
      </c>
      <c r="N350" s="3">
        <f>IF($U350=0,"",INDEX(TAHSILAT!$E$7:$E$1506,$U350))</f>
        <v/>
      </c>
      <c r="O350" s="3">
        <f>IF($N350="","","Tahsilat  –  "&amp;INDEX(TAHSILAT!$H$7:$H$1506,$U350)&amp;IF(INDEX(TAHSILAT!$J$7:$J$1506,$U350)="",""," / "&amp;INDEX(TAHSILAT!$J$7:$J$1506,$U350)))</f>
        <v/>
      </c>
      <c r="P350" s="3">
        <f>IF($N350="","","TAHSİLAT")</f>
        <v/>
      </c>
      <c r="Q350" s="3">
        <f>IF($N350="","",INDEX(TAHSILAT!$G$7:$G$1506,$U350))</f>
        <v/>
      </c>
      <c r="R350" s="3" t="n">
        <v>0</v>
      </c>
      <c r="S350" s="3">
        <f>IF($N350="",0,INDEX(TAHSILAT!$F$7:$F$1506,$U350))</f>
        <v/>
      </c>
      <c r="T350" s="3">
        <f>IF($N350="",10000000000,$N350*100000+$M350)</f>
        <v/>
      </c>
      <c r="U350" s="3">
        <f>IFERROR(MATCH($AC$4&amp;"|98",TAHSILAT!$Q$7:$Q$1506,0),0)</f>
        <v/>
      </c>
      <c r="V350" s="3" t="n"/>
      <c r="W350" s="3" t="n"/>
      <c r="X350" s="3" t="n"/>
      <c r="Y350" s="3" t="n"/>
      <c r="Z350" s="3" t="n"/>
      <c r="AA350" s="3" t="n"/>
      <c r="AB350" s="3" t="n"/>
      <c r="AC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>
        <v>340</v>
      </c>
      <c r="N351" s="3">
        <f>IF($U351=0,"",INDEX(TAHSILAT!$E$7:$E$1506,$U351))</f>
        <v/>
      </c>
      <c r="O351" s="3">
        <f>IF($N351="","","Tahsilat  –  "&amp;INDEX(TAHSILAT!$H$7:$H$1506,$U351)&amp;IF(INDEX(TAHSILAT!$J$7:$J$1506,$U351)="",""," / "&amp;INDEX(TAHSILAT!$J$7:$J$1506,$U351)))</f>
        <v/>
      </c>
      <c r="P351" s="3">
        <f>IF($N351="","","TAHSİLAT")</f>
        <v/>
      </c>
      <c r="Q351" s="3">
        <f>IF($N351="","",INDEX(TAHSILAT!$G$7:$G$1506,$U351))</f>
        <v/>
      </c>
      <c r="R351" s="3" t="n">
        <v>0</v>
      </c>
      <c r="S351" s="3">
        <f>IF($N351="",0,INDEX(TAHSILAT!$F$7:$F$1506,$U351))</f>
        <v/>
      </c>
      <c r="T351" s="3">
        <f>IF($N351="",10000000000,$N351*100000+$M351)</f>
        <v/>
      </c>
      <c r="U351" s="3">
        <f>IFERROR(MATCH($AC$4&amp;"|99",TAHSILAT!$Q$7:$Q$1506,0),0)</f>
        <v/>
      </c>
      <c r="V351" s="3" t="n"/>
      <c r="W351" s="3" t="n"/>
      <c r="X351" s="3" t="n"/>
      <c r="Y351" s="3" t="n"/>
      <c r="Z351" s="3" t="n"/>
      <c r="AA351" s="3" t="n"/>
      <c r="AB351" s="3" t="n"/>
      <c r="AC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>
        <v>341</v>
      </c>
      <c r="N352" s="3">
        <f>IF($U352=0,"",INDEX(TAHSILAT!$E$7:$E$1506,$U352))</f>
        <v/>
      </c>
      <c r="O352" s="3">
        <f>IF($N352="","","Tahsilat  –  "&amp;INDEX(TAHSILAT!$H$7:$H$1506,$U352)&amp;IF(INDEX(TAHSILAT!$J$7:$J$1506,$U352)="",""," / "&amp;INDEX(TAHSILAT!$J$7:$J$1506,$U352)))</f>
        <v/>
      </c>
      <c r="P352" s="3">
        <f>IF($N352="","","TAHSİLAT")</f>
        <v/>
      </c>
      <c r="Q352" s="3">
        <f>IF($N352="","",INDEX(TAHSILAT!$G$7:$G$1506,$U352))</f>
        <v/>
      </c>
      <c r="R352" s="3" t="n">
        <v>0</v>
      </c>
      <c r="S352" s="3">
        <f>IF($N352="",0,INDEX(TAHSILAT!$F$7:$F$1506,$U352))</f>
        <v/>
      </c>
      <c r="T352" s="3">
        <f>IF($N352="",10000000000,$N352*100000+$M352)</f>
        <v/>
      </c>
      <c r="U352" s="3">
        <f>IFERROR(MATCH($AC$4&amp;"|100",TAHSILAT!$Q$7:$Q$1506,0),0)</f>
        <v/>
      </c>
      <c r="V352" s="3" t="n"/>
      <c r="W352" s="3" t="n"/>
      <c r="X352" s="3" t="n"/>
      <c r="Y352" s="3" t="n"/>
      <c r="Z352" s="3" t="n"/>
      <c r="AA352" s="3" t="n"/>
      <c r="AB352" s="3" t="n"/>
      <c r="AC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>
        <v>342</v>
      </c>
      <c r="N353" s="3">
        <f>IF($U353=0,"",INDEX(TAHSILAT!$E$7:$E$1506,$U353))</f>
        <v/>
      </c>
      <c r="O353" s="3">
        <f>IF($N353="","","Tahsilat  –  "&amp;INDEX(TAHSILAT!$H$7:$H$1506,$U353)&amp;IF(INDEX(TAHSILAT!$J$7:$J$1506,$U353)="",""," / "&amp;INDEX(TAHSILAT!$J$7:$J$1506,$U353)))</f>
        <v/>
      </c>
      <c r="P353" s="3">
        <f>IF($N353="","","TAHSİLAT")</f>
        <v/>
      </c>
      <c r="Q353" s="3">
        <f>IF($N353="","",INDEX(TAHSILAT!$G$7:$G$1506,$U353))</f>
        <v/>
      </c>
      <c r="R353" s="3" t="n">
        <v>0</v>
      </c>
      <c r="S353" s="3">
        <f>IF($N353="",0,INDEX(TAHSILAT!$F$7:$F$1506,$U353))</f>
        <v/>
      </c>
      <c r="T353" s="3">
        <f>IF($N353="",10000000000,$N353*100000+$M353)</f>
        <v/>
      </c>
      <c r="U353" s="3">
        <f>IFERROR(MATCH($AC$4&amp;"|101",TAHSILAT!$Q$7:$Q$1506,0),0)</f>
        <v/>
      </c>
      <c r="V353" s="3" t="n"/>
      <c r="W353" s="3" t="n"/>
      <c r="X353" s="3" t="n"/>
      <c r="Y353" s="3" t="n"/>
      <c r="Z353" s="3" t="n"/>
      <c r="AA353" s="3" t="n"/>
      <c r="AB353" s="3" t="n"/>
      <c r="AC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>
        <v>343</v>
      </c>
      <c r="N354" s="3">
        <f>IF($U354=0,"",INDEX(TAHSILAT!$E$7:$E$1506,$U354))</f>
        <v/>
      </c>
      <c r="O354" s="3">
        <f>IF($N354="","","Tahsilat  –  "&amp;INDEX(TAHSILAT!$H$7:$H$1506,$U354)&amp;IF(INDEX(TAHSILAT!$J$7:$J$1506,$U354)="",""," / "&amp;INDEX(TAHSILAT!$J$7:$J$1506,$U354)))</f>
        <v/>
      </c>
      <c r="P354" s="3">
        <f>IF($N354="","","TAHSİLAT")</f>
        <v/>
      </c>
      <c r="Q354" s="3">
        <f>IF($N354="","",INDEX(TAHSILAT!$G$7:$G$1506,$U354))</f>
        <v/>
      </c>
      <c r="R354" s="3" t="n">
        <v>0</v>
      </c>
      <c r="S354" s="3">
        <f>IF($N354="",0,INDEX(TAHSILAT!$F$7:$F$1506,$U354))</f>
        <v/>
      </c>
      <c r="T354" s="3">
        <f>IF($N354="",10000000000,$N354*100000+$M354)</f>
        <v/>
      </c>
      <c r="U354" s="3">
        <f>IFERROR(MATCH($AC$4&amp;"|102",TAHSILAT!$Q$7:$Q$1506,0),0)</f>
        <v/>
      </c>
      <c r="V354" s="3" t="n"/>
      <c r="W354" s="3" t="n"/>
      <c r="X354" s="3" t="n"/>
      <c r="Y354" s="3" t="n"/>
      <c r="Z354" s="3" t="n"/>
      <c r="AA354" s="3" t="n"/>
      <c r="AB354" s="3" t="n"/>
      <c r="AC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>
        <v>344</v>
      </c>
      <c r="N355" s="3">
        <f>IF($U355=0,"",INDEX(TAHSILAT!$E$7:$E$1506,$U355))</f>
        <v/>
      </c>
      <c r="O355" s="3">
        <f>IF($N355="","","Tahsilat  –  "&amp;INDEX(TAHSILAT!$H$7:$H$1506,$U355)&amp;IF(INDEX(TAHSILAT!$J$7:$J$1506,$U355)="",""," / "&amp;INDEX(TAHSILAT!$J$7:$J$1506,$U355)))</f>
        <v/>
      </c>
      <c r="P355" s="3">
        <f>IF($N355="","","TAHSİLAT")</f>
        <v/>
      </c>
      <c r="Q355" s="3">
        <f>IF($N355="","",INDEX(TAHSILAT!$G$7:$G$1506,$U355))</f>
        <v/>
      </c>
      <c r="R355" s="3" t="n">
        <v>0</v>
      </c>
      <c r="S355" s="3">
        <f>IF($N355="",0,INDEX(TAHSILAT!$F$7:$F$1506,$U355))</f>
        <v/>
      </c>
      <c r="T355" s="3">
        <f>IF($N355="",10000000000,$N355*100000+$M355)</f>
        <v/>
      </c>
      <c r="U355" s="3">
        <f>IFERROR(MATCH($AC$4&amp;"|103",TAHSILAT!$Q$7:$Q$1506,0),0)</f>
        <v/>
      </c>
      <c r="V355" s="3" t="n"/>
      <c r="W355" s="3" t="n"/>
      <c r="X355" s="3" t="n"/>
      <c r="Y355" s="3" t="n"/>
      <c r="Z355" s="3" t="n"/>
      <c r="AA355" s="3" t="n"/>
      <c r="AB355" s="3" t="n"/>
      <c r="AC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>
        <v>345</v>
      </c>
      <c r="N356" s="3">
        <f>IF($U356=0,"",INDEX(TAHSILAT!$E$7:$E$1506,$U356))</f>
        <v/>
      </c>
      <c r="O356" s="3">
        <f>IF($N356="","","Tahsilat  –  "&amp;INDEX(TAHSILAT!$H$7:$H$1506,$U356)&amp;IF(INDEX(TAHSILAT!$J$7:$J$1506,$U356)="",""," / "&amp;INDEX(TAHSILAT!$J$7:$J$1506,$U356)))</f>
        <v/>
      </c>
      <c r="P356" s="3">
        <f>IF($N356="","","TAHSİLAT")</f>
        <v/>
      </c>
      <c r="Q356" s="3">
        <f>IF($N356="","",INDEX(TAHSILAT!$G$7:$G$1506,$U356))</f>
        <v/>
      </c>
      <c r="R356" s="3" t="n">
        <v>0</v>
      </c>
      <c r="S356" s="3">
        <f>IF($N356="",0,INDEX(TAHSILAT!$F$7:$F$1506,$U356))</f>
        <v/>
      </c>
      <c r="T356" s="3">
        <f>IF($N356="",10000000000,$N356*100000+$M356)</f>
        <v/>
      </c>
      <c r="U356" s="3">
        <f>IFERROR(MATCH($AC$4&amp;"|104",TAHSILAT!$Q$7:$Q$1506,0),0)</f>
        <v/>
      </c>
      <c r="V356" s="3" t="n"/>
      <c r="W356" s="3" t="n"/>
      <c r="X356" s="3" t="n"/>
      <c r="Y356" s="3" t="n"/>
      <c r="Z356" s="3" t="n"/>
      <c r="AA356" s="3" t="n"/>
      <c r="AB356" s="3" t="n"/>
      <c r="AC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>
        <v>346</v>
      </c>
      <c r="N357" s="3">
        <f>IF($U357=0,"",INDEX(TAHSILAT!$E$7:$E$1506,$U357))</f>
        <v/>
      </c>
      <c r="O357" s="3">
        <f>IF($N357="","","Tahsilat  –  "&amp;INDEX(TAHSILAT!$H$7:$H$1506,$U357)&amp;IF(INDEX(TAHSILAT!$J$7:$J$1506,$U357)="",""," / "&amp;INDEX(TAHSILAT!$J$7:$J$1506,$U357)))</f>
        <v/>
      </c>
      <c r="P357" s="3">
        <f>IF($N357="","","TAHSİLAT")</f>
        <v/>
      </c>
      <c r="Q357" s="3">
        <f>IF($N357="","",INDEX(TAHSILAT!$G$7:$G$1506,$U357))</f>
        <v/>
      </c>
      <c r="R357" s="3" t="n">
        <v>0</v>
      </c>
      <c r="S357" s="3">
        <f>IF($N357="",0,INDEX(TAHSILAT!$F$7:$F$1506,$U357))</f>
        <v/>
      </c>
      <c r="T357" s="3">
        <f>IF($N357="",10000000000,$N357*100000+$M357)</f>
        <v/>
      </c>
      <c r="U357" s="3">
        <f>IFERROR(MATCH($AC$4&amp;"|105",TAHSILAT!$Q$7:$Q$1506,0),0)</f>
        <v/>
      </c>
      <c r="V357" s="3" t="n"/>
      <c r="W357" s="3" t="n"/>
      <c r="X357" s="3" t="n"/>
      <c r="Y357" s="3" t="n"/>
      <c r="Z357" s="3" t="n"/>
      <c r="AA357" s="3" t="n"/>
      <c r="AB357" s="3" t="n"/>
      <c r="AC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>
        <v>347</v>
      </c>
      <c r="N358" s="3">
        <f>IF($U358=0,"",INDEX(TAHSILAT!$E$7:$E$1506,$U358))</f>
        <v/>
      </c>
      <c r="O358" s="3">
        <f>IF($N358="","","Tahsilat  –  "&amp;INDEX(TAHSILAT!$H$7:$H$1506,$U358)&amp;IF(INDEX(TAHSILAT!$J$7:$J$1506,$U358)="",""," / "&amp;INDEX(TAHSILAT!$J$7:$J$1506,$U358)))</f>
        <v/>
      </c>
      <c r="P358" s="3">
        <f>IF($N358="","","TAHSİLAT")</f>
        <v/>
      </c>
      <c r="Q358" s="3">
        <f>IF($N358="","",INDEX(TAHSILAT!$G$7:$G$1506,$U358))</f>
        <v/>
      </c>
      <c r="R358" s="3" t="n">
        <v>0</v>
      </c>
      <c r="S358" s="3">
        <f>IF($N358="",0,INDEX(TAHSILAT!$F$7:$F$1506,$U358))</f>
        <v/>
      </c>
      <c r="T358" s="3">
        <f>IF($N358="",10000000000,$N358*100000+$M358)</f>
        <v/>
      </c>
      <c r="U358" s="3">
        <f>IFERROR(MATCH($AC$4&amp;"|106",TAHSILAT!$Q$7:$Q$1506,0),0)</f>
        <v/>
      </c>
      <c r="V358" s="3" t="n"/>
      <c r="W358" s="3" t="n"/>
      <c r="X358" s="3" t="n"/>
      <c r="Y358" s="3" t="n"/>
      <c r="Z358" s="3" t="n"/>
      <c r="AA358" s="3" t="n"/>
      <c r="AB358" s="3" t="n"/>
      <c r="AC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>
        <v>348</v>
      </c>
      <c r="N359" s="3">
        <f>IF($U359=0,"",INDEX(TAHSILAT!$E$7:$E$1506,$U359))</f>
        <v/>
      </c>
      <c r="O359" s="3">
        <f>IF($N359="","","Tahsilat  –  "&amp;INDEX(TAHSILAT!$H$7:$H$1506,$U359)&amp;IF(INDEX(TAHSILAT!$J$7:$J$1506,$U359)="",""," / "&amp;INDEX(TAHSILAT!$J$7:$J$1506,$U359)))</f>
        <v/>
      </c>
      <c r="P359" s="3">
        <f>IF($N359="","","TAHSİLAT")</f>
        <v/>
      </c>
      <c r="Q359" s="3">
        <f>IF($N359="","",INDEX(TAHSILAT!$G$7:$G$1506,$U359))</f>
        <v/>
      </c>
      <c r="R359" s="3" t="n">
        <v>0</v>
      </c>
      <c r="S359" s="3">
        <f>IF($N359="",0,INDEX(TAHSILAT!$F$7:$F$1506,$U359))</f>
        <v/>
      </c>
      <c r="T359" s="3">
        <f>IF($N359="",10000000000,$N359*100000+$M359)</f>
        <v/>
      </c>
      <c r="U359" s="3">
        <f>IFERROR(MATCH($AC$4&amp;"|107",TAHSILAT!$Q$7:$Q$1506,0),0)</f>
        <v/>
      </c>
      <c r="V359" s="3" t="n"/>
      <c r="W359" s="3" t="n"/>
      <c r="X359" s="3" t="n"/>
      <c r="Y359" s="3" t="n"/>
      <c r="Z359" s="3" t="n"/>
      <c r="AA359" s="3" t="n"/>
      <c r="AB359" s="3" t="n"/>
      <c r="AC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>
        <v>349</v>
      </c>
      <c r="N360" s="3">
        <f>IF($U360=0,"",INDEX(TAHSILAT!$E$7:$E$1506,$U360))</f>
        <v/>
      </c>
      <c r="O360" s="3">
        <f>IF($N360="","","Tahsilat  –  "&amp;INDEX(TAHSILAT!$H$7:$H$1506,$U360)&amp;IF(INDEX(TAHSILAT!$J$7:$J$1506,$U360)="",""," / "&amp;INDEX(TAHSILAT!$J$7:$J$1506,$U360)))</f>
        <v/>
      </c>
      <c r="P360" s="3">
        <f>IF($N360="","","TAHSİLAT")</f>
        <v/>
      </c>
      <c r="Q360" s="3">
        <f>IF($N360="","",INDEX(TAHSILAT!$G$7:$G$1506,$U360))</f>
        <v/>
      </c>
      <c r="R360" s="3" t="n">
        <v>0</v>
      </c>
      <c r="S360" s="3">
        <f>IF($N360="",0,INDEX(TAHSILAT!$F$7:$F$1506,$U360))</f>
        <v/>
      </c>
      <c r="T360" s="3">
        <f>IF($N360="",10000000000,$N360*100000+$M360)</f>
        <v/>
      </c>
      <c r="U360" s="3">
        <f>IFERROR(MATCH($AC$4&amp;"|108",TAHSILAT!$Q$7:$Q$1506,0),0)</f>
        <v/>
      </c>
      <c r="V360" s="3" t="n"/>
      <c r="W360" s="3" t="n"/>
      <c r="X360" s="3" t="n"/>
      <c r="Y360" s="3" t="n"/>
      <c r="Z360" s="3" t="n"/>
      <c r="AA360" s="3" t="n"/>
      <c r="AB360" s="3" t="n"/>
      <c r="AC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>
        <v>350</v>
      </c>
      <c r="N361" s="3">
        <f>IF($U361=0,"",INDEX(TAHSILAT!$E$7:$E$1506,$U361))</f>
        <v/>
      </c>
      <c r="O361" s="3">
        <f>IF($N361="","","Tahsilat  –  "&amp;INDEX(TAHSILAT!$H$7:$H$1506,$U361)&amp;IF(INDEX(TAHSILAT!$J$7:$J$1506,$U361)="",""," / "&amp;INDEX(TAHSILAT!$J$7:$J$1506,$U361)))</f>
        <v/>
      </c>
      <c r="P361" s="3">
        <f>IF($N361="","","TAHSİLAT")</f>
        <v/>
      </c>
      <c r="Q361" s="3">
        <f>IF($N361="","",INDEX(TAHSILAT!$G$7:$G$1506,$U361))</f>
        <v/>
      </c>
      <c r="R361" s="3" t="n">
        <v>0</v>
      </c>
      <c r="S361" s="3">
        <f>IF($N361="",0,INDEX(TAHSILAT!$F$7:$F$1506,$U361))</f>
        <v/>
      </c>
      <c r="T361" s="3">
        <f>IF($N361="",10000000000,$N361*100000+$M361)</f>
        <v/>
      </c>
      <c r="U361" s="3">
        <f>IFERROR(MATCH($AC$4&amp;"|109",TAHSILAT!$Q$7:$Q$1506,0),0)</f>
        <v/>
      </c>
      <c r="V361" s="3" t="n"/>
      <c r="W361" s="3" t="n"/>
      <c r="X361" s="3" t="n"/>
      <c r="Y361" s="3" t="n"/>
      <c r="Z361" s="3" t="n"/>
      <c r="AA361" s="3" t="n"/>
      <c r="AB361" s="3" t="n"/>
      <c r="AC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>
        <v>351</v>
      </c>
      <c r="N362" s="3">
        <f>IF($U362=0,"",INDEX(TAHSILAT!$E$7:$E$1506,$U362))</f>
        <v/>
      </c>
      <c r="O362" s="3">
        <f>IF($N362="","","Tahsilat  –  "&amp;INDEX(TAHSILAT!$H$7:$H$1506,$U362)&amp;IF(INDEX(TAHSILAT!$J$7:$J$1506,$U362)="",""," / "&amp;INDEX(TAHSILAT!$J$7:$J$1506,$U362)))</f>
        <v/>
      </c>
      <c r="P362" s="3">
        <f>IF($N362="","","TAHSİLAT")</f>
        <v/>
      </c>
      <c r="Q362" s="3">
        <f>IF($N362="","",INDEX(TAHSILAT!$G$7:$G$1506,$U362))</f>
        <v/>
      </c>
      <c r="R362" s="3" t="n">
        <v>0</v>
      </c>
      <c r="S362" s="3">
        <f>IF($N362="",0,INDEX(TAHSILAT!$F$7:$F$1506,$U362))</f>
        <v/>
      </c>
      <c r="T362" s="3">
        <f>IF($N362="",10000000000,$N362*100000+$M362)</f>
        <v/>
      </c>
      <c r="U362" s="3">
        <f>IFERROR(MATCH($AC$4&amp;"|110",TAHSILAT!$Q$7:$Q$1506,0),0)</f>
        <v/>
      </c>
      <c r="V362" s="3" t="n"/>
      <c r="W362" s="3" t="n"/>
      <c r="X362" s="3" t="n"/>
      <c r="Y362" s="3" t="n"/>
      <c r="Z362" s="3" t="n"/>
      <c r="AA362" s="3" t="n"/>
      <c r="AB362" s="3" t="n"/>
      <c r="AC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>
        <v>352</v>
      </c>
      <c r="N363" s="3">
        <f>IF($U363=0,"",INDEX(TAHSILAT!$E$7:$E$1506,$U363))</f>
        <v/>
      </c>
      <c r="O363" s="3">
        <f>IF($N363="","","Tahsilat  –  "&amp;INDEX(TAHSILAT!$H$7:$H$1506,$U363)&amp;IF(INDEX(TAHSILAT!$J$7:$J$1506,$U363)="",""," / "&amp;INDEX(TAHSILAT!$J$7:$J$1506,$U363)))</f>
        <v/>
      </c>
      <c r="P363" s="3">
        <f>IF($N363="","","TAHSİLAT")</f>
        <v/>
      </c>
      <c r="Q363" s="3">
        <f>IF($N363="","",INDEX(TAHSILAT!$G$7:$G$1506,$U363))</f>
        <v/>
      </c>
      <c r="R363" s="3" t="n">
        <v>0</v>
      </c>
      <c r="S363" s="3">
        <f>IF($N363="",0,INDEX(TAHSILAT!$F$7:$F$1506,$U363))</f>
        <v/>
      </c>
      <c r="T363" s="3">
        <f>IF($N363="",10000000000,$N363*100000+$M363)</f>
        <v/>
      </c>
      <c r="U363" s="3">
        <f>IFERROR(MATCH($AC$4&amp;"|111",TAHSILAT!$Q$7:$Q$1506,0),0)</f>
        <v/>
      </c>
      <c r="V363" s="3" t="n"/>
      <c r="W363" s="3" t="n"/>
      <c r="X363" s="3" t="n"/>
      <c r="Y363" s="3" t="n"/>
      <c r="Z363" s="3" t="n"/>
      <c r="AA363" s="3" t="n"/>
      <c r="AB363" s="3" t="n"/>
      <c r="AC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>
        <v>353</v>
      </c>
      <c r="N364" s="3">
        <f>IF($U364=0,"",INDEX(TAHSILAT!$E$7:$E$1506,$U364))</f>
        <v/>
      </c>
      <c r="O364" s="3">
        <f>IF($N364="","","Tahsilat  –  "&amp;INDEX(TAHSILAT!$H$7:$H$1506,$U364)&amp;IF(INDEX(TAHSILAT!$J$7:$J$1506,$U364)="",""," / "&amp;INDEX(TAHSILAT!$J$7:$J$1506,$U364)))</f>
        <v/>
      </c>
      <c r="P364" s="3">
        <f>IF($N364="","","TAHSİLAT")</f>
        <v/>
      </c>
      <c r="Q364" s="3">
        <f>IF($N364="","",INDEX(TAHSILAT!$G$7:$G$1506,$U364))</f>
        <v/>
      </c>
      <c r="R364" s="3" t="n">
        <v>0</v>
      </c>
      <c r="S364" s="3">
        <f>IF($N364="",0,INDEX(TAHSILAT!$F$7:$F$1506,$U364))</f>
        <v/>
      </c>
      <c r="T364" s="3">
        <f>IF($N364="",10000000000,$N364*100000+$M364)</f>
        <v/>
      </c>
      <c r="U364" s="3">
        <f>IFERROR(MATCH($AC$4&amp;"|112",TAHSILAT!$Q$7:$Q$1506,0),0)</f>
        <v/>
      </c>
      <c r="V364" s="3" t="n"/>
      <c r="W364" s="3" t="n"/>
      <c r="X364" s="3" t="n"/>
      <c r="Y364" s="3" t="n"/>
      <c r="Z364" s="3" t="n"/>
      <c r="AA364" s="3" t="n"/>
      <c r="AB364" s="3" t="n"/>
      <c r="AC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>
        <v>354</v>
      </c>
      <c r="N365" s="3">
        <f>IF($U365=0,"",INDEX(TAHSILAT!$E$7:$E$1506,$U365))</f>
        <v/>
      </c>
      <c r="O365" s="3">
        <f>IF($N365="","","Tahsilat  –  "&amp;INDEX(TAHSILAT!$H$7:$H$1506,$U365)&amp;IF(INDEX(TAHSILAT!$J$7:$J$1506,$U365)="",""," / "&amp;INDEX(TAHSILAT!$J$7:$J$1506,$U365)))</f>
        <v/>
      </c>
      <c r="P365" s="3">
        <f>IF($N365="","","TAHSİLAT")</f>
        <v/>
      </c>
      <c r="Q365" s="3">
        <f>IF($N365="","",INDEX(TAHSILAT!$G$7:$G$1506,$U365))</f>
        <v/>
      </c>
      <c r="R365" s="3" t="n">
        <v>0</v>
      </c>
      <c r="S365" s="3">
        <f>IF($N365="",0,INDEX(TAHSILAT!$F$7:$F$1506,$U365))</f>
        <v/>
      </c>
      <c r="T365" s="3">
        <f>IF($N365="",10000000000,$N365*100000+$M365)</f>
        <v/>
      </c>
      <c r="U365" s="3">
        <f>IFERROR(MATCH($AC$4&amp;"|113",TAHSILAT!$Q$7:$Q$1506,0),0)</f>
        <v/>
      </c>
      <c r="V365" s="3" t="n"/>
      <c r="W365" s="3" t="n"/>
      <c r="X365" s="3" t="n"/>
      <c r="Y365" s="3" t="n"/>
      <c r="Z365" s="3" t="n"/>
      <c r="AA365" s="3" t="n"/>
      <c r="AB365" s="3" t="n"/>
      <c r="AC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>
        <v>355</v>
      </c>
      <c r="N366" s="3">
        <f>IF($U366=0,"",INDEX(TAHSILAT!$E$7:$E$1506,$U366))</f>
        <v/>
      </c>
      <c r="O366" s="3">
        <f>IF($N366="","","Tahsilat  –  "&amp;INDEX(TAHSILAT!$H$7:$H$1506,$U366)&amp;IF(INDEX(TAHSILAT!$J$7:$J$1506,$U366)="",""," / "&amp;INDEX(TAHSILAT!$J$7:$J$1506,$U366)))</f>
        <v/>
      </c>
      <c r="P366" s="3">
        <f>IF($N366="","","TAHSİLAT")</f>
        <v/>
      </c>
      <c r="Q366" s="3">
        <f>IF($N366="","",INDEX(TAHSILAT!$G$7:$G$1506,$U366))</f>
        <v/>
      </c>
      <c r="R366" s="3" t="n">
        <v>0</v>
      </c>
      <c r="S366" s="3">
        <f>IF($N366="",0,INDEX(TAHSILAT!$F$7:$F$1506,$U366))</f>
        <v/>
      </c>
      <c r="T366" s="3">
        <f>IF($N366="",10000000000,$N366*100000+$M366)</f>
        <v/>
      </c>
      <c r="U366" s="3">
        <f>IFERROR(MATCH($AC$4&amp;"|114",TAHSILAT!$Q$7:$Q$1506,0),0)</f>
        <v/>
      </c>
      <c r="V366" s="3" t="n"/>
      <c r="W366" s="3" t="n"/>
      <c r="X366" s="3" t="n"/>
      <c r="Y366" s="3" t="n"/>
      <c r="Z366" s="3" t="n"/>
      <c r="AA366" s="3" t="n"/>
      <c r="AB366" s="3" t="n"/>
      <c r="AC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>
        <v>356</v>
      </c>
      <c r="N367" s="3">
        <f>IF($U367=0,"",INDEX(TAHSILAT!$E$7:$E$1506,$U367))</f>
        <v/>
      </c>
      <c r="O367" s="3">
        <f>IF($N367="","","Tahsilat  –  "&amp;INDEX(TAHSILAT!$H$7:$H$1506,$U367)&amp;IF(INDEX(TAHSILAT!$J$7:$J$1506,$U367)="",""," / "&amp;INDEX(TAHSILAT!$J$7:$J$1506,$U367)))</f>
        <v/>
      </c>
      <c r="P367" s="3">
        <f>IF($N367="","","TAHSİLAT")</f>
        <v/>
      </c>
      <c r="Q367" s="3">
        <f>IF($N367="","",INDEX(TAHSILAT!$G$7:$G$1506,$U367))</f>
        <v/>
      </c>
      <c r="R367" s="3" t="n">
        <v>0</v>
      </c>
      <c r="S367" s="3">
        <f>IF($N367="",0,INDEX(TAHSILAT!$F$7:$F$1506,$U367))</f>
        <v/>
      </c>
      <c r="T367" s="3">
        <f>IF($N367="",10000000000,$N367*100000+$M367)</f>
        <v/>
      </c>
      <c r="U367" s="3">
        <f>IFERROR(MATCH($AC$4&amp;"|115",TAHSILAT!$Q$7:$Q$1506,0),0)</f>
        <v/>
      </c>
      <c r="V367" s="3" t="n"/>
      <c r="W367" s="3" t="n"/>
      <c r="X367" s="3" t="n"/>
      <c r="Y367" s="3" t="n"/>
      <c r="Z367" s="3" t="n"/>
      <c r="AA367" s="3" t="n"/>
      <c r="AB367" s="3" t="n"/>
      <c r="AC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>
        <v>357</v>
      </c>
      <c r="N368" s="3">
        <f>IF($U368=0,"",INDEX(TAHSILAT!$E$7:$E$1506,$U368))</f>
        <v/>
      </c>
      <c r="O368" s="3">
        <f>IF($N368="","","Tahsilat  –  "&amp;INDEX(TAHSILAT!$H$7:$H$1506,$U368)&amp;IF(INDEX(TAHSILAT!$J$7:$J$1506,$U368)="",""," / "&amp;INDEX(TAHSILAT!$J$7:$J$1506,$U368)))</f>
        <v/>
      </c>
      <c r="P368" s="3">
        <f>IF($N368="","","TAHSİLAT")</f>
        <v/>
      </c>
      <c r="Q368" s="3">
        <f>IF($N368="","",INDEX(TAHSILAT!$G$7:$G$1506,$U368))</f>
        <v/>
      </c>
      <c r="R368" s="3" t="n">
        <v>0</v>
      </c>
      <c r="S368" s="3">
        <f>IF($N368="",0,INDEX(TAHSILAT!$F$7:$F$1506,$U368))</f>
        <v/>
      </c>
      <c r="T368" s="3">
        <f>IF($N368="",10000000000,$N368*100000+$M368)</f>
        <v/>
      </c>
      <c r="U368" s="3">
        <f>IFERROR(MATCH($AC$4&amp;"|116",TAHSILAT!$Q$7:$Q$1506,0),0)</f>
        <v/>
      </c>
      <c r="V368" s="3" t="n"/>
      <c r="W368" s="3" t="n"/>
      <c r="X368" s="3" t="n"/>
      <c r="Y368" s="3" t="n"/>
      <c r="Z368" s="3" t="n"/>
      <c r="AA368" s="3" t="n"/>
      <c r="AB368" s="3" t="n"/>
      <c r="AC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>
        <v>358</v>
      </c>
      <c r="N369" s="3">
        <f>IF($U369=0,"",INDEX(TAHSILAT!$E$7:$E$1506,$U369))</f>
        <v/>
      </c>
      <c r="O369" s="3">
        <f>IF($N369="","","Tahsilat  –  "&amp;INDEX(TAHSILAT!$H$7:$H$1506,$U369)&amp;IF(INDEX(TAHSILAT!$J$7:$J$1506,$U369)="",""," / "&amp;INDEX(TAHSILAT!$J$7:$J$1506,$U369)))</f>
        <v/>
      </c>
      <c r="P369" s="3">
        <f>IF($N369="","","TAHSİLAT")</f>
        <v/>
      </c>
      <c r="Q369" s="3">
        <f>IF($N369="","",INDEX(TAHSILAT!$G$7:$G$1506,$U369))</f>
        <v/>
      </c>
      <c r="R369" s="3" t="n">
        <v>0</v>
      </c>
      <c r="S369" s="3">
        <f>IF($N369="",0,INDEX(TAHSILAT!$F$7:$F$1506,$U369))</f>
        <v/>
      </c>
      <c r="T369" s="3">
        <f>IF($N369="",10000000000,$N369*100000+$M369)</f>
        <v/>
      </c>
      <c r="U369" s="3">
        <f>IFERROR(MATCH($AC$4&amp;"|117",TAHSILAT!$Q$7:$Q$1506,0),0)</f>
        <v/>
      </c>
      <c r="V369" s="3" t="n"/>
      <c r="W369" s="3" t="n"/>
      <c r="X369" s="3" t="n"/>
      <c r="Y369" s="3" t="n"/>
      <c r="Z369" s="3" t="n"/>
      <c r="AA369" s="3" t="n"/>
      <c r="AB369" s="3" t="n"/>
      <c r="AC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>
        <v>359</v>
      </c>
      <c r="N370" s="3">
        <f>IF($U370=0,"",INDEX(TAHSILAT!$E$7:$E$1506,$U370))</f>
        <v/>
      </c>
      <c r="O370" s="3">
        <f>IF($N370="","","Tahsilat  –  "&amp;INDEX(TAHSILAT!$H$7:$H$1506,$U370)&amp;IF(INDEX(TAHSILAT!$J$7:$J$1506,$U370)="",""," / "&amp;INDEX(TAHSILAT!$J$7:$J$1506,$U370)))</f>
        <v/>
      </c>
      <c r="P370" s="3">
        <f>IF($N370="","","TAHSİLAT")</f>
        <v/>
      </c>
      <c r="Q370" s="3">
        <f>IF($N370="","",INDEX(TAHSILAT!$G$7:$G$1506,$U370))</f>
        <v/>
      </c>
      <c r="R370" s="3" t="n">
        <v>0</v>
      </c>
      <c r="S370" s="3">
        <f>IF($N370="",0,INDEX(TAHSILAT!$F$7:$F$1506,$U370))</f>
        <v/>
      </c>
      <c r="T370" s="3">
        <f>IF($N370="",10000000000,$N370*100000+$M370)</f>
        <v/>
      </c>
      <c r="U370" s="3">
        <f>IFERROR(MATCH($AC$4&amp;"|118",TAHSILAT!$Q$7:$Q$1506,0),0)</f>
        <v/>
      </c>
      <c r="V370" s="3" t="n"/>
      <c r="W370" s="3" t="n"/>
      <c r="X370" s="3" t="n"/>
      <c r="Y370" s="3" t="n"/>
      <c r="Z370" s="3" t="n"/>
      <c r="AA370" s="3" t="n"/>
      <c r="AB370" s="3" t="n"/>
      <c r="AC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>
        <v>360</v>
      </c>
      <c r="N371" s="3">
        <f>IF($U371=0,"",INDEX(TAHSILAT!$E$7:$E$1506,$U371))</f>
        <v/>
      </c>
      <c r="O371" s="3">
        <f>IF($N371="","","Tahsilat  –  "&amp;INDEX(TAHSILAT!$H$7:$H$1506,$U371)&amp;IF(INDEX(TAHSILAT!$J$7:$J$1506,$U371)="",""," / "&amp;INDEX(TAHSILAT!$J$7:$J$1506,$U371)))</f>
        <v/>
      </c>
      <c r="P371" s="3">
        <f>IF($N371="","","TAHSİLAT")</f>
        <v/>
      </c>
      <c r="Q371" s="3">
        <f>IF($N371="","",INDEX(TAHSILAT!$G$7:$G$1506,$U371))</f>
        <v/>
      </c>
      <c r="R371" s="3" t="n">
        <v>0</v>
      </c>
      <c r="S371" s="3">
        <f>IF($N371="",0,INDEX(TAHSILAT!$F$7:$F$1506,$U371))</f>
        <v/>
      </c>
      <c r="T371" s="3">
        <f>IF($N371="",10000000000,$N371*100000+$M371)</f>
        <v/>
      </c>
      <c r="U371" s="3">
        <f>IFERROR(MATCH($AC$4&amp;"|119",TAHSILAT!$Q$7:$Q$1506,0),0)</f>
        <v/>
      </c>
      <c r="V371" s="3" t="n"/>
      <c r="W371" s="3" t="n"/>
      <c r="X371" s="3" t="n"/>
      <c r="Y371" s="3" t="n"/>
      <c r="Z371" s="3" t="n"/>
      <c r="AA371" s="3" t="n"/>
      <c r="AB371" s="3" t="n"/>
      <c r="AC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>
        <v>361</v>
      </c>
      <c r="N372" s="3">
        <f>IF($U372=0,"",INDEX(TAHSILAT!$E$7:$E$1506,$U372))</f>
        <v/>
      </c>
      <c r="O372" s="3">
        <f>IF($N372="","","Tahsilat  –  "&amp;INDEX(TAHSILAT!$H$7:$H$1506,$U372)&amp;IF(INDEX(TAHSILAT!$J$7:$J$1506,$U372)="",""," / "&amp;INDEX(TAHSILAT!$J$7:$J$1506,$U372)))</f>
        <v/>
      </c>
      <c r="P372" s="3">
        <f>IF($N372="","","TAHSİLAT")</f>
        <v/>
      </c>
      <c r="Q372" s="3">
        <f>IF($N372="","",INDEX(TAHSILAT!$G$7:$G$1506,$U372))</f>
        <v/>
      </c>
      <c r="R372" s="3" t="n">
        <v>0</v>
      </c>
      <c r="S372" s="3">
        <f>IF($N372="",0,INDEX(TAHSILAT!$F$7:$F$1506,$U372))</f>
        <v/>
      </c>
      <c r="T372" s="3">
        <f>IF($N372="",10000000000,$N372*100000+$M372)</f>
        <v/>
      </c>
      <c r="U372" s="3">
        <f>IFERROR(MATCH($AC$4&amp;"|120",TAHSILAT!$Q$7:$Q$1506,0),0)</f>
        <v/>
      </c>
      <c r="V372" s="3" t="n"/>
      <c r="W372" s="3" t="n"/>
      <c r="X372" s="3" t="n"/>
      <c r="Y372" s="3" t="n"/>
      <c r="Z372" s="3" t="n"/>
      <c r="AA372" s="3" t="n"/>
      <c r="AB372" s="3" t="n"/>
      <c r="AC372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21">
    <mergeCell ref="B6:E6"/>
    <mergeCell ref="B5:E5"/>
    <mergeCell ref="H4:I4"/>
    <mergeCell ref="H9:I9"/>
    <mergeCell ref="A2:I2"/>
    <mergeCell ref="G315:I315"/>
    <mergeCell ref="B8:C8"/>
    <mergeCell ref="F10:I10"/>
    <mergeCell ref="F6:I6"/>
    <mergeCell ref="F8:G8"/>
    <mergeCell ref="B315:D315"/>
    <mergeCell ref="B9:C9"/>
    <mergeCell ref="F5:I5"/>
    <mergeCell ref="D9:E9"/>
    <mergeCell ref="F9:G9"/>
    <mergeCell ref="D8:E8"/>
    <mergeCell ref="B313:I313"/>
    <mergeCell ref="A1:I1"/>
    <mergeCell ref="E4:G4"/>
    <mergeCell ref="H8:I8"/>
    <mergeCell ref="B10:E10"/>
  </mergeCells>
  <conditionalFormatting sqref="B12:I311">
    <cfRule type="expression" priority="1" dxfId="9" stopIfTrue="0">
      <formula>AND($C12&lt;&gt;"",MOD(ROW(),2)=0)</formula>
    </cfRule>
    <cfRule type="expression" priority="2" dxfId="10" stopIfTrue="0">
      <formula>$C12&lt;&gt;""</formula>
    </cfRule>
  </conditionalFormatting>
  <conditionalFormatting sqref="I12:I311">
    <cfRule type="expression" priority="3" dxfId="8" stopIfTrue="0">
      <formula>AND($C12&lt;&gt;"",$I12&gt;0)</formula>
    </cfRule>
  </conditionalFormatting>
  <conditionalFormatting sqref="E12:E311">
    <cfRule type="expression" priority="4" dxfId="7" stopIfTrue="1">
      <formula>EXACT($E12,"TAHAKKUK")</formula>
    </cfRule>
    <cfRule type="expression" priority="5" dxfId="3" stopIfTrue="1">
      <formula>EXACT($E12,"TAHSİLAT")</formula>
    </cfRule>
    <cfRule type="expression" priority="6" dxfId="4" stopIfTrue="1">
      <formula>EXACT($E12,"DEVİR")</formula>
    </cfRule>
  </conditionalFormatting>
  <dataValidations count="1">
    <dataValidation sqref="E4" showDropDown="0" showInputMessage="0" showErrorMessage="0" allowBlank="1" type="list">
      <formula1>LST_MUSTERI_ADI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&amp;L&amp;8 KILIÇ MUHASEBE │ Cari Hesap Ekstresi&amp;R&amp;8 Sayfa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5803D"/>
    <outlinePr summaryBelow="1" summaryRight="1"/>
    <pageSetUpPr fitToPage="1"/>
  </sheetPr>
  <dimension ref="A1:M20"/>
  <sheetViews>
    <sheetView showGridLines="0" tabSelected="0" zoomScale="10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24" customWidth="1" min="2" max="2"/>
    <col width="12" customWidth="1" min="3" max="3"/>
    <col width="12" customWidth="1" min="4" max="4"/>
    <col width="16" customWidth="1" min="5" max="5"/>
    <col width="17" customWidth="1" min="6" max="6"/>
    <col width="15" customWidth="1" min="7" max="7"/>
    <col width="15" customWidth="1" min="8" max="8"/>
    <col width="15" customWidth="1" min="9" max="9"/>
    <col width="15" customWidth="1" min="10" max="10"/>
    <col width="18" customWidth="1" min="11" max="11"/>
    <col width="2.4" customWidth="1" min="12" max="12"/>
    <col width="2.4" customWidth="1" min="13" max="13"/>
  </cols>
  <sheetData>
    <row r="1" ht="38" customHeight="1">
      <c r="A1" s="258" t="inlineStr">
        <is>
          <t>KILIÇ MUHASEBE   │   KASA VE BANKA HESAPLARI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45" t="n"/>
    </row>
    <row r="2" ht="22" customHeight="1">
      <c r="A2" s="4" t="inlineStr">
        <is>
          <t>Hesap tanımı ve güncel bakiye aynı ekranda │ Bakiyeler işlem kayıtlarından hesaplanır</t>
        </is>
      </c>
      <c r="M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ht="20" customHeight="1">
      <c r="A4" s="6" t="n"/>
      <c r="B4" s="47">
        <f>HYPERLINK("#PANO!A1","←  PANO")</f>
        <v/>
      </c>
      <c r="C4" s="6" t="n"/>
      <c r="D4" s="99">
        <f>HYPERLINK("#TAHSILAT!A1","Tahsilat")</f>
        <v/>
      </c>
      <c r="E4" s="6" t="n"/>
      <c r="F4" s="99">
        <f>HYPERLINK("#VIRMAN!A1","Virman")</f>
        <v/>
      </c>
      <c r="G4" s="6" t="n"/>
      <c r="H4" s="100" t="inlineStr">
        <is>
          <t>Sarı hücreler veri girişidir. Beyaz hücreler sistem tarafından hesaplanır ve kilitlidir. Yeni hesap eklemek için ilk boş satıra hesap adını yazın.</t>
        </is>
      </c>
      <c r="I4" s="6" t="n"/>
      <c r="J4" s="6" t="n"/>
      <c r="K4" s="6" t="n"/>
      <c r="L4" s="6" t="n"/>
      <c r="M4" s="6" t="n"/>
    </row>
    <row r="5" ht="20" customHeight="1">
      <c r="A5" s="6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6" t="n"/>
      <c r="M5" s="6" t="n"/>
    </row>
    <row r="6" ht="40" customHeight="1">
      <c r="A6" s="6" t="n"/>
      <c r="B6" s="106" t="inlineStr">
        <is>
          <t>Hesap Adı</t>
        </is>
      </c>
      <c r="C6" s="105" t="inlineStr">
        <is>
          <t>Tür</t>
        </is>
      </c>
      <c r="D6" s="105" t="inlineStr">
        <is>
          <t>Durum</t>
        </is>
      </c>
      <c r="E6" s="107" t="inlineStr">
        <is>
          <t>Açılış Bakiyesi</t>
        </is>
      </c>
      <c r="F6" s="107" t="inlineStr">
        <is>
          <t>Müşteri Tahsilatı</t>
        </is>
      </c>
      <c r="G6" s="107" t="inlineStr">
        <is>
          <t>Diğer Gelir</t>
        </is>
      </c>
      <c r="H6" s="107" t="inlineStr">
        <is>
          <t>Ödenen Gider</t>
        </is>
      </c>
      <c r="I6" s="107" t="inlineStr">
        <is>
          <t>Gelen Virman</t>
        </is>
      </c>
      <c r="J6" s="107" t="inlineStr">
        <is>
          <t>Giden Virman</t>
        </is>
      </c>
      <c r="K6" s="107" t="inlineStr">
        <is>
          <t>Güncel Bakiye</t>
        </is>
      </c>
      <c r="L6" s="6" t="n"/>
      <c r="M6" s="6" t="n"/>
    </row>
    <row r="7">
      <c r="A7" s="6" t="n"/>
      <c r="B7" s="109" t="inlineStr">
        <is>
          <t>MERKEZ KASA</t>
        </is>
      </c>
      <c r="C7" s="108" t="inlineStr">
        <is>
          <t>Kasa</t>
        </is>
      </c>
      <c r="D7" s="108" t="inlineStr">
        <is>
          <t>Aktif</t>
        </is>
      </c>
      <c r="E7" s="226" t="n">
        <v>0</v>
      </c>
      <c r="F7" s="227">
        <f>IF($B7="","",SUMIFS(TAHSILAT!$F$7:$F$1506,TAHSILAT!$G$7:$G$1506,$B7))</f>
        <v/>
      </c>
      <c r="G7" s="227">
        <f>IF($B7="","",SUMIFS(GELIR_GIDER!$G$7:$G$1206,GELIR_GIDER!$D$7:$D$1206,"Gelir",GELIR_GIDER!$H$7:$H$1206,$B7,GELIR_GIDER!$I$7:$I$1206,"Evet"))</f>
        <v/>
      </c>
      <c r="H7" s="227">
        <f>IF($B7="","",SUMIFS(GELIR_GIDER!$G$7:$G$1206,GELIR_GIDER!$D$7:$D$1206,"Gider",GELIR_GIDER!$H$7:$H$1206,$B7,GELIR_GIDER!$I$7:$I$1206,"Evet"))</f>
        <v/>
      </c>
      <c r="I7" s="227">
        <f>IF($B7="","",SUMIFS(VIRMAN!$F$7:$F$406,VIRMAN!$E$7:$E$406,$B7))</f>
        <v/>
      </c>
      <c r="J7" s="227">
        <f>IF($B7="","",SUMIFS(VIRMAN!$F$7:$F$406,VIRMAN!$D$7:$D$406,$B7))</f>
        <v/>
      </c>
      <c r="K7" s="227">
        <f>IF($B7="","",$E7+$F7+$G7-$H7+$I7-$J7)</f>
        <v/>
      </c>
      <c r="L7" s="6" t="n"/>
      <c r="M7" s="6" t="n"/>
    </row>
    <row r="8">
      <c r="A8" s="6" t="n"/>
      <c r="B8" s="109" t="inlineStr">
        <is>
          <t>ALİ KILIÇ</t>
        </is>
      </c>
      <c r="C8" s="108" t="inlineStr">
        <is>
          <t>Kasa</t>
        </is>
      </c>
      <c r="D8" s="108" t="inlineStr">
        <is>
          <t>Aktif</t>
        </is>
      </c>
      <c r="E8" s="226" t="n">
        <v>0</v>
      </c>
      <c r="F8" s="227">
        <f>IF($B8="","",SUMIFS(TAHSILAT!$F$7:$F$1506,TAHSILAT!$G$7:$G$1506,$B8))</f>
        <v/>
      </c>
      <c r="G8" s="227">
        <f>IF($B8="","",SUMIFS(GELIR_GIDER!$G$7:$G$1206,GELIR_GIDER!$D$7:$D$1206,"Gelir",GELIR_GIDER!$H$7:$H$1206,$B8,GELIR_GIDER!$I$7:$I$1206,"Evet"))</f>
        <v/>
      </c>
      <c r="H8" s="227">
        <f>IF($B8="","",SUMIFS(GELIR_GIDER!$G$7:$G$1206,GELIR_GIDER!$D$7:$D$1206,"Gider",GELIR_GIDER!$H$7:$H$1206,$B8,GELIR_GIDER!$I$7:$I$1206,"Evet"))</f>
        <v/>
      </c>
      <c r="I8" s="227">
        <f>IF($B8="","",SUMIFS(VIRMAN!$F$7:$F$406,VIRMAN!$E$7:$E$406,$B8))</f>
        <v/>
      </c>
      <c r="J8" s="227">
        <f>IF($B8="","",SUMIFS(VIRMAN!$F$7:$F$406,VIRMAN!$D$7:$D$406,$B8))</f>
        <v/>
      </c>
      <c r="K8" s="227">
        <f>IF($B8="","",$E8+$F8+$G8-$H8+$I8-$J8)</f>
        <v/>
      </c>
      <c r="L8" s="6" t="n"/>
      <c r="M8" s="6" t="n"/>
    </row>
    <row r="9">
      <c r="A9" s="6" t="n"/>
      <c r="B9" s="109" t="inlineStr">
        <is>
          <t>ÖMER KARTAL</t>
        </is>
      </c>
      <c r="C9" s="108" t="inlineStr">
        <is>
          <t>Kasa</t>
        </is>
      </c>
      <c r="D9" s="108" t="inlineStr">
        <is>
          <t>Aktif</t>
        </is>
      </c>
      <c r="E9" s="226" t="n">
        <v>0</v>
      </c>
      <c r="F9" s="227">
        <f>IF($B9="","",SUMIFS(TAHSILAT!$F$7:$F$1506,TAHSILAT!$G$7:$G$1506,$B9))</f>
        <v/>
      </c>
      <c r="G9" s="227">
        <f>IF($B9="","",SUMIFS(GELIR_GIDER!$G$7:$G$1206,GELIR_GIDER!$D$7:$D$1206,"Gelir",GELIR_GIDER!$H$7:$H$1206,$B9,GELIR_GIDER!$I$7:$I$1206,"Evet"))</f>
        <v/>
      </c>
      <c r="H9" s="227">
        <f>IF($B9="","",SUMIFS(GELIR_GIDER!$G$7:$G$1206,GELIR_GIDER!$D$7:$D$1206,"Gider",GELIR_GIDER!$H$7:$H$1206,$B9,GELIR_GIDER!$I$7:$I$1206,"Evet"))</f>
        <v/>
      </c>
      <c r="I9" s="227">
        <f>IF($B9="","",SUMIFS(VIRMAN!$F$7:$F$406,VIRMAN!$E$7:$E$406,$B9))</f>
        <v/>
      </c>
      <c r="J9" s="227">
        <f>IF($B9="","",SUMIFS(VIRMAN!$F$7:$F$406,VIRMAN!$D$7:$D$406,$B9))</f>
        <v/>
      </c>
      <c r="K9" s="227">
        <f>IF($B9="","",$E9+$F9+$G9-$H9+$I9-$J9)</f>
        <v/>
      </c>
      <c r="L9" s="6" t="n"/>
      <c r="M9" s="6" t="n"/>
    </row>
    <row r="10">
      <c r="A10" s="6" t="n"/>
      <c r="B10" s="109" t="inlineStr">
        <is>
          <t>Banka Ortak 1</t>
        </is>
      </c>
      <c r="C10" s="108" t="inlineStr">
        <is>
          <t>Banka</t>
        </is>
      </c>
      <c r="D10" s="108" t="inlineStr">
        <is>
          <t>Aktif</t>
        </is>
      </c>
      <c r="E10" s="226" t="n">
        <v>0</v>
      </c>
      <c r="F10" s="227">
        <f>IF($B10="","",SUMIFS(TAHSILAT!$F$7:$F$1506,TAHSILAT!$G$7:$G$1506,$B10))</f>
        <v/>
      </c>
      <c r="G10" s="227">
        <f>IF($B10="","",SUMIFS(GELIR_GIDER!$G$7:$G$1206,GELIR_GIDER!$D$7:$D$1206,"Gelir",GELIR_GIDER!$H$7:$H$1206,$B10,GELIR_GIDER!$I$7:$I$1206,"Evet"))</f>
        <v/>
      </c>
      <c r="H10" s="227">
        <f>IF($B10="","",SUMIFS(GELIR_GIDER!$G$7:$G$1206,GELIR_GIDER!$D$7:$D$1206,"Gider",GELIR_GIDER!$H$7:$H$1206,$B10,GELIR_GIDER!$I$7:$I$1206,"Evet"))</f>
        <v/>
      </c>
      <c r="I10" s="227">
        <f>IF($B10="","",SUMIFS(VIRMAN!$F$7:$F$406,VIRMAN!$E$7:$E$406,$B10))</f>
        <v/>
      </c>
      <c r="J10" s="227">
        <f>IF($B10="","",SUMIFS(VIRMAN!$F$7:$F$406,VIRMAN!$D$7:$D$406,$B10))</f>
        <v/>
      </c>
      <c r="K10" s="227">
        <f>IF($B10="","",$E10+$F10+$G10-$H10+$I10-$J10)</f>
        <v/>
      </c>
      <c r="L10" s="6" t="n"/>
      <c r="M10" s="6" t="n"/>
    </row>
    <row r="11">
      <c r="A11" s="6" t="n"/>
      <c r="B11" s="109" t="inlineStr">
        <is>
          <t>Banka Ortak 2</t>
        </is>
      </c>
      <c r="C11" s="108" t="inlineStr">
        <is>
          <t>Banka</t>
        </is>
      </c>
      <c r="D11" s="108" t="inlineStr">
        <is>
          <t>Aktif</t>
        </is>
      </c>
      <c r="E11" s="226" t="n">
        <v>0</v>
      </c>
      <c r="F11" s="227">
        <f>IF($B11="","",SUMIFS(TAHSILAT!$F$7:$F$1506,TAHSILAT!$G$7:$G$1506,$B11))</f>
        <v/>
      </c>
      <c r="G11" s="227">
        <f>IF($B11="","",SUMIFS(GELIR_GIDER!$G$7:$G$1206,GELIR_GIDER!$D$7:$D$1206,"Gelir",GELIR_GIDER!$H$7:$H$1206,$B11,GELIR_GIDER!$I$7:$I$1206,"Evet"))</f>
        <v/>
      </c>
      <c r="H11" s="227">
        <f>IF($B11="","",SUMIFS(GELIR_GIDER!$G$7:$G$1206,GELIR_GIDER!$D$7:$D$1206,"Gider",GELIR_GIDER!$H$7:$H$1206,$B11,GELIR_GIDER!$I$7:$I$1206,"Evet"))</f>
        <v/>
      </c>
      <c r="I11" s="227">
        <f>IF($B11="","",SUMIFS(VIRMAN!$F$7:$F$406,VIRMAN!$E$7:$E$406,$B11))</f>
        <v/>
      </c>
      <c r="J11" s="227">
        <f>IF($B11="","",SUMIFS(VIRMAN!$F$7:$F$406,VIRMAN!$D$7:$D$406,$B11))</f>
        <v/>
      </c>
      <c r="K11" s="227">
        <f>IF($B11="","",$E11+$F11+$G11-$H11+$I11-$J11)</f>
        <v/>
      </c>
      <c r="L11" s="6" t="n"/>
      <c r="M11" s="6" t="n"/>
    </row>
    <row r="12">
      <c r="A12" s="6" t="n"/>
      <c r="B12" s="109" t="n"/>
      <c r="C12" s="108" t="n"/>
      <c r="D12" s="108" t="n"/>
      <c r="E12" s="226" t="n"/>
      <c r="F12" s="227">
        <f>IF($B12="","",SUMIFS(TAHSILAT!$F$7:$F$1506,TAHSILAT!$G$7:$G$1506,$B12))</f>
        <v/>
      </c>
      <c r="G12" s="227">
        <f>IF($B12="","",SUMIFS(GELIR_GIDER!$G$7:$G$1206,GELIR_GIDER!$D$7:$D$1206,"Gelir",GELIR_GIDER!$H$7:$H$1206,$B12,GELIR_GIDER!$I$7:$I$1206,"Evet"))</f>
        <v/>
      </c>
      <c r="H12" s="227">
        <f>IF($B12="","",SUMIFS(GELIR_GIDER!$G$7:$G$1206,GELIR_GIDER!$D$7:$D$1206,"Gider",GELIR_GIDER!$H$7:$H$1206,$B12,GELIR_GIDER!$I$7:$I$1206,"Evet"))</f>
        <v/>
      </c>
      <c r="I12" s="227">
        <f>IF($B12="","",SUMIFS(VIRMAN!$F$7:$F$406,VIRMAN!$E$7:$E$406,$B12))</f>
        <v/>
      </c>
      <c r="J12" s="227">
        <f>IF($B12="","",SUMIFS(VIRMAN!$F$7:$F$406,VIRMAN!$D$7:$D$406,$B12))</f>
        <v/>
      </c>
      <c r="K12" s="227">
        <f>IF($B12="","",$E12+$F12+$G12-$H12+$I12-$J12)</f>
        <v/>
      </c>
      <c r="L12" s="6" t="n"/>
      <c r="M12" s="6" t="n"/>
    </row>
    <row r="13">
      <c r="A13" s="6" t="n"/>
      <c r="B13" s="109" t="n"/>
      <c r="C13" s="108" t="n"/>
      <c r="D13" s="108" t="n"/>
      <c r="E13" s="226" t="n"/>
      <c r="F13" s="227">
        <f>IF($B13="","",SUMIFS(TAHSILAT!$F$7:$F$1506,TAHSILAT!$G$7:$G$1506,$B13))</f>
        <v/>
      </c>
      <c r="G13" s="227">
        <f>IF($B13="","",SUMIFS(GELIR_GIDER!$G$7:$G$1206,GELIR_GIDER!$D$7:$D$1206,"Gelir",GELIR_GIDER!$H$7:$H$1206,$B13,GELIR_GIDER!$I$7:$I$1206,"Evet"))</f>
        <v/>
      </c>
      <c r="H13" s="227">
        <f>IF($B13="","",SUMIFS(GELIR_GIDER!$G$7:$G$1206,GELIR_GIDER!$D$7:$D$1206,"Gider",GELIR_GIDER!$H$7:$H$1206,$B13,GELIR_GIDER!$I$7:$I$1206,"Evet"))</f>
        <v/>
      </c>
      <c r="I13" s="227">
        <f>IF($B13="","",SUMIFS(VIRMAN!$F$7:$F$406,VIRMAN!$E$7:$E$406,$B13))</f>
        <v/>
      </c>
      <c r="J13" s="227">
        <f>IF($B13="","",SUMIFS(VIRMAN!$F$7:$F$406,VIRMAN!$D$7:$D$406,$B13))</f>
        <v/>
      </c>
      <c r="K13" s="227">
        <f>IF($B13="","",$E13+$F13+$G13-$H13+$I13-$J13)</f>
        <v/>
      </c>
      <c r="L13" s="6" t="n"/>
      <c r="M13" s="6" t="n"/>
    </row>
    <row r="14">
      <c r="A14" s="6" t="n"/>
      <c r="B14" s="109" t="n"/>
      <c r="C14" s="108" t="n"/>
      <c r="D14" s="108" t="n"/>
      <c r="E14" s="226" t="n"/>
      <c r="F14" s="227">
        <f>IF($B14="","",SUMIFS(TAHSILAT!$F$7:$F$1506,TAHSILAT!$G$7:$G$1506,$B14))</f>
        <v/>
      </c>
      <c r="G14" s="227">
        <f>IF($B14="","",SUMIFS(GELIR_GIDER!$G$7:$G$1206,GELIR_GIDER!$D$7:$D$1206,"Gelir",GELIR_GIDER!$H$7:$H$1206,$B14,GELIR_GIDER!$I$7:$I$1206,"Evet"))</f>
        <v/>
      </c>
      <c r="H14" s="227">
        <f>IF($B14="","",SUMIFS(GELIR_GIDER!$G$7:$G$1206,GELIR_GIDER!$D$7:$D$1206,"Gider",GELIR_GIDER!$H$7:$H$1206,$B14,GELIR_GIDER!$I$7:$I$1206,"Evet"))</f>
        <v/>
      </c>
      <c r="I14" s="227">
        <f>IF($B14="","",SUMIFS(VIRMAN!$F$7:$F$406,VIRMAN!$E$7:$E$406,$B14))</f>
        <v/>
      </c>
      <c r="J14" s="227">
        <f>IF($B14="","",SUMIFS(VIRMAN!$F$7:$F$406,VIRMAN!$D$7:$D$406,$B14))</f>
        <v/>
      </c>
      <c r="K14" s="227">
        <f>IF($B14="","",$E14+$F14+$G14-$H14+$I14-$J14)</f>
        <v/>
      </c>
      <c r="L14" s="6" t="n"/>
      <c r="M14" s="6" t="n"/>
    </row>
    <row r="15">
      <c r="A15" s="6" t="n"/>
      <c r="B15" s="109" t="n"/>
      <c r="C15" s="108" t="n"/>
      <c r="D15" s="108" t="n"/>
      <c r="E15" s="226" t="n"/>
      <c r="F15" s="227">
        <f>IF($B15="","",SUMIFS(TAHSILAT!$F$7:$F$1506,TAHSILAT!$G$7:$G$1506,$B15))</f>
        <v/>
      </c>
      <c r="G15" s="227">
        <f>IF($B15="","",SUMIFS(GELIR_GIDER!$G$7:$G$1206,GELIR_GIDER!$D$7:$D$1206,"Gelir",GELIR_GIDER!$H$7:$H$1206,$B15,GELIR_GIDER!$I$7:$I$1206,"Evet"))</f>
        <v/>
      </c>
      <c r="H15" s="227">
        <f>IF($B15="","",SUMIFS(GELIR_GIDER!$G$7:$G$1206,GELIR_GIDER!$D$7:$D$1206,"Gider",GELIR_GIDER!$H$7:$H$1206,$B15,GELIR_GIDER!$I$7:$I$1206,"Evet"))</f>
        <v/>
      </c>
      <c r="I15" s="227">
        <f>IF($B15="","",SUMIFS(VIRMAN!$F$7:$F$406,VIRMAN!$E$7:$E$406,$B15))</f>
        <v/>
      </c>
      <c r="J15" s="227">
        <f>IF($B15="","",SUMIFS(VIRMAN!$F$7:$F$406,VIRMAN!$D$7:$D$406,$B15))</f>
        <v/>
      </c>
      <c r="K15" s="227">
        <f>IF($B15="","",$E15+$F15+$G15-$H15+$I15-$J15)</f>
        <v/>
      </c>
      <c r="L15" s="6" t="n"/>
      <c r="M15" s="6" t="n"/>
    </row>
    <row r="16">
      <c r="A16" s="6" t="n"/>
      <c r="B16" s="109" t="n"/>
      <c r="C16" s="108" t="n"/>
      <c r="D16" s="108" t="n"/>
      <c r="E16" s="226" t="n"/>
      <c r="F16" s="227">
        <f>IF($B16="","",SUMIFS(TAHSILAT!$F$7:$F$1506,TAHSILAT!$G$7:$G$1506,$B16))</f>
        <v/>
      </c>
      <c r="G16" s="227">
        <f>IF($B16="","",SUMIFS(GELIR_GIDER!$G$7:$G$1206,GELIR_GIDER!$D$7:$D$1206,"Gelir",GELIR_GIDER!$H$7:$H$1206,$B16,GELIR_GIDER!$I$7:$I$1206,"Evet"))</f>
        <v/>
      </c>
      <c r="H16" s="227">
        <f>IF($B16="","",SUMIFS(GELIR_GIDER!$G$7:$G$1206,GELIR_GIDER!$D$7:$D$1206,"Gider",GELIR_GIDER!$H$7:$H$1206,$B16,GELIR_GIDER!$I$7:$I$1206,"Evet"))</f>
        <v/>
      </c>
      <c r="I16" s="227">
        <f>IF($B16="","",SUMIFS(VIRMAN!$F$7:$F$406,VIRMAN!$E$7:$E$406,$B16))</f>
        <v/>
      </c>
      <c r="J16" s="227">
        <f>IF($B16="","",SUMIFS(VIRMAN!$F$7:$F$406,VIRMAN!$D$7:$D$406,$B16))</f>
        <v/>
      </c>
      <c r="K16" s="227">
        <f>IF($B16="","",$E16+$F16+$G16-$H16+$I16-$J16)</f>
        <v/>
      </c>
      <c r="L16" s="6" t="n"/>
      <c r="M16" s="6" t="n"/>
    </row>
    <row r="17">
      <c r="A17" s="6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6" t="n"/>
      <c r="M17" s="6" t="n"/>
    </row>
    <row r="18" ht="28" customHeight="1">
      <c r="A18" s="6" t="n"/>
      <c r="B18" s="102" t="inlineStr">
        <is>
          <t>TOPLAM NAKİT POZİSYONU</t>
        </is>
      </c>
      <c r="C18" s="101" t="n"/>
      <c r="D18" s="101" t="n"/>
      <c r="E18" s="101" t="n"/>
      <c r="F18" s="101" t="n"/>
      <c r="G18" s="101" t="n"/>
      <c r="H18" s="101" t="n"/>
      <c r="I18" s="101" t="n"/>
      <c r="J18" s="101" t="n"/>
      <c r="K18" s="251">
        <f>SUM($K$7:$K$16)</f>
        <v/>
      </c>
      <c r="L18" s="6" t="n"/>
      <c r="M18" s="6" t="n"/>
    </row>
    <row r="19">
      <c r="A19" s="6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6" t="n"/>
      <c r="M19" s="6" t="n"/>
    </row>
    <row r="20">
      <c r="A20" s="6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6" t="n"/>
      <c r="M20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2">
    <mergeCell ref="A2:L2"/>
    <mergeCell ref="A1:L1"/>
  </mergeCells>
  <conditionalFormatting sqref="K7:K16">
    <cfRule type="cellIs" priority="1" operator="lessThan" dxfId="11">
      <formula>0</formula>
    </cfRule>
  </conditionalFormatting>
  <dataValidations count="2">
    <dataValidation sqref="C7:C16" showDropDown="0" showInputMessage="0" showErrorMessage="1" allowBlank="1" errorTitle="Geçersiz tür" error="Kasa veya Banka seçin." promptTitle="Geçersiz tür" prompt="Kasa veya Banka seçin." type="list">
      <formula1>"Kasa,Banka"</formula1>
    </dataValidation>
    <dataValidation sqref="D7:D16" showDropDown="0" showInputMessage="0" showErrorMessage="1" allowBlank="1" errorTitle="Geçersiz durum" error="Aktif veya Pasif seçin." promptTitle="Geçersiz durum" prompt="Aktif veya Pasif seçin." type="list">
      <formula1>"Aktif,Pasif"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7E22CE"/>
    <outlinePr summaryBelow="1" summaryRight="1"/>
    <pageSetUpPr fitToPage="1"/>
  </sheetPr>
  <dimension ref="A1:V44"/>
  <sheetViews>
    <sheetView showGridLines="0" tabSelected="0" zoomScale="10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5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3" customWidth="1" min="10" max="10"/>
    <col width="14" customWidth="1" min="11" max="11"/>
    <col width="16" customWidth="1" min="12" max="12"/>
    <col width="15" customWidth="1" min="13" max="13"/>
    <col width="15" customWidth="1" min="14" max="14"/>
    <col width="12" customWidth="1" min="15" max="15"/>
    <col width="15" customWidth="1" min="16" max="16"/>
    <col width="15" customWidth="1" min="17" max="17"/>
    <col width="15" customWidth="1" min="18" max="18"/>
    <col width="17" customWidth="1" min="19" max="19"/>
    <col width="14" customWidth="1" min="20" max="20"/>
    <col width="2.4" customWidth="1" min="21" max="21"/>
    <col width="2.4" customWidth="1" min="22" max="22"/>
  </cols>
  <sheetData>
    <row r="1" ht="38" customHeight="1">
      <c r="A1" s="258" t="inlineStr">
        <is>
          <t>KILIÇ MUHASEBE   │   AY SONU KAPANIŞI VE ORTAK PAY DAĞITIMI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4" t="n"/>
      <c r="S1" s="174" t="n"/>
      <c r="T1" s="174" t="n"/>
      <c r="U1" s="45" t="n"/>
      <c r="V1" s="45" t="n"/>
    </row>
    <row r="2" ht="22" customHeight="1">
      <c r="A2" s="4" t="inlineStr">
        <is>
          <t>Tahakkuk kârı ile nakit kâr ayrı hesaplanır │ Dağıtım yalnız nakit kârdan yapılır</t>
        </is>
      </c>
      <c r="U2" s="46" t="n"/>
      <c r="V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</row>
    <row r="4" ht="20" customHeight="1">
      <c r="A4" s="6" t="n"/>
      <c r="B4" s="47">
        <f>HYPERLINK("#PANO!A1","←  PANO")</f>
        <v/>
      </c>
      <c r="C4" s="6" t="n"/>
      <c r="D4" s="99">
        <f>HYPERLINK("#SISTEM!A1","Sistem")</f>
        <v/>
      </c>
      <c r="E4" s="6" t="n"/>
      <c r="F4" s="99">
        <f>HYPERLINK("#HESAPLAR!A1","Hesaplar")</f>
        <v/>
      </c>
      <c r="G4" s="6" t="n"/>
      <c r="H4" s="100" t="inlineStr">
        <is>
          <t>Sarı hücreler veri girişidir. Beyaz hücreler sistem tarafından hesaplanır ve kilitlidir. Yalnız sarı sütunlar (dağıtım bilgisi) elle girilir.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</row>
    <row r="5" ht="26" customHeight="1">
      <c r="A5" s="6" t="n"/>
      <c r="B5" s="102" t="inlineStr">
        <is>
          <t>36 AYLIK TOPLAM</t>
        </is>
      </c>
      <c r="C5" s="221">
        <f>SUM(C7:C42)</f>
        <v/>
      </c>
      <c r="D5" s="221">
        <f>SUM(D7:D42)</f>
        <v/>
      </c>
      <c r="E5" s="221">
        <f>SUM(E7:E42)</f>
        <v/>
      </c>
      <c r="F5" s="221">
        <f>SUM(F7:F42)</f>
        <v/>
      </c>
      <c r="G5" s="221">
        <f>SUM(G7:G42)</f>
        <v/>
      </c>
      <c r="H5" s="221">
        <f>SUM(H7:H42)</f>
        <v/>
      </c>
      <c r="I5" s="221">
        <f>SUM(I7:I42)</f>
        <v/>
      </c>
      <c r="J5" s="101" t="n"/>
      <c r="K5" s="101" t="n"/>
      <c r="L5" s="221">
        <f>SUM(L7:L42)</f>
        <v/>
      </c>
      <c r="M5" s="221">
        <f>SUM(M7:M42)</f>
        <v/>
      </c>
      <c r="N5" s="221">
        <f>SUM(N7:N42)</f>
        <v/>
      </c>
      <c r="O5" s="101" t="n"/>
      <c r="P5" s="101" t="n"/>
      <c r="Q5" s="101" t="n"/>
      <c r="R5" s="101" t="n"/>
      <c r="S5" s="101" t="n"/>
      <c r="T5" s="101" t="n"/>
      <c r="U5" s="6" t="n"/>
      <c r="V5" s="6" t="n"/>
    </row>
    <row r="6" ht="40" customHeight="1">
      <c r="A6" s="6" t="n"/>
      <c r="B6" s="105" t="inlineStr">
        <is>
          <t>Ay</t>
        </is>
      </c>
      <c r="C6" s="107" t="inlineStr">
        <is>
          <t>Tahakkuk Geliri</t>
        </is>
      </c>
      <c r="D6" s="107" t="inlineStr">
        <is>
          <t>Müşteri Tahsilatı</t>
        </is>
      </c>
      <c r="E6" s="107" t="inlineStr">
        <is>
          <t>Diğer Gelir</t>
        </is>
      </c>
      <c r="F6" s="107" t="inlineStr">
        <is>
          <t>Toplam Nakit Giriş</t>
        </is>
      </c>
      <c r="G6" s="107" t="inlineStr">
        <is>
          <t>Gerçekleşmiş Gider</t>
        </is>
      </c>
      <c r="H6" s="107" t="inlineStr">
        <is>
          <t>Tahakkuk Sonucu</t>
        </is>
      </c>
      <c r="I6" s="107" t="inlineStr">
        <is>
          <t>Nakit Kâr</t>
        </is>
      </c>
      <c r="J6" s="105" t="inlineStr">
        <is>
          <t>Tahsilat Oranı</t>
        </is>
      </c>
      <c r="K6" s="107" t="inlineStr">
        <is>
          <t>Kasa Tamponu</t>
        </is>
      </c>
      <c r="L6" s="107" t="inlineStr">
        <is>
          <t>Dağıtılabilir Kâr</t>
        </is>
      </c>
      <c r="M6" s="107" t="inlineStr">
        <is>
          <t>Ortak 1 Payı</t>
        </is>
      </c>
      <c r="N6" s="107" t="inlineStr">
        <is>
          <t>Ortak 2 Payı</t>
        </is>
      </c>
      <c r="O6" s="105" t="inlineStr">
        <is>
          <t>Dağıtıldı mı?</t>
        </is>
      </c>
      <c r="P6" s="107" t="inlineStr">
        <is>
          <t>Ortak 1 Ödeme</t>
        </is>
      </c>
      <c r="Q6" s="107" t="inlineStr">
        <is>
          <t>Ortak 2 Ödeme</t>
        </is>
      </c>
      <c r="R6" s="107" t="inlineStr">
        <is>
          <t>Kalan</t>
        </is>
      </c>
      <c r="S6" s="105" t="inlineStr">
        <is>
          <t>Dönem Durumu</t>
        </is>
      </c>
      <c r="T6" s="105" t="inlineStr">
        <is>
          <t>Kontrol</t>
        </is>
      </c>
      <c r="U6" s="6" t="n"/>
      <c r="V6" s="6" t="n"/>
    </row>
    <row r="7">
      <c r="A7" s="6" t="n"/>
      <c r="B7" s="231" t="n">
        <v>46023</v>
      </c>
      <c r="C7" s="252">
        <f>SUMPRODUCT(IF(UCRETLER!$G$7:$G$406="",0,UCRETLER!$G$7:$G$406)*(UCRETLER!$F$7:$F$406="Haftalık")*IF(UCRETLER!$C$7:$C$406="",0,IF(IF(IF(UCRETLER!$E$7:$E$406="",999999,UCRETLER!$E$7:$E$406)&gt;EOMONTH($B7,0),EOMONTH($B7,0)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7,0),EOMONTH($B7,0),IF(UCRETLER!$E$7:$E$406="",999999,UCRETLER!$E$7:$E$406))-(IF(UCRETLER!$D$7:$D$406="",999999,UCRETLER!$D$7:$D$406)+MOD(SISTEM!$F$8-WEEKDAY(IF(UCRETLER!$D$7:$D$406="",999999,UCRETLER!$D$7:$D$406),2),7)))/7)+1)-IF(IF(IF(UCRETLER!$E$7:$E$406="",999999,UCRETLER!$E$7:$E$406)&gt;$B7-1,$B7-1,IF(UCRETLER!$E$7:$E$406="",999999,UCRETLER!$E$7:$E$406))&lt;(IF(UCRETLER!$D$7:$D$406="",999999,UCRETLER!$D$7:$D$406)+MOD(SISTEM!$F$8-WEEKDAY(IF(UCRETLER!$D$7:$D$406="",999999,UCRETLER!$D$7:$D$406),2),7)),0,INT((IF(IF(UCRETLER!$E$7:$E$406="",999999,UCRETLER!$E$7:$E$406)&gt;$B7-1,$B7-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7,0)&gt;=IF(UCRETLER!$D$7:$D$406="",999999,UCRETLER!$D$7:$D$406))*(EOMONTH($B7,0)&lt;=IF(UCRETLER!$E$7:$E$406="",999999,UCRETLER!$E$7:$E$406)))</f>
        <v/>
      </c>
      <c r="D7" s="252">
        <f>SUMIFS(TAHSILAT!$F$7:$F$1506,TAHSILAT!$E$7:$E$1506,"&gt;="&amp;$B7,TAHSILAT!$E$7:$E$1506,"&lt;"&amp;EDATE($B7,1))</f>
        <v/>
      </c>
      <c r="E7" s="252">
        <f>SUMIFS(GELIR_GIDER!$G$7:$G$1206,GELIR_GIDER!$D$7:$D$1206,"Gelir",GELIR_GIDER!$C$7:$C$1206,"&gt;="&amp;$B7,GELIR_GIDER!$C$7:$C$1206,"&lt;"&amp;EDATE($B7,1),GELIR_GIDER!$I$7:$I$1206,"Evet")</f>
        <v/>
      </c>
      <c r="F7" s="252">
        <f>$D7+$E7</f>
        <v/>
      </c>
      <c r="G7" s="252">
        <f>SUMIFS(GELIR_GIDER!$G$7:$G$1206,GELIR_GIDER!$D$7:$D$1206,"Gider",GELIR_GIDER!$C$7:$C$1206,"&gt;="&amp;$B7,GELIR_GIDER!$C$7:$C$1206,"&lt;"&amp;EDATE($B7,1),GELIR_GIDER!$I$7:$I$1206,"Evet")</f>
        <v/>
      </c>
      <c r="H7" s="252">
        <f>$C7+$E7-$G7</f>
        <v/>
      </c>
      <c r="I7" s="252">
        <f>$F7-$G7</f>
        <v/>
      </c>
      <c r="J7" s="234">
        <f>IFERROR($D7/$C7,0)</f>
        <v/>
      </c>
      <c r="K7" s="252">
        <f>SISTEM!$C$13</f>
        <v/>
      </c>
      <c r="L7" s="252">
        <f>MAX(0,$I7-$K7)</f>
        <v/>
      </c>
      <c r="M7" s="252">
        <f>$L7*SISTEM!$C$11</f>
        <v/>
      </c>
      <c r="N7" s="252">
        <f>$L7*SISTEM!$C$12</f>
        <v/>
      </c>
      <c r="O7" s="108" t="n"/>
      <c r="P7" s="253" t="n"/>
      <c r="Q7" s="253" t="n"/>
      <c r="R7" s="252">
        <f>MAX(0,$L7-$P7-$Q7)</f>
        <v/>
      </c>
      <c r="S7" s="113">
        <f>IF($B7&gt;=DATE(YEAR(TODAY()),MONTH(TODAY()),1),"AÇIK",IF(COUNTIFS(SISTEM!$C$23:$C$55,"KRİTİK",SISTEM!$F$23:$F$55,"KALDI")&gt;0,"KAPATILAMAZ",IF(COUNTIF(SISTEM!$F$23:$F$55,"KALDI")=0,"KAPANABİLİR","UYARI VAR – KAPATILABİLİR")))</f>
        <v/>
      </c>
      <c r="T7" s="113">
        <f>IF(ABS($L7-$M7-$N7)&lt;0.01,IF(AND($O7="Evet",ABS($R7)&lt;0.01),"KAPANDI","AÇIK"),"PAY HATASI")</f>
        <v/>
      </c>
      <c r="U7" s="6" t="n"/>
      <c r="V7" s="6" t="n"/>
    </row>
    <row r="8">
      <c r="A8" s="6" t="n"/>
      <c r="B8" s="231" t="n">
        <v>46054</v>
      </c>
      <c r="C8" s="252">
        <f>SUMPRODUCT(IF(UCRETLER!$G$7:$G$406="",0,UCRETLER!$G$7:$G$406)*(UCRETLER!$F$7:$F$406="Haftalık")*IF(UCRETLER!$C$7:$C$406="",0,IF(IF(IF(UCRETLER!$E$7:$E$406="",999999,UCRETLER!$E$7:$E$406)&gt;EOMONTH($B8,0),EOMONTH($B8,0)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8,0),EOMONTH($B8,0),IF(UCRETLER!$E$7:$E$406="",999999,UCRETLER!$E$7:$E$406))-(IF(UCRETLER!$D$7:$D$406="",999999,UCRETLER!$D$7:$D$406)+MOD(SISTEM!$F$8-WEEKDAY(IF(UCRETLER!$D$7:$D$406="",999999,UCRETLER!$D$7:$D$406),2),7)))/7)+1)-IF(IF(IF(UCRETLER!$E$7:$E$406="",999999,UCRETLER!$E$7:$E$406)&gt;$B8-1,$B8-1,IF(UCRETLER!$E$7:$E$406="",999999,UCRETLER!$E$7:$E$406))&lt;(IF(UCRETLER!$D$7:$D$406="",999999,UCRETLER!$D$7:$D$406)+MOD(SISTEM!$F$8-WEEKDAY(IF(UCRETLER!$D$7:$D$406="",999999,UCRETLER!$D$7:$D$406),2),7)),0,INT((IF(IF(UCRETLER!$E$7:$E$406="",999999,UCRETLER!$E$7:$E$406)&gt;$B8-1,$B8-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8,0)&gt;=IF(UCRETLER!$D$7:$D$406="",999999,UCRETLER!$D$7:$D$406))*(EOMONTH($B8,0)&lt;=IF(UCRETLER!$E$7:$E$406="",999999,UCRETLER!$E$7:$E$406)))</f>
        <v/>
      </c>
      <c r="D8" s="252">
        <f>SUMIFS(TAHSILAT!$F$7:$F$1506,TAHSILAT!$E$7:$E$1506,"&gt;="&amp;$B8,TAHSILAT!$E$7:$E$1506,"&lt;"&amp;EDATE($B8,1))</f>
        <v/>
      </c>
      <c r="E8" s="252">
        <f>SUMIFS(GELIR_GIDER!$G$7:$G$1206,GELIR_GIDER!$D$7:$D$1206,"Gelir",GELIR_GIDER!$C$7:$C$1206,"&gt;="&amp;$B8,GELIR_GIDER!$C$7:$C$1206,"&lt;"&amp;EDATE($B8,1),GELIR_GIDER!$I$7:$I$1206,"Evet")</f>
        <v/>
      </c>
      <c r="F8" s="252">
        <f>$D8+$E8</f>
        <v/>
      </c>
      <c r="G8" s="252">
        <f>SUMIFS(GELIR_GIDER!$G$7:$G$1206,GELIR_GIDER!$D$7:$D$1206,"Gider",GELIR_GIDER!$C$7:$C$1206,"&gt;="&amp;$B8,GELIR_GIDER!$C$7:$C$1206,"&lt;"&amp;EDATE($B8,1),GELIR_GIDER!$I$7:$I$1206,"Evet")</f>
        <v/>
      </c>
      <c r="H8" s="252">
        <f>$C8+$E8-$G8</f>
        <v/>
      </c>
      <c r="I8" s="252">
        <f>$F8-$G8</f>
        <v/>
      </c>
      <c r="J8" s="234">
        <f>IFERROR($D8/$C8,0)</f>
        <v/>
      </c>
      <c r="K8" s="252">
        <f>SISTEM!$C$13</f>
        <v/>
      </c>
      <c r="L8" s="252">
        <f>MAX(0,$I8-$K8)</f>
        <v/>
      </c>
      <c r="M8" s="252">
        <f>$L8*SISTEM!$C$11</f>
        <v/>
      </c>
      <c r="N8" s="252">
        <f>$L8*SISTEM!$C$12</f>
        <v/>
      </c>
      <c r="O8" s="108" t="n"/>
      <c r="P8" s="253" t="n"/>
      <c r="Q8" s="253" t="n"/>
      <c r="R8" s="252">
        <f>MAX(0,$L8-$P8-$Q8)</f>
        <v/>
      </c>
      <c r="S8" s="113">
        <f>IF($B8&gt;=DATE(YEAR(TODAY()),MONTH(TODAY()),1),"AÇIK",IF(COUNTIFS(SISTEM!$C$23:$C$55,"KRİTİK",SISTEM!$F$23:$F$55,"KALDI")&gt;0,"KAPATILAMAZ",IF(COUNTIF(SISTEM!$F$23:$F$55,"KALDI")=0,"KAPANABİLİR","UYARI VAR – KAPATILABİLİR")))</f>
        <v/>
      </c>
      <c r="T8" s="113">
        <f>IF(ABS($L8-$M8-$N8)&lt;0.01,IF(AND($O8="Evet",ABS($R8)&lt;0.01),"KAPANDI","AÇIK"),"PAY HATASI")</f>
        <v/>
      </c>
      <c r="U8" s="6" t="n"/>
      <c r="V8" s="6" t="n"/>
    </row>
    <row r="9">
      <c r="A9" s="6" t="n"/>
      <c r="B9" s="231" t="n">
        <v>46082</v>
      </c>
      <c r="C9" s="252">
        <f>SUMPRODUCT(IF(UCRETLER!$G$7:$G$406="",0,UCRETLER!$G$7:$G$406)*(UCRETLER!$F$7:$F$406="Haftalık")*IF(UCRETLER!$C$7:$C$406="",0,IF(IF(IF(UCRETLER!$E$7:$E$406="",999999,UCRETLER!$E$7:$E$406)&gt;EOMONTH($B9,0),EOMONTH($B9,0)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9,0),EOMONTH($B9,0),IF(UCRETLER!$E$7:$E$406="",999999,UCRETLER!$E$7:$E$406))-(IF(UCRETLER!$D$7:$D$406="",999999,UCRETLER!$D$7:$D$406)+MOD(SISTEM!$F$8-WEEKDAY(IF(UCRETLER!$D$7:$D$406="",999999,UCRETLER!$D$7:$D$406),2),7)))/7)+1)-IF(IF(IF(UCRETLER!$E$7:$E$406="",999999,UCRETLER!$E$7:$E$406)&gt;$B9-1,$B9-1,IF(UCRETLER!$E$7:$E$406="",999999,UCRETLER!$E$7:$E$406))&lt;(IF(UCRETLER!$D$7:$D$406="",999999,UCRETLER!$D$7:$D$406)+MOD(SISTEM!$F$8-WEEKDAY(IF(UCRETLER!$D$7:$D$406="",999999,UCRETLER!$D$7:$D$406),2),7)),0,INT((IF(IF(UCRETLER!$E$7:$E$406="",999999,UCRETLER!$E$7:$E$406)&gt;$B9-1,$B9-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9,0)&gt;=IF(UCRETLER!$D$7:$D$406="",999999,UCRETLER!$D$7:$D$406))*(EOMONTH($B9,0)&lt;=IF(UCRETLER!$E$7:$E$406="",999999,UCRETLER!$E$7:$E$406)))</f>
        <v/>
      </c>
      <c r="D9" s="252">
        <f>SUMIFS(TAHSILAT!$F$7:$F$1506,TAHSILAT!$E$7:$E$1506,"&gt;="&amp;$B9,TAHSILAT!$E$7:$E$1506,"&lt;"&amp;EDATE($B9,1))</f>
        <v/>
      </c>
      <c r="E9" s="252">
        <f>SUMIFS(GELIR_GIDER!$G$7:$G$1206,GELIR_GIDER!$D$7:$D$1206,"Gelir",GELIR_GIDER!$C$7:$C$1206,"&gt;="&amp;$B9,GELIR_GIDER!$C$7:$C$1206,"&lt;"&amp;EDATE($B9,1),GELIR_GIDER!$I$7:$I$1206,"Evet")</f>
        <v/>
      </c>
      <c r="F9" s="252">
        <f>$D9+$E9</f>
        <v/>
      </c>
      <c r="G9" s="252">
        <f>SUMIFS(GELIR_GIDER!$G$7:$G$1206,GELIR_GIDER!$D$7:$D$1206,"Gider",GELIR_GIDER!$C$7:$C$1206,"&gt;="&amp;$B9,GELIR_GIDER!$C$7:$C$1206,"&lt;"&amp;EDATE($B9,1),GELIR_GIDER!$I$7:$I$1206,"Evet")</f>
        <v/>
      </c>
      <c r="H9" s="252">
        <f>$C9+$E9-$G9</f>
        <v/>
      </c>
      <c r="I9" s="252">
        <f>$F9-$G9</f>
        <v/>
      </c>
      <c r="J9" s="234">
        <f>IFERROR($D9/$C9,0)</f>
        <v/>
      </c>
      <c r="K9" s="252">
        <f>SISTEM!$C$13</f>
        <v/>
      </c>
      <c r="L9" s="252">
        <f>MAX(0,$I9-$K9)</f>
        <v/>
      </c>
      <c r="M9" s="252">
        <f>$L9*SISTEM!$C$11</f>
        <v/>
      </c>
      <c r="N9" s="252">
        <f>$L9*SISTEM!$C$12</f>
        <v/>
      </c>
      <c r="O9" s="108" t="n"/>
      <c r="P9" s="253" t="n"/>
      <c r="Q9" s="253" t="n"/>
      <c r="R9" s="252">
        <f>MAX(0,$L9-$P9-$Q9)</f>
        <v/>
      </c>
      <c r="S9" s="113">
        <f>IF($B9&gt;=DATE(YEAR(TODAY()),MONTH(TODAY()),1),"AÇIK",IF(COUNTIFS(SISTEM!$C$23:$C$55,"KRİTİK",SISTEM!$F$23:$F$55,"KALDI")&gt;0,"KAPATILAMAZ",IF(COUNTIF(SISTEM!$F$23:$F$55,"KALDI")=0,"KAPANABİLİR","UYARI VAR – KAPATILABİLİR")))</f>
        <v/>
      </c>
      <c r="T9" s="113">
        <f>IF(ABS($L9-$M9-$N9)&lt;0.01,IF(AND($O9="Evet",ABS($R9)&lt;0.01),"KAPANDI","AÇIK"),"PAY HATASI")</f>
        <v/>
      </c>
      <c r="U9" s="6" t="n"/>
      <c r="V9" s="6" t="n"/>
    </row>
    <row r="10">
      <c r="A10" s="6" t="n"/>
      <c r="B10" s="231" t="n">
        <v>46113</v>
      </c>
      <c r="C10" s="252">
        <f>SUMPRODUCT(IF(UCRETLER!$G$7:$G$406="",0,UCRETLER!$G$7:$G$406)*(UCRETLER!$F$7:$F$406="Haftalık")*IF(UCRETLER!$C$7:$C$406="",0,IF(IF(IF(UCRETLER!$E$7:$E$406="",999999,UCRETLER!$E$7:$E$406)&gt;EOMONTH($B10,0),EOMONTH($B10,0)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10,0),EOMONTH($B10,0)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10-1,$B10-1,IF(UCRETLER!$E$7:$E$406="",999999,UCRETLER!$E$7:$E$406))&lt;(IF(UCRETLER!$D$7:$D$406="",999999,UCRETLER!$D$7:$D$406)+MOD(SISTEM!$F$8-WEEKDAY(IF(UCRETLER!$D$7:$D$406="",999999,UCRETLER!$D$7:$D$406),2),7)),0,INT((IF(IF(UCRETLER!$E$7:$E$406="",999999,UCRETLER!$E$7:$E$406)&gt;$B10-1,$B10-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10,0)&gt;=IF(UCRETLER!$D$7:$D$406="",999999,UCRETLER!$D$7:$D$406))*(EOMONTH($B10,0)&lt;=IF(UCRETLER!$E$7:$E$406="",999999,UCRETLER!$E$7:$E$406)))</f>
        <v/>
      </c>
      <c r="D10" s="252">
        <f>SUMIFS(TAHSILAT!$F$7:$F$1506,TAHSILAT!$E$7:$E$1506,"&gt;="&amp;$B10,TAHSILAT!$E$7:$E$1506,"&lt;"&amp;EDATE($B10,1))</f>
        <v/>
      </c>
      <c r="E10" s="252">
        <f>SUMIFS(GELIR_GIDER!$G$7:$G$1206,GELIR_GIDER!$D$7:$D$1206,"Gelir",GELIR_GIDER!$C$7:$C$1206,"&gt;="&amp;$B10,GELIR_GIDER!$C$7:$C$1206,"&lt;"&amp;EDATE($B10,1),GELIR_GIDER!$I$7:$I$1206,"Evet")</f>
        <v/>
      </c>
      <c r="F10" s="252">
        <f>$D10+$E10</f>
        <v/>
      </c>
      <c r="G10" s="252">
        <f>SUMIFS(GELIR_GIDER!$G$7:$G$1206,GELIR_GIDER!$D$7:$D$1206,"Gider",GELIR_GIDER!$C$7:$C$1206,"&gt;="&amp;$B10,GELIR_GIDER!$C$7:$C$1206,"&lt;"&amp;EDATE($B10,1),GELIR_GIDER!$I$7:$I$1206,"Evet")</f>
        <v/>
      </c>
      <c r="H10" s="252">
        <f>$C10+$E10-$G10</f>
        <v/>
      </c>
      <c r="I10" s="252">
        <f>$F10-$G10</f>
        <v/>
      </c>
      <c r="J10" s="234">
        <f>IFERROR($D10/$C10,0)</f>
        <v/>
      </c>
      <c r="K10" s="252">
        <f>SISTEM!$C$13</f>
        <v/>
      </c>
      <c r="L10" s="252">
        <f>MAX(0,$I10-$K10)</f>
        <v/>
      </c>
      <c r="M10" s="252">
        <f>$L10*SISTEM!$C$11</f>
        <v/>
      </c>
      <c r="N10" s="252">
        <f>$L10*SISTEM!$C$12</f>
        <v/>
      </c>
      <c r="O10" s="108" t="n"/>
      <c r="P10" s="253" t="n"/>
      <c r="Q10" s="253" t="n"/>
      <c r="R10" s="252">
        <f>MAX(0,$L10-$P10-$Q10)</f>
        <v/>
      </c>
      <c r="S10" s="113">
        <f>IF($B10&gt;=DATE(YEAR(TODAY()),MONTH(TODAY()),1),"AÇIK",IF(COUNTIFS(SISTEM!$C$23:$C$55,"KRİTİK",SISTEM!$F$23:$F$55,"KALDI")&gt;0,"KAPATILAMAZ",IF(COUNTIF(SISTEM!$F$23:$F$55,"KALDI")=0,"KAPANABİLİR","UYARI VAR – KAPATILABİLİR")))</f>
        <v/>
      </c>
      <c r="T10" s="113">
        <f>IF(ABS($L10-$M10-$N10)&lt;0.01,IF(AND($O10="Evet",ABS($R10)&lt;0.01),"KAPANDI","AÇIK"),"PAY HATASI")</f>
        <v/>
      </c>
      <c r="U10" s="6" t="n"/>
      <c r="V10" s="6" t="n"/>
    </row>
    <row r="11">
      <c r="A11" s="6" t="n"/>
      <c r="B11" s="231" t="n">
        <v>46143</v>
      </c>
      <c r="C11" s="252">
        <f>SUMPRODUCT(IF(UCRETLER!$G$7:$G$406="",0,UCRETLER!$G$7:$G$406)*(UCRETLER!$F$7:$F$406="Haftalık")*IF(UCRETLER!$C$7:$C$406="",0,IF(IF(IF(UCRETLER!$E$7:$E$406="",999999,UCRETLER!$E$7:$E$406)&gt;EOMONTH($B11,0),EOMONTH($B11,0)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11,0),EOMONTH($B11,0)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11-1,$B11-1,IF(UCRETLER!$E$7:$E$406="",999999,UCRETLER!$E$7:$E$406))&lt;(IF(UCRETLER!$D$7:$D$406="",999999,UCRETLER!$D$7:$D$406)+MOD(SISTEM!$F$8-WEEKDAY(IF(UCRETLER!$D$7:$D$406="",999999,UCRETLER!$D$7:$D$406),2),7)),0,INT((IF(IF(UCRETLER!$E$7:$E$406="",999999,UCRETLER!$E$7:$E$406)&gt;$B11-1,$B11-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11,0)&gt;=IF(UCRETLER!$D$7:$D$406="",999999,UCRETLER!$D$7:$D$406))*(EOMONTH($B11,0)&lt;=IF(UCRETLER!$E$7:$E$406="",999999,UCRETLER!$E$7:$E$406)))</f>
        <v/>
      </c>
      <c r="D11" s="252">
        <f>SUMIFS(TAHSILAT!$F$7:$F$1506,TAHSILAT!$E$7:$E$1506,"&gt;="&amp;$B11,TAHSILAT!$E$7:$E$1506,"&lt;"&amp;EDATE($B11,1))</f>
        <v/>
      </c>
      <c r="E11" s="252">
        <f>SUMIFS(GELIR_GIDER!$G$7:$G$1206,GELIR_GIDER!$D$7:$D$1206,"Gelir",GELIR_GIDER!$C$7:$C$1206,"&gt;="&amp;$B11,GELIR_GIDER!$C$7:$C$1206,"&lt;"&amp;EDATE($B11,1),GELIR_GIDER!$I$7:$I$1206,"Evet")</f>
        <v/>
      </c>
      <c r="F11" s="252">
        <f>$D11+$E11</f>
        <v/>
      </c>
      <c r="G11" s="252">
        <f>SUMIFS(GELIR_GIDER!$G$7:$G$1206,GELIR_GIDER!$D$7:$D$1206,"Gider",GELIR_GIDER!$C$7:$C$1206,"&gt;="&amp;$B11,GELIR_GIDER!$C$7:$C$1206,"&lt;"&amp;EDATE($B11,1),GELIR_GIDER!$I$7:$I$1206,"Evet")</f>
        <v/>
      </c>
      <c r="H11" s="252">
        <f>$C11+$E11-$G11</f>
        <v/>
      </c>
      <c r="I11" s="252">
        <f>$F11-$G11</f>
        <v/>
      </c>
      <c r="J11" s="234">
        <f>IFERROR($D11/$C11,0)</f>
        <v/>
      </c>
      <c r="K11" s="252">
        <f>SISTEM!$C$13</f>
        <v/>
      </c>
      <c r="L11" s="252">
        <f>MAX(0,$I11-$K11)</f>
        <v/>
      </c>
      <c r="M11" s="252">
        <f>$L11*SISTEM!$C$11</f>
        <v/>
      </c>
      <c r="N11" s="252">
        <f>$L11*SISTEM!$C$12</f>
        <v/>
      </c>
      <c r="O11" s="108" t="n"/>
      <c r="P11" s="253" t="n"/>
      <c r="Q11" s="253" t="n"/>
      <c r="R11" s="252">
        <f>MAX(0,$L11-$P11-$Q11)</f>
        <v/>
      </c>
      <c r="S11" s="113">
        <f>IF($B11&gt;=DATE(YEAR(TODAY()),MONTH(TODAY()),1),"AÇIK",IF(COUNTIFS(SISTEM!$C$23:$C$55,"KRİTİK",SISTEM!$F$23:$F$55,"KALDI")&gt;0,"KAPATILAMAZ",IF(COUNTIF(SISTEM!$F$23:$F$55,"KALDI")=0,"KAPANABİLİR","UYARI VAR – KAPATILABİLİR")))</f>
        <v/>
      </c>
      <c r="T11" s="113">
        <f>IF(ABS($L11-$M11-$N11)&lt;0.01,IF(AND($O11="Evet",ABS($R11)&lt;0.01),"KAPANDI","AÇIK"),"PAY HATASI")</f>
        <v/>
      </c>
      <c r="U11" s="6" t="n"/>
      <c r="V11" s="6" t="n"/>
    </row>
    <row r="12">
      <c r="A12" s="6" t="n"/>
      <c r="B12" s="231" t="n">
        <v>46174</v>
      </c>
      <c r="C12" s="252">
        <f>SUMPRODUCT(IF(UCRETLER!$G$7:$G$406="",0,UCRETLER!$G$7:$G$406)*(UCRETLER!$F$7:$F$406="Haftalık")*IF(UCRETLER!$C$7:$C$406="",0,IF(IF(IF(UCRETLER!$E$7:$E$406="",999999,UCRETLER!$E$7:$E$406)&gt;EOMONTH($B12,0),EOMONTH($B12,0)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12,0),EOMONTH($B12,0)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12-1,$B12-1,IF(UCRETLER!$E$7:$E$406="",999999,UCRETLER!$E$7:$E$406))&lt;(IF(UCRETLER!$D$7:$D$406="",999999,UCRETLER!$D$7:$D$406)+MOD(SISTEM!$F$8-WEEKDAY(IF(UCRETLER!$D$7:$D$406="",999999,UCRETLER!$D$7:$D$406),2),7)),0,INT((IF(IF(UCRETLER!$E$7:$E$406="",999999,UCRETLER!$E$7:$E$406)&gt;$B12-1,$B12-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12,0)&gt;=IF(UCRETLER!$D$7:$D$406="",999999,UCRETLER!$D$7:$D$406))*(EOMONTH($B12,0)&lt;=IF(UCRETLER!$E$7:$E$406="",999999,UCRETLER!$E$7:$E$406)))</f>
        <v/>
      </c>
      <c r="D12" s="252">
        <f>SUMIFS(TAHSILAT!$F$7:$F$1506,TAHSILAT!$E$7:$E$1506,"&gt;="&amp;$B12,TAHSILAT!$E$7:$E$1506,"&lt;"&amp;EDATE($B12,1))</f>
        <v/>
      </c>
      <c r="E12" s="252">
        <f>SUMIFS(GELIR_GIDER!$G$7:$G$1206,GELIR_GIDER!$D$7:$D$1206,"Gelir",GELIR_GIDER!$C$7:$C$1206,"&gt;="&amp;$B12,GELIR_GIDER!$C$7:$C$1206,"&lt;"&amp;EDATE($B12,1),GELIR_GIDER!$I$7:$I$1206,"Evet")</f>
        <v/>
      </c>
      <c r="F12" s="252">
        <f>$D12+$E12</f>
        <v/>
      </c>
      <c r="G12" s="252">
        <f>SUMIFS(GELIR_GIDER!$G$7:$G$1206,GELIR_GIDER!$D$7:$D$1206,"Gider",GELIR_GIDER!$C$7:$C$1206,"&gt;="&amp;$B12,GELIR_GIDER!$C$7:$C$1206,"&lt;"&amp;EDATE($B12,1),GELIR_GIDER!$I$7:$I$1206,"Evet")</f>
        <v/>
      </c>
      <c r="H12" s="252">
        <f>$C12+$E12-$G12</f>
        <v/>
      </c>
      <c r="I12" s="252">
        <f>$F12-$G12</f>
        <v/>
      </c>
      <c r="J12" s="234">
        <f>IFERROR($D12/$C12,0)</f>
        <v/>
      </c>
      <c r="K12" s="252">
        <f>SISTEM!$C$13</f>
        <v/>
      </c>
      <c r="L12" s="252">
        <f>MAX(0,$I12-$K12)</f>
        <v/>
      </c>
      <c r="M12" s="252">
        <f>$L12*SISTEM!$C$11</f>
        <v/>
      </c>
      <c r="N12" s="252">
        <f>$L12*SISTEM!$C$12</f>
        <v/>
      </c>
      <c r="O12" s="108" t="n"/>
      <c r="P12" s="253" t="n"/>
      <c r="Q12" s="253" t="n"/>
      <c r="R12" s="252">
        <f>MAX(0,$L12-$P12-$Q12)</f>
        <v/>
      </c>
      <c r="S12" s="113">
        <f>IF($B12&gt;=DATE(YEAR(TODAY()),MONTH(TODAY()),1),"AÇIK",IF(COUNTIFS(SISTEM!$C$23:$C$55,"KRİTİK",SISTEM!$F$23:$F$55,"KALDI")&gt;0,"KAPATILAMAZ",IF(COUNTIF(SISTEM!$F$23:$F$55,"KALDI")=0,"KAPANABİLİR","UYARI VAR – KAPATILABİLİR")))</f>
        <v/>
      </c>
      <c r="T12" s="113">
        <f>IF(ABS($L12-$M12-$N12)&lt;0.01,IF(AND($O12="Evet",ABS($R12)&lt;0.01),"KAPANDI","AÇIK"),"PAY HATASI")</f>
        <v/>
      </c>
      <c r="U12" s="6" t="n"/>
      <c r="V12" s="6" t="n"/>
    </row>
    <row r="13">
      <c r="A13" s="6" t="n"/>
      <c r="B13" s="231" t="n">
        <v>46204</v>
      </c>
      <c r="C13" s="252">
        <f>SUMPRODUCT(IF(UCRETLER!$G$7:$G$406="",0,UCRETLER!$G$7:$G$406)*(UCRETLER!$F$7:$F$406="Haftalık")*IF(UCRETLER!$C$7:$C$406="",0,IF(IF(IF(UCRETLER!$E$7:$E$406="",999999,UCRETLER!$E$7:$E$406)&gt;EOMONTH($B13,0),EOMONTH($B13,0)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13,0),EOMONTH($B13,0)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13-1,$B13-1,IF(UCRETLER!$E$7:$E$406="",999999,UCRETLER!$E$7:$E$406))&lt;(IF(UCRETLER!$D$7:$D$406="",999999,UCRETLER!$D$7:$D$406)+MOD(SISTEM!$F$8-WEEKDAY(IF(UCRETLER!$D$7:$D$406="",999999,UCRETLER!$D$7:$D$406),2),7)),0,INT((IF(IF(UCRETLER!$E$7:$E$406="",999999,UCRETLER!$E$7:$E$406)&gt;$B13-1,$B13-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13,0)&gt;=IF(UCRETLER!$D$7:$D$406="",999999,UCRETLER!$D$7:$D$406))*(EOMONTH($B13,0)&lt;=IF(UCRETLER!$E$7:$E$406="",999999,UCRETLER!$E$7:$E$406)))</f>
        <v/>
      </c>
      <c r="D13" s="252">
        <f>SUMIFS(TAHSILAT!$F$7:$F$1506,TAHSILAT!$E$7:$E$1506,"&gt;="&amp;$B13,TAHSILAT!$E$7:$E$1506,"&lt;"&amp;EDATE($B13,1))</f>
        <v/>
      </c>
      <c r="E13" s="252">
        <f>SUMIFS(GELIR_GIDER!$G$7:$G$1206,GELIR_GIDER!$D$7:$D$1206,"Gelir",GELIR_GIDER!$C$7:$C$1206,"&gt;="&amp;$B13,GELIR_GIDER!$C$7:$C$1206,"&lt;"&amp;EDATE($B13,1),GELIR_GIDER!$I$7:$I$1206,"Evet")</f>
        <v/>
      </c>
      <c r="F13" s="252">
        <f>$D13+$E13</f>
        <v/>
      </c>
      <c r="G13" s="252">
        <f>SUMIFS(GELIR_GIDER!$G$7:$G$1206,GELIR_GIDER!$D$7:$D$1206,"Gider",GELIR_GIDER!$C$7:$C$1206,"&gt;="&amp;$B13,GELIR_GIDER!$C$7:$C$1206,"&lt;"&amp;EDATE($B13,1),GELIR_GIDER!$I$7:$I$1206,"Evet")</f>
        <v/>
      </c>
      <c r="H13" s="252">
        <f>$C13+$E13-$G13</f>
        <v/>
      </c>
      <c r="I13" s="252">
        <f>$F13-$G13</f>
        <v/>
      </c>
      <c r="J13" s="234">
        <f>IFERROR($D13/$C13,0)</f>
        <v/>
      </c>
      <c r="K13" s="252">
        <f>SISTEM!$C$13</f>
        <v/>
      </c>
      <c r="L13" s="252">
        <f>MAX(0,$I13-$K13)</f>
        <v/>
      </c>
      <c r="M13" s="252">
        <f>$L13*SISTEM!$C$11</f>
        <v/>
      </c>
      <c r="N13" s="252">
        <f>$L13*SISTEM!$C$12</f>
        <v/>
      </c>
      <c r="O13" s="108" t="n"/>
      <c r="P13" s="253" t="n"/>
      <c r="Q13" s="253" t="n"/>
      <c r="R13" s="252">
        <f>MAX(0,$L13-$P13-$Q13)</f>
        <v/>
      </c>
      <c r="S13" s="113">
        <f>IF($B13&gt;=DATE(YEAR(TODAY()),MONTH(TODAY()),1),"AÇIK",IF(COUNTIFS(SISTEM!$C$23:$C$55,"KRİTİK",SISTEM!$F$23:$F$55,"KALDI")&gt;0,"KAPATILAMAZ",IF(COUNTIF(SISTEM!$F$23:$F$55,"KALDI")=0,"KAPANABİLİR","UYARI VAR – KAPATILABİLİR")))</f>
        <v/>
      </c>
      <c r="T13" s="113">
        <f>IF(ABS($L13-$M13-$N13)&lt;0.01,IF(AND($O13="Evet",ABS($R13)&lt;0.01),"KAPANDI","AÇIK"),"PAY HATASI")</f>
        <v/>
      </c>
      <c r="U13" s="6" t="n"/>
      <c r="V13" s="6" t="n"/>
    </row>
    <row r="14">
      <c r="A14" s="6" t="n"/>
      <c r="B14" s="231" t="n">
        <v>46235</v>
      </c>
      <c r="C14" s="252">
        <f>SUMPRODUCT(IF(UCRETLER!$G$7:$G$406="",0,UCRETLER!$G$7:$G$406)*(UCRETLER!$F$7:$F$406="Haftalık")*IF(UCRETLER!$C$7:$C$406="",0,IF(IF(IF(UCRETLER!$E$7:$E$406="",999999,UCRETLER!$E$7:$E$406)&gt;EOMONTH($B14,0),EOMONTH($B14,0)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14,0),EOMONTH($B14,0)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14-1,$B14-1,IF(UCRETLER!$E$7:$E$406="",999999,UCRETLER!$E$7:$E$406))&lt;(IF(UCRETLER!$D$7:$D$406="",999999,UCRETLER!$D$7:$D$406)+MOD(SISTEM!$F$8-WEEKDAY(IF(UCRETLER!$D$7:$D$406="",999999,UCRETLER!$D$7:$D$406),2),7)),0,INT((IF(IF(UCRETLER!$E$7:$E$406="",999999,UCRETLER!$E$7:$E$406)&gt;$B14-1,$B14-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14,0)&gt;=IF(UCRETLER!$D$7:$D$406="",999999,UCRETLER!$D$7:$D$406))*(EOMONTH($B14,0)&lt;=IF(UCRETLER!$E$7:$E$406="",999999,UCRETLER!$E$7:$E$406)))</f>
        <v/>
      </c>
      <c r="D14" s="252">
        <f>SUMIFS(TAHSILAT!$F$7:$F$1506,TAHSILAT!$E$7:$E$1506,"&gt;="&amp;$B14,TAHSILAT!$E$7:$E$1506,"&lt;"&amp;EDATE($B14,1))</f>
        <v/>
      </c>
      <c r="E14" s="252">
        <f>SUMIFS(GELIR_GIDER!$G$7:$G$1206,GELIR_GIDER!$D$7:$D$1206,"Gelir",GELIR_GIDER!$C$7:$C$1206,"&gt;="&amp;$B14,GELIR_GIDER!$C$7:$C$1206,"&lt;"&amp;EDATE($B14,1),GELIR_GIDER!$I$7:$I$1206,"Evet")</f>
        <v/>
      </c>
      <c r="F14" s="252">
        <f>$D14+$E14</f>
        <v/>
      </c>
      <c r="G14" s="252">
        <f>SUMIFS(GELIR_GIDER!$G$7:$G$1206,GELIR_GIDER!$D$7:$D$1206,"Gider",GELIR_GIDER!$C$7:$C$1206,"&gt;="&amp;$B14,GELIR_GIDER!$C$7:$C$1206,"&lt;"&amp;EDATE($B14,1),GELIR_GIDER!$I$7:$I$1206,"Evet")</f>
        <v/>
      </c>
      <c r="H14" s="252">
        <f>$C14+$E14-$G14</f>
        <v/>
      </c>
      <c r="I14" s="252">
        <f>$F14-$G14</f>
        <v/>
      </c>
      <c r="J14" s="234">
        <f>IFERROR($D14/$C14,0)</f>
        <v/>
      </c>
      <c r="K14" s="252">
        <f>SISTEM!$C$13</f>
        <v/>
      </c>
      <c r="L14" s="252">
        <f>MAX(0,$I14-$K14)</f>
        <v/>
      </c>
      <c r="M14" s="252">
        <f>$L14*SISTEM!$C$11</f>
        <v/>
      </c>
      <c r="N14" s="252">
        <f>$L14*SISTEM!$C$12</f>
        <v/>
      </c>
      <c r="O14" s="108" t="n"/>
      <c r="P14" s="253" t="n"/>
      <c r="Q14" s="253" t="n"/>
      <c r="R14" s="252">
        <f>MAX(0,$L14-$P14-$Q14)</f>
        <v/>
      </c>
      <c r="S14" s="113">
        <f>IF($B14&gt;=DATE(YEAR(TODAY()),MONTH(TODAY()),1),"AÇIK",IF(COUNTIFS(SISTEM!$C$23:$C$55,"KRİTİK",SISTEM!$F$23:$F$55,"KALDI")&gt;0,"KAPATILAMAZ",IF(COUNTIF(SISTEM!$F$23:$F$55,"KALDI")=0,"KAPANABİLİR","UYARI VAR – KAPATILABİLİR")))</f>
        <v/>
      </c>
      <c r="T14" s="113">
        <f>IF(ABS($L14-$M14-$N14)&lt;0.01,IF(AND($O14="Evet",ABS($R14)&lt;0.01),"KAPANDI","AÇIK"),"PAY HATASI")</f>
        <v/>
      </c>
      <c r="U14" s="6" t="n"/>
      <c r="V14" s="6" t="n"/>
    </row>
    <row r="15">
      <c r="A15" s="6" t="n"/>
      <c r="B15" s="231" t="n">
        <v>46266</v>
      </c>
      <c r="C15" s="252">
        <f>SUMPRODUCT(IF(UCRETLER!$G$7:$G$406="",0,UCRETLER!$G$7:$G$406)*(UCRETLER!$F$7:$F$406="Haftalık")*IF(UCRETLER!$C$7:$C$406="",0,IF(IF(IF(UCRETLER!$E$7:$E$406="",999999,UCRETLER!$E$7:$E$406)&gt;EOMONTH($B15,0),EOMONTH($B15,0)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15,0),EOMONTH($B15,0)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15-1,$B15-1,IF(UCRETLER!$E$7:$E$406="",999999,UCRETLER!$E$7:$E$406))&lt;(IF(UCRETLER!$D$7:$D$406="",999999,UCRETLER!$D$7:$D$406)+MOD(SISTEM!$F$8-WEEKDAY(IF(UCRETLER!$D$7:$D$406="",999999,UCRETLER!$D$7:$D$406),2),7)),0,INT((IF(IF(UCRETLER!$E$7:$E$406="",999999,UCRETLER!$E$7:$E$406)&gt;$B15-1,$B15-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15,0)&gt;=IF(UCRETLER!$D$7:$D$406="",999999,UCRETLER!$D$7:$D$406))*(EOMONTH($B15,0)&lt;=IF(UCRETLER!$E$7:$E$406="",999999,UCRETLER!$E$7:$E$406)))</f>
        <v/>
      </c>
      <c r="D15" s="252">
        <f>SUMIFS(TAHSILAT!$F$7:$F$1506,TAHSILAT!$E$7:$E$1506,"&gt;="&amp;$B15,TAHSILAT!$E$7:$E$1506,"&lt;"&amp;EDATE($B15,1))</f>
        <v/>
      </c>
      <c r="E15" s="252">
        <f>SUMIFS(GELIR_GIDER!$G$7:$G$1206,GELIR_GIDER!$D$7:$D$1206,"Gelir",GELIR_GIDER!$C$7:$C$1206,"&gt;="&amp;$B15,GELIR_GIDER!$C$7:$C$1206,"&lt;"&amp;EDATE($B15,1),GELIR_GIDER!$I$7:$I$1206,"Evet")</f>
        <v/>
      </c>
      <c r="F15" s="252">
        <f>$D15+$E15</f>
        <v/>
      </c>
      <c r="G15" s="252">
        <f>SUMIFS(GELIR_GIDER!$G$7:$G$1206,GELIR_GIDER!$D$7:$D$1206,"Gider",GELIR_GIDER!$C$7:$C$1206,"&gt;="&amp;$B15,GELIR_GIDER!$C$7:$C$1206,"&lt;"&amp;EDATE($B15,1),GELIR_GIDER!$I$7:$I$1206,"Evet")</f>
        <v/>
      </c>
      <c r="H15" s="252">
        <f>$C15+$E15-$G15</f>
        <v/>
      </c>
      <c r="I15" s="252">
        <f>$F15-$G15</f>
        <v/>
      </c>
      <c r="J15" s="234">
        <f>IFERROR($D15/$C15,0)</f>
        <v/>
      </c>
      <c r="K15" s="252">
        <f>SISTEM!$C$13</f>
        <v/>
      </c>
      <c r="L15" s="252">
        <f>MAX(0,$I15-$K15)</f>
        <v/>
      </c>
      <c r="M15" s="252">
        <f>$L15*SISTEM!$C$11</f>
        <v/>
      </c>
      <c r="N15" s="252">
        <f>$L15*SISTEM!$C$12</f>
        <v/>
      </c>
      <c r="O15" s="108" t="n"/>
      <c r="P15" s="253" t="n"/>
      <c r="Q15" s="253" t="n"/>
      <c r="R15" s="252">
        <f>MAX(0,$L15-$P15-$Q15)</f>
        <v/>
      </c>
      <c r="S15" s="113">
        <f>IF($B15&gt;=DATE(YEAR(TODAY()),MONTH(TODAY()),1),"AÇIK",IF(COUNTIFS(SISTEM!$C$23:$C$55,"KRİTİK",SISTEM!$F$23:$F$55,"KALDI")&gt;0,"KAPATILAMAZ",IF(COUNTIF(SISTEM!$F$23:$F$55,"KALDI")=0,"KAPANABİLİR","UYARI VAR – KAPATILABİLİR")))</f>
        <v/>
      </c>
      <c r="T15" s="113">
        <f>IF(ABS($L15-$M15-$N15)&lt;0.01,IF(AND($O15="Evet",ABS($R15)&lt;0.01),"KAPANDI","AÇIK"),"PAY HATASI")</f>
        <v/>
      </c>
      <c r="U15" s="6" t="n"/>
      <c r="V15" s="6" t="n"/>
    </row>
    <row r="16">
      <c r="A16" s="6" t="n"/>
      <c r="B16" s="231" t="n">
        <v>46296</v>
      </c>
      <c r="C16" s="252">
        <f>SUMPRODUCT(IF(UCRETLER!$G$7:$G$406="",0,UCRETLER!$G$7:$G$406)*(UCRETLER!$F$7:$F$406="Haftalık")*IF(UCRETLER!$C$7:$C$406="",0,IF(IF(IF(UCRETLER!$E$7:$E$406="",999999,UCRETLER!$E$7:$E$406)&gt;EOMONTH($B16,0),EOMONTH($B16,0)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16,0),EOMONTH($B16,0)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16-1,$B16-1,IF(UCRETLER!$E$7:$E$406="",999999,UCRETLER!$E$7:$E$406))&lt;(IF(UCRETLER!$D$7:$D$406="",999999,UCRETLER!$D$7:$D$406)+MOD(SISTEM!$F$8-WEEKDAY(IF(UCRETLER!$D$7:$D$406="",999999,UCRETLER!$D$7:$D$406),2),7)),0,INT((IF(IF(UCRETLER!$E$7:$E$406="",999999,UCRETLER!$E$7:$E$406)&gt;$B16-1,$B16-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16,0)&gt;=IF(UCRETLER!$D$7:$D$406="",999999,UCRETLER!$D$7:$D$406))*(EOMONTH($B16,0)&lt;=IF(UCRETLER!$E$7:$E$406="",999999,UCRETLER!$E$7:$E$406)))</f>
        <v/>
      </c>
      <c r="D16" s="252">
        <f>SUMIFS(TAHSILAT!$F$7:$F$1506,TAHSILAT!$E$7:$E$1506,"&gt;="&amp;$B16,TAHSILAT!$E$7:$E$1506,"&lt;"&amp;EDATE($B16,1))</f>
        <v/>
      </c>
      <c r="E16" s="252">
        <f>SUMIFS(GELIR_GIDER!$G$7:$G$1206,GELIR_GIDER!$D$7:$D$1206,"Gelir",GELIR_GIDER!$C$7:$C$1206,"&gt;="&amp;$B16,GELIR_GIDER!$C$7:$C$1206,"&lt;"&amp;EDATE($B16,1),GELIR_GIDER!$I$7:$I$1206,"Evet")</f>
        <v/>
      </c>
      <c r="F16" s="252">
        <f>$D16+$E16</f>
        <v/>
      </c>
      <c r="G16" s="252">
        <f>SUMIFS(GELIR_GIDER!$G$7:$G$1206,GELIR_GIDER!$D$7:$D$1206,"Gider",GELIR_GIDER!$C$7:$C$1206,"&gt;="&amp;$B16,GELIR_GIDER!$C$7:$C$1206,"&lt;"&amp;EDATE($B16,1),GELIR_GIDER!$I$7:$I$1206,"Evet")</f>
        <v/>
      </c>
      <c r="H16" s="252">
        <f>$C16+$E16-$G16</f>
        <v/>
      </c>
      <c r="I16" s="252">
        <f>$F16-$G16</f>
        <v/>
      </c>
      <c r="J16" s="234">
        <f>IFERROR($D16/$C16,0)</f>
        <v/>
      </c>
      <c r="K16" s="252">
        <f>SISTEM!$C$13</f>
        <v/>
      </c>
      <c r="L16" s="252">
        <f>MAX(0,$I16-$K16)</f>
        <v/>
      </c>
      <c r="M16" s="252">
        <f>$L16*SISTEM!$C$11</f>
        <v/>
      </c>
      <c r="N16" s="252">
        <f>$L16*SISTEM!$C$12</f>
        <v/>
      </c>
      <c r="O16" s="108" t="n"/>
      <c r="P16" s="253" t="n"/>
      <c r="Q16" s="253" t="n"/>
      <c r="R16" s="252">
        <f>MAX(0,$L16-$P16-$Q16)</f>
        <v/>
      </c>
      <c r="S16" s="113">
        <f>IF($B16&gt;=DATE(YEAR(TODAY()),MONTH(TODAY()),1),"AÇIK",IF(COUNTIFS(SISTEM!$C$23:$C$55,"KRİTİK",SISTEM!$F$23:$F$55,"KALDI")&gt;0,"KAPATILAMAZ",IF(COUNTIF(SISTEM!$F$23:$F$55,"KALDI")=0,"KAPANABİLİR","UYARI VAR – KAPATILABİLİR")))</f>
        <v/>
      </c>
      <c r="T16" s="113">
        <f>IF(ABS($L16-$M16-$N16)&lt;0.01,IF(AND($O16="Evet",ABS($R16)&lt;0.01),"KAPANDI","AÇIK"),"PAY HATASI")</f>
        <v/>
      </c>
      <c r="U16" s="6" t="n"/>
      <c r="V16" s="6" t="n"/>
    </row>
    <row r="17">
      <c r="A17" s="6" t="n"/>
      <c r="B17" s="231" t="n">
        <v>46327</v>
      </c>
      <c r="C17" s="252">
        <f>SUMPRODUCT(IF(UCRETLER!$G$7:$G$406="",0,UCRETLER!$G$7:$G$406)*(UCRETLER!$F$7:$F$406="Haftalık")*IF(UCRETLER!$C$7:$C$406="",0,IF(IF(IF(UCRETLER!$E$7:$E$406="",999999,UCRETLER!$E$7:$E$406)&gt;EOMONTH($B17,0),EOMONTH($B17,0)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17,0),EOMONTH($B17,0)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17-1,$B17-1,IF(UCRETLER!$E$7:$E$406="",999999,UCRETLER!$E$7:$E$406))&lt;(IF(UCRETLER!$D$7:$D$406="",999999,UCRETLER!$D$7:$D$406)+MOD(SISTEM!$F$8-WEEKDAY(IF(UCRETLER!$D$7:$D$406="",999999,UCRETLER!$D$7:$D$406),2),7)),0,INT((IF(IF(UCRETLER!$E$7:$E$406="",999999,UCRETLER!$E$7:$E$406)&gt;$B17-1,$B17-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17,0)&gt;=IF(UCRETLER!$D$7:$D$406="",999999,UCRETLER!$D$7:$D$406))*(EOMONTH($B17,0)&lt;=IF(UCRETLER!$E$7:$E$406="",999999,UCRETLER!$E$7:$E$406)))</f>
        <v/>
      </c>
      <c r="D17" s="252">
        <f>SUMIFS(TAHSILAT!$F$7:$F$1506,TAHSILAT!$E$7:$E$1506,"&gt;="&amp;$B17,TAHSILAT!$E$7:$E$1506,"&lt;"&amp;EDATE($B17,1))</f>
        <v/>
      </c>
      <c r="E17" s="252">
        <f>SUMIFS(GELIR_GIDER!$G$7:$G$1206,GELIR_GIDER!$D$7:$D$1206,"Gelir",GELIR_GIDER!$C$7:$C$1206,"&gt;="&amp;$B17,GELIR_GIDER!$C$7:$C$1206,"&lt;"&amp;EDATE($B17,1),GELIR_GIDER!$I$7:$I$1206,"Evet")</f>
        <v/>
      </c>
      <c r="F17" s="252">
        <f>$D17+$E17</f>
        <v/>
      </c>
      <c r="G17" s="252">
        <f>SUMIFS(GELIR_GIDER!$G$7:$G$1206,GELIR_GIDER!$D$7:$D$1206,"Gider",GELIR_GIDER!$C$7:$C$1206,"&gt;="&amp;$B17,GELIR_GIDER!$C$7:$C$1206,"&lt;"&amp;EDATE($B17,1),GELIR_GIDER!$I$7:$I$1206,"Evet")</f>
        <v/>
      </c>
      <c r="H17" s="252">
        <f>$C17+$E17-$G17</f>
        <v/>
      </c>
      <c r="I17" s="252">
        <f>$F17-$G17</f>
        <v/>
      </c>
      <c r="J17" s="234">
        <f>IFERROR($D17/$C17,0)</f>
        <v/>
      </c>
      <c r="K17" s="252">
        <f>SISTEM!$C$13</f>
        <v/>
      </c>
      <c r="L17" s="252">
        <f>MAX(0,$I17-$K17)</f>
        <v/>
      </c>
      <c r="M17" s="252">
        <f>$L17*SISTEM!$C$11</f>
        <v/>
      </c>
      <c r="N17" s="252">
        <f>$L17*SISTEM!$C$12</f>
        <v/>
      </c>
      <c r="O17" s="108" t="n"/>
      <c r="P17" s="253" t="n"/>
      <c r="Q17" s="253" t="n"/>
      <c r="R17" s="252">
        <f>MAX(0,$L17-$P17-$Q17)</f>
        <v/>
      </c>
      <c r="S17" s="113">
        <f>IF($B17&gt;=DATE(YEAR(TODAY()),MONTH(TODAY()),1),"AÇIK",IF(COUNTIFS(SISTEM!$C$23:$C$55,"KRİTİK",SISTEM!$F$23:$F$55,"KALDI")&gt;0,"KAPATILAMAZ",IF(COUNTIF(SISTEM!$F$23:$F$55,"KALDI")=0,"KAPANABİLİR","UYARI VAR – KAPATILABİLİR")))</f>
        <v/>
      </c>
      <c r="T17" s="113">
        <f>IF(ABS($L17-$M17-$N17)&lt;0.01,IF(AND($O17="Evet",ABS($R17)&lt;0.01),"KAPANDI","AÇIK"),"PAY HATASI")</f>
        <v/>
      </c>
      <c r="U17" s="6" t="n"/>
      <c r="V17" s="6" t="n"/>
    </row>
    <row r="18">
      <c r="A18" s="6" t="n"/>
      <c r="B18" s="231" t="n">
        <v>46357</v>
      </c>
      <c r="C18" s="252">
        <f>SUMPRODUCT(IF(UCRETLER!$G$7:$G$406="",0,UCRETLER!$G$7:$G$406)*(UCRETLER!$F$7:$F$406="Haftalık")*IF(UCRETLER!$C$7:$C$406="",0,IF(IF(IF(UCRETLER!$E$7:$E$406="",999999,UCRETLER!$E$7:$E$406)&gt;EOMONTH($B18,0),EOMONTH($B18,0)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18,0),EOMONTH($B18,0)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18-1,$B18-1,IF(UCRETLER!$E$7:$E$406="",999999,UCRETLER!$E$7:$E$406))&lt;(IF(UCRETLER!$D$7:$D$406="",999999,UCRETLER!$D$7:$D$406)+MOD(SISTEM!$F$8-WEEKDAY(IF(UCRETLER!$D$7:$D$406="",999999,UCRETLER!$D$7:$D$406),2),7)),0,INT((IF(IF(UCRETLER!$E$7:$E$406="",999999,UCRETLER!$E$7:$E$406)&gt;$B18-1,$B18-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18,0)&gt;=IF(UCRETLER!$D$7:$D$406="",999999,UCRETLER!$D$7:$D$406))*(EOMONTH($B18,0)&lt;=IF(UCRETLER!$E$7:$E$406="",999999,UCRETLER!$E$7:$E$406)))</f>
        <v/>
      </c>
      <c r="D18" s="252">
        <f>SUMIFS(TAHSILAT!$F$7:$F$1506,TAHSILAT!$E$7:$E$1506,"&gt;="&amp;$B18,TAHSILAT!$E$7:$E$1506,"&lt;"&amp;EDATE($B18,1))</f>
        <v/>
      </c>
      <c r="E18" s="252">
        <f>SUMIFS(GELIR_GIDER!$G$7:$G$1206,GELIR_GIDER!$D$7:$D$1206,"Gelir",GELIR_GIDER!$C$7:$C$1206,"&gt;="&amp;$B18,GELIR_GIDER!$C$7:$C$1206,"&lt;"&amp;EDATE($B18,1),GELIR_GIDER!$I$7:$I$1206,"Evet")</f>
        <v/>
      </c>
      <c r="F18" s="252">
        <f>$D18+$E18</f>
        <v/>
      </c>
      <c r="G18" s="252">
        <f>SUMIFS(GELIR_GIDER!$G$7:$G$1206,GELIR_GIDER!$D$7:$D$1206,"Gider",GELIR_GIDER!$C$7:$C$1206,"&gt;="&amp;$B18,GELIR_GIDER!$C$7:$C$1206,"&lt;"&amp;EDATE($B18,1),GELIR_GIDER!$I$7:$I$1206,"Evet")</f>
        <v/>
      </c>
      <c r="H18" s="252">
        <f>$C18+$E18-$G18</f>
        <v/>
      </c>
      <c r="I18" s="252">
        <f>$F18-$G18</f>
        <v/>
      </c>
      <c r="J18" s="234">
        <f>IFERROR($D18/$C18,0)</f>
        <v/>
      </c>
      <c r="K18" s="252">
        <f>SISTEM!$C$13</f>
        <v/>
      </c>
      <c r="L18" s="252">
        <f>MAX(0,$I18-$K18)</f>
        <v/>
      </c>
      <c r="M18" s="252">
        <f>$L18*SISTEM!$C$11</f>
        <v/>
      </c>
      <c r="N18" s="252">
        <f>$L18*SISTEM!$C$12</f>
        <v/>
      </c>
      <c r="O18" s="108" t="n"/>
      <c r="P18" s="253" t="n"/>
      <c r="Q18" s="253" t="n"/>
      <c r="R18" s="252">
        <f>MAX(0,$L18-$P18-$Q18)</f>
        <v/>
      </c>
      <c r="S18" s="113">
        <f>IF($B18&gt;=DATE(YEAR(TODAY()),MONTH(TODAY()),1),"AÇIK",IF(COUNTIFS(SISTEM!$C$23:$C$55,"KRİTİK",SISTEM!$F$23:$F$55,"KALDI")&gt;0,"KAPATILAMAZ",IF(COUNTIF(SISTEM!$F$23:$F$55,"KALDI")=0,"KAPANABİLİR","UYARI VAR – KAPATILABİLİR")))</f>
        <v/>
      </c>
      <c r="T18" s="113">
        <f>IF(ABS($L18-$M18-$N18)&lt;0.01,IF(AND($O18="Evet",ABS($R18)&lt;0.01),"KAPANDI","AÇIK"),"PAY HATASI")</f>
        <v/>
      </c>
      <c r="U18" s="6" t="n"/>
      <c r="V18" s="6" t="n"/>
    </row>
    <row r="19">
      <c r="A19" s="6" t="n"/>
      <c r="B19" s="231" t="n">
        <v>46388</v>
      </c>
      <c r="C19" s="252">
        <f>SUMPRODUCT(IF(UCRETLER!$G$7:$G$406="",0,UCRETLER!$G$7:$G$406)*(UCRETLER!$F$7:$F$406="Haftalık")*IF(UCRETLER!$C$7:$C$406="",0,IF(IF(IF(UCRETLER!$E$7:$E$406="",999999,UCRETLER!$E$7:$E$406)&gt;EOMONTH($B19,0),EOMONTH($B19,0)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19,0),EOMONTH($B19,0)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19-1,$B19-1,IF(UCRETLER!$E$7:$E$406="",999999,UCRETLER!$E$7:$E$406))&lt;(IF(UCRETLER!$D$7:$D$406="",999999,UCRETLER!$D$7:$D$406)+MOD(SISTEM!$F$8-WEEKDAY(IF(UCRETLER!$D$7:$D$406="",999999,UCRETLER!$D$7:$D$406),2),7)),0,INT((IF(IF(UCRETLER!$E$7:$E$406="",999999,UCRETLER!$E$7:$E$406)&gt;$B19-1,$B19-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19,0)&gt;=IF(UCRETLER!$D$7:$D$406="",999999,UCRETLER!$D$7:$D$406))*(EOMONTH($B19,0)&lt;=IF(UCRETLER!$E$7:$E$406="",999999,UCRETLER!$E$7:$E$406)))</f>
        <v/>
      </c>
      <c r="D19" s="252">
        <f>SUMIFS(TAHSILAT!$F$7:$F$1506,TAHSILAT!$E$7:$E$1506,"&gt;="&amp;$B19,TAHSILAT!$E$7:$E$1506,"&lt;"&amp;EDATE($B19,1))</f>
        <v/>
      </c>
      <c r="E19" s="252">
        <f>SUMIFS(GELIR_GIDER!$G$7:$G$1206,GELIR_GIDER!$D$7:$D$1206,"Gelir",GELIR_GIDER!$C$7:$C$1206,"&gt;="&amp;$B19,GELIR_GIDER!$C$7:$C$1206,"&lt;"&amp;EDATE($B19,1),GELIR_GIDER!$I$7:$I$1206,"Evet")</f>
        <v/>
      </c>
      <c r="F19" s="252">
        <f>$D19+$E19</f>
        <v/>
      </c>
      <c r="G19" s="252">
        <f>SUMIFS(GELIR_GIDER!$G$7:$G$1206,GELIR_GIDER!$D$7:$D$1206,"Gider",GELIR_GIDER!$C$7:$C$1206,"&gt;="&amp;$B19,GELIR_GIDER!$C$7:$C$1206,"&lt;"&amp;EDATE($B19,1),GELIR_GIDER!$I$7:$I$1206,"Evet")</f>
        <v/>
      </c>
      <c r="H19" s="252">
        <f>$C19+$E19-$G19</f>
        <v/>
      </c>
      <c r="I19" s="252">
        <f>$F19-$G19</f>
        <v/>
      </c>
      <c r="J19" s="234">
        <f>IFERROR($D19/$C19,0)</f>
        <v/>
      </c>
      <c r="K19" s="252">
        <f>SISTEM!$C$13</f>
        <v/>
      </c>
      <c r="L19" s="252">
        <f>MAX(0,$I19-$K19)</f>
        <v/>
      </c>
      <c r="M19" s="252">
        <f>$L19*SISTEM!$C$11</f>
        <v/>
      </c>
      <c r="N19" s="252">
        <f>$L19*SISTEM!$C$12</f>
        <v/>
      </c>
      <c r="O19" s="108" t="n"/>
      <c r="P19" s="253" t="n"/>
      <c r="Q19" s="253" t="n"/>
      <c r="R19" s="252">
        <f>MAX(0,$L19-$P19-$Q19)</f>
        <v/>
      </c>
      <c r="S19" s="113">
        <f>IF($B19&gt;=DATE(YEAR(TODAY()),MONTH(TODAY()),1),"AÇIK",IF(COUNTIFS(SISTEM!$C$23:$C$55,"KRİTİK",SISTEM!$F$23:$F$55,"KALDI")&gt;0,"KAPATILAMAZ",IF(COUNTIF(SISTEM!$F$23:$F$55,"KALDI")=0,"KAPANABİLİR","UYARI VAR – KAPATILABİLİR")))</f>
        <v/>
      </c>
      <c r="T19" s="113">
        <f>IF(ABS($L19-$M19-$N19)&lt;0.01,IF(AND($O19="Evet",ABS($R19)&lt;0.01),"KAPANDI","AÇIK"),"PAY HATASI")</f>
        <v/>
      </c>
      <c r="U19" s="6" t="n"/>
      <c r="V19" s="6" t="n"/>
    </row>
    <row r="20">
      <c r="A20" s="6" t="n"/>
      <c r="B20" s="231" t="n">
        <v>46419</v>
      </c>
      <c r="C20" s="252">
        <f>SUMPRODUCT(IF(UCRETLER!$G$7:$G$406="",0,UCRETLER!$G$7:$G$406)*(UCRETLER!$F$7:$F$406="Haftalık")*IF(UCRETLER!$C$7:$C$406="",0,IF(IF(IF(UCRETLER!$E$7:$E$406="",999999,UCRETLER!$E$7:$E$406)&gt;EOMONTH($B20,0),EOMONTH($B20,0)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20,0),EOMONTH($B20,0)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20-1,$B20-1,IF(UCRETLER!$E$7:$E$406="",999999,UCRETLER!$E$7:$E$406))&lt;(IF(UCRETLER!$D$7:$D$406="",999999,UCRETLER!$D$7:$D$406)+MOD(SISTEM!$F$8-WEEKDAY(IF(UCRETLER!$D$7:$D$406="",999999,UCRETLER!$D$7:$D$406),2),7)),0,INT((IF(IF(UCRETLER!$E$7:$E$406="",999999,UCRETLER!$E$7:$E$406)&gt;$B20-1,$B20-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20,0)&gt;=IF(UCRETLER!$D$7:$D$406="",999999,UCRETLER!$D$7:$D$406))*(EOMONTH($B20,0)&lt;=IF(UCRETLER!$E$7:$E$406="",999999,UCRETLER!$E$7:$E$406)))</f>
        <v/>
      </c>
      <c r="D20" s="252">
        <f>SUMIFS(TAHSILAT!$F$7:$F$1506,TAHSILAT!$E$7:$E$1506,"&gt;="&amp;$B20,TAHSILAT!$E$7:$E$1506,"&lt;"&amp;EDATE($B20,1))</f>
        <v/>
      </c>
      <c r="E20" s="252">
        <f>SUMIFS(GELIR_GIDER!$G$7:$G$1206,GELIR_GIDER!$D$7:$D$1206,"Gelir",GELIR_GIDER!$C$7:$C$1206,"&gt;="&amp;$B20,GELIR_GIDER!$C$7:$C$1206,"&lt;"&amp;EDATE($B20,1),GELIR_GIDER!$I$7:$I$1206,"Evet")</f>
        <v/>
      </c>
      <c r="F20" s="252">
        <f>$D20+$E20</f>
        <v/>
      </c>
      <c r="G20" s="252">
        <f>SUMIFS(GELIR_GIDER!$G$7:$G$1206,GELIR_GIDER!$D$7:$D$1206,"Gider",GELIR_GIDER!$C$7:$C$1206,"&gt;="&amp;$B20,GELIR_GIDER!$C$7:$C$1206,"&lt;"&amp;EDATE($B20,1),GELIR_GIDER!$I$7:$I$1206,"Evet")</f>
        <v/>
      </c>
      <c r="H20" s="252">
        <f>$C20+$E20-$G20</f>
        <v/>
      </c>
      <c r="I20" s="252">
        <f>$F20-$G20</f>
        <v/>
      </c>
      <c r="J20" s="234">
        <f>IFERROR($D20/$C20,0)</f>
        <v/>
      </c>
      <c r="K20" s="252">
        <f>SISTEM!$C$13</f>
        <v/>
      </c>
      <c r="L20" s="252">
        <f>MAX(0,$I20-$K20)</f>
        <v/>
      </c>
      <c r="M20" s="252">
        <f>$L20*SISTEM!$C$11</f>
        <v/>
      </c>
      <c r="N20" s="252">
        <f>$L20*SISTEM!$C$12</f>
        <v/>
      </c>
      <c r="O20" s="108" t="n"/>
      <c r="P20" s="253" t="n"/>
      <c r="Q20" s="253" t="n"/>
      <c r="R20" s="252">
        <f>MAX(0,$L20-$P20-$Q20)</f>
        <v/>
      </c>
      <c r="S20" s="113">
        <f>IF($B20&gt;=DATE(YEAR(TODAY()),MONTH(TODAY()),1),"AÇIK",IF(COUNTIFS(SISTEM!$C$23:$C$55,"KRİTİK",SISTEM!$F$23:$F$55,"KALDI")&gt;0,"KAPATILAMAZ",IF(COUNTIF(SISTEM!$F$23:$F$55,"KALDI")=0,"KAPANABİLİR","UYARI VAR – KAPATILABİLİR")))</f>
        <v/>
      </c>
      <c r="T20" s="113">
        <f>IF(ABS($L20-$M20-$N20)&lt;0.01,IF(AND($O20="Evet",ABS($R20)&lt;0.01),"KAPANDI","AÇIK"),"PAY HATASI")</f>
        <v/>
      </c>
      <c r="U20" s="6" t="n"/>
      <c r="V20" s="6" t="n"/>
    </row>
    <row r="21">
      <c r="A21" s="6" t="n"/>
      <c r="B21" s="231" t="n">
        <v>46447</v>
      </c>
      <c r="C21" s="252">
        <f>SUMPRODUCT(IF(UCRETLER!$G$7:$G$406="",0,UCRETLER!$G$7:$G$406)*(UCRETLER!$F$7:$F$406="Haftalık")*IF(UCRETLER!$C$7:$C$406="",0,IF(IF(IF(UCRETLER!$E$7:$E$406="",999999,UCRETLER!$E$7:$E$406)&gt;EOMONTH($B21,0),EOMONTH($B21,0)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21,0),EOMONTH($B21,0)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21-1,$B21-1,IF(UCRETLER!$E$7:$E$406="",999999,UCRETLER!$E$7:$E$406))&lt;(IF(UCRETLER!$D$7:$D$406="",999999,UCRETLER!$D$7:$D$406)+MOD(SISTEM!$F$8-WEEKDAY(IF(UCRETLER!$D$7:$D$406="",999999,UCRETLER!$D$7:$D$406),2),7)),0,INT((IF(IF(UCRETLER!$E$7:$E$406="",999999,UCRETLER!$E$7:$E$406)&gt;$B21-1,$B21-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21,0)&gt;=IF(UCRETLER!$D$7:$D$406="",999999,UCRETLER!$D$7:$D$406))*(EOMONTH($B21,0)&lt;=IF(UCRETLER!$E$7:$E$406="",999999,UCRETLER!$E$7:$E$406)))</f>
        <v/>
      </c>
      <c r="D21" s="252">
        <f>SUMIFS(TAHSILAT!$F$7:$F$1506,TAHSILAT!$E$7:$E$1506,"&gt;="&amp;$B21,TAHSILAT!$E$7:$E$1506,"&lt;"&amp;EDATE($B21,1))</f>
        <v/>
      </c>
      <c r="E21" s="252">
        <f>SUMIFS(GELIR_GIDER!$G$7:$G$1206,GELIR_GIDER!$D$7:$D$1206,"Gelir",GELIR_GIDER!$C$7:$C$1206,"&gt;="&amp;$B21,GELIR_GIDER!$C$7:$C$1206,"&lt;"&amp;EDATE($B21,1),GELIR_GIDER!$I$7:$I$1206,"Evet")</f>
        <v/>
      </c>
      <c r="F21" s="252">
        <f>$D21+$E21</f>
        <v/>
      </c>
      <c r="G21" s="252">
        <f>SUMIFS(GELIR_GIDER!$G$7:$G$1206,GELIR_GIDER!$D$7:$D$1206,"Gider",GELIR_GIDER!$C$7:$C$1206,"&gt;="&amp;$B21,GELIR_GIDER!$C$7:$C$1206,"&lt;"&amp;EDATE($B21,1),GELIR_GIDER!$I$7:$I$1206,"Evet")</f>
        <v/>
      </c>
      <c r="H21" s="252">
        <f>$C21+$E21-$G21</f>
        <v/>
      </c>
      <c r="I21" s="252">
        <f>$F21-$G21</f>
        <v/>
      </c>
      <c r="J21" s="234">
        <f>IFERROR($D21/$C21,0)</f>
        <v/>
      </c>
      <c r="K21" s="252">
        <f>SISTEM!$C$13</f>
        <v/>
      </c>
      <c r="L21" s="252">
        <f>MAX(0,$I21-$K21)</f>
        <v/>
      </c>
      <c r="M21" s="252">
        <f>$L21*SISTEM!$C$11</f>
        <v/>
      </c>
      <c r="N21" s="252">
        <f>$L21*SISTEM!$C$12</f>
        <v/>
      </c>
      <c r="O21" s="108" t="n"/>
      <c r="P21" s="253" t="n"/>
      <c r="Q21" s="253" t="n"/>
      <c r="R21" s="252">
        <f>MAX(0,$L21-$P21-$Q21)</f>
        <v/>
      </c>
      <c r="S21" s="113">
        <f>IF($B21&gt;=DATE(YEAR(TODAY()),MONTH(TODAY()),1),"AÇIK",IF(COUNTIFS(SISTEM!$C$23:$C$55,"KRİTİK",SISTEM!$F$23:$F$55,"KALDI")&gt;0,"KAPATILAMAZ",IF(COUNTIF(SISTEM!$F$23:$F$55,"KALDI")=0,"KAPANABİLİR","UYARI VAR – KAPATILABİLİR")))</f>
        <v/>
      </c>
      <c r="T21" s="113">
        <f>IF(ABS($L21-$M21-$N21)&lt;0.01,IF(AND($O21="Evet",ABS($R21)&lt;0.01),"KAPANDI","AÇIK"),"PAY HATASI")</f>
        <v/>
      </c>
      <c r="U21" s="6" t="n"/>
      <c r="V21" s="6" t="n"/>
    </row>
    <row r="22">
      <c r="A22" s="6" t="n"/>
      <c r="B22" s="231" t="n">
        <v>46478</v>
      </c>
      <c r="C22" s="252">
        <f>SUMPRODUCT(IF(UCRETLER!$G$7:$G$406="",0,UCRETLER!$G$7:$G$406)*(UCRETLER!$F$7:$F$406="Haftalık")*IF(UCRETLER!$C$7:$C$406="",0,IF(IF(IF(UCRETLER!$E$7:$E$406="",999999,UCRETLER!$E$7:$E$406)&gt;EOMONTH($B22,0),EOMONTH($B22,0)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22,0),EOMONTH($B22,0)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22-1,$B22-1,IF(UCRETLER!$E$7:$E$406="",999999,UCRETLER!$E$7:$E$406))&lt;(IF(UCRETLER!$D$7:$D$406="",999999,UCRETLER!$D$7:$D$406)+MOD(SISTEM!$F$8-WEEKDAY(IF(UCRETLER!$D$7:$D$406="",999999,UCRETLER!$D$7:$D$406),2),7)),0,INT((IF(IF(UCRETLER!$E$7:$E$406="",999999,UCRETLER!$E$7:$E$406)&gt;$B22-1,$B22-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22,0)&gt;=IF(UCRETLER!$D$7:$D$406="",999999,UCRETLER!$D$7:$D$406))*(EOMONTH($B22,0)&lt;=IF(UCRETLER!$E$7:$E$406="",999999,UCRETLER!$E$7:$E$406)))</f>
        <v/>
      </c>
      <c r="D22" s="252">
        <f>SUMIFS(TAHSILAT!$F$7:$F$1506,TAHSILAT!$E$7:$E$1506,"&gt;="&amp;$B22,TAHSILAT!$E$7:$E$1506,"&lt;"&amp;EDATE($B22,1))</f>
        <v/>
      </c>
      <c r="E22" s="252">
        <f>SUMIFS(GELIR_GIDER!$G$7:$G$1206,GELIR_GIDER!$D$7:$D$1206,"Gelir",GELIR_GIDER!$C$7:$C$1206,"&gt;="&amp;$B22,GELIR_GIDER!$C$7:$C$1206,"&lt;"&amp;EDATE($B22,1),GELIR_GIDER!$I$7:$I$1206,"Evet")</f>
        <v/>
      </c>
      <c r="F22" s="252">
        <f>$D22+$E22</f>
        <v/>
      </c>
      <c r="G22" s="252">
        <f>SUMIFS(GELIR_GIDER!$G$7:$G$1206,GELIR_GIDER!$D$7:$D$1206,"Gider",GELIR_GIDER!$C$7:$C$1206,"&gt;="&amp;$B22,GELIR_GIDER!$C$7:$C$1206,"&lt;"&amp;EDATE($B22,1),GELIR_GIDER!$I$7:$I$1206,"Evet")</f>
        <v/>
      </c>
      <c r="H22" s="252">
        <f>$C22+$E22-$G22</f>
        <v/>
      </c>
      <c r="I22" s="252">
        <f>$F22-$G22</f>
        <v/>
      </c>
      <c r="J22" s="234">
        <f>IFERROR($D22/$C22,0)</f>
        <v/>
      </c>
      <c r="K22" s="252">
        <f>SISTEM!$C$13</f>
        <v/>
      </c>
      <c r="L22" s="252">
        <f>MAX(0,$I22-$K22)</f>
        <v/>
      </c>
      <c r="M22" s="252">
        <f>$L22*SISTEM!$C$11</f>
        <v/>
      </c>
      <c r="N22" s="252">
        <f>$L22*SISTEM!$C$12</f>
        <v/>
      </c>
      <c r="O22" s="108" t="n"/>
      <c r="P22" s="253" t="n"/>
      <c r="Q22" s="253" t="n"/>
      <c r="R22" s="252">
        <f>MAX(0,$L22-$P22-$Q22)</f>
        <v/>
      </c>
      <c r="S22" s="113">
        <f>IF($B22&gt;=DATE(YEAR(TODAY()),MONTH(TODAY()),1),"AÇIK",IF(COUNTIFS(SISTEM!$C$23:$C$55,"KRİTİK",SISTEM!$F$23:$F$55,"KALDI")&gt;0,"KAPATILAMAZ",IF(COUNTIF(SISTEM!$F$23:$F$55,"KALDI")=0,"KAPANABİLİR","UYARI VAR – KAPATILABİLİR")))</f>
        <v/>
      </c>
      <c r="T22" s="113">
        <f>IF(ABS($L22-$M22-$N22)&lt;0.01,IF(AND($O22="Evet",ABS($R22)&lt;0.01),"KAPANDI","AÇIK"),"PAY HATASI")</f>
        <v/>
      </c>
      <c r="U22" s="6" t="n"/>
      <c r="V22" s="6" t="n"/>
    </row>
    <row r="23">
      <c r="A23" s="6" t="n"/>
      <c r="B23" s="231" t="n">
        <v>46508</v>
      </c>
      <c r="C23" s="252">
        <f>SUMPRODUCT(IF(UCRETLER!$G$7:$G$406="",0,UCRETLER!$G$7:$G$406)*(UCRETLER!$F$7:$F$406="Haftalık")*IF(UCRETLER!$C$7:$C$406="",0,IF(IF(IF(UCRETLER!$E$7:$E$406="",999999,UCRETLER!$E$7:$E$406)&gt;EOMONTH($B23,0),EOMONTH($B23,0)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23,0),EOMONTH($B23,0)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23-1,$B23-1,IF(UCRETLER!$E$7:$E$406="",999999,UCRETLER!$E$7:$E$406))&lt;(IF(UCRETLER!$D$7:$D$406="",999999,UCRETLER!$D$7:$D$406)+MOD(SISTEM!$F$8-WEEKDAY(IF(UCRETLER!$D$7:$D$406="",999999,UCRETLER!$D$7:$D$406),2),7)),0,INT((IF(IF(UCRETLER!$E$7:$E$406="",999999,UCRETLER!$E$7:$E$406)&gt;$B23-1,$B23-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23,0)&gt;=IF(UCRETLER!$D$7:$D$406="",999999,UCRETLER!$D$7:$D$406))*(EOMONTH($B23,0)&lt;=IF(UCRETLER!$E$7:$E$406="",999999,UCRETLER!$E$7:$E$406)))</f>
        <v/>
      </c>
      <c r="D23" s="252">
        <f>SUMIFS(TAHSILAT!$F$7:$F$1506,TAHSILAT!$E$7:$E$1506,"&gt;="&amp;$B23,TAHSILAT!$E$7:$E$1506,"&lt;"&amp;EDATE($B23,1))</f>
        <v/>
      </c>
      <c r="E23" s="252">
        <f>SUMIFS(GELIR_GIDER!$G$7:$G$1206,GELIR_GIDER!$D$7:$D$1206,"Gelir",GELIR_GIDER!$C$7:$C$1206,"&gt;="&amp;$B23,GELIR_GIDER!$C$7:$C$1206,"&lt;"&amp;EDATE($B23,1),GELIR_GIDER!$I$7:$I$1206,"Evet")</f>
        <v/>
      </c>
      <c r="F23" s="252">
        <f>$D23+$E23</f>
        <v/>
      </c>
      <c r="G23" s="252">
        <f>SUMIFS(GELIR_GIDER!$G$7:$G$1206,GELIR_GIDER!$D$7:$D$1206,"Gider",GELIR_GIDER!$C$7:$C$1206,"&gt;="&amp;$B23,GELIR_GIDER!$C$7:$C$1206,"&lt;"&amp;EDATE($B23,1),GELIR_GIDER!$I$7:$I$1206,"Evet")</f>
        <v/>
      </c>
      <c r="H23" s="252">
        <f>$C23+$E23-$G23</f>
        <v/>
      </c>
      <c r="I23" s="252">
        <f>$F23-$G23</f>
        <v/>
      </c>
      <c r="J23" s="234">
        <f>IFERROR($D23/$C23,0)</f>
        <v/>
      </c>
      <c r="K23" s="252">
        <f>SISTEM!$C$13</f>
        <v/>
      </c>
      <c r="L23" s="252">
        <f>MAX(0,$I23-$K23)</f>
        <v/>
      </c>
      <c r="M23" s="252">
        <f>$L23*SISTEM!$C$11</f>
        <v/>
      </c>
      <c r="N23" s="252">
        <f>$L23*SISTEM!$C$12</f>
        <v/>
      </c>
      <c r="O23" s="108" t="n"/>
      <c r="P23" s="253" t="n"/>
      <c r="Q23" s="253" t="n"/>
      <c r="R23" s="252">
        <f>MAX(0,$L23-$P23-$Q23)</f>
        <v/>
      </c>
      <c r="S23" s="113">
        <f>IF($B23&gt;=DATE(YEAR(TODAY()),MONTH(TODAY()),1),"AÇIK",IF(COUNTIFS(SISTEM!$C$23:$C$55,"KRİTİK",SISTEM!$F$23:$F$55,"KALDI")&gt;0,"KAPATILAMAZ",IF(COUNTIF(SISTEM!$F$23:$F$55,"KALDI")=0,"KAPANABİLİR","UYARI VAR – KAPATILABİLİR")))</f>
        <v/>
      </c>
      <c r="T23" s="113">
        <f>IF(ABS($L23-$M23-$N23)&lt;0.01,IF(AND($O23="Evet",ABS($R23)&lt;0.01),"KAPANDI","AÇIK"),"PAY HATASI")</f>
        <v/>
      </c>
      <c r="U23" s="6" t="n"/>
      <c r="V23" s="6" t="n"/>
    </row>
    <row r="24">
      <c r="A24" s="6" t="n"/>
      <c r="B24" s="231" t="n">
        <v>46539</v>
      </c>
      <c r="C24" s="252">
        <f>SUMPRODUCT(IF(UCRETLER!$G$7:$G$406="",0,UCRETLER!$G$7:$G$406)*(UCRETLER!$F$7:$F$406="Haftalık")*IF(UCRETLER!$C$7:$C$406="",0,IF(IF(IF(UCRETLER!$E$7:$E$406="",999999,UCRETLER!$E$7:$E$406)&gt;EOMONTH($B24,0),EOMONTH($B24,0)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24,0),EOMONTH($B24,0)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24-1,$B24-1,IF(UCRETLER!$E$7:$E$406="",999999,UCRETLER!$E$7:$E$406))&lt;(IF(UCRETLER!$D$7:$D$406="",999999,UCRETLER!$D$7:$D$406)+MOD(SISTEM!$F$8-WEEKDAY(IF(UCRETLER!$D$7:$D$406="",999999,UCRETLER!$D$7:$D$406),2),7)),0,INT((IF(IF(UCRETLER!$E$7:$E$406="",999999,UCRETLER!$E$7:$E$406)&gt;$B24-1,$B24-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24,0)&gt;=IF(UCRETLER!$D$7:$D$406="",999999,UCRETLER!$D$7:$D$406))*(EOMONTH($B24,0)&lt;=IF(UCRETLER!$E$7:$E$406="",999999,UCRETLER!$E$7:$E$406)))</f>
        <v/>
      </c>
      <c r="D24" s="252">
        <f>SUMIFS(TAHSILAT!$F$7:$F$1506,TAHSILAT!$E$7:$E$1506,"&gt;="&amp;$B24,TAHSILAT!$E$7:$E$1506,"&lt;"&amp;EDATE($B24,1))</f>
        <v/>
      </c>
      <c r="E24" s="252">
        <f>SUMIFS(GELIR_GIDER!$G$7:$G$1206,GELIR_GIDER!$D$7:$D$1206,"Gelir",GELIR_GIDER!$C$7:$C$1206,"&gt;="&amp;$B24,GELIR_GIDER!$C$7:$C$1206,"&lt;"&amp;EDATE($B24,1),GELIR_GIDER!$I$7:$I$1206,"Evet")</f>
        <v/>
      </c>
      <c r="F24" s="252">
        <f>$D24+$E24</f>
        <v/>
      </c>
      <c r="G24" s="252">
        <f>SUMIFS(GELIR_GIDER!$G$7:$G$1206,GELIR_GIDER!$D$7:$D$1206,"Gider",GELIR_GIDER!$C$7:$C$1206,"&gt;="&amp;$B24,GELIR_GIDER!$C$7:$C$1206,"&lt;"&amp;EDATE($B24,1),GELIR_GIDER!$I$7:$I$1206,"Evet")</f>
        <v/>
      </c>
      <c r="H24" s="252">
        <f>$C24+$E24-$G24</f>
        <v/>
      </c>
      <c r="I24" s="252">
        <f>$F24-$G24</f>
        <v/>
      </c>
      <c r="J24" s="234">
        <f>IFERROR($D24/$C24,0)</f>
        <v/>
      </c>
      <c r="K24" s="252">
        <f>SISTEM!$C$13</f>
        <v/>
      </c>
      <c r="L24" s="252">
        <f>MAX(0,$I24-$K24)</f>
        <v/>
      </c>
      <c r="M24" s="252">
        <f>$L24*SISTEM!$C$11</f>
        <v/>
      </c>
      <c r="N24" s="252">
        <f>$L24*SISTEM!$C$12</f>
        <v/>
      </c>
      <c r="O24" s="108" t="n"/>
      <c r="P24" s="253" t="n"/>
      <c r="Q24" s="253" t="n"/>
      <c r="R24" s="252">
        <f>MAX(0,$L24-$P24-$Q24)</f>
        <v/>
      </c>
      <c r="S24" s="113">
        <f>IF($B24&gt;=DATE(YEAR(TODAY()),MONTH(TODAY()),1),"AÇIK",IF(COUNTIFS(SISTEM!$C$23:$C$55,"KRİTİK",SISTEM!$F$23:$F$55,"KALDI")&gt;0,"KAPATILAMAZ",IF(COUNTIF(SISTEM!$F$23:$F$55,"KALDI")=0,"KAPANABİLİR","UYARI VAR – KAPATILABİLİR")))</f>
        <v/>
      </c>
      <c r="T24" s="113">
        <f>IF(ABS($L24-$M24-$N24)&lt;0.01,IF(AND($O24="Evet",ABS($R24)&lt;0.01),"KAPANDI","AÇIK"),"PAY HATASI")</f>
        <v/>
      </c>
      <c r="U24" s="6" t="n"/>
      <c r="V24" s="6" t="n"/>
    </row>
    <row r="25">
      <c r="A25" s="6" t="n"/>
      <c r="B25" s="231" t="n">
        <v>46569</v>
      </c>
      <c r="C25" s="252">
        <f>SUMPRODUCT(IF(UCRETLER!$G$7:$G$406="",0,UCRETLER!$G$7:$G$406)*(UCRETLER!$F$7:$F$406="Haftalık")*IF(UCRETLER!$C$7:$C$406="",0,IF(IF(IF(UCRETLER!$E$7:$E$406="",999999,UCRETLER!$E$7:$E$406)&gt;EOMONTH($B25,0),EOMONTH($B25,0)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25,0),EOMONTH($B25,0)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25-1,$B25-1,IF(UCRETLER!$E$7:$E$406="",999999,UCRETLER!$E$7:$E$406))&lt;(IF(UCRETLER!$D$7:$D$406="",999999,UCRETLER!$D$7:$D$406)+MOD(SISTEM!$F$8-WEEKDAY(IF(UCRETLER!$D$7:$D$406="",999999,UCRETLER!$D$7:$D$406),2),7)),0,INT((IF(IF(UCRETLER!$E$7:$E$406="",999999,UCRETLER!$E$7:$E$406)&gt;$B25-1,$B25-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25,0)&gt;=IF(UCRETLER!$D$7:$D$406="",999999,UCRETLER!$D$7:$D$406))*(EOMONTH($B25,0)&lt;=IF(UCRETLER!$E$7:$E$406="",999999,UCRETLER!$E$7:$E$406)))</f>
        <v/>
      </c>
      <c r="D25" s="252">
        <f>SUMIFS(TAHSILAT!$F$7:$F$1506,TAHSILAT!$E$7:$E$1506,"&gt;="&amp;$B25,TAHSILAT!$E$7:$E$1506,"&lt;"&amp;EDATE($B25,1))</f>
        <v/>
      </c>
      <c r="E25" s="252">
        <f>SUMIFS(GELIR_GIDER!$G$7:$G$1206,GELIR_GIDER!$D$7:$D$1206,"Gelir",GELIR_GIDER!$C$7:$C$1206,"&gt;="&amp;$B25,GELIR_GIDER!$C$7:$C$1206,"&lt;"&amp;EDATE($B25,1),GELIR_GIDER!$I$7:$I$1206,"Evet")</f>
        <v/>
      </c>
      <c r="F25" s="252">
        <f>$D25+$E25</f>
        <v/>
      </c>
      <c r="G25" s="252">
        <f>SUMIFS(GELIR_GIDER!$G$7:$G$1206,GELIR_GIDER!$D$7:$D$1206,"Gider",GELIR_GIDER!$C$7:$C$1206,"&gt;="&amp;$B25,GELIR_GIDER!$C$7:$C$1206,"&lt;"&amp;EDATE($B25,1),GELIR_GIDER!$I$7:$I$1206,"Evet")</f>
        <v/>
      </c>
      <c r="H25" s="252">
        <f>$C25+$E25-$G25</f>
        <v/>
      </c>
      <c r="I25" s="252">
        <f>$F25-$G25</f>
        <v/>
      </c>
      <c r="J25" s="234">
        <f>IFERROR($D25/$C25,0)</f>
        <v/>
      </c>
      <c r="K25" s="252">
        <f>SISTEM!$C$13</f>
        <v/>
      </c>
      <c r="L25" s="252">
        <f>MAX(0,$I25-$K25)</f>
        <v/>
      </c>
      <c r="M25" s="252">
        <f>$L25*SISTEM!$C$11</f>
        <v/>
      </c>
      <c r="N25" s="252">
        <f>$L25*SISTEM!$C$12</f>
        <v/>
      </c>
      <c r="O25" s="108" t="n"/>
      <c r="P25" s="253" t="n"/>
      <c r="Q25" s="253" t="n"/>
      <c r="R25" s="252">
        <f>MAX(0,$L25-$P25-$Q25)</f>
        <v/>
      </c>
      <c r="S25" s="113">
        <f>IF($B25&gt;=DATE(YEAR(TODAY()),MONTH(TODAY()),1),"AÇIK",IF(COUNTIFS(SISTEM!$C$23:$C$55,"KRİTİK",SISTEM!$F$23:$F$55,"KALDI")&gt;0,"KAPATILAMAZ",IF(COUNTIF(SISTEM!$F$23:$F$55,"KALDI")=0,"KAPANABİLİR","UYARI VAR – KAPATILABİLİR")))</f>
        <v/>
      </c>
      <c r="T25" s="113">
        <f>IF(ABS($L25-$M25-$N25)&lt;0.01,IF(AND($O25="Evet",ABS($R25)&lt;0.01),"KAPANDI","AÇIK"),"PAY HATASI")</f>
        <v/>
      </c>
      <c r="U25" s="6" t="n"/>
      <c r="V25" s="6" t="n"/>
    </row>
    <row r="26">
      <c r="A26" s="6" t="n"/>
      <c r="B26" s="231" t="n">
        <v>46600</v>
      </c>
      <c r="C26" s="252">
        <f>SUMPRODUCT(IF(UCRETLER!$G$7:$G$406="",0,UCRETLER!$G$7:$G$406)*(UCRETLER!$F$7:$F$406="Haftalık")*IF(UCRETLER!$C$7:$C$406="",0,IF(IF(IF(UCRETLER!$E$7:$E$406="",999999,UCRETLER!$E$7:$E$406)&gt;EOMONTH($B26,0),EOMONTH($B26,0)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26,0),EOMONTH($B26,0)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26-1,$B26-1,IF(UCRETLER!$E$7:$E$406="",999999,UCRETLER!$E$7:$E$406))&lt;(IF(UCRETLER!$D$7:$D$406="",999999,UCRETLER!$D$7:$D$406)+MOD(SISTEM!$F$8-WEEKDAY(IF(UCRETLER!$D$7:$D$406="",999999,UCRETLER!$D$7:$D$406),2),7)),0,INT((IF(IF(UCRETLER!$E$7:$E$406="",999999,UCRETLER!$E$7:$E$406)&gt;$B26-1,$B26-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26,0)&gt;=IF(UCRETLER!$D$7:$D$406="",999999,UCRETLER!$D$7:$D$406))*(EOMONTH($B26,0)&lt;=IF(UCRETLER!$E$7:$E$406="",999999,UCRETLER!$E$7:$E$406)))</f>
        <v/>
      </c>
      <c r="D26" s="252">
        <f>SUMIFS(TAHSILAT!$F$7:$F$1506,TAHSILAT!$E$7:$E$1506,"&gt;="&amp;$B26,TAHSILAT!$E$7:$E$1506,"&lt;"&amp;EDATE($B26,1))</f>
        <v/>
      </c>
      <c r="E26" s="252">
        <f>SUMIFS(GELIR_GIDER!$G$7:$G$1206,GELIR_GIDER!$D$7:$D$1206,"Gelir",GELIR_GIDER!$C$7:$C$1206,"&gt;="&amp;$B26,GELIR_GIDER!$C$7:$C$1206,"&lt;"&amp;EDATE($B26,1),GELIR_GIDER!$I$7:$I$1206,"Evet")</f>
        <v/>
      </c>
      <c r="F26" s="252">
        <f>$D26+$E26</f>
        <v/>
      </c>
      <c r="G26" s="252">
        <f>SUMIFS(GELIR_GIDER!$G$7:$G$1206,GELIR_GIDER!$D$7:$D$1206,"Gider",GELIR_GIDER!$C$7:$C$1206,"&gt;="&amp;$B26,GELIR_GIDER!$C$7:$C$1206,"&lt;"&amp;EDATE($B26,1),GELIR_GIDER!$I$7:$I$1206,"Evet")</f>
        <v/>
      </c>
      <c r="H26" s="252">
        <f>$C26+$E26-$G26</f>
        <v/>
      </c>
      <c r="I26" s="252">
        <f>$F26-$G26</f>
        <v/>
      </c>
      <c r="J26" s="234">
        <f>IFERROR($D26/$C26,0)</f>
        <v/>
      </c>
      <c r="K26" s="252">
        <f>SISTEM!$C$13</f>
        <v/>
      </c>
      <c r="L26" s="252">
        <f>MAX(0,$I26-$K26)</f>
        <v/>
      </c>
      <c r="M26" s="252">
        <f>$L26*SISTEM!$C$11</f>
        <v/>
      </c>
      <c r="N26" s="252">
        <f>$L26*SISTEM!$C$12</f>
        <v/>
      </c>
      <c r="O26" s="108" t="n"/>
      <c r="P26" s="253" t="n"/>
      <c r="Q26" s="253" t="n"/>
      <c r="R26" s="252">
        <f>MAX(0,$L26-$P26-$Q26)</f>
        <v/>
      </c>
      <c r="S26" s="113">
        <f>IF($B26&gt;=DATE(YEAR(TODAY()),MONTH(TODAY()),1),"AÇIK",IF(COUNTIFS(SISTEM!$C$23:$C$55,"KRİTİK",SISTEM!$F$23:$F$55,"KALDI")&gt;0,"KAPATILAMAZ",IF(COUNTIF(SISTEM!$F$23:$F$55,"KALDI")=0,"KAPANABİLİR","UYARI VAR – KAPATILABİLİR")))</f>
        <v/>
      </c>
      <c r="T26" s="113">
        <f>IF(ABS($L26-$M26-$N26)&lt;0.01,IF(AND($O26="Evet",ABS($R26)&lt;0.01),"KAPANDI","AÇIK"),"PAY HATASI")</f>
        <v/>
      </c>
      <c r="U26" s="6" t="n"/>
      <c r="V26" s="6" t="n"/>
    </row>
    <row r="27">
      <c r="A27" s="6" t="n"/>
      <c r="B27" s="231" t="n">
        <v>46631</v>
      </c>
      <c r="C27" s="252">
        <f>SUMPRODUCT(IF(UCRETLER!$G$7:$G$406="",0,UCRETLER!$G$7:$G$406)*(UCRETLER!$F$7:$F$406="Haftalık")*IF(UCRETLER!$C$7:$C$406="",0,IF(IF(IF(UCRETLER!$E$7:$E$406="",999999,UCRETLER!$E$7:$E$406)&gt;EOMONTH($B27,0),EOMONTH($B27,0)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27,0),EOMONTH($B27,0)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27-1,$B27-1,IF(UCRETLER!$E$7:$E$406="",999999,UCRETLER!$E$7:$E$406))&lt;(IF(UCRETLER!$D$7:$D$406="",999999,UCRETLER!$D$7:$D$406)+MOD(SISTEM!$F$8-WEEKDAY(IF(UCRETLER!$D$7:$D$406="",999999,UCRETLER!$D$7:$D$406),2),7)),0,INT((IF(IF(UCRETLER!$E$7:$E$406="",999999,UCRETLER!$E$7:$E$406)&gt;$B27-1,$B27-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27,0)&gt;=IF(UCRETLER!$D$7:$D$406="",999999,UCRETLER!$D$7:$D$406))*(EOMONTH($B27,0)&lt;=IF(UCRETLER!$E$7:$E$406="",999999,UCRETLER!$E$7:$E$406)))</f>
        <v/>
      </c>
      <c r="D27" s="252">
        <f>SUMIFS(TAHSILAT!$F$7:$F$1506,TAHSILAT!$E$7:$E$1506,"&gt;="&amp;$B27,TAHSILAT!$E$7:$E$1506,"&lt;"&amp;EDATE($B27,1))</f>
        <v/>
      </c>
      <c r="E27" s="252">
        <f>SUMIFS(GELIR_GIDER!$G$7:$G$1206,GELIR_GIDER!$D$7:$D$1206,"Gelir",GELIR_GIDER!$C$7:$C$1206,"&gt;="&amp;$B27,GELIR_GIDER!$C$7:$C$1206,"&lt;"&amp;EDATE($B27,1),GELIR_GIDER!$I$7:$I$1206,"Evet")</f>
        <v/>
      </c>
      <c r="F27" s="252">
        <f>$D27+$E27</f>
        <v/>
      </c>
      <c r="G27" s="252">
        <f>SUMIFS(GELIR_GIDER!$G$7:$G$1206,GELIR_GIDER!$D$7:$D$1206,"Gider",GELIR_GIDER!$C$7:$C$1206,"&gt;="&amp;$B27,GELIR_GIDER!$C$7:$C$1206,"&lt;"&amp;EDATE($B27,1),GELIR_GIDER!$I$7:$I$1206,"Evet")</f>
        <v/>
      </c>
      <c r="H27" s="252">
        <f>$C27+$E27-$G27</f>
        <v/>
      </c>
      <c r="I27" s="252">
        <f>$F27-$G27</f>
        <v/>
      </c>
      <c r="J27" s="234">
        <f>IFERROR($D27/$C27,0)</f>
        <v/>
      </c>
      <c r="K27" s="252">
        <f>SISTEM!$C$13</f>
        <v/>
      </c>
      <c r="L27" s="252">
        <f>MAX(0,$I27-$K27)</f>
        <v/>
      </c>
      <c r="M27" s="252">
        <f>$L27*SISTEM!$C$11</f>
        <v/>
      </c>
      <c r="N27" s="252">
        <f>$L27*SISTEM!$C$12</f>
        <v/>
      </c>
      <c r="O27" s="108" t="n"/>
      <c r="P27" s="253" t="n"/>
      <c r="Q27" s="253" t="n"/>
      <c r="R27" s="252">
        <f>MAX(0,$L27-$P27-$Q27)</f>
        <v/>
      </c>
      <c r="S27" s="113">
        <f>IF($B27&gt;=DATE(YEAR(TODAY()),MONTH(TODAY()),1),"AÇIK",IF(COUNTIFS(SISTEM!$C$23:$C$55,"KRİTİK",SISTEM!$F$23:$F$55,"KALDI")&gt;0,"KAPATILAMAZ",IF(COUNTIF(SISTEM!$F$23:$F$55,"KALDI")=0,"KAPANABİLİR","UYARI VAR – KAPATILABİLİR")))</f>
        <v/>
      </c>
      <c r="T27" s="113">
        <f>IF(ABS($L27-$M27-$N27)&lt;0.01,IF(AND($O27="Evet",ABS($R27)&lt;0.01),"KAPANDI","AÇIK"),"PAY HATASI")</f>
        <v/>
      </c>
      <c r="U27" s="6" t="n"/>
      <c r="V27" s="6" t="n"/>
    </row>
    <row r="28">
      <c r="A28" s="6" t="n"/>
      <c r="B28" s="231" t="n">
        <v>46661</v>
      </c>
      <c r="C28" s="252">
        <f>SUMPRODUCT(IF(UCRETLER!$G$7:$G$406="",0,UCRETLER!$G$7:$G$406)*(UCRETLER!$F$7:$F$406="Haftalık")*IF(UCRETLER!$C$7:$C$406="",0,IF(IF(IF(UCRETLER!$E$7:$E$406="",999999,UCRETLER!$E$7:$E$406)&gt;EOMONTH($B28,0),EOMONTH($B28,0)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28,0),EOMONTH($B28,0)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28-1,$B28-1,IF(UCRETLER!$E$7:$E$406="",999999,UCRETLER!$E$7:$E$406))&lt;(IF(UCRETLER!$D$7:$D$406="",999999,UCRETLER!$D$7:$D$406)+MOD(SISTEM!$F$8-WEEKDAY(IF(UCRETLER!$D$7:$D$406="",999999,UCRETLER!$D$7:$D$406),2),7)),0,INT((IF(IF(UCRETLER!$E$7:$E$406="",999999,UCRETLER!$E$7:$E$406)&gt;$B28-1,$B28-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28,0)&gt;=IF(UCRETLER!$D$7:$D$406="",999999,UCRETLER!$D$7:$D$406))*(EOMONTH($B28,0)&lt;=IF(UCRETLER!$E$7:$E$406="",999999,UCRETLER!$E$7:$E$406)))</f>
        <v/>
      </c>
      <c r="D28" s="252">
        <f>SUMIFS(TAHSILAT!$F$7:$F$1506,TAHSILAT!$E$7:$E$1506,"&gt;="&amp;$B28,TAHSILAT!$E$7:$E$1506,"&lt;"&amp;EDATE($B28,1))</f>
        <v/>
      </c>
      <c r="E28" s="252">
        <f>SUMIFS(GELIR_GIDER!$G$7:$G$1206,GELIR_GIDER!$D$7:$D$1206,"Gelir",GELIR_GIDER!$C$7:$C$1206,"&gt;="&amp;$B28,GELIR_GIDER!$C$7:$C$1206,"&lt;"&amp;EDATE($B28,1),GELIR_GIDER!$I$7:$I$1206,"Evet")</f>
        <v/>
      </c>
      <c r="F28" s="252">
        <f>$D28+$E28</f>
        <v/>
      </c>
      <c r="G28" s="252">
        <f>SUMIFS(GELIR_GIDER!$G$7:$G$1206,GELIR_GIDER!$D$7:$D$1206,"Gider",GELIR_GIDER!$C$7:$C$1206,"&gt;="&amp;$B28,GELIR_GIDER!$C$7:$C$1206,"&lt;"&amp;EDATE($B28,1),GELIR_GIDER!$I$7:$I$1206,"Evet")</f>
        <v/>
      </c>
      <c r="H28" s="252">
        <f>$C28+$E28-$G28</f>
        <v/>
      </c>
      <c r="I28" s="252">
        <f>$F28-$G28</f>
        <v/>
      </c>
      <c r="J28" s="234">
        <f>IFERROR($D28/$C28,0)</f>
        <v/>
      </c>
      <c r="K28" s="252">
        <f>SISTEM!$C$13</f>
        <v/>
      </c>
      <c r="L28" s="252">
        <f>MAX(0,$I28-$K28)</f>
        <v/>
      </c>
      <c r="M28" s="252">
        <f>$L28*SISTEM!$C$11</f>
        <v/>
      </c>
      <c r="N28" s="252">
        <f>$L28*SISTEM!$C$12</f>
        <v/>
      </c>
      <c r="O28" s="108" t="n"/>
      <c r="P28" s="253" t="n"/>
      <c r="Q28" s="253" t="n"/>
      <c r="R28" s="252">
        <f>MAX(0,$L28-$P28-$Q28)</f>
        <v/>
      </c>
      <c r="S28" s="113">
        <f>IF($B28&gt;=DATE(YEAR(TODAY()),MONTH(TODAY()),1),"AÇIK",IF(COUNTIFS(SISTEM!$C$23:$C$55,"KRİTİK",SISTEM!$F$23:$F$55,"KALDI")&gt;0,"KAPATILAMAZ",IF(COUNTIF(SISTEM!$F$23:$F$55,"KALDI")=0,"KAPANABİLİR","UYARI VAR – KAPATILABİLİR")))</f>
        <v/>
      </c>
      <c r="T28" s="113">
        <f>IF(ABS($L28-$M28-$N28)&lt;0.01,IF(AND($O28="Evet",ABS($R28)&lt;0.01),"KAPANDI","AÇIK"),"PAY HATASI")</f>
        <v/>
      </c>
      <c r="U28" s="6" t="n"/>
      <c r="V28" s="6" t="n"/>
    </row>
    <row r="29">
      <c r="A29" s="6" t="n"/>
      <c r="B29" s="231" t="n">
        <v>46692</v>
      </c>
      <c r="C29" s="252">
        <f>SUMPRODUCT(IF(UCRETLER!$G$7:$G$406="",0,UCRETLER!$G$7:$G$406)*(UCRETLER!$F$7:$F$406="Haftalık")*IF(UCRETLER!$C$7:$C$406="",0,IF(IF(IF(UCRETLER!$E$7:$E$406="",999999,UCRETLER!$E$7:$E$406)&gt;EOMONTH($B29,0),EOMONTH($B29,0)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29,0),EOMONTH($B29,0)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29-1,$B29-1,IF(UCRETLER!$E$7:$E$406="",999999,UCRETLER!$E$7:$E$406))&lt;(IF(UCRETLER!$D$7:$D$406="",999999,UCRETLER!$D$7:$D$406)+MOD(SISTEM!$F$8-WEEKDAY(IF(UCRETLER!$D$7:$D$406="",999999,UCRETLER!$D$7:$D$406),2),7)),0,INT((IF(IF(UCRETLER!$E$7:$E$406="",999999,UCRETLER!$E$7:$E$406)&gt;$B29-1,$B29-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29,0)&gt;=IF(UCRETLER!$D$7:$D$406="",999999,UCRETLER!$D$7:$D$406))*(EOMONTH($B29,0)&lt;=IF(UCRETLER!$E$7:$E$406="",999999,UCRETLER!$E$7:$E$406)))</f>
        <v/>
      </c>
      <c r="D29" s="252">
        <f>SUMIFS(TAHSILAT!$F$7:$F$1506,TAHSILAT!$E$7:$E$1506,"&gt;="&amp;$B29,TAHSILAT!$E$7:$E$1506,"&lt;"&amp;EDATE($B29,1))</f>
        <v/>
      </c>
      <c r="E29" s="252">
        <f>SUMIFS(GELIR_GIDER!$G$7:$G$1206,GELIR_GIDER!$D$7:$D$1206,"Gelir",GELIR_GIDER!$C$7:$C$1206,"&gt;="&amp;$B29,GELIR_GIDER!$C$7:$C$1206,"&lt;"&amp;EDATE($B29,1),GELIR_GIDER!$I$7:$I$1206,"Evet")</f>
        <v/>
      </c>
      <c r="F29" s="252">
        <f>$D29+$E29</f>
        <v/>
      </c>
      <c r="G29" s="252">
        <f>SUMIFS(GELIR_GIDER!$G$7:$G$1206,GELIR_GIDER!$D$7:$D$1206,"Gider",GELIR_GIDER!$C$7:$C$1206,"&gt;="&amp;$B29,GELIR_GIDER!$C$7:$C$1206,"&lt;"&amp;EDATE($B29,1),GELIR_GIDER!$I$7:$I$1206,"Evet")</f>
        <v/>
      </c>
      <c r="H29" s="252">
        <f>$C29+$E29-$G29</f>
        <v/>
      </c>
      <c r="I29" s="252">
        <f>$F29-$G29</f>
        <v/>
      </c>
      <c r="J29" s="234">
        <f>IFERROR($D29/$C29,0)</f>
        <v/>
      </c>
      <c r="K29" s="252">
        <f>SISTEM!$C$13</f>
        <v/>
      </c>
      <c r="L29" s="252">
        <f>MAX(0,$I29-$K29)</f>
        <v/>
      </c>
      <c r="M29" s="252">
        <f>$L29*SISTEM!$C$11</f>
        <v/>
      </c>
      <c r="N29" s="252">
        <f>$L29*SISTEM!$C$12</f>
        <v/>
      </c>
      <c r="O29" s="108" t="n"/>
      <c r="P29" s="253" t="n"/>
      <c r="Q29" s="253" t="n"/>
      <c r="R29" s="252">
        <f>MAX(0,$L29-$P29-$Q29)</f>
        <v/>
      </c>
      <c r="S29" s="113">
        <f>IF($B29&gt;=DATE(YEAR(TODAY()),MONTH(TODAY()),1),"AÇIK",IF(COUNTIFS(SISTEM!$C$23:$C$55,"KRİTİK",SISTEM!$F$23:$F$55,"KALDI")&gt;0,"KAPATILAMAZ",IF(COUNTIF(SISTEM!$F$23:$F$55,"KALDI")=0,"KAPANABİLİR","UYARI VAR – KAPATILABİLİR")))</f>
        <v/>
      </c>
      <c r="T29" s="113">
        <f>IF(ABS($L29-$M29-$N29)&lt;0.01,IF(AND($O29="Evet",ABS($R29)&lt;0.01),"KAPANDI","AÇIK"),"PAY HATASI")</f>
        <v/>
      </c>
      <c r="U29" s="6" t="n"/>
      <c r="V29" s="6" t="n"/>
    </row>
    <row r="30">
      <c r="A30" s="6" t="n"/>
      <c r="B30" s="231" t="n">
        <v>46722</v>
      </c>
      <c r="C30" s="252">
        <f>SUMPRODUCT(IF(UCRETLER!$G$7:$G$406="",0,UCRETLER!$G$7:$G$406)*(UCRETLER!$F$7:$F$406="Haftalık")*IF(UCRETLER!$C$7:$C$406="",0,IF(IF(IF(UCRETLER!$E$7:$E$406="",999999,UCRETLER!$E$7:$E$406)&gt;EOMONTH($B30,0),EOMONTH($B30,0)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30,0),EOMONTH($B30,0)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30-1,$B30-1,IF(UCRETLER!$E$7:$E$406="",999999,UCRETLER!$E$7:$E$406))&lt;(IF(UCRETLER!$D$7:$D$406="",999999,UCRETLER!$D$7:$D$406)+MOD(SISTEM!$F$8-WEEKDAY(IF(UCRETLER!$D$7:$D$406="",999999,UCRETLER!$D$7:$D$406),2),7)),0,INT((IF(IF(UCRETLER!$E$7:$E$406="",999999,UCRETLER!$E$7:$E$406)&gt;$B30-1,$B30-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30,0)&gt;=IF(UCRETLER!$D$7:$D$406="",999999,UCRETLER!$D$7:$D$406))*(EOMONTH($B30,0)&lt;=IF(UCRETLER!$E$7:$E$406="",999999,UCRETLER!$E$7:$E$406)))</f>
        <v/>
      </c>
      <c r="D30" s="252">
        <f>SUMIFS(TAHSILAT!$F$7:$F$1506,TAHSILAT!$E$7:$E$1506,"&gt;="&amp;$B30,TAHSILAT!$E$7:$E$1506,"&lt;"&amp;EDATE($B30,1))</f>
        <v/>
      </c>
      <c r="E30" s="252">
        <f>SUMIFS(GELIR_GIDER!$G$7:$G$1206,GELIR_GIDER!$D$7:$D$1206,"Gelir",GELIR_GIDER!$C$7:$C$1206,"&gt;="&amp;$B30,GELIR_GIDER!$C$7:$C$1206,"&lt;"&amp;EDATE($B30,1),GELIR_GIDER!$I$7:$I$1206,"Evet")</f>
        <v/>
      </c>
      <c r="F30" s="252">
        <f>$D30+$E30</f>
        <v/>
      </c>
      <c r="G30" s="252">
        <f>SUMIFS(GELIR_GIDER!$G$7:$G$1206,GELIR_GIDER!$D$7:$D$1206,"Gider",GELIR_GIDER!$C$7:$C$1206,"&gt;="&amp;$B30,GELIR_GIDER!$C$7:$C$1206,"&lt;"&amp;EDATE($B30,1),GELIR_GIDER!$I$7:$I$1206,"Evet")</f>
        <v/>
      </c>
      <c r="H30" s="252">
        <f>$C30+$E30-$G30</f>
        <v/>
      </c>
      <c r="I30" s="252">
        <f>$F30-$G30</f>
        <v/>
      </c>
      <c r="J30" s="234">
        <f>IFERROR($D30/$C30,0)</f>
        <v/>
      </c>
      <c r="K30" s="252">
        <f>SISTEM!$C$13</f>
        <v/>
      </c>
      <c r="L30" s="252">
        <f>MAX(0,$I30-$K30)</f>
        <v/>
      </c>
      <c r="M30" s="252">
        <f>$L30*SISTEM!$C$11</f>
        <v/>
      </c>
      <c r="N30" s="252">
        <f>$L30*SISTEM!$C$12</f>
        <v/>
      </c>
      <c r="O30" s="108" t="n"/>
      <c r="P30" s="253" t="n"/>
      <c r="Q30" s="253" t="n"/>
      <c r="R30" s="252">
        <f>MAX(0,$L30-$P30-$Q30)</f>
        <v/>
      </c>
      <c r="S30" s="113">
        <f>IF($B30&gt;=DATE(YEAR(TODAY()),MONTH(TODAY()),1),"AÇIK",IF(COUNTIFS(SISTEM!$C$23:$C$55,"KRİTİK",SISTEM!$F$23:$F$55,"KALDI")&gt;0,"KAPATILAMAZ",IF(COUNTIF(SISTEM!$F$23:$F$55,"KALDI")=0,"KAPANABİLİR","UYARI VAR – KAPATILABİLİR")))</f>
        <v/>
      </c>
      <c r="T30" s="113">
        <f>IF(ABS($L30-$M30-$N30)&lt;0.01,IF(AND($O30="Evet",ABS($R30)&lt;0.01),"KAPANDI","AÇIK"),"PAY HATASI")</f>
        <v/>
      </c>
      <c r="U30" s="6" t="n"/>
      <c r="V30" s="6" t="n"/>
    </row>
    <row r="31">
      <c r="A31" s="6" t="n"/>
      <c r="B31" s="231" t="n">
        <v>46753</v>
      </c>
      <c r="C31" s="252">
        <f>SUMPRODUCT(IF(UCRETLER!$G$7:$G$406="",0,UCRETLER!$G$7:$G$406)*(UCRETLER!$F$7:$F$406="Haftalık")*IF(UCRETLER!$C$7:$C$406="",0,IF(IF(IF(UCRETLER!$E$7:$E$406="",999999,UCRETLER!$E$7:$E$406)&gt;EOMONTH($B31,0),EOMONTH($B31,0)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31,0),EOMONTH($B31,0)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31-1,$B31-1,IF(UCRETLER!$E$7:$E$406="",999999,UCRETLER!$E$7:$E$406))&lt;(IF(UCRETLER!$D$7:$D$406="",999999,UCRETLER!$D$7:$D$406)+MOD(SISTEM!$F$8-WEEKDAY(IF(UCRETLER!$D$7:$D$406="",999999,UCRETLER!$D$7:$D$406),2),7)),0,INT((IF(IF(UCRETLER!$E$7:$E$406="",999999,UCRETLER!$E$7:$E$406)&gt;$B31-1,$B31-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31,0)&gt;=IF(UCRETLER!$D$7:$D$406="",999999,UCRETLER!$D$7:$D$406))*(EOMONTH($B31,0)&lt;=IF(UCRETLER!$E$7:$E$406="",999999,UCRETLER!$E$7:$E$406)))</f>
        <v/>
      </c>
      <c r="D31" s="252">
        <f>SUMIFS(TAHSILAT!$F$7:$F$1506,TAHSILAT!$E$7:$E$1506,"&gt;="&amp;$B31,TAHSILAT!$E$7:$E$1506,"&lt;"&amp;EDATE($B31,1))</f>
        <v/>
      </c>
      <c r="E31" s="252">
        <f>SUMIFS(GELIR_GIDER!$G$7:$G$1206,GELIR_GIDER!$D$7:$D$1206,"Gelir",GELIR_GIDER!$C$7:$C$1206,"&gt;="&amp;$B31,GELIR_GIDER!$C$7:$C$1206,"&lt;"&amp;EDATE($B31,1),GELIR_GIDER!$I$7:$I$1206,"Evet")</f>
        <v/>
      </c>
      <c r="F31" s="252">
        <f>$D31+$E31</f>
        <v/>
      </c>
      <c r="G31" s="252">
        <f>SUMIFS(GELIR_GIDER!$G$7:$G$1206,GELIR_GIDER!$D$7:$D$1206,"Gider",GELIR_GIDER!$C$7:$C$1206,"&gt;="&amp;$B31,GELIR_GIDER!$C$7:$C$1206,"&lt;"&amp;EDATE($B31,1),GELIR_GIDER!$I$7:$I$1206,"Evet")</f>
        <v/>
      </c>
      <c r="H31" s="252">
        <f>$C31+$E31-$G31</f>
        <v/>
      </c>
      <c r="I31" s="252">
        <f>$F31-$G31</f>
        <v/>
      </c>
      <c r="J31" s="234">
        <f>IFERROR($D31/$C31,0)</f>
        <v/>
      </c>
      <c r="K31" s="252">
        <f>SISTEM!$C$13</f>
        <v/>
      </c>
      <c r="L31" s="252">
        <f>MAX(0,$I31-$K31)</f>
        <v/>
      </c>
      <c r="M31" s="252">
        <f>$L31*SISTEM!$C$11</f>
        <v/>
      </c>
      <c r="N31" s="252">
        <f>$L31*SISTEM!$C$12</f>
        <v/>
      </c>
      <c r="O31" s="108" t="n"/>
      <c r="P31" s="253" t="n"/>
      <c r="Q31" s="253" t="n"/>
      <c r="R31" s="252">
        <f>MAX(0,$L31-$P31-$Q31)</f>
        <v/>
      </c>
      <c r="S31" s="113">
        <f>IF($B31&gt;=DATE(YEAR(TODAY()),MONTH(TODAY()),1),"AÇIK",IF(COUNTIFS(SISTEM!$C$23:$C$55,"KRİTİK",SISTEM!$F$23:$F$55,"KALDI")&gt;0,"KAPATILAMAZ",IF(COUNTIF(SISTEM!$F$23:$F$55,"KALDI")=0,"KAPANABİLİR","UYARI VAR – KAPATILABİLİR")))</f>
        <v/>
      </c>
      <c r="T31" s="113">
        <f>IF(ABS($L31-$M31-$N31)&lt;0.01,IF(AND($O31="Evet",ABS($R31)&lt;0.01),"KAPANDI","AÇIK"),"PAY HATASI")</f>
        <v/>
      </c>
      <c r="U31" s="6" t="n"/>
      <c r="V31" s="6" t="n"/>
    </row>
    <row r="32">
      <c r="A32" s="6" t="n"/>
      <c r="B32" s="231" t="n">
        <v>46784</v>
      </c>
      <c r="C32" s="252">
        <f>SUMPRODUCT(IF(UCRETLER!$G$7:$G$406="",0,UCRETLER!$G$7:$G$406)*(UCRETLER!$F$7:$F$406="Haftalık")*IF(UCRETLER!$C$7:$C$406="",0,IF(IF(IF(UCRETLER!$E$7:$E$406="",999999,UCRETLER!$E$7:$E$406)&gt;EOMONTH($B32,0),EOMONTH($B32,0)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32,0),EOMONTH($B32,0)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32-1,$B32-1,IF(UCRETLER!$E$7:$E$406="",999999,UCRETLER!$E$7:$E$406))&lt;(IF(UCRETLER!$D$7:$D$406="",999999,UCRETLER!$D$7:$D$406)+MOD(SISTEM!$F$8-WEEKDAY(IF(UCRETLER!$D$7:$D$406="",999999,UCRETLER!$D$7:$D$406),2),7)),0,INT((IF(IF(UCRETLER!$E$7:$E$406="",999999,UCRETLER!$E$7:$E$406)&gt;$B32-1,$B32-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32,0)&gt;=IF(UCRETLER!$D$7:$D$406="",999999,UCRETLER!$D$7:$D$406))*(EOMONTH($B32,0)&lt;=IF(UCRETLER!$E$7:$E$406="",999999,UCRETLER!$E$7:$E$406)))</f>
        <v/>
      </c>
      <c r="D32" s="252">
        <f>SUMIFS(TAHSILAT!$F$7:$F$1506,TAHSILAT!$E$7:$E$1506,"&gt;="&amp;$B32,TAHSILAT!$E$7:$E$1506,"&lt;"&amp;EDATE($B32,1))</f>
        <v/>
      </c>
      <c r="E32" s="252">
        <f>SUMIFS(GELIR_GIDER!$G$7:$G$1206,GELIR_GIDER!$D$7:$D$1206,"Gelir",GELIR_GIDER!$C$7:$C$1206,"&gt;="&amp;$B32,GELIR_GIDER!$C$7:$C$1206,"&lt;"&amp;EDATE($B32,1),GELIR_GIDER!$I$7:$I$1206,"Evet")</f>
        <v/>
      </c>
      <c r="F32" s="252">
        <f>$D32+$E32</f>
        <v/>
      </c>
      <c r="G32" s="252">
        <f>SUMIFS(GELIR_GIDER!$G$7:$G$1206,GELIR_GIDER!$D$7:$D$1206,"Gider",GELIR_GIDER!$C$7:$C$1206,"&gt;="&amp;$B32,GELIR_GIDER!$C$7:$C$1206,"&lt;"&amp;EDATE($B32,1),GELIR_GIDER!$I$7:$I$1206,"Evet")</f>
        <v/>
      </c>
      <c r="H32" s="252">
        <f>$C32+$E32-$G32</f>
        <v/>
      </c>
      <c r="I32" s="252">
        <f>$F32-$G32</f>
        <v/>
      </c>
      <c r="J32" s="234">
        <f>IFERROR($D32/$C32,0)</f>
        <v/>
      </c>
      <c r="K32" s="252">
        <f>SISTEM!$C$13</f>
        <v/>
      </c>
      <c r="L32" s="252">
        <f>MAX(0,$I32-$K32)</f>
        <v/>
      </c>
      <c r="M32" s="252">
        <f>$L32*SISTEM!$C$11</f>
        <v/>
      </c>
      <c r="N32" s="252">
        <f>$L32*SISTEM!$C$12</f>
        <v/>
      </c>
      <c r="O32" s="108" t="n"/>
      <c r="P32" s="253" t="n"/>
      <c r="Q32" s="253" t="n"/>
      <c r="R32" s="252">
        <f>MAX(0,$L32-$P32-$Q32)</f>
        <v/>
      </c>
      <c r="S32" s="113">
        <f>IF($B32&gt;=DATE(YEAR(TODAY()),MONTH(TODAY()),1),"AÇIK",IF(COUNTIFS(SISTEM!$C$23:$C$55,"KRİTİK",SISTEM!$F$23:$F$55,"KALDI")&gt;0,"KAPATILAMAZ",IF(COUNTIF(SISTEM!$F$23:$F$55,"KALDI")=0,"KAPANABİLİR","UYARI VAR – KAPATILABİLİR")))</f>
        <v/>
      </c>
      <c r="T32" s="113">
        <f>IF(ABS($L32-$M32-$N32)&lt;0.01,IF(AND($O32="Evet",ABS($R32)&lt;0.01),"KAPANDI","AÇIK"),"PAY HATASI")</f>
        <v/>
      </c>
      <c r="U32" s="6" t="n"/>
      <c r="V32" s="6" t="n"/>
    </row>
    <row r="33">
      <c r="A33" s="6" t="n"/>
      <c r="B33" s="231" t="n">
        <v>46813</v>
      </c>
      <c r="C33" s="252">
        <f>SUMPRODUCT(IF(UCRETLER!$G$7:$G$406="",0,UCRETLER!$G$7:$G$406)*(UCRETLER!$F$7:$F$406="Haftalık")*IF(UCRETLER!$C$7:$C$406="",0,IF(IF(IF(UCRETLER!$E$7:$E$406="",999999,UCRETLER!$E$7:$E$406)&gt;EOMONTH($B33,0),EOMONTH($B33,0)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33,0),EOMONTH($B33,0)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33-1,$B33-1,IF(UCRETLER!$E$7:$E$406="",999999,UCRETLER!$E$7:$E$406))&lt;(IF(UCRETLER!$D$7:$D$406="",999999,UCRETLER!$D$7:$D$406)+MOD(SISTEM!$F$8-WEEKDAY(IF(UCRETLER!$D$7:$D$406="",999999,UCRETLER!$D$7:$D$406),2),7)),0,INT((IF(IF(UCRETLER!$E$7:$E$406="",999999,UCRETLER!$E$7:$E$406)&gt;$B33-1,$B33-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33,0)&gt;=IF(UCRETLER!$D$7:$D$406="",999999,UCRETLER!$D$7:$D$406))*(EOMONTH($B33,0)&lt;=IF(UCRETLER!$E$7:$E$406="",999999,UCRETLER!$E$7:$E$406)))</f>
        <v/>
      </c>
      <c r="D33" s="252">
        <f>SUMIFS(TAHSILAT!$F$7:$F$1506,TAHSILAT!$E$7:$E$1506,"&gt;="&amp;$B33,TAHSILAT!$E$7:$E$1506,"&lt;"&amp;EDATE($B33,1))</f>
        <v/>
      </c>
      <c r="E33" s="252">
        <f>SUMIFS(GELIR_GIDER!$G$7:$G$1206,GELIR_GIDER!$D$7:$D$1206,"Gelir",GELIR_GIDER!$C$7:$C$1206,"&gt;="&amp;$B33,GELIR_GIDER!$C$7:$C$1206,"&lt;"&amp;EDATE($B33,1),GELIR_GIDER!$I$7:$I$1206,"Evet")</f>
        <v/>
      </c>
      <c r="F33" s="252">
        <f>$D33+$E33</f>
        <v/>
      </c>
      <c r="G33" s="252">
        <f>SUMIFS(GELIR_GIDER!$G$7:$G$1206,GELIR_GIDER!$D$7:$D$1206,"Gider",GELIR_GIDER!$C$7:$C$1206,"&gt;="&amp;$B33,GELIR_GIDER!$C$7:$C$1206,"&lt;"&amp;EDATE($B33,1),GELIR_GIDER!$I$7:$I$1206,"Evet")</f>
        <v/>
      </c>
      <c r="H33" s="252">
        <f>$C33+$E33-$G33</f>
        <v/>
      </c>
      <c r="I33" s="252">
        <f>$F33-$G33</f>
        <v/>
      </c>
      <c r="J33" s="234">
        <f>IFERROR($D33/$C33,0)</f>
        <v/>
      </c>
      <c r="K33" s="252">
        <f>SISTEM!$C$13</f>
        <v/>
      </c>
      <c r="L33" s="252">
        <f>MAX(0,$I33-$K33)</f>
        <v/>
      </c>
      <c r="M33" s="252">
        <f>$L33*SISTEM!$C$11</f>
        <v/>
      </c>
      <c r="N33" s="252">
        <f>$L33*SISTEM!$C$12</f>
        <v/>
      </c>
      <c r="O33" s="108" t="n"/>
      <c r="P33" s="253" t="n"/>
      <c r="Q33" s="253" t="n"/>
      <c r="R33" s="252">
        <f>MAX(0,$L33-$P33-$Q33)</f>
        <v/>
      </c>
      <c r="S33" s="113">
        <f>IF($B33&gt;=DATE(YEAR(TODAY()),MONTH(TODAY()),1),"AÇIK",IF(COUNTIFS(SISTEM!$C$23:$C$55,"KRİTİK",SISTEM!$F$23:$F$55,"KALDI")&gt;0,"KAPATILAMAZ",IF(COUNTIF(SISTEM!$F$23:$F$55,"KALDI")=0,"KAPANABİLİR","UYARI VAR – KAPATILABİLİR")))</f>
        <v/>
      </c>
      <c r="T33" s="113">
        <f>IF(ABS($L33-$M33-$N33)&lt;0.01,IF(AND($O33="Evet",ABS($R33)&lt;0.01),"KAPANDI","AÇIK"),"PAY HATASI")</f>
        <v/>
      </c>
      <c r="U33" s="6" t="n"/>
      <c r="V33" s="6" t="n"/>
    </row>
    <row r="34">
      <c r="A34" s="6" t="n"/>
      <c r="B34" s="231" t="n">
        <v>46844</v>
      </c>
      <c r="C34" s="252">
        <f>SUMPRODUCT(IF(UCRETLER!$G$7:$G$406="",0,UCRETLER!$G$7:$G$406)*(UCRETLER!$F$7:$F$406="Haftalık")*IF(UCRETLER!$C$7:$C$406="",0,IF(IF(IF(UCRETLER!$E$7:$E$406="",999999,UCRETLER!$E$7:$E$406)&gt;EOMONTH($B34,0),EOMONTH($B34,0)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34,0),EOMONTH($B34,0)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34-1,$B34-1,IF(UCRETLER!$E$7:$E$406="",999999,UCRETLER!$E$7:$E$406))&lt;(IF(UCRETLER!$D$7:$D$406="",999999,UCRETLER!$D$7:$D$406)+MOD(SISTEM!$F$8-WEEKDAY(IF(UCRETLER!$D$7:$D$406="",999999,UCRETLER!$D$7:$D$406),2),7)),0,INT((IF(IF(UCRETLER!$E$7:$E$406="",999999,UCRETLER!$E$7:$E$406)&gt;$B34-1,$B34-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34,0)&gt;=IF(UCRETLER!$D$7:$D$406="",999999,UCRETLER!$D$7:$D$406))*(EOMONTH($B34,0)&lt;=IF(UCRETLER!$E$7:$E$406="",999999,UCRETLER!$E$7:$E$406)))</f>
        <v/>
      </c>
      <c r="D34" s="252">
        <f>SUMIFS(TAHSILAT!$F$7:$F$1506,TAHSILAT!$E$7:$E$1506,"&gt;="&amp;$B34,TAHSILAT!$E$7:$E$1506,"&lt;"&amp;EDATE($B34,1))</f>
        <v/>
      </c>
      <c r="E34" s="252">
        <f>SUMIFS(GELIR_GIDER!$G$7:$G$1206,GELIR_GIDER!$D$7:$D$1206,"Gelir",GELIR_GIDER!$C$7:$C$1206,"&gt;="&amp;$B34,GELIR_GIDER!$C$7:$C$1206,"&lt;"&amp;EDATE($B34,1),GELIR_GIDER!$I$7:$I$1206,"Evet")</f>
        <v/>
      </c>
      <c r="F34" s="252">
        <f>$D34+$E34</f>
        <v/>
      </c>
      <c r="G34" s="252">
        <f>SUMIFS(GELIR_GIDER!$G$7:$G$1206,GELIR_GIDER!$D$7:$D$1206,"Gider",GELIR_GIDER!$C$7:$C$1206,"&gt;="&amp;$B34,GELIR_GIDER!$C$7:$C$1206,"&lt;"&amp;EDATE($B34,1),GELIR_GIDER!$I$7:$I$1206,"Evet")</f>
        <v/>
      </c>
      <c r="H34" s="252">
        <f>$C34+$E34-$G34</f>
        <v/>
      </c>
      <c r="I34" s="252">
        <f>$F34-$G34</f>
        <v/>
      </c>
      <c r="J34" s="234">
        <f>IFERROR($D34/$C34,0)</f>
        <v/>
      </c>
      <c r="K34" s="252">
        <f>SISTEM!$C$13</f>
        <v/>
      </c>
      <c r="L34" s="252">
        <f>MAX(0,$I34-$K34)</f>
        <v/>
      </c>
      <c r="M34" s="252">
        <f>$L34*SISTEM!$C$11</f>
        <v/>
      </c>
      <c r="N34" s="252">
        <f>$L34*SISTEM!$C$12</f>
        <v/>
      </c>
      <c r="O34" s="108" t="n"/>
      <c r="P34" s="253" t="n"/>
      <c r="Q34" s="253" t="n"/>
      <c r="R34" s="252">
        <f>MAX(0,$L34-$P34-$Q34)</f>
        <v/>
      </c>
      <c r="S34" s="113">
        <f>IF($B34&gt;=DATE(YEAR(TODAY()),MONTH(TODAY()),1),"AÇIK",IF(COUNTIFS(SISTEM!$C$23:$C$55,"KRİTİK",SISTEM!$F$23:$F$55,"KALDI")&gt;0,"KAPATILAMAZ",IF(COUNTIF(SISTEM!$F$23:$F$55,"KALDI")=0,"KAPANABİLİR","UYARI VAR – KAPATILABİLİR")))</f>
        <v/>
      </c>
      <c r="T34" s="113">
        <f>IF(ABS($L34-$M34-$N34)&lt;0.01,IF(AND($O34="Evet",ABS($R34)&lt;0.01),"KAPANDI","AÇIK"),"PAY HATASI")</f>
        <v/>
      </c>
      <c r="U34" s="6" t="n"/>
      <c r="V34" s="6" t="n"/>
    </row>
    <row r="35">
      <c r="A35" s="6" t="n"/>
      <c r="B35" s="231" t="n">
        <v>46874</v>
      </c>
      <c r="C35" s="252">
        <f>SUMPRODUCT(IF(UCRETLER!$G$7:$G$406="",0,UCRETLER!$G$7:$G$406)*(UCRETLER!$F$7:$F$406="Haftalık")*IF(UCRETLER!$C$7:$C$406="",0,IF(IF(IF(UCRETLER!$E$7:$E$406="",999999,UCRETLER!$E$7:$E$406)&gt;EOMONTH($B35,0),EOMONTH($B35,0)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35,0),EOMONTH($B35,0)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35-1,$B35-1,IF(UCRETLER!$E$7:$E$406="",999999,UCRETLER!$E$7:$E$406))&lt;(IF(UCRETLER!$D$7:$D$406="",999999,UCRETLER!$D$7:$D$406)+MOD(SISTEM!$F$8-WEEKDAY(IF(UCRETLER!$D$7:$D$406="",999999,UCRETLER!$D$7:$D$406),2),7)),0,INT((IF(IF(UCRETLER!$E$7:$E$406="",999999,UCRETLER!$E$7:$E$406)&gt;$B35-1,$B35-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35,0)&gt;=IF(UCRETLER!$D$7:$D$406="",999999,UCRETLER!$D$7:$D$406))*(EOMONTH($B35,0)&lt;=IF(UCRETLER!$E$7:$E$406="",999999,UCRETLER!$E$7:$E$406)))</f>
        <v/>
      </c>
      <c r="D35" s="252">
        <f>SUMIFS(TAHSILAT!$F$7:$F$1506,TAHSILAT!$E$7:$E$1506,"&gt;="&amp;$B35,TAHSILAT!$E$7:$E$1506,"&lt;"&amp;EDATE($B35,1))</f>
        <v/>
      </c>
      <c r="E35" s="252">
        <f>SUMIFS(GELIR_GIDER!$G$7:$G$1206,GELIR_GIDER!$D$7:$D$1206,"Gelir",GELIR_GIDER!$C$7:$C$1206,"&gt;="&amp;$B35,GELIR_GIDER!$C$7:$C$1206,"&lt;"&amp;EDATE($B35,1),GELIR_GIDER!$I$7:$I$1206,"Evet")</f>
        <v/>
      </c>
      <c r="F35" s="252">
        <f>$D35+$E35</f>
        <v/>
      </c>
      <c r="G35" s="252">
        <f>SUMIFS(GELIR_GIDER!$G$7:$G$1206,GELIR_GIDER!$D$7:$D$1206,"Gider",GELIR_GIDER!$C$7:$C$1206,"&gt;="&amp;$B35,GELIR_GIDER!$C$7:$C$1206,"&lt;"&amp;EDATE($B35,1),GELIR_GIDER!$I$7:$I$1206,"Evet")</f>
        <v/>
      </c>
      <c r="H35" s="252">
        <f>$C35+$E35-$G35</f>
        <v/>
      </c>
      <c r="I35" s="252">
        <f>$F35-$G35</f>
        <v/>
      </c>
      <c r="J35" s="234">
        <f>IFERROR($D35/$C35,0)</f>
        <v/>
      </c>
      <c r="K35" s="252">
        <f>SISTEM!$C$13</f>
        <v/>
      </c>
      <c r="L35" s="252">
        <f>MAX(0,$I35-$K35)</f>
        <v/>
      </c>
      <c r="M35" s="252">
        <f>$L35*SISTEM!$C$11</f>
        <v/>
      </c>
      <c r="N35" s="252">
        <f>$L35*SISTEM!$C$12</f>
        <v/>
      </c>
      <c r="O35" s="108" t="n"/>
      <c r="P35" s="253" t="n"/>
      <c r="Q35" s="253" t="n"/>
      <c r="R35" s="252">
        <f>MAX(0,$L35-$P35-$Q35)</f>
        <v/>
      </c>
      <c r="S35" s="113">
        <f>IF($B35&gt;=DATE(YEAR(TODAY()),MONTH(TODAY()),1),"AÇIK",IF(COUNTIFS(SISTEM!$C$23:$C$55,"KRİTİK",SISTEM!$F$23:$F$55,"KALDI")&gt;0,"KAPATILAMAZ",IF(COUNTIF(SISTEM!$F$23:$F$55,"KALDI")=0,"KAPANABİLİR","UYARI VAR – KAPATILABİLİR")))</f>
        <v/>
      </c>
      <c r="T35" s="113">
        <f>IF(ABS($L35-$M35-$N35)&lt;0.01,IF(AND($O35="Evet",ABS($R35)&lt;0.01),"KAPANDI","AÇIK"),"PAY HATASI")</f>
        <v/>
      </c>
      <c r="U35" s="6" t="n"/>
      <c r="V35" s="6" t="n"/>
    </row>
    <row r="36">
      <c r="A36" s="6" t="n"/>
      <c r="B36" s="231" t="n">
        <v>46905</v>
      </c>
      <c r="C36" s="252">
        <f>SUMPRODUCT(IF(UCRETLER!$G$7:$G$406="",0,UCRETLER!$G$7:$G$406)*(UCRETLER!$F$7:$F$406="Haftalık")*IF(UCRETLER!$C$7:$C$406="",0,IF(IF(IF(UCRETLER!$E$7:$E$406="",999999,UCRETLER!$E$7:$E$406)&gt;EOMONTH($B36,0),EOMONTH($B36,0)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36,0),EOMONTH($B36,0)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36-1,$B36-1,IF(UCRETLER!$E$7:$E$406="",999999,UCRETLER!$E$7:$E$406))&lt;(IF(UCRETLER!$D$7:$D$406="",999999,UCRETLER!$D$7:$D$406)+MOD(SISTEM!$F$8-WEEKDAY(IF(UCRETLER!$D$7:$D$406="",999999,UCRETLER!$D$7:$D$406),2),7)),0,INT((IF(IF(UCRETLER!$E$7:$E$406="",999999,UCRETLER!$E$7:$E$406)&gt;$B36-1,$B36-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36,0)&gt;=IF(UCRETLER!$D$7:$D$406="",999999,UCRETLER!$D$7:$D$406))*(EOMONTH($B36,0)&lt;=IF(UCRETLER!$E$7:$E$406="",999999,UCRETLER!$E$7:$E$406)))</f>
        <v/>
      </c>
      <c r="D36" s="252">
        <f>SUMIFS(TAHSILAT!$F$7:$F$1506,TAHSILAT!$E$7:$E$1506,"&gt;="&amp;$B36,TAHSILAT!$E$7:$E$1506,"&lt;"&amp;EDATE($B36,1))</f>
        <v/>
      </c>
      <c r="E36" s="252">
        <f>SUMIFS(GELIR_GIDER!$G$7:$G$1206,GELIR_GIDER!$D$7:$D$1206,"Gelir",GELIR_GIDER!$C$7:$C$1206,"&gt;="&amp;$B36,GELIR_GIDER!$C$7:$C$1206,"&lt;"&amp;EDATE($B36,1),GELIR_GIDER!$I$7:$I$1206,"Evet")</f>
        <v/>
      </c>
      <c r="F36" s="252">
        <f>$D36+$E36</f>
        <v/>
      </c>
      <c r="G36" s="252">
        <f>SUMIFS(GELIR_GIDER!$G$7:$G$1206,GELIR_GIDER!$D$7:$D$1206,"Gider",GELIR_GIDER!$C$7:$C$1206,"&gt;="&amp;$B36,GELIR_GIDER!$C$7:$C$1206,"&lt;"&amp;EDATE($B36,1),GELIR_GIDER!$I$7:$I$1206,"Evet")</f>
        <v/>
      </c>
      <c r="H36" s="252">
        <f>$C36+$E36-$G36</f>
        <v/>
      </c>
      <c r="I36" s="252">
        <f>$F36-$G36</f>
        <v/>
      </c>
      <c r="J36" s="234">
        <f>IFERROR($D36/$C36,0)</f>
        <v/>
      </c>
      <c r="K36" s="252">
        <f>SISTEM!$C$13</f>
        <v/>
      </c>
      <c r="L36" s="252">
        <f>MAX(0,$I36-$K36)</f>
        <v/>
      </c>
      <c r="M36" s="252">
        <f>$L36*SISTEM!$C$11</f>
        <v/>
      </c>
      <c r="N36" s="252">
        <f>$L36*SISTEM!$C$12</f>
        <v/>
      </c>
      <c r="O36" s="108" t="n"/>
      <c r="P36" s="253" t="n"/>
      <c r="Q36" s="253" t="n"/>
      <c r="R36" s="252">
        <f>MAX(0,$L36-$P36-$Q36)</f>
        <v/>
      </c>
      <c r="S36" s="113">
        <f>IF($B36&gt;=DATE(YEAR(TODAY()),MONTH(TODAY()),1),"AÇIK",IF(COUNTIFS(SISTEM!$C$23:$C$55,"KRİTİK",SISTEM!$F$23:$F$55,"KALDI")&gt;0,"KAPATILAMAZ",IF(COUNTIF(SISTEM!$F$23:$F$55,"KALDI")=0,"KAPANABİLİR","UYARI VAR – KAPATILABİLİR")))</f>
        <v/>
      </c>
      <c r="T36" s="113">
        <f>IF(ABS($L36-$M36-$N36)&lt;0.01,IF(AND($O36="Evet",ABS($R36)&lt;0.01),"KAPANDI","AÇIK"),"PAY HATASI")</f>
        <v/>
      </c>
      <c r="U36" s="6" t="n"/>
      <c r="V36" s="6" t="n"/>
    </row>
    <row r="37">
      <c r="A37" s="6" t="n"/>
      <c r="B37" s="231" t="n">
        <v>46935</v>
      </c>
      <c r="C37" s="252">
        <f>SUMPRODUCT(IF(UCRETLER!$G$7:$G$406="",0,UCRETLER!$G$7:$G$406)*(UCRETLER!$F$7:$F$406="Haftalık")*IF(UCRETLER!$C$7:$C$406="",0,IF(IF(IF(UCRETLER!$E$7:$E$406="",999999,UCRETLER!$E$7:$E$406)&gt;EOMONTH($B37,0),EOMONTH($B37,0)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37,0),EOMONTH($B37,0)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37-1,$B37-1,IF(UCRETLER!$E$7:$E$406="",999999,UCRETLER!$E$7:$E$406))&lt;(IF(UCRETLER!$D$7:$D$406="",999999,UCRETLER!$D$7:$D$406)+MOD(SISTEM!$F$8-WEEKDAY(IF(UCRETLER!$D$7:$D$406="",999999,UCRETLER!$D$7:$D$406),2),7)),0,INT((IF(IF(UCRETLER!$E$7:$E$406="",999999,UCRETLER!$E$7:$E$406)&gt;$B37-1,$B37-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37,0)&gt;=IF(UCRETLER!$D$7:$D$406="",999999,UCRETLER!$D$7:$D$406))*(EOMONTH($B37,0)&lt;=IF(UCRETLER!$E$7:$E$406="",999999,UCRETLER!$E$7:$E$406)))</f>
        <v/>
      </c>
      <c r="D37" s="252">
        <f>SUMIFS(TAHSILAT!$F$7:$F$1506,TAHSILAT!$E$7:$E$1506,"&gt;="&amp;$B37,TAHSILAT!$E$7:$E$1506,"&lt;"&amp;EDATE($B37,1))</f>
        <v/>
      </c>
      <c r="E37" s="252">
        <f>SUMIFS(GELIR_GIDER!$G$7:$G$1206,GELIR_GIDER!$D$7:$D$1206,"Gelir",GELIR_GIDER!$C$7:$C$1206,"&gt;="&amp;$B37,GELIR_GIDER!$C$7:$C$1206,"&lt;"&amp;EDATE($B37,1),GELIR_GIDER!$I$7:$I$1206,"Evet")</f>
        <v/>
      </c>
      <c r="F37" s="252">
        <f>$D37+$E37</f>
        <v/>
      </c>
      <c r="G37" s="252">
        <f>SUMIFS(GELIR_GIDER!$G$7:$G$1206,GELIR_GIDER!$D$7:$D$1206,"Gider",GELIR_GIDER!$C$7:$C$1206,"&gt;="&amp;$B37,GELIR_GIDER!$C$7:$C$1206,"&lt;"&amp;EDATE($B37,1),GELIR_GIDER!$I$7:$I$1206,"Evet")</f>
        <v/>
      </c>
      <c r="H37" s="252">
        <f>$C37+$E37-$G37</f>
        <v/>
      </c>
      <c r="I37" s="252">
        <f>$F37-$G37</f>
        <v/>
      </c>
      <c r="J37" s="234">
        <f>IFERROR($D37/$C37,0)</f>
        <v/>
      </c>
      <c r="K37" s="252">
        <f>SISTEM!$C$13</f>
        <v/>
      </c>
      <c r="L37" s="252">
        <f>MAX(0,$I37-$K37)</f>
        <v/>
      </c>
      <c r="M37" s="252">
        <f>$L37*SISTEM!$C$11</f>
        <v/>
      </c>
      <c r="N37" s="252">
        <f>$L37*SISTEM!$C$12</f>
        <v/>
      </c>
      <c r="O37" s="108" t="n"/>
      <c r="P37" s="253" t="n"/>
      <c r="Q37" s="253" t="n"/>
      <c r="R37" s="252">
        <f>MAX(0,$L37-$P37-$Q37)</f>
        <v/>
      </c>
      <c r="S37" s="113">
        <f>IF($B37&gt;=DATE(YEAR(TODAY()),MONTH(TODAY()),1),"AÇIK",IF(COUNTIFS(SISTEM!$C$23:$C$55,"KRİTİK",SISTEM!$F$23:$F$55,"KALDI")&gt;0,"KAPATILAMAZ",IF(COUNTIF(SISTEM!$F$23:$F$55,"KALDI")=0,"KAPANABİLİR","UYARI VAR – KAPATILABİLİR")))</f>
        <v/>
      </c>
      <c r="T37" s="113">
        <f>IF(ABS($L37-$M37-$N37)&lt;0.01,IF(AND($O37="Evet",ABS($R37)&lt;0.01),"KAPANDI","AÇIK"),"PAY HATASI")</f>
        <v/>
      </c>
      <c r="U37" s="6" t="n"/>
      <c r="V37" s="6" t="n"/>
    </row>
    <row r="38">
      <c r="A38" s="6" t="n"/>
      <c r="B38" s="231" t="n">
        <v>46966</v>
      </c>
      <c r="C38" s="252">
        <f>SUMPRODUCT(IF(UCRETLER!$G$7:$G$406="",0,UCRETLER!$G$7:$G$406)*(UCRETLER!$F$7:$F$406="Haftalık")*IF(UCRETLER!$C$7:$C$406="",0,IF(IF(IF(UCRETLER!$E$7:$E$406="",999999,UCRETLER!$E$7:$E$406)&gt;EOMONTH($B38,0),EOMONTH($B38,0)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38,0),EOMONTH($B38,0)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38-1,$B38-1,IF(UCRETLER!$E$7:$E$406="",999999,UCRETLER!$E$7:$E$406))&lt;(IF(UCRETLER!$D$7:$D$406="",999999,UCRETLER!$D$7:$D$406)+MOD(SISTEM!$F$8-WEEKDAY(IF(UCRETLER!$D$7:$D$406="",999999,UCRETLER!$D$7:$D$406),2),7)),0,INT((IF(IF(UCRETLER!$E$7:$E$406="",999999,UCRETLER!$E$7:$E$406)&gt;$B38-1,$B38-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38,0)&gt;=IF(UCRETLER!$D$7:$D$406="",999999,UCRETLER!$D$7:$D$406))*(EOMONTH($B38,0)&lt;=IF(UCRETLER!$E$7:$E$406="",999999,UCRETLER!$E$7:$E$406)))</f>
        <v/>
      </c>
      <c r="D38" s="252">
        <f>SUMIFS(TAHSILAT!$F$7:$F$1506,TAHSILAT!$E$7:$E$1506,"&gt;="&amp;$B38,TAHSILAT!$E$7:$E$1506,"&lt;"&amp;EDATE($B38,1))</f>
        <v/>
      </c>
      <c r="E38" s="252">
        <f>SUMIFS(GELIR_GIDER!$G$7:$G$1206,GELIR_GIDER!$D$7:$D$1206,"Gelir",GELIR_GIDER!$C$7:$C$1206,"&gt;="&amp;$B38,GELIR_GIDER!$C$7:$C$1206,"&lt;"&amp;EDATE($B38,1),GELIR_GIDER!$I$7:$I$1206,"Evet")</f>
        <v/>
      </c>
      <c r="F38" s="252">
        <f>$D38+$E38</f>
        <v/>
      </c>
      <c r="G38" s="252">
        <f>SUMIFS(GELIR_GIDER!$G$7:$G$1206,GELIR_GIDER!$D$7:$D$1206,"Gider",GELIR_GIDER!$C$7:$C$1206,"&gt;="&amp;$B38,GELIR_GIDER!$C$7:$C$1206,"&lt;"&amp;EDATE($B38,1),GELIR_GIDER!$I$7:$I$1206,"Evet")</f>
        <v/>
      </c>
      <c r="H38" s="252">
        <f>$C38+$E38-$G38</f>
        <v/>
      </c>
      <c r="I38" s="252">
        <f>$F38-$G38</f>
        <v/>
      </c>
      <c r="J38" s="234">
        <f>IFERROR($D38/$C38,0)</f>
        <v/>
      </c>
      <c r="K38" s="252">
        <f>SISTEM!$C$13</f>
        <v/>
      </c>
      <c r="L38" s="252">
        <f>MAX(0,$I38-$K38)</f>
        <v/>
      </c>
      <c r="M38" s="252">
        <f>$L38*SISTEM!$C$11</f>
        <v/>
      </c>
      <c r="N38" s="252">
        <f>$L38*SISTEM!$C$12</f>
        <v/>
      </c>
      <c r="O38" s="108" t="n"/>
      <c r="P38" s="253" t="n"/>
      <c r="Q38" s="253" t="n"/>
      <c r="R38" s="252">
        <f>MAX(0,$L38-$P38-$Q38)</f>
        <v/>
      </c>
      <c r="S38" s="113">
        <f>IF($B38&gt;=DATE(YEAR(TODAY()),MONTH(TODAY()),1),"AÇIK",IF(COUNTIFS(SISTEM!$C$23:$C$55,"KRİTİK",SISTEM!$F$23:$F$55,"KALDI")&gt;0,"KAPATILAMAZ",IF(COUNTIF(SISTEM!$F$23:$F$55,"KALDI")=0,"KAPANABİLİR","UYARI VAR – KAPATILABİLİR")))</f>
        <v/>
      </c>
      <c r="T38" s="113">
        <f>IF(ABS($L38-$M38-$N38)&lt;0.01,IF(AND($O38="Evet",ABS($R38)&lt;0.01),"KAPANDI","AÇIK"),"PAY HATASI")</f>
        <v/>
      </c>
      <c r="U38" s="6" t="n"/>
      <c r="V38" s="6" t="n"/>
    </row>
    <row r="39">
      <c r="A39" s="6" t="n"/>
      <c r="B39" s="231" t="n">
        <v>46997</v>
      </c>
      <c r="C39" s="252">
        <f>SUMPRODUCT(IF(UCRETLER!$G$7:$G$406="",0,UCRETLER!$G$7:$G$406)*(UCRETLER!$F$7:$F$406="Haftalık")*IF(UCRETLER!$C$7:$C$406="",0,IF(IF(IF(UCRETLER!$E$7:$E$406="",999999,UCRETLER!$E$7:$E$406)&gt;EOMONTH($B39,0),EOMONTH($B39,0)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39,0),EOMONTH($B39,0)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39-1,$B39-1,IF(UCRETLER!$E$7:$E$406="",999999,UCRETLER!$E$7:$E$406))&lt;(IF(UCRETLER!$D$7:$D$406="",999999,UCRETLER!$D$7:$D$406)+MOD(SISTEM!$F$8-WEEKDAY(IF(UCRETLER!$D$7:$D$406="",999999,UCRETLER!$D$7:$D$406),2),7)),0,INT((IF(IF(UCRETLER!$E$7:$E$406="",999999,UCRETLER!$E$7:$E$406)&gt;$B39-1,$B39-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39,0)&gt;=IF(UCRETLER!$D$7:$D$406="",999999,UCRETLER!$D$7:$D$406))*(EOMONTH($B39,0)&lt;=IF(UCRETLER!$E$7:$E$406="",999999,UCRETLER!$E$7:$E$406)))</f>
        <v/>
      </c>
      <c r="D39" s="252">
        <f>SUMIFS(TAHSILAT!$F$7:$F$1506,TAHSILAT!$E$7:$E$1506,"&gt;="&amp;$B39,TAHSILAT!$E$7:$E$1506,"&lt;"&amp;EDATE($B39,1))</f>
        <v/>
      </c>
      <c r="E39" s="252">
        <f>SUMIFS(GELIR_GIDER!$G$7:$G$1206,GELIR_GIDER!$D$7:$D$1206,"Gelir",GELIR_GIDER!$C$7:$C$1206,"&gt;="&amp;$B39,GELIR_GIDER!$C$7:$C$1206,"&lt;"&amp;EDATE($B39,1),GELIR_GIDER!$I$7:$I$1206,"Evet")</f>
        <v/>
      </c>
      <c r="F39" s="252">
        <f>$D39+$E39</f>
        <v/>
      </c>
      <c r="G39" s="252">
        <f>SUMIFS(GELIR_GIDER!$G$7:$G$1206,GELIR_GIDER!$D$7:$D$1206,"Gider",GELIR_GIDER!$C$7:$C$1206,"&gt;="&amp;$B39,GELIR_GIDER!$C$7:$C$1206,"&lt;"&amp;EDATE($B39,1),GELIR_GIDER!$I$7:$I$1206,"Evet")</f>
        <v/>
      </c>
      <c r="H39" s="252">
        <f>$C39+$E39-$G39</f>
        <v/>
      </c>
      <c r="I39" s="252">
        <f>$F39-$G39</f>
        <v/>
      </c>
      <c r="J39" s="234">
        <f>IFERROR($D39/$C39,0)</f>
        <v/>
      </c>
      <c r="K39" s="252">
        <f>SISTEM!$C$13</f>
        <v/>
      </c>
      <c r="L39" s="252">
        <f>MAX(0,$I39-$K39)</f>
        <v/>
      </c>
      <c r="M39" s="252">
        <f>$L39*SISTEM!$C$11</f>
        <v/>
      </c>
      <c r="N39" s="252">
        <f>$L39*SISTEM!$C$12</f>
        <v/>
      </c>
      <c r="O39" s="108" t="n"/>
      <c r="P39" s="253" t="n"/>
      <c r="Q39" s="253" t="n"/>
      <c r="R39" s="252">
        <f>MAX(0,$L39-$P39-$Q39)</f>
        <v/>
      </c>
      <c r="S39" s="113">
        <f>IF($B39&gt;=DATE(YEAR(TODAY()),MONTH(TODAY()),1),"AÇIK",IF(COUNTIFS(SISTEM!$C$23:$C$55,"KRİTİK",SISTEM!$F$23:$F$55,"KALDI")&gt;0,"KAPATILAMAZ",IF(COUNTIF(SISTEM!$F$23:$F$55,"KALDI")=0,"KAPANABİLİR","UYARI VAR – KAPATILABİLİR")))</f>
        <v/>
      </c>
      <c r="T39" s="113">
        <f>IF(ABS($L39-$M39-$N39)&lt;0.01,IF(AND($O39="Evet",ABS($R39)&lt;0.01),"KAPANDI","AÇIK"),"PAY HATASI")</f>
        <v/>
      </c>
      <c r="U39" s="6" t="n"/>
      <c r="V39" s="6" t="n"/>
    </row>
    <row r="40">
      <c r="A40" s="6" t="n"/>
      <c r="B40" s="231" t="n">
        <v>47027</v>
      </c>
      <c r="C40" s="252">
        <f>SUMPRODUCT(IF(UCRETLER!$G$7:$G$406="",0,UCRETLER!$G$7:$G$406)*(UCRETLER!$F$7:$F$406="Haftalık")*IF(UCRETLER!$C$7:$C$406="",0,IF(IF(IF(UCRETLER!$E$7:$E$406="",999999,UCRETLER!$E$7:$E$406)&gt;EOMONTH($B40,0),EOMONTH($B40,0)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40,0),EOMONTH($B40,0),IF(UCRETLER!$E$7:$E$406="",999999,UCRETLER!$E$7:$E$406))-(IF(UCRETLER!$D$7:$D$406="",999999,UCRETLER!$D$7:$D$406)+MOD(SISTEM!$F$8-WEEKDAY(IF(UCRETLER!$D$7:$D$406="",999999,UCRETLER!$D$7:$D$406),2),7)))/7)+1)-IF(IF(IF(UCRETLER!$E$7:$E$406="",999999,UCRETLER!$E$7:$E$406)&gt;$B40-1,$B40-1,IF(UCRETLER!$E$7:$E$406="",999999,UCRETLER!$E$7:$E$406))&lt;(IF(UCRETLER!$D$7:$D$406="",999999,UCRETLER!$D$7:$D$406)+MOD(SISTEM!$F$8-WEEKDAY(IF(UCRETLER!$D$7:$D$406="",999999,UCRETLER!$D$7:$D$406),2),7)),0,INT((IF(IF(UCRETLER!$E$7:$E$406="",999999,UCRETLER!$E$7:$E$406)&gt;$B40-1,$B40-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40,0)&gt;=IF(UCRETLER!$D$7:$D$406="",999999,UCRETLER!$D$7:$D$406))*(EOMONTH($B40,0)&lt;=IF(UCRETLER!$E$7:$E$406="",999999,UCRETLER!$E$7:$E$406)))</f>
        <v/>
      </c>
      <c r="D40" s="252">
        <f>SUMIFS(TAHSILAT!$F$7:$F$1506,TAHSILAT!$E$7:$E$1506,"&gt;="&amp;$B40,TAHSILAT!$E$7:$E$1506,"&lt;"&amp;EDATE($B40,1))</f>
        <v/>
      </c>
      <c r="E40" s="252">
        <f>SUMIFS(GELIR_GIDER!$G$7:$G$1206,GELIR_GIDER!$D$7:$D$1206,"Gelir",GELIR_GIDER!$C$7:$C$1206,"&gt;="&amp;$B40,GELIR_GIDER!$C$7:$C$1206,"&lt;"&amp;EDATE($B40,1),GELIR_GIDER!$I$7:$I$1206,"Evet")</f>
        <v/>
      </c>
      <c r="F40" s="252">
        <f>$D40+$E40</f>
        <v/>
      </c>
      <c r="G40" s="252">
        <f>SUMIFS(GELIR_GIDER!$G$7:$G$1206,GELIR_GIDER!$D$7:$D$1206,"Gider",GELIR_GIDER!$C$7:$C$1206,"&gt;="&amp;$B40,GELIR_GIDER!$C$7:$C$1206,"&lt;"&amp;EDATE($B40,1),GELIR_GIDER!$I$7:$I$1206,"Evet")</f>
        <v/>
      </c>
      <c r="H40" s="252">
        <f>$C40+$E40-$G40</f>
        <v/>
      </c>
      <c r="I40" s="252">
        <f>$F40-$G40</f>
        <v/>
      </c>
      <c r="J40" s="234">
        <f>IFERROR($D40/$C40,0)</f>
        <v/>
      </c>
      <c r="K40" s="252">
        <f>SISTEM!$C$13</f>
        <v/>
      </c>
      <c r="L40" s="252">
        <f>MAX(0,$I40-$K40)</f>
        <v/>
      </c>
      <c r="M40" s="252">
        <f>$L40*SISTEM!$C$11</f>
        <v/>
      </c>
      <c r="N40" s="252">
        <f>$L40*SISTEM!$C$12</f>
        <v/>
      </c>
      <c r="O40" s="108" t="n"/>
      <c r="P40" s="253" t="n"/>
      <c r="Q40" s="253" t="n"/>
      <c r="R40" s="252">
        <f>MAX(0,$L40-$P40-$Q40)</f>
        <v/>
      </c>
      <c r="S40" s="113">
        <f>IF($B40&gt;=DATE(YEAR(TODAY()),MONTH(TODAY()),1),"AÇIK",IF(COUNTIFS(SISTEM!$C$23:$C$55,"KRİTİK",SISTEM!$F$23:$F$55,"KALDI")&gt;0,"KAPATILAMAZ",IF(COUNTIF(SISTEM!$F$23:$F$55,"KALDI")=0,"KAPANABİLİR","UYARI VAR – KAPATILABİLİR")))</f>
        <v/>
      </c>
      <c r="T40" s="113">
        <f>IF(ABS($L40-$M40-$N40)&lt;0.01,IF(AND($O40="Evet",ABS($R40)&lt;0.01),"KAPANDI","AÇIK"),"PAY HATASI")</f>
        <v/>
      </c>
      <c r="U40" s="6" t="n"/>
      <c r="V40" s="6" t="n"/>
    </row>
    <row r="41">
      <c r="A41" s="6" t="n"/>
      <c r="B41" s="231" t="n">
        <v>47058</v>
      </c>
      <c r="C41" s="252">
        <f>SUMPRODUCT(IF(UCRETLER!$G$7:$G$406="",0,UCRETLER!$G$7:$G$406)*(UCRETLER!$F$7:$F$406="Haftalık")*IF(UCRETLER!$C$7:$C$406="",0,IF(IF(IF(UCRETLER!$E$7:$E$406="",999999,UCRETLER!$E$7:$E$406)&gt;EOMONTH($B41,0),EOMONTH($B41,0)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41,0),EOMONTH($B41,0),IF(UCRETLER!$E$7:$E$406="",999999,UCRETLER!$E$7:$E$406))-(IF(UCRETLER!$D$7:$D$406="",999999,UCRETLER!$D$7:$D$406)+MOD(SISTEM!$F$8-WEEKDAY(IF(UCRETLER!$D$7:$D$406="",999999,UCRETLER!$D$7:$D$406),2),7)))/7)+1)-IF(IF(IF(UCRETLER!$E$7:$E$406="",999999,UCRETLER!$E$7:$E$406)&gt;$B41-1,$B41-1,IF(UCRETLER!$E$7:$E$406="",999999,UCRETLER!$E$7:$E$406))&lt;(IF(UCRETLER!$D$7:$D$406="",999999,UCRETLER!$D$7:$D$406)+MOD(SISTEM!$F$8-WEEKDAY(IF(UCRETLER!$D$7:$D$406="",999999,UCRETLER!$D$7:$D$406),2),7)),0,INT((IF(IF(UCRETLER!$E$7:$E$406="",999999,UCRETLER!$E$7:$E$406)&gt;$B41-1,$B41-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41,0)&gt;=IF(UCRETLER!$D$7:$D$406="",999999,UCRETLER!$D$7:$D$406))*(EOMONTH($B41,0)&lt;=IF(UCRETLER!$E$7:$E$406="",999999,UCRETLER!$E$7:$E$406)))</f>
        <v/>
      </c>
      <c r="D41" s="252">
        <f>SUMIFS(TAHSILAT!$F$7:$F$1506,TAHSILAT!$E$7:$E$1506,"&gt;="&amp;$B41,TAHSILAT!$E$7:$E$1506,"&lt;"&amp;EDATE($B41,1))</f>
        <v/>
      </c>
      <c r="E41" s="252">
        <f>SUMIFS(GELIR_GIDER!$G$7:$G$1206,GELIR_GIDER!$D$7:$D$1206,"Gelir",GELIR_GIDER!$C$7:$C$1206,"&gt;="&amp;$B41,GELIR_GIDER!$C$7:$C$1206,"&lt;"&amp;EDATE($B41,1),GELIR_GIDER!$I$7:$I$1206,"Evet")</f>
        <v/>
      </c>
      <c r="F41" s="252">
        <f>$D41+$E41</f>
        <v/>
      </c>
      <c r="G41" s="252">
        <f>SUMIFS(GELIR_GIDER!$G$7:$G$1206,GELIR_GIDER!$D$7:$D$1206,"Gider",GELIR_GIDER!$C$7:$C$1206,"&gt;="&amp;$B41,GELIR_GIDER!$C$7:$C$1206,"&lt;"&amp;EDATE($B41,1),GELIR_GIDER!$I$7:$I$1206,"Evet")</f>
        <v/>
      </c>
      <c r="H41" s="252">
        <f>$C41+$E41-$G41</f>
        <v/>
      </c>
      <c r="I41" s="252">
        <f>$F41-$G41</f>
        <v/>
      </c>
      <c r="J41" s="234">
        <f>IFERROR($D41/$C41,0)</f>
        <v/>
      </c>
      <c r="K41" s="252">
        <f>SISTEM!$C$13</f>
        <v/>
      </c>
      <c r="L41" s="252">
        <f>MAX(0,$I41-$K41)</f>
        <v/>
      </c>
      <c r="M41" s="252">
        <f>$L41*SISTEM!$C$11</f>
        <v/>
      </c>
      <c r="N41" s="252">
        <f>$L41*SISTEM!$C$12</f>
        <v/>
      </c>
      <c r="O41" s="108" t="n"/>
      <c r="P41" s="253" t="n"/>
      <c r="Q41" s="253" t="n"/>
      <c r="R41" s="252">
        <f>MAX(0,$L41-$P41-$Q41)</f>
        <v/>
      </c>
      <c r="S41" s="113">
        <f>IF($B41&gt;=DATE(YEAR(TODAY()),MONTH(TODAY()),1),"AÇIK",IF(COUNTIFS(SISTEM!$C$23:$C$55,"KRİTİK",SISTEM!$F$23:$F$55,"KALDI")&gt;0,"KAPATILAMAZ",IF(COUNTIF(SISTEM!$F$23:$F$55,"KALDI")=0,"KAPANABİLİR","UYARI VAR – KAPATILABİLİR")))</f>
        <v/>
      </c>
      <c r="T41" s="113">
        <f>IF(ABS($L41-$M41-$N41)&lt;0.01,IF(AND($O41="Evet",ABS($R41)&lt;0.01),"KAPANDI","AÇIK"),"PAY HATASI")</f>
        <v/>
      </c>
      <c r="U41" s="6" t="n"/>
      <c r="V41" s="6" t="n"/>
    </row>
    <row r="42">
      <c r="A42" s="6" t="n"/>
      <c r="B42" s="231" t="n">
        <v>47088</v>
      </c>
      <c r="C42" s="252">
        <f>SUMPRODUCT(IF(UCRETLER!$G$7:$G$406="",0,UCRETLER!$G$7:$G$406)*(UCRETLER!$F$7:$F$406="Haftalık")*IF(UCRETLER!$C$7:$C$406="",0,IF(IF(IF(UCRETLER!$E$7:$E$406="",999999,UCRETLER!$E$7:$E$406)&gt;EOMONTH($B42,0),EOMONTH($B42,0)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42,0),EOMONTH($B42,0),IF(UCRETLER!$E$7:$E$406="",999999,UCRETLER!$E$7:$E$406))-(IF(UCRETLER!$D$7:$D$406="",999999,UCRETLER!$D$7:$D$406)+MOD(SISTEM!$F$8-WEEKDAY(IF(UCRETLER!$D$7:$D$406="",999999,UCRETLER!$D$7:$D$406),2),7)))/7)+1)-IF(IF(IF(UCRETLER!$E$7:$E$406="",999999,UCRETLER!$E$7:$E$406)&gt;$B42-1,$B42-1,IF(UCRETLER!$E$7:$E$406="",999999,UCRETLER!$E$7:$E$406))&lt;(IF(UCRETLER!$D$7:$D$406="",999999,UCRETLER!$D$7:$D$406)+MOD(SISTEM!$F$8-WEEKDAY(IF(UCRETLER!$D$7:$D$406="",999999,UCRETLER!$D$7:$D$406),2),7)),0,INT((IF(IF(UCRETLER!$E$7:$E$406="",999999,UCRETLER!$E$7:$E$406)&gt;$B42-1,$B42-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42,0)&gt;=IF(UCRETLER!$D$7:$D$406="",999999,UCRETLER!$D$7:$D$406))*(EOMONTH($B42,0)&lt;=IF(UCRETLER!$E$7:$E$406="",999999,UCRETLER!$E$7:$E$406)))</f>
        <v/>
      </c>
      <c r="D42" s="252">
        <f>SUMIFS(TAHSILAT!$F$7:$F$1506,TAHSILAT!$E$7:$E$1506,"&gt;="&amp;$B42,TAHSILAT!$E$7:$E$1506,"&lt;"&amp;EDATE($B42,1))</f>
        <v/>
      </c>
      <c r="E42" s="252">
        <f>SUMIFS(GELIR_GIDER!$G$7:$G$1206,GELIR_GIDER!$D$7:$D$1206,"Gelir",GELIR_GIDER!$C$7:$C$1206,"&gt;="&amp;$B42,GELIR_GIDER!$C$7:$C$1206,"&lt;"&amp;EDATE($B42,1),GELIR_GIDER!$I$7:$I$1206,"Evet")</f>
        <v/>
      </c>
      <c r="F42" s="252">
        <f>$D42+$E42</f>
        <v/>
      </c>
      <c r="G42" s="252">
        <f>SUMIFS(GELIR_GIDER!$G$7:$G$1206,GELIR_GIDER!$D$7:$D$1206,"Gider",GELIR_GIDER!$C$7:$C$1206,"&gt;="&amp;$B42,GELIR_GIDER!$C$7:$C$1206,"&lt;"&amp;EDATE($B42,1),GELIR_GIDER!$I$7:$I$1206,"Evet")</f>
        <v/>
      </c>
      <c r="H42" s="252">
        <f>$C42+$E42-$G42</f>
        <v/>
      </c>
      <c r="I42" s="252">
        <f>$F42-$G42</f>
        <v/>
      </c>
      <c r="J42" s="234">
        <f>IFERROR($D42/$C42,0)</f>
        <v/>
      </c>
      <c r="K42" s="252">
        <f>SISTEM!$C$13</f>
        <v/>
      </c>
      <c r="L42" s="252">
        <f>MAX(0,$I42-$K42)</f>
        <v/>
      </c>
      <c r="M42" s="252">
        <f>$L42*SISTEM!$C$11</f>
        <v/>
      </c>
      <c r="N42" s="252">
        <f>$L42*SISTEM!$C$12</f>
        <v/>
      </c>
      <c r="O42" s="108" t="n"/>
      <c r="P42" s="253" t="n"/>
      <c r="Q42" s="253" t="n"/>
      <c r="R42" s="252">
        <f>MAX(0,$L42-$P42-$Q42)</f>
        <v/>
      </c>
      <c r="S42" s="113">
        <f>IF($B42&gt;=DATE(YEAR(TODAY()),MONTH(TODAY()),1),"AÇIK",IF(COUNTIFS(SISTEM!$C$23:$C$55,"KRİTİK",SISTEM!$F$23:$F$55,"KALDI")&gt;0,"KAPATILAMAZ",IF(COUNTIF(SISTEM!$F$23:$F$55,"KALDI")=0,"KAPANABİLİR","UYARI VAR – KAPATILABİLİR")))</f>
        <v/>
      </c>
      <c r="T42" s="113">
        <f>IF(ABS($L42-$M42-$N42)&lt;0.01,IF(AND($O42="Evet",ABS($R42)&lt;0.01),"KAPANDI","AÇIK"),"PAY HATASI")</f>
        <v/>
      </c>
      <c r="U42" s="6" t="n"/>
      <c r="V42" s="6" t="n"/>
    </row>
    <row r="43">
      <c r="A43" s="6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6" t="n"/>
      <c r="V43" s="6" t="n"/>
    </row>
    <row r="44">
      <c r="A44" s="6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6" t="n"/>
      <c r="V44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T42"/>
  <mergeCells count="2">
    <mergeCell ref="A1:T1"/>
    <mergeCell ref="A2:T2"/>
  </mergeCells>
  <conditionalFormatting sqref="S7:S42">
    <cfRule type="expression" priority="1" dxfId="7" stopIfTrue="1">
      <formula>EXACT($S7,"AÇIK")</formula>
    </cfRule>
    <cfRule type="expression" priority="2" dxfId="3" stopIfTrue="1">
      <formula>EXACT($S7,"KAPANABİLİR")</formula>
    </cfRule>
    <cfRule type="expression" priority="3" dxfId="4" stopIfTrue="1">
      <formula>EXACT($S7,"UYARI VAR – KAPATILABİLİR")</formula>
    </cfRule>
    <cfRule type="expression" priority="4" dxfId="5" stopIfTrue="1">
      <formula>EXACT($S7,"KAPATILAMAZ")</formula>
    </cfRule>
  </conditionalFormatting>
  <conditionalFormatting sqref="T7:T42">
    <cfRule type="expression" priority="5" dxfId="3" stopIfTrue="1">
      <formula>EXACT($T7,"KAPANDI")</formula>
    </cfRule>
    <cfRule type="expression" priority="6" dxfId="6" stopIfTrue="1">
      <formula>EXACT($T7,"AÇIK")</formula>
    </cfRule>
    <cfRule type="expression" priority="7" dxfId="5" stopIfTrue="1">
      <formula>EXACT($T7,"PAY HATASI")</formula>
    </cfRule>
  </conditionalFormatting>
  <conditionalFormatting sqref="I7:I42">
    <cfRule type="cellIs" priority="8" operator="lessThan" dxfId="8">
      <formula>0</formula>
    </cfRule>
  </conditionalFormatting>
  <dataValidations count="1">
    <dataValidation sqref="O7:O42" showDropDown="0" showInputMessage="0" showErrorMessage="1" allowBlank="1" errorTitle="Geçersiz değer" error="Evet veya Hayır seçin." promptTitle="Geçersiz değer" prompt="Evet veya Hayır seçin." type="list">
      <formula1>"Evet,Hayır"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1:O55"/>
  <sheetViews>
    <sheetView showGridLines="0" tabSelected="0" zoomScale="100" workbookViewId="0">
      <pane ySplit="6" topLeftCell="A7" activePane="bottomLeft" state="frozen"/>
      <selection pane="bottomLeft" activeCell="A1" sqref="A1"/>
    </sheetView>
  </sheetViews>
  <sheetFormatPr baseColWidth="8" defaultRowHeight="18"/>
  <cols>
    <col width="2.4" customWidth="1" min="1" max="1"/>
    <col width="30" customWidth="1" min="2" max="2"/>
    <col width="12" customWidth="1" min="3" max="3"/>
    <col width="16" customWidth="1" min="4" max="4"/>
    <col width="16" customWidth="1" min="5" max="5"/>
    <col width="14" customWidth="1" min="6" max="6"/>
    <col width="46" customWidth="1" min="7" max="7"/>
    <col width="20" customWidth="1" min="8" max="8"/>
    <col width="28" customWidth="1" min="11" max="11"/>
    <col width="12" customWidth="1" min="12" max="12"/>
    <col width="12" customWidth="1" min="13" max="13"/>
    <col width="2.4" customWidth="1" min="14" max="14"/>
    <col width="2.4" customWidth="1" min="15" max="15"/>
  </cols>
  <sheetData>
    <row r="1" ht="38" customHeight="1">
      <c r="A1" s="258" t="inlineStr">
        <is>
          <t>KILIÇ MUHASEBE   │   SİSTEM AYARLARI VE KONTROL MERKEZİ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3" t="n"/>
      <c r="N1" s="45" t="n"/>
      <c r="O1" s="45" t="n"/>
    </row>
    <row r="2" ht="22" customHeight="1">
      <c r="A2" s="4" t="inlineStr">
        <is>
          <t>Sistem kendi kendini denetler │ KALDI görülen bir satır varken ay kapatılmaz</t>
        </is>
      </c>
      <c r="M2" s="3" t="n"/>
      <c r="N2" s="46" t="n"/>
      <c r="O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3" t="n"/>
      <c r="N3" s="6" t="n"/>
      <c r="O3" s="6" t="n"/>
    </row>
    <row r="4" ht="20" customHeight="1">
      <c r="A4" s="6" t="n"/>
      <c r="B4" s="47">
        <f>HYPERLINK("#PANO!A1","←  PANO")</f>
        <v/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3" t="n"/>
      <c r="N4" s="6" t="n"/>
      <c r="O4" s="6" t="n"/>
    </row>
    <row r="5" ht="20" customHeight="1">
      <c r="A5" s="6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6" t="n"/>
      <c r="O5" s="6" t="n"/>
    </row>
    <row r="6" ht="24" customHeight="1">
      <c r="A6" s="6" t="n"/>
      <c r="B6" s="122" t="inlineStr">
        <is>
          <t>SİSTEM PARAMETRELERİ</t>
        </is>
      </c>
      <c r="G6" s="3" t="n"/>
      <c r="H6" s="3" t="n"/>
      <c r="I6" s="3" t="n"/>
      <c r="J6" s="3" t="n"/>
      <c r="K6" s="122" t="inlineStr">
        <is>
          <t>GİDER / GELİR KATEGORİLERİ</t>
        </is>
      </c>
      <c r="N6" s="6" t="n"/>
      <c r="O6" s="6" t="n"/>
    </row>
    <row r="7" ht="24" customHeight="1">
      <c r="A7" s="6" t="n"/>
      <c r="B7" s="121" t="inlineStr">
        <is>
          <t>Ofis Adı</t>
        </is>
      </c>
      <c r="C7" s="108" t="inlineStr">
        <is>
          <t>KILIÇ MUHASEBE</t>
        </is>
      </c>
      <c r="D7" s="121" t="inlineStr">
        <is>
          <t>Rapor başlıklarında kullanılır</t>
        </is>
      </c>
      <c r="E7" s="121" t="inlineStr">
        <is>
          <t>Değiştirilebilir</t>
        </is>
      </c>
      <c r="F7" s="3" t="n"/>
      <c r="G7" s="3" t="n"/>
      <c r="H7" s="3" t="n"/>
      <c r="I7" s="3" t="n"/>
      <c r="J7" s="3" t="n"/>
      <c r="K7" s="125" t="inlineStr">
        <is>
          <t>Kategori</t>
        </is>
      </c>
      <c r="L7" s="125" t="inlineStr">
        <is>
          <t>Tür</t>
        </is>
      </c>
      <c r="M7" s="125" t="inlineStr">
        <is>
          <t>Durum</t>
        </is>
      </c>
      <c r="N7" s="6" t="n"/>
      <c r="O7" s="6" t="n"/>
    </row>
    <row r="8" ht="24" customHeight="1">
      <c r="A8" s="6" t="n"/>
      <c r="B8" s="121" t="inlineStr">
        <is>
          <t>Tahakkuk Günü</t>
        </is>
      </c>
      <c r="C8" s="108" t="inlineStr">
        <is>
          <t>Cumartesi</t>
        </is>
      </c>
      <c r="D8" s="121" t="inlineStr">
        <is>
          <t>Haftalık ücret bu gün tahakkuk eder</t>
        </is>
      </c>
      <c r="E8" s="121" t="inlineStr">
        <is>
          <t>Listeden seçilir</t>
        </is>
      </c>
      <c r="F8" s="254">
        <f>IFERROR(MATCH($C$8,{"Pazartesi";"Salı";"Çarşamba";"Perşembe";"Cuma";"Cumartesi";"Pazar"},0),6)</f>
        <v/>
      </c>
      <c r="G8" s="3" t="n"/>
      <c r="H8" s="3" t="n"/>
      <c r="I8" s="3" t="n"/>
      <c r="J8" s="3" t="n"/>
      <c r="K8" s="109" t="inlineStr">
        <is>
          <t>Ofis Kirası</t>
        </is>
      </c>
      <c r="L8" s="108" t="inlineStr">
        <is>
          <t>Gider</t>
        </is>
      </c>
      <c r="M8" s="108" t="inlineStr">
        <is>
          <t>Aktif</t>
        </is>
      </c>
      <c r="N8" s="6" t="n"/>
      <c r="O8" s="6" t="n"/>
    </row>
    <row r="9" ht="24" customHeight="1">
      <c r="A9" s="6" t="n"/>
      <c r="B9" s="121" t="inlineStr">
        <is>
          <t>Ortak 1 Adı</t>
        </is>
      </c>
      <c r="C9" s="108" t="inlineStr">
        <is>
          <t>Ortak 1</t>
        </is>
      </c>
      <c r="D9" s="121" t="inlineStr">
        <is>
          <t>Birinci ortağın adı</t>
        </is>
      </c>
      <c r="E9" s="121" t="inlineStr">
        <is>
          <t>Değiştirilebilir</t>
        </is>
      </c>
      <c r="F9" s="3" t="n"/>
      <c r="G9" s="3" t="n"/>
      <c r="H9" s="3" t="n"/>
      <c r="I9" s="3" t="n"/>
      <c r="J9" s="3" t="n"/>
      <c r="K9" s="109" t="inlineStr">
        <is>
          <t>Personel</t>
        </is>
      </c>
      <c r="L9" s="108" t="inlineStr">
        <is>
          <t>Gider</t>
        </is>
      </c>
      <c r="M9" s="108" t="inlineStr">
        <is>
          <t>Aktif</t>
        </is>
      </c>
      <c r="N9" s="6" t="n"/>
      <c r="O9" s="6" t="n"/>
    </row>
    <row r="10" ht="24" customHeight="1">
      <c r="A10" s="6" t="n"/>
      <c r="B10" s="121" t="inlineStr">
        <is>
          <t>Ortak 2 Adı</t>
        </is>
      </c>
      <c r="C10" s="108" t="inlineStr">
        <is>
          <t>Ortak 2</t>
        </is>
      </c>
      <c r="D10" s="121" t="inlineStr">
        <is>
          <t>İkinci ortağın adı</t>
        </is>
      </c>
      <c r="E10" s="121" t="inlineStr">
        <is>
          <t>Değiştirilebilir</t>
        </is>
      </c>
      <c r="F10" s="3" t="n"/>
      <c r="G10" s="3" t="n"/>
      <c r="H10" s="3" t="n"/>
      <c r="I10" s="3" t="n"/>
      <c r="J10" s="3" t="n"/>
      <c r="K10" s="109" t="inlineStr">
        <is>
          <t>Elektrik / Su / Doğalgaz</t>
        </is>
      </c>
      <c r="L10" s="108" t="inlineStr">
        <is>
          <t>Gider</t>
        </is>
      </c>
      <c r="M10" s="108" t="inlineStr">
        <is>
          <t>Aktif</t>
        </is>
      </c>
      <c r="N10" s="6" t="n"/>
      <c r="O10" s="6" t="n"/>
    </row>
    <row r="11" ht="24" customHeight="1">
      <c r="A11" s="6" t="n"/>
      <c r="B11" s="121" t="inlineStr">
        <is>
          <t>Ortak 1 Payı</t>
        </is>
      </c>
      <c r="C11" s="255" t="n">
        <v>0.5</v>
      </c>
      <c r="D11" s="121" t="inlineStr">
        <is>
          <t>Aylık dağıtılabilir kâr payı</t>
        </is>
      </c>
      <c r="E11" s="121" t="inlineStr">
        <is>
          <t>Toplam %100 olmalı</t>
        </is>
      </c>
      <c r="F11" s="3" t="n"/>
      <c r="G11" s="3" t="n"/>
      <c r="H11" s="3" t="n"/>
      <c r="I11" s="3" t="n"/>
      <c r="J11" s="3" t="n"/>
      <c r="K11" s="109" t="inlineStr">
        <is>
          <t>Telefon / İnternet</t>
        </is>
      </c>
      <c r="L11" s="108" t="inlineStr">
        <is>
          <t>Gider</t>
        </is>
      </c>
      <c r="M11" s="108" t="inlineStr">
        <is>
          <t>Aktif</t>
        </is>
      </c>
      <c r="N11" s="6" t="n"/>
      <c r="O11" s="6" t="n"/>
    </row>
    <row r="12" ht="24" customHeight="1">
      <c r="A12" s="6" t="n"/>
      <c r="B12" s="121" t="inlineStr">
        <is>
          <t>Ortak 2 Payı</t>
        </is>
      </c>
      <c r="C12" s="255" t="n">
        <v>0.5</v>
      </c>
      <c r="D12" s="121" t="inlineStr">
        <is>
          <t>Aylık dağıtılabilir kâr payı</t>
        </is>
      </c>
      <c r="E12" s="121" t="inlineStr">
        <is>
          <t>Toplam %100 olmalı</t>
        </is>
      </c>
      <c r="F12" s="3" t="n"/>
      <c r="G12" s="3" t="n"/>
      <c r="H12" s="3" t="n"/>
      <c r="I12" s="3" t="n"/>
      <c r="J12" s="3" t="n"/>
      <c r="K12" s="109" t="inlineStr">
        <is>
          <t>Kırtasiye</t>
        </is>
      </c>
      <c r="L12" s="108" t="inlineStr">
        <is>
          <t>Gider</t>
        </is>
      </c>
      <c r="M12" s="108" t="inlineStr">
        <is>
          <t>Aktif</t>
        </is>
      </c>
      <c r="N12" s="6" t="n"/>
      <c r="O12" s="6" t="n"/>
    </row>
    <row r="13" ht="24" customHeight="1">
      <c r="A13" s="6" t="n"/>
      <c r="B13" s="121" t="inlineStr">
        <is>
          <t>Kasa Tamponu</t>
        </is>
      </c>
      <c r="C13" s="223" t="n">
        <v>0</v>
      </c>
      <c r="D13" s="121" t="inlineStr">
        <is>
          <t>Dağıtım öncesi ofiste kalacak nakit</t>
        </is>
      </c>
      <c r="E13" s="121" t="inlineStr">
        <is>
          <t>TL</t>
        </is>
      </c>
      <c r="F13" s="3" t="n"/>
      <c r="G13" s="3" t="n"/>
      <c r="H13" s="3" t="n"/>
      <c r="I13" s="3" t="n"/>
      <c r="J13" s="3" t="n"/>
      <c r="K13" s="109" t="inlineStr">
        <is>
          <t>Vergi / Harç</t>
        </is>
      </c>
      <c r="L13" s="108" t="inlineStr">
        <is>
          <t>Gider</t>
        </is>
      </c>
      <c r="M13" s="108" t="inlineStr">
        <is>
          <t>Aktif</t>
        </is>
      </c>
      <c r="N13" s="6" t="n"/>
      <c r="O13" s="6" t="n"/>
    </row>
    <row r="14" ht="24" customHeight="1">
      <c r="A14" s="6" t="n"/>
      <c r="B14" s="121" t="inlineStr">
        <is>
          <t>Kâr Paylaşım Esası</t>
        </is>
      </c>
      <c r="C14" s="108" t="inlineStr">
        <is>
          <t>Nakit</t>
        </is>
      </c>
      <c r="D14" s="121" t="inlineStr">
        <is>
          <t>Yalnız tahsil edilmiş gelirden ödenmiş gider düşer</t>
        </is>
      </c>
      <c r="E14" s="121" t="inlineStr">
        <is>
          <t>Sabit</t>
        </is>
      </c>
      <c r="F14" s="3" t="n"/>
      <c r="G14" s="3" t="n"/>
      <c r="H14" s="3" t="n"/>
      <c r="I14" s="3" t="n"/>
      <c r="J14" s="3" t="n"/>
      <c r="K14" s="109" t="inlineStr">
        <is>
          <t>Yazılım / Abonelik</t>
        </is>
      </c>
      <c r="L14" s="108" t="inlineStr">
        <is>
          <t>Gider</t>
        </is>
      </c>
      <c r="M14" s="108" t="inlineStr">
        <is>
          <t>Aktif</t>
        </is>
      </c>
      <c r="N14" s="6" t="n"/>
      <c r="O14" s="6" t="n"/>
    </row>
    <row r="15" ht="24" customHeight="1">
      <c r="A15" s="6" t="n"/>
      <c r="B15" s="121" t="inlineStr">
        <is>
          <t>Borç Kapatma Sırası</t>
        </is>
      </c>
      <c r="C15" s="108" t="inlineStr">
        <is>
          <t>En Eski Borçtan Başla</t>
        </is>
      </c>
      <c r="D15" s="121" t="inlineStr">
        <is>
          <t>Ödeme önce en eski açık borç kapatır</t>
        </is>
      </c>
      <c r="E15" s="121" t="inlineStr">
        <is>
          <t>Otomatik</t>
        </is>
      </c>
      <c r="F15" s="3" t="n"/>
      <c r="G15" s="3" t="n"/>
      <c r="H15" s="3" t="n"/>
      <c r="I15" s="3" t="n"/>
      <c r="J15" s="3" t="n"/>
      <c r="K15" s="109" t="inlineStr">
        <is>
          <t>Ulaşım</t>
        </is>
      </c>
      <c r="L15" s="108" t="inlineStr">
        <is>
          <t>Gider</t>
        </is>
      </c>
      <c r="M15" s="108" t="inlineStr">
        <is>
          <t>Aktif</t>
        </is>
      </c>
      <c r="N15" s="6" t="n"/>
      <c r="O15" s="6" t="n"/>
    </row>
    <row r="16" ht="24" customHeight="1">
      <c r="A16" s="6" t="n"/>
      <c r="B16" s="121" t="inlineStr">
        <is>
          <t>Para Birimi</t>
        </is>
      </c>
      <c r="C16" s="108" t="inlineStr">
        <is>
          <t>TL</t>
        </is>
      </c>
      <c r="D16" s="121" t="inlineStr">
        <is>
          <t>Temel raporlama para birimi</t>
        </is>
      </c>
      <c r="E16" s="121" t="inlineStr">
        <is>
          <t>Sabit</t>
        </is>
      </c>
      <c r="F16" s="3" t="n"/>
      <c r="G16" s="3" t="n"/>
      <c r="H16" s="3" t="n"/>
      <c r="I16" s="3" t="n"/>
      <c r="J16" s="3" t="n"/>
      <c r="K16" s="109" t="inlineStr">
        <is>
          <t>Temsil / Ağırlama</t>
        </is>
      </c>
      <c r="L16" s="108" t="inlineStr">
        <is>
          <t>Gider</t>
        </is>
      </c>
      <c r="M16" s="108" t="inlineStr">
        <is>
          <t>Aktif</t>
        </is>
      </c>
      <c r="N16" s="6" t="n"/>
      <c r="O16" s="6" t="n"/>
    </row>
    <row r="17" ht="24" customHeight="1">
      <c r="A17" s="6" t="n"/>
      <c r="B17" s="121" t="inlineStr">
        <is>
          <t>Rapor Tarihi</t>
        </is>
      </c>
      <c r="C17" s="256">
        <f>TODAY()</f>
        <v/>
      </c>
      <c r="D17" s="121" t="inlineStr">
        <is>
          <t>Bugünün tarihi</t>
        </is>
      </c>
      <c r="E17" s="121" t="inlineStr">
        <is>
          <t>Otomatik</t>
        </is>
      </c>
      <c r="F17" s="3" t="n"/>
      <c r="G17" s="3" t="n"/>
      <c r="H17" s="3" t="n"/>
      <c r="I17" s="3" t="n"/>
      <c r="J17" s="3" t="n"/>
      <c r="K17" s="109" t="inlineStr">
        <is>
          <t>Demirbaş</t>
        </is>
      </c>
      <c r="L17" s="108" t="inlineStr">
        <is>
          <t>Gider</t>
        </is>
      </c>
      <c r="M17" s="108" t="inlineStr">
        <is>
          <t>Aktif</t>
        </is>
      </c>
      <c r="N17" s="6" t="n"/>
      <c r="O17" s="6" t="n"/>
    </row>
    <row r="18">
      <c r="A18" s="6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109" t="inlineStr">
        <is>
          <t>Diğer Gider</t>
        </is>
      </c>
      <c r="L18" s="108" t="inlineStr">
        <is>
          <t>Gider</t>
        </is>
      </c>
      <c r="M18" s="108" t="inlineStr">
        <is>
          <t>Aktif</t>
        </is>
      </c>
      <c r="N18" s="6" t="n"/>
      <c r="O18" s="6" t="n"/>
    </row>
    <row r="19">
      <c r="A19" s="6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109" t="inlineStr">
        <is>
          <t>Defter Tasdik Geliri</t>
        </is>
      </c>
      <c r="L19" s="108" t="inlineStr">
        <is>
          <t>Gelir</t>
        </is>
      </c>
      <c r="M19" s="108" t="inlineStr">
        <is>
          <t>Aktif</t>
        </is>
      </c>
      <c r="N19" s="6" t="n"/>
      <c r="O19" s="6" t="n"/>
    </row>
    <row r="20">
      <c r="A20" s="6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109" t="inlineStr">
        <is>
          <t>Kontör Ücreti Geliri</t>
        </is>
      </c>
      <c r="L20" s="108" t="inlineStr">
        <is>
          <t>Gelir</t>
        </is>
      </c>
      <c r="M20" s="108" t="inlineStr">
        <is>
          <t>Aktif</t>
        </is>
      </c>
      <c r="N20" s="6" t="n"/>
      <c r="O20" s="6" t="n"/>
    </row>
    <row r="21" ht="24" customHeight="1">
      <c r="A21" s="6" t="n"/>
      <c r="B21" s="122" t="inlineStr">
        <is>
          <t>SİSTEM KONTROL MERKEZİ</t>
        </is>
      </c>
      <c r="J21" s="3" t="n"/>
      <c r="K21" s="109" t="inlineStr">
        <is>
          <t>Geçici Vergi / Damga Geliri</t>
        </is>
      </c>
      <c r="L21" s="108" t="inlineStr">
        <is>
          <t>Gelir</t>
        </is>
      </c>
      <c r="M21" s="108" t="inlineStr">
        <is>
          <t>Aktif</t>
        </is>
      </c>
      <c r="N21" s="6" t="n"/>
      <c r="O21" s="6" t="n"/>
    </row>
    <row r="22" ht="28" customHeight="1">
      <c r="A22" s="6" t="n"/>
      <c r="B22" s="125" t="inlineStr">
        <is>
          <t>Kontrol</t>
        </is>
      </c>
      <c r="C22" s="125" t="inlineStr">
        <is>
          <t>Önem</t>
        </is>
      </c>
      <c r="D22" s="125" t="inlineStr">
        <is>
          <t>Beklenen</t>
        </is>
      </c>
      <c r="E22" s="125" t="inlineStr">
        <is>
          <t>Gerçek</t>
        </is>
      </c>
      <c r="F22" s="125" t="inlineStr">
        <is>
          <t>Sonuç</t>
        </is>
      </c>
      <c r="G22" s="125" t="inlineStr">
        <is>
          <t>Açıklama</t>
        </is>
      </c>
      <c r="H22" s="125" t="inlineStr">
        <is>
          <t>İlgili Ekran</t>
        </is>
      </c>
      <c r="I22" s="3" t="n"/>
      <c r="J22" s="3" t="n"/>
      <c r="K22" s="109" t="inlineStr">
        <is>
          <t>Danışmanlık Hizmet Geliri</t>
        </is>
      </c>
      <c r="L22" s="108" t="inlineStr">
        <is>
          <t>Gelir</t>
        </is>
      </c>
      <c r="M22" s="108" t="inlineStr">
        <is>
          <t>Aktif</t>
        </is>
      </c>
      <c r="N22" s="6" t="n"/>
      <c r="O22" s="6" t="n"/>
    </row>
    <row r="23" ht="23" customHeight="1">
      <c r="A23" s="6" t="n"/>
      <c r="B23" s="121" t="inlineStr">
        <is>
          <t>Ortak pay toplamı</t>
        </is>
      </c>
      <c r="C23" s="113" t="inlineStr">
        <is>
          <t>KRİTİK</t>
        </is>
      </c>
      <c r="D23" s="113" t="inlineStr">
        <is>
          <t>%100</t>
        </is>
      </c>
      <c r="E23" s="234">
        <f>SISTEM!$C$11+SISTEM!$C$12</f>
        <v/>
      </c>
      <c r="F23" s="113">
        <f>IF(ABS($E23-1)&lt;0.000001,"GEÇTİ","KALDI")</f>
        <v/>
      </c>
      <c r="G23" s="121" t="inlineStr">
        <is>
          <t>İki ortağın payı %100 etmeli</t>
        </is>
      </c>
      <c r="H23" s="171">
        <f>HYPERLINK("#SISTEM!A1","SISTEM")</f>
        <v/>
      </c>
      <c r="I23" s="3" t="n"/>
      <c r="J23" s="3" t="n"/>
      <c r="K23" s="109" t="inlineStr">
        <is>
          <t>Muhasebe Hizmet Geliri (sözleşme dışı)</t>
        </is>
      </c>
      <c r="L23" s="108" t="inlineStr">
        <is>
          <t>Gelir</t>
        </is>
      </c>
      <c r="M23" s="108" t="inlineStr">
        <is>
          <t>Aktif</t>
        </is>
      </c>
      <c r="N23" s="6" t="n"/>
      <c r="O23" s="6" t="n"/>
    </row>
    <row r="24" ht="23" customHeight="1">
      <c r="A24" s="6" t="n"/>
      <c r="B24" s="121" t="inlineStr">
        <is>
          <t>Ücret dönemi hatası</t>
        </is>
      </c>
      <c r="C24" s="113" t="inlineStr">
        <is>
          <t>KRİTİK</t>
        </is>
      </c>
      <c r="D24" s="113" t="inlineStr">
        <is>
          <t>0</t>
        </is>
      </c>
      <c r="E24" s="232">
        <f>COUNTIFS(UCRETLER!$H$7:$H$406,"Aktif",UCRETLER!$N$7:$N$406,"&lt;&gt;UYGUN")</f>
        <v/>
      </c>
      <c r="F24" s="113">
        <f>IF($E24=0,"GEÇTİ","KALDI")</f>
        <v/>
      </c>
      <c r="G24" s="121" t="inlineStr">
        <is>
          <t>Cumartesi / ücret / dönem kontrolü</t>
        </is>
      </c>
      <c r="H24" s="171">
        <f>HYPERLINK("#UCRETLER!A1","UCRETLER")</f>
        <v/>
      </c>
      <c r="I24" s="3" t="n"/>
      <c r="J24" s="3" t="n"/>
      <c r="K24" s="109" t="inlineStr">
        <is>
          <t>Beyanname / Bildirim Ücreti</t>
        </is>
      </c>
      <c r="L24" s="108" t="inlineStr">
        <is>
          <t>Gelir</t>
        </is>
      </c>
      <c r="M24" s="108" t="inlineStr">
        <is>
          <t>Aktif</t>
        </is>
      </c>
      <c r="N24" s="6" t="n"/>
      <c r="O24" s="6" t="n"/>
    </row>
    <row r="25" ht="23" customHeight="1">
      <c r="A25" s="6" t="n"/>
      <c r="B25" s="121" t="inlineStr">
        <is>
          <t>Aktif müşteri ücretsiz</t>
        </is>
      </c>
      <c r="C25" s="113" t="inlineStr">
        <is>
          <t>KRİTİK</t>
        </is>
      </c>
      <c r="D25" s="113" t="inlineStr">
        <is>
          <t>0</t>
        </is>
      </c>
      <c r="E25" s="232">
        <f>COUNTIFS(MUSTERILER!$D$7:$D$106,"Aktif",MUSTERILER!$O$7:$O$106,"HAYIR")</f>
        <v/>
      </c>
      <c r="F25" s="113">
        <f>IF($E25=0,"GEÇTİ","KALDI")</f>
        <v/>
      </c>
      <c r="G25" s="121" t="inlineStr">
        <is>
          <t>Aktif müşterinin aktif ücret tanımı olmalı</t>
        </is>
      </c>
      <c r="H25" s="171">
        <f>HYPERLINK("#MUSTERILER!A1","MUSTERILER")</f>
        <v/>
      </c>
      <c r="I25" s="3" t="n"/>
      <c r="J25" s="3" t="n"/>
      <c r="K25" s="109" t="inlineStr">
        <is>
          <t>Diğer Hizmet Geliri</t>
        </is>
      </c>
      <c r="L25" s="108" t="inlineStr">
        <is>
          <t>Gelir</t>
        </is>
      </c>
      <c r="M25" s="108" t="inlineStr">
        <is>
          <t>Aktif</t>
        </is>
      </c>
      <c r="N25" s="6" t="n"/>
      <c r="O25" s="6" t="n"/>
    </row>
    <row r="26" ht="23" customHeight="1">
      <c r="A26" s="6" t="n"/>
      <c r="B26" s="121" t="inlineStr">
        <is>
          <t>Müşteri no tekrarı</t>
        </is>
      </c>
      <c r="C26" s="113" t="inlineStr">
        <is>
          <t>KRİTİK</t>
        </is>
      </c>
      <c r="D26" s="113" t="inlineStr">
        <is>
          <t>0</t>
        </is>
      </c>
      <c r="E26" s="232">
        <f>SUMPRODUCT((MUSTERILER!$B$7:$B$106&lt;&gt;"")*(COUNTIF(MUSTERILER!$B$7:$B$106,MUSTERILER!$B$7:$B$106&amp;"")&gt;1))</f>
        <v/>
      </c>
      <c r="F26" s="113">
        <f>IF($E26=0,"GEÇTİ","KALDI")</f>
        <v/>
      </c>
      <c r="G26" s="121" t="inlineStr">
        <is>
          <t>Müşteri numarası tekil olmalı</t>
        </is>
      </c>
      <c r="H26" s="171">
        <f>HYPERLINK("#MUSTERILER!A1","MUSTERILER")</f>
        <v/>
      </c>
      <c r="I26" s="3" t="n"/>
      <c r="J26" s="3" t="n"/>
      <c r="K26" s="109" t="inlineStr">
        <is>
          <t>Diğer Gelir</t>
        </is>
      </c>
      <c r="L26" s="108" t="inlineStr">
        <is>
          <t>Gelir</t>
        </is>
      </c>
      <c r="M26" s="108" t="inlineStr">
        <is>
          <t>Aktif</t>
        </is>
      </c>
      <c r="N26" s="6" t="n"/>
      <c r="O26" s="6" t="n"/>
    </row>
    <row r="27" ht="23" customHeight="1">
      <c r="A27" s="6" t="n"/>
      <c r="B27" s="121" t="inlineStr">
        <is>
          <t>Müşteri adı tekrarı</t>
        </is>
      </c>
      <c r="C27" s="113" t="inlineStr">
        <is>
          <t>YÜKSEK</t>
        </is>
      </c>
      <c r="D27" s="113" t="inlineStr">
        <is>
          <t>0</t>
        </is>
      </c>
      <c r="E27" s="232">
        <f>SUMPRODUCT((MUSTERILER!$C$7:$C$106&lt;&gt;"")*(COUNTIF(MUSTERILER!$C$7:$C$106,MUSTERILER!$C$7:$C$106&amp;"")&gt;1))</f>
        <v/>
      </c>
      <c r="F27" s="113">
        <f>IF($E27=0,"GEÇTİ","KALDI")</f>
        <v/>
      </c>
      <c r="G27" s="121" t="inlineStr">
        <is>
          <t>Hızlı kart seçimi için adlar tekil olmalı</t>
        </is>
      </c>
      <c r="H27" s="171">
        <f>HYPERLINK("#MUSTERILER!A1","MUSTERILER")</f>
        <v/>
      </c>
      <c r="I27" s="3" t="n"/>
      <c r="J27" s="3" t="n"/>
      <c r="K27" s="109" t="inlineStr">
        <is>
          <t>Mehmet Ali Kartal</t>
        </is>
      </c>
      <c r="L27" s="108" t="inlineStr">
        <is>
          <t>Gider</t>
        </is>
      </c>
      <c r="M27" s="108" t="inlineStr">
        <is>
          <t>Aktif</t>
        </is>
      </c>
      <c r="N27" s="6" t="n"/>
      <c r="O27" s="6" t="n"/>
    </row>
    <row r="28" ht="23" customHeight="1">
      <c r="A28" s="6" t="n"/>
      <c r="B28" s="121" t="inlineStr">
        <is>
          <t>Devir tarihi eksik</t>
        </is>
      </c>
      <c r="C28" s="113" t="inlineStr">
        <is>
          <t>YÜKSEK</t>
        </is>
      </c>
      <c r="D28" s="113" t="inlineStr">
        <is>
          <t>0</t>
        </is>
      </c>
      <c r="E28" s="232">
        <f>COUNTIFS(MUSTERILER!$J$7:$J$106,"&gt;0",MUSTERILER!$K$7:$K$106,"")</f>
        <v/>
      </c>
      <c r="F28" s="113">
        <f>IF($E28=0,"GEÇTİ","KALDI")</f>
        <v/>
      </c>
      <c r="G28" s="121" t="inlineStr">
        <is>
          <t>Tarihi olmayan devir 29+ gün sayılır</t>
        </is>
      </c>
      <c r="H28" s="171">
        <f>HYPERLINK("#MUSTERILER!A1","MUSTERILER")</f>
        <v/>
      </c>
      <c r="I28" s="3" t="n"/>
      <c r="J28" s="3" t="n"/>
      <c r="K28" s="172" t="n"/>
      <c r="L28" s="172" t="n"/>
      <c r="M28" s="172" t="n"/>
      <c r="N28" s="6" t="n"/>
      <c r="O28" s="6" t="n"/>
    </row>
    <row r="29" ht="23" customHeight="1">
      <c r="A29" s="6" t="n"/>
      <c r="B29" s="121" t="inlineStr">
        <is>
          <t>Müşteri kaydı eksik</t>
        </is>
      </c>
      <c r="C29" s="113" t="inlineStr">
        <is>
          <t>ORTA</t>
        </is>
      </c>
      <c r="D29" s="113" t="inlineStr">
        <is>
          <t>0</t>
        </is>
      </c>
      <c r="E29" s="232">
        <f>SUMPRODUCT((MUSTERILER!$P$7:$P$106&lt;&gt;"")*(MUSTERILER!$P$7:$P$106&lt;&gt;"UYGUN"))</f>
        <v/>
      </c>
      <c r="F29" s="113">
        <f>IF($E29=0,"GEÇTİ","KALDI")</f>
        <v/>
      </c>
      <c r="G29" s="121" t="inlineStr">
        <is>
          <t>Unvan ve durum zorunlu</t>
        </is>
      </c>
      <c r="H29" s="171">
        <f>HYPERLINK("#MUSTERILER!A1","MUSTERILER")</f>
        <v/>
      </c>
      <c r="I29" s="3" t="n"/>
      <c r="J29" s="3" t="n"/>
      <c r="K29" s="172" t="n"/>
      <c r="L29" s="172" t="n"/>
      <c r="M29" s="172" t="n"/>
      <c r="N29" s="6" t="n"/>
      <c r="O29" s="6" t="n"/>
    </row>
    <row r="30" ht="23" customHeight="1">
      <c r="A30" s="6" t="n"/>
      <c r="B30" s="121" t="inlineStr">
        <is>
          <t>Eksik tahsilat kaydı</t>
        </is>
      </c>
      <c r="C30" s="113" t="inlineStr">
        <is>
          <t>YÜKSEK</t>
        </is>
      </c>
      <c r="D30" s="113" t="inlineStr">
        <is>
          <t>0</t>
        </is>
      </c>
      <c r="E30" s="232">
        <f>COUNTIF(TAHSILAT!$M$7:$M$1506,"EKSİK")</f>
        <v/>
      </c>
      <c r="F30" s="113">
        <f>IF($E30=0,"GEÇTİ","KALDI")</f>
        <v/>
      </c>
      <c r="G30" s="121" t="inlineStr">
        <is>
          <t>Tarih, tutar ve hesap zorunlu</t>
        </is>
      </c>
      <c r="H30" s="171">
        <f>HYPERLINK("#TAHSILAT!A1","TAHSILAT")</f>
        <v/>
      </c>
      <c r="I30" s="3" t="n"/>
      <c r="J30" s="3" t="n"/>
      <c r="K30" s="172" t="n"/>
      <c r="L30" s="172" t="n"/>
      <c r="M30" s="172" t="n"/>
      <c r="N30" s="6" t="n"/>
      <c r="O30" s="6" t="n"/>
    </row>
    <row r="31" ht="23" customHeight="1">
      <c r="A31" s="6" t="n"/>
      <c r="B31" s="121" t="inlineStr">
        <is>
          <t>Tanımsız müşteriye tahsilat</t>
        </is>
      </c>
      <c r="C31" s="113" t="inlineStr">
        <is>
          <t>KRİTİK</t>
        </is>
      </c>
      <c r="D31" s="113" t="inlineStr">
        <is>
          <t>0</t>
        </is>
      </c>
      <c r="E31" s="232">
        <f>COUNTIF(TAHSILAT!$M$7:$M$1506,"HATA")</f>
        <v/>
      </c>
      <c r="F31" s="113">
        <f>IF($E31=0,"GEÇTİ","KALDI")</f>
        <v/>
      </c>
      <c r="G31" s="121" t="inlineStr">
        <is>
          <t>Tahsilat müşteri numarası ana listede olmalı</t>
        </is>
      </c>
      <c r="H31" s="171">
        <f>HYPERLINK("#TAHSILAT!A1","TAHSILAT")</f>
        <v/>
      </c>
      <c r="I31" s="3" t="n"/>
      <c r="J31" s="3" t="n"/>
      <c r="K31" s="172" t="n"/>
      <c r="L31" s="172" t="n"/>
      <c r="M31" s="172" t="n"/>
      <c r="N31" s="6" t="n"/>
      <c r="O31" s="6" t="n"/>
    </row>
    <row r="32" ht="23" customHeight="1">
      <c r="A32" s="6" t="n"/>
      <c r="B32" s="121" t="inlineStr">
        <is>
          <t>İleri tarihli tahsilat</t>
        </is>
      </c>
      <c r="C32" s="113" t="inlineStr">
        <is>
          <t>YÜKSEK</t>
        </is>
      </c>
      <c r="D32" s="113" t="inlineStr">
        <is>
          <t>0</t>
        </is>
      </c>
      <c r="E32" s="232">
        <f>COUNTIF(TAHSILAT!$M$7:$M$1506,"İLERİ TARİH")</f>
        <v/>
      </c>
      <c r="F32" s="113">
        <f>IF($E32=0,"GEÇTİ","KALDI")</f>
        <v/>
      </c>
      <c r="G32" s="121" t="inlineStr">
        <is>
          <t>Yanlışlıkla ileri tarih girilmesini yakalar</t>
        </is>
      </c>
      <c r="H32" s="171">
        <f>HYPERLINK("#TAHSILAT!A1","TAHSILAT")</f>
        <v/>
      </c>
      <c r="I32" s="3" t="n"/>
      <c r="J32" s="3" t="n"/>
      <c r="K32" s="172" t="n"/>
      <c r="L32" s="172" t="n"/>
      <c r="M32" s="172" t="n"/>
      <c r="N32" s="6" t="n"/>
      <c r="O32" s="6" t="n"/>
    </row>
    <row r="33" ht="23" customHeight="1">
      <c r="A33" s="6" t="n"/>
      <c r="B33" s="121" t="inlineStr">
        <is>
          <t>Sıfır / negatif tahsilat</t>
        </is>
      </c>
      <c r="C33" s="113" t="inlineStr">
        <is>
          <t>KRİTİK</t>
        </is>
      </c>
      <c r="D33" s="113" t="inlineStr">
        <is>
          <t>0</t>
        </is>
      </c>
      <c r="E33" s="232">
        <f>COUNTIFS(TAHSILAT!$D$7:$D$1506,"&lt;&gt;",TAHSILAT!$F$7:$F$1506,"&lt;=0")</f>
        <v/>
      </c>
      <c r="F33" s="113">
        <f>IF($E33=0,"GEÇTİ","KALDI")</f>
        <v/>
      </c>
      <c r="G33" s="121" t="inlineStr">
        <is>
          <t>Tahsilat tutarı sıfırdan büyük olmalı</t>
        </is>
      </c>
      <c r="H33" s="171">
        <f>HYPERLINK("#TAHSILAT!A1","TAHSILAT")</f>
        <v/>
      </c>
      <c r="I33" s="3" t="n"/>
      <c r="J33" s="3" t="n"/>
      <c r="K33" s="172" t="n"/>
      <c r="L33" s="172" t="n"/>
      <c r="M33" s="172" t="n"/>
      <c r="N33" s="6" t="n"/>
      <c r="O33" s="6" t="n"/>
    </row>
    <row r="34" ht="23" customHeight="1">
      <c r="A34" s="6" t="n"/>
      <c r="B34" s="121" t="inlineStr">
        <is>
          <t>Tanımsız hesaba tahsilat</t>
        </is>
      </c>
      <c r="C34" s="113" t="inlineStr">
        <is>
          <t>KRİTİK</t>
        </is>
      </c>
      <c r="D34" s="113" t="inlineStr">
        <is>
          <t>0</t>
        </is>
      </c>
      <c r="E34" s="232">
        <f>SUMPRODUCT((TAHSILAT!$G$7:$G$1506&lt;&gt;"")*(COUNTIF(HESAPLAR!$B$7:$B$16,TAHSILAT!$G$7:$G$1506&amp;"")=0))</f>
        <v/>
      </c>
      <c r="F34" s="113">
        <f>IF($E34=0,"GEÇTİ","KALDI")</f>
        <v/>
      </c>
      <c r="G34" s="121" t="inlineStr">
        <is>
          <t>Kasa/banka adı hesap listesinde olmalı</t>
        </is>
      </c>
      <c r="H34" s="171">
        <f>HYPERLINK("#HESAPLAR!A1","HESAPLAR")</f>
        <v/>
      </c>
      <c r="I34" s="3" t="n"/>
      <c r="J34" s="3" t="n"/>
      <c r="K34" s="172" t="n"/>
      <c r="L34" s="172" t="n"/>
      <c r="M34" s="172" t="n"/>
      <c r="N34" s="6" t="n"/>
      <c r="O34" s="6" t="n"/>
    </row>
    <row r="35" ht="23" customHeight="1">
      <c r="A35" s="6" t="n"/>
      <c r="B35" s="121" t="inlineStr">
        <is>
          <t>Eksik gelir/gider kaydı</t>
        </is>
      </c>
      <c r="C35" s="113" t="inlineStr">
        <is>
          <t>YÜKSEK</t>
        </is>
      </c>
      <c r="D35" s="113" t="inlineStr">
        <is>
          <t>0</t>
        </is>
      </c>
      <c r="E35" s="232">
        <f>COUNTIF(GELIR_GIDER!$O$7:$O$1206,"EKSİK")</f>
        <v/>
      </c>
      <c r="F35" s="113">
        <f>IF($E35=0,"GEÇTİ","KALDI")</f>
        <v/>
      </c>
      <c r="G35" s="121" t="inlineStr">
        <is>
          <t>Faaliyet kaydı tam olmalı</t>
        </is>
      </c>
      <c r="H35" s="171">
        <f>HYPERLINK("#GELIR_GIDER!A1","GELIR_GIDER")</f>
        <v/>
      </c>
      <c r="I35" s="3" t="n"/>
      <c r="J35" s="3" t="n"/>
      <c r="K35" s="172" t="n"/>
      <c r="L35" s="172" t="n"/>
      <c r="M35" s="172" t="n"/>
      <c r="N35" s="6" t="n"/>
      <c r="O35" s="6" t="n"/>
    </row>
    <row r="36" ht="23" customHeight="1">
      <c r="A36" s="6" t="n"/>
      <c r="B36" s="121" t="inlineStr">
        <is>
          <t>Sıfır / negatif gelir-gider</t>
        </is>
      </c>
      <c r="C36" s="113" t="inlineStr">
        <is>
          <t>YÜKSEK</t>
        </is>
      </c>
      <c r="D36" s="113" t="inlineStr">
        <is>
          <t>0</t>
        </is>
      </c>
      <c r="E36" s="232">
        <f>COUNTIFS(GELIR_GIDER!$D$7:$D$1206,"&lt;&gt;",GELIR_GIDER!$G$7:$G$1206,"&lt;=0")</f>
        <v/>
      </c>
      <c r="F36" s="113">
        <f>IF($E36=0,"GEÇTİ","KALDI")</f>
        <v/>
      </c>
      <c r="G36" s="121" t="inlineStr">
        <is>
          <t>Tutar sıfırdan büyük olmalı</t>
        </is>
      </c>
      <c r="H36" s="171">
        <f>HYPERLINK("#GELIR_GIDER!A1","GELIR_GIDER")</f>
        <v/>
      </c>
      <c r="I36" s="3" t="n"/>
      <c r="J36" s="3" t="n"/>
      <c r="K36" s="172" t="n"/>
      <c r="L36" s="172" t="n"/>
      <c r="M36" s="172" t="n"/>
      <c r="N36" s="6" t="n"/>
      <c r="O36" s="6" t="n"/>
    </row>
    <row r="37" ht="23" customHeight="1">
      <c r="A37" s="6" t="n"/>
      <c r="B37" s="121" t="inlineStr">
        <is>
          <t>Hatalı virman</t>
        </is>
      </c>
      <c r="C37" s="113" t="inlineStr">
        <is>
          <t>KRİTİK</t>
        </is>
      </c>
      <c r="D37" s="113" t="inlineStr">
        <is>
          <t>0</t>
        </is>
      </c>
      <c r="E37" s="232">
        <f>COUNTIF(VIRMAN!$J$7:$J$406,"HATA")</f>
        <v/>
      </c>
      <c r="F37" s="113">
        <f>IF($E37=0,"GEÇTİ","KALDI")</f>
        <v/>
      </c>
      <c r="G37" s="121" t="inlineStr">
        <is>
          <t>Çıkan ve giren hesap aynı olamaz</t>
        </is>
      </c>
      <c r="H37" s="171">
        <f>HYPERLINK("#VIRMAN!A1","VIRMAN")</f>
        <v/>
      </c>
      <c r="I37" s="3" t="n"/>
      <c r="J37" s="3" t="n"/>
      <c r="K37" s="172" t="n"/>
      <c r="L37" s="172" t="n"/>
      <c r="M37" s="172" t="n"/>
      <c r="N37" s="6" t="n"/>
      <c r="O37" s="6" t="n"/>
    </row>
    <row r="38" ht="23" customHeight="1">
      <c r="A38" s="6" t="n"/>
      <c r="B38" s="121" t="inlineStr">
        <is>
          <t>Cari matematik kontrolü</t>
        </is>
      </c>
      <c r="C38" s="113" t="inlineStr">
        <is>
          <t>KRİTİK</t>
        </is>
      </c>
      <c r="D38" s="113" t="inlineStr">
        <is>
          <t>0</t>
        </is>
      </c>
      <c r="E38" s="232">
        <f>COUNTIF(MUSTERI_360!$V$7:$V$106,"İNCELE")</f>
        <v/>
      </c>
      <c r="F38" s="113">
        <f>IF($E38=0,"GEÇTİ","KALDI")</f>
        <v/>
      </c>
      <c r="G38" s="121" t="inlineStr">
        <is>
          <t>Bakiye = yaş kovaları toplamı</t>
        </is>
      </c>
      <c r="H38" s="171">
        <f>HYPERLINK("#MUSTERI_360!A1","MUSTERI_360")</f>
        <v/>
      </c>
      <c r="I38" s="3" t="n"/>
      <c r="J38" s="3" t="n"/>
      <c r="K38" s="3" t="n"/>
      <c r="L38" s="3" t="n"/>
      <c r="M38" s="3" t="n"/>
      <c r="N38" s="6" t="n"/>
      <c r="O38" s="6" t="n"/>
    </row>
    <row r="39" ht="23" customHeight="1">
      <c r="A39" s="6" t="n"/>
      <c r="B39" s="121" t="inlineStr">
        <is>
          <t>Tahsilat mutabakatı</t>
        </is>
      </c>
      <c r="C39" s="113" t="inlineStr">
        <is>
          <t>KRİTİK</t>
        </is>
      </c>
      <c r="D39" s="113" t="inlineStr">
        <is>
          <t>0,00 TL</t>
        </is>
      </c>
      <c r="E39" s="257">
        <f>ABS(SUM(TAHSILAT!$F$7:$F$1506)-SUM(MUSTERI_360!$I$7:$I$106))</f>
        <v/>
      </c>
      <c r="F39" s="113">
        <f>IF($E39&lt;0.01,"GEÇTİ","KALDI")</f>
        <v/>
      </c>
      <c r="G39" s="121" t="inlineStr">
        <is>
          <t>Defter toplamı = cari tahsilat toplamı</t>
        </is>
      </c>
      <c r="H39" s="171">
        <f>HYPERLINK("#TAHSILAT!A1","TAHSILAT")</f>
        <v/>
      </c>
      <c r="I39" s="3" t="n"/>
      <c r="J39" s="3" t="n"/>
      <c r="K39" s="3" t="n"/>
      <c r="L39" s="3" t="n"/>
      <c r="M39" s="3" t="n"/>
      <c r="N39" s="6" t="n"/>
      <c r="O39" s="6" t="n"/>
    </row>
    <row r="40" ht="23" customHeight="1">
      <c r="A40" s="6" t="n"/>
      <c r="B40" s="121" t="inlineStr">
        <is>
          <t>Yaşlandırma mutabakatı</t>
        </is>
      </c>
      <c r="C40" s="113" t="inlineStr">
        <is>
          <t>KRİTİK</t>
        </is>
      </c>
      <c r="D40" s="113" t="inlineStr">
        <is>
          <t>0,00 TL</t>
        </is>
      </c>
      <c r="E40" s="257">
        <f>ABS(SUM(MUSTERI_360!$J$7:$J$106)-SUM(MUSTERI_360!$K$7:$K$106)-SUM(MUSTERI_360!$L$7:$L$106)-SUM(MUSTERI_360!$M$7:$M$106)-SUM(MUSTERI_360!$N$7:$N$106))</f>
        <v/>
      </c>
      <c r="F40" s="113">
        <f>IF($E40&lt;0.01,"GEÇTİ","KALDI")</f>
        <v/>
      </c>
      <c r="G40" s="121" t="inlineStr">
        <is>
          <t>Toplam alacak = yaş kovaları toplamı</t>
        </is>
      </c>
      <c r="H40" s="171">
        <f>HYPERLINK("#MUSTERI_360!A1","MUSTERI_360")</f>
        <v/>
      </c>
      <c r="I40" s="3" t="n"/>
      <c r="J40" s="3" t="n"/>
      <c r="K40" s="3" t="n"/>
      <c r="L40" s="3" t="n"/>
      <c r="M40" s="3" t="n"/>
      <c r="N40" s="6" t="n"/>
      <c r="O40" s="6" t="n"/>
    </row>
    <row r="41" ht="23" customHeight="1">
      <c r="A41" s="6" t="n"/>
      <c r="B41" s="121" t="inlineStr">
        <is>
          <t>Kasa toplam denklemi</t>
        </is>
      </c>
      <c r="C41" s="113" t="inlineStr">
        <is>
          <t>KRİTİK</t>
        </is>
      </c>
      <c r="D41" s="113" t="inlineStr">
        <is>
          <t>0,00 TL</t>
        </is>
      </c>
      <c r="E41" s="257">
        <f>ABS(SUM(HESAPLAR!$K$7:$K$16)-HESAPLAR!$K$18)</f>
        <v/>
      </c>
      <c r="F41" s="113">
        <f>IF($E41&lt;0.01,"GEÇTİ","KALDI")</f>
        <v/>
      </c>
      <c r="G41" s="121" t="inlineStr">
        <is>
          <t>Hesap satırları toplamı = genel toplam</t>
        </is>
      </c>
      <c r="H41" s="171">
        <f>HYPERLINK("#HESAPLAR!A1","HESAPLAR")</f>
        <v/>
      </c>
      <c r="I41" s="3" t="n"/>
      <c r="J41" s="3" t="n"/>
      <c r="K41" s="3" t="n"/>
      <c r="L41" s="3" t="n"/>
      <c r="M41" s="3" t="n"/>
      <c r="N41" s="6" t="n"/>
      <c r="O41" s="6" t="n"/>
    </row>
    <row r="42" ht="23" customHeight="1">
      <c r="A42" s="6" t="n"/>
      <c r="B42" s="121" t="inlineStr">
        <is>
          <t>Negatif hesap bakiyesi</t>
        </is>
      </c>
      <c r="C42" s="113" t="inlineStr">
        <is>
          <t>BİLGİ</t>
        </is>
      </c>
      <c r="D42" s="113" t="inlineStr">
        <is>
          <t>İzle</t>
        </is>
      </c>
      <c r="E42" s="232">
        <f>COUNTIF(HESAPLAR!$K$7:$K$16,"&lt;0")</f>
        <v/>
      </c>
      <c r="F42" s="113">
        <f>"BİLGİ"</f>
        <v/>
      </c>
      <c r="G42" s="121" t="inlineStr">
        <is>
          <t>Bakiyesi eksiye düşen hesap incelenmeli</t>
        </is>
      </c>
      <c r="H42" s="171">
        <f>HYPERLINK("#HESAPLAR!A1","HESAPLAR")</f>
        <v/>
      </c>
      <c r="I42" s="3" t="n"/>
      <c r="J42" s="3" t="n"/>
      <c r="K42" s="3" t="n"/>
      <c r="L42" s="3" t="n"/>
      <c r="M42" s="3" t="n"/>
      <c r="N42" s="6" t="n"/>
      <c r="O42" s="6" t="n"/>
    </row>
    <row r="43" ht="23" customHeight="1">
      <c r="A43" s="6" t="n"/>
      <c r="B43" s="121" t="inlineStr">
        <is>
          <t>Ortak pay dağıtım hatası</t>
        </is>
      </c>
      <c r="C43" s="113" t="inlineStr">
        <is>
          <t>KRİTİK</t>
        </is>
      </c>
      <c r="D43" s="113" t="inlineStr">
        <is>
          <t>0</t>
        </is>
      </c>
      <c r="E43" s="232">
        <f>COUNTIF(AY_SONU!$T$7:$T$42,"PAY HATASI")</f>
        <v/>
      </c>
      <c r="F43" s="113">
        <f>IF($E43=0,"GEÇTİ","KALDI")</f>
        <v/>
      </c>
      <c r="G43" s="121" t="inlineStr">
        <is>
          <t>Dağıtılan pay toplamı tutmalı</t>
        </is>
      </c>
      <c r="H43" s="171">
        <f>HYPERLINK("#AY_SONU!A1","AY_SONU")</f>
        <v/>
      </c>
      <c r="I43" s="3" t="n"/>
      <c r="J43" s="3" t="n"/>
      <c r="K43" s="3" t="n"/>
      <c r="L43" s="3" t="n"/>
      <c r="M43" s="3" t="n"/>
      <c r="N43" s="6" t="n"/>
      <c r="O43" s="6" t="n"/>
    </row>
    <row r="44" ht="23" customHeight="1">
      <c r="A44" s="6" t="n"/>
      <c r="B44" s="121" t="inlineStr">
        <is>
          <t>Aktivitede tanımsız müşteri</t>
        </is>
      </c>
      <c r="C44" s="113" t="inlineStr">
        <is>
          <t>KRİTİK</t>
        </is>
      </c>
      <c r="D44" s="113" t="inlineStr">
        <is>
          <t>0</t>
        </is>
      </c>
      <c r="E44" s="232">
        <f>COUNTIF(AKTIVITE!$Q$7:$Q$1006,"HATA")</f>
        <v/>
      </c>
      <c r="F44" s="113">
        <f>IF($E44=0,"GEÇTİ","KALDI")</f>
        <v/>
      </c>
      <c r="G44" s="121" t="inlineStr">
        <is>
          <t>İş/görüşme ana müşteri kartıyla eşleşmeli</t>
        </is>
      </c>
      <c r="H44" s="171">
        <f>HYPERLINK("#AKTIVITE!A1","AKTIVITE")</f>
        <v/>
      </c>
      <c r="I44" s="3" t="n"/>
      <c r="J44" s="3" t="n"/>
      <c r="K44" s="3" t="n"/>
      <c r="L44" s="3" t="n"/>
      <c r="M44" s="3" t="n"/>
      <c r="N44" s="6" t="n"/>
      <c r="O44" s="6" t="n"/>
    </row>
    <row r="45" ht="23" customHeight="1">
      <c r="A45" s="6" t="n"/>
      <c r="B45" s="121" t="inlineStr">
        <is>
          <t>Aktivitede eksik son tarih</t>
        </is>
      </c>
      <c r="C45" s="113" t="inlineStr">
        <is>
          <t>YÜKSEK</t>
        </is>
      </c>
      <c r="D45" s="113" t="inlineStr">
        <is>
          <t>0</t>
        </is>
      </c>
      <c r="E45" s="232">
        <f>COUNTIF(AKTIVITE!$Q$7:$Q$1006,"TARİH EKSİK")</f>
        <v/>
      </c>
      <c r="F45" s="113">
        <f>IF($E45=0,"GEÇTİ","KALDI")</f>
        <v/>
      </c>
      <c r="G45" s="121" t="inlineStr">
        <is>
          <t>Açık işin son tarihi olmalı</t>
        </is>
      </c>
      <c r="H45" s="171">
        <f>HYPERLINK("#AKTIVITE!A1","AKTIVITE")</f>
        <v/>
      </c>
      <c r="I45" s="3" t="n"/>
      <c r="J45" s="3" t="n"/>
      <c r="K45" s="3" t="n"/>
      <c r="L45" s="3" t="n"/>
      <c r="M45" s="3" t="n"/>
      <c r="N45" s="6" t="n"/>
      <c r="O45" s="6" t="n"/>
    </row>
    <row r="46" ht="23" customHeight="1">
      <c r="A46" s="6" t="n"/>
      <c r="B46" s="121" t="inlineStr">
        <is>
          <t>Sonraki işlem eksik</t>
        </is>
      </c>
      <c r="C46" s="113" t="inlineStr">
        <is>
          <t>YÜKSEK</t>
        </is>
      </c>
      <c r="D46" s="113" t="inlineStr">
        <is>
          <t>0</t>
        </is>
      </c>
      <c r="E46" s="232">
        <f>COUNTIF(AKTIVITE!$Q$7:$Q$1006,"SONRAKİ İŞLEM EKSİK")</f>
        <v/>
      </c>
      <c r="F46" s="113">
        <f>IF($E46=0,"GEÇTİ","KALDI")</f>
        <v/>
      </c>
      <c r="G46" s="121" t="inlineStr">
        <is>
          <t>Görüşmeden sonra adım tanımlanmalı</t>
        </is>
      </c>
      <c r="H46" s="171">
        <f>HYPERLINK("#AKTIVITE!A1","AKTIVITE")</f>
        <v/>
      </c>
      <c r="I46" s="3" t="n"/>
      <c r="J46" s="3" t="n"/>
      <c r="K46" s="3" t="n"/>
      <c r="L46" s="3" t="n"/>
      <c r="M46" s="3" t="n"/>
      <c r="N46" s="6" t="n"/>
      <c r="O46" s="6" t="n"/>
    </row>
    <row r="47" ht="23" customHeight="1">
      <c r="A47" s="6" t="n"/>
      <c r="B47" s="121" t="inlineStr">
        <is>
          <t>Gecikmiş müşteri işi</t>
        </is>
      </c>
      <c r="C47" s="113" t="inlineStr">
        <is>
          <t>BİLGİ</t>
        </is>
      </c>
      <c r="D47" s="113" t="inlineStr">
        <is>
          <t>İzle</t>
        </is>
      </c>
      <c r="E47" s="232">
        <f>COUNTIF(AKTIVITE!$Q$7:$Q$1006,"GECİKMİŞ")</f>
        <v/>
      </c>
      <c r="F47" s="113">
        <f>"BİLGİ"</f>
        <v/>
      </c>
      <c r="G47" s="121" t="inlineStr">
        <is>
          <t>Son tarihi geçmiş açık işler</t>
        </is>
      </c>
      <c r="H47" s="171">
        <f>HYPERLINK("#AKTIVITE!A1","AKTIVITE")</f>
        <v/>
      </c>
      <c r="I47" s="3" t="n"/>
      <c r="J47" s="3" t="n"/>
      <c r="K47" s="3" t="n"/>
      <c r="L47" s="3" t="n"/>
      <c r="M47" s="3" t="n"/>
      <c r="N47" s="6" t="n"/>
      <c r="O47" s="6" t="n"/>
    </row>
    <row r="48" ht="23" customHeight="1">
      <c r="A48" s="6" t="n"/>
      <c r="B48" s="121" t="inlineStr">
        <is>
          <t>Bugün yapılacak iş</t>
        </is>
      </c>
      <c r="C48" s="113" t="inlineStr">
        <is>
          <t>BİLGİ</t>
        </is>
      </c>
      <c r="D48" s="113" t="inlineStr">
        <is>
          <t>İzle</t>
        </is>
      </c>
      <c r="E48" s="232">
        <f>COUNTIF(AKTIVITE!$Q$7:$Q$1006,"BUGÜN")</f>
        <v/>
      </c>
      <c r="F48" s="113">
        <f>"BİLGİ"</f>
        <v/>
      </c>
      <c r="G48" s="121" t="inlineStr">
        <is>
          <t>Bugün tamamlanması gereken işler</t>
        </is>
      </c>
      <c r="H48" s="171">
        <f>HYPERLINK("#AKTIVITE!A1","AKTIVITE")</f>
        <v/>
      </c>
      <c r="I48" s="3" t="n"/>
      <c r="J48" s="3" t="n"/>
      <c r="K48" s="3" t="n"/>
      <c r="L48" s="3" t="n"/>
      <c r="M48" s="3" t="n"/>
      <c r="N48" s="6" t="n"/>
      <c r="O48" s="6" t="n"/>
    </row>
    <row r="49" ht="23" customHeight="1">
      <c r="A49" s="6" t="n"/>
      <c r="B49" s="121" t="inlineStr">
        <is>
          <t>29+ gün alacaklı müşteri</t>
        </is>
      </c>
      <c r="C49" s="113" t="inlineStr">
        <is>
          <t>BİLGİ</t>
        </is>
      </c>
      <c r="D49" s="113" t="inlineStr">
        <is>
          <t>İzle</t>
        </is>
      </c>
      <c r="E49" s="232">
        <f>COUNTIF(MUSTERI_360!$Q$7:$Q$106,"KRİTİK")</f>
        <v/>
      </c>
      <c r="F49" s="113">
        <f>"BİLGİ"</f>
        <v/>
      </c>
      <c r="G49" s="121" t="inlineStr">
        <is>
          <t>Kritik borç durumundaki müşteri sayısı</t>
        </is>
      </c>
      <c r="H49" s="171">
        <f>HYPERLINK("#MUSTERI_360!A1","MUSTERI_360")</f>
        <v/>
      </c>
      <c r="I49" s="3" t="n"/>
      <c r="J49" s="3" t="n"/>
      <c r="K49" s="3" t="n"/>
      <c r="L49" s="3" t="n"/>
      <c r="M49" s="3" t="n"/>
      <c r="N49" s="6" t="n"/>
      <c r="O49" s="6" t="n"/>
    </row>
    <row r="50" ht="23" customHeight="1">
      <c r="A50" s="6" t="n"/>
      <c r="B50" s="121" t="inlineStr">
        <is>
          <t>Cari ekstre mutabakatı</t>
        </is>
      </c>
      <c r="C50" s="113" t="inlineStr">
        <is>
          <t>KRİTİK</t>
        </is>
      </c>
      <c r="D50" s="113" t="inlineStr">
        <is>
          <t>0,00 TL</t>
        </is>
      </c>
      <c r="E50" s="257">
        <f>IFERROR(ABS(CARI_EKSTRE!$I$5-INDEX(MUSTERI_360!$J$7:$J$106,MATCH(CARI_EKSTRE!$I$4,MUSTERI_360!$B$7:$B$106,0))),0)</f>
        <v/>
      </c>
      <c r="F50" s="113">
        <f>IF($E50&lt;0.01,"GEÇTİ","KALDI")</f>
        <v/>
      </c>
      <c r="G50" s="121" t="inlineStr">
        <is>
          <t>Seçili müşterinin ekstre bakiyesi cari bakiyeye eşit olmalı</t>
        </is>
      </c>
      <c r="H50" s="171">
        <f>HYPERLINK("#CARI_EKSTRE!A1","CARI_EKSTRE")</f>
        <v/>
      </c>
      <c r="I50" s="3" t="n"/>
      <c r="J50" s="3" t="n"/>
      <c r="K50" s="3" t="n"/>
      <c r="L50" s="3" t="n"/>
      <c r="M50" s="3" t="n"/>
      <c r="N50" s="6" t="n"/>
      <c r="O50" s="6" t="n"/>
    </row>
    <row r="51" ht="23" customHeight="1">
      <c r="A51" s="6" t="n"/>
      <c r="B51" s="121" t="inlineStr">
        <is>
          <t>Tahakkuk modeli seçilmemiş</t>
        </is>
      </c>
      <c r="C51" s="113" t="inlineStr">
        <is>
          <t>KRİTİK</t>
        </is>
      </c>
      <c r="D51" s="113" t="inlineStr">
        <is>
          <t>0</t>
        </is>
      </c>
      <c r="E51" s="232">
        <f>COUNTIF(UCRETLER!$N$7:$N$406,"MODEL SEÇİN")</f>
        <v/>
      </c>
      <c r="F51" s="113">
        <f>IF($E51=0,"GEÇTİ","KALDI")</f>
        <v/>
      </c>
      <c r="G51" s="121" t="inlineStr">
        <is>
          <t>Her ücret dönemi Haftalık veya Aylık olmalı</t>
        </is>
      </c>
      <c r="H51" s="171">
        <f>HYPERLINK("#UCRETLER!A1","UCRETLER")</f>
        <v/>
      </c>
      <c r="I51" s="3" t="n"/>
      <c r="J51" s="3" t="n"/>
      <c r="K51" s="3" t="n"/>
      <c r="L51" s="3" t="n"/>
      <c r="M51" s="3" t="n"/>
      <c r="N51" s="6" t="n"/>
      <c r="O51" s="6" t="n"/>
    </row>
    <row r="52" ht="23" customHeight="1">
      <c r="A52" s="6" t="n"/>
      <c r="B52" s="121" t="inlineStr">
        <is>
          <t>Çakışan aktif ücret dönemi</t>
        </is>
      </c>
      <c r="C52" s="113" t="inlineStr">
        <is>
          <t>KRİTİK</t>
        </is>
      </c>
      <c r="D52" s="113" t="inlineStr">
        <is>
          <t>0</t>
        </is>
      </c>
      <c r="E52" s="232">
        <f>SUMPRODUCT((MUSTERI_360!$B$7:$B$106&lt;&gt;"")*((COUNTIFS(UCRETLER!$B$7:$B$406,MUSTERI_360!$B$7:$B$106,UCRETLER!$H$7:$H$406,"Aktif"))&gt;1))</f>
        <v/>
      </c>
      <c r="F52" s="113">
        <f>IF($E52=0,"GEÇTİ","KALDI")</f>
        <v/>
      </c>
      <c r="G52" s="121" t="inlineStr">
        <is>
          <t>Bir müşterinin aynı anda tek aktif ücret dönemi olmalı</t>
        </is>
      </c>
      <c r="H52" s="171">
        <f>HYPERLINK("#UCRETLER!A1","UCRETLER")</f>
        <v/>
      </c>
      <c r="I52" s="3" t="n"/>
      <c r="J52" s="3" t="n"/>
      <c r="K52" s="3" t="n"/>
      <c r="L52" s="3" t="n"/>
      <c r="M52" s="3" t="n"/>
      <c r="N52" s="6" t="n"/>
      <c r="O52" s="6" t="n"/>
    </row>
    <row r="53" ht="23" customHeight="1">
      <c r="A53" s="3" t="n"/>
      <c r="B53" s="121" t="inlineStr">
        <is>
          <t>Aylık ücretli müşteri</t>
        </is>
      </c>
      <c r="C53" s="113" t="inlineStr">
        <is>
          <t>BİLGİ</t>
        </is>
      </c>
      <c r="D53" s="113" t="inlineStr">
        <is>
          <t>İzle</t>
        </is>
      </c>
      <c r="E53" s="232">
        <f>COUNTIF(MUSTERI_360!$E$7:$E$106,"&gt;0")</f>
        <v/>
      </c>
      <c r="F53" s="113">
        <f>"BİLGİ"</f>
        <v/>
      </c>
      <c r="G53" s="121" t="inlineStr">
        <is>
          <t>Aylık tahakkuk modelindeki müşteri sayısı</t>
        </is>
      </c>
      <c r="H53" s="171">
        <f>HYPERLINK("#MUSTERI_360!A1","MUSTERI_360")</f>
        <v/>
      </c>
      <c r="I53" s="3" t="n"/>
      <c r="J53" s="3" t="n"/>
      <c r="K53" s="3" t="n"/>
      <c r="L53" s="3" t="n"/>
      <c r="M53" s="3" t="n"/>
      <c r="N53" s="3" t="n"/>
      <c r="O53" s="3" t="n"/>
    </row>
    <row r="54" ht="23" customHeight="1">
      <c r="A54" s="3" t="n"/>
      <c r="B54" s="121" t="inlineStr">
        <is>
          <t>Sözleşme dışı muhasebe geliri</t>
        </is>
      </c>
      <c r="C54" s="113" t="inlineStr">
        <is>
          <t>BİLGİ</t>
        </is>
      </c>
      <c r="D54" s="113" t="inlineStr">
        <is>
          <t>İzle</t>
        </is>
      </c>
      <c r="E54" s="232">
        <f>COUNTIFS(GELIR_GIDER!$E$7:$E$1206,"Muhasebe Hizmet Geliri (sözleşme dışı)")</f>
        <v/>
      </c>
      <c r="F54" s="113">
        <f>"BİLGİ"</f>
        <v/>
      </c>
      <c r="G54" s="121" t="inlineStr">
        <is>
          <t>Sözleşme ücreti yalnız TAHSİLAT ekranına girilir</t>
        </is>
      </c>
      <c r="H54" s="171">
        <f>HYPERLINK("#GELIR_GIDER!A1","GELIR_GIDER")</f>
        <v/>
      </c>
      <c r="I54" s="3" t="n"/>
      <c r="J54" s="3" t="n"/>
      <c r="K54" s="3" t="n"/>
      <c r="L54" s="3" t="n"/>
      <c r="M54" s="3" t="n"/>
      <c r="N54" s="3" t="n"/>
      <c r="O54" s="3" t="n"/>
    </row>
    <row r="55" ht="23" customHeight="1">
      <c r="A55" s="3" t="n"/>
      <c r="B55" s="121" t="inlineStr">
        <is>
          <t>Toplam devir alacağı</t>
        </is>
      </c>
      <c r="C55" s="113" t="inlineStr">
        <is>
          <t>BİLGİ</t>
        </is>
      </c>
      <c r="D55" s="113" t="inlineStr">
        <is>
          <t>İzle</t>
        </is>
      </c>
      <c r="E55" s="232">
        <f>SUM(MUSTERILER!$J$7:$J$106)</f>
        <v/>
      </c>
      <c r="F55" s="113">
        <f>"BİLGİ"</f>
        <v/>
      </c>
      <c r="G55" s="121" t="inlineStr">
        <is>
          <t>Eski dosyadan taşınan açılış alacağı</t>
        </is>
      </c>
      <c r="H55" s="171">
        <f>HYPERLINK("#MUSTERILER!A1","MUSTERILER")</f>
        <v/>
      </c>
      <c r="I55" s="3" t="n"/>
      <c r="J55" s="3" t="n"/>
      <c r="K55" s="3" t="n"/>
      <c r="L55" s="3" t="n"/>
      <c r="M55" s="3" t="n"/>
      <c r="N55" s="3" t="n"/>
      <c r="O55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5">
    <mergeCell ref="A2:L2"/>
    <mergeCell ref="B21:I21"/>
    <mergeCell ref="B6:F6"/>
    <mergeCell ref="K6:M6"/>
    <mergeCell ref="A1:L1"/>
  </mergeCells>
  <conditionalFormatting sqref="F23:F55">
    <cfRule type="expression" priority="1" dxfId="3" stopIfTrue="1">
      <formula>EXACT($F23,"GEÇTİ")</formula>
    </cfRule>
    <cfRule type="expression" priority="2" dxfId="5" stopIfTrue="1">
      <formula>EXACT($F23,"KALDI")</formula>
    </cfRule>
    <cfRule type="expression" priority="3" dxfId="7" stopIfTrue="1">
      <formula>EXACT($F23,"BİLGİ")</formula>
    </cfRule>
  </conditionalFormatting>
  <dataValidations count="2">
    <dataValidation sqref="L8:L37" showDropDown="0" showInputMessage="0" showErrorMessage="1" allowBlank="1" errorTitle="Geçersiz tür" error="Gelir veya Gider seçin." promptTitle="Geçersiz tür" prompt="Gelir veya Gider seçin." type="list">
      <formula1>"Gelir,Gider"</formula1>
    </dataValidation>
    <dataValidation sqref="M8:M37" showDropDown="0" showInputMessage="0" showErrorMessage="1" allowBlank="1" errorTitle="Geçersiz durum" error="Aktif veya Pasif seçin." promptTitle="Geçersiz durum" prompt="Aktif veya Pasif seçin." type="list">
      <formula1>"Aktif,Pasif"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KILIÇ MUHASEBE</dc:creator>
  <dc:title xmlns:dc="http://purl.org/dc/elements/1.1/">KILIÇ MUHASEBE – Ofis Yönetim Sistemi</dc:title>
  <dc:description xmlns:dc="http://purl.org/dc/elements/1.1/">Haftalık ücretle çalışan muhasebe ofisi için müşteri, tahakkuk, tahsilat, cari, kasa, aktivite, aylık kapanış ve ortak payı yönetim sistemi.</dc:description>
  <dcterms:created xmlns:dcterms="http://purl.org/dc/terms/" xmlns:xsi="http://www.w3.org/2001/XMLSchema-instance" xsi:type="dcterms:W3CDTF">2026-08-21T20:46:12Z</dcterms:created>
  <dcterms:modified xmlns:dcterms="http://purl.org/dc/terms/" xmlns:xsi="http://www.w3.org/2001/XMLSchema-instance" xsi:type="dcterms:W3CDTF">2026-08-21T20:46:43Z</dcterms:modified>
</cp:coreProperties>
</file>