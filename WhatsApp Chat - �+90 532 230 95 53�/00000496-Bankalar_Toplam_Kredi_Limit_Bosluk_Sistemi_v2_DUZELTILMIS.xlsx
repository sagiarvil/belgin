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O" sheetId="1" r:id="rId1"/>
    <sheet name="KULLANIM_REHBERI" sheetId="2" r:id="rId2"/>
    <sheet name="FIRMA" sheetId="3" r:id="rId3"/>
    <sheet name="BANKALAR" sheetId="4" r:id="rId4"/>
    <sheet name="LIMITLER" sheetId="5" r:id="rId5"/>
    <sheet name="KREDI_KULLANIM" sheetId="6" r:id="rId6"/>
    <sheet name="TEMINATLAR" sheetId="7" r:id="rId7"/>
    <sheet name="BANKA_OZET" sheetId="8" r:id="rId8"/>
    <sheet name="LIMIT_BOSLUK" sheetId="9" r:id="rId9"/>
    <sheet name="SENARYO" sheetId="10" r:id="rId10"/>
    <sheet name="KREDI_KAPASITE" sheetId="11" r:id="rId11"/>
    <sheet name="RISK_KONTROL" sheetId="12" r:id="rId12"/>
    <sheet name="RAPOR" sheetId="13" r:id="rId13"/>
    <sheet name="KURULUM" sheetId="14" r:id="rId14"/>
    <sheet name="SISTEM" sheetId="15" r:id="rId15"/>
    <sheet name="DENETIM" sheetId="16" state="hidden" r:id="rId16"/>
  </sheets>
  <definedNames>
    <definedName name="_xlnm._FilterDatabase" localSheetId="3" hidden="1">BANKALAR!$B$7</definedName>
    <definedName name="_xlnm._FilterDatabase" localSheetId="5" hidden="1">KREDI_KULLANIM!$B$7</definedName>
    <definedName name="_xlnm._FilterDatabase" localSheetId="4" hidden="1">LIMITLER!$B$7</definedName>
    <definedName name="_xlnm._FilterDatabase" localSheetId="6" hidden="1">TEMINATLAR!$B$7</definedName>
  </definedNames>
  <calcPr calcId="0" fullCalcOnLoad="1" calcMode="auto" forceFullCalc="1"/>
</workbook>
</file>

<file path=xl/comments1.xml><?xml version="1.0" encoding="utf-8"?>
<comments xmlns="http://schemas.openxmlformats.org/spreadsheetml/2006/main">
  <authors>
    <author/>
  </authors>
  <commentList>
    <comment ref="C17" authorId="0">
      <text>
        <r>
          <rPr>
            <sz val="8"/>
            <color indexed="81"/>
            <rFont val="Tahoma"/>
            <family val="2"/>
          </rPr>
          <t>Son 12 ay net satış. KDV hariç, mümkünse tek seferlik satışları ayırın.</t>
        </r>
      </text>
    </comment>
    <comment ref="C18" authorId="0">
      <text>
        <r>
          <rPr>
            <sz val="8"/>
            <color indexed="81"/>
            <rFont val="Tahoma"/>
            <family val="2"/>
          </rPr>
          <t>FAVÖK. Yönetim mali tablosu kullanın; olağandışı gelir/giderleri ayrıca not edin.</t>
        </r>
      </text>
    </comment>
    <comment ref="C19" authorId="0">
      <text>
        <r>
          <rPr>
            <sz val="8"/>
            <color indexed="81"/>
            <rFont val="Tahoma"/>
            <family val="2"/>
          </rPr>
          <t>Kaynak: kullanıcı girişi. Tercih edilen kaynak: güncel mizan, banka risk dökümü veya yönetim mali tablosu.</t>
        </r>
      </text>
    </comment>
    <comment ref="C20" authorId="0">
      <text>
        <r>
          <rPr>
            <sz val="8"/>
            <color indexed="81"/>
            <rFont val="Tahoma"/>
            <family val="2"/>
          </rPr>
          <t>Kaynak: kullanıcı girişi. Tercih edilen kaynak: güncel mizan, banka risk dökümü veya yönetim mali tablosu.</t>
        </r>
      </text>
    </comment>
    <comment ref="C21" authorId="0">
      <text>
        <r>
          <rPr>
            <sz val="8"/>
            <color indexed="81"/>
            <rFont val="Tahoma"/>
            <family val="2"/>
          </rPr>
          <t>Kaynak: kullanıcı girişi. Tercih edilen kaynak: güncel mizan, banka risk dökümü veya yönetim mali tablosu.</t>
        </r>
      </text>
    </comment>
    <comment ref="C22" authorId="0">
      <text>
        <r>
          <rPr>
            <sz val="8"/>
            <color indexed="81"/>
            <rFont val="Tahoma"/>
            <family val="2"/>
          </rPr>
          <t>Kaynak: kullanıcı girişi. Tercih edilen kaynak: güncel mizan, banka risk dökümü veya yönetim mali tablosu.</t>
        </r>
      </text>
    </comment>
    <comment ref="C23" authorId="0">
      <text>
        <r>
          <rPr>
            <sz val="8"/>
            <color indexed="81"/>
            <rFont val="Tahoma"/>
            <family val="2"/>
          </rPr>
          <t>Önümüzdeki 12 ay anapara + faiz toplamı. Kredi taksit planlarından toplayın.</t>
        </r>
      </text>
    </comment>
    <comment ref="C24" authorId="0">
      <text>
        <r>
          <rPr>
            <sz val="8"/>
            <color indexed="81"/>
            <rFont val="Tahoma"/>
            <family val="2"/>
          </rPr>
          <t>Kaynak: kullanıcı girişi. Tercih edilen kaynak: güncel mizan, banka risk dökümü veya yönetim mali tablosu.</t>
        </r>
      </text>
    </comment>
    <comment ref="C25" authorId="0">
      <text>
        <r>
          <rPr>
            <sz val="8"/>
            <color indexed="81"/>
            <rFont val="Tahoma"/>
            <family val="2"/>
          </rPr>
          <t>Kaynak: kullanıcı girişi. Tercih edilen kaynak: güncel mizan, banka risk dökümü veya yönetim mali tablosu.</t>
        </r>
      </text>
    </comment>
  </commentList>
</comments>
</file>

<file path=xl/comments2.xml><?xml version="1.0" encoding="utf-8"?>
<comments xmlns="http://schemas.openxmlformats.org/spreadsheetml/2006/main">
  <authors>
    <author/>
  </authors>
  <commentList>
    <comment ref="H8" authorId="0">
      <text>
        <r>
          <rPr>
            <sz val="8"/>
            <color indexed="81"/>
            <rFont val="Tahoma"/>
            <family val="2"/>
          </rPr>
          <t>Tahsis edilen limit. Alt limitleri mükerrer saymamak için Ana Limit Grubu sütununu kullanın.</t>
        </r>
      </text>
    </comment>
    <comment ref="I8" authorId="0">
      <text>
        <r>
          <rPr>
            <sz val="8"/>
            <color indexed="81"/>
            <rFont val="Tahoma"/>
            <family val="2"/>
          </rPr>
          <t>Bankada kullanılan güncel risk.</t>
        </r>
      </text>
    </comment>
    <comment ref="J8" authorId="0">
      <text>
        <r>
          <rPr>
            <sz val="8"/>
            <color indexed="81"/>
            <rFont val="Tahoma"/>
            <family val="2"/>
          </rPr>
          <t>Bloke, rehin veya kullanımı fiilen kapatan tutar.</t>
        </r>
      </text>
    </comment>
  </commentList>
</comments>
</file>

<file path=xl/comments3.xml><?xml version="1.0" encoding="utf-8"?>
<comments xmlns="http://schemas.openxmlformats.org/spreadsheetml/2006/main">
  <authors>
    <author/>
  </authors>
  <commentList>
    <comment ref="C9" authorId="0">
      <text>
        <r>
          <rPr>
            <sz val="8"/>
            <color indexed="81"/>
            <rFont val="Tahoma"/>
            <family val="2"/>
          </rPr>
          <t>Bu katsayı banka politikası değil, yönetim senaryosudur. Şirket/sector riskine göre değiştirin.</t>
        </r>
      </text>
    </comment>
  </commentList>
</comments>
</file>

<file path=xl/sharedStrings.xml><?xml version="1.0" encoding="utf-8"?>
<sst xmlns="http://schemas.openxmlformats.org/spreadsheetml/2006/main" count="683" uniqueCount="515">
  <si>
    <t>BANKALAR BANA TOPLAM NE KADAR KREDİ VERİR?</t>
  </si>
  <si>
    <t>Limit Boşluk ve Kredi Kapasitesi Karar Sistemi • v1.0 • Amaç: kredi başvurusundan önce gerçek kullanılabilir limit, yeni tahsis potansiyeli ve kritik riskleri görmek.</t>
  </si>
  <si>
    <t>☰ MENÜ / PANO</t>
  </si>
  <si>
    <t>Sarı = veri girişi • Beyaz = otomatik hesap • Kırmızı = işlem öncesi düzelt</t>
  </si>
  <si>
    <t>1 | YÖNETİCİ ÖZETİ</t>
  </si>
  <si>
    <t>TOPLAM ONAYLI LİMİT</t>
  </si>
  <si>
    <t>TOPLAM KULLANILAN RİSK</t>
  </si>
  <si>
    <t>HEMEN KULLANILABİLİR BOŞLUK</t>
  </si>
  <si>
    <t>MODEL YENİ TAHSİS POTANSİYELİ</t>
  </si>
  <si>
    <t>TOPLAM FİNANSMAN GÖRÜNÜRLÜĞÜ</t>
  </si>
  <si>
    <t>KRİTİK UYARI SAYISI</t>
  </si>
  <si>
    <t>2 | BANKA YOĞUNLAŞMASI VE LİMİT KALİTESİ</t>
  </si>
  <si>
    <t>En Büyük Banka Payı</t>
  </si>
  <si>
    <t>Limit Kullanım Oranı</t>
  </si>
  <si>
    <t>Teminat Bağımlılığı</t>
  </si>
  <si>
    <t>3 | HIZLI KARAR</t>
  </si>
  <si>
    <t>4 | ANA MODÜLLER</t>
  </si>
  <si>
    <t>FİRMA VERİLERİ</t>
  </si>
  <si>
    <t>LİMİT &amp; RİSK GİRİŞİ</t>
  </si>
  <si>
    <t>LİMİT BOŞLUK</t>
  </si>
  <si>
    <t>KREDİ KAPASİTE</t>
  </si>
  <si>
    <t>RİSK KONTROL</t>
  </si>
  <si>
    <t>YÖNETİCİ RAPORU</t>
  </si>
  <si>
    <t>KULLANIM REHBERİ</t>
  </si>
  <si>
    <t>Dosyayı 5 dakikada kullanıma alın. Formül hücrelerine dokunmayın; sarı alanları doldurun.</t>
  </si>
  <si>
    <t>3 ADIMDA SONUÇ</t>
  </si>
  <si>
    <t>Adım</t>
  </si>
  <si>
    <t>Ekran</t>
  </si>
  <si>
    <t>Ne yapacaksınız?</t>
  </si>
  <si>
    <t>Bittiğinde ne görmelisiniz?</t>
  </si>
  <si>
    <t>1</t>
  </si>
  <si>
    <t>FIRMA</t>
  </si>
  <si>
    <t>Son 12 ay net satış, FAVÖK, özkaynak, finansal borç, nakit ve yıllık borç servisini sarı alanlara girin.</t>
  </si>
  <si>
    <t>Kritik firma alanları boş değil.</t>
  </si>
  <si>
    <t>2</t>
  </si>
  <si>
    <t>LIMITLER</t>
  </si>
  <si>
    <t>Her bankadaki ürün bazlı tahsis edilmiş limit, kullanılan risk, bloke ve vade bilgisini girin.</t>
  </si>
  <si>
    <t>Kullanım+bloke hiçbir satırda limitten büyük değil.</t>
  </si>
  <si>
    <t>3</t>
  </si>
  <si>
    <t>SONUÇ</t>
  </si>
  <si>
    <t>PANO, LIMIT_BOSLUK ve KREDI_KAPASITE sayfalarını okuyun. Kırmızı uyarı varsa SISTEM'i düzeltin.</t>
  </si>
  <si>
    <t>SISTEM kritik kontroller = GEÇTİ.</t>
  </si>
  <si>
    <t>RENK SÖZLÜĞÜ</t>
  </si>
  <si>
    <t>Sarı</t>
  </si>
  <si>
    <t>Kullanıcı veri girişi</t>
  </si>
  <si>
    <t>Mavi yazı</t>
  </si>
  <si>
    <t>Değiştirilebilir hardcode</t>
  </si>
  <si>
    <t>Beyaz</t>
  </si>
  <si>
    <t>Formül / otomatik hesap</t>
  </si>
  <si>
    <t>Yeşil</t>
  </si>
  <si>
    <t>Uygun / kapasite / boşluk</t>
  </si>
  <si>
    <t>Turuncu</t>
  </si>
  <si>
    <t>İzlenmeli</t>
  </si>
  <si>
    <t>Kırmızı</t>
  </si>
  <si>
    <t>Kritik hata / kapasite engeli</t>
  </si>
  <si>
    <t>ÖNEMLİ SINIR</t>
  </si>
  <si>
    <t>Bu sistem bankanın kesin kredi kararını tahmin etmez. Banka kararı; mali analiz, grup riski, sektör, ödeme davranışı, teminat, politika ve istihbarata göre değişir. Sistem mevcut onaylı kullanılabilir limiti ve ihtiyatlı yeni tahsis potansiyelini ayrı gösterir.</t>
  </si>
  <si>
    <t>FİRMA / MALİ GÖRÜNÜM</t>
  </si>
  <si>
    <t>Kredi kapasitesi modelinin finansal girdileri. Tutarlar TL. Son 12 ay / güncel bilanço kullanın.</t>
  </si>
  <si>
    <t>A | TEMEL FİRMA BİLGİLERİ</t>
  </si>
  <si>
    <t>Firma Unvanı</t>
  </si>
  <si>
    <t>TEST SANAYİ A.Ş.</t>
  </si>
  <si>
    <t>Vergi No / İç Kod</t>
  </si>
  <si>
    <t>TEST-001</t>
  </si>
  <si>
    <t>Sektör</t>
  </si>
  <si>
    <t>İmalat</t>
  </si>
  <si>
    <t>Çalışan Sayısı</t>
  </si>
  <si>
    <t>Rapor Tarihi</t>
  </si>
  <si>
    <t>24.08.2026</t>
  </si>
  <si>
    <t>B | FİNANSAL GİRDİLER</t>
  </si>
  <si>
    <t>Son 12 Ay Net Satış</t>
  </si>
  <si>
    <t>Son 12 Ay FAVÖK</t>
  </si>
  <si>
    <t>Özkaynak</t>
  </si>
  <si>
    <t>Toplam Finansal Borç</t>
  </si>
  <si>
    <t>Nakit ve Benzeri</t>
  </si>
  <si>
    <t>Yıllık Faaliyet Nakit Akışı</t>
  </si>
  <si>
    <t>Yıllık Anapara + Faiz Servisi</t>
  </si>
  <si>
    <t>Dönen Varlıklar</t>
  </si>
  <si>
    <t>Kısa Vadeli Yükümlülükler</t>
  </si>
  <si>
    <t>C | OTOMATİK MALİ ORANLAR</t>
  </si>
  <si>
    <t>FAVÖK Marjı</t>
  </si>
  <si>
    <t>Net Borç</t>
  </si>
  <si>
    <t>Net Borç / FAVÖK</t>
  </si>
  <si>
    <t>Borç Servis Karşılama (DSCR)</t>
  </si>
  <si>
    <t>Cari Oran</t>
  </si>
  <si>
    <t>Finansal Borç / Özkaynak</t>
  </si>
  <si>
    <t>D | VERİ KAYNAĞI / DOĞRULAMA</t>
  </si>
  <si>
    <t>Alan</t>
  </si>
  <si>
    <t>Tercih edilen kaynak</t>
  </si>
  <si>
    <t>Güncellik</t>
  </si>
  <si>
    <t>Kontrol</t>
  </si>
  <si>
    <t>Net satış / FAVÖK</t>
  </si>
  <si>
    <t>Son 12 ay mizan / yönetim mali tablosu</t>
  </si>
  <si>
    <t>≤ 60 gün</t>
  </si>
  <si>
    <t>Tek seferlik gelirleri ayır</t>
  </si>
  <si>
    <t>Finansal borç</t>
  </si>
  <si>
    <t>Banka risk dökümü + muhasebe</t>
  </si>
  <si>
    <t>Güncel</t>
  </si>
  <si>
    <t>Leasing/faktoring dahil mi kontrol et</t>
  </si>
  <si>
    <t>Borç servisi</t>
  </si>
  <si>
    <t>Önümüzdeki 12 ay taksit planları</t>
  </si>
  <si>
    <t>Anapara + faiz</t>
  </si>
  <si>
    <t>Nakit akışı</t>
  </si>
  <si>
    <t>Yönetim nakit akış tablosu</t>
  </si>
  <si>
    <t>Son 12 ay</t>
  </si>
  <si>
    <t>Tek seferlik nakitleri ayır</t>
  </si>
  <si>
    <t>BANKA TANIMLARI</t>
  </si>
  <si>
    <t>Limit ve kullanım kayıtlarında kullanılacak banka kartları. Banka adı tekilleştirilir.</t>
  </si>
  <si>
    <t>BANKA KARTLARI</t>
  </si>
  <si>
    <t>Banka ID</t>
  </si>
  <si>
    <t>Banka Adı</t>
  </si>
  <si>
    <t>Ana Çalışma?</t>
  </si>
  <si>
    <t>İlişki Süresi (Yıl)</t>
  </si>
  <si>
    <t>İç Risk Notu</t>
  </si>
  <si>
    <t>Teminat Esnekliği</t>
  </si>
  <si>
    <t>Son Görüşme</t>
  </si>
  <si>
    <t>Not</t>
  </si>
  <si>
    <t>B001</t>
  </si>
  <si>
    <t>Akbank</t>
  </si>
  <si>
    <t>Evet</t>
  </si>
  <si>
    <t>A</t>
  </si>
  <si>
    <t>Orta</t>
  </si>
  <si>
    <t>2026-08-10</t>
  </si>
  <si>
    <t>TEST</t>
  </si>
  <si>
    <t>B002</t>
  </si>
  <si>
    <t>Türkiye İş Bankası</t>
  </si>
  <si>
    <t>Yüksek</t>
  </si>
  <si>
    <t>2026-08-05</t>
  </si>
  <si>
    <t>B003</t>
  </si>
  <si>
    <t>Garanti BBVA</t>
  </si>
  <si>
    <t>Hayır</t>
  </si>
  <si>
    <t>B</t>
  </si>
  <si>
    <t>2026-07-25</t>
  </si>
  <si>
    <t>B004</t>
  </si>
  <si>
    <t>Yapı Kredi</t>
  </si>
  <si>
    <t>2026-07-20</t>
  </si>
  <si>
    <t>B005</t>
  </si>
  <si>
    <t>QNB</t>
  </si>
  <si>
    <t>Düşük</t>
  </si>
  <si>
    <t>2026-07-15</t>
  </si>
  <si>
    <t>LİMİTLER / RİSK DAĞILIMI</t>
  </si>
  <si>
    <t>Her tahsis kararını ürün bazında ayrı satıra girin. Aynı üst limit altındaki alt limitleri Ana Limit Grubu ile bağlayın.</t>
  </si>
  <si>
    <t>LİMİT KAYITLARI</t>
  </si>
  <si>
    <t>Kayıt ID</t>
  </si>
  <si>
    <t>Banka</t>
  </si>
  <si>
    <t>Ürün</t>
  </si>
  <si>
    <t>Limit Türü</t>
  </si>
  <si>
    <t>Ana Limit Grubu</t>
  </si>
  <si>
    <t>Para Birimi</t>
  </si>
  <si>
    <t>Kur</t>
  </si>
  <si>
    <t>Onaylı Limit (TL)</t>
  </si>
  <si>
    <t>Kullanılan Risk (TL)</t>
  </si>
  <si>
    <t>Bloke / Rehin (TL)</t>
  </si>
  <si>
    <t>Vade Sonu</t>
  </si>
  <si>
    <t>Durum</t>
  </si>
  <si>
    <t>Kullanılabilir Boşluk</t>
  </si>
  <si>
    <t>Kullanım %</t>
  </si>
  <si>
    <t>Hata / Uyarı</t>
  </si>
  <si>
    <t>L001</t>
  </si>
  <si>
    <t>Rotatif Kredi</t>
  </si>
  <si>
    <t>Nakit</t>
  </si>
  <si>
    <t>AKB_NAKIT</t>
  </si>
  <si>
    <t>TRY</t>
  </si>
  <si>
    <t>2027-06-30</t>
  </si>
  <si>
    <t>Aktif</t>
  </si>
  <si>
    <t>L002</t>
  </si>
  <si>
    <t>Teminat Mektubu</t>
  </si>
  <si>
    <t>Gayrinakdi</t>
  </si>
  <si>
    <t>AKB_GN</t>
  </si>
  <si>
    <t>2027-03-31</t>
  </si>
  <si>
    <t>L003</t>
  </si>
  <si>
    <t>Taksitli Ticari Kredi</t>
  </si>
  <si>
    <t>ISB_NAKIT</t>
  </si>
  <si>
    <t>2028-01-31</t>
  </si>
  <si>
    <t>L004</t>
  </si>
  <si>
    <t>Ticari Kart</t>
  </si>
  <si>
    <t>ISB_KART</t>
  </si>
  <si>
    <t>2027-01-31</t>
  </si>
  <si>
    <t>L005</t>
  </si>
  <si>
    <t>GAR_NAKIT</t>
  </si>
  <si>
    <t>2027-05-31</t>
  </si>
  <si>
    <t>L006</t>
  </si>
  <si>
    <t>KMH</t>
  </si>
  <si>
    <t>YKB_KMH</t>
  </si>
  <si>
    <t>2026-12-31</t>
  </si>
  <si>
    <t>L007</t>
  </si>
  <si>
    <t>QNB_GN</t>
  </si>
  <si>
    <t>2027-09-30</t>
  </si>
  <si>
    <t>KREDİ KULLANIM / BORÇ SERVİSİ</t>
  </si>
  <si>
    <t>Mevcut kredilerin taksit, vade ve yıllık servis yükünü görün. Kapasite modeli için kontrol katmanı.</t>
  </si>
  <si>
    <t>KREDİ KAYITLARI</t>
  </si>
  <si>
    <t>Kredi ID</t>
  </si>
  <si>
    <t>Başlangıç Anapara</t>
  </si>
  <si>
    <t>Güncel Anapara</t>
  </si>
  <si>
    <t>Aylık Taksit</t>
  </si>
  <si>
    <t>Yıllık Borç Servisi</t>
  </si>
  <si>
    <t>Başlangıç</t>
  </si>
  <si>
    <t>Vade</t>
  </si>
  <si>
    <t>Faiz Türü</t>
  </si>
  <si>
    <t>K001</t>
  </si>
  <si>
    <t>2026-01-15</t>
  </si>
  <si>
    <t>2027-01-15</t>
  </si>
  <si>
    <t>Değişken</t>
  </si>
  <si>
    <t>K002</t>
  </si>
  <si>
    <t>2025-08-01</t>
  </si>
  <si>
    <t>2028-08-01</t>
  </si>
  <si>
    <t>Sabit</t>
  </si>
  <si>
    <t>K003</t>
  </si>
  <si>
    <t>2026-03-01</t>
  </si>
  <si>
    <t>2027-03-01</t>
  </si>
  <si>
    <t>TEMİNAT ENVANTERİ</t>
  </si>
  <si>
    <t>Aynı teminat birden fazla bankada kullanılıyorsa mükerrerlik uyarısı verir. Tutarlar ihtiyatlı net değer üzerinden izlenir.</t>
  </si>
  <si>
    <t>TEMİNAT KAYITLARI</t>
  </si>
  <si>
    <t>Teminat ID</t>
  </si>
  <si>
    <t>Tür</t>
  </si>
  <si>
    <t>Açıklama</t>
  </si>
  <si>
    <t>Brüt Değer</t>
  </si>
  <si>
    <t>Haircut %</t>
  </si>
  <si>
    <t>Net Değer</t>
  </si>
  <si>
    <t>Rehin/Tahsis Tutarı</t>
  </si>
  <si>
    <t>Serbest Değer</t>
  </si>
  <si>
    <t>Son Değerleme</t>
  </si>
  <si>
    <t>Uyarı</t>
  </si>
  <si>
    <t>T001</t>
  </si>
  <si>
    <t>Gayrimenkul</t>
  </si>
  <si>
    <t>Fabrika Binası</t>
  </si>
  <si>
    <t>2026-06-30</t>
  </si>
  <si>
    <t>T002</t>
  </si>
  <si>
    <t>Nakit Bloke</t>
  </si>
  <si>
    <t>Vadeli Mevduat</t>
  </si>
  <si>
    <t>2026-08-01</t>
  </si>
  <si>
    <t>T003</t>
  </si>
  <si>
    <t>Makine</t>
  </si>
  <si>
    <t>Üretim Hattı</t>
  </si>
  <si>
    <t>2026-05-15</t>
  </si>
  <si>
    <t>BANKA BAZLI ÖZET</t>
  </si>
  <si>
    <t>Banka başına limit, kullanım, boşluk, kullanım oranı ve yoğunlaşma. Otomatik hesap.</t>
  </si>
  <si>
    <t>BANKA ÖZETİ</t>
  </si>
  <si>
    <t>Nakit Limit</t>
  </si>
  <si>
    <t>Gayrinakdi Limit</t>
  </si>
  <si>
    <t>Toplam Limit</t>
  </si>
  <si>
    <t>Kullanılan Risk</t>
  </si>
  <si>
    <t>Bloke</t>
  </si>
  <si>
    <t>Toplam İçindeki Pay</t>
  </si>
  <si>
    <t>Aktif Limit Adedi</t>
  </si>
  <si>
    <t>Vadesi Geçmiş</t>
  </si>
  <si>
    <t>LİMİT BOŞLUK / BAŞVURU HARİTASI</t>
  </si>
  <si>
    <t>Hangi bankada ne kadar boşluk var? Hangi banka dolu? Başvuru sırasını operasyonel olarak görün.</t>
  </si>
  <si>
    <t>BANKA BAZLI LİMİT BOŞLUĞU</t>
  </si>
  <si>
    <t>Brüt Boşluk</t>
  </si>
  <si>
    <t>Net Kullanılabilir Boşluk</t>
  </si>
  <si>
    <t>Yoğunlaşma Payı</t>
  </si>
  <si>
    <t>Öncelik Puanı</t>
  </si>
  <si>
    <t>Başvuru Kararı</t>
  </si>
  <si>
    <t>Kaynak</t>
  </si>
  <si>
    <t>BANKA_OZET!B8:M8</t>
  </si>
  <si>
    <t>BANKA_OZET!B9:M9</t>
  </si>
  <si>
    <t>BANKA_OZET!B10:M10</t>
  </si>
  <si>
    <t>BANKA_OZET!B11:M11</t>
  </si>
  <si>
    <t>BANKA_OZET!B12:M12</t>
  </si>
  <si>
    <t>BANKA_OZET!B13:M13</t>
  </si>
  <si>
    <t>BANKA_OZET!B14:M14</t>
  </si>
  <si>
    <t>BANKA_OZET!B15:M15</t>
  </si>
  <si>
    <t>BANKA_OZET!B16:M16</t>
  </si>
  <si>
    <t>BANKA_OZET!B17:M17</t>
  </si>
  <si>
    <t>BANKA_OZET!B18:M18</t>
  </si>
  <si>
    <t>BANKA_OZET!B19:M19</t>
  </si>
  <si>
    <t>BANKA_OZET!B20:M20</t>
  </si>
  <si>
    <t>BANKA_OZET!B21:M21</t>
  </si>
  <si>
    <t>BANKA_OZET!B22:M22</t>
  </si>
  <si>
    <t>BANKA_OZET!B23:M23</t>
  </si>
  <si>
    <t>BANKA_OZET!B24:M24</t>
  </si>
  <si>
    <t>BANKA_OZET!B25:M25</t>
  </si>
  <si>
    <t>BANKA_OZET!B26:M26</t>
  </si>
  <si>
    <t>BANKA_OZET!B27:M27</t>
  </si>
  <si>
    <t>BANKA_OZET!B28:M28</t>
  </si>
  <si>
    <t>BANKA_OZET!B29:M29</t>
  </si>
  <si>
    <t>BANKA_OZET!B30:M30</t>
  </si>
  <si>
    <t>BANKA_OZET!B31:M31</t>
  </si>
  <si>
    <t>BANKA_OZET!B32:M32</t>
  </si>
  <si>
    <t>BANKA_OZET!B33:M33</t>
  </si>
  <si>
    <t>BANKA_OZET!B34:M34</t>
  </si>
  <si>
    <t>BANKA_OZET!B35:M35</t>
  </si>
  <si>
    <t>BANKA_OZET!B36:M36</t>
  </si>
  <si>
    <t>BANKA_OZET!B37:M37</t>
  </si>
  <si>
    <t>BANKA_OZET!B38:M38</t>
  </si>
  <si>
    <t>BANKA_OZET!B39:M39</t>
  </si>
  <si>
    <t>BANKA_OZET!B40:M40</t>
  </si>
  <si>
    <t>BANKA_OZET!B41:M41</t>
  </si>
  <si>
    <t>BANKA_OZET!B42:M42</t>
  </si>
  <si>
    <t>BANKA_OZET!B43:M43</t>
  </si>
  <si>
    <t>BANKA_OZET!B44:M44</t>
  </si>
  <si>
    <t>BANKA_OZET!B45:M45</t>
  </si>
  <si>
    <t>BANKA_OZET!B46:M46</t>
  </si>
  <si>
    <t>BANKA_OZET!B47:M47</t>
  </si>
  <si>
    <t>BANKA_OZET!B48:M48</t>
  </si>
  <si>
    <t>BANKA_OZET!B49:M49</t>
  </si>
  <si>
    <t>BANKA_OZET!B50:M50</t>
  </si>
  <si>
    <t>BANKA_OZET!B51:M51</t>
  </si>
  <si>
    <t>BANKA_OZET!B52:M52</t>
  </si>
  <si>
    <t>BANKA_OZET!B53:M53</t>
  </si>
  <si>
    <t>BANKA_OZET!B54:M54</t>
  </si>
  <si>
    <t>BANKA_OZET!B55:M55</t>
  </si>
  <si>
    <t>BANKA_OZET!B56:M56</t>
  </si>
  <si>
    <t>BANKA_OZET!B57:M57</t>
  </si>
  <si>
    <t>SENARYO / KREDİ POLİTİKASI VARSAYIMLARI</t>
  </si>
  <si>
    <t>Bankalar arasında standart tek kredi formülü yoktur. Bu katsayılar ihtiyatlı yönetim senaryosudur ve kullanıcı tarafından değiştirilebilir.</t>
  </si>
  <si>
    <t>MODEL VARSAYIMLARI</t>
  </si>
  <si>
    <t>Varsayım</t>
  </si>
  <si>
    <t>Baz</t>
  </si>
  <si>
    <t>Stres</t>
  </si>
  <si>
    <t>İyimser</t>
  </si>
  <si>
    <t>Net Satışa Göre Azami Finansal Borç %</t>
  </si>
  <si>
    <t>Ciro bazlı kaba üst sınır; banka politikası değildir.</t>
  </si>
  <si>
    <t>Net Borç / FAVÖK Azami</t>
  </si>
  <si>
    <t>Borçluluk disiplin sınırı.</t>
  </si>
  <si>
    <t>Minimum DSCR</t>
  </si>
  <si>
    <t>Faaliyet nakit akışı / yıllık borç servisi.</t>
  </si>
  <si>
    <t>Yeni Borç Yıllık Servis Katsayısı</t>
  </si>
  <si>
    <t>Yeni kredi tutarını yaklaşık yıllık borç servisine çevirir.</t>
  </si>
  <si>
    <t>Likidite Tamponu</t>
  </si>
  <si>
    <t>Yeni kapasiteden ayrılan ihtiyat payı.</t>
  </si>
  <si>
    <t>Banka Yoğunlaşma Üst Sınırı</t>
  </si>
  <si>
    <t>Tek banka payı yükseldikçe kırılganlık artar.</t>
  </si>
  <si>
    <t>AKTİF SENARYO</t>
  </si>
  <si>
    <t>Seçili Senaryo</t>
  </si>
  <si>
    <t>KREDİ KAPASİTESİ / İHTİYATLI MODEL</t>
  </si>
  <si>
    <t>Yeni tahsis potansiyelini ciro, FAVÖK ve borç servisi olmak üzere üç bağımsız kısıt ile test eder. En düşük sonuç kullanılır.</t>
  </si>
  <si>
    <t>KAPASİTE HESABI</t>
  </si>
  <si>
    <t>Mevcut Toplam Finansal Borç</t>
  </si>
  <si>
    <t>Mevcut Onaylı Kullanılabilir Boşluk</t>
  </si>
  <si>
    <t>A | Ciro Bazlı Azami Borç</t>
  </si>
  <si>
    <t>A | Ciro Bazlı Yeni Borç Alanı</t>
  </si>
  <si>
    <t>B | FAVÖK Bazlı Azami Net Borç</t>
  </si>
  <si>
    <t>B | FAVÖK Bazlı Yeni Borç Alanı</t>
  </si>
  <si>
    <t>C | Nakit Akışı Bazlı Azami Yıllık Borç Servisi</t>
  </si>
  <si>
    <t>C | Ek Yıllık Borç Servisi Alanı</t>
  </si>
  <si>
    <t>C | Nakit Akışı Bazlı Yeni Borç Alanı</t>
  </si>
  <si>
    <t>Model Ham Yeni Tahsis Potansiyeli</t>
  </si>
  <si>
    <t>İhtiyat Tamponu Sonrası Yeni Tahsis Potansiyeli</t>
  </si>
  <si>
    <t>Toplam Finansman Görünürlüğü</t>
  </si>
  <si>
    <t>MODELİN BAĞLAYICI KISITI</t>
  </si>
  <si>
    <t>RİSK KONTROL / KIRMIZI BAYRAKLAR</t>
  </si>
  <si>
    <t>Başvuru öncesi veri, vade, yoğunlaşma, limit doluluk ve borç servis risklerini tek ekranda görün.</t>
  </si>
  <si>
    <t>RİSK MATRİSİ</t>
  </si>
  <si>
    <t>Kod</t>
  </si>
  <si>
    <t>Seviye</t>
  </si>
  <si>
    <t>Değer</t>
  </si>
  <si>
    <t>Aksiyon</t>
  </si>
  <si>
    <t>R01</t>
  </si>
  <si>
    <t>Limit satırlarında kritik hata</t>
  </si>
  <si>
    <t>Kritik</t>
  </si>
  <si>
    <t>LIMITLER hatalarını düzelt</t>
  </si>
  <si>
    <t>LIMITLER!P8:P207</t>
  </si>
  <si>
    <t>R02</t>
  </si>
  <si>
    <t>Vadesi geçmiş aktif limit</t>
  </si>
  <si>
    <t>Bankayla yenileme teyidi</t>
  </si>
  <si>
    <t>LIMITLER!K8:K207</t>
  </si>
  <si>
    <t>R03</t>
  </si>
  <si>
    <t>Tek banka yoğunlaşması</t>
  </si>
  <si>
    <t>Yoğunlaşmayı azalt / ikinci banka aç</t>
  </si>
  <si>
    <t>BANKA_OZET!I8:I57</t>
  </si>
  <si>
    <t>R04</t>
  </si>
  <si>
    <t>Toplam limit kullanım oranı &gt; %90</t>
  </si>
  <si>
    <t>Yeni tahsis / borç azaltma</t>
  </si>
  <si>
    <t>LIMITLER!H:I</t>
  </si>
  <si>
    <t>R05</t>
  </si>
  <si>
    <t>DSCR minimum altında</t>
  </si>
  <si>
    <t>Borç servis yükünü azalt / nakit akışını güçlendir</t>
  </si>
  <si>
    <t>FIRMA!C33</t>
  </si>
  <si>
    <t>R06</t>
  </si>
  <si>
    <t>Net Borç/FAVÖK limit üstünde</t>
  </si>
  <si>
    <t>Borç azalt / FAVÖK iyileştir</t>
  </si>
  <si>
    <t>FIRMA!C32</t>
  </si>
  <si>
    <t>R07</t>
  </si>
  <si>
    <t>Teminat tahsisi net değeri aşıyor</t>
  </si>
  <si>
    <t>Teminat değer/tahsis kaydını düzelt</t>
  </si>
  <si>
    <t>TEMINATLAR!M8:M107</t>
  </si>
  <si>
    <t>R08</t>
  </si>
  <si>
    <t>Yeni tahsis potansiyeli sıfır</t>
  </si>
  <si>
    <t>Başvuru yerine mali yapı iyileştirme</t>
  </si>
  <si>
    <t>KREDI_KAPASITE!F26</t>
  </si>
  <si>
    <t>Kredi görüşmesine götürülebilecek tek sayfalık yönetici görünümü. Veriler otomatik gelir.</t>
  </si>
  <si>
    <t>KREDİ ÖN GÖRÜNÜM</t>
  </si>
  <si>
    <t>Mevcut Onaylı Limit</t>
  </si>
  <si>
    <t>Mevcut Kullanım</t>
  </si>
  <si>
    <t>Onaylı Boşluk</t>
  </si>
  <si>
    <t>Yeni Tahsis Potansiyeli</t>
  </si>
  <si>
    <t>Kritik Risk Sayısı</t>
  </si>
  <si>
    <t>KREDİ GÖRÜŞMESİ ÖNCESİ NOT</t>
  </si>
  <si>
    <t>KURULUM / MAKRO OTOMASYON KATMANI</t>
  </si>
  <si>
    <t>Bu .xlsx dosyası makrosuz tam çalışır. İsteğe bağlı VBA paketi günlük kullanım sürtünmesini azaltır.</t>
  </si>
  <si>
    <t>MAKROSUZ / MAKROLU FARK</t>
  </si>
  <si>
    <t>Özellik</t>
  </si>
  <si>
    <t>Makrosuz .xlsx</t>
  </si>
  <si>
    <t>Makrolu kurulum sonrası</t>
  </si>
  <si>
    <t>Tüm hesaplamalar</t>
  </si>
  <si>
    <t>Tam çalışır</t>
  </si>
  <si>
    <t>Sayfa gezinme</t>
  </si>
  <si>
    <t>Hücre menü bağlantıları</t>
  </si>
  <si>
    <t>MENÜ butonu / gezinme</t>
  </si>
  <si>
    <t>Yedek / PDF / yenile</t>
  </si>
  <si>
    <t>Elle</t>
  </si>
  <si>
    <t>Tek tık otomasyon</t>
  </si>
  <si>
    <t>K1–K7 KURULUM</t>
  </si>
  <si>
    <t>K1</t>
  </si>
  <si>
    <t>Dosya &gt; sağ tık &gt; Özellikler &gt; Engellemeyi Kaldır</t>
  </si>
  <si>
    <t>Office internet dosyası blokajını kaldırır.</t>
  </si>
  <si>
    <t>K2</t>
  </si>
  <si>
    <t>Güvenilir konuma taşı</t>
  </si>
  <si>
    <t>Her açılışta uyarıyı azaltır.</t>
  </si>
  <si>
    <t>K3</t>
  </si>
  <si>
    <t>Excel sarı bant &gt; İçeriği Etkinleştir</t>
  </si>
  <si>
    <t>Makroları etkinleştirir.</t>
  </si>
  <si>
    <t>K4</t>
  </si>
  <si>
    <t>Alt+F11 &gt; Dosya &gt; Dosya Al &gt; .bas modülleri</t>
  </si>
  <si>
    <t>VBA standart modülleri içe aktarılır.</t>
  </si>
  <si>
    <t>K5</t>
  </si>
  <si>
    <t>ThisWorkbook metnini kod penceresine yapıştır</t>
  </si>
  <si>
    <t>Açılış/kapanış olaylarını kurar.</t>
  </si>
  <si>
    <t>K6</t>
  </si>
  <si>
    <t>Farklı Kaydet &gt; .xlsm</t>
  </si>
  <si>
    <t>Makroları korur.</t>
  </si>
  <si>
    <t>K7</t>
  </si>
  <si>
    <t>MENÜ / PDF / YEDEK / YENİLE butonlarını test et</t>
  </si>
  <si>
    <t>Kurulum kabul testi.</t>
  </si>
  <si>
    <t>GÜVENLİK</t>
  </si>
  <si>
    <t>VBA paketi internete bağlanmaz, e-posta göndermez, harici API çağırmaz, dosya silmez. Yedekleme yalnızca çalışma kitabının aynı klasöründe kopya üretir. Makro kapalıyken hesap motoru ve sonuç ekranları çalışmaya devam eder.</t>
  </si>
  <si>
    <t>BUTON HARİTASI</t>
  </si>
  <si>
    <t>Buton</t>
  </si>
  <si>
    <t>Sayfa</t>
  </si>
  <si>
    <t>İşlev</t>
  </si>
  <si>
    <t>MENÜ</t>
  </si>
  <si>
    <t>Tüm sayfalar</t>
  </si>
  <si>
    <t>PANO’ya döner / navigasyon</t>
  </si>
  <si>
    <t>TAM HESAPLA</t>
  </si>
  <si>
    <t>PANO</t>
  </si>
  <si>
    <t>Tam hesap + kontrol yenile</t>
  </si>
  <si>
    <t>YEDEK AL</t>
  </si>
  <si>
    <t>Zaman damgalı kopya</t>
  </si>
  <si>
    <t>PDF OLARAK KAYDET</t>
  </si>
  <si>
    <t>RAPOR</t>
  </si>
  <si>
    <t>Yönetici raporunu PDF yapar</t>
  </si>
  <si>
    <t>SÜRÜM</t>
  </si>
  <si>
    <t>KURULUM</t>
  </si>
  <si>
    <t>Sürüm bilgisini gösterir</t>
  </si>
  <si>
    <t>SİSTEM / HATA TEŞHİSİ</t>
  </si>
  <si>
    <t>Her hata hangi sayfa/hücreden kaynaklanıyor açıkça gösterilir. Kritik kontroller geçmeden sonuç temiz kabul edilmez.</t>
  </si>
  <si>
    <t>KONTROL MOTORU</t>
  </si>
  <si>
    <t>Beklenen</t>
  </si>
  <si>
    <t>Kaynak Hücre/Sayfa</t>
  </si>
  <si>
    <t>Mevcut Değer</t>
  </si>
  <si>
    <t>Düzeltme Talimatı</t>
  </si>
  <si>
    <t>S01</t>
  </si>
  <si>
    <t>KRİTİK</t>
  </si>
  <si>
    <t>Net satış girilmiş olmalı</t>
  </si>
  <si>
    <t>&gt; 0</t>
  </si>
  <si>
    <t>FIRMA!C17</t>
  </si>
  <si>
    <t>Son 12 ay net satış tutarını girin.</t>
  </si>
  <si>
    <t>S02</t>
  </si>
  <si>
    <t>FAVÖK girilmiş olmalı</t>
  </si>
  <si>
    <t>FIRMA!C18</t>
  </si>
  <si>
    <t>FAVÖK tutarını girin; negatifse gerçek değeri girin.</t>
  </si>
  <si>
    <t>S03</t>
  </si>
  <si>
    <t>Finansal borç negatif olamaz</t>
  </si>
  <si>
    <t>&gt;= 0</t>
  </si>
  <si>
    <t>FIRMA!C20</t>
  </si>
  <si>
    <t>Toplam finansal borcu negatif girmeyin.</t>
  </si>
  <si>
    <t>S04</t>
  </si>
  <si>
    <t>Yıllık borç servisi &gt; 0</t>
  </si>
  <si>
    <t>FIRMA!C23</t>
  </si>
  <si>
    <t>Önümüzdeki 12 ay anapara+faiz ödemesini girin.</t>
  </si>
  <si>
    <t>S05</t>
  </si>
  <si>
    <t>Limit satırı hesap hatası yok</t>
  </si>
  <si>
    <t>0 kritik</t>
  </si>
  <si>
    <t>LIMITLER P sütununda KRİTİK yazan satırı düzeltin.</t>
  </si>
  <si>
    <t>S06</t>
  </si>
  <si>
    <t>YÜKSEK</t>
  </si>
  <si>
    <t>Aktif limit vadesi geçmiş değil</t>
  </si>
  <si>
    <t>0 adet</t>
  </si>
  <si>
    <t>Vadesi geçmiş satırın durum/vade bilgisini güncelleyin.</t>
  </si>
  <si>
    <t>S07</t>
  </si>
  <si>
    <t>Teminat tahsisi net değeri aşmıyor</t>
  </si>
  <si>
    <t>Teminat değer/tahsis kaydını düzeltin.</t>
  </si>
  <si>
    <t>S08</t>
  </si>
  <si>
    <t>DSCR minimumunu karşılıyor</t>
  </si>
  <si>
    <t>&gt;= Senaryo</t>
  </si>
  <si>
    <t>FIRMA!C33 / SENARYO!C23</t>
  </si>
  <si>
    <t>Borç servis yükünü azaltın veya faaliyet nakit akışını güçlendirin.</t>
  </si>
  <si>
    <t>S09</t>
  </si>
  <si>
    <t>Net Borç/FAVÖK maksimumu aşmıyor</t>
  </si>
  <si>
    <t>&lt;= Senaryo</t>
  </si>
  <si>
    <t>FIRMA!C32 / SENARYO!C22</t>
  </si>
  <si>
    <t>Net borcu azaltın veya FAVÖK iyileştirme planı hazırlayın.</t>
  </si>
  <si>
    <t>S10</t>
  </si>
  <si>
    <t>Tek banka yoğunlaşması sınırda</t>
  </si>
  <si>
    <t>BANKA_OZET!I8:I57 / SENARYO!C26</t>
  </si>
  <si>
    <t>Alternatif banka limitiyle yoğunlaşmayı düşürün.</t>
  </si>
  <si>
    <t>S11</t>
  </si>
  <si>
    <t>Ciro borç katsayısı geçerli aralıkta</t>
  </si>
  <si>
    <t>0%–100%</t>
  </si>
  <si>
    <t>SENARYO!C21</t>
  </si>
  <si>
    <t>Net satış borç oranını 0 ile %100 arasında girin.</t>
  </si>
  <si>
    <t>S12</t>
  </si>
  <si>
    <t>Servis katsayısı geçerli aralıkta</t>
  </si>
  <si>
    <t>SENARYO!C24</t>
  </si>
  <si>
    <t>Yeni borç servis katsayısını 0 ile %100 arasında girin.</t>
  </si>
  <si>
    <t>DENETİM GÜNLÜĞÜ</t>
  </si>
  <si>
    <t>Makro katmanı kurulursa girdi değişiklikleri burada kaydedilir. Makrosuz sürümde bilgilendirme ekranıdır.</t>
  </si>
  <si>
    <t>AUDIT LOG</t>
  </si>
  <si>
    <t>Zaman</t>
  </si>
  <si>
    <t>Kullanıcı</t>
  </si>
  <si>
    <t>Satır</t>
  </si>
  <si>
    <t>Eski Değer</t>
  </si>
  <si>
    <t>Yeni Değer</t>
  </si>
</sst>
</file>

<file path=xl/styles.xml><?xml version="1.0" encoding="utf-8"?>
<styleSheet xmlns="http://schemas.openxmlformats.org/spreadsheetml/2006/main">
  <numFmts count="4">
    <numFmt numFmtId="164" formatCode="#,##0;[Red](#,##0);-"/>
    <numFmt numFmtId="165" formatCode="0;[Red](0);-"/>
    <numFmt numFmtId="166" formatCode="0.0%;[Red](0.0%);-"/>
    <numFmt numFmtId="167" formatCode="0.00x;[Red](0.00x);-"/>
  </numFmts>
  <fonts count="18">
    <font>
      <sz val="11"/>
      <color theme="1"/>
      <name val="Calibri"/>
      <family val="2"/>
      <scheme val="minor"/>
    </font>
    <font>
      <b/>
      <sz val="20"/>
      <color rgb="FFFFFFFF"/>
      <name val="Aptos"/>
      <family val="2"/>
    </font>
    <font>
      <sz val="9"/>
      <color rgb="FF17365D"/>
      <name val="Aptos"/>
      <family val="2"/>
    </font>
    <font>
      <b/>
      <sz val="10"/>
      <color rgb="FF0B1F3A"/>
      <name val="Aptos"/>
      <family val="2"/>
    </font>
    <font>
      <sz val="9"/>
      <color rgb="FF64748B"/>
      <name val="Aptos"/>
      <family val="2"/>
    </font>
    <font>
      <b/>
      <sz val="11"/>
      <color rgb="FFFFFFFF"/>
      <name val="Aptos"/>
      <family val="2"/>
    </font>
    <font>
      <b/>
      <sz val="9"/>
      <color rgb="FF17365D"/>
      <name val="Aptos"/>
      <family val="2"/>
    </font>
    <font>
      <b/>
      <sz val="18"/>
      <color rgb="FFFFFFFF"/>
      <name val="Aptos"/>
      <family val="2"/>
    </font>
    <font>
      <b/>
      <sz val="10"/>
      <color rgb="FF17365D"/>
      <name val="Aptos"/>
      <family val="2"/>
    </font>
    <font>
      <b/>
      <sz val="16"/>
      <color rgb="FF17365D"/>
      <name val="Aptos"/>
      <family val="2"/>
    </font>
    <font>
      <b/>
      <sz val="12"/>
      <color rgb="FFFFFFFF"/>
      <name val="Aptos"/>
      <family val="2"/>
    </font>
    <font>
      <b/>
      <sz val="10"/>
      <color rgb="FFFFFFFF"/>
      <name val="Aptos"/>
      <family val="2"/>
    </font>
    <font>
      <sz val="10"/>
      <color rgb="FF152238"/>
      <name val="Aptos"/>
      <family val="2"/>
    </font>
    <font>
      <b/>
      <sz val="10"/>
      <color rgb="FF152238"/>
      <name val="Aptos"/>
      <family val="2"/>
    </font>
    <font>
      <sz val="10"/>
      <color rgb="FF0000FF"/>
      <name val="Aptos"/>
      <family val="2"/>
    </font>
    <font>
      <b/>
      <sz val="15"/>
      <color rgb="FFFFFFFF"/>
      <name val="Aptos"/>
      <family val="2"/>
    </font>
    <font>
      <b/>
      <sz val="16"/>
      <color rgb="FFFFFFFF"/>
      <name val="Aptos"/>
      <family val="2"/>
    </font>
    <font>
      <sz val="8"/>
      <color indexed="81"/>
      <name val="Tahoma"/>
      <family val="2"/>
    </font>
  </fonts>
  <fills count="20">
    <fill>
      <patternFill patternType="none"/>
    </fill>
    <fill>
      <patternFill patternType="gray125"/>
    </fill>
    <fill>
      <patternFill patternType="solid">
        <fgColor rgb="FF0B1F3A"/>
        <bgColor indexed="64"/>
      </patternFill>
    </fill>
    <fill>
      <patternFill patternType="solid">
        <fgColor rgb="FFE8EEF5"/>
        <bgColor indexed="64"/>
      </patternFill>
    </fill>
    <fill>
      <patternFill patternType="solid">
        <fgColor rgb="FFD4A72C"/>
        <bgColor indexed="64"/>
      </patternFill>
    </fill>
    <fill>
      <patternFill patternType="solid">
        <fgColor rgb="FFF8FAFC"/>
        <bgColor indexed="64"/>
      </patternFill>
    </fill>
    <fill>
      <patternFill patternType="solid">
        <fgColor rgb="FF2563EB"/>
        <bgColor indexed="64"/>
      </patternFill>
    </fill>
    <fill>
      <patternFill patternType="solid">
        <fgColor rgb="FFF97316"/>
        <bgColor indexed="64"/>
      </patternFill>
    </fill>
    <fill>
      <patternFill patternType="solid">
        <fgColor rgb="FF16A34A"/>
        <bgColor indexed="64"/>
      </patternFill>
    </fill>
    <fill>
      <patternFill patternType="solid">
        <fgColor rgb="FF7C3AED"/>
        <bgColor indexed="64"/>
      </patternFill>
    </fill>
    <fill>
      <patternFill patternType="solid">
        <fgColor rgb="FF0F766E"/>
        <bgColor indexed="64"/>
      </patternFill>
    </fill>
    <fill>
      <patternFill patternType="solid">
        <fgColor rgb="FFDC2626"/>
        <bgColor indexed="64"/>
      </patternFill>
    </fill>
    <fill>
      <patternFill patternType="solid">
        <fgColor rgb="FF17365D"/>
        <bgColor indexed="64"/>
      </patternFill>
    </fill>
    <fill>
      <patternFill patternType="solid">
        <fgColor rgb="FFEAF3FF"/>
        <bgColor indexed="64"/>
      </patternFill>
    </fill>
    <fill>
      <patternFill patternType="solid">
        <fgColor rgb="FFFFF1E7"/>
        <bgColor indexed="64"/>
      </patternFill>
    </fill>
    <fill>
      <patternFill patternType="solid">
        <fgColor rgb="FFF2EDFF"/>
        <bgColor indexed="64"/>
      </patternFill>
    </fill>
    <fill>
      <patternFill patternType="solid">
        <fgColor rgb="FFFFFFFF"/>
        <bgColor indexed="64"/>
      </patternFill>
    </fill>
    <fill>
      <patternFill patternType="solid">
        <fgColor rgb="FFEAF8EF"/>
        <bgColor indexed="64"/>
      </patternFill>
    </fill>
    <fill>
      <patternFill patternType="solid">
        <fgColor rgb="FFFFF4CC"/>
        <bgColor indexed="64"/>
      </patternFill>
    </fill>
    <fill>
      <patternFill patternType="solid">
        <fgColor rgb="FFFDECEC"/>
        <bgColor indexed="64"/>
      </patternFill>
    </fill>
  </fills>
  <borders count="2">
    <border>
      <left/>
      <right/>
      <top/>
      <bottom/>
      <diagonal/>
    </border>
    <border>
      <left style="thin">
        <color rgb="FFD8E1EA"/>
      </left>
      <right style="thin">
        <color rgb="FFD8E1EA"/>
      </right>
      <top style="thin">
        <color rgb="FFD8E1EA"/>
      </top>
      <bottom style="thin">
        <color rgb="FFD8E1EA"/>
      </bottom>
      <diagonal/>
    </border>
  </borders>
  <cellStyleXfs count="1">
    <xf numFmtId="0" fontId="0" fillId="0" borderId="0"/>
  </cellStyleXfs>
  <cellXfs count="59">
    <xf numFmtId="0" fontId="0" fillId="0" borderId="0" xfId="0"/>
    <xf numFmtId="0" fontId="1" fillId="2" borderId="0" xfId="0" applyFont="1" applyFill="1" applyAlignment="1">
      <alignment horizontal="left" vertical="center"/>
    </xf>
    <xf numFmtId="0" fontId="2" fillId="3" borderId="0" xfId="0" applyFont="1" applyFill="1" applyAlignment="1">
      <alignment vertical="center" wrapText="1"/>
    </xf>
    <xf numFmtId="0" fontId="3" fillId="4" borderId="0" xfId="0" applyFont="1" applyFill="1" applyAlignment="1">
      <alignment horizontal="center" vertical="center"/>
    </xf>
    <xf numFmtId="0" fontId="4" fillId="5" borderId="0" xfId="0" applyFont="1" applyFill="1" applyAlignment="1">
      <alignment vertical="center"/>
    </xf>
    <xf numFmtId="0" fontId="5" fillId="2" borderId="0" xfId="0" applyFont="1" applyFill="1" applyAlignment="1">
      <alignment vertical="center"/>
    </xf>
    <xf numFmtId="0" fontId="6" fillId="3" borderId="0" xfId="0" applyFont="1" applyFill="1" applyAlignment="1">
      <alignment horizontal="center" vertical="center"/>
    </xf>
    <xf numFmtId="164" fontId="7" fillId="6" borderId="0" xfId="0" applyNumberFormat="1" applyFont="1" applyFill="1" applyAlignment="1">
      <alignment horizontal="center" vertical="center"/>
    </xf>
    <xf numFmtId="164" fontId="7" fillId="7" borderId="0" xfId="0" applyNumberFormat="1" applyFont="1" applyFill="1" applyAlignment="1">
      <alignment horizontal="center" vertical="center"/>
    </xf>
    <xf numFmtId="164" fontId="7" fillId="8" borderId="0" xfId="0" applyNumberFormat="1" applyFont="1" applyFill="1" applyAlignment="1">
      <alignment horizontal="center" vertical="center"/>
    </xf>
    <xf numFmtId="164" fontId="7" fillId="9" borderId="0" xfId="0" applyNumberFormat="1" applyFont="1" applyFill="1" applyAlignment="1">
      <alignment horizontal="center" vertical="center"/>
    </xf>
    <xf numFmtId="164" fontId="7" fillId="10" borderId="0" xfId="0" applyNumberFormat="1" applyFont="1" applyFill="1" applyAlignment="1">
      <alignment horizontal="center" vertical="center"/>
    </xf>
    <xf numFmtId="165" fontId="7" fillId="11" borderId="0" xfId="0" applyNumberFormat="1" applyFont="1" applyFill="1" applyAlignment="1">
      <alignment horizontal="center" vertical="center"/>
    </xf>
    <xf numFmtId="0" fontId="5" fillId="12" borderId="0" xfId="0" applyFont="1" applyFill="1" applyAlignment="1">
      <alignment vertical="center"/>
    </xf>
    <xf numFmtId="0" fontId="8" fillId="13" borderId="1" xfId="0" applyFont="1" applyFill="1" applyBorder="1" applyAlignment="1">
      <alignment horizontal="center" vertical="center"/>
    </xf>
    <xf numFmtId="0" fontId="8" fillId="14" borderId="1" xfId="0" applyFont="1" applyFill="1" applyBorder="1" applyAlignment="1">
      <alignment horizontal="center" vertical="center"/>
    </xf>
    <xf numFmtId="0" fontId="8" fillId="15" borderId="1" xfId="0" applyFont="1" applyFill="1" applyBorder="1" applyAlignment="1">
      <alignment horizontal="center" vertical="center"/>
    </xf>
    <xf numFmtId="166" fontId="9" fillId="16" borderId="1" xfId="0" applyNumberFormat="1" applyFont="1" applyFill="1" applyBorder="1" applyAlignment="1">
      <alignment horizontal="center" vertical="center"/>
    </xf>
    <xf numFmtId="0" fontId="8" fillId="17" borderId="1" xfId="0" applyFont="1" applyFill="1" applyBorder="1" applyAlignment="1">
      <alignment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xf>
    <xf numFmtId="0" fontId="10" fillId="8" borderId="0" xfId="0" applyFont="1" applyFill="1" applyAlignment="1">
      <alignment horizontal="center" vertical="center"/>
    </xf>
    <xf numFmtId="0" fontId="10" fillId="9" borderId="0" xfId="0" applyFont="1" applyFill="1" applyAlignment="1">
      <alignment horizontal="center" vertical="center"/>
    </xf>
    <xf numFmtId="0" fontId="10" fillId="11" borderId="0" xfId="0" applyFont="1" applyFill="1" applyAlignment="1">
      <alignment horizontal="center" vertical="center"/>
    </xf>
    <xf numFmtId="0" fontId="10" fillId="10" borderId="0" xfId="0" applyFont="1" applyFill="1" applyAlignment="1">
      <alignment horizontal="center" vertical="center"/>
    </xf>
    <xf numFmtId="0" fontId="11" fillId="12" borderId="1" xfId="0" applyFont="1" applyFill="1" applyBorder="1" applyAlignment="1">
      <alignment horizontal="center" vertical="center" wrapText="1"/>
    </xf>
    <xf numFmtId="0" fontId="12" fillId="16" borderId="1" xfId="0" applyFont="1" applyFill="1" applyBorder="1" applyAlignment="1">
      <alignment vertical="center" wrapText="1"/>
    </xf>
    <xf numFmtId="0" fontId="12" fillId="18" borderId="1" xfId="0" applyFont="1" applyFill="1" applyBorder="1" applyAlignment="1">
      <alignment vertical="center"/>
    </xf>
    <xf numFmtId="0" fontId="12" fillId="13" borderId="1" xfId="0" applyFont="1" applyFill="1" applyBorder="1" applyAlignment="1">
      <alignment vertical="center"/>
    </xf>
    <xf numFmtId="0" fontId="12" fillId="16" borderId="1" xfId="0" applyFont="1" applyFill="1" applyBorder="1" applyAlignment="1">
      <alignment vertical="center"/>
    </xf>
    <xf numFmtId="0" fontId="12" fillId="17" borderId="1" xfId="0" applyFont="1" applyFill="1" applyBorder="1" applyAlignment="1">
      <alignment vertical="center"/>
    </xf>
    <xf numFmtId="0" fontId="12" fillId="14" borderId="1" xfId="0" applyFont="1" applyFill="1" applyBorder="1" applyAlignment="1">
      <alignment vertical="center"/>
    </xf>
    <xf numFmtId="0" fontId="12" fillId="19" borderId="1" xfId="0" applyFont="1" applyFill="1" applyBorder="1" applyAlignment="1">
      <alignment vertical="center"/>
    </xf>
    <xf numFmtId="0" fontId="5" fillId="11" borderId="0" xfId="0" applyFont="1" applyFill="1" applyAlignment="1">
      <alignment vertical="center"/>
    </xf>
    <xf numFmtId="0" fontId="8" fillId="19" borderId="1" xfId="0" applyFont="1" applyFill="1" applyBorder="1" applyAlignment="1">
      <alignment vertical="center" wrapText="1"/>
    </xf>
    <xf numFmtId="0" fontId="13" fillId="5" borderId="1" xfId="0" applyFont="1" applyFill="1" applyBorder="1" applyAlignment="1">
      <alignment vertical="center"/>
    </xf>
    <xf numFmtId="0" fontId="14" fillId="18" borderId="1" xfId="0" applyFont="1" applyFill="1" applyBorder="1" applyAlignment="1">
      <alignment vertical="center"/>
    </xf>
    <xf numFmtId="164" fontId="14" fillId="18" borderId="1" xfId="0" applyNumberFormat="1" applyFont="1" applyFill="1" applyBorder="1" applyAlignment="1">
      <alignment horizontal="right" vertical="center"/>
    </xf>
    <xf numFmtId="166" fontId="13" fillId="16" borderId="1" xfId="0" applyNumberFormat="1" applyFont="1" applyFill="1" applyBorder="1" applyAlignment="1">
      <alignment horizontal="right" vertical="center"/>
    </xf>
    <xf numFmtId="164" fontId="13" fillId="16" borderId="1" xfId="0" applyNumberFormat="1" applyFont="1" applyFill="1" applyBorder="1" applyAlignment="1">
      <alignment horizontal="right" vertical="center"/>
    </xf>
    <xf numFmtId="167" fontId="13" fillId="16" borderId="1" xfId="0" applyNumberFormat="1" applyFont="1" applyFill="1" applyBorder="1" applyAlignment="1">
      <alignment horizontal="right" vertical="center"/>
    </xf>
    <xf numFmtId="164" fontId="12" fillId="16" borderId="1" xfId="0" applyNumberFormat="1" applyFont="1" applyFill="1" applyBorder="1" applyAlignment="1">
      <alignment horizontal="right" vertical="center"/>
    </xf>
    <xf numFmtId="166" fontId="12" fillId="16" borderId="1" xfId="0" applyNumberFormat="1" applyFont="1" applyFill="1" applyBorder="1" applyAlignment="1">
      <alignment horizontal="right" vertical="center"/>
    </xf>
    <xf numFmtId="166" fontId="14" fillId="18" borderId="1" xfId="0" applyNumberFormat="1" applyFont="1" applyFill="1" applyBorder="1" applyAlignment="1">
      <alignment vertical="center"/>
    </xf>
    <xf numFmtId="167" fontId="14" fillId="18" borderId="1" xfId="0" applyNumberFormat="1" applyFont="1" applyFill="1" applyBorder="1" applyAlignment="1">
      <alignment vertical="center"/>
    </xf>
    <xf numFmtId="0" fontId="5" fillId="10" borderId="0" xfId="0" applyFont="1" applyFill="1" applyAlignment="1">
      <alignment vertical="center"/>
    </xf>
    <xf numFmtId="0" fontId="13" fillId="15" borderId="1" xfId="0" applyFont="1" applyFill="1" applyBorder="1" applyAlignment="1">
      <alignment vertical="center"/>
    </xf>
    <xf numFmtId="164" fontId="15" fillId="9" borderId="0" xfId="0" applyNumberFormat="1" applyFont="1" applyFill="1" applyAlignment="1">
      <alignment horizontal="center" vertical="center"/>
    </xf>
    <xf numFmtId="0" fontId="13" fillId="17" borderId="1" xfId="0" applyFont="1" applyFill="1" applyBorder="1" applyAlignment="1">
      <alignment vertical="center"/>
    </xf>
    <xf numFmtId="164" fontId="15" fillId="8" borderId="0" xfId="0" applyNumberFormat="1" applyFont="1" applyFill="1" applyAlignment="1">
      <alignment horizontal="center" vertical="center"/>
    </xf>
    <xf numFmtId="0" fontId="13" fillId="13" borderId="1" xfId="0" applyFont="1" applyFill="1" applyBorder="1" applyAlignment="1">
      <alignment vertical="center"/>
    </xf>
    <xf numFmtId="164" fontId="15" fillId="10" borderId="0" xfId="0" applyNumberFormat="1" applyFont="1" applyFill="1" applyAlignment="1">
      <alignment horizontal="center" vertical="center"/>
    </xf>
    <xf numFmtId="0" fontId="8" fillId="13" borderId="1" xfId="0" applyFont="1" applyFill="1" applyBorder="1" applyAlignment="1">
      <alignment vertical="center" wrapText="1"/>
    </xf>
    <xf numFmtId="164" fontId="16" fillId="6" borderId="0" xfId="0" applyNumberFormat="1" applyFont="1" applyFill="1" applyAlignment="1">
      <alignment horizontal="center" vertical="center"/>
    </xf>
    <xf numFmtId="164" fontId="16" fillId="7" borderId="0" xfId="0" applyNumberFormat="1" applyFont="1" applyFill="1" applyAlignment="1">
      <alignment horizontal="center" vertical="center"/>
    </xf>
    <xf numFmtId="164" fontId="16" fillId="8" borderId="0" xfId="0" applyNumberFormat="1" applyFont="1" applyFill="1" applyAlignment="1">
      <alignment horizontal="center" vertical="center"/>
    </xf>
    <xf numFmtId="164" fontId="16" fillId="9" borderId="0" xfId="0" applyNumberFormat="1" applyFont="1" applyFill="1" applyAlignment="1">
      <alignment horizontal="center" vertical="center"/>
    </xf>
    <xf numFmtId="164" fontId="16" fillId="10" borderId="0" xfId="0" applyNumberFormat="1" applyFont="1" applyFill="1" applyAlignment="1">
      <alignment horizontal="center" vertical="center"/>
    </xf>
    <xf numFmtId="165" fontId="16" fillId="11" borderId="0" xfId="0" applyNumberFormat="1" applyFont="1" applyFill="1" applyAlignment="1">
      <alignment horizontal="center" vertical="center"/>
    </xf>
  </cellXfs>
  <cellStyles count="1">
    <cellStyle name="Normal" xfId="0" builtinId="0"/>
  </cellStyles>
  <dxfs count="2">
    <dxf>
      <font>
        <b/>
        <color rgb="FF991B1B"/>
      </font>
      <fill>
        <patternFill>
          <bgColor rgb="FFFECACA"/>
        </patternFill>
      </fill>
    </dxf>
    <dxf>
      <font>
        <b/>
        <color rgb="FF166534"/>
      </font>
      <fill>
        <patternFill>
          <bgColor rgb="FFDCFCE7"/>
        </patternFill>
      </fill>
    </dxf>
  </dxfs>
  <tableStyles count="0" defaultTableStyle="TableStyleMedium9" defaultPivotStyle="PivotStyleLight16"/>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worksheet" Target="worksheets/sheet6.xml" /><ns0:Relationship Id="rId7" Type="http://schemas.openxmlformats.org/officeDocument/2006/relationships/worksheet" Target="worksheets/sheet7.xml" /><ns0:Relationship Id="rId8" Type="http://schemas.openxmlformats.org/officeDocument/2006/relationships/worksheet" Target="worksheets/sheet8.xml" /><ns0:Relationship Id="rId9" Type="http://schemas.openxmlformats.org/officeDocument/2006/relationships/worksheet" Target="worksheets/sheet9.xml" /><ns0:Relationship Id="rId10" Type="http://schemas.openxmlformats.org/officeDocument/2006/relationships/worksheet" Target="worksheets/sheet10.xml" /><ns0:Relationship Id="rId11" Type="http://schemas.openxmlformats.org/officeDocument/2006/relationships/worksheet" Target="worksheets/sheet11.xml" /><ns0:Relationship Id="rId12" Type="http://schemas.openxmlformats.org/officeDocument/2006/relationships/worksheet" Target="worksheets/sheet12.xml" /><ns0:Relationship Id="rId13" Type="http://schemas.openxmlformats.org/officeDocument/2006/relationships/worksheet" Target="worksheets/sheet13.xml" /><ns0:Relationship Id="rId14" Type="http://schemas.openxmlformats.org/officeDocument/2006/relationships/worksheet" Target="worksheets/sheet14.xml" /><ns0:Relationship Id="rId15" Type="http://schemas.openxmlformats.org/officeDocument/2006/relationships/worksheet" Target="worksheets/sheet15.xml" /><ns0:Relationship Id="rId16" Type="http://schemas.openxmlformats.org/officeDocument/2006/relationships/worksheet" Target="worksheets/sheet16.xml" /><ns0:Relationship Id="rId17" Type="http://schemas.openxmlformats.org/officeDocument/2006/relationships/theme" Target="theme/theme1.xml" /><ns0:Relationship Id="rId18" Type="http://schemas.openxmlformats.org/officeDocument/2006/relationships/styles" Target="styles.xml" /><ns0:Relationship Id="rId19" Type="http://schemas.openxmlformats.org/officeDocument/2006/relationships/sharedStrings" Target="sharedStrings.xml" /></ns0: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Banka Bazlı Limit / Risk</a:t>
            </a:r>
          </a:p>
        </c:rich>
      </c:tx>
      <c:layout/>
    </c:title>
    <c:plotArea>
      <c:layout/>
      <c:barChart>
        <c:barDir val="col"/>
        <c:grouping val="clustered"/>
        <c:ser>
          <c:idx val="0"/>
          <c:order val="0"/>
          <c:tx>
            <c:v>Onaylı Limit</c:v>
          </c:tx>
          <c:cat>
            <c:numRef>
              <c:f>BANKA_OZET!$B$8:$B$12</c:f>
              <c:numCache>
                <c:formatCode>General</c:formatCode>
                <c:ptCount val="5"/>
                <c:pt idx="0">
                  <c:v>0</c:v>
                </c:pt>
                <c:pt idx="1">
                  <c:v>0</c:v>
                </c:pt>
                <c:pt idx="2">
                  <c:v>0</c:v>
                </c:pt>
                <c:pt idx="3">
                  <c:v>0</c:v>
                </c:pt>
                <c:pt idx="4">
                  <c:v>0</c:v>
                </c:pt>
              </c:numCache>
            </c:numRef>
          </c:cat>
          <c:val>
            <c:numRef>
              <c:f>BANKA_OZET!$E$8:$E$12</c:f>
              <c:numCache>
                <c:formatCode>General</c:formatCode>
                <c:ptCount val="5"/>
                <c:pt idx="0">
                  <c:v>0</c:v>
                </c:pt>
                <c:pt idx="1">
                  <c:v>0</c:v>
                </c:pt>
                <c:pt idx="2">
                  <c:v>0</c:v>
                </c:pt>
                <c:pt idx="3">
                  <c:v>0</c:v>
                </c:pt>
                <c:pt idx="4">
                  <c:v>0</c:v>
                </c:pt>
              </c:numCache>
            </c:numRef>
          </c:val>
        </c:ser>
        <c:ser>
          <c:idx val="1"/>
          <c:order val="1"/>
          <c:tx>
            <c:v>Kullanılan Risk</c:v>
          </c:tx>
          <c:cat>
            <c:numRef>
              <c:f>BANKA_OZET!$B$8:$B$12</c:f>
              <c:numCache>
                <c:formatCode>General</c:formatCode>
                <c:ptCount val="5"/>
                <c:pt idx="0">
                  <c:v>0</c:v>
                </c:pt>
                <c:pt idx="1">
                  <c:v>0</c:v>
                </c:pt>
                <c:pt idx="2">
                  <c:v>0</c:v>
                </c:pt>
                <c:pt idx="3">
                  <c:v>0</c:v>
                </c:pt>
                <c:pt idx="4">
                  <c:v>0</c:v>
                </c:pt>
              </c:numCache>
            </c:numRef>
          </c:cat>
          <c:val>
            <c:numRef>
              <c:f>BANKA_OZET!$F$8:$F$12</c:f>
              <c:numCache>
                <c:formatCode>General</c:formatCode>
                <c:ptCount val="5"/>
                <c:pt idx="0">
                  <c:v>0</c:v>
                </c:pt>
                <c:pt idx="1">
                  <c:v>0</c:v>
                </c:pt>
                <c:pt idx="2">
                  <c:v>0</c:v>
                </c:pt>
                <c:pt idx="3">
                  <c:v>0</c:v>
                </c:pt>
                <c:pt idx="4">
                  <c:v>0</c:v>
                </c:pt>
              </c:numCache>
            </c:numRef>
          </c:val>
        </c:ser>
        <c:axId val="50010001"/>
        <c:axId val="50010002"/>
      </c:bar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numFmt formatCode="#,##0"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30</xdr:row>
      <xdr:rowOff>0</xdr:rowOff>
    </xdr:from>
    <xdr:to>
      <xdr:col>6</xdr:col>
      <xdr:colOff>752475</xdr:colOff>
      <xdr:row>44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17365D"/>
  </sheetPr>
  <dimension ref="A1:P41"/>
  <sheetViews>
    <sheetView showGridLines="0" tabSelected="1" workbookViewId="0">
      <pane ySplit="4" topLeftCell="A5" activePane="bottomLeft" state="frozen"/>
      <selection pane="bottomLeft"/>
    </sheetView>
  </sheetViews>
  <sheetFormatPr defaultRowHeight="18" customHeight="1"/>
  <cols>
    <col min="1" max="1" width="4.7109375" customWidth="1"/>
    <col min="2" max="2" width="20.7109375" customWidth="1"/>
    <col min="3" max="5" width="16.7109375" customWidth="1"/>
    <col min="6" max="6" width="4.7109375" customWidth="1"/>
    <col min="7" max="7" width="20.7109375" customWidth="1"/>
    <col min="8" max="10" width="16.7109375" customWidth="1"/>
    <col min="11" max="11" width="4.7109375" customWidth="1"/>
    <col min="12" max="12" width="20.7109375" customWidth="1"/>
    <col min="13" max="15" width="16.7109375" customWidth="1"/>
    <col min="16" max="16" width="4.7109375" customWidth="1"/>
  </cols>
  <sheetData>
    <row r="1" spans="1:16" ht="28" customHeight="1">
      <c r="A1" s="1" t="s">
        <v>0</v>
      </c>
      <c r="B1" s="1"/>
      <c r="C1" s="1"/>
      <c r="D1" s="1"/>
      <c r="E1" s="1"/>
      <c r="F1" s="1"/>
      <c r="G1" s="1"/>
      <c r="H1" s="1"/>
      <c r="I1" s="1"/>
      <c r="J1" s="1"/>
      <c r="K1" s="1"/>
      <c r="L1" s="1"/>
      <c r="M1" s="1"/>
      <c r="N1" s="1"/>
      <c r="O1" s="1"/>
      <c r="P1" s="1"/>
    </row>
    <row r="2" spans="1:16" ht="28" customHeight="1">
      <c r="A2" s="1"/>
      <c r="B2" s="1"/>
      <c r="C2" s="1"/>
      <c r="D2" s="1"/>
      <c r="E2" s="1"/>
      <c r="F2" s="1"/>
      <c r="G2" s="1"/>
      <c r="H2" s="1"/>
      <c r="I2" s="1"/>
      <c r="J2" s="1"/>
      <c r="K2" s="1"/>
      <c r="L2" s="1"/>
      <c r="M2" s="1"/>
      <c r="N2" s="1"/>
      <c r="O2" s="1"/>
      <c r="P2" s="1"/>
    </row>
    <row r="3" spans="1:16" ht="30" customHeight="1">
      <c r="A3" s="2" t="s">
        <v>1</v>
      </c>
      <c r="B3" s="2"/>
      <c r="C3" s="2"/>
      <c r="D3" s="2"/>
      <c r="E3" s="2"/>
      <c r="F3" s="2"/>
      <c r="G3" s="2"/>
      <c r="H3" s="2"/>
      <c r="I3" s="2"/>
      <c r="J3" s="2"/>
      <c r="K3" s="2"/>
      <c r="L3" s="2"/>
      <c r="M3" s="2"/>
      <c r="N3" s="2"/>
      <c r="O3" s="2"/>
      <c r="P3" s="2"/>
    </row>
    <row r="4" spans="1:16" ht="22" customHeight="1">
      <c r="A4" s="3" t="s">
        <v>2</v>
      </c>
      <c r="B4" s="3"/>
      <c r="C4" s="3"/>
      <c r="D4" s="4" t="s">
        <v>3</v>
      </c>
      <c r="E4" s="4"/>
      <c r="F4" s="4"/>
      <c r="G4" s="4"/>
      <c r="H4" s="4"/>
      <c r="I4" s="4"/>
      <c r="J4" s="4"/>
      <c r="K4" s="4"/>
      <c r="L4" s="4"/>
      <c r="M4" s="4"/>
      <c r="N4" s="4"/>
      <c r="O4" s="4"/>
      <c r="P4" s="4"/>
    </row>
    <row r="6" spans="1:16" ht="18" customHeight="1">
      <c r="A6" s="5" t="s">
        <v>4</v>
      </c>
      <c r="B6" s="5"/>
      <c r="C6" s="5"/>
      <c r="D6" s="5"/>
      <c r="E6" s="5"/>
      <c r="F6" s="5"/>
      <c r="G6" s="5"/>
      <c r="H6" s="5"/>
      <c r="I6" s="5"/>
      <c r="J6" s="5"/>
      <c r="K6" s="5"/>
      <c r="L6" s="5"/>
      <c r="M6" s="5"/>
      <c r="N6" s="5"/>
      <c r="O6" s="5"/>
      <c r="P6" s="5"/>
    </row>
    <row r="7" spans="1:16" ht="18" customHeight="1">
      <c r="B7" s="6" t="s">
        <v>5</v>
      </c>
      <c r="C7" s="6"/>
      <c r="D7" s="6"/>
      <c r="E7" s="6"/>
      <c r="G7" s="6" t="s">
        <v>6</v>
      </c>
      <c r="H7" s="6"/>
      <c r="I7" s="6"/>
      <c r="J7" s="6"/>
      <c r="L7" s="6" t="s">
        <v>7</v>
      </c>
      <c r="M7" s="6"/>
      <c r="N7" s="6"/>
      <c r="O7" s="6"/>
    </row>
    <row r="8" spans="1:16" ht="18" customHeight="1">
      <c r="B8" s="7">
        <f>SUM(LIMITLER!H8:H207)</f>
        <v>0</v>
      </c>
      <c r="C8" s="7"/>
      <c r="D8" s="7"/>
      <c r="E8" s="7"/>
      <c r="G8" s="8">
        <f>SUM(LIMITLER!I8:I207)</f>
        <v>0</v>
      </c>
      <c r="H8" s="8"/>
      <c r="I8" s="8"/>
      <c r="J8" s="8"/>
      <c r="L8" s="9">
        <f>SUM(LIMITLER!M8:M207)</f>
        <v>0</v>
      </c>
      <c r="M8" s="9"/>
      <c r="N8" s="9"/>
      <c r="O8" s="9"/>
    </row>
    <row r="9" spans="1:16" ht="18" customHeight="1">
      <c r="B9" s="7"/>
      <c r="C9" s="7"/>
      <c r="D9" s="7"/>
      <c r="E9" s="7"/>
      <c r="G9" s="8"/>
      <c r="H9" s="8"/>
      <c r="I9" s="8"/>
      <c r="J9" s="8"/>
      <c r="L9" s="9"/>
      <c r="M9" s="9"/>
      <c r="N9" s="9"/>
      <c r="O9" s="9"/>
    </row>
    <row r="10" spans="1:16" ht="18" customHeight="1">
      <c r="B10" s="7"/>
      <c r="C10" s="7"/>
      <c r="D10" s="7"/>
      <c r="E10" s="7"/>
      <c r="G10" s="8"/>
      <c r="H10" s="8"/>
      <c r="I10" s="8"/>
      <c r="J10" s="8"/>
      <c r="L10" s="9"/>
      <c r="M10" s="9"/>
      <c r="N10" s="9"/>
      <c r="O10" s="9"/>
    </row>
    <row r="11" spans="1:16" ht="18" customHeight="1">
      <c r="B11" s="6" t="s">
        <v>8</v>
      </c>
      <c r="C11" s="6"/>
      <c r="D11" s="6"/>
      <c r="E11" s="6"/>
      <c r="G11" s="6" t="s">
        <v>9</v>
      </c>
      <c r="H11" s="6"/>
      <c r="I11" s="6"/>
      <c r="J11" s="6"/>
      <c r="L11" s="6" t="s">
        <v>10</v>
      </c>
      <c r="M11" s="6"/>
      <c r="N11" s="6"/>
      <c r="O11" s="6"/>
    </row>
    <row r="12" spans="1:16" ht="18" customHeight="1">
      <c r="B12" s="10">
        <f>KREDI_KAPASITE!F26</f>
        <v>0</v>
      </c>
      <c r="C12" s="10"/>
      <c r="D12" s="10"/>
      <c r="E12" s="10"/>
      <c r="G12" s="11">
        <f>KREDI_KAPASITE!F28</f>
        <v>0</v>
      </c>
      <c r="H12" s="11"/>
      <c r="I12" s="11"/>
      <c r="J12" s="11"/>
      <c r="L12" s="12">
        <f>COUNTIF(SISTEM!F8:F36,"KALDI")</f>
        <v>0</v>
      </c>
      <c r="M12" s="12"/>
      <c r="N12" s="12"/>
      <c r="O12" s="12"/>
    </row>
    <row r="13" spans="1:16" ht="18" customHeight="1">
      <c r="B13" s="10"/>
      <c r="C13" s="10"/>
      <c r="D13" s="10"/>
      <c r="E13" s="10"/>
      <c r="G13" s="11"/>
      <c r="H13" s="11"/>
      <c r="I13" s="11"/>
      <c r="J13" s="11"/>
      <c r="L13" s="12"/>
      <c r="M13" s="12"/>
      <c r="N13" s="12"/>
      <c r="O13" s="12"/>
    </row>
    <row r="14" spans="1:16" ht="18" customHeight="1">
      <c r="B14" s="10"/>
      <c r="C14" s="10"/>
      <c r="D14" s="10"/>
      <c r="E14" s="10"/>
      <c r="G14" s="11"/>
      <c r="H14" s="11"/>
      <c r="I14" s="11"/>
      <c r="J14" s="11"/>
      <c r="L14" s="12"/>
      <c r="M14" s="12"/>
      <c r="N14" s="12"/>
      <c r="O14" s="12"/>
    </row>
    <row r="17" spans="1:16" ht="18" customHeight="1">
      <c r="A17" s="13" t="s">
        <v>11</v>
      </c>
      <c r="B17" s="13"/>
      <c r="C17" s="13"/>
      <c r="D17" s="13"/>
      <c r="E17" s="13"/>
      <c r="F17" s="13"/>
      <c r="G17" s="13"/>
      <c r="H17" s="13"/>
      <c r="I17" s="13"/>
      <c r="J17" s="13"/>
      <c r="K17" s="13"/>
      <c r="L17" s="13"/>
      <c r="M17" s="13"/>
      <c r="N17" s="13"/>
      <c r="O17" s="13"/>
      <c r="P17" s="13"/>
    </row>
    <row r="19" spans="1:16" ht="18" customHeight="1">
      <c r="B19" s="14" t="s">
        <v>12</v>
      </c>
      <c r="C19" s="14"/>
      <c r="D19" s="14"/>
      <c r="E19" s="14"/>
      <c r="G19" s="15" t="s">
        <v>13</v>
      </c>
      <c r="H19" s="15"/>
      <c r="I19" s="15"/>
      <c r="J19" s="15"/>
      <c r="L19" s="16" t="s">
        <v>14</v>
      </c>
      <c r="M19" s="16"/>
      <c r="N19" s="16"/>
      <c r="O19" s="16"/>
    </row>
    <row r="20" spans="1:16" ht="18" customHeight="1">
      <c r="B20" s="17">
        <f>IFERROR(MAX(BANKA_OZET!I8:I57),0)</f>
        <v>0</v>
      </c>
      <c r="C20" s="17"/>
      <c r="D20" s="17"/>
      <c r="E20" s="17"/>
      <c r="G20" s="17">
        <f>IFERROR(SUM(LIMITLER!I8:I207)/SUM(LIMITLER!H8:H207),0)</f>
        <v>0</v>
      </c>
      <c r="H20" s="17"/>
      <c r="I20" s="17"/>
      <c r="J20" s="17"/>
      <c r="L20" s="17">
        <f>IFERROR(SUM(TEMINATLAR!J8:J107)/SUM(LIMITLER!H8:H207),0)</f>
        <v>0</v>
      </c>
      <c r="M20" s="17"/>
      <c r="N20" s="17"/>
      <c r="O20" s="17"/>
    </row>
    <row r="21" spans="1:16" ht="18" customHeight="1">
      <c r="B21" s="17"/>
      <c r="C21" s="17"/>
      <c r="D21" s="17"/>
      <c r="E21" s="17"/>
      <c r="G21" s="17"/>
      <c r="H21" s="17"/>
      <c r="I21" s="17"/>
      <c r="J21" s="17"/>
      <c r="L21" s="17"/>
      <c r="M21" s="17"/>
      <c r="N21" s="17"/>
      <c r="O21" s="17"/>
    </row>
    <row r="22" spans="1:16" ht="18" customHeight="1">
      <c r="B22" s="17"/>
      <c r="C22" s="17"/>
      <c r="D22" s="17"/>
      <c r="E22" s="17"/>
      <c r="G22" s="17"/>
      <c r="H22" s="17"/>
      <c r="I22" s="17"/>
      <c r="J22" s="17"/>
      <c r="L22" s="17"/>
      <c r="M22" s="17"/>
      <c r="N22" s="17"/>
      <c r="O22" s="17"/>
    </row>
    <row r="25" spans="1:16" ht="18" customHeight="1">
      <c r="A25" s="13" t="s">
        <v>15</v>
      </c>
      <c r="B25" s="13"/>
      <c r="C25" s="13"/>
      <c r="D25" s="13"/>
      <c r="E25" s="13"/>
      <c r="F25" s="13"/>
      <c r="G25" s="13"/>
      <c r="H25" s="13"/>
      <c r="I25" s="13"/>
      <c r="J25" s="13"/>
      <c r="K25" s="13"/>
      <c r="L25" s="13"/>
      <c r="M25" s="13"/>
      <c r="N25" s="13"/>
      <c r="O25" s="13"/>
      <c r="P25" s="13"/>
    </row>
    <row r="27" spans="1:16" ht="18" customHeight="1">
      <c r="B27" s="18">
        <f>IF(COUNTIF(SISTEM!F8:F36,"KALDI")&gt;0,"VERİ/KONTROL EKSİĞİ VAR. SİSTEM sayfasındaki KALDI satırlarını düzeltin.",IF(KREDI_KAPASITE!F26&lt;=0,"Yeni tahsis potansiyeli görünmüyor. Önce borçluluk veya borç servis kapasitesini iyileştirin.","Başvuruya hazırlık uygun. Mevcut onaylı boşluğu ve yeni tahsis potansiyelini ayrı yönetin."))</f>
        <v>0</v>
      </c>
      <c r="C27" s="18"/>
      <c r="D27" s="18"/>
      <c r="E27" s="18"/>
      <c r="F27" s="18"/>
      <c r="G27" s="18"/>
      <c r="H27" s="18"/>
      <c r="I27" s="18"/>
      <c r="J27" s="18"/>
      <c r="K27" s="18"/>
      <c r="L27" s="18"/>
      <c r="M27" s="18"/>
      <c r="N27" s="18"/>
      <c r="O27" s="18"/>
    </row>
    <row r="28" spans="1:16" ht="18" customHeight="1">
      <c r="B28" s="18"/>
      <c r="C28" s="18"/>
      <c r="D28" s="18"/>
      <c r="E28" s="18"/>
      <c r="F28" s="18"/>
      <c r="G28" s="18"/>
      <c r="H28" s="18"/>
      <c r="I28" s="18"/>
      <c r="J28" s="18"/>
      <c r="K28" s="18"/>
      <c r="L28" s="18"/>
      <c r="M28" s="18"/>
      <c r="N28" s="18"/>
      <c r="O28" s="18"/>
    </row>
    <row r="29" spans="1:16" ht="18" customHeight="1">
      <c r="B29" s="18"/>
      <c r="C29" s="18"/>
      <c r="D29" s="18"/>
      <c r="E29" s="18"/>
      <c r="F29" s="18"/>
      <c r="G29" s="18"/>
      <c r="H29" s="18"/>
      <c r="I29" s="18"/>
      <c r="J29" s="18"/>
      <c r="K29" s="18"/>
      <c r="L29" s="18"/>
      <c r="M29" s="18"/>
      <c r="N29" s="18"/>
      <c r="O29" s="18"/>
    </row>
    <row r="30" spans="1:16" ht="18" customHeight="1">
      <c r="B30" s="18"/>
      <c r="C30" s="18"/>
      <c r="D30" s="18"/>
      <c r="E30" s="18"/>
      <c r="F30" s="18"/>
      <c r="G30" s="18"/>
      <c r="H30" s="18"/>
      <c r="I30" s="18"/>
      <c r="J30" s="18"/>
      <c r="K30" s="18"/>
      <c r="L30" s="18"/>
      <c r="M30" s="18"/>
      <c r="N30" s="18"/>
      <c r="O30" s="18"/>
    </row>
    <row r="33" spans="1:16" ht="18" customHeight="1">
      <c r="A33" s="13" t="s">
        <v>16</v>
      </c>
      <c r="B33" s="13"/>
      <c r="C33" s="13"/>
      <c r="D33" s="13"/>
      <c r="E33" s="13"/>
      <c r="F33" s="13"/>
      <c r="G33" s="13"/>
      <c r="H33" s="13"/>
      <c r="I33" s="13"/>
      <c r="J33" s="13"/>
      <c r="K33" s="13"/>
      <c r="L33" s="13"/>
      <c r="M33" s="13"/>
      <c r="N33" s="13"/>
      <c r="O33" s="13"/>
      <c r="P33" s="13"/>
    </row>
    <row r="35" spans="1:16" ht="18" customHeight="1">
      <c r="B35" s="19" t="s">
        <v>17</v>
      </c>
      <c r="C35" s="19"/>
      <c r="D35" s="19"/>
      <c r="E35" s="19"/>
      <c r="G35" s="20" t="s">
        <v>18</v>
      </c>
      <c r="H35" s="20"/>
      <c r="I35" s="20"/>
      <c r="J35" s="20"/>
      <c r="L35" s="21" t="s">
        <v>19</v>
      </c>
      <c r="M35" s="21"/>
      <c r="N35" s="21"/>
      <c r="O35" s="21"/>
    </row>
    <row r="36" spans="1:16" ht="18" customHeight="1">
      <c r="B36" s="19"/>
      <c r="C36" s="19"/>
      <c r="D36" s="19"/>
      <c r="E36" s="19"/>
      <c r="G36" s="20"/>
      <c r="H36" s="20"/>
      <c r="I36" s="20"/>
      <c r="J36" s="20"/>
      <c r="L36" s="21"/>
      <c r="M36" s="21"/>
      <c r="N36" s="21"/>
      <c r="O36" s="21"/>
    </row>
    <row r="37" spans="1:16" ht="18" customHeight="1">
      <c r="B37" s="19"/>
      <c r="C37" s="19"/>
      <c r="D37" s="19"/>
      <c r="E37" s="19"/>
      <c r="G37" s="20"/>
      <c r="H37" s="20"/>
      <c r="I37" s="20"/>
      <c r="J37" s="20"/>
      <c r="L37" s="21"/>
      <c r="M37" s="21"/>
      <c r="N37" s="21"/>
      <c r="O37" s="21"/>
    </row>
    <row r="39" spans="1:16" ht="18" customHeight="1">
      <c r="B39" s="22" t="s">
        <v>20</v>
      </c>
      <c r="C39" s="22"/>
      <c r="D39" s="22"/>
      <c r="E39" s="22"/>
      <c r="G39" s="23" t="s">
        <v>21</v>
      </c>
      <c r="H39" s="23"/>
      <c r="I39" s="23"/>
      <c r="J39" s="23"/>
      <c r="L39" s="24" t="s">
        <v>22</v>
      </c>
      <c r="M39" s="24"/>
      <c r="N39" s="24"/>
      <c r="O39" s="24"/>
    </row>
    <row r="40" spans="1:16" ht="18" customHeight="1">
      <c r="B40" s="22"/>
      <c r="C40" s="22"/>
      <c r="D40" s="22"/>
      <c r="E40" s="22"/>
      <c r="G40" s="23"/>
      <c r="H40" s="23"/>
      <c r="I40" s="23"/>
      <c r="J40" s="23"/>
      <c r="L40" s="24"/>
      <c r="M40" s="24"/>
      <c r="N40" s="24"/>
      <c r="O40" s="24"/>
    </row>
    <row r="41" spans="1:16" ht="18" customHeight="1">
      <c r="B41" s="22"/>
      <c r="C41" s="22"/>
      <c r="D41" s="22"/>
      <c r="E41" s="22"/>
      <c r="G41" s="23"/>
      <c r="H41" s="23"/>
      <c r="I41" s="23"/>
      <c r="J41" s="23"/>
      <c r="L41" s="24"/>
      <c r="M41" s="24"/>
      <c r="N41" s="24"/>
      <c r="O41" s="24"/>
    </row>
  </sheetData>
  <mergeCells count="33">
    <mergeCell ref="A1:P2"/>
    <mergeCell ref="A3:P3"/>
    <mergeCell ref="A4:C4"/>
    <mergeCell ref="D4:P4"/>
    <mergeCell ref="A6:P6"/>
    <mergeCell ref="B7:E7"/>
    <mergeCell ref="B8:E10"/>
    <mergeCell ref="G7:J7"/>
    <mergeCell ref="G8:J10"/>
    <mergeCell ref="L7:O7"/>
    <mergeCell ref="L8:O10"/>
    <mergeCell ref="B11:E11"/>
    <mergeCell ref="B12:E14"/>
    <mergeCell ref="G11:J11"/>
    <mergeCell ref="G12:J14"/>
    <mergeCell ref="L11:O11"/>
    <mergeCell ref="L12:O14"/>
    <mergeCell ref="A17:P17"/>
    <mergeCell ref="B19:E19"/>
    <mergeCell ref="B20:E22"/>
    <mergeCell ref="G19:J19"/>
    <mergeCell ref="G20:J22"/>
    <mergeCell ref="L19:O19"/>
    <mergeCell ref="L20:O22"/>
    <mergeCell ref="A25:P25"/>
    <mergeCell ref="B27:O30"/>
    <mergeCell ref="A33:P33"/>
    <mergeCell ref="B35:E37"/>
    <mergeCell ref="G35:J37"/>
    <mergeCell ref="L35:O37"/>
    <mergeCell ref="B39:E41"/>
    <mergeCell ref="G39:J41"/>
    <mergeCell ref="L39:O41"/>
  </mergeCells>
  <hyperlinks>
    <hyperlink ref="A4" location="PANO!A1" display="☰ MENÜ / PANO"/>
    <hyperlink ref="B35" location="FIRMA!A1" display="FİRMA VERİLERİ"/>
    <hyperlink ref="G35" location="LIMITLER!A1" display="LİMİT &amp; RİSK GİRİŞİ"/>
    <hyperlink ref="L35" location="LIMIT_BOSLUK!A1" display="LİMİT BOŞLUK"/>
    <hyperlink ref="B39" location="KREDI_KAPASITE!A1" display="KREDİ KAPASİTE"/>
    <hyperlink ref="G39" location="RISK_KONTROL!A1" display="RİSK KONTROL"/>
    <hyperlink ref="L39" location="RAPOR!A1" display="YÖNETİCİ RAPORU"/>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65D"/>
  </sheetPr>
  <dimension ref="A1:N29"/>
  <sheetViews>
    <sheetView showGridLines="0" workbookViewId="0">
      <pane ySplit="4" topLeftCell="A5" activePane="bottomLeft" state="frozen"/>
      <selection pane="bottomLeft"/>
    </sheetView>
  </sheetViews>
  <sheetFormatPr defaultRowHeight="18" customHeight="1"/>
  <cols>
    <col min="1" max="1" width="4.7109375" customWidth="1"/>
    <col min="2" max="2" width="8.7109375" customWidth="1"/>
    <col min="3" max="3" width="25.7109375" customWidth="1"/>
    <col min="4" max="4" width="52.7109375" customWidth="1"/>
    <col min="5" max="5" width="32.7109375" customWidth="1"/>
    <col min="6" max="13" width="18.7109375" customWidth="1"/>
    <col min="14" max="14" width="4.7109375" customWidth="1"/>
  </cols>
  <sheetData>
    <row r="1" spans="1:14" ht="28" customHeight="1">
      <c r="A1" s="1" t="s">
        <v>23</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24</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25</v>
      </c>
      <c r="B6" s="13"/>
      <c r="C6" s="13"/>
      <c r="D6" s="13"/>
      <c r="E6" s="13"/>
      <c r="F6" s="13"/>
      <c r="G6" s="13"/>
      <c r="H6" s="13"/>
      <c r="I6" s="13"/>
      <c r="J6" s="13"/>
      <c r="K6" s="13"/>
      <c r="L6" s="13"/>
      <c r="M6" s="13"/>
      <c r="N6" s="13"/>
    </row>
    <row r="8" spans="1:14" ht="18" customHeight="1">
      <c r="B8" s="25" t="s">
        <v>26</v>
      </c>
      <c r="C8" s="25" t="s">
        <v>27</v>
      </c>
      <c r="D8" s="25" t="s">
        <v>28</v>
      </c>
      <c r="E8" s="25" t="s">
        <v>29</v>
      </c>
    </row>
    <row r="9" spans="1:14" ht="18" customHeight="1">
      <c r="B9" s="26" t="s">
        <v>30</v>
      </c>
      <c r="C9" s="26" t="s">
        <v>31</v>
      </c>
      <c r="D9" s="26" t="s">
        <v>32</v>
      </c>
      <c r="E9" s="26" t="s">
        <v>33</v>
      </c>
    </row>
    <row r="10" spans="1:14" ht="18" customHeight="1">
      <c r="B10" s="26" t="s">
        <v>34</v>
      </c>
      <c r="C10" s="26" t="s">
        <v>35</v>
      </c>
      <c r="D10" s="26" t="s">
        <v>36</v>
      </c>
      <c r="E10" s="26" t="s">
        <v>37</v>
      </c>
    </row>
    <row r="11" spans="1:14" ht="18" customHeight="1">
      <c r="B11" s="26" t="s">
        <v>38</v>
      </c>
      <c r="C11" s="26" t="s">
        <v>39</v>
      </c>
      <c r="D11" s="26" t="s">
        <v>40</v>
      </c>
      <c r="E11" s="26" t="s">
        <v>41</v>
      </c>
    </row>
    <row r="14" spans="1:14" ht="18" customHeight="1">
      <c r="A14" s="13" t="s">
        <v>42</v>
      </c>
      <c r="B14" s="13"/>
      <c r="C14" s="13"/>
      <c r="D14" s="13"/>
      <c r="E14" s="13"/>
      <c r="F14" s="13"/>
      <c r="G14" s="13"/>
      <c r="H14" s="13"/>
      <c r="I14" s="13"/>
      <c r="J14" s="13"/>
      <c r="K14" s="13"/>
      <c r="L14" s="13"/>
      <c r="M14" s="13"/>
      <c r="N14" s="13"/>
    </row>
    <row r="16" spans="1:14" ht="18" customHeight="1">
      <c r="B16" s="27" t="s">
        <v>43</v>
      </c>
      <c r="C16" s="27" t="s">
        <v>44</v>
      </c>
    </row>
    <row r="17" spans="1:14" ht="18" customHeight="1">
      <c r="B17" s="28" t="s">
        <v>45</v>
      </c>
      <c r="C17" s="28" t="s">
        <v>46</v>
      </c>
    </row>
    <row r="18" spans="1:14" ht="18" customHeight="1">
      <c r="B18" s="29" t="s">
        <v>47</v>
      </c>
      <c r="C18" s="29" t="s">
        <v>48</v>
      </c>
    </row>
    <row r="19" spans="1:14" ht="18" customHeight="1">
      <c r="B19" s="30" t="s">
        <v>49</v>
      </c>
      <c r="C19" s="30" t="s">
        <v>50</v>
      </c>
    </row>
    <row r="20" spans="1:14" ht="18" customHeight="1">
      <c r="B20" s="31" t="s">
        <v>51</v>
      </c>
      <c r="C20" s="31" t="s">
        <v>52</v>
      </c>
    </row>
    <row r="21" spans="1:14" ht="18" customHeight="1">
      <c r="B21" s="32" t="s">
        <v>53</v>
      </c>
      <c r="C21" s="32" t="s">
        <v>54</v>
      </c>
    </row>
    <row r="24" spans="1:14" ht="18" customHeight="1">
      <c r="A24" s="33" t="s">
        <v>55</v>
      </c>
      <c r="B24" s="33"/>
      <c r="C24" s="33"/>
      <c r="D24" s="33"/>
      <c r="E24" s="33"/>
      <c r="F24" s="33"/>
      <c r="G24" s="33"/>
      <c r="H24" s="33"/>
      <c r="I24" s="33"/>
      <c r="J24" s="33"/>
      <c r="K24" s="33"/>
      <c r="L24" s="33"/>
      <c r="M24" s="33"/>
      <c r="N24" s="33"/>
    </row>
    <row r="26" spans="1:14" ht="18" customHeight="1">
      <c r="B26" s="34" t="s">
        <v>56</v>
      </c>
      <c r="C26" s="34"/>
      <c r="D26" s="34"/>
      <c r="E26" s="34"/>
      <c r="F26" s="34"/>
      <c r="G26" s="34"/>
      <c r="H26" s="34"/>
      <c r="I26" s="34"/>
      <c r="J26" s="34"/>
      <c r="K26" s="34"/>
      <c r="L26" s="34"/>
      <c r="M26" s="34"/>
    </row>
    <row r="27" spans="1:14" ht="18" customHeight="1">
      <c r="B27" s="34"/>
      <c r="C27" s="34"/>
      <c r="D27" s="34"/>
      <c r="E27" s="34"/>
      <c r="F27" s="34"/>
      <c r="G27" s="34"/>
      <c r="H27" s="34"/>
      <c r="I27" s="34"/>
      <c r="J27" s="34"/>
      <c r="K27" s="34"/>
      <c r="L27" s="34"/>
      <c r="M27" s="34"/>
    </row>
    <row r="28" spans="1:14" ht="18" customHeight="1">
      <c r="B28" s="34"/>
      <c r="C28" s="34"/>
      <c r="D28" s="34"/>
      <c r="E28" s="34"/>
      <c r="F28" s="34"/>
      <c r="G28" s="34"/>
      <c r="H28" s="34"/>
      <c r="I28" s="34"/>
      <c r="J28" s="34"/>
      <c r="K28" s="34"/>
      <c r="L28" s="34"/>
      <c r="M28" s="34"/>
    </row>
    <row r="29" spans="1:14" ht="18" customHeight="1">
      <c r="B29" s="34"/>
      <c r="C29" s="34"/>
      <c r="D29" s="34"/>
      <c r="E29" s="34"/>
      <c r="F29" s="34"/>
      <c r="G29" s="34"/>
      <c r="H29" s="34"/>
      <c r="I29" s="34"/>
      <c r="J29" s="34"/>
      <c r="K29" s="34"/>
      <c r="L29" s="34"/>
      <c r="M29" s="34"/>
    </row>
  </sheetData>
  <mergeCells count="8">
    <mergeCell ref="A1:N2"/>
    <mergeCell ref="A3:N3"/>
    <mergeCell ref="A4:C4"/>
    <mergeCell ref="D4:N4"/>
    <mergeCell ref="A6:N6"/>
    <mergeCell ref="A14:N14"/>
    <mergeCell ref="A24:N24"/>
    <mergeCell ref="B26:M29"/>
  </mergeCells>
  <hyperlinks>
    <hyperlink ref="A4" location="PANO!A1" display="☰ MENÜ / PANO"/>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65D"/>
  </sheetPr>
  <dimension ref="A1:M44"/>
  <sheetViews>
    <sheetView showGridLines="0" workbookViewId="0">
      <pane ySplit="4" topLeftCell="A5" activePane="bottomLeft" state="frozen"/>
      <selection pane="bottomLeft"/>
    </sheetView>
  </sheetViews>
  <sheetFormatPr defaultRowHeight="18" customHeight="1"/>
  <cols>
    <col min="1" max="1" width="4.7109375" customWidth="1"/>
    <col min="2" max="2" width="34.7109375" customWidth="1"/>
    <col min="3" max="4" width="20.7109375" customWidth="1"/>
    <col min="5" max="5" width="22.7109375" customWidth="1"/>
    <col min="6" max="6" width="4.7109375" customWidth="1"/>
    <col min="7" max="7" width="34.7109375" customWidth="1"/>
    <col min="8" max="9" width="20.7109375" customWidth="1"/>
    <col min="10" max="10" width="22.7109375" customWidth="1"/>
    <col min="11" max="12" width="18.7109375" customWidth="1"/>
    <col min="13" max="13" width="4.7109375" customWidth="1"/>
  </cols>
  <sheetData>
    <row r="1" spans="1:13" ht="28" customHeight="1">
      <c r="A1" s="1" t="s">
        <v>57</v>
      </c>
      <c r="B1" s="1"/>
      <c r="C1" s="1"/>
      <c r="D1" s="1"/>
      <c r="E1" s="1"/>
      <c r="F1" s="1"/>
      <c r="G1" s="1"/>
      <c r="H1" s="1"/>
      <c r="I1" s="1"/>
      <c r="J1" s="1"/>
      <c r="K1" s="1"/>
      <c r="L1" s="1"/>
      <c r="M1" s="1"/>
    </row>
    <row r="2" spans="1:13" ht="28" customHeight="1">
      <c r="A2" s="1"/>
      <c r="B2" s="1"/>
      <c r="C2" s="1"/>
      <c r="D2" s="1"/>
      <c r="E2" s="1"/>
      <c r="F2" s="1"/>
      <c r="G2" s="1"/>
      <c r="H2" s="1"/>
      <c r="I2" s="1"/>
      <c r="J2" s="1"/>
      <c r="K2" s="1"/>
      <c r="L2" s="1"/>
      <c r="M2" s="1"/>
    </row>
    <row r="3" spans="1:13" ht="30" customHeight="1">
      <c r="A3" s="2" t="s">
        <v>58</v>
      </c>
      <c r="B3" s="2"/>
      <c r="C3" s="2"/>
      <c r="D3" s="2"/>
      <c r="E3" s="2"/>
      <c r="F3" s="2"/>
      <c r="G3" s="2"/>
      <c r="H3" s="2"/>
      <c r="I3" s="2"/>
      <c r="J3" s="2"/>
      <c r="K3" s="2"/>
      <c r="L3" s="2"/>
      <c r="M3" s="2"/>
    </row>
    <row r="4" spans="1:13" ht="22" customHeight="1">
      <c r="A4" s="3" t="s">
        <v>2</v>
      </c>
      <c r="B4" s="3"/>
      <c r="C4" s="3"/>
      <c r="D4" s="4" t="s">
        <v>3</v>
      </c>
      <c r="E4" s="4"/>
      <c r="F4" s="4"/>
      <c r="G4" s="4"/>
      <c r="H4" s="4"/>
      <c r="I4" s="4"/>
      <c r="J4" s="4"/>
      <c r="K4" s="4"/>
      <c r="L4" s="4"/>
      <c r="M4" s="4"/>
    </row>
    <row r="6" spans="1:13" ht="18" customHeight="1">
      <c r="A6" s="13" t="s">
        <v>59</v>
      </c>
      <c r="B6" s="13"/>
      <c r="C6" s="13"/>
      <c r="D6" s="13"/>
      <c r="E6" s="13"/>
      <c r="F6" s="13"/>
      <c r="G6" s="13"/>
      <c r="H6" s="13"/>
      <c r="I6" s="13"/>
      <c r="J6" s="13"/>
      <c r="K6" s="13"/>
      <c r="L6" s="13"/>
      <c r="M6" s="13"/>
    </row>
    <row r="8" spans="1:13" ht="18" customHeight="1">
      <c r="B8" s="35" t="s">
        <v>60</v>
      </c>
      <c r="C8" s="36" t="s">
        <v>61</v>
      </c>
      <c r="D8" s="36"/>
      <c r="E8" s="36"/>
    </row>
    <row r="9" spans="1:13" ht="18" customHeight="1">
      <c r="B9" s="35" t="s">
        <v>62</v>
      </c>
      <c r="C9" s="36" t="s">
        <v>63</v>
      </c>
      <c r="D9" s="36"/>
      <c r="E9" s="36"/>
    </row>
    <row r="10" spans="1:13" ht="18" customHeight="1">
      <c r="B10" s="35" t="s">
        <v>64</v>
      </c>
      <c r="C10" s="36" t="s">
        <v>65</v>
      </c>
      <c r="D10" s="36"/>
      <c r="E10" s="36"/>
    </row>
    <row r="11" spans="1:13" ht="18" customHeight="1">
      <c r="B11" s="35" t="s">
        <v>66</v>
      </c>
      <c r="C11" s="36">
        <v>85</v>
      </c>
      <c r="D11" s="36"/>
      <c r="E11" s="36"/>
    </row>
    <row r="12" spans="1:13" ht="18" customHeight="1">
      <c r="B12" s="35" t="s">
        <v>67</v>
      </c>
      <c r="C12" s="36" t="s">
        <v>68</v>
      </c>
      <c r="D12" s="36"/>
      <c r="E12" s="36"/>
    </row>
    <row r="15" spans="1:13" ht="18" customHeight="1">
      <c r="A15" s="13" t="s">
        <v>69</v>
      </c>
      <c r="B15" s="13"/>
      <c r="C15" s="13"/>
      <c r="D15" s="13"/>
      <c r="E15" s="13"/>
      <c r="F15" s="13"/>
      <c r="G15" s="13"/>
      <c r="H15" s="13"/>
      <c r="I15" s="13"/>
      <c r="J15" s="13"/>
      <c r="K15" s="13"/>
      <c r="L15" s="13"/>
      <c r="M15" s="13"/>
    </row>
    <row r="17" spans="1:13" ht="18" customHeight="1">
      <c r="B17" s="35" t="s">
        <v>70</v>
      </c>
      <c r="C17" s="37">
        <v>120000000</v>
      </c>
      <c r="D17" s="37"/>
      <c r="E17" s="37"/>
    </row>
    <row r="18" spans="1:13" ht="18" customHeight="1">
      <c r="B18" s="35" t="s">
        <v>71</v>
      </c>
      <c r="C18" s="37">
        <v>18000000</v>
      </c>
      <c r="D18" s="37"/>
      <c r="E18" s="37"/>
    </row>
    <row r="19" spans="1:13" ht="18" customHeight="1">
      <c r="B19" s="35" t="s">
        <v>72</v>
      </c>
      <c r="C19" s="37">
        <v>25000000</v>
      </c>
      <c r="D19" s="37"/>
      <c r="E19" s="37"/>
    </row>
    <row r="20" spans="1:13" ht="18" customHeight="1">
      <c r="B20" s="35" t="s">
        <v>73</v>
      </c>
      <c r="C20" s="37">
        <v>22000000</v>
      </c>
      <c r="D20" s="37"/>
      <c r="E20" s="37"/>
    </row>
    <row r="21" spans="1:13" ht="18" customHeight="1">
      <c r="B21" s="35" t="s">
        <v>74</v>
      </c>
      <c r="C21" s="37">
        <v>5000000</v>
      </c>
      <c r="D21" s="37"/>
      <c r="E21" s="37"/>
    </row>
    <row r="22" spans="1:13" ht="18" customHeight="1">
      <c r="B22" s="35" t="s">
        <v>75</v>
      </c>
      <c r="C22" s="37">
        <v>15000000</v>
      </c>
      <c r="D22" s="37"/>
      <c r="E22" s="37"/>
    </row>
    <row r="23" spans="1:13" ht="18" customHeight="1">
      <c r="B23" s="35" t="s">
        <v>76</v>
      </c>
      <c r="C23" s="37">
        <v>10000000</v>
      </c>
      <c r="D23" s="37"/>
      <c r="E23" s="37"/>
    </row>
    <row r="24" spans="1:13" ht="18" customHeight="1">
      <c r="B24" s="35" t="s">
        <v>77</v>
      </c>
      <c r="C24" s="37">
        <v>45000000</v>
      </c>
      <c r="D24" s="37"/>
      <c r="E24" s="37"/>
    </row>
    <row r="25" spans="1:13" ht="18" customHeight="1">
      <c r="B25" s="35" t="s">
        <v>78</v>
      </c>
      <c r="C25" s="37">
        <v>30000000</v>
      </c>
      <c r="D25" s="37"/>
      <c r="E25" s="37"/>
    </row>
    <row r="28" spans="1:13" ht="18" customHeight="1">
      <c r="A28" s="13" t="s">
        <v>79</v>
      </c>
      <c r="B28" s="13"/>
      <c r="C28" s="13"/>
      <c r="D28" s="13"/>
      <c r="E28" s="13"/>
      <c r="F28" s="13"/>
      <c r="G28" s="13"/>
      <c r="H28" s="13"/>
      <c r="I28" s="13"/>
      <c r="J28" s="13"/>
      <c r="K28" s="13"/>
      <c r="L28" s="13"/>
      <c r="M28" s="13"/>
    </row>
    <row r="30" spans="1:13" ht="18" customHeight="1">
      <c r="B30" s="35" t="s">
        <v>80</v>
      </c>
      <c r="C30" s="38">
        <f>IFERROR(C18/C17,0)</f>
        <v>0</v>
      </c>
      <c r="D30" s="38"/>
      <c r="E30" s="38"/>
    </row>
    <row r="31" spans="1:13" ht="18" customHeight="1">
      <c r="B31" s="35" t="s">
        <v>81</v>
      </c>
      <c r="C31" s="39">
        <f>MAX(0,C20-C21)</f>
        <v>0</v>
      </c>
      <c r="D31" s="39"/>
      <c r="E31" s="39"/>
    </row>
    <row r="32" spans="1:13" ht="18" customHeight="1">
      <c r="B32" s="35" t="s">
        <v>82</v>
      </c>
      <c r="C32" s="40">
        <f>IFERROR(C31/C18,0)</f>
        <v>0</v>
      </c>
      <c r="D32" s="40"/>
      <c r="E32" s="40"/>
    </row>
    <row r="33" spans="1:13" ht="18" customHeight="1">
      <c r="B33" s="35" t="s">
        <v>83</v>
      </c>
      <c r="C33" s="40">
        <f>IFERROR(C22/C23,0)</f>
        <v>0</v>
      </c>
      <c r="D33" s="40"/>
      <c r="E33" s="40"/>
    </row>
    <row r="34" spans="1:13" ht="18" customHeight="1">
      <c r="B34" s="35" t="s">
        <v>84</v>
      </c>
      <c r="C34" s="40">
        <f>IFERROR(C24/C25,0)</f>
        <v>0</v>
      </c>
      <c r="D34" s="40"/>
      <c r="E34" s="40"/>
    </row>
    <row r="35" spans="1:13" ht="18" customHeight="1">
      <c r="B35" s="35" t="s">
        <v>85</v>
      </c>
      <c r="C35" s="40">
        <f>IFERROR(C20/C19,0)</f>
        <v>0</v>
      </c>
      <c r="D35" s="40"/>
      <c r="E35" s="40"/>
    </row>
    <row r="38" spans="1:13" ht="18" customHeight="1">
      <c r="A38" s="13" t="s">
        <v>86</v>
      </c>
      <c r="B38" s="13"/>
      <c r="C38" s="13"/>
      <c r="D38" s="13"/>
      <c r="E38" s="13"/>
      <c r="F38" s="13"/>
      <c r="G38" s="13"/>
      <c r="H38" s="13"/>
      <c r="I38" s="13"/>
      <c r="J38" s="13"/>
      <c r="K38" s="13"/>
      <c r="L38" s="13"/>
      <c r="M38" s="13"/>
    </row>
    <row r="40" spans="1:13" ht="18" customHeight="1">
      <c r="B40" s="25" t="s">
        <v>87</v>
      </c>
      <c r="C40" s="25" t="s">
        <v>88</v>
      </c>
      <c r="D40" s="25" t="s">
        <v>89</v>
      </c>
      <c r="E40" s="25" t="s">
        <v>90</v>
      </c>
    </row>
    <row r="41" spans="1:13" ht="18" customHeight="1">
      <c r="B41" s="26" t="s">
        <v>91</v>
      </c>
      <c r="C41" s="26" t="s">
        <v>92</v>
      </c>
      <c r="D41" s="26" t="s">
        <v>93</v>
      </c>
      <c r="E41" s="26" t="s">
        <v>94</v>
      </c>
    </row>
    <row r="42" spans="1:13" ht="18" customHeight="1">
      <c r="B42" s="26" t="s">
        <v>95</v>
      </c>
      <c r="C42" s="26" t="s">
        <v>96</v>
      </c>
      <c r="D42" s="26" t="s">
        <v>97</v>
      </c>
      <c r="E42" s="26" t="s">
        <v>98</v>
      </c>
    </row>
    <row r="43" spans="1:13" ht="18" customHeight="1">
      <c r="B43" s="26" t="s">
        <v>99</v>
      </c>
      <c r="C43" s="26" t="s">
        <v>100</v>
      </c>
      <c r="D43" s="26" t="s">
        <v>97</v>
      </c>
      <c r="E43" s="26" t="s">
        <v>101</v>
      </c>
    </row>
    <row r="44" spans="1:13" ht="18" customHeight="1">
      <c r="B44" s="26" t="s">
        <v>102</v>
      </c>
      <c r="C44" s="26" t="s">
        <v>103</v>
      </c>
      <c r="D44" s="26" t="s">
        <v>104</v>
      </c>
      <c r="E44" s="26" t="s">
        <v>105</v>
      </c>
    </row>
  </sheetData>
  <mergeCells count="28">
    <mergeCell ref="A1:M2"/>
    <mergeCell ref="A3:M3"/>
    <mergeCell ref="A4:C4"/>
    <mergeCell ref="D4:M4"/>
    <mergeCell ref="A6:M6"/>
    <mergeCell ref="C8:E8"/>
    <mergeCell ref="C9:E9"/>
    <mergeCell ref="C10:E10"/>
    <mergeCell ref="C11:E11"/>
    <mergeCell ref="C12:E12"/>
    <mergeCell ref="A15:M15"/>
    <mergeCell ref="C17:E17"/>
    <mergeCell ref="C18:E18"/>
    <mergeCell ref="C19:E19"/>
    <mergeCell ref="C20:E20"/>
    <mergeCell ref="C21:E21"/>
    <mergeCell ref="C22:E22"/>
    <mergeCell ref="C23:E23"/>
    <mergeCell ref="C24:E24"/>
    <mergeCell ref="C25:E25"/>
    <mergeCell ref="A28:M28"/>
    <mergeCell ref="C30:E30"/>
    <mergeCell ref="C31:E31"/>
    <mergeCell ref="C32:E32"/>
    <mergeCell ref="C33:E33"/>
    <mergeCell ref="C34:E34"/>
    <mergeCell ref="C35:E35"/>
    <mergeCell ref="A38:M38"/>
  </mergeCells>
  <hyperlinks>
    <hyperlink ref="A4" location="PANO!A1" display="☰ MENÜ / PANO"/>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sheetPr>
    <tabColor rgb="FF17365D"/>
  </sheetPr>
  <dimension ref="A1:L13"/>
  <sheetViews>
    <sheetView showGridLines="0" workbookViewId="0">
      <pane ySplit="4" topLeftCell="A5" activePane="bottomLeft" state="frozen"/>
      <selection pane="bottomLeft"/>
    </sheetView>
  </sheetViews>
  <sheetFormatPr defaultRowHeight="18" customHeight="1"/>
  <cols>
    <col min="1" max="1" width="4.7109375" customWidth="1"/>
    <col min="2" max="2" width="10.7109375" customWidth="1"/>
    <col min="3" max="3" width="28.7109375" customWidth="1"/>
    <col min="4" max="5" width="18.7109375" customWidth="1"/>
    <col min="6" max="6" width="16.7109375" customWidth="1"/>
    <col min="7" max="11" width="20.7109375" customWidth="1"/>
    <col min="12" max="12" width="4.7109375" customWidth="1"/>
  </cols>
  <sheetData>
    <row r="1" spans="1:12" ht="28" customHeight="1">
      <c r="A1" s="1" t="s">
        <v>106</v>
      </c>
      <c r="B1" s="1"/>
      <c r="C1" s="1"/>
      <c r="D1" s="1"/>
      <c r="E1" s="1"/>
      <c r="F1" s="1"/>
      <c r="G1" s="1"/>
      <c r="H1" s="1"/>
      <c r="I1" s="1"/>
      <c r="J1" s="1"/>
      <c r="K1" s="1"/>
      <c r="L1" s="1"/>
    </row>
    <row r="2" spans="1:12" ht="28" customHeight="1">
      <c r="A2" s="1"/>
      <c r="B2" s="1"/>
      <c r="C2" s="1"/>
      <c r="D2" s="1"/>
      <c r="E2" s="1"/>
      <c r="F2" s="1"/>
      <c r="G2" s="1"/>
      <c r="H2" s="1"/>
      <c r="I2" s="1"/>
      <c r="J2" s="1"/>
      <c r="K2" s="1"/>
      <c r="L2" s="1"/>
    </row>
    <row r="3" spans="1:12" ht="30" customHeight="1">
      <c r="A3" s="2" t="s">
        <v>107</v>
      </c>
      <c r="B3" s="2"/>
      <c r="C3" s="2"/>
      <c r="D3" s="2"/>
      <c r="E3" s="2"/>
      <c r="F3" s="2"/>
      <c r="G3" s="2"/>
      <c r="H3" s="2"/>
      <c r="I3" s="2"/>
      <c r="J3" s="2"/>
      <c r="K3" s="2"/>
      <c r="L3" s="2"/>
    </row>
    <row r="4" spans="1:12" ht="22" customHeight="1">
      <c r="A4" s="3" t="s">
        <v>2</v>
      </c>
      <c r="B4" s="3"/>
      <c r="C4" s="3"/>
      <c r="D4" s="4" t="s">
        <v>3</v>
      </c>
      <c r="E4" s="4"/>
      <c r="F4" s="4"/>
      <c r="G4" s="4"/>
      <c r="H4" s="4"/>
      <c r="I4" s="4"/>
      <c r="J4" s="4"/>
      <c r="K4" s="4"/>
      <c r="L4" s="4"/>
    </row>
    <row r="6" spans="1:12" ht="18" customHeight="1">
      <c r="A6" s="13" t="s">
        <v>108</v>
      </c>
      <c r="B6" s="13"/>
      <c r="C6" s="13"/>
      <c r="D6" s="13"/>
      <c r="E6" s="13"/>
      <c r="F6" s="13"/>
      <c r="G6" s="13"/>
      <c r="H6" s="13"/>
      <c r="I6" s="13"/>
      <c r="J6" s="13"/>
      <c r="K6" s="13"/>
      <c r="L6" s="13"/>
    </row>
    <row r="8" spans="1:12" ht="18" customHeight="1">
      <c r="B8" s="25" t="s">
        <v>109</v>
      </c>
      <c r="C8" s="25" t="s">
        <v>110</v>
      </c>
      <c r="D8" s="25" t="s">
        <v>111</v>
      </c>
      <c r="E8" s="25" t="s">
        <v>112</v>
      </c>
      <c r="F8" s="25" t="s">
        <v>113</v>
      </c>
      <c r="G8" s="25" t="s">
        <v>114</v>
      </c>
      <c r="H8" s="25" t="s">
        <v>115</v>
      </c>
      <c r="I8" s="25" t="s">
        <v>116</v>
      </c>
    </row>
    <row r="9" spans="1:12" ht="18" customHeight="1">
      <c r="B9" s="36" t="s">
        <v>117</v>
      </c>
      <c r="C9" s="36" t="s">
        <v>118</v>
      </c>
      <c r="D9" s="36" t="s">
        <v>119</v>
      </c>
      <c r="E9" s="36">
        <v>8</v>
      </c>
      <c r="F9" s="36" t="s">
        <v>120</v>
      </c>
      <c r="G9" s="36" t="s">
        <v>121</v>
      </c>
      <c r="H9" s="36" t="s">
        <v>122</v>
      </c>
      <c r="I9" s="36" t="s">
        <v>123</v>
      </c>
    </row>
    <row r="10" spans="1:12" ht="18" customHeight="1">
      <c r="B10" s="36" t="s">
        <v>124</v>
      </c>
      <c r="C10" s="36" t="s">
        <v>125</v>
      </c>
      <c r="D10" s="36" t="s">
        <v>119</v>
      </c>
      <c r="E10" s="36">
        <v>10</v>
      </c>
      <c r="F10" s="36" t="s">
        <v>120</v>
      </c>
      <c r="G10" s="36" t="s">
        <v>126</v>
      </c>
      <c r="H10" s="36" t="s">
        <v>127</v>
      </c>
      <c r="I10" s="36" t="s">
        <v>123</v>
      </c>
    </row>
    <row r="11" spans="1:12" ht="18" customHeight="1">
      <c r="B11" s="36" t="s">
        <v>128</v>
      </c>
      <c r="C11" s="36" t="s">
        <v>129</v>
      </c>
      <c r="D11" s="36" t="s">
        <v>130</v>
      </c>
      <c r="E11" s="36">
        <v>5</v>
      </c>
      <c r="F11" s="36" t="s">
        <v>131</v>
      </c>
      <c r="G11" s="36" t="s">
        <v>121</v>
      </c>
      <c r="H11" s="36" t="s">
        <v>132</v>
      </c>
      <c r="I11" s="36" t="s">
        <v>123</v>
      </c>
    </row>
    <row r="12" spans="1:12" ht="18" customHeight="1">
      <c r="B12" s="36" t="s">
        <v>133</v>
      </c>
      <c r="C12" s="36" t="s">
        <v>134</v>
      </c>
      <c r="D12" s="36" t="s">
        <v>130</v>
      </c>
      <c r="E12" s="36">
        <v>4</v>
      </c>
      <c r="F12" s="36" t="s">
        <v>131</v>
      </c>
      <c r="G12" s="36" t="s">
        <v>121</v>
      </c>
      <c r="H12" s="36" t="s">
        <v>135</v>
      </c>
      <c r="I12" s="36" t="s">
        <v>123</v>
      </c>
    </row>
    <row r="13" spans="1:12" ht="18" customHeight="1">
      <c r="B13" s="36" t="s">
        <v>136</v>
      </c>
      <c r="C13" s="36" t="s">
        <v>137</v>
      </c>
      <c r="D13" s="36" t="s">
        <v>130</v>
      </c>
      <c r="E13" s="36">
        <v>3</v>
      </c>
      <c r="F13" s="36" t="s">
        <v>131</v>
      </c>
      <c r="G13" s="36" t="s">
        <v>138</v>
      </c>
      <c r="H13" s="36" t="s">
        <v>139</v>
      </c>
      <c r="I13" s="36" t="s">
        <v>123</v>
      </c>
    </row>
  </sheetData>
  <autoFilter ref="B7"/>
  <mergeCells count="5">
    <mergeCell ref="A1:L2"/>
    <mergeCell ref="A3:L3"/>
    <mergeCell ref="A4:C4"/>
    <mergeCell ref="D4:L4"/>
    <mergeCell ref="A6:L6"/>
  </mergeCells>
  <dataValidations count="1">
    <dataValidation type="decimal" allowBlank="1" showInputMessage="1" showErrorMessage="1" sqref="D9:D57">
      <formula1>0</formula1>
      <formula2>50</formula2>
    </dataValidation>
  </dataValidations>
  <hyperlinks>
    <hyperlink ref="A4" location="PANO!A1" display="☰ MENÜ / PANO"/>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17365D"/>
  </sheetPr>
  <dimension ref="A1:Q207"/>
  <sheetViews>
    <sheetView showGridLines="0" workbookViewId="0">
      <pane ySplit="4" topLeftCell="A5" activePane="bottomLeft" state="frozen"/>
      <selection pane="bottomLeft"/>
    </sheetView>
  </sheetViews>
  <sheetFormatPr defaultRowHeight="18" customHeight="1"/>
  <cols>
    <col min="1" max="1" width="3.7109375" customWidth="1"/>
    <col min="2" max="2" width="10.7109375" customWidth="1"/>
    <col min="3" max="3" width="22.7109375" customWidth="1"/>
    <col min="4" max="4" width="20.7109375" customWidth="1"/>
    <col min="5" max="6" width="18.7109375" customWidth="1"/>
    <col min="7" max="7" width="14.7109375" customWidth="1"/>
    <col min="8" max="8" width="12.7109375" customWidth="1"/>
    <col min="9" max="11" width="18.7109375" customWidth="1"/>
    <col min="12" max="13" width="16.7109375" customWidth="1"/>
    <col min="14" max="14" width="18.7109375" customWidth="1"/>
    <col min="15" max="15" width="14.7109375" customWidth="1"/>
    <col min="16" max="16" width="28.7109375" customWidth="1"/>
    <col min="17" max="17" width="3.7109375" customWidth="1"/>
  </cols>
  <sheetData>
    <row r="1" spans="1:17" ht="28" customHeight="1">
      <c r="A1" s="1" t="s">
        <v>140</v>
      </c>
      <c r="B1" s="1"/>
      <c r="C1" s="1"/>
      <c r="D1" s="1"/>
      <c r="E1" s="1"/>
      <c r="F1" s="1"/>
      <c r="G1" s="1"/>
      <c r="H1" s="1"/>
      <c r="I1" s="1"/>
      <c r="J1" s="1"/>
      <c r="K1" s="1"/>
      <c r="L1" s="1"/>
      <c r="M1" s="1"/>
      <c r="N1" s="1"/>
      <c r="O1" s="1"/>
      <c r="P1" s="1"/>
      <c r="Q1" s="1"/>
    </row>
    <row r="2" spans="1:17" ht="28" customHeight="1">
      <c r="A2" s="1"/>
      <c r="B2" s="1"/>
      <c r="C2" s="1"/>
      <c r="D2" s="1"/>
      <c r="E2" s="1"/>
      <c r="F2" s="1"/>
      <c r="G2" s="1"/>
      <c r="H2" s="1"/>
      <c r="I2" s="1"/>
      <c r="J2" s="1"/>
      <c r="K2" s="1"/>
      <c r="L2" s="1"/>
      <c r="M2" s="1"/>
      <c r="N2" s="1"/>
      <c r="O2" s="1"/>
      <c r="P2" s="1"/>
      <c r="Q2" s="1"/>
    </row>
    <row r="3" spans="1:17" ht="30" customHeight="1">
      <c r="A3" s="2" t="s">
        <v>141</v>
      </c>
      <c r="B3" s="2"/>
      <c r="C3" s="2"/>
      <c r="D3" s="2"/>
      <c r="E3" s="2"/>
      <c r="F3" s="2"/>
      <c r="G3" s="2"/>
      <c r="H3" s="2"/>
      <c r="I3" s="2"/>
      <c r="J3" s="2"/>
      <c r="K3" s="2"/>
      <c r="L3" s="2"/>
      <c r="M3" s="2"/>
      <c r="N3" s="2"/>
      <c r="O3" s="2"/>
      <c r="P3" s="2"/>
      <c r="Q3" s="2"/>
    </row>
    <row r="4" spans="1:17" ht="22" customHeight="1">
      <c r="A4" s="3" t="s">
        <v>2</v>
      </c>
      <c r="B4" s="3"/>
      <c r="C4" s="3"/>
      <c r="D4" s="4" t="s">
        <v>3</v>
      </c>
      <c r="E4" s="4"/>
      <c r="F4" s="4"/>
      <c r="G4" s="4"/>
      <c r="H4" s="4"/>
      <c r="I4" s="4"/>
      <c r="J4" s="4"/>
      <c r="K4" s="4"/>
      <c r="L4" s="4"/>
      <c r="M4" s="4"/>
      <c r="N4" s="4"/>
      <c r="O4" s="4"/>
      <c r="P4" s="4"/>
      <c r="Q4" s="4"/>
    </row>
    <row r="6" spans="1:17" ht="18" customHeight="1">
      <c r="A6" s="13" t="s">
        <v>142</v>
      </c>
      <c r="B6" s="13"/>
      <c r="C6" s="13"/>
      <c r="D6" s="13"/>
      <c r="E6" s="13"/>
      <c r="F6" s="13"/>
      <c r="G6" s="13"/>
      <c r="H6" s="13"/>
      <c r="I6" s="13"/>
      <c r="J6" s="13"/>
      <c r="K6" s="13"/>
      <c r="L6" s="13"/>
      <c r="M6" s="13"/>
      <c r="N6" s="13"/>
      <c r="O6" s="13"/>
      <c r="P6" s="13"/>
      <c r="Q6" s="13"/>
    </row>
    <row r="7" spans="1:17" ht="18" customHeight="1">
      <c r="B7" s="25" t="s">
        <v>143</v>
      </c>
      <c r="C7" s="25" t="s">
        <v>144</v>
      </c>
      <c r="D7" s="25" t="s">
        <v>145</v>
      </c>
      <c r="E7" s="25" t="s">
        <v>146</v>
      </c>
      <c r="F7" s="25" t="s">
        <v>147</v>
      </c>
      <c r="G7" s="25" t="s">
        <v>148</v>
      </c>
      <c r="H7" s="25" t="s">
        <v>149</v>
      </c>
      <c r="I7" s="25" t="s">
        <v>150</v>
      </c>
      <c r="J7" s="25" t="s">
        <v>151</v>
      </c>
      <c r="K7" s="25" t="s">
        <v>152</v>
      </c>
      <c r="L7" s="25" t="s">
        <v>153</v>
      </c>
      <c r="M7" s="25" t="s">
        <v>154</v>
      </c>
      <c r="N7" s="25" t="s">
        <v>155</v>
      </c>
      <c r="O7" s="25" t="s">
        <v>156</v>
      </c>
      <c r="P7" s="25" t="s">
        <v>157</v>
      </c>
    </row>
    <row r="8" spans="1:17" ht="18" customHeight="1">
      <c r="B8" s="36" t="s">
        <v>158</v>
      </c>
      <c r="C8" s="36" t="s">
        <v>118</v>
      </c>
      <c r="D8" s="36" t="s">
        <v>159</v>
      </c>
      <c r="E8" s="36" t="s">
        <v>160</v>
      </c>
      <c r="F8" s="36" t="s">
        <v>161</v>
      </c>
      <c r="G8" s="36" t="s">
        <v>162</v>
      </c>
      <c r="H8" s="37">
        <v>1</v>
      </c>
      <c r="I8" s="37">
        <v>10000000</v>
      </c>
      <c r="J8" s="37">
        <v>7000000</v>
      </c>
      <c r="K8" s="36">
        <v>0</v>
      </c>
      <c r="L8" s="36" t="s">
        <v>163</v>
      </c>
      <c r="M8" s="36" t="s">
        <v>164</v>
      </c>
      <c r="N8" s="41">
        <f>IF(OR(M8&lt;&gt;"Aktif",I8&lt;=0),0,MAX(0,I8-J8-K8))</f>
      </c>
      <c r="O8" s="42">
        <f>IFERROR(J8/I8,0)</f>
      </c>
      <c r="P8" s="29">
        <f>IF(B8="","",IF(I8&lt;0,"DÜZELT: Onaylı limit negatif olamaz.",IF(J8&lt;0,"DÜZELT: Kullanılan kredi negatif olamaz.",IF(H8&lt;=0,"DÜZELT: Kur sıfır veya negatif olamaz.",IF(J8+K8&gt;I8,"DÜZELT: "&amp;C8&amp;" - "&amp;D8&amp;" kaydında kullanılan risk + bloke ("&amp;TEXT(J8+K8,"#,##0")&amp;" TL), onaylı limiti ("&amp;TEXT(I8,"#,##0")&amp;" TL) aşıyor. Kullanılan Risk ve Bloke/Rehin tutarlarını kontrol edin.",IF(AND(M8="Aktif",L8&lt;TODAY()),"KONTROL ET: "&amp;C8&amp;" - "&amp;D8&amp;" limitinin vadesi "&amp;TEXT(L8,"dd.mm.yyyy")&amp;" tarihinde bitmiş görünüyor. Bankadan güncel vade/durum bilgisini kontrol edip sarı hücreleri güncelleyin.","TAMAM"))))))</f>
      </c>
    </row>
    <row r="9" spans="1:17" ht="18" customHeight="1">
      <c r="B9" s="36" t="s">
        <v>165</v>
      </c>
      <c r="C9" s="36" t="s">
        <v>118</v>
      </c>
      <c r="D9" s="36" t="s">
        <v>166</v>
      </c>
      <c r="E9" s="36" t="s">
        <v>167</v>
      </c>
      <c r="F9" s="36" t="s">
        <v>168</v>
      </c>
      <c r="G9" s="36" t="s">
        <v>162</v>
      </c>
      <c r="H9" s="37">
        <v>1</v>
      </c>
      <c r="I9" s="37">
        <v>5000000</v>
      </c>
      <c r="J9" s="37">
        <v>2500000</v>
      </c>
      <c r="K9" s="36">
        <v>0</v>
      </c>
      <c r="L9" s="36" t="s">
        <v>169</v>
      </c>
      <c r="M9" s="36" t="s">
        <v>164</v>
      </c>
      <c r="N9" s="41">
        <f>IF(OR(M9&lt;&gt;"Aktif",I9&lt;=0),0,MAX(0,I9-J9-K9))</f>
      </c>
      <c r="O9" s="42">
        <f>IFERROR(J9/I9,0)</f>
      </c>
      <c r="P9" s="29">
        <f>IF(B9="","",IF(I9&lt;0,"DÜZELT: Onaylı limit negatif olamaz.",IF(J9&lt;0,"DÜZELT: Kullanılan kredi negatif olamaz.",IF(H9&lt;=0,"DÜZELT: Kur sıfır veya negatif olamaz.",IF(J9+K9&gt;I9,"DÜZELT: "&amp;C9&amp;" - "&amp;D9&amp;" kaydında kullanılan risk + bloke ("&amp;TEXT(J9+K9,"#,##0")&amp;" TL), onaylı limiti ("&amp;TEXT(I9,"#,##0")&amp;" TL) aşıyor. Kullanılan Risk ve Bloke/Rehin tutarlarını kontrol edin.",IF(AND(M9="Aktif",L9&lt;TODAY()),"KONTROL ET: "&amp;C9&amp;" - "&amp;D9&amp;" limitinin vadesi "&amp;TEXT(L9,"dd.mm.yyyy")&amp;" tarihinde bitmiş görünüyor. Bankadan güncel vade/durum bilgisini kontrol edip sarı hücreleri güncelleyin.","TAMAM"))))))</f>
      </c>
    </row>
    <row r="10" spans="1:17" ht="18" customHeight="1">
      <c r="B10" s="36" t="s">
        <v>170</v>
      </c>
      <c r="C10" s="36" t="s">
        <v>125</v>
      </c>
      <c r="D10" s="36" t="s">
        <v>171</v>
      </c>
      <c r="E10" s="36" t="s">
        <v>160</v>
      </c>
      <c r="F10" s="36" t="s">
        <v>172</v>
      </c>
      <c r="G10" s="36" t="s">
        <v>162</v>
      </c>
      <c r="H10" s="37">
        <v>1</v>
      </c>
      <c r="I10" s="37">
        <v>12000000</v>
      </c>
      <c r="J10" s="37">
        <v>8500000</v>
      </c>
      <c r="K10" s="36">
        <v>0</v>
      </c>
      <c r="L10" s="36" t="s">
        <v>173</v>
      </c>
      <c r="M10" s="36" t="s">
        <v>164</v>
      </c>
      <c r="N10" s="41">
        <f>IF(OR(M10&lt;&gt;"Aktif",I10&lt;=0),0,MAX(0,I10-J10-K10))</f>
      </c>
      <c r="O10" s="42">
        <f>IFERROR(J10/I10,0)</f>
      </c>
      <c r="P10" s="29">
        <f>IF(B10="","",IF(I10&lt;0,"DÜZELT: Onaylı limit negatif olamaz.",IF(J10&lt;0,"DÜZELT: Kullanılan kredi negatif olamaz.",IF(H10&lt;=0,"DÜZELT: Kur sıfır veya negatif olamaz.",IF(J10+K10&gt;I10,"DÜZELT: "&amp;C10&amp;" - "&amp;D10&amp;" kaydında kullanılan risk + bloke ("&amp;TEXT(J10+K10,"#,##0")&amp;" TL), onaylı limiti ("&amp;TEXT(I10,"#,##0")&amp;" TL) aşıyor. Kullanılan Risk ve Bloke/Rehin tutarlarını kontrol edin.",IF(AND(M10="Aktif",L10&lt;TODAY()),"KONTROL ET: "&amp;C10&amp;" - "&amp;D10&amp;" limitinin vadesi "&amp;TEXT(L10,"dd.mm.yyyy")&amp;" tarihinde bitmiş görünüyor. Bankadan güncel vade/durum bilgisini kontrol edip sarı hücreleri güncelleyin.","TAMAM"))))))</f>
      </c>
    </row>
    <row r="11" spans="1:17" ht="18" customHeight="1">
      <c r="B11" s="36" t="s">
        <v>174</v>
      </c>
      <c r="C11" s="36" t="s">
        <v>125</v>
      </c>
      <c r="D11" s="36" t="s">
        <v>175</v>
      </c>
      <c r="E11" s="36" t="s">
        <v>160</v>
      </c>
      <c r="F11" s="36" t="s">
        <v>176</v>
      </c>
      <c r="G11" s="36" t="s">
        <v>162</v>
      </c>
      <c r="H11" s="37">
        <v>1</v>
      </c>
      <c r="I11" s="37">
        <v>2500000</v>
      </c>
      <c r="J11" s="37">
        <v>900000</v>
      </c>
      <c r="K11" s="36">
        <v>0</v>
      </c>
      <c r="L11" s="36" t="s">
        <v>177</v>
      </c>
      <c r="M11" s="36" t="s">
        <v>164</v>
      </c>
      <c r="N11" s="41">
        <f>IF(OR(M11&lt;&gt;"Aktif",I11&lt;=0),0,MAX(0,I11-J11-K11))</f>
      </c>
      <c r="O11" s="42">
        <f>IFERROR(J11/I11,0)</f>
      </c>
      <c r="P11" s="29">
        <f>IF(B11="","",IF(I11&lt;0,"DÜZELT: Onaylı limit negatif olamaz.",IF(J11&lt;0,"DÜZELT: Kullanılan kredi negatif olamaz.",IF(H11&lt;=0,"DÜZELT: Kur sıfır veya negatif olamaz.",IF(J11+K11&gt;I11,"DÜZELT: "&amp;C11&amp;" - "&amp;D11&amp;" kaydında kullanılan risk + bloke ("&amp;TEXT(J11+K11,"#,##0")&amp;" TL), onaylı limiti ("&amp;TEXT(I11,"#,##0")&amp;" TL) aşıyor. Kullanılan Risk ve Bloke/Rehin tutarlarını kontrol edin.",IF(AND(M11="Aktif",L11&lt;TODAY()),"KONTROL ET: "&amp;C11&amp;" - "&amp;D11&amp;" limitinin vadesi "&amp;TEXT(L11,"dd.mm.yyyy")&amp;" tarihinde bitmiş görünüyor. Bankadan güncel vade/durum bilgisini kontrol edip sarı hücreleri güncelleyin.","TAMAM"))))))</f>
      </c>
    </row>
    <row r="12" spans="1:17" ht="18" customHeight="1">
      <c r="B12" s="36" t="s">
        <v>178</v>
      </c>
      <c r="C12" s="36" t="s">
        <v>129</v>
      </c>
      <c r="D12" s="36" t="s">
        <v>159</v>
      </c>
      <c r="E12" s="36" t="s">
        <v>160</v>
      </c>
      <c r="F12" s="36" t="s">
        <v>179</v>
      </c>
      <c r="G12" s="36" t="s">
        <v>162</v>
      </c>
      <c r="H12" s="37">
        <v>1</v>
      </c>
      <c r="I12" s="37">
        <v>8000000</v>
      </c>
      <c r="J12" s="37">
        <v>6000000</v>
      </c>
      <c r="K12" s="36">
        <v>0</v>
      </c>
      <c r="L12" s="36" t="s">
        <v>180</v>
      </c>
      <c r="M12" s="36" t="s">
        <v>164</v>
      </c>
      <c r="N12" s="41">
        <f>IF(OR(M12&lt;&gt;"Aktif",I12&lt;=0),0,MAX(0,I12-J12-K12))</f>
      </c>
      <c r="O12" s="42">
        <f>IFERROR(J12/I12,0)</f>
      </c>
      <c r="P12" s="29">
        <f>IF(B12="","",IF(I12&lt;0,"DÜZELT: Onaylı limit negatif olamaz.",IF(J12&lt;0,"DÜZELT: Kullanılan kredi negatif olamaz.",IF(H12&lt;=0,"DÜZELT: Kur sıfır veya negatif olamaz.",IF(J12+K12&gt;I12,"DÜZELT: "&amp;C12&amp;" - "&amp;D12&amp;" kaydında kullanılan risk + bloke ("&amp;TEXT(J12+K12,"#,##0")&amp;" TL), onaylı limiti ("&amp;TEXT(I12,"#,##0")&amp;" TL) aşıyor. Kullanılan Risk ve Bloke/Rehin tutarlarını kontrol edin.",IF(AND(M12="Aktif",L12&lt;TODAY()),"KONTROL ET: "&amp;C12&amp;" - "&amp;D12&amp;" limitinin vadesi "&amp;TEXT(L12,"dd.mm.yyyy")&amp;" tarihinde bitmiş görünüyor. Bankadan güncel vade/durum bilgisini kontrol edip sarı hücreleri güncelleyin.","TAMAM"))))))</f>
      </c>
    </row>
    <row r="13" spans="1:17" ht="18" customHeight="1">
      <c r="B13" s="36" t="s">
        <v>181</v>
      </c>
      <c r="C13" s="36" t="s">
        <v>134</v>
      </c>
      <c r="D13" s="36" t="s">
        <v>182</v>
      </c>
      <c r="E13" s="36" t="s">
        <v>160</v>
      </c>
      <c r="F13" s="36" t="s">
        <v>183</v>
      </c>
      <c r="G13" s="36" t="s">
        <v>162</v>
      </c>
      <c r="H13" s="37">
        <v>1</v>
      </c>
      <c r="I13" s="37">
        <v>3500000</v>
      </c>
      <c r="J13" s="37">
        <v>2700000</v>
      </c>
      <c r="K13" s="36">
        <v>0</v>
      </c>
      <c r="L13" s="36" t="s">
        <v>184</v>
      </c>
      <c r="M13" s="36" t="s">
        <v>164</v>
      </c>
      <c r="N13" s="41">
        <f>IF(OR(M13&lt;&gt;"Aktif",I13&lt;=0),0,MAX(0,I13-J13-K13))</f>
      </c>
      <c r="O13" s="42">
        <f>IFERROR(J13/I13,0)</f>
      </c>
      <c r="P13" s="29">
        <f>IF(B13="","",IF(I13&lt;0,"DÜZELT: Onaylı limit negatif olamaz.",IF(J13&lt;0,"DÜZELT: Kullanılan kredi negatif olamaz.",IF(H13&lt;=0,"DÜZELT: Kur sıfır veya negatif olamaz.",IF(J13+K13&gt;I13,"DÜZELT: "&amp;C13&amp;" - "&amp;D13&amp;" kaydında kullanılan risk + bloke ("&amp;TEXT(J13+K13,"#,##0")&amp;" TL), onaylı limiti ("&amp;TEXT(I13,"#,##0")&amp;" TL) aşıyor. Kullanılan Risk ve Bloke/Rehin tutarlarını kontrol edin.",IF(AND(M13="Aktif",L13&lt;TODAY()),"KONTROL ET: "&amp;C13&amp;" - "&amp;D13&amp;" limitinin vadesi "&amp;TEXT(L13,"dd.mm.yyyy")&amp;" tarihinde bitmiş görünüyor. Bankadan güncel vade/durum bilgisini kontrol edip sarı hücreleri güncelleyin.","TAMAM"))))))</f>
      </c>
    </row>
    <row r="14" spans="1:17" ht="18" customHeight="1">
      <c r="B14" s="36" t="s">
        <v>185</v>
      </c>
      <c r="C14" s="36" t="s">
        <v>137</v>
      </c>
      <c r="D14" s="36" t="s">
        <v>166</v>
      </c>
      <c r="E14" s="36" t="s">
        <v>167</v>
      </c>
      <c r="F14" s="36" t="s">
        <v>186</v>
      </c>
      <c r="G14" s="36" t="s">
        <v>162</v>
      </c>
      <c r="H14" s="37">
        <v>1</v>
      </c>
      <c r="I14" s="37">
        <v>4000000</v>
      </c>
      <c r="J14" s="37">
        <v>1000000</v>
      </c>
      <c r="K14" s="36">
        <v>0</v>
      </c>
      <c r="L14" s="36" t="s">
        <v>187</v>
      </c>
      <c r="M14" s="36" t="s">
        <v>164</v>
      </c>
      <c r="N14" s="41">
        <f>IF(OR(M14&lt;&gt;"Aktif",I14&lt;=0),0,MAX(0,I14-J14-K14))</f>
      </c>
      <c r="O14" s="42">
        <f>IFERROR(J14/I14,0)</f>
      </c>
      <c r="P14" s="29">
        <f>IF(B14="","",IF(I14&lt;0,"DÜZELT: Onaylı limit negatif olamaz.",IF(J14&lt;0,"DÜZELT: Kullanılan kredi negatif olamaz.",IF(H14&lt;=0,"DÜZELT: Kur sıfır veya negatif olamaz.",IF(J14+K14&gt;I14,"DÜZELT: "&amp;C14&amp;" - "&amp;D14&amp;" kaydında kullanılan risk + bloke ("&amp;TEXT(J14+K14,"#,##0")&amp;" TL), onaylı limiti ("&amp;TEXT(I14,"#,##0")&amp;" TL) aşıyor. Kullanılan Risk ve Bloke/Rehin tutarlarını kontrol edin.",IF(AND(M14="Aktif",L14&lt;TODAY()),"KONTROL ET: "&amp;C14&amp;" - "&amp;D14&amp;" limitinin vadesi "&amp;TEXT(L14,"dd.mm.yyyy")&amp;" tarihinde bitmiş görünüyor. Bankadan güncel vade/durum bilgisini kontrol edip sarı hücreleri güncelleyin.","TAMAM"))))))</f>
      </c>
    </row>
    <row r="15" spans="1:17" ht="18" customHeight="1">
      <c r="B15" s="36"/>
      <c r="C15" s="36"/>
      <c r="D15" s="36"/>
      <c r="E15" s="36"/>
      <c r="F15" s="36"/>
      <c r="G15" s="36"/>
      <c r="H15" s="37"/>
      <c r="I15" s="37"/>
      <c r="J15" s="37"/>
      <c r="K15" s="36"/>
      <c r="L15" s="36"/>
      <c r="M15" s="36"/>
      <c r="N15" s="41">
        <f>IF(OR(M15&lt;&gt;"Aktif",I15&lt;=0),0,MAX(0,I15-J15-K15))</f>
      </c>
      <c r="O15" s="42">
        <f>IFERROR(J15/I15,0)</f>
      </c>
      <c r="P15" s="29">
        <f>IF(B15="","",IF(I15&lt;0,"DÜZELT: Onaylı limit negatif olamaz.",IF(J15&lt;0,"DÜZELT: Kullanılan kredi negatif olamaz.",IF(H15&lt;=0,"DÜZELT: Kur sıfır veya negatif olamaz.",IF(J15+K15&gt;I15,"DÜZELT: "&amp;C15&amp;" - "&amp;D15&amp;" kaydında kullanılan risk + bloke ("&amp;TEXT(J15+K15,"#,##0")&amp;" TL), onaylı limiti ("&amp;TEXT(I15,"#,##0")&amp;" TL) aşıyor. Kullanılan Risk ve Bloke/Rehin tutarlarını kontrol edin.",IF(AND(M15="Aktif",L15&lt;TODAY()),"KONTROL ET: "&amp;C15&amp;" - "&amp;D15&amp;" limitinin vadesi "&amp;TEXT(L15,"dd.mm.yyyy")&amp;" tarihinde bitmiş görünüyor. Bankadan güncel vade/durum bilgisini kontrol edip sarı hücreleri güncelleyin.","TAMAM"))))))</f>
      </c>
    </row>
    <row r="16" spans="1:17" ht="18" customHeight="1">
      <c r="B16" s="36"/>
      <c r="C16" s="36"/>
      <c r="D16" s="36"/>
      <c r="E16" s="36"/>
      <c r="F16" s="36"/>
      <c r="G16" s="36"/>
      <c r="H16" s="37"/>
      <c r="I16" s="37"/>
      <c r="J16" s="37"/>
      <c r="K16" s="36"/>
      <c r="L16" s="36"/>
      <c r="M16" s="36"/>
      <c r="N16" s="41">
        <f>IF(OR(M16&lt;&gt;"Aktif",I16&lt;=0),0,MAX(0,I16-J16-K16))</f>
      </c>
      <c r="O16" s="42">
        <f>IFERROR(J16/I16,0)</f>
      </c>
      <c r="P16" s="29">
        <f>IF(B16="","",IF(I16&lt;0,"DÜZELT: Onaylı limit negatif olamaz.",IF(J16&lt;0,"DÜZELT: Kullanılan kredi negatif olamaz.",IF(H16&lt;=0,"DÜZELT: Kur sıfır veya negatif olamaz.",IF(J16+K16&gt;I16,"DÜZELT: "&amp;C16&amp;" - "&amp;D16&amp;" kaydında kullanılan risk + bloke ("&amp;TEXT(J16+K16,"#,##0")&amp;" TL), onaylı limiti ("&amp;TEXT(I16,"#,##0")&amp;" TL) aşıyor. Kullanılan Risk ve Bloke/Rehin tutarlarını kontrol edin.",IF(AND(M16="Aktif",L16&lt;TODAY()),"KONTROL ET: "&amp;C16&amp;" - "&amp;D16&amp;" limitinin vadesi "&amp;TEXT(L16,"dd.mm.yyyy")&amp;" tarihinde bitmiş görünüyor. Bankadan güncel vade/durum bilgisini kontrol edip sarı hücreleri güncelleyin.","TAMAM"))))))</f>
      </c>
    </row>
    <row r="17" spans="2:16" ht="18" customHeight="1">
      <c r="B17" s="36"/>
      <c r="C17" s="36"/>
      <c r="D17" s="36"/>
      <c r="E17" s="36"/>
      <c r="F17" s="36"/>
      <c r="G17" s="36"/>
      <c r="H17" s="37"/>
      <c r="I17" s="37"/>
      <c r="J17" s="37"/>
      <c r="K17" s="36"/>
      <c r="L17" s="36"/>
      <c r="M17" s="36"/>
      <c r="N17" s="41">
        <f>IF(OR(M17&lt;&gt;"Aktif",I17&lt;=0),0,MAX(0,I17-J17-K17))</f>
      </c>
      <c r="O17" s="42">
        <f>IFERROR(J17/I17,0)</f>
      </c>
      <c r="P17" s="29">
        <f>IF(B17="","",IF(I17&lt;0,"DÜZELT: Onaylı limit negatif olamaz.",IF(J17&lt;0,"DÜZELT: Kullanılan kredi negatif olamaz.",IF(H17&lt;=0,"DÜZELT: Kur sıfır veya negatif olamaz.",IF(J17+K17&gt;I17,"DÜZELT: "&amp;C17&amp;" - "&amp;D17&amp;" kaydında kullanılan risk + bloke ("&amp;TEXT(J17+K17,"#,##0")&amp;" TL), onaylı limiti ("&amp;TEXT(I17,"#,##0")&amp;" TL) aşıyor. Kullanılan Risk ve Bloke/Rehin tutarlarını kontrol edin.",IF(AND(M17="Aktif",L17&lt;TODAY()),"KONTROL ET: "&amp;C17&amp;" - "&amp;D17&amp;" limitinin vadesi "&amp;TEXT(L17,"dd.mm.yyyy")&amp;" tarihinde bitmiş görünüyor. Bankadan güncel vade/durum bilgisini kontrol edip sarı hücreleri güncelleyin.","TAMAM"))))))</f>
      </c>
    </row>
    <row r="18" spans="2:16" ht="18" customHeight="1">
      <c r="B18" s="36"/>
      <c r="C18" s="36"/>
      <c r="D18" s="36"/>
      <c r="E18" s="36"/>
      <c r="F18" s="36"/>
      <c r="G18" s="36"/>
      <c r="H18" s="37"/>
      <c r="I18" s="37"/>
      <c r="J18" s="37"/>
      <c r="K18" s="36"/>
      <c r="L18" s="36"/>
      <c r="M18" s="36"/>
      <c r="N18" s="41">
        <f>IF(OR(M18&lt;&gt;"Aktif",I18&lt;=0),0,MAX(0,I18-J18-K18))</f>
      </c>
      <c r="O18" s="42">
        <f>IFERROR(J18/I18,0)</f>
      </c>
      <c r="P18" s="29">
        <f>IF(B18="","",IF(I18&lt;0,"DÜZELT: Onaylı limit negatif olamaz.",IF(J18&lt;0,"DÜZELT: Kullanılan kredi negatif olamaz.",IF(H18&lt;=0,"DÜZELT: Kur sıfır veya negatif olamaz.",IF(J18+K18&gt;I18,"DÜZELT: "&amp;C18&amp;" - "&amp;D18&amp;" kaydında kullanılan risk + bloke ("&amp;TEXT(J18+K18,"#,##0")&amp;" TL), onaylı limiti ("&amp;TEXT(I18,"#,##0")&amp;" TL) aşıyor. Kullanılan Risk ve Bloke/Rehin tutarlarını kontrol edin.",IF(AND(M18="Aktif",L18&lt;TODAY()),"KONTROL ET: "&amp;C18&amp;" - "&amp;D18&amp;" limitinin vadesi "&amp;TEXT(L18,"dd.mm.yyyy")&amp;" tarihinde bitmiş görünüyor. Bankadan güncel vade/durum bilgisini kontrol edip sarı hücreleri güncelleyin.","TAMAM"))))))</f>
      </c>
    </row>
    <row r="19" spans="2:16" ht="18" customHeight="1">
      <c r="B19" s="36"/>
      <c r="C19" s="36"/>
      <c r="D19" s="36"/>
      <c r="E19" s="36"/>
      <c r="F19" s="36"/>
      <c r="G19" s="36"/>
      <c r="H19" s="37"/>
      <c r="I19" s="37"/>
      <c r="J19" s="37"/>
      <c r="K19" s="36"/>
      <c r="L19" s="36"/>
      <c r="M19" s="36"/>
      <c r="N19" s="41">
        <f>IF(OR(M19&lt;&gt;"Aktif",I19&lt;=0),0,MAX(0,I19-J19-K19))</f>
      </c>
      <c r="O19" s="42">
        <f>IFERROR(J19/I19,0)</f>
      </c>
      <c r="P19" s="29">
        <f>IF(B19="","",IF(I19&lt;0,"DÜZELT: Onaylı limit negatif olamaz.",IF(J19&lt;0,"DÜZELT: Kullanılan kredi negatif olamaz.",IF(H19&lt;=0,"DÜZELT: Kur sıfır veya negatif olamaz.",IF(J19+K19&gt;I19,"DÜZELT: "&amp;C19&amp;" - "&amp;D19&amp;" kaydında kullanılan risk + bloke ("&amp;TEXT(J19+K19,"#,##0")&amp;" TL), onaylı limiti ("&amp;TEXT(I19,"#,##0")&amp;" TL) aşıyor. Kullanılan Risk ve Bloke/Rehin tutarlarını kontrol edin.",IF(AND(M19="Aktif",L19&lt;TODAY()),"KONTROL ET: "&amp;C19&amp;" - "&amp;D19&amp;" limitinin vadesi "&amp;TEXT(L19,"dd.mm.yyyy")&amp;" tarihinde bitmiş görünüyor. Bankadan güncel vade/durum bilgisini kontrol edip sarı hücreleri güncelleyin.","TAMAM"))))))</f>
      </c>
    </row>
    <row r="20" spans="2:16" ht="18" customHeight="1">
      <c r="B20" s="36"/>
      <c r="C20" s="36"/>
      <c r="D20" s="36"/>
      <c r="E20" s="36"/>
      <c r="F20" s="36"/>
      <c r="G20" s="36"/>
      <c r="H20" s="37"/>
      <c r="I20" s="37"/>
      <c r="J20" s="37"/>
      <c r="K20" s="36"/>
      <c r="L20" s="36"/>
      <c r="M20" s="36"/>
      <c r="N20" s="41">
        <f>IF(OR(M20&lt;&gt;"Aktif",I20&lt;=0),0,MAX(0,I20-J20-K20))</f>
      </c>
      <c r="O20" s="42">
        <f>IFERROR(J20/I20,0)</f>
      </c>
      <c r="P20" s="29">
        <f>IF(B20="","",IF(I20&lt;0,"DÜZELT: Onaylı limit negatif olamaz.",IF(J20&lt;0,"DÜZELT: Kullanılan kredi negatif olamaz.",IF(H20&lt;=0,"DÜZELT: Kur sıfır veya negatif olamaz.",IF(J20+K20&gt;I20,"DÜZELT: "&amp;C20&amp;" - "&amp;D20&amp;" kaydında kullanılan risk + bloke ("&amp;TEXT(J20+K20,"#,##0")&amp;" TL), onaylı limiti ("&amp;TEXT(I20,"#,##0")&amp;" TL) aşıyor. Kullanılan Risk ve Bloke/Rehin tutarlarını kontrol edin.",IF(AND(M20="Aktif",L20&lt;TODAY()),"KONTROL ET: "&amp;C20&amp;" - "&amp;D20&amp;" limitinin vadesi "&amp;TEXT(L20,"dd.mm.yyyy")&amp;" tarihinde bitmiş görünüyor. Bankadan güncel vade/durum bilgisini kontrol edip sarı hücreleri güncelleyin.","TAMAM"))))))</f>
      </c>
    </row>
    <row r="21" spans="2:16" ht="18" customHeight="1">
      <c r="B21" s="36"/>
      <c r="C21" s="36"/>
      <c r="D21" s="36"/>
      <c r="E21" s="36"/>
      <c r="F21" s="36"/>
      <c r="G21" s="36"/>
      <c r="H21" s="37"/>
      <c r="I21" s="37"/>
      <c r="J21" s="37"/>
      <c r="K21" s="36"/>
      <c r="L21" s="36"/>
      <c r="M21" s="36"/>
      <c r="N21" s="41">
        <f>IF(OR(M21&lt;&gt;"Aktif",I21&lt;=0),0,MAX(0,I21-J21-K21))</f>
      </c>
      <c r="O21" s="42">
        <f>IFERROR(J21/I21,0)</f>
      </c>
      <c r="P21" s="29">
        <f>IF(B21="","",IF(I21&lt;0,"DÜZELT: Onaylı limit negatif olamaz.",IF(J21&lt;0,"DÜZELT: Kullanılan kredi negatif olamaz.",IF(H21&lt;=0,"DÜZELT: Kur sıfır veya negatif olamaz.",IF(J21+K21&gt;I21,"DÜZELT: "&amp;C21&amp;" - "&amp;D21&amp;" kaydında kullanılan risk + bloke ("&amp;TEXT(J21+K21,"#,##0")&amp;" TL), onaylı limiti ("&amp;TEXT(I21,"#,##0")&amp;" TL) aşıyor. Kullanılan Risk ve Bloke/Rehin tutarlarını kontrol edin.",IF(AND(M21="Aktif",L21&lt;TODAY()),"KONTROL ET: "&amp;C21&amp;" - "&amp;D21&amp;" limitinin vadesi "&amp;TEXT(L21,"dd.mm.yyyy")&amp;" tarihinde bitmiş görünüyor. Bankadan güncel vade/durum bilgisini kontrol edip sarı hücreleri güncelleyin.","TAMAM"))))))</f>
      </c>
    </row>
    <row r="22" spans="2:16" ht="18" customHeight="1">
      <c r="B22" s="36"/>
      <c r="C22" s="36"/>
      <c r="D22" s="36"/>
      <c r="E22" s="36"/>
      <c r="F22" s="36"/>
      <c r="G22" s="36"/>
      <c r="H22" s="37"/>
      <c r="I22" s="37"/>
      <c r="J22" s="37"/>
      <c r="K22" s="36"/>
      <c r="L22" s="36"/>
      <c r="M22" s="36"/>
      <c r="N22" s="41">
        <f>IF(OR(M22&lt;&gt;"Aktif",I22&lt;=0),0,MAX(0,I22-J22-K22))</f>
      </c>
      <c r="O22" s="42">
        <f>IFERROR(J22/I22,0)</f>
      </c>
      <c r="P22" s="29">
        <f>IF(B22="","",IF(I22&lt;0,"DÜZELT: Onaylı limit negatif olamaz.",IF(J22&lt;0,"DÜZELT: Kullanılan kredi negatif olamaz.",IF(H22&lt;=0,"DÜZELT: Kur sıfır veya negatif olamaz.",IF(J22+K22&gt;I22,"DÜZELT: "&amp;C22&amp;" - "&amp;D22&amp;" kaydında kullanılan risk + bloke ("&amp;TEXT(J22+K22,"#,##0")&amp;" TL), onaylı limiti ("&amp;TEXT(I22,"#,##0")&amp;" TL) aşıyor. Kullanılan Risk ve Bloke/Rehin tutarlarını kontrol edin.",IF(AND(M22="Aktif",L22&lt;TODAY()),"KONTROL ET: "&amp;C22&amp;" - "&amp;D22&amp;" limitinin vadesi "&amp;TEXT(L22,"dd.mm.yyyy")&amp;" tarihinde bitmiş görünüyor. Bankadan güncel vade/durum bilgisini kontrol edip sarı hücreleri güncelleyin.","TAMAM"))))))</f>
      </c>
    </row>
    <row r="23" spans="2:16" ht="18" customHeight="1">
      <c r="B23" s="36"/>
      <c r="C23" s="36"/>
      <c r="D23" s="36"/>
      <c r="E23" s="36"/>
      <c r="F23" s="36"/>
      <c r="G23" s="36"/>
      <c r="H23" s="37"/>
      <c r="I23" s="37"/>
      <c r="J23" s="37"/>
      <c r="K23" s="36"/>
      <c r="L23" s="36"/>
      <c r="M23" s="36"/>
      <c r="N23" s="41">
        <f>IF(OR(M23&lt;&gt;"Aktif",I23&lt;=0),0,MAX(0,I23-J23-K23))</f>
      </c>
      <c r="O23" s="42">
        <f>IFERROR(J23/I23,0)</f>
      </c>
      <c r="P23" s="29">
        <f>IF(B23="","",IF(I23&lt;0,"DÜZELT: Onaylı limit negatif olamaz.",IF(J23&lt;0,"DÜZELT: Kullanılan kredi negatif olamaz.",IF(H23&lt;=0,"DÜZELT: Kur sıfır veya negatif olamaz.",IF(J23+K23&gt;I23,"DÜZELT: "&amp;C23&amp;" - "&amp;D23&amp;" kaydında kullanılan risk + bloke ("&amp;TEXT(J23+K23,"#,##0")&amp;" TL), onaylı limiti ("&amp;TEXT(I23,"#,##0")&amp;" TL) aşıyor. Kullanılan Risk ve Bloke/Rehin tutarlarını kontrol edin.",IF(AND(M23="Aktif",L23&lt;TODAY()),"KONTROL ET: "&amp;C23&amp;" - "&amp;D23&amp;" limitinin vadesi "&amp;TEXT(L23,"dd.mm.yyyy")&amp;" tarihinde bitmiş görünüyor. Bankadan güncel vade/durum bilgisini kontrol edip sarı hücreleri güncelleyin.","TAMAM"))))))</f>
      </c>
    </row>
    <row r="24" spans="2:16" ht="18" customHeight="1">
      <c r="B24" s="36"/>
      <c r="C24" s="36"/>
      <c r="D24" s="36"/>
      <c r="E24" s="36"/>
      <c r="F24" s="36"/>
      <c r="G24" s="36"/>
      <c r="H24" s="37"/>
      <c r="I24" s="37"/>
      <c r="J24" s="37"/>
      <c r="K24" s="36"/>
      <c r="L24" s="36"/>
      <c r="M24" s="36"/>
      <c r="N24" s="41">
        <f>IF(OR(M24&lt;&gt;"Aktif",I24&lt;=0),0,MAX(0,I24-J24-K24))</f>
      </c>
      <c r="O24" s="42">
        <f>IFERROR(J24/I24,0)</f>
      </c>
      <c r="P24" s="29">
        <f>IF(B24="","",IF(I24&lt;0,"DÜZELT: Onaylı limit negatif olamaz.",IF(J24&lt;0,"DÜZELT: Kullanılan kredi negatif olamaz.",IF(H24&lt;=0,"DÜZELT: Kur sıfır veya negatif olamaz.",IF(J24+K24&gt;I24,"DÜZELT: "&amp;C24&amp;" - "&amp;D24&amp;" kaydında kullanılan risk + bloke ("&amp;TEXT(J24+K24,"#,##0")&amp;" TL), onaylı limiti ("&amp;TEXT(I24,"#,##0")&amp;" TL) aşıyor. Kullanılan Risk ve Bloke/Rehin tutarlarını kontrol edin.",IF(AND(M24="Aktif",L24&lt;TODAY()),"KONTROL ET: "&amp;C24&amp;" - "&amp;D24&amp;" limitinin vadesi "&amp;TEXT(L24,"dd.mm.yyyy")&amp;" tarihinde bitmiş görünüyor. Bankadan güncel vade/durum bilgisini kontrol edip sarı hücreleri güncelleyin.","TAMAM"))))))</f>
      </c>
    </row>
    <row r="25" spans="2:16" ht="18" customHeight="1">
      <c r="B25" s="36"/>
      <c r="C25" s="36"/>
      <c r="D25" s="36"/>
      <c r="E25" s="36"/>
      <c r="F25" s="36"/>
      <c r="G25" s="36"/>
      <c r="H25" s="37"/>
      <c r="I25" s="37"/>
      <c r="J25" s="37"/>
      <c r="K25" s="36"/>
      <c r="L25" s="36"/>
      <c r="M25" s="36"/>
      <c r="N25" s="41">
        <f>IF(OR(M25&lt;&gt;"Aktif",I25&lt;=0),0,MAX(0,I25-J25-K25))</f>
      </c>
      <c r="O25" s="42">
        <f>IFERROR(J25/I25,0)</f>
      </c>
      <c r="P25" s="29">
        <f>IF(B25="","",IF(I25&lt;0,"DÜZELT: Onaylı limit negatif olamaz.",IF(J25&lt;0,"DÜZELT: Kullanılan kredi negatif olamaz.",IF(H25&lt;=0,"DÜZELT: Kur sıfır veya negatif olamaz.",IF(J25+K25&gt;I25,"DÜZELT: "&amp;C25&amp;" - "&amp;D25&amp;" kaydında kullanılan risk + bloke ("&amp;TEXT(J25+K25,"#,##0")&amp;" TL), onaylı limiti ("&amp;TEXT(I25,"#,##0")&amp;" TL) aşıyor. Kullanılan Risk ve Bloke/Rehin tutarlarını kontrol edin.",IF(AND(M25="Aktif",L25&lt;TODAY()),"KONTROL ET: "&amp;C25&amp;" - "&amp;D25&amp;" limitinin vadesi "&amp;TEXT(L25,"dd.mm.yyyy")&amp;" tarihinde bitmiş görünüyor. Bankadan güncel vade/durum bilgisini kontrol edip sarı hücreleri güncelleyin.","TAMAM"))))))</f>
      </c>
    </row>
    <row r="26" spans="2:16" ht="18" customHeight="1">
      <c r="B26" s="36"/>
      <c r="C26" s="36"/>
      <c r="D26" s="36"/>
      <c r="E26" s="36"/>
      <c r="F26" s="36"/>
      <c r="G26" s="36"/>
      <c r="H26" s="37"/>
      <c r="I26" s="37"/>
      <c r="J26" s="37"/>
      <c r="K26" s="36"/>
      <c r="L26" s="36"/>
      <c r="M26" s="36"/>
      <c r="N26" s="41">
        <f>IF(OR(M26&lt;&gt;"Aktif",I26&lt;=0),0,MAX(0,I26-J26-K26))</f>
      </c>
      <c r="O26" s="42">
        <f>IFERROR(J26/I26,0)</f>
      </c>
      <c r="P26" s="29">
        <f>IF(B26="","",IF(I26&lt;0,"DÜZELT: Onaylı limit negatif olamaz.",IF(J26&lt;0,"DÜZELT: Kullanılan kredi negatif olamaz.",IF(H26&lt;=0,"DÜZELT: Kur sıfır veya negatif olamaz.",IF(J26+K26&gt;I26,"DÜZELT: "&amp;C26&amp;" - "&amp;D26&amp;" kaydında kullanılan risk + bloke ("&amp;TEXT(J26+K26,"#,##0")&amp;" TL), onaylı limiti ("&amp;TEXT(I26,"#,##0")&amp;" TL) aşıyor. Kullanılan Risk ve Bloke/Rehin tutarlarını kontrol edin.",IF(AND(M26="Aktif",L26&lt;TODAY()),"KONTROL ET: "&amp;C26&amp;" - "&amp;D26&amp;" limitinin vadesi "&amp;TEXT(L26,"dd.mm.yyyy")&amp;" tarihinde bitmiş görünüyor. Bankadan güncel vade/durum bilgisini kontrol edip sarı hücreleri güncelleyin.","TAMAM"))))))</f>
      </c>
    </row>
    <row r="27" spans="2:16" ht="18" customHeight="1">
      <c r="B27" s="36"/>
      <c r="C27" s="36"/>
      <c r="D27" s="36"/>
      <c r="E27" s="36"/>
      <c r="F27" s="36"/>
      <c r="G27" s="36"/>
      <c r="H27" s="37"/>
      <c r="I27" s="37"/>
      <c r="J27" s="37"/>
      <c r="K27" s="36"/>
      <c r="L27" s="36"/>
      <c r="M27" s="36"/>
      <c r="N27" s="41">
        <f>IF(OR(M27&lt;&gt;"Aktif",I27&lt;=0),0,MAX(0,I27-J27-K27))</f>
      </c>
      <c r="O27" s="42">
        <f>IFERROR(J27/I27,0)</f>
      </c>
      <c r="P27" s="29">
        <f>IF(B27="","",IF(I27&lt;0,"DÜZELT: Onaylı limit negatif olamaz.",IF(J27&lt;0,"DÜZELT: Kullanılan kredi negatif olamaz.",IF(H27&lt;=0,"DÜZELT: Kur sıfır veya negatif olamaz.",IF(J27+K27&gt;I27,"DÜZELT: "&amp;C27&amp;" - "&amp;D27&amp;" kaydında kullanılan risk + bloke ("&amp;TEXT(J27+K27,"#,##0")&amp;" TL), onaylı limiti ("&amp;TEXT(I27,"#,##0")&amp;" TL) aşıyor. Kullanılan Risk ve Bloke/Rehin tutarlarını kontrol edin.",IF(AND(M27="Aktif",L27&lt;TODAY()),"KONTROL ET: "&amp;C27&amp;" - "&amp;D27&amp;" limitinin vadesi "&amp;TEXT(L27,"dd.mm.yyyy")&amp;" tarihinde bitmiş görünüyor. Bankadan güncel vade/durum bilgisini kontrol edip sarı hücreleri güncelleyin.","TAMAM"))))))</f>
      </c>
    </row>
    <row r="28" spans="2:16" ht="18" customHeight="1">
      <c r="B28" s="36"/>
      <c r="C28" s="36"/>
      <c r="D28" s="36"/>
      <c r="E28" s="36"/>
      <c r="F28" s="36"/>
      <c r="G28" s="36"/>
      <c r="H28" s="37"/>
      <c r="I28" s="37"/>
      <c r="J28" s="37"/>
      <c r="K28" s="36"/>
      <c r="L28" s="36"/>
      <c r="M28" s="36"/>
      <c r="N28" s="41">
        <f>IF(OR(M28&lt;&gt;"Aktif",I28&lt;=0),0,MAX(0,I28-J28-K28))</f>
      </c>
      <c r="O28" s="42">
        <f>IFERROR(J28/I28,0)</f>
      </c>
      <c r="P28" s="29">
        <f>IF(B28="","",IF(I28&lt;0,"DÜZELT: Onaylı limit negatif olamaz.",IF(J28&lt;0,"DÜZELT: Kullanılan kredi negatif olamaz.",IF(H28&lt;=0,"DÜZELT: Kur sıfır veya negatif olamaz.",IF(J28+K28&gt;I28,"DÜZELT: "&amp;C28&amp;" - "&amp;D28&amp;" kaydında kullanılan risk + bloke ("&amp;TEXT(J28+K28,"#,##0")&amp;" TL), onaylı limiti ("&amp;TEXT(I28,"#,##0")&amp;" TL) aşıyor. Kullanılan Risk ve Bloke/Rehin tutarlarını kontrol edin.",IF(AND(M28="Aktif",L28&lt;TODAY()),"KONTROL ET: "&amp;C28&amp;" - "&amp;D28&amp;" limitinin vadesi "&amp;TEXT(L28,"dd.mm.yyyy")&amp;" tarihinde bitmiş görünüyor. Bankadan güncel vade/durum bilgisini kontrol edip sarı hücreleri güncelleyin.","TAMAM"))))))</f>
      </c>
    </row>
    <row r="29" spans="2:16" ht="18" customHeight="1">
      <c r="B29" s="36"/>
      <c r="C29" s="36"/>
      <c r="D29" s="36"/>
      <c r="E29" s="36"/>
      <c r="F29" s="36"/>
      <c r="G29" s="36"/>
      <c r="H29" s="37"/>
      <c r="I29" s="37"/>
      <c r="J29" s="37"/>
      <c r="K29" s="36"/>
      <c r="L29" s="36"/>
      <c r="M29" s="36"/>
      <c r="N29" s="41">
        <f>IF(OR(M29&lt;&gt;"Aktif",I29&lt;=0),0,MAX(0,I29-J29-K29))</f>
      </c>
      <c r="O29" s="42">
        <f>IFERROR(J29/I29,0)</f>
      </c>
      <c r="P29" s="29">
        <f>IF(B29="","",IF(I29&lt;0,"DÜZELT: Onaylı limit negatif olamaz.",IF(J29&lt;0,"DÜZELT: Kullanılan kredi negatif olamaz.",IF(H29&lt;=0,"DÜZELT: Kur sıfır veya negatif olamaz.",IF(J29+K29&gt;I29,"DÜZELT: "&amp;C29&amp;" - "&amp;D29&amp;" kaydında kullanılan risk + bloke ("&amp;TEXT(J29+K29,"#,##0")&amp;" TL), onaylı limiti ("&amp;TEXT(I29,"#,##0")&amp;" TL) aşıyor. Kullanılan Risk ve Bloke/Rehin tutarlarını kontrol edin.",IF(AND(M29="Aktif",L29&lt;TODAY()),"KONTROL ET: "&amp;C29&amp;" - "&amp;D29&amp;" limitinin vadesi "&amp;TEXT(L29,"dd.mm.yyyy")&amp;" tarihinde bitmiş görünüyor. Bankadan güncel vade/durum bilgisini kontrol edip sarı hücreleri güncelleyin.","TAMAM"))))))</f>
      </c>
    </row>
    <row r="30" spans="2:16" ht="18" customHeight="1">
      <c r="B30" s="36"/>
      <c r="C30" s="36"/>
      <c r="D30" s="36"/>
      <c r="E30" s="36"/>
      <c r="F30" s="36"/>
      <c r="G30" s="36"/>
      <c r="H30" s="37"/>
      <c r="I30" s="37"/>
      <c r="J30" s="37"/>
      <c r="K30" s="36"/>
      <c r="L30" s="36"/>
      <c r="M30" s="36"/>
      <c r="N30" s="41">
        <f>IF(OR(M30&lt;&gt;"Aktif",I30&lt;=0),0,MAX(0,I30-J30-K30))</f>
      </c>
      <c r="O30" s="42">
        <f>IFERROR(J30/I30,0)</f>
      </c>
      <c r="P30" s="29">
        <f>IF(B30="","",IF(I30&lt;0,"DÜZELT: Onaylı limit negatif olamaz.",IF(J30&lt;0,"DÜZELT: Kullanılan kredi negatif olamaz.",IF(H30&lt;=0,"DÜZELT: Kur sıfır veya negatif olamaz.",IF(J30+K30&gt;I30,"DÜZELT: "&amp;C30&amp;" - "&amp;D30&amp;" kaydında kullanılan risk + bloke ("&amp;TEXT(J30+K30,"#,##0")&amp;" TL), onaylı limiti ("&amp;TEXT(I30,"#,##0")&amp;" TL) aşıyor. Kullanılan Risk ve Bloke/Rehin tutarlarını kontrol edin.",IF(AND(M30="Aktif",L30&lt;TODAY()),"KONTROL ET: "&amp;C30&amp;" - "&amp;D30&amp;" limitinin vadesi "&amp;TEXT(L30,"dd.mm.yyyy")&amp;" tarihinde bitmiş görünüyor. Bankadan güncel vade/durum bilgisini kontrol edip sarı hücreleri güncelleyin.","TAMAM"))))))</f>
      </c>
    </row>
    <row r="31" spans="2:16" ht="18" customHeight="1">
      <c r="B31" s="36"/>
      <c r="C31" s="36"/>
      <c r="D31" s="36"/>
      <c r="E31" s="36"/>
      <c r="F31" s="36"/>
      <c r="G31" s="36"/>
      <c r="H31" s="37"/>
      <c r="I31" s="37"/>
      <c r="J31" s="37"/>
      <c r="K31" s="36"/>
      <c r="L31" s="36"/>
      <c r="M31" s="36"/>
      <c r="N31" s="41">
        <f>IF(OR(M31&lt;&gt;"Aktif",I31&lt;=0),0,MAX(0,I31-J31-K31))</f>
      </c>
      <c r="O31" s="42">
        <f>IFERROR(J31/I31,0)</f>
      </c>
      <c r="P31" s="29">
        <f>IF(B31="","",IF(I31&lt;0,"DÜZELT: Onaylı limit negatif olamaz.",IF(J31&lt;0,"DÜZELT: Kullanılan kredi negatif olamaz.",IF(H31&lt;=0,"DÜZELT: Kur sıfır veya negatif olamaz.",IF(J31+K31&gt;I31,"DÜZELT: "&amp;C31&amp;" - "&amp;D31&amp;" kaydında kullanılan risk + bloke ("&amp;TEXT(J31+K31,"#,##0")&amp;" TL), onaylı limiti ("&amp;TEXT(I31,"#,##0")&amp;" TL) aşıyor. Kullanılan Risk ve Bloke/Rehin tutarlarını kontrol edin.",IF(AND(M31="Aktif",L31&lt;TODAY()),"KONTROL ET: "&amp;C31&amp;" - "&amp;D31&amp;" limitinin vadesi "&amp;TEXT(L31,"dd.mm.yyyy")&amp;" tarihinde bitmiş görünüyor. Bankadan güncel vade/durum bilgisini kontrol edip sarı hücreleri güncelleyin.","TAMAM"))))))</f>
      </c>
    </row>
    <row r="32" spans="2:16" ht="18" customHeight="1">
      <c r="B32" s="36"/>
      <c r="C32" s="36"/>
      <c r="D32" s="36"/>
      <c r="E32" s="36"/>
      <c r="F32" s="36"/>
      <c r="G32" s="36"/>
      <c r="H32" s="37"/>
      <c r="I32" s="37"/>
      <c r="J32" s="37"/>
      <c r="K32" s="36"/>
      <c r="L32" s="36"/>
      <c r="M32" s="36"/>
      <c r="N32" s="41">
        <f>IF(OR(M32&lt;&gt;"Aktif",I32&lt;=0),0,MAX(0,I32-J32-K32))</f>
      </c>
      <c r="O32" s="42">
        <f>IFERROR(J32/I32,0)</f>
      </c>
      <c r="P32" s="29">
        <f>IF(B32="","",IF(I32&lt;0,"DÜZELT: Onaylı limit negatif olamaz.",IF(J32&lt;0,"DÜZELT: Kullanılan kredi negatif olamaz.",IF(H32&lt;=0,"DÜZELT: Kur sıfır veya negatif olamaz.",IF(J32+K32&gt;I32,"DÜZELT: "&amp;C32&amp;" - "&amp;D32&amp;" kaydında kullanılan risk + bloke ("&amp;TEXT(J32+K32,"#,##0")&amp;" TL), onaylı limiti ("&amp;TEXT(I32,"#,##0")&amp;" TL) aşıyor. Kullanılan Risk ve Bloke/Rehin tutarlarını kontrol edin.",IF(AND(M32="Aktif",L32&lt;TODAY()),"KONTROL ET: "&amp;C32&amp;" - "&amp;D32&amp;" limitinin vadesi "&amp;TEXT(L32,"dd.mm.yyyy")&amp;" tarihinde bitmiş görünüyor. Bankadan güncel vade/durum bilgisini kontrol edip sarı hücreleri güncelleyin.","TAMAM"))))))</f>
      </c>
    </row>
    <row r="33" spans="2:16" ht="18" customHeight="1">
      <c r="B33" s="36"/>
      <c r="C33" s="36"/>
      <c r="D33" s="36"/>
      <c r="E33" s="36"/>
      <c r="F33" s="36"/>
      <c r="G33" s="36"/>
      <c r="H33" s="37"/>
      <c r="I33" s="37"/>
      <c r="J33" s="37"/>
      <c r="K33" s="36"/>
      <c r="L33" s="36"/>
      <c r="M33" s="36"/>
      <c r="N33" s="41">
        <f>IF(OR(M33&lt;&gt;"Aktif",I33&lt;=0),0,MAX(0,I33-J33-K33))</f>
      </c>
      <c r="O33" s="42">
        <f>IFERROR(J33/I33,0)</f>
      </c>
      <c r="P33" s="29">
        <f>IF(B33="","",IF(I33&lt;0,"DÜZELT: Onaylı limit negatif olamaz.",IF(J33&lt;0,"DÜZELT: Kullanılan kredi negatif olamaz.",IF(H33&lt;=0,"DÜZELT: Kur sıfır veya negatif olamaz.",IF(J33+K33&gt;I33,"DÜZELT: "&amp;C33&amp;" - "&amp;D33&amp;" kaydında kullanılan risk + bloke ("&amp;TEXT(J33+K33,"#,##0")&amp;" TL), onaylı limiti ("&amp;TEXT(I33,"#,##0")&amp;" TL) aşıyor. Kullanılan Risk ve Bloke/Rehin tutarlarını kontrol edin.",IF(AND(M33="Aktif",L33&lt;TODAY()),"KONTROL ET: "&amp;C33&amp;" - "&amp;D33&amp;" limitinin vadesi "&amp;TEXT(L33,"dd.mm.yyyy")&amp;" tarihinde bitmiş görünüyor. Bankadan güncel vade/durum bilgisini kontrol edip sarı hücreleri güncelleyin.","TAMAM"))))))</f>
      </c>
    </row>
    <row r="34" spans="2:16" ht="18" customHeight="1">
      <c r="B34" s="36"/>
      <c r="C34" s="36"/>
      <c r="D34" s="36"/>
      <c r="E34" s="36"/>
      <c r="F34" s="36"/>
      <c r="G34" s="36"/>
      <c r="H34" s="37"/>
      <c r="I34" s="37"/>
      <c r="J34" s="37"/>
      <c r="K34" s="36"/>
      <c r="L34" s="36"/>
      <c r="M34" s="36"/>
      <c r="N34" s="41">
        <f>IF(OR(M34&lt;&gt;"Aktif",I34&lt;=0),0,MAX(0,I34-J34-K34))</f>
      </c>
      <c r="O34" s="42">
        <f>IFERROR(J34/I34,0)</f>
      </c>
      <c r="P34" s="29">
        <f>IF(B34="","",IF(I34&lt;0,"DÜZELT: Onaylı limit negatif olamaz.",IF(J34&lt;0,"DÜZELT: Kullanılan kredi negatif olamaz.",IF(H34&lt;=0,"DÜZELT: Kur sıfır veya negatif olamaz.",IF(J34+K34&gt;I34,"DÜZELT: "&amp;C34&amp;" - "&amp;D34&amp;" kaydında kullanılan risk + bloke ("&amp;TEXT(J34+K34,"#,##0")&amp;" TL), onaylı limiti ("&amp;TEXT(I34,"#,##0")&amp;" TL) aşıyor. Kullanılan Risk ve Bloke/Rehin tutarlarını kontrol edin.",IF(AND(M34="Aktif",L34&lt;TODAY()),"KONTROL ET: "&amp;C34&amp;" - "&amp;D34&amp;" limitinin vadesi "&amp;TEXT(L34,"dd.mm.yyyy")&amp;" tarihinde bitmiş görünüyor. Bankadan güncel vade/durum bilgisini kontrol edip sarı hücreleri güncelleyin.","TAMAM"))))))</f>
      </c>
    </row>
    <row r="35" spans="2:16" ht="18" customHeight="1">
      <c r="B35" s="36"/>
      <c r="C35" s="36"/>
      <c r="D35" s="36"/>
      <c r="E35" s="36"/>
      <c r="F35" s="36"/>
      <c r="G35" s="36"/>
      <c r="H35" s="37"/>
      <c r="I35" s="37"/>
      <c r="J35" s="37"/>
      <c r="K35" s="36"/>
      <c r="L35" s="36"/>
      <c r="M35" s="36"/>
      <c r="N35" s="41">
        <f>IF(OR(M35&lt;&gt;"Aktif",I35&lt;=0),0,MAX(0,I35-J35-K35))</f>
      </c>
      <c r="O35" s="42">
        <f>IFERROR(J35/I35,0)</f>
      </c>
      <c r="P35" s="29">
        <f>IF(B35="","",IF(I35&lt;0,"DÜZELT: Onaylı limit negatif olamaz.",IF(J35&lt;0,"DÜZELT: Kullanılan kredi negatif olamaz.",IF(H35&lt;=0,"DÜZELT: Kur sıfır veya negatif olamaz.",IF(J35+K35&gt;I35,"DÜZELT: "&amp;C35&amp;" - "&amp;D35&amp;" kaydında kullanılan risk + bloke ("&amp;TEXT(J35+K35,"#,##0")&amp;" TL), onaylı limiti ("&amp;TEXT(I35,"#,##0")&amp;" TL) aşıyor. Kullanılan Risk ve Bloke/Rehin tutarlarını kontrol edin.",IF(AND(M35="Aktif",L35&lt;TODAY()),"KONTROL ET: "&amp;C35&amp;" - "&amp;D35&amp;" limitinin vadesi "&amp;TEXT(L35,"dd.mm.yyyy")&amp;" tarihinde bitmiş görünüyor. Bankadan güncel vade/durum bilgisini kontrol edip sarı hücreleri güncelleyin.","TAMAM"))))))</f>
      </c>
    </row>
    <row r="36" spans="2:16" ht="18" customHeight="1">
      <c r="B36" s="36"/>
      <c r="C36" s="36"/>
      <c r="D36" s="36"/>
      <c r="E36" s="36"/>
      <c r="F36" s="36"/>
      <c r="G36" s="36"/>
      <c r="H36" s="37"/>
      <c r="I36" s="37"/>
      <c r="J36" s="37"/>
      <c r="K36" s="36"/>
      <c r="L36" s="36"/>
      <c r="M36" s="36"/>
      <c r="N36" s="41">
        <f>IF(OR(M36&lt;&gt;"Aktif",I36&lt;=0),0,MAX(0,I36-J36-K36))</f>
      </c>
      <c r="O36" s="42">
        <f>IFERROR(J36/I36,0)</f>
      </c>
      <c r="P36" s="29">
        <f>IF(B36="","",IF(I36&lt;0,"DÜZELT: Onaylı limit negatif olamaz.",IF(J36&lt;0,"DÜZELT: Kullanılan kredi negatif olamaz.",IF(H36&lt;=0,"DÜZELT: Kur sıfır veya negatif olamaz.",IF(J36+K36&gt;I36,"DÜZELT: "&amp;C36&amp;" - "&amp;D36&amp;" kaydında kullanılan risk + bloke ("&amp;TEXT(J36+K36,"#,##0")&amp;" TL), onaylı limiti ("&amp;TEXT(I36,"#,##0")&amp;" TL) aşıyor. Kullanılan Risk ve Bloke/Rehin tutarlarını kontrol edin.",IF(AND(M36="Aktif",L36&lt;TODAY()),"KONTROL ET: "&amp;C36&amp;" - "&amp;D36&amp;" limitinin vadesi "&amp;TEXT(L36,"dd.mm.yyyy")&amp;" tarihinde bitmiş görünüyor. Bankadan güncel vade/durum bilgisini kontrol edip sarı hücreleri güncelleyin.","TAMAM"))))))</f>
      </c>
    </row>
    <row r="37" spans="2:16" ht="18" customHeight="1">
      <c r="B37" s="36"/>
      <c r="C37" s="36"/>
      <c r="D37" s="36"/>
      <c r="E37" s="36"/>
      <c r="F37" s="36"/>
      <c r="G37" s="36"/>
      <c r="H37" s="37"/>
      <c r="I37" s="37"/>
      <c r="J37" s="37"/>
      <c r="K37" s="36"/>
      <c r="L37" s="36"/>
      <c r="M37" s="36"/>
      <c r="N37" s="41">
        <f>IF(OR(M37&lt;&gt;"Aktif",I37&lt;=0),0,MAX(0,I37-J37-K37))</f>
      </c>
      <c r="O37" s="42">
        <f>IFERROR(J37/I37,0)</f>
      </c>
      <c r="P37" s="29">
        <f>IF(B37="","",IF(I37&lt;0,"DÜZELT: Onaylı limit negatif olamaz.",IF(J37&lt;0,"DÜZELT: Kullanılan kredi negatif olamaz.",IF(H37&lt;=0,"DÜZELT: Kur sıfır veya negatif olamaz.",IF(J37+K37&gt;I37,"DÜZELT: "&amp;C37&amp;" - "&amp;D37&amp;" kaydında kullanılan risk + bloke ("&amp;TEXT(J37+K37,"#,##0")&amp;" TL), onaylı limiti ("&amp;TEXT(I37,"#,##0")&amp;" TL) aşıyor. Kullanılan Risk ve Bloke/Rehin tutarlarını kontrol edin.",IF(AND(M37="Aktif",L37&lt;TODAY()),"KONTROL ET: "&amp;C37&amp;" - "&amp;D37&amp;" limitinin vadesi "&amp;TEXT(L37,"dd.mm.yyyy")&amp;" tarihinde bitmiş görünüyor. Bankadan güncel vade/durum bilgisini kontrol edip sarı hücreleri güncelleyin.","TAMAM"))))))</f>
      </c>
    </row>
    <row r="38" spans="2:16" ht="18" customHeight="1">
      <c r="B38" s="36"/>
      <c r="C38" s="36"/>
      <c r="D38" s="36"/>
      <c r="E38" s="36"/>
      <c r="F38" s="36"/>
      <c r="G38" s="36"/>
      <c r="H38" s="37"/>
      <c r="I38" s="37"/>
      <c r="J38" s="37"/>
      <c r="K38" s="36"/>
      <c r="L38" s="36"/>
      <c r="M38" s="36"/>
      <c r="N38" s="41">
        <f>IF(OR(M38&lt;&gt;"Aktif",I38&lt;=0),0,MAX(0,I38-J38-K38))</f>
      </c>
      <c r="O38" s="42">
        <f>IFERROR(J38/I38,0)</f>
      </c>
      <c r="P38" s="29">
        <f>IF(B38="","",IF(I38&lt;0,"DÜZELT: Onaylı limit negatif olamaz.",IF(J38&lt;0,"DÜZELT: Kullanılan kredi negatif olamaz.",IF(H38&lt;=0,"DÜZELT: Kur sıfır veya negatif olamaz.",IF(J38+K38&gt;I38,"DÜZELT: "&amp;C38&amp;" - "&amp;D38&amp;" kaydında kullanılan risk + bloke ("&amp;TEXT(J38+K38,"#,##0")&amp;" TL), onaylı limiti ("&amp;TEXT(I38,"#,##0")&amp;" TL) aşıyor. Kullanılan Risk ve Bloke/Rehin tutarlarını kontrol edin.",IF(AND(M38="Aktif",L38&lt;TODAY()),"KONTROL ET: "&amp;C38&amp;" - "&amp;D38&amp;" limitinin vadesi "&amp;TEXT(L38,"dd.mm.yyyy")&amp;" tarihinde bitmiş görünüyor. Bankadan güncel vade/durum bilgisini kontrol edip sarı hücreleri güncelleyin.","TAMAM"))))))</f>
      </c>
    </row>
    <row r="39" spans="2:16" ht="18" customHeight="1">
      <c r="B39" s="36"/>
      <c r="C39" s="36"/>
      <c r="D39" s="36"/>
      <c r="E39" s="36"/>
      <c r="F39" s="36"/>
      <c r="G39" s="36"/>
      <c r="H39" s="37"/>
      <c r="I39" s="37"/>
      <c r="J39" s="37"/>
      <c r="K39" s="36"/>
      <c r="L39" s="36"/>
      <c r="M39" s="36"/>
      <c r="N39" s="41">
        <f>IF(OR(M39&lt;&gt;"Aktif",I39&lt;=0),0,MAX(0,I39-J39-K39))</f>
      </c>
      <c r="O39" s="42">
        <f>IFERROR(J39/I39,0)</f>
      </c>
      <c r="P39" s="29">
        <f>IF(B39="","",IF(I39&lt;0,"DÜZELT: Onaylı limit negatif olamaz.",IF(J39&lt;0,"DÜZELT: Kullanılan kredi negatif olamaz.",IF(H39&lt;=0,"DÜZELT: Kur sıfır veya negatif olamaz.",IF(J39+K39&gt;I39,"DÜZELT: "&amp;C39&amp;" - "&amp;D39&amp;" kaydında kullanılan risk + bloke ("&amp;TEXT(J39+K39,"#,##0")&amp;" TL), onaylı limiti ("&amp;TEXT(I39,"#,##0")&amp;" TL) aşıyor. Kullanılan Risk ve Bloke/Rehin tutarlarını kontrol edin.",IF(AND(M39="Aktif",L39&lt;TODAY()),"KONTROL ET: "&amp;C39&amp;" - "&amp;D39&amp;" limitinin vadesi "&amp;TEXT(L39,"dd.mm.yyyy")&amp;" tarihinde bitmiş görünüyor. Bankadan güncel vade/durum bilgisini kontrol edip sarı hücreleri güncelleyin.","TAMAM"))))))</f>
      </c>
    </row>
    <row r="40" spans="2:16" ht="18" customHeight="1">
      <c r="B40" s="36"/>
      <c r="C40" s="36"/>
      <c r="D40" s="36"/>
      <c r="E40" s="36"/>
      <c r="F40" s="36"/>
      <c r="G40" s="36"/>
      <c r="H40" s="37"/>
      <c r="I40" s="37"/>
      <c r="J40" s="37"/>
      <c r="K40" s="36"/>
      <c r="L40" s="36"/>
      <c r="M40" s="36"/>
      <c r="N40" s="41">
        <f>IF(OR(M40&lt;&gt;"Aktif",I40&lt;=0),0,MAX(0,I40-J40-K40))</f>
      </c>
      <c r="O40" s="42">
        <f>IFERROR(J40/I40,0)</f>
      </c>
      <c r="P40" s="29">
        <f>IF(B40="","",IF(I40&lt;0,"DÜZELT: Onaylı limit negatif olamaz.",IF(J40&lt;0,"DÜZELT: Kullanılan kredi negatif olamaz.",IF(H40&lt;=0,"DÜZELT: Kur sıfır veya negatif olamaz.",IF(J40+K40&gt;I40,"DÜZELT: "&amp;C40&amp;" - "&amp;D40&amp;" kaydında kullanılan risk + bloke ("&amp;TEXT(J40+K40,"#,##0")&amp;" TL), onaylı limiti ("&amp;TEXT(I40,"#,##0")&amp;" TL) aşıyor. Kullanılan Risk ve Bloke/Rehin tutarlarını kontrol edin.",IF(AND(M40="Aktif",L40&lt;TODAY()),"KONTROL ET: "&amp;C40&amp;" - "&amp;D40&amp;" limitinin vadesi "&amp;TEXT(L40,"dd.mm.yyyy")&amp;" tarihinde bitmiş görünüyor. Bankadan güncel vade/durum bilgisini kontrol edip sarı hücreleri güncelleyin.","TAMAM"))))))</f>
      </c>
    </row>
    <row r="41" spans="2:16" ht="18" customHeight="1">
      <c r="B41" s="36"/>
      <c r="C41" s="36"/>
      <c r="D41" s="36"/>
      <c r="E41" s="36"/>
      <c r="F41" s="36"/>
      <c r="G41" s="36"/>
      <c r="H41" s="37"/>
      <c r="I41" s="37"/>
      <c r="J41" s="37"/>
      <c r="K41" s="36"/>
      <c r="L41" s="36"/>
      <c r="M41" s="36"/>
      <c r="N41" s="41">
        <f>IF(OR(M41&lt;&gt;"Aktif",I41&lt;=0),0,MAX(0,I41-J41-K41))</f>
      </c>
      <c r="O41" s="42">
        <f>IFERROR(J41/I41,0)</f>
      </c>
      <c r="P41" s="29">
        <f>IF(B41="","",IF(I41&lt;0,"DÜZELT: Onaylı limit negatif olamaz.",IF(J41&lt;0,"DÜZELT: Kullanılan kredi negatif olamaz.",IF(H41&lt;=0,"DÜZELT: Kur sıfır veya negatif olamaz.",IF(J41+K41&gt;I41,"DÜZELT: "&amp;C41&amp;" - "&amp;D41&amp;" kaydında kullanılan risk + bloke ("&amp;TEXT(J41+K41,"#,##0")&amp;" TL), onaylı limiti ("&amp;TEXT(I41,"#,##0")&amp;" TL) aşıyor. Kullanılan Risk ve Bloke/Rehin tutarlarını kontrol edin.",IF(AND(M41="Aktif",L41&lt;TODAY()),"KONTROL ET: "&amp;C41&amp;" - "&amp;D41&amp;" limitinin vadesi "&amp;TEXT(L41,"dd.mm.yyyy")&amp;" tarihinde bitmiş görünüyor. Bankadan güncel vade/durum bilgisini kontrol edip sarı hücreleri güncelleyin.","TAMAM"))))))</f>
      </c>
    </row>
    <row r="42" spans="2:16" ht="18" customHeight="1">
      <c r="B42" s="36"/>
      <c r="C42" s="36"/>
      <c r="D42" s="36"/>
      <c r="E42" s="36"/>
      <c r="F42" s="36"/>
      <c r="G42" s="36"/>
      <c r="H42" s="37"/>
      <c r="I42" s="37"/>
      <c r="J42" s="37"/>
      <c r="K42" s="36"/>
      <c r="L42" s="36"/>
      <c r="M42" s="36"/>
      <c r="N42" s="41">
        <f>IF(OR(M42&lt;&gt;"Aktif",I42&lt;=0),0,MAX(0,I42-J42-K42))</f>
      </c>
      <c r="O42" s="42">
        <f>IFERROR(J42/I42,0)</f>
      </c>
      <c r="P42" s="29">
        <f>IF(B42="","",IF(I42&lt;0,"DÜZELT: Onaylı limit negatif olamaz.",IF(J42&lt;0,"DÜZELT: Kullanılan kredi negatif olamaz.",IF(H42&lt;=0,"DÜZELT: Kur sıfır veya negatif olamaz.",IF(J42+K42&gt;I42,"DÜZELT: "&amp;C42&amp;" - "&amp;D42&amp;" kaydında kullanılan risk + bloke ("&amp;TEXT(J42+K42,"#,##0")&amp;" TL), onaylı limiti ("&amp;TEXT(I42,"#,##0")&amp;" TL) aşıyor. Kullanılan Risk ve Bloke/Rehin tutarlarını kontrol edin.",IF(AND(M42="Aktif",L42&lt;TODAY()),"KONTROL ET: "&amp;C42&amp;" - "&amp;D42&amp;" limitinin vadesi "&amp;TEXT(L42,"dd.mm.yyyy")&amp;" tarihinde bitmiş görünüyor. Bankadan güncel vade/durum bilgisini kontrol edip sarı hücreleri güncelleyin.","TAMAM"))))))</f>
      </c>
    </row>
    <row r="43" spans="2:16" ht="18" customHeight="1">
      <c r="B43" s="36"/>
      <c r="C43" s="36"/>
      <c r="D43" s="36"/>
      <c r="E43" s="36"/>
      <c r="F43" s="36"/>
      <c r="G43" s="36"/>
      <c r="H43" s="37"/>
      <c r="I43" s="37"/>
      <c r="J43" s="37"/>
      <c r="K43" s="36"/>
      <c r="L43" s="36"/>
      <c r="M43" s="36"/>
      <c r="N43" s="41">
        <f>IF(OR(M43&lt;&gt;"Aktif",I43&lt;=0),0,MAX(0,I43-J43-K43))</f>
      </c>
      <c r="O43" s="42">
        <f>IFERROR(J43/I43,0)</f>
      </c>
      <c r="P43" s="29">
        <f>IF(B43="","",IF(I43&lt;0,"DÜZELT: Onaylı limit negatif olamaz.",IF(J43&lt;0,"DÜZELT: Kullanılan kredi negatif olamaz.",IF(H43&lt;=0,"DÜZELT: Kur sıfır veya negatif olamaz.",IF(J43+K43&gt;I43,"DÜZELT: "&amp;C43&amp;" - "&amp;D43&amp;" kaydında kullanılan risk + bloke ("&amp;TEXT(J43+K43,"#,##0")&amp;" TL), onaylı limiti ("&amp;TEXT(I43,"#,##0")&amp;" TL) aşıyor. Kullanılan Risk ve Bloke/Rehin tutarlarını kontrol edin.",IF(AND(M43="Aktif",L43&lt;TODAY()),"KONTROL ET: "&amp;C43&amp;" - "&amp;D43&amp;" limitinin vadesi "&amp;TEXT(L43,"dd.mm.yyyy")&amp;" tarihinde bitmiş görünüyor. Bankadan güncel vade/durum bilgisini kontrol edip sarı hücreleri güncelleyin.","TAMAM"))))))</f>
      </c>
    </row>
    <row r="44" spans="2:16" ht="18" customHeight="1">
      <c r="B44" s="36"/>
      <c r="C44" s="36"/>
      <c r="D44" s="36"/>
      <c r="E44" s="36"/>
      <c r="F44" s="36"/>
      <c r="G44" s="36"/>
      <c r="H44" s="37"/>
      <c r="I44" s="37"/>
      <c r="J44" s="37"/>
      <c r="K44" s="36"/>
      <c r="L44" s="36"/>
      <c r="M44" s="36"/>
      <c r="N44" s="41">
        <f>IF(OR(M44&lt;&gt;"Aktif",I44&lt;=0),0,MAX(0,I44-J44-K44))</f>
      </c>
      <c r="O44" s="42">
        <f>IFERROR(J44/I44,0)</f>
      </c>
      <c r="P44" s="29">
        <f>IF(B44="","",IF(I44&lt;0,"DÜZELT: Onaylı limit negatif olamaz.",IF(J44&lt;0,"DÜZELT: Kullanılan kredi negatif olamaz.",IF(H44&lt;=0,"DÜZELT: Kur sıfır veya negatif olamaz.",IF(J44+K44&gt;I44,"DÜZELT: "&amp;C44&amp;" - "&amp;D44&amp;" kaydında kullanılan risk + bloke ("&amp;TEXT(J44+K44,"#,##0")&amp;" TL), onaylı limiti ("&amp;TEXT(I44,"#,##0")&amp;" TL) aşıyor. Kullanılan Risk ve Bloke/Rehin tutarlarını kontrol edin.",IF(AND(M44="Aktif",L44&lt;TODAY()),"KONTROL ET: "&amp;C44&amp;" - "&amp;D44&amp;" limitinin vadesi "&amp;TEXT(L44,"dd.mm.yyyy")&amp;" tarihinde bitmiş görünüyor. Bankadan güncel vade/durum bilgisini kontrol edip sarı hücreleri güncelleyin.","TAMAM"))))))</f>
      </c>
    </row>
    <row r="45" spans="2:16" ht="18" customHeight="1">
      <c r="B45" s="36"/>
      <c r="C45" s="36"/>
      <c r="D45" s="36"/>
      <c r="E45" s="36"/>
      <c r="F45" s="36"/>
      <c r="G45" s="36"/>
      <c r="H45" s="37"/>
      <c r="I45" s="37"/>
      <c r="J45" s="37"/>
      <c r="K45" s="36"/>
      <c r="L45" s="36"/>
      <c r="M45" s="36"/>
      <c r="N45" s="41">
        <f>IF(OR(M45&lt;&gt;"Aktif",I45&lt;=0),0,MAX(0,I45-J45-K45))</f>
      </c>
      <c r="O45" s="42">
        <f>IFERROR(J45/I45,0)</f>
      </c>
      <c r="P45" s="29">
        <f>IF(B45="","",IF(I45&lt;0,"DÜZELT: Onaylı limit negatif olamaz.",IF(J45&lt;0,"DÜZELT: Kullanılan kredi negatif olamaz.",IF(H45&lt;=0,"DÜZELT: Kur sıfır veya negatif olamaz.",IF(J45+K45&gt;I45,"DÜZELT: "&amp;C45&amp;" - "&amp;D45&amp;" kaydında kullanılan risk + bloke ("&amp;TEXT(J45+K45,"#,##0")&amp;" TL), onaylı limiti ("&amp;TEXT(I45,"#,##0")&amp;" TL) aşıyor. Kullanılan Risk ve Bloke/Rehin tutarlarını kontrol edin.",IF(AND(M45="Aktif",L45&lt;TODAY()),"KONTROL ET: "&amp;C45&amp;" - "&amp;D45&amp;" limitinin vadesi "&amp;TEXT(L45,"dd.mm.yyyy")&amp;" tarihinde bitmiş görünüyor. Bankadan güncel vade/durum bilgisini kontrol edip sarı hücreleri güncelleyin.","TAMAM"))))))</f>
      </c>
    </row>
    <row r="46" spans="2:16" ht="18" customHeight="1">
      <c r="B46" s="36"/>
      <c r="C46" s="36"/>
      <c r="D46" s="36"/>
      <c r="E46" s="36"/>
      <c r="F46" s="36"/>
      <c r="G46" s="36"/>
      <c r="H46" s="37"/>
      <c r="I46" s="37"/>
      <c r="J46" s="37"/>
      <c r="K46" s="36"/>
      <c r="L46" s="36"/>
      <c r="M46" s="36"/>
      <c r="N46" s="41">
        <f>IF(OR(M46&lt;&gt;"Aktif",I46&lt;=0),0,MAX(0,I46-J46-K46))</f>
      </c>
      <c r="O46" s="42">
        <f>IFERROR(J46/I46,0)</f>
      </c>
      <c r="P46" s="29">
        <f>IF(B46="","",IF(I46&lt;0,"DÜZELT: Onaylı limit negatif olamaz.",IF(J46&lt;0,"DÜZELT: Kullanılan kredi negatif olamaz.",IF(H46&lt;=0,"DÜZELT: Kur sıfır veya negatif olamaz.",IF(J46+K46&gt;I46,"DÜZELT: "&amp;C46&amp;" - "&amp;D46&amp;" kaydında kullanılan risk + bloke ("&amp;TEXT(J46+K46,"#,##0")&amp;" TL), onaylı limiti ("&amp;TEXT(I46,"#,##0")&amp;" TL) aşıyor. Kullanılan Risk ve Bloke/Rehin tutarlarını kontrol edin.",IF(AND(M46="Aktif",L46&lt;TODAY()),"KONTROL ET: "&amp;C46&amp;" - "&amp;D46&amp;" limitinin vadesi "&amp;TEXT(L46,"dd.mm.yyyy")&amp;" tarihinde bitmiş görünüyor. Bankadan güncel vade/durum bilgisini kontrol edip sarı hücreleri güncelleyin.","TAMAM"))))))</f>
      </c>
    </row>
    <row r="47" spans="2:16" ht="18" customHeight="1">
      <c r="B47" s="36"/>
      <c r="C47" s="36"/>
      <c r="D47" s="36"/>
      <c r="E47" s="36"/>
      <c r="F47" s="36"/>
      <c r="G47" s="36"/>
      <c r="H47" s="37"/>
      <c r="I47" s="37"/>
      <c r="J47" s="37"/>
      <c r="K47" s="36"/>
      <c r="L47" s="36"/>
      <c r="M47" s="36"/>
      <c r="N47" s="41">
        <f>IF(OR(M47&lt;&gt;"Aktif",I47&lt;=0),0,MAX(0,I47-J47-K47))</f>
      </c>
      <c r="O47" s="42">
        <f>IFERROR(J47/I47,0)</f>
      </c>
      <c r="P47" s="29">
        <f>IF(B47="","",IF(I47&lt;0,"DÜZELT: Onaylı limit negatif olamaz.",IF(J47&lt;0,"DÜZELT: Kullanılan kredi negatif olamaz.",IF(H47&lt;=0,"DÜZELT: Kur sıfır veya negatif olamaz.",IF(J47+K47&gt;I47,"DÜZELT: "&amp;C47&amp;" - "&amp;D47&amp;" kaydında kullanılan risk + bloke ("&amp;TEXT(J47+K47,"#,##0")&amp;" TL), onaylı limiti ("&amp;TEXT(I47,"#,##0")&amp;" TL) aşıyor. Kullanılan Risk ve Bloke/Rehin tutarlarını kontrol edin.",IF(AND(M47="Aktif",L47&lt;TODAY()),"KONTROL ET: "&amp;C47&amp;" - "&amp;D47&amp;" limitinin vadesi "&amp;TEXT(L47,"dd.mm.yyyy")&amp;" tarihinde bitmiş görünüyor. Bankadan güncel vade/durum bilgisini kontrol edip sarı hücreleri güncelleyin.","TAMAM"))))))</f>
      </c>
    </row>
    <row r="48" spans="2:16" ht="18" customHeight="1">
      <c r="B48" s="36"/>
      <c r="C48" s="36"/>
      <c r="D48" s="36"/>
      <c r="E48" s="36"/>
      <c r="F48" s="36"/>
      <c r="G48" s="36"/>
      <c r="H48" s="37"/>
      <c r="I48" s="37"/>
      <c r="J48" s="37"/>
      <c r="K48" s="36"/>
      <c r="L48" s="36"/>
      <c r="M48" s="36"/>
      <c r="N48" s="41">
        <f>IF(OR(M48&lt;&gt;"Aktif",I48&lt;=0),0,MAX(0,I48-J48-K48))</f>
      </c>
      <c r="O48" s="42">
        <f>IFERROR(J48/I48,0)</f>
      </c>
      <c r="P48" s="29">
        <f>IF(B48="","",IF(I48&lt;0,"DÜZELT: Onaylı limit negatif olamaz.",IF(J48&lt;0,"DÜZELT: Kullanılan kredi negatif olamaz.",IF(H48&lt;=0,"DÜZELT: Kur sıfır veya negatif olamaz.",IF(J48+K48&gt;I48,"DÜZELT: "&amp;C48&amp;" - "&amp;D48&amp;" kaydında kullanılan risk + bloke ("&amp;TEXT(J48+K48,"#,##0")&amp;" TL), onaylı limiti ("&amp;TEXT(I48,"#,##0")&amp;" TL) aşıyor. Kullanılan Risk ve Bloke/Rehin tutarlarını kontrol edin.",IF(AND(M48="Aktif",L48&lt;TODAY()),"KONTROL ET: "&amp;C48&amp;" - "&amp;D48&amp;" limitinin vadesi "&amp;TEXT(L48,"dd.mm.yyyy")&amp;" tarihinde bitmiş görünüyor. Bankadan güncel vade/durum bilgisini kontrol edip sarı hücreleri güncelleyin.","TAMAM"))))))</f>
      </c>
    </row>
    <row r="49" spans="2:16" ht="18" customHeight="1">
      <c r="B49" s="36"/>
      <c r="C49" s="36"/>
      <c r="D49" s="36"/>
      <c r="E49" s="36"/>
      <c r="F49" s="36"/>
      <c r="G49" s="36"/>
      <c r="H49" s="37"/>
      <c r="I49" s="37"/>
      <c r="J49" s="37"/>
      <c r="K49" s="36"/>
      <c r="L49" s="36"/>
      <c r="M49" s="36"/>
      <c r="N49" s="41">
        <f>IF(OR(M49&lt;&gt;"Aktif",I49&lt;=0),0,MAX(0,I49-J49-K49))</f>
      </c>
      <c r="O49" s="42">
        <f>IFERROR(J49/I49,0)</f>
      </c>
      <c r="P49" s="29">
        <f>IF(B49="","",IF(I49&lt;0,"DÜZELT: Onaylı limit negatif olamaz.",IF(J49&lt;0,"DÜZELT: Kullanılan kredi negatif olamaz.",IF(H49&lt;=0,"DÜZELT: Kur sıfır veya negatif olamaz.",IF(J49+K49&gt;I49,"DÜZELT: "&amp;C49&amp;" - "&amp;D49&amp;" kaydında kullanılan risk + bloke ("&amp;TEXT(J49+K49,"#,##0")&amp;" TL), onaylı limiti ("&amp;TEXT(I49,"#,##0")&amp;" TL) aşıyor. Kullanılan Risk ve Bloke/Rehin tutarlarını kontrol edin.",IF(AND(M49="Aktif",L49&lt;TODAY()),"KONTROL ET: "&amp;C49&amp;" - "&amp;D49&amp;" limitinin vadesi "&amp;TEXT(L49,"dd.mm.yyyy")&amp;" tarihinde bitmiş görünüyor. Bankadan güncel vade/durum bilgisini kontrol edip sarı hücreleri güncelleyin.","TAMAM"))))))</f>
      </c>
    </row>
    <row r="50" spans="2:16" ht="18" customHeight="1">
      <c r="B50" s="36"/>
      <c r="C50" s="36"/>
      <c r="D50" s="36"/>
      <c r="E50" s="36"/>
      <c r="F50" s="36"/>
      <c r="G50" s="36"/>
      <c r="H50" s="37"/>
      <c r="I50" s="37"/>
      <c r="J50" s="37"/>
      <c r="K50" s="36"/>
      <c r="L50" s="36"/>
      <c r="M50" s="36"/>
      <c r="N50" s="41">
        <f>IF(OR(M50&lt;&gt;"Aktif",I50&lt;=0),0,MAX(0,I50-J50-K50))</f>
      </c>
      <c r="O50" s="42">
        <f>IFERROR(J50/I50,0)</f>
      </c>
      <c r="P50" s="29">
        <f>IF(B50="","",IF(I50&lt;0,"DÜZELT: Onaylı limit negatif olamaz.",IF(J50&lt;0,"DÜZELT: Kullanılan kredi negatif olamaz.",IF(H50&lt;=0,"DÜZELT: Kur sıfır veya negatif olamaz.",IF(J50+K50&gt;I50,"DÜZELT: "&amp;C50&amp;" - "&amp;D50&amp;" kaydında kullanılan risk + bloke ("&amp;TEXT(J50+K50,"#,##0")&amp;" TL), onaylı limiti ("&amp;TEXT(I50,"#,##0")&amp;" TL) aşıyor. Kullanılan Risk ve Bloke/Rehin tutarlarını kontrol edin.",IF(AND(M50="Aktif",L50&lt;TODAY()),"KONTROL ET: "&amp;C50&amp;" - "&amp;D50&amp;" limitinin vadesi "&amp;TEXT(L50,"dd.mm.yyyy")&amp;" tarihinde bitmiş görünüyor. Bankadan güncel vade/durum bilgisini kontrol edip sarı hücreleri güncelleyin.","TAMAM"))))))</f>
      </c>
    </row>
    <row r="51" spans="2:16" ht="18" customHeight="1">
      <c r="B51" s="36"/>
      <c r="C51" s="36"/>
      <c r="D51" s="36"/>
      <c r="E51" s="36"/>
      <c r="F51" s="36"/>
      <c r="G51" s="36"/>
      <c r="H51" s="37"/>
      <c r="I51" s="37"/>
      <c r="J51" s="37"/>
      <c r="K51" s="36"/>
      <c r="L51" s="36"/>
      <c r="M51" s="36"/>
      <c r="N51" s="41">
        <f>IF(OR(M51&lt;&gt;"Aktif",I51&lt;=0),0,MAX(0,I51-J51-K51))</f>
      </c>
      <c r="O51" s="42">
        <f>IFERROR(J51/I51,0)</f>
      </c>
      <c r="P51" s="29">
        <f>IF(B51="","",IF(I51&lt;0,"DÜZELT: Onaylı limit negatif olamaz.",IF(J51&lt;0,"DÜZELT: Kullanılan kredi negatif olamaz.",IF(H51&lt;=0,"DÜZELT: Kur sıfır veya negatif olamaz.",IF(J51+K51&gt;I51,"DÜZELT: "&amp;C51&amp;" - "&amp;D51&amp;" kaydında kullanılan risk + bloke ("&amp;TEXT(J51+K51,"#,##0")&amp;" TL), onaylı limiti ("&amp;TEXT(I51,"#,##0")&amp;" TL) aşıyor. Kullanılan Risk ve Bloke/Rehin tutarlarını kontrol edin.",IF(AND(M51="Aktif",L51&lt;TODAY()),"KONTROL ET: "&amp;C51&amp;" - "&amp;D51&amp;" limitinin vadesi "&amp;TEXT(L51,"dd.mm.yyyy")&amp;" tarihinde bitmiş görünüyor. Bankadan güncel vade/durum bilgisini kontrol edip sarı hücreleri güncelleyin.","TAMAM"))))))</f>
      </c>
    </row>
    <row r="52" spans="2:16" ht="18" customHeight="1">
      <c r="B52" s="36"/>
      <c r="C52" s="36"/>
      <c r="D52" s="36"/>
      <c r="E52" s="36"/>
      <c r="F52" s="36"/>
      <c r="G52" s="36"/>
      <c r="H52" s="37"/>
      <c r="I52" s="37"/>
      <c r="J52" s="37"/>
      <c r="K52" s="36"/>
      <c r="L52" s="36"/>
      <c r="M52" s="36"/>
      <c r="N52" s="41">
        <f>IF(OR(M52&lt;&gt;"Aktif",I52&lt;=0),0,MAX(0,I52-J52-K52))</f>
      </c>
      <c r="O52" s="42">
        <f>IFERROR(J52/I52,0)</f>
      </c>
      <c r="P52" s="29">
        <f>IF(B52="","",IF(I52&lt;0,"DÜZELT: Onaylı limit negatif olamaz.",IF(J52&lt;0,"DÜZELT: Kullanılan kredi negatif olamaz.",IF(H52&lt;=0,"DÜZELT: Kur sıfır veya negatif olamaz.",IF(J52+K52&gt;I52,"DÜZELT: "&amp;C52&amp;" - "&amp;D52&amp;" kaydında kullanılan risk + bloke ("&amp;TEXT(J52+K52,"#,##0")&amp;" TL), onaylı limiti ("&amp;TEXT(I52,"#,##0")&amp;" TL) aşıyor. Kullanılan Risk ve Bloke/Rehin tutarlarını kontrol edin.",IF(AND(M52="Aktif",L52&lt;TODAY()),"KONTROL ET: "&amp;C52&amp;" - "&amp;D52&amp;" limitinin vadesi "&amp;TEXT(L52,"dd.mm.yyyy")&amp;" tarihinde bitmiş görünüyor. Bankadan güncel vade/durum bilgisini kontrol edip sarı hücreleri güncelleyin.","TAMAM"))))))</f>
      </c>
    </row>
    <row r="53" spans="2:16" ht="18" customHeight="1">
      <c r="B53" s="36"/>
      <c r="C53" s="36"/>
      <c r="D53" s="36"/>
      <c r="E53" s="36"/>
      <c r="F53" s="36"/>
      <c r="G53" s="36"/>
      <c r="H53" s="37"/>
      <c r="I53" s="37"/>
      <c r="J53" s="37"/>
      <c r="K53" s="36"/>
      <c r="L53" s="36"/>
      <c r="M53" s="36"/>
      <c r="N53" s="41">
        <f>IF(OR(M53&lt;&gt;"Aktif",I53&lt;=0),0,MAX(0,I53-J53-K53))</f>
      </c>
      <c r="O53" s="42">
        <f>IFERROR(J53/I53,0)</f>
      </c>
      <c r="P53" s="29">
        <f>IF(B53="","",IF(I53&lt;0,"DÜZELT: Onaylı limit negatif olamaz.",IF(J53&lt;0,"DÜZELT: Kullanılan kredi negatif olamaz.",IF(H53&lt;=0,"DÜZELT: Kur sıfır veya negatif olamaz.",IF(J53+K53&gt;I53,"DÜZELT: "&amp;C53&amp;" - "&amp;D53&amp;" kaydında kullanılan risk + bloke ("&amp;TEXT(J53+K53,"#,##0")&amp;" TL), onaylı limiti ("&amp;TEXT(I53,"#,##0")&amp;" TL) aşıyor. Kullanılan Risk ve Bloke/Rehin tutarlarını kontrol edin.",IF(AND(M53="Aktif",L53&lt;TODAY()),"KONTROL ET: "&amp;C53&amp;" - "&amp;D53&amp;" limitinin vadesi "&amp;TEXT(L53,"dd.mm.yyyy")&amp;" tarihinde bitmiş görünüyor. Bankadan güncel vade/durum bilgisini kontrol edip sarı hücreleri güncelleyin.","TAMAM"))))))</f>
      </c>
    </row>
    <row r="54" spans="2:16" ht="18" customHeight="1">
      <c r="B54" s="36"/>
      <c r="C54" s="36"/>
      <c r="D54" s="36"/>
      <c r="E54" s="36"/>
      <c r="F54" s="36"/>
      <c r="G54" s="36"/>
      <c r="H54" s="37"/>
      <c r="I54" s="37"/>
      <c r="J54" s="37"/>
      <c r="K54" s="36"/>
      <c r="L54" s="36"/>
      <c r="M54" s="36"/>
      <c r="N54" s="41">
        <f>IF(OR(M54&lt;&gt;"Aktif",I54&lt;=0),0,MAX(0,I54-J54-K54))</f>
      </c>
      <c r="O54" s="42">
        <f>IFERROR(J54/I54,0)</f>
      </c>
      <c r="P54" s="29">
        <f>IF(B54="","",IF(I54&lt;0,"DÜZELT: Onaylı limit negatif olamaz.",IF(J54&lt;0,"DÜZELT: Kullanılan kredi negatif olamaz.",IF(H54&lt;=0,"DÜZELT: Kur sıfır veya negatif olamaz.",IF(J54+K54&gt;I54,"DÜZELT: "&amp;C54&amp;" - "&amp;D54&amp;" kaydında kullanılan risk + bloke ("&amp;TEXT(J54+K54,"#,##0")&amp;" TL), onaylı limiti ("&amp;TEXT(I54,"#,##0")&amp;" TL) aşıyor. Kullanılan Risk ve Bloke/Rehin tutarlarını kontrol edin.",IF(AND(M54="Aktif",L54&lt;TODAY()),"KONTROL ET: "&amp;C54&amp;" - "&amp;D54&amp;" limitinin vadesi "&amp;TEXT(L54,"dd.mm.yyyy")&amp;" tarihinde bitmiş görünüyor. Bankadan güncel vade/durum bilgisini kontrol edip sarı hücreleri güncelleyin.","TAMAM"))))))</f>
      </c>
    </row>
    <row r="55" spans="2:16" ht="18" customHeight="1">
      <c r="B55" s="36"/>
      <c r="C55" s="36"/>
      <c r="D55" s="36"/>
      <c r="E55" s="36"/>
      <c r="F55" s="36"/>
      <c r="G55" s="36"/>
      <c r="H55" s="37"/>
      <c r="I55" s="37"/>
      <c r="J55" s="37"/>
      <c r="K55" s="36"/>
      <c r="L55" s="36"/>
      <c r="M55" s="36"/>
      <c r="N55" s="41">
        <f>IF(OR(M55&lt;&gt;"Aktif",I55&lt;=0),0,MAX(0,I55-J55-K55))</f>
      </c>
      <c r="O55" s="42">
        <f>IFERROR(J55/I55,0)</f>
      </c>
      <c r="P55" s="29">
        <f>IF(B55="","",IF(I55&lt;0,"DÜZELT: Onaylı limit negatif olamaz.",IF(J55&lt;0,"DÜZELT: Kullanılan kredi negatif olamaz.",IF(H55&lt;=0,"DÜZELT: Kur sıfır veya negatif olamaz.",IF(J55+K55&gt;I55,"DÜZELT: "&amp;C55&amp;" - "&amp;D55&amp;" kaydında kullanılan risk + bloke ("&amp;TEXT(J55+K55,"#,##0")&amp;" TL), onaylı limiti ("&amp;TEXT(I55,"#,##0")&amp;" TL) aşıyor. Kullanılan Risk ve Bloke/Rehin tutarlarını kontrol edin.",IF(AND(M55="Aktif",L55&lt;TODAY()),"KONTROL ET: "&amp;C55&amp;" - "&amp;D55&amp;" limitinin vadesi "&amp;TEXT(L55,"dd.mm.yyyy")&amp;" tarihinde bitmiş görünüyor. Bankadan güncel vade/durum bilgisini kontrol edip sarı hücreleri güncelleyin.","TAMAM"))))))</f>
      </c>
    </row>
    <row r="56" spans="2:16" ht="18" customHeight="1">
      <c r="B56" s="36"/>
      <c r="C56" s="36"/>
      <c r="D56" s="36"/>
      <c r="E56" s="36"/>
      <c r="F56" s="36"/>
      <c r="G56" s="36"/>
      <c r="H56" s="37"/>
      <c r="I56" s="37"/>
      <c r="J56" s="37"/>
      <c r="K56" s="36"/>
      <c r="L56" s="36"/>
      <c r="M56" s="36"/>
      <c r="N56" s="41">
        <f>IF(OR(M56&lt;&gt;"Aktif",I56&lt;=0),0,MAX(0,I56-J56-K56))</f>
      </c>
      <c r="O56" s="42">
        <f>IFERROR(J56/I56,0)</f>
      </c>
      <c r="P56" s="29">
        <f>IF(B56="","",IF(I56&lt;0,"DÜZELT: Onaylı limit negatif olamaz.",IF(J56&lt;0,"DÜZELT: Kullanılan kredi negatif olamaz.",IF(H56&lt;=0,"DÜZELT: Kur sıfır veya negatif olamaz.",IF(J56+K56&gt;I56,"DÜZELT: "&amp;C56&amp;" - "&amp;D56&amp;" kaydında kullanılan risk + bloke ("&amp;TEXT(J56+K56,"#,##0")&amp;" TL), onaylı limiti ("&amp;TEXT(I56,"#,##0")&amp;" TL) aşıyor. Kullanılan Risk ve Bloke/Rehin tutarlarını kontrol edin.",IF(AND(M56="Aktif",L56&lt;TODAY()),"KONTROL ET: "&amp;C56&amp;" - "&amp;D56&amp;" limitinin vadesi "&amp;TEXT(L56,"dd.mm.yyyy")&amp;" tarihinde bitmiş görünüyor. Bankadan güncel vade/durum bilgisini kontrol edip sarı hücreleri güncelleyin.","TAMAM"))))))</f>
      </c>
    </row>
    <row r="57" spans="2:16" ht="18" customHeight="1">
      <c r="B57" s="36"/>
      <c r="C57" s="36"/>
      <c r="D57" s="36"/>
      <c r="E57" s="36"/>
      <c r="F57" s="36"/>
      <c r="G57" s="36"/>
      <c r="H57" s="37"/>
      <c r="I57" s="37"/>
      <c r="J57" s="37"/>
      <c r="K57" s="36"/>
      <c r="L57" s="36"/>
      <c r="M57" s="36"/>
      <c r="N57" s="41">
        <f>IF(OR(M57&lt;&gt;"Aktif",I57&lt;=0),0,MAX(0,I57-J57-K57))</f>
      </c>
      <c r="O57" s="42">
        <f>IFERROR(J57/I57,0)</f>
      </c>
      <c r="P57" s="29">
        <f>IF(B57="","",IF(I57&lt;0,"DÜZELT: Onaylı limit negatif olamaz.",IF(J57&lt;0,"DÜZELT: Kullanılan kredi negatif olamaz.",IF(H57&lt;=0,"DÜZELT: Kur sıfır veya negatif olamaz.",IF(J57+K57&gt;I57,"DÜZELT: "&amp;C57&amp;" - "&amp;D57&amp;" kaydında kullanılan risk + bloke ("&amp;TEXT(J57+K57,"#,##0")&amp;" TL), onaylı limiti ("&amp;TEXT(I57,"#,##0")&amp;" TL) aşıyor. Kullanılan Risk ve Bloke/Rehin tutarlarını kontrol edin.",IF(AND(M57="Aktif",L57&lt;TODAY()),"KONTROL ET: "&amp;C57&amp;" - "&amp;D57&amp;" limitinin vadesi "&amp;TEXT(L57,"dd.mm.yyyy")&amp;" tarihinde bitmiş görünüyor. Bankadan güncel vade/durum bilgisini kontrol edip sarı hücreleri güncelleyin.","TAMAM"))))))</f>
      </c>
    </row>
    <row r="58" spans="2:16" ht="18" customHeight="1">
      <c r="B58" s="36"/>
      <c r="C58" s="36"/>
      <c r="D58" s="36"/>
      <c r="E58" s="36"/>
      <c r="F58" s="36"/>
      <c r="G58" s="36"/>
      <c r="H58" s="37"/>
      <c r="I58" s="37"/>
      <c r="J58" s="37"/>
      <c r="K58" s="36"/>
      <c r="L58" s="36"/>
      <c r="M58" s="36"/>
      <c r="N58" s="41">
        <f>IF(OR(M58&lt;&gt;"Aktif",I58&lt;=0),0,MAX(0,I58-J58-K58))</f>
      </c>
      <c r="O58" s="42">
        <f>IFERROR(J58/I58,0)</f>
      </c>
      <c r="P58" s="29">
        <f>IF(B58="","",IF(I58&lt;0,"DÜZELT: Onaylı limit negatif olamaz.",IF(J58&lt;0,"DÜZELT: Kullanılan kredi negatif olamaz.",IF(H58&lt;=0,"DÜZELT: Kur sıfır veya negatif olamaz.",IF(J58+K58&gt;I58,"DÜZELT: "&amp;C58&amp;" - "&amp;D58&amp;" kaydında kullanılan risk + bloke ("&amp;TEXT(J58+K58,"#,##0")&amp;" TL), onaylı limiti ("&amp;TEXT(I58,"#,##0")&amp;" TL) aşıyor. Kullanılan Risk ve Bloke/Rehin tutarlarını kontrol edin.",IF(AND(M58="Aktif",L58&lt;TODAY()),"KONTROL ET: "&amp;C58&amp;" - "&amp;D58&amp;" limitinin vadesi "&amp;TEXT(L58,"dd.mm.yyyy")&amp;" tarihinde bitmiş görünüyor. Bankadan güncel vade/durum bilgisini kontrol edip sarı hücreleri güncelleyin.","TAMAM"))))))</f>
      </c>
    </row>
    <row r="59" spans="2:16" ht="18" customHeight="1">
      <c r="B59" s="36"/>
      <c r="C59" s="36"/>
      <c r="D59" s="36"/>
      <c r="E59" s="36"/>
      <c r="F59" s="36"/>
      <c r="G59" s="36"/>
      <c r="H59" s="37"/>
      <c r="I59" s="37"/>
      <c r="J59" s="37"/>
      <c r="K59" s="36"/>
      <c r="L59" s="36"/>
      <c r="M59" s="36"/>
      <c r="N59" s="41">
        <f>IF(OR(M59&lt;&gt;"Aktif",I59&lt;=0),0,MAX(0,I59-J59-K59))</f>
      </c>
      <c r="O59" s="42">
        <f>IFERROR(J59/I59,0)</f>
      </c>
      <c r="P59" s="29">
        <f>IF(B59="","",IF(I59&lt;0,"DÜZELT: Onaylı limit negatif olamaz.",IF(J59&lt;0,"DÜZELT: Kullanılan kredi negatif olamaz.",IF(H59&lt;=0,"DÜZELT: Kur sıfır veya negatif olamaz.",IF(J59+K59&gt;I59,"DÜZELT: "&amp;C59&amp;" - "&amp;D59&amp;" kaydında kullanılan risk + bloke ("&amp;TEXT(J59+K59,"#,##0")&amp;" TL), onaylı limiti ("&amp;TEXT(I59,"#,##0")&amp;" TL) aşıyor. Kullanılan Risk ve Bloke/Rehin tutarlarını kontrol edin.",IF(AND(M59="Aktif",L59&lt;TODAY()),"KONTROL ET: "&amp;C59&amp;" - "&amp;D59&amp;" limitinin vadesi "&amp;TEXT(L59,"dd.mm.yyyy")&amp;" tarihinde bitmiş görünüyor. Bankadan güncel vade/durum bilgisini kontrol edip sarı hücreleri güncelleyin.","TAMAM"))))))</f>
      </c>
    </row>
    <row r="60" spans="2:16" ht="18" customHeight="1">
      <c r="B60" s="36"/>
      <c r="C60" s="36"/>
      <c r="D60" s="36"/>
      <c r="E60" s="36"/>
      <c r="F60" s="36"/>
      <c r="G60" s="36"/>
      <c r="H60" s="37"/>
      <c r="I60" s="37"/>
      <c r="J60" s="37"/>
      <c r="K60" s="36"/>
      <c r="L60" s="36"/>
      <c r="M60" s="36"/>
      <c r="N60" s="41">
        <f>IF(OR(M60&lt;&gt;"Aktif",I60&lt;=0),0,MAX(0,I60-J60-K60))</f>
      </c>
      <c r="O60" s="42">
        <f>IFERROR(J60/I60,0)</f>
      </c>
      <c r="P60" s="29">
        <f>IF(B60="","",IF(I60&lt;0,"DÜZELT: Onaylı limit negatif olamaz.",IF(J60&lt;0,"DÜZELT: Kullanılan kredi negatif olamaz.",IF(H60&lt;=0,"DÜZELT: Kur sıfır veya negatif olamaz.",IF(J60+K60&gt;I60,"DÜZELT: "&amp;C60&amp;" - "&amp;D60&amp;" kaydında kullanılan risk + bloke ("&amp;TEXT(J60+K60,"#,##0")&amp;" TL), onaylı limiti ("&amp;TEXT(I60,"#,##0")&amp;" TL) aşıyor. Kullanılan Risk ve Bloke/Rehin tutarlarını kontrol edin.",IF(AND(M60="Aktif",L60&lt;TODAY()),"KONTROL ET: "&amp;C60&amp;" - "&amp;D60&amp;" limitinin vadesi "&amp;TEXT(L60,"dd.mm.yyyy")&amp;" tarihinde bitmiş görünüyor. Bankadan güncel vade/durum bilgisini kontrol edip sarı hücreleri güncelleyin.","TAMAM"))))))</f>
      </c>
    </row>
    <row r="61" spans="2:16" ht="18" customHeight="1">
      <c r="B61" s="36"/>
      <c r="C61" s="36"/>
      <c r="D61" s="36"/>
      <c r="E61" s="36"/>
      <c r="F61" s="36"/>
      <c r="G61" s="36"/>
      <c r="H61" s="37"/>
      <c r="I61" s="37"/>
      <c r="J61" s="37"/>
      <c r="K61" s="36"/>
      <c r="L61" s="36"/>
      <c r="M61" s="36"/>
      <c r="N61" s="41">
        <f>IF(OR(M61&lt;&gt;"Aktif",I61&lt;=0),0,MAX(0,I61-J61-K61))</f>
      </c>
      <c r="O61" s="42">
        <f>IFERROR(J61/I61,0)</f>
      </c>
      <c r="P61" s="29">
        <f>IF(B61="","",IF(I61&lt;0,"DÜZELT: Onaylı limit negatif olamaz.",IF(J61&lt;0,"DÜZELT: Kullanılan kredi negatif olamaz.",IF(H61&lt;=0,"DÜZELT: Kur sıfır veya negatif olamaz.",IF(J61+K61&gt;I61,"DÜZELT: "&amp;C61&amp;" - "&amp;D61&amp;" kaydında kullanılan risk + bloke ("&amp;TEXT(J61+K61,"#,##0")&amp;" TL), onaylı limiti ("&amp;TEXT(I61,"#,##0")&amp;" TL) aşıyor. Kullanılan Risk ve Bloke/Rehin tutarlarını kontrol edin.",IF(AND(M61="Aktif",L61&lt;TODAY()),"KONTROL ET: "&amp;C61&amp;" - "&amp;D61&amp;" limitinin vadesi "&amp;TEXT(L61,"dd.mm.yyyy")&amp;" tarihinde bitmiş görünüyor. Bankadan güncel vade/durum bilgisini kontrol edip sarı hücreleri güncelleyin.","TAMAM"))))))</f>
      </c>
    </row>
    <row r="62" spans="2:16" ht="18" customHeight="1">
      <c r="B62" s="36"/>
      <c r="C62" s="36"/>
      <c r="D62" s="36"/>
      <c r="E62" s="36"/>
      <c r="F62" s="36"/>
      <c r="G62" s="36"/>
      <c r="H62" s="37"/>
      <c r="I62" s="37"/>
      <c r="J62" s="37"/>
      <c r="K62" s="36"/>
      <c r="L62" s="36"/>
      <c r="M62" s="36"/>
      <c r="N62" s="41">
        <f>IF(OR(M62&lt;&gt;"Aktif",I62&lt;=0),0,MAX(0,I62-J62-K62))</f>
      </c>
      <c r="O62" s="42">
        <f>IFERROR(J62/I62,0)</f>
      </c>
      <c r="P62" s="29">
        <f>IF(B62="","",IF(I62&lt;0,"DÜZELT: Onaylı limit negatif olamaz.",IF(J62&lt;0,"DÜZELT: Kullanılan kredi negatif olamaz.",IF(H62&lt;=0,"DÜZELT: Kur sıfır veya negatif olamaz.",IF(J62+K62&gt;I62,"DÜZELT: "&amp;C62&amp;" - "&amp;D62&amp;" kaydında kullanılan risk + bloke ("&amp;TEXT(J62+K62,"#,##0")&amp;" TL), onaylı limiti ("&amp;TEXT(I62,"#,##0")&amp;" TL) aşıyor. Kullanılan Risk ve Bloke/Rehin tutarlarını kontrol edin.",IF(AND(M62="Aktif",L62&lt;TODAY()),"KONTROL ET: "&amp;C62&amp;" - "&amp;D62&amp;" limitinin vadesi "&amp;TEXT(L62,"dd.mm.yyyy")&amp;" tarihinde bitmiş görünüyor. Bankadan güncel vade/durum bilgisini kontrol edip sarı hücreleri güncelleyin.","TAMAM"))))))</f>
      </c>
    </row>
    <row r="63" spans="2:16" ht="18" customHeight="1">
      <c r="B63" s="36"/>
      <c r="C63" s="36"/>
      <c r="D63" s="36"/>
      <c r="E63" s="36"/>
      <c r="F63" s="36"/>
      <c r="G63" s="36"/>
      <c r="H63" s="37"/>
      <c r="I63" s="37"/>
      <c r="J63" s="37"/>
      <c r="K63" s="36"/>
      <c r="L63" s="36"/>
      <c r="M63" s="36"/>
      <c r="N63" s="41">
        <f>IF(OR(M63&lt;&gt;"Aktif",I63&lt;=0),0,MAX(0,I63-J63-K63))</f>
      </c>
      <c r="O63" s="42">
        <f>IFERROR(J63/I63,0)</f>
      </c>
      <c r="P63" s="29">
        <f>IF(B63="","",IF(I63&lt;0,"DÜZELT: Onaylı limit negatif olamaz.",IF(J63&lt;0,"DÜZELT: Kullanılan kredi negatif olamaz.",IF(H63&lt;=0,"DÜZELT: Kur sıfır veya negatif olamaz.",IF(J63+K63&gt;I63,"DÜZELT: "&amp;C63&amp;" - "&amp;D63&amp;" kaydında kullanılan risk + bloke ("&amp;TEXT(J63+K63,"#,##0")&amp;" TL), onaylı limiti ("&amp;TEXT(I63,"#,##0")&amp;" TL) aşıyor. Kullanılan Risk ve Bloke/Rehin tutarlarını kontrol edin.",IF(AND(M63="Aktif",L63&lt;TODAY()),"KONTROL ET: "&amp;C63&amp;" - "&amp;D63&amp;" limitinin vadesi "&amp;TEXT(L63,"dd.mm.yyyy")&amp;" tarihinde bitmiş görünüyor. Bankadan güncel vade/durum bilgisini kontrol edip sarı hücreleri güncelleyin.","TAMAM"))))))</f>
      </c>
    </row>
    <row r="64" spans="2:16" ht="18" customHeight="1">
      <c r="B64" s="36"/>
      <c r="C64" s="36"/>
      <c r="D64" s="36"/>
      <c r="E64" s="36"/>
      <c r="F64" s="36"/>
      <c r="G64" s="36"/>
      <c r="H64" s="37"/>
      <c r="I64" s="37"/>
      <c r="J64" s="37"/>
      <c r="K64" s="36"/>
      <c r="L64" s="36"/>
      <c r="M64" s="36"/>
      <c r="N64" s="41">
        <f>IF(OR(M64&lt;&gt;"Aktif",I64&lt;=0),0,MAX(0,I64-J64-K64))</f>
      </c>
      <c r="O64" s="42">
        <f>IFERROR(J64/I64,0)</f>
      </c>
      <c r="P64" s="29">
        <f>IF(B64="","",IF(I64&lt;0,"DÜZELT: Onaylı limit negatif olamaz.",IF(J64&lt;0,"DÜZELT: Kullanılan kredi negatif olamaz.",IF(H64&lt;=0,"DÜZELT: Kur sıfır veya negatif olamaz.",IF(J64+K64&gt;I64,"DÜZELT: "&amp;C64&amp;" - "&amp;D64&amp;" kaydında kullanılan risk + bloke ("&amp;TEXT(J64+K64,"#,##0")&amp;" TL), onaylı limiti ("&amp;TEXT(I64,"#,##0")&amp;" TL) aşıyor. Kullanılan Risk ve Bloke/Rehin tutarlarını kontrol edin.",IF(AND(M64="Aktif",L64&lt;TODAY()),"KONTROL ET: "&amp;C64&amp;" - "&amp;D64&amp;" limitinin vadesi "&amp;TEXT(L64,"dd.mm.yyyy")&amp;" tarihinde bitmiş görünüyor. Bankadan güncel vade/durum bilgisini kontrol edip sarı hücreleri güncelleyin.","TAMAM"))))))</f>
      </c>
    </row>
    <row r="65" spans="2:16" ht="18" customHeight="1">
      <c r="B65" s="36"/>
      <c r="C65" s="36"/>
      <c r="D65" s="36"/>
      <c r="E65" s="36"/>
      <c r="F65" s="36"/>
      <c r="G65" s="36"/>
      <c r="H65" s="37"/>
      <c r="I65" s="37"/>
      <c r="J65" s="37"/>
      <c r="K65" s="36"/>
      <c r="L65" s="36"/>
      <c r="M65" s="36"/>
      <c r="N65" s="41">
        <f>IF(OR(M65&lt;&gt;"Aktif",I65&lt;=0),0,MAX(0,I65-J65-K65))</f>
      </c>
      <c r="O65" s="42">
        <f>IFERROR(J65/I65,0)</f>
      </c>
      <c r="P65" s="29">
        <f>IF(B65="","",IF(I65&lt;0,"DÜZELT: Onaylı limit negatif olamaz.",IF(J65&lt;0,"DÜZELT: Kullanılan kredi negatif olamaz.",IF(H65&lt;=0,"DÜZELT: Kur sıfır veya negatif olamaz.",IF(J65+K65&gt;I65,"DÜZELT: "&amp;C65&amp;" - "&amp;D65&amp;" kaydında kullanılan risk + bloke ("&amp;TEXT(J65+K65,"#,##0")&amp;" TL), onaylı limiti ("&amp;TEXT(I65,"#,##0")&amp;" TL) aşıyor. Kullanılan Risk ve Bloke/Rehin tutarlarını kontrol edin.",IF(AND(M65="Aktif",L65&lt;TODAY()),"KONTROL ET: "&amp;C65&amp;" - "&amp;D65&amp;" limitinin vadesi "&amp;TEXT(L65,"dd.mm.yyyy")&amp;" tarihinde bitmiş görünüyor. Bankadan güncel vade/durum bilgisini kontrol edip sarı hücreleri güncelleyin.","TAMAM"))))))</f>
      </c>
    </row>
    <row r="66" spans="2:16" ht="18" customHeight="1">
      <c r="B66" s="36"/>
      <c r="C66" s="36"/>
      <c r="D66" s="36"/>
      <c r="E66" s="36"/>
      <c r="F66" s="36"/>
      <c r="G66" s="36"/>
      <c r="H66" s="37"/>
      <c r="I66" s="37"/>
      <c r="J66" s="37"/>
      <c r="K66" s="36"/>
      <c r="L66" s="36"/>
      <c r="M66" s="36"/>
      <c r="N66" s="41">
        <f>IF(OR(M66&lt;&gt;"Aktif",I66&lt;=0),0,MAX(0,I66-J66-K66))</f>
      </c>
      <c r="O66" s="42">
        <f>IFERROR(J66/I66,0)</f>
      </c>
      <c r="P66" s="29">
        <f>IF(B66="","",IF(I66&lt;0,"DÜZELT: Onaylı limit negatif olamaz.",IF(J66&lt;0,"DÜZELT: Kullanılan kredi negatif olamaz.",IF(H66&lt;=0,"DÜZELT: Kur sıfır veya negatif olamaz.",IF(J66+K66&gt;I66,"DÜZELT: "&amp;C66&amp;" - "&amp;D66&amp;" kaydında kullanılan risk + bloke ("&amp;TEXT(J66+K66,"#,##0")&amp;" TL), onaylı limiti ("&amp;TEXT(I66,"#,##0")&amp;" TL) aşıyor. Kullanılan Risk ve Bloke/Rehin tutarlarını kontrol edin.",IF(AND(M66="Aktif",L66&lt;TODAY()),"KONTROL ET: "&amp;C66&amp;" - "&amp;D66&amp;" limitinin vadesi "&amp;TEXT(L66,"dd.mm.yyyy")&amp;" tarihinde bitmiş görünüyor. Bankadan güncel vade/durum bilgisini kontrol edip sarı hücreleri güncelleyin.","TAMAM"))))))</f>
      </c>
    </row>
    <row r="67" spans="2:16" ht="18" customHeight="1">
      <c r="B67" s="36"/>
      <c r="C67" s="36"/>
      <c r="D67" s="36"/>
      <c r="E67" s="36"/>
      <c r="F67" s="36"/>
      <c r="G67" s="36"/>
      <c r="H67" s="37"/>
      <c r="I67" s="37"/>
      <c r="J67" s="37"/>
      <c r="K67" s="36"/>
      <c r="L67" s="36"/>
      <c r="M67" s="36"/>
      <c r="N67" s="41">
        <f>IF(OR(M67&lt;&gt;"Aktif",I67&lt;=0),0,MAX(0,I67-J67-K67))</f>
      </c>
      <c r="O67" s="42">
        <f>IFERROR(J67/I67,0)</f>
      </c>
      <c r="P67" s="29">
        <f>IF(B67="","",IF(I67&lt;0,"DÜZELT: Onaylı limit negatif olamaz.",IF(J67&lt;0,"DÜZELT: Kullanılan kredi negatif olamaz.",IF(H67&lt;=0,"DÜZELT: Kur sıfır veya negatif olamaz.",IF(J67+K67&gt;I67,"DÜZELT: "&amp;C67&amp;" - "&amp;D67&amp;" kaydında kullanılan risk + bloke ("&amp;TEXT(J67+K67,"#,##0")&amp;" TL), onaylı limiti ("&amp;TEXT(I67,"#,##0")&amp;" TL) aşıyor. Kullanılan Risk ve Bloke/Rehin tutarlarını kontrol edin.",IF(AND(M67="Aktif",L67&lt;TODAY()),"KONTROL ET: "&amp;C67&amp;" - "&amp;D67&amp;" limitinin vadesi "&amp;TEXT(L67,"dd.mm.yyyy")&amp;" tarihinde bitmiş görünüyor. Bankadan güncel vade/durum bilgisini kontrol edip sarı hücreleri güncelleyin.","TAMAM"))))))</f>
      </c>
    </row>
    <row r="68" spans="2:16" ht="18" customHeight="1">
      <c r="B68" s="36"/>
      <c r="C68" s="36"/>
      <c r="D68" s="36"/>
      <c r="E68" s="36"/>
      <c r="F68" s="36"/>
      <c r="G68" s="36"/>
      <c r="H68" s="37"/>
      <c r="I68" s="37"/>
      <c r="J68" s="37"/>
      <c r="K68" s="36"/>
      <c r="L68" s="36"/>
      <c r="M68" s="36"/>
      <c r="N68" s="41">
        <f>IF(OR(M68&lt;&gt;"Aktif",I68&lt;=0),0,MAX(0,I68-J68-K68))</f>
      </c>
      <c r="O68" s="42">
        <f>IFERROR(J68/I68,0)</f>
      </c>
      <c r="P68" s="29">
        <f>IF(B68="","",IF(I68&lt;0,"DÜZELT: Onaylı limit negatif olamaz.",IF(J68&lt;0,"DÜZELT: Kullanılan kredi negatif olamaz.",IF(H68&lt;=0,"DÜZELT: Kur sıfır veya negatif olamaz.",IF(J68+K68&gt;I68,"DÜZELT: "&amp;C68&amp;" - "&amp;D68&amp;" kaydında kullanılan risk + bloke ("&amp;TEXT(J68+K68,"#,##0")&amp;" TL), onaylı limiti ("&amp;TEXT(I68,"#,##0")&amp;" TL) aşıyor. Kullanılan Risk ve Bloke/Rehin tutarlarını kontrol edin.",IF(AND(M68="Aktif",L68&lt;TODAY()),"KONTROL ET: "&amp;C68&amp;" - "&amp;D68&amp;" limitinin vadesi "&amp;TEXT(L68,"dd.mm.yyyy")&amp;" tarihinde bitmiş görünüyor. Bankadan güncel vade/durum bilgisini kontrol edip sarı hücreleri güncelleyin.","TAMAM"))))))</f>
      </c>
    </row>
    <row r="69" spans="2:16" ht="18" customHeight="1">
      <c r="B69" s="36"/>
      <c r="C69" s="36"/>
      <c r="D69" s="36"/>
      <c r="E69" s="36"/>
      <c r="F69" s="36"/>
      <c r="G69" s="36"/>
      <c r="H69" s="37"/>
      <c r="I69" s="37"/>
      <c r="J69" s="37"/>
      <c r="K69" s="36"/>
      <c r="L69" s="36"/>
      <c r="M69" s="36"/>
      <c r="N69" s="41">
        <f>IF(OR(M69&lt;&gt;"Aktif",I69&lt;=0),0,MAX(0,I69-J69-K69))</f>
      </c>
      <c r="O69" s="42">
        <f>IFERROR(J69/I69,0)</f>
      </c>
      <c r="P69" s="29">
        <f>IF(B69="","",IF(I69&lt;0,"DÜZELT: Onaylı limit negatif olamaz.",IF(J69&lt;0,"DÜZELT: Kullanılan kredi negatif olamaz.",IF(H69&lt;=0,"DÜZELT: Kur sıfır veya negatif olamaz.",IF(J69+K69&gt;I69,"DÜZELT: "&amp;C69&amp;" - "&amp;D69&amp;" kaydında kullanılan risk + bloke ("&amp;TEXT(J69+K69,"#,##0")&amp;" TL), onaylı limiti ("&amp;TEXT(I69,"#,##0")&amp;" TL) aşıyor. Kullanılan Risk ve Bloke/Rehin tutarlarını kontrol edin.",IF(AND(M69="Aktif",L69&lt;TODAY()),"KONTROL ET: "&amp;C69&amp;" - "&amp;D69&amp;" limitinin vadesi "&amp;TEXT(L69,"dd.mm.yyyy")&amp;" tarihinde bitmiş görünüyor. Bankadan güncel vade/durum bilgisini kontrol edip sarı hücreleri güncelleyin.","TAMAM"))))))</f>
      </c>
    </row>
    <row r="70" spans="2:16" ht="18" customHeight="1">
      <c r="B70" s="36"/>
      <c r="C70" s="36"/>
      <c r="D70" s="36"/>
      <c r="E70" s="36"/>
      <c r="F70" s="36"/>
      <c r="G70" s="36"/>
      <c r="H70" s="37"/>
      <c r="I70" s="37"/>
      <c r="J70" s="37"/>
      <c r="K70" s="36"/>
      <c r="L70" s="36"/>
      <c r="M70" s="36"/>
      <c r="N70" s="41">
        <f>IF(OR(M70&lt;&gt;"Aktif",I70&lt;=0),0,MAX(0,I70-J70-K70))</f>
      </c>
      <c r="O70" s="42">
        <f>IFERROR(J70/I70,0)</f>
      </c>
      <c r="P70" s="29">
        <f>IF(B70="","",IF(I70&lt;0,"DÜZELT: Onaylı limit negatif olamaz.",IF(J70&lt;0,"DÜZELT: Kullanılan kredi negatif olamaz.",IF(H70&lt;=0,"DÜZELT: Kur sıfır veya negatif olamaz.",IF(J70+K70&gt;I70,"DÜZELT: "&amp;C70&amp;" - "&amp;D70&amp;" kaydında kullanılan risk + bloke ("&amp;TEXT(J70+K70,"#,##0")&amp;" TL), onaylı limiti ("&amp;TEXT(I70,"#,##0")&amp;" TL) aşıyor. Kullanılan Risk ve Bloke/Rehin tutarlarını kontrol edin.",IF(AND(M70="Aktif",L70&lt;TODAY()),"KONTROL ET: "&amp;C70&amp;" - "&amp;D70&amp;" limitinin vadesi "&amp;TEXT(L70,"dd.mm.yyyy")&amp;" tarihinde bitmiş görünüyor. Bankadan güncel vade/durum bilgisini kontrol edip sarı hücreleri güncelleyin.","TAMAM"))))))</f>
      </c>
    </row>
    <row r="71" spans="2:16" ht="18" customHeight="1">
      <c r="B71" s="36"/>
      <c r="C71" s="36"/>
      <c r="D71" s="36"/>
      <c r="E71" s="36"/>
      <c r="F71" s="36"/>
      <c r="G71" s="36"/>
      <c r="H71" s="37"/>
      <c r="I71" s="37"/>
      <c r="J71" s="37"/>
      <c r="K71" s="36"/>
      <c r="L71" s="36"/>
      <c r="M71" s="36"/>
      <c r="N71" s="41">
        <f>IF(OR(M71&lt;&gt;"Aktif",I71&lt;=0),0,MAX(0,I71-J71-K71))</f>
      </c>
      <c r="O71" s="42">
        <f>IFERROR(J71/I71,0)</f>
      </c>
      <c r="P71" s="29">
        <f>IF(B71="","",IF(I71&lt;0,"DÜZELT: Onaylı limit negatif olamaz.",IF(J71&lt;0,"DÜZELT: Kullanılan kredi negatif olamaz.",IF(H71&lt;=0,"DÜZELT: Kur sıfır veya negatif olamaz.",IF(J71+K71&gt;I71,"DÜZELT: "&amp;C71&amp;" - "&amp;D71&amp;" kaydında kullanılan risk + bloke ("&amp;TEXT(J71+K71,"#,##0")&amp;" TL), onaylı limiti ("&amp;TEXT(I71,"#,##0")&amp;" TL) aşıyor. Kullanılan Risk ve Bloke/Rehin tutarlarını kontrol edin.",IF(AND(M71="Aktif",L71&lt;TODAY()),"KONTROL ET: "&amp;C71&amp;" - "&amp;D71&amp;" limitinin vadesi "&amp;TEXT(L71,"dd.mm.yyyy")&amp;" tarihinde bitmiş görünüyor. Bankadan güncel vade/durum bilgisini kontrol edip sarı hücreleri güncelleyin.","TAMAM"))))))</f>
      </c>
    </row>
    <row r="72" spans="2:16" ht="18" customHeight="1">
      <c r="B72" s="36"/>
      <c r="C72" s="36"/>
      <c r="D72" s="36"/>
      <c r="E72" s="36"/>
      <c r="F72" s="36"/>
      <c r="G72" s="36"/>
      <c r="H72" s="37"/>
      <c r="I72" s="37"/>
      <c r="J72" s="37"/>
      <c r="K72" s="36"/>
      <c r="L72" s="36"/>
      <c r="M72" s="36"/>
      <c r="N72" s="41">
        <f>IF(OR(M72&lt;&gt;"Aktif",I72&lt;=0),0,MAX(0,I72-J72-K72))</f>
      </c>
      <c r="O72" s="42">
        <f>IFERROR(J72/I72,0)</f>
      </c>
      <c r="P72" s="29">
        <f>IF(B72="","",IF(I72&lt;0,"DÜZELT: Onaylı limit negatif olamaz.",IF(J72&lt;0,"DÜZELT: Kullanılan kredi negatif olamaz.",IF(H72&lt;=0,"DÜZELT: Kur sıfır veya negatif olamaz.",IF(J72+K72&gt;I72,"DÜZELT: "&amp;C72&amp;" - "&amp;D72&amp;" kaydında kullanılan risk + bloke ("&amp;TEXT(J72+K72,"#,##0")&amp;" TL), onaylı limiti ("&amp;TEXT(I72,"#,##0")&amp;" TL) aşıyor. Kullanılan Risk ve Bloke/Rehin tutarlarını kontrol edin.",IF(AND(M72="Aktif",L72&lt;TODAY()),"KONTROL ET: "&amp;C72&amp;" - "&amp;D72&amp;" limitinin vadesi "&amp;TEXT(L72,"dd.mm.yyyy")&amp;" tarihinde bitmiş görünüyor. Bankadan güncel vade/durum bilgisini kontrol edip sarı hücreleri güncelleyin.","TAMAM"))))))</f>
      </c>
    </row>
    <row r="73" spans="2:16" ht="18" customHeight="1">
      <c r="B73" s="36"/>
      <c r="C73" s="36"/>
      <c r="D73" s="36"/>
      <c r="E73" s="36"/>
      <c r="F73" s="36"/>
      <c r="G73" s="36"/>
      <c r="H73" s="37"/>
      <c r="I73" s="37"/>
      <c r="J73" s="37"/>
      <c r="K73" s="36"/>
      <c r="L73" s="36"/>
      <c r="M73" s="36"/>
      <c r="N73" s="41">
        <f>IF(OR(M73&lt;&gt;"Aktif",I73&lt;=0),0,MAX(0,I73-J73-K73))</f>
      </c>
      <c r="O73" s="42">
        <f>IFERROR(J73/I73,0)</f>
      </c>
      <c r="P73" s="29">
        <f>IF(B73="","",IF(I73&lt;0,"DÜZELT: Onaylı limit negatif olamaz.",IF(J73&lt;0,"DÜZELT: Kullanılan kredi negatif olamaz.",IF(H73&lt;=0,"DÜZELT: Kur sıfır veya negatif olamaz.",IF(J73+K73&gt;I73,"DÜZELT: "&amp;C73&amp;" - "&amp;D73&amp;" kaydında kullanılan risk + bloke ("&amp;TEXT(J73+K73,"#,##0")&amp;" TL), onaylı limiti ("&amp;TEXT(I73,"#,##0")&amp;" TL) aşıyor. Kullanılan Risk ve Bloke/Rehin tutarlarını kontrol edin.",IF(AND(M73="Aktif",L73&lt;TODAY()),"KONTROL ET: "&amp;C73&amp;" - "&amp;D73&amp;" limitinin vadesi "&amp;TEXT(L73,"dd.mm.yyyy")&amp;" tarihinde bitmiş görünüyor. Bankadan güncel vade/durum bilgisini kontrol edip sarı hücreleri güncelleyin.","TAMAM"))))))</f>
      </c>
    </row>
    <row r="74" spans="2:16" ht="18" customHeight="1">
      <c r="B74" s="36"/>
      <c r="C74" s="36"/>
      <c r="D74" s="36"/>
      <c r="E74" s="36"/>
      <c r="F74" s="36"/>
      <c r="G74" s="36"/>
      <c r="H74" s="37"/>
      <c r="I74" s="37"/>
      <c r="J74" s="37"/>
      <c r="K74" s="36"/>
      <c r="L74" s="36"/>
      <c r="M74" s="36"/>
      <c r="N74" s="41">
        <f>IF(OR(M74&lt;&gt;"Aktif",I74&lt;=0),0,MAX(0,I74-J74-K74))</f>
      </c>
      <c r="O74" s="42">
        <f>IFERROR(J74/I74,0)</f>
      </c>
      <c r="P74" s="29">
        <f>IF(B74="","",IF(I74&lt;0,"DÜZELT: Onaylı limit negatif olamaz.",IF(J74&lt;0,"DÜZELT: Kullanılan kredi negatif olamaz.",IF(H74&lt;=0,"DÜZELT: Kur sıfır veya negatif olamaz.",IF(J74+K74&gt;I74,"DÜZELT: "&amp;C74&amp;" - "&amp;D74&amp;" kaydında kullanılan risk + bloke ("&amp;TEXT(J74+K74,"#,##0")&amp;" TL), onaylı limiti ("&amp;TEXT(I74,"#,##0")&amp;" TL) aşıyor. Kullanılan Risk ve Bloke/Rehin tutarlarını kontrol edin.",IF(AND(M74="Aktif",L74&lt;TODAY()),"KONTROL ET: "&amp;C74&amp;" - "&amp;D74&amp;" limitinin vadesi "&amp;TEXT(L74,"dd.mm.yyyy")&amp;" tarihinde bitmiş görünüyor. Bankadan güncel vade/durum bilgisini kontrol edip sarı hücreleri güncelleyin.","TAMAM"))))))</f>
      </c>
    </row>
    <row r="75" spans="2:16" ht="18" customHeight="1">
      <c r="B75" s="36"/>
      <c r="C75" s="36"/>
      <c r="D75" s="36"/>
      <c r="E75" s="36"/>
      <c r="F75" s="36"/>
      <c r="G75" s="36"/>
      <c r="H75" s="37"/>
      <c r="I75" s="37"/>
      <c r="J75" s="37"/>
      <c r="K75" s="36"/>
      <c r="L75" s="36"/>
      <c r="M75" s="36"/>
      <c r="N75" s="41">
        <f>IF(OR(M75&lt;&gt;"Aktif",I75&lt;=0),0,MAX(0,I75-J75-K75))</f>
      </c>
      <c r="O75" s="42">
        <f>IFERROR(J75/I75,0)</f>
      </c>
      <c r="P75" s="29">
        <f>IF(B75="","",IF(I75&lt;0,"DÜZELT: Onaylı limit negatif olamaz.",IF(J75&lt;0,"DÜZELT: Kullanılan kredi negatif olamaz.",IF(H75&lt;=0,"DÜZELT: Kur sıfır veya negatif olamaz.",IF(J75+K75&gt;I75,"DÜZELT: "&amp;C75&amp;" - "&amp;D75&amp;" kaydında kullanılan risk + bloke ("&amp;TEXT(J75+K75,"#,##0")&amp;" TL), onaylı limiti ("&amp;TEXT(I75,"#,##0")&amp;" TL) aşıyor. Kullanılan Risk ve Bloke/Rehin tutarlarını kontrol edin.",IF(AND(M75="Aktif",L75&lt;TODAY()),"KONTROL ET: "&amp;C75&amp;" - "&amp;D75&amp;" limitinin vadesi "&amp;TEXT(L75,"dd.mm.yyyy")&amp;" tarihinde bitmiş görünüyor. Bankadan güncel vade/durum bilgisini kontrol edip sarı hücreleri güncelleyin.","TAMAM"))))))</f>
      </c>
    </row>
    <row r="76" spans="2:16" ht="18" customHeight="1">
      <c r="B76" s="36"/>
      <c r="C76" s="36"/>
      <c r="D76" s="36"/>
      <c r="E76" s="36"/>
      <c r="F76" s="36"/>
      <c r="G76" s="36"/>
      <c r="H76" s="37"/>
      <c r="I76" s="37"/>
      <c r="J76" s="37"/>
      <c r="K76" s="36"/>
      <c r="L76" s="36"/>
      <c r="M76" s="36"/>
      <c r="N76" s="41">
        <f>IF(OR(M76&lt;&gt;"Aktif",I76&lt;=0),0,MAX(0,I76-J76-K76))</f>
      </c>
      <c r="O76" s="42">
        <f>IFERROR(J76/I76,0)</f>
      </c>
      <c r="P76" s="29">
        <f>IF(B76="","",IF(I76&lt;0,"DÜZELT: Onaylı limit negatif olamaz.",IF(J76&lt;0,"DÜZELT: Kullanılan kredi negatif olamaz.",IF(H76&lt;=0,"DÜZELT: Kur sıfır veya negatif olamaz.",IF(J76+K76&gt;I76,"DÜZELT: "&amp;C76&amp;" - "&amp;D76&amp;" kaydında kullanılan risk + bloke ("&amp;TEXT(J76+K76,"#,##0")&amp;" TL), onaylı limiti ("&amp;TEXT(I76,"#,##0")&amp;" TL) aşıyor. Kullanılan Risk ve Bloke/Rehin tutarlarını kontrol edin.",IF(AND(M76="Aktif",L76&lt;TODAY()),"KONTROL ET: "&amp;C76&amp;" - "&amp;D76&amp;" limitinin vadesi "&amp;TEXT(L76,"dd.mm.yyyy")&amp;" tarihinde bitmiş görünüyor. Bankadan güncel vade/durum bilgisini kontrol edip sarı hücreleri güncelleyin.","TAMAM"))))))</f>
      </c>
    </row>
    <row r="77" spans="2:16" ht="18" customHeight="1">
      <c r="B77" s="36"/>
      <c r="C77" s="36"/>
      <c r="D77" s="36"/>
      <c r="E77" s="36"/>
      <c r="F77" s="36"/>
      <c r="G77" s="36"/>
      <c r="H77" s="37"/>
      <c r="I77" s="37"/>
      <c r="J77" s="37"/>
      <c r="K77" s="36"/>
      <c r="L77" s="36"/>
      <c r="M77" s="36"/>
      <c r="N77" s="41">
        <f>IF(OR(M77&lt;&gt;"Aktif",I77&lt;=0),0,MAX(0,I77-J77-K77))</f>
      </c>
      <c r="O77" s="42">
        <f>IFERROR(J77/I77,0)</f>
      </c>
      <c r="P77" s="29">
        <f>IF(B77="","",IF(I77&lt;0,"DÜZELT: Onaylı limit negatif olamaz.",IF(J77&lt;0,"DÜZELT: Kullanılan kredi negatif olamaz.",IF(H77&lt;=0,"DÜZELT: Kur sıfır veya negatif olamaz.",IF(J77+K77&gt;I77,"DÜZELT: "&amp;C77&amp;" - "&amp;D77&amp;" kaydında kullanılan risk + bloke ("&amp;TEXT(J77+K77,"#,##0")&amp;" TL), onaylı limiti ("&amp;TEXT(I77,"#,##0")&amp;" TL) aşıyor. Kullanılan Risk ve Bloke/Rehin tutarlarını kontrol edin.",IF(AND(M77="Aktif",L77&lt;TODAY()),"KONTROL ET: "&amp;C77&amp;" - "&amp;D77&amp;" limitinin vadesi "&amp;TEXT(L77,"dd.mm.yyyy")&amp;" tarihinde bitmiş görünüyor. Bankadan güncel vade/durum bilgisini kontrol edip sarı hücreleri güncelleyin.","TAMAM"))))))</f>
      </c>
    </row>
    <row r="78" spans="2:16" ht="18" customHeight="1">
      <c r="B78" s="36"/>
      <c r="C78" s="36"/>
      <c r="D78" s="36"/>
      <c r="E78" s="36"/>
      <c r="F78" s="36"/>
      <c r="G78" s="36"/>
      <c r="H78" s="37"/>
      <c r="I78" s="37"/>
      <c r="J78" s="37"/>
      <c r="K78" s="36"/>
      <c r="L78" s="36"/>
      <c r="M78" s="36"/>
      <c r="N78" s="41">
        <f>IF(OR(M78&lt;&gt;"Aktif",I78&lt;=0),0,MAX(0,I78-J78-K78))</f>
      </c>
      <c r="O78" s="42">
        <f>IFERROR(J78/I78,0)</f>
      </c>
      <c r="P78" s="29">
        <f>IF(B78="","",IF(I78&lt;0,"DÜZELT: Onaylı limit negatif olamaz.",IF(J78&lt;0,"DÜZELT: Kullanılan kredi negatif olamaz.",IF(H78&lt;=0,"DÜZELT: Kur sıfır veya negatif olamaz.",IF(J78+K78&gt;I78,"DÜZELT: "&amp;C78&amp;" - "&amp;D78&amp;" kaydında kullanılan risk + bloke ("&amp;TEXT(J78+K78,"#,##0")&amp;" TL), onaylı limiti ("&amp;TEXT(I78,"#,##0")&amp;" TL) aşıyor. Kullanılan Risk ve Bloke/Rehin tutarlarını kontrol edin.",IF(AND(M78="Aktif",L78&lt;TODAY()),"KONTROL ET: "&amp;C78&amp;" - "&amp;D78&amp;" limitinin vadesi "&amp;TEXT(L78,"dd.mm.yyyy")&amp;" tarihinde bitmiş görünüyor. Bankadan güncel vade/durum bilgisini kontrol edip sarı hücreleri güncelleyin.","TAMAM"))))))</f>
      </c>
    </row>
    <row r="79" spans="2:16" ht="18" customHeight="1">
      <c r="B79" s="36"/>
      <c r="C79" s="36"/>
      <c r="D79" s="36"/>
      <c r="E79" s="36"/>
      <c r="F79" s="36"/>
      <c r="G79" s="36"/>
      <c r="H79" s="37"/>
      <c r="I79" s="37"/>
      <c r="J79" s="37"/>
      <c r="K79" s="36"/>
      <c r="L79" s="36"/>
      <c r="M79" s="36"/>
      <c r="N79" s="41">
        <f>IF(OR(M79&lt;&gt;"Aktif",I79&lt;=0),0,MAX(0,I79-J79-K79))</f>
      </c>
      <c r="O79" s="42">
        <f>IFERROR(J79/I79,0)</f>
      </c>
      <c r="P79" s="29">
        <f>IF(B79="","",IF(I79&lt;0,"DÜZELT: Onaylı limit negatif olamaz.",IF(J79&lt;0,"DÜZELT: Kullanılan kredi negatif olamaz.",IF(H79&lt;=0,"DÜZELT: Kur sıfır veya negatif olamaz.",IF(J79+K79&gt;I79,"DÜZELT: "&amp;C79&amp;" - "&amp;D79&amp;" kaydında kullanılan risk + bloke ("&amp;TEXT(J79+K79,"#,##0")&amp;" TL), onaylı limiti ("&amp;TEXT(I79,"#,##0")&amp;" TL) aşıyor. Kullanılan Risk ve Bloke/Rehin tutarlarını kontrol edin.",IF(AND(M79="Aktif",L79&lt;TODAY()),"KONTROL ET: "&amp;C79&amp;" - "&amp;D79&amp;" limitinin vadesi "&amp;TEXT(L79,"dd.mm.yyyy")&amp;" tarihinde bitmiş görünüyor. Bankadan güncel vade/durum bilgisini kontrol edip sarı hücreleri güncelleyin.","TAMAM"))))))</f>
      </c>
    </row>
    <row r="80" spans="2:16" ht="18" customHeight="1">
      <c r="B80" s="36"/>
      <c r="C80" s="36"/>
      <c r="D80" s="36"/>
      <c r="E80" s="36"/>
      <c r="F80" s="36"/>
      <c r="G80" s="36"/>
      <c r="H80" s="37"/>
      <c r="I80" s="37"/>
      <c r="J80" s="37"/>
      <c r="K80" s="36"/>
      <c r="L80" s="36"/>
      <c r="M80" s="36"/>
      <c r="N80" s="41">
        <f>IF(OR(M80&lt;&gt;"Aktif",I80&lt;=0),0,MAX(0,I80-J80-K80))</f>
      </c>
      <c r="O80" s="42">
        <f>IFERROR(J80/I80,0)</f>
      </c>
      <c r="P80" s="29">
        <f>IF(B80="","",IF(I80&lt;0,"DÜZELT: Onaylı limit negatif olamaz.",IF(J80&lt;0,"DÜZELT: Kullanılan kredi negatif olamaz.",IF(H80&lt;=0,"DÜZELT: Kur sıfır veya negatif olamaz.",IF(J80+K80&gt;I80,"DÜZELT: "&amp;C80&amp;" - "&amp;D80&amp;" kaydında kullanılan risk + bloke ("&amp;TEXT(J80+K80,"#,##0")&amp;" TL), onaylı limiti ("&amp;TEXT(I80,"#,##0")&amp;" TL) aşıyor. Kullanılan Risk ve Bloke/Rehin tutarlarını kontrol edin.",IF(AND(M80="Aktif",L80&lt;TODAY()),"KONTROL ET: "&amp;C80&amp;" - "&amp;D80&amp;" limitinin vadesi "&amp;TEXT(L80,"dd.mm.yyyy")&amp;" tarihinde bitmiş görünüyor. Bankadan güncel vade/durum bilgisini kontrol edip sarı hücreleri güncelleyin.","TAMAM"))))))</f>
      </c>
    </row>
    <row r="81" spans="2:16" ht="18" customHeight="1">
      <c r="B81" s="36"/>
      <c r="C81" s="36"/>
      <c r="D81" s="36"/>
      <c r="E81" s="36"/>
      <c r="F81" s="36"/>
      <c r="G81" s="36"/>
      <c r="H81" s="37"/>
      <c r="I81" s="37"/>
      <c r="J81" s="37"/>
      <c r="K81" s="36"/>
      <c r="L81" s="36"/>
      <c r="M81" s="36"/>
      <c r="N81" s="41">
        <f>IF(OR(M81&lt;&gt;"Aktif",I81&lt;=0),0,MAX(0,I81-J81-K81))</f>
      </c>
      <c r="O81" s="42">
        <f>IFERROR(J81/I81,0)</f>
      </c>
      <c r="P81" s="29">
        <f>IF(B81="","",IF(I81&lt;0,"DÜZELT: Onaylı limit negatif olamaz.",IF(J81&lt;0,"DÜZELT: Kullanılan kredi negatif olamaz.",IF(H81&lt;=0,"DÜZELT: Kur sıfır veya negatif olamaz.",IF(J81+K81&gt;I81,"DÜZELT: "&amp;C81&amp;" - "&amp;D81&amp;" kaydında kullanılan risk + bloke ("&amp;TEXT(J81+K81,"#,##0")&amp;" TL), onaylı limiti ("&amp;TEXT(I81,"#,##0")&amp;" TL) aşıyor. Kullanılan Risk ve Bloke/Rehin tutarlarını kontrol edin.",IF(AND(M81="Aktif",L81&lt;TODAY()),"KONTROL ET: "&amp;C81&amp;" - "&amp;D81&amp;" limitinin vadesi "&amp;TEXT(L81,"dd.mm.yyyy")&amp;" tarihinde bitmiş görünüyor. Bankadan güncel vade/durum bilgisini kontrol edip sarı hücreleri güncelleyin.","TAMAM"))))))</f>
      </c>
    </row>
    <row r="82" spans="2:16" ht="18" customHeight="1">
      <c r="B82" s="36"/>
      <c r="C82" s="36"/>
      <c r="D82" s="36"/>
      <c r="E82" s="36"/>
      <c r="F82" s="36"/>
      <c r="G82" s="36"/>
      <c r="H82" s="37"/>
      <c r="I82" s="37"/>
      <c r="J82" s="37"/>
      <c r="K82" s="36"/>
      <c r="L82" s="36"/>
      <c r="M82" s="36"/>
      <c r="N82" s="41">
        <f>IF(OR(M82&lt;&gt;"Aktif",I82&lt;=0),0,MAX(0,I82-J82-K82))</f>
      </c>
      <c r="O82" s="42">
        <f>IFERROR(J82/I82,0)</f>
      </c>
      <c r="P82" s="29">
        <f>IF(B82="","",IF(I82&lt;0,"DÜZELT: Onaylı limit negatif olamaz.",IF(J82&lt;0,"DÜZELT: Kullanılan kredi negatif olamaz.",IF(H82&lt;=0,"DÜZELT: Kur sıfır veya negatif olamaz.",IF(J82+K82&gt;I82,"DÜZELT: "&amp;C82&amp;" - "&amp;D82&amp;" kaydında kullanılan risk + bloke ("&amp;TEXT(J82+K82,"#,##0")&amp;" TL), onaylı limiti ("&amp;TEXT(I82,"#,##0")&amp;" TL) aşıyor. Kullanılan Risk ve Bloke/Rehin tutarlarını kontrol edin.",IF(AND(M82="Aktif",L82&lt;TODAY()),"KONTROL ET: "&amp;C82&amp;" - "&amp;D82&amp;" limitinin vadesi "&amp;TEXT(L82,"dd.mm.yyyy")&amp;" tarihinde bitmiş görünüyor. Bankadan güncel vade/durum bilgisini kontrol edip sarı hücreleri güncelleyin.","TAMAM"))))))</f>
      </c>
    </row>
    <row r="83" spans="2:16" ht="18" customHeight="1">
      <c r="B83" s="36"/>
      <c r="C83" s="36"/>
      <c r="D83" s="36"/>
      <c r="E83" s="36"/>
      <c r="F83" s="36"/>
      <c r="G83" s="36"/>
      <c r="H83" s="37"/>
      <c r="I83" s="37"/>
      <c r="J83" s="37"/>
      <c r="K83" s="36"/>
      <c r="L83" s="36"/>
      <c r="M83" s="36"/>
      <c r="N83" s="41">
        <f>IF(OR(M83&lt;&gt;"Aktif",I83&lt;=0),0,MAX(0,I83-J83-K83))</f>
      </c>
      <c r="O83" s="42">
        <f>IFERROR(J83/I83,0)</f>
      </c>
      <c r="P83" s="29">
        <f>IF(B83="","",IF(I83&lt;0,"DÜZELT: Onaylı limit negatif olamaz.",IF(J83&lt;0,"DÜZELT: Kullanılan kredi negatif olamaz.",IF(H83&lt;=0,"DÜZELT: Kur sıfır veya negatif olamaz.",IF(J83+K83&gt;I83,"DÜZELT: "&amp;C83&amp;" - "&amp;D83&amp;" kaydında kullanılan risk + bloke ("&amp;TEXT(J83+K83,"#,##0")&amp;" TL), onaylı limiti ("&amp;TEXT(I83,"#,##0")&amp;" TL) aşıyor. Kullanılan Risk ve Bloke/Rehin tutarlarını kontrol edin.",IF(AND(M83="Aktif",L83&lt;TODAY()),"KONTROL ET: "&amp;C83&amp;" - "&amp;D83&amp;" limitinin vadesi "&amp;TEXT(L83,"dd.mm.yyyy")&amp;" tarihinde bitmiş görünüyor. Bankadan güncel vade/durum bilgisini kontrol edip sarı hücreleri güncelleyin.","TAMAM"))))))</f>
      </c>
    </row>
    <row r="84" spans="2:16" ht="18" customHeight="1">
      <c r="B84" s="36"/>
      <c r="C84" s="36"/>
      <c r="D84" s="36"/>
      <c r="E84" s="36"/>
      <c r="F84" s="36"/>
      <c r="G84" s="36"/>
      <c r="H84" s="37"/>
      <c r="I84" s="37"/>
      <c r="J84" s="37"/>
      <c r="K84" s="36"/>
      <c r="L84" s="36"/>
      <c r="M84" s="36"/>
      <c r="N84" s="41">
        <f>IF(OR(M84&lt;&gt;"Aktif",I84&lt;=0),0,MAX(0,I84-J84-K84))</f>
      </c>
      <c r="O84" s="42">
        <f>IFERROR(J84/I84,0)</f>
      </c>
      <c r="P84" s="29">
        <f>IF(B84="","",IF(I84&lt;0,"DÜZELT: Onaylı limit negatif olamaz.",IF(J84&lt;0,"DÜZELT: Kullanılan kredi negatif olamaz.",IF(H84&lt;=0,"DÜZELT: Kur sıfır veya negatif olamaz.",IF(J84+K84&gt;I84,"DÜZELT: "&amp;C84&amp;" - "&amp;D84&amp;" kaydında kullanılan risk + bloke ("&amp;TEXT(J84+K84,"#,##0")&amp;" TL), onaylı limiti ("&amp;TEXT(I84,"#,##0")&amp;" TL) aşıyor. Kullanılan Risk ve Bloke/Rehin tutarlarını kontrol edin.",IF(AND(M84="Aktif",L84&lt;TODAY()),"KONTROL ET: "&amp;C84&amp;" - "&amp;D84&amp;" limitinin vadesi "&amp;TEXT(L84,"dd.mm.yyyy")&amp;" tarihinde bitmiş görünüyor. Bankadan güncel vade/durum bilgisini kontrol edip sarı hücreleri güncelleyin.","TAMAM"))))))</f>
      </c>
    </row>
    <row r="85" spans="2:16" ht="18" customHeight="1">
      <c r="B85" s="36"/>
      <c r="C85" s="36"/>
      <c r="D85" s="36"/>
      <c r="E85" s="36"/>
      <c r="F85" s="36"/>
      <c r="G85" s="36"/>
      <c r="H85" s="37"/>
      <c r="I85" s="37"/>
      <c r="J85" s="37"/>
      <c r="K85" s="36"/>
      <c r="L85" s="36"/>
      <c r="M85" s="36"/>
      <c r="N85" s="41">
        <f>IF(OR(M85&lt;&gt;"Aktif",I85&lt;=0),0,MAX(0,I85-J85-K85))</f>
      </c>
      <c r="O85" s="42">
        <f>IFERROR(J85/I85,0)</f>
      </c>
      <c r="P85" s="29">
        <f>IF(B85="","",IF(I85&lt;0,"DÜZELT: Onaylı limit negatif olamaz.",IF(J85&lt;0,"DÜZELT: Kullanılan kredi negatif olamaz.",IF(H85&lt;=0,"DÜZELT: Kur sıfır veya negatif olamaz.",IF(J85+K85&gt;I85,"DÜZELT: "&amp;C85&amp;" - "&amp;D85&amp;" kaydında kullanılan risk + bloke ("&amp;TEXT(J85+K85,"#,##0")&amp;" TL), onaylı limiti ("&amp;TEXT(I85,"#,##0")&amp;" TL) aşıyor. Kullanılan Risk ve Bloke/Rehin tutarlarını kontrol edin.",IF(AND(M85="Aktif",L85&lt;TODAY()),"KONTROL ET: "&amp;C85&amp;" - "&amp;D85&amp;" limitinin vadesi "&amp;TEXT(L85,"dd.mm.yyyy")&amp;" tarihinde bitmiş görünüyor. Bankadan güncel vade/durum bilgisini kontrol edip sarı hücreleri güncelleyin.","TAMAM"))))))</f>
      </c>
    </row>
    <row r="86" spans="2:16" ht="18" customHeight="1">
      <c r="B86" s="36"/>
      <c r="C86" s="36"/>
      <c r="D86" s="36"/>
      <c r="E86" s="36"/>
      <c r="F86" s="36"/>
      <c r="G86" s="36"/>
      <c r="H86" s="37"/>
      <c r="I86" s="37"/>
      <c r="J86" s="37"/>
      <c r="K86" s="36"/>
      <c r="L86" s="36"/>
      <c r="M86" s="36"/>
      <c r="N86" s="41">
        <f>IF(OR(M86&lt;&gt;"Aktif",I86&lt;=0),0,MAX(0,I86-J86-K86))</f>
      </c>
      <c r="O86" s="42">
        <f>IFERROR(J86/I86,0)</f>
      </c>
      <c r="P86" s="29">
        <f>IF(B86="","",IF(I86&lt;0,"DÜZELT: Onaylı limit negatif olamaz.",IF(J86&lt;0,"DÜZELT: Kullanılan kredi negatif olamaz.",IF(H86&lt;=0,"DÜZELT: Kur sıfır veya negatif olamaz.",IF(J86+K86&gt;I86,"DÜZELT: "&amp;C86&amp;" - "&amp;D86&amp;" kaydında kullanılan risk + bloke ("&amp;TEXT(J86+K86,"#,##0")&amp;" TL), onaylı limiti ("&amp;TEXT(I86,"#,##0")&amp;" TL) aşıyor. Kullanılan Risk ve Bloke/Rehin tutarlarını kontrol edin.",IF(AND(M86="Aktif",L86&lt;TODAY()),"KONTROL ET: "&amp;C86&amp;" - "&amp;D86&amp;" limitinin vadesi "&amp;TEXT(L86,"dd.mm.yyyy")&amp;" tarihinde bitmiş görünüyor. Bankadan güncel vade/durum bilgisini kontrol edip sarı hücreleri güncelleyin.","TAMAM"))))))</f>
      </c>
    </row>
    <row r="87" spans="2:16" ht="18" customHeight="1">
      <c r="B87" s="36"/>
      <c r="C87" s="36"/>
      <c r="D87" s="36"/>
      <c r="E87" s="36"/>
      <c r="F87" s="36"/>
      <c r="G87" s="36"/>
      <c r="H87" s="37"/>
      <c r="I87" s="37"/>
      <c r="J87" s="37"/>
      <c r="K87" s="36"/>
      <c r="L87" s="36"/>
      <c r="M87" s="36"/>
      <c r="N87" s="41">
        <f>IF(OR(M87&lt;&gt;"Aktif",I87&lt;=0),0,MAX(0,I87-J87-K87))</f>
      </c>
      <c r="O87" s="42">
        <f>IFERROR(J87/I87,0)</f>
      </c>
      <c r="P87" s="29">
        <f>IF(B87="","",IF(I87&lt;0,"DÜZELT: Onaylı limit negatif olamaz.",IF(J87&lt;0,"DÜZELT: Kullanılan kredi negatif olamaz.",IF(H87&lt;=0,"DÜZELT: Kur sıfır veya negatif olamaz.",IF(J87+K87&gt;I87,"DÜZELT: "&amp;C87&amp;" - "&amp;D87&amp;" kaydında kullanılan risk + bloke ("&amp;TEXT(J87+K87,"#,##0")&amp;" TL), onaylı limiti ("&amp;TEXT(I87,"#,##0")&amp;" TL) aşıyor. Kullanılan Risk ve Bloke/Rehin tutarlarını kontrol edin.",IF(AND(M87="Aktif",L87&lt;TODAY()),"KONTROL ET: "&amp;C87&amp;" - "&amp;D87&amp;" limitinin vadesi "&amp;TEXT(L87,"dd.mm.yyyy")&amp;" tarihinde bitmiş görünüyor. Bankadan güncel vade/durum bilgisini kontrol edip sarı hücreleri güncelleyin.","TAMAM"))))))</f>
      </c>
    </row>
    <row r="88" spans="2:16" ht="18" customHeight="1">
      <c r="B88" s="36"/>
      <c r="C88" s="36"/>
      <c r="D88" s="36"/>
      <c r="E88" s="36"/>
      <c r="F88" s="36"/>
      <c r="G88" s="36"/>
      <c r="H88" s="37"/>
      <c r="I88" s="37"/>
      <c r="J88" s="37"/>
      <c r="K88" s="36"/>
      <c r="L88" s="36"/>
      <c r="M88" s="36"/>
      <c r="N88" s="41">
        <f>IF(OR(M88&lt;&gt;"Aktif",I88&lt;=0),0,MAX(0,I88-J88-K88))</f>
      </c>
      <c r="O88" s="42">
        <f>IFERROR(J88/I88,0)</f>
      </c>
      <c r="P88" s="29">
        <f>IF(B88="","",IF(I88&lt;0,"DÜZELT: Onaylı limit negatif olamaz.",IF(J88&lt;0,"DÜZELT: Kullanılan kredi negatif olamaz.",IF(H88&lt;=0,"DÜZELT: Kur sıfır veya negatif olamaz.",IF(J88+K88&gt;I88,"DÜZELT: "&amp;C88&amp;" - "&amp;D88&amp;" kaydında kullanılan risk + bloke ("&amp;TEXT(J88+K88,"#,##0")&amp;" TL), onaylı limiti ("&amp;TEXT(I88,"#,##0")&amp;" TL) aşıyor. Kullanılan Risk ve Bloke/Rehin tutarlarını kontrol edin.",IF(AND(M88="Aktif",L88&lt;TODAY()),"KONTROL ET: "&amp;C88&amp;" - "&amp;D88&amp;" limitinin vadesi "&amp;TEXT(L88,"dd.mm.yyyy")&amp;" tarihinde bitmiş görünüyor. Bankadan güncel vade/durum bilgisini kontrol edip sarı hücreleri güncelleyin.","TAMAM"))))))</f>
      </c>
    </row>
    <row r="89" spans="2:16" ht="18" customHeight="1">
      <c r="B89" s="36"/>
      <c r="C89" s="36"/>
      <c r="D89" s="36"/>
      <c r="E89" s="36"/>
      <c r="F89" s="36"/>
      <c r="G89" s="36"/>
      <c r="H89" s="37"/>
      <c r="I89" s="37"/>
      <c r="J89" s="37"/>
      <c r="K89" s="36"/>
      <c r="L89" s="36"/>
      <c r="M89" s="36"/>
      <c r="N89" s="41">
        <f>IF(OR(M89&lt;&gt;"Aktif",I89&lt;=0),0,MAX(0,I89-J89-K89))</f>
      </c>
      <c r="O89" s="42">
        <f>IFERROR(J89/I89,0)</f>
      </c>
      <c r="P89" s="29">
        <f>IF(B89="","",IF(I89&lt;0,"DÜZELT: Onaylı limit negatif olamaz.",IF(J89&lt;0,"DÜZELT: Kullanılan kredi negatif olamaz.",IF(H89&lt;=0,"DÜZELT: Kur sıfır veya negatif olamaz.",IF(J89+K89&gt;I89,"DÜZELT: "&amp;C89&amp;" - "&amp;D89&amp;" kaydında kullanılan risk + bloke ("&amp;TEXT(J89+K89,"#,##0")&amp;" TL), onaylı limiti ("&amp;TEXT(I89,"#,##0")&amp;" TL) aşıyor. Kullanılan Risk ve Bloke/Rehin tutarlarını kontrol edin.",IF(AND(M89="Aktif",L89&lt;TODAY()),"KONTROL ET: "&amp;C89&amp;" - "&amp;D89&amp;" limitinin vadesi "&amp;TEXT(L89,"dd.mm.yyyy")&amp;" tarihinde bitmiş görünüyor. Bankadan güncel vade/durum bilgisini kontrol edip sarı hücreleri güncelleyin.","TAMAM"))))))</f>
      </c>
    </row>
    <row r="90" spans="2:16" ht="18" customHeight="1">
      <c r="B90" s="36"/>
      <c r="C90" s="36"/>
      <c r="D90" s="36"/>
      <c r="E90" s="36"/>
      <c r="F90" s="36"/>
      <c r="G90" s="36"/>
      <c r="H90" s="37"/>
      <c r="I90" s="37"/>
      <c r="J90" s="37"/>
      <c r="K90" s="36"/>
      <c r="L90" s="36"/>
      <c r="M90" s="36"/>
      <c r="N90" s="41">
        <f>IF(OR(M90&lt;&gt;"Aktif",I90&lt;=0),0,MAX(0,I90-J90-K90))</f>
      </c>
      <c r="O90" s="42">
        <f>IFERROR(J90/I90,0)</f>
      </c>
      <c r="P90" s="29">
        <f>IF(B90="","",IF(I90&lt;0,"DÜZELT: Onaylı limit negatif olamaz.",IF(J90&lt;0,"DÜZELT: Kullanılan kredi negatif olamaz.",IF(H90&lt;=0,"DÜZELT: Kur sıfır veya negatif olamaz.",IF(J90+K90&gt;I90,"DÜZELT: "&amp;C90&amp;" - "&amp;D90&amp;" kaydında kullanılan risk + bloke ("&amp;TEXT(J90+K90,"#,##0")&amp;" TL), onaylı limiti ("&amp;TEXT(I90,"#,##0")&amp;" TL) aşıyor. Kullanılan Risk ve Bloke/Rehin tutarlarını kontrol edin.",IF(AND(M90="Aktif",L90&lt;TODAY()),"KONTROL ET: "&amp;C90&amp;" - "&amp;D90&amp;" limitinin vadesi "&amp;TEXT(L90,"dd.mm.yyyy")&amp;" tarihinde bitmiş görünüyor. Bankadan güncel vade/durum bilgisini kontrol edip sarı hücreleri güncelleyin.","TAMAM"))))))</f>
      </c>
    </row>
    <row r="91" spans="2:16" ht="18" customHeight="1">
      <c r="B91" s="36"/>
      <c r="C91" s="36"/>
      <c r="D91" s="36"/>
      <c r="E91" s="36"/>
      <c r="F91" s="36"/>
      <c r="G91" s="36"/>
      <c r="H91" s="37"/>
      <c r="I91" s="37"/>
      <c r="J91" s="37"/>
      <c r="K91" s="36"/>
      <c r="L91" s="36"/>
      <c r="M91" s="36"/>
      <c r="N91" s="41">
        <f>IF(OR(M91&lt;&gt;"Aktif",I91&lt;=0),0,MAX(0,I91-J91-K91))</f>
      </c>
      <c r="O91" s="42">
        <f>IFERROR(J91/I91,0)</f>
      </c>
      <c r="P91" s="29">
        <f>IF(B91="","",IF(I91&lt;0,"DÜZELT: Onaylı limit negatif olamaz.",IF(J91&lt;0,"DÜZELT: Kullanılan kredi negatif olamaz.",IF(H91&lt;=0,"DÜZELT: Kur sıfır veya negatif olamaz.",IF(J91+K91&gt;I91,"DÜZELT: "&amp;C91&amp;" - "&amp;D91&amp;" kaydında kullanılan risk + bloke ("&amp;TEXT(J91+K91,"#,##0")&amp;" TL), onaylı limiti ("&amp;TEXT(I91,"#,##0")&amp;" TL) aşıyor. Kullanılan Risk ve Bloke/Rehin tutarlarını kontrol edin.",IF(AND(M91="Aktif",L91&lt;TODAY()),"KONTROL ET: "&amp;C91&amp;" - "&amp;D91&amp;" limitinin vadesi "&amp;TEXT(L91,"dd.mm.yyyy")&amp;" tarihinde bitmiş görünüyor. Bankadan güncel vade/durum bilgisini kontrol edip sarı hücreleri güncelleyin.","TAMAM"))))))</f>
      </c>
    </row>
    <row r="92" spans="2:16" ht="18" customHeight="1">
      <c r="B92" s="36"/>
      <c r="C92" s="36"/>
      <c r="D92" s="36"/>
      <c r="E92" s="36"/>
      <c r="F92" s="36"/>
      <c r="G92" s="36"/>
      <c r="H92" s="37"/>
      <c r="I92" s="37"/>
      <c r="J92" s="37"/>
      <c r="K92" s="36"/>
      <c r="L92" s="36"/>
      <c r="M92" s="36"/>
      <c r="N92" s="41">
        <f>IF(OR(M92&lt;&gt;"Aktif",I92&lt;=0),0,MAX(0,I92-J92-K92))</f>
      </c>
      <c r="O92" s="42">
        <f>IFERROR(J92/I92,0)</f>
      </c>
      <c r="P92" s="29">
        <f>IF(B92="","",IF(I92&lt;0,"DÜZELT: Onaylı limit negatif olamaz.",IF(J92&lt;0,"DÜZELT: Kullanılan kredi negatif olamaz.",IF(H92&lt;=0,"DÜZELT: Kur sıfır veya negatif olamaz.",IF(J92+K92&gt;I92,"DÜZELT: "&amp;C92&amp;" - "&amp;D92&amp;" kaydında kullanılan risk + bloke ("&amp;TEXT(J92+K92,"#,##0")&amp;" TL), onaylı limiti ("&amp;TEXT(I92,"#,##0")&amp;" TL) aşıyor. Kullanılan Risk ve Bloke/Rehin tutarlarını kontrol edin.",IF(AND(M92="Aktif",L92&lt;TODAY()),"KONTROL ET: "&amp;C92&amp;" - "&amp;D92&amp;" limitinin vadesi "&amp;TEXT(L92,"dd.mm.yyyy")&amp;" tarihinde bitmiş görünüyor. Bankadan güncel vade/durum bilgisini kontrol edip sarı hücreleri güncelleyin.","TAMAM"))))))</f>
      </c>
    </row>
    <row r="93" spans="2:16" ht="18" customHeight="1">
      <c r="B93" s="36"/>
      <c r="C93" s="36"/>
      <c r="D93" s="36"/>
      <c r="E93" s="36"/>
      <c r="F93" s="36"/>
      <c r="G93" s="36"/>
      <c r="H93" s="37"/>
      <c r="I93" s="37"/>
      <c r="J93" s="37"/>
      <c r="K93" s="36"/>
      <c r="L93" s="36"/>
      <c r="M93" s="36"/>
      <c r="N93" s="41">
        <f>IF(OR(M93&lt;&gt;"Aktif",I93&lt;=0),0,MAX(0,I93-J93-K93))</f>
      </c>
      <c r="O93" s="42">
        <f>IFERROR(J93/I93,0)</f>
      </c>
      <c r="P93" s="29">
        <f>IF(B93="","",IF(I93&lt;0,"DÜZELT: Onaylı limit negatif olamaz.",IF(J93&lt;0,"DÜZELT: Kullanılan kredi negatif olamaz.",IF(H93&lt;=0,"DÜZELT: Kur sıfır veya negatif olamaz.",IF(J93+K93&gt;I93,"DÜZELT: "&amp;C93&amp;" - "&amp;D93&amp;" kaydında kullanılan risk + bloke ("&amp;TEXT(J93+K93,"#,##0")&amp;" TL), onaylı limiti ("&amp;TEXT(I93,"#,##0")&amp;" TL) aşıyor. Kullanılan Risk ve Bloke/Rehin tutarlarını kontrol edin.",IF(AND(M93="Aktif",L93&lt;TODAY()),"KONTROL ET: "&amp;C93&amp;" - "&amp;D93&amp;" limitinin vadesi "&amp;TEXT(L93,"dd.mm.yyyy")&amp;" tarihinde bitmiş görünüyor. Bankadan güncel vade/durum bilgisini kontrol edip sarı hücreleri güncelleyin.","TAMAM"))))))</f>
      </c>
    </row>
    <row r="94" spans="2:16" ht="18" customHeight="1">
      <c r="B94" s="36"/>
      <c r="C94" s="36"/>
      <c r="D94" s="36"/>
      <c r="E94" s="36"/>
      <c r="F94" s="36"/>
      <c r="G94" s="36"/>
      <c r="H94" s="37"/>
      <c r="I94" s="37"/>
      <c r="J94" s="37"/>
      <c r="K94" s="36"/>
      <c r="L94" s="36"/>
      <c r="M94" s="36"/>
      <c r="N94" s="41">
        <f>IF(OR(M94&lt;&gt;"Aktif",I94&lt;=0),0,MAX(0,I94-J94-K94))</f>
      </c>
      <c r="O94" s="42">
        <f>IFERROR(J94/I94,0)</f>
      </c>
      <c r="P94" s="29">
        <f>IF(B94="","",IF(I94&lt;0,"DÜZELT: Onaylı limit negatif olamaz.",IF(J94&lt;0,"DÜZELT: Kullanılan kredi negatif olamaz.",IF(H94&lt;=0,"DÜZELT: Kur sıfır veya negatif olamaz.",IF(J94+K94&gt;I94,"DÜZELT: "&amp;C94&amp;" - "&amp;D94&amp;" kaydında kullanılan risk + bloke ("&amp;TEXT(J94+K94,"#,##0")&amp;" TL), onaylı limiti ("&amp;TEXT(I94,"#,##0")&amp;" TL) aşıyor. Kullanılan Risk ve Bloke/Rehin tutarlarını kontrol edin.",IF(AND(M94="Aktif",L94&lt;TODAY()),"KONTROL ET: "&amp;C94&amp;" - "&amp;D94&amp;" limitinin vadesi "&amp;TEXT(L94,"dd.mm.yyyy")&amp;" tarihinde bitmiş görünüyor. Bankadan güncel vade/durum bilgisini kontrol edip sarı hücreleri güncelleyin.","TAMAM"))))))</f>
      </c>
    </row>
    <row r="95" spans="2:16" ht="18" customHeight="1">
      <c r="B95" s="36"/>
      <c r="C95" s="36"/>
      <c r="D95" s="36"/>
      <c r="E95" s="36"/>
      <c r="F95" s="36"/>
      <c r="G95" s="36"/>
      <c r="H95" s="37"/>
      <c r="I95" s="37"/>
      <c r="J95" s="37"/>
      <c r="K95" s="36"/>
      <c r="L95" s="36"/>
      <c r="M95" s="36"/>
      <c r="N95" s="41">
        <f>IF(OR(M95&lt;&gt;"Aktif",I95&lt;=0),0,MAX(0,I95-J95-K95))</f>
      </c>
      <c r="O95" s="42">
        <f>IFERROR(J95/I95,0)</f>
      </c>
      <c r="P95" s="29">
        <f>IF(B95="","",IF(I95&lt;0,"DÜZELT: Onaylı limit negatif olamaz.",IF(J95&lt;0,"DÜZELT: Kullanılan kredi negatif olamaz.",IF(H95&lt;=0,"DÜZELT: Kur sıfır veya negatif olamaz.",IF(J95+K95&gt;I95,"DÜZELT: "&amp;C95&amp;" - "&amp;D95&amp;" kaydında kullanılan risk + bloke ("&amp;TEXT(J95+K95,"#,##0")&amp;" TL), onaylı limiti ("&amp;TEXT(I95,"#,##0")&amp;" TL) aşıyor. Kullanılan Risk ve Bloke/Rehin tutarlarını kontrol edin.",IF(AND(M95="Aktif",L95&lt;TODAY()),"KONTROL ET: "&amp;C95&amp;" - "&amp;D95&amp;" limitinin vadesi "&amp;TEXT(L95,"dd.mm.yyyy")&amp;" tarihinde bitmiş görünüyor. Bankadan güncel vade/durum bilgisini kontrol edip sarı hücreleri güncelleyin.","TAMAM"))))))</f>
      </c>
    </row>
    <row r="96" spans="2:16" ht="18" customHeight="1">
      <c r="B96" s="36"/>
      <c r="C96" s="36"/>
      <c r="D96" s="36"/>
      <c r="E96" s="36"/>
      <c r="F96" s="36"/>
      <c r="G96" s="36"/>
      <c r="H96" s="37"/>
      <c r="I96" s="37"/>
      <c r="J96" s="37"/>
      <c r="K96" s="36"/>
      <c r="L96" s="36"/>
      <c r="M96" s="36"/>
      <c r="N96" s="41">
        <f>IF(OR(M96&lt;&gt;"Aktif",I96&lt;=0),0,MAX(0,I96-J96-K96))</f>
      </c>
      <c r="O96" s="42">
        <f>IFERROR(J96/I96,0)</f>
      </c>
      <c r="P96" s="29">
        <f>IF(B96="","",IF(I96&lt;0,"DÜZELT: Onaylı limit negatif olamaz.",IF(J96&lt;0,"DÜZELT: Kullanılan kredi negatif olamaz.",IF(H96&lt;=0,"DÜZELT: Kur sıfır veya negatif olamaz.",IF(J96+K96&gt;I96,"DÜZELT: "&amp;C96&amp;" - "&amp;D96&amp;" kaydında kullanılan risk + bloke ("&amp;TEXT(J96+K96,"#,##0")&amp;" TL), onaylı limiti ("&amp;TEXT(I96,"#,##0")&amp;" TL) aşıyor. Kullanılan Risk ve Bloke/Rehin tutarlarını kontrol edin.",IF(AND(M96="Aktif",L96&lt;TODAY()),"KONTROL ET: "&amp;C96&amp;" - "&amp;D96&amp;" limitinin vadesi "&amp;TEXT(L96,"dd.mm.yyyy")&amp;" tarihinde bitmiş görünüyor. Bankadan güncel vade/durum bilgisini kontrol edip sarı hücreleri güncelleyin.","TAMAM"))))))</f>
      </c>
    </row>
    <row r="97" spans="2:16" ht="18" customHeight="1">
      <c r="B97" s="36"/>
      <c r="C97" s="36"/>
      <c r="D97" s="36"/>
      <c r="E97" s="36"/>
      <c r="F97" s="36"/>
      <c r="G97" s="36"/>
      <c r="H97" s="37"/>
      <c r="I97" s="37"/>
      <c r="J97" s="37"/>
      <c r="K97" s="36"/>
      <c r="L97" s="36"/>
      <c r="M97" s="36"/>
      <c r="N97" s="41">
        <f>IF(OR(M97&lt;&gt;"Aktif",I97&lt;=0),0,MAX(0,I97-J97-K97))</f>
      </c>
      <c r="O97" s="42">
        <f>IFERROR(J97/I97,0)</f>
      </c>
      <c r="P97" s="29">
        <f>IF(B97="","",IF(I97&lt;0,"DÜZELT: Onaylı limit negatif olamaz.",IF(J97&lt;0,"DÜZELT: Kullanılan kredi negatif olamaz.",IF(H97&lt;=0,"DÜZELT: Kur sıfır veya negatif olamaz.",IF(J97+K97&gt;I97,"DÜZELT: "&amp;C97&amp;" - "&amp;D97&amp;" kaydında kullanılan risk + bloke ("&amp;TEXT(J97+K97,"#,##0")&amp;" TL), onaylı limiti ("&amp;TEXT(I97,"#,##0")&amp;" TL) aşıyor. Kullanılan Risk ve Bloke/Rehin tutarlarını kontrol edin.",IF(AND(M97="Aktif",L97&lt;TODAY()),"KONTROL ET: "&amp;C97&amp;" - "&amp;D97&amp;" limitinin vadesi "&amp;TEXT(L97,"dd.mm.yyyy")&amp;" tarihinde bitmiş görünüyor. Bankadan güncel vade/durum bilgisini kontrol edip sarı hücreleri güncelleyin.","TAMAM"))))))</f>
      </c>
    </row>
    <row r="98" spans="2:16" ht="18" customHeight="1">
      <c r="B98" s="36"/>
      <c r="C98" s="36"/>
      <c r="D98" s="36"/>
      <c r="E98" s="36"/>
      <c r="F98" s="36"/>
      <c r="G98" s="36"/>
      <c r="H98" s="37"/>
      <c r="I98" s="37"/>
      <c r="J98" s="37"/>
      <c r="K98" s="36"/>
      <c r="L98" s="36"/>
      <c r="M98" s="36"/>
      <c r="N98" s="41">
        <f>IF(OR(M98&lt;&gt;"Aktif",I98&lt;=0),0,MAX(0,I98-J98-K98))</f>
      </c>
      <c r="O98" s="42">
        <f>IFERROR(J98/I98,0)</f>
      </c>
      <c r="P98" s="29">
        <f>IF(B98="","",IF(I98&lt;0,"DÜZELT: Onaylı limit negatif olamaz.",IF(J98&lt;0,"DÜZELT: Kullanılan kredi negatif olamaz.",IF(H98&lt;=0,"DÜZELT: Kur sıfır veya negatif olamaz.",IF(J98+K98&gt;I98,"DÜZELT: "&amp;C98&amp;" - "&amp;D98&amp;" kaydında kullanılan risk + bloke ("&amp;TEXT(J98+K98,"#,##0")&amp;" TL), onaylı limiti ("&amp;TEXT(I98,"#,##0")&amp;" TL) aşıyor. Kullanılan Risk ve Bloke/Rehin tutarlarını kontrol edin.",IF(AND(M98="Aktif",L98&lt;TODAY()),"KONTROL ET: "&amp;C98&amp;" - "&amp;D98&amp;" limitinin vadesi "&amp;TEXT(L98,"dd.mm.yyyy")&amp;" tarihinde bitmiş görünüyor. Bankadan güncel vade/durum bilgisini kontrol edip sarı hücreleri güncelleyin.","TAMAM"))))))</f>
      </c>
    </row>
    <row r="99" spans="2:16" ht="18" customHeight="1">
      <c r="B99" s="36"/>
      <c r="C99" s="36"/>
      <c r="D99" s="36"/>
      <c r="E99" s="36"/>
      <c r="F99" s="36"/>
      <c r="G99" s="36"/>
      <c r="H99" s="37"/>
      <c r="I99" s="37"/>
      <c r="J99" s="37"/>
      <c r="K99" s="36"/>
      <c r="L99" s="36"/>
      <c r="M99" s="36"/>
      <c r="N99" s="41">
        <f>IF(OR(M99&lt;&gt;"Aktif",I99&lt;=0),0,MAX(0,I99-J99-K99))</f>
      </c>
      <c r="O99" s="42">
        <f>IFERROR(J99/I99,0)</f>
      </c>
      <c r="P99" s="29">
        <f>IF(B99="","",IF(I99&lt;0,"DÜZELT: Onaylı limit negatif olamaz.",IF(J99&lt;0,"DÜZELT: Kullanılan kredi negatif olamaz.",IF(H99&lt;=0,"DÜZELT: Kur sıfır veya negatif olamaz.",IF(J99+K99&gt;I99,"DÜZELT: "&amp;C99&amp;" - "&amp;D99&amp;" kaydında kullanılan risk + bloke ("&amp;TEXT(J99+K99,"#,##0")&amp;" TL), onaylı limiti ("&amp;TEXT(I99,"#,##0")&amp;" TL) aşıyor. Kullanılan Risk ve Bloke/Rehin tutarlarını kontrol edin.",IF(AND(M99="Aktif",L99&lt;TODAY()),"KONTROL ET: "&amp;C99&amp;" - "&amp;D99&amp;" limitinin vadesi "&amp;TEXT(L99,"dd.mm.yyyy")&amp;" tarihinde bitmiş görünüyor. Bankadan güncel vade/durum bilgisini kontrol edip sarı hücreleri güncelleyin.","TAMAM"))))))</f>
      </c>
    </row>
    <row r="100" spans="2:16" ht="18" customHeight="1">
      <c r="B100" s="36"/>
      <c r="C100" s="36"/>
      <c r="D100" s="36"/>
      <c r="E100" s="36"/>
      <c r="F100" s="36"/>
      <c r="G100" s="36"/>
      <c r="H100" s="37"/>
      <c r="I100" s="37"/>
      <c r="J100" s="37"/>
      <c r="K100" s="36"/>
      <c r="L100" s="36"/>
      <c r="M100" s="36"/>
      <c r="N100" s="41">
        <f>IF(OR(M100&lt;&gt;"Aktif",I100&lt;=0),0,MAX(0,I100-J100-K100))</f>
      </c>
      <c r="O100" s="42">
        <f>IFERROR(J100/I100,0)</f>
      </c>
      <c r="P100" s="29">
        <f>IF(B100="","",IF(I100&lt;0,"DÜZELT: Onaylı limit negatif olamaz.",IF(J100&lt;0,"DÜZELT: Kullanılan kredi negatif olamaz.",IF(H100&lt;=0,"DÜZELT: Kur sıfır veya negatif olamaz.",IF(J100+K100&gt;I100,"DÜZELT: "&amp;C100&amp;" - "&amp;D100&amp;" kaydında kullanılan risk + bloke ("&amp;TEXT(J100+K100,"#,##0")&amp;" TL), onaylı limiti ("&amp;TEXT(I100,"#,##0")&amp;" TL) aşıyor. Kullanılan Risk ve Bloke/Rehin tutarlarını kontrol edin.",IF(AND(M100="Aktif",L100&lt;TODAY()),"KONTROL ET: "&amp;C100&amp;" - "&amp;D100&amp;" limitinin vadesi "&amp;TEXT(L100,"dd.mm.yyyy")&amp;" tarihinde bitmiş görünüyor. Bankadan güncel vade/durum bilgisini kontrol edip sarı hücreleri güncelleyin.","TAMAM"))))))</f>
      </c>
    </row>
    <row r="101" spans="2:16" ht="18" customHeight="1">
      <c r="B101" s="36"/>
      <c r="C101" s="36"/>
      <c r="D101" s="36"/>
      <c r="E101" s="36"/>
      <c r="F101" s="36"/>
      <c r="G101" s="36"/>
      <c r="H101" s="37"/>
      <c r="I101" s="37"/>
      <c r="J101" s="37"/>
      <c r="K101" s="36"/>
      <c r="L101" s="36"/>
      <c r="M101" s="36"/>
      <c r="N101" s="41">
        <f>IF(OR(M101&lt;&gt;"Aktif",I101&lt;=0),0,MAX(0,I101-J101-K101))</f>
      </c>
      <c r="O101" s="42">
        <f>IFERROR(J101/I101,0)</f>
      </c>
      <c r="P101" s="29">
        <f>IF(B101="","",IF(I101&lt;0,"DÜZELT: Onaylı limit negatif olamaz.",IF(J101&lt;0,"DÜZELT: Kullanılan kredi negatif olamaz.",IF(H101&lt;=0,"DÜZELT: Kur sıfır veya negatif olamaz.",IF(J101+K101&gt;I101,"DÜZELT: "&amp;C101&amp;" - "&amp;D101&amp;" kaydında kullanılan risk + bloke ("&amp;TEXT(J101+K101,"#,##0")&amp;" TL), onaylı limiti ("&amp;TEXT(I101,"#,##0")&amp;" TL) aşıyor. Kullanılan Risk ve Bloke/Rehin tutarlarını kontrol edin.",IF(AND(M101="Aktif",L101&lt;TODAY()),"KONTROL ET: "&amp;C101&amp;" - "&amp;D101&amp;" limitinin vadesi "&amp;TEXT(L101,"dd.mm.yyyy")&amp;" tarihinde bitmiş görünüyor. Bankadan güncel vade/durum bilgisini kontrol edip sarı hücreleri güncelleyin.","TAMAM"))))))</f>
      </c>
    </row>
    <row r="102" spans="2:16" ht="18" customHeight="1">
      <c r="B102" s="36"/>
      <c r="C102" s="36"/>
      <c r="D102" s="36"/>
      <c r="E102" s="36"/>
      <c r="F102" s="36"/>
      <c r="G102" s="36"/>
      <c r="H102" s="37"/>
      <c r="I102" s="37"/>
      <c r="J102" s="37"/>
      <c r="K102" s="36"/>
      <c r="L102" s="36"/>
      <c r="M102" s="36"/>
      <c r="N102" s="41">
        <f>IF(OR(M102&lt;&gt;"Aktif",I102&lt;=0),0,MAX(0,I102-J102-K102))</f>
      </c>
      <c r="O102" s="42">
        <f>IFERROR(J102/I102,0)</f>
      </c>
      <c r="P102" s="29">
        <f>IF(B102="","",IF(I102&lt;0,"DÜZELT: Onaylı limit negatif olamaz.",IF(J102&lt;0,"DÜZELT: Kullanılan kredi negatif olamaz.",IF(H102&lt;=0,"DÜZELT: Kur sıfır veya negatif olamaz.",IF(J102+K102&gt;I102,"DÜZELT: "&amp;C102&amp;" - "&amp;D102&amp;" kaydında kullanılan risk + bloke ("&amp;TEXT(J102+K102,"#,##0")&amp;" TL), onaylı limiti ("&amp;TEXT(I102,"#,##0")&amp;" TL) aşıyor. Kullanılan Risk ve Bloke/Rehin tutarlarını kontrol edin.",IF(AND(M102="Aktif",L102&lt;TODAY()),"KONTROL ET: "&amp;C102&amp;" - "&amp;D102&amp;" limitinin vadesi "&amp;TEXT(L102,"dd.mm.yyyy")&amp;" tarihinde bitmiş görünüyor. Bankadan güncel vade/durum bilgisini kontrol edip sarı hücreleri güncelleyin.","TAMAM"))))))</f>
      </c>
    </row>
    <row r="103" spans="2:16" ht="18" customHeight="1">
      <c r="B103" s="36"/>
      <c r="C103" s="36"/>
      <c r="D103" s="36"/>
      <c r="E103" s="36"/>
      <c r="F103" s="36"/>
      <c r="G103" s="36"/>
      <c r="H103" s="37"/>
      <c r="I103" s="37"/>
      <c r="J103" s="37"/>
      <c r="K103" s="36"/>
      <c r="L103" s="36"/>
      <c r="M103" s="36"/>
      <c r="N103" s="41">
        <f>IF(OR(M103&lt;&gt;"Aktif",I103&lt;=0),0,MAX(0,I103-J103-K103))</f>
      </c>
      <c r="O103" s="42">
        <f>IFERROR(J103/I103,0)</f>
      </c>
      <c r="P103" s="29">
        <f>IF(B103="","",IF(I103&lt;0,"DÜZELT: Onaylı limit negatif olamaz.",IF(J103&lt;0,"DÜZELT: Kullanılan kredi negatif olamaz.",IF(H103&lt;=0,"DÜZELT: Kur sıfır veya negatif olamaz.",IF(J103+K103&gt;I103,"DÜZELT: "&amp;C103&amp;" - "&amp;D103&amp;" kaydında kullanılan risk + bloke ("&amp;TEXT(J103+K103,"#,##0")&amp;" TL), onaylı limiti ("&amp;TEXT(I103,"#,##0")&amp;" TL) aşıyor. Kullanılan Risk ve Bloke/Rehin tutarlarını kontrol edin.",IF(AND(M103="Aktif",L103&lt;TODAY()),"KONTROL ET: "&amp;C103&amp;" - "&amp;D103&amp;" limitinin vadesi "&amp;TEXT(L103,"dd.mm.yyyy")&amp;" tarihinde bitmiş görünüyor. Bankadan güncel vade/durum bilgisini kontrol edip sarı hücreleri güncelleyin.","TAMAM"))))))</f>
      </c>
    </row>
    <row r="104" spans="2:16" ht="18" customHeight="1">
      <c r="B104" s="36"/>
      <c r="C104" s="36"/>
      <c r="D104" s="36"/>
      <c r="E104" s="36"/>
      <c r="F104" s="36"/>
      <c r="G104" s="36"/>
      <c r="H104" s="37"/>
      <c r="I104" s="37"/>
      <c r="J104" s="37"/>
      <c r="K104" s="36"/>
      <c r="L104" s="36"/>
      <c r="M104" s="36"/>
      <c r="N104" s="41">
        <f>IF(OR(M104&lt;&gt;"Aktif",I104&lt;=0),0,MAX(0,I104-J104-K104))</f>
      </c>
      <c r="O104" s="42">
        <f>IFERROR(J104/I104,0)</f>
      </c>
      <c r="P104" s="29">
        <f>IF(B104="","",IF(I104&lt;0,"DÜZELT: Onaylı limit negatif olamaz.",IF(J104&lt;0,"DÜZELT: Kullanılan kredi negatif olamaz.",IF(H104&lt;=0,"DÜZELT: Kur sıfır veya negatif olamaz.",IF(J104+K104&gt;I104,"DÜZELT: "&amp;C104&amp;" - "&amp;D104&amp;" kaydında kullanılan risk + bloke ("&amp;TEXT(J104+K104,"#,##0")&amp;" TL), onaylı limiti ("&amp;TEXT(I104,"#,##0")&amp;" TL) aşıyor. Kullanılan Risk ve Bloke/Rehin tutarlarını kontrol edin.",IF(AND(M104="Aktif",L104&lt;TODAY()),"KONTROL ET: "&amp;C104&amp;" - "&amp;D104&amp;" limitinin vadesi "&amp;TEXT(L104,"dd.mm.yyyy")&amp;" tarihinde bitmiş görünüyor. Bankadan güncel vade/durum bilgisini kontrol edip sarı hücreleri güncelleyin.","TAMAM"))))))</f>
      </c>
    </row>
    <row r="105" spans="2:16" ht="18" customHeight="1">
      <c r="B105" s="36"/>
      <c r="C105" s="36"/>
      <c r="D105" s="36"/>
      <c r="E105" s="36"/>
      <c r="F105" s="36"/>
      <c r="G105" s="36"/>
      <c r="H105" s="37"/>
      <c r="I105" s="37"/>
      <c r="J105" s="37"/>
      <c r="K105" s="36"/>
      <c r="L105" s="36"/>
      <c r="M105" s="36"/>
      <c r="N105" s="41">
        <f>IF(OR(M105&lt;&gt;"Aktif",I105&lt;=0),0,MAX(0,I105-J105-K105))</f>
      </c>
      <c r="O105" s="42">
        <f>IFERROR(J105/I105,0)</f>
      </c>
      <c r="P105" s="29">
        <f>IF(B105="","",IF(I105&lt;0,"DÜZELT: Onaylı limit negatif olamaz.",IF(J105&lt;0,"DÜZELT: Kullanılan kredi negatif olamaz.",IF(H105&lt;=0,"DÜZELT: Kur sıfır veya negatif olamaz.",IF(J105+K105&gt;I105,"DÜZELT: "&amp;C105&amp;" - "&amp;D105&amp;" kaydında kullanılan risk + bloke ("&amp;TEXT(J105+K105,"#,##0")&amp;" TL), onaylı limiti ("&amp;TEXT(I105,"#,##0")&amp;" TL) aşıyor. Kullanılan Risk ve Bloke/Rehin tutarlarını kontrol edin.",IF(AND(M105="Aktif",L105&lt;TODAY()),"KONTROL ET: "&amp;C105&amp;" - "&amp;D105&amp;" limitinin vadesi "&amp;TEXT(L105,"dd.mm.yyyy")&amp;" tarihinde bitmiş görünüyor. Bankadan güncel vade/durum bilgisini kontrol edip sarı hücreleri güncelleyin.","TAMAM"))))))</f>
      </c>
    </row>
    <row r="106" spans="2:16" ht="18" customHeight="1">
      <c r="B106" s="36"/>
      <c r="C106" s="36"/>
      <c r="D106" s="36"/>
      <c r="E106" s="36"/>
      <c r="F106" s="36"/>
      <c r="G106" s="36"/>
      <c r="H106" s="37"/>
      <c r="I106" s="37"/>
      <c r="J106" s="37"/>
      <c r="K106" s="36"/>
      <c r="L106" s="36"/>
      <c r="M106" s="36"/>
      <c r="N106" s="41">
        <f>IF(OR(M106&lt;&gt;"Aktif",I106&lt;=0),0,MAX(0,I106-J106-K106))</f>
      </c>
      <c r="O106" s="42">
        <f>IFERROR(J106/I106,0)</f>
      </c>
      <c r="P106" s="29">
        <f>IF(B106="","",IF(I106&lt;0,"DÜZELT: Onaylı limit negatif olamaz.",IF(J106&lt;0,"DÜZELT: Kullanılan kredi negatif olamaz.",IF(H106&lt;=0,"DÜZELT: Kur sıfır veya negatif olamaz.",IF(J106+K106&gt;I106,"DÜZELT: "&amp;C106&amp;" - "&amp;D106&amp;" kaydında kullanılan risk + bloke ("&amp;TEXT(J106+K106,"#,##0")&amp;" TL), onaylı limiti ("&amp;TEXT(I106,"#,##0")&amp;" TL) aşıyor. Kullanılan Risk ve Bloke/Rehin tutarlarını kontrol edin.",IF(AND(M106="Aktif",L106&lt;TODAY()),"KONTROL ET: "&amp;C106&amp;" - "&amp;D106&amp;" limitinin vadesi "&amp;TEXT(L106,"dd.mm.yyyy")&amp;" tarihinde bitmiş görünüyor. Bankadan güncel vade/durum bilgisini kontrol edip sarı hücreleri güncelleyin.","TAMAM"))))))</f>
      </c>
    </row>
    <row r="107" spans="2:16" ht="18" customHeight="1">
      <c r="B107" s="36"/>
      <c r="C107" s="36"/>
      <c r="D107" s="36"/>
      <c r="E107" s="36"/>
      <c r="F107" s="36"/>
      <c r="G107" s="36"/>
      <c r="H107" s="37"/>
      <c r="I107" s="37"/>
      <c r="J107" s="37"/>
      <c r="K107" s="36"/>
      <c r="L107" s="36"/>
      <c r="M107" s="36"/>
      <c r="N107" s="41">
        <f>IF(OR(M107&lt;&gt;"Aktif",I107&lt;=0),0,MAX(0,I107-J107-K107))</f>
      </c>
      <c r="O107" s="42">
        <f>IFERROR(J107/I107,0)</f>
      </c>
      <c r="P107" s="29">
        <f>IF(B107="","",IF(I107&lt;0,"DÜZELT: Onaylı limit negatif olamaz.",IF(J107&lt;0,"DÜZELT: Kullanılan kredi negatif olamaz.",IF(H107&lt;=0,"DÜZELT: Kur sıfır veya negatif olamaz.",IF(J107+K107&gt;I107,"DÜZELT: "&amp;C107&amp;" - "&amp;D107&amp;" kaydında kullanılan risk + bloke ("&amp;TEXT(J107+K107,"#,##0")&amp;" TL), onaylı limiti ("&amp;TEXT(I107,"#,##0")&amp;" TL) aşıyor. Kullanılan Risk ve Bloke/Rehin tutarlarını kontrol edin.",IF(AND(M107="Aktif",L107&lt;TODAY()),"KONTROL ET: "&amp;C107&amp;" - "&amp;D107&amp;" limitinin vadesi "&amp;TEXT(L107,"dd.mm.yyyy")&amp;" tarihinde bitmiş görünüyor. Bankadan güncel vade/durum bilgisini kontrol edip sarı hücreleri güncelleyin.","TAMAM"))))))</f>
      </c>
    </row>
    <row r="108" spans="2:16" ht="18" customHeight="1">
      <c r="B108" s="36"/>
      <c r="C108" s="36"/>
      <c r="D108" s="36"/>
      <c r="E108" s="36"/>
      <c r="F108" s="36"/>
      <c r="G108" s="36"/>
      <c r="H108" s="37"/>
      <c r="I108" s="37"/>
      <c r="J108" s="37"/>
      <c r="K108" s="36"/>
      <c r="L108" s="36"/>
      <c r="M108" s="36"/>
      <c r="N108" s="41">
        <f>IF(OR(M108&lt;&gt;"Aktif",I108&lt;=0),0,MAX(0,I108-J108-K108))</f>
      </c>
      <c r="O108" s="42">
        <f>IFERROR(J108/I108,0)</f>
      </c>
      <c r="P108" s="29">
        <f>IF(B108="","",IF(I108&lt;0,"DÜZELT: Onaylı limit negatif olamaz.",IF(J108&lt;0,"DÜZELT: Kullanılan kredi negatif olamaz.",IF(H108&lt;=0,"DÜZELT: Kur sıfır veya negatif olamaz.",IF(J108+K108&gt;I108,"DÜZELT: "&amp;C108&amp;" - "&amp;D108&amp;" kaydında kullanılan risk + bloke ("&amp;TEXT(J108+K108,"#,##0")&amp;" TL), onaylı limiti ("&amp;TEXT(I108,"#,##0")&amp;" TL) aşıyor. Kullanılan Risk ve Bloke/Rehin tutarlarını kontrol edin.",IF(AND(M108="Aktif",L108&lt;TODAY()),"KONTROL ET: "&amp;C108&amp;" - "&amp;D108&amp;" limitinin vadesi "&amp;TEXT(L108,"dd.mm.yyyy")&amp;" tarihinde bitmiş görünüyor. Bankadan güncel vade/durum bilgisini kontrol edip sarı hücreleri güncelleyin.","TAMAM"))))))</f>
      </c>
    </row>
    <row r="109" spans="2:16" ht="18" customHeight="1">
      <c r="B109" s="36"/>
      <c r="C109" s="36"/>
      <c r="D109" s="36"/>
      <c r="E109" s="36"/>
      <c r="F109" s="36"/>
      <c r="G109" s="36"/>
      <c r="H109" s="37"/>
      <c r="I109" s="37"/>
      <c r="J109" s="37"/>
      <c r="K109" s="36"/>
      <c r="L109" s="36"/>
      <c r="M109" s="36"/>
      <c r="N109" s="41">
        <f>IF(OR(M109&lt;&gt;"Aktif",I109&lt;=0),0,MAX(0,I109-J109-K109))</f>
      </c>
      <c r="O109" s="42">
        <f>IFERROR(J109/I109,0)</f>
      </c>
      <c r="P109" s="29">
        <f>IF(B109="","",IF(I109&lt;0,"DÜZELT: Onaylı limit negatif olamaz.",IF(J109&lt;0,"DÜZELT: Kullanılan kredi negatif olamaz.",IF(H109&lt;=0,"DÜZELT: Kur sıfır veya negatif olamaz.",IF(J109+K109&gt;I109,"DÜZELT: "&amp;C109&amp;" - "&amp;D109&amp;" kaydında kullanılan risk + bloke ("&amp;TEXT(J109+K109,"#,##0")&amp;" TL), onaylı limiti ("&amp;TEXT(I109,"#,##0")&amp;" TL) aşıyor. Kullanılan Risk ve Bloke/Rehin tutarlarını kontrol edin.",IF(AND(M109="Aktif",L109&lt;TODAY()),"KONTROL ET: "&amp;C109&amp;" - "&amp;D109&amp;" limitinin vadesi "&amp;TEXT(L109,"dd.mm.yyyy")&amp;" tarihinde bitmiş görünüyor. Bankadan güncel vade/durum bilgisini kontrol edip sarı hücreleri güncelleyin.","TAMAM"))))))</f>
      </c>
    </row>
    <row r="110" spans="2:16" ht="18" customHeight="1">
      <c r="B110" s="36"/>
      <c r="C110" s="36"/>
      <c r="D110" s="36"/>
      <c r="E110" s="36"/>
      <c r="F110" s="36"/>
      <c r="G110" s="36"/>
      <c r="H110" s="37"/>
      <c r="I110" s="37"/>
      <c r="J110" s="37"/>
      <c r="K110" s="36"/>
      <c r="L110" s="36"/>
      <c r="M110" s="36"/>
      <c r="N110" s="41">
        <f>IF(OR(M110&lt;&gt;"Aktif",I110&lt;=0),0,MAX(0,I110-J110-K110))</f>
      </c>
      <c r="O110" s="42">
        <f>IFERROR(J110/I110,0)</f>
      </c>
      <c r="P110" s="29">
        <f>IF(B110="","",IF(I110&lt;0,"DÜZELT: Onaylı limit negatif olamaz.",IF(J110&lt;0,"DÜZELT: Kullanılan kredi negatif olamaz.",IF(H110&lt;=0,"DÜZELT: Kur sıfır veya negatif olamaz.",IF(J110+K110&gt;I110,"DÜZELT: "&amp;C110&amp;" - "&amp;D110&amp;" kaydında kullanılan risk + bloke ("&amp;TEXT(J110+K110,"#,##0")&amp;" TL), onaylı limiti ("&amp;TEXT(I110,"#,##0")&amp;" TL) aşıyor. Kullanılan Risk ve Bloke/Rehin tutarlarını kontrol edin.",IF(AND(M110="Aktif",L110&lt;TODAY()),"KONTROL ET: "&amp;C110&amp;" - "&amp;D110&amp;" limitinin vadesi "&amp;TEXT(L110,"dd.mm.yyyy")&amp;" tarihinde bitmiş görünüyor. Bankadan güncel vade/durum bilgisini kontrol edip sarı hücreleri güncelleyin.","TAMAM"))))))</f>
      </c>
    </row>
    <row r="111" spans="2:16" ht="18" customHeight="1">
      <c r="B111" s="36"/>
      <c r="C111" s="36"/>
      <c r="D111" s="36"/>
      <c r="E111" s="36"/>
      <c r="F111" s="36"/>
      <c r="G111" s="36"/>
      <c r="H111" s="37"/>
      <c r="I111" s="37"/>
      <c r="J111" s="37"/>
      <c r="K111" s="36"/>
      <c r="L111" s="36"/>
      <c r="M111" s="36"/>
      <c r="N111" s="41">
        <f>IF(OR(M111&lt;&gt;"Aktif",I111&lt;=0),0,MAX(0,I111-J111-K111))</f>
      </c>
      <c r="O111" s="42">
        <f>IFERROR(J111/I111,0)</f>
      </c>
      <c r="P111" s="29">
        <f>IF(B111="","",IF(I111&lt;0,"DÜZELT: Onaylı limit negatif olamaz.",IF(J111&lt;0,"DÜZELT: Kullanılan kredi negatif olamaz.",IF(H111&lt;=0,"DÜZELT: Kur sıfır veya negatif olamaz.",IF(J111+K111&gt;I111,"DÜZELT: "&amp;C111&amp;" - "&amp;D111&amp;" kaydında kullanılan risk + bloke ("&amp;TEXT(J111+K111,"#,##0")&amp;" TL), onaylı limiti ("&amp;TEXT(I111,"#,##0")&amp;" TL) aşıyor. Kullanılan Risk ve Bloke/Rehin tutarlarını kontrol edin.",IF(AND(M111="Aktif",L111&lt;TODAY()),"KONTROL ET: "&amp;C111&amp;" - "&amp;D111&amp;" limitinin vadesi "&amp;TEXT(L111,"dd.mm.yyyy")&amp;" tarihinde bitmiş görünüyor. Bankadan güncel vade/durum bilgisini kontrol edip sarı hücreleri güncelleyin.","TAMAM"))))))</f>
      </c>
    </row>
    <row r="112" spans="2:16" ht="18" customHeight="1">
      <c r="B112" s="36"/>
      <c r="C112" s="36"/>
      <c r="D112" s="36"/>
      <c r="E112" s="36"/>
      <c r="F112" s="36"/>
      <c r="G112" s="36"/>
      <c r="H112" s="37"/>
      <c r="I112" s="37"/>
      <c r="J112" s="37"/>
      <c r="K112" s="36"/>
      <c r="L112" s="36"/>
      <c r="M112" s="36"/>
      <c r="N112" s="41">
        <f>IF(OR(M112&lt;&gt;"Aktif",I112&lt;=0),0,MAX(0,I112-J112-K112))</f>
      </c>
      <c r="O112" s="42">
        <f>IFERROR(J112/I112,0)</f>
      </c>
      <c r="P112" s="29">
        <f>IF(B112="","",IF(I112&lt;0,"DÜZELT: Onaylı limit negatif olamaz.",IF(J112&lt;0,"DÜZELT: Kullanılan kredi negatif olamaz.",IF(H112&lt;=0,"DÜZELT: Kur sıfır veya negatif olamaz.",IF(J112+K112&gt;I112,"DÜZELT: "&amp;C112&amp;" - "&amp;D112&amp;" kaydında kullanılan risk + bloke ("&amp;TEXT(J112+K112,"#,##0")&amp;" TL), onaylı limiti ("&amp;TEXT(I112,"#,##0")&amp;" TL) aşıyor. Kullanılan Risk ve Bloke/Rehin tutarlarını kontrol edin.",IF(AND(M112="Aktif",L112&lt;TODAY()),"KONTROL ET: "&amp;C112&amp;" - "&amp;D112&amp;" limitinin vadesi "&amp;TEXT(L112,"dd.mm.yyyy")&amp;" tarihinde bitmiş görünüyor. Bankadan güncel vade/durum bilgisini kontrol edip sarı hücreleri güncelleyin.","TAMAM"))))))</f>
      </c>
    </row>
    <row r="113" spans="2:16" ht="18" customHeight="1">
      <c r="B113" s="36"/>
      <c r="C113" s="36"/>
      <c r="D113" s="36"/>
      <c r="E113" s="36"/>
      <c r="F113" s="36"/>
      <c r="G113" s="36"/>
      <c r="H113" s="37"/>
      <c r="I113" s="37"/>
      <c r="J113" s="37"/>
      <c r="K113" s="36"/>
      <c r="L113" s="36"/>
      <c r="M113" s="36"/>
      <c r="N113" s="41">
        <f>IF(OR(M113&lt;&gt;"Aktif",I113&lt;=0),0,MAX(0,I113-J113-K113))</f>
      </c>
      <c r="O113" s="42">
        <f>IFERROR(J113/I113,0)</f>
      </c>
      <c r="P113" s="29">
        <f>IF(B113="","",IF(I113&lt;0,"DÜZELT: Onaylı limit negatif olamaz.",IF(J113&lt;0,"DÜZELT: Kullanılan kredi negatif olamaz.",IF(H113&lt;=0,"DÜZELT: Kur sıfır veya negatif olamaz.",IF(J113+K113&gt;I113,"DÜZELT: "&amp;C113&amp;" - "&amp;D113&amp;" kaydında kullanılan risk + bloke ("&amp;TEXT(J113+K113,"#,##0")&amp;" TL), onaylı limiti ("&amp;TEXT(I113,"#,##0")&amp;" TL) aşıyor. Kullanılan Risk ve Bloke/Rehin tutarlarını kontrol edin.",IF(AND(M113="Aktif",L113&lt;TODAY()),"KONTROL ET: "&amp;C113&amp;" - "&amp;D113&amp;" limitinin vadesi "&amp;TEXT(L113,"dd.mm.yyyy")&amp;" tarihinde bitmiş görünüyor. Bankadan güncel vade/durum bilgisini kontrol edip sarı hücreleri güncelleyin.","TAMAM"))))))</f>
      </c>
    </row>
    <row r="114" spans="2:16" ht="18" customHeight="1">
      <c r="B114" s="36"/>
      <c r="C114" s="36"/>
      <c r="D114" s="36"/>
      <c r="E114" s="36"/>
      <c r="F114" s="36"/>
      <c r="G114" s="36"/>
      <c r="H114" s="37"/>
      <c r="I114" s="37"/>
      <c r="J114" s="37"/>
      <c r="K114" s="36"/>
      <c r="L114" s="36"/>
      <c r="M114" s="36"/>
      <c r="N114" s="41">
        <f>IF(OR(M114&lt;&gt;"Aktif",I114&lt;=0),0,MAX(0,I114-J114-K114))</f>
      </c>
      <c r="O114" s="42">
        <f>IFERROR(J114/I114,0)</f>
      </c>
      <c r="P114" s="29">
        <f>IF(B114="","",IF(I114&lt;0,"DÜZELT: Onaylı limit negatif olamaz.",IF(J114&lt;0,"DÜZELT: Kullanılan kredi negatif olamaz.",IF(H114&lt;=0,"DÜZELT: Kur sıfır veya negatif olamaz.",IF(J114+K114&gt;I114,"DÜZELT: "&amp;C114&amp;" - "&amp;D114&amp;" kaydında kullanılan risk + bloke ("&amp;TEXT(J114+K114,"#,##0")&amp;" TL), onaylı limiti ("&amp;TEXT(I114,"#,##0")&amp;" TL) aşıyor. Kullanılan Risk ve Bloke/Rehin tutarlarını kontrol edin.",IF(AND(M114="Aktif",L114&lt;TODAY()),"KONTROL ET: "&amp;C114&amp;" - "&amp;D114&amp;" limitinin vadesi "&amp;TEXT(L114,"dd.mm.yyyy")&amp;" tarihinde bitmiş görünüyor. Bankadan güncel vade/durum bilgisini kontrol edip sarı hücreleri güncelleyin.","TAMAM"))))))</f>
      </c>
    </row>
    <row r="115" spans="2:16" ht="18" customHeight="1">
      <c r="B115" s="36"/>
      <c r="C115" s="36"/>
      <c r="D115" s="36"/>
      <c r="E115" s="36"/>
      <c r="F115" s="36"/>
      <c r="G115" s="36"/>
      <c r="H115" s="37"/>
      <c r="I115" s="37"/>
      <c r="J115" s="37"/>
      <c r="K115" s="36"/>
      <c r="L115" s="36"/>
      <c r="M115" s="36"/>
      <c r="N115" s="41">
        <f>IF(OR(M115&lt;&gt;"Aktif",I115&lt;=0),0,MAX(0,I115-J115-K115))</f>
      </c>
      <c r="O115" s="42">
        <f>IFERROR(J115/I115,0)</f>
      </c>
      <c r="P115" s="29">
        <f>IF(B115="","",IF(I115&lt;0,"DÜZELT: Onaylı limit negatif olamaz.",IF(J115&lt;0,"DÜZELT: Kullanılan kredi negatif olamaz.",IF(H115&lt;=0,"DÜZELT: Kur sıfır veya negatif olamaz.",IF(J115+K115&gt;I115,"DÜZELT: "&amp;C115&amp;" - "&amp;D115&amp;" kaydında kullanılan risk + bloke ("&amp;TEXT(J115+K115,"#,##0")&amp;" TL), onaylı limiti ("&amp;TEXT(I115,"#,##0")&amp;" TL) aşıyor. Kullanılan Risk ve Bloke/Rehin tutarlarını kontrol edin.",IF(AND(M115="Aktif",L115&lt;TODAY()),"KONTROL ET: "&amp;C115&amp;" - "&amp;D115&amp;" limitinin vadesi "&amp;TEXT(L115,"dd.mm.yyyy")&amp;" tarihinde bitmiş görünüyor. Bankadan güncel vade/durum bilgisini kontrol edip sarı hücreleri güncelleyin.","TAMAM"))))))</f>
      </c>
    </row>
    <row r="116" spans="2:16" ht="18" customHeight="1">
      <c r="B116" s="36"/>
      <c r="C116" s="36"/>
      <c r="D116" s="36"/>
      <c r="E116" s="36"/>
      <c r="F116" s="36"/>
      <c r="G116" s="36"/>
      <c r="H116" s="37"/>
      <c r="I116" s="37"/>
      <c r="J116" s="37"/>
      <c r="K116" s="36"/>
      <c r="L116" s="36"/>
      <c r="M116" s="36"/>
      <c r="N116" s="41">
        <f>IF(OR(M116&lt;&gt;"Aktif",I116&lt;=0),0,MAX(0,I116-J116-K116))</f>
      </c>
      <c r="O116" s="42">
        <f>IFERROR(J116/I116,0)</f>
      </c>
      <c r="P116" s="29">
        <f>IF(B116="","",IF(I116&lt;0,"DÜZELT: Onaylı limit negatif olamaz.",IF(J116&lt;0,"DÜZELT: Kullanılan kredi negatif olamaz.",IF(H116&lt;=0,"DÜZELT: Kur sıfır veya negatif olamaz.",IF(J116+K116&gt;I116,"DÜZELT: "&amp;C116&amp;" - "&amp;D116&amp;" kaydında kullanılan risk + bloke ("&amp;TEXT(J116+K116,"#,##0")&amp;" TL), onaylı limiti ("&amp;TEXT(I116,"#,##0")&amp;" TL) aşıyor. Kullanılan Risk ve Bloke/Rehin tutarlarını kontrol edin.",IF(AND(M116="Aktif",L116&lt;TODAY()),"KONTROL ET: "&amp;C116&amp;" - "&amp;D116&amp;" limitinin vadesi "&amp;TEXT(L116,"dd.mm.yyyy")&amp;" tarihinde bitmiş görünüyor. Bankadan güncel vade/durum bilgisini kontrol edip sarı hücreleri güncelleyin.","TAMAM"))))))</f>
      </c>
    </row>
    <row r="117" spans="2:16" ht="18" customHeight="1">
      <c r="B117" s="36"/>
      <c r="C117" s="36"/>
      <c r="D117" s="36"/>
      <c r="E117" s="36"/>
      <c r="F117" s="36"/>
      <c r="G117" s="36"/>
      <c r="H117" s="37"/>
      <c r="I117" s="37"/>
      <c r="J117" s="37"/>
      <c r="K117" s="36"/>
      <c r="L117" s="36"/>
      <c r="M117" s="36"/>
      <c r="N117" s="41">
        <f>IF(OR(M117&lt;&gt;"Aktif",I117&lt;=0),0,MAX(0,I117-J117-K117))</f>
      </c>
      <c r="O117" s="42">
        <f>IFERROR(J117/I117,0)</f>
      </c>
      <c r="P117" s="29">
        <f>IF(B117="","",IF(I117&lt;0,"DÜZELT: Onaylı limit negatif olamaz.",IF(J117&lt;0,"DÜZELT: Kullanılan kredi negatif olamaz.",IF(H117&lt;=0,"DÜZELT: Kur sıfır veya negatif olamaz.",IF(J117+K117&gt;I117,"DÜZELT: "&amp;C117&amp;" - "&amp;D117&amp;" kaydında kullanılan risk + bloke ("&amp;TEXT(J117+K117,"#,##0")&amp;" TL), onaylı limiti ("&amp;TEXT(I117,"#,##0")&amp;" TL) aşıyor. Kullanılan Risk ve Bloke/Rehin tutarlarını kontrol edin.",IF(AND(M117="Aktif",L117&lt;TODAY()),"KONTROL ET: "&amp;C117&amp;" - "&amp;D117&amp;" limitinin vadesi "&amp;TEXT(L117,"dd.mm.yyyy")&amp;" tarihinde bitmiş görünüyor. Bankadan güncel vade/durum bilgisini kontrol edip sarı hücreleri güncelleyin.","TAMAM"))))))</f>
      </c>
    </row>
    <row r="118" spans="2:16" ht="18" customHeight="1">
      <c r="B118" s="36"/>
      <c r="C118" s="36"/>
      <c r="D118" s="36"/>
      <c r="E118" s="36"/>
      <c r="F118" s="36"/>
      <c r="G118" s="36"/>
      <c r="H118" s="37"/>
      <c r="I118" s="37"/>
      <c r="J118" s="37"/>
      <c r="K118" s="36"/>
      <c r="L118" s="36"/>
      <c r="M118" s="36"/>
      <c r="N118" s="41">
        <f>IF(OR(M118&lt;&gt;"Aktif",I118&lt;=0),0,MAX(0,I118-J118-K118))</f>
      </c>
      <c r="O118" s="42">
        <f>IFERROR(J118/I118,0)</f>
      </c>
      <c r="P118" s="29">
        <f>IF(B118="","",IF(I118&lt;0,"DÜZELT: Onaylı limit negatif olamaz.",IF(J118&lt;0,"DÜZELT: Kullanılan kredi negatif olamaz.",IF(H118&lt;=0,"DÜZELT: Kur sıfır veya negatif olamaz.",IF(J118+K118&gt;I118,"DÜZELT: "&amp;C118&amp;" - "&amp;D118&amp;" kaydında kullanılan risk + bloke ("&amp;TEXT(J118+K118,"#,##0")&amp;" TL), onaylı limiti ("&amp;TEXT(I118,"#,##0")&amp;" TL) aşıyor. Kullanılan Risk ve Bloke/Rehin tutarlarını kontrol edin.",IF(AND(M118="Aktif",L118&lt;TODAY()),"KONTROL ET: "&amp;C118&amp;" - "&amp;D118&amp;" limitinin vadesi "&amp;TEXT(L118,"dd.mm.yyyy")&amp;" tarihinde bitmiş görünüyor. Bankadan güncel vade/durum bilgisini kontrol edip sarı hücreleri güncelleyin.","TAMAM"))))))</f>
      </c>
    </row>
    <row r="119" spans="2:16" ht="18" customHeight="1">
      <c r="B119" s="36"/>
      <c r="C119" s="36"/>
      <c r="D119" s="36"/>
      <c r="E119" s="36"/>
      <c r="F119" s="36"/>
      <c r="G119" s="36"/>
      <c r="H119" s="37"/>
      <c r="I119" s="37"/>
      <c r="J119" s="37"/>
      <c r="K119" s="36"/>
      <c r="L119" s="36"/>
      <c r="M119" s="36"/>
      <c r="N119" s="41">
        <f>IF(OR(M119&lt;&gt;"Aktif",I119&lt;=0),0,MAX(0,I119-J119-K119))</f>
      </c>
      <c r="O119" s="42">
        <f>IFERROR(J119/I119,0)</f>
      </c>
      <c r="P119" s="29">
        <f>IF(B119="","",IF(I119&lt;0,"DÜZELT: Onaylı limit negatif olamaz.",IF(J119&lt;0,"DÜZELT: Kullanılan kredi negatif olamaz.",IF(H119&lt;=0,"DÜZELT: Kur sıfır veya negatif olamaz.",IF(J119+K119&gt;I119,"DÜZELT: "&amp;C119&amp;" - "&amp;D119&amp;" kaydında kullanılan risk + bloke ("&amp;TEXT(J119+K119,"#,##0")&amp;" TL), onaylı limiti ("&amp;TEXT(I119,"#,##0")&amp;" TL) aşıyor. Kullanılan Risk ve Bloke/Rehin tutarlarını kontrol edin.",IF(AND(M119="Aktif",L119&lt;TODAY()),"KONTROL ET: "&amp;C119&amp;" - "&amp;D119&amp;" limitinin vadesi "&amp;TEXT(L119,"dd.mm.yyyy")&amp;" tarihinde bitmiş görünüyor. Bankadan güncel vade/durum bilgisini kontrol edip sarı hücreleri güncelleyin.","TAMAM"))))))</f>
      </c>
    </row>
    <row r="120" spans="2:16" ht="18" customHeight="1">
      <c r="B120" s="36"/>
      <c r="C120" s="36"/>
      <c r="D120" s="36"/>
      <c r="E120" s="36"/>
      <c r="F120" s="36"/>
      <c r="G120" s="36"/>
      <c r="H120" s="37"/>
      <c r="I120" s="37"/>
      <c r="J120" s="37"/>
      <c r="K120" s="36"/>
      <c r="L120" s="36"/>
      <c r="M120" s="36"/>
      <c r="N120" s="41">
        <f>IF(OR(M120&lt;&gt;"Aktif",I120&lt;=0),0,MAX(0,I120-J120-K120))</f>
      </c>
      <c r="O120" s="42">
        <f>IFERROR(J120/I120,0)</f>
      </c>
      <c r="P120" s="29">
        <f>IF(B120="","",IF(I120&lt;0,"DÜZELT: Onaylı limit negatif olamaz.",IF(J120&lt;0,"DÜZELT: Kullanılan kredi negatif olamaz.",IF(H120&lt;=0,"DÜZELT: Kur sıfır veya negatif olamaz.",IF(J120+K120&gt;I120,"DÜZELT: "&amp;C120&amp;" - "&amp;D120&amp;" kaydında kullanılan risk + bloke ("&amp;TEXT(J120+K120,"#,##0")&amp;" TL), onaylı limiti ("&amp;TEXT(I120,"#,##0")&amp;" TL) aşıyor. Kullanılan Risk ve Bloke/Rehin tutarlarını kontrol edin.",IF(AND(M120="Aktif",L120&lt;TODAY()),"KONTROL ET: "&amp;C120&amp;" - "&amp;D120&amp;" limitinin vadesi "&amp;TEXT(L120,"dd.mm.yyyy")&amp;" tarihinde bitmiş görünüyor. Bankadan güncel vade/durum bilgisini kontrol edip sarı hücreleri güncelleyin.","TAMAM"))))))</f>
      </c>
    </row>
    <row r="121" spans="2:16" ht="18" customHeight="1">
      <c r="B121" s="36"/>
      <c r="C121" s="36"/>
      <c r="D121" s="36"/>
      <c r="E121" s="36"/>
      <c r="F121" s="36"/>
      <c r="G121" s="36"/>
      <c r="H121" s="37"/>
      <c r="I121" s="37"/>
      <c r="J121" s="37"/>
      <c r="K121" s="36"/>
      <c r="L121" s="36"/>
      <c r="M121" s="36"/>
      <c r="N121" s="41">
        <f>IF(OR(M121&lt;&gt;"Aktif",I121&lt;=0),0,MAX(0,I121-J121-K121))</f>
      </c>
      <c r="O121" s="42">
        <f>IFERROR(J121/I121,0)</f>
      </c>
      <c r="P121" s="29">
        <f>IF(B121="","",IF(I121&lt;0,"DÜZELT: Onaylı limit negatif olamaz.",IF(J121&lt;0,"DÜZELT: Kullanılan kredi negatif olamaz.",IF(H121&lt;=0,"DÜZELT: Kur sıfır veya negatif olamaz.",IF(J121+K121&gt;I121,"DÜZELT: "&amp;C121&amp;" - "&amp;D121&amp;" kaydında kullanılan risk + bloke ("&amp;TEXT(J121+K121,"#,##0")&amp;" TL), onaylı limiti ("&amp;TEXT(I121,"#,##0")&amp;" TL) aşıyor. Kullanılan Risk ve Bloke/Rehin tutarlarını kontrol edin.",IF(AND(M121="Aktif",L121&lt;TODAY()),"KONTROL ET: "&amp;C121&amp;" - "&amp;D121&amp;" limitinin vadesi "&amp;TEXT(L121,"dd.mm.yyyy")&amp;" tarihinde bitmiş görünüyor. Bankadan güncel vade/durum bilgisini kontrol edip sarı hücreleri güncelleyin.","TAMAM"))))))</f>
      </c>
    </row>
    <row r="122" spans="2:16" ht="18" customHeight="1">
      <c r="B122" s="36"/>
      <c r="C122" s="36"/>
      <c r="D122" s="36"/>
      <c r="E122" s="36"/>
      <c r="F122" s="36"/>
      <c r="G122" s="36"/>
      <c r="H122" s="37"/>
      <c r="I122" s="37"/>
      <c r="J122" s="37"/>
      <c r="K122" s="36"/>
      <c r="L122" s="36"/>
      <c r="M122" s="36"/>
      <c r="N122" s="41">
        <f>IF(OR(M122&lt;&gt;"Aktif",I122&lt;=0),0,MAX(0,I122-J122-K122))</f>
      </c>
      <c r="O122" s="42">
        <f>IFERROR(J122/I122,0)</f>
      </c>
      <c r="P122" s="29">
        <f>IF(B122="","",IF(I122&lt;0,"DÜZELT: Onaylı limit negatif olamaz.",IF(J122&lt;0,"DÜZELT: Kullanılan kredi negatif olamaz.",IF(H122&lt;=0,"DÜZELT: Kur sıfır veya negatif olamaz.",IF(J122+K122&gt;I122,"DÜZELT: "&amp;C122&amp;" - "&amp;D122&amp;" kaydında kullanılan risk + bloke ("&amp;TEXT(J122+K122,"#,##0")&amp;" TL), onaylı limiti ("&amp;TEXT(I122,"#,##0")&amp;" TL) aşıyor. Kullanılan Risk ve Bloke/Rehin tutarlarını kontrol edin.",IF(AND(M122="Aktif",L122&lt;TODAY()),"KONTROL ET: "&amp;C122&amp;" - "&amp;D122&amp;" limitinin vadesi "&amp;TEXT(L122,"dd.mm.yyyy")&amp;" tarihinde bitmiş görünüyor. Bankadan güncel vade/durum bilgisini kontrol edip sarı hücreleri güncelleyin.","TAMAM"))))))</f>
      </c>
    </row>
    <row r="123" spans="2:16" ht="18" customHeight="1">
      <c r="B123" s="36"/>
      <c r="C123" s="36"/>
      <c r="D123" s="36"/>
      <c r="E123" s="36"/>
      <c r="F123" s="36"/>
      <c r="G123" s="36"/>
      <c r="H123" s="37"/>
      <c r="I123" s="37"/>
      <c r="J123" s="37"/>
      <c r="K123" s="36"/>
      <c r="L123" s="36"/>
      <c r="M123" s="36"/>
      <c r="N123" s="41">
        <f>IF(OR(M123&lt;&gt;"Aktif",I123&lt;=0),0,MAX(0,I123-J123-K123))</f>
      </c>
      <c r="O123" s="42">
        <f>IFERROR(J123/I123,0)</f>
      </c>
      <c r="P123" s="29">
        <f>IF(B123="","",IF(I123&lt;0,"DÜZELT: Onaylı limit negatif olamaz.",IF(J123&lt;0,"DÜZELT: Kullanılan kredi negatif olamaz.",IF(H123&lt;=0,"DÜZELT: Kur sıfır veya negatif olamaz.",IF(J123+K123&gt;I123,"DÜZELT: "&amp;C123&amp;" - "&amp;D123&amp;" kaydında kullanılan risk + bloke ("&amp;TEXT(J123+K123,"#,##0")&amp;" TL), onaylı limiti ("&amp;TEXT(I123,"#,##0")&amp;" TL) aşıyor. Kullanılan Risk ve Bloke/Rehin tutarlarını kontrol edin.",IF(AND(M123="Aktif",L123&lt;TODAY()),"KONTROL ET: "&amp;C123&amp;" - "&amp;D123&amp;" limitinin vadesi "&amp;TEXT(L123,"dd.mm.yyyy")&amp;" tarihinde bitmiş görünüyor. Bankadan güncel vade/durum bilgisini kontrol edip sarı hücreleri güncelleyin.","TAMAM"))))))</f>
      </c>
    </row>
    <row r="124" spans="2:16" ht="18" customHeight="1">
      <c r="B124" s="36"/>
      <c r="C124" s="36"/>
      <c r="D124" s="36"/>
      <c r="E124" s="36"/>
      <c r="F124" s="36"/>
      <c r="G124" s="36"/>
      <c r="H124" s="37"/>
      <c r="I124" s="37"/>
      <c r="J124" s="37"/>
      <c r="K124" s="36"/>
      <c r="L124" s="36"/>
      <c r="M124" s="36"/>
      <c r="N124" s="41">
        <f>IF(OR(M124&lt;&gt;"Aktif",I124&lt;=0),0,MAX(0,I124-J124-K124))</f>
      </c>
      <c r="O124" s="42">
        <f>IFERROR(J124/I124,0)</f>
      </c>
      <c r="P124" s="29">
        <f>IF(B124="","",IF(I124&lt;0,"DÜZELT: Onaylı limit negatif olamaz.",IF(J124&lt;0,"DÜZELT: Kullanılan kredi negatif olamaz.",IF(H124&lt;=0,"DÜZELT: Kur sıfır veya negatif olamaz.",IF(J124+K124&gt;I124,"DÜZELT: "&amp;C124&amp;" - "&amp;D124&amp;" kaydında kullanılan risk + bloke ("&amp;TEXT(J124+K124,"#,##0")&amp;" TL), onaylı limiti ("&amp;TEXT(I124,"#,##0")&amp;" TL) aşıyor. Kullanılan Risk ve Bloke/Rehin tutarlarını kontrol edin.",IF(AND(M124="Aktif",L124&lt;TODAY()),"KONTROL ET: "&amp;C124&amp;" - "&amp;D124&amp;" limitinin vadesi "&amp;TEXT(L124,"dd.mm.yyyy")&amp;" tarihinde bitmiş görünüyor. Bankadan güncel vade/durum bilgisini kontrol edip sarı hücreleri güncelleyin.","TAMAM"))))))</f>
      </c>
    </row>
    <row r="125" spans="2:16" ht="18" customHeight="1">
      <c r="B125" s="36"/>
      <c r="C125" s="36"/>
      <c r="D125" s="36"/>
      <c r="E125" s="36"/>
      <c r="F125" s="36"/>
      <c r="G125" s="36"/>
      <c r="H125" s="37"/>
      <c r="I125" s="37"/>
      <c r="J125" s="37"/>
      <c r="K125" s="36"/>
      <c r="L125" s="36"/>
      <c r="M125" s="36"/>
      <c r="N125" s="41">
        <f>IF(OR(M125&lt;&gt;"Aktif",I125&lt;=0),0,MAX(0,I125-J125-K125))</f>
      </c>
      <c r="O125" s="42">
        <f>IFERROR(J125/I125,0)</f>
      </c>
      <c r="P125" s="29">
        <f>IF(B125="","",IF(I125&lt;0,"DÜZELT: Onaylı limit negatif olamaz.",IF(J125&lt;0,"DÜZELT: Kullanılan kredi negatif olamaz.",IF(H125&lt;=0,"DÜZELT: Kur sıfır veya negatif olamaz.",IF(J125+K125&gt;I125,"DÜZELT: "&amp;C125&amp;" - "&amp;D125&amp;" kaydında kullanılan risk + bloke ("&amp;TEXT(J125+K125,"#,##0")&amp;" TL), onaylı limiti ("&amp;TEXT(I125,"#,##0")&amp;" TL) aşıyor. Kullanılan Risk ve Bloke/Rehin tutarlarını kontrol edin.",IF(AND(M125="Aktif",L125&lt;TODAY()),"KONTROL ET: "&amp;C125&amp;" - "&amp;D125&amp;" limitinin vadesi "&amp;TEXT(L125,"dd.mm.yyyy")&amp;" tarihinde bitmiş görünüyor. Bankadan güncel vade/durum bilgisini kontrol edip sarı hücreleri güncelleyin.","TAMAM"))))))</f>
      </c>
    </row>
    <row r="126" spans="2:16" ht="18" customHeight="1">
      <c r="B126" s="36"/>
      <c r="C126" s="36"/>
      <c r="D126" s="36"/>
      <c r="E126" s="36"/>
      <c r="F126" s="36"/>
      <c r="G126" s="36"/>
      <c r="H126" s="37"/>
      <c r="I126" s="37"/>
      <c r="J126" s="37"/>
      <c r="K126" s="36"/>
      <c r="L126" s="36"/>
      <c r="M126" s="36"/>
      <c r="N126" s="41">
        <f>IF(OR(M126&lt;&gt;"Aktif",I126&lt;=0),0,MAX(0,I126-J126-K126))</f>
      </c>
      <c r="O126" s="42">
        <f>IFERROR(J126/I126,0)</f>
      </c>
      <c r="P126" s="29">
        <f>IF(B126="","",IF(I126&lt;0,"DÜZELT: Onaylı limit negatif olamaz.",IF(J126&lt;0,"DÜZELT: Kullanılan kredi negatif olamaz.",IF(H126&lt;=0,"DÜZELT: Kur sıfır veya negatif olamaz.",IF(J126+K126&gt;I126,"DÜZELT: "&amp;C126&amp;" - "&amp;D126&amp;" kaydında kullanılan risk + bloke ("&amp;TEXT(J126+K126,"#,##0")&amp;" TL), onaylı limiti ("&amp;TEXT(I126,"#,##0")&amp;" TL) aşıyor. Kullanılan Risk ve Bloke/Rehin tutarlarını kontrol edin.",IF(AND(M126="Aktif",L126&lt;TODAY()),"KONTROL ET: "&amp;C126&amp;" - "&amp;D126&amp;" limitinin vadesi "&amp;TEXT(L126,"dd.mm.yyyy")&amp;" tarihinde bitmiş görünüyor. Bankadan güncel vade/durum bilgisini kontrol edip sarı hücreleri güncelleyin.","TAMAM"))))))</f>
      </c>
    </row>
    <row r="127" spans="2:16" ht="18" customHeight="1">
      <c r="B127" s="36"/>
      <c r="C127" s="36"/>
      <c r="D127" s="36"/>
      <c r="E127" s="36"/>
      <c r="F127" s="36"/>
      <c r="G127" s="36"/>
      <c r="H127" s="37"/>
      <c r="I127" s="37"/>
      <c r="J127" s="37"/>
      <c r="K127" s="36"/>
      <c r="L127" s="36"/>
      <c r="M127" s="36"/>
      <c r="N127" s="41">
        <f>IF(OR(M127&lt;&gt;"Aktif",I127&lt;=0),0,MAX(0,I127-J127-K127))</f>
      </c>
      <c r="O127" s="42">
        <f>IFERROR(J127/I127,0)</f>
      </c>
      <c r="P127" s="29">
        <f>IF(B127="","",IF(I127&lt;0,"DÜZELT: Onaylı limit negatif olamaz.",IF(J127&lt;0,"DÜZELT: Kullanılan kredi negatif olamaz.",IF(H127&lt;=0,"DÜZELT: Kur sıfır veya negatif olamaz.",IF(J127+K127&gt;I127,"DÜZELT: "&amp;C127&amp;" - "&amp;D127&amp;" kaydında kullanılan risk + bloke ("&amp;TEXT(J127+K127,"#,##0")&amp;" TL), onaylı limiti ("&amp;TEXT(I127,"#,##0")&amp;" TL) aşıyor. Kullanılan Risk ve Bloke/Rehin tutarlarını kontrol edin.",IF(AND(M127="Aktif",L127&lt;TODAY()),"KONTROL ET: "&amp;C127&amp;" - "&amp;D127&amp;" limitinin vadesi "&amp;TEXT(L127,"dd.mm.yyyy")&amp;" tarihinde bitmiş görünüyor. Bankadan güncel vade/durum bilgisini kontrol edip sarı hücreleri güncelleyin.","TAMAM"))))))</f>
      </c>
    </row>
    <row r="128" spans="2:16" ht="18" customHeight="1">
      <c r="B128" s="36"/>
      <c r="C128" s="36"/>
      <c r="D128" s="36"/>
      <c r="E128" s="36"/>
      <c r="F128" s="36"/>
      <c r="G128" s="36"/>
      <c r="H128" s="37"/>
      <c r="I128" s="37"/>
      <c r="J128" s="37"/>
      <c r="K128" s="36"/>
      <c r="L128" s="36"/>
      <c r="M128" s="36"/>
      <c r="N128" s="41">
        <f>IF(OR(M128&lt;&gt;"Aktif",I128&lt;=0),0,MAX(0,I128-J128-K128))</f>
      </c>
      <c r="O128" s="42">
        <f>IFERROR(J128/I128,0)</f>
      </c>
      <c r="P128" s="29">
        <f>IF(B128="","",IF(I128&lt;0,"DÜZELT: Onaylı limit negatif olamaz.",IF(J128&lt;0,"DÜZELT: Kullanılan kredi negatif olamaz.",IF(H128&lt;=0,"DÜZELT: Kur sıfır veya negatif olamaz.",IF(J128+K128&gt;I128,"DÜZELT: "&amp;C128&amp;" - "&amp;D128&amp;" kaydında kullanılan risk + bloke ("&amp;TEXT(J128+K128,"#,##0")&amp;" TL), onaylı limiti ("&amp;TEXT(I128,"#,##0")&amp;" TL) aşıyor. Kullanılan Risk ve Bloke/Rehin tutarlarını kontrol edin.",IF(AND(M128="Aktif",L128&lt;TODAY()),"KONTROL ET: "&amp;C128&amp;" - "&amp;D128&amp;" limitinin vadesi "&amp;TEXT(L128,"dd.mm.yyyy")&amp;" tarihinde bitmiş görünüyor. Bankadan güncel vade/durum bilgisini kontrol edip sarı hücreleri güncelleyin.","TAMAM"))))))</f>
      </c>
    </row>
    <row r="129" spans="2:16" ht="18" customHeight="1">
      <c r="B129" s="36"/>
      <c r="C129" s="36"/>
      <c r="D129" s="36"/>
      <c r="E129" s="36"/>
      <c r="F129" s="36"/>
      <c r="G129" s="36"/>
      <c r="H129" s="37"/>
      <c r="I129" s="37"/>
      <c r="J129" s="37"/>
      <c r="K129" s="36"/>
      <c r="L129" s="36"/>
      <c r="M129" s="36"/>
      <c r="N129" s="41">
        <f>IF(OR(M129&lt;&gt;"Aktif",I129&lt;=0),0,MAX(0,I129-J129-K129))</f>
      </c>
      <c r="O129" s="42">
        <f>IFERROR(J129/I129,0)</f>
      </c>
      <c r="P129" s="29">
        <f>IF(B129="","",IF(I129&lt;0,"DÜZELT: Onaylı limit negatif olamaz.",IF(J129&lt;0,"DÜZELT: Kullanılan kredi negatif olamaz.",IF(H129&lt;=0,"DÜZELT: Kur sıfır veya negatif olamaz.",IF(J129+K129&gt;I129,"DÜZELT: "&amp;C129&amp;" - "&amp;D129&amp;" kaydında kullanılan risk + bloke ("&amp;TEXT(J129+K129,"#,##0")&amp;" TL), onaylı limiti ("&amp;TEXT(I129,"#,##0")&amp;" TL) aşıyor. Kullanılan Risk ve Bloke/Rehin tutarlarını kontrol edin.",IF(AND(M129="Aktif",L129&lt;TODAY()),"KONTROL ET: "&amp;C129&amp;" - "&amp;D129&amp;" limitinin vadesi "&amp;TEXT(L129,"dd.mm.yyyy")&amp;" tarihinde bitmiş görünüyor. Bankadan güncel vade/durum bilgisini kontrol edip sarı hücreleri güncelleyin.","TAMAM"))))))</f>
      </c>
    </row>
    <row r="130" spans="2:16" ht="18" customHeight="1">
      <c r="B130" s="36"/>
      <c r="C130" s="36"/>
      <c r="D130" s="36"/>
      <c r="E130" s="36"/>
      <c r="F130" s="36"/>
      <c r="G130" s="36"/>
      <c r="H130" s="37"/>
      <c r="I130" s="37"/>
      <c r="J130" s="37"/>
      <c r="K130" s="36"/>
      <c r="L130" s="36"/>
      <c r="M130" s="36"/>
      <c r="N130" s="41">
        <f>IF(OR(M130&lt;&gt;"Aktif",I130&lt;=0),0,MAX(0,I130-J130-K130))</f>
      </c>
      <c r="O130" s="42">
        <f>IFERROR(J130/I130,0)</f>
      </c>
      <c r="P130" s="29">
        <f>IF(B130="","",IF(I130&lt;0,"DÜZELT: Onaylı limit negatif olamaz.",IF(J130&lt;0,"DÜZELT: Kullanılan kredi negatif olamaz.",IF(H130&lt;=0,"DÜZELT: Kur sıfır veya negatif olamaz.",IF(J130+K130&gt;I130,"DÜZELT: "&amp;C130&amp;" - "&amp;D130&amp;" kaydında kullanılan risk + bloke ("&amp;TEXT(J130+K130,"#,##0")&amp;" TL), onaylı limiti ("&amp;TEXT(I130,"#,##0")&amp;" TL) aşıyor. Kullanılan Risk ve Bloke/Rehin tutarlarını kontrol edin.",IF(AND(M130="Aktif",L130&lt;TODAY()),"KONTROL ET: "&amp;C130&amp;" - "&amp;D130&amp;" limitinin vadesi "&amp;TEXT(L130,"dd.mm.yyyy")&amp;" tarihinde bitmiş görünüyor. Bankadan güncel vade/durum bilgisini kontrol edip sarı hücreleri güncelleyin.","TAMAM"))))))</f>
      </c>
    </row>
    <row r="131" spans="2:16" ht="18" customHeight="1">
      <c r="B131" s="36"/>
      <c r="C131" s="36"/>
      <c r="D131" s="36"/>
      <c r="E131" s="36"/>
      <c r="F131" s="36"/>
      <c r="G131" s="36"/>
      <c r="H131" s="37"/>
      <c r="I131" s="37"/>
      <c r="J131" s="37"/>
      <c r="K131" s="36"/>
      <c r="L131" s="36"/>
      <c r="M131" s="36"/>
      <c r="N131" s="41">
        <f>IF(OR(M131&lt;&gt;"Aktif",I131&lt;=0),0,MAX(0,I131-J131-K131))</f>
      </c>
      <c r="O131" s="42">
        <f>IFERROR(J131/I131,0)</f>
      </c>
      <c r="P131" s="29">
        <f>IF(B131="","",IF(I131&lt;0,"DÜZELT: Onaylı limit negatif olamaz.",IF(J131&lt;0,"DÜZELT: Kullanılan kredi negatif olamaz.",IF(H131&lt;=0,"DÜZELT: Kur sıfır veya negatif olamaz.",IF(J131+K131&gt;I131,"DÜZELT: "&amp;C131&amp;" - "&amp;D131&amp;" kaydında kullanılan risk + bloke ("&amp;TEXT(J131+K131,"#,##0")&amp;" TL), onaylı limiti ("&amp;TEXT(I131,"#,##0")&amp;" TL) aşıyor. Kullanılan Risk ve Bloke/Rehin tutarlarını kontrol edin.",IF(AND(M131="Aktif",L131&lt;TODAY()),"KONTROL ET: "&amp;C131&amp;" - "&amp;D131&amp;" limitinin vadesi "&amp;TEXT(L131,"dd.mm.yyyy")&amp;" tarihinde bitmiş görünüyor. Bankadan güncel vade/durum bilgisini kontrol edip sarı hücreleri güncelleyin.","TAMAM"))))))</f>
      </c>
    </row>
    <row r="132" spans="2:16" ht="18" customHeight="1">
      <c r="B132" s="36"/>
      <c r="C132" s="36"/>
      <c r="D132" s="36"/>
      <c r="E132" s="36"/>
      <c r="F132" s="36"/>
      <c r="G132" s="36"/>
      <c r="H132" s="37"/>
      <c r="I132" s="37"/>
      <c r="J132" s="37"/>
      <c r="K132" s="36"/>
      <c r="L132" s="36"/>
      <c r="M132" s="36"/>
      <c r="N132" s="41">
        <f>IF(OR(M132&lt;&gt;"Aktif",I132&lt;=0),0,MAX(0,I132-J132-K132))</f>
      </c>
      <c r="O132" s="42">
        <f>IFERROR(J132/I132,0)</f>
      </c>
      <c r="P132" s="29">
        <f>IF(B132="","",IF(I132&lt;0,"DÜZELT: Onaylı limit negatif olamaz.",IF(J132&lt;0,"DÜZELT: Kullanılan kredi negatif olamaz.",IF(H132&lt;=0,"DÜZELT: Kur sıfır veya negatif olamaz.",IF(J132+K132&gt;I132,"DÜZELT: "&amp;C132&amp;" - "&amp;D132&amp;" kaydında kullanılan risk + bloke ("&amp;TEXT(J132+K132,"#,##0")&amp;" TL), onaylı limiti ("&amp;TEXT(I132,"#,##0")&amp;" TL) aşıyor. Kullanılan Risk ve Bloke/Rehin tutarlarını kontrol edin.",IF(AND(M132="Aktif",L132&lt;TODAY()),"KONTROL ET: "&amp;C132&amp;" - "&amp;D132&amp;" limitinin vadesi "&amp;TEXT(L132,"dd.mm.yyyy")&amp;" tarihinde bitmiş görünüyor. Bankadan güncel vade/durum bilgisini kontrol edip sarı hücreleri güncelleyin.","TAMAM"))))))</f>
      </c>
    </row>
    <row r="133" spans="2:16" ht="18" customHeight="1">
      <c r="B133" s="36"/>
      <c r="C133" s="36"/>
      <c r="D133" s="36"/>
      <c r="E133" s="36"/>
      <c r="F133" s="36"/>
      <c r="G133" s="36"/>
      <c r="H133" s="37"/>
      <c r="I133" s="37"/>
      <c r="J133" s="37"/>
      <c r="K133" s="36"/>
      <c r="L133" s="36"/>
      <c r="M133" s="36"/>
      <c r="N133" s="41">
        <f>IF(OR(M133&lt;&gt;"Aktif",I133&lt;=0),0,MAX(0,I133-J133-K133))</f>
      </c>
      <c r="O133" s="42">
        <f>IFERROR(J133/I133,0)</f>
      </c>
      <c r="P133" s="29">
        <f>IF(B133="","",IF(I133&lt;0,"DÜZELT: Onaylı limit negatif olamaz.",IF(J133&lt;0,"DÜZELT: Kullanılan kredi negatif olamaz.",IF(H133&lt;=0,"DÜZELT: Kur sıfır veya negatif olamaz.",IF(J133+K133&gt;I133,"DÜZELT: "&amp;C133&amp;" - "&amp;D133&amp;" kaydında kullanılan risk + bloke ("&amp;TEXT(J133+K133,"#,##0")&amp;" TL), onaylı limiti ("&amp;TEXT(I133,"#,##0")&amp;" TL) aşıyor. Kullanılan Risk ve Bloke/Rehin tutarlarını kontrol edin.",IF(AND(M133="Aktif",L133&lt;TODAY()),"KONTROL ET: "&amp;C133&amp;" - "&amp;D133&amp;" limitinin vadesi "&amp;TEXT(L133,"dd.mm.yyyy")&amp;" tarihinde bitmiş görünüyor. Bankadan güncel vade/durum bilgisini kontrol edip sarı hücreleri güncelleyin.","TAMAM"))))))</f>
      </c>
    </row>
    <row r="134" spans="2:16" ht="18" customHeight="1">
      <c r="B134" s="36"/>
      <c r="C134" s="36"/>
      <c r="D134" s="36"/>
      <c r="E134" s="36"/>
      <c r="F134" s="36"/>
      <c r="G134" s="36"/>
      <c r="H134" s="37"/>
      <c r="I134" s="37"/>
      <c r="J134" s="37"/>
      <c r="K134" s="36"/>
      <c r="L134" s="36"/>
      <c r="M134" s="36"/>
      <c r="N134" s="41">
        <f>IF(OR(M134&lt;&gt;"Aktif",I134&lt;=0),0,MAX(0,I134-J134-K134))</f>
      </c>
      <c r="O134" s="42">
        <f>IFERROR(J134/I134,0)</f>
      </c>
      <c r="P134" s="29">
        <f>IF(B134="","",IF(I134&lt;0,"DÜZELT: Onaylı limit negatif olamaz.",IF(J134&lt;0,"DÜZELT: Kullanılan kredi negatif olamaz.",IF(H134&lt;=0,"DÜZELT: Kur sıfır veya negatif olamaz.",IF(J134+K134&gt;I134,"DÜZELT: "&amp;C134&amp;" - "&amp;D134&amp;" kaydında kullanılan risk + bloke ("&amp;TEXT(J134+K134,"#,##0")&amp;" TL), onaylı limiti ("&amp;TEXT(I134,"#,##0")&amp;" TL) aşıyor. Kullanılan Risk ve Bloke/Rehin tutarlarını kontrol edin.",IF(AND(M134="Aktif",L134&lt;TODAY()),"KONTROL ET: "&amp;C134&amp;" - "&amp;D134&amp;" limitinin vadesi "&amp;TEXT(L134,"dd.mm.yyyy")&amp;" tarihinde bitmiş görünüyor. Bankadan güncel vade/durum bilgisini kontrol edip sarı hücreleri güncelleyin.","TAMAM"))))))</f>
      </c>
    </row>
    <row r="135" spans="2:16" ht="18" customHeight="1">
      <c r="B135" s="36"/>
      <c r="C135" s="36"/>
      <c r="D135" s="36"/>
      <c r="E135" s="36"/>
      <c r="F135" s="36"/>
      <c r="G135" s="36"/>
      <c r="H135" s="37"/>
      <c r="I135" s="37"/>
      <c r="J135" s="37"/>
      <c r="K135" s="36"/>
      <c r="L135" s="36"/>
      <c r="M135" s="36"/>
      <c r="N135" s="41">
        <f>IF(OR(M135&lt;&gt;"Aktif",I135&lt;=0),0,MAX(0,I135-J135-K135))</f>
      </c>
      <c r="O135" s="42">
        <f>IFERROR(J135/I135,0)</f>
      </c>
      <c r="P135" s="29">
        <f>IF(B135="","",IF(I135&lt;0,"DÜZELT: Onaylı limit negatif olamaz.",IF(J135&lt;0,"DÜZELT: Kullanılan kredi negatif olamaz.",IF(H135&lt;=0,"DÜZELT: Kur sıfır veya negatif olamaz.",IF(J135+K135&gt;I135,"DÜZELT: "&amp;C135&amp;" - "&amp;D135&amp;" kaydında kullanılan risk + bloke ("&amp;TEXT(J135+K135,"#,##0")&amp;" TL), onaylı limiti ("&amp;TEXT(I135,"#,##0")&amp;" TL) aşıyor. Kullanılan Risk ve Bloke/Rehin tutarlarını kontrol edin.",IF(AND(M135="Aktif",L135&lt;TODAY()),"KONTROL ET: "&amp;C135&amp;" - "&amp;D135&amp;" limitinin vadesi "&amp;TEXT(L135,"dd.mm.yyyy")&amp;" tarihinde bitmiş görünüyor. Bankadan güncel vade/durum bilgisini kontrol edip sarı hücreleri güncelleyin.","TAMAM"))))))</f>
      </c>
    </row>
    <row r="136" spans="2:16" ht="18" customHeight="1">
      <c r="B136" s="36"/>
      <c r="C136" s="36"/>
      <c r="D136" s="36"/>
      <c r="E136" s="36"/>
      <c r="F136" s="36"/>
      <c r="G136" s="36"/>
      <c r="H136" s="37"/>
      <c r="I136" s="37"/>
      <c r="J136" s="37"/>
      <c r="K136" s="36"/>
      <c r="L136" s="36"/>
      <c r="M136" s="36"/>
      <c r="N136" s="41">
        <f>IF(OR(M136&lt;&gt;"Aktif",I136&lt;=0),0,MAX(0,I136-J136-K136))</f>
      </c>
      <c r="O136" s="42">
        <f>IFERROR(J136/I136,0)</f>
      </c>
      <c r="P136" s="29">
        <f>IF(B136="","",IF(I136&lt;0,"DÜZELT: Onaylı limit negatif olamaz.",IF(J136&lt;0,"DÜZELT: Kullanılan kredi negatif olamaz.",IF(H136&lt;=0,"DÜZELT: Kur sıfır veya negatif olamaz.",IF(J136+K136&gt;I136,"DÜZELT: "&amp;C136&amp;" - "&amp;D136&amp;" kaydında kullanılan risk + bloke ("&amp;TEXT(J136+K136,"#,##0")&amp;" TL), onaylı limiti ("&amp;TEXT(I136,"#,##0")&amp;" TL) aşıyor. Kullanılan Risk ve Bloke/Rehin tutarlarını kontrol edin.",IF(AND(M136="Aktif",L136&lt;TODAY()),"KONTROL ET: "&amp;C136&amp;" - "&amp;D136&amp;" limitinin vadesi "&amp;TEXT(L136,"dd.mm.yyyy")&amp;" tarihinde bitmiş görünüyor. Bankadan güncel vade/durum bilgisini kontrol edip sarı hücreleri güncelleyin.","TAMAM"))))))</f>
      </c>
    </row>
    <row r="137" spans="2:16" ht="18" customHeight="1">
      <c r="B137" s="36"/>
      <c r="C137" s="36"/>
      <c r="D137" s="36"/>
      <c r="E137" s="36"/>
      <c r="F137" s="36"/>
      <c r="G137" s="36"/>
      <c r="H137" s="37"/>
      <c r="I137" s="37"/>
      <c r="J137" s="37"/>
      <c r="K137" s="36"/>
      <c r="L137" s="36"/>
      <c r="M137" s="36"/>
      <c r="N137" s="41">
        <f>IF(OR(M137&lt;&gt;"Aktif",I137&lt;=0),0,MAX(0,I137-J137-K137))</f>
      </c>
      <c r="O137" s="42">
        <f>IFERROR(J137/I137,0)</f>
      </c>
      <c r="P137" s="29">
        <f>IF(B137="","",IF(I137&lt;0,"DÜZELT: Onaylı limit negatif olamaz.",IF(J137&lt;0,"DÜZELT: Kullanılan kredi negatif olamaz.",IF(H137&lt;=0,"DÜZELT: Kur sıfır veya negatif olamaz.",IF(J137+K137&gt;I137,"DÜZELT: "&amp;C137&amp;" - "&amp;D137&amp;" kaydında kullanılan risk + bloke ("&amp;TEXT(J137+K137,"#,##0")&amp;" TL), onaylı limiti ("&amp;TEXT(I137,"#,##0")&amp;" TL) aşıyor. Kullanılan Risk ve Bloke/Rehin tutarlarını kontrol edin.",IF(AND(M137="Aktif",L137&lt;TODAY()),"KONTROL ET: "&amp;C137&amp;" - "&amp;D137&amp;" limitinin vadesi "&amp;TEXT(L137,"dd.mm.yyyy")&amp;" tarihinde bitmiş görünüyor. Bankadan güncel vade/durum bilgisini kontrol edip sarı hücreleri güncelleyin.","TAMAM"))))))</f>
      </c>
    </row>
    <row r="138" spans="2:16" ht="18" customHeight="1">
      <c r="B138" s="36"/>
      <c r="C138" s="36"/>
      <c r="D138" s="36"/>
      <c r="E138" s="36"/>
      <c r="F138" s="36"/>
      <c r="G138" s="36"/>
      <c r="H138" s="37"/>
      <c r="I138" s="37"/>
      <c r="J138" s="37"/>
      <c r="K138" s="36"/>
      <c r="L138" s="36"/>
      <c r="M138" s="36"/>
      <c r="N138" s="41">
        <f>IF(OR(M138&lt;&gt;"Aktif",I138&lt;=0),0,MAX(0,I138-J138-K138))</f>
      </c>
      <c r="O138" s="42">
        <f>IFERROR(J138/I138,0)</f>
      </c>
      <c r="P138" s="29">
        <f>IF(B138="","",IF(I138&lt;0,"DÜZELT: Onaylı limit negatif olamaz.",IF(J138&lt;0,"DÜZELT: Kullanılan kredi negatif olamaz.",IF(H138&lt;=0,"DÜZELT: Kur sıfır veya negatif olamaz.",IF(J138+K138&gt;I138,"DÜZELT: "&amp;C138&amp;" - "&amp;D138&amp;" kaydında kullanılan risk + bloke ("&amp;TEXT(J138+K138,"#,##0")&amp;" TL), onaylı limiti ("&amp;TEXT(I138,"#,##0")&amp;" TL) aşıyor. Kullanılan Risk ve Bloke/Rehin tutarlarını kontrol edin.",IF(AND(M138="Aktif",L138&lt;TODAY()),"KONTROL ET: "&amp;C138&amp;" - "&amp;D138&amp;" limitinin vadesi "&amp;TEXT(L138,"dd.mm.yyyy")&amp;" tarihinde bitmiş görünüyor. Bankadan güncel vade/durum bilgisini kontrol edip sarı hücreleri güncelleyin.","TAMAM"))))))</f>
      </c>
    </row>
    <row r="139" spans="2:16" ht="18" customHeight="1">
      <c r="B139" s="36"/>
      <c r="C139" s="36"/>
      <c r="D139" s="36"/>
      <c r="E139" s="36"/>
      <c r="F139" s="36"/>
      <c r="G139" s="36"/>
      <c r="H139" s="37"/>
      <c r="I139" s="37"/>
      <c r="J139" s="37"/>
      <c r="K139" s="36"/>
      <c r="L139" s="36"/>
      <c r="M139" s="36"/>
      <c r="N139" s="41">
        <f>IF(OR(M139&lt;&gt;"Aktif",I139&lt;=0),0,MAX(0,I139-J139-K139))</f>
      </c>
      <c r="O139" s="42">
        <f>IFERROR(J139/I139,0)</f>
      </c>
      <c r="P139" s="29">
        <f>IF(B139="","",IF(I139&lt;0,"DÜZELT: Onaylı limit negatif olamaz.",IF(J139&lt;0,"DÜZELT: Kullanılan kredi negatif olamaz.",IF(H139&lt;=0,"DÜZELT: Kur sıfır veya negatif olamaz.",IF(J139+K139&gt;I139,"DÜZELT: "&amp;C139&amp;" - "&amp;D139&amp;" kaydında kullanılan risk + bloke ("&amp;TEXT(J139+K139,"#,##0")&amp;" TL), onaylı limiti ("&amp;TEXT(I139,"#,##0")&amp;" TL) aşıyor. Kullanılan Risk ve Bloke/Rehin tutarlarını kontrol edin.",IF(AND(M139="Aktif",L139&lt;TODAY()),"KONTROL ET: "&amp;C139&amp;" - "&amp;D139&amp;" limitinin vadesi "&amp;TEXT(L139,"dd.mm.yyyy")&amp;" tarihinde bitmiş görünüyor. Bankadan güncel vade/durum bilgisini kontrol edip sarı hücreleri güncelleyin.","TAMAM"))))))</f>
      </c>
    </row>
    <row r="140" spans="2:16" ht="18" customHeight="1">
      <c r="B140" s="36"/>
      <c r="C140" s="36"/>
      <c r="D140" s="36"/>
      <c r="E140" s="36"/>
      <c r="F140" s="36"/>
      <c r="G140" s="36"/>
      <c r="H140" s="37"/>
      <c r="I140" s="37"/>
      <c r="J140" s="37"/>
      <c r="K140" s="36"/>
      <c r="L140" s="36"/>
      <c r="M140" s="36"/>
      <c r="N140" s="41">
        <f>IF(OR(M140&lt;&gt;"Aktif",I140&lt;=0),0,MAX(0,I140-J140-K140))</f>
      </c>
      <c r="O140" s="42">
        <f>IFERROR(J140/I140,0)</f>
      </c>
      <c r="P140" s="29">
        <f>IF(B140="","",IF(I140&lt;0,"DÜZELT: Onaylı limit negatif olamaz.",IF(J140&lt;0,"DÜZELT: Kullanılan kredi negatif olamaz.",IF(H140&lt;=0,"DÜZELT: Kur sıfır veya negatif olamaz.",IF(J140+K140&gt;I140,"DÜZELT: "&amp;C140&amp;" - "&amp;D140&amp;" kaydında kullanılan risk + bloke ("&amp;TEXT(J140+K140,"#,##0")&amp;" TL), onaylı limiti ("&amp;TEXT(I140,"#,##0")&amp;" TL) aşıyor. Kullanılan Risk ve Bloke/Rehin tutarlarını kontrol edin.",IF(AND(M140="Aktif",L140&lt;TODAY()),"KONTROL ET: "&amp;C140&amp;" - "&amp;D140&amp;" limitinin vadesi "&amp;TEXT(L140,"dd.mm.yyyy")&amp;" tarihinde bitmiş görünüyor. Bankadan güncel vade/durum bilgisini kontrol edip sarı hücreleri güncelleyin.","TAMAM"))))))</f>
      </c>
    </row>
    <row r="141" spans="2:16" ht="18" customHeight="1">
      <c r="B141" s="36"/>
      <c r="C141" s="36"/>
      <c r="D141" s="36"/>
      <c r="E141" s="36"/>
      <c r="F141" s="36"/>
      <c r="G141" s="36"/>
      <c r="H141" s="37"/>
      <c r="I141" s="37"/>
      <c r="J141" s="37"/>
      <c r="K141" s="36"/>
      <c r="L141" s="36"/>
      <c r="M141" s="36"/>
      <c r="N141" s="41">
        <f>IF(OR(M141&lt;&gt;"Aktif",I141&lt;=0),0,MAX(0,I141-J141-K141))</f>
      </c>
      <c r="O141" s="42">
        <f>IFERROR(J141/I141,0)</f>
      </c>
      <c r="P141" s="29">
        <f>IF(B141="","",IF(I141&lt;0,"DÜZELT: Onaylı limit negatif olamaz.",IF(J141&lt;0,"DÜZELT: Kullanılan kredi negatif olamaz.",IF(H141&lt;=0,"DÜZELT: Kur sıfır veya negatif olamaz.",IF(J141+K141&gt;I141,"DÜZELT: "&amp;C141&amp;" - "&amp;D141&amp;" kaydında kullanılan risk + bloke ("&amp;TEXT(J141+K141,"#,##0")&amp;" TL), onaylı limiti ("&amp;TEXT(I141,"#,##0")&amp;" TL) aşıyor. Kullanılan Risk ve Bloke/Rehin tutarlarını kontrol edin.",IF(AND(M141="Aktif",L141&lt;TODAY()),"KONTROL ET: "&amp;C141&amp;" - "&amp;D141&amp;" limitinin vadesi "&amp;TEXT(L141,"dd.mm.yyyy")&amp;" tarihinde bitmiş görünüyor. Bankadan güncel vade/durum bilgisini kontrol edip sarı hücreleri güncelleyin.","TAMAM"))))))</f>
      </c>
    </row>
    <row r="142" spans="2:16" ht="18" customHeight="1">
      <c r="B142" s="36"/>
      <c r="C142" s="36"/>
      <c r="D142" s="36"/>
      <c r="E142" s="36"/>
      <c r="F142" s="36"/>
      <c r="G142" s="36"/>
      <c r="H142" s="37"/>
      <c r="I142" s="37"/>
      <c r="J142" s="37"/>
      <c r="K142" s="36"/>
      <c r="L142" s="36"/>
      <c r="M142" s="36"/>
      <c r="N142" s="41">
        <f>IF(OR(M142&lt;&gt;"Aktif",I142&lt;=0),0,MAX(0,I142-J142-K142))</f>
      </c>
      <c r="O142" s="42">
        <f>IFERROR(J142/I142,0)</f>
      </c>
      <c r="P142" s="29">
        <f>IF(B142="","",IF(I142&lt;0,"DÜZELT: Onaylı limit negatif olamaz.",IF(J142&lt;0,"DÜZELT: Kullanılan kredi negatif olamaz.",IF(H142&lt;=0,"DÜZELT: Kur sıfır veya negatif olamaz.",IF(J142+K142&gt;I142,"DÜZELT: "&amp;C142&amp;" - "&amp;D142&amp;" kaydında kullanılan risk + bloke ("&amp;TEXT(J142+K142,"#,##0")&amp;" TL), onaylı limiti ("&amp;TEXT(I142,"#,##0")&amp;" TL) aşıyor. Kullanılan Risk ve Bloke/Rehin tutarlarını kontrol edin.",IF(AND(M142="Aktif",L142&lt;TODAY()),"KONTROL ET: "&amp;C142&amp;" - "&amp;D142&amp;" limitinin vadesi "&amp;TEXT(L142,"dd.mm.yyyy")&amp;" tarihinde bitmiş görünüyor. Bankadan güncel vade/durum bilgisini kontrol edip sarı hücreleri güncelleyin.","TAMAM"))))))</f>
      </c>
    </row>
    <row r="143" spans="2:16" ht="18" customHeight="1">
      <c r="B143" s="36"/>
      <c r="C143" s="36"/>
      <c r="D143" s="36"/>
      <c r="E143" s="36"/>
      <c r="F143" s="36"/>
      <c r="G143" s="36"/>
      <c r="H143" s="37"/>
      <c r="I143" s="37"/>
      <c r="J143" s="37"/>
      <c r="K143" s="36"/>
      <c r="L143" s="36"/>
      <c r="M143" s="36"/>
      <c r="N143" s="41">
        <f>IF(OR(M143&lt;&gt;"Aktif",I143&lt;=0),0,MAX(0,I143-J143-K143))</f>
      </c>
      <c r="O143" s="42">
        <f>IFERROR(J143/I143,0)</f>
      </c>
      <c r="P143" s="29">
        <f>IF(B143="","",IF(I143&lt;0,"DÜZELT: Onaylı limit negatif olamaz.",IF(J143&lt;0,"DÜZELT: Kullanılan kredi negatif olamaz.",IF(H143&lt;=0,"DÜZELT: Kur sıfır veya negatif olamaz.",IF(J143+K143&gt;I143,"DÜZELT: "&amp;C143&amp;" - "&amp;D143&amp;" kaydında kullanılan risk + bloke ("&amp;TEXT(J143+K143,"#,##0")&amp;" TL), onaylı limiti ("&amp;TEXT(I143,"#,##0")&amp;" TL) aşıyor. Kullanılan Risk ve Bloke/Rehin tutarlarını kontrol edin.",IF(AND(M143="Aktif",L143&lt;TODAY()),"KONTROL ET: "&amp;C143&amp;" - "&amp;D143&amp;" limitinin vadesi "&amp;TEXT(L143,"dd.mm.yyyy")&amp;" tarihinde bitmiş görünüyor. Bankadan güncel vade/durum bilgisini kontrol edip sarı hücreleri güncelleyin.","TAMAM"))))))</f>
      </c>
    </row>
    <row r="144" spans="2:16" ht="18" customHeight="1">
      <c r="B144" s="36"/>
      <c r="C144" s="36"/>
      <c r="D144" s="36"/>
      <c r="E144" s="36"/>
      <c r="F144" s="36"/>
      <c r="G144" s="36"/>
      <c r="H144" s="37"/>
      <c r="I144" s="37"/>
      <c r="J144" s="37"/>
      <c r="K144" s="36"/>
      <c r="L144" s="36"/>
      <c r="M144" s="36"/>
      <c r="N144" s="41">
        <f>IF(OR(M144&lt;&gt;"Aktif",I144&lt;=0),0,MAX(0,I144-J144-K144))</f>
      </c>
      <c r="O144" s="42">
        <f>IFERROR(J144/I144,0)</f>
      </c>
      <c r="P144" s="29">
        <f>IF(B144="","",IF(I144&lt;0,"DÜZELT: Onaylı limit negatif olamaz.",IF(J144&lt;0,"DÜZELT: Kullanılan kredi negatif olamaz.",IF(H144&lt;=0,"DÜZELT: Kur sıfır veya negatif olamaz.",IF(J144+K144&gt;I144,"DÜZELT: "&amp;C144&amp;" - "&amp;D144&amp;" kaydında kullanılan risk + bloke ("&amp;TEXT(J144+K144,"#,##0")&amp;" TL), onaylı limiti ("&amp;TEXT(I144,"#,##0")&amp;" TL) aşıyor. Kullanılan Risk ve Bloke/Rehin tutarlarını kontrol edin.",IF(AND(M144="Aktif",L144&lt;TODAY()),"KONTROL ET: "&amp;C144&amp;" - "&amp;D144&amp;" limitinin vadesi "&amp;TEXT(L144,"dd.mm.yyyy")&amp;" tarihinde bitmiş görünüyor. Bankadan güncel vade/durum bilgisini kontrol edip sarı hücreleri güncelleyin.","TAMAM"))))))</f>
      </c>
    </row>
    <row r="145" spans="2:16" ht="18" customHeight="1">
      <c r="B145" s="36"/>
      <c r="C145" s="36"/>
      <c r="D145" s="36"/>
      <c r="E145" s="36"/>
      <c r="F145" s="36"/>
      <c r="G145" s="36"/>
      <c r="H145" s="37"/>
      <c r="I145" s="37"/>
      <c r="J145" s="37"/>
      <c r="K145" s="36"/>
      <c r="L145" s="36"/>
      <c r="M145" s="36"/>
      <c r="N145" s="41">
        <f>IF(OR(M145&lt;&gt;"Aktif",I145&lt;=0),0,MAX(0,I145-J145-K145))</f>
      </c>
      <c r="O145" s="42">
        <f>IFERROR(J145/I145,0)</f>
      </c>
      <c r="P145" s="29">
        <f>IF(B145="","",IF(I145&lt;0,"DÜZELT: Onaylı limit negatif olamaz.",IF(J145&lt;0,"DÜZELT: Kullanılan kredi negatif olamaz.",IF(H145&lt;=0,"DÜZELT: Kur sıfır veya negatif olamaz.",IF(J145+K145&gt;I145,"DÜZELT: "&amp;C145&amp;" - "&amp;D145&amp;" kaydında kullanılan risk + bloke ("&amp;TEXT(J145+K145,"#,##0")&amp;" TL), onaylı limiti ("&amp;TEXT(I145,"#,##0")&amp;" TL) aşıyor. Kullanılan Risk ve Bloke/Rehin tutarlarını kontrol edin.",IF(AND(M145="Aktif",L145&lt;TODAY()),"KONTROL ET: "&amp;C145&amp;" - "&amp;D145&amp;" limitinin vadesi "&amp;TEXT(L145,"dd.mm.yyyy")&amp;" tarihinde bitmiş görünüyor. Bankadan güncel vade/durum bilgisini kontrol edip sarı hücreleri güncelleyin.","TAMAM"))))))</f>
      </c>
    </row>
    <row r="146" spans="2:16" ht="18" customHeight="1">
      <c r="B146" s="36"/>
      <c r="C146" s="36"/>
      <c r="D146" s="36"/>
      <c r="E146" s="36"/>
      <c r="F146" s="36"/>
      <c r="G146" s="36"/>
      <c r="H146" s="37"/>
      <c r="I146" s="37"/>
      <c r="J146" s="37"/>
      <c r="K146" s="36"/>
      <c r="L146" s="36"/>
      <c r="M146" s="36"/>
      <c r="N146" s="41">
        <f>IF(OR(M146&lt;&gt;"Aktif",I146&lt;=0),0,MAX(0,I146-J146-K146))</f>
      </c>
      <c r="O146" s="42">
        <f>IFERROR(J146/I146,0)</f>
      </c>
      <c r="P146" s="29">
        <f>IF(B146="","",IF(I146&lt;0,"DÜZELT: Onaylı limit negatif olamaz.",IF(J146&lt;0,"DÜZELT: Kullanılan kredi negatif olamaz.",IF(H146&lt;=0,"DÜZELT: Kur sıfır veya negatif olamaz.",IF(J146+K146&gt;I146,"DÜZELT: "&amp;C146&amp;" - "&amp;D146&amp;" kaydında kullanılan risk + bloke ("&amp;TEXT(J146+K146,"#,##0")&amp;" TL), onaylı limiti ("&amp;TEXT(I146,"#,##0")&amp;" TL) aşıyor. Kullanılan Risk ve Bloke/Rehin tutarlarını kontrol edin.",IF(AND(M146="Aktif",L146&lt;TODAY()),"KONTROL ET: "&amp;C146&amp;" - "&amp;D146&amp;" limitinin vadesi "&amp;TEXT(L146,"dd.mm.yyyy")&amp;" tarihinde bitmiş görünüyor. Bankadan güncel vade/durum bilgisini kontrol edip sarı hücreleri güncelleyin.","TAMAM"))))))</f>
      </c>
    </row>
    <row r="147" spans="2:16" ht="18" customHeight="1">
      <c r="B147" s="36"/>
      <c r="C147" s="36"/>
      <c r="D147" s="36"/>
      <c r="E147" s="36"/>
      <c r="F147" s="36"/>
      <c r="G147" s="36"/>
      <c r="H147" s="37"/>
      <c r="I147" s="37"/>
      <c r="J147" s="37"/>
      <c r="K147" s="36"/>
      <c r="L147" s="36"/>
      <c r="M147" s="36"/>
      <c r="N147" s="41">
        <f>IF(OR(M147&lt;&gt;"Aktif",I147&lt;=0),0,MAX(0,I147-J147-K147))</f>
      </c>
      <c r="O147" s="42">
        <f>IFERROR(J147/I147,0)</f>
      </c>
      <c r="P147" s="29">
        <f>IF(B147="","",IF(I147&lt;0,"DÜZELT: Onaylı limit negatif olamaz.",IF(J147&lt;0,"DÜZELT: Kullanılan kredi negatif olamaz.",IF(H147&lt;=0,"DÜZELT: Kur sıfır veya negatif olamaz.",IF(J147+K147&gt;I147,"DÜZELT: "&amp;C147&amp;" - "&amp;D147&amp;" kaydında kullanılan risk + bloke ("&amp;TEXT(J147+K147,"#,##0")&amp;" TL), onaylı limiti ("&amp;TEXT(I147,"#,##0")&amp;" TL) aşıyor. Kullanılan Risk ve Bloke/Rehin tutarlarını kontrol edin.",IF(AND(M147="Aktif",L147&lt;TODAY()),"KONTROL ET: "&amp;C147&amp;" - "&amp;D147&amp;" limitinin vadesi "&amp;TEXT(L147,"dd.mm.yyyy")&amp;" tarihinde bitmiş görünüyor. Bankadan güncel vade/durum bilgisini kontrol edip sarı hücreleri güncelleyin.","TAMAM"))))))</f>
      </c>
    </row>
    <row r="148" spans="2:16" ht="18" customHeight="1">
      <c r="B148" s="36"/>
      <c r="C148" s="36"/>
      <c r="D148" s="36"/>
      <c r="E148" s="36"/>
      <c r="F148" s="36"/>
      <c r="G148" s="36"/>
      <c r="H148" s="37"/>
      <c r="I148" s="37"/>
      <c r="J148" s="37"/>
      <c r="K148" s="36"/>
      <c r="L148" s="36"/>
      <c r="M148" s="36"/>
      <c r="N148" s="41">
        <f>IF(OR(M148&lt;&gt;"Aktif",I148&lt;=0),0,MAX(0,I148-J148-K148))</f>
      </c>
      <c r="O148" s="42">
        <f>IFERROR(J148/I148,0)</f>
      </c>
      <c r="P148" s="29">
        <f>IF(B148="","",IF(I148&lt;0,"DÜZELT: Onaylı limit negatif olamaz.",IF(J148&lt;0,"DÜZELT: Kullanılan kredi negatif olamaz.",IF(H148&lt;=0,"DÜZELT: Kur sıfır veya negatif olamaz.",IF(J148+K148&gt;I148,"DÜZELT: "&amp;C148&amp;" - "&amp;D148&amp;" kaydında kullanılan risk + bloke ("&amp;TEXT(J148+K148,"#,##0")&amp;" TL), onaylı limiti ("&amp;TEXT(I148,"#,##0")&amp;" TL) aşıyor. Kullanılan Risk ve Bloke/Rehin tutarlarını kontrol edin.",IF(AND(M148="Aktif",L148&lt;TODAY()),"KONTROL ET: "&amp;C148&amp;" - "&amp;D148&amp;" limitinin vadesi "&amp;TEXT(L148,"dd.mm.yyyy")&amp;" tarihinde bitmiş görünüyor. Bankadan güncel vade/durum bilgisini kontrol edip sarı hücreleri güncelleyin.","TAMAM"))))))</f>
      </c>
    </row>
    <row r="149" spans="2:16" ht="18" customHeight="1">
      <c r="B149" s="36"/>
      <c r="C149" s="36"/>
      <c r="D149" s="36"/>
      <c r="E149" s="36"/>
      <c r="F149" s="36"/>
      <c r="G149" s="36"/>
      <c r="H149" s="37"/>
      <c r="I149" s="37"/>
      <c r="J149" s="37"/>
      <c r="K149" s="36"/>
      <c r="L149" s="36"/>
      <c r="M149" s="36"/>
      <c r="N149" s="41">
        <f>IF(OR(M149&lt;&gt;"Aktif",I149&lt;=0),0,MAX(0,I149-J149-K149))</f>
      </c>
      <c r="O149" s="42">
        <f>IFERROR(J149/I149,0)</f>
      </c>
      <c r="P149" s="29">
        <f>IF(B149="","",IF(I149&lt;0,"DÜZELT: Onaylı limit negatif olamaz.",IF(J149&lt;0,"DÜZELT: Kullanılan kredi negatif olamaz.",IF(H149&lt;=0,"DÜZELT: Kur sıfır veya negatif olamaz.",IF(J149+K149&gt;I149,"DÜZELT: "&amp;C149&amp;" - "&amp;D149&amp;" kaydında kullanılan risk + bloke ("&amp;TEXT(J149+K149,"#,##0")&amp;" TL), onaylı limiti ("&amp;TEXT(I149,"#,##0")&amp;" TL) aşıyor. Kullanılan Risk ve Bloke/Rehin tutarlarını kontrol edin.",IF(AND(M149="Aktif",L149&lt;TODAY()),"KONTROL ET: "&amp;C149&amp;" - "&amp;D149&amp;" limitinin vadesi "&amp;TEXT(L149,"dd.mm.yyyy")&amp;" tarihinde bitmiş görünüyor. Bankadan güncel vade/durum bilgisini kontrol edip sarı hücreleri güncelleyin.","TAMAM"))))))</f>
      </c>
    </row>
    <row r="150" spans="2:16" ht="18" customHeight="1">
      <c r="B150" s="36"/>
      <c r="C150" s="36"/>
      <c r="D150" s="36"/>
      <c r="E150" s="36"/>
      <c r="F150" s="36"/>
      <c r="G150" s="36"/>
      <c r="H150" s="37"/>
      <c r="I150" s="37"/>
      <c r="J150" s="37"/>
      <c r="K150" s="36"/>
      <c r="L150" s="36"/>
      <c r="M150" s="36"/>
      <c r="N150" s="41">
        <f>IF(OR(M150&lt;&gt;"Aktif",I150&lt;=0),0,MAX(0,I150-J150-K150))</f>
      </c>
      <c r="O150" s="42">
        <f>IFERROR(J150/I150,0)</f>
      </c>
      <c r="P150" s="29">
        <f>IF(B150="","",IF(I150&lt;0,"DÜZELT: Onaylı limit negatif olamaz.",IF(J150&lt;0,"DÜZELT: Kullanılan kredi negatif olamaz.",IF(H150&lt;=0,"DÜZELT: Kur sıfır veya negatif olamaz.",IF(J150+K150&gt;I150,"DÜZELT: "&amp;C150&amp;" - "&amp;D150&amp;" kaydında kullanılan risk + bloke ("&amp;TEXT(J150+K150,"#,##0")&amp;" TL), onaylı limiti ("&amp;TEXT(I150,"#,##0")&amp;" TL) aşıyor. Kullanılan Risk ve Bloke/Rehin tutarlarını kontrol edin.",IF(AND(M150="Aktif",L150&lt;TODAY()),"KONTROL ET: "&amp;C150&amp;" - "&amp;D150&amp;" limitinin vadesi "&amp;TEXT(L150,"dd.mm.yyyy")&amp;" tarihinde bitmiş görünüyor. Bankadan güncel vade/durum bilgisini kontrol edip sarı hücreleri güncelleyin.","TAMAM"))))))</f>
      </c>
    </row>
    <row r="151" spans="2:16" ht="18" customHeight="1">
      <c r="B151" s="36"/>
      <c r="C151" s="36"/>
      <c r="D151" s="36"/>
      <c r="E151" s="36"/>
      <c r="F151" s="36"/>
      <c r="G151" s="36"/>
      <c r="H151" s="37"/>
      <c r="I151" s="37"/>
      <c r="J151" s="37"/>
      <c r="K151" s="36"/>
      <c r="L151" s="36"/>
      <c r="M151" s="36"/>
      <c r="N151" s="41">
        <f>IF(OR(M151&lt;&gt;"Aktif",I151&lt;=0),0,MAX(0,I151-J151-K151))</f>
      </c>
      <c r="O151" s="42">
        <f>IFERROR(J151/I151,0)</f>
      </c>
      <c r="P151" s="29">
        <f>IF(B151="","",IF(I151&lt;0,"DÜZELT: Onaylı limit negatif olamaz.",IF(J151&lt;0,"DÜZELT: Kullanılan kredi negatif olamaz.",IF(H151&lt;=0,"DÜZELT: Kur sıfır veya negatif olamaz.",IF(J151+K151&gt;I151,"DÜZELT: "&amp;C151&amp;" - "&amp;D151&amp;" kaydında kullanılan risk + bloke ("&amp;TEXT(J151+K151,"#,##0")&amp;" TL), onaylı limiti ("&amp;TEXT(I151,"#,##0")&amp;" TL) aşıyor. Kullanılan Risk ve Bloke/Rehin tutarlarını kontrol edin.",IF(AND(M151="Aktif",L151&lt;TODAY()),"KONTROL ET: "&amp;C151&amp;" - "&amp;D151&amp;" limitinin vadesi "&amp;TEXT(L151,"dd.mm.yyyy")&amp;" tarihinde bitmiş görünüyor. Bankadan güncel vade/durum bilgisini kontrol edip sarı hücreleri güncelleyin.","TAMAM"))))))</f>
      </c>
    </row>
    <row r="152" spans="2:16" ht="18" customHeight="1">
      <c r="B152" s="36"/>
      <c r="C152" s="36"/>
      <c r="D152" s="36"/>
      <c r="E152" s="36"/>
      <c r="F152" s="36"/>
      <c r="G152" s="36"/>
      <c r="H152" s="37"/>
      <c r="I152" s="37"/>
      <c r="J152" s="37"/>
      <c r="K152" s="36"/>
      <c r="L152" s="36"/>
      <c r="M152" s="36"/>
      <c r="N152" s="41">
        <f>IF(OR(M152&lt;&gt;"Aktif",I152&lt;=0),0,MAX(0,I152-J152-K152))</f>
      </c>
      <c r="O152" s="42">
        <f>IFERROR(J152/I152,0)</f>
      </c>
      <c r="P152" s="29">
        <f>IF(B152="","",IF(I152&lt;0,"DÜZELT: Onaylı limit negatif olamaz.",IF(J152&lt;0,"DÜZELT: Kullanılan kredi negatif olamaz.",IF(H152&lt;=0,"DÜZELT: Kur sıfır veya negatif olamaz.",IF(J152+K152&gt;I152,"DÜZELT: "&amp;C152&amp;" - "&amp;D152&amp;" kaydında kullanılan risk + bloke ("&amp;TEXT(J152+K152,"#,##0")&amp;" TL), onaylı limiti ("&amp;TEXT(I152,"#,##0")&amp;" TL) aşıyor. Kullanılan Risk ve Bloke/Rehin tutarlarını kontrol edin.",IF(AND(M152="Aktif",L152&lt;TODAY()),"KONTROL ET: "&amp;C152&amp;" - "&amp;D152&amp;" limitinin vadesi "&amp;TEXT(L152,"dd.mm.yyyy")&amp;" tarihinde bitmiş görünüyor. Bankadan güncel vade/durum bilgisini kontrol edip sarı hücreleri güncelleyin.","TAMAM"))))))</f>
      </c>
    </row>
    <row r="153" spans="2:16" ht="18" customHeight="1">
      <c r="B153" s="36"/>
      <c r="C153" s="36"/>
      <c r="D153" s="36"/>
      <c r="E153" s="36"/>
      <c r="F153" s="36"/>
      <c r="G153" s="36"/>
      <c r="H153" s="37"/>
      <c r="I153" s="37"/>
      <c r="J153" s="37"/>
      <c r="K153" s="36"/>
      <c r="L153" s="36"/>
      <c r="M153" s="36"/>
      <c r="N153" s="41">
        <f>IF(OR(M153&lt;&gt;"Aktif",I153&lt;=0),0,MAX(0,I153-J153-K153))</f>
      </c>
      <c r="O153" s="42">
        <f>IFERROR(J153/I153,0)</f>
      </c>
      <c r="P153" s="29">
        <f>IF(B153="","",IF(I153&lt;0,"DÜZELT: Onaylı limit negatif olamaz.",IF(J153&lt;0,"DÜZELT: Kullanılan kredi negatif olamaz.",IF(H153&lt;=0,"DÜZELT: Kur sıfır veya negatif olamaz.",IF(J153+K153&gt;I153,"DÜZELT: "&amp;C153&amp;" - "&amp;D153&amp;" kaydında kullanılan risk + bloke ("&amp;TEXT(J153+K153,"#,##0")&amp;" TL), onaylı limiti ("&amp;TEXT(I153,"#,##0")&amp;" TL) aşıyor. Kullanılan Risk ve Bloke/Rehin tutarlarını kontrol edin.",IF(AND(M153="Aktif",L153&lt;TODAY()),"KONTROL ET: "&amp;C153&amp;" - "&amp;D153&amp;" limitinin vadesi "&amp;TEXT(L153,"dd.mm.yyyy")&amp;" tarihinde bitmiş görünüyor. Bankadan güncel vade/durum bilgisini kontrol edip sarı hücreleri güncelleyin.","TAMAM"))))))</f>
      </c>
    </row>
    <row r="154" spans="2:16" ht="18" customHeight="1">
      <c r="B154" s="36"/>
      <c r="C154" s="36"/>
      <c r="D154" s="36"/>
      <c r="E154" s="36"/>
      <c r="F154" s="36"/>
      <c r="G154" s="36"/>
      <c r="H154" s="37"/>
      <c r="I154" s="37"/>
      <c r="J154" s="37"/>
      <c r="K154" s="36"/>
      <c r="L154" s="36"/>
      <c r="M154" s="36"/>
      <c r="N154" s="41">
        <f>IF(OR(M154&lt;&gt;"Aktif",I154&lt;=0),0,MAX(0,I154-J154-K154))</f>
      </c>
      <c r="O154" s="42">
        <f>IFERROR(J154/I154,0)</f>
      </c>
      <c r="P154" s="29">
        <f>IF(B154="","",IF(I154&lt;0,"DÜZELT: Onaylı limit negatif olamaz.",IF(J154&lt;0,"DÜZELT: Kullanılan kredi negatif olamaz.",IF(H154&lt;=0,"DÜZELT: Kur sıfır veya negatif olamaz.",IF(J154+K154&gt;I154,"DÜZELT: "&amp;C154&amp;" - "&amp;D154&amp;" kaydında kullanılan risk + bloke ("&amp;TEXT(J154+K154,"#,##0")&amp;" TL), onaylı limiti ("&amp;TEXT(I154,"#,##0")&amp;" TL) aşıyor. Kullanılan Risk ve Bloke/Rehin tutarlarını kontrol edin.",IF(AND(M154="Aktif",L154&lt;TODAY()),"KONTROL ET: "&amp;C154&amp;" - "&amp;D154&amp;" limitinin vadesi "&amp;TEXT(L154,"dd.mm.yyyy")&amp;" tarihinde bitmiş görünüyor. Bankadan güncel vade/durum bilgisini kontrol edip sarı hücreleri güncelleyin.","TAMAM"))))))</f>
      </c>
    </row>
    <row r="155" spans="2:16" ht="18" customHeight="1">
      <c r="B155" s="36"/>
      <c r="C155" s="36"/>
      <c r="D155" s="36"/>
      <c r="E155" s="36"/>
      <c r="F155" s="36"/>
      <c r="G155" s="36"/>
      <c r="H155" s="37"/>
      <c r="I155" s="37"/>
      <c r="J155" s="37"/>
      <c r="K155" s="36"/>
      <c r="L155" s="36"/>
      <c r="M155" s="36"/>
      <c r="N155" s="41">
        <f>IF(OR(M155&lt;&gt;"Aktif",I155&lt;=0),0,MAX(0,I155-J155-K155))</f>
      </c>
      <c r="O155" s="42">
        <f>IFERROR(J155/I155,0)</f>
      </c>
      <c r="P155" s="29">
        <f>IF(B155="","",IF(I155&lt;0,"DÜZELT: Onaylı limit negatif olamaz.",IF(J155&lt;0,"DÜZELT: Kullanılan kredi negatif olamaz.",IF(H155&lt;=0,"DÜZELT: Kur sıfır veya negatif olamaz.",IF(J155+K155&gt;I155,"DÜZELT: "&amp;C155&amp;" - "&amp;D155&amp;" kaydında kullanılan risk + bloke ("&amp;TEXT(J155+K155,"#,##0")&amp;" TL), onaylı limiti ("&amp;TEXT(I155,"#,##0")&amp;" TL) aşıyor. Kullanılan Risk ve Bloke/Rehin tutarlarını kontrol edin.",IF(AND(M155="Aktif",L155&lt;TODAY()),"KONTROL ET: "&amp;C155&amp;" - "&amp;D155&amp;" limitinin vadesi "&amp;TEXT(L155,"dd.mm.yyyy")&amp;" tarihinde bitmiş görünüyor. Bankadan güncel vade/durum bilgisini kontrol edip sarı hücreleri güncelleyin.","TAMAM"))))))</f>
      </c>
    </row>
    <row r="156" spans="2:16" ht="18" customHeight="1">
      <c r="B156" s="36"/>
      <c r="C156" s="36"/>
      <c r="D156" s="36"/>
      <c r="E156" s="36"/>
      <c r="F156" s="36"/>
      <c r="G156" s="36"/>
      <c r="H156" s="37"/>
      <c r="I156" s="37"/>
      <c r="J156" s="37"/>
      <c r="K156" s="36"/>
      <c r="L156" s="36"/>
      <c r="M156" s="36"/>
      <c r="N156" s="41">
        <f>IF(OR(M156&lt;&gt;"Aktif",I156&lt;=0),0,MAX(0,I156-J156-K156))</f>
      </c>
      <c r="O156" s="42">
        <f>IFERROR(J156/I156,0)</f>
      </c>
      <c r="P156" s="29">
        <f>IF(B156="","",IF(I156&lt;0,"DÜZELT: Onaylı limit negatif olamaz.",IF(J156&lt;0,"DÜZELT: Kullanılan kredi negatif olamaz.",IF(H156&lt;=0,"DÜZELT: Kur sıfır veya negatif olamaz.",IF(J156+K156&gt;I156,"DÜZELT: "&amp;C156&amp;" - "&amp;D156&amp;" kaydında kullanılan risk + bloke ("&amp;TEXT(J156+K156,"#,##0")&amp;" TL), onaylı limiti ("&amp;TEXT(I156,"#,##0")&amp;" TL) aşıyor. Kullanılan Risk ve Bloke/Rehin tutarlarını kontrol edin.",IF(AND(M156="Aktif",L156&lt;TODAY()),"KONTROL ET: "&amp;C156&amp;" - "&amp;D156&amp;" limitinin vadesi "&amp;TEXT(L156,"dd.mm.yyyy")&amp;" tarihinde bitmiş görünüyor. Bankadan güncel vade/durum bilgisini kontrol edip sarı hücreleri güncelleyin.","TAMAM"))))))</f>
      </c>
    </row>
    <row r="157" spans="2:16" ht="18" customHeight="1">
      <c r="B157" s="36"/>
      <c r="C157" s="36"/>
      <c r="D157" s="36"/>
      <c r="E157" s="36"/>
      <c r="F157" s="36"/>
      <c r="G157" s="36"/>
      <c r="H157" s="37"/>
      <c r="I157" s="37"/>
      <c r="J157" s="37"/>
      <c r="K157" s="36"/>
      <c r="L157" s="36"/>
      <c r="M157" s="36"/>
      <c r="N157" s="41">
        <f>IF(OR(M157&lt;&gt;"Aktif",I157&lt;=0),0,MAX(0,I157-J157-K157))</f>
      </c>
      <c r="O157" s="42">
        <f>IFERROR(J157/I157,0)</f>
      </c>
      <c r="P157" s="29">
        <f>IF(B157="","",IF(I157&lt;0,"DÜZELT: Onaylı limit negatif olamaz.",IF(J157&lt;0,"DÜZELT: Kullanılan kredi negatif olamaz.",IF(H157&lt;=0,"DÜZELT: Kur sıfır veya negatif olamaz.",IF(J157+K157&gt;I157,"DÜZELT: "&amp;C157&amp;" - "&amp;D157&amp;" kaydında kullanılan risk + bloke ("&amp;TEXT(J157+K157,"#,##0")&amp;" TL), onaylı limiti ("&amp;TEXT(I157,"#,##0")&amp;" TL) aşıyor. Kullanılan Risk ve Bloke/Rehin tutarlarını kontrol edin.",IF(AND(M157="Aktif",L157&lt;TODAY()),"KONTROL ET: "&amp;C157&amp;" - "&amp;D157&amp;" limitinin vadesi "&amp;TEXT(L157,"dd.mm.yyyy")&amp;" tarihinde bitmiş görünüyor. Bankadan güncel vade/durum bilgisini kontrol edip sarı hücreleri güncelleyin.","TAMAM"))))))</f>
      </c>
    </row>
    <row r="158" spans="2:16" ht="18" customHeight="1">
      <c r="B158" s="36"/>
      <c r="C158" s="36"/>
      <c r="D158" s="36"/>
      <c r="E158" s="36"/>
      <c r="F158" s="36"/>
      <c r="G158" s="36"/>
      <c r="H158" s="37"/>
      <c r="I158" s="37"/>
      <c r="J158" s="37"/>
      <c r="K158" s="36"/>
      <c r="L158" s="36"/>
      <c r="M158" s="36"/>
      <c r="N158" s="41">
        <f>IF(OR(M158&lt;&gt;"Aktif",I158&lt;=0),0,MAX(0,I158-J158-K158))</f>
      </c>
      <c r="O158" s="42">
        <f>IFERROR(J158/I158,0)</f>
      </c>
      <c r="P158" s="29">
        <f>IF(B158="","",IF(I158&lt;0,"DÜZELT: Onaylı limit negatif olamaz.",IF(J158&lt;0,"DÜZELT: Kullanılan kredi negatif olamaz.",IF(H158&lt;=0,"DÜZELT: Kur sıfır veya negatif olamaz.",IF(J158+K158&gt;I158,"DÜZELT: "&amp;C158&amp;" - "&amp;D158&amp;" kaydında kullanılan risk + bloke ("&amp;TEXT(J158+K158,"#,##0")&amp;" TL), onaylı limiti ("&amp;TEXT(I158,"#,##0")&amp;" TL) aşıyor. Kullanılan Risk ve Bloke/Rehin tutarlarını kontrol edin.",IF(AND(M158="Aktif",L158&lt;TODAY()),"KONTROL ET: "&amp;C158&amp;" - "&amp;D158&amp;" limitinin vadesi "&amp;TEXT(L158,"dd.mm.yyyy")&amp;" tarihinde bitmiş görünüyor. Bankadan güncel vade/durum bilgisini kontrol edip sarı hücreleri güncelleyin.","TAMAM"))))))</f>
      </c>
    </row>
    <row r="159" spans="2:16" ht="18" customHeight="1">
      <c r="B159" s="36"/>
      <c r="C159" s="36"/>
      <c r="D159" s="36"/>
      <c r="E159" s="36"/>
      <c r="F159" s="36"/>
      <c r="G159" s="36"/>
      <c r="H159" s="37"/>
      <c r="I159" s="37"/>
      <c r="J159" s="37"/>
      <c r="K159" s="36"/>
      <c r="L159" s="36"/>
      <c r="M159" s="36"/>
      <c r="N159" s="41">
        <f>IF(OR(M159&lt;&gt;"Aktif",I159&lt;=0),0,MAX(0,I159-J159-K159))</f>
      </c>
      <c r="O159" s="42">
        <f>IFERROR(J159/I159,0)</f>
      </c>
      <c r="P159" s="29">
        <f>IF(B159="","",IF(I159&lt;0,"DÜZELT: Onaylı limit negatif olamaz.",IF(J159&lt;0,"DÜZELT: Kullanılan kredi negatif olamaz.",IF(H159&lt;=0,"DÜZELT: Kur sıfır veya negatif olamaz.",IF(J159+K159&gt;I159,"DÜZELT: "&amp;C159&amp;" - "&amp;D159&amp;" kaydında kullanılan risk + bloke ("&amp;TEXT(J159+K159,"#,##0")&amp;" TL), onaylı limiti ("&amp;TEXT(I159,"#,##0")&amp;" TL) aşıyor. Kullanılan Risk ve Bloke/Rehin tutarlarını kontrol edin.",IF(AND(M159="Aktif",L159&lt;TODAY()),"KONTROL ET: "&amp;C159&amp;" - "&amp;D159&amp;" limitinin vadesi "&amp;TEXT(L159,"dd.mm.yyyy")&amp;" tarihinde bitmiş görünüyor. Bankadan güncel vade/durum bilgisini kontrol edip sarı hücreleri güncelleyin.","TAMAM"))))))</f>
      </c>
    </row>
    <row r="160" spans="2:16" ht="18" customHeight="1">
      <c r="B160" s="36"/>
      <c r="C160" s="36"/>
      <c r="D160" s="36"/>
      <c r="E160" s="36"/>
      <c r="F160" s="36"/>
      <c r="G160" s="36"/>
      <c r="H160" s="37"/>
      <c r="I160" s="37"/>
      <c r="J160" s="37"/>
      <c r="K160" s="36"/>
      <c r="L160" s="36"/>
      <c r="M160" s="36"/>
      <c r="N160" s="41">
        <f>IF(OR(M160&lt;&gt;"Aktif",I160&lt;=0),0,MAX(0,I160-J160-K160))</f>
      </c>
      <c r="O160" s="42">
        <f>IFERROR(J160/I160,0)</f>
      </c>
      <c r="P160" s="29">
        <f>IF(B160="","",IF(I160&lt;0,"DÜZELT: Onaylı limit negatif olamaz.",IF(J160&lt;0,"DÜZELT: Kullanılan kredi negatif olamaz.",IF(H160&lt;=0,"DÜZELT: Kur sıfır veya negatif olamaz.",IF(J160+K160&gt;I160,"DÜZELT: "&amp;C160&amp;" - "&amp;D160&amp;" kaydında kullanılan risk + bloke ("&amp;TEXT(J160+K160,"#,##0")&amp;" TL), onaylı limiti ("&amp;TEXT(I160,"#,##0")&amp;" TL) aşıyor. Kullanılan Risk ve Bloke/Rehin tutarlarını kontrol edin.",IF(AND(M160="Aktif",L160&lt;TODAY()),"KONTROL ET: "&amp;C160&amp;" - "&amp;D160&amp;" limitinin vadesi "&amp;TEXT(L160,"dd.mm.yyyy")&amp;" tarihinde bitmiş görünüyor. Bankadan güncel vade/durum bilgisini kontrol edip sarı hücreleri güncelleyin.","TAMAM"))))))</f>
      </c>
    </row>
    <row r="161" spans="2:16" ht="18" customHeight="1">
      <c r="B161" s="36"/>
      <c r="C161" s="36"/>
      <c r="D161" s="36"/>
      <c r="E161" s="36"/>
      <c r="F161" s="36"/>
      <c r="G161" s="36"/>
      <c r="H161" s="37"/>
      <c r="I161" s="37"/>
      <c r="J161" s="37"/>
      <c r="K161" s="36"/>
      <c r="L161" s="36"/>
      <c r="M161" s="36"/>
      <c r="N161" s="41">
        <f>IF(OR(M161&lt;&gt;"Aktif",I161&lt;=0),0,MAX(0,I161-J161-K161))</f>
      </c>
      <c r="O161" s="42">
        <f>IFERROR(J161/I161,0)</f>
      </c>
      <c r="P161" s="29">
        <f>IF(B161="","",IF(I161&lt;0,"DÜZELT: Onaylı limit negatif olamaz.",IF(J161&lt;0,"DÜZELT: Kullanılan kredi negatif olamaz.",IF(H161&lt;=0,"DÜZELT: Kur sıfır veya negatif olamaz.",IF(J161+K161&gt;I161,"DÜZELT: "&amp;C161&amp;" - "&amp;D161&amp;" kaydında kullanılan risk + bloke ("&amp;TEXT(J161+K161,"#,##0")&amp;" TL), onaylı limiti ("&amp;TEXT(I161,"#,##0")&amp;" TL) aşıyor. Kullanılan Risk ve Bloke/Rehin tutarlarını kontrol edin.",IF(AND(M161="Aktif",L161&lt;TODAY()),"KONTROL ET: "&amp;C161&amp;" - "&amp;D161&amp;" limitinin vadesi "&amp;TEXT(L161,"dd.mm.yyyy")&amp;" tarihinde bitmiş görünüyor. Bankadan güncel vade/durum bilgisini kontrol edip sarı hücreleri güncelleyin.","TAMAM"))))))</f>
      </c>
    </row>
    <row r="162" spans="2:16" ht="18" customHeight="1">
      <c r="B162" s="36"/>
      <c r="C162" s="36"/>
      <c r="D162" s="36"/>
      <c r="E162" s="36"/>
      <c r="F162" s="36"/>
      <c r="G162" s="36"/>
      <c r="H162" s="37"/>
      <c r="I162" s="37"/>
      <c r="J162" s="37"/>
      <c r="K162" s="36"/>
      <c r="L162" s="36"/>
      <c r="M162" s="36"/>
      <c r="N162" s="41">
        <f>IF(OR(M162&lt;&gt;"Aktif",I162&lt;=0),0,MAX(0,I162-J162-K162))</f>
      </c>
      <c r="O162" s="42">
        <f>IFERROR(J162/I162,0)</f>
      </c>
      <c r="P162" s="29">
        <f>IF(B162="","",IF(I162&lt;0,"DÜZELT: Onaylı limit negatif olamaz.",IF(J162&lt;0,"DÜZELT: Kullanılan kredi negatif olamaz.",IF(H162&lt;=0,"DÜZELT: Kur sıfır veya negatif olamaz.",IF(J162+K162&gt;I162,"DÜZELT: "&amp;C162&amp;" - "&amp;D162&amp;" kaydında kullanılan risk + bloke ("&amp;TEXT(J162+K162,"#,##0")&amp;" TL), onaylı limiti ("&amp;TEXT(I162,"#,##0")&amp;" TL) aşıyor. Kullanılan Risk ve Bloke/Rehin tutarlarını kontrol edin.",IF(AND(M162="Aktif",L162&lt;TODAY()),"KONTROL ET: "&amp;C162&amp;" - "&amp;D162&amp;" limitinin vadesi "&amp;TEXT(L162,"dd.mm.yyyy")&amp;" tarihinde bitmiş görünüyor. Bankadan güncel vade/durum bilgisini kontrol edip sarı hücreleri güncelleyin.","TAMAM"))))))</f>
      </c>
    </row>
    <row r="163" spans="2:16" ht="18" customHeight="1">
      <c r="B163" s="36"/>
      <c r="C163" s="36"/>
      <c r="D163" s="36"/>
      <c r="E163" s="36"/>
      <c r="F163" s="36"/>
      <c r="G163" s="36"/>
      <c r="H163" s="37"/>
      <c r="I163" s="37"/>
      <c r="J163" s="37"/>
      <c r="K163" s="36"/>
      <c r="L163" s="36"/>
      <c r="M163" s="36"/>
      <c r="N163" s="41">
        <f>IF(OR(M163&lt;&gt;"Aktif",I163&lt;=0),0,MAX(0,I163-J163-K163))</f>
      </c>
      <c r="O163" s="42">
        <f>IFERROR(J163/I163,0)</f>
      </c>
      <c r="P163" s="29">
        <f>IF(B163="","",IF(I163&lt;0,"DÜZELT: Onaylı limit negatif olamaz.",IF(J163&lt;0,"DÜZELT: Kullanılan kredi negatif olamaz.",IF(H163&lt;=0,"DÜZELT: Kur sıfır veya negatif olamaz.",IF(J163+K163&gt;I163,"DÜZELT: "&amp;C163&amp;" - "&amp;D163&amp;" kaydında kullanılan risk + bloke ("&amp;TEXT(J163+K163,"#,##0")&amp;" TL), onaylı limiti ("&amp;TEXT(I163,"#,##0")&amp;" TL) aşıyor. Kullanılan Risk ve Bloke/Rehin tutarlarını kontrol edin.",IF(AND(M163="Aktif",L163&lt;TODAY()),"KONTROL ET: "&amp;C163&amp;" - "&amp;D163&amp;" limitinin vadesi "&amp;TEXT(L163,"dd.mm.yyyy")&amp;" tarihinde bitmiş görünüyor. Bankadan güncel vade/durum bilgisini kontrol edip sarı hücreleri güncelleyin.","TAMAM"))))))</f>
      </c>
    </row>
    <row r="164" spans="2:16" ht="18" customHeight="1">
      <c r="B164" s="36"/>
      <c r="C164" s="36"/>
      <c r="D164" s="36"/>
      <c r="E164" s="36"/>
      <c r="F164" s="36"/>
      <c r="G164" s="36"/>
      <c r="H164" s="37"/>
      <c r="I164" s="37"/>
      <c r="J164" s="37"/>
      <c r="K164" s="36"/>
      <c r="L164" s="36"/>
      <c r="M164" s="36"/>
      <c r="N164" s="41">
        <f>IF(OR(M164&lt;&gt;"Aktif",I164&lt;=0),0,MAX(0,I164-J164-K164))</f>
      </c>
      <c r="O164" s="42">
        <f>IFERROR(J164/I164,0)</f>
      </c>
      <c r="P164" s="29">
        <f>IF(B164="","",IF(I164&lt;0,"DÜZELT: Onaylı limit negatif olamaz.",IF(J164&lt;0,"DÜZELT: Kullanılan kredi negatif olamaz.",IF(H164&lt;=0,"DÜZELT: Kur sıfır veya negatif olamaz.",IF(J164+K164&gt;I164,"DÜZELT: "&amp;C164&amp;" - "&amp;D164&amp;" kaydında kullanılan risk + bloke ("&amp;TEXT(J164+K164,"#,##0")&amp;" TL), onaylı limiti ("&amp;TEXT(I164,"#,##0")&amp;" TL) aşıyor. Kullanılan Risk ve Bloke/Rehin tutarlarını kontrol edin.",IF(AND(M164="Aktif",L164&lt;TODAY()),"KONTROL ET: "&amp;C164&amp;" - "&amp;D164&amp;" limitinin vadesi "&amp;TEXT(L164,"dd.mm.yyyy")&amp;" tarihinde bitmiş görünüyor. Bankadan güncel vade/durum bilgisini kontrol edip sarı hücreleri güncelleyin.","TAMAM"))))))</f>
      </c>
    </row>
    <row r="165" spans="2:16" ht="18" customHeight="1">
      <c r="B165" s="36"/>
      <c r="C165" s="36"/>
      <c r="D165" s="36"/>
      <c r="E165" s="36"/>
      <c r="F165" s="36"/>
      <c r="G165" s="36"/>
      <c r="H165" s="37"/>
      <c r="I165" s="37"/>
      <c r="J165" s="37"/>
      <c r="K165" s="36"/>
      <c r="L165" s="36"/>
      <c r="M165" s="36"/>
      <c r="N165" s="41">
        <f>IF(OR(M165&lt;&gt;"Aktif",I165&lt;=0),0,MAX(0,I165-J165-K165))</f>
      </c>
      <c r="O165" s="42">
        <f>IFERROR(J165/I165,0)</f>
      </c>
      <c r="P165" s="29">
        <f>IF(B165="","",IF(I165&lt;0,"DÜZELT: Onaylı limit negatif olamaz.",IF(J165&lt;0,"DÜZELT: Kullanılan kredi negatif olamaz.",IF(H165&lt;=0,"DÜZELT: Kur sıfır veya negatif olamaz.",IF(J165+K165&gt;I165,"DÜZELT: "&amp;C165&amp;" - "&amp;D165&amp;" kaydında kullanılan risk + bloke ("&amp;TEXT(J165+K165,"#,##0")&amp;" TL), onaylı limiti ("&amp;TEXT(I165,"#,##0")&amp;" TL) aşıyor. Kullanılan Risk ve Bloke/Rehin tutarlarını kontrol edin.",IF(AND(M165="Aktif",L165&lt;TODAY()),"KONTROL ET: "&amp;C165&amp;" - "&amp;D165&amp;" limitinin vadesi "&amp;TEXT(L165,"dd.mm.yyyy")&amp;" tarihinde bitmiş görünüyor. Bankadan güncel vade/durum bilgisini kontrol edip sarı hücreleri güncelleyin.","TAMAM"))))))</f>
      </c>
    </row>
    <row r="166" spans="2:16" ht="18" customHeight="1">
      <c r="B166" s="36"/>
      <c r="C166" s="36"/>
      <c r="D166" s="36"/>
      <c r="E166" s="36"/>
      <c r="F166" s="36"/>
      <c r="G166" s="36"/>
      <c r="H166" s="37"/>
      <c r="I166" s="37"/>
      <c r="J166" s="37"/>
      <c r="K166" s="36"/>
      <c r="L166" s="36"/>
      <c r="M166" s="36"/>
      <c r="N166" s="41">
        <f>IF(OR(M166&lt;&gt;"Aktif",I166&lt;=0),0,MAX(0,I166-J166-K166))</f>
      </c>
      <c r="O166" s="42">
        <f>IFERROR(J166/I166,0)</f>
      </c>
      <c r="P166" s="29">
        <f>IF(B166="","",IF(I166&lt;0,"DÜZELT: Onaylı limit negatif olamaz.",IF(J166&lt;0,"DÜZELT: Kullanılan kredi negatif olamaz.",IF(H166&lt;=0,"DÜZELT: Kur sıfır veya negatif olamaz.",IF(J166+K166&gt;I166,"DÜZELT: "&amp;C166&amp;" - "&amp;D166&amp;" kaydında kullanılan risk + bloke ("&amp;TEXT(J166+K166,"#,##0")&amp;" TL), onaylı limiti ("&amp;TEXT(I166,"#,##0")&amp;" TL) aşıyor. Kullanılan Risk ve Bloke/Rehin tutarlarını kontrol edin.",IF(AND(M166="Aktif",L166&lt;TODAY()),"KONTROL ET: "&amp;C166&amp;" - "&amp;D166&amp;" limitinin vadesi "&amp;TEXT(L166,"dd.mm.yyyy")&amp;" tarihinde bitmiş görünüyor. Bankadan güncel vade/durum bilgisini kontrol edip sarı hücreleri güncelleyin.","TAMAM"))))))</f>
      </c>
    </row>
    <row r="167" spans="2:16" ht="18" customHeight="1">
      <c r="B167" s="36"/>
      <c r="C167" s="36"/>
      <c r="D167" s="36"/>
      <c r="E167" s="36"/>
      <c r="F167" s="36"/>
      <c r="G167" s="36"/>
      <c r="H167" s="37"/>
      <c r="I167" s="37"/>
      <c r="J167" s="37"/>
      <c r="K167" s="36"/>
      <c r="L167" s="36"/>
      <c r="M167" s="36"/>
      <c r="N167" s="41">
        <f>IF(OR(M167&lt;&gt;"Aktif",I167&lt;=0),0,MAX(0,I167-J167-K167))</f>
      </c>
      <c r="O167" s="42">
        <f>IFERROR(J167/I167,0)</f>
      </c>
      <c r="P167" s="29">
        <f>IF(B167="","",IF(I167&lt;0,"DÜZELT: Onaylı limit negatif olamaz.",IF(J167&lt;0,"DÜZELT: Kullanılan kredi negatif olamaz.",IF(H167&lt;=0,"DÜZELT: Kur sıfır veya negatif olamaz.",IF(J167+K167&gt;I167,"DÜZELT: "&amp;C167&amp;" - "&amp;D167&amp;" kaydında kullanılan risk + bloke ("&amp;TEXT(J167+K167,"#,##0")&amp;" TL), onaylı limiti ("&amp;TEXT(I167,"#,##0")&amp;" TL) aşıyor. Kullanılan Risk ve Bloke/Rehin tutarlarını kontrol edin.",IF(AND(M167="Aktif",L167&lt;TODAY()),"KONTROL ET: "&amp;C167&amp;" - "&amp;D167&amp;" limitinin vadesi "&amp;TEXT(L167,"dd.mm.yyyy")&amp;" tarihinde bitmiş görünüyor. Bankadan güncel vade/durum bilgisini kontrol edip sarı hücreleri güncelleyin.","TAMAM"))))))</f>
      </c>
    </row>
    <row r="168" spans="2:16" ht="18" customHeight="1">
      <c r="B168" s="36"/>
      <c r="C168" s="36"/>
      <c r="D168" s="36"/>
      <c r="E168" s="36"/>
      <c r="F168" s="36"/>
      <c r="G168" s="36"/>
      <c r="H168" s="37"/>
      <c r="I168" s="37"/>
      <c r="J168" s="37"/>
      <c r="K168" s="36"/>
      <c r="L168" s="36"/>
      <c r="M168" s="36"/>
      <c r="N168" s="41">
        <f>IF(OR(M168&lt;&gt;"Aktif",I168&lt;=0),0,MAX(0,I168-J168-K168))</f>
      </c>
      <c r="O168" s="42">
        <f>IFERROR(J168/I168,0)</f>
      </c>
      <c r="P168" s="29">
        <f>IF(B168="","",IF(I168&lt;0,"DÜZELT: Onaylı limit negatif olamaz.",IF(J168&lt;0,"DÜZELT: Kullanılan kredi negatif olamaz.",IF(H168&lt;=0,"DÜZELT: Kur sıfır veya negatif olamaz.",IF(J168+K168&gt;I168,"DÜZELT: "&amp;C168&amp;" - "&amp;D168&amp;" kaydında kullanılan risk + bloke ("&amp;TEXT(J168+K168,"#,##0")&amp;" TL), onaylı limiti ("&amp;TEXT(I168,"#,##0")&amp;" TL) aşıyor. Kullanılan Risk ve Bloke/Rehin tutarlarını kontrol edin.",IF(AND(M168="Aktif",L168&lt;TODAY()),"KONTROL ET: "&amp;C168&amp;" - "&amp;D168&amp;" limitinin vadesi "&amp;TEXT(L168,"dd.mm.yyyy")&amp;" tarihinde bitmiş görünüyor. Bankadan güncel vade/durum bilgisini kontrol edip sarı hücreleri güncelleyin.","TAMAM"))))))</f>
      </c>
    </row>
    <row r="169" spans="2:16" ht="18" customHeight="1">
      <c r="B169" s="36"/>
      <c r="C169" s="36"/>
      <c r="D169" s="36"/>
      <c r="E169" s="36"/>
      <c r="F169" s="36"/>
      <c r="G169" s="36"/>
      <c r="H169" s="37"/>
      <c r="I169" s="37"/>
      <c r="J169" s="37"/>
      <c r="K169" s="36"/>
      <c r="L169" s="36"/>
      <c r="M169" s="36"/>
      <c r="N169" s="41">
        <f>IF(OR(M169&lt;&gt;"Aktif",I169&lt;=0),0,MAX(0,I169-J169-K169))</f>
      </c>
      <c r="O169" s="42">
        <f>IFERROR(J169/I169,0)</f>
      </c>
      <c r="P169" s="29">
        <f>IF(B169="","",IF(I169&lt;0,"DÜZELT: Onaylı limit negatif olamaz.",IF(J169&lt;0,"DÜZELT: Kullanılan kredi negatif olamaz.",IF(H169&lt;=0,"DÜZELT: Kur sıfır veya negatif olamaz.",IF(J169+K169&gt;I169,"DÜZELT: "&amp;C169&amp;" - "&amp;D169&amp;" kaydında kullanılan risk + bloke ("&amp;TEXT(J169+K169,"#,##0")&amp;" TL), onaylı limiti ("&amp;TEXT(I169,"#,##0")&amp;" TL) aşıyor. Kullanılan Risk ve Bloke/Rehin tutarlarını kontrol edin.",IF(AND(M169="Aktif",L169&lt;TODAY()),"KONTROL ET: "&amp;C169&amp;" - "&amp;D169&amp;" limitinin vadesi "&amp;TEXT(L169,"dd.mm.yyyy")&amp;" tarihinde bitmiş görünüyor. Bankadan güncel vade/durum bilgisini kontrol edip sarı hücreleri güncelleyin.","TAMAM"))))))</f>
      </c>
    </row>
    <row r="170" spans="2:16" ht="18" customHeight="1">
      <c r="B170" s="36"/>
      <c r="C170" s="36"/>
      <c r="D170" s="36"/>
      <c r="E170" s="36"/>
      <c r="F170" s="36"/>
      <c r="G170" s="36"/>
      <c r="H170" s="37"/>
      <c r="I170" s="37"/>
      <c r="J170" s="37"/>
      <c r="K170" s="36"/>
      <c r="L170" s="36"/>
      <c r="M170" s="36"/>
      <c r="N170" s="41">
        <f>IF(OR(M170&lt;&gt;"Aktif",I170&lt;=0),0,MAX(0,I170-J170-K170))</f>
      </c>
      <c r="O170" s="42">
        <f>IFERROR(J170/I170,0)</f>
      </c>
      <c r="P170" s="29">
        <f>IF(B170="","",IF(I170&lt;0,"DÜZELT: Onaylı limit negatif olamaz.",IF(J170&lt;0,"DÜZELT: Kullanılan kredi negatif olamaz.",IF(H170&lt;=0,"DÜZELT: Kur sıfır veya negatif olamaz.",IF(J170+K170&gt;I170,"DÜZELT: "&amp;C170&amp;" - "&amp;D170&amp;" kaydında kullanılan risk + bloke ("&amp;TEXT(J170+K170,"#,##0")&amp;" TL), onaylı limiti ("&amp;TEXT(I170,"#,##0")&amp;" TL) aşıyor. Kullanılan Risk ve Bloke/Rehin tutarlarını kontrol edin.",IF(AND(M170="Aktif",L170&lt;TODAY()),"KONTROL ET: "&amp;C170&amp;" - "&amp;D170&amp;" limitinin vadesi "&amp;TEXT(L170,"dd.mm.yyyy")&amp;" tarihinde bitmiş görünüyor. Bankadan güncel vade/durum bilgisini kontrol edip sarı hücreleri güncelleyin.","TAMAM"))))))</f>
      </c>
    </row>
    <row r="171" spans="2:16" ht="18" customHeight="1">
      <c r="B171" s="36"/>
      <c r="C171" s="36"/>
      <c r="D171" s="36"/>
      <c r="E171" s="36"/>
      <c r="F171" s="36"/>
      <c r="G171" s="36"/>
      <c r="H171" s="37"/>
      <c r="I171" s="37"/>
      <c r="J171" s="37"/>
      <c r="K171" s="36"/>
      <c r="L171" s="36"/>
      <c r="M171" s="36"/>
      <c r="N171" s="41">
        <f>IF(OR(M171&lt;&gt;"Aktif",I171&lt;=0),0,MAX(0,I171-J171-K171))</f>
      </c>
      <c r="O171" s="42">
        <f>IFERROR(J171/I171,0)</f>
      </c>
      <c r="P171" s="29">
        <f>IF(B171="","",IF(I171&lt;0,"DÜZELT: Onaylı limit negatif olamaz.",IF(J171&lt;0,"DÜZELT: Kullanılan kredi negatif olamaz.",IF(H171&lt;=0,"DÜZELT: Kur sıfır veya negatif olamaz.",IF(J171+K171&gt;I171,"DÜZELT: "&amp;C171&amp;" - "&amp;D171&amp;" kaydında kullanılan risk + bloke ("&amp;TEXT(J171+K171,"#,##0")&amp;" TL), onaylı limiti ("&amp;TEXT(I171,"#,##0")&amp;" TL) aşıyor. Kullanılan Risk ve Bloke/Rehin tutarlarını kontrol edin.",IF(AND(M171="Aktif",L171&lt;TODAY()),"KONTROL ET: "&amp;C171&amp;" - "&amp;D171&amp;" limitinin vadesi "&amp;TEXT(L171,"dd.mm.yyyy")&amp;" tarihinde bitmiş görünüyor. Bankadan güncel vade/durum bilgisini kontrol edip sarı hücreleri güncelleyin.","TAMAM"))))))</f>
      </c>
    </row>
    <row r="172" spans="2:16" ht="18" customHeight="1">
      <c r="B172" s="36"/>
      <c r="C172" s="36"/>
      <c r="D172" s="36"/>
      <c r="E172" s="36"/>
      <c r="F172" s="36"/>
      <c r="G172" s="36"/>
      <c r="H172" s="37"/>
      <c r="I172" s="37"/>
      <c r="J172" s="37"/>
      <c r="K172" s="36"/>
      <c r="L172" s="36"/>
      <c r="M172" s="36"/>
      <c r="N172" s="41">
        <f>IF(OR(M172&lt;&gt;"Aktif",I172&lt;=0),0,MAX(0,I172-J172-K172))</f>
      </c>
      <c r="O172" s="42">
        <f>IFERROR(J172/I172,0)</f>
      </c>
      <c r="P172" s="29">
        <f>IF(B172="","",IF(I172&lt;0,"DÜZELT: Onaylı limit negatif olamaz.",IF(J172&lt;0,"DÜZELT: Kullanılan kredi negatif olamaz.",IF(H172&lt;=0,"DÜZELT: Kur sıfır veya negatif olamaz.",IF(J172+K172&gt;I172,"DÜZELT: "&amp;C172&amp;" - "&amp;D172&amp;" kaydında kullanılan risk + bloke ("&amp;TEXT(J172+K172,"#,##0")&amp;" TL), onaylı limiti ("&amp;TEXT(I172,"#,##0")&amp;" TL) aşıyor. Kullanılan Risk ve Bloke/Rehin tutarlarını kontrol edin.",IF(AND(M172="Aktif",L172&lt;TODAY()),"KONTROL ET: "&amp;C172&amp;" - "&amp;D172&amp;" limitinin vadesi "&amp;TEXT(L172,"dd.mm.yyyy")&amp;" tarihinde bitmiş görünüyor. Bankadan güncel vade/durum bilgisini kontrol edip sarı hücreleri güncelleyin.","TAMAM"))))))</f>
      </c>
    </row>
    <row r="173" spans="2:16" ht="18" customHeight="1">
      <c r="B173" s="36"/>
      <c r="C173" s="36"/>
      <c r="D173" s="36"/>
      <c r="E173" s="36"/>
      <c r="F173" s="36"/>
      <c r="G173" s="36"/>
      <c r="H173" s="37"/>
      <c r="I173" s="37"/>
      <c r="J173" s="37"/>
      <c r="K173" s="36"/>
      <c r="L173" s="36"/>
      <c r="M173" s="36"/>
      <c r="N173" s="41">
        <f>IF(OR(M173&lt;&gt;"Aktif",I173&lt;=0),0,MAX(0,I173-J173-K173))</f>
      </c>
      <c r="O173" s="42">
        <f>IFERROR(J173/I173,0)</f>
      </c>
      <c r="P173" s="29">
        <f>IF(B173="","",IF(I173&lt;0,"DÜZELT: Onaylı limit negatif olamaz.",IF(J173&lt;0,"DÜZELT: Kullanılan kredi negatif olamaz.",IF(H173&lt;=0,"DÜZELT: Kur sıfır veya negatif olamaz.",IF(J173+K173&gt;I173,"DÜZELT: "&amp;C173&amp;" - "&amp;D173&amp;" kaydında kullanılan risk + bloke ("&amp;TEXT(J173+K173,"#,##0")&amp;" TL), onaylı limiti ("&amp;TEXT(I173,"#,##0")&amp;" TL) aşıyor. Kullanılan Risk ve Bloke/Rehin tutarlarını kontrol edin.",IF(AND(M173="Aktif",L173&lt;TODAY()),"KONTROL ET: "&amp;C173&amp;" - "&amp;D173&amp;" limitinin vadesi "&amp;TEXT(L173,"dd.mm.yyyy")&amp;" tarihinde bitmiş görünüyor. Bankadan güncel vade/durum bilgisini kontrol edip sarı hücreleri güncelleyin.","TAMAM"))))))</f>
      </c>
    </row>
    <row r="174" spans="2:16" ht="18" customHeight="1">
      <c r="B174" s="36"/>
      <c r="C174" s="36"/>
      <c r="D174" s="36"/>
      <c r="E174" s="36"/>
      <c r="F174" s="36"/>
      <c r="G174" s="36"/>
      <c r="H174" s="37"/>
      <c r="I174" s="37"/>
      <c r="J174" s="37"/>
      <c r="K174" s="36"/>
      <c r="L174" s="36"/>
      <c r="M174" s="36"/>
      <c r="N174" s="41">
        <f>IF(OR(M174&lt;&gt;"Aktif",I174&lt;=0),0,MAX(0,I174-J174-K174))</f>
      </c>
      <c r="O174" s="42">
        <f>IFERROR(J174/I174,0)</f>
      </c>
      <c r="P174" s="29">
        <f>IF(B174="","",IF(I174&lt;0,"DÜZELT: Onaylı limit negatif olamaz.",IF(J174&lt;0,"DÜZELT: Kullanılan kredi negatif olamaz.",IF(H174&lt;=0,"DÜZELT: Kur sıfır veya negatif olamaz.",IF(J174+K174&gt;I174,"DÜZELT: "&amp;C174&amp;" - "&amp;D174&amp;" kaydında kullanılan risk + bloke ("&amp;TEXT(J174+K174,"#,##0")&amp;" TL), onaylı limiti ("&amp;TEXT(I174,"#,##0")&amp;" TL) aşıyor. Kullanılan Risk ve Bloke/Rehin tutarlarını kontrol edin.",IF(AND(M174="Aktif",L174&lt;TODAY()),"KONTROL ET: "&amp;C174&amp;" - "&amp;D174&amp;" limitinin vadesi "&amp;TEXT(L174,"dd.mm.yyyy")&amp;" tarihinde bitmiş görünüyor. Bankadan güncel vade/durum bilgisini kontrol edip sarı hücreleri güncelleyin.","TAMAM"))))))</f>
      </c>
    </row>
    <row r="175" spans="2:16" ht="18" customHeight="1">
      <c r="B175" s="36"/>
      <c r="C175" s="36"/>
      <c r="D175" s="36"/>
      <c r="E175" s="36"/>
      <c r="F175" s="36"/>
      <c r="G175" s="36"/>
      <c r="H175" s="37"/>
      <c r="I175" s="37"/>
      <c r="J175" s="37"/>
      <c r="K175" s="36"/>
      <c r="L175" s="36"/>
      <c r="M175" s="36"/>
      <c r="N175" s="41">
        <f>IF(OR(M175&lt;&gt;"Aktif",I175&lt;=0),0,MAX(0,I175-J175-K175))</f>
      </c>
      <c r="O175" s="42">
        <f>IFERROR(J175/I175,0)</f>
      </c>
      <c r="P175" s="29">
        <f>IF(B175="","",IF(I175&lt;0,"DÜZELT: Onaylı limit negatif olamaz.",IF(J175&lt;0,"DÜZELT: Kullanılan kredi negatif olamaz.",IF(H175&lt;=0,"DÜZELT: Kur sıfır veya negatif olamaz.",IF(J175+K175&gt;I175,"DÜZELT: "&amp;C175&amp;" - "&amp;D175&amp;" kaydında kullanılan risk + bloke ("&amp;TEXT(J175+K175,"#,##0")&amp;" TL), onaylı limiti ("&amp;TEXT(I175,"#,##0")&amp;" TL) aşıyor. Kullanılan Risk ve Bloke/Rehin tutarlarını kontrol edin.",IF(AND(M175="Aktif",L175&lt;TODAY()),"KONTROL ET: "&amp;C175&amp;" - "&amp;D175&amp;" limitinin vadesi "&amp;TEXT(L175,"dd.mm.yyyy")&amp;" tarihinde bitmiş görünüyor. Bankadan güncel vade/durum bilgisini kontrol edip sarı hücreleri güncelleyin.","TAMAM"))))))</f>
      </c>
    </row>
    <row r="176" spans="2:16" ht="18" customHeight="1">
      <c r="B176" s="36"/>
      <c r="C176" s="36"/>
      <c r="D176" s="36"/>
      <c r="E176" s="36"/>
      <c r="F176" s="36"/>
      <c r="G176" s="36"/>
      <c r="H176" s="37"/>
      <c r="I176" s="37"/>
      <c r="J176" s="37"/>
      <c r="K176" s="36"/>
      <c r="L176" s="36"/>
      <c r="M176" s="36"/>
      <c r="N176" s="41">
        <f>IF(OR(M176&lt;&gt;"Aktif",I176&lt;=0),0,MAX(0,I176-J176-K176))</f>
      </c>
      <c r="O176" s="42">
        <f>IFERROR(J176/I176,0)</f>
      </c>
      <c r="P176" s="29">
        <f>IF(B176="","",IF(I176&lt;0,"DÜZELT: Onaylı limit negatif olamaz.",IF(J176&lt;0,"DÜZELT: Kullanılan kredi negatif olamaz.",IF(H176&lt;=0,"DÜZELT: Kur sıfır veya negatif olamaz.",IF(J176+K176&gt;I176,"DÜZELT: "&amp;C176&amp;" - "&amp;D176&amp;" kaydında kullanılan risk + bloke ("&amp;TEXT(J176+K176,"#,##0")&amp;" TL), onaylı limiti ("&amp;TEXT(I176,"#,##0")&amp;" TL) aşıyor. Kullanılan Risk ve Bloke/Rehin tutarlarını kontrol edin.",IF(AND(M176="Aktif",L176&lt;TODAY()),"KONTROL ET: "&amp;C176&amp;" - "&amp;D176&amp;" limitinin vadesi "&amp;TEXT(L176,"dd.mm.yyyy")&amp;" tarihinde bitmiş görünüyor. Bankadan güncel vade/durum bilgisini kontrol edip sarı hücreleri güncelleyin.","TAMAM"))))))</f>
      </c>
    </row>
    <row r="177" spans="2:16" ht="18" customHeight="1">
      <c r="B177" s="36"/>
      <c r="C177" s="36"/>
      <c r="D177" s="36"/>
      <c r="E177" s="36"/>
      <c r="F177" s="36"/>
      <c r="G177" s="36"/>
      <c r="H177" s="37"/>
      <c r="I177" s="37"/>
      <c r="J177" s="37"/>
      <c r="K177" s="36"/>
      <c r="L177" s="36"/>
      <c r="M177" s="36"/>
      <c r="N177" s="41">
        <f>IF(OR(M177&lt;&gt;"Aktif",I177&lt;=0),0,MAX(0,I177-J177-K177))</f>
      </c>
      <c r="O177" s="42">
        <f>IFERROR(J177/I177,0)</f>
      </c>
      <c r="P177" s="29">
        <f>IF(B177="","",IF(I177&lt;0,"DÜZELT: Onaylı limit negatif olamaz.",IF(J177&lt;0,"DÜZELT: Kullanılan kredi negatif olamaz.",IF(H177&lt;=0,"DÜZELT: Kur sıfır veya negatif olamaz.",IF(J177+K177&gt;I177,"DÜZELT: "&amp;C177&amp;" - "&amp;D177&amp;" kaydında kullanılan risk + bloke ("&amp;TEXT(J177+K177,"#,##0")&amp;" TL), onaylı limiti ("&amp;TEXT(I177,"#,##0")&amp;" TL) aşıyor. Kullanılan Risk ve Bloke/Rehin tutarlarını kontrol edin.",IF(AND(M177="Aktif",L177&lt;TODAY()),"KONTROL ET: "&amp;C177&amp;" - "&amp;D177&amp;" limitinin vadesi "&amp;TEXT(L177,"dd.mm.yyyy")&amp;" tarihinde bitmiş görünüyor. Bankadan güncel vade/durum bilgisini kontrol edip sarı hücreleri güncelleyin.","TAMAM"))))))</f>
      </c>
    </row>
    <row r="178" spans="2:16" ht="18" customHeight="1">
      <c r="B178" s="36"/>
      <c r="C178" s="36"/>
      <c r="D178" s="36"/>
      <c r="E178" s="36"/>
      <c r="F178" s="36"/>
      <c r="G178" s="36"/>
      <c r="H178" s="37"/>
      <c r="I178" s="37"/>
      <c r="J178" s="37"/>
      <c r="K178" s="36"/>
      <c r="L178" s="36"/>
      <c r="M178" s="36"/>
      <c r="N178" s="41">
        <f>IF(OR(M178&lt;&gt;"Aktif",I178&lt;=0),0,MAX(0,I178-J178-K178))</f>
      </c>
      <c r="O178" s="42">
        <f>IFERROR(J178/I178,0)</f>
      </c>
      <c r="P178" s="29">
        <f>IF(B178="","",IF(I178&lt;0,"DÜZELT: Onaylı limit negatif olamaz.",IF(J178&lt;0,"DÜZELT: Kullanılan kredi negatif olamaz.",IF(H178&lt;=0,"DÜZELT: Kur sıfır veya negatif olamaz.",IF(J178+K178&gt;I178,"DÜZELT: "&amp;C178&amp;" - "&amp;D178&amp;" kaydında kullanılan risk + bloke ("&amp;TEXT(J178+K178,"#,##0")&amp;" TL), onaylı limiti ("&amp;TEXT(I178,"#,##0")&amp;" TL) aşıyor. Kullanılan Risk ve Bloke/Rehin tutarlarını kontrol edin.",IF(AND(M178="Aktif",L178&lt;TODAY()),"KONTROL ET: "&amp;C178&amp;" - "&amp;D178&amp;" limitinin vadesi "&amp;TEXT(L178,"dd.mm.yyyy")&amp;" tarihinde bitmiş görünüyor. Bankadan güncel vade/durum bilgisini kontrol edip sarı hücreleri güncelleyin.","TAMAM"))))))</f>
      </c>
    </row>
    <row r="179" spans="2:16" ht="18" customHeight="1">
      <c r="B179" s="36"/>
      <c r="C179" s="36"/>
      <c r="D179" s="36"/>
      <c r="E179" s="36"/>
      <c r="F179" s="36"/>
      <c r="G179" s="36"/>
      <c r="H179" s="37"/>
      <c r="I179" s="37"/>
      <c r="J179" s="37"/>
      <c r="K179" s="36"/>
      <c r="L179" s="36"/>
      <c r="M179" s="36"/>
      <c r="N179" s="41">
        <f>IF(OR(M179&lt;&gt;"Aktif",I179&lt;=0),0,MAX(0,I179-J179-K179))</f>
      </c>
      <c r="O179" s="42">
        <f>IFERROR(J179/I179,0)</f>
      </c>
      <c r="P179" s="29">
        <f>IF(B179="","",IF(I179&lt;0,"DÜZELT: Onaylı limit negatif olamaz.",IF(J179&lt;0,"DÜZELT: Kullanılan kredi negatif olamaz.",IF(H179&lt;=0,"DÜZELT: Kur sıfır veya negatif olamaz.",IF(J179+K179&gt;I179,"DÜZELT: "&amp;C179&amp;" - "&amp;D179&amp;" kaydında kullanılan risk + bloke ("&amp;TEXT(J179+K179,"#,##0")&amp;" TL), onaylı limiti ("&amp;TEXT(I179,"#,##0")&amp;" TL) aşıyor. Kullanılan Risk ve Bloke/Rehin tutarlarını kontrol edin.",IF(AND(M179="Aktif",L179&lt;TODAY()),"KONTROL ET: "&amp;C179&amp;" - "&amp;D179&amp;" limitinin vadesi "&amp;TEXT(L179,"dd.mm.yyyy")&amp;" tarihinde bitmiş görünüyor. Bankadan güncel vade/durum bilgisini kontrol edip sarı hücreleri güncelleyin.","TAMAM"))))))</f>
      </c>
    </row>
    <row r="180" spans="2:16" ht="18" customHeight="1">
      <c r="B180" s="36"/>
      <c r="C180" s="36"/>
      <c r="D180" s="36"/>
      <c r="E180" s="36"/>
      <c r="F180" s="36"/>
      <c r="G180" s="36"/>
      <c r="H180" s="37"/>
      <c r="I180" s="37"/>
      <c r="J180" s="37"/>
      <c r="K180" s="36"/>
      <c r="L180" s="36"/>
      <c r="M180" s="36"/>
      <c r="N180" s="41">
        <f>IF(OR(M180&lt;&gt;"Aktif",I180&lt;=0),0,MAX(0,I180-J180-K180))</f>
      </c>
      <c r="O180" s="42">
        <f>IFERROR(J180/I180,0)</f>
      </c>
      <c r="P180" s="29">
        <f>IF(B180="","",IF(I180&lt;0,"DÜZELT: Onaylı limit negatif olamaz.",IF(J180&lt;0,"DÜZELT: Kullanılan kredi negatif olamaz.",IF(H180&lt;=0,"DÜZELT: Kur sıfır veya negatif olamaz.",IF(J180+K180&gt;I180,"DÜZELT: "&amp;C180&amp;" - "&amp;D180&amp;" kaydında kullanılan risk + bloke ("&amp;TEXT(J180+K180,"#,##0")&amp;" TL), onaylı limiti ("&amp;TEXT(I180,"#,##0")&amp;" TL) aşıyor. Kullanılan Risk ve Bloke/Rehin tutarlarını kontrol edin.",IF(AND(M180="Aktif",L180&lt;TODAY()),"KONTROL ET: "&amp;C180&amp;" - "&amp;D180&amp;" limitinin vadesi "&amp;TEXT(L180,"dd.mm.yyyy")&amp;" tarihinde bitmiş görünüyor. Bankadan güncel vade/durum bilgisini kontrol edip sarı hücreleri güncelleyin.","TAMAM"))))))</f>
      </c>
    </row>
    <row r="181" spans="2:16" ht="18" customHeight="1">
      <c r="B181" s="36"/>
      <c r="C181" s="36"/>
      <c r="D181" s="36"/>
      <c r="E181" s="36"/>
      <c r="F181" s="36"/>
      <c r="G181" s="36"/>
      <c r="H181" s="37"/>
      <c r="I181" s="37"/>
      <c r="J181" s="37"/>
      <c r="K181" s="36"/>
      <c r="L181" s="36"/>
      <c r="M181" s="36"/>
      <c r="N181" s="41">
        <f>IF(OR(M181&lt;&gt;"Aktif",I181&lt;=0),0,MAX(0,I181-J181-K181))</f>
      </c>
      <c r="O181" s="42">
        <f>IFERROR(J181/I181,0)</f>
      </c>
      <c r="P181" s="29">
        <f>IF(B181="","",IF(I181&lt;0,"DÜZELT: Onaylı limit negatif olamaz.",IF(J181&lt;0,"DÜZELT: Kullanılan kredi negatif olamaz.",IF(H181&lt;=0,"DÜZELT: Kur sıfır veya negatif olamaz.",IF(J181+K181&gt;I181,"DÜZELT: "&amp;C181&amp;" - "&amp;D181&amp;" kaydında kullanılan risk + bloke ("&amp;TEXT(J181+K181,"#,##0")&amp;" TL), onaylı limiti ("&amp;TEXT(I181,"#,##0")&amp;" TL) aşıyor. Kullanılan Risk ve Bloke/Rehin tutarlarını kontrol edin.",IF(AND(M181="Aktif",L181&lt;TODAY()),"KONTROL ET: "&amp;C181&amp;" - "&amp;D181&amp;" limitinin vadesi "&amp;TEXT(L181,"dd.mm.yyyy")&amp;" tarihinde bitmiş görünüyor. Bankadan güncel vade/durum bilgisini kontrol edip sarı hücreleri güncelleyin.","TAMAM"))))))</f>
      </c>
    </row>
    <row r="182" spans="2:16" ht="18" customHeight="1">
      <c r="B182" s="36"/>
      <c r="C182" s="36"/>
      <c r="D182" s="36"/>
      <c r="E182" s="36"/>
      <c r="F182" s="36"/>
      <c r="G182" s="36"/>
      <c r="H182" s="37"/>
      <c r="I182" s="37"/>
      <c r="J182" s="37"/>
      <c r="K182" s="36"/>
      <c r="L182" s="36"/>
      <c r="M182" s="36"/>
      <c r="N182" s="41">
        <f>IF(OR(M182&lt;&gt;"Aktif",I182&lt;=0),0,MAX(0,I182-J182-K182))</f>
      </c>
      <c r="O182" s="42">
        <f>IFERROR(J182/I182,0)</f>
      </c>
      <c r="P182" s="29">
        <f>IF(B182="","",IF(I182&lt;0,"DÜZELT: Onaylı limit negatif olamaz.",IF(J182&lt;0,"DÜZELT: Kullanılan kredi negatif olamaz.",IF(H182&lt;=0,"DÜZELT: Kur sıfır veya negatif olamaz.",IF(J182+K182&gt;I182,"DÜZELT: "&amp;C182&amp;" - "&amp;D182&amp;" kaydında kullanılan risk + bloke ("&amp;TEXT(J182+K182,"#,##0")&amp;" TL), onaylı limiti ("&amp;TEXT(I182,"#,##0")&amp;" TL) aşıyor. Kullanılan Risk ve Bloke/Rehin tutarlarını kontrol edin.",IF(AND(M182="Aktif",L182&lt;TODAY()),"KONTROL ET: "&amp;C182&amp;" - "&amp;D182&amp;" limitinin vadesi "&amp;TEXT(L182,"dd.mm.yyyy")&amp;" tarihinde bitmiş görünüyor. Bankadan güncel vade/durum bilgisini kontrol edip sarı hücreleri güncelleyin.","TAMAM"))))))</f>
      </c>
    </row>
    <row r="183" spans="2:16" ht="18" customHeight="1">
      <c r="B183" s="36"/>
      <c r="C183" s="36"/>
      <c r="D183" s="36"/>
      <c r="E183" s="36"/>
      <c r="F183" s="36"/>
      <c r="G183" s="36"/>
      <c r="H183" s="37"/>
      <c r="I183" s="37"/>
      <c r="J183" s="37"/>
      <c r="K183" s="36"/>
      <c r="L183" s="36"/>
      <c r="M183" s="36"/>
      <c r="N183" s="41">
        <f>IF(OR(M183&lt;&gt;"Aktif",I183&lt;=0),0,MAX(0,I183-J183-K183))</f>
      </c>
      <c r="O183" s="42">
        <f>IFERROR(J183/I183,0)</f>
      </c>
      <c r="P183" s="29">
        <f>IF(B183="","",IF(I183&lt;0,"DÜZELT: Onaylı limit negatif olamaz.",IF(J183&lt;0,"DÜZELT: Kullanılan kredi negatif olamaz.",IF(H183&lt;=0,"DÜZELT: Kur sıfır veya negatif olamaz.",IF(J183+K183&gt;I183,"DÜZELT: "&amp;C183&amp;" - "&amp;D183&amp;" kaydında kullanılan risk + bloke ("&amp;TEXT(J183+K183,"#,##0")&amp;" TL), onaylı limiti ("&amp;TEXT(I183,"#,##0")&amp;" TL) aşıyor. Kullanılan Risk ve Bloke/Rehin tutarlarını kontrol edin.",IF(AND(M183="Aktif",L183&lt;TODAY()),"KONTROL ET: "&amp;C183&amp;" - "&amp;D183&amp;" limitinin vadesi "&amp;TEXT(L183,"dd.mm.yyyy")&amp;" tarihinde bitmiş görünüyor. Bankadan güncel vade/durum bilgisini kontrol edip sarı hücreleri güncelleyin.","TAMAM"))))))</f>
      </c>
    </row>
    <row r="184" spans="2:16" ht="18" customHeight="1">
      <c r="B184" s="36"/>
      <c r="C184" s="36"/>
      <c r="D184" s="36"/>
      <c r="E184" s="36"/>
      <c r="F184" s="36"/>
      <c r="G184" s="36"/>
      <c r="H184" s="37"/>
      <c r="I184" s="37"/>
      <c r="J184" s="37"/>
      <c r="K184" s="36"/>
      <c r="L184" s="36"/>
      <c r="M184" s="36"/>
      <c r="N184" s="41">
        <f>IF(OR(M184&lt;&gt;"Aktif",I184&lt;=0),0,MAX(0,I184-J184-K184))</f>
      </c>
      <c r="O184" s="42">
        <f>IFERROR(J184/I184,0)</f>
      </c>
      <c r="P184" s="29">
        <f>IF(B184="","",IF(I184&lt;0,"DÜZELT: Onaylı limit negatif olamaz.",IF(J184&lt;0,"DÜZELT: Kullanılan kredi negatif olamaz.",IF(H184&lt;=0,"DÜZELT: Kur sıfır veya negatif olamaz.",IF(J184+K184&gt;I184,"DÜZELT: "&amp;C184&amp;" - "&amp;D184&amp;" kaydında kullanılan risk + bloke ("&amp;TEXT(J184+K184,"#,##0")&amp;" TL), onaylı limiti ("&amp;TEXT(I184,"#,##0")&amp;" TL) aşıyor. Kullanılan Risk ve Bloke/Rehin tutarlarını kontrol edin.",IF(AND(M184="Aktif",L184&lt;TODAY()),"KONTROL ET: "&amp;C184&amp;" - "&amp;D184&amp;" limitinin vadesi "&amp;TEXT(L184,"dd.mm.yyyy")&amp;" tarihinde bitmiş görünüyor. Bankadan güncel vade/durum bilgisini kontrol edip sarı hücreleri güncelleyin.","TAMAM"))))))</f>
      </c>
    </row>
    <row r="185" spans="2:16" ht="18" customHeight="1">
      <c r="B185" s="36"/>
      <c r="C185" s="36"/>
      <c r="D185" s="36"/>
      <c r="E185" s="36"/>
      <c r="F185" s="36"/>
      <c r="G185" s="36"/>
      <c r="H185" s="37"/>
      <c r="I185" s="37"/>
      <c r="J185" s="37"/>
      <c r="K185" s="36"/>
      <c r="L185" s="36"/>
      <c r="M185" s="36"/>
      <c r="N185" s="41">
        <f>IF(OR(M185&lt;&gt;"Aktif",I185&lt;=0),0,MAX(0,I185-J185-K185))</f>
      </c>
      <c r="O185" s="42">
        <f>IFERROR(J185/I185,0)</f>
      </c>
      <c r="P185" s="29">
        <f>IF(B185="","",IF(I185&lt;0,"DÜZELT: Onaylı limit negatif olamaz.",IF(J185&lt;0,"DÜZELT: Kullanılan kredi negatif olamaz.",IF(H185&lt;=0,"DÜZELT: Kur sıfır veya negatif olamaz.",IF(J185+K185&gt;I185,"DÜZELT: "&amp;C185&amp;" - "&amp;D185&amp;" kaydında kullanılan risk + bloke ("&amp;TEXT(J185+K185,"#,##0")&amp;" TL), onaylı limiti ("&amp;TEXT(I185,"#,##0")&amp;" TL) aşıyor. Kullanılan Risk ve Bloke/Rehin tutarlarını kontrol edin.",IF(AND(M185="Aktif",L185&lt;TODAY()),"KONTROL ET: "&amp;C185&amp;" - "&amp;D185&amp;" limitinin vadesi "&amp;TEXT(L185,"dd.mm.yyyy")&amp;" tarihinde bitmiş görünüyor. Bankadan güncel vade/durum bilgisini kontrol edip sarı hücreleri güncelleyin.","TAMAM"))))))</f>
      </c>
    </row>
    <row r="186" spans="2:16" ht="18" customHeight="1">
      <c r="B186" s="36"/>
      <c r="C186" s="36"/>
      <c r="D186" s="36"/>
      <c r="E186" s="36"/>
      <c r="F186" s="36"/>
      <c r="G186" s="36"/>
      <c r="H186" s="37"/>
      <c r="I186" s="37"/>
      <c r="J186" s="37"/>
      <c r="K186" s="36"/>
      <c r="L186" s="36"/>
      <c r="M186" s="36"/>
      <c r="N186" s="41">
        <f>IF(OR(M186&lt;&gt;"Aktif",I186&lt;=0),0,MAX(0,I186-J186-K186))</f>
      </c>
      <c r="O186" s="42">
        <f>IFERROR(J186/I186,0)</f>
      </c>
      <c r="P186" s="29">
        <f>IF(B186="","",IF(I186&lt;0,"DÜZELT: Onaylı limit negatif olamaz.",IF(J186&lt;0,"DÜZELT: Kullanılan kredi negatif olamaz.",IF(H186&lt;=0,"DÜZELT: Kur sıfır veya negatif olamaz.",IF(J186+K186&gt;I186,"DÜZELT: "&amp;C186&amp;" - "&amp;D186&amp;" kaydında kullanılan risk + bloke ("&amp;TEXT(J186+K186,"#,##0")&amp;" TL), onaylı limiti ("&amp;TEXT(I186,"#,##0")&amp;" TL) aşıyor. Kullanılan Risk ve Bloke/Rehin tutarlarını kontrol edin.",IF(AND(M186="Aktif",L186&lt;TODAY()),"KONTROL ET: "&amp;C186&amp;" - "&amp;D186&amp;" limitinin vadesi "&amp;TEXT(L186,"dd.mm.yyyy")&amp;" tarihinde bitmiş görünüyor. Bankadan güncel vade/durum bilgisini kontrol edip sarı hücreleri güncelleyin.","TAMAM"))))))</f>
      </c>
    </row>
    <row r="187" spans="2:16" ht="18" customHeight="1">
      <c r="B187" s="36"/>
      <c r="C187" s="36"/>
      <c r="D187" s="36"/>
      <c r="E187" s="36"/>
      <c r="F187" s="36"/>
      <c r="G187" s="36"/>
      <c r="H187" s="37"/>
      <c r="I187" s="37"/>
      <c r="J187" s="37"/>
      <c r="K187" s="36"/>
      <c r="L187" s="36"/>
      <c r="M187" s="36"/>
      <c r="N187" s="41">
        <f>IF(OR(M187&lt;&gt;"Aktif",I187&lt;=0),0,MAX(0,I187-J187-K187))</f>
      </c>
      <c r="O187" s="42">
        <f>IFERROR(J187/I187,0)</f>
      </c>
      <c r="P187" s="29">
        <f>IF(B187="","",IF(I187&lt;0,"DÜZELT: Onaylı limit negatif olamaz.",IF(J187&lt;0,"DÜZELT: Kullanılan kredi negatif olamaz.",IF(H187&lt;=0,"DÜZELT: Kur sıfır veya negatif olamaz.",IF(J187+K187&gt;I187,"DÜZELT: "&amp;C187&amp;" - "&amp;D187&amp;" kaydında kullanılan risk + bloke ("&amp;TEXT(J187+K187,"#,##0")&amp;" TL), onaylı limiti ("&amp;TEXT(I187,"#,##0")&amp;" TL) aşıyor. Kullanılan Risk ve Bloke/Rehin tutarlarını kontrol edin.",IF(AND(M187="Aktif",L187&lt;TODAY()),"KONTROL ET: "&amp;C187&amp;" - "&amp;D187&amp;" limitinin vadesi "&amp;TEXT(L187,"dd.mm.yyyy")&amp;" tarihinde bitmiş görünüyor. Bankadan güncel vade/durum bilgisini kontrol edip sarı hücreleri güncelleyin.","TAMAM"))))))</f>
      </c>
    </row>
    <row r="188" spans="2:16" ht="18" customHeight="1">
      <c r="B188" s="36"/>
      <c r="C188" s="36"/>
      <c r="D188" s="36"/>
      <c r="E188" s="36"/>
      <c r="F188" s="36"/>
      <c r="G188" s="36"/>
      <c r="H188" s="37"/>
      <c r="I188" s="37"/>
      <c r="J188" s="37"/>
      <c r="K188" s="36"/>
      <c r="L188" s="36"/>
      <c r="M188" s="36"/>
      <c r="N188" s="41">
        <f>IF(OR(M188&lt;&gt;"Aktif",I188&lt;=0),0,MAX(0,I188-J188-K188))</f>
      </c>
      <c r="O188" s="42">
        <f>IFERROR(J188/I188,0)</f>
      </c>
      <c r="P188" s="29">
        <f>IF(B188="","",IF(I188&lt;0,"DÜZELT: Onaylı limit negatif olamaz.",IF(J188&lt;0,"DÜZELT: Kullanılan kredi negatif olamaz.",IF(H188&lt;=0,"DÜZELT: Kur sıfır veya negatif olamaz.",IF(J188+K188&gt;I188,"DÜZELT: "&amp;C188&amp;" - "&amp;D188&amp;" kaydında kullanılan risk + bloke ("&amp;TEXT(J188+K188,"#,##0")&amp;" TL), onaylı limiti ("&amp;TEXT(I188,"#,##0")&amp;" TL) aşıyor. Kullanılan Risk ve Bloke/Rehin tutarlarını kontrol edin.",IF(AND(M188="Aktif",L188&lt;TODAY()),"KONTROL ET: "&amp;C188&amp;" - "&amp;D188&amp;" limitinin vadesi "&amp;TEXT(L188,"dd.mm.yyyy")&amp;" tarihinde bitmiş görünüyor. Bankadan güncel vade/durum bilgisini kontrol edip sarı hücreleri güncelleyin.","TAMAM"))))))</f>
      </c>
    </row>
    <row r="189" spans="2:16" ht="18" customHeight="1">
      <c r="B189" s="36"/>
      <c r="C189" s="36"/>
      <c r="D189" s="36"/>
      <c r="E189" s="36"/>
      <c r="F189" s="36"/>
      <c r="G189" s="36"/>
      <c r="H189" s="37"/>
      <c r="I189" s="37"/>
      <c r="J189" s="37"/>
      <c r="K189" s="36"/>
      <c r="L189" s="36"/>
      <c r="M189" s="36"/>
      <c r="N189" s="41">
        <f>IF(OR(M189&lt;&gt;"Aktif",I189&lt;=0),0,MAX(0,I189-J189-K189))</f>
      </c>
      <c r="O189" s="42">
        <f>IFERROR(J189/I189,0)</f>
      </c>
      <c r="P189" s="29">
        <f>IF(B189="","",IF(I189&lt;0,"DÜZELT: Onaylı limit negatif olamaz.",IF(J189&lt;0,"DÜZELT: Kullanılan kredi negatif olamaz.",IF(H189&lt;=0,"DÜZELT: Kur sıfır veya negatif olamaz.",IF(J189+K189&gt;I189,"DÜZELT: "&amp;C189&amp;" - "&amp;D189&amp;" kaydında kullanılan risk + bloke ("&amp;TEXT(J189+K189,"#,##0")&amp;" TL), onaylı limiti ("&amp;TEXT(I189,"#,##0")&amp;" TL) aşıyor. Kullanılan Risk ve Bloke/Rehin tutarlarını kontrol edin.",IF(AND(M189="Aktif",L189&lt;TODAY()),"KONTROL ET: "&amp;C189&amp;" - "&amp;D189&amp;" limitinin vadesi "&amp;TEXT(L189,"dd.mm.yyyy")&amp;" tarihinde bitmiş görünüyor. Bankadan güncel vade/durum bilgisini kontrol edip sarı hücreleri güncelleyin.","TAMAM"))))))</f>
      </c>
    </row>
    <row r="190" spans="2:16" ht="18" customHeight="1">
      <c r="B190" s="36"/>
      <c r="C190" s="36"/>
      <c r="D190" s="36"/>
      <c r="E190" s="36"/>
      <c r="F190" s="36"/>
      <c r="G190" s="36"/>
      <c r="H190" s="37"/>
      <c r="I190" s="37"/>
      <c r="J190" s="37"/>
      <c r="K190" s="36"/>
      <c r="L190" s="36"/>
      <c r="M190" s="36"/>
      <c r="N190" s="41">
        <f>IF(OR(M190&lt;&gt;"Aktif",I190&lt;=0),0,MAX(0,I190-J190-K190))</f>
      </c>
      <c r="O190" s="42">
        <f>IFERROR(J190/I190,0)</f>
      </c>
      <c r="P190" s="29">
        <f>IF(B190="","",IF(I190&lt;0,"DÜZELT: Onaylı limit negatif olamaz.",IF(J190&lt;0,"DÜZELT: Kullanılan kredi negatif olamaz.",IF(H190&lt;=0,"DÜZELT: Kur sıfır veya negatif olamaz.",IF(J190+K190&gt;I190,"DÜZELT: "&amp;C190&amp;" - "&amp;D190&amp;" kaydında kullanılan risk + bloke ("&amp;TEXT(J190+K190,"#,##0")&amp;" TL), onaylı limiti ("&amp;TEXT(I190,"#,##0")&amp;" TL) aşıyor. Kullanılan Risk ve Bloke/Rehin tutarlarını kontrol edin.",IF(AND(M190="Aktif",L190&lt;TODAY()),"KONTROL ET: "&amp;C190&amp;" - "&amp;D190&amp;" limitinin vadesi "&amp;TEXT(L190,"dd.mm.yyyy")&amp;" tarihinde bitmiş görünüyor. Bankadan güncel vade/durum bilgisini kontrol edip sarı hücreleri güncelleyin.","TAMAM"))))))</f>
      </c>
    </row>
    <row r="191" spans="2:16" ht="18" customHeight="1">
      <c r="B191" s="36"/>
      <c r="C191" s="36"/>
      <c r="D191" s="36"/>
      <c r="E191" s="36"/>
      <c r="F191" s="36"/>
      <c r="G191" s="36"/>
      <c r="H191" s="37"/>
      <c r="I191" s="37"/>
      <c r="J191" s="37"/>
      <c r="K191" s="36"/>
      <c r="L191" s="36"/>
      <c r="M191" s="36"/>
      <c r="N191" s="41">
        <f>IF(OR(M191&lt;&gt;"Aktif",I191&lt;=0),0,MAX(0,I191-J191-K191))</f>
      </c>
      <c r="O191" s="42">
        <f>IFERROR(J191/I191,0)</f>
      </c>
      <c r="P191" s="29">
        <f>IF(B191="","",IF(I191&lt;0,"DÜZELT: Onaylı limit negatif olamaz.",IF(J191&lt;0,"DÜZELT: Kullanılan kredi negatif olamaz.",IF(H191&lt;=0,"DÜZELT: Kur sıfır veya negatif olamaz.",IF(J191+K191&gt;I191,"DÜZELT: "&amp;C191&amp;" - "&amp;D191&amp;" kaydında kullanılan risk + bloke ("&amp;TEXT(J191+K191,"#,##0")&amp;" TL), onaylı limiti ("&amp;TEXT(I191,"#,##0")&amp;" TL) aşıyor. Kullanılan Risk ve Bloke/Rehin tutarlarını kontrol edin.",IF(AND(M191="Aktif",L191&lt;TODAY()),"KONTROL ET: "&amp;C191&amp;" - "&amp;D191&amp;" limitinin vadesi "&amp;TEXT(L191,"dd.mm.yyyy")&amp;" tarihinde bitmiş görünüyor. Bankadan güncel vade/durum bilgisini kontrol edip sarı hücreleri güncelleyin.","TAMAM"))))))</f>
      </c>
    </row>
    <row r="192" spans="2:16" ht="18" customHeight="1">
      <c r="B192" s="36"/>
      <c r="C192" s="36"/>
      <c r="D192" s="36"/>
      <c r="E192" s="36"/>
      <c r="F192" s="36"/>
      <c r="G192" s="36"/>
      <c r="H192" s="37"/>
      <c r="I192" s="37"/>
      <c r="J192" s="37"/>
      <c r="K192" s="36"/>
      <c r="L192" s="36"/>
      <c r="M192" s="36"/>
      <c r="N192" s="41">
        <f>IF(OR(M192&lt;&gt;"Aktif",I192&lt;=0),0,MAX(0,I192-J192-K192))</f>
      </c>
      <c r="O192" s="42">
        <f>IFERROR(J192/I192,0)</f>
      </c>
      <c r="P192" s="29">
        <f>IF(B192="","",IF(I192&lt;0,"DÜZELT: Onaylı limit negatif olamaz.",IF(J192&lt;0,"DÜZELT: Kullanılan kredi negatif olamaz.",IF(H192&lt;=0,"DÜZELT: Kur sıfır veya negatif olamaz.",IF(J192+K192&gt;I192,"DÜZELT: "&amp;C192&amp;" - "&amp;D192&amp;" kaydında kullanılan risk + bloke ("&amp;TEXT(J192+K192,"#,##0")&amp;" TL), onaylı limiti ("&amp;TEXT(I192,"#,##0")&amp;" TL) aşıyor. Kullanılan Risk ve Bloke/Rehin tutarlarını kontrol edin.",IF(AND(M192="Aktif",L192&lt;TODAY()),"KONTROL ET: "&amp;C192&amp;" - "&amp;D192&amp;" limitinin vadesi "&amp;TEXT(L192,"dd.mm.yyyy")&amp;" tarihinde bitmiş görünüyor. Bankadan güncel vade/durum bilgisini kontrol edip sarı hücreleri güncelleyin.","TAMAM"))))))</f>
      </c>
    </row>
    <row r="193" spans="2:16" ht="18" customHeight="1">
      <c r="B193" s="36"/>
      <c r="C193" s="36"/>
      <c r="D193" s="36"/>
      <c r="E193" s="36"/>
      <c r="F193" s="36"/>
      <c r="G193" s="36"/>
      <c r="H193" s="37"/>
      <c r="I193" s="37"/>
      <c r="J193" s="37"/>
      <c r="K193" s="36"/>
      <c r="L193" s="36"/>
      <c r="M193" s="36"/>
      <c r="N193" s="41">
        <f>IF(OR(M193&lt;&gt;"Aktif",I193&lt;=0),0,MAX(0,I193-J193-K193))</f>
      </c>
      <c r="O193" s="42">
        <f>IFERROR(J193/I193,0)</f>
      </c>
      <c r="P193" s="29">
        <f>IF(B193="","",IF(I193&lt;0,"DÜZELT: Onaylı limit negatif olamaz.",IF(J193&lt;0,"DÜZELT: Kullanılan kredi negatif olamaz.",IF(H193&lt;=0,"DÜZELT: Kur sıfır veya negatif olamaz.",IF(J193+K193&gt;I193,"DÜZELT: "&amp;C193&amp;" - "&amp;D193&amp;" kaydında kullanılan risk + bloke ("&amp;TEXT(J193+K193,"#,##0")&amp;" TL), onaylı limiti ("&amp;TEXT(I193,"#,##0")&amp;" TL) aşıyor. Kullanılan Risk ve Bloke/Rehin tutarlarını kontrol edin.",IF(AND(M193="Aktif",L193&lt;TODAY()),"KONTROL ET: "&amp;C193&amp;" - "&amp;D193&amp;" limitinin vadesi "&amp;TEXT(L193,"dd.mm.yyyy")&amp;" tarihinde bitmiş görünüyor. Bankadan güncel vade/durum bilgisini kontrol edip sarı hücreleri güncelleyin.","TAMAM"))))))</f>
      </c>
    </row>
    <row r="194" spans="2:16" ht="18" customHeight="1">
      <c r="B194" s="36"/>
      <c r="C194" s="36"/>
      <c r="D194" s="36"/>
      <c r="E194" s="36"/>
      <c r="F194" s="36"/>
      <c r="G194" s="36"/>
      <c r="H194" s="37"/>
      <c r="I194" s="37"/>
      <c r="J194" s="37"/>
      <c r="K194" s="36"/>
      <c r="L194" s="36"/>
      <c r="M194" s="36"/>
      <c r="N194" s="41">
        <f>IF(OR(M194&lt;&gt;"Aktif",I194&lt;=0),0,MAX(0,I194-J194-K194))</f>
      </c>
      <c r="O194" s="42">
        <f>IFERROR(J194/I194,0)</f>
      </c>
      <c r="P194" s="29">
        <f>IF(B194="","",IF(I194&lt;0,"DÜZELT: Onaylı limit negatif olamaz.",IF(J194&lt;0,"DÜZELT: Kullanılan kredi negatif olamaz.",IF(H194&lt;=0,"DÜZELT: Kur sıfır veya negatif olamaz.",IF(J194+K194&gt;I194,"DÜZELT: "&amp;C194&amp;" - "&amp;D194&amp;" kaydında kullanılan risk + bloke ("&amp;TEXT(J194+K194,"#,##0")&amp;" TL), onaylı limiti ("&amp;TEXT(I194,"#,##0")&amp;" TL) aşıyor. Kullanılan Risk ve Bloke/Rehin tutarlarını kontrol edin.",IF(AND(M194="Aktif",L194&lt;TODAY()),"KONTROL ET: "&amp;C194&amp;" - "&amp;D194&amp;" limitinin vadesi "&amp;TEXT(L194,"dd.mm.yyyy")&amp;" tarihinde bitmiş görünüyor. Bankadan güncel vade/durum bilgisini kontrol edip sarı hücreleri güncelleyin.","TAMAM"))))))</f>
      </c>
    </row>
    <row r="195" spans="2:16" ht="18" customHeight="1">
      <c r="B195" s="36"/>
      <c r="C195" s="36"/>
      <c r="D195" s="36"/>
      <c r="E195" s="36"/>
      <c r="F195" s="36"/>
      <c r="G195" s="36"/>
      <c r="H195" s="37"/>
      <c r="I195" s="37"/>
      <c r="J195" s="37"/>
      <c r="K195" s="36"/>
      <c r="L195" s="36"/>
      <c r="M195" s="36"/>
      <c r="N195" s="41">
        <f>IF(OR(M195&lt;&gt;"Aktif",I195&lt;=0),0,MAX(0,I195-J195-K195))</f>
      </c>
      <c r="O195" s="42">
        <f>IFERROR(J195/I195,0)</f>
      </c>
      <c r="P195" s="29">
        <f>IF(B195="","",IF(I195&lt;0,"DÜZELT: Onaylı limit negatif olamaz.",IF(J195&lt;0,"DÜZELT: Kullanılan kredi negatif olamaz.",IF(H195&lt;=0,"DÜZELT: Kur sıfır veya negatif olamaz.",IF(J195+K195&gt;I195,"DÜZELT: "&amp;C195&amp;" - "&amp;D195&amp;" kaydında kullanılan risk + bloke ("&amp;TEXT(J195+K195,"#,##0")&amp;" TL), onaylı limiti ("&amp;TEXT(I195,"#,##0")&amp;" TL) aşıyor. Kullanılan Risk ve Bloke/Rehin tutarlarını kontrol edin.",IF(AND(M195="Aktif",L195&lt;TODAY()),"KONTROL ET: "&amp;C195&amp;" - "&amp;D195&amp;" limitinin vadesi "&amp;TEXT(L195,"dd.mm.yyyy")&amp;" tarihinde bitmiş görünüyor. Bankadan güncel vade/durum bilgisini kontrol edip sarı hücreleri güncelleyin.","TAMAM"))))))</f>
      </c>
    </row>
    <row r="196" spans="2:16" ht="18" customHeight="1">
      <c r="B196" s="36"/>
      <c r="C196" s="36"/>
      <c r="D196" s="36"/>
      <c r="E196" s="36"/>
      <c r="F196" s="36"/>
      <c r="G196" s="36"/>
      <c r="H196" s="37"/>
      <c r="I196" s="37"/>
      <c r="J196" s="37"/>
      <c r="K196" s="36"/>
      <c r="L196" s="36"/>
      <c r="M196" s="36"/>
      <c r="N196" s="41">
        <f>IF(OR(M196&lt;&gt;"Aktif",I196&lt;=0),0,MAX(0,I196-J196-K196))</f>
      </c>
      <c r="O196" s="42">
        <f>IFERROR(J196/I196,0)</f>
      </c>
      <c r="P196" s="29">
        <f>IF(B196="","",IF(I196&lt;0,"DÜZELT: Onaylı limit negatif olamaz.",IF(J196&lt;0,"DÜZELT: Kullanılan kredi negatif olamaz.",IF(H196&lt;=0,"DÜZELT: Kur sıfır veya negatif olamaz.",IF(J196+K196&gt;I196,"DÜZELT: "&amp;C196&amp;" - "&amp;D196&amp;" kaydında kullanılan risk + bloke ("&amp;TEXT(J196+K196,"#,##0")&amp;" TL), onaylı limiti ("&amp;TEXT(I196,"#,##0")&amp;" TL) aşıyor. Kullanılan Risk ve Bloke/Rehin tutarlarını kontrol edin.",IF(AND(M196="Aktif",L196&lt;TODAY()),"KONTROL ET: "&amp;C196&amp;" - "&amp;D196&amp;" limitinin vadesi "&amp;TEXT(L196,"dd.mm.yyyy")&amp;" tarihinde bitmiş görünüyor. Bankadan güncel vade/durum bilgisini kontrol edip sarı hücreleri güncelleyin.","TAMAM"))))))</f>
      </c>
    </row>
    <row r="197" spans="2:16" ht="18" customHeight="1">
      <c r="B197" s="36"/>
      <c r="C197" s="36"/>
      <c r="D197" s="36"/>
      <c r="E197" s="36"/>
      <c r="F197" s="36"/>
      <c r="G197" s="36"/>
      <c r="H197" s="37"/>
      <c r="I197" s="37"/>
      <c r="J197" s="37"/>
      <c r="K197" s="36"/>
      <c r="L197" s="36"/>
      <c r="M197" s="36"/>
      <c r="N197" s="41">
        <f>IF(OR(M197&lt;&gt;"Aktif",I197&lt;=0),0,MAX(0,I197-J197-K197))</f>
      </c>
      <c r="O197" s="42">
        <f>IFERROR(J197/I197,0)</f>
      </c>
      <c r="P197" s="29">
        <f>IF(B197="","",IF(I197&lt;0,"DÜZELT: Onaylı limit negatif olamaz.",IF(J197&lt;0,"DÜZELT: Kullanılan kredi negatif olamaz.",IF(H197&lt;=0,"DÜZELT: Kur sıfır veya negatif olamaz.",IF(J197+K197&gt;I197,"DÜZELT: "&amp;C197&amp;" - "&amp;D197&amp;" kaydında kullanılan risk + bloke ("&amp;TEXT(J197+K197,"#,##0")&amp;" TL), onaylı limiti ("&amp;TEXT(I197,"#,##0")&amp;" TL) aşıyor. Kullanılan Risk ve Bloke/Rehin tutarlarını kontrol edin.",IF(AND(M197="Aktif",L197&lt;TODAY()),"KONTROL ET: "&amp;C197&amp;" - "&amp;D197&amp;" limitinin vadesi "&amp;TEXT(L197,"dd.mm.yyyy")&amp;" tarihinde bitmiş görünüyor. Bankadan güncel vade/durum bilgisini kontrol edip sarı hücreleri güncelleyin.","TAMAM"))))))</f>
      </c>
    </row>
    <row r="198" spans="2:16" ht="18" customHeight="1">
      <c r="B198" s="36"/>
      <c r="C198" s="36"/>
      <c r="D198" s="36"/>
      <c r="E198" s="36"/>
      <c r="F198" s="36"/>
      <c r="G198" s="36"/>
      <c r="H198" s="37"/>
      <c r="I198" s="37"/>
      <c r="J198" s="37"/>
      <c r="K198" s="36"/>
      <c r="L198" s="36"/>
      <c r="M198" s="36"/>
      <c r="N198" s="41">
        <f>IF(OR(M198&lt;&gt;"Aktif",I198&lt;=0),0,MAX(0,I198-J198-K198))</f>
      </c>
      <c r="O198" s="42">
        <f>IFERROR(J198/I198,0)</f>
      </c>
      <c r="P198" s="29">
        <f>IF(B198="","",IF(I198&lt;0,"DÜZELT: Onaylı limit negatif olamaz.",IF(J198&lt;0,"DÜZELT: Kullanılan kredi negatif olamaz.",IF(H198&lt;=0,"DÜZELT: Kur sıfır veya negatif olamaz.",IF(J198+K198&gt;I198,"DÜZELT: "&amp;C198&amp;" - "&amp;D198&amp;" kaydında kullanılan risk + bloke ("&amp;TEXT(J198+K198,"#,##0")&amp;" TL), onaylı limiti ("&amp;TEXT(I198,"#,##0")&amp;" TL) aşıyor. Kullanılan Risk ve Bloke/Rehin tutarlarını kontrol edin.",IF(AND(M198="Aktif",L198&lt;TODAY()),"KONTROL ET: "&amp;C198&amp;" - "&amp;D198&amp;" limitinin vadesi "&amp;TEXT(L198,"dd.mm.yyyy")&amp;" tarihinde bitmiş görünüyor. Bankadan güncel vade/durum bilgisini kontrol edip sarı hücreleri güncelleyin.","TAMAM"))))))</f>
      </c>
    </row>
    <row r="199" spans="2:16" ht="18" customHeight="1">
      <c r="B199" s="36"/>
      <c r="C199" s="36"/>
      <c r="D199" s="36"/>
      <c r="E199" s="36"/>
      <c r="F199" s="36"/>
      <c r="G199" s="36"/>
      <c r="H199" s="37"/>
      <c r="I199" s="37"/>
      <c r="J199" s="37"/>
      <c r="K199" s="36"/>
      <c r="L199" s="36"/>
      <c r="M199" s="36"/>
      <c r="N199" s="41">
        <f>IF(OR(M199&lt;&gt;"Aktif",I199&lt;=0),0,MAX(0,I199-J199-K199))</f>
      </c>
      <c r="O199" s="42">
        <f>IFERROR(J199/I199,0)</f>
      </c>
      <c r="P199" s="29">
        <f>IF(B199="","",IF(I199&lt;0,"DÜZELT: Onaylı limit negatif olamaz.",IF(J199&lt;0,"DÜZELT: Kullanılan kredi negatif olamaz.",IF(H199&lt;=0,"DÜZELT: Kur sıfır veya negatif olamaz.",IF(J199+K199&gt;I199,"DÜZELT: "&amp;C199&amp;" - "&amp;D199&amp;" kaydında kullanılan risk + bloke ("&amp;TEXT(J199+K199,"#,##0")&amp;" TL), onaylı limiti ("&amp;TEXT(I199,"#,##0")&amp;" TL) aşıyor. Kullanılan Risk ve Bloke/Rehin tutarlarını kontrol edin.",IF(AND(M199="Aktif",L199&lt;TODAY()),"KONTROL ET: "&amp;C199&amp;" - "&amp;D199&amp;" limitinin vadesi "&amp;TEXT(L199,"dd.mm.yyyy")&amp;" tarihinde bitmiş görünüyor. Bankadan güncel vade/durum bilgisini kontrol edip sarı hücreleri güncelleyin.","TAMAM"))))))</f>
      </c>
    </row>
    <row r="200" spans="2:16" ht="18" customHeight="1">
      <c r="B200" s="36"/>
      <c r="C200" s="36"/>
      <c r="D200" s="36"/>
      <c r="E200" s="36"/>
      <c r="F200" s="36"/>
      <c r="G200" s="36"/>
      <c r="H200" s="37"/>
      <c r="I200" s="37"/>
      <c r="J200" s="37"/>
      <c r="K200" s="36"/>
      <c r="L200" s="36"/>
      <c r="M200" s="36"/>
      <c r="N200" s="41">
        <f>IF(OR(M200&lt;&gt;"Aktif",I200&lt;=0),0,MAX(0,I200-J200-K200))</f>
      </c>
      <c r="O200" s="42">
        <f>IFERROR(J200/I200,0)</f>
      </c>
      <c r="P200" s="29">
        <f>IF(B200="","",IF(I200&lt;0,"DÜZELT: Onaylı limit negatif olamaz.",IF(J200&lt;0,"DÜZELT: Kullanılan kredi negatif olamaz.",IF(H200&lt;=0,"DÜZELT: Kur sıfır veya negatif olamaz.",IF(J200+K200&gt;I200,"DÜZELT: "&amp;C200&amp;" - "&amp;D200&amp;" kaydında kullanılan risk + bloke ("&amp;TEXT(J200+K200,"#,##0")&amp;" TL), onaylı limiti ("&amp;TEXT(I200,"#,##0")&amp;" TL) aşıyor. Kullanılan Risk ve Bloke/Rehin tutarlarını kontrol edin.",IF(AND(M200="Aktif",L200&lt;TODAY()),"KONTROL ET: "&amp;C200&amp;" - "&amp;D200&amp;" limitinin vadesi "&amp;TEXT(L200,"dd.mm.yyyy")&amp;" tarihinde bitmiş görünüyor. Bankadan güncel vade/durum bilgisini kontrol edip sarı hücreleri güncelleyin.","TAMAM"))))))</f>
      </c>
    </row>
    <row r="201" spans="2:16" ht="18" customHeight="1">
      <c r="B201" s="36"/>
      <c r="C201" s="36"/>
      <c r="D201" s="36"/>
      <c r="E201" s="36"/>
      <c r="F201" s="36"/>
      <c r="G201" s="36"/>
      <c r="H201" s="37"/>
      <c r="I201" s="37"/>
      <c r="J201" s="37"/>
      <c r="K201" s="36"/>
      <c r="L201" s="36"/>
      <c r="M201" s="36"/>
      <c r="N201" s="41">
        <f>IF(OR(M201&lt;&gt;"Aktif",I201&lt;=0),0,MAX(0,I201-J201-K201))</f>
      </c>
      <c r="O201" s="42">
        <f>IFERROR(J201/I201,0)</f>
      </c>
      <c r="P201" s="29">
        <f>IF(B201="","",IF(I201&lt;0,"DÜZELT: Onaylı limit negatif olamaz.",IF(J201&lt;0,"DÜZELT: Kullanılan kredi negatif olamaz.",IF(H201&lt;=0,"DÜZELT: Kur sıfır veya negatif olamaz.",IF(J201+K201&gt;I201,"DÜZELT: "&amp;C201&amp;" - "&amp;D201&amp;" kaydında kullanılan risk + bloke ("&amp;TEXT(J201+K201,"#,##0")&amp;" TL), onaylı limiti ("&amp;TEXT(I201,"#,##0")&amp;" TL) aşıyor. Kullanılan Risk ve Bloke/Rehin tutarlarını kontrol edin.",IF(AND(M201="Aktif",L201&lt;TODAY()),"KONTROL ET: "&amp;C201&amp;" - "&amp;D201&amp;" limitinin vadesi "&amp;TEXT(L201,"dd.mm.yyyy")&amp;" tarihinde bitmiş görünüyor. Bankadan güncel vade/durum bilgisini kontrol edip sarı hücreleri güncelleyin.","TAMAM"))))))</f>
      </c>
    </row>
    <row r="202" spans="2:16" ht="18" customHeight="1">
      <c r="B202" s="36"/>
      <c r="C202" s="36"/>
      <c r="D202" s="36"/>
      <c r="E202" s="36"/>
      <c r="F202" s="36"/>
      <c r="G202" s="36"/>
      <c r="H202" s="37"/>
      <c r="I202" s="37"/>
      <c r="J202" s="37"/>
      <c r="K202" s="36"/>
      <c r="L202" s="36"/>
      <c r="M202" s="36"/>
      <c r="N202" s="41">
        <f>IF(OR(M202&lt;&gt;"Aktif",I202&lt;=0),0,MAX(0,I202-J202-K202))</f>
      </c>
      <c r="O202" s="42">
        <f>IFERROR(J202/I202,0)</f>
      </c>
      <c r="P202" s="29">
        <f>IF(B202="","",IF(I202&lt;0,"DÜZELT: Onaylı limit negatif olamaz.",IF(J202&lt;0,"DÜZELT: Kullanılan kredi negatif olamaz.",IF(H202&lt;=0,"DÜZELT: Kur sıfır veya negatif olamaz.",IF(J202+K202&gt;I202,"DÜZELT: "&amp;C202&amp;" - "&amp;D202&amp;" kaydında kullanılan risk + bloke ("&amp;TEXT(J202+K202,"#,##0")&amp;" TL), onaylı limiti ("&amp;TEXT(I202,"#,##0")&amp;" TL) aşıyor. Kullanılan Risk ve Bloke/Rehin tutarlarını kontrol edin.",IF(AND(M202="Aktif",L202&lt;TODAY()),"KONTROL ET: "&amp;C202&amp;" - "&amp;D202&amp;" limitinin vadesi "&amp;TEXT(L202,"dd.mm.yyyy")&amp;" tarihinde bitmiş görünüyor. Bankadan güncel vade/durum bilgisini kontrol edip sarı hücreleri güncelleyin.","TAMAM"))))))</f>
      </c>
    </row>
    <row r="203" spans="2:16" ht="18" customHeight="1">
      <c r="B203" s="36"/>
      <c r="C203" s="36"/>
      <c r="D203" s="36"/>
      <c r="E203" s="36"/>
      <c r="F203" s="36"/>
      <c r="G203" s="36"/>
      <c r="H203" s="37"/>
      <c r="I203" s="37"/>
      <c r="J203" s="37"/>
      <c r="K203" s="36"/>
      <c r="L203" s="36"/>
      <c r="M203" s="36"/>
      <c r="N203" s="41">
        <f>IF(OR(M203&lt;&gt;"Aktif",I203&lt;=0),0,MAX(0,I203-J203-K203))</f>
      </c>
      <c r="O203" s="42">
        <f>IFERROR(J203/I203,0)</f>
      </c>
      <c r="P203" s="29">
        <f>IF(B203="","",IF(I203&lt;0,"DÜZELT: Onaylı limit negatif olamaz.",IF(J203&lt;0,"DÜZELT: Kullanılan kredi negatif olamaz.",IF(H203&lt;=0,"DÜZELT: Kur sıfır veya negatif olamaz.",IF(J203+K203&gt;I203,"DÜZELT: "&amp;C203&amp;" - "&amp;D203&amp;" kaydında kullanılan risk + bloke ("&amp;TEXT(J203+K203,"#,##0")&amp;" TL), onaylı limiti ("&amp;TEXT(I203,"#,##0")&amp;" TL) aşıyor. Kullanılan Risk ve Bloke/Rehin tutarlarını kontrol edin.",IF(AND(M203="Aktif",L203&lt;TODAY()),"KONTROL ET: "&amp;C203&amp;" - "&amp;D203&amp;" limitinin vadesi "&amp;TEXT(L203,"dd.mm.yyyy")&amp;" tarihinde bitmiş görünüyor. Bankadan güncel vade/durum bilgisini kontrol edip sarı hücreleri güncelleyin.","TAMAM"))))))</f>
      </c>
    </row>
    <row r="204" spans="2:16" ht="18" customHeight="1">
      <c r="B204" s="36"/>
      <c r="C204" s="36"/>
      <c r="D204" s="36"/>
      <c r="E204" s="36"/>
      <c r="F204" s="36"/>
      <c r="G204" s="36"/>
      <c r="H204" s="37"/>
      <c r="I204" s="37"/>
      <c r="J204" s="37"/>
      <c r="K204" s="36"/>
      <c r="L204" s="36"/>
      <c r="M204" s="36"/>
      <c r="N204" s="41">
        <f>IF(OR(M204&lt;&gt;"Aktif",I204&lt;=0),0,MAX(0,I204-J204-K204))</f>
      </c>
      <c r="O204" s="42">
        <f>IFERROR(J204/I204,0)</f>
      </c>
      <c r="P204" s="29">
        <f>IF(B204="","",IF(I204&lt;0,"DÜZELT: Onaylı limit negatif olamaz.",IF(J204&lt;0,"DÜZELT: Kullanılan kredi negatif olamaz.",IF(H204&lt;=0,"DÜZELT: Kur sıfır veya negatif olamaz.",IF(J204+K204&gt;I204,"DÜZELT: "&amp;C204&amp;" - "&amp;D204&amp;" kaydında kullanılan risk + bloke ("&amp;TEXT(J204+K204,"#,##0")&amp;" TL), onaylı limiti ("&amp;TEXT(I204,"#,##0")&amp;" TL) aşıyor. Kullanılan Risk ve Bloke/Rehin tutarlarını kontrol edin.",IF(AND(M204="Aktif",L204&lt;TODAY()),"KONTROL ET: "&amp;C204&amp;" - "&amp;D204&amp;" limitinin vadesi "&amp;TEXT(L204,"dd.mm.yyyy")&amp;" tarihinde bitmiş görünüyor. Bankadan güncel vade/durum bilgisini kontrol edip sarı hücreleri güncelleyin.","TAMAM"))))))</f>
      </c>
    </row>
    <row r="205" spans="2:16" ht="18" customHeight="1">
      <c r="B205" s="36"/>
      <c r="C205" s="36"/>
      <c r="D205" s="36"/>
      <c r="E205" s="36"/>
      <c r="F205" s="36"/>
      <c r="G205" s="36"/>
      <c r="H205" s="37"/>
      <c r="I205" s="37"/>
      <c r="J205" s="37"/>
      <c r="K205" s="36"/>
      <c r="L205" s="36"/>
      <c r="M205" s="36"/>
      <c r="N205" s="41">
        <f>IF(OR(M205&lt;&gt;"Aktif",I205&lt;=0),0,MAX(0,I205-J205-K205))</f>
      </c>
      <c r="O205" s="42">
        <f>IFERROR(J205/I205,0)</f>
      </c>
      <c r="P205" s="29">
        <f>IF(B205="","",IF(I205&lt;0,"DÜZELT: Onaylı limit negatif olamaz.",IF(J205&lt;0,"DÜZELT: Kullanılan kredi negatif olamaz.",IF(H205&lt;=0,"DÜZELT: Kur sıfır veya negatif olamaz.",IF(J205+K205&gt;I205,"DÜZELT: "&amp;C205&amp;" - "&amp;D205&amp;" kaydında kullanılan risk + bloke ("&amp;TEXT(J205+K205,"#,##0")&amp;" TL), onaylı limiti ("&amp;TEXT(I205,"#,##0")&amp;" TL) aşıyor. Kullanılan Risk ve Bloke/Rehin tutarlarını kontrol edin.",IF(AND(M205="Aktif",L205&lt;TODAY()),"KONTROL ET: "&amp;C205&amp;" - "&amp;D205&amp;" limitinin vadesi "&amp;TEXT(L205,"dd.mm.yyyy")&amp;" tarihinde bitmiş görünüyor. Bankadan güncel vade/durum bilgisini kontrol edip sarı hücreleri güncelleyin.","TAMAM"))))))</f>
      </c>
    </row>
    <row r="206" spans="2:16" ht="18" customHeight="1">
      <c r="B206" s="36"/>
      <c r="C206" s="36"/>
      <c r="D206" s="36"/>
      <c r="E206" s="36"/>
      <c r="F206" s="36"/>
      <c r="G206" s="36"/>
      <c r="H206" s="37"/>
      <c r="I206" s="37"/>
      <c r="J206" s="37"/>
      <c r="K206" s="36"/>
      <c r="L206" s="36"/>
      <c r="M206" s="36"/>
      <c r="N206" s="41">
        <f>IF(OR(M206&lt;&gt;"Aktif",I206&lt;=0),0,MAX(0,I206-J206-K206))</f>
      </c>
      <c r="O206" s="42">
        <f>IFERROR(J206/I206,0)</f>
      </c>
      <c r="P206" s="29">
        <f>IF(B206="","",IF(I206&lt;0,"DÜZELT: Onaylı limit negatif olamaz.",IF(J206&lt;0,"DÜZELT: Kullanılan kredi negatif olamaz.",IF(H206&lt;=0,"DÜZELT: Kur sıfır veya negatif olamaz.",IF(J206+K206&gt;I206,"DÜZELT: "&amp;C206&amp;" - "&amp;D206&amp;" kaydında kullanılan risk + bloke ("&amp;TEXT(J206+K206,"#,##0")&amp;" TL), onaylı limiti ("&amp;TEXT(I206,"#,##0")&amp;" TL) aşıyor. Kullanılan Risk ve Bloke/Rehin tutarlarını kontrol edin.",IF(AND(M206="Aktif",L206&lt;TODAY()),"KONTROL ET: "&amp;C206&amp;" - "&amp;D206&amp;" limitinin vadesi "&amp;TEXT(L206,"dd.mm.yyyy")&amp;" tarihinde bitmiş görünüyor. Bankadan güncel vade/durum bilgisini kontrol edip sarı hücreleri güncelleyin.","TAMAM"))))))</f>
      </c>
    </row>
    <row r="207" spans="2:16" ht="18" customHeight="1">
      <c r="B207" s="36"/>
      <c r="C207" s="36"/>
      <c r="D207" s="36"/>
      <c r="E207" s="36"/>
      <c r="F207" s="36"/>
      <c r="G207" s="36"/>
      <c r="H207" s="37"/>
      <c r="I207" s="37"/>
      <c r="J207" s="37"/>
      <c r="K207" s="36"/>
      <c r="L207" s="36"/>
      <c r="M207" s="36"/>
      <c r="N207" s="41">
        <f>IF(OR(M207&lt;&gt;"Aktif",I207&lt;=0),0,MAX(0,I207-J207-K207))</f>
      </c>
      <c r="O207" s="42">
        <f>IFERROR(J207/I207,0)</f>
      </c>
      <c r="P207" s="29">
        <f>IF(B207="","",IF(I207&lt;0,"DÜZELT: Onaylı limit negatif olamaz.",IF(J207&lt;0,"DÜZELT: Kullanılan kredi negatif olamaz.",IF(H207&lt;=0,"DÜZELT: Kur sıfır veya negatif olamaz.",IF(J207+K207&gt;I207,"DÜZELT: "&amp;C207&amp;" - "&amp;D207&amp;" kaydında kullanılan risk + bloke ("&amp;TEXT(J207+K207,"#,##0")&amp;" TL), onaylı limiti ("&amp;TEXT(I207,"#,##0")&amp;" TL) aşıyor. Kullanılan Risk ve Bloke/Rehin tutarlarını kontrol edin.",IF(AND(M207="Aktif",L207&lt;TODAY()),"KONTROL ET: "&amp;C207&amp;" - "&amp;D207&amp;" limitinin vadesi "&amp;TEXT(L207,"dd.mm.yyyy")&amp;" tarihinde bitmiş görünüyor. Bankadan güncel vade/durum bilgisini kontrol edip sarı hücreleri güncelleyin.","TAMAM"))))))</f>
      </c>
    </row>
  </sheetData>
  <autoFilter ref="B7"/>
  <mergeCells count="5">
    <mergeCell ref="A1:Q2"/>
    <mergeCell ref="A3:Q3"/>
    <mergeCell ref="A4:C4"/>
    <mergeCell ref="D4:Q4"/>
    <mergeCell ref="A6:Q6"/>
  </mergeCells>
  <conditionalFormatting sqref="O8:O207">
    <cfRule type="colorScale" priority="1">
      <colorScale>
        <cfvo type="min" val="0"/>
        <cfvo type="percentile" val="50"/>
        <cfvo type="max" val="0"/>
        <color rgb="FFDCFCE7"/>
        <color rgb="FFFEF3C7"/>
        <color rgb="FFFECACA"/>
      </colorScale>
    </cfRule>
  </conditionalFormatting>
  <conditionalFormatting sqref="P8:P207">
    <cfRule type="containsText" dxfId="0" priority="2" operator="containsText" text="KRİTİK">
      <formula>NOT(ISERROR(SEARCH("KRİTİK",P8)))</formula>
    </cfRule>
  </conditionalFormatting>
  <dataValidations count="3">
    <dataValidation type="list" allowBlank="1" showInputMessage="1" showErrorMessage="1" sqref="E8:E207">
      <formula1>"Nakit,Gayrinakdi,Kart/KMH,Leasing,Diğer"</formula1>
    </dataValidation>
    <dataValidation type="list" allowBlank="1" showInputMessage="1" showErrorMessage="1" sqref="G8:G207">
      <formula1>"TRY,USD,EUR,GBP"</formula1>
    </dataValidation>
    <dataValidation type="list" allowBlank="1" showInputMessage="1" showErrorMessage="1" sqref="M8:M207">
      <formula1>"Aktif,Pasif,Kapalı,Yenileme Bekliyor"</formula1>
    </dataValidation>
  </dataValidations>
  <hyperlinks>
    <hyperlink ref="A4" location="PANO!A1" display="☰ MENÜ / PANO"/>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sheetPr>
    <tabColor rgb="FF17365D"/>
  </sheetPr>
  <dimension ref="A1:O207"/>
  <sheetViews>
    <sheetView showGridLines="0" workbookViewId="0">
      <pane ySplit="4" topLeftCell="A5" activePane="bottomLeft" state="frozen"/>
      <selection pane="bottomLeft"/>
    </sheetView>
  </sheetViews>
  <sheetFormatPr defaultRowHeight="18" customHeight="1"/>
  <cols>
    <col min="1" max="1" width="3.7109375" customWidth="1"/>
    <col min="2" max="2" width="12.7109375" customWidth="1"/>
    <col min="3" max="4" width="24.7109375" customWidth="1"/>
    <col min="5" max="8" width="18.7109375" customWidth="1"/>
    <col min="9" max="11" width="16.7109375" customWidth="1"/>
    <col min="12" max="12" width="14.7109375" customWidth="1"/>
    <col min="13" max="13" width="12.7109375" customWidth="1"/>
    <col min="14" max="14" width="26.7109375" customWidth="1"/>
    <col min="15" max="15" width="3.7109375" customWidth="1"/>
  </cols>
  <sheetData>
    <row r="1" spans="1:15" ht="28" customHeight="1">
      <c r="A1" s="1" t="s">
        <v>188</v>
      </c>
      <c r="B1" s="1"/>
      <c r="C1" s="1"/>
      <c r="D1" s="1"/>
      <c r="E1" s="1"/>
      <c r="F1" s="1"/>
      <c r="G1" s="1"/>
      <c r="H1" s="1"/>
      <c r="I1" s="1"/>
      <c r="J1" s="1"/>
      <c r="K1" s="1"/>
      <c r="L1" s="1"/>
      <c r="M1" s="1"/>
      <c r="N1" s="1"/>
      <c r="O1" s="1"/>
    </row>
    <row r="2" spans="1:15" ht="28" customHeight="1">
      <c r="A2" s="1"/>
      <c r="B2" s="1"/>
      <c r="C2" s="1"/>
      <c r="D2" s="1"/>
      <c r="E2" s="1"/>
      <c r="F2" s="1"/>
      <c r="G2" s="1"/>
      <c r="H2" s="1"/>
      <c r="I2" s="1"/>
      <c r="J2" s="1"/>
      <c r="K2" s="1"/>
      <c r="L2" s="1"/>
      <c r="M2" s="1"/>
      <c r="N2" s="1"/>
      <c r="O2" s="1"/>
    </row>
    <row r="3" spans="1:15" ht="30" customHeight="1">
      <c r="A3" s="2" t="s">
        <v>189</v>
      </c>
      <c r="B3" s="2"/>
      <c r="C3" s="2"/>
      <c r="D3" s="2"/>
      <c r="E3" s="2"/>
      <c r="F3" s="2"/>
      <c r="G3" s="2"/>
      <c r="H3" s="2"/>
      <c r="I3" s="2"/>
      <c r="J3" s="2"/>
      <c r="K3" s="2"/>
      <c r="L3" s="2"/>
      <c r="M3" s="2"/>
      <c r="N3" s="2"/>
      <c r="O3" s="2"/>
    </row>
    <row r="4" spans="1:15" ht="22" customHeight="1">
      <c r="A4" s="3" t="s">
        <v>2</v>
      </c>
      <c r="B4" s="3"/>
      <c r="C4" s="3"/>
      <c r="D4" s="4" t="s">
        <v>3</v>
      </c>
      <c r="E4" s="4"/>
      <c r="F4" s="4"/>
      <c r="G4" s="4"/>
      <c r="H4" s="4"/>
      <c r="I4" s="4"/>
      <c r="J4" s="4"/>
      <c r="K4" s="4"/>
      <c r="L4" s="4"/>
      <c r="M4" s="4"/>
      <c r="N4" s="4"/>
      <c r="O4" s="4"/>
    </row>
    <row r="6" spans="1:15" ht="18" customHeight="1">
      <c r="A6" s="13" t="s">
        <v>190</v>
      </c>
      <c r="B6" s="13"/>
      <c r="C6" s="13"/>
      <c r="D6" s="13"/>
      <c r="E6" s="13"/>
      <c r="F6" s="13"/>
      <c r="G6" s="13"/>
      <c r="H6" s="13"/>
      <c r="I6" s="13"/>
      <c r="J6" s="13"/>
      <c r="K6" s="13"/>
      <c r="L6" s="13"/>
      <c r="M6" s="13"/>
      <c r="N6" s="13"/>
      <c r="O6" s="13"/>
    </row>
    <row r="7" spans="1:15" ht="18" customHeight="1">
      <c r="B7" s="25" t="s">
        <v>191</v>
      </c>
      <c r="C7" s="25" t="s">
        <v>144</v>
      </c>
      <c r="D7" s="25" t="s">
        <v>145</v>
      </c>
      <c r="E7" s="25" t="s">
        <v>192</v>
      </c>
      <c r="F7" s="25" t="s">
        <v>193</v>
      </c>
      <c r="G7" s="25" t="s">
        <v>194</v>
      </c>
      <c r="H7" s="25" t="s">
        <v>195</v>
      </c>
      <c r="I7" s="25" t="s">
        <v>196</v>
      </c>
      <c r="J7" s="25" t="s">
        <v>197</v>
      </c>
      <c r="K7" s="25" t="s">
        <v>198</v>
      </c>
      <c r="L7" s="25" t="s">
        <v>148</v>
      </c>
      <c r="M7" s="25" t="s">
        <v>149</v>
      </c>
      <c r="N7" s="25" t="s">
        <v>116</v>
      </c>
    </row>
    <row r="8" spans="1:15" ht="18" customHeight="1">
      <c r="B8" s="36" t="s">
        <v>199</v>
      </c>
      <c r="C8" s="36" t="s">
        <v>118</v>
      </c>
      <c r="D8" s="36" t="s">
        <v>159</v>
      </c>
      <c r="E8" s="37">
        <v>7000000</v>
      </c>
      <c r="F8" s="37">
        <v>7000000</v>
      </c>
      <c r="G8" s="37">
        <v>450000</v>
      </c>
      <c r="H8" s="37">
        <v>5400000</v>
      </c>
      <c r="I8" s="36" t="s">
        <v>200</v>
      </c>
      <c r="J8" s="36" t="s">
        <v>201</v>
      </c>
      <c r="K8" s="36" t="s">
        <v>202</v>
      </c>
      <c r="L8" s="36" t="s">
        <v>162</v>
      </c>
      <c r="M8" s="36">
        <v>1</v>
      </c>
      <c r="N8" s="36" t="s">
        <v>123</v>
      </c>
    </row>
    <row r="9" spans="1:15" ht="18" customHeight="1">
      <c r="B9" s="36" t="s">
        <v>203</v>
      </c>
      <c r="C9" s="36" t="s">
        <v>125</v>
      </c>
      <c r="D9" s="36" t="s">
        <v>171</v>
      </c>
      <c r="E9" s="37">
        <v>10000000</v>
      </c>
      <c r="F9" s="37">
        <v>8500000</v>
      </c>
      <c r="G9" s="37">
        <v>410000</v>
      </c>
      <c r="H9" s="37">
        <v>4920000</v>
      </c>
      <c r="I9" s="36" t="s">
        <v>204</v>
      </c>
      <c r="J9" s="36" t="s">
        <v>205</v>
      </c>
      <c r="K9" s="36" t="s">
        <v>206</v>
      </c>
      <c r="L9" s="36" t="s">
        <v>162</v>
      </c>
      <c r="M9" s="36">
        <v>1</v>
      </c>
      <c r="N9" s="36" t="s">
        <v>123</v>
      </c>
    </row>
    <row r="10" spans="1:15" ht="18" customHeight="1">
      <c r="B10" s="36" t="s">
        <v>207</v>
      </c>
      <c r="C10" s="36" t="s">
        <v>129</v>
      </c>
      <c r="D10" s="36" t="s">
        <v>159</v>
      </c>
      <c r="E10" s="37">
        <v>6000000</v>
      </c>
      <c r="F10" s="37">
        <v>6000000</v>
      </c>
      <c r="G10" s="37">
        <v>350000</v>
      </c>
      <c r="H10" s="37">
        <v>4200000</v>
      </c>
      <c r="I10" s="36" t="s">
        <v>208</v>
      </c>
      <c r="J10" s="36" t="s">
        <v>209</v>
      </c>
      <c r="K10" s="36" t="s">
        <v>202</v>
      </c>
      <c r="L10" s="36" t="s">
        <v>162</v>
      </c>
      <c r="M10" s="36">
        <v>1</v>
      </c>
      <c r="N10" s="36" t="s">
        <v>123</v>
      </c>
    </row>
    <row r="11" spans="1:15" ht="18" customHeight="1">
      <c r="B11" s="36"/>
      <c r="C11" s="36"/>
      <c r="D11" s="36"/>
      <c r="E11" s="37"/>
      <c r="F11" s="37"/>
      <c r="G11" s="37"/>
      <c r="H11" s="37"/>
      <c r="I11" s="36"/>
      <c r="J11" s="36"/>
      <c r="K11" s="36"/>
      <c r="L11" s="36"/>
      <c r="M11" s="36"/>
      <c r="N11" s="36"/>
    </row>
    <row r="12" spans="1:15" ht="18" customHeight="1">
      <c r="B12" s="36"/>
      <c r="C12" s="36"/>
      <c r="D12" s="36"/>
      <c r="E12" s="37"/>
      <c r="F12" s="37"/>
      <c r="G12" s="37"/>
      <c r="H12" s="37"/>
      <c r="I12" s="36"/>
      <c r="J12" s="36"/>
      <c r="K12" s="36"/>
      <c r="L12" s="36"/>
      <c r="M12" s="36"/>
      <c r="N12" s="36"/>
    </row>
    <row r="13" spans="1:15" ht="18" customHeight="1">
      <c r="B13" s="36"/>
      <c r="C13" s="36"/>
      <c r="D13" s="36"/>
      <c r="E13" s="37"/>
      <c r="F13" s="37"/>
      <c r="G13" s="37"/>
      <c r="H13" s="37"/>
      <c r="I13" s="36"/>
      <c r="J13" s="36"/>
      <c r="K13" s="36"/>
      <c r="L13" s="36"/>
      <c r="M13" s="36"/>
      <c r="N13" s="36"/>
    </row>
    <row r="14" spans="1:15" ht="18" customHeight="1">
      <c r="B14" s="36"/>
      <c r="C14" s="36"/>
      <c r="D14" s="36"/>
      <c r="E14" s="37"/>
      <c r="F14" s="37"/>
      <c r="G14" s="37"/>
      <c r="H14" s="37"/>
      <c r="I14" s="36"/>
      <c r="J14" s="36"/>
      <c r="K14" s="36"/>
      <c r="L14" s="36"/>
      <c r="M14" s="36"/>
      <c r="N14" s="36"/>
    </row>
    <row r="15" spans="1:15" ht="18" customHeight="1">
      <c r="B15" s="36"/>
      <c r="C15" s="36"/>
      <c r="D15" s="36"/>
      <c r="E15" s="37"/>
      <c r="F15" s="37"/>
      <c r="G15" s="37"/>
      <c r="H15" s="37"/>
      <c r="I15" s="36"/>
      <c r="J15" s="36"/>
      <c r="K15" s="36"/>
      <c r="L15" s="36"/>
      <c r="M15" s="36"/>
      <c r="N15" s="36"/>
    </row>
    <row r="16" spans="1:15" ht="18" customHeight="1">
      <c r="B16" s="36"/>
      <c r="C16" s="36"/>
      <c r="D16" s="36"/>
      <c r="E16" s="37"/>
      <c r="F16" s="37"/>
      <c r="G16" s="37"/>
      <c r="H16" s="37"/>
      <c r="I16" s="36"/>
      <c r="J16" s="36"/>
      <c r="K16" s="36"/>
      <c r="L16" s="36"/>
      <c r="M16" s="36"/>
      <c r="N16" s="36"/>
    </row>
    <row r="17" spans="2:14" ht="18" customHeight="1">
      <c r="B17" s="36"/>
      <c r="C17" s="36"/>
      <c r="D17" s="36"/>
      <c r="E17" s="37"/>
      <c r="F17" s="37"/>
      <c r="G17" s="37"/>
      <c r="H17" s="37"/>
      <c r="I17" s="36"/>
      <c r="J17" s="36"/>
      <c r="K17" s="36"/>
      <c r="L17" s="36"/>
      <c r="M17" s="36"/>
      <c r="N17" s="36"/>
    </row>
    <row r="18" spans="2:14" ht="18" customHeight="1">
      <c r="B18" s="36"/>
      <c r="C18" s="36"/>
      <c r="D18" s="36"/>
      <c r="E18" s="37"/>
      <c r="F18" s="37"/>
      <c r="G18" s="37"/>
      <c r="H18" s="37"/>
      <c r="I18" s="36"/>
      <c r="J18" s="36"/>
      <c r="K18" s="36"/>
      <c r="L18" s="36"/>
      <c r="M18" s="36"/>
      <c r="N18" s="36"/>
    </row>
    <row r="19" spans="2:14" ht="18" customHeight="1">
      <c r="B19" s="36"/>
      <c r="C19" s="36"/>
      <c r="D19" s="36"/>
      <c r="E19" s="37"/>
      <c r="F19" s="37"/>
      <c r="G19" s="37"/>
      <c r="H19" s="37"/>
      <c r="I19" s="36"/>
      <c r="J19" s="36"/>
      <c r="K19" s="36"/>
      <c r="L19" s="36"/>
      <c r="M19" s="36"/>
      <c r="N19" s="36"/>
    </row>
    <row r="20" spans="2:14" ht="18" customHeight="1">
      <c r="B20" s="36"/>
      <c r="C20" s="36"/>
      <c r="D20" s="36"/>
      <c r="E20" s="37"/>
      <c r="F20" s="37"/>
      <c r="G20" s="37"/>
      <c r="H20" s="37"/>
      <c r="I20" s="36"/>
      <c r="J20" s="36"/>
      <c r="K20" s="36"/>
      <c r="L20" s="36"/>
      <c r="M20" s="36"/>
      <c r="N20" s="36"/>
    </row>
    <row r="21" spans="2:14" ht="18" customHeight="1">
      <c r="B21" s="36"/>
      <c r="C21" s="36"/>
      <c r="D21" s="36"/>
      <c r="E21" s="37"/>
      <c r="F21" s="37"/>
      <c r="G21" s="37"/>
      <c r="H21" s="37"/>
      <c r="I21" s="36"/>
      <c r="J21" s="36"/>
      <c r="K21" s="36"/>
      <c r="L21" s="36"/>
      <c r="M21" s="36"/>
      <c r="N21" s="36"/>
    </row>
    <row r="22" spans="2:14" ht="18" customHeight="1">
      <c r="B22" s="36"/>
      <c r="C22" s="36"/>
      <c r="D22" s="36"/>
      <c r="E22" s="37"/>
      <c r="F22" s="37"/>
      <c r="G22" s="37"/>
      <c r="H22" s="37"/>
      <c r="I22" s="36"/>
      <c r="J22" s="36"/>
      <c r="K22" s="36"/>
      <c r="L22" s="36"/>
      <c r="M22" s="36"/>
      <c r="N22" s="36"/>
    </row>
    <row r="23" spans="2:14" ht="18" customHeight="1">
      <c r="B23" s="36"/>
      <c r="C23" s="36"/>
      <c r="D23" s="36"/>
      <c r="E23" s="37"/>
      <c r="F23" s="37"/>
      <c r="G23" s="37"/>
      <c r="H23" s="37"/>
      <c r="I23" s="36"/>
      <c r="J23" s="36"/>
      <c r="K23" s="36"/>
      <c r="L23" s="36"/>
      <c r="M23" s="36"/>
      <c r="N23" s="36"/>
    </row>
    <row r="24" spans="2:14" ht="18" customHeight="1">
      <c r="B24" s="36"/>
      <c r="C24" s="36"/>
      <c r="D24" s="36"/>
      <c r="E24" s="37"/>
      <c r="F24" s="37"/>
      <c r="G24" s="37"/>
      <c r="H24" s="37"/>
      <c r="I24" s="36"/>
      <c r="J24" s="36"/>
      <c r="K24" s="36"/>
      <c r="L24" s="36"/>
      <c r="M24" s="36"/>
      <c r="N24" s="36"/>
    </row>
    <row r="25" spans="2:14" ht="18" customHeight="1">
      <c r="B25" s="36"/>
      <c r="C25" s="36"/>
      <c r="D25" s="36"/>
      <c r="E25" s="37"/>
      <c r="F25" s="37"/>
      <c r="G25" s="37"/>
      <c r="H25" s="37"/>
      <c r="I25" s="36"/>
      <c r="J25" s="36"/>
      <c r="K25" s="36"/>
      <c r="L25" s="36"/>
      <c r="M25" s="36"/>
      <c r="N25" s="36"/>
    </row>
    <row r="26" spans="2:14" ht="18" customHeight="1">
      <c r="B26" s="36"/>
      <c r="C26" s="36"/>
      <c r="D26" s="36"/>
      <c r="E26" s="37"/>
      <c r="F26" s="37"/>
      <c r="G26" s="37"/>
      <c r="H26" s="37"/>
      <c r="I26" s="36"/>
      <c r="J26" s="36"/>
      <c r="K26" s="36"/>
      <c r="L26" s="36"/>
      <c r="M26" s="36"/>
      <c r="N26" s="36"/>
    </row>
    <row r="27" spans="2:14" ht="18" customHeight="1">
      <c r="B27" s="36"/>
      <c r="C27" s="36"/>
      <c r="D27" s="36"/>
      <c r="E27" s="37"/>
      <c r="F27" s="37"/>
      <c r="G27" s="37"/>
      <c r="H27" s="37"/>
      <c r="I27" s="36"/>
      <c r="J27" s="36"/>
      <c r="K27" s="36"/>
      <c r="L27" s="36"/>
      <c r="M27" s="36"/>
      <c r="N27" s="36"/>
    </row>
    <row r="28" spans="2:14" ht="18" customHeight="1">
      <c r="B28" s="36"/>
      <c r="C28" s="36"/>
      <c r="D28" s="36"/>
      <c r="E28" s="37"/>
      <c r="F28" s="37"/>
      <c r="G28" s="37"/>
      <c r="H28" s="37"/>
      <c r="I28" s="36"/>
      <c r="J28" s="36"/>
      <c r="K28" s="36"/>
      <c r="L28" s="36"/>
      <c r="M28" s="36"/>
      <c r="N28" s="36"/>
    </row>
    <row r="29" spans="2:14" ht="18" customHeight="1">
      <c r="B29" s="36"/>
      <c r="C29" s="36"/>
      <c r="D29" s="36"/>
      <c r="E29" s="37"/>
      <c r="F29" s="37"/>
      <c r="G29" s="37"/>
      <c r="H29" s="37"/>
      <c r="I29" s="36"/>
      <c r="J29" s="36"/>
      <c r="K29" s="36"/>
      <c r="L29" s="36"/>
      <c r="M29" s="36"/>
      <c r="N29" s="36"/>
    </row>
    <row r="30" spans="2:14" ht="18" customHeight="1">
      <c r="B30" s="36"/>
      <c r="C30" s="36"/>
      <c r="D30" s="36"/>
      <c r="E30" s="37"/>
      <c r="F30" s="37"/>
      <c r="G30" s="37"/>
      <c r="H30" s="37"/>
      <c r="I30" s="36"/>
      <c r="J30" s="36"/>
      <c r="K30" s="36"/>
      <c r="L30" s="36"/>
      <c r="M30" s="36"/>
      <c r="N30" s="36"/>
    </row>
    <row r="31" spans="2:14" ht="18" customHeight="1">
      <c r="B31" s="36"/>
      <c r="C31" s="36"/>
      <c r="D31" s="36"/>
      <c r="E31" s="37"/>
      <c r="F31" s="37"/>
      <c r="G31" s="37"/>
      <c r="H31" s="37"/>
      <c r="I31" s="36"/>
      <c r="J31" s="36"/>
      <c r="K31" s="36"/>
      <c r="L31" s="36"/>
      <c r="M31" s="36"/>
      <c r="N31" s="36"/>
    </row>
    <row r="32" spans="2:14" ht="18" customHeight="1">
      <c r="B32" s="36"/>
      <c r="C32" s="36"/>
      <c r="D32" s="36"/>
      <c r="E32" s="37"/>
      <c r="F32" s="37"/>
      <c r="G32" s="37"/>
      <c r="H32" s="37"/>
      <c r="I32" s="36"/>
      <c r="J32" s="36"/>
      <c r="K32" s="36"/>
      <c r="L32" s="36"/>
      <c r="M32" s="36"/>
      <c r="N32" s="36"/>
    </row>
    <row r="33" spans="2:14" ht="18" customHeight="1">
      <c r="B33" s="36"/>
      <c r="C33" s="36"/>
      <c r="D33" s="36"/>
      <c r="E33" s="37"/>
      <c r="F33" s="37"/>
      <c r="G33" s="37"/>
      <c r="H33" s="37"/>
      <c r="I33" s="36"/>
      <c r="J33" s="36"/>
      <c r="K33" s="36"/>
      <c r="L33" s="36"/>
      <c r="M33" s="36"/>
      <c r="N33" s="36"/>
    </row>
    <row r="34" spans="2:14" ht="18" customHeight="1">
      <c r="B34" s="36"/>
      <c r="C34" s="36"/>
      <c r="D34" s="36"/>
      <c r="E34" s="37"/>
      <c r="F34" s="37"/>
      <c r="G34" s="37"/>
      <c r="H34" s="37"/>
      <c r="I34" s="36"/>
      <c r="J34" s="36"/>
      <c r="K34" s="36"/>
      <c r="L34" s="36"/>
      <c r="M34" s="36"/>
      <c r="N34" s="36"/>
    </row>
    <row r="35" spans="2:14" ht="18" customHeight="1">
      <c r="B35" s="36"/>
      <c r="C35" s="36"/>
      <c r="D35" s="36"/>
      <c r="E35" s="37"/>
      <c r="F35" s="37"/>
      <c r="G35" s="37"/>
      <c r="H35" s="37"/>
      <c r="I35" s="36"/>
      <c r="J35" s="36"/>
      <c r="K35" s="36"/>
      <c r="L35" s="36"/>
      <c r="M35" s="36"/>
      <c r="N35" s="36"/>
    </row>
    <row r="36" spans="2:14" ht="18" customHeight="1">
      <c r="B36" s="36"/>
      <c r="C36" s="36"/>
      <c r="D36" s="36"/>
      <c r="E36" s="37"/>
      <c r="F36" s="37"/>
      <c r="G36" s="37"/>
      <c r="H36" s="37"/>
      <c r="I36" s="36"/>
      <c r="J36" s="36"/>
      <c r="K36" s="36"/>
      <c r="L36" s="36"/>
      <c r="M36" s="36"/>
      <c r="N36" s="36"/>
    </row>
    <row r="37" spans="2:14" ht="18" customHeight="1">
      <c r="B37" s="36"/>
      <c r="C37" s="36"/>
      <c r="D37" s="36"/>
      <c r="E37" s="37"/>
      <c r="F37" s="37"/>
      <c r="G37" s="37"/>
      <c r="H37" s="37"/>
      <c r="I37" s="36"/>
      <c r="J37" s="36"/>
      <c r="K37" s="36"/>
      <c r="L37" s="36"/>
      <c r="M37" s="36"/>
      <c r="N37" s="36"/>
    </row>
    <row r="38" spans="2:14" ht="18" customHeight="1">
      <c r="B38" s="36"/>
      <c r="C38" s="36"/>
      <c r="D38" s="36"/>
      <c r="E38" s="37"/>
      <c r="F38" s="37"/>
      <c r="G38" s="37"/>
      <c r="H38" s="37"/>
      <c r="I38" s="36"/>
      <c r="J38" s="36"/>
      <c r="K38" s="36"/>
      <c r="L38" s="36"/>
      <c r="M38" s="36"/>
      <c r="N38" s="36"/>
    </row>
    <row r="39" spans="2:14" ht="18" customHeight="1">
      <c r="B39" s="36"/>
      <c r="C39" s="36"/>
      <c r="D39" s="36"/>
      <c r="E39" s="37"/>
      <c r="F39" s="37"/>
      <c r="G39" s="37"/>
      <c r="H39" s="37"/>
      <c r="I39" s="36"/>
      <c r="J39" s="36"/>
      <c r="K39" s="36"/>
      <c r="L39" s="36"/>
      <c r="M39" s="36"/>
      <c r="N39" s="36"/>
    </row>
    <row r="40" spans="2:14" ht="18" customHeight="1">
      <c r="B40" s="36"/>
      <c r="C40" s="36"/>
      <c r="D40" s="36"/>
      <c r="E40" s="37"/>
      <c r="F40" s="37"/>
      <c r="G40" s="37"/>
      <c r="H40" s="37"/>
      <c r="I40" s="36"/>
      <c r="J40" s="36"/>
      <c r="K40" s="36"/>
      <c r="L40" s="36"/>
      <c r="M40" s="36"/>
      <c r="N40" s="36"/>
    </row>
    <row r="41" spans="2:14" ht="18" customHeight="1">
      <c r="B41" s="36"/>
      <c r="C41" s="36"/>
      <c r="D41" s="36"/>
      <c r="E41" s="37"/>
      <c r="F41" s="37"/>
      <c r="G41" s="37"/>
      <c r="H41" s="37"/>
      <c r="I41" s="36"/>
      <c r="J41" s="36"/>
      <c r="K41" s="36"/>
      <c r="L41" s="36"/>
      <c r="M41" s="36"/>
      <c r="N41" s="36"/>
    </row>
    <row r="42" spans="2:14" ht="18" customHeight="1">
      <c r="B42" s="36"/>
      <c r="C42" s="36"/>
      <c r="D42" s="36"/>
      <c r="E42" s="37"/>
      <c r="F42" s="37"/>
      <c r="G42" s="37"/>
      <c r="H42" s="37"/>
      <c r="I42" s="36"/>
      <c r="J42" s="36"/>
      <c r="K42" s="36"/>
      <c r="L42" s="36"/>
      <c r="M42" s="36"/>
      <c r="N42" s="36"/>
    </row>
    <row r="43" spans="2:14" ht="18" customHeight="1">
      <c r="B43" s="36"/>
      <c r="C43" s="36"/>
      <c r="D43" s="36"/>
      <c r="E43" s="37"/>
      <c r="F43" s="37"/>
      <c r="G43" s="37"/>
      <c r="H43" s="37"/>
      <c r="I43" s="36"/>
      <c r="J43" s="36"/>
      <c r="K43" s="36"/>
      <c r="L43" s="36"/>
      <c r="M43" s="36"/>
      <c r="N43" s="36"/>
    </row>
    <row r="44" spans="2:14" ht="18" customHeight="1">
      <c r="B44" s="36"/>
      <c r="C44" s="36"/>
      <c r="D44" s="36"/>
      <c r="E44" s="37"/>
      <c r="F44" s="37"/>
      <c r="G44" s="37"/>
      <c r="H44" s="37"/>
      <c r="I44" s="36"/>
      <c r="J44" s="36"/>
      <c r="K44" s="36"/>
      <c r="L44" s="36"/>
      <c r="M44" s="36"/>
      <c r="N44" s="36"/>
    </row>
    <row r="45" spans="2:14" ht="18" customHeight="1">
      <c r="B45" s="36"/>
      <c r="C45" s="36"/>
      <c r="D45" s="36"/>
      <c r="E45" s="37"/>
      <c r="F45" s="37"/>
      <c r="G45" s="37"/>
      <c r="H45" s="37"/>
      <c r="I45" s="36"/>
      <c r="J45" s="36"/>
      <c r="K45" s="36"/>
      <c r="L45" s="36"/>
      <c r="M45" s="36"/>
      <c r="N45" s="36"/>
    </row>
    <row r="46" spans="2:14" ht="18" customHeight="1">
      <c r="B46" s="36"/>
      <c r="C46" s="36"/>
      <c r="D46" s="36"/>
      <c r="E46" s="37"/>
      <c r="F46" s="37"/>
      <c r="G46" s="37"/>
      <c r="H46" s="37"/>
      <c r="I46" s="36"/>
      <c r="J46" s="36"/>
      <c r="K46" s="36"/>
      <c r="L46" s="36"/>
      <c r="M46" s="36"/>
      <c r="N46" s="36"/>
    </row>
    <row r="47" spans="2:14" ht="18" customHeight="1">
      <c r="B47" s="36"/>
      <c r="C47" s="36"/>
      <c r="D47" s="36"/>
      <c r="E47" s="37"/>
      <c r="F47" s="37"/>
      <c r="G47" s="37"/>
      <c r="H47" s="37"/>
      <c r="I47" s="36"/>
      <c r="J47" s="36"/>
      <c r="K47" s="36"/>
      <c r="L47" s="36"/>
      <c r="M47" s="36"/>
      <c r="N47" s="36"/>
    </row>
    <row r="48" spans="2:14" ht="18" customHeight="1">
      <c r="B48" s="36"/>
      <c r="C48" s="36"/>
      <c r="D48" s="36"/>
      <c r="E48" s="37"/>
      <c r="F48" s="37"/>
      <c r="G48" s="37"/>
      <c r="H48" s="37"/>
      <c r="I48" s="36"/>
      <c r="J48" s="36"/>
      <c r="K48" s="36"/>
      <c r="L48" s="36"/>
      <c r="M48" s="36"/>
      <c r="N48" s="36"/>
    </row>
    <row r="49" spans="2:14" ht="18" customHeight="1">
      <c r="B49" s="36"/>
      <c r="C49" s="36"/>
      <c r="D49" s="36"/>
      <c r="E49" s="37"/>
      <c r="F49" s="37"/>
      <c r="G49" s="37"/>
      <c r="H49" s="37"/>
      <c r="I49" s="36"/>
      <c r="J49" s="36"/>
      <c r="K49" s="36"/>
      <c r="L49" s="36"/>
      <c r="M49" s="36"/>
      <c r="N49" s="36"/>
    </row>
    <row r="50" spans="2:14" ht="18" customHeight="1">
      <c r="B50" s="36"/>
      <c r="C50" s="36"/>
      <c r="D50" s="36"/>
      <c r="E50" s="37"/>
      <c r="F50" s="37"/>
      <c r="G50" s="37"/>
      <c r="H50" s="37"/>
      <c r="I50" s="36"/>
      <c r="J50" s="36"/>
      <c r="K50" s="36"/>
      <c r="L50" s="36"/>
      <c r="M50" s="36"/>
      <c r="N50" s="36"/>
    </row>
    <row r="51" spans="2:14" ht="18" customHeight="1">
      <c r="B51" s="36"/>
      <c r="C51" s="36"/>
      <c r="D51" s="36"/>
      <c r="E51" s="37"/>
      <c r="F51" s="37"/>
      <c r="G51" s="37"/>
      <c r="H51" s="37"/>
      <c r="I51" s="36"/>
      <c r="J51" s="36"/>
      <c r="K51" s="36"/>
      <c r="L51" s="36"/>
      <c r="M51" s="36"/>
      <c r="N51" s="36"/>
    </row>
    <row r="52" spans="2:14" ht="18" customHeight="1">
      <c r="B52" s="36"/>
      <c r="C52" s="36"/>
      <c r="D52" s="36"/>
      <c r="E52" s="37"/>
      <c r="F52" s="37"/>
      <c r="G52" s="37"/>
      <c r="H52" s="37"/>
      <c r="I52" s="36"/>
      <c r="J52" s="36"/>
      <c r="K52" s="36"/>
      <c r="L52" s="36"/>
      <c r="M52" s="36"/>
      <c r="N52" s="36"/>
    </row>
    <row r="53" spans="2:14" ht="18" customHeight="1">
      <c r="B53" s="36"/>
      <c r="C53" s="36"/>
      <c r="D53" s="36"/>
      <c r="E53" s="37"/>
      <c r="F53" s="37"/>
      <c r="G53" s="37"/>
      <c r="H53" s="37"/>
      <c r="I53" s="36"/>
      <c r="J53" s="36"/>
      <c r="K53" s="36"/>
      <c r="L53" s="36"/>
      <c r="M53" s="36"/>
      <c r="N53" s="36"/>
    </row>
    <row r="54" spans="2:14" ht="18" customHeight="1">
      <c r="B54" s="36"/>
      <c r="C54" s="36"/>
      <c r="D54" s="36"/>
      <c r="E54" s="37"/>
      <c r="F54" s="37"/>
      <c r="G54" s="37"/>
      <c r="H54" s="37"/>
      <c r="I54" s="36"/>
      <c r="J54" s="36"/>
      <c r="K54" s="36"/>
      <c r="L54" s="36"/>
      <c r="M54" s="36"/>
      <c r="N54" s="36"/>
    </row>
    <row r="55" spans="2:14" ht="18" customHeight="1">
      <c r="B55" s="36"/>
      <c r="C55" s="36"/>
      <c r="D55" s="36"/>
      <c r="E55" s="37"/>
      <c r="F55" s="37"/>
      <c r="G55" s="37"/>
      <c r="H55" s="37"/>
      <c r="I55" s="36"/>
      <c r="J55" s="36"/>
      <c r="K55" s="36"/>
      <c r="L55" s="36"/>
      <c r="M55" s="36"/>
      <c r="N55" s="36"/>
    </row>
    <row r="56" spans="2:14" ht="18" customHeight="1">
      <c r="B56" s="36"/>
      <c r="C56" s="36"/>
      <c r="D56" s="36"/>
      <c r="E56" s="37"/>
      <c r="F56" s="37"/>
      <c r="G56" s="37"/>
      <c r="H56" s="37"/>
      <c r="I56" s="36"/>
      <c r="J56" s="36"/>
      <c r="K56" s="36"/>
      <c r="L56" s="36"/>
      <c r="M56" s="36"/>
      <c r="N56" s="36"/>
    </row>
    <row r="57" spans="2:14" ht="18" customHeight="1">
      <c r="B57" s="36"/>
      <c r="C57" s="36"/>
      <c r="D57" s="36"/>
      <c r="E57" s="37"/>
      <c r="F57" s="37"/>
      <c r="G57" s="37"/>
      <c r="H57" s="37"/>
      <c r="I57" s="36"/>
      <c r="J57" s="36"/>
      <c r="K57" s="36"/>
      <c r="L57" s="36"/>
      <c r="M57" s="36"/>
      <c r="N57" s="36"/>
    </row>
    <row r="58" spans="2:14" ht="18" customHeight="1">
      <c r="B58" s="36"/>
      <c r="C58" s="36"/>
      <c r="D58" s="36"/>
      <c r="E58" s="37"/>
      <c r="F58" s="37"/>
      <c r="G58" s="37"/>
      <c r="H58" s="37"/>
      <c r="I58" s="36"/>
      <c r="J58" s="36"/>
      <c r="K58" s="36"/>
      <c r="L58" s="36"/>
      <c r="M58" s="36"/>
      <c r="N58" s="36"/>
    </row>
    <row r="59" spans="2:14" ht="18" customHeight="1">
      <c r="B59" s="36"/>
      <c r="C59" s="36"/>
      <c r="D59" s="36"/>
      <c r="E59" s="37"/>
      <c r="F59" s="37"/>
      <c r="G59" s="37"/>
      <c r="H59" s="37"/>
      <c r="I59" s="36"/>
      <c r="J59" s="36"/>
      <c r="K59" s="36"/>
      <c r="L59" s="36"/>
      <c r="M59" s="36"/>
      <c r="N59" s="36"/>
    </row>
    <row r="60" spans="2:14" ht="18" customHeight="1">
      <c r="B60" s="36"/>
      <c r="C60" s="36"/>
      <c r="D60" s="36"/>
      <c r="E60" s="37"/>
      <c r="F60" s="37"/>
      <c r="G60" s="37"/>
      <c r="H60" s="37"/>
      <c r="I60" s="36"/>
      <c r="J60" s="36"/>
      <c r="K60" s="36"/>
      <c r="L60" s="36"/>
      <c r="M60" s="36"/>
      <c r="N60" s="36"/>
    </row>
    <row r="61" spans="2:14" ht="18" customHeight="1">
      <c r="B61" s="36"/>
      <c r="C61" s="36"/>
      <c r="D61" s="36"/>
      <c r="E61" s="37"/>
      <c r="F61" s="37"/>
      <c r="G61" s="37"/>
      <c r="H61" s="37"/>
      <c r="I61" s="36"/>
      <c r="J61" s="36"/>
      <c r="K61" s="36"/>
      <c r="L61" s="36"/>
      <c r="M61" s="36"/>
      <c r="N61" s="36"/>
    </row>
    <row r="62" spans="2:14" ht="18" customHeight="1">
      <c r="B62" s="36"/>
      <c r="C62" s="36"/>
      <c r="D62" s="36"/>
      <c r="E62" s="37"/>
      <c r="F62" s="37"/>
      <c r="G62" s="37"/>
      <c r="H62" s="37"/>
      <c r="I62" s="36"/>
      <c r="J62" s="36"/>
      <c r="K62" s="36"/>
      <c r="L62" s="36"/>
      <c r="M62" s="36"/>
      <c r="N62" s="36"/>
    </row>
    <row r="63" spans="2:14" ht="18" customHeight="1">
      <c r="B63" s="36"/>
      <c r="C63" s="36"/>
      <c r="D63" s="36"/>
      <c r="E63" s="37"/>
      <c r="F63" s="37"/>
      <c r="G63" s="37"/>
      <c r="H63" s="37"/>
      <c r="I63" s="36"/>
      <c r="J63" s="36"/>
      <c r="K63" s="36"/>
      <c r="L63" s="36"/>
      <c r="M63" s="36"/>
      <c r="N63" s="36"/>
    </row>
    <row r="64" spans="2:14" ht="18" customHeight="1">
      <c r="B64" s="36"/>
      <c r="C64" s="36"/>
      <c r="D64" s="36"/>
      <c r="E64" s="37"/>
      <c r="F64" s="37"/>
      <c r="G64" s="37"/>
      <c r="H64" s="37"/>
      <c r="I64" s="36"/>
      <c r="J64" s="36"/>
      <c r="K64" s="36"/>
      <c r="L64" s="36"/>
      <c r="M64" s="36"/>
      <c r="N64" s="36"/>
    </row>
    <row r="65" spans="2:14" ht="18" customHeight="1">
      <c r="B65" s="36"/>
      <c r="C65" s="36"/>
      <c r="D65" s="36"/>
      <c r="E65" s="37"/>
      <c r="F65" s="37"/>
      <c r="G65" s="37"/>
      <c r="H65" s="37"/>
      <c r="I65" s="36"/>
      <c r="J65" s="36"/>
      <c r="K65" s="36"/>
      <c r="L65" s="36"/>
      <c r="M65" s="36"/>
      <c r="N65" s="36"/>
    </row>
    <row r="66" spans="2:14" ht="18" customHeight="1">
      <c r="B66" s="36"/>
      <c r="C66" s="36"/>
      <c r="D66" s="36"/>
      <c r="E66" s="37"/>
      <c r="F66" s="37"/>
      <c r="G66" s="37"/>
      <c r="H66" s="37"/>
      <c r="I66" s="36"/>
      <c r="J66" s="36"/>
      <c r="K66" s="36"/>
      <c r="L66" s="36"/>
      <c r="M66" s="36"/>
      <c r="N66" s="36"/>
    </row>
    <row r="67" spans="2:14" ht="18" customHeight="1">
      <c r="B67" s="36"/>
      <c r="C67" s="36"/>
      <c r="D67" s="36"/>
      <c r="E67" s="37"/>
      <c r="F67" s="37"/>
      <c r="G67" s="37"/>
      <c r="H67" s="37"/>
      <c r="I67" s="36"/>
      <c r="J67" s="36"/>
      <c r="K67" s="36"/>
      <c r="L67" s="36"/>
      <c r="M67" s="36"/>
      <c r="N67" s="36"/>
    </row>
    <row r="68" spans="2:14" ht="18" customHeight="1">
      <c r="B68" s="36"/>
      <c r="C68" s="36"/>
      <c r="D68" s="36"/>
      <c r="E68" s="37"/>
      <c r="F68" s="37"/>
      <c r="G68" s="37"/>
      <c r="H68" s="37"/>
      <c r="I68" s="36"/>
      <c r="J68" s="36"/>
      <c r="K68" s="36"/>
      <c r="L68" s="36"/>
      <c r="M68" s="36"/>
      <c r="N68" s="36"/>
    </row>
    <row r="69" spans="2:14" ht="18" customHeight="1">
      <c r="B69" s="36"/>
      <c r="C69" s="36"/>
      <c r="D69" s="36"/>
      <c r="E69" s="37"/>
      <c r="F69" s="37"/>
      <c r="G69" s="37"/>
      <c r="H69" s="37"/>
      <c r="I69" s="36"/>
      <c r="J69" s="36"/>
      <c r="K69" s="36"/>
      <c r="L69" s="36"/>
      <c r="M69" s="36"/>
      <c r="N69" s="36"/>
    </row>
    <row r="70" spans="2:14" ht="18" customHeight="1">
      <c r="B70" s="36"/>
      <c r="C70" s="36"/>
      <c r="D70" s="36"/>
      <c r="E70" s="37"/>
      <c r="F70" s="37"/>
      <c r="G70" s="37"/>
      <c r="H70" s="37"/>
      <c r="I70" s="36"/>
      <c r="J70" s="36"/>
      <c r="K70" s="36"/>
      <c r="L70" s="36"/>
      <c r="M70" s="36"/>
      <c r="N70" s="36"/>
    </row>
    <row r="71" spans="2:14" ht="18" customHeight="1">
      <c r="B71" s="36"/>
      <c r="C71" s="36"/>
      <c r="D71" s="36"/>
      <c r="E71" s="37"/>
      <c r="F71" s="37"/>
      <c r="G71" s="37"/>
      <c r="H71" s="37"/>
      <c r="I71" s="36"/>
      <c r="J71" s="36"/>
      <c r="K71" s="36"/>
      <c r="L71" s="36"/>
      <c r="M71" s="36"/>
      <c r="N71" s="36"/>
    </row>
    <row r="72" spans="2:14" ht="18" customHeight="1">
      <c r="B72" s="36"/>
      <c r="C72" s="36"/>
      <c r="D72" s="36"/>
      <c r="E72" s="37"/>
      <c r="F72" s="37"/>
      <c r="G72" s="37"/>
      <c r="H72" s="37"/>
      <c r="I72" s="36"/>
      <c r="J72" s="36"/>
      <c r="K72" s="36"/>
      <c r="L72" s="36"/>
      <c r="M72" s="36"/>
      <c r="N72" s="36"/>
    </row>
    <row r="73" spans="2:14" ht="18" customHeight="1">
      <c r="B73" s="36"/>
      <c r="C73" s="36"/>
      <c r="D73" s="36"/>
      <c r="E73" s="37"/>
      <c r="F73" s="37"/>
      <c r="G73" s="37"/>
      <c r="H73" s="37"/>
      <c r="I73" s="36"/>
      <c r="J73" s="36"/>
      <c r="K73" s="36"/>
      <c r="L73" s="36"/>
      <c r="M73" s="36"/>
      <c r="N73" s="36"/>
    </row>
    <row r="74" spans="2:14" ht="18" customHeight="1">
      <c r="B74" s="36"/>
      <c r="C74" s="36"/>
      <c r="D74" s="36"/>
      <c r="E74" s="37"/>
      <c r="F74" s="37"/>
      <c r="G74" s="37"/>
      <c r="H74" s="37"/>
      <c r="I74" s="36"/>
      <c r="J74" s="36"/>
      <c r="K74" s="36"/>
      <c r="L74" s="36"/>
      <c r="M74" s="36"/>
      <c r="N74" s="36"/>
    </row>
    <row r="75" spans="2:14" ht="18" customHeight="1">
      <c r="B75" s="36"/>
      <c r="C75" s="36"/>
      <c r="D75" s="36"/>
      <c r="E75" s="37"/>
      <c r="F75" s="37"/>
      <c r="G75" s="37"/>
      <c r="H75" s="37"/>
      <c r="I75" s="36"/>
      <c r="J75" s="36"/>
      <c r="K75" s="36"/>
      <c r="L75" s="36"/>
      <c r="M75" s="36"/>
      <c r="N75" s="36"/>
    </row>
    <row r="76" spans="2:14" ht="18" customHeight="1">
      <c r="B76" s="36"/>
      <c r="C76" s="36"/>
      <c r="D76" s="36"/>
      <c r="E76" s="37"/>
      <c r="F76" s="37"/>
      <c r="G76" s="37"/>
      <c r="H76" s="37"/>
      <c r="I76" s="36"/>
      <c r="J76" s="36"/>
      <c r="K76" s="36"/>
      <c r="L76" s="36"/>
      <c r="M76" s="36"/>
      <c r="N76" s="36"/>
    </row>
    <row r="77" spans="2:14" ht="18" customHeight="1">
      <c r="B77" s="36"/>
      <c r="C77" s="36"/>
      <c r="D77" s="36"/>
      <c r="E77" s="37"/>
      <c r="F77" s="37"/>
      <c r="G77" s="37"/>
      <c r="H77" s="37"/>
      <c r="I77" s="36"/>
      <c r="J77" s="36"/>
      <c r="K77" s="36"/>
      <c r="L77" s="36"/>
      <c r="M77" s="36"/>
      <c r="N77" s="36"/>
    </row>
    <row r="78" spans="2:14" ht="18" customHeight="1">
      <c r="B78" s="36"/>
      <c r="C78" s="36"/>
      <c r="D78" s="36"/>
      <c r="E78" s="37"/>
      <c r="F78" s="37"/>
      <c r="G78" s="37"/>
      <c r="H78" s="37"/>
      <c r="I78" s="36"/>
      <c r="J78" s="36"/>
      <c r="K78" s="36"/>
      <c r="L78" s="36"/>
      <c r="M78" s="36"/>
      <c r="N78" s="36"/>
    </row>
    <row r="79" spans="2:14" ht="18" customHeight="1">
      <c r="B79" s="36"/>
      <c r="C79" s="36"/>
      <c r="D79" s="36"/>
      <c r="E79" s="37"/>
      <c r="F79" s="37"/>
      <c r="G79" s="37"/>
      <c r="H79" s="37"/>
      <c r="I79" s="36"/>
      <c r="J79" s="36"/>
      <c r="K79" s="36"/>
      <c r="L79" s="36"/>
      <c r="M79" s="36"/>
      <c r="N79" s="36"/>
    </row>
    <row r="80" spans="2:14" ht="18" customHeight="1">
      <c r="B80" s="36"/>
      <c r="C80" s="36"/>
      <c r="D80" s="36"/>
      <c r="E80" s="37"/>
      <c r="F80" s="37"/>
      <c r="G80" s="37"/>
      <c r="H80" s="37"/>
      <c r="I80" s="36"/>
      <c r="J80" s="36"/>
      <c r="K80" s="36"/>
      <c r="L80" s="36"/>
      <c r="M80" s="36"/>
      <c r="N80" s="36"/>
    </row>
    <row r="81" spans="2:14" ht="18" customHeight="1">
      <c r="B81" s="36"/>
      <c r="C81" s="36"/>
      <c r="D81" s="36"/>
      <c r="E81" s="37"/>
      <c r="F81" s="37"/>
      <c r="G81" s="37"/>
      <c r="H81" s="37"/>
      <c r="I81" s="36"/>
      <c r="J81" s="36"/>
      <c r="K81" s="36"/>
      <c r="L81" s="36"/>
      <c r="M81" s="36"/>
      <c r="N81" s="36"/>
    </row>
    <row r="82" spans="2:14" ht="18" customHeight="1">
      <c r="B82" s="36"/>
      <c r="C82" s="36"/>
      <c r="D82" s="36"/>
      <c r="E82" s="37"/>
      <c r="F82" s="37"/>
      <c r="G82" s="37"/>
      <c r="H82" s="37"/>
      <c r="I82" s="36"/>
      <c r="J82" s="36"/>
      <c r="K82" s="36"/>
      <c r="L82" s="36"/>
      <c r="M82" s="36"/>
      <c r="N82" s="36"/>
    </row>
    <row r="83" spans="2:14" ht="18" customHeight="1">
      <c r="B83" s="36"/>
      <c r="C83" s="36"/>
      <c r="D83" s="36"/>
      <c r="E83" s="37"/>
      <c r="F83" s="37"/>
      <c r="G83" s="37"/>
      <c r="H83" s="37"/>
      <c r="I83" s="36"/>
      <c r="J83" s="36"/>
      <c r="K83" s="36"/>
      <c r="L83" s="36"/>
      <c r="M83" s="36"/>
      <c r="N83" s="36"/>
    </row>
    <row r="84" spans="2:14" ht="18" customHeight="1">
      <c r="B84" s="36"/>
      <c r="C84" s="36"/>
      <c r="D84" s="36"/>
      <c r="E84" s="37"/>
      <c r="F84" s="37"/>
      <c r="G84" s="37"/>
      <c r="H84" s="37"/>
      <c r="I84" s="36"/>
      <c r="J84" s="36"/>
      <c r="K84" s="36"/>
      <c r="L84" s="36"/>
      <c r="M84" s="36"/>
      <c r="N84" s="36"/>
    </row>
    <row r="85" spans="2:14" ht="18" customHeight="1">
      <c r="B85" s="36"/>
      <c r="C85" s="36"/>
      <c r="D85" s="36"/>
      <c r="E85" s="37"/>
      <c r="F85" s="37"/>
      <c r="G85" s="37"/>
      <c r="H85" s="37"/>
      <c r="I85" s="36"/>
      <c r="J85" s="36"/>
      <c r="K85" s="36"/>
      <c r="L85" s="36"/>
      <c r="M85" s="36"/>
      <c r="N85" s="36"/>
    </row>
    <row r="86" spans="2:14" ht="18" customHeight="1">
      <c r="B86" s="36"/>
      <c r="C86" s="36"/>
      <c r="D86" s="36"/>
      <c r="E86" s="37"/>
      <c r="F86" s="37"/>
      <c r="G86" s="37"/>
      <c r="H86" s="37"/>
      <c r="I86" s="36"/>
      <c r="J86" s="36"/>
      <c r="K86" s="36"/>
      <c r="L86" s="36"/>
      <c r="M86" s="36"/>
      <c r="N86" s="36"/>
    </row>
    <row r="87" spans="2:14" ht="18" customHeight="1">
      <c r="B87" s="36"/>
      <c r="C87" s="36"/>
      <c r="D87" s="36"/>
      <c r="E87" s="37"/>
      <c r="F87" s="37"/>
      <c r="G87" s="37"/>
      <c r="H87" s="37"/>
      <c r="I87" s="36"/>
      <c r="J87" s="36"/>
      <c r="K87" s="36"/>
      <c r="L87" s="36"/>
      <c r="M87" s="36"/>
      <c r="N87" s="36"/>
    </row>
    <row r="88" spans="2:14" ht="18" customHeight="1">
      <c r="B88" s="36"/>
      <c r="C88" s="36"/>
      <c r="D88" s="36"/>
      <c r="E88" s="37"/>
      <c r="F88" s="37"/>
      <c r="G88" s="37"/>
      <c r="H88" s="37"/>
      <c r="I88" s="36"/>
      <c r="J88" s="36"/>
      <c r="K88" s="36"/>
      <c r="L88" s="36"/>
      <c r="M88" s="36"/>
      <c r="N88" s="36"/>
    </row>
    <row r="89" spans="2:14" ht="18" customHeight="1">
      <c r="B89" s="36"/>
      <c r="C89" s="36"/>
      <c r="D89" s="36"/>
      <c r="E89" s="37"/>
      <c r="F89" s="37"/>
      <c r="G89" s="37"/>
      <c r="H89" s="37"/>
      <c r="I89" s="36"/>
      <c r="J89" s="36"/>
      <c r="K89" s="36"/>
      <c r="L89" s="36"/>
      <c r="M89" s="36"/>
      <c r="N89" s="36"/>
    </row>
    <row r="90" spans="2:14" ht="18" customHeight="1">
      <c r="B90" s="36"/>
      <c r="C90" s="36"/>
      <c r="D90" s="36"/>
      <c r="E90" s="37"/>
      <c r="F90" s="37"/>
      <c r="G90" s="37"/>
      <c r="H90" s="37"/>
      <c r="I90" s="36"/>
      <c r="J90" s="36"/>
      <c r="K90" s="36"/>
      <c r="L90" s="36"/>
      <c r="M90" s="36"/>
      <c r="N90" s="36"/>
    </row>
    <row r="91" spans="2:14" ht="18" customHeight="1">
      <c r="B91" s="36"/>
      <c r="C91" s="36"/>
      <c r="D91" s="36"/>
      <c r="E91" s="37"/>
      <c r="F91" s="37"/>
      <c r="G91" s="37"/>
      <c r="H91" s="37"/>
      <c r="I91" s="36"/>
      <c r="J91" s="36"/>
      <c r="K91" s="36"/>
      <c r="L91" s="36"/>
      <c r="M91" s="36"/>
      <c r="N91" s="36"/>
    </row>
    <row r="92" spans="2:14" ht="18" customHeight="1">
      <c r="B92" s="36"/>
      <c r="C92" s="36"/>
      <c r="D92" s="36"/>
      <c r="E92" s="37"/>
      <c r="F92" s="37"/>
      <c r="G92" s="37"/>
      <c r="H92" s="37"/>
      <c r="I92" s="36"/>
      <c r="J92" s="36"/>
      <c r="K92" s="36"/>
      <c r="L92" s="36"/>
      <c r="M92" s="36"/>
      <c r="N92" s="36"/>
    </row>
    <row r="93" spans="2:14" ht="18" customHeight="1">
      <c r="B93" s="36"/>
      <c r="C93" s="36"/>
      <c r="D93" s="36"/>
      <c r="E93" s="37"/>
      <c r="F93" s="37"/>
      <c r="G93" s="37"/>
      <c r="H93" s="37"/>
      <c r="I93" s="36"/>
      <c r="J93" s="36"/>
      <c r="K93" s="36"/>
      <c r="L93" s="36"/>
      <c r="M93" s="36"/>
      <c r="N93" s="36"/>
    </row>
    <row r="94" spans="2:14" ht="18" customHeight="1">
      <c r="B94" s="36"/>
      <c r="C94" s="36"/>
      <c r="D94" s="36"/>
      <c r="E94" s="37"/>
      <c r="F94" s="37"/>
      <c r="G94" s="37"/>
      <c r="H94" s="37"/>
      <c r="I94" s="36"/>
      <c r="J94" s="36"/>
      <c r="K94" s="36"/>
      <c r="L94" s="36"/>
      <c r="M94" s="36"/>
      <c r="N94" s="36"/>
    </row>
    <row r="95" spans="2:14" ht="18" customHeight="1">
      <c r="B95" s="36"/>
      <c r="C95" s="36"/>
      <c r="D95" s="36"/>
      <c r="E95" s="37"/>
      <c r="F95" s="37"/>
      <c r="G95" s="37"/>
      <c r="H95" s="37"/>
      <c r="I95" s="36"/>
      <c r="J95" s="36"/>
      <c r="K95" s="36"/>
      <c r="L95" s="36"/>
      <c r="M95" s="36"/>
      <c r="N95" s="36"/>
    </row>
    <row r="96" spans="2:14" ht="18" customHeight="1">
      <c r="B96" s="36"/>
      <c r="C96" s="36"/>
      <c r="D96" s="36"/>
      <c r="E96" s="37"/>
      <c r="F96" s="37"/>
      <c r="G96" s="37"/>
      <c r="H96" s="37"/>
      <c r="I96" s="36"/>
      <c r="J96" s="36"/>
      <c r="K96" s="36"/>
      <c r="L96" s="36"/>
      <c r="M96" s="36"/>
      <c r="N96" s="36"/>
    </row>
    <row r="97" spans="2:14" ht="18" customHeight="1">
      <c r="B97" s="36"/>
      <c r="C97" s="36"/>
      <c r="D97" s="36"/>
      <c r="E97" s="37"/>
      <c r="F97" s="37"/>
      <c r="G97" s="37"/>
      <c r="H97" s="37"/>
      <c r="I97" s="36"/>
      <c r="J97" s="36"/>
      <c r="K97" s="36"/>
      <c r="L97" s="36"/>
      <c r="M97" s="36"/>
      <c r="N97" s="36"/>
    </row>
    <row r="98" spans="2:14" ht="18" customHeight="1">
      <c r="B98" s="36"/>
      <c r="C98" s="36"/>
      <c r="D98" s="36"/>
      <c r="E98" s="37"/>
      <c r="F98" s="37"/>
      <c r="G98" s="37"/>
      <c r="H98" s="37"/>
      <c r="I98" s="36"/>
      <c r="J98" s="36"/>
      <c r="K98" s="36"/>
      <c r="L98" s="36"/>
      <c r="M98" s="36"/>
      <c r="N98" s="36"/>
    </row>
    <row r="99" spans="2:14" ht="18" customHeight="1">
      <c r="B99" s="36"/>
      <c r="C99" s="36"/>
      <c r="D99" s="36"/>
      <c r="E99" s="37"/>
      <c r="F99" s="37"/>
      <c r="G99" s="37"/>
      <c r="H99" s="37"/>
      <c r="I99" s="36"/>
      <c r="J99" s="36"/>
      <c r="K99" s="36"/>
      <c r="L99" s="36"/>
      <c r="M99" s="36"/>
      <c r="N99" s="36"/>
    </row>
    <row r="100" spans="2:14" ht="18" customHeight="1">
      <c r="B100" s="36"/>
      <c r="C100" s="36"/>
      <c r="D100" s="36"/>
      <c r="E100" s="37"/>
      <c r="F100" s="37"/>
      <c r="G100" s="37"/>
      <c r="H100" s="37"/>
      <c r="I100" s="36"/>
      <c r="J100" s="36"/>
      <c r="K100" s="36"/>
      <c r="L100" s="36"/>
      <c r="M100" s="36"/>
      <c r="N100" s="36"/>
    </row>
    <row r="101" spans="2:14" ht="18" customHeight="1">
      <c r="B101" s="36"/>
      <c r="C101" s="36"/>
      <c r="D101" s="36"/>
      <c r="E101" s="37"/>
      <c r="F101" s="37"/>
      <c r="G101" s="37"/>
      <c r="H101" s="37"/>
      <c r="I101" s="36"/>
      <c r="J101" s="36"/>
      <c r="K101" s="36"/>
      <c r="L101" s="36"/>
      <c r="M101" s="36"/>
      <c r="N101" s="36"/>
    </row>
    <row r="102" spans="2:14" ht="18" customHeight="1">
      <c r="B102" s="36"/>
      <c r="C102" s="36"/>
      <c r="D102" s="36"/>
      <c r="E102" s="37"/>
      <c r="F102" s="37"/>
      <c r="G102" s="37"/>
      <c r="H102" s="37"/>
      <c r="I102" s="36"/>
      <c r="J102" s="36"/>
      <c r="K102" s="36"/>
      <c r="L102" s="36"/>
      <c r="M102" s="36"/>
      <c r="N102" s="36"/>
    </row>
    <row r="103" spans="2:14" ht="18" customHeight="1">
      <c r="B103" s="36"/>
      <c r="C103" s="36"/>
      <c r="D103" s="36"/>
      <c r="E103" s="37"/>
      <c r="F103" s="37"/>
      <c r="G103" s="37"/>
      <c r="H103" s="37"/>
      <c r="I103" s="36"/>
      <c r="J103" s="36"/>
      <c r="K103" s="36"/>
      <c r="L103" s="36"/>
      <c r="M103" s="36"/>
      <c r="N103" s="36"/>
    </row>
    <row r="104" spans="2:14" ht="18" customHeight="1">
      <c r="B104" s="36"/>
      <c r="C104" s="36"/>
      <c r="D104" s="36"/>
      <c r="E104" s="37"/>
      <c r="F104" s="37"/>
      <c r="G104" s="37"/>
      <c r="H104" s="37"/>
      <c r="I104" s="36"/>
      <c r="J104" s="36"/>
      <c r="K104" s="36"/>
      <c r="L104" s="36"/>
      <c r="M104" s="36"/>
      <c r="N104" s="36"/>
    </row>
    <row r="105" spans="2:14" ht="18" customHeight="1">
      <c r="B105" s="36"/>
      <c r="C105" s="36"/>
      <c r="D105" s="36"/>
      <c r="E105" s="37"/>
      <c r="F105" s="37"/>
      <c r="G105" s="37"/>
      <c r="H105" s="37"/>
      <c r="I105" s="36"/>
      <c r="J105" s="36"/>
      <c r="K105" s="36"/>
      <c r="L105" s="36"/>
      <c r="M105" s="36"/>
      <c r="N105" s="36"/>
    </row>
    <row r="106" spans="2:14" ht="18" customHeight="1">
      <c r="B106" s="36"/>
      <c r="C106" s="36"/>
      <c r="D106" s="36"/>
      <c r="E106" s="37"/>
      <c r="F106" s="37"/>
      <c r="G106" s="37"/>
      <c r="H106" s="37"/>
      <c r="I106" s="36"/>
      <c r="J106" s="36"/>
      <c r="K106" s="36"/>
      <c r="L106" s="36"/>
      <c r="M106" s="36"/>
      <c r="N106" s="36"/>
    </row>
    <row r="107" spans="2:14" ht="18" customHeight="1">
      <c r="B107" s="36"/>
      <c r="C107" s="36"/>
      <c r="D107" s="36"/>
      <c r="E107" s="37"/>
      <c r="F107" s="37"/>
      <c r="G107" s="37"/>
      <c r="H107" s="37"/>
      <c r="I107" s="36"/>
      <c r="J107" s="36"/>
      <c r="K107" s="36"/>
      <c r="L107" s="36"/>
      <c r="M107" s="36"/>
      <c r="N107" s="36"/>
    </row>
    <row r="108" spans="2:14" ht="18" customHeight="1">
      <c r="B108" s="36"/>
      <c r="C108" s="36"/>
      <c r="D108" s="36"/>
      <c r="E108" s="37"/>
      <c r="F108" s="37"/>
      <c r="G108" s="37"/>
      <c r="H108" s="37"/>
      <c r="I108" s="36"/>
      <c r="J108" s="36"/>
      <c r="K108" s="36"/>
      <c r="L108" s="36"/>
      <c r="M108" s="36"/>
      <c r="N108" s="36"/>
    </row>
    <row r="109" spans="2:14" ht="18" customHeight="1">
      <c r="B109" s="36"/>
      <c r="C109" s="36"/>
      <c r="D109" s="36"/>
      <c r="E109" s="37"/>
      <c r="F109" s="37"/>
      <c r="G109" s="37"/>
      <c r="H109" s="37"/>
      <c r="I109" s="36"/>
      <c r="J109" s="36"/>
      <c r="K109" s="36"/>
      <c r="L109" s="36"/>
      <c r="M109" s="36"/>
      <c r="N109" s="36"/>
    </row>
    <row r="110" spans="2:14" ht="18" customHeight="1">
      <c r="B110" s="36"/>
      <c r="C110" s="36"/>
      <c r="D110" s="36"/>
      <c r="E110" s="37"/>
      <c r="F110" s="37"/>
      <c r="G110" s="37"/>
      <c r="H110" s="37"/>
      <c r="I110" s="36"/>
      <c r="J110" s="36"/>
      <c r="K110" s="36"/>
      <c r="L110" s="36"/>
      <c r="M110" s="36"/>
      <c r="N110" s="36"/>
    </row>
    <row r="111" spans="2:14" ht="18" customHeight="1">
      <c r="B111" s="36"/>
      <c r="C111" s="36"/>
      <c r="D111" s="36"/>
      <c r="E111" s="37"/>
      <c r="F111" s="37"/>
      <c r="G111" s="37"/>
      <c r="H111" s="37"/>
      <c r="I111" s="36"/>
      <c r="J111" s="36"/>
      <c r="K111" s="36"/>
      <c r="L111" s="36"/>
      <c r="M111" s="36"/>
      <c r="N111" s="36"/>
    </row>
    <row r="112" spans="2:14" ht="18" customHeight="1">
      <c r="B112" s="36"/>
      <c r="C112" s="36"/>
      <c r="D112" s="36"/>
      <c r="E112" s="37"/>
      <c r="F112" s="37"/>
      <c r="G112" s="37"/>
      <c r="H112" s="37"/>
      <c r="I112" s="36"/>
      <c r="J112" s="36"/>
      <c r="K112" s="36"/>
      <c r="L112" s="36"/>
      <c r="M112" s="36"/>
      <c r="N112" s="36"/>
    </row>
    <row r="113" spans="2:14" ht="18" customHeight="1">
      <c r="B113" s="36"/>
      <c r="C113" s="36"/>
      <c r="D113" s="36"/>
      <c r="E113" s="37"/>
      <c r="F113" s="37"/>
      <c r="G113" s="37"/>
      <c r="H113" s="37"/>
      <c r="I113" s="36"/>
      <c r="J113" s="36"/>
      <c r="K113" s="36"/>
      <c r="L113" s="36"/>
      <c r="M113" s="36"/>
      <c r="N113" s="36"/>
    </row>
    <row r="114" spans="2:14" ht="18" customHeight="1">
      <c r="B114" s="36"/>
      <c r="C114" s="36"/>
      <c r="D114" s="36"/>
      <c r="E114" s="37"/>
      <c r="F114" s="37"/>
      <c r="G114" s="37"/>
      <c r="H114" s="37"/>
      <c r="I114" s="36"/>
      <c r="J114" s="36"/>
      <c r="K114" s="36"/>
      <c r="L114" s="36"/>
      <c r="M114" s="36"/>
      <c r="N114" s="36"/>
    </row>
    <row r="115" spans="2:14" ht="18" customHeight="1">
      <c r="B115" s="36"/>
      <c r="C115" s="36"/>
      <c r="D115" s="36"/>
      <c r="E115" s="37"/>
      <c r="F115" s="37"/>
      <c r="G115" s="37"/>
      <c r="H115" s="37"/>
      <c r="I115" s="36"/>
      <c r="J115" s="36"/>
      <c r="K115" s="36"/>
      <c r="L115" s="36"/>
      <c r="M115" s="36"/>
      <c r="N115" s="36"/>
    </row>
    <row r="116" spans="2:14" ht="18" customHeight="1">
      <c r="B116" s="36"/>
      <c r="C116" s="36"/>
      <c r="D116" s="36"/>
      <c r="E116" s="37"/>
      <c r="F116" s="37"/>
      <c r="G116" s="37"/>
      <c r="H116" s="37"/>
      <c r="I116" s="36"/>
      <c r="J116" s="36"/>
      <c r="K116" s="36"/>
      <c r="L116" s="36"/>
      <c r="M116" s="36"/>
      <c r="N116" s="36"/>
    </row>
    <row r="117" spans="2:14" ht="18" customHeight="1">
      <c r="B117" s="36"/>
      <c r="C117" s="36"/>
      <c r="D117" s="36"/>
      <c r="E117" s="37"/>
      <c r="F117" s="37"/>
      <c r="G117" s="37"/>
      <c r="H117" s="37"/>
      <c r="I117" s="36"/>
      <c r="J117" s="36"/>
      <c r="K117" s="36"/>
      <c r="L117" s="36"/>
      <c r="M117" s="36"/>
      <c r="N117" s="36"/>
    </row>
    <row r="118" spans="2:14" ht="18" customHeight="1">
      <c r="B118" s="36"/>
      <c r="C118" s="36"/>
      <c r="D118" s="36"/>
      <c r="E118" s="37"/>
      <c r="F118" s="37"/>
      <c r="G118" s="37"/>
      <c r="H118" s="37"/>
      <c r="I118" s="36"/>
      <c r="J118" s="36"/>
      <c r="K118" s="36"/>
      <c r="L118" s="36"/>
      <c r="M118" s="36"/>
      <c r="N118" s="36"/>
    </row>
    <row r="119" spans="2:14" ht="18" customHeight="1">
      <c r="B119" s="36"/>
      <c r="C119" s="36"/>
      <c r="D119" s="36"/>
      <c r="E119" s="37"/>
      <c r="F119" s="37"/>
      <c r="G119" s="37"/>
      <c r="H119" s="37"/>
      <c r="I119" s="36"/>
      <c r="J119" s="36"/>
      <c r="K119" s="36"/>
      <c r="L119" s="36"/>
      <c r="M119" s="36"/>
      <c r="N119" s="36"/>
    </row>
    <row r="120" spans="2:14" ht="18" customHeight="1">
      <c r="B120" s="36"/>
      <c r="C120" s="36"/>
      <c r="D120" s="36"/>
      <c r="E120" s="37"/>
      <c r="F120" s="37"/>
      <c r="G120" s="37"/>
      <c r="H120" s="37"/>
      <c r="I120" s="36"/>
      <c r="J120" s="36"/>
      <c r="K120" s="36"/>
      <c r="L120" s="36"/>
      <c r="M120" s="36"/>
      <c r="N120" s="36"/>
    </row>
    <row r="121" spans="2:14" ht="18" customHeight="1">
      <c r="B121" s="36"/>
      <c r="C121" s="36"/>
      <c r="D121" s="36"/>
      <c r="E121" s="37"/>
      <c r="F121" s="37"/>
      <c r="G121" s="37"/>
      <c r="H121" s="37"/>
      <c r="I121" s="36"/>
      <c r="J121" s="36"/>
      <c r="K121" s="36"/>
      <c r="L121" s="36"/>
      <c r="M121" s="36"/>
      <c r="N121" s="36"/>
    </row>
    <row r="122" spans="2:14" ht="18" customHeight="1">
      <c r="B122" s="36"/>
      <c r="C122" s="36"/>
      <c r="D122" s="36"/>
      <c r="E122" s="37"/>
      <c r="F122" s="37"/>
      <c r="G122" s="37"/>
      <c r="H122" s="37"/>
      <c r="I122" s="36"/>
      <c r="J122" s="36"/>
      <c r="K122" s="36"/>
      <c r="L122" s="36"/>
      <c r="M122" s="36"/>
      <c r="N122" s="36"/>
    </row>
    <row r="123" spans="2:14" ht="18" customHeight="1">
      <c r="B123" s="36"/>
      <c r="C123" s="36"/>
      <c r="D123" s="36"/>
      <c r="E123" s="37"/>
      <c r="F123" s="37"/>
      <c r="G123" s="37"/>
      <c r="H123" s="37"/>
      <c r="I123" s="36"/>
      <c r="J123" s="36"/>
      <c r="K123" s="36"/>
      <c r="L123" s="36"/>
      <c r="M123" s="36"/>
      <c r="N123" s="36"/>
    </row>
    <row r="124" spans="2:14" ht="18" customHeight="1">
      <c r="B124" s="36"/>
      <c r="C124" s="36"/>
      <c r="D124" s="36"/>
      <c r="E124" s="37"/>
      <c r="F124" s="37"/>
      <c r="G124" s="37"/>
      <c r="H124" s="37"/>
      <c r="I124" s="36"/>
      <c r="J124" s="36"/>
      <c r="K124" s="36"/>
      <c r="L124" s="36"/>
      <c r="M124" s="36"/>
      <c r="N124" s="36"/>
    </row>
    <row r="125" spans="2:14" ht="18" customHeight="1">
      <c r="B125" s="36"/>
      <c r="C125" s="36"/>
      <c r="D125" s="36"/>
      <c r="E125" s="37"/>
      <c r="F125" s="37"/>
      <c r="G125" s="37"/>
      <c r="H125" s="37"/>
      <c r="I125" s="36"/>
      <c r="J125" s="36"/>
      <c r="K125" s="36"/>
      <c r="L125" s="36"/>
      <c r="M125" s="36"/>
      <c r="N125" s="36"/>
    </row>
    <row r="126" spans="2:14" ht="18" customHeight="1">
      <c r="B126" s="36"/>
      <c r="C126" s="36"/>
      <c r="D126" s="36"/>
      <c r="E126" s="37"/>
      <c r="F126" s="37"/>
      <c r="G126" s="37"/>
      <c r="H126" s="37"/>
      <c r="I126" s="36"/>
      <c r="J126" s="36"/>
      <c r="K126" s="36"/>
      <c r="L126" s="36"/>
      <c r="M126" s="36"/>
      <c r="N126" s="36"/>
    </row>
    <row r="127" spans="2:14" ht="18" customHeight="1">
      <c r="B127" s="36"/>
      <c r="C127" s="36"/>
      <c r="D127" s="36"/>
      <c r="E127" s="37"/>
      <c r="F127" s="37"/>
      <c r="G127" s="37"/>
      <c r="H127" s="37"/>
      <c r="I127" s="36"/>
      <c r="J127" s="36"/>
      <c r="K127" s="36"/>
      <c r="L127" s="36"/>
      <c r="M127" s="36"/>
      <c r="N127" s="36"/>
    </row>
    <row r="128" spans="2:14" ht="18" customHeight="1">
      <c r="B128" s="36"/>
      <c r="C128" s="36"/>
      <c r="D128" s="36"/>
      <c r="E128" s="37"/>
      <c r="F128" s="37"/>
      <c r="G128" s="37"/>
      <c r="H128" s="37"/>
      <c r="I128" s="36"/>
      <c r="J128" s="36"/>
      <c r="K128" s="36"/>
      <c r="L128" s="36"/>
      <c r="M128" s="36"/>
      <c r="N128" s="36"/>
    </row>
    <row r="129" spans="2:14" ht="18" customHeight="1">
      <c r="B129" s="36"/>
      <c r="C129" s="36"/>
      <c r="D129" s="36"/>
      <c r="E129" s="37"/>
      <c r="F129" s="37"/>
      <c r="G129" s="37"/>
      <c r="H129" s="37"/>
      <c r="I129" s="36"/>
      <c r="J129" s="36"/>
      <c r="K129" s="36"/>
      <c r="L129" s="36"/>
      <c r="M129" s="36"/>
      <c r="N129" s="36"/>
    </row>
    <row r="130" spans="2:14" ht="18" customHeight="1">
      <c r="B130" s="36"/>
      <c r="C130" s="36"/>
      <c r="D130" s="36"/>
      <c r="E130" s="37"/>
      <c r="F130" s="37"/>
      <c r="G130" s="37"/>
      <c r="H130" s="37"/>
      <c r="I130" s="36"/>
      <c r="J130" s="36"/>
      <c r="K130" s="36"/>
      <c r="L130" s="36"/>
      <c r="M130" s="36"/>
      <c r="N130" s="36"/>
    </row>
    <row r="131" spans="2:14" ht="18" customHeight="1">
      <c r="B131" s="36"/>
      <c r="C131" s="36"/>
      <c r="D131" s="36"/>
      <c r="E131" s="37"/>
      <c r="F131" s="37"/>
      <c r="G131" s="37"/>
      <c r="H131" s="37"/>
      <c r="I131" s="36"/>
      <c r="J131" s="36"/>
      <c r="K131" s="36"/>
      <c r="L131" s="36"/>
      <c r="M131" s="36"/>
      <c r="N131" s="36"/>
    </row>
    <row r="132" spans="2:14" ht="18" customHeight="1">
      <c r="B132" s="36"/>
      <c r="C132" s="36"/>
      <c r="D132" s="36"/>
      <c r="E132" s="37"/>
      <c r="F132" s="37"/>
      <c r="G132" s="37"/>
      <c r="H132" s="37"/>
      <c r="I132" s="36"/>
      <c r="J132" s="36"/>
      <c r="K132" s="36"/>
      <c r="L132" s="36"/>
      <c r="M132" s="36"/>
      <c r="N132" s="36"/>
    </row>
    <row r="133" spans="2:14" ht="18" customHeight="1">
      <c r="B133" s="36"/>
      <c r="C133" s="36"/>
      <c r="D133" s="36"/>
      <c r="E133" s="37"/>
      <c r="F133" s="37"/>
      <c r="G133" s="37"/>
      <c r="H133" s="37"/>
      <c r="I133" s="36"/>
      <c r="J133" s="36"/>
      <c r="K133" s="36"/>
      <c r="L133" s="36"/>
      <c r="M133" s="36"/>
      <c r="N133" s="36"/>
    </row>
    <row r="134" spans="2:14" ht="18" customHeight="1">
      <c r="B134" s="36"/>
      <c r="C134" s="36"/>
      <c r="D134" s="36"/>
      <c r="E134" s="37"/>
      <c r="F134" s="37"/>
      <c r="G134" s="37"/>
      <c r="H134" s="37"/>
      <c r="I134" s="36"/>
      <c r="J134" s="36"/>
      <c r="K134" s="36"/>
      <c r="L134" s="36"/>
      <c r="M134" s="36"/>
      <c r="N134" s="36"/>
    </row>
    <row r="135" spans="2:14" ht="18" customHeight="1">
      <c r="B135" s="36"/>
      <c r="C135" s="36"/>
      <c r="D135" s="36"/>
      <c r="E135" s="37"/>
      <c r="F135" s="37"/>
      <c r="G135" s="37"/>
      <c r="H135" s="37"/>
      <c r="I135" s="36"/>
      <c r="J135" s="36"/>
      <c r="K135" s="36"/>
      <c r="L135" s="36"/>
      <c r="M135" s="36"/>
      <c r="N135" s="36"/>
    </row>
    <row r="136" spans="2:14" ht="18" customHeight="1">
      <c r="B136" s="36"/>
      <c r="C136" s="36"/>
      <c r="D136" s="36"/>
      <c r="E136" s="37"/>
      <c r="F136" s="37"/>
      <c r="G136" s="37"/>
      <c r="H136" s="37"/>
      <c r="I136" s="36"/>
      <c r="J136" s="36"/>
      <c r="K136" s="36"/>
      <c r="L136" s="36"/>
      <c r="M136" s="36"/>
      <c r="N136" s="36"/>
    </row>
    <row r="137" spans="2:14" ht="18" customHeight="1">
      <c r="B137" s="36"/>
      <c r="C137" s="36"/>
      <c r="D137" s="36"/>
      <c r="E137" s="37"/>
      <c r="F137" s="37"/>
      <c r="G137" s="37"/>
      <c r="H137" s="37"/>
      <c r="I137" s="36"/>
      <c r="J137" s="36"/>
      <c r="K137" s="36"/>
      <c r="L137" s="36"/>
      <c r="M137" s="36"/>
      <c r="N137" s="36"/>
    </row>
    <row r="138" spans="2:14" ht="18" customHeight="1">
      <c r="B138" s="36"/>
      <c r="C138" s="36"/>
      <c r="D138" s="36"/>
      <c r="E138" s="37"/>
      <c r="F138" s="37"/>
      <c r="G138" s="37"/>
      <c r="H138" s="37"/>
      <c r="I138" s="36"/>
      <c r="J138" s="36"/>
      <c r="K138" s="36"/>
      <c r="L138" s="36"/>
      <c r="M138" s="36"/>
      <c r="N138" s="36"/>
    </row>
    <row r="139" spans="2:14" ht="18" customHeight="1">
      <c r="B139" s="36"/>
      <c r="C139" s="36"/>
      <c r="D139" s="36"/>
      <c r="E139" s="37"/>
      <c r="F139" s="37"/>
      <c r="G139" s="37"/>
      <c r="H139" s="37"/>
      <c r="I139" s="36"/>
      <c r="J139" s="36"/>
      <c r="K139" s="36"/>
      <c r="L139" s="36"/>
      <c r="M139" s="36"/>
      <c r="N139" s="36"/>
    </row>
    <row r="140" spans="2:14" ht="18" customHeight="1">
      <c r="B140" s="36"/>
      <c r="C140" s="36"/>
      <c r="D140" s="36"/>
      <c r="E140" s="37"/>
      <c r="F140" s="37"/>
      <c r="G140" s="37"/>
      <c r="H140" s="37"/>
      <c r="I140" s="36"/>
      <c r="J140" s="36"/>
      <c r="K140" s="36"/>
      <c r="L140" s="36"/>
      <c r="M140" s="36"/>
      <c r="N140" s="36"/>
    </row>
    <row r="141" spans="2:14" ht="18" customHeight="1">
      <c r="B141" s="36"/>
      <c r="C141" s="36"/>
      <c r="D141" s="36"/>
      <c r="E141" s="37"/>
      <c r="F141" s="37"/>
      <c r="G141" s="37"/>
      <c r="H141" s="37"/>
      <c r="I141" s="36"/>
      <c r="J141" s="36"/>
      <c r="K141" s="36"/>
      <c r="L141" s="36"/>
      <c r="M141" s="36"/>
      <c r="N141" s="36"/>
    </row>
    <row r="142" spans="2:14" ht="18" customHeight="1">
      <c r="B142" s="36"/>
      <c r="C142" s="36"/>
      <c r="D142" s="36"/>
      <c r="E142" s="37"/>
      <c r="F142" s="37"/>
      <c r="G142" s="37"/>
      <c r="H142" s="37"/>
      <c r="I142" s="36"/>
      <c r="J142" s="36"/>
      <c r="K142" s="36"/>
      <c r="L142" s="36"/>
      <c r="M142" s="36"/>
      <c r="N142" s="36"/>
    </row>
    <row r="143" spans="2:14" ht="18" customHeight="1">
      <c r="B143" s="36"/>
      <c r="C143" s="36"/>
      <c r="D143" s="36"/>
      <c r="E143" s="37"/>
      <c r="F143" s="37"/>
      <c r="G143" s="37"/>
      <c r="H143" s="37"/>
      <c r="I143" s="36"/>
      <c r="J143" s="36"/>
      <c r="K143" s="36"/>
      <c r="L143" s="36"/>
      <c r="M143" s="36"/>
      <c r="N143" s="36"/>
    </row>
    <row r="144" spans="2:14" ht="18" customHeight="1">
      <c r="B144" s="36"/>
      <c r="C144" s="36"/>
      <c r="D144" s="36"/>
      <c r="E144" s="37"/>
      <c r="F144" s="37"/>
      <c r="G144" s="37"/>
      <c r="H144" s="37"/>
      <c r="I144" s="36"/>
      <c r="J144" s="36"/>
      <c r="K144" s="36"/>
      <c r="L144" s="36"/>
      <c r="M144" s="36"/>
      <c r="N144" s="36"/>
    </row>
    <row r="145" spans="2:14" ht="18" customHeight="1">
      <c r="B145" s="36"/>
      <c r="C145" s="36"/>
      <c r="D145" s="36"/>
      <c r="E145" s="37"/>
      <c r="F145" s="37"/>
      <c r="G145" s="37"/>
      <c r="H145" s="37"/>
      <c r="I145" s="36"/>
      <c r="J145" s="36"/>
      <c r="K145" s="36"/>
      <c r="L145" s="36"/>
      <c r="M145" s="36"/>
      <c r="N145" s="36"/>
    </row>
    <row r="146" spans="2:14" ht="18" customHeight="1">
      <c r="B146" s="36"/>
      <c r="C146" s="36"/>
      <c r="D146" s="36"/>
      <c r="E146" s="37"/>
      <c r="F146" s="37"/>
      <c r="G146" s="37"/>
      <c r="H146" s="37"/>
      <c r="I146" s="36"/>
      <c r="J146" s="36"/>
      <c r="K146" s="36"/>
      <c r="L146" s="36"/>
      <c r="M146" s="36"/>
      <c r="N146" s="36"/>
    </row>
    <row r="147" spans="2:14" ht="18" customHeight="1">
      <c r="B147" s="36"/>
      <c r="C147" s="36"/>
      <c r="D147" s="36"/>
      <c r="E147" s="37"/>
      <c r="F147" s="37"/>
      <c r="G147" s="37"/>
      <c r="H147" s="37"/>
      <c r="I147" s="36"/>
      <c r="J147" s="36"/>
      <c r="K147" s="36"/>
      <c r="L147" s="36"/>
      <c r="M147" s="36"/>
      <c r="N147" s="36"/>
    </row>
    <row r="148" spans="2:14" ht="18" customHeight="1">
      <c r="B148" s="36"/>
      <c r="C148" s="36"/>
      <c r="D148" s="36"/>
      <c r="E148" s="37"/>
      <c r="F148" s="37"/>
      <c r="G148" s="37"/>
      <c r="H148" s="37"/>
      <c r="I148" s="36"/>
      <c r="J148" s="36"/>
      <c r="K148" s="36"/>
      <c r="L148" s="36"/>
      <c r="M148" s="36"/>
      <c r="N148" s="36"/>
    </row>
    <row r="149" spans="2:14" ht="18" customHeight="1">
      <c r="B149" s="36"/>
      <c r="C149" s="36"/>
      <c r="D149" s="36"/>
      <c r="E149" s="37"/>
      <c r="F149" s="37"/>
      <c r="G149" s="37"/>
      <c r="H149" s="37"/>
      <c r="I149" s="36"/>
      <c r="J149" s="36"/>
      <c r="K149" s="36"/>
      <c r="L149" s="36"/>
      <c r="M149" s="36"/>
      <c r="N149" s="36"/>
    </row>
    <row r="150" spans="2:14" ht="18" customHeight="1">
      <c r="B150" s="36"/>
      <c r="C150" s="36"/>
      <c r="D150" s="36"/>
      <c r="E150" s="37"/>
      <c r="F150" s="37"/>
      <c r="G150" s="37"/>
      <c r="H150" s="37"/>
      <c r="I150" s="36"/>
      <c r="J150" s="36"/>
      <c r="K150" s="36"/>
      <c r="L150" s="36"/>
      <c r="M150" s="36"/>
      <c r="N150" s="36"/>
    </row>
    <row r="151" spans="2:14" ht="18" customHeight="1">
      <c r="B151" s="36"/>
      <c r="C151" s="36"/>
      <c r="D151" s="36"/>
      <c r="E151" s="37"/>
      <c r="F151" s="37"/>
      <c r="G151" s="37"/>
      <c r="H151" s="37"/>
      <c r="I151" s="36"/>
      <c r="J151" s="36"/>
      <c r="K151" s="36"/>
      <c r="L151" s="36"/>
      <c r="M151" s="36"/>
      <c r="N151" s="36"/>
    </row>
    <row r="152" spans="2:14" ht="18" customHeight="1">
      <c r="B152" s="36"/>
      <c r="C152" s="36"/>
      <c r="D152" s="36"/>
      <c r="E152" s="37"/>
      <c r="F152" s="37"/>
      <c r="G152" s="37"/>
      <c r="H152" s="37"/>
      <c r="I152" s="36"/>
      <c r="J152" s="36"/>
      <c r="K152" s="36"/>
      <c r="L152" s="36"/>
      <c r="M152" s="36"/>
      <c r="N152" s="36"/>
    </row>
    <row r="153" spans="2:14" ht="18" customHeight="1">
      <c r="B153" s="36"/>
      <c r="C153" s="36"/>
      <c r="D153" s="36"/>
      <c r="E153" s="37"/>
      <c r="F153" s="37"/>
      <c r="G153" s="37"/>
      <c r="H153" s="37"/>
      <c r="I153" s="36"/>
      <c r="J153" s="36"/>
      <c r="K153" s="36"/>
      <c r="L153" s="36"/>
      <c r="M153" s="36"/>
      <c r="N153" s="36"/>
    </row>
    <row r="154" spans="2:14" ht="18" customHeight="1">
      <c r="B154" s="36"/>
      <c r="C154" s="36"/>
      <c r="D154" s="36"/>
      <c r="E154" s="37"/>
      <c r="F154" s="37"/>
      <c r="G154" s="37"/>
      <c r="H154" s="37"/>
      <c r="I154" s="36"/>
      <c r="J154" s="36"/>
      <c r="K154" s="36"/>
      <c r="L154" s="36"/>
      <c r="M154" s="36"/>
      <c r="N154" s="36"/>
    </row>
    <row r="155" spans="2:14" ht="18" customHeight="1">
      <c r="B155" s="36"/>
      <c r="C155" s="36"/>
      <c r="D155" s="36"/>
      <c r="E155" s="37"/>
      <c r="F155" s="37"/>
      <c r="G155" s="37"/>
      <c r="H155" s="37"/>
      <c r="I155" s="36"/>
      <c r="J155" s="36"/>
      <c r="K155" s="36"/>
      <c r="L155" s="36"/>
      <c r="M155" s="36"/>
      <c r="N155" s="36"/>
    </row>
    <row r="156" spans="2:14" ht="18" customHeight="1">
      <c r="B156" s="36"/>
      <c r="C156" s="36"/>
      <c r="D156" s="36"/>
      <c r="E156" s="37"/>
      <c r="F156" s="37"/>
      <c r="G156" s="37"/>
      <c r="H156" s="37"/>
      <c r="I156" s="36"/>
      <c r="J156" s="36"/>
      <c r="K156" s="36"/>
      <c r="L156" s="36"/>
      <c r="M156" s="36"/>
      <c r="N156" s="36"/>
    </row>
    <row r="157" spans="2:14" ht="18" customHeight="1">
      <c r="B157" s="36"/>
      <c r="C157" s="36"/>
      <c r="D157" s="36"/>
      <c r="E157" s="37"/>
      <c r="F157" s="37"/>
      <c r="G157" s="37"/>
      <c r="H157" s="37"/>
      <c r="I157" s="36"/>
      <c r="J157" s="36"/>
      <c r="K157" s="36"/>
      <c r="L157" s="36"/>
      <c r="M157" s="36"/>
      <c r="N157" s="36"/>
    </row>
    <row r="158" spans="2:14" ht="18" customHeight="1">
      <c r="B158" s="36"/>
      <c r="C158" s="36"/>
      <c r="D158" s="36"/>
      <c r="E158" s="37"/>
      <c r="F158" s="37"/>
      <c r="G158" s="37"/>
      <c r="H158" s="37"/>
      <c r="I158" s="36"/>
      <c r="J158" s="36"/>
      <c r="K158" s="36"/>
      <c r="L158" s="36"/>
      <c r="M158" s="36"/>
      <c r="N158" s="36"/>
    </row>
    <row r="159" spans="2:14" ht="18" customHeight="1">
      <c r="B159" s="36"/>
      <c r="C159" s="36"/>
      <c r="D159" s="36"/>
      <c r="E159" s="37"/>
      <c r="F159" s="37"/>
      <c r="G159" s="37"/>
      <c r="H159" s="37"/>
      <c r="I159" s="36"/>
      <c r="J159" s="36"/>
      <c r="K159" s="36"/>
      <c r="L159" s="36"/>
      <c r="M159" s="36"/>
      <c r="N159" s="36"/>
    </row>
    <row r="160" spans="2:14" ht="18" customHeight="1">
      <c r="B160" s="36"/>
      <c r="C160" s="36"/>
      <c r="D160" s="36"/>
      <c r="E160" s="37"/>
      <c r="F160" s="37"/>
      <c r="G160" s="37"/>
      <c r="H160" s="37"/>
      <c r="I160" s="36"/>
      <c r="J160" s="36"/>
      <c r="K160" s="36"/>
      <c r="L160" s="36"/>
      <c r="M160" s="36"/>
      <c r="N160" s="36"/>
    </row>
    <row r="161" spans="2:14" ht="18" customHeight="1">
      <c r="B161" s="36"/>
      <c r="C161" s="36"/>
      <c r="D161" s="36"/>
      <c r="E161" s="37"/>
      <c r="F161" s="37"/>
      <c r="G161" s="37"/>
      <c r="H161" s="37"/>
      <c r="I161" s="36"/>
      <c r="J161" s="36"/>
      <c r="K161" s="36"/>
      <c r="L161" s="36"/>
      <c r="M161" s="36"/>
      <c r="N161" s="36"/>
    </row>
    <row r="162" spans="2:14" ht="18" customHeight="1">
      <c r="B162" s="36"/>
      <c r="C162" s="36"/>
      <c r="D162" s="36"/>
      <c r="E162" s="37"/>
      <c r="F162" s="37"/>
      <c r="G162" s="37"/>
      <c r="H162" s="37"/>
      <c r="I162" s="36"/>
      <c r="J162" s="36"/>
      <c r="K162" s="36"/>
      <c r="L162" s="36"/>
      <c r="M162" s="36"/>
      <c r="N162" s="36"/>
    </row>
    <row r="163" spans="2:14" ht="18" customHeight="1">
      <c r="B163" s="36"/>
      <c r="C163" s="36"/>
      <c r="D163" s="36"/>
      <c r="E163" s="37"/>
      <c r="F163" s="37"/>
      <c r="G163" s="37"/>
      <c r="H163" s="37"/>
      <c r="I163" s="36"/>
      <c r="J163" s="36"/>
      <c r="K163" s="36"/>
      <c r="L163" s="36"/>
      <c r="M163" s="36"/>
      <c r="N163" s="36"/>
    </row>
    <row r="164" spans="2:14" ht="18" customHeight="1">
      <c r="B164" s="36"/>
      <c r="C164" s="36"/>
      <c r="D164" s="36"/>
      <c r="E164" s="37"/>
      <c r="F164" s="37"/>
      <c r="G164" s="37"/>
      <c r="H164" s="37"/>
      <c r="I164" s="36"/>
      <c r="J164" s="36"/>
      <c r="K164" s="36"/>
      <c r="L164" s="36"/>
      <c r="M164" s="36"/>
      <c r="N164" s="36"/>
    </row>
    <row r="165" spans="2:14" ht="18" customHeight="1">
      <c r="B165" s="36"/>
      <c r="C165" s="36"/>
      <c r="D165" s="36"/>
      <c r="E165" s="37"/>
      <c r="F165" s="37"/>
      <c r="G165" s="37"/>
      <c r="H165" s="37"/>
      <c r="I165" s="36"/>
      <c r="J165" s="36"/>
      <c r="K165" s="36"/>
      <c r="L165" s="36"/>
      <c r="M165" s="36"/>
      <c r="N165" s="36"/>
    </row>
    <row r="166" spans="2:14" ht="18" customHeight="1">
      <c r="B166" s="36"/>
      <c r="C166" s="36"/>
      <c r="D166" s="36"/>
      <c r="E166" s="37"/>
      <c r="F166" s="37"/>
      <c r="G166" s="37"/>
      <c r="H166" s="37"/>
      <c r="I166" s="36"/>
      <c r="J166" s="36"/>
      <c r="K166" s="36"/>
      <c r="L166" s="36"/>
      <c r="M166" s="36"/>
      <c r="N166" s="36"/>
    </row>
    <row r="167" spans="2:14" ht="18" customHeight="1">
      <c r="B167" s="36"/>
      <c r="C167" s="36"/>
      <c r="D167" s="36"/>
      <c r="E167" s="37"/>
      <c r="F167" s="37"/>
      <c r="G167" s="37"/>
      <c r="H167" s="37"/>
      <c r="I167" s="36"/>
      <c r="J167" s="36"/>
      <c r="K167" s="36"/>
      <c r="L167" s="36"/>
      <c r="M167" s="36"/>
      <c r="N167" s="36"/>
    </row>
    <row r="168" spans="2:14" ht="18" customHeight="1">
      <c r="B168" s="36"/>
      <c r="C168" s="36"/>
      <c r="D168" s="36"/>
      <c r="E168" s="37"/>
      <c r="F168" s="37"/>
      <c r="G168" s="37"/>
      <c r="H168" s="37"/>
      <c r="I168" s="36"/>
      <c r="J168" s="36"/>
      <c r="K168" s="36"/>
      <c r="L168" s="36"/>
      <c r="M168" s="36"/>
      <c r="N168" s="36"/>
    </row>
    <row r="169" spans="2:14" ht="18" customHeight="1">
      <c r="B169" s="36"/>
      <c r="C169" s="36"/>
      <c r="D169" s="36"/>
      <c r="E169" s="37"/>
      <c r="F169" s="37"/>
      <c r="G169" s="37"/>
      <c r="H169" s="37"/>
      <c r="I169" s="36"/>
      <c r="J169" s="36"/>
      <c r="K169" s="36"/>
      <c r="L169" s="36"/>
      <c r="M169" s="36"/>
      <c r="N169" s="36"/>
    </row>
    <row r="170" spans="2:14" ht="18" customHeight="1">
      <c r="B170" s="36"/>
      <c r="C170" s="36"/>
      <c r="D170" s="36"/>
      <c r="E170" s="37"/>
      <c r="F170" s="37"/>
      <c r="G170" s="37"/>
      <c r="H170" s="37"/>
      <c r="I170" s="36"/>
      <c r="J170" s="36"/>
      <c r="K170" s="36"/>
      <c r="L170" s="36"/>
      <c r="M170" s="36"/>
      <c r="N170" s="36"/>
    </row>
    <row r="171" spans="2:14" ht="18" customHeight="1">
      <c r="B171" s="36"/>
      <c r="C171" s="36"/>
      <c r="D171" s="36"/>
      <c r="E171" s="37"/>
      <c r="F171" s="37"/>
      <c r="G171" s="37"/>
      <c r="H171" s="37"/>
      <c r="I171" s="36"/>
      <c r="J171" s="36"/>
      <c r="K171" s="36"/>
      <c r="L171" s="36"/>
      <c r="M171" s="36"/>
      <c r="N171" s="36"/>
    </row>
    <row r="172" spans="2:14" ht="18" customHeight="1">
      <c r="B172" s="36"/>
      <c r="C172" s="36"/>
      <c r="D172" s="36"/>
      <c r="E172" s="37"/>
      <c r="F172" s="37"/>
      <c r="G172" s="37"/>
      <c r="H172" s="37"/>
      <c r="I172" s="36"/>
      <c r="J172" s="36"/>
      <c r="K172" s="36"/>
      <c r="L172" s="36"/>
      <c r="M172" s="36"/>
      <c r="N172" s="36"/>
    </row>
    <row r="173" spans="2:14" ht="18" customHeight="1">
      <c r="B173" s="36"/>
      <c r="C173" s="36"/>
      <c r="D173" s="36"/>
      <c r="E173" s="37"/>
      <c r="F173" s="37"/>
      <c r="G173" s="37"/>
      <c r="H173" s="37"/>
      <c r="I173" s="36"/>
      <c r="J173" s="36"/>
      <c r="K173" s="36"/>
      <c r="L173" s="36"/>
      <c r="M173" s="36"/>
      <c r="N173" s="36"/>
    </row>
    <row r="174" spans="2:14" ht="18" customHeight="1">
      <c r="B174" s="36"/>
      <c r="C174" s="36"/>
      <c r="D174" s="36"/>
      <c r="E174" s="37"/>
      <c r="F174" s="37"/>
      <c r="G174" s="37"/>
      <c r="H174" s="37"/>
      <c r="I174" s="36"/>
      <c r="J174" s="36"/>
      <c r="K174" s="36"/>
      <c r="L174" s="36"/>
      <c r="M174" s="36"/>
      <c r="N174" s="36"/>
    </row>
    <row r="175" spans="2:14" ht="18" customHeight="1">
      <c r="B175" s="36"/>
      <c r="C175" s="36"/>
      <c r="D175" s="36"/>
      <c r="E175" s="37"/>
      <c r="F175" s="37"/>
      <c r="G175" s="37"/>
      <c r="H175" s="37"/>
      <c r="I175" s="36"/>
      <c r="J175" s="36"/>
      <c r="K175" s="36"/>
      <c r="L175" s="36"/>
      <c r="M175" s="36"/>
      <c r="N175" s="36"/>
    </row>
    <row r="176" spans="2:14" ht="18" customHeight="1">
      <c r="B176" s="36"/>
      <c r="C176" s="36"/>
      <c r="D176" s="36"/>
      <c r="E176" s="37"/>
      <c r="F176" s="37"/>
      <c r="G176" s="37"/>
      <c r="H176" s="37"/>
      <c r="I176" s="36"/>
      <c r="J176" s="36"/>
      <c r="K176" s="36"/>
      <c r="L176" s="36"/>
      <c r="M176" s="36"/>
      <c r="N176" s="36"/>
    </row>
    <row r="177" spans="2:14" ht="18" customHeight="1">
      <c r="B177" s="36"/>
      <c r="C177" s="36"/>
      <c r="D177" s="36"/>
      <c r="E177" s="37"/>
      <c r="F177" s="37"/>
      <c r="G177" s="37"/>
      <c r="H177" s="37"/>
      <c r="I177" s="36"/>
      <c r="J177" s="36"/>
      <c r="K177" s="36"/>
      <c r="L177" s="36"/>
      <c r="M177" s="36"/>
      <c r="N177" s="36"/>
    </row>
    <row r="178" spans="2:14" ht="18" customHeight="1">
      <c r="B178" s="36"/>
      <c r="C178" s="36"/>
      <c r="D178" s="36"/>
      <c r="E178" s="37"/>
      <c r="F178" s="37"/>
      <c r="G178" s="37"/>
      <c r="H178" s="37"/>
      <c r="I178" s="36"/>
      <c r="J178" s="36"/>
      <c r="K178" s="36"/>
      <c r="L178" s="36"/>
      <c r="M178" s="36"/>
      <c r="N178" s="36"/>
    </row>
    <row r="179" spans="2:14" ht="18" customHeight="1">
      <c r="B179" s="36"/>
      <c r="C179" s="36"/>
      <c r="D179" s="36"/>
      <c r="E179" s="37"/>
      <c r="F179" s="37"/>
      <c r="G179" s="37"/>
      <c r="H179" s="37"/>
      <c r="I179" s="36"/>
      <c r="J179" s="36"/>
      <c r="K179" s="36"/>
      <c r="L179" s="36"/>
      <c r="M179" s="36"/>
      <c r="N179" s="36"/>
    </row>
    <row r="180" spans="2:14" ht="18" customHeight="1">
      <c r="B180" s="36"/>
      <c r="C180" s="36"/>
      <c r="D180" s="36"/>
      <c r="E180" s="37"/>
      <c r="F180" s="37"/>
      <c r="G180" s="37"/>
      <c r="H180" s="37"/>
      <c r="I180" s="36"/>
      <c r="J180" s="36"/>
      <c r="K180" s="36"/>
      <c r="L180" s="36"/>
      <c r="M180" s="36"/>
      <c r="N180" s="36"/>
    </row>
    <row r="181" spans="2:14" ht="18" customHeight="1">
      <c r="B181" s="36"/>
      <c r="C181" s="36"/>
      <c r="D181" s="36"/>
      <c r="E181" s="37"/>
      <c r="F181" s="37"/>
      <c r="G181" s="37"/>
      <c r="H181" s="37"/>
      <c r="I181" s="36"/>
      <c r="J181" s="36"/>
      <c r="K181" s="36"/>
      <c r="L181" s="36"/>
      <c r="M181" s="36"/>
      <c r="N181" s="36"/>
    </row>
    <row r="182" spans="2:14" ht="18" customHeight="1">
      <c r="B182" s="36"/>
      <c r="C182" s="36"/>
      <c r="D182" s="36"/>
      <c r="E182" s="37"/>
      <c r="F182" s="37"/>
      <c r="G182" s="37"/>
      <c r="H182" s="37"/>
      <c r="I182" s="36"/>
      <c r="J182" s="36"/>
      <c r="K182" s="36"/>
      <c r="L182" s="36"/>
      <c r="M182" s="36"/>
      <c r="N182" s="36"/>
    </row>
    <row r="183" spans="2:14" ht="18" customHeight="1">
      <c r="B183" s="36"/>
      <c r="C183" s="36"/>
      <c r="D183" s="36"/>
      <c r="E183" s="37"/>
      <c r="F183" s="37"/>
      <c r="G183" s="37"/>
      <c r="H183" s="37"/>
      <c r="I183" s="36"/>
      <c r="J183" s="36"/>
      <c r="K183" s="36"/>
      <c r="L183" s="36"/>
      <c r="M183" s="36"/>
      <c r="N183" s="36"/>
    </row>
    <row r="184" spans="2:14" ht="18" customHeight="1">
      <c r="B184" s="36"/>
      <c r="C184" s="36"/>
      <c r="D184" s="36"/>
      <c r="E184" s="37"/>
      <c r="F184" s="37"/>
      <c r="G184" s="37"/>
      <c r="H184" s="37"/>
      <c r="I184" s="36"/>
      <c r="J184" s="36"/>
      <c r="K184" s="36"/>
      <c r="L184" s="36"/>
      <c r="M184" s="36"/>
      <c r="N184" s="36"/>
    </row>
    <row r="185" spans="2:14" ht="18" customHeight="1">
      <c r="B185" s="36"/>
      <c r="C185" s="36"/>
      <c r="D185" s="36"/>
      <c r="E185" s="37"/>
      <c r="F185" s="37"/>
      <c r="G185" s="37"/>
      <c r="H185" s="37"/>
      <c r="I185" s="36"/>
      <c r="J185" s="36"/>
      <c r="K185" s="36"/>
      <c r="L185" s="36"/>
      <c r="M185" s="36"/>
      <c r="N185" s="36"/>
    </row>
    <row r="186" spans="2:14" ht="18" customHeight="1">
      <c r="B186" s="36"/>
      <c r="C186" s="36"/>
      <c r="D186" s="36"/>
      <c r="E186" s="37"/>
      <c r="F186" s="37"/>
      <c r="G186" s="37"/>
      <c r="H186" s="37"/>
      <c r="I186" s="36"/>
      <c r="J186" s="36"/>
      <c r="K186" s="36"/>
      <c r="L186" s="36"/>
      <c r="M186" s="36"/>
      <c r="N186" s="36"/>
    </row>
    <row r="187" spans="2:14" ht="18" customHeight="1">
      <c r="B187" s="36"/>
      <c r="C187" s="36"/>
      <c r="D187" s="36"/>
      <c r="E187" s="37"/>
      <c r="F187" s="37"/>
      <c r="G187" s="37"/>
      <c r="H187" s="37"/>
      <c r="I187" s="36"/>
      <c r="J187" s="36"/>
      <c r="K187" s="36"/>
      <c r="L187" s="36"/>
      <c r="M187" s="36"/>
      <c r="N187" s="36"/>
    </row>
    <row r="188" spans="2:14" ht="18" customHeight="1">
      <c r="B188" s="36"/>
      <c r="C188" s="36"/>
      <c r="D188" s="36"/>
      <c r="E188" s="37"/>
      <c r="F188" s="37"/>
      <c r="G188" s="37"/>
      <c r="H188" s="37"/>
      <c r="I188" s="36"/>
      <c r="J188" s="36"/>
      <c r="K188" s="36"/>
      <c r="L188" s="36"/>
      <c r="M188" s="36"/>
      <c r="N188" s="36"/>
    </row>
    <row r="189" spans="2:14" ht="18" customHeight="1">
      <c r="B189" s="36"/>
      <c r="C189" s="36"/>
      <c r="D189" s="36"/>
      <c r="E189" s="37"/>
      <c r="F189" s="37"/>
      <c r="G189" s="37"/>
      <c r="H189" s="37"/>
      <c r="I189" s="36"/>
      <c r="J189" s="36"/>
      <c r="K189" s="36"/>
      <c r="L189" s="36"/>
      <c r="M189" s="36"/>
      <c r="N189" s="36"/>
    </row>
    <row r="190" spans="2:14" ht="18" customHeight="1">
      <c r="B190" s="36"/>
      <c r="C190" s="36"/>
      <c r="D190" s="36"/>
      <c r="E190" s="37"/>
      <c r="F190" s="37"/>
      <c r="G190" s="37"/>
      <c r="H190" s="37"/>
      <c r="I190" s="36"/>
      <c r="J190" s="36"/>
      <c r="K190" s="36"/>
      <c r="L190" s="36"/>
      <c r="M190" s="36"/>
      <c r="N190" s="36"/>
    </row>
    <row r="191" spans="2:14" ht="18" customHeight="1">
      <c r="B191" s="36"/>
      <c r="C191" s="36"/>
      <c r="D191" s="36"/>
      <c r="E191" s="37"/>
      <c r="F191" s="37"/>
      <c r="G191" s="37"/>
      <c r="H191" s="37"/>
      <c r="I191" s="36"/>
      <c r="J191" s="36"/>
      <c r="K191" s="36"/>
      <c r="L191" s="36"/>
      <c r="M191" s="36"/>
      <c r="N191" s="36"/>
    </row>
    <row r="192" spans="2:14" ht="18" customHeight="1">
      <c r="B192" s="36"/>
      <c r="C192" s="36"/>
      <c r="D192" s="36"/>
      <c r="E192" s="37"/>
      <c r="F192" s="37"/>
      <c r="G192" s="37"/>
      <c r="H192" s="37"/>
      <c r="I192" s="36"/>
      <c r="J192" s="36"/>
      <c r="K192" s="36"/>
      <c r="L192" s="36"/>
      <c r="M192" s="36"/>
      <c r="N192" s="36"/>
    </row>
    <row r="193" spans="2:14" ht="18" customHeight="1">
      <c r="B193" s="36"/>
      <c r="C193" s="36"/>
      <c r="D193" s="36"/>
      <c r="E193" s="37"/>
      <c r="F193" s="37"/>
      <c r="G193" s="37"/>
      <c r="H193" s="37"/>
      <c r="I193" s="36"/>
      <c r="J193" s="36"/>
      <c r="K193" s="36"/>
      <c r="L193" s="36"/>
      <c r="M193" s="36"/>
      <c r="N193" s="36"/>
    </row>
    <row r="194" spans="2:14" ht="18" customHeight="1">
      <c r="B194" s="36"/>
      <c r="C194" s="36"/>
      <c r="D194" s="36"/>
      <c r="E194" s="37"/>
      <c r="F194" s="37"/>
      <c r="G194" s="37"/>
      <c r="H194" s="37"/>
      <c r="I194" s="36"/>
      <c r="J194" s="36"/>
      <c r="K194" s="36"/>
      <c r="L194" s="36"/>
      <c r="M194" s="36"/>
      <c r="N194" s="36"/>
    </row>
    <row r="195" spans="2:14" ht="18" customHeight="1">
      <c r="B195" s="36"/>
      <c r="C195" s="36"/>
      <c r="D195" s="36"/>
      <c r="E195" s="37"/>
      <c r="F195" s="37"/>
      <c r="G195" s="37"/>
      <c r="H195" s="37"/>
      <c r="I195" s="36"/>
      <c r="J195" s="36"/>
      <c r="K195" s="36"/>
      <c r="L195" s="36"/>
      <c r="M195" s="36"/>
      <c r="N195" s="36"/>
    </row>
    <row r="196" spans="2:14" ht="18" customHeight="1">
      <c r="B196" s="36"/>
      <c r="C196" s="36"/>
      <c r="D196" s="36"/>
      <c r="E196" s="37"/>
      <c r="F196" s="37"/>
      <c r="G196" s="37"/>
      <c r="H196" s="37"/>
      <c r="I196" s="36"/>
      <c r="J196" s="36"/>
      <c r="K196" s="36"/>
      <c r="L196" s="36"/>
      <c r="M196" s="36"/>
      <c r="N196" s="36"/>
    </row>
    <row r="197" spans="2:14" ht="18" customHeight="1">
      <c r="B197" s="36"/>
      <c r="C197" s="36"/>
      <c r="D197" s="36"/>
      <c r="E197" s="37"/>
      <c r="F197" s="37"/>
      <c r="G197" s="37"/>
      <c r="H197" s="37"/>
      <c r="I197" s="36"/>
      <c r="J197" s="36"/>
      <c r="K197" s="36"/>
      <c r="L197" s="36"/>
      <c r="M197" s="36"/>
      <c r="N197" s="36"/>
    </row>
    <row r="198" spans="2:14" ht="18" customHeight="1">
      <c r="B198" s="36"/>
      <c r="C198" s="36"/>
      <c r="D198" s="36"/>
      <c r="E198" s="37"/>
      <c r="F198" s="37"/>
      <c r="G198" s="37"/>
      <c r="H198" s="37"/>
      <c r="I198" s="36"/>
      <c r="J198" s="36"/>
      <c r="K198" s="36"/>
      <c r="L198" s="36"/>
      <c r="M198" s="36"/>
      <c r="N198" s="36"/>
    </row>
    <row r="199" spans="2:14" ht="18" customHeight="1">
      <c r="B199" s="36"/>
      <c r="C199" s="36"/>
      <c r="D199" s="36"/>
      <c r="E199" s="37"/>
      <c r="F199" s="37"/>
      <c r="G199" s="37"/>
      <c r="H199" s="37"/>
      <c r="I199" s="36"/>
      <c r="J199" s="36"/>
      <c r="K199" s="36"/>
      <c r="L199" s="36"/>
      <c r="M199" s="36"/>
      <c r="N199" s="36"/>
    </row>
    <row r="200" spans="2:14" ht="18" customHeight="1">
      <c r="B200" s="36"/>
      <c r="C200" s="36"/>
      <c r="D200" s="36"/>
      <c r="E200" s="37"/>
      <c r="F200" s="37"/>
      <c r="G200" s="37"/>
      <c r="H200" s="37"/>
      <c r="I200" s="36"/>
      <c r="J200" s="36"/>
      <c r="K200" s="36"/>
      <c r="L200" s="36"/>
      <c r="M200" s="36"/>
      <c r="N200" s="36"/>
    </row>
    <row r="201" spans="2:14" ht="18" customHeight="1">
      <c r="B201" s="36"/>
      <c r="C201" s="36"/>
      <c r="D201" s="36"/>
      <c r="E201" s="37"/>
      <c r="F201" s="37"/>
      <c r="G201" s="37"/>
      <c r="H201" s="37"/>
      <c r="I201" s="36"/>
      <c r="J201" s="36"/>
      <c r="K201" s="36"/>
      <c r="L201" s="36"/>
      <c r="M201" s="36"/>
      <c r="N201" s="36"/>
    </row>
    <row r="202" spans="2:14" ht="18" customHeight="1">
      <c r="B202" s="36"/>
      <c r="C202" s="36"/>
      <c r="D202" s="36"/>
      <c r="E202" s="37"/>
      <c r="F202" s="37"/>
      <c r="G202" s="37"/>
      <c r="H202" s="37"/>
      <c r="I202" s="36"/>
      <c r="J202" s="36"/>
      <c r="K202" s="36"/>
      <c r="L202" s="36"/>
      <c r="M202" s="36"/>
      <c r="N202" s="36"/>
    </row>
    <row r="203" spans="2:14" ht="18" customHeight="1">
      <c r="B203" s="36"/>
      <c r="C203" s="36"/>
      <c r="D203" s="36"/>
      <c r="E203" s="37"/>
      <c r="F203" s="37"/>
      <c r="G203" s="37"/>
      <c r="H203" s="37"/>
      <c r="I203" s="36"/>
      <c r="J203" s="36"/>
      <c r="K203" s="36"/>
      <c r="L203" s="36"/>
      <c r="M203" s="36"/>
      <c r="N203" s="36"/>
    </row>
    <row r="204" spans="2:14" ht="18" customHeight="1">
      <c r="B204" s="36"/>
      <c r="C204" s="36"/>
      <c r="D204" s="36"/>
      <c r="E204" s="37"/>
      <c r="F204" s="37"/>
      <c r="G204" s="37"/>
      <c r="H204" s="37"/>
      <c r="I204" s="36"/>
      <c r="J204" s="36"/>
      <c r="K204" s="36"/>
      <c r="L204" s="36"/>
      <c r="M204" s="36"/>
      <c r="N204" s="36"/>
    </row>
    <row r="205" spans="2:14" ht="18" customHeight="1">
      <c r="B205" s="36"/>
      <c r="C205" s="36"/>
      <c r="D205" s="36"/>
      <c r="E205" s="37"/>
      <c r="F205" s="37"/>
      <c r="G205" s="37"/>
      <c r="H205" s="37"/>
      <c r="I205" s="36"/>
      <c r="J205" s="36"/>
      <c r="K205" s="36"/>
      <c r="L205" s="36"/>
      <c r="M205" s="36"/>
      <c r="N205" s="36"/>
    </row>
    <row r="206" spans="2:14" ht="18" customHeight="1">
      <c r="B206" s="36"/>
      <c r="C206" s="36"/>
      <c r="D206" s="36"/>
      <c r="E206" s="37"/>
      <c r="F206" s="37"/>
      <c r="G206" s="37"/>
      <c r="H206" s="37"/>
      <c r="I206" s="36"/>
      <c r="J206" s="36"/>
      <c r="K206" s="36"/>
      <c r="L206" s="36"/>
      <c r="M206" s="36"/>
      <c r="N206" s="36"/>
    </row>
    <row r="207" spans="2:14" ht="18" customHeight="1">
      <c r="B207" s="36"/>
      <c r="C207" s="36"/>
      <c r="D207" s="36"/>
      <c r="E207" s="37"/>
      <c r="F207" s="37"/>
      <c r="G207" s="37"/>
      <c r="H207" s="37"/>
      <c r="I207" s="36"/>
      <c r="J207" s="36"/>
      <c r="K207" s="36"/>
      <c r="L207" s="36"/>
      <c r="M207" s="36"/>
      <c r="N207" s="36"/>
    </row>
  </sheetData>
  <autoFilter ref="B7"/>
  <mergeCells count="5">
    <mergeCell ref="A1:O2"/>
    <mergeCell ref="A3:O3"/>
    <mergeCell ref="A4:C4"/>
    <mergeCell ref="D4:O4"/>
    <mergeCell ref="A6:O6"/>
  </mergeCells>
  <hyperlinks>
    <hyperlink ref="A4" location="PANO!A1" display="☰ MENÜ / PANO"/>
  </hyperlink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7365D"/>
  </sheetPr>
  <dimension ref="A1:N107"/>
  <sheetViews>
    <sheetView showGridLines="0" workbookViewId="0">
      <pane ySplit="4" topLeftCell="A5" activePane="bottomLeft" state="frozen"/>
      <selection pane="bottomLeft"/>
    </sheetView>
  </sheetViews>
  <sheetFormatPr defaultRowHeight="18" customHeight="1"/>
  <cols>
    <col min="1" max="1" width="3.7109375" customWidth="1"/>
    <col min="2" max="2" width="12.7109375" customWidth="1"/>
    <col min="3" max="4" width="22.7109375" customWidth="1"/>
    <col min="5" max="5" width="26.7109375" customWidth="1"/>
    <col min="6" max="6" width="18.7109375" customWidth="1"/>
    <col min="7" max="7" width="14.7109375" customWidth="1"/>
    <col min="8" max="11" width="18.7109375" customWidth="1"/>
    <col min="12" max="12" width="16.7109375" customWidth="1"/>
    <col min="13" max="13" width="28.7109375" customWidth="1"/>
    <col min="14" max="14" width="3.7109375" customWidth="1"/>
  </cols>
  <sheetData>
    <row r="1" spans="1:14" ht="28" customHeight="1">
      <c r="A1" s="1" t="s">
        <v>210</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211</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212</v>
      </c>
      <c r="B6" s="13"/>
      <c r="C6" s="13"/>
      <c r="D6" s="13"/>
      <c r="E6" s="13"/>
      <c r="F6" s="13"/>
      <c r="G6" s="13"/>
      <c r="H6" s="13"/>
      <c r="I6" s="13"/>
      <c r="J6" s="13"/>
      <c r="K6" s="13"/>
      <c r="L6" s="13"/>
      <c r="M6" s="13"/>
      <c r="N6" s="13"/>
    </row>
    <row r="7" spans="1:14" ht="18" customHeight="1">
      <c r="B7" s="25" t="s">
        <v>213</v>
      </c>
      <c r="C7" s="25" t="s">
        <v>214</v>
      </c>
      <c r="D7" s="25" t="s">
        <v>144</v>
      </c>
      <c r="E7" s="25" t="s">
        <v>215</v>
      </c>
      <c r="F7" s="25" t="s">
        <v>216</v>
      </c>
      <c r="G7" s="25" t="s">
        <v>217</v>
      </c>
      <c r="H7" s="25" t="s">
        <v>218</v>
      </c>
      <c r="I7" s="25" t="s">
        <v>219</v>
      </c>
      <c r="J7" s="25" t="s">
        <v>220</v>
      </c>
      <c r="K7" s="25" t="s">
        <v>221</v>
      </c>
      <c r="L7" s="25" t="s">
        <v>154</v>
      </c>
      <c r="M7" s="25" t="s">
        <v>222</v>
      </c>
    </row>
    <row r="8" spans="1:14" ht="18" customHeight="1">
      <c r="B8" s="36" t="s">
        <v>223</v>
      </c>
      <c r="C8" s="36" t="s">
        <v>224</v>
      </c>
      <c r="D8" s="36" t="s">
        <v>118</v>
      </c>
      <c r="E8" s="36" t="s">
        <v>225</v>
      </c>
      <c r="F8" s="37">
        <v>30000000</v>
      </c>
      <c r="G8" s="43">
        <v>0.3</v>
      </c>
      <c r="H8" s="41">
        <f>IFERROR(F8*(1-G8),0)</f>
        <v>0</v>
      </c>
      <c r="I8" s="37">
        <v>12000000</v>
      </c>
      <c r="J8" s="41">
        <f>MAX(0,H8-I8)</f>
        <v>0</v>
      </c>
      <c r="K8" s="36" t="s">
        <v>226</v>
      </c>
      <c r="L8" s="36" t="s">
        <v>164</v>
      </c>
      <c r="M8" s="29">
        <f>IF(B8="","",IF(COUNTIF($B$8:$B$107,B8)&gt;1,"UYARI: Teminat ID mükerrer",IF(I8&gt;H8,"KRİTİK: Tahsis net değeri aşıyor","OK")))</f>
        <v>0</v>
      </c>
    </row>
    <row r="9" spans="1:14" ht="18" customHeight="1">
      <c r="B9" s="36" t="s">
        <v>227</v>
      </c>
      <c r="C9" s="36" t="s">
        <v>228</v>
      </c>
      <c r="D9" s="36" t="s">
        <v>125</v>
      </c>
      <c r="E9" s="36" t="s">
        <v>229</v>
      </c>
      <c r="F9" s="37">
        <v>2500000</v>
      </c>
      <c r="G9" s="43">
        <v>0</v>
      </c>
      <c r="H9" s="41">
        <f>IFERROR(F9*(1-G9),0)</f>
        <v>0</v>
      </c>
      <c r="I9" s="37">
        <v>2500000</v>
      </c>
      <c r="J9" s="41">
        <f>MAX(0,H9-I9)</f>
        <v>0</v>
      </c>
      <c r="K9" s="36" t="s">
        <v>230</v>
      </c>
      <c r="L9" s="36" t="s">
        <v>164</v>
      </c>
      <c r="M9" s="29">
        <f>IF(B9="","",IF(COUNTIF($B$8:$B$107,B9)&gt;1,"UYARI: Teminat ID mükerrer",IF(I9&gt;H9,"KRİTİK: Tahsis net değeri aşıyor","OK")))</f>
        <v>0</v>
      </c>
    </row>
    <row r="10" spans="1:14" ht="18" customHeight="1">
      <c r="B10" s="36" t="s">
        <v>231</v>
      </c>
      <c r="C10" s="36" t="s">
        <v>232</v>
      </c>
      <c r="D10" s="36" t="s">
        <v>129</v>
      </c>
      <c r="E10" s="36" t="s">
        <v>233</v>
      </c>
      <c r="F10" s="37">
        <v>10000000</v>
      </c>
      <c r="G10" s="43">
        <v>0.5</v>
      </c>
      <c r="H10" s="41">
        <f>IFERROR(F10*(1-G10),0)</f>
        <v>0</v>
      </c>
      <c r="I10" s="37">
        <v>4000000</v>
      </c>
      <c r="J10" s="41">
        <f>MAX(0,H10-I10)</f>
        <v>0</v>
      </c>
      <c r="K10" s="36" t="s">
        <v>234</v>
      </c>
      <c r="L10" s="36" t="s">
        <v>164</v>
      </c>
      <c r="M10" s="29">
        <f>IF(B10="","",IF(COUNTIF($B$8:$B$107,B10)&gt;1,"UYARI: Teminat ID mükerrer",IF(I10&gt;H10,"KRİTİK: Tahsis net değeri aşıyor","OK")))</f>
        <v>0</v>
      </c>
    </row>
    <row r="11" spans="1:14" ht="18" customHeight="1">
      <c r="B11" s="36"/>
      <c r="C11" s="36"/>
      <c r="D11" s="36"/>
      <c r="E11" s="36"/>
      <c r="F11" s="37"/>
      <c r="G11" s="36"/>
      <c r="H11" s="41">
        <f>IFERROR(F11*(1-G11),0)</f>
        <v>0</v>
      </c>
      <c r="I11" s="37"/>
      <c r="J11" s="41">
        <f>MAX(0,H11-I11)</f>
        <v>0</v>
      </c>
      <c r="K11" s="36"/>
      <c r="L11" s="36"/>
      <c r="M11" s="29">
        <f>IF(B11="","",IF(COUNTIF($B$8:$B$107,B11)&gt;1,"UYARI: Teminat ID mükerrer",IF(I11&gt;H11,"KRİTİK: Tahsis net değeri aşıyor","OK")))</f>
        <v>0</v>
      </c>
    </row>
    <row r="12" spans="1:14" ht="18" customHeight="1">
      <c r="B12" s="36"/>
      <c r="C12" s="36"/>
      <c r="D12" s="36"/>
      <c r="E12" s="36"/>
      <c r="F12" s="37"/>
      <c r="G12" s="36"/>
      <c r="H12" s="41">
        <f>IFERROR(F12*(1-G12),0)</f>
        <v>0</v>
      </c>
      <c r="I12" s="37"/>
      <c r="J12" s="41">
        <f>MAX(0,H12-I12)</f>
        <v>0</v>
      </c>
      <c r="K12" s="36"/>
      <c r="L12" s="36"/>
      <c r="M12" s="29">
        <f>IF(B12="","",IF(COUNTIF($B$8:$B$107,B12)&gt;1,"UYARI: Teminat ID mükerrer",IF(I12&gt;H12,"KRİTİK: Tahsis net değeri aşıyor","OK")))</f>
        <v>0</v>
      </c>
    </row>
    <row r="13" spans="1:14" ht="18" customHeight="1">
      <c r="B13" s="36"/>
      <c r="C13" s="36"/>
      <c r="D13" s="36"/>
      <c r="E13" s="36"/>
      <c r="F13" s="37"/>
      <c r="G13" s="36"/>
      <c r="H13" s="41">
        <f>IFERROR(F13*(1-G13),0)</f>
        <v>0</v>
      </c>
      <c r="I13" s="37"/>
      <c r="J13" s="41">
        <f>MAX(0,H13-I13)</f>
        <v>0</v>
      </c>
      <c r="K13" s="36"/>
      <c r="L13" s="36"/>
      <c r="M13" s="29">
        <f>IF(B13="","",IF(COUNTIF($B$8:$B$107,B13)&gt;1,"UYARI: Teminat ID mükerrer",IF(I13&gt;H13,"KRİTİK: Tahsis net değeri aşıyor","OK")))</f>
        <v>0</v>
      </c>
    </row>
    <row r="14" spans="1:14" ht="18" customHeight="1">
      <c r="B14" s="36"/>
      <c r="C14" s="36"/>
      <c r="D14" s="36"/>
      <c r="E14" s="36"/>
      <c r="F14" s="37"/>
      <c r="G14" s="36"/>
      <c r="H14" s="41">
        <f>IFERROR(F14*(1-G14),0)</f>
        <v>0</v>
      </c>
      <c r="I14" s="37"/>
      <c r="J14" s="41">
        <f>MAX(0,H14-I14)</f>
        <v>0</v>
      </c>
      <c r="K14" s="36"/>
      <c r="L14" s="36"/>
      <c r="M14" s="29">
        <f>IF(B14="","",IF(COUNTIF($B$8:$B$107,B14)&gt;1,"UYARI: Teminat ID mükerrer",IF(I14&gt;H14,"KRİTİK: Tahsis net değeri aşıyor","OK")))</f>
        <v>0</v>
      </c>
    </row>
    <row r="15" spans="1:14" ht="18" customHeight="1">
      <c r="B15" s="36"/>
      <c r="C15" s="36"/>
      <c r="D15" s="36"/>
      <c r="E15" s="36"/>
      <c r="F15" s="37"/>
      <c r="G15" s="36"/>
      <c r="H15" s="41">
        <f>IFERROR(F15*(1-G15),0)</f>
        <v>0</v>
      </c>
      <c r="I15" s="37"/>
      <c r="J15" s="41">
        <f>MAX(0,H15-I15)</f>
        <v>0</v>
      </c>
      <c r="K15" s="36"/>
      <c r="L15" s="36"/>
      <c r="M15" s="29">
        <f>IF(B15="","",IF(COUNTIF($B$8:$B$107,B15)&gt;1,"UYARI: Teminat ID mükerrer",IF(I15&gt;H15,"KRİTİK: Tahsis net değeri aşıyor","OK")))</f>
        <v>0</v>
      </c>
    </row>
    <row r="16" spans="1:14" ht="18" customHeight="1">
      <c r="B16" s="36"/>
      <c r="C16" s="36"/>
      <c r="D16" s="36"/>
      <c r="E16" s="36"/>
      <c r="F16" s="37"/>
      <c r="G16" s="36"/>
      <c r="H16" s="41">
        <f>IFERROR(F16*(1-G16),0)</f>
        <v>0</v>
      </c>
      <c r="I16" s="37"/>
      <c r="J16" s="41">
        <f>MAX(0,H16-I16)</f>
        <v>0</v>
      </c>
      <c r="K16" s="36"/>
      <c r="L16" s="36"/>
      <c r="M16" s="29">
        <f>IF(B16="","",IF(COUNTIF($B$8:$B$107,B16)&gt;1,"UYARI: Teminat ID mükerrer",IF(I16&gt;H16,"KRİTİK: Tahsis net değeri aşıyor","OK")))</f>
        <v>0</v>
      </c>
    </row>
    <row r="17" spans="2:13" ht="18" customHeight="1">
      <c r="B17" s="36"/>
      <c r="C17" s="36"/>
      <c r="D17" s="36"/>
      <c r="E17" s="36"/>
      <c r="F17" s="37"/>
      <c r="G17" s="36"/>
      <c r="H17" s="41">
        <f>IFERROR(F17*(1-G17),0)</f>
        <v>0</v>
      </c>
      <c r="I17" s="37"/>
      <c r="J17" s="41">
        <f>MAX(0,H17-I17)</f>
        <v>0</v>
      </c>
      <c r="K17" s="36"/>
      <c r="L17" s="36"/>
      <c r="M17" s="29">
        <f>IF(B17="","",IF(COUNTIF($B$8:$B$107,B17)&gt;1,"UYARI: Teminat ID mükerrer",IF(I17&gt;H17,"KRİTİK: Tahsis net değeri aşıyor","OK")))</f>
        <v>0</v>
      </c>
    </row>
    <row r="18" spans="2:13" ht="18" customHeight="1">
      <c r="B18" s="36"/>
      <c r="C18" s="36"/>
      <c r="D18" s="36"/>
      <c r="E18" s="36"/>
      <c r="F18" s="37"/>
      <c r="G18" s="36"/>
      <c r="H18" s="41">
        <f>IFERROR(F18*(1-G18),0)</f>
        <v>0</v>
      </c>
      <c r="I18" s="37"/>
      <c r="J18" s="41">
        <f>MAX(0,H18-I18)</f>
        <v>0</v>
      </c>
      <c r="K18" s="36"/>
      <c r="L18" s="36"/>
      <c r="M18" s="29">
        <f>IF(B18="","",IF(COUNTIF($B$8:$B$107,B18)&gt;1,"UYARI: Teminat ID mükerrer",IF(I18&gt;H18,"KRİTİK: Tahsis net değeri aşıyor","OK")))</f>
        <v>0</v>
      </c>
    </row>
    <row r="19" spans="2:13" ht="18" customHeight="1">
      <c r="B19" s="36"/>
      <c r="C19" s="36"/>
      <c r="D19" s="36"/>
      <c r="E19" s="36"/>
      <c r="F19" s="37"/>
      <c r="G19" s="36"/>
      <c r="H19" s="41">
        <f>IFERROR(F19*(1-G19),0)</f>
        <v>0</v>
      </c>
      <c r="I19" s="37"/>
      <c r="J19" s="41">
        <f>MAX(0,H19-I19)</f>
        <v>0</v>
      </c>
      <c r="K19" s="36"/>
      <c r="L19" s="36"/>
      <c r="M19" s="29">
        <f>IF(B19="","",IF(COUNTIF($B$8:$B$107,B19)&gt;1,"UYARI: Teminat ID mükerrer",IF(I19&gt;H19,"KRİTİK: Tahsis net değeri aşıyor","OK")))</f>
        <v>0</v>
      </c>
    </row>
    <row r="20" spans="2:13" ht="18" customHeight="1">
      <c r="B20" s="36"/>
      <c r="C20" s="36"/>
      <c r="D20" s="36"/>
      <c r="E20" s="36"/>
      <c r="F20" s="37"/>
      <c r="G20" s="36"/>
      <c r="H20" s="41">
        <f>IFERROR(F20*(1-G20),0)</f>
        <v>0</v>
      </c>
      <c r="I20" s="37"/>
      <c r="J20" s="41">
        <f>MAX(0,H20-I20)</f>
        <v>0</v>
      </c>
      <c r="K20" s="36"/>
      <c r="L20" s="36"/>
      <c r="M20" s="29">
        <f>IF(B20="","",IF(COUNTIF($B$8:$B$107,B20)&gt;1,"UYARI: Teminat ID mükerrer",IF(I20&gt;H20,"KRİTİK: Tahsis net değeri aşıyor","OK")))</f>
        <v>0</v>
      </c>
    </row>
    <row r="21" spans="2:13" ht="18" customHeight="1">
      <c r="B21" s="36"/>
      <c r="C21" s="36"/>
      <c r="D21" s="36"/>
      <c r="E21" s="36"/>
      <c r="F21" s="37"/>
      <c r="G21" s="36"/>
      <c r="H21" s="41">
        <f>IFERROR(F21*(1-G21),0)</f>
        <v>0</v>
      </c>
      <c r="I21" s="37"/>
      <c r="J21" s="41">
        <f>MAX(0,H21-I21)</f>
        <v>0</v>
      </c>
      <c r="K21" s="36"/>
      <c r="L21" s="36"/>
      <c r="M21" s="29">
        <f>IF(B21="","",IF(COUNTIF($B$8:$B$107,B21)&gt;1,"UYARI: Teminat ID mükerrer",IF(I21&gt;H21,"KRİTİK: Tahsis net değeri aşıyor","OK")))</f>
        <v>0</v>
      </c>
    </row>
    <row r="22" spans="2:13" ht="18" customHeight="1">
      <c r="B22" s="36"/>
      <c r="C22" s="36"/>
      <c r="D22" s="36"/>
      <c r="E22" s="36"/>
      <c r="F22" s="37"/>
      <c r="G22" s="36"/>
      <c r="H22" s="41">
        <f>IFERROR(F22*(1-G22),0)</f>
        <v>0</v>
      </c>
      <c r="I22" s="37"/>
      <c r="J22" s="41">
        <f>MAX(0,H22-I22)</f>
        <v>0</v>
      </c>
      <c r="K22" s="36"/>
      <c r="L22" s="36"/>
      <c r="M22" s="29">
        <f>IF(B22="","",IF(COUNTIF($B$8:$B$107,B22)&gt;1,"UYARI: Teminat ID mükerrer",IF(I22&gt;H22,"KRİTİK: Tahsis net değeri aşıyor","OK")))</f>
        <v>0</v>
      </c>
    </row>
    <row r="23" spans="2:13" ht="18" customHeight="1">
      <c r="B23" s="36"/>
      <c r="C23" s="36"/>
      <c r="D23" s="36"/>
      <c r="E23" s="36"/>
      <c r="F23" s="37"/>
      <c r="G23" s="36"/>
      <c r="H23" s="41">
        <f>IFERROR(F23*(1-G23),0)</f>
        <v>0</v>
      </c>
      <c r="I23" s="37"/>
      <c r="J23" s="41">
        <f>MAX(0,H23-I23)</f>
        <v>0</v>
      </c>
      <c r="K23" s="36"/>
      <c r="L23" s="36"/>
      <c r="M23" s="29">
        <f>IF(B23="","",IF(COUNTIF($B$8:$B$107,B23)&gt;1,"UYARI: Teminat ID mükerrer",IF(I23&gt;H23,"KRİTİK: Tahsis net değeri aşıyor","OK")))</f>
        <v>0</v>
      </c>
    </row>
    <row r="24" spans="2:13" ht="18" customHeight="1">
      <c r="B24" s="36"/>
      <c r="C24" s="36"/>
      <c r="D24" s="36"/>
      <c r="E24" s="36"/>
      <c r="F24" s="37"/>
      <c r="G24" s="36"/>
      <c r="H24" s="41">
        <f>IFERROR(F24*(1-G24),0)</f>
        <v>0</v>
      </c>
      <c r="I24" s="37"/>
      <c r="J24" s="41">
        <f>MAX(0,H24-I24)</f>
        <v>0</v>
      </c>
      <c r="K24" s="36"/>
      <c r="L24" s="36"/>
      <c r="M24" s="29">
        <f>IF(B24="","",IF(COUNTIF($B$8:$B$107,B24)&gt;1,"UYARI: Teminat ID mükerrer",IF(I24&gt;H24,"KRİTİK: Tahsis net değeri aşıyor","OK")))</f>
        <v>0</v>
      </c>
    </row>
    <row r="25" spans="2:13" ht="18" customHeight="1">
      <c r="B25" s="36"/>
      <c r="C25" s="36"/>
      <c r="D25" s="36"/>
      <c r="E25" s="36"/>
      <c r="F25" s="37"/>
      <c r="G25" s="36"/>
      <c r="H25" s="41">
        <f>IFERROR(F25*(1-G25),0)</f>
        <v>0</v>
      </c>
      <c r="I25" s="37"/>
      <c r="J25" s="41">
        <f>MAX(0,H25-I25)</f>
        <v>0</v>
      </c>
      <c r="K25" s="36"/>
      <c r="L25" s="36"/>
      <c r="M25" s="29">
        <f>IF(B25="","",IF(COUNTIF($B$8:$B$107,B25)&gt;1,"UYARI: Teminat ID mükerrer",IF(I25&gt;H25,"KRİTİK: Tahsis net değeri aşıyor","OK")))</f>
        <v>0</v>
      </c>
    </row>
    <row r="26" spans="2:13" ht="18" customHeight="1">
      <c r="B26" s="36"/>
      <c r="C26" s="36"/>
      <c r="D26" s="36"/>
      <c r="E26" s="36"/>
      <c r="F26" s="37"/>
      <c r="G26" s="36"/>
      <c r="H26" s="41">
        <f>IFERROR(F26*(1-G26),0)</f>
        <v>0</v>
      </c>
      <c r="I26" s="37"/>
      <c r="J26" s="41">
        <f>MAX(0,H26-I26)</f>
        <v>0</v>
      </c>
      <c r="K26" s="36"/>
      <c r="L26" s="36"/>
      <c r="M26" s="29">
        <f>IF(B26="","",IF(COUNTIF($B$8:$B$107,B26)&gt;1,"UYARI: Teminat ID mükerrer",IF(I26&gt;H26,"KRİTİK: Tahsis net değeri aşıyor","OK")))</f>
        <v>0</v>
      </c>
    </row>
    <row r="27" spans="2:13" ht="18" customHeight="1">
      <c r="B27" s="36"/>
      <c r="C27" s="36"/>
      <c r="D27" s="36"/>
      <c r="E27" s="36"/>
      <c r="F27" s="37"/>
      <c r="G27" s="36"/>
      <c r="H27" s="41">
        <f>IFERROR(F27*(1-G27),0)</f>
        <v>0</v>
      </c>
      <c r="I27" s="37"/>
      <c r="J27" s="41">
        <f>MAX(0,H27-I27)</f>
        <v>0</v>
      </c>
      <c r="K27" s="36"/>
      <c r="L27" s="36"/>
      <c r="M27" s="29">
        <f>IF(B27="","",IF(COUNTIF($B$8:$B$107,B27)&gt;1,"UYARI: Teminat ID mükerrer",IF(I27&gt;H27,"KRİTİK: Tahsis net değeri aşıyor","OK")))</f>
        <v>0</v>
      </c>
    </row>
    <row r="28" spans="2:13" ht="18" customHeight="1">
      <c r="B28" s="36"/>
      <c r="C28" s="36"/>
      <c r="D28" s="36"/>
      <c r="E28" s="36"/>
      <c r="F28" s="37"/>
      <c r="G28" s="36"/>
      <c r="H28" s="41">
        <f>IFERROR(F28*(1-G28),0)</f>
        <v>0</v>
      </c>
      <c r="I28" s="37"/>
      <c r="J28" s="41">
        <f>MAX(0,H28-I28)</f>
        <v>0</v>
      </c>
      <c r="K28" s="36"/>
      <c r="L28" s="36"/>
      <c r="M28" s="29">
        <f>IF(B28="","",IF(COUNTIF($B$8:$B$107,B28)&gt;1,"UYARI: Teminat ID mükerrer",IF(I28&gt;H28,"KRİTİK: Tahsis net değeri aşıyor","OK")))</f>
        <v>0</v>
      </c>
    </row>
    <row r="29" spans="2:13" ht="18" customHeight="1">
      <c r="B29" s="36"/>
      <c r="C29" s="36"/>
      <c r="D29" s="36"/>
      <c r="E29" s="36"/>
      <c r="F29" s="37"/>
      <c r="G29" s="36"/>
      <c r="H29" s="41">
        <f>IFERROR(F29*(1-G29),0)</f>
        <v>0</v>
      </c>
      <c r="I29" s="37"/>
      <c r="J29" s="41">
        <f>MAX(0,H29-I29)</f>
        <v>0</v>
      </c>
      <c r="K29" s="36"/>
      <c r="L29" s="36"/>
      <c r="M29" s="29">
        <f>IF(B29="","",IF(COUNTIF($B$8:$B$107,B29)&gt;1,"UYARI: Teminat ID mükerrer",IF(I29&gt;H29,"KRİTİK: Tahsis net değeri aşıyor","OK")))</f>
        <v>0</v>
      </c>
    </row>
    <row r="30" spans="2:13" ht="18" customHeight="1">
      <c r="B30" s="36"/>
      <c r="C30" s="36"/>
      <c r="D30" s="36"/>
      <c r="E30" s="36"/>
      <c r="F30" s="37"/>
      <c r="G30" s="36"/>
      <c r="H30" s="41">
        <f>IFERROR(F30*(1-G30),0)</f>
        <v>0</v>
      </c>
      <c r="I30" s="37"/>
      <c r="J30" s="41">
        <f>MAX(0,H30-I30)</f>
        <v>0</v>
      </c>
      <c r="K30" s="36"/>
      <c r="L30" s="36"/>
      <c r="M30" s="29">
        <f>IF(B30="","",IF(COUNTIF($B$8:$B$107,B30)&gt;1,"UYARI: Teminat ID mükerrer",IF(I30&gt;H30,"KRİTİK: Tahsis net değeri aşıyor","OK")))</f>
        <v>0</v>
      </c>
    </row>
    <row r="31" spans="2:13" ht="18" customHeight="1">
      <c r="B31" s="36"/>
      <c r="C31" s="36"/>
      <c r="D31" s="36"/>
      <c r="E31" s="36"/>
      <c r="F31" s="37"/>
      <c r="G31" s="36"/>
      <c r="H31" s="41">
        <f>IFERROR(F31*(1-G31),0)</f>
        <v>0</v>
      </c>
      <c r="I31" s="37"/>
      <c r="J31" s="41">
        <f>MAX(0,H31-I31)</f>
        <v>0</v>
      </c>
      <c r="K31" s="36"/>
      <c r="L31" s="36"/>
      <c r="M31" s="29">
        <f>IF(B31="","",IF(COUNTIF($B$8:$B$107,B31)&gt;1,"UYARI: Teminat ID mükerrer",IF(I31&gt;H31,"KRİTİK: Tahsis net değeri aşıyor","OK")))</f>
        <v>0</v>
      </c>
    </row>
    <row r="32" spans="2:13" ht="18" customHeight="1">
      <c r="B32" s="36"/>
      <c r="C32" s="36"/>
      <c r="D32" s="36"/>
      <c r="E32" s="36"/>
      <c r="F32" s="37"/>
      <c r="G32" s="36"/>
      <c r="H32" s="41">
        <f>IFERROR(F32*(1-G32),0)</f>
        <v>0</v>
      </c>
      <c r="I32" s="37"/>
      <c r="J32" s="41">
        <f>MAX(0,H32-I32)</f>
        <v>0</v>
      </c>
      <c r="K32" s="36"/>
      <c r="L32" s="36"/>
      <c r="M32" s="29">
        <f>IF(B32="","",IF(COUNTIF($B$8:$B$107,B32)&gt;1,"UYARI: Teminat ID mükerrer",IF(I32&gt;H32,"KRİTİK: Tahsis net değeri aşıyor","OK")))</f>
        <v>0</v>
      </c>
    </row>
    <row r="33" spans="2:13" ht="18" customHeight="1">
      <c r="B33" s="36"/>
      <c r="C33" s="36"/>
      <c r="D33" s="36"/>
      <c r="E33" s="36"/>
      <c r="F33" s="37"/>
      <c r="G33" s="36"/>
      <c r="H33" s="41">
        <f>IFERROR(F33*(1-G33),0)</f>
        <v>0</v>
      </c>
      <c r="I33" s="37"/>
      <c r="J33" s="41">
        <f>MAX(0,H33-I33)</f>
        <v>0</v>
      </c>
      <c r="K33" s="36"/>
      <c r="L33" s="36"/>
      <c r="M33" s="29">
        <f>IF(B33="","",IF(COUNTIF($B$8:$B$107,B33)&gt;1,"UYARI: Teminat ID mükerrer",IF(I33&gt;H33,"KRİTİK: Tahsis net değeri aşıyor","OK")))</f>
        <v>0</v>
      </c>
    </row>
    <row r="34" spans="2:13" ht="18" customHeight="1">
      <c r="B34" s="36"/>
      <c r="C34" s="36"/>
      <c r="D34" s="36"/>
      <c r="E34" s="36"/>
      <c r="F34" s="37"/>
      <c r="G34" s="36"/>
      <c r="H34" s="41">
        <f>IFERROR(F34*(1-G34),0)</f>
        <v>0</v>
      </c>
      <c r="I34" s="37"/>
      <c r="J34" s="41">
        <f>MAX(0,H34-I34)</f>
        <v>0</v>
      </c>
      <c r="K34" s="36"/>
      <c r="L34" s="36"/>
      <c r="M34" s="29">
        <f>IF(B34="","",IF(COUNTIF($B$8:$B$107,B34)&gt;1,"UYARI: Teminat ID mükerrer",IF(I34&gt;H34,"KRİTİK: Tahsis net değeri aşıyor","OK")))</f>
        <v>0</v>
      </c>
    </row>
    <row r="35" spans="2:13" ht="18" customHeight="1">
      <c r="B35" s="36"/>
      <c r="C35" s="36"/>
      <c r="D35" s="36"/>
      <c r="E35" s="36"/>
      <c r="F35" s="37"/>
      <c r="G35" s="36"/>
      <c r="H35" s="41">
        <f>IFERROR(F35*(1-G35),0)</f>
        <v>0</v>
      </c>
      <c r="I35" s="37"/>
      <c r="J35" s="41">
        <f>MAX(0,H35-I35)</f>
        <v>0</v>
      </c>
      <c r="K35" s="36"/>
      <c r="L35" s="36"/>
      <c r="M35" s="29">
        <f>IF(B35="","",IF(COUNTIF($B$8:$B$107,B35)&gt;1,"UYARI: Teminat ID mükerrer",IF(I35&gt;H35,"KRİTİK: Tahsis net değeri aşıyor","OK")))</f>
        <v>0</v>
      </c>
    </row>
    <row r="36" spans="2:13" ht="18" customHeight="1">
      <c r="B36" s="36"/>
      <c r="C36" s="36"/>
      <c r="D36" s="36"/>
      <c r="E36" s="36"/>
      <c r="F36" s="37"/>
      <c r="G36" s="36"/>
      <c r="H36" s="41">
        <f>IFERROR(F36*(1-G36),0)</f>
        <v>0</v>
      </c>
      <c r="I36" s="37"/>
      <c r="J36" s="41">
        <f>MAX(0,H36-I36)</f>
        <v>0</v>
      </c>
      <c r="K36" s="36"/>
      <c r="L36" s="36"/>
      <c r="M36" s="29">
        <f>IF(B36="","",IF(COUNTIF($B$8:$B$107,B36)&gt;1,"UYARI: Teminat ID mükerrer",IF(I36&gt;H36,"KRİTİK: Tahsis net değeri aşıyor","OK")))</f>
        <v>0</v>
      </c>
    </row>
    <row r="37" spans="2:13" ht="18" customHeight="1">
      <c r="B37" s="36"/>
      <c r="C37" s="36"/>
      <c r="D37" s="36"/>
      <c r="E37" s="36"/>
      <c r="F37" s="37"/>
      <c r="G37" s="36"/>
      <c r="H37" s="41">
        <f>IFERROR(F37*(1-G37),0)</f>
        <v>0</v>
      </c>
      <c r="I37" s="37"/>
      <c r="J37" s="41">
        <f>MAX(0,H37-I37)</f>
        <v>0</v>
      </c>
      <c r="K37" s="36"/>
      <c r="L37" s="36"/>
      <c r="M37" s="29">
        <f>IF(B37="","",IF(COUNTIF($B$8:$B$107,B37)&gt;1,"UYARI: Teminat ID mükerrer",IF(I37&gt;H37,"KRİTİK: Tahsis net değeri aşıyor","OK")))</f>
        <v>0</v>
      </c>
    </row>
    <row r="38" spans="2:13" ht="18" customHeight="1">
      <c r="B38" s="36"/>
      <c r="C38" s="36"/>
      <c r="D38" s="36"/>
      <c r="E38" s="36"/>
      <c r="F38" s="37"/>
      <c r="G38" s="36"/>
      <c r="H38" s="41">
        <f>IFERROR(F38*(1-G38),0)</f>
        <v>0</v>
      </c>
      <c r="I38" s="37"/>
      <c r="J38" s="41">
        <f>MAX(0,H38-I38)</f>
        <v>0</v>
      </c>
      <c r="K38" s="36"/>
      <c r="L38" s="36"/>
      <c r="M38" s="29">
        <f>IF(B38="","",IF(COUNTIF($B$8:$B$107,B38)&gt;1,"UYARI: Teminat ID mükerrer",IF(I38&gt;H38,"KRİTİK: Tahsis net değeri aşıyor","OK")))</f>
        <v>0</v>
      </c>
    </row>
    <row r="39" spans="2:13" ht="18" customHeight="1">
      <c r="B39" s="36"/>
      <c r="C39" s="36"/>
      <c r="D39" s="36"/>
      <c r="E39" s="36"/>
      <c r="F39" s="37"/>
      <c r="G39" s="36"/>
      <c r="H39" s="41">
        <f>IFERROR(F39*(1-G39),0)</f>
        <v>0</v>
      </c>
      <c r="I39" s="37"/>
      <c r="J39" s="41">
        <f>MAX(0,H39-I39)</f>
        <v>0</v>
      </c>
      <c r="K39" s="36"/>
      <c r="L39" s="36"/>
      <c r="M39" s="29">
        <f>IF(B39="","",IF(COUNTIF($B$8:$B$107,B39)&gt;1,"UYARI: Teminat ID mükerrer",IF(I39&gt;H39,"KRİTİK: Tahsis net değeri aşıyor","OK")))</f>
        <v>0</v>
      </c>
    </row>
    <row r="40" spans="2:13" ht="18" customHeight="1">
      <c r="B40" s="36"/>
      <c r="C40" s="36"/>
      <c r="D40" s="36"/>
      <c r="E40" s="36"/>
      <c r="F40" s="37"/>
      <c r="G40" s="36"/>
      <c r="H40" s="41">
        <f>IFERROR(F40*(1-G40),0)</f>
        <v>0</v>
      </c>
      <c r="I40" s="37"/>
      <c r="J40" s="41">
        <f>MAX(0,H40-I40)</f>
        <v>0</v>
      </c>
      <c r="K40" s="36"/>
      <c r="L40" s="36"/>
      <c r="M40" s="29">
        <f>IF(B40="","",IF(COUNTIF($B$8:$B$107,B40)&gt;1,"UYARI: Teminat ID mükerrer",IF(I40&gt;H40,"KRİTİK: Tahsis net değeri aşıyor","OK")))</f>
        <v>0</v>
      </c>
    </row>
    <row r="41" spans="2:13" ht="18" customHeight="1">
      <c r="B41" s="36"/>
      <c r="C41" s="36"/>
      <c r="D41" s="36"/>
      <c r="E41" s="36"/>
      <c r="F41" s="37"/>
      <c r="G41" s="36"/>
      <c r="H41" s="41">
        <f>IFERROR(F41*(1-G41),0)</f>
        <v>0</v>
      </c>
      <c r="I41" s="37"/>
      <c r="J41" s="41">
        <f>MAX(0,H41-I41)</f>
        <v>0</v>
      </c>
      <c r="K41" s="36"/>
      <c r="L41" s="36"/>
      <c r="M41" s="29">
        <f>IF(B41="","",IF(COUNTIF($B$8:$B$107,B41)&gt;1,"UYARI: Teminat ID mükerrer",IF(I41&gt;H41,"KRİTİK: Tahsis net değeri aşıyor","OK")))</f>
        <v>0</v>
      </c>
    </row>
    <row r="42" spans="2:13" ht="18" customHeight="1">
      <c r="B42" s="36"/>
      <c r="C42" s="36"/>
      <c r="D42" s="36"/>
      <c r="E42" s="36"/>
      <c r="F42" s="37"/>
      <c r="G42" s="36"/>
      <c r="H42" s="41">
        <f>IFERROR(F42*(1-G42),0)</f>
        <v>0</v>
      </c>
      <c r="I42" s="37"/>
      <c r="J42" s="41">
        <f>MAX(0,H42-I42)</f>
        <v>0</v>
      </c>
      <c r="K42" s="36"/>
      <c r="L42" s="36"/>
      <c r="M42" s="29">
        <f>IF(B42="","",IF(COUNTIF($B$8:$B$107,B42)&gt;1,"UYARI: Teminat ID mükerrer",IF(I42&gt;H42,"KRİTİK: Tahsis net değeri aşıyor","OK")))</f>
        <v>0</v>
      </c>
    </row>
    <row r="43" spans="2:13" ht="18" customHeight="1">
      <c r="B43" s="36"/>
      <c r="C43" s="36"/>
      <c r="D43" s="36"/>
      <c r="E43" s="36"/>
      <c r="F43" s="37"/>
      <c r="G43" s="36"/>
      <c r="H43" s="41">
        <f>IFERROR(F43*(1-G43),0)</f>
        <v>0</v>
      </c>
      <c r="I43" s="37"/>
      <c r="J43" s="41">
        <f>MAX(0,H43-I43)</f>
        <v>0</v>
      </c>
      <c r="K43" s="36"/>
      <c r="L43" s="36"/>
      <c r="M43" s="29">
        <f>IF(B43="","",IF(COUNTIF($B$8:$B$107,B43)&gt;1,"UYARI: Teminat ID mükerrer",IF(I43&gt;H43,"KRİTİK: Tahsis net değeri aşıyor","OK")))</f>
        <v>0</v>
      </c>
    </row>
    <row r="44" spans="2:13" ht="18" customHeight="1">
      <c r="B44" s="36"/>
      <c r="C44" s="36"/>
      <c r="D44" s="36"/>
      <c r="E44" s="36"/>
      <c r="F44" s="37"/>
      <c r="G44" s="36"/>
      <c r="H44" s="41">
        <f>IFERROR(F44*(1-G44),0)</f>
        <v>0</v>
      </c>
      <c r="I44" s="37"/>
      <c r="J44" s="41">
        <f>MAX(0,H44-I44)</f>
        <v>0</v>
      </c>
      <c r="K44" s="36"/>
      <c r="L44" s="36"/>
      <c r="M44" s="29">
        <f>IF(B44="","",IF(COUNTIF($B$8:$B$107,B44)&gt;1,"UYARI: Teminat ID mükerrer",IF(I44&gt;H44,"KRİTİK: Tahsis net değeri aşıyor","OK")))</f>
        <v>0</v>
      </c>
    </row>
    <row r="45" spans="2:13" ht="18" customHeight="1">
      <c r="B45" s="36"/>
      <c r="C45" s="36"/>
      <c r="D45" s="36"/>
      <c r="E45" s="36"/>
      <c r="F45" s="37"/>
      <c r="G45" s="36"/>
      <c r="H45" s="41">
        <f>IFERROR(F45*(1-G45),0)</f>
        <v>0</v>
      </c>
      <c r="I45" s="37"/>
      <c r="J45" s="41">
        <f>MAX(0,H45-I45)</f>
        <v>0</v>
      </c>
      <c r="K45" s="36"/>
      <c r="L45" s="36"/>
      <c r="M45" s="29">
        <f>IF(B45="","",IF(COUNTIF($B$8:$B$107,B45)&gt;1,"UYARI: Teminat ID mükerrer",IF(I45&gt;H45,"KRİTİK: Tahsis net değeri aşıyor","OK")))</f>
        <v>0</v>
      </c>
    </row>
    <row r="46" spans="2:13" ht="18" customHeight="1">
      <c r="B46" s="36"/>
      <c r="C46" s="36"/>
      <c r="D46" s="36"/>
      <c r="E46" s="36"/>
      <c r="F46" s="37"/>
      <c r="G46" s="36"/>
      <c r="H46" s="41">
        <f>IFERROR(F46*(1-G46),0)</f>
        <v>0</v>
      </c>
      <c r="I46" s="37"/>
      <c r="J46" s="41">
        <f>MAX(0,H46-I46)</f>
        <v>0</v>
      </c>
      <c r="K46" s="36"/>
      <c r="L46" s="36"/>
      <c r="M46" s="29">
        <f>IF(B46="","",IF(COUNTIF($B$8:$B$107,B46)&gt;1,"UYARI: Teminat ID mükerrer",IF(I46&gt;H46,"KRİTİK: Tahsis net değeri aşıyor","OK")))</f>
        <v>0</v>
      </c>
    </row>
    <row r="47" spans="2:13" ht="18" customHeight="1">
      <c r="B47" s="36"/>
      <c r="C47" s="36"/>
      <c r="D47" s="36"/>
      <c r="E47" s="36"/>
      <c r="F47" s="37"/>
      <c r="G47" s="36"/>
      <c r="H47" s="41">
        <f>IFERROR(F47*(1-G47),0)</f>
        <v>0</v>
      </c>
      <c r="I47" s="37"/>
      <c r="J47" s="41">
        <f>MAX(0,H47-I47)</f>
        <v>0</v>
      </c>
      <c r="K47" s="36"/>
      <c r="L47" s="36"/>
      <c r="M47" s="29">
        <f>IF(B47="","",IF(COUNTIF($B$8:$B$107,B47)&gt;1,"UYARI: Teminat ID mükerrer",IF(I47&gt;H47,"KRİTİK: Tahsis net değeri aşıyor","OK")))</f>
        <v>0</v>
      </c>
    </row>
    <row r="48" spans="2:13" ht="18" customHeight="1">
      <c r="B48" s="36"/>
      <c r="C48" s="36"/>
      <c r="D48" s="36"/>
      <c r="E48" s="36"/>
      <c r="F48" s="37"/>
      <c r="G48" s="36"/>
      <c r="H48" s="41">
        <f>IFERROR(F48*(1-G48),0)</f>
        <v>0</v>
      </c>
      <c r="I48" s="37"/>
      <c r="J48" s="41">
        <f>MAX(0,H48-I48)</f>
        <v>0</v>
      </c>
      <c r="K48" s="36"/>
      <c r="L48" s="36"/>
      <c r="M48" s="29">
        <f>IF(B48="","",IF(COUNTIF($B$8:$B$107,B48)&gt;1,"UYARI: Teminat ID mükerrer",IF(I48&gt;H48,"KRİTİK: Tahsis net değeri aşıyor","OK")))</f>
        <v>0</v>
      </c>
    </row>
    <row r="49" spans="2:13" ht="18" customHeight="1">
      <c r="B49" s="36"/>
      <c r="C49" s="36"/>
      <c r="D49" s="36"/>
      <c r="E49" s="36"/>
      <c r="F49" s="37"/>
      <c r="G49" s="36"/>
      <c r="H49" s="41">
        <f>IFERROR(F49*(1-G49),0)</f>
        <v>0</v>
      </c>
      <c r="I49" s="37"/>
      <c r="J49" s="41">
        <f>MAX(0,H49-I49)</f>
        <v>0</v>
      </c>
      <c r="K49" s="36"/>
      <c r="L49" s="36"/>
      <c r="M49" s="29">
        <f>IF(B49="","",IF(COUNTIF($B$8:$B$107,B49)&gt;1,"UYARI: Teminat ID mükerrer",IF(I49&gt;H49,"KRİTİK: Tahsis net değeri aşıyor","OK")))</f>
        <v>0</v>
      </c>
    </row>
    <row r="50" spans="2:13" ht="18" customHeight="1">
      <c r="B50" s="36"/>
      <c r="C50" s="36"/>
      <c r="D50" s="36"/>
      <c r="E50" s="36"/>
      <c r="F50" s="37"/>
      <c r="G50" s="36"/>
      <c r="H50" s="41">
        <f>IFERROR(F50*(1-G50),0)</f>
        <v>0</v>
      </c>
      <c r="I50" s="37"/>
      <c r="J50" s="41">
        <f>MAX(0,H50-I50)</f>
        <v>0</v>
      </c>
      <c r="K50" s="36"/>
      <c r="L50" s="36"/>
      <c r="M50" s="29">
        <f>IF(B50="","",IF(COUNTIF($B$8:$B$107,B50)&gt;1,"UYARI: Teminat ID mükerrer",IF(I50&gt;H50,"KRİTİK: Tahsis net değeri aşıyor","OK")))</f>
        <v>0</v>
      </c>
    </row>
    <row r="51" spans="2:13" ht="18" customHeight="1">
      <c r="B51" s="36"/>
      <c r="C51" s="36"/>
      <c r="D51" s="36"/>
      <c r="E51" s="36"/>
      <c r="F51" s="37"/>
      <c r="G51" s="36"/>
      <c r="H51" s="41">
        <f>IFERROR(F51*(1-G51),0)</f>
        <v>0</v>
      </c>
      <c r="I51" s="37"/>
      <c r="J51" s="41">
        <f>MAX(0,H51-I51)</f>
        <v>0</v>
      </c>
      <c r="K51" s="36"/>
      <c r="L51" s="36"/>
      <c r="M51" s="29">
        <f>IF(B51="","",IF(COUNTIF($B$8:$B$107,B51)&gt;1,"UYARI: Teminat ID mükerrer",IF(I51&gt;H51,"KRİTİK: Tahsis net değeri aşıyor","OK")))</f>
        <v>0</v>
      </c>
    </row>
    <row r="52" spans="2:13" ht="18" customHeight="1">
      <c r="B52" s="36"/>
      <c r="C52" s="36"/>
      <c r="D52" s="36"/>
      <c r="E52" s="36"/>
      <c r="F52" s="37"/>
      <c r="G52" s="36"/>
      <c r="H52" s="41">
        <f>IFERROR(F52*(1-G52),0)</f>
        <v>0</v>
      </c>
      <c r="I52" s="37"/>
      <c r="J52" s="41">
        <f>MAX(0,H52-I52)</f>
        <v>0</v>
      </c>
      <c r="K52" s="36"/>
      <c r="L52" s="36"/>
      <c r="M52" s="29">
        <f>IF(B52="","",IF(COUNTIF($B$8:$B$107,B52)&gt;1,"UYARI: Teminat ID mükerrer",IF(I52&gt;H52,"KRİTİK: Tahsis net değeri aşıyor","OK")))</f>
        <v>0</v>
      </c>
    </row>
    <row r="53" spans="2:13" ht="18" customHeight="1">
      <c r="B53" s="36"/>
      <c r="C53" s="36"/>
      <c r="D53" s="36"/>
      <c r="E53" s="36"/>
      <c r="F53" s="37"/>
      <c r="G53" s="36"/>
      <c r="H53" s="41">
        <f>IFERROR(F53*(1-G53),0)</f>
        <v>0</v>
      </c>
      <c r="I53" s="37"/>
      <c r="J53" s="41">
        <f>MAX(0,H53-I53)</f>
        <v>0</v>
      </c>
      <c r="K53" s="36"/>
      <c r="L53" s="36"/>
      <c r="M53" s="29">
        <f>IF(B53="","",IF(COUNTIF($B$8:$B$107,B53)&gt;1,"UYARI: Teminat ID mükerrer",IF(I53&gt;H53,"KRİTİK: Tahsis net değeri aşıyor","OK")))</f>
        <v>0</v>
      </c>
    </row>
    <row r="54" spans="2:13" ht="18" customHeight="1">
      <c r="B54" s="36"/>
      <c r="C54" s="36"/>
      <c r="D54" s="36"/>
      <c r="E54" s="36"/>
      <c r="F54" s="37"/>
      <c r="G54" s="36"/>
      <c r="H54" s="41">
        <f>IFERROR(F54*(1-G54),0)</f>
        <v>0</v>
      </c>
      <c r="I54" s="37"/>
      <c r="J54" s="41">
        <f>MAX(0,H54-I54)</f>
        <v>0</v>
      </c>
      <c r="K54" s="36"/>
      <c r="L54" s="36"/>
      <c r="M54" s="29">
        <f>IF(B54="","",IF(COUNTIF($B$8:$B$107,B54)&gt;1,"UYARI: Teminat ID mükerrer",IF(I54&gt;H54,"KRİTİK: Tahsis net değeri aşıyor","OK")))</f>
        <v>0</v>
      </c>
    </row>
    <row r="55" spans="2:13" ht="18" customHeight="1">
      <c r="B55" s="36"/>
      <c r="C55" s="36"/>
      <c r="D55" s="36"/>
      <c r="E55" s="36"/>
      <c r="F55" s="37"/>
      <c r="G55" s="36"/>
      <c r="H55" s="41">
        <f>IFERROR(F55*(1-G55),0)</f>
        <v>0</v>
      </c>
      <c r="I55" s="37"/>
      <c r="J55" s="41">
        <f>MAX(0,H55-I55)</f>
        <v>0</v>
      </c>
      <c r="K55" s="36"/>
      <c r="L55" s="36"/>
      <c r="M55" s="29">
        <f>IF(B55="","",IF(COUNTIF($B$8:$B$107,B55)&gt;1,"UYARI: Teminat ID mükerrer",IF(I55&gt;H55,"KRİTİK: Tahsis net değeri aşıyor","OK")))</f>
        <v>0</v>
      </c>
    </row>
    <row r="56" spans="2:13" ht="18" customHeight="1">
      <c r="B56" s="36"/>
      <c r="C56" s="36"/>
      <c r="D56" s="36"/>
      <c r="E56" s="36"/>
      <c r="F56" s="37"/>
      <c r="G56" s="36"/>
      <c r="H56" s="41">
        <f>IFERROR(F56*(1-G56),0)</f>
        <v>0</v>
      </c>
      <c r="I56" s="37"/>
      <c r="J56" s="41">
        <f>MAX(0,H56-I56)</f>
        <v>0</v>
      </c>
      <c r="K56" s="36"/>
      <c r="L56" s="36"/>
      <c r="M56" s="29">
        <f>IF(B56="","",IF(COUNTIF($B$8:$B$107,B56)&gt;1,"UYARI: Teminat ID mükerrer",IF(I56&gt;H56,"KRİTİK: Tahsis net değeri aşıyor","OK")))</f>
        <v>0</v>
      </c>
    </row>
    <row r="57" spans="2:13" ht="18" customHeight="1">
      <c r="B57" s="36"/>
      <c r="C57" s="36"/>
      <c r="D57" s="36"/>
      <c r="E57" s="36"/>
      <c r="F57" s="37"/>
      <c r="G57" s="36"/>
      <c r="H57" s="41">
        <f>IFERROR(F57*(1-G57),0)</f>
        <v>0</v>
      </c>
      <c r="I57" s="37"/>
      <c r="J57" s="41">
        <f>MAX(0,H57-I57)</f>
        <v>0</v>
      </c>
      <c r="K57" s="36"/>
      <c r="L57" s="36"/>
      <c r="M57" s="29">
        <f>IF(B57="","",IF(COUNTIF($B$8:$B$107,B57)&gt;1,"UYARI: Teminat ID mükerrer",IF(I57&gt;H57,"KRİTİK: Tahsis net değeri aşıyor","OK")))</f>
        <v>0</v>
      </c>
    </row>
    <row r="58" spans="2:13" ht="18" customHeight="1">
      <c r="B58" s="36"/>
      <c r="C58" s="36"/>
      <c r="D58" s="36"/>
      <c r="E58" s="36"/>
      <c r="F58" s="37"/>
      <c r="G58" s="36"/>
      <c r="H58" s="41">
        <f>IFERROR(F58*(1-G58),0)</f>
        <v>0</v>
      </c>
      <c r="I58" s="37"/>
      <c r="J58" s="41">
        <f>MAX(0,H58-I58)</f>
        <v>0</v>
      </c>
      <c r="K58" s="36"/>
      <c r="L58" s="36"/>
      <c r="M58" s="29">
        <f>IF(B58="","",IF(COUNTIF($B$8:$B$107,B58)&gt;1,"UYARI: Teminat ID mükerrer",IF(I58&gt;H58,"KRİTİK: Tahsis net değeri aşıyor","OK")))</f>
        <v>0</v>
      </c>
    </row>
    <row r="59" spans="2:13" ht="18" customHeight="1">
      <c r="B59" s="36"/>
      <c r="C59" s="36"/>
      <c r="D59" s="36"/>
      <c r="E59" s="36"/>
      <c r="F59" s="37"/>
      <c r="G59" s="36"/>
      <c r="H59" s="41">
        <f>IFERROR(F59*(1-G59),0)</f>
        <v>0</v>
      </c>
      <c r="I59" s="37"/>
      <c r="J59" s="41">
        <f>MAX(0,H59-I59)</f>
        <v>0</v>
      </c>
      <c r="K59" s="36"/>
      <c r="L59" s="36"/>
      <c r="M59" s="29">
        <f>IF(B59="","",IF(COUNTIF($B$8:$B$107,B59)&gt;1,"UYARI: Teminat ID mükerrer",IF(I59&gt;H59,"KRİTİK: Tahsis net değeri aşıyor","OK")))</f>
        <v>0</v>
      </c>
    </row>
    <row r="60" spans="2:13" ht="18" customHeight="1">
      <c r="B60" s="36"/>
      <c r="C60" s="36"/>
      <c r="D60" s="36"/>
      <c r="E60" s="36"/>
      <c r="F60" s="37"/>
      <c r="G60" s="36"/>
      <c r="H60" s="41">
        <f>IFERROR(F60*(1-G60),0)</f>
        <v>0</v>
      </c>
      <c r="I60" s="37"/>
      <c r="J60" s="41">
        <f>MAX(0,H60-I60)</f>
        <v>0</v>
      </c>
      <c r="K60" s="36"/>
      <c r="L60" s="36"/>
      <c r="M60" s="29">
        <f>IF(B60="","",IF(COUNTIF($B$8:$B$107,B60)&gt;1,"UYARI: Teminat ID mükerrer",IF(I60&gt;H60,"KRİTİK: Tahsis net değeri aşıyor","OK")))</f>
        <v>0</v>
      </c>
    </row>
    <row r="61" spans="2:13" ht="18" customHeight="1">
      <c r="B61" s="36"/>
      <c r="C61" s="36"/>
      <c r="D61" s="36"/>
      <c r="E61" s="36"/>
      <c r="F61" s="37"/>
      <c r="G61" s="36"/>
      <c r="H61" s="41">
        <f>IFERROR(F61*(1-G61),0)</f>
        <v>0</v>
      </c>
      <c r="I61" s="37"/>
      <c r="J61" s="41">
        <f>MAX(0,H61-I61)</f>
        <v>0</v>
      </c>
      <c r="K61" s="36"/>
      <c r="L61" s="36"/>
      <c r="M61" s="29">
        <f>IF(B61="","",IF(COUNTIF($B$8:$B$107,B61)&gt;1,"UYARI: Teminat ID mükerrer",IF(I61&gt;H61,"KRİTİK: Tahsis net değeri aşıyor","OK")))</f>
        <v>0</v>
      </c>
    </row>
    <row r="62" spans="2:13" ht="18" customHeight="1">
      <c r="B62" s="36"/>
      <c r="C62" s="36"/>
      <c r="D62" s="36"/>
      <c r="E62" s="36"/>
      <c r="F62" s="37"/>
      <c r="G62" s="36"/>
      <c r="H62" s="41">
        <f>IFERROR(F62*(1-G62),0)</f>
        <v>0</v>
      </c>
      <c r="I62" s="37"/>
      <c r="J62" s="41">
        <f>MAX(0,H62-I62)</f>
        <v>0</v>
      </c>
      <c r="K62" s="36"/>
      <c r="L62" s="36"/>
      <c r="M62" s="29">
        <f>IF(B62="","",IF(COUNTIF($B$8:$B$107,B62)&gt;1,"UYARI: Teminat ID mükerrer",IF(I62&gt;H62,"KRİTİK: Tahsis net değeri aşıyor","OK")))</f>
        <v>0</v>
      </c>
    </row>
    <row r="63" spans="2:13" ht="18" customHeight="1">
      <c r="B63" s="36"/>
      <c r="C63" s="36"/>
      <c r="D63" s="36"/>
      <c r="E63" s="36"/>
      <c r="F63" s="37"/>
      <c r="G63" s="36"/>
      <c r="H63" s="41">
        <f>IFERROR(F63*(1-G63),0)</f>
        <v>0</v>
      </c>
      <c r="I63" s="37"/>
      <c r="J63" s="41">
        <f>MAX(0,H63-I63)</f>
        <v>0</v>
      </c>
      <c r="K63" s="36"/>
      <c r="L63" s="36"/>
      <c r="M63" s="29">
        <f>IF(B63="","",IF(COUNTIF($B$8:$B$107,B63)&gt;1,"UYARI: Teminat ID mükerrer",IF(I63&gt;H63,"KRİTİK: Tahsis net değeri aşıyor","OK")))</f>
        <v>0</v>
      </c>
    </row>
    <row r="64" spans="2:13" ht="18" customHeight="1">
      <c r="B64" s="36"/>
      <c r="C64" s="36"/>
      <c r="D64" s="36"/>
      <c r="E64" s="36"/>
      <c r="F64" s="37"/>
      <c r="G64" s="36"/>
      <c r="H64" s="41">
        <f>IFERROR(F64*(1-G64),0)</f>
        <v>0</v>
      </c>
      <c r="I64" s="37"/>
      <c r="J64" s="41">
        <f>MAX(0,H64-I64)</f>
        <v>0</v>
      </c>
      <c r="K64" s="36"/>
      <c r="L64" s="36"/>
      <c r="M64" s="29">
        <f>IF(B64="","",IF(COUNTIF($B$8:$B$107,B64)&gt;1,"UYARI: Teminat ID mükerrer",IF(I64&gt;H64,"KRİTİK: Tahsis net değeri aşıyor","OK")))</f>
        <v>0</v>
      </c>
    </row>
    <row r="65" spans="2:13" ht="18" customHeight="1">
      <c r="B65" s="36"/>
      <c r="C65" s="36"/>
      <c r="D65" s="36"/>
      <c r="E65" s="36"/>
      <c r="F65" s="37"/>
      <c r="G65" s="36"/>
      <c r="H65" s="41">
        <f>IFERROR(F65*(1-G65),0)</f>
        <v>0</v>
      </c>
      <c r="I65" s="37"/>
      <c r="J65" s="41">
        <f>MAX(0,H65-I65)</f>
        <v>0</v>
      </c>
      <c r="K65" s="36"/>
      <c r="L65" s="36"/>
      <c r="M65" s="29">
        <f>IF(B65="","",IF(COUNTIF($B$8:$B$107,B65)&gt;1,"UYARI: Teminat ID mükerrer",IF(I65&gt;H65,"KRİTİK: Tahsis net değeri aşıyor","OK")))</f>
        <v>0</v>
      </c>
    </row>
    <row r="66" spans="2:13" ht="18" customHeight="1">
      <c r="B66" s="36"/>
      <c r="C66" s="36"/>
      <c r="D66" s="36"/>
      <c r="E66" s="36"/>
      <c r="F66" s="37"/>
      <c r="G66" s="36"/>
      <c r="H66" s="41">
        <f>IFERROR(F66*(1-G66),0)</f>
        <v>0</v>
      </c>
      <c r="I66" s="37"/>
      <c r="J66" s="41">
        <f>MAX(0,H66-I66)</f>
        <v>0</v>
      </c>
      <c r="K66" s="36"/>
      <c r="L66" s="36"/>
      <c r="M66" s="29">
        <f>IF(B66="","",IF(COUNTIF($B$8:$B$107,B66)&gt;1,"UYARI: Teminat ID mükerrer",IF(I66&gt;H66,"KRİTİK: Tahsis net değeri aşıyor","OK")))</f>
        <v>0</v>
      </c>
    </row>
    <row r="67" spans="2:13" ht="18" customHeight="1">
      <c r="B67" s="36"/>
      <c r="C67" s="36"/>
      <c r="D67" s="36"/>
      <c r="E67" s="36"/>
      <c r="F67" s="37"/>
      <c r="G67" s="36"/>
      <c r="H67" s="41">
        <f>IFERROR(F67*(1-G67),0)</f>
        <v>0</v>
      </c>
      <c r="I67" s="37"/>
      <c r="J67" s="41">
        <f>MAX(0,H67-I67)</f>
        <v>0</v>
      </c>
      <c r="K67" s="36"/>
      <c r="L67" s="36"/>
      <c r="M67" s="29">
        <f>IF(B67="","",IF(COUNTIF($B$8:$B$107,B67)&gt;1,"UYARI: Teminat ID mükerrer",IF(I67&gt;H67,"KRİTİK: Tahsis net değeri aşıyor","OK")))</f>
        <v>0</v>
      </c>
    </row>
    <row r="68" spans="2:13" ht="18" customHeight="1">
      <c r="B68" s="36"/>
      <c r="C68" s="36"/>
      <c r="D68" s="36"/>
      <c r="E68" s="36"/>
      <c r="F68" s="37"/>
      <c r="G68" s="36"/>
      <c r="H68" s="41">
        <f>IFERROR(F68*(1-G68),0)</f>
        <v>0</v>
      </c>
      <c r="I68" s="37"/>
      <c r="J68" s="41">
        <f>MAX(0,H68-I68)</f>
        <v>0</v>
      </c>
      <c r="K68" s="36"/>
      <c r="L68" s="36"/>
      <c r="M68" s="29">
        <f>IF(B68="","",IF(COUNTIF($B$8:$B$107,B68)&gt;1,"UYARI: Teminat ID mükerrer",IF(I68&gt;H68,"KRİTİK: Tahsis net değeri aşıyor","OK")))</f>
        <v>0</v>
      </c>
    </row>
    <row r="69" spans="2:13" ht="18" customHeight="1">
      <c r="B69" s="36"/>
      <c r="C69" s="36"/>
      <c r="D69" s="36"/>
      <c r="E69" s="36"/>
      <c r="F69" s="37"/>
      <c r="G69" s="36"/>
      <c r="H69" s="41">
        <f>IFERROR(F69*(1-G69),0)</f>
        <v>0</v>
      </c>
      <c r="I69" s="37"/>
      <c r="J69" s="41">
        <f>MAX(0,H69-I69)</f>
        <v>0</v>
      </c>
      <c r="K69" s="36"/>
      <c r="L69" s="36"/>
      <c r="M69" s="29">
        <f>IF(B69="","",IF(COUNTIF($B$8:$B$107,B69)&gt;1,"UYARI: Teminat ID mükerrer",IF(I69&gt;H69,"KRİTİK: Tahsis net değeri aşıyor","OK")))</f>
        <v>0</v>
      </c>
    </row>
    <row r="70" spans="2:13" ht="18" customHeight="1">
      <c r="B70" s="36"/>
      <c r="C70" s="36"/>
      <c r="D70" s="36"/>
      <c r="E70" s="36"/>
      <c r="F70" s="37"/>
      <c r="G70" s="36"/>
      <c r="H70" s="41">
        <f>IFERROR(F70*(1-G70),0)</f>
        <v>0</v>
      </c>
      <c r="I70" s="37"/>
      <c r="J70" s="41">
        <f>MAX(0,H70-I70)</f>
        <v>0</v>
      </c>
      <c r="K70" s="36"/>
      <c r="L70" s="36"/>
      <c r="M70" s="29">
        <f>IF(B70="","",IF(COUNTIF($B$8:$B$107,B70)&gt;1,"UYARI: Teminat ID mükerrer",IF(I70&gt;H70,"KRİTİK: Tahsis net değeri aşıyor","OK")))</f>
        <v>0</v>
      </c>
    </row>
    <row r="71" spans="2:13" ht="18" customHeight="1">
      <c r="B71" s="36"/>
      <c r="C71" s="36"/>
      <c r="D71" s="36"/>
      <c r="E71" s="36"/>
      <c r="F71" s="37"/>
      <c r="G71" s="36"/>
      <c r="H71" s="41">
        <f>IFERROR(F71*(1-G71),0)</f>
        <v>0</v>
      </c>
      <c r="I71" s="37"/>
      <c r="J71" s="41">
        <f>MAX(0,H71-I71)</f>
        <v>0</v>
      </c>
      <c r="K71" s="36"/>
      <c r="L71" s="36"/>
      <c r="M71" s="29">
        <f>IF(B71="","",IF(COUNTIF($B$8:$B$107,B71)&gt;1,"UYARI: Teminat ID mükerrer",IF(I71&gt;H71,"KRİTİK: Tahsis net değeri aşıyor","OK")))</f>
        <v>0</v>
      </c>
    </row>
    <row r="72" spans="2:13" ht="18" customHeight="1">
      <c r="B72" s="36"/>
      <c r="C72" s="36"/>
      <c r="D72" s="36"/>
      <c r="E72" s="36"/>
      <c r="F72" s="37"/>
      <c r="G72" s="36"/>
      <c r="H72" s="41">
        <f>IFERROR(F72*(1-G72),0)</f>
        <v>0</v>
      </c>
      <c r="I72" s="37"/>
      <c r="J72" s="41">
        <f>MAX(0,H72-I72)</f>
        <v>0</v>
      </c>
      <c r="K72" s="36"/>
      <c r="L72" s="36"/>
      <c r="M72" s="29">
        <f>IF(B72="","",IF(COUNTIF($B$8:$B$107,B72)&gt;1,"UYARI: Teminat ID mükerrer",IF(I72&gt;H72,"KRİTİK: Tahsis net değeri aşıyor","OK")))</f>
        <v>0</v>
      </c>
    </row>
    <row r="73" spans="2:13" ht="18" customHeight="1">
      <c r="B73" s="36"/>
      <c r="C73" s="36"/>
      <c r="D73" s="36"/>
      <c r="E73" s="36"/>
      <c r="F73" s="37"/>
      <c r="G73" s="36"/>
      <c r="H73" s="41">
        <f>IFERROR(F73*(1-G73),0)</f>
        <v>0</v>
      </c>
      <c r="I73" s="37"/>
      <c r="J73" s="41">
        <f>MAX(0,H73-I73)</f>
        <v>0</v>
      </c>
      <c r="K73" s="36"/>
      <c r="L73" s="36"/>
      <c r="M73" s="29">
        <f>IF(B73="","",IF(COUNTIF($B$8:$B$107,B73)&gt;1,"UYARI: Teminat ID mükerrer",IF(I73&gt;H73,"KRİTİK: Tahsis net değeri aşıyor","OK")))</f>
        <v>0</v>
      </c>
    </row>
    <row r="74" spans="2:13" ht="18" customHeight="1">
      <c r="B74" s="36"/>
      <c r="C74" s="36"/>
      <c r="D74" s="36"/>
      <c r="E74" s="36"/>
      <c r="F74" s="37"/>
      <c r="G74" s="36"/>
      <c r="H74" s="41">
        <f>IFERROR(F74*(1-G74),0)</f>
        <v>0</v>
      </c>
      <c r="I74" s="37"/>
      <c r="J74" s="41">
        <f>MAX(0,H74-I74)</f>
        <v>0</v>
      </c>
      <c r="K74" s="36"/>
      <c r="L74" s="36"/>
      <c r="M74" s="29">
        <f>IF(B74="","",IF(COUNTIF($B$8:$B$107,B74)&gt;1,"UYARI: Teminat ID mükerrer",IF(I74&gt;H74,"KRİTİK: Tahsis net değeri aşıyor","OK")))</f>
        <v>0</v>
      </c>
    </row>
    <row r="75" spans="2:13" ht="18" customHeight="1">
      <c r="B75" s="36"/>
      <c r="C75" s="36"/>
      <c r="D75" s="36"/>
      <c r="E75" s="36"/>
      <c r="F75" s="37"/>
      <c r="G75" s="36"/>
      <c r="H75" s="41">
        <f>IFERROR(F75*(1-G75),0)</f>
        <v>0</v>
      </c>
      <c r="I75" s="37"/>
      <c r="J75" s="41">
        <f>MAX(0,H75-I75)</f>
        <v>0</v>
      </c>
      <c r="K75" s="36"/>
      <c r="L75" s="36"/>
      <c r="M75" s="29">
        <f>IF(B75="","",IF(COUNTIF($B$8:$B$107,B75)&gt;1,"UYARI: Teminat ID mükerrer",IF(I75&gt;H75,"KRİTİK: Tahsis net değeri aşıyor","OK")))</f>
        <v>0</v>
      </c>
    </row>
    <row r="76" spans="2:13" ht="18" customHeight="1">
      <c r="B76" s="36"/>
      <c r="C76" s="36"/>
      <c r="D76" s="36"/>
      <c r="E76" s="36"/>
      <c r="F76" s="37"/>
      <c r="G76" s="36"/>
      <c r="H76" s="41">
        <f>IFERROR(F76*(1-G76),0)</f>
        <v>0</v>
      </c>
      <c r="I76" s="37"/>
      <c r="J76" s="41">
        <f>MAX(0,H76-I76)</f>
        <v>0</v>
      </c>
      <c r="K76" s="36"/>
      <c r="L76" s="36"/>
      <c r="M76" s="29">
        <f>IF(B76="","",IF(COUNTIF($B$8:$B$107,B76)&gt;1,"UYARI: Teminat ID mükerrer",IF(I76&gt;H76,"KRİTİK: Tahsis net değeri aşıyor","OK")))</f>
        <v>0</v>
      </c>
    </row>
    <row r="77" spans="2:13" ht="18" customHeight="1">
      <c r="B77" s="36"/>
      <c r="C77" s="36"/>
      <c r="D77" s="36"/>
      <c r="E77" s="36"/>
      <c r="F77" s="37"/>
      <c r="G77" s="36"/>
      <c r="H77" s="41">
        <f>IFERROR(F77*(1-G77),0)</f>
        <v>0</v>
      </c>
      <c r="I77" s="37"/>
      <c r="J77" s="41">
        <f>MAX(0,H77-I77)</f>
        <v>0</v>
      </c>
      <c r="K77" s="36"/>
      <c r="L77" s="36"/>
      <c r="M77" s="29">
        <f>IF(B77="","",IF(COUNTIF($B$8:$B$107,B77)&gt;1,"UYARI: Teminat ID mükerrer",IF(I77&gt;H77,"KRİTİK: Tahsis net değeri aşıyor","OK")))</f>
        <v>0</v>
      </c>
    </row>
    <row r="78" spans="2:13" ht="18" customHeight="1">
      <c r="B78" s="36"/>
      <c r="C78" s="36"/>
      <c r="D78" s="36"/>
      <c r="E78" s="36"/>
      <c r="F78" s="37"/>
      <c r="G78" s="36"/>
      <c r="H78" s="41">
        <f>IFERROR(F78*(1-G78),0)</f>
        <v>0</v>
      </c>
      <c r="I78" s="37"/>
      <c r="J78" s="41">
        <f>MAX(0,H78-I78)</f>
        <v>0</v>
      </c>
      <c r="K78" s="36"/>
      <c r="L78" s="36"/>
      <c r="M78" s="29">
        <f>IF(B78="","",IF(COUNTIF($B$8:$B$107,B78)&gt;1,"UYARI: Teminat ID mükerrer",IF(I78&gt;H78,"KRİTİK: Tahsis net değeri aşıyor","OK")))</f>
        <v>0</v>
      </c>
    </row>
    <row r="79" spans="2:13" ht="18" customHeight="1">
      <c r="B79" s="36"/>
      <c r="C79" s="36"/>
      <c r="D79" s="36"/>
      <c r="E79" s="36"/>
      <c r="F79" s="37"/>
      <c r="G79" s="36"/>
      <c r="H79" s="41">
        <f>IFERROR(F79*(1-G79),0)</f>
        <v>0</v>
      </c>
      <c r="I79" s="37"/>
      <c r="J79" s="41">
        <f>MAX(0,H79-I79)</f>
        <v>0</v>
      </c>
      <c r="K79" s="36"/>
      <c r="L79" s="36"/>
      <c r="M79" s="29">
        <f>IF(B79="","",IF(COUNTIF($B$8:$B$107,B79)&gt;1,"UYARI: Teminat ID mükerrer",IF(I79&gt;H79,"KRİTİK: Tahsis net değeri aşıyor","OK")))</f>
        <v>0</v>
      </c>
    </row>
    <row r="80" spans="2:13" ht="18" customHeight="1">
      <c r="B80" s="36"/>
      <c r="C80" s="36"/>
      <c r="D80" s="36"/>
      <c r="E80" s="36"/>
      <c r="F80" s="37"/>
      <c r="G80" s="36"/>
      <c r="H80" s="41">
        <f>IFERROR(F80*(1-G80),0)</f>
        <v>0</v>
      </c>
      <c r="I80" s="37"/>
      <c r="J80" s="41">
        <f>MAX(0,H80-I80)</f>
        <v>0</v>
      </c>
      <c r="K80" s="36"/>
      <c r="L80" s="36"/>
      <c r="M80" s="29">
        <f>IF(B80="","",IF(COUNTIF($B$8:$B$107,B80)&gt;1,"UYARI: Teminat ID mükerrer",IF(I80&gt;H80,"KRİTİK: Tahsis net değeri aşıyor","OK")))</f>
        <v>0</v>
      </c>
    </row>
    <row r="81" spans="2:13" ht="18" customHeight="1">
      <c r="B81" s="36"/>
      <c r="C81" s="36"/>
      <c r="D81" s="36"/>
      <c r="E81" s="36"/>
      <c r="F81" s="37"/>
      <c r="G81" s="36"/>
      <c r="H81" s="41">
        <f>IFERROR(F81*(1-G81),0)</f>
        <v>0</v>
      </c>
      <c r="I81" s="37"/>
      <c r="J81" s="41">
        <f>MAX(0,H81-I81)</f>
        <v>0</v>
      </c>
      <c r="K81" s="36"/>
      <c r="L81" s="36"/>
      <c r="M81" s="29">
        <f>IF(B81="","",IF(COUNTIF($B$8:$B$107,B81)&gt;1,"UYARI: Teminat ID mükerrer",IF(I81&gt;H81,"KRİTİK: Tahsis net değeri aşıyor","OK")))</f>
        <v>0</v>
      </c>
    </row>
    <row r="82" spans="2:13" ht="18" customHeight="1">
      <c r="B82" s="36"/>
      <c r="C82" s="36"/>
      <c r="D82" s="36"/>
      <c r="E82" s="36"/>
      <c r="F82" s="37"/>
      <c r="G82" s="36"/>
      <c r="H82" s="41">
        <f>IFERROR(F82*(1-G82),0)</f>
        <v>0</v>
      </c>
      <c r="I82" s="37"/>
      <c r="J82" s="41">
        <f>MAX(0,H82-I82)</f>
        <v>0</v>
      </c>
      <c r="K82" s="36"/>
      <c r="L82" s="36"/>
      <c r="M82" s="29">
        <f>IF(B82="","",IF(COUNTIF($B$8:$B$107,B82)&gt;1,"UYARI: Teminat ID mükerrer",IF(I82&gt;H82,"KRİTİK: Tahsis net değeri aşıyor","OK")))</f>
        <v>0</v>
      </c>
    </row>
    <row r="83" spans="2:13" ht="18" customHeight="1">
      <c r="B83" s="36"/>
      <c r="C83" s="36"/>
      <c r="D83" s="36"/>
      <c r="E83" s="36"/>
      <c r="F83" s="37"/>
      <c r="G83" s="36"/>
      <c r="H83" s="41">
        <f>IFERROR(F83*(1-G83),0)</f>
        <v>0</v>
      </c>
      <c r="I83" s="37"/>
      <c r="J83" s="41">
        <f>MAX(0,H83-I83)</f>
        <v>0</v>
      </c>
      <c r="K83" s="36"/>
      <c r="L83" s="36"/>
      <c r="M83" s="29">
        <f>IF(B83="","",IF(COUNTIF($B$8:$B$107,B83)&gt;1,"UYARI: Teminat ID mükerrer",IF(I83&gt;H83,"KRİTİK: Tahsis net değeri aşıyor","OK")))</f>
        <v>0</v>
      </c>
    </row>
    <row r="84" spans="2:13" ht="18" customHeight="1">
      <c r="B84" s="36"/>
      <c r="C84" s="36"/>
      <c r="D84" s="36"/>
      <c r="E84" s="36"/>
      <c r="F84" s="37"/>
      <c r="G84" s="36"/>
      <c r="H84" s="41">
        <f>IFERROR(F84*(1-G84),0)</f>
        <v>0</v>
      </c>
      <c r="I84" s="37"/>
      <c r="J84" s="41">
        <f>MAX(0,H84-I84)</f>
        <v>0</v>
      </c>
      <c r="K84" s="36"/>
      <c r="L84" s="36"/>
      <c r="M84" s="29">
        <f>IF(B84="","",IF(COUNTIF($B$8:$B$107,B84)&gt;1,"UYARI: Teminat ID mükerrer",IF(I84&gt;H84,"KRİTİK: Tahsis net değeri aşıyor","OK")))</f>
        <v>0</v>
      </c>
    </row>
    <row r="85" spans="2:13" ht="18" customHeight="1">
      <c r="B85" s="36"/>
      <c r="C85" s="36"/>
      <c r="D85" s="36"/>
      <c r="E85" s="36"/>
      <c r="F85" s="37"/>
      <c r="G85" s="36"/>
      <c r="H85" s="41">
        <f>IFERROR(F85*(1-G85),0)</f>
        <v>0</v>
      </c>
      <c r="I85" s="37"/>
      <c r="J85" s="41">
        <f>MAX(0,H85-I85)</f>
        <v>0</v>
      </c>
      <c r="K85" s="36"/>
      <c r="L85" s="36"/>
      <c r="M85" s="29">
        <f>IF(B85="","",IF(COUNTIF($B$8:$B$107,B85)&gt;1,"UYARI: Teminat ID mükerrer",IF(I85&gt;H85,"KRİTİK: Tahsis net değeri aşıyor","OK")))</f>
        <v>0</v>
      </c>
    </row>
    <row r="86" spans="2:13" ht="18" customHeight="1">
      <c r="B86" s="36"/>
      <c r="C86" s="36"/>
      <c r="D86" s="36"/>
      <c r="E86" s="36"/>
      <c r="F86" s="37"/>
      <c r="G86" s="36"/>
      <c r="H86" s="41">
        <f>IFERROR(F86*(1-G86),0)</f>
        <v>0</v>
      </c>
      <c r="I86" s="37"/>
      <c r="J86" s="41">
        <f>MAX(0,H86-I86)</f>
        <v>0</v>
      </c>
      <c r="K86" s="36"/>
      <c r="L86" s="36"/>
      <c r="M86" s="29">
        <f>IF(B86="","",IF(COUNTIF($B$8:$B$107,B86)&gt;1,"UYARI: Teminat ID mükerrer",IF(I86&gt;H86,"KRİTİK: Tahsis net değeri aşıyor","OK")))</f>
        <v>0</v>
      </c>
    </row>
    <row r="87" spans="2:13" ht="18" customHeight="1">
      <c r="B87" s="36"/>
      <c r="C87" s="36"/>
      <c r="D87" s="36"/>
      <c r="E87" s="36"/>
      <c r="F87" s="37"/>
      <c r="G87" s="36"/>
      <c r="H87" s="41">
        <f>IFERROR(F87*(1-G87),0)</f>
        <v>0</v>
      </c>
      <c r="I87" s="37"/>
      <c r="J87" s="41">
        <f>MAX(0,H87-I87)</f>
        <v>0</v>
      </c>
      <c r="K87" s="36"/>
      <c r="L87" s="36"/>
      <c r="M87" s="29">
        <f>IF(B87="","",IF(COUNTIF($B$8:$B$107,B87)&gt;1,"UYARI: Teminat ID mükerrer",IF(I87&gt;H87,"KRİTİK: Tahsis net değeri aşıyor","OK")))</f>
        <v>0</v>
      </c>
    </row>
    <row r="88" spans="2:13" ht="18" customHeight="1">
      <c r="B88" s="36"/>
      <c r="C88" s="36"/>
      <c r="D88" s="36"/>
      <c r="E88" s="36"/>
      <c r="F88" s="37"/>
      <c r="G88" s="36"/>
      <c r="H88" s="41">
        <f>IFERROR(F88*(1-G88),0)</f>
        <v>0</v>
      </c>
      <c r="I88" s="37"/>
      <c r="J88" s="41">
        <f>MAX(0,H88-I88)</f>
        <v>0</v>
      </c>
      <c r="K88" s="36"/>
      <c r="L88" s="36"/>
      <c r="M88" s="29">
        <f>IF(B88="","",IF(COUNTIF($B$8:$B$107,B88)&gt;1,"UYARI: Teminat ID mükerrer",IF(I88&gt;H88,"KRİTİK: Tahsis net değeri aşıyor","OK")))</f>
        <v>0</v>
      </c>
    </row>
    <row r="89" spans="2:13" ht="18" customHeight="1">
      <c r="B89" s="36"/>
      <c r="C89" s="36"/>
      <c r="D89" s="36"/>
      <c r="E89" s="36"/>
      <c r="F89" s="37"/>
      <c r="G89" s="36"/>
      <c r="H89" s="41">
        <f>IFERROR(F89*(1-G89),0)</f>
        <v>0</v>
      </c>
      <c r="I89" s="37"/>
      <c r="J89" s="41">
        <f>MAX(0,H89-I89)</f>
        <v>0</v>
      </c>
      <c r="K89" s="36"/>
      <c r="L89" s="36"/>
      <c r="M89" s="29">
        <f>IF(B89="","",IF(COUNTIF($B$8:$B$107,B89)&gt;1,"UYARI: Teminat ID mükerrer",IF(I89&gt;H89,"KRİTİK: Tahsis net değeri aşıyor","OK")))</f>
        <v>0</v>
      </c>
    </row>
    <row r="90" spans="2:13" ht="18" customHeight="1">
      <c r="B90" s="36"/>
      <c r="C90" s="36"/>
      <c r="D90" s="36"/>
      <c r="E90" s="36"/>
      <c r="F90" s="37"/>
      <c r="G90" s="36"/>
      <c r="H90" s="41">
        <f>IFERROR(F90*(1-G90),0)</f>
        <v>0</v>
      </c>
      <c r="I90" s="37"/>
      <c r="J90" s="41">
        <f>MAX(0,H90-I90)</f>
        <v>0</v>
      </c>
      <c r="K90" s="36"/>
      <c r="L90" s="36"/>
      <c r="M90" s="29">
        <f>IF(B90="","",IF(COUNTIF($B$8:$B$107,B90)&gt;1,"UYARI: Teminat ID mükerrer",IF(I90&gt;H90,"KRİTİK: Tahsis net değeri aşıyor","OK")))</f>
        <v>0</v>
      </c>
    </row>
    <row r="91" spans="2:13" ht="18" customHeight="1">
      <c r="B91" s="36"/>
      <c r="C91" s="36"/>
      <c r="D91" s="36"/>
      <c r="E91" s="36"/>
      <c r="F91" s="37"/>
      <c r="G91" s="36"/>
      <c r="H91" s="41">
        <f>IFERROR(F91*(1-G91),0)</f>
        <v>0</v>
      </c>
      <c r="I91" s="37"/>
      <c r="J91" s="41">
        <f>MAX(0,H91-I91)</f>
        <v>0</v>
      </c>
      <c r="K91" s="36"/>
      <c r="L91" s="36"/>
      <c r="M91" s="29">
        <f>IF(B91="","",IF(COUNTIF($B$8:$B$107,B91)&gt;1,"UYARI: Teminat ID mükerrer",IF(I91&gt;H91,"KRİTİK: Tahsis net değeri aşıyor","OK")))</f>
        <v>0</v>
      </c>
    </row>
    <row r="92" spans="2:13" ht="18" customHeight="1">
      <c r="B92" s="36"/>
      <c r="C92" s="36"/>
      <c r="D92" s="36"/>
      <c r="E92" s="36"/>
      <c r="F92" s="37"/>
      <c r="G92" s="36"/>
      <c r="H92" s="41">
        <f>IFERROR(F92*(1-G92),0)</f>
        <v>0</v>
      </c>
      <c r="I92" s="37"/>
      <c r="J92" s="41">
        <f>MAX(0,H92-I92)</f>
        <v>0</v>
      </c>
      <c r="K92" s="36"/>
      <c r="L92" s="36"/>
      <c r="M92" s="29">
        <f>IF(B92="","",IF(COUNTIF($B$8:$B$107,B92)&gt;1,"UYARI: Teminat ID mükerrer",IF(I92&gt;H92,"KRİTİK: Tahsis net değeri aşıyor","OK")))</f>
        <v>0</v>
      </c>
    </row>
    <row r="93" spans="2:13" ht="18" customHeight="1">
      <c r="B93" s="36"/>
      <c r="C93" s="36"/>
      <c r="D93" s="36"/>
      <c r="E93" s="36"/>
      <c r="F93" s="37"/>
      <c r="G93" s="36"/>
      <c r="H93" s="41">
        <f>IFERROR(F93*(1-G93),0)</f>
        <v>0</v>
      </c>
      <c r="I93" s="37"/>
      <c r="J93" s="41">
        <f>MAX(0,H93-I93)</f>
        <v>0</v>
      </c>
      <c r="K93" s="36"/>
      <c r="L93" s="36"/>
      <c r="M93" s="29">
        <f>IF(B93="","",IF(COUNTIF($B$8:$B$107,B93)&gt;1,"UYARI: Teminat ID mükerrer",IF(I93&gt;H93,"KRİTİK: Tahsis net değeri aşıyor","OK")))</f>
        <v>0</v>
      </c>
    </row>
    <row r="94" spans="2:13" ht="18" customHeight="1">
      <c r="B94" s="36"/>
      <c r="C94" s="36"/>
      <c r="D94" s="36"/>
      <c r="E94" s="36"/>
      <c r="F94" s="37"/>
      <c r="G94" s="36"/>
      <c r="H94" s="41">
        <f>IFERROR(F94*(1-G94),0)</f>
        <v>0</v>
      </c>
      <c r="I94" s="37"/>
      <c r="J94" s="41">
        <f>MAX(0,H94-I94)</f>
        <v>0</v>
      </c>
      <c r="K94" s="36"/>
      <c r="L94" s="36"/>
      <c r="M94" s="29">
        <f>IF(B94="","",IF(COUNTIF($B$8:$B$107,B94)&gt;1,"UYARI: Teminat ID mükerrer",IF(I94&gt;H94,"KRİTİK: Tahsis net değeri aşıyor","OK")))</f>
        <v>0</v>
      </c>
    </row>
    <row r="95" spans="2:13" ht="18" customHeight="1">
      <c r="B95" s="36"/>
      <c r="C95" s="36"/>
      <c r="D95" s="36"/>
      <c r="E95" s="36"/>
      <c r="F95" s="37"/>
      <c r="G95" s="36"/>
      <c r="H95" s="41">
        <f>IFERROR(F95*(1-G95),0)</f>
        <v>0</v>
      </c>
      <c r="I95" s="37"/>
      <c r="J95" s="41">
        <f>MAX(0,H95-I95)</f>
        <v>0</v>
      </c>
      <c r="K95" s="36"/>
      <c r="L95" s="36"/>
      <c r="M95" s="29">
        <f>IF(B95="","",IF(COUNTIF($B$8:$B$107,B95)&gt;1,"UYARI: Teminat ID mükerrer",IF(I95&gt;H95,"KRİTİK: Tahsis net değeri aşıyor","OK")))</f>
        <v>0</v>
      </c>
    </row>
    <row r="96" spans="2:13" ht="18" customHeight="1">
      <c r="B96" s="36"/>
      <c r="C96" s="36"/>
      <c r="D96" s="36"/>
      <c r="E96" s="36"/>
      <c r="F96" s="37"/>
      <c r="G96" s="36"/>
      <c r="H96" s="41">
        <f>IFERROR(F96*(1-G96),0)</f>
        <v>0</v>
      </c>
      <c r="I96" s="37"/>
      <c r="J96" s="41">
        <f>MAX(0,H96-I96)</f>
        <v>0</v>
      </c>
      <c r="K96" s="36"/>
      <c r="L96" s="36"/>
      <c r="M96" s="29">
        <f>IF(B96="","",IF(COUNTIF($B$8:$B$107,B96)&gt;1,"UYARI: Teminat ID mükerrer",IF(I96&gt;H96,"KRİTİK: Tahsis net değeri aşıyor","OK")))</f>
        <v>0</v>
      </c>
    </row>
    <row r="97" spans="2:13" ht="18" customHeight="1">
      <c r="B97" s="36"/>
      <c r="C97" s="36"/>
      <c r="D97" s="36"/>
      <c r="E97" s="36"/>
      <c r="F97" s="37"/>
      <c r="G97" s="36"/>
      <c r="H97" s="41">
        <f>IFERROR(F97*(1-G97),0)</f>
        <v>0</v>
      </c>
      <c r="I97" s="37"/>
      <c r="J97" s="41">
        <f>MAX(0,H97-I97)</f>
        <v>0</v>
      </c>
      <c r="K97" s="36"/>
      <c r="L97" s="36"/>
      <c r="M97" s="29">
        <f>IF(B97="","",IF(COUNTIF($B$8:$B$107,B97)&gt;1,"UYARI: Teminat ID mükerrer",IF(I97&gt;H97,"KRİTİK: Tahsis net değeri aşıyor","OK")))</f>
        <v>0</v>
      </c>
    </row>
    <row r="98" spans="2:13" ht="18" customHeight="1">
      <c r="B98" s="36"/>
      <c r="C98" s="36"/>
      <c r="D98" s="36"/>
      <c r="E98" s="36"/>
      <c r="F98" s="37"/>
      <c r="G98" s="36"/>
      <c r="H98" s="41">
        <f>IFERROR(F98*(1-G98),0)</f>
        <v>0</v>
      </c>
      <c r="I98" s="37"/>
      <c r="J98" s="41">
        <f>MAX(0,H98-I98)</f>
        <v>0</v>
      </c>
      <c r="K98" s="36"/>
      <c r="L98" s="36"/>
      <c r="M98" s="29">
        <f>IF(B98="","",IF(COUNTIF($B$8:$B$107,B98)&gt;1,"UYARI: Teminat ID mükerrer",IF(I98&gt;H98,"KRİTİK: Tahsis net değeri aşıyor","OK")))</f>
        <v>0</v>
      </c>
    </row>
    <row r="99" spans="2:13" ht="18" customHeight="1">
      <c r="B99" s="36"/>
      <c r="C99" s="36"/>
      <c r="D99" s="36"/>
      <c r="E99" s="36"/>
      <c r="F99" s="37"/>
      <c r="G99" s="36"/>
      <c r="H99" s="41">
        <f>IFERROR(F99*(1-G99),0)</f>
        <v>0</v>
      </c>
      <c r="I99" s="37"/>
      <c r="J99" s="41">
        <f>MAX(0,H99-I99)</f>
        <v>0</v>
      </c>
      <c r="K99" s="36"/>
      <c r="L99" s="36"/>
      <c r="M99" s="29">
        <f>IF(B99="","",IF(COUNTIF($B$8:$B$107,B99)&gt;1,"UYARI: Teminat ID mükerrer",IF(I99&gt;H99,"KRİTİK: Tahsis net değeri aşıyor","OK")))</f>
        <v>0</v>
      </c>
    </row>
    <row r="100" spans="2:13" ht="18" customHeight="1">
      <c r="B100" s="36"/>
      <c r="C100" s="36"/>
      <c r="D100" s="36"/>
      <c r="E100" s="36"/>
      <c r="F100" s="37"/>
      <c r="G100" s="36"/>
      <c r="H100" s="41">
        <f>IFERROR(F100*(1-G100),0)</f>
        <v>0</v>
      </c>
      <c r="I100" s="37"/>
      <c r="J100" s="41">
        <f>MAX(0,H100-I100)</f>
        <v>0</v>
      </c>
      <c r="K100" s="36"/>
      <c r="L100" s="36"/>
      <c r="M100" s="29">
        <f>IF(B100="","",IF(COUNTIF($B$8:$B$107,B100)&gt;1,"UYARI: Teminat ID mükerrer",IF(I100&gt;H100,"KRİTİK: Tahsis net değeri aşıyor","OK")))</f>
        <v>0</v>
      </c>
    </row>
    <row r="101" spans="2:13" ht="18" customHeight="1">
      <c r="B101" s="36"/>
      <c r="C101" s="36"/>
      <c r="D101" s="36"/>
      <c r="E101" s="36"/>
      <c r="F101" s="37"/>
      <c r="G101" s="36"/>
      <c r="H101" s="41">
        <f>IFERROR(F101*(1-G101),0)</f>
        <v>0</v>
      </c>
      <c r="I101" s="37"/>
      <c r="J101" s="41">
        <f>MAX(0,H101-I101)</f>
        <v>0</v>
      </c>
      <c r="K101" s="36"/>
      <c r="L101" s="36"/>
      <c r="M101" s="29">
        <f>IF(B101="","",IF(COUNTIF($B$8:$B$107,B101)&gt;1,"UYARI: Teminat ID mükerrer",IF(I101&gt;H101,"KRİTİK: Tahsis net değeri aşıyor","OK")))</f>
        <v>0</v>
      </c>
    </row>
    <row r="102" spans="2:13" ht="18" customHeight="1">
      <c r="B102" s="36"/>
      <c r="C102" s="36"/>
      <c r="D102" s="36"/>
      <c r="E102" s="36"/>
      <c r="F102" s="37"/>
      <c r="G102" s="36"/>
      <c r="H102" s="41">
        <f>IFERROR(F102*(1-G102),0)</f>
        <v>0</v>
      </c>
      <c r="I102" s="37"/>
      <c r="J102" s="41">
        <f>MAX(0,H102-I102)</f>
        <v>0</v>
      </c>
      <c r="K102" s="36"/>
      <c r="L102" s="36"/>
      <c r="M102" s="29">
        <f>IF(B102="","",IF(COUNTIF($B$8:$B$107,B102)&gt;1,"UYARI: Teminat ID mükerrer",IF(I102&gt;H102,"KRİTİK: Tahsis net değeri aşıyor","OK")))</f>
        <v>0</v>
      </c>
    </row>
    <row r="103" spans="2:13" ht="18" customHeight="1">
      <c r="B103" s="36"/>
      <c r="C103" s="36"/>
      <c r="D103" s="36"/>
      <c r="E103" s="36"/>
      <c r="F103" s="37"/>
      <c r="G103" s="36"/>
      <c r="H103" s="41">
        <f>IFERROR(F103*(1-G103),0)</f>
        <v>0</v>
      </c>
      <c r="I103" s="37"/>
      <c r="J103" s="41">
        <f>MAX(0,H103-I103)</f>
        <v>0</v>
      </c>
      <c r="K103" s="36"/>
      <c r="L103" s="36"/>
      <c r="M103" s="29">
        <f>IF(B103="","",IF(COUNTIF($B$8:$B$107,B103)&gt;1,"UYARI: Teminat ID mükerrer",IF(I103&gt;H103,"KRİTİK: Tahsis net değeri aşıyor","OK")))</f>
        <v>0</v>
      </c>
    </row>
    <row r="104" spans="2:13" ht="18" customHeight="1">
      <c r="B104" s="36"/>
      <c r="C104" s="36"/>
      <c r="D104" s="36"/>
      <c r="E104" s="36"/>
      <c r="F104" s="37"/>
      <c r="G104" s="36"/>
      <c r="H104" s="41">
        <f>IFERROR(F104*(1-G104),0)</f>
        <v>0</v>
      </c>
      <c r="I104" s="37"/>
      <c r="J104" s="41">
        <f>MAX(0,H104-I104)</f>
        <v>0</v>
      </c>
      <c r="K104" s="36"/>
      <c r="L104" s="36"/>
      <c r="M104" s="29">
        <f>IF(B104="","",IF(COUNTIF($B$8:$B$107,B104)&gt;1,"UYARI: Teminat ID mükerrer",IF(I104&gt;H104,"KRİTİK: Tahsis net değeri aşıyor","OK")))</f>
        <v>0</v>
      </c>
    </row>
    <row r="105" spans="2:13" ht="18" customHeight="1">
      <c r="B105" s="36"/>
      <c r="C105" s="36"/>
      <c r="D105" s="36"/>
      <c r="E105" s="36"/>
      <c r="F105" s="37"/>
      <c r="G105" s="36"/>
      <c r="H105" s="41">
        <f>IFERROR(F105*(1-G105),0)</f>
        <v>0</v>
      </c>
      <c r="I105" s="37"/>
      <c r="J105" s="41">
        <f>MAX(0,H105-I105)</f>
        <v>0</v>
      </c>
      <c r="K105" s="36"/>
      <c r="L105" s="36"/>
      <c r="M105" s="29">
        <f>IF(B105="","",IF(COUNTIF($B$8:$B$107,B105)&gt;1,"UYARI: Teminat ID mükerrer",IF(I105&gt;H105,"KRİTİK: Tahsis net değeri aşıyor","OK")))</f>
        <v>0</v>
      </c>
    </row>
    <row r="106" spans="2:13" ht="18" customHeight="1">
      <c r="B106" s="36"/>
      <c r="C106" s="36"/>
      <c r="D106" s="36"/>
      <c r="E106" s="36"/>
      <c r="F106" s="37"/>
      <c r="G106" s="36"/>
      <c r="H106" s="41">
        <f>IFERROR(F106*(1-G106),0)</f>
        <v>0</v>
      </c>
      <c r="I106" s="37"/>
      <c r="J106" s="41">
        <f>MAX(0,H106-I106)</f>
        <v>0</v>
      </c>
      <c r="K106" s="36"/>
      <c r="L106" s="36"/>
      <c r="M106" s="29">
        <f>IF(B106="","",IF(COUNTIF($B$8:$B$107,B106)&gt;1,"UYARI: Teminat ID mükerrer",IF(I106&gt;H106,"KRİTİK: Tahsis net değeri aşıyor","OK")))</f>
        <v>0</v>
      </c>
    </row>
    <row r="107" spans="2:13" ht="18" customHeight="1">
      <c r="B107" s="36"/>
      <c r="C107" s="36"/>
      <c r="D107" s="36"/>
      <c r="E107" s="36"/>
      <c r="F107" s="37"/>
      <c r="G107" s="36"/>
      <c r="H107" s="41">
        <f>IFERROR(F107*(1-G107),0)</f>
        <v>0</v>
      </c>
      <c r="I107" s="37"/>
      <c r="J107" s="41">
        <f>MAX(0,H107-I107)</f>
        <v>0</v>
      </c>
      <c r="K107" s="36"/>
      <c r="L107" s="36"/>
      <c r="M107" s="29">
        <f>IF(B107="","",IF(COUNTIF($B$8:$B$107,B107)&gt;1,"UYARI: Teminat ID mükerrer",IF(I107&gt;H107,"KRİTİK: Tahsis net değeri aşıyor","OK")))</f>
        <v>0</v>
      </c>
    </row>
  </sheetData>
  <autoFilter ref="B7"/>
  <mergeCells count="5">
    <mergeCell ref="A1:N2"/>
    <mergeCell ref="A3:N3"/>
    <mergeCell ref="A4:C4"/>
    <mergeCell ref="D4:N4"/>
    <mergeCell ref="A6:N6"/>
  </mergeCells>
  <hyperlinks>
    <hyperlink ref="A4" location="PANO!A1" display="☰ MENÜ / PANO"/>
  </hyperlink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7365D"/>
  </sheetPr>
  <dimension ref="A1:N57"/>
  <sheetViews>
    <sheetView showGridLines="0" workbookViewId="0">
      <pane ySplit="4" topLeftCell="A5" activePane="bottomLeft" state="frozen"/>
      <selection pane="bottomLeft"/>
    </sheetView>
  </sheetViews>
  <sheetFormatPr defaultRowHeight="18" customHeight="1"/>
  <cols>
    <col min="1" max="1" width="3.7109375" customWidth="1"/>
    <col min="2" max="2" width="24.7109375" customWidth="1"/>
    <col min="3" max="12" width="18.7109375" customWidth="1"/>
    <col min="13" max="13" width="28.7109375" customWidth="1"/>
    <col min="14" max="14" width="3.7109375" customWidth="1"/>
  </cols>
  <sheetData>
    <row r="1" spans="1:14" ht="28" customHeight="1">
      <c r="A1" s="1" t="s">
        <v>235</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236</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237</v>
      </c>
      <c r="B6" s="13"/>
      <c r="C6" s="13"/>
      <c r="D6" s="13"/>
      <c r="E6" s="13"/>
      <c r="F6" s="13"/>
      <c r="G6" s="13"/>
      <c r="H6" s="13"/>
      <c r="I6" s="13"/>
      <c r="J6" s="13"/>
      <c r="K6" s="13"/>
      <c r="L6" s="13"/>
      <c r="M6" s="13"/>
      <c r="N6" s="13"/>
    </row>
    <row r="7" spans="1:14" ht="18" customHeight="1">
      <c r="B7" s="25" t="s">
        <v>144</v>
      </c>
      <c r="C7" s="25" t="s">
        <v>238</v>
      </c>
      <c r="D7" s="25" t="s">
        <v>239</v>
      </c>
      <c r="E7" s="25" t="s">
        <v>240</v>
      </c>
      <c r="F7" s="25" t="s">
        <v>241</v>
      </c>
      <c r="G7" s="25" t="s">
        <v>242</v>
      </c>
      <c r="H7" s="25" t="s">
        <v>155</v>
      </c>
      <c r="I7" s="25" t="s">
        <v>243</v>
      </c>
      <c r="J7" s="25" t="s">
        <v>156</v>
      </c>
      <c r="K7" s="25" t="s">
        <v>244</v>
      </c>
      <c r="L7" s="25" t="s">
        <v>245</v>
      </c>
      <c r="M7" s="25" t="s">
        <v>154</v>
      </c>
    </row>
    <row r="8" spans="1:14" ht="18" customHeight="1">
      <c r="B8" s="29">
        <f>IF(BANKALAR!C9="","",BANKALAR!C9)</f>
        <v>0</v>
      </c>
      <c r="C8" s="41">
        <f>IF(B8="",0,SUMIFS(LIMITLER!$H$8:$H$207,LIMITLER!$C$8:$C$207,B8,LIMITLER!$E$8:$E$207,"Nakit"))</f>
        <v>0</v>
      </c>
      <c r="D8" s="41">
        <f>IF(B8="",0,SUMIFS(LIMITLER!$H$8:$H$207,LIMITLER!$C$8:$C$207,B8,LIMITLER!$E$8:$E$207,"Gayrinakdi"))</f>
        <v>0</v>
      </c>
      <c r="E8" s="41">
        <f>IF(B8="",0,SUMIFS(LIMITLER!$H$8:$H$207,LIMITLER!$C$8:$C$207,B8))</f>
        <v>0</v>
      </c>
      <c r="F8" s="41">
        <f>IF(B8="",0,SUMIFS(LIMITLER!$I$8:$I$207,LIMITLER!$C$8:$C$207,B8))</f>
        <v>0</v>
      </c>
      <c r="G8" s="41">
        <f>IF(B8="",0,SUMIFS(LIMITLER!$J$8:$J$207,LIMITLER!$C$8:$C$207,B8))</f>
        <v>0</v>
      </c>
      <c r="H8" s="41">
        <f>IF(B8="",0,SUMIFS(LIMITLER!$M$8:$M$207,LIMITLER!$C$8:$C$207,B8))</f>
        <v>0</v>
      </c>
      <c r="I8" s="42">
        <f>IFERROR(E8/SUM($E$8:$E$57),0)</f>
        <v>0</v>
      </c>
      <c r="J8" s="42">
        <f>IFERROR(F8/E8,0)</f>
        <v>0</v>
      </c>
      <c r="K8" s="29">
        <f>COUNTIFS(LIMITLER!$C$8:$C$207,B8,LIMITLER!$L$8:$L$207,"Aktif")</f>
        <v>0</v>
      </c>
      <c r="L8" s="29">
        <f>COUNTIFS(LIMITLER!$C$8:$C$207,B8,LIMITLER!$L$8:$L$207,"Aktif",LIMITLER!$K$8:$K$207,"&lt;"&amp;TODAY())</f>
        <v>0</v>
      </c>
      <c r="M8" s="29">
        <f>IF(B8="","",IF(L8&gt;0,"VADE UYARISI",IF(J8&gt;0.9,"ÇOK DOLU",IF(J8&gt;0.75,"YÜKSEK KULLANIM","UYGUN"))))</f>
        <v>0</v>
      </c>
    </row>
    <row r="9" spans="1:14" ht="18" customHeight="1">
      <c r="B9" s="29">
        <f>IF(BANKALAR!C10="","",BANKALAR!C10)</f>
        <v>0</v>
      </c>
      <c r="C9" s="41">
        <f>IF(B9="",0,SUMIFS(LIMITLER!$H$8:$H$207,LIMITLER!$C$8:$C$207,B9,LIMITLER!$E$8:$E$207,"Nakit"))</f>
        <v>0</v>
      </c>
      <c r="D9" s="41">
        <f>IF(B9="",0,SUMIFS(LIMITLER!$H$8:$H$207,LIMITLER!$C$8:$C$207,B9,LIMITLER!$E$8:$E$207,"Gayrinakdi"))</f>
        <v>0</v>
      </c>
      <c r="E9" s="41">
        <f>IF(B9="",0,SUMIFS(LIMITLER!$H$8:$H$207,LIMITLER!$C$8:$C$207,B9))</f>
        <v>0</v>
      </c>
      <c r="F9" s="41">
        <f>IF(B9="",0,SUMIFS(LIMITLER!$I$8:$I$207,LIMITLER!$C$8:$C$207,B9))</f>
        <v>0</v>
      </c>
      <c r="G9" s="41">
        <f>IF(B9="",0,SUMIFS(LIMITLER!$J$8:$J$207,LIMITLER!$C$8:$C$207,B9))</f>
        <v>0</v>
      </c>
      <c r="H9" s="41">
        <f>IF(B9="",0,SUMIFS(LIMITLER!$M$8:$M$207,LIMITLER!$C$8:$C$207,B9))</f>
        <v>0</v>
      </c>
      <c r="I9" s="42">
        <f>IFERROR(E9/SUM($E$8:$E$57),0)</f>
        <v>0</v>
      </c>
      <c r="J9" s="42">
        <f>IFERROR(F9/E9,0)</f>
        <v>0</v>
      </c>
      <c r="K9" s="29">
        <f>COUNTIFS(LIMITLER!$C$8:$C$207,B9,LIMITLER!$L$8:$L$207,"Aktif")</f>
        <v>0</v>
      </c>
      <c r="L9" s="29">
        <f>COUNTIFS(LIMITLER!$C$8:$C$207,B9,LIMITLER!$L$8:$L$207,"Aktif",LIMITLER!$K$8:$K$207,"&lt;"&amp;TODAY())</f>
        <v>0</v>
      </c>
      <c r="M9" s="29">
        <f>IF(B9="","",IF(L9&gt;0,"VADE UYARISI",IF(J9&gt;0.9,"ÇOK DOLU",IF(J9&gt;0.75,"YÜKSEK KULLANIM","UYGUN"))))</f>
        <v>0</v>
      </c>
    </row>
    <row r="10" spans="1:14" ht="18" customHeight="1">
      <c r="B10" s="29">
        <f>IF(BANKALAR!C11="","",BANKALAR!C11)</f>
        <v>0</v>
      </c>
      <c r="C10" s="41">
        <f>IF(B10="",0,SUMIFS(LIMITLER!$H$8:$H$207,LIMITLER!$C$8:$C$207,B10,LIMITLER!$E$8:$E$207,"Nakit"))</f>
        <v>0</v>
      </c>
      <c r="D10" s="41">
        <f>IF(B10="",0,SUMIFS(LIMITLER!$H$8:$H$207,LIMITLER!$C$8:$C$207,B10,LIMITLER!$E$8:$E$207,"Gayrinakdi"))</f>
        <v>0</v>
      </c>
      <c r="E10" s="41">
        <f>IF(B10="",0,SUMIFS(LIMITLER!$H$8:$H$207,LIMITLER!$C$8:$C$207,B10))</f>
        <v>0</v>
      </c>
      <c r="F10" s="41">
        <f>IF(B10="",0,SUMIFS(LIMITLER!$I$8:$I$207,LIMITLER!$C$8:$C$207,B10))</f>
        <v>0</v>
      </c>
      <c r="G10" s="41">
        <f>IF(B10="",0,SUMIFS(LIMITLER!$J$8:$J$207,LIMITLER!$C$8:$C$207,B10))</f>
        <v>0</v>
      </c>
      <c r="H10" s="41">
        <f>IF(B10="",0,SUMIFS(LIMITLER!$M$8:$M$207,LIMITLER!$C$8:$C$207,B10))</f>
        <v>0</v>
      </c>
      <c r="I10" s="42">
        <f>IFERROR(E10/SUM($E$8:$E$57),0)</f>
        <v>0</v>
      </c>
      <c r="J10" s="42">
        <f>IFERROR(F10/E10,0)</f>
        <v>0</v>
      </c>
      <c r="K10" s="29">
        <f>COUNTIFS(LIMITLER!$C$8:$C$207,B10,LIMITLER!$L$8:$L$207,"Aktif")</f>
        <v>0</v>
      </c>
      <c r="L10" s="29">
        <f>COUNTIFS(LIMITLER!$C$8:$C$207,B10,LIMITLER!$L$8:$L$207,"Aktif",LIMITLER!$K$8:$K$207,"&lt;"&amp;TODAY())</f>
        <v>0</v>
      </c>
      <c r="M10" s="29">
        <f>IF(B10="","",IF(L10&gt;0,"VADE UYARISI",IF(J10&gt;0.9,"ÇOK DOLU",IF(J10&gt;0.75,"YÜKSEK KULLANIM","UYGUN"))))</f>
        <v>0</v>
      </c>
    </row>
    <row r="11" spans="1:14" ht="18" customHeight="1">
      <c r="B11" s="29">
        <f>IF(BANKALAR!C12="","",BANKALAR!C12)</f>
        <v>0</v>
      </c>
      <c r="C11" s="41">
        <f>IF(B11="",0,SUMIFS(LIMITLER!$H$8:$H$207,LIMITLER!$C$8:$C$207,B11,LIMITLER!$E$8:$E$207,"Nakit"))</f>
        <v>0</v>
      </c>
      <c r="D11" s="41">
        <f>IF(B11="",0,SUMIFS(LIMITLER!$H$8:$H$207,LIMITLER!$C$8:$C$207,B11,LIMITLER!$E$8:$E$207,"Gayrinakdi"))</f>
        <v>0</v>
      </c>
      <c r="E11" s="41">
        <f>IF(B11="",0,SUMIFS(LIMITLER!$H$8:$H$207,LIMITLER!$C$8:$C$207,B11))</f>
        <v>0</v>
      </c>
      <c r="F11" s="41">
        <f>IF(B11="",0,SUMIFS(LIMITLER!$I$8:$I$207,LIMITLER!$C$8:$C$207,B11))</f>
        <v>0</v>
      </c>
      <c r="G11" s="41">
        <f>IF(B11="",0,SUMIFS(LIMITLER!$J$8:$J$207,LIMITLER!$C$8:$C$207,B11))</f>
        <v>0</v>
      </c>
      <c r="H11" s="41">
        <f>IF(B11="",0,SUMIFS(LIMITLER!$M$8:$M$207,LIMITLER!$C$8:$C$207,B11))</f>
        <v>0</v>
      </c>
      <c r="I11" s="42">
        <f>IFERROR(E11/SUM($E$8:$E$57),0)</f>
        <v>0</v>
      </c>
      <c r="J11" s="42">
        <f>IFERROR(F11/E11,0)</f>
        <v>0</v>
      </c>
      <c r="K11" s="29">
        <f>COUNTIFS(LIMITLER!$C$8:$C$207,B11,LIMITLER!$L$8:$L$207,"Aktif")</f>
        <v>0</v>
      </c>
      <c r="L11" s="29">
        <f>COUNTIFS(LIMITLER!$C$8:$C$207,B11,LIMITLER!$L$8:$L$207,"Aktif",LIMITLER!$K$8:$K$207,"&lt;"&amp;TODAY())</f>
        <v>0</v>
      </c>
      <c r="M11" s="29">
        <f>IF(B11="","",IF(L11&gt;0,"VADE UYARISI",IF(J11&gt;0.9,"ÇOK DOLU",IF(J11&gt;0.75,"YÜKSEK KULLANIM","UYGUN"))))</f>
        <v>0</v>
      </c>
    </row>
    <row r="12" spans="1:14" ht="18" customHeight="1">
      <c r="B12" s="29">
        <f>IF(BANKALAR!C13="","",BANKALAR!C13)</f>
        <v>0</v>
      </c>
      <c r="C12" s="41">
        <f>IF(B12="",0,SUMIFS(LIMITLER!$H$8:$H$207,LIMITLER!$C$8:$C$207,B12,LIMITLER!$E$8:$E$207,"Nakit"))</f>
        <v>0</v>
      </c>
      <c r="D12" s="41">
        <f>IF(B12="",0,SUMIFS(LIMITLER!$H$8:$H$207,LIMITLER!$C$8:$C$207,B12,LIMITLER!$E$8:$E$207,"Gayrinakdi"))</f>
        <v>0</v>
      </c>
      <c r="E12" s="41">
        <f>IF(B12="",0,SUMIFS(LIMITLER!$H$8:$H$207,LIMITLER!$C$8:$C$207,B12))</f>
        <v>0</v>
      </c>
      <c r="F12" s="41">
        <f>IF(B12="",0,SUMIFS(LIMITLER!$I$8:$I$207,LIMITLER!$C$8:$C$207,B12))</f>
        <v>0</v>
      </c>
      <c r="G12" s="41">
        <f>IF(B12="",0,SUMIFS(LIMITLER!$J$8:$J$207,LIMITLER!$C$8:$C$207,B12))</f>
        <v>0</v>
      </c>
      <c r="H12" s="41">
        <f>IF(B12="",0,SUMIFS(LIMITLER!$M$8:$M$207,LIMITLER!$C$8:$C$207,B12))</f>
        <v>0</v>
      </c>
      <c r="I12" s="42">
        <f>IFERROR(E12/SUM($E$8:$E$57),0)</f>
        <v>0</v>
      </c>
      <c r="J12" s="42">
        <f>IFERROR(F12/E12,0)</f>
        <v>0</v>
      </c>
      <c r="K12" s="29">
        <f>COUNTIFS(LIMITLER!$C$8:$C$207,B12,LIMITLER!$L$8:$L$207,"Aktif")</f>
        <v>0</v>
      </c>
      <c r="L12" s="29">
        <f>COUNTIFS(LIMITLER!$C$8:$C$207,B12,LIMITLER!$L$8:$L$207,"Aktif",LIMITLER!$K$8:$K$207,"&lt;"&amp;TODAY())</f>
        <v>0</v>
      </c>
      <c r="M12" s="29">
        <f>IF(B12="","",IF(L12&gt;0,"VADE UYARISI",IF(J12&gt;0.9,"ÇOK DOLU",IF(J12&gt;0.75,"YÜKSEK KULLANIM","UYGUN"))))</f>
        <v>0</v>
      </c>
    </row>
    <row r="13" spans="1:14" ht="18" customHeight="1">
      <c r="B13" s="29">
        <f>IF(BANKALAR!C14="","",BANKALAR!C14)</f>
        <v>0</v>
      </c>
      <c r="C13" s="41">
        <f>IF(B13="",0,SUMIFS(LIMITLER!$H$8:$H$207,LIMITLER!$C$8:$C$207,B13,LIMITLER!$E$8:$E$207,"Nakit"))</f>
        <v>0</v>
      </c>
      <c r="D13" s="41">
        <f>IF(B13="",0,SUMIFS(LIMITLER!$H$8:$H$207,LIMITLER!$C$8:$C$207,B13,LIMITLER!$E$8:$E$207,"Gayrinakdi"))</f>
        <v>0</v>
      </c>
      <c r="E13" s="41">
        <f>IF(B13="",0,SUMIFS(LIMITLER!$H$8:$H$207,LIMITLER!$C$8:$C$207,B13))</f>
        <v>0</v>
      </c>
      <c r="F13" s="41">
        <f>IF(B13="",0,SUMIFS(LIMITLER!$I$8:$I$207,LIMITLER!$C$8:$C$207,B13))</f>
        <v>0</v>
      </c>
      <c r="G13" s="41">
        <f>IF(B13="",0,SUMIFS(LIMITLER!$J$8:$J$207,LIMITLER!$C$8:$C$207,B13))</f>
        <v>0</v>
      </c>
      <c r="H13" s="41">
        <f>IF(B13="",0,SUMIFS(LIMITLER!$M$8:$M$207,LIMITLER!$C$8:$C$207,B13))</f>
        <v>0</v>
      </c>
      <c r="I13" s="42">
        <f>IFERROR(E13/SUM($E$8:$E$57),0)</f>
        <v>0</v>
      </c>
      <c r="J13" s="42">
        <f>IFERROR(F13/E13,0)</f>
        <v>0</v>
      </c>
      <c r="K13" s="29">
        <f>COUNTIFS(LIMITLER!$C$8:$C$207,B13,LIMITLER!$L$8:$L$207,"Aktif")</f>
        <v>0</v>
      </c>
      <c r="L13" s="29">
        <f>COUNTIFS(LIMITLER!$C$8:$C$207,B13,LIMITLER!$L$8:$L$207,"Aktif",LIMITLER!$K$8:$K$207,"&lt;"&amp;TODAY())</f>
        <v>0</v>
      </c>
      <c r="M13" s="29">
        <f>IF(B13="","",IF(L13&gt;0,"VADE UYARISI",IF(J13&gt;0.9,"ÇOK DOLU",IF(J13&gt;0.75,"YÜKSEK KULLANIM","UYGUN"))))</f>
        <v>0</v>
      </c>
    </row>
    <row r="14" spans="1:14" ht="18" customHeight="1">
      <c r="B14" s="29">
        <f>IF(BANKALAR!C15="","",BANKALAR!C15)</f>
        <v>0</v>
      </c>
      <c r="C14" s="41">
        <f>IF(B14="",0,SUMIFS(LIMITLER!$H$8:$H$207,LIMITLER!$C$8:$C$207,B14,LIMITLER!$E$8:$E$207,"Nakit"))</f>
        <v>0</v>
      </c>
      <c r="D14" s="41">
        <f>IF(B14="",0,SUMIFS(LIMITLER!$H$8:$H$207,LIMITLER!$C$8:$C$207,B14,LIMITLER!$E$8:$E$207,"Gayrinakdi"))</f>
        <v>0</v>
      </c>
      <c r="E14" s="41">
        <f>IF(B14="",0,SUMIFS(LIMITLER!$H$8:$H$207,LIMITLER!$C$8:$C$207,B14))</f>
        <v>0</v>
      </c>
      <c r="F14" s="41">
        <f>IF(B14="",0,SUMIFS(LIMITLER!$I$8:$I$207,LIMITLER!$C$8:$C$207,B14))</f>
        <v>0</v>
      </c>
      <c r="G14" s="41">
        <f>IF(B14="",0,SUMIFS(LIMITLER!$J$8:$J$207,LIMITLER!$C$8:$C$207,B14))</f>
        <v>0</v>
      </c>
      <c r="H14" s="41">
        <f>IF(B14="",0,SUMIFS(LIMITLER!$M$8:$M$207,LIMITLER!$C$8:$C$207,B14))</f>
        <v>0</v>
      </c>
      <c r="I14" s="42">
        <f>IFERROR(E14/SUM($E$8:$E$57),0)</f>
        <v>0</v>
      </c>
      <c r="J14" s="42">
        <f>IFERROR(F14/E14,0)</f>
        <v>0</v>
      </c>
      <c r="K14" s="29">
        <f>COUNTIFS(LIMITLER!$C$8:$C$207,B14,LIMITLER!$L$8:$L$207,"Aktif")</f>
        <v>0</v>
      </c>
      <c r="L14" s="29">
        <f>COUNTIFS(LIMITLER!$C$8:$C$207,B14,LIMITLER!$L$8:$L$207,"Aktif",LIMITLER!$K$8:$K$207,"&lt;"&amp;TODAY())</f>
        <v>0</v>
      </c>
      <c r="M14" s="29">
        <f>IF(B14="","",IF(L14&gt;0,"VADE UYARISI",IF(J14&gt;0.9,"ÇOK DOLU",IF(J14&gt;0.75,"YÜKSEK KULLANIM","UYGUN"))))</f>
        <v>0</v>
      </c>
    </row>
    <row r="15" spans="1:14" ht="18" customHeight="1">
      <c r="B15" s="29">
        <f>IF(BANKALAR!C16="","",BANKALAR!C16)</f>
        <v>0</v>
      </c>
      <c r="C15" s="41">
        <f>IF(B15="",0,SUMIFS(LIMITLER!$H$8:$H$207,LIMITLER!$C$8:$C$207,B15,LIMITLER!$E$8:$E$207,"Nakit"))</f>
        <v>0</v>
      </c>
      <c r="D15" s="41">
        <f>IF(B15="",0,SUMIFS(LIMITLER!$H$8:$H$207,LIMITLER!$C$8:$C$207,B15,LIMITLER!$E$8:$E$207,"Gayrinakdi"))</f>
        <v>0</v>
      </c>
      <c r="E15" s="41">
        <f>IF(B15="",0,SUMIFS(LIMITLER!$H$8:$H$207,LIMITLER!$C$8:$C$207,B15))</f>
        <v>0</v>
      </c>
      <c r="F15" s="41">
        <f>IF(B15="",0,SUMIFS(LIMITLER!$I$8:$I$207,LIMITLER!$C$8:$C$207,B15))</f>
        <v>0</v>
      </c>
      <c r="G15" s="41">
        <f>IF(B15="",0,SUMIFS(LIMITLER!$J$8:$J$207,LIMITLER!$C$8:$C$207,B15))</f>
        <v>0</v>
      </c>
      <c r="H15" s="41">
        <f>IF(B15="",0,SUMIFS(LIMITLER!$M$8:$M$207,LIMITLER!$C$8:$C$207,B15))</f>
        <v>0</v>
      </c>
      <c r="I15" s="42">
        <f>IFERROR(E15/SUM($E$8:$E$57),0)</f>
        <v>0</v>
      </c>
      <c r="J15" s="42">
        <f>IFERROR(F15/E15,0)</f>
        <v>0</v>
      </c>
      <c r="K15" s="29">
        <f>COUNTIFS(LIMITLER!$C$8:$C$207,B15,LIMITLER!$L$8:$L$207,"Aktif")</f>
        <v>0</v>
      </c>
      <c r="L15" s="29">
        <f>COUNTIFS(LIMITLER!$C$8:$C$207,B15,LIMITLER!$L$8:$L$207,"Aktif",LIMITLER!$K$8:$K$207,"&lt;"&amp;TODAY())</f>
        <v>0</v>
      </c>
      <c r="M15" s="29">
        <f>IF(B15="","",IF(L15&gt;0,"VADE UYARISI",IF(J15&gt;0.9,"ÇOK DOLU",IF(J15&gt;0.75,"YÜKSEK KULLANIM","UYGUN"))))</f>
        <v>0</v>
      </c>
    </row>
    <row r="16" spans="1:14" ht="18" customHeight="1">
      <c r="B16" s="29">
        <f>IF(BANKALAR!C17="","",BANKALAR!C17)</f>
        <v>0</v>
      </c>
      <c r="C16" s="41">
        <f>IF(B16="",0,SUMIFS(LIMITLER!$H$8:$H$207,LIMITLER!$C$8:$C$207,B16,LIMITLER!$E$8:$E$207,"Nakit"))</f>
        <v>0</v>
      </c>
      <c r="D16" s="41">
        <f>IF(B16="",0,SUMIFS(LIMITLER!$H$8:$H$207,LIMITLER!$C$8:$C$207,B16,LIMITLER!$E$8:$E$207,"Gayrinakdi"))</f>
        <v>0</v>
      </c>
      <c r="E16" s="41">
        <f>IF(B16="",0,SUMIFS(LIMITLER!$H$8:$H$207,LIMITLER!$C$8:$C$207,B16))</f>
        <v>0</v>
      </c>
      <c r="F16" s="41">
        <f>IF(B16="",0,SUMIFS(LIMITLER!$I$8:$I$207,LIMITLER!$C$8:$C$207,B16))</f>
        <v>0</v>
      </c>
      <c r="G16" s="41">
        <f>IF(B16="",0,SUMIFS(LIMITLER!$J$8:$J$207,LIMITLER!$C$8:$C$207,B16))</f>
        <v>0</v>
      </c>
      <c r="H16" s="41">
        <f>IF(B16="",0,SUMIFS(LIMITLER!$M$8:$M$207,LIMITLER!$C$8:$C$207,B16))</f>
        <v>0</v>
      </c>
      <c r="I16" s="42">
        <f>IFERROR(E16/SUM($E$8:$E$57),0)</f>
        <v>0</v>
      </c>
      <c r="J16" s="42">
        <f>IFERROR(F16/E16,0)</f>
        <v>0</v>
      </c>
      <c r="K16" s="29">
        <f>COUNTIFS(LIMITLER!$C$8:$C$207,B16,LIMITLER!$L$8:$L$207,"Aktif")</f>
        <v>0</v>
      </c>
      <c r="L16" s="29">
        <f>COUNTIFS(LIMITLER!$C$8:$C$207,B16,LIMITLER!$L$8:$L$207,"Aktif",LIMITLER!$K$8:$K$207,"&lt;"&amp;TODAY())</f>
        <v>0</v>
      </c>
      <c r="M16" s="29">
        <f>IF(B16="","",IF(L16&gt;0,"VADE UYARISI",IF(J16&gt;0.9,"ÇOK DOLU",IF(J16&gt;0.75,"YÜKSEK KULLANIM","UYGUN"))))</f>
        <v>0</v>
      </c>
    </row>
    <row r="17" spans="2:13" ht="18" customHeight="1">
      <c r="B17" s="29">
        <f>IF(BANKALAR!C18="","",BANKALAR!C18)</f>
        <v>0</v>
      </c>
      <c r="C17" s="41">
        <f>IF(B17="",0,SUMIFS(LIMITLER!$H$8:$H$207,LIMITLER!$C$8:$C$207,B17,LIMITLER!$E$8:$E$207,"Nakit"))</f>
        <v>0</v>
      </c>
      <c r="D17" s="41">
        <f>IF(B17="",0,SUMIFS(LIMITLER!$H$8:$H$207,LIMITLER!$C$8:$C$207,B17,LIMITLER!$E$8:$E$207,"Gayrinakdi"))</f>
        <v>0</v>
      </c>
      <c r="E17" s="41">
        <f>IF(B17="",0,SUMIFS(LIMITLER!$H$8:$H$207,LIMITLER!$C$8:$C$207,B17))</f>
        <v>0</v>
      </c>
      <c r="F17" s="41">
        <f>IF(B17="",0,SUMIFS(LIMITLER!$I$8:$I$207,LIMITLER!$C$8:$C$207,B17))</f>
        <v>0</v>
      </c>
      <c r="G17" s="41">
        <f>IF(B17="",0,SUMIFS(LIMITLER!$J$8:$J$207,LIMITLER!$C$8:$C$207,B17))</f>
        <v>0</v>
      </c>
      <c r="H17" s="41">
        <f>IF(B17="",0,SUMIFS(LIMITLER!$M$8:$M$207,LIMITLER!$C$8:$C$207,B17))</f>
        <v>0</v>
      </c>
      <c r="I17" s="42">
        <f>IFERROR(E17/SUM($E$8:$E$57),0)</f>
        <v>0</v>
      </c>
      <c r="J17" s="42">
        <f>IFERROR(F17/E17,0)</f>
        <v>0</v>
      </c>
      <c r="K17" s="29">
        <f>COUNTIFS(LIMITLER!$C$8:$C$207,B17,LIMITLER!$L$8:$L$207,"Aktif")</f>
        <v>0</v>
      </c>
      <c r="L17" s="29">
        <f>COUNTIFS(LIMITLER!$C$8:$C$207,B17,LIMITLER!$L$8:$L$207,"Aktif",LIMITLER!$K$8:$K$207,"&lt;"&amp;TODAY())</f>
        <v>0</v>
      </c>
      <c r="M17" s="29">
        <f>IF(B17="","",IF(L17&gt;0,"VADE UYARISI",IF(J17&gt;0.9,"ÇOK DOLU",IF(J17&gt;0.75,"YÜKSEK KULLANIM","UYGUN"))))</f>
        <v>0</v>
      </c>
    </row>
    <row r="18" spans="2:13" ht="18" customHeight="1">
      <c r="B18" s="29">
        <f>IF(BANKALAR!C19="","",BANKALAR!C19)</f>
        <v>0</v>
      </c>
      <c r="C18" s="41">
        <f>IF(B18="",0,SUMIFS(LIMITLER!$H$8:$H$207,LIMITLER!$C$8:$C$207,B18,LIMITLER!$E$8:$E$207,"Nakit"))</f>
        <v>0</v>
      </c>
      <c r="D18" s="41">
        <f>IF(B18="",0,SUMIFS(LIMITLER!$H$8:$H$207,LIMITLER!$C$8:$C$207,B18,LIMITLER!$E$8:$E$207,"Gayrinakdi"))</f>
        <v>0</v>
      </c>
      <c r="E18" s="41">
        <f>IF(B18="",0,SUMIFS(LIMITLER!$H$8:$H$207,LIMITLER!$C$8:$C$207,B18))</f>
        <v>0</v>
      </c>
      <c r="F18" s="41">
        <f>IF(B18="",0,SUMIFS(LIMITLER!$I$8:$I$207,LIMITLER!$C$8:$C$207,B18))</f>
        <v>0</v>
      </c>
      <c r="G18" s="41">
        <f>IF(B18="",0,SUMIFS(LIMITLER!$J$8:$J$207,LIMITLER!$C$8:$C$207,B18))</f>
        <v>0</v>
      </c>
      <c r="H18" s="41">
        <f>IF(B18="",0,SUMIFS(LIMITLER!$M$8:$M$207,LIMITLER!$C$8:$C$207,B18))</f>
        <v>0</v>
      </c>
      <c r="I18" s="42">
        <f>IFERROR(E18/SUM($E$8:$E$57),0)</f>
        <v>0</v>
      </c>
      <c r="J18" s="42">
        <f>IFERROR(F18/E18,0)</f>
        <v>0</v>
      </c>
      <c r="K18" s="29">
        <f>COUNTIFS(LIMITLER!$C$8:$C$207,B18,LIMITLER!$L$8:$L$207,"Aktif")</f>
        <v>0</v>
      </c>
      <c r="L18" s="29">
        <f>COUNTIFS(LIMITLER!$C$8:$C$207,B18,LIMITLER!$L$8:$L$207,"Aktif",LIMITLER!$K$8:$K$207,"&lt;"&amp;TODAY())</f>
        <v>0</v>
      </c>
      <c r="M18" s="29">
        <f>IF(B18="","",IF(L18&gt;0,"VADE UYARISI",IF(J18&gt;0.9,"ÇOK DOLU",IF(J18&gt;0.75,"YÜKSEK KULLANIM","UYGUN"))))</f>
        <v>0</v>
      </c>
    </row>
    <row r="19" spans="2:13" ht="18" customHeight="1">
      <c r="B19" s="29">
        <f>IF(BANKALAR!C20="","",BANKALAR!C20)</f>
        <v>0</v>
      </c>
      <c r="C19" s="41">
        <f>IF(B19="",0,SUMIFS(LIMITLER!$H$8:$H$207,LIMITLER!$C$8:$C$207,B19,LIMITLER!$E$8:$E$207,"Nakit"))</f>
        <v>0</v>
      </c>
      <c r="D19" s="41">
        <f>IF(B19="",0,SUMIFS(LIMITLER!$H$8:$H$207,LIMITLER!$C$8:$C$207,B19,LIMITLER!$E$8:$E$207,"Gayrinakdi"))</f>
        <v>0</v>
      </c>
      <c r="E19" s="41">
        <f>IF(B19="",0,SUMIFS(LIMITLER!$H$8:$H$207,LIMITLER!$C$8:$C$207,B19))</f>
        <v>0</v>
      </c>
      <c r="F19" s="41">
        <f>IF(B19="",0,SUMIFS(LIMITLER!$I$8:$I$207,LIMITLER!$C$8:$C$207,B19))</f>
        <v>0</v>
      </c>
      <c r="G19" s="41">
        <f>IF(B19="",0,SUMIFS(LIMITLER!$J$8:$J$207,LIMITLER!$C$8:$C$207,B19))</f>
        <v>0</v>
      </c>
      <c r="H19" s="41">
        <f>IF(B19="",0,SUMIFS(LIMITLER!$M$8:$M$207,LIMITLER!$C$8:$C$207,B19))</f>
        <v>0</v>
      </c>
      <c r="I19" s="42">
        <f>IFERROR(E19/SUM($E$8:$E$57),0)</f>
        <v>0</v>
      </c>
      <c r="J19" s="42">
        <f>IFERROR(F19/E19,0)</f>
        <v>0</v>
      </c>
      <c r="K19" s="29">
        <f>COUNTIFS(LIMITLER!$C$8:$C$207,B19,LIMITLER!$L$8:$L$207,"Aktif")</f>
        <v>0</v>
      </c>
      <c r="L19" s="29">
        <f>COUNTIFS(LIMITLER!$C$8:$C$207,B19,LIMITLER!$L$8:$L$207,"Aktif",LIMITLER!$K$8:$K$207,"&lt;"&amp;TODAY())</f>
        <v>0</v>
      </c>
      <c r="M19" s="29">
        <f>IF(B19="","",IF(L19&gt;0,"VADE UYARISI",IF(J19&gt;0.9,"ÇOK DOLU",IF(J19&gt;0.75,"YÜKSEK KULLANIM","UYGUN"))))</f>
        <v>0</v>
      </c>
    </row>
    <row r="20" spans="2:13" ht="18" customHeight="1">
      <c r="B20" s="29">
        <f>IF(BANKALAR!C21="","",BANKALAR!C21)</f>
        <v>0</v>
      </c>
      <c r="C20" s="41">
        <f>IF(B20="",0,SUMIFS(LIMITLER!$H$8:$H$207,LIMITLER!$C$8:$C$207,B20,LIMITLER!$E$8:$E$207,"Nakit"))</f>
        <v>0</v>
      </c>
      <c r="D20" s="41">
        <f>IF(B20="",0,SUMIFS(LIMITLER!$H$8:$H$207,LIMITLER!$C$8:$C$207,B20,LIMITLER!$E$8:$E$207,"Gayrinakdi"))</f>
        <v>0</v>
      </c>
      <c r="E20" s="41">
        <f>IF(B20="",0,SUMIFS(LIMITLER!$H$8:$H$207,LIMITLER!$C$8:$C$207,B20))</f>
        <v>0</v>
      </c>
      <c r="F20" s="41">
        <f>IF(B20="",0,SUMIFS(LIMITLER!$I$8:$I$207,LIMITLER!$C$8:$C$207,B20))</f>
        <v>0</v>
      </c>
      <c r="G20" s="41">
        <f>IF(B20="",0,SUMIFS(LIMITLER!$J$8:$J$207,LIMITLER!$C$8:$C$207,B20))</f>
        <v>0</v>
      </c>
      <c r="H20" s="41">
        <f>IF(B20="",0,SUMIFS(LIMITLER!$M$8:$M$207,LIMITLER!$C$8:$C$207,B20))</f>
        <v>0</v>
      </c>
      <c r="I20" s="42">
        <f>IFERROR(E20/SUM($E$8:$E$57),0)</f>
        <v>0</v>
      </c>
      <c r="J20" s="42">
        <f>IFERROR(F20/E20,0)</f>
        <v>0</v>
      </c>
      <c r="K20" s="29">
        <f>COUNTIFS(LIMITLER!$C$8:$C$207,B20,LIMITLER!$L$8:$L$207,"Aktif")</f>
        <v>0</v>
      </c>
      <c r="L20" s="29">
        <f>COUNTIFS(LIMITLER!$C$8:$C$207,B20,LIMITLER!$L$8:$L$207,"Aktif",LIMITLER!$K$8:$K$207,"&lt;"&amp;TODAY())</f>
        <v>0</v>
      </c>
      <c r="M20" s="29">
        <f>IF(B20="","",IF(L20&gt;0,"VADE UYARISI",IF(J20&gt;0.9,"ÇOK DOLU",IF(J20&gt;0.75,"YÜKSEK KULLANIM","UYGUN"))))</f>
        <v>0</v>
      </c>
    </row>
    <row r="21" spans="2:13" ht="18" customHeight="1">
      <c r="B21" s="29">
        <f>IF(BANKALAR!C22="","",BANKALAR!C22)</f>
        <v>0</v>
      </c>
      <c r="C21" s="41">
        <f>IF(B21="",0,SUMIFS(LIMITLER!$H$8:$H$207,LIMITLER!$C$8:$C$207,B21,LIMITLER!$E$8:$E$207,"Nakit"))</f>
        <v>0</v>
      </c>
      <c r="D21" s="41">
        <f>IF(B21="",0,SUMIFS(LIMITLER!$H$8:$H$207,LIMITLER!$C$8:$C$207,B21,LIMITLER!$E$8:$E$207,"Gayrinakdi"))</f>
        <v>0</v>
      </c>
      <c r="E21" s="41">
        <f>IF(B21="",0,SUMIFS(LIMITLER!$H$8:$H$207,LIMITLER!$C$8:$C$207,B21))</f>
        <v>0</v>
      </c>
      <c r="F21" s="41">
        <f>IF(B21="",0,SUMIFS(LIMITLER!$I$8:$I$207,LIMITLER!$C$8:$C$207,B21))</f>
        <v>0</v>
      </c>
      <c r="G21" s="41">
        <f>IF(B21="",0,SUMIFS(LIMITLER!$J$8:$J$207,LIMITLER!$C$8:$C$207,B21))</f>
        <v>0</v>
      </c>
      <c r="H21" s="41">
        <f>IF(B21="",0,SUMIFS(LIMITLER!$M$8:$M$207,LIMITLER!$C$8:$C$207,B21))</f>
        <v>0</v>
      </c>
      <c r="I21" s="42">
        <f>IFERROR(E21/SUM($E$8:$E$57),0)</f>
        <v>0</v>
      </c>
      <c r="J21" s="42">
        <f>IFERROR(F21/E21,0)</f>
        <v>0</v>
      </c>
      <c r="K21" s="29">
        <f>COUNTIFS(LIMITLER!$C$8:$C$207,B21,LIMITLER!$L$8:$L$207,"Aktif")</f>
        <v>0</v>
      </c>
      <c r="L21" s="29">
        <f>COUNTIFS(LIMITLER!$C$8:$C$207,B21,LIMITLER!$L$8:$L$207,"Aktif",LIMITLER!$K$8:$K$207,"&lt;"&amp;TODAY())</f>
        <v>0</v>
      </c>
      <c r="M21" s="29">
        <f>IF(B21="","",IF(L21&gt;0,"VADE UYARISI",IF(J21&gt;0.9,"ÇOK DOLU",IF(J21&gt;0.75,"YÜKSEK KULLANIM","UYGUN"))))</f>
        <v>0</v>
      </c>
    </row>
    <row r="22" spans="2:13" ht="18" customHeight="1">
      <c r="B22" s="29">
        <f>IF(BANKALAR!C23="","",BANKALAR!C23)</f>
        <v>0</v>
      </c>
      <c r="C22" s="41">
        <f>IF(B22="",0,SUMIFS(LIMITLER!$H$8:$H$207,LIMITLER!$C$8:$C$207,B22,LIMITLER!$E$8:$E$207,"Nakit"))</f>
        <v>0</v>
      </c>
      <c r="D22" s="41">
        <f>IF(B22="",0,SUMIFS(LIMITLER!$H$8:$H$207,LIMITLER!$C$8:$C$207,B22,LIMITLER!$E$8:$E$207,"Gayrinakdi"))</f>
        <v>0</v>
      </c>
      <c r="E22" s="41">
        <f>IF(B22="",0,SUMIFS(LIMITLER!$H$8:$H$207,LIMITLER!$C$8:$C$207,B22))</f>
        <v>0</v>
      </c>
      <c r="F22" s="41">
        <f>IF(B22="",0,SUMIFS(LIMITLER!$I$8:$I$207,LIMITLER!$C$8:$C$207,B22))</f>
        <v>0</v>
      </c>
      <c r="G22" s="41">
        <f>IF(B22="",0,SUMIFS(LIMITLER!$J$8:$J$207,LIMITLER!$C$8:$C$207,B22))</f>
        <v>0</v>
      </c>
      <c r="H22" s="41">
        <f>IF(B22="",0,SUMIFS(LIMITLER!$M$8:$M$207,LIMITLER!$C$8:$C$207,B22))</f>
        <v>0</v>
      </c>
      <c r="I22" s="42">
        <f>IFERROR(E22/SUM($E$8:$E$57),0)</f>
        <v>0</v>
      </c>
      <c r="J22" s="42">
        <f>IFERROR(F22/E22,0)</f>
        <v>0</v>
      </c>
      <c r="K22" s="29">
        <f>COUNTIFS(LIMITLER!$C$8:$C$207,B22,LIMITLER!$L$8:$L$207,"Aktif")</f>
        <v>0</v>
      </c>
      <c r="L22" s="29">
        <f>COUNTIFS(LIMITLER!$C$8:$C$207,B22,LIMITLER!$L$8:$L$207,"Aktif",LIMITLER!$K$8:$K$207,"&lt;"&amp;TODAY())</f>
        <v>0</v>
      </c>
      <c r="M22" s="29">
        <f>IF(B22="","",IF(L22&gt;0,"VADE UYARISI",IF(J22&gt;0.9,"ÇOK DOLU",IF(J22&gt;0.75,"YÜKSEK KULLANIM","UYGUN"))))</f>
        <v>0</v>
      </c>
    </row>
    <row r="23" spans="2:13" ht="18" customHeight="1">
      <c r="B23" s="29">
        <f>IF(BANKALAR!C24="","",BANKALAR!C24)</f>
        <v>0</v>
      </c>
      <c r="C23" s="41">
        <f>IF(B23="",0,SUMIFS(LIMITLER!$H$8:$H$207,LIMITLER!$C$8:$C$207,B23,LIMITLER!$E$8:$E$207,"Nakit"))</f>
        <v>0</v>
      </c>
      <c r="D23" s="41">
        <f>IF(B23="",0,SUMIFS(LIMITLER!$H$8:$H$207,LIMITLER!$C$8:$C$207,B23,LIMITLER!$E$8:$E$207,"Gayrinakdi"))</f>
        <v>0</v>
      </c>
      <c r="E23" s="41">
        <f>IF(B23="",0,SUMIFS(LIMITLER!$H$8:$H$207,LIMITLER!$C$8:$C$207,B23))</f>
        <v>0</v>
      </c>
      <c r="F23" s="41">
        <f>IF(B23="",0,SUMIFS(LIMITLER!$I$8:$I$207,LIMITLER!$C$8:$C$207,B23))</f>
        <v>0</v>
      </c>
      <c r="G23" s="41">
        <f>IF(B23="",0,SUMIFS(LIMITLER!$J$8:$J$207,LIMITLER!$C$8:$C$207,B23))</f>
        <v>0</v>
      </c>
      <c r="H23" s="41">
        <f>IF(B23="",0,SUMIFS(LIMITLER!$M$8:$M$207,LIMITLER!$C$8:$C$207,B23))</f>
        <v>0</v>
      </c>
      <c r="I23" s="42">
        <f>IFERROR(E23/SUM($E$8:$E$57),0)</f>
        <v>0</v>
      </c>
      <c r="J23" s="42">
        <f>IFERROR(F23/E23,0)</f>
        <v>0</v>
      </c>
      <c r="K23" s="29">
        <f>COUNTIFS(LIMITLER!$C$8:$C$207,B23,LIMITLER!$L$8:$L$207,"Aktif")</f>
        <v>0</v>
      </c>
      <c r="L23" s="29">
        <f>COUNTIFS(LIMITLER!$C$8:$C$207,B23,LIMITLER!$L$8:$L$207,"Aktif",LIMITLER!$K$8:$K$207,"&lt;"&amp;TODAY())</f>
        <v>0</v>
      </c>
      <c r="M23" s="29">
        <f>IF(B23="","",IF(L23&gt;0,"VADE UYARISI",IF(J23&gt;0.9,"ÇOK DOLU",IF(J23&gt;0.75,"YÜKSEK KULLANIM","UYGUN"))))</f>
        <v>0</v>
      </c>
    </row>
    <row r="24" spans="2:13" ht="18" customHeight="1">
      <c r="B24" s="29">
        <f>IF(BANKALAR!C25="","",BANKALAR!C25)</f>
        <v>0</v>
      </c>
      <c r="C24" s="41">
        <f>IF(B24="",0,SUMIFS(LIMITLER!$H$8:$H$207,LIMITLER!$C$8:$C$207,B24,LIMITLER!$E$8:$E$207,"Nakit"))</f>
        <v>0</v>
      </c>
      <c r="D24" s="41">
        <f>IF(B24="",0,SUMIFS(LIMITLER!$H$8:$H$207,LIMITLER!$C$8:$C$207,B24,LIMITLER!$E$8:$E$207,"Gayrinakdi"))</f>
        <v>0</v>
      </c>
      <c r="E24" s="41">
        <f>IF(B24="",0,SUMIFS(LIMITLER!$H$8:$H$207,LIMITLER!$C$8:$C$207,B24))</f>
        <v>0</v>
      </c>
      <c r="F24" s="41">
        <f>IF(B24="",0,SUMIFS(LIMITLER!$I$8:$I$207,LIMITLER!$C$8:$C$207,B24))</f>
        <v>0</v>
      </c>
      <c r="G24" s="41">
        <f>IF(B24="",0,SUMIFS(LIMITLER!$J$8:$J$207,LIMITLER!$C$8:$C$207,B24))</f>
        <v>0</v>
      </c>
      <c r="H24" s="41">
        <f>IF(B24="",0,SUMIFS(LIMITLER!$M$8:$M$207,LIMITLER!$C$8:$C$207,B24))</f>
        <v>0</v>
      </c>
      <c r="I24" s="42">
        <f>IFERROR(E24/SUM($E$8:$E$57),0)</f>
        <v>0</v>
      </c>
      <c r="J24" s="42">
        <f>IFERROR(F24/E24,0)</f>
        <v>0</v>
      </c>
      <c r="K24" s="29">
        <f>COUNTIFS(LIMITLER!$C$8:$C$207,B24,LIMITLER!$L$8:$L$207,"Aktif")</f>
        <v>0</v>
      </c>
      <c r="L24" s="29">
        <f>COUNTIFS(LIMITLER!$C$8:$C$207,B24,LIMITLER!$L$8:$L$207,"Aktif",LIMITLER!$K$8:$K$207,"&lt;"&amp;TODAY())</f>
        <v>0</v>
      </c>
      <c r="M24" s="29">
        <f>IF(B24="","",IF(L24&gt;0,"VADE UYARISI",IF(J24&gt;0.9,"ÇOK DOLU",IF(J24&gt;0.75,"YÜKSEK KULLANIM","UYGUN"))))</f>
        <v>0</v>
      </c>
    </row>
    <row r="25" spans="2:13" ht="18" customHeight="1">
      <c r="B25" s="29">
        <f>IF(BANKALAR!C26="","",BANKALAR!C26)</f>
        <v>0</v>
      </c>
      <c r="C25" s="41">
        <f>IF(B25="",0,SUMIFS(LIMITLER!$H$8:$H$207,LIMITLER!$C$8:$C$207,B25,LIMITLER!$E$8:$E$207,"Nakit"))</f>
        <v>0</v>
      </c>
      <c r="D25" s="41">
        <f>IF(B25="",0,SUMIFS(LIMITLER!$H$8:$H$207,LIMITLER!$C$8:$C$207,B25,LIMITLER!$E$8:$E$207,"Gayrinakdi"))</f>
        <v>0</v>
      </c>
      <c r="E25" s="41">
        <f>IF(B25="",0,SUMIFS(LIMITLER!$H$8:$H$207,LIMITLER!$C$8:$C$207,B25))</f>
        <v>0</v>
      </c>
      <c r="F25" s="41">
        <f>IF(B25="",0,SUMIFS(LIMITLER!$I$8:$I$207,LIMITLER!$C$8:$C$207,B25))</f>
        <v>0</v>
      </c>
      <c r="G25" s="41">
        <f>IF(B25="",0,SUMIFS(LIMITLER!$J$8:$J$207,LIMITLER!$C$8:$C$207,B25))</f>
        <v>0</v>
      </c>
      <c r="H25" s="41">
        <f>IF(B25="",0,SUMIFS(LIMITLER!$M$8:$M$207,LIMITLER!$C$8:$C$207,B25))</f>
        <v>0</v>
      </c>
      <c r="I25" s="42">
        <f>IFERROR(E25/SUM($E$8:$E$57),0)</f>
        <v>0</v>
      </c>
      <c r="J25" s="42">
        <f>IFERROR(F25/E25,0)</f>
        <v>0</v>
      </c>
      <c r="K25" s="29">
        <f>COUNTIFS(LIMITLER!$C$8:$C$207,B25,LIMITLER!$L$8:$L$207,"Aktif")</f>
        <v>0</v>
      </c>
      <c r="L25" s="29">
        <f>COUNTIFS(LIMITLER!$C$8:$C$207,B25,LIMITLER!$L$8:$L$207,"Aktif",LIMITLER!$K$8:$K$207,"&lt;"&amp;TODAY())</f>
        <v>0</v>
      </c>
      <c r="M25" s="29">
        <f>IF(B25="","",IF(L25&gt;0,"VADE UYARISI",IF(J25&gt;0.9,"ÇOK DOLU",IF(J25&gt;0.75,"YÜKSEK KULLANIM","UYGUN"))))</f>
        <v>0</v>
      </c>
    </row>
    <row r="26" spans="2:13" ht="18" customHeight="1">
      <c r="B26" s="29">
        <f>IF(BANKALAR!C27="","",BANKALAR!C27)</f>
        <v>0</v>
      </c>
      <c r="C26" s="41">
        <f>IF(B26="",0,SUMIFS(LIMITLER!$H$8:$H$207,LIMITLER!$C$8:$C$207,B26,LIMITLER!$E$8:$E$207,"Nakit"))</f>
        <v>0</v>
      </c>
      <c r="D26" s="41">
        <f>IF(B26="",0,SUMIFS(LIMITLER!$H$8:$H$207,LIMITLER!$C$8:$C$207,B26,LIMITLER!$E$8:$E$207,"Gayrinakdi"))</f>
        <v>0</v>
      </c>
      <c r="E26" s="41">
        <f>IF(B26="",0,SUMIFS(LIMITLER!$H$8:$H$207,LIMITLER!$C$8:$C$207,B26))</f>
        <v>0</v>
      </c>
      <c r="F26" s="41">
        <f>IF(B26="",0,SUMIFS(LIMITLER!$I$8:$I$207,LIMITLER!$C$8:$C$207,B26))</f>
        <v>0</v>
      </c>
      <c r="G26" s="41">
        <f>IF(B26="",0,SUMIFS(LIMITLER!$J$8:$J$207,LIMITLER!$C$8:$C$207,B26))</f>
        <v>0</v>
      </c>
      <c r="H26" s="41">
        <f>IF(B26="",0,SUMIFS(LIMITLER!$M$8:$M$207,LIMITLER!$C$8:$C$207,B26))</f>
        <v>0</v>
      </c>
      <c r="I26" s="42">
        <f>IFERROR(E26/SUM($E$8:$E$57),0)</f>
        <v>0</v>
      </c>
      <c r="J26" s="42">
        <f>IFERROR(F26/E26,0)</f>
        <v>0</v>
      </c>
      <c r="K26" s="29">
        <f>COUNTIFS(LIMITLER!$C$8:$C$207,B26,LIMITLER!$L$8:$L$207,"Aktif")</f>
        <v>0</v>
      </c>
      <c r="L26" s="29">
        <f>COUNTIFS(LIMITLER!$C$8:$C$207,B26,LIMITLER!$L$8:$L$207,"Aktif",LIMITLER!$K$8:$K$207,"&lt;"&amp;TODAY())</f>
        <v>0</v>
      </c>
      <c r="M26" s="29">
        <f>IF(B26="","",IF(L26&gt;0,"VADE UYARISI",IF(J26&gt;0.9,"ÇOK DOLU",IF(J26&gt;0.75,"YÜKSEK KULLANIM","UYGUN"))))</f>
        <v>0</v>
      </c>
    </row>
    <row r="27" spans="2:13" ht="18" customHeight="1">
      <c r="B27" s="29">
        <f>IF(BANKALAR!C28="","",BANKALAR!C28)</f>
        <v>0</v>
      </c>
      <c r="C27" s="41">
        <f>IF(B27="",0,SUMIFS(LIMITLER!$H$8:$H$207,LIMITLER!$C$8:$C$207,B27,LIMITLER!$E$8:$E$207,"Nakit"))</f>
        <v>0</v>
      </c>
      <c r="D27" s="41">
        <f>IF(B27="",0,SUMIFS(LIMITLER!$H$8:$H$207,LIMITLER!$C$8:$C$207,B27,LIMITLER!$E$8:$E$207,"Gayrinakdi"))</f>
        <v>0</v>
      </c>
      <c r="E27" s="41">
        <f>IF(B27="",0,SUMIFS(LIMITLER!$H$8:$H$207,LIMITLER!$C$8:$C$207,B27))</f>
        <v>0</v>
      </c>
      <c r="F27" s="41">
        <f>IF(B27="",0,SUMIFS(LIMITLER!$I$8:$I$207,LIMITLER!$C$8:$C$207,B27))</f>
        <v>0</v>
      </c>
      <c r="G27" s="41">
        <f>IF(B27="",0,SUMIFS(LIMITLER!$J$8:$J$207,LIMITLER!$C$8:$C$207,B27))</f>
        <v>0</v>
      </c>
      <c r="H27" s="41">
        <f>IF(B27="",0,SUMIFS(LIMITLER!$M$8:$M$207,LIMITLER!$C$8:$C$207,B27))</f>
        <v>0</v>
      </c>
      <c r="I27" s="42">
        <f>IFERROR(E27/SUM($E$8:$E$57),0)</f>
        <v>0</v>
      </c>
      <c r="J27" s="42">
        <f>IFERROR(F27/E27,0)</f>
        <v>0</v>
      </c>
      <c r="K27" s="29">
        <f>COUNTIFS(LIMITLER!$C$8:$C$207,B27,LIMITLER!$L$8:$L$207,"Aktif")</f>
        <v>0</v>
      </c>
      <c r="L27" s="29">
        <f>COUNTIFS(LIMITLER!$C$8:$C$207,B27,LIMITLER!$L$8:$L$207,"Aktif",LIMITLER!$K$8:$K$207,"&lt;"&amp;TODAY())</f>
        <v>0</v>
      </c>
      <c r="M27" s="29">
        <f>IF(B27="","",IF(L27&gt;0,"VADE UYARISI",IF(J27&gt;0.9,"ÇOK DOLU",IF(J27&gt;0.75,"YÜKSEK KULLANIM","UYGUN"))))</f>
        <v>0</v>
      </c>
    </row>
    <row r="28" spans="2:13" ht="18" customHeight="1">
      <c r="B28" s="29">
        <f>IF(BANKALAR!C29="","",BANKALAR!C29)</f>
        <v>0</v>
      </c>
      <c r="C28" s="41">
        <f>IF(B28="",0,SUMIFS(LIMITLER!$H$8:$H$207,LIMITLER!$C$8:$C$207,B28,LIMITLER!$E$8:$E$207,"Nakit"))</f>
        <v>0</v>
      </c>
      <c r="D28" s="41">
        <f>IF(B28="",0,SUMIFS(LIMITLER!$H$8:$H$207,LIMITLER!$C$8:$C$207,B28,LIMITLER!$E$8:$E$207,"Gayrinakdi"))</f>
        <v>0</v>
      </c>
      <c r="E28" s="41">
        <f>IF(B28="",0,SUMIFS(LIMITLER!$H$8:$H$207,LIMITLER!$C$8:$C$207,B28))</f>
        <v>0</v>
      </c>
      <c r="F28" s="41">
        <f>IF(B28="",0,SUMIFS(LIMITLER!$I$8:$I$207,LIMITLER!$C$8:$C$207,B28))</f>
        <v>0</v>
      </c>
      <c r="G28" s="41">
        <f>IF(B28="",0,SUMIFS(LIMITLER!$J$8:$J$207,LIMITLER!$C$8:$C$207,B28))</f>
        <v>0</v>
      </c>
      <c r="H28" s="41">
        <f>IF(B28="",0,SUMIFS(LIMITLER!$M$8:$M$207,LIMITLER!$C$8:$C$207,B28))</f>
        <v>0</v>
      </c>
      <c r="I28" s="42">
        <f>IFERROR(E28/SUM($E$8:$E$57),0)</f>
        <v>0</v>
      </c>
      <c r="J28" s="42">
        <f>IFERROR(F28/E28,0)</f>
        <v>0</v>
      </c>
      <c r="K28" s="29">
        <f>COUNTIFS(LIMITLER!$C$8:$C$207,B28,LIMITLER!$L$8:$L$207,"Aktif")</f>
        <v>0</v>
      </c>
      <c r="L28" s="29">
        <f>COUNTIFS(LIMITLER!$C$8:$C$207,B28,LIMITLER!$L$8:$L$207,"Aktif",LIMITLER!$K$8:$K$207,"&lt;"&amp;TODAY())</f>
        <v>0</v>
      </c>
      <c r="M28" s="29">
        <f>IF(B28="","",IF(L28&gt;0,"VADE UYARISI",IF(J28&gt;0.9,"ÇOK DOLU",IF(J28&gt;0.75,"YÜKSEK KULLANIM","UYGUN"))))</f>
        <v>0</v>
      </c>
    </row>
    <row r="29" spans="2:13" ht="18" customHeight="1">
      <c r="B29" s="29">
        <f>IF(BANKALAR!C30="","",BANKALAR!C30)</f>
        <v>0</v>
      </c>
      <c r="C29" s="41">
        <f>IF(B29="",0,SUMIFS(LIMITLER!$H$8:$H$207,LIMITLER!$C$8:$C$207,B29,LIMITLER!$E$8:$E$207,"Nakit"))</f>
        <v>0</v>
      </c>
      <c r="D29" s="41">
        <f>IF(B29="",0,SUMIFS(LIMITLER!$H$8:$H$207,LIMITLER!$C$8:$C$207,B29,LIMITLER!$E$8:$E$207,"Gayrinakdi"))</f>
        <v>0</v>
      </c>
      <c r="E29" s="41">
        <f>IF(B29="",0,SUMIFS(LIMITLER!$H$8:$H$207,LIMITLER!$C$8:$C$207,B29))</f>
        <v>0</v>
      </c>
      <c r="F29" s="41">
        <f>IF(B29="",0,SUMIFS(LIMITLER!$I$8:$I$207,LIMITLER!$C$8:$C$207,B29))</f>
        <v>0</v>
      </c>
      <c r="G29" s="41">
        <f>IF(B29="",0,SUMIFS(LIMITLER!$J$8:$J$207,LIMITLER!$C$8:$C$207,B29))</f>
        <v>0</v>
      </c>
      <c r="H29" s="41">
        <f>IF(B29="",0,SUMIFS(LIMITLER!$M$8:$M$207,LIMITLER!$C$8:$C$207,B29))</f>
        <v>0</v>
      </c>
      <c r="I29" s="42">
        <f>IFERROR(E29/SUM($E$8:$E$57),0)</f>
        <v>0</v>
      </c>
      <c r="J29" s="42">
        <f>IFERROR(F29/E29,0)</f>
        <v>0</v>
      </c>
      <c r="K29" s="29">
        <f>COUNTIFS(LIMITLER!$C$8:$C$207,B29,LIMITLER!$L$8:$L$207,"Aktif")</f>
        <v>0</v>
      </c>
      <c r="L29" s="29">
        <f>COUNTIFS(LIMITLER!$C$8:$C$207,B29,LIMITLER!$L$8:$L$207,"Aktif",LIMITLER!$K$8:$K$207,"&lt;"&amp;TODAY())</f>
        <v>0</v>
      </c>
      <c r="M29" s="29">
        <f>IF(B29="","",IF(L29&gt;0,"VADE UYARISI",IF(J29&gt;0.9,"ÇOK DOLU",IF(J29&gt;0.75,"YÜKSEK KULLANIM","UYGUN"))))</f>
        <v>0</v>
      </c>
    </row>
    <row r="30" spans="2:13" ht="18" customHeight="1">
      <c r="B30" s="29">
        <f>IF(BANKALAR!C31="","",BANKALAR!C31)</f>
        <v>0</v>
      </c>
      <c r="C30" s="41">
        <f>IF(B30="",0,SUMIFS(LIMITLER!$H$8:$H$207,LIMITLER!$C$8:$C$207,B30,LIMITLER!$E$8:$E$207,"Nakit"))</f>
        <v>0</v>
      </c>
      <c r="D30" s="41">
        <f>IF(B30="",0,SUMIFS(LIMITLER!$H$8:$H$207,LIMITLER!$C$8:$C$207,B30,LIMITLER!$E$8:$E$207,"Gayrinakdi"))</f>
        <v>0</v>
      </c>
      <c r="E30" s="41">
        <f>IF(B30="",0,SUMIFS(LIMITLER!$H$8:$H$207,LIMITLER!$C$8:$C$207,B30))</f>
        <v>0</v>
      </c>
      <c r="F30" s="41">
        <f>IF(B30="",0,SUMIFS(LIMITLER!$I$8:$I$207,LIMITLER!$C$8:$C$207,B30))</f>
        <v>0</v>
      </c>
      <c r="G30" s="41">
        <f>IF(B30="",0,SUMIFS(LIMITLER!$J$8:$J$207,LIMITLER!$C$8:$C$207,B30))</f>
        <v>0</v>
      </c>
      <c r="H30" s="41">
        <f>IF(B30="",0,SUMIFS(LIMITLER!$M$8:$M$207,LIMITLER!$C$8:$C$207,B30))</f>
        <v>0</v>
      </c>
      <c r="I30" s="42">
        <f>IFERROR(E30/SUM($E$8:$E$57),0)</f>
        <v>0</v>
      </c>
      <c r="J30" s="42">
        <f>IFERROR(F30/E30,0)</f>
        <v>0</v>
      </c>
      <c r="K30" s="29">
        <f>COUNTIFS(LIMITLER!$C$8:$C$207,B30,LIMITLER!$L$8:$L$207,"Aktif")</f>
        <v>0</v>
      </c>
      <c r="L30" s="29">
        <f>COUNTIFS(LIMITLER!$C$8:$C$207,B30,LIMITLER!$L$8:$L$207,"Aktif",LIMITLER!$K$8:$K$207,"&lt;"&amp;TODAY())</f>
        <v>0</v>
      </c>
      <c r="M30" s="29">
        <f>IF(B30="","",IF(L30&gt;0,"VADE UYARISI",IF(J30&gt;0.9,"ÇOK DOLU",IF(J30&gt;0.75,"YÜKSEK KULLANIM","UYGUN"))))</f>
        <v>0</v>
      </c>
    </row>
    <row r="31" spans="2:13" ht="18" customHeight="1">
      <c r="B31" s="29">
        <f>IF(BANKALAR!C32="","",BANKALAR!C32)</f>
        <v>0</v>
      </c>
      <c r="C31" s="41">
        <f>IF(B31="",0,SUMIFS(LIMITLER!$H$8:$H$207,LIMITLER!$C$8:$C$207,B31,LIMITLER!$E$8:$E$207,"Nakit"))</f>
        <v>0</v>
      </c>
      <c r="D31" s="41">
        <f>IF(B31="",0,SUMIFS(LIMITLER!$H$8:$H$207,LIMITLER!$C$8:$C$207,B31,LIMITLER!$E$8:$E$207,"Gayrinakdi"))</f>
        <v>0</v>
      </c>
      <c r="E31" s="41">
        <f>IF(B31="",0,SUMIFS(LIMITLER!$H$8:$H$207,LIMITLER!$C$8:$C$207,B31))</f>
        <v>0</v>
      </c>
      <c r="F31" s="41">
        <f>IF(B31="",0,SUMIFS(LIMITLER!$I$8:$I$207,LIMITLER!$C$8:$C$207,B31))</f>
        <v>0</v>
      </c>
      <c r="G31" s="41">
        <f>IF(B31="",0,SUMIFS(LIMITLER!$J$8:$J$207,LIMITLER!$C$8:$C$207,B31))</f>
        <v>0</v>
      </c>
      <c r="H31" s="41">
        <f>IF(B31="",0,SUMIFS(LIMITLER!$M$8:$M$207,LIMITLER!$C$8:$C$207,B31))</f>
        <v>0</v>
      </c>
      <c r="I31" s="42">
        <f>IFERROR(E31/SUM($E$8:$E$57),0)</f>
        <v>0</v>
      </c>
      <c r="J31" s="42">
        <f>IFERROR(F31/E31,0)</f>
        <v>0</v>
      </c>
      <c r="K31" s="29">
        <f>COUNTIFS(LIMITLER!$C$8:$C$207,B31,LIMITLER!$L$8:$L$207,"Aktif")</f>
        <v>0</v>
      </c>
      <c r="L31" s="29">
        <f>COUNTIFS(LIMITLER!$C$8:$C$207,B31,LIMITLER!$L$8:$L$207,"Aktif",LIMITLER!$K$8:$K$207,"&lt;"&amp;TODAY())</f>
        <v>0</v>
      </c>
      <c r="M31" s="29">
        <f>IF(B31="","",IF(L31&gt;0,"VADE UYARISI",IF(J31&gt;0.9,"ÇOK DOLU",IF(J31&gt;0.75,"YÜKSEK KULLANIM","UYGUN"))))</f>
        <v>0</v>
      </c>
    </row>
    <row r="32" spans="2:13" ht="18" customHeight="1">
      <c r="B32" s="29">
        <f>IF(BANKALAR!C33="","",BANKALAR!C33)</f>
        <v>0</v>
      </c>
      <c r="C32" s="41">
        <f>IF(B32="",0,SUMIFS(LIMITLER!$H$8:$H$207,LIMITLER!$C$8:$C$207,B32,LIMITLER!$E$8:$E$207,"Nakit"))</f>
        <v>0</v>
      </c>
      <c r="D32" s="41">
        <f>IF(B32="",0,SUMIFS(LIMITLER!$H$8:$H$207,LIMITLER!$C$8:$C$207,B32,LIMITLER!$E$8:$E$207,"Gayrinakdi"))</f>
        <v>0</v>
      </c>
      <c r="E32" s="41">
        <f>IF(B32="",0,SUMIFS(LIMITLER!$H$8:$H$207,LIMITLER!$C$8:$C$207,B32))</f>
        <v>0</v>
      </c>
      <c r="F32" s="41">
        <f>IF(B32="",0,SUMIFS(LIMITLER!$I$8:$I$207,LIMITLER!$C$8:$C$207,B32))</f>
        <v>0</v>
      </c>
      <c r="G32" s="41">
        <f>IF(B32="",0,SUMIFS(LIMITLER!$J$8:$J$207,LIMITLER!$C$8:$C$207,B32))</f>
        <v>0</v>
      </c>
      <c r="H32" s="41">
        <f>IF(B32="",0,SUMIFS(LIMITLER!$M$8:$M$207,LIMITLER!$C$8:$C$207,B32))</f>
        <v>0</v>
      </c>
      <c r="I32" s="42">
        <f>IFERROR(E32/SUM($E$8:$E$57),0)</f>
        <v>0</v>
      </c>
      <c r="J32" s="42">
        <f>IFERROR(F32/E32,0)</f>
        <v>0</v>
      </c>
      <c r="K32" s="29">
        <f>COUNTIFS(LIMITLER!$C$8:$C$207,B32,LIMITLER!$L$8:$L$207,"Aktif")</f>
        <v>0</v>
      </c>
      <c r="L32" s="29">
        <f>COUNTIFS(LIMITLER!$C$8:$C$207,B32,LIMITLER!$L$8:$L$207,"Aktif",LIMITLER!$K$8:$K$207,"&lt;"&amp;TODAY())</f>
        <v>0</v>
      </c>
      <c r="M32" s="29">
        <f>IF(B32="","",IF(L32&gt;0,"VADE UYARISI",IF(J32&gt;0.9,"ÇOK DOLU",IF(J32&gt;0.75,"YÜKSEK KULLANIM","UYGUN"))))</f>
        <v>0</v>
      </c>
    </row>
    <row r="33" spans="2:13" ht="18" customHeight="1">
      <c r="B33" s="29">
        <f>IF(BANKALAR!C34="","",BANKALAR!C34)</f>
        <v>0</v>
      </c>
      <c r="C33" s="41">
        <f>IF(B33="",0,SUMIFS(LIMITLER!$H$8:$H$207,LIMITLER!$C$8:$C$207,B33,LIMITLER!$E$8:$E$207,"Nakit"))</f>
        <v>0</v>
      </c>
      <c r="D33" s="41">
        <f>IF(B33="",0,SUMIFS(LIMITLER!$H$8:$H$207,LIMITLER!$C$8:$C$207,B33,LIMITLER!$E$8:$E$207,"Gayrinakdi"))</f>
        <v>0</v>
      </c>
      <c r="E33" s="41">
        <f>IF(B33="",0,SUMIFS(LIMITLER!$H$8:$H$207,LIMITLER!$C$8:$C$207,B33))</f>
        <v>0</v>
      </c>
      <c r="F33" s="41">
        <f>IF(B33="",0,SUMIFS(LIMITLER!$I$8:$I$207,LIMITLER!$C$8:$C$207,B33))</f>
        <v>0</v>
      </c>
      <c r="G33" s="41">
        <f>IF(B33="",0,SUMIFS(LIMITLER!$J$8:$J$207,LIMITLER!$C$8:$C$207,B33))</f>
        <v>0</v>
      </c>
      <c r="H33" s="41">
        <f>IF(B33="",0,SUMIFS(LIMITLER!$M$8:$M$207,LIMITLER!$C$8:$C$207,B33))</f>
        <v>0</v>
      </c>
      <c r="I33" s="42">
        <f>IFERROR(E33/SUM($E$8:$E$57),0)</f>
        <v>0</v>
      </c>
      <c r="J33" s="42">
        <f>IFERROR(F33/E33,0)</f>
        <v>0</v>
      </c>
      <c r="K33" s="29">
        <f>COUNTIFS(LIMITLER!$C$8:$C$207,B33,LIMITLER!$L$8:$L$207,"Aktif")</f>
        <v>0</v>
      </c>
      <c r="L33" s="29">
        <f>COUNTIFS(LIMITLER!$C$8:$C$207,B33,LIMITLER!$L$8:$L$207,"Aktif",LIMITLER!$K$8:$K$207,"&lt;"&amp;TODAY())</f>
        <v>0</v>
      </c>
      <c r="M33" s="29">
        <f>IF(B33="","",IF(L33&gt;0,"VADE UYARISI",IF(J33&gt;0.9,"ÇOK DOLU",IF(J33&gt;0.75,"YÜKSEK KULLANIM","UYGUN"))))</f>
        <v>0</v>
      </c>
    </row>
    <row r="34" spans="2:13" ht="18" customHeight="1">
      <c r="B34" s="29">
        <f>IF(BANKALAR!C35="","",BANKALAR!C35)</f>
        <v>0</v>
      </c>
      <c r="C34" s="41">
        <f>IF(B34="",0,SUMIFS(LIMITLER!$H$8:$H$207,LIMITLER!$C$8:$C$207,B34,LIMITLER!$E$8:$E$207,"Nakit"))</f>
        <v>0</v>
      </c>
      <c r="D34" s="41">
        <f>IF(B34="",0,SUMIFS(LIMITLER!$H$8:$H$207,LIMITLER!$C$8:$C$207,B34,LIMITLER!$E$8:$E$207,"Gayrinakdi"))</f>
        <v>0</v>
      </c>
      <c r="E34" s="41">
        <f>IF(B34="",0,SUMIFS(LIMITLER!$H$8:$H$207,LIMITLER!$C$8:$C$207,B34))</f>
        <v>0</v>
      </c>
      <c r="F34" s="41">
        <f>IF(B34="",0,SUMIFS(LIMITLER!$I$8:$I$207,LIMITLER!$C$8:$C$207,B34))</f>
        <v>0</v>
      </c>
      <c r="G34" s="41">
        <f>IF(B34="",0,SUMIFS(LIMITLER!$J$8:$J$207,LIMITLER!$C$8:$C$207,B34))</f>
        <v>0</v>
      </c>
      <c r="H34" s="41">
        <f>IF(B34="",0,SUMIFS(LIMITLER!$M$8:$M$207,LIMITLER!$C$8:$C$207,B34))</f>
        <v>0</v>
      </c>
      <c r="I34" s="42">
        <f>IFERROR(E34/SUM($E$8:$E$57),0)</f>
        <v>0</v>
      </c>
      <c r="J34" s="42">
        <f>IFERROR(F34/E34,0)</f>
        <v>0</v>
      </c>
      <c r="K34" s="29">
        <f>COUNTIFS(LIMITLER!$C$8:$C$207,B34,LIMITLER!$L$8:$L$207,"Aktif")</f>
        <v>0</v>
      </c>
      <c r="L34" s="29">
        <f>COUNTIFS(LIMITLER!$C$8:$C$207,B34,LIMITLER!$L$8:$L$207,"Aktif",LIMITLER!$K$8:$K$207,"&lt;"&amp;TODAY())</f>
        <v>0</v>
      </c>
      <c r="M34" s="29">
        <f>IF(B34="","",IF(L34&gt;0,"VADE UYARISI",IF(J34&gt;0.9,"ÇOK DOLU",IF(J34&gt;0.75,"YÜKSEK KULLANIM","UYGUN"))))</f>
        <v>0</v>
      </c>
    </row>
    <row r="35" spans="2:13" ht="18" customHeight="1">
      <c r="B35" s="29">
        <f>IF(BANKALAR!C36="","",BANKALAR!C36)</f>
        <v>0</v>
      </c>
      <c r="C35" s="41">
        <f>IF(B35="",0,SUMIFS(LIMITLER!$H$8:$H$207,LIMITLER!$C$8:$C$207,B35,LIMITLER!$E$8:$E$207,"Nakit"))</f>
        <v>0</v>
      </c>
      <c r="D35" s="41">
        <f>IF(B35="",0,SUMIFS(LIMITLER!$H$8:$H$207,LIMITLER!$C$8:$C$207,B35,LIMITLER!$E$8:$E$207,"Gayrinakdi"))</f>
        <v>0</v>
      </c>
      <c r="E35" s="41">
        <f>IF(B35="",0,SUMIFS(LIMITLER!$H$8:$H$207,LIMITLER!$C$8:$C$207,B35))</f>
        <v>0</v>
      </c>
      <c r="F35" s="41">
        <f>IF(B35="",0,SUMIFS(LIMITLER!$I$8:$I$207,LIMITLER!$C$8:$C$207,B35))</f>
        <v>0</v>
      </c>
      <c r="G35" s="41">
        <f>IF(B35="",0,SUMIFS(LIMITLER!$J$8:$J$207,LIMITLER!$C$8:$C$207,B35))</f>
        <v>0</v>
      </c>
      <c r="H35" s="41">
        <f>IF(B35="",0,SUMIFS(LIMITLER!$M$8:$M$207,LIMITLER!$C$8:$C$207,B35))</f>
        <v>0</v>
      </c>
      <c r="I35" s="42">
        <f>IFERROR(E35/SUM($E$8:$E$57),0)</f>
        <v>0</v>
      </c>
      <c r="J35" s="42">
        <f>IFERROR(F35/E35,0)</f>
        <v>0</v>
      </c>
      <c r="K35" s="29">
        <f>COUNTIFS(LIMITLER!$C$8:$C$207,B35,LIMITLER!$L$8:$L$207,"Aktif")</f>
        <v>0</v>
      </c>
      <c r="L35" s="29">
        <f>COUNTIFS(LIMITLER!$C$8:$C$207,B35,LIMITLER!$L$8:$L$207,"Aktif",LIMITLER!$K$8:$K$207,"&lt;"&amp;TODAY())</f>
        <v>0</v>
      </c>
      <c r="M35" s="29">
        <f>IF(B35="","",IF(L35&gt;0,"VADE UYARISI",IF(J35&gt;0.9,"ÇOK DOLU",IF(J35&gt;0.75,"YÜKSEK KULLANIM","UYGUN"))))</f>
        <v>0</v>
      </c>
    </row>
    <row r="36" spans="2:13" ht="18" customHeight="1">
      <c r="B36" s="29">
        <f>IF(BANKALAR!C37="","",BANKALAR!C37)</f>
        <v>0</v>
      </c>
      <c r="C36" s="41">
        <f>IF(B36="",0,SUMIFS(LIMITLER!$H$8:$H$207,LIMITLER!$C$8:$C$207,B36,LIMITLER!$E$8:$E$207,"Nakit"))</f>
        <v>0</v>
      </c>
      <c r="D36" s="41">
        <f>IF(B36="",0,SUMIFS(LIMITLER!$H$8:$H$207,LIMITLER!$C$8:$C$207,B36,LIMITLER!$E$8:$E$207,"Gayrinakdi"))</f>
        <v>0</v>
      </c>
      <c r="E36" s="41">
        <f>IF(B36="",0,SUMIFS(LIMITLER!$H$8:$H$207,LIMITLER!$C$8:$C$207,B36))</f>
        <v>0</v>
      </c>
      <c r="F36" s="41">
        <f>IF(B36="",0,SUMIFS(LIMITLER!$I$8:$I$207,LIMITLER!$C$8:$C$207,B36))</f>
        <v>0</v>
      </c>
      <c r="G36" s="41">
        <f>IF(B36="",0,SUMIFS(LIMITLER!$J$8:$J$207,LIMITLER!$C$8:$C$207,B36))</f>
        <v>0</v>
      </c>
      <c r="H36" s="41">
        <f>IF(B36="",0,SUMIFS(LIMITLER!$M$8:$M$207,LIMITLER!$C$8:$C$207,B36))</f>
        <v>0</v>
      </c>
      <c r="I36" s="42">
        <f>IFERROR(E36/SUM($E$8:$E$57),0)</f>
        <v>0</v>
      </c>
      <c r="J36" s="42">
        <f>IFERROR(F36/E36,0)</f>
        <v>0</v>
      </c>
      <c r="K36" s="29">
        <f>COUNTIFS(LIMITLER!$C$8:$C$207,B36,LIMITLER!$L$8:$L$207,"Aktif")</f>
        <v>0</v>
      </c>
      <c r="L36" s="29">
        <f>COUNTIFS(LIMITLER!$C$8:$C$207,B36,LIMITLER!$L$8:$L$207,"Aktif",LIMITLER!$K$8:$K$207,"&lt;"&amp;TODAY())</f>
        <v>0</v>
      </c>
      <c r="M36" s="29">
        <f>IF(B36="","",IF(L36&gt;0,"VADE UYARISI",IF(J36&gt;0.9,"ÇOK DOLU",IF(J36&gt;0.75,"YÜKSEK KULLANIM","UYGUN"))))</f>
        <v>0</v>
      </c>
    </row>
    <row r="37" spans="2:13" ht="18" customHeight="1">
      <c r="B37" s="29">
        <f>IF(BANKALAR!C38="","",BANKALAR!C38)</f>
        <v>0</v>
      </c>
      <c r="C37" s="41">
        <f>IF(B37="",0,SUMIFS(LIMITLER!$H$8:$H$207,LIMITLER!$C$8:$C$207,B37,LIMITLER!$E$8:$E$207,"Nakit"))</f>
        <v>0</v>
      </c>
      <c r="D37" s="41">
        <f>IF(B37="",0,SUMIFS(LIMITLER!$H$8:$H$207,LIMITLER!$C$8:$C$207,B37,LIMITLER!$E$8:$E$207,"Gayrinakdi"))</f>
        <v>0</v>
      </c>
      <c r="E37" s="41">
        <f>IF(B37="",0,SUMIFS(LIMITLER!$H$8:$H$207,LIMITLER!$C$8:$C$207,B37))</f>
        <v>0</v>
      </c>
      <c r="F37" s="41">
        <f>IF(B37="",0,SUMIFS(LIMITLER!$I$8:$I$207,LIMITLER!$C$8:$C$207,B37))</f>
        <v>0</v>
      </c>
      <c r="G37" s="41">
        <f>IF(B37="",0,SUMIFS(LIMITLER!$J$8:$J$207,LIMITLER!$C$8:$C$207,B37))</f>
        <v>0</v>
      </c>
      <c r="H37" s="41">
        <f>IF(B37="",0,SUMIFS(LIMITLER!$M$8:$M$207,LIMITLER!$C$8:$C$207,B37))</f>
        <v>0</v>
      </c>
      <c r="I37" s="42">
        <f>IFERROR(E37/SUM($E$8:$E$57),0)</f>
        <v>0</v>
      </c>
      <c r="J37" s="42">
        <f>IFERROR(F37/E37,0)</f>
        <v>0</v>
      </c>
      <c r="K37" s="29">
        <f>COUNTIFS(LIMITLER!$C$8:$C$207,B37,LIMITLER!$L$8:$L$207,"Aktif")</f>
        <v>0</v>
      </c>
      <c r="L37" s="29">
        <f>COUNTIFS(LIMITLER!$C$8:$C$207,B37,LIMITLER!$L$8:$L$207,"Aktif",LIMITLER!$K$8:$K$207,"&lt;"&amp;TODAY())</f>
        <v>0</v>
      </c>
      <c r="M37" s="29">
        <f>IF(B37="","",IF(L37&gt;0,"VADE UYARISI",IF(J37&gt;0.9,"ÇOK DOLU",IF(J37&gt;0.75,"YÜKSEK KULLANIM","UYGUN"))))</f>
        <v>0</v>
      </c>
    </row>
    <row r="38" spans="2:13" ht="18" customHeight="1">
      <c r="B38" s="29">
        <f>IF(BANKALAR!C39="","",BANKALAR!C39)</f>
        <v>0</v>
      </c>
      <c r="C38" s="41">
        <f>IF(B38="",0,SUMIFS(LIMITLER!$H$8:$H$207,LIMITLER!$C$8:$C$207,B38,LIMITLER!$E$8:$E$207,"Nakit"))</f>
        <v>0</v>
      </c>
      <c r="D38" s="41">
        <f>IF(B38="",0,SUMIFS(LIMITLER!$H$8:$H$207,LIMITLER!$C$8:$C$207,B38,LIMITLER!$E$8:$E$207,"Gayrinakdi"))</f>
        <v>0</v>
      </c>
      <c r="E38" s="41">
        <f>IF(B38="",0,SUMIFS(LIMITLER!$H$8:$H$207,LIMITLER!$C$8:$C$207,B38))</f>
        <v>0</v>
      </c>
      <c r="F38" s="41">
        <f>IF(B38="",0,SUMIFS(LIMITLER!$I$8:$I$207,LIMITLER!$C$8:$C$207,B38))</f>
        <v>0</v>
      </c>
      <c r="G38" s="41">
        <f>IF(B38="",0,SUMIFS(LIMITLER!$J$8:$J$207,LIMITLER!$C$8:$C$207,B38))</f>
        <v>0</v>
      </c>
      <c r="H38" s="41">
        <f>IF(B38="",0,SUMIFS(LIMITLER!$M$8:$M$207,LIMITLER!$C$8:$C$207,B38))</f>
        <v>0</v>
      </c>
      <c r="I38" s="42">
        <f>IFERROR(E38/SUM($E$8:$E$57),0)</f>
        <v>0</v>
      </c>
      <c r="J38" s="42">
        <f>IFERROR(F38/E38,0)</f>
        <v>0</v>
      </c>
      <c r="K38" s="29">
        <f>COUNTIFS(LIMITLER!$C$8:$C$207,B38,LIMITLER!$L$8:$L$207,"Aktif")</f>
        <v>0</v>
      </c>
      <c r="L38" s="29">
        <f>COUNTIFS(LIMITLER!$C$8:$C$207,B38,LIMITLER!$L$8:$L$207,"Aktif",LIMITLER!$K$8:$K$207,"&lt;"&amp;TODAY())</f>
        <v>0</v>
      </c>
      <c r="M38" s="29">
        <f>IF(B38="","",IF(L38&gt;0,"VADE UYARISI",IF(J38&gt;0.9,"ÇOK DOLU",IF(J38&gt;0.75,"YÜKSEK KULLANIM","UYGUN"))))</f>
        <v>0</v>
      </c>
    </row>
    <row r="39" spans="2:13" ht="18" customHeight="1">
      <c r="B39" s="29">
        <f>IF(BANKALAR!C40="","",BANKALAR!C40)</f>
        <v>0</v>
      </c>
      <c r="C39" s="41">
        <f>IF(B39="",0,SUMIFS(LIMITLER!$H$8:$H$207,LIMITLER!$C$8:$C$207,B39,LIMITLER!$E$8:$E$207,"Nakit"))</f>
        <v>0</v>
      </c>
      <c r="D39" s="41">
        <f>IF(B39="",0,SUMIFS(LIMITLER!$H$8:$H$207,LIMITLER!$C$8:$C$207,B39,LIMITLER!$E$8:$E$207,"Gayrinakdi"))</f>
        <v>0</v>
      </c>
      <c r="E39" s="41">
        <f>IF(B39="",0,SUMIFS(LIMITLER!$H$8:$H$207,LIMITLER!$C$8:$C$207,B39))</f>
        <v>0</v>
      </c>
      <c r="F39" s="41">
        <f>IF(B39="",0,SUMIFS(LIMITLER!$I$8:$I$207,LIMITLER!$C$8:$C$207,B39))</f>
        <v>0</v>
      </c>
      <c r="G39" s="41">
        <f>IF(B39="",0,SUMIFS(LIMITLER!$J$8:$J$207,LIMITLER!$C$8:$C$207,B39))</f>
        <v>0</v>
      </c>
      <c r="H39" s="41">
        <f>IF(B39="",0,SUMIFS(LIMITLER!$M$8:$M$207,LIMITLER!$C$8:$C$207,B39))</f>
        <v>0</v>
      </c>
      <c r="I39" s="42">
        <f>IFERROR(E39/SUM($E$8:$E$57),0)</f>
        <v>0</v>
      </c>
      <c r="J39" s="42">
        <f>IFERROR(F39/E39,0)</f>
        <v>0</v>
      </c>
      <c r="K39" s="29">
        <f>COUNTIFS(LIMITLER!$C$8:$C$207,B39,LIMITLER!$L$8:$L$207,"Aktif")</f>
        <v>0</v>
      </c>
      <c r="L39" s="29">
        <f>COUNTIFS(LIMITLER!$C$8:$C$207,B39,LIMITLER!$L$8:$L$207,"Aktif",LIMITLER!$K$8:$K$207,"&lt;"&amp;TODAY())</f>
        <v>0</v>
      </c>
      <c r="M39" s="29">
        <f>IF(B39="","",IF(L39&gt;0,"VADE UYARISI",IF(J39&gt;0.9,"ÇOK DOLU",IF(J39&gt;0.75,"YÜKSEK KULLANIM","UYGUN"))))</f>
        <v>0</v>
      </c>
    </row>
    <row r="40" spans="2:13" ht="18" customHeight="1">
      <c r="B40" s="29">
        <f>IF(BANKALAR!C41="","",BANKALAR!C41)</f>
        <v>0</v>
      </c>
      <c r="C40" s="41">
        <f>IF(B40="",0,SUMIFS(LIMITLER!$H$8:$H$207,LIMITLER!$C$8:$C$207,B40,LIMITLER!$E$8:$E$207,"Nakit"))</f>
        <v>0</v>
      </c>
      <c r="D40" s="41">
        <f>IF(B40="",0,SUMIFS(LIMITLER!$H$8:$H$207,LIMITLER!$C$8:$C$207,B40,LIMITLER!$E$8:$E$207,"Gayrinakdi"))</f>
        <v>0</v>
      </c>
      <c r="E40" s="41">
        <f>IF(B40="",0,SUMIFS(LIMITLER!$H$8:$H$207,LIMITLER!$C$8:$C$207,B40))</f>
        <v>0</v>
      </c>
      <c r="F40" s="41">
        <f>IF(B40="",0,SUMIFS(LIMITLER!$I$8:$I$207,LIMITLER!$C$8:$C$207,B40))</f>
        <v>0</v>
      </c>
      <c r="G40" s="41">
        <f>IF(B40="",0,SUMIFS(LIMITLER!$J$8:$J$207,LIMITLER!$C$8:$C$207,B40))</f>
        <v>0</v>
      </c>
      <c r="H40" s="41">
        <f>IF(B40="",0,SUMIFS(LIMITLER!$M$8:$M$207,LIMITLER!$C$8:$C$207,B40))</f>
        <v>0</v>
      </c>
      <c r="I40" s="42">
        <f>IFERROR(E40/SUM($E$8:$E$57),0)</f>
        <v>0</v>
      </c>
      <c r="J40" s="42">
        <f>IFERROR(F40/E40,0)</f>
        <v>0</v>
      </c>
      <c r="K40" s="29">
        <f>COUNTIFS(LIMITLER!$C$8:$C$207,B40,LIMITLER!$L$8:$L$207,"Aktif")</f>
        <v>0</v>
      </c>
      <c r="L40" s="29">
        <f>COUNTIFS(LIMITLER!$C$8:$C$207,B40,LIMITLER!$L$8:$L$207,"Aktif",LIMITLER!$K$8:$K$207,"&lt;"&amp;TODAY())</f>
        <v>0</v>
      </c>
      <c r="M40" s="29">
        <f>IF(B40="","",IF(L40&gt;0,"VADE UYARISI",IF(J40&gt;0.9,"ÇOK DOLU",IF(J40&gt;0.75,"YÜKSEK KULLANIM","UYGUN"))))</f>
        <v>0</v>
      </c>
    </row>
    <row r="41" spans="2:13" ht="18" customHeight="1">
      <c r="B41" s="29">
        <f>IF(BANKALAR!C42="","",BANKALAR!C42)</f>
        <v>0</v>
      </c>
      <c r="C41" s="41">
        <f>IF(B41="",0,SUMIFS(LIMITLER!$H$8:$H$207,LIMITLER!$C$8:$C$207,B41,LIMITLER!$E$8:$E$207,"Nakit"))</f>
        <v>0</v>
      </c>
      <c r="D41" s="41">
        <f>IF(B41="",0,SUMIFS(LIMITLER!$H$8:$H$207,LIMITLER!$C$8:$C$207,B41,LIMITLER!$E$8:$E$207,"Gayrinakdi"))</f>
        <v>0</v>
      </c>
      <c r="E41" s="41">
        <f>IF(B41="",0,SUMIFS(LIMITLER!$H$8:$H$207,LIMITLER!$C$8:$C$207,B41))</f>
        <v>0</v>
      </c>
      <c r="F41" s="41">
        <f>IF(B41="",0,SUMIFS(LIMITLER!$I$8:$I$207,LIMITLER!$C$8:$C$207,B41))</f>
        <v>0</v>
      </c>
      <c r="G41" s="41">
        <f>IF(B41="",0,SUMIFS(LIMITLER!$J$8:$J$207,LIMITLER!$C$8:$C$207,B41))</f>
        <v>0</v>
      </c>
      <c r="H41" s="41">
        <f>IF(B41="",0,SUMIFS(LIMITLER!$M$8:$M$207,LIMITLER!$C$8:$C$207,B41))</f>
        <v>0</v>
      </c>
      <c r="I41" s="42">
        <f>IFERROR(E41/SUM($E$8:$E$57),0)</f>
        <v>0</v>
      </c>
      <c r="J41" s="42">
        <f>IFERROR(F41/E41,0)</f>
        <v>0</v>
      </c>
      <c r="K41" s="29">
        <f>COUNTIFS(LIMITLER!$C$8:$C$207,B41,LIMITLER!$L$8:$L$207,"Aktif")</f>
        <v>0</v>
      </c>
      <c r="L41" s="29">
        <f>COUNTIFS(LIMITLER!$C$8:$C$207,B41,LIMITLER!$L$8:$L$207,"Aktif",LIMITLER!$K$8:$K$207,"&lt;"&amp;TODAY())</f>
        <v>0</v>
      </c>
      <c r="M41" s="29">
        <f>IF(B41="","",IF(L41&gt;0,"VADE UYARISI",IF(J41&gt;0.9,"ÇOK DOLU",IF(J41&gt;0.75,"YÜKSEK KULLANIM","UYGUN"))))</f>
        <v>0</v>
      </c>
    </row>
    <row r="42" spans="2:13" ht="18" customHeight="1">
      <c r="B42" s="29">
        <f>IF(BANKALAR!C43="","",BANKALAR!C43)</f>
        <v>0</v>
      </c>
      <c r="C42" s="41">
        <f>IF(B42="",0,SUMIFS(LIMITLER!$H$8:$H$207,LIMITLER!$C$8:$C$207,B42,LIMITLER!$E$8:$E$207,"Nakit"))</f>
        <v>0</v>
      </c>
      <c r="D42" s="41">
        <f>IF(B42="",0,SUMIFS(LIMITLER!$H$8:$H$207,LIMITLER!$C$8:$C$207,B42,LIMITLER!$E$8:$E$207,"Gayrinakdi"))</f>
        <v>0</v>
      </c>
      <c r="E42" s="41">
        <f>IF(B42="",0,SUMIFS(LIMITLER!$H$8:$H$207,LIMITLER!$C$8:$C$207,B42))</f>
        <v>0</v>
      </c>
      <c r="F42" s="41">
        <f>IF(B42="",0,SUMIFS(LIMITLER!$I$8:$I$207,LIMITLER!$C$8:$C$207,B42))</f>
        <v>0</v>
      </c>
      <c r="G42" s="41">
        <f>IF(B42="",0,SUMIFS(LIMITLER!$J$8:$J$207,LIMITLER!$C$8:$C$207,B42))</f>
        <v>0</v>
      </c>
      <c r="H42" s="41">
        <f>IF(B42="",0,SUMIFS(LIMITLER!$M$8:$M$207,LIMITLER!$C$8:$C$207,B42))</f>
        <v>0</v>
      </c>
      <c r="I42" s="42">
        <f>IFERROR(E42/SUM($E$8:$E$57),0)</f>
        <v>0</v>
      </c>
      <c r="J42" s="42">
        <f>IFERROR(F42/E42,0)</f>
        <v>0</v>
      </c>
      <c r="K42" s="29">
        <f>COUNTIFS(LIMITLER!$C$8:$C$207,B42,LIMITLER!$L$8:$L$207,"Aktif")</f>
        <v>0</v>
      </c>
      <c r="L42" s="29">
        <f>COUNTIFS(LIMITLER!$C$8:$C$207,B42,LIMITLER!$L$8:$L$207,"Aktif",LIMITLER!$K$8:$K$207,"&lt;"&amp;TODAY())</f>
        <v>0</v>
      </c>
      <c r="M42" s="29">
        <f>IF(B42="","",IF(L42&gt;0,"VADE UYARISI",IF(J42&gt;0.9,"ÇOK DOLU",IF(J42&gt;0.75,"YÜKSEK KULLANIM","UYGUN"))))</f>
        <v>0</v>
      </c>
    </row>
    <row r="43" spans="2:13" ht="18" customHeight="1">
      <c r="B43" s="29">
        <f>IF(BANKALAR!C44="","",BANKALAR!C44)</f>
        <v>0</v>
      </c>
      <c r="C43" s="41">
        <f>IF(B43="",0,SUMIFS(LIMITLER!$H$8:$H$207,LIMITLER!$C$8:$C$207,B43,LIMITLER!$E$8:$E$207,"Nakit"))</f>
        <v>0</v>
      </c>
      <c r="D43" s="41">
        <f>IF(B43="",0,SUMIFS(LIMITLER!$H$8:$H$207,LIMITLER!$C$8:$C$207,B43,LIMITLER!$E$8:$E$207,"Gayrinakdi"))</f>
        <v>0</v>
      </c>
      <c r="E43" s="41">
        <f>IF(B43="",0,SUMIFS(LIMITLER!$H$8:$H$207,LIMITLER!$C$8:$C$207,B43))</f>
        <v>0</v>
      </c>
      <c r="F43" s="41">
        <f>IF(B43="",0,SUMIFS(LIMITLER!$I$8:$I$207,LIMITLER!$C$8:$C$207,B43))</f>
        <v>0</v>
      </c>
      <c r="G43" s="41">
        <f>IF(B43="",0,SUMIFS(LIMITLER!$J$8:$J$207,LIMITLER!$C$8:$C$207,B43))</f>
        <v>0</v>
      </c>
      <c r="H43" s="41">
        <f>IF(B43="",0,SUMIFS(LIMITLER!$M$8:$M$207,LIMITLER!$C$8:$C$207,B43))</f>
        <v>0</v>
      </c>
      <c r="I43" s="42">
        <f>IFERROR(E43/SUM($E$8:$E$57),0)</f>
        <v>0</v>
      </c>
      <c r="J43" s="42">
        <f>IFERROR(F43/E43,0)</f>
        <v>0</v>
      </c>
      <c r="K43" s="29">
        <f>COUNTIFS(LIMITLER!$C$8:$C$207,B43,LIMITLER!$L$8:$L$207,"Aktif")</f>
        <v>0</v>
      </c>
      <c r="L43" s="29">
        <f>COUNTIFS(LIMITLER!$C$8:$C$207,B43,LIMITLER!$L$8:$L$207,"Aktif",LIMITLER!$K$8:$K$207,"&lt;"&amp;TODAY())</f>
        <v>0</v>
      </c>
      <c r="M43" s="29">
        <f>IF(B43="","",IF(L43&gt;0,"VADE UYARISI",IF(J43&gt;0.9,"ÇOK DOLU",IF(J43&gt;0.75,"YÜKSEK KULLANIM","UYGUN"))))</f>
        <v>0</v>
      </c>
    </row>
    <row r="44" spans="2:13" ht="18" customHeight="1">
      <c r="B44" s="29">
        <f>IF(BANKALAR!C45="","",BANKALAR!C45)</f>
        <v>0</v>
      </c>
      <c r="C44" s="41">
        <f>IF(B44="",0,SUMIFS(LIMITLER!$H$8:$H$207,LIMITLER!$C$8:$C$207,B44,LIMITLER!$E$8:$E$207,"Nakit"))</f>
        <v>0</v>
      </c>
      <c r="D44" s="41">
        <f>IF(B44="",0,SUMIFS(LIMITLER!$H$8:$H$207,LIMITLER!$C$8:$C$207,B44,LIMITLER!$E$8:$E$207,"Gayrinakdi"))</f>
        <v>0</v>
      </c>
      <c r="E44" s="41">
        <f>IF(B44="",0,SUMIFS(LIMITLER!$H$8:$H$207,LIMITLER!$C$8:$C$207,B44))</f>
        <v>0</v>
      </c>
      <c r="F44" s="41">
        <f>IF(B44="",0,SUMIFS(LIMITLER!$I$8:$I$207,LIMITLER!$C$8:$C$207,B44))</f>
        <v>0</v>
      </c>
      <c r="G44" s="41">
        <f>IF(B44="",0,SUMIFS(LIMITLER!$J$8:$J$207,LIMITLER!$C$8:$C$207,B44))</f>
        <v>0</v>
      </c>
      <c r="H44" s="41">
        <f>IF(B44="",0,SUMIFS(LIMITLER!$M$8:$M$207,LIMITLER!$C$8:$C$207,B44))</f>
        <v>0</v>
      </c>
      <c r="I44" s="42">
        <f>IFERROR(E44/SUM($E$8:$E$57),0)</f>
        <v>0</v>
      </c>
      <c r="J44" s="42">
        <f>IFERROR(F44/E44,0)</f>
        <v>0</v>
      </c>
      <c r="K44" s="29">
        <f>COUNTIFS(LIMITLER!$C$8:$C$207,B44,LIMITLER!$L$8:$L$207,"Aktif")</f>
        <v>0</v>
      </c>
      <c r="L44" s="29">
        <f>COUNTIFS(LIMITLER!$C$8:$C$207,B44,LIMITLER!$L$8:$L$207,"Aktif",LIMITLER!$K$8:$K$207,"&lt;"&amp;TODAY())</f>
        <v>0</v>
      </c>
      <c r="M44" s="29">
        <f>IF(B44="","",IF(L44&gt;0,"VADE UYARISI",IF(J44&gt;0.9,"ÇOK DOLU",IF(J44&gt;0.75,"YÜKSEK KULLANIM","UYGUN"))))</f>
        <v>0</v>
      </c>
    </row>
    <row r="45" spans="2:13" ht="18" customHeight="1">
      <c r="B45" s="29">
        <f>IF(BANKALAR!C46="","",BANKALAR!C46)</f>
        <v>0</v>
      </c>
      <c r="C45" s="41">
        <f>IF(B45="",0,SUMIFS(LIMITLER!$H$8:$H$207,LIMITLER!$C$8:$C$207,B45,LIMITLER!$E$8:$E$207,"Nakit"))</f>
        <v>0</v>
      </c>
      <c r="D45" s="41">
        <f>IF(B45="",0,SUMIFS(LIMITLER!$H$8:$H$207,LIMITLER!$C$8:$C$207,B45,LIMITLER!$E$8:$E$207,"Gayrinakdi"))</f>
        <v>0</v>
      </c>
      <c r="E45" s="41">
        <f>IF(B45="",0,SUMIFS(LIMITLER!$H$8:$H$207,LIMITLER!$C$8:$C$207,B45))</f>
        <v>0</v>
      </c>
      <c r="F45" s="41">
        <f>IF(B45="",0,SUMIFS(LIMITLER!$I$8:$I$207,LIMITLER!$C$8:$C$207,B45))</f>
        <v>0</v>
      </c>
      <c r="G45" s="41">
        <f>IF(B45="",0,SUMIFS(LIMITLER!$J$8:$J$207,LIMITLER!$C$8:$C$207,B45))</f>
        <v>0</v>
      </c>
      <c r="H45" s="41">
        <f>IF(B45="",0,SUMIFS(LIMITLER!$M$8:$M$207,LIMITLER!$C$8:$C$207,B45))</f>
        <v>0</v>
      </c>
      <c r="I45" s="42">
        <f>IFERROR(E45/SUM($E$8:$E$57),0)</f>
        <v>0</v>
      </c>
      <c r="J45" s="42">
        <f>IFERROR(F45/E45,0)</f>
        <v>0</v>
      </c>
      <c r="K45" s="29">
        <f>COUNTIFS(LIMITLER!$C$8:$C$207,B45,LIMITLER!$L$8:$L$207,"Aktif")</f>
        <v>0</v>
      </c>
      <c r="L45" s="29">
        <f>COUNTIFS(LIMITLER!$C$8:$C$207,B45,LIMITLER!$L$8:$L$207,"Aktif",LIMITLER!$K$8:$K$207,"&lt;"&amp;TODAY())</f>
        <v>0</v>
      </c>
      <c r="M45" s="29">
        <f>IF(B45="","",IF(L45&gt;0,"VADE UYARISI",IF(J45&gt;0.9,"ÇOK DOLU",IF(J45&gt;0.75,"YÜKSEK KULLANIM","UYGUN"))))</f>
        <v>0</v>
      </c>
    </row>
    <row r="46" spans="2:13" ht="18" customHeight="1">
      <c r="B46" s="29">
        <f>IF(BANKALAR!C47="","",BANKALAR!C47)</f>
        <v>0</v>
      </c>
      <c r="C46" s="41">
        <f>IF(B46="",0,SUMIFS(LIMITLER!$H$8:$H$207,LIMITLER!$C$8:$C$207,B46,LIMITLER!$E$8:$E$207,"Nakit"))</f>
        <v>0</v>
      </c>
      <c r="D46" s="41">
        <f>IF(B46="",0,SUMIFS(LIMITLER!$H$8:$H$207,LIMITLER!$C$8:$C$207,B46,LIMITLER!$E$8:$E$207,"Gayrinakdi"))</f>
        <v>0</v>
      </c>
      <c r="E46" s="41">
        <f>IF(B46="",0,SUMIFS(LIMITLER!$H$8:$H$207,LIMITLER!$C$8:$C$207,B46))</f>
        <v>0</v>
      </c>
      <c r="F46" s="41">
        <f>IF(B46="",0,SUMIFS(LIMITLER!$I$8:$I$207,LIMITLER!$C$8:$C$207,B46))</f>
        <v>0</v>
      </c>
      <c r="G46" s="41">
        <f>IF(B46="",0,SUMIFS(LIMITLER!$J$8:$J$207,LIMITLER!$C$8:$C$207,B46))</f>
        <v>0</v>
      </c>
      <c r="H46" s="41">
        <f>IF(B46="",0,SUMIFS(LIMITLER!$M$8:$M$207,LIMITLER!$C$8:$C$207,B46))</f>
        <v>0</v>
      </c>
      <c r="I46" s="42">
        <f>IFERROR(E46/SUM($E$8:$E$57),0)</f>
        <v>0</v>
      </c>
      <c r="J46" s="42">
        <f>IFERROR(F46/E46,0)</f>
        <v>0</v>
      </c>
      <c r="K46" s="29">
        <f>COUNTIFS(LIMITLER!$C$8:$C$207,B46,LIMITLER!$L$8:$L$207,"Aktif")</f>
        <v>0</v>
      </c>
      <c r="L46" s="29">
        <f>COUNTIFS(LIMITLER!$C$8:$C$207,B46,LIMITLER!$L$8:$L$207,"Aktif",LIMITLER!$K$8:$K$207,"&lt;"&amp;TODAY())</f>
        <v>0</v>
      </c>
      <c r="M46" s="29">
        <f>IF(B46="","",IF(L46&gt;0,"VADE UYARISI",IF(J46&gt;0.9,"ÇOK DOLU",IF(J46&gt;0.75,"YÜKSEK KULLANIM","UYGUN"))))</f>
        <v>0</v>
      </c>
    </row>
    <row r="47" spans="2:13" ht="18" customHeight="1">
      <c r="B47" s="29">
        <f>IF(BANKALAR!C48="","",BANKALAR!C48)</f>
        <v>0</v>
      </c>
      <c r="C47" s="41">
        <f>IF(B47="",0,SUMIFS(LIMITLER!$H$8:$H$207,LIMITLER!$C$8:$C$207,B47,LIMITLER!$E$8:$E$207,"Nakit"))</f>
        <v>0</v>
      </c>
      <c r="D47" s="41">
        <f>IF(B47="",0,SUMIFS(LIMITLER!$H$8:$H$207,LIMITLER!$C$8:$C$207,B47,LIMITLER!$E$8:$E$207,"Gayrinakdi"))</f>
        <v>0</v>
      </c>
      <c r="E47" s="41">
        <f>IF(B47="",0,SUMIFS(LIMITLER!$H$8:$H$207,LIMITLER!$C$8:$C$207,B47))</f>
        <v>0</v>
      </c>
      <c r="F47" s="41">
        <f>IF(B47="",0,SUMIFS(LIMITLER!$I$8:$I$207,LIMITLER!$C$8:$C$207,B47))</f>
        <v>0</v>
      </c>
      <c r="G47" s="41">
        <f>IF(B47="",0,SUMIFS(LIMITLER!$J$8:$J$207,LIMITLER!$C$8:$C$207,B47))</f>
        <v>0</v>
      </c>
      <c r="H47" s="41">
        <f>IF(B47="",0,SUMIFS(LIMITLER!$M$8:$M$207,LIMITLER!$C$8:$C$207,B47))</f>
        <v>0</v>
      </c>
      <c r="I47" s="42">
        <f>IFERROR(E47/SUM($E$8:$E$57),0)</f>
        <v>0</v>
      </c>
      <c r="J47" s="42">
        <f>IFERROR(F47/E47,0)</f>
        <v>0</v>
      </c>
      <c r="K47" s="29">
        <f>COUNTIFS(LIMITLER!$C$8:$C$207,B47,LIMITLER!$L$8:$L$207,"Aktif")</f>
        <v>0</v>
      </c>
      <c r="L47" s="29">
        <f>COUNTIFS(LIMITLER!$C$8:$C$207,B47,LIMITLER!$L$8:$L$207,"Aktif",LIMITLER!$K$8:$K$207,"&lt;"&amp;TODAY())</f>
        <v>0</v>
      </c>
      <c r="M47" s="29">
        <f>IF(B47="","",IF(L47&gt;0,"VADE UYARISI",IF(J47&gt;0.9,"ÇOK DOLU",IF(J47&gt;0.75,"YÜKSEK KULLANIM","UYGUN"))))</f>
        <v>0</v>
      </c>
    </row>
    <row r="48" spans="2:13" ht="18" customHeight="1">
      <c r="B48" s="29">
        <f>IF(BANKALAR!C49="","",BANKALAR!C49)</f>
        <v>0</v>
      </c>
      <c r="C48" s="41">
        <f>IF(B48="",0,SUMIFS(LIMITLER!$H$8:$H$207,LIMITLER!$C$8:$C$207,B48,LIMITLER!$E$8:$E$207,"Nakit"))</f>
        <v>0</v>
      </c>
      <c r="D48" s="41">
        <f>IF(B48="",0,SUMIFS(LIMITLER!$H$8:$H$207,LIMITLER!$C$8:$C$207,B48,LIMITLER!$E$8:$E$207,"Gayrinakdi"))</f>
        <v>0</v>
      </c>
      <c r="E48" s="41">
        <f>IF(B48="",0,SUMIFS(LIMITLER!$H$8:$H$207,LIMITLER!$C$8:$C$207,B48))</f>
        <v>0</v>
      </c>
      <c r="F48" s="41">
        <f>IF(B48="",0,SUMIFS(LIMITLER!$I$8:$I$207,LIMITLER!$C$8:$C$207,B48))</f>
        <v>0</v>
      </c>
      <c r="G48" s="41">
        <f>IF(B48="",0,SUMIFS(LIMITLER!$J$8:$J$207,LIMITLER!$C$8:$C$207,B48))</f>
        <v>0</v>
      </c>
      <c r="H48" s="41">
        <f>IF(B48="",0,SUMIFS(LIMITLER!$M$8:$M$207,LIMITLER!$C$8:$C$207,B48))</f>
        <v>0</v>
      </c>
      <c r="I48" s="42">
        <f>IFERROR(E48/SUM($E$8:$E$57),0)</f>
        <v>0</v>
      </c>
      <c r="J48" s="42">
        <f>IFERROR(F48/E48,0)</f>
        <v>0</v>
      </c>
      <c r="K48" s="29">
        <f>COUNTIFS(LIMITLER!$C$8:$C$207,B48,LIMITLER!$L$8:$L$207,"Aktif")</f>
        <v>0</v>
      </c>
      <c r="L48" s="29">
        <f>COUNTIFS(LIMITLER!$C$8:$C$207,B48,LIMITLER!$L$8:$L$207,"Aktif",LIMITLER!$K$8:$K$207,"&lt;"&amp;TODAY())</f>
        <v>0</v>
      </c>
      <c r="M48" s="29">
        <f>IF(B48="","",IF(L48&gt;0,"VADE UYARISI",IF(J48&gt;0.9,"ÇOK DOLU",IF(J48&gt;0.75,"YÜKSEK KULLANIM","UYGUN"))))</f>
        <v>0</v>
      </c>
    </row>
    <row r="49" spans="2:13" ht="18" customHeight="1">
      <c r="B49" s="29">
        <f>IF(BANKALAR!C50="","",BANKALAR!C50)</f>
        <v>0</v>
      </c>
      <c r="C49" s="41">
        <f>IF(B49="",0,SUMIFS(LIMITLER!$H$8:$H$207,LIMITLER!$C$8:$C$207,B49,LIMITLER!$E$8:$E$207,"Nakit"))</f>
        <v>0</v>
      </c>
      <c r="D49" s="41">
        <f>IF(B49="",0,SUMIFS(LIMITLER!$H$8:$H$207,LIMITLER!$C$8:$C$207,B49,LIMITLER!$E$8:$E$207,"Gayrinakdi"))</f>
        <v>0</v>
      </c>
      <c r="E49" s="41">
        <f>IF(B49="",0,SUMIFS(LIMITLER!$H$8:$H$207,LIMITLER!$C$8:$C$207,B49))</f>
        <v>0</v>
      </c>
      <c r="F49" s="41">
        <f>IF(B49="",0,SUMIFS(LIMITLER!$I$8:$I$207,LIMITLER!$C$8:$C$207,B49))</f>
        <v>0</v>
      </c>
      <c r="G49" s="41">
        <f>IF(B49="",0,SUMIFS(LIMITLER!$J$8:$J$207,LIMITLER!$C$8:$C$207,B49))</f>
        <v>0</v>
      </c>
      <c r="H49" s="41">
        <f>IF(B49="",0,SUMIFS(LIMITLER!$M$8:$M$207,LIMITLER!$C$8:$C$207,B49))</f>
        <v>0</v>
      </c>
      <c r="I49" s="42">
        <f>IFERROR(E49/SUM($E$8:$E$57),0)</f>
        <v>0</v>
      </c>
      <c r="J49" s="42">
        <f>IFERROR(F49/E49,0)</f>
        <v>0</v>
      </c>
      <c r="K49" s="29">
        <f>COUNTIFS(LIMITLER!$C$8:$C$207,B49,LIMITLER!$L$8:$L$207,"Aktif")</f>
        <v>0</v>
      </c>
      <c r="L49" s="29">
        <f>COUNTIFS(LIMITLER!$C$8:$C$207,B49,LIMITLER!$L$8:$L$207,"Aktif",LIMITLER!$K$8:$K$207,"&lt;"&amp;TODAY())</f>
        <v>0</v>
      </c>
      <c r="M49" s="29">
        <f>IF(B49="","",IF(L49&gt;0,"VADE UYARISI",IF(J49&gt;0.9,"ÇOK DOLU",IF(J49&gt;0.75,"YÜKSEK KULLANIM","UYGUN"))))</f>
        <v>0</v>
      </c>
    </row>
    <row r="50" spans="2:13" ht="18" customHeight="1">
      <c r="B50" s="29">
        <f>IF(BANKALAR!C51="","",BANKALAR!C51)</f>
        <v>0</v>
      </c>
      <c r="C50" s="41">
        <f>IF(B50="",0,SUMIFS(LIMITLER!$H$8:$H$207,LIMITLER!$C$8:$C$207,B50,LIMITLER!$E$8:$E$207,"Nakit"))</f>
        <v>0</v>
      </c>
      <c r="D50" s="41">
        <f>IF(B50="",0,SUMIFS(LIMITLER!$H$8:$H$207,LIMITLER!$C$8:$C$207,B50,LIMITLER!$E$8:$E$207,"Gayrinakdi"))</f>
        <v>0</v>
      </c>
      <c r="E50" s="41">
        <f>IF(B50="",0,SUMIFS(LIMITLER!$H$8:$H$207,LIMITLER!$C$8:$C$207,B50))</f>
        <v>0</v>
      </c>
      <c r="F50" s="41">
        <f>IF(B50="",0,SUMIFS(LIMITLER!$I$8:$I$207,LIMITLER!$C$8:$C$207,B50))</f>
        <v>0</v>
      </c>
      <c r="G50" s="41">
        <f>IF(B50="",0,SUMIFS(LIMITLER!$J$8:$J$207,LIMITLER!$C$8:$C$207,B50))</f>
        <v>0</v>
      </c>
      <c r="H50" s="41">
        <f>IF(B50="",0,SUMIFS(LIMITLER!$M$8:$M$207,LIMITLER!$C$8:$C$207,B50))</f>
        <v>0</v>
      </c>
      <c r="I50" s="42">
        <f>IFERROR(E50/SUM($E$8:$E$57),0)</f>
        <v>0</v>
      </c>
      <c r="J50" s="42">
        <f>IFERROR(F50/E50,0)</f>
        <v>0</v>
      </c>
      <c r="K50" s="29">
        <f>COUNTIFS(LIMITLER!$C$8:$C$207,B50,LIMITLER!$L$8:$L$207,"Aktif")</f>
        <v>0</v>
      </c>
      <c r="L50" s="29">
        <f>COUNTIFS(LIMITLER!$C$8:$C$207,B50,LIMITLER!$L$8:$L$207,"Aktif",LIMITLER!$K$8:$K$207,"&lt;"&amp;TODAY())</f>
        <v>0</v>
      </c>
      <c r="M50" s="29">
        <f>IF(B50="","",IF(L50&gt;0,"VADE UYARISI",IF(J50&gt;0.9,"ÇOK DOLU",IF(J50&gt;0.75,"YÜKSEK KULLANIM","UYGUN"))))</f>
        <v>0</v>
      </c>
    </row>
    <row r="51" spans="2:13" ht="18" customHeight="1">
      <c r="B51" s="29">
        <f>IF(BANKALAR!C52="","",BANKALAR!C52)</f>
        <v>0</v>
      </c>
      <c r="C51" s="41">
        <f>IF(B51="",0,SUMIFS(LIMITLER!$H$8:$H$207,LIMITLER!$C$8:$C$207,B51,LIMITLER!$E$8:$E$207,"Nakit"))</f>
        <v>0</v>
      </c>
      <c r="D51" s="41">
        <f>IF(B51="",0,SUMIFS(LIMITLER!$H$8:$H$207,LIMITLER!$C$8:$C$207,B51,LIMITLER!$E$8:$E$207,"Gayrinakdi"))</f>
        <v>0</v>
      </c>
      <c r="E51" s="41">
        <f>IF(B51="",0,SUMIFS(LIMITLER!$H$8:$H$207,LIMITLER!$C$8:$C$207,B51))</f>
        <v>0</v>
      </c>
      <c r="F51" s="41">
        <f>IF(B51="",0,SUMIFS(LIMITLER!$I$8:$I$207,LIMITLER!$C$8:$C$207,B51))</f>
        <v>0</v>
      </c>
      <c r="G51" s="41">
        <f>IF(B51="",0,SUMIFS(LIMITLER!$J$8:$J$207,LIMITLER!$C$8:$C$207,B51))</f>
        <v>0</v>
      </c>
      <c r="H51" s="41">
        <f>IF(B51="",0,SUMIFS(LIMITLER!$M$8:$M$207,LIMITLER!$C$8:$C$207,B51))</f>
        <v>0</v>
      </c>
      <c r="I51" s="42">
        <f>IFERROR(E51/SUM($E$8:$E$57),0)</f>
        <v>0</v>
      </c>
      <c r="J51" s="42">
        <f>IFERROR(F51/E51,0)</f>
        <v>0</v>
      </c>
      <c r="K51" s="29">
        <f>COUNTIFS(LIMITLER!$C$8:$C$207,B51,LIMITLER!$L$8:$L$207,"Aktif")</f>
        <v>0</v>
      </c>
      <c r="L51" s="29">
        <f>COUNTIFS(LIMITLER!$C$8:$C$207,B51,LIMITLER!$L$8:$L$207,"Aktif",LIMITLER!$K$8:$K$207,"&lt;"&amp;TODAY())</f>
        <v>0</v>
      </c>
      <c r="M51" s="29">
        <f>IF(B51="","",IF(L51&gt;0,"VADE UYARISI",IF(J51&gt;0.9,"ÇOK DOLU",IF(J51&gt;0.75,"YÜKSEK KULLANIM","UYGUN"))))</f>
        <v>0</v>
      </c>
    </row>
    <row r="52" spans="2:13" ht="18" customHeight="1">
      <c r="B52" s="29">
        <f>IF(BANKALAR!C53="","",BANKALAR!C53)</f>
        <v>0</v>
      </c>
      <c r="C52" s="41">
        <f>IF(B52="",0,SUMIFS(LIMITLER!$H$8:$H$207,LIMITLER!$C$8:$C$207,B52,LIMITLER!$E$8:$E$207,"Nakit"))</f>
        <v>0</v>
      </c>
      <c r="D52" s="41">
        <f>IF(B52="",0,SUMIFS(LIMITLER!$H$8:$H$207,LIMITLER!$C$8:$C$207,B52,LIMITLER!$E$8:$E$207,"Gayrinakdi"))</f>
        <v>0</v>
      </c>
      <c r="E52" s="41">
        <f>IF(B52="",0,SUMIFS(LIMITLER!$H$8:$H$207,LIMITLER!$C$8:$C$207,B52))</f>
        <v>0</v>
      </c>
      <c r="F52" s="41">
        <f>IF(B52="",0,SUMIFS(LIMITLER!$I$8:$I$207,LIMITLER!$C$8:$C$207,B52))</f>
        <v>0</v>
      </c>
      <c r="G52" s="41">
        <f>IF(B52="",0,SUMIFS(LIMITLER!$J$8:$J$207,LIMITLER!$C$8:$C$207,B52))</f>
        <v>0</v>
      </c>
      <c r="H52" s="41">
        <f>IF(B52="",0,SUMIFS(LIMITLER!$M$8:$M$207,LIMITLER!$C$8:$C$207,B52))</f>
        <v>0</v>
      </c>
      <c r="I52" s="42">
        <f>IFERROR(E52/SUM($E$8:$E$57),0)</f>
        <v>0</v>
      </c>
      <c r="J52" s="42">
        <f>IFERROR(F52/E52,0)</f>
        <v>0</v>
      </c>
      <c r="K52" s="29">
        <f>COUNTIFS(LIMITLER!$C$8:$C$207,B52,LIMITLER!$L$8:$L$207,"Aktif")</f>
        <v>0</v>
      </c>
      <c r="L52" s="29">
        <f>COUNTIFS(LIMITLER!$C$8:$C$207,B52,LIMITLER!$L$8:$L$207,"Aktif",LIMITLER!$K$8:$K$207,"&lt;"&amp;TODAY())</f>
        <v>0</v>
      </c>
      <c r="M52" s="29">
        <f>IF(B52="","",IF(L52&gt;0,"VADE UYARISI",IF(J52&gt;0.9,"ÇOK DOLU",IF(J52&gt;0.75,"YÜKSEK KULLANIM","UYGUN"))))</f>
        <v>0</v>
      </c>
    </row>
    <row r="53" spans="2:13" ht="18" customHeight="1">
      <c r="B53" s="29">
        <f>IF(BANKALAR!C54="","",BANKALAR!C54)</f>
        <v>0</v>
      </c>
      <c r="C53" s="41">
        <f>IF(B53="",0,SUMIFS(LIMITLER!$H$8:$H$207,LIMITLER!$C$8:$C$207,B53,LIMITLER!$E$8:$E$207,"Nakit"))</f>
        <v>0</v>
      </c>
      <c r="D53" s="41">
        <f>IF(B53="",0,SUMIFS(LIMITLER!$H$8:$H$207,LIMITLER!$C$8:$C$207,B53,LIMITLER!$E$8:$E$207,"Gayrinakdi"))</f>
        <v>0</v>
      </c>
      <c r="E53" s="41">
        <f>IF(B53="",0,SUMIFS(LIMITLER!$H$8:$H$207,LIMITLER!$C$8:$C$207,B53))</f>
        <v>0</v>
      </c>
      <c r="F53" s="41">
        <f>IF(B53="",0,SUMIFS(LIMITLER!$I$8:$I$207,LIMITLER!$C$8:$C$207,B53))</f>
        <v>0</v>
      </c>
      <c r="G53" s="41">
        <f>IF(B53="",0,SUMIFS(LIMITLER!$J$8:$J$207,LIMITLER!$C$8:$C$207,B53))</f>
        <v>0</v>
      </c>
      <c r="H53" s="41">
        <f>IF(B53="",0,SUMIFS(LIMITLER!$M$8:$M$207,LIMITLER!$C$8:$C$207,B53))</f>
        <v>0</v>
      </c>
      <c r="I53" s="42">
        <f>IFERROR(E53/SUM($E$8:$E$57),0)</f>
        <v>0</v>
      </c>
      <c r="J53" s="42">
        <f>IFERROR(F53/E53,0)</f>
        <v>0</v>
      </c>
      <c r="K53" s="29">
        <f>COUNTIFS(LIMITLER!$C$8:$C$207,B53,LIMITLER!$L$8:$L$207,"Aktif")</f>
        <v>0</v>
      </c>
      <c r="L53" s="29">
        <f>COUNTIFS(LIMITLER!$C$8:$C$207,B53,LIMITLER!$L$8:$L$207,"Aktif",LIMITLER!$K$8:$K$207,"&lt;"&amp;TODAY())</f>
        <v>0</v>
      </c>
      <c r="M53" s="29">
        <f>IF(B53="","",IF(L53&gt;0,"VADE UYARISI",IF(J53&gt;0.9,"ÇOK DOLU",IF(J53&gt;0.75,"YÜKSEK KULLANIM","UYGUN"))))</f>
        <v>0</v>
      </c>
    </row>
    <row r="54" spans="2:13" ht="18" customHeight="1">
      <c r="B54" s="29">
        <f>IF(BANKALAR!C55="","",BANKALAR!C55)</f>
        <v>0</v>
      </c>
      <c r="C54" s="41">
        <f>IF(B54="",0,SUMIFS(LIMITLER!$H$8:$H$207,LIMITLER!$C$8:$C$207,B54,LIMITLER!$E$8:$E$207,"Nakit"))</f>
        <v>0</v>
      </c>
      <c r="D54" s="41">
        <f>IF(B54="",0,SUMIFS(LIMITLER!$H$8:$H$207,LIMITLER!$C$8:$C$207,B54,LIMITLER!$E$8:$E$207,"Gayrinakdi"))</f>
        <v>0</v>
      </c>
      <c r="E54" s="41">
        <f>IF(B54="",0,SUMIFS(LIMITLER!$H$8:$H$207,LIMITLER!$C$8:$C$207,B54))</f>
        <v>0</v>
      </c>
      <c r="F54" s="41">
        <f>IF(B54="",0,SUMIFS(LIMITLER!$I$8:$I$207,LIMITLER!$C$8:$C$207,B54))</f>
        <v>0</v>
      </c>
      <c r="G54" s="41">
        <f>IF(B54="",0,SUMIFS(LIMITLER!$J$8:$J$207,LIMITLER!$C$8:$C$207,B54))</f>
        <v>0</v>
      </c>
      <c r="H54" s="41">
        <f>IF(B54="",0,SUMIFS(LIMITLER!$M$8:$M$207,LIMITLER!$C$8:$C$207,B54))</f>
        <v>0</v>
      </c>
      <c r="I54" s="42">
        <f>IFERROR(E54/SUM($E$8:$E$57),0)</f>
        <v>0</v>
      </c>
      <c r="J54" s="42">
        <f>IFERROR(F54/E54,0)</f>
        <v>0</v>
      </c>
      <c r="K54" s="29">
        <f>COUNTIFS(LIMITLER!$C$8:$C$207,B54,LIMITLER!$L$8:$L$207,"Aktif")</f>
        <v>0</v>
      </c>
      <c r="L54" s="29">
        <f>COUNTIFS(LIMITLER!$C$8:$C$207,B54,LIMITLER!$L$8:$L$207,"Aktif",LIMITLER!$K$8:$K$207,"&lt;"&amp;TODAY())</f>
        <v>0</v>
      </c>
      <c r="M54" s="29">
        <f>IF(B54="","",IF(L54&gt;0,"VADE UYARISI",IF(J54&gt;0.9,"ÇOK DOLU",IF(J54&gt;0.75,"YÜKSEK KULLANIM","UYGUN"))))</f>
        <v>0</v>
      </c>
    </row>
    <row r="55" spans="2:13" ht="18" customHeight="1">
      <c r="B55" s="29">
        <f>IF(BANKALAR!C56="","",BANKALAR!C56)</f>
        <v>0</v>
      </c>
      <c r="C55" s="41">
        <f>IF(B55="",0,SUMIFS(LIMITLER!$H$8:$H$207,LIMITLER!$C$8:$C$207,B55,LIMITLER!$E$8:$E$207,"Nakit"))</f>
        <v>0</v>
      </c>
      <c r="D55" s="41">
        <f>IF(B55="",0,SUMIFS(LIMITLER!$H$8:$H$207,LIMITLER!$C$8:$C$207,B55,LIMITLER!$E$8:$E$207,"Gayrinakdi"))</f>
        <v>0</v>
      </c>
      <c r="E55" s="41">
        <f>IF(B55="",0,SUMIFS(LIMITLER!$H$8:$H$207,LIMITLER!$C$8:$C$207,B55))</f>
        <v>0</v>
      </c>
      <c r="F55" s="41">
        <f>IF(B55="",0,SUMIFS(LIMITLER!$I$8:$I$207,LIMITLER!$C$8:$C$207,B55))</f>
        <v>0</v>
      </c>
      <c r="G55" s="41">
        <f>IF(B55="",0,SUMIFS(LIMITLER!$J$8:$J$207,LIMITLER!$C$8:$C$207,B55))</f>
        <v>0</v>
      </c>
      <c r="H55" s="41">
        <f>IF(B55="",0,SUMIFS(LIMITLER!$M$8:$M$207,LIMITLER!$C$8:$C$207,B55))</f>
        <v>0</v>
      </c>
      <c r="I55" s="42">
        <f>IFERROR(E55/SUM($E$8:$E$57),0)</f>
        <v>0</v>
      </c>
      <c r="J55" s="42">
        <f>IFERROR(F55/E55,0)</f>
        <v>0</v>
      </c>
      <c r="K55" s="29">
        <f>COUNTIFS(LIMITLER!$C$8:$C$207,B55,LIMITLER!$L$8:$L$207,"Aktif")</f>
        <v>0</v>
      </c>
      <c r="L55" s="29">
        <f>COUNTIFS(LIMITLER!$C$8:$C$207,B55,LIMITLER!$L$8:$L$207,"Aktif",LIMITLER!$K$8:$K$207,"&lt;"&amp;TODAY())</f>
        <v>0</v>
      </c>
      <c r="M55" s="29">
        <f>IF(B55="","",IF(L55&gt;0,"VADE UYARISI",IF(J55&gt;0.9,"ÇOK DOLU",IF(J55&gt;0.75,"YÜKSEK KULLANIM","UYGUN"))))</f>
        <v>0</v>
      </c>
    </row>
    <row r="56" spans="2:13" ht="18" customHeight="1">
      <c r="B56" s="29">
        <f>IF(BANKALAR!C57="","",BANKALAR!C57)</f>
        <v>0</v>
      </c>
      <c r="C56" s="41">
        <f>IF(B56="",0,SUMIFS(LIMITLER!$H$8:$H$207,LIMITLER!$C$8:$C$207,B56,LIMITLER!$E$8:$E$207,"Nakit"))</f>
        <v>0</v>
      </c>
      <c r="D56" s="41">
        <f>IF(B56="",0,SUMIFS(LIMITLER!$H$8:$H$207,LIMITLER!$C$8:$C$207,B56,LIMITLER!$E$8:$E$207,"Gayrinakdi"))</f>
        <v>0</v>
      </c>
      <c r="E56" s="41">
        <f>IF(B56="",0,SUMIFS(LIMITLER!$H$8:$H$207,LIMITLER!$C$8:$C$207,B56))</f>
        <v>0</v>
      </c>
      <c r="F56" s="41">
        <f>IF(B56="",0,SUMIFS(LIMITLER!$I$8:$I$207,LIMITLER!$C$8:$C$207,B56))</f>
        <v>0</v>
      </c>
      <c r="G56" s="41">
        <f>IF(B56="",0,SUMIFS(LIMITLER!$J$8:$J$207,LIMITLER!$C$8:$C$207,B56))</f>
        <v>0</v>
      </c>
      <c r="H56" s="41">
        <f>IF(B56="",0,SUMIFS(LIMITLER!$M$8:$M$207,LIMITLER!$C$8:$C$207,B56))</f>
        <v>0</v>
      </c>
      <c r="I56" s="42">
        <f>IFERROR(E56/SUM($E$8:$E$57),0)</f>
        <v>0</v>
      </c>
      <c r="J56" s="42">
        <f>IFERROR(F56/E56,0)</f>
        <v>0</v>
      </c>
      <c r="K56" s="29">
        <f>COUNTIFS(LIMITLER!$C$8:$C$207,B56,LIMITLER!$L$8:$L$207,"Aktif")</f>
        <v>0</v>
      </c>
      <c r="L56" s="29">
        <f>COUNTIFS(LIMITLER!$C$8:$C$207,B56,LIMITLER!$L$8:$L$207,"Aktif",LIMITLER!$K$8:$K$207,"&lt;"&amp;TODAY())</f>
        <v>0</v>
      </c>
      <c r="M56" s="29">
        <f>IF(B56="","",IF(L56&gt;0,"VADE UYARISI",IF(J56&gt;0.9,"ÇOK DOLU",IF(J56&gt;0.75,"YÜKSEK KULLANIM","UYGUN"))))</f>
        <v>0</v>
      </c>
    </row>
    <row r="57" spans="2:13" ht="18" customHeight="1">
      <c r="B57" s="29">
        <f>IF(BANKALAR!C58="","",BANKALAR!C58)</f>
        <v>0</v>
      </c>
      <c r="C57" s="41">
        <f>IF(B57="",0,SUMIFS(LIMITLER!$H$8:$H$207,LIMITLER!$C$8:$C$207,B57,LIMITLER!$E$8:$E$207,"Nakit"))</f>
        <v>0</v>
      </c>
      <c r="D57" s="41">
        <f>IF(B57="",0,SUMIFS(LIMITLER!$H$8:$H$207,LIMITLER!$C$8:$C$207,B57,LIMITLER!$E$8:$E$207,"Gayrinakdi"))</f>
        <v>0</v>
      </c>
      <c r="E57" s="41">
        <f>IF(B57="",0,SUMIFS(LIMITLER!$H$8:$H$207,LIMITLER!$C$8:$C$207,B57))</f>
        <v>0</v>
      </c>
      <c r="F57" s="41">
        <f>IF(B57="",0,SUMIFS(LIMITLER!$I$8:$I$207,LIMITLER!$C$8:$C$207,B57))</f>
        <v>0</v>
      </c>
      <c r="G57" s="41">
        <f>IF(B57="",0,SUMIFS(LIMITLER!$J$8:$J$207,LIMITLER!$C$8:$C$207,B57))</f>
        <v>0</v>
      </c>
      <c r="H57" s="41">
        <f>IF(B57="",0,SUMIFS(LIMITLER!$M$8:$M$207,LIMITLER!$C$8:$C$207,B57))</f>
        <v>0</v>
      </c>
      <c r="I57" s="42">
        <f>IFERROR(E57/SUM($E$8:$E$57),0)</f>
        <v>0</v>
      </c>
      <c r="J57" s="42">
        <f>IFERROR(F57/E57,0)</f>
        <v>0</v>
      </c>
      <c r="K57" s="29">
        <f>COUNTIFS(LIMITLER!$C$8:$C$207,B57,LIMITLER!$L$8:$L$207,"Aktif")</f>
        <v>0</v>
      </c>
      <c r="L57" s="29">
        <f>COUNTIFS(LIMITLER!$C$8:$C$207,B57,LIMITLER!$L$8:$L$207,"Aktif",LIMITLER!$K$8:$K$207,"&lt;"&amp;TODAY())</f>
        <v>0</v>
      </c>
      <c r="M57" s="29">
        <f>IF(B57="","",IF(L57&gt;0,"VADE UYARISI",IF(J57&gt;0.9,"ÇOK DOLU",IF(J57&gt;0.75,"YÜKSEK KULLANIM","UYGUN"))))</f>
        <v>0</v>
      </c>
    </row>
  </sheetData>
  <mergeCells count="5">
    <mergeCell ref="A1:N2"/>
    <mergeCell ref="A3:N3"/>
    <mergeCell ref="A4:C4"/>
    <mergeCell ref="D4:N4"/>
    <mergeCell ref="A6:N6"/>
  </mergeCells>
  <conditionalFormatting sqref="J8:J57">
    <cfRule type="colorScale" priority="1">
      <colorScale>
        <cfvo type="min" val="0"/>
        <cfvo type="percentile" val="50"/>
        <cfvo type="max" val="0"/>
        <color rgb="FFDCFCE7"/>
        <color rgb="FFFEF3C7"/>
        <color rgb="FFFECACA"/>
      </colorScale>
    </cfRule>
  </conditionalFormatting>
  <hyperlinks>
    <hyperlink ref="A4" location="PANO!A1" display="☰ MENÜ / PANO"/>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7365D"/>
  </sheetPr>
  <dimension ref="A1:N57"/>
  <sheetViews>
    <sheetView showGridLines="0" workbookViewId="0">
      <pane ySplit="4" topLeftCell="A5" activePane="bottomLeft" state="frozen"/>
      <selection pane="bottomLeft"/>
    </sheetView>
  </sheetViews>
  <sheetFormatPr defaultRowHeight="18" customHeight="1"/>
  <cols>
    <col min="1" max="1" width="3.7109375" customWidth="1"/>
    <col min="2" max="2" width="24.7109375" customWidth="1"/>
    <col min="3" max="6" width="18.7109375" customWidth="1"/>
    <col min="7" max="7" width="20.7109375" customWidth="1"/>
    <col min="8" max="10" width="16.7109375" customWidth="1"/>
    <col min="11" max="11" width="20.7109375" customWidth="1"/>
    <col min="12" max="12" width="42.7109375" customWidth="1"/>
    <col min="13" max="13" width="26.7109375" customWidth="1"/>
    <col min="14" max="14" width="3.7109375" customWidth="1"/>
  </cols>
  <sheetData>
    <row r="1" spans="1:14" ht="28" customHeight="1">
      <c r="A1" s="1" t="s">
        <v>246</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247</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248</v>
      </c>
      <c r="B6" s="13"/>
      <c r="C6" s="13"/>
      <c r="D6" s="13"/>
      <c r="E6" s="13"/>
      <c r="F6" s="13"/>
      <c r="G6" s="13"/>
      <c r="H6" s="13"/>
      <c r="I6" s="13"/>
      <c r="J6" s="13"/>
      <c r="K6" s="13"/>
      <c r="L6" s="13"/>
      <c r="M6" s="13"/>
      <c r="N6" s="13"/>
    </row>
    <row r="7" spans="1:14" ht="18" customHeight="1">
      <c r="B7" s="25" t="s">
        <v>144</v>
      </c>
      <c r="C7" s="25" t="s">
        <v>240</v>
      </c>
      <c r="D7" s="25" t="s">
        <v>241</v>
      </c>
      <c r="E7" s="25" t="s">
        <v>242</v>
      </c>
      <c r="F7" s="25" t="s">
        <v>249</v>
      </c>
      <c r="G7" s="25" t="s">
        <v>250</v>
      </c>
      <c r="H7" s="25" t="s">
        <v>156</v>
      </c>
      <c r="I7" s="25" t="s">
        <v>251</v>
      </c>
      <c r="J7" s="25" t="s">
        <v>252</v>
      </c>
      <c r="K7" s="25" t="s">
        <v>253</v>
      </c>
      <c r="L7" s="25" t="s">
        <v>215</v>
      </c>
      <c r="M7" s="25" t="s">
        <v>254</v>
      </c>
    </row>
    <row r="8" spans="1:14" ht="18" customHeight="1">
      <c r="B8" s="29">
        <f>BANKA_OZET!B8</f>
        <v>0</v>
      </c>
      <c r="C8" s="41">
        <f>BANKA_OZET!E8</f>
        <v>0</v>
      </c>
      <c r="D8" s="41">
        <f>BANKA_OZET!F8</f>
        <v>0</v>
      </c>
      <c r="E8" s="41">
        <f>BANKA_OZET!G8</f>
        <v>0</v>
      </c>
      <c r="F8" s="41">
        <f>MAX(0,C8-D8)</f>
        <v>0</v>
      </c>
      <c r="G8" s="41">
        <f>BANKA_OZET!H8</f>
        <v>0</v>
      </c>
      <c r="H8" s="42">
        <f>BANKA_OZET!J8</f>
        <v>0</v>
      </c>
      <c r="I8" s="42">
        <f>BANKA_OZET!I8</f>
        <v>0</v>
      </c>
      <c r="J8" s="29">
        <f>IF(B8="",0,ROUND((1-H8)*50+(1-I8)*30+IF(BANKA_OZET!M8="UYGUN",20,0),0))</f>
        <v>0</v>
      </c>
      <c r="K8" s="29">
        <f>IF(B8="","",IF(BANKA_OZET!L8&gt;0,"ÖNCE VADEYİ DÜZELT",IF(G8&gt;0,"MEVCUT BOŞLUĞU KULLAN",IF(J8&gt;=60,"YENİ TAHSİS GÖRÜŞ","DÜŞÜK ÖNCELİK"))))</f>
        <v>0</v>
      </c>
      <c r="L8" s="26">
        <f>IF(B8="","",IF(G8&gt;0,"Onaylı boşluk var; yeni tahsis talebinden önce mevcut limiti kullan.",IF(H8&gt;0.9,"Limit dolu; tahsis artışı için mali kapasite + teminat hazırlığı gerekli.","İlişki ve limit yapısını teyit et.")))</f>
        <v>0</v>
      </c>
      <c r="M8" s="4" t="s">
        <v>255</v>
      </c>
    </row>
    <row r="9" spans="1:14" ht="18" customHeight="1">
      <c r="B9" s="29">
        <f>BANKA_OZET!B9</f>
        <v>0</v>
      </c>
      <c r="C9" s="41">
        <f>BANKA_OZET!E9</f>
        <v>0</v>
      </c>
      <c r="D9" s="41">
        <f>BANKA_OZET!F9</f>
        <v>0</v>
      </c>
      <c r="E9" s="41">
        <f>BANKA_OZET!G9</f>
        <v>0</v>
      </c>
      <c r="F9" s="41">
        <f>MAX(0,C9-D9)</f>
        <v>0</v>
      </c>
      <c r="G9" s="41">
        <f>BANKA_OZET!H9</f>
        <v>0</v>
      </c>
      <c r="H9" s="42">
        <f>BANKA_OZET!J9</f>
        <v>0</v>
      </c>
      <c r="I9" s="42">
        <f>BANKA_OZET!I9</f>
        <v>0</v>
      </c>
      <c r="J9" s="29">
        <f>IF(B9="",0,ROUND((1-H9)*50+(1-I9)*30+IF(BANKA_OZET!M9="UYGUN",20,0),0))</f>
        <v>0</v>
      </c>
      <c r="K9" s="29">
        <f>IF(B9="","",IF(BANKA_OZET!L9&gt;0,"ÖNCE VADEYİ DÜZELT",IF(G9&gt;0,"MEVCUT BOŞLUĞU KULLAN",IF(J9&gt;=60,"YENİ TAHSİS GÖRÜŞ","DÜŞÜK ÖNCELİK"))))</f>
        <v>0</v>
      </c>
      <c r="L9" s="26">
        <f>IF(B9="","",IF(G9&gt;0,"Onaylı boşluk var; yeni tahsis talebinden önce mevcut limiti kullan.",IF(H9&gt;0.9,"Limit dolu; tahsis artışı için mali kapasite + teminat hazırlığı gerekli.","İlişki ve limit yapısını teyit et.")))</f>
        <v>0</v>
      </c>
      <c r="M9" s="4" t="s">
        <v>256</v>
      </c>
    </row>
    <row r="10" spans="1:14" ht="18" customHeight="1">
      <c r="B10" s="29">
        <f>BANKA_OZET!B10</f>
        <v>0</v>
      </c>
      <c r="C10" s="41">
        <f>BANKA_OZET!E10</f>
        <v>0</v>
      </c>
      <c r="D10" s="41">
        <f>BANKA_OZET!F10</f>
        <v>0</v>
      </c>
      <c r="E10" s="41">
        <f>BANKA_OZET!G10</f>
        <v>0</v>
      </c>
      <c r="F10" s="41">
        <f>MAX(0,C10-D10)</f>
        <v>0</v>
      </c>
      <c r="G10" s="41">
        <f>BANKA_OZET!H10</f>
        <v>0</v>
      </c>
      <c r="H10" s="42">
        <f>BANKA_OZET!J10</f>
        <v>0</v>
      </c>
      <c r="I10" s="42">
        <f>BANKA_OZET!I10</f>
        <v>0</v>
      </c>
      <c r="J10" s="29">
        <f>IF(B10="",0,ROUND((1-H10)*50+(1-I10)*30+IF(BANKA_OZET!M10="UYGUN",20,0),0))</f>
        <v>0</v>
      </c>
      <c r="K10" s="29">
        <f>IF(B10="","",IF(BANKA_OZET!L10&gt;0,"ÖNCE VADEYİ DÜZELT",IF(G10&gt;0,"MEVCUT BOŞLUĞU KULLAN",IF(J10&gt;=60,"YENİ TAHSİS GÖRÜŞ","DÜŞÜK ÖNCELİK"))))</f>
        <v>0</v>
      </c>
      <c r="L10" s="26">
        <f>IF(B10="","",IF(G10&gt;0,"Onaylı boşluk var; yeni tahsis talebinden önce mevcut limiti kullan.",IF(H10&gt;0.9,"Limit dolu; tahsis artışı için mali kapasite + teminat hazırlığı gerekli.","İlişki ve limit yapısını teyit et.")))</f>
        <v>0</v>
      </c>
      <c r="M10" s="4" t="s">
        <v>257</v>
      </c>
    </row>
    <row r="11" spans="1:14" ht="18" customHeight="1">
      <c r="B11" s="29">
        <f>BANKA_OZET!B11</f>
        <v>0</v>
      </c>
      <c r="C11" s="41">
        <f>BANKA_OZET!E11</f>
        <v>0</v>
      </c>
      <c r="D11" s="41">
        <f>BANKA_OZET!F11</f>
        <v>0</v>
      </c>
      <c r="E11" s="41">
        <f>BANKA_OZET!G11</f>
        <v>0</v>
      </c>
      <c r="F11" s="41">
        <f>MAX(0,C11-D11)</f>
        <v>0</v>
      </c>
      <c r="G11" s="41">
        <f>BANKA_OZET!H11</f>
        <v>0</v>
      </c>
      <c r="H11" s="42">
        <f>BANKA_OZET!J11</f>
        <v>0</v>
      </c>
      <c r="I11" s="42">
        <f>BANKA_OZET!I11</f>
        <v>0</v>
      </c>
      <c r="J11" s="29">
        <f>IF(B11="",0,ROUND((1-H11)*50+(1-I11)*30+IF(BANKA_OZET!M11="UYGUN",20,0),0))</f>
        <v>0</v>
      </c>
      <c r="K11" s="29">
        <f>IF(B11="","",IF(BANKA_OZET!L11&gt;0,"ÖNCE VADEYİ DÜZELT",IF(G11&gt;0,"MEVCUT BOŞLUĞU KULLAN",IF(J11&gt;=60,"YENİ TAHSİS GÖRÜŞ","DÜŞÜK ÖNCELİK"))))</f>
        <v>0</v>
      </c>
      <c r="L11" s="26">
        <f>IF(B11="","",IF(G11&gt;0,"Onaylı boşluk var; yeni tahsis talebinden önce mevcut limiti kullan.",IF(H11&gt;0.9,"Limit dolu; tahsis artışı için mali kapasite + teminat hazırlığı gerekli.","İlişki ve limit yapısını teyit et.")))</f>
        <v>0</v>
      </c>
      <c r="M11" s="4" t="s">
        <v>258</v>
      </c>
    </row>
    <row r="12" spans="1:14" ht="18" customHeight="1">
      <c r="B12" s="29">
        <f>BANKA_OZET!B12</f>
        <v>0</v>
      </c>
      <c r="C12" s="41">
        <f>BANKA_OZET!E12</f>
        <v>0</v>
      </c>
      <c r="D12" s="41">
        <f>BANKA_OZET!F12</f>
        <v>0</v>
      </c>
      <c r="E12" s="41">
        <f>BANKA_OZET!G12</f>
        <v>0</v>
      </c>
      <c r="F12" s="41">
        <f>MAX(0,C12-D12)</f>
        <v>0</v>
      </c>
      <c r="G12" s="41">
        <f>BANKA_OZET!H12</f>
        <v>0</v>
      </c>
      <c r="H12" s="42">
        <f>BANKA_OZET!J12</f>
        <v>0</v>
      </c>
      <c r="I12" s="42">
        <f>BANKA_OZET!I12</f>
        <v>0</v>
      </c>
      <c r="J12" s="29">
        <f>IF(B12="",0,ROUND((1-H12)*50+(1-I12)*30+IF(BANKA_OZET!M12="UYGUN",20,0),0))</f>
        <v>0</v>
      </c>
      <c r="K12" s="29">
        <f>IF(B12="","",IF(BANKA_OZET!L12&gt;0,"ÖNCE VADEYİ DÜZELT",IF(G12&gt;0,"MEVCUT BOŞLUĞU KULLAN",IF(J12&gt;=60,"YENİ TAHSİS GÖRÜŞ","DÜŞÜK ÖNCELİK"))))</f>
        <v>0</v>
      </c>
      <c r="L12" s="26">
        <f>IF(B12="","",IF(G12&gt;0,"Onaylı boşluk var; yeni tahsis talebinden önce mevcut limiti kullan.",IF(H12&gt;0.9,"Limit dolu; tahsis artışı için mali kapasite + teminat hazırlığı gerekli.","İlişki ve limit yapısını teyit et.")))</f>
        <v>0</v>
      </c>
      <c r="M12" s="4" t="s">
        <v>259</v>
      </c>
    </row>
    <row r="13" spans="1:14" ht="18" customHeight="1">
      <c r="B13" s="29">
        <f>BANKA_OZET!B13</f>
        <v>0</v>
      </c>
      <c r="C13" s="41">
        <f>BANKA_OZET!E13</f>
        <v>0</v>
      </c>
      <c r="D13" s="41">
        <f>BANKA_OZET!F13</f>
        <v>0</v>
      </c>
      <c r="E13" s="41">
        <f>BANKA_OZET!G13</f>
        <v>0</v>
      </c>
      <c r="F13" s="41">
        <f>MAX(0,C13-D13)</f>
        <v>0</v>
      </c>
      <c r="G13" s="41">
        <f>BANKA_OZET!H13</f>
        <v>0</v>
      </c>
      <c r="H13" s="42">
        <f>BANKA_OZET!J13</f>
        <v>0</v>
      </c>
      <c r="I13" s="42">
        <f>BANKA_OZET!I13</f>
        <v>0</v>
      </c>
      <c r="J13" s="29">
        <f>IF(B13="",0,ROUND((1-H13)*50+(1-I13)*30+IF(BANKA_OZET!M13="UYGUN",20,0),0))</f>
        <v>0</v>
      </c>
      <c r="K13" s="29">
        <f>IF(B13="","",IF(BANKA_OZET!L13&gt;0,"ÖNCE VADEYİ DÜZELT",IF(G13&gt;0,"MEVCUT BOŞLUĞU KULLAN",IF(J13&gt;=60,"YENİ TAHSİS GÖRÜŞ","DÜŞÜK ÖNCELİK"))))</f>
        <v>0</v>
      </c>
      <c r="L13" s="26">
        <f>IF(B13="","",IF(G13&gt;0,"Onaylı boşluk var; yeni tahsis talebinden önce mevcut limiti kullan.",IF(H13&gt;0.9,"Limit dolu; tahsis artışı için mali kapasite + teminat hazırlığı gerekli.","İlişki ve limit yapısını teyit et.")))</f>
        <v>0</v>
      </c>
      <c r="M13" s="4" t="s">
        <v>260</v>
      </c>
    </row>
    <row r="14" spans="1:14" ht="18" customHeight="1">
      <c r="B14" s="29">
        <f>BANKA_OZET!B14</f>
        <v>0</v>
      </c>
      <c r="C14" s="41">
        <f>BANKA_OZET!E14</f>
        <v>0</v>
      </c>
      <c r="D14" s="41">
        <f>BANKA_OZET!F14</f>
        <v>0</v>
      </c>
      <c r="E14" s="41">
        <f>BANKA_OZET!G14</f>
        <v>0</v>
      </c>
      <c r="F14" s="41">
        <f>MAX(0,C14-D14)</f>
        <v>0</v>
      </c>
      <c r="G14" s="41">
        <f>BANKA_OZET!H14</f>
        <v>0</v>
      </c>
      <c r="H14" s="42">
        <f>BANKA_OZET!J14</f>
        <v>0</v>
      </c>
      <c r="I14" s="42">
        <f>BANKA_OZET!I14</f>
        <v>0</v>
      </c>
      <c r="J14" s="29">
        <f>IF(B14="",0,ROUND((1-H14)*50+(1-I14)*30+IF(BANKA_OZET!M14="UYGUN",20,0),0))</f>
        <v>0</v>
      </c>
      <c r="K14" s="29">
        <f>IF(B14="","",IF(BANKA_OZET!L14&gt;0,"ÖNCE VADEYİ DÜZELT",IF(G14&gt;0,"MEVCUT BOŞLUĞU KULLAN",IF(J14&gt;=60,"YENİ TAHSİS GÖRÜŞ","DÜŞÜK ÖNCELİK"))))</f>
        <v>0</v>
      </c>
      <c r="L14" s="26">
        <f>IF(B14="","",IF(G14&gt;0,"Onaylı boşluk var; yeni tahsis talebinden önce mevcut limiti kullan.",IF(H14&gt;0.9,"Limit dolu; tahsis artışı için mali kapasite + teminat hazırlığı gerekli.","İlişki ve limit yapısını teyit et.")))</f>
        <v>0</v>
      </c>
      <c r="M14" s="4" t="s">
        <v>261</v>
      </c>
    </row>
    <row r="15" spans="1:14" ht="18" customHeight="1">
      <c r="B15" s="29">
        <f>BANKA_OZET!B15</f>
        <v>0</v>
      </c>
      <c r="C15" s="41">
        <f>BANKA_OZET!E15</f>
        <v>0</v>
      </c>
      <c r="D15" s="41">
        <f>BANKA_OZET!F15</f>
        <v>0</v>
      </c>
      <c r="E15" s="41">
        <f>BANKA_OZET!G15</f>
        <v>0</v>
      </c>
      <c r="F15" s="41">
        <f>MAX(0,C15-D15)</f>
        <v>0</v>
      </c>
      <c r="G15" s="41">
        <f>BANKA_OZET!H15</f>
        <v>0</v>
      </c>
      <c r="H15" s="42">
        <f>BANKA_OZET!J15</f>
        <v>0</v>
      </c>
      <c r="I15" s="42">
        <f>BANKA_OZET!I15</f>
        <v>0</v>
      </c>
      <c r="J15" s="29">
        <f>IF(B15="",0,ROUND((1-H15)*50+(1-I15)*30+IF(BANKA_OZET!M15="UYGUN",20,0),0))</f>
        <v>0</v>
      </c>
      <c r="K15" s="29">
        <f>IF(B15="","",IF(BANKA_OZET!L15&gt;0,"ÖNCE VADEYİ DÜZELT",IF(G15&gt;0,"MEVCUT BOŞLUĞU KULLAN",IF(J15&gt;=60,"YENİ TAHSİS GÖRÜŞ","DÜŞÜK ÖNCELİK"))))</f>
        <v>0</v>
      </c>
      <c r="L15" s="26">
        <f>IF(B15="","",IF(G15&gt;0,"Onaylı boşluk var; yeni tahsis talebinden önce mevcut limiti kullan.",IF(H15&gt;0.9,"Limit dolu; tahsis artışı için mali kapasite + teminat hazırlığı gerekli.","İlişki ve limit yapısını teyit et.")))</f>
        <v>0</v>
      </c>
      <c r="M15" s="4" t="s">
        <v>262</v>
      </c>
    </row>
    <row r="16" spans="1:14" ht="18" customHeight="1">
      <c r="B16" s="29">
        <f>BANKA_OZET!B16</f>
        <v>0</v>
      </c>
      <c r="C16" s="41">
        <f>BANKA_OZET!E16</f>
        <v>0</v>
      </c>
      <c r="D16" s="41">
        <f>BANKA_OZET!F16</f>
        <v>0</v>
      </c>
      <c r="E16" s="41">
        <f>BANKA_OZET!G16</f>
        <v>0</v>
      </c>
      <c r="F16" s="41">
        <f>MAX(0,C16-D16)</f>
        <v>0</v>
      </c>
      <c r="G16" s="41">
        <f>BANKA_OZET!H16</f>
        <v>0</v>
      </c>
      <c r="H16" s="42">
        <f>BANKA_OZET!J16</f>
        <v>0</v>
      </c>
      <c r="I16" s="42">
        <f>BANKA_OZET!I16</f>
        <v>0</v>
      </c>
      <c r="J16" s="29">
        <f>IF(B16="",0,ROUND((1-H16)*50+(1-I16)*30+IF(BANKA_OZET!M16="UYGUN",20,0),0))</f>
        <v>0</v>
      </c>
      <c r="K16" s="29">
        <f>IF(B16="","",IF(BANKA_OZET!L16&gt;0,"ÖNCE VADEYİ DÜZELT",IF(G16&gt;0,"MEVCUT BOŞLUĞU KULLAN",IF(J16&gt;=60,"YENİ TAHSİS GÖRÜŞ","DÜŞÜK ÖNCELİK"))))</f>
        <v>0</v>
      </c>
      <c r="L16" s="26">
        <f>IF(B16="","",IF(G16&gt;0,"Onaylı boşluk var; yeni tahsis talebinden önce mevcut limiti kullan.",IF(H16&gt;0.9,"Limit dolu; tahsis artışı için mali kapasite + teminat hazırlığı gerekli.","İlişki ve limit yapısını teyit et.")))</f>
        <v>0</v>
      </c>
      <c r="M16" s="4" t="s">
        <v>263</v>
      </c>
    </row>
    <row r="17" spans="2:13" ht="18" customHeight="1">
      <c r="B17" s="29">
        <f>BANKA_OZET!B17</f>
        <v>0</v>
      </c>
      <c r="C17" s="41">
        <f>BANKA_OZET!E17</f>
        <v>0</v>
      </c>
      <c r="D17" s="41">
        <f>BANKA_OZET!F17</f>
        <v>0</v>
      </c>
      <c r="E17" s="41">
        <f>BANKA_OZET!G17</f>
        <v>0</v>
      </c>
      <c r="F17" s="41">
        <f>MAX(0,C17-D17)</f>
        <v>0</v>
      </c>
      <c r="G17" s="41">
        <f>BANKA_OZET!H17</f>
        <v>0</v>
      </c>
      <c r="H17" s="42">
        <f>BANKA_OZET!J17</f>
        <v>0</v>
      </c>
      <c r="I17" s="42">
        <f>BANKA_OZET!I17</f>
        <v>0</v>
      </c>
      <c r="J17" s="29">
        <f>IF(B17="",0,ROUND((1-H17)*50+(1-I17)*30+IF(BANKA_OZET!M17="UYGUN",20,0),0))</f>
        <v>0</v>
      </c>
      <c r="K17" s="29">
        <f>IF(B17="","",IF(BANKA_OZET!L17&gt;0,"ÖNCE VADEYİ DÜZELT",IF(G17&gt;0,"MEVCUT BOŞLUĞU KULLAN",IF(J17&gt;=60,"YENİ TAHSİS GÖRÜŞ","DÜŞÜK ÖNCELİK"))))</f>
        <v>0</v>
      </c>
      <c r="L17" s="26">
        <f>IF(B17="","",IF(G17&gt;0,"Onaylı boşluk var; yeni tahsis talebinden önce mevcut limiti kullan.",IF(H17&gt;0.9,"Limit dolu; tahsis artışı için mali kapasite + teminat hazırlığı gerekli.","İlişki ve limit yapısını teyit et.")))</f>
        <v>0</v>
      </c>
      <c r="M17" s="4" t="s">
        <v>264</v>
      </c>
    </row>
    <row r="18" spans="2:13" ht="18" customHeight="1">
      <c r="B18" s="29">
        <f>BANKA_OZET!B18</f>
        <v>0</v>
      </c>
      <c r="C18" s="41">
        <f>BANKA_OZET!E18</f>
        <v>0</v>
      </c>
      <c r="D18" s="41">
        <f>BANKA_OZET!F18</f>
        <v>0</v>
      </c>
      <c r="E18" s="41">
        <f>BANKA_OZET!G18</f>
        <v>0</v>
      </c>
      <c r="F18" s="41">
        <f>MAX(0,C18-D18)</f>
        <v>0</v>
      </c>
      <c r="G18" s="41">
        <f>BANKA_OZET!H18</f>
        <v>0</v>
      </c>
      <c r="H18" s="42">
        <f>BANKA_OZET!J18</f>
        <v>0</v>
      </c>
      <c r="I18" s="42">
        <f>BANKA_OZET!I18</f>
        <v>0</v>
      </c>
      <c r="J18" s="29">
        <f>IF(B18="",0,ROUND((1-H18)*50+(1-I18)*30+IF(BANKA_OZET!M18="UYGUN",20,0),0))</f>
        <v>0</v>
      </c>
      <c r="K18" s="29">
        <f>IF(B18="","",IF(BANKA_OZET!L18&gt;0,"ÖNCE VADEYİ DÜZELT",IF(G18&gt;0,"MEVCUT BOŞLUĞU KULLAN",IF(J18&gt;=60,"YENİ TAHSİS GÖRÜŞ","DÜŞÜK ÖNCELİK"))))</f>
        <v>0</v>
      </c>
      <c r="L18" s="26">
        <f>IF(B18="","",IF(G18&gt;0,"Onaylı boşluk var; yeni tahsis talebinden önce mevcut limiti kullan.",IF(H18&gt;0.9,"Limit dolu; tahsis artışı için mali kapasite + teminat hazırlığı gerekli.","İlişki ve limit yapısını teyit et.")))</f>
        <v>0</v>
      </c>
      <c r="M18" s="4" t="s">
        <v>265</v>
      </c>
    </row>
    <row r="19" spans="2:13" ht="18" customHeight="1">
      <c r="B19" s="29">
        <f>BANKA_OZET!B19</f>
        <v>0</v>
      </c>
      <c r="C19" s="41">
        <f>BANKA_OZET!E19</f>
        <v>0</v>
      </c>
      <c r="D19" s="41">
        <f>BANKA_OZET!F19</f>
        <v>0</v>
      </c>
      <c r="E19" s="41">
        <f>BANKA_OZET!G19</f>
        <v>0</v>
      </c>
      <c r="F19" s="41">
        <f>MAX(0,C19-D19)</f>
        <v>0</v>
      </c>
      <c r="G19" s="41">
        <f>BANKA_OZET!H19</f>
        <v>0</v>
      </c>
      <c r="H19" s="42">
        <f>BANKA_OZET!J19</f>
        <v>0</v>
      </c>
      <c r="I19" s="42">
        <f>BANKA_OZET!I19</f>
        <v>0</v>
      </c>
      <c r="J19" s="29">
        <f>IF(B19="",0,ROUND((1-H19)*50+(1-I19)*30+IF(BANKA_OZET!M19="UYGUN",20,0),0))</f>
        <v>0</v>
      </c>
      <c r="K19" s="29">
        <f>IF(B19="","",IF(BANKA_OZET!L19&gt;0,"ÖNCE VADEYİ DÜZELT",IF(G19&gt;0,"MEVCUT BOŞLUĞU KULLAN",IF(J19&gt;=60,"YENİ TAHSİS GÖRÜŞ","DÜŞÜK ÖNCELİK"))))</f>
        <v>0</v>
      </c>
      <c r="L19" s="26">
        <f>IF(B19="","",IF(G19&gt;0,"Onaylı boşluk var; yeni tahsis talebinden önce mevcut limiti kullan.",IF(H19&gt;0.9,"Limit dolu; tahsis artışı için mali kapasite + teminat hazırlığı gerekli.","İlişki ve limit yapısını teyit et.")))</f>
        <v>0</v>
      </c>
      <c r="M19" s="4" t="s">
        <v>266</v>
      </c>
    </row>
    <row r="20" spans="2:13" ht="18" customHeight="1">
      <c r="B20" s="29">
        <f>BANKA_OZET!B20</f>
        <v>0</v>
      </c>
      <c r="C20" s="41">
        <f>BANKA_OZET!E20</f>
        <v>0</v>
      </c>
      <c r="D20" s="41">
        <f>BANKA_OZET!F20</f>
        <v>0</v>
      </c>
      <c r="E20" s="41">
        <f>BANKA_OZET!G20</f>
        <v>0</v>
      </c>
      <c r="F20" s="41">
        <f>MAX(0,C20-D20)</f>
        <v>0</v>
      </c>
      <c r="G20" s="41">
        <f>BANKA_OZET!H20</f>
        <v>0</v>
      </c>
      <c r="H20" s="42">
        <f>BANKA_OZET!J20</f>
        <v>0</v>
      </c>
      <c r="I20" s="42">
        <f>BANKA_OZET!I20</f>
        <v>0</v>
      </c>
      <c r="J20" s="29">
        <f>IF(B20="",0,ROUND((1-H20)*50+(1-I20)*30+IF(BANKA_OZET!M20="UYGUN",20,0),0))</f>
        <v>0</v>
      </c>
      <c r="K20" s="29">
        <f>IF(B20="","",IF(BANKA_OZET!L20&gt;0,"ÖNCE VADEYİ DÜZELT",IF(G20&gt;0,"MEVCUT BOŞLUĞU KULLAN",IF(J20&gt;=60,"YENİ TAHSİS GÖRÜŞ","DÜŞÜK ÖNCELİK"))))</f>
        <v>0</v>
      </c>
      <c r="L20" s="26">
        <f>IF(B20="","",IF(G20&gt;0,"Onaylı boşluk var; yeni tahsis talebinden önce mevcut limiti kullan.",IF(H20&gt;0.9,"Limit dolu; tahsis artışı için mali kapasite + teminat hazırlığı gerekli.","İlişki ve limit yapısını teyit et.")))</f>
        <v>0</v>
      </c>
      <c r="M20" s="4" t="s">
        <v>267</v>
      </c>
    </row>
    <row r="21" spans="2:13" ht="18" customHeight="1">
      <c r="B21" s="29">
        <f>BANKA_OZET!B21</f>
        <v>0</v>
      </c>
      <c r="C21" s="41">
        <f>BANKA_OZET!E21</f>
        <v>0</v>
      </c>
      <c r="D21" s="41">
        <f>BANKA_OZET!F21</f>
        <v>0</v>
      </c>
      <c r="E21" s="41">
        <f>BANKA_OZET!G21</f>
        <v>0</v>
      </c>
      <c r="F21" s="41">
        <f>MAX(0,C21-D21)</f>
        <v>0</v>
      </c>
      <c r="G21" s="41">
        <f>BANKA_OZET!H21</f>
        <v>0</v>
      </c>
      <c r="H21" s="42">
        <f>BANKA_OZET!J21</f>
        <v>0</v>
      </c>
      <c r="I21" s="42">
        <f>BANKA_OZET!I21</f>
        <v>0</v>
      </c>
      <c r="J21" s="29">
        <f>IF(B21="",0,ROUND((1-H21)*50+(1-I21)*30+IF(BANKA_OZET!M21="UYGUN",20,0),0))</f>
        <v>0</v>
      </c>
      <c r="K21" s="29">
        <f>IF(B21="","",IF(BANKA_OZET!L21&gt;0,"ÖNCE VADEYİ DÜZELT",IF(G21&gt;0,"MEVCUT BOŞLUĞU KULLAN",IF(J21&gt;=60,"YENİ TAHSİS GÖRÜŞ","DÜŞÜK ÖNCELİK"))))</f>
        <v>0</v>
      </c>
      <c r="L21" s="26">
        <f>IF(B21="","",IF(G21&gt;0,"Onaylı boşluk var; yeni tahsis talebinden önce mevcut limiti kullan.",IF(H21&gt;0.9,"Limit dolu; tahsis artışı için mali kapasite + teminat hazırlığı gerekli.","İlişki ve limit yapısını teyit et.")))</f>
        <v>0</v>
      </c>
      <c r="M21" s="4" t="s">
        <v>268</v>
      </c>
    </row>
    <row r="22" spans="2:13" ht="18" customHeight="1">
      <c r="B22" s="29">
        <f>BANKA_OZET!B22</f>
        <v>0</v>
      </c>
      <c r="C22" s="41">
        <f>BANKA_OZET!E22</f>
        <v>0</v>
      </c>
      <c r="D22" s="41">
        <f>BANKA_OZET!F22</f>
        <v>0</v>
      </c>
      <c r="E22" s="41">
        <f>BANKA_OZET!G22</f>
        <v>0</v>
      </c>
      <c r="F22" s="41">
        <f>MAX(0,C22-D22)</f>
        <v>0</v>
      </c>
      <c r="G22" s="41">
        <f>BANKA_OZET!H22</f>
        <v>0</v>
      </c>
      <c r="H22" s="42">
        <f>BANKA_OZET!J22</f>
        <v>0</v>
      </c>
      <c r="I22" s="42">
        <f>BANKA_OZET!I22</f>
        <v>0</v>
      </c>
      <c r="J22" s="29">
        <f>IF(B22="",0,ROUND((1-H22)*50+(1-I22)*30+IF(BANKA_OZET!M22="UYGUN",20,0),0))</f>
        <v>0</v>
      </c>
      <c r="K22" s="29">
        <f>IF(B22="","",IF(BANKA_OZET!L22&gt;0,"ÖNCE VADEYİ DÜZELT",IF(G22&gt;0,"MEVCUT BOŞLUĞU KULLAN",IF(J22&gt;=60,"YENİ TAHSİS GÖRÜŞ","DÜŞÜK ÖNCELİK"))))</f>
        <v>0</v>
      </c>
      <c r="L22" s="26">
        <f>IF(B22="","",IF(G22&gt;0,"Onaylı boşluk var; yeni tahsis talebinden önce mevcut limiti kullan.",IF(H22&gt;0.9,"Limit dolu; tahsis artışı için mali kapasite + teminat hazırlığı gerekli.","İlişki ve limit yapısını teyit et.")))</f>
        <v>0</v>
      </c>
      <c r="M22" s="4" t="s">
        <v>269</v>
      </c>
    </row>
    <row r="23" spans="2:13" ht="18" customHeight="1">
      <c r="B23" s="29">
        <f>BANKA_OZET!B23</f>
        <v>0</v>
      </c>
      <c r="C23" s="41">
        <f>BANKA_OZET!E23</f>
        <v>0</v>
      </c>
      <c r="D23" s="41">
        <f>BANKA_OZET!F23</f>
        <v>0</v>
      </c>
      <c r="E23" s="41">
        <f>BANKA_OZET!G23</f>
        <v>0</v>
      </c>
      <c r="F23" s="41">
        <f>MAX(0,C23-D23)</f>
        <v>0</v>
      </c>
      <c r="G23" s="41">
        <f>BANKA_OZET!H23</f>
        <v>0</v>
      </c>
      <c r="H23" s="42">
        <f>BANKA_OZET!J23</f>
        <v>0</v>
      </c>
      <c r="I23" s="42">
        <f>BANKA_OZET!I23</f>
        <v>0</v>
      </c>
      <c r="J23" s="29">
        <f>IF(B23="",0,ROUND((1-H23)*50+(1-I23)*30+IF(BANKA_OZET!M23="UYGUN",20,0),0))</f>
        <v>0</v>
      </c>
      <c r="K23" s="29">
        <f>IF(B23="","",IF(BANKA_OZET!L23&gt;0,"ÖNCE VADEYİ DÜZELT",IF(G23&gt;0,"MEVCUT BOŞLUĞU KULLAN",IF(J23&gt;=60,"YENİ TAHSİS GÖRÜŞ","DÜŞÜK ÖNCELİK"))))</f>
        <v>0</v>
      </c>
      <c r="L23" s="26">
        <f>IF(B23="","",IF(G23&gt;0,"Onaylı boşluk var; yeni tahsis talebinden önce mevcut limiti kullan.",IF(H23&gt;0.9,"Limit dolu; tahsis artışı için mali kapasite + teminat hazırlığı gerekli.","İlişki ve limit yapısını teyit et.")))</f>
        <v>0</v>
      </c>
      <c r="M23" s="4" t="s">
        <v>270</v>
      </c>
    </row>
    <row r="24" spans="2:13" ht="18" customHeight="1">
      <c r="B24" s="29">
        <f>BANKA_OZET!B24</f>
        <v>0</v>
      </c>
      <c r="C24" s="41">
        <f>BANKA_OZET!E24</f>
        <v>0</v>
      </c>
      <c r="D24" s="41">
        <f>BANKA_OZET!F24</f>
        <v>0</v>
      </c>
      <c r="E24" s="41">
        <f>BANKA_OZET!G24</f>
        <v>0</v>
      </c>
      <c r="F24" s="41">
        <f>MAX(0,C24-D24)</f>
        <v>0</v>
      </c>
      <c r="G24" s="41">
        <f>BANKA_OZET!H24</f>
        <v>0</v>
      </c>
      <c r="H24" s="42">
        <f>BANKA_OZET!J24</f>
        <v>0</v>
      </c>
      <c r="I24" s="42">
        <f>BANKA_OZET!I24</f>
        <v>0</v>
      </c>
      <c r="J24" s="29">
        <f>IF(B24="",0,ROUND((1-H24)*50+(1-I24)*30+IF(BANKA_OZET!M24="UYGUN",20,0),0))</f>
        <v>0</v>
      </c>
      <c r="K24" s="29">
        <f>IF(B24="","",IF(BANKA_OZET!L24&gt;0,"ÖNCE VADEYİ DÜZELT",IF(G24&gt;0,"MEVCUT BOŞLUĞU KULLAN",IF(J24&gt;=60,"YENİ TAHSİS GÖRÜŞ","DÜŞÜK ÖNCELİK"))))</f>
        <v>0</v>
      </c>
      <c r="L24" s="26">
        <f>IF(B24="","",IF(G24&gt;0,"Onaylı boşluk var; yeni tahsis talebinden önce mevcut limiti kullan.",IF(H24&gt;0.9,"Limit dolu; tahsis artışı için mali kapasite + teminat hazırlığı gerekli.","İlişki ve limit yapısını teyit et.")))</f>
        <v>0</v>
      </c>
      <c r="M24" s="4" t="s">
        <v>271</v>
      </c>
    </row>
    <row r="25" spans="2:13" ht="18" customHeight="1">
      <c r="B25" s="29">
        <f>BANKA_OZET!B25</f>
        <v>0</v>
      </c>
      <c r="C25" s="41">
        <f>BANKA_OZET!E25</f>
        <v>0</v>
      </c>
      <c r="D25" s="41">
        <f>BANKA_OZET!F25</f>
        <v>0</v>
      </c>
      <c r="E25" s="41">
        <f>BANKA_OZET!G25</f>
        <v>0</v>
      </c>
      <c r="F25" s="41">
        <f>MAX(0,C25-D25)</f>
        <v>0</v>
      </c>
      <c r="G25" s="41">
        <f>BANKA_OZET!H25</f>
        <v>0</v>
      </c>
      <c r="H25" s="42">
        <f>BANKA_OZET!J25</f>
        <v>0</v>
      </c>
      <c r="I25" s="42">
        <f>BANKA_OZET!I25</f>
        <v>0</v>
      </c>
      <c r="J25" s="29">
        <f>IF(B25="",0,ROUND((1-H25)*50+(1-I25)*30+IF(BANKA_OZET!M25="UYGUN",20,0),0))</f>
        <v>0</v>
      </c>
      <c r="K25" s="29">
        <f>IF(B25="","",IF(BANKA_OZET!L25&gt;0,"ÖNCE VADEYİ DÜZELT",IF(G25&gt;0,"MEVCUT BOŞLUĞU KULLAN",IF(J25&gt;=60,"YENİ TAHSİS GÖRÜŞ","DÜŞÜK ÖNCELİK"))))</f>
        <v>0</v>
      </c>
      <c r="L25" s="26">
        <f>IF(B25="","",IF(G25&gt;0,"Onaylı boşluk var; yeni tahsis talebinden önce mevcut limiti kullan.",IF(H25&gt;0.9,"Limit dolu; tahsis artışı için mali kapasite + teminat hazırlığı gerekli.","İlişki ve limit yapısını teyit et.")))</f>
        <v>0</v>
      </c>
      <c r="M25" s="4" t="s">
        <v>272</v>
      </c>
    </row>
    <row r="26" spans="2:13" ht="18" customHeight="1">
      <c r="B26" s="29">
        <f>BANKA_OZET!B26</f>
        <v>0</v>
      </c>
      <c r="C26" s="41">
        <f>BANKA_OZET!E26</f>
        <v>0</v>
      </c>
      <c r="D26" s="41">
        <f>BANKA_OZET!F26</f>
        <v>0</v>
      </c>
      <c r="E26" s="41">
        <f>BANKA_OZET!G26</f>
        <v>0</v>
      </c>
      <c r="F26" s="41">
        <f>MAX(0,C26-D26)</f>
        <v>0</v>
      </c>
      <c r="G26" s="41">
        <f>BANKA_OZET!H26</f>
        <v>0</v>
      </c>
      <c r="H26" s="42">
        <f>BANKA_OZET!J26</f>
        <v>0</v>
      </c>
      <c r="I26" s="42">
        <f>BANKA_OZET!I26</f>
        <v>0</v>
      </c>
      <c r="J26" s="29">
        <f>IF(B26="",0,ROUND((1-H26)*50+(1-I26)*30+IF(BANKA_OZET!M26="UYGUN",20,0),0))</f>
        <v>0</v>
      </c>
      <c r="K26" s="29">
        <f>IF(B26="","",IF(BANKA_OZET!L26&gt;0,"ÖNCE VADEYİ DÜZELT",IF(G26&gt;0,"MEVCUT BOŞLUĞU KULLAN",IF(J26&gt;=60,"YENİ TAHSİS GÖRÜŞ","DÜŞÜK ÖNCELİK"))))</f>
        <v>0</v>
      </c>
      <c r="L26" s="26">
        <f>IF(B26="","",IF(G26&gt;0,"Onaylı boşluk var; yeni tahsis talebinden önce mevcut limiti kullan.",IF(H26&gt;0.9,"Limit dolu; tahsis artışı için mali kapasite + teminat hazırlığı gerekli.","İlişki ve limit yapısını teyit et.")))</f>
        <v>0</v>
      </c>
      <c r="M26" s="4" t="s">
        <v>273</v>
      </c>
    </row>
    <row r="27" spans="2:13" ht="18" customHeight="1">
      <c r="B27" s="29">
        <f>BANKA_OZET!B27</f>
        <v>0</v>
      </c>
      <c r="C27" s="41">
        <f>BANKA_OZET!E27</f>
        <v>0</v>
      </c>
      <c r="D27" s="41">
        <f>BANKA_OZET!F27</f>
        <v>0</v>
      </c>
      <c r="E27" s="41">
        <f>BANKA_OZET!G27</f>
        <v>0</v>
      </c>
      <c r="F27" s="41">
        <f>MAX(0,C27-D27)</f>
        <v>0</v>
      </c>
      <c r="G27" s="41">
        <f>BANKA_OZET!H27</f>
        <v>0</v>
      </c>
      <c r="H27" s="42">
        <f>BANKA_OZET!J27</f>
        <v>0</v>
      </c>
      <c r="I27" s="42">
        <f>BANKA_OZET!I27</f>
        <v>0</v>
      </c>
      <c r="J27" s="29">
        <f>IF(B27="",0,ROUND((1-H27)*50+(1-I27)*30+IF(BANKA_OZET!M27="UYGUN",20,0),0))</f>
        <v>0</v>
      </c>
      <c r="K27" s="29">
        <f>IF(B27="","",IF(BANKA_OZET!L27&gt;0,"ÖNCE VADEYİ DÜZELT",IF(G27&gt;0,"MEVCUT BOŞLUĞU KULLAN",IF(J27&gt;=60,"YENİ TAHSİS GÖRÜŞ","DÜŞÜK ÖNCELİK"))))</f>
        <v>0</v>
      </c>
      <c r="L27" s="26">
        <f>IF(B27="","",IF(G27&gt;0,"Onaylı boşluk var; yeni tahsis talebinden önce mevcut limiti kullan.",IF(H27&gt;0.9,"Limit dolu; tahsis artışı için mali kapasite + teminat hazırlığı gerekli.","İlişki ve limit yapısını teyit et.")))</f>
        <v>0</v>
      </c>
      <c r="M27" s="4" t="s">
        <v>274</v>
      </c>
    </row>
    <row r="28" spans="2:13" ht="18" customHeight="1">
      <c r="B28" s="29">
        <f>BANKA_OZET!B28</f>
        <v>0</v>
      </c>
      <c r="C28" s="41">
        <f>BANKA_OZET!E28</f>
        <v>0</v>
      </c>
      <c r="D28" s="41">
        <f>BANKA_OZET!F28</f>
        <v>0</v>
      </c>
      <c r="E28" s="41">
        <f>BANKA_OZET!G28</f>
        <v>0</v>
      </c>
      <c r="F28" s="41">
        <f>MAX(0,C28-D28)</f>
        <v>0</v>
      </c>
      <c r="G28" s="41">
        <f>BANKA_OZET!H28</f>
        <v>0</v>
      </c>
      <c r="H28" s="42">
        <f>BANKA_OZET!J28</f>
        <v>0</v>
      </c>
      <c r="I28" s="42">
        <f>BANKA_OZET!I28</f>
        <v>0</v>
      </c>
      <c r="J28" s="29">
        <f>IF(B28="",0,ROUND((1-H28)*50+(1-I28)*30+IF(BANKA_OZET!M28="UYGUN",20,0),0))</f>
        <v>0</v>
      </c>
      <c r="K28" s="29">
        <f>IF(B28="","",IF(BANKA_OZET!L28&gt;0,"ÖNCE VADEYİ DÜZELT",IF(G28&gt;0,"MEVCUT BOŞLUĞU KULLAN",IF(J28&gt;=60,"YENİ TAHSİS GÖRÜŞ","DÜŞÜK ÖNCELİK"))))</f>
        <v>0</v>
      </c>
      <c r="L28" s="26">
        <f>IF(B28="","",IF(G28&gt;0,"Onaylı boşluk var; yeni tahsis talebinden önce mevcut limiti kullan.",IF(H28&gt;0.9,"Limit dolu; tahsis artışı için mali kapasite + teminat hazırlığı gerekli.","İlişki ve limit yapısını teyit et.")))</f>
        <v>0</v>
      </c>
      <c r="M28" s="4" t="s">
        <v>275</v>
      </c>
    </row>
    <row r="29" spans="2:13" ht="18" customHeight="1">
      <c r="B29" s="29">
        <f>BANKA_OZET!B29</f>
        <v>0</v>
      </c>
      <c r="C29" s="41">
        <f>BANKA_OZET!E29</f>
        <v>0</v>
      </c>
      <c r="D29" s="41">
        <f>BANKA_OZET!F29</f>
        <v>0</v>
      </c>
      <c r="E29" s="41">
        <f>BANKA_OZET!G29</f>
        <v>0</v>
      </c>
      <c r="F29" s="41">
        <f>MAX(0,C29-D29)</f>
        <v>0</v>
      </c>
      <c r="G29" s="41">
        <f>BANKA_OZET!H29</f>
        <v>0</v>
      </c>
      <c r="H29" s="42">
        <f>BANKA_OZET!J29</f>
        <v>0</v>
      </c>
      <c r="I29" s="42">
        <f>BANKA_OZET!I29</f>
        <v>0</v>
      </c>
      <c r="J29" s="29">
        <f>IF(B29="",0,ROUND((1-H29)*50+(1-I29)*30+IF(BANKA_OZET!M29="UYGUN",20,0),0))</f>
        <v>0</v>
      </c>
      <c r="K29" s="29">
        <f>IF(B29="","",IF(BANKA_OZET!L29&gt;0,"ÖNCE VADEYİ DÜZELT",IF(G29&gt;0,"MEVCUT BOŞLUĞU KULLAN",IF(J29&gt;=60,"YENİ TAHSİS GÖRÜŞ","DÜŞÜK ÖNCELİK"))))</f>
        <v>0</v>
      </c>
      <c r="L29" s="26">
        <f>IF(B29="","",IF(G29&gt;0,"Onaylı boşluk var; yeni tahsis talebinden önce mevcut limiti kullan.",IF(H29&gt;0.9,"Limit dolu; tahsis artışı için mali kapasite + teminat hazırlığı gerekli.","İlişki ve limit yapısını teyit et.")))</f>
        <v>0</v>
      </c>
      <c r="M29" s="4" t="s">
        <v>276</v>
      </c>
    </row>
    <row r="30" spans="2:13" ht="18" customHeight="1">
      <c r="B30" s="29">
        <f>BANKA_OZET!B30</f>
        <v>0</v>
      </c>
      <c r="C30" s="41">
        <f>BANKA_OZET!E30</f>
        <v>0</v>
      </c>
      <c r="D30" s="41">
        <f>BANKA_OZET!F30</f>
        <v>0</v>
      </c>
      <c r="E30" s="41">
        <f>BANKA_OZET!G30</f>
        <v>0</v>
      </c>
      <c r="F30" s="41">
        <f>MAX(0,C30-D30)</f>
        <v>0</v>
      </c>
      <c r="G30" s="41">
        <f>BANKA_OZET!H30</f>
        <v>0</v>
      </c>
      <c r="H30" s="42">
        <f>BANKA_OZET!J30</f>
        <v>0</v>
      </c>
      <c r="I30" s="42">
        <f>BANKA_OZET!I30</f>
        <v>0</v>
      </c>
      <c r="J30" s="29">
        <f>IF(B30="",0,ROUND((1-H30)*50+(1-I30)*30+IF(BANKA_OZET!M30="UYGUN",20,0),0))</f>
        <v>0</v>
      </c>
      <c r="K30" s="29">
        <f>IF(B30="","",IF(BANKA_OZET!L30&gt;0,"ÖNCE VADEYİ DÜZELT",IF(G30&gt;0,"MEVCUT BOŞLUĞU KULLAN",IF(J30&gt;=60,"YENİ TAHSİS GÖRÜŞ","DÜŞÜK ÖNCELİK"))))</f>
        <v>0</v>
      </c>
      <c r="L30" s="26">
        <f>IF(B30="","",IF(G30&gt;0,"Onaylı boşluk var; yeni tahsis talebinden önce mevcut limiti kullan.",IF(H30&gt;0.9,"Limit dolu; tahsis artışı için mali kapasite + teminat hazırlığı gerekli.","İlişki ve limit yapısını teyit et.")))</f>
        <v>0</v>
      </c>
      <c r="M30" s="4" t="s">
        <v>277</v>
      </c>
    </row>
    <row r="31" spans="2:13" ht="18" customHeight="1">
      <c r="B31" s="29">
        <f>BANKA_OZET!B31</f>
        <v>0</v>
      </c>
      <c r="C31" s="41">
        <f>BANKA_OZET!E31</f>
        <v>0</v>
      </c>
      <c r="D31" s="41">
        <f>BANKA_OZET!F31</f>
        <v>0</v>
      </c>
      <c r="E31" s="41">
        <f>BANKA_OZET!G31</f>
        <v>0</v>
      </c>
      <c r="F31" s="41">
        <f>MAX(0,C31-D31)</f>
        <v>0</v>
      </c>
      <c r="G31" s="41">
        <f>BANKA_OZET!H31</f>
        <v>0</v>
      </c>
      <c r="H31" s="42">
        <f>BANKA_OZET!J31</f>
        <v>0</v>
      </c>
      <c r="I31" s="42">
        <f>BANKA_OZET!I31</f>
        <v>0</v>
      </c>
      <c r="J31" s="29">
        <f>IF(B31="",0,ROUND((1-H31)*50+(1-I31)*30+IF(BANKA_OZET!M31="UYGUN",20,0),0))</f>
        <v>0</v>
      </c>
      <c r="K31" s="29">
        <f>IF(B31="","",IF(BANKA_OZET!L31&gt;0,"ÖNCE VADEYİ DÜZELT",IF(G31&gt;0,"MEVCUT BOŞLUĞU KULLAN",IF(J31&gt;=60,"YENİ TAHSİS GÖRÜŞ","DÜŞÜK ÖNCELİK"))))</f>
        <v>0</v>
      </c>
      <c r="L31" s="26">
        <f>IF(B31="","",IF(G31&gt;0,"Onaylı boşluk var; yeni tahsis talebinden önce mevcut limiti kullan.",IF(H31&gt;0.9,"Limit dolu; tahsis artışı için mali kapasite + teminat hazırlığı gerekli.","İlişki ve limit yapısını teyit et.")))</f>
        <v>0</v>
      </c>
      <c r="M31" s="4" t="s">
        <v>278</v>
      </c>
    </row>
    <row r="32" spans="2:13" ht="18" customHeight="1">
      <c r="B32" s="29">
        <f>BANKA_OZET!B32</f>
        <v>0</v>
      </c>
      <c r="C32" s="41">
        <f>BANKA_OZET!E32</f>
        <v>0</v>
      </c>
      <c r="D32" s="41">
        <f>BANKA_OZET!F32</f>
        <v>0</v>
      </c>
      <c r="E32" s="41">
        <f>BANKA_OZET!G32</f>
        <v>0</v>
      </c>
      <c r="F32" s="41">
        <f>MAX(0,C32-D32)</f>
        <v>0</v>
      </c>
      <c r="G32" s="41">
        <f>BANKA_OZET!H32</f>
        <v>0</v>
      </c>
      <c r="H32" s="42">
        <f>BANKA_OZET!J32</f>
        <v>0</v>
      </c>
      <c r="I32" s="42">
        <f>BANKA_OZET!I32</f>
        <v>0</v>
      </c>
      <c r="J32" s="29">
        <f>IF(B32="",0,ROUND((1-H32)*50+(1-I32)*30+IF(BANKA_OZET!M32="UYGUN",20,0),0))</f>
        <v>0</v>
      </c>
      <c r="K32" s="29">
        <f>IF(B32="","",IF(BANKA_OZET!L32&gt;0,"ÖNCE VADEYİ DÜZELT",IF(G32&gt;0,"MEVCUT BOŞLUĞU KULLAN",IF(J32&gt;=60,"YENİ TAHSİS GÖRÜŞ","DÜŞÜK ÖNCELİK"))))</f>
        <v>0</v>
      </c>
      <c r="L32" s="26">
        <f>IF(B32="","",IF(G32&gt;0,"Onaylı boşluk var; yeni tahsis talebinden önce mevcut limiti kullan.",IF(H32&gt;0.9,"Limit dolu; tahsis artışı için mali kapasite + teminat hazırlığı gerekli.","İlişki ve limit yapısını teyit et.")))</f>
        <v>0</v>
      </c>
      <c r="M32" s="4" t="s">
        <v>279</v>
      </c>
    </row>
    <row r="33" spans="2:13" ht="18" customHeight="1">
      <c r="B33" s="29">
        <f>BANKA_OZET!B33</f>
        <v>0</v>
      </c>
      <c r="C33" s="41">
        <f>BANKA_OZET!E33</f>
        <v>0</v>
      </c>
      <c r="D33" s="41">
        <f>BANKA_OZET!F33</f>
        <v>0</v>
      </c>
      <c r="E33" s="41">
        <f>BANKA_OZET!G33</f>
        <v>0</v>
      </c>
      <c r="F33" s="41">
        <f>MAX(0,C33-D33)</f>
        <v>0</v>
      </c>
      <c r="G33" s="41">
        <f>BANKA_OZET!H33</f>
        <v>0</v>
      </c>
      <c r="H33" s="42">
        <f>BANKA_OZET!J33</f>
        <v>0</v>
      </c>
      <c r="I33" s="42">
        <f>BANKA_OZET!I33</f>
        <v>0</v>
      </c>
      <c r="J33" s="29">
        <f>IF(B33="",0,ROUND((1-H33)*50+(1-I33)*30+IF(BANKA_OZET!M33="UYGUN",20,0),0))</f>
        <v>0</v>
      </c>
      <c r="K33" s="29">
        <f>IF(B33="","",IF(BANKA_OZET!L33&gt;0,"ÖNCE VADEYİ DÜZELT",IF(G33&gt;0,"MEVCUT BOŞLUĞU KULLAN",IF(J33&gt;=60,"YENİ TAHSİS GÖRÜŞ","DÜŞÜK ÖNCELİK"))))</f>
        <v>0</v>
      </c>
      <c r="L33" s="26">
        <f>IF(B33="","",IF(G33&gt;0,"Onaylı boşluk var; yeni tahsis talebinden önce mevcut limiti kullan.",IF(H33&gt;0.9,"Limit dolu; tahsis artışı için mali kapasite + teminat hazırlığı gerekli.","İlişki ve limit yapısını teyit et.")))</f>
        <v>0</v>
      </c>
      <c r="M33" s="4" t="s">
        <v>280</v>
      </c>
    </row>
    <row r="34" spans="2:13" ht="18" customHeight="1">
      <c r="B34" s="29">
        <f>BANKA_OZET!B34</f>
        <v>0</v>
      </c>
      <c r="C34" s="41">
        <f>BANKA_OZET!E34</f>
        <v>0</v>
      </c>
      <c r="D34" s="41">
        <f>BANKA_OZET!F34</f>
        <v>0</v>
      </c>
      <c r="E34" s="41">
        <f>BANKA_OZET!G34</f>
        <v>0</v>
      </c>
      <c r="F34" s="41">
        <f>MAX(0,C34-D34)</f>
        <v>0</v>
      </c>
      <c r="G34" s="41">
        <f>BANKA_OZET!H34</f>
        <v>0</v>
      </c>
      <c r="H34" s="42">
        <f>BANKA_OZET!J34</f>
        <v>0</v>
      </c>
      <c r="I34" s="42">
        <f>BANKA_OZET!I34</f>
        <v>0</v>
      </c>
      <c r="J34" s="29">
        <f>IF(B34="",0,ROUND((1-H34)*50+(1-I34)*30+IF(BANKA_OZET!M34="UYGUN",20,0),0))</f>
        <v>0</v>
      </c>
      <c r="K34" s="29">
        <f>IF(B34="","",IF(BANKA_OZET!L34&gt;0,"ÖNCE VADEYİ DÜZELT",IF(G34&gt;0,"MEVCUT BOŞLUĞU KULLAN",IF(J34&gt;=60,"YENİ TAHSİS GÖRÜŞ","DÜŞÜK ÖNCELİK"))))</f>
        <v>0</v>
      </c>
      <c r="L34" s="26">
        <f>IF(B34="","",IF(G34&gt;0,"Onaylı boşluk var; yeni tahsis talebinden önce mevcut limiti kullan.",IF(H34&gt;0.9,"Limit dolu; tahsis artışı için mali kapasite + teminat hazırlığı gerekli.","İlişki ve limit yapısını teyit et.")))</f>
        <v>0</v>
      </c>
      <c r="M34" s="4" t="s">
        <v>281</v>
      </c>
    </row>
    <row r="35" spans="2:13" ht="18" customHeight="1">
      <c r="B35" s="29">
        <f>BANKA_OZET!B35</f>
        <v>0</v>
      </c>
      <c r="C35" s="41">
        <f>BANKA_OZET!E35</f>
        <v>0</v>
      </c>
      <c r="D35" s="41">
        <f>BANKA_OZET!F35</f>
        <v>0</v>
      </c>
      <c r="E35" s="41">
        <f>BANKA_OZET!G35</f>
        <v>0</v>
      </c>
      <c r="F35" s="41">
        <f>MAX(0,C35-D35)</f>
        <v>0</v>
      </c>
      <c r="G35" s="41">
        <f>BANKA_OZET!H35</f>
        <v>0</v>
      </c>
      <c r="H35" s="42">
        <f>BANKA_OZET!J35</f>
        <v>0</v>
      </c>
      <c r="I35" s="42">
        <f>BANKA_OZET!I35</f>
        <v>0</v>
      </c>
      <c r="J35" s="29">
        <f>IF(B35="",0,ROUND((1-H35)*50+(1-I35)*30+IF(BANKA_OZET!M35="UYGUN",20,0),0))</f>
        <v>0</v>
      </c>
      <c r="K35" s="29">
        <f>IF(B35="","",IF(BANKA_OZET!L35&gt;0,"ÖNCE VADEYİ DÜZELT",IF(G35&gt;0,"MEVCUT BOŞLUĞU KULLAN",IF(J35&gt;=60,"YENİ TAHSİS GÖRÜŞ","DÜŞÜK ÖNCELİK"))))</f>
        <v>0</v>
      </c>
      <c r="L35" s="26">
        <f>IF(B35="","",IF(G35&gt;0,"Onaylı boşluk var; yeni tahsis talebinden önce mevcut limiti kullan.",IF(H35&gt;0.9,"Limit dolu; tahsis artışı için mali kapasite + teminat hazırlığı gerekli.","İlişki ve limit yapısını teyit et.")))</f>
        <v>0</v>
      </c>
      <c r="M35" s="4" t="s">
        <v>282</v>
      </c>
    </row>
    <row r="36" spans="2:13" ht="18" customHeight="1">
      <c r="B36" s="29">
        <f>BANKA_OZET!B36</f>
        <v>0</v>
      </c>
      <c r="C36" s="41">
        <f>BANKA_OZET!E36</f>
        <v>0</v>
      </c>
      <c r="D36" s="41">
        <f>BANKA_OZET!F36</f>
        <v>0</v>
      </c>
      <c r="E36" s="41">
        <f>BANKA_OZET!G36</f>
        <v>0</v>
      </c>
      <c r="F36" s="41">
        <f>MAX(0,C36-D36)</f>
        <v>0</v>
      </c>
      <c r="G36" s="41">
        <f>BANKA_OZET!H36</f>
        <v>0</v>
      </c>
      <c r="H36" s="42">
        <f>BANKA_OZET!J36</f>
        <v>0</v>
      </c>
      <c r="I36" s="42">
        <f>BANKA_OZET!I36</f>
        <v>0</v>
      </c>
      <c r="J36" s="29">
        <f>IF(B36="",0,ROUND((1-H36)*50+(1-I36)*30+IF(BANKA_OZET!M36="UYGUN",20,0),0))</f>
        <v>0</v>
      </c>
      <c r="K36" s="29">
        <f>IF(B36="","",IF(BANKA_OZET!L36&gt;0,"ÖNCE VADEYİ DÜZELT",IF(G36&gt;0,"MEVCUT BOŞLUĞU KULLAN",IF(J36&gt;=60,"YENİ TAHSİS GÖRÜŞ","DÜŞÜK ÖNCELİK"))))</f>
        <v>0</v>
      </c>
      <c r="L36" s="26">
        <f>IF(B36="","",IF(G36&gt;0,"Onaylı boşluk var; yeni tahsis talebinden önce mevcut limiti kullan.",IF(H36&gt;0.9,"Limit dolu; tahsis artışı için mali kapasite + teminat hazırlığı gerekli.","İlişki ve limit yapısını teyit et.")))</f>
        <v>0</v>
      </c>
      <c r="M36" s="4" t="s">
        <v>283</v>
      </c>
    </row>
    <row r="37" spans="2:13" ht="18" customHeight="1">
      <c r="B37" s="29">
        <f>BANKA_OZET!B37</f>
        <v>0</v>
      </c>
      <c r="C37" s="41">
        <f>BANKA_OZET!E37</f>
        <v>0</v>
      </c>
      <c r="D37" s="41">
        <f>BANKA_OZET!F37</f>
        <v>0</v>
      </c>
      <c r="E37" s="41">
        <f>BANKA_OZET!G37</f>
        <v>0</v>
      </c>
      <c r="F37" s="41">
        <f>MAX(0,C37-D37)</f>
        <v>0</v>
      </c>
      <c r="G37" s="41">
        <f>BANKA_OZET!H37</f>
        <v>0</v>
      </c>
      <c r="H37" s="42">
        <f>BANKA_OZET!J37</f>
        <v>0</v>
      </c>
      <c r="I37" s="42">
        <f>BANKA_OZET!I37</f>
        <v>0</v>
      </c>
      <c r="J37" s="29">
        <f>IF(B37="",0,ROUND((1-H37)*50+(1-I37)*30+IF(BANKA_OZET!M37="UYGUN",20,0),0))</f>
        <v>0</v>
      </c>
      <c r="K37" s="29">
        <f>IF(B37="","",IF(BANKA_OZET!L37&gt;0,"ÖNCE VADEYİ DÜZELT",IF(G37&gt;0,"MEVCUT BOŞLUĞU KULLAN",IF(J37&gt;=60,"YENİ TAHSİS GÖRÜŞ","DÜŞÜK ÖNCELİK"))))</f>
        <v>0</v>
      </c>
      <c r="L37" s="26">
        <f>IF(B37="","",IF(G37&gt;0,"Onaylı boşluk var; yeni tahsis talebinden önce mevcut limiti kullan.",IF(H37&gt;0.9,"Limit dolu; tahsis artışı için mali kapasite + teminat hazırlığı gerekli.","İlişki ve limit yapısını teyit et.")))</f>
        <v>0</v>
      </c>
      <c r="M37" s="4" t="s">
        <v>284</v>
      </c>
    </row>
    <row r="38" spans="2:13" ht="18" customHeight="1">
      <c r="B38" s="29">
        <f>BANKA_OZET!B38</f>
        <v>0</v>
      </c>
      <c r="C38" s="41">
        <f>BANKA_OZET!E38</f>
        <v>0</v>
      </c>
      <c r="D38" s="41">
        <f>BANKA_OZET!F38</f>
        <v>0</v>
      </c>
      <c r="E38" s="41">
        <f>BANKA_OZET!G38</f>
        <v>0</v>
      </c>
      <c r="F38" s="41">
        <f>MAX(0,C38-D38)</f>
        <v>0</v>
      </c>
      <c r="G38" s="41">
        <f>BANKA_OZET!H38</f>
        <v>0</v>
      </c>
      <c r="H38" s="42">
        <f>BANKA_OZET!J38</f>
        <v>0</v>
      </c>
      <c r="I38" s="42">
        <f>BANKA_OZET!I38</f>
        <v>0</v>
      </c>
      <c r="J38" s="29">
        <f>IF(B38="",0,ROUND((1-H38)*50+(1-I38)*30+IF(BANKA_OZET!M38="UYGUN",20,0),0))</f>
        <v>0</v>
      </c>
      <c r="K38" s="29">
        <f>IF(B38="","",IF(BANKA_OZET!L38&gt;0,"ÖNCE VADEYİ DÜZELT",IF(G38&gt;0,"MEVCUT BOŞLUĞU KULLAN",IF(J38&gt;=60,"YENİ TAHSİS GÖRÜŞ","DÜŞÜK ÖNCELİK"))))</f>
        <v>0</v>
      </c>
      <c r="L38" s="26">
        <f>IF(B38="","",IF(G38&gt;0,"Onaylı boşluk var; yeni tahsis talebinden önce mevcut limiti kullan.",IF(H38&gt;0.9,"Limit dolu; tahsis artışı için mali kapasite + teminat hazırlığı gerekli.","İlişki ve limit yapısını teyit et.")))</f>
        <v>0</v>
      </c>
      <c r="M38" s="4" t="s">
        <v>285</v>
      </c>
    </row>
    <row r="39" spans="2:13" ht="18" customHeight="1">
      <c r="B39" s="29">
        <f>BANKA_OZET!B39</f>
        <v>0</v>
      </c>
      <c r="C39" s="41">
        <f>BANKA_OZET!E39</f>
        <v>0</v>
      </c>
      <c r="D39" s="41">
        <f>BANKA_OZET!F39</f>
        <v>0</v>
      </c>
      <c r="E39" s="41">
        <f>BANKA_OZET!G39</f>
        <v>0</v>
      </c>
      <c r="F39" s="41">
        <f>MAX(0,C39-D39)</f>
        <v>0</v>
      </c>
      <c r="G39" s="41">
        <f>BANKA_OZET!H39</f>
        <v>0</v>
      </c>
      <c r="H39" s="42">
        <f>BANKA_OZET!J39</f>
        <v>0</v>
      </c>
      <c r="I39" s="42">
        <f>BANKA_OZET!I39</f>
        <v>0</v>
      </c>
      <c r="J39" s="29">
        <f>IF(B39="",0,ROUND((1-H39)*50+(1-I39)*30+IF(BANKA_OZET!M39="UYGUN",20,0),0))</f>
        <v>0</v>
      </c>
      <c r="K39" s="29">
        <f>IF(B39="","",IF(BANKA_OZET!L39&gt;0,"ÖNCE VADEYİ DÜZELT",IF(G39&gt;0,"MEVCUT BOŞLUĞU KULLAN",IF(J39&gt;=60,"YENİ TAHSİS GÖRÜŞ","DÜŞÜK ÖNCELİK"))))</f>
        <v>0</v>
      </c>
      <c r="L39" s="26">
        <f>IF(B39="","",IF(G39&gt;0,"Onaylı boşluk var; yeni tahsis talebinden önce mevcut limiti kullan.",IF(H39&gt;0.9,"Limit dolu; tahsis artışı için mali kapasite + teminat hazırlığı gerekli.","İlişki ve limit yapısını teyit et.")))</f>
        <v>0</v>
      </c>
      <c r="M39" s="4" t="s">
        <v>286</v>
      </c>
    </row>
    <row r="40" spans="2:13" ht="18" customHeight="1">
      <c r="B40" s="29">
        <f>BANKA_OZET!B40</f>
        <v>0</v>
      </c>
      <c r="C40" s="41">
        <f>BANKA_OZET!E40</f>
        <v>0</v>
      </c>
      <c r="D40" s="41">
        <f>BANKA_OZET!F40</f>
        <v>0</v>
      </c>
      <c r="E40" s="41">
        <f>BANKA_OZET!G40</f>
        <v>0</v>
      </c>
      <c r="F40" s="41">
        <f>MAX(0,C40-D40)</f>
        <v>0</v>
      </c>
      <c r="G40" s="41">
        <f>BANKA_OZET!H40</f>
        <v>0</v>
      </c>
      <c r="H40" s="42">
        <f>BANKA_OZET!J40</f>
        <v>0</v>
      </c>
      <c r="I40" s="42">
        <f>BANKA_OZET!I40</f>
        <v>0</v>
      </c>
      <c r="J40" s="29">
        <f>IF(B40="",0,ROUND((1-H40)*50+(1-I40)*30+IF(BANKA_OZET!M40="UYGUN",20,0),0))</f>
        <v>0</v>
      </c>
      <c r="K40" s="29">
        <f>IF(B40="","",IF(BANKA_OZET!L40&gt;0,"ÖNCE VADEYİ DÜZELT",IF(G40&gt;0,"MEVCUT BOŞLUĞU KULLAN",IF(J40&gt;=60,"YENİ TAHSİS GÖRÜŞ","DÜŞÜK ÖNCELİK"))))</f>
        <v>0</v>
      </c>
      <c r="L40" s="26">
        <f>IF(B40="","",IF(G40&gt;0,"Onaylı boşluk var; yeni tahsis talebinden önce mevcut limiti kullan.",IF(H40&gt;0.9,"Limit dolu; tahsis artışı için mali kapasite + teminat hazırlığı gerekli.","İlişki ve limit yapısını teyit et.")))</f>
        <v>0</v>
      </c>
      <c r="M40" s="4" t="s">
        <v>287</v>
      </c>
    </row>
    <row r="41" spans="2:13" ht="18" customHeight="1">
      <c r="B41" s="29">
        <f>BANKA_OZET!B41</f>
        <v>0</v>
      </c>
      <c r="C41" s="41">
        <f>BANKA_OZET!E41</f>
        <v>0</v>
      </c>
      <c r="D41" s="41">
        <f>BANKA_OZET!F41</f>
        <v>0</v>
      </c>
      <c r="E41" s="41">
        <f>BANKA_OZET!G41</f>
        <v>0</v>
      </c>
      <c r="F41" s="41">
        <f>MAX(0,C41-D41)</f>
        <v>0</v>
      </c>
      <c r="G41" s="41">
        <f>BANKA_OZET!H41</f>
        <v>0</v>
      </c>
      <c r="H41" s="42">
        <f>BANKA_OZET!J41</f>
        <v>0</v>
      </c>
      <c r="I41" s="42">
        <f>BANKA_OZET!I41</f>
        <v>0</v>
      </c>
      <c r="J41" s="29">
        <f>IF(B41="",0,ROUND((1-H41)*50+(1-I41)*30+IF(BANKA_OZET!M41="UYGUN",20,0),0))</f>
        <v>0</v>
      </c>
      <c r="K41" s="29">
        <f>IF(B41="","",IF(BANKA_OZET!L41&gt;0,"ÖNCE VADEYİ DÜZELT",IF(G41&gt;0,"MEVCUT BOŞLUĞU KULLAN",IF(J41&gt;=60,"YENİ TAHSİS GÖRÜŞ","DÜŞÜK ÖNCELİK"))))</f>
        <v>0</v>
      </c>
      <c r="L41" s="26">
        <f>IF(B41="","",IF(G41&gt;0,"Onaylı boşluk var; yeni tahsis talebinden önce mevcut limiti kullan.",IF(H41&gt;0.9,"Limit dolu; tahsis artışı için mali kapasite + teminat hazırlığı gerekli.","İlişki ve limit yapısını teyit et.")))</f>
        <v>0</v>
      </c>
      <c r="M41" s="4" t="s">
        <v>288</v>
      </c>
    </row>
    <row r="42" spans="2:13" ht="18" customHeight="1">
      <c r="B42" s="29">
        <f>BANKA_OZET!B42</f>
        <v>0</v>
      </c>
      <c r="C42" s="41">
        <f>BANKA_OZET!E42</f>
        <v>0</v>
      </c>
      <c r="D42" s="41">
        <f>BANKA_OZET!F42</f>
        <v>0</v>
      </c>
      <c r="E42" s="41">
        <f>BANKA_OZET!G42</f>
        <v>0</v>
      </c>
      <c r="F42" s="41">
        <f>MAX(0,C42-D42)</f>
        <v>0</v>
      </c>
      <c r="G42" s="41">
        <f>BANKA_OZET!H42</f>
        <v>0</v>
      </c>
      <c r="H42" s="42">
        <f>BANKA_OZET!J42</f>
        <v>0</v>
      </c>
      <c r="I42" s="42">
        <f>BANKA_OZET!I42</f>
        <v>0</v>
      </c>
      <c r="J42" s="29">
        <f>IF(B42="",0,ROUND((1-H42)*50+(1-I42)*30+IF(BANKA_OZET!M42="UYGUN",20,0),0))</f>
        <v>0</v>
      </c>
      <c r="K42" s="29">
        <f>IF(B42="","",IF(BANKA_OZET!L42&gt;0,"ÖNCE VADEYİ DÜZELT",IF(G42&gt;0,"MEVCUT BOŞLUĞU KULLAN",IF(J42&gt;=60,"YENİ TAHSİS GÖRÜŞ","DÜŞÜK ÖNCELİK"))))</f>
        <v>0</v>
      </c>
      <c r="L42" s="26">
        <f>IF(B42="","",IF(G42&gt;0,"Onaylı boşluk var; yeni tahsis talebinden önce mevcut limiti kullan.",IF(H42&gt;0.9,"Limit dolu; tahsis artışı için mali kapasite + teminat hazırlığı gerekli.","İlişki ve limit yapısını teyit et.")))</f>
        <v>0</v>
      </c>
      <c r="M42" s="4" t="s">
        <v>289</v>
      </c>
    </row>
    <row r="43" spans="2:13" ht="18" customHeight="1">
      <c r="B43" s="29">
        <f>BANKA_OZET!B43</f>
        <v>0</v>
      </c>
      <c r="C43" s="41">
        <f>BANKA_OZET!E43</f>
        <v>0</v>
      </c>
      <c r="D43" s="41">
        <f>BANKA_OZET!F43</f>
        <v>0</v>
      </c>
      <c r="E43" s="41">
        <f>BANKA_OZET!G43</f>
        <v>0</v>
      </c>
      <c r="F43" s="41">
        <f>MAX(0,C43-D43)</f>
        <v>0</v>
      </c>
      <c r="G43" s="41">
        <f>BANKA_OZET!H43</f>
        <v>0</v>
      </c>
      <c r="H43" s="42">
        <f>BANKA_OZET!J43</f>
        <v>0</v>
      </c>
      <c r="I43" s="42">
        <f>BANKA_OZET!I43</f>
        <v>0</v>
      </c>
      <c r="J43" s="29">
        <f>IF(B43="",0,ROUND((1-H43)*50+(1-I43)*30+IF(BANKA_OZET!M43="UYGUN",20,0),0))</f>
        <v>0</v>
      </c>
      <c r="K43" s="29">
        <f>IF(B43="","",IF(BANKA_OZET!L43&gt;0,"ÖNCE VADEYİ DÜZELT",IF(G43&gt;0,"MEVCUT BOŞLUĞU KULLAN",IF(J43&gt;=60,"YENİ TAHSİS GÖRÜŞ","DÜŞÜK ÖNCELİK"))))</f>
        <v>0</v>
      </c>
      <c r="L43" s="26">
        <f>IF(B43="","",IF(G43&gt;0,"Onaylı boşluk var; yeni tahsis talebinden önce mevcut limiti kullan.",IF(H43&gt;0.9,"Limit dolu; tahsis artışı için mali kapasite + teminat hazırlığı gerekli.","İlişki ve limit yapısını teyit et.")))</f>
        <v>0</v>
      </c>
      <c r="M43" s="4" t="s">
        <v>290</v>
      </c>
    </row>
    <row r="44" spans="2:13" ht="18" customHeight="1">
      <c r="B44" s="29">
        <f>BANKA_OZET!B44</f>
        <v>0</v>
      </c>
      <c r="C44" s="41">
        <f>BANKA_OZET!E44</f>
        <v>0</v>
      </c>
      <c r="D44" s="41">
        <f>BANKA_OZET!F44</f>
        <v>0</v>
      </c>
      <c r="E44" s="41">
        <f>BANKA_OZET!G44</f>
        <v>0</v>
      </c>
      <c r="F44" s="41">
        <f>MAX(0,C44-D44)</f>
        <v>0</v>
      </c>
      <c r="G44" s="41">
        <f>BANKA_OZET!H44</f>
        <v>0</v>
      </c>
      <c r="H44" s="42">
        <f>BANKA_OZET!J44</f>
        <v>0</v>
      </c>
      <c r="I44" s="42">
        <f>BANKA_OZET!I44</f>
        <v>0</v>
      </c>
      <c r="J44" s="29">
        <f>IF(B44="",0,ROUND((1-H44)*50+(1-I44)*30+IF(BANKA_OZET!M44="UYGUN",20,0),0))</f>
        <v>0</v>
      </c>
      <c r="K44" s="29">
        <f>IF(B44="","",IF(BANKA_OZET!L44&gt;0,"ÖNCE VADEYİ DÜZELT",IF(G44&gt;0,"MEVCUT BOŞLUĞU KULLAN",IF(J44&gt;=60,"YENİ TAHSİS GÖRÜŞ","DÜŞÜK ÖNCELİK"))))</f>
        <v>0</v>
      </c>
      <c r="L44" s="26">
        <f>IF(B44="","",IF(G44&gt;0,"Onaylı boşluk var; yeni tahsis talebinden önce mevcut limiti kullan.",IF(H44&gt;0.9,"Limit dolu; tahsis artışı için mali kapasite + teminat hazırlığı gerekli.","İlişki ve limit yapısını teyit et.")))</f>
        <v>0</v>
      </c>
      <c r="M44" s="4" t="s">
        <v>291</v>
      </c>
    </row>
    <row r="45" spans="2:13" ht="18" customHeight="1">
      <c r="B45" s="29">
        <f>BANKA_OZET!B45</f>
        <v>0</v>
      </c>
      <c r="C45" s="41">
        <f>BANKA_OZET!E45</f>
        <v>0</v>
      </c>
      <c r="D45" s="41">
        <f>BANKA_OZET!F45</f>
        <v>0</v>
      </c>
      <c r="E45" s="41">
        <f>BANKA_OZET!G45</f>
        <v>0</v>
      </c>
      <c r="F45" s="41">
        <f>MAX(0,C45-D45)</f>
        <v>0</v>
      </c>
      <c r="G45" s="41">
        <f>BANKA_OZET!H45</f>
        <v>0</v>
      </c>
      <c r="H45" s="42">
        <f>BANKA_OZET!J45</f>
        <v>0</v>
      </c>
      <c r="I45" s="42">
        <f>BANKA_OZET!I45</f>
        <v>0</v>
      </c>
      <c r="J45" s="29">
        <f>IF(B45="",0,ROUND((1-H45)*50+(1-I45)*30+IF(BANKA_OZET!M45="UYGUN",20,0),0))</f>
        <v>0</v>
      </c>
      <c r="K45" s="29">
        <f>IF(B45="","",IF(BANKA_OZET!L45&gt;0,"ÖNCE VADEYİ DÜZELT",IF(G45&gt;0,"MEVCUT BOŞLUĞU KULLAN",IF(J45&gt;=60,"YENİ TAHSİS GÖRÜŞ","DÜŞÜK ÖNCELİK"))))</f>
        <v>0</v>
      </c>
      <c r="L45" s="26">
        <f>IF(B45="","",IF(G45&gt;0,"Onaylı boşluk var; yeni tahsis talebinden önce mevcut limiti kullan.",IF(H45&gt;0.9,"Limit dolu; tahsis artışı için mali kapasite + teminat hazırlığı gerekli.","İlişki ve limit yapısını teyit et.")))</f>
        <v>0</v>
      </c>
      <c r="M45" s="4" t="s">
        <v>292</v>
      </c>
    </row>
    <row r="46" spans="2:13" ht="18" customHeight="1">
      <c r="B46" s="29">
        <f>BANKA_OZET!B46</f>
        <v>0</v>
      </c>
      <c r="C46" s="41">
        <f>BANKA_OZET!E46</f>
        <v>0</v>
      </c>
      <c r="D46" s="41">
        <f>BANKA_OZET!F46</f>
        <v>0</v>
      </c>
      <c r="E46" s="41">
        <f>BANKA_OZET!G46</f>
        <v>0</v>
      </c>
      <c r="F46" s="41">
        <f>MAX(0,C46-D46)</f>
        <v>0</v>
      </c>
      <c r="G46" s="41">
        <f>BANKA_OZET!H46</f>
        <v>0</v>
      </c>
      <c r="H46" s="42">
        <f>BANKA_OZET!J46</f>
        <v>0</v>
      </c>
      <c r="I46" s="42">
        <f>BANKA_OZET!I46</f>
        <v>0</v>
      </c>
      <c r="J46" s="29">
        <f>IF(B46="",0,ROUND((1-H46)*50+(1-I46)*30+IF(BANKA_OZET!M46="UYGUN",20,0),0))</f>
        <v>0</v>
      </c>
      <c r="K46" s="29">
        <f>IF(B46="","",IF(BANKA_OZET!L46&gt;0,"ÖNCE VADEYİ DÜZELT",IF(G46&gt;0,"MEVCUT BOŞLUĞU KULLAN",IF(J46&gt;=60,"YENİ TAHSİS GÖRÜŞ","DÜŞÜK ÖNCELİK"))))</f>
        <v>0</v>
      </c>
      <c r="L46" s="26">
        <f>IF(B46="","",IF(G46&gt;0,"Onaylı boşluk var; yeni tahsis talebinden önce mevcut limiti kullan.",IF(H46&gt;0.9,"Limit dolu; tahsis artışı için mali kapasite + teminat hazırlığı gerekli.","İlişki ve limit yapısını teyit et.")))</f>
        <v>0</v>
      </c>
      <c r="M46" s="4" t="s">
        <v>293</v>
      </c>
    </row>
    <row r="47" spans="2:13" ht="18" customHeight="1">
      <c r="B47" s="29">
        <f>BANKA_OZET!B47</f>
        <v>0</v>
      </c>
      <c r="C47" s="41">
        <f>BANKA_OZET!E47</f>
        <v>0</v>
      </c>
      <c r="D47" s="41">
        <f>BANKA_OZET!F47</f>
        <v>0</v>
      </c>
      <c r="E47" s="41">
        <f>BANKA_OZET!G47</f>
        <v>0</v>
      </c>
      <c r="F47" s="41">
        <f>MAX(0,C47-D47)</f>
        <v>0</v>
      </c>
      <c r="G47" s="41">
        <f>BANKA_OZET!H47</f>
        <v>0</v>
      </c>
      <c r="H47" s="42">
        <f>BANKA_OZET!J47</f>
        <v>0</v>
      </c>
      <c r="I47" s="42">
        <f>BANKA_OZET!I47</f>
        <v>0</v>
      </c>
      <c r="J47" s="29">
        <f>IF(B47="",0,ROUND((1-H47)*50+(1-I47)*30+IF(BANKA_OZET!M47="UYGUN",20,0),0))</f>
        <v>0</v>
      </c>
      <c r="K47" s="29">
        <f>IF(B47="","",IF(BANKA_OZET!L47&gt;0,"ÖNCE VADEYİ DÜZELT",IF(G47&gt;0,"MEVCUT BOŞLUĞU KULLAN",IF(J47&gt;=60,"YENİ TAHSİS GÖRÜŞ","DÜŞÜK ÖNCELİK"))))</f>
        <v>0</v>
      </c>
      <c r="L47" s="26">
        <f>IF(B47="","",IF(G47&gt;0,"Onaylı boşluk var; yeni tahsis talebinden önce mevcut limiti kullan.",IF(H47&gt;0.9,"Limit dolu; tahsis artışı için mali kapasite + teminat hazırlığı gerekli.","İlişki ve limit yapısını teyit et.")))</f>
        <v>0</v>
      </c>
      <c r="M47" s="4" t="s">
        <v>294</v>
      </c>
    </row>
    <row r="48" spans="2:13" ht="18" customHeight="1">
      <c r="B48" s="29">
        <f>BANKA_OZET!B48</f>
        <v>0</v>
      </c>
      <c r="C48" s="41">
        <f>BANKA_OZET!E48</f>
        <v>0</v>
      </c>
      <c r="D48" s="41">
        <f>BANKA_OZET!F48</f>
        <v>0</v>
      </c>
      <c r="E48" s="41">
        <f>BANKA_OZET!G48</f>
        <v>0</v>
      </c>
      <c r="F48" s="41">
        <f>MAX(0,C48-D48)</f>
        <v>0</v>
      </c>
      <c r="G48" s="41">
        <f>BANKA_OZET!H48</f>
        <v>0</v>
      </c>
      <c r="H48" s="42">
        <f>BANKA_OZET!J48</f>
        <v>0</v>
      </c>
      <c r="I48" s="42">
        <f>BANKA_OZET!I48</f>
        <v>0</v>
      </c>
      <c r="J48" s="29">
        <f>IF(B48="",0,ROUND((1-H48)*50+(1-I48)*30+IF(BANKA_OZET!M48="UYGUN",20,0),0))</f>
        <v>0</v>
      </c>
      <c r="K48" s="29">
        <f>IF(B48="","",IF(BANKA_OZET!L48&gt;0,"ÖNCE VADEYİ DÜZELT",IF(G48&gt;0,"MEVCUT BOŞLUĞU KULLAN",IF(J48&gt;=60,"YENİ TAHSİS GÖRÜŞ","DÜŞÜK ÖNCELİK"))))</f>
        <v>0</v>
      </c>
      <c r="L48" s="26">
        <f>IF(B48="","",IF(G48&gt;0,"Onaylı boşluk var; yeni tahsis talebinden önce mevcut limiti kullan.",IF(H48&gt;0.9,"Limit dolu; tahsis artışı için mali kapasite + teminat hazırlığı gerekli.","İlişki ve limit yapısını teyit et.")))</f>
        <v>0</v>
      </c>
      <c r="M48" s="4" t="s">
        <v>295</v>
      </c>
    </row>
    <row r="49" spans="2:13" ht="18" customHeight="1">
      <c r="B49" s="29">
        <f>BANKA_OZET!B49</f>
        <v>0</v>
      </c>
      <c r="C49" s="41">
        <f>BANKA_OZET!E49</f>
        <v>0</v>
      </c>
      <c r="D49" s="41">
        <f>BANKA_OZET!F49</f>
        <v>0</v>
      </c>
      <c r="E49" s="41">
        <f>BANKA_OZET!G49</f>
        <v>0</v>
      </c>
      <c r="F49" s="41">
        <f>MAX(0,C49-D49)</f>
        <v>0</v>
      </c>
      <c r="G49" s="41">
        <f>BANKA_OZET!H49</f>
        <v>0</v>
      </c>
      <c r="H49" s="42">
        <f>BANKA_OZET!J49</f>
        <v>0</v>
      </c>
      <c r="I49" s="42">
        <f>BANKA_OZET!I49</f>
        <v>0</v>
      </c>
      <c r="J49" s="29">
        <f>IF(B49="",0,ROUND((1-H49)*50+(1-I49)*30+IF(BANKA_OZET!M49="UYGUN",20,0),0))</f>
        <v>0</v>
      </c>
      <c r="K49" s="29">
        <f>IF(B49="","",IF(BANKA_OZET!L49&gt;0,"ÖNCE VADEYİ DÜZELT",IF(G49&gt;0,"MEVCUT BOŞLUĞU KULLAN",IF(J49&gt;=60,"YENİ TAHSİS GÖRÜŞ","DÜŞÜK ÖNCELİK"))))</f>
        <v>0</v>
      </c>
      <c r="L49" s="26">
        <f>IF(B49="","",IF(G49&gt;0,"Onaylı boşluk var; yeni tahsis talebinden önce mevcut limiti kullan.",IF(H49&gt;0.9,"Limit dolu; tahsis artışı için mali kapasite + teminat hazırlığı gerekli.","İlişki ve limit yapısını teyit et.")))</f>
        <v>0</v>
      </c>
      <c r="M49" s="4" t="s">
        <v>296</v>
      </c>
    </row>
    <row r="50" spans="2:13" ht="18" customHeight="1">
      <c r="B50" s="29">
        <f>BANKA_OZET!B50</f>
        <v>0</v>
      </c>
      <c r="C50" s="41">
        <f>BANKA_OZET!E50</f>
        <v>0</v>
      </c>
      <c r="D50" s="41">
        <f>BANKA_OZET!F50</f>
        <v>0</v>
      </c>
      <c r="E50" s="41">
        <f>BANKA_OZET!G50</f>
        <v>0</v>
      </c>
      <c r="F50" s="41">
        <f>MAX(0,C50-D50)</f>
        <v>0</v>
      </c>
      <c r="G50" s="41">
        <f>BANKA_OZET!H50</f>
        <v>0</v>
      </c>
      <c r="H50" s="42">
        <f>BANKA_OZET!J50</f>
        <v>0</v>
      </c>
      <c r="I50" s="42">
        <f>BANKA_OZET!I50</f>
        <v>0</v>
      </c>
      <c r="J50" s="29">
        <f>IF(B50="",0,ROUND((1-H50)*50+(1-I50)*30+IF(BANKA_OZET!M50="UYGUN",20,0),0))</f>
        <v>0</v>
      </c>
      <c r="K50" s="29">
        <f>IF(B50="","",IF(BANKA_OZET!L50&gt;0,"ÖNCE VADEYİ DÜZELT",IF(G50&gt;0,"MEVCUT BOŞLUĞU KULLAN",IF(J50&gt;=60,"YENİ TAHSİS GÖRÜŞ","DÜŞÜK ÖNCELİK"))))</f>
        <v>0</v>
      </c>
      <c r="L50" s="26">
        <f>IF(B50="","",IF(G50&gt;0,"Onaylı boşluk var; yeni tahsis talebinden önce mevcut limiti kullan.",IF(H50&gt;0.9,"Limit dolu; tahsis artışı için mali kapasite + teminat hazırlığı gerekli.","İlişki ve limit yapısını teyit et.")))</f>
        <v>0</v>
      </c>
      <c r="M50" s="4" t="s">
        <v>297</v>
      </c>
    </row>
    <row r="51" spans="2:13" ht="18" customHeight="1">
      <c r="B51" s="29">
        <f>BANKA_OZET!B51</f>
        <v>0</v>
      </c>
      <c r="C51" s="41">
        <f>BANKA_OZET!E51</f>
        <v>0</v>
      </c>
      <c r="D51" s="41">
        <f>BANKA_OZET!F51</f>
        <v>0</v>
      </c>
      <c r="E51" s="41">
        <f>BANKA_OZET!G51</f>
        <v>0</v>
      </c>
      <c r="F51" s="41">
        <f>MAX(0,C51-D51)</f>
        <v>0</v>
      </c>
      <c r="G51" s="41">
        <f>BANKA_OZET!H51</f>
        <v>0</v>
      </c>
      <c r="H51" s="42">
        <f>BANKA_OZET!J51</f>
        <v>0</v>
      </c>
      <c r="I51" s="42">
        <f>BANKA_OZET!I51</f>
        <v>0</v>
      </c>
      <c r="J51" s="29">
        <f>IF(B51="",0,ROUND((1-H51)*50+(1-I51)*30+IF(BANKA_OZET!M51="UYGUN",20,0),0))</f>
        <v>0</v>
      </c>
      <c r="K51" s="29">
        <f>IF(B51="","",IF(BANKA_OZET!L51&gt;0,"ÖNCE VADEYİ DÜZELT",IF(G51&gt;0,"MEVCUT BOŞLUĞU KULLAN",IF(J51&gt;=60,"YENİ TAHSİS GÖRÜŞ","DÜŞÜK ÖNCELİK"))))</f>
        <v>0</v>
      </c>
      <c r="L51" s="26">
        <f>IF(B51="","",IF(G51&gt;0,"Onaylı boşluk var; yeni tahsis talebinden önce mevcut limiti kullan.",IF(H51&gt;0.9,"Limit dolu; tahsis artışı için mali kapasite + teminat hazırlığı gerekli.","İlişki ve limit yapısını teyit et.")))</f>
        <v>0</v>
      </c>
      <c r="M51" s="4" t="s">
        <v>298</v>
      </c>
    </row>
    <row r="52" spans="2:13" ht="18" customHeight="1">
      <c r="B52" s="29">
        <f>BANKA_OZET!B52</f>
        <v>0</v>
      </c>
      <c r="C52" s="41">
        <f>BANKA_OZET!E52</f>
        <v>0</v>
      </c>
      <c r="D52" s="41">
        <f>BANKA_OZET!F52</f>
        <v>0</v>
      </c>
      <c r="E52" s="41">
        <f>BANKA_OZET!G52</f>
        <v>0</v>
      </c>
      <c r="F52" s="41">
        <f>MAX(0,C52-D52)</f>
        <v>0</v>
      </c>
      <c r="G52" s="41">
        <f>BANKA_OZET!H52</f>
        <v>0</v>
      </c>
      <c r="H52" s="42">
        <f>BANKA_OZET!J52</f>
        <v>0</v>
      </c>
      <c r="I52" s="42">
        <f>BANKA_OZET!I52</f>
        <v>0</v>
      </c>
      <c r="J52" s="29">
        <f>IF(B52="",0,ROUND((1-H52)*50+(1-I52)*30+IF(BANKA_OZET!M52="UYGUN",20,0),0))</f>
        <v>0</v>
      </c>
      <c r="K52" s="29">
        <f>IF(B52="","",IF(BANKA_OZET!L52&gt;0,"ÖNCE VADEYİ DÜZELT",IF(G52&gt;0,"MEVCUT BOŞLUĞU KULLAN",IF(J52&gt;=60,"YENİ TAHSİS GÖRÜŞ","DÜŞÜK ÖNCELİK"))))</f>
        <v>0</v>
      </c>
      <c r="L52" s="26">
        <f>IF(B52="","",IF(G52&gt;0,"Onaylı boşluk var; yeni tahsis talebinden önce mevcut limiti kullan.",IF(H52&gt;0.9,"Limit dolu; tahsis artışı için mali kapasite + teminat hazırlığı gerekli.","İlişki ve limit yapısını teyit et.")))</f>
        <v>0</v>
      </c>
      <c r="M52" s="4" t="s">
        <v>299</v>
      </c>
    </row>
    <row r="53" spans="2:13" ht="18" customHeight="1">
      <c r="B53" s="29">
        <f>BANKA_OZET!B53</f>
        <v>0</v>
      </c>
      <c r="C53" s="41">
        <f>BANKA_OZET!E53</f>
        <v>0</v>
      </c>
      <c r="D53" s="41">
        <f>BANKA_OZET!F53</f>
        <v>0</v>
      </c>
      <c r="E53" s="41">
        <f>BANKA_OZET!G53</f>
        <v>0</v>
      </c>
      <c r="F53" s="41">
        <f>MAX(0,C53-D53)</f>
        <v>0</v>
      </c>
      <c r="G53" s="41">
        <f>BANKA_OZET!H53</f>
        <v>0</v>
      </c>
      <c r="H53" s="42">
        <f>BANKA_OZET!J53</f>
        <v>0</v>
      </c>
      <c r="I53" s="42">
        <f>BANKA_OZET!I53</f>
        <v>0</v>
      </c>
      <c r="J53" s="29">
        <f>IF(B53="",0,ROUND((1-H53)*50+(1-I53)*30+IF(BANKA_OZET!M53="UYGUN",20,0),0))</f>
        <v>0</v>
      </c>
      <c r="K53" s="29">
        <f>IF(B53="","",IF(BANKA_OZET!L53&gt;0,"ÖNCE VADEYİ DÜZELT",IF(G53&gt;0,"MEVCUT BOŞLUĞU KULLAN",IF(J53&gt;=60,"YENİ TAHSİS GÖRÜŞ","DÜŞÜK ÖNCELİK"))))</f>
        <v>0</v>
      </c>
      <c r="L53" s="26">
        <f>IF(B53="","",IF(G53&gt;0,"Onaylı boşluk var; yeni tahsis talebinden önce mevcut limiti kullan.",IF(H53&gt;0.9,"Limit dolu; tahsis artışı için mali kapasite + teminat hazırlığı gerekli.","İlişki ve limit yapısını teyit et.")))</f>
        <v>0</v>
      </c>
      <c r="M53" s="4" t="s">
        <v>300</v>
      </c>
    </row>
    <row r="54" spans="2:13" ht="18" customHeight="1">
      <c r="B54" s="29">
        <f>BANKA_OZET!B54</f>
        <v>0</v>
      </c>
      <c r="C54" s="41">
        <f>BANKA_OZET!E54</f>
        <v>0</v>
      </c>
      <c r="D54" s="41">
        <f>BANKA_OZET!F54</f>
        <v>0</v>
      </c>
      <c r="E54" s="41">
        <f>BANKA_OZET!G54</f>
        <v>0</v>
      </c>
      <c r="F54" s="41">
        <f>MAX(0,C54-D54)</f>
        <v>0</v>
      </c>
      <c r="G54" s="41">
        <f>BANKA_OZET!H54</f>
        <v>0</v>
      </c>
      <c r="H54" s="42">
        <f>BANKA_OZET!J54</f>
        <v>0</v>
      </c>
      <c r="I54" s="42">
        <f>BANKA_OZET!I54</f>
        <v>0</v>
      </c>
      <c r="J54" s="29">
        <f>IF(B54="",0,ROUND((1-H54)*50+(1-I54)*30+IF(BANKA_OZET!M54="UYGUN",20,0),0))</f>
        <v>0</v>
      </c>
      <c r="K54" s="29">
        <f>IF(B54="","",IF(BANKA_OZET!L54&gt;0,"ÖNCE VADEYİ DÜZELT",IF(G54&gt;0,"MEVCUT BOŞLUĞU KULLAN",IF(J54&gt;=60,"YENİ TAHSİS GÖRÜŞ","DÜŞÜK ÖNCELİK"))))</f>
        <v>0</v>
      </c>
      <c r="L54" s="26">
        <f>IF(B54="","",IF(G54&gt;0,"Onaylı boşluk var; yeni tahsis talebinden önce mevcut limiti kullan.",IF(H54&gt;0.9,"Limit dolu; tahsis artışı için mali kapasite + teminat hazırlığı gerekli.","İlişki ve limit yapısını teyit et.")))</f>
        <v>0</v>
      </c>
      <c r="M54" s="4" t="s">
        <v>301</v>
      </c>
    </row>
    <row r="55" spans="2:13" ht="18" customHeight="1">
      <c r="B55" s="29">
        <f>BANKA_OZET!B55</f>
        <v>0</v>
      </c>
      <c r="C55" s="41">
        <f>BANKA_OZET!E55</f>
        <v>0</v>
      </c>
      <c r="D55" s="41">
        <f>BANKA_OZET!F55</f>
        <v>0</v>
      </c>
      <c r="E55" s="41">
        <f>BANKA_OZET!G55</f>
        <v>0</v>
      </c>
      <c r="F55" s="41">
        <f>MAX(0,C55-D55)</f>
        <v>0</v>
      </c>
      <c r="G55" s="41">
        <f>BANKA_OZET!H55</f>
        <v>0</v>
      </c>
      <c r="H55" s="42">
        <f>BANKA_OZET!J55</f>
        <v>0</v>
      </c>
      <c r="I55" s="42">
        <f>BANKA_OZET!I55</f>
        <v>0</v>
      </c>
      <c r="J55" s="29">
        <f>IF(B55="",0,ROUND((1-H55)*50+(1-I55)*30+IF(BANKA_OZET!M55="UYGUN",20,0),0))</f>
        <v>0</v>
      </c>
      <c r="K55" s="29">
        <f>IF(B55="","",IF(BANKA_OZET!L55&gt;0,"ÖNCE VADEYİ DÜZELT",IF(G55&gt;0,"MEVCUT BOŞLUĞU KULLAN",IF(J55&gt;=60,"YENİ TAHSİS GÖRÜŞ","DÜŞÜK ÖNCELİK"))))</f>
        <v>0</v>
      </c>
      <c r="L55" s="26">
        <f>IF(B55="","",IF(G55&gt;0,"Onaylı boşluk var; yeni tahsis talebinden önce mevcut limiti kullan.",IF(H55&gt;0.9,"Limit dolu; tahsis artışı için mali kapasite + teminat hazırlığı gerekli.","İlişki ve limit yapısını teyit et.")))</f>
        <v>0</v>
      </c>
      <c r="M55" s="4" t="s">
        <v>302</v>
      </c>
    </row>
    <row r="56" spans="2:13" ht="18" customHeight="1">
      <c r="B56" s="29">
        <f>BANKA_OZET!B56</f>
        <v>0</v>
      </c>
      <c r="C56" s="41">
        <f>BANKA_OZET!E56</f>
        <v>0</v>
      </c>
      <c r="D56" s="41">
        <f>BANKA_OZET!F56</f>
        <v>0</v>
      </c>
      <c r="E56" s="41">
        <f>BANKA_OZET!G56</f>
        <v>0</v>
      </c>
      <c r="F56" s="41">
        <f>MAX(0,C56-D56)</f>
        <v>0</v>
      </c>
      <c r="G56" s="41">
        <f>BANKA_OZET!H56</f>
        <v>0</v>
      </c>
      <c r="H56" s="42">
        <f>BANKA_OZET!J56</f>
        <v>0</v>
      </c>
      <c r="I56" s="42">
        <f>BANKA_OZET!I56</f>
        <v>0</v>
      </c>
      <c r="J56" s="29">
        <f>IF(B56="",0,ROUND((1-H56)*50+(1-I56)*30+IF(BANKA_OZET!M56="UYGUN",20,0),0))</f>
        <v>0</v>
      </c>
      <c r="K56" s="29">
        <f>IF(B56="","",IF(BANKA_OZET!L56&gt;0,"ÖNCE VADEYİ DÜZELT",IF(G56&gt;0,"MEVCUT BOŞLUĞU KULLAN",IF(J56&gt;=60,"YENİ TAHSİS GÖRÜŞ","DÜŞÜK ÖNCELİK"))))</f>
        <v>0</v>
      </c>
      <c r="L56" s="26">
        <f>IF(B56="","",IF(G56&gt;0,"Onaylı boşluk var; yeni tahsis talebinden önce mevcut limiti kullan.",IF(H56&gt;0.9,"Limit dolu; tahsis artışı için mali kapasite + teminat hazırlığı gerekli.","İlişki ve limit yapısını teyit et.")))</f>
        <v>0</v>
      </c>
      <c r="M56" s="4" t="s">
        <v>303</v>
      </c>
    </row>
    <row r="57" spans="2:13" ht="18" customHeight="1">
      <c r="B57" s="29">
        <f>BANKA_OZET!B57</f>
        <v>0</v>
      </c>
      <c r="C57" s="41">
        <f>BANKA_OZET!E57</f>
        <v>0</v>
      </c>
      <c r="D57" s="41">
        <f>BANKA_OZET!F57</f>
        <v>0</v>
      </c>
      <c r="E57" s="41">
        <f>BANKA_OZET!G57</f>
        <v>0</v>
      </c>
      <c r="F57" s="41">
        <f>MAX(0,C57-D57)</f>
        <v>0</v>
      </c>
      <c r="G57" s="41">
        <f>BANKA_OZET!H57</f>
        <v>0</v>
      </c>
      <c r="H57" s="42">
        <f>BANKA_OZET!J57</f>
        <v>0</v>
      </c>
      <c r="I57" s="42">
        <f>BANKA_OZET!I57</f>
        <v>0</v>
      </c>
      <c r="J57" s="29">
        <f>IF(B57="",0,ROUND((1-H57)*50+(1-I57)*30+IF(BANKA_OZET!M57="UYGUN",20,0),0))</f>
        <v>0</v>
      </c>
      <c r="K57" s="29">
        <f>IF(B57="","",IF(BANKA_OZET!L57&gt;0,"ÖNCE VADEYİ DÜZELT",IF(G57&gt;0,"MEVCUT BOŞLUĞU KULLAN",IF(J57&gt;=60,"YENİ TAHSİS GÖRÜŞ","DÜŞÜK ÖNCELİK"))))</f>
        <v>0</v>
      </c>
      <c r="L57" s="26">
        <f>IF(B57="","",IF(G57&gt;0,"Onaylı boşluk var; yeni tahsis talebinden önce mevcut limiti kullan.",IF(H57&gt;0.9,"Limit dolu; tahsis artışı için mali kapasite + teminat hazırlığı gerekli.","İlişki ve limit yapısını teyit et.")))</f>
        <v>0</v>
      </c>
      <c r="M57" s="4" t="s">
        <v>304</v>
      </c>
    </row>
  </sheetData>
  <mergeCells count="5">
    <mergeCell ref="A1:N2"/>
    <mergeCell ref="A3:N3"/>
    <mergeCell ref="A4:C4"/>
    <mergeCell ref="D4:N4"/>
    <mergeCell ref="A6:N6"/>
  </mergeCells>
  <conditionalFormatting sqref="J8:J57">
    <cfRule type="colorScale" priority="1">
      <colorScale>
        <cfvo type="min" val="0"/>
        <cfvo type="percentile" val="50"/>
        <cfvo type="max" val="0"/>
        <color rgb="FFFECACA"/>
        <color rgb="FFFEF3C7"/>
        <color rgb="FFDCFCE7"/>
      </colorScale>
    </cfRule>
  </conditionalFormatting>
  <hyperlinks>
    <hyperlink ref="A4" location="PANO!A1" display="☰ MENÜ / PANO"/>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17365D"/>
  </sheetPr>
  <dimension ref="A1:M26"/>
  <sheetViews>
    <sheetView showGridLines="0" workbookViewId="0">
      <pane ySplit="4" topLeftCell="A5" activePane="bottomLeft" state="frozen"/>
      <selection pane="bottomLeft"/>
    </sheetView>
  </sheetViews>
  <sheetFormatPr defaultRowHeight="18" customHeight="1"/>
  <cols>
    <col min="1" max="1" width="3.7109375" customWidth="1"/>
    <col min="2" max="2" width="38.7109375" customWidth="1"/>
    <col min="3" max="5" width="20.7109375" customWidth="1"/>
    <col min="6" max="6" width="48.7109375" customWidth="1"/>
    <col min="7" max="12" width="18.7109375" customWidth="1"/>
    <col min="13" max="13" width="3.7109375" customWidth="1"/>
  </cols>
  <sheetData>
    <row r="1" spans="1:13" ht="28" customHeight="1">
      <c r="A1" s="1" t="s">
        <v>305</v>
      </c>
      <c r="B1" s="1"/>
      <c r="C1" s="1"/>
      <c r="D1" s="1"/>
      <c r="E1" s="1"/>
      <c r="F1" s="1"/>
      <c r="G1" s="1"/>
      <c r="H1" s="1"/>
      <c r="I1" s="1"/>
      <c r="J1" s="1"/>
      <c r="K1" s="1"/>
      <c r="L1" s="1"/>
      <c r="M1" s="1"/>
    </row>
    <row r="2" spans="1:13" ht="28" customHeight="1">
      <c r="A2" s="1"/>
      <c r="B2" s="1"/>
      <c r="C2" s="1"/>
      <c r="D2" s="1"/>
      <c r="E2" s="1"/>
      <c r="F2" s="1"/>
      <c r="G2" s="1"/>
      <c r="H2" s="1"/>
      <c r="I2" s="1"/>
      <c r="J2" s="1"/>
      <c r="K2" s="1"/>
      <c r="L2" s="1"/>
      <c r="M2" s="1"/>
    </row>
    <row r="3" spans="1:13" ht="30" customHeight="1">
      <c r="A3" s="2" t="s">
        <v>306</v>
      </c>
      <c r="B3" s="2"/>
      <c r="C3" s="2"/>
      <c r="D3" s="2"/>
      <c r="E3" s="2"/>
      <c r="F3" s="2"/>
      <c r="G3" s="2"/>
      <c r="H3" s="2"/>
      <c r="I3" s="2"/>
      <c r="J3" s="2"/>
      <c r="K3" s="2"/>
      <c r="L3" s="2"/>
      <c r="M3" s="2"/>
    </row>
    <row r="4" spans="1:13" ht="22" customHeight="1">
      <c r="A4" s="3" t="s">
        <v>2</v>
      </c>
      <c r="B4" s="3"/>
      <c r="C4" s="3"/>
      <c r="D4" s="4" t="s">
        <v>3</v>
      </c>
      <c r="E4" s="4"/>
      <c r="F4" s="4"/>
      <c r="G4" s="4"/>
      <c r="H4" s="4"/>
      <c r="I4" s="4"/>
      <c r="J4" s="4"/>
      <c r="K4" s="4"/>
      <c r="L4" s="4"/>
      <c r="M4" s="4"/>
    </row>
    <row r="6" spans="1:13" ht="18" customHeight="1">
      <c r="A6" s="13" t="s">
        <v>307</v>
      </c>
      <c r="B6" s="13"/>
      <c r="C6" s="13"/>
      <c r="D6" s="13"/>
      <c r="E6" s="13"/>
      <c r="F6" s="13"/>
      <c r="G6" s="13"/>
      <c r="H6" s="13"/>
      <c r="I6" s="13"/>
      <c r="J6" s="13"/>
      <c r="K6" s="13"/>
      <c r="L6" s="13"/>
      <c r="M6" s="13"/>
    </row>
    <row r="8" spans="1:13" ht="18" customHeight="1">
      <c r="B8" s="25" t="s">
        <v>308</v>
      </c>
      <c r="C8" s="25" t="s">
        <v>309</v>
      </c>
      <c r="D8" s="25" t="s">
        <v>310</v>
      </c>
      <c r="E8" s="25" t="s">
        <v>311</v>
      </c>
      <c r="F8" s="25" t="s">
        <v>215</v>
      </c>
    </row>
    <row r="9" spans="1:13" ht="18" customHeight="1">
      <c r="B9" s="26" t="s">
        <v>312</v>
      </c>
      <c r="C9" s="43">
        <v>0.25</v>
      </c>
      <c r="D9" s="43">
        <v>0.18</v>
      </c>
      <c r="E9" s="43">
        <v>0.32</v>
      </c>
      <c r="F9" s="26" t="s">
        <v>313</v>
      </c>
    </row>
    <row r="10" spans="1:13" ht="18" customHeight="1">
      <c r="B10" s="26" t="s">
        <v>314</v>
      </c>
      <c r="C10" s="44">
        <v>3</v>
      </c>
      <c r="D10" s="44">
        <v>2</v>
      </c>
      <c r="E10" s="44">
        <v>4</v>
      </c>
      <c r="F10" s="26" t="s">
        <v>315</v>
      </c>
    </row>
    <row r="11" spans="1:13" ht="18" customHeight="1">
      <c r="B11" s="26" t="s">
        <v>316</v>
      </c>
      <c r="C11" s="44">
        <v>1.25</v>
      </c>
      <c r="D11" s="44">
        <v>1.5</v>
      </c>
      <c r="E11" s="44">
        <v>1.1</v>
      </c>
      <c r="F11" s="26" t="s">
        <v>317</v>
      </c>
    </row>
    <row r="12" spans="1:13" ht="18" customHeight="1">
      <c r="B12" s="26" t="s">
        <v>318</v>
      </c>
      <c r="C12" s="43">
        <v>0.35</v>
      </c>
      <c r="D12" s="43">
        <v>0.45</v>
      </c>
      <c r="E12" s="43">
        <v>0.3</v>
      </c>
      <c r="F12" s="26" t="s">
        <v>319</v>
      </c>
    </row>
    <row r="13" spans="1:13" ht="18" customHeight="1">
      <c r="B13" s="26" t="s">
        <v>320</v>
      </c>
      <c r="C13" s="43">
        <v>0.1</v>
      </c>
      <c r="D13" s="43">
        <v>0.15</v>
      </c>
      <c r="E13" s="43">
        <v>0.05</v>
      </c>
      <c r="F13" s="26" t="s">
        <v>321</v>
      </c>
    </row>
    <row r="14" spans="1:13" ht="18" customHeight="1">
      <c r="B14" s="26" t="s">
        <v>322</v>
      </c>
      <c r="C14" s="43">
        <v>0.35</v>
      </c>
      <c r="D14" s="43">
        <v>0.3</v>
      </c>
      <c r="E14" s="43">
        <v>0.4</v>
      </c>
      <c r="F14" s="26" t="s">
        <v>323</v>
      </c>
    </row>
    <row r="17" spans="1:13" ht="18" customHeight="1">
      <c r="A17" s="13" t="s">
        <v>324</v>
      </c>
      <c r="B17" s="13"/>
      <c r="C17" s="13"/>
      <c r="D17" s="13"/>
      <c r="E17" s="13"/>
      <c r="F17" s="13"/>
      <c r="G17" s="13"/>
      <c r="H17" s="13"/>
      <c r="I17" s="13"/>
      <c r="J17" s="13"/>
      <c r="K17" s="13"/>
      <c r="L17" s="13"/>
      <c r="M17" s="13"/>
    </row>
    <row r="19" spans="1:13" ht="18" customHeight="1">
      <c r="B19" s="35" t="s">
        <v>325</v>
      </c>
      <c r="C19" s="36" t="s">
        <v>309</v>
      </c>
      <c r="D19" s="36"/>
      <c r="E19" s="36"/>
    </row>
    <row r="21" spans="1:13" ht="18" customHeight="1">
      <c r="B21" s="29">
        <f>B9</f>
        <v>0</v>
      </c>
      <c r="C21" s="29">
        <f>IF($C$19="Baz",C9,IF($C$19="Stres",D9,E9))</f>
        <v>0</v>
      </c>
    </row>
    <row r="22" spans="1:13" ht="18" customHeight="1">
      <c r="B22" s="29">
        <f>B10</f>
        <v>0</v>
      </c>
      <c r="C22" s="29">
        <f>IF($C$19="Baz",C10,IF($C$19="Stres",D10,E10))</f>
        <v>0</v>
      </c>
    </row>
    <row r="23" spans="1:13" ht="18" customHeight="1">
      <c r="B23" s="29">
        <f>B11</f>
        <v>0</v>
      </c>
      <c r="C23" s="29">
        <f>IF($C$19="Baz",C11,IF($C$19="Stres",D11,E11))</f>
        <v>0</v>
      </c>
    </row>
    <row r="24" spans="1:13" ht="18" customHeight="1">
      <c r="B24" s="29">
        <f>B12</f>
        <v>0</v>
      </c>
      <c r="C24" s="29">
        <f>IF($C$19="Baz",C12,IF($C$19="Stres",D12,E12))</f>
        <v>0</v>
      </c>
    </row>
    <row r="25" spans="1:13" ht="18" customHeight="1">
      <c r="B25" s="29">
        <f>B13</f>
        <v>0</v>
      </c>
      <c r="C25" s="29">
        <f>IF($C$19="Baz",C13,IF($C$19="Stres",D13,E13))</f>
        <v>0</v>
      </c>
    </row>
    <row r="26" spans="1:13" ht="18" customHeight="1">
      <c r="B26" s="29">
        <f>B14</f>
        <v>0</v>
      </c>
      <c r="C26" s="29">
        <f>IF($C$19="Baz",C14,IF($C$19="Stres",D14,E14))</f>
        <v>0</v>
      </c>
    </row>
  </sheetData>
  <mergeCells count="7">
    <mergeCell ref="A1:M2"/>
    <mergeCell ref="A3:M3"/>
    <mergeCell ref="A4:C4"/>
    <mergeCell ref="D4:M4"/>
    <mergeCell ref="A6:M6"/>
    <mergeCell ref="A17:M17"/>
    <mergeCell ref="C19:E19"/>
  </mergeCells>
  <dataValidations count="1">
    <dataValidation type="list" allowBlank="1" showInputMessage="1" showErrorMessage="1" sqref="C19:E19">
      <formula1>"Baz,Stres,İyimser"</formula1>
    </dataValidation>
  </dataValidations>
  <hyperlinks>
    <hyperlink ref="A4" location="PANO!A1" display="☰ MENÜ / PANO"/>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sheetPr>
    <tabColor rgb="FF17365D"/>
  </sheetPr>
  <dimension ref="A1:N35"/>
  <sheetViews>
    <sheetView showGridLines="0" workbookViewId="0">
      <pane ySplit="4" topLeftCell="A5" activePane="bottomLeft" state="frozen"/>
      <selection pane="bottomLeft"/>
    </sheetView>
  </sheetViews>
  <sheetFormatPr defaultRowHeight="18" customHeight="1"/>
  <cols>
    <col min="1" max="1" width="3.7109375" customWidth="1"/>
    <col min="2" max="2" width="40.7109375" customWidth="1"/>
    <col min="3" max="5" width="20.7109375" customWidth="1"/>
    <col min="6" max="6" width="22.7109375" customWidth="1"/>
    <col min="7" max="7" width="24.7109375" customWidth="1"/>
    <col min="8" max="13" width="18.7109375" customWidth="1"/>
    <col min="14" max="14" width="3.7109375" customWidth="1"/>
  </cols>
  <sheetData>
    <row r="1" spans="1:14" ht="28" customHeight="1">
      <c r="A1" s="1" t="s">
        <v>326</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327</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328</v>
      </c>
      <c r="B6" s="13"/>
      <c r="C6" s="13"/>
      <c r="D6" s="13"/>
      <c r="E6" s="13"/>
      <c r="F6" s="13"/>
      <c r="G6" s="13"/>
      <c r="H6" s="13"/>
      <c r="I6" s="13"/>
      <c r="J6" s="13"/>
      <c r="K6" s="13"/>
      <c r="L6" s="13"/>
      <c r="M6" s="13"/>
      <c r="N6" s="13"/>
    </row>
    <row r="8" spans="1:14" ht="18" customHeight="1">
      <c r="B8" s="35" t="s">
        <v>329</v>
      </c>
      <c r="C8" s="39">
        <f>FIRMA!C20</f>
        <v>0</v>
      </c>
      <c r="D8" s="39"/>
      <c r="E8" s="39"/>
      <c r="F8" s="39"/>
    </row>
    <row r="9" spans="1:14" ht="18" customHeight="1">
      <c r="B9" s="35" t="s">
        <v>330</v>
      </c>
      <c r="C9" s="39">
        <f>SUM(LIMITLER!M8:M207)</f>
        <v>0</v>
      </c>
      <c r="D9" s="39"/>
      <c r="E9" s="39"/>
      <c r="F9" s="39"/>
    </row>
    <row r="11" spans="1:14" ht="18" customHeight="1">
      <c r="B11" s="35" t="s">
        <v>331</v>
      </c>
      <c r="C11" s="39">
        <f>FIRMA!C17*SENARYO!C21</f>
        <v>0</v>
      </c>
      <c r="D11" s="39"/>
      <c r="E11" s="39"/>
      <c r="F11" s="39"/>
    </row>
    <row r="12" spans="1:14" ht="18" customHeight="1">
      <c r="B12" s="35" t="s">
        <v>332</v>
      </c>
      <c r="C12" s="39">
        <f>MAX(0,C11-C8)</f>
        <v>0</v>
      </c>
      <c r="D12" s="39"/>
      <c r="E12" s="39"/>
      <c r="F12" s="39"/>
    </row>
    <row r="14" spans="1:14" ht="18" customHeight="1">
      <c r="B14" s="35" t="s">
        <v>333</v>
      </c>
      <c r="C14" s="39">
        <f>FIRMA!C18*SENARYO!C22</f>
        <v>0</v>
      </c>
      <c r="D14" s="39"/>
      <c r="E14" s="39"/>
      <c r="F14" s="39"/>
    </row>
    <row r="15" spans="1:14" ht="18" customHeight="1">
      <c r="B15" s="35" t="s">
        <v>334</v>
      </c>
      <c r="C15" s="39">
        <f>MAX(0,C14-MAX(0,FIRMA!C20-FIRMA!C21))</f>
        <v>0</v>
      </c>
      <c r="D15" s="39"/>
      <c r="E15" s="39"/>
      <c r="F15" s="39"/>
    </row>
    <row r="17" spans="1:14" ht="18" customHeight="1">
      <c r="B17" s="35" t="s">
        <v>335</v>
      </c>
      <c r="C17" s="39">
        <f>IFERROR(FIRMA!C22/SENARYO!C23,0)</f>
        <v>0</v>
      </c>
      <c r="D17" s="39"/>
      <c r="E17" s="39"/>
      <c r="F17" s="39"/>
    </row>
    <row r="18" spans="1:14" ht="18" customHeight="1">
      <c r="B18" s="35" t="s">
        <v>336</v>
      </c>
      <c r="C18" s="39">
        <f>MAX(0,C17-FIRMA!C23)</f>
        <v>0</v>
      </c>
      <c r="D18" s="39"/>
      <c r="E18" s="39"/>
      <c r="F18" s="39"/>
    </row>
    <row r="19" spans="1:14" ht="18" customHeight="1">
      <c r="B19" s="35" t="s">
        <v>337</v>
      </c>
      <c r="C19" s="39">
        <f>IFERROR(C18/SENARYO!C24,0)</f>
        <v>0</v>
      </c>
      <c r="D19" s="39"/>
      <c r="E19" s="39"/>
      <c r="F19" s="39"/>
    </row>
    <row r="22" spans="1:14" ht="18" customHeight="1">
      <c r="A22" s="45" t="s">
        <v>39</v>
      </c>
      <c r="B22" s="45"/>
      <c r="C22" s="45"/>
      <c r="D22" s="45"/>
      <c r="E22" s="45"/>
      <c r="F22" s="45"/>
      <c r="G22" s="45"/>
      <c r="H22" s="45"/>
      <c r="I22" s="45"/>
      <c r="J22" s="45"/>
      <c r="K22" s="45"/>
      <c r="L22" s="45"/>
      <c r="M22" s="45"/>
      <c r="N22" s="45"/>
    </row>
    <row r="24" spans="1:14" ht="18" customHeight="1">
      <c r="B24" s="46" t="s">
        <v>338</v>
      </c>
      <c r="C24" s="46"/>
      <c r="D24" s="46"/>
      <c r="E24" s="46"/>
      <c r="F24" s="47">
        <f>MIN(C12,C15,C19)</f>
        <v>0</v>
      </c>
      <c r="G24" s="47"/>
      <c r="H24" s="47"/>
    </row>
    <row r="26" spans="1:14" ht="18" customHeight="1">
      <c r="B26" s="48" t="s">
        <v>339</v>
      </c>
      <c r="C26" s="48"/>
      <c r="D26" s="48"/>
      <c r="E26" s="48"/>
      <c r="F26" s="49">
        <f>MAX(0,F24*(1-SENARYO!C25))</f>
        <v>0</v>
      </c>
      <c r="G26" s="49"/>
      <c r="H26" s="49"/>
    </row>
    <row r="28" spans="1:14" ht="18" customHeight="1">
      <c r="B28" s="50" t="s">
        <v>340</v>
      </c>
      <c r="C28" s="50"/>
      <c r="D28" s="50"/>
      <c r="E28" s="50"/>
      <c r="F28" s="51">
        <f>SUM(LIMITLER!M8:M207)+F26</f>
        <v>0</v>
      </c>
      <c r="G28" s="51"/>
      <c r="H28" s="51"/>
    </row>
    <row r="31" spans="1:14" ht="18" customHeight="1">
      <c r="A31" s="13" t="s">
        <v>341</v>
      </c>
      <c r="B31" s="13"/>
      <c r="C31" s="13"/>
      <c r="D31" s="13"/>
      <c r="E31" s="13"/>
      <c r="F31" s="13"/>
      <c r="G31" s="13"/>
      <c r="H31" s="13"/>
      <c r="I31" s="13"/>
      <c r="J31" s="13"/>
      <c r="K31" s="13"/>
      <c r="L31" s="13"/>
      <c r="M31" s="13"/>
      <c r="N31" s="13"/>
    </row>
    <row r="33" spans="2:8" ht="18" customHeight="1">
      <c r="B33" s="52">
        <f>IF(F24=C12,"CİRO KISITI: Satış hacmine göre borç alanı en düşük.",IF(F24=C15,"FAVÖK KISITI: Borçluluk/FAVÖK sınırı en düşük kapasiteyi veriyor.","NAKİT AKIŞI KISITI: Borç servisi kapasitesi en düşük."))</f>
        <v>0</v>
      </c>
      <c r="C33" s="52"/>
      <c r="D33" s="52"/>
      <c r="E33" s="52"/>
      <c r="F33" s="52"/>
      <c r="G33" s="52"/>
      <c r="H33" s="52"/>
    </row>
    <row r="34" spans="2:8" ht="18" customHeight="1">
      <c r="B34" s="52"/>
      <c r="C34" s="52"/>
      <c r="D34" s="52"/>
      <c r="E34" s="52"/>
      <c r="F34" s="52"/>
      <c r="G34" s="52"/>
      <c r="H34" s="52"/>
    </row>
    <row r="35" spans="2:8" ht="18" customHeight="1">
      <c r="B35" s="52"/>
      <c r="C35" s="52"/>
      <c r="D35" s="52"/>
      <c r="E35" s="52"/>
      <c r="F35" s="52"/>
      <c r="G35" s="52"/>
      <c r="H35" s="52"/>
    </row>
  </sheetData>
  <mergeCells count="23">
    <mergeCell ref="A1:N2"/>
    <mergeCell ref="A3:N3"/>
    <mergeCell ref="A4:C4"/>
    <mergeCell ref="D4:N4"/>
    <mergeCell ref="A6:N6"/>
    <mergeCell ref="C8:F8"/>
    <mergeCell ref="C9:F9"/>
    <mergeCell ref="C11:F11"/>
    <mergeCell ref="C12:F12"/>
    <mergeCell ref="C14:F14"/>
    <mergeCell ref="C15:F15"/>
    <mergeCell ref="C17:F17"/>
    <mergeCell ref="C18:F18"/>
    <mergeCell ref="C19:F19"/>
    <mergeCell ref="A22:N22"/>
    <mergeCell ref="B24:E24"/>
    <mergeCell ref="F24:H24"/>
    <mergeCell ref="B26:E26"/>
    <mergeCell ref="F26:H26"/>
    <mergeCell ref="B28:E28"/>
    <mergeCell ref="F28:H28"/>
    <mergeCell ref="A31:N31"/>
    <mergeCell ref="B33:H35"/>
  </mergeCells>
  <hyperlinks>
    <hyperlink ref="A4" location="PANO!A1" display="☰ MENÜ / PANO"/>
  </hyperlink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17365D"/>
  </sheetPr>
  <dimension ref="A1:N15"/>
  <sheetViews>
    <sheetView showGridLines="0" workbookViewId="0">
      <pane ySplit="4" topLeftCell="A5" activePane="bottomLeft" state="frozen"/>
      <selection pane="bottomLeft"/>
    </sheetView>
  </sheetViews>
  <sheetFormatPr defaultRowHeight="18" customHeight="1"/>
  <cols>
    <col min="1" max="1" width="3.7109375" customWidth="1"/>
    <col min="2" max="2" width="10.7109375" customWidth="1"/>
    <col min="3" max="3" width="32.7109375" customWidth="1"/>
    <col min="4" max="5" width="16.7109375" customWidth="1"/>
    <col min="6" max="6" width="18.7109375" customWidth="1"/>
    <col min="7" max="7" width="42.7109375" customWidth="1"/>
    <col min="8" max="8" width="30.7109375" customWidth="1"/>
    <col min="9" max="13" width="18.7109375" customWidth="1"/>
    <col min="14" max="14" width="3.7109375" customWidth="1"/>
  </cols>
  <sheetData>
    <row r="1" spans="1:14" ht="28" customHeight="1">
      <c r="A1" s="1" t="s">
        <v>342</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343</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344</v>
      </c>
      <c r="B6" s="13"/>
      <c r="C6" s="13"/>
      <c r="D6" s="13"/>
      <c r="E6" s="13"/>
      <c r="F6" s="13"/>
      <c r="G6" s="13"/>
      <c r="H6" s="13"/>
      <c r="I6" s="13"/>
      <c r="J6" s="13"/>
      <c r="K6" s="13"/>
      <c r="L6" s="13"/>
      <c r="M6" s="13"/>
      <c r="N6" s="13"/>
    </row>
    <row r="7" spans="1:14" ht="18" customHeight="1">
      <c r="B7" s="25" t="s">
        <v>345</v>
      </c>
      <c r="C7" s="25" t="s">
        <v>90</v>
      </c>
      <c r="D7" s="25" t="s">
        <v>346</v>
      </c>
      <c r="E7" s="25" t="s">
        <v>154</v>
      </c>
      <c r="F7" s="25" t="s">
        <v>347</v>
      </c>
      <c r="G7" s="25" t="s">
        <v>348</v>
      </c>
      <c r="H7" s="25" t="s">
        <v>254</v>
      </c>
    </row>
    <row r="8" spans="1:14" ht="18" customHeight="1">
      <c r="B8" s="29" t="s">
        <v>349</v>
      </c>
      <c r="C8" s="26" t="s">
        <v>350</v>
      </c>
      <c r="D8" s="29" t="s">
        <v>351</v>
      </c>
      <c r="E8" s="29">
        <f>IF(COUNTIF(LIMITLER!P8:P207,"KRİTİK*")&gt;0,"KALDI","GEÇTİ")</f>
        <v>0</v>
      </c>
      <c r="F8" s="29">
        <f>COUNTIF(LIMITLER!P8:P207,"KRİTİK*")</f>
        <v>0</v>
      </c>
      <c r="G8" s="26" t="s">
        <v>352</v>
      </c>
      <c r="H8" s="26" t="s">
        <v>353</v>
      </c>
    </row>
    <row r="9" spans="1:14" ht="18" customHeight="1">
      <c r="B9" s="29" t="s">
        <v>354</v>
      </c>
      <c r="C9" s="26" t="s">
        <v>355</v>
      </c>
      <c r="D9" s="29" t="s">
        <v>126</v>
      </c>
      <c r="E9" s="29">
        <f>IF(COUNTIF(LIMITLER!P8:P207,"*Vade geçmiş*")&gt;0,"KALDI","GEÇTİ")</f>
        <v>0</v>
      </c>
      <c r="F9" s="29">
        <f>COUNTIF(LIMITLER!P8:P207,"*Vade geçmiş*")</f>
        <v>0</v>
      </c>
      <c r="G9" s="26" t="s">
        <v>356</v>
      </c>
      <c r="H9" s="26" t="s">
        <v>357</v>
      </c>
    </row>
    <row r="10" spans="1:14" ht="18" customHeight="1">
      <c r="B10" s="29" t="s">
        <v>358</v>
      </c>
      <c r="C10" s="26" t="s">
        <v>359</v>
      </c>
      <c r="D10" s="29" t="s">
        <v>126</v>
      </c>
      <c r="E10" s="29">
        <f>IF(MAX(BANKA_OZET!I8:I57)&gt;SENARYO!C26,"KALDI","GEÇTİ")</f>
        <v>0</v>
      </c>
      <c r="F10" s="29">
        <f>MAX(BANKA_OZET!I8:I57)</f>
        <v>0</v>
      </c>
      <c r="G10" s="26" t="s">
        <v>360</v>
      </c>
      <c r="H10" s="26" t="s">
        <v>361</v>
      </c>
    </row>
    <row r="11" spans="1:14" ht="18" customHeight="1">
      <c r="B11" s="29" t="s">
        <v>362</v>
      </c>
      <c r="C11" s="26" t="s">
        <v>363</v>
      </c>
      <c r="D11" s="29" t="s">
        <v>126</v>
      </c>
      <c r="E11" s="29">
        <f>IF(IFERROR(SUM(LIMITLER!I8:I207)/SUM(LIMITLER!H8:H207),0)&gt;0.9,"KALDI","GEÇTİ")</f>
        <v>0</v>
      </c>
      <c r="F11" s="29">
        <f>IFERROR(SUM(LIMITLER!I8:I207)/SUM(LIMITLER!H8:H207),0)</f>
        <v>0</v>
      </c>
      <c r="G11" s="26" t="s">
        <v>364</v>
      </c>
      <c r="H11" s="26" t="s">
        <v>365</v>
      </c>
    </row>
    <row r="12" spans="1:14" ht="18" customHeight="1">
      <c r="B12" s="29" t="s">
        <v>366</v>
      </c>
      <c r="C12" s="26" t="s">
        <v>367</v>
      </c>
      <c r="D12" s="29" t="s">
        <v>351</v>
      </c>
      <c r="E12" s="29">
        <f>IF(FIRMA!C33&lt;SENARYO!C23,"KALDI","GEÇTİ")</f>
        <v>0</v>
      </c>
      <c r="F12" s="29">
        <f>FIRMA!C33</f>
        <v>0</v>
      </c>
      <c r="G12" s="26" t="s">
        <v>368</v>
      </c>
      <c r="H12" s="26" t="s">
        <v>369</v>
      </c>
    </row>
    <row r="13" spans="1:14" ht="18" customHeight="1">
      <c r="B13" s="29" t="s">
        <v>370</v>
      </c>
      <c r="C13" s="26" t="s">
        <v>371</v>
      </c>
      <c r="D13" s="29" t="s">
        <v>351</v>
      </c>
      <c r="E13" s="29">
        <f>IF(FIRMA!C32&gt;SENARYO!C22,"KALDI","GEÇTİ")</f>
        <v>0</v>
      </c>
      <c r="F13" s="29">
        <f>FIRMA!C32</f>
        <v>0</v>
      </c>
      <c r="G13" s="26" t="s">
        <v>372</v>
      </c>
      <c r="H13" s="26" t="s">
        <v>373</v>
      </c>
    </row>
    <row r="14" spans="1:14" ht="18" customHeight="1">
      <c r="B14" s="29" t="s">
        <v>374</v>
      </c>
      <c r="C14" s="26" t="s">
        <v>375</v>
      </c>
      <c r="D14" s="29" t="s">
        <v>351</v>
      </c>
      <c r="E14" s="29">
        <f>IF(COUNTIF(TEMINATLAR!M8:M107,"KRİTİK*")&gt;0,"KALDI","GEÇTİ")</f>
        <v>0</v>
      </c>
      <c r="F14" s="29">
        <f>COUNTIF(TEMINATLAR!M8:M107,"KRİTİK*")</f>
        <v>0</v>
      </c>
      <c r="G14" s="26" t="s">
        <v>376</v>
      </c>
      <c r="H14" s="26" t="s">
        <v>377</v>
      </c>
    </row>
    <row r="15" spans="1:14" ht="18" customHeight="1">
      <c r="B15" s="29" t="s">
        <v>378</v>
      </c>
      <c r="C15" s="26" t="s">
        <v>379</v>
      </c>
      <c r="D15" s="29" t="s">
        <v>121</v>
      </c>
      <c r="E15" s="29">
        <f>IF(KREDI_KAPASITE!F26&lt;=0,"KALDI","GEÇTİ")</f>
        <v>0</v>
      </c>
      <c r="F15" s="29">
        <f>KREDI_KAPASITE!F26</f>
        <v>0</v>
      </c>
      <c r="G15" s="26" t="s">
        <v>380</v>
      </c>
      <c r="H15" s="26" t="s">
        <v>381</v>
      </c>
    </row>
  </sheetData>
  <mergeCells count="5">
    <mergeCell ref="A1:N2"/>
    <mergeCell ref="A3:N3"/>
    <mergeCell ref="A4:C4"/>
    <mergeCell ref="D4:N4"/>
    <mergeCell ref="A6:N6"/>
  </mergeCells>
  <conditionalFormatting sqref="E8:E15">
    <cfRule type="containsText" dxfId="0" priority="1" operator="containsText" text="KALDI">
      <formula>NOT(ISERROR(SEARCH("KALDI",E8)))</formula>
    </cfRule>
    <cfRule type="containsText" dxfId="1" priority="2" operator="containsText" text="GEÇTİ">
      <formula>NOT(ISERROR(SEARCH("GEÇTİ",E8)))</formula>
    </cfRule>
  </conditionalFormatting>
  <hyperlinks>
    <hyperlink ref="A4" location="PANO!A1" display="☰ MENÜ / PANO"/>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17365D"/>
  </sheetPr>
  <dimension ref="A1:N29"/>
  <sheetViews>
    <sheetView showGridLines="0" workbookViewId="0">
      <pane ySplit="4" topLeftCell="A5" activePane="bottomLeft" state="frozen"/>
      <selection pane="bottomLeft"/>
    </sheetView>
  </sheetViews>
  <sheetFormatPr defaultRowHeight="18" customHeight="1"/>
  <cols>
    <col min="1" max="1" width="3.7109375" customWidth="1"/>
    <col min="2" max="2" width="24.7109375" customWidth="1"/>
    <col min="3" max="5" width="20.7109375" customWidth="1"/>
    <col min="6" max="6" width="4.7109375" customWidth="1"/>
    <col min="7" max="7" width="24.7109375" customWidth="1"/>
    <col min="8" max="10" width="20.7109375" customWidth="1"/>
    <col min="11" max="11" width="4.7109375" customWidth="1"/>
    <col min="12" max="13" width="20.7109375" customWidth="1"/>
    <col min="14" max="14" width="3.7109375" customWidth="1"/>
  </cols>
  <sheetData>
    <row r="1" spans="1:14" ht="28" customHeight="1">
      <c r="A1" s="1" t="s">
        <v>22</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382</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5" t="s">
        <v>383</v>
      </c>
      <c r="B6" s="5"/>
      <c r="C6" s="5"/>
      <c r="D6" s="5"/>
      <c r="E6" s="5"/>
      <c r="F6" s="5"/>
      <c r="G6" s="5"/>
      <c r="H6" s="5"/>
      <c r="I6" s="5"/>
      <c r="J6" s="5"/>
      <c r="K6" s="5"/>
      <c r="L6" s="5"/>
      <c r="M6" s="5"/>
      <c r="N6" s="5"/>
    </row>
    <row r="7" spans="1:14" ht="18" customHeight="1">
      <c r="B7" s="6" t="s">
        <v>384</v>
      </c>
      <c r="C7" s="6"/>
      <c r="D7" s="6"/>
      <c r="E7" s="6"/>
      <c r="G7" s="6" t="s">
        <v>385</v>
      </c>
      <c r="H7" s="6"/>
      <c r="I7" s="6"/>
      <c r="J7" s="6"/>
    </row>
    <row r="8" spans="1:14" ht="18" customHeight="1">
      <c r="B8" s="53">
        <f>SUM(LIMITLER!H8:H207)</f>
        <v>0</v>
      </c>
      <c r="C8" s="53"/>
      <c r="D8" s="53"/>
      <c r="E8" s="53"/>
      <c r="G8" s="54">
        <f>SUM(LIMITLER!I8:I207)</f>
        <v>0</v>
      </c>
      <c r="H8" s="54"/>
      <c r="I8" s="54"/>
      <c r="J8" s="54"/>
    </row>
    <row r="9" spans="1:14" ht="18" customHeight="1">
      <c r="B9" s="53"/>
      <c r="C9" s="53"/>
      <c r="D9" s="53"/>
      <c r="E9" s="53"/>
      <c r="G9" s="54"/>
      <c r="H9" s="54"/>
      <c r="I9" s="54"/>
      <c r="J9" s="54"/>
    </row>
    <row r="10" spans="1:14" ht="18" customHeight="1">
      <c r="B10" s="53"/>
      <c r="C10" s="53"/>
      <c r="D10" s="53"/>
      <c r="E10" s="53"/>
      <c r="G10" s="54"/>
      <c r="H10" s="54"/>
      <c r="I10" s="54"/>
      <c r="J10" s="54"/>
    </row>
    <row r="12" spans="1:14" ht="18" customHeight="1">
      <c r="B12" s="6" t="s">
        <v>386</v>
      </c>
      <c r="C12" s="6"/>
      <c r="D12" s="6"/>
      <c r="E12" s="6"/>
      <c r="G12" s="6" t="s">
        <v>387</v>
      </c>
      <c r="H12" s="6"/>
      <c r="I12" s="6"/>
      <c r="J12" s="6"/>
    </row>
    <row r="13" spans="1:14" ht="18" customHeight="1">
      <c r="B13" s="55">
        <f>SUM(LIMITLER!M8:M207)</f>
        <v>0</v>
      </c>
      <c r="C13" s="55"/>
      <c r="D13" s="55"/>
      <c r="E13" s="55"/>
      <c r="G13" s="56">
        <f>KREDI_KAPASITE!F26</f>
        <v>0</v>
      </c>
      <c r="H13" s="56"/>
      <c r="I13" s="56"/>
      <c r="J13" s="56"/>
    </row>
    <row r="14" spans="1:14" ht="18" customHeight="1">
      <c r="B14" s="55"/>
      <c r="C14" s="55"/>
      <c r="D14" s="55"/>
      <c r="E14" s="55"/>
      <c r="G14" s="56"/>
      <c r="H14" s="56"/>
      <c r="I14" s="56"/>
      <c r="J14" s="56"/>
    </row>
    <row r="15" spans="1:14" ht="18" customHeight="1">
      <c r="B15" s="55"/>
      <c r="C15" s="55"/>
      <c r="D15" s="55"/>
      <c r="E15" s="55"/>
      <c r="G15" s="56"/>
      <c r="H15" s="56"/>
      <c r="I15" s="56"/>
      <c r="J15" s="56"/>
    </row>
    <row r="17" spans="1:14" ht="18" customHeight="1">
      <c r="B17" s="6" t="s">
        <v>340</v>
      </c>
      <c r="C17" s="6"/>
      <c r="D17" s="6"/>
      <c r="E17" s="6"/>
      <c r="G17" s="6" t="s">
        <v>388</v>
      </c>
      <c r="H17" s="6"/>
      <c r="I17" s="6"/>
      <c r="J17" s="6"/>
    </row>
    <row r="18" spans="1:14" ht="18" customHeight="1">
      <c r="B18" s="57">
        <f>KREDI_KAPASITE!F28</f>
        <v>0</v>
      </c>
      <c r="C18" s="57"/>
      <c r="D18" s="57"/>
      <c r="E18" s="57"/>
      <c r="G18" s="58">
        <f>COUNTIF(RISK_KONTROL!E8:E15,"KALDI")</f>
        <v>0</v>
      </c>
      <c r="H18" s="58"/>
      <c r="I18" s="58"/>
      <c r="J18" s="58"/>
    </row>
    <row r="19" spans="1:14" ht="18" customHeight="1">
      <c r="B19" s="57"/>
      <c r="C19" s="57"/>
      <c r="D19" s="57"/>
      <c r="E19" s="57"/>
      <c r="G19" s="58"/>
      <c r="H19" s="58"/>
      <c r="I19" s="58"/>
      <c r="J19" s="58"/>
    </row>
    <row r="20" spans="1:14" ht="18" customHeight="1">
      <c r="B20" s="57"/>
      <c r="C20" s="57"/>
      <c r="D20" s="57"/>
      <c r="E20" s="57"/>
      <c r="G20" s="58"/>
      <c r="H20" s="58"/>
      <c r="I20" s="58"/>
      <c r="J20" s="58"/>
    </row>
    <row r="23" spans="1:14" ht="18" customHeight="1">
      <c r="A23" s="13" t="s">
        <v>389</v>
      </c>
      <c r="B23" s="13"/>
      <c r="C23" s="13"/>
      <c r="D23" s="13"/>
      <c r="E23" s="13"/>
      <c r="F23" s="13"/>
      <c r="G23" s="13"/>
      <c r="H23" s="13"/>
      <c r="I23" s="13"/>
      <c r="J23" s="13"/>
      <c r="K23" s="13"/>
      <c r="L23" s="13"/>
      <c r="M23" s="13"/>
      <c r="N23" s="13"/>
    </row>
    <row r="25" spans="1:14" ht="18" customHeight="1">
      <c r="B25" s="52">
        <f>IF(COUNTIF(RISK_KONTROL!E8:E15,"KALDI")&gt;0,"ÖNCE RISK_KONTROL ekranındaki kırmızı bayrakları kapatın. Bankaya toplam kredi talebi söylemeden önce mevcut boşluğu, bağlayıcı kapasite kısıtını ve teminat durumunu ayrı sunun.","Veri kontrolleri geçti. Mevcut onaylı boşluk ile yeni tahsis talebini birbirinden ayırarak banka bazlı görüşme planı oluşturun.")</f>
        <v>0</v>
      </c>
      <c r="C25" s="52"/>
      <c r="D25" s="52"/>
      <c r="E25" s="52"/>
      <c r="F25" s="52"/>
      <c r="G25" s="52"/>
      <c r="H25" s="52"/>
      <c r="I25" s="52"/>
      <c r="J25" s="52"/>
      <c r="K25" s="52"/>
      <c r="L25" s="52"/>
      <c r="M25" s="52"/>
    </row>
    <row r="26" spans="1:14" ht="18" customHeight="1">
      <c r="B26" s="52"/>
      <c r="C26" s="52"/>
      <c r="D26" s="52"/>
      <c r="E26" s="52"/>
      <c r="F26" s="52"/>
      <c r="G26" s="52"/>
      <c r="H26" s="52"/>
      <c r="I26" s="52"/>
      <c r="J26" s="52"/>
      <c r="K26" s="52"/>
      <c r="L26" s="52"/>
      <c r="M26" s="52"/>
    </row>
    <row r="27" spans="1:14" ht="18" customHeight="1">
      <c r="B27" s="52"/>
      <c r="C27" s="52"/>
      <c r="D27" s="52"/>
      <c r="E27" s="52"/>
      <c r="F27" s="52"/>
      <c r="G27" s="52"/>
      <c r="H27" s="52"/>
      <c r="I27" s="52"/>
      <c r="J27" s="52"/>
      <c r="K27" s="52"/>
      <c r="L27" s="52"/>
      <c r="M27" s="52"/>
    </row>
    <row r="28" spans="1:14" ht="18" customHeight="1">
      <c r="B28" s="52"/>
      <c r="C28" s="52"/>
      <c r="D28" s="52"/>
      <c r="E28" s="52"/>
      <c r="F28" s="52"/>
      <c r="G28" s="52"/>
      <c r="H28" s="52"/>
      <c r="I28" s="52"/>
      <c r="J28" s="52"/>
      <c r="K28" s="52"/>
      <c r="L28" s="52"/>
      <c r="M28" s="52"/>
    </row>
    <row r="29" spans="1:14" ht="18" customHeight="1">
      <c r="B29" s="52"/>
      <c r="C29" s="52"/>
      <c r="D29" s="52"/>
      <c r="E29" s="52"/>
      <c r="F29" s="52"/>
      <c r="G29" s="52"/>
      <c r="H29" s="52"/>
      <c r="I29" s="52"/>
      <c r="J29" s="52"/>
      <c r="K29" s="52"/>
      <c r="L29" s="52"/>
      <c r="M29" s="52"/>
    </row>
  </sheetData>
  <mergeCells count="19">
    <mergeCell ref="A1:N2"/>
    <mergeCell ref="A3:N3"/>
    <mergeCell ref="A4:C4"/>
    <mergeCell ref="D4:N4"/>
    <mergeCell ref="A6:N6"/>
    <mergeCell ref="B7:E7"/>
    <mergeCell ref="B8:E10"/>
    <mergeCell ref="G7:J7"/>
    <mergeCell ref="G8:J10"/>
    <mergeCell ref="B12:E12"/>
    <mergeCell ref="B13:E15"/>
    <mergeCell ref="G12:J12"/>
    <mergeCell ref="G13:J15"/>
    <mergeCell ref="B17:E17"/>
    <mergeCell ref="B18:E20"/>
    <mergeCell ref="G17:J17"/>
    <mergeCell ref="G18:J20"/>
    <mergeCell ref="A23:N23"/>
    <mergeCell ref="B25:M29"/>
  </mergeCells>
  <hyperlinks>
    <hyperlink ref="A4" location="PANO!A1" display="☰ MENÜ / PANO"/>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sheetPr>
    <tabColor rgb="FF17365D"/>
  </sheetPr>
  <dimension ref="A1:N40"/>
  <sheetViews>
    <sheetView showGridLines="0" workbookViewId="0">
      <pane ySplit="4" topLeftCell="A5" activePane="bottomLeft" state="frozen"/>
      <selection pane="bottomLeft"/>
    </sheetView>
  </sheetViews>
  <sheetFormatPr defaultRowHeight="18" customHeight="1"/>
  <cols>
    <col min="1" max="1" width="3.7109375" customWidth="1"/>
    <col min="2" max="2" width="8.7109375" customWidth="1"/>
    <col min="3" max="3" width="28.7109375" customWidth="1"/>
    <col min="4" max="4" width="50.7109375" customWidth="1"/>
    <col min="5" max="5" width="28.7109375" customWidth="1"/>
    <col min="6" max="13" width="18.7109375" customWidth="1"/>
    <col min="14" max="14" width="3.7109375" customWidth="1"/>
  </cols>
  <sheetData>
    <row r="1" spans="1:14" ht="28" customHeight="1">
      <c r="A1" s="1" t="s">
        <v>390</v>
      </c>
      <c r="B1" s="1"/>
      <c r="C1" s="1"/>
      <c r="D1" s="1"/>
      <c r="E1" s="1"/>
      <c r="F1" s="1"/>
      <c r="G1" s="1"/>
      <c r="H1" s="1"/>
      <c r="I1" s="1"/>
      <c r="J1" s="1"/>
      <c r="K1" s="1"/>
      <c r="L1" s="1"/>
      <c r="M1" s="1"/>
      <c r="N1" s="1"/>
    </row>
    <row r="2" spans="1:14" ht="28" customHeight="1">
      <c r="A2" s="1"/>
      <c r="B2" s="1"/>
      <c r="C2" s="1"/>
      <c r="D2" s="1"/>
      <c r="E2" s="1"/>
      <c r="F2" s="1"/>
      <c r="G2" s="1"/>
      <c r="H2" s="1"/>
      <c r="I2" s="1"/>
      <c r="J2" s="1"/>
      <c r="K2" s="1"/>
      <c r="L2" s="1"/>
      <c r="M2" s="1"/>
      <c r="N2" s="1"/>
    </row>
    <row r="3" spans="1:14" ht="30" customHeight="1">
      <c r="A3" s="2" t="s">
        <v>391</v>
      </c>
      <c r="B3" s="2"/>
      <c r="C3" s="2"/>
      <c r="D3" s="2"/>
      <c r="E3" s="2"/>
      <c r="F3" s="2"/>
      <c r="G3" s="2"/>
      <c r="H3" s="2"/>
      <c r="I3" s="2"/>
      <c r="J3" s="2"/>
      <c r="K3" s="2"/>
      <c r="L3" s="2"/>
      <c r="M3" s="2"/>
      <c r="N3" s="2"/>
    </row>
    <row r="4" spans="1:14" ht="22" customHeight="1">
      <c r="A4" s="3" t="s">
        <v>2</v>
      </c>
      <c r="B4" s="3"/>
      <c r="C4" s="3"/>
      <c r="D4" s="4" t="s">
        <v>3</v>
      </c>
      <c r="E4" s="4"/>
      <c r="F4" s="4"/>
      <c r="G4" s="4"/>
      <c r="H4" s="4"/>
      <c r="I4" s="4"/>
      <c r="J4" s="4"/>
      <c r="K4" s="4"/>
      <c r="L4" s="4"/>
      <c r="M4" s="4"/>
      <c r="N4" s="4"/>
    </row>
    <row r="6" spans="1:14" ht="18" customHeight="1">
      <c r="A6" s="13" t="s">
        <v>392</v>
      </c>
      <c r="B6" s="13"/>
      <c r="C6" s="13"/>
      <c r="D6" s="13"/>
      <c r="E6" s="13"/>
      <c r="F6" s="13"/>
      <c r="G6" s="13"/>
      <c r="H6" s="13"/>
      <c r="I6" s="13"/>
      <c r="J6" s="13"/>
      <c r="K6" s="13"/>
      <c r="L6" s="13"/>
      <c r="M6" s="13"/>
      <c r="N6" s="13"/>
    </row>
    <row r="8" spans="1:14" ht="18" customHeight="1">
      <c r="B8" s="25" t="s">
        <v>393</v>
      </c>
      <c r="C8" s="25" t="s">
        <v>394</v>
      </c>
      <c r="D8" s="25" t="s">
        <v>395</v>
      </c>
    </row>
    <row r="9" spans="1:14" ht="18" customHeight="1">
      <c r="B9" s="26" t="s">
        <v>396</v>
      </c>
      <c r="C9" s="26" t="s">
        <v>397</v>
      </c>
      <c r="D9" s="26" t="s">
        <v>397</v>
      </c>
    </row>
    <row r="10" spans="1:14" ht="18" customHeight="1">
      <c r="B10" s="26" t="s">
        <v>398</v>
      </c>
      <c r="C10" s="26" t="s">
        <v>399</v>
      </c>
      <c r="D10" s="26" t="s">
        <v>400</v>
      </c>
    </row>
    <row r="11" spans="1:14" ht="18" customHeight="1">
      <c r="B11" s="26" t="s">
        <v>401</v>
      </c>
      <c r="C11" s="26" t="s">
        <v>402</v>
      </c>
      <c r="D11" s="26" t="s">
        <v>403</v>
      </c>
    </row>
    <row r="14" spans="1:14" ht="18" customHeight="1">
      <c r="A14" s="13" t="s">
        <v>404</v>
      </c>
      <c r="B14" s="13"/>
      <c r="C14" s="13"/>
      <c r="D14" s="13"/>
      <c r="E14" s="13"/>
      <c r="F14" s="13"/>
      <c r="G14" s="13"/>
      <c r="H14" s="13"/>
      <c r="I14" s="13"/>
      <c r="J14" s="13"/>
      <c r="K14" s="13"/>
      <c r="L14" s="13"/>
      <c r="M14" s="13"/>
      <c r="N14" s="13"/>
    </row>
    <row r="16" spans="1:14" ht="18" customHeight="1">
      <c r="B16" s="26" t="s">
        <v>405</v>
      </c>
      <c r="C16" s="26" t="s">
        <v>406</v>
      </c>
      <c r="D16" s="26" t="s">
        <v>407</v>
      </c>
    </row>
    <row r="17" spans="1:14" ht="18" customHeight="1">
      <c r="B17" s="26" t="s">
        <v>408</v>
      </c>
      <c r="C17" s="26" t="s">
        <v>409</v>
      </c>
      <c r="D17" s="26" t="s">
        <v>410</v>
      </c>
    </row>
    <row r="18" spans="1:14" ht="18" customHeight="1">
      <c r="B18" s="26" t="s">
        <v>411</v>
      </c>
      <c r="C18" s="26" t="s">
        <v>412</v>
      </c>
      <c r="D18" s="26" t="s">
        <v>413</v>
      </c>
    </row>
    <row r="19" spans="1:14" ht="18" customHeight="1">
      <c r="B19" s="26" t="s">
        <v>414</v>
      </c>
      <c r="C19" s="26" t="s">
        <v>415</v>
      </c>
      <c r="D19" s="26" t="s">
        <v>416</v>
      </c>
    </row>
    <row r="20" spans="1:14" ht="18" customHeight="1">
      <c r="B20" s="26" t="s">
        <v>417</v>
      </c>
      <c r="C20" s="26" t="s">
        <v>418</v>
      </c>
      <c r="D20" s="26" t="s">
        <v>419</v>
      </c>
    </row>
    <row r="21" spans="1:14" ht="18" customHeight="1">
      <c r="B21" s="26" t="s">
        <v>420</v>
      </c>
      <c r="C21" s="26" t="s">
        <v>421</v>
      </c>
      <c r="D21" s="26" t="s">
        <v>422</v>
      </c>
    </row>
    <row r="22" spans="1:14" ht="18" customHeight="1">
      <c r="B22" s="26" t="s">
        <v>423</v>
      </c>
      <c r="C22" s="26" t="s">
        <v>424</v>
      </c>
      <c r="D22" s="26" t="s">
        <v>425</v>
      </c>
    </row>
    <row r="25" spans="1:14" ht="18" customHeight="1">
      <c r="A25" s="45" t="s">
        <v>426</v>
      </c>
      <c r="B25" s="45"/>
      <c r="C25" s="45"/>
      <c r="D25" s="45"/>
      <c r="E25" s="45"/>
      <c r="F25" s="45"/>
      <c r="G25" s="45"/>
      <c r="H25" s="45"/>
      <c r="I25" s="45"/>
      <c r="J25" s="45"/>
      <c r="K25" s="45"/>
      <c r="L25" s="45"/>
      <c r="M25" s="45"/>
      <c r="N25" s="45"/>
    </row>
    <row r="27" spans="1:14" ht="18" customHeight="1">
      <c r="B27" s="18" t="s">
        <v>427</v>
      </c>
      <c r="C27" s="18"/>
      <c r="D27" s="18"/>
      <c r="E27" s="18"/>
      <c r="F27" s="18"/>
      <c r="G27" s="18"/>
      <c r="H27" s="18"/>
      <c r="I27" s="18"/>
      <c r="J27" s="18"/>
      <c r="K27" s="18"/>
      <c r="L27" s="18"/>
      <c r="M27" s="18"/>
    </row>
    <row r="28" spans="1:14" ht="18" customHeight="1">
      <c r="B28" s="18"/>
      <c r="C28" s="18"/>
      <c r="D28" s="18"/>
      <c r="E28" s="18"/>
      <c r="F28" s="18"/>
      <c r="G28" s="18"/>
      <c r="H28" s="18"/>
      <c r="I28" s="18"/>
      <c r="J28" s="18"/>
      <c r="K28" s="18"/>
      <c r="L28" s="18"/>
      <c r="M28" s="18"/>
    </row>
    <row r="29" spans="1:14" ht="18" customHeight="1">
      <c r="B29" s="18"/>
      <c r="C29" s="18"/>
      <c r="D29" s="18"/>
      <c r="E29" s="18"/>
      <c r="F29" s="18"/>
      <c r="G29" s="18"/>
      <c r="H29" s="18"/>
      <c r="I29" s="18"/>
      <c r="J29" s="18"/>
      <c r="K29" s="18"/>
      <c r="L29" s="18"/>
      <c r="M29" s="18"/>
    </row>
    <row r="30" spans="1:14" ht="18" customHeight="1">
      <c r="B30" s="18"/>
      <c r="C30" s="18"/>
      <c r="D30" s="18"/>
      <c r="E30" s="18"/>
      <c r="F30" s="18"/>
      <c r="G30" s="18"/>
      <c r="H30" s="18"/>
      <c r="I30" s="18"/>
      <c r="J30" s="18"/>
      <c r="K30" s="18"/>
      <c r="L30" s="18"/>
      <c r="M30" s="18"/>
    </row>
    <row r="33" spans="1:14" ht="18" customHeight="1">
      <c r="A33" s="13" t="s">
        <v>428</v>
      </c>
      <c r="B33" s="13"/>
      <c r="C33" s="13"/>
      <c r="D33" s="13"/>
      <c r="E33" s="13"/>
      <c r="F33" s="13"/>
      <c r="G33" s="13"/>
      <c r="H33" s="13"/>
      <c r="I33" s="13"/>
      <c r="J33" s="13"/>
      <c r="K33" s="13"/>
      <c r="L33" s="13"/>
      <c r="M33" s="13"/>
      <c r="N33" s="13"/>
    </row>
    <row r="35" spans="1:14" ht="18" customHeight="1">
      <c r="B35" s="25" t="s">
        <v>429</v>
      </c>
      <c r="C35" s="25" t="s">
        <v>430</v>
      </c>
      <c r="D35" s="25" t="s">
        <v>431</v>
      </c>
    </row>
    <row r="36" spans="1:14" ht="18" customHeight="1">
      <c r="B36" s="26" t="s">
        <v>432</v>
      </c>
      <c r="C36" s="26" t="s">
        <v>433</v>
      </c>
      <c r="D36" s="26" t="s">
        <v>434</v>
      </c>
    </row>
    <row r="37" spans="1:14" ht="18" customHeight="1">
      <c r="B37" s="26" t="s">
        <v>435</v>
      </c>
      <c r="C37" s="26" t="s">
        <v>436</v>
      </c>
      <c r="D37" s="26" t="s">
        <v>437</v>
      </c>
    </row>
    <row r="38" spans="1:14" ht="18" customHeight="1">
      <c r="B38" s="26" t="s">
        <v>438</v>
      </c>
      <c r="C38" s="26" t="s">
        <v>436</v>
      </c>
      <c r="D38" s="26" t="s">
        <v>439</v>
      </c>
    </row>
    <row r="39" spans="1:14" ht="18" customHeight="1">
      <c r="B39" s="26" t="s">
        <v>440</v>
      </c>
      <c r="C39" s="26" t="s">
        <v>441</v>
      </c>
      <c r="D39" s="26" t="s">
        <v>442</v>
      </c>
    </row>
    <row r="40" spans="1:14" ht="18" customHeight="1">
      <c r="B40" s="26" t="s">
        <v>443</v>
      </c>
      <c r="C40" s="26" t="s">
        <v>444</v>
      </c>
      <c r="D40" s="26" t="s">
        <v>445</v>
      </c>
    </row>
  </sheetData>
  <mergeCells count="9">
    <mergeCell ref="A1:N2"/>
    <mergeCell ref="A3:N3"/>
    <mergeCell ref="A4:C4"/>
    <mergeCell ref="D4:N4"/>
    <mergeCell ref="A6:N6"/>
    <mergeCell ref="A14:N14"/>
    <mergeCell ref="A25:N25"/>
    <mergeCell ref="B27:M30"/>
    <mergeCell ref="A33:N33"/>
  </mergeCells>
  <hyperlinks>
    <hyperlink ref="A4" location="PANO!A1" display="☰ MENÜ / PANO"/>
  </hyperlinks>
  <pageMargins left="0.7" right="0.7" top="0.75" bottom="0.75" header="0.3" footer="0.3"/>
</worksheet>
</file>

<file path=xl/worksheets/sheet15.xml><?xml version="1.0" encoding="utf-8"?>
<worksheet xmlns="http://schemas.openxmlformats.org/spreadsheetml/2006/main">
  <sheetPr>
    <tabColor rgb="FF17365D"/>
  </sheetPr>
  <dimension ref="A1:O19"/>
  <sheetViews>
    <sheetView showGridLines="0" workbookViewId="0">
      <pane ySplit="4" topLeftCell="A5" activePane="bottomLeft" state="frozen"/>
      <selection pane="bottomLeft"/>
    </sheetView>
  </sheetViews>
  <sheetFormatPr defaultRowHeight="18" customHeight="1"/>
  <cols>
    <col min="1" max="1" width="3.7109375" customWidth="1"/>
    <col min="2" max="2" width="9.7109375" customWidth="1"/>
    <col min="3" max="3" width="15.7109375" customWidth="1"/>
    <col min="4" max="4" width="36.7109375" customWidth="1"/>
    <col min="5" max="6" width="18.7109375" customWidth="1"/>
    <col min="7" max="7" width="24.7109375" customWidth="1"/>
    <col min="8" max="8" width="22.7109375" customWidth="1"/>
    <col min="9" max="9" width="42.7109375" customWidth="1"/>
    <col min="10" max="14" width="18.7109375" customWidth="1"/>
    <col min="15" max="15" width="3.7109375" customWidth="1"/>
  </cols>
  <sheetData>
    <row r="1" spans="1:15" ht="28" customHeight="1">
      <c r="A1" s="1" t="s">
        <v>446</v>
      </c>
      <c r="B1" s="1"/>
      <c r="C1" s="1"/>
      <c r="D1" s="1"/>
      <c r="E1" s="1"/>
      <c r="F1" s="1"/>
      <c r="G1" s="1"/>
      <c r="H1" s="1"/>
      <c r="I1" s="1"/>
      <c r="J1" s="1"/>
      <c r="K1" s="1"/>
      <c r="L1" s="1"/>
      <c r="M1" s="1"/>
      <c r="N1" s="1"/>
      <c r="O1" s="1"/>
    </row>
    <row r="2" spans="1:15" ht="28" customHeight="1">
      <c r="A2" s="1"/>
      <c r="B2" s="1"/>
      <c r="C2" s="1"/>
      <c r="D2" s="1"/>
      <c r="E2" s="1"/>
      <c r="F2" s="1"/>
      <c r="G2" s="1"/>
      <c r="H2" s="1"/>
      <c r="I2" s="1"/>
      <c r="J2" s="1"/>
      <c r="K2" s="1"/>
      <c r="L2" s="1"/>
      <c r="M2" s="1"/>
      <c r="N2" s="1"/>
      <c r="O2" s="1"/>
    </row>
    <row r="3" spans="1:15" ht="30" customHeight="1">
      <c r="A3" s="2" t="s">
        <v>447</v>
      </c>
      <c r="B3" s="2"/>
      <c r="C3" s="2"/>
      <c r="D3" s="2"/>
      <c r="E3" s="2"/>
      <c r="F3" s="2"/>
      <c r="G3" s="2"/>
      <c r="H3" s="2"/>
      <c r="I3" s="2"/>
      <c r="J3" s="2"/>
      <c r="K3" s="2"/>
      <c r="L3" s="2"/>
      <c r="M3" s="2"/>
      <c r="N3" s="2"/>
      <c r="O3" s="2"/>
    </row>
    <row r="4" spans="1:15" ht="22" customHeight="1">
      <c r="A4" s="3" t="s">
        <v>2</v>
      </c>
      <c r="B4" s="3"/>
      <c r="C4" s="3"/>
      <c r="D4" s="4" t="s">
        <v>3</v>
      </c>
      <c r="E4" s="4"/>
      <c r="F4" s="4"/>
      <c r="G4" s="4"/>
      <c r="H4" s="4"/>
      <c r="I4" s="4"/>
      <c r="J4" s="4"/>
      <c r="K4" s="4"/>
      <c r="L4" s="4"/>
      <c r="M4" s="4"/>
      <c r="N4" s="4"/>
      <c r="O4" s="4"/>
    </row>
    <row r="6" spans="1:15" ht="18" customHeight="1">
      <c r="A6" s="13" t="s">
        <v>448</v>
      </c>
      <c r="B6" s="13"/>
      <c r="C6" s="13"/>
      <c r="D6" s="13"/>
      <c r="E6" s="13"/>
      <c r="F6" s="13"/>
      <c r="G6" s="13"/>
      <c r="H6" s="13"/>
      <c r="I6" s="13"/>
      <c r="J6" s="13"/>
      <c r="K6" s="13"/>
      <c r="L6" s="13"/>
      <c r="M6" s="13"/>
      <c r="N6" s="13"/>
      <c r="O6" s="13"/>
    </row>
    <row r="7" spans="1:15" ht="18" customHeight="1">
      <c r="B7" s="25" t="inlineStr">
        <is>
          <t>Kod</t>
        </is>
      </c>
      <c r="C7" s="25" t="inlineStr">
        <is>
          <t>Önem</t>
        </is>
      </c>
      <c r="D7" s="25" t="inlineStr">
        <is>
          <t>Ne kontrol ediliyor?</t>
        </is>
      </c>
      <c r="E7" s="25" t="inlineStr">
        <is>
          <t>Doğru olması gereken</t>
        </is>
      </c>
      <c r="F7" s="25" t="inlineStr">
        <is>
          <t>Sonuç</t>
        </is>
      </c>
      <c r="G7" s="25" t="inlineStr">
        <is>
          <t>Sorun nerede?</t>
        </is>
      </c>
      <c r="H7" s="25" t="inlineStr">
        <is>
          <t>Ne bulundu?</t>
        </is>
      </c>
      <c r="I7" s="25" t="inlineStr">
        <is>
          <t>Ne yapmalısınız?</t>
        </is>
      </c>
    </row>
    <row r="8" spans="1:15" ht="18" customHeight="1">
      <c r="B8" s="26" t="s">
        <v>453</v>
      </c>
      <c r="C8" s="26" t="s">
        <v>454</v>
      </c>
      <c r="D8" s="26" t="inlineStr">
        <is>
          <t>Net satış rakamı girilmiş mi?</t>
        </is>
      </c>
      <c r="E8" s="26" t="s">
        <v>456</v>
      </c>
      <c r="F8" s="29">
        <f>IF(FIRMA!C17&gt;0,"TAMAM","DÜZELT")</f>
      </c>
      <c r="G8" s="26" t="inlineStr">
        <is>
          <t>FIRMA → Son 12 Ay Net Satış</t>
        </is>
      </c>
      <c r="H8" s="29">
        <f>IF(FIRMA!C17&gt;0,TEXT(FIRMA!C17,"#,##0")&amp;" TL","Boş")</f>
      </c>
      <c r="I8" s="26" t="inlineStr">
        <is>
          <t>FIRMA sayfasını açın ve Son 12 Ay Net Satış sarı hücresine gerçek tutarı girin.</t>
        </is>
      </c>
    </row>
    <row r="9" spans="1:15" ht="18" customHeight="1">
      <c r="B9" s="26" t="s">
        <v>459</v>
      </c>
      <c r="C9" s="26" t="s">
        <v>454</v>
      </c>
      <c r="D9" s="26" t="inlineStr">
        <is>
          <t>FAVÖK rakamı girilmiş mi?</t>
        </is>
      </c>
      <c r="E9" s="26" t="s">
        <v>456</v>
      </c>
      <c r="F9" s="29">
        <f>IF(FIRMA!C18&gt;0,"TAMAM","DÜZELT")</f>
      </c>
      <c r="G9" s="26" t="inlineStr">
        <is>
          <t>FIRMA → Son 12 Ay FAVÖK</t>
        </is>
      </c>
      <c r="H9" s="29">
        <f>IF(FIRMA!C18&lt;&gt;"",TEXT(FIRMA!C18,"#,##0")&amp;" TL","Boş")</f>
      </c>
      <c r="I9" s="26" t="inlineStr">
        <is>
          <t>FIRMA sayfasını açın ve Son 12 Ay FAVÖK sarı hücresine gerçek tutarı girin.</t>
        </is>
      </c>
    </row>
    <row r="10" spans="1:15" ht="18" customHeight="1">
      <c r="B10" s="26" t="s">
        <v>463</v>
      </c>
      <c r="C10" s="26" t="s">
        <v>454</v>
      </c>
      <c r="D10" s="26" t="inlineStr">
        <is>
          <t>Finansal borç rakamı geçerli mi?</t>
        </is>
      </c>
      <c r="E10" s="26" t="s">
        <v>465</v>
      </c>
      <c r="F10" s="29">
        <f>IF(FIRMA!C20&gt;=0,"TAMAM","DÜZELT")</f>
      </c>
      <c r="G10" s="26" t="inlineStr">
        <is>
          <t>FIRMA → Toplam Finansal Borç</t>
        </is>
      </c>
      <c r="H10" s="29">
        <f>TEXT(FIRMA!C20,"#,##0")&amp;" TL"</f>
      </c>
      <c r="I10" s="26" t="inlineStr">
        <is>
          <t>FIRMA sayfasında Toplam Finansal Borç alanını kontrol edin. Negatif değer girmeyin.</t>
        </is>
      </c>
    </row>
    <row r="11" spans="1:15" ht="18" customHeight="1">
      <c r="B11" s="26" t="s">
        <v>468</v>
      </c>
      <c r="C11" s="26" t="s">
        <v>454</v>
      </c>
      <c r="D11" s="26" t="inlineStr">
        <is>
          <t>12 aylık borç ödeme yükü girilmiş mi?</t>
        </is>
      </c>
      <c r="E11" s="26" t="s">
        <v>456</v>
      </c>
      <c r="F11" s="29">
        <f>IF(FIRMA!C23&gt;0,"TAMAM","DÜZELT")</f>
      </c>
      <c r="G11" s="26" t="inlineStr">
        <is>
          <t>FIRMA → Yıllık Anapara + Faiz Servisi</t>
        </is>
      </c>
      <c r="H11" s="29">
        <f>IF(FIRMA!C23&gt;0,TEXT(FIRMA!C23,"#,##0")&amp;" TL","Boş")</f>
      </c>
      <c r="I11" s="26" t="inlineStr">
        <is>
          <t>FIRMA sayfasında Önümüzdeki 12 Ay Anapara + Faiz Servisi tutarını girin.</t>
        </is>
      </c>
    </row>
    <row r="12" spans="1:15" ht="18" customHeight="1">
      <c r="B12" s="26" t="s">
        <v>472</v>
      </c>
      <c r="C12" s="26" t="s">
        <v>454</v>
      </c>
      <c r="D12" s="26" t="inlineStr">
        <is>
          <t>Limitlerde yanlış veya imkânsız bir rakam var mı?</t>
        </is>
      </c>
      <c r="E12" s="26" t="inlineStr">
        <is>
          <t>Kullanılan kredi + bloke, onaylı limiti aşmamalı; negatif tutar olmamalı.</t>
        </is>
      </c>
      <c r="F12" s="29">
        <f>IF(COUNTIF(LIMITLER!P8:P207,"DÜZELT*")=0,"TAMAM","DÜZELT")</f>
      </c>
      <c r="G12" s="26">
        <f>IFERROR("LIMITLER → Satır "&amp;(MATCH("DÜZELT*",LIMITLER!P8:P207,0)+7)&amp;" → "&amp;INDEX(LIMITLER!C8:C207,MATCH("DÜZELT*",LIMITLER!P8:P207,0))&amp;" / "&amp;INDEX(LIMITLER!D8:D207,MATCH("DÜZELT*",LIMITLER!P8:P207,0)),"Sorun yok")</f>
      </c>
      <c r="H12" s="29">
        <f>IF(F12="TAMAM","Limit kayıtlarında kritik hata bulunmadı.",COUNTIF(LIMITLER!P8:P207,"DÜZELT*")&amp;" kayıt düzeltilmeli. İlk sorun: "&amp;INDEX(LIMITLER!P8:P207,MATCH("DÜZELT*",LIMITLER!P8:P207,0)))</f>
      </c>
      <c r="I12" s="26">
        <f>IF(F12="TAMAM","Bir şey yapmanıza gerek yok.","1) LIMITLER sayfasını açın. 2) Hata / Uyarı alanında kırmızı görünen satırı bulun. 3) Mesajda yazan banka ve kredi kaydındaki sarı hücreleri bankanızdaki güncel rakamlarla karşılaştırıp düzeltin.")</f>
      </c>
    </row>
    <row r="13" spans="1:15" ht="18" customHeight="1">
      <c r="B13" s="26" t="s">
        <v>476</v>
      </c>
      <c r="C13" s="26" t="s">
        <v>477</v>
      </c>
      <c r="D13" s="26" t="inlineStr">
        <is>
          <t>Aktif görünen bir banka limitinin vadesi geçmiş mi?</t>
        </is>
      </c>
      <c r="E13" s="26" t="inlineStr">
        <is>
          <t>Aktif limitin vade tarihi bugün veya daha ileri olmalı.</t>
        </is>
      </c>
      <c r="F13" s="29">
        <f>IF(COUNTIF(LIMITLER!P8:P207,"KONTROL ET*")=0,"TAMAM","KONTROL ET")</f>
      </c>
      <c r="G13" s="26">
        <f>IFERROR("LIMITLER → Satır "&amp;(MATCH("KONTROL ET*",LIMITLER!P8:P207,0)+7)&amp;" → "&amp;INDEX(LIMITLER!C8:C207,MATCH("KONTROL ET*",LIMITLER!P8:P207,0))&amp;" / "&amp;INDEX(LIMITLER!D8:D207,MATCH("KONTROL ET*",LIMITLER!P8:P207,0)),"Sorun yok")</f>
      </c>
      <c r="H13" s="29">
        <f>IF(F13="TAMAM","Vadesi geçmiş aktif limit bulunmadı.",COUNTIF(LIMITLER!P8:P207,"KONTROL ET*")&amp;" kayıt kontrol edilmeli. İlk uyarı: "&amp;INDEX(LIMITLER!P8:P207,MATCH("KONTROL ET*",LIMITLER!P8:P207,0)))</f>
      </c>
      <c r="I13" s="26">
        <f>IF(F13="TAMAM","Bir şey yapmanıza gerek yok.","LIMITLER sayfasında belirtilen banka/kredi satırına gidin. Bankadan limitin yenilenip yenilenmediğini kontrol edin. Yenilendiyse Vade Sonu ve Durum sarı hücrelerini güncelleyin.")</f>
      </c>
    </row>
    <row r="14" spans="1:15" ht="18" customHeight="1">
      <c r="B14" s="26" t="s">
        <v>481</v>
      </c>
      <c r="C14" s="26" t="s">
        <v>454</v>
      </c>
      <c r="D14" s="26" t="inlineStr">
        <is>
          <t>Teminat kayıtlarında imkânsız bir tutar var mı?</t>
        </is>
      </c>
      <c r="E14" s="26" t="s">
        <v>474</v>
      </c>
      <c r="F14" s="29">
        <f>IF(COUNTIF(TEMINATLAR!M8:M107,"KRİTİK*")=0,"TAMAM","DÜZELT")</f>
      </c>
      <c r="G14" s="26" t="inlineStr">
        <is>
          <t>TEMİNATLAR → Hata / Uyarı</t>
        </is>
      </c>
      <c r="H14" s="29">
        <f>COUNTIF(TEMINATLAR!M8:M107,"KRİTİK*")&amp;" sorun"</f>
      </c>
      <c r="I14" s="26" t="inlineStr">
        <is>
          <t>TEMİNATLAR sayfasına gidin. Kırmızı uyarı olan teminatta tahsis edilen tutar net teminat değerinden büyükse rakamları doğrulayın.</t>
        </is>
      </c>
    </row>
    <row r="15" spans="1:15" ht="18" customHeight="1">
      <c r="B15" s="26" t="s">
        <v>484</v>
      </c>
      <c r="C15" s="26" t="s">
        <v>477</v>
      </c>
      <c r="D15" s="26" t="inlineStr">
        <is>
          <t>Nakit akışı mevcut borç ödemelerini karşılıyor mu?</t>
        </is>
      </c>
      <c r="E15" s="26" t="s">
        <v>486</v>
      </c>
      <c r="F15" s="29">
        <f>IF(FIRMA!C33&gt;=SENARYO!C23,"TAMAM","KONTROL ET")</f>
      </c>
      <c r="G15" s="26" t="inlineStr">
        <is>
          <t>FIRMA → Borç Servis Karşılama (DSCR)</t>
        </is>
      </c>
      <c r="H15" s="29">
        <f>TEXT(FIRMA!C33,"0.00x")&amp;" / minimum "&amp;TEXT(SENARYO!C23,"0.00x")</f>
      </c>
      <c r="I15" s="26" t="inlineStr">
        <is>
          <t>Şirketin faaliyet nakit akışı mevcut borç ödemesini yeterince karşılamıyor. Borç servisi tutarını ve nakit akışını doğrulayın; gerekirse yeni kredi talebini azaltın.</t>
        </is>
      </c>
    </row>
    <row r="16" spans="1:15" ht="18" customHeight="1">
      <c r="B16" s="26" t="s">
        <v>489</v>
      </c>
      <c r="C16" s="26" t="s">
        <v>477</v>
      </c>
      <c r="D16" s="26" t="inlineStr">
        <is>
          <t>Borç seviyesi FAVÖK’e göre taşınabilir mi?</t>
        </is>
      </c>
      <c r="E16" s="26" t="s">
        <v>491</v>
      </c>
      <c r="F16" s="29">
        <f>IF(FIRMA!C32&lt;=SENARYO!C22,"TAMAM","KONTROL ET")</f>
      </c>
      <c r="G16" s="26" t="inlineStr">
        <is>
          <t>FIRMA → Net Borç / FAVÖK</t>
        </is>
      </c>
      <c r="H16" s="29">
        <f>TEXT(FIRMA!C32,"0.00x")&amp;" / üst sınır "&amp;TEXT(SENARYO!C22,"0.00x")</f>
      </c>
      <c r="I16" s="26" t="inlineStr">
        <is>
          <t>Net borç / FAVÖK seviyesi seçilen sınırın üzerinde. Finansal borç ve FAVÖK rakamlarını doğrulayın; yeni kredi talebini buna göre azaltın.</t>
        </is>
      </c>
    </row>
    <row r="17" spans="2:9" ht="18" customHeight="1">
      <c r="B17" s="26" t="s">
        <v>494</v>
      </c>
      <c r="C17" s="26" t="s">
        <v>477</v>
      </c>
      <c r="D17" s="26" t="inlineStr">
        <is>
          <t>Krediler tek bankada fazla mı yoğunlaşmış?</t>
        </is>
      </c>
      <c r="E17" s="26" t="s">
        <v>491</v>
      </c>
      <c r="F17" s="29">
        <f>IF(MAX(BANKA_OZET!I8:I57)&lt;=SENARYO!C26,"TAMAM","KONTROL ET")</f>
      </c>
      <c r="G17" s="26" t="inlineStr">
        <is>
          <t>BANKA ÖZET → Tek Banka Payı</t>
        </is>
      </c>
      <c r="H17" s="29">
        <f>TEXT(MAX(BANKA_OZET!I8:I57),"0.0%")&amp;" / üst sınır "&amp;TEXT(SENARYO!C26,"0.0%")</f>
      </c>
      <c r="I17" s="26" t="inlineStr">
        <is>
          <t>Kredilerin çok büyük bölümü tek bankada toplanmış. Alternatif banka limiti kullanarak yoğunlaşmayı azaltmayı değerlendirin.</t>
        </is>
      </c>
    </row>
    <row r="18" spans="2:9" ht="18" customHeight="1">
      <c r="B18" s="26" t="s">
        <v>498</v>
      </c>
      <c r="C18" s="26" t="s">
        <v>454</v>
      </c>
      <c r="D18" s="26" t="inlineStr">
        <is>
          <t>Ciroya göre borç oranı doğru aralıkta mı?</t>
        </is>
      </c>
      <c r="E18" s="26" t="s">
        <v>500</v>
      </c>
      <c r="F18" s="29">
        <f>IF(AND(SENARYO!C21&gt;0,SENARYO!C21&lt;=1),"TAMAM","DÜZELT")</f>
      </c>
      <c r="G18" s="26" t="inlineStr">
        <is>
          <t>SENARYO → Net Satış Borç Oranı</t>
        </is>
      </c>
      <c r="H18" s="29">
        <f>TEXT(SENARYO!C21,"0.0%")</f>
      </c>
      <c r="I18" s="26" t="inlineStr">
        <is>
          <t>SENARYO sayfasında Net Satışa Göre Azami Finansal Borç oranını %0 ile %100 arasında girin.</t>
        </is>
      </c>
    </row>
    <row r="19" spans="2:9" ht="18" customHeight="1">
      <c r="B19" s="26" t="s">
        <v>503</v>
      </c>
      <c r="C19" s="26" t="s">
        <v>454</v>
      </c>
      <c r="D19" s="26" t="inlineStr">
        <is>
          <t>Yeni kredi servis katsayısı doğru aralıkta mı?</t>
        </is>
      </c>
      <c r="E19" s="26" t="s">
        <v>500</v>
      </c>
      <c r="F19" s="29">
        <f>IF(AND(SENARYO!C24&gt;0,SENARYO!C24&lt;=1),"TAMAM","DÜZELT")</f>
      </c>
      <c r="G19" s="26" t="inlineStr">
        <is>
          <t>SENARYO → Yeni Borç Servis Katsayısı</t>
        </is>
      </c>
      <c r="H19" s="29">
        <f>TEXT(SENARYO!C24,"0.0%")</f>
      </c>
      <c r="I19" s="26" t="inlineStr">
        <is>
          <t>SENARYO sayfasında Yeni Borç Yıllık Servis Katsayısını %0 ile %100 arasında girin.</t>
        </is>
      </c>
    </row>
  </sheetData>
  <mergeCells count="5">
    <mergeCell ref="A1:O2"/>
    <mergeCell ref="A3:O3"/>
    <mergeCell ref="A4:C4"/>
    <mergeCell ref="D4:O4"/>
    <mergeCell ref="A6:O6"/>
  </mergeCells>
  <conditionalFormatting sqref="F8:F36">
    <cfRule type="containsText" dxfId="0" priority="1" operator="containsText" text="KALDI">
      <formula>NOT(ISERROR(SEARCH("DÜZELT",F8)))</formula>
    </cfRule>
    <cfRule type="containsText" dxfId="1" priority="2" operator="containsText" text="GEÇTİ">
      <formula>NOT(ISERROR(SEARCH("TAMAM",F8)))</formula>
    </cfRule>
  </conditionalFormatting>
  <hyperlinks>
    <hyperlink ref="A4" location="PANO!A1" display="☰ MENÜ / PANO"/>
  </hyperlinks>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17365D"/>
  </sheetPr>
  <dimension ref="A1:K8"/>
  <sheetViews>
    <sheetView showGridLines="0" workbookViewId="0">
      <pane ySplit="4" topLeftCell="A5" activePane="bottomLeft" state="frozen"/>
      <selection pane="bottomLeft"/>
    </sheetView>
  </sheetViews>
  <sheetFormatPr defaultRowHeight="18" customHeight="1"/>
  <cols>
    <col min="1" max="1" width="3.7109375" customWidth="1"/>
    <col min="2" max="4" width="20.7109375" customWidth="1"/>
    <col min="5" max="5" width="12.7109375" customWidth="1"/>
    <col min="6" max="10" width="20.7109375" customWidth="1"/>
    <col min="11" max="11" width="3.7109375" customWidth="1"/>
  </cols>
  <sheetData>
    <row r="1" spans="1:11" ht="28" customHeight="1">
      <c r="A1" s="1" t="s">
        <v>507</v>
      </c>
      <c r="B1" s="1"/>
      <c r="C1" s="1"/>
      <c r="D1" s="1"/>
      <c r="E1" s="1"/>
      <c r="F1" s="1"/>
      <c r="G1" s="1"/>
      <c r="H1" s="1"/>
      <c r="I1" s="1"/>
      <c r="J1" s="1"/>
      <c r="K1" s="1"/>
    </row>
    <row r="2" spans="1:11" ht="28" customHeight="1">
      <c r="A2" s="1"/>
      <c r="B2" s="1"/>
      <c r="C2" s="1"/>
      <c r="D2" s="1"/>
      <c r="E2" s="1"/>
      <c r="F2" s="1"/>
      <c r="G2" s="1"/>
      <c r="H2" s="1"/>
      <c r="I2" s="1"/>
      <c r="J2" s="1"/>
      <c r="K2" s="1"/>
    </row>
    <row r="3" spans="1:11" ht="30" customHeight="1">
      <c r="A3" s="2" t="s">
        <v>508</v>
      </c>
      <c r="B3" s="2"/>
      <c r="C3" s="2"/>
      <c r="D3" s="2"/>
      <c r="E3" s="2"/>
      <c r="F3" s="2"/>
      <c r="G3" s="2"/>
      <c r="H3" s="2"/>
      <c r="I3" s="2"/>
      <c r="J3" s="2"/>
      <c r="K3" s="2"/>
    </row>
    <row r="4" spans="1:11" ht="22" customHeight="1">
      <c r="A4" s="3" t="s">
        <v>2</v>
      </c>
      <c r="B4" s="3"/>
      <c r="C4" s="3"/>
      <c r="D4" s="4" t="s">
        <v>3</v>
      </c>
      <c r="E4" s="4"/>
      <c r="F4" s="4"/>
      <c r="G4" s="4"/>
      <c r="H4" s="4"/>
      <c r="I4" s="4"/>
      <c r="J4" s="4"/>
      <c r="K4" s="4"/>
    </row>
    <row r="6" spans="1:11" ht="18" customHeight="1">
      <c r="A6" s="13" t="s">
        <v>509</v>
      </c>
      <c r="B6" s="13"/>
      <c r="C6" s="13"/>
      <c r="D6" s="13"/>
      <c r="E6" s="13"/>
      <c r="F6" s="13"/>
      <c r="G6" s="13"/>
      <c r="H6" s="13"/>
      <c r="I6" s="13"/>
      <c r="J6" s="13"/>
      <c r="K6" s="13"/>
    </row>
    <row r="8" spans="1:11" ht="18" customHeight="1">
      <c r="B8" s="25" t="s">
        <v>510</v>
      </c>
      <c r="C8" s="25" t="s">
        <v>511</v>
      </c>
      <c r="D8" s="25" t="s">
        <v>27</v>
      </c>
      <c r="E8" s="25" t="s">
        <v>512</v>
      </c>
      <c r="F8" s="25" t="s">
        <v>87</v>
      </c>
      <c r="G8" s="25" t="s">
        <v>513</v>
      </c>
      <c r="H8" s="25" t="s">
        <v>514</v>
      </c>
    </row>
  </sheetData>
  <mergeCells count="5">
    <mergeCell ref="A1:K2"/>
    <mergeCell ref="A3:K3"/>
    <mergeCell ref="A4:C4"/>
    <mergeCell ref="D4:K4"/>
    <mergeCell ref="A6:K6"/>
  </mergeCells>
  <hyperlinks>
    <hyperlink ref="A4" location="PANO!A1" display="☰ MENÜ / PANO"/>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PANO</vt:lpstr>
      <vt:lpstr>KULLANIM_REHBERI</vt:lpstr>
      <vt:lpstr>FIRMA</vt:lpstr>
      <vt:lpstr>BANKALAR</vt:lpstr>
      <vt:lpstr>LIMITLER</vt:lpstr>
      <vt:lpstr>KREDI_KULLANIM</vt:lpstr>
      <vt:lpstr>TEMINATLAR</vt:lpstr>
      <vt:lpstr>BANKA_OZET</vt:lpstr>
      <vt:lpstr>LIMIT_BOSLUK</vt:lpstr>
      <vt:lpstr>SENARYO</vt:lpstr>
      <vt:lpstr>KREDI_KAPASITE</vt:lpstr>
      <vt:lpstr>RISK_KONTROL</vt:lpstr>
      <vt:lpstr>RAPOR</vt:lpstr>
      <vt:lpstr>KURULUM</vt:lpstr>
      <vt:lpstr>SISTEM</vt:lpstr>
      <vt:lpstr>DENETIM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2026-08-24T16:57:09Z</dcterms:created>
  <dcterms:modified xsi:type="dcterms:W3CDTF">2026-08-24T16:57:09Z</dcterms:modified>
</cp:coreProperties>
</file>